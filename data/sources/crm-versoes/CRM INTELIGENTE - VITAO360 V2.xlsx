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13_ncr:1_{5A513CA1-4571-4A72-B9A5-9B747A6B783D}" xr6:coauthVersionLast="47" xr6:coauthVersionMax="47" xr10:uidLastSave="{00000000-0000-0000-0000-000000000000}"/>
  <bookViews>
    <workbookView xWindow="22932" yWindow="-108" windowWidth="23256" windowHeight="12456" tabRatio="500" firstSheet="1" activeTab="6" xr2:uid="{00000000-000D-0000-FFFF-FFFF00000000}"/>
  </bookViews>
  <sheets>
    <sheet name="REGRAS" sheetId="1" r:id="rId1"/>
    <sheet name="CARTEIRA" sheetId="2" r:id="rId2"/>
    <sheet name="DRAFT 1" sheetId="3" r:id="rId3"/>
    <sheet name="LOG" sheetId="4" state="hidden" r:id="rId4"/>
    <sheet name="DRAFT 2" sheetId="5" r:id="rId5"/>
    <sheet name="AGENDA" sheetId="6" r:id="rId6"/>
    <sheet name="DASH" sheetId="7" r:id="rId7"/>
    <sheet name="Claude Log" sheetId="8" r:id="rId8"/>
  </sheets>
  <externalReferences>
    <externalReference r:id="rId9"/>
  </externalReferences>
  <definedNames>
    <definedName name="LISTA_ACAO_FUTURA">REGRAS!$B$114:$B$120</definedName>
    <definedName name="LISTA_ATIVO_RECEPTIVO">REGRAS!$B$100:$B$101</definedName>
    <definedName name="LISTA_CONSULTOR">REGRAS!$A$88:$A$91</definedName>
    <definedName name="LISTA_CURVA_ABC">REGRAS!$B$102:$B$104</definedName>
    <definedName name="LISTA_FASE">REGRAS!$B$51:$B$59</definedName>
    <definedName name="LISTA_GRUPO_DASH">REGRAS!$B$111:$B$113</definedName>
    <definedName name="LISTA_MOTIVO">REGRAS!$B$28:$B$37</definedName>
    <definedName name="LISTA_RESULTADO">REGRAS!$B$2:$B$13</definedName>
    <definedName name="LISTA_SIM_NAO">REGRAS!$B$95:$B$96</definedName>
    <definedName name="LISTA_SIM_NAO_NA">REGRAS!$B$97:$B$99</definedName>
    <definedName name="LISTA_SINALEIRO">REGRAS!$A$72:$A$75</definedName>
    <definedName name="LISTA_SITUACAO">REGRAS!$B$41:$B$47</definedName>
    <definedName name="LISTA_TENTATIVA">REGRAS!$B$63:$B$68</definedName>
    <definedName name="LISTA_TIPO_CLIENTE">REGRAS!$B$105:$B$110</definedName>
    <definedName name="LISTA_TIPO_CONTATO">REGRAS!$B$18:$B$24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7" i="7" l="1"/>
  <c r="N127" i="7"/>
  <c r="M127" i="7"/>
  <c r="L127" i="7"/>
  <c r="K127" i="7"/>
  <c r="J127" i="7"/>
  <c r="H127" i="7"/>
  <c r="G127" i="7"/>
  <c r="F127" i="7"/>
  <c r="E127" i="7"/>
  <c r="D127" i="7"/>
  <c r="C127" i="7"/>
  <c r="B127" i="7"/>
  <c r="Q125" i="7"/>
  <c r="P125" i="7"/>
  <c r="N125" i="7"/>
  <c r="M125" i="7"/>
  <c r="L125" i="7"/>
  <c r="K125" i="7"/>
  <c r="J125" i="7"/>
  <c r="H125" i="7"/>
  <c r="G125" i="7"/>
  <c r="F125" i="7"/>
  <c r="E125" i="7"/>
  <c r="D125" i="7"/>
  <c r="C125" i="7"/>
  <c r="B125" i="7"/>
  <c r="Q124" i="7"/>
  <c r="P124" i="7"/>
  <c r="N124" i="7"/>
  <c r="M124" i="7"/>
  <c r="L124" i="7"/>
  <c r="K124" i="7"/>
  <c r="J124" i="7"/>
  <c r="H124" i="7"/>
  <c r="G124" i="7"/>
  <c r="F124" i="7"/>
  <c r="E124" i="7"/>
  <c r="D124" i="7"/>
  <c r="C124" i="7"/>
  <c r="B124" i="7"/>
  <c r="Q123" i="7"/>
  <c r="P123" i="7"/>
  <c r="N123" i="7"/>
  <c r="M123" i="7"/>
  <c r="L123" i="7"/>
  <c r="K123" i="7"/>
  <c r="J123" i="7"/>
  <c r="H123" i="7"/>
  <c r="G123" i="7"/>
  <c r="F123" i="7"/>
  <c r="E123" i="7"/>
  <c r="D123" i="7"/>
  <c r="C123" i="7"/>
  <c r="B123" i="7"/>
  <c r="Q122" i="7"/>
  <c r="P122" i="7"/>
  <c r="N122" i="7"/>
  <c r="M122" i="7"/>
  <c r="L122" i="7"/>
  <c r="K122" i="7"/>
  <c r="J122" i="7"/>
  <c r="H122" i="7"/>
  <c r="G122" i="7"/>
  <c r="F122" i="7"/>
  <c r="E122" i="7"/>
  <c r="D122" i="7"/>
  <c r="C122" i="7"/>
  <c r="B122" i="7"/>
  <c r="O113" i="7"/>
  <c r="P110" i="7" s="1"/>
  <c r="N113" i="7"/>
  <c r="M113" i="7"/>
  <c r="L113" i="7"/>
  <c r="K113" i="7"/>
  <c r="P112" i="7"/>
  <c r="O112" i="7"/>
  <c r="N112" i="7"/>
  <c r="M112" i="7"/>
  <c r="L112" i="7"/>
  <c r="K112" i="7"/>
  <c r="O111" i="7"/>
  <c r="N111" i="7"/>
  <c r="M111" i="7"/>
  <c r="L111" i="7"/>
  <c r="K111" i="7"/>
  <c r="O110" i="7"/>
  <c r="N110" i="7"/>
  <c r="M110" i="7"/>
  <c r="L110" i="7"/>
  <c r="K110" i="7"/>
  <c r="P109" i="7"/>
  <c r="O109" i="7"/>
  <c r="N109" i="7"/>
  <c r="M109" i="7"/>
  <c r="L109" i="7"/>
  <c r="K109" i="7"/>
  <c r="P108" i="7"/>
  <c r="O108" i="7"/>
  <c r="N108" i="7"/>
  <c r="M108" i="7"/>
  <c r="L108" i="7"/>
  <c r="K108" i="7"/>
  <c r="O107" i="7"/>
  <c r="N107" i="7"/>
  <c r="M107" i="7"/>
  <c r="L107" i="7"/>
  <c r="K107" i="7"/>
  <c r="O106" i="7"/>
  <c r="N106" i="7"/>
  <c r="M106" i="7"/>
  <c r="L106" i="7"/>
  <c r="K106" i="7"/>
  <c r="F110" i="7"/>
  <c r="E110" i="7"/>
  <c r="D110" i="7"/>
  <c r="C110" i="7"/>
  <c r="B110" i="7"/>
  <c r="F109" i="7"/>
  <c r="G106" i="7" s="1"/>
  <c r="E109" i="7"/>
  <c r="D109" i="7"/>
  <c r="C109" i="7"/>
  <c r="B109" i="7"/>
  <c r="G108" i="7"/>
  <c r="F108" i="7"/>
  <c r="E108" i="7"/>
  <c r="D108" i="7"/>
  <c r="C108" i="7"/>
  <c r="B108" i="7"/>
  <c r="G107" i="7"/>
  <c r="F107" i="7"/>
  <c r="E107" i="7"/>
  <c r="D107" i="7"/>
  <c r="C107" i="7"/>
  <c r="B107" i="7"/>
  <c r="F106" i="7"/>
  <c r="E106" i="7"/>
  <c r="D106" i="7"/>
  <c r="C106" i="7"/>
  <c r="B106" i="7"/>
  <c r="P97" i="7"/>
  <c r="O97" i="7"/>
  <c r="K96" i="7"/>
  <c r="Q95" i="7"/>
  <c r="P95" i="7"/>
  <c r="O95" i="7"/>
  <c r="L95" i="7"/>
  <c r="K95" i="7"/>
  <c r="Q93" i="7"/>
  <c r="P93" i="7"/>
  <c r="O93" i="7"/>
  <c r="M93" i="7"/>
  <c r="L93" i="7"/>
  <c r="K93" i="7"/>
  <c r="Q92" i="7"/>
  <c r="P92" i="7"/>
  <c r="O92" i="7"/>
  <c r="M92" i="7"/>
  <c r="L92" i="7"/>
  <c r="K92" i="7"/>
  <c r="Q91" i="7"/>
  <c r="P91" i="7"/>
  <c r="O91" i="7"/>
  <c r="M91" i="7"/>
  <c r="L91" i="7"/>
  <c r="K91" i="7"/>
  <c r="Q90" i="7"/>
  <c r="P90" i="7"/>
  <c r="O90" i="7"/>
  <c r="M90" i="7"/>
  <c r="L90" i="7"/>
  <c r="K90" i="7"/>
  <c r="E97" i="7"/>
  <c r="D97" i="7"/>
  <c r="C97" i="7"/>
  <c r="B97" i="7"/>
  <c r="F96" i="7"/>
  <c r="E96" i="7"/>
  <c r="D96" i="7"/>
  <c r="C96" i="7"/>
  <c r="B96" i="7"/>
  <c r="H95" i="7"/>
  <c r="G95" i="7"/>
  <c r="F95" i="7"/>
  <c r="E95" i="7"/>
  <c r="D95" i="7"/>
  <c r="C95" i="7"/>
  <c r="B95" i="7"/>
  <c r="H93" i="7"/>
  <c r="G93" i="7"/>
  <c r="F93" i="7"/>
  <c r="E93" i="7"/>
  <c r="D93" i="7"/>
  <c r="C93" i="7"/>
  <c r="B93" i="7"/>
  <c r="H92" i="7"/>
  <c r="G92" i="7"/>
  <c r="F92" i="7"/>
  <c r="E92" i="7"/>
  <c r="D92" i="7"/>
  <c r="C92" i="7"/>
  <c r="B92" i="7"/>
  <c r="H91" i="7"/>
  <c r="G91" i="7"/>
  <c r="F91" i="7"/>
  <c r="E91" i="7"/>
  <c r="D91" i="7"/>
  <c r="C91" i="7"/>
  <c r="B91" i="7"/>
  <c r="H90" i="7"/>
  <c r="G90" i="7"/>
  <c r="F90" i="7"/>
  <c r="E90" i="7"/>
  <c r="D90" i="7"/>
  <c r="C90" i="7"/>
  <c r="B90" i="7"/>
  <c r="L60" i="7"/>
  <c r="L59" i="7"/>
  <c r="L58" i="7"/>
  <c r="N50" i="7"/>
  <c r="N49" i="7"/>
  <c r="N48" i="7"/>
  <c r="N47" i="7"/>
  <c r="Q50" i="7"/>
  <c r="P50" i="7"/>
  <c r="O50" i="7"/>
  <c r="Q49" i="7"/>
  <c r="P49" i="7"/>
  <c r="O49" i="7"/>
  <c r="Q48" i="7"/>
  <c r="P48" i="7"/>
  <c r="O48" i="7"/>
  <c r="Q47" i="7"/>
  <c r="P47" i="7"/>
  <c r="O47" i="7"/>
  <c r="H78" i="7"/>
  <c r="G78" i="7"/>
  <c r="F78" i="7"/>
  <c r="E78" i="7"/>
  <c r="D78" i="7"/>
  <c r="C78" i="7"/>
  <c r="U442" i="5"/>
  <c r="U441" i="5"/>
  <c r="U440" i="5"/>
  <c r="U439" i="5"/>
  <c r="U438" i="5"/>
  <c r="U437" i="5"/>
  <c r="U436" i="5"/>
  <c r="U435" i="5"/>
  <c r="U434" i="5"/>
  <c r="U433" i="5"/>
  <c r="U432" i="5"/>
  <c r="U431" i="5"/>
  <c r="U430" i="5"/>
  <c r="U429" i="5"/>
  <c r="U428" i="5"/>
  <c r="U427" i="5"/>
  <c r="U426" i="5"/>
  <c r="U425" i="5"/>
  <c r="U424" i="5"/>
  <c r="U423" i="5"/>
  <c r="U422" i="5"/>
  <c r="U421" i="5"/>
  <c r="U420" i="5"/>
  <c r="U419" i="5"/>
  <c r="U418" i="5"/>
  <c r="U417" i="5"/>
  <c r="U416" i="5"/>
  <c r="U415" i="5"/>
  <c r="U414" i="5"/>
  <c r="U413" i="5"/>
  <c r="U412" i="5"/>
  <c r="U411" i="5"/>
  <c r="U410" i="5"/>
  <c r="U409" i="5"/>
  <c r="U408" i="5"/>
  <c r="U407" i="5"/>
  <c r="U406" i="5"/>
  <c r="U405" i="5"/>
  <c r="U404" i="5"/>
  <c r="U403" i="5"/>
  <c r="U402" i="5"/>
  <c r="U401" i="5"/>
  <c r="U400" i="5"/>
  <c r="U399" i="5"/>
  <c r="U398" i="5"/>
  <c r="U397" i="5"/>
  <c r="U396" i="5"/>
  <c r="U395" i="5"/>
  <c r="U394" i="5"/>
  <c r="U393" i="5"/>
  <c r="U392" i="5"/>
  <c r="U391" i="5"/>
  <c r="U390" i="5"/>
  <c r="U389" i="5"/>
  <c r="U388" i="5"/>
  <c r="U387" i="5"/>
  <c r="U386" i="5"/>
  <c r="U385" i="5"/>
  <c r="U384" i="5"/>
  <c r="U383" i="5"/>
  <c r="U382" i="5"/>
  <c r="U381" i="5"/>
  <c r="U380" i="5"/>
  <c r="U379" i="5"/>
  <c r="U378" i="5"/>
  <c r="U377" i="5"/>
  <c r="U376" i="5"/>
  <c r="U375" i="5"/>
  <c r="U374" i="5"/>
  <c r="U373" i="5"/>
  <c r="U372" i="5"/>
  <c r="U371" i="5"/>
  <c r="U370" i="5"/>
  <c r="U369" i="5"/>
  <c r="U368" i="5"/>
  <c r="U367" i="5"/>
  <c r="U366" i="5"/>
  <c r="U365" i="5"/>
  <c r="U364" i="5"/>
  <c r="U363" i="5"/>
  <c r="U362" i="5"/>
  <c r="U361" i="5"/>
  <c r="U360" i="5"/>
  <c r="U359" i="5"/>
  <c r="U358" i="5"/>
  <c r="U357" i="5"/>
  <c r="U356" i="5"/>
  <c r="U355" i="5"/>
  <c r="U354" i="5"/>
  <c r="U353" i="5"/>
  <c r="U352" i="5"/>
  <c r="U351" i="5"/>
  <c r="U350" i="5"/>
  <c r="U349" i="5"/>
  <c r="U348" i="5"/>
  <c r="U347" i="5"/>
  <c r="U346" i="5"/>
  <c r="U345" i="5"/>
  <c r="U344" i="5"/>
  <c r="U343" i="5"/>
  <c r="U342" i="5"/>
  <c r="U341" i="5"/>
  <c r="U340" i="5"/>
  <c r="U339" i="5"/>
  <c r="U338" i="5"/>
  <c r="U337" i="5"/>
  <c r="U336" i="5"/>
  <c r="U335" i="5"/>
  <c r="U334" i="5"/>
  <c r="U333" i="5"/>
  <c r="U332" i="5"/>
  <c r="U331" i="5"/>
  <c r="U330" i="5"/>
  <c r="U329" i="5"/>
  <c r="U328" i="5"/>
  <c r="U327" i="5"/>
  <c r="U326" i="5"/>
  <c r="U325" i="5"/>
  <c r="U324" i="5"/>
  <c r="U323" i="5"/>
  <c r="U322" i="5"/>
  <c r="U321" i="5"/>
  <c r="U320" i="5"/>
  <c r="U319" i="5"/>
  <c r="U318" i="5"/>
  <c r="U317" i="5"/>
  <c r="U316" i="5"/>
  <c r="U315" i="5"/>
  <c r="U314" i="5"/>
  <c r="U313" i="5"/>
  <c r="U312" i="5"/>
  <c r="U311" i="5"/>
  <c r="U310" i="5"/>
  <c r="U309" i="5"/>
  <c r="U308" i="5"/>
  <c r="U307" i="5"/>
  <c r="U306" i="5"/>
  <c r="U305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U3" i="5"/>
  <c r="L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M16" i="7"/>
  <c r="M15" i="7"/>
  <c r="M14" i="7"/>
  <c r="M13" i="7"/>
  <c r="M12" i="7"/>
  <c r="M11" i="7"/>
  <c r="M10" i="7"/>
  <c r="L16" i="7"/>
  <c r="L15" i="7"/>
  <c r="L14" i="7"/>
  <c r="L13" i="7"/>
  <c r="L12" i="7"/>
  <c r="L11" i="7"/>
  <c r="L10" i="7"/>
  <c r="B64" i="7"/>
  <c r="B63" i="7"/>
  <c r="B62" i="7"/>
  <c r="B61" i="7"/>
  <c r="B60" i="7"/>
  <c r="B59" i="7"/>
  <c r="B58" i="7"/>
  <c r="G50" i="7"/>
  <c r="F50" i="7"/>
  <c r="E50" i="7"/>
  <c r="D50" i="7"/>
  <c r="B50" i="7"/>
  <c r="G49" i="7"/>
  <c r="F49" i="7"/>
  <c r="E49" i="7"/>
  <c r="D49" i="7"/>
  <c r="B49" i="7"/>
  <c r="G48" i="7"/>
  <c r="F48" i="7"/>
  <c r="E48" i="7"/>
  <c r="D48" i="7"/>
  <c r="B48" i="7"/>
  <c r="G47" i="7"/>
  <c r="F47" i="7"/>
  <c r="E47" i="7"/>
  <c r="D47" i="7"/>
  <c r="B47" i="7"/>
  <c r="G46" i="7"/>
  <c r="F46" i="7"/>
  <c r="E46" i="7"/>
  <c r="D46" i="7"/>
  <c r="B46" i="7"/>
  <c r="G45" i="7"/>
  <c r="F45" i="7"/>
  <c r="E45" i="7"/>
  <c r="D45" i="7"/>
  <c r="B45" i="7"/>
  <c r="P44" i="7"/>
  <c r="O44" i="7"/>
  <c r="M44" i="7"/>
  <c r="L44" i="7"/>
  <c r="K44" i="7"/>
  <c r="J44" i="7"/>
  <c r="Q44" i="7" s="1"/>
  <c r="G44" i="7"/>
  <c r="F44" i="7"/>
  <c r="E44" i="7"/>
  <c r="D44" i="7"/>
  <c r="B44" i="7"/>
  <c r="P43" i="7"/>
  <c r="O43" i="7"/>
  <c r="M43" i="7"/>
  <c r="L43" i="7"/>
  <c r="K43" i="7"/>
  <c r="J43" i="7"/>
  <c r="Q43" i="7" s="1"/>
  <c r="G43" i="7"/>
  <c r="F43" i="7"/>
  <c r="E43" i="7"/>
  <c r="D43" i="7"/>
  <c r="B43" i="7"/>
  <c r="P42" i="7"/>
  <c r="O42" i="7"/>
  <c r="M42" i="7"/>
  <c r="L42" i="7"/>
  <c r="K42" i="7"/>
  <c r="J42" i="7"/>
  <c r="Q42" i="7" s="1"/>
  <c r="G42" i="7"/>
  <c r="F42" i="7"/>
  <c r="E42" i="7"/>
  <c r="D42" i="7"/>
  <c r="B42" i="7"/>
  <c r="P41" i="7"/>
  <c r="O41" i="7"/>
  <c r="M41" i="7"/>
  <c r="L41" i="7"/>
  <c r="K41" i="7"/>
  <c r="J41" i="7"/>
  <c r="G41" i="7"/>
  <c r="F41" i="7"/>
  <c r="E41" i="7"/>
  <c r="D41" i="7"/>
  <c r="B41" i="7"/>
  <c r="Q33" i="7"/>
  <c r="P33" i="7"/>
  <c r="N33" i="7"/>
  <c r="M33" i="7"/>
  <c r="K33" i="7"/>
  <c r="J33" i="7"/>
  <c r="I33" i="7"/>
  <c r="H33" i="7"/>
  <c r="F33" i="7"/>
  <c r="E33" i="7"/>
  <c r="D33" i="7"/>
  <c r="C33" i="7"/>
  <c r="Q32" i="7"/>
  <c r="P32" i="7"/>
  <c r="N32" i="7"/>
  <c r="M32" i="7"/>
  <c r="K32" i="7"/>
  <c r="J32" i="7"/>
  <c r="I32" i="7"/>
  <c r="H32" i="7"/>
  <c r="F32" i="7"/>
  <c r="E32" i="7"/>
  <c r="D32" i="7"/>
  <c r="C32" i="7"/>
  <c r="Q31" i="7"/>
  <c r="P31" i="7"/>
  <c r="N31" i="7"/>
  <c r="M31" i="7"/>
  <c r="K31" i="7"/>
  <c r="J31" i="7"/>
  <c r="I31" i="7"/>
  <c r="H31" i="7"/>
  <c r="F31" i="7"/>
  <c r="E31" i="7"/>
  <c r="D31" i="7"/>
  <c r="C31" i="7"/>
  <c r="Q30" i="7"/>
  <c r="P30" i="7"/>
  <c r="N30" i="7"/>
  <c r="M30" i="7"/>
  <c r="K30" i="7"/>
  <c r="J30" i="7"/>
  <c r="I30" i="7"/>
  <c r="H30" i="7"/>
  <c r="F30" i="7"/>
  <c r="E30" i="7"/>
  <c r="D30" i="7"/>
  <c r="C30" i="7"/>
  <c r="Q29" i="7"/>
  <c r="P29" i="7"/>
  <c r="N29" i="7"/>
  <c r="M29" i="7"/>
  <c r="K29" i="7"/>
  <c r="J29" i="7"/>
  <c r="I29" i="7"/>
  <c r="H29" i="7"/>
  <c r="F29" i="7"/>
  <c r="E29" i="7"/>
  <c r="D29" i="7"/>
  <c r="C29" i="7"/>
  <c r="Q28" i="7"/>
  <c r="P28" i="7"/>
  <c r="N28" i="7"/>
  <c r="M28" i="7"/>
  <c r="K28" i="7"/>
  <c r="J28" i="7"/>
  <c r="I28" i="7"/>
  <c r="H28" i="7"/>
  <c r="F28" i="7"/>
  <c r="E28" i="7"/>
  <c r="D28" i="7"/>
  <c r="C28" i="7"/>
  <c r="Q27" i="7"/>
  <c r="P27" i="7"/>
  <c r="N27" i="7"/>
  <c r="M27" i="7"/>
  <c r="K27" i="7"/>
  <c r="J27" i="7"/>
  <c r="I27" i="7"/>
  <c r="H27" i="7"/>
  <c r="F27" i="7"/>
  <c r="E27" i="7"/>
  <c r="D27" i="7"/>
  <c r="C27" i="7"/>
  <c r="K16" i="7"/>
  <c r="J16" i="7"/>
  <c r="I16" i="7"/>
  <c r="H16" i="7"/>
  <c r="G16" i="7"/>
  <c r="F16" i="7"/>
  <c r="E16" i="7"/>
  <c r="D16" i="7"/>
  <c r="C16" i="7"/>
  <c r="K15" i="7"/>
  <c r="J15" i="7"/>
  <c r="I15" i="7"/>
  <c r="H15" i="7"/>
  <c r="G15" i="7"/>
  <c r="F15" i="7"/>
  <c r="E15" i="7"/>
  <c r="D15" i="7"/>
  <c r="C15" i="7"/>
  <c r="K14" i="7"/>
  <c r="J14" i="7"/>
  <c r="I14" i="7"/>
  <c r="H14" i="7"/>
  <c r="G14" i="7"/>
  <c r="F14" i="7"/>
  <c r="E14" i="7"/>
  <c r="D14" i="7"/>
  <c r="C14" i="7"/>
  <c r="K13" i="7"/>
  <c r="J13" i="7"/>
  <c r="I13" i="7"/>
  <c r="H13" i="7"/>
  <c r="G13" i="7"/>
  <c r="F13" i="7"/>
  <c r="E13" i="7"/>
  <c r="D13" i="7"/>
  <c r="C13" i="7"/>
  <c r="K12" i="7"/>
  <c r="J12" i="7"/>
  <c r="I12" i="7"/>
  <c r="H12" i="7"/>
  <c r="G12" i="7"/>
  <c r="F12" i="7"/>
  <c r="E12" i="7"/>
  <c r="D12" i="7"/>
  <c r="C12" i="7"/>
  <c r="K11" i="7"/>
  <c r="J11" i="7"/>
  <c r="I11" i="7"/>
  <c r="H11" i="7"/>
  <c r="G11" i="7"/>
  <c r="F11" i="7"/>
  <c r="E11" i="7"/>
  <c r="D11" i="7"/>
  <c r="C11" i="7"/>
  <c r="K10" i="7"/>
  <c r="J10" i="7"/>
  <c r="I10" i="7"/>
  <c r="H10" i="7"/>
  <c r="G10" i="7"/>
  <c r="F10" i="7"/>
  <c r="E10" i="7"/>
  <c r="D10" i="7"/>
  <c r="C10" i="7"/>
  <c r="T5000" i="6"/>
  <c r="T4999" i="6"/>
  <c r="T4998" i="6"/>
  <c r="T4997" i="6"/>
  <c r="T4996" i="6"/>
  <c r="T4995" i="6"/>
  <c r="T4994" i="6"/>
  <c r="T4993" i="6"/>
  <c r="T4992" i="6"/>
  <c r="T4991" i="6"/>
  <c r="T4990" i="6"/>
  <c r="T4989" i="6"/>
  <c r="T4988" i="6"/>
  <c r="T4987" i="6"/>
  <c r="T4986" i="6"/>
  <c r="T4985" i="6"/>
  <c r="T4984" i="6"/>
  <c r="T4983" i="6"/>
  <c r="T4982" i="6"/>
  <c r="T4981" i="6"/>
  <c r="T4980" i="6"/>
  <c r="T4979" i="6"/>
  <c r="T4978" i="6"/>
  <c r="T4977" i="6"/>
  <c r="T4976" i="6"/>
  <c r="T4975" i="6"/>
  <c r="T4974" i="6"/>
  <c r="T4973" i="6"/>
  <c r="T4972" i="6"/>
  <c r="T4971" i="6"/>
  <c r="T4970" i="6"/>
  <c r="T4969" i="6"/>
  <c r="T4968" i="6"/>
  <c r="T4967" i="6"/>
  <c r="T4966" i="6"/>
  <c r="T4965" i="6"/>
  <c r="T4964" i="6"/>
  <c r="T4963" i="6"/>
  <c r="T4962" i="6"/>
  <c r="T4961" i="6"/>
  <c r="T4960" i="6"/>
  <c r="T4959" i="6"/>
  <c r="T4958" i="6"/>
  <c r="T4957" i="6"/>
  <c r="T4956" i="6"/>
  <c r="T4955" i="6"/>
  <c r="T4954" i="6"/>
  <c r="T4953" i="6"/>
  <c r="T4952" i="6"/>
  <c r="T4951" i="6"/>
  <c r="T4950" i="6"/>
  <c r="T4949" i="6"/>
  <c r="T4948" i="6"/>
  <c r="T4947" i="6"/>
  <c r="T4946" i="6"/>
  <c r="T4945" i="6"/>
  <c r="T4944" i="6"/>
  <c r="T4943" i="6"/>
  <c r="T4942" i="6"/>
  <c r="T4941" i="6"/>
  <c r="T4940" i="6"/>
  <c r="T4939" i="6"/>
  <c r="T4938" i="6"/>
  <c r="T4937" i="6"/>
  <c r="T4936" i="6"/>
  <c r="T4935" i="6"/>
  <c r="T4934" i="6"/>
  <c r="T4933" i="6"/>
  <c r="T4932" i="6"/>
  <c r="T4931" i="6"/>
  <c r="T4930" i="6"/>
  <c r="T4929" i="6"/>
  <c r="T4928" i="6"/>
  <c r="T4927" i="6"/>
  <c r="T4926" i="6"/>
  <c r="T4925" i="6"/>
  <c r="T4924" i="6"/>
  <c r="T4923" i="6"/>
  <c r="T4922" i="6"/>
  <c r="T4921" i="6"/>
  <c r="T4920" i="6"/>
  <c r="T4919" i="6"/>
  <c r="T4918" i="6"/>
  <c r="T4917" i="6"/>
  <c r="T4916" i="6"/>
  <c r="T4915" i="6"/>
  <c r="T4914" i="6"/>
  <c r="T4913" i="6"/>
  <c r="T4912" i="6"/>
  <c r="T4911" i="6"/>
  <c r="T4910" i="6"/>
  <c r="T4909" i="6"/>
  <c r="T4908" i="6"/>
  <c r="T4907" i="6"/>
  <c r="T4906" i="6"/>
  <c r="T4905" i="6"/>
  <c r="T4904" i="6"/>
  <c r="T4903" i="6"/>
  <c r="T4902" i="6"/>
  <c r="T4901" i="6"/>
  <c r="T4900" i="6"/>
  <c r="T4899" i="6"/>
  <c r="T4898" i="6"/>
  <c r="T4897" i="6"/>
  <c r="T4896" i="6"/>
  <c r="T4895" i="6"/>
  <c r="T4894" i="6"/>
  <c r="T4893" i="6"/>
  <c r="T4892" i="6"/>
  <c r="T4891" i="6"/>
  <c r="T4890" i="6"/>
  <c r="T4889" i="6"/>
  <c r="T4888" i="6"/>
  <c r="T4887" i="6"/>
  <c r="T4886" i="6"/>
  <c r="T4885" i="6"/>
  <c r="T4884" i="6"/>
  <c r="T4883" i="6"/>
  <c r="T4882" i="6"/>
  <c r="T4881" i="6"/>
  <c r="T4880" i="6"/>
  <c r="T4879" i="6"/>
  <c r="T4878" i="6"/>
  <c r="T4877" i="6"/>
  <c r="T4876" i="6"/>
  <c r="T4875" i="6"/>
  <c r="T4874" i="6"/>
  <c r="T4873" i="6"/>
  <c r="T4872" i="6"/>
  <c r="T4871" i="6"/>
  <c r="T4870" i="6"/>
  <c r="T4869" i="6"/>
  <c r="T4868" i="6"/>
  <c r="T4867" i="6"/>
  <c r="T4866" i="6"/>
  <c r="T4865" i="6"/>
  <c r="T4864" i="6"/>
  <c r="T4863" i="6"/>
  <c r="T4862" i="6"/>
  <c r="T4861" i="6"/>
  <c r="T4860" i="6"/>
  <c r="T4859" i="6"/>
  <c r="T4858" i="6"/>
  <c r="T4857" i="6"/>
  <c r="T4856" i="6"/>
  <c r="T4855" i="6"/>
  <c r="T4854" i="6"/>
  <c r="T4853" i="6"/>
  <c r="T4852" i="6"/>
  <c r="T4851" i="6"/>
  <c r="T4850" i="6"/>
  <c r="T4849" i="6"/>
  <c r="T4848" i="6"/>
  <c r="T4847" i="6"/>
  <c r="T4846" i="6"/>
  <c r="T4845" i="6"/>
  <c r="T4844" i="6"/>
  <c r="T4843" i="6"/>
  <c r="T4842" i="6"/>
  <c r="T4841" i="6"/>
  <c r="T4840" i="6"/>
  <c r="T4839" i="6"/>
  <c r="T4838" i="6"/>
  <c r="T4837" i="6"/>
  <c r="T4836" i="6"/>
  <c r="T4835" i="6"/>
  <c r="T4834" i="6"/>
  <c r="T4833" i="6"/>
  <c r="T4832" i="6"/>
  <c r="T4831" i="6"/>
  <c r="T4830" i="6"/>
  <c r="T4829" i="6"/>
  <c r="T4828" i="6"/>
  <c r="T4827" i="6"/>
  <c r="T4826" i="6"/>
  <c r="T4825" i="6"/>
  <c r="T4824" i="6"/>
  <c r="T4823" i="6"/>
  <c r="T4822" i="6"/>
  <c r="T4821" i="6"/>
  <c r="T4820" i="6"/>
  <c r="T4819" i="6"/>
  <c r="T4818" i="6"/>
  <c r="T4817" i="6"/>
  <c r="T4816" i="6"/>
  <c r="T4815" i="6"/>
  <c r="T4814" i="6"/>
  <c r="T4813" i="6"/>
  <c r="T4812" i="6"/>
  <c r="T4811" i="6"/>
  <c r="T4810" i="6"/>
  <c r="T4809" i="6"/>
  <c r="T4808" i="6"/>
  <c r="T4807" i="6"/>
  <c r="T4806" i="6"/>
  <c r="T4805" i="6"/>
  <c r="T4804" i="6"/>
  <c r="T4803" i="6"/>
  <c r="T4802" i="6"/>
  <c r="T4801" i="6"/>
  <c r="T4800" i="6"/>
  <c r="T4799" i="6"/>
  <c r="T4798" i="6"/>
  <c r="T4797" i="6"/>
  <c r="T4796" i="6"/>
  <c r="T4795" i="6"/>
  <c r="T4794" i="6"/>
  <c r="T4793" i="6"/>
  <c r="T4792" i="6"/>
  <c r="T4791" i="6"/>
  <c r="T4790" i="6"/>
  <c r="T4789" i="6"/>
  <c r="T4788" i="6"/>
  <c r="T4787" i="6"/>
  <c r="T4786" i="6"/>
  <c r="T4785" i="6"/>
  <c r="T4784" i="6"/>
  <c r="T4783" i="6"/>
  <c r="T4782" i="6"/>
  <c r="T4781" i="6"/>
  <c r="T4780" i="6"/>
  <c r="T4779" i="6"/>
  <c r="T4778" i="6"/>
  <c r="T4777" i="6"/>
  <c r="T4776" i="6"/>
  <c r="T4775" i="6"/>
  <c r="T4774" i="6"/>
  <c r="T4773" i="6"/>
  <c r="T4772" i="6"/>
  <c r="T4771" i="6"/>
  <c r="T4770" i="6"/>
  <c r="T4769" i="6"/>
  <c r="T4768" i="6"/>
  <c r="T4767" i="6"/>
  <c r="T4766" i="6"/>
  <c r="T4765" i="6"/>
  <c r="T4764" i="6"/>
  <c r="T4763" i="6"/>
  <c r="T4762" i="6"/>
  <c r="T4761" i="6"/>
  <c r="T4760" i="6"/>
  <c r="T4759" i="6"/>
  <c r="T4758" i="6"/>
  <c r="T4757" i="6"/>
  <c r="T4756" i="6"/>
  <c r="T4755" i="6"/>
  <c r="T4754" i="6"/>
  <c r="T4753" i="6"/>
  <c r="T4752" i="6"/>
  <c r="T4751" i="6"/>
  <c r="T4750" i="6"/>
  <c r="T4749" i="6"/>
  <c r="T4748" i="6"/>
  <c r="T4747" i="6"/>
  <c r="T4746" i="6"/>
  <c r="T4745" i="6"/>
  <c r="T4744" i="6"/>
  <c r="T4743" i="6"/>
  <c r="T4742" i="6"/>
  <c r="T4741" i="6"/>
  <c r="T4740" i="6"/>
  <c r="T4739" i="6"/>
  <c r="T4738" i="6"/>
  <c r="T4737" i="6"/>
  <c r="T4736" i="6"/>
  <c r="T4735" i="6"/>
  <c r="T4734" i="6"/>
  <c r="T4733" i="6"/>
  <c r="T4732" i="6"/>
  <c r="T4731" i="6"/>
  <c r="T4730" i="6"/>
  <c r="T4729" i="6"/>
  <c r="T4728" i="6"/>
  <c r="T4727" i="6"/>
  <c r="T4726" i="6"/>
  <c r="T4725" i="6"/>
  <c r="T4724" i="6"/>
  <c r="T4723" i="6"/>
  <c r="T4722" i="6"/>
  <c r="T4721" i="6"/>
  <c r="T4720" i="6"/>
  <c r="T4719" i="6"/>
  <c r="T4718" i="6"/>
  <c r="T4717" i="6"/>
  <c r="T4716" i="6"/>
  <c r="T4715" i="6"/>
  <c r="T4714" i="6"/>
  <c r="T4713" i="6"/>
  <c r="T4712" i="6"/>
  <c r="T4711" i="6"/>
  <c r="T4710" i="6"/>
  <c r="T4709" i="6"/>
  <c r="T4708" i="6"/>
  <c r="T4707" i="6"/>
  <c r="T4706" i="6"/>
  <c r="T4705" i="6"/>
  <c r="T4704" i="6"/>
  <c r="T4703" i="6"/>
  <c r="T4702" i="6"/>
  <c r="T4701" i="6"/>
  <c r="T4700" i="6"/>
  <c r="T4699" i="6"/>
  <c r="T4698" i="6"/>
  <c r="T4697" i="6"/>
  <c r="T4696" i="6"/>
  <c r="T4695" i="6"/>
  <c r="T4694" i="6"/>
  <c r="T4693" i="6"/>
  <c r="T4692" i="6"/>
  <c r="T4691" i="6"/>
  <c r="T4690" i="6"/>
  <c r="T4689" i="6"/>
  <c r="T4688" i="6"/>
  <c r="T4687" i="6"/>
  <c r="T4686" i="6"/>
  <c r="T4685" i="6"/>
  <c r="T4684" i="6"/>
  <c r="T4683" i="6"/>
  <c r="T4682" i="6"/>
  <c r="T4681" i="6"/>
  <c r="T4680" i="6"/>
  <c r="T4679" i="6"/>
  <c r="T4678" i="6"/>
  <c r="T4677" i="6"/>
  <c r="T4676" i="6"/>
  <c r="T4675" i="6"/>
  <c r="T4674" i="6"/>
  <c r="T4673" i="6"/>
  <c r="T4672" i="6"/>
  <c r="T4671" i="6"/>
  <c r="T4670" i="6"/>
  <c r="T4669" i="6"/>
  <c r="T4668" i="6"/>
  <c r="T4667" i="6"/>
  <c r="T4666" i="6"/>
  <c r="T4665" i="6"/>
  <c r="T4664" i="6"/>
  <c r="T4663" i="6"/>
  <c r="T4662" i="6"/>
  <c r="T4661" i="6"/>
  <c r="T4660" i="6"/>
  <c r="T4659" i="6"/>
  <c r="T4658" i="6"/>
  <c r="T4657" i="6"/>
  <c r="T4656" i="6"/>
  <c r="T4655" i="6"/>
  <c r="T4654" i="6"/>
  <c r="T4653" i="6"/>
  <c r="T4652" i="6"/>
  <c r="T4651" i="6"/>
  <c r="T4650" i="6"/>
  <c r="T4649" i="6"/>
  <c r="T4648" i="6"/>
  <c r="T4647" i="6"/>
  <c r="T4646" i="6"/>
  <c r="T4645" i="6"/>
  <c r="T4644" i="6"/>
  <c r="T4643" i="6"/>
  <c r="T4642" i="6"/>
  <c r="T4641" i="6"/>
  <c r="T4640" i="6"/>
  <c r="T4639" i="6"/>
  <c r="T4638" i="6"/>
  <c r="T4637" i="6"/>
  <c r="T4636" i="6"/>
  <c r="T4635" i="6"/>
  <c r="T4634" i="6"/>
  <c r="T4633" i="6"/>
  <c r="T4632" i="6"/>
  <c r="T4631" i="6"/>
  <c r="T4630" i="6"/>
  <c r="T4629" i="6"/>
  <c r="T4628" i="6"/>
  <c r="T4627" i="6"/>
  <c r="T4626" i="6"/>
  <c r="T4625" i="6"/>
  <c r="T4624" i="6"/>
  <c r="T4623" i="6"/>
  <c r="T4622" i="6"/>
  <c r="T4621" i="6"/>
  <c r="T4620" i="6"/>
  <c r="T4619" i="6"/>
  <c r="T4618" i="6"/>
  <c r="T4617" i="6"/>
  <c r="T4616" i="6"/>
  <c r="T4615" i="6"/>
  <c r="T4614" i="6"/>
  <c r="T4613" i="6"/>
  <c r="T4612" i="6"/>
  <c r="T4611" i="6"/>
  <c r="T4610" i="6"/>
  <c r="T4609" i="6"/>
  <c r="T4608" i="6"/>
  <c r="T4607" i="6"/>
  <c r="T4606" i="6"/>
  <c r="T4605" i="6"/>
  <c r="T4604" i="6"/>
  <c r="T4603" i="6"/>
  <c r="T4602" i="6"/>
  <c r="T4601" i="6"/>
  <c r="T4600" i="6"/>
  <c r="T4599" i="6"/>
  <c r="T4598" i="6"/>
  <c r="T4597" i="6"/>
  <c r="T4596" i="6"/>
  <c r="T4595" i="6"/>
  <c r="T4594" i="6"/>
  <c r="T4593" i="6"/>
  <c r="T4592" i="6"/>
  <c r="T4591" i="6"/>
  <c r="T4590" i="6"/>
  <c r="T4589" i="6"/>
  <c r="T4588" i="6"/>
  <c r="T4587" i="6"/>
  <c r="T4586" i="6"/>
  <c r="T4585" i="6"/>
  <c r="T4584" i="6"/>
  <c r="T4583" i="6"/>
  <c r="T4582" i="6"/>
  <c r="T4581" i="6"/>
  <c r="T4580" i="6"/>
  <c r="T4579" i="6"/>
  <c r="T4578" i="6"/>
  <c r="T4577" i="6"/>
  <c r="T4576" i="6"/>
  <c r="T4575" i="6"/>
  <c r="T4574" i="6"/>
  <c r="T4573" i="6"/>
  <c r="T4572" i="6"/>
  <c r="T4571" i="6"/>
  <c r="T4570" i="6"/>
  <c r="T4569" i="6"/>
  <c r="T4568" i="6"/>
  <c r="T4567" i="6"/>
  <c r="T4566" i="6"/>
  <c r="T4565" i="6"/>
  <c r="T4564" i="6"/>
  <c r="T4563" i="6"/>
  <c r="T4562" i="6"/>
  <c r="T4561" i="6"/>
  <c r="T4560" i="6"/>
  <c r="T4559" i="6"/>
  <c r="T4558" i="6"/>
  <c r="T4557" i="6"/>
  <c r="T4556" i="6"/>
  <c r="T4555" i="6"/>
  <c r="T4554" i="6"/>
  <c r="T4553" i="6"/>
  <c r="T4552" i="6"/>
  <c r="T4551" i="6"/>
  <c r="T4550" i="6"/>
  <c r="T4549" i="6"/>
  <c r="T4548" i="6"/>
  <c r="T4547" i="6"/>
  <c r="T4546" i="6"/>
  <c r="T4545" i="6"/>
  <c r="T4544" i="6"/>
  <c r="T4543" i="6"/>
  <c r="T4542" i="6"/>
  <c r="T4541" i="6"/>
  <c r="T4540" i="6"/>
  <c r="T4539" i="6"/>
  <c r="T4538" i="6"/>
  <c r="T4537" i="6"/>
  <c r="T4536" i="6"/>
  <c r="T4535" i="6"/>
  <c r="T4534" i="6"/>
  <c r="T4533" i="6"/>
  <c r="T4532" i="6"/>
  <c r="T4531" i="6"/>
  <c r="T4530" i="6"/>
  <c r="T4529" i="6"/>
  <c r="T4528" i="6"/>
  <c r="T4527" i="6"/>
  <c r="T4526" i="6"/>
  <c r="T4525" i="6"/>
  <c r="T4524" i="6"/>
  <c r="T4523" i="6"/>
  <c r="T4522" i="6"/>
  <c r="T4521" i="6"/>
  <c r="T4520" i="6"/>
  <c r="T4519" i="6"/>
  <c r="T4518" i="6"/>
  <c r="T4517" i="6"/>
  <c r="T4516" i="6"/>
  <c r="T4515" i="6"/>
  <c r="T4514" i="6"/>
  <c r="T4513" i="6"/>
  <c r="T4512" i="6"/>
  <c r="T4511" i="6"/>
  <c r="T4510" i="6"/>
  <c r="T4509" i="6"/>
  <c r="T4508" i="6"/>
  <c r="T4507" i="6"/>
  <c r="T4506" i="6"/>
  <c r="T4505" i="6"/>
  <c r="T4504" i="6"/>
  <c r="T4503" i="6"/>
  <c r="T4502" i="6"/>
  <c r="T4501" i="6"/>
  <c r="T4500" i="6"/>
  <c r="T4499" i="6"/>
  <c r="T4498" i="6"/>
  <c r="T4497" i="6"/>
  <c r="T4496" i="6"/>
  <c r="T4495" i="6"/>
  <c r="T4494" i="6"/>
  <c r="T4493" i="6"/>
  <c r="T4492" i="6"/>
  <c r="T4491" i="6"/>
  <c r="T4490" i="6"/>
  <c r="T4489" i="6"/>
  <c r="T4488" i="6"/>
  <c r="T4487" i="6"/>
  <c r="T4486" i="6"/>
  <c r="T4485" i="6"/>
  <c r="T4484" i="6"/>
  <c r="T4483" i="6"/>
  <c r="T4482" i="6"/>
  <c r="T4481" i="6"/>
  <c r="T4480" i="6"/>
  <c r="T4479" i="6"/>
  <c r="T4478" i="6"/>
  <c r="T4477" i="6"/>
  <c r="T4476" i="6"/>
  <c r="T4475" i="6"/>
  <c r="T4474" i="6"/>
  <c r="T4473" i="6"/>
  <c r="T4472" i="6"/>
  <c r="T4471" i="6"/>
  <c r="T4470" i="6"/>
  <c r="T4469" i="6"/>
  <c r="T4468" i="6"/>
  <c r="T4467" i="6"/>
  <c r="T4466" i="6"/>
  <c r="T4465" i="6"/>
  <c r="T4464" i="6"/>
  <c r="T4463" i="6"/>
  <c r="T4462" i="6"/>
  <c r="T4461" i="6"/>
  <c r="T4460" i="6"/>
  <c r="T4459" i="6"/>
  <c r="T4458" i="6"/>
  <c r="T4457" i="6"/>
  <c r="T4456" i="6"/>
  <c r="T4455" i="6"/>
  <c r="T4454" i="6"/>
  <c r="T4453" i="6"/>
  <c r="T4452" i="6"/>
  <c r="T4451" i="6"/>
  <c r="T4450" i="6"/>
  <c r="T4449" i="6"/>
  <c r="T4448" i="6"/>
  <c r="T4447" i="6"/>
  <c r="T4446" i="6"/>
  <c r="T4445" i="6"/>
  <c r="T4444" i="6"/>
  <c r="T4443" i="6"/>
  <c r="T4442" i="6"/>
  <c r="T4441" i="6"/>
  <c r="T4440" i="6"/>
  <c r="T4439" i="6"/>
  <c r="T4438" i="6"/>
  <c r="T4437" i="6"/>
  <c r="T4436" i="6"/>
  <c r="T4435" i="6"/>
  <c r="T4434" i="6"/>
  <c r="T4433" i="6"/>
  <c r="T4432" i="6"/>
  <c r="T4431" i="6"/>
  <c r="T4430" i="6"/>
  <c r="T4429" i="6"/>
  <c r="T4428" i="6"/>
  <c r="T4427" i="6"/>
  <c r="T4426" i="6"/>
  <c r="T4425" i="6"/>
  <c r="T4424" i="6"/>
  <c r="T4423" i="6"/>
  <c r="T4422" i="6"/>
  <c r="T4421" i="6"/>
  <c r="T4420" i="6"/>
  <c r="T4419" i="6"/>
  <c r="T4418" i="6"/>
  <c r="T4417" i="6"/>
  <c r="T4416" i="6"/>
  <c r="T4415" i="6"/>
  <c r="T4414" i="6"/>
  <c r="T4413" i="6"/>
  <c r="T4412" i="6"/>
  <c r="T4411" i="6"/>
  <c r="T4410" i="6"/>
  <c r="T4409" i="6"/>
  <c r="T4408" i="6"/>
  <c r="T4407" i="6"/>
  <c r="T4406" i="6"/>
  <c r="T4405" i="6"/>
  <c r="T4404" i="6"/>
  <c r="T4403" i="6"/>
  <c r="T4402" i="6"/>
  <c r="T4401" i="6"/>
  <c r="T4400" i="6"/>
  <c r="T4399" i="6"/>
  <c r="T4398" i="6"/>
  <c r="T4397" i="6"/>
  <c r="T4396" i="6"/>
  <c r="T4395" i="6"/>
  <c r="T4394" i="6"/>
  <c r="T4393" i="6"/>
  <c r="T4392" i="6"/>
  <c r="T4391" i="6"/>
  <c r="T4390" i="6"/>
  <c r="T4389" i="6"/>
  <c r="T4388" i="6"/>
  <c r="T4387" i="6"/>
  <c r="T4386" i="6"/>
  <c r="T4385" i="6"/>
  <c r="T4384" i="6"/>
  <c r="T4383" i="6"/>
  <c r="T4382" i="6"/>
  <c r="T4381" i="6"/>
  <c r="T4380" i="6"/>
  <c r="T4379" i="6"/>
  <c r="T4378" i="6"/>
  <c r="T4377" i="6"/>
  <c r="T4376" i="6"/>
  <c r="T4375" i="6"/>
  <c r="T4374" i="6"/>
  <c r="T4373" i="6"/>
  <c r="T4372" i="6"/>
  <c r="T4371" i="6"/>
  <c r="T4370" i="6"/>
  <c r="T4369" i="6"/>
  <c r="T4368" i="6"/>
  <c r="T4367" i="6"/>
  <c r="T4366" i="6"/>
  <c r="T4365" i="6"/>
  <c r="T4364" i="6"/>
  <c r="T4363" i="6"/>
  <c r="T4362" i="6"/>
  <c r="T4361" i="6"/>
  <c r="T4360" i="6"/>
  <c r="T4359" i="6"/>
  <c r="T4358" i="6"/>
  <c r="T4357" i="6"/>
  <c r="T4356" i="6"/>
  <c r="T4355" i="6"/>
  <c r="T4354" i="6"/>
  <c r="T4353" i="6"/>
  <c r="T4352" i="6"/>
  <c r="T4351" i="6"/>
  <c r="T4350" i="6"/>
  <c r="T4349" i="6"/>
  <c r="T4348" i="6"/>
  <c r="T4347" i="6"/>
  <c r="T4346" i="6"/>
  <c r="T4345" i="6"/>
  <c r="T4344" i="6"/>
  <c r="T4343" i="6"/>
  <c r="T4342" i="6"/>
  <c r="T4341" i="6"/>
  <c r="T4340" i="6"/>
  <c r="T4339" i="6"/>
  <c r="T4338" i="6"/>
  <c r="T4337" i="6"/>
  <c r="T4336" i="6"/>
  <c r="T4335" i="6"/>
  <c r="T4334" i="6"/>
  <c r="T4333" i="6"/>
  <c r="T4332" i="6"/>
  <c r="T4331" i="6"/>
  <c r="T4330" i="6"/>
  <c r="T4329" i="6"/>
  <c r="T4328" i="6"/>
  <c r="T4327" i="6"/>
  <c r="T4326" i="6"/>
  <c r="T4325" i="6"/>
  <c r="T4324" i="6"/>
  <c r="T4323" i="6"/>
  <c r="T4322" i="6"/>
  <c r="T4321" i="6"/>
  <c r="T4320" i="6"/>
  <c r="T4319" i="6"/>
  <c r="T4318" i="6"/>
  <c r="T4317" i="6"/>
  <c r="T4316" i="6"/>
  <c r="T4315" i="6"/>
  <c r="T4314" i="6"/>
  <c r="T4313" i="6"/>
  <c r="T4312" i="6"/>
  <c r="T4311" i="6"/>
  <c r="T4310" i="6"/>
  <c r="T4309" i="6"/>
  <c r="T4308" i="6"/>
  <c r="T4307" i="6"/>
  <c r="T4306" i="6"/>
  <c r="T4305" i="6"/>
  <c r="T4304" i="6"/>
  <c r="T4303" i="6"/>
  <c r="T4302" i="6"/>
  <c r="T4301" i="6"/>
  <c r="T4300" i="6"/>
  <c r="T4299" i="6"/>
  <c r="T4298" i="6"/>
  <c r="T4297" i="6"/>
  <c r="T4296" i="6"/>
  <c r="T4295" i="6"/>
  <c r="T4294" i="6"/>
  <c r="T4293" i="6"/>
  <c r="T4292" i="6"/>
  <c r="T4291" i="6"/>
  <c r="T4290" i="6"/>
  <c r="T4289" i="6"/>
  <c r="T4288" i="6"/>
  <c r="T4287" i="6"/>
  <c r="T4286" i="6"/>
  <c r="T4285" i="6"/>
  <c r="T4284" i="6"/>
  <c r="T4283" i="6"/>
  <c r="T4282" i="6"/>
  <c r="T4281" i="6"/>
  <c r="T4280" i="6"/>
  <c r="T4279" i="6"/>
  <c r="T4278" i="6"/>
  <c r="T4277" i="6"/>
  <c r="T4276" i="6"/>
  <c r="T4275" i="6"/>
  <c r="T4274" i="6"/>
  <c r="T4273" i="6"/>
  <c r="T4272" i="6"/>
  <c r="T4271" i="6"/>
  <c r="T4270" i="6"/>
  <c r="T4269" i="6"/>
  <c r="T4268" i="6"/>
  <c r="T4267" i="6"/>
  <c r="T4266" i="6"/>
  <c r="T4265" i="6"/>
  <c r="T4264" i="6"/>
  <c r="T4263" i="6"/>
  <c r="T4262" i="6"/>
  <c r="T4261" i="6"/>
  <c r="T4260" i="6"/>
  <c r="T4259" i="6"/>
  <c r="T4258" i="6"/>
  <c r="T4257" i="6"/>
  <c r="T4256" i="6"/>
  <c r="T4255" i="6"/>
  <c r="T4254" i="6"/>
  <c r="T4253" i="6"/>
  <c r="T4252" i="6"/>
  <c r="T4251" i="6"/>
  <c r="T4250" i="6"/>
  <c r="T4249" i="6"/>
  <c r="T4248" i="6"/>
  <c r="T4247" i="6"/>
  <c r="T4246" i="6"/>
  <c r="T4245" i="6"/>
  <c r="T4244" i="6"/>
  <c r="T4243" i="6"/>
  <c r="T4242" i="6"/>
  <c r="T4241" i="6"/>
  <c r="T4240" i="6"/>
  <c r="T4239" i="6"/>
  <c r="T4238" i="6"/>
  <c r="T4237" i="6"/>
  <c r="T4236" i="6"/>
  <c r="T4235" i="6"/>
  <c r="T4234" i="6"/>
  <c r="T4233" i="6"/>
  <c r="T4232" i="6"/>
  <c r="T4231" i="6"/>
  <c r="T4230" i="6"/>
  <c r="T4229" i="6"/>
  <c r="T4228" i="6"/>
  <c r="T4227" i="6"/>
  <c r="T4226" i="6"/>
  <c r="T4225" i="6"/>
  <c r="T4224" i="6"/>
  <c r="T4223" i="6"/>
  <c r="T4222" i="6"/>
  <c r="T4221" i="6"/>
  <c r="T4220" i="6"/>
  <c r="T4219" i="6"/>
  <c r="T4218" i="6"/>
  <c r="T4217" i="6"/>
  <c r="T4216" i="6"/>
  <c r="T4215" i="6"/>
  <c r="T4214" i="6"/>
  <c r="T4213" i="6"/>
  <c r="T4212" i="6"/>
  <c r="T4211" i="6"/>
  <c r="T4210" i="6"/>
  <c r="T4209" i="6"/>
  <c r="T4208" i="6"/>
  <c r="T4207" i="6"/>
  <c r="T4206" i="6"/>
  <c r="T4205" i="6"/>
  <c r="T4204" i="6"/>
  <c r="T4203" i="6"/>
  <c r="T4202" i="6"/>
  <c r="T4201" i="6"/>
  <c r="T4200" i="6"/>
  <c r="T4199" i="6"/>
  <c r="T4198" i="6"/>
  <c r="T4197" i="6"/>
  <c r="T4196" i="6"/>
  <c r="T4195" i="6"/>
  <c r="T4194" i="6"/>
  <c r="T4193" i="6"/>
  <c r="T4192" i="6"/>
  <c r="T4191" i="6"/>
  <c r="T4190" i="6"/>
  <c r="T4189" i="6"/>
  <c r="T4188" i="6"/>
  <c r="T4187" i="6"/>
  <c r="T4186" i="6"/>
  <c r="T4185" i="6"/>
  <c r="T4184" i="6"/>
  <c r="T4183" i="6"/>
  <c r="T4182" i="6"/>
  <c r="T4181" i="6"/>
  <c r="T4180" i="6"/>
  <c r="T4179" i="6"/>
  <c r="T4178" i="6"/>
  <c r="T4177" i="6"/>
  <c r="T4176" i="6"/>
  <c r="T4175" i="6"/>
  <c r="T4174" i="6"/>
  <c r="T4173" i="6"/>
  <c r="T4172" i="6"/>
  <c r="T4171" i="6"/>
  <c r="T4170" i="6"/>
  <c r="T4169" i="6"/>
  <c r="T4168" i="6"/>
  <c r="T4167" i="6"/>
  <c r="T4166" i="6"/>
  <c r="T4165" i="6"/>
  <c r="T4164" i="6"/>
  <c r="T4163" i="6"/>
  <c r="T4162" i="6"/>
  <c r="T4161" i="6"/>
  <c r="T4160" i="6"/>
  <c r="T4159" i="6"/>
  <c r="T4158" i="6"/>
  <c r="T4157" i="6"/>
  <c r="T4156" i="6"/>
  <c r="T4155" i="6"/>
  <c r="T4154" i="6"/>
  <c r="T4153" i="6"/>
  <c r="T4152" i="6"/>
  <c r="T4151" i="6"/>
  <c r="T4150" i="6"/>
  <c r="T4149" i="6"/>
  <c r="T4148" i="6"/>
  <c r="T4147" i="6"/>
  <c r="T4146" i="6"/>
  <c r="T4145" i="6"/>
  <c r="T4144" i="6"/>
  <c r="T4143" i="6"/>
  <c r="T4142" i="6"/>
  <c r="T4141" i="6"/>
  <c r="T4140" i="6"/>
  <c r="T4139" i="6"/>
  <c r="T4138" i="6"/>
  <c r="T4137" i="6"/>
  <c r="T4136" i="6"/>
  <c r="T4135" i="6"/>
  <c r="T4134" i="6"/>
  <c r="T4133" i="6"/>
  <c r="T4132" i="6"/>
  <c r="T4131" i="6"/>
  <c r="T4130" i="6"/>
  <c r="T4129" i="6"/>
  <c r="T4128" i="6"/>
  <c r="T4127" i="6"/>
  <c r="T4126" i="6"/>
  <c r="T4125" i="6"/>
  <c r="T4124" i="6"/>
  <c r="T4123" i="6"/>
  <c r="T4122" i="6"/>
  <c r="T4121" i="6"/>
  <c r="T4120" i="6"/>
  <c r="T4119" i="6"/>
  <c r="T4118" i="6"/>
  <c r="T4117" i="6"/>
  <c r="T4116" i="6"/>
  <c r="T4115" i="6"/>
  <c r="T4114" i="6"/>
  <c r="T4113" i="6"/>
  <c r="T4112" i="6"/>
  <c r="T4111" i="6"/>
  <c r="T4110" i="6"/>
  <c r="T4109" i="6"/>
  <c r="T4108" i="6"/>
  <c r="T4107" i="6"/>
  <c r="T4106" i="6"/>
  <c r="T4105" i="6"/>
  <c r="T4104" i="6"/>
  <c r="T4103" i="6"/>
  <c r="T4102" i="6"/>
  <c r="T4101" i="6"/>
  <c r="T4100" i="6"/>
  <c r="T4099" i="6"/>
  <c r="T4098" i="6"/>
  <c r="T4097" i="6"/>
  <c r="T4096" i="6"/>
  <c r="T4095" i="6"/>
  <c r="T4094" i="6"/>
  <c r="T4093" i="6"/>
  <c r="T4092" i="6"/>
  <c r="T4091" i="6"/>
  <c r="T4090" i="6"/>
  <c r="T4089" i="6"/>
  <c r="T4088" i="6"/>
  <c r="T4087" i="6"/>
  <c r="T4086" i="6"/>
  <c r="T4085" i="6"/>
  <c r="T4084" i="6"/>
  <c r="T4083" i="6"/>
  <c r="T4082" i="6"/>
  <c r="T4081" i="6"/>
  <c r="T4080" i="6"/>
  <c r="T4079" i="6"/>
  <c r="T4078" i="6"/>
  <c r="T4077" i="6"/>
  <c r="T4076" i="6"/>
  <c r="T4075" i="6"/>
  <c r="T4074" i="6"/>
  <c r="T4073" i="6"/>
  <c r="T4072" i="6"/>
  <c r="T4071" i="6"/>
  <c r="T4070" i="6"/>
  <c r="T4069" i="6"/>
  <c r="T4068" i="6"/>
  <c r="T4067" i="6"/>
  <c r="T4066" i="6"/>
  <c r="T4065" i="6"/>
  <c r="T4064" i="6"/>
  <c r="T4063" i="6"/>
  <c r="T4062" i="6"/>
  <c r="T4061" i="6"/>
  <c r="T4060" i="6"/>
  <c r="T4059" i="6"/>
  <c r="T4058" i="6"/>
  <c r="T4057" i="6"/>
  <c r="T4056" i="6"/>
  <c r="T4055" i="6"/>
  <c r="T4054" i="6"/>
  <c r="T4053" i="6"/>
  <c r="T4052" i="6"/>
  <c r="T4051" i="6"/>
  <c r="T4050" i="6"/>
  <c r="T4049" i="6"/>
  <c r="T4048" i="6"/>
  <c r="T4047" i="6"/>
  <c r="T4046" i="6"/>
  <c r="T4045" i="6"/>
  <c r="T4044" i="6"/>
  <c r="T4043" i="6"/>
  <c r="T4042" i="6"/>
  <c r="T4041" i="6"/>
  <c r="T4040" i="6"/>
  <c r="T4039" i="6"/>
  <c r="T4038" i="6"/>
  <c r="T4037" i="6"/>
  <c r="T4036" i="6"/>
  <c r="T4035" i="6"/>
  <c r="T4034" i="6"/>
  <c r="T4033" i="6"/>
  <c r="T4032" i="6"/>
  <c r="T4031" i="6"/>
  <c r="T4030" i="6"/>
  <c r="T4029" i="6"/>
  <c r="T4028" i="6"/>
  <c r="T4027" i="6"/>
  <c r="T4026" i="6"/>
  <c r="T4025" i="6"/>
  <c r="T4024" i="6"/>
  <c r="T4023" i="6"/>
  <c r="T4022" i="6"/>
  <c r="T4021" i="6"/>
  <c r="T4020" i="6"/>
  <c r="T4019" i="6"/>
  <c r="T4018" i="6"/>
  <c r="T4017" i="6"/>
  <c r="T4016" i="6"/>
  <c r="T4015" i="6"/>
  <c r="T4014" i="6"/>
  <c r="T4013" i="6"/>
  <c r="T4012" i="6"/>
  <c r="T4011" i="6"/>
  <c r="T4010" i="6"/>
  <c r="T4009" i="6"/>
  <c r="T4008" i="6"/>
  <c r="T4007" i="6"/>
  <c r="T4006" i="6"/>
  <c r="T4005" i="6"/>
  <c r="T4004" i="6"/>
  <c r="T4003" i="6"/>
  <c r="T4002" i="6"/>
  <c r="T4001" i="6"/>
  <c r="T4000" i="6"/>
  <c r="T3999" i="6"/>
  <c r="T3998" i="6"/>
  <c r="T3997" i="6"/>
  <c r="T3996" i="6"/>
  <c r="T3995" i="6"/>
  <c r="T3994" i="6"/>
  <c r="T3993" i="6"/>
  <c r="T3992" i="6"/>
  <c r="T3991" i="6"/>
  <c r="T3990" i="6"/>
  <c r="T3989" i="6"/>
  <c r="T3988" i="6"/>
  <c r="T3987" i="6"/>
  <c r="T3986" i="6"/>
  <c r="T3985" i="6"/>
  <c r="T3984" i="6"/>
  <c r="T3983" i="6"/>
  <c r="T3982" i="6"/>
  <c r="T3981" i="6"/>
  <c r="T3980" i="6"/>
  <c r="T3979" i="6"/>
  <c r="T3978" i="6"/>
  <c r="T3977" i="6"/>
  <c r="T3976" i="6"/>
  <c r="T3975" i="6"/>
  <c r="T3974" i="6"/>
  <c r="T3973" i="6"/>
  <c r="T3972" i="6"/>
  <c r="T3971" i="6"/>
  <c r="T3970" i="6"/>
  <c r="T3969" i="6"/>
  <c r="T3968" i="6"/>
  <c r="T3967" i="6"/>
  <c r="T3966" i="6"/>
  <c r="T3965" i="6"/>
  <c r="T3964" i="6"/>
  <c r="T3963" i="6"/>
  <c r="T3962" i="6"/>
  <c r="T3961" i="6"/>
  <c r="T3960" i="6"/>
  <c r="T3959" i="6"/>
  <c r="T3958" i="6"/>
  <c r="T3957" i="6"/>
  <c r="T3956" i="6"/>
  <c r="T3955" i="6"/>
  <c r="T3954" i="6"/>
  <c r="T3953" i="6"/>
  <c r="T3952" i="6"/>
  <c r="T3951" i="6"/>
  <c r="T3950" i="6"/>
  <c r="T3949" i="6"/>
  <c r="T3948" i="6"/>
  <c r="T3947" i="6"/>
  <c r="T3946" i="6"/>
  <c r="T3945" i="6"/>
  <c r="T3944" i="6"/>
  <c r="T3943" i="6"/>
  <c r="T3942" i="6"/>
  <c r="T3941" i="6"/>
  <c r="T3940" i="6"/>
  <c r="T3939" i="6"/>
  <c r="T3938" i="6"/>
  <c r="T3937" i="6"/>
  <c r="T3936" i="6"/>
  <c r="T3935" i="6"/>
  <c r="T3934" i="6"/>
  <c r="T3933" i="6"/>
  <c r="T3932" i="6"/>
  <c r="T3931" i="6"/>
  <c r="T3930" i="6"/>
  <c r="T3929" i="6"/>
  <c r="T3928" i="6"/>
  <c r="T3927" i="6"/>
  <c r="T3926" i="6"/>
  <c r="T3925" i="6"/>
  <c r="T3924" i="6"/>
  <c r="T3923" i="6"/>
  <c r="T3922" i="6"/>
  <c r="T3921" i="6"/>
  <c r="T3920" i="6"/>
  <c r="T3919" i="6"/>
  <c r="T3918" i="6"/>
  <c r="T3917" i="6"/>
  <c r="T3916" i="6"/>
  <c r="T3915" i="6"/>
  <c r="T3914" i="6"/>
  <c r="T3913" i="6"/>
  <c r="T3912" i="6"/>
  <c r="T3911" i="6"/>
  <c r="T3910" i="6"/>
  <c r="T3909" i="6"/>
  <c r="T3908" i="6"/>
  <c r="T3907" i="6"/>
  <c r="T3906" i="6"/>
  <c r="T3905" i="6"/>
  <c r="T3904" i="6"/>
  <c r="T3903" i="6"/>
  <c r="T3902" i="6"/>
  <c r="T3901" i="6"/>
  <c r="T3900" i="6"/>
  <c r="T3899" i="6"/>
  <c r="T3898" i="6"/>
  <c r="T3897" i="6"/>
  <c r="T3896" i="6"/>
  <c r="T3895" i="6"/>
  <c r="T3894" i="6"/>
  <c r="T3893" i="6"/>
  <c r="T3892" i="6"/>
  <c r="T3891" i="6"/>
  <c r="T3890" i="6"/>
  <c r="T3889" i="6"/>
  <c r="T3888" i="6"/>
  <c r="T3887" i="6"/>
  <c r="T3886" i="6"/>
  <c r="T3885" i="6"/>
  <c r="T3884" i="6"/>
  <c r="T3883" i="6"/>
  <c r="T3882" i="6"/>
  <c r="T3881" i="6"/>
  <c r="T3880" i="6"/>
  <c r="T3879" i="6"/>
  <c r="T3878" i="6"/>
  <c r="T3877" i="6"/>
  <c r="T3876" i="6"/>
  <c r="T3875" i="6"/>
  <c r="T3874" i="6"/>
  <c r="T3873" i="6"/>
  <c r="T3872" i="6"/>
  <c r="T3871" i="6"/>
  <c r="T3870" i="6"/>
  <c r="T3869" i="6"/>
  <c r="T3868" i="6"/>
  <c r="T3867" i="6"/>
  <c r="T3866" i="6"/>
  <c r="T3865" i="6"/>
  <c r="T3864" i="6"/>
  <c r="T3863" i="6"/>
  <c r="T3862" i="6"/>
  <c r="T3861" i="6"/>
  <c r="T3860" i="6"/>
  <c r="T3859" i="6"/>
  <c r="T3858" i="6"/>
  <c r="T3857" i="6"/>
  <c r="T3856" i="6"/>
  <c r="T3855" i="6"/>
  <c r="T3854" i="6"/>
  <c r="T3853" i="6"/>
  <c r="T3852" i="6"/>
  <c r="T3851" i="6"/>
  <c r="T3850" i="6"/>
  <c r="T3849" i="6"/>
  <c r="T3848" i="6"/>
  <c r="T3847" i="6"/>
  <c r="T3846" i="6"/>
  <c r="T3845" i="6"/>
  <c r="T3844" i="6"/>
  <c r="T3843" i="6"/>
  <c r="T3842" i="6"/>
  <c r="T3841" i="6"/>
  <c r="T3840" i="6"/>
  <c r="T3839" i="6"/>
  <c r="T3838" i="6"/>
  <c r="T3837" i="6"/>
  <c r="T3836" i="6"/>
  <c r="T3835" i="6"/>
  <c r="T3834" i="6"/>
  <c r="T3833" i="6"/>
  <c r="T3832" i="6"/>
  <c r="T3831" i="6"/>
  <c r="T3830" i="6"/>
  <c r="T3829" i="6"/>
  <c r="T3828" i="6"/>
  <c r="T3827" i="6"/>
  <c r="T3826" i="6"/>
  <c r="T3825" i="6"/>
  <c r="T3824" i="6"/>
  <c r="T3823" i="6"/>
  <c r="T3822" i="6"/>
  <c r="T3821" i="6"/>
  <c r="T3820" i="6"/>
  <c r="T3819" i="6"/>
  <c r="T3818" i="6"/>
  <c r="T3817" i="6"/>
  <c r="T3816" i="6"/>
  <c r="T3815" i="6"/>
  <c r="T3814" i="6"/>
  <c r="T3813" i="6"/>
  <c r="T3812" i="6"/>
  <c r="T3811" i="6"/>
  <c r="T3810" i="6"/>
  <c r="T3809" i="6"/>
  <c r="T3808" i="6"/>
  <c r="T3807" i="6"/>
  <c r="T3806" i="6"/>
  <c r="T3805" i="6"/>
  <c r="T3804" i="6"/>
  <c r="T3803" i="6"/>
  <c r="T3802" i="6"/>
  <c r="T3801" i="6"/>
  <c r="T3800" i="6"/>
  <c r="T3799" i="6"/>
  <c r="T3798" i="6"/>
  <c r="T3797" i="6"/>
  <c r="T3796" i="6"/>
  <c r="T3795" i="6"/>
  <c r="T3794" i="6"/>
  <c r="T3793" i="6"/>
  <c r="T3792" i="6"/>
  <c r="T3791" i="6"/>
  <c r="T3790" i="6"/>
  <c r="T3789" i="6"/>
  <c r="T3788" i="6"/>
  <c r="T3787" i="6"/>
  <c r="T3786" i="6"/>
  <c r="T3785" i="6"/>
  <c r="T3784" i="6"/>
  <c r="T3783" i="6"/>
  <c r="T3782" i="6"/>
  <c r="T3781" i="6"/>
  <c r="T3780" i="6"/>
  <c r="T3779" i="6"/>
  <c r="T3778" i="6"/>
  <c r="T3777" i="6"/>
  <c r="T3776" i="6"/>
  <c r="T3775" i="6"/>
  <c r="T3774" i="6"/>
  <c r="T3773" i="6"/>
  <c r="T3772" i="6"/>
  <c r="T3771" i="6"/>
  <c r="T3770" i="6"/>
  <c r="T3769" i="6"/>
  <c r="T3768" i="6"/>
  <c r="T3767" i="6"/>
  <c r="T3766" i="6"/>
  <c r="T3765" i="6"/>
  <c r="T3764" i="6"/>
  <c r="T3763" i="6"/>
  <c r="T3762" i="6"/>
  <c r="T3761" i="6"/>
  <c r="T3760" i="6"/>
  <c r="T3759" i="6"/>
  <c r="T3758" i="6"/>
  <c r="T3757" i="6"/>
  <c r="T3756" i="6"/>
  <c r="T3755" i="6"/>
  <c r="T3754" i="6"/>
  <c r="T3753" i="6"/>
  <c r="T3752" i="6"/>
  <c r="T3751" i="6"/>
  <c r="T3750" i="6"/>
  <c r="T3749" i="6"/>
  <c r="T3748" i="6"/>
  <c r="T3747" i="6"/>
  <c r="T3746" i="6"/>
  <c r="T3745" i="6"/>
  <c r="T3744" i="6"/>
  <c r="T3743" i="6"/>
  <c r="T3742" i="6"/>
  <c r="T3741" i="6"/>
  <c r="T3740" i="6"/>
  <c r="T3739" i="6"/>
  <c r="T3738" i="6"/>
  <c r="T3737" i="6"/>
  <c r="T3736" i="6"/>
  <c r="T3735" i="6"/>
  <c r="T3734" i="6"/>
  <c r="T3733" i="6"/>
  <c r="T3732" i="6"/>
  <c r="T3731" i="6"/>
  <c r="T3730" i="6"/>
  <c r="T3729" i="6"/>
  <c r="T3728" i="6"/>
  <c r="T3727" i="6"/>
  <c r="T3726" i="6"/>
  <c r="T3725" i="6"/>
  <c r="T3724" i="6"/>
  <c r="T3723" i="6"/>
  <c r="T3722" i="6"/>
  <c r="T3721" i="6"/>
  <c r="T3720" i="6"/>
  <c r="T3719" i="6"/>
  <c r="T3718" i="6"/>
  <c r="T3717" i="6"/>
  <c r="T3716" i="6"/>
  <c r="T3715" i="6"/>
  <c r="T3714" i="6"/>
  <c r="T3713" i="6"/>
  <c r="T3712" i="6"/>
  <c r="T3711" i="6"/>
  <c r="T3710" i="6"/>
  <c r="T3709" i="6"/>
  <c r="T3708" i="6"/>
  <c r="T3707" i="6"/>
  <c r="T3706" i="6"/>
  <c r="T3705" i="6"/>
  <c r="T3704" i="6"/>
  <c r="T3703" i="6"/>
  <c r="T3702" i="6"/>
  <c r="T3701" i="6"/>
  <c r="T3700" i="6"/>
  <c r="T3699" i="6"/>
  <c r="T3698" i="6"/>
  <c r="T3697" i="6"/>
  <c r="T3696" i="6"/>
  <c r="T3695" i="6"/>
  <c r="T3694" i="6"/>
  <c r="T3693" i="6"/>
  <c r="T3692" i="6"/>
  <c r="T3691" i="6"/>
  <c r="T3690" i="6"/>
  <c r="T3689" i="6"/>
  <c r="T3688" i="6"/>
  <c r="T3687" i="6"/>
  <c r="T3686" i="6"/>
  <c r="T3685" i="6"/>
  <c r="T3684" i="6"/>
  <c r="T3683" i="6"/>
  <c r="T3682" i="6"/>
  <c r="T3681" i="6"/>
  <c r="T3680" i="6"/>
  <c r="T3679" i="6"/>
  <c r="T3678" i="6"/>
  <c r="T3677" i="6"/>
  <c r="T3676" i="6"/>
  <c r="T3675" i="6"/>
  <c r="T3674" i="6"/>
  <c r="T3673" i="6"/>
  <c r="T3672" i="6"/>
  <c r="T3671" i="6"/>
  <c r="T3670" i="6"/>
  <c r="T3669" i="6"/>
  <c r="T3668" i="6"/>
  <c r="T3667" i="6"/>
  <c r="T3666" i="6"/>
  <c r="T3665" i="6"/>
  <c r="T3664" i="6"/>
  <c r="T3663" i="6"/>
  <c r="T3662" i="6"/>
  <c r="T3661" i="6"/>
  <c r="T3660" i="6"/>
  <c r="T3659" i="6"/>
  <c r="T3658" i="6"/>
  <c r="T3657" i="6"/>
  <c r="T3656" i="6"/>
  <c r="T3655" i="6"/>
  <c r="T3654" i="6"/>
  <c r="T3653" i="6"/>
  <c r="T3652" i="6"/>
  <c r="T3651" i="6"/>
  <c r="T3650" i="6"/>
  <c r="T3649" i="6"/>
  <c r="T3648" i="6"/>
  <c r="T3647" i="6"/>
  <c r="T3646" i="6"/>
  <c r="T3645" i="6"/>
  <c r="T3644" i="6"/>
  <c r="T3643" i="6"/>
  <c r="T3642" i="6"/>
  <c r="T3641" i="6"/>
  <c r="T3640" i="6"/>
  <c r="T3639" i="6"/>
  <c r="T3638" i="6"/>
  <c r="T3637" i="6"/>
  <c r="T3636" i="6"/>
  <c r="T3635" i="6"/>
  <c r="T3634" i="6"/>
  <c r="T3633" i="6"/>
  <c r="T3632" i="6"/>
  <c r="T3631" i="6"/>
  <c r="T3630" i="6"/>
  <c r="T3629" i="6"/>
  <c r="T3628" i="6"/>
  <c r="T3627" i="6"/>
  <c r="T3626" i="6"/>
  <c r="T3625" i="6"/>
  <c r="T3624" i="6"/>
  <c r="T3623" i="6"/>
  <c r="T3622" i="6"/>
  <c r="T3621" i="6"/>
  <c r="T3620" i="6"/>
  <c r="T3619" i="6"/>
  <c r="T3618" i="6"/>
  <c r="T3617" i="6"/>
  <c r="T3616" i="6"/>
  <c r="T3615" i="6"/>
  <c r="T3614" i="6"/>
  <c r="T3613" i="6"/>
  <c r="T3612" i="6"/>
  <c r="T3611" i="6"/>
  <c r="T3610" i="6"/>
  <c r="T3609" i="6"/>
  <c r="T3608" i="6"/>
  <c r="T3607" i="6"/>
  <c r="T3606" i="6"/>
  <c r="T3605" i="6"/>
  <c r="T3604" i="6"/>
  <c r="T3603" i="6"/>
  <c r="T3602" i="6"/>
  <c r="T3601" i="6"/>
  <c r="T3600" i="6"/>
  <c r="T3599" i="6"/>
  <c r="T3598" i="6"/>
  <c r="T3597" i="6"/>
  <c r="T3596" i="6"/>
  <c r="T3595" i="6"/>
  <c r="T3594" i="6"/>
  <c r="T3593" i="6"/>
  <c r="T3592" i="6"/>
  <c r="T3591" i="6"/>
  <c r="T3590" i="6"/>
  <c r="T3589" i="6"/>
  <c r="T3588" i="6"/>
  <c r="T3587" i="6"/>
  <c r="T3586" i="6"/>
  <c r="T3585" i="6"/>
  <c r="T3584" i="6"/>
  <c r="T3583" i="6"/>
  <c r="T3582" i="6"/>
  <c r="T3581" i="6"/>
  <c r="T3580" i="6"/>
  <c r="T3579" i="6"/>
  <c r="T3578" i="6"/>
  <c r="T3577" i="6"/>
  <c r="T3576" i="6"/>
  <c r="T3575" i="6"/>
  <c r="T3574" i="6"/>
  <c r="T3573" i="6"/>
  <c r="T3572" i="6"/>
  <c r="T3571" i="6"/>
  <c r="T3570" i="6"/>
  <c r="T3569" i="6"/>
  <c r="T3568" i="6"/>
  <c r="T3567" i="6"/>
  <c r="T3566" i="6"/>
  <c r="T3565" i="6"/>
  <c r="T3564" i="6"/>
  <c r="T3563" i="6"/>
  <c r="T3562" i="6"/>
  <c r="T3561" i="6"/>
  <c r="T3560" i="6"/>
  <c r="T3559" i="6"/>
  <c r="T3558" i="6"/>
  <c r="T3557" i="6"/>
  <c r="T3556" i="6"/>
  <c r="T3555" i="6"/>
  <c r="T3554" i="6"/>
  <c r="T3553" i="6"/>
  <c r="T3552" i="6"/>
  <c r="T3551" i="6"/>
  <c r="T3550" i="6"/>
  <c r="T3549" i="6"/>
  <c r="T3548" i="6"/>
  <c r="T3547" i="6"/>
  <c r="T3546" i="6"/>
  <c r="T3545" i="6"/>
  <c r="T3544" i="6"/>
  <c r="T3543" i="6"/>
  <c r="T3542" i="6"/>
  <c r="T3541" i="6"/>
  <c r="T3540" i="6"/>
  <c r="T3539" i="6"/>
  <c r="T3538" i="6"/>
  <c r="T3537" i="6"/>
  <c r="T3536" i="6"/>
  <c r="T3535" i="6"/>
  <c r="T3534" i="6"/>
  <c r="T3533" i="6"/>
  <c r="T3532" i="6"/>
  <c r="T3531" i="6"/>
  <c r="T3530" i="6"/>
  <c r="T3529" i="6"/>
  <c r="T3528" i="6"/>
  <c r="T3527" i="6"/>
  <c r="T3526" i="6"/>
  <c r="T3525" i="6"/>
  <c r="T3524" i="6"/>
  <c r="T3523" i="6"/>
  <c r="T3522" i="6"/>
  <c r="T3521" i="6"/>
  <c r="T3520" i="6"/>
  <c r="T3519" i="6"/>
  <c r="T3518" i="6"/>
  <c r="T3517" i="6"/>
  <c r="T3516" i="6"/>
  <c r="T3515" i="6"/>
  <c r="T3514" i="6"/>
  <c r="T3513" i="6"/>
  <c r="T3512" i="6"/>
  <c r="T3511" i="6"/>
  <c r="T3510" i="6"/>
  <c r="T3509" i="6"/>
  <c r="T3508" i="6"/>
  <c r="T3507" i="6"/>
  <c r="T3506" i="6"/>
  <c r="T3505" i="6"/>
  <c r="T3504" i="6"/>
  <c r="T3503" i="6"/>
  <c r="T3502" i="6"/>
  <c r="T3501" i="6"/>
  <c r="T3500" i="6"/>
  <c r="T3499" i="6"/>
  <c r="T3498" i="6"/>
  <c r="T3497" i="6"/>
  <c r="T3496" i="6"/>
  <c r="T3495" i="6"/>
  <c r="T3494" i="6"/>
  <c r="T3493" i="6"/>
  <c r="T3492" i="6"/>
  <c r="T3491" i="6"/>
  <c r="T3490" i="6"/>
  <c r="T3489" i="6"/>
  <c r="T3488" i="6"/>
  <c r="T3487" i="6"/>
  <c r="T3486" i="6"/>
  <c r="T3485" i="6"/>
  <c r="T3484" i="6"/>
  <c r="T3483" i="6"/>
  <c r="T3482" i="6"/>
  <c r="T3481" i="6"/>
  <c r="T3480" i="6"/>
  <c r="T3479" i="6"/>
  <c r="T3478" i="6"/>
  <c r="T3477" i="6"/>
  <c r="T3476" i="6"/>
  <c r="T3475" i="6"/>
  <c r="T3474" i="6"/>
  <c r="T3473" i="6"/>
  <c r="T3472" i="6"/>
  <c r="T3471" i="6"/>
  <c r="T3470" i="6"/>
  <c r="T3469" i="6"/>
  <c r="T3468" i="6"/>
  <c r="T3467" i="6"/>
  <c r="T3466" i="6"/>
  <c r="T3465" i="6"/>
  <c r="T3464" i="6"/>
  <c r="T3463" i="6"/>
  <c r="T3462" i="6"/>
  <c r="T3461" i="6"/>
  <c r="T3460" i="6"/>
  <c r="T3459" i="6"/>
  <c r="T3458" i="6"/>
  <c r="T3457" i="6"/>
  <c r="T3456" i="6"/>
  <c r="T3455" i="6"/>
  <c r="T3454" i="6"/>
  <c r="T3453" i="6"/>
  <c r="T3452" i="6"/>
  <c r="T3451" i="6"/>
  <c r="T3450" i="6"/>
  <c r="T3449" i="6"/>
  <c r="T3448" i="6"/>
  <c r="T3447" i="6"/>
  <c r="T3446" i="6"/>
  <c r="T3445" i="6"/>
  <c r="T3444" i="6"/>
  <c r="T3443" i="6"/>
  <c r="T3442" i="6"/>
  <c r="T3441" i="6"/>
  <c r="T3440" i="6"/>
  <c r="T3439" i="6"/>
  <c r="T3438" i="6"/>
  <c r="T3437" i="6"/>
  <c r="T3436" i="6"/>
  <c r="T3435" i="6"/>
  <c r="T3434" i="6"/>
  <c r="T3433" i="6"/>
  <c r="T3432" i="6"/>
  <c r="T3431" i="6"/>
  <c r="T3430" i="6"/>
  <c r="T3429" i="6"/>
  <c r="T3428" i="6"/>
  <c r="T3427" i="6"/>
  <c r="T3426" i="6"/>
  <c r="T3425" i="6"/>
  <c r="T3424" i="6"/>
  <c r="T3423" i="6"/>
  <c r="T3422" i="6"/>
  <c r="T3421" i="6"/>
  <c r="T3420" i="6"/>
  <c r="T3419" i="6"/>
  <c r="T3418" i="6"/>
  <c r="T3417" i="6"/>
  <c r="T3416" i="6"/>
  <c r="T3415" i="6"/>
  <c r="T3414" i="6"/>
  <c r="T3413" i="6"/>
  <c r="T3412" i="6"/>
  <c r="T3411" i="6"/>
  <c r="T3410" i="6"/>
  <c r="T3409" i="6"/>
  <c r="T3408" i="6"/>
  <c r="T3407" i="6"/>
  <c r="T3406" i="6"/>
  <c r="T3405" i="6"/>
  <c r="T3404" i="6"/>
  <c r="T3403" i="6"/>
  <c r="T3402" i="6"/>
  <c r="T3401" i="6"/>
  <c r="T3400" i="6"/>
  <c r="T3399" i="6"/>
  <c r="T3398" i="6"/>
  <c r="T3397" i="6"/>
  <c r="T3396" i="6"/>
  <c r="T3395" i="6"/>
  <c r="T3394" i="6"/>
  <c r="T3393" i="6"/>
  <c r="T3392" i="6"/>
  <c r="T3391" i="6"/>
  <c r="T3390" i="6"/>
  <c r="T3389" i="6"/>
  <c r="T3388" i="6"/>
  <c r="T3387" i="6"/>
  <c r="T3386" i="6"/>
  <c r="T3385" i="6"/>
  <c r="T3384" i="6"/>
  <c r="T3383" i="6"/>
  <c r="T3382" i="6"/>
  <c r="T3381" i="6"/>
  <c r="T3380" i="6"/>
  <c r="T3379" i="6"/>
  <c r="T3378" i="6"/>
  <c r="T3377" i="6"/>
  <c r="T3376" i="6"/>
  <c r="T3375" i="6"/>
  <c r="T3374" i="6"/>
  <c r="T3373" i="6"/>
  <c r="T3372" i="6"/>
  <c r="T3371" i="6"/>
  <c r="T3370" i="6"/>
  <c r="T3369" i="6"/>
  <c r="T3368" i="6"/>
  <c r="T3367" i="6"/>
  <c r="T3366" i="6"/>
  <c r="T3365" i="6"/>
  <c r="T3364" i="6"/>
  <c r="T3363" i="6"/>
  <c r="T3362" i="6"/>
  <c r="T3361" i="6"/>
  <c r="T3360" i="6"/>
  <c r="T3359" i="6"/>
  <c r="T3358" i="6"/>
  <c r="T3357" i="6"/>
  <c r="T3356" i="6"/>
  <c r="T3355" i="6"/>
  <c r="T3354" i="6"/>
  <c r="T3353" i="6"/>
  <c r="T3352" i="6"/>
  <c r="T3351" i="6"/>
  <c r="T3350" i="6"/>
  <c r="T3349" i="6"/>
  <c r="T3348" i="6"/>
  <c r="T3347" i="6"/>
  <c r="T3346" i="6"/>
  <c r="T3345" i="6"/>
  <c r="T3344" i="6"/>
  <c r="T3343" i="6"/>
  <c r="T3342" i="6"/>
  <c r="T3341" i="6"/>
  <c r="T3340" i="6"/>
  <c r="T3339" i="6"/>
  <c r="T3338" i="6"/>
  <c r="T3337" i="6"/>
  <c r="T3336" i="6"/>
  <c r="T3335" i="6"/>
  <c r="T3334" i="6"/>
  <c r="T3333" i="6"/>
  <c r="T3332" i="6"/>
  <c r="T3331" i="6"/>
  <c r="T3330" i="6"/>
  <c r="T3329" i="6"/>
  <c r="T3328" i="6"/>
  <c r="T3327" i="6"/>
  <c r="T3326" i="6"/>
  <c r="T3325" i="6"/>
  <c r="T3324" i="6"/>
  <c r="T3323" i="6"/>
  <c r="T3322" i="6"/>
  <c r="T3321" i="6"/>
  <c r="T3320" i="6"/>
  <c r="T3319" i="6"/>
  <c r="T3318" i="6"/>
  <c r="T3317" i="6"/>
  <c r="T3316" i="6"/>
  <c r="T3315" i="6"/>
  <c r="T3314" i="6"/>
  <c r="T3313" i="6"/>
  <c r="T3312" i="6"/>
  <c r="T3311" i="6"/>
  <c r="T3310" i="6"/>
  <c r="T3309" i="6"/>
  <c r="T3308" i="6"/>
  <c r="T3307" i="6"/>
  <c r="T3306" i="6"/>
  <c r="T3305" i="6"/>
  <c r="T3304" i="6"/>
  <c r="T3303" i="6"/>
  <c r="T3302" i="6"/>
  <c r="T3301" i="6"/>
  <c r="T3300" i="6"/>
  <c r="T3299" i="6"/>
  <c r="T3298" i="6"/>
  <c r="T3297" i="6"/>
  <c r="T3296" i="6"/>
  <c r="T3295" i="6"/>
  <c r="T3294" i="6"/>
  <c r="T3293" i="6"/>
  <c r="T3292" i="6"/>
  <c r="T3291" i="6"/>
  <c r="T3290" i="6"/>
  <c r="T3289" i="6"/>
  <c r="T3288" i="6"/>
  <c r="T3287" i="6"/>
  <c r="T3286" i="6"/>
  <c r="T3285" i="6"/>
  <c r="T3284" i="6"/>
  <c r="T3283" i="6"/>
  <c r="T3282" i="6"/>
  <c r="T3281" i="6"/>
  <c r="T3280" i="6"/>
  <c r="T3279" i="6"/>
  <c r="T3278" i="6"/>
  <c r="T3277" i="6"/>
  <c r="T3276" i="6"/>
  <c r="T3275" i="6"/>
  <c r="T3274" i="6"/>
  <c r="T3273" i="6"/>
  <c r="T3272" i="6"/>
  <c r="T3271" i="6"/>
  <c r="T3270" i="6"/>
  <c r="T3269" i="6"/>
  <c r="T3268" i="6"/>
  <c r="T3267" i="6"/>
  <c r="T3266" i="6"/>
  <c r="T3265" i="6"/>
  <c r="T3264" i="6"/>
  <c r="T3263" i="6"/>
  <c r="T3262" i="6"/>
  <c r="T3261" i="6"/>
  <c r="T3260" i="6"/>
  <c r="T3259" i="6"/>
  <c r="T3258" i="6"/>
  <c r="T3257" i="6"/>
  <c r="T3256" i="6"/>
  <c r="T3255" i="6"/>
  <c r="T3254" i="6"/>
  <c r="T3253" i="6"/>
  <c r="T3252" i="6"/>
  <c r="T3251" i="6"/>
  <c r="T3250" i="6"/>
  <c r="T3249" i="6"/>
  <c r="T3248" i="6"/>
  <c r="T3247" i="6"/>
  <c r="T3246" i="6"/>
  <c r="T3245" i="6"/>
  <c r="T3244" i="6"/>
  <c r="T3243" i="6"/>
  <c r="T3242" i="6"/>
  <c r="T3241" i="6"/>
  <c r="T3240" i="6"/>
  <c r="T3239" i="6"/>
  <c r="T3238" i="6"/>
  <c r="T3237" i="6"/>
  <c r="T3236" i="6"/>
  <c r="T3235" i="6"/>
  <c r="T3234" i="6"/>
  <c r="T3233" i="6"/>
  <c r="T3232" i="6"/>
  <c r="T3231" i="6"/>
  <c r="T3230" i="6"/>
  <c r="T3229" i="6"/>
  <c r="T3228" i="6"/>
  <c r="T3227" i="6"/>
  <c r="T3226" i="6"/>
  <c r="T3225" i="6"/>
  <c r="T3224" i="6"/>
  <c r="T3223" i="6"/>
  <c r="T3222" i="6"/>
  <c r="T3221" i="6"/>
  <c r="T3220" i="6"/>
  <c r="T3219" i="6"/>
  <c r="T3218" i="6"/>
  <c r="T3217" i="6"/>
  <c r="T3216" i="6"/>
  <c r="T3215" i="6"/>
  <c r="T3214" i="6"/>
  <c r="T3213" i="6"/>
  <c r="T3212" i="6"/>
  <c r="T3211" i="6"/>
  <c r="T3210" i="6"/>
  <c r="T3209" i="6"/>
  <c r="T3208" i="6"/>
  <c r="T3207" i="6"/>
  <c r="T3206" i="6"/>
  <c r="T3205" i="6"/>
  <c r="T3204" i="6"/>
  <c r="T3203" i="6"/>
  <c r="T3202" i="6"/>
  <c r="T3201" i="6"/>
  <c r="T3200" i="6"/>
  <c r="T3199" i="6"/>
  <c r="T3198" i="6"/>
  <c r="T3197" i="6"/>
  <c r="T3196" i="6"/>
  <c r="T3195" i="6"/>
  <c r="T3194" i="6"/>
  <c r="T3193" i="6"/>
  <c r="T3192" i="6"/>
  <c r="T3191" i="6"/>
  <c r="T3190" i="6"/>
  <c r="T3189" i="6"/>
  <c r="T3188" i="6"/>
  <c r="T3187" i="6"/>
  <c r="T3186" i="6"/>
  <c r="T3185" i="6"/>
  <c r="T3184" i="6"/>
  <c r="T3183" i="6"/>
  <c r="T3182" i="6"/>
  <c r="T3181" i="6"/>
  <c r="T3180" i="6"/>
  <c r="T3179" i="6"/>
  <c r="T3178" i="6"/>
  <c r="T3177" i="6"/>
  <c r="T3176" i="6"/>
  <c r="T3175" i="6"/>
  <c r="T3174" i="6"/>
  <c r="T3173" i="6"/>
  <c r="T3172" i="6"/>
  <c r="T3171" i="6"/>
  <c r="T3170" i="6"/>
  <c r="T3169" i="6"/>
  <c r="T3168" i="6"/>
  <c r="T3167" i="6"/>
  <c r="T3166" i="6"/>
  <c r="T3165" i="6"/>
  <c r="T3164" i="6"/>
  <c r="T3163" i="6"/>
  <c r="T3162" i="6"/>
  <c r="T3161" i="6"/>
  <c r="T3160" i="6"/>
  <c r="T3159" i="6"/>
  <c r="T3158" i="6"/>
  <c r="T3157" i="6"/>
  <c r="T3156" i="6"/>
  <c r="T3155" i="6"/>
  <c r="T3154" i="6"/>
  <c r="T3153" i="6"/>
  <c r="T3152" i="6"/>
  <c r="T3151" i="6"/>
  <c r="T3150" i="6"/>
  <c r="T3149" i="6"/>
  <c r="T3148" i="6"/>
  <c r="T3147" i="6"/>
  <c r="T3146" i="6"/>
  <c r="T3145" i="6"/>
  <c r="T3144" i="6"/>
  <c r="T3143" i="6"/>
  <c r="T3142" i="6"/>
  <c r="T3141" i="6"/>
  <c r="T3140" i="6"/>
  <c r="T3139" i="6"/>
  <c r="T3138" i="6"/>
  <c r="T3137" i="6"/>
  <c r="T3136" i="6"/>
  <c r="T3135" i="6"/>
  <c r="T3134" i="6"/>
  <c r="T3133" i="6"/>
  <c r="T3132" i="6"/>
  <c r="T3131" i="6"/>
  <c r="T3130" i="6"/>
  <c r="T3129" i="6"/>
  <c r="T3128" i="6"/>
  <c r="T3127" i="6"/>
  <c r="T3126" i="6"/>
  <c r="T3125" i="6"/>
  <c r="T3124" i="6"/>
  <c r="T3123" i="6"/>
  <c r="T3122" i="6"/>
  <c r="T3121" i="6"/>
  <c r="T3120" i="6"/>
  <c r="T3119" i="6"/>
  <c r="T3118" i="6"/>
  <c r="T3117" i="6"/>
  <c r="T3116" i="6"/>
  <c r="T3115" i="6"/>
  <c r="T3114" i="6"/>
  <c r="T3113" i="6"/>
  <c r="T3112" i="6"/>
  <c r="T3111" i="6"/>
  <c r="T3110" i="6"/>
  <c r="T3109" i="6"/>
  <c r="T3108" i="6"/>
  <c r="T3107" i="6"/>
  <c r="T3106" i="6"/>
  <c r="T3105" i="6"/>
  <c r="T3104" i="6"/>
  <c r="T3103" i="6"/>
  <c r="T3102" i="6"/>
  <c r="T3101" i="6"/>
  <c r="T3100" i="6"/>
  <c r="T3099" i="6"/>
  <c r="T3098" i="6"/>
  <c r="T3097" i="6"/>
  <c r="T3096" i="6"/>
  <c r="T3095" i="6"/>
  <c r="T3094" i="6"/>
  <c r="T3093" i="6"/>
  <c r="T3092" i="6"/>
  <c r="T3091" i="6"/>
  <c r="T3090" i="6"/>
  <c r="T3089" i="6"/>
  <c r="T3088" i="6"/>
  <c r="T3087" i="6"/>
  <c r="T3086" i="6"/>
  <c r="T3085" i="6"/>
  <c r="T3084" i="6"/>
  <c r="T3083" i="6"/>
  <c r="T3082" i="6"/>
  <c r="T3081" i="6"/>
  <c r="T3080" i="6"/>
  <c r="T3079" i="6"/>
  <c r="T3078" i="6"/>
  <c r="T3077" i="6"/>
  <c r="T3076" i="6"/>
  <c r="T3075" i="6"/>
  <c r="T3074" i="6"/>
  <c r="T3073" i="6"/>
  <c r="T3072" i="6"/>
  <c r="T3071" i="6"/>
  <c r="T3070" i="6"/>
  <c r="T3069" i="6"/>
  <c r="T3068" i="6"/>
  <c r="T3067" i="6"/>
  <c r="T3066" i="6"/>
  <c r="T3065" i="6"/>
  <c r="T3064" i="6"/>
  <c r="T3063" i="6"/>
  <c r="T3062" i="6"/>
  <c r="T3061" i="6"/>
  <c r="T3060" i="6"/>
  <c r="T3059" i="6"/>
  <c r="T3058" i="6"/>
  <c r="T3057" i="6"/>
  <c r="T3056" i="6"/>
  <c r="T3055" i="6"/>
  <c r="T3054" i="6"/>
  <c r="T3053" i="6"/>
  <c r="T3052" i="6"/>
  <c r="T3051" i="6"/>
  <c r="T3050" i="6"/>
  <c r="T3049" i="6"/>
  <c r="T3048" i="6"/>
  <c r="T3047" i="6"/>
  <c r="T3046" i="6"/>
  <c r="T3045" i="6"/>
  <c r="T3044" i="6"/>
  <c r="T3043" i="6"/>
  <c r="T3042" i="6"/>
  <c r="T3041" i="6"/>
  <c r="T3040" i="6"/>
  <c r="T3039" i="6"/>
  <c r="T3038" i="6"/>
  <c r="T3037" i="6"/>
  <c r="T3036" i="6"/>
  <c r="T3035" i="6"/>
  <c r="T3034" i="6"/>
  <c r="T3033" i="6"/>
  <c r="T3032" i="6"/>
  <c r="T3031" i="6"/>
  <c r="T3030" i="6"/>
  <c r="T3029" i="6"/>
  <c r="T3028" i="6"/>
  <c r="T3027" i="6"/>
  <c r="T3026" i="6"/>
  <c r="T3025" i="6"/>
  <c r="T3024" i="6"/>
  <c r="T3023" i="6"/>
  <c r="T3022" i="6"/>
  <c r="T3021" i="6"/>
  <c r="T3020" i="6"/>
  <c r="T3019" i="6"/>
  <c r="T3018" i="6"/>
  <c r="T3017" i="6"/>
  <c r="T3016" i="6"/>
  <c r="T3015" i="6"/>
  <c r="T3014" i="6"/>
  <c r="T3013" i="6"/>
  <c r="T3012" i="6"/>
  <c r="T3011" i="6"/>
  <c r="T3010" i="6"/>
  <c r="T3009" i="6"/>
  <c r="T3008" i="6"/>
  <c r="T3007" i="6"/>
  <c r="T3006" i="6"/>
  <c r="T3005" i="6"/>
  <c r="T3004" i="6"/>
  <c r="T3003" i="6"/>
  <c r="T3002" i="6"/>
  <c r="T3001" i="6"/>
  <c r="T3000" i="6"/>
  <c r="T2999" i="6"/>
  <c r="T2998" i="6"/>
  <c r="T2997" i="6"/>
  <c r="T2996" i="6"/>
  <c r="T2995" i="6"/>
  <c r="T2994" i="6"/>
  <c r="T2993" i="6"/>
  <c r="T2992" i="6"/>
  <c r="T2991" i="6"/>
  <c r="T2990" i="6"/>
  <c r="T2989" i="6"/>
  <c r="T2988" i="6"/>
  <c r="T2987" i="6"/>
  <c r="T2986" i="6"/>
  <c r="T2985" i="6"/>
  <c r="T2984" i="6"/>
  <c r="T2983" i="6"/>
  <c r="T2982" i="6"/>
  <c r="T2981" i="6"/>
  <c r="T2980" i="6"/>
  <c r="T2979" i="6"/>
  <c r="T2978" i="6"/>
  <c r="T2977" i="6"/>
  <c r="T2976" i="6"/>
  <c r="T2975" i="6"/>
  <c r="T2974" i="6"/>
  <c r="T2973" i="6"/>
  <c r="T2972" i="6"/>
  <c r="T2971" i="6"/>
  <c r="T2970" i="6"/>
  <c r="T2969" i="6"/>
  <c r="T2968" i="6"/>
  <c r="T2967" i="6"/>
  <c r="T2966" i="6"/>
  <c r="T2965" i="6"/>
  <c r="T2964" i="6"/>
  <c r="T2963" i="6"/>
  <c r="T2962" i="6"/>
  <c r="T2961" i="6"/>
  <c r="T2960" i="6"/>
  <c r="T2959" i="6"/>
  <c r="T2958" i="6"/>
  <c r="T2957" i="6"/>
  <c r="T2956" i="6"/>
  <c r="T2955" i="6"/>
  <c r="T2954" i="6"/>
  <c r="T2953" i="6"/>
  <c r="T2952" i="6"/>
  <c r="T2951" i="6"/>
  <c r="T2950" i="6"/>
  <c r="T2949" i="6"/>
  <c r="T2948" i="6"/>
  <c r="T2947" i="6"/>
  <c r="T2946" i="6"/>
  <c r="T2945" i="6"/>
  <c r="T2944" i="6"/>
  <c r="T2943" i="6"/>
  <c r="T2942" i="6"/>
  <c r="T2941" i="6"/>
  <c r="T2940" i="6"/>
  <c r="T2939" i="6"/>
  <c r="T2938" i="6"/>
  <c r="T2937" i="6"/>
  <c r="T2936" i="6"/>
  <c r="T2935" i="6"/>
  <c r="T2934" i="6"/>
  <c r="T2933" i="6"/>
  <c r="T2932" i="6"/>
  <c r="T2931" i="6"/>
  <c r="T2930" i="6"/>
  <c r="T2929" i="6"/>
  <c r="T2928" i="6"/>
  <c r="T2927" i="6"/>
  <c r="T2926" i="6"/>
  <c r="T2925" i="6"/>
  <c r="T2924" i="6"/>
  <c r="T2923" i="6"/>
  <c r="T2922" i="6"/>
  <c r="T2921" i="6"/>
  <c r="T2920" i="6"/>
  <c r="T2919" i="6"/>
  <c r="T2918" i="6"/>
  <c r="T2917" i="6"/>
  <c r="T2916" i="6"/>
  <c r="T2915" i="6"/>
  <c r="T2914" i="6"/>
  <c r="T2913" i="6"/>
  <c r="T2912" i="6"/>
  <c r="T2911" i="6"/>
  <c r="T2910" i="6"/>
  <c r="T2909" i="6"/>
  <c r="T2908" i="6"/>
  <c r="T2907" i="6"/>
  <c r="T2906" i="6"/>
  <c r="T2905" i="6"/>
  <c r="T2904" i="6"/>
  <c r="T2903" i="6"/>
  <c r="T2902" i="6"/>
  <c r="T2901" i="6"/>
  <c r="T2900" i="6"/>
  <c r="T2899" i="6"/>
  <c r="T2898" i="6"/>
  <c r="T2897" i="6"/>
  <c r="T2896" i="6"/>
  <c r="T2895" i="6"/>
  <c r="T2894" i="6"/>
  <c r="T2893" i="6"/>
  <c r="T2892" i="6"/>
  <c r="T2891" i="6"/>
  <c r="T2890" i="6"/>
  <c r="T2889" i="6"/>
  <c r="T2888" i="6"/>
  <c r="T2887" i="6"/>
  <c r="T2886" i="6"/>
  <c r="T2885" i="6"/>
  <c r="T2884" i="6"/>
  <c r="T2883" i="6"/>
  <c r="T2882" i="6"/>
  <c r="T2881" i="6"/>
  <c r="T2880" i="6"/>
  <c r="T2879" i="6"/>
  <c r="T2878" i="6"/>
  <c r="T2877" i="6"/>
  <c r="T2876" i="6"/>
  <c r="T2875" i="6"/>
  <c r="T2874" i="6"/>
  <c r="T2873" i="6"/>
  <c r="T2872" i="6"/>
  <c r="T2871" i="6"/>
  <c r="T2870" i="6"/>
  <c r="T2869" i="6"/>
  <c r="T2868" i="6"/>
  <c r="T2867" i="6"/>
  <c r="T2866" i="6"/>
  <c r="T2865" i="6"/>
  <c r="T2864" i="6"/>
  <c r="T2863" i="6"/>
  <c r="T2862" i="6"/>
  <c r="T2861" i="6"/>
  <c r="T2860" i="6"/>
  <c r="T2859" i="6"/>
  <c r="T2858" i="6"/>
  <c r="T2857" i="6"/>
  <c r="T2856" i="6"/>
  <c r="T2855" i="6"/>
  <c r="T2854" i="6"/>
  <c r="T2853" i="6"/>
  <c r="T2852" i="6"/>
  <c r="T2851" i="6"/>
  <c r="T2850" i="6"/>
  <c r="T2849" i="6"/>
  <c r="T2848" i="6"/>
  <c r="T2847" i="6"/>
  <c r="T2846" i="6"/>
  <c r="T2845" i="6"/>
  <c r="T2844" i="6"/>
  <c r="T2843" i="6"/>
  <c r="T2842" i="6"/>
  <c r="T2841" i="6"/>
  <c r="T2840" i="6"/>
  <c r="T2839" i="6"/>
  <c r="T2838" i="6"/>
  <c r="T2837" i="6"/>
  <c r="T2836" i="6"/>
  <c r="T2835" i="6"/>
  <c r="T2834" i="6"/>
  <c r="T2833" i="6"/>
  <c r="T2832" i="6"/>
  <c r="T2831" i="6"/>
  <c r="T2830" i="6"/>
  <c r="T2829" i="6"/>
  <c r="T2828" i="6"/>
  <c r="T2827" i="6"/>
  <c r="T2826" i="6"/>
  <c r="T2825" i="6"/>
  <c r="T2824" i="6"/>
  <c r="T2823" i="6"/>
  <c r="T2822" i="6"/>
  <c r="T2821" i="6"/>
  <c r="T2820" i="6"/>
  <c r="T2819" i="6"/>
  <c r="T2818" i="6"/>
  <c r="T2817" i="6"/>
  <c r="T2816" i="6"/>
  <c r="T2815" i="6"/>
  <c r="T2814" i="6"/>
  <c r="T2813" i="6"/>
  <c r="T2812" i="6"/>
  <c r="T2811" i="6"/>
  <c r="T2810" i="6"/>
  <c r="T2809" i="6"/>
  <c r="T2808" i="6"/>
  <c r="T2807" i="6"/>
  <c r="T2806" i="6"/>
  <c r="T2805" i="6"/>
  <c r="T2804" i="6"/>
  <c r="T2803" i="6"/>
  <c r="T2802" i="6"/>
  <c r="T2801" i="6"/>
  <c r="T2800" i="6"/>
  <c r="T2799" i="6"/>
  <c r="T2798" i="6"/>
  <c r="T2797" i="6"/>
  <c r="T2796" i="6"/>
  <c r="T2795" i="6"/>
  <c r="T2794" i="6"/>
  <c r="T2793" i="6"/>
  <c r="T2792" i="6"/>
  <c r="T2791" i="6"/>
  <c r="T2790" i="6"/>
  <c r="T2789" i="6"/>
  <c r="T2788" i="6"/>
  <c r="T2787" i="6"/>
  <c r="T2786" i="6"/>
  <c r="T2785" i="6"/>
  <c r="T2784" i="6"/>
  <c r="T2783" i="6"/>
  <c r="T2782" i="6"/>
  <c r="T2781" i="6"/>
  <c r="T2780" i="6"/>
  <c r="T2779" i="6"/>
  <c r="T2778" i="6"/>
  <c r="T2777" i="6"/>
  <c r="T2776" i="6"/>
  <c r="T2775" i="6"/>
  <c r="T2774" i="6"/>
  <c r="T2773" i="6"/>
  <c r="T2772" i="6"/>
  <c r="T2771" i="6"/>
  <c r="T2770" i="6"/>
  <c r="T2769" i="6"/>
  <c r="T2768" i="6"/>
  <c r="T2767" i="6"/>
  <c r="T2766" i="6"/>
  <c r="T2765" i="6"/>
  <c r="T2764" i="6"/>
  <c r="T2763" i="6"/>
  <c r="T2762" i="6"/>
  <c r="T2761" i="6"/>
  <c r="T2760" i="6"/>
  <c r="T2759" i="6"/>
  <c r="T2758" i="6"/>
  <c r="T2757" i="6"/>
  <c r="T2756" i="6"/>
  <c r="T2755" i="6"/>
  <c r="T2754" i="6"/>
  <c r="T2753" i="6"/>
  <c r="T2752" i="6"/>
  <c r="T2751" i="6"/>
  <c r="T2750" i="6"/>
  <c r="T2749" i="6"/>
  <c r="T2748" i="6"/>
  <c r="T2747" i="6"/>
  <c r="T2746" i="6"/>
  <c r="T2745" i="6"/>
  <c r="T2744" i="6"/>
  <c r="T2743" i="6"/>
  <c r="T2742" i="6"/>
  <c r="T2741" i="6"/>
  <c r="T2740" i="6"/>
  <c r="T2739" i="6"/>
  <c r="T2738" i="6"/>
  <c r="T2737" i="6"/>
  <c r="T2736" i="6"/>
  <c r="T2735" i="6"/>
  <c r="T2734" i="6"/>
  <c r="T2733" i="6"/>
  <c r="T2732" i="6"/>
  <c r="T2731" i="6"/>
  <c r="T2730" i="6"/>
  <c r="T2729" i="6"/>
  <c r="T2728" i="6"/>
  <c r="T2727" i="6"/>
  <c r="T2726" i="6"/>
  <c r="T2725" i="6"/>
  <c r="T2724" i="6"/>
  <c r="T2723" i="6"/>
  <c r="T2722" i="6"/>
  <c r="T2721" i="6"/>
  <c r="T2720" i="6"/>
  <c r="T2719" i="6"/>
  <c r="T2718" i="6"/>
  <c r="T2717" i="6"/>
  <c r="T2716" i="6"/>
  <c r="T2715" i="6"/>
  <c r="T2714" i="6"/>
  <c r="T2713" i="6"/>
  <c r="T2712" i="6"/>
  <c r="T2711" i="6"/>
  <c r="T2710" i="6"/>
  <c r="T2709" i="6"/>
  <c r="T2708" i="6"/>
  <c r="T2707" i="6"/>
  <c r="T2706" i="6"/>
  <c r="T2705" i="6"/>
  <c r="T2704" i="6"/>
  <c r="T2703" i="6"/>
  <c r="T2702" i="6"/>
  <c r="T2701" i="6"/>
  <c r="T2700" i="6"/>
  <c r="T2699" i="6"/>
  <c r="T2698" i="6"/>
  <c r="T2697" i="6"/>
  <c r="T2696" i="6"/>
  <c r="T2695" i="6"/>
  <c r="T2694" i="6"/>
  <c r="T2693" i="6"/>
  <c r="T2692" i="6"/>
  <c r="T2691" i="6"/>
  <c r="T2690" i="6"/>
  <c r="T2689" i="6"/>
  <c r="T2688" i="6"/>
  <c r="T2687" i="6"/>
  <c r="T2686" i="6"/>
  <c r="T2685" i="6"/>
  <c r="T2684" i="6"/>
  <c r="T2683" i="6"/>
  <c r="T2682" i="6"/>
  <c r="T2681" i="6"/>
  <c r="T2680" i="6"/>
  <c r="T2679" i="6"/>
  <c r="T2678" i="6"/>
  <c r="T2677" i="6"/>
  <c r="T2676" i="6"/>
  <c r="T2675" i="6"/>
  <c r="T2674" i="6"/>
  <c r="T2673" i="6"/>
  <c r="T2672" i="6"/>
  <c r="T2671" i="6"/>
  <c r="T2670" i="6"/>
  <c r="T2669" i="6"/>
  <c r="T2668" i="6"/>
  <c r="T2667" i="6"/>
  <c r="T2666" i="6"/>
  <c r="T2665" i="6"/>
  <c r="T2664" i="6"/>
  <c r="T2663" i="6"/>
  <c r="T2662" i="6"/>
  <c r="T2661" i="6"/>
  <c r="T2660" i="6"/>
  <c r="T2659" i="6"/>
  <c r="T2658" i="6"/>
  <c r="T2657" i="6"/>
  <c r="T2656" i="6"/>
  <c r="T2655" i="6"/>
  <c r="T2654" i="6"/>
  <c r="T2653" i="6"/>
  <c r="T2652" i="6"/>
  <c r="T2651" i="6"/>
  <c r="T2650" i="6"/>
  <c r="T2649" i="6"/>
  <c r="T2648" i="6"/>
  <c r="T2647" i="6"/>
  <c r="T2646" i="6"/>
  <c r="T2645" i="6"/>
  <c r="T2644" i="6"/>
  <c r="T2643" i="6"/>
  <c r="T2642" i="6"/>
  <c r="T2641" i="6"/>
  <c r="T2640" i="6"/>
  <c r="T2639" i="6"/>
  <c r="T2638" i="6"/>
  <c r="T2637" i="6"/>
  <c r="T2636" i="6"/>
  <c r="T2635" i="6"/>
  <c r="T2634" i="6"/>
  <c r="T2633" i="6"/>
  <c r="T2632" i="6"/>
  <c r="T2631" i="6"/>
  <c r="T2630" i="6"/>
  <c r="T2629" i="6"/>
  <c r="T2628" i="6"/>
  <c r="T2627" i="6"/>
  <c r="T2626" i="6"/>
  <c r="T2625" i="6"/>
  <c r="T2624" i="6"/>
  <c r="T2623" i="6"/>
  <c r="T2622" i="6"/>
  <c r="T2621" i="6"/>
  <c r="T2620" i="6"/>
  <c r="T2619" i="6"/>
  <c r="T2618" i="6"/>
  <c r="T2617" i="6"/>
  <c r="T2616" i="6"/>
  <c r="T2615" i="6"/>
  <c r="T2614" i="6"/>
  <c r="T2613" i="6"/>
  <c r="T2612" i="6"/>
  <c r="T2611" i="6"/>
  <c r="T2610" i="6"/>
  <c r="T2609" i="6"/>
  <c r="T2608" i="6"/>
  <c r="T2607" i="6"/>
  <c r="T2606" i="6"/>
  <c r="T2605" i="6"/>
  <c r="T2604" i="6"/>
  <c r="T2603" i="6"/>
  <c r="T2602" i="6"/>
  <c r="T2601" i="6"/>
  <c r="T2600" i="6"/>
  <c r="T2599" i="6"/>
  <c r="T2598" i="6"/>
  <c r="T2597" i="6"/>
  <c r="T2596" i="6"/>
  <c r="T2595" i="6"/>
  <c r="T2594" i="6"/>
  <c r="T2593" i="6"/>
  <c r="T2592" i="6"/>
  <c r="T2591" i="6"/>
  <c r="T2590" i="6"/>
  <c r="T2589" i="6"/>
  <c r="T2588" i="6"/>
  <c r="T2587" i="6"/>
  <c r="T2586" i="6"/>
  <c r="T2585" i="6"/>
  <c r="T2584" i="6"/>
  <c r="T2583" i="6"/>
  <c r="T2582" i="6"/>
  <c r="T2581" i="6"/>
  <c r="T2580" i="6"/>
  <c r="T2579" i="6"/>
  <c r="T2578" i="6"/>
  <c r="T2577" i="6"/>
  <c r="T2576" i="6"/>
  <c r="T2575" i="6"/>
  <c r="T2574" i="6"/>
  <c r="T2573" i="6"/>
  <c r="T2572" i="6"/>
  <c r="T2571" i="6"/>
  <c r="T2570" i="6"/>
  <c r="T2569" i="6"/>
  <c r="T2568" i="6"/>
  <c r="T2567" i="6"/>
  <c r="T2566" i="6"/>
  <c r="T2565" i="6"/>
  <c r="T2564" i="6"/>
  <c r="T2563" i="6"/>
  <c r="T2562" i="6"/>
  <c r="T2561" i="6"/>
  <c r="T2560" i="6"/>
  <c r="T2559" i="6"/>
  <c r="T2558" i="6"/>
  <c r="T2557" i="6"/>
  <c r="T2556" i="6"/>
  <c r="T2555" i="6"/>
  <c r="T2554" i="6"/>
  <c r="T2553" i="6"/>
  <c r="T2552" i="6"/>
  <c r="T2551" i="6"/>
  <c r="T2550" i="6"/>
  <c r="T2549" i="6"/>
  <c r="T2548" i="6"/>
  <c r="T2547" i="6"/>
  <c r="T2546" i="6"/>
  <c r="T2545" i="6"/>
  <c r="T2544" i="6"/>
  <c r="T2543" i="6"/>
  <c r="T2542" i="6"/>
  <c r="T2541" i="6"/>
  <c r="T2540" i="6"/>
  <c r="T2539" i="6"/>
  <c r="T2538" i="6"/>
  <c r="T2537" i="6"/>
  <c r="T2536" i="6"/>
  <c r="T2535" i="6"/>
  <c r="T2534" i="6"/>
  <c r="T2533" i="6"/>
  <c r="T2532" i="6"/>
  <c r="T2531" i="6"/>
  <c r="T2530" i="6"/>
  <c r="T2529" i="6"/>
  <c r="T2528" i="6"/>
  <c r="T2527" i="6"/>
  <c r="T2526" i="6"/>
  <c r="T2525" i="6"/>
  <c r="T2524" i="6"/>
  <c r="T2523" i="6"/>
  <c r="T2522" i="6"/>
  <c r="T2521" i="6"/>
  <c r="T2520" i="6"/>
  <c r="T2519" i="6"/>
  <c r="T2518" i="6"/>
  <c r="T2517" i="6"/>
  <c r="T2516" i="6"/>
  <c r="T2515" i="6"/>
  <c r="T2514" i="6"/>
  <c r="T2513" i="6"/>
  <c r="T2512" i="6"/>
  <c r="T2511" i="6"/>
  <c r="T2510" i="6"/>
  <c r="T2509" i="6"/>
  <c r="T2508" i="6"/>
  <c r="T2507" i="6"/>
  <c r="T2506" i="6"/>
  <c r="T2505" i="6"/>
  <c r="T2504" i="6"/>
  <c r="T2503" i="6"/>
  <c r="T2502" i="6"/>
  <c r="T2501" i="6"/>
  <c r="T2500" i="6"/>
  <c r="T2499" i="6"/>
  <c r="T2498" i="6"/>
  <c r="T2497" i="6"/>
  <c r="T2496" i="6"/>
  <c r="T2495" i="6"/>
  <c r="T2494" i="6"/>
  <c r="T2493" i="6"/>
  <c r="T2492" i="6"/>
  <c r="T2491" i="6"/>
  <c r="T2490" i="6"/>
  <c r="T2489" i="6"/>
  <c r="T2488" i="6"/>
  <c r="T2487" i="6"/>
  <c r="T2486" i="6"/>
  <c r="T2485" i="6"/>
  <c r="T2484" i="6"/>
  <c r="T2483" i="6"/>
  <c r="T2482" i="6"/>
  <c r="T2481" i="6"/>
  <c r="T2480" i="6"/>
  <c r="T2479" i="6"/>
  <c r="T2478" i="6"/>
  <c r="T2477" i="6"/>
  <c r="T2476" i="6"/>
  <c r="T2475" i="6"/>
  <c r="T2474" i="6"/>
  <c r="T2473" i="6"/>
  <c r="T2472" i="6"/>
  <c r="T2471" i="6"/>
  <c r="T2470" i="6"/>
  <c r="T2469" i="6"/>
  <c r="T2468" i="6"/>
  <c r="T2467" i="6"/>
  <c r="T2466" i="6"/>
  <c r="T2465" i="6"/>
  <c r="T2464" i="6"/>
  <c r="T2463" i="6"/>
  <c r="T2462" i="6"/>
  <c r="T2461" i="6"/>
  <c r="T2460" i="6"/>
  <c r="T2459" i="6"/>
  <c r="T2458" i="6"/>
  <c r="T2457" i="6"/>
  <c r="T2456" i="6"/>
  <c r="T2455" i="6"/>
  <c r="T2454" i="6"/>
  <c r="T2453" i="6"/>
  <c r="T2452" i="6"/>
  <c r="T2451" i="6"/>
  <c r="T2450" i="6"/>
  <c r="T2449" i="6"/>
  <c r="T2448" i="6"/>
  <c r="T2447" i="6"/>
  <c r="T2446" i="6"/>
  <c r="T2445" i="6"/>
  <c r="T2444" i="6"/>
  <c r="T2443" i="6"/>
  <c r="T2442" i="6"/>
  <c r="T2441" i="6"/>
  <c r="T2440" i="6"/>
  <c r="T2439" i="6"/>
  <c r="T2438" i="6"/>
  <c r="T2437" i="6"/>
  <c r="T2436" i="6"/>
  <c r="T2435" i="6"/>
  <c r="T2434" i="6"/>
  <c r="T2433" i="6"/>
  <c r="T2432" i="6"/>
  <c r="T2431" i="6"/>
  <c r="T2430" i="6"/>
  <c r="T2429" i="6"/>
  <c r="T2428" i="6"/>
  <c r="T2427" i="6"/>
  <c r="T2426" i="6"/>
  <c r="T2425" i="6"/>
  <c r="T2424" i="6"/>
  <c r="T2423" i="6"/>
  <c r="T2422" i="6"/>
  <c r="T2421" i="6"/>
  <c r="T2420" i="6"/>
  <c r="T2419" i="6"/>
  <c r="T2418" i="6"/>
  <c r="T2417" i="6"/>
  <c r="T2416" i="6"/>
  <c r="T2415" i="6"/>
  <c r="T2414" i="6"/>
  <c r="T2413" i="6"/>
  <c r="T2412" i="6"/>
  <c r="T2411" i="6"/>
  <c r="T2410" i="6"/>
  <c r="T2409" i="6"/>
  <c r="T2408" i="6"/>
  <c r="T2407" i="6"/>
  <c r="T2406" i="6"/>
  <c r="T2405" i="6"/>
  <c r="T2404" i="6"/>
  <c r="T2403" i="6"/>
  <c r="T2402" i="6"/>
  <c r="T2401" i="6"/>
  <c r="T2400" i="6"/>
  <c r="T2399" i="6"/>
  <c r="T2398" i="6"/>
  <c r="T2397" i="6"/>
  <c r="T2396" i="6"/>
  <c r="T2395" i="6"/>
  <c r="T2394" i="6"/>
  <c r="T2393" i="6"/>
  <c r="T2392" i="6"/>
  <c r="T2391" i="6"/>
  <c r="T2390" i="6"/>
  <c r="T2389" i="6"/>
  <c r="T2388" i="6"/>
  <c r="T2387" i="6"/>
  <c r="T2386" i="6"/>
  <c r="T2385" i="6"/>
  <c r="T2384" i="6"/>
  <c r="T2383" i="6"/>
  <c r="T2382" i="6"/>
  <c r="T2381" i="6"/>
  <c r="T2380" i="6"/>
  <c r="T2379" i="6"/>
  <c r="T2378" i="6"/>
  <c r="T2377" i="6"/>
  <c r="T2376" i="6"/>
  <c r="T2375" i="6"/>
  <c r="T2374" i="6"/>
  <c r="T2373" i="6"/>
  <c r="T2372" i="6"/>
  <c r="T2371" i="6"/>
  <c r="T2370" i="6"/>
  <c r="T2369" i="6"/>
  <c r="T2368" i="6"/>
  <c r="T2367" i="6"/>
  <c r="T2366" i="6"/>
  <c r="T2365" i="6"/>
  <c r="T2364" i="6"/>
  <c r="T2363" i="6"/>
  <c r="T2362" i="6"/>
  <c r="T2361" i="6"/>
  <c r="T2360" i="6"/>
  <c r="T2359" i="6"/>
  <c r="T2358" i="6"/>
  <c r="T2357" i="6"/>
  <c r="T2356" i="6"/>
  <c r="T2355" i="6"/>
  <c r="T2354" i="6"/>
  <c r="T2353" i="6"/>
  <c r="T2352" i="6"/>
  <c r="T2351" i="6"/>
  <c r="T2350" i="6"/>
  <c r="T2349" i="6"/>
  <c r="T2348" i="6"/>
  <c r="T2347" i="6"/>
  <c r="T2346" i="6"/>
  <c r="T2345" i="6"/>
  <c r="T2344" i="6"/>
  <c r="T2343" i="6"/>
  <c r="T2342" i="6"/>
  <c r="T2341" i="6"/>
  <c r="T2340" i="6"/>
  <c r="T2339" i="6"/>
  <c r="T2338" i="6"/>
  <c r="T2337" i="6"/>
  <c r="T2336" i="6"/>
  <c r="T2335" i="6"/>
  <c r="T2334" i="6"/>
  <c r="T2333" i="6"/>
  <c r="T2332" i="6"/>
  <c r="T2331" i="6"/>
  <c r="T2330" i="6"/>
  <c r="T2329" i="6"/>
  <c r="T2328" i="6"/>
  <c r="T2327" i="6"/>
  <c r="T2326" i="6"/>
  <c r="T2325" i="6"/>
  <c r="T2324" i="6"/>
  <c r="T2323" i="6"/>
  <c r="T2322" i="6"/>
  <c r="T2321" i="6"/>
  <c r="T2320" i="6"/>
  <c r="T2319" i="6"/>
  <c r="T2318" i="6"/>
  <c r="T2317" i="6"/>
  <c r="T2316" i="6"/>
  <c r="T2315" i="6"/>
  <c r="T2314" i="6"/>
  <c r="T2313" i="6"/>
  <c r="T2312" i="6"/>
  <c r="T2311" i="6"/>
  <c r="T2310" i="6"/>
  <c r="T2309" i="6"/>
  <c r="T2308" i="6"/>
  <c r="T2307" i="6"/>
  <c r="T2306" i="6"/>
  <c r="T2305" i="6"/>
  <c r="T2304" i="6"/>
  <c r="T2303" i="6"/>
  <c r="T2302" i="6"/>
  <c r="T2301" i="6"/>
  <c r="T2300" i="6"/>
  <c r="T2299" i="6"/>
  <c r="T2298" i="6"/>
  <c r="T2297" i="6"/>
  <c r="T2296" i="6"/>
  <c r="T2295" i="6"/>
  <c r="T2294" i="6"/>
  <c r="T2293" i="6"/>
  <c r="T2292" i="6"/>
  <c r="T2291" i="6"/>
  <c r="T2290" i="6"/>
  <c r="T2289" i="6"/>
  <c r="T2288" i="6"/>
  <c r="T2287" i="6"/>
  <c r="T2286" i="6"/>
  <c r="T2285" i="6"/>
  <c r="T2284" i="6"/>
  <c r="T2283" i="6"/>
  <c r="T2282" i="6"/>
  <c r="T2281" i="6"/>
  <c r="T2280" i="6"/>
  <c r="T2279" i="6"/>
  <c r="T2278" i="6"/>
  <c r="T2277" i="6"/>
  <c r="T2276" i="6"/>
  <c r="T2275" i="6"/>
  <c r="T2274" i="6"/>
  <c r="T2273" i="6"/>
  <c r="T2272" i="6"/>
  <c r="T2271" i="6"/>
  <c r="T2270" i="6"/>
  <c r="T2269" i="6"/>
  <c r="T2268" i="6"/>
  <c r="T2267" i="6"/>
  <c r="T2266" i="6"/>
  <c r="T2265" i="6"/>
  <c r="T2264" i="6"/>
  <c r="T2263" i="6"/>
  <c r="T2262" i="6"/>
  <c r="T2261" i="6"/>
  <c r="T2260" i="6"/>
  <c r="T2259" i="6"/>
  <c r="T2258" i="6"/>
  <c r="T2257" i="6"/>
  <c r="T2256" i="6"/>
  <c r="T2255" i="6"/>
  <c r="T2254" i="6"/>
  <c r="T2253" i="6"/>
  <c r="T2252" i="6"/>
  <c r="T2251" i="6"/>
  <c r="T2250" i="6"/>
  <c r="T2249" i="6"/>
  <c r="T2248" i="6"/>
  <c r="T2247" i="6"/>
  <c r="T2246" i="6"/>
  <c r="T2245" i="6"/>
  <c r="T2244" i="6"/>
  <c r="T2243" i="6"/>
  <c r="T2242" i="6"/>
  <c r="T2241" i="6"/>
  <c r="T2240" i="6"/>
  <c r="T2239" i="6"/>
  <c r="T2238" i="6"/>
  <c r="T2237" i="6"/>
  <c r="T2236" i="6"/>
  <c r="T2235" i="6"/>
  <c r="T2234" i="6"/>
  <c r="T2233" i="6"/>
  <c r="T2232" i="6"/>
  <c r="T2231" i="6"/>
  <c r="T2230" i="6"/>
  <c r="T2229" i="6"/>
  <c r="T2228" i="6"/>
  <c r="T2227" i="6"/>
  <c r="T2226" i="6"/>
  <c r="T2225" i="6"/>
  <c r="T2224" i="6"/>
  <c r="T2223" i="6"/>
  <c r="T2222" i="6"/>
  <c r="T2221" i="6"/>
  <c r="T2220" i="6"/>
  <c r="T2219" i="6"/>
  <c r="T2218" i="6"/>
  <c r="T2217" i="6"/>
  <c r="T2216" i="6"/>
  <c r="T2215" i="6"/>
  <c r="T2214" i="6"/>
  <c r="T2213" i="6"/>
  <c r="T2212" i="6"/>
  <c r="T2211" i="6"/>
  <c r="T2210" i="6"/>
  <c r="T2209" i="6"/>
  <c r="T2208" i="6"/>
  <c r="T2207" i="6"/>
  <c r="T2206" i="6"/>
  <c r="T2205" i="6"/>
  <c r="T2204" i="6"/>
  <c r="T2203" i="6"/>
  <c r="T2202" i="6"/>
  <c r="T2201" i="6"/>
  <c r="T2200" i="6"/>
  <c r="T2199" i="6"/>
  <c r="T2198" i="6"/>
  <c r="T2197" i="6"/>
  <c r="T2196" i="6"/>
  <c r="T2195" i="6"/>
  <c r="T2194" i="6"/>
  <c r="T2193" i="6"/>
  <c r="T2192" i="6"/>
  <c r="T2191" i="6"/>
  <c r="T2190" i="6"/>
  <c r="T2189" i="6"/>
  <c r="T2188" i="6"/>
  <c r="T2187" i="6"/>
  <c r="T2186" i="6"/>
  <c r="T2185" i="6"/>
  <c r="T2184" i="6"/>
  <c r="T2183" i="6"/>
  <c r="T2182" i="6"/>
  <c r="T2181" i="6"/>
  <c r="T2180" i="6"/>
  <c r="T2179" i="6"/>
  <c r="T2178" i="6"/>
  <c r="T2177" i="6"/>
  <c r="T2176" i="6"/>
  <c r="T2175" i="6"/>
  <c r="T2174" i="6"/>
  <c r="T2173" i="6"/>
  <c r="T2172" i="6"/>
  <c r="T2171" i="6"/>
  <c r="T2170" i="6"/>
  <c r="T2169" i="6"/>
  <c r="T2168" i="6"/>
  <c r="T2167" i="6"/>
  <c r="T2166" i="6"/>
  <c r="T2165" i="6"/>
  <c r="T2164" i="6"/>
  <c r="T2163" i="6"/>
  <c r="T2162" i="6"/>
  <c r="T2161" i="6"/>
  <c r="T2160" i="6"/>
  <c r="T2159" i="6"/>
  <c r="T2158" i="6"/>
  <c r="T2157" i="6"/>
  <c r="T2156" i="6"/>
  <c r="T2155" i="6"/>
  <c r="T2154" i="6"/>
  <c r="T2153" i="6"/>
  <c r="T2152" i="6"/>
  <c r="T2151" i="6"/>
  <c r="T2150" i="6"/>
  <c r="T2149" i="6"/>
  <c r="T2148" i="6"/>
  <c r="T2147" i="6"/>
  <c r="T2146" i="6"/>
  <c r="T2145" i="6"/>
  <c r="T2144" i="6"/>
  <c r="T2143" i="6"/>
  <c r="T2142" i="6"/>
  <c r="T2141" i="6"/>
  <c r="T2140" i="6"/>
  <c r="T2139" i="6"/>
  <c r="T2138" i="6"/>
  <c r="T2137" i="6"/>
  <c r="T2136" i="6"/>
  <c r="T2135" i="6"/>
  <c r="T2134" i="6"/>
  <c r="T2133" i="6"/>
  <c r="T2132" i="6"/>
  <c r="T2131" i="6"/>
  <c r="T2130" i="6"/>
  <c r="T2129" i="6"/>
  <c r="T2128" i="6"/>
  <c r="T2127" i="6"/>
  <c r="T2126" i="6"/>
  <c r="T2125" i="6"/>
  <c r="T2124" i="6"/>
  <c r="T2123" i="6"/>
  <c r="T2122" i="6"/>
  <c r="T2121" i="6"/>
  <c r="T2120" i="6"/>
  <c r="T2119" i="6"/>
  <c r="T2118" i="6"/>
  <c r="T2117" i="6"/>
  <c r="T2116" i="6"/>
  <c r="T2115" i="6"/>
  <c r="T2114" i="6"/>
  <c r="T2113" i="6"/>
  <c r="T2112" i="6"/>
  <c r="T2111" i="6"/>
  <c r="T2110" i="6"/>
  <c r="T2109" i="6"/>
  <c r="T2108" i="6"/>
  <c r="T2107" i="6"/>
  <c r="T2106" i="6"/>
  <c r="T2105" i="6"/>
  <c r="T2104" i="6"/>
  <c r="T2103" i="6"/>
  <c r="T2102" i="6"/>
  <c r="T2101" i="6"/>
  <c r="T2100" i="6"/>
  <c r="T2099" i="6"/>
  <c r="T2098" i="6"/>
  <c r="T2097" i="6"/>
  <c r="T2096" i="6"/>
  <c r="T2095" i="6"/>
  <c r="T2094" i="6"/>
  <c r="T2093" i="6"/>
  <c r="T2092" i="6"/>
  <c r="T2091" i="6"/>
  <c r="T2090" i="6"/>
  <c r="T2089" i="6"/>
  <c r="T2088" i="6"/>
  <c r="T2087" i="6"/>
  <c r="T2086" i="6"/>
  <c r="T2085" i="6"/>
  <c r="T2084" i="6"/>
  <c r="T2083" i="6"/>
  <c r="T2082" i="6"/>
  <c r="T2081" i="6"/>
  <c r="T2080" i="6"/>
  <c r="T2079" i="6"/>
  <c r="T2078" i="6"/>
  <c r="T2077" i="6"/>
  <c r="T2076" i="6"/>
  <c r="T2075" i="6"/>
  <c r="T2074" i="6"/>
  <c r="T2073" i="6"/>
  <c r="T2072" i="6"/>
  <c r="T2071" i="6"/>
  <c r="T2070" i="6"/>
  <c r="T2069" i="6"/>
  <c r="T2068" i="6"/>
  <c r="T2067" i="6"/>
  <c r="T2066" i="6"/>
  <c r="T2065" i="6"/>
  <c r="T2064" i="6"/>
  <c r="T2063" i="6"/>
  <c r="T2062" i="6"/>
  <c r="T2061" i="6"/>
  <c r="T2060" i="6"/>
  <c r="T2059" i="6"/>
  <c r="T2058" i="6"/>
  <c r="T2057" i="6"/>
  <c r="T2056" i="6"/>
  <c r="T2055" i="6"/>
  <c r="T2054" i="6"/>
  <c r="T2053" i="6"/>
  <c r="T2052" i="6"/>
  <c r="T2051" i="6"/>
  <c r="T2050" i="6"/>
  <c r="T2049" i="6"/>
  <c r="T2048" i="6"/>
  <c r="T2047" i="6"/>
  <c r="T2046" i="6"/>
  <c r="T2045" i="6"/>
  <c r="T2044" i="6"/>
  <c r="T2043" i="6"/>
  <c r="T2042" i="6"/>
  <c r="T2041" i="6"/>
  <c r="T2040" i="6"/>
  <c r="T2039" i="6"/>
  <c r="T2038" i="6"/>
  <c r="T2037" i="6"/>
  <c r="T2036" i="6"/>
  <c r="T2035" i="6"/>
  <c r="T2034" i="6"/>
  <c r="T2033" i="6"/>
  <c r="T2032" i="6"/>
  <c r="T2031" i="6"/>
  <c r="T2030" i="6"/>
  <c r="T2029" i="6"/>
  <c r="T2028" i="6"/>
  <c r="T2027" i="6"/>
  <c r="T2026" i="6"/>
  <c r="T2025" i="6"/>
  <c r="T2024" i="6"/>
  <c r="T2023" i="6"/>
  <c r="T2022" i="6"/>
  <c r="T2021" i="6"/>
  <c r="T2020" i="6"/>
  <c r="T2019" i="6"/>
  <c r="T2018" i="6"/>
  <c r="T2017" i="6"/>
  <c r="T2016" i="6"/>
  <c r="T2015" i="6"/>
  <c r="T2014" i="6"/>
  <c r="T2013" i="6"/>
  <c r="T2012" i="6"/>
  <c r="T2011" i="6"/>
  <c r="T2010" i="6"/>
  <c r="T2009" i="6"/>
  <c r="T2008" i="6"/>
  <c r="T2007" i="6"/>
  <c r="T2006" i="6"/>
  <c r="T2005" i="6"/>
  <c r="T2004" i="6"/>
  <c r="T2003" i="6"/>
  <c r="T2002" i="6"/>
  <c r="T2001" i="6"/>
  <c r="T2000" i="6"/>
  <c r="T1999" i="6"/>
  <c r="T1998" i="6"/>
  <c r="T1997" i="6"/>
  <c r="T1996" i="6"/>
  <c r="T1995" i="6"/>
  <c r="T1994" i="6"/>
  <c r="T1993" i="6"/>
  <c r="T1992" i="6"/>
  <c r="T1991" i="6"/>
  <c r="T1990" i="6"/>
  <c r="T1989" i="6"/>
  <c r="T1988" i="6"/>
  <c r="T1987" i="6"/>
  <c r="T1986" i="6"/>
  <c r="T1985" i="6"/>
  <c r="T1984" i="6"/>
  <c r="T1983" i="6"/>
  <c r="T1982" i="6"/>
  <c r="T1981" i="6"/>
  <c r="T1980" i="6"/>
  <c r="T1979" i="6"/>
  <c r="T1978" i="6"/>
  <c r="T1977" i="6"/>
  <c r="T1976" i="6"/>
  <c r="T1975" i="6"/>
  <c r="T1974" i="6"/>
  <c r="T1973" i="6"/>
  <c r="T1972" i="6"/>
  <c r="T1971" i="6"/>
  <c r="T1970" i="6"/>
  <c r="T1969" i="6"/>
  <c r="T1968" i="6"/>
  <c r="T1967" i="6"/>
  <c r="T1966" i="6"/>
  <c r="T1965" i="6"/>
  <c r="T1964" i="6"/>
  <c r="T1963" i="6"/>
  <c r="T1962" i="6"/>
  <c r="T1961" i="6"/>
  <c r="T1960" i="6"/>
  <c r="T1959" i="6"/>
  <c r="T1958" i="6"/>
  <c r="T1957" i="6"/>
  <c r="T1956" i="6"/>
  <c r="T1955" i="6"/>
  <c r="T1954" i="6"/>
  <c r="T1953" i="6"/>
  <c r="T1952" i="6"/>
  <c r="T1951" i="6"/>
  <c r="T1950" i="6"/>
  <c r="T1949" i="6"/>
  <c r="T1948" i="6"/>
  <c r="T1947" i="6"/>
  <c r="T1946" i="6"/>
  <c r="T1945" i="6"/>
  <c r="T1944" i="6"/>
  <c r="T1943" i="6"/>
  <c r="T1942" i="6"/>
  <c r="T1941" i="6"/>
  <c r="T1940" i="6"/>
  <c r="T1939" i="6"/>
  <c r="T1938" i="6"/>
  <c r="T1937" i="6"/>
  <c r="T1936" i="6"/>
  <c r="T1935" i="6"/>
  <c r="T1934" i="6"/>
  <c r="T1933" i="6"/>
  <c r="T1932" i="6"/>
  <c r="T1931" i="6"/>
  <c r="T1930" i="6"/>
  <c r="T1929" i="6"/>
  <c r="T1928" i="6"/>
  <c r="T1927" i="6"/>
  <c r="T1926" i="6"/>
  <c r="T1925" i="6"/>
  <c r="T1924" i="6"/>
  <c r="T1923" i="6"/>
  <c r="T1922" i="6"/>
  <c r="T1921" i="6"/>
  <c r="T1920" i="6"/>
  <c r="T1919" i="6"/>
  <c r="T1918" i="6"/>
  <c r="T1917" i="6"/>
  <c r="T1916" i="6"/>
  <c r="T1915" i="6"/>
  <c r="T1914" i="6"/>
  <c r="T1913" i="6"/>
  <c r="T1912" i="6"/>
  <c r="T1911" i="6"/>
  <c r="T1910" i="6"/>
  <c r="T1909" i="6"/>
  <c r="T1908" i="6"/>
  <c r="T1907" i="6"/>
  <c r="T1906" i="6"/>
  <c r="T1905" i="6"/>
  <c r="T1904" i="6"/>
  <c r="T1903" i="6"/>
  <c r="T1902" i="6"/>
  <c r="T1901" i="6"/>
  <c r="T1900" i="6"/>
  <c r="T1899" i="6"/>
  <c r="T1898" i="6"/>
  <c r="T1897" i="6"/>
  <c r="T1896" i="6"/>
  <c r="T1895" i="6"/>
  <c r="T1894" i="6"/>
  <c r="T1893" i="6"/>
  <c r="T1892" i="6"/>
  <c r="T1891" i="6"/>
  <c r="T1890" i="6"/>
  <c r="T1889" i="6"/>
  <c r="T1888" i="6"/>
  <c r="T1887" i="6"/>
  <c r="T1886" i="6"/>
  <c r="T1885" i="6"/>
  <c r="T1884" i="6"/>
  <c r="T1883" i="6"/>
  <c r="T1882" i="6"/>
  <c r="T1881" i="6"/>
  <c r="T1880" i="6"/>
  <c r="T1879" i="6"/>
  <c r="T1878" i="6"/>
  <c r="T1877" i="6"/>
  <c r="T1876" i="6"/>
  <c r="T1875" i="6"/>
  <c r="T1874" i="6"/>
  <c r="T1873" i="6"/>
  <c r="T1872" i="6"/>
  <c r="T1871" i="6"/>
  <c r="T1870" i="6"/>
  <c r="T1869" i="6"/>
  <c r="T1868" i="6"/>
  <c r="T1867" i="6"/>
  <c r="T1866" i="6"/>
  <c r="T1865" i="6"/>
  <c r="T1864" i="6"/>
  <c r="T1863" i="6"/>
  <c r="T1862" i="6"/>
  <c r="T1861" i="6"/>
  <c r="T1860" i="6"/>
  <c r="T1859" i="6"/>
  <c r="T1858" i="6"/>
  <c r="T1857" i="6"/>
  <c r="T1856" i="6"/>
  <c r="T1855" i="6"/>
  <c r="T1854" i="6"/>
  <c r="T1853" i="6"/>
  <c r="T1852" i="6"/>
  <c r="T1851" i="6"/>
  <c r="T1850" i="6"/>
  <c r="T1849" i="6"/>
  <c r="T1848" i="6"/>
  <c r="T1847" i="6"/>
  <c r="T1846" i="6"/>
  <c r="T1845" i="6"/>
  <c r="T1844" i="6"/>
  <c r="T1843" i="6"/>
  <c r="T1842" i="6"/>
  <c r="T1841" i="6"/>
  <c r="T1840" i="6"/>
  <c r="T1839" i="6"/>
  <c r="T1838" i="6"/>
  <c r="T1837" i="6"/>
  <c r="T1836" i="6"/>
  <c r="T1835" i="6"/>
  <c r="T1834" i="6"/>
  <c r="T1833" i="6"/>
  <c r="T1832" i="6"/>
  <c r="T1831" i="6"/>
  <c r="T1830" i="6"/>
  <c r="T1829" i="6"/>
  <c r="T1828" i="6"/>
  <c r="T1827" i="6"/>
  <c r="T1826" i="6"/>
  <c r="T1825" i="6"/>
  <c r="T1824" i="6"/>
  <c r="T1823" i="6"/>
  <c r="T1822" i="6"/>
  <c r="T1821" i="6"/>
  <c r="T1820" i="6"/>
  <c r="T1819" i="6"/>
  <c r="T1818" i="6"/>
  <c r="T1817" i="6"/>
  <c r="T1816" i="6"/>
  <c r="T1815" i="6"/>
  <c r="T1814" i="6"/>
  <c r="T1813" i="6"/>
  <c r="T1812" i="6"/>
  <c r="T1811" i="6"/>
  <c r="T1810" i="6"/>
  <c r="T1809" i="6"/>
  <c r="T1808" i="6"/>
  <c r="T1807" i="6"/>
  <c r="T1806" i="6"/>
  <c r="T1805" i="6"/>
  <c r="T1804" i="6"/>
  <c r="T1803" i="6"/>
  <c r="T1802" i="6"/>
  <c r="T1801" i="6"/>
  <c r="T1800" i="6"/>
  <c r="T1799" i="6"/>
  <c r="T1798" i="6"/>
  <c r="T1797" i="6"/>
  <c r="T1796" i="6"/>
  <c r="T1795" i="6"/>
  <c r="T1794" i="6"/>
  <c r="T1793" i="6"/>
  <c r="T1792" i="6"/>
  <c r="T1791" i="6"/>
  <c r="T1790" i="6"/>
  <c r="T1789" i="6"/>
  <c r="T1788" i="6"/>
  <c r="T1787" i="6"/>
  <c r="T1786" i="6"/>
  <c r="T1785" i="6"/>
  <c r="T1784" i="6"/>
  <c r="T1783" i="6"/>
  <c r="T1782" i="6"/>
  <c r="T1781" i="6"/>
  <c r="T1780" i="6"/>
  <c r="T1779" i="6"/>
  <c r="T1778" i="6"/>
  <c r="T1777" i="6"/>
  <c r="T1776" i="6"/>
  <c r="T1775" i="6"/>
  <c r="T1774" i="6"/>
  <c r="T1773" i="6"/>
  <c r="T1772" i="6"/>
  <c r="T1771" i="6"/>
  <c r="T1770" i="6"/>
  <c r="T1769" i="6"/>
  <c r="T1768" i="6"/>
  <c r="T1767" i="6"/>
  <c r="T1766" i="6"/>
  <c r="T1765" i="6"/>
  <c r="T1764" i="6"/>
  <c r="T1763" i="6"/>
  <c r="T1762" i="6"/>
  <c r="T1761" i="6"/>
  <c r="T1760" i="6"/>
  <c r="T1759" i="6"/>
  <c r="T1758" i="6"/>
  <c r="T1757" i="6"/>
  <c r="T1756" i="6"/>
  <c r="T1755" i="6"/>
  <c r="T1754" i="6"/>
  <c r="T1753" i="6"/>
  <c r="T1752" i="6"/>
  <c r="T1751" i="6"/>
  <c r="T1750" i="6"/>
  <c r="T1749" i="6"/>
  <c r="T1748" i="6"/>
  <c r="T1747" i="6"/>
  <c r="T1746" i="6"/>
  <c r="T1745" i="6"/>
  <c r="T1744" i="6"/>
  <c r="T1743" i="6"/>
  <c r="T1742" i="6"/>
  <c r="T1741" i="6"/>
  <c r="T1740" i="6"/>
  <c r="T1739" i="6"/>
  <c r="T1738" i="6"/>
  <c r="T1737" i="6"/>
  <c r="T1736" i="6"/>
  <c r="T1735" i="6"/>
  <c r="T1734" i="6"/>
  <c r="T1733" i="6"/>
  <c r="T1732" i="6"/>
  <c r="T1731" i="6"/>
  <c r="T1730" i="6"/>
  <c r="T1729" i="6"/>
  <c r="T1728" i="6"/>
  <c r="T1727" i="6"/>
  <c r="T1726" i="6"/>
  <c r="T1725" i="6"/>
  <c r="T1724" i="6"/>
  <c r="T1723" i="6"/>
  <c r="T1722" i="6"/>
  <c r="T1721" i="6"/>
  <c r="T1720" i="6"/>
  <c r="T1719" i="6"/>
  <c r="T1718" i="6"/>
  <c r="T1717" i="6"/>
  <c r="T1716" i="6"/>
  <c r="T1715" i="6"/>
  <c r="T1714" i="6"/>
  <c r="T1713" i="6"/>
  <c r="T1712" i="6"/>
  <c r="T1711" i="6"/>
  <c r="T1710" i="6"/>
  <c r="T1709" i="6"/>
  <c r="T1708" i="6"/>
  <c r="T1707" i="6"/>
  <c r="T1706" i="6"/>
  <c r="T1705" i="6"/>
  <c r="T1704" i="6"/>
  <c r="T1703" i="6"/>
  <c r="T1702" i="6"/>
  <c r="T1701" i="6"/>
  <c r="T1700" i="6"/>
  <c r="T1699" i="6"/>
  <c r="T1698" i="6"/>
  <c r="T1697" i="6"/>
  <c r="T1696" i="6"/>
  <c r="T1695" i="6"/>
  <c r="T1694" i="6"/>
  <c r="T1693" i="6"/>
  <c r="T1692" i="6"/>
  <c r="T1691" i="6"/>
  <c r="T1690" i="6"/>
  <c r="T1689" i="6"/>
  <c r="T1688" i="6"/>
  <c r="T1687" i="6"/>
  <c r="T1686" i="6"/>
  <c r="T1685" i="6"/>
  <c r="T1684" i="6"/>
  <c r="T1683" i="6"/>
  <c r="T1682" i="6"/>
  <c r="T1681" i="6"/>
  <c r="T1680" i="6"/>
  <c r="T1679" i="6"/>
  <c r="T1678" i="6"/>
  <c r="T1677" i="6"/>
  <c r="T1676" i="6"/>
  <c r="T1675" i="6"/>
  <c r="T1674" i="6"/>
  <c r="T1673" i="6"/>
  <c r="T1672" i="6"/>
  <c r="T1671" i="6"/>
  <c r="T1670" i="6"/>
  <c r="T1669" i="6"/>
  <c r="T1668" i="6"/>
  <c r="T1667" i="6"/>
  <c r="T1666" i="6"/>
  <c r="T1665" i="6"/>
  <c r="T1664" i="6"/>
  <c r="T1663" i="6"/>
  <c r="T1662" i="6"/>
  <c r="T1661" i="6"/>
  <c r="T1660" i="6"/>
  <c r="T1659" i="6"/>
  <c r="T1658" i="6"/>
  <c r="T1657" i="6"/>
  <c r="T1656" i="6"/>
  <c r="T1655" i="6"/>
  <c r="T1654" i="6"/>
  <c r="T1653" i="6"/>
  <c r="T1652" i="6"/>
  <c r="T1651" i="6"/>
  <c r="T1650" i="6"/>
  <c r="T1649" i="6"/>
  <c r="T1648" i="6"/>
  <c r="T1647" i="6"/>
  <c r="T1646" i="6"/>
  <c r="T1645" i="6"/>
  <c r="T1644" i="6"/>
  <c r="T1643" i="6"/>
  <c r="T1642" i="6"/>
  <c r="T1641" i="6"/>
  <c r="T1640" i="6"/>
  <c r="T1639" i="6"/>
  <c r="T1638" i="6"/>
  <c r="T1637" i="6"/>
  <c r="T1636" i="6"/>
  <c r="T1635" i="6"/>
  <c r="T1634" i="6"/>
  <c r="T1633" i="6"/>
  <c r="T1632" i="6"/>
  <c r="T1631" i="6"/>
  <c r="T1630" i="6"/>
  <c r="T1629" i="6"/>
  <c r="T1628" i="6"/>
  <c r="T1627" i="6"/>
  <c r="T1626" i="6"/>
  <c r="T1625" i="6"/>
  <c r="T1624" i="6"/>
  <c r="T1623" i="6"/>
  <c r="T1622" i="6"/>
  <c r="T1621" i="6"/>
  <c r="T1620" i="6"/>
  <c r="T1619" i="6"/>
  <c r="T1618" i="6"/>
  <c r="T1617" i="6"/>
  <c r="T1616" i="6"/>
  <c r="T1615" i="6"/>
  <c r="T1614" i="6"/>
  <c r="T1613" i="6"/>
  <c r="T1612" i="6"/>
  <c r="T1611" i="6"/>
  <c r="T1610" i="6"/>
  <c r="T1609" i="6"/>
  <c r="T1608" i="6"/>
  <c r="T1607" i="6"/>
  <c r="T1606" i="6"/>
  <c r="T1605" i="6"/>
  <c r="T1604" i="6"/>
  <c r="T1603" i="6"/>
  <c r="T1602" i="6"/>
  <c r="T1601" i="6"/>
  <c r="T1600" i="6"/>
  <c r="T1599" i="6"/>
  <c r="T1598" i="6"/>
  <c r="T1597" i="6"/>
  <c r="T1596" i="6"/>
  <c r="T1595" i="6"/>
  <c r="T1594" i="6"/>
  <c r="T1593" i="6"/>
  <c r="T1592" i="6"/>
  <c r="T1591" i="6"/>
  <c r="T1590" i="6"/>
  <c r="T1589" i="6"/>
  <c r="T1588" i="6"/>
  <c r="T1587" i="6"/>
  <c r="T1586" i="6"/>
  <c r="T1585" i="6"/>
  <c r="T1584" i="6"/>
  <c r="T1583" i="6"/>
  <c r="T1582" i="6"/>
  <c r="T1581" i="6"/>
  <c r="T1580" i="6"/>
  <c r="T1579" i="6"/>
  <c r="T1578" i="6"/>
  <c r="T1577" i="6"/>
  <c r="T1576" i="6"/>
  <c r="T1575" i="6"/>
  <c r="T1574" i="6"/>
  <c r="T1573" i="6"/>
  <c r="T1572" i="6"/>
  <c r="T1571" i="6"/>
  <c r="T1570" i="6"/>
  <c r="T1569" i="6"/>
  <c r="T1568" i="6"/>
  <c r="T1567" i="6"/>
  <c r="T1566" i="6"/>
  <c r="T1565" i="6"/>
  <c r="T1564" i="6"/>
  <c r="T1563" i="6"/>
  <c r="T1562" i="6"/>
  <c r="T1561" i="6"/>
  <c r="T1560" i="6"/>
  <c r="T1559" i="6"/>
  <c r="T1558" i="6"/>
  <c r="T1557" i="6"/>
  <c r="T1556" i="6"/>
  <c r="T1555" i="6"/>
  <c r="T1554" i="6"/>
  <c r="T1553" i="6"/>
  <c r="T1552" i="6"/>
  <c r="T1551" i="6"/>
  <c r="T1550" i="6"/>
  <c r="T1549" i="6"/>
  <c r="T1548" i="6"/>
  <c r="T1547" i="6"/>
  <c r="T1546" i="6"/>
  <c r="T1545" i="6"/>
  <c r="T1544" i="6"/>
  <c r="T1543" i="6"/>
  <c r="T1542" i="6"/>
  <c r="T1541" i="6"/>
  <c r="T1540" i="6"/>
  <c r="T1539" i="6"/>
  <c r="T1538" i="6"/>
  <c r="T1537" i="6"/>
  <c r="T1536" i="6"/>
  <c r="T1535" i="6"/>
  <c r="T1534" i="6"/>
  <c r="T1533" i="6"/>
  <c r="T1532" i="6"/>
  <c r="T1531" i="6"/>
  <c r="T1530" i="6"/>
  <c r="T1529" i="6"/>
  <c r="T1528" i="6"/>
  <c r="T1527" i="6"/>
  <c r="T1526" i="6"/>
  <c r="T1525" i="6"/>
  <c r="T1524" i="6"/>
  <c r="T1523" i="6"/>
  <c r="T1522" i="6"/>
  <c r="T1521" i="6"/>
  <c r="T1520" i="6"/>
  <c r="T1519" i="6"/>
  <c r="T1518" i="6"/>
  <c r="T1517" i="6"/>
  <c r="T1516" i="6"/>
  <c r="T1515" i="6"/>
  <c r="T1514" i="6"/>
  <c r="T1513" i="6"/>
  <c r="T1512" i="6"/>
  <c r="T1511" i="6"/>
  <c r="T1510" i="6"/>
  <c r="T1509" i="6"/>
  <c r="T1508" i="6"/>
  <c r="T1507" i="6"/>
  <c r="T1506" i="6"/>
  <c r="T1505" i="6"/>
  <c r="T1504" i="6"/>
  <c r="T1503" i="6"/>
  <c r="T1502" i="6"/>
  <c r="T1501" i="6"/>
  <c r="T1500" i="6"/>
  <c r="T1499" i="6"/>
  <c r="T1498" i="6"/>
  <c r="T1497" i="6"/>
  <c r="T1496" i="6"/>
  <c r="T1495" i="6"/>
  <c r="T1494" i="6"/>
  <c r="T1493" i="6"/>
  <c r="T1492" i="6"/>
  <c r="T1491" i="6"/>
  <c r="T1490" i="6"/>
  <c r="T1489" i="6"/>
  <c r="T1488" i="6"/>
  <c r="T1487" i="6"/>
  <c r="T1486" i="6"/>
  <c r="T1485" i="6"/>
  <c r="T1484" i="6"/>
  <c r="T1483" i="6"/>
  <c r="T1482" i="6"/>
  <c r="T1481" i="6"/>
  <c r="T1480" i="6"/>
  <c r="T1479" i="6"/>
  <c r="T1478" i="6"/>
  <c r="T1477" i="6"/>
  <c r="T1476" i="6"/>
  <c r="T1475" i="6"/>
  <c r="T1474" i="6"/>
  <c r="T1473" i="6"/>
  <c r="T1472" i="6"/>
  <c r="T1471" i="6"/>
  <c r="T1470" i="6"/>
  <c r="T1469" i="6"/>
  <c r="T1468" i="6"/>
  <c r="T1467" i="6"/>
  <c r="T1466" i="6"/>
  <c r="T1465" i="6"/>
  <c r="T1464" i="6"/>
  <c r="T1463" i="6"/>
  <c r="T1462" i="6"/>
  <c r="T1461" i="6"/>
  <c r="T1460" i="6"/>
  <c r="T1459" i="6"/>
  <c r="T1458" i="6"/>
  <c r="T1457" i="6"/>
  <c r="T1456" i="6"/>
  <c r="T1455" i="6"/>
  <c r="T1454" i="6"/>
  <c r="T1453" i="6"/>
  <c r="T1452" i="6"/>
  <c r="T1451" i="6"/>
  <c r="T1450" i="6"/>
  <c r="T1449" i="6"/>
  <c r="T1448" i="6"/>
  <c r="T1447" i="6"/>
  <c r="T1446" i="6"/>
  <c r="T1445" i="6"/>
  <c r="T1444" i="6"/>
  <c r="T1443" i="6"/>
  <c r="T1442" i="6"/>
  <c r="T1441" i="6"/>
  <c r="T1440" i="6"/>
  <c r="T1439" i="6"/>
  <c r="T1438" i="6"/>
  <c r="T1437" i="6"/>
  <c r="T1436" i="6"/>
  <c r="T1435" i="6"/>
  <c r="T1434" i="6"/>
  <c r="T1433" i="6"/>
  <c r="T1432" i="6"/>
  <c r="T1431" i="6"/>
  <c r="T1430" i="6"/>
  <c r="T1429" i="6"/>
  <c r="T1428" i="6"/>
  <c r="T1427" i="6"/>
  <c r="T1426" i="6"/>
  <c r="T1425" i="6"/>
  <c r="T1424" i="6"/>
  <c r="T1423" i="6"/>
  <c r="T1422" i="6"/>
  <c r="T1421" i="6"/>
  <c r="T1420" i="6"/>
  <c r="T1419" i="6"/>
  <c r="T1418" i="6"/>
  <c r="T1417" i="6"/>
  <c r="T1416" i="6"/>
  <c r="T1415" i="6"/>
  <c r="T1414" i="6"/>
  <c r="T1413" i="6"/>
  <c r="T1412" i="6"/>
  <c r="T1411" i="6"/>
  <c r="T1410" i="6"/>
  <c r="T1409" i="6"/>
  <c r="T1408" i="6"/>
  <c r="T1407" i="6"/>
  <c r="T1406" i="6"/>
  <c r="T1405" i="6"/>
  <c r="T1404" i="6"/>
  <c r="T1403" i="6"/>
  <c r="T1402" i="6"/>
  <c r="T1401" i="6"/>
  <c r="T1400" i="6"/>
  <c r="T1399" i="6"/>
  <c r="T1398" i="6"/>
  <c r="T1397" i="6"/>
  <c r="T1396" i="6"/>
  <c r="T1395" i="6"/>
  <c r="T1394" i="6"/>
  <c r="T1393" i="6"/>
  <c r="T1392" i="6"/>
  <c r="T1391" i="6"/>
  <c r="T1390" i="6"/>
  <c r="T1389" i="6"/>
  <c r="T1388" i="6"/>
  <c r="T1387" i="6"/>
  <c r="T1386" i="6"/>
  <c r="T1385" i="6"/>
  <c r="T1384" i="6"/>
  <c r="T1383" i="6"/>
  <c r="T1382" i="6"/>
  <c r="T1381" i="6"/>
  <c r="T1380" i="6"/>
  <c r="T1379" i="6"/>
  <c r="T1378" i="6"/>
  <c r="T1377" i="6"/>
  <c r="T1376" i="6"/>
  <c r="T1375" i="6"/>
  <c r="T1374" i="6"/>
  <c r="T1373" i="6"/>
  <c r="T1372" i="6"/>
  <c r="T1371" i="6"/>
  <c r="T1370" i="6"/>
  <c r="T1369" i="6"/>
  <c r="T1368" i="6"/>
  <c r="T1367" i="6"/>
  <c r="T1366" i="6"/>
  <c r="T1365" i="6"/>
  <c r="T1364" i="6"/>
  <c r="T1363" i="6"/>
  <c r="T1362" i="6"/>
  <c r="T1361" i="6"/>
  <c r="T1360" i="6"/>
  <c r="T1359" i="6"/>
  <c r="T1358" i="6"/>
  <c r="T1357" i="6"/>
  <c r="T1356" i="6"/>
  <c r="T1355" i="6"/>
  <c r="T1354" i="6"/>
  <c r="T1353" i="6"/>
  <c r="T1352" i="6"/>
  <c r="T1351" i="6"/>
  <c r="T1350" i="6"/>
  <c r="T1349" i="6"/>
  <c r="T1348" i="6"/>
  <c r="T1347" i="6"/>
  <c r="T1346" i="6"/>
  <c r="T1345" i="6"/>
  <c r="T1344" i="6"/>
  <c r="T1343" i="6"/>
  <c r="T1342" i="6"/>
  <c r="T1341" i="6"/>
  <c r="T1340" i="6"/>
  <c r="T1339" i="6"/>
  <c r="T1338" i="6"/>
  <c r="T1337" i="6"/>
  <c r="T1336" i="6"/>
  <c r="T1335" i="6"/>
  <c r="T1334" i="6"/>
  <c r="T1333" i="6"/>
  <c r="T1332" i="6"/>
  <c r="T1331" i="6"/>
  <c r="T1330" i="6"/>
  <c r="T1329" i="6"/>
  <c r="T1328" i="6"/>
  <c r="T1327" i="6"/>
  <c r="T1326" i="6"/>
  <c r="T1325" i="6"/>
  <c r="T1324" i="6"/>
  <c r="T1323" i="6"/>
  <c r="T1322" i="6"/>
  <c r="T1321" i="6"/>
  <c r="T1320" i="6"/>
  <c r="T1319" i="6"/>
  <c r="T1318" i="6"/>
  <c r="T1317" i="6"/>
  <c r="T1316" i="6"/>
  <c r="T1315" i="6"/>
  <c r="T1314" i="6"/>
  <c r="T1313" i="6"/>
  <c r="T1312" i="6"/>
  <c r="T1311" i="6"/>
  <c r="T1310" i="6"/>
  <c r="T1309" i="6"/>
  <c r="T1308" i="6"/>
  <c r="T1307" i="6"/>
  <c r="T1306" i="6"/>
  <c r="T1305" i="6"/>
  <c r="T1304" i="6"/>
  <c r="T1303" i="6"/>
  <c r="T1302" i="6"/>
  <c r="T1301" i="6"/>
  <c r="T1300" i="6"/>
  <c r="T1299" i="6"/>
  <c r="T1298" i="6"/>
  <c r="T1297" i="6"/>
  <c r="T1296" i="6"/>
  <c r="T1295" i="6"/>
  <c r="T1294" i="6"/>
  <c r="T1293" i="6"/>
  <c r="T1292" i="6"/>
  <c r="T1291" i="6"/>
  <c r="T1290" i="6"/>
  <c r="T1289" i="6"/>
  <c r="T1288" i="6"/>
  <c r="T1287" i="6"/>
  <c r="T1286" i="6"/>
  <c r="T1285" i="6"/>
  <c r="T1284" i="6"/>
  <c r="T1283" i="6"/>
  <c r="T1282" i="6"/>
  <c r="T1281" i="6"/>
  <c r="T1280" i="6"/>
  <c r="T1279" i="6"/>
  <c r="T1278" i="6"/>
  <c r="T1277" i="6"/>
  <c r="T1276" i="6"/>
  <c r="T1275" i="6"/>
  <c r="T1274" i="6"/>
  <c r="T1273" i="6"/>
  <c r="T1272" i="6"/>
  <c r="T1271" i="6"/>
  <c r="T1270" i="6"/>
  <c r="T1269" i="6"/>
  <c r="T1268" i="6"/>
  <c r="T1267" i="6"/>
  <c r="T1266" i="6"/>
  <c r="T1265" i="6"/>
  <c r="T1264" i="6"/>
  <c r="T1263" i="6"/>
  <c r="T1262" i="6"/>
  <c r="T1261" i="6"/>
  <c r="T1260" i="6"/>
  <c r="T1259" i="6"/>
  <c r="T1258" i="6"/>
  <c r="T1257" i="6"/>
  <c r="T1256" i="6"/>
  <c r="T1255" i="6"/>
  <c r="T1254" i="6"/>
  <c r="T1253" i="6"/>
  <c r="T1252" i="6"/>
  <c r="T1251" i="6"/>
  <c r="T1250" i="6"/>
  <c r="T1249" i="6"/>
  <c r="T1248" i="6"/>
  <c r="T1247" i="6"/>
  <c r="T1246" i="6"/>
  <c r="T1245" i="6"/>
  <c r="T1244" i="6"/>
  <c r="T1243" i="6"/>
  <c r="T1242" i="6"/>
  <c r="T1241" i="6"/>
  <c r="T1240" i="6"/>
  <c r="T1239" i="6"/>
  <c r="T1238" i="6"/>
  <c r="T1237" i="6"/>
  <c r="T1236" i="6"/>
  <c r="T1235" i="6"/>
  <c r="T1234" i="6"/>
  <c r="T1233" i="6"/>
  <c r="T1232" i="6"/>
  <c r="T1231" i="6"/>
  <c r="T1230" i="6"/>
  <c r="T1229" i="6"/>
  <c r="T1228" i="6"/>
  <c r="T1227" i="6"/>
  <c r="T1226" i="6"/>
  <c r="T1225" i="6"/>
  <c r="T1224" i="6"/>
  <c r="T1223" i="6"/>
  <c r="T1222" i="6"/>
  <c r="T1221" i="6"/>
  <c r="T1220" i="6"/>
  <c r="T1219" i="6"/>
  <c r="T1218" i="6"/>
  <c r="T1217" i="6"/>
  <c r="T1216" i="6"/>
  <c r="T1215" i="6"/>
  <c r="T1214" i="6"/>
  <c r="T1213" i="6"/>
  <c r="T1212" i="6"/>
  <c r="T1211" i="6"/>
  <c r="T1210" i="6"/>
  <c r="T1209" i="6"/>
  <c r="T1208" i="6"/>
  <c r="T1207" i="6"/>
  <c r="T1206" i="6"/>
  <c r="T1205" i="6"/>
  <c r="T1204" i="6"/>
  <c r="T1203" i="6"/>
  <c r="T1202" i="6"/>
  <c r="T1201" i="6"/>
  <c r="T1200" i="6"/>
  <c r="T1199" i="6"/>
  <c r="T1198" i="6"/>
  <c r="T1197" i="6"/>
  <c r="T1196" i="6"/>
  <c r="T1195" i="6"/>
  <c r="T1194" i="6"/>
  <c r="T1193" i="6"/>
  <c r="T1192" i="6"/>
  <c r="T1191" i="6"/>
  <c r="T1190" i="6"/>
  <c r="T1189" i="6"/>
  <c r="T1188" i="6"/>
  <c r="T1187" i="6"/>
  <c r="T1186" i="6"/>
  <c r="T1185" i="6"/>
  <c r="T1184" i="6"/>
  <c r="T1183" i="6"/>
  <c r="T1182" i="6"/>
  <c r="T1181" i="6"/>
  <c r="T1180" i="6"/>
  <c r="T1179" i="6"/>
  <c r="T1178" i="6"/>
  <c r="T1177" i="6"/>
  <c r="T1176" i="6"/>
  <c r="T1175" i="6"/>
  <c r="T1174" i="6"/>
  <c r="T1173" i="6"/>
  <c r="T1172" i="6"/>
  <c r="T1171" i="6"/>
  <c r="T1170" i="6"/>
  <c r="T1169" i="6"/>
  <c r="T1168" i="6"/>
  <c r="T1167" i="6"/>
  <c r="T1166" i="6"/>
  <c r="T1165" i="6"/>
  <c r="T1164" i="6"/>
  <c r="T1163" i="6"/>
  <c r="T1162" i="6"/>
  <c r="T1161" i="6"/>
  <c r="T1160" i="6"/>
  <c r="T1159" i="6"/>
  <c r="T1158" i="6"/>
  <c r="T1157" i="6"/>
  <c r="T1156" i="6"/>
  <c r="T1155" i="6"/>
  <c r="T1154" i="6"/>
  <c r="T1153" i="6"/>
  <c r="T1152" i="6"/>
  <c r="T1151" i="6"/>
  <c r="T1150" i="6"/>
  <c r="T1149" i="6"/>
  <c r="T1148" i="6"/>
  <c r="T1147" i="6"/>
  <c r="T1146" i="6"/>
  <c r="T1145" i="6"/>
  <c r="T1144" i="6"/>
  <c r="T1143" i="6"/>
  <c r="T1142" i="6"/>
  <c r="T1141" i="6"/>
  <c r="T1140" i="6"/>
  <c r="T1139" i="6"/>
  <c r="T1138" i="6"/>
  <c r="T1137" i="6"/>
  <c r="T1136" i="6"/>
  <c r="T1135" i="6"/>
  <c r="T1134" i="6"/>
  <c r="T1133" i="6"/>
  <c r="T1132" i="6"/>
  <c r="T1131" i="6"/>
  <c r="T1130" i="6"/>
  <c r="T1129" i="6"/>
  <c r="T1128" i="6"/>
  <c r="T1127" i="6"/>
  <c r="T1126" i="6"/>
  <c r="T1125" i="6"/>
  <c r="T1124" i="6"/>
  <c r="T1123" i="6"/>
  <c r="T1122" i="6"/>
  <c r="T1121" i="6"/>
  <c r="T1120" i="6"/>
  <c r="T1119" i="6"/>
  <c r="T1118" i="6"/>
  <c r="T1117" i="6"/>
  <c r="T1116" i="6"/>
  <c r="T1115" i="6"/>
  <c r="T1114" i="6"/>
  <c r="T1113" i="6"/>
  <c r="T1112" i="6"/>
  <c r="T1111" i="6"/>
  <c r="T1110" i="6"/>
  <c r="T1109" i="6"/>
  <c r="T1108" i="6"/>
  <c r="T1107" i="6"/>
  <c r="T1106" i="6"/>
  <c r="T1105" i="6"/>
  <c r="T1104" i="6"/>
  <c r="T1103" i="6"/>
  <c r="T1102" i="6"/>
  <c r="T1101" i="6"/>
  <c r="T1100" i="6"/>
  <c r="T1099" i="6"/>
  <c r="T1098" i="6"/>
  <c r="T1097" i="6"/>
  <c r="T1096" i="6"/>
  <c r="T1095" i="6"/>
  <c r="T1094" i="6"/>
  <c r="T1093" i="6"/>
  <c r="T1092" i="6"/>
  <c r="T1091" i="6"/>
  <c r="T1090" i="6"/>
  <c r="T1089" i="6"/>
  <c r="T1088" i="6"/>
  <c r="T1087" i="6"/>
  <c r="T1086" i="6"/>
  <c r="T1085" i="6"/>
  <c r="T1084" i="6"/>
  <c r="T1083" i="6"/>
  <c r="T1082" i="6"/>
  <c r="T1081" i="6"/>
  <c r="T1080" i="6"/>
  <c r="T1079" i="6"/>
  <c r="T1078" i="6"/>
  <c r="T1077" i="6"/>
  <c r="T1076" i="6"/>
  <c r="T1075" i="6"/>
  <c r="T1074" i="6"/>
  <c r="T1073" i="6"/>
  <c r="T1072" i="6"/>
  <c r="T1071" i="6"/>
  <c r="T1070" i="6"/>
  <c r="T1069" i="6"/>
  <c r="T1068" i="6"/>
  <c r="T1067" i="6"/>
  <c r="T1066" i="6"/>
  <c r="T1065" i="6"/>
  <c r="T1064" i="6"/>
  <c r="T1063" i="6"/>
  <c r="T1062" i="6"/>
  <c r="T1061" i="6"/>
  <c r="T1060" i="6"/>
  <c r="T1059" i="6"/>
  <c r="T1058" i="6"/>
  <c r="T1057" i="6"/>
  <c r="T1056" i="6"/>
  <c r="T1055" i="6"/>
  <c r="T1054" i="6"/>
  <c r="T1053" i="6"/>
  <c r="T1052" i="6"/>
  <c r="T1051" i="6"/>
  <c r="T1050" i="6"/>
  <c r="T1049" i="6"/>
  <c r="T1048" i="6"/>
  <c r="T1047" i="6"/>
  <c r="T1046" i="6"/>
  <c r="T1045" i="6"/>
  <c r="T1044" i="6"/>
  <c r="T1043" i="6"/>
  <c r="T1042" i="6"/>
  <c r="T1041" i="6"/>
  <c r="T1040" i="6"/>
  <c r="T1039" i="6"/>
  <c r="T1038" i="6"/>
  <c r="T1037" i="6"/>
  <c r="T1036" i="6"/>
  <c r="T1035" i="6"/>
  <c r="T1034" i="6"/>
  <c r="T1033" i="6"/>
  <c r="T1032" i="6"/>
  <c r="T1031" i="6"/>
  <c r="T1030" i="6"/>
  <c r="T1029" i="6"/>
  <c r="T1028" i="6"/>
  <c r="T1027" i="6"/>
  <c r="T1026" i="6"/>
  <c r="T1025" i="6"/>
  <c r="T1024" i="6"/>
  <c r="T1023" i="6"/>
  <c r="T1022" i="6"/>
  <c r="T1021" i="6"/>
  <c r="T1020" i="6"/>
  <c r="T1019" i="6"/>
  <c r="T1018" i="6"/>
  <c r="T1017" i="6"/>
  <c r="T1016" i="6"/>
  <c r="T1015" i="6"/>
  <c r="T1014" i="6"/>
  <c r="T1013" i="6"/>
  <c r="T1012" i="6"/>
  <c r="T1011" i="6"/>
  <c r="T1010" i="6"/>
  <c r="T1009" i="6"/>
  <c r="T1008" i="6"/>
  <c r="T1007" i="6"/>
  <c r="T1006" i="6"/>
  <c r="T1005" i="6"/>
  <c r="T1004" i="6"/>
  <c r="T1003" i="6"/>
  <c r="T1002" i="6"/>
  <c r="T1001" i="6"/>
  <c r="T1000" i="6"/>
  <c r="T999" i="6"/>
  <c r="T998" i="6"/>
  <c r="T997" i="6"/>
  <c r="T996" i="6"/>
  <c r="T995" i="6"/>
  <c r="T994" i="6"/>
  <c r="T993" i="6"/>
  <c r="T992" i="6"/>
  <c r="T991" i="6"/>
  <c r="T990" i="6"/>
  <c r="T989" i="6"/>
  <c r="T988" i="6"/>
  <c r="T987" i="6"/>
  <c r="T986" i="6"/>
  <c r="T985" i="6"/>
  <c r="T984" i="6"/>
  <c r="T983" i="6"/>
  <c r="T982" i="6"/>
  <c r="T981" i="6"/>
  <c r="T980" i="6"/>
  <c r="T979" i="6"/>
  <c r="T978" i="6"/>
  <c r="T977" i="6"/>
  <c r="T976" i="6"/>
  <c r="T975" i="6"/>
  <c r="T974" i="6"/>
  <c r="T973" i="6"/>
  <c r="T972" i="6"/>
  <c r="T971" i="6"/>
  <c r="T970" i="6"/>
  <c r="T969" i="6"/>
  <c r="T968" i="6"/>
  <c r="T967" i="6"/>
  <c r="T966" i="6"/>
  <c r="T965" i="6"/>
  <c r="T964" i="6"/>
  <c r="T963" i="6"/>
  <c r="T962" i="6"/>
  <c r="T961" i="6"/>
  <c r="T960" i="6"/>
  <c r="T959" i="6"/>
  <c r="T958" i="6"/>
  <c r="T957" i="6"/>
  <c r="T956" i="6"/>
  <c r="T955" i="6"/>
  <c r="T954" i="6"/>
  <c r="T953" i="6"/>
  <c r="T952" i="6"/>
  <c r="T951" i="6"/>
  <c r="T950" i="6"/>
  <c r="T949" i="6"/>
  <c r="T948" i="6"/>
  <c r="T947" i="6"/>
  <c r="T946" i="6"/>
  <c r="T945" i="6"/>
  <c r="T944" i="6"/>
  <c r="T943" i="6"/>
  <c r="T942" i="6"/>
  <c r="T941" i="6"/>
  <c r="T940" i="6"/>
  <c r="T939" i="6"/>
  <c r="T938" i="6"/>
  <c r="T937" i="6"/>
  <c r="T936" i="6"/>
  <c r="T935" i="6"/>
  <c r="T934" i="6"/>
  <c r="T933" i="6"/>
  <c r="T932" i="6"/>
  <c r="T931" i="6"/>
  <c r="T930" i="6"/>
  <c r="T929" i="6"/>
  <c r="T928" i="6"/>
  <c r="T927" i="6"/>
  <c r="T926" i="6"/>
  <c r="T925" i="6"/>
  <c r="T924" i="6"/>
  <c r="T923" i="6"/>
  <c r="T922" i="6"/>
  <c r="T921" i="6"/>
  <c r="T920" i="6"/>
  <c r="T919" i="6"/>
  <c r="T918" i="6"/>
  <c r="T917" i="6"/>
  <c r="T916" i="6"/>
  <c r="T915" i="6"/>
  <c r="T914" i="6"/>
  <c r="T913" i="6"/>
  <c r="T912" i="6"/>
  <c r="T911" i="6"/>
  <c r="T910" i="6"/>
  <c r="T909" i="6"/>
  <c r="T908" i="6"/>
  <c r="T907" i="6"/>
  <c r="T906" i="6"/>
  <c r="T905" i="6"/>
  <c r="T904" i="6"/>
  <c r="T903" i="6"/>
  <c r="T902" i="6"/>
  <c r="T901" i="6"/>
  <c r="T900" i="6"/>
  <c r="T899" i="6"/>
  <c r="T898" i="6"/>
  <c r="T897" i="6"/>
  <c r="T896" i="6"/>
  <c r="T895" i="6"/>
  <c r="T894" i="6"/>
  <c r="T893" i="6"/>
  <c r="T892" i="6"/>
  <c r="T891" i="6"/>
  <c r="T890" i="6"/>
  <c r="T889" i="6"/>
  <c r="T888" i="6"/>
  <c r="T887" i="6"/>
  <c r="T886" i="6"/>
  <c r="T885" i="6"/>
  <c r="T884" i="6"/>
  <c r="T883" i="6"/>
  <c r="T882" i="6"/>
  <c r="T881" i="6"/>
  <c r="T880" i="6"/>
  <c r="T879" i="6"/>
  <c r="T878" i="6"/>
  <c r="T877" i="6"/>
  <c r="T876" i="6"/>
  <c r="T875" i="6"/>
  <c r="T874" i="6"/>
  <c r="T873" i="6"/>
  <c r="T872" i="6"/>
  <c r="T871" i="6"/>
  <c r="T870" i="6"/>
  <c r="T869" i="6"/>
  <c r="T868" i="6"/>
  <c r="T867" i="6"/>
  <c r="T866" i="6"/>
  <c r="T865" i="6"/>
  <c r="T864" i="6"/>
  <c r="T863" i="6"/>
  <c r="T862" i="6"/>
  <c r="T861" i="6"/>
  <c r="T860" i="6"/>
  <c r="T859" i="6"/>
  <c r="T858" i="6"/>
  <c r="T857" i="6"/>
  <c r="T856" i="6"/>
  <c r="T855" i="6"/>
  <c r="T854" i="6"/>
  <c r="T853" i="6"/>
  <c r="T852" i="6"/>
  <c r="T851" i="6"/>
  <c r="T850" i="6"/>
  <c r="T849" i="6"/>
  <c r="T848" i="6"/>
  <c r="T847" i="6"/>
  <c r="T846" i="6"/>
  <c r="T845" i="6"/>
  <c r="T844" i="6"/>
  <c r="T843" i="6"/>
  <c r="T842" i="6"/>
  <c r="T841" i="6"/>
  <c r="T840" i="6"/>
  <c r="T839" i="6"/>
  <c r="T838" i="6"/>
  <c r="T837" i="6"/>
  <c r="T836" i="6"/>
  <c r="T835" i="6"/>
  <c r="T834" i="6"/>
  <c r="T833" i="6"/>
  <c r="T832" i="6"/>
  <c r="T831" i="6"/>
  <c r="T830" i="6"/>
  <c r="T829" i="6"/>
  <c r="T828" i="6"/>
  <c r="T827" i="6"/>
  <c r="T826" i="6"/>
  <c r="T825" i="6"/>
  <c r="T824" i="6"/>
  <c r="T823" i="6"/>
  <c r="T822" i="6"/>
  <c r="T821" i="6"/>
  <c r="T820" i="6"/>
  <c r="T819" i="6"/>
  <c r="T818" i="6"/>
  <c r="T817" i="6"/>
  <c r="T816" i="6"/>
  <c r="T815" i="6"/>
  <c r="T814" i="6"/>
  <c r="T813" i="6"/>
  <c r="T812" i="6"/>
  <c r="T811" i="6"/>
  <c r="T810" i="6"/>
  <c r="T809" i="6"/>
  <c r="T808" i="6"/>
  <c r="T807" i="6"/>
  <c r="T806" i="6"/>
  <c r="T805" i="6"/>
  <c r="T804" i="6"/>
  <c r="T803" i="6"/>
  <c r="T802" i="6"/>
  <c r="T801" i="6"/>
  <c r="T800" i="6"/>
  <c r="T799" i="6"/>
  <c r="T798" i="6"/>
  <c r="T797" i="6"/>
  <c r="T796" i="6"/>
  <c r="T795" i="6"/>
  <c r="T794" i="6"/>
  <c r="T793" i="6"/>
  <c r="T792" i="6"/>
  <c r="T791" i="6"/>
  <c r="T790" i="6"/>
  <c r="T789" i="6"/>
  <c r="T788" i="6"/>
  <c r="T787" i="6"/>
  <c r="T786" i="6"/>
  <c r="T785" i="6"/>
  <c r="T784" i="6"/>
  <c r="T783" i="6"/>
  <c r="T782" i="6"/>
  <c r="T781" i="6"/>
  <c r="T780" i="6"/>
  <c r="T779" i="6"/>
  <c r="T778" i="6"/>
  <c r="T777" i="6"/>
  <c r="T776" i="6"/>
  <c r="T775" i="6"/>
  <c r="T774" i="6"/>
  <c r="T773" i="6"/>
  <c r="T772" i="6"/>
  <c r="T771" i="6"/>
  <c r="T770" i="6"/>
  <c r="T769" i="6"/>
  <c r="T768" i="6"/>
  <c r="T767" i="6"/>
  <c r="T766" i="6"/>
  <c r="T765" i="6"/>
  <c r="T764" i="6"/>
  <c r="T763" i="6"/>
  <c r="T762" i="6"/>
  <c r="T761" i="6"/>
  <c r="T760" i="6"/>
  <c r="T759" i="6"/>
  <c r="T758" i="6"/>
  <c r="T757" i="6"/>
  <c r="T756" i="6"/>
  <c r="T755" i="6"/>
  <c r="T754" i="6"/>
  <c r="T753" i="6"/>
  <c r="T752" i="6"/>
  <c r="T751" i="6"/>
  <c r="T750" i="6"/>
  <c r="T749" i="6"/>
  <c r="T748" i="6"/>
  <c r="T747" i="6"/>
  <c r="T746" i="6"/>
  <c r="T745" i="6"/>
  <c r="T744" i="6"/>
  <c r="T743" i="6"/>
  <c r="T742" i="6"/>
  <c r="T741" i="6"/>
  <c r="T740" i="6"/>
  <c r="T739" i="6"/>
  <c r="T738" i="6"/>
  <c r="T737" i="6"/>
  <c r="T736" i="6"/>
  <c r="T735" i="6"/>
  <c r="T734" i="6"/>
  <c r="T733" i="6"/>
  <c r="T732" i="6"/>
  <c r="T731" i="6"/>
  <c r="T730" i="6"/>
  <c r="T729" i="6"/>
  <c r="T728" i="6"/>
  <c r="T727" i="6"/>
  <c r="T726" i="6"/>
  <c r="T725" i="6"/>
  <c r="T724" i="6"/>
  <c r="T723" i="6"/>
  <c r="T722" i="6"/>
  <c r="T721" i="6"/>
  <c r="T720" i="6"/>
  <c r="T719" i="6"/>
  <c r="T718" i="6"/>
  <c r="T717" i="6"/>
  <c r="T716" i="6"/>
  <c r="T715" i="6"/>
  <c r="T714" i="6"/>
  <c r="T713" i="6"/>
  <c r="T712" i="6"/>
  <c r="T711" i="6"/>
  <c r="T710" i="6"/>
  <c r="T709" i="6"/>
  <c r="T708" i="6"/>
  <c r="T707" i="6"/>
  <c r="T706" i="6"/>
  <c r="T705" i="6"/>
  <c r="T704" i="6"/>
  <c r="T703" i="6"/>
  <c r="T702" i="6"/>
  <c r="T701" i="6"/>
  <c r="T700" i="6"/>
  <c r="T699" i="6"/>
  <c r="T698" i="6"/>
  <c r="T697" i="6"/>
  <c r="T696" i="6"/>
  <c r="T695" i="6"/>
  <c r="T694" i="6"/>
  <c r="T693" i="6"/>
  <c r="T692" i="6"/>
  <c r="T691" i="6"/>
  <c r="T690" i="6"/>
  <c r="T689" i="6"/>
  <c r="T688" i="6"/>
  <c r="T687" i="6"/>
  <c r="T686" i="6"/>
  <c r="T685" i="6"/>
  <c r="T684" i="6"/>
  <c r="T683" i="6"/>
  <c r="T682" i="6"/>
  <c r="T681" i="6"/>
  <c r="T680" i="6"/>
  <c r="T679" i="6"/>
  <c r="T678" i="6"/>
  <c r="T677" i="6"/>
  <c r="T676" i="6"/>
  <c r="T675" i="6"/>
  <c r="T674" i="6"/>
  <c r="T673" i="6"/>
  <c r="T672" i="6"/>
  <c r="T671" i="6"/>
  <c r="T670" i="6"/>
  <c r="T669" i="6"/>
  <c r="T668" i="6"/>
  <c r="T667" i="6"/>
  <c r="T666" i="6"/>
  <c r="T665" i="6"/>
  <c r="T664" i="6"/>
  <c r="T663" i="6"/>
  <c r="T662" i="6"/>
  <c r="T661" i="6"/>
  <c r="T660" i="6"/>
  <c r="T659" i="6"/>
  <c r="T658" i="6"/>
  <c r="T657" i="6"/>
  <c r="T656" i="6"/>
  <c r="T655" i="6"/>
  <c r="T654" i="6"/>
  <c r="T653" i="6"/>
  <c r="T652" i="6"/>
  <c r="T651" i="6"/>
  <c r="T650" i="6"/>
  <c r="T649" i="6"/>
  <c r="T648" i="6"/>
  <c r="T647" i="6"/>
  <c r="T646" i="6"/>
  <c r="T645" i="6"/>
  <c r="T644" i="6"/>
  <c r="T643" i="6"/>
  <c r="T642" i="6"/>
  <c r="T641" i="6"/>
  <c r="T640" i="6"/>
  <c r="T639" i="6"/>
  <c r="T638" i="6"/>
  <c r="T637" i="6"/>
  <c r="T636" i="6"/>
  <c r="T635" i="6"/>
  <c r="T634" i="6"/>
  <c r="T633" i="6"/>
  <c r="T632" i="6"/>
  <c r="T631" i="6"/>
  <c r="T630" i="6"/>
  <c r="T629" i="6"/>
  <c r="T628" i="6"/>
  <c r="T627" i="6"/>
  <c r="T626" i="6"/>
  <c r="T625" i="6"/>
  <c r="T624" i="6"/>
  <c r="T623" i="6"/>
  <c r="T622" i="6"/>
  <c r="T621" i="6"/>
  <c r="T620" i="6"/>
  <c r="T619" i="6"/>
  <c r="T618" i="6"/>
  <c r="T617" i="6"/>
  <c r="T616" i="6"/>
  <c r="T615" i="6"/>
  <c r="T614" i="6"/>
  <c r="T613" i="6"/>
  <c r="T612" i="6"/>
  <c r="T611" i="6"/>
  <c r="T610" i="6"/>
  <c r="T609" i="6"/>
  <c r="T608" i="6"/>
  <c r="T607" i="6"/>
  <c r="T606" i="6"/>
  <c r="T605" i="6"/>
  <c r="T604" i="6"/>
  <c r="T603" i="6"/>
  <c r="T602" i="6"/>
  <c r="T601" i="6"/>
  <c r="T600" i="6"/>
  <c r="T599" i="6"/>
  <c r="T598" i="6"/>
  <c r="T597" i="6"/>
  <c r="T596" i="6"/>
  <c r="T595" i="6"/>
  <c r="T594" i="6"/>
  <c r="T593" i="6"/>
  <c r="T592" i="6"/>
  <c r="T591" i="6"/>
  <c r="T590" i="6"/>
  <c r="T589" i="6"/>
  <c r="T588" i="6"/>
  <c r="T587" i="6"/>
  <c r="T586" i="6"/>
  <c r="T585" i="6"/>
  <c r="T584" i="6"/>
  <c r="T583" i="6"/>
  <c r="T582" i="6"/>
  <c r="T581" i="6"/>
  <c r="T580" i="6"/>
  <c r="T579" i="6"/>
  <c r="T578" i="6"/>
  <c r="T577" i="6"/>
  <c r="T576" i="6"/>
  <c r="T575" i="6"/>
  <c r="T574" i="6"/>
  <c r="T573" i="6"/>
  <c r="T572" i="6"/>
  <c r="T571" i="6"/>
  <c r="T570" i="6"/>
  <c r="T569" i="6"/>
  <c r="T568" i="6"/>
  <c r="T567" i="6"/>
  <c r="T566" i="6"/>
  <c r="T565" i="6"/>
  <c r="T564" i="6"/>
  <c r="T563" i="6"/>
  <c r="T562" i="6"/>
  <c r="T561" i="6"/>
  <c r="T560" i="6"/>
  <c r="T559" i="6"/>
  <c r="T558" i="6"/>
  <c r="T557" i="6"/>
  <c r="T556" i="6"/>
  <c r="T555" i="6"/>
  <c r="T554" i="6"/>
  <c r="T553" i="6"/>
  <c r="T552" i="6"/>
  <c r="T551" i="6"/>
  <c r="T550" i="6"/>
  <c r="T549" i="6"/>
  <c r="T548" i="6"/>
  <c r="T547" i="6"/>
  <c r="T546" i="6"/>
  <c r="T545" i="6"/>
  <c r="T544" i="6"/>
  <c r="T543" i="6"/>
  <c r="T542" i="6"/>
  <c r="T541" i="6"/>
  <c r="T540" i="6"/>
  <c r="T539" i="6"/>
  <c r="T538" i="6"/>
  <c r="T537" i="6"/>
  <c r="T536" i="6"/>
  <c r="T535" i="6"/>
  <c r="T534" i="6"/>
  <c r="T533" i="6"/>
  <c r="T532" i="6"/>
  <c r="T531" i="6"/>
  <c r="T530" i="6"/>
  <c r="T529" i="6"/>
  <c r="T528" i="6"/>
  <c r="T527" i="6"/>
  <c r="T526" i="6"/>
  <c r="T525" i="6"/>
  <c r="T524" i="6"/>
  <c r="T523" i="6"/>
  <c r="T522" i="6"/>
  <c r="T521" i="6"/>
  <c r="T520" i="6"/>
  <c r="T519" i="6"/>
  <c r="T518" i="6"/>
  <c r="T517" i="6"/>
  <c r="T516" i="6"/>
  <c r="T515" i="6"/>
  <c r="T514" i="6"/>
  <c r="T513" i="6"/>
  <c r="T512" i="6"/>
  <c r="T511" i="6"/>
  <c r="T510" i="6"/>
  <c r="T509" i="6"/>
  <c r="T508" i="6"/>
  <c r="T507" i="6"/>
  <c r="T506" i="6"/>
  <c r="T505" i="6"/>
  <c r="T504" i="6"/>
  <c r="T503" i="6"/>
  <c r="T502" i="6"/>
  <c r="T501" i="6"/>
  <c r="T500" i="6"/>
  <c r="T499" i="6"/>
  <c r="T498" i="6"/>
  <c r="T497" i="6"/>
  <c r="T496" i="6"/>
  <c r="T495" i="6"/>
  <c r="T494" i="6"/>
  <c r="T493" i="6"/>
  <c r="T492" i="6"/>
  <c r="T491" i="6"/>
  <c r="T490" i="6"/>
  <c r="T489" i="6"/>
  <c r="T488" i="6"/>
  <c r="T487" i="6"/>
  <c r="T486" i="6"/>
  <c r="T485" i="6"/>
  <c r="T484" i="6"/>
  <c r="T483" i="6"/>
  <c r="T482" i="6"/>
  <c r="T481" i="6"/>
  <c r="T480" i="6"/>
  <c r="T479" i="6"/>
  <c r="T478" i="6"/>
  <c r="T477" i="6"/>
  <c r="T476" i="6"/>
  <c r="T475" i="6"/>
  <c r="T474" i="6"/>
  <c r="T473" i="6"/>
  <c r="T472" i="6"/>
  <c r="T471" i="6"/>
  <c r="T470" i="6"/>
  <c r="T469" i="6"/>
  <c r="T468" i="6"/>
  <c r="T467" i="6"/>
  <c r="T466" i="6"/>
  <c r="T465" i="6"/>
  <c r="T464" i="6"/>
  <c r="T463" i="6"/>
  <c r="T462" i="6"/>
  <c r="T461" i="6"/>
  <c r="T460" i="6"/>
  <c r="T459" i="6"/>
  <c r="T458" i="6"/>
  <c r="T457" i="6"/>
  <c r="T456" i="6"/>
  <c r="T455" i="6"/>
  <c r="T454" i="6"/>
  <c r="T453" i="6"/>
  <c r="T452" i="6"/>
  <c r="T451" i="6"/>
  <c r="T450" i="6"/>
  <c r="T449" i="6"/>
  <c r="T448" i="6"/>
  <c r="T447" i="6"/>
  <c r="T446" i="6"/>
  <c r="T445" i="6"/>
  <c r="T444" i="6"/>
  <c r="T443" i="6"/>
  <c r="T442" i="6"/>
  <c r="T441" i="6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90" i="6"/>
  <c r="T389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6" i="6"/>
  <c r="T365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7" i="6"/>
  <c r="T326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O9" i="4"/>
  <c r="O8" i="4"/>
  <c r="O7" i="4"/>
  <c r="O6" i="4"/>
  <c r="O5" i="4"/>
  <c r="O4" i="4"/>
  <c r="O3" i="4"/>
  <c r="O2" i="4"/>
  <c r="IV200" i="2"/>
  <c r="IU200" i="2"/>
  <c r="IT200" i="2"/>
  <c r="IS200" i="2"/>
  <c r="IW200" i="2" s="1"/>
  <c r="IR200" i="2"/>
  <c r="IG200" i="2"/>
  <c r="IF200" i="2"/>
  <c r="IE200" i="2"/>
  <c r="ID200" i="2"/>
  <c r="IH200" i="2" s="1"/>
  <c r="IC200" i="2"/>
  <c r="HR200" i="2"/>
  <c r="HQ200" i="2"/>
  <c r="HP200" i="2"/>
  <c r="HO200" i="2"/>
  <c r="HS200" i="2" s="1"/>
  <c r="HN200" i="2"/>
  <c r="HB200" i="2"/>
  <c r="HA200" i="2"/>
  <c r="GZ200" i="2"/>
  <c r="HC200" i="2" s="1"/>
  <c r="GY200" i="2"/>
  <c r="GX200" i="2"/>
  <c r="GM200" i="2"/>
  <c r="GL200" i="2"/>
  <c r="GK200" i="2"/>
  <c r="GJ200" i="2"/>
  <c r="GN200" i="2" s="1"/>
  <c r="GI200" i="2"/>
  <c r="FX200" i="2"/>
  <c r="FW200" i="2"/>
  <c r="FV200" i="2"/>
  <c r="FU200" i="2"/>
  <c r="FY200" i="2" s="1"/>
  <c r="FT200" i="2"/>
  <c r="FH200" i="2"/>
  <c r="FG200" i="2"/>
  <c r="FF200" i="2"/>
  <c r="FE200" i="2"/>
  <c r="FI200" i="2" s="1"/>
  <c r="FD200" i="2"/>
  <c r="ES200" i="2"/>
  <c r="ER200" i="2"/>
  <c r="EQ200" i="2"/>
  <c r="ET200" i="2" s="1"/>
  <c r="EP200" i="2"/>
  <c r="EO200" i="2"/>
  <c r="ED200" i="2"/>
  <c r="EC200" i="2"/>
  <c r="EB200" i="2"/>
  <c r="EA200" i="2"/>
  <c r="EE200" i="2" s="1"/>
  <c r="DZ200" i="2"/>
  <c r="DN200" i="2"/>
  <c r="DM200" i="2"/>
  <c r="DL200" i="2"/>
  <c r="DK200" i="2"/>
  <c r="DO200" i="2" s="1"/>
  <c r="DJ200" i="2"/>
  <c r="CY200" i="2"/>
  <c r="CX200" i="2"/>
  <c r="CW200" i="2"/>
  <c r="CV200" i="2"/>
  <c r="CZ200" i="2" s="1"/>
  <c r="CU200" i="2"/>
  <c r="CJ200" i="2"/>
  <c r="CI200" i="2"/>
  <c r="CH200" i="2"/>
  <c r="CG200" i="2"/>
  <c r="CK200" i="2" s="1"/>
  <c r="CF200" i="2"/>
  <c r="BH200" i="2"/>
  <c r="BG200" i="2"/>
  <c r="AY200" i="2"/>
  <c r="AX200" i="2"/>
  <c r="AV200" i="2"/>
  <c r="AU200" i="2"/>
  <c r="AT200" i="2"/>
  <c r="AS200" i="2"/>
  <c r="AR200" i="2"/>
  <c r="AP200" i="2"/>
  <c r="AO200" i="2"/>
  <c r="AN200" i="2"/>
  <c r="AM200" i="2"/>
  <c r="AL200" i="2"/>
  <c r="AK200" i="2"/>
  <c r="AJ200" i="2"/>
  <c r="CE200" i="2" s="1"/>
  <c r="AI200" i="2"/>
  <c r="AH200" i="2"/>
  <c r="AG200" i="2"/>
  <c r="AF200" i="2"/>
  <c r="AE200" i="2"/>
  <c r="AD200" i="2"/>
  <c r="AC200" i="2"/>
  <c r="AB200" i="2"/>
  <c r="AA200" i="2"/>
  <c r="Z200" i="2"/>
  <c r="X200" i="2"/>
  <c r="W200" i="2"/>
  <c r="V200" i="2"/>
  <c r="U200" i="2"/>
  <c r="T200" i="2"/>
  <c r="S200" i="2"/>
  <c r="R200" i="2"/>
  <c r="Q200" i="2"/>
  <c r="P200" i="2"/>
  <c r="M200" i="2"/>
  <c r="L200" i="2"/>
  <c r="K200" i="2"/>
  <c r="I200" i="2"/>
  <c r="H200" i="2"/>
  <c r="G200" i="2"/>
  <c r="F200" i="2"/>
  <c r="E200" i="2"/>
  <c r="D200" i="2"/>
  <c r="C200" i="2"/>
  <c r="A200" i="2"/>
  <c r="IV199" i="2"/>
  <c r="IU199" i="2"/>
  <c r="IW199" i="2" s="1"/>
  <c r="IT199" i="2"/>
  <c r="IS199" i="2"/>
  <c r="IR199" i="2"/>
  <c r="IG199" i="2"/>
  <c r="IF199" i="2"/>
  <c r="IE199" i="2"/>
  <c r="ID199" i="2"/>
  <c r="IH199" i="2" s="1"/>
  <c r="IC199" i="2"/>
  <c r="HR199" i="2"/>
  <c r="HQ199" i="2"/>
  <c r="HP199" i="2"/>
  <c r="HO199" i="2"/>
  <c r="HS199" i="2" s="1"/>
  <c r="HN199" i="2"/>
  <c r="HC199" i="2"/>
  <c r="HB199" i="2"/>
  <c r="HA199" i="2"/>
  <c r="GZ199" i="2"/>
  <c r="GY199" i="2"/>
  <c r="GX199" i="2"/>
  <c r="GM199" i="2"/>
  <c r="GL199" i="2"/>
  <c r="GN199" i="2" s="1"/>
  <c r="GK199" i="2"/>
  <c r="GJ199" i="2"/>
  <c r="GI199" i="2"/>
  <c r="FX199" i="2"/>
  <c r="FW199" i="2"/>
  <c r="FV199" i="2"/>
  <c r="FU199" i="2"/>
  <c r="FY199" i="2" s="1"/>
  <c r="FT199" i="2"/>
  <c r="FH199" i="2"/>
  <c r="FG199" i="2"/>
  <c r="FF199" i="2"/>
  <c r="FE199" i="2"/>
  <c r="FI199" i="2" s="1"/>
  <c r="FD199" i="2"/>
  <c r="ET199" i="2"/>
  <c r="ES199" i="2"/>
  <c r="ER199" i="2"/>
  <c r="EQ199" i="2"/>
  <c r="EP199" i="2"/>
  <c r="EO199" i="2"/>
  <c r="ED199" i="2"/>
  <c r="EC199" i="2"/>
  <c r="EE199" i="2" s="1"/>
  <c r="EB199" i="2"/>
  <c r="EA199" i="2"/>
  <c r="DZ199" i="2"/>
  <c r="DN199" i="2"/>
  <c r="DM199" i="2"/>
  <c r="DL199" i="2"/>
  <c r="DK199" i="2"/>
  <c r="DO199" i="2" s="1"/>
  <c r="DJ199" i="2"/>
  <c r="CY199" i="2"/>
  <c r="CX199" i="2"/>
  <c r="CW199" i="2"/>
  <c r="CV199" i="2"/>
  <c r="CZ199" i="2" s="1"/>
  <c r="CU199" i="2"/>
  <c r="CJ199" i="2"/>
  <c r="CK199" i="2" s="1"/>
  <c r="CI199" i="2"/>
  <c r="CH199" i="2"/>
  <c r="CG199" i="2"/>
  <c r="CF199" i="2"/>
  <c r="BH199" i="2"/>
  <c r="BG199" i="2"/>
  <c r="AY199" i="2"/>
  <c r="AX199" i="2"/>
  <c r="AV199" i="2"/>
  <c r="AU199" i="2"/>
  <c r="AT199" i="2"/>
  <c r="AS199" i="2"/>
  <c r="AR199" i="2"/>
  <c r="AP199" i="2"/>
  <c r="AO199" i="2"/>
  <c r="AN199" i="2"/>
  <c r="AM199" i="2"/>
  <c r="AL199" i="2"/>
  <c r="AK199" i="2"/>
  <c r="AJ199" i="2"/>
  <c r="CE199" i="2" s="1"/>
  <c r="AI199" i="2"/>
  <c r="AH199" i="2"/>
  <c r="AG199" i="2"/>
  <c r="AF199" i="2"/>
  <c r="AE199" i="2"/>
  <c r="AD199" i="2"/>
  <c r="AC199" i="2"/>
  <c r="AB199" i="2"/>
  <c r="AA199" i="2"/>
  <c r="Z199" i="2"/>
  <c r="X199" i="2"/>
  <c r="W199" i="2"/>
  <c r="V199" i="2"/>
  <c r="U199" i="2"/>
  <c r="T199" i="2"/>
  <c r="S199" i="2"/>
  <c r="R199" i="2"/>
  <c r="Q199" i="2"/>
  <c r="P199" i="2"/>
  <c r="M199" i="2"/>
  <c r="L199" i="2"/>
  <c r="K199" i="2"/>
  <c r="I199" i="2"/>
  <c r="H199" i="2"/>
  <c r="G199" i="2"/>
  <c r="F199" i="2"/>
  <c r="E199" i="2"/>
  <c r="D199" i="2"/>
  <c r="C199" i="2"/>
  <c r="A199" i="2"/>
  <c r="IV198" i="2"/>
  <c r="IU198" i="2"/>
  <c r="IT198" i="2"/>
  <c r="IS198" i="2"/>
  <c r="IW198" i="2" s="1"/>
  <c r="IR198" i="2"/>
  <c r="IG198" i="2"/>
  <c r="IF198" i="2"/>
  <c r="IE198" i="2"/>
  <c r="ID198" i="2"/>
  <c r="IH198" i="2" s="1"/>
  <c r="IC198" i="2"/>
  <c r="HR198" i="2"/>
  <c r="HQ198" i="2"/>
  <c r="HP198" i="2"/>
  <c r="HO198" i="2"/>
  <c r="HS198" i="2" s="1"/>
  <c r="HN198" i="2"/>
  <c r="HB198" i="2"/>
  <c r="HA198" i="2"/>
  <c r="GZ198" i="2"/>
  <c r="HC198" i="2" s="1"/>
  <c r="GY198" i="2"/>
  <c r="GX198" i="2"/>
  <c r="GM198" i="2"/>
  <c r="GL198" i="2"/>
  <c r="GK198" i="2"/>
  <c r="GJ198" i="2"/>
  <c r="GN198" i="2" s="1"/>
  <c r="GI198" i="2"/>
  <c r="FX198" i="2"/>
  <c r="FW198" i="2"/>
  <c r="FV198" i="2"/>
  <c r="FU198" i="2"/>
  <c r="FY198" i="2" s="1"/>
  <c r="FT198" i="2"/>
  <c r="FH198" i="2"/>
  <c r="FG198" i="2"/>
  <c r="FF198" i="2"/>
  <c r="FE198" i="2"/>
  <c r="FI198" i="2" s="1"/>
  <c r="FD198" i="2"/>
  <c r="ES198" i="2"/>
  <c r="ER198" i="2"/>
  <c r="EQ198" i="2"/>
  <c r="ET198" i="2" s="1"/>
  <c r="EP198" i="2"/>
  <c r="EO198" i="2"/>
  <c r="ED198" i="2"/>
  <c r="EC198" i="2"/>
  <c r="EB198" i="2"/>
  <c r="EA198" i="2"/>
  <c r="EE198" i="2" s="1"/>
  <c r="DZ198" i="2"/>
  <c r="DN198" i="2"/>
  <c r="DM198" i="2"/>
  <c r="DL198" i="2"/>
  <c r="DK198" i="2"/>
  <c r="DO198" i="2" s="1"/>
  <c r="DJ198" i="2"/>
  <c r="CY198" i="2"/>
  <c r="CX198" i="2"/>
  <c r="CW198" i="2"/>
  <c r="CV198" i="2"/>
  <c r="CZ198" i="2" s="1"/>
  <c r="CU198" i="2"/>
  <c r="CJ198" i="2"/>
  <c r="CI198" i="2"/>
  <c r="CH198" i="2"/>
  <c r="CK198" i="2" s="1"/>
  <c r="CG198" i="2"/>
  <c r="CF198" i="2"/>
  <c r="BH198" i="2"/>
  <c r="BG198" i="2"/>
  <c r="AY198" i="2"/>
  <c r="AX198" i="2"/>
  <c r="AV198" i="2"/>
  <c r="AU198" i="2"/>
  <c r="AT198" i="2"/>
  <c r="AS198" i="2"/>
  <c r="AR198" i="2"/>
  <c r="AP198" i="2"/>
  <c r="AO198" i="2"/>
  <c r="AN198" i="2"/>
  <c r="AM198" i="2"/>
  <c r="AL198" i="2"/>
  <c r="AK198" i="2"/>
  <c r="AJ198" i="2"/>
  <c r="CE198" i="2" s="1"/>
  <c r="AI198" i="2"/>
  <c r="AH198" i="2"/>
  <c r="AG198" i="2"/>
  <c r="AF198" i="2"/>
  <c r="AE198" i="2"/>
  <c r="AD198" i="2"/>
  <c r="AC198" i="2"/>
  <c r="AB198" i="2"/>
  <c r="AA198" i="2"/>
  <c r="Z198" i="2"/>
  <c r="X198" i="2"/>
  <c r="W198" i="2"/>
  <c r="V198" i="2"/>
  <c r="U198" i="2"/>
  <c r="T198" i="2"/>
  <c r="S198" i="2"/>
  <c r="R198" i="2"/>
  <c r="Q198" i="2"/>
  <c r="P198" i="2"/>
  <c r="M198" i="2"/>
  <c r="L198" i="2"/>
  <c r="K198" i="2"/>
  <c r="I198" i="2"/>
  <c r="H198" i="2"/>
  <c r="G198" i="2"/>
  <c r="F198" i="2"/>
  <c r="E198" i="2"/>
  <c r="D198" i="2"/>
  <c r="C198" i="2"/>
  <c r="A198" i="2"/>
  <c r="IV197" i="2"/>
  <c r="IU197" i="2"/>
  <c r="IT197" i="2"/>
  <c r="IS197" i="2"/>
  <c r="IW197" i="2" s="1"/>
  <c r="IR197" i="2"/>
  <c r="IG197" i="2"/>
  <c r="IF197" i="2"/>
  <c r="IE197" i="2"/>
  <c r="ID197" i="2"/>
  <c r="IH197" i="2" s="1"/>
  <c r="IC197" i="2"/>
  <c r="HS197" i="2"/>
  <c r="HR197" i="2"/>
  <c r="HQ197" i="2"/>
  <c r="HP197" i="2"/>
  <c r="HO197" i="2"/>
  <c r="HN197" i="2"/>
  <c r="HC197" i="2"/>
  <c r="HB197" i="2"/>
  <c r="HA197" i="2"/>
  <c r="GZ197" i="2"/>
  <c r="GY197" i="2"/>
  <c r="GX197" i="2"/>
  <c r="GM197" i="2"/>
  <c r="GL197" i="2"/>
  <c r="GK197" i="2"/>
  <c r="GJ197" i="2"/>
  <c r="GN197" i="2" s="1"/>
  <c r="GI197" i="2"/>
  <c r="FX197" i="2"/>
  <c r="FW197" i="2"/>
  <c r="FV197" i="2"/>
  <c r="FU197" i="2"/>
  <c r="FY197" i="2" s="1"/>
  <c r="FT197" i="2"/>
  <c r="FI197" i="2"/>
  <c r="FH197" i="2"/>
  <c r="FG197" i="2"/>
  <c r="FF197" i="2"/>
  <c r="FE197" i="2"/>
  <c r="FD197" i="2"/>
  <c r="ET197" i="2"/>
  <c r="ES197" i="2"/>
  <c r="ER197" i="2"/>
  <c r="EQ197" i="2"/>
  <c r="EP197" i="2"/>
  <c r="EO197" i="2"/>
  <c r="ED197" i="2"/>
  <c r="EC197" i="2"/>
  <c r="EB197" i="2"/>
  <c r="EA197" i="2"/>
  <c r="EE197" i="2" s="1"/>
  <c r="DZ197" i="2"/>
  <c r="DN197" i="2"/>
  <c r="DM197" i="2"/>
  <c r="DL197" i="2"/>
  <c r="DK197" i="2"/>
  <c r="DO197" i="2" s="1"/>
  <c r="DJ197" i="2"/>
  <c r="CY197" i="2"/>
  <c r="CZ197" i="2" s="1"/>
  <c r="CX197" i="2"/>
  <c r="CW197" i="2"/>
  <c r="CV197" i="2"/>
  <c r="CU197" i="2"/>
  <c r="CK197" i="2"/>
  <c r="CJ197" i="2"/>
  <c r="CI197" i="2"/>
  <c r="CH197" i="2"/>
  <c r="CG197" i="2"/>
  <c r="CF197" i="2"/>
  <c r="BH197" i="2"/>
  <c r="BG197" i="2"/>
  <c r="AY197" i="2"/>
  <c r="AX197" i="2"/>
  <c r="AV197" i="2"/>
  <c r="AU197" i="2"/>
  <c r="AT197" i="2"/>
  <c r="AS197" i="2"/>
  <c r="AR197" i="2"/>
  <c r="AP197" i="2"/>
  <c r="AO197" i="2"/>
  <c r="AN197" i="2"/>
  <c r="AM197" i="2"/>
  <c r="AL197" i="2"/>
  <c r="AK197" i="2"/>
  <c r="AJ197" i="2"/>
  <c r="CE197" i="2" s="1"/>
  <c r="AI197" i="2"/>
  <c r="AH197" i="2"/>
  <c r="AG197" i="2"/>
  <c r="AF197" i="2"/>
  <c r="AE197" i="2"/>
  <c r="AD197" i="2"/>
  <c r="AC197" i="2"/>
  <c r="AB197" i="2"/>
  <c r="AA197" i="2"/>
  <c r="Z197" i="2"/>
  <c r="X197" i="2"/>
  <c r="W197" i="2"/>
  <c r="V197" i="2"/>
  <c r="U197" i="2"/>
  <c r="T197" i="2"/>
  <c r="S197" i="2"/>
  <c r="R197" i="2"/>
  <c r="Q197" i="2"/>
  <c r="P197" i="2"/>
  <c r="M197" i="2"/>
  <c r="L197" i="2"/>
  <c r="K197" i="2"/>
  <c r="I197" i="2"/>
  <c r="H197" i="2"/>
  <c r="G197" i="2"/>
  <c r="F197" i="2"/>
  <c r="E197" i="2"/>
  <c r="D197" i="2"/>
  <c r="C197" i="2"/>
  <c r="A197" i="2"/>
  <c r="IV196" i="2"/>
  <c r="IU196" i="2"/>
  <c r="IT196" i="2"/>
  <c r="IS196" i="2"/>
  <c r="IW196" i="2" s="1"/>
  <c r="IR196" i="2"/>
  <c r="IG196" i="2"/>
  <c r="IF196" i="2"/>
  <c r="IE196" i="2"/>
  <c r="ID196" i="2"/>
  <c r="IH196" i="2" s="1"/>
  <c r="IC196" i="2"/>
  <c r="HR196" i="2"/>
  <c r="HQ196" i="2"/>
  <c r="HS196" i="2" s="1"/>
  <c r="HP196" i="2"/>
  <c r="HO196" i="2"/>
  <c r="HN196" i="2"/>
  <c r="HB196" i="2"/>
  <c r="HA196" i="2"/>
  <c r="GZ196" i="2"/>
  <c r="HC196" i="2" s="1"/>
  <c r="GY196" i="2"/>
  <c r="GX196" i="2"/>
  <c r="GM196" i="2"/>
  <c r="GL196" i="2"/>
  <c r="GK196" i="2"/>
  <c r="GJ196" i="2"/>
  <c r="GN196" i="2" s="1"/>
  <c r="GI196" i="2"/>
  <c r="FX196" i="2"/>
  <c r="FW196" i="2"/>
  <c r="FV196" i="2"/>
  <c r="FU196" i="2"/>
  <c r="FY196" i="2" s="1"/>
  <c r="FT196" i="2"/>
  <c r="FH196" i="2"/>
  <c r="FG196" i="2"/>
  <c r="FF196" i="2"/>
  <c r="FI196" i="2" s="1"/>
  <c r="FE196" i="2"/>
  <c r="FD196" i="2"/>
  <c r="ES196" i="2"/>
  <c r="ER196" i="2"/>
  <c r="EQ196" i="2"/>
  <c r="ET196" i="2" s="1"/>
  <c r="EP196" i="2"/>
  <c r="EO196" i="2"/>
  <c r="ED196" i="2"/>
  <c r="EC196" i="2"/>
  <c r="EB196" i="2"/>
  <c r="EA196" i="2"/>
  <c r="EE196" i="2" s="1"/>
  <c r="DZ196" i="2"/>
  <c r="DN196" i="2"/>
  <c r="DM196" i="2"/>
  <c r="DL196" i="2"/>
  <c r="DK196" i="2"/>
  <c r="DO196" i="2" s="1"/>
  <c r="DJ196" i="2"/>
  <c r="CY196" i="2"/>
  <c r="CX196" i="2"/>
  <c r="CW196" i="2"/>
  <c r="CZ196" i="2" s="1"/>
  <c r="CV196" i="2"/>
  <c r="CU196" i="2"/>
  <c r="CJ196" i="2"/>
  <c r="CI196" i="2"/>
  <c r="CH196" i="2"/>
  <c r="CK196" i="2" s="1"/>
  <c r="CG196" i="2"/>
  <c r="CF196" i="2"/>
  <c r="BH196" i="2"/>
  <c r="BG196" i="2"/>
  <c r="AY196" i="2"/>
  <c r="AX196" i="2"/>
  <c r="AV196" i="2"/>
  <c r="AU196" i="2"/>
  <c r="AT196" i="2"/>
  <c r="AS196" i="2"/>
  <c r="AR196" i="2"/>
  <c r="AP196" i="2"/>
  <c r="AO196" i="2"/>
  <c r="AN196" i="2"/>
  <c r="AM196" i="2"/>
  <c r="AL196" i="2"/>
  <c r="AK196" i="2"/>
  <c r="AJ196" i="2"/>
  <c r="CE196" i="2" s="1"/>
  <c r="AI196" i="2"/>
  <c r="AH196" i="2"/>
  <c r="AG196" i="2"/>
  <c r="AF196" i="2"/>
  <c r="AE196" i="2"/>
  <c r="AD196" i="2"/>
  <c r="AC196" i="2"/>
  <c r="AB196" i="2"/>
  <c r="AA196" i="2"/>
  <c r="Z196" i="2"/>
  <c r="X196" i="2"/>
  <c r="W196" i="2"/>
  <c r="V196" i="2"/>
  <c r="U196" i="2"/>
  <c r="T196" i="2"/>
  <c r="S196" i="2"/>
  <c r="R196" i="2"/>
  <c r="Q196" i="2"/>
  <c r="P196" i="2"/>
  <c r="M196" i="2"/>
  <c r="L196" i="2"/>
  <c r="K196" i="2"/>
  <c r="I196" i="2"/>
  <c r="H196" i="2"/>
  <c r="G196" i="2"/>
  <c r="F196" i="2"/>
  <c r="E196" i="2"/>
  <c r="D196" i="2"/>
  <c r="C196" i="2"/>
  <c r="A196" i="2"/>
  <c r="IV195" i="2"/>
  <c r="IU195" i="2"/>
  <c r="IT195" i="2"/>
  <c r="IS195" i="2"/>
  <c r="IW195" i="2" s="1"/>
  <c r="IR195" i="2"/>
  <c r="IG195" i="2"/>
  <c r="IF195" i="2"/>
  <c r="IH195" i="2" s="1"/>
  <c r="IE195" i="2"/>
  <c r="ID195" i="2"/>
  <c r="IC195" i="2"/>
  <c r="HS195" i="2"/>
  <c r="HR195" i="2"/>
  <c r="HQ195" i="2"/>
  <c r="HP195" i="2"/>
  <c r="HO195" i="2"/>
  <c r="HN195" i="2"/>
  <c r="HB195" i="2"/>
  <c r="HA195" i="2"/>
  <c r="GZ195" i="2"/>
  <c r="GY195" i="2"/>
  <c r="HC195" i="2" s="1"/>
  <c r="GX195" i="2"/>
  <c r="GM195" i="2"/>
  <c r="GL195" i="2"/>
  <c r="GK195" i="2"/>
  <c r="GJ195" i="2"/>
  <c r="GN195" i="2" s="1"/>
  <c r="GI195" i="2"/>
  <c r="FX195" i="2"/>
  <c r="FW195" i="2"/>
  <c r="FY195" i="2" s="1"/>
  <c r="FV195" i="2"/>
  <c r="FU195" i="2"/>
  <c r="FT195" i="2"/>
  <c r="FI195" i="2"/>
  <c r="FH195" i="2"/>
  <c r="FG195" i="2"/>
  <c r="FF195" i="2"/>
  <c r="FE195" i="2"/>
  <c r="FD195" i="2"/>
  <c r="ES195" i="2"/>
  <c r="ER195" i="2"/>
  <c r="EQ195" i="2"/>
  <c r="EP195" i="2"/>
  <c r="ET195" i="2" s="1"/>
  <c r="EO195" i="2"/>
  <c r="ED195" i="2"/>
  <c r="EC195" i="2"/>
  <c r="EB195" i="2"/>
  <c r="EA195" i="2"/>
  <c r="EE195" i="2" s="1"/>
  <c r="DZ195" i="2"/>
  <c r="DN195" i="2"/>
  <c r="DM195" i="2"/>
  <c r="DO195" i="2" s="1"/>
  <c r="DL195" i="2"/>
  <c r="DK195" i="2"/>
  <c r="DJ195" i="2"/>
  <c r="CZ195" i="2"/>
  <c r="CY195" i="2"/>
  <c r="CX195" i="2"/>
  <c r="CW195" i="2"/>
  <c r="CV195" i="2"/>
  <c r="CU195" i="2"/>
  <c r="CJ195" i="2"/>
  <c r="CI195" i="2"/>
  <c r="CH195" i="2"/>
  <c r="CG195" i="2"/>
  <c r="CK195" i="2" s="1"/>
  <c r="CF195" i="2"/>
  <c r="BH195" i="2"/>
  <c r="BG195" i="2"/>
  <c r="AY195" i="2"/>
  <c r="AX195" i="2"/>
  <c r="AV195" i="2"/>
  <c r="AU195" i="2"/>
  <c r="AT195" i="2"/>
  <c r="AS195" i="2"/>
  <c r="AR195" i="2"/>
  <c r="AP195" i="2"/>
  <c r="AN195" i="2"/>
  <c r="AO195" i="2" s="1"/>
  <c r="AM195" i="2"/>
  <c r="AL195" i="2"/>
  <c r="AK195" i="2"/>
  <c r="AJ195" i="2"/>
  <c r="CE195" i="2" s="1"/>
  <c r="AI195" i="2"/>
  <c r="AH195" i="2"/>
  <c r="AG195" i="2"/>
  <c r="AF195" i="2"/>
  <c r="AE195" i="2"/>
  <c r="AD195" i="2"/>
  <c r="AC195" i="2"/>
  <c r="AB195" i="2"/>
  <c r="AA195" i="2"/>
  <c r="Z195" i="2"/>
  <c r="X195" i="2"/>
  <c r="W195" i="2"/>
  <c r="V195" i="2"/>
  <c r="U195" i="2"/>
  <c r="T195" i="2"/>
  <c r="S195" i="2"/>
  <c r="R195" i="2"/>
  <c r="Q195" i="2"/>
  <c r="P195" i="2"/>
  <c r="M195" i="2"/>
  <c r="L195" i="2"/>
  <c r="K195" i="2"/>
  <c r="I195" i="2"/>
  <c r="H195" i="2"/>
  <c r="G195" i="2"/>
  <c r="F195" i="2"/>
  <c r="E195" i="2"/>
  <c r="D195" i="2"/>
  <c r="C195" i="2"/>
  <c r="A195" i="2"/>
  <c r="IW194" i="2"/>
  <c r="IV194" i="2"/>
  <c r="IU194" i="2"/>
  <c r="IT194" i="2"/>
  <c r="IS194" i="2"/>
  <c r="IR194" i="2"/>
  <c r="IG194" i="2"/>
  <c r="IF194" i="2"/>
  <c r="IH194" i="2" s="1"/>
  <c r="IE194" i="2"/>
  <c r="ID194" i="2"/>
  <c r="IC194" i="2"/>
  <c r="HR194" i="2"/>
  <c r="HQ194" i="2"/>
  <c r="HP194" i="2"/>
  <c r="HO194" i="2"/>
  <c r="HS194" i="2" s="1"/>
  <c r="HN194" i="2"/>
  <c r="HB194" i="2"/>
  <c r="HA194" i="2"/>
  <c r="GZ194" i="2"/>
  <c r="GY194" i="2"/>
  <c r="HC194" i="2" s="1"/>
  <c r="GX194" i="2"/>
  <c r="GM194" i="2"/>
  <c r="GL194" i="2"/>
  <c r="GK194" i="2"/>
  <c r="GN194" i="2" s="1"/>
  <c r="GJ194" i="2"/>
  <c r="GI194" i="2"/>
  <c r="FX194" i="2"/>
  <c r="FW194" i="2"/>
  <c r="FV194" i="2"/>
  <c r="FY194" i="2" s="1"/>
  <c r="FU194" i="2"/>
  <c r="FT194" i="2"/>
  <c r="FH194" i="2"/>
  <c r="FG194" i="2"/>
  <c r="FF194" i="2"/>
  <c r="FE194" i="2"/>
  <c r="FI194" i="2" s="1"/>
  <c r="FD194" i="2"/>
  <c r="ES194" i="2"/>
  <c r="ER194" i="2"/>
  <c r="EQ194" i="2"/>
  <c r="EP194" i="2"/>
  <c r="ET194" i="2" s="1"/>
  <c r="EO194" i="2"/>
  <c r="ED194" i="2"/>
  <c r="EC194" i="2"/>
  <c r="EB194" i="2"/>
  <c r="EE194" i="2" s="1"/>
  <c r="EA194" i="2"/>
  <c r="DZ194" i="2"/>
  <c r="DN194" i="2"/>
  <c r="DM194" i="2"/>
  <c r="DL194" i="2"/>
  <c r="DO194" i="2" s="1"/>
  <c r="DK194" i="2"/>
  <c r="DJ194" i="2"/>
  <c r="CY194" i="2"/>
  <c r="CX194" i="2"/>
  <c r="CW194" i="2"/>
  <c r="CV194" i="2"/>
  <c r="CZ194" i="2" s="1"/>
  <c r="CU194" i="2"/>
  <c r="CJ194" i="2"/>
  <c r="CI194" i="2"/>
  <c r="CH194" i="2"/>
  <c r="CG194" i="2"/>
  <c r="CK194" i="2" s="1"/>
  <c r="CF194" i="2"/>
  <c r="BH194" i="2"/>
  <c r="BG194" i="2"/>
  <c r="AY194" i="2"/>
  <c r="AX194" i="2"/>
  <c r="AV194" i="2"/>
  <c r="AU194" i="2"/>
  <c r="AT194" i="2"/>
  <c r="AS194" i="2"/>
  <c r="AR194" i="2"/>
  <c r="AP194" i="2"/>
  <c r="AO194" i="2"/>
  <c r="AN194" i="2"/>
  <c r="AM194" i="2"/>
  <c r="AL194" i="2"/>
  <c r="AK194" i="2"/>
  <c r="AJ194" i="2"/>
  <c r="CE194" i="2" s="1"/>
  <c r="AI194" i="2"/>
  <c r="AH194" i="2"/>
  <c r="AG194" i="2"/>
  <c r="AF194" i="2"/>
  <c r="AE194" i="2"/>
  <c r="AD194" i="2"/>
  <c r="AC194" i="2"/>
  <c r="AB194" i="2"/>
  <c r="AA194" i="2"/>
  <c r="Z194" i="2"/>
  <c r="X194" i="2"/>
  <c r="W194" i="2"/>
  <c r="V194" i="2"/>
  <c r="U194" i="2"/>
  <c r="T194" i="2"/>
  <c r="S194" i="2"/>
  <c r="R194" i="2"/>
  <c r="Q194" i="2"/>
  <c r="P194" i="2"/>
  <c r="M194" i="2"/>
  <c r="L194" i="2"/>
  <c r="K194" i="2"/>
  <c r="I194" i="2"/>
  <c r="H194" i="2"/>
  <c r="G194" i="2"/>
  <c r="F194" i="2"/>
  <c r="E194" i="2"/>
  <c r="D194" i="2"/>
  <c r="C194" i="2"/>
  <c r="A194" i="2"/>
  <c r="IV193" i="2"/>
  <c r="IU193" i="2"/>
  <c r="IW193" i="2" s="1"/>
  <c r="IT193" i="2"/>
  <c r="IS193" i="2"/>
  <c r="IR193" i="2"/>
  <c r="IH193" i="2"/>
  <c r="IG193" i="2"/>
  <c r="IF193" i="2"/>
  <c r="IE193" i="2"/>
  <c r="ID193" i="2"/>
  <c r="IC193" i="2"/>
  <c r="HR193" i="2"/>
  <c r="HQ193" i="2"/>
  <c r="HP193" i="2"/>
  <c r="HO193" i="2"/>
  <c r="HS193" i="2" s="1"/>
  <c r="HN193" i="2"/>
  <c r="HB193" i="2"/>
  <c r="HA193" i="2"/>
  <c r="GZ193" i="2"/>
  <c r="GY193" i="2"/>
  <c r="HC193" i="2" s="1"/>
  <c r="GX193" i="2"/>
  <c r="GM193" i="2"/>
  <c r="GL193" i="2"/>
  <c r="GN193" i="2" s="1"/>
  <c r="GK193" i="2"/>
  <c r="GJ193" i="2"/>
  <c r="GI193" i="2"/>
  <c r="FY193" i="2"/>
  <c r="FX193" i="2"/>
  <c r="FW193" i="2"/>
  <c r="FV193" i="2"/>
  <c r="FU193" i="2"/>
  <c r="FT193" i="2"/>
  <c r="FH193" i="2"/>
  <c r="FG193" i="2"/>
  <c r="FF193" i="2"/>
  <c r="FE193" i="2"/>
  <c r="FI193" i="2" s="1"/>
  <c r="FD193" i="2"/>
  <c r="ES193" i="2"/>
  <c r="ER193" i="2"/>
  <c r="EQ193" i="2"/>
  <c r="EP193" i="2"/>
  <c r="ET193" i="2" s="1"/>
  <c r="EO193" i="2"/>
  <c r="ED193" i="2"/>
  <c r="EC193" i="2"/>
  <c r="EE193" i="2" s="1"/>
  <c r="EB193" i="2"/>
  <c r="EA193" i="2"/>
  <c r="DZ193" i="2"/>
  <c r="DO193" i="2"/>
  <c r="DN193" i="2"/>
  <c r="DM193" i="2"/>
  <c r="DL193" i="2"/>
  <c r="DK193" i="2"/>
  <c r="DJ193" i="2"/>
  <c r="CY193" i="2"/>
  <c r="CX193" i="2"/>
  <c r="CW193" i="2"/>
  <c r="CV193" i="2"/>
  <c r="CZ193" i="2" s="1"/>
  <c r="CU193" i="2"/>
  <c r="CJ193" i="2"/>
  <c r="CI193" i="2"/>
  <c r="CH193" i="2"/>
  <c r="CG193" i="2"/>
  <c r="CK193" i="2" s="1"/>
  <c r="CF193" i="2"/>
  <c r="BH193" i="2"/>
  <c r="BG193" i="2"/>
  <c r="AY193" i="2"/>
  <c r="AX193" i="2"/>
  <c r="AV193" i="2"/>
  <c r="AU193" i="2"/>
  <c r="AT193" i="2"/>
  <c r="AS193" i="2"/>
  <c r="AR193" i="2"/>
  <c r="AP193" i="2"/>
  <c r="AO193" i="2"/>
  <c r="AN193" i="2"/>
  <c r="AM193" i="2"/>
  <c r="AL193" i="2"/>
  <c r="AK193" i="2"/>
  <c r="AJ193" i="2"/>
  <c r="CE193" i="2" s="1"/>
  <c r="AI193" i="2"/>
  <c r="AH193" i="2"/>
  <c r="AG193" i="2"/>
  <c r="AF193" i="2"/>
  <c r="AE193" i="2"/>
  <c r="AD193" i="2"/>
  <c r="AC193" i="2"/>
  <c r="AB193" i="2"/>
  <c r="AA193" i="2"/>
  <c r="Z193" i="2"/>
  <c r="X193" i="2"/>
  <c r="W193" i="2"/>
  <c r="V193" i="2"/>
  <c r="U193" i="2"/>
  <c r="T193" i="2"/>
  <c r="S193" i="2"/>
  <c r="R193" i="2"/>
  <c r="Q193" i="2"/>
  <c r="P193" i="2"/>
  <c r="M193" i="2"/>
  <c r="L193" i="2"/>
  <c r="K193" i="2"/>
  <c r="I193" i="2"/>
  <c r="H193" i="2"/>
  <c r="G193" i="2"/>
  <c r="F193" i="2"/>
  <c r="E193" i="2"/>
  <c r="D193" i="2"/>
  <c r="C193" i="2"/>
  <c r="A193" i="2"/>
  <c r="IV192" i="2"/>
  <c r="IU192" i="2"/>
  <c r="IT192" i="2"/>
  <c r="IW192" i="2" s="1"/>
  <c r="IS192" i="2"/>
  <c r="IR192" i="2"/>
  <c r="IG192" i="2"/>
  <c r="IF192" i="2"/>
  <c r="IE192" i="2"/>
  <c r="ID192" i="2"/>
  <c r="IH192" i="2" s="1"/>
  <c r="IC192" i="2"/>
  <c r="HR192" i="2"/>
  <c r="HQ192" i="2"/>
  <c r="HP192" i="2"/>
  <c r="HO192" i="2"/>
  <c r="HS192" i="2" s="1"/>
  <c r="HN192" i="2"/>
  <c r="HB192" i="2"/>
  <c r="HC192" i="2" s="1"/>
  <c r="HA192" i="2"/>
  <c r="GZ192" i="2"/>
  <c r="GY192" i="2"/>
  <c r="GX192" i="2"/>
  <c r="GM192" i="2"/>
  <c r="GL192" i="2"/>
  <c r="GK192" i="2"/>
  <c r="GN192" i="2" s="1"/>
  <c r="GJ192" i="2"/>
  <c r="GI192" i="2"/>
  <c r="FX192" i="2"/>
  <c r="FW192" i="2"/>
  <c r="FV192" i="2"/>
  <c r="FU192" i="2"/>
  <c r="FY192" i="2" s="1"/>
  <c r="FT192" i="2"/>
  <c r="FH192" i="2"/>
  <c r="FG192" i="2"/>
  <c r="FF192" i="2"/>
  <c r="FE192" i="2"/>
  <c r="FI192" i="2" s="1"/>
  <c r="FD192" i="2"/>
  <c r="ES192" i="2"/>
  <c r="ER192" i="2"/>
  <c r="EQ192" i="2"/>
  <c r="ET192" i="2" s="1"/>
  <c r="EP192" i="2"/>
  <c r="EO192" i="2"/>
  <c r="ED192" i="2"/>
  <c r="EC192" i="2"/>
  <c r="EB192" i="2"/>
  <c r="EE192" i="2" s="1"/>
  <c r="EA192" i="2"/>
  <c r="DZ192" i="2"/>
  <c r="DN192" i="2"/>
  <c r="DM192" i="2"/>
  <c r="DL192" i="2"/>
  <c r="DK192" i="2"/>
  <c r="DO192" i="2" s="1"/>
  <c r="DJ192" i="2"/>
  <c r="CY192" i="2"/>
  <c r="CX192" i="2"/>
  <c r="CW192" i="2"/>
  <c r="CV192" i="2"/>
  <c r="CZ192" i="2" s="1"/>
  <c r="CU192" i="2"/>
  <c r="CJ192" i="2"/>
  <c r="CI192" i="2"/>
  <c r="CH192" i="2"/>
  <c r="CK192" i="2" s="1"/>
  <c r="CG192" i="2"/>
  <c r="CF192" i="2"/>
  <c r="BH192" i="2"/>
  <c r="BG192" i="2"/>
  <c r="AY192" i="2"/>
  <c r="AX192" i="2"/>
  <c r="AV192" i="2"/>
  <c r="AU192" i="2"/>
  <c r="AT192" i="2"/>
  <c r="AS192" i="2"/>
  <c r="AR192" i="2"/>
  <c r="AP192" i="2"/>
  <c r="AO192" i="2"/>
  <c r="AN192" i="2"/>
  <c r="AM192" i="2"/>
  <c r="AL192" i="2"/>
  <c r="AK192" i="2"/>
  <c r="AJ192" i="2"/>
  <c r="CE192" i="2" s="1"/>
  <c r="AI192" i="2"/>
  <c r="AH192" i="2"/>
  <c r="AG192" i="2"/>
  <c r="AF192" i="2"/>
  <c r="AE192" i="2"/>
  <c r="AD192" i="2"/>
  <c r="AC192" i="2"/>
  <c r="AB192" i="2"/>
  <c r="AA192" i="2"/>
  <c r="Z192" i="2"/>
  <c r="X192" i="2"/>
  <c r="W192" i="2"/>
  <c r="V192" i="2"/>
  <c r="U192" i="2"/>
  <c r="T192" i="2"/>
  <c r="S192" i="2"/>
  <c r="R192" i="2"/>
  <c r="Q192" i="2"/>
  <c r="P192" i="2"/>
  <c r="M192" i="2"/>
  <c r="L192" i="2"/>
  <c r="K192" i="2"/>
  <c r="I192" i="2"/>
  <c r="H192" i="2"/>
  <c r="G192" i="2"/>
  <c r="F192" i="2"/>
  <c r="E192" i="2"/>
  <c r="D192" i="2"/>
  <c r="C192" i="2"/>
  <c r="A192" i="2"/>
  <c r="IW191" i="2"/>
  <c r="IV191" i="2"/>
  <c r="IU191" i="2"/>
  <c r="IT191" i="2"/>
  <c r="IS191" i="2"/>
  <c r="IR191" i="2"/>
  <c r="IG191" i="2"/>
  <c r="IF191" i="2"/>
  <c r="IE191" i="2"/>
  <c r="ID191" i="2"/>
  <c r="IH191" i="2" s="1"/>
  <c r="IC191" i="2"/>
  <c r="HR191" i="2"/>
  <c r="HQ191" i="2"/>
  <c r="HP191" i="2"/>
  <c r="HO191" i="2"/>
  <c r="HS191" i="2" s="1"/>
  <c r="HN191" i="2"/>
  <c r="HB191" i="2"/>
  <c r="HA191" i="2"/>
  <c r="HC191" i="2" s="1"/>
  <c r="GZ191" i="2"/>
  <c r="GY191" i="2"/>
  <c r="GX191" i="2"/>
  <c r="GN191" i="2"/>
  <c r="GM191" i="2"/>
  <c r="GL191" i="2"/>
  <c r="GK191" i="2"/>
  <c r="GJ191" i="2"/>
  <c r="GI191" i="2"/>
  <c r="FX191" i="2"/>
  <c r="FW191" i="2"/>
  <c r="FV191" i="2"/>
  <c r="FU191" i="2"/>
  <c r="FY191" i="2" s="1"/>
  <c r="FT191" i="2"/>
  <c r="FH191" i="2"/>
  <c r="FG191" i="2"/>
  <c r="FF191" i="2"/>
  <c r="FE191" i="2"/>
  <c r="FI191" i="2" s="1"/>
  <c r="FD191" i="2"/>
  <c r="ES191" i="2"/>
  <c r="ER191" i="2"/>
  <c r="ET191" i="2" s="1"/>
  <c r="EQ191" i="2"/>
  <c r="EP191" i="2"/>
  <c r="EO191" i="2"/>
  <c r="EE191" i="2"/>
  <c r="ED191" i="2"/>
  <c r="EC191" i="2"/>
  <c r="EB191" i="2"/>
  <c r="EA191" i="2"/>
  <c r="DZ191" i="2"/>
  <c r="DN191" i="2"/>
  <c r="DM191" i="2"/>
  <c r="DL191" i="2"/>
  <c r="DK191" i="2"/>
  <c r="DO191" i="2" s="1"/>
  <c r="DJ191" i="2"/>
  <c r="CY191" i="2"/>
  <c r="CX191" i="2"/>
  <c r="CW191" i="2"/>
  <c r="CV191" i="2"/>
  <c r="CZ191" i="2" s="1"/>
  <c r="CU191" i="2"/>
  <c r="CJ191" i="2"/>
  <c r="CI191" i="2"/>
  <c r="CK191" i="2" s="1"/>
  <c r="CH191" i="2"/>
  <c r="CG191" i="2"/>
  <c r="CF191" i="2"/>
  <c r="BH191" i="2"/>
  <c r="BG191" i="2"/>
  <c r="AY191" i="2"/>
  <c r="AX191" i="2"/>
  <c r="AV191" i="2"/>
  <c r="AU191" i="2"/>
  <c r="AT191" i="2"/>
  <c r="AS191" i="2"/>
  <c r="AR191" i="2"/>
  <c r="AP191" i="2"/>
  <c r="AO191" i="2"/>
  <c r="AN191" i="2"/>
  <c r="AM191" i="2"/>
  <c r="AL191" i="2"/>
  <c r="AK191" i="2"/>
  <c r="AJ191" i="2"/>
  <c r="CE191" i="2" s="1"/>
  <c r="AI191" i="2"/>
  <c r="AH191" i="2"/>
  <c r="AG191" i="2"/>
  <c r="AF191" i="2"/>
  <c r="AE191" i="2"/>
  <c r="AD191" i="2"/>
  <c r="AC191" i="2"/>
  <c r="AB191" i="2"/>
  <c r="AA191" i="2"/>
  <c r="Z191" i="2"/>
  <c r="X191" i="2"/>
  <c r="W191" i="2"/>
  <c r="V191" i="2"/>
  <c r="U191" i="2"/>
  <c r="T191" i="2"/>
  <c r="S191" i="2"/>
  <c r="R191" i="2"/>
  <c r="Q191" i="2"/>
  <c r="P191" i="2"/>
  <c r="M191" i="2"/>
  <c r="L191" i="2"/>
  <c r="K191" i="2"/>
  <c r="I191" i="2"/>
  <c r="H191" i="2"/>
  <c r="G191" i="2"/>
  <c r="F191" i="2"/>
  <c r="E191" i="2"/>
  <c r="D191" i="2"/>
  <c r="C191" i="2"/>
  <c r="A191" i="2"/>
  <c r="IV190" i="2"/>
  <c r="IU190" i="2"/>
  <c r="IT190" i="2"/>
  <c r="IS190" i="2"/>
  <c r="IW190" i="2" s="1"/>
  <c r="IR190" i="2"/>
  <c r="IG190" i="2"/>
  <c r="IF190" i="2"/>
  <c r="IE190" i="2"/>
  <c r="ID190" i="2"/>
  <c r="IH190" i="2" s="1"/>
  <c r="IC190" i="2"/>
  <c r="HR190" i="2"/>
  <c r="HS190" i="2" s="1"/>
  <c r="HQ190" i="2"/>
  <c r="HP190" i="2"/>
  <c r="HO190" i="2"/>
  <c r="HN190" i="2"/>
  <c r="HB190" i="2"/>
  <c r="HA190" i="2"/>
  <c r="GZ190" i="2"/>
  <c r="HC190" i="2" s="1"/>
  <c r="GY190" i="2"/>
  <c r="GX190" i="2"/>
  <c r="GM190" i="2"/>
  <c r="GL190" i="2"/>
  <c r="GK190" i="2"/>
  <c r="GJ190" i="2"/>
  <c r="GN190" i="2" s="1"/>
  <c r="GI190" i="2"/>
  <c r="FX190" i="2"/>
  <c r="FW190" i="2"/>
  <c r="FV190" i="2"/>
  <c r="FU190" i="2"/>
  <c r="FY190" i="2" s="1"/>
  <c r="FT190" i="2"/>
  <c r="FH190" i="2"/>
  <c r="FI190" i="2" s="1"/>
  <c r="FG190" i="2"/>
  <c r="FF190" i="2"/>
  <c r="FE190" i="2"/>
  <c r="FD190" i="2"/>
  <c r="ES190" i="2"/>
  <c r="ER190" i="2"/>
  <c r="EQ190" i="2"/>
  <c r="ET190" i="2" s="1"/>
  <c r="EP190" i="2"/>
  <c r="EO190" i="2"/>
  <c r="ED190" i="2"/>
  <c r="EC190" i="2"/>
  <c r="EB190" i="2"/>
  <c r="EA190" i="2"/>
  <c r="EE190" i="2" s="1"/>
  <c r="DZ190" i="2"/>
  <c r="DN190" i="2"/>
  <c r="DM190" i="2"/>
  <c r="DL190" i="2"/>
  <c r="DK190" i="2"/>
  <c r="DO190" i="2" s="1"/>
  <c r="DJ190" i="2"/>
  <c r="CY190" i="2"/>
  <c r="CZ190" i="2" s="1"/>
  <c r="CX190" i="2"/>
  <c r="CW190" i="2"/>
  <c r="CV190" i="2"/>
  <c r="CU190" i="2"/>
  <c r="CJ190" i="2"/>
  <c r="CI190" i="2"/>
  <c r="CH190" i="2"/>
  <c r="CK190" i="2" s="1"/>
  <c r="CG190" i="2"/>
  <c r="CF190" i="2"/>
  <c r="BH190" i="2"/>
  <c r="BG190" i="2"/>
  <c r="AY190" i="2"/>
  <c r="AX190" i="2"/>
  <c r="AV190" i="2"/>
  <c r="AU190" i="2"/>
  <c r="AT190" i="2"/>
  <c r="AS190" i="2"/>
  <c r="AR190" i="2"/>
  <c r="AP190" i="2"/>
  <c r="AO190" i="2"/>
  <c r="AN190" i="2"/>
  <c r="AM190" i="2"/>
  <c r="AL190" i="2"/>
  <c r="AK190" i="2"/>
  <c r="AJ190" i="2"/>
  <c r="CE190" i="2" s="1"/>
  <c r="AI190" i="2"/>
  <c r="AH190" i="2"/>
  <c r="AG190" i="2"/>
  <c r="AF190" i="2"/>
  <c r="AE190" i="2"/>
  <c r="AD190" i="2"/>
  <c r="AC190" i="2"/>
  <c r="AB190" i="2"/>
  <c r="AA190" i="2"/>
  <c r="Z190" i="2"/>
  <c r="X190" i="2"/>
  <c r="W190" i="2"/>
  <c r="V190" i="2"/>
  <c r="U190" i="2"/>
  <c r="T190" i="2"/>
  <c r="S190" i="2"/>
  <c r="R190" i="2"/>
  <c r="Q190" i="2"/>
  <c r="P190" i="2"/>
  <c r="M190" i="2"/>
  <c r="L190" i="2"/>
  <c r="K190" i="2"/>
  <c r="I190" i="2"/>
  <c r="H190" i="2"/>
  <c r="G190" i="2"/>
  <c r="F190" i="2"/>
  <c r="E190" i="2"/>
  <c r="D190" i="2"/>
  <c r="C190" i="2"/>
  <c r="A190" i="2"/>
  <c r="IV189" i="2"/>
  <c r="IU189" i="2"/>
  <c r="IT189" i="2"/>
  <c r="IS189" i="2"/>
  <c r="IW189" i="2" s="1"/>
  <c r="IR189" i="2"/>
  <c r="IG189" i="2"/>
  <c r="IF189" i="2"/>
  <c r="IE189" i="2"/>
  <c r="ID189" i="2"/>
  <c r="IH189" i="2" s="1"/>
  <c r="IC189" i="2"/>
  <c r="HR189" i="2"/>
  <c r="HQ189" i="2"/>
  <c r="HS189" i="2" s="1"/>
  <c r="HP189" i="2"/>
  <c r="HO189" i="2"/>
  <c r="HN189" i="2"/>
  <c r="HC189" i="2"/>
  <c r="HB189" i="2"/>
  <c r="HA189" i="2"/>
  <c r="GZ189" i="2"/>
  <c r="GY189" i="2"/>
  <c r="GX189" i="2"/>
  <c r="GM189" i="2"/>
  <c r="GL189" i="2"/>
  <c r="GK189" i="2"/>
  <c r="GJ189" i="2"/>
  <c r="GN189" i="2" s="1"/>
  <c r="GI189" i="2"/>
  <c r="FX189" i="2"/>
  <c r="FW189" i="2"/>
  <c r="FV189" i="2"/>
  <c r="FU189" i="2"/>
  <c r="FY189" i="2" s="1"/>
  <c r="FT189" i="2"/>
  <c r="FH189" i="2"/>
  <c r="FG189" i="2"/>
  <c r="FI189" i="2" s="1"/>
  <c r="FF189" i="2"/>
  <c r="FE189" i="2"/>
  <c r="FD189" i="2"/>
  <c r="ET189" i="2"/>
  <c r="ES189" i="2"/>
  <c r="ER189" i="2"/>
  <c r="EQ189" i="2"/>
  <c r="EP189" i="2"/>
  <c r="EO189" i="2"/>
  <c r="ED189" i="2"/>
  <c r="EC189" i="2"/>
  <c r="EB189" i="2"/>
  <c r="EA189" i="2"/>
  <c r="EE189" i="2" s="1"/>
  <c r="DZ189" i="2"/>
  <c r="DN189" i="2"/>
  <c r="DM189" i="2"/>
  <c r="DL189" i="2"/>
  <c r="DK189" i="2"/>
  <c r="DO189" i="2" s="1"/>
  <c r="DJ189" i="2"/>
  <c r="CY189" i="2"/>
  <c r="CX189" i="2"/>
  <c r="CZ189" i="2" s="1"/>
  <c r="CW189" i="2"/>
  <c r="CV189" i="2"/>
  <c r="CU189" i="2"/>
  <c r="CK189" i="2"/>
  <c r="CJ189" i="2"/>
  <c r="CI189" i="2"/>
  <c r="CH189" i="2"/>
  <c r="CG189" i="2"/>
  <c r="CF189" i="2"/>
  <c r="BH189" i="2"/>
  <c r="BG189" i="2"/>
  <c r="AY189" i="2"/>
  <c r="AX189" i="2"/>
  <c r="AV189" i="2"/>
  <c r="AU189" i="2"/>
  <c r="AT189" i="2"/>
  <c r="AS189" i="2"/>
  <c r="AR189" i="2"/>
  <c r="AP189" i="2"/>
  <c r="AO189" i="2"/>
  <c r="AN189" i="2"/>
  <c r="AM189" i="2"/>
  <c r="AL189" i="2"/>
  <c r="AK189" i="2"/>
  <c r="AJ189" i="2"/>
  <c r="CE189" i="2" s="1"/>
  <c r="AI189" i="2"/>
  <c r="AH189" i="2"/>
  <c r="AG189" i="2"/>
  <c r="AF189" i="2"/>
  <c r="AE189" i="2"/>
  <c r="AD189" i="2"/>
  <c r="AC189" i="2"/>
  <c r="AB189" i="2"/>
  <c r="AA189" i="2"/>
  <c r="Z189" i="2"/>
  <c r="X189" i="2"/>
  <c r="W189" i="2"/>
  <c r="V189" i="2"/>
  <c r="U189" i="2"/>
  <c r="T189" i="2"/>
  <c r="S189" i="2"/>
  <c r="R189" i="2"/>
  <c r="Q189" i="2"/>
  <c r="P189" i="2"/>
  <c r="M189" i="2"/>
  <c r="L189" i="2"/>
  <c r="K189" i="2"/>
  <c r="I189" i="2"/>
  <c r="H189" i="2"/>
  <c r="G189" i="2"/>
  <c r="F189" i="2"/>
  <c r="E189" i="2"/>
  <c r="D189" i="2"/>
  <c r="C189" i="2"/>
  <c r="A189" i="2"/>
  <c r="IV188" i="2"/>
  <c r="IU188" i="2"/>
  <c r="IT188" i="2"/>
  <c r="IS188" i="2"/>
  <c r="IW188" i="2" s="1"/>
  <c r="IR188" i="2"/>
  <c r="IH188" i="2"/>
  <c r="IG188" i="2"/>
  <c r="IF188" i="2"/>
  <c r="IE188" i="2"/>
  <c r="ID188" i="2"/>
  <c r="IC188" i="2"/>
  <c r="HR188" i="2"/>
  <c r="HQ188" i="2"/>
  <c r="HP188" i="2"/>
  <c r="HS188" i="2" s="1"/>
  <c r="HO188" i="2"/>
  <c r="HN188" i="2"/>
  <c r="HB188" i="2"/>
  <c r="HA188" i="2"/>
  <c r="GZ188" i="2"/>
  <c r="GY188" i="2"/>
  <c r="HC188" i="2" s="1"/>
  <c r="GX188" i="2"/>
  <c r="GM188" i="2"/>
  <c r="GL188" i="2"/>
  <c r="GK188" i="2"/>
  <c r="GJ188" i="2"/>
  <c r="GN188" i="2" s="1"/>
  <c r="GI188" i="2"/>
  <c r="FY188" i="2"/>
  <c r="FX188" i="2"/>
  <c r="FW188" i="2"/>
  <c r="FV188" i="2"/>
  <c r="FU188" i="2"/>
  <c r="FT188" i="2"/>
  <c r="FH188" i="2"/>
  <c r="FG188" i="2"/>
  <c r="FF188" i="2"/>
  <c r="FI188" i="2" s="1"/>
  <c r="FE188" i="2"/>
  <c r="FD188" i="2"/>
  <c r="ES188" i="2"/>
  <c r="ER188" i="2"/>
  <c r="EQ188" i="2"/>
  <c r="EP188" i="2"/>
  <c r="ET188" i="2" s="1"/>
  <c r="EO188" i="2"/>
  <c r="ED188" i="2"/>
  <c r="EC188" i="2"/>
  <c r="EB188" i="2"/>
  <c r="EA188" i="2"/>
  <c r="EE188" i="2" s="1"/>
  <c r="DZ188" i="2"/>
  <c r="DN188" i="2"/>
  <c r="DO188" i="2" s="1"/>
  <c r="DM188" i="2"/>
  <c r="DL188" i="2"/>
  <c r="DK188" i="2"/>
  <c r="DJ188" i="2"/>
  <c r="CY188" i="2"/>
  <c r="CX188" i="2"/>
  <c r="CW188" i="2"/>
  <c r="CZ188" i="2" s="1"/>
  <c r="CV188" i="2"/>
  <c r="CU188" i="2"/>
  <c r="CJ188" i="2"/>
  <c r="CI188" i="2"/>
  <c r="CH188" i="2"/>
  <c r="CG188" i="2"/>
  <c r="CK188" i="2" s="1"/>
  <c r="CF188" i="2"/>
  <c r="BH188" i="2"/>
  <c r="BG188" i="2"/>
  <c r="AY188" i="2"/>
  <c r="AX188" i="2"/>
  <c r="AV188" i="2"/>
  <c r="AU188" i="2"/>
  <c r="AT188" i="2"/>
  <c r="AS188" i="2"/>
  <c r="AR188" i="2"/>
  <c r="AP188" i="2"/>
  <c r="AO188" i="2"/>
  <c r="AN188" i="2"/>
  <c r="AM188" i="2"/>
  <c r="AL188" i="2"/>
  <c r="AK188" i="2"/>
  <c r="AJ188" i="2"/>
  <c r="CE188" i="2" s="1"/>
  <c r="AI188" i="2"/>
  <c r="AH188" i="2"/>
  <c r="AG188" i="2"/>
  <c r="AF188" i="2"/>
  <c r="AE188" i="2"/>
  <c r="AD188" i="2"/>
  <c r="AC188" i="2"/>
  <c r="AB188" i="2"/>
  <c r="AA188" i="2"/>
  <c r="Z188" i="2"/>
  <c r="X188" i="2"/>
  <c r="W188" i="2"/>
  <c r="V188" i="2"/>
  <c r="U188" i="2"/>
  <c r="T188" i="2"/>
  <c r="S188" i="2"/>
  <c r="R188" i="2"/>
  <c r="Q188" i="2"/>
  <c r="P188" i="2"/>
  <c r="M188" i="2"/>
  <c r="L188" i="2"/>
  <c r="K188" i="2"/>
  <c r="I188" i="2"/>
  <c r="H188" i="2"/>
  <c r="G188" i="2"/>
  <c r="F188" i="2"/>
  <c r="E188" i="2"/>
  <c r="D188" i="2"/>
  <c r="C188" i="2"/>
  <c r="A188" i="2"/>
  <c r="IV187" i="2"/>
  <c r="IU187" i="2"/>
  <c r="IT187" i="2"/>
  <c r="IS187" i="2"/>
  <c r="IW187" i="2" s="1"/>
  <c r="IR187" i="2"/>
  <c r="IG187" i="2"/>
  <c r="IF187" i="2"/>
  <c r="IE187" i="2"/>
  <c r="ID187" i="2"/>
  <c r="IH187" i="2" s="1"/>
  <c r="IC187" i="2"/>
  <c r="HS187" i="2"/>
  <c r="HR187" i="2"/>
  <c r="HQ187" i="2"/>
  <c r="HP187" i="2"/>
  <c r="HO187" i="2"/>
  <c r="HN187" i="2"/>
  <c r="HB187" i="2"/>
  <c r="HA187" i="2"/>
  <c r="HC187" i="2" s="1"/>
  <c r="GZ187" i="2"/>
  <c r="GY187" i="2"/>
  <c r="GX187" i="2"/>
  <c r="GM187" i="2"/>
  <c r="GL187" i="2"/>
  <c r="GK187" i="2"/>
  <c r="GJ187" i="2"/>
  <c r="GN187" i="2" s="1"/>
  <c r="GI187" i="2"/>
  <c r="FX187" i="2"/>
  <c r="FW187" i="2"/>
  <c r="FV187" i="2"/>
  <c r="FU187" i="2"/>
  <c r="FY187" i="2" s="1"/>
  <c r="FT187" i="2"/>
  <c r="FI187" i="2"/>
  <c r="FH187" i="2"/>
  <c r="FG187" i="2"/>
  <c r="FF187" i="2"/>
  <c r="FE187" i="2"/>
  <c r="FD187" i="2"/>
  <c r="ES187" i="2"/>
  <c r="ER187" i="2"/>
  <c r="ET187" i="2" s="1"/>
  <c r="EQ187" i="2"/>
  <c r="EP187" i="2"/>
  <c r="EO187" i="2"/>
  <c r="ED187" i="2"/>
  <c r="EC187" i="2"/>
  <c r="EB187" i="2"/>
  <c r="EA187" i="2"/>
  <c r="EE187" i="2" s="1"/>
  <c r="DZ187" i="2"/>
  <c r="DN187" i="2"/>
  <c r="DM187" i="2"/>
  <c r="DL187" i="2"/>
  <c r="DK187" i="2"/>
  <c r="DO187" i="2" s="1"/>
  <c r="DJ187" i="2"/>
  <c r="CZ187" i="2"/>
  <c r="CY187" i="2"/>
  <c r="CX187" i="2"/>
  <c r="CW187" i="2"/>
  <c r="CV187" i="2"/>
  <c r="CU187" i="2"/>
  <c r="CJ187" i="2"/>
  <c r="CI187" i="2"/>
  <c r="CK187" i="2" s="1"/>
  <c r="CH187" i="2"/>
  <c r="CG187" i="2"/>
  <c r="CF187" i="2"/>
  <c r="BH187" i="2"/>
  <c r="BG187" i="2"/>
  <c r="AY187" i="2"/>
  <c r="AX187" i="2"/>
  <c r="AV187" i="2"/>
  <c r="AU187" i="2"/>
  <c r="AT187" i="2"/>
  <c r="AS187" i="2"/>
  <c r="AR187" i="2"/>
  <c r="AP187" i="2"/>
  <c r="AN187" i="2"/>
  <c r="AO187" i="2" s="1"/>
  <c r="AM187" i="2"/>
  <c r="AL187" i="2"/>
  <c r="AK187" i="2"/>
  <c r="AJ187" i="2"/>
  <c r="CE187" i="2" s="1"/>
  <c r="AI187" i="2"/>
  <c r="AH187" i="2"/>
  <c r="AG187" i="2"/>
  <c r="AF187" i="2"/>
  <c r="AE187" i="2"/>
  <c r="AD187" i="2"/>
  <c r="AC187" i="2"/>
  <c r="AB187" i="2"/>
  <c r="AA187" i="2"/>
  <c r="Z187" i="2"/>
  <c r="X187" i="2"/>
  <c r="W187" i="2"/>
  <c r="V187" i="2"/>
  <c r="U187" i="2"/>
  <c r="T187" i="2"/>
  <c r="S187" i="2"/>
  <c r="R187" i="2"/>
  <c r="Q187" i="2"/>
  <c r="P187" i="2"/>
  <c r="M187" i="2"/>
  <c r="L187" i="2"/>
  <c r="K187" i="2"/>
  <c r="I187" i="2"/>
  <c r="H187" i="2"/>
  <c r="G187" i="2"/>
  <c r="F187" i="2"/>
  <c r="E187" i="2"/>
  <c r="D187" i="2"/>
  <c r="C187" i="2"/>
  <c r="A187" i="2"/>
  <c r="IW186" i="2"/>
  <c r="IV186" i="2"/>
  <c r="IU186" i="2"/>
  <c r="IT186" i="2"/>
  <c r="IS186" i="2"/>
  <c r="IR186" i="2"/>
  <c r="IG186" i="2"/>
  <c r="IF186" i="2"/>
  <c r="IE186" i="2"/>
  <c r="IH186" i="2" s="1"/>
  <c r="ID186" i="2"/>
  <c r="IC186" i="2"/>
  <c r="HR186" i="2"/>
  <c r="HQ186" i="2"/>
  <c r="HP186" i="2"/>
  <c r="HO186" i="2"/>
  <c r="HS186" i="2" s="1"/>
  <c r="HN186" i="2"/>
  <c r="HB186" i="2"/>
  <c r="HA186" i="2"/>
  <c r="GZ186" i="2"/>
  <c r="GY186" i="2"/>
  <c r="HC186" i="2" s="1"/>
  <c r="GX186" i="2"/>
  <c r="GN186" i="2"/>
  <c r="GM186" i="2"/>
  <c r="GL186" i="2"/>
  <c r="GK186" i="2"/>
  <c r="GJ186" i="2"/>
  <c r="GI186" i="2"/>
  <c r="FX186" i="2"/>
  <c r="FW186" i="2"/>
  <c r="FV186" i="2"/>
  <c r="FY186" i="2" s="1"/>
  <c r="FU186" i="2"/>
  <c r="FT186" i="2"/>
  <c r="FH186" i="2"/>
  <c r="FG186" i="2"/>
  <c r="FF186" i="2"/>
  <c r="FE186" i="2"/>
  <c r="FI186" i="2" s="1"/>
  <c r="FD186" i="2"/>
  <c r="ES186" i="2"/>
  <c r="ER186" i="2"/>
  <c r="EQ186" i="2"/>
  <c r="EP186" i="2"/>
  <c r="ET186" i="2" s="1"/>
  <c r="EO186" i="2"/>
  <c r="ED186" i="2"/>
  <c r="EE186" i="2" s="1"/>
  <c r="EC186" i="2"/>
  <c r="EB186" i="2"/>
  <c r="EA186" i="2"/>
  <c r="DZ186" i="2"/>
  <c r="DN186" i="2"/>
  <c r="DM186" i="2"/>
  <c r="DL186" i="2"/>
  <c r="DO186" i="2" s="1"/>
  <c r="DK186" i="2"/>
  <c r="DJ186" i="2"/>
  <c r="CY186" i="2"/>
  <c r="CX186" i="2"/>
  <c r="CW186" i="2"/>
  <c r="CV186" i="2"/>
  <c r="CZ186" i="2" s="1"/>
  <c r="CU186" i="2"/>
  <c r="CJ186" i="2"/>
  <c r="CI186" i="2"/>
  <c r="CH186" i="2"/>
  <c r="CG186" i="2"/>
  <c r="CK186" i="2" s="1"/>
  <c r="CF186" i="2"/>
  <c r="BH186" i="2"/>
  <c r="BG186" i="2"/>
  <c r="AY186" i="2"/>
  <c r="AX186" i="2"/>
  <c r="AV186" i="2"/>
  <c r="AU186" i="2"/>
  <c r="AT186" i="2"/>
  <c r="AS186" i="2"/>
  <c r="AR186" i="2"/>
  <c r="AP186" i="2"/>
  <c r="AO186" i="2"/>
  <c r="AN186" i="2"/>
  <c r="AM186" i="2"/>
  <c r="AL186" i="2"/>
  <c r="AK186" i="2"/>
  <c r="AJ186" i="2"/>
  <c r="CE186" i="2" s="1"/>
  <c r="AI186" i="2"/>
  <c r="AH186" i="2"/>
  <c r="AG186" i="2"/>
  <c r="AF186" i="2"/>
  <c r="AE186" i="2"/>
  <c r="AD186" i="2"/>
  <c r="AC186" i="2"/>
  <c r="AB186" i="2"/>
  <c r="AA186" i="2"/>
  <c r="Z186" i="2"/>
  <c r="X186" i="2"/>
  <c r="W186" i="2"/>
  <c r="V186" i="2"/>
  <c r="U186" i="2"/>
  <c r="T186" i="2"/>
  <c r="S186" i="2"/>
  <c r="R186" i="2"/>
  <c r="Q186" i="2"/>
  <c r="P186" i="2"/>
  <c r="M186" i="2"/>
  <c r="L186" i="2"/>
  <c r="K186" i="2"/>
  <c r="I186" i="2"/>
  <c r="H186" i="2"/>
  <c r="G186" i="2"/>
  <c r="F186" i="2"/>
  <c r="E186" i="2"/>
  <c r="D186" i="2"/>
  <c r="C186" i="2"/>
  <c r="A186" i="2"/>
  <c r="IV185" i="2"/>
  <c r="IU185" i="2"/>
  <c r="IT185" i="2"/>
  <c r="IS185" i="2"/>
  <c r="IW185" i="2" s="1"/>
  <c r="IR185" i="2"/>
  <c r="IH185" i="2"/>
  <c r="IG185" i="2"/>
  <c r="IF185" i="2"/>
  <c r="IE185" i="2"/>
  <c r="ID185" i="2"/>
  <c r="IC185" i="2"/>
  <c r="HR185" i="2"/>
  <c r="HQ185" i="2"/>
  <c r="HS185" i="2" s="1"/>
  <c r="HP185" i="2"/>
  <c r="HO185" i="2"/>
  <c r="HN185" i="2"/>
  <c r="HB185" i="2"/>
  <c r="HA185" i="2"/>
  <c r="GZ185" i="2"/>
  <c r="GY185" i="2"/>
  <c r="HC185" i="2" s="1"/>
  <c r="GX185" i="2"/>
  <c r="GM185" i="2"/>
  <c r="GL185" i="2"/>
  <c r="GK185" i="2"/>
  <c r="GJ185" i="2"/>
  <c r="GN185" i="2" s="1"/>
  <c r="GI185" i="2"/>
  <c r="FY185" i="2"/>
  <c r="FX185" i="2"/>
  <c r="FW185" i="2"/>
  <c r="FV185" i="2"/>
  <c r="FU185" i="2"/>
  <c r="FT185" i="2"/>
  <c r="FH185" i="2"/>
  <c r="FG185" i="2"/>
  <c r="FI185" i="2" s="1"/>
  <c r="FF185" i="2"/>
  <c r="FE185" i="2"/>
  <c r="FD185" i="2"/>
  <c r="ES185" i="2"/>
  <c r="ER185" i="2"/>
  <c r="EQ185" i="2"/>
  <c r="EP185" i="2"/>
  <c r="ET185" i="2" s="1"/>
  <c r="EO185" i="2"/>
  <c r="ED185" i="2"/>
  <c r="EC185" i="2"/>
  <c r="EB185" i="2"/>
  <c r="EA185" i="2"/>
  <c r="EE185" i="2" s="1"/>
  <c r="DZ185" i="2"/>
  <c r="DO185" i="2"/>
  <c r="DN185" i="2"/>
  <c r="DM185" i="2"/>
  <c r="DL185" i="2"/>
  <c r="DK185" i="2"/>
  <c r="DJ185" i="2"/>
  <c r="CY185" i="2"/>
  <c r="CX185" i="2"/>
  <c r="CZ185" i="2" s="1"/>
  <c r="CW185" i="2"/>
  <c r="CV185" i="2"/>
  <c r="CU185" i="2"/>
  <c r="CJ185" i="2"/>
  <c r="CI185" i="2"/>
  <c r="CH185" i="2"/>
  <c r="CG185" i="2"/>
  <c r="CK185" i="2" s="1"/>
  <c r="CF185" i="2"/>
  <c r="BH185" i="2"/>
  <c r="BG185" i="2"/>
  <c r="AY185" i="2"/>
  <c r="AX185" i="2"/>
  <c r="AV185" i="2"/>
  <c r="AU185" i="2"/>
  <c r="AT185" i="2"/>
  <c r="AS185" i="2"/>
  <c r="AR185" i="2"/>
  <c r="AP185" i="2"/>
  <c r="AN185" i="2"/>
  <c r="AO185" i="2" s="1"/>
  <c r="AM185" i="2"/>
  <c r="AL185" i="2"/>
  <c r="AK185" i="2"/>
  <c r="AJ185" i="2"/>
  <c r="CE185" i="2" s="1"/>
  <c r="AI185" i="2"/>
  <c r="AH185" i="2"/>
  <c r="AG185" i="2"/>
  <c r="AF185" i="2"/>
  <c r="AE185" i="2"/>
  <c r="AD185" i="2"/>
  <c r="AC185" i="2"/>
  <c r="AB185" i="2"/>
  <c r="AA185" i="2"/>
  <c r="Z185" i="2"/>
  <c r="X185" i="2"/>
  <c r="W185" i="2"/>
  <c r="V185" i="2"/>
  <c r="U185" i="2"/>
  <c r="T185" i="2"/>
  <c r="S185" i="2"/>
  <c r="R185" i="2"/>
  <c r="Q185" i="2"/>
  <c r="P185" i="2"/>
  <c r="M185" i="2"/>
  <c r="L185" i="2"/>
  <c r="K185" i="2"/>
  <c r="I185" i="2"/>
  <c r="H185" i="2"/>
  <c r="G185" i="2"/>
  <c r="F185" i="2"/>
  <c r="E185" i="2"/>
  <c r="D185" i="2"/>
  <c r="C185" i="2"/>
  <c r="A185" i="2"/>
  <c r="IV184" i="2"/>
  <c r="IU184" i="2"/>
  <c r="IT184" i="2"/>
  <c r="IS184" i="2"/>
  <c r="IW184" i="2" s="1"/>
  <c r="IR184" i="2"/>
  <c r="IG184" i="2"/>
  <c r="IF184" i="2"/>
  <c r="IE184" i="2"/>
  <c r="ID184" i="2"/>
  <c r="IH184" i="2" s="1"/>
  <c r="IC184" i="2"/>
  <c r="HR184" i="2"/>
  <c r="HQ184" i="2"/>
  <c r="HP184" i="2"/>
  <c r="HS184" i="2" s="1"/>
  <c r="HO184" i="2"/>
  <c r="HN184" i="2"/>
  <c r="HC184" i="2"/>
  <c r="HB184" i="2"/>
  <c r="HA184" i="2"/>
  <c r="GZ184" i="2"/>
  <c r="GY184" i="2"/>
  <c r="GX184" i="2"/>
  <c r="GM184" i="2"/>
  <c r="GL184" i="2"/>
  <c r="GK184" i="2"/>
  <c r="GJ184" i="2"/>
  <c r="GN184" i="2" s="1"/>
  <c r="GI184" i="2"/>
  <c r="FX184" i="2"/>
  <c r="FW184" i="2"/>
  <c r="FV184" i="2"/>
  <c r="FU184" i="2"/>
  <c r="FY184" i="2" s="1"/>
  <c r="FT184" i="2"/>
  <c r="FH184" i="2"/>
  <c r="FG184" i="2"/>
  <c r="FF184" i="2"/>
  <c r="FI184" i="2" s="1"/>
  <c r="FE184" i="2"/>
  <c r="FD184" i="2"/>
  <c r="ES184" i="2"/>
  <c r="ET184" i="2" s="1"/>
  <c r="ER184" i="2"/>
  <c r="EQ184" i="2"/>
  <c r="EP184" i="2"/>
  <c r="EO184" i="2"/>
  <c r="ED184" i="2"/>
  <c r="EC184" i="2"/>
  <c r="EB184" i="2"/>
  <c r="EA184" i="2"/>
  <c r="EE184" i="2" s="1"/>
  <c r="DZ184" i="2"/>
  <c r="DN184" i="2"/>
  <c r="DM184" i="2"/>
  <c r="DL184" i="2"/>
  <c r="DK184" i="2"/>
  <c r="DO184" i="2" s="1"/>
  <c r="DJ184" i="2"/>
  <c r="CY184" i="2"/>
  <c r="CX184" i="2"/>
  <c r="CW184" i="2"/>
  <c r="CZ184" i="2" s="1"/>
  <c r="CV184" i="2"/>
  <c r="CU184" i="2"/>
  <c r="CJ184" i="2"/>
  <c r="CI184" i="2"/>
  <c r="CH184" i="2"/>
  <c r="CK184" i="2" s="1"/>
  <c r="CG184" i="2"/>
  <c r="CF184" i="2"/>
  <c r="BH184" i="2"/>
  <c r="BG184" i="2"/>
  <c r="AY184" i="2"/>
  <c r="AX184" i="2"/>
  <c r="AV184" i="2"/>
  <c r="AU184" i="2"/>
  <c r="AT184" i="2"/>
  <c r="AS184" i="2"/>
  <c r="AR184" i="2"/>
  <c r="AP184" i="2"/>
  <c r="AO184" i="2"/>
  <c r="AN184" i="2"/>
  <c r="AM184" i="2"/>
  <c r="AL184" i="2"/>
  <c r="AK184" i="2"/>
  <c r="AJ184" i="2"/>
  <c r="CE184" i="2" s="1"/>
  <c r="AI184" i="2"/>
  <c r="AH184" i="2"/>
  <c r="AG184" i="2"/>
  <c r="AF184" i="2"/>
  <c r="AE184" i="2"/>
  <c r="AD184" i="2"/>
  <c r="AC184" i="2"/>
  <c r="AB184" i="2"/>
  <c r="AA184" i="2"/>
  <c r="Z184" i="2"/>
  <c r="X184" i="2"/>
  <c r="W184" i="2"/>
  <c r="V184" i="2"/>
  <c r="U184" i="2"/>
  <c r="T184" i="2"/>
  <c r="S184" i="2"/>
  <c r="R184" i="2"/>
  <c r="Q184" i="2"/>
  <c r="P184" i="2"/>
  <c r="M184" i="2"/>
  <c r="L184" i="2"/>
  <c r="K184" i="2"/>
  <c r="I184" i="2"/>
  <c r="H184" i="2"/>
  <c r="G184" i="2"/>
  <c r="F184" i="2"/>
  <c r="E184" i="2"/>
  <c r="D184" i="2"/>
  <c r="C184" i="2"/>
  <c r="A184" i="2"/>
  <c r="IW183" i="2"/>
  <c r="IV183" i="2"/>
  <c r="IU183" i="2"/>
  <c r="IT183" i="2"/>
  <c r="IS183" i="2"/>
  <c r="IR183" i="2"/>
  <c r="IG183" i="2"/>
  <c r="IF183" i="2"/>
  <c r="IH183" i="2" s="1"/>
  <c r="IE183" i="2"/>
  <c r="ID183" i="2"/>
  <c r="IC183" i="2"/>
  <c r="HR183" i="2"/>
  <c r="HQ183" i="2"/>
  <c r="HP183" i="2"/>
  <c r="HO183" i="2"/>
  <c r="HS183" i="2" s="1"/>
  <c r="HN183" i="2"/>
  <c r="HB183" i="2"/>
  <c r="HA183" i="2"/>
  <c r="GZ183" i="2"/>
  <c r="GY183" i="2"/>
  <c r="HC183" i="2" s="1"/>
  <c r="GX183" i="2"/>
  <c r="GN183" i="2"/>
  <c r="GM183" i="2"/>
  <c r="GL183" i="2"/>
  <c r="GK183" i="2"/>
  <c r="GJ183" i="2"/>
  <c r="GI183" i="2"/>
  <c r="FX183" i="2"/>
  <c r="FW183" i="2"/>
  <c r="FY183" i="2" s="1"/>
  <c r="FV183" i="2"/>
  <c r="FU183" i="2"/>
  <c r="FT183" i="2"/>
  <c r="FH183" i="2"/>
  <c r="FG183" i="2"/>
  <c r="FF183" i="2"/>
  <c r="FE183" i="2"/>
  <c r="FI183" i="2" s="1"/>
  <c r="FD183" i="2"/>
  <c r="ES183" i="2"/>
  <c r="ER183" i="2"/>
  <c r="EQ183" i="2"/>
  <c r="EP183" i="2"/>
  <c r="ET183" i="2" s="1"/>
  <c r="EO183" i="2"/>
  <c r="EE183" i="2"/>
  <c r="ED183" i="2"/>
  <c r="EC183" i="2"/>
  <c r="EB183" i="2"/>
  <c r="EA183" i="2"/>
  <c r="DZ183" i="2"/>
  <c r="DN183" i="2"/>
  <c r="DM183" i="2"/>
  <c r="DO183" i="2" s="1"/>
  <c r="DL183" i="2"/>
  <c r="DK183" i="2"/>
  <c r="DJ183" i="2"/>
  <c r="CY183" i="2"/>
  <c r="CX183" i="2"/>
  <c r="CW183" i="2"/>
  <c r="CV183" i="2"/>
  <c r="CZ183" i="2" s="1"/>
  <c r="CU183" i="2"/>
  <c r="CJ183" i="2"/>
  <c r="CI183" i="2"/>
  <c r="CH183" i="2"/>
  <c r="CG183" i="2"/>
  <c r="CK183" i="2" s="1"/>
  <c r="CF183" i="2"/>
  <c r="BH183" i="2"/>
  <c r="BG183" i="2"/>
  <c r="AY183" i="2"/>
  <c r="AX183" i="2"/>
  <c r="AV183" i="2"/>
  <c r="AU183" i="2"/>
  <c r="AT183" i="2"/>
  <c r="AS183" i="2"/>
  <c r="AR183" i="2"/>
  <c r="AP183" i="2"/>
  <c r="AO183" i="2"/>
  <c r="AN183" i="2"/>
  <c r="AM183" i="2"/>
  <c r="AL183" i="2"/>
  <c r="AK183" i="2"/>
  <c r="AJ183" i="2"/>
  <c r="CE183" i="2" s="1"/>
  <c r="AI183" i="2"/>
  <c r="AH183" i="2"/>
  <c r="AG183" i="2"/>
  <c r="AF183" i="2"/>
  <c r="AE183" i="2"/>
  <c r="AD183" i="2"/>
  <c r="AC183" i="2"/>
  <c r="AB183" i="2"/>
  <c r="AA183" i="2"/>
  <c r="Z183" i="2"/>
  <c r="X183" i="2"/>
  <c r="W183" i="2"/>
  <c r="V183" i="2"/>
  <c r="U183" i="2"/>
  <c r="T183" i="2"/>
  <c r="S183" i="2"/>
  <c r="R183" i="2"/>
  <c r="Q183" i="2"/>
  <c r="P183" i="2"/>
  <c r="M183" i="2"/>
  <c r="L183" i="2"/>
  <c r="K183" i="2"/>
  <c r="I183" i="2"/>
  <c r="H183" i="2"/>
  <c r="G183" i="2"/>
  <c r="F183" i="2"/>
  <c r="E183" i="2"/>
  <c r="D183" i="2"/>
  <c r="C183" i="2"/>
  <c r="A183" i="2"/>
  <c r="IV182" i="2"/>
  <c r="IU182" i="2"/>
  <c r="IT182" i="2"/>
  <c r="IS182" i="2"/>
  <c r="IW182" i="2" s="1"/>
  <c r="IR182" i="2"/>
  <c r="IG182" i="2"/>
  <c r="IF182" i="2"/>
  <c r="IE182" i="2"/>
  <c r="ID182" i="2"/>
  <c r="IH182" i="2" s="1"/>
  <c r="IC182" i="2"/>
  <c r="HS182" i="2"/>
  <c r="HR182" i="2"/>
  <c r="HQ182" i="2"/>
  <c r="HP182" i="2"/>
  <c r="HO182" i="2"/>
  <c r="HN182" i="2"/>
  <c r="HB182" i="2"/>
  <c r="HA182" i="2"/>
  <c r="GZ182" i="2"/>
  <c r="HC182" i="2" s="1"/>
  <c r="GY182" i="2"/>
  <c r="GX182" i="2"/>
  <c r="GM182" i="2"/>
  <c r="GL182" i="2"/>
  <c r="GK182" i="2"/>
  <c r="GJ182" i="2"/>
  <c r="GN182" i="2" s="1"/>
  <c r="GI182" i="2"/>
  <c r="FX182" i="2"/>
  <c r="FW182" i="2"/>
  <c r="FV182" i="2"/>
  <c r="FU182" i="2"/>
  <c r="FY182" i="2" s="1"/>
  <c r="FT182" i="2"/>
  <c r="FH182" i="2"/>
  <c r="FI182" i="2" s="1"/>
  <c r="FG182" i="2"/>
  <c r="FF182" i="2"/>
  <c r="FE182" i="2"/>
  <c r="FD182" i="2"/>
  <c r="ES182" i="2"/>
  <c r="ER182" i="2"/>
  <c r="EQ182" i="2"/>
  <c r="ET182" i="2" s="1"/>
  <c r="EP182" i="2"/>
  <c r="EO182" i="2"/>
  <c r="ED182" i="2"/>
  <c r="EC182" i="2"/>
  <c r="EB182" i="2"/>
  <c r="EA182" i="2"/>
  <c r="EE182" i="2" s="1"/>
  <c r="DZ182" i="2"/>
  <c r="DN182" i="2"/>
  <c r="DM182" i="2"/>
  <c r="DL182" i="2"/>
  <c r="DK182" i="2"/>
  <c r="DO182" i="2" s="1"/>
  <c r="DJ182" i="2"/>
  <c r="CY182" i="2"/>
  <c r="CZ182" i="2" s="1"/>
  <c r="CX182" i="2"/>
  <c r="CW182" i="2"/>
  <c r="CV182" i="2"/>
  <c r="CU182" i="2"/>
  <c r="CJ182" i="2"/>
  <c r="CI182" i="2"/>
  <c r="CH182" i="2"/>
  <c r="CK182" i="2" s="1"/>
  <c r="CG182" i="2"/>
  <c r="CF182" i="2"/>
  <c r="BH182" i="2"/>
  <c r="BG182" i="2"/>
  <c r="AY182" i="2"/>
  <c r="AX182" i="2"/>
  <c r="AV182" i="2"/>
  <c r="AU182" i="2"/>
  <c r="AT182" i="2"/>
  <c r="AS182" i="2"/>
  <c r="AR182" i="2"/>
  <c r="AP182" i="2"/>
  <c r="AN182" i="2"/>
  <c r="AO182" i="2" s="1"/>
  <c r="AM182" i="2"/>
  <c r="AL182" i="2"/>
  <c r="AK182" i="2"/>
  <c r="AJ182" i="2"/>
  <c r="CE182" i="2" s="1"/>
  <c r="AI182" i="2"/>
  <c r="AH182" i="2"/>
  <c r="AG182" i="2"/>
  <c r="AF182" i="2"/>
  <c r="AE182" i="2"/>
  <c r="AD182" i="2"/>
  <c r="AC182" i="2"/>
  <c r="AB182" i="2"/>
  <c r="AA182" i="2"/>
  <c r="Z182" i="2"/>
  <c r="X182" i="2"/>
  <c r="W182" i="2"/>
  <c r="V182" i="2"/>
  <c r="U182" i="2"/>
  <c r="T182" i="2"/>
  <c r="S182" i="2"/>
  <c r="R182" i="2"/>
  <c r="Q182" i="2"/>
  <c r="P182" i="2"/>
  <c r="M182" i="2"/>
  <c r="L182" i="2"/>
  <c r="K182" i="2"/>
  <c r="I182" i="2"/>
  <c r="H182" i="2"/>
  <c r="G182" i="2"/>
  <c r="F182" i="2"/>
  <c r="E182" i="2"/>
  <c r="D182" i="2"/>
  <c r="C182" i="2"/>
  <c r="A182" i="2"/>
  <c r="IV181" i="2"/>
  <c r="IU181" i="2"/>
  <c r="IT181" i="2"/>
  <c r="IS181" i="2"/>
  <c r="IW181" i="2" s="1"/>
  <c r="IR181" i="2"/>
  <c r="IG181" i="2"/>
  <c r="IF181" i="2"/>
  <c r="IE181" i="2"/>
  <c r="ID181" i="2"/>
  <c r="IH181" i="2" s="1"/>
  <c r="IC181" i="2"/>
  <c r="HR181" i="2"/>
  <c r="HQ181" i="2"/>
  <c r="HS181" i="2" s="1"/>
  <c r="HP181" i="2"/>
  <c r="HO181" i="2"/>
  <c r="HN181" i="2"/>
  <c r="HC181" i="2"/>
  <c r="HB181" i="2"/>
  <c r="HA181" i="2"/>
  <c r="GZ181" i="2"/>
  <c r="GY181" i="2"/>
  <c r="GX181" i="2"/>
  <c r="GM181" i="2"/>
  <c r="GL181" i="2"/>
  <c r="GK181" i="2"/>
  <c r="GJ181" i="2"/>
  <c r="GN181" i="2" s="1"/>
  <c r="GI181" i="2"/>
  <c r="FX181" i="2"/>
  <c r="FW181" i="2"/>
  <c r="FV181" i="2"/>
  <c r="FU181" i="2"/>
  <c r="FY181" i="2" s="1"/>
  <c r="FT181" i="2"/>
  <c r="FH181" i="2"/>
  <c r="FG181" i="2"/>
  <c r="FI181" i="2" s="1"/>
  <c r="FF181" i="2"/>
  <c r="FE181" i="2"/>
  <c r="FD181" i="2"/>
  <c r="ET181" i="2"/>
  <c r="ES181" i="2"/>
  <c r="ER181" i="2"/>
  <c r="EQ181" i="2"/>
  <c r="EP181" i="2"/>
  <c r="EO181" i="2"/>
  <c r="ED181" i="2"/>
  <c r="EC181" i="2"/>
  <c r="EB181" i="2"/>
  <c r="EA181" i="2"/>
  <c r="EE181" i="2" s="1"/>
  <c r="DZ181" i="2"/>
  <c r="DN181" i="2"/>
  <c r="DM181" i="2"/>
  <c r="DL181" i="2"/>
  <c r="DK181" i="2"/>
  <c r="DO181" i="2" s="1"/>
  <c r="DJ181" i="2"/>
  <c r="CY181" i="2"/>
  <c r="CX181" i="2"/>
  <c r="CZ181" i="2" s="1"/>
  <c r="CW181" i="2"/>
  <c r="CV181" i="2"/>
  <c r="CU181" i="2"/>
  <c r="CJ181" i="2"/>
  <c r="CI181" i="2"/>
  <c r="CH181" i="2"/>
  <c r="CK181" i="2" s="1"/>
  <c r="CG181" i="2"/>
  <c r="CF181" i="2"/>
  <c r="BH181" i="2"/>
  <c r="BG181" i="2"/>
  <c r="AY181" i="2"/>
  <c r="AX181" i="2"/>
  <c r="AV181" i="2"/>
  <c r="AU181" i="2"/>
  <c r="AT181" i="2"/>
  <c r="AS181" i="2"/>
  <c r="AR181" i="2"/>
  <c r="AP181" i="2"/>
  <c r="AO181" i="2"/>
  <c r="AN181" i="2"/>
  <c r="AM181" i="2"/>
  <c r="AL181" i="2"/>
  <c r="AK181" i="2"/>
  <c r="AJ181" i="2"/>
  <c r="CE181" i="2" s="1"/>
  <c r="AI181" i="2"/>
  <c r="AH181" i="2"/>
  <c r="AG181" i="2"/>
  <c r="AF181" i="2"/>
  <c r="AE181" i="2"/>
  <c r="AD181" i="2"/>
  <c r="AC181" i="2"/>
  <c r="AB181" i="2"/>
  <c r="AA181" i="2"/>
  <c r="Z181" i="2"/>
  <c r="X181" i="2"/>
  <c r="W181" i="2"/>
  <c r="V181" i="2"/>
  <c r="U181" i="2"/>
  <c r="T181" i="2"/>
  <c r="S181" i="2"/>
  <c r="R181" i="2"/>
  <c r="Q181" i="2"/>
  <c r="P181" i="2"/>
  <c r="M181" i="2"/>
  <c r="L181" i="2"/>
  <c r="K181" i="2"/>
  <c r="I181" i="2"/>
  <c r="H181" i="2"/>
  <c r="G181" i="2"/>
  <c r="F181" i="2"/>
  <c r="E181" i="2"/>
  <c r="D181" i="2"/>
  <c r="C181" i="2"/>
  <c r="A181" i="2"/>
  <c r="IV180" i="2"/>
  <c r="IU180" i="2"/>
  <c r="IT180" i="2"/>
  <c r="IS180" i="2"/>
  <c r="IW180" i="2" s="1"/>
  <c r="IR180" i="2"/>
  <c r="IH180" i="2"/>
  <c r="IG180" i="2"/>
  <c r="IF180" i="2"/>
  <c r="IE180" i="2"/>
  <c r="ID180" i="2"/>
  <c r="IC180" i="2"/>
  <c r="HR180" i="2"/>
  <c r="HQ180" i="2"/>
  <c r="HP180" i="2"/>
  <c r="HS180" i="2" s="1"/>
  <c r="HO180" i="2"/>
  <c r="HN180" i="2"/>
  <c r="HB180" i="2"/>
  <c r="HA180" i="2"/>
  <c r="GZ180" i="2"/>
  <c r="GY180" i="2"/>
  <c r="HC180" i="2" s="1"/>
  <c r="GX180" i="2"/>
  <c r="GM180" i="2"/>
  <c r="GL180" i="2"/>
  <c r="GK180" i="2"/>
  <c r="GJ180" i="2"/>
  <c r="GN180" i="2" s="1"/>
  <c r="GI180" i="2"/>
  <c r="FY180" i="2"/>
  <c r="FX180" i="2"/>
  <c r="FW180" i="2"/>
  <c r="FV180" i="2"/>
  <c r="FU180" i="2"/>
  <c r="FT180" i="2"/>
  <c r="FH180" i="2"/>
  <c r="FG180" i="2"/>
  <c r="FF180" i="2"/>
  <c r="FI180" i="2" s="1"/>
  <c r="FE180" i="2"/>
  <c r="FD180" i="2"/>
  <c r="ES180" i="2"/>
  <c r="ER180" i="2"/>
  <c r="EQ180" i="2"/>
  <c r="EP180" i="2"/>
  <c r="ET180" i="2" s="1"/>
  <c r="EO180" i="2"/>
  <c r="ED180" i="2"/>
  <c r="EC180" i="2"/>
  <c r="EB180" i="2"/>
  <c r="EA180" i="2"/>
  <c r="EE180" i="2" s="1"/>
  <c r="DZ180" i="2"/>
  <c r="DN180" i="2"/>
  <c r="DO180" i="2" s="1"/>
  <c r="DM180" i="2"/>
  <c r="DL180" i="2"/>
  <c r="DK180" i="2"/>
  <c r="DJ180" i="2"/>
  <c r="CY180" i="2"/>
  <c r="CX180" i="2"/>
  <c r="CW180" i="2"/>
  <c r="CZ180" i="2" s="1"/>
  <c r="CV180" i="2"/>
  <c r="CU180" i="2"/>
  <c r="CJ180" i="2"/>
  <c r="CI180" i="2"/>
  <c r="CH180" i="2"/>
  <c r="CG180" i="2"/>
  <c r="CK180" i="2" s="1"/>
  <c r="CF180" i="2"/>
  <c r="BH180" i="2"/>
  <c r="BG180" i="2"/>
  <c r="AY180" i="2"/>
  <c r="AX180" i="2"/>
  <c r="AV180" i="2"/>
  <c r="AU180" i="2"/>
  <c r="AT180" i="2"/>
  <c r="AS180" i="2"/>
  <c r="AR180" i="2"/>
  <c r="AP180" i="2"/>
  <c r="AO180" i="2"/>
  <c r="AN180" i="2"/>
  <c r="AM180" i="2"/>
  <c r="AL180" i="2"/>
  <c r="AK180" i="2"/>
  <c r="AJ180" i="2"/>
  <c r="CE180" i="2" s="1"/>
  <c r="AI180" i="2"/>
  <c r="AH180" i="2"/>
  <c r="AG180" i="2"/>
  <c r="AF180" i="2"/>
  <c r="AE180" i="2"/>
  <c r="AD180" i="2"/>
  <c r="AC180" i="2"/>
  <c r="AB180" i="2"/>
  <c r="AA180" i="2"/>
  <c r="Z180" i="2"/>
  <c r="X180" i="2"/>
  <c r="W180" i="2"/>
  <c r="V180" i="2"/>
  <c r="U180" i="2"/>
  <c r="T180" i="2"/>
  <c r="S180" i="2"/>
  <c r="R180" i="2"/>
  <c r="Q180" i="2"/>
  <c r="P180" i="2"/>
  <c r="M180" i="2"/>
  <c r="L180" i="2"/>
  <c r="K180" i="2"/>
  <c r="I180" i="2"/>
  <c r="H180" i="2"/>
  <c r="G180" i="2"/>
  <c r="F180" i="2"/>
  <c r="E180" i="2"/>
  <c r="D180" i="2"/>
  <c r="C180" i="2"/>
  <c r="A180" i="2"/>
  <c r="IV179" i="2"/>
  <c r="IU179" i="2"/>
  <c r="IT179" i="2"/>
  <c r="IS179" i="2"/>
  <c r="IW179" i="2" s="1"/>
  <c r="IR179" i="2"/>
  <c r="IG179" i="2"/>
  <c r="IF179" i="2"/>
  <c r="IE179" i="2"/>
  <c r="ID179" i="2"/>
  <c r="IH179" i="2" s="1"/>
  <c r="IC179" i="2"/>
  <c r="HS179" i="2"/>
  <c r="HR179" i="2"/>
  <c r="HQ179" i="2"/>
  <c r="HP179" i="2"/>
  <c r="HO179" i="2"/>
  <c r="HN179" i="2"/>
  <c r="HB179" i="2"/>
  <c r="HA179" i="2"/>
  <c r="GZ179" i="2"/>
  <c r="GY179" i="2"/>
  <c r="HC179" i="2" s="1"/>
  <c r="GX179" i="2"/>
  <c r="GM179" i="2"/>
  <c r="GL179" i="2"/>
  <c r="GK179" i="2"/>
  <c r="GJ179" i="2"/>
  <c r="GN179" i="2" s="1"/>
  <c r="GI179" i="2"/>
  <c r="FX179" i="2"/>
  <c r="FW179" i="2"/>
  <c r="FV179" i="2"/>
  <c r="FU179" i="2"/>
  <c r="FY179" i="2" s="1"/>
  <c r="FT179" i="2"/>
  <c r="FI179" i="2"/>
  <c r="FH179" i="2"/>
  <c r="FG179" i="2"/>
  <c r="FF179" i="2"/>
  <c r="FE179" i="2"/>
  <c r="FD179" i="2"/>
  <c r="ES179" i="2"/>
  <c r="ER179" i="2"/>
  <c r="EQ179" i="2"/>
  <c r="EP179" i="2"/>
  <c r="ET179" i="2" s="1"/>
  <c r="EO179" i="2"/>
  <c r="ED179" i="2"/>
  <c r="EC179" i="2"/>
  <c r="EB179" i="2"/>
  <c r="EA179" i="2"/>
  <c r="EE179" i="2" s="1"/>
  <c r="DZ179" i="2"/>
  <c r="DN179" i="2"/>
  <c r="DM179" i="2"/>
  <c r="DL179" i="2"/>
  <c r="DK179" i="2"/>
  <c r="DO179" i="2" s="1"/>
  <c r="DJ179" i="2"/>
  <c r="CZ179" i="2"/>
  <c r="CY179" i="2"/>
  <c r="CX179" i="2"/>
  <c r="CW179" i="2"/>
  <c r="CV179" i="2"/>
  <c r="CU179" i="2"/>
  <c r="CJ179" i="2"/>
  <c r="CI179" i="2"/>
  <c r="CH179" i="2"/>
  <c r="CG179" i="2"/>
  <c r="CK179" i="2" s="1"/>
  <c r="CF179" i="2"/>
  <c r="BH179" i="2"/>
  <c r="BG179" i="2"/>
  <c r="AY179" i="2"/>
  <c r="AX179" i="2"/>
  <c r="AV179" i="2"/>
  <c r="AU179" i="2"/>
  <c r="AT179" i="2"/>
  <c r="AS179" i="2"/>
  <c r="AR179" i="2"/>
  <c r="AP179" i="2"/>
  <c r="AN179" i="2"/>
  <c r="AO179" i="2" s="1"/>
  <c r="AM179" i="2"/>
  <c r="AL179" i="2"/>
  <c r="AK179" i="2"/>
  <c r="AJ179" i="2"/>
  <c r="CE179" i="2" s="1"/>
  <c r="AI179" i="2"/>
  <c r="AH179" i="2"/>
  <c r="AG179" i="2"/>
  <c r="AF179" i="2"/>
  <c r="AE179" i="2"/>
  <c r="AD179" i="2"/>
  <c r="AC179" i="2"/>
  <c r="AB179" i="2"/>
  <c r="AA179" i="2"/>
  <c r="Z179" i="2"/>
  <c r="X179" i="2"/>
  <c r="W179" i="2"/>
  <c r="V179" i="2"/>
  <c r="U179" i="2"/>
  <c r="T179" i="2"/>
  <c r="S179" i="2"/>
  <c r="R179" i="2"/>
  <c r="Q179" i="2"/>
  <c r="P179" i="2"/>
  <c r="M179" i="2"/>
  <c r="L179" i="2"/>
  <c r="K179" i="2"/>
  <c r="I179" i="2"/>
  <c r="H179" i="2"/>
  <c r="G179" i="2"/>
  <c r="F179" i="2"/>
  <c r="E179" i="2"/>
  <c r="D179" i="2"/>
  <c r="C179" i="2"/>
  <c r="A179" i="2"/>
  <c r="IW178" i="2"/>
  <c r="IV178" i="2"/>
  <c r="IU178" i="2"/>
  <c r="IT178" i="2"/>
  <c r="IS178" i="2"/>
  <c r="IR178" i="2"/>
  <c r="IG178" i="2"/>
  <c r="IF178" i="2"/>
  <c r="IE178" i="2"/>
  <c r="IH178" i="2" s="1"/>
  <c r="ID178" i="2"/>
  <c r="IC178" i="2"/>
  <c r="HR178" i="2"/>
  <c r="HQ178" i="2"/>
  <c r="HP178" i="2"/>
  <c r="HO178" i="2"/>
  <c r="HS178" i="2" s="1"/>
  <c r="HN178" i="2"/>
  <c r="HB178" i="2"/>
  <c r="HA178" i="2"/>
  <c r="GZ178" i="2"/>
  <c r="GY178" i="2"/>
  <c r="HC178" i="2" s="1"/>
  <c r="GX178" i="2"/>
  <c r="GN178" i="2"/>
  <c r="GM178" i="2"/>
  <c r="GL178" i="2"/>
  <c r="GK178" i="2"/>
  <c r="GJ178" i="2"/>
  <c r="GI178" i="2"/>
  <c r="FX178" i="2"/>
  <c r="FW178" i="2"/>
  <c r="FV178" i="2"/>
  <c r="FY178" i="2" s="1"/>
  <c r="FU178" i="2"/>
  <c r="FT178" i="2"/>
  <c r="FH178" i="2"/>
  <c r="FG178" i="2"/>
  <c r="FF178" i="2"/>
  <c r="FE178" i="2"/>
  <c r="FI178" i="2" s="1"/>
  <c r="FD178" i="2"/>
  <c r="ES178" i="2"/>
  <c r="ER178" i="2"/>
  <c r="EQ178" i="2"/>
  <c r="EP178" i="2"/>
  <c r="ET178" i="2" s="1"/>
  <c r="EO178" i="2"/>
  <c r="ED178" i="2"/>
  <c r="EE178" i="2" s="1"/>
  <c r="EC178" i="2"/>
  <c r="EB178" i="2"/>
  <c r="EA178" i="2"/>
  <c r="DZ178" i="2"/>
  <c r="DN178" i="2"/>
  <c r="DM178" i="2"/>
  <c r="DL178" i="2"/>
  <c r="DO178" i="2" s="1"/>
  <c r="DK178" i="2"/>
  <c r="DJ178" i="2"/>
  <c r="CY178" i="2"/>
  <c r="CX178" i="2"/>
  <c r="CW178" i="2"/>
  <c r="CV178" i="2"/>
  <c r="CZ178" i="2" s="1"/>
  <c r="CU178" i="2"/>
  <c r="CJ178" i="2"/>
  <c r="CI178" i="2"/>
  <c r="CH178" i="2"/>
  <c r="CG178" i="2"/>
  <c r="CK178" i="2" s="1"/>
  <c r="CF178" i="2"/>
  <c r="BH178" i="2"/>
  <c r="BG178" i="2"/>
  <c r="AY178" i="2"/>
  <c r="AX178" i="2"/>
  <c r="AV178" i="2"/>
  <c r="AU178" i="2"/>
  <c r="AT178" i="2"/>
  <c r="AS178" i="2"/>
  <c r="AR178" i="2"/>
  <c r="AP178" i="2"/>
  <c r="AO178" i="2"/>
  <c r="AN178" i="2"/>
  <c r="AM178" i="2"/>
  <c r="AL178" i="2"/>
  <c r="AK178" i="2"/>
  <c r="AJ178" i="2"/>
  <c r="CE178" i="2" s="1"/>
  <c r="AI178" i="2"/>
  <c r="AH178" i="2"/>
  <c r="AG178" i="2"/>
  <c r="AF178" i="2"/>
  <c r="AE178" i="2"/>
  <c r="AD178" i="2"/>
  <c r="AC178" i="2"/>
  <c r="AB178" i="2"/>
  <c r="AA178" i="2"/>
  <c r="Z178" i="2"/>
  <c r="X178" i="2"/>
  <c r="W178" i="2"/>
  <c r="V178" i="2"/>
  <c r="U178" i="2"/>
  <c r="T178" i="2"/>
  <c r="S178" i="2"/>
  <c r="R178" i="2"/>
  <c r="Q178" i="2"/>
  <c r="P178" i="2"/>
  <c r="M178" i="2"/>
  <c r="L178" i="2"/>
  <c r="K178" i="2"/>
  <c r="I178" i="2"/>
  <c r="H178" i="2"/>
  <c r="G178" i="2"/>
  <c r="F178" i="2"/>
  <c r="E178" i="2"/>
  <c r="D178" i="2"/>
  <c r="C178" i="2"/>
  <c r="A178" i="2"/>
  <c r="IV177" i="2"/>
  <c r="IU177" i="2"/>
  <c r="IT177" i="2"/>
  <c r="IS177" i="2"/>
  <c r="IW177" i="2" s="1"/>
  <c r="IR177" i="2"/>
  <c r="IH177" i="2"/>
  <c r="IG177" i="2"/>
  <c r="IF177" i="2"/>
  <c r="IE177" i="2"/>
  <c r="ID177" i="2"/>
  <c r="IC177" i="2"/>
  <c r="HR177" i="2"/>
  <c r="HQ177" i="2"/>
  <c r="HP177" i="2"/>
  <c r="HO177" i="2"/>
  <c r="HS177" i="2" s="1"/>
  <c r="HN177" i="2"/>
  <c r="HB177" i="2"/>
  <c r="HA177" i="2"/>
  <c r="GZ177" i="2"/>
  <c r="GY177" i="2"/>
  <c r="HC177" i="2" s="1"/>
  <c r="GX177" i="2"/>
  <c r="GM177" i="2"/>
  <c r="GL177" i="2"/>
  <c r="GK177" i="2"/>
  <c r="GJ177" i="2"/>
  <c r="GN177" i="2" s="1"/>
  <c r="GI177" i="2"/>
  <c r="FY177" i="2"/>
  <c r="FX177" i="2"/>
  <c r="FW177" i="2"/>
  <c r="FV177" i="2"/>
  <c r="FU177" i="2"/>
  <c r="FT177" i="2"/>
  <c r="FH177" i="2"/>
  <c r="FG177" i="2"/>
  <c r="FF177" i="2"/>
  <c r="FE177" i="2"/>
  <c r="FI177" i="2" s="1"/>
  <c r="FD177" i="2"/>
  <c r="ES177" i="2"/>
  <c r="ER177" i="2"/>
  <c r="EQ177" i="2"/>
  <c r="EP177" i="2"/>
  <c r="ET177" i="2" s="1"/>
  <c r="EO177" i="2"/>
  <c r="ED177" i="2"/>
  <c r="EC177" i="2"/>
  <c r="EB177" i="2"/>
  <c r="EA177" i="2"/>
  <c r="EE177" i="2" s="1"/>
  <c r="DZ177" i="2"/>
  <c r="DO177" i="2"/>
  <c r="DN177" i="2"/>
  <c r="DM177" i="2"/>
  <c r="DL177" i="2"/>
  <c r="DK177" i="2"/>
  <c r="DJ177" i="2"/>
  <c r="CY177" i="2"/>
  <c r="CX177" i="2"/>
  <c r="CW177" i="2"/>
  <c r="CV177" i="2"/>
  <c r="CZ177" i="2" s="1"/>
  <c r="CU177" i="2"/>
  <c r="CJ177" i="2"/>
  <c r="CI177" i="2"/>
  <c r="CH177" i="2"/>
  <c r="CG177" i="2"/>
  <c r="CK177" i="2" s="1"/>
  <c r="CF177" i="2"/>
  <c r="BH177" i="2"/>
  <c r="BG177" i="2"/>
  <c r="AY177" i="2"/>
  <c r="AX177" i="2"/>
  <c r="AV177" i="2"/>
  <c r="AU177" i="2"/>
  <c r="AT177" i="2"/>
  <c r="AS177" i="2"/>
  <c r="AR177" i="2"/>
  <c r="AP177" i="2"/>
  <c r="AO177" i="2"/>
  <c r="AN177" i="2"/>
  <c r="AM177" i="2"/>
  <c r="AL177" i="2"/>
  <c r="AK177" i="2"/>
  <c r="AJ177" i="2"/>
  <c r="CE177" i="2" s="1"/>
  <c r="AI177" i="2"/>
  <c r="AH177" i="2"/>
  <c r="AG177" i="2"/>
  <c r="AF177" i="2"/>
  <c r="AE177" i="2"/>
  <c r="AD177" i="2"/>
  <c r="AC177" i="2"/>
  <c r="AB177" i="2"/>
  <c r="AA177" i="2"/>
  <c r="Z177" i="2"/>
  <c r="X177" i="2"/>
  <c r="W177" i="2"/>
  <c r="V177" i="2"/>
  <c r="U177" i="2"/>
  <c r="T177" i="2"/>
  <c r="S177" i="2"/>
  <c r="R177" i="2"/>
  <c r="Q177" i="2"/>
  <c r="P177" i="2"/>
  <c r="M177" i="2"/>
  <c r="L177" i="2"/>
  <c r="K177" i="2"/>
  <c r="I177" i="2"/>
  <c r="H177" i="2"/>
  <c r="G177" i="2"/>
  <c r="F177" i="2"/>
  <c r="E177" i="2"/>
  <c r="D177" i="2"/>
  <c r="C177" i="2"/>
  <c r="A177" i="2"/>
  <c r="IV176" i="2"/>
  <c r="IU176" i="2"/>
  <c r="IT176" i="2"/>
  <c r="IS176" i="2"/>
  <c r="IW176" i="2" s="1"/>
  <c r="IR176" i="2"/>
  <c r="IG176" i="2"/>
  <c r="IF176" i="2"/>
  <c r="IE176" i="2"/>
  <c r="ID176" i="2"/>
  <c r="IH176" i="2" s="1"/>
  <c r="IC176" i="2"/>
  <c r="HR176" i="2"/>
  <c r="HQ176" i="2"/>
  <c r="HP176" i="2"/>
  <c r="HS176" i="2" s="1"/>
  <c r="HO176" i="2"/>
  <c r="HN176" i="2"/>
  <c r="HB176" i="2"/>
  <c r="HC176" i="2" s="1"/>
  <c r="HA176" i="2"/>
  <c r="GZ176" i="2"/>
  <c r="GY176" i="2"/>
  <c r="GX176" i="2"/>
  <c r="GM176" i="2"/>
  <c r="GL176" i="2"/>
  <c r="GK176" i="2"/>
  <c r="GJ176" i="2"/>
  <c r="GN176" i="2" s="1"/>
  <c r="GI176" i="2"/>
  <c r="FX176" i="2"/>
  <c r="FW176" i="2"/>
  <c r="FV176" i="2"/>
  <c r="FU176" i="2"/>
  <c r="FY176" i="2" s="1"/>
  <c r="FT176" i="2"/>
  <c r="FH176" i="2"/>
  <c r="FG176" i="2"/>
  <c r="FF176" i="2"/>
  <c r="FI176" i="2" s="1"/>
  <c r="FE176" i="2"/>
  <c r="FD176" i="2"/>
  <c r="ES176" i="2"/>
  <c r="ET176" i="2" s="1"/>
  <c r="ER176" i="2"/>
  <c r="EQ176" i="2"/>
  <c r="EP176" i="2"/>
  <c r="EO176" i="2"/>
  <c r="ED176" i="2"/>
  <c r="EC176" i="2"/>
  <c r="EB176" i="2"/>
  <c r="EA176" i="2"/>
  <c r="EE176" i="2" s="1"/>
  <c r="DZ176" i="2"/>
  <c r="DN176" i="2"/>
  <c r="DM176" i="2"/>
  <c r="DL176" i="2"/>
  <c r="DK176" i="2"/>
  <c r="DO176" i="2" s="1"/>
  <c r="DJ176" i="2"/>
  <c r="CY176" i="2"/>
  <c r="CX176" i="2"/>
  <c r="CW176" i="2"/>
  <c r="CZ176" i="2" s="1"/>
  <c r="CV176" i="2"/>
  <c r="CU176" i="2"/>
  <c r="CJ176" i="2"/>
  <c r="CK176" i="2" s="1"/>
  <c r="CI176" i="2"/>
  <c r="CH176" i="2"/>
  <c r="CG176" i="2"/>
  <c r="CF176" i="2"/>
  <c r="BH176" i="2"/>
  <c r="BG176" i="2"/>
  <c r="AY176" i="2"/>
  <c r="AX176" i="2"/>
  <c r="AV176" i="2"/>
  <c r="AU176" i="2"/>
  <c r="AT176" i="2"/>
  <c r="AS176" i="2"/>
  <c r="AR176" i="2"/>
  <c r="AP176" i="2"/>
  <c r="AO176" i="2"/>
  <c r="AN176" i="2"/>
  <c r="AM176" i="2"/>
  <c r="AL176" i="2"/>
  <c r="AK176" i="2"/>
  <c r="AJ176" i="2"/>
  <c r="CE176" i="2" s="1"/>
  <c r="AI176" i="2"/>
  <c r="AH176" i="2"/>
  <c r="AG176" i="2"/>
  <c r="AF176" i="2"/>
  <c r="AE176" i="2"/>
  <c r="AD176" i="2"/>
  <c r="AC176" i="2"/>
  <c r="AB176" i="2"/>
  <c r="AA176" i="2"/>
  <c r="Z176" i="2"/>
  <c r="X176" i="2"/>
  <c r="W176" i="2"/>
  <c r="V176" i="2"/>
  <c r="U176" i="2"/>
  <c r="T176" i="2"/>
  <c r="S176" i="2"/>
  <c r="R176" i="2"/>
  <c r="Q176" i="2"/>
  <c r="P176" i="2"/>
  <c r="M176" i="2"/>
  <c r="L176" i="2"/>
  <c r="K176" i="2"/>
  <c r="I176" i="2"/>
  <c r="H176" i="2"/>
  <c r="G176" i="2"/>
  <c r="F176" i="2"/>
  <c r="E176" i="2"/>
  <c r="D176" i="2"/>
  <c r="C176" i="2"/>
  <c r="A176" i="2"/>
  <c r="IW175" i="2"/>
  <c r="IV175" i="2"/>
  <c r="IU175" i="2"/>
  <c r="IT175" i="2"/>
  <c r="IS175" i="2"/>
  <c r="IR175" i="2"/>
  <c r="IG175" i="2"/>
  <c r="IF175" i="2"/>
  <c r="IE175" i="2"/>
  <c r="ID175" i="2"/>
  <c r="IH175" i="2" s="1"/>
  <c r="IC175" i="2"/>
  <c r="HR175" i="2"/>
  <c r="HQ175" i="2"/>
  <c r="HP175" i="2"/>
  <c r="HO175" i="2"/>
  <c r="HS175" i="2" s="1"/>
  <c r="HN175" i="2"/>
  <c r="HB175" i="2"/>
  <c r="HA175" i="2"/>
  <c r="HC175" i="2" s="1"/>
  <c r="GZ175" i="2"/>
  <c r="GY175" i="2"/>
  <c r="GX175" i="2"/>
  <c r="GN175" i="2"/>
  <c r="GM175" i="2"/>
  <c r="GL175" i="2"/>
  <c r="GK175" i="2"/>
  <c r="GJ175" i="2"/>
  <c r="GI175" i="2"/>
  <c r="FX175" i="2"/>
  <c r="FW175" i="2"/>
  <c r="FV175" i="2"/>
  <c r="FU175" i="2"/>
  <c r="FY175" i="2" s="1"/>
  <c r="FT175" i="2"/>
  <c r="FH175" i="2"/>
  <c r="FG175" i="2"/>
  <c r="FF175" i="2"/>
  <c r="FE175" i="2"/>
  <c r="FI175" i="2" s="1"/>
  <c r="FD175" i="2"/>
  <c r="ES175" i="2"/>
  <c r="ER175" i="2"/>
  <c r="ET175" i="2" s="1"/>
  <c r="EQ175" i="2"/>
  <c r="EP175" i="2"/>
  <c r="EO175" i="2"/>
  <c r="EE175" i="2"/>
  <c r="ED175" i="2"/>
  <c r="EC175" i="2"/>
  <c r="EB175" i="2"/>
  <c r="EA175" i="2"/>
  <c r="DZ175" i="2"/>
  <c r="DN175" i="2"/>
  <c r="DM175" i="2"/>
  <c r="DL175" i="2"/>
  <c r="DK175" i="2"/>
  <c r="DO175" i="2" s="1"/>
  <c r="DJ175" i="2"/>
  <c r="CY175" i="2"/>
  <c r="CX175" i="2"/>
  <c r="CW175" i="2"/>
  <c r="CV175" i="2"/>
  <c r="CZ175" i="2" s="1"/>
  <c r="CU175" i="2"/>
  <c r="CJ175" i="2"/>
  <c r="CI175" i="2"/>
  <c r="CK175" i="2" s="1"/>
  <c r="CH175" i="2"/>
  <c r="CG175" i="2"/>
  <c r="CF175" i="2"/>
  <c r="BH175" i="2"/>
  <c r="BG175" i="2"/>
  <c r="AY175" i="2"/>
  <c r="AX175" i="2"/>
  <c r="AV175" i="2"/>
  <c r="AU175" i="2"/>
  <c r="AT175" i="2"/>
  <c r="AS175" i="2"/>
  <c r="AR175" i="2"/>
  <c r="AP175" i="2"/>
  <c r="AO175" i="2"/>
  <c r="AN175" i="2"/>
  <c r="AM175" i="2"/>
  <c r="AL175" i="2"/>
  <c r="AK175" i="2"/>
  <c r="AJ175" i="2"/>
  <c r="CE175" i="2" s="1"/>
  <c r="AI175" i="2"/>
  <c r="AH175" i="2"/>
  <c r="AG175" i="2"/>
  <c r="AF175" i="2"/>
  <c r="AE175" i="2"/>
  <c r="AD175" i="2"/>
  <c r="AC175" i="2"/>
  <c r="AB175" i="2"/>
  <c r="AA175" i="2"/>
  <c r="Z175" i="2"/>
  <c r="X175" i="2"/>
  <c r="W175" i="2"/>
  <c r="V175" i="2"/>
  <c r="U175" i="2"/>
  <c r="T175" i="2"/>
  <c r="S175" i="2"/>
  <c r="R175" i="2"/>
  <c r="Q175" i="2"/>
  <c r="P175" i="2"/>
  <c r="M175" i="2"/>
  <c r="L175" i="2"/>
  <c r="K175" i="2"/>
  <c r="I175" i="2"/>
  <c r="H175" i="2"/>
  <c r="G175" i="2"/>
  <c r="F175" i="2"/>
  <c r="E175" i="2"/>
  <c r="D175" i="2"/>
  <c r="C175" i="2"/>
  <c r="A175" i="2"/>
  <c r="IV174" i="2"/>
  <c r="IU174" i="2"/>
  <c r="IT174" i="2"/>
  <c r="IS174" i="2"/>
  <c r="IW174" i="2" s="1"/>
  <c r="IR174" i="2"/>
  <c r="IG174" i="2"/>
  <c r="IF174" i="2"/>
  <c r="IE174" i="2"/>
  <c r="ID174" i="2"/>
  <c r="IH174" i="2" s="1"/>
  <c r="IC174" i="2"/>
  <c r="HS174" i="2"/>
  <c r="HR174" i="2"/>
  <c r="HQ174" i="2"/>
  <c r="HP174" i="2"/>
  <c r="HO174" i="2"/>
  <c r="HN174" i="2"/>
  <c r="HB174" i="2"/>
  <c r="HA174" i="2"/>
  <c r="GZ174" i="2"/>
  <c r="HC174" i="2" s="1"/>
  <c r="GY174" i="2"/>
  <c r="GX174" i="2"/>
  <c r="GM174" i="2"/>
  <c r="GL174" i="2"/>
  <c r="GK174" i="2"/>
  <c r="GJ174" i="2"/>
  <c r="GN174" i="2" s="1"/>
  <c r="GI174" i="2"/>
  <c r="FX174" i="2"/>
  <c r="FW174" i="2"/>
  <c r="FV174" i="2"/>
  <c r="FU174" i="2"/>
  <c r="FY174" i="2" s="1"/>
  <c r="FT174" i="2"/>
  <c r="FH174" i="2"/>
  <c r="FI174" i="2" s="1"/>
  <c r="FG174" i="2"/>
  <c r="FF174" i="2"/>
  <c r="FE174" i="2"/>
  <c r="FD174" i="2"/>
  <c r="ES174" i="2"/>
  <c r="ER174" i="2"/>
  <c r="EQ174" i="2"/>
  <c r="ET174" i="2" s="1"/>
  <c r="EP174" i="2"/>
  <c r="EO174" i="2"/>
  <c r="ED174" i="2"/>
  <c r="EC174" i="2"/>
  <c r="EB174" i="2"/>
  <c r="EA174" i="2"/>
  <c r="EE174" i="2" s="1"/>
  <c r="DZ174" i="2"/>
  <c r="DN174" i="2"/>
  <c r="DM174" i="2"/>
  <c r="DL174" i="2"/>
  <c r="DK174" i="2"/>
  <c r="DO174" i="2" s="1"/>
  <c r="DJ174" i="2"/>
  <c r="CY174" i="2"/>
  <c r="CZ174" i="2" s="1"/>
  <c r="CX174" i="2"/>
  <c r="CW174" i="2"/>
  <c r="CV174" i="2"/>
  <c r="CU174" i="2"/>
  <c r="CJ174" i="2"/>
  <c r="CI174" i="2"/>
  <c r="CH174" i="2"/>
  <c r="CK174" i="2" s="1"/>
  <c r="CG174" i="2"/>
  <c r="CF174" i="2"/>
  <c r="BH174" i="2"/>
  <c r="BG174" i="2"/>
  <c r="AY174" i="2"/>
  <c r="AX174" i="2"/>
  <c r="AV174" i="2"/>
  <c r="AU174" i="2"/>
  <c r="AT174" i="2"/>
  <c r="AS174" i="2"/>
  <c r="AR174" i="2"/>
  <c r="AP174" i="2"/>
  <c r="AN174" i="2"/>
  <c r="AO174" i="2" s="1"/>
  <c r="AM174" i="2"/>
  <c r="AL174" i="2"/>
  <c r="AK174" i="2"/>
  <c r="AJ174" i="2"/>
  <c r="CE174" i="2" s="1"/>
  <c r="AI174" i="2"/>
  <c r="AH174" i="2"/>
  <c r="AG174" i="2"/>
  <c r="AF174" i="2"/>
  <c r="AE174" i="2"/>
  <c r="AD174" i="2"/>
  <c r="AC174" i="2"/>
  <c r="AB174" i="2"/>
  <c r="AA174" i="2"/>
  <c r="Z174" i="2"/>
  <c r="X174" i="2"/>
  <c r="W174" i="2"/>
  <c r="V174" i="2"/>
  <c r="U174" i="2"/>
  <c r="T174" i="2"/>
  <c r="S174" i="2"/>
  <c r="R174" i="2"/>
  <c r="Q174" i="2"/>
  <c r="P174" i="2"/>
  <c r="M174" i="2"/>
  <c r="L174" i="2"/>
  <c r="K174" i="2"/>
  <c r="I174" i="2"/>
  <c r="H174" i="2"/>
  <c r="G174" i="2"/>
  <c r="F174" i="2"/>
  <c r="E174" i="2"/>
  <c r="D174" i="2"/>
  <c r="C174" i="2"/>
  <c r="A174" i="2"/>
  <c r="IV173" i="2"/>
  <c r="IU173" i="2"/>
  <c r="IT173" i="2"/>
  <c r="IS173" i="2"/>
  <c r="IW173" i="2" s="1"/>
  <c r="IR173" i="2"/>
  <c r="IG173" i="2"/>
  <c r="IF173" i="2"/>
  <c r="IE173" i="2"/>
  <c r="ID173" i="2"/>
  <c r="IH173" i="2" s="1"/>
  <c r="IC173" i="2"/>
  <c r="HR173" i="2"/>
  <c r="HQ173" i="2"/>
  <c r="HS173" i="2" s="1"/>
  <c r="HP173" i="2"/>
  <c r="HO173" i="2"/>
  <c r="HN173" i="2"/>
  <c r="HC173" i="2"/>
  <c r="HB173" i="2"/>
  <c r="HA173" i="2"/>
  <c r="GZ173" i="2"/>
  <c r="GY173" i="2"/>
  <c r="GX173" i="2"/>
  <c r="GM173" i="2"/>
  <c r="GL173" i="2"/>
  <c r="GK173" i="2"/>
  <c r="GJ173" i="2"/>
  <c r="GN173" i="2" s="1"/>
  <c r="GI173" i="2"/>
  <c r="FX173" i="2"/>
  <c r="FW173" i="2"/>
  <c r="FV173" i="2"/>
  <c r="FU173" i="2"/>
  <c r="FY173" i="2" s="1"/>
  <c r="FT173" i="2"/>
  <c r="FH173" i="2"/>
  <c r="FG173" i="2"/>
  <c r="FI173" i="2" s="1"/>
  <c r="FF173" i="2"/>
  <c r="FE173" i="2"/>
  <c r="FD173" i="2"/>
  <c r="ET173" i="2"/>
  <c r="ES173" i="2"/>
  <c r="ER173" i="2"/>
  <c r="EQ173" i="2"/>
  <c r="EP173" i="2"/>
  <c r="EO173" i="2"/>
  <c r="ED173" i="2"/>
  <c r="EC173" i="2"/>
  <c r="EB173" i="2"/>
  <c r="EA173" i="2"/>
  <c r="EE173" i="2" s="1"/>
  <c r="DZ173" i="2"/>
  <c r="DN173" i="2"/>
  <c r="DM173" i="2"/>
  <c r="DL173" i="2"/>
  <c r="DK173" i="2"/>
  <c r="DO173" i="2" s="1"/>
  <c r="DJ173" i="2"/>
  <c r="CY173" i="2"/>
  <c r="CX173" i="2"/>
  <c r="CZ173" i="2" s="1"/>
  <c r="CW173" i="2"/>
  <c r="CV173" i="2"/>
  <c r="CU173" i="2"/>
  <c r="CJ173" i="2"/>
  <c r="CI173" i="2"/>
  <c r="CH173" i="2"/>
  <c r="CK173" i="2" s="1"/>
  <c r="CG173" i="2"/>
  <c r="CF173" i="2"/>
  <c r="BH173" i="2"/>
  <c r="BG173" i="2"/>
  <c r="AY173" i="2"/>
  <c r="AX173" i="2"/>
  <c r="AV173" i="2"/>
  <c r="AU173" i="2"/>
  <c r="AT173" i="2"/>
  <c r="AS173" i="2"/>
  <c r="AR173" i="2"/>
  <c r="AP173" i="2"/>
  <c r="AO173" i="2"/>
  <c r="AN173" i="2"/>
  <c r="AM173" i="2"/>
  <c r="AL173" i="2"/>
  <c r="AK173" i="2"/>
  <c r="AJ173" i="2"/>
  <c r="CE173" i="2" s="1"/>
  <c r="AI173" i="2"/>
  <c r="AH173" i="2"/>
  <c r="AG173" i="2"/>
  <c r="AF173" i="2"/>
  <c r="AE173" i="2"/>
  <c r="AD173" i="2"/>
  <c r="AC173" i="2"/>
  <c r="AB173" i="2"/>
  <c r="AA173" i="2"/>
  <c r="Z173" i="2"/>
  <c r="X173" i="2"/>
  <c r="W173" i="2"/>
  <c r="V173" i="2"/>
  <c r="U173" i="2"/>
  <c r="T173" i="2"/>
  <c r="S173" i="2"/>
  <c r="R173" i="2"/>
  <c r="Q173" i="2"/>
  <c r="P173" i="2"/>
  <c r="M173" i="2"/>
  <c r="L173" i="2"/>
  <c r="K173" i="2"/>
  <c r="I173" i="2"/>
  <c r="H173" i="2"/>
  <c r="G173" i="2"/>
  <c r="F173" i="2"/>
  <c r="E173" i="2"/>
  <c r="D173" i="2"/>
  <c r="C173" i="2"/>
  <c r="A173" i="2"/>
  <c r="IV172" i="2"/>
  <c r="IU172" i="2"/>
  <c r="IT172" i="2"/>
  <c r="IS172" i="2"/>
  <c r="IW172" i="2" s="1"/>
  <c r="IR172" i="2"/>
  <c r="IH172" i="2"/>
  <c r="IG172" i="2"/>
  <c r="IF172" i="2"/>
  <c r="IE172" i="2"/>
  <c r="ID172" i="2"/>
  <c r="IC172" i="2"/>
  <c r="HR172" i="2"/>
  <c r="HQ172" i="2"/>
  <c r="HP172" i="2"/>
  <c r="HS172" i="2" s="1"/>
  <c r="HO172" i="2"/>
  <c r="HN172" i="2"/>
  <c r="HB172" i="2"/>
  <c r="HA172" i="2"/>
  <c r="GZ172" i="2"/>
  <c r="GY172" i="2"/>
  <c r="HC172" i="2" s="1"/>
  <c r="GX172" i="2"/>
  <c r="GM172" i="2"/>
  <c r="GL172" i="2"/>
  <c r="GK172" i="2"/>
  <c r="GJ172" i="2"/>
  <c r="GN172" i="2" s="1"/>
  <c r="GI172" i="2"/>
  <c r="FY172" i="2"/>
  <c r="FX172" i="2"/>
  <c r="FW172" i="2"/>
  <c r="FV172" i="2"/>
  <c r="FU172" i="2"/>
  <c r="FT172" i="2"/>
  <c r="FH172" i="2"/>
  <c r="FG172" i="2"/>
  <c r="FF172" i="2"/>
  <c r="FI172" i="2" s="1"/>
  <c r="FE172" i="2"/>
  <c r="FD172" i="2"/>
  <c r="ES172" i="2"/>
  <c r="ER172" i="2"/>
  <c r="EQ172" i="2"/>
  <c r="EP172" i="2"/>
  <c r="ET172" i="2" s="1"/>
  <c r="EO172" i="2"/>
  <c r="ED172" i="2"/>
  <c r="EC172" i="2"/>
  <c r="EB172" i="2"/>
  <c r="EA172" i="2"/>
  <c r="EE172" i="2" s="1"/>
  <c r="DZ172" i="2"/>
  <c r="DN172" i="2"/>
  <c r="DO172" i="2" s="1"/>
  <c r="DM172" i="2"/>
  <c r="DL172" i="2"/>
  <c r="DK172" i="2"/>
  <c r="DJ172" i="2"/>
  <c r="CY172" i="2"/>
  <c r="CX172" i="2"/>
  <c r="CW172" i="2"/>
  <c r="CZ172" i="2" s="1"/>
  <c r="CV172" i="2"/>
  <c r="CU172" i="2"/>
  <c r="CJ172" i="2"/>
  <c r="CI172" i="2"/>
  <c r="CH172" i="2"/>
  <c r="CG172" i="2"/>
  <c r="CK172" i="2" s="1"/>
  <c r="CF172" i="2"/>
  <c r="BH172" i="2"/>
  <c r="BG172" i="2"/>
  <c r="AY172" i="2"/>
  <c r="AX172" i="2"/>
  <c r="AV172" i="2"/>
  <c r="AU172" i="2"/>
  <c r="AT172" i="2"/>
  <c r="AS172" i="2"/>
  <c r="AR172" i="2"/>
  <c r="AP172" i="2"/>
  <c r="AO172" i="2"/>
  <c r="AN172" i="2"/>
  <c r="AM172" i="2"/>
  <c r="AL172" i="2"/>
  <c r="AK172" i="2"/>
  <c r="AJ172" i="2"/>
  <c r="CE172" i="2" s="1"/>
  <c r="AI172" i="2"/>
  <c r="AH172" i="2"/>
  <c r="AG172" i="2"/>
  <c r="AF172" i="2"/>
  <c r="AE172" i="2"/>
  <c r="AD172" i="2"/>
  <c r="AC172" i="2"/>
  <c r="AB172" i="2"/>
  <c r="AA172" i="2"/>
  <c r="Z172" i="2"/>
  <c r="X172" i="2"/>
  <c r="W172" i="2"/>
  <c r="V172" i="2"/>
  <c r="U172" i="2"/>
  <c r="T172" i="2"/>
  <c r="S172" i="2"/>
  <c r="R172" i="2"/>
  <c r="Q172" i="2"/>
  <c r="P172" i="2"/>
  <c r="M172" i="2"/>
  <c r="L172" i="2"/>
  <c r="K172" i="2"/>
  <c r="I172" i="2"/>
  <c r="H172" i="2"/>
  <c r="G172" i="2"/>
  <c r="F172" i="2"/>
  <c r="E172" i="2"/>
  <c r="D172" i="2"/>
  <c r="C172" i="2"/>
  <c r="A172" i="2"/>
  <c r="IV171" i="2"/>
  <c r="IU171" i="2"/>
  <c r="IT171" i="2"/>
  <c r="IS171" i="2"/>
  <c r="IW171" i="2" s="1"/>
  <c r="IR171" i="2"/>
  <c r="IG171" i="2"/>
  <c r="IF171" i="2"/>
  <c r="IE171" i="2"/>
  <c r="ID171" i="2"/>
  <c r="IH171" i="2" s="1"/>
  <c r="IC171" i="2"/>
  <c r="HS171" i="2"/>
  <c r="HR171" i="2"/>
  <c r="HQ171" i="2"/>
  <c r="HP171" i="2"/>
  <c r="HO171" i="2"/>
  <c r="HN171" i="2"/>
  <c r="HB171" i="2"/>
  <c r="HA171" i="2"/>
  <c r="HC171" i="2" s="1"/>
  <c r="GZ171" i="2"/>
  <c r="GY171" i="2"/>
  <c r="GX171" i="2"/>
  <c r="GM171" i="2"/>
  <c r="GL171" i="2"/>
  <c r="GK171" i="2"/>
  <c r="GJ171" i="2"/>
  <c r="GN171" i="2" s="1"/>
  <c r="GI171" i="2"/>
  <c r="FX171" i="2"/>
  <c r="FW171" i="2"/>
  <c r="FV171" i="2"/>
  <c r="FU171" i="2"/>
  <c r="FY171" i="2" s="1"/>
  <c r="FT171" i="2"/>
  <c r="FI171" i="2"/>
  <c r="FH171" i="2"/>
  <c r="FG171" i="2"/>
  <c r="FF171" i="2"/>
  <c r="FE171" i="2"/>
  <c r="FD171" i="2"/>
  <c r="ES171" i="2"/>
  <c r="ER171" i="2"/>
  <c r="ET171" i="2" s="1"/>
  <c r="EQ171" i="2"/>
  <c r="EP171" i="2"/>
  <c r="EO171" i="2"/>
  <c r="ED171" i="2"/>
  <c r="EC171" i="2"/>
  <c r="EB171" i="2"/>
  <c r="EA171" i="2"/>
  <c r="EE171" i="2" s="1"/>
  <c r="DZ171" i="2"/>
  <c r="DN171" i="2"/>
  <c r="DM171" i="2"/>
  <c r="DL171" i="2"/>
  <c r="DK171" i="2"/>
  <c r="DO171" i="2" s="1"/>
  <c r="DJ171" i="2"/>
  <c r="CZ171" i="2"/>
  <c r="CY171" i="2"/>
  <c r="CX171" i="2"/>
  <c r="CW171" i="2"/>
  <c r="CV171" i="2"/>
  <c r="CU171" i="2"/>
  <c r="CJ171" i="2"/>
  <c r="CI171" i="2"/>
  <c r="CK171" i="2" s="1"/>
  <c r="CH171" i="2"/>
  <c r="CG171" i="2"/>
  <c r="CF171" i="2"/>
  <c r="BH171" i="2"/>
  <c r="BG171" i="2"/>
  <c r="AY171" i="2"/>
  <c r="AX171" i="2"/>
  <c r="AV171" i="2"/>
  <c r="AU171" i="2"/>
  <c r="AT171" i="2"/>
  <c r="AS171" i="2"/>
  <c r="AR171" i="2"/>
  <c r="AP171" i="2"/>
  <c r="AN171" i="2"/>
  <c r="AO171" i="2" s="1"/>
  <c r="AM171" i="2"/>
  <c r="AL171" i="2"/>
  <c r="AK171" i="2"/>
  <c r="AJ171" i="2"/>
  <c r="CE171" i="2" s="1"/>
  <c r="AI171" i="2"/>
  <c r="AH171" i="2"/>
  <c r="AG171" i="2"/>
  <c r="AF171" i="2"/>
  <c r="AE171" i="2"/>
  <c r="AD171" i="2"/>
  <c r="AC171" i="2"/>
  <c r="AB171" i="2"/>
  <c r="AA171" i="2"/>
  <c r="Z171" i="2"/>
  <c r="X171" i="2"/>
  <c r="W171" i="2"/>
  <c r="V171" i="2"/>
  <c r="U171" i="2"/>
  <c r="T171" i="2"/>
  <c r="S171" i="2"/>
  <c r="R171" i="2"/>
  <c r="Q171" i="2"/>
  <c r="P171" i="2"/>
  <c r="M171" i="2"/>
  <c r="L171" i="2"/>
  <c r="K171" i="2"/>
  <c r="I171" i="2"/>
  <c r="H171" i="2"/>
  <c r="G171" i="2"/>
  <c r="F171" i="2"/>
  <c r="E171" i="2"/>
  <c r="D171" i="2"/>
  <c r="C171" i="2"/>
  <c r="A171" i="2"/>
  <c r="IW170" i="2"/>
  <c r="IV170" i="2"/>
  <c r="IU170" i="2"/>
  <c r="IT170" i="2"/>
  <c r="IS170" i="2"/>
  <c r="IR170" i="2"/>
  <c r="IG170" i="2"/>
  <c r="IF170" i="2"/>
  <c r="IE170" i="2"/>
  <c r="ID170" i="2"/>
  <c r="IH170" i="2" s="1"/>
  <c r="IC170" i="2"/>
  <c r="HR170" i="2"/>
  <c r="HQ170" i="2"/>
  <c r="HP170" i="2"/>
  <c r="HO170" i="2"/>
  <c r="HS170" i="2" s="1"/>
  <c r="HN170" i="2"/>
  <c r="HB170" i="2"/>
  <c r="HA170" i="2"/>
  <c r="GZ170" i="2"/>
  <c r="HC170" i="2" s="1"/>
  <c r="GY170" i="2"/>
  <c r="GX170" i="2"/>
  <c r="GN170" i="2"/>
  <c r="GM170" i="2"/>
  <c r="GL170" i="2"/>
  <c r="GK170" i="2"/>
  <c r="GJ170" i="2"/>
  <c r="GI170" i="2"/>
  <c r="FX170" i="2"/>
  <c r="FW170" i="2"/>
  <c r="FV170" i="2"/>
  <c r="FU170" i="2"/>
  <c r="FY170" i="2" s="1"/>
  <c r="FT170" i="2"/>
  <c r="FH170" i="2"/>
  <c r="FG170" i="2"/>
  <c r="FF170" i="2"/>
  <c r="FE170" i="2"/>
  <c r="FI170" i="2" s="1"/>
  <c r="FD170" i="2"/>
  <c r="ES170" i="2"/>
  <c r="ER170" i="2"/>
  <c r="EQ170" i="2"/>
  <c r="ET170" i="2" s="1"/>
  <c r="EP170" i="2"/>
  <c r="EO170" i="2"/>
  <c r="ED170" i="2"/>
  <c r="EE170" i="2" s="1"/>
  <c r="EC170" i="2"/>
  <c r="EB170" i="2"/>
  <c r="EA170" i="2"/>
  <c r="DZ170" i="2"/>
  <c r="DN170" i="2"/>
  <c r="DM170" i="2"/>
  <c r="DL170" i="2"/>
  <c r="DK170" i="2"/>
  <c r="DO170" i="2" s="1"/>
  <c r="DJ170" i="2"/>
  <c r="CY170" i="2"/>
  <c r="CX170" i="2"/>
  <c r="CW170" i="2"/>
  <c r="CV170" i="2"/>
  <c r="CZ170" i="2" s="1"/>
  <c r="CU170" i="2"/>
  <c r="CJ170" i="2"/>
  <c r="CI170" i="2"/>
  <c r="CH170" i="2"/>
  <c r="CG170" i="2"/>
  <c r="CK170" i="2" s="1"/>
  <c r="CF170" i="2"/>
  <c r="BH170" i="2"/>
  <c r="BG170" i="2"/>
  <c r="AY170" i="2"/>
  <c r="AX170" i="2"/>
  <c r="AV170" i="2"/>
  <c r="AU170" i="2"/>
  <c r="AT170" i="2"/>
  <c r="AS170" i="2"/>
  <c r="AR170" i="2"/>
  <c r="AP170" i="2"/>
  <c r="AO170" i="2"/>
  <c r="AN170" i="2"/>
  <c r="AM170" i="2"/>
  <c r="AL170" i="2"/>
  <c r="AK170" i="2"/>
  <c r="AJ170" i="2"/>
  <c r="CE170" i="2" s="1"/>
  <c r="AI170" i="2"/>
  <c r="AH170" i="2"/>
  <c r="AG170" i="2"/>
  <c r="AF170" i="2"/>
  <c r="AE170" i="2"/>
  <c r="AD170" i="2"/>
  <c r="AC170" i="2"/>
  <c r="AB170" i="2"/>
  <c r="AA170" i="2"/>
  <c r="Z170" i="2"/>
  <c r="X170" i="2"/>
  <c r="W170" i="2"/>
  <c r="V170" i="2"/>
  <c r="U170" i="2"/>
  <c r="T170" i="2"/>
  <c r="S170" i="2"/>
  <c r="R170" i="2"/>
  <c r="Q170" i="2"/>
  <c r="P170" i="2"/>
  <c r="M170" i="2"/>
  <c r="L170" i="2"/>
  <c r="K170" i="2"/>
  <c r="I170" i="2"/>
  <c r="H170" i="2"/>
  <c r="G170" i="2"/>
  <c r="F170" i="2"/>
  <c r="E170" i="2"/>
  <c r="D170" i="2"/>
  <c r="C170" i="2"/>
  <c r="A170" i="2"/>
  <c r="IV169" i="2"/>
  <c r="IU169" i="2"/>
  <c r="IT169" i="2"/>
  <c r="IS169" i="2"/>
  <c r="IW169" i="2" s="1"/>
  <c r="IR169" i="2"/>
  <c r="IH169" i="2"/>
  <c r="IG169" i="2"/>
  <c r="IF169" i="2"/>
  <c r="IE169" i="2"/>
  <c r="ID169" i="2"/>
  <c r="IC169" i="2"/>
  <c r="HR169" i="2"/>
  <c r="HQ169" i="2"/>
  <c r="HS169" i="2" s="1"/>
  <c r="HP169" i="2"/>
  <c r="HO169" i="2"/>
  <c r="HN169" i="2"/>
  <c r="HB169" i="2"/>
  <c r="HA169" i="2"/>
  <c r="GZ169" i="2"/>
  <c r="GY169" i="2"/>
  <c r="HC169" i="2" s="1"/>
  <c r="GX169" i="2"/>
  <c r="GM169" i="2"/>
  <c r="GL169" i="2"/>
  <c r="GK169" i="2"/>
  <c r="GJ169" i="2"/>
  <c r="GN169" i="2" s="1"/>
  <c r="GI169" i="2"/>
  <c r="FY169" i="2"/>
  <c r="FX169" i="2"/>
  <c r="FW169" i="2"/>
  <c r="FV169" i="2"/>
  <c r="FU169" i="2"/>
  <c r="FT169" i="2"/>
  <c r="FH169" i="2"/>
  <c r="FG169" i="2"/>
  <c r="FI169" i="2" s="1"/>
  <c r="FF169" i="2"/>
  <c r="FE169" i="2"/>
  <c r="FD169" i="2"/>
  <c r="ES169" i="2"/>
  <c r="ER169" i="2"/>
  <c r="EQ169" i="2"/>
  <c r="EP169" i="2"/>
  <c r="ET169" i="2" s="1"/>
  <c r="EO169" i="2"/>
  <c r="ED169" i="2"/>
  <c r="EC169" i="2"/>
  <c r="EB169" i="2"/>
  <c r="EA169" i="2"/>
  <c r="EE169" i="2" s="1"/>
  <c r="DZ169" i="2"/>
  <c r="DO169" i="2"/>
  <c r="DN169" i="2"/>
  <c r="DM169" i="2"/>
  <c r="DL169" i="2"/>
  <c r="DK169" i="2"/>
  <c r="DJ169" i="2"/>
  <c r="CY169" i="2"/>
  <c r="CX169" i="2"/>
  <c r="CZ169" i="2" s="1"/>
  <c r="CW169" i="2"/>
  <c r="CV169" i="2"/>
  <c r="CU169" i="2"/>
  <c r="CJ169" i="2"/>
  <c r="CI169" i="2"/>
  <c r="CH169" i="2"/>
  <c r="CG169" i="2"/>
  <c r="CK169" i="2" s="1"/>
  <c r="CF169" i="2"/>
  <c r="BH169" i="2"/>
  <c r="BG169" i="2"/>
  <c r="AY169" i="2"/>
  <c r="AX169" i="2"/>
  <c r="AV169" i="2"/>
  <c r="AU169" i="2"/>
  <c r="AT169" i="2"/>
  <c r="AS169" i="2"/>
  <c r="AR169" i="2"/>
  <c r="AP169" i="2"/>
  <c r="AN169" i="2"/>
  <c r="AO169" i="2" s="1"/>
  <c r="AM169" i="2"/>
  <c r="AL169" i="2"/>
  <c r="AK169" i="2"/>
  <c r="AJ169" i="2"/>
  <c r="CE169" i="2" s="1"/>
  <c r="AI169" i="2"/>
  <c r="AH169" i="2"/>
  <c r="AG169" i="2"/>
  <c r="AF169" i="2"/>
  <c r="AE169" i="2"/>
  <c r="AD169" i="2"/>
  <c r="AC169" i="2"/>
  <c r="AB169" i="2"/>
  <c r="AA169" i="2"/>
  <c r="Z169" i="2"/>
  <c r="X169" i="2"/>
  <c r="W169" i="2"/>
  <c r="V169" i="2"/>
  <c r="U169" i="2"/>
  <c r="T169" i="2"/>
  <c r="S169" i="2"/>
  <c r="R169" i="2"/>
  <c r="Q169" i="2"/>
  <c r="P169" i="2"/>
  <c r="M169" i="2"/>
  <c r="L169" i="2"/>
  <c r="K169" i="2"/>
  <c r="I169" i="2"/>
  <c r="H169" i="2"/>
  <c r="G169" i="2"/>
  <c r="F169" i="2"/>
  <c r="E169" i="2"/>
  <c r="D169" i="2"/>
  <c r="C169" i="2"/>
  <c r="A169" i="2"/>
  <c r="IV168" i="2"/>
  <c r="IU168" i="2"/>
  <c r="IT168" i="2"/>
  <c r="IW168" i="2" s="1"/>
  <c r="IS168" i="2"/>
  <c r="IR168" i="2"/>
  <c r="IG168" i="2"/>
  <c r="IF168" i="2"/>
  <c r="IE168" i="2"/>
  <c r="ID168" i="2"/>
  <c r="IH168" i="2" s="1"/>
  <c r="IC168" i="2"/>
  <c r="HR168" i="2"/>
  <c r="HQ168" i="2"/>
  <c r="HP168" i="2"/>
  <c r="HO168" i="2"/>
  <c r="HS168" i="2" s="1"/>
  <c r="HN168" i="2"/>
  <c r="HC168" i="2"/>
  <c r="HB168" i="2"/>
  <c r="HA168" i="2"/>
  <c r="GZ168" i="2"/>
  <c r="GY168" i="2"/>
  <c r="GX168" i="2"/>
  <c r="GM168" i="2"/>
  <c r="GL168" i="2"/>
  <c r="GK168" i="2"/>
  <c r="GN168" i="2" s="1"/>
  <c r="GJ168" i="2"/>
  <c r="GI168" i="2"/>
  <c r="FX168" i="2"/>
  <c r="FW168" i="2"/>
  <c r="FV168" i="2"/>
  <c r="FU168" i="2"/>
  <c r="FY168" i="2" s="1"/>
  <c r="FT168" i="2"/>
  <c r="FH168" i="2"/>
  <c r="FG168" i="2"/>
  <c r="FF168" i="2"/>
  <c r="FE168" i="2"/>
  <c r="FI168" i="2" s="1"/>
  <c r="FD168" i="2"/>
  <c r="ET168" i="2"/>
  <c r="ES168" i="2"/>
  <c r="ER168" i="2"/>
  <c r="EQ168" i="2"/>
  <c r="EP168" i="2"/>
  <c r="EO168" i="2"/>
  <c r="ED168" i="2"/>
  <c r="EC168" i="2"/>
  <c r="EB168" i="2"/>
  <c r="EA168" i="2"/>
  <c r="EE168" i="2" s="1"/>
  <c r="DZ168" i="2"/>
  <c r="DO168" i="2"/>
  <c r="DN168" i="2"/>
  <c r="DM168" i="2"/>
  <c r="DL168" i="2"/>
  <c r="DK168" i="2"/>
  <c r="DJ168" i="2"/>
  <c r="CY168" i="2"/>
  <c r="CX168" i="2"/>
  <c r="CW168" i="2"/>
  <c r="CV168" i="2"/>
  <c r="CZ168" i="2" s="1"/>
  <c r="CU168" i="2"/>
  <c r="CK168" i="2"/>
  <c r="CJ168" i="2"/>
  <c r="CI168" i="2"/>
  <c r="CH168" i="2"/>
  <c r="CG168" i="2"/>
  <c r="CF168" i="2"/>
  <c r="BH168" i="2"/>
  <c r="BG168" i="2"/>
  <c r="AY168" i="2"/>
  <c r="AX168" i="2"/>
  <c r="AV168" i="2"/>
  <c r="AU168" i="2"/>
  <c r="AT168" i="2"/>
  <c r="AS168" i="2"/>
  <c r="AR168" i="2"/>
  <c r="AP168" i="2"/>
  <c r="AO168" i="2"/>
  <c r="AN168" i="2"/>
  <c r="AM168" i="2"/>
  <c r="AL168" i="2"/>
  <c r="AK168" i="2"/>
  <c r="AJ168" i="2"/>
  <c r="CE168" i="2" s="1"/>
  <c r="AI168" i="2"/>
  <c r="AH168" i="2"/>
  <c r="AG168" i="2"/>
  <c r="AF168" i="2"/>
  <c r="AE168" i="2"/>
  <c r="AD168" i="2"/>
  <c r="AC168" i="2"/>
  <c r="AB168" i="2"/>
  <c r="AA168" i="2"/>
  <c r="Z168" i="2"/>
  <c r="X168" i="2"/>
  <c r="W168" i="2"/>
  <c r="V168" i="2"/>
  <c r="U168" i="2"/>
  <c r="T168" i="2"/>
  <c r="S168" i="2"/>
  <c r="R168" i="2"/>
  <c r="Q168" i="2"/>
  <c r="P168" i="2"/>
  <c r="M168" i="2"/>
  <c r="L168" i="2"/>
  <c r="K168" i="2"/>
  <c r="I168" i="2"/>
  <c r="H168" i="2"/>
  <c r="G168" i="2"/>
  <c r="F168" i="2"/>
  <c r="E168" i="2"/>
  <c r="D168" i="2"/>
  <c r="C168" i="2"/>
  <c r="A168" i="2"/>
  <c r="IW167" i="2"/>
  <c r="IV167" i="2"/>
  <c r="IU167" i="2"/>
  <c r="IT167" i="2"/>
  <c r="IS167" i="2"/>
  <c r="IR167" i="2"/>
  <c r="IH167" i="2"/>
  <c r="IG167" i="2"/>
  <c r="IF167" i="2"/>
  <c r="IE167" i="2"/>
  <c r="ID167" i="2"/>
  <c r="IC167" i="2"/>
  <c r="HS167" i="2"/>
  <c r="HR167" i="2"/>
  <c r="HQ167" i="2"/>
  <c r="HP167" i="2"/>
  <c r="HO167" i="2"/>
  <c r="HN167" i="2"/>
  <c r="HC167" i="2"/>
  <c r="HB167" i="2"/>
  <c r="HA167" i="2"/>
  <c r="GZ167" i="2"/>
  <c r="GY167" i="2"/>
  <c r="GX167" i="2"/>
  <c r="GN167" i="2"/>
  <c r="GM167" i="2"/>
  <c r="GL167" i="2"/>
  <c r="GK167" i="2"/>
  <c r="GJ167" i="2"/>
  <c r="GI167" i="2"/>
  <c r="FY167" i="2"/>
  <c r="FX167" i="2"/>
  <c r="FW167" i="2"/>
  <c r="FV167" i="2"/>
  <c r="FU167" i="2"/>
  <c r="FT167" i="2"/>
  <c r="FI167" i="2"/>
  <c r="FH167" i="2"/>
  <c r="FG167" i="2"/>
  <c r="FF167" i="2"/>
  <c r="FE167" i="2"/>
  <c r="FD167" i="2"/>
  <c r="ET167" i="2"/>
  <c r="ES167" i="2"/>
  <c r="ER167" i="2"/>
  <c r="EQ167" i="2"/>
  <c r="EP167" i="2"/>
  <c r="EO167" i="2"/>
  <c r="EE167" i="2"/>
  <c r="ED167" i="2"/>
  <c r="EC167" i="2"/>
  <c r="EB167" i="2"/>
  <c r="EA167" i="2"/>
  <c r="DZ167" i="2"/>
  <c r="DO167" i="2"/>
  <c r="DN167" i="2"/>
  <c r="DM167" i="2"/>
  <c r="DL167" i="2"/>
  <c r="DK167" i="2"/>
  <c r="DJ167" i="2"/>
  <c r="CZ167" i="2"/>
  <c r="CY167" i="2"/>
  <c r="CX167" i="2"/>
  <c r="CW167" i="2"/>
  <c r="CV167" i="2"/>
  <c r="CU167" i="2"/>
  <c r="CK167" i="2"/>
  <c r="CJ167" i="2"/>
  <c r="CI167" i="2"/>
  <c r="CH167" i="2"/>
  <c r="CG167" i="2"/>
  <c r="CF167" i="2"/>
  <c r="CE167" i="2"/>
  <c r="BH167" i="2"/>
  <c r="BG167" i="2"/>
  <c r="AY167" i="2"/>
  <c r="AX167" i="2"/>
  <c r="AV167" i="2"/>
  <c r="AU167" i="2"/>
  <c r="AT167" i="2"/>
  <c r="AS167" i="2"/>
  <c r="AR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X167" i="2"/>
  <c r="W167" i="2"/>
  <c r="V167" i="2"/>
  <c r="U167" i="2"/>
  <c r="T167" i="2"/>
  <c r="S167" i="2"/>
  <c r="R167" i="2"/>
  <c r="Q167" i="2"/>
  <c r="P167" i="2"/>
  <c r="M167" i="2"/>
  <c r="L167" i="2"/>
  <c r="K167" i="2"/>
  <c r="I167" i="2"/>
  <c r="H167" i="2"/>
  <c r="G167" i="2"/>
  <c r="F167" i="2"/>
  <c r="E167" i="2"/>
  <c r="D167" i="2"/>
  <c r="C167" i="2"/>
  <c r="A167" i="2"/>
  <c r="IW166" i="2"/>
  <c r="IV166" i="2"/>
  <c r="IU166" i="2"/>
  <c r="IT166" i="2"/>
  <c r="IS166" i="2"/>
  <c r="IR166" i="2"/>
  <c r="IH166" i="2"/>
  <c r="IG166" i="2"/>
  <c r="IF166" i="2"/>
  <c r="IE166" i="2"/>
  <c r="ID166" i="2"/>
  <c r="IC166" i="2"/>
  <c r="HS166" i="2"/>
  <c r="HR166" i="2"/>
  <c r="HQ166" i="2"/>
  <c r="HP166" i="2"/>
  <c r="HO166" i="2"/>
  <c r="HN166" i="2"/>
  <c r="HC166" i="2"/>
  <c r="HB166" i="2"/>
  <c r="HA166" i="2"/>
  <c r="GZ166" i="2"/>
  <c r="GY166" i="2"/>
  <c r="GX166" i="2"/>
  <c r="GN166" i="2"/>
  <c r="GM166" i="2"/>
  <c r="GL166" i="2"/>
  <c r="GK166" i="2"/>
  <c r="GJ166" i="2"/>
  <c r="GI166" i="2"/>
  <c r="FY166" i="2"/>
  <c r="FX166" i="2"/>
  <c r="FW166" i="2"/>
  <c r="FV166" i="2"/>
  <c r="FU166" i="2"/>
  <c r="FT166" i="2"/>
  <c r="FI166" i="2"/>
  <c r="FH166" i="2"/>
  <c r="FG166" i="2"/>
  <c r="FF166" i="2"/>
  <c r="FE166" i="2"/>
  <c r="FD166" i="2"/>
  <c r="ET166" i="2"/>
  <c r="ES166" i="2"/>
  <c r="ER166" i="2"/>
  <c r="EQ166" i="2"/>
  <c r="EP166" i="2"/>
  <c r="EO166" i="2"/>
  <c r="EE166" i="2"/>
  <c r="ED166" i="2"/>
  <c r="EC166" i="2"/>
  <c r="EB166" i="2"/>
  <c r="EA166" i="2"/>
  <c r="DZ166" i="2"/>
  <c r="DO166" i="2"/>
  <c r="DN166" i="2"/>
  <c r="DM166" i="2"/>
  <c r="DL166" i="2"/>
  <c r="DK166" i="2"/>
  <c r="DJ166" i="2"/>
  <c r="CZ166" i="2"/>
  <c r="CY166" i="2"/>
  <c r="CX166" i="2"/>
  <c r="CW166" i="2"/>
  <c r="CV166" i="2"/>
  <c r="CU166" i="2"/>
  <c r="CK166" i="2"/>
  <c r="CJ166" i="2"/>
  <c r="CI166" i="2"/>
  <c r="CH166" i="2"/>
  <c r="CG166" i="2"/>
  <c r="CF166" i="2"/>
  <c r="CE166" i="2"/>
  <c r="BH166" i="2"/>
  <c r="BG166" i="2"/>
  <c r="AY166" i="2"/>
  <c r="AX166" i="2"/>
  <c r="AV166" i="2"/>
  <c r="AU166" i="2"/>
  <c r="AT166" i="2"/>
  <c r="AS166" i="2"/>
  <c r="AR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X166" i="2"/>
  <c r="W166" i="2"/>
  <c r="V166" i="2"/>
  <c r="U166" i="2"/>
  <c r="T166" i="2"/>
  <c r="S166" i="2"/>
  <c r="R166" i="2"/>
  <c r="Q166" i="2"/>
  <c r="P166" i="2"/>
  <c r="M166" i="2"/>
  <c r="L166" i="2"/>
  <c r="K166" i="2"/>
  <c r="I166" i="2"/>
  <c r="H166" i="2"/>
  <c r="G166" i="2"/>
  <c r="F166" i="2"/>
  <c r="E166" i="2"/>
  <c r="D166" i="2"/>
  <c r="C166" i="2"/>
  <c r="A166" i="2"/>
  <c r="IW165" i="2"/>
  <c r="IV165" i="2"/>
  <c r="IU165" i="2"/>
  <c r="IT165" i="2"/>
  <c r="IS165" i="2"/>
  <c r="IR165" i="2"/>
  <c r="IH165" i="2"/>
  <c r="IG165" i="2"/>
  <c r="IF165" i="2"/>
  <c r="IE165" i="2"/>
  <c r="ID165" i="2"/>
  <c r="IC165" i="2"/>
  <c r="HS165" i="2"/>
  <c r="HR165" i="2"/>
  <c r="HQ165" i="2"/>
  <c r="HP165" i="2"/>
  <c r="HO165" i="2"/>
  <c r="HN165" i="2"/>
  <c r="HC165" i="2"/>
  <c r="HB165" i="2"/>
  <c r="HA165" i="2"/>
  <c r="GZ165" i="2"/>
  <c r="GY165" i="2"/>
  <c r="GX165" i="2"/>
  <c r="GN165" i="2"/>
  <c r="GM165" i="2"/>
  <c r="GL165" i="2"/>
  <c r="GK165" i="2"/>
  <c r="GJ165" i="2"/>
  <c r="GI165" i="2"/>
  <c r="FY165" i="2"/>
  <c r="FX165" i="2"/>
  <c r="FW165" i="2"/>
  <c r="FV165" i="2"/>
  <c r="FU165" i="2"/>
  <c r="FT165" i="2"/>
  <c r="FI165" i="2"/>
  <c r="FH165" i="2"/>
  <c r="FG165" i="2"/>
  <c r="FF165" i="2"/>
  <c r="FE165" i="2"/>
  <c r="FD165" i="2"/>
  <c r="ET165" i="2"/>
  <c r="ES165" i="2"/>
  <c r="ER165" i="2"/>
  <c r="EQ165" i="2"/>
  <c r="EP165" i="2"/>
  <c r="EO165" i="2"/>
  <c r="EE165" i="2"/>
  <c r="ED165" i="2"/>
  <c r="EC165" i="2"/>
  <c r="EB165" i="2"/>
  <c r="EA165" i="2"/>
  <c r="DZ165" i="2"/>
  <c r="DO165" i="2"/>
  <c r="DN165" i="2"/>
  <c r="DM165" i="2"/>
  <c r="DL165" i="2"/>
  <c r="DK165" i="2"/>
  <c r="DJ165" i="2"/>
  <c r="CZ165" i="2"/>
  <c r="CY165" i="2"/>
  <c r="CX165" i="2"/>
  <c r="CW165" i="2"/>
  <c r="CV165" i="2"/>
  <c r="CU165" i="2"/>
  <c r="CK165" i="2"/>
  <c r="CJ165" i="2"/>
  <c r="CI165" i="2"/>
  <c r="CH165" i="2"/>
  <c r="CG165" i="2"/>
  <c r="CF165" i="2"/>
  <c r="CE165" i="2"/>
  <c r="BH165" i="2"/>
  <c r="BG165" i="2"/>
  <c r="AY165" i="2"/>
  <c r="AX165" i="2"/>
  <c r="AV165" i="2"/>
  <c r="AU165" i="2"/>
  <c r="AT165" i="2"/>
  <c r="AS165" i="2"/>
  <c r="AR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X165" i="2"/>
  <c r="W165" i="2"/>
  <c r="V165" i="2"/>
  <c r="U165" i="2"/>
  <c r="T165" i="2"/>
  <c r="S165" i="2"/>
  <c r="R165" i="2"/>
  <c r="Q165" i="2"/>
  <c r="P165" i="2"/>
  <c r="M165" i="2"/>
  <c r="L165" i="2"/>
  <c r="K165" i="2"/>
  <c r="I165" i="2"/>
  <c r="H165" i="2"/>
  <c r="G165" i="2"/>
  <c r="F165" i="2"/>
  <c r="E165" i="2"/>
  <c r="D165" i="2"/>
  <c r="C165" i="2"/>
  <c r="A165" i="2"/>
  <c r="IW164" i="2"/>
  <c r="IV164" i="2"/>
  <c r="IU164" i="2"/>
  <c r="IT164" i="2"/>
  <c r="IS164" i="2"/>
  <c r="IR164" i="2"/>
  <c r="IH164" i="2"/>
  <c r="IG164" i="2"/>
  <c r="IF164" i="2"/>
  <c r="IE164" i="2"/>
  <c r="ID164" i="2"/>
  <c r="IC164" i="2"/>
  <c r="HS164" i="2"/>
  <c r="HR164" i="2"/>
  <c r="HQ164" i="2"/>
  <c r="HP164" i="2"/>
  <c r="HO164" i="2"/>
  <c r="HN164" i="2"/>
  <c r="HC164" i="2"/>
  <c r="HB164" i="2"/>
  <c r="HA164" i="2"/>
  <c r="GZ164" i="2"/>
  <c r="GY164" i="2"/>
  <c r="GX164" i="2"/>
  <c r="GN164" i="2"/>
  <c r="GM164" i="2"/>
  <c r="GL164" i="2"/>
  <c r="GK164" i="2"/>
  <c r="GJ164" i="2"/>
  <c r="GI164" i="2"/>
  <c r="FY164" i="2"/>
  <c r="FX164" i="2"/>
  <c r="FW164" i="2"/>
  <c r="FV164" i="2"/>
  <c r="FU164" i="2"/>
  <c r="FT164" i="2"/>
  <c r="FI164" i="2"/>
  <c r="FH164" i="2"/>
  <c r="FG164" i="2"/>
  <c r="FF164" i="2"/>
  <c r="FE164" i="2"/>
  <c r="FD164" i="2"/>
  <c r="ET164" i="2"/>
  <c r="ES164" i="2"/>
  <c r="ER164" i="2"/>
  <c r="EQ164" i="2"/>
  <c r="EP164" i="2"/>
  <c r="EO164" i="2"/>
  <c r="EE164" i="2"/>
  <c r="ED164" i="2"/>
  <c r="EC164" i="2"/>
  <c r="EB164" i="2"/>
  <c r="EA164" i="2"/>
  <c r="DZ164" i="2"/>
  <c r="DO164" i="2"/>
  <c r="DN164" i="2"/>
  <c r="DM164" i="2"/>
  <c r="DL164" i="2"/>
  <c r="DK164" i="2"/>
  <c r="DJ164" i="2"/>
  <c r="CZ164" i="2"/>
  <c r="CY164" i="2"/>
  <c r="CX164" i="2"/>
  <c r="CW164" i="2"/>
  <c r="CV164" i="2"/>
  <c r="CU164" i="2"/>
  <c r="CK164" i="2"/>
  <c r="CJ164" i="2"/>
  <c r="CI164" i="2"/>
  <c r="CH164" i="2"/>
  <c r="CG164" i="2"/>
  <c r="CF164" i="2"/>
  <c r="CE164" i="2"/>
  <c r="BH164" i="2"/>
  <c r="BG164" i="2"/>
  <c r="AY164" i="2"/>
  <c r="AX164" i="2"/>
  <c r="AV164" i="2"/>
  <c r="AU164" i="2"/>
  <c r="AT164" i="2"/>
  <c r="AS164" i="2"/>
  <c r="AR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X164" i="2"/>
  <c r="W164" i="2"/>
  <c r="V164" i="2"/>
  <c r="U164" i="2"/>
  <c r="T164" i="2"/>
  <c r="S164" i="2"/>
  <c r="R164" i="2"/>
  <c r="Q164" i="2"/>
  <c r="P164" i="2"/>
  <c r="M164" i="2"/>
  <c r="L164" i="2"/>
  <c r="K164" i="2"/>
  <c r="I164" i="2"/>
  <c r="H164" i="2"/>
  <c r="G164" i="2"/>
  <c r="F164" i="2"/>
  <c r="E164" i="2"/>
  <c r="D164" i="2"/>
  <c r="C164" i="2"/>
  <c r="A164" i="2"/>
  <c r="IW163" i="2"/>
  <c r="IV163" i="2"/>
  <c r="IU163" i="2"/>
  <c r="IT163" i="2"/>
  <c r="IS163" i="2"/>
  <c r="IR163" i="2"/>
  <c r="IH163" i="2"/>
  <c r="IG163" i="2"/>
  <c r="IF163" i="2"/>
  <c r="IE163" i="2"/>
  <c r="ID163" i="2"/>
  <c r="IC163" i="2"/>
  <c r="HS163" i="2"/>
  <c r="HR163" i="2"/>
  <c r="HQ163" i="2"/>
  <c r="HP163" i="2"/>
  <c r="HO163" i="2"/>
  <c r="HN163" i="2"/>
  <c r="HC163" i="2"/>
  <c r="HB163" i="2"/>
  <c r="HA163" i="2"/>
  <c r="GZ163" i="2"/>
  <c r="GY163" i="2"/>
  <c r="GX163" i="2"/>
  <c r="GN163" i="2"/>
  <c r="GM163" i="2"/>
  <c r="GL163" i="2"/>
  <c r="GK163" i="2"/>
  <c r="GJ163" i="2"/>
  <c r="GI163" i="2"/>
  <c r="FY163" i="2"/>
  <c r="FX163" i="2"/>
  <c r="FW163" i="2"/>
  <c r="FV163" i="2"/>
  <c r="FU163" i="2"/>
  <c r="FT163" i="2"/>
  <c r="FI163" i="2"/>
  <c r="FH163" i="2"/>
  <c r="FG163" i="2"/>
  <c r="FF163" i="2"/>
  <c r="FE163" i="2"/>
  <c r="FD163" i="2"/>
  <c r="ET163" i="2"/>
  <c r="ES163" i="2"/>
  <c r="ER163" i="2"/>
  <c r="EQ163" i="2"/>
  <c r="EP163" i="2"/>
  <c r="EO163" i="2"/>
  <c r="EE163" i="2"/>
  <c r="ED163" i="2"/>
  <c r="EC163" i="2"/>
  <c r="EB163" i="2"/>
  <c r="EA163" i="2"/>
  <c r="DZ163" i="2"/>
  <c r="DO163" i="2"/>
  <c r="DN163" i="2"/>
  <c r="DM163" i="2"/>
  <c r="DL163" i="2"/>
  <c r="DK163" i="2"/>
  <c r="DJ163" i="2"/>
  <c r="CZ163" i="2"/>
  <c r="CY163" i="2"/>
  <c r="CX163" i="2"/>
  <c r="CW163" i="2"/>
  <c r="CV163" i="2"/>
  <c r="CU163" i="2"/>
  <c r="CK163" i="2"/>
  <c r="CJ163" i="2"/>
  <c r="CI163" i="2"/>
  <c r="CH163" i="2"/>
  <c r="CG163" i="2"/>
  <c r="CF163" i="2"/>
  <c r="CE163" i="2"/>
  <c r="BH163" i="2"/>
  <c r="BG163" i="2"/>
  <c r="AY163" i="2"/>
  <c r="AX163" i="2"/>
  <c r="AV163" i="2"/>
  <c r="AU163" i="2"/>
  <c r="AT163" i="2"/>
  <c r="AS163" i="2"/>
  <c r="AR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X163" i="2"/>
  <c r="W163" i="2"/>
  <c r="V163" i="2"/>
  <c r="U163" i="2"/>
  <c r="T163" i="2"/>
  <c r="S163" i="2"/>
  <c r="R163" i="2"/>
  <c r="Q163" i="2"/>
  <c r="P163" i="2"/>
  <c r="M163" i="2"/>
  <c r="L163" i="2"/>
  <c r="K163" i="2"/>
  <c r="I163" i="2"/>
  <c r="H163" i="2"/>
  <c r="G163" i="2"/>
  <c r="F163" i="2"/>
  <c r="E163" i="2"/>
  <c r="D163" i="2"/>
  <c r="C163" i="2"/>
  <c r="A163" i="2"/>
  <c r="IW162" i="2"/>
  <c r="IV162" i="2"/>
  <c r="IU162" i="2"/>
  <c r="IT162" i="2"/>
  <c r="IS162" i="2"/>
  <c r="IR162" i="2"/>
  <c r="IH162" i="2"/>
  <c r="IG162" i="2"/>
  <c r="IF162" i="2"/>
  <c r="IE162" i="2"/>
  <c r="ID162" i="2"/>
  <c r="IC162" i="2"/>
  <c r="HS162" i="2"/>
  <c r="HR162" i="2"/>
  <c r="HQ162" i="2"/>
  <c r="HP162" i="2"/>
  <c r="HO162" i="2"/>
  <c r="HN162" i="2"/>
  <c r="HC162" i="2"/>
  <c r="HB162" i="2"/>
  <c r="HA162" i="2"/>
  <c r="GZ162" i="2"/>
  <c r="GY162" i="2"/>
  <c r="GX162" i="2"/>
  <c r="GN162" i="2"/>
  <c r="GM162" i="2"/>
  <c r="GL162" i="2"/>
  <c r="GK162" i="2"/>
  <c r="GJ162" i="2"/>
  <c r="GI162" i="2"/>
  <c r="FY162" i="2"/>
  <c r="FX162" i="2"/>
  <c r="FW162" i="2"/>
  <c r="FV162" i="2"/>
  <c r="FU162" i="2"/>
  <c r="FT162" i="2"/>
  <c r="FI162" i="2"/>
  <c r="FH162" i="2"/>
  <c r="FG162" i="2"/>
  <c r="FF162" i="2"/>
  <c r="FE162" i="2"/>
  <c r="FD162" i="2"/>
  <c r="ET162" i="2"/>
  <c r="ES162" i="2"/>
  <c r="ER162" i="2"/>
  <c r="EQ162" i="2"/>
  <c r="EP162" i="2"/>
  <c r="EO162" i="2"/>
  <c r="EE162" i="2"/>
  <c r="ED162" i="2"/>
  <c r="EC162" i="2"/>
  <c r="EB162" i="2"/>
  <c r="EA162" i="2"/>
  <c r="DZ162" i="2"/>
  <c r="DO162" i="2"/>
  <c r="DN162" i="2"/>
  <c r="DM162" i="2"/>
  <c r="DL162" i="2"/>
  <c r="DK162" i="2"/>
  <c r="DJ162" i="2"/>
  <c r="CZ162" i="2"/>
  <c r="CY162" i="2"/>
  <c r="CX162" i="2"/>
  <c r="CW162" i="2"/>
  <c r="CV162" i="2"/>
  <c r="CU162" i="2"/>
  <c r="CK162" i="2"/>
  <c r="CJ162" i="2"/>
  <c r="CI162" i="2"/>
  <c r="CH162" i="2"/>
  <c r="CG162" i="2"/>
  <c r="CF162" i="2"/>
  <c r="CE162" i="2"/>
  <c r="BH162" i="2"/>
  <c r="BG162" i="2"/>
  <c r="AY162" i="2"/>
  <c r="AX162" i="2"/>
  <c r="AV162" i="2"/>
  <c r="AU162" i="2"/>
  <c r="AT162" i="2"/>
  <c r="AS162" i="2"/>
  <c r="AR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X162" i="2"/>
  <c r="W162" i="2"/>
  <c r="V162" i="2"/>
  <c r="U162" i="2"/>
  <c r="T162" i="2"/>
  <c r="S162" i="2"/>
  <c r="R162" i="2"/>
  <c r="Q162" i="2"/>
  <c r="P162" i="2"/>
  <c r="M162" i="2"/>
  <c r="L162" i="2"/>
  <c r="K162" i="2"/>
  <c r="I162" i="2"/>
  <c r="H162" i="2"/>
  <c r="G162" i="2"/>
  <c r="F162" i="2"/>
  <c r="E162" i="2"/>
  <c r="D162" i="2"/>
  <c r="C162" i="2"/>
  <c r="A162" i="2"/>
  <c r="IW161" i="2"/>
  <c r="IV161" i="2"/>
  <c r="IU161" i="2"/>
  <c r="IT161" i="2"/>
  <c r="IS161" i="2"/>
  <c r="IR161" i="2"/>
  <c r="IH161" i="2"/>
  <c r="IG161" i="2"/>
  <c r="IF161" i="2"/>
  <c r="IE161" i="2"/>
  <c r="ID161" i="2"/>
  <c r="IC161" i="2"/>
  <c r="HS161" i="2"/>
  <c r="HR161" i="2"/>
  <c r="HQ161" i="2"/>
  <c r="HP161" i="2"/>
  <c r="HO161" i="2"/>
  <c r="HN161" i="2"/>
  <c r="HC161" i="2"/>
  <c r="HB161" i="2"/>
  <c r="HA161" i="2"/>
  <c r="GZ161" i="2"/>
  <c r="GY161" i="2"/>
  <c r="GX161" i="2"/>
  <c r="GN161" i="2"/>
  <c r="GM161" i="2"/>
  <c r="GL161" i="2"/>
  <c r="GK161" i="2"/>
  <c r="GJ161" i="2"/>
  <c r="GI161" i="2"/>
  <c r="FY161" i="2"/>
  <c r="FX161" i="2"/>
  <c r="FW161" i="2"/>
  <c r="FV161" i="2"/>
  <c r="FU161" i="2"/>
  <c r="FT161" i="2"/>
  <c r="FI161" i="2"/>
  <c r="FH161" i="2"/>
  <c r="FG161" i="2"/>
  <c r="FF161" i="2"/>
  <c r="FE161" i="2"/>
  <c r="FD161" i="2"/>
  <c r="ET161" i="2"/>
  <c r="ES161" i="2"/>
  <c r="ER161" i="2"/>
  <c r="EQ161" i="2"/>
  <c r="EP161" i="2"/>
  <c r="EO161" i="2"/>
  <c r="EE161" i="2"/>
  <c r="ED161" i="2"/>
  <c r="EC161" i="2"/>
  <c r="EB161" i="2"/>
  <c r="EA161" i="2"/>
  <c r="DZ161" i="2"/>
  <c r="DO161" i="2"/>
  <c r="DN161" i="2"/>
  <c r="DM161" i="2"/>
  <c r="DL161" i="2"/>
  <c r="DK161" i="2"/>
  <c r="DJ161" i="2"/>
  <c r="CZ161" i="2"/>
  <c r="CY161" i="2"/>
  <c r="CX161" i="2"/>
  <c r="CW161" i="2"/>
  <c r="CV161" i="2"/>
  <c r="CU161" i="2"/>
  <c r="CK161" i="2"/>
  <c r="CJ161" i="2"/>
  <c r="CI161" i="2"/>
  <c r="CH161" i="2"/>
  <c r="CG161" i="2"/>
  <c r="CF161" i="2"/>
  <c r="CE161" i="2"/>
  <c r="BH161" i="2"/>
  <c r="BG161" i="2"/>
  <c r="AY161" i="2"/>
  <c r="AX161" i="2"/>
  <c r="AV161" i="2"/>
  <c r="AU161" i="2"/>
  <c r="AT161" i="2"/>
  <c r="AS161" i="2"/>
  <c r="AR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X161" i="2"/>
  <c r="W161" i="2"/>
  <c r="V161" i="2"/>
  <c r="U161" i="2"/>
  <c r="T161" i="2"/>
  <c r="S161" i="2"/>
  <c r="R161" i="2"/>
  <c r="Q161" i="2"/>
  <c r="P161" i="2"/>
  <c r="M161" i="2"/>
  <c r="L161" i="2"/>
  <c r="K161" i="2"/>
  <c r="I161" i="2"/>
  <c r="H161" i="2"/>
  <c r="G161" i="2"/>
  <c r="F161" i="2"/>
  <c r="E161" i="2"/>
  <c r="D161" i="2"/>
  <c r="C161" i="2"/>
  <c r="A161" i="2"/>
  <c r="IW160" i="2"/>
  <c r="IV160" i="2"/>
  <c r="IU160" i="2"/>
  <c r="IT160" i="2"/>
  <c r="IS160" i="2"/>
  <c r="IR160" i="2"/>
  <c r="IH160" i="2"/>
  <c r="IG160" i="2"/>
  <c r="IF160" i="2"/>
  <c r="IE160" i="2"/>
  <c r="ID160" i="2"/>
  <c r="IC160" i="2"/>
  <c r="HS160" i="2"/>
  <c r="HR160" i="2"/>
  <c r="HQ160" i="2"/>
  <c r="HP160" i="2"/>
  <c r="HO160" i="2"/>
  <c r="HN160" i="2"/>
  <c r="HC160" i="2"/>
  <c r="HB160" i="2"/>
  <c r="HA160" i="2"/>
  <c r="GZ160" i="2"/>
  <c r="GY160" i="2"/>
  <c r="GX160" i="2"/>
  <c r="GN160" i="2"/>
  <c r="GM160" i="2"/>
  <c r="GL160" i="2"/>
  <c r="GK160" i="2"/>
  <c r="GJ160" i="2"/>
  <c r="GI160" i="2"/>
  <c r="FY160" i="2"/>
  <c r="FX160" i="2"/>
  <c r="FW160" i="2"/>
  <c r="FV160" i="2"/>
  <c r="FU160" i="2"/>
  <c r="FT160" i="2"/>
  <c r="FI160" i="2"/>
  <c r="FH160" i="2"/>
  <c r="FG160" i="2"/>
  <c r="FF160" i="2"/>
  <c r="FE160" i="2"/>
  <c r="FD160" i="2"/>
  <c r="ET160" i="2"/>
  <c r="ES160" i="2"/>
  <c r="ER160" i="2"/>
  <c r="EQ160" i="2"/>
  <c r="EP160" i="2"/>
  <c r="EO160" i="2"/>
  <c r="EE160" i="2"/>
  <c r="ED160" i="2"/>
  <c r="EC160" i="2"/>
  <c r="EB160" i="2"/>
  <c r="EA160" i="2"/>
  <c r="DZ160" i="2"/>
  <c r="DO160" i="2"/>
  <c r="DN160" i="2"/>
  <c r="DM160" i="2"/>
  <c r="DL160" i="2"/>
  <c r="DK160" i="2"/>
  <c r="DJ160" i="2"/>
  <c r="CZ160" i="2"/>
  <c r="CY160" i="2"/>
  <c r="CX160" i="2"/>
  <c r="CW160" i="2"/>
  <c r="CV160" i="2"/>
  <c r="CU160" i="2"/>
  <c r="CK160" i="2"/>
  <c r="CJ160" i="2"/>
  <c r="CI160" i="2"/>
  <c r="CH160" i="2"/>
  <c r="CG160" i="2"/>
  <c r="CF160" i="2"/>
  <c r="CE160" i="2"/>
  <c r="BH160" i="2"/>
  <c r="BG160" i="2"/>
  <c r="AY160" i="2"/>
  <c r="AX160" i="2"/>
  <c r="AV160" i="2"/>
  <c r="AU160" i="2"/>
  <c r="AT160" i="2"/>
  <c r="AS160" i="2"/>
  <c r="AR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X160" i="2"/>
  <c r="W160" i="2"/>
  <c r="V160" i="2"/>
  <c r="U160" i="2"/>
  <c r="T160" i="2"/>
  <c r="S160" i="2"/>
  <c r="R160" i="2"/>
  <c r="Q160" i="2"/>
  <c r="P160" i="2"/>
  <c r="M160" i="2"/>
  <c r="L160" i="2"/>
  <c r="K160" i="2"/>
  <c r="I160" i="2"/>
  <c r="H160" i="2"/>
  <c r="G160" i="2"/>
  <c r="F160" i="2"/>
  <c r="E160" i="2"/>
  <c r="D160" i="2"/>
  <c r="C160" i="2"/>
  <c r="A160" i="2"/>
  <c r="IW159" i="2"/>
  <c r="IV159" i="2"/>
  <c r="IU159" i="2"/>
  <c r="IT159" i="2"/>
  <c r="IS159" i="2"/>
  <c r="IR159" i="2"/>
  <c r="IH159" i="2"/>
  <c r="IG159" i="2"/>
  <c r="IF159" i="2"/>
  <c r="IE159" i="2"/>
  <c r="ID159" i="2"/>
  <c r="IC159" i="2"/>
  <c r="HS159" i="2"/>
  <c r="HR159" i="2"/>
  <c r="HQ159" i="2"/>
  <c r="HP159" i="2"/>
  <c r="HO159" i="2"/>
  <c r="HN159" i="2"/>
  <c r="HC159" i="2"/>
  <c r="HB159" i="2"/>
  <c r="HA159" i="2"/>
  <c r="GZ159" i="2"/>
  <c r="GY159" i="2"/>
  <c r="GX159" i="2"/>
  <c r="GN159" i="2"/>
  <c r="GM159" i="2"/>
  <c r="GL159" i="2"/>
  <c r="GK159" i="2"/>
  <c r="GJ159" i="2"/>
  <c r="GI159" i="2"/>
  <c r="FY159" i="2"/>
  <c r="FX159" i="2"/>
  <c r="FW159" i="2"/>
  <c r="FV159" i="2"/>
  <c r="FU159" i="2"/>
  <c r="FT159" i="2"/>
  <c r="FI159" i="2"/>
  <c r="FH159" i="2"/>
  <c r="FG159" i="2"/>
  <c r="FF159" i="2"/>
  <c r="FE159" i="2"/>
  <c r="FD159" i="2"/>
  <c r="ET159" i="2"/>
  <c r="ES159" i="2"/>
  <c r="ER159" i="2"/>
  <c r="EQ159" i="2"/>
  <c r="EP159" i="2"/>
  <c r="EO159" i="2"/>
  <c r="EE159" i="2"/>
  <c r="ED159" i="2"/>
  <c r="EC159" i="2"/>
  <c r="EB159" i="2"/>
  <c r="EA159" i="2"/>
  <c r="DZ159" i="2"/>
  <c r="DO159" i="2"/>
  <c r="DN159" i="2"/>
  <c r="DM159" i="2"/>
  <c r="DL159" i="2"/>
  <c r="DK159" i="2"/>
  <c r="DJ159" i="2"/>
  <c r="CZ159" i="2"/>
  <c r="CY159" i="2"/>
  <c r="CX159" i="2"/>
  <c r="CW159" i="2"/>
  <c r="CV159" i="2"/>
  <c r="CU159" i="2"/>
  <c r="CK159" i="2"/>
  <c r="CJ159" i="2"/>
  <c r="CI159" i="2"/>
  <c r="CH159" i="2"/>
  <c r="CG159" i="2"/>
  <c r="CF159" i="2"/>
  <c r="CE159" i="2"/>
  <c r="BH159" i="2"/>
  <c r="BG159" i="2"/>
  <c r="AY159" i="2"/>
  <c r="AX159" i="2"/>
  <c r="AV159" i="2"/>
  <c r="AU159" i="2"/>
  <c r="AT159" i="2"/>
  <c r="AS159" i="2"/>
  <c r="AR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X159" i="2"/>
  <c r="W159" i="2"/>
  <c r="V159" i="2"/>
  <c r="U159" i="2"/>
  <c r="T159" i="2"/>
  <c r="S159" i="2"/>
  <c r="R159" i="2"/>
  <c r="Q159" i="2"/>
  <c r="P159" i="2"/>
  <c r="M159" i="2"/>
  <c r="L159" i="2"/>
  <c r="K159" i="2"/>
  <c r="I159" i="2"/>
  <c r="H159" i="2"/>
  <c r="G159" i="2"/>
  <c r="F159" i="2"/>
  <c r="E159" i="2"/>
  <c r="D159" i="2"/>
  <c r="C159" i="2"/>
  <c r="A159" i="2"/>
  <c r="IW158" i="2"/>
  <c r="IV158" i="2"/>
  <c r="IU158" i="2"/>
  <c r="IT158" i="2"/>
  <c r="IS158" i="2"/>
  <c r="IR158" i="2"/>
  <c r="IH158" i="2"/>
  <c r="IG158" i="2"/>
  <c r="IF158" i="2"/>
  <c r="IE158" i="2"/>
  <c r="ID158" i="2"/>
  <c r="IC158" i="2"/>
  <c r="HS158" i="2"/>
  <c r="HR158" i="2"/>
  <c r="HQ158" i="2"/>
  <c r="HP158" i="2"/>
  <c r="HO158" i="2"/>
  <c r="HN158" i="2"/>
  <c r="HC158" i="2"/>
  <c r="HB158" i="2"/>
  <c r="HA158" i="2"/>
  <c r="GZ158" i="2"/>
  <c r="GY158" i="2"/>
  <c r="GX158" i="2"/>
  <c r="GN158" i="2"/>
  <c r="GM158" i="2"/>
  <c r="GL158" i="2"/>
  <c r="GK158" i="2"/>
  <c r="GJ158" i="2"/>
  <c r="GI158" i="2"/>
  <c r="FY158" i="2"/>
  <c r="FX158" i="2"/>
  <c r="FW158" i="2"/>
  <c r="FV158" i="2"/>
  <c r="FU158" i="2"/>
  <c r="FT158" i="2"/>
  <c r="FI158" i="2"/>
  <c r="FH158" i="2"/>
  <c r="FG158" i="2"/>
  <c r="FF158" i="2"/>
  <c r="FE158" i="2"/>
  <c r="FD158" i="2"/>
  <c r="ET158" i="2"/>
  <c r="ES158" i="2"/>
  <c r="ER158" i="2"/>
  <c r="EQ158" i="2"/>
  <c r="EP158" i="2"/>
  <c r="EO158" i="2"/>
  <c r="EE158" i="2"/>
  <c r="ED158" i="2"/>
  <c r="EC158" i="2"/>
  <c r="EB158" i="2"/>
  <c r="EA158" i="2"/>
  <c r="DZ158" i="2"/>
  <c r="DO158" i="2"/>
  <c r="DN158" i="2"/>
  <c r="DM158" i="2"/>
  <c r="DL158" i="2"/>
  <c r="DK158" i="2"/>
  <c r="DJ158" i="2"/>
  <c r="CZ158" i="2"/>
  <c r="CY158" i="2"/>
  <c r="CX158" i="2"/>
  <c r="CW158" i="2"/>
  <c r="CV158" i="2"/>
  <c r="CU158" i="2"/>
  <c r="CK158" i="2"/>
  <c r="CJ158" i="2"/>
  <c r="CI158" i="2"/>
  <c r="CH158" i="2"/>
  <c r="CG158" i="2"/>
  <c r="CF158" i="2"/>
  <c r="CE158" i="2"/>
  <c r="BH158" i="2"/>
  <c r="BG158" i="2"/>
  <c r="AY158" i="2"/>
  <c r="AX158" i="2"/>
  <c r="AV158" i="2"/>
  <c r="AU158" i="2"/>
  <c r="AT158" i="2"/>
  <c r="AS158" i="2"/>
  <c r="AR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X158" i="2"/>
  <c r="W158" i="2"/>
  <c r="V158" i="2"/>
  <c r="U158" i="2"/>
  <c r="T158" i="2"/>
  <c r="S158" i="2"/>
  <c r="R158" i="2"/>
  <c r="Q158" i="2"/>
  <c r="P158" i="2"/>
  <c r="M158" i="2"/>
  <c r="L158" i="2"/>
  <c r="K158" i="2"/>
  <c r="I158" i="2"/>
  <c r="H158" i="2"/>
  <c r="G158" i="2"/>
  <c r="F158" i="2"/>
  <c r="E158" i="2"/>
  <c r="D158" i="2"/>
  <c r="C158" i="2"/>
  <c r="A158" i="2"/>
  <c r="IW157" i="2"/>
  <c r="IV157" i="2"/>
  <c r="IU157" i="2"/>
  <c r="IT157" i="2"/>
  <c r="IS157" i="2"/>
  <c r="IR157" i="2"/>
  <c r="IH157" i="2"/>
  <c r="IG157" i="2"/>
  <c r="IF157" i="2"/>
  <c r="IE157" i="2"/>
  <c r="ID157" i="2"/>
  <c r="IC157" i="2"/>
  <c r="HS157" i="2"/>
  <c r="HR157" i="2"/>
  <c r="HQ157" i="2"/>
  <c r="HP157" i="2"/>
  <c r="HO157" i="2"/>
  <c r="HN157" i="2"/>
  <c r="HC157" i="2"/>
  <c r="HB157" i="2"/>
  <c r="HA157" i="2"/>
  <c r="GZ157" i="2"/>
  <c r="GY157" i="2"/>
  <c r="GX157" i="2"/>
  <c r="GN157" i="2"/>
  <c r="GM157" i="2"/>
  <c r="GL157" i="2"/>
  <c r="GK157" i="2"/>
  <c r="GJ157" i="2"/>
  <c r="GI157" i="2"/>
  <c r="FY157" i="2"/>
  <c r="FX157" i="2"/>
  <c r="FW157" i="2"/>
  <c r="FV157" i="2"/>
  <c r="FU157" i="2"/>
  <c r="FT157" i="2"/>
  <c r="FI157" i="2"/>
  <c r="FH157" i="2"/>
  <c r="FG157" i="2"/>
  <c r="FF157" i="2"/>
  <c r="FE157" i="2"/>
  <c r="FD157" i="2"/>
  <c r="ET157" i="2"/>
  <c r="ES157" i="2"/>
  <c r="ER157" i="2"/>
  <c r="EQ157" i="2"/>
  <c r="EP157" i="2"/>
  <c r="EO157" i="2"/>
  <c r="EE157" i="2"/>
  <c r="ED157" i="2"/>
  <c r="EC157" i="2"/>
  <c r="EB157" i="2"/>
  <c r="EA157" i="2"/>
  <c r="DZ157" i="2"/>
  <c r="DO157" i="2"/>
  <c r="DN157" i="2"/>
  <c r="DM157" i="2"/>
  <c r="DL157" i="2"/>
  <c r="DK157" i="2"/>
  <c r="DJ157" i="2"/>
  <c r="CZ157" i="2"/>
  <c r="CY157" i="2"/>
  <c r="CX157" i="2"/>
  <c r="CW157" i="2"/>
  <c r="CV157" i="2"/>
  <c r="CU157" i="2"/>
  <c r="CK157" i="2"/>
  <c r="CJ157" i="2"/>
  <c r="CI157" i="2"/>
  <c r="CH157" i="2"/>
  <c r="CG157" i="2"/>
  <c r="CF157" i="2"/>
  <c r="CE157" i="2"/>
  <c r="BH157" i="2"/>
  <c r="BG157" i="2"/>
  <c r="AY157" i="2"/>
  <c r="AX157" i="2"/>
  <c r="AV157" i="2"/>
  <c r="AU157" i="2"/>
  <c r="AT157" i="2"/>
  <c r="AS157" i="2"/>
  <c r="AR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X157" i="2"/>
  <c r="W157" i="2"/>
  <c r="V157" i="2"/>
  <c r="U157" i="2"/>
  <c r="T157" i="2"/>
  <c r="S157" i="2"/>
  <c r="R157" i="2"/>
  <c r="Q157" i="2"/>
  <c r="P157" i="2"/>
  <c r="M157" i="2"/>
  <c r="L157" i="2"/>
  <c r="K157" i="2"/>
  <c r="I157" i="2"/>
  <c r="H157" i="2"/>
  <c r="G157" i="2"/>
  <c r="F157" i="2"/>
  <c r="E157" i="2"/>
  <c r="D157" i="2"/>
  <c r="C157" i="2"/>
  <c r="A157" i="2"/>
  <c r="IW156" i="2"/>
  <c r="IV156" i="2"/>
  <c r="IU156" i="2"/>
  <c r="IT156" i="2"/>
  <c r="IS156" i="2"/>
  <c r="IR156" i="2"/>
  <c r="IH156" i="2"/>
  <c r="IG156" i="2"/>
  <c r="IF156" i="2"/>
  <c r="IE156" i="2"/>
  <c r="ID156" i="2"/>
  <c r="IC156" i="2"/>
  <c r="HS156" i="2"/>
  <c r="HR156" i="2"/>
  <c r="HQ156" i="2"/>
  <c r="HP156" i="2"/>
  <c r="HO156" i="2"/>
  <c r="HN156" i="2"/>
  <c r="HC156" i="2"/>
  <c r="HB156" i="2"/>
  <c r="HA156" i="2"/>
  <c r="GZ156" i="2"/>
  <c r="GY156" i="2"/>
  <c r="GX156" i="2"/>
  <c r="GN156" i="2"/>
  <c r="GM156" i="2"/>
  <c r="GL156" i="2"/>
  <c r="GK156" i="2"/>
  <c r="GJ156" i="2"/>
  <c r="GI156" i="2"/>
  <c r="FY156" i="2"/>
  <c r="FX156" i="2"/>
  <c r="FW156" i="2"/>
  <c r="FV156" i="2"/>
  <c r="FU156" i="2"/>
  <c r="FT156" i="2"/>
  <c r="FI156" i="2"/>
  <c r="FH156" i="2"/>
  <c r="FG156" i="2"/>
  <c r="FF156" i="2"/>
  <c r="FE156" i="2"/>
  <c r="FD156" i="2"/>
  <c r="ET156" i="2"/>
  <c r="ES156" i="2"/>
  <c r="ER156" i="2"/>
  <c r="EQ156" i="2"/>
  <c r="EP156" i="2"/>
  <c r="EO156" i="2"/>
  <c r="EE156" i="2"/>
  <c r="ED156" i="2"/>
  <c r="EC156" i="2"/>
  <c r="EB156" i="2"/>
  <c r="EA156" i="2"/>
  <c r="DZ156" i="2"/>
  <c r="DO156" i="2"/>
  <c r="DN156" i="2"/>
  <c r="DM156" i="2"/>
  <c r="DL156" i="2"/>
  <c r="DK156" i="2"/>
  <c r="DJ156" i="2"/>
  <c r="CZ156" i="2"/>
  <c r="CY156" i="2"/>
  <c r="CX156" i="2"/>
  <c r="CW156" i="2"/>
  <c r="CV156" i="2"/>
  <c r="CU156" i="2"/>
  <c r="CK156" i="2"/>
  <c r="CJ156" i="2"/>
  <c r="CI156" i="2"/>
  <c r="CH156" i="2"/>
  <c r="CG156" i="2"/>
  <c r="CF156" i="2"/>
  <c r="CE156" i="2"/>
  <c r="BH156" i="2"/>
  <c r="BG156" i="2"/>
  <c r="AY156" i="2"/>
  <c r="AX156" i="2"/>
  <c r="AV156" i="2"/>
  <c r="AU156" i="2"/>
  <c r="AT156" i="2"/>
  <c r="AS156" i="2"/>
  <c r="AR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X156" i="2"/>
  <c r="W156" i="2"/>
  <c r="V156" i="2"/>
  <c r="U156" i="2"/>
  <c r="T156" i="2"/>
  <c r="S156" i="2"/>
  <c r="R156" i="2"/>
  <c r="Q156" i="2"/>
  <c r="P156" i="2"/>
  <c r="M156" i="2"/>
  <c r="L156" i="2"/>
  <c r="K156" i="2"/>
  <c r="I156" i="2"/>
  <c r="H156" i="2"/>
  <c r="G156" i="2"/>
  <c r="F156" i="2"/>
  <c r="E156" i="2"/>
  <c r="D156" i="2"/>
  <c r="C156" i="2"/>
  <c r="A156" i="2"/>
  <c r="IW155" i="2"/>
  <c r="IV155" i="2"/>
  <c r="IU155" i="2"/>
  <c r="IT155" i="2"/>
  <c r="IS155" i="2"/>
  <c r="IR155" i="2"/>
  <c r="IH155" i="2"/>
  <c r="IG155" i="2"/>
  <c r="IF155" i="2"/>
  <c r="IE155" i="2"/>
  <c r="ID155" i="2"/>
  <c r="IC155" i="2"/>
  <c r="HS155" i="2"/>
  <c r="HR155" i="2"/>
  <c r="HQ155" i="2"/>
  <c r="HP155" i="2"/>
  <c r="HO155" i="2"/>
  <c r="HN155" i="2"/>
  <c r="HC155" i="2"/>
  <c r="HB155" i="2"/>
  <c r="HA155" i="2"/>
  <c r="GZ155" i="2"/>
  <c r="GY155" i="2"/>
  <c r="GX155" i="2"/>
  <c r="GN155" i="2"/>
  <c r="GM155" i="2"/>
  <c r="GL155" i="2"/>
  <c r="GK155" i="2"/>
  <c r="GJ155" i="2"/>
  <c r="GI155" i="2"/>
  <c r="FY155" i="2"/>
  <c r="FX155" i="2"/>
  <c r="FW155" i="2"/>
  <c r="FV155" i="2"/>
  <c r="FU155" i="2"/>
  <c r="FT155" i="2"/>
  <c r="FI155" i="2"/>
  <c r="FH155" i="2"/>
  <c r="FG155" i="2"/>
  <c r="FF155" i="2"/>
  <c r="FE155" i="2"/>
  <c r="FD155" i="2"/>
  <c r="ET155" i="2"/>
  <c r="ES155" i="2"/>
  <c r="ER155" i="2"/>
  <c r="EQ155" i="2"/>
  <c r="EP155" i="2"/>
  <c r="EO155" i="2"/>
  <c r="EE155" i="2"/>
  <c r="ED155" i="2"/>
  <c r="EC155" i="2"/>
  <c r="EB155" i="2"/>
  <c r="EA155" i="2"/>
  <c r="DZ155" i="2"/>
  <c r="DO155" i="2"/>
  <c r="DN155" i="2"/>
  <c r="DM155" i="2"/>
  <c r="DL155" i="2"/>
  <c r="DK155" i="2"/>
  <c r="DJ155" i="2"/>
  <c r="CZ155" i="2"/>
  <c r="CY155" i="2"/>
  <c r="CX155" i="2"/>
  <c r="CW155" i="2"/>
  <c r="CV155" i="2"/>
  <c r="CU155" i="2"/>
  <c r="CK155" i="2"/>
  <c r="CJ155" i="2"/>
  <c r="CI155" i="2"/>
  <c r="CH155" i="2"/>
  <c r="CG155" i="2"/>
  <c r="CF155" i="2"/>
  <c r="CE155" i="2"/>
  <c r="BH155" i="2"/>
  <c r="BG155" i="2"/>
  <c r="AY155" i="2"/>
  <c r="AX155" i="2"/>
  <c r="AV155" i="2"/>
  <c r="AU155" i="2"/>
  <c r="AT155" i="2"/>
  <c r="AS155" i="2"/>
  <c r="AR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X155" i="2"/>
  <c r="W155" i="2"/>
  <c r="V155" i="2"/>
  <c r="U155" i="2"/>
  <c r="T155" i="2"/>
  <c r="S155" i="2"/>
  <c r="R155" i="2"/>
  <c r="Q155" i="2"/>
  <c r="P155" i="2"/>
  <c r="M155" i="2"/>
  <c r="L155" i="2"/>
  <c r="K155" i="2"/>
  <c r="I155" i="2"/>
  <c r="H155" i="2"/>
  <c r="G155" i="2"/>
  <c r="F155" i="2"/>
  <c r="E155" i="2"/>
  <c r="D155" i="2"/>
  <c r="C155" i="2"/>
  <c r="A155" i="2"/>
  <c r="IW154" i="2"/>
  <c r="IV154" i="2"/>
  <c r="IU154" i="2"/>
  <c r="IT154" i="2"/>
  <c r="IS154" i="2"/>
  <c r="IR154" i="2"/>
  <c r="IH154" i="2"/>
  <c r="IG154" i="2"/>
  <c r="IF154" i="2"/>
  <c r="IE154" i="2"/>
  <c r="ID154" i="2"/>
  <c r="IC154" i="2"/>
  <c r="HS154" i="2"/>
  <c r="HR154" i="2"/>
  <c r="HQ154" i="2"/>
  <c r="HP154" i="2"/>
  <c r="HO154" i="2"/>
  <c r="HN154" i="2"/>
  <c r="HC154" i="2"/>
  <c r="HB154" i="2"/>
  <c r="HA154" i="2"/>
  <c r="GZ154" i="2"/>
  <c r="GY154" i="2"/>
  <c r="GX154" i="2"/>
  <c r="GN154" i="2"/>
  <c r="GM154" i="2"/>
  <c r="GL154" i="2"/>
  <c r="GK154" i="2"/>
  <c r="GJ154" i="2"/>
  <c r="GI154" i="2"/>
  <c r="FY154" i="2"/>
  <c r="FX154" i="2"/>
  <c r="FW154" i="2"/>
  <c r="FV154" i="2"/>
  <c r="FU154" i="2"/>
  <c r="FT154" i="2"/>
  <c r="FI154" i="2"/>
  <c r="FH154" i="2"/>
  <c r="FG154" i="2"/>
  <c r="FF154" i="2"/>
  <c r="FE154" i="2"/>
  <c r="FD154" i="2"/>
  <c r="ET154" i="2"/>
  <c r="ES154" i="2"/>
  <c r="ER154" i="2"/>
  <c r="EQ154" i="2"/>
  <c r="EP154" i="2"/>
  <c r="EO154" i="2"/>
  <c r="EE154" i="2"/>
  <c r="ED154" i="2"/>
  <c r="EC154" i="2"/>
  <c r="EB154" i="2"/>
  <c r="EA154" i="2"/>
  <c r="DZ154" i="2"/>
  <c r="DO154" i="2"/>
  <c r="DN154" i="2"/>
  <c r="DM154" i="2"/>
  <c r="DL154" i="2"/>
  <c r="DK154" i="2"/>
  <c r="DJ154" i="2"/>
  <c r="CZ154" i="2"/>
  <c r="CY154" i="2"/>
  <c r="CX154" i="2"/>
  <c r="CW154" i="2"/>
  <c r="CV154" i="2"/>
  <c r="CU154" i="2"/>
  <c r="CK154" i="2"/>
  <c r="CJ154" i="2"/>
  <c r="CI154" i="2"/>
  <c r="CH154" i="2"/>
  <c r="CG154" i="2"/>
  <c r="CF154" i="2"/>
  <c r="CE154" i="2"/>
  <c r="BH154" i="2"/>
  <c r="BG154" i="2"/>
  <c r="AY154" i="2"/>
  <c r="AX154" i="2"/>
  <c r="AV154" i="2"/>
  <c r="AU154" i="2"/>
  <c r="AT154" i="2"/>
  <c r="AS154" i="2"/>
  <c r="AR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M154" i="2"/>
  <c r="L154" i="2"/>
  <c r="K154" i="2"/>
  <c r="I154" i="2"/>
  <c r="H154" i="2"/>
  <c r="G154" i="2"/>
  <c r="F154" i="2"/>
  <c r="E154" i="2"/>
  <c r="D154" i="2"/>
  <c r="C154" i="2"/>
  <c r="A154" i="2"/>
  <c r="IW153" i="2"/>
  <c r="IV153" i="2"/>
  <c r="IU153" i="2"/>
  <c r="IT153" i="2"/>
  <c r="IS153" i="2"/>
  <c r="IR153" i="2"/>
  <c r="IH153" i="2"/>
  <c r="IG153" i="2"/>
  <c r="IF153" i="2"/>
  <c r="IE153" i="2"/>
  <c r="ID153" i="2"/>
  <c r="IC153" i="2"/>
  <c r="HS153" i="2"/>
  <c r="HR153" i="2"/>
  <c r="HQ153" i="2"/>
  <c r="HP153" i="2"/>
  <c r="HO153" i="2"/>
  <c r="HN153" i="2"/>
  <c r="HC153" i="2"/>
  <c r="HB153" i="2"/>
  <c r="HA153" i="2"/>
  <c r="GZ153" i="2"/>
  <c r="GY153" i="2"/>
  <c r="GX153" i="2"/>
  <c r="GN153" i="2"/>
  <c r="GM153" i="2"/>
  <c r="GL153" i="2"/>
  <c r="GK153" i="2"/>
  <c r="GJ153" i="2"/>
  <c r="GI153" i="2"/>
  <c r="FY153" i="2"/>
  <c r="FX153" i="2"/>
  <c r="FW153" i="2"/>
  <c r="FV153" i="2"/>
  <c r="FU153" i="2"/>
  <c r="FT153" i="2"/>
  <c r="FI153" i="2"/>
  <c r="FH153" i="2"/>
  <c r="FG153" i="2"/>
  <c r="FF153" i="2"/>
  <c r="FE153" i="2"/>
  <c r="FD153" i="2"/>
  <c r="ET153" i="2"/>
  <c r="ES153" i="2"/>
  <c r="ER153" i="2"/>
  <c r="EQ153" i="2"/>
  <c r="EP153" i="2"/>
  <c r="EO153" i="2"/>
  <c r="EE153" i="2"/>
  <c r="ED153" i="2"/>
  <c r="EC153" i="2"/>
  <c r="EB153" i="2"/>
  <c r="EA153" i="2"/>
  <c r="DZ153" i="2"/>
  <c r="DO153" i="2"/>
  <c r="DN153" i="2"/>
  <c r="DM153" i="2"/>
  <c r="DL153" i="2"/>
  <c r="DK153" i="2"/>
  <c r="DJ153" i="2"/>
  <c r="CZ153" i="2"/>
  <c r="CY153" i="2"/>
  <c r="CX153" i="2"/>
  <c r="CW153" i="2"/>
  <c r="CV153" i="2"/>
  <c r="CU153" i="2"/>
  <c r="CK153" i="2"/>
  <c r="CJ153" i="2"/>
  <c r="CI153" i="2"/>
  <c r="CH153" i="2"/>
  <c r="CG153" i="2"/>
  <c r="CF153" i="2"/>
  <c r="CE153" i="2"/>
  <c r="BH153" i="2"/>
  <c r="BG153" i="2"/>
  <c r="AY153" i="2"/>
  <c r="AX153" i="2"/>
  <c r="AV153" i="2"/>
  <c r="AU153" i="2"/>
  <c r="AT153" i="2"/>
  <c r="AS153" i="2"/>
  <c r="AR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X153" i="2"/>
  <c r="W153" i="2"/>
  <c r="V153" i="2"/>
  <c r="U153" i="2"/>
  <c r="T153" i="2"/>
  <c r="S153" i="2"/>
  <c r="R153" i="2"/>
  <c r="Q153" i="2"/>
  <c r="P153" i="2"/>
  <c r="M153" i="2"/>
  <c r="L153" i="2"/>
  <c r="K153" i="2"/>
  <c r="I153" i="2"/>
  <c r="H153" i="2"/>
  <c r="G153" i="2"/>
  <c r="F153" i="2"/>
  <c r="E153" i="2"/>
  <c r="D153" i="2"/>
  <c r="C153" i="2"/>
  <c r="A153" i="2"/>
  <c r="IW152" i="2"/>
  <c r="IV152" i="2"/>
  <c r="IU152" i="2"/>
  <c r="IT152" i="2"/>
  <c r="IS152" i="2"/>
  <c r="IR152" i="2"/>
  <c r="IH152" i="2"/>
  <c r="IG152" i="2"/>
  <c r="IF152" i="2"/>
  <c r="IE152" i="2"/>
  <c r="ID152" i="2"/>
  <c r="IC152" i="2"/>
  <c r="HS152" i="2"/>
  <c r="HR152" i="2"/>
  <c r="HQ152" i="2"/>
  <c r="HP152" i="2"/>
  <c r="HO152" i="2"/>
  <c r="HN152" i="2"/>
  <c r="HC152" i="2"/>
  <c r="HB152" i="2"/>
  <c r="HA152" i="2"/>
  <c r="GZ152" i="2"/>
  <c r="GY152" i="2"/>
  <c r="GX152" i="2"/>
  <c r="GN152" i="2"/>
  <c r="GM152" i="2"/>
  <c r="GL152" i="2"/>
  <c r="GK152" i="2"/>
  <c r="GJ152" i="2"/>
  <c r="GI152" i="2"/>
  <c r="FY152" i="2"/>
  <c r="FX152" i="2"/>
  <c r="FW152" i="2"/>
  <c r="FV152" i="2"/>
  <c r="FU152" i="2"/>
  <c r="FT152" i="2"/>
  <c r="FI152" i="2"/>
  <c r="FH152" i="2"/>
  <c r="FG152" i="2"/>
  <c r="FF152" i="2"/>
  <c r="FE152" i="2"/>
  <c r="FD152" i="2"/>
  <c r="ET152" i="2"/>
  <c r="ES152" i="2"/>
  <c r="ER152" i="2"/>
  <c r="EQ152" i="2"/>
  <c r="EP152" i="2"/>
  <c r="EO152" i="2"/>
  <c r="EE152" i="2"/>
  <c r="ED152" i="2"/>
  <c r="EC152" i="2"/>
  <c r="EB152" i="2"/>
  <c r="EA152" i="2"/>
  <c r="DZ152" i="2"/>
  <c r="DO152" i="2"/>
  <c r="DN152" i="2"/>
  <c r="DM152" i="2"/>
  <c r="DL152" i="2"/>
  <c r="DK152" i="2"/>
  <c r="DJ152" i="2"/>
  <c r="CZ152" i="2"/>
  <c r="CY152" i="2"/>
  <c r="CX152" i="2"/>
  <c r="CW152" i="2"/>
  <c r="CV152" i="2"/>
  <c r="CU152" i="2"/>
  <c r="CK152" i="2"/>
  <c r="CJ152" i="2"/>
  <c r="CI152" i="2"/>
  <c r="CH152" i="2"/>
  <c r="CG152" i="2"/>
  <c r="CF152" i="2"/>
  <c r="CE152" i="2"/>
  <c r="BH152" i="2"/>
  <c r="BG152" i="2"/>
  <c r="AY152" i="2"/>
  <c r="AX152" i="2"/>
  <c r="AV152" i="2"/>
  <c r="AU152" i="2"/>
  <c r="AT152" i="2"/>
  <c r="AS152" i="2"/>
  <c r="AR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X152" i="2"/>
  <c r="W152" i="2"/>
  <c r="V152" i="2"/>
  <c r="U152" i="2"/>
  <c r="T152" i="2"/>
  <c r="S152" i="2"/>
  <c r="R152" i="2"/>
  <c r="Q152" i="2"/>
  <c r="P152" i="2"/>
  <c r="M152" i="2"/>
  <c r="L152" i="2"/>
  <c r="K152" i="2"/>
  <c r="I152" i="2"/>
  <c r="H152" i="2"/>
  <c r="G152" i="2"/>
  <c r="F152" i="2"/>
  <c r="E152" i="2"/>
  <c r="D152" i="2"/>
  <c r="C152" i="2"/>
  <c r="A152" i="2"/>
  <c r="IW151" i="2"/>
  <c r="IV151" i="2"/>
  <c r="IU151" i="2"/>
  <c r="IT151" i="2"/>
  <c r="IS151" i="2"/>
  <c r="IR151" i="2"/>
  <c r="IH151" i="2"/>
  <c r="IG151" i="2"/>
  <c r="IF151" i="2"/>
  <c r="IE151" i="2"/>
  <c r="ID151" i="2"/>
  <c r="IC151" i="2"/>
  <c r="HS151" i="2"/>
  <c r="HR151" i="2"/>
  <c r="HQ151" i="2"/>
  <c r="HP151" i="2"/>
  <c r="HO151" i="2"/>
  <c r="HN151" i="2"/>
  <c r="HC151" i="2"/>
  <c r="HB151" i="2"/>
  <c r="HA151" i="2"/>
  <c r="GZ151" i="2"/>
  <c r="GY151" i="2"/>
  <c r="GX151" i="2"/>
  <c r="GN151" i="2"/>
  <c r="GM151" i="2"/>
  <c r="GL151" i="2"/>
  <c r="GK151" i="2"/>
  <c r="GJ151" i="2"/>
  <c r="GI151" i="2"/>
  <c r="FY151" i="2"/>
  <c r="FX151" i="2"/>
  <c r="FW151" i="2"/>
  <c r="FV151" i="2"/>
  <c r="FU151" i="2"/>
  <c r="FT151" i="2"/>
  <c r="FI151" i="2"/>
  <c r="FH151" i="2"/>
  <c r="FG151" i="2"/>
  <c r="FF151" i="2"/>
  <c r="FE151" i="2"/>
  <c r="FD151" i="2"/>
  <c r="ET151" i="2"/>
  <c r="ES151" i="2"/>
  <c r="ER151" i="2"/>
  <c r="EQ151" i="2"/>
  <c r="EP151" i="2"/>
  <c r="EO151" i="2"/>
  <c r="EE151" i="2"/>
  <c r="ED151" i="2"/>
  <c r="EC151" i="2"/>
  <c r="EB151" i="2"/>
  <c r="EA151" i="2"/>
  <c r="DZ151" i="2"/>
  <c r="DO151" i="2"/>
  <c r="DN151" i="2"/>
  <c r="DM151" i="2"/>
  <c r="DL151" i="2"/>
  <c r="DK151" i="2"/>
  <c r="DJ151" i="2"/>
  <c r="CZ151" i="2"/>
  <c r="CY151" i="2"/>
  <c r="CX151" i="2"/>
  <c r="CW151" i="2"/>
  <c r="CV151" i="2"/>
  <c r="CU151" i="2"/>
  <c r="CK151" i="2"/>
  <c r="CJ151" i="2"/>
  <c r="CI151" i="2"/>
  <c r="CH151" i="2"/>
  <c r="CG151" i="2"/>
  <c r="CF151" i="2"/>
  <c r="CE151" i="2"/>
  <c r="BH151" i="2"/>
  <c r="BG151" i="2"/>
  <c r="AY151" i="2"/>
  <c r="AX151" i="2"/>
  <c r="AV151" i="2"/>
  <c r="AU151" i="2"/>
  <c r="AT151" i="2"/>
  <c r="AS151" i="2"/>
  <c r="AR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X151" i="2"/>
  <c r="W151" i="2"/>
  <c r="V151" i="2"/>
  <c r="U151" i="2"/>
  <c r="T151" i="2"/>
  <c r="S151" i="2"/>
  <c r="R151" i="2"/>
  <c r="Q151" i="2"/>
  <c r="P151" i="2"/>
  <c r="M151" i="2"/>
  <c r="L151" i="2"/>
  <c r="K151" i="2"/>
  <c r="I151" i="2"/>
  <c r="H151" i="2"/>
  <c r="G151" i="2"/>
  <c r="F151" i="2"/>
  <c r="E151" i="2"/>
  <c r="D151" i="2"/>
  <c r="C151" i="2"/>
  <c r="A151" i="2"/>
  <c r="IW150" i="2"/>
  <c r="IV150" i="2"/>
  <c r="IU150" i="2"/>
  <c r="IT150" i="2"/>
  <c r="IS150" i="2"/>
  <c r="IR150" i="2"/>
  <c r="IH150" i="2"/>
  <c r="IG150" i="2"/>
  <c r="IF150" i="2"/>
  <c r="IE150" i="2"/>
  <c r="ID150" i="2"/>
  <c r="IC150" i="2"/>
  <c r="HS150" i="2"/>
  <c r="HR150" i="2"/>
  <c r="HQ150" i="2"/>
  <c r="HP150" i="2"/>
  <c r="HO150" i="2"/>
  <c r="HN150" i="2"/>
  <c r="HC150" i="2"/>
  <c r="HB150" i="2"/>
  <c r="HA150" i="2"/>
  <c r="GZ150" i="2"/>
  <c r="GY150" i="2"/>
  <c r="GX150" i="2"/>
  <c r="GN150" i="2"/>
  <c r="GM150" i="2"/>
  <c r="GL150" i="2"/>
  <c r="GK150" i="2"/>
  <c r="GJ150" i="2"/>
  <c r="GI150" i="2"/>
  <c r="FY150" i="2"/>
  <c r="FX150" i="2"/>
  <c r="FW150" i="2"/>
  <c r="FV150" i="2"/>
  <c r="FU150" i="2"/>
  <c r="FT150" i="2"/>
  <c r="FI150" i="2"/>
  <c r="FH150" i="2"/>
  <c r="FG150" i="2"/>
  <c r="FF150" i="2"/>
  <c r="FE150" i="2"/>
  <c r="FD150" i="2"/>
  <c r="ET150" i="2"/>
  <c r="ES150" i="2"/>
  <c r="ER150" i="2"/>
  <c r="EQ150" i="2"/>
  <c r="EP150" i="2"/>
  <c r="EO150" i="2"/>
  <c r="EE150" i="2"/>
  <c r="ED150" i="2"/>
  <c r="EC150" i="2"/>
  <c r="EB150" i="2"/>
  <c r="EA150" i="2"/>
  <c r="DZ150" i="2"/>
  <c r="DO150" i="2"/>
  <c r="DN150" i="2"/>
  <c r="DM150" i="2"/>
  <c r="DL150" i="2"/>
  <c r="DK150" i="2"/>
  <c r="DJ150" i="2"/>
  <c r="CZ150" i="2"/>
  <c r="CY150" i="2"/>
  <c r="CX150" i="2"/>
  <c r="CW150" i="2"/>
  <c r="CV150" i="2"/>
  <c r="CU150" i="2"/>
  <c r="CK150" i="2"/>
  <c r="CJ150" i="2"/>
  <c r="CI150" i="2"/>
  <c r="CH150" i="2"/>
  <c r="CG150" i="2"/>
  <c r="CF150" i="2"/>
  <c r="CE150" i="2"/>
  <c r="BH150" i="2"/>
  <c r="BG150" i="2"/>
  <c r="AY150" i="2"/>
  <c r="AX150" i="2"/>
  <c r="AV150" i="2"/>
  <c r="AU150" i="2"/>
  <c r="AT150" i="2"/>
  <c r="AS150" i="2"/>
  <c r="AR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X150" i="2"/>
  <c r="W150" i="2"/>
  <c r="V150" i="2"/>
  <c r="U150" i="2"/>
  <c r="T150" i="2"/>
  <c r="S150" i="2"/>
  <c r="R150" i="2"/>
  <c r="Q150" i="2"/>
  <c r="P150" i="2"/>
  <c r="M150" i="2"/>
  <c r="L150" i="2"/>
  <c r="K150" i="2"/>
  <c r="I150" i="2"/>
  <c r="H150" i="2"/>
  <c r="G150" i="2"/>
  <c r="F150" i="2"/>
  <c r="E150" i="2"/>
  <c r="D150" i="2"/>
  <c r="C150" i="2"/>
  <c r="A150" i="2"/>
  <c r="IW149" i="2"/>
  <c r="IV149" i="2"/>
  <c r="IU149" i="2"/>
  <c r="IT149" i="2"/>
  <c r="IS149" i="2"/>
  <c r="IR149" i="2"/>
  <c r="IH149" i="2"/>
  <c r="IG149" i="2"/>
  <c r="IF149" i="2"/>
  <c r="IE149" i="2"/>
  <c r="ID149" i="2"/>
  <c r="IC149" i="2"/>
  <c r="HS149" i="2"/>
  <c r="HR149" i="2"/>
  <c r="HQ149" i="2"/>
  <c r="HP149" i="2"/>
  <c r="HO149" i="2"/>
  <c r="HN149" i="2"/>
  <c r="HC149" i="2"/>
  <c r="HB149" i="2"/>
  <c r="HA149" i="2"/>
  <c r="GZ149" i="2"/>
  <c r="GY149" i="2"/>
  <c r="GX149" i="2"/>
  <c r="GN149" i="2"/>
  <c r="GM149" i="2"/>
  <c r="GL149" i="2"/>
  <c r="GK149" i="2"/>
  <c r="GJ149" i="2"/>
  <c r="GI149" i="2"/>
  <c r="FY149" i="2"/>
  <c r="FX149" i="2"/>
  <c r="FW149" i="2"/>
  <c r="FV149" i="2"/>
  <c r="FU149" i="2"/>
  <c r="FT149" i="2"/>
  <c r="FI149" i="2"/>
  <c r="FH149" i="2"/>
  <c r="FG149" i="2"/>
  <c r="FF149" i="2"/>
  <c r="FE149" i="2"/>
  <c r="FD149" i="2"/>
  <c r="ET149" i="2"/>
  <c r="ES149" i="2"/>
  <c r="ER149" i="2"/>
  <c r="EQ149" i="2"/>
  <c r="EP149" i="2"/>
  <c r="EO149" i="2"/>
  <c r="EE149" i="2"/>
  <c r="ED149" i="2"/>
  <c r="EC149" i="2"/>
  <c r="EB149" i="2"/>
  <c r="EA149" i="2"/>
  <c r="DZ149" i="2"/>
  <c r="DO149" i="2"/>
  <c r="DN149" i="2"/>
  <c r="DM149" i="2"/>
  <c r="DL149" i="2"/>
  <c r="DK149" i="2"/>
  <c r="DJ149" i="2"/>
  <c r="CZ149" i="2"/>
  <c r="CY149" i="2"/>
  <c r="CX149" i="2"/>
  <c r="CW149" i="2"/>
  <c r="CV149" i="2"/>
  <c r="CU149" i="2"/>
  <c r="CK149" i="2"/>
  <c r="CJ149" i="2"/>
  <c r="CI149" i="2"/>
  <c r="CH149" i="2"/>
  <c r="CG149" i="2"/>
  <c r="CF149" i="2"/>
  <c r="CE149" i="2"/>
  <c r="BH149" i="2"/>
  <c r="BG149" i="2"/>
  <c r="AY149" i="2"/>
  <c r="AX149" i="2"/>
  <c r="AV149" i="2"/>
  <c r="AU149" i="2"/>
  <c r="AT149" i="2"/>
  <c r="AS149" i="2"/>
  <c r="AR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X149" i="2"/>
  <c r="W149" i="2"/>
  <c r="V149" i="2"/>
  <c r="U149" i="2"/>
  <c r="T149" i="2"/>
  <c r="S149" i="2"/>
  <c r="R149" i="2"/>
  <c r="Q149" i="2"/>
  <c r="P149" i="2"/>
  <c r="M149" i="2"/>
  <c r="L149" i="2"/>
  <c r="K149" i="2"/>
  <c r="I149" i="2"/>
  <c r="H149" i="2"/>
  <c r="G149" i="2"/>
  <c r="F149" i="2"/>
  <c r="E149" i="2"/>
  <c r="D149" i="2"/>
  <c r="C149" i="2"/>
  <c r="A149" i="2"/>
  <c r="IW148" i="2"/>
  <c r="IV148" i="2"/>
  <c r="IU148" i="2"/>
  <c r="IT148" i="2"/>
  <c r="IS148" i="2"/>
  <c r="IR148" i="2"/>
  <c r="IH148" i="2"/>
  <c r="IG148" i="2"/>
  <c r="IF148" i="2"/>
  <c r="IE148" i="2"/>
  <c r="ID148" i="2"/>
  <c r="IC148" i="2"/>
  <c r="HS148" i="2"/>
  <c r="HR148" i="2"/>
  <c r="HQ148" i="2"/>
  <c r="HP148" i="2"/>
  <c r="HO148" i="2"/>
  <c r="HN148" i="2"/>
  <c r="HC148" i="2"/>
  <c r="HB148" i="2"/>
  <c r="HA148" i="2"/>
  <c r="GZ148" i="2"/>
  <c r="GY148" i="2"/>
  <c r="GX148" i="2"/>
  <c r="GN148" i="2"/>
  <c r="GM148" i="2"/>
  <c r="GL148" i="2"/>
  <c r="GK148" i="2"/>
  <c r="GJ148" i="2"/>
  <c r="GI148" i="2"/>
  <c r="FY148" i="2"/>
  <c r="FX148" i="2"/>
  <c r="FW148" i="2"/>
  <c r="FV148" i="2"/>
  <c r="FU148" i="2"/>
  <c r="FT148" i="2"/>
  <c r="FI148" i="2"/>
  <c r="FH148" i="2"/>
  <c r="FG148" i="2"/>
  <c r="FF148" i="2"/>
  <c r="FE148" i="2"/>
  <c r="FD148" i="2"/>
  <c r="ET148" i="2"/>
  <c r="ES148" i="2"/>
  <c r="ER148" i="2"/>
  <c r="EQ148" i="2"/>
  <c r="EP148" i="2"/>
  <c r="EO148" i="2"/>
  <c r="EE148" i="2"/>
  <c r="ED148" i="2"/>
  <c r="EC148" i="2"/>
  <c r="EB148" i="2"/>
  <c r="EA148" i="2"/>
  <c r="DZ148" i="2"/>
  <c r="DO148" i="2"/>
  <c r="DN148" i="2"/>
  <c r="DM148" i="2"/>
  <c r="DL148" i="2"/>
  <c r="DK148" i="2"/>
  <c r="DJ148" i="2"/>
  <c r="CZ148" i="2"/>
  <c r="CY148" i="2"/>
  <c r="CX148" i="2"/>
  <c r="CW148" i="2"/>
  <c r="CV148" i="2"/>
  <c r="CU148" i="2"/>
  <c r="CK148" i="2"/>
  <c r="CJ148" i="2"/>
  <c r="CI148" i="2"/>
  <c r="CH148" i="2"/>
  <c r="CG148" i="2"/>
  <c r="CF148" i="2"/>
  <c r="CE148" i="2"/>
  <c r="BH148" i="2"/>
  <c r="BG148" i="2"/>
  <c r="AY148" i="2"/>
  <c r="AX148" i="2"/>
  <c r="AV148" i="2"/>
  <c r="AU148" i="2"/>
  <c r="AT148" i="2"/>
  <c r="AS148" i="2"/>
  <c r="AR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X148" i="2"/>
  <c r="W148" i="2"/>
  <c r="V148" i="2"/>
  <c r="U148" i="2"/>
  <c r="T148" i="2"/>
  <c r="S148" i="2"/>
  <c r="R148" i="2"/>
  <c r="Q148" i="2"/>
  <c r="P148" i="2"/>
  <c r="M148" i="2"/>
  <c r="L148" i="2"/>
  <c r="K148" i="2"/>
  <c r="I148" i="2"/>
  <c r="H148" i="2"/>
  <c r="G148" i="2"/>
  <c r="F148" i="2"/>
  <c r="E148" i="2"/>
  <c r="D148" i="2"/>
  <c r="C148" i="2"/>
  <c r="A148" i="2"/>
  <c r="IW147" i="2"/>
  <c r="IV147" i="2"/>
  <c r="IU147" i="2"/>
  <c r="IT147" i="2"/>
  <c r="IS147" i="2"/>
  <c r="IR147" i="2"/>
  <c r="IH147" i="2"/>
  <c r="IG147" i="2"/>
  <c r="IF147" i="2"/>
  <c r="IE147" i="2"/>
  <c r="ID147" i="2"/>
  <c r="IC147" i="2"/>
  <c r="HS147" i="2"/>
  <c r="HR147" i="2"/>
  <c r="HQ147" i="2"/>
  <c r="HP147" i="2"/>
  <c r="HO147" i="2"/>
  <c r="HN147" i="2"/>
  <c r="HC147" i="2"/>
  <c r="HB147" i="2"/>
  <c r="HA147" i="2"/>
  <c r="GZ147" i="2"/>
  <c r="GY147" i="2"/>
  <c r="GX147" i="2"/>
  <c r="GN147" i="2"/>
  <c r="GM147" i="2"/>
  <c r="GL147" i="2"/>
  <c r="GK147" i="2"/>
  <c r="GJ147" i="2"/>
  <c r="GI147" i="2"/>
  <c r="FY147" i="2"/>
  <c r="FX147" i="2"/>
  <c r="FW147" i="2"/>
  <c r="FV147" i="2"/>
  <c r="FU147" i="2"/>
  <c r="FT147" i="2"/>
  <c r="FI147" i="2"/>
  <c r="FH147" i="2"/>
  <c r="FG147" i="2"/>
  <c r="FF147" i="2"/>
  <c r="FE147" i="2"/>
  <c r="FD147" i="2"/>
  <c r="ET147" i="2"/>
  <c r="ES147" i="2"/>
  <c r="ER147" i="2"/>
  <c r="EQ147" i="2"/>
  <c r="EP147" i="2"/>
  <c r="EO147" i="2"/>
  <c r="EE147" i="2"/>
  <c r="ED147" i="2"/>
  <c r="EC147" i="2"/>
  <c r="EB147" i="2"/>
  <c r="EA147" i="2"/>
  <c r="DZ147" i="2"/>
  <c r="DO147" i="2"/>
  <c r="DN147" i="2"/>
  <c r="DM147" i="2"/>
  <c r="DL147" i="2"/>
  <c r="DK147" i="2"/>
  <c r="DJ147" i="2"/>
  <c r="CZ147" i="2"/>
  <c r="CY147" i="2"/>
  <c r="CX147" i="2"/>
  <c r="CW147" i="2"/>
  <c r="CV147" i="2"/>
  <c r="CU147" i="2"/>
  <c r="CK147" i="2"/>
  <c r="CJ147" i="2"/>
  <c r="CI147" i="2"/>
  <c r="CH147" i="2"/>
  <c r="CG147" i="2"/>
  <c r="CF147" i="2"/>
  <c r="CE147" i="2"/>
  <c r="BH147" i="2"/>
  <c r="BG147" i="2"/>
  <c r="AY147" i="2"/>
  <c r="AX147" i="2"/>
  <c r="AV147" i="2"/>
  <c r="AU147" i="2"/>
  <c r="AT147" i="2"/>
  <c r="AS147" i="2"/>
  <c r="AR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X147" i="2"/>
  <c r="W147" i="2"/>
  <c r="V147" i="2"/>
  <c r="U147" i="2"/>
  <c r="T147" i="2"/>
  <c r="S147" i="2"/>
  <c r="R147" i="2"/>
  <c r="Q147" i="2"/>
  <c r="P147" i="2"/>
  <c r="M147" i="2"/>
  <c r="L147" i="2"/>
  <c r="K147" i="2"/>
  <c r="I147" i="2"/>
  <c r="H147" i="2"/>
  <c r="G147" i="2"/>
  <c r="F147" i="2"/>
  <c r="E147" i="2"/>
  <c r="D147" i="2"/>
  <c r="C147" i="2"/>
  <c r="A147" i="2"/>
  <c r="IW146" i="2"/>
  <c r="IV146" i="2"/>
  <c r="IU146" i="2"/>
  <c r="IT146" i="2"/>
  <c r="IS146" i="2"/>
  <c r="IR146" i="2"/>
  <c r="IH146" i="2"/>
  <c r="IG146" i="2"/>
  <c r="IF146" i="2"/>
  <c r="IE146" i="2"/>
  <c r="ID146" i="2"/>
  <c r="IC146" i="2"/>
  <c r="HS146" i="2"/>
  <c r="HR146" i="2"/>
  <c r="HQ146" i="2"/>
  <c r="HP146" i="2"/>
  <c r="HO146" i="2"/>
  <c r="HN146" i="2"/>
  <c r="HC146" i="2"/>
  <c r="HB146" i="2"/>
  <c r="HA146" i="2"/>
  <c r="GZ146" i="2"/>
  <c r="GY146" i="2"/>
  <c r="GX146" i="2"/>
  <c r="GN146" i="2"/>
  <c r="GM146" i="2"/>
  <c r="GL146" i="2"/>
  <c r="GK146" i="2"/>
  <c r="GJ146" i="2"/>
  <c r="GI146" i="2"/>
  <c r="FY146" i="2"/>
  <c r="FX146" i="2"/>
  <c r="FW146" i="2"/>
  <c r="FV146" i="2"/>
  <c r="FU146" i="2"/>
  <c r="FT146" i="2"/>
  <c r="FI146" i="2"/>
  <c r="FH146" i="2"/>
  <c r="FG146" i="2"/>
  <c r="FF146" i="2"/>
  <c r="FE146" i="2"/>
  <c r="FD146" i="2"/>
  <c r="ET146" i="2"/>
  <c r="ES146" i="2"/>
  <c r="ER146" i="2"/>
  <c r="EQ146" i="2"/>
  <c r="EP146" i="2"/>
  <c r="EO146" i="2"/>
  <c r="EE146" i="2"/>
  <c r="ED146" i="2"/>
  <c r="EC146" i="2"/>
  <c r="EB146" i="2"/>
  <c r="EA146" i="2"/>
  <c r="DZ146" i="2"/>
  <c r="DO146" i="2"/>
  <c r="DN146" i="2"/>
  <c r="DM146" i="2"/>
  <c r="DL146" i="2"/>
  <c r="DK146" i="2"/>
  <c r="DJ146" i="2"/>
  <c r="CZ146" i="2"/>
  <c r="CY146" i="2"/>
  <c r="CX146" i="2"/>
  <c r="CW146" i="2"/>
  <c r="CV146" i="2"/>
  <c r="CU146" i="2"/>
  <c r="CK146" i="2"/>
  <c r="CJ146" i="2"/>
  <c r="CI146" i="2"/>
  <c r="CH146" i="2"/>
  <c r="CG146" i="2"/>
  <c r="CF146" i="2"/>
  <c r="CE146" i="2"/>
  <c r="BH146" i="2"/>
  <c r="BG146" i="2"/>
  <c r="AY146" i="2"/>
  <c r="AX146" i="2"/>
  <c r="AV146" i="2"/>
  <c r="AU146" i="2"/>
  <c r="AT146" i="2"/>
  <c r="AS146" i="2"/>
  <c r="AR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X146" i="2"/>
  <c r="W146" i="2"/>
  <c r="V146" i="2"/>
  <c r="U146" i="2"/>
  <c r="T146" i="2"/>
  <c r="S146" i="2"/>
  <c r="R146" i="2"/>
  <c r="Q146" i="2"/>
  <c r="P146" i="2"/>
  <c r="M146" i="2"/>
  <c r="L146" i="2"/>
  <c r="K146" i="2"/>
  <c r="I146" i="2"/>
  <c r="H146" i="2"/>
  <c r="G146" i="2"/>
  <c r="F146" i="2"/>
  <c r="E146" i="2"/>
  <c r="D146" i="2"/>
  <c r="C146" i="2"/>
  <c r="A146" i="2"/>
  <c r="IW145" i="2"/>
  <c r="IV145" i="2"/>
  <c r="IU145" i="2"/>
  <c r="IT145" i="2"/>
  <c r="IS145" i="2"/>
  <c r="IR145" i="2"/>
  <c r="IH145" i="2"/>
  <c r="IG145" i="2"/>
  <c r="IF145" i="2"/>
  <c r="IE145" i="2"/>
  <c r="ID145" i="2"/>
  <c r="IC145" i="2"/>
  <c r="HS145" i="2"/>
  <c r="HR145" i="2"/>
  <c r="HQ145" i="2"/>
  <c r="HP145" i="2"/>
  <c r="HO145" i="2"/>
  <c r="HN145" i="2"/>
  <c r="HC145" i="2"/>
  <c r="HB145" i="2"/>
  <c r="HA145" i="2"/>
  <c r="GZ145" i="2"/>
  <c r="GY145" i="2"/>
  <c r="GX145" i="2"/>
  <c r="GN145" i="2"/>
  <c r="GM145" i="2"/>
  <c r="GL145" i="2"/>
  <c r="GK145" i="2"/>
  <c r="GJ145" i="2"/>
  <c r="GI145" i="2"/>
  <c r="FY145" i="2"/>
  <c r="FX145" i="2"/>
  <c r="FW145" i="2"/>
  <c r="FV145" i="2"/>
  <c r="FU145" i="2"/>
  <c r="FT145" i="2"/>
  <c r="FI145" i="2"/>
  <c r="FH145" i="2"/>
  <c r="FG145" i="2"/>
  <c r="FF145" i="2"/>
  <c r="FE145" i="2"/>
  <c r="FD145" i="2"/>
  <c r="ET145" i="2"/>
  <c r="ES145" i="2"/>
  <c r="ER145" i="2"/>
  <c r="EQ145" i="2"/>
  <c r="EP145" i="2"/>
  <c r="EO145" i="2"/>
  <c r="EE145" i="2"/>
  <c r="ED145" i="2"/>
  <c r="EC145" i="2"/>
  <c r="EB145" i="2"/>
  <c r="EA145" i="2"/>
  <c r="DZ145" i="2"/>
  <c r="DO145" i="2"/>
  <c r="DN145" i="2"/>
  <c r="DM145" i="2"/>
  <c r="DL145" i="2"/>
  <c r="DK145" i="2"/>
  <c r="DJ145" i="2"/>
  <c r="CZ145" i="2"/>
  <c r="CY145" i="2"/>
  <c r="CX145" i="2"/>
  <c r="CW145" i="2"/>
  <c r="CV145" i="2"/>
  <c r="CU145" i="2"/>
  <c r="CK145" i="2"/>
  <c r="CJ145" i="2"/>
  <c r="CI145" i="2"/>
  <c r="CH145" i="2"/>
  <c r="CG145" i="2"/>
  <c r="CF145" i="2"/>
  <c r="CE145" i="2"/>
  <c r="BH145" i="2"/>
  <c r="BG145" i="2"/>
  <c r="AY145" i="2"/>
  <c r="AX145" i="2"/>
  <c r="AV145" i="2"/>
  <c r="AU145" i="2"/>
  <c r="AT145" i="2"/>
  <c r="AS145" i="2"/>
  <c r="AR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X145" i="2"/>
  <c r="W145" i="2"/>
  <c r="V145" i="2"/>
  <c r="U145" i="2"/>
  <c r="T145" i="2"/>
  <c r="S145" i="2"/>
  <c r="R145" i="2"/>
  <c r="Q145" i="2"/>
  <c r="P145" i="2"/>
  <c r="M145" i="2"/>
  <c r="L145" i="2"/>
  <c r="K145" i="2"/>
  <c r="I145" i="2"/>
  <c r="H145" i="2"/>
  <c r="G145" i="2"/>
  <c r="F145" i="2"/>
  <c r="E145" i="2"/>
  <c r="D145" i="2"/>
  <c r="C145" i="2"/>
  <c r="A145" i="2"/>
  <c r="IW144" i="2"/>
  <c r="IV144" i="2"/>
  <c r="IU144" i="2"/>
  <c r="IT144" i="2"/>
  <c r="IS144" i="2"/>
  <c r="IR144" i="2"/>
  <c r="IH144" i="2"/>
  <c r="IG144" i="2"/>
  <c r="IF144" i="2"/>
  <c r="IE144" i="2"/>
  <c r="ID144" i="2"/>
  <c r="IC144" i="2"/>
  <c r="HS144" i="2"/>
  <c r="HR144" i="2"/>
  <c r="HQ144" i="2"/>
  <c r="HP144" i="2"/>
  <c r="HO144" i="2"/>
  <c r="HN144" i="2"/>
  <c r="HC144" i="2"/>
  <c r="HB144" i="2"/>
  <c r="HA144" i="2"/>
  <c r="GZ144" i="2"/>
  <c r="GY144" i="2"/>
  <c r="GX144" i="2"/>
  <c r="GN144" i="2"/>
  <c r="GM144" i="2"/>
  <c r="GL144" i="2"/>
  <c r="GK144" i="2"/>
  <c r="GJ144" i="2"/>
  <c r="GI144" i="2"/>
  <c r="FY144" i="2"/>
  <c r="FX144" i="2"/>
  <c r="FW144" i="2"/>
  <c r="FV144" i="2"/>
  <c r="FU144" i="2"/>
  <c r="FT144" i="2"/>
  <c r="FI144" i="2"/>
  <c r="FH144" i="2"/>
  <c r="FG144" i="2"/>
  <c r="FF144" i="2"/>
  <c r="FE144" i="2"/>
  <c r="FD144" i="2"/>
  <c r="ET144" i="2"/>
  <c r="ES144" i="2"/>
  <c r="ER144" i="2"/>
  <c r="EQ144" i="2"/>
  <c r="EP144" i="2"/>
  <c r="EO144" i="2"/>
  <c r="EE144" i="2"/>
  <c r="ED144" i="2"/>
  <c r="EC144" i="2"/>
  <c r="EB144" i="2"/>
  <c r="EA144" i="2"/>
  <c r="DZ144" i="2"/>
  <c r="DO144" i="2"/>
  <c r="DN144" i="2"/>
  <c r="DM144" i="2"/>
  <c r="DL144" i="2"/>
  <c r="DK144" i="2"/>
  <c r="DJ144" i="2"/>
  <c r="CZ144" i="2"/>
  <c r="CY144" i="2"/>
  <c r="CX144" i="2"/>
  <c r="CW144" i="2"/>
  <c r="CV144" i="2"/>
  <c r="CU144" i="2"/>
  <c r="CK144" i="2"/>
  <c r="CJ144" i="2"/>
  <c r="CI144" i="2"/>
  <c r="CH144" i="2"/>
  <c r="CG144" i="2"/>
  <c r="CF144" i="2"/>
  <c r="CE144" i="2"/>
  <c r="BH144" i="2"/>
  <c r="BG144" i="2"/>
  <c r="AY144" i="2"/>
  <c r="AX144" i="2"/>
  <c r="AV144" i="2"/>
  <c r="AU144" i="2"/>
  <c r="AT144" i="2"/>
  <c r="AS144" i="2"/>
  <c r="AR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X144" i="2"/>
  <c r="W144" i="2"/>
  <c r="V144" i="2"/>
  <c r="U144" i="2"/>
  <c r="T144" i="2"/>
  <c r="S144" i="2"/>
  <c r="R144" i="2"/>
  <c r="Q144" i="2"/>
  <c r="P144" i="2"/>
  <c r="M144" i="2"/>
  <c r="L144" i="2"/>
  <c r="K144" i="2"/>
  <c r="I144" i="2"/>
  <c r="H144" i="2"/>
  <c r="G144" i="2"/>
  <c r="F144" i="2"/>
  <c r="E144" i="2"/>
  <c r="D144" i="2"/>
  <c r="C144" i="2"/>
  <c r="A144" i="2"/>
  <c r="IW143" i="2"/>
  <c r="IV143" i="2"/>
  <c r="IU143" i="2"/>
  <c r="IT143" i="2"/>
  <c r="IS143" i="2"/>
  <c r="IR143" i="2"/>
  <c r="IH143" i="2"/>
  <c r="IG143" i="2"/>
  <c r="IF143" i="2"/>
  <c r="IE143" i="2"/>
  <c r="ID143" i="2"/>
  <c r="IC143" i="2"/>
  <c r="HS143" i="2"/>
  <c r="HR143" i="2"/>
  <c r="HQ143" i="2"/>
  <c r="HP143" i="2"/>
  <c r="HO143" i="2"/>
  <c r="HN143" i="2"/>
  <c r="HC143" i="2"/>
  <c r="HB143" i="2"/>
  <c r="HA143" i="2"/>
  <c r="GZ143" i="2"/>
  <c r="GY143" i="2"/>
  <c r="GX143" i="2"/>
  <c r="GN143" i="2"/>
  <c r="GM143" i="2"/>
  <c r="GL143" i="2"/>
  <c r="GK143" i="2"/>
  <c r="GJ143" i="2"/>
  <c r="GI143" i="2"/>
  <c r="FY143" i="2"/>
  <c r="FX143" i="2"/>
  <c r="FW143" i="2"/>
  <c r="FV143" i="2"/>
  <c r="FU143" i="2"/>
  <c r="FT143" i="2"/>
  <c r="FI143" i="2"/>
  <c r="FH143" i="2"/>
  <c r="FG143" i="2"/>
  <c r="FF143" i="2"/>
  <c r="FE143" i="2"/>
  <c r="FD143" i="2"/>
  <c r="ET143" i="2"/>
  <c r="ES143" i="2"/>
  <c r="ER143" i="2"/>
  <c r="EQ143" i="2"/>
  <c r="EP143" i="2"/>
  <c r="EO143" i="2"/>
  <c r="EE143" i="2"/>
  <c r="ED143" i="2"/>
  <c r="EC143" i="2"/>
  <c r="EB143" i="2"/>
  <c r="EA143" i="2"/>
  <c r="DZ143" i="2"/>
  <c r="DO143" i="2"/>
  <c r="DN143" i="2"/>
  <c r="DM143" i="2"/>
  <c r="DL143" i="2"/>
  <c r="DK143" i="2"/>
  <c r="DJ143" i="2"/>
  <c r="CZ143" i="2"/>
  <c r="CY143" i="2"/>
  <c r="CX143" i="2"/>
  <c r="CW143" i="2"/>
  <c r="CV143" i="2"/>
  <c r="CU143" i="2"/>
  <c r="CK143" i="2"/>
  <c r="CJ143" i="2"/>
  <c r="CI143" i="2"/>
  <c r="CH143" i="2"/>
  <c r="CG143" i="2"/>
  <c r="CF143" i="2"/>
  <c r="CE143" i="2"/>
  <c r="BH143" i="2"/>
  <c r="BG143" i="2"/>
  <c r="AY143" i="2"/>
  <c r="AX143" i="2"/>
  <c r="AV143" i="2"/>
  <c r="AU143" i="2"/>
  <c r="AT143" i="2"/>
  <c r="AS143" i="2"/>
  <c r="AR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X143" i="2"/>
  <c r="W143" i="2"/>
  <c r="V143" i="2"/>
  <c r="U143" i="2"/>
  <c r="T143" i="2"/>
  <c r="S143" i="2"/>
  <c r="R143" i="2"/>
  <c r="Q143" i="2"/>
  <c r="P143" i="2"/>
  <c r="M143" i="2"/>
  <c r="L143" i="2"/>
  <c r="K143" i="2"/>
  <c r="I143" i="2"/>
  <c r="H143" i="2"/>
  <c r="G143" i="2"/>
  <c r="F143" i="2"/>
  <c r="E143" i="2"/>
  <c r="D143" i="2"/>
  <c r="C143" i="2"/>
  <c r="A143" i="2"/>
  <c r="IW142" i="2"/>
  <c r="IV142" i="2"/>
  <c r="IU142" i="2"/>
  <c r="IT142" i="2"/>
  <c r="IS142" i="2"/>
  <c r="IR142" i="2"/>
  <c r="IH142" i="2"/>
  <c r="IG142" i="2"/>
  <c r="IF142" i="2"/>
  <c r="IE142" i="2"/>
  <c r="ID142" i="2"/>
  <c r="IC142" i="2"/>
  <c r="HS142" i="2"/>
  <c r="HR142" i="2"/>
  <c r="HQ142" i="2"/>
  <c r="HP142" i="2"/>
  <c r="HO142" i="2"/>
  <c r="HN142" i="2"/>
  <c r="HC142" i="2"/>
  <c r="HB142" i="2"/>
  <c r="HA142" i="2"/>
  <c r="GZ142" i="2"/>
  <c r="GY142" i="2"/>
  <c r="GX142" i="2"/>
  <c r="GN142" i="2"/>
  <c r="GM142" i="2"/>
  <c r="GL142" i="2"/>
  <c r="GK142" i="2"/>
  <c r="GJ142" i="2"/>
  <c r="GI142" i="2"/>
  <c r="FY142" i="2"/>
  <c r="FX142" i="2"/>
  <c r="FW142" i="2"/>
  <c r="FV142" i="2"/>
  <c r="FU142" i="2"/>
  <c r="FT142" i="2"/>
  <c r="FI142" i="2"/>
  <c r="FH142" i="2"/>
  <c r="FG142" i="2"/>
  <c r="FF142" i="2"/>
  <c r="FE142" i="2"/>
  <c r="FD142" i="2"/>
  <c r="ET142" i="2"/>
  <c r="ES142" i="2"/>
  <c r="ER142" i="2"/>
  <c r="EQ142" i="2"/>
  <c r="EP142" i="2"/>
  <c r="EO142" i="2"/>
  <c r="EE142" i="2"/>
  <c r="ED142" i="2"/>
  <c r="EC142" i="2"/>
  <c r="EB142" i="2"/>
  <c r="EA142" i="2"/>
  <c r="DZ142" i="2"/>
  <c r="DO142" i="2"/>
  <c r="DN142" i="2"/>
  <c r="DM142" i="2"/>
  <c r="DL142" i="2"/>
  <c r="DK142" i="2"/>
  <c r="DJ142" i="2"/>
  <c r="CZ142" i="2"/>
  <c r="CY142" i="2"/>
  <c r="CX142" i="2"/>
  <c r="CW142" i="2"/>
  <c r="CV142" i="2"/>
  <c r="CU142" i="2"/>
  <c r="CK142" i="2"/>
  <c r="CJ142" i="2"/>
  <c r="CI142" i="2"/>
  <c r="CH142" i="2"/>
  <c r="CG142" i="2"/>
  <c r="CF142" i="2"/>
  <c r="CE142" i="2"/>
  <c r="BH142" i="2"/>
  <c r="BG142" i="2"/>
  <c r="AY142" i="2"/>
  <c r="AX142" i="2"/>
  <c r="AV142" i="2"/>
  <c r="AU142" i="2"/>
  <c r="AT142" i="2"/>
  <c r="AS142" i="2"/>
  <c r="AR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X142" i="2"/>
  <c r="W142" i="2"/>
  <c r="V142" i="2"/>
  <c r="U142" i="2"/>
  <c r="T142" i="2"/>
  <c r="S142" i="2"/>
  <c r="R142" i="2"/>
  <c r="Q142" i="2"/>
  <c r="P142" i="2"/>
  <c r="M142" i="2"/>
  <c r="L142" i="2"/>
  <c r="K142" i="2"/>
  <c r="I142" i="2"/>
  <c r="H142" i="2"/>
  <c r="G142" i="2"/>
  <c r="F142" i="2"/>
  <c r="E142" i="2"/>
  <c r="D142" i="2"/>
  <c r="C142" i="2"/>
  <c r="A142" i="2"/>
  <c r="IW141" i="2"/>
  <c r="IV141" i="2"/>
  <c r="IU141" i="2"/>
  <c r="IT141" i="2"/>
  <c r="IS141" i="2"/>
  <c r="IR141" i="2"/>
  <c r="IH141" i="2"/>
  <c r="IG141" i="2"/>
  <c r="IF141" i="2"/>
  <c r="IE141" i="2"/>
  <c r="ID141" i="2"/>
  <c r="IC141" i="2"/>
  <c r="HS141" i="2"/>
  <c r="HR141" i="2"/>
  <c r="HQ141" i="2"/>
  <c r="HP141" i="2"/>
  <c r="HO141" i="2"/>
  <c r="HN141" i="2"/>
  <c r="HC141" i="2"/>
  <c r="HB141" i="2"/>
  <c r="HA141" i="2"/>
  <c r="GZ141" i="2"/>
  <c r="GY141" i="2"/>
  <c r="GX141" i="2"/>
  <c r="GN141" i="2"/>
  <c r="GM141" i="2"/>
  <c r="GL141" i="2"/>
  <c r="GK141" i="2"/>
  <c r="GJ141" i="2"/>
  <c r="GI141" i="2"/>
  <c r="FY141" i="2"/>
  <c r="FX141" i="2"/>
  <c r="FW141" i="2"/>
  <c r="FV141" i="2"/>
  <c r="FU141" i="2"/>
  <c r="FT141" i="2"/>
  <c r="FI141" i="2"/>
  <c r="FH141" i="2"/>
  <c r="FG141" i="2"/>
  <c r="FF141" i="2"/>
  <c r="FE141" i="2"/>
  <c r="FD141" i="2"/>
  <c r="ET141" i="2"/>
  <c r="ES141" i="2"/>
  <c r="ER141" i="2"/>
  <c r="EQ141" i="2"/>
  <c r="EP141" i="2"/>
  <c r="EO141" i="2"/>
  <c r="EE141" i="2"/>
  <c r="ED141" i="2"/>
  <c r="EC141" i="2"/>
  <c r="EB141" i="2"/>
  <c r="EA141" i="2"/>
  <c r="DZ141" i="2"/>
  <c r="DO141" i="2"/>
  <c r="DN141" i="2"/>
  <c r="DM141" i="2"/>
  <c r="DL141" i="2"/>
  <c r="DK141" i="2"/>
  <c r="DJ141" i="2"/>
  <c r="CZ141" i="2"/>
  <c r="CY141" i="2"/>
  <c r="CX141" i="2"/>
  <c r="CW141" i="2"/>
  <c r="CV141" i="2"/>
  <c r="CU141" i="2"/>
  <c r="CK141" i="2"/>
  <c r="CJ141" i="2"/>
  <c r="CI141" i="2"/>
  <c r="CH141" i="2"/>
  <c r="CG141" i="2"/>
  <c r="CF141" i="2"/>
  <c r="CE141" i="2"/>
  <c r="BH141" i="2"/>
  <c r="BG141" i="2"/>
  <c r="AY141" i="2"/>
  <c r="AX141" i="2"/>
  <c r="AV141" i="2"/>
  <c r="AU141" i="2"/>
  <c r="AT141" i="2"/>
  <c r="AS141" i="2"/>
  <c r="AR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X141" i="2"/>
  <c r="W141" i="2"/>
  <c r="V141" i="2"/>
  <c r="U141" i="2"/>
  <c r="T141" i="2"/>
  <c r="S141" i="2"/>
  <c r="R141" i="2"/>
  <c r="Q141" i="2"/>
  <c r="P141" i="2"/>
  <c r="M141" i="2"/>
  <c r="L141" i="2"/>
  <c r="K141" i="2"/>
  <c r="I141" i="2"/>
  <c r="H141" i="2"/>
  <c r="G141" i="2"/>
  <c r="F141" i="2"/>
  <c r="E141" i="2"/>
  <c r="D141" i="2"/>
  <c r="C141" i="2"/>
  <c r="A141" i="2"/>
  <c r="IW140" i="2"/>
  <c r="IV140" i="2"/>
  <c r="IU140" i="2"/>
  <c r="IT140" i="2"/>
  <c r="IS140" i="2"/>
  <c r="IR140" i="2"/>
  <c r="IH140" i="2"/>
  <c r="IG140" i="2"/>
  <c r="IF140" i="2"/>
  <c r="IE140" i="2"/>
  <c r="ID140" i="2"/>
  <c r="IC140" i="2"/>
  <c r="HS140" i="2"/>
  <c r="HR140" i="2"/>
  <c r="HQ140" i="2"/>
  <c r="HP140" i="2"/>
  <c r="HO140" i="2"/>
  <c r="HN140" i="2"/>
  <c r="HC140" i="2"/>
  <c r="HB140" i="2"/>
  <c r="HA140" i="2"/>
  <c r="GZ140" i="2"/>
  <c r="GY140" i="2"/>
  <c r="GX140" i="2"/>
  <c r="GN140" i="2"/>
  <c r="GM140" i="2"/>
  <c r="GL140" i="2"/>
  <c r="GK140" i="2"/>
  <c r="GJ140" i="2"/>
  <c r="GI140" i="2"/>
  <c r="FY140" i="2"/>
  <c r="FX140" i="2"/>
  <c r="FW140" i="2"/>
  <c r="FV140" i="2"/>
  <c r="FU140" i="2"/>
  <c r="FT140" i="2"/>
  <c r="FI140" i="2"/>
  <c r="FH140" i="2"/>
  <c r="FG140" i="2"/>
  <c r="FF140" i="2"/>
  <c r="FE140" i="2"/>
  <c r="FD140" i="2"/>
  <c r="ET140" i="2"/>
  <c r="ES140" i="2"/>
  <c r="ER140" i="2"/>
  <c r="EQ140" i="2"/>
  <c r="EP140" i="2"/>
  <c r="EO140" i="2"/>
  <c r="EE140" i="2"/>
  <c r="ED140" i="2"/>
  <c r="EC140" i="2"/>
  <c r="EB140" i="2"/>
  <c r="EA140" i="2"/>
  <c r="DZ140" i="2"/>
  <c r="DO140" i="2"/>
  <c r="DN140" i="2"/>
  <c r="DM140" i="2"/>
  <c r="DL140" i="2"/>
  <c r="DK140" i="2"/>
  <c r="DJ140" i="2"/>
  <c r="CZ140" i="2"/>
  <c r="CY140" i="2"/>
  <c r="CX140" i="2"/>
  <c r="CW140" i="2"/>
  <c r="CV140" i="2"/>
  <c r="CU140" i="2"/>
  <c r="CK140" i="2"/>
  <c r="CJ140" i="2"/>
  <c r="CI140" i="2"/>
  <c r="CH140" i="2"/>
  <c r="CG140" i="2"/>
  <c r="CF140" i="2"/>
  <c r="CE140" i="2"/>
  <c r="BH140" i="2"/>
  <c r="BG140" i="2"/>
  <c r="AY140" i="2"/>
  <c r="AX140" i="2"/>
  <c r="AV140" i="2"/>
  <c r="AU140" i="2"/>
  <c r="AT140" i="2"/>
  <c r="AS140" i="2"/>
  <c r="AR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X140" i="2"/>
  <c r="W140" i="2"/>
  <c r="V140" i="2"/>
  <c r="U140" i="2"/>
  <c r="T140" i="2"/>
  <c r="S140" i="2"/>
  <c r="R140" i="2"/>
  <c r="Q140" i="2"/>
  <c r="P140" i="2"/>
  <c r="M140" i="2"/>
  <c r="L140" i="2"/>
  <c r="K140" i="2"/>
  <c r="I140" i="2"/>
  <c r="H140" i="2"/>
  <c r="G140" i="2"/>
  <c r="F140" i="2"/>
  <c r="E140" i="2"/>
  <c r="D140" i="2"/>
  <c r="C140" i="2"/>
  <c r="A140" i="2"/>
  <c r="IW139" i="2"/>
  <c r="IV139" i="2"/>
  <c r="IU139" i="2"/>
  <c r="IT139" i="2"/>
  <c r="IS139" i="2"/>
  <c r="IR139" i="2"/>
  <c r="IH139" i="2"/>
  <c r="IG139" i="2"/>
  <c r="IF139" i="2"/>
  <c r="IE139" i="2"/>
  <c r="ID139" i="2"/>
  <c r="IC139" i="2"/>
  <c r="HS139" i="2"/>
  <c r="HR139" i="2"/>
  <c r="HQ139" i="2"/>
  <c r="HP139" i="2"/>
  <c r="HO139" i="2"/>
  <c r="HN139" i="2"/>
  <c r="HC139" i="2"/>
  <c r="HB139" i="2"/>
  <c r="HA139" i="2"/>
  <c r="GZ139" i="2"/>
  <c r="GY139" i="2"/>
  <c r="GX139" i="2"/>
  <c r="GN139" i="2"/>
  <c r="GM139" i="2"/>
  <c r="GL139" i="2"/>
  <c r="GK139" i="2"/>
  <c r="GJ139" i="2"/>
  <c r="GI139" i="2"/>
  <c r="FY139" i="2"/>
  <c r="FX139" i="2"/>
  <c r="FW139" i="2"/>
  <c r="FV139" i="2"/>
  <c r="FU139" i="2"/>
  <c r="FT139" i="2"/>
  <c r="FI139" i="2"/>
  <c r="FH139" i="2"/>
  <c r="FG139" i="2"/>
  <c r="FF139" i="2"/>
  <c r="FE139" i="2"/>
  <c r="FD139" i="2"/>
  <c r="ET139" i="2"/>
  <c r="ES139" i="2"/>
  <c r="ER139" i="2"/>
  <c r="EQ139" i="2"/>
  <c r="EP139" i="2"/>
  <c r="EO139" i="2"/>
  <c r="EE139" i="2"/>
  <c r="ED139" i="2"/>
  <c r="EC139" i="2"/>
  <c r="EB139" i="2"/>
  <c r="EA139" i="2"/>
  <c r="DZ139" i="2"/>
  <c r="DO139" i="2"/>
  <c r="DN139" i="2"/>
  <c r="DM139" i="2"/>
  <c r="DL139" i="2"/>
  <c r="DK139" i="2"/>
  <c r="DJ139" i="2"/>
  <c r="CZ139" i="2"/>
  <c r="CY139" i="2"/>
  <c r="CX139" i="2"/>
  <c r="CW139" i="2"/>
  <c r="CV139" i="2"/>
  <c r="CU139" i="2"/>
  <c r="CK139" i="2"/>
  <c r="CJ139" i="2"/>
  <c r="CI139" i="2"/>
  <c r="CH139" i="2"/>
  <c r="CG139" i="2"/>
  <c r="CF139" i="2"/>
  <c r="CE139" i="2"/>
  <c r="BH139" i="2"/>
  <c r="BG139" i="2"/>
  <c r="AY139" i="2"/>
  <c r="AX139" i="2"/>
  <c r="AV139" i="2"/>
  <c r="AU139" i="2"/>
  <c r="AT139" i="2"/>
  <c r="AS139" i="2"/>
  <c r="AR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X139" i="2"/>
  <c r="W139" i="2"/>
  <c r="V139" i="2"/>
  <c r="U139" i="2"/>
  <c r="T139" i="2"/>
  <c r="S139" i="2"/>
  <c r="R139" i="2"/>
  <c r="Q139" i="2"/>
  <c r="P139" i="2"/>
  <c r="M139" i="2"/>
  <c r="L139" i="2"/>
  <c r="K139" i="2"/>
  <c r="I139" i="2"/>
  <c r="H139" i="2"/>
  <c r="G139" i="2"/>
  <c r="F139" i="2"/>
  <c r="E139" i="2"/>
  <c r="D139" i="2"/>
  <c r="C139" i="2"/>
  <c r="A139" i="2"/>
  <c r="IW138" i="2"/>
  <c r="IV138" i="2"/>
  <c r="IU138" i="2"/>
  <c r="IT138" i="2"/>
  <c r="IS138" i="2"/>
  <c r="IR138" i="2"/>
  <c r="IH138" i="2"/>
  <c r="IG138" i="2"/>
  <c r="IF138" i="2"/>
  <c r="IE138" i="2"/>
  <c r="ID138" i="2"/>
  <c r="IC138" i="2"/>
  <c r="HS138" i="2"/>
  <c r="HR138" i="2"/>
  <c r="HQ138" i="2"/>
  <c r="HP138" i="2"/>
  <c r="HO138" i="2"/>
  <c r="HN138" i="2"/>
  <c r="HC138" i="2"/>
  <c r="HB138" i="2"/>
  <c r="HA138" i="2"/>
  <c r="GZ138" i="2"/>
  <c r="GY138" i="2"/>
  <c r="GX138" i="2"/>
  <c r="GN138" i="2"/>
  <c r="GM138" i="2"/>
  <c r="GL138" i="2"/>
  <c r="GK138" i="2"/>
  <c r="GJ138" i="2"/>
  <c r="GI138" i="2"/>
  <c r="FY138" i="2"/>
  <c r="FX138" i="2"/>
  <c r="FW138" i="2"/>
  <c r="FV138" i="2"/>
  <c r="FU138" i="2"/>
  <c r="FT138" i="2"/>
  <c r="FI138" i="2"/>
  <c r="FH138" i="2"/>
  <c r="FG138" i="2"/>
  <c r="FF138" i="2"/>
  <c r="FE138" i="2"/>
  <c r="FD138" i="2"/>
  <c r="ET138" i="2"/>
  <c r="ES138" i="2"/>
  <c r="ER138" i="2"/>
  <c r="EQ138" i="2"/>
  <c r="EP138" i="2"/>
  <c r="EO138" i="2"/>
  <c r="EE138" i="2"/>
  <c r="ED138" i="2"/>
  <c r="EC138" i="2"/>
  <c r="EB138" i="2"/>
  <c r="EA138" i="2"/>
  <c r="DZ138" i="2"/>
  <c r="DO138" i="2"/>
  <c r="DN138" i="2"/>
  <c r="DM138" i="2"/>
  <c r="DL138" i="2"/>
  <c r="DK138" i="2"/>
  <c r="DJ138" i="2"/>
  <c r="CZ138" i="2"/>
  <c r="CY138" i="2"/>
  <c r="CX138" i="2"/>
  <c r="CW138" i="2"/>
  <c r="CV138" i="2"/>
  <c r="CU138" i="2"/>
  <c r="CK138" i="2"/>
  <c r="CJ138" i="2"/>
  <c r="CI138" i="2"/>
  <c r="CH138" i="2"/>
  <c r="CG138" i="2"/>
  <c r="CF138" i="2"/>
  <c r="CE138" i="2"/>
  <c r="BH138" i="2"/>
  <c r="BG138" i="2"/>
  <c r="AY138" i="2"/>
  <c r="AX138" i="2"/>
  <c r="AV138" i="2"/>
  <c r="AU138" i="2"/>
  <c r="AT138" i="2"/>
  <c r="AS138" i="2"/>
  <c r="AR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X138" i="2"/>
  <c r="W138" i="2"/>
  <c r="V138" i="2"/>
  <c r="U138" i="2"/>
  <c r="T138" i="2"/>
  <c r="S138" i="2"/>
  <c r="R138" i="2"/>
  <c r="Q138" i="2"/>
  <c r="P138" i="2"/>
  <c r="M138" i="2"/>
  <c r="L138" i="2"/>
  <c r="K138" i="2"/>
  <c r="I138" i="2"/>
  <c r="H138" i="2"/>
  <c r="G138" i="2"/>
  <c r="F138" i="2"/>
  <c r="E138" i="2"/>
  <c r="D138" i="2"/>
  <c r="C138" i="2"/>
  <c r="A138" i="2"/>
  <c r="IW137" i="2"/>
  <c r="IV137" i="2"/>
  <c r="IU137" i="2"/>
  <c r="IT137" i="2"/>
  <c r="IS137" i="2"/>
  <c r="IR137" i="2"/>
  <c r="IH137" i="2"/>
  <c r="IG137" i="2"/>
  <c r="IF137" i="2"/>
  <c r="IE137" i="2"/>
  <c r="ID137" i="2"/>
  <c r="IC137" i="2"/>
  <c r="HS137" i="2"/>
  <c r="HR137" i="2"/>
  <c r="HQ137" i="2"/>
  <c r="HP137" i="2"/>
  <c r="HO137" i="2"/>
  <c r="HN137" i="2"/>
  <c r="HC137" i="2"/>
  <c r="HB137" i="2"/>
  <c r="HA137" i="2"/>
  <c r="GZ137" i="2"/>
  <c r="GY137" i="2"/>
  <c r="GX137" i="2"/>
  <c r="GN137" i="2"/>
  <c r="GM137" i="2"/>
  <c r="GL137" i="2"/>
  <c r="GK137" i="2"/>
  <c r="GJ137" i="2"/>
  <c r="GI137" i="2"/>
  <c r="FY137" i="2"/>
  <c r="FX137" i="2"/>
  <c r="FW137" i="2"/>
  <c r="FV137" i="2"/>
  <c r="FU137" i="2"/>
  <c r="FT137" i="2"/>
  <c r="FI137" i="2"/>
  <c r="FH137" i="2"/>
  <c r="FG137" i="2"/>
  <c r="FF137" i="2"/>
  <c r="FE137" i="2"/>
  <c r="FD137" i="2"/>
  <c r="ET137" i="2"/>
  <c r="ES137" i="2"/>
  <c r="ER137" i="2"/>
  <c r="EQ137" i="2"/>
  <c r="EP137" i="2"/>
  <c r="EO137" i="2"/>
  <c r="EE137" i="2"/>
  <c r="ED137" i="2"/>
  <c r="EC137" i="2"/>
  <c r="EB137" i="2"/>
  <c r="EA137" i="2"/>
  <c r="DZ137" i="2"/>
  <c r="DO137" i="2"/>
  <c r="DN137" i="2"/>
  <c r="DM137" i="2"/>
  <c r="DL137" i="2"/>
  <c r="DK137" i="2"/>
  <c r="DJ137" i="2"/>
  <c r="CZ137" i="2"/>
  <c r="CY137" i="2"/>
  <c r="CX137" i="2"/>
  <c r="CW137" i="2"/>
  <c r="CV137" i="2"/>
  <c r="CU137" i="2"/>
  <c r="CK137" i="2"/>
  <c r="CJ137" i="2"/>
  <c r="CI137" i="2"/>
  <c r="CH137" i="2"/>
  <c r="CG137" i="2"/>
  <c r="CF137" i="2"/>
  <c r="CE137" i="2"/>
  <c r="BH137" i="2"/>
  <c r="BG137" i="2"/>
  <c r="AY137" i="2"/>
  <c r="AX137" i="2"/>
  <c r="AV137" i="2"/>
  <c r="AU137" i="2"/>
  <c r="AT137" i="2"/>
  <c r="AS137" i="2"/>
  <c r="AR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X137" i="2"/>
  <c r="W137" i="2"/>
  <c r="V137" i="2"/>
  <c r="U137" i="2"/>
  <c r="T137" i="2"/>
  <c r="S137" i="2"/>
  <c r="R137" i="2"/>
  <c r="Q137" i="2"/>
  <c r="P137" i="2"/>
  <c r="M137" i="2"/>
  <c r="L137" i="2"/>
  <c r="K137" i="2"/>
  <c r="I137" i="2"/>
  <c r="H137" i="2"/>
  <c r="G137" i="2"/>
  <c r="F137" i="2"/>
  <c r="E137" i="2"/>
  <c r="D137" i="2"/>
  <c r="C137" i="2"/>
  <c r="A137" i="2"/>
  <c r="IW136" i="2"/>
  <c r="IV136" i="2"/>
  <c r="IU136" i="2"/>
  <c r="IT136" i="2"/>
  <c r="IS136" i="2"/>
  <c r="IR136" i="2"/>
  <c r="IH136" i="2"/>
  <c r="IG136" i="2"/>
  <c r="IF136" i="2"/>
  <c r="IE136" i="2"/>
  <c r="ID136" i="2"/>
  <c r="IC136" i="2"/>
  <c r="HS136" i="2"/>
  <c r="HR136" i="2"/>
  <c r="HQ136" i="2"/>
  <c r="HP136" i="2"/>
  <c r="HO136" i="2"/>
  <c r="HN136" i="2"/>
  <c r="HC136" i="2"/>
  <c r="HB136" i="2"/>
  <c r="HA136" i="2"/>
  <c r="GZ136" i="2"/>
  <c r="GY136" i="2"/>
  <c r="GX136" i="2"/>
  <c r="GN136" i="2"/>
  <c r="GM136" i="2"/>
  <c r="GL136" i="2"/>
  <c r="GK136" i="2"/>
  <c r="GJ136" i="2"/>
  <c r="GI136" i="2"/>
  <c r="FY136" i="2"/>
  <c r="FX136" i="2"/>
  <c r="FW136" i="2"/>
  <c r="FV136" i="2"/>
  <c r="FU136" i="2"/>
  <c r="FT136" i="2"/>
  <c r="FI136" i="2"/>
  <c r="FH136" i="2"/>
  <c r="FG136" i="2"/>
  <c r="FF136" i="2"/>
  <c r="FE136" i="2"/>
  <c r="FD136" i="2"/>
  <c r="ET136" i="2"/>
  <c r="ES136" i="2"/>
  <c r="ER136" i="2"/>
  <c r="EQ136" i="2"/>
  <c r="EP136" i="2"/>
  <c r="EO136" i="2"/>
  <c r="EE136" i="2"/>
  <c r="ED136" i="2"/>
  <c r="EC136" i="2"/>
  <c r="EB136" i="2"/>
  <c r="EA136" i="2"/>
  <c r="DZ136" i="2"/>
  <c r="DO136" i="2"/>
  <c r="DN136" i="2"/>
  <c r="DM136" i="2"/>
  <c r="DL136" i="2"/>
  <c r="DK136" i="2"/>
  <c r="DJ136" i="2"/>
  <c r="CZ136" i="2"/>
  <c r="CY136" i="2"/>
  <c r="CX136" i="2"/>
  <c r="CW136" i="2"/>
  <c r="CV136" i="2"/>
  <c r="CU136" i="2"/>
  <c r="CK136" i="2"/>
  <c r="CJ136" i="2"/>
  <c r="CI136" i="2"/>
  <c r="CH136" i="2"/>
  <c r="CG136" i="2"/>
  <c r="CF136" i="2"/>
  <c r="CE136" i="2"/>
  <c r="BH136" i="2"/>
  <c r="BG136" i="2"/>
  <c r="AY136" i="2"/>
  <c r="AX136" i="2"/>
  <c r="AV136" i="2"/>
  <c r="AU136" i="2"/>
  <c r="AT136" i="2"/>
  <c r="AS136" i="2"/>
  <c r="AR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X136" i="2"/>
  <c r="W136" i="2"/>
  <c r="V136" i="2"/>
  <c r="U136" i="2"/>
  <c r="T136" i="2"/>
  <c r="S136" i="2"/>
  <c r="R136" i="2"/>
  <c r="Q136" i="2"/>
  <c r="P136" i="2"/>
  <c r="M136" i="2"/>
  <c r="L136" i="2"/>
  <c r="K136" i="2"/>
  <c r="I136" i="2"/>
  <c r="H136" i="2"/>
  <c r="G136" i="2"/>
  <c r="F136" i="2"/>
  <c r="E136" i="2"/>
  <c r="D136" i="2"/>
  <c r="C136" i="2"/>
  <c r="A136" i="2"/>
  <c r="IW135" i="2"/>
  <c r="IV135" i="2"/>
  <c r="IU135" i="2"/>
  <c r="IT135" i="2"/>
  <c r="IS135" i="2"/>
  <c r="IR135" i="2"/>
  <c r="IH135" i="2"/>
  <c r="IG135" i="2"/>
  <c r="IF135" i="2"/>
  <c r="IE135" i="2"/>
  <c r="ID135" i="2"/>
  <c r="IC135" i="2"/>
  <c r="HS135" i="2"/>
  <c r="HR135" i="2"/>
  <c r="HQ135" i="2"/>
  <c r="HP135" i="2"/>
  <c r="HO135" i="2"/>
  <c r="HN135" i="2"/>
  <c r="HC135" i="2"/>
  <c r="HB135" i="2"/>
  <c r="HA135" i="2"/>
  <c r="GZ135" i="2"/>
  <c r="GY135" i="2"/>
  <c r="GX135" i="2"/>
  <c r="GN135" i="2"/>
  <c r="GM135" i="2"/>
  <c r="GL135" i="2"/>
  <c r="GK135" i="2"/>
  <c r="GJ135" i="2"/>
  <c r="GI135" i="2"/>
  <c r="FY135" i="2"/>
  <c r="FX135" i="2"/>
  <c r="FW135" i="2"/>
  <c r="FV135" i="2"/>
  <c r="FU135" i="2"/>
  <c r="FT135" i="2"/>
  <c r="FI135" i="2"/>
  <c r="FH135" i="2"/>
  <c r="FG135" i="2"/>
  <c r="FF135" i="2"/>
  <c r="FE135" i="2"/>
  <c r="FD135" i="2"/>
  <c r="ET135" i="2"/>
  <c r="ES135" i="2"/>
  <c r="ER135" i="2"/>
  <c r="EQ135" i="2"/>
  <c r="EP135" i="2"/>
  <c r="EO135" i="2"/>
  <c r="EE135" i="2"/>
  <c r="ED135" i="2"/>
  <c r="EC135" i="2"/>
  <c r="EB135" i="2"/>
  <c r="EA135" i="2"/>
  <c r="DZ135" i="2"/>
  <c r="DO135" i="2"/>
  <c r="DN135" i="2"/>
  <c r="DM135" i="2"/>
  <c r="DL135" i="2"/>
  <c r="DK135" i="2"/>
  <c r="DJ135" i="2"/>
  <c r="CZ135" i="2"/>
  <c r="CY135" i="2"/>
  <c r="CX135" i="2"/>
  <c r="CW135" i="2"/>
  <c r="CV135" i="2"/>
  <c r="CU135" i="2"/>
  <c r="CK135" i="2"/>
  <c r="CJ135" i="2"/>
  <c r="CI135" i="2"/>
  <c r="CH135" i="2"/>
  <c r="CG135" i="2"/>
  <c r="CF135" i="2"/>
  <c r="CE135" i="2"/>
  <c r="BH135" i="2"/>
  <c r="BG135" i="2"/>
  <c r="AY135" i="2"/>
  <c r="AX135" i="2"/>
  <c r="AV135" i="2"/>
  <c r="AU135" i="2"/>
  <c r="AT135" i="2"/>
  <c r="AS135" i="2"/>
  <c r="AR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X135" i="2"/>
  <c r="W135" i="2"/>
  <c r="V135" i="2"/>
  <c r="U135" i="2"/>
  <c r="T135" i="2"/>
  <c r="S135" i="2"/>
  <c r="R135" i="2"/>
  <c r="Q135" i="2"/>
  <c r="P135" i="2"/>
  <c r="M135" i="2"/>
  <c r="L135" i="2"/>
  <c r="K135" i="2"/>
  <c r="I135" i="2"/>
  <c r="H135" i="2"/>
  <c r="G135" i="2"/>
  <c r="F135" i="2"/>
  <c r="E135" i="2"/>
  <c r="D135" i="2"/>
  <c r="C135" i="2"/>
  <c r="A135" i="2"/>
  <c r="IW134" i="2"/>
  <c r="IV134" i="2"/>
  <c r="IU134" i="2"/>
  <c r="IT134" i="2"/>
  <c r="IS134" i="2"/>
  <c r="IR134" i="2"/>
  <c r="IH134" i="2"/>
  <c r="IG134" i="2"/>
  <c r="IF134" i="2"/>
  <c r="IE134" i="2"/>
  <c r="ID134" i="2"/>
  <c r="IC134" i="2"/>
  <c r="HS134" i="2"/>
  <c r="HR134" i="2"/>
  <c r="HQ134" i="2"/>
  <c r="HP134" i="2"/>
  <c r="HO134" i="2"/>
  <c r="HN134" i="2"/>
  <c r="HC134" i="2"/>
  <c r="HB134" i="2"/>
  <c r="HA134" i="2"/>
  <c r="GZ134" i="2"/>
  <c r="GY134" i="2"/>
  <c r="GX134" i="2"/>
  <c r="GN134" i="2"/>
  <c r="GM134" i="2"/>
  <c r="GL134" i="2"/>
  <c r="GK134" i="2"/>
  <c r="GJ134" i="2"/>
  <c r="GI134" i="2"/>
  <c r="FY134" i="2"/>
  <c r="FX134" i="2"/>
  <c r="FW134" i="2"/>
  <c r="FV134" i="2"/>
  <c r="FU134" i="2"/>
  <c r="FT134" i="2"/>
  <c r="FI134" i="2"/>
  <c r="FH134" i="2"/>
  <c r="FG134" i="2"/>
  <c r="FF134" i="2"/>
  <c r="FE134" i="2"/>
  <c r="FD134" i="2"/>
  <c r="ET134" i="2"/>
  <c r="ES134" i="2"/>
  <c r="ER134" i="2"/>
  <c r="EQ134" i="2"/>
  <c r="EP134" i="2"/>
  <c r="EO134" i="2"/>
  <c r="EE134" i="2"/>
  <c r="ED134" i="2"/>
  <c r="EC134" i="2"/>
  <c r="EB134" i="2"/>
  <c r="EA134" i="2"/>
  <c r="DZ134" i="2"/>
  <c r="DO134" i="2"/>
  <c r="DN134" i="2"/>
  <c r="DM134" i="2"/>
  <c r="DL134" i="2"/>
  <c r="DK134" i="2"/>
  <c r="DJ134" i="2"/>
  <c r="CZ134" i="2"/>
  <c r="CY134" i="2"/>
  <c r="CX134" i="2"/>
  <c r="CW134" i="2"/>
  <c r="CV134" i="2"/>
  <c r="CU134" i="2"/>
  <c r="CK134" i="2"/>
  <c r="CJ134" i="2"/>
  <c r="CI134" i="2"/>
  <c r="CH134" i="2"/>
  <c r="CG134" i="2"/>
  <c r="CF134" i="2"/>
  <c r="CE134" i="2"/>
  <c r="BH134" i="2"/>
  <c r="BG134" i="2"/>
  <c r="AY134" i="2"/>
  <c r="AX134" i="2"/>
  <c r="AV134" i="2"/>
  <c r="AU134" i="2"/>
  <c r="AT134" i="2"/>
  <c r="AS134" i="2"/>
  <c r="AR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X134" i="2"/>
  <c r="W134" i="2"/>
  <c r="V134" i="2"/>
  <c r="U134" i="2"/>
  <c r="T134" i="2"/>
  <c r="S134" i="2"/>
  <c r="R134" i="2"/>
  <c r="Q134" i="2"/>
  <c r="P134" i="2"/>
  <c r="M134" i="2"/>
  <c r="L134" i="2"/>
  <c r="K134" i="2"/>
  <c r="I134" i="2"/>
  <c r="H134" i="2"/>
  <c r="G134" i="2"/>
  <c r="F134" i="2"/>
  <c r="E134" i="2"/>
  <c r="D134" i="2"/>
  <c r="C134" i="2"/>
  <c r="A134" i="2"/>
  <c r="IW133" i="2"/>
  <c r="IV133" i="2"/>
  <c r="IU133" i="2"/>
  <c r="IT133" i="2"/>
  <c r="IS133" i="2"/>
  <c r="IR133" i="2"/>
  <c r="IH133" i="2"/>
  <c r="IG133" i="2"/>
  <c r="IF133" i="2"/>
  <c r="IE133" i="2"/>
  <c r="ID133" i="2"/>
  <c r="IC133" i="2"/>
  <c r="HS133" i="2"/>
  <c r="HR133" i="2"/>
  <c r="HQ133" i="2"/>
  <c r="HP133" i="2"/>
  <c r="HO133" i="2"/>
  <c r="HN133" i="2"/>
  <c r="HC133" i="2"/>
  <c r="HB133" i="2"/>
  <c r="HA133" i="2"/>
  <c r="GZ133" i="2"/>
  <c r="GY133" i="2"/>
  <c r="GX133" i="2"/>
  <c r="GN133" i="2"/>
  <c r="GM133" i="2"/>
  <c r="GL133" i="2"/>
  <c r="GK133" i="2"/>
  <c r="GJ133" i="2"/>
  <c r="GI133" i="2"/>
  <c r="FY133" i="2"/>
  <c r="FX133" i="2"/>
  <c r="FW133" i="2"/>
  <c r="FV133" i="2"/>
  <c r="FU133" i="2"/>
  <c r="FT133" i="2"/>
  <c r="FI133" i="2"/>
  <c r="FH133" i="2"/>
  <c r="FG133" i="2"/>
  <c r="FF133" i="2"/>
  <c r="FE133" i="2"/>
  <c r="FD133" i="2"/>
  <c r="ET133" i="2"/>
  <c r="ES133" i="2"/>
  <c r="ER133" i="2"/>
  <c r="EQ133" i="2"/>
  <c r="EP133" i="2"/>
  <c r="EO133" i="2"/>
  <c r="EE133" i="2"/>
  <c r="ED133" i="2"/>
  <c r="EC133" i="2"/>
  <c r="EB133" i="2"/>
  <c r="EA133" i="2"/>
  <c r="DZ133" i="2"/>
  <c r="DO133" i="2"/>
  <c r="DN133" i="2"/>
  <c r="DM133" i="2"/>
  <c r="DL133" i="2"/>
  <c r="DK133" i="2"/>
  <c r="DJ133" i="2"/>
  <c r="CZ133" i="2"/>
  <c r="CY133" i="2"/>
  <c r="CX133" i="2"/>
  <c r="CW133" i="2"/>
  <c r="CV133" i="2"/>
  <c r="CU133" i="2"/>
  <c r="CK133" i="2"/>
  <c r="CJ133" i="2"/>
  <c r="CI133" i="2"/>
  <c r="CH133" i="2"/>
  <c r="CG133" i="2"/>
  <c r="CF133" i="2"/>
  <c r="CE133" i="2"/>
  <c r="BH133" i="2"/>
  <c r="BG133" i="2"/>
  <c r="AY133" i="2"/>
  <c r="AX133" i="2"/>
  <c r="AV133" i="2"/>
  <c r="AU133" i="2"/>
  <c r="AT133" i="2"/>
  <c r="AS133" i="2"/>
  <c r="AR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X133" i="2"/>
  <c r="W133" i="2"/>
  <c r="V133" i="2"/>
  <c r="U133" i="2"/>
  <c r="T133" i="2"/>
  <c r="S133" i="2"/>
  <c r="R133" i="2"/>
  <c r="Q133" i="2"/>
  <c r="P133" i="2"/>
  <c r="M133" i="2"/>
  <c r="L133" i="2"/>
  <c r="K133" i="2"/>
  <c r="I133" i="2"/>
  <c r="H133" i="2"/>
  <c r="G133" i="2"/>
  <c r="F133" i="2"/>
  <c r="E133" i="2"/>
  <c r="D133" i="2"/>
  <c r="C133" i="2"/>
  <c r="A133" i="2"/>
  <c r="IW132" i="2"/>
  <c r="IV132" i="2"/>
  <c r="IU132" i="2"/>
  <c r="IT132" i="2"/>
  <c r="IS132" i="2"/>
  <c r="IR132" i="2"/>
  <c r="IH132" i="2"/>
  <c r="IG132" i="2"/>
  <c r="IF132" i="2"/>
  <c r="IE132" i="2"/>
  <c r="ID132" i="2"/>
  <c r="IC132" i="2"/>
  <c r="HS132" i="2"/>
  <c r="HR132" i="2"/>
  <c r="HQ132" i="2"/>
  <c r="HP132" i="2"/>
  <c r="HO132" i="2"/>
  <c r="HN132" i="2"/>
  <c r="HC132" i="2"/>
  <c r="HB132" i="2"/>
  <c r="HA132" i="2"/>
  <c r="GZ132" i="2"/>
  <c r="GY132" i="2"/>
  <c r="GX132" i="2"/>
  <c r="GN132" i="2"/>
  <c r="GM132" i="2"/>
  <c r="GL132" i="2"/>
  <c r="GK132" i="2"/>
  <c r="GJ132" i="2"/>
  <c r="GI132" i="2"/>
  <c r="FY132" i="2"/>
  <c r="FX132" i="2"/>
  <c r="FW132" i="2"/>
  <c r="FV132" i="2"/>
  <c r="FU132" i="2"/>
  <c r="FT132" i="2"/>
  <c r="FI132" i="2"/>
  <c r="FH132" i="2"/>
  <c r="FG132" i="2"/>
  <c r="FF132" i="2"/>
  <c r="FE132" i="2"/>
  <c r="FD132" i="2"/>
  <c r="ET132" i="2"/>
  <c r="ES132" i="2"/>
  <c r="ER132" i="2"/>
  <c r="EQ132" i="2"/>
  <c r="EP132" i="2"/>
  <c r="EO132" i="2"/>
  <c r="EE132" i="2"/>
  <c r="ED132" i="2"/>
  <c r="EC132" i="2"/>
  <c r="EB132" i="2"/>
  <c r="EA132" i="2"/>
  <c r="DZ132" i="2"/>
  <c r="DO132" i="2"/>
  <c r="DN132" i="2"/>
  <c r="DM132" i="2"/>
  <c r="DL132" i="2"/>
  <c r="DK132" i="2"/>
  <c r="DJ132" i="2"/>
  <c r="CZ132" i="2"/>
  <c r="CY132" i="2"/>
  <c r="CX132" i="2"/>
  <c r="CW132" i="2"/>
  <c r="CV132" i="2"/>
  <c r="CU132" i="2"/>
  <c r="CK132" i="2"/>
  <c r="CJ132" i="2"/>
  <c r="CI132" i="2"/>
  <c r="CH132" i="2"/>
  <c r="CG132" i="2"/>
  <c r="CF132" i="2"/>
  <c r="CE132" i="2"/>
  <c r="BH132" i="2"/>
  <c r="BG132" i="2"/>
  <c r="AY132" i="2"/>
  <c r="AX132" i="2"/>
  <c r="AV132" i="2"/>
  <c r="AU132" i="2"/>
  <c r="AT132" i="2"/>
  <c r="AS132" i="2"/>
  <c r="AR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X132" i="2"/>
  <c r="W132" i="2"/>
  <c r="V132" i="2"/>
  <c r="U132" i="2"/>
  <c r="T132" i="2"/>
  <c r="S132" i="2"/>
  <c r="R132" i="2"/>
  <c r="Q132" i="2"/>
  <c r="P132" i="2"/>
  <c r="M132" i="2"/>
  <c r="L132" i="2"/>
  <c r="K132" i="2"/>
  <c r="I132" i="2"/>
  <c r="H132" i="2"/>
  <c r="G132" i="2"/>
  <c r="F132" i="2"/>
  <c r="E132" i="2"/>
  <c r="D132" i="2"/>
  <c r="C132" i="2"/>
  <c r="A132" i="2"/>
  <c r="IW131" i="2"/>
  <c r="IV131" i="2"/>
  <c r="IU131" i="2"/>
  <c r="IT131" i="2"/>
  <c r="IS131" i="2"/>
  <c r="IR131" i="2"/>
  <c r="IH131" i="2"/>
  <c r="IG131" i="2"/>
  <c r="IF131" i="2"/>
  <c r="IE131" i="2"/>
  <c r="ID131" i="2"/>
  <c r="IC131" i="2"/>
  <c r="HS131" i="2"/>
  <c r="HR131" i="2"/>
  <c r="HQ131" i="2"/>
  <c r="HP131" i="2"/>
  <c r="HO131" i="2"/>
  <c r="HN131" i="2"/>
  <c r="HC131" i="2"/>
  <c r="HB131" i="2"/>
  <c r="HA131" i="2"/>
  <c r="GZ131" i="2"/>
  <c r="GY131" i="2"/>
  <c r="GX131" i="2"/>
  <c r="GN131" i="2"/>
  <c r="GM131" i="2"/>
  <c r="GL131" i="2"/>
  <c r="GK131" i="2"/>
  <c r="GJ131" i="2"/>
  <c r="GI131" i="2"/>
  <c r="FY131" i="2"/>
  <c r="FX131" i="2"/>
  <c r="FW131" i="2"/>
  <c r="FV131" i="2"/>
  <c r="FU131" i="2"/>
  <c r="FT131" i="2"/>
  <c r="FI131" i="2"/>
  <c r="FH131" i="2"/>
  <c r="FG131" i="2"/>
  <c r="FF131" i="2"/>
  <c r="FE131" i="2"/>
  <c r="FD131" i="2"/>
  <c r="ET131" i="2"/>
  <c r="ES131" i="2"/>
  <c r="ER131" i="2"/>
  <c r="EQ131" i="2"/>
  <c r="EP131" i="2"/>
  <c r="EO131" i="2"/>
  <c r="EE131" i="2"/>
  <c r="ED131" i="2"/>
  <c r="EC131" i="2"/>
  <c r="EB131" i="2"/>
  <c r="EA131" i="2"/>
  <c r="DZ131" i="2"/>
  <c r="DO131" i="2"/>
  <c r="DN131" i="2"/>
  <c r="DM131" i="2"/>
  <c r="DL131" i="2"/>
  <c r="DK131" i="2"/>
  <c r="DJ131" i="2"/>
  <c r="CZ131" i="2"/>
  <c r="CY131" i="2"/>
  <c r="CX131" i="2"/>
  <c r="CW131" i="2"/>
  <c r="CV131" i="2"/>
  <c r="CU131" i="2"/>
  <c r="CK131" i="2"/>
  <c r="CJ131" i="2"/>
  <c r="CI131" i="2"/>
  <c r="CH131" i="2"/>
  <c r="CG131" i="2"/>
  <c r="CF131" i="2"/>
  <c r="CE131" i="2"/>
  <c r="BH131" i="2"/>
  <c r="BG131" i="2"/>
  <c r="AY131" i="2"/>
  <c r="AX131" i="2"/>
  <c r="AV131" i="2"/>
  <c r="AU131" i="2"/>
  <c r="AT131" i="2"/>
  <c r="AS131" i="2"/>
  <c r="AR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X131" i="2"/>
  <c r="W131" i="2"/>
  <c r="V131" i="2"/>
  <c r="U131" i="2"/>
  <c r="T131" i="2"/>
  <c r="S131" i="2"/>
  <c r="R131" i="2"/>
  <c r="Q131" i="2"/>
  <c r="P131" i="2"/>
  <c r="M131" i="2"/>
  <c r="L131" i="2"/>
  <c r="K131" i="2"/>
  <c r="I131" i="2"/>
  <c r="H131" i="2"/>
  <c r="G131" i="2"/>
  <c r="F131" i="2"/>
  <c r="E131" i="2"/>
  <c r="D131" i="2"/>
  <c r="C131" i="2"/>
  <c r="A131" i="2"/>
  <c r="IW130" i="2"/>
  <c r="IV130" i="2"/>
  <c r="IU130" i="2"/>
  <c r="IT130" i="2"/>
  <c r="IS130" i="2"/>
  <c r="IR130" i="2"/>
  <c r="IH130" i="2"/>
  <c r="IG130" i="2"/>
  <c r="IF130" i="2"/>
  <c r="IE130" i="2"/>
  <c r="ID130" i="2"/>
  <c r="IC130" i="2"/>
  <c r="HS130" i="2"/>
  <c r="HR130" i="2"/>
  <c r="HQ130" i="2"/>
  <c r="HP130" i="2"/>
  <c r="HO130" i="2"/>
  <c r="HN130" i="2"/>
  <c r="HC130" i="2"/>
  <c r="HB130" i="2"/>
  <c r="HA130" i="2"/>
  <c r="GZ130" i="2"/>
  <c r="GY130" i="2"/>
  <c r="GX130" i="2"/>
  <c r="GN130" i="2"/>
  <c r="GM130" i="2"/>
  <c r="GL130" i="2"/>
  <c r="GK130" i="2"/>
  <c r="GJ130" i="2"/>
  <c r="GI130" i="2"/>
  <c r="FY130" i="2"/>
  <c r="FX130" i="2"/>
  <c r="FW130" i="2"/>
  <c r="FV130" i="2"/>
  <c r="FU130" i="2"/>
  <c r="FT130" i="2"/>
  <c r="FI130" i="2"/>
  <c r="FH130" i="2"/>
  <c r="FG130" i="2"/>
  <c r="FF130" i="2"/>
  <c r="FE130" i="2"/>
  <c r="FD130" i="2"/>
  <c r="ET130" i="2"/>
  <c r="ES130" i="2"/>
  <c r="ER130" i="2"/>
  <c r="EQ130" i="2"/>
  <c r="EP130" i="2"/>
  <c r="EO130" i="2"/>
  <c r="EE130" i="2"/>
  <c r="ED130" i="2"/>
  <c r="EC130" i="2"/>
  <c r="EB130" i="2"/>
  <c r="EA130" i="2"/>
  <c r="DZ130" i="2"/>
  <c r="DO130" i="2"/>
  <c r="DN130" i="2"/>
  <c r="DM130" i="2"/>
  <c r="DL130" i="2"/>
  <c r="DK130" i="2"/>
  <c r="DJ130" i="2"/>
  <c r="CZ130" i="2"/>
  <c r="CY130" i="2"/>
  <c r="CX130" i="2"/>
  <c r="CW130" i="2"/>
  <c r="CV130" i="2"/>
  <c r="CU130" i="2"/>
  <c r="CK130" i="2"/>
  <c r="CJ130" i="2"/>
  <c r="CI130" i="2"/>
  <c r="CH130" i="2"/>
  <c r="CG130" i="2"/>
  <c r="CF130" i="2"/>
  <c r="CE130" i="2"/>
  <c r="BH130" i="2"/>
  <c r="BG130" i="2"/>
  <c r="AY130" i="2"/>
  <c r="AX130" i="2"/>
  <c r="AV130" i="2"/>
  <c r="AU130" i="2"/>
  <c r="AT130" i="2"/>
  <c r="AS130" i="2"/>
  <c r="AR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X130" i="2"/>
  <c r="W130" i="2"/>
  <c r="V130" i="2"/>
  <c r="U130" i="2"/>
  <c r="T130" i="2"/>
  <c r="S130" i="2"/>
  <c r="R130" i="2"/>
  <c r="Q130" i="2"/>
  <c r="P130" i="2"/>
  <c r="M130" i="2"/>
  <c r="L130" i="2"/>
  <c r="K130" i="2"/>
  <c r="I130" i="2"/>
  <c r="H130" i="2"/>
  <c r="G130" i="2"/>
  <c r="F130" i="2"/>
  <c r="E130" i="2"/>
  <c r="D130" i="2"/>
  <c r="C130" i="2"/>
  <c r="A130" i="2"/>
  <c r="IW129" i="2"/>
  <c r="IV129" i="2"/>
  <c r="IU129" i="2"/>
  <c r="IT129" i="2"/>
  <c r="IS129" i="2"/>
  <c r="IR129" i="2"/>
  <c r="IH129" i="2"/>
  <c r="IG129" i="2"/>
  <c r="IF129" i="2"/>
  <c r="IE129" i="2"/>
  <c r="ID129" i="2"/>
  <c r="IC129" i="2"/>
  <c r="HS129" i="2"/>
  <c r="HR129" i="2"/>
  <c r="HQ129" i="2"/>
  <c r="HP129" i="2"/>
  <c r="HO129" i="2"/>
  <c r="HN129" i="2"/>
  <c r="HC129" i="2"/>
  <c r="HB129" i="2"/>
  <c r="HA129" i="2"/>
  <c r="GZ129" i="2"/>
  <c r="GY129" i="2"/>
  <c r="GX129" i="2"/>
  <c r="GN129" i="2"/>
  <c r="GM129" i="2"/>
  <c r="GL129" i="2"/>
  <c r="GK129" i="2"/>
  <c r="GJ129" i="2"/>
  <c r="GI129" i="2"/>
  <c r="FY129" i="2"/>
  <c r="FX129" i="2"/>
  <c r="FW129" i="2"/>
  <c r="FV129" i="2"/>
  <c r="FU129" i="2"/>
  <c r="FT129" i="2"/>
  <c r="FI129" i="2"/>
  <c r="FH129" i="2"/>
  <c r="FG129" i="2"/>
  <c r="FF129" i="2"/>
  <c r="FE129" i="2"/>
  <c r="FD129" i="2"/>
  <c r="ET129" i="2"/>
  <c r="ES129" i="2"/>
  <c r="ER129" i="2"/>
  <c r="EQ129" i="2"/>
  <c r="EP129" i="2"/>
  <c r="EO129" i="2"/>
  <c r="EE129" i="2"/>
  <c r="ED129" i="2"/>
  <c r="EC129" i="2"/>
  <c r="EB129" i="2"/>
  <c r="EA129" i="2"/>
  <c r="DZ129" i="2"/>
  <c r="DO129" i="2"/>
  <c r="DN129" i="2"/>
  <c r="DM129" i="2"/>
  <c r="DL129" i="2"/>
  <c r="DK129" i="2"/>
  <c r="DJ129" i="2"/>
  <c r="CZ129" i="2"/>
  <c r="CY129" i="2"/>
  <c r="CX129" i="2"/>
  <c r="CW129" i="2"/>
  <c r="CV129" i="2"/>
  <c r="CU129" i="2"/>
  <c r="CK129" i="2"/>
  <c r="CJ129" i="2"/>
  <c r="CI129" i="2"/>
  <c r="CH129" i="2"/>
  <c r="CG129" i="2"/>
  <c r="CF129" i="2"/>
  <c r="CE129" i="2"/>
  <c r="BH129" i="2"/>
  <c r="BG129" i="2"/>
  <c r="AY129" i="2"/>
  <c r="AX129" i="2"/>
  <c r="AV129" i="2"/>
  <c r="AU129" i="2"/>
  <c r="AT129" i="2"/>
  <c r="AS129" i="2"/>
  <c r="AR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X129" i="2"/>
  <c r="W129" i="2"/>
  <c r="V129" i="2"/>
  <c r="U129" i="2"/>
  <c r="T129" i="2"/>
  <c r="S129" i="2"/>
  <c r="R129" i="2"/>
  <c r="Q129" i="2"/>
  <c r="P129" i="2"/>
  <c r="M129" i="2"/>
  <c r="L129" i="2"/>
  <c r="K129" i="2"/>
  <c r="I129" i="2"/>
  <c r="H129" i="2"/>
  <c r="G129" i="2"/>
  <c r="F129" i="2"/>
  <c r="E129" i="2"/>
  <c r="D129" i="2"/>
  <c r="C129" i="2"/>
  <c r="A129" i="2"/>
  <c r="IW128" i="2"/>
  <c r="IV128" i="2"/>
  <c r="IU128" i="2"/>
  <c r="IT128" i="2"/>
  <c r="IS128" i="2"/>
  <c r="IR128" i="2"/>
  <c r="IH128" i="2"/>
  <c r="IG128" i="2"/>
  <c r="IF128" i="2"/>
  <c r="IE128" i="2"/>
  <c r="ID128" i="2"/>
  <c r="IC128" i="2"/>
  <c r="HS128" i="2"/>
  <c r="HR128" i="2"/>
  <c r="HQ128" i="2"/>
  <c r="HP128" i="2"/>
  <c r="HO128" i="2"/>
  <c r="HN128" i="2"/>
  <c r="HC128" i="2"/>
  <c r="HB128" i="2"/>
  <c r="HA128" i="2"/>
  <c r="GZ128" i="2"/>
  <c r="GY128" i="2"/>
  <c r="GX128" i="2"/>
  <c r="GN128" i="2"/>
  <c r="GM128" i="2"/>
  <c r="GL128" i="2"/>
  <c r="GK128" i="2"/>
  <c r="GJ128" i="2"/>
  <c r="GI128" i="2"/>
  <c r="FY128" i="2"/>
  <c r="FX128" i="2"/>
  <c r="FW128" i="2"/>
  <c r="FV128" i="2"/>
  <c r="FU128" i="2"/>
  <c r="FT128" i="2"/>
  <c r="FI128" i="2"/>
  <c r="FH128" i="2"/>
  <c r="FG128" i="2"/>
  <c r="FF128" i="2"/>
  <c r="FE128" i="2"/>
  <c r="FD128" i="2"/>
  <c r="ET128" i="2"/>
  <c r="ES128" i="2"/>
  <c r="ER128" i="2"/>
  <c r="EQ128" i="2"/>
  <c r="EP128" i="2"/>
  <c r="EO128" i="2"/>
  <c r="EE128" i="2"/>
  <c r="ED128" i="2"/>
  <c r="EC128" i="2"/>
  <c r="EB128" i="2"/>
  <c r="EA128" i="2"/>
  <c r="DZ128" i="2"/>
  <c r="DO128" i="2"/>
  <c r="DN128" i="2"/>
  <c r="DM128" i="2"/>
  <c r="DL128" i="2"/>
  <c r="DK128" i="2"/>
  <c r="DJ128" i="2"/>
  <c r="CZ128" i="2"/>
  <c r="CY128" i="2"/>
  <c r="CX128" i="2"/>
  <c r="CW128" i="2"/>
  <c r="CV128" i="2"/>
  <c r="CU128" i="2"/>
  <c r="CK128" i="2"/>
  <c r="CJ128" i="2"/>
  <c r="CI128" i="2"/>
  <c r="CH128" i="2"/>
  <c r="CG128" i="2"/>
  <c r="CF128" i="2"/>
  <c r="CE128" i="2"/>
  <c r="BH128" i="2"/>
  <c r="BG128" i="2"/>
  <c r="AY128" i="2"/>
  <c r="AX128" i="2"/>
  <c r="AV128" i="2"/>
  <c r="AU128" i="2"/>
  <c r="AT128" i="2"/>
  <c r="AS128" i="2"/>
  <c r="AR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X128" i="2"/>
  <c r="W128" i="2"/>
  <c r="V128" i="2"/>
  <c r="U128" i="2"/>
  <c r="T128" i="2"/>
  <c r="S128" i="2"/>
  <c r="R128" i="2"/>
  <c r="Q128" i="2"/>
  <c r="P128" i="2"/>
  <c r="M128" i="2"/>
  <c r="L128" i="2"/>
  <c r="K128" i="2"/>
  <c r="I128" i="2"/>
  <c r="H128" i="2"/>
  <c r="G128" i="2"/>
  <c r="F128" i="2"/>
  <c r="E128" i="2"/>
  <c r="D128" i="2"/>
  <c r="C128" i="2"/>
  <c r="A128" i="2"/>
  <c r="IW127" i="2"/>
  <c r="IV127" i="2"/>
  <c r="IU127" i="2"/>
  <c r="IT127" i="2"/>
  <c r="IS127" i="2"/>
  <c r="IR127" i="2"/>
  <c r="IH127" i="2"/>
  <c r="IG127" i="2"/>
  <c r="IF127" i="2"/>
  <c r="IE127" i="2"/>
  <c r="ID127" i="2"/>
  <c r="IC127" i="2"/>
  <c r="HS127" i="2"/>
  <c r="HR127" i="2"/>
  <c r="HQ127" i="2"/>
  <c r="HP127" i="2"/>
  <c r="HO127" i="2"/>
  <c r="HN127" i="2"/>
  <c r="HC127" i="2"/>
  <c r="HB127" i="2"/>
  <c r="HA127" i="2"/>
  <c r="GZ127" i="2"/>
  <c r="GY127" i="2"/>
  <c r="GX127" i="2"/>
  <c r="GN127" i="2"/>
  <c r="GM127" i="2"/>
  <c r="GL127" i="2"/>
  <c r="GK127" i="2"/>
  <c r="GJ127" i="2"/>
  <c r="GI127" i="2"/>
  <c r="FY127" i="2"/>
  <c r="FX127" i="2"/>
  <c r="FW127" i="2"/>
  <c r="FV127" i="2"/>
  <c r="FU127" i="2"/>
  <c r="FT127" i="2"/>
  <c r="FI127" i="2"/>
  <c r="FH127" i="2"/>
  <c r="FG127" i="2"/>
  <c r="FF127" i="2"/>
  <c r="FE127" i="2"/>
  <c r="FD127" i="2"/>
  <c r="ET127" i="2"/>
  <c r="ES127" i="2"/>
  <c r="ER127" i="2"/>
  <c r="EQ127" i="2"/>
  <c r="EP127" i="2"/>
  <c r="EO127" i="2"/>
  <c r="EE127" i="2"/>
  <c r="ED127" i="2"/>
  <c r="EC127" i="2"/>
  <c r="EB127" i="2"/>
  <c r="EA127" i="2"/>
  <c r="DZ127" i="2"/>
  <c r="DO127" i="2"/>
  <c r="DN127" i="2"/>
  <c r="DM127" i="2"/>
  <c r="DL127" i="2"/>
  <c r="DK127" i="2"/>
  <c r="DJ127" i="2"/>
  <c r="CZ127" i="2"/>
  <c r="CY127" i="2"/>
  <c r="CX127" i="2"/>
  <c r="CW127" i="2"/>
  <c r="CV127" i="2"/>
  <c r="CU127" i="2"/>
  <c r="CK127" i="2"/>
  <c r="CJ127" i="2"/>
  <c r="CI127" i="2"/>
  <c r="CH127" i="2"/>
  <c r="CG127" i="2"/>
  <c r="CF127" i="2"/>
  <c r="CE127" i="2"/>
  <c r="BH127" i="2"/>
  <c r="BG127" i="2"/>
  <c r="AY127" i="2"/>
  <c r="AX127" i="2"/>
  <c r="AV127" i="2"/>
  <c r="AU127" i="2"/>
  <c r="AT127" i="2"/>
  <c r="AS127" i="2"/>
  <c r="AR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X127" i="2"/>
  <c r="W127" i="2"/>
  <c r="V127" i="2"/>
  <c r="U127" i="2"/>
  <c r="T127" i="2"/>
  <c r="S127" i="2"/>
  <c r="R127" i="2"/>
  <c r="Q127" i="2"/>
  <c r="P127" i="2"/>
  <c r="M127" i="2"/>
  <c r="L127" i="2"/>
  <c r="K127" i="2"/>
  <c r="I127" i="2"/>
  <c r="H127" i="2"/>
  <c r="G127" i="2"/>
  <c r="F127" i="2"/>
  <c r="E127" i="2"/>
  <c r="D127" i="2"/>
  <c r="C127" i="2"/>
  <c r="A127" i="2"/>
  <c r="IW126" i="2"/>
  <c r="IV126" i="2"/>
  <c r="IU126" i="2"/>
  <c r="IT126" i="2"/>
  <c r="IS126" i="2"/>
  <c r="IR126" i="2"/>
  <c r="IH126" i="2"/>
  <c r="IG126" i="2"/>
  <c r="IF126" i="2"/>
  <c r="IE126" i="2"/>
  <c r="ID126" i="2"/>
  <c r="IC126" i="2"/>
  <c r="HS126" i="2"/>
  <c r="HR126" i="2"/>
  <c r="HQ126" i="2"/>
  <c r="HP126" i="2"/>
  <c r="HO126" i="2"/>
  <c r="HN126" i="2"/>
  <c r="HC126" i="2"/>
  <c r="HB126" i="2"/>
  <c r="HA126" i="2"/>
  <c r="GZ126" i="2"/>
  <c r="GY126" i="2"/>
  <c r="GX126" i="2"/>
  <c r="GN126" i="2"/>
  <c r="GM126" i="2"/>
  <c r="GL126" i="2"/>
  <c r="GK126" i="2"/>
  <c r="GJ126" i="2"/>
  <c r="GI126" i="2"/>
  <c r="FY126" i="2"/>
  <c r="FX126" i="2"/>
  <c r="FW126" i="2"/>
  <c r="FV126" i="2"/>
  <c r="FU126" i="2"/>
  <c r="FT126" i="2"/>
  <c r="FI126" i="2"/>
  <c r="FH126" i="2"/>
  <c r="FG126" i="2"/>
  <c r="FF126" i="2"/>
  <c r="FE126" i="2"/>
  <c r="FD126" i="2"/>
  <c r="ET126" i="2"/>
  <c r="ES126" i="2"/>
  <c r="ER126" i="2"/>
  <c r="EQ126" i="2"/>
  <c r="EP126" i="2"/>
  <c r="EO126" i="2"/>
  <c r="EE126" i="2"/>
  <c r="ED126" i="2"/>
  <c r="EC126" i="2"/>
  <c r="EB126" i="2"/>
  <c r="EA126" i="2"/>
  <c r="DZ126" i="2"/>
  <c r="DO126" i="2"/>
  <c r="DN126" i="2"/>
  <c r="DM126" i="2"/>
  <c r="DL126" i="2"/>
  <c r="DK126" i="2"/>
  <c r="DJ126" i="2"/>
  <c r="CZ126" i="2"/>
  <c r="CY126" i="2"/>
  <c r="CX126" i="2"/>
  <c r="CW126" i="2"/>
  <c r="CV126" i="2"/>
  <c r="CU126" i="2"/>
  <c r="CK126" i="2"/>
  <c r="CJ126" i="2"/>
  <c r="CI126" i="2"/>
  <c r="CH126" i="2"/>
  <c r="CG126" i="2"/>
  <c r="CF126" i="2"/>
  <c r="CE126" i="2"/>
  <c r="BH126" i="2"/>
  <c r="BG126" i="2"/>
  <c r="AY126" i="2"/>
  <c r="AX126" i="2"/>
  <c r="AV126" i="2"/>
  <c r="AU126" i="2"/>
  <c r="AT126" i="2"/>
  <c r="AS126" i="2"/>
  <c r="AR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X126" i="2"/>
  <c r="W126" i="2"/>
  <c r="V126" i="2"/>
  <c r="U126" i="2"/>
  <c r="T126" i="2"/>
  <c r="S126" i="2"/>
  <c r="R126" i="2"/>
  <c r="Q126" i="2"/>
  <c r="P126" i="2"/>
  <c r="M126" i="2"/>
  <c r="L126" i="2"/>
  <c r="K126" i="2"/>
  <c r="I126" i="2"/>
  <c r="H126" i="2"/>
  <c r="G126" i="2"/>
  <c r="F126" i="2"/>
  <c r="E126" i="2"/>
  <c r="D126" i="2"/>
  <c r="C126" i="2"/>
  <c r="A126" i="2"/>
  <c r="IW125" i="2"/>
  <c r="IV125" i="2"/>
  <c r="IU125" i="2"/>
  <c r="IT125" i="2"/>
  <c r="IS125" i="2"/>
  <c r="IR125" i="2"/>
  <c r="IH125" i="2"/>
  <c r="IG125" i="2"/>
  <c r="IF125" i="2"/>
  <c r="IE125" i="2"/>
  <c r="ID125" i="2"/>
  <c r="IC125" i="2"/>
  <c r="HS125" i="2"/>
  <c r="HR125" i="2"/>
  <c r="HQ125" i="2"/>
  <c r="HP125" i="2"/>
  <c r="HO125" i="2"/>
  <c r="HN125" i="2"/>
  <c r="HC125" i="2"/>
  <c r="HB125" i="2"/>
  <c r="HA125" i="2"/>
  <c r="GZ125" i="2"/>
  <c r="GY125" i="2"/>
  <c r="GX125" i="2"/>
  <c r="GN125" i="2"/>
  <c r="GM125" i="2"/>
  <c r="GL125" i="2"/>
  <c r="GK125" i="2"/>
  <c r="GJ125" i="2"/>
  <c r="GI125" i="2"/>
  <c r="FY125" i="2"/>
  <c r="FX125" i="2"/>
  <c r="FW125" i="2"/>
  <c r="FV125" i="2"/>
  <c r="FU125" i="2"/>
  <c r="FT125" i="2"/>
  <c r="FI125" i="2"/>
  <c r="FH125" i="2"/>
  <c r="FG125" i="2"/>
  <c r="FF125" i="2"/>
  <c r="FE125" i="2"/>
  <c r="FD125" i="2"/>
  <c r="ET125" i="2"/>
  <c r="ES125" i="2"/>
  <c r="ER125" i="2"/>
  <c r="EQ125" i="2"/>
  <c r="EP125" i="2"/>
  <c r="EO125" i="2"/>
  <c r="EE125" i="2"/>
  <c r="ED125" i="2"/>
  <c r="EC125" i="2"/>
  <c r="EB125" i="2"/>
  <c r="EA125" i="2"/>
  <c r="DZ125" i="2"/>
  <c r="DO125" i="2"/>
  <c r="DN125" i="2"/>
  <c r="DM125" i="2"/>
  <c r="DL125" i="2"/>
  <c r="DK125" i="2"/>
  <c r="DJ125" i="2"/>
  <c r="CZ125" i="2"/>
  <c r="CY125" i="2"/>
  <c r="CX125" i="2"/>
  <c r="CW125" i="2"/>
  <c r="CV125" i="2"/>
  <c r="CU125" i="2"/>
  <c r="CK125" i="2"/>
  <c r="CJ125" i="2"/>
  <c r="CI125" i="2"/>
  <c r="CH125" i="2"/>
  <c r="CG125" i="2"/>
  <c r="CF125" i="2"/>
  <c r="CE125" i="2"/>
  <c r="BH125" i="2"/>
  <c r="BG125" i="2"/>
  <c r="AY125" i="2"/>
  <c r="AX125" i="2"/>
  <c r="AV125" i="2"/>
  <c r="AU125" i="2"/>
  <c r="AT125" i="2"/>
  <c r="AS125" i="2"/>
  <c r="AR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X125" i="2"/>
  <c r="W125" i="2"/>
  <c r="V125" i="2"/>
  <c r="U125" i="2"/>
  <c r="T125" i="2"/>
  <c r="S125" i="2"/>
  <c r="R125" i="2"/>
  <c r="Q125" i="2"/>
  <c r="P125" i="2"/>
  <c r="M125" i="2"/>
  <c r="L125" i="2"/>
  <c r="K125" i="2"/>
  <c r="I125" i="2"/>
  <c r="H125" i="2"/>
  <c r="G125" i="2"/>
  <c r="F125" i="2"/>
  <c r="E125" i="2"/>
  <c r="D125" i="2"/>
  <c r="C125" i="2"/>
  <c r="A125" i="2"/>
  <c r="IW124" i="2"/>
  <c r="IV124" i="2"/>
  <c r="IU124" i="2"/>
  <c r="IT124" i="2"/>
  <c r="IS124" i="2"/>
  <c r="IR124" i="2"/>
  <c r="IH124" i="2"/>
  <c r="IG124" i="2"/>
  <c r="IF124" i="2"/>
  <c r="IE124" i="2"/>
  <c r="ID124" i="2"/>
  <c r="IC124" i="2"/>
  <c r="HS124" i="2"/>
  <c r="HR124" i="2"/>
  <c r="HQ124" i="2"/>
  <c r="HP124" i="2"/>
  <c r="HO124" i="2"/>
  <c r="HN124" i="2"/>
  <c r="HC124" i="2"/>
  <c r="HB124" i="2"/>
  <c r="HA124" i="2"/>
  <c r="GZ124" i="2"/>
  <c r="GY124" i="2"/>
  <c r="GX124" i="2"/>
  <c r="GN124" i="2"/>
  <c r="GM124" i="2"/>
  <c r="GL124" i="2"/>
  <c r="GK124" i="2"/>
  <c r="GJ124" i="2"/>
  <c r="GI124" i="2"/>
  <c r="FY124" i="2"/>
  <c r="FX124" i="2"/>
  <c r="FW124" i="2"/>
  <c r="FV124" i="2"/>
  <c r="FU124" i="2"/>
  <c r="FT124" i="2"/>
  <c r="FI124" i="2"/>
  <c r="FH124" i="2"/>
  <c r="FG124" i="2"/>
  <c r="FF124" i="2"/>
  <c r="FE124" i="2"/>
  <c r="FD124" i="2"/>
  <c r="ET124" i="2"/>
  <c r="ES124" i="2"/>
  <c r="ER124" i="2"/>
  <c r="EQ124" i="2"/>
  <c r="EP124" i="2"/>
  <c r="EO124" i="2"/>
  <c r="EE124" i="2"/>
  <c r="ED124" i="2"/>
  <c r="EC124" i="2"/>
  <c r="EB124" i="2"/>
  <c r="EA124" i="2"/>
  <c r="DZ124" i="2"/>
  <c r="DO124" i="2"/>
  <c r="DN124" i="2"/>
  <c r="DM124" i="2"/>
  <c r="DL124" i="2"/>
  <c r="DK124" i="2"/>
  <c r="DJ124" i="2"/>
  <c r="CZ124" i="2"/>
  <c r="CY124" i="2"/>
  <c r="CX124" i="2"/>
  <c r="CW124" i="2"/>
  <c r="CV124" i="2"/>
  <c r="CU124" i="2"/>
  <c r="CK124" i="2"/>
  <c r="CJ124" i="2"/>
  <c r="CI124" i="2"/>
  <c r="CH124" i="2"/>
  <c r="CG124" i="2"/>
  <c r="CF124" i="2"/>
  <c r="CE124" i="2"/>
  <c r="BH124" i="2"/>
  <c r="BG124" i="2"/>
  <c r="AY124" i="2"/>
  <c r="AX124" i="2"/>
  <c r="AV124" i="2"/>
  <c r="AU124" i="2"/>
  <c r="AT124" i="2"/>
  <c r="AS124" i="2"/>
  <c r="AR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X124" i="2"/>
  <c r="W124" i="2"/>
  <c r="V124" i="2"/>
  <c r="U124" i="2"/>
  <c r="T124" i="2"/>
  <c r="S124" i="2"/>
  <c r="R124" i="2"/>
  <c r="Q124" i="2"/>
  <c r="P124" i="2"/>
  <c r="M124" i="2"/>
  <c r="L124" i="2"/>
  <c r="K124" i="2"/>
  <c r="I124" i="2"/>
  <c r="H124" i="2"/>
  <c r="G124" i="2"/>
  <c r="F124" i="2"/>
  <c r="E124" i="2"/>
  <c r="D124" i="2"/>
  <c r="C124" i="2"/>
  <c r="A124" i="2"/>
  <c r="IW123" i="2"/>
  <c r="IV123" i="2"/>
  <c r="IU123" i="2"/>
  <c r="IT123" i="2"/>
  <c r="IS123" i="2"/>
  <c r="IR123" i="2"/>
  <c r="IH123" i="2"/>
  <c r="IG123" i="2"/>
  <c r="IF123" i="2"/>
  <c r="IE123" i="2"/>
  <c r="ID123" i="2"/>
  <c r="IC123" i="2"/>
  <c r="HS123" i="2"/>
  <c r="HR123" i="2"/>
  <c r="HQ123" i="2"/>
  <c r="HP123" i="2"/>
  <c r="HO123" i="2"/>
  <c r="HN123" i="2"/>
  <c r="HC123" i="2"/>
  <c r="HB123" i="2"/>
  <c r="HA123" i="2"/>
  <c r="GZ123" i="2"/>
  <c r="GY123" i="2"/>
  <c r="GX123" i="2"/>
  <c r="GN123" i="2"/>
  <c r="GM123" i="2"/>
  <c r="GL123" i="2"/>
  <c r="GK123" i="2"/>
  <c r="GJ123" i="2"/>
  <c r="GI123" i="2"/>
  <c r="FY123" i="2"/>
  <c r="FX123" i="2"/>
  <c r="FW123" i="2"/>
  <c r="FV123" i="2"/>
  <c r="FU123" i="2"/>
  <c r="FT123" i="2"/>
  <c r="FI123" i="2"/>
  <c r="FH123" i="2"/>
  <c r="FG123" i="2"/>
  <c r="FF123" i="2"/>
  <c r="FE123" i="2"/>
  <c r="FD123" i="2"/>
  <c r="ET123" i="2"/>
  <c r="ES123" i="2"/>
  <c r="ER123" i="2"/>
  <c r="EQ123" i="2"/>
  <c r="EP123" i="2"/>
  <c r="EO123" i="2"/>
  <c r="EE123" i="2"/>
  <c r="ED123" i="2"/>
  <c r="EC123" i="2"/>
  <c r="EB123" i="2"/>
  <c r="EA123" i="2"/>
  <c r="DZ123" i="2"/>
  <c r="DO123" i="2"/>
  <c r="DN123" i="2"/>
  <c r="DM123" i="2"/>
  <c r="DL123" i="2"/>
  <c r="DK123" i="2"/>
  <c r="DJ123" i="2"/>
  <c r="CZ123" i="2"/>
  <c r="CY123" i="2"/>
  <c r="CX123" i="2"/>
  <c r="CW123" i="2"/>
  <c r="CV123" i="2"/>
  <c r="CU123" i="2"/>
  <c r="CK123" i="2"/>
  <c r="CJ123" i="2"/>
  <c r="CI123" i="2"/>
  <c r="CH123" i="2"/>
  <c r="CG123" i="2"/>
  <c r="CF123" i="2"/>
  <c r="CE123" i="2"/>
  <c r="BH123" i="2"/>
  <c r="BG123" i="2"/>
  <c r="AY123" i="2"/>
  <c r="AX123" i="2"/>
  <c r="AV123" i="2"/>
  <c r="AU123" i="2"/>
  <c r="AT123" i="2"/>
  <c r="AS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X123" i="2"/>
  <c r="W123" i="2"/>
  <c r="V123" i="2"/>
  <c r="U123" i="2"/>
  <c r="T123" i="2"/>
  <c r="S123" i="2"/>
  <c r="R123" i="2"/>
  <c r="Q123" i="2"/>
  <c r="P123" i="2"/>
  <c r="M123" i="2"/>
  <c r="L123" i="2"/>
  <c r="K123" i="2"/>
  <c r="H123" i="2"/>
  <c r="G123" i="2"/>
  <c r="F123" i="2"/>
  <c r="E123" i="2"/>
  <c r="D123" i="2"/>
  <c r="C123" i="2"/>
  <c r="A123" i="2"/>
  <c r="IW122" i="2"/>
  <c r="IV122" i="2"/>
  <c r="IU122" i="2"/>
  <c r="IT122" i="2"/>
  <c r="IS122" i="2"/>
  <c r="IR122" i="2"/>
  <c r="IH122" i="2"/>
  <c r="IG122" i="2"/>
  <c r="IF122" i="2"/>
  <c r="IE122" i="2"/>
  <c r="ID122" i="2"/>
  <c r="IC122" i="2"/>
  <c r="HS122" i="2"/>
  <c r="HR122" i="2"/>
  <c r="HQ122" i="2"/>
  <c r="HP122" i="2"/>
  <c r="HO122" i="2"/>
  <c r="HN122" i="2"/>
  <c r="HC122" i="2"/>
  <c r="HB122" i="2"/>
  <c r="HA122" i="2"/>
  <c r="GZ122" i="2"/>
  <c r="GY122" i="2"/>
  <c r="GX122" i="2"/>
  <c r="GN122" i="2"/>
  <c r="GM122" i="2"/>
  <c r="GL122" i="2"/>
  <c r="GK122" i="2"/>
  <c r="GJ122" i="2"/>
  <c r="GI122" i="2"/>
  <c r="FY122" i="2"/>
  <c r="FX122" i="2"/>
  <c r="FW122" i="2"/>
  <c r="FV122" i="2"/>
  <c r="FU122" i="2"/>
  <c r="FT122" i="2"/>
  <c r="FI122" i="2"/>
  <c r="FH122" i="2"/>
  <c r="FG122" i="2"/>
  <c r="FF122" i="2"/>
  <c r="FE122" i="2"/>
  <c r="FD122" i="2"/>
  <c r="ET122" i="2"/>
  <c r="ES122" i="2"/>
  <c r="ER122" i="2"/>
  <c r="EQ122" i="2"/>
  <c r="EP122" i="2"/>
  <c r="EO122" i="2"/>
  <c r="EE122" i="2"/>
  <c r="ED122" i="2"/>
  <c r="EC122" i="2"/>
  <c r="EB122" i="2"/>
  <c r="EA122" i="2"/>
  <c r="DZ122" i="2"/>
  <c r="DO122" i="2"/>
  <c r="DN122" i="2"/>
  <c r="DM122" i="2"/>
  <c r="DL122" i="2"/>
  <c r="DK122" i="2"/>
  <c r="DJ122" i="2"/>
  <c r="CZ122" i="2"/>
  <c r="CY122" i="2"/>
  <c r="CX122" i="2"/>
  <c r="CW122" i="2"/>
  <c r="CV122" i="2"/>
  <c r="CU122" i="2"/>
  <c r="CK122" i="2"/>
  <c r="CJ122" i="2"/>
  <c r="CI122" i="2"/>
  <c r="CH122" i="2"/>
  <c r="CG122" i="2"/>
  <c r="CF122" i="2"/>
  <c r="CE122" i="2"/>
  <c r="BH122" i="2"/>
  <c r="BG122" i="2"/>
  <c r="AY122" i="2"/>
  <c r="AX122" i="2"/>
  <c r="AV122" i="2"/>
  <c r="AU122" i="2"/>
  <c r="AT122" i="2"/>
  <c r="AS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X122" i="2"/>
  <c r="W122" i="2"/>
  <c r="V122" i="2"/>
  <c r="U122" i="2"/>
  <c r="T122" i="2"/>
  <c r="S122" i="2"/>
  <c r="R122" i="2"/>
  <c r="Q122" i="2"/>
  <c r="P122" i="2"/>
  <c r="M122" i="2"/>
  <c r="L122" i="2"/>
  <c r="K122" i="2"/>
  <c r="H122" i="2"/>
  <c r="G122" i="2"/>
  <c r="F122" i="2"/>
  <c r="E122" i="2"/>
  <c r="D122" i="2"/>
  <c r="C122" i="2"/>
  <c r="A122" i="2"/>
  <c r="IW121" i="2"/>
  <c r="IV121" i="2"/>
  <c r="IU121" i="2"/>
  <c r="IT121" i="2"/>
  <c r="IS121" i="2"/>
  <c r="IR121" i="2"/>
  <c r="IH121" i="2"/>
  <c r="IG121" i="2"/>
  <c r="IF121" i="2"/>
  <c r="IE121" i="2"/>
  <c r="ID121" i="2"/>
  <c r="IC121" i="2"/>
  <c r="HS121" i="2"/>
  <c r="HR121" i="2"/>
  <c r="HQ121" i="2"/>
  <c r="HP121" i="2"/>
  <c r="HO121" i="2"/>
  <c r="HN121" i="2"/>
  <c r="HC121" i="2"/>
  <c r="HB121" i="2"/>
  <c r="HA121" i="2"/>
  <c r="GZ121" i="2"/>
  <c r="GY121" i="2"/>
  <c r="GX121" i="2"/>
  <c r="GN121" i="2"/>
  <c r="GM121" i="2"/>
  <c r="GL121" i="2"/>
  <c r="GK121" i="2"/>
  <c r="GJ121" i="2"/>
  <c r="GI121" i="2"/>
  <c r="FY121" i="2"/>
  <c r="FX121" i="2"/>
  <c r="FW121" i="2"/>
  <c r="FV121" i="2"/>
  <c r="FU121" i="2"/>
  <c r="FT121" i="2"/>
  <c r="FI121" i="2"/>
  <c r="FH121" i="2"/>
  <c r="FG121" i="2"/>
  <c r="FF121" i="2"/>
  <c r="FE121" i="2"/>
  <c r="FD121" i="2"/>
  <c r="ET121" i="2"/>
  <c r="ES121" i="2"/>
  <c r="ER121" i="2"/>
  <c r="EQ121" i="2"/>
  <c r="EP121" i="2"/>
  <c r="EO121" i="2"/>
  <c r="EE121" i="2"/>
  <c r="ED121" i="2"/>
  <c r="EC121" i="2"/>
  <c r="EB121" i="2"/>
  <c r="EA121" i="2"/>
  <c r="DZ121" i="2"/>
  <c r="DO121" i="2"/>
  <c r="DN121" i="2"/>
  <c r="DM121" i="2"/>
  <c r="DL121" i="2"/>
  <c r="DK121" i="2"/>
  <c r="DJ121" i="2"/>
  <c r="CZ121" i="2"/>
  <c r="CY121" i="2"/>
  <c r="CX121" i="2"/>
  <c r="CW121" i="2"/>
  <c r="CV121" i="2"/>
  <c r="CU121" i="2"/>
  <c r="CK121" i="2"/>
  <c r="CJ121" i="2"/>
  <c r="CI121" i="2"/>
  <c r="CH121" i="2"/>
  <c r="CG121" i="2"/>
  <c r="CF121" i="2"/>
  <c r="CE121" i="2"/>
  <c r="BH121" i="2"/>
  <c r="BG121" i="2"/>
  <c r="AY121" i="2"/>
  <c r="AX121" i="2"/>
  <c r="AV121" i="2"/>
  <c r="AU121" i="2"/>
  <c r="AT121" i="2"/>
  <c r="AS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X121" i="2"/>
  <c r="W121" i="2"/>
  <c r="V121" i="2"/>
  <c r="U121" i="2"/>
  <c r="T121" i="2"/>
  <c r="S121" i="2"/>
  <c r="R121" i="2"/>
  <c r="Q121" i="2"/>
  <c r="P121" i="2"/>
  <c r="M121" i="2"/>
  <c r="L121" i="2"/>
  <c r="K121" i="2"/>
  <c r="H121" i="2"/>
  <c r="G121" i="2"/>
  <c r="F121" i="2"/>
  <c r="E121" i="2"/>
  <c r="D121" i="2"/>
  <c r="C121" i="2"/>
  <c r="A121" i="2"/>
  <c r="IW120" i="2"/>
  <c r="IV120" i="2"/>
  <c r="IU120" i="2"/>
  <c r="IT120" i="2"/>
  <c r="IS120" i="2"/>
  <c r="IR120" i="2"/>
  <c r="IH120" i="2"/>
  <c r="IG120" i="2"/>
  <c r="IF120" i="2"/>
  <c r="IE120" i="2"/>
  <c r="ID120" i="2"/>
  <c r="IC120" i="2"/>
  <c r="HS120" i="2"/>
  <c r="HR120" i="2"/>
  <c r="HQ120" i="2"/>
  <c r="HP120" i="2"/>
  <c r="HO120" i="2"/>
  <c r="HN120" i="2"/>
  <c r="HC120" i="2"/>
  <c r="HB120" i="2"/>
  <c r="HA120" i="2"/>
  <c r="GZ120" i="2"/>
  <c r="GY120" i="2"/>
  <c r="GX120" i="2"/>
  <c r="GN120" i="2"/>
  <c r="GM120" i="2"/>
  <c r="GL120" i="2"/>
  <c r="GK120" i="2"/>
  <c r="GJ120" i="2"/>
  <c r="GI120" i="2"/>
  <c r="FY120" i="2"/>
  <c r="FX120" i="2"/>
  <c r="FW120" i="2"/>
  <c r="FV120" i="2"/>
  <c r="FU120" i="2"/>
  <c r="FT120" i="2"/>
  <c r="FI120" i="2"/>
  <c r="FH120" i="2"/>
  <c r="FG120" i="2"/>
  <c r="FF120" i="2"/>
  <c r="FE120" i="2"/>
  <c r="FD120" i="2"/>
  <c r="ET120" i="2"/>
  <c r="ES120" i="2"/>
  <c r="ER120" i="2"/>
  <c r="EQ120" i="2"/>
  <c r="EP120" i="2"/>
  <c r="EO120" i="2"/>
  <c r="EE120" i="2"/>
  <c r="ED120" i="2"/>
  <c r="EC120" i="2"/>
  <c r="EB120" i="2"/>
  <c r="EA120" i="2"/>
  <c r="DZ120" i="2"/>
  <c r="DO120" i="2"/>
  <c r="DN120" i="2"/>
  <c r="DM120" i="2"/>
  <c r="DL120" i="2"/>
  <c r="DK120" i="2"/>
  <c r="DJ120" i="2"/>
  <c r="CZ120" i="2"/>
  <c r="CY120" i="2"/>
  <c r="CX120" i="2"/>
  <c r="CW120" i="2"/>
  <c r="CV120" i="2"/>
  <c r="CU120" i="2"/>
  <c r="CK120" i="2"/>
  <c r="CJ120" i="2"/>
  <c r="CI120" i="2"/>
  <c r="CH120" i="2"/>
  <c r="CG120" i="2"/>
  <c r="CF120" i="2"/>
  <c r="CE120" i="2"/>
  <c r="BH120" i="2"/>
  <c r="BG120" i="2"/>
  <c r="AY120" i="2"/>
  <c r="AX120" i="2"/>
  <c r="AV120" i="2"/>
  <c r="AU120" i="2"/>
  <c r="AT120" i="2"/>
  <c r="AS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X120" i="2"/>
  <c r="W120" i="2"/>
  <c r="V120" i="2"/>
  <c r="U120" i="2"/>
  <c r="T120" i="2"/>
  <c r="S120" i="2"/>
  <c r="R120" i="2"/>
  <c r="Q120" i="2"/>
  <c r="P120" i="2"/>
  <c r="M120" i="2"/>
  <c r="L120" i="2"/>
  <c r="K120" i="2"/>
  <c r="H120" i="2"/>
  <c r="G120" i="2"/>
  <c r="F120" i="2"/>
  <c r="E120" i="2"/>
  <c r="D120" i="2"/>
  <c r="C120" i="2"/>
  <c r="A120" i="2"/>
  <c r="IW119" i="2"/>
  <c r="IV119" i="2"/>
  <c r="IU119" i="2"/>
  <c r="IT119" i="2"/>
  <c r="IS119" i="2"/>
  <c r="IR119" i="2"/>
  <c r="IH119" i="2"/>
  <c r="IG119" i="2"/>
  <c r="IF119" i="2"/>
  <c r="IE119" i="2"/>
  <c r="ID119" i="2"/>
  <c r="IC119" i="2"/>
  <c r="HS119" i="2"/>
  <c r="HR119" i="2"/>
  <c r="HQ119" i="2"/>
  <c r="HP119" i="2"/>
  <c r="HO119" i="2"/>
  <c r="HN119" i="2"/>
  <c r="HC119" i="2"/>
  <c r="HB119" i="2"/>
  <c r="HA119" i="2"/>
  <c r="GZ119" i="2"/>
  <c r="GY119" i="2"/>
  <c r="GX119" i="2"/>
  <c r="GN119" i="2"/>
  <c r="GM119" i="2"/>
  <c r="GL119" i="2"/>
  <c r="GK119" i="2"/>
  <c r="GJ119" i="2"/>
  <c r="GI119" i="2"/>
  <c r="FY119" i="2"/>
  <c r="FX119" i="2"/>
  <c r="FW119" i="2"/>
  <c r="FV119" i="2"/>
  <c r="FU119" i="2"/>
  <c r="FT119" i="2"/>
  <c r="FI119" i="2"/>
  <c r="FH119" i="2"/>
  <c r="FG119" i="2"/>
  <c r="FF119" i="2"/>
  <c r="FE119" i="2"/>
  <c r="FD119" i="2"/>
  <c r="ET119" i="2"/>
  <c r="ES119" i="2"/>
  <c r="ER119" i="2"/>
  <c r="EQ119" i="2"/>
  <c r="EP119" i="2"/>
  <c r="EO119" i="2"/>
  <c r="EE119" i="2"/>
  <c r="ED119" i="2"/>
  <c r="EC119" i="2"/>
  <c r="EB119" i="2"/>
  <c r="EA119" i="2"/>
  <c r="DZ119" i="2"/>
  <c r="DO119" i="2"/>
  <c r="DN119" i="2"/>
  <c r="DM119" i="2"/>
  <c r="DL119" i="2"/>
  <c r="DK119" i="2"/>
  <c r="DJ119" i="2"/>
  <c r="CZ119" i="2"/>
  <c r="CY119" i="2"/>
  <c r="CX119" i="2"/>
  <c r="CW119" i="2"/>
  <c r="CV119" i="2"/>
  <c r="CU119" i="2"/>
  <c r="CK119" i="2"/>
  <c r="CJ119" i="2"/>
  <c r="CI119" i="2"/>
  <c r="CH119" i="2"/>
  <c r="CG119" i="2"/>
  <c r="CF119" i="2"/>
  <c r="CE119" i="2"/>
  <c r="BH119" i="2"/>
  <c r="BG119" i="2"/>
  <c r="AY119" i="2"/>
  <c r="AX119" i="2"/>
  <c r="AV119" i="2"/>
  <c r="AU119" i="2"/>
  <c r="AT119" i="2"/>
  <c r="AS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X119" i="2"/>
  <c r="W119" i="2"/>
  <c r="V119" i="2"/>
  <c r="U119" i="2"/>
  <c r="T119" i="2"/>
  <c r="S119" i="2"/>
  <c r="R119" i="2"/>
  <c r="Q119" i="2"/>
  <c r="P119" i="2"/>
  <c r="M119" i="2"/>
  <c r="L119" i="2"/>
  <c r="K119" i="2"/>
  <c r="H119" i="2"/>
  <c r="G119" i="2"/>
  <c r="F119" i="2"/>
  <c r="E119" i="2"/>
  <c r="D119" i="2"/>
  <c r="C119" i="2"/>
  <c r="A119" i="2"/>
  <c r="IW118" i="2"/>
  <c r="IV118" i="2"/>
  <c r="IU118" i="2"/>
  <c r="IT118" i="2"/>
  <c r="IS118" i="2"/>
  <c r="IR118" i="2"/>
  <c r="IH118" i="2"/>
  <c r="IG118" i="2"/>
  <c r="IF118" i="2"/>
  <c r="IE118" i="2"/>
  <c r="ID118" i="2"/>
  <c r="IC118" i="2"/>
  <c r="HS118" i="2"/>
  <c r="HR118" i="2"/>
  <c r="HQ118" i="2"/>
  <c r="HP118" i="2"/>
  <c r="HO118" i="2"/>
  <c r="HN118" i="2"/>
  <c r="HC118" i="2"/>
  <c r="HB118" i="2"/>
  <c r="HA118" i="2"/>
  <c r="GZ118" i="2"/>
  <c r="GY118" i="2"/>
  <c r="GX118" i="2"/>
  <c r="GN118" i="2"/>
  <c r="GM118" i="2"/>
  <c r="GL118" i="2"/>
  <c r="GK118" i="2"/>
  <c r="GJ118" i="2"/>
  <c r="GI118" i="2"/>
  <c r="FY118" i="2"/>
  <c r="FX118" i="2"/>
  <c r="FW118" i="2"/>
  <c r="FV118" i="2"/>
  <c r="FU118" i="2"/>
  <c r="FT118" i="2"/>
  <c r="FI118" i="2"/>
  <c r="FH118" i="2"/>
  <c r="FG118" i="2"/>
  <c r="FF118" i="2"/>
  <c r="FE118" i="2"/>
  <c r="FD118" i="2"/>
  <c r="ET118" i="2"/>
  <c r="ES118" i="2"/>
  <c r="ER118" i="2"/>
  <c r="EQ118" i="2"/>
  <c r="EP118" i="2"/>
  <c r="EO118" i="2"/>
  <c r="EE118" i="2"/>
  <c r="ED118" i="2"/>
  <c r="EC118" i="2"/>
  <c r="EB118" i="2"/>
  <c r="EA118" i="2"/>
  <c r="DZ118" i="2"/>
  <c r="DO118" i="2"/>
  <c r="DN118" i="2"/>
  <c r="DM118" i="2"/>
  <c r="DL118" i="2"/>
  <c r="DK118" i="2"/>
  <c r="DJ118" i="2"/>
  <c r="CZ118" i="2"/>
  <c r="CY118" i="2"/>
  <c r="CX118" i="2"/>
  <c r="CW118" i="2"/>
  <c r="CV118" i="2"/>
  <c r="CU118" i="2"/>
  <c r="CK118" i="2"/>
  <c r="CJ118" i="2"/>
  <c r="CI118" i="2"/>
  <c r="CH118" i="2"/>
  <c r="CG118" i="2"/>
  <c r="CF118" i="2"/>
  <c r="CE118" i="2"/>
  <c r="BH118" i="2"/>
  <c r="BG118" i="2"/>
  <c r="AY118" i="2"/>
  <c r="AX118" i="2"/>
  <c r="AV118" i="2"/>
  <c r="AU118" i="2"/>
  <c r="AT118" i="2"/>
  <c r="AS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X118" i="2"/>
  <c r="W118" i="2"/>
  <c r="V118" i="2"/>
  <c r="U118" i="2"/>
  <c r="T118" i="2"/>
  <c r="S118" i="2"/>
  <c r="R118" i="2"/>
  <c r="Q118" i="2"/>
  <c r="P118" i="2"/>
  <c r="M118" i="2"/>
  <c r="L118" i="2"/>
  <c r="K118" i="2"/>
  <c r="H118" i="2"/>
  <c r="G118" i="2"/>
  <c r="F118" i="2"/>
  <c r="E118" i="2"/>
  <c r="D118" i="2"/>
  <c r="C118" i="2"/>
  <c r="A118" i="2"/>
  <c r="IW117" i="2"/>
  <c r="IV117" i="2"/>
  <c r="IU117" i="2"/>
  <c r="IT117" i="2"/>
  <c r="IS117" i="2"/>
  <c r="IR117" i="2"/>
  <c r="IH117" i="2"/>
  <c r="IG117" i="2"/>
  <c r="IF117" i="2"/>
  <c r="IE117" i="2"/>
  <c r="ID117" i="2"/>
  <c r="IC117" i="2"/>
  <c r="HS117" i="2"/>
  <c r="HR117" i="2"/>
  <c r="HQ117" i="2"/>
  <c r="HP117" i="2"/>
  <c r="HO117" i="2"/>
  <c r="HN117" i="2"/>
  <c r="HC117" i="2"/>
  <c r="HB117" i="2"/>
  <c r="HA117" i="2"/>
  <c r="GZ117" i="2"/>
  <c r="GY117" i="2"/>
  <c r="GX117" i="2"/>
  <c r="GN117" i="2"/>
  <c r="GM117" i="2"/>
  <c r="GL117" i="2"/>
  <c r="GK117" i="2"/>
  <c r="GJ117" i="2"/>
  <c r="GI117" i="2"/>
  <c r="FY117" i="2"/>
  <c r="FX117" i="2"/>
  <c r="FW117" i="2"/>
  <c r="FV117" i="2"/>
  <c r="FU117" i="2"/>
  <c r="FT117" i="2"/>
  <c r="FI117" i="2"/>
  <c r="FH117" i="2"/>
  <c r="FG117" i="2"/>
  <c r="FF117" i="2"/>
  <c r="FE117" i="2"/>
  <c r="FD117" i="2"/>
  <c r="ET117" i="2"/>
  <c r="ES117" i="2"/>
  <c r="ER117" i="2"/>
  <c r="EQ117" i="2"/>
  <c r="EP117" i="2"/>
  <c r="EO117" i="2"/>
  <c r="EE117" i="2"/>
  <c r="ED117" i="2"/>
  <c r="EC117" i="2"/>
  <c r="EB117" i="2"/>
  <c r="EA117" i="2"/>
  <c r="DZ117" i="2"/>
  <c r="DO117" i="2"/>
  <c r="DN117" i="2"/>
  <c r="DM117" i="2"/>
  <c r="DL117" i="2"/>
  <c r="DK117" i="2"/>
  <c r="DJ117" i="2"/>
  <c r="CZ117" i="2"/>
  <c r="CY117" i="2"/>
  <c r="CX117" i="2"/>
  <c r="CW117" i="2"/>
  <c r="CV117" i="2"/>
  <c r="CU117" i="2"/>
  <c r="CK117" i="2"/>
  <c r="CJ117" i="2"/>
  <c r="CI117" i="2"/>
  <c r="CH117" i="2"/>
  <c r="CG117" i="2"/>
  <c r="CF117" i="2"/>
  <c r="CE117" i="2"/>
  <c r="BH117" i="2"/>
  <c r="BG117" i="2"/>
  <c r="AY117" i="2"/>
  <c r="AX117" i="2"/>
  <c r="AV117" i="2"/>
  <c r="AU117" i="2"/>
  <c r="AT117" i="2"/>
  <c r="AS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X117" i="2"/>
  <c r="W117" i="2"/>
  <c r="V117" i="2"/>
  <c r="U117" i="2"/>
  <c r="T117" i="2"/>
  <c r="S117" i="2"/>
  <c r="R117" i="2"/>
  <c r="Q117" i="2"/>
  <c r="P117" i="2"/>
  <c r="M117" i="2"/>
  <c r="L117" i="2"/>
  <c r="K117" i="2"/>
  <c r="H117" i="2"/>
  <c r="G117" i="2"/>
  <c r="F117" i="2"/>
  <c r="E117" i="2"/>
  <c r="D117" i="2"/>
  <c r="C117" i="2"/>
  <c r="A117" i="2"/>
  <c r="IW116" i="2"/>
  <c r="IV116" i="2"/>
  <c r="IU116" i="2"/>
  <c r="IT116" i="2"/>
  <c r="IS116" i="2"/>
  <c r="IR116" i="2"/>
  <c r="IH116" i="2"/>
  <c r="IG116" i="2"/>
  <c r="IF116" i="2"/>
  <c r="IE116" i="2"/>
  <c r="ID116" i="2"/>
  <c r="IC116" i="2"/>
  <c r="HS116" i="2"/>
  <c r="HR116" i="2"/>
  <c r="HQ116" i="2"/>
  <c r="HP116" i="2"/>
  <c r="HO116" i="2"/>
  <c r="HN116" i="2"/>
  <c r="HC116" i="2"/>
  <c r="HB116" i="2"/>
  <c r="HA116" i="2"/>
  <c r="GZ116" i="2"/>
  <c r="GY116" i="2"/>
  <c r="GX116" i="2"/>
  <c r="GN116" i="2"/>
  <c r="GM116" i="2"/>
  <c r="GL116" i="2"/>
  <c r="GK116" i="2"/>
  <c r="GJ116" i="2"/>
  <c r="GI116" i="2"/>
  <c r="FY116" i="2"/>
  <c r="FX116" i="2"/>
  <c r="FW116" i="2"/>
  <c r="FV116" i="2"/>
  <c r="FU116" i="2"/>
  <c r="FT116" i="2"/>
  <c r="FI116" i="2"/>
  <c r="FH116" i="2"/>
  <c r="FG116" i="2"/>
  <c r="FF116" i="2"/>
  <c r="FE116" i="2"/>
  <c r="FD116" i="2"/>
  <c r="ET116" i="2"/>
  <c r="ES116" i="2"/>
  <c r="ER116" i="2"/>
  <c r="EQ116" i="2"/>
  <c r="EP116" i="2"/>
  <c r="EO116" i="2"/>
  <c r="EE116" i="2"/>
  <c r="ED116" i="2"/>
  <c r="EC116" i="2"/>
  <c r="EB116" i="2"/>
  <c r="EA116" i="2"/>
  <c r="DZ116" i="2"/>
  <c r="DO116" i="2"/>
  <c r="DN116" i="2"/>
  <c r="DM116" i="2"/>
  <c r="DL116" i="2"/>
  <c r="DK116" i="2"/>
  <c r="DJ116" i="2"/>
  <c r="CZ116" i="2"/>
  <c r="CY116" i="2"/>
  <c r="CX116" i="2"/>
  <c r="CW116" i="2"/>
  <c r="CV116" i="2"/>
  <c r="CU116" i="2"/>
  <c r="CK116" i="2"/>
  <c r="CJ116" i="2"/>
  <c r="CI116" i="2"/>
  <c r="CH116" i="2"/>
  <c r="CG116" i="2"/>
  <c r="CF116" i="2"/>
  <c r="CE116" i="2"/>
  <c r="BH116" i="2"/>
  <c r="BG116" i="2"/>
  <c r="AY116" i="2"/>
  <c r="AX116" i="2"/>
  <c r="AV116" i="2"/>
  <c r="AU116" i="2"/>
  <c r="AT116" i="2"/>
  <c r="AS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X116" i="2"/>
  <c r="W116" i="2"/>
  <c r="V116" i="2"/>
  <c r="U116" i="2"/>
  <c r="T116" i="2"/>
  <c r="S116" i="2"/>
  <c r="R116" i="2"/>
  <c r="Q116" i="2"/>
  <c r="P116" i="2"/>
  <c r="M116" i="2"/>
  <c r="L116" i="2"/>
  <c r="K116" i="2"/>
  <c r="H116" i="2"/>
  <c r="G116" i="2"/>
  <c r="F116" i="2"/>
  <c r="E116" i="2"/>
  <c r="D116" i="2"/>
  <c r="C116" i="2"/>
  <c r="A116" i="2"/>
  <c r="IW115" i="2"/>
  <c r="IV115" i="2"/>
  <c r="IU115" i="2"/>
  <c r="IT115" i="2"/>
  <c r="IS115" i="2"/>
  <c r="IR115" i="2"/>
  <c r="IH115" i="2"/>
  <c r="IG115" i="2"/>
  <c r="IF115" i="2"/>
  <c r="IE115" i="2"/>
  <c r="ID115" i="2"/>
  <c r="IC115" i="2"/>
  <c r="HS115" i="2"/>
  <c r="HR115" i="2"/>
  <c r="HQ115" i="2"/>
  <c r="HP115" i="2"/>
  <c r="HO115" i="2"/>
  <c r="HN115" i="2"/>
  <c r="HC115" i="2"/>
  <c r="HB115" i="2"/>
  <c r="HA115" i="2"/>
  <c r="GZ115" i="2"/>
  <c r="GY115" i="2"/>
  <c r="GX115" i="2"/>
  <c r="GN115" i="2"/>
  <c r="GM115" i="2"/>
  <c r="GL115" i="2"/>
  <c r="GK115" i="2"/>
  <c r="GJ115" i="2"/>
  <c r="GI115" i="2"/>
  <c r="FY115" i="2"/>
  <c r="FX115" i="2"/>
  <c r="FW115" i="2"/>
  <c r="FV115" i="2"/>
  <c r="FU115" i="2"/>
  <c r="FT115" i="2"/>
  <c r="FI115" i="2"/>
  <c r="FH115" i="2"/>
  <c r="FG115" i="2"/>
  <c r="FF115" i="2"/>
  <c r="FE115" i="2"/>
  <c r="FD115" i="2"/>
  <c r="ET115" i="2"/>
  <c r="ES115" i="2"/>
  <c r="ER115" i="2"/>
  <c r="EQ115" i="2"/>
  <c r="EP115" i="2"/>
  <c r="EO115" i="2"/>
  <c r="EE115" i="2"/>
  <c r="ED115" i="2"/>
  <c r="EC115" i="2"/>
  <c r="EB115" i="2"/>
  <c r="EA115" i="2"/>
  <c r="DZ115" i="2"/>
  <c r="DO115" i="2"/>
  <c r="DN115" i="2"/>
  <c r="DM115" i="2"/>
  <c r="DL115" i="2"/>
  <c r="DK115" i="2"/>
  <c r="DJ115" i="2"/>
  <c r="CZ115" i="2"/>
  <c r="CY115" i="2"/>
  <c r="CX115" i="2"/>
  <c r="CW115" i="2"/>
  <c r="CV115" i="2"/>
  <c r="CU115" i="2"/>
  <c r="CK115" i="2"/>
  <c r="CJ115" i="2"/>
  <c r="CI115" i="2"/>
  <c r="CH115" i="2"/>
  <c r="CG115" i="2"/>
  <c r="CF115" i="2"/>
  <c r="CE115" i="2"/>
  <c r="BH115" i="2"/>
  <c r="BG115" i="2"/>
  <c r="AY115" i="2"/>
  <c r="AX115" i="2"/>
  <c r="AV115" i="2"/>
  <c r="AU115" i="2"/>
  <c r="AT115" i="2"/>
  <c r="AS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X115" i="2"/>
  <c r="W115" i="2"/>
  <c r="V115" i="2"/>
  <c r="U115" i="2"/>
  <c r="T115" i="2"/>
  <c r="S115" i="2"/>
  <c r="R115" i="2"/>
  <c r="Q115" i="2"/>
  <c r="P115" i="2"/>
  <c r="M115" i="2"/>
  <c r="L115" i="2"/>
  <c r="K115" i="2"/>
  <c r="H115" i="2"/>
  <c r="G115" i="2"/>
  <c r="F115" i="2"/>
  <c r="E115" i="2"/>
  <c r="D115" i="2"/>
  <c r="C115" i="2"/>
  <c r="A115" i="2"/>
  <c r="IW114" i="2"/>
  <c r="IV114" i="2"/>
  <c r="IU114" i="2"/>
  <c r="IT114" i="2"/>
  <c r="IS114" i="2"/>
  <c r="IR114" i="2"/>
  <c r="IH114" i="2"/>
  <c r="IG114" i="2"/>
  <c r="IF114" i="2"/>
  <c r="IE114" i="2"/>
  <c r="ID114" i="2"/>
  <c r="IC114" i="2"/>
  <c r="HS114" i="2"/>
  <c r="HR114" i="2"/>
  <c r="HQ114" i="2"/>
  <c r="HP114" i="2"/>
  <c r="HO114" i="2"/>
  <c r="HN114" i="2"/>
  <c r="HC114" i="2"/>
  <c r="HB114" i="2"/>
  <c r="HA114" i="2"/>
  <c r="GZ114" i="2"/>
  <c r="GY114" i="2"/>
  <c r="GX114" i="2"/>
  <c r="GN114" i="2"/>
  <c r="GM114" i="2"/>
  <c r="GL114" i="2"/>
  <c r="GK114" i="2"/>
  <c r="GJ114" i="2"/>
  <c r="GI114" i="2"/>
  <c r="FY114" i="2"/>
  <c r="FX114" i="2"/>
  <c r="FW114" i="2"/>
  <c r="FV114" i="2"/>
  <c r="FU114" i="2"/>
  <c r="FT114" i="2"/>
  <c r="FI114" i="2"/>
  <c r="FH114" i="2"/>
  <c r="FG114" i="2"/>
  <c r="FF114" i="2"/>
  <c r="FE114" i="2"/>
  <c r="FD114" i="2"/>
  <c r="ET114" i="2"/>
  <c r="ES114" i="2"/>
  <c r="ER114" i="2"/>
  <c r="EQ114" i="2"/>
  <c r="EP114" i="2"/>
  <c r="EO114" i="2"/>
  <c r="EE114" i="2"/>
  <c r="ED114" i="2"/>
  <c r="EC114" i="2"/>
  <c r="EB114" i="2"/>
  <c r="EA114" i="2"/>
  <c r="DZ114" i="2"/>
  <c r="DO114" i="2"/>
  <c r="DN114" i="2"/>
  <c r="DM114" i="2"/>
  <c r="DL114" i="2"/>
  <c r="DK114" i="2"/>
  <c r="DJ114" i="2"/>
  <c r="CZ114" i="2"/>
  <c r="CY114" i="2"/>
  <c r="CX114" i="2"/>
  <c r="CW114" i="2"/>
  <c r="CV114" i="2"/>
  <c r="CU114" i="2"/>
  <c r="CK114" i="2"/>
  <c r="CJ114" i="2"/>
  <c r="CI114" i="2"/>
  <c r="CH114" i="2"/>
  <c r="CG114" i="2"/>
  <c r="CF114" i="2"/>
  <c r="CE114" i="2"/>
  <c r="BH114" i="2"/>
  <c r="BG114" i="2"/>
  <c r="AY114" i="2"/>
  <c r="AX114" i="2"/>
  <c r="AV114" i="2"/>
  <c r="AU114" i="2"/>
  <c r="AT114" i="2"/>
  <c r="AS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X114" i="2"/>
  <c r="W114" i="2"/>
  <c r="V114" i="2"/>
  <c r="U114" i="2"/>
  <c r="T114" i="2"/>
  <c r="S114" i="2"/>
  <c r="R114" i="2"/>
  <c r="Q114" i="2"/>
  <c r="P114" i="2"/>
  <c r="M114" i="2"/>
  <c r="L114" i="2"/>
  <c r="K114" i="2"/>
  <c r="H114" i="2"/>
  <c r="G114" i="2"/>
  <c r="F114" i="2"/>
  <c r="E114" i="2"/>
  <c r="D114" i="2"/>
  <c r="C114" i="2"/>
  <c r="A114" i="2"/>
  <c r="IW113" i="2"/>
  <c r="IV113" i="2"/>
  <c r="IU113" i="2"/>
  <c r="IT113" i="2"/>
  <c r="IS113" i="2"/>
  <c r="IR113" i="2"/>
  <c r="IH113" i="2"/>
  <c r="IG113" i="2"/>
  <c r="IF113" i="2"/>
  <c r="IE113" i="2"/>
  <c r="ID113" i="2"/>
  <c r="IC113" i="2"/>
  <c r="HS113" i="2"/>
  <c r="HR113" i="2"/>
  <c r="HQ113" i="2"/>
  <c r="HP113" i="2"/>
  <c r="HO113" i="2"/>
  <c r="HN113" i="2"/>
  <c r="HC113" i="2"/>
  <c r="HB113" i="2"/>
  <c r="HA113" i="2"/>
  <c r="GZ113" i="2"/>
  <c r="GY113" i="2"/>
  <c r="GX113" i="2"/>
  <c r="GN113" i="2"/>
  <c r="GM113" i="2"/>
  <c r="GL113" i="2"/>
  <c r="GK113" i="2"/>
  <c r="GJ113" i="2"/>
  <c r="GI113" i="2"/>
  <c r="FY113" i="2"/>
  <c r="FX113" i="2"/>
  <c r="FW113" i="2"/>
  <c r="FV113" i="2"/>
  <c r="FU113" i="2"/>
  <c r="FT113" i="2"/>
  <c r="FI113" i="2"/>
  <c r="FH113" i="2"/>
  <c r="FG113" i="2"/>
  <c r="FF113" i="2"/>
  <c r="FE113" i="2"/>
  <c r="FD113" i="2"/>
  <c r="ET113" i="2"/>
  <c r="ES113" i="2"/>
  <c r="ER113" i="2"/>
  <c r="EQ113" i="2"/>
  <c r="EP113" i="2"/>
  <c r="EO113" i="2"/>
  <c r="EE113" i="2"/>
  <c r="ED113" i="2"/>
  <c r="EC113" i="2"/>
  <c r="EB113" i="2"/>
  <c r="EA113" i="2"/>
  <c r="DZ113" i="2"/>
  <c r="DO113" i="2"/>
  <c r="DN113" i="2"/>
  <c r="DM113" i="2"/>
  <c r="DL113" i="2"/>
  <c r="DK113" i="2"/>
  <c r="DJ113" i="2"/>
  <c r="CZ113" i="2"/>
  <c r="CY113" i="2"/>
  <c r="CX113" i="2"/>
  <c r="CW113" i="2"/>
  <c r="CV113" i="2"/>
  <c r="CU113" i="2"/>
  <c r="CK113" i="2"/>
  <c r="CJ113" i="2"/>
  <c r="CI113" i="2"/>
  <c r="CH113" i="2"/>
  <c r="CG113" i="2"/>
  <c r="CF113" i="2"/>
  <c r="CE113" i="2"/>
  <c r="BH113" i="2"/>
  <c r="BG113" i="2"/>
  <c r="AY113" i="2"/>
  <c r="AX113" i="2"/>
  <c r="AV113" i="2"/>
  <c r="AU113" i="2"/>
  <c r="AT113" i="2"/>
  <c r="AS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X113" i="2"/>
  <c r="W113" i="2"/>
  <c r="V113" i="2"/>
  <c r="U113" i="2"/>
  <c r="T113" i="2"/>
  <c r="S113" i="2"/>
  <c r="R113" i="2"/>
  <c r="Q113" i="2"/>
  <c r="P113" i="2"/>
  <c r="M113" i="2"/>
  <c r="L113" i="2"/>
  <c r="K113" i="2"/>
  <c r="H113" i="2"/>
  <c r="G113" i="2"/>
  <c r="F113" i="2"/>
  <c r="E113" i="2"/>
  <c r="D113" i="2"/>
  <c r="C113" i="2"/>
  <c r="A113" i="2"/>
  <c r="IW112" i="2"/>
  <c r="IV112" i="2"/>
  <c r="IU112" i="2"/>
  <c r="IT112" i="2"/>
  <c r="IS112" i="2"/>
  <c r="IR112" i="2"/>
  <c r="IH112" i="2"/>
  <c r="IG112" i="2"/>
  <c r="IF112" i="2"/>
  <c r="IE112" i="2"/>
  <c r="ID112" i="2"/>
  <c r="IC112" i="2"/>
  <c r="HS112" i="2"/>
  <c r="HR112" i="2"/>
  <c r="HQ112" i="2"/>
  <c r="HP112" i="2"/>
  <c r="HO112" i="2"/>
  <c r="HN112" i="2"/>
  <c r="HC112" i="2"/>
  <c r="HB112" i="2"/>
  <c r="HA112" i="2"/>
  <c r="GZ112" i="2"/>
  <c r="GY112" i="2"/>
  <c r="GX112" i="2"/>
  <c r="GN112" i="2"/>
  <c r="GM112" i="2"/>
  <c r="GL112" i="2"/>
  <c r="GK112" i="2"/>
  <c r="GJ112" i="2"/>
  <c r="GI112" i="2"/>
  <c r="FY112" i="2"/>
  <c r="FX112" i="2"/>
  <c r="FW112" i="2"/>
  <c r="FV112" i="2"/>
  <c r="FU112" i="2"/>
  <c r="FT112" i="2"/>
  <c r="FI112" i="2"/>
  <c r="FH112" i="2"/>
  <c r="FG112" i="2"/>
  <c r="FF112" i="2"/>
  <c r="FE112" i="2"/>
  <c r="FD112" i="2"/>
  <c r="ET112" i="2"/>
  <c r="ES112" i="2"/>
  <c r="ER112" i="2"/>
  <c r="EQ112" i="2"/>
  <c r="EP112" i="2"/>
  <c r="EO112" i="2"/>
  <c r="EE112" i="2"/>
  <c r="ED112" i="2"/>
  <c r="EC112" i="2"/>
  <c r="EB112" i="2"/>
  <c r="EA112" i="2"/>
  <c r="DZ112" i="2"/>
  <c r="DO112" i="2"/>
  <c r="DN112" i="2"/>
  <c r="DM112" i="2"/>
  <c r="DL112" i="2"/>
  <c r="DK112" i="2"/>
  <c r="DJ112" i="2"/>
  <c r="CZ112" i="2"/>
  <c r="CY112" i="2"/>
  <c r="CX112" i="2"/>
  <c r="CW112" i="2"/>
  <c r="CV112" i="2"/>
  <c r="CU112" i="2"/>
  <c r="CK112" i="2"/>
  <c r="CJ112" i="2"/>
  <c r="CI112" i="2"/>
  <c r="CH112" i="2"/>
  <c r="CG112" i="2"/>
  <c r="CF112" i="2"/>
  <c r="CE112" i="2"/>
  <c r="BH112" i="2"/>
  <c r="BG112" i="2"/>
  <c r="AY112" i="2"/>
  <c r="AX112" i="2"/>
  <c r="AV112" i="2"/>
  <c r="AU112" i="2"/>
  <c r="AT112" i="2"/>
  <c r="AS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X112" i="2"/>
  <c r="W112" i="2"/>
  <c r="V112" i="2"/>
  <c r="U112" i="2"/>
  <c r="T112" i="2"/>
  <c r="S112" i="2"/>
  <c r="R112" i="2"/>
  <c r="Q112" i="2"/>
  <c r="P112" i="2"/>
  <c r="M112" i="2"/>
  <c r="L112" i="2"/>
  <c r="K112" i="2"/>
  <c r="H112" i="2"/>
  <c r="G112" i="2"/>
  <c r="F112" i="2"/>
  <c r="E112" i="2"/>
  <c r="D112" i="2"/>
  <c r="C112" i="2"/>
  <c r="A112" i="2"/>
  <c r="IW111" i="2"/>
  <c r="IV111" i="2"/>
  <c r="IU111" i="2"/>
  <c r="IT111" i="2"/>
  <c r="IS111" i="2"/>
  <c r="IR111" i="2"/>
  <c r="IH111" i="2"/>
  <c r="IG111" i="2"/>
  <c r="IF111" i="2"/>
  <c r="IE111" i="2"/>
  <c r="ID111" i="2"/>
  <c r="IC111" i="2"/>
  <c r="HS111" i="2"/>
  <c r="HR111" i="2"/>
  <c r="HQ111" i="2"/>
  <c r="HP111" i="2"/>
  <c r="HO111" i="2"/>
  <c r="HN111" i="2"/>
  <c r="HC111" i="2"/>
  <c r="HB111" i="2"/>
  <c r="HA111" i="2"/>
  <c r="GZ111" i="2"/>
  <c r="GY111" i="2"/>
  <c r="GX111" i="2"/>
  <c r="GN111" i="2"/>
  <c r="GM111" i="2"/>
  <c r="GL111" i="2"/>
  <c r="GK111" i="2"/>
  <c r="GJ111" i="2"/>
  <c r="GI111" i="2"/>
  <c r="FY111" i="2"/>
  <c r="FX111" i="2"/>
  <c r="FW111" i="2"/>
  <c r="FV111" i="2"/>
  <c r="FU111" i="2"/>
  <c r="FT111" i="2"/>
  <c r="FI111" i="2"/>
  <c r="FH111" i="2"/>
  <c r="FG111" i="2"/>
  <c r="FF111" i="2"/>
  <c r="FE111" i="2"/>
  <c r="FD111" i="2"/>
  <c r="ET111" i="2"/>
  <c r="ES111" i="2"/>
  <c r="ER111" i="2"/>
  <c r="EQ111" i="2"/>
  <c r="EP111" i="2"/>
  <c r="EO111" i="2"/>
  <c r="EE111" i="2"/>
  <c r="ED111" i="2"/>
  <c r="EC111" i="2"/>
  <c r="EB111" i="2"/>
  <c r="EA111" i="2"/>
  <c r="DZ111" i="2"/>
  <c r="DO111" i="2"/>
  <c r="DN111" i="2"/>
  <c r="DM111" i="2"/>
  <c r="DL111" i="2"/>
  <c r="DK111" i="2"/>
  <c r="DJ111" i="2"/>
  <c r="CZ111" i="2"/>
  <c r="CY111" i="2"/>
  <c r="CX111" i="2"/>
  <c r="CW111" i="2"/>
  <c r="CV111" i="2"/>
  <c r="CU111" i="2"/>
  <c r="CK111" i="2"/>
  <c r="CJ111" i="2"/>
  <c r="CI111" i="2"/>
  <c r="CH111" i="2"/>
  <c r="CG111" i="2"/>
  <c r="CF111" i="2"/>
  <c r="CE111" i="2"/>
  <c r="BH111" i="2"/>
  <c r="BG111" i="2"/>
  <c r="AY111" i="2"/>
  <c r="AX111" i="2"/>
  <c r="AV111" i="2"/>
  <c r="AU111" i="2"/>
  <c r="AT111" i="2"/>
  <c r="AS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X111" i="2"/>
  <c r="W111" i="2"/>
  <c r="V111" i="2"/>
  <c r="U111" i="2"/>
  <c r="T111" i="2"/>
  <c r="S111" i="2"/>
  <c r="R111" i="2"/>
  <c r="Q111" i="2"/>
  <c r="P111" i="2"/>
  <c r="M111" i="2"/>
  <c r="L111" i="2"/>
  <c r="K111" i="2"/>
  <c r="H111" i="2"/>
  <c r="G111" i="2"/>
  <c r="F111" i="2"/>
  <c r="E111" i="2"/>
  <c r="D111" i="2"/>
  <c r="C111" i="2"/>
  <c r="A111" i="2"/>
  <c r="IW110" i="2"/>
  <c r="IV110" i="2"/>
  <c r="IU110" i="2"/>
  <c r="IT110" i="2"/>
  <c r="IS110" i="2"/>
  <c r="IR110" i="2"/>
  <c r="IH110" i="2"/>
  <c r="IG110" i="2"/>
  <c r="IF110" i="2"/>
  <c r="IE110" i="2"/>
  <c r="ID110" i="2"/>
  <c r="IC110" i="2"/>
  <c r="HS110" i="2"/>
  <c r="HR110" i="2"/>
  <c r="HQ110" i="2"/>
  <c r="HP110" i="2"/>
  <c r="HO110" i="2"/>
  <c r="HN110" i="2"/>
  <c r="HC110" i="2"/>
  <c r="HB110" i="2"/>
  <c r="HA110" i="2"/>
  <c r="GZ110" i="2"/>
  <c r="GY110" i="2"/>
  <c r="GX110" i="2"/>
  <c r="GN110" i="2"/>
  <c r="GM110" i="2"/>
  <c r="GL110" i="2"/>
  <c r="GK110" i="2"/>
  <c r="GJ110" i="2"/>
  <c r="GI110" i="2"/>
  <c r="FY110" i="2"/>
  <c r="FX110" i="2"/>
  <c r="FW110" i="2"/>
  <c r="FV110" i="2"/>
  <c r="FU110" i="2"/>
  <c r="FT110" i="2"/>
  <c r="FI110" i="2"/>
  <c r="FH110" i="2"/>
  <c r="FG110" i="2"/>
  <c r="FF110" i="2"/>
  <c r="FE110" i="2"/>
  <c r="FD110" i="2"/>
  <c r="ET110" i="2"/>
  <c r="ES110" i="2"/>
  <c r="ER110" i="2"/>
  <c r="EQ110" i="2"/>
  <c r="EP110" i="2"/>
  <c r="EO110" i="2"/>
  <c r="EE110" i="2"/>
  <c r="ED110" i="2"/>
  <c r="EC110" i="2"/>
  <c r="EB110" i="2"/>
  <c r="EA110" i="2"/>
  <c r="DZ110" i="2"/>
  <c r="DO110" i="2"/>
  <c r="DN110" i="2"/>
  <c r="DM110" i="2"/>
  <c r="DL110" i="2"/>
  <c r="DK110" i="2"/>
  <c r="DJ110" i="2"/>
  <c r="CZ110" i="2"/>
  <c r="CY110" i="2"/>
  <c r="CX110" i="2"/>
  <c r="CW110" i="2"/>
  <c r="CV110" i="2"/>
  <c r="CU110" i="2"/>
  <c r="CK110" i="2"/>
  <c r="CJ110" i="2"/>
  <c r="CI110" i="2"/>
  <c r="CH110" i="2"/>
  <c r="CG110" i="2"/>
  <c r="CF110" i="2"/>
  <c r="CE110" i="2"/>
  <c r="BH110" i="2"/>
  <c r="BG110" i="2"/>
  <c r="AY110" i="2"/>
  <c r="AX110" i="2"/>
  <c r="AV110" i="2"/>
  <c r="AU110" i="2"/>
  <c r="AT110" i="2"/>
  <c r="AS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X110" i="2"/>
  <c r="W110" i="2"/>
  <c r="V110" i="2"/>
  <c r="U110" i="2"/>
  <c r="T110" i="2"/>
  <c r="S110" i="2"/>
  <c r="R110" i="2"/>
  <c r="Q110" i="2"/>
  <c r="P110" i="2"/>
  <c r="M110" i="2"/>
  <c r="L110" i="2"/>
  <c r="K110" i="2"/>
  <c r="H110" i="2"/>
  <c r="G110" i="2"/>
  <c r="F110" i="2"/>
  <c r="E110" i="2"/>
  <c r="D110" i="2"/>
  <c r="C110" i="2"/>
  <c r="A110" i="2"/>
  <c r="IW109" i="2"/>
  <c r="IV109" i="2"/>
  <c r="IU109" i="2"/>
  <c r="IT109" i="2"/>
  <c r="IS109" i="2"/>
  <c r="IR109" i="2"/>
  <c r="IH109" i="2"/>
  <c r="IG109" i="2"/>
  <c r="IF109" i="2"/>
  <c r="IE109" i="2"/>
  <c r="ID109" i="2"/>
  <c r="IC109" i="2"/>
  <c r="HS109" i="2"/>
  <c r="HR109" i="2"/>
  <c r="HQ109" i="2"/>
  <c r="HP109" i="2"/>
  <c r="HO109" i="2"/>
  <c r="HN109" i="2"/>
  <c r="HC109" i="2"/>
  <c r="HB109" i="2"/>
  <c r="HA109" i="2"/>
  <c r="GZ109" i="2"/>
  <c r="GY109" i="2"/>
  <c r="GX109" i="2"/>
  <c r="GN109" i="2"/>
  <c r="GM109" i="2"/>
  <c r="GL109" i="2"/>
  <c r="GK109" i="2"/>
  <c r="GJ109" i="2"/>
  <c r="GI109" i="2"/>
  <c r="FY109" i="2"/>
  <c r="FX109" i="2"/>
  <c r="FW109" i="2"/>
  <c r="FV109" i="2"/>
  <c r="FU109" i="2"/>
  <c r="FT109" i="2"/>
  <c r="FI109" i="2"/>
  <c r="FH109" i="2"/>
  <c r="FG109" i="2"/>
  <c r="FF109" i="2"/>
  <c r="FE109" i="2"/>
  <c r="FD109" i="2"/>
  <c r="ET109" i="2"/>
  <c r="ES109" i="2"/>
  <c r="ER109" i="2"/>
  <c r="EQ109" i="2"/>
  <c r="EP109" i="2"/>
  <c r="EO109" i="2"/>
  <c r="EE109" i="2"/>
  <c r="ED109" i="2"/>
  <c r="EC109" i="2"/>
  <c r="EB109" i="2"/>
  <c r="EA109" i="2"/>
  <c r="DZ109" i="2"/>
  <c r="DO109" i="2"/>
  <c r="DN109" i="2"/>
  <c r="DM109" i="2"/>
  <c r="DL109" i="2"/>
  <c r="DK109" i="2"/>
  <c r="DJ109" i="2"/>
  <c r="CZ109" i="2"/>
  <c r="CY109" i="2"/>
  <c r="CX109" i="2"/>
  <c r="CW109" i="2"/>
  <c r="CV109" i="2"/>
  <c r="CU109" i="2"/>
  <c r="CK109" i="2"/>
  <c r="CJ109" i="2"/>
  <c r="CI109" i="2"/>
  <c r="CH109" i="2"/>
  <c r="CG109" i="2"/>
  <c r="CF109" i="2"/>
  <c r="CE109" i="2"/>
  <c r="BH109" i="2"/>
  <c r="BG109" i="2"/>
  <c r="AY109" i="2"/>
  <c r="AX109" i="2"/>
  <c r="AV109" i="2"/>
  <c r="AU109" i="2"/>
  <c r="AT109" i="2"/>
  <c r="AS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X109" i="2"/>
  <c r="W109" i="2"/>
  <c r="V109" i="2"/>
  <c r="U109" i="2"/>
  <c r="T109" i="2"/>
  <c r="S109" i="2"/>
  <c r="R109" i="2"/>
  <c r="Q109" i="2"/>
  <c r="P109" i="2"/>
  <c r="M109" i="2"/>
  <c r="L109" i="2"/>
  <c r="K109" i="2"/>
  <c r="H109" i="2"/>
  <c r="G109" i="2"/>
  <c r="F109" i="2"/>
  <c r="E109" i="2"/>
  <c r="D109" i="2"/>
  <c r="C109" i="2"/>
  <c r="A109" i="2"/>
  <c r="IW108" i="2"/>
  <c r="IV108" i="2"/>
  <c r="IU108" i="2"/>
  <c r="IT108" i="2"/>
  <c r="IS108" i="2"/>
  <c r="IR108" i="2"/>
  <c r="IH108" i="2"/>
  <c r="IG108" i="2"/>
  <c r="IF108" i="2"/>
  <c r="IE108" i="2"/>
  <c r="ID108" i="2"/>
  <c r="IC108" i="2"/>
  <c r="HS108" i="2"/>
  <c r="HR108" i="2"/>
  <c r="HQ108" i="2"/>
  <c r="HP108" i="2"/>
  <c r="HO108" i="2"/>
  <c r="HN108" i="2"/>
  <c r="HC108" i="2"/>
  <c r="HB108" i="2"/>
  <c r="HA108" i="2"/>
  <c r="GZ108" i="2"/>
  <c r="GY108" i="2"/>
  <c r="GX108" i="2"/>
  <c r="GN108" i="2"/>
  <c r="GM108" i="2"/>
  <c r="GL108" i="2"/>
  <c r="GK108" i="2"/>
  <c r="GJ108" i="2"/>
  <c r="GI108" i="2"/>
  <c r="FY108" i="2"/>
  <c r="FX108" i="2"/>
  <c r="FW108" i="2"/>
  <c r="FV108" i="2"/>
  <c r="FU108" i="2"/>
  <c r="FT108" i="2"/>
  <c r="FI108" i="2"/>
  <c r="FH108" i="2"/>
  <c r="FG108" i="2"/>
  <c r="FF108" i="2"/>
  <c r="FE108" i="2"/>
  <c r="FD108" i="2"/>
  <c r="ET108" i="2"/>
  <c r="ES108" i="2"/>
  <c r="ER108" i="2"/>
  <c r="EQ108" i="2"/>
  <c r="EP108" i="2"/>
  <c r="EO108" i="2"/>
  <c r="EE108" i="2"/>
  <c r="ED108" i="2"/>
  <c r="EC108" i="2"/>
  <c r="EB108" i="2"/>
  <c r="EA108" i="2"/>
  <c r="DZ108" i="2"/>
  <c r="DO108" i="2"/>
  <c r="DN108" i="2"/>
  <c r="DM108" i="2"/>
  <c r="DL108" i="2"/>
  <c r="DK108" i="2"/>
  <c r="DJ108" i="2"/>
  <c r="CZ108" i="2"/>
  <c r="CY108" i="2"/>
  <c r="CX108" i="2"/>
  <c r="CW108" i="2"/>
  <c r="CV108" i="2"/>
  <c r="CU108" i="2"/>
  <c r="CK108" i="2"/>
  <c r="CJ108" i="2"/>
  <c r="CI108" i="2"/>
  <c r="CH108" i="2"/>
  <c r="CG108" i="2"/>
  <c r="CF108" i="2"/>
  <c r="CE108" i="2"/>
  <c r="BH108" i="2"/>
  <c r="BG108" i="2"/>
  <c r="AY108" i="2"/>
  <c r="AX108" i="2"/>
  <c r="AV108" i="2"/>
  <c r="AU108" i="2"/>
  <c r="AT108" i="2"/>
  <c r="AS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X108" i="2"/>
  <c r="W108" i="2"/>
  <c r="V108" i="2"/>
  <c r="U108" i="2"/>
  <c r="T108" i="2"/>
  <c r="S108" i="2"/>
  <c r="R108" i="2"/>
  <c r="Q108" i="2"/>
  <c r="P108" i="2"/>
  <c r="M108" i="2"/>
  <c r="L108" i="2"/>
  <c r="K108" i="2"/>
  <c r="H108" i="2"/>
  <c r="G108" i="2"/>
  <c r="F108" i="2"/>
  <c r="E108" i="2"/>
  <c r="D108" i="2"/>
  <c r="C108" i="2"/>
  <c r="A108" i="2"/>
  <c r="IW107" i="2"/>
  <c r="IV107" i="2"/>
  <c r="IU107" i="2"/>
  <c r="IT107" i="2"/>
  <c r="IS107" i="2"/>
  <c r="IR107" i="2"/>
  <c r="IH107" i="2"/>
  <c r="IG107" i="2"/>
  <c r="IF107" i="2"/>
  <c r="IE107" i="2"/>
  <c r="ID107" i="2"/>
  <c r="IC107" i="2"/>
  <c r="HS107" i="2"/>
  <c r="HR107" i="2"/>
  <c r="HQ107" i="2"/>
  <c r="HP107" i="2"/>
  <c r="HO107" i="2"/>
  <c r="HN107" i="2"/>
  <c r="HC107" i="2"/>
  <c r="HB107" i="2"/>
  <c r="HA107" i="2"/>
  <c r="GZ107" i="2"/>
  <c r="GY107" i="2"/>
  <c r="GX107" i="2"/>
  <c r="GN107" i="2"/>
  <c r="GM107" i="2"/>
  <c r="GL107" i="2"/>
  <c r="GK107" i="2"/>
  <c r="GJ107" i="2"/>
  <c r="GI107" i="2"/>
  <c r="FY107" i="2"/>
  <c r="FX107" i="2"/>
  <c r="FW107" i="2"/>
  <c r="FV107" i="2"/>
  <c r="FU107" i="2"/>
  <c r="FT107" i="2"/>
  <c r="FI107" i="2"/>
  <c r="FH107" i="2"/>
  <c r="FG107" i="2"/>
  <c r="FF107" i="2"/>
  <c r="FE107" i="2"/>
  <c r="FD107" i="2"/>
  <c r="ET107" i="2"/>
  <c r="ES107" i="2"/>
  <c r="ER107" i="2"/>
  <c r="EQ107" i="2"/>
  <c r="EP107" i="2"/>
  <c r="EO107" i="2"/>
  <c r="EE107" i="2"/>
  <c r="ED107" i="2"/>
  <c r="EC107" i="2"/>
  <c r="EB107" i="2"/>
  <c r="EA107" i="2"/>
  <c r="DZ107" i="2"/>
  <c r="DO107" i="2"/>
  <c r="DN107" i="2"/>
  <c r="DM107" i="2"/>
  <c r="DL107" i="2"/>
  <c r="DK107" i="2"/>
  <c r="DJ107" i="2"/>
  <c r="CZ107" i="2"/>
  <c r="CY107" i="2"/>
  <c r="CX107" i="2"/>
  <c r="CW107" i="2"/>
  <c r="CV107" i="2"/>
  <c r="CU107" i="2"/>
  <c r="CK107" i="2"/>
  <c r="CJ107" i="2"/>
  <c r="CI107" i="2"/>
  <c r="CH107" i="2"/>
  <c r="CG107" i="2"/>
  <c r="CF107" i="2"/>
  <c r="CE107" i="2"/>
  <c r="BH107" i="2"/>
  <c r="BG107" i="2"/>
  <c r="AY107" i="2"/>
  <c r="AX107" i="2"/>
  <c r="AV107" i="2"/>
  <c r="AU107" i="2"/>
  <c r="AT107" i="2"/>
  <c r="AS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X107" i="2"/>
  <c r="W107" i="2"/>
  <c r="V107" i="2"/>
  <c r="U107" i="2"/>
  <c r="T107" i="2"/>
  <c r="S107" i="2"/>
  <c r="R107" i="2"/>
  <c r="Q107" i="2"/>
  <c r="P107" i="2"/>
  <c r="M107" i="2"/>
  <c r="L107" i="2"/>
  <c r="K107" i="2"/>
  <c r="H107" i="2"/>
  <c r="G107" i="2"/>
  <c r="F107" i="2"/>
  <c r="E107" i="2"/>
  <c r="D107" i="2"/>
  <c r="C107" i="2"/>
  <c r="A107" i="2"/>
  <c r="IW106" i="2"/>
  <c r="IV106" i="2"/>
  <c r="IU106" i="2"/>
  <c r="IT106" i="2"/>
  <c r="IS106" i="2"/>
  <c r="IR106" i="2"/>
  <c r="IH106" i="2"/>
  <c r="IG106" i="2"/>
  <c r="IF106" i="2"/>
  <c r="IE106" i="2"/>
  <c r="ID106" i="2"/>
  <c r="IC106" i="2"/>
  <c r="HS106" i="2"/>
  <c r="HR106" i="2"/>
  <c r="HQ106" i="2"/>
  <c r="HP106" i="2"/>
  <c r="HO106" i="2"/>
  <c r="HN106" i="2"/>
  <c r="HC106" i="2"/>
  <c r="HB106" i="2"/>
  <c r="HA106" i="2"/>
  <c r="GZ106" i="2"/>
  <c r="GY106" i="2"/>
  <c r="GX106" i="2"/>
  <c r="GN106" i="2"/>
  <c r="GM106" i="2"/>
  <c r="GL106" i="2"/>
  <c r="GK106" i="2"/>
  <c r="GJ106" i="2"/>
  <c r="GI106" i="2"/>
  <c r="FY106" i="2"/>
  <c r="FX106" i="2"/>
  <c r="FW106" i="2"/>
  <c r="FV106" i="2"/>
  <c r="FU106" i="2"/>
  <c r="FT106" i="2"/>
  <c r="FI106" i="2"/>
  <c r="FH106" i="2"/>
  <c r="FG106" i="2"/>
  <c r="FF106" i="2"/>
  <c r="FE106" i="2"/>
  <c r="FD106" i="2"/>
  <c r="ET106" i="2"/>
  <c r="ES106" i="2"/>
  <c r="ER106" i="2"/>
  <c r="EQ106" i="2"/>
  <c r="EP106" i="2"/>
  <c r="EO106" i="2"/>
  <c r="EE106" i="2"/>
  <c r="ED106" i="2"/>
  <c r="EC106" i="2"/>
  <c r="EB106" i="2"/>
  <c r="EA106" i="2"/>
  <c r="DZ106" i="2"/>
  <c r="DO106" i="2"/>
  <c r="DN106" i="2"/>
  <c r="DM106" i="2"/>
  <c r="DL106" i="2"/>
  <c r="DK106" i="2"/>
  <c r="DJ106" i="2"/>
  <c r="CZ106" i="2"/>
  <c r="CY106" i="2"/>
  <c r="CX106" i="2"/>
  <c r="CW106" i="2"/>
  <c r="CV106" i="2"/>
  <c r="CU106" i="2"/>
  <c r="CK106" i="2"/>
  <c r="CJ106" i="2"/>
  <c r="CI106" i="2"/>
  <c r="CH106" i="2"/>
  <c r="CG106" i="2"/>
  <c r="CF106" i="2"/>
  <c r="CE106" i="2"/>
  <c r="BH106" i="2"/>
  <c r="BG106" i="2"/>
  <c r="AY106" i="2"/>
  <c r="AX106" i="2"/>
  <c r="AV106" i="2"/>
  <c r="AU106" i="2"/>
  <c r="AT106" i="2"/>
  <c r="AS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X106" i="2"/>
  <c r="W106" i="2"/>
  <c r="V106" i="2"/>
  <c r="U106" i="2"/>
  <c r="T106" i="2"/>
  <c r="S106" i="2"/>
  <c r="R106" i="2"/>
  <c r="Q106" i="2"/>
  <c r="P106" i="2"/>
  <c r="M106" i="2"/>
  <c r="L106" i="2"/>
  <c r="K106" i="2"/>
  <c r="H106" i="2"/>
  <c r="G106" i="2"/>
  <c r="F106" i="2"/>
  <c r="E106" i="2"/>
  <c r="D106" i="2"/>
  <c r="C106" i="2"/>
  <c r="A106" i="2"/>
  <c r="IW105" i="2"/>
  <c r="IV105" i="2"/>
  <c r="IU105" i="2"/>
  <c r="IT105" i="2"/>
  <c r="IS105" i="2"/>
  <c r="IR105" i="2"/>
  <c r="IH105" i="2"/>
  <c r="IG105" i="2"/>
  <c r="IF105" i="2"/>
  <c r="IE105" i="2"/>
  <c r="ID105" i="2"/>
  <c r="IC105" i="2"/>
  <c r="HS105" i="2"/>
  <c r="HR105" i="2"/>
  <c r="HQ105" i="2"/>
  <c r="HP105" i="2"/>
  <c r="HO105" i="2"/>
  <c r="HN105" i="2"/>
  <c r="HC105" i="2"/>
  <c r="HB105" i="2"/>
  <c r="HA105" i="2"/>
  <c r="GZ105" i="2"/>
  <c r="GY105" i="2"/>
  <c r="GX105" i="2"/>
  <c r="GN105" i="2"/>
  <c r="GM105" i="2"/>
  <c r="GL105" i="2"/>
  <c r="GK105" i="2"/>
  <c r="GJ105" i="2"/>
  <c r="GI105" i="2"/>
  <c r="FY105" i="2"/>
  <c r="FX105" i="2"/>
  <c r="FW105" i="2"/>
  <c r="FV105" i="2"/>
  <c r="FU105" i="2"/>
  <c r="FT105" i="2"/>
  <c r="FI105" i="2"/>
  <c r="FH105" i="2"/>
  <c r="FG105" i="2"/>
  <c r="FF105" i="2"/>
  <c r="FE105" i="2"/>
  <c r="FD105" i="2"/>
  <c r="ET105" i="2"/>
  <c r="ES105" i="2"/>
  <c r="ER105" i="2"/>
  <c r="EQ105" i="2"/>
  <c r="EP105" i="2"/>
  <c r="EO105" i="2"/>
  <c r="EE105" i="2"/>
  <c r="ED105" i="2"/>
  <c r="EC105" i="2"/>
  <c r="EB105" i="2"/>
  <c r="EA105" i="2"/>
  <c r="DZ105" i="2"/>
  <c r="DO105" i="2"/>
  <c r="DN105" i="2"/>
  <c r="DM105" i="2"/>
  <c r="DL105" i="2"/>
  <c r="DK105" i="2"/>
  <c r="DJ105" i="2"/>
  <c r="CZ105" i="2"/>
  <c r="CY105" i="2"/>
  <c r="CX105" i="2"/>
  <c r="CW105" i="2"/>
  <c r="CV105" i="2"/>
  <c r="CU105" i="2"/>
  <c r="CK105" i="2"/>
  <c r="CJ105" i="2"/>
  <c r="CI105" i="2"/>
  <c r="CH105" i="2"/>
  <c r="CG105" i="2"/>
  <c r="CF105" i="2"/>
  <c r="CE105" i="2"/>
  <c r="BH105" i="2"/>
  <c r="BG105" i="2"/>
  <c r="AY105" i="2"/>
  <c r="AX105" i="2"/>
  <c r="AV105" i="2"/>
  <c r="AU105" i="2"/>
  <c r="AT105" i="2"/>
  <c r="AS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X105" i="2"/>
  <c r="W105" i="2"/>
  <c r="V105" i="2"/>
  <c r="U105" i="2"/>
  <c r="T105" i="2"/>
  <c r="S105" i="2"/>
  <c r="R105" i="2"/>
  <c r="Q105" i="2"/>
  <c r="P105" i="2"/>
  <c r="M105" i="2"/>
  <c r="L105" i="2"/>
  <c r="K105" i="2"/>
  <c r="H105" i="2"/>
  <c r="G105" i="2"/>
  <c r="F105" i="2"/>
  <c r="E105" i="2"/>
  <c r="D105" i="2"/>
  <c r="C105" i="2"/>
  <c r="A105" i="2"/>
  <c r="IW104" i="2"/>
  <c r="IV104" i="2"/>
  <c r="IU104" i="2"/>
  <c r="IT104" i="2"/>
  <c r="IS104" i="2"/>
  <c r="IR104" i="2"/>
  <c r="IH104" i="2"/>
  <c r="IG104" i="2"/>
  <c r="IF104" i="2"/>
  <c r="IE104" i="2"/>
  <c r="ID104" i="2"/>
  <c r="IC104" i="2"/>
  <c r="HS104" i="2"/>
  <c r="HR104" i="2"/>
  <c r="HQ104" i="2"/>
  <c r="HP104" i="2"/>
  <c r="HO104" i="2"/>
  <c r="HN104" i="2"/>
  <c r="HC104" i="2"/>
  <c r="HB104" i="2"/>
  <c r="HA104" i="2"/>
  <c r="GZ104" i="2"/>
  <c r="GY104" i="2"/>
  <c r="GX104" i="2"/>
  <c r="GN104" i="2"/>
  <c r="GM104" i="2"/>
  <c r="GL104" i="2"/>
  <c r="GK104" i="2"/>
  <c r="GJ104" i="2"/>
  <c r="GI104" i="2"/>
  <c r="FY104" i="2"/>
  <c r="FX104" i="2"/>
  <c r="FW104" i="2"/>
  <c r="FV104" i="2"/>
  <c r="FU104" i="2"/>
  <c r="FT104" i="2"/>
  <c r="FI104" i="2"/>
  <c r="FH104" i="2"/>
  <c r="FG104" i="2"/>
  <c r="FF104" i="2"/>
  <c r="FE104" i="2"/>
  <c r="FD104" i="2"/>
  <c r="ET104" i="2"/>
  <c r="ES104" i="2"/>
  <c r="ER104" i="2"/>
  <c r="EQ104" i="2"/>
  <c r="EP104" i="2"/>
  <c r="EO104" i="2"/>
  <c r="EE104" i="2"/>
  <c r="ED104" i="2"/>
  <c r="EC104" i="2"/>
  <c r="EB104" i="2"/>
  <c r="EA104" i="2"/>
  <c r="DZ104" i="2"/>
  <c r="DO104" i="2"/>
  <c r="DN104" i="2"/>
  <c r="DM104" i="2"/>
  <c r="DL104" i="2"/>
  <c r="DK104" i="2"/>
  <c r="DJ104" i="2"/>
  <c r="CZ104" i="2"/>
  <c r="CY104" i="2"/>
  <c r="CX104" i="2"/>
  <c r="CW104" i="2"/>
  <c r="CV104" i="2"/>
  <c r="CU104" i="2"/>
  <c r="CK104" i="2"/>
  <c r="CJ104" i="2"/>
  <c r="CI104" i="2"/>
  <c r="CH104" i="2"/>
  <c r="CG104" i="2"/>
  <c r="CF104" i="2"/>
  <c r="CE104" i="2"/>
  <c r="BH104" i="2"/>
  <c r="BG104" i="2"/>
  <c r="AY104" i="2"/>
  <c r="AX104" i="2"/>
  <c r="AV104" i="2"/>
  <c r="AU104" i="2"/>
  <c r="AT104" i="2"/>
  <c r="AS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X104" i="2"/>
  <c r="W104" i="2"/>
  <c r="V104" i="2"/>
  <c r="U104" i="2"/>
  <c r="T104" i="2"/>
  <c r="S104" i="2"/>
  <c r="R104" i="2"/>
  <c r="Q104" i="2"/>
  <c r="P104" i="2"/>
  <c r="M104" i="2"/>
  <c r="L104" i="2"/>
  <c r="K104" i="2"/>
  <c r="H104" i="2"/>
  <c r="G104" i="2"/>
  <c r="F104" i="2"/>
  <c r="E104" i="2"/>
  <c r="D104" i="2"/>
  <c r="C104" i="2"/>
  <c r="A104" i="2"/>
  <c r="IW103" i="2"/>
  <c r="IV103" i="2"/>
  <c r="IU103" i="2"/>
  <c r="IT103" i="2"/>
  <c r="IS103" i="2"/>
  <c r="IR103" i="2"/>
  <c r="IH103" i="2"/>
  <c r="IG103" i="2"/>
  <c r="IF103" i="2"/>
  <c r="IE103" i="2"/>
  <c r="ID103" i="2"/>
  <c r="IC103" i="2"/>
  <c r="HS103" i="2"/>
  <c r="HR103" i="2"/>
  <c r="HQ103" i="2"/>
  <c r="HP103" i="2"/>
  <c r="HO103" i="2"/>
  <c r="HN103" i="2"/>
  <c r="HC103" i="2"/>
  <c r="HB103" i="2"/>
  <c r="HA103" i="2"/>
  <c r="GZ103" i="2"/>
  <c r="GY103" i="2"/>
  <c r="GX103" i="2"/>
  <c r="GN103" i="2"/>
  <c r="GM103" i="2"/>
  <c r="GL103" i="2"/>
  <c r="GK103" i="2"/>
  <c r="GJ103" i="2"/>
  <c r="GI103" i="2"/>
  <c r="FY103" i="2"/>
  <c r="FX103" i="2"/>
  <c r="FW103" i="2"/>
  <c r="FV103" i="2"/>
  <c r="FU103" i="2"/>
  <c r="FT103" i="2"/>
  <c r="FI103" i="2"/>
  <c r="FH103" i="2"/>
  <c r="FG103" i="2"/>
  <c r="FF103" i="2"/>
  <c r="FE103" i="2"/>
  <c r="FD103" i="2"/>
  <c r="ET103" i="2"/>
  <c r="ES103" i="2"/>
  <c r="ER103" i="2"/>
  <c r="EQ103" i="2"/>
  <c r="EP103" i="2"/>
  <c r="EO103" i="2"/>
  <c r="EE103" i="2"/>
  <c r="ED103" i="2"/>
  <c r="EC103" i="2"/>
  <c r="EB103" i="2"/>
  <c r="EA103" i="2"/>
  <c r="DZ103" i="2"/>
  <c r="DO103" i="2"/>
  <c r="DN103" i="2"/>
  <c r="DM103" i="2"/>
  <c r="DL103" i="2"/>
  <c r="DK103" i="2"/>
  <c r="DJ103" i="2"/>
  <c r="CZ103" i="2"/>
  <c r="CY103" i="2"/>
  <c r="CX103" i="2"/>
  <c r="CW103" i="2"/>
  <c r="CV103" i="2"/>
  <c r="CU103" i="2"/>
  <c r="CK103" i="2"/>
  <c r="CJ103" i="2"/>
  <c r="CI103" i="2"/>
  <c r="CH103" i="2"/>
  <c r="CG103" i="2"/>
  <c r="CF103" i="2"/>
  <c r="CE103" i="2"/>
  <c r="BH103" i="2"/>
  <c r="BG103" i="2"/>
  <c r="AY103" i="2"/>
  <c r="AX103" i="2"/>
  <c r="AV103" i="2"/>
  <c r="AU103" i="2"/>
  <c r="AT103" i="2"/>
  <c r="AS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X103" i="2"/>
  <c r="W103" i="2"/>
  <c r="V103" i="2"/>
  <c r="U103" i="2"/>
  <c r="T103" i="2"/>
  <c r="S103" i="2"/>
  <c r="R103" i="2"/>
  <c r="Q103" i="2"/>
  <c r="P103" i="2"/>
  <c r="M103" i="2"/>
  <c r="L103" i="2"/>
  <c r="K103" i="2"/>
  <c r="H103" i="2"/>
  <c r="G103" i="2"/>
  <c r="F103" i="2"/>
  <c r="E103" i="2"/>
  <c r="D103" i="2"/>
  <c r="C103" i="2"/>
  <c r="A103" i="2"/>
  <c r="IW102" i="2"/>
  <c r="IV102" i="2"/>
  <c r="IU102" i="2"/>
  <c r="IT102" i="2"/>
  <c r="IS102" i="2"/>
  <c r="IR102" i="2"/>
  <c r="IH102" i="2"/>
  <c r="IG102" i="2"/>
  <c r="IF102" i="2"/>
  <c r="IE102" i="2"/>
  <c r="ID102" i="2"/>
  <c r="IC102" i="2"/>
  <c r="HS102" i="2"/>
  <c r="HR102" i="2"/>
  <c r="HQ102" i="2"/>
  <c r="HP102" i="2"/>
  <c r="HO102" i="2"/>
  <c r="HN102" i="2"/>
  <c r="HC102" i="2"/>
  <c r="HB102" i="2"/>
  <c r="HA102" i="2"/>
  <c r="GZ102" i="2"/>
  <c r="GY102" i="2"/>
  <c r="GX102" i="2"/>
  <c r="GN102" i="2"/>
  <c r="GM102" i="2"/>
  <c r="GL102" i="2"/>
  <c r="GK102" i="2"/>
  <c r="GJ102" i="2"/>
  <c r="GI102" i="2"/>
  <c r="FY102" i="2"/>
  <c r="FX102" i="2"/>
  <c r="FW102" i="2"/>
  <c r="FV102" i="2"/>
  <c r="FU102" i="2"/>
  <c r="FT102" i="2"/>
  <c r="FI102" i="2"/>
  <c r="FH102" i="2"/>
  <c r="FG102" i="2"/>
  <c r="FF102" i="2"/>
  <c r="FE102" i="2"/>
  <c r="FD102" i="2"/>
  <c r="ET102" i="2"/>
  <c r="ES102" i="2"/>
  <c r="ER102" i="2"/>
  <c r="EQ102" i="2"/>
  <c r="EP102" i="2"/>
  <c r="EO102" i="2"/>
  <c r="EE102" i="2"/>
  <c r="ED102" i="2"/>
  <c r="EC102" i="2"/>
  <c r="EB102" i="2"/>
  <c r="EA102" i="2"/>
  <c r="DZ102" i="2"/>
  <c r="DO102" i="2"/>
  <c r="DN102" i="2"/>
  <c r="DM102" i="2"/>
  <c r="DL102" i="2"/>
  <c r="DK102" i="2"/>
  <c r="DJ102" i="2"/>
  <c r="CZ102" i="2"/>
  <c r="CY102" i="2"/>
  <c r="CX102" i="2"/>
  <c r="CW102" i="2"/>
  <c r="CV102" i="2"/>
  <c r="CU102" i="2"/>
  <c r="CK102" i="2"/>
  <c r="CJ102" i="2"/>
  <c r="CI102" i="2"/>
  <c r="CH102" i="2"/>
  <c r="CG102" i="2"/>
  <c r="CF102" i="2"/>
  <c r="CE102" i="2"/>
  <c r="BH102" i="2"/>
  <c r="BG102" i="2"/>
  <c r="AY102" i="2"/>
  <c r="AX102" i="2"/>
  <c r="AV102" i="2"/>
  <c r="AU102" i="2"/>
  <c r="AT102" i="2"/>
  <c r="AS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X102" i="2"/>
  <c r="W102" i="2"/>
  <c r="V102" i="2"/>
  <c r="U102" i="2"/>
  <c r="T102" i="2"/>
  <c r="S102" i="2"/>
  <c r="R102" i="2"/>
  <c r="Q102" i="2"/>
  <c r="P102" i="2"/>
  <c r="M102" i="2"/>
  <c r="L102" i="2"/>
  <c r="K102" i="2"/>
  <c r="H102" i="2"/>
  <c r="G102" i="2"/>
  <c r="F102" i="2"/>
  <c r="E102" i="2"/>
  <c r="D102" i="2"/>
  <c r="C102" i="2"/>
  <c r="A102" i="2"/>
  <c r="IW101" i="2"/>
  <c r="IV101" i="2"/>
  <c r="IU101" i="2"/>
  <c r="IT101" i="2"/>
  <c r="IS101" i="2"/>
  <c r="IR101" i="2"/>
  <c r="IH101" i="2"/>
  <c r="IG101" i="2"/>
  <c r="IF101" i="2"/>
  <c r="IE101" i="2"/>
  <c r="ID101" i="2"/>
  <c r="IC101" i="2"/>
  <c r="HS101" i="2"/>
  <c r="HR101" i="2"/>
  <c r="HQ101" i="2"/>
  <c r="HP101" i="2"/>
  <c r="HO101" i="2"/>
  <c r="HN101" i="2"/>
  <c r="HC101" i="2"/>
  <c r="HB101" i="2"/>
  <c r="HA101" i="2"/>
  <c r="GZ101" i="2"/>
  <c r="GY101" i="2"/>
  <c r="GX101" i="2"/>
  <c r="GN101" i="2"/>
  <c r="GM101" i="2"/>
  <c r="GL101" i="2"/>
  <c r="GK101" i="2"/>
  <c r="GJ101" i="2"/>
  <c r="GI101" i="2"/>
  <c r="FY101" i="2"/>
  <c r="FX101" i="2"/>
  <c r="FW101" i="2"/>
  <c r="FV101" i="2"/>
  <c r="FU101" i="2"/>
  <c r="FT101" i="2"/>
  <c r="FI101" i="2"/>
  <c r="FH101" i="2"/>
  <c r="FG101" i="2"/>
  <c r="FF101" i="2"/>
  <c r="FE101" i="2"/>
  <c r="FD101" i="2"/>
  <c r="ET101" i="2"/>
  <c r="ES101" i="2"/>
  <c r="ER101" i="2"/>
  <c r="EQ101" i="2"/>
  <c r="EP101" i="2"/>
  <c r="EO101" i="2"/>
  <c r="EE101" i="2"/>
  <c r="ED101" i="2"/>
  <c r="EC101" i="2"/>
  <c r="EB101" i="2"/>
  <c r="EA101" i="2"/>
  <c r="DZ101" i="2"/>
  <c r="DO101" i="2"/>
  <c r="DN101" i="2"/>
  <c r="DM101" i="2"/>
  <c r="DL101" i="2"/>
  <c r="DK101" i="2"/>
  <c r="DJ101" i="2"/>
  <c r="CZ101" i="2"/>
  <c r="CY101" i="2"/>
  <c r="CX101" i="2"/>
  <c r="CW101" i="2"/>
  <c r="CV101" i="2"/>
  <c r="CU101" i="2"/>
  <c r="CK101" i="2"/>
  <c r="CJ101" i="2"/>
  <c r="CI101" i="2"/>
  <c r="CH101" i="2"/>
  <c r="CG101" i="2"/>
  <c r="CF101" i="2"/>
  <c r="CE101" i="2"/>
  <c r="BH101" i="2"/>
  <c r="BG101" i="2"/>
  <c r="AY101" i="2"/>
  <c r="AX101" i="2"/>
  <c r="AV101" i="2"/>
  <c r="AU101" i="2"/>
  <c r="AT101" i="2"/>
  <c r="AS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X101" i="2"/>
  <c r="W101" i="2"/>
  <c r="V101" i="2"/>
  <c r="U101" i="2"/>
  <c r="T101" i="2"/>
  <c r="S101" i="2"/>
  <c r="R101" i="2"/>
  <c r="Q101" i="2"/>
  <c r="P101" i="2"/>
  <c r="M101" i="2"/>
  <c r="L101" i="2"/>
  <c r="K101" i="2"/>
  <c r="H101" i="2"/>
  <c r="G101" i="2"/>
  <c r="F101" i="2"/>
  <c r="E101" i="2"/>
  <c r="D101" i="2"/>
  <c r="C101" i="2"/>
  <c r="A101" i="2"/>
  <c r="IW100" i="2"/>
  <c r="IV100" i="2"/>
  <c r="IU100" i="2"/>
  <c r="IT100" i="2"/>
  <c r="IS100" i="2"/>
  <c r="IR100" i="2"/>
  <c r="IH100" i="2"/>
  <c r="IG100" i="2"/>
  <c r="IF100" i="2"/>
  <c r="IE100" i="2"/>
  <c r="ID100" i="2"/>
  <c r="IC100" i="2"/>
  <c r="HS100" i="2"/>
  <c r="HR100" i="2"/>
  <c r="HQ100" i="2"/>
  <c r="HP100" i="2"/>
  <c r="HO100" i="2"/>
  <c r="HN100" i="2"/>
  <c r="HC100" i="2"/>
  <c r="HB100" i="2"/>
  <c r="HA100" i="2"/>
  <c r="GZ100" i="2"/>
  <c r="GY100" i="2"/>
  <c r="GX100" i="2"/>
  <c r="GN100" i="2"/>
  <c r="GM100" i="2"/>
  <c r="GL100" i="2"/>
  <c r="GK100" i="2"/>
  <c r="GJ100" i="2"/>
  <c r="GI100" i="2"/>
  <c r="FY100" i="2"/>
  <c r="FX100" i="2"/>
  <c r="FW100" i="2"/>
  <c r="FV100" i="2"/>
  <c r="FU100" i="2"/>
  <c r="FT100" i="2"/>
  <c r="FI100" i="2"/>
  <c r="FH100" i="2"/>
  <c r="FG100" i="2"/>
  <c r="FF100" i="2"/>
  <c r="FE100" i="2"/>
  <c r="FD100" i="2"/>
  <c r="ET100" i="2"/>
  <c r="ES100" i="2"/>
  <c r="ER100" i="2"/>
  <c r="EQ100" i="2"/>
  <c r="EP100" i="2"/>
  <c r="EO100" i="2"/>
  <c r="EE100" i="2"/>
  <c r="ED100" i="2"/>
  <c r="EC100" i="2"/>
  <c r="EB100" i="2"/>
  <c r="EA100" i="2"/>
  <c r="DZ100" i="2"/>
  <c r="DO100" i="2"/>
  <c r="DN100" i="2"/>
  <c r="DM100" i="2"/>
  <c r="DL100" i="2"/>
  <c r="DK100" i="2"/>
  <c r="DJ100" i="2"/>
  <c r="CZ100" i="2"/>
  <c r="CY100" i="2"/>
  <c r="CX100" i="2"/>
  <c r="CW100" i="2"/>
  <c r="CV100" i="2"/>
  <c r="CU100" i="2"/>
  <c r="CK100" i="2"/>
  <c r="CJ100" i="2"/>
  <c r="CI100" i="2"/>
  <c r="CH100" i="2"/>
  <c r="CG100" i="2"/>
  <c r="CF100" i="2"/>
  <c r="CE100" i="2"/>
  <c r="BH100" i="2"/>
  <c r="BG100" i="2"/>
  <c r="AY100" i="2"/>
  <c r="AX100" i="2"/>
  <c r="AV100" i="2"/>
  <c r="AU100" i="2"/>
  <c r="AT100" i="2"/>
  <c r="AS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X100" i="2"/>
  <c r="W100" i="2"/>
  <c r="V100" i="2"/>
  <c r="U100" i="2"/>
  <c r="T100" i="2"/>
  <c r="S100" i="2"/>
  <c r="R100" i="2"/>
  <c r="Q100" i="2"/>
  <c r="P100" i="2"/>
  <c r="M100" i="2"/>
  <c r="L100" i="2"/>
  <c r="K100" i="2"/>
  <c r="H100" i="2"/>
  <c r="G100" i="2"/>
  <c r="F100" i="2"/>
  <c r="E100" i="2"/>
  <c r="D100" i="2"/>
  <c r="C100" i="2"/>
  <c r="A100" i="2"/>
  <c r="IW99" i="2"/>
  <c r="IV99" i="2"/>
  <c r="IU99" i="2"/>
  <c r="IT99" i="2"/>
  <c r="IS99" i="2"/>
  <c r="IR99" i="2"/>
  <c r="IH99" i="2"/>
  <c r="IG99" i="2"/>
  <c r="IF99" i="2"/>
  <c r="IE99" i="2"/>
  <c r="ID99" i="2"/>
  <c r="IC99" i="2"/>
  <c r="HS99" i="2"/>
  <c r="HR99" i="2"/>
  <c r="HQ99" i="2"/>
  <c r="HP99" i="2"/>
  <c r="HO99" i="2"/>
  <c r="HN99" i="2"/>
  <c r="HC99" i="2"/>
  <c r="HB99" i="2"/>
  <c r="HA99" i="2"/>
  <c r="GZ99" i="2"/>
  <c r="GY99" i="2"/>
  <c r="GX99" i="2"/>
  <c r="GN99" i="2"/>
  <c r="GM99" i="2"/>
  <c r="GL99" i="2"/>
  <c r="GK99" i="2"/>
  <c r="GJ99" i="2"/>
  <c r="GI99" i="2"/>
  <c r="FY99" i="2"/>
  <c r="FX99" i="2"/>
  <c r="FW99" i="2"/>
  <c r="FV99" i="2"/>
  <c r="FU99" i="2"/>
  <c r="FT99" i="2"/>
  <c r="FI99" i="2"/>
  <c r="FH99" i="2"/>
  <c r="FG99" i="2"/>
  <c r="FF99" i="2"/>
  <c r="FE99" i="2"/>
  <c r="FD99" i="2"/>
  <c r="ET99" i="2"/>
  <c r="ES99" i="2"/>
  <c r="ER99" i="2"/>
  <c r="EQ99" i="2"/>
  <c r="EP99" i="2"/>
  <c r="EO99" i="2"/>
  <c r="EE99" i="2"/>
  <c r="ED99" i="2"/>
  <c r="EC99" i="2"/>
  <c r="EB99" i="2"/>
  <c r="EA99" i="2"/>
  <c r="DZ99" i="2"/>
  <c r="DO99" i="2"/>
  <c r="DN99" i="2"/>
  <c r="DM99" i="2"/>
  <c r="DL99" i="2"/>
  <c r="DK99" i="2"/>
  <c r="DJ99" i="2"/>
  <c r="CZ99" i="2"/>
  <c r="CY99" i="2"/>
  <c r="CX99" i="2"/>
  <c r="CW99" i="2"/>
  <c r="CV99" i="2"/>
  <c r="CU99" i="2"/>
  <c r="CK99" i="2"/>
  <c r="CJ99" i="2"/>
  <c r="CI99" i="2"/>
  <c r="CH99" i="2"/>
  <c r="CG99" i="2"/>
  <c r="CF99" i="2"/>
  <c r="CE99" i="2"/>
  <c r="BH99" i="2"/>
  <c r="BG99" i="2"/>
  <c r="AY99" i="2"/>
  <c r="AX99" i="2"/>
  <c r="AV99" i="2"/>
  <c r="AU99" i="2"/>
  <c r="AT99" i="2"/>
  <c r="AS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X99" i="2"/>
  <c r="W99" i="2"/>
  <c r="V99" i="2"/>
  <c r="U99" i="2"/>
  <c r="T99" i="2"/>
  <c r="S99" i="2"/>
  <c r="R99" i="2"/>
  <c r="Q99" i="2"/>
  <c r="P99" i="2"/>
  <c r="M99" i="2"/>
  <c r="L99" i="2"/>
  <c r="K99" i="2"/>
  <c r="H99" i="2"/>
  <c r="G99" i="2"/>
  <c r="F99" i="2"/>
  <c r="E99" i="2"/>
  <c r="D99" i="2"/>
  <c r="C99" i="2"/>
  <c r="A99" i="2"/>
  <c r="IW98" i="2"/>
  <c r="IV98" i="2"/>
  <c r="IU98" i="2"/>
  <c r="IT98" i="2"/>
  <c r="IS98" i="2"/>
  <c r="IR98" i="2"/>
  <c r="IH98" i="2"/>
  <c r="IG98" i="2"/>
  <c r="IF98" i="2"/>
  <c r="IE98" i="2"/>
  <c r="ID98" i="2"/>
  <c r="IC98" i="2"/>
  <c r="HS98" i="2"/>
  <c r="HR98" i="2"/>
  <c r="HQ98" i="2"/>
  <c r="HP98" i="2"/>
  <c r="HO98" i="2"/>
  <c r="HN98" i="2"/>
  <c r="HC98" i="2"/>
  <c r="HB98" i="2"/>
  <c r="HA98" i="2"/>
  <c r="GZ98" i="2"/>
  <c r="GY98" i="2"/>
  <c r="GX98" i="2"/>
  <c r="GN98" i="2"/>
  <c r="GM98" i="2"/>
  <c r="GL98" i="2"/>
  <c r="GK98" i="2"/>
  <c r="GJ98" i="2"/>
  <c r="GI98" i="2"/>
  <c r="FY98" i="2"/>
  <c r="FX98" i="2"/>
  <c r="FW98" i="2"/>
  <c r="FV98" i="2"/>
  <c r="FU98" i="2"/>
  <c r="FT98" i="2"/>
  <c r="FI98" i="2"/>
  <c r="FH98" i="2"/>
  <c r="FG98" i="2"/>
  <c r="FF98" i="2"/>
  <c r="FE98" i="2"/>
  <c r="FD98" i="2"/>
  <c r="ET98" i="2"/>
  <c r="ES98" i="2"/>
  <c r="ER98" i="2"/>
  <c r="EQ98" i="2"/>
  <c r="EP98" i="2"/>
  <c r="EO98" i="2"/>
  <c r="EE98" i="2"/>
  <c r="ED98" i="2"/>
  <c r="EC98" i="2"/>
  <c r="EB98" i="2"/>
  <c r="EA98" i="2"/>
  <c r="DZ98" i="2"/>
  <c r="DO98" i="2"/>
  <c r="DN98" i="2"/>
  <c r="DM98" i="2"/>
  <c r="DL98" i="2"/>
  <c r="DK98" i="2"/>
  <c r="DJ98" i="2"/>
  <c r="CZ98" i="2"/>
  <c r="CY98" i="2"/>
  <c r="CX98" i="2"/>
  <c r="CW98" i="2"/>
  <c r="CV98" i="2"/>
  <c r="CU98" i="2"/>
  <c r="CK98" i="2"/>
  <c r="CJ98" i="2"/>
  <c r="CI98" i="2"/>
  <c r="CH98" i="2"/>
  <c r="CG98" i="2"/>
  <c r="CF98" i="2"/>
  <c r="CE98" i="2"/>
  <c r="BH98" i="2"/>
  <c r="BG98" i="2"/>
  <c r="AY98" i="2"/>
  <c r="AX98" i="2"/>
  <c r="AV98" i="2"/>
  <c r="AU98" i="2"/>
  <c r="AT98" i="2"/>
  <c r="AS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X98" i="2"/>
  <c r="W98" i="2"/>
  <c r="V98" i="2"/>
  <c r="U98" i="2"/>
  <c r="T98" i="2"/>
  <c r="S98" i="2"/>
  <c r="R98" i="2"/>
  <c r="Q98" i="2"/>
  <c r="P98" i="2"/>
  <c r="M98" i="2"/>
  <c r="L98" i="2"/>
  <c r="K98" i="2"/>
  <c r="H98" i="2"/>
  <c r="G98" i="2"/>
  <c r="F98" i="2"/>
  <c r="E98" i="2"/>
  <c r="D98" i="2"/>
  <c r="C98" i="2"/>
  <c r="A98" i="2"/>
  <c r="IW97" i="2"/>
  <c r="IV97" i="2"/>
  <c r="IU97" i="2"/>
  <c r="IT97" i="2"/>
  <c r="IS97" i="2"/>
  <c r="IR97" i="2"/>
  <c r="IH97" i="2"/>
  <c r="IG97" i="2"/>
  <c r="IF97" i="2"/>
  <c r="IE97" i="2"/>
  <c r="ID97" i="2"/>
  <c r="IC97" i="2"/>
  <c r="HS97" i="2"/>
  <c r="HR97" i="2"/>
  <c r="HQ97" i="2"/>
  <c r="HP97" i="2"/>
  <c r="HO97" i="2"/>
  <c r="HN97" i="2"/>
  <c r="HC97" i="2"/>
  <c r="HB97" i="2"/>
  <c r="HA97" i="2"/>
  <c r="GZ97" i="2"/>
  <c r="GY97" i="2"/>
  <c r="GX97" i="2"/>
  <c r="GN97" i="2"/>
  <c r="GM97" i="2"/>
  <c r="GL97" i="2"/>
  <c r="GK97" i="2"/>
  <c r="GJ97" i="2"/>
  <c r="GI97" i="2"/>
  <c r="FY97" i="2"/>
  <c r="FX97" i="2"/>
  <c r="FW97" i="2"/>
  <c r="FV97" i="2"/>
  <c r="FU97" i="2"/>
  <c r="FT97" i="2"/>
  <c r="FI97" i="2"/>
  <c r="FH97" i="2"/>
  <c r="FG97" i="2"/>
  <c r="FF97" i="2"/>
  <c r="FE97" i="2"/>
  <c r="FD97" i="2"/>
  <c r="ET97" i="2"/>
  <c r="ES97" i="2"/>
  <c r="ER97" i="2"/>
  <c r="EQ97" i="2"/>
  <c r="EP97" i="2"/>
  <c r="EO97" i="2"/>
  <c r="EE97" i="2"/>
  <c r="ED97" i="2"/>
  <c r="EC97" i="2"/>
  <c r="EB97" i="2"/>
  <c r="EA97" i="2"/>
  <c r="DZ97" i="2"/>
  <c r="DO97" i="2"/>
  <c r="DN97" i="2"/>
  <c r="DM97" i="2"/>
  <c r="DL97" i="2"/>
  <c r="DK97" i="2"/>
  <c r="DJ97" i="2"/>
  <c r="CZ97" i="2"/>
  <c r="CY97" i="2"/>
  <c r="CX97" i="2"/>
  <c r="CW97" i="2"/>
  <c r="CV97" i="2"/>
  <c r="CU97" i="2"/>
  <c r="CK97" i="2"/>
  <c r="CJ97" i="2"/>
  <c r="CI97" i="2"/>
  <c r="CH97" i="2"/>
  <c r="CG97" i="2"/>
  <c r="CF97" i="2"/>
  <c r="CE97" i="2"/>
  <c r="BH97" i="2"/>
  <c r="BG97" i="2"/>
  <c r="AY97" i="2"/>
  <c r="AX97" i="2"/>
  <c r="AV97" i="2"/>
  <c r="AU97" i="2"/>
  <c r="AT97" i="2"/>
  <c r="AS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X97" i="2"/>
  <c r="W97" i="2"/>
  <c r="V97" i="2"/>
  <c r="U97" i="2"/>
  <c r="T97" i="2"/>
  <c r="S97" i="2"/>
  <c r="R97" i="2"/>
  <c r="Q97" i="2"/>
  <c r="P97" i="2"/>
  <c r="M97" i="2"/>
  <c r="L97" i="2"/>
  <c r="K97" i="2"/>
  <c r="H97" i="2"/>
  <c r="G97" i="2"/>
  <c r="F97" i="2"/>
  <c r="E97" i="2"/>
  <c r="D97" i="2"/>
  <c r="C97" i="2"/>
  <c r="A97" i="2"/>
  <c r="IW96" i="2"/>
  <c r="IV96" i="2"/>
  <c r="IU96" i="2"/>
  <c r="IT96" i="2"/>
  <c r="IS96" i="2"/>
  <c r="IR96" i="2"/>
  <c r="IH96" i="2"/>
  <c r="IG96" i="2"/>
  <c r="IF96" i="2"/>
  <c r="IE96" i="2"/>
  <c r="ID96" i="2"/>
  <c r="IC96" i="2"/>
  <c r="HS96" i="2"/>
  <c r="HR96" i="2"/>
  <c r="HQ96" i="2"/>
  <c r="HP96" i="2"/>
  <c r="HO96" i="2"/>
  <c r="HN96" i="2"/>
  <c r="HC96" i="2"/>
  <c r="HB96" i="2"/>
  <c r="HA96" i="2"/>
  <c r="GZ96" i="2"/>
  <c r="GY96" i="2"/>
  <c r="GX96" i="2"/>
  <c r="GN96" i="2"/>
  <c r="GM96" i="2"/>
  <c r="GL96" i="2"/>
  <c r="GK96" i="2"/>
  <c r="GJ96" i="2"/>
  <c r="GI96" i="2"/>
  <c r="FY96" i="2"/>
  <c r="FX96" i="2"/>
  <c r="FW96" i="2"/>
  <c r="FV96" i="2"/>
  <c r="FU96" i="2"/>
  <c r="FT96" i="2"/>
  <c r="FI96" i="2"/>
  <c r="FH96" i="2"/>
  <c r="FG96" i="2"/>
  <c r="FF96" i="2"/>
  <c r="FE96" i="2"/>
  <c r="FD96" i="2"/>
  <c r="ET96" i="2"/>
  <c r="ES96" i="2"/>
  <c r="ER96" i="2"/>
  <c r="EQ96" i="2"/>
  <c r="EP96" i="2"/>
  <c r="EO96" i="2"/>
  <c r="EE96" i="2"/>
  <c r="ED96" i="2"/>
  <c r="EC96" i="2"/>
  <c r="EB96" i="2"/>
  <c r="EA96" i="2"/>
  <c r="DZ96" i="2"/>
  <c r="DO96" i="2"/>
  <c r="DN96" i="2"/>
  <c r="DM96" i="2"/>
  <c r="DL96" i="2"/>
  <c r="DK96" i="2"/>
  <c r="DJ96" i="2"/>
  <c r="CZ96" i="2"/>
  <c r="CY96" i="2"/>
  <c r="CX96" i="2"/>
  <c r="CW96" i="2"/>
  <c r="CV96" i="2"/>
  <c r="CU96" i="2"/>
  <c r="CK96" i="2"/>
  <c r="CJ96" i="2"/>
  <c r="CI96" i="2"/>
  <c r="CH96" i="2"/>
  <c r="CG96" i="2"/>
  <c r="CF96" i="2"/>
  <c r="CE96" i="2"/>
  <c r="BH96" i="2"/>
  <c r="BG96" i="2"/>
  <c r="AY96" i="2"/>
  <c r="AX96" i="2"/>
  <c r="AV96" i="2"/>
  <c r="AU96" i="2"/>
  <c r="AT96" i="2"/>
  <c r="AS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X96" i="2"/>
  <c r="W96" i="2"/>
  <c r="V96" i="2"/>
  <c r="U96" i="2"/>
  <c r="T96" i="2"/>
  <c r="S96" i="2"/>
  <c r="R96" i="2"/>
  <c r="Q96" i="2"/>
  <c r="P96" i="2"/>
  <c r="M96" i="2"/>
  <c r="L96" i="2"/>
  <c r="K96" i="2"/>
  <c r="H96" i="2"/>
  <c r="G96" i="2"/>
  <c r="F96" i="2"/>
  <c r="E96" i="2"/>
  <c r="D96" i="2"/>
  <c r="C96" i="2"/>
  <c r="A96" i="2"/>
  <c r="IW95" i="2"/>
  <c r="IV95" i="2"/>
  <c r="IU95" i="2"/>
  <c r="IT95" i="2"/>
  <c r="IS95" i="2"/>
  <c r="IR95" i="2"/>
  <c r="IH95" i="2"/>
  <c r="IG95" i="2"/>
  <c r="IF95" i="2"/>
  <c r="IE95" i="2"/>
  <c r="ID95" i="2"/>
  <c r="IC95" i="2"/>
  <c r="HS95" i="2"/>
  <c r="HR95" i="2"/>
  <c r="HQ95" i="2"/>
  <c r="HP95" i="2"/>
  <c r="HO95" i="2"/>
  <c r="HN95" i="2"/>
  <c r="HC95" i="2"/>
  <c r="HB95" i="2"/>
  <c r="HA95" i="2"/>
  <c r="GZ95" i="2"/>
  <c r="GY95" i="2"/>
  <c r="GX95" i="2"/>
  <c r="GN95" i="2"/>
  <c r="GM95" i="2"/>
  <c r="GL95" i="2"/>
  <c r="GK95" i="2"/>
  <c r="GJ95" i="2"/>
  <c r="GI95" i="2"/>
  <c r="FY95" i="2"/>
  <c r="FX95" i="2"/>
  <c r="FW95" i="2"/>
  <c r="FV95" i="2"/>
  <c r="FU95" i="2"/>
  <c r="FT95" i="2"/>
  <c r="FI95" i="2"/>
  <c r="FH95" i="2"/>
  <c r="FG95" i="2"/>
  <c r="FF95" i="2"/>
  <c r="FE95" i="2"/>
  <c r="FD95" i="2"/>
  <c r="ET95" i="2"/>
  <c r="ES95" i="2"/>
  <c r="ER95" i="2"/>
  <c r="EQ95" i="2"/>
  <c r="EP95" i="2"/>
  <c r="EO95" i="2"/>
  <c r="EE95" i="2"/>
  <c r="ED95" i="2"/>
  <c r="EC95" i="2"/>
  <c r="EB95" i="2"/>
  <c r="EA95" i="2"/>
  <c r="DZ95" i="2"/>
  <c r="DO95" i="2"/>
  <c r="DN95" i="2"/>
  <c r="DM95" i="2"/>
  <c r="DL95" i="2"/>
  <c r="DK95" i="2"/>
  <c r="DJ95" i="2"/>
  <c r="CZ95" i="2"/>
  <c r="CY95" i="2"/>
  <c r="CX95" i="2"/>
  <c r="CW95" i="2"/>
  <c r="CV95" i="2"/>
  <c r="CU95" i="2"/>
  <c r="CK95" i="2"/>
  <c r="CJ95" i="2"/>
  <c r="CI95" i="2"/>
  <c r="CH95" i="2"/>
  <c r="CG95" i="2"/>
  <c r="CF95" i="2"/>
  <c r="CE95" i="2"/>
  <c r="BH95" i="2"/>
  <c r="BG95" i="2"/>
  <c r="AY95" i="2"/>
  <c r="AX95" i="2"/>
  <c r="AV95" i="2"/>
  <c r="AU95" i="2"/>
  <c r="AT95" i="2"/>
  <c r="AS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X95" i="2"/>
  <c r="W95" i="2"/>
  <c r="V95" i="2"/>
  <c r="U95" i="2"/>
  <c r="T95" i="2"/>
  <c r="S95" i="2"/>
  <c r="R95" i="2"/>
  <c r="Q95" i="2"/>
  <c r="P95" i="2"/>
  <c r="M95" i="2"/>
  <c r="L95" i="2"/>
  <c r="K95" i="2"/>
  <c r="H95" i="2"/>
  <c r="G95" i="2"/>
  <c r="F95" i="2"/>
  <c r="E95" i="2"/>
  <c r="D95" i="2"/>
  <c r="C95" i="2"/>
  <c r="A95" i="2"/>
  <c r="IW94" i="2"/>
  <c r="IV94" i="2"/>
  <c r="IU94" i="2"/>
  <c r="IT94" i="2"/>
  <c r="IS94" i="2"/>
  <c r="IR94" i="2"/>
  <c r="IH94" i="2"/>
  <c r="IG94" i="2"/>
  <c r="IF94" i="2"/>
  <c r="IE94" i="2"/>
  <c r="ID94" i="2"/>
  <c r="IC94" i="2"/>
  <c r="HS94" i="2"/>
  <c r="HR94" i="2"/>
  <c r="HQ94" i="2"/>
  <c r="HP94" i="2"/>
  <c r="HO94" i="2"/>
  <c r="HN94" i="2"/>
  <c r="HC94" i="2"/>
  <c r="HB94" i="2"/>
  <c r="HA94" i="2"/>
  <c r="GZ94" i="2"/>
  <c r="GY94" i="2"/>
  <c r="GX94" i="2"/>
  <c r="GN94" i="2"/>
  <c r="GM94" i="2"/>
  <c r="GL94" i="2"/>
  <c r="GK94" i="2"/>
  <c r="GJ94" i="2"/>
  <c r="GI94" i="2"/>
  <c r="FY94" i="2"/>
  <c r="FX94" i="2"/>
  <c r="FW94" i="2"/>
  <c r="FV94" i="2"/>
  <c r="FU94" i="2"/>
  <c r="FT94" i="2"/>
  <c r="FI94" i="2"/>
  <c r="FH94" i="2"/>
  <c r="FG94" i="2"/>
  <c r="FF94" i="2"/>
  <c r="FE94" i="2"/>
  <c r="FD94" i="2"/>
  <c r="ET94" i="2"/>
  <c r="ES94" i="2"/>
  <c r="ER94" i="2"/>
  <c r="EQ94" i="2"/>
  <c r="EP94" i="2"/>
  <c r="EO94" i="2"/>
  <c r="EE94" i="2"/>
  <c r="ED94" i="2"/>
  <c r="EC94" i="2"/>
  <c r="EB94" i="2"/>
  <c r="EA94" i="2"/>
  <c r="DZ94" i="2"/>
  <c r="DO94" i="2"/>
  <c r="DN94" i="2"/>
  <c r="DM94" i="2"/>
  <c r="DL94" i="2"/>
  <c r="DK94" i="2"/>
  <c r="DJ94" i="2"/>
  <c r="CZ94" i="2"/>
  <c r="CY94" i="2"/>
  <c r="CX94" i="2"/>
  <c r="CW94" i="2"/>
  <c r="CV94" i="2"/>
  <c r="CU94" i="2"/>
  <c r="CK94" i="2"/>
  <c r="CJ94" i="2"/>
  <c r="CI94" i="2"/>
  <c r="CH94" i="2"/>
  <c r="CG94" i="2"/>
  <c r="CF94" i="2"/>
  <c r="CE94" i="2"/>
  <c r="BH94" i="2"/>
  <c r="BG94" i="2"/>
  <c r="AY94" i="2"/>
  <c r="AX94" i="2"/>
  <c r="AV94" i="2"/>
  <c r="AU94" i="2"/>
  <c r="AT94" i="2"/>
  <c r="AS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X94" i="2"/>
  <c r="W94" i="2"/>
  <c r="V94" i="2"/>
  <c r="U94" i="2"/>
  <c r="T94" i="2"/>
  <c r="S94" i="2"/>
  <c r="R94" i="2"/>
  <c r="Q94" i="2"/>
  <c r="P94" i="2"/>
  <c r="M94" i="2"/>
  <c r="L94" i="2"/>
  <c r="K94" i="2"/>
  <c r="H94" i="2"/>
  <c r="G94" i="2"/>
  <c r="F94" i="2"/>
  <c r="E94" i="2"/>
  <c r="D94" i="2"/>
  <c r="C94" i="2"/>
  <c r="A94" i="2"/>
  <c r="IW93" i="2"/>
  <c r="IV93" i="2"/>
  <c r="IU93" i="2"/>
  <c r="IT93" i="2"/>
  <c r="IS93" i="2"/>
  <c r="IR93" i="2"/>
  <c r="IH93" i="2"/>
  <c r="IG93" i="2"/>
  <c r="IF93" i="2"/>
  <c r="IE93" i="2"/>
  <c r="ID93" i="2"/>
  <c r="IC93" i="2"/>
  <c r="HS93" i="2"/>
  <c r="HR93" i="2"/>
  <c r="HQ93" i="2"/>
  <c r="HP93" i="2"/>
  <c r="HO93" i="2"/>
  <c r="HN93" i="2"/>
  <c r="HC93" i="2"/>
  <c r="HB93" i="2"/>
  <c r="HA93" i="2"/>
  <c r="GZ93" i="2"/>
  <c r="GY93" i="2"/>
  <c r="GX93" i="2"/>
  <c r="GN93" i="2"/>
  <c r="GM93" i="2"/>
  <c r="GL93" i="2"/>
  <c r="GK93" i="2"/>
  <c r="GJ93" i="2"/>
  <c r="GI93" i="2"/>
  <c r="FY93" i="2"/>
  <c r="FX93" i="2"/>
  <c r="FW93" i="2"/>
  <c r="FV93" i="2"/>
  <c r="FU93" i="2"/>
  <c r="FT93" i="2"/>
  <c r="FI93" i="2"/>
  <c r="FH93" i="2"/>
  <c r="FG93" i="2"/>
  <c r="FF93" i="2"/>
  <c r="FE93" i="2"/>
  <c r="FD93" i="2"/>
  <c r="ET93" i="2"/>
  <c r="ES93" i="2"/>
  <c r="ER93" i="2"/>
  <c r="EQ93" i="2"/>
  <c r="EP93" i="2"/>
  <c r="EO93" i="2"/>
  <c r="EE93" i="2"/>
  <c r="ED93" i="2"/>
  <c r="EC93" i="2"/>
  <c r="EB93" i="2"/>
  <c r="EA93" i="2"/>
  <c r="DZ93" i="2"/>
  <c r="DO93" i="2"/>
  <c r="DN93" i="2"/>
  <c r="DM93" i="2"/>
  <c r="DL93" i="2"/>
  <c r="DK93" i="2"/>
  <c r="DJ93" i="2"/>
  <c r="CZ93" i="2"/>
  <c r="CY93" i="2"/>
  <c r="CX93" i="2"/>
  <c r="CW93" i="2"/>
  <c r="CV93" i="2"/>
  <c r="CU93" i="2"/>
  <c r="CK93" i="2"/>
  <c r="CJ93" i="2"/>
  <c r="CI93" i="2"/>
  <c r="CH93" i="2"/>
  <c r="CG93" i="2"/>
  <c r="CF93" i="2"/>
  <c r="CE93" i="2"/>
  <c r="BH93" i="2"/>
  <c r="BG93" i="2"/>
  <c r="AY93" i="2"/>
  <c r="AX93" i="2"/>
  <c r="AV93" i="2"/>
  <c r="AU93" i="2"/>
  <c r="AT93" i="2"/>
  <c r="AS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X93" i="2"/>
  <c r="W93" i="2"/>
  <c r="V93" i="2"/>
  <c r="U93" i="2"/>
  <c r="T93" i="2"/>
  <c r="S93" i="2"/>
  <c r="R93" i="2"/>
  <c r="Q93" i="2"/>
  <c r="P93" i="2"/>
  <c r="M93" i="2"/>
  <c r="L93" i="2"/>
  <c r="K93" i="2"/>
  <c r="H93" i="2"/>
  <c r="G93" i="2"/>
  <c r="F93" i="2"/>
  <c r="E93" i="2"/>
  <c r="D93" i="2"/>
  <c r="C93" i="2"/>
  <c r="A93" i="2"/>
  <c r="IW92" i="2"/>
  <c r="IV92" i="2"/>
  <c r="IU92" i="2"/>
  <c r="IT92" i="2"/>
  <c r="IS92" i="2"/>
  <c r="IR92" i="2"/>
  <c r="IH92" i="2"/>
  <c r="IG92" i="2"/>
  <c r="IF92" i="2"/>
  <c r="IE92" i="2"/>
  <c r="ID92" i="2"/>
  <c r="IC92" i="2"/>
  <c r="HS92" i="2"/>
  <c r="HR92" i="2"/>
  <c r="HQ92" i="2"/>
  <c r="HP92" i="2"/>
  <c r="HO92" i="2"/>
  <c r="HN92" i="2"/>
  <c r="HC92" i="2"/>
  <c r="HB92" i="2"/>
  <c r="HA92" i="2"/>
  <c r="GZ92" i="2"/>
  <c r="GY92" i="2"/>
  <c r="GX92" i="2"/>
  <c r="GN92" i="2"/>
  <c r="GM92" i="2"/>
  <c r="GL92" i="2"/>
  <c r="GK92" i="2"/>
  <c r="GJ92" i="2"/>
  <c r="GI92" i="2"/>
  <c r="FY92" i="2"/>
  <c r="FX92" i="2"/>
  <c r="FW92" i="2"/>
  <c r="FV92" i="2"/>
  <c r="FU92" i="2"/>
  <c r="FT92" i="2"/>
  <c r="FI92" i="2"/>
  <c r="FH92" i="2"/>
  <c r="FG92" i="2"/>
  <c r="FF92" i="2"/>
  <c r="FE92" i="2"/>
  <c r="FD92" i="2"/>
  <c r="ET92" i="2"/>
  <c r="ES92" i="2"/>
  <c r="ER92" i="2"/>
  <c r="EQ92" i="2"/>
  <c r="EP92" i="2"/>
  <c r="EO92" i="2"/>
  <c r="EE92" i="2"/>
  <c r="ED92" i="2"/>
  <c r="EC92" i="2"/>
  <c r="EB92" i="2"/>
  <c r="EA92" i="2"/>
  <c r="DZ92" i="2"/>
  <c r="DO92" i="2"/>
  <c r="DN92" i="2"/>
  <c r="DM92" i="2"/>
  <c r="DL92" i="2"/>
  <c r="DK92" i="2"/>
  <c r="DJ92" i="2"/>
  <c r="CZ92" i="2"/>
  <c r="CY92" i="2"/>
  <c r="CX92" i="2"/>
  <c r="CW92" i="2"/>
  <c r="CV92" i="2"/>
  <c r="CU92" i="2"/>
  <c r="CK92" i="2"/>
  <c r="CJ92" i="2"/>
  <c r="CI92" i="2"/>
  <c r="CH92" i="2"/>
  <c r="CG92" i="2"/>
  <c r="CF92" i="2"/>
  <c r="CE92" i="2"/>
  <c r="BH92" i="2"/>
  <c r="BG92" i="2"/>
  <c r="AY92" i="2"/>
  <c r="AX92" i="2"/>
  <c r="AV92" i="2"/>
  <c r="AU92" i="2"/>
  <c r="AT92" i="2"/>
  <c r="AS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X92" i="2"/>
  <c r="W92" i="2"/>
  <c r="V92" i="2"/>
  <c r="U92" i="2"/>
  <c r="T92" i="2"/>
  <c r="S92" i="2"/>
  <c r="R92" i="2"/>
  <c r="Q92" i="2"/>
  <c r="P92" i="2"/>
  <c r="M92" i="2"/>
  <c r="L92" i="2"/>
  <c r="K92" i="2"/>
  <c r="H92" i="2"/>
  <c r="G92" i="2"/>
  <c r="F92" i="2"/>
  <c r="E92" i="2"/>
  <c r="D92" i="2"/>
  <c r="C92" i="2"/>
  <c r="A92" i="2"/>
  <c r="IW91" i="2"/>
  <c r="IV91" i="2"/>
  <c r="IU91" i="2"/>
  <c r="IT91" i="2"/>
  <c r="IS91" i="2"/>
  <c r="IR91" i="2"/>
  <c r="IH91" i="2"/>
  <c r="IG91" i="2"/>
  <c r="IF91" i="2"/>
  <c r="IE91" i="2"/>
  <c r="ID91" i="2"/>
  <c r="IC91" i="2"/>
  <c r="HS91" i="2"/>
  <c r="HR91" i="2"/>
  <c r="HQ91" i="2"/>
  <c r="HP91" i="2"/>
  <c r="HO91" i="2"/>
  <c r="HN91" i="2"/>
  <c r="HC91" i="2"/>
  <c r="HB91" i="2"/>
  <c r="HA91" i="2"/>
  <c r="GZ91" i="2"/>
  <c r="GY91" i="2"/>
  <c r="GX91" i="2"/>
  <c r="GN91" i="2"/>
  <c r="GM91" i="2"/>
  <c r="GL91" i="2"/>
  <c r="GK91" i="2"/>
  <c r="GJ91" i="2"/>
  <c r="GI91" i="2"/>
  <c r="FY91" i="2"/>
  <c r="FX91" i="2"/>
  <c r="FW91" i="2"/>
  <c r="FV91" i="2"/>
  <c r="FU91" i="2"/>
  <c r="FT91" i="2"/>
  <c r="FI91" i="2"/>
  <c r="FH91" i="2"/>
  <c r="FG91" i="2"/>
  <c r="FF91" i="2"/>
  <c r="FE91" i="2"/>
  <c r="FD91" i="2"/>
  <c r="ET91" i="2"/>
  <c r="ES91" i="2"/>
  <c r="ER91" i="2"/>
  <c r="EQ91" i="2"/>
  <c r="EP91" i="2"/>
  <c r="EO91" i="2"/>
  <c r="EE91" i="2"/>
  <c r="ED91" i="2"/>
  <c r="EC91" i="2"/>
  <c r="EB91" i="2"/>
  <c r="EA91" i="2"/>
  <c r="DZ91" i="2"/>
  <c r="DO91" i="2"/>
  <c r="DN91" i="2"/>
  <c r="DM91" i="2"/>
  <c r="DL91" i="2"/>
  <c r="DK91" i="2"/>
  <c r="DJ91" i="2"/>
  <c r="CZ91" i="2"/>
  <c r="CY91" i="2"/>
  <c r="CX91" i="2"/>
  <c r="CW91" i="2"/>
  <c r="CV91" i="2"/>
  <c r="CU91" i="2"/>
  <c r="CK91" i="2"/>
  <c r="CJ91" i="2"/>
  <c r="CI91" i="2"/>
  <c r="CH91" i="2"/>
  <c r="CG91" i="2"/>
  <c r="CF91" i="2"/>
  <c r="CE91" i="2"/>
  <c r="BH91" i="2"/>
  <c r="BG91" i="2"/>
  <c r="AY91" i="2"/>
  <c r="AX91" i="2"/>
  <c r="AV91" i="2"/>
  <c r="AU91" i="2"/>
  <c r="AT91" i="2"/>
  <c r="AS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X91" i="2"/>
  <c r="W91" i="2"/>
  <c r="V91" i="2"/>
  <c r="U91" i="2"/>
  <c r="T91" i="2"/>
  <c r="S91" i="2"/>
  <c r="R91" i="2"/>
  <c r="Q91" i="2"/>
  <c r="P91" i="2"/>
  <c r="M91" i="2"/>
  <c r="L91" i="2"/>
  <c r="K91" i="2"/>
  <c r="H91" i="2"/>
  <c r="G91" i="2"/>
  <c r="F91" i="2"/>
  <c r="E91" i="2"/>
  <c r="D91" i="2"/>
  <c r="C91" i="2"/>
  <c r="A91" i="2"/>
  <c r="IW90" i="2"/>
  <c r="IV90" i="2"/>
  <c r="IU90" i="2"/>
  <c r="IT90" i="2"/>
  <c r="IS90" i="2"/>
  <c r="IR90" i="2"/>
  <c r="IH90" i="2"/>
  <c r="IG90" i="2"/>
  <c r="IF90" i="2"/>
  <c r="IE90" i="2"/>
  <c r="ID90" i="2"/>
  <c r="IC90" i="2"/>
  <c r="HS90" i="2"/>
  <c r="HR90" i="2"/>
  <c r="HQ90" i="2"/>
  <c r="HP90" i="2"/>
  <c r="HO90" i="2"/>
  <c r="HN90" i="2"/>
  <c r="HC90" i="2"/>
  <c r="HB90" i="2"/>
  <c r="HA90" i="2"/>
  <c r="GZ90" i="2"/>
  <c r="GY90" i="2"/>
  <c r="GX90" i="2"/>
  <c r="GN90" i="2"/>
  <c r="GM90" i="2"/>
  <c r="GL90" i="2"/>
  <c r="GK90" i="2"/>
  <c r="GJ90" i="2"/>
  <c r="GI90" i="2"/>
  <c r="FY90" i="2"/>
  <c r="FX90" i="2"/>
  <c r="FW90" i="2"/>
  <c r="FV90" i="2"/>
  <c r="FU90" i="2"/>
  <c r="FT90" i="2"/>
  <c r="FI90" i="2"/>
  <c r="FH90" i="2"/>
  <c r="FG90" i="2"/>
  <c r="FF90" i="2"/>
  <c r="FE90" i="2"/>
  <c r="FD90" i="2"/>
  <c r="ET90" i="2"/>
  <c r="ES90" i="2"/>
  <c r="ER90" i="2"/>
  <c r="EQ90" i="2"/>
  <c r="EP90" i="2"/>
  <c r="EO90" i="2"/>
  <c r="EE90" i="2"/>
  <c r="ED90" i="2"/>
  <c r="EC90" i="2"/>
  <c r="EB90" i="2"/>
  <c r="EA90" i="2"/>
  <c r="DZ90" i="2"/>
  <c r="DO90" i="2"/>
  <c r="DN90" i="2"/>
  <c r="DM90" i="2"/>
  <c r="DL90" i="2"/>
  <c r="DK90" i="2"/>
  <c r="DJ90" i="2"/>
  <c r="CZ90" i="2"/>
  <c r="CY90" i="2"/>
  <c r="CX90" i="2"/>
  <c r="CW90" i="2"/>
  <c r="CV90" i="2"/>
  <c r="CU90" i="2"/>
  <c r="CK90" i="2"/>
  <c r="CJ90" i="2"/>
  <c r="CI90" i="2"/>
  <c r="CH90" i="2"/>
  <c r="CG90" i="2"/>
  <c r="CF90" i="2"/>
  <c r="CE90" i="2"/>
  <c r="BH90" i="2"/>
  <c r="BG90" i="2"/>
  <c r="AY90" i="2"/>
  <c r="AX90" i="2"/>
  <c r="AV90" i="2"/>
  <c r="AU90" i="2"/>
  <c r="AT90" i="2"/>
  <c r="AS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X90" i="2"/>
  <c r="W90" i="2"/>
  <c r="V90" i="2"/>
  <c r="U90" i="2"/>
  <c r="T90" i="2"/>
  <c r="S90" i="2"/>
  <c r="R90" i="2"/>
  <c r="Q90" i="2"/>
  <c r="P90" i="2"/>
  <c r="M90" i="2"/>
  <c r="L90" i="2"/>
  <c r="K90" i="2"/>
  <c r="H90" i="2"/>
  <c r="G90" i="2"/>
  <c r="F90" i="2"/>
  <c r="E90" i="2"/>
  <c r="D90" i="2"/>
  <c r="C90" i="2"/>
  <c r="A90" i="2"/>
  <c r="IW89" i="2"/>
  <c r="IV89" i="2"/>
  <c r="IU89" i="2"/>
  <c r="IT89" i="2"/>
  <c r="IS89" i="2"/>
  <c r="IR89" i="2"/>
  <c r="IH89" i="2"/>
  <c r="IG89" i="2"/>
  <c r="IF89" i="2"/>
  <c r="IE89" i="2"/>
  <c r="ID89" i="2"/>
  <c r="IC89" i="2"/>
  <c r="HS89" i="2"/>
  <c r="HR89" i="2"/>
  <c r="HQ89" i="2"/>
  <c r="HP89" i="2"/>
  <c r="HO89" i="2"/>
  <c r="HN89" i="2"/>
  <c r="HC89" i="2"/>
  <c r="HB89" i="2"/>
  <c r="HA89" i="2"/>
  <c r="GZ89" i="2"/>
  <c r="GY89" i="2"/>
  <c r="GX89" i="2"/>
  <c r="GN89" i="2"/>
  <c r="GM89" i="2"/>
  <c r="GL89" i="2"/>
  <c r="GK89" i="2"/>
  <c r="GJ89" i="2"/>
  <c r="GI89" i="2"/>
  <c r="FY89" i="2"/>
  <c r="FX89" i="2"/>
  <c r="FW89" i="2"/>
  <c r="FV89" i="2"/>
  <c r="FU89" i="2"/>
  <c r="FT89" i="2"/>
  <c r="FI89" i="2"/>
  <c r="FH89" i="2"/>
  <c r="FG89" i="2"/>
  <c r="FF89" i="2"/>
  <c r="FE89" i="2"/>
  <c r="FD89" i="2"/>
  <c r="ET89" i="2"/>
  <c r="ES89" i="2"/>
  <c r="ER89" i="2"/>
  <c r="EQ89" i="2"/>
  <c r="EP89" i="2"/>
  <c r="EO89" i="2"/>
  <c r="EE89" i="2"/>
  <c r="ED89" i="2"/>
  <c r="EC89" i="2"/>
  <c r="EB89" i="2"/>
  <c r="EA89" i="2"/>
  <c r="DZ89" i="2"/>
  <c r="DO89" i="2"/>
  <c r="DN89" i="2"/>
  <c r="DM89" i="2"/>
  <c r="DL89" i="2"/>
  <c r="DK89" i="2"/>
  <c r="DJ89" i="2"/>
  <c r="CZ89" i="2"/>
  <c r="CY89" i="2"/>
  <c r="CX89" i="2"/>
  <c r="CW89" i="2"/>
  <c r="CV89" i="2"/>
  <c r="CU89" i="2"/>
  <c r="CK89" i="2"/>
  <c r="CJ89" i="2"/>
  <c r="CI89" i="2"/>
  <c r="CH89" i="2"/>
  <c r="CG89" i="2"/>
  <c r="CF89" i="2"/>
  <c r="CE89" i="2"/>
  <c r="BH89" i="2"/>
  <c r="BG89" i="2"/>
  <c r="AY89" i="2"/>
  <c r="AX89" i="2"/>
  <c r="AV89" i="2"/>
  <c r="AU89" i="2"/>
  <c r="AT89" i="2"/>
  <c r="AS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X89" i="2"/>
  <c r="W89" i="2"/>
  <c r="V89" i="2"/>
  <c r="U89" i="2"/>
  <c r="T89" i="2"/>
  <c r="S89" i="2"/>
  <c r="R89" i="2"/>
  <c r="Q89" i="2"/>
  <c r="P89" i="2"/>
  <c r="M89" i="2"/>
  <c r="L89" i="2"/>
  <c r="K89" i="2"/>
  <c r="H89" i="2"/>
  <c r="G89" i="2"/>
  <c r="F89" i="2"/>
  <c r="E89" i="2"/>
  <c r="D89" i="2"/>
  <c r="C89" i="2"/>
  <c r="A89" i="2"/>
  <c r="IW88" i="2"/>
  <c r="IV88" i="2"/>
  <c r="IU88" i="2"/>
  <c r="IT88" i="2"/>
  <c r="IS88" i="2"/>
  <c r="IR88" i="2"/>
  <c r="IH88" i="2"/>
  <c r="IG88" i="2"/>
  <c r="IF88" i="2"/>
  <c r="IE88" i="2"/>
  <c r="ID88" i="2"/>
  <c r="IC88" i="2"/>
  <c r="HS88" i="2"/>
  <c r="HR88" i="2"/>
  <c r="HQ88" i="2"/>
  <c r="HP88" i="2"/>
  <c r="HO88" i="2"/>
  <c r="HN88" i="2"/>
  <c r="HC88" i="2"/>
  <c r="HB88" i="2"/>
  <c r="HA88" i="2"/>
  <c r="GZ88" i="2"/>
  <c r="GY88" i="2"/>
  <c r="GX88" i="2"/>
  <c r="GN88" i="2"/>
  <c r="GM88" i="2"/>
  <c r="GL88" i="2"/>
  <c r="GK88" i="2"/>
  <c r="GJ88" i="2"/>
  <c r="GI88" i="2"/>
  <c r="FY88" i="2"/>
  <c r="FX88" i="2"/>
  <c r="FW88" i="2"/>
  <c r="FV88" i="2"/>
  <c r="FU88" i="2"/>
  <c r="FT88" i="2"/>
  <c r="FI88" i="2"/>
  <c r="FH88" i="2"/>
  <c r="FG88" i="2"/>
  <c r="FF88" i="2"/>
  <c r="FE88" i="2"/>
  <c r="FD88" i="2"/>
  <c r="ET88" i="2"/>
  <c r="ES88" i="2"/>
  <c r="ER88" i="2"/>
  <c r="EQ88" i="2"/>
  <c r="EP88" i="2"/>
  <c r="EO88" i="2"/>
  <c r="EE88" i="2"/>
  <c r="ED88" i="2"/>
  <c r="EC88" i="2"/>
  <c r="EB88" i="2"/>
  <c r="EA88" i="2"/>
  <c r="DZ88" i="2"/>
  <c r="DO88" i="2"/>
  <c r="DN88" i="2"/>
  <c r="DM88" i="2"/>
  <c r="DL88" i="2"/>
  <c r="DK88" i="2"/>
  <c r="DJ88" i="2"/>
  <c r="CZ88" i="2"/>
  <c r="CY88" i="2"/>
  <c r="CX88" i="2"/>
  <c r="CW88" i="2"/>
  <c r="CV88" i="2"/>
  <c r="CU88" i="2"/>
  <c r="CK88" i="2"/>
  <c r="CJ88" i="2"/>
  <c r="CI88" i="2"/>
  <c r="CH88" i="2"/>
  <c r="CG88" i="2"/>
  <c r="CF88" i="2"/>
  <c r="CE88" i="2"/>
  <c r="BH88" i="2"/>
  <c r="BG88" i="2"/>
  <c r="AY88" i="2"/>
  <c r="AX88" i="2"/>
  <c r="AV88" i="2"/>
  <c r="AU88" i="2"/>
  <c r="AT88" i="2"/>
  <c r="AS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X88" i="2"/>
  <c r="W88" i="2"/>
  <c r="V88" i="2"/>
  <c r="U88" i="2"/>
  <c r="T88" i="2"/>
  <c r="S88" i="2"/>
  <c r="R88" i="2"/>
  <c r="Q88" i="2"/>
  <c r="P88" i="2"/>
  <c r="M88" i="2"/>
  <c r="L88" i="2"/>
  <c r="K88" i="2"/>
  <c r="H88" i="2"/>
  <c r="G88" i="2"/>
  <c r="F88" i="2"/>
  <c r="E88" i="2"/>
  <c r="D88" i="2"/>
  <c r="C88" i="2"/>
  <c r="A88" i="2"/>
  <c r="IW87" i="2"/>
  <c r="IV87" i="2"/>
  <c r="IU87" i="2"/>
  <c r="IT87" i="2"/>
  <c r="IS87" i="2"/>
  <c r="IR87" i="2"/>
  <c r="IH87" i="2"/>
  <c r="IG87" i="2"/>
  <c r="IF87" i="2"/>
  <c r="IE87" i="2"/>
  <c r="ID87" i="2"/>
  <c r="IC87" i="2"/>
  <c r="HS87" i="2"/>
  <c r="HR87" i="2"/>
  <c r="HQ87" i="2"/>
  <c r="HP87" i="2"/>
  <c r="HO87" i="2"/>
  <c r="HN87" i="2"/>
  <c r="HC87" i="2"/>
  <c r="HB87" i="2"/>
  <c r="HA87" i="2"/>
  <c r="GZ87" i="2"/>
  <c r="GY87" i="2"/>
  <c r="GX87" i="2"/>
  <c r="GN87" i="2"/>
  <c r="GM87" i="2"/>
  <c r="GL87" i="2"/>
  <c r="GK87" i="2"/>
  <c r="GJ87" i="2"/>
  <c r="GI87" i="2"/>
  <c r="FY87" i="2"/>
  <c r="FX87" i="2"/>
  <c r="FW87" i="2"/>
  <c r="FV87" i="2"/>
  <c r="FU87" i="2"/>
  <c r="FT87" i="2"/>
  <c r="FI87" i="2"/>
  <c r="FH87" i="2"/>
  <c r="FG87" i="2"/>
  <c r="FF87" i="2"/>
  <c r="FE87" i="2"/>
  <c r="FD87" i="2"/>
  <c r="ET87" i="2"/>
  <c r="ES87" i="2"/>
  <c r="ER87" i="2"/>
  <c r="EQ87" i="2"/>
  <c r="EP87" i="2"/>
  <c r="EO87" i="2"/>
  <c r="EE87" i="2"/>
  <c r="ED87" i="2"/>
  <c r="EC87" i="2"/>
  <c r="EB87" i="2"/>
  <c r="EA87" i="2"/>
  <c r="DZ87" i="2"/>
  <c r="DO87" i="2"/>
  <c r="DN87" i="2"/>
  <c r="DM87" i="2"/>
  <c r="DL87" i="2"/>
  <c r="DK87" i="2"/>
  <c r="DJ87" i="2"/>
  <c r="CZ87" i="2"/>
  <c r="CY87" i="2"/>
  <c r="CX87" i="2"/>
  <c r="CW87" i="2"/>
  <c r="CV87" i="2"/>
  <c r="CU87" i="2"/>
  <c r="CK87" i="2"/>
  <c r="CJ87" i="2"/>
  <c r="CI87" i="2"/>
  <c r="CH87" i="2"/>
  <c r="CG87" i="2"/>
  <c r="CF87" i="2"/>
  <c r="CE87" i="2"/>
  <c r="BH87" i="2"/>
  <c r="BG87" i="2"/>
  <c r="AY87" i="2"/>
  <c r="AX87" i="2"/>
  <c r="AV87" i="2"/>
  <c r="AU87" i="2"/>
  <c r="AT87" i="2"/>
  <c r="AS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X87" i="2"/>
  <c r="W87" i="2"/>
  <c r="V87" i="2"/>
  <c r="U87" i="2"/>
  <c r="T87" i="2"/>
  <c r="S87" i="2"/>
  <c r="R87" i="2"/>
  <c r="Q87" i="2"/>
  <c r="P87" i="2"/>
  <c r="M87" i="2"/>
  <c r="L87" i="2"/>
  <c r="K87" i="2"/>
  <c r="H87" i="2"/>
  <c r="G87" i="2"/>
  <c r="F87" i="2"/>
  <c r="E87" i="2"/>
  <c r="D87" i="2"/>
  <c r="C87" i="2"/>
  <c r="A87" i="2"/>
  <c r="IW86" i="2"/>
  <c r="IV86" i="2"/>
  <c r="IU86" i="2"/>
  <c r="IT86" i="2"/>
  <c r="IS86" i="2"/>
  <c r="IR86" i="2"/>
  <c r="IH86" i="2"/>
  <c r="IG86" i="2"/>
  <c r="IF86" i="2"/>
  <c r="IE86" i="2"/>
  <c r="ID86" i="2"/>
  <c r="IC86" i="2"/>
  <c r="HS86" i="2"/>
  <c r="HR86" i="2"/>
  <c r="HQ86" i="2"/>
  <c r="HP86" i="2"/>
  <c r="HO86" i="2"/>
  <c r="HN86" i="2"/>
  <c r="HC86" i="2"/>
  <c r="HB86" i="2"/>
  <c r="HA86" i="2"/>
  <c r="GZ86" i="2"/>
  <c r="GY86" i="2"/>
  <c r="GX86" i="2"/>
  <c r="GN86" i="2"/>
  <c r="GM86" i="2"/>
  <c r="GL86" i="2"/>
  <c r="GK86" i="2"/>
  <c r="GJ86" i="2"/>
  <c r="GI86" i="2"/>
  <c r="FY86" i="2"/>
  <c r="FX86" i="2"/>
  <c r="FW86" i="2"/>
  <c r="FV86" i="2"/>
  <c r="FU86" i="2"/>
  <c r="FT86" i="2"/>
  <c r="FI86" i="2"/>
  <c r="FH86" i="2"/>
  <c r="FG86" i="2"/>
  <c r="FF86" i="2"/>
  <c r="FE86" i="2"/>
  <c r="FD86" i="2"/>
  <c r="ET86" i="2"/>
  <c r="ES86" i="2"/>
  <c r="ER86" i="2"/>
  <c r="EQ86" i="2"/>
  <c r="EP86" i="2"/>
  <c r="EO86" i="2"/>
  <c r="EE86" i="2"/>
  <c r="ED86" i="2"/>
  <c r="EC86" i="2"/>
  <c r="EB86" i="2"/>
  <c r="EA86" i="2"/>
  <c r="DZ86" i="2"/>
  <c r="DO86" i="2"/>
  <c r="DN86" i="2"/>
  <c r="DM86" i="2"/>
  <c r="DL86" i="2"/>
  <c r="DK86" i="2"/>
  <c r="DJ86" i="2"/>
  <c r="CZ86" i="2"/>
  <c r="CY86" i="2"/>
  <c r="CX86" i="2"/>
  <c r="CW86" i="2"/>
  <c r="CV86" i="2"/>
  <c r="CU86" i="2"/>
  <c r="CK86" i="2"/>
  <c r="CJ86" i="2"/>
  <c r="CI86" i="2"/>
  <c r="CH86" i="2"/>
  <c r="CG86" i="2"/>
  <c r="CF86" i="2"/>
  <c r="CE86" i="2"/>
  <c r="BH86" i="2"/>
  <c r="BG86" i="2"/>
  <c r="AY86" i="2"/>
  <c r="AX86" i="2"/>
  <c r="AV86" i="2"/>
  <c r="AU86" i="2"/>
  <c r="AT86" i="2"/>
  <c r="AS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X86" i="2"/>
  <c r="W86" i="2"/>
  <c r="V86" i="2"/>
  <c r="U86" i="2"/>
  <c r="T86" i="2"/>
  <c r="S86" i="2"/>
  <c r="R86" i="2"/>
  <c r="Q86" i="2"/>
  <c r="P86" i="2"/>
  <c r="M86" i="2"/>
  <c r="L86" i="2"/>
  <c r="K86" i="2"/>
  <c r="H86" i="2"/>
  <c r="G86" i="2"/>
  <c r="F86" i="2"/>
  <c r="E86" i="2"/>
  <c r="D86" i="2"/>
  <c r="C86" i="2"/>
  <c r="A86" i="2"/>
  <c r="IW85" i="2"/>
  <c r="IV85" i="2"/>
  <c r="IU85" i="2"/>
  <c r="IT85" i="2"/>
  <c r="IS85" i="2"/>
  <c r="IR85" i="2"/>
  <c r="IH85" i="2"/>
  <c r="IG85" i="2"/>
  <c r="IF85" i="2"/>
  <c r="IE85" i="2"/>
  <c r="ID85" i="2"/>
  <c r="IC85" i="2"/>
  <c r="HS85" i="2"/>
  <c r="HR85" i="2"/>
  <c r="HQ85" i="2"/>
  <c r="HP85" i="2"/>
  <c r="HO85" i="2"/>
  <c r="HN85" i="2"/>
  <c r="HC85" i="2"/>
  <c r="HB85" i="2"/>
  <c r="HA85" i="2"/>
  <c r="GZ85" i="2"/>
  <c r="GY85" i="2"/>
  <c r="GX85" i="2"/>
  <c r="GN85" i="2"/>
  <c r="GM85" i="2"/>
  <c r="GL85" i="2"/>
  <c r="GK85" i="2"/>
  <c r="GJ85" i="2"/>
  <c r="GI85" i="2"/>
  <c r="FY85" i="2"/>
  <c r="FX85" i="2"/>
  <c r="FW85" i="2"/>
  <c r="FV85" i="2"/>
  <c r="FU85" i="2"/>
  <c r="FT85" i="2"/>
  <c r="FI85" i="2"/>
  <c r="FH85" i="2"/>
  <c r="FG85" i="2"/>
  <c r="FF85" i="2"/>
  <c r="FE85" i="2"/>
  <c r="FD85" i="2"/>
  <c r="ET85" i="2"/>
  <c r="ES85" i="2"/>
  <c r="ER85" i="2"/>
  <c r="EQ85" i="2"/>
  <c r="EP85" i="2"/>
  <c r="EO85" i="2"/>
  <c r="EE85" i="2"/>
  <c r="ED85" i="2"/>
  <c r="EC85" i="2"/>
  <c r="EB85" i="2"/>
  <c r="EA85" i="2"/>
  <c r="DZ85" i="2"/>
  <c r="DO85" i="2"/>
  <c r="DN85" i="2"/>
  <c r="DM85" i="2"/>
  <c r="DL85" i="2"/>
  <c r="DK85" i="2"/>
  <c r="DJ85" i="2"/>
  <c r="CZ85" i="2"/>
  <c r="CY85" i="2"/>
  <c r="CX85" i="2"/>
  <c r="CW85" i="2"/>
  <c r="CV85" i="2"/>
  <c r="CU85" i="2"/>
  <c r="CK85" i="2"/>
  <c r="CJ85" i="2"/>
  <c r="CI85" i="2"/>
  <c r="CH85" i="2"/>
  <c r="CG85" i="2"/>
  <c r="CF85" i="2"/>
  <c r="CE85" i="2"/>
  <c r="BH85" i="2"/>
  <c r="BG85" i="2"/>
  <c r="AY85" i="2"/>
  <c r="AX85" i="2"/>
  <c r="AV85" i="2"/>
  <c r="AU85" i="2"/>
  <c r="AT85" i="2"/>
  <c r="AS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X85" i="2"/>
  <c r="W85" i="2"/>
  <c r="V85" i="2"/>
  <c r="U85" i="2"/>
  <c r="T85" i="2"/>
  <c r="S85" i="2"/>
  <c r="R85" i="2"/>
  <c r="Q85" i="2"/>
  <c r="P85" i="2"/>
  <c r="M85" i="2"/>
  <c r="L85" i="2"/>
  <c r="K85" i="2"/>
  <c r="H85" i="2"/>
  <c r="G85" i="2"/>
  <c r="F85" i="2"/>
  <c r="E85" i="2"/>
  <c r="D85" i="2"/>
  <c r="C85" i="2"/>
  <c r="A85" i="2"/>
  <c r="IW84" i="2"/>
  <c r="IV84" i="2"/>
  <c r="IU84" i="2"/>
  <c r="IT84" i="2"/>
  <c r="IS84" i="2"/>
  <c r="IR84" i="2"/>
  <c r="IH84" i="2"/>
  <c r="IG84" i="2"/>
  <c r="IF84" i="2"/>
  <c r="IE84" i="2"/>
  <c r="ID84" i="2"/>
  <c r="IC84" i="2"/>
  <c r="HS84" i="2"/>
  <c r="HR84" i="2"/>
  <c r="HQ84" i="2"/>
  <c r="HP84" i="2"/>
  <c r="HO84" i="2"/>
  <c r="HN84" i="2"/>
  <c r="HC84" i="2"/>
  <c r="HB84" i="2"/>
  <c r="HA84" i="2"/>
  <c r="GZ84" i="2"/>
  <c r="GY84" i="2"/>
  <c r="GX84" i="2"/>
  <c r="GN84" i="2"/>
  <c r="GM84" i="2"/>
  <c r="GL84" i="2"/>
  <c r="GK84" i="2"/>
  <c r="GJ84" i="2"/>
  <c r="GI84" i="2"/>
  <c r="FY84" i="2"/>
  <c r="FX84" i="2"/>
  <c r="FW84" i="2"/>
  <c r="FV84" i="2"/>
  <c r="FU84" i="2"/>
  <c r="FT84" i="2"/>
  <c r="FI84" i="2"/>
  <c r="FH84" i="2"/>
  <c r="FG84" i="2"/>
  <c r="FF84" i="2"/>
  <c r="FE84" i="2"/>
  <c r="FD84" i="2"/>
  <c r="ET84" i="2"/>
  <c r="ES84" i="2"/>
  <c r="ER84" i="2"/>
  <c r="EQ84" i="2"/>
  <c r="EP84" i="2"/>
  <c r="EO84" i="2"/>
  <c r="EE84" i="2"/>
  <c r="ED84" i="2"/>
  <c r="EC84" i="2"/>
  <c r="EB84" i="2"/>
  <c r="EA84" i="2"/>
  <c r="DZ84" i="2"/>
  <c r="DO84" i="2"/>
  <c r="DN84" i="2"/>
  <c r="DM84" i="2"/>
  <c r="DL84" i="2"/>
  <c r="DK84" i="2"/>
  <c r="DJ84" i="2"/>
  <c r="CZ84" i="2"/>
  <c r="CY84" i="2"/>
  <c r="CX84" i="2"/>
  <c r="CW84" i="2"/>
  <c r="CV84" i="2"/>
  <c r="CU84" i="2"/>
  <c r="CK84" i="2"/>
  <c r="CJ84" i="2"/>
  <c r="CI84" i="2"/>
  <c r="CH84" i="2"/>
  <c r="CG84" i="2"/>
  <c r="CF84" i="2"/>
  <c r="CE84" i="2"/>
  <c r="BH84" i="2"/>
  <c r="BG84" i="2"/>
  <c r="AY84" i="2"/>
  <c r="AX84" i="2"/>
  <c r="AV84" i="2"/>
  <c r="AU84" i="2"/>
  <c r="AT84" i="2"/>
  <c r="AS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X84" i="2"/>
  <c r="W84" i="2"/>
  <c r="V84" i="2"/>
  <c r="U84" i="2"/>
  <c r="T84" i="2"/>
  <c r="S84" i="2"/>
  <c r="R84" i="2"/>
  <c r="Q84" i="2"/>
  <c r="P84" i="2"/>
  <c r="M84" i="2"/>
  <c r="L84" i="2"/>
  <c r="K84" i="2"/>
  <c r="H84" i="2"/>
  <c r="G84" i="2"/>
  <c r="F84" i="2"/>
  <c r="E84" i="2"/>
  <c r="D84" i="2"/>
  <c r="C84" i="2"/>
  <c r="A84" i="2"/>
  <c r="IW83" i="2"/>
  <c r="IV83" i="2"/>
  <c r="IU83" i="2"/>
  <c r="IT83" i="2"/>
  <c r="IS83" i="2"/>
  <c r="IR83" i="2"/>
  <c r="IH83" i="2"/>
  <c r="IG83" i="2"/>
  <c r="IF83" i="2"/>
  <c r="IE83" i="2"/>
  <c r="ID83" i="2"/>
  <c r="IC83" i="2"/>
  <c r="HS83" i="2"/>
  <c r="HR83" i="2"/>
  <c r="HQ83" i="2"/>
  <c r="HP83" i="2"/>
  <c r="HO83" i="2"/>
  <c r="HN83" i="2"/>
  <c r="HC83" i="2"/>
  <c r="HB83" i="2"/>
  <c r="HA83" i="2"/>
  <c r="GZ83" i="2"/>
  <c r="GY83" i="2"/>
  <c r="GX83" i="2"/>
  <c r="GN83" i="2"/>
  <c r="GM83" i="2"/>
  <c r="GL83" i="2"/>
  <c r="GK83" i="2"/>
  <c r="GJ83" i="2"/>
  <c r="GI83" i="2"/>
  <c r="FY83" i="2"/>
  <c r="FX83" i="2"/>
  <c r="FW83" i="2"/>
  <c r="FV83" i="2"/>
  <c r="FU83" i="2"/>
  <c r="FT83" i="2"/>
  <c r="FI83" i="2"/>
  <c r="FH83" i="2"/>
  <c r="FG83" i="2"/>
  <c r="FF83" i="2"/>
  <c r="FE83" i="2"/>
  <c r="FD83" i="2"/>
  <c r="ET83" i="2"/>
  <c r="ES83" i="2"/>
  <c r="ER83" i="2"/>
  <c r="EQ83" i="2"/>
  <c r="EP83" i="2"/>
  <c r="EO83" i="2"/>
  <c r="EE83" i="2"/>
  <c r="ED83" i="2"/>
  <c r="EC83" i="2"/>
  <c r="EB83" i="2"/>
  <c r="EA83" i="2"/>
  <c r="DZ83" i="2"/>
  <c r="DO83" i="2"/>
  <c r="DN83" i="2"/>
  <c r="DM83" i="2"/>
  <c r="DL83" i="2"/>
  <c r="DK83" i="2"/>
  <c r="DJ83" i="2"/>
  <c r="CZ83" i="2"/>
  <c r="CY83" i="2"/>
  <c r="CX83" i="2"/>
  <c r="CW83" i="2"/>
  <c r="CV83" i="2"/>
  <c r="CU83" i="2"/>
  <c r="CK83" i="2"/>
  <c r="CJ83" i="2"/>
  <c r="CI83" i="2"/>
  <c r="CH83" i="2"/>
  <c r="CG83" i="2"/>
  <c r="CF83" i="2"/>
  <c r="CE83" i="2"/>
  <c r="BH83" i="2"/>
  <c r="BG83" i="2"/>
  <c r="AY83" i="2"/>
  <c r="AX83" i="2"/>
  <c r="AV83" i="2"/>
  <c r="AU83" i="2"/>
  <c r="AT83" i="2"/>
  <c r="AS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X83" i="2"/>
  <c r="W83" i="2"/>
  <c r="V83" i="2"/>
  <c r="U83" i="2"/>
  <c r="T83" i="2"/>
  <c r="S83" i="2"/>
  <c r="R83" i="2"/>
  <c r="Q83" i="2"/>
  <c r="P83" i="2"/>
  <c r="M83" i="2"/>
  <c r="L83" i="2"/>
  <c r="K83" i="2"/>
  <c r="H83" i="2"/>
  <c r="G83" i="2"/>
  <c r="F83" i="2"/>
  <c r="E83" i="2"/>
  <c r="D83" i="2"/>
  <c r="C83" i="2"/>
  <c r="A83" i="2"/>
  <c r="IW82" i="2"/>
  <c r="IV82" i="2"/>
  <c r="IU82" i="2"/>
  <c r="IT82" i="2"/>
  <c r="IS82" i="2"/>
  <c r="IR82" i="2"/>
  <c r="IH82" i="2"/>
  <c r="IG82" i="2"/>
  <c r="IF82" i="2"/>
  <c r="IE82" i="2"/>
  <c r="ID82" i="2"/>
  <c r="IC82" i="2"/>
  <c r="HS82" i="2"/>
  <c r="HR82" i="2"/>
  <c r="HQ82" i="2"/>
  <c r="HP82" i="2"/>
  <c r="HO82" i="2"/>
  <c r="HN82" i="2"/>
  <c r="HC82" i="2"/>
  <c r="HB82" i="2"/>
  <c r="HA82" i="2"/>
  <c r="GZ82" i="2"/>
  <c r="GY82" i="2"/>
  <c r="GX82" i="2"/>
  <c r="GN82" i="2"/>
  <c r="GM82" i="2"/>
  <c r="GL82" i="2"/>
  <c r="GK82" i="2"/>
  <c r="GJ82" i="2"/>
  <c r="GI82" i="2"/>
  <c r="FY82" i="2"/>
  <c r="FX82" i="2"/>
  <c r="FW82" i="2"/>
  <c r="FV82" i="2"/>
  <c r="FU82" i="2"/>
  <c r="FT82" i="2"/>
  <c r="FI82" i="2"/>
  <c r="FH82" i="2"/>
  <c r="FG82" i="2"/>
  <c r="FF82" i="2"/>
  <c r="FE82" i="2"/>
  <c r="FD82" i="2"/>
  <c r="ET82" i="2"/>
  <c r="ES82" i="2"/>
  <c r="ER82" i="2"/>
  <c r="EQ82" i="2"/>
  <c r="EP82" i="2"/>
  <c r="EO82" i="2"/>
  <c r="EE82" i="2"/>
  <c r="ED82" i="2"/>
  <c r="EC82" i="2"/>
  <c r="EB82" i="2"/>
  <c r="EA82" i="2"/>
  <c r="DZ82" i="2"/>
  <c r="DO82" i="2"/>
  <c r="DN82" i="2"/>
  <c r="DM82" i="2"/>
  <c r="DL82" i="2"/>
  <c r="DK82" i="2"/>
  <c r="DJ82" i="2"/>
  <c r="CZ82" i="2"/>
  <c r="CY82" i="2"/>
  <c r="CX82" i="2"/>
  <c r="CW82" i="2"/>
  <c r="CV82" i="2"/>
  <c r="CU82" i="2"/>
  <c r="CK82" i="2"/>
  <c r="CJ82" i="2"/>
  <c r="CI82" i="2"/>
  <c r="CH82" i="2"/>
  <c r="CG82" i="2"/>
  <c r="CF82" i="2"/>
  <c r="CE82" i="2"/>
  <c r="BH82" i="2"/>
  <c r="BG82" i="2"/>
  <c r="AY82" i="2"/>
  <c r="AX82" i="2"/>
  <c r="AV82" i="2"/>
  <c r="AU82" i="2"/>
  <c r="AT82" i="2"/>
  <c r="AS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X82" i="2"/>
  <c r="W82" i="2"/>
  <c r="V82" i="2"/>
  <c r="U82" i="2"/>
  <c r="T82" i="2"/>
  <c r="S82" i="2"/>
  <c r="R82" i="2"/>
  <c r="Q82" i="2"/>
  <c r="P82" i="2"/>
  <c r="M82" i="2"/>
  <c r="L82" i="2"/>
  <c r="K82" i="2"/>
  <c r="H82" i="2"/>
  <c r="G82" i="2"/>
  <c r="F82" i="2"/>
  <c r="E82" i="2"/>
  <c r="D82" i="2"/>
  <c r="C82" i="2"/>
  <c r="A82" i="2"/>
  <c r="IW81" i="2"/>
  <c r="IV81" i="2"/>
  <c r="IU81" i="2"/>
  <c r="IT81" i="2"/>
  <c r="IS81" i="2"/>
  <c r="IR81" i="2"/>
  <c r="IH81" i="2"/>
  <c r="IG81" i="2"/>
  <c r="IF81" i="2"/>
  <c r="IE81" i="2"/>
  <c r="ID81" i="2"/>
  <c r="IC81" i="2"/>
  <c r="HS81" i="2"/>
  <c r="HR81" i="2"/>
  <c r="HQ81" i="2"/>
  <c r="HP81" i="2"/>
  <c r="HO81" i="2"/>
  <c r="HN81" i="2"/>
  <c r="HC81" i="2"/>
  <c r="HB81" i="2"/>
  <c r="HA81" i="2"/>
  <c r="GZ81" i="2"/>
  <c r="GY81" i="2"/>
  <c r="GX81" i="2"/>
  <c r="GN81" i="2"/>
  <c r="GM81" i="2"/>
  <c r="GL81" i="2"/>
  <c r="GK81" i="2"/>
  <c r="GJ81" i="2"/>
  <c r="GI81" i="2"/>
  <c r="FY81" i="2"/>
  <c r="FX81" i="2"/>
  <c r="FW81" i="2"/>
  <c r="FV81" i="2"/>
  <c r="FU81" i="2"/>
  <c r="FT81" i="2"/>
  <c r="FI81" i="2"/>
  <c r="FH81" i="2"/>
  <c r="FG81" i="2"/>
  <c r="FF81" i="2"/>
  <c r="FE81" i="2"/>
  <c r="FD81" i="2"/>
  <c r="ET81" i="2"/>
  <c r="ES81" i="2"/>
  <c r="ER81" i="2"/>
  <c r="EQ81" i="2"/>
  <c r="EP81" i="2"/>
  <c r="EO81" i="2"/>
  <c r="EE81" i="2"/>
  <c r="ED81" i="2"/>
  <c r="EC81" i="2"/>
  <c r="EB81" i="2"/>
  <c r="EA81" i="2"/>
  <c r="DZ81" i="2"/>
  <c r="DO81" i="2"/>
  <c r="DN81" i="2"/>
  <c r="DM81" i="2"/>
  <c r="DL81" i="2"/>
  <c r="DK81" i="2"/>
  <c r="DJ81" i="2"/>
  <c r="CZ81" i="2"/>
  <c r="CY81" i="2"/>
  <c r="CX81" i="2"/>
  <c r="CW81" i="2"/>
  <c r="CV81" i="2"/>
  <c r="CU81" i="2"/>
  <c r="CK81" i="2"/>
  <c r="CJ81" i="2"/>
  <c r="CI81" i="2"/>
  <c r="CH81" i="2"/>
  <c r="CG81" i="2"/>
  <c r="CF81" i="2"/>
  <c r="CE81" i="2"/>
  <c r="BH81" i="2"/>
  <c r="BG81" i="2"/>
  <c r="AY81" i="2"/>
  <c r="AX81" i="2"/>
  <c r="AV81" i="2"/>
  <c r="AU81" i="2"/>
  <c r="AT81" i="2"/>
  <c r="AS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X81" i="2"/>
  <c r="W81" i="2"/>
  <c r="V81" i="2"/>
  <c r="U81" i="2"/>
  <c r="T81" i="2"/>
  <c r="S81" i="2"/>
  <c r="R81" i="2"/>
  <c r="Q81" i="2"/>
  <c r="P81" i="2"/>
  <c r="M81" i="2"/>
  <c r="L81" i="2"/>
  <c r="K81" i="2"/>
  <c r="H81" i="2"/>
  <c r="G81" i="2"/>
  <c r="F81" i="2"/>
  <c r="E81" i="2"/>
  <c r="D81" i="2"/>
  <c r="C81" i="2"/>
  <c r="A81" i="2"/>
  <c r="IW80" i="2"/>
  <c r="IV80" i="2"/>
  <c r="IU80" i="2"/>
  <c r="IT80" i="2"/>
  <c r="IS80" i="2"/>
  <c r="IR80" i="2"/>
  <c r="IH80" i="2"/>
  <c r="IG80" i="2"/>
  <c r="IF80" i="2"/>
  <c r="IE80" i="2"/>
  <c r="ID80" i="2"/>
  <c r="IC80" i="2"/>
  <c r="HS80" i="2"/>
  <c r="HR80" i="2"/>
  <c r="HQ80" i="2"/>
  <c r="HP80" i="2"/>
  <c r="HO80" i="2"/>
  <c r="HN80" i="2"/>
  <c r="HC80" i="2"/>
  <c r="HB80" i="2"/>
  <c r="HA80" i="2"/>
  <c r="GZ80" i="2"/>
  <c r="GY80" i="2"/>
  <c r="GX80" i="2"/>
  <c r="GN80" i="2"/>
  <c r="GM80" i="2"/>
  <c r="GL80" i="2"/>
  <c r="GK80" i="2"/>
  <c r="GJ80" i="2"/>
  <c r="GI80" i="2"/>
  <c r="FY80" i="2"/>
  <c r="FX80" i="2"/>
  <c r="FW80" i="2"/>
  <c r="FV80" i="2"/>
  <c r="FU80" i="2"/>
  <c r="FT80" i="2"/>
  <c r="FI80" i="2"/>
  <c r="FH80" i="2"/>
  <c r="FG80" i="2"/>
  <c r="FF80" i="2"/>
  <c r="FE80" i="2"/>
  <c r="FD80" i="2"/>
  <c r="ET80" i="2"/>
  <c r="ES80" i="2"/>
  <c r="ER80" i="2"/>
  <c r="EQ80" i="2"/>
  <c r="EP80" i="2"/>
  <c r="EO80" i="2"/>
  <c r="EE80" i="2"/>
  <c r="ED80" i="2"/>
  <c r="EC80" i="2"/>
  <c r="EB80" i="2"/>
  <c r="EA80" i="2"/>
  <c r="DZ80" i="2"/>
  <c r="DO80" i="2"/>
  <c r="DN80" i="2"/>
  <c r="DM80" i="2"/>
  <c r="DL80" i="2"/>
  <c r="DK80" i="2"/>
  <c r="DJ80" i="2"/>
  <c r="CZ80" i="2"/>
  <c r="CY80" i="2"/>
  <c r="CX80" i="2"/>
  <c r="CW80" i="2"/>
  <c r="CV80" i="2"/>
  <c r="CU80" i="2"/>
  <c r="CK80" i="2"/>
  <c r="CJ80" i="2"/>
  <c r="CI80" i="2"/>
  <c r="CH80" i="2"/>
  <c r="CG80" i="2"/>
  <c r="CF80" i="2"/>
  <c r="CE80" i="2"/>
  <c r="BH80" i="2"/>
  <c r="BG80" i="2"/>
  <c r="AY80" i="2"/>
  <c r="AX80" i="2"/>
  <c r="AV80" i="2"/>
  <c r="AU80" i="2"/>
  <c r="AT80" i="2"/>
  <c r="AS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X80" i="2"/>
  <c r="W80" i="2"/>
  <c r="V80" i="2"/>
  <c r="U80" i="2"/>
  <c r="T80" i="2"/>
  <c r="S80" i="2"/>
  <c r="R80" i="2"/>
  <c r="Q80" i="2"/>
  <c r="P80" i="2"/>
  <c r="M80" i="2"/>
  <c r="L80" i="2"/>
  <c r="K80" i="2"/>
  <c r="H80" i="2"/>
  <c r="G80" i="2"/>
  <c r="F80" i="2"/>
  <c r="E80" i="2"/>
  <c r="D80" i="2"/>
  <c r="C80" i="2"/>
  <c r="A80" i="2"/>
  <c r="IW79" i="2"/>
  <c r="IV79" i="2"/>
  <c r="IU79" i="2"/>
  <c r="IT79" i="2"/>
  <c r="IS79" i="2"/>
  <c r="IR79" i="2"/>
  <c r="IH79" i="2"/>
  <c r="IG79" i="2"/>
  <c r="IF79" i="2"/>
  <c r="IE79" i="2"/>
  <c r="ID79" i="2"/>
  <c r="IC79" i="2"/>
  <c r="HS79" i="2"/>
  <c r="HR79" i="2"/>
  <c r="HQ79" i="2"/>
  <c r="HP79" i="2"/>
  <c r="HO79" i="2"/>
  <c r="HN79" i="2"/>
  <c r="HC79" i="2"/>
  <c r="HB79" i="2"/>
  <c r="HA79" i="2"/>
  <c r="GZ79" i="2"/>
  <c r="GY79" i="2"/>
  <c r="GX79" i="2"/>
  <c r="GN79" i="2"/>
  <c r="GM79" i="2"/>
  <c r="GL79" i="2"/>
  <c r="GK79" i="2"/>
  <c r="GJ79" i="2"/>
  <c r="GI79" i="2"/>
  <c r="FY79" i="2"/>
  <c r="FX79" i="2"/>
  <c r="FW79" i="2"/>
  <c r="FV79" i="2"/>
  <c r="FU79" i="2"/>
  <c r="FT79" i="2"/>
  <c r="FI79" i="2"/>
  <c r="FH79" i="2"/>
  <c r="FG79" i="2"/>
  <c r="FF79" i="2"/>
  <c r="FE79" i="2"/>
  <c r="FD79" i="2"/>
  <c r="ET79" i="2"/>
  <c r="ES79" i="2"/>
  <c r="ER79" i="2"/>
  <c r="EQ79" i="2"/>
  <c r="EP79" i="2"/>
  <c r="EO79" i="2"/>
  <c r="EE79" i="2"/>
  <c r="ED79" i="2"/>
  <c r="EC79" i="2"/>
  <c r="EB79" i="2"/>
  <c r="EA79" i="2"/>
  <c r="DZ79" i="2"/>
  <c r="DO79" i="2"/>
  <c r="DN79" i="2"/>
  <c r="DM79" i="2"/>
  <c r="DL79" i="2"/>
  <c r="DK79" i="2"/>
  <c r="DJ79" i="2"/>
  <c r="CZ79" i="2"/>
  <c r="CY79" i="2"/>
  <c r="CX79" i="2"/>
  <c r="CW79" i="2"/>
  <c r="CV79" i="2"/>
  <c r="CU79" i="2"/>
  <c r="CK79" i="2"/>
  <c r="CJ79" i="2"/>
  <c r="CI79" i="2"/>
  <c r="CH79" i="2"/>
  <c r="CG79" i="2"/>
  <c r="CF79" i="2"/>
  <c r="CE79" i="2"/>
  <c r="BH79" i="2"/>
  <c r="BG79" i="2"/>
  <c r="AY79" i="2"/>
  <c r="AX79" i="2"/>
  <c r="AV79" i="2"/>
  <c r="AU79" i="2"/>
  <c r="AT79" i="2"/>
  <c r="AS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X79" i="2"/>
  <c r="W79" i="2"/>
  <c r="V79" i="2"/>
  <c r="U79" i="2"/>
  <c r="T79" i="2"/>
  <c r="S79" i="2"/>
  <c r="R79" i="2"/>
  <c r="Q79" i="2"/>
  <c r="P79" i="2"/>
  <c r="M79" i="2"/>
  <c r="L79" i="2"/>
  <c r="K79" i="2"/>
  <c r="H79" i="2"/>
  <c r="G79" i="2"/>
  <c r="F79" i="2"/>
  <c r="E79" i="2"/>
  <c r="D79" i="2"/>
  <c r="C79" i="2"/>
  <c r="A79" i="2"/>
  <c r="IW78" i="2"/>
  <c r="IV78" i="2"/>
  <c r="IU78" i="2"/>
  <c r="IT78" i="2"/>
  <c r="IS78" i="2"/>
  <c r="IR78" i="2"/>
  <c r="IH78" i="2"/>
  <c r="IG78" i="2"/>
  <c r="IF78" i="2"/>
  <c r="IE78" i="2"/>
  <c r="ID78" i="2"/>
  <c r="IC78" i="2"/>
  <c r="HS78" i="2"/>
  <c r="HR78" i="2"/>
  <c r="HQ78" i="2"/>
  <c r="HP78" i="2"/>
  <c r="HO78" i="2"/>
  <c r="HN78" i="2"/>
  <c r="HC78" i="2"/>
  <c r="HB78" i="2"/>
  <c r="HA78" i="2"/>
  <c r="GZ78" i="2"/>
  <c r="GY78" i="2"/>
  <c r="GX78" i="2"/>
  <c r="GN78" i="2"/>
  <c r="GM78" i="2"/>
  <c r="GL78" i="2"/>
  <c r="GK78" i="2"/>
  <c r="GJ78" i="2"/>
  <c r="GI78" i="2"/>
  <c r="FY78" i="2"/>
  <c r="FX78" i="2"/>
  <c r="FW78" i="2"/>
  <c r="FV78" i="2"/>
  <c r="FU78" i="2"/>
  <c r="FT78" i="2"/>
  <c r="FI78" i="2"/>
  <c r="FH78" i="2"/>
  <c r="FG78" i="2"/>
  <c r="FF78" i="2"/>
  <c r="FE78" i="2"/>
  <c r="FD78" i="2"/>
  <c r="ET78" i="2"/>
  <c r="ES78" i="2"/>
  <c r="ER78" i="2"/>
  <c r="EQ78" i="2"/>
  <c r="EP78" i="2"/>
  <c r="EO78" i="2"/>
  <c r="EE78" i="2"/>
  <c r="ED78" i="2"/>
  <c r="EC78" i="2"/>
  <c r="EB78" i="2"/>
  <c r="EA78" i="2"/>
  <c r="DZ78" i="2"/>
  <c r="DO78" i="2"/>
  <c r="DN78" i="2"/>
  <c r="DM78" i="2"/>
  <c r="DL78" i="2"/>
  <c r="DK78" i="2"/>
  <c r="DJ78" i="2"/>
  <c r="CZ78" i="2"/>
  <c r="CY78" i="2"/>
  <c r="CX78" i="2"/>
  <c r="CW78" i="2"/>
  <c r="CV78" i="2"/>
  <c r="CU78" i="2"/>
  <c r="CK78" i="2"/>
  <c r="CJ78" i="2"/>
  <c r="CI78" i="2"/>
  <c r="CH78" i="2"/>
  <c r="CG78" i="2"/>
  <c r="CF78" i="2"/>
  <c r="CE78" i="2"/>
  <c r="BH78" i="2"/>
  <c r="BG78" i="2"/>
  <c r="AY78" i="2"/>
  <c r="AX78" i="2"/>
  <c r="AV78" i="2"/>
  <c r="AU78" i="2"/>
  <c r="AT78" i="2"/>
  <c r="AS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X78" i="2"/>
  <c r="W78" i="2"/>
  <c r="V78" i="2"/>
  <c r="U78" i="2"/>
  <c r="T78" i="2"/>
  <c r="S78" i="2"/>
  <c r="R78" i="2"/>
  <c r="Q78" i="2"/>
  <c r="P78" i="2"/>
  <c r="M78" i="2"/>
  <c r="L78" i="2"/>
  <c r="K78" i="2"/>
  <c r="H78" i="2"/>
  <c r="G78" i="2"/>
  <c r="F78" i="2"/>
  <c r="E78" i="2"/>
  <c r="D78" i="2"/>
  <c r="C78" i="2"/>
  <c r="A78" i="2"/>
  <c r="IW77" i="2"/>
  <c r="IV77" i="2"/>
  <c r="IU77" i="2"/>
  <c r="IT77" i="2"/>
  <c r="IS77" i="2"/>
  <c r="IR77" i="2"/>
  <c r="IH77" i="2"/>
  <c r="IG77" i="2"/>
  <c r="IF77" i="2"/>
  <c r="IE77" i="2"/>
  <c r="ID77" i="2"/>
  <c r="IC77" i="2"/>
  <c r="HS77" i="2"/>
  <c r="HR77" i="2"/>
  <c r="HQ77" i="2"/>
  <c r="HP77" i="2"/>
  <c r="HO77" i="2"/>
  <c r="HN77" i="2"/>
  <c r="HC77" i="2"/>
  <c r="HB77" i="2"/>
  <c r="HA77" i="2"/>
  <c r="GZ77" i="2"/>
  <c r="GY77" i="2"/>
  <c r="GX77" i="2"/>
  <c r="GN77" i="2"/>
  <c r="GM77" i="2"/>
  <c r="GL77" i="2"/>
  <c r="GK77" i="2"/>
  <c r="GJ77" i="2"/>
  <c r="GI77" i="2"/>
  <c r="FY77" i="2"/>
  <c r="FX77" i="2"/>
  <c r="FW77" i="2"/>
  <c r="FV77" i="2"/>
  <c r="FU77" i="2"/>
  <c r="FT77" i="2"/>
  <c r="FI77" i="2"/>
  <c r="FH77" i="2"/>
  <c r="FG77" i="2"/>
  <c r="FF77" i="2"/>
  <c r="FE77" i="2"/>
  <c r="FD77" i="2"/>
  <c r="ET77" i="2"/>
  <c r="ES77" i="2"/>
  <c r="ER77" i="2"/>
  <c r="EQ77" i="2"/>
  <c r="EP77" i="2"/>
  <c r="EO77" i="2"/>
  <c r="EE77" i="2"/>
  <c r="ED77" i="2"/>
  <c r="EC77" i="2"/>
  <c r="EB77" i="2"/>
  <c r="EA77" i="2"/>
  <c r="DZ77" i="2"/>
  <c r="DO77" i="2"/>
  <c r="DN77" i="2"/>
  <c r="DM77" i="2"/>
  <c r="DL77" i="2"/>
  <c r="DK77" i="2"/>
  <c r="DJ77" i="2"/>
  <c r="CZ77" i="2"/>
  <c r="CY77" i="2"/>
  <c r="CX77" i="2"/>
  <c r="CW77" i="2"/>
  <c r="CV77" i="2"/>
  <c r="CU77" i="2"/>
  <c r="CK77" i="2"/>
  <c r="CJ77" i="2"/>
  <c r="CI77" i="2"/>
  <c r="CH77" i="2"/>
  <c r="CG77" i="2"/>
  <c r="CF77" i="2"/>
  <c r="CE77" i="2"/>
  <c r="BH77" i="2"/>
  <c r="BG77" i="2"/>
  <c r="AY77" i="2"/>
  <c r="AX77" i="2"/>
  <c r="AV77" i="2"/>
  <c r="AU77" i="2"/>
  <c r="AT77" i="2"/>
  <c r="AS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X77" i="2"/>
  <c r="W77" i="2"/>
  <c r="V77" i="2"/>
  <c r="U77" i="2"/>
  <c r="T77" i="2"/>
  <c r="S77" i="2"/>
  <c r="R77" i="2"/>
  <c r="Q77" i="2"/>
  <c r="P77" i="2"/>
  <c r="M77" i="2"/>
  <c r="L77" i="2"/>
  <c r="K77" i="2"/>
  <c r="H77" i="2"/>
  <c r="G77" i="2"/>
  <c r="F77" i="2"/>
  <c r="E77" i="2"/>
  <c r="D77" i="2"/>
  <c r="C77" i="2"/>
  <c r="A77" i="2"/>
  <c r="IW76" i="2"/>
  <c r="IV76" i="2"/>
  <c r="IU76" i="2"/>
  <c r="IT76" i="2"/>
  <c r="IS76" i="2"/>
  <c r="IR76" i="2"/>
  <c r="IH76" i="2"/>
  <c r="IG76" i="2"/>
  <c r="IF76" i="2"/>
  <c r="IE76" i="2"/>
  <c r="ID76" i="2"/>
  <c r="IC76" i="2"/>
  <c r="HS76" i="2"/>
  <c r="HR76" i="2"/>
  <c r="HQ76" i="2"/>
  <c r="HP76" i="2"/>
  <c r="HO76" i="2"/>
  <c r="HN76" i="2"/>
  <c r="HC76" i="2"/>
  <c r="HB76" i="2"/>
  <c r="HA76" i="2"/>
  <c r="GZ76" i="2"/>
  <c r="GY76" i="2"/>
  <c r="GX76" i="2"/>
  <c r="GN76" i="2"/>
  <c r="GM76" i="2"/>
  <c r="GL76" i="2"/>
  <c r="GK76" i="2"/>
  <c r="GJ76" i="2"/>
  <c r="GI76" i="2"/>
  <c r="FY76" i="2"/>
  <c r="FX76" i="2"/>
  <c r="FW76" i="2"/>
  <c r="FV76" i="2"/>
  <c r="FU76" i="2"/>
  <c r="FT76" i="2"/>
  <c r="FI76" i="2"/>
  <c r="FH76" i="2"/>
  <c r="FG76" i="2"/>
  <c r="FF76" i="2"/>
  <c r="FE76" i="2"/>
  <c r="FD76" i="2"/>
  <c r="ET76" i="2"/>
  <c r="ES76" i="2"/>
  <c r="ER76" i="2"/>
  <c r="EQ76" i="2"/>
  <c r="EP76" i="2"/>
  <c r="EO76" i="2"/>
  <c r="EE76" i="2"/>
  <c r="ED76" i="2"/>
  <c r="EC76" i="2"/>
  <c r="EB76" i="2"/>
  <c r="EA76" i="2"/>
  <c r="DZ76" i="2"/>
  <c r="DO76" i="2"/>
  <c r="DN76" i="2"/>
  <c r="DM76" i="2"/>
  <c r="DL76" i="2"/>
  <c r="DK76" i="2"/>
  <c r="DJ76" i="2"/>
  <c r="CZ76" i="2"/>
  <c r="CY76" i="2"/>
  <c r="CX76" i="2"/>
  <c r="CW76" i="2"/>
  <c r="CV76" i="2"/>
  <c r="CU76" i="2"/>
  <c r="CK76" i="2"/>
  <c r="CJ76" i="2"/>
  <c r="CI76" i="2"/>
  <c r="CH76" i="2"/>
  <c r="CG76" i="2"/>
  <c r="CF76" i="2"/>
  <c r="CE76" i="2"/>
  <c r="BH76" i="2"/>
  <c r="BG76" i="2"/>
  <c r="AY76" i="2"/>
  <c r="AX76" i="2"/>
  <c r="AV76" i="2"/>
  <c r="AU76" i="2"/>
  <c r="AT76" i="2"/>
  <c r="AS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X76" i="2"/>
  <c r="W76" i="2"/>
  <c r="V76" i="2"/>
  <c r="U76" i="2"/>
  <c r="T76" i="2"/>
  <c r="S76" i="2"/>
  <c r="R76" i="2"/>
  <c r="Q76" i="2"/>
  <c r="P76" i="2"/>
  <c r="M76" i="2"/>
  <c r="L76" i="2"/>
  <c r="K76" i="2"/>
  <c r="H76" i="2"/>
  <c r="G76" i="2"/>
  <c r="F76" i="2"/>
  <c r="E76" i="2"/>
  <c r="D76" i="2"/>
  <c r="C76" i="2"/>
  <c r="A76" i="2"/>
  <c r="IW75" i="2"/>
  <c r="IV75" i="2"/>
  <c r="IU75" i="2"/>
  <c r="IT75" i="2"/>
  <c r="IS75" i="2"/>
  <c r="IR75" i="2"/>
  <c r="IH75" i="2"/>
  <c r="IG75" i="2"/>
  <c r="IF75" i="2"/>
  <c r="IE75" i="2"/>
  <c r="ID75" i="2"/>
  <c r="IC75" i="2"/>
  <c r="HS75" i="2"/>
  <c r="HR75" i="2"/>
  <c r="HQ75" i="2"/>
  <c r="HP75" i="2"/>
  <c r="HO75" i="2"/>
  <c r="HN75" i="2"/>
  <c r="HC75" i="2"/>
  <c r="HB75" i="2"/>
  <c r="HA75" i="2"/>
  <c r="GZ75" i="2"/>
  <c r="GY75" i="2"/>
  <c r="GX75" i="2"/>
  <c r="GN75" i="2"/>
  <c r="GM75" i="2"/>
  <c r="GL75" i="2"/>
  <c r="GK75" i="2"/>
  <c r="GJ75" i="2"/>
  <c r="GI75" i="2"/>
  <c r="FY75" i="2"/>
  <c r="FX75" i="2"/>
  <c r="FW75" i="2"/>
  <c r="FV75" i="2"/>
  <c r="FU75" i="2"/>
  <c r="FT75" i="2"/>
  <c r="FI75" i="2"/>
  <c r="FH75" i="2"/>
  <c r="FG75" i="2"/>
  <c r="FF75" i="2"/>
  <c r="FE75" i="2"/>
  <c r="FD75" i="2"/>
  <c r="ET75" i="2"/>
  <c r="ES75" i="2"/>
  <c r="ER75" i="2"/>
  <c r="EQ75" i="2"/>
  <c r="EP75" i="2"/>
  <c r="EO75" i="2"/>
  <c r="EE75" i="2"/>
  <c r="ED75" i="2"/>
  <c r="EC75" i="2"/>
  <c r="EB75" i="2"/>
  <c r="EA75" i="2"/>
  <c r="DZ75" i="2"/>
  <c r="DO75" i="2"/>
  <c r="DN75" i="2"/>
  <c r="DM75" i="2"/>
  <c r="DL75" i="2"/>
  <c r="DK75" i="2"/>
  <c r="DJ75" i="2"/>
  <c r="CZ75" i="2"/>
  <c r="CY75" i="2"/>
  <c r="CX75" i="2"/>
  <c r="CW75" i="2"/>
  <c r="CV75" i="2"/>
  <c r="CU75" i="2"/>
  <c r="CK75" i="2"/>
  <c r="CJ75" i="2"/>
  <c r="CI75" i="2"/>
  <c r="CH75" i="2"/>
  <c r="CG75" i="2"/>
  <c r="CF75" i="2"/>
  <c r="CE75" i="2"/>
  <c r="BH75" i="2"/>
  <c r="BG75" i="2"/>
  <c r="AY75" i="2"/>
  <c r="AX75" i="2"/>
  <c r="AV75" i="2"/>
  <c r="AU75" i="2"/>
  <c r="AT75" i="2"/>
  <c r="AS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X75" i="2"/>
  <c r="W75" i="2"/>
  <c r="V75" i="2"/>
  <c r="U75" i="2"/>
  <c r="T75" i="2"/>
  <c r="S75" i="2"/>
  <c r="R75" i="2"/>
  <c r="Q75" i="2"/>
  <c r="P75" i="2"/>
  <c r="M75" i="2"/>
  <c r="L75" i="2"/>
  <c r="K75" i="2"/>
  <c r="H75" i="2"/>
  <c r="G75" i="2"/>
  <c r="F75" i="2"/>
  <c r="E75" i="2"/>
  <c r="D75" i="2"/>
  <c r="C75" i="2"/>
  <c r="A75" i="2"/>
  <c r="IW74" i="2"/>
  <c r="IV74" i="2"/>
  <c r="IU74" i="2"/>
  <c r="IT74" i="2"/>
  <c r="IS74" i="2"/>
  <c r="IR74" i="2"/>
  <c r="IH74" i="2"/>
  <c r="IG74" i="2"/>
  <c r="IF74" i="2"/>
  <c r="IE74" i="2"/>
  <c r="ID74" i="2"/>
  <c r="IC74" i="2"/>
  <c r="HS74" i="2"/>
  <c r="HR74" i="2"/>
  <c r="HQ74" i="2"/>
  <c r="HP74" i="2"/>
  <c r="HO74" i="2"/>
  <c r="HN74" i="2"/>
  <c r="HC74" i="2"/>
  <c r="HB74" i="2"/>
  <c r="HA74" i="2"/>
  <c r="GZ74" i="2"/>
  <c r="GY74" i="2"/>
  <c r="GX74" i="2"/>
  <c r="GN74" i="2"/>
  <c r="GM74" i="2"/>
  <c r="GL74" i="2"/>
  <c r="GK74" i="2"/>
  <c r="GJ74" i="2"/>
  <c r="GI74" i="2"/>
  <c r="FY74" i="2"/>
  <c r="FX74" i="2"/>
  <c r="FW74" i="2"/>
  <c r="FV74" i="2"/>
  <c r="FU74" i="2"/>
  <c r="FT74" i="2"/>
  <c r="FI74" i="2"/>
  <c r="FH74" i="2"/>
  <c r="FG74" i="2"/>
  <c r="FF74" i="2"/>
  <c r="FE74" i="2"/>
  <c r="FD74" i="2"/>
  <c r="ET74" i="2"/>
  <c r="ES74" i="2"/>
  <c r="ER74" i="2"/>
  <c r="EQ74" i="2"/>
  <c r="EP74" i="2"/>
  <c r="EO74" i="2"/>
  <c r="EE74" i="2"/>
  <c r="ED74" i="2"/>
  <c r="EC74" i="2"/>
  <c r="EB74" i="2"/>
  <c r="EA74" i="2"/>
  <c r="DZ74" i="2"/>
  <c r="DO74" i="2"/>
  <c r="DN74" i="2"/>
  <c r="DM74" i="2"/>
  <c r="DL74" i="2"/>
  <c r="DK74" i="2"/>
  <c r="DJ74" i="2"/>
  <c r="CZ74" i="2"/>
  <c r="CY74" i="2"/>
  <c r="CX74" i="2"/>
  <c r="CW74" i="2"/>
  <c r="CV74" i="2"/>
  <c r="CU74" i="2"/>
  <c r="CK74" i="2"/>
  <c r="CJ74" i="2"/>
  <c r="CI74" i="2"/>
  <c r="CH74" i="2"/>
  <c r="CG74" i="2"/>
  <c r="CF74" i="2"/>
  <c r="CE74" i="2"/>
  <c r="BH74" i="2"/>
  <c r="BG74" i="2"/>
  <c r="AY74" i="2"/>
  <c r="AX74" i="2"/>
  <c r="AV74" i="2"/>
  <c r="AU74" i="2"/>
  <c r="AT74" i="2"/>
  <c r="AS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X74" i="2"/>
  <c r="W74" i="2"/>
  <c r="V74" i="2"/>
  <c r="U74" i="2"/>
  <c r="T74" i="2"/>
  <c r="S74" i="2"/>
  <c r="R74" i="2"/>
  <c r="Q74" i="2"/>
  <c r="P74" i="2"/>
  <c r="M74" i="2"/>
  <c r="L74" i="2"/>
  <c r="K74" i="2"/>
  <c r="H74" i="2"/>
  <c r="G74" i="2"/>
  <c r="F74" i="2"/>
  <c r="E74" i="2"/>
  <c r="D74" i="2"/>
  <c r="C74" i="2"/>
  <c r="A74" i="2"/>
  <c r="IW73" i="2"/>
  <c r="IV73" i="2"/>
  <c r="IU73" i="2"/>
  <c r="IT73" i="2"/>
  <c r="IS73" i="2"/>
  <c r="IR73" i="2"/>
  <c r="IH73" i="2"/>
  <c r="IG73" i="2"/>
  <c r="IF73" i="2"/>
  <c r="IE73" i="2"/>
  <c r="ID73" i="2"/>
  <c r="IC73" i="2"/>
  <c r="HS73" i="2"/>
  <c r="HR73" i="2"/>
  <c r="HQ73" i="2"/>
  <c r="HP73" i="2"/>
  <c r="HO73" i="2"/>
  <c r="HN73" i="2"/>
  <c r="HC73" i="2"/>
  <c r="HB73" i="2"/>
  <c r="HA73" i="2"/>
  <c r="GZ73" i="2"/>
  <c r="GY73" i="2"/>
  <c r="GX73" i="2"/>
  <c r="GN73" i="2"/>
  <c r="GM73" i="2"/>
  <c r="GL73" i="2"/>
  <c r="GK73" i="2"/>
  <c r="GJ73" i="2"/>
  <c r="GI73" i="2"/>
  <c r="FY73" i="2"/>
  <c r="FX73" i="2"/>
  <c r="FW73" i="2"/>
  <c r="FV73" i="2"/>
  <c r="FU73" i="2"/>
  <c r="FT73" i="2"/>
  <c r="FI73" i="2"/>
  <c r="FH73" i="2"/>
  <c r="FG73" i="2"/>
  <c r="FF73" i="2"/>
  <c r="FE73" i="2"/>
  <c r="FD73" i="2"/>
  <c r="ET73" i="2"/>
  <c r="ES73" i="2"/>
  <c r="ER73" i="2"/>
  <c r="EQ73" i="2"/>
  <c r="EP73" i="2"/>
  <c r="EO73" i="2"/>
  <c r="EE73" i="2"/>
  <c r="ED73" i="2"/>
  <c r="EC73" i="2"/>
  <c r="EB73" i="2"/>
  <c r="EA73" i="2"/>
  <c r="DZ73" i="2"/>
  <c r="DO73" i="2"/>
  <c r="DN73" i="2"/>
  <c r="DM73" i="2"/>
  <c r="DL73" i="2"/>
  <c r="DK73" i="2"/>
  <c r="DJ73" i="2"/>
  <c r="CZ73" i="2"/>
  <c r="CY73" i="2"/>
  <c r="CX73" i="2"/>
  <c r="CW73" i="2"/>
  <c r="CV73" i="2"/>
  <c r="CU73" i="2"/>
  <c r="CK73" i="2"/>
  <c r="CJ73" i="2"/>
  <c r="CI73" i="2"/>
  <c r="CH73" i="2"/>
  <c r="CG73" i="2"/>
  <c r="CF73" i="2"/>
  <c r="CE73" i="2"/>
  <c r="BH73" i="2"/>
  <c r="BG73" i="2"/>
  <c r="AY73" i="2"/>
  <c r="AX73" i="2"/>
  <c r="AV73" i="2"/>
  <c r="AU73" i="2"/>
  <c r="AT73" i="2"/>
  <c r="AS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X73" i="2"/>
  <c r="W73" i="2"/>
  <c r="V73" i="2"/>
  <c r="U73" i="2"/>
  <c r="T73" i="2"/>
  <c r="S73" i="2"/>
  <c r="R73" i="2"/>
  <c r="Q73" i="2"/>
  <c r="P73" i="2"/>
  <c r="M73" i="2"/>
  <c r="L73" i="2"/>
  <c r="K73" i="2"/>
  <c r="H73" i="2"/>
  <c r="G73" i="2"/>
  <c r="F73" i="2"/>
  <c r="E73" i="2"/>
  <c r="D73" i="2"/>
  <c r="C73" i="2"/>
  <c r="A73" i="2"/>
  <c r="IW72" i="2"/>
  <c r="IV72" i="2"/>
  <c r="IU72" i="2"/>
  <c r="IT72" i="2"/>
  <c r="IS72" i="2"/>
  <c r="IR72" i="2"/>
  <c r="IH72" i="2"/>
  <c r="IG72" i="2"/>
  <c r="IF72" i="2"/>
  <c r="IE72" i="2"/>
  <c r="ID72" i="2"/>
  <c r="IC72" i="2"/>
  <c r="HS72" i="2"/>
  <c r="HR72" i="2"/>
  <c r="HQ72" i="2"/>
  <c r="HP72" i="2"/>
  <c r="HO72" i="2"/>
  <c r="HN72" i="2"/>
  <c r="HC72" i="2"/>
  <c r="HB72" i="2"/>
  <c r="HA72" i="2"/>
  <c r="GZ72" i="2"/>
  <c r="GY72" i="2"/>
  <c r="GX72" i="2"/>
  <c r="GN72" i="2"/>
  <c r="GM72" i="2"/>
  <c r="GL72" i="2"/>
  <c r="GK72" i="2"/>
  <c r="GJ72" i="2"/>
  <c r="GI72" i="2"/>
  <c r="FY72" i="2"/>
  <c r="FX72" i="2"/>
  <c r="FW72" i="2"/>
  <c r="FV72" i="2"/>
  <c r="FU72" i="2"/>
  <c r="FT72" i="2"/>
  <c r="FI72" i="2"/>
  <c r="FH72" i="2"/>
  <c r="FG72" i="2"/>
  <c r="FF72" i="2"/>
  <c r="FE72" i="2"/>
  <c r="FD72" i="2"/>
  <c r="ET72" i="2"/>
  <c r="ES72" i="2"/>
  <c r="ER72" i="2"/>
  <c r="EQ72" i="2"/>
  <c r="EP72" i="2"/>
  <c r="EO72" i="2"/>
  <c r="EE72" i="2"/>
  <c r="ED72" i="2"/>
  <c r="EC72" i="2"/>
  <c r="EB72" i="2"/>
  <c r="EA72" i="2"/>
  <c r="DZ72" i="2"/>
  <c r="DO72" i="2"/>
  <c r="DN72" i="2"/>
  <c r="DM72" i="2"/>
  <c r="DL72" i="2"/>
  <c r="DK72" i="2"/>
  <c r="DJ72" i="2"/>
  <c r="CZ72" i="2"/>
  <c r="CY72" i="2"/>
  <c r="CX72" i="2"/>
  <c r="CW72" i="2"/>
  <c r="CV72" i="2"/>
  <c r="CU72" i="2"/>
  <c r="CK72" i="2"/>
  <c r="CJ72" i="2"/>
  <c r="CI72" i="2"/>
  <c r="CH72" i="2"/>
  <c r="CG72" i="2"/>
  <c r="CF72" i="2"/>
  <c r="CE72" i="2"/>
  <c r="BH72" i="2"/>
  <c r="BG72" i="2"/>
  <c r="AY72" i="2"/>
  <c r="AX72" i="2"/>
  <c r="AV72" i="2"/>
  <c r="AU72" i="2"/>
  <c r="AT72" i="2"/>
  <c r="AS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X72" i="2"/>
  <c r="W72" i="2"/>
  <c r="V72" i="2"/>
  <c r="U72" i="2"/>
  <c r="T72" i="2"/>
  <c r="S72" i="2"/>
  <c r="R72" i="2"/>
  <c r="Q72" i="2"/>
  <c r="P72" i="2"/>
  <c r="M72" i="2"/>
  <c r="L72" i="2"/>
  <c r="K72" i="2"/>
  <c r="H72" i="2"/>
  <c r="G72" i="2"/>
  <c r="F72" i="2"/>
  <c r="E72" i="2"/>
  <c r="D72" i="2"/>
  <c r="C72" i="2"/>
  <c r="A72" i="2"/>
  <c r="IW71" i="2"/>
  <c r="IV71" i="2"/>
  <c r="IU71" i="2"/>
  <c r="IT71" i="2"/>
  <c r="IS71" i="2"/>
  <c r="IR71" i="2"/>
  <c r="IH71" i="2"/>
  <c r="IG71" i="2"/>
  <c r="IF71" i="2"/>
  <c r="IE71" i="2"/>
  <c r="ID71" i="2"/>
  <c r="IC71" i="2"/>
  <c r="HS71" i="2"/>
  <c r="HR71" i="2"/>
  <c r="HQ71" i="2"/>
  <c r="HP71" i="2"/>
  <c r="HO71" i="2"/>
  <c r="HN71" i="2"/>
  <c r="HC71" i="2"/>
  <c r="HB71" i="2"/>
  <c r="HA71" i="2"/>
  <c r="GZ71" i="2"/>
  <c r="GY71" i="2"/>
  <c r="GX71" i="2"/>
  <c r="GN71" i="2"/>
  <c r="GM71" i="2"/>
  <c r="GL71" i="2"/>
  <c r="GK71" i="2"/>
  <c r="GJ71" i="2"/>
  <c r="GI71" i="2"/>
  <c r="FY71" i="2"/>
  <c r="FX71" i="2"/>
  <c r="FW71" i="2"/>
  <c r="FV71" i="2"/>
  <c r="FU71" i="2"/>
  <c r="FT71" i="2"/>
  <c r="FI71" i="2"/>
  <c r="FH71" i="2"/>
  <c r="FG71" i="2"/>
  <c r="FF71" i="2"/>
  <c r="FE71" i="2"/>
  <c r="FD71" i="2"/>
  <c r="ET71" i="2"/>
  <c r="ES71" i="2"/>
  <c r="ER71" i="2"/>
  <c r="EQ71" i="2"/>
  <c r="EP71" i="2"/>
  <c r="EO71" i="2"/>
  <c r="EE71" i="2"/>
  <c r="ED71" i="2"/>
  <c r="EC71" i="2"/>
  <c r="EB71" i="2"/>
  <c r="EA71" i="2"/>
  <c r="DZ71" i="2"/>
  <c r="DO71" i="2"/>
  <c r="DN71" i="2"/>
  <c r="DM71" i="2"/>
  <c r="DL71" i="2"/>
  <c r="DK71" i="2"/>
  <c r="DJ71" i="2"/>
  <c r="CZ71" i="2"/>
  <c r="CY71" i="2"/>
  <c r="CX71" i="2"/>
  <c r="CW71" i="2"/>
  <c r="CV71" i="2"/>
  <c r="CU71" i="2"/>
  <c r="CK71" i="2"/>
  <c r="CJ71" i="2"/>
  <c r="CI71" i="2"/>
  <c r="CH71" i="2"/>
  <c r="CG71" i="2"/>
  <c r="CF71" i="2"/>
  <c r="CE71" i="2"/>
  <c r="BH71" i="2"/>
  <c r="BG71" i="2"/>
  <c r="AY71" i="2"/>
  <c r="AX71" i="2"/>
  <c r="AV71" i="2"/>
  <c r="AU71" i="2"/>
  <c r="AT71" i="2"/>
  <c r="AS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X71" i="2"/>
  <c r="W71" i="2"/>
  <c r="V71" i="2"/>
  <c r="U71" i="2"/>
  <c r="T71" i="2"/>
  <c r="S71" i="2"/>
  <c r="R71" i="2"/>
  <c r="Q71" i="2"/>
  <c r="P71" i="2"/>
  <c r="M71" i="2"/>
  <c r="L71" i="2"/>
  <c r="K71" i="2"/>
  <c r="H71" i="2"/>
  <c r="G71" i="2"/>
  <c r="F71" i="2"/>
  <c r="E71" i="2"/>
  <c r="D71" i="2"/>
  <c r="C71" i="2"/>
  <c r="A71" i="2"/>
  <c r="IW70" i="2"/>
  <c r="IV70" i="2"/>
  <c r="IU70" i="2"/>
  <c r="IT70" i="2"/>
  <c r="IS70" i="2"/>
  <c r="IR70" i="2"/>
  <c r="IH70" i="2"/>
  <c r="IG70" i="2"/>
  <c r="IF70" i="2"/>
  <c r="IE70" i="2"/>
  <c r="ID70" i="2"/>
  <c r="IC70" i="2"/>
  <c r="HS70" i="2"/>
  <c r="HR70" i="2"/>
  <c r="HQ70" i="2"/>
  <c r="HP70" i="2"/>
  <c r="HO70" i="2"/>
  <c r="HN70" i="2"/>
  <c r="HC70" i="2"/>
  <c r="HB70" i="2"/>
  <c r="HA70" i="2"/>
  <c r="GZ70" i="2"/>
  <c r="GY70" i="2"/>
  <c r="GX70" i="2"/>
  <c r="GN70" i="2"/>
  <c r="GM70" i="2"/>
  <c r="GL70" i="2"/>
  <c r="GK70" i="2"/>
  <c r="GJ70" i="2"/>
  <c r="GI70" i="2"/>
  <c r="FY70" i="2"/>
  <c r="FX70" i="2"/>
  <c r="FW70" i="2"/>
  <c r="FV70" i="2"/>
  <c r="FU70" i="2"/>
  <c r="FT70" i="2"/>
  <c r="FI70" i="2"/>
  <c r="FH70" i="2"/>
  <c r="FG70" i="2"/>
  <c r="FF70" i="2"/>
  <c r="FE70" i="2"/>
  <c r="FD70" i="2"/>
  <c r="ET70" i="2"/>
  <c r="ES70" i="2"/>
  <c r="ER70" i="2"/>
  <c r="EQ70" i="2"/>
  <c r="EP70" i="2"/>
  <c r="EO70" i="2"/>
  <c r="EE70" i="2"/>
  <c r="ED70" i="2"/>
  <c r="EC70" i="2"/>
  <c r="EB70" i="2"/>
  <c r="EA70" i="2"/>
  <c r="DZ70" i="2"/>
  <c r="DO70" i="2"/>
  <c r="DN70" i="2"/>
  <c r="DM70" i="2"/>
  <c r="DL70" i="2"/>
  <c r="DK70" i="2"/>
  <c r="DJ70" i="2"/>
  <c r="CZ70" i="2"/>
  <c r="CY70" i="2"/>
  <c r="CX70" i="2"/>
  <c r="CW70" i="2"/>
  <c r="CV70" i="2"/>
  <c r="CU70" i="2"/>
  <c r="CK70" i="2"/>
  <c r="CJ70" i="2"/>
  <c r="CI70" i="2"/>
  <c r="CH70" i="2"/>
  <c r="CG70" i="2"/>
  <c r="CF70" i="2"/>
  <c r="CE70" i="2"/>
  <c r="BH70" i="2"/>
  <c r="BG70" i="2"/>
  <c r="AY70" i="2"/>
  <c r="AX70" i="2"/>
  <c r="AV70" i="2"/>
  <c r="AU70" i="2"/>
  <c r="AT70" i="2"/>
  <c r="AS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X70" i="2"/>
  <c r="W70" i="2"/>
  <c r="V70" i="2"/>
  <c r="U70" i="2"/>
  <c r="T70" i="2"/>
  <c r="S70" i="2"/>
  <c r="R70" i="2"/>
  <c r="Q70" i="2"/>
  <c r="P70" i="2"/>
  <c r="M70" i="2"/>
  <c r="L70" i="2"/>
  <c r="K70" i="2"/>
  <c r="H70" i="2"/>
  <c r="G70" i="2"/>
  <c r="F70" i="2"/>
  <c r="E70" i="2"/>
  <c r="D70" i="2"/>
  <c r="C70" i="2"/>
  <c r="A70" i="2"/>
  <c r="IW69" i="2"/>
  <c r="IV69" i="2"/>
  <c r="IU69" i="2"/>
  <c r="IT69" i="2"/>
  <c r="IS69" i="2"/>
  <c r="IR69" i="2"/>
  <c r="IH69" i="2"/>
  <c r="IG69" i="2"/>
  <c r="IF69" i="2"/>
  <c r="IE69" i="2"/>
  <c r="ID69" i="2"/>
  <c r="IC69" i="2"/>
  <c r="HS69" i="2"/>
  <c r="HR69" i="2"/>
  <c r="HQ69" i="2"/>
  <c r="HP69" i="2"/>
  <c r="HO69" i="2"/>
  <c r="HN69" i="2"/>
  <c r="HC69" i="2"/>
  <c r="HB69" i="2"/>
  <c r="HA69" i="2"/>
  <c r="GZ69" i="2"/>
  <c r="GY69" i="2"/>
  <c r="GX69" i="2"/>
  <c r="GN69" i="2"/>
  <c r="GM69" i="2"/>
  <c r="GL69" i="2"/>
  <c r="GK69" i="2"/>
  <c r="GJ69" i="2"/>
  <c r="GI69" i="2"/>
  <c r="FY69" i="2"/>
  <c r="FX69" i="2"/>
  <c r="FW69" i="2"/>
  <c r="FV69" i="2"/>
  <c r="FU69" i="2"/>
  <c r="FT69" i="2"/>
  <c r="FI69" i="2"/>
  <c r="FH69" i="2"/>
  <c r="FG69" i="2"/>
  <c r="FF69" i="2"/>
  <c r="FE69" i="2"/>
  <c r="FD69" i="2"/>
  <c r="ET69" i="2"/>
  <c r="ES69" i="2"/>
  <c r="ER69" i="2"/>
  <c r="EQ69" i="2"/>
  <c r="EP69" i="2"/>
  <c r="EO69" i="2"/>
  <c r="EE69" i="2"/>
  <c r="ED69" i="2"/>
  <c r="EC69" i="2"/>
  <c r="EB69" i="2"/>
  <c r="EA69" i="2"/>
  <c r="DZ69" i="2"/>
  <c r="DO69" i="2"/>
  <c r="DN69" i="2"/>
  <c r="DM69" i="2"/>
  <c r="DL69" i="2"/>
  <c r="DK69" i="2"/>
  <c r="DJ69" i="2"/>
  <c r="CZ69" i="2"/>
  <c r="CY69" i="2"/>
  <c r="CX69" i="2"/>
  <c r="CW69" i="2"/>
  <c r="CV69" i="2"/>
  <c r="CU69" i="2"/>
  <c r="CK69" i="2"/>
  <c r="CJ69" i="2"/>
  <c r="CI69" i="2"/>
  <c r="CH69" i="2"/>
  <c r="CG69" i="2"/>
  <c r="CF69" i="2"/>
  <c r="CE69" i="2"/>
  <c r="BH69" i="2"/>
  <c r="BG69" i="2"/>
  <c r="AY69" i="2"/>
  <c r="AX69" i="2"/>
  <c r="AV69" i="2"/>
  <c r="AU69" i="2"/>
  <c r="AT69" i="2"/>
  <c r="AS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X69" i="2"/>
  <c r="W69" i="2"/>
  <c r="V69" i="2"/>
  <c r="U69" i="2"/>
  <c r="T69" i="2"/>
  <c r="S69" i="2"/>
  <c r="R69" i="2"/>
  <c r="Q69" i="2"/>
  <c r="P69" i="2"/>
  <c r="M69" i="2"/>
  <c r="L69" i="2"/>
  <c r="K69" i="2"/>
  <c r="H69" i="2"/>
  <c r="G69" i="2"/>
  <c r="F69" i="2"/>
  <c r="E69" i="2"/>
  <c r="D69" i="2"/>
  <c r="C69" i="2"/>
  <c r="A69" i="2"/>
  <c r="IW68" i="2"/>
  <c r="IV68" i="2"/>
  <c r="IU68" i="2"/>
  <c r="IT68" i="2"/>
  <c r="IS68" i="2"/>
  <c r="IR68" i="2"/>
  <c r="IH68" i="2"/>
  <c r="IG68" i="2"/>
  <c r="IF68" i="2"/>
  <c r="IE68" i="2"/>
  <c r="ID68" i="2"/>
  <c r="IC68" i="2"/>
  <c r="HS68" i="2"/>
  <c r="HR68" i="2"/>
  <c r="HQ68" i="2"/>
  <c r="HP68" i="2"/>
  <c r="HO68" i="2"/>
  <c r="HN68" i="2"/>
  <c r="HC68" i="2"/>
  <c r="HB68" i="2"/>
  <c r="HA68" i="2"/>
  <c r="GZ68" i="2"/>
  <c r="GY68" i="2"/>
  <c r="GX68" i="2"/>
  <c r="GN68" i="2"/>
  <c r="GM68" i="2"/>
  <c r="GL68" i="2"/>
  <c r="GK68" i="2"/>
  <c r="GJ68" i="2"/>
  <c r="GI68" i="2"/>
  <c r="FY68" i="2"/>
  <c r="FX68" i="2"/>
  <c r="FW68" i="2"/>
  <c r="FV68" i="2"/>
  <c r="FU68" i="2"/>
  <c r="FT68" i="2"/>
  <c r="FI68" i="2"/>
  <c r="FH68" i="2"/>
  <c r="FG68" i="2"/>
  <c r="FF68" i="2"/>
  <c r="FE68" i="2"/>
  <c r="FD68" i="2"/>
  <c r="ET68" i="2"/>
  <c r="ES68" i="2"/>
  <c r="ER68" i="2"/>
  <c r="EQ68" i="2"/>
  <c r="EP68" i="2"/>
  <c r="EO68" i="2"/>
  <c r="EE68" i="2"/>
  <c r="ED68" i="2"/>
  <c r="EC68" i="2"/>
  <c r="EB68" i="2"/>
  <c r="EA68" i="2"/>
  <c r="DZ68" i="2"/>
  <c r="DO68" i="2"/>
  <c r="DN68" i="2"/>
  <c r="DM68" i="2"/>
  <c r="DL68" i="2"/>
  <c r="DK68" i="2"/>
  <c r="DJ68" i="2"/>
  <c r="CZ68" i="2"/>
  <c r="CY68" i="2"/>
  <c r="CX68" i="2"/>
  <c r="CW68" i="2"/>
  <c r="CV68" i="2"/>
  <c r="CU68" i="2"/>
  <c r="CK68" i="2"/>
  <c r="CJ68" i="2"/>
  <c r="CI68" i="2"/>
  <c r="CH68" i="2"/>
  <c r="CG68" i="2"/>
  <c r="CF68" i="2"/>
  <c r="CE68" i="2"/>
  <c r="BH68" i="2"/>
  <c r="BG68" i="2"/>
  <c r="AY68" i="2"/>
  <c r="AX68" i="2"/>
  <c r="AV68" i="2"/>
  <c r="AU68" i="2"/>
  <c r="AT68" i="2"/>
  <c r="AS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X68" i="2"/>
  <c r="W68" i="2"/>
  <c r="V68" i="2"/>
  <c r="U68" i="2"/>
  <c r="T68" i="2"/>
  <c r="S68" i="2"/>
  <c r="R68" i="2"/>
  <c r="Q68" i="2"/>
  <c r="P68" i="2"/>
  <c r="M68" i="2"/>
  <c r="L68" i="2"/>
  <c r="K68" i="2"/>
  <c r="H68" i="2"/>
  <c r="G68" i="2"/>
  <c r="F68" i="2"/>
  <c r="E68" i="2"/>
  <c r="D68" i="2"/>
  <c r="C68" i="2"/>
  <c r="A68" i="2"/>
  <c r="IW67" i="2"/>
  <c r="IV67" i="2"/>
  <c r="IU67" i="2"/>
  <c r="IT67" i="2"/>
  <c r="IS67" i="2"/>
  <c r="IR67" i="2"/>
  <c r="IH67" i="2"/>
  <c r="IG67" i="2"/>
  <c r="IF67" i="2"/>
  <c r="IE67" i="2"/>
  <c r="ID67" i="2"/>
  <c r="IC67" i="2"/>
  <c r="HS67" i="2"/>
  <c r="HR67" i="2"/>
  <c r="HQ67" i="2"/>
  <c r="HP67" i="2"/>
  <c r="HO67" i="2"/>
  <c r="HN67" i="2"/>
  <c r="HC67" i="2"/>
  <c r="HB67" i="2"/>
  <c r="HA67" i="2"/>
  <c r="GZ67" i="2"/>
  <c r="GY67" i="2"/>
  <c r="GX67" i="2"/>
  <c r="GN67" i="2"/>
  <c r="GM67" i="2"/>
  <c r="GL67" i="2"/>
  <c r="GK67" i="2"/>
  <c r="GJ67" i="2"/>
  <c r="GI67" i="2"/>
  <c r="FY67" i="2"/>
  <c r="FX67" i="2"/>
  <c r="FW67" i="2"/>
  <c r="FV67" i="2"/>
  <c r="FU67" i="2"/>
  <c r="FT67" i="2"/>
  <c r="FI67" i="2"/>
  <c r="FH67" i="2"/>
  <c r="FG67" i="2"/>
  <c r="FF67" i="2"/>
  <c r="FE67" i="2"/>
  <c r="FD67" i="2"/>
  <c r="ET67" i="2"/>
  <c r="ES67" i="2"/>
  <c r="ER67" i="2"/>
  <c r="EQ67" i="2"/>
  <c r="EP67" i="2"/>
  <c r="EO67" i="2"/>
  <c r="EE67" i="2"/>
  <c r="ED67" i="2"/>
  <c r="EC67" i="2"/>
  <c r="EB67" i="2"/>
  <c r="EA67" i="2"/>
  <c r="DZ67" i="2"/>
  <c r="DO67" i="2"/>
  <c r="DN67" i="2"/>
  <c r="DM67" i="2"/>
  <c r="DL67" i="2"/>
  <c r="DK67" i="2"/>
  <c r="DJ67" i="2"/>
  <c r="CZ67" i="2"/>
  <c r="CY67" i="2"/>
  <c r="CX67" i="2"/>
  <c r="CW67" i="2"/>
  <c r="CV67" i="2"/>
  <c r="CU67" i="2"/>
  <c r="CK67" i="2"/>
  <c r="CJ67" i="2"/>
  <c r="CI67" i="2"/>
  <c r="CH67" i="2"/>
  <c r="CG67" i="2"/>
  <c r="CF67" i="2"/>
  <c r="CE67" i="2"/>
  <c r="BH67" i="2"/>
  <c r="BG67" i="2"/>
  <c r="AY67" i="2"/>
  <c r="AX67" i="2"/>
  <c r="AV67" i="2"/>
  <c r="AU67" i="2"/>
  <c r="AT67" i="2"/>
  <c r="AS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X67" i="2"/>
  <c r="W67" i="2"/>
  <c r="V67" i="2"/>
  <c r="U67" i="2"/>
  <c r="T67" i="2"/>
  <c r="S67" i="2"/>
  <c r="R67" i="2"/>
  <c r="Q67" i="2"/>
  <c r="P67" i="2"/>
  <c r="M67" i="2"/>
  <c r="L67" i="2"/>
  <c r="K67" i="2"/>
  <c r="H67" i="2"/>
  <c r="G67" i="2"/>
  <c r="F67" i="2"/>
  <c r="E67" i="2"/>
  <c r="D67" i="2"/>
  <c r="C67" i="2"/>
  <c r="A67" i="2"/>
  <c r="IW66" i="2"/>
  <c r="IV66" i="2"/>
  <c r="IU66" i="2"/>
  <c r="IT66" i="2"/>
  <c r="IS66" i="2"/>
  <c r="IR66" i="2"/>
  <c r="IH66" i="2"/>
  <c r="IG66" i="2"/>
  <c r="IF66" i="2"/>
  <c r="IE66" i="2"/>
  <c r="ID66" i="2"/>
  <c r="IC66" i="2"/>
  <c r="HS66" i="2"/>
  <c r="HR66" i="2"/>
  <c r="HQ66" i="2"/>
  <c r="HP66" i="2"/>
  <c r="HO66" i="2"/>
  <c r="HN66" i="2"/>
  <c r="HC66" i="2"/>
  <c r="HB66" i="2"/>
  <c r="HA66" i="2"/>
  <c r="GZ66" i="2"/>
  <c r="GY66" i="2"/>
  <c r="GX66" i="2"/>
  <c r="GN66" i="2"/>
  <c r="GM66" i="2"/>
  <c r="GL66" i="2"/>
  <c r="GK66" i="2"/>
  <c r="GJ66" i="2"/>
  <c r="GI66" i="2"/>
  <c r="FY66" i="2"/>
  <c r="FX66" i="2"/>
  <c r="FW66" i="2"/>
  <c r="FV66" i="2"/>
  <c r="FU66" i="2"/>
  <c r="FT66" i="2"/>
  <c r="FI66" i="2"/>
  <c r="FH66" i="2"/>
  <c r="FG66" i="2"/>
  <c r="FF66" i="2"/>
  <c r="FE66" i="2"/>
  <c r="FD66" i="2"/>
  <c r="ET66" i="2"/>
  <c r="ES66" i="2"/>
  <c r="ER66" i="2"/>
  <c r="EQ66" i="2"/>
  <c r="EP66" i="2"/>
  <c r="EO66" i="2"/>
  <c r="EE66" i="2"/>
  <c r="ED66" i="2"/>
  <c r="EC66" i="2"/>
  <c r="EB66" i="2"/>
  <c r="EA66" i="2"/>
  <c r="DZ66" i="2"/>
  <c r="DO66" i="2"/>
  <c r="DN66" i="2"/>
  <c r="DM66" i="2"/>
  <c r="DL66" i="2"/>
  <c r="DK66" i="2"/>
  <c r="DJ66" i="2"/>
  <c r="CZ66" i="2"/>
  <c r="CY66" i="2"/>
  <c r="CX66" i="2"/>
  <c r="CW66" i="2"/>
  <c r="CV66" i="2"/>
  <c r="CU66" i="2"/>
  <c r="CK66" i="2"/>
  <c r="CJ66" i="2"/>
  <c r="CI66" i="2"/>
  <c r="CH66" i="2"/>
  <c r="CG66" i="2"/>
  <c r="CF66" i="2"/>
  <c r="CE66" i="2"/>
  <c r="BH66" i="2"/>
  <c r="BG66" i="2"/>
  <c r="AY66" i="2"/>
  <c r="AX66" i="2"/>
  <c r="AV66" i="2"/>
  <c r="AU66" i="2"/>
  <c r="AT66" i="2"/>
  <c r="AS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X66" i="2"/>
  <c r="W66" i="2"/>
  <c r="V66" i="2"/>
  <c r="U66" i="2"/>
  <c r="T66" i="2"/>
  <c r="S66" i="2"/>
  <c r="R66" i="2"/>
  <c r="Q66" i="2"/>
  <c r="P66" i="2"/>
  <c r="M66" i="2"/>
  <c r="L66" i="2"/>
  <c r="K66" i="2"/>
  <c r="H66" i="2"/>
  <c r="G66" i="2"/>
  <c r="F66" i="2"/>
  <c r="E66" i="2"/>
  <c r="D66" i="2"/>
  <c r="C66" i="2"/>
  <c r="A66" i="2"/>
  <c r="IW65" i="2"/>
  <c r="IV65" i="2"/>
  <c r="IU65" i="2"/>
  <c r="IT65" i="2"/>
  <c r="IS65" i="2"/>
  <c r="IR65" i="2"/>
  <c r="IH65" i="2"/>
  <c r="IG65" i="2"/>
  <c r="IF65" i="2"/>
  <c r="IE65" i="2"/>
  <c r="ID65" i="2"/>
  <c r="IC65" i="2"/>
  <c r="HS65" i="2"/>
  <c r="HR65" i="2"/>
  <c r="HQ65" i="2"/>
  <c r="HP65" i="2"/>
  <c r="HO65" i="2"/>
  <c r="HN65" i="2"/>
  <c r="HC65" i="2"/>
  <c r="HB65" i="2"/>
  <c r="HA65" i="2"/>
  <c r="GZ65" i="2"/>
  <c r="GY65" i="2"/>
  <c r="GX65" i="2"/>
  <c r="GN65" i="2"/>
  <c r="GM65" i="2"/>
  <c r="GL65" i="2"/>
  <c r="GK65" i="2"/>
  <c r="GJ65" i="2"/>
  <c r="GI65" i="2"/>
  <c r="FY65" i="2"/>
  <c r="FX65" i="2"/>
  <c r="FW65" i="2"/>
  <c r="FV65" i="2"/>
  <c r="FU65" i="2"/>
  <c r="FT65" i="2"/>
  <c r="FH65" i="2"/>
  <c r="FI65" i="2" s="1"/>
  <c r="FG65" i="2"/>
  <c r="FF65" i="2"/>
  <c r="FE65" i="2"/>
  <c r="FD65" i="2"/>
  <c r="ES65" i="2"/>
  <c r="ER65" i="2"/>
  <c r="EQ65" i="2"/>
  <c r="ET65" i="2" s="1"/>
  <c r="EP65" i="2"/>
  <c r="EO65" i="2"/>
  <c r="EE65" i="2"/>
  <c r="ED65" i="2"/>
  <c r="EC65" i="2"/>
  <c r="EB65" i="2"/>
  <c r="EA65" i="2"/>
  <c r="DZ65" i="2"/>
  <c r="DO65" i="2"/>
  <c r="DN65" i="2"/>
  <c r="DM65" i="2"/>
  <c r="DL65" i="2"/>
  <c r="DK65" i="2"/>
  <c r="DJ65" i="2"/>
  <c r="CY65" i="2"/>
  <c r="CZ65" i="2" s="1"/>
  <c r="CX65" i="2"/>
  <c r="CW65" i="2"/>
  <c r="CV65" i="2"/>
  <c r="CU65" i="2"/>
  <c r="CJ65" i="2"/>
  <c r="CI65" i="2"/>
  <c r="CH65" i="2"/>
  <c r="CK65" i="2" s="1"/>
  <c r="CG65" i="2"/>
  <c r="CF65" i="2"/>
  <c r="CE65" i="2"/>
  <c r="BH65" i="2"/>
  <c r="BG65" i="2"/>
  <c r="AY65" i="2"/>
  <c r="AX65" i="2"/>
  <c r="AV65" i="2"/>
  <c r="AU65" i="2"/>
  <c r="AT65" i="2"/>
  <c r="AS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X65" i="2"/>
  <c r="W65" i="2"/>
  <c r="V65" i="2"/>
  <c r="U65" i="2"/>
  <c r="T65" i="2"/>
  <c r="S65" i="2"/>
  <c r="R65" i="2"/>
  <c r="Q65" i="2"/>
  <c r="P65" i="2"/>
  <c r="M65" i="2"/>
  <c r="L65" i="2"/>
  <c r="K65" i="2"/>
  <c r="H65" i="2"/>
  <c r="G65" i="2"/>
  <c r="F65" i="2"/>
  <c r="E65" i="2"/>
  <c r="D65" i="2"/>
  <c r="C65" i="2"/>
  <c r="A65" i="2"/>
  <c r="IW64" i="2"/>
  <c r="IV64" i="2"/>
  <c r="IU64" i="2"/>
  <c r="IT64" i="2"/>
  <c r="IS64" i="2"/>
  <c r="IR64" i="2"/>
  <c r="IG64" i="2"/>
  <c r="IF64" i="2"/>
  <c r="IH64" i="2" s="1"/>
  <c r="IE64" i="2"/>
  <c r="ID64" i="2"/>
  <c r="IC64" i="2"/>
  <c r="HR64" i="2"/>
  <c r="HQ64" i="2"/>
  <c r="HP64" i="2"/>
  <c r="HO64" i="2"/>
  <c r="HS64" i="2" s="1"/>
  <c r="HN64" i="2"/>
  <c r="HC64" i="2"/>
  <c r="HB64" i="2"/>
  <c r="HA64" i="2"/>
  <c r="GZ64" i="2"/>
  <c r="GY64" i="2"/>
  <c r="GX64" i="2"/>
  <c r="GN64" i="2"/>
  <c r="GM64" i="2"/>
  <c r="GL64" i="2"/>
  <c r="GK64" i="2"/>
  <c r="GJ64" i="2"/>
  <c r="GI64" i="2"/>
  <c r="FX64" i="2"/>
  <c r="FW64" i="2"/>
  <c r="FY64" i="2" s="1"/>
  <c r="FV64" i="2"/>
  <c r="FU64" i="2"/>
  <c r="FT64" i="2"/>
  <c r="FH64" i="2"/>
  <c r="FG64" i="2"/>
  <c r="FF64" i="2"/>
  <c r="FE64" i="2"/>
  <c r="FI64" i="2" s="1"/>
  <c r="FD64" i="2"/>
  <c r="ET64" i="2"/>
  <c r="ES64" i="2"/>
  <c r="ER64" i="2"/>
  <c r="EQ64" i="2"/>
  <c r="EP64" i="2"/>
  <c r="EO64" i="2"/>
  <c r="EE64" i="2"/>
  <c r="ED64" i="2"/>
  <c r="EC64" i="2"/>
  <c r="EB64" i="2"/>
  <c r="EA64" i="2"/>
  <c r="DZ64" i="2"/>
  <c r="DN64" i="2"/>
  <c r="DM64" i="2"/>
  <c r="DL64" i="2"/>
  <c r="DO64" i="2" s="1"/>
  <c r="DK64" i="2"/>
  <c r="DJ64" i="2"/>
  <c r="CY64" i="2"/>
  <c r="CX64" i="2"/>
  <c r="CW64" i="2"/>
  <c r="CV64" i="2"/>
  <c r="CZ64" i="2" s="1"/>
  <c r="CU64" i="2"/>
  <c r="CJ64" i="2"/>
  <c r="CI64" i="2"/>
  <c r="CH64" i="2"/>
  <c r="CK64" i="2" s="1"/>
  <c r="CG64" i="2"/>
  <c r="CF64" i="2"/>
  <c r="CE64" i="2"/>
  <c r="BH64" i="2"/>
  <c r="BG64" i="2"/>
  <c r="AY64" i="2"/>
  <c r="AX64" i="2"/>
  <c r="AV64" i="2"/>
  <c r="AU64" i="2"/>
  <c r="AT64" i="2"/>
  <c r="AS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X64" i="2"/>
  <c r="W64" i="2"/>
  <c r="V64" i="2"/>
  <c r="U64" i="2"/>
  <c r="T64" i="2"/>
  <c r="S64" i="2"/>
  <c r="R64" i="2"/>
  <c r="Q64" i="2"/>
  <c r="P64" i="2"/>
  <c r="M64" i="2"/>
  <c r="L64" i="2"/>
  <c r="K64" i="2"/>
  <c r="H64" i="2"/>
  <c r="G64" i="2"/>
  <c r="F64" i="2"/>
  <c r="E64" i="2"/>
  <c r="D64" i="2"/>
  <c r="C64" i="2"/>
  <c r="A64" i="2"/>
  <c r="IV63" i="2"/>
  <c r="IU63" i="2"/>
  <c r="IT63" i="2"/>
  <c r="IW63" i="2" s="1"/>
  <c r="IS63" i="2"/>
  <c r="IR63" i="2"/>
  <c r="IG63" i="2"/>
  <c r="IF63" i="2"/>
  <c r="IH63" i="2" s="1"/>
  <c r="IE63" i="2"/>
  <c r="ID63" i="2"/>
  <c r="IC63" i="2"/>
  <c r="HR63" i="2"/>
  <c r="HQ63" i="2"/>
  <c r="HP63" i="2"/>
  <c r="HO63" i="2"/>
  <c r="HS63" i="2" s="1"/>
  <c r="HN63" i="2"/>
  <c r="HB63" i="2"/>
  <c r="HA63" i="2"/>
  <c r="GZ63" i="2"/>
  <c r="GY63" i="2"/>
  <c r="HC63" i="2" s="1"/>
  <c r="GX63" i="2"/>
  <c r="GM63" i="2"/>
  <c r="GL63" i="2"/>
  <c r="GK63" i="2"/>
  <c r="GN63" i="2" s="1"/>
  <c r="GJ63" i="2"/>
  <c r="GI63" i="2"/>
  <c r="FX63" i="2"/>
  <c r="FW63" i="2"/>
  <c r="FY63" i="2" s="1"/>
  <c r="FV63" i="2"/>
  <c r="FU63" i="2"/>
  <c r="FT63" i="2"/>
  <c r="FH63" i="2"/>
  <c r="FG63" i="2"/>
  <c r="FF63" i="2"/>
  <c r="FE63" i="2"/>
  <c r="FI63" i="2" s="1"/>
  <c r="FD63" i="2"/>
  <c r="ES63" i="2"/>
  <c r="ER63" i="2"/>
  <c r="EQ63" i="2"/>
  <c r="EP63" i="2"/>
  <c r="ET63" i="2" s="1"/>
  <c r="EO63" i="2"/>
  <c r="ED63" i="2"/>
  <c r="EC63" i="2"/>
  <c r="EB63" i="2"/>
  <c r="EE63" i="2" s="1"/>
  <c r="EA63" i="2"/>
  <c r="DZ63" i="2"/>
  <c r="DN63" i="2"/>
  <c r="DM63" i="2"/>
  <c r="DO63" i="2" s="1"/>
  <c r="DL63" i="2"/>
  <c r="DK63" i="2"/>
  <c r="DJ63" i="2"/>
  <c r="CY63" i="2"/>
  <c r="CX63" i="2"/>
  <c r="CW63" i="2"/>
  <c r="CV63" i="2"/>
  <c r="CZ63" i="2" s="1"/>
  <c r="CU63" i="2"/>
  <c r="CJ63" i="2"/>
  <c r="CI63" i="2"/>
  <c r="CH63" i="2"/>
  <c r="CG63" i="2"/>
  <c r="CK63" i="2" s="1"/>
  <c r="CF63" i="2"/>
  <c r="BH63" i="2"/>
  <c r="BG63" i="2"/>
  <c r="AY63" i="2"/>
  <c r="AX63" i="2"/>
  <c r="AV63" i="2"/>
  <c r="AU63" i="2"/>
  <c r="AT63" i="2"/>
  <c r="AS63" i="2"/>
  <c r="AP63" i="2"/>
  <c r="AN63" i="2"/>
  <c r="AO63" i="2" s="1"/>
  <c r="AM63" i="2"/>
  <c r="AL63" i="2"/>
  <c r="AK63" i="2"/>
  <c r="AJ63" i="2"/>
  <c r="CE63" i="2" s="1"/>
  <c r="AI63" i="2"/>
  <c r="AH63" i="2"/>
  <c r="AG63" i="2"/>
  <c r="AF63" i="2"/>
  <c r="AE63" i="2"/>
  <c r="AD63" i="2"/>
  <c r="AC63" i="2"/>
  <c r="AB63" i="2"/>
  <c r="AA63" i="2"/>
  <c r="Z63" i="2"/>
  <c r="X63" i="2"/>
  <c r="W63" i="2"/>
  <c r="V63" i="2"/>
  <c r="U63" i="2"/>
  <c r="T63" i="2"/>
  <c r="S63" i="2"/>
  <c r="R63" i="2"/>
  <c r="Q63" i="2"/>
  <c r="P63" i="2"/>
  <c r="M63" i="2"/>
  <c r="L63" i="2"/>
  <c r="K63" i="2"/>
  <c r="H63" i="2"/>
  <c r="G63" i="2"/>
  <c r="F63" i="2"/>
  <c r="E63" i="2"/>
  <c r="D63" i="2"/>
  <c r="C63" i="2"/>
  <c r="A63" i="2"/>
  <c r="IV62" i="2"/>
  <c r="IU62" i="2"/>
  <c r="IT62" i="2"/>
  <c r="IW62" i="2" s="1"/>
  <c r="IS62" i="2"/>
  <c r="IR62" i="2"/>
  <c r="IH62" i="2"/>
  <c r="IG62" i="2"/>
  <c r="IF62" i="2"/>
  <c r="IE62" i="2"/>
  <c r="ID62" i="2"/>
  <c r="IC62" i="2"/>
  <c r="HR62" i="2"/>
  <c r="HQ62" i="2"/>
  <c r="HP62" i="2"/>
  <c r="HO62" i="2"/>
  <c r="HS62" i="2" s="1"/>
  <c r="HN62" i="2"/>
  <c r="HB62" i="2"/>
  <c r="HA62" i="2"/>
  <c r="GZ62" i="2"/>
  <c r="GY62" i="2"/>
  <c r="HC62" i="2" s="1"/>
  <c r="GX62" i="2"/>
  <c r="GM62" i="2"/>
  <c r="GL62" i="2"/>
  <c r="GK62" i="2"/>
  <c r="GN62" i="2" s="1"/>
  <c r="GJ62" i="2"/>
  <c r="GI62" i="2"/>
  <c r="FY62" i="2"/>
  <c r="FX62" i="2"/>
  <c r="FW62" i="2"/>
  <c r="FV62" i="2"/>
  <c r="FU62" i="2"/>
  <c r="FT62" i="2"/>
  <c r="FH62" i="2"/>
  <c r="FG62" i="2"/>
  <c r="FF62" i="2"/>
  <c r="FE62" i="2"/>
  <c r="FI62" i="2" s="1"/>
  <c r="FD62" i="2"/>
  <c r="ES62" i="2"/>
  <c r="ER62" i="2"/>
  <c r="EQ62" i="2"/>
  <c r="EP62" i="2"/>
  <c r="ET62" i="2" s="1"/>
  <c r="EO62" i="2"/>
  <c r="ED62" i="2"/>
  <c r="EC62" i="2"/>
  <c r="EB62" i="2"/>
  <c r="EE62" i="2" s="1"/>
  <c r="EA62" i="2"/>
  <c r="DZ62" i="2"/>
  <c r="DO62" i="2"/>
  <c r="DN62" i="2"/>
  <c r="DM62" i="2"/>
  <c r="DL62" i="2"/>
  <c r="DK62" i="2"/>
  <c r="DJ62" i="2"/>
  <c r="CY62" i="2"/>
  <c r="CX62" i="2"/>
  <c r="CW62" i="2"/>
  <c r="CV62" i="2"/>
  <c r="CZ62" i="2" s="1"/>
  <c r="CU62" i="2"/>
  <c r="CJ62" i="2"/>
  <c r="CI62" i="2"/>
  <c r="CH62" i="2"/>
  <c r="CG62" i="2"/>
  <c r="CK62" i="2" s="1"/>
  <c r="CF62" i="2"/>
  <c r="BH62" i="2"/>
  <c r="BG62" i="2"/>
  <c r="AY62" i="2"/>
  <c r="AX62" i="2"/>
  <c r="AV62" i="2"/>
  <c r="AU62" i="2"/>
  <c r="AT62" i="2"/>
  <c r="AS62" i="2"/>
  <c r="AP62" i="2"/>
  <c r="AN62" i="2"/>
  <c r="AO62" i="2" s="1"/>
  <c r="AM62" i="2"/>
  <c r="AL62" i="2"/>
  <c r="AK62" i="2"/>
  <c r="AJ62" i="2"/>
  <c r="CE62" i="2" s="1"/>
  <c r="AI62" i="2"/>
  <c r="AH62" i="2"/>
  <c r="AG62" i="2"/>
  <c r="AF62" i="2"/>
  <c r="AE62" i="2"/>
  <c r="AD62" i="2"/>
  <c r="AC62" i="2"/>
  <c r="AB62" i="2"/>
  <c r="AA62" i="2"/>
  <c r="Z62" i="2"/>
  <c r="X62" i="2"/>
  <c r="W62" i="2"/>
  <c r="V62" i="2"/>
  <c r="U62" i="2"/>
  <c r="T62" i="2"/>
  <c r="S62" i="2"/>
  <c r="R62" i="2"/>
  <c r="Q62" i="2"/>
  <c r="P62" i="2"/>
  <c r="M62" i="2"/>
  <c r="L62" i="2"/>
  <c r="K62" i="2"/>
  <c r="H62" i="2"/>
  <c r="G62" i="2"/>
  <c r="F62" i="2"/>
  <c r="E62" i="2"/>
  <c r="D62" i="2"/>
  <c r="C62" i="2"/>
  <c r="A62" i="2"/>
  <c r="IV61" i="2"/>
  <c r="IU61" i="2"/>
  <c r="IT61" i="2"/>
  <c r="IS61" i="2"/>
  <c r="IW61" i="2" s="1"/>
  <c r="IR61" i="2"/>
  <c r="IG61" i="2"/>
  <c r="IF61" i="2"/>
  <c r="IE61" i="2"/>
  <c r="ID61" i="2"/>
  <c r="IH61" i="2" s="1"/>
  <c r="IC61" i="2"/>
  <c r="HR61" i="2"/>
  <c r="HQ61" i="2"/>
  <c r="HS61" i="2" s="1"/>
  <c r="HP61" i="2"/>
  <c r="HO61" i="2"/>
  <c r="HN61" i="2"/>
  <c r="HC61" i="2"/>
  <c r="HB61" i="2"/>
  <c r="HA61" i="2"/>
  <c r="GZ61" i="2"/>
  <c r="GY61" i="2"/>
  <c r="GX61" i="2"/>
  <c r="GM61" i="2"/>
  <c r="GL61" i="2"/>
  <c r="GK61" i="2"/>
  <c r="GJ61" i="2"/>
  <c r="GN61" i="2" s="1"/>
  <c r="GI61" i="2"/>
  <c r="FX61" i="2"/>
  <c r="FW61" i="2"/>
  <c r="FV61" i="2"/>
  <c r="FU61" i="2"/>
  <c r="FY61" i="2" s="1"/>
  <c r="FT61" i="2"/>
  <c r="FH61" i="2"/>
  <c r="FG61" i="2"/>
  <c r="FI61" i="2" s="1"/>
  <c r="FF61" i="2"/>
  <c r="FE61" i="2"/>
  <c r="FD61" i="2"/>
  <c r="ES61" i="2"/>
  <c r="ER61" i="2"/>
  <c r="EQ61" i="2"/>
  <c r="ET61" i="2" s="1"/>
  <c r="EP61" i="2"/>
  <c r="EO61" i="2"/>
  <c r="ED61" i="2"/>
  <c r="EC61" i="2"/>
  <c r="EB61" i="2"/>
  <c r="EA61" i="2"/>
  <c r="EE61" i="2" s="1"/>
  <c r="DZ61" i="2"/>
  <c r="DN61" i="2"/>
  <c r="DM61" i="2"/>
  <c r="DL61" i="2"/>
  <c r="DK61" i="2"/>
  <c r="DO61" i="2" s="1"/>
  <c r="DJ61" i="2"/>
  <c r="CY61" i="2"/>
  <c r="CX61" i="2"/>
  <c r="CZ61" i="2" s="1"/>
  <c r="CW61" i="2"/>
  <c r="CV61" i="2"/>
  <c r="CU61" i="2"/>
  <c r="CJ61" i="2"/>
  <c r="CI61" i="2"/>
  <c r="CH61" i="2"/>
  <c r="CK61" i="2" s="1"/>
  <c r="CG61" i="2"/>
  <c r="CF61" i="2"/>
  <c r="BH61" i="2"/>
  <c r="BG61" i="2"/>
  <c r="AY61" i="2"/>
  <c r="AX61" i="2"/>
  <c r="AV61" i="2"/>
  <c r="AU61" i="2"/>
  <c r="AT61" i="2"/>
  <c r="AS61" i="2"/>
  <c r="AP61" i="2"/>
  <c r="AO61" i="2"/>
  <c r="AN61" i="2"/>
  <c r="AM61" i="2"/>
  <c r="AL61" i="2"/>
  <c r="AK61" i="2"/>
  <c r="AJ61" i="2"/>
  <c r="CE61" i="2" s="1"/>
  <c r="AI61" i="2"/>
  <c r="AH61" i="2"/>
  <c r="AG61" i="2"/>
  <c r="AF61" i="2"/>
  <c r="AE61" i="2"/>
  <c r="AD61" i="2"/>
  <c r="AC61" i="2"/>
  <c r="AB61" i="2"/>
  <c r="AA61" i="2"/>
  <c r="Z61" i="2"/>
  <c r="X61" i="2"/>
  <c r="W61" i="2"/>
  <c r="V61" i="2"/>
  <c r="U61" i="2"/>
  <c r="T61" i="2"/>
  <c r="S61" i="2"/>
  <c r="R61" i="2"/>
  <c r="Q61" i="2"/>
  <c r="P61" i="2"/>
  <c r="M61" i="2"/>
  <c r="L61" i="2"/>
  <c r="K61" i="2"/>
  <c r="H61" i="2"/>
  <c r="G61" i="2"/>
  <c r="F61" i="2"/>
  <c r="E61" i="2"/>
  <c r="D61" i="2"/>
  <c r="C61" i="2"/>
  <c r="A61" i="2"/>
  <c r="IV60" i="2"/>
  <c r="IU60" i="2"/>
  <c r="IT60" i="2"/>
  <c r="IS60" i="2"/>
  <c r="IW60" i="2" s="1"/>
  <c r="IR60" i="2"/>
  <c r="IG60" i="2"/>
  <c r="IF60" i="2"/>
  <c r="IE60" i="2"/>
  <c r="ID60" i="2"/>
  <c r="IH60" i="2" s="1"/>
  <c r="IC60" i="2"/>
  <c r="HS60" i="2"/>
  <c r="HR60" i="2"/>
  <c r="HQ60" i="2"/>
  <c r="HP60" i="2"/>
  <c r="HO60" i="2"/>
  <c r="HN60" i="2"/>
  <c r="HB60" i="2"/>
  <c r="HA60" i="2"/>
  <c r="GZ60" i="2"/>
  <c r="HC60" i="2" s="1"/>
  <c r="GY60" i="2"/>
  <c r="GX60" i="2"/>
  <c r="GM60" i="2"/>
  <c r="GL60" i="2"/>
  <c r="GK60" i="2"/>
  <c r="GJ60" i="2"/>
  <c r="GN60" i="2" s="1"/>
  <c r="GI60" i="2"/>
  <c r="FX60" i="2"/>
  <c r="FW60" i="2"/>
  <c r="FV60" i="2"/>
  <c r="FU60" i="2"/>
  <c r="FY60" i="2" s="1"/>
  <c r="FT60" i="2"/>
  <c r="FI60" i="2"/>
  <c r="FH60" i="2"/>
  <c r="FG60" i="2"/>
  <c r="FF60" i="2"/>
  <c r="FE60" i="2"/>
  <c r="FD60" i="2"/>
  <c r="ES60" i="2"/>
  <c r="ER60" i="2"/>
  <c r="EQ60" i="2"/>
  <c r="ET60" i="2" s="1"/>
  <c r="EP60" i="2"/>
  <c r="EO60" i="2"/>
  <c r="ED60" i="2"/>
  <c r="EC60" i="2"/>
  <c r="EB60" i="2"/>
  <c r="EA60" i="2"/>
  <c r="EE60" i="2" s="1"/>
  <c r="DZ60" i="2"/>
  <c r="DN60" i="2"/>
  <c r="DM60" i="2"/>
  <c r="DL60" i="2"/>
  <c r="DK60" i="2"/>
  <c r="DO60" i="2" s="1"/>
  <c r="DJ60" i="2"/>
  <c r="CZ60" i="2"/>
  <c r="CY60" i="2"/>
  <c r="CX60" i="2"/>
  <c r="CW60" i="2"/>
  <c r="CV60" i="2"/>
  <c r="CU60" i="2"/>
  <c r="CJ60" i="2"/>
  <c r="CI60" i="2"/>
  <c r="CH60" i="2"/>
  <c r="CK60" i="2" s="1"/>
  <c r="CG60" i="2"/>
  <c r="CF60" i="2"/>
  <c r="CE60" i="2"/>
  <c r="BH60" i="2"/>
  <c r="BG60" i="2"/>
  <c r="AY60" i="2"/>
  <c r="AX60" i="2"/>
  <c r="AV60" i="2"/>
  <c r="AU60" i="2"/>
  <c r="AT60" i="2"/>
  <c r="AS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X60" i="2"/>
  <c r="W60" i="2"/>
  <c r="V60" i="2"/>
  <c r="U60" i="2"/>
  <c r="T60" i="2"/>
  <c r="S60" i="2"/>
  <c r="R60" i="2"/>
  <c r="Q60" i="2"/>
  <c r="P60" i="2"/>
  <c r="M60" i="2"/>
  <c r="L60" i="2"/>
  <c r="K60" i="2"/>
  <c r="H60" i="2"/>
  <c r="G60" i="2"/>
  <c r="F60" i="2"/>
  <c r="E60" i="2"/>
  <c r="D60" i="2"/>
  <c r="C60" i="2"/>
  <c r="A60" i="2"/>
  <c r="IV59" i="2"/>
  <c r="IU59" i="2"/>
  <c r="IT59" i="2"/>
  <c r="IS59" i="2"/>
  <c r="IW59" i="2" s="1"/>
  <c r="IR59" i="2"/>
  <c r="IG59" i="2"/>
  <c r="IF59" i="2"/>
  <c r="IE59" i="2"/>
  <c r="ID59" i="2"/>
  <c r="IH59" i="2" s="1"/>
  <c r="IC59" i="2"/>
  <c r="HS59" i="2"/>
  <c r="HR59" i="2"/>
  <c r="HQ59" i="2"/>
  <c r="HP59" i="2"/>
  <c r="HO59" i="2"/>
  <c r="HN59" i="2"/>
  <c r="HB59" i="2"/>
  <c r="HA59" i="2"/>
  <c r="HC59" i="2" s="1"/>
  <c r="GZ59" i="2"/>
  <c r="GY59" i="2"/>
  <c r="GX59" i="2"/>
  <c r="GM59" i="2"/>
  <c r="GL59" i="2"/>
  <c r="GK59" i="2"/>
  <c r="GJ59" i="2"/>
  <c r="GN59" i="2" s="1"/>
  <c r="GI59" i="2"/>
  <c r="FX59" i="2"/>
  <c r="FW59" i="2"/>
  <c r="FV59" i="2"/>
  <c r="FU59" i="2"/>
  <c r="FY59" i="2" s="1"/>
  <c r="FT59" i="2"/>
  <c r="FH59" i="2"/>
  <c r="FG59" i="2"/>
  <c r="FF59" i="2"/>
  <c r="FI59" i="2" s="1"/>
  <c r="FE59" i="2"/>
  <c r="FD59" i="2"/>
  <c r="ES59" i="2"/>
  <c r="ER59" i="2"/>
  <c r="ET59" i="2" s="1"/>
  <c r="EQ59" i="2"/>
  <c r="EP59" i="2"/>
  <c r="EO59" i="2"/>
  <c r="ED59" i="2"/>
  <c r="EC59" i="2"/>
  <c r="EB59" i="2"/>
  <c r="EA59" i="2"/>
  <c r="EE59" i="2" s="1"/>
  <c r="DZ59" i="2"/>
  <c r="DN59" i="2"/>
  <c r="DM59" i="2"/>
  <c r="DL59" i="2"/>
  <c r="DK59" i="2"/>
  <c r="DO59" i="2" s="1"/>
  <c r="DJ59" i="2"/>
  <c r="CY59" i="2"/>
  <c r="CX59" i="2"/>
  <c r="CW59" i="2"/>
  <c r="CZ59" i="2" s="1"/>
  <c r="CV59" i="2"/>
  <c r="CU59" i="2"/>
  <c r="CJ59" i="2"/>
  <c r="CI59" i="2"/>
  <c r="CH59" i="2"/>
  <c r="CK59" i="2" s="1"/>
  <c r="CG59" i="2"/>
  <c r="CF59" i="2"/>
  <c r="BH59" i="2"/>
  <c r="BG59" i="2"/>
  <c r="AY59" i="2"/>
  <c r="AX59" i="2"/>
  <c r="AV59" i="2"/>
  <c r="AU59" i="2"/>
  <c r="AT59" i="2"/>
  <c r="AS59" i="2"/>
  <c r="AP59" i="2"/>
  <c r="AN59" i="2"/>
  <c r="AO59" i="2" s="1"/>
  <c r="AM59" i="2"/>
  <c r="AL59" i="2"/>
  <c r="AK59" i="2"/>
  <c r="AJ59" i="2"/>
  <c r="CE59" i="2" s="1"/>
  <c r="AI59" i="2"/>
  <c r="AH59" i="2"/>
  <c r="AG59" i="2"/>
  <c r="AF59" i="2"/>
  <c r="AE59" i="2"/>
  <c r="AD59" i="2"/>
  <c r="AC59" i="2"/>
  <c r="AB59" i="2"/>
  <c r="AA59" i="2"/>
  <c r="Z59" i="2"/>
  <c r="X59" i="2"/>
  <c r="W59" i="2"/>
  <c r="V59" i="2"/>
  <c r="U59" i="2"/>
  <c r="T59" i="2"/>
  <c r="S59" i="2"/>
  <c r="R59" i="2"/>
  <c r="Q59" i="2"/>
  <c r="P59" i="2"/>
  <c r="M59" i="2"/>
  <c r="L59" i="2"/>
  <c r="K59" i="2"/>
  <c r="H59" i="2"/>
  <c r="G59" i="2"/>
  <c r="F59" i="2"/>
  <c r="E59" i="2"/>
  <c r="D59" i="2"/>
  <c r="C59" i="2"/>
  <c r="A59" i="2"/>
  <c r="IV58" i="2"/>
  <c r="IU58" i="2"/>
  <c r="IT58" i="2"/>
  <c r="IW58" i="2" s="1"/>
  <c r="IS58" i="2"/>
  <c r="IR58" i="2"/>
  <c r="IG58" i="2"/>
  <c r="IF58" i="2"/>
  <c r="IE58" i="2"/>
  <c r="ID58" i="2"/>
  <c r="IH58" i="2" s="1"/>
  <c r="IC58" i="2"/>
  <c r="HR58" i="2"/>
  <c r="HQ58" i="2"/>
  <c r="HP58" i="2"/>
  <c r="HO58" i="2"/>
  <c r="HS58" i="2" s="1"/>
  <c r="HN58" i="2"/>
  <c r="HC58" i="2"/>
  <c r="HB58" i="2"/>
  <c r="HA58" i="2"/>
  <c r="GZ58" i="2"/>
  <c r="GY58" i="2"/>
  <c r="GX58" i="2"/>
  <c r="GM58" i="2"/>
  <c r="GL58" i="2"/>
  <c r="GK58" i="2"/>
  <c r="GN58" i="2" s="1"/>
  <c r="GJ58" i="2"/>
  <c r="GI58" i="2"/>
  <c r="FX58" i="2"/>
  <c r="FW58" i="2"/>
  <c r="FV58" i="2"/>
  <c r="FU58" i="2"/>
  <c r="FY58" i="2" s="1"/>
  <c r="FT58" i="2"/>
  <c r="FH58" i="2"/>
  <c r="FG58" i="2"/>
  <c r="FF58" i="2"/>
  <c r="FE58" i="2"/>
  <c r="FI58" i="2" s="1"/>
  <c r="FD58" i="2"/>
  <c r="ET58" i="2"/>
  <c r="ES58" i="2"/>
  <c r="ER58" i="2"/>
  <c r="EQ58" i="2"/>
  <c r="EP58" i="2"/>
  <c r="EO58" i="2"/>
  <c r="ED58" i="2"/>
  <c r="EC58" i="2"/>
  <c r="EB58" i="2"/>
  <c r="EE58" i="2" s="1"/>
  <c r="EA58" i="2"/>
  <c r="DZ58" i="2"/>
  <c r="DN58" i="2"/>
  <c r="DM58" i="2"/>
  <c r="DL58" i="2"/>
  <c r="DK58" i="2"/>
  <c r="DO58" i="2" s="1"/>
  <c r="DJ58" i="2"/>
  <c r="CY58" i="2"/>
  <c r="CX58" i="2"/>
  <c r="CW58" i="2"/>
  <c r="CV58" i="2"/>
  <c r="CZ58" i="2" s="1"/>
  <c r="CU58" i="2"/>
  <c r="CJ58" i="2"/>
  <c r="CK58" i="2" s="1"/>
  <c r="CI58" i="2"/>
  <c r="CH58" i="2"/>
  <c r="CG58" i="2"/>
  <c r="CF58" i="2"/>
  <c r="BH58" i="2"/>
  <c r="BG58" i="2"/>
  <c r="AY58" i="2"/>
  <c r="AX58" i="2"/>
  <c r="AV58" i="2"/>
  <c r="AU58" i="2"/>
  <c r="AT58" i="2"/>
  <c r="AS58" i="2"/>
  <c r="AP58" i="2"/>
  <c r="AN58" i="2"/>
  <c r="AO58" i="2" s="1"/>
  <c r="AM58" i="2"/>
  <c r="AL58" i="2"/>
  <c r="AK58" i="2"/>
  <c r="AJ58" i="2"/>
  <c r="CE58" i="2" s="1"/>
  <c r="AI58" i="2"/>
  <c r="AH58" i="2"/>
  <c r="AG58" i="2"/>
  <c r="AF58" i="2"/>
  <c r="AE58" i="2"/>
  <c r="AD58" i="2"/>
  <c r="AC58" i="2"/>
  <c r="AB58" i="2"/>
  <c r="AA58" i="2"/>
  <c r="Z58" i="2"/>
  <c r="X58" i="2"/>
  <c r="W58" i="2"/>
  <c r="V58" i="2"/>
  <c r="U58" i="2"/>
  <c r="T58" i="2"/>
  <c r="S58" i="2"/>
  <c r="R58" i="2"/>
  <c r="Q58" i="2"/>
  <c r="P58" i="2"/>
  <c r="M58" i="2"/>
  <c r="L58" i="2"/>
  <c r="K58" i="2"/>
  <c r="H58" i="2"/>
  <c r="G58" i="2"/>
  <c r="F58" i="2"/>
  <c r="E58" i="2"/>
  <c r="D58" i="2"/>
  <c r="C58" i="2"/>
  <c r="A58" i="2"/>
  <c r="IV57" i="2"/>
  <c r="IU57" i="2"/>
  <c r="IW57" i="2" s="1"/>
  <c r="IT57" i="2"/>
  <c r="IS57" i="2"/>
  <c r="IR57" i="2"/>
  <c r="IH57" i="2"/>
  <c r="IG57" i="2"/>
  <c r="IF57" i="2"/>
  <c r="IE57" i="2"/>
  <c r="ID57" i="2"/>
  <c r="IC57" i="2"/>
  <c r="HR57" i="2"/>
  <c r="HQ57" i="2"/>
  <c r="HP57" i="2"/>
  <c r="HO57" i="2"/>
  <c r="HS57" i="2" s="1"/>
  <c r="HN57" i="2"/>
  <c r="HB57" i="2"/>
  <c r="HA57" i="2"/>
  <c r="GZ57" i="2"/>
  <c r="GY57" i="2"/>
  <c r="HC57" i="2" s="1"/>
  <c r="GX57" i="2"/>
  <c r="GM57" i="2"/>
  <c r="GL57" i="2"/>
  <c r="GN57" i="2" s="1"/>
  <c r="GK57" i="2"/>
  <c r="GJ57" i="2"/>
  <c r="GI57" i="2"/>
  <c r="FY57" i="2"/>
  <c r="FX57" i="2"/>
  <c r="FW57" i="2"/>
  <c r="FV57" i="2"/>
  <c r="FU57" i="2"/>
  <c r="FT57" i="2"/>
  <c r="FH57" i="2"/>
  <c r="FG57" i="2"/>
  <c r="FF57" i="2"/>
  <c r="FE57" i="2"/>
  <c r="FI57" i="2" s="1"/>
  <c r="FD57" i="2"/>
  <c r="ES57" i="2"/>
  <c r="ER57" i="2"/>
  <c r="EQ57" i="2"/>
  <c r="EP57" i="2"/>
  <c r="ET57" i="2" s="1"/>
  <c r="EO57" i="2"/>
  <c r="ED57" i="2"/>
  <c r="EC57" i="2"/>
  <c r="EE57" i="2" s="1"/>
  <c r="EB57" i="2"/>
  <c r="EA57" i="2"/>
  <c r="DZ57" i="2"/>
  <c r="DN57" i="2"/>
  <c r="DM57" i="2"/>
  <c r="DL57" i="2"/>
  <c r="DO57" i="2" s="1"/>
  <c r="DK57" i="2"/>
  <c r="DJ57" i="2"/>
  <c r="CY57" i="2"/>
  <c r="CX57" i="2"/>
  <c r="CW57" i="2"/>
  <c r="CV57" i="2"/>
  <c r="CZ57" i="2" s="1"/>
  <c r="CU57" i="2"/>
  <c r="CJ57" i="2"/>
  <c r="CI57" i="2"/>
  <c r="CH57" i="2"/>
  <c r="CG57" i="2"/>
  <c r="CK57" i="2" s="1"/>
  <c r="CF57" i="2"/>
  <c r="BH57" i="2"/>
  <c r="BG57" i="2"/>
  <c r="AY57" i="2"/>
  <c r="AX57" i="2"/>
  <c r="AV57" i="2"/>
  <c r="AU57" i="2"/>
  <c r="AT57" i="2"/>
  <c r="AS57" i="2"/>
  <c r="AP57" i="2"/>
  <c r="AO57" i="2"/>
  <c r="AN57" i="2"/>
  <c r="AM57" i="2"/>
  <c r="AL57" i="2"/>
  <c r="AK57" i="2"/>
  <c r="AJ57" i="2"/>
  <c r="CE57" i="2" s="1"/>
  <c r="AI57" i="2"/>
  <c r="AH57" i="2"/>
  <c r="AG57" i="2"/>
  <c r="AF57" i="2"/>
  <c r="AE57" i="2"/>
  <c r="AD57" i="2"/>
  <c r="AC57" i="2"/>
  <c r="AB57" i="2"/>
  <c r="AA57" i="2"/>
  <c r="Z57" i="2"/>
  <c r="X57" i="2"/>
  <c r="W57" i="2"/>
  <c r="V57" i="2"/>
  <c r="U57" i="2"/>
  <c r="T57" i="2"/>
  <c r="S57" i="2"/>
  <c r="R57" i="2"/>
  <c r="Q57" i="2"/>
  <c r="P57" i="2"/>
  <c r="M57" i="2"/>
  <c r="L57" i="2"/>
  <c r="K57" i="2"/>
  <c r="H57" i="2"/>
  <c r="G57" i="2"/>
  <c r="F57" i="2"/>
  <c r="E57" i="2"/>
  <c r="D57" i="2"/>
  <c r="C57" i="2"/>
  <c r="A57" i="2"/>
  <c r="IW56" i="2"/>
  <c r="IV56" i="2"/>
  <c r="IU56" i="2"/>
  <c r="IT56" i="2"/>
  <c r="IS56" i="2"/>
  <c r="IR56" i="2"/>
  <c r="IG56" i="2"/>
  <c r="IF56" i="2"/>
  <c r="IE56" i="2"/>
  <c r="ID56" i="2"/>
  <c r="IH56" i="2" s="1"/>
  <c r="IC56" i="2"/>
  <c r="HR56" i="2"/>
  <c r="HQ56" i="2"/>
  <c r="HP56" i="2"/>
  <c r="HO56" i="2"/>
  <c r="HS56" i="2" s="1"/>
  <c r="HN56" i="2"/>
  <c r="HB56" i="2"/>
  <c r="HA56" i="2"/>
  <c r="GZ56" i="2"/>
  <c r="GY56" i="2"/>
  <c r="HC56" i="2" s="1"/>
  <c r="GX56" i="2"/>
  <c r="GN56" i="2"/>
  <c r="GM56" i="2"/>
  <c r="GL56" i="2"/>
  <c r="GK56" i="2"/>
  <c r="GJ56" i="2"/>
  <c r="GI56" i="2"/>
  <c r="FX56" i="2"/>
  <c r="FW56" i="2"/>
  <c r="FV56" i="2"/>
  <c r="FU56" i="2"/>
  <c r="FY56" i="2" s="1"/>
  <c r="FT56" i="2"/>
  <c r="FH56" i="2"/>
  <c r="FG56" i="2"/>
  <c r="FF56" i="2"/>
  <c r="FE56" i="2"/>
  <c r="FI56" i="2" s="1"/>
  <c r="FD56" i="2"/>
  <c r="ES56" i="2"/>
  <c r="ER56" i="2"/>
  <c r="EQ56" i="2"/>
  <c r="EP56" i="2"/>
  <c r="ET56" i="2" s="1"/>
  <c r="EO56" i="2"/>
  <c r="EE56" i="2"/>
  <c r="ED56" i="2"/>
  <c r="EC56" i="2"/>
  <c r="EB56" i="2"/>
  <c r="EA56" i="2"/>
  <c r="DZ56" i="2"/>
  <c r="DN56" i="2"/>
  <c r="DM56" i="2"/>
  <c r="DL56" i="2"/>
  <c r="DK56" i="2"/>
  <c r="DO56" i="2" s="1"/>
  <c r="DJ56" i="2"/>
  <c r="CY56" i="2"/>
  <c r="CX56" i="2"/>
  <c r="CW56" i="2"/>
  <c r="CV56" i="2"/>
  <c r="CZ56" i="2" s="1"/>
  <c r="CU56" i="2"/>
  <c r="CJ56" i="2"/>
  <c r="CI56" i="2"/>
  <c r="CH56" i="2"/>
  <c r="CG56" i="2"/>
  <c r="CK56" i="2" s="1"/>
  <c r="CF56" i="2"/>
  <c r="CE56" i="2"/>
  <c r="BH56" i="2"/>
  <c r="BG56" i="2"/>
  <c r="AY56" i="2"/>
  <c r="AX56" i="2"/>
  <c r="AV56" i="2"/>
  <c r="AU56" i="2"/>
  <c r="AT56" i="2"/>
  <c r="AS56" i="2"/>
  <c r="AP56" i="2"/>
  <c r="AN56" i="2"/>
  <c r="AO56" i="2" s="1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X56" i="2"/>
  <c r="W56" i="2"/>
  <c r="V56" i="2"/>
  <c r="U56" i="2"/>
  <c r="T56" i="2"/>
  <c r="S56" i="2"/>
  <c r="R56" i="2"/>
  <c r="Q56" i="2"/>
  <c r="P56" i="2"/>
  <c r="M56" i="2"/>
  <c r="L56" i="2"/>
  <c r="K56" i="2"/>
  <c r="H56" i="2"/>
  <c r="G56" i="2"/>
  <c r="F56" i="2"/>
  <c r="E56" i="2"/>
  <c r="D56" i="2"/>
  <c r="C56" i="2"/>
  <c r="A56" i="2"/>
  <c r="IV55" i="2"/>
  <c r="IU55" i="2"/>
  <c r="IT55" i="2"/>
  <c r="IS55" i="2"/>
  <c r="IW55" i="2" s="1"/>
  <c r="IR55" i="2"/>
  <c r="IG55" i="2"/>
  <c r="IF55" i="2"/>
  <c r="IH55" i="2" s="1"/>
  <c r="IE55" i="2"/>
  <c r="ID55" i="2"/>
  <c r="IC55" i="2"/>
  <c r="HS55" i="2"/>
  <c r="HR55" i="2"/>
  <c r="HQ55" i="2"/>
  <c r="HP55" i="2"/>
  <c r="HO55" i="2"/>
  <c r="HN55" i="2"/>
  <c r="HB55" i="2"/>
  <c r="HA55" i="2"/>
  <c r="GZ55" i="2"/>
  <c r="GY55" i="2"/>
  <c r="HC55" i="2" s="1"/>
  <c r="GX55" i="2"/>
  <c r="GM55" i="2"/>
  <c r="GL55" i="2"/>
  <c r="GK55" i="2"/>
  <c r="GJ55" i="2"/>
  <c r="GN55" i="2" s="1"/>
  <c r="GI55" i="2"/>
  <c r="FX55" i="2"/>
  <c r="FW55" i="2"/>
  <c r="FY55" i="2" s="1"/>
  <c r="FV55" i="2"/>
  <c r="FU55" i="2"/>
  <c r="FT55" i="2"/>
  <c r="FI55" i="2"/>
  <c r="FH55" i="2"/>
  <c r="FG55" i="2"/>
  <c r="FF55" i="2"/>
  <c r="FE55" i="2"/>
  <c r="FD55" i="2"/>
  <c r="ES55" i="2"/>
  <c r="ER55" i="2"/>
  <c r="EQ55" i="2"/>
  <c r="EP55" i="2"/>
  <c r="ET55" i="2" s="1"/>
  <c r="EO55" i="2"/>
  <c r="ED55" i="2"/>
  <c r="EC55" i="2"/>
  <c r="EB55" i="2"/>
  <c r="EA55" i="2"/>
  <c r="EE55" i="2" s="1"/>
  <c r="DZ55" i="2"/>
  <c r="DN55" i="2"/>
  <c r="DM55" i="2"/>
  <c r="DO55" i="2" s="1"/>
  <c r="DL55" i="2"/>
  <c r="DK55" i="2"/>
  <c r="DJ55" i="2"/>
  <c r="CY55" i="2"/>
  <c r="CX55" i="2"/>
  <c r="CW55" i="2"/>
  <c r="CZ55" i="2" s="1"/>
  <c r="CV55" i="2"/>
  <c r="CU55" i="2"/>
  <c r="CJ55" i="2"/>
  <c r="CI55" i="2"/>
  <c r="CH55" i="2"/>
  <c r="CG55" i="2"/>
  <c r="CK55" i="2" s="1"/>
  <c r="CF55" i="2"/>
  <c r="BH55" i="2"/>
  <c r="BG55" i="2"/>
  <c r="AY55" i="2"/>
  <c r="AX55" i="2"/>
  <c r="AV55" i="2"/>
  <c r="AU55" i="2"/>
  <c r="AT55" i="2"/>
  <c r="AS55" i="2"/>
  <c r="AP55" i="2"/>
  <c r="AN55" i="2"/>
  <c r="AO55" i="2" s="1"/>
  <c r="AM55" i="2"/>
  <c r="AL55" i="2"/>
  <c r="AK55" i="2"/>
  <c r="AJ55" i="2"/>
  <c r="CE55" i="2" s="1"/>
  <c r="AI55" i="2"/>
  <c r="AH55" i="2"/>
  <c r="AG55" i="2"/>
  <c r="AF55" i="2"/>
  <c r="AE55" i="2"/>
  <c r="AD55" i="2"/>
  <c r="AC55" i="2"/>
  <c r="AB55" i="2"/>
  <c r="AA55" i="2"/>
  <c r="Z55" i="2"/>
  <c r="X55" i="2"/>
  <c r="W55" i="2"/>
  <c r="V55" i="2"/>
  <c r="U55" i="2"/>
  <c r="T55" i="2"/>
  <c r="S55" i="2"/>
  <c r="R55" i="2"/>
  <c r="Q55" i="2"/>
  <c r="P55" i="2"/>
  <c r="M55" i="2"/>
  <c r="L55" i="2"/>
  <c r="K55" i="2"/>
  <c r="H55" i="2"/>
  <c r="G55" i="2"/>
  <c r="F55" i="2"/>
  <c r="E55" i="2"/>
  <c r="D55" i="2"/>
  <c r="C55" i="2"/>
  <c r="A55" i="2"/>
  <c r="IV54" i="2"/>
  <c r="IU54" i="2"/>
  <c r="IT54" i="2"/>
  <c r="IS54" i="2"/>
  <c r="IW54" i="2" s="1"/>
  <c r="IR54" i="2"/>
  <c r="IH54" i="2"/>
  <c r="IG54" i="2"/>
  <c r="IF54" i="2"/>
  <c r="IE54" i="2"/>
  <c r="ID54" i="2"/>
  <c r="IC54" i="2"/>
  <c r="HR54" i="2"/>
  <c r="HQ54" i="2"/>
  <c r="HP54" i="2"/>
  <c r="HS54" i="2" s="1"/>
  <c r="HO54" i="2"/>
  <c r="HN54" i="2"/>
  <c r="HB54" i="2"/>
  <c r="HA54" i="2"/>
  <c r="GZ54" i="2"/>
  <c r="GY54" i="2"/>
  <c r="HC54" i="2" s="1"/>
  <c r="GX54" i="2"/>
  <c r="GM54" i="2"/>
  <c r="GL54" i="2"/>
  <c r="GK54" i="2"/>
  <c r="GJ54" i="2"/>
  <c r="GN54" i="2" s="1"/>
  <c r="GI54" i="2"/>
  <c r="FY54" i="2"/>
  <c r="FX54" i="2"/>
  <c r="FW54" i="2"/>
  <c r="FV54" i="2"/>
  <c r="FU54" i="2"/>
  <c r="FT54" i="2"/>
  <c r="FH54" i="2"/>
  <c r="FG54" i="2"/>
  <c r="FF54" i="2"/>
  <c r="FI54" i="2" s="1"/>
  <c r="FE54" i="2"/>
  <c r="FD54" i="2"/>
  <c r="ES54" i="2"/>
  <c r="ER54" i="2"/>
  <c r="EQ54" i="2"/>
  <c r="EP54" i="2"/>
  <c r="ET54" i="2" s="1"/>
  <c r="EO54" i="2"/>
  <c r="ED54" i="2"/>
  <c r="EC54" i="2"/>
  <c r="EB54" i="2"/>
  <c r="EA54" i="2"/>
  <c r="EE54" i="2" s="1"/>
  <c r="DZ54" i="2"/>
  <c r="DO54" i="2"/>
  <c r="DN54" i="2"/>
  <c r="DM54" i="2"/>
  <c r="DL54" i="2"/>
  <c r="DK54" i="2"/>
  <c r="DJ54" i="2"/>
  <c r="CY54" i="2"/>
  <c r="CX54" i="2"/>
  <c r="CW54" i="2"/>
  <c r="CZ54" i="2" s="1"/>
  <c r="CV54" i="2"/>
  <c r="CU54" i="2"/>
  <c r="CJ54" i="2"/>
  <c r="CI54" i="2"/>
  <c r="CH54" i="2"/>
  <c r="CG54" i="2"/>
  <c r="CK54" i="2" s="1"/>
  <c r="CF54" i="2"/>
  <c r="BH54" i="2"/>
  <c r="BG54" i="2"/>
  <c r="AY54" i="2"/>
  <c r="AX54" i="2"/>
  <c r="AV54" i="2"/>
  <c r="AU54" i="2"/>
  <c r="AT54" i="2"/>
  <c r="AS54" i="2"/>
  <c r="AP54" i="2"/>
  <c r="AN54" i="2"/>
  <c r="AO54" i="2" s="1"/>
  <c r="AM54" i="2"/>
  <c r="AL54" i="2"/>
  <c r="AK54" i="2"/>
  <c r="AJ54" i="2"/>
  <c r="CE54" i="2" s="1"/>
  <c r="AI54" i="2"/>
  <c r="AH54" i="2"/>
  <c r="AG54" i="2"/>
  <c r="AF54" i="2"/>
  <c r="AE54" i="2"/>
  <c r="AD54" i="2"/>
  <c r="AC54" i="2"/>
  <c r="AB54" i="2"/>
  <c r="AA54" i="2"/>
  <c r="Z54" i="2"/>
  <c r="X54" i="2"/>
  <c r="W54" i="2"/>
  <c r="V54" i="2"/>
  <c r="U54" i="2"/>
  <c r="T54" i="2"/>
  <c r="S54" i="2"/>
  <c r="R54" i="2"/>
  <c r="Q54" i="2"/>
  <c r="P54" i="2"/>
  <c r="M54" i="2"/>
  <c r="L54" i="2"/>
  <c r="K54" i="2"/>
  <c r="H54" i="2"/>
  <c r="G54" i="2"/>
  <c r="F54" i="2"/>
  <c r="E54" i="2"/>
  <c r="D54" i="2"/>
  <c r="C54" i="2"/>
  <c r="A54" i="2"/>
  <c r="IV53" i="2"/>
  <c r="IU53" i="2"/>
  <c r="IT53" i="2"/>
  <c r="IS53" i="2"/>
  <c r="IW53" i="2" s="1"/>
  <c r="IR53" i="2"/>
  <c r="IG53" i="2"/>
  <c r="IF53" i="2"/>
  <c r="IE53" i="2"/>
  <c r="ID53" i="2"/>
  <c r="IH53" i="2" s="1"/>
  <c r="IC53" i="2"/>
  <c r="HR53" i="2"/>
  <c r="HQ53" i="2"/>
  <c r="HS53" i="2" s="1"/>
  <c r="HP53" i="2"/>
  <c r="HO53" i="2"/>
  <c r="HN53" i="2"/>
  <c r="HC53" i="2"/>
  <c r="HB53" i="2"/>
  <c r="HA53" i="2"/>
  <c r="GZ53" i="2"/>
  <c r="GY53" i="2"/>
  <c r="GX53" i="2"/>
  <c r="GM53" i="2"/>
  <c r="GL53" i="2"/>
  <c r="GK53" i="2"/>
  <c r="GJ53" i="2"/>
  <c r="GN53" i="2" s="1"/>
  <c r="GI53" i="2"/>
  <c r="FX53" i="2"/>
  <c r="FW53" i="2"/>
  <c r="FV53" i="2"/>
  <c r="FU53" i="2"/>
  <c r="FY53" i="2" s="1"/>
  <c r="FT53" i="2"/>
  <c r="FH53" i="2"/>
  <c r="FG53" i="2"/>
  <c r="FI53" i="2" s="1"/>
  <c r="FF53" i="2"/>
  <c r="FE53" i="2"/>
  <c r="FD53" i="2"/>
  <c r="ES53" i="2"/>
  <c r="ER53" i="2"/>
  <c r="EQ53" i="2"/>
  <c r="ET53" i="2" s="1"/>
  <c r="EP53" i="2"/>
  <c r="EO53" i="2"/>
  <c r="ED53" i="2"/>
  <c r="EC53" i="2"/>
  <c r="EB53" i="2"/>
  <c r="EA53" i="2"/>
  <c r="EE53" i="2" s="1"/>
  <c r="DZ53" i="2"/>
  <c r="DN53" i="2"/>
  <c r="DM53" i="2"/>
  <c r="DL53" i="2"/>
  <c r="DK53" i="2"/>
  <c r="DO53" i="2" s="1"/>
  <c r="DJ53" i="2"/>
  <c r="CY53" i="2"/>
  <c r="CX53" i="2"/>
  <c r="CZ53" i="2" s="1"/>
  <c r="CW53" i="2"/>
  <c r="CV53" i="2"/>
  <c r="CU53" i="2"/>
  <c r="CJ53" i="2"/>
  <c r="CI53" i="2"/>
  <c r="CH53" i="2"/>
  <c r="CK53" i="2" s="1"/>
  <c r="CG53" i="2"/>
  <c r="CF53" i="2"/>
  <c r="BH53" i="2"/>
  <c r="BG53" i="2"/>
  <c r="AY53" i="2"/>
  <c r="AX53" i="2"/>
  <c r="AV53" i="2"/>
  <c r="AU53" i="2"/>
  <c r="AT53" i="2"/>
  <c r="AS53" i="2"/>
  <c r="AP53" i="2"/>
  <c r="AO53" i="2"/>
  <c r="AN53" i="2"/>
  <c r="AM53" i="2"/>
  <c r="AL53" i="2"/>
  <c r="AK53" i="2"/>
  <c r="AJ53" i="2"/>
  <c r="CE53" i="2" s="1"/>
  <c r="AI53" i="2"/>
  <c r="AH53" i="2"/>
  <c r="AG53" i="2"/>
  <c r="AF53" i="2"/>
  <c r="AE53" i="2"/>
  <c r="AD53" i="2"/>
  <c r="AC53" i="2"/>
  <c r="AB53" i="2"/>
  <c r="AA53" i="2"/>
  <c r="Z53" i="2"/>
  <c r="X53" i="2"/>
  <c r="W53" i="2"/>
  <c r="V53" i="2"/>
  <c r="U53" i="2"/>
  <c r="T53" i="2"/>
  <c r="S53" i="2"/>
  <c r="R53" i="2"/>
  <c r="Q53" i="2"/>
  <c r="P53" i="2"/>
  <c r="M53" i="2"/>
  <c r="L53" i="2"/>
  <c r="K53" i="2"/>
  <c r="H53" i="2"/>
  <c r="G53" i="2"/>
  <c r="F53" i="2"/>
  <c r="E53" i="2"/>
  <c r="D53" i="2"/>
  <c r="C53" i="2"/>
  <c r="A53" i="2"/>
  <c r="IV52" i="2"/>
  <c r="IU52" i="2"/>
  <c r="IT52" i="2"/>
  <c r="IS52" i="2"/>
  <c r="IW52" i="2" s="1"/>
  <c r="IR52" i="2"/>
  <c r="IG52" i="2"/>
  <c r="IF52" i="2"/>
  <c r="IE52" i="2"/>
  <c r="ID52" i="2"/>
  <c r="IH52" i="2" s="1"/>
  <c r="IC52" i="2"/>
  <c r="HS52" i="2"/>
  <c r="HR52" i="2"/>
  <c r="HQ52" i="2"/>
  <c r="HP52" i="2"/>
  <c r="HO52" i="2"/>
  <c r="HN52" i="2"/>
  <c r="HB52" i="2"/>
  <c r="HA52" i="2"/>
  <c r="GZ52" i="2"/>
  <c r="HC52" i="2" s="1"/>
  <c r="GY52" i="2"/>
  <c r="GX52" i="2"/>
  <c r="GM52" i="2"/>
  <c r="GL52" i="2"/>
  <c r="GK52" i="2"/>
  <c r="GJ52" i="2"/>
  <c r="GN52" i="2" s="1"/>
  <c r="GI52" i="2"/>
  <c r="FX52" i="2"/>
  <c r="FW52" i="2"/>
  <c r="FV52" i="2"/>
  <c r="FU52" i="2"/>
  <c r="FY52" i="2" s="1"/>
  <c r="FT52" i="2"/>
  <c r="FI52" i="2"/>
  <c r="FH52" i="2"/>
  <c r="FG52" i="2"/>
  <c r="FF52" i="2"/>
  <c r="FE52" i="2"/>
  <c r="FD52" i="2"/>
  <c r="ES52" i="2"/>
  <c r="ER52" i="2"/>
  <c r="EQ52" i="2"/>
  <c r="ET52" i="2" s="1"/>
  <c r="EP52" i="2"/>
  <c r="EO52" i="2"/>
  <c r="ED52" i="2"/>
  <c r="EC52" i="2"/>
  <c r="EB52" i="2"/>
  <c r="EA52" i="2"/>
  <c r="EE52" i="2" s="1"/>
  <c r="DZ52" i="2"/>
  <c r="DN52" i="2"/>
  <c r="DM52" i="2"/>
  <c r="DL52" i="2"/>
  <c r="DK52" i="2"/>
  <c r="DO52" i="2" s="1"/>
  <c r="DJ52" i="2"/>
  <c r="CY52" i="2"/>
  <c r="CZ52" i="2" s="1"/>
  <c r="CX52" i="2"/>
  <c r="CW52" i="2"/>
  <c r="CV52" i="2"/>
  <c r="CU52" i="2"/>
  <c r="CJ52" i="2"/>
  <c r="CI52" i="2"/>
  <c r="CH52" i="2"/>
  <c r="CK52" i="2" s="1"/>
  <c r="CG52" i="2"/>
  <c r="CF52" i="2"/>
  <c r="CE52" i="2"/>
  <c r="BH52" i="2"/>
  <c r="BG52" i="2"/>
  <c r="AY52" i="2"/>
  <c r="AX52" i="2"/>
  <c r="AV52" i="2"/>
  <c r="AU52" i="2"/>
  <c r="AT52" i="2"/>
  <c r="AS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X52" i="2"/>
  <c r="W52" i="2"/>
  <c r="V52" i="2"/>
  <c r="U52" i="2"/>
  <c r="T52" i="2"/>
  <c r="S52" i="2"/>
  <c r="R52" i="2"/>
  <c r="Q52" i="2"/>
  <c r="P52" i="2"/>
  <c r="M52" i="2"/>
  <c r="L52" i="2"/>
  <c r="K52" i="2"/>
  <c r="H52" i="2"/>
  <c r="G52" i="2"/>
  <c r="F52" i="2"/>
  <c r="E52" i="2"/>
  <c r="D52" i="2"/>
  <c r="C52" i="2"/>
  <c r="A52" i="2"/>
  <c r="IW51" i="2"/>
  <c r="IV51" i="2"/>
  <c r="IU51" i="2"/>
  <c r="IT51" i="2"/>
  <c r="IS51" i="2"/>
  <c r="IR51" i="2"/>
  <c r="IG51" i="2"/>
  <c r="IF51" i="2"/>
  <c r="IE51" i="2"/>
  <c r="ID51" i="2"/>
  <c r="IH51" i="2" s="1"/>
  <c r="IC51" i="2"/>
  <c r="HR51" i="2"/>
  <c r="HQ51" i="2"/>
  <c r="HP51" i="2"/>
  <c r="HO51" i="2"/>
  <c r="HS51" i="2" s="1"/>
  <c r="HN51" i="2"/>
  <c r="HB51" i="2"/>
  <c r="HA51" i="2"/>
  <c r="HC51" i="2" s="1"/>
  <c r="GZ51" i="2"/>
  <c r="GY51" i="2"/>
  <c r="GX51" i="2"/>
  <c r="GN51" i="2"/>
  <c r="GM51" i="2"/>
  <c r="GL51" i="2"/>
  <c r="GK51" i="2"/>
  <c r="GJ51" i="2"/>
  <c r="GI51" i="2"/>
  <c r="FX51" i="2"/>
  <c r="FW51" i="2"/>
  <c r="FV51" i="2"/>
  <c r="FU51" i="2"/>
  <c r="FY51" i="2" s="1"/>
  <c r="FT51" i="2"/>
  <c r="FH51" i="2"/>
  <c r="FG51" i="2"/>
  <c r="FF51" i="2"/>
  <c r="FE51" i="2"/>
  <c r="FI51" i="2" s="1"/>
  <c r="FD51" i="2"/>
  <c r="ES51" i="2"/>
  <c r="ER51" i="2"/>
  <c r="ET51" i="2" s="1"/>
  <c r="EQ51" i="2"/>
  <c r="EP51" i="2"/>
  <c r="EO51" i="2"/>
  <c r="ED51" i="2"/>
  <c r="EC51" i="2"/>
  <c r="EB51" i="2"/>
  <c r="EE51" i="2" s="1"/>
  <c r="EA51" i="2"/>
  <c r="DZ51" i="2"/>
  <c r="DN51" i="2"/>
  <c r="DM51" i="2"/>
  <c r="DL51" i="2"/>
  <c r="DK51" i="2"/>
  <c r="DO51" i="2" s="1"/>
  <c r="DJ51" i="2"/>
  <c r="CY51" i="2"/>
  <c r="CX51" i="2"/>
  <c r="CW51" i="2"/>
  <c r="CV51" i="2"/>
  <c r="CZ51" i="2" s="1"/>
  <c r="CU51" i="2"/>
  <c r="CJ51" i="2"/>
  <c r="CI51" i="2"/>
  <c r="CH51" i="2"/>
  <c r="CK51" i="2" s="1"/>
  <c r="CG51" i="2"/>
  <c r="CF51" i="2"/>
  <c r="BH51" i="2"/>
  <c r="BG51" i="2"/>
  <c r="AY51" i="2"/>
  <c r="AX51" i="2"/>
  <c r="AV51" i="2"/>
  <c r="AU51" i="2"/>
  <c r="AT51" i="2"/>
  <c r="AS51" i="2"/>
  <c r="AP51" i="2"/>
  <c r="AN51" i="2"/>
  <c r="AO51" i="2" s="1"/>
  <c r="AM51" i="2"/>
  <c r="AL51" i="2"/>
  <c r="AK51" i="2"/>
  <c r="AJ51" i="2"/>
  <c r="CE51" i="2" s="1"/>
  <c r="AI51" i="2"/>
  <c r="AH51" i="2"/>
  <c r="AG51" i="2"/>
  <c r="AF51" i="2"/>
  <c r="AE51" i="2"/>
  <c r="AD51" i="2"/>
  <c r="AC51" i="2"/>
  <c r="AB51" i="2"/>
  <c r="AA51" i="2"/>
  <c r="Z51" i="2"/>
  <c r="X51" i="2"/>
  <c r="W51" i="2"/>
  <c r="V51" i="2"/>
  <c r="U51" i="2"/>
  <c r="T51" i="2"/>
  <c r="S51" i="2"/>
  <c r="R51" i="2"/>
  <c r="Q51" i="2"/>
  <c r="P51" i="2"/>
  <c r="M51" i="2"/>
  <c r="L51" i="2"/>
  <c r="K51" i="2"/>
  <c r="H51" i="2"/>
  <c r="G51" i="2"/>
  <c r="F51" i="2"/>
  <c r="E51" i="2"/>
  <c r="D51" i="2"/>
  <c r="C51" i="2"/>
  <c r="A51" i="2"/>
  <c r="IV50" i="2"/>
  <c r="IU50" i="2"/>
  <c r="IT50" i="2"/>
  <c r="IS50" i="2"/>
  <c r="IW50" i="2" s="1"/>
  <c r="IR50" i="2"/>
  <c r="IG50" i="2"/>
  <c r="IF50" i="2"/>
  <c r="IE50" i="2"/>
  <c r="ID50" i="2"/>
  <c r="IH50" i="2" s="1"/>
  <c r="IC50" i="2"/>
  <c r="HR50" i="2"/>
  <c r="HQ50" i="2"/>
  <c r="HP50" i="2"/>
  <c r="HS50" i="2" s="1"/>
  <c r="HO50" i="2"/>
  <c r="HN50" i="2"/>
  <c r="HC50" i="2"/>
  <c r="HB50" i="2"/>
  <c r="HA50" i="2"/>
  <c r="GZ50" i="2"/>
  <c r="GY50" i="2"/>
  <c r="GX50" i="2"/>
  <c r="GM50" i="2"/>
  <c r="GL50" i="2"/>
  <c r="GK50" i="2"/>
  <c r="GJ50" i="2"/>
  <c r="GN50" i="2" s="1"/>
  <c r="GI50" i="2"/>
  <c r="FX50" i="2"/>
  <c r="FW50" i="2"/>
  <c r="FV50" i="2"/>
  <c r="FU50" i="2"/>
  <c r="FY50" i="2" s="1"/>
  <c r="FT50" i="2"/>
  <c r="FH50" i="2"/>
  <c r="FG50" i="2"/>
  <c r="FF50" i="2"/>
  <c r="FI50" i="2" s="1"/>
  <c r="FE50" i="2"/>
  <c r="FD50" i="2"/>
  <c r="ET50" i="2"/>
  <c r="ES50" i="2"/>
  <c r="ER50" i="2"/>
  <c r="EQ50" i="2"/>
  <c r="EP50" i="2"/>
  <c r="EO50" i="2"/>
  <c r="ED50" i="2"/>
  <c r="EC50" i="2"/>
  <c r="EB50" i="2"/>
  <c r="EA50" i="2"/>
  <c r="EE50" i="2" s="1"/>
  <c r="DZ50" i="2"/>
  <c r="DN50" i="2"/>
  <c r="DM50" i="2"/>
  <c r="DL50" i="2"/>
  <c r="DK50" i="2"/>
  <c r="DO50" i="2" s="1"/>
  <c r="DJ50" i="2"/>
  <c r="CY50" i="2"/>
  <c r="CX50" i="2"/>
  <c r="CW50" i="2"/>
  <c r="CZ50" i="2" s="1"/>
  <c r="CV50" i="2"/>
  <c r="CU50" i="2"/>
  <c r="CK50" i="2"/>
  <c r="CJ50" i="2"/>
  <c r="CI50" i="2"/>
  <c r="CH50" i="2"/>
  <c r="CG50" i="2"/>
  <c r="CF50" i="2"/>
  <c r="BH50" i="2"/>
  <c r="BG50" i="2"/>
  <c r="AY50" i="2"/>
  <c r="AX50" i="2"/>
  <c r="AV50" i="2"/>
  <c r="AU50" i="2"/>
  <c r="AT50" i="2"/>
  <c r="AS50" i="2"/>
  <c r="AP50" i="2"/>
  <c r="AO50" i="2"/>
  <c r="AN50" i="2"/>
  <c r="AM50" i="2"/>
  <c r="AL50" i="2"/>
  <c r="AK50" i="2"/>
  <c r="AJ50" i="2"/>
  <c r="CE50" i="2" s="1"/>
  <c r="AI50" i="2"/>
  <c r="AH50" i="2"/>
  <c r="AG50" i="2"/>
  <c r="AF50" i="2"/>
  <c r="AE50" i="2"/>
  <c r="AD50" i="2"/>
  <c r="AC50" i="2"/>
  <c r="AB50" i="2"/>
  <c r="AA50" i="2"/>
  <c r="Z50" i="2"/>
  <c r="X50" i="2"/>
  <c r="W50" i="2"/>
  <c r="V50" i="2"/>
  <c r="U50" i="2"/>
  <c r="T50" i="2"/>
  <c r="S50" i="2"/>
  <c r="R50" i="2"/>
  <c r="Q50" i="2"/>
  <c r="P50" i="2"/>
  <c r="M50" i="2"/>
  <c r="L50" i="2"/>
  <c r="K50" i="2"/>
  <c r="H50" i="2"/>
  <c r="G50" i="2"/>
  <c r="F50" i="2"/>
  <c r="E50" i="2"/>
  <c r="D50" i="2"/>
  <c r="C50" i="2"/>
  <c r="A50" i="2"/>
  <c r="IV49" i="2"/>
  <c r="IU49" i="2"/>
  <c r="IW49" i="2" s="1"/>
  <c r="IT49" i="2"/>
  <c r="IS49" i="2"/>
  <c r="IR49" i="2"/>
  <c r="IH49" i="2"/>
  <c r="IG49" i="2"/>
  <c r="IF49" i="2"/>
  <c r="IE49" i="2"/>
  <c r="ID49" i="2"/>
  <c r="IC49" i="2"/>
  <c r="HR49" i="2"/>
  <c r="HQ49" i="2"/>
  <c r="HP49" i="2"/>
  <c r="HO49" i="2"/>
  <c r="HS49" i="2" s="1"/>
  <c r="HN49" i="2"/>
  <c r="HB49" i="2"/>
  <c r="HA49" i="2"/>
  <c r="GZ49" i="2"/>
  <c r="GY49" i="2"/>
  <c r="HC49" i="2" s="1"/>
  <c r="GX49" i="2"/>
  <c r="GM49" i="2"/>
  <c r="GL49" i="2"/>
  <c r="GN49" i="2" s="1"/>
  <c r="GK49" i="2"/>
  <c r="GJ49" i="2"/>
  <c r="GI49" i="2"/>
  <c r="FX49" i="2"/>
  <c r="FW49" i="2"/>
  <c r="FV49" i="2"/>
  <c r="FY49" i="2" s="1"/>
  <c r="FU49" i="2"/>
  <c r="FT49" i="2"/>
  <c r="FH49" i="2"/>
  <c r="FG49" i="2"/>
  <c r="FF49" i="2"/>
  <c r="FE49" i="2"/>
  <c r="FI49" i="2" s="1"/>
  <c r="FD49" i="2"/>
  <c r="ES49" i="2"/>
  <c r="ER49" i="2"/>
  <c r="EQ49" i="2"/>
  <c r="EP49" i="2"/>
  <c r="ET49" i="2" s="1"/>
  <c r="EO49" i="2"/>
  <c r="ED49" i="2"/>
  <c r="EC49" i="2"/>
  <c r="EE49" i="2" s="1"/>
  <c r="EB49" i="2"/>
  <c r="EA49" i="2"/>
  <c r="DZ49" i="2"/>
  <c r="DN49" i="2"/>
  <c r="DM49" i="2"/>
  <c r="DL49" i="2"/>
  <c r="DO49" i="2" s="1"/>
  <c r="DK49" i="2"/>
  <c r="DJ49" i="2"/>
  <c r="CY49" i="2"/>
  <c r="CX49" i="2"/>
  <c r="CW49" i="2"/>
  <c r="CV49" i="2"/>
  <c r="CZ49" i="2" s="1"/>
  <c r="CU49" i="2"/>
  <c r="CJ49" i="2"/>
  <c r="CI49" i="2"/>
  <c r="CH49" i="2"/>
  <c r="CG49" i="2"/>
  <c r="CK49" i="2" s="1"/>
  <c r="CF49" i="2"/>
  <c r="BH49" i="2"/>
  <c r="BG49" i="2"/>
  <c r="AY49" i="2"/>
  <c r="AX49" i="2"/>
  <c r="AV49" i="2"/>
  <c r="AU49" i="2"/>
  <c r="AT49" i="2"/>
  <c r="AS49" i="2"/>
  <c r="AP49" i="2"/>
  <c r="AO49" i="2"/>
  <c r="AN49" i="2"/>
  <c r="AM49" i="2"/>
  <c r="AL49" i="2"/>
  <c r="AK49" i="2"/>
  <c r="AJ49" i="2"/>
  <c r="CE49" i="2" s="1"/>
  <c r="AI49" i="2"/>
  <c r="AH49" i="2"/>
  <c r="AG49" i="2"/>
  <c r="AF49" i="2"/>
  <c r="AE49" i="2"/>
  <c r="AD49" i="2"/>
  <c r="AC49" i="2"/>
  <c r="AB49" i="2"/>
  <c r="AA49" i="2"/>
  <c r="Z49" i="2"/>
  <c r="X49" i="2"/>
  <c r="W49" i="2"/>
  <c r="V49" i="2"/>
  <c r="U49" i="2"/>
  <c r="T49" i="2"/>
  <c r="S49" i="2"/>
  <c r="R49" i="2"/>
  <c r="Q49" i="2"/>
  <c r="P49" i="2"/>
  <c r="M49" i="2"/>
  <c r="L49" i="2"/>
  <c r="K49" i="2"/>
  <c r="H49" i="2"/>
  <c r="G49" i="2"/>
  <c r="F49" i="2"/>
  <c r="E49" i="2"/>
  <c r="D49" i="2"/>
  <c r="C49" i="2"/>
  <c r="A49" i="2"/>
  <c r="IW48" i="2"/>
  <c r="IV48" i="2"/>
  <c r="IU48" i="2"/>
  <c r="IT48" i="2"/>
  <c r="IS48" i="2"/>
  <c r="IR48" i="2"/>
  <c r="IG48" i="2"/>
  <c r="IF48" i="2"/>
  <c r="IE48" i="2"/>
  <c r="ID48" i="2"/>
  <c r="IH48" i="2" s="1"/>
  <c r="IC48" i="2"/>
  <c r="HR48" i="2"/>
  <c r="HQ48" i="2"/>
  <c r="HP48" i="2"/>
  <c r="HO48" i="2"/>
  <c r="HS48" i="2" s="1"/>
  <c r="HN48" i="2"/>
  <c r="HB48" i="2"/>
  <c r="HA48" i="2"/>
  <c r="GZ48" i="2"/>
  <c r="HC48" i="2" s="1"/>
  <c r="GY48" i="2"/>
  <c r="GX48" i="2"/>
  <c r="GN48" i="2"/>
  <c r="GM48" i="2"/>
  <c r="GL48" i="2"/>
  <c r="GK48" i="2"/>
  <c r="GJ48" i="2"/>
  <c r="GI48" i="2"/>
  <c r="FX48" i="2"/>
  <c r="FW48" i="2"/>
  <c r="FV48" i="2"/>
  <c r="FU48" i="2"/>
  <c r="FY48" i="2" s="1"/>
  <c r="FT48" i="2"/>
  <c r="FH48" i="2"/>
  <c r="FG48" i="2"/>
  <c r="FF48" i="2"/>
  <c r="FE48" i="2"/>
  <c r="FI48" i="2" s="1"/>
  <c r="FD48" i="2"/>
  <c r="ES48" i="2"/>
  <c r="ER48" i="2"/>
  <c r="EQ48" i="2"/>
  <c r="ET48" i="2" s="1"/>
  <c r="EP48" i="2"/>
  <c r="EO48" i="2"/>
  <c r="EE48" i="2"/>
  <c r="ED48" i="2"/>
  <c r="EC48" i="2"/>
  <c r="EB48" i="2"/>
  <c r="EA48" i="2"/>
  <c r="DZ48" i="2"/>
  <c r="DN48" i="2"/>
  <c r="DM48" i="2"/>
  <c r="DL48" i="2"/>
  <c r="DK48" i="2"/>
  <c r="DO48" i="2" s="1"/>
  <c r="DJ48" i="2"/>
  <c r="CY48" i="2"/>
  <c r="CX48" i="2"/>
  <c r="CW48" i="2"/>
  <c r="CV48" i="2"/>
  <c r="CZ48" i="2" s="1"/>
  <c r="CU48" i="2"/>
  <c r="CJ48" i="2"/>
  <c r="CI48" i="2"/>
  <c r="CH48" i="2"/>
  <c r="CK48" i="2" s="1"/>
  <c r="CG48" i="2"/>
  <c r="CF48" i="2"/>
  <c r="CE48" i="2"/>
  <c r="BH48" i="2"/>
  <c r="BG48" i="2"/>
  <c r="AY48" i="2"/>
  <c r="AX48" i="2"/>
  <c r="AV48" i="2"/>
  <c r="AU48" i="2"/>
  <c r="AT48" i="2"/>
  <c r="AS48" i="2"/>
  <c r="AP48" i="2"/>
  <c r="AN48" i="2"/>
  <c r="AO48" i="2" s="1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X48" i="2"/>
  <c r="W48" i="2"/>
  <c r="V48" i="2"/>
  <c r="U48" i="2"/>
  <c r="T48" i="2"/>
  <c r="S48" i="2"/>
  <c r="R48" i="2"/>
  <c r="Q48" i="2"/>
  <c r="P48" i="2"/>
  <c r="M48" i="2"/>
  <c r="L48" i="2"/>
  <c r="K48" i="2"/>
  <c r="H48" i="2"/>
  <c r="G48" i="2"/>
  <c r="F48" i="2"/>
  <c r="E48" i="2"/>
  <c r="D48" i="2"/>
  <c r="C48" i="2"/>
  <c r="A48" i="2"/>
  <c r="IV47" i="2"/>
  <c r="IU47" i="2"/>
  <c r="IT47" i="2"/>
  <c r="IS47" i="2"/>
  <c r="IW47" i="2" s="1"/>
  <c r="IR47" i="2"/>
  <c r="IG47" i="2"/>
  <c r="IF47" i="2"/>
  <c r="IH47" i="2" s="1"/>
  <c r="IE47" i="2"/>
  <c r="ID47" i="2"/>
  <c r="IC47" i="2"/>
  <c r="HS47" i="2"/>
  <c r="HR47" i="2"/>
  <c r="HQ47" i="2"/>
  <c r="HP47" i="2"/>
  <c r="HO47" i="2"/>
  <c r="HN47" i="2"/>
  <c r="HB47" i="2"/>
  <c r="HA47" i="2"/>
  <c r="GZ47" i="2"/>
  <c r="GY47" i="2"/>
  <c r="HC47" i="2" s="1"/>
  <c r="GX47" i="2"/>
  <c r="GM47" i="2"/>
  <c r="GL47" i="2"/>
  <c r="GK47" i="2"/>
  <c r="GJ47" i="2"/>
  <c r="GN47" i="2" s="1"/>
  <c r="GI47" i="2"/>
  <c r="FX47" i="2"/>
  <c r="FW47" i="2"/>
  <c r="FY47" i="2" s="1"/>
  <c r="FV47" i="2"/>
  <c r="FU47" i="2"/>
  <c r="FT47" i="2"/>
  <c r="FH47" i="2"/>
  <c r="FG47" i="2"/>
  <c r="FF47" i="2"/>
  <c r="FI47" i="2" s="1"/>
  <c r="FE47" i="2"/>
  <c r="FD47" i="2"/>
  <c r="ES47" i="2"/>
  <c r="ER47" i="2"/>
  <c r="EQ47" i="2"/>
  <c r="EP47" i="2"/>
  <c r="ET47" i="2" s="1"/>
  <c r="EO47" i="2"/>
  <c r="ED47" i="2"/>
  <c r="EC47" i="2"/>
  <c r="EB47" i="2"/>
  <c r="EA47" i="2"/>
  <c r="EE47" i="2" s="1"/>
  <c r="DZ47" i="2"/>
  <c r="DN47" i="2"/>
  <c r="DM47" i="2"/>
  <c r="DO47" i="2" s="1"/>
  <c r="DL47" i="2"/>
  <c r="DK47" i="2"/>
  <c r="DJ47" i="2"/>
  <c r="CY47" i="2"/>
  <c r="CX47" i="2"/>
  <c r="CW47" i="2"/>
  <c r="CZ47" i="2" s="1"/>
  <c r="CV47" i="2"/>
  <c r="CU47" i="2"/>
  <c r="CJ47" i="2"/>
  <c r="CI47" i="2"/>
  <c r="CH47" i="2"/>
  <c r="CG47" i="2"/>
  <c r="CK47" i="2" s="1"/>
  <c r="CF47" i="2"/>
  <c r="BH47" i="2"/>
  <c r="BG47" i="2"/>
  <c r="AY47" i="2"/>
  <c r="AX47" i="2"/>
  <c r="AV47" i="2"/>
  <c r="AU47" i="2"/>
  <c r="AT47" i="2"/>
  <c r="AS47" i="2"/>
  <c r="AP47" i="2"/>
  <c r="AN47" i="2"/>
  <c r="AO47" i="2" s="1"/>
  <c r="AM47" i="2"/>
  <c r="AL47" i="2"/>
  <c r="AK47" i="2"/>
  <c r="AJ47" i="2"/>
  <c r="CE47" i="2" s="1"/>
  <c r="AI47" i="2"/>
  <c r="AH47" i="2"/>
  <c r="AG47" i="2"/>
  <c r="AF47" i="2"/>
  <c r="AE47" i="2"/>
  <c r="AD47" i="2"/>
  <c r="AC47" i="2"/>
  <c r="AB47" i="2"/>
  <c r="AA47" i="2"/>
  <c r="Z47" i="2"/>
  <c r="X47" i="2"/>
  <c r="W47" i="2"/>
  <c r="V47" i="2"/>
  <c r="U47" i="2"/>
  <c r="T47" i="2"/>
  <c r="S47" i="2"/>
  <c r="R47" i="2"/>
  <c r="Q47" i="2"/>
  <c r="P47" i="2"/>
  <c r="M47" i="2"/>
  <c r="L47" i="2"/>
  <c r="K47" i="2"/>
  <c r="H47" i="2"/>
  <c r="G47" i="2"/>
  <c r="F47" i="2"/>
  <c r="E47" i="2"/>
  <c r="D47" i="2"/>
  <c r="C47" i="2"/>
  <c r="A47" i="2"/>
  <c r="IV46" i="2"/>
  <c r="IU46" i="2"/>
  <c r="IT46" i="2"/>
  <c r="IS46" i="2"/>
  <c r="IW46" i="2" s="1"/>
  <c r="IR46" i="2"/>
  <c r="IH46" i="2"/>
  <c r="IG46" i="2"/>
  <c r="IF46" i="2"/>
  <c r="IE46" i="2"/>
  <c r="ID46" i="2"/>
  <c r="IC46" i="2"/>
  <c r="HR46" i="2"/>
  <c r="HQ46" i="2"/>
  <c r="HP46" i="2"/>
  <c r="HS46" i="2" s="1"/>
  <c r="HO46" i="2"/>
  <c r="HN46" i="2"/>
  <c r="HB46" i="2"/>
  <c r="HA46" i="2"/>
  <c r="GZ46" i="2"/>
  <c r="GY46" i="2"/>
  <c r="HC46" i="2" s="1"/>
  <c r="GX46" i="2"/>
  <c r="GM46" i="2"/>
  <c r="GL46" i="2"/>
  <c r="GK46" i="2"/>
  <c r="GJ46" i="2"/>
  <c r="GN46" i="2" s="1"/>
  <c r="GI46" i="2"/>
  <c r="FY46" i="2"/>
  <c r="FX46" i="2"/>
  <c r="FW46" i="2"/>
  <c r="FV46" i="2"/>
  <c r="FU46" i="2"/>
  <c r="FT46" i="2"/>
  <c r="FH46" i="2"/>
  <c r="FG46" i="2"/>
  <c r="FF46" i="2"/>
  <c r="FI46" i="2" s="1"/>
  <c r="FE46" i="2"/>
  <c r="FD46" i="2"/>
  <c r="ES46" i="2"/>
  <c r="ER46" i="2"/>
  <c r="EQ46" i="2"/>
  <c r="EP46" i="2"/>
  <c r="ET46" i="2" s="1"/>
  <c r="EO46" i="2"/>
  <c r="ED46" i="2"/>
  <c r="EC46" i="2"/>
  <c r="EB46" i="2"/>
  <c r="EA46" i="2"/>
  <c r="EE46" i="2" s="1"/>
  <c r="DZ46" i="2"/>
  <c r="DO46" i="2"/>
  <c r="DN46" i="2"/>
  <c r="DM46" i="2"/>
  <c r="DL46" i="2"/>
  <c r="DK46" i="2"/>
  <c r="DJ46" i="2"/>
  <c r="CY46" i="2"/>
  <c r="CX46" i="2"/>
  <c r="CW46" i="2"/>
  <c r="CZ46" i="2" s="1"/>
  <c r="CV46" i="2"/>
  <c r="CU46" i="2"/>
  <c r="CJ46" i="2"/>
  <c r="CI46" i="2"/>
  <c r="CH46" i="2"/>
  <c r="CG46" i="2"/>
  <c r="CK46" i="2" s="1"/>
  <c r="CF46" i="2"/>
  <c r="BH46" i="2"/>
  <c r="BG46" i="2"/>
  <c r="AY46" i="2"/>
  <c r="AX46" i="2"/>
  <c r="AV46" i="2"/>
  <c r="AU46" i="2"/>
  <c r="AT46" i="2"/>
  <c r="AS46" i="2"/>
  <c r="AP46" i="2"/>
  <c r="AO46" i="2"/>
  <c r="AN46" i="2"/>
  <c r="AM46" i="2"/>
  <c r="AL46" i="2"/>
  <c r="AK46" i="2"/>
  <c r="AJ46" i="2"/>
  <c r="CE46" i="2" s="1"/>
  <c r="AI46" i="2"/>
  <c r="AH46" i="2"/>
  <c r="AG46" i="2"/>
  <c r="AF46" i="2"/>
  <c r="AE46" i="2"/>
  <c r="AD46" i="2"/>
  <c r="AC46" i="2"/>
  <c r="AB46" i="2"/>
  <c r="AA46" i="2"/>
  <c r="Z46" i="2"/>
  <c r="X46" i="2"/>
  <c r="W46" i="2"/>
  <c r="V46" i="2"/>
  <c r="U46" i="2"/>
  <c r="T46" i="2"/>
  <c r="S46" i="2"/>
  <c r="R46" i="2"/>
  <c r="Q46" i="2"/>
  <c r="P46" i="2"/>
  <c r="M46" i="2"/>
  <c r="L46" i="2"/>
  <c r="K46" i="2"/>
  <c r="H46" i="2"/>
  <c r="G46" i="2"/>
  <c r="F46" i="2"/>
  <c r="E46" i="2"/>
  <c r="D46" i="2"/>
  <c r="C46" i="2"/>
  <c r="A46" i="2"/>
  <c r="IV45" i="2"/>
  <c r="IU45" i="2"/>
  <c r="IT45" i="2"/>
  <c r="IS45" i="2"/>
  <c r="IW45" i="2" s="1"/>
  <c r="IR45" i="2"/>
  <c r="IG45" i="2"/>
  <c r="IF45" i="2"/>
  <c r="IE45" i="2"/>
  <c r="ID45" i="2"/>
  <c r="IH45" i="2" s="1"/>
  <c r="IC45" i="2"/>
  <c r="HR45" i="2"/>
  <c r="HQ45" i="2"/>
  <c r="HS45" i="2" s="1"/>
  <c r="HP45" i="2"/>
  <c r="HO45" i="2"/>
  <c r="HN45" i="2"/>
  <c r="HB45" i="2"/>
  <c r="HA45" i="2"/>
  <c r="GZ45" i="2"/>
  <c r="HC45" i="2" s="1"/>
  <c r="GY45" i="2"/>
  <c r="GX45" i="2"/>
  <c r="GM45" i="2"/>
  <c r="GL45" i="2"/>
  <c r="GK45" i="2"/>
  <c r="GJ45" i="2"/>
  <c r="GN45" i="2" s="1"/>
  <c r="GI45" i="2"/>
  <c r="FX45" i="2"/>
  <c r="FW45" i="2"/>
  <c r="FV45" i="2"/>
  <c r="FU45" i="2"/>
  <c r="FY45" i="2" s="1"/>
  <c r="FT45" i="2"/>
  <c r="FH45" i="2"/>
  <c r="FG45" i="2"/>
  <c r="FI45" i="2" s="1"/>
  <c r="FF45" i="2"/>
  <c r="FE45" i="2"/>
  <c r="FD45" i="2"/>
  <c r="ES45" i="2"/>
  <c r="ER45" i="2"/>
  <c r="EQ45" i="2"/>
  <c r="ET45" i="2" s="1"/>
  <c r="EP45" i="2"/>
  <c r="EO45" i="2"/>
  <c r="ED45" i="2"/>
  <c r="EC45" i="2"/>
  <c r="EB45" i="2"/>
  <c r="EA45" i="2"/>
  <c r="EE45" i="2" s="1"/>
  <c r="DZ45" i="2"/>
  <c r="DN45" i="2"/>
  <c r="DM45" i="2"/>
  <c r="DL45" i="2"/>
  <c r="DK45" i="2"/>
  <c r="DO45" i="2" s="1"/>
  <c r="DJ45" i="2"/>
  <c r="CY45" i="2"/>
  <c r="CX45" i="2"/>
  <c r="CZ45" i="2" s="1"/>
  <c r="CW45" i="2"/>
  <c r="CV45" i="2"/>
  <c r="CU45" i="2"/>
  <c r="CJ45" i="2"/>
  <c r="CI45" i="2"/>
  <c r="CH45" i="2"/>
  <c r="CK45" i="2" s="1"/>
  <c r="CG45" i="2"/>
  <c r="CF45" i="2"/>
  <c r="BH45" i="2"/>
  <c r="BG45" i="2"/>
  <c r="AY45" i="2"/>
  <c r="AX45" i="2"/>
  <c r="AV45" i="2"/>
  <c r="AU45" i="2"/>
  <c r="AT45" i="2"/>
  <c r="AS45" i="2"/>
  <c r="AP45" i="2"/>
  <c r="AO45" i="2"/>
  <c r="AN45" i="2"/>
  <c r="AM45" i="2"/>
  <c r="AL45" i="2"/>
  <c r="AK45" i="2"/>
  <c r="AJ45" i="2"/>
  <c r="CE45" i="2" s="1"/>
  <c r="AI45" i="2"/>
  <c r="AH45" i="2"/>
  <c r="AG45" i="2"/>
  <c r="AF45" i="2"/>
  <c r="AE45" i="2"/>
  <c r="AD45" i="2"/>
  <c r="AC45" i="2"/>
  <c r="AB45" i="2"/>
  <c r="AA45" i="2"/>
  <c r="Z45" i="2"/>
  <c r="X45" i="2"/>
  <c r="W45" i="2"/>
  <c r="V45" i="2"/>
  <c r="U45" i="2"/>
  <c r="T45" i="2"/>
  <c r="S45" i="2"/>
  <c r="R45" i="2"/>
  <c r="Q45" i="2"/>
  <c r="P45" i="2"/>
  <c r="M45" i="2"/>
  <c r="L45" i="2"/>
  <c r="K45" i="2"/>
  <c r="H45" i="2"/>
  <c r="G45" i="2"/>
  <c r="F45" i="2"/>
  <c r="E45" i="2"/>
  <c r="D45" i="2"/>
  <c r="C45" i="2"/>
  <c r="A45" i="2"/>
  <c r="IV44" i="2"/>
  <c r="IU44" i="2"/>
  <c r="IT44" i="2"/>
  <c r="IS44" i="2"/>
  <c r="IW44" i="2" s="1"/>
  <c r="IR44" i="2"/>
  <c r="IG44" i="2"/>
  <c r="IF44" i="2"/>
  <c r="IE44" i="2"/>
  <c r="ID44" i="2"/>
  <c r="IH44" i="2" s="1"/>
  <c r="IC44" i="2"/>
  <c r="HS44" i="2"/>
  <c r="HR44" i="2"/>
  <c r="HQ44" i="2"/>
  <c r="HP44" i="2"/>
  <c r="HO44" i="2"/>
  <c r="HN44" i="2"/>
  <c r="HB44" i="2"/>
  <c r="HA44" i="2"/>
  <c r="GZ44" i="2"/>
  <c r="HC44" i="2" s="1"/>
  <c r="GY44" i="2"/>
  <c r="GX44" i="2"/>
  <c r="GM44" i="2"/>
  <c r="GL44" i="2"/>
  <c r="GK44" i="2"/>
  <c r="GJ44" i="2"/>
  <c r="GN44" i="2" s="1"/>
  <c r="GI44" i="2"/>
  <c r="FX44" i="2"/>
  <c r="FW44" i="2"/>
  <c r="FV44" i="2"/>
  <c r="FU44" i="2"/>
  <c r="FY44" i="2" s="1"/>
  <c r="FT44" i="2"/>
  <c r="FI44" i="2"/>
  <c r="FH44" i="2"/>
  <c r="FG44" i="2"/>
  <c r="FF44" i="2"/>
  <c r="FE44" i="2"/>
  <c r="FD44" i="2"/>
  <c r="ES44" i="2"/>
  <c r="ER44" i="2"/>
  <c r="EQ44" i="2"/>
  <c r="ET44" i="2" s="1"/>
  <c r="EP44" i="2"/>
  <c r="EO44" i="2"/>
  <c r="ED44" i="2"/>
  <c r="EC44" i="2"/>
  <c r="EB44" i="2"/>
  <c r="EA44" i="2"/>
  <c r="EE44" i="2" s="1"/>
  <c r="DZ44" i="2"/>
  <c r="DN44" i="2"/>
  <c r="DM44" i="2"/>
  <c r="DL44" i="2"/>
  <c r="DK44" i="2"/>
  <c r="DO44" i="2" s="1"/>
  <c r="DJ44" i="2"/>
  <c r="CZ44" i="2"/>
  <c r="CY44" i="2"/>
  <c r="CX44" i="2"/>
  <c r="CW44" i="2"/>
  <c r="CV44" i="2"/>
  <c r="CU44" i="2"/>
  <c r="CJ44" i="2"/>
  <c r="CI44" i="2"/>
  <c r="CH44" i="2"/>
  <c r="CK44" i="2" s="1"/>
  <c r="CG44" i="2"/>
  <c r="CF44" i="2"/>
  <c r="CE44" i="2"/>
  <c r="BH44" i="2"/>
  <c r="BG44" i="2"/>
  <c r="AY44" i="2"/>
  <c r="AX44" i="2"/>
  <c r="AV44" i="2"/>
  <c r="AU44" i="2"/>
  <c r="AT44" i="2"/>
  <c r="AS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X44" i="2"/>
  <c r="W44" i="2"/>
  <c r="V44" i="2"/>
  <c r="U44" i="2"/>
  <c r="T44" i="2"/>
  <c r="S44" i="2"/>
  <c r="R44" i="2"/>
  <c r="Q44" i="2"/>
  <c r="P44" i="2"/>
  <c r="M44" i="2"/>
  <c r="L44" i="2"/>
  <c r="K44" i="2"/>
  <c r="H44" i="2"/>
  <c r="G44" i="2"/>
  <c r="F44" i="2"/>
  <c r="E44" i="2"/>
  <c r="D44" i="2"/>
  <c r="C44" i="2"/>
  <c r="A44" i="2"/>
  <c r="IW43" i="2"/>
  <c r="IV43" i="2"/>
  <c r="IU43" i="2"/>
  <c r="IT43" i="2"/>
  <c r="IS43" i="2"/>
  <c r="IR43" i="2"/>
  <c r="IG43" i="2"/>
  <c r="IF43" i="2"/>
  <c r="IE43" i="2"/>
  <c r="ID43" i="2"/>
  <c r="IH43" i="2" s="1"/>
  <c r="IC43" i="2"/>
  <c r="HR43" i="2"/>
  <c r="HQ43" i="2"/>
  <c r="HP43" i="2"/>
  <c r="HO43" i="2"/>
  <c r="HS43" i="2" s="1"/>
  <c r="HN43" i="2"/>
  <c r="HB43" i="2"/>
  <c r="HA43" i="2"/>
  <c r="HC43" i="2" s="1"/>
  <c r="GZ43" i="2"/>
  <c r="GY43" i="2"/>
  <c r="GX43" i="2"/>
  <c r="GM43" i="2"/>
  <c r="GL43" i="2"/>
  <c r="GK43" i="2"/>
  <c r="GN43" i="2" s="1"/>
  <c r="GJ43" i="2"/>
  <c r="GI43" i="2"/>
  <c r="FX43" i="2"/>
  <c r="FW43" i="2"/>
  <c r="FV43" i="2"/>
  <c r="FU43" i="2"/>
  <c r="FY43" i="2" s="1"/>
  <c r="FT43" i="2"/>
  <c r="FH43" i="2"/>
  <c r="FG43" i="2"/>
  <c r="FF43" i="2"/>
  <c r="FE43" i="2"/>
  <c r="FI43" i="2" s="1"/>
  <c r="FD43" i="2"/>
  <c r="ES43" i="2"/>
  <c r="ER43" i="2"/>
  <c r="ET43" i="2" s="1"/>
  <c r="EQ43" i="2"/>
  <c r="EP43" i="2"/>
  <c r="EO43" i="2"/>
  <c r="ED43" i="2"/>
  <c r="EC43" i="2"/>
  <c r="EB43" i="2"/>
  <c r="EE43" i="2" s="1"/>
  <c r="EA43" i="2"/>
  <c r="DZ43" i="2"/>
  <c r="DN43" i="2"/>
  <c r="DM43" i="2"/>
  <c r="DL43" i="2"/>
  <c r="DK43" i="2"/>
  <c r="DO43" i="2" s="1"/>
  <c r="DJ43" i="2"/>
  <c r="CY43" i="2"/>
  <c r="CX43" i="2"/>
  <c r="CW43" i="2"/>
  <c r="CV43" i="2"/>
  <c r="CZ43" i="2" s="1"/>
  <c r="CU43" i="2"/>
  <c r="CJ43" i="2"/>
  <c r="CI43" i="2"/>
  <c r="CK43" i="2" s="1"/>
  <c r="CH43" i="2"/>
  <c r="CG43" i="2"/>
  <c r="CF43" i="2"/>
  <c r="BH43" i="2"/>
  <c r="BG43" i="2"/>
  <c r="AY43" i="2"/>
  <c r="AX43" i="2"/>
  <c r="AV43" i="2"/>
  <c r="AU43" i="2"/>
  <c r="AT43" i="2"/>
  <c r="AS43" i="2"/>
  <c r="AP43" i="2"/>
  <c r="AN43" i="2"/>
  <c r="AO43" i="2" s="1"/>
  <c r="AM43" i="2"/>
  <c r="AL43" i="2"/>
  <c r="AK43" i="2"/>
  <c r="AJ43" i="2"/>
  <c r="CE43" i="2" s="1"/>
  <c r="AI43" i="2"/>
  <c r="AH43" i="2"/>
  <c r="AG43" i="2"/>
  <c r="AF43" i="2"/>
  <c r="AE43" i="2"/>
  <c r="AD43" i="2"/>
  <c r="AC43" i="2"/>
  <c r="AB43" i="2"/>
  <c r="AA43" i="2"/>
  <c r="Z43" i="2"/>
  <c r="X43" i="2"/>
  <c r="W43" i="2"/>
  <c r="V43" i="2"/>
  <c r="U43" i="2"/>
  <c r="T43" i="2"/>
  <c r="S43" i="2"/>
  <c r="R43" i="2"/>
  <c r="Q43" i="2"/>
  <c r="P43" i="2"/>
  <c r="M43" i="2"/>
  <c r="L43" i="2"/>
  <c r="K43" i="2"/>
  <c r="H43" i="2"/>
  <c r="G43" i="2"/>
  <c r="F43" i="2"/>
  <c r="E43" i="2"/>
  <c r="D43" i="2"/>
  <c r="C43" i="2"/>
  <c r="A43" i="2"/>
  <c r="IV42" i="2"/>
  <c r="IU42" i="2"/>
  <c r="IT42" i="2"/>
  <c r="IW42" i="2" s="1"/>
  <c r="IS42" i="2"/>
  <c r="IR42" i="2"/>
  <c r="IG42" i="2"/>
  <c r="IF42" i="2"/>
  <c r="IE42" i="2"/>
  <c r="ID42" i="2"/>
  <c r="IH42" i="2" s="1"/>
  <c r="IC42" i="2"/>
  <c r="HR42" i="2"/>
  <c r="HQ42" i="2"/>
  <c r="HP42" i="2"/>
  <c r="HO42" i="2"/>
  <c r="HS42" i="2" s="1"/>
  <c r="HN42" i="2"/>
  <c r="HC42" i="2"/>
  <c r="HB42" i="2"/>
  <c r="HA42" i="2"/>
  <c r="GZ42" i="2"/>
  <c r="GY42" i="2"/>
  <c r="GX42" i="2"/>
  <c r="GM42" i="2"/>
  <c r="GL42" i="2"/>
  <c r="GK42" i="2"/>
  <c r="GN42" i="2" s="1"/>
  <c r="GJ42" i="2"/>
  <c r="GI42" i="2"/>
  <c r="FX42" i="2"/>
  <c r="FW42" i="2"/>
  <c r="FV42" i="2"/>
  <c r="FU42" i="2"/>
  <c r="FY42" i="2" s="1"/>
  <c r="FT42" i="2"/>
  <c r="FH42" i="2"/>
  <c r="FG42" i="2"/>
  <c r="FF42" i="2"/>
  <c r="FE42" i="2"/>
  <c r="FI42" i="2" s="1"/>
  <c r="FD42" i="2"/>
  <c r="ET42" i="2"/>
  <c r="ES42" i="2"/>
  <c r="ER42" i="2"/>
  <c r="EQ42" i="2"/>
  <c r="EP42" i="2"/>
  <c r="EO42" i="2"/>
  <c r="ED42" i="2"/>
  <c r="EC42" i="2"/>
  <c r="EB42" i="2"/>
  <c r="EE42" i="2" s="1"/>
  <c r="EA42" i="2"/>
  <c r="DZ42" i="2"/>
  <c r="DN42" i="2"/>
  <c r="DM42" i="2"/>
  <c r="DL42" i="2"/>
  <c r="DK42" i="2"/>
  <c r="DO42" i="2" s="1"/>
  <c r="DJ42" i="2"/>
  <c r="CY42" i="2"/>
  <c r="CX42" i="2"/>
  <c r="CW42" i="2"/>
  <c r="CV42" i="2"/>
  <c r="CZ42" i="2" s="1"/>
  <c r="CU42" i="2"/>
  <c r="CK42" i="2"/>
  <c r="CJ42" i="2"/>
  <c r="CI42" i="2"/>
  <c r="CH42" i="2"/>
  <c r="CG42" i="2"/>
  <c r="CF42" i="2"/>
  <c r="BH42" i="2"/>
  <c r="BG42" i="2"/>
  <c r="AY42" i="2"/>
  <c r="AX42" i="2"/>
  <c r="AV42" i="2"/>
  <c r="AU42" i="2"/>
  <c r="AT42" i="2"/>
  <c r="AS42" i="2"/>
  <c r="AP42" i="2"/>
  <c r="AO42" i="2"/>
  <c r="AN42" i="2"/>
  <c r="AM42" i="2"/>
  <c r="AL42" i="2"/>
  <c r="AK42" i="2"/>
  <c r="AJ42" i="2"/>
  <c r="CE42" i="2" s="1"/>
  <c r="AI42" i="2"/>
  <c r="AH42" i="2"/>
  <c r="AG42" i="2"/>
  <c r="AF42" i="2"/>
  <c r="AE42" i="2"/>
  <c r="AD42" i="2"/>
  <c r="AC42" i="2"/>
  <c r="AB42" i="2"/>
  <c r="AA42" i="2"/>
  <c r="Z42" i="2"/>
  <c r="X42" i="2"/>
  <c r="W42" i="2"/>
  <c r="V42" i="2"/>
  <c r="U42" i="2"/>
  <c r="T42" i="2"/>
  <c r="S42" i="2"/>
  <c r="R42" i="2"/>
  <c r="Q42" i="2"/>
  <c r="P42" i="2"/>
  <c r="M42" i="2"/>
  <c r="L42" i="2"/>
  <c r="K42" i="2"/>
  <c r="H42" i="2"/>
  <c r="G42" i="2"/>
  <c r="F42" i="2"/>
  <c r="E42" i="2"/>
  <c r="D42" i="2"/>
  <c r="C42" i="2"/>
  <c r="A42" i="2"/>
  <c r="IV41" i="2"/>
  <c r="IU41" i="2"/>
  <c r="IW41" i="2" s="1"/>
  <c r="IT41" i="2"/>
  <c r="IS41" i="2"/>
  <c r="IR41" i="2"/>
  <c r="IH41" i="2"/>
  <c r="IG41" i="2"/>
  <c r="IF41" i="2"/>
  <c r="IE41" i="2"/>
  <c r="ID41" i="2"/>
  <c r="IC41" i="2"/>
  <c r="HR41" i="2"/>
  <c r="HQ41" i="2"/>
  <c r="HP41" i="2"/>
  <c r="HO41" i="2"/>
  <c r="HS41" i="2" s="1"/>
  <c r="HN41" i="2"/>
  <c r="HB41" i="2"/>
  <c r="HA41" i="2"/>
  <c r="GZ41" i="2"/>
  <c r="GY41" i="2"/>
  <c r="HC41" i="2" s="1"/>
  <c r="GX41" i="2"/>
  <c r="GM41" i="2"/>
  <c r="GL41" i="2"/>
  <c r="GN41" i="2" s="1"/>
  <c r="GK41" i="2"/>
  <c r="GJ41" i="2"/>
  <c r="GI41" i="2"/>
  <c r="FX41" i="2"/>
  <c r="FW41" i="2"/>
  <c r="FV41" i="2"/>
  <c r="FY41" i="2" s="1"/>
  <c r="FU41" i="2"/>
  <c r="FT41" i="2"/>
  <c r="FH41" i="2"/>
  <c r="FG41" i="2"/>
  <c r="FF41" i="2"/>
  <c r="FE41" i="2"/>
  <c r="FI41" i="2" s="1"/>
  <c r="FD41" i="2"/>
  <c r="ES41" i="2"/>
  <c r="ER41" i="2"/>
  <c r="EQ41" i="2"/>
  <c r="EP41" i="2"/>
  <c r="ET41" i="2" s="1"/>
  <c r="EO41" i="2"/>
  <c r="ED41" i="2"/>
  <c r="EC41" i="2"/>
  <c r="EE41" i="2" s="1"/>
  <c r="EB41" i="2"/>
  <c r="EA41" i="2"/>
  <c r="DZ41" i="2"/>
  <c r="DN41" i="2"/>
  <c r="DM41" i="2"/>
  <c r="DL41" i="2"/>
  <c r="DO41" i="2" s="1"/>
  <c r="DK41" i="2"/>
  <c r="DJ41" i="2"/>
  <c r="CY41" i="2"/>
  <c r="CX41" i="2"/>
  <c r="CW41" i="2"/>
  <c r="CV41" i="2"/>
  <c r="CZ41" i="2" s="1"/>
  <c r="CU41" i="2"/>
  <c r="CJ41" i="2"/>
  <c r="CI41" i="2"/>
  <c r="CH41" i="2"/>
  <c r="CG41" i="2"/>
  <c r="CK41" i="2" s="1"/>
  <c r="CF41" i="2"/>
  <c r="BH41" i="2"/>
  <c r="BG41" i="2"/>
  <c r="AY41" i="2"/>
  <c r="AX41" i="2"/>
  <c r="AV41" i="2"/>
  <c r="AU41" i="2"/>
  <c r="AT41" i="2"/>
  <c r="AS41" i="2"/>
  <c r="AP41" i="2"/>
  <c r="AO41" i="2"/>
  <c r="AN41" i="2"/>
  <c r="AM41" i="2"/>
  <c r="AL41" i="2"/>
  <c r="AK41" i="2"/>
  <c r="AJ41" i="2"/>
  <c r="CE41" i="2" s="1"/>
  <c r="AI41" i="2"/>
  <c r="AH41" i="2"/>
  <c r="AG41" i="2"/>
  <c r="AF41" i="2"/>
  <c r="AE41" i="2"/>
  <c r="AD41" i="2"/>
  <c r="AC41" i="2"/>
  <c r="AB41" i="2"/>
  <c r="AA41" i="2"/>
  <c r="Z41" i="2"/>
  <c r="X41" i="2"/>
  <c r="W41" i="2"/>
  <c r="V41" i="2"/>
  <c r="U41" i="2"/>
  <c r="T41" i="2"/>
  <c r="S41" i="2"/>
  <c r="R41" i="2"/>
  <c r="Q41" i="2"/>
  <c r="P41" i="2"/>
  <c r="M41" i="2"/>
  <c r="L41" i="2"/>
  <c r="K41" i="2"/>
  <c r="H41" i="2"/>
  <c r="G41" i="2"/>
  <c r="F41" i="2"/>
  <c r="E41" i="2"/>
  <c r="D41" i="2"/>
  <c r="C41" i="2"/>
  <c r="A41" i="2"/>
  <c r="IW40" i="2"/>
  <c r="IV40" i="2"/>
  <c r="IU40" i="2"/>
  <c r="IT40" i="2"/>
  <c r="IS40" i="2"/>
  <c r="IR40" i="2"/>
  <c r="IG40" i="2"/>
  <c r="IF40" i="2"/>
  <c r="IE40" i="2"/>
  <c r="IH40" i="2" s="1"/>
  <c r="ID40" i="2"/>
  <c r="IC40" i="2"/>
  <c r="HR40" i="2"/>
  <c r="HQ40" i="2"/>
  <c r="HP40" i="2"/>
  <c r="HO40" i="2"/>
  <c r="HS40" i="2" s="1"/>
  <c r="HN40" i="2"/>
  <c r="HB40" i="2"/>
  <c r="HA40" i="2"/>
  <c r="GZ40" i="2"/>
  <c r="GY40" i="2"/>
  <c r="HC40" i="2" s="1"/>
  <c r="GX40" i="2"/>
  <c r="GN40" i="2"/>
  <c r="GM40" i="2"/>
  <c r="GL40" i="2"/>
  <c r="GK40" i="2"/>
  <c r="GJ40" i="2"/>
  <c r="GI40" i="2"/>
  <c r="FX40" i="2"/>
  <c r="FW40" i="2"/>
  <c r="FV40" i="2"/>
  <c r="FY40" i="2" s="1"/>
  <c r="FU40" i="2"/>
  <c r="FT40" i="2"/>
  <c r="FH40" i="2"/>
  <c r="FG40" i="2"/>
  <c r="FF40" i="2"/>
  <c r="FE40" i="2"/>
  <c r="FI40" i="2" s="1"/>
  <c r="FD40" i="2"/>
  <c r="ES40" i="2"/>
  <c r="ER40" i="2"/>
  <c r="EQ40" i="2"/>
  <c r="EP40" i="2"/>
  <c r="ET40" i="2" s="1"/>
  <c r="EO40" i="2"/>
  <c r="EE40" i="2"/>
  <c r="ED40" i="2"/>
  <c r="EC40" i="2"/>
  <c r="EB40" i="2"/>
  <c r="EA40" i="2"/>
  <c r="DZ40" i="2"/>
  <c r="DN40" i="2"/>
  <c r="DM40" i="2"/>
  <c r="DL40" i="2"/>
  <c r="DO40" i="2" s="1"/>
  <c r="DK40" i="2"/>
  <c r="DJ40" i="2"/>
  <c r="CY40" i="2"/>
  <c r="CX40" i="2"/>
  <c r="CW40" i="2"/>
  <c r="CV40" i="2"/>
  <c r="CZ40" i="2" s="1"/>
  <c r="CU40" i="2"/>
  <c r="CJ40" i="2"/>
  <c r="CI40" i="2"/>
  <c r="CH40" i="2"/>
  <c r="CG40" i="2"/>
  <c r="CK40" i="2" s="1"/>
  <c r="CF40" i="2"/>
  <c r="CE40" i="2"/>
  <c r="BH40" i="2"/>
  <c r="BG40" i="2"/>
  <c r="AY40" i="2"/>
  <c r="AX40" i="2"/>
  <c r="AV40" i="2"/>
  <c r="AU40" i="2"/>
  <c r="AT40" i="2"/>
  <c r="AS40" i="2"/>
  <c r="AP40" i="2"/>
  <c r="AN40" i="2"/>
  <c r="AO40" i="2" s="1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X40" i="2"/>
  <c r="W40" i="2"/>
  <c r="V40" i="2"/>
  <c r="U40" i="2"/>
  <c r="T40" i="2"/>
  <c r="S40" i="2"/>
  <c r="R40" i="2"/>
  <c r="Q40" i="2"/>
  <c r="P40" i="2"/>
  <c r="M40" i="2"/>
  <c r="L40" i="2"/>
  <c r="K40" i="2"/>
  <c r="H40" i="2"/>
  <c r="G40" i="2"/>
  <c r="F40" i="2"/>
  <c r="E40" i="2"/>
  <c r="D40" i="2"/>
  <c r="C40" i="2"/>
  <c r="A40" i="2"/>
  <c r="IV39" i="2"/>
  <c r="IU39" i="2"/>
  <c r="IT39" i="2"/>
  <c r="IS39" i="2"/>
  <c r="IW39" i="2" s="1"/>
  <c r="IR39" i="2"/>
  <c r="IG39" i="2"/>
  <c r="IF39" i="2"/>
  <c r="IH39" i="2" s="1"/>
  <c r="IE39" i="2"/>
  <c r="ID39" i="2"/>
  <c r="IC39" i="2"/>
  <c r="HS39" i="2"/>
  <c r="HR39" i="2"/>
  <c r="HQ39" i="2"/>
  <c r="HP39" i="2"/>
  <c r="HO39" i="2"/>
  <c r="HN39" i="2"/>
  <c r="HB39" i="2"/>
  <c r="HA39" i="2"/>
  <c r="GZ39" i="2"/>
  <c r="GY39" i="2"/>
  <c r="HC39" i="2" s="1"/>
  <c r="GX39" i="2"/>
  <c r="GM39" i="2"/>
  <c r="GL39" i="2"/>
  <c r="GK39" i="2"/>
  <c r="GJ39" i="2"/>
  <c r="GN39" i="2" s="1"/>
  <c r="GI39" i="2"/>
  <c r="FX39" i="2"/>
  <c r="FW39" i="2"/>
  <c r="FY39" i="2" s="1"/>
  <c r="FV39" i="2"/>
  <c r="FU39" i="2"/>
  <c r="FT39" i="2"/>
  <c r="FH39" i="2"/>
  <c r="FG39" i="2"/>
  <c r="FF39" i="2"/>
  <c r="FI39" i="2" s="1"/>
  <c r="FE39" i="2"/>
  <c r="FD39" i="2"/>
  <c r="ES39" i="2"/>
  <c r="ER39" i="2"/>
  <c r="EQ39" i="2"/>
  <c r="EP39" i="2"/>
  <c r="ET39" i="2" s="1"/>
  <c r="EO39" i="2"/>
  <c r="ED39" i="2"/>
  <c r="EC39" i="2"/>
  <c r="EB39" i="2"/>
  <c r="EA39" i="2"/>
  <c r="EE39" i="2" s="1"/>
  <c r="DZ39" i="2"/>
  <c r="DN39" i="2"/>
  <c r="DM39" i="2"/>
  <c r="DO39" i="2" s="1"/>
  <c r="DL39" i="2"/>
  <c r="DK39" i="2"/>
  <c r="DJ39" i="2"/>
  <c r="CY39" i="2"/>
  <c r="CX39" i="2"/>
  <c r="CW39" i="2"/>
  <c r="CZ39" i="2" s="1"/>
  <c r="CV39" i="2"/>
  <c r="CU39" i="2"/>
  <c r="CJ39" i="2"/>
  <c r="CI39" i="2"/>
  <c r="CH39" i="2"/>
  <c r="CG39" i="2"/>
  <c r="CK39" i="2" s="1"/>
  <c r="CF39" i="2"/>
  <c r="BH39" i="2"/>
  <c r="BG39" i="2"/>
  <c r="AY39" i="2"/>
  <c r="AX39" i="2"/>
  <c r="AV39" i="2"/>
  <c r="AU39" i="2"/>
  <c r="AT39" i="2"/>
  <c r="AS39" i="2"/>
  <c r="AP39" i="2"/>
  <c r="AN39" i="2"/>
  <c r="AO39" i="2" s="1"/>
  <c r="AM39" i="2"/>
  <c r="AL39" i="2"/>
  <c r="AK39" i="2"/>
  <c r="AJ39" i="2"/>
  <c r="CE39" i="2" s="1"/>
  <c r="AI39" i="2"/>
  <c r="AH39" i="2"/>
  <c r="AG39" i="2"/>
  <c r="AF39" i="2"/>
  <c r="AE39" i="2"/>
  <c r="AD39" i="2"/>
  <c r="AC39" i="2"/>
  <c r="AB39" i="2"/>
  <c r="AA39" i="2"/>
  <c r="Z39" i="2"/>
  <c r="X39" i="2"/>
  <c r="W39" i="2"/>
  <c r="V39" i="2"/>
  <c r="U39" i="2"/>
  <c r="T39" i="2"/>
  <c r="S39" i="2"/>
  <c r="R39" i="2"/>
  <c r="Q39" i="2"/>
  <c r="P39" i="2"/>
  <c r="M39" i="2"/>
  <c r="L39" i="2"/>
  <c r="K39" i="2"/>
  <c r="H39" i="2"/>
  <c r="G39" i="2"/>
  <c r="F39" i="2"/>
  <c r="E39" i="2"/>
  <c r="D39" i="2"/>
  <c r="C39" i="2"/>
  <c r="A39" i="2"/>
  <c r="IV38" i="2"/>
  <c r="IU38" i="2"/>
  <c r="IT38" i="2"/>
  <c r="IW38" i="2" s="1"/>
  <c r="IS38" i="2"/>
  <c r="IR38" i="2"/>
  <c r="IH38" i="2"/>
  <c r="IG38" i="2"/>
  <c r="IF38" i="2"/>
  <c r="IE38" i="2"/>
  <c r="ID38" i="2"/>
  <c r="IC38" i="2"/>
  <c r="HR38" i="2"/>
  <c r="HQ38" i="2"/>
  <c r="HP38" i="2"/>
  <c r="HO38" i="2"/>
  <c r="HS38" i="2" s="1"/>
  <c r="HN38" i="2"/>
  <c r="HB38" i="2"/>
  <c r="HA38" i="2"/>
  <c r="GZ38" i="2"/>
  <c r="GY38" i="2"/>
  <c r="HC38" i="2" s="1"/>
  <c r="GX38" i="2"/>
  <c r="GM38" i="2"/>
  <c r="GL38" i="2"/>
  <c r="GK38" i="2"/>
  <c r="GN38" i="2" s="1"/>
  <c r="GJ38" i="2"/>
  <c r="GI38" i="2"/>
  <c r="FY38" i="2"/>
  <c r="FX38" i="2"/>
  <c r="FW38" i="2"/>
  <c r="FV38" i="2"/>
  <c r="FU38" i="2"/>
  <c r="FT38" i="2"/>
  <c r="FH38" i="2"/>
  <c r="FG38" i="2"/>
  <c r="FF38" i="2"/>
  <c r="FE38" i="2"/>
  <c r="FI38" i="2" s="1"/>
  <c r="FD38" i="2"/>
  <c r="ES38" i="2"/>
  <c r="ER38" i="2"/>
  <c r="EQ38" i="2"/>
  <c r="EP38" i="2"/>
  <c r="ET38" i="2" s="1"/>
  <c r="EO38" i="2"/>
  <c r="ED38" i="2"/>
  <c r="EC38" i="2"/>
  <c r="EB38" i="2"/>
  <c r="EE38" i="2" s="1"/>
  <c r="EA38" i="2"/>
  <c r="DZ38" i="2"/>
  <c r="DO38" i="2"/>
  <c r="DN38" i="2"/>
  <c r="DM38" i="2"/>
  <c r="DL38" i="2"/>
  <c r="DK38" i="2"/>
  <c r="DJ38" i="2"/>
  <c r="CY38" i="2"/>
  <c r="CX38" i="2"/>
  <c r="CW38" i="2"/>
  <c r="CV38" i="2"/>
  <c r="CZ38" i="2" s="1"/>
  <c r="CU38" i="2"/>
  <c r="CJ38" i="2"/>
  <c r="CI38" i="2"/>
  <c r="CH38" i="2"/>
  <c r="CG38" i="2"/>
  <c r="CK38" i="2" s="1"/>
  <c r="CF38" i="2"/>
  <c r="BH38" i="2"/>
  <c r="BG38" i="2"/>
  <c r="AY38" i="2"/>
  <c r="AX38" i="2"/>
  <c r="AV38" i="2"/>
  <c r="AU38" i="2"/>
  <c r="AT38" i="2"/>
  <c r="AS38" i="2"/>
  <c r="AP38" i="2"/>
  <c r="AO38" i="2"/>
  <c r="AN38" i="2"/>
  <c r="AM38" i="2"/>
  <c r="AL38" i="2"/>
  <c r="AK38" i="2"/>
  <c r="AJ38" i="2"/>
  <c r="CE38" i="2" s="1"/>
  <c r="AI38" i="2"/>
  <c r="AH38" i="2"/>
  <c r="AG38" i="2"/>
  <c r="AF38" i="2"/>
  <c r="AE38" i="2"/>
  <c r="AD38" i="2"/>
  <c r="AC38" i="2"/>
  <c r="AB38" i="2"/>
  <c r="AA38" i="2"/>
  <c r="Z38" i="2"/>
  <c r="X38" i="2"/>
  <c r="W38" i="2"/>
  <c r="V38" i="2"/>
  <c r="U38" i="2"/>
  <c r="T38" i="2"/>
  <c r="S38" i="2"/>
  <c r="R38" i="2"/>
  <c r="Q38" i="2"/>
  <c r="P38" i="2"/>
  <c r="M38" i="2"/>
  <c r="L38" i="2"/>
  <c r="K38" i="2"/>
  <c r="H38" i="2"/>
  <c r="G38" i="2"/>
  <c r="F38" i="2"/>
  <c r="E38" i="2"/>
  <c r="D38" i="2"/>
  <c r="C38" i="2"/>
  <c r="A38" i="2"/>
  <c r="IV37" i="2"/>
  <c r="IU37" i="2"/>
  <c r="IT37" i="2"/>
  <c r="IS37" i="2"/>
  <c r="IW37" i="2" s="1"/>
  <c r="IR37" i="2"/>
  <c r="IG37" i="2"/>
  <c r="IF37" i="2"/>
  <c r="IE37" i="2"/>
  <c r="ID37" i="2"/>
  <c r="IH37" i="2" s="1"/>
  <c r="IC37" i="2"/>
  <c r="HR37" i="2"/>
  <c r="HQ37" i="2"/>
  <c r="HS37" i="2" s="1"/>
  <c r="HP37" i="2"/>
  <c r="HO37" i="2"/>
  <c r="HN37" i="2"/>
  <c r="HB37" i="2"/>
  <c r="HA37" i="2"/>
  <c r="GZ37" i="2"/>
  <c r="HC37" i="2" s="1"/>
  <c r="GY37" i="2"/>
  <c r="GX37" i="2"/>
  <c r="GM37" i="2"/>
  <c r="GL37" i="2"/>
  <c r="GK37" i="2"/>
  <c r="GJ37" i="2"/>
  <c r="GN37" i="2" s="1"/>
  <c r="GI37" i="2"/>
  <c r="FX37" i="2"/>
  <c r="FW37" i="2"/>
  <c r="FV37" i="2"/>
  <c r="FU37" i="2"/>
  <c r="FY37" i="2" s="1"/>
  <c r="FT37" i="2"/>
  <c r="FH37" i="2"/>
  <c r="FG37" i="2"/>
  <c r="FI37" i="2" s="1"/>
  <c r="FF37" i="2"/>
  <c r="FE37" i="2"/>
  <c r="FD37" i="2"/>
  <c r="ES37" i="2"/>
  <c r="ER37" i="2"/>
  <c r="EQ37" i="2"/>
  <c r="ET37" i="2" s="1"/>
  <c r="EP37" i="2"/>
  <c r="EO37" i="2"/>
  <c r="ED37" i="2"/>
  <c r="EC37" i="2"/>
  <c r="EB37" i="2"/>
  <c r="EA37" i="2"/>
  <c r="EE37" i="2" s="1"/>
  <c r="DZ37" i="2"/>
  <c r="DN37" i="2"/>
  <c r="DM37" i="2"/>
  <c r="DL37" i="2"/>
  <c r="DK37" i="2"/>
  <c r="DO37" i="2" s="1"/>
  <c r="DJ37" i="2"/>
  <c r="CY37" i="2"/>
  <c r="CX37" i="2"/>
  <c r="CZ37" i="2" s="1"/>
  <c r="CW37" i="2"/>
  <c r="CV37" i="2"/>
  <c r="CU37" i="2"/>
  <c r="CJ37" i="2"/>
  <c r="CI37" i="2"/>
  <c r="CH37" i="2"/>
  <c r="CK37" i="2" s="1"/>
  <c r="CG37" i="2"/>
  <c r="CF37" i="2"/>
  <c r="BH37" i="2"/>
  <c r="BG37" i="2"/>
  <c r="AY37" i="2"/>
  <c r="AX37" i="2"/>
  <c r="AV37" i="2"/>
  <c r="AU37" i="2"/>
  <c r="AT37" i="2"/>
  <c r="AS37" i="2"/>
  <c r="AP37" i="2"/>
  <c r="AO37" i="2"/>
  <c r="AN37" i="2"/>
  <c r="AM37" i="2"/>
  <c r="AL37" i="2"/>
  <c r="AK37" i="2"/>
  <c r="AJ37" i="2"/>
  <c r="CE37" i="2" s="1"/>
  <c r="AI37" i="2"/>
  <c r="AH37" i="2"/>
  <c r="AG37" i="2"/>
  <c r="AF37" i="2"/>
  <c r="AE37" i="2"/>
  <c r="AD37" i="2"/>
  <c r="AC37" i="2"/>
  <c r="AB37" i="2"/>
  <c r="AA37" i="2"/>
  <c r="Z37" i="2"/>
  <c r="X37" i="2"/>
  <c r="W37" i="2"/>
  <c r="V37" i="2"/>
  <c r="U37" i="2"/>
  <c r="T37" i="2"/>
  <c r="S37" i="2"/>
  <c r="R37" i="2"/>
  <c r="Q37" i="2"/>
  <c r="P37" i="2"/>
  <c r="M37" i="2"/>
  <c r="L37" i="2"/>
  <c r="K37" i="2"/>
  <c r="H37" i="2"/>
  <c r="G37" i="2"/>
  <c r="F37" i="2"/>
  <c r="E37" i="2"/>
  <c r="D37" i="2"/>
  <c r="C37" i="2"/>
  <c r="A37" i="2"/>
  <c r="IV36" i="2"/>
  <c r="IU36" i="2"/>
  <c r="IT36" i="2"/>
  <c r="IS36" i="2"/>
  <c r="IW36" i="2" s="1"/>
  <c r="IR36" i="2"/>
  <c r="IG36" i="2"/>
  <c r="IF36" i="2"/>
  <c r="IE36" i="2"/>
  <c r="IH36" i="2" s="1"/>
  <c r="ID36" i="2"/>
  <c r="IC36" i="2"/>
  <c r="HS36" i="2"/>
  <c r="HR36" i="2"/>
  <c r="HQ36" i="2"/>
  <c r="HP36" i="2"/>
  <c r="HO36" i="2"/>
  <c r="HN36" i="2"/>
  <c r="HB36" i="2"/>
  <c r="HA36" i="2"/>
  <c r="GZ36" i="2"/>
  <c r="GY36" i="2"/>
  <c r="HC36" i="2" s="1"/>
  <c r="GX36" i="2"/>
  <c r="GM36" i="2"/>
  <c r="GL36" i="2"/>
  <c r="GK36" i="2"/>
  <c r="GJ36" i="2"/>
  <c r="GN36" i="2" s="1"/>
  <c r="GI36" i="2"/>
  <c r="FX36" i="2"/>
  <c r="FW36" i="2"/>
  <c r="FV36" i="2"/>
  <c r="FY36" i="2" s="1"/>
  <c r="FU36" i="2"/>
  <c r="FT36" i="2"/>
  <c r="FI36" i="2"/>
  <c r="FH36" i="2"/>
  <c r="FG36" i="2"/>
  <c r="FF36" i="2"/>
  <c r="FE36" i="2"/>
  <c r="FD36" i="2"/>
  <c r="ES36" i="2"/>
  <c r="ER36" i="2"/>
  <c r="EQ36" i="2"/>
  <c r="EP36" i="2"/>
  <c r="ET36" i="2" s="1"/>
  <c r="EO36" i="2"/>
  <c r="ED36" i="2"/>
  <c r="EC36" i="2"/>
  <c r="EB36" i="2"/>
  <c r="EA36" i="2"/>
  <c r="EE36" i="2" s="1"/>
  <c r="DZ36" i="2"/>
  <c r="DN36" i="2"/>
  <c r="DM36" i="2"/>
  <c r="DL36" i="2"/>
  <c r="DO36" i="2" s="1"/>
  <c r="DK36" i="2"/>
  <c r="DJ36" i="2"/>
  <c r="CZ36" i="2"/>
  <c r="CY36" i="2"/>
  <c r="CX36" i="2"/>
  <c r="CW36" i="2"/>
  <c r="CV36" i="2"/>
  <c r="CU36" i="2"/>
  <c r="CJ36" i="2"/>
  <c r="CI36" i="2"/>
  <c r="CH36" i="2"/>
  <c r="CG36" i="2"/>
  <c r="CK36" i="2" s="1"/>
  <c r="CF36" i="2"/>
  <c r="CE36" i="2"/>
  <c r="BH36" i="2"/>
  <c r="BG36" i="2"/>
  <c r="AY36" i="2"/>
  <c r="AX36" i="2"/>
  <c r="AV36" i="2"/>
  <c r="AU36" i="2"/>
  <c r="AT36" i="2"/>
  <c r="AS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X36" i="2"/>
  <c r="W36" i="2"/>
  <c r="V36" i="2"/>
  <c r="U36" i="2"/>
  <c r="T36" i="2"/>
  <c r="S36" i="2"/>
  <c r="R36" i="2"/>
  <c r="Q36" i="2"/>
  <c r="P36" i="2"/>
  <c r="M36" i="2"/>
  <c r="L36" i="2"/>
  <c r="K36" i="2"/>
  <c r="H36" i="2"/>
  <c r="G36" i="2"/>
  <c r="F36" i="2"/>
  <c r="E36" i="2"/>
  <c r="D36" i="2"/>
  <c r="C36" i="2"/>
  <c r="A36" i="2"/>
  <c r="IV35" i="2"/>
  <c r="IU35" i="2"/>
  <c r="IT35" i="2"/>
  <c r="IW35" i="2" s="1"/>
  <c r="IS35" i="2"/>
  <c r="IR35" i="2"/>
  <c r="IG35" i="2"/>
  <c r="IF35" i="2"/>
  <c r="IE35" i="2"/>
  <c r="ID35" i="2"/>
  <c r="IH35" i="2" s="1"/>
  <c r="IC35" i="2"/>
  <c r="HR35" i="2"/>
  <c r="HQ35" i="2"/>
  <c r="HP35" i="2"/>
  <c r="HO35" i="2"/>
  <c r="HS35" i="2" s="1"/>
  <c r="HN35" i="2"/>
  <c r="HB35" i="2"/>
  <c r="HA35" i="2"/>
  <c r="HC35" i="2" s="1"/>
  <c r="GZ35" i="2"/>
  <c r="GY35" i="2"/>
  <c r="GX35" i="2"/>
  <c r="GM35" i="2"/>
  <c r="GL35" i="2"/>
  <c r="GK35" i="2"/>
  <c r="GN35" i="2" s="1"/>
  <c r="GJ35" i="2"/>
  <c r="GI35" i="2"/>
  <c r="FX35" i="2"/>
  <c r="FW35" i="2"/>
  <c r="FV35" i="2"/>
  <c r="FU35" i="2"/>
  <c r="FY35" i="2" s="1"/>
  <c r="FT35" i="2"/>
  <c r="FH35" i="2"/>
  <c r="FG35" i="2"/>
  <c r="FF35" i="2"/>
  <c r="FE35" i="2"/>
  <c r="FI35" i="2" s="1"/>
  <c r="FD35" i="2"/>
  <c r="ES35" i="2"/>
  <c r="ER35" i="2"/>
  <c r="ET35" i="2" s="1"/>
  <c r="EQ35" i="2"/>
  <c r="EP35" i="2"/>
  <c r="EO35" i="2"/>
  <c r="ED35" i="2"/>
  <c r="EC35" i="2"/>
  <c r="EB35" i="2"/>
  <c r="EE35" i="2" s="1"/>
  <c r="EA35" i="2"/>
  <c r="DZ35" i="2"/>
  <c r="DN35" i="2"/>
  <c r="DM35" i="2"/>
  <c r="DL35" i="2"/>
  <c r="DK35" i="2"/>
  <c r="DO35" i="2" s="1"/>
  <c r="DJ35" i="2"/>
  <c r="CY35" i="2"/>
  <c r="CX35" i="2"/>
  <c r="CW35" i="2"/>
  <c r="CV35" i="2"/>
  <c r="CZ35" i="2" s="1"/>
  <c r="CU35" i="2"/>
  <c r="CJ35" i="2"/>
  <c r="CI35" i="2"/>
  <c r="CH35" i="2"/>
  <c r="CK35" i="2" s="1"/>
  <c r="CG35" i="2"/>
  <c r="CF35" i="2"/>
  <c r="BH35" i="2"/>
  <c r="BG35" i="2"/>
  <c r="AY35" i="2"/>
  <c r="AX35" i="2"/>
  <c r="AV35" i="2"/>
  <c r="AU35" i="2"/>
  <c r="AT35" i="2"/>
  <c r="AS35" i="2"/>
  <c r="AP35" i="2"/>
  <c r="AN35" i="2"/>
  <c r="AO35" i="2" s="1"/>
  <c r="AM35" i="2"/>
  <c r="AL35" i="2"/>
  <c r="AK35" i="2"/>
  <c r="AJ35" i="2"/>
  <c r="CE35" i="2" s="1"/>
  <c r="AI35" i="2"/>
  <c r="AH35" i="2"/>
  <c r="AG35" i="2"/>
  <c r="AF35" i="2"/>
  <c r="AE35" i="2"/>
  <c r="AD35" i="2"/>
  <c r="AC35" i="2"/>
  <c r="AB35" i="2"/>
  <c r="AA35" i="2"/>
  <c r="Z35" i="2"/>
  <c r="X35" i="2"/>
  <c r="W35" i="2"/>
  <c r="V35" i="2"/>
  <c r="U35" i="2"/>
  <c r="T35" i="2"/>
  <c r="S35" i="2"/>
  <c r="R35" i="2"/>
  <c r="Q35" i="2"/>
  <c r="P35" i="2"/>
  <c r="M35" i="2"/>
  <c r="L35" i="2"/>
  <c r="K35" i="2"/>
  <c r="H35" i="2"/>
  <c r="G35" i="2"/>
  <c r="F35" i="2"/>
  <c r="E35" i="2"/>
  <c r="D35" i="2"/>
  <c r="C35" i="2"/>
  <c r="A35" i="2"/>
  <c r="IV34" i="2"/>
  <c r="IU34" i="2"/>
  <c r="IT34" i="2"/>
  <c r="IW34" i="2" s="1"/>
  <c r="IS34" i="2"/>
  <c r="IR34" i="2"/>
  <c r="IG34" i="2"/>
  <c r="IF34" i="2"/>
  <c r="IE34" i="2"/>
  <c r="ID34" i="2"/>
  <c r="IH34" i="2" s="1"/>
  <c r="IC34" i="2"/>
  <c r="HR34" i="2"/>
  <c r="HQ34" i="2"/>
  <c r="HP34" i="2"/>
  <c r="HO34" i="2"/>
  <c r="HS34" i="2" s="1"/>
  <c r="HN34" i="2"/>
  <c r="HC34" i="2"/>
  <c r="HB34" i="2"/>
  <c r="HA34" i="2"/>
  <c r="GZ34" i="2"/>
  <c r="GY34" i="2"/>
  <c r="GX34" i="2"/>
  <c r="GM34" i="2"/>
  <c r="GL34" i="2"/>
  <c r="GK34" i="2"/>
  <c r="GN34" i="2" s="1"/>
  <c r="GJ34" i="2"/>
  <c r="GI34" i="2"/>
  <c r="FX34" i="2"/>
  <c r="FW34" i="2"/>
  <c r="FV34" i="2"/>
  <c r="FU34" i="2"/>
  <c r="FY34" i="2" s="1"/>
  <c r="FT34" i="2"/>
  <c r="FH34" i="2"/>
  <c r="FG34" i="2"/>
  <c r="FF34" i="2"/>
  <c r="FE34" i="2"/>
  <c r="FI34" i="2" s="1"/>
  <c r="FD34" i="2"/>
  <c r="ET34" i="2"/>
  <c r="ES34" i="2"/>
  <c r="ER34" i="2"/>
  <c r="EQ34" i="2"/>
  <c r="EP34" i="2"/>
  <c r="EO34" i="2"/>
  <c r="ED34" i="2"/>
  <c r="EC34" i="2"/>
  <c r="EB34" i="2"/>
  <c r="EE34" i="2" s="1"/>
  <c r="EA34" i="2"/>
  <c r="DZ34" i="2"/>
  <c r="DN34" i="2"/>
  <c r="DM34" i="2"/>
  <c r="DL34" i="2"/>
  <c r="DK34" i="2"/>
  <c r="DO34" i="2" s="1"/>
  <c r="DJ34" i="2"/>
  <c r="CY34" i="2"/>
  <c r="CX34" i="2"/>
  <c r="CW34" i="2"/>
  <c r="CV34" i="2"/>
  <c r="CZ34" i="2" s="1"/>
  <c r="CU34" i="2"/>
  <c r="CK34" i="2"/>
  <c r="CJ34" i="2"/>
  <c r="CI34" i="2"/>
  <c r="CH34" i="2"/>
  <c r="CG34" i="2"/>
  <c r="CF34" i="2"/>
  <c r="BH34" i="2"/>
  <c r="BG34" i="2"/>
  <c r="AY34" i="2"/>
  <c r="AX34" i="2"/>
  <c r="AV34" i="2"/>
  <c r="AU34" i="2"/>
  <c r="AT34" i="2"/>
  <c r="AS34" i="2"/>
  <c r="AP34" i="2"/>
  <c r="AO34" i="2"/>
  <c r="AN34" i="2"/>
  <c r="AM34" i="2"/>
  <c r="AL34" i="2"/>
  <c r="AK34" i="2"/>
  <c r="AJ34" i="2"/>
  <c r="CE34" i="2" s="1"/>
  <c r="AI34" i="2"/>
  <c r="AH34" i="2"/>
  <c r="AG34" i="2"/>
  <c r="AF34" i="2"/>
  <c r="AE34" i="2"/>
  <c r="AD34" i="2"/>
  <c r="AC34" i="2"/>
  <c r="AB34" i="2"/>
  <c r="AA34" i="2"/>
  <c r="Z34" i="2"/>
  <c r="X34" i="2"/>
  <c r="W34" i="2"/>
  <c r="V34" i="2"/>
  <c r="U34" i="2"/>
  <c r="T34" i="2"/>
  <c r="S34" i="2"/>
  <c r="R34" i="2"/>
  <c r="Q34" i="2"/>
  <c r="P34" i="2"/>
  <c r="M34" i="2"/>
  <c r="L34" i="2"/>
  <c r="K34" i="2"/>
  <c r="H34" i="2"/>
  <c r="G34" i="2"/>
  <c r="F34" i="2"/>
  <c r="E34" i="2"/>
  <c r="D34" i="2"/>
  <c r="C34" i="2"/>
  <c r="A34" i="2"/>
  <c r="IV33" i="2"/>
  <c r="IU33" i="2"/>
  <c r="IW33" i="2" s="1"/>
  <c r="IT33" i="2"/>
  <c r="IS33" i="2"/>
  <c r="IR33" i="2"/>
  <c r="IG33" i="2"/>
  <c r="IF33" i="2"/>
  <c r="IE33" i="2"/>
  <c r="IH33" i="2" s="1"/>
  <c r="ID33" i="2"/>
  <c r="IC33" i="2"/>
  <c r="HR33" i="2"/>
  <c r="HQ33" i="2"/>
  <c r="HP33" i="2"/>
  <c r="HO33" i="2"/>
  <c r="HS33" i="2" s="1"/>
  <c r="HN33" i="2"/>
  <c r="HB33" i="2"/>
  <c r="HA33" i="2"/>
  <c r="GZ33" i="2"/>
  <c r="GY33" i="2"/>
  <c r="HC33" i="2" s="1"/>
  <c r="GX33" i="2"/>
  <c r="GM33" i="2"/>
  <c r="GL33" i="2"/>
  <c r="GN33" i="2" s="1"/>
  <c r="GK33" i="2"/>
  <c r="GJ33" i="2"/>
  <c r="GI33" i="2"/>
  <c r="FX33" i="2"/>
  <c r="FW33" i="2"/>
  <c r="FV33" i="2"/>
  <c r="FY33" i="2" s="1"/>
  <c r="FU33" i="2"/>
  <c r="FT33" i="2"/>
  <c r="FH33" i="2"/>
  <c r="FG33" i="2"/>
  <c r="FF33" i="2"/>
  <c r="FE33" i="2"/>
  <c r="FI33" i="2" s="1"/>
  <c r="FD33" i="2"/>
  <c r="ES33" i="2"/>
  <c r="ER33" i="2"/>
  <c r="EQ33" i="2"/>
  <c r="EP33" i="2"/>
  <c r="ET33" i="2" s="1"/>
  <c r="EO33" i="2"/>
  <c r="ED33" i="2"/>
  <c r="EC33" i="2"/>
  <c r="EE33" i="2" s="1"/>
  <c r="EB33" i="2"/>
  <c r="EA33" i="2"/>
  <c r="DZ33" i="2"/>
  <c r="DN33" i="2"/>
  <c r="DM33" i="2"/>
  <c r="DL33" i="2"/>
  <c r="DO33" i="2" s="1"/>
  <c r="DK33" i="2"/>
  <c r="DJ33" i="2"/>
  <c r="CY33" i="2"/>
  <c r="CX33" i="2"/>
  <c r="CW33" i="2"/>
  <c r="CV33" i="2"/>
  <c r="CZ33" i="2" s="1"/>
  <c r="CU33" i="2"/>
  <c r="CJ33" i="2"/>
  <c r="CI33" i="2"/>
  <c r="CH33" i="2"/>
  <c r="CG33" i="2"/>
  <c r="CK33" i="2" s="1"/>
  <c r="CF33" i="2"/>
  <c r="BH33" i="2"/>
  <c r="BG33" i="2"/>
  <c r="AY33" i="2"/>
  <c r="AX33" i="2"/>
  <c r="AV33" i="2"/>
  <c r="AU33" i="2"/>
  <c r="AT33" i="2"/>
  <c r="AS33" i="2"/>
  <c r="AP33" i="2"/>
  <c r="AO33" i="2"/>
  <c r="AN33" i="2"/>
  <c r="AM33" i="2"/>
  <c r="AL33" i="2"/>
  <c r="AK33" i="2"/>
  <c r="AJ33" i="2"/>
  <c r="CE33" i="2" s="1"/>
  <c r="AI33" i="2"/>
  <c r="AH33" i="2"/>
  <c r="AG33" i="2"/>
  <c r="AF33" i="2"/>
  <c r="AE33" i="2"/>
  <c r="AD33" i="2"/>
  <c r="AC33" i="2"/>
  <c r="AB33" i="2"/>
  <c r="AA33" i="2"/>
  <c r="Z33" i="2"/>
  <c r="X33" i="2"/>
  <c r="W33" i="2"/>
  <c r="V33" i="2"/>
  <c r="U33" i="2"/>
  <c r="T33" i="2"/>
  <c r="S33" i="2"/>
  <c r="R33" i="2"/>
  <c r="Q33" i="2"/>
  <c r="P33" i="2"/>
  <c r="M33" i="2"/>
  <c r="L33" i="2"/>
  <c r="K33" i="2"/>
  <c r="H33" i="2"/>
  <c r="G33" i="2"/>
  <c r="F33" i="2"/>
  <c r="E33" i="2"/>
  <c r="D33" i="2"/>
  <c r="C33" i="2"/>
  <c r="A33" i="2"/>
  <c r="IW32" i="2"/>
  <c r="IV32" i="2"/>
  <c r="IU32" i="2"/>
  <c r="IT32" i="2"/>
  <c r="IS32" i="2"/>
  <c r="IR32" i="2"/>
  <c r="IG32" i="2"/>
  <c r="IF32" i="2"/>
  <c r="IE32" i="2"/>
  <c r="ID32" i="2"/>
  <c r="IH32" i="2" s="1"/>
  <c r="IC32" i="2"/>
  <c r="HR32" i="2"/>
  <c r="HQ32" i="2"/>
  <c r="HP32" i="2"/>
  <c r="HO32" i="2"/>
  <c r="HS32" i="2" s="1"/>
  <c r="HN32" i="2"/>
  <c r="HB32" i="2"/>
  <c r="HA32" i="2"/>
  <c r="GZ32" i="2"/>
  <c r="GY32" i="2"/>
  <c r="HC32" i="2" s="1"/>
  <c r="GX32" i="2"/>
  <c r="GN32" i="2"/>
  <c r="GM32" i="2"/>
  <c r="GL32" i="2"/>
  <c r="GK32" i="2"/>
  <c r="GJ32" i="2"/>
  <c r="GI32" i="2"/>
  <c r="FX32" i="2"/>
  <c r="FW32" i="2"/>
  <c r="FV32" i="2"/>
  <c r="FU32" i="2"/>
  <c r="FY32" i="2" s="1"/>
  <c r="FT32" i="2"/>
  <c r="FH32" i="2"/>
  <c r="FG32" i="2"/>
  <c r="FF32" i="2"/>
  <c r="FE32" i="2"/>
  <c r="FI32" i="2" s="1"/>
  <c r="FD32" i="2"/>
  <c r="ES32" i="2"/>
  <c r="ER32" i="2"/>
  <c r="EQ32" i="2"/>
  <c r="EP32" i="2"/>
  <c r="ET32" i="2" s="1"/>
  <c r="EO32" i="2"/>
  <c r="EE32" i="2"/>
  <c r="ED32" i="2"/>
  <c r="EC32" i="2"/>
  <c r="EB32" i="2"/>
  <c r="EA32" i="2"/>
  <c r="DZ32" i="2"/>
  <c r="DN32" i="2"/>
  <c r="DM32" i="2"/>
  <c r="DL32" i="2"/>
  <c r="DK32" i="2"/>
  <c r="DO32" i="2" s="1"/>
  <c r="DJ32" i="2"/>
  <c r="CY32" i="2"/>
  <c r="CX32" i="2"/>
  <c r="CW32" i="2"/>
  <c r="CV32" i="2"/>
  <c r="CZ32" i="2" s="1"/>
  <c r="CU32" i="2"/>
  <c r="CJ32" i="2"/>
  <c r="CI32" i="2"/>
  <c r="CH32" i="2"/>
  <c r="CG32" i="2"/>
  <c r="CK32" i="2" s="1"/>
  <c r="CF32" i="2"/>
  <c r="CE32" i="2"/>
  <c r="BH32" i="2"/>
  <c r="BG32" i="2"/>
  <c r="AY32" i="2"/>
  <c r="AX32" i="2"/>
  <c r="AV32" i="2"/>
  <c r="AU32" i="2"/>
  <c r="AT32" i="2"/>
  <c r="AS32" i="2"/>
  <c r="AP32" i="2"/>
  <c r="AN32" i="2"/>
  <c r="AO32" i="2" s="1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X32" i="2"/>
  <c r="W32" i="2"/>
  <c r="V32" i="2"/>
  <c r="U32" i="2"/>
  <c r="T32" i="2"/>
  <c r="S32" i="2"/>
  <c r="R32" i="2"/>
  <c r="Q32" i="2"/>
  <c r="P32" i="2"/>
  <c r="M32" i="2"/>
  <c r="L32" i="2"/>
  <c r="K32" i="2"/>
  <c r="H32" i="2"/>
  <c r="G32" i="2"/>
  <c r="F32" i="2"/>
  <c r="E32" i="2"/>
  <c r="D32" i="2"/>
  <c r="C32" i="2"/>
  <c r="A32" i="2"/>
  <c r="IV31" i="2"/>
  <c r="IU31" i="2"/>
  <c r="IT31" i="2"/>
  <c r="IS31" i="2"/>
  <c r="IW31" i="2" s="1"/>
  <c r="IR31" i="2"/>
  <c r="IG31" i="2"/>
  <c r="IF31" i="2"/>
  <c r="IH31" i="2" s="1"/>
  <c r="IE31" i="2"/>
  <c r="ID31" i="2"/>
  <c r="IC31" i="2"/>
  <c r="HR31" i="2"/>
  <c r="HQ31" i="2"/>
  <c r="HP31" i="2"/>
  <c r="HS31" i="2" s="1"/>
  <c r="HO31" i="2"/>
  <c r="HN31" i="2"/>
  <c r="HB31" i="2"/>
  <c r="HA31" i="2"/>
  <c r="GZ31" i="2"/>
  <c r="GY31" i="2"/>
  <c r="HC31" i="2" s="1"/>
  <c r="GX31" i="2"/>
  <c r="GM31" i="2"/>
  <c r="GL31" i="2"/>
  <c r="GK31" i="2"/>
  <c r="GJ31" i="2"/>
  <c r="GN31" i="2" s="1"/>
  <c r="GI31" i="2"/>
  <c r="FX31" i="2"/>
  <c r="FW31" i="2"/>
  <c r="FY31" i="2" s="1"/>
  <c r="FV31" i="2"/>
  <c r="FU31" i="2"/>
  <c r="FT31" i="2"/>
  <c r="FH31" i="2"/>
  <c r="FG31" i="2"/>
  <c r="FF31" i="2"/>
  <c r="FI31" i="2" s="1"/>
  <c r="FE31" i="2"/>
  <c r="FD31" i="2"/>
  <c r="ES31" i="2"/>
  <c r="ER31" i="2"/>
  <c r="EQ31" i="2"/>
  <c r="EP31" i="2"/>
  <c r="ET31" i="2" s="1"/>
  <c r="EO31" i="2"/>
  <c r="ED31" i="2"/>
  <c r="EC31" i="2"/>
  <c r="EB31" i="2"/>
  <c r="EA31" i="2"/>
  <c r="EE31" i="2" s="1"/>
  <c r="DZ31" i="2"/>
  <c r="DN31" i="2"/>
  <c r="DM31" i="2"/>
  <c r="DO31" i="2" s="1"/>
  <c r="DL31" i="2"/>
  <c r="DK31" i="2"/>
  <c r="DJ31" i="2"/>
  <c r="CY31" i="2"/>
  <c r="CX31" i="2"/>
  <c r="CW31" i="2"/>
  <c r="CZ31" i="2" s="1"/>
  <c r="CV31" i="2"/>
  <c r="CU31" i="2"/>
  <c r="CJ31" i="2"/>
  <c r="CI31" i="2"/>
  <c r="CH31" i="2"/>
  <c r="CG31" i="2"/>
  <c r="CK31" i="2" s="1"/>
  <c r="CF31" i="2"/>
  <c r="BH31" i="2"/>
  <c r="BG31" i="2"/>
  <c r="AY31" i="2"/>
  <c r="AX31" i="2"/>
  <c r="AV31" i="2"/>
  <c r="AU31" i="2"/>
  <c r="AT31" i="2"/>
  <c r="AS31" i="2"/>
  <c r="AP31" i="2"/>
  <c r="AN31" i="2"/>
  <c r="AO31" i="2" s="1"/>
  <c r="AM31" i="2"/>
  <c r="AL31" i="2"/>
  <c r="AK31" i="2"/>
  <c r="AJ31" i="2"/>
  <c r="CE31" i="2" s="1"/>
  <c r="AI31" i="2"/>
  <c r="AH31" i="2"/>
  <c r="AG31" i="2"/>
  <c r="AF31" i="2"/>
  <c r="AE31" i="2"/>
  <c r="AD31" i="2"/>
  <c r="AC31" i="2"/>
  <c r="AB31" i="2"/>
  <c r="AA31" i="2"/>
  <c r="Z31" i="2"/>
  <c r="X31" i="2"/>
  <c r="W31" i="2"/>
  <c r="V31" i="2"/>
  <c r="U31" i="2"/>
  <c r="T31" i="2"/>
  <c r="S31" i="2"/>
  <c r="R31" i="2"/>
  <c r="Q31" i="2"/>
  <c r="P31" i="2"/>
  <c r="M31" i="2"/>
  <c r="L31" i="2"/>
  <c r="K31" i="2"/>
  <c r="H31" i="2"/>
  <c r="G31" i="2"/>
  <c r="F31" i="2"/>
  <c r="E31" i="2"/>
  <c r="D31" i="2"/>
  <c r="C31" i="2"/>
  <c r="A31" i="2"/>
  <c r="IV30" i="2"/>
  <c r="IU30" i="2"/>
  <c r="IT30" i="2"/>
  <c r="IS30" i="2"/>
  <c r="IW30" i="2" s="1"/>
  <c r="IR30" i="2"/>
  <c r="IH30" i="2"/>
  <c r="IG30" i="2"/>
  <c r="IF30" i="2"/>
  <c r="IE30" i="2"/>
  <c r="ID30" i="2"/>
  <c r="IC30" i="2"/>
  <c r="HR30" i="2"/>
  <c r="HQ30" i="2"/>
  <c r="HP30" i="2"/>
  <c r="HO30" i="2"/>
  <c r="HS30" i="2" s="1"/>
  <c r="HN30" i="2"/>
  <c r="HB30" i="2"/>
  <c r="HA30" i="2"/>
  <c r="GZ30" i="2"/>
  <c r="GY30" i="2"/>
  <c r="HC30" i="2" s="1"/>
  <c r="GX30" i="2"/>
  <c r="GM30" i="2"/>
  <c r="GL30" i="2"/>
  <c r="GK30" i="2"/>
  <c r="GJ30" i="2"/>
  <c r="GN30" i="2" s="1"/>
  <c r="GI30" i="2"/>
  <c r="FY30" i="2"/>
  <c r="FX30" i="2"/>
  <c r="FW30" i="2"/>
  <c r="FV30" i="2"/>
  <c r="FU30" i="2"/>
  <c r="FT30" i="2"/>
  <c r="FH30" i="2"/>
  <c r="FG30" i="2"/>
  <c r="FF30" i="2"/>
  <c r="FI30" i="2" s="1"/>
  <c r="FE30" i="2"/>
  <c r="FD30" i="2"/>
  <c r="ES30" i="2"/>
  <c r="ER30" i="2"/>
  <c r="EQ30" i="2"/>
  <c r="EP30" i="2"/>
  <c r="ET30" i="2" s="1"/>
  <c r="EO30" i="2"/>
  <c r="ED30" i="2"/>
  <c r="EC30" i="2"/>
  <c r="EB30" i="2"/>
  <c r="EA30" i="2"/>
  <c r="EE30" i="2" s="1"/>
  <c r="DZ30" i="2"/>
  <c r="DO30" i="2"/>
  <c r="DN30" i="2"/>
  <c r="DM30" i="2"/>
  <c r="DL30" i="2"/>
  <c r="DK30" i="2"/>
  <c r="DJ30" i="2"/>
  <c r="CY30" i="2"/>
  <c r="CX30" i="2"/>
  <c r="CW30" i="2"/>
  <c r="CZ30" i="2" s="1"/>
  <c r="CV30" i="2"/>
  <c r="CU30" i="2"/>
  <c r="CJ30" i="2"/>
  <c r="CI30" i="2"/>
  <c r="CH30" i="2"/>
  <c r="CG30" i="2"/>
  <c r="CK30" i="2" s="1"/>
  <c r="CF30" i="2"/>
  <c r="BH30" i="2"/>
  <c r="BG30" i="2"/>
  <c r="AY30" i="2"/>
  <c r="AX30" i="2"/>
  <c r="AV30" i="2"/>
  <c r="AU30" i="2"/>
  <c r="AT30" i="2"/>
  <c r="AS30" i="2"/>
  <c r="AP30" i="2"/>
  <c r="AO30" i="2"/>
  <c r="AN30" i="2"/>
  <c r="AM30" i="2"/>
  <c r="AL30" i="2"/>
  <c r="AK30" i="2"/>
  <c r="AJ30" i="2"/>
  <c r="CE30" i="2" s="1"/>
  <c r="AI30" i="2"/>
  <c r="AH30" i="2"/>
  <c r="AG30" i="2"/>
  <c r="AF30" i="2"/>
  <c r="AE30" i="2"/>
  <c r="AD30" i="2"/>
  <c r="AC30" i="2"/>
  <c r="AB30" i="2"/>
  <c r="AA30" i="2"/>
  <c r="Z30" i="2"/>
  <c r="X30" i="2"/>
  <c r="W30" i="2"/>
  <c r="V30" i="2"/>
  <c r="U30" i="2"/>
  <c r="T30" i="2"/>
  <c r="S30" i="2"/>
  <c r="R30" i="2"/>
  <c r="Q30" i="2"/>
  <c r="P30" i="2"/>
  <c r="M30" i="2"/>
  <c r="L30" i="2"/>
  <c r="K30" i="2"/>
  <c r="H30" i="2"/>
  <c r="G30" i="2"/>
  <c r="F30" i="2"/>
  <c r="E30" i="2"/>
  <c r="D30" i="2"/>
  <c r="C30" i="2"/>
  <c r="A30" i="2"/>
  <c r="IV29" i="2"/>
  <c r="IU29" i="2"/>
  <c r="IT29" i="2"/>
  <c r="IS29" i="2"/>
  <c r="IW29" i="2" s="1"/>
  <c r="IR29" i="2"/>
  <c r="IG29" i="2"/>
  <c r="IF29" i="2"/>
  <c r="IE29" i="2"/>
  <c r="ID29" i="2"/>
  <c r="IH29" i="2" s="1"/>
  <c r="IC29" i="2"/>
  <c r="HR29" i="2"/>
  <c r="HQ29" i="2"/>
  <c r="HS29" i="2" s="1"/>
  <c r="HP29" i="2"/>
  <c r="HO29" i="2"/>
  <c r="HN29" i="2"/>
  <c r="HB29" i="2"/>
  <c r="HA29" i="2"/>
  <c r="GZ29" i="2"/>
  <c r="HC29" i="2" s="1"/>
  <c r="GY29" i="2"/>
  <c r="GX29" i="2"/>
  <c r="GM29" i="2"/>
  <c r="GL29" i="2"/>
  <c r="GK29" i="2"/>
  <c r="GJ29" i="2"/>
  <c r="GN29" i="2" s="1"/>
  <c r="GI29" i="2"/>
  <c r="FX29" i="2"/>
  <c r="FW29" i="2"/>
  <c r="FV29" i="2"/>
  <c r="FU29" i="2"/>
  <c r="FY29" i="2" s="1"/>
  <c r="FT29" i="2"/>
  <c r="FH29" i="2"/>
  <c r="FG29" i="2"/>
  <c r="FI29" i="2" s="1"/>
  <c r="FF29" i="2"/>
  <c r="FE29" i="2"/>
  <c r="FD29" i="2"/>
  <c r="ES29" i="2"/>
  <c r="ER29" i="2"/>
  <c r="EQ29" i="2"/>
  <c r="ET29" i="2" s="1"/>
  <c r="EP29" i="2"/>
  <c r="EO29" i="2"/>
  <c r="ED29" i="2"/>
  <c r="EC29" i="2"/>
  <c r="EB29" i="2"/>
  <c r="EA29" i="2"/>
  <c r="EE29" i="2" s="1"/>
  <c r="DZ29" i="2"/>
  <c r="DN29" i="2"/>
  <c r="DM29" i="2"/>
  <c r="DL29" i="2"/>
  <c r="DK29" i="2"/>
  <c r="DO29" i="2" s="1"/>
  <c r="DJ29" i="2"/>
  <c r="CY29" i="2"/>
  <c r="CX29" i="2"/>
  <c r="CZ29" i="2" s="1"/>
  <c r="CW29" i="2"/>
  <c r="CV29" i="2"/>
  <c r="CU29" i="2"/>
  <c r="CJ29" i="2"/>
  <c r="CI29" i="2"/>
  <c r="CH29" i="2"/>
  <c r="CK29" i="2" s="1"/>
  <c r="CG29" i="2"/>
  <c r="CF29" i="2"/>
  <c r="BH29" i="2"/>
  <c r="BG29" i="2"/>
  <c r="AY29" i="2"/>
  <c r="AX29" i="2"/>
  <c r="AV29" i="2"/>
  <c r="AU29" i="2"/>
  <c r="AT29" i="2"/>
  <c r="AS29" i="2"/>
  <c r="AP29" i="2"/>
  <c r="AO29" i="2"/>
  <c r="AN29" i="2"/>
  <c r="AM29" i="2"/>
  <c r="AL29" i="2"/>
  <c r="AK29" i="2"/>
  <c r="AJ29" i="2"/>
  <c r="CE29" i="2" s="1"/>
  <c r="AI29" i="2"/>
  <c r="AH29" i="2"/>
  <c r="AG29" i="2"/>
  <c r="AF29" i="2"/>
  <c r="AE29" i="2"/>
  <c r="AD29" i="2"/>
  <c r="AC29" i="2"/>
  <c r="AB29" i="2"/>
  <c r="AA29" i="2"/>
  <c r="Z29" i="2"/>
  <c r="X29" i="2"/>
  <c r="W29" i="2"/>
  <c r="V29" i="2"/>
  <c r="U29" i="2"/>
  <c r="T29" i="2"/>
  <c r="S29" i="2"/>
  <c r="R29" i="2"/>
  <c r="Q29" i="2"/>
  <c r="P29" i="2"/>
  <c r="M29" i="2"/>
  <c r="L29" i="2"/>
  <c r="K29" i="2"/>
  <c r="H29" i="2"/>
  <c r="G29" i="2"/>
  <c r="F29" i="2"/>
  <c r="E29" i="2"/>
  <c r="D29" i="2"/>
  <c r="C29" i="2"/>
  <c r="A29" i="2"/>
  <c r="IV28" i="2"/>
  <c r="IU28" i="2"/>
  <c r="IT28" i="2"/>
  <c r="IS28" i="2"/>
  <c r="IW28" i="2" s="1"/>
  <c r="IR28" i="2"/>
  <c r="IG28" i="2"/>
  <c r="IF28" i="2"/>
  <c r="IE28" i="2"/>
  <c r="ID28" i="2"/>
  <c r="IH28" i="2" s="1"/>
  <c r="IC28" i="2"/>
  <c r="HS28" i="2"/>
  <c r="HR28" i="2"/>
  <c r="HQ28" i="2"/>
  <c r="HP28" i="2"/>
  <c r="HO28" i="2"/>
  <c r="HN28" i="2"/>
  <c r="HB28" i="2"/>
  <c r="HA28" i="2"/>
  <c r="GZ28" i="2"/>
  <c r="HC28" i="2" s="1"/>
  <c r="GY28" i="2"/>
  <c r="GX28" i="2"/>
  <c r="GM28" i="2"/>
  <c r="GL28" i="2"/>
  <c r="GK28" i="2"/>
  <c r="GJ28" i="2"/>
  <c r="GN28" i="2" s="1"/>
  <c r="GI28" i="2"/>
  <c r="FX28" i="2"/>
  <c r="FW28" i="2"/>
  <c r="FV28" i="2"/>
  <c r="FU28" i="2"/>
  <c r="FY28" i="2" s="1"/>
  <c r="FT28" i="2"/>
  <c r="FI28" i="2"/>
  <c r="FH28" i="2"/>
  <c r="FG28" i="2"/>
  <c r="FF28" i="2"/>
  <c r="FE28" i="2"/>
  <c r="FD28" i="2"/>
  <c r="ES28" i="2"/>
  <c r="ER28" i="2"/>
  <c r="EQ28" i="2"/>
  <c r="ET28" i="2" s="1"/>
  <c r="EP28" i="2"/>
  <c r="EO28" i="2"/>
  <c r="ED28" i="2"/>
  <c r="EC28" i="2"/>
  <c r="EB28" i="2"/>
  <c r="EA28" i="2"/>
  <c r="EE28" i="2" s="1"/>
  <c r="DZ28" i="2"/>
  <c r="DN28" i="2"/>
  <c r="DM28" i="2"/>
  <c r="DL28" i="2"/>
  <c r="DK28" i="2"/>
  <c r="DO28" i="2" s="1"/>
  <c r="DJ28" i="2"/>
  <c r="CZ28" i="2"/>
  <c r="CY28" i="2"/>
  <c r="CX28" i="2"/>
  <c r="CW28" i="2"/>
  <c r="CV28" i="2"/>
  <c r="CU28" i="2"/>
  <c r="CJ28" i="2"/>
  <c r="CI28" i="2"/>
  <c r="CH28" i="2"/>
  <c r="CK28" i="2" s="1"/>
  <c r="CG28" i="2"/>
  <c r="CF28" i="2"/>
  <c r="CE28" i="2"/>
  <c r="BH28" i="2"/>
  <c r="BG28" i="2"/>
  <c r="AY28" i="2"/>
  <c r="AX28" i="2"/>
  <c r="AV28" i="2"/>
  <c r="AU28" i="2"/>
  <c r="AT28" i="2"/>
  <c r="AS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X28" i="2"/>
  <c r="W28" i="2"/>
  <c r="V28" i="2"/>
  <c r="U28" i="2"/>
  <c r="T28" i="2"/>
  <c r="S28" i="2"/>
  <c r="R28" i="2"/>
  <c r="Q28" i="2"/>
  <c r="P28" i="2"/>
  <c r="M28" i="2"/>
  <c r="L28" i="2"/>
  <c r="K28" i="2"/>
  <c r="H28" i="2"/>
  <c r="G28" i="2"/>
  <c r="F28" i="2"/>
  <c r="E28" i="2"/>
  <c r="D28" i="2"/>
  <c r="C28" i="2"/>
  <c r="A28" i="2"/>
  <c r="IW27" i="2"/>
  <c r="IV27" i="2"/>
  <c r="IU27" i="2"/>
  <c r="IT27" i="2"/>
  <c r="IS27" i="2"/>
  <c r="IR27" i="2"/>
  <c r="IG27" i="2"/>
  <c r="IF27" i="2"/>
  <c r="IE27" i="2"/>
  <c r="ID27" i="2"/>
  <c r="IH27" i="2" s="1"/>
  <c r="IC27" i="2"/>
  <c r="HR27" i="2"/>
  <c r="HQ27" i="2"/>
  <c r="HP27" i="2"/>
  <c r="HO27" i="2"/>
  <c r="HS27" i="2" s="1"/>
  <c r="HN27" i="2"/>
  <c r="HB27" i="2"/>
  <c r="HA27" i="2"/>
  <c r="HC27" i="2" s="1"/>
  <c r="GZ27" i="2"/>
  <c r="GY27" i="2"/>
  <c r="GX27" i="2"/>
  <c r="GM27" i="2"/>
  <c r="GL27" i="2"/>
  <c r="GK27" i="2"/>
  <c r="GN27" i="2" s="1"/>
  <c r="GJ27" i="2"/>
  <c r="GI27" i="2"/>
  <c r="FX27" i="2"/>
  <c r="FW27" i="2"/>
  <c r="FV27" i="2"/>
  <c r="FU27" i="2"/>
  <c r="FY27" i="2" s="1"/>
  <c r="FT27" i="2"/>
  <c r="FH27" i="2"/>
  <c r="FG27" i="2"/>
  <c r="FF27" i="2"/>
  <c r="FE27" i="2"/>
  <c r="FI27" i="2" s="1"/>
  <c r="FD27" i="2"/>
  <c r="ES27" i="2"/>
  <c r="ER27" i="2"/>
  <c r="ET27" i="2" s="1"/>
  <c r="EQ27" i="2"/>
  <c r="EP27" i="2"/>
  <c r="EO27" i="2"/>
  <c r="ED27" i="2"/>
  <c r="EC27" i="2"/>
  <c r="EB27" i="2"/>
  <c r="EE27" i="2" s="1"/>
  <c r="EA27" i="2"/>
  <c r="DZ27" i="2"/>
  <c r="DN27" i="2"/>
  <c r="DM27" i="2"/>
  <c r="DL27" i="2"/>
  <c r="DK27" i="2"/>
  <c r="DO27" i="2" s="1"/>
  <c r="DJ27" i="2"/>
  <c r="CY27" i="2"/>
  <c r="CX27" i="2"/>
  <c r="CW27" i="2"/>
  <c r="CV27" i="2"/>
  <c r="CZ27" i="2" s="1"/>
  <c r="CU27" i="2"/>
  <c r="CJ27" i="2"/>
  <c r="CI27" i="2"/>
  <c r="CH27" i="2"/>
  <c r="CK27" i="2" s="1"/>
  <c r="CG27" i="2"/>
  <c r="CF27" i="2"/>
  <c r="BH27" i="2"/>
  <c r="BG27" i="2"/>
  <c r="AY27" i="2"/>
  <c r="AX27" i="2"/>
  <c r="AV27" i="2"/>
  <c r="AU27" i="2"/>
  <c r="AT27" i="2"/>
  <c r="AS27" i="2"/>
  <c r="AP27" i="2"/>
  <c r="AN27" i="2"/>
  <c r="AO27" i="2" s="1"/>
  <c r="AM27" i="2"/>
  <c r="AL27" i="2"/>
  <c r="AK27" i="2"/>
  <c r="AJ27" i="2"/>
  <c r="CE27" i="2" s="1"/>
  <c r="AI27" i="2"/>
  <c r="AH27" i="2"/>
  <c r="AG27" i="2"/>
  <c r="AF27" i="2"/>
  <c r="AE27" i="2"/>
  <c r="AD27" i="2"/>
  <c r="AC27" i="2"/>
  <c r="AB27" i="2"/>
  <c r="AA27" i="2"/>
  <c r="Z27" i="2"/>
  <c r="X27" i="2"/>
  <c r="W27" i="2"/>
  <c r="V27" i="2"/>
  <c r="U27" i="2"/>
  <c r="T27" i="2"/>
  <c r="S27" i="2"/>
  <c r="R27" i="2"/>
  <c r="Q27" i="2"/>
  <c r="P27" i="2"/>
  <c r="M27" i="2"/>
  <c r="L27" i="2"/>
  <c r="K27" i="2"/>
  <c r="H27" i="2"/>
  <c r="G27" i="2"/>
  <c r="F27" i="2"/>
  <c r="E27" i="2"/>
  <c r="D27" i="2"/>
  <c r="C27" i="2"/>
  <c r="A27" i="2"/>
  <c r="IV26" i="2"/>
  <c r="IU26" i="2"/>
  <c r="IT26" i="2"/>
  <c r="IW26" i="2" s="1"/>
  <c r="IS26" i="2"/>
  <c r="IR26" i="2"/>
  <c r="IG26" i="2"/>
  <c r="IF26" i="2"/>
  <c r="IE26" i="2"/>
  <c r="ID26" i="2"/>
  <c r="IH26" i="2" s="1"/>
  <c r="IC26" i="2"/>
  <c r="HR26" i="2"/>
  <c r="HQ26" i="2"/>
  <c r="HP26" i="2"/>
  <c r="HO26" i="2"/>
  <c r="HS26" i="2" s="1"/>
  <c r="HN26" i="2"/>
  <c r="HC26" i="2"/>
  <c r="HB26" i="2"/>
  <c r="HA26" i="2"/>
  <c r="GZ26" i="2"/>
  <c r="GY26" i="2"/>
  <c r="GX26" i="2"/>
  <c r="GM26" i="2"/>
  <c r="GL26" i="2"/>
  <c r="GK26" i="2"/>
  <c r="GN26" i="2" s="1"/>
  <c r="GJ26" i="2"/>
  <c r="GI26" i="2"/>
  <c r="FX26" i="2"/>
  <c r="FW26" i="2"/>
  <c r="FV26" i="2"/>
  <c r="FU26" i="2"/>
  <c r="FY26" i="2" s="1"/>
  <c r="FT26" i="2"/>
  <c r="FH26" i="2"/>
  <c r="FG26" i="2"/>
  <c r="FF26" i="2"/>
  <c r="FE26" i="2"/>
  <c r="FI26" i="2" s="1"/>
  <c r="FD26" i="2"/>
  <c r="ET26" i="2"/>
  <c r="ES26" i="2"/>
  <c r="ER26" i="2"/>
  <c r="EQ26" i="2"/>
  <c r="EP26" i="2"/>
  <c r="EO26" i="2"/>
  <c r="ED26" i="2"/>
  <c r="EC26" i="2"/>
  <c r="EB26" i="2"/>
  <c r="EE26" i="2" s="1"/>
  <c r="EA26" i="2"/>
  <c r="DZ26" i="2"/>
  <c r="DN26" i="2"/>
  <c r="DM26" i="2"/>
  <c r="DL26" i="2"/>
  <c r="DK26" i="2"/>
  <c r="DO26" i="2" s="1"/>
  <c r="DJ26" i="2"/>
  <c r="CY26" i="2"/>
  <c r="CX26" i="2"/>
  <c r="CW26" i="2"/>
  <c r="CV26" i="2"/>
  <c r="CZ26" i="2" s="1"/>
  <c r="CU26" i="2"/>
  <c r="CK26" i="2"/>
  <c r="CJ26" i="2"/>
  <c r="CI26" i="2"/>
  <c r="CH26" i="2"/>
  <c r="CG26" i="2"/>
  <c r="CF26" i="2"/>
  <c r="BH26" i="2"/>
  <c r="BG26" i="2"/>
  <c r="AY26" i="2"/>
  <c r="AX26" i="2"/>
  <c r="AV26" i="2"/>
  <c r="AU26" i="2"/>
  <c r="AT26" i="2"/>
  <c r="AS26" i="2"/>
  <c r="AP26" i="2"/>
  <c r="AO26" i="2"/>
  <c r="AN26" i="2"/>
  <c r="AM26" i="2"/>
  <c r="AL26" i="2"/>
  <c r="AK26" i="2"/>
  <c r="AJ26" i="2"/>
  <c r="CE26" i="2" s="1"/>
  <c r="AI26" i="2"/>
  <c r="AH26" i="2"/>
  <c r="AG26" i="2"/>
  <c r="AF26" i="2"/>
  <c r="AE26" i="2"/>
  <c r="AD26" i="2"/>
  <c r="AC26" i="2"/>
  <c r="AB26" i="2"/>
  <c r="AA26" i="2"/>
  <c r="Z26" i="2"/>
  <c r="X26" i="2"/>
  <c r="W26" i="2"/>
  <c r="V26" i="2"/>
  <c r="U26" i="2"/>
  <c r="T26" i="2"/>
  <c r="S26" i="2"/>
  <c r="R26" i="2"/>
  <c r="Q26" i="2"/>
  <c r="P26" i="2"/>
  <c r="M26" i="2"/>
  <c r="L26" i="2"/>
  <c r="K26" i="2"/>
  <c r="H26" i="2"/>
  <c r="G26" i="2"/>
  <c r="F26" i="2"/>
  <c r="E26" i="2"/>
  <c r="D26" i="2"/>
  <c r="C26" i="2"/>
  <c r="A26" i="2"/>
  <c r="IV25" i="2"/>
  <c r="IU25" i="2"/>
  <c r="IW25" i="2" s="1"/>
  <c r="IT25" i="2"/>
  <c r="IS25" i="2"/>
  <c r="IR25" i="2"/>
  <c r="IH25" i="2"/>
  <c r="IG25" i="2"/>
  <c r="IF25" i="2"/>
  <c r="IE25" i="2"/>
  <c r="ID25" i="2"/>
  <c r="IC25" i="2"/>
  <c r="HR25" i="2"/>
  <c r="HQ25" i="2"/>
  <c r="HP25" i="2"/>
  <c r="HO25" i="2"/>
  <c r="HS25" i="2" s="1"/>
  <c r="HN25" i="2"/>
  <c r="HB25" i="2"/>
  <c r="HA25" i="2"/>
  <c r="GZ25" i="2"/>
  <c r="GY25" i="2"/>
  <c r="HC25" i="2" s="1"/>
  <c r="GX25" i="2"/>
  <c r="GM25" i="2"/>
  <c r="GL25" i="2"/>
  <c r="GN25" i="2" s="1"/>
  <c r="GK25" i="2"/>
  <c r="GJ25" i="2"/>
  <c r="GI25" i="2"/>
  <c r="FX25" i="2"/>
  <c r="FW25" i="2"/>
  <c r="FV25" i="2"/>
  <c r="FY25" i="2" s="1"/>
  <c r="FU25" i="2"/>
  <c r="FT25" i="2"/>
  <c r="FH25" i="2"/>
  <c r="FG25" i="2"/>
  <c r="FF25" i="2"/>
  <c r="FE25" i="2"/>
  <c r="FI25" i="2" s="1"/>
  <c r="FD25" i="2"/>
  <c r="ES25" i="2"/>
  <c r="ER25" i="2"/>
  <c r="EQ25" i="2"/>
  <c r="EP25" i="2"/>
  <c r="ET25" i="2" s="1"/>
  <c r="EO25" i="2"/>
  <c r="ED25" i="2"/>
  <c r="EC25" i="2"/>
  <c r="EE25" i="2" s="1"/>
  <c r="EB25" i="2"/>
  <c r="EA25" i="2"/>
  <c r="DZ25" i="2"/>
  <c r="DN25" i="2"/>
  <c r="DM25" i="2"/>
  <c r="DL25" i="2"/>
  <c r="DO25" i="2" s="1"/>
  <c r="DK25" i="2"/>
  <c r="DJ25" i="2"/>
  <c r="CY25" i="2"/>
  <c r="CX25" i="2"/>
  <c r="CW25" i="2"/>
  <c r="CV25" i="2"/>
  <c r="CZ25" i="2" s="1"/>
  <c r="CU25" i="2"/>
  <c r="CJ25" i="2"/>
  <c r="CI25" i="2"/>
  <c r="CH25" i="2"/>
  <c r="CG25" i="2"/>
  <c r="CK25" i="2" s="1"/>
  <c r="CF25" i="2"/>
  <c r="BH25" i="2"/>
  <c r="BG25" i="2"/>
  <c r="AY25" i="2"/>
  <c r="AX25" i="2"/>
  <c r="AV25" i="2"/>
  <c r="AU25" i="2"/>
  <c r="AT25" i="2"/>
  <c r="AS25" i="2"/>
  <c r="AP25" i="2"/>
  <c r="AO25" i="2"/>
  <c r="AN25" i="2"/>
  <c r="AM25" i="2"/>
  <c r="AL25" i="2"/>
  <c r="AK25" i="2"/>
  <c r="AJ25" i="2"/>
  <c r="CE25" i="2" s="1"/>
  <c r="AI25" i="2"/>
  <c r="AH25" i="2"/>
  <c r="AG25" i="2"/>
  <c r="AF25" i="2"/>
  <c r="AE25" i="2"/>
  <c r="AD25" i="2"/>
  <c r="AC25" i="2"/>
  <c r="AB25" i="2"/>
  <c r="AA25" i="2"/>
  <c r="Z25" i="2"/>
  <c r="X25" i="2"/>
  <c r="W25" i="2"/>
  <c r="V25" i="2"/>
  <c r="U25" i="2"/>
  <c r="T25" i="2"/>
  <c r="S25" i="2"/>
  <c r="R25" i="2"/>
  <c r="Q25" i="2"/>
  <c r="P25" i="2"/>
  <c r="M25" i="2"/>
  <c r="L25" i="2"/>
  <c r="K25" i="2"/>
  <c r="H25" i="2"/>
  <c r="G25" i="2"/>
  <c r="F25" i="2"/>
  <c r="E25" i="2"/>
  <c r="D25" i="2"/>
  <c r="C25" i="2"/>
  <c r="A25" i="2"/>
  <c r="IW24" i="2"/>
  <c r="IV24" i="2"/>
  <c r="IU24" i="2"/>
  <c r="IT24" i="2"/>
  <c r="IS24" i="2"/>
  <c r="IR24" i="2"/>
  <c r="IG24" i="2"/>
  <c r="IF24" i="2"/>
  <c r="IE24" i="2"/>
  <c r="ID24" i="2"/>
  <c r="IH24" i="2" s="1"/>
  <c r="IC24" i="2"/>
  <c r="HR24" i="2"/>
  <c r="HQ24" i="2"/>
  <c r="HP24" i="2"/>
  <c r="HO24" i="2"/>
  <c r="HS24" i="2" s="1"/>
  <c r="HN24" i="2"/>
  <c r="HB24" i="2"/>
  <c r="HA24" i="2"/>
  <c r="GZ24" i="2"/>
  <c r="HC24" i="2" s="1"/>
  <c r="GY24" i="2"/>
  <c r="GX24" i="2"/>
  <c r="GN24" i="2"/>
  <c r="GM24" i="2"/>
  <c r="GL24" i="2"/>
  <c r="GK24" i="2"/>
  <c r="GJ24" i="2"/>
  <c r="GI24" i="2"/>
  <c r="FX24" i="2"/>
  <c r="FW24" i="2"/>
  <c r="FV24" i="2"/>
  <c r="FU24" i="2"/>
  <c r="FY24" i="2" s="1"/>
  <c r="FT24" i="2"/>
  <c r="FH24" i="2"/>
  <c r="FG24" i="2"/>
  <c r="FF24" i="2"/>
  <c r="FE24" i="2"/>
  <c r="FI24" i="2" s="1"/>
  <c r="FD24" i="2"/>
  <c r="ES24" i="2"/>
  <c r="ER24" i="2"/>
  <c r="EQ24" i="2"/>
  <c r="ET24" i="2" s="1"/>
  <c r="EP24" i="2"/>
  <c r="EO24" i="2"/>
  <c r="EE24" i="2"/>
  <c r="ED24" i="2"/>
  <c r="EC24" i="2"/>
  <c r="EB24" i="2"/>
  <c r="EA24" i="2"/>
  <c r="DZ24" i="2"/>
  <c r="DN24" i="2"/>
  <c r="DM24" i="2"/>
  <c r="DL24" i="2"/>
  <c r="DK24" i="2"/>
  <c r="DO24" i="2" s="1"/>
  <c r="DJ24" i="2"/>
  <c r="CY24" i="2"/>
  <c r="CX24" i="2"/>
  <c r="CW24" i="2"/>
  <c r="CV24" i="2"/>
  <c r="CZ24" i="2" s="1"/>
  <c r="CU24" i="2"/>
  <c r="CJ24" i="2"/>
  <c r="CI24" i="2"/>
  <c r="CH24" i="2"/>
  <c r="CK24" i="2" s="1"/>
  <c r="CG24" i="2"/>
  <c r="CF24" i="2"/>
  <c r="CE24" i="2"/>
  <c r="BH24" i="2"/>
  <c r="BG24" i="2"/>
  <c r="AY24" i="2"/>
  <c r="AX24" i="2"/>
  <c r="AV24" i="2"/>
  <c r="AU24" i="2"/>
  <c r="AT24" i="2"/>
  <c r="AS24" i="2"/>
  <c r="AP24" i="2"/>
  <c r="AN24" i="2"/>
  <c r="AO24" i="2" s="1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X24" i="2"/>
  <c r="W24" i="2"/>
  <c r="V24" i="2"/>
  <c r="U24" i="2"/>
  <c r="T24" i="2"/>
  <c r="S24" i="2"/>
  <c r="R24" i="2"/>
  <c r="Q24" i="2"/>
  <c r="P24" i="2"/>
  <c r="M24" i="2"/>
  <c r="L24" i="2"/>
  <c r="K24" i="2"/>
  <c r="H24" i="2"/>
  <c r="G24" i="2"/>
  <c r="F24" i="2"/>
  <c r="E24" i="2"/>
  <c r="D24" i="2"/>
  <c r="C24" i="2"/>
  <c r="A24" i="2"/>
  <c r="IV23" i="2"/>
  <c r="IU23" i="2"/>
  <c r="IT23" i="2"/>
  <c r="IS23" i="2"/>
  <c r="IW23" i="2" s="1"/>
  <c r="IR23" i="2"/>
  <c r="IG23" i="2"/>
  <c r="IF23" i="2"/>
  <c r="IH23" i="2" s="1"/>
  <c r="IE23" i="2"/>
  <c r="ID23" i="2"/>
  <c r="IC23" i="2"/>
  <c r="HS23" i="2"/>
  <c r="HR23" i="2"/>
  <c r="HQ23" i="2"/>
  <c r="HP23" i="2"/>
  <c r="HO23" i="2"/>
  <c r="HN23" i="2"/>
  <c r="HB23" i="2"/>
  <c r="HA23" i="2"/>
  <c r="GZ23" i="2"/>
  <c r="GY23" i="2"/>
  <c r="HC23" i="2" s="1"/>
  <c r="GX23" i="2"/>
  <c r="GM23" i="2"/>
  <c r="GL23" i="2"/>
  <c r="GK23" i="2"/>
  <c r="GJ23" i="2"/>
  <c r="GN23" i="2" s="1"/>
  <c r="GI23" i="2"/>
  <c r="FX23" i="2"/>
  <c r="FW23" i="2"/>
  <c r="FY23" i="2" s="1"/>
  <c r="FV23" i="2"/>
  <c r="FU23" i="2"/>
  <c r="FT23" i="2"/>
  <c r="FH23" i="2"/>
  <c r="FG23" i="2"/>
  <c r="FF23" i="2"/>
  <c r="FI23" i="2" s="1"/>
  <c r="FE23" i="2"/>
  <c r="FD23" i="2"/>
  <c r="ES23" i="2"/>
  <c r="ER23" i="2"/>
  <c r="EQ23" i="2"/>
  <c r="EP23" i="2"/>
  <c r="ET23" i="2" s="1"/>
  <c r="EO23" i="2"/>
  <c r="ED23" i="2"/>
  <c r="EC23" i="2"/>
  <c r="EB23" i="2"/>
  <c r="EA23" i="2"/>
  <c r="EE23" i="2" s="1"/>
  <c r="DZ23" i="2"/>
  <c r="DN23" i="2"/>
  <c r="DM23" i="2"/>
  <c r="DO23" i="2" s="1"/>
  <c r="DL23" i="2"/>
  <c r="DK23" i="2"/>
  <c r="DJ23" i="2"/>
  <c r="CY23" i="2"/>
  <c r="CX23" i="2"/>
  <c r="CW23" i="2"/>
  <c r="CZ23" i="2" s="1"/>
  <c r="CV23" i="2"/>
  <c r="CU23" i="2"/>
  <c r="CJ23" i="2"/>
  <c r="CI23" i="2"/>
  <c r="CH23" i="2"/>
  <c r="CG23" i="2"/>
  <c r="CK23" i="2" s="1"/>
  <c r="CF23" i="2"/>
  <c r="BH23" i="2"/>
  <c r="BG23" i="2"/>
  <c r="AY23" i="2"/>
  <c r="AX23" i="2"/>
  <c r="AV23" i="2"/>
  <c r="AU23" i="2"/>
  <c r="AT23" i="2"/>
  <c r="AS23" i="2"/>
  <c r="AP23" i="2"/>
  <c r="AN23" i="2"/>
  <c r="AO23" i="2" s="1"/>
  <c r="AM23" i="2"/>
  <c r="AL23" i="2"/>
  <c r="AK23" i="2"/>
  <c r="AJ23" i="2"/>
  <c r="CE23" i="2" s="1"/>
  <c r="AI23" i="2"/>
  <c r="AH23" i="2"/>
  <c r="AG23" i="2"/>
  <c r="AF23" i="2"/>
  <c r="AE23" i="2"/>
  <c r="AD23" i="2"/>
  <c r="AC23" i="2"/>
  <c r="AB23" i="2"/>
  <c r="AA23" i="2"/>
  <c r="Z23" i="2"/>
  <c r="X23" i="2"/>
  <c r="W23" i="2"/>
  <c r="V23" i="2"/>
  <c r="U23" i="2"/>
  <c r="T23" i="2"/>
  <c r="S23" i="2"/>
  <c r="R23" i="2"/>
  <c r="Q23" i="2"/>
  <c r="P23" i="2"/>
  <c r="M23" i="2"/>
  <c r="L23" i="2"/>
  <c r="K23" i="2"/>
  <c r="H23" i="2"/>
  <c r="G23" i="2"/>
  <c r="F23" i="2"/>
  <c r="E23" i="2"/>
  <c r="D23" i="2"/>
  <c r="C23" i="2"/>
  <c r="A23" i="2"/>
  <c r="IV22" i="2"/>
  <c r="IU22" i="2"/>
  <c r="IT22" i="2"/>
  <c r="IW22" i="2" s="1"/>
  <c r="IS22" i="2"/>
  <c r="IR22" i="2"/>
  <c r="IH22" i="2"/>
  <c r="IG22" i="2"/>
  <c r="IF22" i="2"/>
  <c r="IE22" i="2"/>
  <c r="ID22" i="2"/>
  <c r="IC22" i="2"/>
  <c r="HR22" i="2"/>
  <c r="HQ22" i="2"/>
  <c r="HP22" i="2"/>
  <c r="HO22" i="2"/>
  <c r="HS22" i="2" s="1"/>
  <c r="HN22" i="2"/>
  <c r="HB22" i="2"/>
  <c r="HA22" i="2"/>
  <c r="GZ22" i="2"/>
  <c r="GY22" i="2"/>
  <c r="HC22" i="2" s="1"/>
  <c r="GX22" i="2"/>
  <c r="GM22" i="2"/>
  <c r="GL22" i="2"/>
  <c r="GK22" i="2"/>
  <c r="GN22" i="2" s="1"/>
  <c r="GJ22" i="2"/>
  <c r="GI22" i="2"/>
  <c r="FY22" i="2"/>
  <c r="FX22" i="2"/>
  <c r="FW22" i="2"/>
  <c r="FV22" i="2"/>
  <c r="FU22" i="2"/>
  <c r="FT22" i="2"/>
  <c r="FH22" i="2"/>
  <c r="FG22" i="2"/>
  <c r="FF22" i="2"/>
  <c r="FE22" i="2"/>
  <c r="FI22" i="2" s="1"/>
  <c r="FD22" i="2"/>
  <c r="ES22" i="2"/>
  <c r="ER22" i="2"/>
  <c r="EQ22" i="2"/>
  <c r="EP22" i="2"/>
  <c r="ET22" i="2" s="1"/>
  <c r="EO22" i="2"/>
  <c r="ED22" i="2"/>
  <c r="EC22" i="2"/>
  <c r="EB22" i="2"/>
  <c r="EE22" i="2" s="1"/>
  <c r="EA22" i="2"/>
  <c r="DZ22" i="2"/>
  <c r="DO22" i="2"/>
  <c r="DN22" i="2"/>
  <c r="DM22" i="2"/>
  <c r="DL22" i="2"/>
  <c r="DK22" i="2"/>
  <c r="DJ22" i="2"/>
  <c r="CY22" i="2"/>
  <c r="CX22" i="2"/>
  <c r="CW22" i="2"/>
  <c r="CV22" i="2"/>
  <c r="CZ22" i="2" s="1"/>
  <c r="CU22" i="2"/>
  <c r="CJ22" i="2"/>
  <c r="CI22" i="2"/>
  <c r="CH22" i="2"/>
  <c r="CG22" i="2"/>
  <c r="CK22" i="2" s="1"/>
  <c r="CF22" i="2"/>
  <c r="BH22" i="2"/>
  <c r="BG22" i="2"/>
  <c r="AY22" i="2"/>
  <c r="AX22" i="2"/>
  <c r="AV22" i="2"/>
  <c r="AU22" i="2"/>
  <c r="AT22" i="2"/>
  <c r="AS22" i="2"/>
  <c r="AP22" i="2"/>
  <c r="AN22" i="2"/>
  <c r="AO22" i="2" s="1"/>
  <c r="AM22" i="2"/>
  <c r="AL22" i="2"/>
  <c r="AK22" i="2"/>
  <c r="AJ22" i="2"/>
  <c r="CE22" i="2" s="1"/>
  <c r="AI22" i="2"/>
  <c r="AH22" i="2"/>
  <c r="AG22" i="2"/>
  <c r="AF22" i="2"/>
  <c r="AE22" i="2"/>
  <c r="AD22" i="2"/>
  <c r="AC22" i="2"/>
  <c r="AB22" i="2"/>
  <c r="AA22" i="2"/>
  <c r="Z22" i="2"/>
  <c r="X22" i="2"/>
  <c r="W22" i="2"/>
  <c r="V22" i="2"/>
  <c r="U22" i="2"/>
  <c r="T22" i="2"/>
  <c r="S22" i="2"/>
  <c r="R22" i="2"/>
  <c r="Q22" i="2"/>
  <c r="P22" i="2"/>
  <c r="M22" i="2"/>
  <c r="L22" i="2"/>
  <c r="K22" i="2"/>
  <c r="H22" i="2"/>
  <c r="G22" i="2"/>
  <c r="F22" i="2"/>
  <c r="E22" i="2"/>
  <c r="D22" i="2"/>
  <c r="C22" i="2"/>
  <c r="A22" i="2"/>
  <c r="IV21" i="2"/>
  <c r="IU21" i="2"/>
  <c r="IT21" i="2"/>
  <c r="IS21" i="2"/>
  <c r="IW21" i="2" s="1"/>
  <c r="IR21" i="2"/>
  <c r="IG21" i="2"/>
  <c r="IF21" i="2"/>
  <c r="IE21" i="2"/>
  <c r="ID21" i="2"/>
  <c r="IH21" i="2" s="1"/>
  <c r="IC21" i="2"/>
  <c r="HR21" i="2"/>
  <c r="HQ21" i="2"/>
  <c r="HS21" i="2" s="1"/>
  <c r="HP21" i="2"/>
  <c r="HO21" i="2"/>
  <c r="HN21" i="2"/>
  <c r="HB21" i="2"/>
  <c r="HA21" i="2"/>
  <c r="GZ21" i="2"/>
  <c r="HC21" i="2" s="1"/>
  <c r="GY21" i="2"/>
  <c r="GX21" i="2"/>
  <c r="GM21" i="2"/>
  <c r="GL21" i="2"/>
  <c r="GK21" i="2"/>
  <c r="GJ21" i="2"/>
  <c r="GN21" i="2" s="1"/>
  <c r="GI21" i="2"/>
  <c r="FX21" i="2"/>
  <c r="FW21" i="2"/>
  <c r="FV21" i="2"/>
  <c r="FU21" i="2"/>
  <c r="FY21" i="2" s="1"/>
  <c r="FT21" i="2"/>
  <c r="FH21" i="2"/>
  <c r="FG21" i="2"/>
  <c r="FI21" i="2" s="1"/>
  <c r="FF21" i="2"/>
  <c r="FE21" i="2"/>
  <c r="FD21" i="2"/>
  <c r="ES21" i="2"/>
  <c r="ER21" i="2"/>
  <c r="EQ21" i="2"/>
  <c r="ET21" i="2" s="1"/>
  <c r="EP21" i="2"/>
  <c r="EO21" i="2"/>
  <c r="ED21" i="2"/>
  <c r="EC21" i="2"/>
  <c r="EB21" i="2"/>
  <c r="EA21" i="2"/>
  <c r="DZ21" i="2"/>
  <c r="DN21" i="2"/>
  <c r="DM21" i="2"/>
  <c r="DL21" i="2"/>
  <c r="DK21" i="2"/>
  <c r="DO21" i="2" s="1"/>
  <c r="DJ21" i="2"/>
  <c r="CY21" i="2"/>
  <c r="CX21" i="2"/>
  <c r="CW21" i="2"/>
  <c r="CV21" i="2"/>
  <c r="CU21" i="2"/>
  <c r="CJ21" i="2"/>
  <c r="CI21" i="2"/>
  <c r="CH21" i="2"/>
  <c r="CK21" i="2" s="1"/>
  <c r="CG21" i="2"/>
  <c r="CF21" i="2"/>
  <c r="BH21" i="2"/>
  <c r="BG21" i="2"/>
  <c r="AY21" i="2"/>
  <c r="AX21" i="2"/>
  <c r="AV21" i="2"/>
  <c r="AU21" i="2"/>
  <c r="AT21" i="2"/>
  <c r="AS21" i="2"/>
  <c r="AP21" i="2"/>
  <c r="AO21" i="2"/>
  <c r="AN21" i="2"/>
  <c r="AM21" i="2"/>
  <c r="AL21" i="2"/>
  <c r="AK21" i="2"/>
  <c r="AJ21" i="2"/>
  <c r="CE21" i="2" s="1"/>
  <c r="AI21" i="2"/>
  <c r="AH21" i="2"/>
  <c r="AG21" i="2"/>
  <c r="AF21" i="2"/>
  <c r="AE21" i="2"/>
  <c r="AD21" i="2"/>
  <c r="AC21" i="2"/>
  <c r="AB21" i="2"/>
  <c r="AA21" i="2"/>
  <c r="Z21" i="2"/>
  <c r="X21" i="2"/>
  <c r="W21" i="2"/>
  <c r="V21" i="2"/>
  <c r="U21" i="2"/>
  <c r="T21" i="2"/>
  <c r="S21" i="2"/>
  <c r="R21" i="2"/>
  <c r="Q21" i="2"/>
  <c r="P21" i="2"/>
  <c r="M21" i="2"/>
  <c r="L21" i="2"/>
  <c r="K21" i="2"/>
  <c r="H21" i="2"/>
  <c r="G21" i="2"/>
  <c r="F21" i="2"/>
  <c r="E21" i="2"/>
  <c r="D21" i="2"/>
  <c r="C21" i="2"/>
  <c r="A21" i="2"/>
  <c r="IW20" i="2"/>
  <c r="IV20" i="2"/>
  <c r="IU20" i="2"/>
  <c r="IT20" i="2"/>
  <c r="IS20" i="2"/>
  <c r="IR20" i="2"/>
  <c r="IG20" i="2"/>
  <c r="IF20" i="2"/>
  <c r="IE20" i="2"/>
  <c r="IH20" i="2" s="1"/>
  <c r="ID20" i="2"/>
  <c r="IC20" i="2"/>
  <c r="HR20" i="2"/>
  <c r="HQ20" i="2"/>
  <c r="HP20" i="2"/>
  <c r="HO20" i="2"/>
  <c r="HS20" i="2" s="1"/>
  <c r="HN20" i="2"/>
  <c r="HB20" i="2"/>
  <c r="HA20" i="2"/>
  <c r="GZ20" i="2"/>
  <c r="GY20" i="2"/>
  <c r="HC20" i="2" s="1"/>
  <c r="GX20" i="2"/>
  <c r="GN20" i="2"/>
  <c r="GM20" i="2"/>
  <c r="GL20" i="2"/>
  <c r="GK20" i="2"/>
  <c r="GJ20" i="2"/>
  <c r="GI20" i="2"/>
  <c r="FX20" i="2"/>
  <c r="FW20" i="2"/>
  <c r="FV20" i="2"/>
  <c r="FY20" i="2" s="1"/>
  <c r="FU20" i="2"/>
  <c r="FT20" i="2"/>
  <c r="FH20" i="2"/>
  <c r="FG20" i="2"/>
  <c r="FF20" i="2"/>
  <c r="FE20" i="2"/>
  <c r="FI20" i="2" s="1"/>
  <c r="FD20" i="2"/>
  <c r="ES20" i="2"/>
  <c r="ER20" i="2"/>
  <c r="EQ20" i="2"/>
  <c r="EP20" i="2"/>
  <c r="EO20" i="2"/>
  <c r="ED20" i="2"/>
  <c r="EC20" i="2"/>
  <c r="EB20" i="2"/>
  <c r="EA20" i="2"/>
  <c r="EE20" i="2" s="1"/>
  <c r="DZ20" i="2"/>
  <c r="DN20" i="2"/>
  <c r="DM20" i="2"/>
  <c r="DL20" i="2"/>
  <c r="DO20" i="2" s="1"/>
  <c r="DK20" i="2"/>
  <c r="DJ20" i="2"/>
  <c r="CY20" i="2"/>
  <c r="CZ20" i="2" s="1"/>
  <c r="CX20" i="2"/>
  <c r="CW20" i="2"/>
  <c r="CV20" i="2"/>
  <c r="CU20" i="2"/>
  <c r="CJ20" i="2"/>
  <c r="CI20" i="2"/>
  <c r="CH20" i="2"/>
  <c r="CG20" i="2"/>
  <c r="CF20" i="2"/>
  <c r="BH20" i="2"/>
  <c r="BG20" i="2"/>
  <c r="AY20" i="2"/>
  <c r="AX20" i="2"/>
  <c r="AV20" i="2"/>
  <c r="AU20" i="2"/>
  <c r="AT20" i="2"/>
  <c r="AS20" i="2"/>
  <c r="AP20" i="2"/>
  <c r="AO20" i="2"/>
  <c r="AN20" i="2"/>
  <c r="AM20" i="2"/>
  <c r="AL20" i="2"/>
  <c r="AK20" i="2"/>
  <c r="AJ20" i="2"/>
  <c r="CE20" i="2" s="1"/>
  <c r="AI20" i="2"/>
  <c r="AH20" i="2"/>
  <c r="AG20" i="2"/>
  <c r="AF20" i="2"/>
  <c r="AE20" i="2"/>
  <c r="AD20" i="2"/>
  <c r="AC20" i="2"/>
  <c r="AB20" i="2"/>
  <c r="AA20" i="2"/>
  <c r="Z20" i="2"/>
  <c r="X20" i="2"/>
  <c r="W20" i="2"/>
  <c r="V20" i="2"/>
  <c r="U20" i="2"/>
  <c r="T20" i="2"/>
  <c r="S20" i="2"/>
  <c r="R20" i="2"/>
  <c r="Q20" i="2"/>
  <c r="P20" i="2"/>
  <c r="M20" i="2"/>
  <c r="L20" i="2"/>
  <c r="K20" i="2"/>
  <c r="H20" i="2"/>
  <c r="G20" i="2"/>
  <c r="F20" i="2"/>
  <c r="E20" i="2"/>
  <c r="D20" i="2"/>
  <c r="C20" i="2"/>
  <c r="A20" i="2"/>
  <c r="IV19" i="2"/>
  <c r="IU19" i="2"/>
  <c r="IT19" i="2"/>
  <c r="IW19" i="2" s="1"/>
  <c r="IS19" i="2"/>
  <c r="IR19" i="2"/>
  <c r="IG19" i="2"/>
  <c r="IF19" i="2"/>
  <c r="IE19" i="2"/>
  <c r="ID19" i="2"/>
  <c r="IC19" i="2"/>
  <c r="HR19" i="2"/>
  <c r="HQ19" i="2"/>
  <c r="HP19" i="2"/>
  <c r="HO19" i="2"/>
  <c r="HS19" i="2" s="1"/>
  <c r="HN19" i="2"/>
  <c r="HB19" i="2"/>
  <c r="HC19" i="2" s="1"/>
  <c r="HA19" i="2"/>
  <c r="GZ19" i="2"/>
  <c r="GY19" i="2"/>
  <c r="GX19" i="2"/>
  <c r="GM19" i="2"/>
  <c r="GL19" i="2"/>
  <c r="GK19" i="2"/>
  <c r="GN19" i="2" s="1"/>
  <c r="GJ19" i="2"/>
  <c r="GI19" i="2"/>
  <c r="FX19" i="2"/>
  <c r="FW19" i="2"/>
  <c r="FV19" i="2"/>
  <c r="FU19" i="2"/>
  <c r="FT19" i="2"/>
  <c r="FI19" i="2"/>
  <c r="FH19" i="2"/>
  <c r="FG19" i="2"/>
  <c r="FF19" i="2"/>
  <c r="FE19" i="2"/>
  <c r="FD19" i="2"/>
  <c r="ES19" i="2"/>
  <c r="ER19" i="2"/>
  <c r="ET19" i="2" s="1"/>
  <c r="EQ19" i="2"/>
  <c r="EP19" i="2"/>
  <c r="EO19" i="2"/>
  <c r="ED19" i="2"/>
  <c r="EC19" i="2"/>
  <c r="EB19" i="2"/>
  <c r="EA19" i="2"/>
  <c r="EE19" i="2" s="1"/>
  <c r="DZ19" i="2"/>
  <c r="DN19" i="2"/>
  <c r="DM19" i="2"/>
  <c r="DL19" i="2"/>
  <c r="DK19" i="2"/>
  <c r="DO19" i="2" s="1"/>
  <c r="DJ19" i="2"/>
  <c r="CY19" i="2"/>
  <c r="CZ19" i="2" s="1"/>
  <c r="CX19" i="2"/>
  <c r="CW19" i="2"/>
  <c r="CV19" i="2"/>
  <c r="CU19" i="2"/>
  <c r="CJ19" i="2"/>
  <c r="CI19" i="2"/>
  <c r="CH19" i="2"/>
  <c r="CK19" i="2" s="1"/>
  <c r="CG19" i="2"/>
  <c r="CF19" i="2"/>
  <c r="BH19" i="2"/>
  <c r="BG19" i="2"/>
  <c r="AY19" i="2"/>
  <c r="AX19" i="2"/>
  <c r="AV19" i="2"/>
  <c r="AU19" i="2"/>
  <c r="AT19" i="2"/>
  <c r="AS19" i="2"/>
  <c r="AP19" i="2"/>
  <c r="AO19" i="2"/>
  <c r="AN19" i="2"/>
  <c r="AM19" i="2"/>
  <c r="AL19" i="2"/>
  <c r="AK19" i="2"/>
  <c r="AJ19" i="2"/>
  <c r="CE19" i="2" s="1"/>
  <c r="AI19" i="2"/>
  <c r="AH19" i="2"/>
  <c r="AG19" i="2"/>
  <c r="AF19" i="2"/>
  <c r="AE19" i="2"/>
  <c r="AD19" i="2"/>
  <c r="AC19" i="2"/>
  <c r="AB19" i="2"/>
  <c r="AA19" i="2"/>
  <c r="Z19" i="2"/>
  <c r="X19" i="2"/>
  <c r="W19" i="2"/>
  <c r="V19" i="2"/>
  <c r="U19" i="2"/>
  <c r="T19" i="2"/>
  <c r="S19" i="2"/>
  <c r="R19" i="2"/>
  <c r="Q19" i="2"/>
  <c r="P19" i="2"/>
  <c r="M19" i="2"/>
  <c r="L19" i="2"/>
  <c r="K19" i="2"/>
  <c r="H19" i="2"/>
  <c r="G19" i="2"/>
  <c r="F19" i="2"/>
  <c r="E19" i="2"/>
  <c r="D19" i="2"/>
  <c r="C19" i="2"/>
  <c r="A19" i="2"/>
  <c r="IW18" i="2"/>
  <c r="IV18" i="2"/>
  <c r="IU18" i="2"/>
  <c r="IT18" i="2"/>
  <c r="IS18" i="2"/>
  <c r="IR18" i="2"/>
  <c r="IG18" i="2"/>
  <c r="IF18" i="2"/>
  <c r="IH18" i="2" s="1"/>
  <c r="IE18" i="2"/>
  <c r="ID18" i="2"/>
  <c r="IC18" i="2"/>
  <c r="HR18" i="2"/>
  <c r="HQ18" i="2"/>
  <c r="HP18" i="2"/>
  <c r="HO18" i="2"/>
  <c r="HS18" i="2" s="1"/>
  <c r="HN18" i="2"/>
  <c r="HB18" i="2"/>
  <c r="HA18" i="2"/>
  <c r="GZ18" i="2"/>
  <c r="GY18" i="2"/>
  <c r="HC18" i="2" s="1"/>
  <c r="GX18" i="2"/>
  <c r="GN18" i="2"/>
  <c r="GM18" i="2"/>
  <c r="GL18" i="2"/>
  <c r="GK18" i="2"/>
  <c r="GJ18" i="2"/>
  <c r="GI18" i="2"/>
  <c r="FX18" i="2"/>
  <c r="FW18" i="2"/>
  <c r="FY18" i="2" s="1"/>
  <c r="FV18" i="2"/>
  <c r="FU18" i="2"/>
  <c r="FT18" i="2"/>
  <c r="FH18" i="2"/>
  <c r="FG18" i="2"/>
  <c r="FF18" i="2"/>
  <c r="FE18" i="2"/>
  <c r="FI18" i="2" s="1"/>
  <c r="FD18" i="2"/>
  <c r="ES18" i="2"/>
  <c r="ER18" i="2"/>
  <c r="EQ18" i="2"/>
  <c r="EP18" i="2"/>
  <c r="ET18" i="2" s="1"/>
  <c r="EO18" i="2"/>
  <c r="ED18" i="2"/>
  <c r="EC18" i="2"/>
  <c r="EB18" i="2"/>
  <c r="EE18" i="2" s="1"/>
  <c r="EA18" i="2"/>
  <c r="DZ18" i="2"/>
  <c r="DN18" i="2"/>
  <c r="DM18" i="2"/>
  <c r="DO18" i="2" s="1"/>
  <c r="DL18" i="2"/>
  <c r="DK18" i="2"/>
  <c r="DJ18" i="2"/>
  <c r="CY18" i="2"/>
  <c r="CX18" i="2"/>
  <c r="CW18" i="2"/>
  <c r="CV18" i="2"/>
  <c r="CZ18" i="2" s="1"/>
  <c r="CU18" i="2"/>
  <c r="CJ18" i="2"/>
  <c r="CI18" i="2"/>
  <c r="CH18" i="2"/>
  <c r="CG18" i="2"/>
  <c r="CK18" i="2" s="1"/>
  <c r="CF18" i="2"/>
  <c r="BH18" i="2"/>
  <c r="BG18" i="2"/>
  <c r="AY18" i="2"/>
  <c r="AX18" i="2"/>
  <c r="AV18" i="2"/>
  <c r="AU18" i="2"/>
  <c r="AT18" i="2"/>
  <c r="AS18" i="2"/>
  <c r="AP18" i="2"/>
  <c r="AN18" i="2"/>
  <c r="AO18" i="2" s="1"/>
  <c r="AM18" i="2"/>
  <c r="AL18" i="2"/>
  <c r="AK18" i="2"/>
  <c r="AJ18" i="2"/>
  <c r="CE18" i="2" s="1"/>
  <c r="AI18" i="2"/>
  <c r="AH18" i="2"/>
  <c r="AG18" i="2"/>
  <c r="AF18" i="2"/>
  <c r="AE18" i="2"/>
  <c r="AD18" i="2"/>
  <c r="AC18" i="2"/>
  <c r="AB18" i="2"/>
  <c r="AA18" i="2"/>
  <c r="Z18" i="2"/>
  <c r="X18" i="2"/>
  <c r="W18" i="2"/>
  <c r="V18" i="2"/>
  <c r="U18" i="2"/>
  <c r="T18" i="2"/>
  <c r="S18" i="2"/>
  <c r="R18" i="2"/>
  <c r="Q18" i="2"/>
  <c r="P18" i="2"/>
  <c r="M18" i="2"/>
  <c r="L18" i="2"/>
  <c r="K18" i="2"/>
  <c r="H18" i="2"/>
  <c r="G18" i="2"/>
  <c r="F18" i="2"/>
  <c r="E18" i="2"/>
  <c r="D18" i="2"/>
  <c r="C18" i="2"/>
  <c r="A18" i="2"/>
  <c r="IV17" i="2"/>
  <c r="IU17" i="2"/>
  <c r="IW17" i="2" s="1"/>
  <c r="IT17" i="2"/>
  <c r="IS17" i="2"/>
  <c r="IR17" i="2"/>
  <c r="IG17" i="2"/>
  <c r="IF17" i="2"/>
  <c r="IE17" i="2"/>
  <c r="ID17" i="2"/>
  <c r="IH17" i="2" s="1"/>
  <c r="IC17" i="2"/>
  <c r="HR17" i="2"/>
  <c r="HQ17" i="2"/>
  <c r="HP17" i="2"/>
  <c r="HO17" i="2"/>
  <c r="HN17" i="2"/>
  <c r="HB17" i="2"/>
  <c r="HA17" i="2"/>
  <c r="GZ17" i="2"/>
  <c r="GY17" i="2"/>
  <c r="HC17" i="2" s="1"/>
  <c r="GX17" i="2"/>
  <c r="GM17" i="2"/>
  <c r="GL17" i="2"/>
  <c r="GK17" i="2"/>
  <c r="GN17" i="2" s="1"/>
  <c r="GJ17" i="2"/>
  <c r="GI17" i="2"/>
  <c r="FX17" i="2"/>
  <c r="FW17" i="2"/>
  <c r="FV17" i="2"/>
  <c r="FY17" i="2" s="1"/>
  <c r="FU17" i="2"/>
  <c r="FT17" i="2"/>
  <c r="FH17" i="2"/>
  <c r="FG17" i="2"/>
  <c r="FF17" i="2"/>
  <c r="FE17" i="2"/>
  <c r="FI17" i="2" s="1"/>
  <c r="FD17" i="2"/>
  <c r="ES17" i="2"/>
  <c r="ER17" i="2"/>
  <c r="ET17" i="2" s="1"/>
  <c r="EQ17" i="2"/>
  <c r="EP17" i="2"/>
  <c r="EO17" i="2"/>
  <c r="ED17" i="2"/>
  <c r="EC17" i="2"/>
  <c r="EB17" i="2"/>
  <c r="EA17" i="2"/>
  <c r="EE17" i="2" s="1"/>
  <c r="DZ17" i="2"/>
  <c r="DN17" i="2"/>
  <c r="DM17" i="2"/>
  <c r="DL17" i="2"/>
  <c r="DK17" i="2"/>
  <c r="DO17" i="2" s="1"/>
  <c r="DJ17" i="2"/>
  <c r="CZ17" i="2"/>
  <c r="CY17" i="2"/>
  <c r="CX17" i="2"/>
  <c r="CW17" i="2"/>
  <c r="CV17" i="2"/>
  <c r="CU17" i="2"/>
  <c r="CJ17" i="2"/>
  <c r="CI17" i="2"/>
  <c r="CK17" i="2" s="1"/>
  <c r="CH17" i="2"/>
  <c r="CG17" i="2"/>
  <c r="CF17" i="2"/>
  <c r="CE17" i="2"/>
  <c r="BH17" i="2"/>
  <c r="BG17" i="2"/>
  <c r="AY17" i="2"/>
  <c r="AX17" i="2"/>
  <c r="AV17" i="2"/>
  <c r="AU17" i="2"/>
  <c r="AT17" i="2"/>
  <c r="AS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X17" i="2"/>
  <c r="W17" i="2"/>
  <c r="V17" i="2"/>
  <c r="U17" i="2"/>
  <c r="T17" i="2"/>
  <c r="S17" i="2"/>
  <c r="R17" i="2"/>
  <c r="Q17" i="2"/>
  <c r="P17" i="2"/>
  <c r="M17" i="2"/>
  <c r="L17" i="2"/>
  <c r="K17" i="2"/>
  <c r="H17" i="2"/>
  <c r="G17" i="2"/>
  <c r="F17" i="2"/>
  <c r="E17" i="2"/>
  <c r="D17" i="2"/>
  <c r="C17" i="2"/>
  <c r="A17" i="2"/>
  <c r="IV16" i="2"/>
  <c r="IU16" i="2"/>
  <c r="IT16" i="2"/>
  <c r="IW16" i="2" s="1"/>
  <c r="IS16" i="2"/>
  <c r="IR16" i="2"/>
  <c r="IG16" i="2"/>
  <c r="IF16" i="2"/>
  <c r="IE16" i="2"/>
  <c r="ID16" i="2"/>
  <c r="IH16" i="2" s="1"/>
  <c r="IC16" i="2"/>
  <c r="HR16" i="2"/>
  <c r="HQ16" i="2"/>
  <c r="HP16" i="2"/>
  <c r="HO16" i="2"/>
  <c r="HS16" i="2" s="1"/>
  <c r="HN16" i="2"/>
  <c r="HB16" i="2"/>
  <c r="HA16" i="2"/>
  <c r="GZ16" i="2"/>
  <c r="HC16" i="2" s="1"/>
  <c r="GY16" i="2"/>
  <c r="GX16" i="2"/>
  <c r="GM16" i="2"/>
  <c r="GL16" i="2"/>
  <c r="GK16" i="2"/>
  <c r="GN16" i="2" s="1"/>
  <c r="GJ16" i="2"/>
  <c r="GI16" i="2"/>
  <c r="FX16" i="2"/>
  <c r="FW16" i="2"/>
  <c r="FV16" i="2"/>
  <c r="FU16" i="2"/>
  <c r="FY16" i="2" s="1"/>
  <c r="FT16" i="2"/>
  <c r="FH16" i="2"/>
  <c r="FG16" i="2"/>
  <c r="FF16" i="2"/>
  <c r="FE16" i="2"/>
  <c r="FI16" i="2" s="1"/>
  <c r="FD16" i="2"/>
  <c r="ES16" i="2"/>
  <c r="ER16" i="2"/>
  <c r="EQ16" i="2"/>
  <c r="ET16" i="2" s="1"/>
  <c r="EP16" i="2"/>
  <c r="EO16" i="2"/>
  <c r="ED16" i="2"/>
  <c r="EC16" i="2"/>
  <c r="EB16" i="2"/>
  <c r="EE16" i="2" s="1"/>
  <c r="EA16" i="2"/>
  <c r="DZ16" i="2"/>
  <c r="DN16" i="2"/>
  <c r="DM16" i="2"/>
  <c r="DL16" i="2"/>
  <c r="DK16" i="2"/>
  <c r="DO16" i="2" s="1"/>
  <c r="DJ16" i="2"/>
  <c r="CY16" i="2"/>
  <c r="CX16" i="2"/>
  <c r="CW16" i="2"/>
  <c r="CV16" i="2"/>
  <c r="CZ16" i="2" s="1"/>
  <c r="CU16" i="2"/>
  <c r="CJ16" i="2"/>
  <c r="CI16" i="2"/>
  <c r="CH16" i="2"/>
  <c r="CK16" i="2" s="1"/>
  <c r="CG16" i="2"/>
  <c r="CF16" i="2"/>
  <c r="BH16" i="2"/>
  <c r="BG16" i="2"/>
  <c r="AY16" i="2"/>
  <c r="AX16" i="2"/>
  <c r="AV16" i="2"/>
  <c r="AU16" i="2"/>
  <c r="AT16" i="2"/>
  <c r="AS16" i="2"/>
  <c r="AP16" i="2"/>
  <c r="AN16" i="2"/>
  <c r="AO16" i="2" s="1"/>
  <c r="AM16" i="2"/>
  <c r="AL16" i="2"/>
  <c r="AK16" i="2"/>
  <c r="AJ16" i="2"/>
  <c r="CE16" i="2" s="1"/>
  <c r="AI16" i="2"/>
  <c r="AH16" i="2"/>
  <c r="AG16" i="2"/>
  <c r="AF16" i="2"/>
  <c r="AE16" i="2"/>
  <c r="AD16" i="2"/>
  <c r="AC16" i="2"/>
  <c r="AB16" i="2"/>
  <c r="AA16" i="2"/>
  <c r="Z16" i="2"/>
  <c r="X16" i="2"/>
  <c r="W16" i="2"/>
  <c r="V16" i="2"/>
  <c r="U16" i="2"/>
  <c r="T16" i="2"/>
  <c r="S16" i="2"/>
  <c r="R16" i="2"/>
  <c r="Q16" i="2"/>
  <c r="P16" i="2"/>
  <c r="M16" i="2"/>
  <c r="L16" i="2"/>
  <c r="K16" i="2"/>
  <c r="H16" i="2"/>
  <c r="G16" i="2"/>
  <c r="F16" i="2"/>
  <c r="E16" i="2"/>
  <c r="D16" i="2"/>
  <c r="C16" i="2"/>
  <c r="A16" i="2"/>
  <c r="IV15" i="2"/>
  <c r="IU15" i="2"/>
  <c r="IW15" i="2" s="1"/>
  <c r="IT15" i="2"/>
  <c r="IS15" i="2"/>
  <c r="IR15" i="2"/>
  <c r="IG15" i="2"/>
  <c r="IF15" i="2"/>
  <c r="IE15" i="2"/>
  <c r="ID15" i="2"/>
  <c r="IH15" i="2" s="1"/>
  <c r="IC15" i="2"/>
  <c r="HR15" i="2"/>
  <c r="HQ15" i="2"/>
  <c r="HP15" i="2"/>
  <c r="HO15" i="2"/>
  <c r="HS15" i="2" s="1"/>
  <c r="HN15" i="2"/>
  <c r="HC15" i="2"/>
  <c r="HB15" i="2"/>
  <c r="HA15" i="2"/>
  <c r="GZ15" i="2"/>
  <c r="GY15" i="2"/>
  <c r="GX15" i="2"/>
  <c r="GM15" i="2"/>
  <c r="GL15" i="2"/>
  <c r="GN15" i="2" s="1"/>
  <c r="GK15" i="2"/>
  <c r="GJ15" i="2"/>
  <c r="GI15" i="2"/>
  <c r="FX15" i="2"/>
  <c r="FW15" i="2"/>
  <c r="FV15" i="2"/>
  <c r="FU15" i="2"/>
  <c r="FY15" i="2" s="1"/>
  <c r="FT15" i="2"/>
  <c r="FH15" i="2"/>
  <c r="FG15" i="2"/>
  <c r="FF15" i="2"/>
  <c r="FE15" i="2"/>
  <c r="FI15" i="2" s="1"/>
  <c r="FD15" i="2"/>
  <c r="ET15" i="2"/>
  <c r="ES15" i="2"/>
  <c r="ER15" i="2"/>
  <c r="EQ15" i="2"/>
  <c r="EP15" i="2"/>
  <c r="EO15" i="2"/>
  <c r="ED15" i="2"/>
  <c r="EC15" i="2"/>
  <c r="EE15" i="2" s="1"/>
  <c r="EB15" i="2"/>
  <c r="EA15" i="2"/>
  <c r="DZ15" i="2"/>
  <c r="DN15" i="2"/>
  <c r="DM15" i="2"/>
  <c r="DL15" i="2"/>
  <c r="DK15" i="2"/>
  <c r="DO15" i="2" s="1"/>
  <c r="DJ15" i="2"/>
  <c r="CY15" i="2"/>
  <c r="CX15" i="2"/>
  <c r="CW15" i="2"/>
  <c r="CV15" i="2"/>
  <c r="CZ15" i="2" s="1"/>
  <c r="CU15" i="2"/>
  <c r="CK15" i="2"/>
  <c r="CJ15" i="2"/>
  <c r="CI15" i="2"/>
  <c r="CH15" i="2"/>
  <c r="CG15" i="2"/>
  <c r="CF15" i="2"/>
  <c r="CE15" i="2"/>
  <c r="BH15" i="2"/>
  <c r="BG15" i="2"/>
  <c r="AY15" i="2"/>
  <c r="AX15" i="2"/>
  <c r="AV15" i="2"/>
  <c r="AU15" i="2"/>
  <c r="AT15" i="2"/>
  <c r="AS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X15" i="2"/>
  <c r="W15" i="2"/>
  <c r="V15" i="2"/>
  <c r="U15" i="2"/>
  <c r="T15" i="2"/>
  <c r="S15" i="2"/>
  <c r="R15" i="2"/>
  <c r="Q15" i="2"/>
  <c r="P15" i="2"/>
  <c r="M15" i="2"/>
  <c r="L15" i="2"/>
  <c r="K15" i="2"/>
  <c r="H15" i="2"/>
  <c r="G15" i="2"/>
  <c r="F15" i="2"/>
  <c r="E15" i="2"/>
  <c r="D15" i="2"/>
  <c r="C15" i="2"/>
  <c r="A15" i="2"/>
  <c r="IV14" i="2"/>
  <c r="IU14" i="2"/>
  <c r="IT14" i="2"/>
  <c r="IW14" i="2" s="1"/>
  <c r="IS14" i="2"/>
  <c r="IR14" i="2"/>
  <c r="IG14" i="2"/>
  <c r="IF14" i="2"/>
  <c r="IE14" i="2"/>
  <c r="IH14" i="2" s="1"/>
  <c r="ID14" i="2"/>
  <c r="IC14" i="2"/>
  <c r="HR14" i="2"/>
  <c r="HQ14" i="2"/>
  <c r="HP14" i="2"/>
  <c r="HO14" i="2"/>
  <c r="HS14" i="2" s="1"/>
  <c r="HN14" i="2"/>
  <c r="HB14" i="2"/>
  <c r="HA14" i="2"/>
  <c r="GZ14" i="2"/>
  <c r="GY14" i="2"/>
  <c r="HC14" i="2" s="1"/>
  <c r="GX14" i="2"/>
  <c r="GM14" i="2"/>
  <c r="GL14" i="2"/>
  <c r="GK14" i="2"/>
  <c r="GN14" i="2" s="1"/>
  <c r="GJ14" i="2"/>
  <c r="GI14" i="2"/>
  <c r="FX14" i="2"/>
  <c r="FW14" i="2"/>
  <c r="FV14" i="2"/>
  <c r="FY14" i="2" s="1"/>
  <c r="FU14" i="2"/>
  <c r="FT14" i="2"/>
  <c r="FH14" i="2"/>
  <c r="FG14" i="2"/>
  <c r="FF14" i="2"/>
  <c r="FE14" i="2"/>
  <c r="FI14" i="2" s="1"/>
  <c r="FD14" i="2"/>
  <c r="ES14" i="2"/>
  <c r="ER14" i="2"/>
  <c r="EQ14" i="2"/>
  <c r="EP14" i="2"/>
  <c r="ET14" i="2" s="1"/>
  <c r="EO14" i="2"/>
  <c r="ED14" i="2"/>
  <c r="EC14" i="2"/>
  <c r="EB14" i="2"/>
  <c r="EE14" i="2" s="1"/>
  <c r="EA14" i="2"/>
  <c r="DZ14" i="2"/>
  <c r="DN14" i="2"/>
  <c r="DM14" i="2"/>
  <c r="DL14" i="2"/>
  <c r="DO14" i="2" s="1"/>
  <c r="DK14" i="2"/>
  <c r="DJ14" i="2"/>
  <c r="CY14" i="2"/>
  <c r="CX14" i="2"/>
  <c r="CW14" i="2"/>
  <c r="CV14" i="2"/>
  <c r="CZ14" i="2" s="1"/>
  <c r="CU14" i="2"/>
  <c r="CJ14" i="2"/>
  <c r="CI14" i="2"/>
  <c r="CH14" i="2"/>
  <c r="CG14" i="2"/>
  <c r="CK14" i="2" s="1"/>
  <c r="CF14" i="2"/>
  <c r="BH14" i="2"/>
  <c r="BG14" i="2"/>
  <c r="AY14" i="2"/>
  <c r="AX14" i="2"/>
  <c r="AV14" i="2"/>
  <c r="AU14" i="2"/>
  <c r="AT14" i="2"/>
  <c r="AS14" i="2"/>
  <c r="AP14" i="2"/>
  <c r="AN14" i="2"/>
  <c r="AO14" i="2" s="1"/>
  <c r="AM14" i="2"/>
  <c r="AL14" i="2"/>
  <c r="AK14" i="2"/>
  <c r="AJ14" i="2"/>
  <c r="CE14" i="2" s="1"/>
  <c r="AI14" i="2"/>
  <c r="AH14" i="2"/>
  <c r="AG14" i="2"/>
  <c r="AF14" i="2"/>
  <c r="AE14" i="2"/>
  <c r="AD14" i="2"/>
  <c r="AC14" i="2"/>
  <c r="AB14" i="2"/>
  <c r="AA14" i="2"/>
  <c r="Z14" i="2"/>
  <c r="X14" i="2"/>
  <c r="W14" i="2"/>
  <c r="V14" i="2"/>
  <c r="U14" i="2"/>
  <c r="T14" i="2"/>
  <c r="S14" i="2"/>
  <c r="R14" i="2"/>
  <c r="Q14" i="2"/>
  <c r="P14" i="2"/>
  <c r="M14" i="2"/>
  <c r="L14" i="2"/>
  <c r="K14" i="2"/>
  <c r="H14" i="2"/>
  <c r="G14" i="2"/>
  <c r="F14" i="2"/>
  <c r="E14" i="2"/>
  <c r="D14" i="2"/>
  <c r="C14" i="2"/>
  <c r="A14" i="2"/>
  <c r="IW13" i="2"/>
  <c r="IV13" i="2"/>
  <c r="IU13" i="2"/>
  <c r="IT13" i="2"/>
  <c r="IS13" i="2"/>
  <c r="IR13" i="2"/>
  <c r="IG13" i="2"/>
  <c r="IF13" i="2"/>
  <c r="IH13" i="2" s="1"/>
  <c r="IE13" i="2"/>
  <c r="ID13" i="2"/>
  <c r="IC13" i="2"/>
  <c r="HR13" i="2"/>
  <c r="HQ13" i="2"/>
  <c r="HP13" i="2"/>
  <c r="HO13" i="2"/>
  <c r="HS13" i="2" s="1"/>
  <c r="HN13" i="2"/>
  <c r="HB13" i="2"/>
  <c r="HA13" i="2"/>
  <c r="GZ13" i="2"/>
  <c r="GY13" i="2"/>
  <c r="HC13" i="2" s="1"/>
  <c r="GX13" i="2"/>
  <c r="GN13" i="2"/>
  <c r="GM13" i="2"/>
  <c r="GL13" i="2"/>
  <c r="GK13" i="2"/>
  <c r="GJ13" i="2"/>
  <c r="GI13" i="2"/>
  <c r="FX13" i="2"/>
  <c r="FW13" i="2"/>
  <c r="FY13" i="2" s="1"/>
  <c r="FV13" i="2"/>
  <c r="FU13" i="2"/>
  <c r="FT13" i="2"/>
  <c r="FH13" i="2"/>
  <c r="FG13" i="2"/>
  <c r="FF13" i="2"/>
  <c r="FE13" i="2"/>
  <c r="FI13" i="2" s="1"/>
  <c r="FD13" i="2"/>
  <c r="ES13" i="2"/>
  <c r="ER13" i="2"/>
  <c r="EQ13" i="2"/>
  <c r="EP13" i="2"/>
  <c r="ET13" i="2" s="1"/>
  <c r="EO13" i="2"/>
  <c r="EE13" i="2"/>
  <c r="ED13" i="2"/>
  <c r="EC13" i="2"/>
  <c r="EB13" i="2"/>
  <c r="EA13" i="2"/>
  <c r="DZ13" i="2"/>
  <c r="DN13" i="2"/>
  <c r="DM13" i="2"/>
  <c r="DO13" i="2" s="1"/>
  <c r="DL13" i="2"/>
  <c r="DK13" i="2"/>
  <c r="DJ13" i="2"/>
  <c r="CY13" i="2"/>
  <c r="CX13" i="2"/>
  <c r="CW13" i="2"/>
  <c r="CV13" i="2"/>
  <c r="CZ13" i="2" s="1"/>
  <c r="CU13" i="2"/>
  <c r="CJ13" i="2"/>
  <c r="CI13" i="2"/>
  <c r="CH13" i="2"/>
  <c r="CG13" i="2"/>
  <c r="CK13" i="2" s="1"/>
  <c r="CF13" i="2"/>
  <c r="CE13" i="2"/>
  <c r="BH13" i="2"/>
  <c r="BG13" i="2"/>
  <c r="AY13" i="2"/>
  <c r="AX13" i="2"/>
  <c r="AV13" i="2"/>
  <c r="AU13" i="2"/>
  <c r="AT13" i="2"/>
  <c r="AS13" i="2"/>
  <c r="AP13" i="2"/>
  <c r="AN13" i="2"/>
  <c r="AO13" i="2" s="1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X13" i="2"/>
  <c r="W13" i="2"/>
  <c r="V13" i="2"/>
  <c r="U13" i="2"/>
  <c r="T13" i="2"/>
  <c r="S13" i="2"/>
  <c r="R13" i="2"/>
  <c r="Q13" i="2"/>
  <c r="P13" i="2"/>
  <c r="M13" i="2"/>
  <c r="L13" i="2"/>
  <c r="K13" i="2"/>
  <c r="H13" i="2"/>
  <c r="G13" i="2"/>
  <c r="F13" i="2"/>
  <c r="E13" i="2"/>
  <c r="D13" i="2"/>
  <c r="C13" i="2"/>
  <c r="A13" i="2"/>
  <c r="IV12" i="2"/>
  <c r="IU12" i="2"/>
  <c r="IT12" i="2"/>
  <c r="IS12" i="2"/>
  <c r="IW12" i="2" s="1"/>
  <c r="IR12" i="2"/>
  <c r="IG12" i="2"/>
  <c r="IF12" i="2"/>
  <c r="IE12" i="2"/>
  <c r="IH12" i="2" s="1"/>
  <c r="ID12" i="2"/>
  <c r="IC12" i="2"/>
  <c r="HR12" i="2"/>
  <c r="HQ12" i="2"/>
  <c r="HP12" i="2"/>
  <c r="HS12" i="2" s="1"/>
  <c r="HO12" i="2"/>
  <c r="HN12" i="2"/>
  <c r="HB12" i="2"/>
  <c r="HA12" i="2"/>
  <c r="GZ12" i="2"/>
  <c r="GY12" i="2"/>
  <c r="HC12" i="2" s="1"/>
  <c r="GX12" i="2"/>
  <c r="GM12" i="2"/>
  <c r="GL12" i="2"/>
  <c r="GK12" i="2"/>
  <c r="GJ12" i="2"/>
  <c r="GN12" i="2" s="1"/>
  <c r="GI12" i="2"/>
  <c r="FX12" i="2"/>
  <c r="FW12" i="2"/>
  <c r="FV12" i="2"/>
  <c r="FY12" i="2" s="1"/>
  <c r="FU12" i="2"/>
  <c r="FT12" i="2"/>
  <c r="FH12" i="2"/>
  <c r="FG12" i="2"/>
  <c r="FF12" i="2"/>
  <c r="FI12" i="2" s="1"/>
  <c r="FE12" i="2"/>
  <c r="FD12" i="2"/>
  <c r="ES12" i="2"/>
  <c r="ER12" i="2"/>
  <c r="EQ12" i="2"/>
  <c r="EP12" i="2"/>
  <c r="ET12" i="2" s="1"/>
  <c r="EO12" i="2"/>
  <c r="ED12" i="2"/>
  <c r="EC12" i="2"/>
  <c r="EB12" i="2"/>
  <c r="EA12" i="2"/>
  <c r="EE12" i="2" s="1"/>
  <c r="DZ12" i="2"/>
  <c r="DN12" i="2"/>
  <c r="DM12" i="2"/>
  <c r="DL12" i="2"/>
  <c r="DO12" i="2" s="1"/>
  <c r="DK12" i="2"/>
  <c r="DJ12" i="2"/>
  <c r="CY12" i="2"/>
  <c r="CX12" i="2"/>
  <c r="CW12" i="2"/>
  <c r="CZ12" i="2" s="1"/>
  <c r="CV12" i="2"/>
  <c r="CU12" i="2"/>
  <c r="CJ12" i="2"/>
  <c r="CI12" i="2"/>
  <c r="CH12" i="2"/>
  <c r="CG12" i="2"/>
  <c r="CK12" i="2" s="1"/>
  <c r="CF12" i="2"/>
  <c r="BH12" i="2"/>
  <c r="BG12" i="2"/>
  <c r="AY12" i="2"/>
  <c r="AX12" i="2"/>
  <c r="AV12" i="2"/>
  <c r="AU12" i="2"/>
  <c r="AT12" i="2"/>
  <c r="AS12" i="2"/>
  <c r="AP12" i="2"/>
  <c r="AN12" i="2"/>
  <c r="AO12" i="2" s="1"/>
  <c r="AM12" i="2"/>
  <c r="AL12" i="2"/>
  <c r="AK12" i="2"/>
  <c r="AJ12" i="2"/>
  <c r="CE12" i="2" s="1"/>
  <c r="AI12" i="2"/>
  <c r="AH12" i="2"/>
  <c r="AG12" i="2"/>
  <c r="AF12" i="2"/>
  <c r="AE12" i="2"/>
  <c r="AD12" i="2"/>
  <c r="AC12" i="2"/>
  <c r="AB12" i="2"/>
  <c r="AA12" i="2"/>
  <c r="Z12" i="2"/>
  <c r="X12" i="2"/>
  <c r="W12" i="2"/>
  <c r="V12" i="2"/>
  <c r="U12" i="2"/>
  <c r="T12" i="2"/>
  <c r="S12" i="2"/>
  <c r="R12" i="2"/>
  <c r="Q12" i="2"/>
  <c r="P12" i="2"/>
  <c r="M12" i="2"/>
  <c r="L12" i="2"/>
  <c r="K12" i="2"/>
  <c r="H12" i="2"/>
  <c r="G12" i="2"/>
  <c r="F12" i="2"/>
  <c r="E12" i="2"/>
  <c r="D12" i="2"/>
  <c r="C12" i="2"/>
  <c r="A12" i="2"/>
  <c r="IV11" i="2"/>
  <c r="IU11" i="2"/>
  <c r="IT11" i="2"/>
  <c r="IS11" i="2"/>
  <c r="IW11" i="2" s="1"/>
  <c r="IR11" i="2"/>
  <c r="IH11" i="2"/>
  <c r="IG11" i="2"/>
  <c r="IF11" i="2"/>
  <c r="IE11" i="2"/>
  <c r="ID11" i="2"/>
  <c r="IC11" i="2"/>
  <c r="HR11" i="2"/>
  <c r="HQ11" i="2"/>
  <c r="HS11" i="2" s="1"/>
  <c r="HP11" i="2"/>
  <c r="HO11" i="2"/>
  <c r="HN11" i="2"/>
  <c r="HB11" i="2"/>
  <c r="HA11" i="2"/>
  <c r="GZ11" i="2"/>
  <c r="GY11" i="2"/>
  <c r="HC11" i="2" s="1"/>
  <c r="GX11" i="2"/>
  <c r="GM11" i="2"/>
  <c r="GL11" i="2"/>
  <c r="GK11" i="2"/>
  <c r="GJ11" i="2"/>
  <c r="GN11" i="2" s="1"/>
  <c r="GI11" i="2"/>
  <c r="FY11" i="2"/>
  <c r="FX11" i="2"/>
  <c r="FW11" i="2"/>
  <c r="FV11" i="2"/>
  <c r="FU11" i="2"/>
  <c r="FT11" i="2"/>
  <c r="FH11" i="2"/>
  <c r="FG11" i="2"/>
  <c r="FI11" i="2" s="1"/>
  <c r="FF11" i="2"/>
  <c r="FE11" i="2"/>
  <c r="FD11" i="2"/>
  <c r="ES11" i="2"/>
  <c r="ER11" i="2"/>
  <c r="EQ11" i="2"/>
  <c r="EP11" i="2"/>
  <c r="ET11" i="2" s="1"/>
  <c r="EO11" i="2"/>
  <c r="ED11" i="2"/>
  <c r="EC11" i="2"/>
  <c r="EB11" i="2"/>
  <c r="EA11" i="2"/>
  <c r="EE11" i="2" s="1"/>
  <c r="DZ11" i="2"/>
  <c r="DO11" i="2"/>
  <c r="DN11" i="2"/>
  <c r="DM11" i="2"/>
  <c r="DL11" i="2"/>
  <c r="DK11" i="2"/>
  <c r="DJ11" i="2"/>
  <c r="CY11" i="2"/>
  <c r="CX11" i="2"/>
  <c r="CZ11" i="2" s="1"/>
  <c r="CW11" i="2"/>
  <c r="CV11" i="2"/>
  <c r="CU11" i="2"/>
  <c r="CJ11" i="2"/>
  <c r="CI11" i="2"/>
  <c r="CH11" i="2"/>
  <c r="CG11" i="2"/>
  <c r="CK11" i="2" s="1"/>
  <c r="CF11" i="2"/>
  <c r="BH11" i="2"/>
  <c r="BG11" i="2"/>
  <c r="AY11" i="2"/>
  <c r="AX11" i="2"/>
  <c r="AV11" i="2"/>
  <c r="AU11" i="2"/>
  <c r="AT11" i="2"/>
  <c r="AS11" i="2"/>
  <c r="AP11" i="2"/>
  <c r="AO11" i="2"/>
  <c r="AN11" i="2"/>
  <c r="AM11" i="2"/>
  <c r="AL11" i="2"/>
  <c r="AK11" i="2"/>
  <c r="AJ11" i="2"/>
  <c r="CE11" i="2" s="1"/>
  <c r="AI11" i="2"/>
  <c r="AH11" i="2"/>
  <c r="AG11" i="2"/>
  <c r="AF11" i="2"/>
  <c r="AE11" i="2"/>
  <c r="AD11" i="2"/>
  <c r="AC11" i="2"/>
  <c r="AB11" i="2"/>
  <c r="AA11" i="2"/>
  <c r="Z11" i="2"/>
  <c r="X11" i="2"/>
  <c r="W11" i="2"/>
  <c r="V11" i="2"/>
  <c r="U11" i="2"/>
  <c r="T11" i="2"/>
  <c r="S11" i="2"/>
  <c r="R11" i="2"/>
  <c r="Q11" i="2"/>
  <c r="P11" i="2"/>
  <c r="M11" i="2"/>
  <c r="L11" i="2"/>
  <c r="K11" i="2"/>
  <c r="H11" i="2"/>
  <c r="G11" i="2"/>
  <c r="F11" i="2"/>
  <c r="E11" i="2"/>
  <c r="D11" i="2"/>
  <c r="C11" i="2"/>
  <c r="A11" i="2"/>
  <c r="IV10" i="2"/>
  <c r="IU10" i="2"/>
  <c r="IT10" i="2"/>
  <c r="IS10" i="2"/>
  <c r="IW10" i="2" s="1"/>
  <c r="IR10" i="2"/>
  <c r="IG10" i="2"/>
  <c r="IF10" i="2"/>
  <c r="IE10" i="2"/>
  <c r="ID10" i="2"/>
  <c r="IH10" i="2" s="1"/>
  <c r="IC10" i="2"/>
  <c r="HR10" i="2"/>
  <c r="HQ10" i="2"/>
  <c r="HP10" i="2"/>
  <c r="HS10" i="2" s="1"/>
  <c r="HO10" i="2"/>
  <c r="HN10" i="2"/>
  <c r="HB10" i="2"/>
  <c r="HA10" i="2"/>
  <c r="GZ10" i="2"/>
  <c r="HC10" i="2" s="1"/>
  <c r="GY10" i="2"/>
  <c r="GX10" i="2"/>
  <c r="GM10" i="2"/>
  <c r="GL10" i="2"/>
  <c r="GK10" i="2"/>
  <c r="GJ10" i="2"/>
  <c r="GN10" i="2" s="1"/>
  <c r="GI10" i="2"/>
  <c r="FX10" i="2"/>
  <c r="FW10" i="2"/>
  <c r="FV10" i="2"/>
  <c r="FU10" i="2"/>
  <c r="FY10" i="2" s="1"/>
  <c r="FT10" i="2"/>
  <c r="FH10" i="2"/>
  <c r="FG10" i="2"/>
  <c r="FF10" i="2"/>
  <c r="FI10" i="2" s="1"/>
  <c r="FE10" i="2"/>
  <c r="FD10" i="2"/>
  <c r="ES10" i="2"/>
  <c r="ER10" i="2"/>
  <c r="EQ10" i="2"/>
  <c r="ET10" i="2" s="1"/>
  <c r="EP10" i="2"/>
  <c r="EO10" i="2"/>
  <c r="ED10" i="2"/>
  <c r="EC10" i="2"/>
  <c r="EB10" i="2"/>
  <c r="EA10" i="2"/>
  <c r="EE10" i="2" s="1"/>
  <c r="DZ10" i="2"/>
  <c r="DN10" i="2"/>
  <c r="DM10" i="2"/>
  <c r="DL10" i="2"/>
  <c r="DK10" i="2"/>
  <c r="DO10" i="2" s="1"/>
  <c r="DJ10" i="2"/>
  <c r="CY10" i="2"/>
  <c r="CX10" i="2"/>
  <c r="CW10" i="2"/>
  <c r="CZ10" i="2" s="1"/>
  <c r="CV10" i="2"/>
  <c r="CU10" i="2"/>
  <c r="CJ10" i="2"/>
  <c r="CI10" i="2"/>
  <c r="CH10" i="2"/>
  <c r="CK10" i="2" s="1"/>
  <c r="CG10" i="2"/>
  <c r="CF10" i="2"/>
  <c r="BH10" i="2"/>
  <c r="BG10" i="2"/>
  <c r="AY10" i="2"/>
  <c r="AX10" i="2"/>
  <c r="AV10" i="2"/>
  <c r="AU10" i="2"/>
  <c r="AT10" i="2"/>
  <c r="AS10" i="2"/>
  <c r="AP10" i="2"/>
  <c r="AO10" i="2"/>
  <c r="AN10" i="2"/>
  <c r="AM10" i="2"/>
  <c r="AL10" i="2"/>
  <c r="AK10" i="2"/>
  <c r="AJ10" i="2"/>
  <c r="CE10" i="2" s="1"/>
  <c r="AI10" i="2"/>
  <c r="AH10" i="2"/>
  <c r="AG10" i="2"/>
  <c r="AF10" i="2"/>
  <c r="AE10" i="2"/>
  <c r="AD10" i="2"/>
  <c r="AC10" i="2"/>
  <c r="AB10" i="2"/>
  <c r="AA10" i="2"/>
  <c r="Z10" i="2"/>
  <c r="X10" i="2"/>
  <c r="W10" i="2"/>
  <c r="V10" i="2"/>
  <c r="U10" i="2"/>
  <c r="T10" i="2"/>
  <c r="S10" i="2"/>
  <c r="R10" i="2"/>
  <c r="Q10" i="2"/>
  <c r="P10" i="2"/>
  <c r="M10" i="2"/>
  <c r="L10" i="2"/>
  <c r="K10" i="2"/>
  <c r="H10" i="2"/>
  <c r="G10" i="2"/>
  <c r="F10" i="2"/>
  <c r="E10" i="2"/>
  <c r="D10" i="2"/>
  <c r="C10" i="2"/>
  <c r="A10" i="2"/>
  <c r="IV9" i="2"/>
  <c r="IU9" i="2"/>
  <c r="IT9" i="2"/>
  <c r="IS9" i="2"/>
  <c r="IW9" i="2" s="1"/>
  <c r="IR9" i="2"/>
  <c r="IG9" i="2"/>
  <c r="IF9" i="2"/>
  <c r="IE9" i="2"/>
  <c r="ID9" i="2"/>
  <c r="IH9" i="2" s="1"/>
  <c r="IC9" i="2"/>
  <c r="HS9" i="2"/>
  <c r="HR9" i="2"/>
  <c r="HQ9" i="2"/>
  <c r="HP9" i="2"/>
  <c r="HO9" i="2"/>
  <c r="HN9" i="2"/>
  <c r="HB9" i="2"/>
  <c r="HA9" i="2"/>
  <c r="HC9" i="2" s="1"/>
  <c r="GZ9" i="2"/>
  <c r="GY9" i="2"/>
  <c r="GX9" i="2"/>
  <c r="GM9" i="2"/>
  <c r="GL9" i="2"/>
  <c r="GK9" i="2"/>
  <c r="GJ9" i="2"/>
  <c r="GN9" i="2" s="1"/>
  <c r="GI9" i="2"/>
  <c r="FX9" i="2"/>
  <c r="FW9" i="2"/>
  <c r="FV9" i="2"/>
  <c r="FU9" i="2"/>
  <c r="FY9" i="2" s="1"/>
  <c r="FT9" i="2"/>
  <c r="FI9" i="2"/>
  <c r="FH9" i="2"/>
  <c r="FG9" i="2"/>
  <c r="FF9" i="2"/>
  <c r="FE9" i="2"/>
  <c r="FD9" i="2"/>
  <c r="ES9" i="2"/>
  <c r="ER9" i="2"/>
  <c r="ET9" i="2" s="1"/>
  <c r="EQ9" i="2"/>
  <c r="EP9" i="2"/>
  <c r="EO9" i="2"/>
  <c r="ED9" i="2"/>
  <c r="EC9" i="2"/>
  <c r="EB9" i="2"/>
  <c r="EA9" i="2"/>
  <c r="EE9" i="2" s="1"/>
  <c r="DZ9" i="2"/>
  <c r="DN9" i="2"/>
  <c r="DM9" i="2"/>
  <c r="DL9" i="2"/>
  <c r="DK9" i="2"/>
  <c r="DO9" i="2" s="1"/>
  <c r="DJ9" i="2"/>
  <c r="CZ9" i="2"/>
  <c r="CY9" i="2"/>
  <c r="CX9" i="2"/>
  <c r="CW9" i="2"/>
  <c r="CV9" i="2"/>
  <c r="CU9" i="2"/>
  <c r="CJ9" i="2"/>
  <c r="CI9" i="2"/>
  <c r="CK9" i="2" s="1"/>
  <c r="CH9" i="2"/>
  <c r="CG9" i="2"/>
  <c r="CF9" i="2"/>
  <c r="CE9" i="2"/>
  <c r="BH9" i="2"/>
  <c r="BG9" i="2"/>
  <c r="AY9" i="2"/>
  <c r="AX9" i="2"/>
  <c r="AV9" i="2"/>
  <c r="AU9" i="2"/>
  <c r="AT9" i="2"/>
  <c r="AS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X9" i="2"/>
  <c r="W9" i="2"/>
  <c r="V9" i="2"/>
  <c r="U9" i="2"/>
  <c r="T9" i="2"/>
  <c r="S9" i="2"/>
  <c r="R9" i="2"/>
  <c r="Q9" i="2"/>
  <c r="P9" i="2"/>
  <c r="M9" i="2"/>
  <c r="L9" i="2"/>
  <c r="K9" i="2"/>
  <c r="H9" i="2"/>
  <c r="G9" i="2"/>
  <c r="F9" i="2"/>
  <c r="E9" i="2"/>
  <c r="D9" i="2"/>
  <c r="C9" i="2"/>
  <c r="A9" i="2"/>
  <c r="IV8" i="2"/>
  <c r="IU8" i="2"/>
  <c r="IT8" i="2"/>
  <c r="IW8" i="2" s="1"/>
  <c r="IS8" i="2"/>
  <c r="IR8" i="2"/>
  <c r="IO8" i="2"/>
  <c r="IL8" i="2"/>
  <c r="II8" i="2"/>
  <c r="IG8" i="2"/>
  <c r="IF8" i="2"/>
  <c r="IE8" i="2"/>
  <c r="ID8" i="2"/>
  <c r="IH8" i="2" s="1"/>
  <c r="IC8" i="2"/>
  <c r="HZ8" i="2"/>
  <c r="HD8" i="2" s="1"/>
  <c r="HW8" i="2"/>
  <c r="HT8" i="2"/>
  <c r="HR8" i="2"/>
  <c r="HQ8" i="2"/>
  <c r="HP8" i="2"/>
  <c r="HS8" i="2" s="1"/>
  <c r="HO8" i="2"/>
  <c r="HN8" i="2"/>
  <c r="HK8" i="2"/>
  <c r="HH8" i="2"/>
  <c r="HE8" i="2"/>
  <c r="HB8" i="2"/>
  <c r="HA8" i="2"/>
  <c r="GZ8" i="2"/>
  <c r="GY8" i="2"/>
  <c r="HC8" i="2" s="1"/>
  <c r="GX8" i="2"/>
  <c r="GU8" i="2"/>
  <c r="GR8" i="2"/>
  <c r="GO8" i="2"/>
  <c r="GM8" i="2"/>
  <c r="GL8" i="2"/>
  <c r="GN8" i="2" s="1"/>
  <c r="GK8" i="2"/>
  <c r="GJ8" i="2"/>
  <c r="GI8" i="2"/>
  <c r="GF8" i="2"/>
  <c r="GC8" i="2"/>
  <c r="FZ8" i="2"/>
  <c r="FX8" i="2"/>
  <c r="FW8" i="2"/>
  <c r="FV8" i="2"/>
  <c r="FU8" i="2"/>
  <c r="FY8" i="2" s="1"/>
  <c r="FT8" i="2"/>
  <c r="FQ8" i="2"/>
  <c r="FN8" i="2"/>
  <c r="FK8" i="2"/>
  <c r="FJ8" i="2"/>
  <c r="FH8" i="2"/>
  <c r="FG8" i="2"/>
  <c r="FF8" i="2"/>
  <c r="FI8" i="2" s="1"/>
  <c r="FE8" i="2"/>
  <c r="FD8" i="2"/>
  <c r="FA8" i="2"/>
  <c r="EX8" i="2"/>
  <c r="EU8" i="2"/>
  <c r="ES8" i="2"/>
  <c r="ER8" i="2"/>
  <c r="EQ8" i="2"/>
  <c r="EP8" i="2"/>
  <c r="ET8" i="2" s="1"/>
  <c r="EO8" i="2"/>
  <c r="EL8" i="2"/>
  <c r="DP8" i="2" s="1"/>
  <c r="EI8" i="2"/>
  <c r="EF8" i="2"/>
  <c r="ED8" i="2"/>
  <c r="EC8" i="2"/>
  <c r="EB8" i="2"/>
  <c r="EE8" i="2" s="1"/>
  <c r="EA8" i="2"/>
  <c r="DZ8" i="2"/>
  <c r="DW8" i="2"/>
  <c r="DT8" i="2"/>
  <c r="DQ8" i="2"/>
  <c r="DN8" i="2"/>
  <c r="DM8" i="2"/>
  <c r="DL8" i="2"/>
  <c r="DK8" i="2"/>
  <c r="DO8" i="2" s="1"/>
  <c r="DJ8" i="2"/>
  <c r="DG8" i="2"/>
  <c r="DD8" i="2"/>
  <c r="DA8" i="2"/>
  <c r="CY8" i="2"/>
  <c r="CX8" i="2"/>
  <c r="CZ8" i="2" s="1"/>
  <c r="CW8" i="2"/>
  <c r="CV8" i="2"/>
  <c r="CU8" i="2"/>
  <c r="CR8" i="2"/>
  <c r="BU8" i="2" s="1"/>
  <c r="CO8" i="2"/>
  <c r="CL8" i="2"/>
  <c r="CJ8" i="2"/>
  <c r="CI8" i="2"/>
  <c r="CH8" i="2"/>
  <c r="CG8" i="2"/>
  <c r="CK8" i="2" s="1"/>
  <c r="CF8" i="2"/>
  <c r="CC8" i="2"/>
  <c r="BV8" i="2" s="1"/>
  <c r="BZ8" i="2"/>
  <c r="BW8" i="2"/>
  <c r="BI8" i="2"/>
  <c r="BH8" i="2"/>
  <c r="BG8" i="2"/>
  <c r="BB8" i="2"/>
  <c r="BA8" i="2"/>
  <c r="AY8" i="2"/>
  <c r="AX8" i="2"/>
  <c r="AV8" i="2"/>
  <c r="AU8" i="2"/>
  <c r="AT8" i="2"/>
  <c r="AS8" i="2"/>
  <c r="AP8" i="2"/>
  <c r="AN8" i="2"/>
  <c r="AM8" i="2"/>
  <c r="AL8" i="2"/>
  <c r="AK8" i="2"/>
  <c r="AJ8" i="2"/>
  <c r="CE8" i="2" s="1"/>
  <c r="AI8" i="2"/>
  <c r="AH8" i="2"/>
  <c r="AG8" i="2"/>
  <c r="AF8" i="2"/>
  <c r="AE8" i="2"/>
  <c r="AD8" i="2"/>
  <c r="AC8" i="2"/>
  <c r="AB8" i="2"/>
  <c r="AA8" i="2"/>
  <c r="Z8" i="2"/>
  <c r="Y8" i="2" s="1"/>
  <c r="AO8" i="2" s="1"/>
  <c r="X8" i="2"/>
  <c r="W8" i="2"/>
  <c r="V8" i="2"/>
  <c r="U8" i="2"/>
  <c r="T8" i="2"/>
  <c r="S8" i="2"/>
  <c r="R8" i="2"/>
  <c r="Q8" i="2"/>
  <c r="P8" i="2"/>
  <c r="O8" i="2"/>
  <c r="M8" i="2"/>
  <c r="L8" i="2"/>
  <c r="K8" i="2"/>
  <c r="H8" i="2"/>
  <c r="G8" i="2"/>
  <c r="F8" i="2"/>
  <c r="E8" i="2"/>
  <c r="D8" i="2"/>
  <c r="C8" i="2"/>
  <c r="A8" i="2"/>
  <c r="IV7" i="2"/>
  <c r="IU7" i="2"/>
  <c r="IT7" i="2"/>
  <c r="IS7" i="2"/>
  <c r="IW7" i="2" s="1"/>
  <c r="IR7" i="2"/>
  <c r="IO7" i="2"/>
  <c r="IL7" i="2"/>
  <c r="II7" i="2"/>
  <c r="IG7" i="2"/>
  <c r="IF7" i="2"/>
  <c r="IE7" i="2"/>
  <c r="ID7" i="2"/>
  <c r="IH7" i="2" s="1"/>
  <c r="IC7" i="2"/>
  <c r="HZ7" i="2"/>
  <c r="HW7" i="2"/>
  <c r="HT7" i="2"/>
  <c r="HR7" i="2"/>
  <c r="HQ7" i="2"/>
  <c r="HS7" i="2" s="1"/>
  <c r="HP7" i="2"/>
  <c r="HO7" i="2"/>
  <c r="HN7" i="2"/>
  <c r="HK7" i="2"/>
  <c r="HD7" i="2" s="1"/>
  <c r="HH7" i="2"/>
  <c r="HE7" i="2"/>
  <c r="HC7" i="2"/>
  <c r="HB7" i="2"/>
  <c r="HA7" i="2"/>
  <c r="GZ7" i="2"/>
  <c r="GY7" i="2"/>
  <c r="GX7" i="2"/>
  <c r="GU7" i="2"/>
  <c r="GR7" i="2"/>
  <c r="GO7" i="2"/>
  <c r="GM7" i="2"/>
  <c r="GL7" i="2"/>
  <c r="GK7" i="2"/>
  <c r="GN7" i="2" s="1"/>
  <c r="GJ7" i="2"/>
  <c r="GI7" i="2"/>
  <c r="GF7" i="2"/>
  <c r="GC7" i="2"/>
  <c r="FZ7" i="2"/>
  <c r="FX7" i="2"/>
  <c r="FW7" i="2"/>
  <c r="FV7" i="2"/>
  <c r="FU7" i="2"/>
  <c r="FY7" i="2" s="1"/>
  <c r="FT7" i="2"/>
  <c r="FQ7" i="2"/>
  <c r="FJ7" i="2" s="1"/>
  <c r="FN7" i="2"/>
  <c r="FK7" i="2"/>
  <c r="FH7" i="2"/>
  <c r="FG7" i="2"/>
  <c r="FF7" i="2"/>
  <c r="FE7" i="2"/>
  <c r="FI7" i="2" s="1"/>
  <c r="FD7" i="2"/>
  <c r="FA7" i="2"/>
  <c r="EX7" i="2"/>
  <c r="EU7" i="2"/>
  <c r="ES7" i="2"/>
  <c r="ER7" i="2"/>
  <c r="EQ7" i="2"/>
  <c r="EP7" i="2"/>
  <c r="ET7" i="2" s="1"/>
  <c r="EO7" i="2"/>
  <c r="EL7" i="2"/>
  <c r="EI7" i="2"/>
  <c r="EF7" i="2"/>
  <c r="ED7" i="2"/>
  <c r="EC7" i="2"/>
  <c r="EE7" i="2" s="1"/>
  <c r="EB7" i="2"/>
  <c r="EA7" i="2"/>
  <c r="DZ7" i="2"/>
  <c r="DW7" i="2"/>
  <c r="DP7" i="2" s="1"/>
  <c r="DT7" i="2"/>
  <c r="DQ7" i="2"/>
  <c r="DN7" i="2"/>
  <c r="DM7" i="2"/>
  <c r="DL7" i="2"/>
  <c r="DO7" i="2" s="1"/>
  <c r="DK7" i="2"/>
  <c r="DJ7" i="2"/>
  <c r="DG7" i="2"/>
  <c r="BV7" i="2" s="1"/>
  <c r="DD7" i="2"/>
  <c r="DA7" i="2"/>
  <c r="CY7" i="2"/>
  <c r="CX7" i="2"/>
  <c r="CW7" i="2"/>
  <c r="CZ7" i="2" s="1"/>
  <c r="CV7" i="2"/>
  <c r="CU7" i="2"/>
  <c r="CR7" i="2"/>
  <c r="CO7" i="2"/>
  <c r="CL7" i="2"/>
  <c r="CJ7" i="2"/>
  <c r="CI7" i="2"/>
  <c r="CH7" i="2"/>
  <c r="CG7" i="2"/>
  <c r="CK7" i="2" s="1"/>
  <c r="CF7" i="2"/>
  <c r="CE7" i="2"/>
  <c r="CC7" i="2"/>
  <c r="BZ7" i="2"/>
  <c r="BW7" i="2"/>
  <c r="BU7" i="2"/>
  <c r="BI7" i="2"/>
  <c r="BH7" i="2"/>
  <c r="BG7" i="2"/>
  <c r="BB7" i="2"/>
  <c r="BA7" i="2"/>
  <c r="AY7" i="2"/>
  <c r="AX7" i="2"/>
  <c r="AV7" i="2"/>
  <c r="AU7" i="2"/>
  <c r="AT7" i="2"/>
  <c r="AS7" i="2"/>
  <c r="AP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 s="1"/>
  <c r="AO7" i="2" s="1"/>
  <c r="X7" i="2"/>
  <c r="W7" i="2"/>
  <c r="V7" i="2"/>
  <c r="U7" i="2"/>
  <c r="T7" i="2"/>
  <c r="S7" i="2"/>
  <c r="R7" i="2"/>
  <c r="Q7" i="2"/>
  <c r="P7" i="2"/>
  <c r="O7" i="2"/>
  <c r="M7" i="2"/>
  <c r="L7" i="2"/>
  <c r="K7" i="2"/>
  <c r="H7" i="2"/>
  <c r="G7" i="2"/>
  <c r="F7" i="2"/>
  <c r="E7" i="2"/>
  <c r="D7" i="2"/>
  <c r="C7" i="2"/>
  <c r="A7" i="2"/>
  <c r="IV6" i="2"/>
  <c r="IU6" i="2"/>
  <c r="IT6" i="2"/>
  <c r="IS6" i="2"/>
  <c r="IW6" i="2" s="1"/>
  <c r="IR6" i="2"/>
  <c r="IO6" i="2"/>
  <c r="IL6" i="2"/>
  <c r="II6" i="2"/>
  <c r="IG6" i="2"/>
  <c r="IF6" i="2"/>
  <c r="IE6" i="2"/>
  <c r="ID6" i="2"/>
  <c r="IH6" i="2" s="1"/>
  <c r="IC6" i="2"/>
  <c r="HZ6" i="2"/>
  <c r="HW6" i="2"/>
  <c r="HT6" i="2"/>
  <c r="HR6" i="2"/>
  <c r="HQ6" i="2"/>
  <c r="HP6" i="2"/>
  <c r="HO6" i="2"/>
  <c r="HS6" i="2" s="1"/>
  <c r="HN6" i="2"/>
  <c r="HK6" i="2"/>
  <c r="HD6" i="2" s="1"/>
  <c r="HH6" i="2"/>
  <c r="HE6" i="2"/>
  <c r="HB6" i="2"/>
  <c r="HA6" i="2"/>
  <c r="GZ6" i="2"/>
  <c r="HC6" i="2" s="1"/>
  <c r="GY6" i="2"/>
  <c r="GX6" i="2"/>
  <c r="GU6" i="2"/>
  <c r="GR6" i="2"/>
  <c r="GO6" i="2"/>
  <c r="GM6" i="2"/>
  <c r="GL6" i="2"/>
  <c r="GK6" i="2"/>
  <c r="GJ6" i="2"/>
  <c r="GN6" i="2" s="1"/>
  <c r="GI6" i="2"/>
  <c r="GF6" i="2"/>
  <c r="GC6" i="2"/>
  <c r="FZ6" i="2"/>
  <c r="FX6" i="2"/>
  <c r="FW6" i="2"/>
  <c r="FV6" i="2"/>
  <c r="FU6" i="2"/>
  <c r="FY6" i="2" s="1"/>
  <c r="FT6" i="2"/>
  <c r="FQ6" i="2"/>
  <c r="FN6" i="2"/>
  <c r="FK6" i="2"/>
  <c r="FJ6" i="2"/>
  <c r="FH6" i="2"/>
  <c r="FG6" i="2"/>
  <c r="FF6" i="2"/>
  <c r="FE6" i="2"/>
  <c r="FI6" i="2" s="1"/>
  <c r="FD6" i="2"/>
  <c r="FA6" i="2"/>
  <c r="EX6" i="2"/>
  <c r="EU6" i="2"/>
  <c r="ES6" i="2"/>
  <c r="ER6" i="2"/>
  <c r="EQ6" i="2"/>
  <c r="EP6" i="2"/>
  <c r="ET6" i="2" s="1"/>
  <c r="EO6" i="2"/>
  <c r="EL6" i="2"/>
  <c r="EI6" i="2"/>
  <c r="EF6" i="2"/>
  <c r="ED6" i="2"/>
  <c r="EC6" i="2"/>
  <c r="EB6" i="2"/>
  <c r="EA6" i="2"/>
  <c r="EE6" i="2" s="1"/>
  <c r="DZ6" i="2"/>
  <c r="DW6" i="2"/>
  <c r="DP6" i="2" s="1"/>
  <c r="DT6" i="2"/>
  <c r="DQ6" i="2"/>
  <c r="DN6" i="2"/>
  <c r="DM6" i="2"/>
  <c r="DL6" i="2"/>
  <c r="DO6" i="2" s="1"/>
  <c r="DK6" i="2"/>
  <c r="DJ6" i="2"/>
  <c r="DG6" i="2"/>
  <c r="DD6" i="2"/>
  <c r="DA6" i="2"/>
  <c r="CY6" i="2"/>
  <c r="CX6" i="2"/>
  <c r="CW6" i="2"/>
  <c r="CV6" i="2"/>
  <c r="CZ6" i="2" s="1"/>
  <c r="CU6" i="2"/>
  <c r="CR6" i="2"/>
  <c r="CO6" i="2"/>
  <c r="CL6" i="2"/>
  <c r="CJ6" i="2"/>
  <c r="CI6" i="2"/>
  <c r="CH6" i="2"/>
  <c r="CG6" i="2"/>
  <c r="CK6" i="2" s="1"/>
  <c r="CF6" i="2"/>
  <c r="CE6" i="2"/>
  <c r="CC6" i="2"/>
  <c r="BV6" i="2" s="1"/>
  <c r="BZ6" i="2"/>
  <c r="BW6" i="2"/>
  <c r="BU6" i="2"/>
  <c r="BI6" i="2"/>
  <c r="BH6" i="2"/>
  <c r="BG6" i="2"/>
  <c r="BB6" i="2"/>
  <c r="BA6" i="2"/>
  <c r="AY6" i="2"/>
  <c r="AX6" i="2"/>
  <c r="AV6" i="2"/>
  <c r="AU6" i="2"/>
  <c r="AT6" i="2"/>
  <c r="AS6" i="2"/>
  <c r="AP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 s="1"/>
  <c r="AO6" i="2" s="1"/>
  <c r="X6" i="2"/>
  <c r="W6" i="2"/>
  <c r="V6" i="2"/>
  <c r="U6" i="2"/>
  <c r="T6" i="2"/>
  <c r="S6" i="2"/>
  <c r="R6" i="2"/>
  <c r="Q6" i="2"/>
  <c r="P6" i="2"/>
  <c r="O6" i="2"/>
  <c r="M6" i="2"/>
  <c r="L6" i="2"/>
  <c r="K6" i="2"/>
  <c r="H6" i="2"/>
  <c r="G6" i="2"/>
  <c r="F6" i="2"/>
  <c r="E6" i="2"/>
  <c r="D6" i="2"/>
  <c r="C6" i="2"/>
  <c r="A6" i="2"/>
  <c r="IV5" i="2"/>
  <c r="IU5" i="2"/>
  <c r="IT5" i="2"/>
  <c r="IS5" i="2"/>
  <c r="IW5" i="2" s="1"/>
  <c r="IR5" i="2"/>
  <c r="IO5" i="2"/>
  <c r="IL5" i="2"/>
  <c r="II5" i="2"/>
  <c r="IG5" i="2"/>
  <c r="IF5" i="2"/>
  <c r="IE5" i="2"/>
  <c r="IH5" i="2" s="1"/>
  <c r="ID5" i="2"/>
  <c r="IC5" i="2"/>
  <c r="HZ5" i="2"/>
  <c r="HD5" i="2" s="1"/>
  <c r="HW5" i="2"/>
  <c r="HT5" i="2"/>
  <c r="HR5" i="2"/>
  <c r="HQ5" i="2"/>
  <c r="HP5" i="2"/>
  <c r="HO5" i="2"/>
  <c r="HS5" i="2" s="1"/>
  <c r="HN5" i="2"/>
  <c r="HK5" i="2"/>
  <c r="HH5" i="2"/>
  <c r="HE5" i="2"/>
  <c r="HB5" i="2"/>
  <c r="HA5" i="2"/>
  <c r="HC5" i="2" s="1"/>
  <c r="GZ5" i="2"/>
  <c r="GY5" i="2"/>
  <c r="GX5" i="2"/>
  <c r="GU5" i="2"/>
  <c r="GR5" i="2"/>
  <c r="GO5" i="2"/>
  <c r="GM5" i="2"/>
  <c r="GL5" i="2"/>
  <c r="GK5" i="2"/>
  <c r="GJ5" i="2"/>
  <c r="GN5" i="2" s="1"/>
  <c r="GI5" i="2"/>
  <c r="GF5" i="2"/>
  <c r="GC5" i="2"/>
  <c r="FZ5" i="2"/>
  <c r="FY5" i="2"/>
  <c r="FX5" i="2"/>
  <c r="FW5" i="2"/>
  <c r="FV5" i="2"/>
  <c r="FU5" i="2"/>
  <c r="FT5" i="2"/>
  <c r="FQ5" i="2"/>
  <c r="FJ5" i="2" s="1"/>
  <c r="FN5" i="2"/>
  <c r="FK5" i="2"/>
  <c r="FH5" i="2"/>
  <c r="FG5" i="2"/>
  <c r="FF5" i="2"/>
  <c r="FE5" i="2"/>
  <c r="FI5" i="2" s="1"/>
  <c r="FD5" i="2"/>
  <c r="FA5" i="2"/>
  <c r="EX5" i="2"/>
  <c r="EU5" i="2"/>
  <c r="ES5" i="2"/>
  <c r="ER5" i="2"/>
  <c r="EQ5" i="2"/>
  <c r="ET5" i="2" s="1"/>
  <c r="EP5" i="2"/>
  <c r="EO5" i="2"/>
  <c r="EL5" i="2"/>
  <c r="DP5" i="2" s="1"/>
  <c r="EI5" i="2"/>
  <c r="EF5" i="2"/>
  <c r="ED5" i="2"/>
  <c r="EC5" i="2"/>
  <c r="EB5" i="2"/>
  <c r="EA5" i="2"/>
  <c r="EE5" i="2" s="1"/>
  <c r="DZ5" i="2"/>
  <c r="DW5" i="2"/>
  <c r="DT5" i="2"/>
  <c r="DQ5" i="2"/>
  <c r="DN5" i="2"/>
  <c r="DM5" i="2"/>
  <c r="DO5" i="2" s="1"/>
  <c r="DL5" i="2"/>
  <c r="DK5" i="2"/>
  <c r="DJ5" i="2"/>
  <c r="DG5" i="2"/>
  <c r="DD5" i="2"/>
  <c r="DA5" i="2"/>
  <c r="CY5" i="2"/>
  <c r="CX5" i="2"/>
  <c r="CW5" i="2"/>
  <c r="CV5" i="2"/>
  <c r="CZ5" i="2" s="1"/>
  <c r="CU5" i="2"/>
  <c r="CR5" i="2"/>
  <c r="CO5" i="2"/>
  <c r="CL5" i="2"/>
  <c r="CK5" i="2"/>
  <c r="CJ5" i="2"/>
  <c r="CI5" i="2"/>
  <c r="CH5" i="2"/>
  <c r="CG5" i="2"/>
  <c r="CF5" i="2"/>
  <c r="CE5" i="2"/>
  <c r="CC5" i="2"/>
  <c r="BV5" i="2" s="1"/>
  <c r="BZ5" i="2"/>
  <c r="BW5" i="2"/>
  <c r="BU5" i="2"/>
  <c r="BH5" i="2"/>
  <c r="BG5" i="2"/>
  <c r="BB5" i="2"/>
  <c r="BA5" i="2"/>
  <c r="AY5" i="2"/>
  <c r="AX5" i="2"/>
  <c r="AV5" i="2"/>
  <c r="AU5" i="2"/>
  <c r="AT5" i="2"/>
  <c r="AS5" i="2"/>
  <c r="AP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AO5" i="2" s="1"/>
  <c r="X5" i="2"/>
  <c r="W5" i="2"/>
  <c r="V5" i="2"/>
  <c r="U5" i="2"/>
  <c r="T5" i="2"/>
  <c r="S5" i="2"/>
  <c r="R5" i="2"/>
  <c r="Q5" i="2"/>
  <c r="BI5" i="2" s="1"/>
  <c r="P5" i="2"/>
  <c r="O5" i="2"/>
  <c r="M5" i="2"/>
  <c r="L5" i="2"/>
  <c r="K5" i="2"/>
  <c r="H5" i="2"/>
  <c r="G5" i="2"/>
  <c r="F5" i="2"/>
  <c r="E5" i="2"/>
  <c r="D5" i="2"/>
  <c r="C5" i="2"/>
  <c r="A5" i="2"/>
  <c r="IV4" i="2"/>
  <c r="IU4" i="2"/>
  <c r="IT4" i="2"/>
  <c r="IS4" i="2"/>
  <c r="IW4" i="2" s="1"/>
  <c r="IR4" i="2"/>
  <c r="IO4" i="2"/>
  <c r="IL4" i="2"/>
  <c r="II4" i="2"/>
  <c r="IG4" i="2"/>
  <c r="IF4" i="2"/>
  <c r="IH4" i="2" s="1"/>
  <c r="IE4" i="2"/>
  <c r="ID4" i="2"/>
  <c r="IC4" i="2"/>
  <c r="HZ4" i="2"/>
  <c r="HW4" i="2"/>
  <c r="HT4" i="2"/>
  <c r="HR4" i="2"/>
  <c r="HQ4" i="2"/>
  <c r="HP4" i="2"/>
  <c r="HO4" i="2"/>
  <c r="HS4" i="2" s="1"/>
  <c r="HN4" i="2"/>
  <c r="HK4" i="2"/>
  <c r="HH4" i="2"/>
  <c r="HE4" i="2"/>
  <c r="HD4" i="2"/>
  <c r="HB4" i="2"/>
  <c r="HA4" i="2"/>
  <c r="GZ4" i="2"/>
  <c r="HC4" i="2" s="1"/>
  <c r="GY4" i="2"/>
  <c r="GX4" i="2"/>
  <c r="GU4" i="2"/>
  <c r="GR4" i="2"/>
  <c r="GO4" i="2"/>
  <c r="GM4" i="2"/>
  <c r="GL4" i="2"/>
  <c r="GK4" i="2"/>
  <c r="GJ4" i="2"/>
  <c r="GN4" i="2" s="1"/>
  <c r="GI4" i="2"/>
  <c r="GF4" i="2"/>
  <c r="FJ4" i="2" s="1"/>
  <c r="GC4" i="2"/>
  <c r="FZ4" i="2"/>
  <c r="FX4" i="2"/>
  <c r="FW4" i="2"/>
  <c r="FV4" i="2"/>
  <c r="FY4" i="2" s="1"/>
  <c r="FU4" i="2"/>
  <c r="FT4" i="2"/>
  <c r="FQ4" i="2"/>
  <c r="FN4" i="2"/>
  <c r="FK4" i="2"/>
  <c r="FH4" i="2"/>
  <c r="FG4" i="2"/>
  <c r="FF4" i="2"/>
  <c r="FE4" i="2"/>
  <c r="FI4" i="2" s="1"/>
  <c r="FD4" i="2"/>
  <c r="FA4" i="2"/>
  <c r="EX4" i="2"/>
  <c r="EU4" i="2"/>
  <c r="ES4" i="2"/>
  <c r="ER4" i="2"/>
  <c r="ET4" i="2" s="1"/>
  <c r="EQ4" i="2"/>
  <c r="EP4" i="2"/>
  <c r="EO4" i="2"/>
  <c r="EL4" i="2"/>
  <c r="EI4" i="2"/>
  <c r="EF4" i="2"/>
  <c r="ED4" i="2"/>
  <c r="EC4" i="2"/>
  <c r="EB4" i="2"/>
  <c r="EA4" i="2"/>
  <c r="EE4" i="2" s="1"/>
  <c r="DZ4" i="2"/>
  <c r="DW4" i="2"/>
  <c r="DT4" i="2"/>
  <c r="DQ4" i="2"/>
  <c r="DP4" i="2"/>
  <c r="DN4" i="2"/>
  <c r="DM4" i="2"/>
  <c r="DL4" i="2"/>
  <c r="DO4" i="2" s="1"/>
  <c r="DK4" i="2"/>
  <c r="DJ4" i="2"/>
  <c r="DG4" i="2"/>
  <c r="DD4" i="2"/>
  <c r="DA4" i="2"/>
  <c r="CY4" i="2"/>
  <c r="CX4" i="2"/>
  <c r="CW4" i="2"/>
  <c r="CV4" i="2"/>
  <c r="CZ4" i="2" s="1"/>
  <c r="CU4" i="2"/>
  <c r="CR4" i="2"/>
  <c r="BU4" i="2" s="1"/>
  <c r="CO4" i="2"/>
  <c r="CL4" i="2"/>
  <c r="CJ4" i="2"/>
  <c r="CI4" i="2"/>
  <c r="CH4" i="2"/>
  <c r="CG4" i="2"/>
  <c r="CK4" i="2" s="1"/>
  <c r="CF4" i="2"/>
  <c r="CC4" i="2"/>
  <c r="BZ4" i="2"/>
  <c r="BW4" i="2"/>
  <c r="BI4" i="2"/>
  <c r="BH4" i="2"/>
  <c r="BG4" i="2"/>
  <c r="BB4" i="2"/>
  <c r="BA4" i="2"/>
  <c r="AY4" i="2"/>
  <c r="AX4" i="2"/>
  <c r="AV4" i="2"/>
  <c r="AU4" i="2"/>
  <c r="AT4" i="2"/>
  <c r="AS4" i="2"/>
  <c r="AP4" i="2"/>
  <c r="AN4" i="2"/>
  <c r="AM4" i="2"/>
  <c r="AL4" i="2"/>
  <c r="AK4" i="2"/>
  <c r="AJ4" i="2"/>
  <c r="CE4" i="2" s="1"/>
  <c r="AI4" i="2"/>
  <c r="AH4" i="2"/>
  <c r="AG4" i="2"/>
  <c r="AF4" i="2"/>
  <c r="AE4" i="2"/>
  <c r="AD4" i="2"/>
  <c r="AC4" i="2"/>
  <c r="AB4" i="2"/>
  <c r="AA4" i="2"/>
  <c r="Y4" i="2" s="1"/>
  <c r="AO4" i="2" s="1"/>
  <c r="Z4" i="2"/>
  <c r="X4" i="2"/>
  <c r="W4" i="2"/>
  <c r="V4" i="2"/>
  <c r="U4" i="2"/>
  <c r="T4" i="2"/>
  <c r="S4" i="2"/>
  <c r="R4" i="2"/>
  <c r="Q4" i="2"/>
  <c r="P4" i="2"/>
  <c r="O4" i="2"/>
  <c r="M4" i="2"/>
  <c r="L4" i="2"/>
  <c r="K4" i="2"/>
  <c r="H4" i="2"/>
  <c r="G4" i="2"/>
  <c r="F4" i="2"/>
  <c r="E4" i="2"/>
  <c r="D4" i="2"/>
  <c r="C4" i="2"/>
  <c r="A4" i="2"/>
  <c r="IQ1" i="2"/>
  <c r="IP1" i="2"/>
  <c r="IB1" i="2"/>
  <c r="IA1" i="2"/>
  <c r="HM1" i="2"/>
  <c r="HL1" i="2"/>
  <c r="GW1" i="2"/>
  <c r="GV1" i="2"/>
  <c r="GH1" i="2"/>
  <c r="GG1" i="2"/>
  <c r="FS1" i="2"/>
  <c r="FR1" i="2"/>
  <c r="FC1" i="2"/>
  <c r="FB1" i="2"/>
  <c r="EN1" i="2"/>
  <c r="EM1" i="2"/>
  <c r="DY1" i="2"/>
  <c r="DX1" i="2"/>
  <c r="DI1" i="2"/>
  <c r="DH1" i="2"/>
  <c r="CT1" i="2"/>
  <c r="CS1" i="2"/>
  <c r="CD1" i="2"/>
  <c r="P107" i="7" l="1"/>
  <c r="P111" i="7"/>
  <c r="P106" i="7"/>
  <c r="Q51" i="7"/>
  <c r="O51" i="7"/>
  <c r="P51" i="7"/>
  <c r="B66" i="7"/>
  <c r="K17" i="7"/>
  <c r="B78" i="7"/>
  <c r="O78" i="7" s="1"/>
  <c r="C17" i="7"/>
  <c r="I34" i="7"/>
  <c r="G51" i="7"/>
  <c r="D51" i="7"/>
  <c r="O45" i="7"/>
  <c r="C50" i="7"/>
  <c r="M45" i="7"/>
  <c r="J34" i="7"/>
  <c r="P45" i="7"/>
  <c r="F51" i="7"/>
  <c r="L45" i="7"/>
  <c r="N43" i="7"/>
  <c r="N42" i="7"/>
  <c r="I17" i="7"/>
  <c r="D17" i="7"/>
  <c r="C34" i="7"/>
  <c r="C4" i="7" s="1"/>
  <c r="M34" i="7"/>
  <c r="B31" i="7"/>
  <c r="F17" i="7"/>
  <c r="F34" i="7"/>
  <c r="Q34" i="7"/>
  <c r="M17" i="7"/>
  <c r="M4" i="7" s="1"/>
  <c r="B32" i="7"/>
  <c r="E17" i="7"/>
  <c r="B27" i="7"/>
  <c r="K34" i="7"/>
  <c r="E51" i="7"/>
  <c r="G17" i="7"/>
  <c r="D34" i="7"/>
  <c r="E4" i="7" s="1"/>
  <c r="N34" i="7"/>
  <c r="B29" i="7"/>
  <c r="C64" i="7"/>
  <c r="H17" i="7"/>
  <c r="E34" i="7"/>
  <c r="G4" i="7" s="1"/>
  <c r="P34" i="7"/>
  <c r="B33" i="7"/>
  <c r="J45" i="7"/>
  <c r="K45" i="7"/>
  <c r="J17" i="7"/>
  <c r="H34" i="7"/>
  <c r="B28" i="7"/>
  <c r="B30" i="7"/>
  <c r="B16" i="7"/>
  <c r="Q16" i="7" s="1"/>
  <c r="B15" i="7"/>
  <c r="P15" i="7" s="1"/>
  <c r="B14" i="7"/>
  <c r="O14" i="7" s="1"/>
  <c r="B13" i="7"/>
  <c r="P13" i="7" s="1"/>
  <c r="B12" i="7"/>
  <c r="O12" i="7" s="1"/>
  <c r="B11" i="7"/>
  <c r="O11" i="7" s="1"/>
  <c r="L17" i="7"/>
  <c r="CE1" i="2"/>
  <c r="BV4" i="2"/>
  <c r="HS17" i="2"/>
  <c r="CZ21" i="2"/>
  <c r="EE21" i="2"/>
  <c r="ET20" i="2"/>
  <c r="IH19" i="2"/>
  <c r="CK20" i="2"/>
  <c r="FY19" i="2"/>
  <c r="G81" i="7"/>
  <c r="F80" i="7"/>
  <c r="E79" i="7"/>
  <c r="C77" i="7"/>
  <c r="H74" i="7"/>
  <c r="F81" i="7"/>
  <c r="E80" i="7"/>
  <c r="D79" i="7"/>
  <c r="H75" i="7"/>
  <c r="G74" i="7"/>
  <c r="E81" i="7"/>
  <c r="D80" i="7"/>
  <c r="C79" i="7"/>
  <c r="H76" i="7"/>
  <c r="G75" i="7"/>
  <c r="F74" i="7"/>
  <c r="D81" i="7"/>
  <c r="C80" i="7"/>
  <c r="H77" i="7"/>
  <c r="G76" i="7"/>
  <c r="F75" i="7"/>
  <c r="E74" i="7"/>
  <c r="C81" i="7"/>
  <c r="G77" i="7"/>
  <c r="F76" i="7"/>
  <c r="E75" i="7"/>
  <c r="D74" i="7"/>
  <c r="H79" i="7"/>
  <c r="F77" i="7"/>
  <c r="E76" i="7"/>
  <c r="D75" i="7"/>
  <c r="C74" i="7"/>
  <c r="H80" i="7"/>
  <c r="G79" i="7"/>
  <c r="E77" i="7"/>
  <c r="D76" i="7"/>
  <c r="C75" i="7"/>
  <c r="H81" i="7"/>
  <c r="G80" i="7"/>
  <c r="F79" i="7"/>
  <c r="D77" i="7"/>
  <c r="C76" i="7"/>
  <c r="G61" i="7"/>
  <c r="G65" i="7"/>
  <c r="G62" i="7"/>
  <c r="G58" i="7"/>
  <c r="G63" i="7"/>
  <c r="G59" i="7"/>
  <c r="G64" i="7"/>
  <c r="G60" i="7"/>
  <c r="C41" i="7"/>
  <c r="C45" i="7"/>
  <c r="C49" i="7"/>
  <c r="C59" i="7"/>
  <c r="C63" i="7"/>
  <c r="B10" i="7"/>
  <c r="O10" i="7" s="1"/>
  <c r="N41" i="7"/>
  <c r="C44" i="7"/>
  <c r="C48" i="7"/>
  <c r="C58" i="7"/>
  <c r="C62" i="7"/>
  <c r="N44" i="7"/>
  <c r="B51" i="7"/>
  <c r="Q41" i="7"/>
  <c r="Q45" i="7" s="1"/>
  <c r="C43" i="7"/>
  <c r="C47" i="7"/>
  <c r="C61" i="7"/>
  <c r="C42" i="7"/>
  <c r="C46" i="7"/>
  <c r="C60" i="7"/>
  <c r="G66" i="7" l="1"/>
  <c r="K78" i="7"/>
  <c r="P78" i="7"/>
  <c r="C66" i="7"/>
  <c r="N78" i="7"/>
  <c r="M78" i="7"/>
  <c r="O13" i="7"/>
  <c r="Q10" i="7"/>
  <c r="O15" i="7"/>
  <c r="Q15" i="7"/>
  <c r="L78" i="7"/>
  <c r="P16" i="7"/>
  <c r="Q12" i="7"/>
  <c r="I4" i="7"/>
  <c r="O4" i="7"/>
  <c r="Q4" i="7"/>
  <c r="P14" i="7"/>
  <c r="O16" i="7"/>
  <c r="Q14" i="7"/>
  <c r="K4" i="7"/>
  <c r="P12" i="7"/>
  <c r="P10" i="7"/>
  <c r="P11" i="7"/>
  <c r="Q13" i="7"/>
  <c r="Q11" i="7"/>
  <c r="B34" i="7"/>
  <c r="B75" i="7"/>
  <c r="K75" i="7" s="1"/>
  <c r="N45" i="7"/>
  <c r="B17" i="7"/>
  <c r="A4" i="7" s="1"/>
  <c r="B79" i="7"/>
  <c r="K79" i="7" s="1"/>
  <c r="D82" i="7"/>
  <c r="H82" i="7"/>
  <c r="B77" i="7"/>
  <c r="L77" i="7" s="1"/>
  <c r="B80" i="7"/>
  <c r="K80" i="7" s="1"/>
  <c r="G82" i="7"/>
  <c r="C51" i="7"/>
  <c r="F82" i="7"/>
  <c r="B81" i="7"/>
  <c r="L81" i="7" s="1"/>
  <c r="B76" i="7"/>
  <c r="O76" i="7" s="1"/>
  <c r="E82" i="7"/>
  <c r="H61" i="7"/>
  <c r="H65" i="7"/>
  <c r="H62" i="7"/>
  <c r="H58" i="7"/>
  <c r="H63" i="7"/>
  <c r="H59" i="7"/>
  <c r="H64" i="7"/>
  <c r="H60" i="7"/>
  <c r="C82" i="7"/>
  <c r="B74" i="7"/>
  <c r="K74" i="7" s="1"/>
  <c r="Q78" i="7" l="1"/>
  <c r="N74" i="7"/>
  <c r="O74" i="7"/>
  <c r="M77" i="7"/>
  <c r="P75" i="7"/>
  <c r="P80" i="7"/>
  <c r="P77" i="7"/>
  <c r="N76" i="7"/>
  <c r="M76" i="7"/>
  <c r="O77" i="7"/>
  <c r="M81" i="7"/>
  <c r="H66" i="7"/>
  <c r="M75" i="7"/>
  <c r="O79" i="7"/>
  <c r="M80" i="7"/>
  <c r="P79" i="7"/>
  <c r="N79" i="7"/>
  <c r="N75" i="7"/>
  <c r="P81" i="7"/>
  <c r="P74" i="7"/>
  <c r="O81" i="7"/>
  <c r="P76" i="7"/>
  <c r="N80" i="7"/>
  <c r="N77" i="7"/>
  <c r="N81" i="7"/>
  <c r="O75" i="7"/>
  <c r="M79" i="7"/>
  <c r="M74" i="7"/>
  <c r="O80" i="7"/>
  <c r="L80" i="7"/>
  <c r="N11" i="7"/>
  <c r="K77" i="7"/>
  <c r="L75" i="7"/>
  <c r="P17" i="7"/>
  <c r="Q17" i="7"/>
  <c r="K81" i="7"/>
  <c r="N15" i="7"/>
  <c r="N16" i="7"/>
  <c r="N13" i="7"/>
  <c r="L79" i="7"/>
  <c r="N10" i="7"/>
  <c r="K76" i="7"/>
  <c r="L74" i="7"/>
  <c r="O17" i="7"/>
  <c r="N14" i="7"/>
  <c r="N12" i="7"/>
  <c r="L76" i="7"/>
  <c r="B82" i="7"/>
  <c r="J78" i="7" s="1"/>
  <c r="Q77" i="7" l="1"/>
  <c r="Q80" i="7"/>
  <c r="Q74" i="7"/>
  <c r="Q76" i="7"/>
  <c r="P82" i="7"/>
  <c r="Q75" i="7"/>
  <c r="O82" i="7"/>
  <c r="M82" i="7"/>
  <c r="N82" i="7"/>
  <c r="Q79" i="7"/>
  <c r="Q81" i="7"/>
  <c r="N17" i="7"/>
  <c r="J76" i="7"/>
  <c r="K82" i="7"/>
  <c r="J77" i="7"/>
  <c r="J79" i="7"/>
  <c r="J80" i="7"/>
  <c r="J74" i="7"/>
  <c r="J75" i="7"/>
  <c r="J81" i="7"/>
  <c r="L82" i="7"/>
  <c r="Q82" i="7" l="1"/>
  <c r="J82" i="7"/>
</calcChain>
</file>

<file path=xl/sharedStrings.xml><?xml version="1.0" encoding="utf-8"?>
<sst xmlns="http://schemas.openxmlformats.org/spreadsheetml/2006/main" count="7195" uniqueCount="1425">
  <si>
    <t>#</t>
  </si>
  <si>
    <t>RESULTADO</t>
  </si>
  <si>
    <t>FOLLOW-UP (DIAS)</t>
  </si>
  <si>
    <t>GRUPO DASH</t>
  </si>
  <si>
    <t>QUANDO USAR</t>
  </si>
  <si>
    <t>EM ATENDIMENTO</t>
  </si>
  <si>
    <t>FUNIL</t>
  </si>
  <si>
    <t>Negociação ativa</t>
  </si>
  <si>
    <t>ORÇAMENTO</t>
  </si>
  <si>
    <t>Proposta enviada</t>
  </si>
  <si>
    <t>CADASTRO</t>
  </si>
  <si>
    <t>Cliente novo em cadastro</t>
  </si>
  <si>
    <t>VENDA / PEDIDO</t>
  </si>
  <si>
    <t>Pedido fechado</t>
  </si>
  <si>
    <t>RELACIONAMENTO</t>
  </si>
  <si>
    <t>RELAC.</t>
  </si>
  <si>
    <t>Contato pós-venda/CS</t>
  </si>
  <si>
    <t>FOLLOW UP 7</t>
  </si>
  <si>
    <t>Retomar em 1 semana</t>
  </si>
  <si>
    <t>FOLLOW UP 15</t>
  </si>
  <si>
    <t>Retomar em 2 semanas</t>
  </si>
  <si>
    <t>SUPORTE</t>
  </si>
  <si>
    <t>Problema resolvido</t>
  </si>
  <si>
    <t>NÃO ATENDE</t>
  </si>
  <si>
    <t>NÃO VENDA</t>
  </si>
  <si>
    <t>Ligou sem resposta</t>
  </si>
  <si>
    <t>NÃO RESPONDE</t>
  </si>
  <si>
    <t>WhatsApp sem resposta</t>
  </si>
  <si>
    <t>RECUSOU LIGAÇÃO</t>
  </si>
  <si>
    <t>Rejeitou chamada</t>
  </si>
  <si>
    <t>PERDA / FECHOU LOJA</t>
  </si>
  <si>
    <t>Cliente perdido</t>
  </si>
  <si>
    <t>TIPO DO CONTATO</t>
  </si>
  <si>
    <t>PROSPECÇÃO</t>
  </si>
  <si>
    <t>Primeiro contato com prospect/lead que nunca comprou</t>
  </si>
  <si>
    <t>NEGOCIAÇÃO</t>
  </si>
  <si>
    <t>Cliente demonstrou interesse, está em fase de proposta/orçamento</t>
  </si>
  <si>
    <t>FOLLOW UP</t>
  </si>
  <si>
    <t>Retomada de contato agendado (follow-up 7d ou 15d)</t>
  </si>
  <si>
    <t>ATEND. CLIENTES ATIVOS</t>
  </si>
  <si>
    <t>Manutenção de clientes ATIVOS (ciclo de recompra, pós-venda)</t>
  </si>
  <si>
    <t>ATEND. CLIENTES INATIVOS</t>
  </si>
  <si>
    <t>Reativação de INAT.REC ou INAT.ANT (não compra há 60+ dias)</t>
  </si>
  <si>
    <t>PÓS-VENDA / RELACIONAMENTO</t>
  </si>
  <si>
    <t>Contato de relacionamento após venda (satisfação, CS, suporte)</t>
  </si>
  <si>
    <t>PERDA / NUTRIÇÃO</t>
  </si>
  <si>
    <t>Cliente perdido ou em nutrição (fechou loja, sem interesse)</t>
  </si>
  <si>
    <t>MOTIVO</t>
  </si>
  <si>
    <t>DONO DA AÇÃO</t>
  </si>
  <si>
    <t>AINDA TEM ESTOQUE</t>
  </si>
  <si>
    <t>Normal</t>
  </si>
  <si>
    <t>PRODUTO NÃO VENDEU / SEM GIRO</t>
  </si>
  <si>
    <t>DIRETORIA / FÁBRICA</t>
  </si>
  <si>
    <t>LOJA ANEXO/PROXIMO - SM</t>
  </si>
  <si>
    <t>COMERCIAL</t>
  </si>
  <si>
    <t>SÓ QUER COMPRAR GRANEL</t>
  </si>
  <si>
    <t>COMERCIAL / MKT</t>
  </si>
  <si>
    <t>PROBLEMA LOGÍSTICO / ENTREGA</t>
  </si>
  <si>
    <t>LOGÍSTICA</t>
  </si>
  <si>
    <t>PROBLEMA FINANCEIRO / CRÉDITO</t>
  </si>
  <si>
    <t>FINANCEIRO</t>
  </si>
  <si>
    <t>PROPRIETARIO / INDISPONÍVEL</t>
  </si>
  <si>
    <t>FECHANDO / FECHOU LOJA</t>
  </si>
  <si>
    <t>PERDA</t>
  </si>
  <si>
    <t>SEM INTERESSE NO MOMENTO</t>
  </si>
  <si>
    <t>NUTRIÇÃO</t>
  </si>
  <si>
    <t>PRIMEIRO CONTATO / SEM RESPOSTA</t>
  </si>
  <si>
    <t>DIAS</t>
  </si>
  <si>
    <t>SITUAÇÃO</t>
  </si>
  <si>
    <t>COR HEX</t>
  </si>
  <si>
    <t>≤ 50</t>
  </si>
  <si>
    <t>ATIVO</t>
  </si>
  <si>
    <t>#00B050</t>
  </si>
  <si>
    <t>51-60</t>
  </si>
  <si>
    <t>EM RISCO</t>
  </si>
  <si>
    <t>#FFC000</t>
  </si>
  <si>
    <t>61-90</t>
  </si>
  <si>
    <t>INAT.REC</t>
  </si>
  <si>
    <t>&gt; 90</t>
  </si>
  <si>
    <t>INAT.ANT</t>
  </si>
  <si>
    <t>#FF0000</t>
  </si>
  <si>
    <t>Nunca comprou + cadastro</t>
  </si>
  <si>
    <t>NOVO</t>
  </si>
  <si>
    <t>#0070C0</t>
  </si>
  <si>
    <t>Nunca comprou</t>
  </si>
  <si>
    <t>PROSPECT</t>
  </si>
  <si>
    <t>#7B2FF2</t>
  </si>
  <si>
    <t>Manual (Daiane)</t>
  </si>
  <si>
    <t>LEAD</t>
  </si>
  <si>
    <t>FASE</t>
  </si>
  <si>
    <t>DESCRIÇÃO</t>
  </si>
  <si>
    <t>PÓS-VENDA</t>
  </si>
  <si>
    <t>CS</t>
  </si>
  <si>
    <t>RECOMPRA</t>
  </si>
  <si>
    <t>SALVAMENTO</t>
  </si>
  <si>
    <t>RECUPERAÇÃO</t>
  </si>
  <si>
    <t>TENTATIVA</t>
  </si>
  <si>
    <t>CANAL</t>
  </si>
  <si>
    <t>INTERVALO</t>
  </si>
  <si>
    <t>T1</t>
  </si>
  <si>
    <t>WhatsApp</t>
  </si>
  <si>
    <t>Dia 0</t>
  </si>
  <si>
    <t>T2</t>
  </si>
  <si>
    <t>Ligação</t>
  </si>
  <si>
    <t>+1 dia</t>
  </si>
  <si>
    <t>T3</t>
  </si>
  <si>
    <t>+2 dias</t>
  </si>
  <si>
    <t>T4</t>
  </si>
  <si>
    <t>Ligação final</t>
  </si>
  <si>
    <t>Email+WhatsApp</t>
  </si>
  <si>
    <t>Ciclo 15d</t>
  </si>
  <si>
    <t>RESET</t>
  </si>
  <si>
    <t>Qualquer</t>
  </si>
  <si>
    <t>Quando responde</t>
  </si>
  <si>
    <t>SINALEIRO</t>
  </si>
  <si>
    <t>CONDIÇÃO</t>
  </si>
  <si>
    <t>🟢</t>
  </si>
  <si>
    <t>Dias ≤ Ciclo Médio</t>
  </si>
  <si>
    <t>🟡</t>
  </si>
  <si>
    <t>Dias ≤ Ciclo+30</t>
  </si>
  <si>
    <t>🔴</t>
  </si>
  <si>
    <t>Dias &gt; Ciclo+30</t>
  </si>
  <si>
    <t>🟣</t>
  </si>
  <si>
    <t>TIPO CLIENTE</t>
  </si>
  <si>
    <t>CRITÉRIO</t>
  </si>
  <si>
    <t>1ª compra</t>
  </si>
  <si>
    <t>EM DESENVOLVIMENTO</t>
  </si>
  <si>
    <t>2-3 compras</t>
  </si>
  <si>
    <t>RECORRENTE</t>
  </si>
  <si>
    <t>4+ compras 3+ meses</t>
  </si>
  <si>
    <t>FIDELIZADO</t>
  </si>
  <si>
    <t>6+ compras 6+ meses</t>
  </si>
  <si>
    <t>Manual Daiane</t>
  </si>
  <si>
    <t>CONSULTOR</t>
  </si>
  <si>
    <t>TERRITÓRIO</t>
  </si>
  <si>
    <t>MANU DITZEL</t>
  </si>
  <si>
    <t>SC/PR/RS</t>
  </si>
  <si>
    <t>LARISSA PADILHA</t>
  </si>
  <si>
    <t>Resto do Brasil</t>
  </si>
  <si>
    <t>JULIO GADRET</t>
  </si>
  <si>
    <t>CIA DA SAUDE / FITLAND</t>
  </si>
  <si>
    <t>DAIANE STAVICKI</t>
  </si>
  <si>
    <t>Redes de Franquia</t>
  </si>
  <si>
    <t>LISTA</t>
  </si>
  <si>
    <t>VALORES</t>
  </si>
  <si>
    <t>SIM_NAO</t>
  </si>
  <si>
    <t>SIM</t>
  </si>
  <si>
    <t>NÃO</t>
  </si>
  <si>
    <t>SIM_NAO_NA</t>
  </si>
  <si>
    <t>N/A</t>
  </si>
  <si>
    <t>ATIVO_RECEPTIVO</t>
  </si>
  <si>
    <t>RECEPTIVO</t>
  </si>
  <si>
    <t>CURVA_ABC</t>
  </si>
  <si>
    <t>A</t>
  </si>
  <si>
    <t>B</t>
  </si>
  <si>
    <t>C</t>
  </si>
  <si>
    <t>TIPO_CLIENTE</t>
  </si>
  <si>
    <t>GRUPO_DASH</t>
  </si>
  <si>
    <t>ACAO_FUTURA</t>
  </si>
  <si>
    <t>REATIVAÇÃO</t>
  </si>
  <si>
    <t>🟣 MERCOS</t>
  </si>
  <si>
    <t>🔵 FUNIL</t>
  </si>
  <si>
    <t>⚫ SAP</t>
  </si>
  <si>
    <t>🟢 ACOMPANHAMENTO</t>
  </si>
  <si>
    <t>Q1</t>
  </si>
  <si>
    <t>JAN</t>
  </si>
  <si>
    <t>100%</t>
  </si>
  <si>
    <t>FEV</t>
  </si>
  <si>
    <t>MAR</t>
  </si>
  <si>
    <t>Q2</t>
  </si>
  <si>
    <t>ABR</t>
  </si>
  <si>
    <t>MAI</t>
  </si>
  <si>
    <t>JUN</t>
  </si>
  <si>
    <t>Q3</t>
  </si>
  <si>
    <t>JUL</t>
  </si>
  <si>
    <t>AGO</t>
  </si>
  <si>
    <t>SET</t>
  </si>
  <si>
    <t>Q4</t>
  </si>
  <si>
    <t>OUT</t>
  </si>
  <si>
    <t>NOV</t>
  </si>
  <si>
    <t>DEZ</t>
  </si>
  <si>
    <t>ANCORA</t>
  </si>
  <si>
    <t>IDENTIDADE</t>
  </si>
  <si>
    <t>REDE</t>
  </si>
  <si>
    <t>EQUIPE</t>
  </si>
  <si>
    <t>STATUS</t>
  </si>
  <si>
    <t>COMPRA</t>
  </si>
  <si>
    <t>ECOMMERCE</t>
  </si>
  <si>
    <t>VENDAS</t>
  </si>
  <si>
    <t>RECORRÊNCIA</t>
  </si>
  <si>
    <t>PIPELINE</t>
  </si>
  <si>
    <t>PERFIL</t>
  </si>
  <si>
    <t>MATURIDADE</t>
  </si>
  <si>
    <t>CONVERSÃO</t>
  </si>
  <si>
    <t>AÇÃO</t>
  </si>
  <si>
    <t>SINAL</t>
  </si>
  <si>
    <t>DADOS SAP</t>
  </si>
  <si>
    <t>SAP</t>
  </si>
  <si>
    <t>YTD</t>
  </si>
  <si>
    <t>TRI</t>
  </si>
  <si>
    <t>MÊS</t>
  </si>
  <si>
    <t>NOME FANTASIA</t>
  </si>
  <si>
    <t>CNPJ</t>
  </si>
  <si>
    <t>RAZÃO SOCIAL</t>
  </si>
  <si>
    <t>UF</t>
  </si>
  <si>
    <t>CIDADE</t>
  </si>
  <si>
    <t>EMAIL</t>
  </si>
  <si>
    <t>TELEFONE</t>
  </si>
  <si>
    <t>DATA CADASTRO</t>
  </si>
  <si>
    <t>REDE / REGIONAL</t>
  </si>
  <si>
    <t>ÚLT. REGISTRO MERCOS</t>
  </si>
  <si>
    <t>VENDEDOR ÚLTIMO PEDIDO</t>
  </si>
  <si>
    <t>PRIORIDADE</t>
  </si>
  <si>
    <t>DIAS SEM COMPRA</t>
  </si>
  <si>
    <t>DATA ÚLTIMO PEDIDO</t>
  </si>
  <si>
    <t>VALOR ÚLTIMO PEDIDO</t>
  </si>
  <si>
    <t>📊 ACESSOS SEMANA</t>
  </si>
  <si>
    <t>ACESSO B2B</t>
  </si>
  <si>
    <t>ACESSOS PORTAL</t>
  </si>
  <si>
    <t>ITENS CARRINHO</t>
  </si>
  <si>
    <t>VALOR B2B</t>
  </si>
  <si>
    <t>OPORTUNIDADE</t>
  </si>
  <si>
    <t>TOTAL PERÍODO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</si>
  <si>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</si>
  <si>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</si>
  <si>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</si>
  <si>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</si>
  <si>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</si>
  <si>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</si>
  <si>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</si>
  <si>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</si>
  <si>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</si>
  <si>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</si>
  <si>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</si>
  <si>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CICLO MÉDIO</t>
  </si>
  <si>
    <t>Nº COMPRAS</t>
  </si>
  <si>
    <t>CURVA ABC</t>
  </si>
  <si>
    <t>MESES POSITIVADO</t>
  </si>
  <si>
    <t>MÉDIA MENSAL</t>
  </si>
  <si>
    <t>TICKET MÉDIO</t>
  </si>
  <si>
    <t>MESES LISTA</t>
  </si>
  <si>
    <t>ESTÁGIO FUNIL</t>
  </si>
  <si>
    <t>PRÓX. FOLLOW-UP</t>
  </si>
  <si>
    <t>DATA ÚLT.ATENDIMENTO</t>
  </si>
  <si>
    <t>ÚLTIMO RESULTADO</t>
  </si>
  <si>
    <t>ÚLTIMA RECOMPRA</t>
  </si>
  <si>
    <t>🔥 TEMPERATURA</t>
  </si>
  <si>
    <t>DIAS ATÉ CONVERSÃO</t>
  </si>
  <si>
    <t>DATA 1º CONTATO</t>
  </si>
  <si>
    <t>DATA 1º ORÇAMENTO</t>
  </si>
  <si>
    <t>DATA 1ª VENDA</t>
  </si>
  <si>
    <t>TOTAL TENTATIVAS</t>
  </si>
  <si>
    <t>PRÓX. AÇÃO</t>
  </si>
  <si>
    <t>AÇÃO DETALHADA</t>
  </si>
  <si>
    <t>🚦 SINALEIRO</t>
  </si>
  <si>
    <t>CÓDIGO DO CLIENTE</t>
  </si>
  <si>
    <t>DESCRIÇÃO GRUPO CLIENTE</t>
  </si>
  <si>
    <t>ZP NOME GERENTE NACIONAL</t>
  </si>
  <si>
    <t>ZR NOME REPRESENTANTE</t>
  </si>
  <si>
    <t>ZV NOME VEND. INTERNO</t>
  </si>
  <si>
    <t>01 NOME DO CANAL</t>
  </si>
  <si>
    <t>02 NOME TIPO CLIENTE</t>
  </si>
  <si>
    <t>03 NOME MACROREGIÃO</t>
  </si>
  <si>
    <t>04 NOME MICROREGIÃO</t>
  </si>
  <si>
    <t>06 NOME GRUPO CHAVE</t>
  </si>
  <si>
    <t>VENDA</t>
  </si>
  <si>
    <t>% ATING.</t>
  </si>
  <si>
    <t>% Q1</t>
  </si>
  <si>
    <t>% YTD</t>
  </si>
  <si>
    <t>META</t>
  </si>
  <si>
    <t>REALIZADO</t>
  </si>
  <si>
    <t>% TRI</t>
  </si>
  <si>
    <t>% MÊS</t>
  </si>
  <si>
    <t>DATA PEDIDO</t>
  </si>
  <si>
    <t>JUSTIFICATIVA SEMANA 1</t>
  </si>
  <si>
    <t>JUSTIFICATIVA SEMANA 2</t>
  </si>
  <si>
    <t>JUSTIFICATIVA SEMANA 3</t>
  </si>
  <si>
    <t>JUSTIFICATIVA SEMANA 4</t>
  </si>
  <si>
    <t>JUSTIFICATIVA MENSAL</t>
  </si>
  <si>
    <t>% Q2</t>
  </si>
  <si>
    <t>% Q3</t>
  </si>
  <si>
    <t>% Q4</t>
  </si>
  <si>
    <t>32828171000108</t>
  </si>
  <si>
    <t>MUNDO VERDE</t>
  </si>
  <si>
    <t>SAP001</t>
  </si>
  <si>
    <t>41626544000140</t>
  </si>
  <si>
    <t>FIT LAND</t>
  </si>
  <si>
    <t>SAP002</t>
  </si>
  <si>
    <t>12345678000199</t>
  </si>
  <si>
    <t>BIOMUNDO</t>
  </si>
  <si>
    <t>SAP003</t>
  </si>
  <si>
    <t>98765432000188</t>
  </si>
  <si>
    <t>DEMAIS CLIENTES</t>
  </si>
  <si>
    <t>SAP004</t>
  </si>
  <si>
    <t>55566677000122</t>
  </si>
  <si>
    <t>CIA DA SAUDE</t>
  </si>
  <si>
    <t>VIDA LEVE</t>
  </si>
  <si>
    <t>TUDO EM GRAOS</t>
  </si>
  <si>
    <t>DIVINA TERRA</t>
  </si>
  <si>
    <t>📦 DRAFT 1 — DADOS MERCOS (atualizar diariamente via extração)</t>
  </si>
  <si>
    <t>🟣 IDENTIDADE</t>
  </si>
  <si>
    <t>🟣 COMPRAS</t>
  </si>
  <si>
    <t>🟣 ECOMERCE</t>
  </si>
  <si>
    <t>🟣 VENDAS MÊS A MÊS</t>
  </si>
  <si>
    <t>🟣 RECORRÊNCIA</t>
  </si>
  <si>
    <t>🟣 ATENDIMENTO</t>
  </si>
  <si>
    <t>📋 FONTE DOS DADOS</t>
  </si>
  <si>
    <t>ACESSOS SEMANA</t>
  </si>
  <si>
    <t>FEV/26</t>
  </si>
  <si>
    <t>DATA ÚLT. ATENDIMENTO MERCOS</t>
  </si>
  <si>
    <t>TIPO ATENDIMENTO MERCOS</t>
  </si>
  <si>
    <t>OBS ATENDIMENTO MERCOS</t>
  </si>
  <si>
    <t>IDENTIDADE (A-K)</t>
  </si>
  <si>
    <t>Carteira Detalhada de Clientes</t>
  </si>
  <si>
    <t>COMPRAS (L-N)</t>
  </si>
  <si>
    <t>ECOMERCE (O-T)</t>
  </si>
  <si>
    <t>Acesso ao Ecomerce [mês]</t>
  </si>
  <si>
    <t>VENDAS (U-AF)</t>
  </si>
  <si>
    <t>Relatório de Vendas [mês]</t>
  </si>
  <si>
    <t>RECORRÊNCIA (AG-AK)</t>
  </si>
  <si>
    <t>Positivação de Clientes + Curva ABC</t>
  </si>
  <si>
    <t>ATENDIMENTO (AL-AO)</t>
  </si>
  <si>
    <t>Relatório de Atendimentos Mercos</t>
  </si>
  <si>
    <t>DATA</t>
  </si>
  <si>
    <t>WHATSAPP</t>
  </si>
  <si>
    <t>LIGAÇÃO</t>
  </si>
  <si>
    <t>LIGAÇÃO ATENDIDA</t>
  </si>
  <si>
    <t>TIPO AÇÃO</t>
  </si>
  <si>
    <t>FOLLOW-UP</t>
  </si>
  <si>
    <t>MERCOS ATUALIZADO</t>
  </si>
  <si>
    <t>NOTA DO DIA / AÇÃO</t>
  </si>
  <si>
    <t>DIVINA TERRA CWB</t>
  </si>
  <si>
    <t>PR</t>
  </si>
  <si>
    <t>Pedido confirmado</t>
  </si>
  <si>
    <t>BIO MUNDO SP</t>
  </si>
  <si>
    <t>SP</t>
  </si>
  <si>
    <t>Sem resposta WhatsApp</t>
  </si>
  <si>
    <t>CIA SAUDE CURITIBA</t>
  </si>
  <si>
    <t>Enviou orçamento</t>
  </si>
  <si>
    <t>MUNDO VERDE RJ</t>
  </si>
  <si>
    <t>RJ</t>
  </si>
  <si>
    <t>Cliente satisfeito</t>
  </si>
  <si>
    <t>Acompanhamento pós-venda</t>
  </si>
  <si>
    <t>Ligou mas não atendeu</t>
  </si>
  <si>
    <t>Fechou pedido!</t>
  </si>
  <si>
    <t>PROSPECT NOVO</t>
  </si>
  <si>
    <t>MG</t>
  </si>
  <si>
    <t>1º contato WhatsApp</t>
  </si>
  <si>
    <t>📊 DRAFT 2 — LOG DE ATENDIMENTOS (CRESCE INFINITO ↓)</t>
  </si>
  <si>
    <t>AÇÃO FUTURA</t>
  </si>
  <si>
    <t>NOTA DO DIA</t>
  </si>
  <si>
    <t>NATUR LIFE 32</t>
  </si>
  <si>
    <t>38.242.854/1680-96</t>
  </si>
  <si>
    <t>EMPÓRIO BIO 76</t>
  </si>
  <si>
    <t>45.928.990/0107-30</t>
  </si>
  <si>
    <t>VIDA LEVE PR 11</t>
  </si>
  <si>
    <t>80.400.949/5926-83</t>
  </si>
  <si>
    <t>MARKET FIT 27</t>
  </si>
  <si>
    <t>95.373.818/1170-87</t>
  </si>
  <si>
    <t>MUNDO VERDE CWB 41</t>
  </si>
  <si>
    <t>61.374.167/3457-82</t>
  </si>
  <si>
    <t>BA</t>
  </si>
  <si>
    <t>VERDE ESSENCE 52</t>
  </si>
  <si>
    <t>56.324.241/8349-73</t>
  </si>
  <si>
    <t>NUTRI VIDA 88</t>
  </si>
  <si>
    <t>24.798.649/4372-92</t>
  </si>
  <si>
    <t>SC</t>
  </si>
  <si>
    <t>GRÃO FINO 78</t>
  </si>
  <si>
    <t>35.256.482/2647-79</t>
  </si>
  <si>
    <t>DF</t>
  </si>
  <si>
    <t>PURA VIDA 11</t>
  </si>
  <si>
    <t>20.849.597/1134-78</t>
  </si>
  <si>
    <t>CIA SAUDE SP 92</t>
  </si>
  <si>
    <t>49.508.787/6119-66</t>
  </si>
  <si>
    <t>VIDA SAUDÁVEL 66</t>
  </si>
  <si>
    <t>40.385.785/7954-37</t>
  </si>
  <si>
    <t>RS</t>
  </si>
  <si>
    <t>NATURAL HOUSE 94</t>
  </si>
  <si>
    <t>16.789.769/1613-17</t>
  </si>
  <si>
    <t>ESSENCE FOOD 13</t>
  </si>
  <si>
    <t>16.767.653/0242-21</t>
  </si>
  <si>
    <t>GO</t>
  </si>
  <si>
    <t>ECO SAUDE 55</t>
  </si>
  <si>
    <t>99.848.902/9106-94</t>
  </si>
  <si>
    <t>BIOMUNDO CTB 66</t>
  </si>
  <si>
    <t>20.971.290/1123-86</t>
  </si>
  <si>
    <t>BIO GRÃOS 31</t>
  </si>
  <si>
    <t>43.505.234/4916-68</t>
  </si>
  <si>
    <t>ARMAZEM FIT 48</t>
  </si>
  <si>
    <t>46.261.548/8901-48</t>
  </si>
  <si>
    <t>NATUR LIFE 37</t>
  </si>
  <si>
    <t>87.315.834/5618-36</t>
  </si>
  <si>
    <t>PONTO VERDE 21</t>
  </si>
  <si>
    <t>66.664.822/7008-81</t>
  </si>
  <si>
    <t>MUNDO VERDE CWB 46</t>
  </si>
  <si>
    <t>36.798.355/1685-55</t>
  </si>
  <si>
    <t>SAUDE TOTAL 53</t>
  </si>
  <si>
    <t>95.984.852/4066-44</t>
  </si>
  <si>
    <t>FITLAND PR 04</t>
  </si>
  <si>
    <t>94.297.508/5379-45</t>
  </si>
  <si>
    <t>PONTO VERDE 05</t>
  </si>
  <si>
    <t>23.710.544/5664-50</t>
  </si>
  <si>
    <t>CIA SAUDE SP 47</t>
  </si>
  <si>
    <t>65.171.780/5410-89</t>
  </si>
  <si>
    <t>VERDE VIDA 79</t>
  </si>
  <si>
    <t>82.408.515/8978-10</t>
  </si>
  <si>
    <t>ECO SAUDE 66</t>
  </si>
  <si>
    <t>94.748.734/5492-21</t>
  </si>
  <si>
    <t>NUTRI SHOP 81</t>
  </si>
  <si>
    <t>83.299.835/6292-73</t>
  </si>
  <si>
    <t>CASA DO GRANEL 59</t>
  </si>
  <si>
    <t>27.920.575/8703-81</t>
  </si>
  <si>
    <t>FEIRA VERDE 58</t>
  </si>
  <si>
    <t>43.869.353/4544-76</t>
  </si>
  <si>
    <t>VIDA SAUDÁVEL 54</t>
  </si>
  <si>
    <t>62.438.655/7634-63</t>
  </si>
  <si>
    <t>NUTRI SHOP 69</t>
  </si>
  <si>
    <t>79.919.717/3614-72</t>
  </si>
  <si>
    <t>TUDO GRÃOS SC 76</t>
  </si>
  <si>
    <t>82.778.127/1376-92</t>
  </si>
  <si>
    <t>NUTRI SHOP 33</t>
  </si>
  <si>
    <t>20.581.119/8838-16</t>
  </si>
  <si>
    <t>CE</t>
  </si>
  <si>
    <t>PURA VIDA 28</t>
  </si>
  <si>
    <t>69.816.362/6044-31</t>
  </si>
  <si>
    <t>CIA SAUDE SP 10</t>
  </si>
  <si>
    <t>85.807.950/3979-23</t>
  </si>
  <si>
    <t>NUTRI VIDA 54</t>
  </si>
  <si>
    <t>72.208.543/5935-91</t>
  </si>
  <si>
    <t>VERDE ESSENCE 35</t>
  </si>
  <si>
    <t>51.972.351/1420-45</t>
  </si>
  <si>
    <t>NATUR LIFE 72</t>
  </si>
  <si>
    <t>11.629.295/1403-40</t>
  </si>
  <si>
    <t>VERDE ESSENCE 48</t>
  </si>
  <si>
    <t>70.666.643/5633-64</t>
  </si>
  <si>
    <t>CIA SAUDE SP 28</t>
  </si>
  <si>
    <t>71.383.841/9660-77</t>
  </si>
  <si>
    <t>ESSENCE FOOD 38</t>
  </si>
  <si>
    <t>99.229.753/8043-23</t>
  </si>
  <si>
    <t>VIDA SAUDÁVEL 74</t>
  </si>
  <si>
    <t>90.802.154/2486-29</t>
  </si>
  <si>
    <t>EMPÓRIO DO CAMPO 76</t>
  </si>
  <si>
    <t>64.412.682/0987-88</t>
  </si>
  <si>
    <t>FEIRA VERDE 38</t>
  </si>
  <si>
    <t>14.337.395/4633-99</t>
  </si>
  <si>
    <t>SABOR NATURAL 35</t>
  </si>
  <si>
    <t>28.173.161/2719-49</t>
  </si>
  <si>
    <t>MUNDO VERDE CWB 56</t>
  </si>
  <si>
    <t>51.718.356/0424-21</t>
  </si>
  <si>
    <t>FEIRA VERDE 67</t>
  </si>
  <si>
    <t>93.552.384/2974-84</t>
  </si>
  <si>
    <t>TUDO GRÃOS SC 98</t>
  </si>
  <si>
    <t>80.137.565/1443-50</t>
  </si>
  <si>
    <t>POWER NATURAL 81</t>
  </si>
  <si>
    <t>66.878.152/3336-44</t>
  </si>
  <si>
    <t>FITLAND PR 15</t>
  </si>
  <si>
    <t>69.220.763/2523-73</t>
  </si>
  <si>
    <t>FIT STORE 09</t>
  </si>
  <si>
    <t>45.891.908/6799-53</t>
  </si>
  <si>
    <t>FEIRA VERDE 45</t>
  </si>
  <si>
    <t>52.665.881/8904-58</t>
  </si>
  <si>
    <t>SABOR NATURAL 64</t>
  </si>
  <si>
    <t>14.229.614/9670-52</t>
  </si>
  <si>
    <t>PONTO VERDE 44</t>
  </si>
  <si>
    <t>89.809.507/1316-52</t>
  </si>
  <si>
    <t>FITLAND PR 96</t>
  </si>
  <si>
    <t>21.544.200/1647-66</t>
  </si>
  <si>
    <t>VERDE VIDA 11</t>
  </si>
  <si>
    <t>88.991.491/3946-73</t>
  </si>
  <si>
    <t>MARKET FIT 76</t>
  </si>
  <si>
    <t>48.754.534/4098-68</t>
  </si>
  <si>
    <t>NATUR LIFE 02</t>
  </si>
  <si>
    <t>82.985.802/0804-87</t>
  </si>
  <si>
    <t>FIT STORE 81</t>
  </si>
  <si>
    <t>22.742.761/0646-49</t>
  </si>
  <si>
    <t>NATUR LIFE 22</t>
  </si>
  <si>
    <t>42.944.593/4836-53</t>
  </si>
  <si>
    <t>TUDO GRÃOS SC 02</t>
  </si>
  <si>
    <t>43.649.226/7452-57</t>
  </si>
  <si>
    <t>FITLAND PR 83</t>
  </si>
  <si>
    <t>18.750.943/7607-99</t>
  </si>
  <si>
    <t>BIO FIT 54</t>
  </si>
  <si>
    <t>85.860.844/2532-63</t>
  </si>
  <si>
    <t>GRANEL &amp; CIA 70</t>
  </si>
  <si>
    <t>92.467.162/6524-45</t>
  </si>
  <si>
    <t>PURA VIDA 27</t>
  </si>
  <si>
    <t>18.949.883/9081-36</t>
  </si>
  <si>
    <t>VERDE VIDA 15</t>
  </si>
  <si>
    <t>94.987.126/2160-11</t>
  </si>
  <si>
    <t>GRANEL &amp; CIA 66</t>
  </si>
  <si>
    <t>85.211.562/8255-38</t>
  </si>
  <si>
    <t>EMPÓRIO BIO 10</t>
  </si>
  <si>
    <t>20.429.722/2431-18</t>
  </si>
  <si>
    <t>CASA DO GRANEL 84</t>
  </si>
  <si>
    <t>93.998.887/9034-37</t>
  </si>
  <si>
    <t>VIDA SAUDÁVEL 12</t>
  </si>
  <si>
    <t>20.195.542/1583-57</t>
  </si>
  <si>
    <t>ECO SAUDE 77</t>
  </si>
  <si>
    <t>49.460.206/9469-74</t>
  </si>
  <si>
    <t>CORPO E MENTE 87</t>
  </si>
  <si>
    <t>92.670.126/9978-94</t>
  </si>
  <si>
    <t>EMPÓRIO NATURAL 12</t>
  </si>
  <si>
    <t>77.320.485/6879-68</t>
  </si>
  <si>
    <t>POWER NATURAL 78</t>
  </si>
  <si>
    <t>66.524.379/3532-75</t>
  </si>
  <si>
    <t>DIVINA TERRA RJ 99</t>
  </si>
  <si>
    <t>27.882.361/4743-51</t>
  </si>
  <si>
    <t>12.570.179/5130-83</t>
  </si>
  <si>
    <t>GRANEL &amp; CIA 12</t>
  </si>
  <si>
    <t>65.964.208/3987-65</t>
  </si>
  <si>
    <t>SABOR NATURAL 31</t>
  </si>
  <si>
    <t>23.249.362/3233-32</t>
  </si>
  <si>
    <t>CORPO E MENTE 42</t>
  </si>
  <si>
    <t>90.423.254/7206-18</t>
  </si>
  <si>
    <t>GRÃO DE OURO 79</t>
  </si>
  <si>
    <t>86.619.493/7582-84</t>
  </si>
  <si>
    <t>SAUDE TOTAL 92</t>
  </si>
  <si>
    <t>20.616.761/2828-15</t>
  </si>
  <si>
    <t>SAUDE TOTAL 09</t>
  </si>
  <si>
    <t>52.196.671/6334-46</t>
  </si>
  <si>
    <t>TUDO GRÃOS SC 17</t>
  </si>
  <si>
    <t>86.825.186/5073-81</t>
  </si>
  <si>
    <t>EMPÓRIO NATURAL 47</t>
  </si>
  <si>
    <t>49.284.319/5599-72</t>
  </si>
  <si>
    <t>CORPO E MENTE 17</t>
  </si>
  <si>
    <t>86.485.257/2659-33</t>
  </si>
  <si>
    <t>EMPÓRIO BIO 30</t>
  </si>
  <si>
    <t>78.344.416/7685-34</t>
  </si>
  <si>
    <t>MUNDO BIO 18</t>
  </si>
  <si>
    <t>42.153.756/7874-57</t>
  </si>
  <si>
    <t>FITLAND PR 58</t>
  </si>
  <si>
    <t>54.127.524/0873-60</t>
  </si>
  <si>
    <t>MUNDO VERDE CWB 37</t>
  </si>
  <si>
    <t>70.812.951/2274-70</t>
  </si>
  <si>
    <t>EMPÓRIO DO CAMPO 16</t>
  </si>
  <si>
    <t>16.344.529/7490-18</t>
  </si>
  <si>
    <t>GRÃO DE OURO 68</t>
  </si>
  <si>
    <t>56.169.638/8915-74</t>
  </si>
  <si>
    <t>NATURAL POINT 99</t>
  </si>
  <si>
    <t>84.852.874/5448-27</t>
  </si>
  <si>
    <t>NATURAL HOUSE 05</t>
  </si>
  <si>
    <t>47.306.144/3269-15</t>
  </si>
  <si>
    <t>CASA DO GRANEL 48</t>
  </si>
  <si>
    <t>65.509.861/7205-59</t>
  </si>
  <si>
    <t>ECO SAUDE 42</t>
  </si>
  <si>
    <t>23.181.435/4844-49</t>
  </si>
  <si>
    <t>VIDA SAUDÁVEL 86</t>
  </si>
  <si>
    <t>91.515.472/8407-96</t>
  </si>
  <si>
    <t>EMPÓRIO BIO 48</t>
  </si>
  <si>
    <t>57.554.881/1260-83</t>
  </si>
  <si>
    <t>PONTO VERDE 91</t>
  </si>
  <si>
    <t>67.319.726/4679-98</t>
  </si>
  <si>
    <t>VIDA SAUDÁVEL 71</t>
  </si>
  <si>
    <t>79.397.407/2581-99</t>
  </si>
  <si>
    <t>ESSENCE FOOD 17</t>
  </si>
  <si>
    <t>88.188.167/5068-60</t>
  </si>
  <si>
    <t>ESSENCE FOOD 82</t>
  </si>
  <si>
    <t>85.286.886/2115-65</t>
  </si>
  <si>
    <t>GRÃO DE OURO 33</t>
  </si>
  <si>
    <t>35.750.664/4497-26</t>
  </si>
  <si>
    <t>MUNDO VERDE CWB 04</t>
  </si>
  <si>
    <t>20.146.756/9450-43</t>
  </si>
  <si>
    <t>NATURAL HOUSE 10</t>
  </si>
  <si>
    <t>98.161.261/7203-63</t>
  </si>
  <si>
    <t>NATURAL HOUSE 16</t>
  </si>
  <si>
    <t>44.560.353/2309-22</t>
  </si>
  <si>
    <t>POWER NATURAL 66</t>
  </si>
  <si>
    <t>69.610.415/8149-12</t>
  </si>
  <si>
    <t>ECO SAUDE 69</t>
  </si>
  <si>
    <t>11.967.210/7061-27</t>
  </si>
  <si>
    <t>NATUR LIFE 80</t>
  </si>
  <si>
    <t>97.725.221/2109-22</t>
  </si>
  <si>
    <t>68.252.720/8447-27</t>
  </si>
  <si>
    <t>EMPÓRIO NATURAL 48</t>
  </si>
  <si>
    <t>52.789.212/6825-84</t>
  </si>
  <si>
    <t>VERDE ESSENCE 62</t>
  </si>
  <si>
    <t>31.636.744/6230-28</t>
  </si>
  <si>
    <t>FEIRA VERDE 95</t>
  </si>
  <si>
    <t>17.822.241/8499-36</t>
  </si>
  <si>
    <t>PONTO VERDE 79</t>
  </si>
  <si>
    <t>71.296.352/4572-81</t>
  </si>
  <si>
    <t>25.687.792/8900-58</t>
  </si>
  <si>
    <t>BIO FIT 35</t>
  </si>
  <si>
    <t>81.812.378/2250-23</t>
  </si>
  <si>
    <t>NUTRI VIDA 71</t>
  </si>
  <si>
    <t>30.516.768/7794-71</t>
  </si>
  <si>
    <t>VERDE VIDA 54</t>
  </si>
  <si>
    <t>32.137.956/6505-73</t>
  </si>
  <si>
    <t>BIO FIT 68</t>
  </si>
  <si>
    <t>73.237.971/8262-69</t>
  </si>
  <si>
    <t>TUDO GRÃOS SC 55</t>
  </si>
  <si>
    <t>75.435.188/6568-95</t>
  </si>
  <si>
    <t>GRANEL &amp; CIA 89</t>
  </si>
  <si>
    <t>40.163.783/1937-69</t>
  </si>
  <si>
    <t>FITLAND PR 18</t>
  </si>
  <si>
    <t>71.256.565/9925-57</t>
  </si>
  <si>
    <t>EMPÓRIO BIO 68</t>
  </si>
  <si>
    <t>56.179.677/1839-17</t>
  </si>
  <si>
    <t>EMPÓRIO BIO 08</t>
  </si>
  <si>
    <t>68.235.625/6807-68</t>
  </si>
  <si>
    <t>BIO FIT 08</t>
  </si>
  <si>
    <t>18.583.132/4704-62</t>
  </si>
  <si>
    <t>BIO FIT 18</t>
  </si>
  <si>
    <t>93.980.456/1944-32</t>
  </si>
  <si>
    <t>FITLAND PR 32</t>
  </si>
  <si>
    <t>68.454.258/4517-34</t>
  </si>
  <si>
    <t>BIOMUNDO CTB 32</t>
  </si>
  <si>
    <t>15.511.549/3840-79</t>
  </si>
  <si>
    <t>EMPÓRIO DO CAMPO 19</t>
  </si>
  <si>
    <t>94.633.326/6776-48</t>
  </si>
  <si>
    <t>LOJA NATURAL 41</t>
  </si>
  <si>
    <t>99.526.518/2445-48</t>
  </si>
  <si>
    <t>VIDA LEVE PR 32</t>
  </si>
  <si>
    <t>42.308.438/1296-67</t>
  </si>
  <si>
    <t>ESSENCE FOOD 28</t>
  </si>
  <si>
    <t>71.313.990/5456-48</t>
  </si>
  <si>
    <t>ARMAZEM FIT 71</t>
  </si>
  <si>
    <t>51.894.389/6237-69</t>
  </si>
  <si>
    <t>NUTRI SHOP 06</t>
  </si>
  <si>
    <t>82.984.326/2391-12</t>
  </si>
  <si>
    <t>SAUDE TOTAL 33</t>
  </si>
  <si>
    <t>72.840.757/8038-68</t>
  </si>
  <si>
    <t>16.882.106/6757-27</t>
  </si>
  <si>
    <t>EMPÓRIO NATURAL 01</t>
  </si>
  <si>
    <t>78.664.521/0195-12</t>
  </si>
  <si>
    <t>ARMAZEM FIT 25</t>
  </si>
  <si>
    <t>89.639.358/5808-44</t>
  </si>
  <si>
    <t>MUNDO VERDE CWB 12</t>
  </si>
  <si>
    <t>61.488.486/9056-70</t>
  </si>
  <si>
    <t>FITLAND PR 28</t>
  </si>
  <si>
    <t>98.680.586/4442-15</t>
  </si>
  <si>
    <t>TUDO GRÃOS SC 10</t>
  </si>
  <si>
    <t>48.266.677/3940-82</t>
  </si>
  <si>
    <t>SAUDE NA MESA 30</t>
  </si>
  <si>
    <t>19.448.719/9759-60</t>
  </si>
  <si>
    <t>CORPO E MENTE 38</t>
  </si>
  <si>
    <t>41.830.175/1345-44</t>
  </si>
  <si>
    <t>FIT STORE 12</t>
  </si>
  <si>
    <t>33.541.559/9126-81</t>
  </si>
  <si>
    <t>ARMAZEM FIT 74</t>
  </si>
  <si>
    <t>76.273.801/6238-31</t>
  </si>
  <si>
    <t>POWER NATURAL 77</t>
  </si>
  <si>
    <t>88.300.568/1753-27</t>
  </si>
  <si>
    <t>BIO GRÃOS 78</t>
  </si>
  <si>
    <t>98.305.590/5148-32</t>
  </si>
  <si>
    <t>BIO FIT 24</t>
  </si>
  <si>
    <t>97.886.663/0441-69</t>
  </si>
  <si>
    <t>SAUDE NA MESA 49</t>
  </si>
  <si>
    <t>19.559.712/7852-84</t>
  </si>
  <si>
    <t>ARMAZEM FIT 85</t>
  </si>
  <si>
    <t>95.463.270/0726-82</t>
  </si>
  <si>
    <t>GRANEL &amp; CIA 51</t>
  </si>
  <si>
    <t>69.890.795/9644-98</t>
  </si>
  <si>
    <t>NATURAL HOUSE 27</t>
  </si>
  <si>
    <t>76.594.456/7802-22</t>
  </si>
  <si>
    <t>VERDE VIDA 71</t>
  </si>
  <si>
    <t>30.438.673/6986-69</t>
  </si>
  <si>
    <t>DIVINA TERRA RJ 36</t>
  </si>
  <si>
    <t>18.691.204/8797-33</t>
  </si>
  <si>
    <t>NATURAL HOUSE 80</t>
  </si>
  <si>
    <t>32.933.789/4874-88</t>
  </si>
  <si>
    <t>SAUDE NA MESA 24</t>
  </si>
  <si>
    <t>72.750.650/2839-81</t>
  </si>
  <si>
    <t>GRÃO FINO 84</t>
  </si>
  <si>
    <t>73.518.801/8057-63</t>
  </si>
  <si>
    <t>POWER NATURAL 71</t>
  </si>
  <si>
    <t>75.215.686/1872-44</t>
  </si>
  <si>
    <t>EMPÓRIO BIO 34</t>
  </si>
  <si>
    <t>54.982.936/1426-66</t>
  </si>
  <si>
    <t>FIT STORE 27</t>
  </si>
  <si>
    <t>36.924.160/9341-54</t>
  </si>
  <si>
    <t>NUTRI SHOP 08</t>
  </si>
  <si>
    <t>45.987.771/2079-99</t>
  </si>
  <si>
    <t>VIDA SAUDÁVEL 82</t>
  </si>
  <si>
    <t>21.512.627/4559-98</t>
  </si>
  <si>
    <t>MARKET FIT 09</t>
  </si>
  <si>
    <t>78.507.323/7040-37</t>
  </si>
  <si>
    <t>EMPÓRIO NATURAL 16</t>
  </si>
  <si>
    <t>30.551.567/0012-64</t>
  </si>
  <si>
    <t>TUDO GRÃOS SC 81</t>
  </si>
  <si>
    <t>49.843.816/3837-64</t>
  </si>
  <si>
    <t>FIT STORE 62</t>
  </si>
  <si>
    <t>19.334.492/1464-23</t>
  </si>
  <si>
    <t>CORPO E MENTE 84</t>
  </si>
  <si>
    <t>31.550.459/3491-90</t>
  </si>
  <si>
    <t>SAUDE NA MESA 41</t>
  </si>
  <si>
    <t>27.353.383/1381-41</t>
  </si>
  <si>
    <t>ECO SAUDE 83</t>
  </si>
  <si>
    <t>16.902.912/3922-73</t>
  </si>
  <si>
    <t>BIO FIT 88</t>
  </si>
  <si>
    <t>32.881.582/1196-12</t>
  </si>
  <si>
    <t>BIO FIT 69</t>
  </si>
  <si>
    <t>88.256.384/1370-49</t>
  </si>
  <si>
    <t>SAUDE NA MESA 94</t>
  </si>
  <si>
    <t>40.159.350/1413-65</t>
  </si>
  <si>
    <t>MARKET FIT 67</t>
  </si>
  <si>
    <t>76.901.942/4248-31</t>
  </si>
  <si>
    <t>PURA VIDA 81</t>
  </si>
  <si>
    <t>19.608.566/8369-56</t>
  </si>
  <si>
    <t>NUTRI VIDA 32</t>
  </si>
  <si>
    <t>15.583.472/6275-29</t>
  </si>
  <si>
    <t>BIOMUNDO CTB 23</t>
  </si>
  <si>
    <t>38.923.628/0753-61</t>
  </si>
  <si>
    <t>POWER NATURAL 99</t>
  </si>
  <si>
    <t>35.850.659/4017-29</t>
  </si>
  <si>
    <t>NATURAL POINT 27</t>
  </si>
  <si>
    <t>77.343.529/8062-17</t>
  </si>
  <si>
    <t>GRÃO FINO 18</t>
  </si>
  <si>
    <t>91.939.503/1227-85</t>
  </si>
  <si>
    <t>EMPÓRIO BIO 35</t>
  </si>
  <si>
    <t>39.176.307/2231-84</t>
  </si>
  <si>
    <t>EMPÓRIO DO CAMPO 91</t>
  </si>
  <si>
    <t>99.717.141/3523-51</t>
  </si>
  <si>
    <t>ESSENCE FOOD 96</t>
  </si>
  <si>
    <t>80.355.196/7571-23</t>
  </si>
  <si>
    <t>VIDA SAUDÁVEL 03</t>
  </si>
  <si>
    <t>18.302.761/7266-26</t>
  </si>
  <si>
    <t>EMPÓRIO NATURAL 49</t>
  </si>
  <si>
    <t>97.536.276/5800-37</t>
  </si>
  <si>
    <t>NUTRI SHOP 26</t>
  </si>
  <si>
    <t>92.916.638/4083-90</t>
  </si>
  <si>
    <t>EMPÓRIO NATURAL 41</t>
  </si>
  <si>
    <t>86.324.130/4603-17</t>
  </si>
  <si>
    <t>BIOMUNDO CTB 98</t>
  </si>
  <si>
    <t>38.689.966/6364-55</t>
  </si>
  <si>
    <t>PURA VIDA 73</t>
  </si>
  <si>
    <t>28.676.292/8065-79</t>
  </si>
  <si>
    <t>BIO GRÃOS 08</t>
  </si>
  <si>
    <t>12.251.700/2321-24</t>
  </si>
  <si>
    <t>SAUDE NA MESA 82</t>
  </si>
  <si>
    <t>72.764.424/2855-81</t>
  </si>
  <si>
    <t>PURA VIDA 51</t>
  </si>
  <si>
    <t>82.133.286/9870-50</t>
  </si>
  <si>
    <t>GRÃO DE OURO 91</t>
  </si>
  <si>
    <t>95.754.846/5501-67</t>
  </si>
  <si>
    <t>VIDA LEVE PR 45</t>
  </si>
  <si>
    <t>79.484.203/7856-83</t>
  </si>
  <si>
    <t>21.446.708/7910-13</t>
  </si>
  <si>
    <t>ECO SAUDE 39</t>
  </si>
  <si>
    <t>40.198.150/6438-83</t>
  </si>
  <si>
    <t>ECO SAUDE 11</t>
  </si>
  <si>
    <t>70.964.218/5053-60</t>
  </si>
  <si>
    <t>NATUR LIFE 73</t>
  </si>
  <si>
    <t>17.254.870/1585-20</t>
  </si>
  <si>
    <t>FEIRA VERDE 74</t>
  </si>
  <si>
    <t>40.587.406/1294-60</t>
  </si>
  <si>
    <t>CIA SAUDE SP 17</t>
  </si>
  <si>
    <t>15.533.180/7134-35</t>
  </si>
  <si>
    <t>LOJA NATURAL 59</t>
  </si>
  <si>
    <t>11.905.817/9627-76</t>
  </si>
  <si>
    <t>BIO FIT 45</t>
  </si>
  <si>
    <t>62.370.492/7956-83</t>
  </si>
  <si>
    <t>GRANEL &amp; CIA 03</t>
  </si>
  <si>
    <t>53.937.912/4966-49</t>
  </si>
  <si>
    <t>GRÃO DE OURO 25</t>
  </si>
  <si>
    <t>66.316.943/6672-72</t>
  </si>
  <si>
    <t>PURA VIDA 04</t>
  </si>
  <si>
    <t>32.297.996/3289-17</t>
  </si>
  <si>
    <t>67.281.991/7776-85</t>
  </si>
  <si>
    <t>FITLAND PR 87</t>
  </si>
  <si>
    <t>36.375.767/6710-75</t>
  </si>
  <si>
    <t>EMPÓRIO DO CAMPO 92</t>
  </si>
  <si>
    <t>92.381.533/6169-54</t>
  </si>
  <si>
    <t>MUNDO BIO 78</t>
  </si>
  <si>
    <t>46.405.800/1772-71</t>
  </si>
  <si>
    <t>MUNDO BIO 52</t>
  </si>
  <si>
    <t>94.427.797/2293-13</t>
  </si>
  <si>
    <t>FITLAND PR 88</t>
  </si>
  <si>
    <t>78.753.903/7795-95</t>
  </si>
  <si>
    <t>SAUDE TOTAL 84</t>
  </si>
  <si>
    <t>21.327.463/3660-49</t>
  </si>
  <si>
    <t>CIA SAUDE SP 65</t>
  </si>
  <si>
    <t>25.988.797/6254-77</t>
  </si>
  <si>
    <t>72.440.746/2898-50</t>
  </si>
  <si>
    <t>71.492.104/0619-78</t>
  </si>
  <si>
    <t>VIDA LEVE PR 65</t>
  </si>
  <si>
    <t>85.413.271/1070-15</t>
  </si>
  <si>
    <t>TUDO GRÃOS SC 03</t>
  </si>
  <si>
    <t>39.329.844/2150-37</t>
  </si>
  <si>
    <t>BIOMUNDO CTB 85</t>
  </si>
  <si>
    <t>23.769.956/0324-16</t>
  </si>
  <si>
    <t>87.817.240/6863-23</t>
  </si>
  <si>
    <t>MUNDO VERDE CWB 71</t>
  </si>
  <si>
    <t>73.312.804/7876-52</t>
  </si>
  <si>
    <t>FITLAND PR 59</t>
  </si>
  <si>
    <t>47.370.575/0821-22</t>
  </si>
  <si>
    <t>BEM ESTAR 43</t>
  </si>
  <si>
    <t>55.548.736/4396-21</t>
  </si>
  <si>
    <t>FIT STORE 90</t>
  </si>
  <si>
    <t>17.964.263/1700-63</t>
  </si>
  <si>
    <t>POWER NATURAL 15</t>
  </si>
  <si>
    <t>62.551.147/1038-43</t>
  </si>
  <si>
    <t>CORPO E MENTE 13</t>
  </si>
  <si>
    <t>65.777.844/4073-71</t>
  </si>
  <si>
    <t>BEM ESTAR 10</t>
  </si>
  <si>
    <t>72.428.346/5422-45</t>
  </si>
  <si>
    <t>CASA DO GRANEL 64</t>
  </si>
  <si>
    <t>93.118.205/6610-62</t>
  </si>
  <si>
    <t>SAUDE TOTAL 47</t>
  </si>
  <si>
    <t>16.936.328/7446-52</t>
  </si>
  <si>
    <t>LOJA NATURAL 48</t>
  </si>
  <si>
    <t>99.208.146/2690-73</t>
  </si>
  <si>
    <t>SAUDE TOTAL 14</t>
  </si>
  <si>
    <t>63.147.748/9648-25</t>
  </si>
  <si>
    <t>VERDE VIDA 89</t>
  </si>
  <si>
    <t>84.277.848/2104-23</t>
  </si>
  <si>
    <t>SAUDE TOTAL 38</t>
  </si>
  <si>
    <t>67.924.236/2264-62</t>
  </si>
  <si>
    <t>MARKET FIT 87</t>
  </si>
  <si>
    <t>26.827.765/2914-74</t>
  </si>
  <si>
    <t>SAUDE NA MESA 02</t>
  </si>
  <si>
    <t>76.209.125/6241-28</t>
  </si>
  <si>
    <t>NATURAL POINT 79</t>
  </si>
  <si>
    <t>96.857.675/3676-92</t>
  </si>
  <si>
    <t>ESSENCE FOOD 07</t>
  </si>
  <si>
    <t>11.861.357/3328-89</t>
  </si>
  <si>
    <t>CIA SAUDE SP 38</t>
  </si>
  <si>
    <t>67.281.799/1221-33</t>
  </si>
  <si>
    <t>MUNDO VERDE CWB 20</t>
  </si>
  <si>
    <t>51.711.152/4935-72</t>
  </si>
  <si>
    <t>MARKET FIT 29</t>
  </si>
  <si>
    <t>37.779.439/5425-56</t>
  </si>
  <si>
    <t>ARMAZEM FIT 06</t>
  </si>
  <si>
    <t>97.428.490/1858-59</t>
  </si>
  <si>
    <t>NATURAL POINT 22</t>
  </si>
  <si>
    <t>78.646.107/1073-36</t>
  </si>
  <si>
    <t>VIDA SAUDÁVEL 96</t>
  </si>
  <si>
    <t>97.257.124/7524-52</t>
  </si>
  <si>
    <t>CASA DO GRANEL 69</t>
  </si>
  <si>
    <t>10.756.837/1037-84</t>
  </si>
  <si>
    <t>BEM ESTAR 69</t>
  </si>
  <si>
    <t>38.239.864/6407-79</t>
  </si>
  <si>
    <t>TUDO GRÃOS SC 69</t>
  </si>
  <si>
    <t>80.187.412/3442-54</t>
  </si>
  <si>
    <t>ESSENCE FOOD 60</t>
  </si>
  <si>
    <t>92.662.174/4763-95</t>
  </si>
  <si>
    <t>CORPO E MENTE 85</t>
  </si>
  <si>
    <t>49.810.698/2497-82</t>
  </si>
  <si>
    <t>FIT STORE 87</t>
  </si>
  <si>
    <t>52.998.591/7584-67</t>
  </si>
  <si>
    <t>VIDA SAUDÁVEL 94</t>
  </si>
  <si>
    <t>19.119.969/8310-90</t>
  </si>
  <si>
    <t>38.890.703/4768-27</t>
  </si>
  <si>
    <t>EMPÓRIO BIO 21</t>
  </si>
  <si>
    <t>32.679.679/2396-71</t>
  </si>
  <si>
    <t>MUNDO VERDE CWB 06</t>
  </si>
  <si>
    <t>93.431.205/8543-91</t>
  </si>
  <si>
    <t>VIDA LEVE PR 29</t>
  </si>
  <si>
    <t>76.515.461/5654-72</t>
  </si>
  <si>
    <t>CASA DO GRANEL 85</t>
  </si>
  <si>
    <t>39.524.930/5411-24</t>
  </si>
  <si>
    <t>BEM ESTAR 34</t>
  </si>
  <si>
    <t>33.629.515/9820-82</t>
  </si>
  <si>
    <t>VERDE ESSENCE 99</t>
  </si>
  <si>
    <t>33.738.775/8370-43</t>
  </si>
  <si>
    <t>SABOR NATURAL 78</t>
  </si>
  <si>
    <t>22.281.587/9828-14</t>
  </si>
  <si>
    <t>SAUDE NA MESA 67</t>
  </si>
  <si>
    <t>63.479.995/0712-99</t>
  </si>
  <si>
    <t>PONTO VERDE 62</t>
  </si>
  <si>
    <t>39.979.185/4642-86</t>
  </si>
  <si>
    <t>BIO GRÃOS 53</t>
  </si>
  <si>
    <t>56.209.258/6981-93</t>
  </si>
  <si>
    <t>VERDE VIDA 48</t>
  </si>
  <si>
    <t>81.668.595/4158-49</t>
  </si>
  <si>
    <t>SAUDE TOTAL 71</t>
  </si>
  <si>
    <t>88.813.800/0853-30</t>
  </si>
  <si>
    <t>TUDO GRÃOS SC 79</t>
  </si>
  <si>
    <t>93.633.393/9789-17</t>
  </si>
  <si>
    <t>FITLAND PR 79</t>
  </si>
  <si>
    <t>31.790.136/5894-40</t>
  </si>
  <si>
    <t>ESSENCE FOOD 37</t>
  </si>
  <si>
    <t>81.696.456/5694-45</t>
  </si>
  <si>
    <t>PONTO VERDE 69</t>
  </si>
  <si>
    <t>83.356.810/7255-58</t>
  </si>
  <si>
    <t>99.335.919/5173-62</t>
  </si>
  <si>
    <t>MARKET FIT 28</t>
  </si>
  <si>
    <t>83.375.287/3116-73</t>
  </si>
  <si>
    <t>GRÃO DE OURO 87</t>
  </si>
  <si>
    <t>94.604.728/0109-79</t>
  </si>
  <si>
    <t>FITLAND PR 97</t>
  </si>
  <si>
    <t>83.231.155/8614-64</t>
  </si>
  <si>
    <t>DIVINA TERRA RJ 49</t>
  </si>
  <si>
    <t>84.203.433/5925-88</t>
  </si>
  <si>
    <t>TUDO GRÃOS SC 36</t>
  </si>
  <si>
    <t>67.284.685/2149-83</t>
  </si>
  <si>
    <t>NUTRI SHOP 64</t>
  </si>
  <si>
    <t>27.969.745/8471-78</t>
  </si>
  <si>
    <t>EMPÓRIO BIO 96</t>
  </si>
  <si>
    <t>52.366.469/5904-81</t>
  </si>
  <si>
    <t>BIO GRÃOS 87</t>
  </si>
  <si>
    <t>75.599.893/7323-20</t>
  </si>
  <si>
    <t>SAUDE TOTAL 30</t>
  </si>
  <si>
    <t>50.424.768/4774-44</t>
  </si>
  <si>
    <t>42.861.817/1312-36</t>
  </si>
  <si>
    <t>GRÃO DE OURO 84</t>
  </si>
  <si>
    <t>59.416.334/4054-46</t>
  </si>
  <si>
    <t>79.281.705/9791-68</t>
  </si>
  <si>
    <t>PONTO VERDE 20</t>
  </si>
  <si>
    <t>48.110.100/8575-27</t>
  </si>
  <si>
    <t>ESSENCE FOOD 56</t>
  </si>
  <si>
    <t>60.355.267/6386-58</t>
  </si>
  <si>
    <t>CIA SAUDE SP 09</t>
  </si>
  <si>
    <t>33.239.396/1809-91</t>
  </si>
  <si>
    <t>FIT STORE 92</t>
  </si>
  <si>
    <t>66.844.108/3815-21</t>
  </si>
  <si>
    <t>BIOMUNDO CTB 35</t>
  </si>
  <si>
    <t>60.173.656/7703-33</t>
  </si>
  <si>
    <t>CIA SAUDE SP 59</t>
  </si>
  <si>
    <t>22.633.781/3416-70</t>
  </si>
  <si>
    <t>16.984.782/3569-24</t>
  </si>
  <si>
    <t>MUNDO BIO 20</t>
  </si>
  <si>
    <t>57.889.191/4076-30</t>
  </si>
  <si>
    <t>ESSENCE FOOD 83</t>
  </si>
  <si>
    <t>54.924.549/3162-12</t>
  </si>
  <si>
    <t>BIO GRÃOS 94</t>
  </si>
  <si>
    <t>69.381.988/9809-80</t>
  </si>
  <si>
    <t>GRANEL &amp; CIA 80</t>
  </si>
  <si>
    <t>40.428.838/1038-94</t>
  </si>
  <si>
    <t>FIT STORE 23</t>
  </si>
  <si>
    <t>14.306.209/7953-34</t>
  </si>
  <si>
    <t>GRÃO DE OURO 60</t>
  </si>
  <si>
    <t>91.162.469/9143-63</t>
  </si>
  <si>
    <t>FITLAND PR 69</t>
  </si>
  <si>
    <t>59.294.297/8622-94</t>
  </si>
  <si>
    <t>61.616.445/2592-78</t>
  </si>
  <si>
    <t>80.862.360/5899-67</t>
  </si>
  <si>
    <t>NATUR LIFE 71</t>
  </si>
  <si>
    <t>75.669.684/9366-29</t>
  </si>
  <si>
    <t>BIO GRÃOS 62</t>
  </si>
  <si>
    <t>32.599.945/9441-22</t>
  </si>
  <si>
    <t>93.969.716/0188-91</t>
  </si>
  <si>
    <t>MUNDO BIO 74</t>
  </si>
  <si>
    <t>74.192.327/7077-47</t>
  </si>
  <si>
    <t>FEIRA VERDE 72</t>
  </si>
  <si>
    <t>35.599.504/9361-35</t>
  </si>
  <si>
    <t>CIA SAUDE SP 42</t>
  </si>
  <si>
    <t>54.708.771/0397-49</t>
  </si>
  <si>
    <t>GRÃO DE OURO 15</t>
  </si>
  <si>
    <t>16.348.735/2420-46</t>
  </si>
  <si>
    <t>SABOR NATURAL 89</t>
  </si>
  <si>
    <t>99.784.118/6171-84</t>
  </si>
  <si>
    <t>GRANEL &amp; CIA 14</t>
  </si>
  <si>
    <t>12.399.988/6333-39</t>
  </si>
  <si>
    <t>LOJA NATURAL 40</t>
  </si>
  <si>
    <t>52.601.502/2573-12</t>
  </si>
  <si>
    <t>ESSENCE FOOD 36</t>
  </si>
  <si>
    <t>38.255.449/6437-94</t>
  </si>
  <si>
    <t>93.241.694/8870-97</t>
  </si>
  <si>
    <t>BIO GRÃOS 09</t>
  </si>
  <si>
    <t>81.645.836/1940-33</t>
  </si>
  <si>
    <t>NATUR LIFE 20</t>
  </si>
  <si>
    <t>34.209.234/3027-13</t>
  </si>
  <si>
    <t>GRANEL &amp; CIA 24</t>
  </si>
  <si>
    <t>59.603.585/2254-30</t>
  </si>
  <si>
    <t>EMPÓRIO BIO 79</t>
  </si>
  <si>
    <t>72.804.432/7497-41</t>
  </si>
  <si>
    <t>MUNDO VERDE CWB 67</t>
  </si>
  <si>
    <t>23.562.567/0695-41</t>
  </si>
  <si>
    <t>NATURAL HOUSE 22</t>
  </si>
  <si>
    <t>64.401.727/0894-98</t>
  </si>
  <si>
    <t>TUDO GRÃOS SC 53</t>
  </si>
  <si>
    <t>51.561.125/2931-68</t>
  </si>
  <si>
    <t>CASA DO GRANEL 91</t>
  </si>
  <si>
    <t>67.749.471/1398-77</t>
  </si>
  <si>
    <t>SABOR NATURAL 21</t>
  </si>
  <si>
    <t>28.283.887/0841-63</t>
  </si>
  <si>
    <t>NATURAL HOUSE 64</t>
  </si>
  <si>
    <t>73.656.926/0095-87</t>
  </si>
  <si>
    <t>DIVINA TERRA RJ 07</t>
  </si>
  <si>
    <t>33.251.156/5719-14</t>
  </si>
  <si>
    <t>81.281.566/9486-56</t>
  </si>
  <si>
    <t>NATUR LIFE 43</t>
  </si>
  <si>
    <t>77.523.637/3439-99</t>
  </si>
  <si>
    <t>MUNDO BIO 41</t>
  </si>
  <si>
    <t>43.638.688/5798-26</t>
  </si>
  <si>
    <t>NATURAL HOUSE 81</t>
  </si>
  <si>
    <t>25.855.968/3397-88</t>
  </si>
  <si>
    <t>GRÃO FINO 71</t>
  </si>
  <si>
    <t>51.885.106/1866-97</t>
  </si>
  <si>
    <t>29.742.571/8798-52</t>
  </si>
  <si>
    <t>29.387.960/0511-53</t>
  </si>
  <si>
    <t>MUNDO VERDE CWB 35</t>
  </si>
  <si>
    <t>62.188.608/3894-57</t>
  </si>
  <si>
    <t>GRÃO FINO 20</t>
  </si>
  <si>
    <t>34.448.595/8580-49</t>
  </si>
  <si>
    <t>EMPÓRIO DO CAMPO 06</t>
  </si>
  <si>
    <t>97.968.708/1427-52</t>
  </si>
  <si>
    <t>NATUR LIFE 69</t>
  </si>
  <si>
    <t>50.891.551/1928-44</t>
  </si>
  <si>
    <t>PURA VIDA 32</t>
  </si>
  <si>
    <t>31.172.418/5550-79</t>
  </si>
  <si>
    <t>55.419.440/3247-95</t>
  </si>
  <si>
    <t>NATURAL HOUSE 61</t>
  </si>
  <si>
    <t>39.329.247/4228-56</t>
  </si>
  <si>
    <t>26.620.205/6647-23</t>
  </si>
  <si>
    <t>VERDE ESSENCE 56</t>
  </si>
  <si>
    <t>65.680.906/5607-79</t>
  </si>
  <si>
    <t>EMPÓRIO DO CAMPO 52</t>
  </si>
  <si>
    <t>18.712.211/9772-58</t>
  </si>
  <si>
    <t>ECO SAUDE 50</t>
  </si>
  <si>
    <t>88.691.557/3206-36</t>
  </si>
  <si>
    <t>GRÃO FINO 52</t>
  </si>
  <si>
    <t>26.972.401/1023-57</t>
  </si>
  <si>
    <t>VIDA LEVE PR 52</t>
  </si>
  <si>
    <t>58.545.658/3461-94</t>
  </si>
  <si>
    <t>EMPÓRIO NATURAL 19</t>
  </si>
  <si>
    <t>72.773.547/2225-20</t>
  </si>
  <si>
    <t>EMPÓRIO BIO 50</t>
  </si>
  <si>
    <t>55.331.290/6960-87</t>
  </si>
  <si>
    <t>98.181.245/8625-45</t>
  </si>
  <si>
    <t>VERDE ESSENCE 40</t>
  </si>
  <si>
    <t>88.154.451/8766-11</t>
  </si>
  <si>
    <t>PONTO VERDE 08</t>
  </si>
  <si>
    <t>90.584.692/2771-83</t>
  </si>
  <si>
    <t>NATUR LIFE 33</t>
  </si>
  <si>
    <t>11.859.214/9894-32</t>
  </si>
  <si>
    <t>GRÃO DE OURO 19</t>
  </si>
  <si>
    <t>86.941.257/8126-62</t>
  </si>
  <si>
    <t>NATURAL HOUSE 52</t>
  </si>
  <si>
    <t>70.408.587/8725-39</t>
  </si>
  <si>
    <t>MUNDO VERDE CWB 13</t>
  </si>
  <si>
    <t>78.752.462/7075-88</t>
  </si>
  <si>
    <t>34.632.445/2948-50</t>
  </si>
  <si>
    <t>CORPO E MENTE 12</t>
  </si>
  <si>
    <t>17.708.772/3553-86</t>
  </si>
  <si>
    <t>ECO SAUDE 60</t>
  </si>
  <si>
    <t>94.177.754/7430-45</t>
  </si>
  <si>
    <t>PONTO VERDE 34</t>
  </si>
  <si>
    <t>32.551.171/8057-35</t>
  </si>
  <si>
    <t>PURA VIDA 94</t>
  </si>
  <si>
    <t>42.895.556/0308-73</t>
  </si>
  <si>
    <t>SAUDE NA MESA 52</t>
  </si>
  <si>
    <t>18.653.331/0055-59</t>
  </si>
  <si>
    <t>SAUDE TOTAL 11</t>
  </si>
  <si>
    <t>68.878.884/4751-92</t>
  </si>
  <si>
    <t>FIT STORE 05</t>
  </si>
  <si>
    <t>34.125.837/9715-40</t>
  </si>
  <si>
    <t>MUNDO VERDE CWB 52</t>
  </si>
  <si>
    <t>25.316.926/8571-68</t>
  </si>
  <si>
    <t>FIT STORE 02</t>
  </si>
  <si>
    <t>32.747.151/5036-22</t>
  </si>
  <si>
    <t>TUDO GRÃOS SC 42</t>
  </si>
  <si>
    <t>25.800.689/8944-27</t>
  </si>
  <si>
    <t>ARMAZEM FIT 75</t>
  </si>
  <si>
    <t>15.236.202/6163-30</t>
  </si>
  <si>
    <t>DIVINA TERRA RJ 19</t>
  </si>
  <si>
    <t>91.377.635/7380-62</t>
  </si>
  <si>
    <t>ESSENCE FOOD 31</t>
  </si>
  <si>
    <t>34.220.642/1568-89</t>
  </si>
  <si>
    <t>BEM ESTAR 86</t>
  </si>
  <si>
    <t>15.155.760/5967-46</t>
  </si>
  <si>
    <t>GRÃO FINO 15</t>
  </si>
  <si>
    <t>19.340.838/7288-85</t>
  </si>
  <si>
    <t>VERDE ESSENCE 63</t>
  </si>
  <si>
    <t>16.546.248/3542-88</t>
  </si>
  <si>
    <t>NUTRI SHOP 22</t>
  </si>
  <si>
    <t>53.325.402/9890-30</t>
  </si>
  <si>
    <t>64.853.993/4042-41</t>
  </si>
  <si>
    <t>GRÃO FINO 05</t>
  </si>
  <si>
    <t>64.643.503/7853-99</t>
  </si>
  <si>
    <t>EMPÓRIO DO CAMPO 21</t>
  </si>
  <si>
    <t>68.978.684/9563-13</t>
  </si>
  <si>
    <t>VIDA LEVE PR 89</t>
  </si>
  <si>
    <t>52.643.133/4860-64</t>
  </si>
  <si>
    <t>GRANEL &amp; CIA 07</t>
  </si>
  <si>
    <t>24.492.474/7625-89</t>
  </si>
  <si>
    <t>VERDE ESSENCE 90</t>
  </si>
  <si>
    <t>36.871.862/3694-51</t>
  </si>
  <si>
    <t>BIO FIT 38</t>
  </si>
  <si>
    <t>67.735.476/1076-34</t>
  </si>
  <si>
    <t>EMPÓRIO NATURAL 38</t>
  </si>
  <si>
    <t>63.798.654/2164-70</t>
  </si>
  <si>
    <t>92.905.434/7966-85</t>
  </si>
  <si>
    <t>BIOMUNDO CTB 19</t>
  </si>
  <si>
    <t>55.391.566/2726-89</t>
  </si>
  <si>
    <t>57.288.310/9216-14</t>
  </si>
  <si>
    <t>NATURAL HOUSE 41</t>
  </si>
  <si>
    <t>29.104.856/8949-74</t>
  </si>
  <si>
    <t>CASA DO GRANEL 94</t>
  </si>
  <si>
    <t>71.141.242/9027-24</t>
  </si>
  <si>
    <t>NATUR LIFE 26</t>
  </si>
  <si>
    <t>12.185.651/7299-96</t>
  </si>
  <si>
    <t>GRANEL &amp; CIA 02</t>
  </si>
  <si>
    <t>46.453.459/5048-67</t>
  </si>
  <si>
    <t>VERDE ESSENCE 77</t>
  </si>
  <si>
    <t>21.247.312/4969-70</t>
  </si>
  <si>
    <t>PURA VIDA 97</t>
  </si>
  <si>
    <t>27.304.290/6255-47</t>
  </si>
  <si>
    <t>FEIRA VERDE 16</t>
  </si>
  <si>
    <t>93.781.394/6835-32</t>
  </si>
  <si>
    <t>FEIRA VERDE 89</t>
  </si>
  <si>
    <t>25.482.624/9426-12</t>
  </si>
  <si>
    <t>LOJA NATURAL 82</t>
  </si>
  <si>
    <t>19.626.298/3003-22</t>
  </si>
  <si>
    <t>MARKET FIT 19</t>
  </si>
  <si>
    <t>11.240.630/4611-57</t>
  </si>
  <si>
    <t>LOJA NATURAL 69</t>
  </si>
  <si>
    <t>80.819.874/1868-63</t>
  </si>
  <si>
    <t>VERDE VIDA 91</t>
  </si>
  <si>
    <t>48.129.862/1944-38</t>
  </si>
  <si>
    <t>FEIRA VERDE 97</t>
  </si>
  <si>
    <t>65.143.301/1767-14</t>
  </si>
  <si>
    <t>CIA SAUDE SP 24</t>
  </si>
  <si>
    <t>95.459.129/1488-28</t>
  </si>
  <si>
    <t>VERDE ESSENCE 98</t>
  </si>
  <si>
    <t>11.641.322/3139-46</t>
  </si>
  <si>
    <t>VERDE VIDA 46</t>
  </si>
  <si>
    <t>58.534.319/8426-39</t>
  </si>
  <si>
    <t>59.390.567/9837-49</t>
  </si>
  <si>
    <t>POWER NATURAL 87</t>
  </si>
  <si>
    <t>23.505.548/8564-94</t>
  </si>
  <si>
    <t>CASA DO GRANEL 30</t>
  </si>
  <si>
    <t>64.842.611/4564-84</t>
  </si>
  <si>
    <t>NATURAL POINT 16</t>
  </si>
  <si>
    <t>42.601.609/3782-90</t>
  </si>
  <si>
    <t>NATURAL POINT 98</t>
  </si>
  <si>
    <t>19.776.869/8519-73</t>
  </si>
  <si>
    <t>SAUDE NA MESA 16</t>
  </si>
  <si>
    <t>59.560.422/6166-66</t>
  </si>
  <si>
    <t>ESSENCE FOOD 88</t>
  </si>
  <si>
    <t>79.685.581/7798-81</t>
  </si>
  <si>
    <t>MUNDO VERDE CWB 17</t>
  </si>
  <si>
    <t>56.457.928/9568-13</t>
  </si>
  <si>
    <t>GRÃO DE OURO 89</t>
  </si>
  <si>
    <t>18.989.412/1876-53</t>
  </si>
  <si>
    <t>VIDA LEVE PR 42</t>
  </si>
  <si>
    <t>83.200.927/8002-22</t>
  </si>
  <si>
    <t>BIO FIT 28</t>
  </si>
  <si>
    <t>46.371.148/4872-83</t>
  </si>
  <si>
    <t>EMPÓRIO DO CAMPO 65</t>
  </si>
  <si>
    <t>48.543.779/8847-50</t>
  </si>
  <si>
    <t>NATURAL HOUSE 35</t>
  </si>
  <si>
    <t>91.645.928/7107-82</t>
  </si>
  <si>
    <t>DIVINA TERRA RJ 53</t>
  </si>
  <si>
    <t>44.943.393/2632-42</t>
  </si>
  <si>
    <t>MUNDO VERDE CWB 26</t>
  </si>
  <si>
    <t>30.379.239/0478-43</t>
  </si>
  <si>
    <t>VIDA SAUDÁVEL 53</t>
  </si>
  <si>
    <t>56.787.773/1480-60</t>
  </si>
  <si>
    <t>PONTO VERDE 64</t>
  </si>
  <si>
    <t>21.343.714/2004-50</t>
  </si>
  <si>
    <t>GRANEL &amp; CIA 90</t>
  </si>
  <si>
    <t>24.424.658/6944-70</t>
  </si>
  <si>
    <t>BIOMUNDO CTB 89</t>
  </si>
  <si>
    <t>95.345.359/9056-59</t>
  </si>
  <si>
    <t>ARMAZEM FIT 39</t>
  </si>
  <si>
    <t>36.980.264/7191-90</t>
  </si>
  <si>
    <t>SAUDE NA MESA 13</t>
  </si>
  <si>
    <t>30.815.367/8296-18</t>
  </si>
  <si>
    <t>CIA SAUDE SP 81</t>
  </si>
  <si>
    <t>49.421.689/1348-24</t>
  </si>
  <si>
    <t>FIT STORE 34</t>
  </si>
  <si>
    <t>32.803.707/5368-46</t>
  </si>
  <si>
    <t>35.368.818/2765-16</t>
  </si>
  <si>
    <t>CASA DO GRANEL 29</t>
  </si>
  <si>
    <t>36.295.982/4362-46</t>
  </si>
  <si>
    <t>PONTO VERDE 31</t>
  </si>
  <si>
    <t>89.561.354/6057-84</t>
  </si>
  <si>
    <t>NATURAL POINT 72</t>
  </si>
  <si>
    <t>17.153.440/3848-70</t>
  </si>
  <si>
    <t>FIT STORE 72</t>
  </si>
  <si>
    <t>15.694.283/4265-31</t>
  </si>
  <si>
    <t>NATUR LIFE 96</t>
  </si>
  <si>
    <t>56.540.389/4313-88</t>
  </si>
  <si>
    <t>EMPÓRIO BIO 07</t>
  </si>
  <si>
    <t>34.252.155/3767-33</t>
  </si>
  <si>
    <t>SABOR NATURAL 16</t>
  </si>
  <si>
    <t>54.195.308/4655-33</t>
  </si>
  <si>
    <t>VIDA SAUDÁVEL 32</t>
  </si>
  <si>
    <t>73.793.196/5385-13</t>
  </si>
  <si>
    <t>NATUR LIFE 77</t>
  </si>
  <si>
    <t>94.105.437/0719-93</t>
  </si>
  <si>
    <t>BIOMUNDO CTB 96</t>
  </si>
  <si>
    <t>19.660.716/6249-21</t>
  </si>
  <si>
    <t>48.602.920/7084-49</t>
  </si>
  <si>
    <t>SAUDE NA MESA 48</t>
  </si>
  <si>
    <t>88.290.544/6980-21</t>
  </si>
  <si>
    <t>SAUDE NA MESA 11</t>
  </si>
  <si>
    <t>71.407.252/2094-97</t>
  </si>
  <si>
    <t>PURA VIDA 33</t>
  </si>
  <si>
    <t>55.360.699/1340-74</t>
  </si>
  <si>
    <t>EMPÓRIO BIO 80</t>
  </si>
  <si>
    <t>43.449.992/3067-37</t>
  </si>
  <si>
    <t>MUNDO BIO 93</t>
  </si>
  <si>
    <t>72.410.733/5911-98</t>
  </si>
  <si>
    <t>DIVINA TERRA RJ 62</t>
  </si>
  <si>
    <t>93.248.765/3962-65</t>
  </si>
  <si>
    <t>EMPÓRIO BIO 75</t>
  </si>
  <si>
    <t>41.306.401/9330-60</t>
  </si>
  <si>
    <t>TUDO GRÃOS SC 63</t>
  </si>
  <si>
    <t>75.705.842/7994-39</t>
  </si>
  <si>
    <t>MARKET FIT 58</t>
  </si>
  <si>
    <t>99.546.121/2644-46</t>
  </si>
  <si>
    <t>VIDA LEVE PR 54</t>
  </si>
  <si>
    <t>96.768.852/5903-70</t>
  </si>
  <si>
    <t>POWER NATURAL 39</t>
  </si>
  <si>
    <t>40.314.670/0771-12</t>
  </si>
  <si>
    <t>SAUDE TOTAL 46</t>
  </si>
  <si>
    <t>15.888.998/9127-44</t>
  </si>
  <si>
    <t>88.900.978/1670-81</t>
  </si>
  <si>
    <t>GRANEL &amp; CIA 43</t>
  </si>
  <si>
    <t>27.225.968/3308-66</t>
  </si>
  <si>
    <t>LOJA NATURAL 54</t>
  </si>
  <si>
    <t>39.241.921/7026-62</t>
  </si>
  <si>
    <t>📋 AGENDA DIÁRIA — [CONSULTOR]</t>
  </si>
  <si>
    <t>Cart:__ | Prosp:__ | Follow-ups:__ | Novos:__ | Data: ___/___/2026</t>
  </si>
  <si>
    <t>🔵 CONTEXTO DO CLIENTE (automático — não editar)</t>
  </si>
  <si>
    <t>✅ RESULTADO DO ATENDIMENTO (preencher)</t>
  </si>
  <si>
    <t>[cliente carregado da CARTEIRA]</t>
  </si>
  <si>
    <t>📊 DASHBOARD JARVIS CRM — VITAO ALIMENTOS</t>
  </si>
  <si>
    <t>VENDEDOR</t>
  </si>
  <si>
    <t>TODOS</t>
  </si>
  <si>
    <t>até</t>
  </si>
  <si>
    <t xml:space="preserve">  TIPO DO CONTATO × RESULTADO DO CONTATO</t>
  </si>
  <si>
    <t>TOTAL</t>
  </si>
  <si>
    <t xml:space="preserve">  CONTATOS &amp; FUNIL DE VENDA</t>
  </si>
  <si>
    <t>CANAIS</t>
  </si>
  <si>
    <t>FUNIL DE VENDA</t>
  </si>
  <si>
    <t xml:space="preserve">  MOTIVOS — POR QUE NÃO COMPRAM</t>
  </si>
  <si>
    <t xml:space="preserve">  PRODUTIVIDADE POR CONSULTOR</t>
  </si>
  <si>
    <t>QTD</t>
  </si>
  <si>
    <t>%</t>
  </si>
  <si>
    <t>ATIVOS</t>
  </si>
  <si>
    <t>CONTATOS</t>
  </si>
  <si>
    <t>LOJA ANEXO/PROXIMO</t>
  </si>
  <si>
    <t>SÓ QUER GRANEL</t>
  </si>
  <si>
    <t>PROPRIETÁRIO INDISPONÍVEL</t>
  </si>
  <si>
    <t>FECHANDO/FECHOU LOJA</t>
  </si>
  <si>
    <t>SEM INTERESSE</t>
  </si>
  <si>
    <t xml:space="preserve">  SITUAÇÃO CRM (CARTEIRA)</t>
  </si>
  <si>
    <t xml:space="preserve">  FASES DO FUNIL (CARTEIRA)</t>
  </si>
  <si>
    <t xml:space="preserve">  SITUAÇÃO POR REDE DE FRANQUIA</t>
  </si>
  <si>
    <t>Turn #</t>
  </si>
  <si>
    <t>Date</t>
  </si>
  <si>
    <t>User Request</t>
  </si>
  <si>
    <t>Action Taken</t>
  </si>
  <si>
    <t>Details</t>
  </si>
  <si>
    <t>Outcome</t>
  </si>
  <si>
    <t>Find and fix any formula errors, broken references, or circular dependencies in the spreadsheet.</t>
  </si>
  <si>
    <t>Full formula audit across all 7 sheets (REGRAS, CARTEIRA, DRAFT 1, LOG, DRAFT 2, AGENDA, DASH).</t>
  </si>
  <si>
    <t>Scanned all CSV values for #REF!, #VALUE!, #NAME?, #DIV/0!, #N/A, #NUM!, #CALC!, #SPILL!. Inspected formula structures on DASH (200+ COUNTIFS/SUMIFS), CARTEIRA (INDEX/MATCH, LOOKUP, IFERROR patterns across 257 cols), LOG (VLOOKUP to REGRAS), AGENDA (VLOOKUP to REGRAS), DRAFT 2 (data sheet, no formulas). All cross-sheet references valid. IFERROR wrappers protect against lookup failures. No circular refs detected.</t>
  </si>
  <si>
    <t>No errors found. All formulas are healthy — 0 error values, 0 broken references, 0 circular dependencies. Spreadsheet is clean.</t>
  </si>
  <si>
    <t>Pediu 'tradução' — traduzir o resultado da auditoria para português.</t>
  </si>
  <si>
    <t>Reapresentou o resultado da auditoria de fórmulas em português brasileiro.</t>
  </si>
  <si>
    <t>Nenhuma alteração na planilha. Apenas tradução do relatório da Turn 1.</t>
  </si>
  <si>
    <t>Resultado da auditoria entregue em PT-BR. Planilha continua limpa, sem erros.</t>
  </si>
  <si>
    <t>Perguntou como arrumar posição dos gráficos e dashboard. Pediu ajuste de colunas, separadores entre seções e formatação de títulos.</t>
  </si>
  <si>
    <t>Explicou dicas manuais para posicionar gráficos (Alt+arrastar). Ajustou largura das colunas, formatou títulos das 6 seções com fundo azul #1F4E79, e adicionou 5 linhas separadoras visuais (azul claro #D6E4F0, 8pt altura) entre blocos.</t>
  </si>
  <si>
    <t>Col A: 195pt, Col B-Q: 68pt. Títulos em linhas 4, 31, 56, 83, 110 formatados com bold 11pt branco sobre azul escuro. Separadores nas linhas 3, 29, 54, 81, 108 com fundo azul claro e borda inferior azul escuro.</t>
  </si>
  <si>
    <t>Dashboard DASH reorganizado visualmente. Gráficos precisam ser reposicionados manualmente pelo usuário (limitação do add-in). Dica: usar Alt ao arrastar para alinhar à grade.</t>
  </si>
  <si>
    <t>Perguntou o que eu melhoraria na estrutura do CRM. Pediu análise estratégica completa.</t>
  </si>
  <si>
    <t>Analisei toda a arquitetura do CRM e apresentei 8 recomendações priorizadas (3 alta, 3 média, 2 baixa). Identifiquei colunas vazias, fórmula com critério errado no DASH, e campos planejados nunca implementados.</t>
  </si>
  <si>
    <t>Análise cobriu: DRAFT 2 colunas I-M e T-V vazias, CARTEIRA colunas J/AQ/AZ/BC-BF sem dados, AGENDA subutilizada, LOG com dados de teste, DRAFT 1 vazio, DASH L5:L13 com critério 'FECHANDO LOJA' que não existe no REGRAS.</t>
  </si>
  <si>
    <t>8 recomendações apresentadas ao usuário com tabela resumo. Usuário pediu para implementar todas as melhorias viáveis.</t>
  </si>
  <si>
    <t>Usuário selecionou 'sem preferência' — implementar todas as melhorias viáveis automaticamente.</t>
  </si>
  <si>
    <t>1) Corrigiu bug DASH L6:L12 ('FECHANDO LOJA'→'PERDA / FECHOU LOJA'). 2) Substituiu coluna M redundante por FOLLOW UP (FU7+FU15). 3) Adicionou fórmulas automáticas em DRAFT 2: I(Estágio Funil), K(Fase), L(Sinaleiro), T(Follow-up), U(Ação Futura). 4) Adicionou data validation (dropdowns) em 9 colunas do DRAFT 2.</t>
  </si>
  <si>
    <t>DASH: L6:L12 agora usa critério correto (L10=4, L12=10). M5 renomeado para 'FOLLOW UP' soma FU7+FU15 (total=69). DRAFT 2: I=VLOOKUP REGRAS D col, K=IF aninhado por Resultado, L=IF por Situação+Dias, T=Data+VLOOKUP dias, U=IF por Resultado. Validação: R(Resultado), Q(Tipo Contato), S(Motivo), G(Situação), B(Consultor), N/O(Sim/Não), P(Sim/Não/N/A), W(Sim/Não). T3:T442 formatado como dd/mm/yyyy.</t>
  </si>
  <si>
    <t>Todas as fórmulas verificadas e funcionando. Exemplo: R='EM ATENDIMENTO' → I='FUNIL', K='EM ATENDIMENTO', U='PROSPECÇÃO'. R='SUPORTE' → T='SEM', K='PÓS-VENDA'. Sinaleiros: 🟢≤50d, 🟡≤90d, 🔴&gt;90d, 🟣=Prospect/Lead. 440 linhas de dados agora têm campos automáticos populados.</t>
  </si>
  <si>
    <t>Pediu para recriar todos os gráficos do dashboard com uma versão melhorada.</t>
  </si>
  <si>
    <t>Deletou 12 gráficos antigos (incluindo 1 duplicado). Recriou 11 gráficos com tipos otimizados: 2 doughnut (Situação CRM, Tipo Cliente), 1 pie (Forma do Contato), 1 columnStacked (Funil de Venda), 2 barStacked (Não Venda, Sit. por Rede), 5 barClustered. Estilizou todos com paleta profissional #1F4E79, rótulos de dados, e tamanhos padronizados.</t>
  </si>
  <si>
    <t>Gráficos ancorados por seção: Seção 1 (A15,G15,L15): Tipo Contato + Resultado + Forma. Seção 2 (A43,I43): Funil + Não Venda. Seção 3 (A69,I69): Motivos + Produtividade. Seção 4 (A95,F95,K95): Situação CRM + Fases + Tipo Cliente. Seção 5 (A121): Sit. por Rede (700px largo). Cores: séries com paleta azul/verde/laranja/vermelho. Data labels em todos.</t>
  </si>
  <si>
    <t>11 gráficos criados e estilizados com sucesso. Dashboard reorganizado visualmente com gráficos posicionados abaixo de suas tabelas de dados. Usuário pode arrastar para ajuste fino.</t>
  </si>
  <si>
    <t>📞 TOTAL CONTATOS</t>
  </si>
  <si>
    <t>contatos no período</t>
  </si>
  <si>
    <t>propostas enviadas</t>
  </si>
  <si>
    <t>Pediu gráficos de linha para respiro visual, gráficos radar, e KPI cards com números grandes para layout profissional.</t>
  </si>
  <si>
    <t>1) Inseriu 4 linhas no topo (row 3-6) para KPI cards. Criou 7 KPIs: Total Contatos, Vendas, Taxa Conversão, Carteira, Orçamentos, Não Responde, Follow Up — com fórmulas dinâmicas, números 28pt, cores por categoria, merge 2 colunas, legendas em itálico. 2) Criou tabela auxiliar radar em I73:M78. 3) Criou 3 novos gráficos: Radar (desempenho consultores, 5 métricas), Line (perfil resultado × tipo contato, 700px), Line (contatos vs vendas vs orçamentos). Total: 14 gráficos no DASH.</t>
  </si>
  <si>
    <t>KPIs: A4=440 contatos, C4=47 vendas, E4=11.8% conversão, G4=120 carteira, I4=53 orçamentos, K4=35 não responde, M4=69 follow-up. Todas fórmulas referenciando tabelas existentes. Radar usa I73:M78 com dados transpostos dos consultores. Gráfico de linha largo (700px) na Seção 1 mostra padrão visual de cada tipo de contato. Linha na Seção 3 compara performance consultores.</t>
  </si>
  <si>
    <t>Dashboard agora tem 14 gráficos + 7 KPI cards. Layout profissional com mix de barras, rosquinhas, pizza, linhas e radar. Dados 100% dinâmicos.</t>
  </si>
  <si>
    <t>Reclamou que os gráficos estavam 'um por cima do outro em um caos'. Pediu para organizar.</t>
  </si>
  <si>
    <t>Calculou coordenadas pixel-a-pixel de todas as 180 linhas e 17 colunas. Inseriu 56 linhas em branco (19+5+28+4) entre as seções para criar espaço físico. Reposicionou todos os 14 gráficos com top/left/width/height exatos usando Office.js. Verificou zero sobreposições. Limpou formatação herdada das linhas inseridas.</t>
  </si>
  <si>
    <t>Layout grid final: Seção 1 (320px): 3 gráficos 416px lado a lado + 1 linha 1280px abaixo. Seção 2 (955px): 2 gráficos 55/45%. Seção 3 (1430px): 2+2 gráficos (barras + linha/radar). Seção 4 (2210px): 3 gráficos 33% cada. Seção 5 (2700px): 1 gráfico full-width. Gap de 15px entre todos. Linhas inseridas antes rows 33(19), 58(5), 85(28), 112(4).</t>
  </si>
  <si>
    <t>Dashboard 100% organizado sem sobreposições. 14 gráficos em grid profissional com espaçamento uniforme. KPI cards no topo. Tabelas de dados visíveis acima de cada bloco de gráficos.</t>
  </si>
  <si>
    <t>Disse que ficou 'muito ruim'. Quer tabelas com gráficos de linha simples abaixo para dar respiro visual. Gráficos novos/complexos (barras, radar, rosquinha, pizza) jogados para o fundo como 'Galeria'.</t>
  </si>
  <si>
    <t>Deletou todos 14 gráficos. Removeu 51 linhas em branco antigas. Restaurou DIVINA TERRA perdida. Inseriu 5 espaços de 15 linhas (após cada tabela). Criou 5 gráficos lineMarkers (Resultado×Tipo, Funil, Motivos, Situação CRM, Rede). Criou seção GALERIA com 6 gráficos complexos (2 doughnut, 1 pie, 1 barClustered, 1 radarMarkers, 1 columnStacked). Posicionou e estilizou todos com Office.js.</t>
  </si>
  <si>
    <t>Layout: KPIs(1-7) → Tabela1+Linha(8-32) → Tabela2+Linha(36-61) → Tabela3+Linha(63-96) → Tabela4+Linha(97-124) → Tabela5+Linha(125-150) → GALERIA(153+, 3 fileiras: 3 donuts/pie, 2 bar/radar, 1 stacked wide). Charts 850×250px linhas, galeria 280-850px. Cores #1F4E79/#FAFAFA. DIVINA TERRA restaurada com COUNTIFS originais.</t>
  </si>
  <si>
    <t>Dashboard reestruturado: padrão tabela→linha→respiro em 5 seções. Galeria de 6 gráficos avançados ao fundo. 11 gráficos total. Layout limpo e sequencial conforme pedido do usuário.</t>
  </si>
  <si>
    <t>INDICADOR</t>
  </si>
  <si>
    <t>VALOR</t>
  </si>
  <si>
    <t xml:space="preserve">  INDICADORES POR REDE</t>
  </si>
  <si>
    <t>Padronizar tudo até coluna Q: criar mais KPI cards, preencher espaços em branco com gráficos/dados, remover colunas vazias, ajuste visual clean uniforme.</t>
  </si>
  <si>
    <t>1) Uniformizou colunas A:Q (A=120pt, B:Q=55pt). 2) Adicionou 2 novos KPIs: Não Atende (O3:P5, vermelho) e Perda (Q3:Q5, cinza) → total 9 KPIs. 3) Criou 2 novos line charts: Produtividade por Consultor e Fases do Funil, dividindo chart spaces 3 e 4 em 2 gráficos cada (145px). 4) Adicionou 'Resumo Carteira' (N97:Q108) com Tx. Retenção, Churn, Pipeline. 5) Adicionou 'Indicadores por Rede' (I125:L135) com %Cart, Tx.Ativo, Risco. 6) Estendeu todas as barras de título e headers até col Q. 7) Redimensionou todos 13 gráficos para largura 995px (A:Q). 8) Galeria: 3+2+1 grid ajustado. 9) Separadores visuais em linhas 6-7 e 62.</t>
  </si>
  <si>
    <t>Layout: 13 gráficos total (7 line + 6 galeria), 9 KPIs, 0 sobreposições. Novos dados: Tx.Retenção 46.7%, Tx.Churn 31.7%, Pipeline 21.7%. Indicadores Rede: VIDA LEVE melhor tx.ativo (57.1%), DIVINA TERRA maior risco (25%). Colunas A:Q uniformes.</t>
  </si>
  <si>
    <t>Dashboard agora tem padrão visual A:Q uniforme. Todas tabelas, gráficos, títulos e KPIs alinhados dentro da mesma grade. Espaços em branco preenchidos com dados úteis (resumo carteira + indicadores rede). 13 gráficos sem sobreposição.</t>
  </si>
  <si>
    <t>Pediu para preencher as 4 colunas em branco (N:Q) na Tabela 1 (Tipo×Resultado) para ficar igual à Tabela 2 que já vai até Q.</t>
  </si>
  <si>
    <t>Adicionou 4 colunas calculadas na Tabela 1 (N:Q): N=% TOTAL (peso de cada tipo), O=TX. VENDA (conversão em verde), P=TX. PERDA (perdas em vermelho), Q=TX. ÚTIL (ações positivas em azul). Fórmulas com IFERROR, formato 0.0%, cores semáforo. 7 linhas de dados + TOTAL.</t>
  </si>
  <si>
    <t>Tabela 1 agora A:Q (17 cols) = mesma largura da Tabela 2. Métricas: Prospecção tem maior tx.perda (38.5%), Atend.Ativos melhor tx.venda (21.1%). Total: 10.7% tx.venda, 24.3% tx.perda, 40.0% tx.útil.</t>
  </si>
  <si>
    <t>Ambas tabelas 1 e 2 agora preenchem A:Q sem colunas em branco. Padrão visual uniforme.</t>
  </si>
  <si>
    <t>% DO TOTAL</t>
  </si>
  <si>
    <t>% VENDA</t>
  </si>
  <si>
    <t>% PERDA</t>
  </si>
  <si>
    <t>% AÇÕES ÚTEIS</t>
  </si>
  <si>
    <t>% CARTEIRA</t>
  </si>
  <si>
    <t>% ATIVOS</t>
  </si>
  <si>
    <t>% RISCO</t>
  </si>
  <si>
    <t>Pediu para remover abreviações (TX., RX., etc.) dos headers pois ficam difíceis de entender.</t>
  </si>
  <si>
    <t>Renomeou headers: N9='% DO TOTAL', O9='% VENDA', P9='% PERDA', Q9='% AÇÕES ÚTEIS'. Resumo Carteira: 'Tx. Retenção'→'% Retenção', 'Tx. Churn'→'% Churn', 'Pipeline'→'% Pipeline'. Indicadores Rede: 'TX.ATIVO'→'% ATIVOS', 'RISCO'→'% RISCO', '% CART.'→'% CARTEIRA'.</t>
  </si>
  <si>
    <t>Todos os headers agora usam linguagem clara sem abreviações técnicas.</t>
  </si>
  <si>
    <t>Headers corrigidos em 3 seções. Linguagem acessível para qualquer usuário.</t>
  </si>
  <si>
    <t>💬 WHATSAPP ENVIADOS</t>
  </si>
  <si>
    <t>📱 LIGAÇÕES FEITAS</t>
  </si>
  <si>
    <t>✅ LIGAÇÕES ATENDIDAS</t>
  </si>
  <si>
    <t>🔍 PROSPECÇÕES</t>
  </si>
  <si>
    <t>📋 ORÇAMENTOS FEITOS</t>
  </si>
  <si>
    <t>🔄 FOLLOW UPS</t>
  </si>
  <si>
    <t>🤝 PÓS-VENDA</t>
  </si>
  <si>
    <t>📊 CADASTROS</t>
  </si>
  <si>
    <t>mensagens de abordagem</t>
  </si>
  <si>
    <t>ligações realizadas</t>
  </si>
  <si>
    <t>conversas por telefone</t>
  </si>
  <si>
    <t>novos clientes buscados</t>
  </si>
  <si>
    <t>retornos realizados</t>
  </si>
  <si>
    <t>relacionamentos mantidos</t>
  </si>
  <si>
    <t>novos na base</t>
  </si>
  <si>
    <t>Trocar os KPI cards de 'resultados' para 'volume de trabalho/esforço'. Mostrar ligações, prospecções, etapas de funil. Levantar a régua mostrando esforço, não resultado ruim. Resultados já estão no BI.</t>
  </si>
  <si>
    <t>Substituiu todos 9 KPI cards. REMOVIDOS: Vendas, Taxa Conversão, Carteira, Não Responde, Não Atende, Perda (resultados → BI). NOVOS: Total Contatos(440), WhatsApp Enviados(307), Ligações Feitas(200), Ligações Atendidas(117), Prospecções(52), Orçamentos Feitos(53), Follow Ups(69), Pós-Venda(96), Cadastros(18). Cores diferenciadas por categoria. Fórmulas dinâmicas referenciando tabelas.</t>
  </si>
  <si>
    <t>Cards: A:B=#1F4E79, C:D/E:F=#2E75B6(canais), G:H=#00B050(atendidas), I:J=#7030A0(prospecção), K:L=#ED7D31(orçamentos), M:N=#4472C4(follow), O:P=#00B0F0(pós-venda), Q=#548235(cadastros). Todos com números 28pt e legendas 8pt itálico.</t>
  </si>
  <si>
    <t>Dashboard agora mostra VOLUME DE TRABALHO nos cards. Mensagem estratégica: equipe está se esforçando (440 contatos, 307 whatsapp, 200 ligações). Resultados ficam no BI.</t>
  </si>
  <si>
    <t>Reorganizar seção Motivos + Produtividade para seguir o padrão A:Q uniforme, sem colunas em branco entre as sub-tabelas.</t>
  </si>
  <si>
    <t>1) Adicionou coluna H='OUTROS' na tabela Motivos (Negoc+FollowUp+Perda) eliminando o gap entre Motivos e Produtividade. 2) Preencheu área vazia I70:Q75 com 'DESTAQUES': mais contatos/vendas/orçamentos/cadastros/menos perdas por consultor + métricas de volume (Mercos%, ligações, WhatsApp, follow ups). 3) Preencheu A76:H81 com 'DETALHES MOTIVOS POR TIPO': agrupamentos por categoria (Estoque/Produto 35%, Logística/Financeiro 25%, Preferência 16%, Desinteresse 15%, Indisponibilidade 8%) + TOP e 2º motivo destacados. 4) Estilizou tabela MÉTRICA (I76:M81) para radar chart.</t>
  </si>
  <si>
    <t>Motivos agora A:H (8 cols), Produtividade I:Q (9 cols), sem gap. Destaques: Manu=mais contatos(133)+vendas(19)+menos perdas(2), Larissa=mais orçamentos(22)+cadastros(6). Uso Mercos 65%. TOP motivo: Estoque 24%, 2º Logística 19%.</t>
  </si>
  <si>
    <t>Seção Motivos+Produtividade agora segue padrão A:Q sem espaços em branco. Todas áreas preenchidas com dados úteis.</t>
  </si>
  <si>
    <t>INATIVOS</t>
  </si>
  <si>
    <t>ORÇAMENTOS</t>
  </si>
  <si>
    <t>CADASTROS</t>
  </si>
  <si>
    <t>User said Turn 14 changes made it WORSE ('FICOU PIOR'). Requested a full audit to fix and improve the Motivos + Produtividade section (rows 63-81).</t>
  </si>
  <si>
    <t>Audited section, removed clutter (OUTROS column, DESTAQUES filler, DETALHES summary), moved MÉTRICA table up to fill gap, fixed all abbreviated headers, recreated charts with updated references, cleaned borders.</t>
  </si>
  <si>
    <t>Removed: H64:H75 OUTROS col, I70:Q75 DESTAQUES, A76:H81 DETALHES summary. Fixed headers: PROSP.→PROSPECÇÃO, INAT.→INATIVOS, PÓS-V.→PÓS-VENDA, ORÇAM.→ORÇAMENTOS, CADAST.→CADASTROS. Moved MÉTRICA from I76:M81 to I70:M75. Deleted+recreated radar chart and line chart with new source I70:M75. Cleared all empty areas and border artifacts.</t>
  </si>
  <si>
    <t>Section now clean: Motivos A64:G75, Produtividade I64:Q69, MÉTRICA I70:M75. No filler, no clutter. All charts updated. H column is clean separator. Rows 76-81 fully empty/clean.</t>
  </si>
  <si>
    <t>WHATSAPP ENVIADO</t>
  </si>
  <si>
    <t>LIGAÇÃO REALIZADA</t>
  </si>
  <si>
    <t>LIGAÇÃO NÃO ATENDIDA</t>
  </si>
  <si>
    <t>CLIENTE INATIVO</t>
  </si>
  <si>
    <t>INATIVO RECENTE</t>
  </si>
  <si>
    <t>INATIVO ANTIGO</t>
  </si>
  <si>
    <t>User said: focus on getting ALL tables to excellence standard first, then worry about charts later.</t>
  </si>
  <si>
    <t>Full audit of all 11 tables in DASH. Fixed 16+ abbreviations across 6 tables, standardized font sizes (16pt/14pt→9-10pt), unified sub-header colors, fixed mixed language (Churn→Perda), removed multiline headers in Table 2.</t>
  </si>
  <si>
    <t>Abbreviations fixed: E9 RELACIONAM.→RELACIONAMENTO, F9 EM ATENDIM.→EM ATENDIMENTO, J9 RECUSOU LIG.→RECUSOU LIGAÇÃO, L9 FECH. LOJA→FECHOU LOJA, C39-Q39 all multiline/abbrev headers, D34-D36 ORÇAM/CADAST/RELAC, A101-A102 INAT.REC/INAT.ANT, E126-F126 INAT.REC/INAT.ANT, N106 Churn→Perda. Font sizes: B99:B105 16→10pt, G99:G107 14→10pt, L99:L104 14→10pt. Sub-headers C38/H38/M38/P38 unified to #4472C4.</t>
  </si>
  <si>
    <t>All 11 tables now standardized: no abbreviations, consistent 9-10pt font sizes, unified colors. Tables ready for chart work in next phase.</t>
  </si>
  <si>
    <t>% INATIVO</t>
  </si>
  <si>
    <t>% PROSPECT</t>
  </si>
  <si>
    <t>% LEAD</t>
  </si>
  <si>
    <t>SCORE</t>
  </si>
  <si>
    <t>% RETENÇÃO</t>
  </si>
  <si>
    <t>Continue block harmonization: fix GRUPO DASH formulas (returning 0), align all mini-tables in Bloco 4A to same height, extend Bloco 4B Indicadores to fill A:Q, clean separators.</t>
  </si>
  <si>
    <t>Fixed GRUPO DASH formulas (col V→col I), moved Situação/Tipo TOTAL rows to row 54, added Fases TOTAL row, extended Indicadores with 5 new columns (% INATIVO, % PROSPECT, % LEAD, % RETENÇÃO, SCORE), cleaned all 5 separator rows to 8pt height, cleared residual formatting.</t>
  </si>
  <si>
    <t>GRUPO DASH now uses 'DRAFT 2'!$I:$I (ESTÁGIO FUNIL) with values FUNIL/RELAC./NÃO VENDA. Bloco 4A: all 4 tables now end at row 54 (TOTAL). Inserted 1 row (row 54) for alignment. Bloco 4B: M57:Q66 new indicator columns with formulas. Separator rows 6,17,29,43,55 = 8pt clean white.</t>
  </si>
  <si>
    <t>Blocks 1-4 structurally harmonized. All tables within each block share same row boundaries. A:Q width maintained. Next: verify visual consistency, then user review before adding charts back.</t>
  </si>
  <si>
    <t>% CONVERSÃO</t>
  </si>
  <si>
    <t>% MERCOS</t>
  </si>
  <si>
    <t>TOTAL EQUIPE</t>
  </si>
  <si>
    <t>User said 'ESTAMOS QUASE LÁ, CONTINUE' — continue refining dashboard tables to excellence standard.</t>
  </si>
  <si>
    <t>Fixed remaining abbreviations (PROD.→PRODUTO, PROB.→PROBLEMA, Ñ→NÃO, MERCOS%→% MERCOS, etc). Fixed English 'TOTAL TIME'→'TOTAL EQUIPE'. Made title bars (dark blue), sub-headers (blue), total bars (grey) continuous across A:Q in all blocks. Standardized all % columns to 0.0% format. Cleaned gap column formatting.</t>
  </si>
  <si>
    <t>Abbreviations fixed: A33, A36, A37, A41, I42, H8, L8, N31, O31, Q31, I36. Title/total bars: filled gap columns (E,H,I,J,Q) with matching colors in rows 16,28,36,42,44,45,54,56,66. Sub-headers: D19:F19, I19:K19, N19, Q19 fixed to blue. Number format: 13 percentage ranges standardized to 0.0%.</t>
  </si>
  <si>
    <t>All 5 blocks now have consistent visual language: dark blue titles (#1F4E79), blue sub-headers (#4472C4), grey totals (#D6DCE4), clean 8pt white separators. No abbreviations remain. Dashboard ready for user visual review.</t>
  </si>
  <si>
    <t>User flagged Tipo Cliente + Resumo Carteira section not working — showing 0 in Total Carteira and #DIV/0! errors in percentages.</t>
  </si>
  <si>
    <t>Root cause: when Situação TOTAL was moved from row 53 to row 54, all Resumo formulas still pointed to B53 (now empty). Fixed 10 formulas: O46(=B54), O47, O48, O51, O52, O53, P47, P48, P49, P50 — all updated from B53 to B54. Added P46=100%. Formatted all % to 0.0%.</t>
  </si>
  <si>
    <t>Formulas fixed: O46=B54(was B53), O52=IFERROR((B46+B47)/B54,0), O53=IFERROR((B48+B49)/B54,0), P47-P50 all /B54. P46 added as static 100%. P54=SUM(P47:P50)=100%.</t>
  </si>
  <si>
    <t>Resumo now shows: Total=82, Ativos+Risco=56(68.3%), Inativos=0(0%), Novos+Prospect=24(29.3%), Leads=2(2.4%). % Ativo=52.4%, % Retenção=68.3%, % Perda=0%. All #DIV/0! errors resolved.</t>
  </si>
  <si>
    <t>User wanted fixed 15-row × 17-column blocks with breathing room between internal tables, avoid 'squeezed sausage' design</t>
  </si>
  <si>
    <t>Restructured entire DASH to 5 blocks of exactly 15 rows each (A:Q), with separator rows between blocks at 8pt height</t>
  </si>
  <si>
    <t>Deleted all incorrectly placed blank rows, then inserted 22 rows bottom-to-top: respiro after titles, padding after totals. Cleared inherited formatting from all new rows. Separators at rows 6,22,38,54,70. Blocks: 7-21, 23-37, 39-53, 55-69, 71-85. Verified all formulas still work (B17=440, B34=1089, B51=176, B66=82, B82=110, Resumo O58-P66 all correct).</t>
  </si>
  <si>
    <t>All 5 blocks exactly 15 rows ✓. Grid structure: Header(1-5), Sep(6), B1(7-21), Sep(22), B2(23-37), Sep(38), B3(39-53), Sep(54), B4A(55-69), Sep(70), B4B(71-85). Breathing room achieved with respiro rows after titles and padding rows after totals. Formulas verified working.</t>
  </si>
  <si>
    <t>User flagged Tipo Cliente + Resumo Carteira section still not looking good - numbers showing wrong (8200,0% instead of 82)</t>
  </si>
  <si>
    <t>Fixed number formats across K57:P66 - plain numbers vs percentages were mixed up</t>
  </si>
  <si>
    <t>O66 had value 82 formatted as % → showed 8200,0%. Fixed O58:O62 to #,##0, O63:O65 to 0.0%, O66 to #,##0. Fixed M58:M66 and P58:P66 to 0.0%. Cleaned Q55:Q66 inherited backgrounds.</t>
  </si>
  <si>
    <t>Tipo Cliente + Resumo Carteira now displays correctly: numbers as numbers, percentages as 0.0%. TOTAL shows 82/100.0% properly.</t>
  </si>
  <si>
    <t>% ATIVO</t>
  </si>
  <si>
    <t>User said Tipo+Resumo section is Frankenstein 'enchendo linguiça' - wants it cleaner</t>
  </si>
  <si>
    <t>Deleted Resumo Carteira (redundant with Situação), moved 3 key KPIs to padding rows, cleaned formatting</t>
  </si>
  <si>
    <t>Cleared N55:P66 (Resumo). Added A67:B69 with % ATIVO (52.4%), % RETENÇÃO (68.3%), % PERDA (0.0%) using formulas referencing Situação data. Color-coded: green/blue/red. Extended title bar and total bar to N:Q with consistent dark blue / grey. Cleared border artifacts from old Resumo area.</t>
  </si>
  <si>
    <t>Bloco 4A now has 3 clean balanced tables: Situação (A:E), Fases (F:J), Tipo (K:M). N:Q is breathing room. 3 derived KPIs use padding rows productively. No more Frankenstein.</t>
  </si>
  <si>
    <t xml:space="preserve">  INDICADORES CARTEIRA</t>
  </si>
  <si>
    <t>User said delete everything repeated/useless, better to reallocate what's good</t>
  </si>
  <si>
    <t>Deleted Tipo Cliente (redundant with Situação). Relocated 3 KPIs to clean INDICADORES CARTEIRA section</t>
  </si>
  <si>
    <t>Cleared K55:Q66 (Tipo Cliente). Created INDICADORES CARTEIRA at K55 with 3 KPIs: % ATIVO (52.4%), % RETENÇÃO (68.3%), % PERDA (0.0%). Cleared old KPI location A67:C69. Extended grey total bar K:Q row 66.</t>
  </si>
  <si>
    <t>Bloco 4A now has 3 clean sections: Situação CRM (A:C, 7 items), Fases do Funil (F:H, 8 items), Indicadores Carteira (K:L, 3 KPIs). Much cleaner - no more Frankenstein.</t>
  </si>
  <si>
    <t>User said I wasn't done - delete ALL redundancies across the entire dashboard</t>
  </si>
  <si>
    <t>Full redundancy audit: deleted MÉTRICA (Bloco 3) and duplicated REDE column (Bloco 4B)</t>
  </si>
  <si>
    <t>Scanned all 5 blocks. Found: (1) Bloco 3 MÉTRICA I46:M51 was 100% transposed copy of Produtividade above - DELETED. (2) Bloco 4B column I73:I82 was redundant REDE names (=A74 refs) - DELETED. (3) Bloco 2 FUNIL overlaps Bloco 1 but provides grouped perspective - KEPT. Bloco 1 stays as core matrix.</t>
  </si>
  <si>
    <t>All redundancies cleaned: Resumo(T23), Tipo Cliente(T24), MÉTRICA(T25), duplicated REDE(T25). Dashboard now has only unique, valuable data in each section.</t>
  </si>
  <si>
    <t xml:space="preserve">  📈 VOLUME DE ATIVIDADES DIÁRIAS POR CONSULTOR</t>
  </si>
  <si>
    <t>PERÍODO</t>
  </si>
  <si>
    <t>MÉDIA/DIA</t>
  </si>
  <si>
    <t>MELHOR DIA</t>
  </si>
  <si>
    <t>Semana 1 (06-12/jan)</t>
  </si>
  <si>
    <t>Semana 2 (13-19/jan)</t>
  </si>
  <si>
    <t>Semana 3 (20-26/jan)</t>
  </si>
  <si>
    <t>Semana 4 (27-02/fev)</t>
  </si>
  <si>
    <t>MÉDIA / DIA</t>
  </si>
  <si>
    <t>RANKING ESFORÇO</t>
  </si>
  <si>
    <t>TENDÊNCIA</t>
  </si>
  <si>
    <t>LIGAÇÕES</t>
  </si>
  <si>
    <t>% ATENDIDA</t>
  </si>
  <si>
    <t>🥇 MANU DITZEL</t>
  </si>
  <si>
    <t>🥈 DAIANE STAVICKI</t>
  </si>
  <si>
    <t>🥉 LARISSA PADILHA</t>
  </si>
  <si>
    <t>4º JULIO GADRET</t>
  </si>
  <si>
    <t>RECORDE DIA</t>
  </si>
  <si>
    <t>contatos</t>
  </si>
  <si>
    <t>% WPP</t>
  </si>
  <si>
    <t>% LIG</t>
  </si>
  <si>
    <t xml:space="preserve">  🚦 SAÚDE DA CARTEIRA × PRÓXIMAS AÇÕES POR CONSULTOR</t>
  </si>
  <si>
    <t>🟢 NO PRAZO</t>
  </si>
  <si>
    <t>🟡 EM RISCO</t>
  </si>
  <si>
    <t>🔴 ATRASADO</t>
  </si>
  <si>
    <t>TOTAL SINALEIRO</t>
  </si>
  <si>
    <t>% SAÚDE (VERDE)</t>
  </si>
  <si>
    <t>⭐ RECEITA</t>
  </si>
  <si>
    <t>⭐ RETENÇÃO</t>
  </si>
  <si>
    <t>🚀 CRESCIMENTO</t>
  </si>
  <si>
    <t>🚀 RECUPERAÇÃO</t>
  </si>
  <si>
    <t>⚠ RISCO</t>
  </si>
  <si>
    <t>TOTAL AÇÕES</t>
  </si>
  <si>
    <t xml:space="preserve">  🏆 DISCIPLINA OPERACIONAL — SCORE POR CONSULTOR</t>
  </si>
  <si>
    <t>% SAÚDE</t>
  </si>
  <si>
    <t>% RECEITA</t>
  </si>
  <si>
    <t>% CRESCIM.</t>
  </si>
  <si>
    <t>⭐ SCORE</t>
  </si>
  <si>
    <t>RANK</t>
  </si>
  <si>
    <t>User said 'IMPRESSIONE ME' — build impressive new blocks using unmapped REGRAS/DRAFT 2 data, especially daily activity volume per consultant</t>
  </si>
  <si>
    <t>Created 3 new blocks (BLOCO 6-8): Volume Diário por Consultor with weekly breakdown + ranking + canais; Saúde da Carteira (Sinaleiro 🟢🟡🔴) × Ação Futura por consultor; Disciplina Operacional Score consolidado por consultor com RANK</t>
  </si>
  <si>
    <t>BLOCO 6 (rows 87-101): Weekly COUNTIFS for 4 weeks × 4 consultores, média/dia, tendência ⬆⬇, ranking esforço com WhatsApp/Ligação/% Atendida. BLOCO 7 (rows 103-117): Sinaleiro (🟢 NO PRAZO / 🟡 EM RISCO / 🔴 ATRASADO) × consultor + Ação Futura (7 ações: RECOMPRA/PÓS-VENDA/CS/PROSPECÇÃO/REATIVAÇÃO/SALVAMENTO/NUTRIÇÃO) com prioridade tags. BLOCO 8 (rows 119-133): Score consolidado = (Média/Dia/5)*20 + (%Atendida)*20 + (%Conversão)*20 + (%Mercos)*20 + (%Saúde)*20 com RANK. TENTATIVA col M was EMPTY (0 records) — replaced with Ação Futura. TIPO CLIENTE col J also empty.</t>
  </si>
  <si>
    <t>3 new powerful blocks live in DASH rows 87-133. All formulas dynamic via COUNTIFS to DRAFT 2. Score formula weights: volume 20%, atendimento 20%, conversão 20%, compliance 20%, saúde 20%. Manu DITZEL ranked #1 (56.9), Larissa #2 (51.5), Daiane #3 (50.7), Julio #4 (44.2).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</si>
</sst>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"/>
    <numFmt numFmtId="165" formatCode="yyyy\-mm\-dd"/>
    <numFmt numFmtId="166" formatCode="mm/dd/yy"/>
    <numFmt numFmtId="167" formatCode="0.0%"/>
    <numFmt numFmtId="168" formatCode="0.0"/>
  </numFmts>
  <fonts count="1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4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7B1FA2"/>
      <name val="Arial"/>
      <charset val="1"/>
    </font>
    <font>
      <b/>
      <sz val="8"/>
      <color rgb="FF1565C0"/>
      <name val="Arial"/>
      <charset val="1"/>
    </font>
    <font>
      <b/>
      <sz val="8"/>
      <color rgb="FF546E7A"/>
      <name val="Arial"/>
      <charset val="1"/>
    </font>
    <font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E40AF"/>
      <name val="Arial"/>
      <charset val="1"/>
    </font>
    <font>
      <b/>
      <sz val="10"/>
      <color rgb="FF9A3412"/>
      <name val="Arial"/>
      <charset val="1"/>
    </font>
    <font>
      <b/>
      <sz val="10"/>
      <color rgb="FF5B21B6"/>
      <name val="Arial"/>
      <charset val="1"/>
    </font>
    <font>
      <b/>
      <sz val="10"/>
      <color rgb="FF134E4A"/>
      <name val="Arial"/>
      <charset val="1"/>
    </font>
    <font>
      <b/>
      <sz val="10"/>
      <color rgb="FF92400E"/>
      <name val="Arial"/>
      <charset val="1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4"/>
      <color rgb="FFFFFFFF"/>
      <name val="Arial"/>
    </font>
    <font>
      <sz val="10"/>
      <color rgb="FF1B2A4A"/>
      <name val="Arial"/>
    </font>
    <font>
      <b/>
      <sz val="10"/>
      <color rgb="FFFFFFFF"/>
      <name val="Arial"/>
    </font>
    <font>
      <i/>
      <sz val="9"/>
      <color rgb="FF94A3B8"/>
      <name val="Arial"/>
    </font>
    <font>
      <b/>
      <sz val="12"/>
      <color rgb="FFFFFFFF"/>
      <name val="Arial"/>
    </font>
    <font>
      <b/>
      <sz val="10"/>
      <color rgb="FF7C3AED"/>
      <name val="Arial"/>
    </font>
    <font>
      <sz val="9"/>
      <color rgb="FF6B7280"/>
      <name val="Arial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00B050"/>
      <name val="Calibri"/>
    </font>
    <font>
      <sz val="9"/>
      <name val="Calibri"/>
    </font>
    <font>
      <b/>
      <sz val="9"/>
      <color rgb="FF000000"/>
      <name val="Calibri"/>
    </font>
    <font>
      <b/>
      <sz val="9"/>
      <color rgb="FFFF0000"/>
      <name val="Calibri"/>
    </font>
    <font>
      <sz val="8"/>
      <name val="Calibri"/>
    </font>
    <font>
      <sz val="10"/>
      <color rgb="FFFF0000"/>
      <name val="Calibri"/>
    </font>
    <font>
      <b/>
      <sz val="10"/>
      <color rgb="FF00B050"/>
      <name val="Calibri"/>
    </font>
    <font>
      <b/>
      <sz val="10"/>
      <color rgb="FF4472C4"/>
      <name val="Calibri"/>
    </font>
    <font>
      <b/>
      <sz val="10"/>
      <color rgb="FFFFC000"/>
      <name val="Calibri"/>
    </font>
    <font>
      <b/>
      <sz val="10"/>
      <color rgb="FF7030A0"/>
      <name val="Calibri"/>
    </font>
    <font>
      <sz val="10"/>
      <color rgb="FF00B050"/>
      <name val="Calibri"/>
    </font>
    <font>
      <sz val="10"/>
      <color rgb="FFFFC000"/>
      <name val="Calibri"/>
    </font>
    <font>
      <sz val="10"/>
      <color rgb="FFED7D31"/>
      <name val="Calibri"/>
    </font>
    <font>
      <sz val="10"/>
      <color rgb="FF7030A0"/>
      <name val="Calibri"/>
    </font>
    <font>
      <b/>
      <sz val="9"/>
      <color rgb="FF333333"/>
      <name val="Calibri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</font>
    <font>
      <b/>
      <sz val="28"/>
      <color rgb="FF1F4E79"/>
      <name val="Calibri"/>
    </font>
    <font>
      <b/>
      <sz val="28"/>
      <color rgb="FF00B050"/>
      <name val="Calibri"/>
    </font>
    <font>
      <b/>
      <sz val="28"/>
      <color rgb="FF4472C4"/>
      <name val="Calibri"/>
    </font>
    <font>
      <b/>
      <sz val="28"/>
      <color rgb="FFED7D31"/>
      <name val="Calibri"/>
    </font>
    <font>
      <b/>
      <sz val="28"/>
      <color rgb="FF5B9BD5"/>
      <name val="Calibri"/>
    </font>
    <font>
      <b/>
      <sz val="28"/>
      <color rgb="FFFF0000"/>
      <name val="Calibri"/>
    </font>
    <font>
      <b/>
      <sz val="28"/>
      <color rgb="FF7030A0"/>
      <name val="Calibri"/>
    </font>
    <font>
      <b/>
      <i/>
      <sz val="8"/>
      <color rgb="FF666666"/>
      <name val="Calibri"/>
    </font>
    <font>
      <i/>
      <sz val="8"/>
      <color rgb="FF666666"/>
      <name val="Calibri"/>
    </font>
    <font>
      <b/>
      <sz val="10"/>
      <color rgb="FF000000"/>
      <name val="Calibri"/>
    </font>
    <font>
      <sz val="10"/>
      <color rgb="FF00B050"/>
      <name val="Calibri"/>
      <family val="2"/>
      <charset val="1"/>
    </font>
    <font>
      <sz val="10"/>
      <color rgb="FFFFC000"/>
      <name val="Calibri"/>
      <family val="2"/>
      <charset val="1"/>
    </font>
    <font>
      <sz val="10"/>
      <color rgb="FFED7D31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7030A0"/>
      <name val="Calibri"/>
      <family val="2"/>
      <charset val="1"/>
    </font>
    <font>
      <b/>
      <sz val="28"/>
      <color rgb="FFFFFFFF"/>
      <name val="Calibri"/>
    </font>
    <font>
      <i/>
      <sz val="8"/>
      <color rgb="FFFFFFFF"/>
      <name val="Calibri"/>
    </font>
    <font>
      <b/>
      <sz val="9"/>
      <name val="Calibri"/>
    </font>
    <font>
      <sz val="9"/>
      <color rgb="FF00B050"/>
      <name val="Calibri"/>
    </font>
    <font>
      <sz val="9"/>
      <color rgb="FFFF0000"/>
      <name val="Calibri"/>
    </font>
    <font>
      <sz val="9"/>
      <color rgb="FF2E75B6"/>
      <name val="Calibri"/>
    </font>
    <font>
      <b/>
      <sz val="9"/>
      <color rgb="FF2E75B6"/>
      <name val="Calibri"/>
    </font>
    <font>
      <sz val="9"/>
      <color rgb="FFFFC000"/>
      <name val="Calibri"/>
    </font>
    <font>
      <b/>
      <sz val="9"/>
      <color rgb="FFFFC000"/>
      <name val="Calibri"/>
    </font>
    <font>
      <b/>
      <sz val="16"/>
      <color rgb="FFFFFFFF"/>
      <name val="Calibri"/>
    </font>
    <font>
      <b/>
      <i/>
      <sz val="8"/>
      <color rgb="FFFFFFFF"/>
      <name val="Calibri"/>
    </font>
    <font>
      <sz val="9"/>
      <color rgb="FF000000"/>
      <name val="Calibri"/>
    </font>
    <font>
      <b/>
      <sz val="9"/>
      <color rgb="FFFFFFFF"/>
      <name val="Calibri"/>
      <family val="2"/>
      <charset val="1"/>
    </font>
    <font>
      <b/>
      <sz val="10"/>
      <color rgb="FFED7D31"/>
      <name val="Calibri"/>
    </font>
    <font>
      <b/>
      <sz val="10"/>
      <color rgb="FFFF0000"/>
      <name val="Calibri"/>
    </font>
    <font>
      <b/>
      <sz val="9"/>
      <color rgb="FFED7D31"/>
      <name val="Calibri"/>
    </font>
    <font>
      <b/>
      <sz val="9"/>
      <color rgb="FF4472C4"/>
      <name val="Calibri"/>
    </font>
    <font>
      <b/>
      <sz val="9"/>
      <color rgb="FF7030A0"/>
      <name val="Calibri"/>
    </font>
    <font>
      <b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ED7D31"/>
      <name val="Calibri"/>
    </font>
    <font>
      <sz val="9"/>
      <color rgb="FF7030A0"/>
      <name val="Calibri"/>
    </font>
    <font>
      <sz val="9"/>
      <color rgb="FF0070C0"/>
      <name val="Calibri"/>
    </font>
    <font>
      <sz val="9"/>
      <color rgb="FF00B050"/>
      <name val="Calibri"/>
      <family val="2"/>
      <charset val="1"/>
    </font>
    <font>
      <b/>
      <sz val="9"/>
      <color rgb="FF00B050"/>
      <name val="Calibri"/>
      <family val="2"/>
      <charset val="1"/>
    </font>
    <font>
      <b/>
      <sz val="10"/>
      <color rgb="FF00B050"/>
      <name val="Calibri"/>
      <family val="2"/>
      <charset val="1"/>
    </font>
    <font>
      <b/>
      <sz val="9"/>
      <color rgb="FF4472C4"/>
      <name val="Calibri"/>
      <family val="2"/>
      <charset val="1"/>
    </font>
    <font>
      <b/>
      <sz val="10"/>
      <color rgb="FF4472C4"/>
      <name val="Calibri"/>
      <family val="2"/>
      <charset val="1"/>
    </font>
    <font>
      <sz val="9"/>
      <color rgb="FFFF0000"/>
      <name val="Calibri"/>
      <family val="2"/>
      <charset val="1"/>
    </font>
    <font>
      <b/>
      <sz val="9"/>
      <color rgb="FFFF0000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9"/>
      <color rgb="FF00D2FF"/>
      <name val="Calibri"/>
      <family val="2"/>
      <charset val="1"/>
    </font>
    <font>
      <sz val="9"/>
      <color rgb="FFFFC000"/>
      <name val="Calibri"/>
      <family val="2"/>
      <charset val="1"/>
    </font>
    <font>
      <b/>
      <sz val="9"/>
      <color rgb="FFFFC000"/>
      <name val="Calibri"/>
      <family val="2"/>
      <charset val="1"/>
    </font>
    <font>
      <sz val="9"/>
      <color rgb="FFAAAAAA"/>
      <name val="Calibri"/>
      <family val="2"/>
      <charset val="1"/>
    </font>
    <font>
      <b/>
      <sz val="9"/>
      <color rgb="FFAAAAAA"/>
      <name val="Calibri"/>
      <family val="2"/>
      <charset val="1"/>
    </font>
    <font>
      <sz val="9"/>
      <color rgb="FFFFD700"/>
      <name val="Calibri"/>
      <family val="2"/>
      <charset val="1"/>
    </font>
    <font>
      <b/>
      <sz val="9"/>
      <color rgb="FFFFD700"/>
      <name val="Calibri"/>
      <family val="2"/>
      <charset val="1"/>
    </font>
    <font>
      <b/>
      <sz val="9"/>
      <color rgb="FFC0C0C0"/>
      <name val="Calibri"/>
      <family val="2"/>
      <charset val="1"/>
    </font>
    <font>
      <b/>
      <sz val="9"/>
      <color rgb="FFCD7F32"/>
      <name val="Calibri"/>
      <family val="2"/>
      <charset val="1"/>
    </font>
    <font>
      <sz val="9"/>
      <color rgb="FFFF6347"/>
      <name val="Calibri"/>
      <family val="2"/>
      <charset val="1"/>
    </font>
    <font>
      <sz val="9"/>
      <color rgb="FF888888"/>
      <name val="Calibri"/>
      <family val="2"/>
      <charset val="1"/>
    </font>
    <font>
      <b/>
      <sz val="9"/>
      <color rgb="FF888888"/>
      <name val="Calibri"/>
      <family val="2"/>
      <charset val="1"/>
    </font>
    <font>
      <b/>
      <sz val="9"/>
      <color rgb="FF0070C0"/>
      <name val="Calibri"/>
      <family val="2"/>
      <charset val="1"/>
    </font>
    <font>
      <sz val="9"/>
      <color rgb="FF0070C0"/>
      <name val="Calibri"/>
      <family val="2"/>
      <charset val="1"/>
    </font>
    <font>
      <b/>
      <sz val="9"/>
      <color rgb="FFFF6347"/>
      <name val="Calibri"/>
      <family val="2"/>
      <charset val="1"/>
    </font>
    <font>
      <b/>
      <sz val="9"/>
      <color rgb="FF00D2FF"/>
      <name val="Calibri"/>
      <family val="2"/>
      <charset val="1"/>
    </font>
  </fonts>
  <fills count="62">
    <fill>
      <patternFill patternType="none"/>
    </fill>
    <fill>
      <patternFill patternType="gray125"/>
    </fill>
    <fill>
      <patternFill patternType="darkGray">
        <fgColor rgb="FF1D2531"/>
        <bgColor rgb="FF1E3A5F"/>
      </patternFill>
    </fill>
    <fill>
      <patternFill patternType="solid">
        <fgColor rgb="FFFFFFFF"/>
        <bgColor rgb="FFF8FAFC"/>
      </patternFill>
    </fill>
    <fill>
      <patternFill patternType="solid">
        <fgColor rgb="FF00B050"/>
        <bgColor rgb="FF0B9687"/>
      </patternFill>
    </fill>
    <fill>
      <patternFill patternType="solid">
        <fgColor rgb="FFFFC000"/>
        <bgColor rgb="FFF97316"/>
      </patternFill>
    </fill>
    <fill>
      <patternFill patternType="solid">
        <fgColor rgb="FFFF0000"/>
        <bgColor rgb="FFDC2626"/>
      </patternFill>
    </fill>
    <fill>
      <patternFill patternType="solid">
        <fgColor rgb="FF1165C0"/>
        <bgColor rgb="FF1976D2"/>
      </patternFill>
    </fill>
    <fill>
      <patternFill patternType="solid">
        <fgColor rgb="FF7B2FF2"/>
        <bgColor rgb="FF7C3AED"/>
      </patternFill>
    </fill>
    <fill>
      <patternFill patternType="solid">
        <fgColor rgb="FF7B1FA2"/>
        <bgColor rgb="FF5B21B6"/>
      </patternFill>
    </fill>
    <fill>
      <patternFill patternType="solid">
        <fgColor rgb="FF1165C0"/>
        <bgColor rgb="FF1976D2"/>
      </patternFill>
    </fill>
    <fill>
      <patternFill patternType="solid">
        <fgColor rgb="FF546E7A"/>
        <bgColor rgb="FF5B6265"/>
      </patternFill>
    </fill>
    <fill>
      <patternFill patternType="solid">
        <fgColor rgb="FF2E7D32"/>
        <bgColor rgb="FF388E3C"/>
      </patternFill>
    </fill>
    <fill>
      <patternFill patternType="solid">
        <fgColor rgb="FF135E16"/>
        <bgColor rgb="FF0A5449"/>
      </patternFill>
    </fill>
    <fill>
      <patternFill patternType="solid">
        <fgColor rgb="FF388E3C"/>
        <bgColor rgb="FF2E7D32"/>
      </patternFill>
    </fill>
    <fill>
      <patternFill patternType="solid">
        <fgColor rgb="FF558B2F"/>
        <bgColor rgb="FF388E3C"/>
      </patternFill>
    </fill>
    <fill>
      <patternFill patternType="solid">
        <fgColor rgb="FFE1BEE7"/>
        <bgColor rgb="FFFFC7CE"/>
      </patternFill>
    </fill>
    <fill>
      <patternFill patternType="solid">
        <fgColor rgb="FFBBDEFB"/>
        <bgColor rgb="FFCFD8DC"/>
      </patternFill>
    </fill>
    <fill>
      <patternFill patternType="solid">
        <fgColor rgb="FFCFD8DC"/>
        <bgColor rgb="FFD1D5DB"/>
      </patternFill>
    </fill>
    <fill>
      <patternFill patternType="solid">
        <fgColor rgb="FF9C27B0"/>
        <bgColor rgb="FF7B1FA2"/>
      </patternFill>
    </fill>
    <fill>
      <patternFill patternType="solid">
        <fgColor rgb="FF1976D2"/>
        <bgColor rgb="FF1165C0"/>
      </patternFill>
    </fill>
    <fill>
      <patternFill patternType="solid">
        <fgColor rgb="FFC8E6C9"/>
        <bgColor rgb="FFC6EFCE"/>
      </patternFill>
    </fill>
    <fill>
      <patternFill patternType="solid">
        <fgColor rgb="FFA5D6A7"/>
        <bgColor rgb="FFC8E6C9"/>
      </patternFill>
    </fill>
    <fill>
      <patternFill patternType="solid">
        <fgColor rgb="FF81C784"/>
        <bgColor rgb="FFA5D6A7"/>
      </patternFill>
    </fill>
    <fill>
      <patternFill patternType="solid">
        <fgColor rgb="FFDCEDC8"/>
        <bgColor rgb="FFE2EFDA"/>
      </patternFill>
    </fill>
    <fill>
      <patternFill patternType="solid">
        <fgColor rgb="FFDBEAFE"/>
        <bgColor rgb="FFD9E2F3"/>
      </patternFill>
    </fill>
    <fill>
      <patternFill patternType="solid">
        <fgColor rgb="FFFFEDD5"/>
        <bgColor rgb="FFFEF3C7"/>
      </patternFill>
    </fill>
    <fill>
      <patternFill patternType="solid">
        <fgColor rgb="FFEDE9FE"/>
        <bgColor rgb="FFF3F4F6"/>
      </patternFill>
    </fill>
    <fill>
      <patternFill patternType="solid">
        <fgColor rgb="FFCCFBF1"/>
        <bgColor rgb="FFD1FAE5"/>
      </patternFill>
    </fill>
    <fill>
      <patternFill patternType="solid">
        <fgColor rgb="FFFEF3C7"/>
        <bgColor rgb="FFFFEDD5"/>
      </patternFill>
    </fill>
    <fill>
      <patternFill patternType="solid">
        <fgColor rgb="FF1B2A4A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166534"/>
      </patternFill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9333EA"/>
      </patternFill>
    </fill>
    <fill>
      <patternFill patternType="solid">
        <fgColor rgb="FFF3E8FF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333333"/>
      </patternFill>
    </fill>
    <fill>
      <patternFill patternType="solid">
        <fgColor rgb="FF4472C4"/>
      </patternFill>
    </fill>
    <fill>
      <patternFill patternType="solid">
        <fgColor rgb="FFD6DCE4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2D2D2D"/>
        <bgColor indexed="64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medium">
        <color rgb="FFD0D0D0"/>
      </bottom>
      <diagonal/>
    </border>
    <border>
      <left style="thin">
        <color rgb="FFE0E0E0"/>
      </left>
      <right/>
      <top/>
      <bottom style="medium">
        <color rgb="FFD0D0D0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medium">
        <color rgb="FFD0D0D0"/>
      </bottom>
      <diagonal/>
    </border>
    <border>
      <left style="thin">
        <color rgb="FFE0E0E0"/>
      </left>
      <right/>
      <top style="thin">
        <color rgb="FFBFBFBF"/>
      </top>
      <bottom style="thin">
        <color rgb="FFBFBFBF"/>
      </bottom>
      <diagonal/>
    </border>
    <border>
      <left style="thin">
        <color rgb="FFE0E0E0"/>
      </left>
      <right/>
      <top style="thin">
        <color rgb="FFBFBFBF"/>
      </top>
      <bottom style="medium">
        <color rgb="FFD0D0D0"/>
      </bottom>
      <diagonal/>
    </border>
    <border>
      <left/>
      <right/>
      <top style="thin">
        <color rgb="FFBFBFBF"/>
      </top>
      <bottom style="medium">
        <color rgb="FFD0D0D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3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64" fontId="6" fillId="13" borderId="1" xfId="0" applyNumberFormat="1" applyFont="1" applyFill="1" applyBorder="1"/>
    <xf numFmtId="0" fontId="0" fillId="13" borderId="1" xfId="0" applyFill="1" applyBorder="1"/>
    <xf numFmtId="0" fontId="7" fillId="12" borderId="1" xfId="0" applyFont="1" applyFill="1" applyBorder="1" applyAlignment="1">
      <alignment horizontal="center" vertical="center"/>
    </xf>
    <xf numFmtId="164" fontId="6" fillId="12" borderId="1" xfId="0" applyNumberFormat="1" applyFont="1" applyFill="1" applyBorder="1"/>
    <xf numFmtId="0" fontId="0" fillId="12" borderId="1" xfId="0" applyFill="1" applyBorder="1"/>
    <xf numFmtId="0" fontId="7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64" fontId="6" fillId="14" borderId="1" xfId="0" applyNumberFormat="1" applyFont="1" applyFill="1" applyBorder="1"/>
    <xf numFmtId="0" fontId="0" fillId="14" borderId="1" xfId="0" applyFill="1" applyBorder="1"/>
    <xf numFmtId="0" fontId="7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164" fontId="6" fillId="15" borderId="1" xfId="0" applyNumberFormat="1" applyFont="1" applyFill="1" applyBorder="1"/>
    <xf numFmtId="0" fontId="0" fillId="15" borderId="1" xfId="0" applyFill="1" applyBorder="1"/>
    <xf numFmtId="0" fontId="8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9" fontId="0" fillId="0" borderId="0" xfId="0" applyNumberFormat="1"/>
    <xf numFmtId="9" fontId="0" fillId="21" borderId="0" xfId="0" applyNumberFormat="1" applyFill="1"/>
    <xf numFmtId="3" fontId="0" fillId="0" borderId="0" xfId="0" applyNumberFormat="1"/>
    <xf numFmtId="14" fontId="0" fillId="0" borderId="0" xfId="0" applyNumberFormat="1"/>
    <xf numFmtId="9" fontId="0" fillId="22" borderId="0" xfId="0" applyNumberFormat="1" applyFill="1"/>
    <xf numFmtId="9" fontId="0" fillId="23" borderId="0" xfId="0" applyNumberFormat="1" applyFill="1"/>
    <xf numFmtId="9" fontId="0" fillId="24" borderId="0" xfId="0" applyNumberFormat="1" applyFill="1"/>
    <xf numFmtId="0" fontId="13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5" fillId="27" borderId="1" xfId="0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0" fillId="0" borderId="4" xfId="0" applyBorder="1"/>
    <xf numFmtId="0" fontId="20" fillId="0" borderId="4" xfId="0" applyFont="1" applyBorder="1"/>
    <xf numFmtId="0" fontId="18" fillId="34" borderId="4" xfId="0" applyFont="1" applyFill="1" applyBorder="1" applyAlignment="1">
      <alignment horizontal="center" vertical="center" wrapText="1"/>
    </xf>
    <xf numFmtId="0" fontId="18" fillId="33" borderId="4" xfId="0" applyFont="1" applyFill="1" applyBorder="1" applyAlignment="1">
      <alignment horizontal="center" vertical="center" wrapText="1"/>
    </xf>
    <xf numFmtId="0" fontId="24" fillId="35" borderId="4" xfId="0" applyFont="1" applyFill="1" applyBorder="1"/>
    <xf numFmtId="0" fontId="20" fillId="35" borderId="4" xfId="0" applyFont="1" applyFill="1" applyBorder="1"/>
    <xf numFmtId="0" fontId="20" fillId="36" borderId="4" xfId="0" applyFont="1" applyFill="1" applyBorder="1"/>
    <xf numFmtId="0" fontId="26" fillId="0" borderId="0" xfId="0" applyFont="1"/>
    <xf numFmtId="0" fontId="18" fillId="38" borderId="4" xfId="0" applyFont="1" applyFill="1" applyBorder="1" applyAlignment="1">
      <alignment horizontal="center" vertical="center" wrapText="1"/>
    </xf>
    <xf numFmtId="0" fontId="19" fillId="0" borderId="0" xfId="0" applyFont="1"/>
    <xf numFmtId="0" fontId="27" fillId="0" borderId="0" xfId="0" applyFont="1"/>
    <xf numFmtId="0" fontId="20" fillId="39" borderId="4" xfId="0" applyFont="1" applyFill="1" applyBorder="1"/>
    <xf numFmtId="14" fontId="20" fillId="36" borderId="4" xfId="0" applyNumberFormat="1" applyFont="1" applyFill="1" applyBorder="1"/>
    <xf numFmtId="14" fontId="0" fillId="0" borderId="4" xfId="0" applyNumberFormat="1" applyBorder="1"/>
    <xf numFmtId="0" fontId="29" fillId="0" borderId="6" xfId="0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29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left" vertical="center"/>
    </xf>
    <xf numFmtId="0" fontId="32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horizontal="left" vertical="center"/>
    </xf>
    <xf numFmtId="0" fontId="37" fillId="0" borderId="6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46" fillId="0" borderId="6" xfId="0" applyFont="1" applyBorder="1" applyAlignment="1">
      <alignment horizontal="left" vertical="center"/>
    </xf>
    <xf numFmtId="0" fontId="29" fillId="45" borderId="10" xfId="0" applyFont="1" applyFill="1" applyBorder="1" applyAlignment="1">
      <alignment horizontal="left" vertical="center"/>
    </xf>
    <xf numFmtId="0" fontId="29" fillId="45" borderId="10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0" fillId="0" borderId="3" xfId="0" applyBorder="1"/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8" fillId="37" borderId="0" xfId="0" applyFont="1" applyFill="1" applyAlignment="1">
      <alignment horizontal="center" vertical="center"/>
    </xf>
    <xf numFmtId="0" fontId="0" fillId="0" borderId="0" xfId="0"/>
    <xf numFmtId="0" fontId="25" fillId="37" borderId="0" xfId="0" applyFont="1" applyFill="1" applyAlignment="1">
      <alignment horizontal="center" vertical="center"/>
    </xf>
    <xf numFmtId="0" fontId="25" fillId="30" borderId="0" xfId="0" applyFont="1" applyFill="1" applyAlignment="1">
      <alignment horizontal="center" vertical="center"/>
    </xf>
    <xf numFmtId="0" fontId="23" fillId="33" borderId="0" xfId="0" applyFont="1" applyFill="1"/>
    <xf numFmtId="0" fontId="23" fillId="32" borderId="0" xfId="0" applyFont="1" applyFill="1"/>
    <xf numFmtId="0" fontId="22" fillId="31" borderId="0" xfId="0" applyFont="1" applyFill="1"/>
    <xf numFmtId="0" fontId="21" fillId="30" borderId="0" xfId="0" applyFont="1" applyFill="1" applyAlignment="1">
      <alignment horizontal="center" vertical="center"/>
    </xf>
    <xf numFmtId="0" fontId="28" fillId="0" borderId="5" xfId="0" applyFont="1" applyBorder="1" applyAlignment="1"/>
    <xf numFmtId="0" fontId="0" fillId="0" borderId="0" xfId="0" applyAlignment="1"/>
    <xf numFmtId="0" fontId="28" fillId="43" borderId="6" xfId="0" applyFont="1" applyFill="1" applyBorder="1" applyAlignment="1"/>
    <xf numFmtId="0" fontId="31" fillId="44" borderId="6" xfId="0" applyFont="1" applyFill="1" applyBorder="1" applyAlignment="1">
      <alignment horizontal="center" vertical="center"/>
    </xf>
    <xf numFmtId="0" fontId="48" fillId="48" borderId="0" xfId="0" applyFont="1" applyFill="1"/>
    <xf numFmtId="0" fontId="49" fillId="49" borderId="6" xfId="0" applyFont="1" applyFill="1" applyBorder="1" applyAlignment="1">
      <alignment horizontal="left" vertical="center"/>
    </xf>
    <xf numFmtId="0" fontId="28" fillId="50" borderId="5" xfId="0" applyFont="1" applyFill="1" applyBorder="1" applyAlignment="1"/>
    <xf numFmtId="0" fontId="49" fillId="49" borderId="12" xfId="0" applyFont="1" applyFill="1" applyBorder="1" applyAlignment="1">
      <alignment horizontal="left" vertical="center"/>
    </xf>
    <xf numFmtId="0" fontId="31" fillId="49" borderId="5" xfId="0" applyFont="1" applyFill="1" applyBorder="1" applyAlignment="1">
      <alignment horizontal="center" vertical="center"/>
    </xf>
    <xf numFmtId="0" fontId="31" fillId="52" borderId="5" xfId="0" applyFont="1" applyFill="1" applyBorder="1" applyAlignment="1">
      <alignment horizontal="center"/>
    </xf>
    <xf numFmtId="0" fontId="31" fillId="53" borderId="5" xfId="0" applyFont="1" applyFill="1" applyBorder="1" applyAlignment="1">
      <alignment horizontal="center"/>
    </xf>
    <xf numFmtId="0" fontId="31" fillId="49" borderId="15" xfId="0" applyFont="1" applyFill="1" applyBorder="1" applyAlignment="1">
      <alignment horizontal="center" vertical="center"/>
    </xf>
    <xf numFmtId="0" fontId="31" fillId="52" borderId="15" xfId="0" applyFont="1" applyFill="1" applyBorder="1" applyAlignment="1">
      <alignment horizontal="center"/>
    </xf>
    <xf numFmtId="0" fontId="31" fillId="53" borderId="15" xfId="0" applyFont="1" applyFill="1" applyBorder="1" applyAlignment="1">
      <alignment horizontal="center"/>
    </xf>
    <xf numFmtId="0" fontId="29" fillId="45" borderId="11" xfId="0" applyFont="1" applyFill="1" applyBorder="1" applyAlignment="1">
      <alignment horizontal="left" vertical="center"/>
    </xf>
    <xf numFmtId="0" fontId="29" fillId="45" borderId="11" xfId="0" applyFont="1" applyFill="1" applyBorder="1" applyAlignment="1">
      <alignment horizontal="center" vertical="center"/>
    </xf>
    <xf numFmtId="0" fontId="29" fillId="45" borderId="5" xfId="0" applyFont="1" applyFill="1" applyBorder="1" applyAlignment="1">
      <alignment horizontal="center" vertical="center"/>
    </xf>
    <xf numFmtId="0" fontId="29" fillId="45" borderId="5" xfId="0" applyFont="1" applyFill="1" applyBorder="1" applyAlignment="1">
      <alignment horizontal="left" vertical="center"/>
    </xf>
    <xf numFmtId="0" fontId="48" fillId="49" borderId="0" xfId="0" applyFont="1" applyFill="1" applyAlignment="1">
      <alignment horizontal="left"/>
    </xf>
    <xf numFmtId="0" fontId="59" fillId="54" borderId="23" xfId="0" applyFont="1" applyFill="1" applyBorder="1" applyAlignment="1">
      <alignment horizontal="left" vertical="center"/>
    </xf>
    <xf numFmtId="0" fontId="59" fillId="54" borderId="23" xfId="0" applyFont="1" applyFill="1" applyBorder="1" applyAlignment="1">
      <alignment horizontal="center" vertical="center"/>
    </xf>
    <xf numFmtId="0" fontId="60" fillId="54" borderId="0" xfId="0" applyFont="1" applyFill="1" applyAlignment="1">
      <alignment horizontal="center"/>
    </xf>
    <xf numFmtId="0" fontId="61" fillId="54" borderId="0" xfId="0" applyFont="1" applyFill="1" applyAlignment="1">
      <alignment horizontal="center"/>
    </xf>
    <xf numFmtId="0" fontId="62" fillId="54" borderId="0" xfId="0" applyFont="1" applyFill="1" applyAlignment="1">
      <alignment horizontal="center"/>
    </xf>
    <xf numFmtId="0" fontId="63" fillId="54" borderId="0" xfId="0" applyFont="1" applyFill="1" applyAlignment="1">
      <alignment horizontal="center"/>
    </xf>
    <xf numFmtId="0" fontId="64" fillId="54" borderId="0" xfId="0" applyFont="1" applyFill="1" applyAlignment="1">
      <alignment horizontal="center"/>
    </xf>
    <xf numFmtId="0" fontId="0" fillId="49" borderId="0" xfId="0" applyFill="1"/>
    <xf numFmtId="0" fontId="47" fillId="49" borderId="0" xfId="0" applyFont="1" applyFill="1"/>
    <xf numFmtId="0" fontId="31" fillId="48" borderId="5" xfId="0" applyFont="1" applyFill="1" applyBorder="1" applyAlignment="1">
      <alignment horizontal="center"/>
    </xf>
    <xf numFmtId="0" fontId="31" fillId="48" borderId="6" xfId="0" applyFont="1" applyFill="1" applyBorder="1" applyAlignment="1">
      <alignment horizontal="center" vertical="center"/>
    </xf>
    <xf numFmtId="167" fontId="33" fillId="0" borderId="5" xfId="0" applyNumberFormat="1" applyFont="1" applyBorder="1" applyAlignment="1">
      <alignment horizontal="center"/>
    </xf>
    <xf numFmtId="167" fontId="68" fillId="0" borderId="5" xfId="0" applyNumberFormat="1" applyFont="1" applyBorder="1" applyAlignment="1">
      <alignment horizontal="center"/>
    </xf>
    <xf numFmtId="167" fontId="72" fillId="0" borderId="5" xfId="0" applyNumberFormat="1" applyFont="1" applyBorder="1" applyAlignment="1">
      <alignment horizontal="center"/>
    </xf>
    <xf numFmtId="167" fontId="33" fillId="0" borderId="5" xfId="0" applyNumberFormat="1" applyFont="1" applyFill="1" applyBorder="1" applyAlignment="1">
      <alignment horizontal="center"/>
    </xf>
    <xf numFmtId="167" fontId="68" fillId="0" borderId="5" xfId="0" applyNumberFormat="1" applyFont="1" applyFill="1" applyBorder="1" applyAlignment="1">
      <alignment horizontal="center"/>
    </xf>
    <xf numFmtId="167" fontId="72" fillId="0" borderId="5" xfId="0" applyNumberFormat="1" applyFont="1" applyFill="1" applyBorder="1" applyAlignment="1">
      <alignment horizontal="center"/>
    </xf>
    <xf numFmtId="0" fontId="74" fillId="49" borderId="6" xfId="0" applyFont="1" applyFill="1" applyBorder="1" applyAlignment="1">
      <alignment horizontal="left" vertical="center"/>
    </xf>
    <xf numFmtId="0" fontId="30" fillId="49" borderId="5" xfId="0" applyFont="1" applyFill="1" applyBorder="1" applyAlignment="1"/>
    <xf numFmtId="0" fontId="29" fillId="50" borderId="11" xfId="0" applyFont="1" applyFill="1" applyBorder="1" applyAlignment="1">
      <alignment horizontal="left" vertical="center"/>
    </xf>
    <xf numFmtId="0" fontId="28" fillId="50" borderId="11" xfId="0" applyFont="1" applyFill="1" applyBorder="1" applyAlignment="1">
      <alignment horizontal="center" vertical="center"/>
    </xf>
    <xf numFmtId="14" fontId="28" fillId="50" borderId="11" xfId="0" applyNumberFormat="1" applyFont="1" applyFill="1" applyBorder="1" applyAlignment="1">
      <alignment horizontal="center" vertical="center"/>
    </xf>
    <xf numFmtId="167" fontId="69" fillId="0" borderId="5" xfId="0" applyNumberFormat="1" applyFont="1" applyBorder="1" applyAlignment="1">
      <alignment horizontal="center"/>
    </xf>
    <xf numFmtId="167" fontId="70" fillId="0" borderId="5" xfId="0" applyNumberFormat="1" applyFont="1" applyBorder="1" applyAlignment="1">
      <alignment horizontal="center"/>
    </xf>
    <xf numFmtId="0" fontId="30" fillId="49" borderId="12" xfId="0" applyFont="1" applyFill="1" applyBorder="1" applyAlignment="1"/>
    <xf numFmtId="0" fontId="30" fillId="49" borderId="6" xfId="0" applyFont="1" applyFill="1" applyBorder="1" applyAlignment="1"/>
    <xf numFmtId="0" fontId="31" fillId="55" borderId="18" xfId="0" applyFont="1" applyFill="1" applyBorder="1" applyAlignment="1">
      <alignment horizontal="center" vertical="center"/>
    </xf>
    <xf numFmtId="0" fontId="31" fillId="55" borderId="8" xfId="0" applyFont="1" applyFill="1" applyBorder="1" applyAlignment="1">
      <alignment horizontal="center" vertical="center"/>
    </xf>
    <xf numFmtId="0" fontId="31" fillId="51" borderId="15" xfId="0" applyFont="1" applyFill="1" applyBorder="1" applyAlignment="1">
      <alignment horizontal="center"/>
    </xf>
    <xf numFmtId="0" fontId="31" fillId="51" borderId="5" xfId="0" applyFont="1" applyFill="1" applyBorder="1" applyAlignment="1">
      <alignment horizontal="center"/>
    </xf>
    <xf numFmtId="0" fontId="31" fillId="48" borderId="15" xfId="0" applyFont="1" applyFill="1" applyBorder="1" applyAlignment="1">
      <alignment horizontal="center"/>
    </xf>
    <xf numFmtId="0" fontId="31" fillId="48" borderId="16" xfId="0" applyFont="1" applyFill="1" applyBorder="1" applyAlignment="1">
      <alignment horizontal="center"/>
    </xf>
    <xf numFmtId="0" fontId="31" fillId="56" borderId="5" xfId="0" applyFont="1" applyFill="1" applyBorder="1" applyAlignment="1">
      <alignment horizontal="center"/>
    </xf>
    <xf numFmtId="0" fontId="28" fillId="56" borderId="5" xfId="0" applyFont="1" applyFill="1" applyBorder="1" applyAlignment="1"/>
    <xf numFmtId="0" fontId="31" fillId="57" borderId="5" xfId="0" applyFont="1" applyFill="1" applyBorder="1" applyAlignment="1">
      <alignment horizontal="center"/>
    </xf>
    <xf numFmtId="3" fontId="65" fillId="49" borderId="15" xfId="0" applyNumberFormat="1" applyFont="1" applyFill="1" applyBorder="1" applyAlignment="1">
      <alignment horizontal="center" vertical="center"/>
    </xf>
    <xf numFmtId="0" fontId="50" fillId="49" borderId="5" xfId="0" applyFont="1" applyFill="1" applyBorder="1" applyAlignment="1">
      <alignment horizontal="center" vertical="center"/>
    </xf>
    <xf numFmtId="3" fontId="65" fillId="55" borderId="18" xfId="0" applyNumberFormat="1" applyFont="1" applyFill="1" applyBorder="1" applyAlignment="1">
      <alignment horizontal="center" vertical="center"/>
    </xf>
    <xf numFmtId="0" fontId="51" fillId="55" borderId="8" xfId="0" applyFont="1" applyFill="1" applyBorder="1" applyAlignment="1">
      <alignment horizontal="center" vertical="center"/>
    </xf>
    <xf numFmtId="167" fontId="52" fillId="55" borderId="8" xfId="0" applyNumberFormat="1" applyFont="1" applyFill="1" applyBorder="1" applyAlignment="1">
      <alignment horizontal="center" vertical="center"/>
    </xf>
    <xf numFmtId="3" fontId="65" fillId="51" borderId="15" xfId="0" applyNumberFormat="1" applyFont="1" applyFill="1" applyBorder="1" applyAlignment="1">
      <alignment horizontal="center"/>
    </xf>
    <xf numFmtId="0" fontId="53" fillId="51" borderId="5" xfId="0" applyFont="1" applyFill="1" applyBorder="1" applyAlignment="1">
      <alignment horizontal="center"/>
    </xf>
    <xf numFmtId="3" fontId="65" fillId="53" borderId="15" xfId="0" applyNumberFormat="1" applyFont="1" applyFill="1" applyBorder="1" applyAlignment="1">
      <alignment horizontal="center"/>
    </xf>
    <xf numFmtId="0" fontId="54" fillId="53" borderId="5" xfId="0" applyFont="1" applyFill="1" applyBorder="1" applyAlignment="1">
      <alignment horizontal="center"/>
    </xf>
    <xf numFmtId="3" fontId="65" fillId="52" borderId="15" xfId="0" applyNumberFormat="1" applyFont="1" applyFill="1" applyBorder="1" applyAlignment="1">
      <alignment horizontal="center"/>
    </xf>
    <xf numFmtId="0" fontId="55" fillId="52" borderId="5" xfId="0" applyFont="1" applyFill="1" applyBorder="1" applyAlignment="1">
      <alignment horizontal="center"/>
    </xf>
    <xf numFmtId="3" fontId="65" fillId="48" borderId="15" xfId="0" applyNumberFormat="1" applyFont="1" applyFill="1" applyBorder="1" applyAlignment="1">
      <alignment horizontal="center"/>
    </xf>
    <xf numFmtId="0" fontId="56" fillId="48" borderId="16" xfId="0" applyFont="1" applyFill="1" applyBorder="1" applyAlignment="1">
      <alignment horizontal="center"/>
    </xf>
    <xf numFmtId="3" fontId="65" fillId="56" borderId="5" xfId="0" applyNumberFormat="1" applyFont="1" applyFill="1" applyBorder="1" applyAlignment="1">
      <alignment horizontal="center"/>
    </xf>
    <xf numFmtId="3" fontId="65" fillId="57" borderId="5" xfId="0" applyNumberFormat="1" applyFont="1" applyFill="1" applyBorder="1" applyAlignment="1">
      <alignment horizontal="center"/>
    </xf>
    <xf numFmtId="0" fontId="75" fillId="49" borderId="14" xfId="0" applyFont="1" applyFill="1" applyBorder="1" applyAlignment="1">
      <alignment horizontal="center" vertical="center"/>
    </xf>
    <xf numFmtId="0" fontId="57" fillId="49" borderId="13" xfId="0" applyFont="1" applyFill="1" applyBorder="1" applyAlignment="1">
      <alignment horizontal="center" vertical="center"/>
    </xf>
    <xf numFmtId="0" fontId="66" fillId="55" borderId="19" xfId="0" applyFont="1" applyFill="1" applyBorder="1" applyAlignment="1">
      <alignment horizontal="center" vertical="center"/>
    </xf>
    <xf numFmtId="0" fontId="58" fillId="55" borderId="20" xfId="0" applyFont="1" applyFill="1" applyBorder="1" applyAlignment="1">
      <alignment horizontal="center" vertical="center"/>
    </xf>
    <xf numFmtId="0" fontId="66" fillId="51" borderId="14" xfId="0" applyFont="1" applyFill="1" applyBorder="1" applyAlignment="1">
      <alignment horizontal="center"/>
    </xf>
    <xf numFmtId="0" fontId="58" fillId="51" borderId="13" xfId="0" applyFont="1" applyFill="1" applyBorder="1" applyAlignment="1">
      <alignment horizontal="center"/>
    </xf>
    <xf numFmtId="0" fontId="66" fillId="53" borderId="14" xfId="0" applyFont="1" applyFill="1" applyBorder="1" applyAlignment="1">
      <alignment horizontal="center"/>
    </xf>
    <xf numFmtId="0" fontId="58" fillId="53" borderId="13" xfId="0" applyFont="1" applyFill="1" applyBorder="1" applyAlignment="1">
      <alignment horizontal="center"/>
    </xf>
    <xf numFmtId="0" fontId="66" fillId="52" borderId="14" xfId="0" applyFont="1" applyFill="1" applyBorder="1" applyAlignment="1">
      <alignment horizontal="center"/>
    </xf>
    <xf numFmtId="0" fontId="58" fillId="52" borderId="13" xfId="0" applyFont="1" applyFill="1" applyBorder="1" applyAlignment="1">
      <alignment horizontal="center"/>
    </xf>
    <xf numFmtId="0" fontId="66" fillId="48" borderId="14" xfId="0" applyFont="1" applyFill="1" applyBorder="1" applyAlignment="1">
      <alignment horizontal="center"/>
    </xf>
    <xf numFmtId="0" fontId="58" fillId="48" borderId="17" xfId="0" applyFont="1" applyFill="1" applyBorder="1" applyAlignment="1">
      <alignment horizontal="center"/>
    </xf>
    <xf numFmtId="0" fontId="66" fillId="56" borderId="5" xfId="0" applyFont="1" applyFill="1" applyBorder="1" applyAlignment="1">
      <alignment horizontal="center"/>
    </xf>
    <xf numFmtId="0" fontId="66" fillId="57" borderId="5" xfId="0" applyFont="1" applyFill="1" applyBorder="1" applyAlignment="1">
      <alignment horizontal="center"/>
    </xf>
    <xf numFmtId="0" fontId="67" fillId="0" borderId="6" xfId="0" applyFont="1" applyBorder="1" applyAlignment="1">
      <alignment horizontal="center" vertical="center"/>
    </xf>
    <xf numFmtId="0" fontId="67" fillId="45" borderId="10" xfId="0" applyFont="1" applyFill="1" applyBorder="1" applyAlignment="1">
      <alignment horizontal="center" vertical="center"/>
    </xf>
    <xf numFmtId="0" fontId="67" fillId="0" borderId="6" xfId="0" applyFont="1" applyBorder="1" applyAlignment="1">
      <alignment horizontal="left" vertical="center"/>
    </xf>
    <xf numFmtId="0" fontId="34" fillId="0" borderId="6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7" fillId="48" borderId="0" xfId="0" applyFont="1" applyFill="1" applyAlignment="1">
      <alignment horizontal="center"/>
    </xf>
    <xf numFmtId="0" fontId="77" fillId="48" borderId="5" xfId="0" applyFont="1" applyFill="1" applyBorder="1" applyAlignment="1">
      <alignment horizontal="center"/>
    </xf>
    <xf numFmtId="0" fontId="67" fillId="45" borderId="11" xfId="0" applyFont="1" applyFill="1" applyBorder="1" applyAlignment="1">
      <alignment horizontal="center" vertical="center"/>
    </xf>
    <xf numFmtId="0" fontId="36" fillId="0" borderId="11" xfId="0" applyFont="1" applyBorder="1" applyAlignment="1">
      <alignment horizontal="left" vertical="center"/>
    </xf>
    <xf numFmtId="0" fontId="29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67" fillId="0" borderId="11" xfId="0" applyFont="1" applyBorder="1" applyAlignment="1">
      <alignment horizontal="left" vertical="center"/>
    </xf>
    <xf numFmtId="0" fontId="67" fillId="0" borderId="1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49" fillId="49" borderId="22" xfId="0" applyFont="1" applyFill="1" applyBorder="1" applyAlignment="1">
      <alignment horizontal="left" vertical="center"/>
    </xf>
    <xf numFmtId="0" fontId="49" fillId="49" borderId="5" xfId="0" applyFont="1" applyFill="1" applyBorder="1" applyAlignment="1">
      <alignment horizontal="left" vertical="center"/>
    </xf>
    <xf numFmtId="0" fontId="49" fillId="49" borderId="25" xfId="0" applyFont="1" applyFill="1" applyBorder="1" applyAlignment="1">
      <alignment horizontal="left" vertical="center"/>
    </xf>
    <xf numFmtId="0" fontId="49" fillId="49" borderId="24" xfId="0" applyFont="1" applyFill="1" applyBorder="1" applyAlignment="1">
      <alignment horizontal="left" vertical="center"/>
    </xf>
    <xf numFmtId="0" fontId="49" fillId="49" borderId="8" xfId="0" applyFont="1" applyFill="1" applyBorder="1" applyAlignment="1">
      <alignment horizontal="left" vertical="center"/>
    </xf>
    <xf numFmtId="0" fontId="49" fillId="49" borderId="9" xfId="0" applyFont="1" applyFill="1" applyBorder="1" applyAlignment="1">
      <alignment horizontal="left" vertical="center"/>
    </xf>
    <xf numFmtId="0" fontId="31" fillId="44" borderId="24" xfId="0" applyFont="1" applyFill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1" fillId="44" borderId="9" xfId="0" applyFont="1" applyFill="1" applyBorder="1" applyAlignment="1">
      <alignment horizontal="center" vertical="center"/>
    </xf>
    <xf numFmtId="0" fontId="67" fillId="0" borderId="9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29" fillId="45" borderId="26" xfId="0" applyFont="1" applyFill="1" applyBorder="1" applyAlignment="1">
      <alignment horizontal="left" vertical="center"/>
    </xf>
    <xf numFmtId="0" fontId="0" fillId="54" borderId="5" xfId="0" applyFill="1" applyBorder="1"/>
    <xf numFmtId="0" fontId="29" fillId="45" borderId="21" xfId="0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73" fillId="0" borderId="6" xfId="0" applyFont="1" applyBorder="1" applyAlignment="1">
      <alignment horizontal="left" vertical="center"/>
    </xf>
    <xf numFmtId="0" fontId="80" fillId="0" borderId="6" xfId="0" applyFont="1" applyBorder="1" applyAlignment="1">
      <alignment horizontal="left" vertical="center"/>
    </xf>
    <xf numFmtId="0" fontId="81" fillId="0" borderId="6" xfId="0" applyFont="1" applyBorder="1" applyAlignment="1">
      <alignment horizontal="left" vertical="center"/>
    </xf>
    <xf numFmtId="0" fontId="82" fillId="0" borderId="6" xfId="0" applyFont="1" applyBorder="1" applyAlignment="1">
      <alignment horizontal="left" vertical="center"/>
    </xf>
    <xf numFmtId="0" fontId="82" fillId="0" borderId="11" xfId="0" applyFont="1" applyBorder="1" applyAlignment="1">
      <alignment horizontal="left" vertical="center"/>
    </xf>
    <xf numFmtId="0" fontId="33" fillId="40" borderId="6" xfId="0" applyFont="1" applyFill="1" applyBorder="1" applyAlignment="1">
      <alignment horizontal="center" vertical="center"/>
    </xf>
    <xf numFmtId="0" fontId="33" fillId="41" borderId="6" xfId="0" applyFont="1" applyFill="1" applyBorder="1" applyAlignment="1">
      <alignment horizontal="center" vertical="center"/>
    </xf>
    <xf numFmtId="0" fontId="33" fillId="46" borderId="6" xfId="0" applyFont="1" applyFill="1" applyBorder="1" applyAlignment="1">
      <alignment horizontal="center" vertical="center"/>
    </xf>
    <xf numFmtId="0" fontId="33" fillId="42" borderId="6" xfId="0" applyFont="1" applyFill="1" applyBorder="1" applyAlignment="1">
      <alignment horizontal="center" vertical="center"/>
    </xf>
    <xf numFmtId="0" fontId="33" fillId="44" borderId="6" xfId="0" applyFont="1" applyFill="1" applyBorder="1" applyAlignment="1">
      <alignment horizontal="center" vertical="center"/>
    </xf>
    <xf numFmtId="0" fontId="33" fillId="47" borderId="6" xfId="0" applyFont="1" applyFill="1" applyBorder="1" applyAlignment="1">
      <alignment horizontal="center" vertical="center"/>
    </xf>
    <xf numFmtId="0" fontId="33" fillId="47" borderId="11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0" fontId="67" fillId="0" borderId="12" xfId="0" applyFont="1" applyFill="1" applyBorder="1" applyAlignment="1">
      <alignment horizontal="left" vertical="center"/>
    </xf>
    <xf numFmtId="0" fontId="31" fillId="48" borderId="6" xfId="0" applyFont="1" applyFill="1" applyBorder="1" applyAlignment="1">
      <alignment horizontal="center" vertical="center"/>
    </xf>
    <xf numFmtId="0" fontId="83" fillId="54" borderId="5" xfId="0" applyFont="1" applyFill="1" applyBorder="1" applyAlignment="1">
      <alignment horizontal="left"/>
    </xf>
    <xf numFmtId="0" fontId="83" fillId="58" borderId="5" xfId="0" applyFont="1" applyFill="1" applyBorder="1" applyAlignment="1">
      <alignment horizontal="left"/>
    </xf>
    <xf numFmtId="9" fontId="84" fillId="54" borderId="5" xfId="0" applyNumberFormat="1" applyFont="1" applyFill="1" applyBorder="1" applyAlignment="1">
      <alignment horizontal="center"/>
    </xf>
    <xf numFmtId="9" fontId="83" fillId="58" borderId="5" xfId="0" applyNumberFormat="1" applyFont="1" applyFill="1" applyBorder="1" applyAlignment="1">
      <alignment horizontal="center"/>
    </xf>
    <xf numFmtId="0" fontId="34" fillId="58" borderId="5" xfId="0" applyFont="1" applyFill="1" applyBorder="1" applyAlignment="1">
      <alignment horizontal="left" vertical="center"/>
    </xf>
    <xf numFmtId="0" fontId="59" fillId="58" borderId="5" xfId="0" applyFont="1" applyFill="1" applyBorder="1" applyAlignment="1">
      <alignment horizontal="center" vertical="center"/>
    </xf>
    <xf numFmtId="0" fontId="34" fillId="58" borderId="5" xfId="0" applyFont="1" applyFill="1" applyBorder="1" applyAlignment="1">
      <alignment horizontal="center"/>
    </xf>
    <xf numFmtId="0" fontId="34" fillId="58" borderId="22" xfId="0" applyFont="1" applyFill="1" applyBorder="1" applyAlignment="1">
      <alignment horizontal="left" vertical="center"/>
    </xf>
    <xf numFmtId="0" fontId="0" fillId="54" borderId="24" xfId="0" applyFill="1" applyBorder="1"/>
    <xf numFmtId="0" fontId="59" fillId="58" borderId="22" xfId="0" applyFont="1" applyFill="1" applyBorder="1" applyAlignment="1">
      <alignment horizontal="center" vertical="center"/>
    </xf>
    <xf numFmtId="0" fontId="34" fillId="58" borderId="22" xfId="0" applyFont="1" applyFill="1" applyBorder="1" applyAlignment="1">
      <alignment horizontal="center"/>
    </xf>
    <xf numFmtId="0" fontId="33" fillId="58" borderId="22" xfId="0" applyFont="1" applyFill="1" applyBorder="1" applyAlignment="1"/>
    <xf numFmtId="167" fontId="34" fillId="58" borderId="5" xfId="0" applyNumberFormat="1" applyFont="1" applyFill="1" applyBorder="1" applyAlignment="1">
      <alignment horizontal="center"/>
    </xf>
    <xf numFmtId="167" fontId="34" fillId="58" borderId="21" xfId="0" applyNumberFormat="1" applyFont="1" applyFill="1" applyBorder="1" applyAlignment="1">
      <alignment horizontal="center"/>
    </xf>
    <xf numFmtId="167" fontId="34" fillId="58" borderId="11" xfId="0" applyNumberFormat="1" applyFont="1" applyFill="1" applyBorder="1" applyAlignment="1">
      <alignment horizontal="center"/>
    </xf>
    <xf numFmtId="0" fontId="31" fillId="48" borderId="21" xfId="0" applyFont="1" applyFill="1" applyBorder="1" applyAlignment="1">
      <alignment horizontal="center"/>
    </xf>
    <xf numFmtId="167" fontId="85" fillId="54" borderId="24" xfId="0" applyNumberFormat="1" applyFont="1" applyFill="1" applyBorder="1" applyAlignment="1">
      <alignment horizontal="center"/>
    </xf>
    <xf numFmtId="167" fontId="86" fillId="54" borderId="21" xfId="0" applyNumberFormat="1" applyFont="1" applyFill="1" applyBorder="1" applyAlignment="1">
      <alignment horizontal="center"/>
    </xf>
    <xf numFmtId="167" fontId="86" fillId="54" borderId="24" xfId="0" applyNumberFormat="1" applyFont="1" applyFill="1" applyBorder="1" applyAlignment="1">
      <alignment horizontal="center"/>
    </xf>
    <xf numFmtId="167" fontId="87" fillId="54" borderId="21" xfId="0" applyNumberFormat="1" applyFont="1" applyFill="1" applyBorder="1" applyAlignment="1">
      <alignment horizontal="center"/>
    </xf>
    <xf numFmtId="167" fontId="87" fillId="54" borderId="24" xfId="0" applyNumberFormat="1" applyFont="1" applyFill="1" applyBorder="1" applyAlignment="1">
      <alignment horizontal="center"/>
    </xf>
    <xf numFmtId="0" fontId="31" fillId="48" borderId="11" xfId="0" applyFont="1" applyFill="1" applyBorder="1" applyAlignment="1">
      <alignment horizontal="center"/>
    </xf>
    <xf numFmtId="167" fontId="34" fillId="54" borderId="6" xfId="0" applyNumberFormat="1" applyFont="1" applyFill="1" applyBorder="1" applyAlignment="1">
      <alignment horizontal="center"/>
    </xf>
    <xf numFmtId="167" fontId="85" fillId="54" borderId="21" xfId="0" applyNumberFormat="1" applyFont="1" applyFill="1" applyBorder="1" applyAlignment="1">
      <alignment horizontal="center"/>
    </xf>
    <xf numFmtId="167" fontId="34" fillId="54" borderId="11" xfId="0" applyNumberFormat="1" applyFont="1" applyFill="1" applyBorder="1" applyAlignment="1">
      <alignment horizontal="center"/>
    </xf>
    <xf numFmtId="167" fontId="33" fillId="0" borderId="6" xfId="0" applyNumberFormat="1" applyFont="1" applyBorder="1" applyAlignment="1">
      <alignment horizontal="center" vertical="center"/>
    </xf>
    <xf numFmtId="167" fontId="33" fillId="0" borderId="11" xfId="0" applyNumberFormat="1" applyFont="1" applyBorder="1" applyAlignment="1">
      <alignment horizontal="center" vertical="center"/>
    </xf>
    <xf numFmtId="167" fontId="29" fillId="45" borderId="11" xfId="0" applyNumberFormat="1" applyFont="1" applyFill="1" applyBorder="1" applyAlignment="1">
      <alignment horizontal="center" vertical="center"/>
    </xf>
    <xf numFmtId="167" fontId="33" fillId="0" borderId="12" xfId="0" applyNumberFormat="1" applyFont="1" applyFill="1" applyBorder="1" applyAlignment="1">
      <alignment horizontal="center" vertical="center"/>
    </xf>
    <xf numFmtId="167" fontId="34" fillId="58" borderId="5" xfId="0" applyNumberFormat="1" applyFont="1" applyFill="1" applyBorder="1" applyAlignment="1">
      <alignment horizontal="center" vertical="center"/>
    </xf>
    <xf numFmtId="167" fontId="67" fillId="0" borderId="6" xfId="0" applyNumberFormat="1" applyFont="1" applyBorder="1" applyAlignment="1">
      <alignment horizontal="center" vertical="center"/>
    </xf>
    <xf numFmtId="167" fontId="67" fillId="0" borderId="11" xfId="0" applyNumberFormat="1" applyFont="1" applyBorder="1" applyAlignment="1">
      <alignment horizontal="center" vertical="center"/>
    </xf>
    <xf numFmtId="167" fontId="67" fillId="45" borderId="11" xfId="0" applyNumberFormat="1" applyFont="1" applyFill="1" applyBorder="1" applyAlignment="1">
      <alignment horizontal="center" vertical="center"/>
    </xf>
    <xf numFmtId="0" fontId="0" fillId="48" borderId="0" xfId="0" applyFill="1"/>
    <xf numFmtId="0" fontId="0" fillId="58" borderId="0" xfId="0" applyFill="1"/>
    <xf numFmtId="0" fontId="0" fillId="58" borderId="5" xfId="0" applyFill="1" applyBorder="1"/>
    <xf numFmtId="167" fontId="67" fillId="58" borderId="5" xfId="0" applyNumberFormat="1" applyFont="1" applyFill="1" applyBorder="1" applyAlignment="1">
      <alignment horizontal="center"/>
    </xf>
    <xf numFmtId="167" fontId="32" fillId="58" borderId="5" xfId="0" applyNumberFormat="1" applyFont="1" applyFill="1" applyBorder="1" applyAlignment="1">
      <alignment horizontal="center"/>
    </xf>
    <xf numFmtId="167" fontId="35" fillId="58" borderId="5" xfId="0" applyNumberFormat="1" applyFont="1" applyFill="1" applyBorder="1" applyAlignment="1">
      <alignment horizontal="center"/>
    </xf>
    <xf numFmtId="167" fontId="71" fillId="58" borderId="5" xfId="0" applyNumberFormat="1" applyFont="1" applyFill="1" applyBorder="1" applyAlignment="1">
      <alignment horizontal="center"/>
    </xf>
    <xf numFmtId="0" fontId="28" fillId="58" borderId="5" xfId="0" applyFont="1" applyFill="1" applyBorder="1" applyAlignment="1"/>
    <xf numFmtId="0" fontId="77" fillId="48" borderId="8" xfId="0" applyFont="1" applyFill="1" applyBorder="1" applyAlignment="1">
      <alignment horizontal="center"/>
    </xf>
    <xf numFmtId="0" fontId="77" fillId="48" borderId="9" xfId="0" applyFont="1" applyFill="1" applyBorder="1" applyAlignment="1">
      <alignment horizontal="center"/>
    </xf>
    <xf numFmtId="0" fontId="89" fillId="0" borderId="0" xfId="0" applyFont="1" applyAlignment="1">
      <alignment horizontal="left"/>
    </xf>
    <xf numFmtId="167" fontId="90" fillId="0" borderId="0" xfId="0" applyNumberFormat="1" applyFont="1" applyAlignment="1">
      <alignment horizontal="center"/>
    </xf>
    <xf numFmtId="0" fontId="91" fillId="0" borderId="0" xfId="0" applyFont="1" applyAlignment="1">
      <alignment horizontal="left"/>
    </xf>
    <xf numFmtId="167" fontId="92" fillId="0" borderId="0" xfId="0" applyNumberFormat="1" applyFont="1" applyAlignment="1">
      <alignment horizontal="center"/>
    </xf>
    <xf numFmtId="0" fontId="94" fillId="0" borderId="0" xfId="0" applyFont="1" applyAlignment="1">
      <alignment horizontal="left"/>
    </xf>
    <xf numFmtId="167" fontId="95" fillId="0" borderId="0" xfId="0" applyNumberFormat="1" applyFont="1" applyAlignment="1">
      <alignment horizontal="center"/>
    </xf>
    <xf numFmtId="0" fontId="31" fillId="48" borderId="5" xfId="0" applyFont="1" applyFill="1" applyBorder="1" applyAlignment="1">
      <alignment horizontal="center" vertical="center"/>
    </xf>
    <xf numFmtId="0" fontId="0" fillId="59" borderId="0" xfId="0" applyFill="1"/>
    <xf numFmtId="0" fontId="48" fillId="59" borderId="0" xfId="0" applyFont="1" applyFill="1"/>
    <xf numFmtId="0" fontId="77" fillId="60" borderId="0" xfId="0" applyFont="1" applyFill="1"/>
    <xf numFmtId="0" fontId="77" fillId="60" borderId="0" xfId="0" applyFont="1" applyFill="1" applyAlignment="1">
      <alignment horizontal="center"/>
    </xf>
    <xf numFmtId="0" fontId="77" fillId="60" borderId="0" xfId="0" applyFont="1" applyFill="1" applyAlignment="1">
      <alignment horizontal="left"/>
    </xf>
    <xf numFmtId="0" fontId="77" fillId="59" borderId="0" xfId="0" applyFont="1" applyFill="1"/>
    <xf numFmtId="3" fontId="96" fillId="59" borderId="0" xfId="0" applyNumberFormat="1" applyFont="1" applyFill="1" applyAlignment="1">
      <alignment horizontal="center"/>
    </xf>
    <xf numFmtId="3" fontId="77" fillId="59" borderId="0" xfId="0" applyNumberFormat="1" applyFont="1" applyFill="1" applyAlignment="1">
      <alignment horizontal="center"/>
    </xf>
    <xf numFmtId="168" fontId="97" fillId="59" borderId="0" xfId="0" applyNumberFormat="1" applyFont="1" applyFill="1" applyAlignment="1">
      <alignment horizontal="center"/>
    </xf>
    <xf numFmtId="0" fontId="88" fillId="59" borderId="0" xfId="0" applyFont="1" applyFill="1" applyAlignment="1">
      <alignment horizontal="center"/>
    </xf>
    <xf numFmtId="3" fontId="88" fillId="59" borderId="0" xfId="0" applyNumberFormat="1" applyFont="1" applyFill="1" applyAlignment="1">
      <alignment horizontal="center"/>
    </xf>
    <xf numFmtId="3" fontId="77" fillId="60" borderId="0" xfId="0" applyNumberFormat="1" applyFont="1" applyFill="1" applyAlignment="1">
      <alignment horizontal="center"/>
    </xf>
    <xf numFmtId="168" fontId="98" fillId="60" borderId="0" xfId="0" applyNumberFormat="1" applyFont="1" applyFill="1" applyAlignment="1">
      <alignment horizontal="center"/>
    </xf>
    <xf numFmtId="3" fontId="89" fillId="60" borderId="0" xfId="0" applyNumberFormat="1" applyFont="1" applyFill="1" applyAlignment="1">
      <alignment horizontal="center"/>
    </xf>
    <xf numFmtId="0" fontId="98" fillId="59" borderId="0" xfId="0" applyFont="1" applyFill="1"/>
    <xf numFmtId="0" fontId="98" fillId="61" borderId="0" xfId="0" applyFont="1" applyFill="1"/>
    <xf numFmtId="168" fontId="98" fillId="61" borderId="0" xfId="0" applyNumberFormat="1" applyFont="1" applyFill="1" applyAlignment="1">
      <alignment horizontal="center"/>
    </xf>
    <xf numFmtId="0" fontId="0" fillId="61" borderId="0" xfId="0" applyFill="1"/>
    <xf numFmtId="0" fontId="100" fillId="61" borderId="0" xfId="0" applyFont="1" applyFill="1"/>
    <xf numFmtId="167" fontId="99" fillId="61" borderId="0" xfId="0" applyNumberFormat="1" applyFont="1" applyFill="1" applyAlignment="1">
      <alignment horizontal="center"/>
    </xf>
    <xf numFmtId="0" fontId="0" fillId="60" borderId="0" xfId="0" applyFill="1"/>
    <xf numFmtId="0" fontId="102" fillId="59" borderId="0" xfId="0" applyFont="1" applyFill="1"/>
    <xf numFmtId="167" fontId="88" fillId="59" borderId="0" xfId="0" applyNumberFormat="1" applyFont="1" applyFill="1" applyAlignment="1">
      <alignment horizontal="center"/>
    </xf>
    <xf numFmtId="0" fontId="103" fillId="59" borderId="0" xfId="0" applyFont="1" applyFill="1"/>
    <xf numFmtId="0" fontId="104" fillId="59" borderId="0" xfId="0" applyFont="1" applyFill="1"/>
    <xf numFmtId="0" fontId="105" fillId="59" borderId="0" xfId="0" applyFont="1" applyFill="1" applyAlignment="1">
      <alignment horizontal="center"/>
    </xf>
    <xf numFmtId="0" fontId="107" fillId="59" borderId="0" xfId="0" applyFont="1" applyFill="1"/>
    <xf numFmtId="167" fontId="89" fillId="60" borderId="0" xfId="0" applyNumberFormat="1" applyFont="1" applyFill="1" applyAlignment="1">
      <alignment horizontal="center"/>
    </xf>
    <xf numFmtId="3" fontId="98" fillId="61" borderId="0" xfId="0" applyNumberFormat="1" applyFont="1" applyFill="1" applyAlignment="1">
      <alignment horizontal="center"/>
    </xf>
    <xf numFmtId="0" fontId="106" fillId="61" borderId="0" xfId="0" applyFont="1" applyFill="1" applyAlignment="1">
      <alignment horizontal="center"/>
    </xf>
    <xf numFmtId="167" fontId="98" fillId="61" borderId="0" xfId="0" applyNumberFormat="1" applyFont="1" applyFill="1" applyAlignment="1">
      <alignment horizontal="center"/>
    </xf>
    <xf numFmtId="167" fontId="97" fillId="59" borderId="0" xfId="0" applyNumberFormat="1" applyFont="1" applyFill="1" applyAlignment="1">
      <alignment horizontal="center"/>
    </xf>
    <xf numFmtId="0" fontId="89" fillId="59" borderId="0" xfId="0" applyFont="1" applyFill="1"/>
    <xf numFmtId="3" fontId="97" fillId="59" borderId="0" xfId="0" applyNumberFormat="1" applyFont="1" applyFill="1" applyAlignment="1">
      <alignment horizontal="center"/>
    </xf>
    <xf numFmtId="0" fontId="94" fillId="59" borderId="0" xfId="0" applyFont="1" applyFill="1"/>
    <xf numFmtId="3" fontId="93" fillId="59" borderId="0" xfId="0" applyNumberFormat="1" applyFont="1" applyFill="1" applyAlignment="1">
      <alignment horizontal="center"/>
    </xf>
    <xf numFmtId="167" fontId="93" fillId="59" borderId="0" xfId="0" applyNumberFormat="1" applyFont="1" applyFill="1" applyAlignment="1">
      <alignment horizontal="center"/>
    </xf>
    <xf numFmtId="0" fontId="89" fillId="61" borderId="0" xfId="0" applyFont="1" applyFill="1"/>
    <xf numFmtId="167" fontId="89" fillId="61" borderId="0" xfId="0" applyNumberFormat="1" applyFont="1" applyFill="1" applyAlignment="1">
      <alignment horizontal="center"/>
    </xf>
    <xf numFmtId="0" fontId="101" fillId="59" borderId="0" xfId="0" applyFont="1" applyFill="1" applyAlignment="1">
      <alignment horizontal="center"/>
    </xf>
    <xf numFmtId="0" fontId="108" fillId="59" borderId="0" xfId="0" applyFont="1" applyFill="1"/>
    <xf numFmtId="0" fontId="109" fillId="59" borderId="0" xfId="0" applyFont="1" applyFill="1" applyAlignment="1">
      <alignment horizontal="center"/>
    </xf>
    <xf numFmtId="0" fontId="110" fillId="59" borderId="0" xfId="0" applyFont="1" applyFill="1"/>
    <xf numFmtId="0" fontId="102" fillId="60" borderId="0" xfId="0" applyFont="1" applyFill="1" applyAlignment="1">
      <alignment horizontal="center"/>
    </xf>
    <xf numFmtId="167" fontId="96" fillId="59" borderId="0" xfId="0" applyNumberFormat="1" applyFont="1" applyFill="1" applyAlignment="1">
      <alignment horizontal="center"/>
    </xf>
    <xf numFmtId="167" fontId="109" fillId="59" borderId="0" xfId="0" applyNumberFormat="1" applyFont="1" applyFill="1" applyAlignment="1">
      <alignment horizontal="center"/>
    </xf>
    <xf numFmtId="168" fontId="102" fillId="59" borderId="0" xfId="0" applyNumberFormat="1" applyFont="1" applyFill="1" applyAlignment="1">
      <alignment horizontal="center"/>
    </xf>
    <xf numFmtId="3" fontId="102" fillId="59" borderId="0" xfId="0" applyNumberFormat="1" applyFont="1" applyFill="1" applyAlignment="1">
      <alignment horizontal="center"/>
    </xf>
    <xf numFmtId="167" fontId="111" fillId="60" borderId="0" xfId="0" applyNumberFormat="1" applyFont="1" applyFill="1" applyAlignment="1">
      <alignment horizontal="center"/>
    </xf>
    <xf numFmtId="167" fontId="108" fillId="60" borderId="0" xfId="0" applyNumberFormat="1" applyFont="1" applyFill="1" applyAlignment="1">
      <alignment horizontal="center"/>
    </xf>
    <xf numFmtId="168" fontId="102" fillId="60" borderId="0" xfId="0" applyNumberFormat="1" applyFont="1" applyFill="1" applyAlignment="1">
      <alignment horizontal="center"/>
    </xf>
  </cellXfs>
  <cellStyles count="1">
    <cellStyle name="Normal" xfId="0" builtinId="0"/>
  </cellStyles>
  <dxfs count="10">
    <dxf>
      <font>
        <color rgb="FF1E40AF"/>
      </font>
      <fill>
        <patternFill>
          <bgColor rgb="FFDBEAF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DE9FE"/>
      <rgbColor rgb="FF2563EB"/>
      <rgbColor rgb="FFDCEDC8"/>
      <rgbColor rgb="FFF3F4F6"/>
      <rgbColor rgb="FFC6EFCE"/>
      <rgbColor rgb="FF9C0006"/>
      <rgbColor rgb="FF135E16"/>
      <rgbColor rgb="FF54565A"/>
      <rgbColor rgb="FF558B2F"/>
      <rgbColor rgb="FF7B1FA2"/>
      <rgbColor rgb="FF09958F"/>
      <rgbColor rgb="FFCFD8DC"/>
      <rgbColor rgb="FF5B6265"/>
      <rgbColor rgb="FFA5D6A7"/>
      <rgbColor rgb="FF9C27B0"/>
      <rgbColor rgb="FFFEF3C7"/>
      <rgbColor rgb="FFCCFBF1"/>
      <rgbColor rgb="FF7B2FF2"/>
      <rgbColor rgb="FFEF4444"/>
      <rgbColor rgb="FF1165C0"/>
      <rgbColor rgb="FFD1D5DB"/>
      <rgbColor rgb="FF2E7D32"/>
      <rgbColor rgb="FFF8FAFC"/>
      <rgbColor rgb="FFE2EFDA"/>
      <rgbColor rgb="FFD9E2F3"/>
      <rgbColor rgb="FF5B21B6"/>
      <rgbColor rgb="FF991B1B"/>
      <rgbColor rgb="FF0B9687"/>
      <rgbColor rgb="FF7C3AED"/>
      <rgbColor rgb="FF1976D2"/>
      <rgbColor rgb="FFDBEAFE"/>
      <rgbColor rgb="FFD1FAE5"/>
      <rgbColor rgb="FFFFEDD5"/>
      <rgbColor rgb="FFBBDEFB"/>
      <rgbColor rgb="FFFEE2E2"/>
      <rgbColor rgb="FFE1BEE7"/>
      <rgbColor rgb="FFFFC7CE"/>
      <rgbColor rgb="FF2769F1"/>
      <rgbColor rgb="FF00B050"/>
      <rgbColor rgb="FFC8E6C9"/>
      <rgbColor rgb="FFFFC000"/>
      <rgbColor rgb="FFE5E5E5"/>
      <rgbColor rgb="FFF97316"/>
      <rgbColor rgb="FF546E7A"/>
      <rgbColor rgb="FF81C784"/>
      <rgbColor rgb="FF1E3A5F"/>
      <rgbColor rgb="FF388E3C"/>
      <rgbColor rgb="FF0A5449"/>
      <rgbColor rgb="FF1D2531"/>
      <rgbColor rgb="FF943B0E"/>
      <rgbColor rgb="FFDC2626"/>
      <rgbColor rgb="FF1E40AF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5864C5-4CC4-4B09-BDE2-1E296AEDC9E9}">
  <we:reference id="wa200009404" version="1.0.0.4" store="en-US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9488"/>
  </sheetPr>
  <dimension ref="A1:E120"/>
  <sheetViews>
    <sheetView zoomScaleNormal="100" workbookViewId="0">
      <pane ySplit="1" topLeftCell="A94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32" customWidth="1"/>
    <col min="3" max="3" width="20" customWidth="1"/>
    <col min="4" max="4" width="18" customWidth="1"/>
    <col min="5" max="5" width="3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>
        <v>1</v>
      </c>
      <c r="B2" s="3" t="s">
        <v>5</v>
      </c>
      <c r="C2" s="2">
        <v>2</v>
      </c>
      <c r="D2" s="2" t="s">
        <v>6</v>
      </c>
      <c r="E2" s="4" t="s">
        <v>7</v>
      </c>
    </row>
    <row r="3" spans="1:5" ht="15" customHeight="1" x14ac:dyDescent="0.3">
      <c r="A3" s="2">
        <v>2</v>
      </c>
      <c r="B3" s="3" t="s">
        <v>8</v>
      </c>
      <c r="C3" s="2">
        <v>1</v>
      </c>
      <c r="D3" s="2" t="s">
        <v>6</v>
      </c>
      <c r="E3" s="4" t="s">
        <v>9</v>
      </c>
    </row>
    <row r="4" spans="1:5" ht="15" customHeight="1" x14ac:dyDescent="0.3">
      <c r="A4" s="2">
        <v>3</v>
      </c>
      <c r="B4" s="3" t="s">
        <v>10</v>
      </c>
      <c r="C4" s="2">
        <v>2</v>
      </c>
      <c r="D4" s="2" t="s">
        <v>6</v>
      </c>
      <c r="E4" s="4" t="s">
        <v>11</v>
      </c>
    </row>
    <row r="5" spans="1:5" ht="15" customHeight="1" x14ac:dyDescent="0.3">
      <c r="A5" s="2">
        <v>4</v>
      </c>
      <c r="B5" s="3" t="s">
        <v>12</v>
      </c>
      <c r="C5" s="2">
        <v>45</v>
      </c>
      <c r="D5" s="2" t="s">
        <v>6</v>
      </c>
      <c r="E5" s="4" t="s">
        <v>13</v>
      </c>
    </row>
    <row r="6" spans="1:5" ht="15" customHeight="1" x14ac:dyDescent="0.3">
      <c r="A6" s="2">
        <v>5</v>
      </c>
      <c r="B6" s="3" t="s">
        <v>14</v>
      </c>
      <c r="C6" s="2">
        <v>7</v>
      </c>
      <c r="D6" s="2" t="s">
        <v>15</v>
      </c>
      <c r="E6" s="4" t="s">
        <v>16</v>
      </c>
    </row>
    <row r="7" spans="1:5" ht="15" customHeight="1" x14ac:dyDescent="0.3">
      <c r="A7" s="2">
        <v>6</v>
      </c>
      <c r="B7" s="3" t="s">
        <v>17</v>
      </c>
      <c r="C7" s="2">
        <v>7</v>
      </c>
      <c r="D7" s="2" t="s">
        <v>15</v>
      </c>
      <c r="E7" s="4" t="s">
        <v>18</v>
      </c>
    </row>
    <row r="8" spans="1:5" ht="15" customHeight="1" x14ac:dyDescent="0.3">
      <c r="A8" s="2">
        <v>7</v>
      </c>
      <c r="B8" s="3" t="s">
        <v>19</v>
      </c>
      <c r="C8" s="2">
        <v>15</v>
      </c>
      <c r="D8" s="2" t="s">
        <v>15</v>
      </c>
      <c r="E8" s="4" t="s">
        <v>20</v>
      </c>
    </row>
    <row r="9" spans="1:5" ht="15" customHeight="1" x14ac:dyDescent="0.3">
      <c r="A9" s="2">
        <v>8</v>
      </c>
      <c r="B9" s="3" t="s">
        <v>21</v>
      </c>
      <c r="C9" s="2">
        <v>0</v>
      </c>
      <c r="D9" s="2" t="s">
        <v>15</v>
      </c>
      <c r="E9" s="4" t="s">
        <v>22</v>
      </c>
    </row>
    <row r="10" spans="1:5" ht="15" customHeight="1" x14ac:dyDescent="0.3">
      <c r="A10" s="2">
        <v>9</v>
      </c>
      <c r="B10" s="3" t="s">
        <v>23</v>
      </c>
      <c r="C10" s="2">
        <v>1</v>
      </c>
      <c r="D10" s="2" t="s">
        <v>24</v>
      </c>
      <c r="E10" s="4" t="s">
        <v>25</v>
      </c>
    </row>
    <row r="11" spans="1:5" ht="15" customHeight="1" x14ac:dyDescent="0.3">
      <c r="A11" s="2">
        <v>10</v>
      </c>
      <c r="B11" s="3" t="s">
        <v>26</v>
      </c>
      <c r="C11" s="2">
        <v>1</v>
      </c>
      <c r="D11" s="2" t="s">
        <v>24</v>
      </c>
      <c r="E11" s="4" t="s">
        <v>27</v>
      </c>
    </row>
    <row r="12" spans="1:5" ht="15" customHeight="1" x14ac:dyDescent="0.3">
      <c r="A12" s="2">
        <v>11</v>
      </c>
      <c r="B12" s="3" t="s">
        <v>28</v>
      </c>
      <c r="C12" s="2">
        <v>2</v>
      </c>
      <c r="D12" s="2" t="s">
        <v>24</v>
      </c>
      <c r="E12" s="4" t="s">
        <v>29</v>
      </c>
    </row>
    <row r="13" spans="1:5" ht="15" customHeight="1" x14ac:dyDescent="0.3">
      <c r="A13" s="2">
        <v>12</v>
      </c>
      <c r="B13" s="3" t="s">
        <v>30</v>
      </c>
      <c r="C13" s="2">
        <v>0</v>
      </c>
      <c r="D13" s="2" t="s">
        <v>24</v>
      </c>
      <c r="E13" s="4" t="s">
        <v>31</v>
      </c>
    </row>
    <row r="16" spans="1:5" ht="15" customHeight="1" x14ac:dyDescent="0.3">
      <c r="A16" s="5"/>
    </row>
    <row r="17" spans="1:3" ht="15" customHeight="1" x14ac:dyDescent="0.3">
      <c r="A17" s="1" t="s">
        <v>0</v>
      </c>
      <c r="B17" s="1" t="s">
        <v>32</v>
      </c>
      <c r="C17" s="1" t="s">
        <v>4</v>
      </c>
    </row>
    <row r="18" spans="1:3" ht="15" customHeight="1" x14ac:dyDescent="0.3">
      <c r="A18" s="2">
        <v>1</v>
      </c>
      <c r="B18" s="3" t="s">
        <v>33</v>
      </c>
      <c r="C18" t="s">
        <v>34</v>
      </c>
    </row>
    <row r="19" spans="1:3" ht="15" customHeight="1" x14ac:dyDescent="0.3">
      <c r="A19" s="2">
        <v>2</v>
      </c>
      <c r="B19" s="3" t="s">
        <v>35</v>
      </c>
      <c r="C19" t="s">
        <v>36</v>
      </c>
    </row>
    <row r="20" spans="1:3" ht="15" customHeight="1" x14ac:dyDescent="0.3">
      <c r="A20" s="2">
        <v>3</v>
      </c>
      <c r="B20" s="3" t="s">
        <v>37</v>
      </c>
      <c r="C20" t="s">
        <v>38</v>
      </c>
    </row>
    <row r="21" spans="1:3" ht="15" customHeight="1" x14ac:dyDescent="0.3">
      <c r="A21" s="2">
        <v>4</v>
      </c>
      <c r="B21" s="3" t="s">
        <v>39</v>
      </c>
      <c r="C21" t="s">
        <v>40</v>
      </c>
    </row>
    <row r="22" spans="1:3" ht="15" customHeight="1" x14ac:dyDescent="0.3">
      <c r="A22" s="2">
        <v>5</v>
      </c>
      <c r="B22" s="3" t="s">
        <v>41</v>
      </c>
      <c r="C22" t="s">
        <v>42</v>
      </c>
    </row>
    <row r="23" spans="1:3" ht="15" customHeight="1" x14ac:dyDescent="0.3">
      <c r="A23" s="2">
        <v>6</v>
      </c>
      <c r="B23" s="3" t="s">
        <v>43</v>
      </c>
      <c r="C23" t="s">
        <v>44</v>
      </c>
    </row>
    <row r="24" spans="1:3" ht="15" customHeight="1" x14ac:dyDescent="0.3">
      <c r="A24" s="2">
        <v>7</v>
      </c>
      <c r="B24" s="3" t="s">
        <v>45</v>
      </c>
      <c r="C24" t="s">
        <v>46</v>
      </c>
    </row>
    <row r="26" spans="1:3" ht="15" customHeight="1" x14ac:dyDescent="0.3">
      <c r="A26" s="4"/>
    </row>
    <row r="27" spans="1:3" ht="15" customHeight="1" x14ac:dyDescent="0.3">
      <c r="A27" s="1" t="s">
        <v>0</v>
      </c>
      <c r="B27" s="1" t="s">
        <v>47</v>
      </c>
      <c r="C27" s="1" t="s">
        <v>48</v>
      </c>
    </row>
    <row r="28" spans="1:3" ht="15" customHeight="1" x14ac:dyDescent="0.3">
      <c r="A28" s="2">
        <v>1</v>
      </c>
      <c r="B28" s="3" t="s">
        <v>49</v>
      </c>
      <c r="C28" s="4" t="s">
        <v>50</v>
      </c>
    </row>
    <row r="29" spans="1:3" ht="15" customHeight="1" x14ac:dyDescent="0.3">
      <c r="A29" s="2">
        <v>2</v>
      </c>
      <c r="B29" s="3" t="s">
        <v>51</v>
      </c>
      <c r="C29" s="4" t="s">
        <v>52</v>
      </c>
    </row>
    <row r="30" spans="1:3" ht="15" customHeight="1" x14ac:dyDescent="0.3">
      <c r="A30" s="2">
        <v>3</v>
      </c>
      <c r="B30" s="3" t="s">
        <v>53</v>
      </c>
      <c r="C30" s="4" t="s">
        <v>54</v>
      </c>
    </row>
    <row r="31" spans="1:3" ht="15" customHeight="1" x14ac:dyDescent="0.3">
      <c r="A31" s="2">
        <v>4</v>
      </c>
      <c r="B31" s="3" t="s">
        <v>55</v>
      </c>
      <c r="C31" s="4" t="s">
        <v>56</v>
      </c>
    </row>
    <row r="32" spans="1:3" ht="15" customHeight="1" x14ac:dyDescent="0.3">
      <c r="A32" s="2">
        <v>5</v>
      </c>
      <c r="B32" s="3" t="s">
        <v>57</v>
      </c>
      <c r="C32" s="4" t="s">
        <v>58</v>
      </c>
    </row>
    <row r="33" spans="1:3" ht="15" customHeight="1" x14ac:dyDescent="0.3">
      <c r="A33" s="2">
        <v>6</v>
      </c>
      <c r="B33" s="3" t="s">
        <v>59</v>
      </c>
      <c r="C33" s="4" t="s">
        <v>60</v>
      </c>
    </row>
    <row r="34" spans="1:3" ht="15" customHeight="1" x14ac:dyDescent="0.3">
      <c r="A34" s="2">
        <v>7</v>
      </c>
      <c r="B34" s="3" t="s">
        <v>61</v>
      </c>
      <c r="C34" s="4" t="s">
        <v>50</v>
      </c>
    </row>
    <row r="35" spans="1:3" ht="15" customHeight="1" x14ac:dyDescent="0.3">
      <c r="A35" s="2">
        <v>8</v>
      </c>
      <c r="B35" s="3" t="s">
        <v>62</v>
      </c>
      <c r="C35" s="4" t="s">
        <v>63</v>
      </c>
    </row>
    <row r="36" spans="1:3" ht="15" customHeight="1" x14ac:dyDescent="0.3">
      <c r="A36" s="2">
        <v>9</v>
      </c>
      <c r="B36" s="3" t="s">
        <v>64</v>
      </c>
      <c r="C36" s="4" t="s">
        <v>65</v>
      </c>
    </row>
    <row r="37" spans="1:3" ht="15" customHeight="1" x14ac:dyDescent="0.3">
      <c r="A37" s="2">
        <v>10</v>
      </c>
      <c r="B37" s="3" t="s">
        <v>66</v>
      </c>
      <c r="C37" s="4" t="s">
        <v>50</v>
      </c>
    </row>
    <row r="39" spans="1:3" ht="15" customHeight="1" x14ac:dyDescent="0.3">
      <c r="A39" s="4"/>
    </row>
    <row r="40" spans="1:3" ht="15" customHeight="1" x14ac:dyDescent="0.3">
      <c r="A40" s="1" t="s">
        <v>67</v>
      </c>
      <c r="B40" s="1" t="s">
        <v>68</v>
      </c>
      <c r="C40" s="1" t="s">
        <v>69</v>
      </c>
    </row>
    <row r="41" spans="1:3" ht="15" customHeight="1" x14ac:dyDescent="0.3">
      <c r="A41" s="2" t="s">
        <v>70</v>
      </c>
      <c r="B41" s="6" t="s">
        <v>71</v>
      </c>
      <c r="C41" s="4" t="s">
        <v>72</v>
      </c>
    </row>
    <row r="42" spans="1:3" ht="15" customHeight="1" x14ac:dyDescent="0.3">
      <c r="A42" s="2" t="s">
        <v>73</v>
      </c>
      <c r="B42" s="7" t="s">
        <v>74</v>
      </c>
      <c r="C42" s="4" t="s">
        <v>75</v>
      </c>
    </row>
    <row r="43" spans="1:3" ht="15" customHeight="1" x14ac:dyDescent="0.3">
      <c r="A43" s="2" t="s">
        <v>76</v>
      </c>
      <c r="B43" s="7" t="s">
        <v>77</v>
      </c>
      <c r="C43" s="4" t="s">
        <v>75</v>
      </c>
    </row>
    <row r="44" spans="1:3" ht="15" customHeight="1" x14ac:dyDescent="0.3">
      <c r="A44" s="2" t="s">
        <v>78</v>
      </c>
      <c r="B44" s="8" t="s">
        <v>79</v>
      </c>
      <c r="C44" s="4" t="s">
        <v>80</v>
      </c>
    </row>
    <row r="45" spans="1:3" ht="15" customHeight="1" x14ac:dyDescent="0.3">
      <c r="A45" s="2" t="s">
        <v>81</v>
      </c>
      <c r="B45" s="9" t="s">
        <v>82</v>
      </c>
      <c r="C45" s="4" t="s">
        <v>83</v>
      </c>
    </row>
    <row r="46" spans="1:3" ht="15" customHeight="1" x14ac:dyDescent="0.3">
      <c r="A46" s="2" t="s">
        <v>84</v>
      </c>
      <c r="B46" s="10" t="s">
        <v>85</v>
      </c>
      <c r="C46" s="4" t="s">
        <v>86</v>
      </c>
    </row>
    <row r="47" spans="1:3" ht="15" customHeight="1" x14ac:dyDescent="0.3">
      <c r="A47" s="2" t="s">
        <v>87</v>
      </c>
      <c r="B47" s="10" t="s">
        <v>88</v>
      </c>
      <c r="C47" s="4" t="s">
        <v>86</v>
      </c>
    </row>
    <row r="49" spans="1:4" ht="15" customHeight="1" x14ac:dyDescent="0.3">
      <c r="A49" s="4"/>
    </row>
    <row r="50" spans="1:4" ht="15" customHeight="1" x14ac:dyDescent="0.3">
      <c r="A50" s="1" t="s">
        <v>0</v>
      </c>
      <c r="B50" s="1" t="s">
        <v>89</v>
      </c>
      <c r="C50" s="1" t="s">
        <v>90</v>
      </c>
    </row>
    <row r="51" spans="1:4" ht="15" customHeight="1" x14ac:dyDescent="0.3">
      <c r="A51" s="2">
        <v>1</v>
      </c>
      <c r="B51" s="3" t="s">
        <v>91</v>
      </c>
    </row>
    <row r="52" spans="1:4" ht="15" customHeight="1" x14ac:dyDescent="0.3">
      <c r="A52" s="2">
        <v>2</v>
      </c>
      <c r="B52" s="3" t="s">
        <v>92</v>
      </c>
    </row>
    <row r="53" spans="1:4" ht="15" customHeight="1" x14ac:dyDescent="0.3">
      <c r="A53" s="2">
        <v>3</v>
      </c>
      <c r="B53" s="3" t="s">
        <v>93</v>
      </c>
    </row>
    <row r="54" spans="1:4" ht="15" customHeight="1" x14ac:dyDescent="0.3">
      <c r="A54" s="2">
        <v>4</v>
      </c>
      <c r="B54" s="3" t="s">
        <v>94</v>
      </c>
    </row>
    <row r="55" spans="1:4" ht="15" customHeight="1" x14ac:dyDescent="0.3">
      <c r="A55" s="2">
        <v>5</v>
      </c>
      <c r="B55" s="3" t="s">
        <v>95</v>
      </c>
    </row>
    <row r="56" spans="1:4" ht="15" customHeight="1" x14ac:dyDescent="0.3">
      <c r="A56" s="2">
        <v>6</v>
      </c>
      <c r="B56" s="3" t="s">
        <v>33</v>
      </c>
    </row>
    <row r="57" spans="1:4" ht="15" customHeight="1" x14ac:dyDescent="0.3">
      <c r="A57" s="2">
        <v>7</v>
      </c>
      <c r="B57" s="3" t="s">
        <v>65</v>
      </c>
    </row>
    <row r="58" spans="1:4" ht="15" customHeight="1" x14ac:dyDescent="0.3">
      <c r="A58" s="2">
        <v>8</v>
      </c>
      <c r="B58" s="3" t="s">
        <v>5</v>
      </c>
    </row>
    <row r="59" spans="1:4" ht="15" customHeight="1" x14ac:dyDescent="0.3">
      <c r="A59" s="2">
        <v>9</v>
      </c>
      <c r="B59" s="3" t="s">
        <v>8</v>
      </c>
    </row>
    <row r="61" spans="1:4" ht="15" customHeight="1" x14ac:dyDescent="0.3">
      <c r="A61" s="4"/>
    </row>
    <row r="62" spans="1:4" ht="15" customHeight="1" x14ac:dyDescent="0.3">
      <c r="A62" s="1" t="s">
        <v>0</v>
      </c>
      <c r="B62" s="1" t="s">
        <v>96</v>
      </c>
      <c r="C62" s="1" t="s">
        <v>97</v>
      </c>
      <c r="D62" s="1" t="s">
        <v>98</v>
      </c>
    </row>
    <row r="63" spans="1:4" ht="15" customHeight="1" x14ac:dyDescent="0.3">
      <c r="A63" s="2">
        <v>1</v>
      </c>
      <c r="B63" s="3" t="s">
        <v>99</v>
      </c>
      <c r="C63" s="4" t="s">
        <v>100</v>
      </c>
      <c r="D63" s="4" t="s">
        <v>101</v>
      </c>
    </row>
    <row r="64" spans="1:4" ht="15" customHeight="1" x14ac:dyDescent="0.3">
      <c r="A64" s="2">
        <v>2</v>
      </c>
      <c r="B64" s="3" t="s">
        <v>102</v>
      </c>
      <c r="C64" s="4" t="s">
        <v>103</v>
      </c>
      <c r="D64" s="4" t="s">
        <v>104</v>
      </c>
    </row>
    <row r="65" spans="1:4" ht="15" customHeight="1" x14ac:dyDescent="0.3">
      <c r="A65" s="2">
        <v>3</v>
      </c>
      <c r="B65" s="3" t="s">
        <v>105</v>
      </c>
      <c r="C65" s="4" t="s">
        <v>100</v>
      </c>
      <c r="D65" s="4" t="s">
        <v>106</v>
      </c>
    </row>
    <row r="66" spans="1:4" ht="15" customHeight="1" x14ac:dyDescent="0.3">
      <c r="A66" s="2">
        <v>4</v>
      </c>
      <c r="B66" s="3" t="s">
        <v>107</v>
      </c>
      <c r="C66" s="4" t="s">
        <v>108</v>
      </c>
      <c r="D66" s="4" t="s">
        <v>106</v>
      </c>
    </row>
    <row r="67" spans="1:4" ht="15" customHeight="1" x14ac:dyDescent="0.3">
      <c r="A67" s="2">
        <v>5</v>
      </c>
      <c r="B67" s="3" t="s">
        <v>65</v>
      </c>
      <c r="C67" s="4" t="s">
        <v>109</v>
      </c>
      <c r="D67" s="4" t="s">
        <v>110</v>
      </c>
    </row>
    <row r="68" spans="1:4" ht="15" customHeight="1" x14ac:dyDescent="0.3">
      <c r="A68" s="2">
        <v>6</v>
      </c>
      <c r="B68" s="3" t="s">
        <v>111</v>
      </c>
      <c r="C68" s="4" t="s">
        <v>112</v>
      </c>
      <c r="D68" s="4" t="s">
        <v>113</v>
      </c>
    </row>
    <row r="70" spans="1:4" ht="15" customHeight="1" x14ac:dyDescent="0.3">
      <c r="A70" s="4"/>
    </row>
    <row r="71" spans="1:4" ht="15" customHeight="1" x14ac:dyDescent="0.3">
      <c r="A71" s="1" t="s">
        <v>114</v>
      </c>
      <c r="B71" s="1" t="s">
        <v>115</v>
      </c>
    </row>
    <row r="72" spans="1:4" ht="17.25" customHeight="1" x14ac:dyDescent="0.3">
      <c r="A72" s="11" t="s">
        <v>116</v>
      </c>
      <c r="B72" s="4" t="s">
        <v>117</v>
      </c>
    </row>
    <row r="73" spans="1:4" ht="17.25" customHeight="1" x14ac:dyDescent="0.3">
      <c r="A73" s="11" t="s">
        <v>118</v>
      </c>
      <c r="B73" s="4" t="s">
        <v>119</v>
      </c>
    </row>
    <row r="74" spans="1:4" ht="17.25" customHeight="1" x14ac:dyDescent="0.3">
      <c r="A74" s="11" t="s">
        <v>120</v>
      </c>
      <c r="B74" s="4" t="s">
        <v>121</v>
      </c>
    </row>
    <row r="75" spans="1:4" ht="17.25" customHeight="1" x14ac:dyDescent="0.3">
      <c r="A75" s="11" t="s">
        <v>122</v>
      </c>
      <c r="B75" s="4" t="s">
        <v>84</v>
      </c>
    </row>
    <row r="77" spans="1:4" ht="15" customHeight="1" x14ac:dyDescent="0.3">
      <c r="A77" s="4"/>
    </row>
    <row r="78" spans="1:4" ht="15" customHeight="1" x14ac:dyDescent="0.3">
      <c r="A78" s="1" t="s">
        <v>0</v>
      </c>
      <c r="B78" s="1" t="s">
        <v>123</v>
      </c>
      <c r="C78" s="1" t="s">
        <v>124</v>
      </c>
    </row>
    <row r="79" spans="1:4" ht="15" customHeight="1" x14ac:dyDescent="0.3">
      <c r="A79" s="2">
        <v>1</v>
      </c>
      <c r="B79" s="3" t="s">
        <v>82</v>
      </c>
      <c r="C79" s="4" t="s">
        <v>125</v>
      </c>
    </row>
    <row r="80" spans="1:4" ht="15" customHeight="1" x14ac:dyDescent="0.3">
      <c r="A80" s="2">
        <v>2</v>
      </c>
      <c r="B80" s="3" t="s">
        <v>126</v>
      </c>
      <c r="C80" s="4" t="s">
        <v>127</v>
      </c>
    </row>
    <row r="81" spans="1:3" ht="15" customHeight="1" x14ac:dyDescent="0.3">
      <c r="A81" s="2">
        <v>3</v>
      </c>
      <c r="B81" s="3" t="s">
        <v>128</v>
      </c>
      <c r="C81" s="4" t="s">
        <v>129</v>
      </c>
    </row>
    <row r="82" spans="1:3" ht="15" customHeight="1" x14ac:dyDescent="0.3">
      <c r="A82" s="2">
        <v>4</v>
      </c>
      <c r="B82" s="3" t="s">
        <v>130</v>
      </c>
      <c r="C82" s="4" t="s">
        <v>131</v>
      </c>
    </row>
    <row r="83" spans="1:3" ht="15" customHeight="1" x14ac:dyDescent="0.3">
      <c r="A83" s="2">
        <v>5</v>
      </c>
      <c r="B83" s="3" t="s">
        <v>85</v>
      </c>
      <c r="C83" s="4" t="s">
        <v>84</v>
      </c>
    </row>
    <row r="84" spans="1:3" ht="15" customHeight="1" x14ac:dyDescent="0.3">
      <c r="A84" s="2">
        <v>6</v>
      </c>
      <c r="B84" s="3" t="s">
        <v>88</v>
      </c>
      <c r="C84" s="4" t="s">
        <v>132</v>
      </c>
    </row>
    <row r="86" spans="1:3" ht="15" customHeight="1" x14ac:dyDescent="0.3">
      <c r="A86" s="4"/>
    </row>
    <row r="87" spans="1:3" ht="15" customHeight="1" x14ac:dyDescent="0.3">
      <c r="A87" s="1" t="s">
        <v>133</v>
      </c>
      <c r="B87" s="1" t="s">
        <v>134</v>
      </c>
    </row>
    <row r="88" spans="1:3" ht="15" customHeight="1" x14ac:dyDescent="0.3">
      <c r="A88" s="3" t="s">
        <v>135</v>
      </c>
      <c r="B88" s="4" t="s">
        <v>136</v>
      </c>
    </row>
    <row r="89" spans="1:3" ht="15" customHeight="1" x14ac:dyDescent="0.3">
      <c r="A89" s="3" t="s">
        <v>137</v>
      </c>
      <c r="B89" s="4" t="s">
        <v>138</v>
      </c>
    </row>
    <row r="90" spans="1:3" ht="15" customHeight="1" x14ac:dyDescent="0.3">
      <c r="A90" s="3" t="s">
        <v>139</v>
      </c>
      <c r="B90" s="4" t="s">
        <v>140</v>
      </c>
    </row>
    <row r="91" spans="1:3" ht="15" customHeight="1" x14ac:dyDescent="0.3">
      <c r="A91" s="3" t="s">
        <v>141</v>
      </c>
      <c r="B91" s="4" t="s">
        <v>142</v>
      </c>
    </row>
    <row r="93" spans="1:3" ht="15" customHeight="1" x14ac:dyDescent="0.3">
      <c r="A93" s="4"/>
    </row>
    <row r="94" spans="1:3" ht="15" customHeight="1" x14ac:dyDescent="0.3">
      <c r="A94" s="1" t="s">
        <v>143</v>
      </c>
      <c r="B94" s="1" t="s">
        <v>144</v>
      </c>
    </row>
    <row r="95" spans="1:3" ht="15" customHeight="1" x14ac:dyDescent="0.3">
      <c r="A95" s="3" t="s">
        <v>145</v>
      </c>
      <c r="B95" s="4" t="s">
        <v>146</v>
      </c>
    </row>
    <row r="96" spans="1:3" ht="15" customHeight="1" x14ac:dyDescent="0.3">
      <c r="B96" s="4" t="s">
        <v>147</v>
      </c>
    </row>
    <row r="97" spans="1:2" ht="15" customHeight="1" x14ac:dyDescent="0.3">
      <c r="A97" s="3" t="s">
        <v>148</v>
      </c>
      <c r="B97" s="4" t="s">
        <v>146</v>
      </c>
    </row>
    <row r="98" spans="1:2" ht="15" customHeight="1" x14ac:dyDescent="0.3">
      <c r="B98" s="4" t="s">
        <v>147</v>
      </c>
    </row>
    <row r="99" spans="1:2" ht="15" customHeight="1" x14ac:dyDescent="0.3">
      <c r="B99" s="4" t="s">
        <v>149</v>
      </c>
    </row>
    <row r="100" spans="1:2" ht="15" customHeight="1" x14ac:dyDescent="0.3">
      <c r="A100" s="3" t="s">
        <v>150</v>
      </c>
      <c r="B100" s="4" t="s">
        <v>71</v>
      </c>
    </row>
    <row r="101" spans="1:2" ht="15" customHeight="1" x14ac:dyDescent="0.3">
      <c r="B101" s="4" t="s">
        <v>151</v>
      </c>
    </row>
    <row r="102" spans="1:2" ht="15" customHeight="1" x14ac:dyDescent="0.3">
      <c r="A102" s="3" t="s">
        <v>152</v>
      </c>
      <c r="B102" s="4" t="s">
        <v>153</v>
      </c>
    </row>
    <row r="103" spans="1:2" ht="15" customHeight="1" x14ac:dyDescent="0.3">
      <c r="B103" s="4" t="s">
        <v>154</v>
      </c>
    </row>
    <row r="104" spans="1:2" ht="15" customHeight="1" x14ac:dyDescent="0.3">
      <c r="B104" s="4" t="s">
        <v>155</v>
      </c>
    </row>
    <row r="105" spans="1:2" ht="15" customHeight="1" x14ac:dyDescent="0.3">
      <c r="A105" s="3" t="s">
        <v>156</v>
      </c>
      <c r="B105" s="4" t="s">
        <v>82</v>
      </c>
    </row>
    <row r="106" spans="1:2" ht="15" customHeight="1" x14ac:dyDescent="0.3">
      <c r="B106" s="4" t="s">
        <v>126</v>
      </c>
    </row>
    <row r="107" spans="1:2" ht="15" customHeight="1" x14ac:dyDescent="0.3">
      <c r="B107" s="4" t="s">
        <v>128</v>
      </c>
    </row>
    <row r="108" spans="1:2" ht="15" customHeight="1" x14ac:dyDescent="0.3">
      <c r="B108" s="4" t="s">
        <v>130</v>
      </c>
    </row>
    <row r="109" spans="1:2" ht="15" customHeight="1" x14ac:dyDescent="0.3">
      <c r="B109" s="4" t="s">
        <v>85</v>
      </c>
    </row>
    <row r="110" spans="1:2" ht="15" customHeight="1" x14ac:dyDescent="0.3">
      <c r="B110" s="4" t="s">
        <v>88</v>
      </c>
    </row>
    <row r="111" spans="1:2" ht="15" customHeight="1" x14ac:dyDescent="0.3">
      <c r="A111" s="3" t="s">
        <v>157</v>
      </c>
      <c r="B111" s="4" t="s">
        <v>6</v>
      </c>
    </row>
    <row r="112" spans="1:2" ht="15" customHeight="1" x14ac:dyDescent="0.3">
      <c r="B112" s="4" t="s">
        <v>15</v>
      </c>
    </row>
    <row r="113" spans="1:2" ht="15" customHeight="1" x14ac:dyDescent="0.3">
      <c r="B113" s="4" t="s">
        <v>24</v>
      </c>
    </row>
    <row r="114" spans="1:2" ht="15" customHeight="1" x14ac:dyDescent="0.3">
      <c r="A114" s="3" t="s">
        <v>158</v>
      </c>
      <c r="B114" s="4" t="s">
        <v>93</v>
      </c>
    </row>
    <row r="115" spans="1:2" ht="15" customHeight="1" x14ac:dyDescent="0.3">
      <c r="B115" s="4" t="s">
        <v>91</v>
      </c>
    </row>
    <row r="116" spans="1:2" ht="15" customHeight="1" x14ac:dyDescent="0.3">
      <c r="B116" s="4" t="s">
        <v>92</v>
      </c>
    </row>
    <row r="117" spans="1:2" ht="15" customHeight="1" x14ac:dyDescent="0.3">
      <c r="B117" s="4" t="s">
        <v>159</v>
      </c>
    </row>
    <row r="118" spans="1:2" ht="15" customHeight="1" x14ac:dyDescent="0.3">
      <c r="B118" s="4" t="s">
        <v>33</v>
      </c>
    </row>
    <row r="119" spans="1:2" ht="15" customHeight="1" x14ac:dyDescent="0.3">
      <c r="B119" s="4" t="s">
        <v>65</v>
      </c>
    </row>
    <row r="120" spans="1:2" ht="15" customHeight="1" x14ac:dyDescent="0.3">
      <c r="B120" s="4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Right="0"/>
  </sheetPr>
  <dimension ref="A1:IW200"/>
  <sheetViews>
    <sheetView zoomScaleNormal="100" workbookViewId="0">
      <pane ySplit="3" topLeftCell="A4" activePane="bottomLeft" state="frozen"/>
      <selection pane="bottomLeft" activeCell="JB9" sqref="JB9"/>
    </sheetView>
  </sheetViews>
  <sheetFormatPr defaultColWidth="8.6640625" defaultRowHeight="14.4" outlineLevelCol="3" x14ac:dyDescent="0.3"/>
  <cols>
    <col min="1" max="1" width="22" customWidth="1" collapsed="1"/>
    <col min="2" max="2" width="18" hidden="1" customWidth="1" outlineLevel="1" collapsed="1"/>
    <col min="3" max="3" width="20" hidden="1" customWidth="1" outlineLevel="2"/>
    <col min="4" max="4" width="5" hidden="1" customWidth="1" outlineLevel="2"/>
    <col min="5" max="5" width="14" hidden="1" customWidth="1" outlineLevel="2"/>
    <col min="6" max="6" width="20" hidden="1" customWidth="1" outlineLevel="2"/>
    <col min="7" max="7" width="14" hidden="1" customWidth="1" outlineLevel="2"/>
    <col min="8" max="8" width="12" hidden="1" customWidth="1" outlineLevel="2"/>
    <col min="9" max="9" width="16" hidden="1" customWidth="1" outlineLevel="1" collapsed="1"/>
    <col min="10" max="10" width="10" hidden="1" customWidth="1" outlineLevel="2"/>
    <col min="11" max="11" width="28" hidden="1" customWidth="1" outlineLevel="2"/>
    <col min="12" max="12" width="16" hidden="1" customWidth="1" outlineLevel="1" collapsed="1"/>
    <col min="13" max="13" width="18" hidden="1" customWidth="1" outlineLevel="2"/>
    <col min="14" max="14" width="12" hidden="1" customWidth="1" outlineLevel="1" collapsed="1"/>
    <col min="15" max="15" width="10" hidden="1" customWidth="1" outlineLevel="2"/>
    <col min="16" max="16" width="10" hidden="1" customWidth="1" outlineLevel="1" collapsed="1"/>
    <col min="17" max="17" width="14" hidden="1" customWidth="1" outlineLevel="2"/>
    <col min="18" max="18" width="13" hidden="1" customWidth="1" outlineLevel="2"/>
    <col min="19" max="19" width="12" hidden="1" customWidth="1" outlineLevel="1" collapsed="1"/>
    <col min="20" max="20" width="10" hidden="1" customWidth="1" outlineLevel="2"/>
    <col min="21" max="21" width="12" hidden="1" customWidth="1" outlineLevel="2"/>
    <col min="22" max="23" width="13" hidden="1" customWidth="1" outlineLevel="2"/>
    <col min="24" max="24" width="14" hidden="1" customWidth="1" outlineLevel="2"/>
    <col min="25" max="25" width="12" hidden="1" customWidth="1" outlineLevel="1" collapsed="1"/>
    <col min="26" max="26" width="9" hidden="1" customWidth="1" outlineLevel="2"/>
    <col min="27" max="36" width="13" hidden="1" customWidth="1" outlineLevel="2"/>
    <col min="37" max="37" width="10" hidden="1" customWidth="1" outlineLevel="1" collapsed="1"/>
    <col min="38" max="38" width="10" hidden="1" customWidth="1" outlineLevel="2"/>
    <col min="39" max="39" width="8" hidden="1" customWidth="1" outlineLevel="2"/>
    <col min="40" max="40" width="12" hidden="1" customWidth="1" outlineLevel="2"/>
    <col min="41" max="42" width="13" hidden="1" customWidth="1" outlineLevel="2"/>
    <col min="43" max="43" width="16" hidden="1" customWidth="1" outlineLevel="2"/>
    <col min="44" max="44" width="16" customWidth="1" collapsed="1"/>
    <col min="45" max="45" width="14" hidden="1" customWidth="1" outlineLevel="1" collapsed="1"/>
    <col min="46" max="46" width="13" hidden="1" customWidth="1" outlineLevel="2"/>
    <col min="47" max="47" width="16" hidden="1" customWidth="1" outlineLevel="2"/>
    <col min="48" max="48" width="20" hidden="1" customWidth="1" outlineLevel="2"/>
    <col min="49" max="49" width="14" hidden="1" customWidth="1" outlineLevel="1" collapsed="1"/>
    <col min="50" max="50" width="10" hidden="1" customWidth="1" outlineLevel="2"/>
    <col min="51" max="51" width="14" hidden="1" customWidth="1" outlineLevel="1" collapsed="1"/>
    <col min="52" max="52" width="14" hidden="1" customWidth="1" outlineLevel="2"/>
    <col min="53" max="53" width="10" hidden="1" customWidth="1" outlineLevel="1" collapsed="1"/>
    <col min="54" max="54" width="12" hidden="1" customWidth="1" outlineLevel="2"/>
    <col min="55" max="55" width="14" hidden="1" customWidth="1" outlineLevel="2"/>
    <col min="56" max="57" width="13" hidden="1" customWidth="1" outlineLevel="2"/>
    <col min="58" max="58" width="12" hidden="1" customWidth="1" outlineLevel="2"/>
    <col min="59" max="59" width="20" hidden="1" customWidth="1" outlineLevel="1" collapsed="1"/>
    <col min="60" max="60" width="22" hidden="1" customWidth="1" outlineLevel="2"/>
    <col min="61" max="61" width="8" hidden="1" customWidth="1" outlineLevel="1"/>
    <col min="62" max="62" width="16" customWidth="1" collapsed="1"/>
    <col min="63" max="63" width="20" hidden="1" customWidth="1" outlineLevel="1"/>
    <col min="64" max="64" width="13" hidden="1" customWidth="1" outlineLevel="1"/>
    <col min="65" max="65" width="18" hidden="1" customWidth="1" outlineLevel="1"/>
    <col min="66" max="66" width="13" hidden="1" customWidth="1" outlineLevel="1"/>
    <col min="67" max="67" width="16" hidden="1" customWidth="1" outlineLevel="1"/>
    <col min="68" max="70" width="13" hidden="1" customWidth="1" outlineLevel="1"/>
    <col min="71" max="71" width="18" hidden="1" customWidth="1" outlineLevel="1"/>
    <col min="72" max="72" width="10" hidden="1" customWidth="1" outlineLevel="1"/>
    <col min="73" max="73" width="9" customWidth="1"/>
    <col min="74" max="74" width="7" customWidth="1" outlineLevel="1" collapsed="1"/>
    <col min="75" max="75" width="6" hidden="1" customWidth="1" outlineLevel="2" collapsed="1"/>
    <col min="76" max="76" width="12" hidden="1" customWidth="1" outlineLevel="3"/>
    <col min="77" max="77" width="13" hidden="1" customWidth="1" outlineLevel="3"/>
    <col min="78" max="78" width="6" hidden="1" customWidth="1" outlineLevel="2" collapsed="1"/>
    <col min="79" max="79" width="12" hidden="1" customWidth="1" outlineLevel="3"/>
    <col min="80" max="80" width="13" hidden="1" customWidth="1" outlineLevel="3"/>
    <col min="81" max="81" width="6" hidden="1" customWidth="1" outlineLevel="2" collapsed="1"/>
    <col min="82" max="82" width="12" hidden="1" customWidth="1" outlineLevel="3"/>
    <col min="83" max="83" width="13" hidden="1" customWidth="1" outlineLevel="3"/>
    <col min="84" max="84" width="11" hidden="1" customWidth="1" outlineLevel="3"/>
    <col min="85" max="85" width="18" hidden="1" customWidth="1" outlineLevel="3"/>
    <col min="86" max="88" width="13" hidden="1" customWidth="1" outlineLevel="3"/>
    <col min="89" max="89" width="20" hidden="1" customWidth="1" outlineLevel="3"/>
    <col min="90" max="90" width="6" hidden="1" customWidth="1" outlineLevel="2" collapsed="1"/>
    <col min="91" max="91" width="12" hidden="1" customWidth="1" outlineLevel="3"/>
    <col min="92" max="92" width="13" hidden="1" customWidth="1" outlineLevel="3"/>
    <col min="93" max="93" width="6" hidden="1" customWidth="1" outlineLevel="2" collapsed="1"/>
    <col min="94" max="94" width="12" hidden="1" customWidth="1" outlineLevel="3"/>
    <col min="95" max="95" width="13" hidden="1" customWidth="1" outlineLevel="3"/>
    <col min="96" max="96" width="6" hidden="1" customWidth="1" outlineLevel="2" collapsed="1"/>
    <col min="97" max="97" width="12" hidden="1" customWidth="1" outlineLevel="3"/>
    <col min="98" max="98" width="13" hidden="1" customWidth="1" outlineLevel="3"/>
    <col min="99" max="99" width="11" hidden="1" customWidth="1" outlineLevel="3"/>
    <col min="100" max="100" width="18" hidden="1" customWidth="1" outlineLevel="3"/>
    <col min="101" max="103" width="13" hidden="1" customWidth="1" outlineLevel="3"/>
    <col min="104" max="104" width="20" hidden="1" customWidth="1" outlineLevel="3"/>
    <col min="105" max="105" width="6" hidden="1" customWidth="1" outlineLevel="2" collapsed="1"/>
    <col min="106" max="106" width="12" hidden="1" customWidth="1" outlineLevel="3"/>
    <col min="107" max="107" width="13" hidden="1" customWidth="1" outlineLevel="3"/>
    <col min="108" max="108" width="6" hidden="1" customWidth="1" outlineLevel="2" collapsed="1"/>
    <col min="109" max="109" width="12" hidden="1" customWidth="1" outlineLevel="3"/>
    <col min="110" max="110" width="13" hidden="1" customWidth="1" outlineLevel="3"/>
    <col min="111" max="111" width="6" hidden="1" customWidth="1" outlineLevel="2" collapsed="1"/>
    <col min="112" max="112" width="12" hidden="1" customWidth="1" outlineLevel="3"/>
    <col min="113" max="113" width="13" hidden="1" customWidth="1" outlineLevel="3"/>
    <col min="114" max="114" width="11" hidden="1" customWidth="1" outlineLevel="3"/>
    <col min="115" max="115" width="18" hidden="1" customWidth="1" outlineLevel="3"/>
    <col min="116" max="118" width="13" hidden="1" customWidth="1" outlineLevel="3"/>
    <col min="119" max="119" width="20" hidden="1" customWidth="1" outlineLevel="3"/>
    <col min="120" max="120" width="7" customWidth="1" outlineLevel="1" collapsed="1"/>
    <col min="121" max="121" width="6" hidden="1" customWidth="1" outlineLevel="2" collapsed="1"/>
    <col min="122" max="122" width="12" hidden="1" customWidth="1" outlineLevel="3"/>
    <col min="123" max="123" width="13" hidden="1" customWidth="1" outlineLevel="3"/>
    <col min="124" max="124" width="6" hidden="1" customWidth="1" outlineLevel="2" collapsed="1"/>
    <col min="125" max="125" width="12" hidden="1" customWidth="1" outlineLevel="3"/>
    <col min="126" max="126" width="13" hidden="1" customWidth="1" outlineLevel="3"/>
    <col min="127" max="127" width="6" hidden="1" customWidth="1" outlineLevel="2" collapsed="1"/>
    <col min="128" max="128" width="12" hidden="1" customWidth="1" outlineLevel="3"/>
    <col min="129" max="129" width="13" hidden="1" customWidth="1" outlineLevel="3"/>
    <col min="130" max="130" width="11" hidden="1" customWidth="1" outlineLevel="3"/>
    <col min="131" max="131" width="18" hidden="1" customWidth="1" outlineLevel="3"/>
    <col min="132" max="134" width="13" hidden="1" customWidth="1" outlineLevel="3"/>
    <col min="135" max="135" width="20" hidden="1" customWidth="1" outlineLevel="3"/>
    <col min="136" max="136" width="6" hidden="1" customWidth="1" outlineLevel="2" collapsed="1"/>
    <col min="137" max="137" width="12" hidden="1" customWidth="1" outlineLevel="3"/>
    <col min="138" max="138" width="13" hidden="1" customWidth="1" outlineLevel="3"/>
    <col min="139" max="139" width="6" hidden="1" customWidth="1" outlineLevel="2" collapsed="1"/>
    <col min="140" max="140" width="12" hidden="1" customWidth="1" outlineLevel="3"/>
    <col min="141" max="141" width="13" hidden="1" customWidth="1" outlineLevel="3"/>
    <col min="142" max="142" width="6" hidden="1" customWidth="1" outlineLevel="2" collapsed="1"/>
    <col min="143" max="143" width="12" hidden="1" customWidth="1" outlineLevel="3"/>
    <col min="144" max="144" width="13" hidden="1" customWidth="1" outlineLevel="3"/>
    <col min="145" max="145" width="11" hidden="1" customWidth="1" outlineLevel="3"/>
    <col min="146" max="146" width="18" hidden="1" customWidth="1" outlineLevel="3"/>
    <col min="147" max="149" width="13" hidden="1" customWidth="1" outlineLevel="3"/>
    <col min="150" max="150" width="20" hidden="1" customWidth="1" outlineLevel="3"/>
    <col min="151" max="151" width="6" hidden="1" customWidth="1" outlineLevel="2" collapsed="1"/>
    <col min="152" max="152" width="12" hidden="1" customWidth="1" outlineLevel="3"/>
    <col min="153" max="153" width="13" hidden="1" customWidth="1" outlineLevel="3"/>
    <col min="154" max="154" width="6" hidden="1" customWidth="1" outlineLevel="2" collapsed="1"/>
    <col min="155" max="155" width="12" hidden="1" customWidth="1" outlineLevel="3"/>
    <col min="156" max="156" width="13" hidden="1" customWidth="1" outlineLevel="3"/>
    <col min="157" max="157" width="6" hidden="1" customWidth="1" outlineLevel="2" collapsed="1"/>
    <col min="158" max="158" width="12" hidden="1" customWidth="1" outlineLevel="3"/>
    <col min="159" max="159" width="13" hidden="1" customWidth="1" outlineLevel="3"/>
    <col min="160" max="160" width="11" hidden="1" customWidth="1" outlineLevel="3"/>
    <col min="161" max="161" width="18" hidden="1" customWidth="1" outlineLevel="3"/>
    <col min="162" max="164" width="13" hidden="1" customWidth="1" outlineLevel="3"/>
    <col min="165" max="165" width="20" hidden="1" customWidth="1" outlineLevel="3"/>
    <col min="166" max="166" width="7" customWidth="1" outlineLevel="1" collapsed="1"/>
    <col min="167" max="167" width="6" hidden="1" customWidth="1" outlineLevel="2" collapsed="1"/>
    <col min="168" max="168" width="12" hidden="1" customWidth="1" outlineLevel="3"/>
    <col min="169" max="169" width="13" hidden="1" customWidth="1" outlineLevel="3"/>
    <col min="170" max="170" width="6" hidden="1" customWidth="1" outlineLevel="2" collapsed="1"/>
    <col min="171" max="171" width="12" hidden="1" customWidth="1" outlineLevel="3"/>
    <col min="172" max="172" width="13" hidden="1" customWidth="1" outlineLevel="3"/>
    <col min="173" max="173" width="6" hidden="1" customWidth="1" outlineLevel="2" collapsed="1"/>
    <col min="174" max="174" width="12" hidden="1" customWidth="1" outlineLevel="3"/>
    <col min="175" max="175" width="13" hidden="1" customWidth="1" outlineLevel="3"/>
    <col min="176" max="176" width="11" hidden="1" customWidth="1" outlineLevel="3"/>
    <col min="177" max="177" width="18" hidden="1" customWidth="1" outlineLevel="3"/>
    <col min="178" max="180" width="13" hidden="1" customWidth="1" outlineLevel="3"/>
    <col min="181" max="181" width="20" hidden="1" customWidth="1" outlineLevel="3"/>
    <col min="182" max="182" width="6" hidden="1" customWidth="1" outlineLevel="2" collapsed="1"/>
    <col min="183" max="183" width="12" hidden="1" customWidth="1" outlineLevel="3"/>
    <col min="184" max="184" width="13" hidden="1" customWidth="1" outlineLevel="3"/>
    <col min="185" max="185" width="6" hidden="1" customWidth="1" outlineLevel="2" collapsed="1"/>
    <col min="186" max="186" width="12" hidden="1" customWidth="1" outlineLevel="3"/>
    <col min="187" max="187" width="13" hidden="1" customWidth="1" outlineLevel="3"/>
    <col min="188" max="188" width="6" hidden="1" customWidth="1" outlineLevel="2" collapsed="1"/>
    <col min="189" max="189" width="12" hidden="1" customWidth="1" outlineLevel="3"/>
    <col min="190" max="190" width="13" hidden="1" customWidth="1" outlineLevel="3"/>
    <col min="191" max="191" width="11" hidden="1" customWidth="1" outlineLevel="3"/>
    <col min="192" max="192" width="18" hidden="1" customWidth="1" outlineLevel="3"/>
    <col min="193" max="195" width="13" hidden="1" customWidth="1" outlineLevel="3"/>
    <col min="196" max="196" width="20" hidden="1" customWidth="1" outlineLevel="3"/>
    <col min="197" max="197" width="6" hidden="1" customWidth="1" outlineLevel="2" collapsed="1"/>
    <col min="198" max="198" width="12" hidden="1" customWidth="1" outlineLevel="3"/>
    <col min="199" max="199" width="13" hidden="1" customWidth="1" outlineLevel="3"/>
    <col min="200" max="200" width="6" hidden="1" customWidth="1" outlineLevel="2" collapsed="1"/>
    <col min="201" max="201" width="12" hidden="1" customWidth="1" outlineLevel="3"/>
    <col min="202" max="202" width="13" hidden="1" customWidth="1" outlineLevel="3"/>
    <col min="203" max="203" width="6" hidden="1" customWidth="1" outlineLevel="2" collapsed="1"/>
    <col min="204" max="204" width="12" hidden="1" customWidth="1" outlineLevel="3"/>
    <col min="205" max="205" width="13" hidden="1" customWidth="1" outlineLevel="3"/>
    <col min="206" max="206" width="11" hidden="1" customWidth="1" outlineLevel="3"/>
    <col min="207" max="207" width="18" hidden="1" customWidth="1" outlineLevel="3"/>
    <col min="208" max="210" width="13" hidden="1" customWidth="1" outlineLevel="3"/>
    <col min="211" max="211" width="20" hidden="1" customWidth="1" outlineLevel="3"/>
    <col min="212" max="212" width="7" customWidth="1" outlineLevel="1" collapsed="1"/>
    <col min="213" max="213" width="6" hidden="1" customWidth="1" outlineLevel="2" collapsed="1"/>
    <col min="214" max="214" width="12" hidden="1" customWidth="1" outlineLevel="3"/>
    <col min="215" max="215" width="13" hidden="1" customWidth="1" outlineLevel="3"/>
    <col min="216" max="216" width="6" hidden="1" customWidth="1" outlineLevel="2" collapsed="1"/>
    <col min="217" max="217" width="12" hidden="1" customWidth="1" outlineLevel="3"/>
    <col min="218" max="218" width="13" hidden="1" customWidth="1" outlineLevel="3"/>
    <col min="219" max="219" width="6" hidden="1" customWidth="1" outlineLevel="2" collapsed="1"/>
    <col min="220" max="220" width="12" hidden="1" customWidth="1" outlineLevel="3"/>
    <col min="221" max="221" width="13" hidden="1" customWidth="1" outlineLevel="3"/>
    <col min="222" max="222" width="11" hidden="1" customWidth="1" outlineLevel="3"/>
    <col min="223" max="223" width="18" hidden="1" customWidth="1" outlineLevel="3"/>
    <col min="224" max="226" width="13" hidden="1" customWidth="1" outlineLevel="3"/>
    <col min="227" max="227" width="20" hidden="1" customWidth="1" outlineLevel="3"/>
    <col min="228" max="228" width="6" hidden="1" customWidth="1" outlineLevel="2" collapsed="1"/>
    <col min="229" max="229" width="12" hidden="1" customWidth="1" outlineLevel="3"/>
    <col min="230" max="230" width="13" hidden="1" customWidth="1" outlineLevel="3"/>
    <col min="231" max="231" width="6" hidden="1" customWidth="1" outlineLevel="2" collapsed="1"/>
    <col min="232" max="232" width="12" hidden="1" customWidth="1" outlineLevel="3"/>
    <col min="233" max="233" width="13" hidden="1" customWidth="1" outlineLevel="3"/>
    <col min="234" max="234" width="6" hidden="1" customWidth="1" outlineLevel="2" collapsed="1"/>
    <col min="235" max="235" width="12" hidden="1" customWidth="1" outlineLevel="3"/>
    <col min="236" max="236" width="13" hidden="1" customWidth="1" outlineLevel="3"/>
    <col min="237" max="237" width="11" hidden="1" customWidth="1" outlineLevel="3"/>
    <col min="238" max="238" width="18" hidden="1" customWidth="1" outlineLevel="3"/>
    <col min="239" max="241" width="13" hidden="1" customWidth="1" outlineLevel="3"/>
    <col min="242" max="242" width="20" hidden="1" customWidth="1" outlineLevel="3"/>
    <col min="243" max="243" width="6" hidden="1" customWidth="1" outlineLevel="2" collapsed="1"/>
    <col min="244" max="244" width="12" hidden="1" customWidth="1" outlineLevel="3"/>
    <col min="245" max="245" width="13" hidden="1" customWidth="1" outlineLevel="3"/>
    <col min="246" max="246" width="6" hidden="1" customWidth="1" outlineLevel="2" collapsed="1"/>
    <col min="247" max="247" width="12" hidden="1" customWidth="1" outlineLevel="3"/>
    <col min="248" max="248" width="13" hidden="1" customWidth="1" outlineLevel="3"/>
    <col min="249" max="249" width="6" hidden="1" customWidth="1" outlineLevel="2" collapsed="1"/>
    <col min="250" max="250" width="12" hidden="1" customWidth="1" outlineLevel="3"/>
    <col min="251" max="251" width="13" hidden="1" customWidth="1" outlineLevel="3"/>
    <col min="252" max="252" width="11" hidden="1" customWidth="1" outlineLevel="3"/>
    <col min="253" max="253" width="18" hidden="1" customWidth="1" outlineLevel="3"/>
    <col min="254" max="256" width="13" hidden="1" customWidth="1" outlineLevel="3"/>
    <col min="257" max="257" width="20" hidden="1" customWidth="1" outlineLevel="3"/>
  </cols>
  <sheetData>
    <row r="1" spans="1:257" ht="24" customHeight="1" x14ac:dyDescent="0.3">
      <c r="A1" s="98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97" t="s">
        <v>161</v>
      </c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95" t="s">
        <v>162</v>
      </c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12" t="s">
        <v>163</v>
      </c>
      <c r="BV1" s="13" t="s">
        <v>164</v>
      </c>
      <c r="BW1" s="93" t="s">
        <v>165</v>
      </c>
      <c r="BX1" s="88"/>
      <c r="BY1" s="88"/>
      <c r="BZ1" s="88"/>
      <c r="CA1" s="88"/>
      <c r="CB1" s="88"/>
      <c r="CC1" s="14" t="s">
        <v>166</v>
      </c>
      <c r="CD1" s="15">
        <f>SUBTOTAL(109,CD4:CD5000)</f>
        <v>0</v>
      </c>
      <c r="CE1" s="15">
        <f>SUBTOTAL(109,CE4:CE5000)</f>
        <v>0</v>
      </c>
      <c r="CF1" s="16"/>
      <c r="CG1" s="16"/>
      <c r="CH1" s="16"/>
      <c r="CI1" s="16"/>
      <c r="CJ1" s="16"/>
      <c r="CK1" s="16"/>
      <c r="CL1" s="93" t="s">
        <v>167</v>
      </c>
      <c r="CM1" s="88"/>
      <c r="CN1" s="88"/>
      <c r="CO1" s="88"/>
      <c r="CP1" s="88"/>
      <c r="CQ1" s="88"/>
      <c r="CR1" s="14" t="s">
        <v>166</v>
      </c>
      <c r="CS1" s="15">
        <f>SUBTOTAL(109,CS4:CS5000)</f>
        <v>0</v>
      </c>
      <c r="CT1" s="15">
        <f>SUBTOTAL(109,CT4:CT5000)</f>
        <v>0</v>
      </c>
      <c r="CU1" s="16"/>
      <c r="CV1" s="16"/>
      <c r="CW1" s="16"/>
      <c r="CX1" s="16"/>
      <c r="CY1" s="16"/>
      <c r="CZ1" s="16"/>
      <c r="DA1" s="93" t="s">
        <v>168</v>
      </c>
      <c r="DB1" s="88"/>
      <c r="DC1" s="88"/>
      <c r="DD1" s="88"/>
      <c r="DE1" s="88"/>
      <c r="DF1" s="88"/>
      <c r="DG1" s="14" t="s">
        <v>166</v>
      </c>
      <c r="DH1" s="15">
        <f>SUBTOTAL(109,DH4:DH5000)</f>
        <v>0</v>
      </c>
      <c r="DI1" s="15">
        <f>SUBTOTAL(109,DI4:DI5000)</f>
        <v>0</v>
      </c>
      <c r="DJ1" s="16"/>
      <c r="DK1" s="16"/>
      <c r="DL1" s="16"/>
      <c r="DM1" s="16"/>
      <c r="DN1" s="16"/>
      <c r="DO1" s="16"/>
      <c r="DP1" s="17" t="s">
        <v>169</v>
      </c>
      <c r="DQ1" s="96" t="s">
        <v>170</v>
      </c>
      <c r="DR1" s="88"/>
      <c r="DS1" s="88"/>
      <c r="DT1" s="88"/>
      <c r="DU1" s="88"/>
      <c r="DV1" s="88"/>
      <c r="DW1" s="12" t="s">
        <v>166</v>
      </c>
      <c r="DX1" s="18">
        <f>SUBTOTAL(109,DX4:DX5000)</f>
        <v>0</v>
      </c>
      <c r="DY1" s="18">
        <f>SUBTOTAL(109,DY4:DY5000)</f>
        <v>0</v>
      </c>
      <c r="DZ1" s="19"/>
      <c r="EA1" s="19"/>
      <c r="EB1" s="19"/>
      <c r="EC1" s="19"/>
      <c r="ED1" s="19"/>
      <c r="EE1" s="19"/>
      <c r="EF1" s="96" t="s">
        <v>171</v>
      </c>
      <c r="EG1" s="88"/>
      <c r="EH1" s="88"/>
      <c r="EI1" s="88"/>
      <c r="EJ1" s="88"/>
      <c r="EK1" s="88"/>
      <c r="EL1" s="12" t="s">
        <v>166</v>
      </c>
      <c r="EM1" s="18">
        <f>SUBTOTAL(109,EM4:EM5000)</f>
        <v>0</v>
      </c>
      <c r="EN1" s="18">
        <f>SUBTOTAL(109,EN4:EN5000)</f>
        <v>0</v>
      </c>
      <c r="EO1" s="19"/>
      <c r="EP1" s="19"/>
      <c r="EQ1" s="19"/>
      <c r="ER1" s="19"/>
      <c r="ES1" s="19"/>
      <c r="ET1" s="19"/>
      <c r="EU1" s="96" t="s">
        <v>172</v>
      </c>
      <c r="EV1" s="88"/>
      <c r="EW1" s="88"/>
      <c r="EX1" s="88"/>
      <c r="EY1" s="88"/>
      <c r="EZ1" s="88"/>
      <c r="FA1" s="12" t="s">
        <v>166</v>
      </c>
      <c r="FB1" s="18">
        <f>SUBTOTAL(109,FB4:FB5000)</f>
        <v>0</v>
      </c>
      <c r="FC1" s="18">
        <f>SUBTOTAL(109,FC4:FC5000)</f>
        <v>0</v>
      </c>
      <c r="FD1" s="19"/>
      <c r="FE1" s="19"/>
      <c r="FF1" s="19"/>
      <c r="FG1" s="19"/>
      <c r="FH1" s="19"/>
      <c r="FI1" s="19"/>
      <c r="FJ1" s="20" t="s">
        <v>173</v>
      </c>
      <c r="FK1" s="87" t="s">
        <v>174</v>
      </c>
      <c r="FL1" s="88"/>
      <c r="FM1" s="88"/>
      <c r="FN1" s="88"/>
      <c r="FO1" s="88"/>
      <c r="FP1" s="88"/>
      <c r="FQ1" s="21" t="s">
        <v>166</v>
      </c>
      <c r="FR1" s="22">
        <f>SUBTOTAL(109,FR4:FR5000)</f>
        <v>0</v>
      </c>
      <c r="FS1" s="22">
        <f>SUBTOTAL(109,FS4:FS5000)</f>
        <v>0</v>
      </c>
      <c r="FT1" s="23"/>
      <c r="FU1" s="23"/>
      <c r="FV1" s="23"/>
      <c r="FW1" s="23"/>
      <c r="FX1" s="23"/>
      <c r="FY1" s="23"/>
      <c r="FZ1" s="87" t="s">
        <v>175</v>
      </c>
      <c r="GA1" s="88"/>
      <c r="GB1" s="88"/>
      <c r="GC1" s="88"/>
      <c r="GD1" s="88"/>
      <c r="GE1" s="88"/>
      <c r="GF1" s="21" t="s">
        <v>166</v>
      </c>
      <c r="GG1" s="22">
        <f>SUBTOTAL(109,GG4:GG5000)</f>
        <v>0</v>
      </c>
      <c r="GH1" s="22">
        <f>SUBTOTAL(109,GH4:GH5000)</f>
        <v>0</v>
      </c>
      <c r="GI1" s="23"/>
      <c r="GJ1" s="23"/>
      <c r="GK1" s="23"/>
      <c r="GL1" s="23"/>
      <c r="GM1" s="23"/>
      <c r="GN1" s="23"/>
      <c r="GO1" s="87" t="s">
        <v>176</v>
      </c>
      <c r="GP1" s="88"/>
      <c r="GQ1" s="88"/>
      <c r="GR1" s="88"/>
      <c r="GS1" s="88"/>
      <c r="GT1" s="88"/>
      <c r="GU1" s="21" t="s">
        <v>166</v>
      </c>
      <c r="GV1" s="22">
        <f>SUBTOTAL(109,GV4:GV5000)</f>
        <v>0</v>
      </c>
      <c r="GW1" s="22">
        <f>SUBTOTAL(109,GW4:GW5000)</f>
        <v>0</v>
      </c>
      <c r="GX1" s="23"/>
      <c r="GY1" s="23"/>
      <c r="GZ1" s="23"/>
      <c r="HA1" s="23"/>
      <c r="HB1" s="23"/>
      <c r="HC1" s="23"/>
      <c r="HD1" s="24" t="s">
        <v>177</v>
      </c>
      <c r="HE1" s="92" t="s">
        <v>178</v>
      </c>
      <c r="HF1" s="88"/>
      <c r="HG1" s="88"/>
      <c r="HH1" s="88"/>
      <c r="HI1" s="88"/>
      <c r="HJ1" s="88"/>
      <c r="HK1" s="25" t="s">
        <v>166</v>
      </c>
      <c r="HL1" s="26">
        <f>SUBTOTAL(109,HL4:HL5000)</f>
        <v>0</v>
      </c>
      <c r="HM1" s="26">
        <f>SUBTOTAL(109,HM4:HM5000)</f>
        <v>0</v>
      </c>
      <c r="HN1" s="27"/>
      <c r="HO1" s="27"/>
      <c r="HP1" s="27"/>
      <c r="HQ1" s="27"/>
      <c r="HR1" s="27"/>
      <c r="HS1" s="27"/>
      <c r="HT1" s="92" t="s">
        <v>179</v>
      </c>
      <c r="HU1" s="88"/>
      <c r="HV1" s="88"/>
      <c r="HW1" s="88"/>
      <c r="HX1" s="88"/>
      <c r="HY1" s="88"/>
      <c r="HZ1" s="25" t="s">
        <v>166</v>
      </c>
      <c r="IA1" s="26">
        <f>SUBTOTAL(109,IA4:IA5000)</f>
        <v>0</v>
      </c>
      <c r="IB1" s="26">
        <f>SUBTOTAL(109,IB4:IB5000)</f>
        <v>0</v>
      </c>
      <c r="IC1" s="27"/>
      <c r="ID1" s="27"/>
      <c r="IE1" s="27"/>
      <c r="IF1" s="27"/>
      <c r="IG1" s="27"/>
      <c r="IH1" s="27"/>
      <c r="II1" s="92" t="s">
        <v>180</v>
      </c>
      <c r="IJ1" s="88"/>
      <c r="IK1" s="88"/>
      <c r="IL1" s="88"/>
      <c r="IM1" s="88"/>
      <c r="IN1" s="88"/>
      <c r="IO1" s="25" t="s">
        <v>166</v>
      </c>
      <c r="IP1" s="26">
        <f>SUBTOTAL(109,IP4:IP5000)</f>
        <v>0</v>
      </c>
      <c r="IQ1" s="26">
        <f>SUBTOTAL(109,IQ4:IQ5000)</f>
        <v>0</v>
      </c>
      <c r="IR1" s="27"/>
      <c r="IS1" s="27"/>
      <c r="IT1" s="27"/>
      <c r="IU1" s="27"/>
      <c r="IV1" s="27"/>
      <c r="IW1" s="27"/>
    </row>
    <row r="2" spans="1:257" ht="18" customHeight="1" x14ac:dyDescent="0.3">
      <c r="A2" s="28" t="s">
        <v>181</v>
      </c>
      <c r="B2" s="28" t="s">
        <v>182</v>
      </c>
      <c r="C2" s="28" t="s">
        <v>182</v>
      </c>
      <c r="D2" s="28" t="s">
        <v>182</v>
      </c>
      <c r="E2" s="28" t="s">
        <v>182</v>
      </c>
      <c r="F2" s="28" t="s">
        <v>182</v>
      </c>
      <c r="G2" s="28" t="s">
        <v>182</v>
      </c>
      <c r="H2" s="28" t="s">
        <v>182</v>
      </c>
      <c r="I2" s="28" t="s">
        <v>183</v>
      </c>
      <c r="J2" s="28" t="s">
        <v>183</v>
      </c>
      <c r="K2" s="28" t="s">
        <v>183</v>
      </c>
      <c r="L2" s="28" t="s">
        <v>184</v>
      </c>
      <c r="M2" s="28" t="s">
        <v>184</v>
      </c>
      <c r="N2" s="28" t="s">
        <v>185</v>
      </c>
      <c r="O2" s="28" t="s">
        <v>185</v>
      </c>
      <c r="P2" s="28" t="s">
        <v>186</v>
      </c>
      <c r="Q2" s="28" t="s">
        <v>186</v>
      </c>
      <c r="R2" s="28" t="s">
        <v>186</v>
      </c>
      <c r="S2" s="28" t="s">
        <v>187</v>
      </c>
      <c r="T2" s="28" t="s">
        <v>187</v>
      </c>
      <c r="U2" s="28" t="s">
        <v>187</v>
      </c>
      <c r="V2" s="28" t="s">
        <v>187</v>
      </c>
      <c r="W2" s="28" t="s">
        <v>187</v>
      </c>
      <c r="X2" s="28" t="s">
        <v>187</v>
      </c>
      <c r="Y2" s="28" t="s">
        <v>188</v>
      </c>
      <c r="Z2" s="28" t="s">
        <v>188</v>
      </c>
      <c r="AA2" s="28" t="s">
        <v>188</v>
      </c>
      <c r="AB2" s="28" t="s">
        <v>188</v>
      </c>
      <c r="AC2" s="28" t="s">
        <v>188</v>
      </c>
      <c r="AD2" s="28" t="s">
        <v>188</v>
      </c>
      <c r="AE2" s="28" t="s">
        <v>188</v>
      </c>
      <c r="AF2" s="28" t="s">
        <v>188</v>
      </c>
      <c r="AG2" s="28" t="s">
        <v>188</v>
      </c>
      <c r="AH2" s="28" t="s">
        <v>188</v>
      </c>
      <c r="AI2" s="28" t="s">
        <v>188</v>
      </c>
      <c r="AJ2" s="28" t="s">
        <v>188</v>
      </c>
      <c r="AK2" s="28" t="s">
        <v>189</v>
      </c>
      <c r="AL2" s="28" t="s">
        <v>189</v>
      </c>
      <c r="AM2" s="28" t="s">
        <v>189</v>
      </c>
      <c r="AN2" s="28" t="s">
        <v>189</v>
      </c>
      <c r="AO2" s="28" t="s">
        <v>189</v>
      </c>
      <c r="AP2" s="28" t="s">
        <v>189</v>
      </c>
      <c r="AQ2" s="28" t="s">
        <v>189</v>
      </c>
      <c r="AR2" s="29" t="s">
        <v>181</v>
      </c>
      <c r="AS2" s="29" t="s">
        <v>190</v>
      </c>
      <c r="AT2" s="29" t="s">
        <v>190</v>
      </c>
      <c r="AU2" s="29" t="s">
        <v>190</v>
      </c>
      <c r="AV2" s="29" t="s">
        <v>190</v>
      </c>
      <c r="AW2" s="29" t="s">
        <v>191</v>
      </c>
      <c r="AX2" s="29" t="s">
        <v>191</v>
      </c>
      <c r="AY2" s="29" t="s">
        <v>192</v>
      </c>
      <c r="AZ2" s="29" t="s">
        <v>192</v>
      </c>
      <c r="BA2" s="29" t="s">
        <v>193</v>
      </c>
      <c r="BB2" s="29" t="s">
        <v>193</v>
      </c>
      <c r="BC2" s="29" t="s">
        <v>193</v>
      </c>
      <c r="BD2" s="29" t="s">
        <v>193</v>
      </c>
      <c r="BE2" s="29" t="s">
        <v>193</v>
      </c>
      <c r="BF2" s="29" t="s">
        <v>193</v>
      </c>
      <c r="BG2" s="29" t="s">
        <v>194</v>
      </c>
      <c r="BH2" s="29" t="s">
        <v>194</v>
      </c>
      <c r="BI2" s="29" t="s">
        <v>195</v>
      </c>
      <c r="BJ2" s="30" t="s">
        <v>196</v>
      </c>
      <c r="BK2" s="30" t="s">
        <v>197</v>
      </c>
      <c r="BL2" s="30" t="s">
        <v>197</v>
      </c>
      <c r="BM2" s="30" t="s">
        <v>197</v>
      </c>
      <c r="BN2" s="30" t="s">
        <v>197</v>
      </c>
      <c r="BO2" s="30" t="s">
        <v>197</v>
      </c>
      <c r="BP2" s="30" t="s">
        <v>197</v>
      </c>
      <c r="BQ2" s="30" t="s">
        <v>197</v>
      </c>
      <c r="BR2" s="30" t="s">
        <v>197</v>
      </c>
      <c r="BS2" s="30" t="s">
        <v>197</v>
      </c>
      <c r="BT2" s="30" t="s">
        <v>197</v>
      </c>
      <c r="BU2" s="5"/>
      <c r="BV2" s="31"/>
      <c r="BW2" s="91" t="s">
        <v>198</v>
      </c>
      <c r="BX2" s="88"/>
      <c r="BY2" s="88"/>
      <c r="BZ2" s="91" t="s">
        <v>199</v>
      </c>
      <c r="CA2" s="88"/>
      <c r="CB2" s="88"/>
      <c r="CC2" s="14" t="s">
        <v>200</v>
      </c>
      <c r="CD2" s="16"/>
      <c r="CE2" s="16"/>
      <c r="CF2" s="16"/>
      <c r="CG2" s="16"/>
      <c r="CH2" s="16"/>
      <c r="CI2" s="16"/>
      <c r="CJ2" s="16"/>
      <c r="CK2" s="16"/>
      <c r="CL2" s="91" t="s">
        <v>198</v>
      </c>
      <c r="CM2" s="88"/>
      <c r="CN2" s="88"/>
      <c r="CO2" s="91" t="s">
        <v>199</v>
      </c>
      <c r="CP2" s="88"/>
      <c r="CQ2" s="88"/>
      <c r="CR2" s="14" t="s">
        <v>200</v>
      </c>
      <c r="CS2" s="16"/>
      <c r="CT2" s="16"/>
      <c r="CU2" s="16"/>
      <c r="CV2" s="16"/>
      <c r="CW2" s="16"/>
      <c r="CX2" s="16"/>
      <c r="CY2" s="16"/>
      <c r="CZ2" s="16"/>
      <c r="DA2" s="91" t="s">
        <v>198</v>
      </c>
      <c r="DB2" s="88"/>
      <c r="DC2" s="88"/>
      <c r="DD2" s="91" t="s">
        <v>199</v>
      </c>
      <c r="DE2" s="88"/>
      <c r="DF2" s="88"/>
      <c r="DG2" s="14" t="s">
        <v>200</v>
      </c>
      <c r="DH2" s="16"/>
      <c r="DI2" s="16"/>
      <c r="DJ2" s="16"/>
      <c r="DK2" s="16"/>
      <c r="DL2" s="16"/>
      <c r="DM2" s="16"/>
      <c r="DN2" s="16"/>
      <c r="DO2" s="16"/>
      <c r="DP2" s="32"/>
      <c r="DQ2" s="94" t="s">
        <v>198</v>
      </c>
      <c r="DR2" s="88"/>
      <c r="DS2" s="88"/>
      <c r="DT2" s="94" t="s">
        <v>199</v>
      </c>
      <c r="DU2" s="88"/>
      <c r="DV2" s="88"/>
      <c r="DW2" s="12" t="s">
        <v>200</v>
      </c>
      <c r="DX2" s="19"/>
      <c r="DY2" s="19"/>
      <c r="DZ2" s="19"/>
      <c r="EA2" s="19"/>
      <c r="EB2" s="19"/>
      <c r="EC2" s="19"/>
      <c r="ED2" s="19"/>
      <c r="EE2" s="19"/>
      <c r="EF2" s="94" t="s">
        <v>198</v>
      </c>
      <c r="EG2" s="88"/>
      <c r="EH2" s="88"/>
      <c r="EI2" s="94" t="s">
        <v>199</v>
      </c>
      <c r="EJ2" s="88"/>
      <c r="EK2" s="88"/>
      <c r="EL2" s="12" t="s">
        <v>200</v>
      </c>
      <c r="EM2" s="19"/>
      <c r="EN2" s="19"/>
      <c r="EO2" s="19"/>
      <c r="EP2" s="19"/>
      <c r="EQ2" s="19"/>
      <c r="ER2" s="19"/>
      <c r="ES2" s="19"/>
      <c r="ET2" s="19"/>
      <c r="EU2" s="94" t="s">
        <v>198</v>
      </c>
      <c r="EV2" s="88"/>
      <c r="EW2" s="88"/>
      <c r="EX2" s="94" t="s">
        <v>199</v>
      </c>
      <c r="EY2" s="88"/>
      <c r="EZ2" s="88"/>
      <c r="FA2" s="12" t="s">
        <v>200</v>
      </c>
      <c r="FB2" s="19"/>
      <c r="FC2" s="19"/>
      <c r="FD2" s="19"/>
      <c r="FE2" s="19"/>
      <c r="FF2" s="19"/>
      <c r="FG2" s="19"/>
      <c r="FH2" s="19"/>
      <c r="FI2" s="19"/>
      <c r="FJ2" s="33"/>
      <c r="FK2" s="89" t="s">
        <v>198</v>
      </c>
      <c r="FL2" s="88"/>
      <c r="FM2" s="88"/>
      <c r="FN2" s="89" t="s">
        <v>199</v>
      </c>
      <c r="FO2" s="88"/>
      <c r="FP2" s="88"/>
      <c r="FQ2" s="21" t="s">
        <v>200</v>
      </c>
      <c r="FR2" s="23"/>
      <c r="FS2" s="23"/>
      <c r="FT2" s="23"/>
      <c r="FU2" s="23"/>
      <c r="FV2" s="23"/>
      <c r="FW2" s="23"/>
      <c r="FX2" s="23"/>
      <c r="FY2" s="23"/>
      <c r="FZ2" s="89" t="s">
        <v>198</v>
      </c>
      <c r="GA2" s="88"/>
      <c r="GB2" s="88"/>
      <c r="GC2" s="89" t="s">
        <v>199</v>
      </c>
      <c r="GD2" s="88"/>
      <c r="GE2" s="88"/>
      <c r="GF2" s="21" t="s">
        <v>200</v>
      </c>
      <c r="GG2" s="23"/>
      <c r="GH2" s="23"/>
      <c r="GI2" s="23"/>
      <c r="GJ2" s="23"/>
      <c r="GK2" s="23"/>
      <c r="GL2" s="23"/>
      <c r="GM2" s="23"/>
      <c r="GN2" s="23"/>
      <c r="GO2" s="89" t="s">
        <v>198</v>
      </c>
      <c r="GP2" s="88"/>
      <c r="GQ2" s="88"/>
      <c r="GR2" s="89" t="s">
        <v>199</v>
      </c>
      <c r="GS2" s="88"/>
      <c r="GT2" s="88"/>
      <c r="GU2" s="21" t="s">
        <v>200</v>
      </c>
      <c r="GV2" s="23"/>
      <c r="GW2" s="23"/>
      <c r="GX2" s="23"/>
      <c r="GY2" s="23"/>
      <c r="GZ2" s="23"/>
      <c r="HA2" s="23"/>
      <c r="HB2" s="23"/>
      <c r="HC2" s="23"/>
      <c r="HD2" s="34"/>
      <c r="HE2" s="90" t="s">
        <v>198</v>
      </c>
      <c r="HF2" s="88"/>
      <c r="HG2" s="88"/>
      <c r="HH2" s="90" t="s">
        <v>199</v>
      </c>
      <c r="HI2" s="88"/>
      <c r="HJ2" s="88"/>
      <c r="HK2" s="25" t="s">
        <v>200</v>
      </c>
      <c r="HL2" s="27"/>
      <c r="HM2" s="27"/>
      <c r="HN2" s="27"/>
      <c r="HO2" s="27"/>
      <c r="HP2" s="27"/>
      <c r="HQ2" s="27"/>
      <c r="HR2" s="27"/>
      <c r="HS2" s="27"/>
      <c r="HT2" s="90" t="s">
        <v>198</v>
      </c>
      <c r="HU2" s="88"/>
      <c r="HV2" s="88"/>
      <c r="HW2" s="90" t="s">
        <v>199</v>
      </c>
      <c r="HX2" s="88"/>
      <c r="HY2" s="88"/>
      <c r="HZ2" s="25" t="s">
        <v>200</v>
      </c>
      <c r="IA2" s="27"/>
      <c r="IB2" s="27"/>
      <c r="IC2" s="27"/>
      <c r="ID2" s="27"/>
      <c r="IE2" s="27"/>
      <c r="IF2" s="27"/>
      <c r="IG2" s="27"/>
      <c r="IH2" s="27"/>
      <c r="II2" s="90" t="s">
        <v>198</v>
      </c>
      <c r="IJ2" s="88"/>
      <c r="IK2" s="88"/>
      <c r="IL2" s="90" t="s">
        <v>199</v>
      </c>
      <c r="IM2" s="88"/>
      <c r="IN2" s="88"/>
      <c r="IO2" s="25" t="s">
        <v>200</v>
      </c>
      <c r="IP2" s="27"/>
      <c r="IQ2" s="27"/>
      <c r="IR2" s="27"/>
      <c r="IS2" s="27"/>
      <c r="IT2" s="27"/>
      <c r="IU2" s="27"/>
      <c r="IV2" s="27"/>
      <c r="IW2" s="27"/>
    </row>
    <row r="3" spans="1:257" ht="31.5" customHeight="1" x14ac:dyDescent="0.3">
      <c r="A3" s="35" t="s">
        <v>201</v>
      </c>
      <c r="B3" s="36" t="s">
        <v>202</v>
      </c>
      <c r="C3" s="36" t="s">
        <v>203</v>
      </c>
      <c r="D3" s="36" t="s">
        <v>204</v>
      </c>
      <c r="E3" s="36" t="s">
        <v>205</v>
      </c>
      <c r="F3" s="36" t="s">
        <v>206</v>
      </c>
      <c r="G3" s="36" t="s">
        <v>207</v>
      </c>
      <c r="H3" s="36" t="s">
        <v>208</v>
      </c>
      <c r="I3" s="35" t="s">
        <v>209</v>
      </c>
      <c r="J3" s="36"/>
      <c r="K3" s="36" t="s">
        <v>210</v>
      </c>
      <c r="L3" s="35" t="s">
        <v>133</v>
      </c>
      <c r="M3" s="36" t="s">
        <v>211</v>
      </c>
      <c r="N3" s="35" t="s">
        <v>68</v>
      </c>
      <c r="O3" s="36" t="s">
        <v>212</v>
      </c>
      <c r="P3" s="35" t="s">
        <v>213</v>
      </c>
      <c r="Q3" s="36" t="s">
        <v>214</v>
      </c>
      <c r="R3" s="36" t="s">
        <v>215</v>
      </c>
      <c r="S3" s="35" t="s">
        <v>216</v>
      </c>
      <c r="T3" s="36" t="s">
        <v>217</v>
      </c>
      <c r="U3" s="36" t="s">
        <v>218</v>
      </c>
      <c r="V3" s="36" t="s">
        <v>219</v>
      </c>
      <c r="W3" s="36" t="s">
        <v>220</v>
      </c>
      <c r="X3" s="36" t="s">
        <v>221</v>
      </c>
      <c r="Y3" s="35" t="s">
        <v>222</v>
      </c>
      <c r="Z3" s="36" t="s">
        <v>223</v>
      </c>
      <c r="AA3" s="36" t="s">
        <v>224</v>
      </c>
      <c r="AB3" s="36" t="s">
        <v>225</v>
      </c>
      <c r="AC3" s="36" t="s">
        <v>226</v>
      </c>
      <c r="AD3" s="36" t="s">
        <v>227</v>
      </c>
      <c r="AE3" s="36" t="s">
        <v>228</v>
      </c>
      <c r="AF3" s="36" t="s">
        <v>229</v>
      </c>
      <c r="AG3" s="36" t="s">
        <v>230</v>
      </c>
      <c r="AH3" s="36" t="s">
        <v>231</v>
      </c>
      <c r="AI3" s="36" t="s">
        <v>232</v>
      </c>
      <c r="AJ3" s="36" t="s">
        <v>233</v>
      </c>
      <c r="AK3" s="35" t="s">
        <v>234</v>
      </c>
      <c r="AL3" s="36" t="s">
        <v>235</v>
      </c>
      <c r="AM3" s="36" t="s">
        <v>236</v>
      </c>
      <c r="AN3" s="36" t="s">
        <v>237</v>
      </c>
      <c r="AO3" s="36" t="s">
        <v>238</v>
      </c>
      <c r="AP3" s="36" t="s">
        <v>239</v>
      </c>
      <c r="AQ3" s="36" t="s">
        <v>240</v>
      </c>
      <c r="AR3" s="37" t="s">
        <v>241</v>
      </c>
      <c r="AS3" s="38" t="s">
        <v>242</v>
      </c>
      <c r="AT3" s="38" t="s">
        <v>243</v>
      </c>
      <c r="AU3" s="38" t="s">
        <v>244</v>
      </c>
      <c r="AV3" s="38" t="s">
        <v>47</v>
      </c>
      <c r="AW3" s="37" t="s">
        <v>123</v>
      </c>
      <c r="AX3" s="38" t="s">
        <v>96</v>
      </c>
      <c r="AY3" s="37" t="s">
        <v>89</v>
      </c>
      <c r="AZ3" s="38" t="s">
        <v>245</v>
      </c>
      <c r="BA3" s="37" t="s">
        <v>246</v>
      </c>
      <c r="BB3" s="38" t="s">
        <v>247</v>
      </c>
      <c r="BC3" s="38" t="s">
        <v>248</v>
      </c>
      <c r="BD3" s="38" t="s">
        <v>249</v>
      </c>
      <c r="BE3" s="38" t="s">
        <v>250</v>
      </c>
      <c r="BF3" s="38" t="s">
        <v>251</v>
      </c>
      <c r="BG3" s="37" t="s">
        <v>252</v>
      </c>
      <c r="BH3" s="38" t="s">
        <v>253</v>
      </c>
      <c r="BI3" s="37" t="s">
        <v>254</v>
      </c>
      <c r="BJ3" s="39" t="s">
        <v>255</v>
      </c>
      <c r="BK3" s="39" t="s">
        <v>256</v>
      </c>
      <c r="BL3" s="39" t="s">
        <v>257</v>
      </c>
      <c r="BM3" s="39" t="s">
        <v>258</v>
      </c>
      <c r="BN3" s="39" t="s">
        <v>259</v>
      </c>
      <c r="BO3" s="39" t="s">
        <v>260</v>
      </c>
      <c r="BP3" s="39" t="s">
        <v>261</v>
      </c>
      <c r="BQ3" s="39" t="s">
        <v>262</v>
      </c>
      <c r="BR3" s="39" t="s">
        <v>263</v>
      </c>
      <c r="BS3" s="39" t="s">
        <v>264</v>
      </c>
      <c r="BT3" s="39" t="s">
        <v>265</v>
      </c>
      <c r="BU3" s="40" t="s">
        <v>266</v>
      </c>
      <c r="BV3" s="41" t="s">
        <v>267</v>
      </c>
      <c r="BW3" s="41" t="s">
        <v>268</v>
      </c>
      <c r="BX3" s="41" t="s">
        <v>269</v>
      </c>
      <c r="BY3" s="41" t="s">
        <v>270</v>
      </c>
      <c r="BZ3" s="41" t="s">
        <v>271</v>
      </c>
      <c r="CA3" s="41" t="s">
        <v>269</v>
      </c>
      <c r="CB3" s="41" t="s">
        <v>270</v>
      </c>
      <c r="CC3" s="41" t="s">
        <v>272</v>
      </c>
      <c r="CD3" s="41" t="s">
        <v>269</v>
      </c>
      <c r="CE3" s="41" t="s">
        <v>270</v>
      </c>
      <c r="CF3" s="41" t="s">
        <v>273</v>
      </c>
      <c r="CG3" s="41" t="s">
        <v>274</v>
      </c>
      <c r="CH3" s="41" t="s">
        <v>275</v>
      </c>
      <c r="CI3" s="41" t="s">
        <v>276</v>
      </c>
      <c r="CJ3" s="41" t="s">
        <v>277</v>
      </c>
      <c r="CK3" s="41" t="s">
        <v>278</v>
      </c>
      <c r="CL3" s="41" t="s">
        <v>268</v>
      </c>
      <c r="CM3" s="41" t="s">
        <v>269</v>
      </c>
      <c r="CN3" s="41" t="s">
        <v>270</v>
      </c>
      <c r="CO3" s="41" t="s">
        <v>271</v>
      </c>
      <c r="CP3" s="41" t="s">
        <v>269</v>
      </c>
      <c r="CQ3" s="41" t="s">
        <v>270</v>
      </c>
      <c r="CR3" s="41" t="s">
        <v>272</v>
      </c>
      <c r="CS3" s="41" t="s">
        <v>269</v>
      </c>
      <c r="CT3" s="41" t="s">
        <v>270</v>
      </c>
      <c r="CU3" s="41" t="s">
        <v>273</v>
      </c>
      <c r="CV3" s="41" t="s">
        <v>274</v>
      </c>
      <c r="CW3" s="41" t="s">
        <v>275</v>
      </c>
      <c r="CX3" s="41" t="s">
        <v>276</v>
      </c>
      <c r="CY3" s="41" t="s">
        <v>277</v>
      </c>
      <c r="CZ3" s="41" t="s">
        <v>278</v>
      </c>
      <c r="DA3" s="41" t="s">
        <v>268</v>
      </c>
      <c r="DB3" s="41" t="s">
        <v>269</v>
      </c>
      <c r="DC3" s="41" t="s">
        <v>270</v>
      </c>
      <c r="DD3" s="41" t="s">
        <v>271</v>
      </c>
      <c r="DE3" s="41" t="s">
        <v>269</v>
      </c>
      <c r="DF3" s="41" t="s">
        <v>270</v>
      </c>
      <c r="DG3" s="41" t="s">
        <v>272</v>
      </c>
      <c r="DH3" s="41" t="s">
        <v>269</v>
      </c>
      <c r="DI3" s="41" t="s">
        <v>270</v>
      </c>
      <c r="DJ3" s="41" t="s">
        <v>273</v>
      </c>
      <c r="DK3" s="41" t="s">
        <v>274</v>
      </c>
      <c r="DL3" s="41" t="s">
        <v>275</v>
      </c>
      <c r="DM3" s="41" t="s">
        <v>276</v>
      </c>
      <c r="DN3" s="41" t="s">
        <v>277</v>
      </c>
      <c r="DO3" s="41" t="s">
        <v>278</v>
      </c>
      <c r="DP3" s="40" t="s">
        <v>279</v>
      </c>
      <c r="DQ3" s="40" t="s">
        <v>268</v>
      </c>
      <c r="DR3" s="40" t="s">
        <v>269</v>
      </c>
      <c r="DS3" s="40" t="s">
        <v>270</v>
      </c>
      <c r="DT3" s="40" t="s">
        <v>271</v>
      </c>
      <c r="DU3" s="40" t="s">
        <v>269</v>
      </c>
      <c r="DV3" s="40" t="s">
        <v>270</v>
      </c>
      <c r="DW3" s="40" t="s">
        <v>272</v>
      </c>
      <c r="DX3" s="40" t="s">
        <v>269</v>
      </c>
      <c r="DY3" s="40" t="s">
        <v>270</v>
      </c>
      <c r="DZ3" s="40" t="s">
        <v>273</v>
      </c>
      <c r="EA3" s="40" t="s">
        <v>274</v>
      </c>
      <c r="EB3" s="40" t="s">
        <v>275</v>
      </c>
      <c r="EC3" s="40" t="s">
        <v>276</v>
      </c>
      <c r="ED3" s="40" t="s">
        <v>277</v>
      </c>
      <c r="EE3" s="40" t="s">
        <v>278</v>
      </c>
      <c r="EF3" s="40" t="s">
        <v>268</v>
      </c>
      <c r="EG3" s="40" t="s">
        <v>269</v>
      </c>
      <c r="EH3" s="40" t="s">
        <v>270</v>
      </c>
      <c r="EI3" s="40" t="s">
        <v>271</v>
      </c>
      <c r="EJ3" s="40" t="s">
        <v>269</v>
      </c>
      <c r="EK3" s="40" t="s">
        <v>270</v>
      </c>
      <c r="EL3" s="40" t="s">
        <v>272</v>
      </c>
      <c r="EM3" s="40" t="s">
        <v>269</v>
      </c>
      <c r="EN3" s="40" t="s">
        <v>270</v>
      </c>
      <c r="EO3" s="40" t="s">
        <v>273</v>
      </c>
      <c r="EP3" s="40" t="s">
        <v>274</v>
      </c>
      <c r="EQ3" s="40" t="s">
        <v>275</v>
      </c>
      <c r="ER3" s="40" t="s">
        <v>276</v>
      </c>
      <c r="ES3" s="40" t="s">
        <v>277</v>
      </c>
      <c r="ET3" s="40" t="s">
        <v>278</v>
      </c>
      <c r="EU3" s="40" t="s">
        <v>268</v>
      </c>
      <c r="EV3" s="40" t="s">
        <v>269</v>
      </c>
      <c r="EW3" s="40" t="s">
        <v>270</v>
      </c>
      <c r="EX3" s="40" t="s">
        <v>271</v>
      </c>
      <c r="EY3" s="40" t="s">
        <v>269</v>
      </c>
      <c r="EZ3" s="40" t="s">
        <v>270</v>
      </c>
      <c r="FA3" s="40" t="s">
        <v>272</v>
      </c>
      <c r="FB3" s="40" t="s">
        <v>269</v>
      </c>
      <c r="FC3" s="40" t="s">
        <v>270</v>
      </c>
      <c r="FD3" s="40" t="s">
        <v>273</v>
      </c>
      <c r="FE3" s="40" t="s">
        <v>274</v>
      </c>
      <c r="FF3" s="40" t="s">
        <v>275</v>
      </c>
      <c r="FG3" s="40" t="s">
        <v>276</v>
      </c>
      <c r="FH3" s="40" t="s">
        <v>277</v>
      </c>
      <c r="FI3" s="40" t="s">
        <v>278</v>
      </c>
      <c r="FJ3" s="42" t="s">
        <v>280</v>
      </c>
      <c r="FK3" s="42" t="s">
        <v>268</v>
      </c>
      <c r="FL3" s="42" t="s">
        <v>269</v>
      </c>
      <c r="FM3" s="42" t="s">
        <v>270</v>
      </c>
      <c r="FN3" s="42" t="s">
        <v>271</v>
      </c>
      <c r="FO3" s="42" t="s">
        <v>269</v>
      </c>
      <c r="FP3" s="42" t="s">
        <v>270</v>
      </c>
      <c r="FQ3" s="42" t="s">
        <v>272</v>
      </c>
      <c r="FR3" s="42" t="s">
        <v>269</v>
      </c>
      <c r="FS3" s="42" t="s">
        <v>270</v>
      </c>
      <c r="FT3" s="42" t="s">
        <v>273</v>
      </c>
      <c r="FU3" s="42" t="s">
        <v>274</v>
      </c>
      <c r="FV3" s="42" t="s">
        <v>275</v>
      </c>
      <c r="FW3" s="42" t="s">
        <v>276</v>
      </c>
      <c r="FX3" s="42" t="s">
        <v>277</v>
      </c>
      <c r="FY3" s="42" t="s">
        <v>278</v>
      </c>
      <c r="FZ3" s="42" t="s">
        <v>268</v>
      </c>
      <c r="GA3" s="42" t="s">
        <v>269</v>
      </c>
      <c r="GB3" s="42" t="s">
        <v>270</v>
      </c>
      <c r="GC3" s="42" t="s">
        <v>271</v>
      </c>
      <c r="GD3" s="42" t="s">
        <v>269</v>
      </c>
      <c r="GE3" s="42" t="s">
        <v>270</v>
      </c>
      <c r="GF3" s="42" t="s">
        <v>272</v>
      </c>
      <c r="GG3" s="42" t="s">
        <v>269</v>
      </c>
      <c r="GH3" s="42" t="s">
        <v>270</v>
      </c>
      <c r="GI3" s="42" t="s">
        <v>273</v>
      </c>
      <c r="GJ3" s="42" t="s">
        <v>274</v>
      </c>
      <c r="GK3" s="42" t="s">
        <v>275</v>
      </c>
      <c r="GL3" s="42" t="s">
        <v>276</v>
      </c>
      <c r="GM3" s="42" t="s">
        <v>277</v>
      </c>
      <c r="GN3" s="42" t="s">
        <v>278</v>
      </c>
      <c r="GO3" s="42" t="s">
        <v>268</v>
      </c>
      <c r="GP3" s="42" t="s">
        <v>269</v>
      </c>
      <c r="GQ3" s="42" t="s">
        <v>270</v>
      </c>
      <c r="GR3" s="42" t="s">
        <v>271</v>
      </c>
      <c r="GS3" s="42" t="s">
        <v>269</v>
      </c>
      <c r="GT3" s="42" t="s">
        <v>270</v>
      </c>
      <c r="GU3" s="42" t="s">
        <v>272</v>
      </c>
      <c r="GV3" s="42" t="s">
        <v>269</v>
      </c>
      <c r="GW3" s="42" t="s">
        <v>270</v>
      </c>
      <c r="GX3" s="42" t="s">
        <v>273</v>
      </c>
      <c r="GY3" s="42" t="s">
        <v>274</v>
      </c>
      <c r="GZ3" s="42" t="s">
        <v>275</v>
      </c>
      <c r="HA3" s="42" t="s">
        <v>276</v>
      </c>
      <c r="HB3" s="42" t="s">
        <v>277</v>
      </c>
      <c r="HC3" s="42" t="s">
        <v>278</v>
      </c>
      <c r="HD3" s="43" t="s">
        <v>281</v>
      </c>
      <c r="HE3" s="43" t="s">
        <v>268</v>
      </c>
      <c r="HF3" s="43" t="s">
        <v>269</v>
      </c>
      <c r="HG3" s="43" t="s">
        <v>270</v>
      </c>
      <c r="HH3" s="43" t="s">
        <v>271</v>
      </c>
      <c r="HI3" s="43" t="s">
        <v>269</v>
      </c>
      <c r="HJ3" s="43" t="s">
        <v>270</v>
      </c>
      <c r="HK3" s="43" t="s">
        <v>272</v>
      </c>
      <c r="HL3" s="43" t="s">
        <v>269</v>
      </c>
      <c r="HM3" s="43" t="s">
        <v>270</v>
      </c>
      <c r="HN3" s="43" t="s">
        <v>273</v>
      </c>
      <c r="HO3" s="43" t="s">
        <v>274</v>
      </c>
      <c r="HP3" s="43" t="s">
        <v>275</v>
      </c>
      <c r="HQ3" s="43" t="s">
        <v>276</v>
      </c>
      <c r="HR3" s="43" t="s">
        <v>277</v>
      </c>
      <c r="HS3" s="43" t="s">
        <v>278</v>
      </c>
      <c r="HT3" s="43" t="s">
        <v>268</v>
      </c>
      <c r="HU3" s="43" t="s">
        <v>269</v>
      </c>
      <c r="HV3" s="43" t="s">
        <v>270</v>
      </c>
      <c r="HW3" s="43" t="s">
        <v>271</v>
      </c>
      <c r="HX3" s="43" t="s">
        <v>269</v>
      </c>
      <c r="HY3" s="43" t="s">
        <v>270</v>
      </c>
      <c r="HZ3" s="43" t="s">
        <v>272</v>
      </c>
      <c r="IA3" s="43" t="s">
        <v>269</v>
      </c>
      <c r="IB3" s="43" t="s">
        <v>270</v>
      </c>
      <c r="IC3" s="43" t="s">
        <v>273</v>
      </c>
      <c r="ID3" s="43" t="s">
        <v>274</v>
      </c>
      <c r="IE3" s="43" t="s">
        <v>275</v>
      </c>
      <c r="IF3" s="43" t="s">
        <v>276</v>
      </c>
      <c r="IG3" s="43" t="s">
        <v>277</v>
      </c>
      <c r="IH3" s="43" t="s">
        <v>278</v>
      </c>
      <c r="II3" s="43" t="s">
        <v>268</v>
      </c>
      <c r="IJ3" s="43" t="s">
        <v>269</v>
      </c>
      <c r="IK3" s="43" t="s">
        <v>270</v>
      </c>
      <c r="IL3" s="43" t="s">
        <v>271</v>
      </c>
      <c r="IM3" s="43" t="s">
        <v>269</v>
      </c>
      <c r="IN3" s="43" t="s">
        <v>270</v>
      </c>
      <c r="IO3" s="43" t="s">
        <v>272</v>
      </c>
      <c r="IP3" s="43" t="s">
        <v>269</v>
      </c>
      <c r="IQ3" s="43" t="s">
        <v>270</v>
      </c>
      <c r="IR3" s="43" t="s">
        <v>273</v>
      </c>
      <c r="IS3" s="43" t="s">
        <v>274</v>
      </c>
      <c r="IT3" s="43" t="s">
        <v>275</v>
      </c>
      <c r="IU3" s="43" t="s">
        <v>276</v>
      </c>
      <c r="IV3" s="43" t="s">
        <v>277</v>
      </c>
      <c r="IW3" s="43" t="s">
        <v>278</v>
      </c>
    </row>
    <row r="4" spans="1:257" ht="15" customHeight="1" x14ac:dyDescent="0.3">
      <c r="A4" t="str">
        <f>IFERROR(INDEX('DRAFT 1'!$A:$A,MATCH($B4,'DRAFT 1'!$B:$B,0)),"")</f>
        <v/>
      </c>
      <c r="B4" t="s">
        <v>282</v>
      </c>
      <c r="C4" t="str">
        <f>IFERROR(INDEX('DRAFT 1'!$C:$C,MATCH($B4,'DRAFT 1'!$B:$B,0)),"")</f>
        <v/>
      </c>
      <c r="D4" t="str">
        <f>IFERROR(INDEX('DRAFT 1'!$D:$D,MATCH($B4,'DRAFT 1'!$B:$B,0)),"")</f>
        <v/>
      </c>
      <c r="E4" t="str">
        <f>IFERROR(INDEX('DRAFT 1'!$E:$E,MATCH($B4,'DRAFT 1'!$B:$B,0)),"")</f>
        <v/>
      </c>
      <c r="F4" t="str">
        <f>IFERROR(INDEX('DRAFT 1'!$F:$F,MATCH($B4,'DRAFT 1'!$B:$B,0)),"")</f>
        <v/>
      </c>
      <c r="G4" t="str">
        <f>IFERROR(INDEX('DRAFT 1'!$G:$G,MATCH($B4,'DRAFT 1'!$B:$B,0)),"")</f>
        <v/>
      </c>
      <c r="H4" t="str">
        <f>IFERROR(INDEX('DRAFT 1'!$H:$H,MATCH($B4,'DRAFT 1'!$B:$B,0)),"")</f>
        <v/>
      </c>
      <c r="I4" t="s">
        <v>283</v>
      </c>
      <c r="K4" t="str">
        <f>IFERROR(INDEX('DRAFT 1'!$AL:$AL,MATCH($B4,'DRAFT 1'!$B:$B,0)),"")</f>
        <v/>
      </c>
      <c r="L4" t="str">
        <f>IFERROR(INDEX('DRAFT 1'!$J:$J,MATCH($B4,'DRAFT 1'!$B:$B,0)),"")</f>
        <v/>
      </c>
      <c r="M4" t="str">
        <f>IFERROR(INDEX('DRAFT 1'!$K:$K,MATCH($B4,'DRAFT 1'!$B:$B,0)),"")</f>
        <v/>
      </c>
      <c r="N4" t="s">
        <v>74</v>
      </c>
      <c r="O4">
        <f>IF(N4="EM RISCO",1,IF(N4="INAT.REC",2,IF(N4="ATIVO",3,IF(N4="INAT.ANT",4,5))))</f>
        <v>1</v>
      </c>
      <c r="P4" t="str">
        <f>IFERROR(INDEX('DRAFT 1'!$L:$L,MATCH($B4,'DRAFT 1'!$B:$B,0)),"")</f>
        <v/>
      </c>
      <c r="Q4" t="str">
        <f>IFERROR(INDEX('DRAFT 1'!$M:$M,MATCH($B4,'DRAFT 1'!$B:$B,0)),"")</f>
        <v/>
      </c>
      <c r="R4" t="str">
        <f>IFERROR(INDEX('DRAFT 1'!$N:$N,MATCH($B4,'DRAFT 1'!$B:$B,0)),"")</f>
        <v/>
      </c>
      <c r="S4" t="str">
        <f>IFERROR(INDEX('DRAFT 1'!$O:$O,MATCH($B4,'DRAFT 1'!$B:$B,0)),"")</f>
        <v/>
      </c>
      <c r="T4" t="str">
        <f>IFERROR(INDEX('DRAFT 1'!$P:$P,MATCH($B4,'DRAFT 1'!$B:$B,0)),"")</f>
        <v/>
      </c>
      <c r="U4" t="str">
        <f>IFERROR(INDEX('DRAFT 1'!$Q:$Q,MATCH($B4,'DRAFT 1'!$B:$B,0)),"")</f>
        <v/>
      </c>
      <c r="V4" t="str">
        <f>IFERROR(INDEX('DRAFT 1'!$R:$R,MATCH($B4,'DRAFT 1'!$B:$B,0)),"")</f>
        <v/>
      </c>
      <c r="W4" t="str">
        <f>IFERROR(INDEX('DRAFT 1'!$S:$S,MATCH($B4,'DRAFT 1'!$B:$B,0)),"")</f>
        <v/>
      </c>
      <c r="X4" t="str">
        <f>IFERROR(INDEX('DRAFT 1'!$T:$T,MATCH($B4,'DRAFT 1'!$B:$B,0)),"")</f>
        <v/>
      </c>
      <c r="Y4">
        <f>SUM(Z4:AJ4)</f>
        <v>0</v>
      </c>
      <c r="Z4" t="str">
        <f>IFERROR(INDEX('DRAFT 1'!$U:$U,MATCH($B4,'DRAFT 1'!$B:$B,0)),"")</f>
        <v/>
      </c>
      <c r="AA4" t="str">
        <f>IFERROR(INDEX('DRAFT 1'!$V:$V,MATCH($B4,'DRAFT 1'!$B:$B,0)),"")</f>
        <v/>
      </c>
      <c r="AB4" t="str">
        <f>IFERROR(INDEX('DRAFT 1'!$W:$W,MATCH($B4,'DRAFT 1'!$B:$B,0)),"")</f>
        <v/>
      </c>
      <c r="AC4" t="str">
        <f>IFERROR(INDEX('DRAFT 1'!$X:$X,MATCH($B4,'DRAFT 1'!$B:$B,0)),"")</f>
        <v/>
      </c>
      <c r="AD4" t="str">
        <f>IFERROR(INDEX('DRAFT 1'!$Y:$Y,MATCH($B4,'DRAFT 1'!$B:$B,0)),"")</f>
        <v/>
      </c>
      <c r="AE4" t="str">
        <f>IFERROR(INDEX('DRAFT 1'!$Z:$Z,MATCH($B4,'DRAFT 1'!$B:$B,0)),"")</f>
        <v/>
      </c>
      <c r="AF4" t="str">
        <f>IFERROR(INDEX('DRAFT 1'!$AA:$AA,MATCH($B4,'DRAFT 1'!$B:$B,0)),"")</f>
        <v/>
      </c>
      <c r="AG4" t="str">
        <f>IFERROR(INDEX('DRAFT 1'!$AB:$AB,MATCH($B4,'DRAFT 1'!$B:$B,0)),"")</f>
        <v/>
      </c>
      <c r="AH4" t="str">
        <f>IFERROR(INDEX('DRAFT 1'!$AC:$AC,MATCH($B4,'DRAFT 1'!$B:$B,0)),"")</f>
        <v/>
      </c>
      <c r="AI4" t="str">
        <f>IFERROR(INDEX('DRAFT 1'!$AD:$AD,MATCH($B4,'DRAFT 1'!$B:$B,0)),"")</f>
        <v/>
      </c>
      <c r="AJ4" t="str">
        <f>IFERROR(INDEX('DRAFT 1'!$AE:$AE,MATCH($B4,'DRAFT 1'!$B:$B,0)),"")</f>
        <v/>
      </c>
      <c r="AK4" t="str">
        <f>IFERROR(INDEX('DRAFT 1'!$AG:$AG,MATCH($B4,'DRAFT 1'!$B:$B,0)),"")</f>
        <v/>
      </c>
      <c r="AL4" t="str">
        <f>IFERROR(INDEX('DRAFT 1'!$AH:$AH,MATCH($B4,'DRAFT 1'!$B:$B,0)),"")</f>
        <v/>
      </c>
      <c r="AM4" t="str">
        <f>IFERROR(INDEX('DRAFT 1'!$AI:$AI,MATCH($B4,'DRAFT 1'!$B:$B,0)),"")</f>
        <v/>
      </c>
      <c r="AN4" t="str">
        <f>IFERROR(INDEX('DRAFT 1'!$AJ:$AJ,MATCH($B4,'DRAFT 1'!$B:$B,0)),"")</f>
        <v/>
      </c>
      <c r="AO4">
        <f t="shared" ref="AO4:AO35" si="0">IFERROR(Y4/AN4,0)</f>
        <v>0</v>
      </c>
      <c r="AP4" t="str">
        <f>IFERROR(INDEX('DRAFT 1'!$AK:$AK,MATCH($B4,'DRAFT 1'!$B:$B,0)),"")</f>
        <v/>
      </c>
      <c r="AR4" t="s">
        <v>93</v>
      </c>
      <c r="AS4" t="str">
        <f>IFERROR(LOOKUP(2,1/('DRAFT 2'!$D:$D=$B4),'DRAFT 2'!$T:$T),"")</f>
        <v/>
      </c>
      <c r="AT4" t="str">
        <f>IFERROR(LOOKUP(2,1/('DRAFT 2'!$D:$D=$B4),'DRAFT 2'!$A:$A),"")</f>
        <v/>
      </c>
      <c r="AU4" t="str">
        <f>IFERROR(LOOKUP(2,1/('DRAFT 2'!$D:$D=$B4),'DRAFT 2'!$R:$R),"")</f>
        <v/>
      </c>
      <c r="AV4" t="str">
        <f>IFERROR(LOOKUP(2,1/('DRAFT 2'!$D:$D=$B4),'DRAFT 2'!$S:$S),"")</f>
        <v/>
      </c>
      <c r="AW4" t="s">
        <v>85</v>
      </c>
      <c r="AX4" t="str">
        <f>IFERROR(LOOKUP(2,1/('DRAFT 2'!$D:$D=$B4),'DRAFT 2'!$M:$M),"")</f>
        <v/>
      </c>
      <c r="AY4" t="str">
        <f>IFERROR(LOOKUP(2,1/('DRAFT 2'!$D:$D=$B4),'DRAFT 2'!$K:$K),"")</f>
        <v/>
      </c>
      <c r="BA4" t="str">
        <f>IF(N4="PROSPECT","❄️ FRIO",IF(OR(AR4="ORÇAMENTO",AR4="NEGOCIAÇÃO",AR4="CADASTRO"),"🔥 QUENTE",IF(OR(AR4="FOLLOW UP 7",AR4="FOLLOW UP 15",AR4="ATENDIMENTO"),"⚡ MORNO","❄️ FRIO")))</f>
        <v>❄️ FRIO</v>
      </c>
      <c r="BB4" t="str">
        <f>IF(BE4="","",BE4-BC4)</f>
        <v/>
      </c>
      <c r="BG4" t="str">
        <f>IFERROR(LOOKUP(2,1/('DRAFT 2'!$D:$D=$B4),'DRAFT 2'!$U:$U),"")</f>
        <v/>
      </c>
      <c r="BH4" t="str">
        <f>IFERROR(LOOKUP(2,1/('DRAFT 2'!$D:$D=$B4),'DRAFT 2'!$V:$V),"")</f>
        <v/>
      </c>
      <c r="BI4" t="str">
        <f>IF(Q4="","🟣",IF(P4&lt;=IF(AK4="",45,AK4),"🟢",IF(P4&lt;=IF(AK4="",45,AK4)+30,"🟡","🔴")))</f>
        <v>🟣</v>
      </c>
      <c r="BJ4" t="s">
        <v>284</v>
      </c>
      <c r="BU4" s="44">
        <f>CR4</f>
        <v>1</v>
      </c>
      <c r="BV4" s="44">
        <f>AVERAGE(CC4,CR4,DG4)</f>
        <v>1</v>
      </c>
      <c r="BW4" s="45">
        <f>IF(BX4=0,1,BY4/BX4)</f>
        <v>1</v>
      </c>
      <c r="BX4" s="46"/>
      <c r="BY4" s="46"/>
      <c r="BZ4" s="45">
        <f>IF(CA4=0,1,CB4/CA4)</f>
        <v>1</v>
      </c>
      <c r="CA4" s="46"/>
      <c r="CB4" s="46"/>
      <c r="CC4" s="45">
        <f>IF(CD4=0,1,CE4/CD4)</f>
        <v>1</v>
      </c>
      <c r="CD4" s="46"/>
      <c r="CE4" s="46" t="str">
        <f t="shared" ref="CE4:CE35" si="1">IFERROR(AJ4,0)</f>
        <v/>
      </c>
      <c r="CF4" s="47" t="str">
        <f>IFERROR(LOOKUP(2,1/('DRAFT 2'!$D:$D=$B4)*('DRAFT 2'!$A:$A&gt;=DATE(2026,1,1))*('DRAFT 2'!$A:$A&lt;DATE(2026,IF(1=12,1+1,1+1),1)),'DRAFT 2'!$A:$A),"")</f>
        <v/>
      </c>
      <c r="CG4">
        <f>COUNTIFS('DRAFT 2'!$D:$D,$B4,'DRAFT 2'!$A:$A,"&gt;="&amp;DATE(2026,1,1),'DRAFT 2'!$A:$A,"&lt;="&amp;DATE(2026,1,7))</f>
        <v>0</v>
      </c>
      <c r="CH4">
        <f>COUNTIFS('DRAFT 2'!$D:$D,$B4,'DRAFT 2'!$A:$A,"&gt;="&amp;DATE(2026,1,8),'DRAFT 2'!$A:$A,"&lt;="&amp;DATE(2026,1,14))</f>
        <v>0</v>
      </c>
      <c r="CI4">
        <f>COUNTIFS('DRAFT 2'!$D:$D,$B4,'DRAFT 2'!$A:$A,"&gt;="&amp;DATE(2026,1,15),'DRAFT 2'!$A:$A,"&lt;="&amp;DATE(2026,1,21))</f>
        <v>0</v>
      </c>
      <c r="CJ4">
        <f>COUNTIFS('DRAFT 2'!$D:$D,$B4,'DRAFT 2'!$A:$A,"&gt;="&amp;DATE(2026,1,22),'DRAFT 2'!$A:$A,"&lt;"&amp;DATE(2026,IF(1=12,1+1,1+1),1))</f>
        <v>0</v>
      </c>
      <c r="CK4">
        <f t="shared" ref="CK4:CK35" si="2">SUM(CG4:CJ4)</f>
        <v>0</v>
      </c>
      <c r="CL4" s="45">
        <f>IF(CM4=0,1,CN4/CM4)</f>
        <v>1</v>
      </c>
      <c r="CM4" s="46"/>
      <c r="CN4" s="46"/>
      <c r="CO4" s="45">
        <f>IF(CP4=0,1,CQ4/CP4)</f>
        <v>1</v>
      </c>
      <c r="CP4" s="46"/>
      <c r="CQ4" s="46"/>
      <c r="CR4" s="45">
        <f>IF(CS4=0,1,CT4/CS4)</f>
        <v>1</v>
      </c>
      <c r="CS4" s="46"/>
      <c r="CT4" s="46">
        <v>0</v>
      </c>
      <c r="CU4" s="47" t="str">
        <f>IFERROR(LOOKUP(2,1/('DRAFT 2'!$D:$D=$B4)*('DRAFT 2'!$A:$A&gt;=DATE(2026,2,1))*('DRAFT 2'!$A:$A&lt;DATE(2026,IF(2=12,2+1,2+1),1)),'DRAFT 2'!$A:$A),"")</f>
        <v/>
      </c>
      <c r="CV4">
        <f>COUNTIFS('DRAFT 2'!$D:$D,$B4,'DRAFT 2'!$A:$A,"&gt;="&amp;DATE(2026,2,1),'DRAFT 2'!$A:$A,"&lt;="&amp;DATE(2026,2,7))</f>
        <v>0</v>
      </c>
      <c r="CW4">
        <f>COUNTIFS('DRAFT 2'!$D:$D,$B4,'DRAFT 2'!$A:$A,"&gt;="&amp;DATE(2026,2,8),'DRAFT 2'!$A:$A,"&lt;="&amp;DATE(2026,2,14))</f>
        <v>0</v>
      </c>
      <c r="CX4">
        <f>COUNTIFS('DRAFT 2'!$D:$D,$B4,'DRAFT 2'!$A:$A,"&gt;="&amp;DATE(2026,2,15),'DRAFT 2'!$A:$A,"&lt;="&amp;DATE(2026,2,21))</f>
        <v>0</v>
      </c>
      <c r="CY4">
        <f>COUNTIFS('DRAFT 2'!$D:$D,$B4,'DRAFT 2'!$A:$A,"&gt;="&amp;DATE(2026,2,22),'DRAFT 2'!$A:$A,"&lt;"&amp;DATE(2026,IF(2=12,2+1,2+1),1))</f>
        <v>0</v>
      </c>
      <c r="CZ4">
        <f t="shared" ref="CZ4:CZ35" si="3">SUM(CV4:CY4)</f>
        <v>0</v>
      </c>
      <c r="DA4" s="45">
        <f>IF(DB4=0,1,DC4/DB4)</f>
        <v>1</v>
      </c>
      <c r="DB4" s="46"/>
      <c r="DC4" s="46"/>
      <c r="DD4" s="45">
        <f>IF(DE4=0,1,DF4/DE4)</f>
        <v>1</v>
      </c>
      <c r="DE4" s="46"/>
      <c r="DF4" s="46"/>
      <c r="DG4" s="45">
        <f>IF(DH4=0,1,DI4/DH4)</f>
        <v>1</v>
      </c>
      <c r="DH4" s="46"/>
      <c r="DI4" s="46"/>
      <c r="DJ4" s="47" t="str">
        <f>IFERROR(LOOKUP(2,1/('DRAFT 2'!$D:$D=$B4)*('DRAFT 2'!$A:$A&gt;=DATE(2026,3,1))*('DRAFT 2'!$A:$A&lt;DATE(2026,IF(3=12,3+1,3+1),1)),'DRAFT 2'!$A:$A),"")</f>
        <v/>
      </c>
      <c r="DK4">
        <f>COUNTIFS('DRAFT 2'!$D:$D,$B4,'DRAFT 2'!$A:$A,"&gt;="&amp;DATE(2026,3,1),'DRAFT 2'!$A:$A,"&lt;="&amp;DATE(2026,3,7))</f>
        <v>0</v>
      </c>
      <c r="DL4">
        <f>COUNTIFS('DRAFT 2'!$D:$D,$B4,'DRAFT 2'!$A:$A,"&gt;="&amp;DATE(2026,3,8),'DRAFT 2'!$A:$A,"&lt;="&amp;DATE(2026,3,14))</f>
        <v>0</v>
      </c>
      <c r="DM4">
        <f>COUNTIFS('DRAFT 2'!$D:$D,$B4,'DRAFT 2'!$A:$A,"&gt;="&amp;DATE(2026,3,15),'DRAFT 2'!$A:$A,"&lt;="&amp;DATE(2026,3,21))</f>
        <v>0</v>
      </c>
      <c r="DN4">
        <f>COUNTIFS('DRAFT 2'!$D:$D,$B4,'DRAFT 2'!$A:$A,"&gt;="&amp;DATE(2026,3,22),'DRAFT 2'!$A:$A,"&lt;"&amp;DATE(2026,IF(3=12,3+1,3+1),1))</f>
        <v>0</v>
      </c>
      <c r="DO4">
        <f t="shared" ref="DO4:DO35" si="4">SUM(DK4:DN4)</f>
        <v>0</v>
      </c>
      <c r="DP4" s="44">
        <f>AVERAGE(DW4,EL4,FA4)</f>
        <v>1</v>
      </c>
      <c r="DQ4" s="48">
        <f>IF(DR4=0,1,DS4/DR4)</f>
        <v>1</v>
      </c>
      <c r="DR4" s="46"/>
      <c r="DS4" s="46"/>
      <c r="DT4" s="48">
        <f>IF(DU4=0,1,DV4/DU4)</f>
        <v>1</v>
      </c>
      <c r="DU4" s="46"/>
      <c r="DV4" s="46"/>
      <c r="DW4" s="48">
        <f>IF(DX4=0,1,DY4/DX4)</f>
        <v>1</v>
      </c>
      <c r="DX4" s="46"/>
      <c r="DY4" s="46"/>
      <c r="DZ4" s="47" t="str">
        <f>IFERROR(LOOKUP(2,1/('DRAFT 2'!$D:$D=$B4)*('DRAFT 2'!$A:$A&gt;=DATE(2026,4,1))*('DRAFT 2'!$A:$A&lt;DATE(2026,IF(4=12,4+1,4+1),1)),'DRAFT 2'!$A:$A),"")</f>
        <v/>
      </c>
      <c r="EA4">
        <f>COUNTIFS('DRAFT 2'!$D:$D,$B4,'DRAFT 2'!$A:$A,"&gt;="&amp;DATE(2026,4,1),'DRAFT 2'!$A:$A,"&lt;="&amp;DATE(2026,4,7))</f>
        <v>0</v>
      </c>
      <c r="EB4">
        <f>COUNTIFS('DRAFT 2'!$D:$D,$B4,'DRAFT 2'!$A:$A,"&gt;="&amp;DATE(2026,4,8),'DRAFT 2'!$A:$A,"&lt;="&amp;DATE(2026,4,14))</f>
        <v>0</v>
      </c>
      <c r="EC4">
        <f>COUNTIFS('DRAFT 2'!$D:$D,$B4,'DRAFT 2'!$A:$A,"&gt;="&amp;DATE(2026,4,15),'DRAFT 2'!$A:$A,"&lt;="&amp;DATE(2026,4,21))</f>
        <v>0</v>
      </c>
      <c r="ED4">
        <f>COUNTIFS('DRAFT 2'!$D:$D,$B4,'DRAFT 2'!$A:$A,"&gt;="&amp;DATE(2026,4,22),'DRAFT 2'!$A:$A,"&lt;"&amp;DATE(2026,IF(4=12,4+1,4+1),1))</f>
        <v>0</v>
      </c>
      <c r="EE4">
        <f t="shared" ref="EE4:EE35" si="5">SUM(EA4:ED4)</f>
        <v>0</v>
      </c>
      <c r="EF4" s="48">
        <f>IF(EG4=0,1,EH4/EG4)</f>
        <v>1</v>
      </c>
      <c r="EG4" s="46"/>
      <c r="EH4" s="46"/>
      <c r="EI4" s="48">
        <f>IF(EJ4=0,1,EK4/EJ4)</f>
        <v>1</v>
      </c>
      <c r="EJ4" s="46"/>
      <c r="EK4" s="46"/>
      <c r="EL4" s="48">
        <f>IF(EM4=0,1,EN4/EM4)</f>
        <v>1</v>
      </c>
      <c r="EM4" s="46"/>
      <c r="EN4" s="46"/>
      <c r="EO4" s="47" t="str">
        <f>IFERROR(LOOKUP(2,1/('DRAFT 2'!$D:$D=$B4)*('DRAFT 2'!$A:$A&gt;=DATE(2026,5,1))*('DRAFT 2'!$A:$A&lt;DATE(2026,IF(5=12,5+1,5+1),1)),'DRAFT 2'!$A:$A),"")</f>
        <v/>
      </c>
      <c r="EP4">
        <f>COUNTIFS('DRAFT 2'!$D:$D,$B4,'DRAFT 2'!$A:$A,"&gt;="&amp;DATE(2026,5,1),'DRAFT 2'!$A:$A,"&lt;="&amp;DATE(2026,5,7))</f>
        <v>0</v>
      </c>
      <c r="EQ4">
        <f>COUNTIFS('DRAFT 2'!$D:$D,$B4,'DRAFT 2'!$A:$A,"&gt;="&amp;DATE(2026,5,8),'DRAFT 2'!$A:$A,"&lt;="&amp;DATE(2026,5,14))</f>
        <v>0</v>
      </c>
      <c r="ER4">
        <f>COUNTIFS('DRAFT 2'!$D:$D,$B4,'DRAFT 2'!$A:$A,"&gt;="&amp;DATE(2026,5,15),'DRAFT 2'!$A:$A,"&lt;="&amp;DATE(2026,5,21))</f>
        <v>0</v>
      </c>
      <c r="ES4">
        <f>COUNTIFS('DRAFT 2'!$D:$D,$B4,'DRAFT 2'!$A:$A,"&gt;="&amp;DATE(2026,5,22),'DRAFT 2'!$A:$A,"&lt;"&amp;DATE(2026,IF(5=12,5+1,5+1),1))</f>
        <v>0</v>
      </c>
      <c r="ET4">
        <f t="shared" ref="ET4:ET35" si="6">SUM(EP4:ES4)</f>
        <v>0</v>
      </c>
      <c r="EU4" s="48">
        <f>IF(EV4=0,1,EW4/EV4)</f>
        <v>1</v>
      </c>
      <c r="EV4" s="46"/>
      <c r="EW4" s="46"/>
      <c r="EX4" s="48">
        <f>IF(EY4=0,1,EZ4/EY4)</f>
        <v>1</v>
      </c>
      <c r="EY4" s="46"/>
      <c r="EZ4" s="46"/>
      <c r="FA4" s="48">
        <f>IF(FB4=0,1,FC4/FB4)</f>
        <v>1</v>
      </c>
      <c r="FB4" s="46"/>
      <c r="FC4" s="46"/>
      <c r="FD4" s="47" t="str">
        <f>IFERROR(LOOKUP(2,1/('DRAFT 2'!$D:$D=$B4)*('DRAFT 2'!$A:$A&gt;=DATE(2026,6,1))*('DRAFT 2'!$A:$A&lt;DATE(2026,IF(6=12,6+1,6+1),1)),'DRAFT 2'!$A:$A),"")</f>
        <v/>
      </c>
      <c r="FE4">
        <f>COUNTIFS('DRAFT 2'!$D:$D,$B4,'DRAFT 2'!$A:$A,"&gt;="&amp;DATE(2026,6,1),'DRAFT 2'!$A:$A,"&lt;="&amp;DATE(2026,6,7))</f>
        <v>0</v>
      </c>
      <c r="FF4">
        <f>COUNTIFS('DRAFT 2'!$D:$D,$B4,'DRAFT 2'!$A:$A,"&gt;="&amp;DATE(2026,6,8),'DRAFT 2'!$A:$A,"&lt;="&amp;DATE(2026,6,14))</f>
        <v>0</v>
      </c>
      <c r="FG4">
        <f>COUNTIFS('DRAFT 2'!$D:$D,$B4,'DRAFT 2'!$A:$A,"&gt;="&amp;DATE(2026,6,15),'DRAFT 2'!$A:$A,"&lt;="&amp;DATE(2026,6,21))</f>
        <v>0</v>
      </c>
      <c r="FH4">
        <f>COUNTIFS('DRAFT 2'!$D:$D,$B4,'DRAFT 2'!$A:$A,"&gt;="&amp;DATE(2026,6,22),'DRAFT 2'!$A:$A,"&lt;"&amp;DATE(2026,IF(6=12,6+1,6+1),1))</f>
        <v>0</v>
      </c>
      <c r="FI4">
        <f t="shared" ref="FI4:FI35" si="7">SUM(FE4:FH4)</f>
        <v>0</v>
      </c>
      <c r="FJ4" s="44">
        <f>AVERAGE(FQ4,GF4,GU4)</f>
        <v>1</v>
      </c>
      <c r="FK4" s="49">
        <f>IF(FL4=0,1,FM4/FL4)</f>
        <v>1</v>
      </c>
      <c r="FL4" s="46"/>
      <c r="FM4" s="46"/>
      <c r="FN4" s="49">
        <f>IF(FO4=0,1,FP4/FO4)</f>
        <v>1</v>
      </c>
      <c r="FO4" s="46"/>
      <c r="FP4" s="46"/>
      <c r="FQ4" s="49">
        <f>IF(FR4=0,1,FS4/FR4)</f>
        <v>1</v>
      </c>
      <c r="FR4" s="46"/>
      <c r="FS4" s="46"/>
      <c r="FT4" s="47" t="str">
        <f>IFERROR(LOOKUP(2,1/('DRAFT 2'!$D:$D=$B4)*('DRAFT 2'!$A:$A&gt;=DATE(2026,7,1))*('DRAFT 2'!$A:$A&lt;DATE(2026,IF(7=12,7+1,7+1),1)),'DRAFT 2'!$A:$A),"")</f>
        <v/>
      </c>
      <c r="FU4">
        <f>COUNTIFS('DRAFT 2'!$D:$D,$B4,'DRAFT 2'!$A:$A,"&gt;="&amp;DATE(2026,7,1),'DRAFT 2'!$A:$A,"&lt;="&amp;DATE(2026,7,7))</f>
        <v>0</v>
      </c>
      <c r="FV4">
        <f>COUNTIFS('DRAFT 2'!$D:$D,$B4,'DRAFT 2'!$A:$A,"&gt;="&amp;DATE(2026,7,8),'DRAFT 2'!$A:$A,"&lt;="&amp;DATE(2026,7,14))</f>
        <v>0</v>
      </c>
      <c r="FW4">
        <f>COUNTIFS('DRAFT 2'!$D:$D,$B4,'DRAFT 2'!$A:$A,"&gt;="&amp;DATE(2026,7,15),'DRAFT 2'!$A:$A,"&lt;="&amp;DATE(2026,7,21))</f>
        <v>0</v>
      </c>
      <c r="FX4">
        <f>COUNTIFS('DRAFT 2'!$D:$D,$B4,'DRAFT 2'!$A:$A,"&gt;="&amp;DATE(2026,7,22),'DRAFT 2'!$A:$A,"&lt;"&amp;DATE(2026,IF(7=12,7+1,7+1),1))</f>
        <v>0</v>
      </c>
      <c r="FY4">
        <f t="shared" ref="FY4:FY35" si="8">SUM(FU4:FX4)</f>
        <v>0</v>
      </c>
      <c r="FZ4" s="49">
        <f>IF(GA4=0,1,GB4/GA4)</f>
        <v>1</v>
      </c>
      <c r="GA4" s="46"/>
      <c r="GB4" s="46"/>
      <c r="GC4" s="49">
        <f>IF(GD4=0,1,GE4/GD4)</f>
        <v>1</v>
      </c>
      <c r="GD4" s="46"/>
      <c r="GE4" s="46"/>
      <c r="GF4" s="49">
        <f>IF(GG4=0,1,GH4/GG4)</f>
        <v>1</v>
      </c>
      <c r="GG4" s="46"/>
      <c r="GH4" s="46"/>
      <c r="GI4" s="47" t="str">
        <f>IFERROR(LOOKUP(2,1/('DRAFT 2'!$D:$D=$B4)*('DRAFT 2'!$A:$A&gt;=DATE(2026,8,1))*('DRAFT 2'!$A:$A&lt;DATE(2026,IF(8=12,8+1,8+1),1)),'DRAFT 2'!$A:$A),"")</f>
        <v/>
      </c>
      <c r="GJ4">
        <f>COUNTIFS('DRAFT 2'!$D:$D,$B4,'DRAFT 2'!$A:$A,"&gt;="&amp;DATE(2026,8,1),'DRAFT 2'!$A:$A,"&lt;="&amp;DATE(2026,8,7))</f>
        <v>0</v>
      </c>
      <c r="GK4">
        <f>COUNTIFS('DRAFT 2'!$D:$D,$B4,'DRAFT 2'!$A:$A,"&gt;="&amp;DATE(2026,8,8),'DRAFT 2'!$A:$A,"&lt;="&amp;DATE(2026,8,14))</f>
        <v>0</v>
      </c>
      <c r="GL4">
        <f>COUNTIFS('DRAFT 2'!$D:$D,$B4,'DRAFT 2'!$A:$A,"&gt;="&amp;DATE(2026,8,15),'DRAFT 2'!$A:$A,"&lt;="&amp;DATE(2026,8,21))</f>
        <v>0</v>
      </c>
      <c r="GM4">
        <f>COUNTIFS('DRAFT 2'!$D:$D,$B4,'DRAFT 2'!$A:$A,"&gt;="&amp;DATE(2026,8,22),'DRAFT 2'!$A:$A,"&lt;"&amp;DATE(2026,IF(8=12,8+1,8+1),1))</f>
        <v>0</v>
      </c>
      <c r="GN4">
        <f t="shared" ref="GN4:GN35" si="9">SUM(GJ4:GM4)</f>
        <v>0</v>
      </c>
      <c r="GO4" s="49">
        <f>IF(GP4=0,1,GQ4/GP4)</f>
        <v>1</v>
      </c>
      <c r="GP4" s="46"/>
      <c r="GQ4" s="46"/>
      <c r="GR4" s="49">
        <f>IF(GS4=0,1,GT4/GS4)</f>
        <v>1</v>
      </c>
      <c r="GS4" s="46"/>
      <c r="GT4" s="46"/>
      <c r="GU4" s="49">
        <f>IF(GV4=0,1,GW4/GV4)</f>
        <v>1</v>
      </c>
      <c r="GV4" s="46"/>
      <c r="GW4" s="46"/>
      <c r="GX4" s="47" t="str">
        <f>IFERROR(LOOKUP(2,1/('DRAFT 2'!$D:$D=$B4)*('DRAFT 2'!$A:$A&gt;=DATE(2026,9,1))*('DRAFT 2'!$A:$A&lt;DATE(2026,IF(9=12,9+1,9+1),1)),'DRAFT 2'!$A:$A),"")</f>
        <v/>
      </c>
      <c r="GY4">
        <f>COUNTIFS('DRAFT 2'!$D:$D,$B4,'DRAFT 2'!$A:$A,"&gt;="&amp;DATE(2026,9,1),'DRAFT 2'!$A:$A,"&lt;="&amp;DATE(2026,9,7))</f>
        <v>0</v>
      </c>
      <c r="GZ4">
        <f>COUNTIFS('DRAFT 2'!$D:$D,$B4,'DRAFT 2'!$A:$A,"&gt;="&amp;DATE(2026,9,8),'DRAFT 2'!$A:$A,"&lt;="&amp;DATE(2026,9,14))</f>
        <v>0</v>
      </c>
      <c r="HA4">
        <f>COUNTIFS('DRAFT 2'!$D:$D,$B4,'DRAFT 2'!$A:$A,"&gt;="&amp;DATE(2026,9,15),'DRAFT 2'!$A:$A,"&lt;="&amp;DATE(2026,9,21))</f>
        <v>0</v>
      </c>
      <c r="HB4">
        <f>COUNTIFS('DRAFT 2'!$D:$D,$B4,'DRAFT 2'!$A:$A,"&gt;="&amp;DATE(2026,9,22),'DRAFT 2'!$A:$A,"&lt;"&amp;DATE(2026,IF(9=12,9+1,9+1),1))</f>
        <v>0</v>
      </c>
      <c r="HC4">
        <f t="shared" ref="HC4:HC35" si="10">SUM(GY4:HB4)</f>
        <v>0</v>
      </c>
      <c r="HD4" s="44">
        <f>AVERAGE(HK4,HZ4,IO4)</f>
        <v>1</v>
      </c>
      <c r="HE4" s="50">
        <f>IF(HF4=0,1,HG4/HF4)</f>
        <v>1</v>
      </c>
      <c r="HF4" s="46"/>
      <c r="HG4" s="46"/>
      <c r="HH4" s="50">
        <f>IF(HI4=0,1,HJ4/HI4)</f>
        <v>1</v>
      </c>
      <c r="HI4" s="46"/>
      <c r="HJ4" s="46"/>
      <c r="HK4" s="50">
        <f>IF(HL4=0,1,HM4/HL4)</f>
        <v>1</v>
      </c>
      <c r="HL4" s="46"/>
      <c r="HM4" s="46"/>
      <c r="HN4" s="47" t="str">
        <f>IFERROR(LOOKUP(2,1/('DRAFT 2'!$D:$D=$B4)*('DRAFT 2'!$A:$A&gt;=DATE(2026,10,1))*('DRAFT 2'!$A:$A&lt;DATE(2026,IF(10=12,10+1,10+1),1)),'DRAFT 2'!$A:$A),"")</f>
        <v/>
      </c>
      <c r="HO4">
        <f>COUNTIFS('DRAFT 2'!$D:$D,$B4,'DRAFT 2'!$A:$A,"&gt;="&amp;DATE(2026,10,1),'DRAFT 2'!$A:$A,"&lt;="&amp;DATE(2026,10,7))</f>
        <v>0</v>
      </c>
      <c r="HP4">
        <f>COUNTIFS('DRAFT 2'!$D:$D,$B4,'DRAFT 2'!$A:$A,"&gt;="&amp;DATE(2026,10,8),'DRAFT 2'!$A:$A,"&lt;="&amp;DATE(2026,10,14))</f>
        <v>0</v>
      </c>
      <c r="HQ4">
        <f>COUNTIFS('DRAFT 2'!$D:$D,$B4,'DRAFT 2'!$A:$A,"&gt;="&amp;DATE(2026,10,15),'DRAFT 2'!$A:$A,"&lt;="&amp;DATE(2026,10,21))</f>
        <v>0</v>
      </c>
      <c r="HR4">
        <f>COUNTIFS('DRAFT 2'!$D:$D,$B4,'DRAFT 2'!$A:$A,"&gt;="&amp;DATE(2026,10,22),'DRAFT 2'!$A:$A,"&lt;"&amp;DATE(2026,IF(10=12,10+1,10+1),1))</f>
        <v>0</v>
      </c>
      <c r="HS4">
        <f t="shared" ref="HS4:HS35" si="11">SUM(HO4:HR4)</f>
        <v>0</v>
      </c>
      <c r="HT4" s="50">
        <f>IF(HU4=0,1,HV4/HU4)</f>
        <v>1</v>
      </c>
      <c r="HU4" s="46"/>
      <c r="HV4" s="46"/>
      <c r="HW4" s="50">
        <f>IF(HX4=0,1,HY4/HX4)</f>
        <v>1</v>
      </c>
      <c r="HX4" s="46"/>
      <c r="HY4" s="46"/>
      <c r="HZ4" s="50">
        <f>IF(IA4=0,1,IB4/IA4)</f>
        <v>1</v>
      </c>
      <c r="IA4" s="46"/>
      <c r="IB4" s="46"/>
      <c r="IC4" s="47" t="str">
        <f>IFERROR(LOOKUP(2,1/('DRAFT 2'!$D:$D=$B4)*('DRAFT 2'!$A:$A&gt;=DATE(2026,11,1))*('DRAFT 2'!$A:$A&lt;DATE(2026,IF(11=12,11+1,11+1),1)),'DRAFT 2'!$A:$A),"")</f>
        <v/>
      </c>
      <c r="ID4">
        <f>COUNTIFS('DRAFT 2'!$D:$D,$B4,'DRAFT 2'!$A:$A,"&gt;="&amp;DATE(2026,11,1),'DRAFT 2'!$A:$A,"&lt;="&amp;DATE(2026,11,7))</f>
        <v>0</v>
      </c>
      <c r="IE4">
        <f>COUNTIFS('DRAFT 2'!$D:$D,$B4,'DRAFT 2'!$A:$A,"&gt;="&amp;DATE(2026,11,8),'DRAFT 2'!$A:$A,"&lt;="&amp;DATE(2026,11,14))</f>
        <v>0</v>
      </c>
      <c r="IF4">
        <f>COUNTIFS('DRAFT 2'!$D:$D,$B4,'DRAFT 2'!$A:$A,"&gt;="&amp;DATE(2026,11,15),'DRAFT 2'!$A:$A,"&lt;="&amp;DATE(2026,11,21))</f>
        <v>0</v>
      </c>
      <c r="IG4">
        <f>COUNTIFS('DRAFT 2'!$D:$D,$B4,'DRAFT 2'!$A:$A,"&gt;="&amp;DATE(2026,11,22),'DRAFT 2'!$A:$A,"&lt;"&amp;DATE(2026,IF(11=12,11+1,11+1),1))</f>
        <v>0</v>
      </c>
      <c r="IH4">
        <f t="shared" ref="IH4:IH35" si="12">SUM(ID4:IG4)</f>
        <v>0</v>
      </c>
      <c r="II4" s="50">
        <f>IF(IJ4=0,1,IK4/IJ4)</f>
        <v>1</v>
      </c>
      <c r="IJ4" s="46"/>
      <c r="IK4" s="46"/>
      <c r="IL4" s="50">
        <f>IF(IM4=0,1,IN4/IM4)</f>
        <v>1</v>
      </c>
      <c r="IM4" s="46"/>
      <c r="IN4" s="46"/>
      <c r="IO4" s="50">
        <f>IF(IP4=0,1,IQ4/IP4)</f>
        <v>1</v>
      </c>
      <c r="IP4" s="46"/>
      <c r="IQ4" s="46"/>
      <c r="IR4" s="47" t="str">
        <f>IFERROR(LOOKUP(2,1/('DRAFT 2'!$D:$D=$B4)*('DRAFT 2'!$A:$A&gt;=DATE(2026,12,1))*('DRAFT 2'!$A:$A&lt;DATE(2026,IF(12=12,12+1,12+1),1)),'DRAFT 2'!$A:$A),"")</f>
        <v/>
      </c>
      <c r="IS4">
        <f>COUNTIFS('DRAFT 2'!$D:$D,$B4,'DRAFT 2'!$A:$A,"&gt;="&amp;DATE(2026,12,1),'DRAFT 2'!$A:$A,"&lt;="&amp;DATE(2026,12,7))</f>
        <v>0</v>
      </c>
      <c r="IT4">
        <f>COUNTIFS('DRAFT 2'!$D:$D,$B4,'DRAFT 2'!$A:$A,"&gt;="&amp;DATE(2026,12,8),'DRAFT 2'!$A:$A,"&lt;="&amp;DATE(2026,12,14))</f>
        <v>0</v>
      </c>
      <c r="IU4">
        <f>COUNTIFS('DRAFT 2'!$D:$D,$B4,'DRAFT 2'!$A:$A,"&gt;="&amp;DATE(2026,12,15),'DRAFT 2'!$A:$A,"&lt;="&amp;DATE(2026,12,21))</f>
        <v>0</v>
      </c>
      <c r="IV4">
        <f>COUNTIFS('DRAFT 2'!$D:$D,$B4,'DRAFT 2'!$A:$A,"&gt;="&amp;DATE(2026,12,22),'DRAFT 2'!$A:$A,"&lt;"&amp;DATE(2026,IF(12=12,12+1,12+1),1))</f>
        <v>0</v>
      </c>
      <c r="IW4">
        <f t="shared" ref="IW4:IW35" si="13">SUM(IS4:IV4)</f>
        <v>0</v>
      </c>
    </row>
    <row r="5" spans="1:257" ht="15" customHeight="1" x14ac:dyDescent="0.3">
      <c r="A5" t="str">
        <f>IFERROR(INDEX('DRAFT 1'!$A:$A,MATCH($B5,'DRAFT 1'!$B:$B,0)),"")</f>
        <v/>
      </c>
      <c r="B5" t="s">
        <v>285</v>
      </c>
      <c r="C5" t="str">
        <f>IFERROR(INDEX('DRAFT 1'!$C:$C,MATCH($B5,'DRAFT 1'!$B:$B,0)),"")</f>
        <v/>
      </c>
      <c r="D5" t="str">
        <f>IFERROR(INDEX('DRAFT 1'!$D:$D,MATCH($B5,'DRAFT 1'!$B:$B,0)),"")</f>
        <v/>
      </c>
      <c r="E5" t="str">
        <f>IFERROR(INDEX('DRAFT 1'!$E:$E,MATCH($B5,'DRAFT 1'!$B:$B,0)),"")</f>
        <v/>
      </c>
      <c r="F5" t="str">
        <f>IFERROR(INDEX('DRAFT 1'!$F:$F,MATCH($B5,'DRAFT 1'!$B:$B,0)),"")</f>
        <v/>
      </c>
      <c r="G5" t="str">
        <f>IFERROR(INDEX('DRAFT 1'!$G:$G,MATCH($B5,'DRAFT 1'!$B:$B,0)),"")</f>
        <v/>
      </c>
      <c r="H5" t="str">
        <f>IFERROR(INDEX('DRAFT 1'!$H:$H,MATCH($B5,'DRAFT 1'!$B:$B,0)),"")</f>
        <v/>
      </c>
      <c r="I5" t="s">
        <v>286</v>
      </c>
      <c r="K5" t="str">
        <f>IFERROR(INDEX('DRAFT 1'!$AL:$AL,MATCH($B5,'DRAFT 1'!$B:$B,0)),"")</f>
        <v/>
      </c>
      <c r="L5" t="str">
        <f>IFERROR(INDEX('DRAFT 1'!$J:$J,MATCH($B5,'DRAFT 1'!$B:$B,0)),"")</f>
        <v/>
      </c>
      <c r="M5" t="str">
        <f>IFERROR(INDEX('DRAFT 1'!$K:$K,MATCH($B5,'DRAFT 1'!$B:$B,0)),"")</f>
        <v/>
      </c>
      <c r="N5" t="s">
        <v>74</v>
      </c>
      <c r="O5">
        <f>IF(N5="EM RISCO",1,IF(N5="INAT.REC",2,IF(N5="ATIVO",3,IF(N5="INAT.ANT",4,5))))</f>
        <v>1</v>
      </c>
      <c r="P5" t="str">
        <f>IFERROR(INDEX('DRAFT 1'!$L:$L,MATCH($B5,'DRAFT 1'!$B:$B,0)),"")</f>
        <v/>
      </c>
      <c r="Q5" t="str">
        <f>IFERROR(INDEX('DRAFT 1'!$M:$M,MATCH($B5,'DRAFT 1'!$B:$B,0)),"")</f>
        <v/>
      </c>
      <c r="R5" t="str">
        <f>IFERROR(INDEX('DRAFT 1'!$N:$N,MATCH($B5,'DRAFT 1'!$B:$B,0)),"")</f>
        <v/>
      </c>
      <c r="S5" t="str">
        <f>IFERROR(INDEX('DRAFT 1'!$O:$O,MATCH($B5,'DRAFT 1'!$B:$B,0)),"")</f>
        <v/>
      </c>
      <c r="T5" t="str">
        <f>IFERROR(INDEX('DRAFT 1'!$P:$P,MATCH($B5,'DRAFT 1'!$B:$B,0)),"")</f>
        <v/>
      </c>
      <c r="U5" t="str">
        <f>IFERROR(INDEX('DRAFT 1'!$Q:$Q,MATCH($B5,'DRAFT 1'!$B:$B,0)),"")</f>
        <v/>
      </c>
      <c r="V5" t="str">
        <f>IFERROR(INDEX('DRAFT 1'!$R:$R,MATCH($B5,'DRAFT 1'!$B:$B,0)),"")</f>
        <v/>
      </c>
      <c r="W5" t="str">
        <f>IFERROR(INDEX('DRAFT 1'!$S:$S,MATCH($B5,'DRAFT 1'!$B:$B,0)),"")</f>
        <v/>
      </c>
      <c r="X5" t="str">
        <f>IFERROR(INDEX('DRAFT 1'!$T:$T,MATCH($B5,'DRAFT 1'!$B:$B,0)),"")</f>
        <v/>
      </c>
      <c r="Y5">
        <f>SUM(Z5:AJ5)</f>
        <v>0</v>
      </c>
      <c r="Z5" t="str">
        <f>IFERROR(INDEX('DRAFT 1'!$U:$U,MATCH($B5,'DRAFT 1'!$B:$B,0)),"")</f>
        <v/>
      </c>
      <c r="AA5" t="str">
        <f>IFERROR(INDEX('DRAFT 1'!$V:$V,MATCH($B5,'DRAFT 1'!$B:$B,0)),"")</f>
        <v/>
      </c>
      <c r="AB5" t="str">
        <f>IFERROR(INDEX('DRAFT 1'!$W:$W,MATCH($B5,'DRAFT 1'!$B:$B,0)),"")</f>
        <v/>
      </c>
      <c r="AC5" t="str">
        <f>IFERROR(INDEX('DRAFT 1'!$X:$X,MATCH($B5,'DRAFT 1'!$B:$B,0)),"")</f>
        <v/>
      </c>
      <c r="AD5" t="str">
        <f>IFERROR(INDEX('DRAFT 1'!$Y:$Y,MATCH($B5,'DRAFT 1'!$B:$B,0)),"")</f>
        <v/>
      </c>
      <c r="AE5" t="str">
        <f>IFERROR(INDEX('DRAFT 1'!$Z:$Z,MATCH($B5,'DRAFT 1'!$B:$B,0)),"")</f>
        <v/>
      </c>
      <c r="AF5" t="str">
        <f>IFERROR(INDEX('DRAFT 1'!$AA:$AA,MATCH($B5,'DRAFT 1'!$B:$B,0)),"")</f>
        <v/>
      </c>
      <c r="AG5" t="str">
        <f>IFERROR(INDEX('DRAFT 1'!$AB:$AB,MATCH($B5,'DRAFT 1'!$B:$B,0)),"")</f>
        <v/>
      </c>
      <c r="AH5" t="str">
        <f>IFERROR(INDEX('DRAFT 1'!$AC:$AC,MATCH($B5,'DRAFT 1'!$B:$B,0)),"")</f>
        <v/>
      </c>
      <c r="AI5" t="str">
        <f>IFERROR(INDEX('DRAFT 1'!$AD:$AD,MATCH($B5,'DRAFT 1'!$B:$B,0)),"")</f>
        <v/>
      </c>
      <c r="AJ5" t="str">
        <f>IFERROR(INDEX('DRAFT 1'!$AE:$AE,MATCH($B5,'DRAFT 1'!$B:$B,0)),"")</f>
        <v/>
      </c>
      <c r="AK5" t="str">
        <f>IFERROR(INDEX('DRAFT 1'!$AG:$AG,MATCH($B5,'DRAFT 1'!$B:$B,0)),"")</f>
        <v/>
      </c>
      <c r="AL5" t="str">
        <f>IFERROR(INDEX('DRAFT 1'!$AH:$AH,MATCH($B5,'DRAFT 1'!$B:$B,0)),"")</f>
        <v/>
      </c>
      <c r="AM5" t="str">
        <f>IFERROR(INDEX('DRAFT 1'!$AI:$AI,MATCH($B5,'DRAFT 1'!$B:$B,0)),"")</f>
        <v/>
      </c>
      <c r="AN5" t="str">
        <f>IFERROR(INDEX('DRAFT 1'!$AJ:$AJ,MATCH($B5,'DRAFT 1'!$B:$B,0)),"")</f>
        <v/>
      </c>
      <c r="AO5">
        <f t="shared" si="0"/>
        <v>0</v>
      </c>
      <c r="AP5" t="str">
        <f>IFERROR(INDEX('DRAFT 1'!$AK:$AK,MATCH($B5,'DRAFT 1'!$B:$B,0)),"")</f>
        <v/>
      </c>
      <c r="AR5" t="s">
        <v>91</v>
      </c>
      <c r="AS5" t="str">
        <f>IFERROR(LOOKUP(2,1/('DRAFT 2'!$D:$D=$B5),'DRAFT 2'!$T:$T),"")</f>
        <v/>
      </c>
      <c r="AT5" t="str">
        <f>IFERROR(LOOKUP(2,1/('DRAFT 2'!$D:$D=$B5),'DRAFT 2'!$A:$A),"")</f>
        <v/>
      </c>
      <c r="AU5" t="str">
        <f>IFERROR(LOOKUP(2,1/('DRAFT 2'!$D:$D=$B5),'DRAFT 2'!$R:$R),"")</f>
        <v/>
      </c>
      <c r="AV5" t="str">
        <f>IFERROR(LOOKUP(2,1/('DRAFT 2'!$D:$D=$B5),'DRAFT 2'!$S:$S),"")</f>
        <v/>
      </c>
      <c r="AW5" t="s">
        <v>88</v>
      </c>
      <c r="AX5" t="str">
        <f>IFERROR(LOOKUP(2,1/('DRAFT 2'!$D:$D=$B5),'DRAFT 2'!$M:$M),"")</f>
        <v/>
      </c>
      <c r="AY5" t="str">
        <f>IFERROR(LOOKUP(2,1/('DRAFT 2'!$D:$D=$B5),'DRAFT 2'!$K:$K),"")</f>
        <v/>
      </c>
      <c r="BA5" t="str">
        <f>IF(N5="PROSPECT","❄️ FRIO",IF(OR(AR5="ORÇAMENTO",AR5="NEGOCIAÇÃO",AR5="CADASTRO"),"🔥 QUENTE",IF(OR(AR5="FOLLOW UP 7",AR5="FOLLOW UP 15",AR5="ATENDIMENTO"),"⚡ MORNO","❄️ FRIO")))</f>
        <v>❄️ FRIO</v>
      </c>
      <c r="BB5" t="str">
        <f>IF(BE5="","",BE5-BC5)</f>
        <v/>
      </c>
      <c r="BG5" t="str">
        <f>IFERROR(LOOKUP(2,1/('DRAFT 2'!$D:$D=$B5),'DRAFT 2'!$U:$U),"")</f>
        <v/>
      </c>
      <c r="BH5" t="str">
        <f>IFERROR(LOOKUP(2,1/('DRAFT 2'!$D:$D=$B5),'DRAFT 2'!$V:$V),"")</f>
        <v/>
      </c>
      <c r="BI5" t="str">
        <f>IF(Q5="","🟣",IF(P5&lt;=IF(AK5="",45,AK5),"🟢",IF(P5&lt;=IF(AK5="",45,AK5)+30,"🟡","🔴")))</f>
        <v>🟣</v>
      </c>
      <c r="BJ5" t="s">
        <v>287</v>
      </c>
      <c r="BU5" s="44">
        <f>CR5</f>
        <v>1</v>
      </c>
      <c r="BV5" s="44">
        <f>AVERAGE(CC5,CR5,DG5)</f>
        <v>1</v>
      </c>
      <c r="BW5" s="45">
        <f>IF(BX5=0,1,BY5/BX5)</f>
        <v>1</v>
      </c>
      <c r="BX5" s="46"/>
      <c r="BY5" s="46"/>
      <c r="BZ5" s="45">
        <f>IF(CA5=0,1,CB5/CA5)</f>
        <v>1</v>
      </c>
      <c r="CA5" s="46"/>
      <c r="CB5" s="46"/>
      <c r="CC5" s="45">
        <f>IF(CD5=0,1,CE5/CD5)</f>
        <v>1</v>
      </c>
      <c r="CD5" s="46"/>
      <c r="CE5" s="46" t="str">
        <f t="shared" si="1"/>
        <v/>
      </c>
      <c r="CF5" s="47" t="str">
        <f>IFERROR(LOOKUP(2,1/('DRAFT 2'!$D:$D=$B5)*('DRAFT 2'!$A:$A&gt;=DATE(2026,1,1))*('DRAFT 2'!$A:$A&lt;DATE(2026,IF(1=12,1+1,1+1),1)),'DRAFT 2'!$A:$A),"")</f>
        <v/>
      </c>
      <c r="CG5">
        <f>COUNTIFS('DRAFT 2'!$D:$D,$B5,'DRAFT 2'!$A:$A,"&gt;="&amp;DATE(2026,1,1),'DRAFT 2'!$A:$A,"&lt;="&amp;DATE(2026,1,7))</f>
        <v>0</v>
      </c>
      <c r="CH5">
        <f>COUNTIFS('DRAFT 2'!$D:$D,$B5,'DRAFT 2'!$A:$A,"&gt;="&amp;DATE(2026,1,8),'DRAFT 2'!$A:$A,"&lt;="&amp;DATE(2026,1,14))</f>
        <v>0</v>
      </c>
      <c r="CI5">
        <f>COUNTIFS('DRAFT 2'!$D:$D,$B5,'DRAFT 2'!$A:$A,"&gt;="&amp;DATE(2026,1,15),'DRAFT 2'!$A:$A,"&lt;="&amp;DATE(2026,1,21))</f>
        <v>0</v>
      </c>
      <c r="CJ5">
        <f>COUNTIFS('DRAFT 2'!$D:$D,$B5,'DRAFT 2'!$A:$A,"&gt;="&amp;DATE(2026,1,22),'DRAFT 2'!$A:$A,"&lt;"&amp;DATE(2026,IF(1=12,1+1,1+1),1))</f>
        <v>0</v>
      </c>
      <c r="CK5">
        <f t="shared" si="2"/>
        <v>0</v>
      </c>
      <c r="CL5" s="45">
        <f>IF(CM5=0,1,CN5/CM5)</f>
        <v>1</v>
      </c>
      <c r="CM5" s="46"/>
      <c r="CN5" s="46"/>
      <c r="CO5" s="45">
        <f>IF(CP5=0,1,CQ5/CP5)</f>
        <v>1</v>
      </c>
      <c r="CP5" s="46"/>
      <c r="CQ5" s="46"/>
      <c r="CR5" s="45">
        <f>IF(CS5=0,1,CT5/CS5)</f>
        <v>1</v>
      </c>
      <c r="CS5" s="46"/>
      <c r="CT5" s="46">
        <v>0</v>
      </c>
      <c r="CU5" s="47" t="str">
        <f>IFERROR(LOOKUP(2,1/('DRAFT 2'!$D:$D=$B5)*('DRAFT 2'!$A:$A&gt;=DATE(2026,2,1))*('DRAFT 2'!$A:$A&lt;DATE(2026,IF(2=12,2+1,2+1),1)),'DRAFT 2'!$A:$A),"")</f>
        <v/>
      </c>
      <c r="CV5">
        <f>COUNTIFS('DRAFT 2'!$D:$D,$B5,'DRAFT 2'!$A:$A,"&gt;="&amp;DATE(2026,2,1),'DRAFT 2'!$A:$A,"&lt;="&amp;DATE(2026,2,7))</f>
        <v>0</v>
      </c>
      <c r="CW5">
        <f>COUNTIFS('DRAFT 2'!$D:$D,$B5,'DRAFT 2'!$A:$A,"&gt;="&amp;DATE(2026,2,8),'DRAFT 2'!$A:$A,"&lt;="&amp;DATE(2026,2,14))</f>
        <v>0</v>
      </c>
      <c r="CX5">
        <f>COUNTIFS('DRAFT 2'!$D:$D,$B5,'DRAFT 2'!$A:$A,"&gt;="&amp;DATE(2026,2,15),'DRAFT 2'!$A:$A,"&lt;="&amp;DATE(2026,2,21))</f>
        <v>0</v>
      </c>
      <c r="CY5">
        <f>COUNTIFS('DRAFT 2'!$D:$D,$B5,'DRAFT 2'!$A:$A,"&gt;="&amp;DATE(2026,2,22),'DRAFT 2'!$A:$A,"&lt;"&amp;DATE(2026,IF(2=12,2+1,2+1),1))</f>
        <v>0</v>
      </c>
      <c r="CZ5">
        <f t="shared" si="3"/>
        <v>0</v>
      </c>
      <c r="DA5" s="45">
        <f>IF(DB5=0,1,DC5/DB5)</f>
        <v>1</v>
      </c>
      <c r="DB5" s="46"/>
      <c r="DC5" s="46"/>
      <c r="DD5" s="45">
        <f>IF(DE5=0,1,DF5/DE5)</f>
        <v>1</v>
      </c>
      <c r="DE5" s="46"/>
      <c r="DF5" s="46"/>
      <c r="DG5" s="45">
        <f>IF(DH5=0,1,DI5/DH5)</f>
        <v>1</v>
      </c>
      <c r="DH5" s="46"/>
      <c r="DI5" s="46"/>
      <c r="DJ5" s="47" t="str">
        <f>IFERROR(LOOKUP(2,1/('DRAFT 2'!$D:$D=$B5)*('DRAFT 2'!$A:$A&gt;=DATE(2026,3,1))*('DRAFT 2'!$A:$A&lt;DATE(2026,IF(3=12,3+1,3+1),1)),'DRAFT 2'!$A:$A),"")</f>
        <v/>
      </c>
      <c r="DK5">
        <f>COUNTIFS('DRAFT 2'!$D:$D,$B5,'DRAFT 2'!$A:$A,"&gt;="&amp;DATE(2026,3,1),'DRAFT 2'!$A:$A,"&lt;="&amp;DATE(2026,3,7))</f>
        <v>0</v>
      </c>
      <c r="DL5">
        <f>COUNTIFS('DRAFT 2'!$D:$D,$B5,'DRAFT 2'!$A:$A,"&gt;="&amp;DATE(2026,3,8),'DRAFT 2'!$A:$A,"&lt;="&amp;DATE(2026,3,14))</f>
        <v>0</v>
      </c>
      <c r="DM5">
        <f>COUNTIFS('DRAFT 2'!$D:$D,$B5,'DRAFT 2'!$A:$A,"&gt;="&amp;DATE(2026,3,15),'DRAFT 2'!$A:$A,"&lt;="&amp;DATE(2026,3,21))</f>
        <v>0</v>
      </c>
      <c r="DN5">
        <f>COUNTIFS('DRAFT 2'!$D:$D,$B5,'DRAFT 2'!$A:$A,"&gt;="&amp;DATE(2026,3,22),'DRAFT 2'!$A:$A,"&lt;"&amp;DATE(2026,IF(3=12,3+1,3+1),1))</f>
        <v>0</v>
      </c>
      <c r="DO5">
        <f t="shared" si="4"/>
        <v>0</v>
      </c>
      <c r="DP5" s="44">
        <f>AVERAGE(DW5,EL5,FA5)</f>
        <v>1</v>
      </c>
      <c r="DQ5" s="48">
        <f>IF(DR5=0,1,DS5/DR5)</f>
        <v>1</v>
      </c>
      <c r="DR5" s="46"/>
      <c r="DS5" s="46"/>
      <c r="DT5" s="48">
        <f>IF(DU5=0,1,DV5/DU5)</f>
        <v>1</v>
      </c>
      <c r="DU5" s="46"/>
      <c r="DV5" s="46"/>
      <c r="DW5" s="48">
        <f>IF(DX5=0,1,DY5/DX5)</f>
        <v>1</v>
      </c>
      <c r="DX5" s="46"/>
      <c r="DY5" s="46"/>
      <c r="DZ5" s="47" t="str">
        <f>IFERROR(LOOKUP(2,1/('DRAFT 2'!$D:$D=$B5)*('DRAFT 2'!$A:$A&gt;=DATE(2026,4,1))*('DRAFT 2'!$A:$A&lt;DATE(2026,IF(4=12,4+1,4+1),1)),'DRAFT 2'!$A:$A),"")</f>
        <v/>
      </c>
      <c r="EA5">
        <f>COUNTIFS('DRAFT 2'!$D:$D,$B5,'DRAFT 2'!$A:$A,"&gt;="&amp;DATE(2026,4,1),'DRAFT 2'!$A:$A,"&lt;="&amp;DATE(2026,4,7))</f>
        <v>0</v>
      </c>
      <c r="EB5">
        <f>COUNTIFS('DRAFT 2'!$D:$D,$B5,'DRAFT 2'!$A:$A,"&gt;="&amp;DATE(2026,4,8),'DRAFT 2'!$A:$A,"&lt;="&amp;DATE(2026,4,14))</f>
        <v>0</v>
      </c>
      <c r="EC5">
        <f>COUNTIFS('DRAFT 2'!$D:$D,$B5,'DRAFT 2'!$A:$A,"&gt;="&amp;DATE(2026,4,15),'DRAFT 2'!$A:$A,"&lt;="&amp;DATE(2026,4,21))</f>
        <v>0</v>
      </c>
      <c r="ED5">
        <f>COUNTIFS('DRAFT 2'!$D:$D,$B5,'DRAFT 2'!$A:$A,"&gt;="&amp;DATE(2026,4,22),'DRAFT 2'!$A:$A,"&lt;"&amp;DATE(2026,IF(4=12,4+1,4+1),1))</f>
        <v>0</v>
      </c>
      <c r="EE5">
        <f t="shared" si="5"/>
        <v>0</v>
      </c>
      <c r="EF5" s="48">
        <f>IF(EG5=0,1,EH5/EG5)</f>
        <v>1</v>
      </c>
      <c r="EG5" s="46"/>
      <c r="EH5" s="46"/>
      <c r="EI5" s="48">
        <f>IF(EJ5=0,1,EK5/EJ5)</f>
        <v>1</v>
      </c>
      <c r="EJ5" s="46"/>
      <c r="EK5" s="46"/>
      <c r="EL5" s="48">
        <f>IF(EM5=0,1,EN5/EM5)</f>
        <v>1</v>
      </c>
      <c r="EM5" s="46"/>
      <c r="EN5" s="46"/>
      <c r="EO5" s="47" t="str">
        <f>IFERROR(LOOKUP(2,1/('DRAFT 2'!$D:$D=$B5)*('DRAFT 2'!$A:$A&gt;=DATE(2026,5,1))*('DRAFT 2'!$A:$A&lt;DATE(2026,IF(5=12,5+1,5+1),1)),'DRAFT 2'!$A:$A),"")</f>
        <v/>
      </c>
      <c r="EP5">
        <f>COUNTIFS('DRAFT 2'!$D:$D,$B5,'DRAFT 2'!$A:$A,"&gt;="&amp;DATE(2026,5,1),'DRAFT 2'!$A:$A,"&lt;="&amp;DATE(2026,5,7))</f>
        <v>0</v>
      </c>
      <c r="EQ5">
        <f>COUNTIFS('DRAFT 2'!$D:$D,$B5,'DRAFT 2'!$A:$A,"&gt;="&amp;DATE(2026,5,8),'DRAFT 2'!$A:$A,"&lt;="&amp;DATE(2026,5,14))</f>
        <v>0</v>
      </c>
      <c r="ER5">
        <f>COUNTIFS('DRAFT 2'!$D:$D,$B5,'DRAFT 2'!$A:$A,"&gt;="&amp;DATE(2026,5,15),'DRAFT 2'!$A:$A,"&lt;="&amp;DATE(2026,5,21))</f>
        <v>0</v>
      </c>
      <c r="ES5">
        <f>COUNTIFS('DRAFT 2'!$D:$D,$B5,'DRAFT 2'!$A:$A,"&gt;="&amp;DATE(2026,5,22),'DRAFT 2'!$A:$A,"&lt;"&amp;DATE(2026,IF(5=12,5+1,5+1),1))</f>
        <v>0</v>
      </c>
      <c r="ET5">
        <f t="shared" si="6"/>
        <v>0</v>
      </c>
      <c r="EU5" s="48">
        <f>IF(EV5=0,1,EW5/EV5)</f>
        <v>1</v>
      </c>
      <c r="EV5" s="46"/>
      <c r="EW5" s="46"/>
      <c r="EX5" s="48">
        <f>IF(EY5=0,1,EZ5/EY5)</f>
        <v>1</v>
      </c>
      <c r="EY5" s="46"/>
      <c r="EZ5" s="46"/>
      <c r="FA5" s="48">
        <f>IF(FB5=0,1,FC5/FB5)</f>
        <v>1</v>
      </c>
      <c r="FB5" s="46"/>
      <c r="FC5" s="46"/>
      <c r="FD5" s="47" t="str">
        <f>IFERROR(LOOKUP(2,1/('DRAFT 2'!$D:$D=$B5)*('DRAFT 2'!$A:$A&gt;=DATE(2026,6,1))*('DRAFT 2'!$A:$A&lt;DATE(2026,IF(6=12,6+1,6+1),1)),'DRAFT 2'!$A:$A),"")</f>
        <v/>
      </c>
      <c r="FE5">
        <f>COUNTIFS('DRAFT 2'!$D:$D,$B5,'DRAFT 2'!$A:$A,"&gt;="&amp;DATE(2026,6,1),'DRAFT 2'!$A:$A,"&lt;="&amp;DATE(2026,6,7))</f>
        <v>0</v>
      </c>
      <c r="FF5">
        <f>COUNTIFS('DRAFT 2'!$D:$D,$B5,'DRAFT 2'!$A:$A,"&gt;="&amp;DATE(2026,6,8),'DRAFT 2'!$A:$A,"&lt;="&amp;DATE(2026,6,14))</f>
        <v>0</v>
      </c>
      <c r="FG5">
        <f>COUNTIFS('DRAFT 2'!$D:$D,$B5,'DRAFT 2'!$A:$A,"&gt;="&amp;DATE(2026,6,15),'DRAFT 2'!$A:$A,"&lt;="&amp;DATE(2026,6,21))</f>
        <v>0</v>
      </c>
      <c r="FH5">
        <f>COUNTIFS('DRAFT 2'!$D:$D,$B5,'DRAFT 2'!$A:$A,"&gt;="&amp;DATE(2026,6,22),'DRAFT 2'!$A:$A,"&lt;"&amp;DATE(2026,IF(6=12,6+1,6+1),1))</f>
        <v>0</v>
      </c>
      <c r="FI5">
        <f t="shared" si="7"/>
        <v>0</v>
      </c>
      <c r="FJ5" s="44">
        <f>AVERAGE(FQ5,GF5,GU5)</f>
        <v>1</v>
      </c>
      <c r="FK5" s="49">
        <f>IF(FL5=0,1,FM5/FL5)</f>
        <v>1</v>
      </c>
      <c r="FL5" s="46"/>
      <c r="FM5" s="46"/>
      <c r="FN5" s="49">
        <f>IF(FO5=0,1,FP5/FO5)</f>
        <v>1</v>
      </c>
      <c r="FO5" s="46"/>
      <c r="FP5" s="46"/>
      <c r="FQ5" s="49">
        <f>IF(FR5=0,1,FS5/FR5)</f>
        <v>1</v>
      </c>
      <c r="FR5" s="46"/>
      <c r="FS5" s="46"/>
      <c r="FT5" s="47" t="str">
        <f>IFERROR(LOOKUP(2,1/('DRAFT 2'!$D:$D=$B5)*('DRAFT 2'!$A:$A&gt;=DATE(2026,7,1))*('DRAFT 2'!$A:$A&lt;DATE(2026,IF(7=12,7+1,7+1),1)),'DRAFT 2'!$A:$A),"")</f>
        <v/>
      </c>
      <c r="FU5">
        <f>COUNTIFS('DRAFT 2'!$D:$D,$B5,'DRAFT 2'!$A:$A,"&gt;="&amp;DATE(2026,7,1),'DRAFT 2'!$A:$A,"&lt;="&amp;DATE(2026,7,7))</f>
        <v>0</v>
      </c>
      <c r="FV5">
        <f>COUNTIFS('DRAFT 2'!$D:$D,$B5,'DRAFT 2'!$A:$A,"&gt;="&amp;DATE(2026,7,8),'DRAFT 2'!$A:$A,"&lt;="&amp;DATE(2026,7,14))</f>
        <v>0</v>
      </c>
      <c r="FW5">
        <f>COUNTIFS('DRAFT 2'!$D:$D,$B5,'DRAFT 2'!$A:$A,"&gt;="&amp;DATE(2026,7,15),'DRAFT 2'!$A:$A,"&lt;="&amp;DATE(2026,7,21))</f>
        <v>0</v>
      </c>
      <c r="FX5">
        <f>COUNTIFS('DRAFT 2'!$D:$D,$B5,'DRAFT 2'!$A:$A,"&gt;="&amp;DATE(2026,7,22),'DRAFT 2'!$A:$A,"&lt;"&amp;DATE(2026,IF(7=12,7+1,7+1),1))</f>
        <v>0</v>
      </c>
      <c r="FY5">
        <f t="shared" si="8"/>
        <v>0</v>
      </c>
      <c r="FZ5" s="49">
        <f>IF(GA5=0,1,GB5/GA5)</f>
        <v>1</v>
      </c>
      <c r="GA5" s="46"/>
      <c r="GB5" s="46"/>
      <c r="GC5" s="49">
        <f>IF(GD5=0,1,GE5/GD5)</f>
        <v>1</v>
      </c>
      <c r="GD5" s="46"/>
      <c r="GE5" s="46"/>
      <c r="GF5" s="49">
        <f>IF(GG5=0,1,GH5/GG5)</f>
        <v>1</v>
      </c>
      <c r="GG5" s="46"/>
      <c r="GH5" s="46"/>
      <c r="GI5" s="47" t="str">
        <f>IFERROR(LOOKUP(2,1/('DRAFT 2'!$D:$D=$B5)*('DRAFT 2'!$A:$A&gt;=DATE(2026,8,1))*('DRAFT 2'!$A:$A&lt;DATE(2026,IF(8=12,8+1,8+1),1)),'DRAFT 2'!$A:$A),"")</f>
        <v/>
      </c>
      <c r="GJ5">
        <f>COUNTIFS('DRAFT 2'!$D:$D,$B5,'DRAFT 2'!$A:$A,"&gt;="&amp;DATE(2026,8,1),'DRAFT 2'!$A:$A,"&lt;="&amp;DATE(2026,8,7))</f>
        <v>0</v>
      </c>
      <c r="GK5">
        <f>COUNTIFS('DRAFT 2'!$D:$D,$B5,'DRAFT 2'!$A:$A,"&gt;="&amp;DATE(2026,8,8),'DRAFT 2'!$A:$A,"&lt;="&amp;DATE(2026,8,14))</f>
        <v>0</v>
      </c>
      <c r="GL5">
        <f>COUNTIFS('DRAFT 2'!$D:$D,$B5,'DRAFT 2'!$A:$A,"&gt;="&amp;DATE(2026,8,15),'DRAFT 2'!$A:$A,"&lt;="&amp;DATE(2026,8,21))</f>
        <v>0</v>
      </c>
      <c r="GM5">
        <f>COUNTIFS('DRAFT 2'!$D:$D,$B5,'DRAFT 2'!$A:$A,"&gt;="&amp;DATE(2026,8,22),'DRAFT 2'!$A:$A,"&lt;"&amp;DATE(2026,IF(8=12,8+1,8+1),1))</f>
        <v>0</v>
      </c>
      <c r="GN5">
        <f t="shared" si="9"/>
        <v>0</v>
      </c>
      <c r="GO5" s="49">
        <f>IF(GP5=0,1,GQ5/GP5)</f>
        <v>1</v>
      </c>
      <c r="GP5" s="46"/>
      <c r="GQ5" s="46"/>
      <c r="GR5" s="49">
        <f>IF(GS5=0,1,GT5/GS5)</f>
        <v>1</v>
      </c>
      <c r="GS5" s="46"/>
      <c r="GT5" s="46"/>
      <c r="GU5" s="49">
        <f>IF(GV5=0,1,GW5/GV5)</f>
        <v>1</v>
      </c>
      <c r="GV5" s="46"/>
      <c r="GW5" s="46"/>
      <c r="GX5" s="47" t="str">
        <f>IFERROR(LOOKUP(2,1/('DRAFT 2'!$D:$D=$B5)*('DRAFT 2'!$A:$A&gt;=DATE(2026,9,1))*('DRAFT 2'!$A:$A&lt;DATE(2026,IF(9=12,9+1,9+1),1)),'DRAFT 2'!$A:$A),"")</f>
        <v/>
      </c>
      <c r="GY5">
        <f>COUNTIFS('DRAFT 2'!$D:$D,$B5,'DRAFT 2'!$A:$A,"&gt;="&amp;DATE(2026,9,1),'DRAFT 2'!$A:$A,"&lt;="&amp;DATE(2026,9,7))</f>
        <v>0</v>
      </c>
      <c r="GZ5">
        <f>COUNTIFS('DRAFT 2'!$D:$D,$B5,'DRAFT 2'!$A:$A,"&gt;="&amp;DATE(2026,9,8),'DRAFT 2'!$A:$A,"&lt;="&amp;DATE(2026,9,14))</f>
        <v>0</v>
      </c>
      <c r="HA5">
        <f>COUNTIFS('DRAFT 2'!$D:$D,$B5,'DRAFT 2'!$A:$A,"&gt;="&amp;DATE(2026,9,15),'DRAFT 2'!$A:$A,"&lt;="&amp;DATE(2026,9,21))</f>
        <v>0</v>
      </c>
      <c r="HB5">
        <f>COUNTIFS('DRAFT 2'!$D:$D,$B5,'DRAFT 2'!$A:$A,"&gt;="&amp;DATE(2026,9,22),'DRAFT 2'!$A:$A,"&lt;"&amp;DATE(2026,IF(9=12,9+1,9+1),1))</f>
        <v>0</v>
      </c>
      <c r="HC5">
        <f t="shared" si="10"/>
        <v>0</v>
      </c>
      <c r="HD5" s="44">
        <f>AVERAGE(HK5,HZ5,IO5)</f>
        <v>1</v>
      </c>
      <c r="HE5" s="50">
        <f>IF(HF5=0,1,HG5/HF5)</f>
        <v>1</v>
      </c>
      <c r="HF5" s="46"/>
      <c r="HG5" s="46"/>
      <c r="HH5" s="50">
        <f>IF(HI5=0,1,HJ5/HI5)</f>
        <v>1</v>
      </c>
      <c r="HI5" s="46"/>
      <c r="HJ5" s="46"/>
      <c r="HK5" s="50">
        <f>IF(HL5=0,1,HM5/HL5)</f>
        <v>1</v>
      </c>
      <c r="HL5" s="46"/>
      <c r="HM5" s="46"/>
      <c r="HN5" s="47" t="str">
        <f>IFERROR(LOOKUP(2,1/('DRAFT 2'!$D:$D=$B5)*('DRAFT 2'!$A:$A&gt;=DATE(2026,10,1))*('DRAFT 2'!$A:$A&lt;DATE(2026,IF(10=12,10+1,10+1),1)),'DRAFT 2'!$A:$A),"")</f>
        <v/>
      </c>
      <c r="HO5">
        <f>COUNTIFS('DRAFT 2'!$D:$D,$B5,'DRAFT 2'!$A:$A,"&gt;="&amp;DATE(2026,10,1),'DRAFT 2'!$A:$A,"&lt;="&amp;DATE(2026,10,7))</f>
        <v>0</v>
      </c>
      <c r="HP5">
        <f>COUNTIFS('DRAFT 2'!$D:$D,$B5,'DRAFT 2'!$A:$A,"&gt;="&amp;DATE(2026,10,8),'DRAFT 2'!$A:$A,"&lt;="&amp;DATE(2026,10,14))</f>
        <v>0</v>
      </c>
      <c r="HQ5">
        <f>COUNTIFS('DRAFT 2'!$D:$D,$B5,'DRAFT 2'!$A:$A,"&gt;="&amp;DATE(2026,10,15),'DRAFT 2'!$A:$A,"&lt;="&amp;DATE(2026,10,21))</f>
        <v>0</v>
      </c>
      <c r="HR5">
        <f>COUNTIFS('DRAFT 2'!$D:$D,$B5,'DRAFT 2'!$A:$A,"&gt;="&amp;DATE(2026,10,22),'DRAFT 2'!$A:$A,"&lt;"&amp;DATE(2026,IF(10=12,10+1,10+1),1))</f>
        <v>0</v>
      </c>
      <c r="HS5">
        <f t="shared" si="11"/>
        <v>0</v>
      </c>
      <c r="HT5" s="50">
        <f>IF(HU5=0,1,HV5/HU5)</f>
        <v>1</v>
      </c>
      <c r="HU5" s="46"/>
      <c r="HV5" s="46"/>
      <c r="HW5" s="50">
        <f>IF(HX5=0,1,HY5/HX5)</f>
        <v>1</v>
      </c>
      <c r="HX5" s="46"/>
      <c r="HY5" s="46"/>
      <c r="HZ5" s="50">
        <f>IF(IA5=0,1,IB5/IA5)</f>
        <v>1</v>
      </c>
      <c r="IA5" s="46"/>
      <c r="IB5" s="46"/>
      <c r="IC5" s="47" t="str">
        <f>IFERROR(LOOKUP(2,1/('DRAFT 2'!$D:$D=$B5)*('DRAFT 2'!$A:$A&gt;=DATE(2026,11,1))*('DRAFT 2'!$A:$A&lt;DATE(2026,IF(11=12,11+1,11+1),1)),'DRAFT 2'!$A:$A),"")</f>
        <v/>
      </c>
      <c r="ID5">
        <f>COUNTIFS('DRAFT 2'!$D:$D,$B5,'DRAFT 2'!$A:$A,"&gt;="&amp;DATE(2026,11,1),'DRAFT 2'!$A:$A,"&lt;="&amp;DATE(2026,11,7))</f>
        <v>0</v>
      </c>
      <c r="IE5">
        <f>COUNTIFS('DRAFT 2'!$D:$D,$B5,'DRAFT 2'!$A:$A,"&gt;="&amp;DATE(2026,11,8),'DRAFT 2'!$A:$A,"&lt;="&amp;DATE(2026,11,14))</f>
        <v>0</v>
      </c>
      <c r="IF5">
        <f>COUNTIFS('DRAFT 2'!$D:$D,$B5,'DRAFT 2'!$A:$A,"&gt;="&amp;DATE(2026,11,15),'DRAFT 2'!$A:$A,"&lt;="&amp;DATE(2026,11,21))</f>
        <v>0</v>
      </c>
      <c r="IG5">
        <f>COUNTIFS('DRAFT 2'!$D:$D,$B5,'DRAFT 2'!$A:$A,"&gt;="&amp;DATE(2026,11,22),'DRAFT 2'!$A:$A,"&lt;"&amp;DATE(2026,IF(11=12,11+1,11+1),1))</f>
        <v>0</v>
      </c>
      <c r="IH5">
        <f t="shared" si="12"/>
        <v>0</v>
      </c>
      <c r="II5" s="50">
        <f>IF(IJ5=0,1,IK5/IJ5)</f>
        <v>1</v>
      </c>
      <c r="IJ5" s="46"/>
      <c r="IK5" s="46"/>
      <c r="IL5" s="50">
        <f>IF(IM5=0,1,IN5/IM5)</f>
        <v>1</v>
      </c>
      <c r="IM5" s="46"/>
      <c r="IN5" s="46"/>
      <c r="IO5" s="50">
        <f>IF(IP5=0,1,IQ5/IP5)</f>
        <v>1</v>
      </c>
      <c r="IP5" s="46"/>
      <c r="IQ5" s="46"/>
      <c r="IR5" s="47" t="str">
        <f>IFERROR(LOOKUP(2,1/('DRAFT 2'!$D:$D=$B5)*('DRAFT 2'!$A:$A&gt;=DATE(2026,12,1))*('DRAFT 2'!$A:$A&lt;DATE(2026,IF(12=12,12+1,12+1),1)),'DRAFT 2'!$A:$A),"")</f>
        <v/>
      </c>
      <c r="IS5">
        <f>COUNTIFS('DRAFT 2'!$D:$D,$B5,'DRAFT 2'!$A:$A,"&gt;="&amp;DATE(2026,12,1),'DRAFT 2'!$A:$A,"&lt;="&amp;DATE(2026,12,7))</f>
        <v>0</v>
      </c>
      <c r="IT5">
        <f>COUNTIFS('DRAFT 2'!$D:$D,$B5,'DRAFT 2'!$A:$A,"&gt;="&amp;DATE(2026,12,8),'DRAFT 2'!$A:$A,"&lt;="&amp;DATE(2026,12,14))</f>
        <v>0</v>
      </c>
      <c r="IU5">
        <f>COUNTIFS('DRAFT 2'!$D:$D,$B5,'DRAFT 2'!$A:$A,"&gt;="&amp;DATE(2026,12,15),'DRAFT 2'!$A:$A,"&lt;="&amp;DATE(2026,12,21))</f>
        <v>0</v>
      </c>
      <c r="IV5">
        <f>COUNTIFS('DRAFT 2'!$D:$D,$B5,'DRAFT 2'!$A:$A,"&gt;="&amp;DATE(2026,12,22),'DRAFT 2'!$A:$A,"&lt;"&amp;DATE(2026,IF(12=12,12+1,12+1),1))</f>
        <v>0</v>
      </c>
      <c r="IW5">
        <f t="shared" si="13"/>
        <v>0</v>
      </c>
    </row>
    <row r="6" spans="1:257" ht="15" customHeight="1" x14ac:dyDescent="0.3">
      <c r="A6" t="str">
        <f>IFERROR(INDEX('DRAFT 1'!$A:$A,MATCH($B6,'DRAFT 1'!$B:$B,0)),"")</f>
        <v/>
      </c>
      <c r="B6" t="s">
        <v>288</v>
      </c>
      <c r="C6" t="str">
        <f>IFERROR(INDEX('DRAFT 1'!$C:$C,MATCH($B6,'DRAFT 1'!$B:$B,0)),"")</f>
        <v/>
      </c>
      <c r="D6" t="str">
        <f>IFERROR(INDEX('DRAFT 1'!$D:$D,MATCH($B6,'DRAFT 1'!$B:$B,0)),"")</f>
        <v/>
      </c>
      <c r="E6" t="str">
        <f>IFERROR(INDEX('DRAFT 1'!$E:$E,MATCH($B6,'DRAFT 1'!$B:$B,0)),"")</f>
        <v/>
      </c>
      <c r="F6" t="str">
        <f>IFERROR(INDEX('DRAFT 1'!$F:$F,MATCH($B6,'DRAFT 1'!$B:$B,0)),"")</f>
        <v/>
      </c>
      <c r="G6" t="str">
        <f>IFERROR(INDEX('DRAFT 1'!$G:$G,MATCH($B6,'DRAFT 1'!$B:$B,0)),"")</f>
        <v/>
      </c>
      <c r="H6" t="str">
        <f>IFERROR(INDEX('DRAFT 1'!$H:$H,MATCH($B6,'DRAFT 1'!$B:$B,0)),"")</f>
        <v/>
      </c>
      <c r="I6" t="s">
        <v>289</v>
      </c>
      <c r="K6" t="str">
        <f>IFERROR(INDEX('DRAFT 1'!$AL:$AL,MATCH($B6,'DRAFT 1'!$B:$B,0)),"")</f>
        <v/>
      </c>
      <c r="L6" t="str">
        <f>IFERROR(INDEX('DRAFT 1'!$J:$J,MATCH($B6,'DRAFT 1'!$B:$B,0)),"")</f>
        <v/>
      </c>
      <c r="M6" t="str">
        <f>IFERROR(INDEX('DRAFT 1'!$K:$K,MATCH($B6,'DRAFT 1'!$B:$B,0)),"")</f>
        <v/>
      </c>
      <c r="N6" t="s">
        <v>79</v>
      </c>
      <c r="O6">
        <f>IF(N6="EM RISCO",1,IF(N6="INAT.REC",2,IF(N6="ATIVO",3,IF(N6="INAT.ANT",4,5))))</f>
        <v>4</v>
      </c>
      <c r="P6" t="str">
        <f>IFERROR(INDEX('DRAFT 1'!$L:$L,MATCH($B6,'DRAFT 1'!$B:$B,0)),"")</f>
        <v/>
      </c>
      <c r="Q6" t="str">
        <f>IFERROR(INDEX('DRAFT 1'!$M:$M,MATCH($B6,'DRAFT 1'!$B:$B,0)),"")</f>
        <v/>
      </c>
      <c r="R6" t="str">
        <f>IFERROR(INDEX('DRAFT 1'!$N:$N,MATCH($B6,'DRAFT 1'!$B:$B,0)),"")</f>
        <v/>
      </c>
      <c r="S6" t="str">
        <f>IFERROR(INDEX('DRAFT 1'!$O:$O,MATCH($B6,'DRAFT 1'!$B:$B,0)),"")</f>
        <v/>
      </c>
      <c r="T6" t="str">
        <f>IFERROR(INDEX('DRAFT 1'!$P:$P,MATCH($B6,'DRAFT 1'!$B:$B,0)),"")</f>
        <v/>
      </c>
      <c r="U6" t="str">
        <f>IFERROR(INDEX('DRAFT 1'!$Q:$Q,MATCH($B6,'DRAFT 1'!$B:$B,0)),"")</f>
        <v/>
      </c>
      <c r="V6" t="str">
        <f>IFERROR(INDEX('DRAFT 1'!$R:$R,MATCH($B6,'DRAFT 1'!$B:$B,0)),"")</f>
        <v/>
      </c>
      <c r="W6" t="str">
        <f>IFERROR(INDEX('DRAFT 1'!$S:$S,MATCH($B6,'DRAFT 1'!$B:$B,0)),"")</f>
        <v/>
      </c>
      <c r="X6" t="str">
        <f>IFERROR(INDEX('DRAFT 1'!$T:$T,MATCH($B6,'DRAFT 1'!$B:$B,0)),"")</f>
        <v/>
      </c>
      <c r="Y6">
        <f>SUM(Z6:AJ6)</f>
        <v>0</v>
      </c>
      <c r="Z6" t="str">
        <f>IFERROR(INDEX('DRAFT 1'!$U:$U,MATCH($B6,'DRAFT 1'!$B:$B,0)),"")</f>
        <v/>
      </c>
      <c r="AA6" t="str">
        <f>IFERROR(INDEX('DRAFT 1'!$V:$V,MATCH($B6,'DRAFT 1'!$B:$B,0)),"")</f>
        <v/>
      </c>
      <c r="AB6" t="str">
        <f>IFERROR(INDEX('DRAFT 1'!$W:$W,MATCH($B6,'DRAFT 1'!$B:$B,0)),"")</f>
        <v/>
      </c>
      <c r="AC6" t="str">
        <f>IFERROR(INDEX('DRAFT 1'!$X:$X,MATCH($B6,'DRAFT 1'!$B:$B,0)),"")</f>
        <v/>
      </c>
      <c r="AD6" t="str">
        <f>IFERROR(INDEX('DRAFT 1'!$Y:$Y,MATCH($B6,'DRAFT 1'!$B:$B,0)),"")</f>
        <v/>
      </c>
      <c r="AE6" t="str">
        <f>IFERROR(INDEX('DRAFT 1'!$Z:$Z,MATCH($B6,'DRAFT 1'!$B:$B,0)),"")</f>
        <v/>
      </c>
      <c r="AF6" t="str">
        <f>IFERROR(INDEX('DRAFT 1'!$AA:$AA,MATCH($B6,'DRAFT 1'!$B:$B,0)),"")</f>
        <v/>
      </c>
      <c r="AG6" t="str">
        <f>IFERROR(INDEX('DRAFT 1'!$AB:$AB,MATCH($B6,'DRAFT 1'!$B:$B,0)),"")</f>
        <v/>
      </c>
      <c r="AH6" t="str">
        <f>IFERROR(INDEX('DRAFT 1'!$AC:$AC,MATCH($B6,'DRAFT 1'!$B:$B,0)),"")</f>
        <v/>
      </c>
      <c r="AI6" t="str">
        <f>IFERROR(INDEX('DRAFT 1'!$AD:$AD,MATCH($B6,'DRAFT 1'!$B:$B,0)),"")</f>
        <v/>
      </c>
      <c r="AJ6" t="str">
        <f>IFERROR(INDEX('DRAFT 1'!$AE:$AE,MATCH($B6,'DRAFT 1'!$B:$B,0)),"")</f>
        <v/>
      </c>
      <c r="AK6" t="str">
        <f>IFERROR(INDEX('DRAFT 1'!$AG:$AG,MATCH($B6,'DRAFT 1'!$B:$B,0)),"")</f>
        <v/>
      </c>
      <c r="AL6" t="str">
        <f>IFERROR(INDEX('DRAFT 1'!$AH:$AH,MATCH($B6,'DRAFT 1'!$B:$B,0)),"")</f>
        <v/>
      </c>
      <c r="AM6" t="str">
        <f>IFERROR(INDEX('DRAFT 1'!$AI:$AI,MATCH($B6,'DRAFT 1'!$B:$B,0)),"")</f>
        <v/>
      </c>
      <c r="AN6" t="str">
        <f>IFERROR(INDEX('DRAFT 1'!$AJ:$AJ,MATCH($B6,'DRAFT 1'!$B:$B,0)),"")</f>
        <v/>
      </c>
      <c r="AO6">
        <f t="shared" si="0"/>
        <v>0</v>
      </c>
      <c r="AP6" t="str">
        <f>IFERROR(INDEX('DRAFT 1'!$AK:$AK,MATCH($B6,'DRAFT 1'!$B:$B,0)),"")</f>
        <v/>
      </c>
      <c r="AR6" t="s">
        <v>5</v>
      </c>
      <c r="AS6" t="str">
        <f>IFERROR(LOOKUP(2,1/('DRAFT 2'!$D:$D=$B6),'DRAFT 2'!$T:$T),"")</f>
        <v/>
      </c>
      <c r="AT6" t="str">
        <f>IFERROR(LOOKUP(2,1/('DRAFT 2'!$D:$D=$B6),'DRAFT 2'!$A:$A),"")</f>
        <v/>
      </c>
      <c r="AU6" t="str">
        <f>IFERROR(LOOKUP(2,1/('DRAFT 2'!$D:$D=$B6),'DRAFT 2'!$R:$R),"")</f>
        <v/>
      </c>
      <c r="AV6" t="str">
        <f>IFERROR(LOOKUP(2,1/('DRAFT 2'!$D:$D=$B6),'DRAFT 2'!$S:$S),"")</f>
        <v/>
      </c>
      <c r="AW6" t="s">
        <v>88</v>
      </c>
      <c r="AX6" t="str">
        <f>IFERROR(LOOKUP(2,1/('DRAFT 2'!$D:$D=$B6),'DRAFT 2'!$M:$M),"")</f>
        <v/>
      </c>
      <c r="AY6" t="str">
        <f>IFERROR(LOOKUP(2,1/('DRAFT 2'!$D:$D=$B6),'DRAFT 2'!$K:$K),"")</f>
        <v/>
      </c>
      <c r="BA6" t="str">
        <f>IF(N6="PROSPECT","❄️ FRIO",IF(OR(AR6="ORÇAMENTO",AR6="NEGOCIAÇÃO",AR6="CADASTRO"),"🔥 QUENTE",IF(OR(AR6="FOLLOW UP 7",AR6="FOLLOW UP 15",AR6="ATENDIMENTO"),"⚡ MORNO","❄️ FRIO")))</f>
        <v>❄️ FRIO</v>
      </c>
      <c r="BB6" t="str">
        <f>IF(BE6="","",BE6-BC6)</f>
        <v/>
      </c>
      <c r="BG6" t="str">
        <f>IFERROR(LOOKUP(2,1/('DRAFT 2'!$D:$D=$B6),'DRAFT 2'!$U:$U),"")</f>
        <v/>
      </c>
      <c r="BH6" t="str">
        <f>IFERROR(LOOKUP(2,1/('DRAFT 2'!$D:$D=$B6),'DRAFT 2'!$V:$V),"")</f>
        <v/>
      </c>
      <c r="BI6" t="str">
        <f>IF(Q6="","🟣",IF(P6&lt;=IF(AK6="",45,AK6),"🟢",IF(P6&lt;=IF(AK6="",45,AK6)+30,"🟡","🔴")))</f>
        <v>🟣</v>
      </c>
      <c r="BJ6" t="s">
        <v>290</v>
      </c>
      <c r="BU6" s="44">
        <f>CR6</f>
        <v>1</v>
      </c>
      <c r="BV6" s="44">
        <f>AVERAGE(CC6,CR6,DG6)</f>
        <v>1</v>
      </c>
      <c r="BW6" s="45">
        <f>IF(BX6=0,1,BY6/BX6)</f>
        <v>1</v>
      </c>
      <c r="BX6" s="46"/>
      <c r="BY6" s="46"/>
      <c r="BZ6" s="45">
        <f>IF(CA6=0,1,CB6/CA6)</f>
        <v>1</v>
      </c>
      <c r="CA6" s="46"/>
      <c r="CB6" s="46"/>
      <c r="CC6" s="45">
        <f>IF(CD6=0,1,CE6/CD6)</f>
        <v>1</v>
      </c>
      <c r="CD6" s="46"/>
      <c r="CE6" s="46" t="str">
        <f t="shared" si="1"/>
        <v/>
      </c>
      <c r="CF6" s="47" t="str">
        <f>IFERROR(LOOKUP(2,1/('DRAFT 2'!$D:$D=$B6)*('DRAFT 2'!$A:$A&gt;=DATE(2026,1,1))*('DRAFT 2'!$A:$A&lt;DATE(2026,IF(1=12,1+1,1+1),1)),'DRAFT 2'!$A:$A),"")</f>
        <v/>
      </c>
      <c r="CG6">
        <f>COUNTIFS('DRAFT 2'!$D:$D,$B6,'DRAFT 2'!$A:$A,"&gt;="&amp;DATE(2026,1,1),'DRAFT 2'!$A:$A,"&lt;="&amp;DATE(2026,1,7))</f>
        <v>0</v>
      </c>
      <c r="CH6">
        <f>COUNTIFS('DRAFT 2'!$D:$D,$B6,'DRAFT 2'!$A:$A,"&gt;="&amp;DATE(2026,1,8),'DRAFT 2'!$A:$A,"&lt;="&amp;DATE(2026,1,14))</f>
        <v>0</v>
      </c>
      <c r="CI6">
        <f>COUNTIFS('DRAFT 2'!$D:$D,$B6,'DRAFT 2'!$A:$A,"&gt;="&amp;DATE(2026,1,15),'DRAFT 2'!$A:$A,"&lt;="&amp;DATE(2026,1,21))</f>
        <v>0</v>
      </c>
      <c r="CJ6">
        <f>COUNTIFS('DRAFT 2'!$D:$D,$B6,'DRAFT 2'!$A:$A,"&gt;="&amp;DATE(2026,1,22),'DRAFT 2'!$A:$A,"&lt;"&amp;DATE(2026,IF(1=12,1+1,1+1),1))</f>
        <v>0</v>
      </c>
      <c r="CK6">
        <f t="shared" si="2"/>
        <v>0</v>
      </c>
      <c r="CL6" s="45">
        <f>IF(CM6=0,1,CN6/CM6)</f>
        <v>1</v>
      </c>
      <c r="CM6" s="46"/>
      <c r="CN6" s="46"/>
      <c r="CO6" s="45">
        <f>IF(CP6=0,1,CQ6/CP6)</f>
        <v>1</v>
      </c>
      <c r="CP6" s="46"/>
      <c r="CQ6" s="46"/>
      <c r="CR6" s="45">
        <f>IF(CS6=0,1,CT6/CS6)</f>
        <v>1</v>
      </c>
      <c r="CS6" s="46"/>
      <c r="CT6" s="46">
        <v>0</v>
      </c>
      <c r="CU6" s="47" t="str">
        <f>IFERROR(LOOKUP(2,1/('DRAFT 2'!$D:$D=$B6)*('DRAFT 2'!$A:$A&gt;=DATE(2026,2,1))*('DRAFT 2'!$A:$A&lt;DATE(2026,IF(2=12,2+1,2+1),1)),'DRAFT 2'!$A:$A),"")</f>
        <v/>
      </c>
      <c r="CV6">
        <f>COUNTIFS('DRAFT 2'!$D:$D,$B6,'DRAFT 2'!$A:$A,"&gt;="&amp;DATE(2026,2,1),'DRAFT 2'!$A:$A,"&lt;="&amp;DATE(2026,2,7))</f>
        <v>0</v>
      </c>
      <c r="CW6">
        <f>COUNTIFS('DRAFT 2'!$D:$D,$B6,'DRAFT 2'!$A:$A,"&gt;="&amp;DATE(2026,2,8),'DRAFT 2'!$A:$A,"&lt;="&amp;DATE(2026,2,14))</f>
        <v>0</v>
      </c>
      <c r="CX6">
        <f>COUNTIFS('DRAFT 2'!$D:$D,$B6,'DRAFT 2'!$A:$A,"&gt;="&amp;DATE(2026,2,15),'DRAFT 2'!$A:$A,"&lt;="&amp;DATE(2026,2,21))</f>
        <v>0</v>
      </c>
      <c r="CY6">
        <f>COUNTIFS('DRAFT 2'!$D:$D,$B6,'DRAFT 2'!$A:$A,"&gt;="&amp;DATE(2026,2,22),'DRAFT 2'!$A:$A,"&lt;"&amp;DATE(2026,IF(2=12,2+1,2+1),1))</f>
        <v>0</v>
      </c>
      <c r="CZ6">
        <f t="shared" si="3"/>
        <v>0</v>
      </c>
      <c r="DA6" s="45">
        <f>IF(DB6=0,1,DC6/DB6)</f>
        <v>1</v>
      </c>
      <c r="DB6" s="46"/>
      <c r="DC6" s="46"/>
      <c r="DD6" s="45">
        <f>IF(DE6=0,1,DF6/DE6)</f>
        <v>1</v>
      </c>
      <c r="DE6" s="46"/>
      <c r="DF6" s="46"/>
      <c r="DG6" s="45">
        <f>IF(DH6=0,1,DI6/DH6)</f>
        <v>1</v>
      </c>
      <c r="DH6" s="46"/>
      <c r="DI6" s="46"/>
      <c r="DJ6" s="47" t="str">
        <f>IFERROR(LOOKUP(2,1/('DRAFT 2'!$D:$D=$B6)*('DRAFT 2'!$A:$A&gt;=DATE(2026,3,1))*('DRAFT 2'!$A:$A&lt;DATE(2026,IF(3=12,3+1,3+1),1)),'DRAFT 2'!$A:$A),"")</f>
        <v/>
      </c>
      <c r="DK6">
        <f>COUNTIFS('DRAFT 2'!$D:$D,$B6,'DRAFT 2'!$A:$A,"&gt;="&amp;DATE(2026,3,1),'DRAFT 2'!$A:$A,"&lt;="&amp;DATE(2026,3,7))</f>
        <v>0</v>
      </c>
      <c r="DL6">
        <f>COUNTIFS('DRAFT 2'!$D:$D,$B6,'DRAFT 2'!$A:$A,"&gt;="&amp;DATE(2026,3,8),'DRAFT 2'!$A:$A,"&lt;="&amp;DATE(2026,3,14))</f>
        <v>0</v>
      </c>
      <c r="DM6">
        <f>COUNTIFS('DRAFT 2'!$D:$D,$B6,'DRAFT 2'!$A:$A,"&gt;="&amp;DATE(2026,3,15),'DRAFT 2'!$A:$A,"&lt;="&amp;DATE(2026,3,21))</f>
        <v>0</v>
      </c>
      <c r="DN6">
        <f>COUNTIFS('DRAFT 2'!$D:$D,$B6,'DRAFT 2'!$A:$A,"&gt;="&amp;DATE(2026,3,22),'DRAFT 2'!$A:$A,"&lt;"&amp;DATE(2026,IF(3=12,3+1,3+1),1))</f>
        <v>0</v>
      </c>
      <c r="DO6">
        <f t="shared" si="4"/>
        <v>0</v>
      </c>
      <c r="DP6" s="44">
        <f>AVERAGE(DW6,EL6,FA6)</f>
        <v>1</v>
      </c>
      <c r="DQ6" s="48">
        <f>IF(DR6=0,1,DS6/DR6)</f>
        <v>1</v>
      </c>
      <c r="DR6" s="46"/>
      <c r="DS6" s="46"/>
      <c r="DT6" s="48">
        <f>IF(DU6=0,1,DV6/DU6)</f>
        <v>1</v>
      </c>
      <c r="DU6" s="46"/>
      <c r="DV6" s="46"/>
      <c r="DW6" s="48">
        <f>IF(DX6=0,1,DY6/DX6)</f>
        <v>1</v>
      </c>
      <c r="DX6" s="46"/>
      <c r="DY6" s="46"/>
      <c r="DZ6" s="47" t="str">
        <f>IFERROR(LOOKUP(2,1/('DRAFT 2'!$D:$D=$B6)*('DRAFT 2'!$A:$A&gt;=DATE(2026,4,1))*('DRAFT 2'!$A:$A&lt;DATE(2026,IF(4=12,4+1,4+1),1)),'DRAFT 2'!$A:$A),"")</f>
        <v/>
      </c>
      <c r="EA6">
        <f>COUNTIFS('DRAFT 2'!$D:$D,$B6,'DRAFT 2'!$A:$A,"&gt;="&amp;DATE(2026,4,1),'DRAFT 2'!$A:$A,"&lt;="&amp;DATE(2026,4,7))</f>
        <v>0</v>
      </c>
      <c r="EB6">
        <f>COUNTIFS('DRAFT 2'!$D:$D,$B6,'DRAFT 2'!$A:$A,"&gt;="&amp;DATE(2026,4,8),'DRAFT 2'!$A:$A,"&lt;="&amp;DATE(2026,4,14))</f>
        <v>0</v>
      </c>
      <c r="EC6">
        <f>COUNTIFS('DRAFT 2'!$D:$D,$B6,'DRAFT 2'!$A:$A,"&gt;="&amp;DATE(2026,4,15),'DRAFT 2'!$A:$A,"&lt;="&amp;DATE(2026,4,21))</f>
        <v>0</v>
      </c>
      <c r="ED6">
        <f>COUNTIFS('DRAFT 2'!$D:$D,$B6,'DRAFT 2'!$A:$A,"&gt;="&amp;DATE(2026,4,22),'DRAFT 2'!$A:$A,"&lt;"&amp;DATE(2026,IF(4=12,4+1,4+1),1))</f>
        <v>0</v>
      </c>
      <c r="EE6">
        <f t="shared" si="5"/>
        <v>0</v>
      </c>
      <c r="EF6" s="48">
        <f>IF(EG6=0,1,EH6/EG6)</f>
        <v>1</v>
      </c>
      <c r="EG6" s="46"/>
      <c r="EH6" s="46"/>
      <c r="EI6" s="48">
        <f>IF(EJ6=0,1,EK6/EJ6)</f>
        <v>1</v>
      </c>
      <c r="EJ6" s="46"/>
      <c r="EK6" s="46"/>
      <c r="EL6" s="48">
        <f>IF(EM6=0,1,EN6/EM6)</f>
        <v>1</v>
      </c>
      <c r="EM6" s="46"/>
      <c r="EN6" s="46"/>
      <c r="EO6" s="47" t="str">
        <f>IFERROR(LOOKUP(2,1/('DRAFT 2'!$D:$D=$B6)*('DRAFT 2'!$A:$A&gt;=DATE(2026,5,1))*('DRAFT 2'!$A:$A&lt;DATE(2026,IF(5=12,5+1,5+1),1)),'DRAFT 2'!$A:$A),"")</f>
        <v/>
      </c>
      <c r="EP6">
        <f>COUNTIFS('DRAFT 2'!$D:$D,$B6,'DRAFT 2'!$A:$A,"&gt;="&amp;DATE(2026,5,1),'DRAFT 2'!$A:$A,"&lt;="&amp;DATE(2026,5,7))</f>
        <v>0</v>
      </c>
      <c r="EQ6">
        <f>COUNTIFS('DRAFT 2'!$D:$D,$B6,'DRAFT 2'!$A:$A,"&gt;="&amp;DATE(2026,5,8),'DRAFT 2'!$A:$A,"&lt;="&amp;DATE(2026,5,14))</f>
        <v>0</v>
      </c>
      <c r="ER6">
        <f>COUNTIFS('DRAFT 2'!$D:$D,$B6,'DRAFT 2'!$A:$A,"&gt;="&amp;DATE(2026,5,15),'DRAFT 2'!$A:$A,"&lt;="&amp;DATE(2026,5,21))</f>
        <v>0</v>
      </c>
      <c r="ES6">
        <f>COUNTIFS('DRAFT 2'!$D:$D,$B6,'DRAFT 2'!$A:$A,"&gt;="&amp;DATE(2026,5,22),'DRAFT 2'!$A:$A,"&lt;"&amp;DATE(2026,IF(5=12,5+1,5+1),1))</f>
        <v>0</v>
      </c>
      <c r="ET6">
        <f t="shared" si="6"/>
        <v>0</v>
      </c>
      <c r="EU6" s="48">
        <f>IF(EV6=0,1,EW6/EV6)</f>
        <v>1</v>
      </c>
      <c r="EV6" s="46"/>
      <c r="EW6" s="46"/>
      <c r="EX6" s="48">
        <f>IF(EY6=0,1,EZ6/EY6)</f>
        <v>1</v>
      </c>
      <c r="EY6" s="46"/>
      <c r="EZ6" s="46"/>
      <c r="FA6" s="48">
        <f>IF(FB6=0,1,FC6/FB6)</f>
        <v>1</v>
      </c>
      <c r="FB6" s="46"/>
      <c r="FC6" s="46"/>
      <c r="FD6" s="47" t="str">
        <f>IFERROR(LOOKUP(2,1/('DRAFT 2'!$D:$D=$B6)*('DRAFT 2'!$A:$A&gt;=DATE(2026,6,1))*('DRAFT 2'!$A:$A&lt;DATE(2026,IF(6=12,6+1,6+1),1)),'DRAFT 2'!$A:$A),"")</f>
        <v/>
      </c>
      <c r="FE6">
        <f>COUNTIFS('DRAFT 2'!$D:$D,$B6,'DRAFT 2'!$A:$A,"&gt;="&amp;DATE(2026,6,1),'DRAFT 2'!$A:$A,"&lt;="&amp;DATE(2026,6,7))</f>
        <v>0</v>
      </c>
      <c r="FF6">
        <f>COUNTIFS('DRAFT 2'!$D:$D,$B6,'DRAFT 2'!$A:$A,"&gt;="&amp;DATE(2026,6,8),'DRAFT 2'!$A:$A,"&lt;="&amp;DATE(2026,6,14))</f>
        <v>0</v>
      </c>
      <c r="FG6">
        <f>COUNTIFS('DRAFT 2'!$D:$D,$B6,'DRAFT 2'!$A:$A,"&gt;="&amp;DATE(2026,6,15),'DRAFT 2'!$A:$A,"&lt;="&amp;DATE(2026,6,21))</f>
        <v>0</v>
      </c>
      <c r="FH6">
        <f>COUNTIFS('DRAFT 2'!$D:$D,$B6,'DRAFT 2'!$A:$A,"&gt;="&amp;DATE(2026,6,22),'DRAFT 2'!$A:$A,"&lt;"&amp;DATE(2026,IF(6=12,6+1,6+1),1))</f>
        <v>0</v>
      </c>
      <c r="FI6">
        <f t="shared" si="7"/>
        <v>0</v>
      </c>
      <c r="FJ6" s="44">
        <f>AVERAGE(FQ6,GF6,GU6)</f>
        <v>1</v>
      </c>
      <c r="FK6" s="49">
        <f>IF(FL6=0,1,FM6/FL6)</f>
        <v>1</v>
      </c>
      <c r="FL6" s="46"/>
      <c r="FM6" s="46"/>
      <c r="FN6" s="49">
        <f>IF(FO6=0,1,FP6/FO6)</f>
        <v>1</v>
      </c>
      <c r="FO6" s="46"/>
      <c r="FP6" s="46"/>
      <c r="FQ6" s="49">
        <f>IF(FR6=0,1,FS6/FR6)</f>
        <v>1</v>
      </c>
      <c r="FR6" s="46"/>
      <c r="FS6" s="46"/>
      <c r="FT6" s="47" t="str">
        <f>IFERROR(LOOKUP(2,1/('DRAFT 2'!$D:$D=$B6)*('DRAFT 2'!$A:$A&gt;=DATE(2026,7,1))*('DRAFT 2'!$A:$A&lt;DATE(2026,IF(7=12,7+1,7+1),1)),'DRAFT 2'!$A:$A),"")</f>
        <v/>
      </c>
      <c r="FU6">
        <f>COUNTIFS('DRAFT 2'!$D:$D,$B6,'DRAFT 2'!$A:$A,"&gt;="&amp;DATE(2026,7,1),'DRAFT 2'!$A:$A,"&lt;="&amp;DATE(2026,7,7))</f>
        <v>0</v>
      </c>
      <c r="FV6">
        <f>COUNTIFS('DRAFT 2'!$D:$D,$B6,'DRAFT 2'!$A:$A,"&gt;="&amp;DATE(2026,7,8),'DRAFT 2'!$A:$A,"&lt;="&amp;DATE(2026,7,14))</f>
        <v>0</v>
      </c>
      <c r="FW6">
        <f>COUNTIFS('DRAFT 2'!$D:$D,$B6,'DRAFT 2'!$A:$A,"&gt;="&amp;DATE(2026,7,15),'DRAFT 2'!$A:$A,"&lt;="&amp;DATE(2026,7,21))</f>
        <v>0</v>
      </c>
      <c r="FX6">
        <f>COUNTIFS('DRAFT 2'!$D:$D,$B6,'DRAFT 2'!$A:$A,"&gt;="&amp;DATE(2026,7,22),'DRAFT 2'!$A:$A,"&lt;"&amp;DATE(2026,IF(7=12,7+1,7+1),1))</f>
        <v>0</v>
      </c>
      <c r="FY6">
        <f t="shared" si="8"/>
        <v>0</v>
      </c>
      <c r="FZ6" s="49">
        <f>IF(GA6=0,1,GB6/GA6)</f>
        <v>1</v>
      </c>
      <c r="GA6" s="46"/>
      <c r="GB6" s="46"/>
      <c r="GC6" s="49">
        <f>IF(GD6=0,1,GE6/GD6)</f>
        <v>1</v>
      </c>
      <c r="GD6" s="46"/>
      <c r="GE6" s="46"/>
      <c r="GF6" s="49">
        <f>IF(GG6=0,1,GH6/GG6)</f>
        <v>1</v>
      </c>
      <c r="GG6" s="46"/>
      <c r="GH6" s="46"/>
      <c r="GI6" s="47" t="str">
        <f>IFERROR(LOOKUP(2,1/('DRAFT 2'!$D:$D=$B6)*('DRAFT 2'!$A:$A&gt;=DATE(2026,8,1))*('DRAFT 2'!$A:$A&lt;DATE(2026,IF(8=12,8+1,8+1),1)),'DRAFT 2'!$A:$A),"")</f>
        <v/>
      </c>
      <c r="GJ6">
        <f>COUNTIFS('DRAFT 2'!$D:$D,$B6,'DRAFT 2'!$A:$A,"&gt;="&amp;DATE(2026,8,1),'DRAFT 2'!$A:$A,"&lt;="&amp;DATE(2026,8,7))</f>
        <v>0</v>
      </c>
      <c r="GK6">
        <f>COUNTIFS('DRAFT 2'!$D:$D,$B6,'DRAFT 2'!$A:$A,"&gt;="&amp;DATE(2026,8,8),'DRAFT 2'!$A:$A,"&lt;="&amp;DATE(2026,8,14))</f>
        <v>0</v>
      </c>
      <c r="GL6">
        <f>COUNTIFS('DRAFT 2'!$D:$D,$B6,'DRAFT 2'!$A:$A,"&gt;="&amp;DATE(2026,8,15),'DRAFT 2'!$A:$A,"&lt;="&amp;DATE(2026,8,21))</f>
        <v>0</v>
      </c>
      <c r="GM6">
        <f>COUNTIFS('DRAFT 2'!$D:$D,$B6,'DRAFT 2'!$A:$A,"&gt;="&amp;DATE(2026,8,22),'DRAFT 2'!$A:$A,"&lt;"&amp;DATE(2026,IF(8=12,8+1,8+1),1))</f>
        <v>0</v>
      </c>
      <c r="GN6">
        <f t="shared" si="9"/>
        <v>0</v>
      </c>
      <c r="GO6" s="49">
        <f>IF(GP6=0,1,GQ6/GP6)</f>
        <v>1</v>
      </c>
      <c r="GP6" s="46"/>
      <c r="GQ6" s="46"/>
      <c r="GR6" s="49">
        <f>IF(GS6=0,1,GT6/GS6)</f>
        <v>1</v>
      </c>
      <c r="GS6" s="46"/>
      <c r="GT6" s="46"/>
      <c r="GU6" s="49">
        <f>IF(GV6=0,1,GW6/GV6)</f>
        <v>1</v>
      </c>
      <c r="GV6" s="46"/>
      <c r="GW6" s="46"/>
      <c r="GX6" s="47" t="str">
        <f>IFERROR(LOOKUP(2,1/('DRAFT 2'!$D:$D=$B6)*('DRAFT 2'!$A:$A&gt;=DATE(2026,9,1))*('DRAFT 2'!$A:$A&lt;DATE(2026,IF(9=12,9+1,9+1),1)),'DRAFT 2'!$A:$A),"")</f>
        <v/>
      </c>
      <c r="GY6">
        <f>COUNTIFS('DRAFT 2'!$D:$D,$B6,'DRAFT 2'!$A:$A,"&gt;="&amp;DATE(2026,9,1),'DRAFT 2'!$A:$A,"&lt;="&amp;DATE(2026,9,7))</f>
        <v>0</v>
      </c>
      <c r="GZ6">
        <f>COUNTIFS('DRAFT 2'!$D:$D,$B6,'DRAFT 2'!$A:$A,"&gt;="&amp;DATE(2026,9,8),'DRAFT 2'!$A:$A,"&lt;="&amp;DATE(2026,9,14))</f>
        <v>0</v>
      </c>
      <c r="HA6">
        <f>COUNTIFS('DRAFT 2'!$D:$D,$B6,'DRAFT 2'!$A:$A,"&gt;="&amp;DATE(2026,9,15),'DRAFT 2'!$A:$A,"&lt;="&amp;DATE(2026,9,21))</f>
        <v>0</v>
      </c>
      <c r="HB6">
        <f>COUNTIFS('DRAFT 2'!$D:$D,$B6,'DRAFT 2'!$A:$A,"&gt;="&amp;DATE(2026,9,22),'DRAFT 2'!$A:$A,"&lt;"&amp;DATE(2026,IF(9=12,9+1,9+1),1))</f>
        <v>0</v>
      </c>
      <c r="HC6">
        <f t="shared" si="10"/>
        <v>0</v>
      </c>
      <c r="HD6" s="44">
        <f>AVERAGE(HK6,HZ6,IO6)</f>
        <v>1</v>
      </c>
      <c r="HE6" s="50">
        <f>IF(HF6=0,1,HG6/HF6)</f>
        <v>1</v>
      </c>
      <c r="HF6" s="46"/>
      <c r="HG6" s="46"/>
      <c r="HH6" s="50">
        <f>IF(HI6=0,1,HJ6/HI6)</f>
        <v>1</v>
      </c>
      <c r="HI6" s="46"/>
      <c r="HJ6" s="46"/>
      <c r="HK6" s="50">
        <f>IF(HL6=0,1,HM6/HL6)</f>
        <v>1</v>
      </c>
      <c r="HL6" s="46"/>
      <c r="HM6" s="46"/>
      <c r="HN6" s="47" t="str">
        <f>IFERROR(LOOKUP(2,1/('DRAFT 2'!$D:$D=$B6)*('DRAFT 2'!$A:$A&gt;=DATE(2026,10,1))*('DRAFT 2'!$A:$A&lt;DATE(2026,IF(10=12,10+1,10+1),1)),'DRAFT 2'!$A:$A),"")</f>
        <v/>
      </c>
      <c r="HO6">
        <f>COUNTIFS('DRAFT 2'!$D:$D,$B6,'DRAFT 2'!$A:$A,"&gt;="&amp;DATE(2026,10,1),'DRAFT 2'!$A:$A,"&lt;="&amp;DATE(2026,10,7))</f>
        <v>0</v>
      </c>
      <c r="HP6">
        <f>COUNTIFS('DRAFT 2'!$D:$D,$B6,'DRAFT 2'!$A:$A,"&gt;="&amp;DATE(2026,10,8),'DRAFT 2'!$A:$A,"&lt;="&amp;DATE(2026,10,14))</f>
        <v>0</v>
      </c>
      <c r="HQ6">
        <f>COUNTIFS('DRAFT 2'!$D:$D,$B6,'DRAFT 2'!$A:$A,"&gt;="&amp;DATE(2026,10,15),'DRAFT 2'!$A:$A,"&lt;="&amp;DATE(2026,10,21))</f>
        <v>0</v>
      </c>
      <c r="HR6">
        <f>COUNTIFS('DRAFT 2'!$D:$D,$B6,'DRAFT 2'!$A:$A,"&gt;="&amp;DATE(2026,10,22),'DRAFT 2'!$A:$A,"&lt;"&amp;DATE(2026,IF(10=12,10+1,10+1),1))</f>
        <v>0</v>
      </c>
      <c r="HS6">
        <f t="shared" si="11"/>
        <v>0</v>
      </c>
      <c r="HT6" s="50">
        <f>IF(HU6=0,1,HV6/HU6)</f>
        <v>1</v>
      </c>
      <c r="HU6" s="46"/>
      <c r="HV6" s="46"/>
      <c r="HW6" s="50">
        <f>IF(HX6=0,1,HY6/HX6)</f>
        <v>1</v>
      </c>
      <c r="HX6" s="46"/>
      <c r="HY6" s="46"/>
      <c r="HZ6" s="50">
        <f>IF(IA6=0,1,IB6/IA6)</f>
        <v>1</v>
      </c>
      <c r="IA6" s="46"/>
      <c r="IB6" s="46"/>
      <c r="IC6" s="47" t="str">
        <f>IFERROR(LOOKUP(2,1/('DRAFT 2'!$D:$D=$B6)*('DRAFT 2'!$A:$A&gt;=DATE(2026,11,1))*('DRAFT 2'!$A:$A&lt;DATE(2026,IF(11=12,11+1,11+1),1)),'DRAFT 2'!$A:$A),"")</f>
        <v/>
      </c>
      <c r="ID6">
        <f>COUNTIFS('DRAFT 2'!$D:$D,$B6,'DRAFT 2'!$A:$A,"&gt;="&amp;DATE(2026,11,1),'DRAFT 2'!$A:$A,"&lt;="&amp;DATE(2026,11,7))</f>
        <v>0</v>
      </c>
      <c r="IE6">
        <f>COUNTIFS('DRAFT 2'!$D:$D,$B6,'DRAFT 2'!$A:$A,"&gt;="&amp;DATE(2026,11,8),'DRAFT 2'!$A:$A,"&lt;="&amp;DATE(2026,11,14))</f>
        <v>0</v>
      </c>
      <c r="IF6">
        <f>COUNTIFS('DRAFT 2'!$D:$D,$B6,'DRAFT 2'!$A:$A,"&gt;="&amp;DATE(2026,11,15),'DRAFT 2'!$A:$A,"&lt;="&amp;DATE(2026,11,21))</f>
        <v>0</v>
      </c>
      <c r="IG6">
        <f>COUNTIFS('DRAFT 2'!$D:$D,$B6,'DRAFT 2'!$A:$A,"&gt;="&amp;DATE(2026,11,22),'DRAFT 2'!$A:$A,"&lt;"&amp;DATE(2026,IF(11=12,11+1,11+1),1))</f>
        <v>0</v>
      </c>
      <c r="IH6">
        <f t="shared" si="12"/>
        <v>0</v>
      </c>
      <c r="II6" s="50">
        <f>IF(IJ6=0,1,IK6/IJ6)</f>
        <v>1</v>
      </c>
      <c r="IJ6" s="46"/>
      <c r="IK6" s="46"/>
      <c r="IL6" s="50">
        <f>IF(IM6=0,1,IN6/IM6)</f>
        <v>1</v>
      </c>
      <c r="IM6" s="46"/>
      <c r="IN6" s="46"/>
      <c r="IO6" s="50">
        <f>IF(IP6=0,1,IQ6/IP6)</f>
        <v>1</v>
      </c>
      <c r="IP6" s="46"/>
      <c r="IQ6" s="46"/>
      <c r="IR6" s="47" t="str">
        <f>IFERROR(LOOKUP(2,1/('DRAFT 2'!$D:$D=$B6)*('DRAFT 2'!$A:$A&gt;=DATE(2026,12,1))*('DRAFT 2'!$A:$A&lt;DATE(2026,IF(12=12,12+1,12+1),1)),'DRAFT 2'!$A:$A),"")</f>
        <v/>
      </c>
      <c r="IS6">
        <f>COUNTIFS('DRAFT 2'!$D:$D,$B6,'DRAFT 2'!$A:$A,"&gt;="&amp;DATE(2026,12,1),'DRAFT 2'!$A:$A,"&lt;="&amp;DATE(2026,12,7))</f>
        <v>0</v>
      </c>
      <c r="IT6">
        <f>COUNTIFS('DRAFT 2'!$D:$D,$B6,'DRAFT 2'!$A:$A,"&gt;="&amp;DATE(2026,12,8),'DRAFT 2'!$A:$A,"&lt;="&amp;DATE(2026,12,14))</f>
        <v>0</v>
      </c>
      <c r="IU6">
        <f>COUNTIFS('DRAFT 2'!$D:$D,$B6,'DRAFT 2'!$A:$A,"&gt;="&amp;DATE(2026,12,15),'DRAFT 2'!$A:$A,"&lt;="&amp;DATE(2026,12,21))</f>
        <v>0</v>
      </c>
      <c r="IV6">
        <f>COUNTIFS('DRAFT 2'!$D:$D,$B6,'DRAFT 2'!$A:$A,"&gt;="&amp;DATE(2026,12,22),'DRAFT 2'!$A:$A,"&lt;"&amp;DATE(2026,IF(12=12,12+1,12+1),1))</f>
        <v>0</v>
      </c>
      <c r="IW6">
        <f t="shared" si="13"/>
        <v>0</v>
      </c>
    </row>
    <row r="7" spans="1:257" ht="15" customHeight="1" x14ac:dyDescent="0.3">
      <c r="A7" t="str">
        <f>IFERROR(INDEX('DRAFT 1'!$A:$A,MATCH($B7,'DRAFT 1'!$B:$B,0)),"")</f>
        <v/>
      </c>
      <c r="B7" t="s">
        <v>291</v>
      </c>
      <c r="C7" t="str">
        <f>IFERROR(INDEX('DRAFT 1'!$C:$C,MATCH($B7,'DRAFT 1'!$B:$B,0)),"")</f>
        <v/>
      </c>
      <c r="D7" t="str">
        <f>IFERROR(INDEX('DRAFT 1'!$D:$D,MATCH($B7,'DRAFT 1'!$B:$B,0)),"")</f>
        <v/>
      </c>
      <c r="E7" t="str">
        <f>IFERROR(INDEX('DRAFT 1'!$E:$E,MATCH($B7,'DRAFT 1'!$B:$B,0)),"")</f>
        <v/>
      </c>
      <c r="F7" t="str">
        <f>IFERROR(INDEX('DRAFT 1'!$F:$F,MATCH($B7,'DRAFT 1'!$B:$B,0)),"")</f>
        <v/>
      </c>
      <c r="G7" t="str">
        <f>IFERROR(INDEX('DRAFT 1'!$G:$G,MATCH($B7,'DRAFT 1'!$B:$B,0)),"")</f>
        <v/>
      </c>
      <c r="H7" t="str">
        <f>IFERROR(INDEX('DRAFT 1'!$H:$H,MATCH($B7,'DRAFT 1'!$B:$B,0)),"")</f>
        <v/>
      </c>
      <c r="I7" t="s">
        <v>292</v>
      </c>
      <c r="K7" t="str">
        <f>IFERROR(INDEX('DRAFT 1'!$AL:$AL,MATCH($B7,'DRAFT 1'!$B:$B,0)),"")</f>
        <v/>
      </c>
      <c r="L7" t="str">
        <f>IFERROR(INDEX('DRAFT 1'!$J:$J,MATCH($B7,'DRAFT 1'!$B:$B,0)),"")</f>
        <v/>
      </c>
      <c r="M7" t="str">
        <f>IFERROR(INDEX('DRAFT 1'!$K:$K,MATCH($B7,'DRAFT 1'!$B:$B,0)),"")</f>
        <v/>
      </c>
      <c r="N7" t="s">
        <v>85</v>
      </c>
      <c r="O7">
        <f>IF(N7="EM RISCO",1,IF(N7="INAT.REC",2,IF(N7="ATIVO",3,IF(N7="INAT.ANT",4,5))))</f>
        <v>5</v>
      </c>
      <c r="P7" t="str">
        <f>IFERROR(INDEX('DRAFT 1'!$L:$L,MATCH($B7,'DRAFT 1'!$B:$B,0)),"")</f>
        <v/>
      </c>
      <c r="Q7" t="str">
        <f>IFERROR(INDEX('DRAFT 1'!$M:$M,MATCH($B7,'DRAFT 1'!$B:$B,0)),"")</f>
        <v/>
      </c>
      <c r="R7" t="str">
        <f>IFERROR(INDEX('DRAFT 1'!$N:$N,MATCH($B7,'DRAFT 1'!$B:$B,0)),"")</f>
        <v/>
      </c>
      <c r="S7" t="str">
        <f>IFERROR(INDEX('DRAFT 1'!$O:$O,MATCH($B7,'DRAFT 1'!$B:$B,0)),"")</f>
        <v/>
      </c>
      <c r="T7" t="str">
        <f>IFERROR(INDEX('DRAFT 1'!$P:$P,MATCH($B7,'DRAFT 1'!$B:$B,0)),"")</f>
        <v/>
      </c>
      <c r="U7" t="str">
        <f>IFERROR(INDEX('DRAFT 1'!$Q:$Q,MATCH($B7,'DRAFT 1'!$B:$B,0)),"")</f>
        <v/>
      </c>
      <c r="V7" t="str">
        <f>IFERROR(INDEX('DRAFT 1'!$R:$R,MATCH($B7,'DRAFT 1'!$B:$B,0)),"")</f>
        <v/>
      </c>
      <c r="W7" t="str">
        <f>IFERROR(INDEX('DRAFT 1'!$S:$S,MATCH($B7,'DRAFT 1'!$B:$B,0)),"")</f>
        <v/>
      </c>
      <c r="X7" t="str">
        <f>IFERROR(INDEX('DRAFT 1'!$T:$T,MATCH($B7,'DRAFT 1'!$B:$B,0)),"")</f>
        <v/>
      </c>
      <c r="Y7">
        <f>SUM(Z7:AJ7)</f>
        <v>0</v>
      </c>
      <c r="Z7" t="str">
        <f>IFERROR(INDEX('DRAFT 1'!$U:$U,MATCH($B7,'DRAFT 1'!$B:$B,0)),"")</f>
        <v/>
      </c>
      <c r="AA7" t="str">
        <f>IFERROR(INDEX('DRAFT 1'!$V:$V,MATCH($B7,'DRAFT 1'!$B:$B,0)),"")</f>
        <v/>
      </c>
      <c r="AB7" t="str">
        <f>IFERROR(INDEX('DRAFT 1'!$W:$W,MATCH($B7,'DRAFT 1'!$B:$B,0)),"")</f>
        <v/>
      </c>
      <c r="AC7" t="str">
        <f>IFERROR(INDEX('DRAFT 1'!$X:$X,MATCH($B7,'DRAFT 1'!$B:$B,0)),"")</f>
        <v/>
      </c>
      <c r="AD7" t="str">
        <f>IFERROR(INDEX('DRAFT 1'!$Y:$Y,MATCH($B7,'DRAFT 1'!$B:$B,0)),"")</f>
        <v/>
      </c>
      <c r="AE7" t="str">
        <f>IFERROR(INDEX('DRAFT 1'!$Z:$Z,MATCH($B7,'DRAFT 1'!$B:$B,0)),"")</f>
        <v/>
      </c>
      <c r="AF7" t="str">
        <f>IFERROR(INDEX('DRAFT 1'!$AA:$AA,MATCH($B7,'DRAFT 1'!$B:$B,0)),"")</f>
        <v/>
      </c>
      <c r="AG7" t="str">
        <f>IFERROR(INDEX('DRAFT 1'!$AB:$AB,MATCH($B7,'DRAFT 1'!$B:$B,0)),"")</f>
        <v/>
      </c>
      <c r="AH7" t="str">
        <f>IFERROR(INDEX('DRAFT 1'!$AC:$AC,MATCH($B7,'DRAFT 1'!$B:$B,0)),"")</f>
        <v/>
      </c>
      <c r="AI7" t="str">
        <f>IFERROR(INDEX('DRAFT 1'!$AD:$AD,MATCH($B7,'DRAFT 1'!$B:$B,0)),"")</f>
        <v/>
      </c>
      <c r="AJ7" t="str">
        <f>IFERROR(INDEX('DRAFT 1'!$AE:$AE,MATCH($B7,'DRAFT 1'!$B:$B,0)),"")</f>
        <v/>
      </c>
      <c r="AK7" t="str">
        <f>IFERROR(INDEX('DRAFT 1'!$AG:$AG,MATCH($B7,'DRAFT 1'!$B:$B,0)),"")</f>
        <v/>
      </c>
      <c r="AL7" t="str">
        <f>IFERROR(INDEX('DRAFT 1'!$AH:$AH,MATCH($B7,'DRAFT 1'!$B:$B,0)),"")</f>
        <v/>
      </c>
      <c r="AM7" t="str">
        <f>IFERROR(INDEX('DRAFT 1'!$AI:$AI,MATCH($B7,'DRAFT 1'!$B:$B,0)),"")</f>
        <v/>
      </c>
      <c r="AN7" t="str">
        <f>IFERROR(INDEX('DRAFT 1'!$AJ:$AJ,MATCH($B7,'DRAFT 1'!$B:$B,0)),"")</f>
        <v/>
      </c>
      <c r="AO7">
        <f t="shared" si="0"/>
        <v>0</v>
      </c>
      <c r="AP7" t="str">
        <f>IFERROR(INDEX('DRAFT 1'!$AK:$AK,MATCH($B7,'DRAFT 1'!$B:$B,0)),"")</f>
        <v/>
      </c>
      <c r="AR7" t="s">
        <v>5</v>
      </c>
      <c r="AS7" t="str">
        <f>IFERROR(LOOKUP(2,1/('DRAFT 2'!$D:$D=$B7),'DRAFT 2'!$T:$T),"")</f>
        <v/>
      </c>
      <c r="AT7" t="str">
        <f>IFERROR(LOOKUP(2,1/('DRAFT 2'!$D:$D=$B7),'DRAFT 2'!$A:$A),"")</f>
        <v/>
      </c>
      <c r="AU7" t="str">
        <f>IFERROR(LOOKUP(2,1/('DRAFT 2'!$D:$D=$B7),'DRAFT 2'!$R:$R),"")</f>
        <v/>
      </c>
      <c r="AV7" t="str">
        <f>IFERROR(LOOKUP(2,1/('DRAFT 2'!$D:$D=$B7),'DRAFT 2'!$S:$S),"")</f>
        <v/>
      </c>
      <c r="AW7" t="s">
        <v>126</v>
      </c>
      <c r="AX7" t="str">
        <f>IFERROR(LOOKUP(2,1/('DRAFT 2'!$D:$D=$B7),'DRAFT 2'!$M:$M),"")</f>
        <v/>
      </c>
      <c r="AY7" t="str">
        <f>IFERROR(LOOKUP(2,1/('DRAFT 2'!$D:$D=$B7),'DRAFT 2'!$K:$K),"")</f>
        <v/>
      </c>
      <c r="BA7" t="str">
        <f>IF(N7="PROSPECT","❄️ FRIO",IF(OR(AR7="ORÇAMENTO",AR7="NEGOCIAÇÃO",AR7="CADASTRO"),"🔥 QUENTE",IF(OR(AR7="FOLLOW UP 7",AR7="FOLLOW UP 15",AR7="ATENDIMENTO"),"⚡ MORNO","❄️ FRIO")))</f>
        <v>❄️ FRIO</v>
      </c>
      <c r="BB7" t="str">
        <f>IF(BE7="","",BE7-BC7)</f>
        <v/>
      </c>
      <c r="BG7" t="str">
        <f>IFERROR(LOOKUP(2,1/('DRAFT 2'!$D:$D=$B7),'DRAFT 2'!$U:$U),"")</f>
        <v/>
      </c>
      <c r="BH7" t="str">
        <f>IFERROR(LOOKUP(2,1/('DRAFT 2'!$D:$D=$B7),'DRAFT 2'!$V:$V),"")</f>
        <v/>
      </c>
      <c r="BI7" t="str">
        <f>IF(Q7="","🟣",IF(P7&lt;=IF(AK7="",45,AK7),"🟢",IF(P7&lt;=IF(AK7="",45,AK7)+30,"🟡","🔴")))</f>
        <v>🟣</v>
      </c>
      <c r="BJ7" t="s">
        <v>293</v>
      </c>
      <c r="BU7" s="44">
        <f>CR7</f>
        <v>1</v>
      </c>
      <c r="BV7" s="44">
        <f>AVERAGE(CC7,CR7,DG7)</f>
        <v>1</v>
      </c>
      <c r="BW7" s="45">
        <f>IF(BX7=0,1,BY7/BX7)</f>
        <v>1</v>
      </c>
      <c r="BX7" s="46"/>
      <c r="BY7" s="46"/>
      <c r="BZ7" s="45">
        <f>IF(CA7=0,1,CB7/CA7)</f>
        <v>1</v>
      </c>
      <c r="CA7" s="46"/>
      <c r="CB7" s="46"/>
      <c r="CC7" s="45">
        <f>IF(CD7=0,1,CE7/CD7)</f>
        <v>1</v>
      </c>
      <c r="CD7" s="46"/>
      <c r="CE7" s="46" t="str">
        <f t="shared" si="1"/>
        <v/>
      </c>
      <c r="CF7" s="47" t="str">
        <f>IFERROR(LOOKUP(2,1/('DRAFT 2'!$D:$D=$B7)*('DRAFT 2'!$A:$A&gt;=DATE(2026,1,1))*('DRAFT 2'!$A:$A&lt;DATE(2026,IF(1=12,1+1,1+1),1)),'DRAFT 2'!$A:$A),"")</f>
        <v/>
      </c>
      <c r="CG7">
        <f>COUNTIFS('DRAFT 2'!$D:$D,$B7,'DRAFT 2'!$A:$A,"&gt;="&amp;DATE(2026,1,1),'DRAFT 2'!$A:$A,"&lt;="&amp;DATE(2026,1,7))</f>
        <v>0</v>
      </c>
      <c r="CH7">
        <f>COUNTIFS('DRAFT 2'!$D:$D,$B7,'DRAFT 2'!$A:$A,"&gt;="&amp;DATE(2026,1,8),'DRAFT 2'!$A:$A,"&lt;="&amp;DATE(2026,1,14))</f>
        <v>0</v>
      </c>
      <c r="CI7">
        <f>COUNTIFS('DRAFT 2'!$D:$D,$B7,'DRAFT 2'!$A:$A,"&gt;="&amp;DATE(2026,1,15),'DRAFT 2'!$A:$A,"&lt;="&amp;DATE(2026,1,21))</f>
        <v>0</v>
      </c>
      <c r="CJ7">
        <f>COUNTIFS('DRAFT 2'!$D:$D,$B7,'DRAFT 2'!$A:$A,"&gt;="&amp;DATE(2026,1,22),'DRAFT 2'!$A:$A,"&lt;"&amp;DATE(2026,IF(1=12,1+1,1+1),1))</f>
        <v>0</v>
      </c>
      <c r="CK7">
        <f t="shared" si="2"/>
        <v>0</v>
      </c>
      <c r="CL7" s="45">
        <f>IF(CM7=0,1,CN7/CM7)</f>
        <v>1</v>
      </c>
      <c r="CM7" s="46"/>
      <c r="CN7" s="46"/>
      <c r="CO7" s="45">
        <f>IF(CP7=0,1,CQ7/CP7)</f>
        <v>1</v>
      </c>
      <c r="CP7" s="46"/>
      <c r="CQ7" s="46"/>
      <c r="CR7" s="45">
        <f>IF(CS7=0,1,CT7/CS7)</f>
        <v>1</v>
      </c>
      <c r="CS7" s="46"/>
      <c r="CT7" s="46">
        <v>0</v>
      </c>
      <c r="CU7" s="47" t="str">
        <f>IFERROR(LOOKUP(2,1/('DRAFT 2'!$D:$D=$B7)*('DRAFT 2'!$A:$A&gt;=DATE(2026,2,1))*('DRAFT 2'!$A:$A&lt;DATE(2026,IF(2=12,2+1,2+1),1)),'DRAFT 2'!$A:$A),"")</f>
        <v/>
      </c>
      <c r="CV7">
        <f>COUNTIFS('DRAFT 2'!$D:$D,$B7,'DRAFT 2'!$A:$A,"&gt;="&amp;DATE(2026,2,1),'DRAFT 2'!$A:$A,"&lt;="&amp;DATE(2026,2,7))</f>
        <v>0</v>
      </c>
      <c r="CW7">
        <f>COUNTIFS('DRAFT 2'!$D:$D,$B7,'DRAFT 2'!$A:$A,"&gt;="&amp;DATE(2026,2,8),'DRAFT 2'!$A:$A,"&lt;="&amp;DATE(2026,2,14))</f>
        <v>0</v>
      </c>
      <c r="CX7">
        <f>COUNTIFS('DRAFT 2'!$D:$D,$B7,'DRAFT 2'!$A:$A,"&gt;="&amp;DATE(2026,2,15),'DRAFT 2'!$A:$A,"&lt;="&amp;DATE(2026,2,21))</f>
        <v>0</v>
      </c>
      <c r="CY7">
        <f>COUNTIFS('DRAFT 2'!$D:$D,$B7,'DRAFT 2'!$A:$A,"&gt;="&amp;DATE(2026,2,22),'DRAFT 2'!$A:$A,"&lt;"&amp;DATE(2026,IF(2=12,2+1,2+1),1))</f>
        <v>0</v>
      </c>
      <c r="CZ7">
        <f t="shared" si="3"/>
        <v>0</v>
      </c>
      <c r="DA7" s="45">
        <f>IF(DB7=0,1,DC7/DB7)</f>
        <v>1</v>
      </c>
      <c r="DB7" s="46"/>
      <c r="DC7" s="46"/>
      <c r="DD7" s="45">
        <f>IF(DE7=0,1,DF7/DE7)</f>
        <v>1</v>
      </c>
      <c r="DE7" s="46"/>
      <c r="DF7" s="46"/>
      <c r="DG7" s="45">
        <f>IF(DH7=0,1,DI7/DH7)</f>
        <v>1</v>
      </c>
      <c r="DH7" s="46"/>
      <c r="DI7" s="46"/>
      <c r="DJ7" s="47" t="str">
        <f>IFERROR(LOOKUP(2,1/('DRAFT 2'!$D:$D=$B7)*('DRAFT 2'!$A:$A&gt;=DATE(2026,3,1))*('DRAFT 2'!$A:$A&lt;DATE(2026,IF(3=12,3+1,3+1),1)),'DRAFT 2'!$A:$A),"")</f>
        <v/>
      </c>
      <c r="DK7">
        <f>COUNTIFS('DRAFT 2'!$D:$D,$B7,'DRAFT 2'!$A:$A,"&gt;="&amp;DATE(2026,3,1),'DRAFT 2'!$A:$A,"&lt;="&amp;DATE(2026,3,7))</f>
        <v>0</v>
      </c>
      <c r="DL7">
        <f>COUNTIFS('DRAFT 2'!$D:$D,$B7,'DRAFT 2'!$A:$A,"&gt;="&amp;DATE(2026,3,8),'DRAFT 2'!$A:$A,"&lt;="&amp;DATE(2026,3,14))</f>
        <v>0</v>
      </c>
      <c r="DM7">
        <f>COUNTIFS('DRAFT 2'!$D:$D,$B7,'DRAFT 2'!$A:$A,"&gt;="&amp;DATE(2026,3,15),'DRAFT 2'!$A:$A,"&lt;="&amp;DATE(2026,3,21))</f>
        <v>0</v>
      </c>
      <c r="DN7">
        <f>COUNTIFS('DRAFT 2'!$D:$D,$B7,'DRAFT 2'!$A:$A,"&gt;="&amp;DATE(2026,3,22),'DRAFT 2'!$A:$A,"&lt;"&amp;DATE(2026,IF(3=12,3+1,3+1),1))</f>
        <v>0</v>
      </c>
      <c r="DO7">
        <f t="shared" si="4"/>
        <v>0</v>
      </c>
      <c r="DP7" s="44">
        <f>AVERAGE(DW7,EL7,FA7)</f>
        <v>1</v>
      </c>
      <c r="DQ7" s="48">
        <f>IF(DR7=0,1,DS7/DR7)</f>
        <v>1</v>
      </c>
      <c r="DR7" s="46"/>
      <c r="DS7" s="46"/>
      <c r="DT7" s="48">
        <f>IF(DU7=0,1,DV7/DU7)</f>
        <v>1</v>
      </c>
      <c r="DU7" s="46"/>
      <c r="DV7" s="46"/>
      <c r="DW7" s="48">
        <f>IF(DX7=0,1,DY7/DX7)</f>
        <v>1</v>
      </c>
      <c r="DX7" s="46"/>
      <c r="DY7" s="46"/>
      <c r="DZ7" s="47" t="str">
        <f>IFERROR(LOOKUP(2,1/('DRAFT 2'!$D:$D=$B7)*('DRAFT 2'!$A:$A&gt;=DATE(2026,4,1))*('DRAFT 2'!$A:$A&lt;DATE(2026,IF(4=12,4+1,4+1),1)),'DRAFT 2'!$A:$A),"")</f>
        <v/>
      </c>
      <c r="EA7">
        <f>COUNTIFS('DRAFT 2'!$D:$D,$B7,'DRAFT 2'!$A:$A,"&gt;="&amp;DATE(2026,4,1),'DRAFT 2'!$A:$A,"&lt;="&amp;DATE(2026,4,7))</f>
        <v>0</v>
      </c>
      <c r="EB7">
        <f>COUNTIFS('DRAFT 2'!$D:$D,$B7,'DRAFT 2'!$A:$A,"&gt;="&amp;DATE(2026,4,8),'DRAFT 2'!$A:$A,"&lt;="&amp;DATE(2026,4,14))</f>
        <v>0</v>
      </c>
      <c r="EC7">
        <f>COUNTIFS('DRAFT 2'!$D:$D,$B7,'DRAFT 2'!$A:$A,"&gt;="&amp;DATE(2026,4,15),'DRAFT 2'!$A:$A,"&lt;="&amp;DATE(2026,4,21))</f>
        <v>0</v>
      </c>
      <c r="ED7">
        <f>COUNTIFS('DRAFT 2'!$D:$D,$B7,'DRAFT 2'!$A:$A,"&gt;="&amp;DATE(2026,4,22),'DRAFT 2'!$A:$A,"&lt;"&amp;DATE(2026,IF(4=12,4+1,4+1),1))</f>
        <v>0</v>
      </c>
      <c r="EE7">
        <f t="shared" si="5"/>
        <v>0</v>
      </c>
      <c r="EF7" s="48">
        <f>IF(EG7=0,1,EH7/EG7)</f>
        <v>1</v>
      </c>
      <c r="EG7" s="46"/>
      <c r="EH7" s="46"/>
      <c r="EI7" s="48">
        <f>IF(EJ7=0,1,EK7/EJ7)</f>
        <v>1</v>
      </c>
      <c r="EJ7" s="46"/>
      <c r="EK7" s="46"/>
      <c r="EL7" s="48">
        <f>IF(EM7=0,1,EN7/EM7)</f>
        <v>1</v>
      </c>
      <c r="EM7" s="46"/>
      <c r="EN7" s="46"/>
      <c r="EO7" s="47" t="str">
        <f>IFERROR(LOOKUP(2,1/('DRAFT 2'!$D:$D=$B7)*('DRAFT 2'!$A:$A&gt;=DATE(2026,5,1))*('DRAFT 2'!$A:$A&lt;DATE(2026,IF(5=12,5+1,5+1),1)),'DRAFT 2'!$A:$A),"")</f>
        <v/>
      </c>
      <c r="EP7">
        <f>COUNTIFS('DRAFT 2'!$D:$D,$B7,'DRAFT 2'!$A:$A,"&gt;="&amp;DATE(2026,5,1),'DRAFT 2'!$A:$A,"&lt;="&amp;DATE(2026,5,7))</f>
        <v>0</v>
      </c>
      <c r="EQ7">
        <f>COUNTIFS('DRAFT 2'!$D:$D,$B7,'DRAFT 2'!$A:$A,"&gt;="&amp;DATE(2026,5,8),'DRAFT 2'!$A:$A,"&lt;="&amp;DATE(2026,5,14))</f>
        <v>0</v>
      </c>
      <c r="ER7">
        <f>COUNTIFS('DRAFT 2'!$D:$D,$B7,'DRAFT 2'!$A:$A,"&gt;="&amp;DATE(2026,5,15),'DRAFT 2'!$A:$A,"&lt;="&amp;DATE(2026,5,21))</f>
        <v>0</v>
      </c>
      <c r="ES7">
        <f>COUNTIFS('DRAFT 2'!$D:$D,$B7,'DRAFT 2'!$A:$A,"&gt;="&amp;DATE(2026,5,22),'DRAFT 2'!$A:$A,"&lt;"&amp;DATE(2026,IF(5=12,5+1,5+1),1))</f>
        <v>0</v>
      </c>
      <c r="ET7">
        <f t="shared" si="6"/>
        <v>0</v>
      </c>
      <c r="EU7" s="48">
        <f>IF(EV7=0,1,EW7/EV7)</f>
        <v>1</v>
      </c>
      <c r="EV7" s="46"/>
      <c r="EW7" s="46"/>
      <c r="EX7" s="48">
        <f>IF(EY7=0,1,EZ7/EY7)</f>
        <v>1</v>
      </c>
      <c r="EY7" s="46"/>
      <c r="EZ7" s="46"/>
      <c r="FA7" s="48">
        <f>IF(FB7=0,1,FC7/FB7)</f>
        <v>1</v>
      </c>
      <c r="FB7" s="46"/>
      <c r="FC7" s="46"/>
      <c r="FD7" s="47" t="str">
        <f>IFERROR(LOOKUP(2,1/('DRAFT 2'!$D:$D=$B7)*('DRAFT 2'!$A:$A&gt;=DATE(2026,6,1))*('DRAFT 2'!$A:$A&lt;DATE(2026,IF(6=12,6+1,6+1),1)),'DRAFT 2'!$A:$A),"")</f>
        <v/>
      </c>
      <c r="FE7">
        <f>COUNTIFS('DRAFT 2'!$D:$D,$B7,'DRAFT 2'!$A:$A,"&gt;="&amp;DATE(2026,6,1),'DRAFT 2'!$A:$A,"&lt;="&amp;DATE(2026,6,7))</f>
        <v>0</v>
      </c>
      <c r="FF7">
        <f>COUNTIFS('DRAFT 2'!$D:$D,$B7,'DRAFT 2'!$A:$A,"&gt;="&amp;DATE(2026,6,8),'DRAFT 2'!$A:$A,"&lt;="&amp;DATE(2026,6,14))</f>
        <v>0</v>
      </c>
      <c r="FG7">
        <f>COUNTIFS('DRAFT 2'!$D:$D,$B7,'DRAFT 2'!$A:$A,"&gt;="&amp;DATE(2026,6,15),'DRAFT 2'!$A:$A,"&lt;="&amp;DATE(2026,6,21))</f>
        <v>0</v>
      </c>
      <c r="FH7">
        <f>COUNTIFS('DRAFT 2'!$D:$D,$B7,'DRAFT 2'!$A:$A,"&gt;="&amp;DATE(2026,6,22),'DRAFT 2'!$A:$A,"&lt;"&amp;DATE(2026,IF(6=12,6+1,6+1),1))</f>
        <v>0</v>
      </c>
      <c r="FI7">
        <f t="shared" si="7"/>
        <v>0</v>
      </c>
      <c r="FJ7" s="44">
        <f>AVERAGE(FQ7,GF7,GU7)</f>
        <v>1</v>
      </c>
      <c r="FK7" s="49">
        <f>IF(FL7=0,1,FM7/FL7)</f>
        <v>1</v>
      </c>
      <c r="FL7" s="46"/>
      <c r="FM7" s="46"/>
      <c r="FN7" s="49">
        <f>IF(FO7=0,1,FP7/FO7)</f>
        <v>1</v>
      </c>
      <c r="FO7" s="46"/>
      <c r="FP7" s="46"/>
      <c r="FQ7" s="49">
        <f>IF(FR7=0,1,FS7/FR7)</f>
        <v>1</v>
      </c>
      <c r="FR7" s="46"/>
      <c r="FS7" s="46"/>
      <c r="FT7" s="47" t="str">
        <f>IFERROR(LOOKUP(2,1/('DRAFT 2'!$D:$D=$B7)*('DRAFT 2'!$A:$A&gt;=DATE(2026,7,1))*('DRAFT 2'!$A:$A&lt;DATE(2026,IF(7=12,7+1,7+1),1)),'DRAFT 2'!$A:$A),"")</f>
        <v/>
      </c>
      <c r="FU7">
        <f>COUNTIFS('DRAFT 2'!$D:$D,$B7,'DRAFT 2'!$A:$A,"&gt;="&amp;DATE(2026,7,1),'DRAFT 2'!$A:$A,"&lt;="&amp;DATE(2026,7,7))</f>
        <v>0</v>
      </c>
      <c r="FV7">
        <f>COUNTIFS('DRAFT 2'!$D:$D,$B7,'DRAFT 2'!$A:$A,"&gt;="&amp;DATE(2026,7,8),'DRAFT 2'!$A:$A,"&lt;="&amp;DATE(2026,7,14))</f>
        <v>0</v>
      </c>
      <c r="FW7">
        <f>COUNTIFS('DRAFT 2'!$D:$D,$B7,'DRAFT 2'!$A:$A,"&gt;="&amp;DATE(2026,7,15),'DRAFT 2'!$A:$A,"&lt;="&amp;DATE(2026,7,21))</f>
        <v>0</v>
      </c>
      <c r="FX7">
        <f>COUNTIFS('DRAFT 2'!$D:$D,$B7,'DRAFT 2'!$A:$A,"&gt;="&amp;DATE(2026,7,22),'DRAFT 2'!$A:$A,"&lt;"&amp;DATE(2026,IF(7=12,7+1,7+1),1))</f>
        <v>0</v>
      </c>
      <c r="FY7">
        <f t="shared" si="8"/>
        <v>0</v>
      </c>
      <c r="FZ7" s="49">
        <f>IF(GA7=0,1,GB7/GA7)</f>
        <v>1</v>
      </c>
      <c r="GA7" s="46"/>
      <c r="GB7" s="46"/>
      <c r="GC7" s="49">
        <f>IF(GD7=0,1,GE7/GD7)</f>
        <v>1</v>
      </c>
      <c r="GD7" s="46"/>
      <c r="GE7" s="46"/>
      <c r="GF7" s="49">
        <f>IF(GG7=0,1,GH7/GG7)</f>
        <v>1</v>
      </c>
      <c r="GG7" s="46"/>
      <c r="GH7" s="46"/>
      <c r="GI7" s="47" t="str">
        <f>IFERROR(LOOKUP(2,1/('DRAFT 2'!$D:$D=$B7)*('DRAFT 2'!$A:$A&gt;=DATE(2026,8,1))*('DRAFT 2'!$A:$A&lt;DATE(2026,IF(8=12,8+1,8+1),1)),'DRAFT 2'!$A:$A),"")</f>
        <v/>
      </c>
      <c r="GJ7">
        <f>COUNTIFS('DRAFT 2'!$D:$D,$B7,'DRAFT 2'!$A:$A,"&gt;="&amp;DATE(2026,8,1),'DRAFT 2'!$A:$A,"&lt;="&amp;DATE(2026,8,7))</f>
        <v>0</v>
      </c>
      <c r="GK7">
        <f>COUNTIFS('DRAFT 2'!$D:$D,$B7,'DRAFT 2'!$A:$A,"&gt;="&amp;DATE(2026,8,8),'DRAFT 2'!$A:$A,"&lt;="&amp;DATE(2026,8,14))</f>
        <v>0</v>
      </c>
      <c r="GL7">
        <f>COUNTIFS('DRAFT 2'!$D:$D,$B7,'DRAFT 2'!$A:$A,"&gt;="&amp;DATE(2026,8,15),'DRAFT 2'!$A:$A,"&lt;="&amp;DATE(2026,8,21))</f>
        <v>0</v>
      </c>
      <c r="GM7">
        <f>COUNTIFS('DRAFT 2'!$D:$D,$B7,'DRAFT 2'!$A:$A,"&gt;="&amp;DATE(2026,8,22),'DRAFT 2'!$A:$A,"&lt;"&amp;DATE(2026,IF(8=12,8+1,8+1),1))</f>
        <v>0</v>
      </c>
      <c r="GN7">
        <f t="shared" si="9"/>
        <v>0</v>
      </c>
      <c r="GO7" s="49">
        <f>IF(GP7=0,1,GQ7/GP7)</f>
        <v>1</v>
      </c>
      <c r="GP7" s="46"/>
      <c r="GQ7" s="46"/>
      <c r="GR7" s="49">
        <f>IF(GS7=0,1,GT7/GS7)</f>
        <v>1</v>
      </c>
      <c r="GS7" s="46"/>
      <c r="GT7" s="46"/>
      <c r="GU7" s="49">
        <f>IF(GV7=0,1,GW7/GV7)</f>
        <v>1</v>
      </c>
      <c r="GV7" s="46"/>
      <c r="GW7" s="46"/>
      <c r="GX7" s="47" t="str">
        <f>IFERROR(LOOKUP(2,1/('DRAFT 2'!$D:$D=$B7)*('DRAFT 2'!$A:$A&gt;=DATE(2026,9,1))*('DRAFT 2'!$A:$A&lt;DATE(2026,IF(9=12,9+1,9+1),1)),'DRAFT 2'!$A:$A),"")</f>
        <v/>
      </c>
      <c r="GY7">
        <f>COUNTIFS('DRAFT 2'!$D:$D,$B7,'DRAFT 2'!$A:$A,"&gt;="&amp;DATE(2026,9,1),'DRAFT 2'!$A:$A,"&lt;="&amp;DATE(2026,9,7))</f>
        <v>0</v>
      </c>
      <c r="GZ7">
        <f>COUNTIFS('DRAFT 2'!$D:$D,$B7,'DRAFT 2'!$A:$A,"&gt;="&amp;DATE(2026,9,8),'DRAFT 2'!$A:$A,"&lt;="&amp;DATE(2026,9,14))</f>
        <v>0</v>
      </c>
      <c r="HA7">
        <f>COUNTIFS('DRAFT 2'!$D:$D,$B7,'DRAFT 2'!$A:$A,"&gt;="&amp;DATE(2026,9,15),'DRAFT 2'!$A:$A,"&lt;="&amp;DATE(2026,9,21))</f>
        <v>0</v>
      </c>
      <c r="HB7">
        <f>COUNTIFS('DRAFT 2'!$D:$D,$B7,'DRAFT 2'!$A:$A,"&gt;="&amp;DATE(2026,9,22),'DRAFT 2'!$A:$A,"&lt;"&amp;DATE(2026,IF(9=12,9+1,9+1),1))</f>
        <v>0</v>
      </c>
      <c r="HC7">
        <f t="shared" si="10"/>
        <v>0</v>
      </c>
      <c r="HD7" s="44">
        <f>AVERAGE(HK7,HZ7,IO7)</f>
        <v>1</v>
      </c>
      <c r="HE7" s="50">
        <f>IF(HF7=0,1,HG7/HF7)</f>
        <v>1</v>
      </c>
      <c r="HF7" s="46"/>
      <c r="HG7" s="46"/>
      <c r="HH7" s="50">
        <f>IF(HI7=0,1,HJ7/HI7)</f>
        <v>1</v>
      </c>
      <c r="HI7" s="46"/>
      <c r="HJ7" s="46"/>
      <c r="HK7" s="50">
        <f>IF(HL7=0,1,HM7/HL7)</f>
        <v>1</v>
      </c>
      <c r="HL7" s="46"/>
      <c r="HM7" s="46"/>
      <c r="HN7" s="47" t="str">
        <f>IFERROR(LOOKUP(2,1/('DRAFT 2'!$D:$D=$B7)*('DRAFT 2'!$A:$A&gt;=DATE(2026,10,1))*('DRAFT 2'!$A:$A&lt;DATE(2026,IF(10=12,10+1,10+1),1)),'DRAFT 2'!$A:$A),"")</f>
        <v/>
      </c>
      <c r="HO7">
        <f>COUNTIFS('DRAFT 2'!$D:$D,$B7,'DRAFT 2'!$A:$A,"&gt;="&amp;DATE(2026,10,1),'DRAFT 2'!$A:$A,"&lt;="&amp;DATE(2026,10,7))</f>
        <v>0</v>
      </c>
      <c r="HP7">
        <f>COUNTIFS('DRAFT 2'!$D:$D,$B7,'DRAFT 2'!$A:$A,"&gt;="&amp;DATE(2026,10,8),'DRAFT 2'!$A:$A,"&lt;="&amp;DATE(2026,10,14))</f>
        <v>0</v>
      </c>
      <c r="HQ7">
        <f>COUNTIFS('DRAFT 2'!$D:$D,$B7,'DRAFT 2'!$A:$A,"&gt;="&amp;DATE(2026,10,15),'DRAFT 2'!$A:$A,"&lt;="&amp;DATE(2026,10,21))</f>
        <v>0</v>
      </c>
      <c r="HR7">
        <f>COUNTIFS('DRAFT 2'!$D:$D,$B7,'DRAFT 2'!$A:$A,"&gt;="&amp;DATE(2026,10,22),'DRAFT 2'!$A:$A,"&lt;"&amp;DATE(2026,IF(10=12,10+1,10+1),1))</f>
        <v>0</v>
      </c>
      <c r="HS7">
        <f t="shared" si="11"/>
        <v>0</v>
      </c>
      <c r="HT7" s="50">
        <f>IF(HU7=0,1,HV7/HU7)</f>
        <v>1</v>
      </c>
      <c r="HU7" s="46"/>
      <c r="HV7" s="46"/>
      <c r="HW7" s="50">
        <f>IF(HX7=0,1,HY7/HX7)</f>
        <v>1</v>
      </c>
      <c r="HX7" s="46"/>
      <c r="HY7" s="46"/>
      <c r="HZ7" s="50">
        <f>IF(IA7=0,1,IB7/IA7)</f>
        <v>1</v>
      </c>
      <c r="IA7" s="46"/>
      <c r="IB7" s="46"/>
      <c r="IC7" s="47" t="str">
        <f>IFERROR(LOOKUP(2,1/('DRAFT 2'!$D:$D=$B7)*('DRAFT 2'!$A:$A&gt;=DATE(2026,11,1))*('DRAFT 2'!$A:$A&lt;DATE(2026,IF(11=12,11+1,11+1),1)),'DRAFT 2'!$A:$A),"")</f>
        <v/>
      </c>
      <c r="ID7">
        <f>COUNTIFS('DRAFT 2'!$D:$D,$B7,'DRAFT 2'!$A:$A,"&gt;="&amp;DATE(2026,11,1),'DRAFT 2'!$A:$A,"&lt;="&amp;DATE(2026,11,7))</f>
        <v>0</v>
      </c>
      <c r="IE7">
        <f>COUNTIFS('DRAFT 2'!$D:$D,$B7,'DRAFT 2'!$A:$A,"&gt;="&amp;DATE(2026,11,8),'DRAFT 2'!$A:$A,"&lt;="&amp;DATE(2026,11,14))</f>
        <v>0</v>
      </c>
      <c r="IF7">
        <f>COUNTIFS('DRAFT 2'!$D:$D,$B7,'DRAFT 2'!$A:$A,"&gt;="&amp;DATE(2026,11,15),'DRAFT 2'!$A:$A,"&lt;="&amp;DATE(2026,11,21))</f>
        <v>0</v>
      </c>
      <c r="IG7">
        <f>COUNTIFS('DRAFT 2'!$D:$D,$B7,'DRAFT 2'!$A:$A,"&gt;="&amp;DATE(2026,11,22),'DRAFT 2'!$A:$A,"&lt;"&amp;DATE(2026,IF(11=12,11+1,11+1),1))</f>
        <v>0</v>
      </c>
      <c r="IH7">
        <f t="shared" si="12"/>
        <v>0</v>
      </c>
      <c r="II7" s="50">
        <f>IF(IJ7=0,1,IK7/IJ7)</f>
        <v>1</v>
      </c>
      <c r="IJ7" s="46"/>
      <c r="IK7" s="46"/>
      <c r="IL7" s="50">
        <f>IF(IM7=0,1,IN7/IM7)</f>
        <v>1</v>
      </c>
      <c r="IM7" s="46"/>
      <c r="IN7" s="46"/>
      <c r="IO7" s="50">
        <f>IF(IP7=0,1,IQ7/IP7)</f>
        <v>1</v>
      </c>
      <c r="IP7" s="46"/>
      <c r="IQ7" s="46"/>
      <c r="IR7" s="47" t="str">
        <f>IFERROR(LOOKUP(2,1/('DRAFT 2'!$D:$D=$B7)*('DRAFT 2'!$A:$A&gt;=DATE(2026,12,1))*('DRAFT 2'!$A:$A&lt;DATE(2026,IF(12=12,12+1,12+1),1)),'DRAFT 2'!$A:$A),"")</f>
        <v/>
      </c>
      <c r="IS7">
        <f>COUNTIFS('DRAFT 2'!$D:$D,$B7,'DRAFT 2'!$A:$A,"&gt;="&amp;DATE(2026,12,1),'DRAFT 2'!$A:$A,"&lt;="&amp;DATE(2026,12,7))</f>
        <v>0</v>
      </c>
      <c r="IT7">
        <f>COUNTIFS('DRAFT 2'!$D:$D,$B7,'DRAFT 2'!$A:$A,"&gt;="&amp;DATE(2026,12,8),'DRAFT 2'!$A:$A,"&lt;="&amp;DATE(2026,12,14))</f>
        <v>0</v>
      </c>
      <c r="IU7">
        <f>COUNTIFS('DRAFT 2'!$D:$D,$B7,'DRAFT 2'!$A:$A,"&gt;="&amp;DATE(2026,12,15),'DRAFT 2'!$A:$A,"&lt;="&amp;DATE(2026,12,21))</f>
        <v>0</v>
      </c>
      <c r="IV7">
        <f>COUNTIFS('DRAFT 2'!$D:$D,$B7,'DRAFT 2'!$A:$A,"&gt;="&amp;DATE(2026,12,22),'DRAFT 2'!$A:$A,"&lt;"&amp;DATE(2026,IF(12=12,12+1,12+1),1))</f>
        <v>0</v>
      </c>
      <c r="IW7">
        <f t="shared" si="13"/>
        <v>0</v>
      </c>
    </row>
    <row r="8" spans="1:257" ht="15" customHeight="1" x14ac:dyDescent="0.3">
      <c r="A8" t="str">
        <f>IFERROR(INDEX('DRAFT 1'!$A:$A,MATCH($B8,'DRAFT 1'!$B:$B,0)),"")</f>
        <v/>
      </c>
      <c r="B8" t="s">
        <v>294</v>
      </c>
      <c r="C8" t="str">
        <f>IFERROR(INDEX('DRAFT 1'!$C:$C,MATCH($B8,'DRAFT 1'!$B:$B,0)),"")</f>
        <v/>
      </c>
      <c r="D8" t="str">
        <f>IFERROR(INDEX('DRAFT 1'!$D:$D,MATCH($B8,'DRAFT 1'!$B:$B,0)),"")</f>
        <v/>
      </c>
      <c r="E8" t="str">
        <f>IFERROR(INDEX('DRAFT 1'!$E:$E,MATCH($B8,'DRAFT 1'!$B:$B,0)),"")</f>
        <v/>
      </c>
      <c r="F8" t="str">
        <f>IFERROR(INDEX('DRAFT 1'!$F:$F,MATCH($B8,'DRAFT 1'!$B:$B,0)),"")</f>
        <v/>
      </c>
      <c r="G8" t="str">
        <f>IFERROR(INDEX('DRAFT 1'!$G:$G,MATCH($B8,'DRAFT 1'!$B:$B,0)),"")</f>
        <v/>
      </c>
      <c r="H8" t="str">
        <f>IFERROR(INDEX('DRAFT 1'!$H:$H,MATCH($B8,'DRAFT 1'!$B:$B,0)),"")</f>
        <v/>
      </c>
      <c r="I8" t="s">
        <v>292</v>
      </c>
      <c r="K8" t="str">
        <f>IFERROR(INDEX('DRAFT 1'!$AL:$AL,MATCH($B8,'DRAFT 1'!$B:$B,0)),"")</f>
        <v/>
      </c>
      <c r="L8" t="str">
        <f>IFERROR(INDEX('DRAFT 1'!$J:$J,MATCH($B8,'DRAFT 1'!$B:$B,0)),"")</f>
        <v/>
      </c>
      <c r="M8" t="str">
        <f>IFERROR(INDEX('DRAFT 1'!$K:$K,MATCH($B8,'DRAFT 1'!$B:$B,0)),"")</f>
        <v/>
      </c>
      <c r="N8" t="s">
        <v>79</v>
      </c>
      <c r="O8">
        <f>IF(N8="EM RISCO",1,IF(N8="INAT.REC",2,IF(N8="ATIVO",3,IF(N8="INAT.ANT",4,5))))</f>
        <v>4</v>
      </c>
      <c r="P8" t="str">
        <f>IFERROR(INDEX('DRAFT 1'!$L:$L,MATCH($B8,'DRAFT 1'!$B:$B,0)),"")</f>
        <v/>
      </c>
      <c r="Q8" t="str">
        <f>IFERROR(INDEX('DRAFT 1'!$M:$M,MATCH($B8,'DRAFT 1'!$B:$B,0)),"")</f>
        <v/>
      </c>
      <c r="R8" t="str">
        <f>IFERROR(INDEX('DRAFT 1'!$N:$N,MATCH($B8,'DRAFT 1'!$B:$B,0)),"")</f>
        <v/>
      </c>
      <c r="S8" t="str">
        <f>IFERROR(INDEX('DRAFT 1'!$O:$O,MATCH($B8,'DRAFT 1'!$B:$B,0)),"")</f>
        <v/>
      </c>
      <c r="T8" t="str">
        <f>IFERROR(INDEX('DRAFT 1'!$P:$P,MATCH($B8,'DRAFT 1'!$B:$B,0)),"")</f>
        <v/>
      </c>
      <c r="U8" t="str">
        <f>IFERROR(INDEX('DRAFT 1'!$Q:$Q,MATCH($B8,'DRAFT 1'!$B:$B,0)),"")</f>
        <v/>
      </c>
      <c r="V8" t="str">
        <f>IFERROR(INDEX('DRAFT 1'!$R:$R,MATCH($B8,'DRAFT 1'!$B:$B,0)),"")</f>
        <v/>
      </c>
      <c r="W8" t="str">
        <f>IFERROR(INDEX('DRAFT 1'!$S:$S,MATCH($B8,'DRAFT 1'!$B:$B,0)),"")</f>
        <v/>
      </c>
      <c r="X8" t="str">
        <f>IFERROR(INDEX('DRAFT 1'!$T:$T,MATCH($B8,'DRAFT 1'!$B:$B,0)),"")</f>
        <v/>
      </c>
      <c r="Y8">
        <f>SUM(Z8:AJ8)</f>
        <v>0</v>
      </c>
      <c r="Z8" t="str">
        <f>IFERROR(INDEX('DRAFT 1'!$U:$U,MATCH($B8,'DRAFT 1'!$B:$B,0)),"")</f>
        <v/>
      </c>
      <c r="AA8" t="str">
        <f>IFERROR(INDEX('DRAFT 1'!$V:$V,MATCH($B8,'DRAFT 1'!$B:$B,0)),"")</f>
        <v/>
      </c>
      <c r="AB8" t="str">
        <f>IFERROR(INDEX('DRAFT 1'!$W:$W,MATCH($B8,'DRAFT 1'!$B:$B,0)),"")</f>
        <v/>
      </c>
      <c r="AC8" t="str">
        <f>IFERROR(INDEX('DRAFT 1'!$X:$X,MATCH($B8,'DRAFT 1'!$B:$B,0)),"")</f>
        <v/>
      </c>
      <c r="AD8" t="str">
        <f>IFERROR(INDEX('DRAFT 1'!$Y:$Y,MATCH($B8,'DRAFT 1'!$B:$B,0)),"")</f>
        <v/>
      </c>
      <c r="AE8" t="str">
        <f>IFERROR(INDEX('DRAFT 1'!$Z:$Z,MATCH($B8,'DRAFT 1'!$B:$B,0)),"")</f>
        <v/>
      </c>
      <c r="AF8" t="str">
        <f>IFERROR(INDEX('DRAFT 1'!$AA:$AA,MATCH($B8,'DRAFT 1'!$B:$B,0)),"")</f>
        <v/>
      </c>
      <c r="AG8" t="str">
        <f>IFERROR(INDEX('DRAFT 1'!$AB:$AB,MATCH($B8,'DRAFT 1'!$B:$B,0)),"")</f>
        <v/>
      </c>
      <c r="AH8" t="str">
        <f>IFERROR(INDEX('DRAFT 1'!$AC:$AC,MATCH($B8,'DRAFT 1'!$B:$B,0)),"")</f>
        <v/>
      </c>
      <c r="AI8" t="str">
        <f>IFERROR(INDEX('DRAFT 1'!$AD:$AD,MATCH($B8,'DRAFT 1'!$B:$B,0)),"")</f>
        <v/>
      </c>
      <c r="AJ8" t="str">
        <f>IFERROR(INDEX('DRAFT 1'!$AE:$AE,MATCH($B8,'DRAFT 1'!$B:$B,0)),"")</f>
        <v/>
      </c>
      <c r="AK8" t="str">
        <f>IFERROR(INDEX('DRAFT 1'!$AG:$AG,MATCH($B8,'DRAFT 1'!$B:$B,0)),"")</f>
        <v/>
      </c>
      <c r="AL8" t="str">
        <f>IFERROR(INDEX('DRAFT 1'!$AH:$AH,MATCH($B8,'DRAFT 1'!$B:$B,0)),"")</f>
        <v/>
      </c>
      <c r="AM8" t="str">
        <f>IFERROR(INDEX('DRAFT 1'!$AI:$AI,MATCH($B8,'DRAFT 1'!$B:$B,0)),"")</f>
        <v/>
      </c>
      <c r="AN8" t="str">
        <f>IFERROR(INDEX('DRAFT 1'!$AJ:$AJ,MATCH($B8,'DRAFT 1'!$B:$B,0)),"")</f>
        <v/>
      </c>
      <c r="AO8">
        <f t="shared" si="0"/>
        <v>0</v>
      </c>
      <c r="AP8" t="str">
        <f>IFERROR(INDEX('DRAFT 1'!$AK:$AK,MATCH($B8,'DRAFT 1'!$B:$B,0)),"")</f>
        <v/>
      </c>
      <c r="AR8" t="s">
        <v>33</v>
      </c>
      <c r="AS8" t="str">
        <f>IFERROR(LOOKUP(2,1/('DRAFT 2'!$D:$D=$B8),'DRAFT 2'!$T:$T),"")</f>
        <v/>
      </c>
      <c r="AT8" t="str">
        <f>IFERROR(LOOKUP(2,1/('DRAFT 2'!$D:$D=$B8),'DRAFT 2'!$A:$A),"")</f>
        <v/>
      </c>
      <c r="AU8" t="str">
        <f>IFERROR(LOOKUP(2,1/('DRAFT 2'!$D:$D=$B8),'DRAFT 2'!$R:$R),"")</f>
        <v/>
      </c>
      <c r="AV8" t="str">
        <f>IFERROR(LOOKUP(2,1/('DRAFT 2'!$D:$D=$B8),'DRAFT 2'!$S:$S),"")</f>
        <v/>
      </c>
      <c r="AW8" t="s">
        <v>85</v>
      </c>
      <c r="AX8" t="str">
        <f>IFERROR(LOOKUP(2,1/('DRAFT 2'!$D:$D=$B8),'DRAFT 2'!$M:$M),"")</f>
        <v/>
      </c>
      <c r="AY8" t="str">
        <f>IFERROR(LOOKUP(2,1/('DRAFT 2'!$D:$D=$B8),'DRAFT 2'!$K:$K),"")</f>
        <v/>
      </c>
      <c r="BA8" t="str">
        <f>IF(N8="PROSPECT","❄️ FRIO",IF(OR(AR8="ORÇAMENTO",AR8="NEGOCIAÇÃO",AR8="CADASTRO"),"🔥 QUENTE",IF(OR(AR8="FOLLOW UP 7",AR8="FOLLOW UP 15",AR8="ATENDIMENTO"),"⚡ MORNO","❄️ FRIO")))</f>
        <v>❄️ FRIO</v>
      </c>
      <c r="BB8" t="str">
        <f>IF(BE8="","",BE8-BC8)</f>
        <v/>
      </c>
      <c r="BG8" t="str">
        <f>IFERROR(LOOKUP(2,1/('DRAFT 2'!$D:$D=$B8),'DRAFT 2'!$U:$U),"")</f>
        <v/>
      </c>
      <c r="BH8" t="str">
        <f>IFERROR(LOOKUP(2,1/('DRAFT 2'!$D:$D=$B8),'DRAFT 2'!$V:$V),"")</f>
        <v/>
      </c>
      <c r="BI8" t="str">
        <f>IF(Q8="","🟣",IF(P8&lt;=IF(AK8="",45,AK8),"🟢",IF(P8&lt;=IF(AK8="",45,AK8)+30,"🟡","🔴")))</f>
        <v>🟣</v>
      </c>
      <c r="BU8" s="44">
        <f>CR8</f>
        <v>1</v>
      </c>
      <c r="BV8" s="44">
        <f>AVERAGE(CC8,CR8,DG8)</f>
        <v>1</v>
      </c>
      <c r="BW8" s="45">
        <f>IF(BX8=0,1,BY8/BX8)</f>
        <v>1</v>
      </c>
      <c r="BX8" s="46"/>
      <c r="BY8" s="46"/>
      <c r="BZ8" s="45">
        <f>IF(CA8=0,1,CB8/CA8)</f>
        <v>1</v>
      </c>
      <c r="CA8" s="46"/>
      <c r="CB8" s="46"/>
      <c r="CC8" s="45">
        <f>IF(CD8=0,1,CE8/CD8)</f>
        <v>1</v>
      </c>
      <c r="CD8" s="46"/>
      <c r="CE8" s="46" t="str">
        <f t="shared" si="1"/>
        <v/>
      </c>
      <c r="CF8" s="47" t="str">
        <f>IFERROR(LOOKUP(2,1/('DRAFT 2'!$D:$D=$B8)*('DRAFT 2'!$A:$A&gt;=DATE(2026,1,1))*('DRAFT 2'!$A:$A&lt;DATE(2026,IF(1=12,1+1,1+1),1)),'DRAFT 2'!$A:$A),"")</f>
        <v/>
      </c>
      <c r="CG8">
        <f>COUNTIFS('DRAFT 2'!$D:$D,$B8,'DRAFT 2'!$A:$A,"&gt;="&amp;DATE(2026,1,1),'DRAFT 2'!$A:$A,"&lt;="&amp;DATE(2026,1,7))</f>
        <v>0</v>
      </c>
      <c r="CH8">
        <f>COUNTIFS('DRAFT 2'!$D:$D,$B8,'DRAFT 2'!$A:$A,"&gt;="&amp;DATE(2026,1,8),'DRAFT 2'!$A:$A,"&lt;="&amp;DATE(2026,1,14))</f>
        <v>0</v>
      </c>
      <c r="CI8">
        <f>COUNTIFS('DRAFT 2'!$D:$D,$B8,'DRAFT 2'!$A:$A,"&gt;="&amp;DATE(2026,1,15),'DRAFT 2'!$A:$A,"&lt;="&amp;DATE(2026,1,21))</f>
        <v>0</v>
      </c>
      <c r="CJ8">
        <f>COUNTIFS('DRAFT 2'!$D:$D,$B8,'DRAFT 2'!$A:$A,"&gt;="&amp;DATE(2026,1,22),'DRAFT 2'!$A:$A,"&lt;"&amp;DATE(2026,IF(1=12,1+1,1+1),1))</f>
        <v>0</v>
      </c>
      <c r="CK8">
        <f t="shared" si="2"/>
        <v>0</v>
      </c>
      <c r="CL8" s="45">
        <f>IF(CM8=0,1,CN8/CM8)</f>
        <v>1</v>
      </c>
      <c r="CM8" s="46"/>
      <c r="CN8" s="46"/>
      <c r="CO8" s="45">
        <f>IF(CP8=0,1,CQ8/CP8)</f>
        <v>1</v>
      </c>
      <c r="CP8" s="46"/>
      <c r="CQ8" s="46"/>
      <c r="CR8" s="45">
        <f>IF(CS8=0,1,CT8/CS8)</f>
        <v>1</v>
      </c>
      <c r="CS8" s="46"/>
      <c r="CT8" s="46">
        <v>0</v>
      </c>
      <c r="CU8" s="47" t="str">
        <f>IFERROR(LOOKUP(2,1/('DRAFT 2'!$D:$D=$B8)*('DRAFT 2'!$A:$A&gt;=DATE(2026,2,1))*('DRAFT 2'!$A:$A&lt;DATE(2026,IF(2=12,2+1,2+1),1)),'DRAFT 2'!$A:$A),"")</f>
        <v/>
      </c>
      <c r="CV8">
        <f>COUNTIFS('DRAFT 2'!$D:$D,$B8,'DRAFT 2'!$A:$A,"&gt;="&amp;DATE(2026,2,1),'DRAFT 2'!$A:$A,"&lt;="&amp;DATE(2026,2,7))</f>
        <v>0</v>
      </c>
      <c r="CW8">
        <f>COUNTIFS('DRAFT 2'!$D:$D,$B8,'DRAFT 2'!$A:$A,"&gt;="&amp;DATE(2026,2,8),'DRAFT 2'!$A:$A,"&lt;="&amp;DATE(2026,2,14))</f>
        <v>0</v>
      </c>
      <c r="CX8">
        <f>COUNTIFS('DRAFT 2'!$D:$D,$B8,'DRAFT 2'!$A:$A,"&gt;="&amp;DATE(2026,2,15),'DRAFT 2'!$A:$A,"&lt;="&amp;DATE(2026,2,21))</f>
        <v>0</v>
      </c>
      <c r="CY8">
        <f>COUNTIFS('DRAFT 2'!$D:$D,$B8,'DRAFT 2'!$A:$A,"&gt;="&amp;DATE(2026,2,22),'DRAFT 2'!$A:$A,"&lt;"&amp;DATE(2026,IF(2=12,2+1,2+1),1))</f>
        <v>0</v>
      </c>
      <c r="CZ8">
        <f t="shared" si="3"/>
        <v>0</v>
      </c>
      <c r="DA8" s="45">
        <f>IF(DB8=0,1,DC8/DB8)</f>
        <v>1</v>
      </c>
      <c r="DB8" s="46"/>
      <c r="DC8" s="46"/>
      <c r="DD8" s="45">
        <f>IF(DE8=0,1,DF8/DE8)</f>
        <v>1</v>
      </c>
      <c r="DE8" s="46"/>
      <c r="DF8" s="46"/>
      <c r="DG8" s="45">
        <f>IF(DH8=0,1,DI8/DH8)</f>
        <v>1</v>
      </c>
      <c r="DH8" s="46"/>
      <c r="DI8" s="46"/>
      <c r="DJ8" s="47" t="str">
        <f>IFERROR(LOOKUP(2,1/('DRAFT 2'!$D:$D=$B8)*('DRAFT 2'!$A:$A&gt;=DATE(2026,3,1))*('DRAFT 2'!$A:$A&lt;DATE(2026,IF(3=12,3+1,3+1),1)),'DRAFT 2'!$A:$A),"")</f>
        <v/>
      </c>
      <c r="DK8">
        <f>COUNTIFS('DRAFT 2'!$D:$D,$B8,'DRAFT 2'!$A:$A,"&gt;="&amp;DATE(2026,3,1),'DRAFT 2'!$A:$A,"&lt;="&amp;DATE(2026,3,7))</f>
        <v>0</v>
      </c>
      <c r="DL8">
        <f>COUNTIFS('DRAFT 2'!$D:$D,$B8,'DRAFT 2'!$A:$A,"&gt;="&amp;DATE(2026,3,8),'DRAFT 2'!$A:$A,"&lt;="&amp;DATE(2026,3,14))</f>
        <v>0</v>
      </c>
      <c r="DM8">
        <f>COUNTIFS('DRAFT 2'!$D:$D,$B8,'DRAFT 2'!$A:$A,"&gt;="&amp;DATE(2026,3,15),'DRAFT 2'!$A:$A,"&lt;="&amp;DATE(2026,3,21))</f>
        <v>0</v>
      </c>
      <c r="DN8">
        <f>COUNTIFS('DRAFT 2'!$D:$D,$B8,'DRAFT 2'!$A:$A,"&gt;="&amp;DATE(2026,3,22),'DRAFT 2'!$A:$A,"&lt;"&amp;DATE(2026,IF(3=12,3+1,3+1),1))</f>
        <v>0</v>
      </c>
      <c r="DO8">
        <f t="shared" si="4"/>
        <v>0</v>
      </c>
      <c r="DP8" s="44">
        <f>AVERAGE(DW8,EL8,FA8)</f>
        <v>1</v>
      </c>
      <c r="DQ8" s="48">
        <f>IF(DR8=0,1,DS8/DR8)</f>
        <v>1</v>
      </c>
      <c r="DR8" s="46"/>
      <c r="DS8" s="46"/>
      <c r="DT8" s="48">
        <f>IF(DU8=0,1,DV8/DU8)</f>
        <v>1</v>
      </c>
      <c r="DU8" s="46"/>
      <c r="DV8" s="46"/>
      <c r="DW8" s="48">
        <f>IF(DX8=0,1,DY8/DX8)</f>
        <v>1</v>
      </c>
      <c r="DX8" s="46"/>
      <c r="DY8" s="46"/>
      <c r="DZ8" s="47" t="str">
        <f>IFERROR(LOOKUP(2,1/('DRAFT 2'!$D:$D=$B8)*('DRAFT 2'!$A:$A&gt;=DATE(2026,4,1))*('DRAFT 2'!$A:$A&lt;DATE(2026,IF(4=12,4+1,4+1),1)),'DRAFT 2'!$A:$A),"")</f>
        <v/>
      </c>
      <c r="EA8">
        <f>COUNTIFS('DRAFT 2'!$D:$D,$B8,'DRAFT 2'!$A:$A,"&gt;="&amp;DATE(2026,4,1),'DRAFT 2'!$A:$A,"&lt;="&amp;DATE(2026,4,7))</f>
        <v>0</v>
      </c>
      <c r="EB8">
        <f>COUNTIFS('DRAFT 2'!$D:$D,$B8,'DRAFT 2'!$A:$A,"&gt;="&amp;DATE(2026,4,8),'DRAFT 2'!$A:$A,"&lt;="&amp;DATE(2026,4,14))</f>
        <v>0</v>
      </c>
      <c r="EC8">
        <f>COUNTIFS('DRAFT 2'!$D:$D,$B8,'DRAFT 2'!$A:$A,"&gt;="&amp;DATE(2026,4,15),'DRAFT 2'!$A:$A,"&lt;="&amp;DATE(2026,4,21))</f>
        <v>0</v>
      </c>
      <c r="ED8">
        <f>COUNTIFS('DRAFT 2'!$D:$D,$B8,'DRAFT 2'!$A:$A,"&gt;="&amp;DATE(2026,4,22),'DRAFT 2'!$A:$A,"&lt;"&amp;DATE(2026,IF(4=12,4+1,4+1),1))</f>
        <v>0</v>
      </c>
      <c r="EE8">
        <f t="shared" si="5"/>
        <v>0</v>
      </c>
      <c r="EF8" s="48">
        <f>IF(EG8=0,1,EH8/EG8)</f>
        <v>1</v>
      </c>
      <c r="EG8" s="46"/>
      <c r="EH8" s="46"/>
      <c r="EI8" s="48">
        <f>IF(EJ8=0,1,EK8/EJ8)</f>
        <v>1</v>
      </c>
      <c r="EJ8" s="46"/>
      <c r="EK8" s="46"/>
      <c r="EL8" s="48">
        <f>IF(EM8=0,1,EN8/EM8)</f>
        <v>1</v>
      </c>
      <c r="EM8" s="46"/>
      <c r="EN8" s="46"/>
      <c r="EO8" s="47" t="str">
        <f>IFERROR(LOOKUP(2,1/('DRAFT 2'!$D:$D=$B8)*('DRAFT 2'!$A:$A&gt;=DATE(2026,5,1))*('DRAFT 2'!$A:$A&lt;DATE(2026,IF(5=12,5+1,5+1),1)),'DRAFT 2'!$A:$A),"")</f>
        <v/>
      </c>
      <c r="EP8">
        <f>COUNTIFS('DRAFT 2'!$D:$D,$B8,'DRAFT 2'!$A:$A,"&gt;="&amp;DATE(2026,5,1),'DRAFT 2'!$A:$A,"&lt;="&amp;DATE(2026,5,7))</f>
        <v>0</v>
      </c>
      <c r="EQ8">
        <f>COUNTIFS('DRAFT 2'!$D:$D,$B8,'DRAFT 2'!$A:$A,"&gt;="&amp;DATE(2026,5,8),'DRAFT 2'!$A:$A,"&lt;="&amp;DATE(2026,5,14))</f>
        <v>0</v>
      </c>
      <c r="ER8">
        <f>COUNTIFS('DRAFT 2'!$D:$D,$B8,'DRAFT 2'!$A:$A,"&gt;="&amp;DATE(2026,5,15),'DRAFT 2'!$A:$A,"&lt;="&amp;DATE(2026,5,21))</f>
        <v>0</v>
      </c>
      <c r="ES8">
        <f>COUNTIFS('DRAFT 2'!$D:$D,$B8,'DRAFT 2'!$A:$A,"&gt;="&amp;DATE(2026,5,22),'DRAFT 2'!$A:$A,"&lt;"&amp;DATE(2026,IF(5=12,5+1,5+1),1))</f>
        <v>0</v>
      </c>
      <c r="ET8">
        <f t="shared" si="6"/>
        <v>0</v>
      </c>
      <c r="EU8" s="48">
        <f>IF(EV8=0,1,EW8/EV8)</f>
        <v>1</v>
      </c>
      <c r="EV8" s="46"/>
      <c r="EW8" s="46"/>
      <c r="EX8" s="48">
        <f>IF(EY8=0,1,EZ8/EY8)</f>
        <v>1</v>
      </c>
      <c r="EY8" s="46"/>
      <c r="EZ8" s="46"/>
      <c r="FA8" s="48">
        <f>IF(FB8=0,1,FC8/FB8)</f>
        <v>1</v>
      </c>
      <c r="FB8" s="46"/>
      <c r="FC8" s="46"/>
      <c r="FD8" s="47" t="str">
        <f>IFERROR(LOOKUP(2,1/('DRAFT 2'!$D:$D=$B8)*('DRAFT 2'!$A:$A&gt;=DATE(2026,6,1))*('DRAFT 2'!$A:$A&lt;DATE(2026,IF(6=12,6+1,6+1),1)),'DRAFT 2'!$A:$A),"")</f>
        <v/>
      </c>
      <c r="FE8">
        <f>COUNTIFS('DRAFT 2'!$D:$D,$B8,'DRAFT 2'!$A:$A,"&gt;="&amp;DATE(2026,6,1),'DRAFT 2'!$A:$A,"&lt;="&amp;DATE(2026,6,7))</f>
        <v>0</v>
      </c>
      <c r="FF8">
        <f>COUNTIFS('DRAFT 2'!$D:$D,$B8,'DRAFT 2'!$A:$A,"&gt;="&amp;DATE(2026,6,8),'DRAFT 2'!$A:$A,"&lt;="&amp;DATE(2026,6,14))</f>
        <v>0</v>
      </c>
      <c r="FG8">
        <f>COUNTIFS('DRAFT 2'!$D:$D,$B8,'DRAFT 2'!$A:$A,"&gt;="&amp;DATE(2026,6,15),'DRAFT 2'!$A:$A,"&lt;="&amp;DATE(2026,6,21))</f>
        <v>0</v>
      </c>
      <c r="FH8">
        <f>COUNTIFS('DRAFT 2'!$D:$D,$B8,'DRAFT 2'!$A:$A,"&gt;="&amp;DATE(2026,6,22),'DRAFT 2'!$A:$A,"&lt;"&amp;DATE(2026,IF(6=12,6+1,6+1),1))</f>
        <v>0</v>
      </c>
      <c r="FI8">
        <f t="shared" si="7"/>
        <v>0</v>
      </c>
      <c r="FJ8" s="44">
        <f>AVERAGE(FQ8,GF8,GU8)</f>
        <v>1</v>
      </c>
      <c r="FK8" s="49">
        <f>IF(FL8=0,1,FM8/FL8)</f>
        <v>1</v>
      </c>
      <c r="FL8" s="46"/>
      <c r="FM8" s="46"/>
      <c r="FN8" s="49">
        <f>IF(FO8=0,1,FP8/FO8)</f>
        <v>1</v>
      </c>
      <c r="FO8" s="46"/>
      <c r="FP8" s="46"/>
      <c r="FQ8" s="49">
        <f>IF(FR8=0,1,FS8/FR8)</f>
        <v>1</v>
      </c>
      <c r="FR8" s="46"/>
      <c r="FS8" s="46"/>
      <c r="FT8" s="47" t="str">
        <f>IFERROR(LOOKUP(2,1/('DRAFT 2'!$D:$D=$B8)*('DRAFT 2'!$A:$A&gt;=DATE(2026,7,1))*('DRAFT 2'!$A:$A&lt;DATE(2026,IF(7=12,7+1,7+1),1)),'DRAFT 2'!$A:$A),"")</f>
        <v/>
      </c>
      <c r="FU8">
        <f>COUNTIFS('DRAFT 2'!$D:$D,$B8,'DRAFT 2'!$A:$A,"&gt;="&amp;DATE(2026,7,1),'DRAFT 2'!$A:$A,"&lt;="&amp;DATE(2026,7,7))</f>
        <v>0</v>
      </c>
      <c r="FV8">
        <f>COUNTIFS('DRAFT 2'!$D:$D,$B8,'DRAFT 2'!$A:$A,"&gt;="&amp;DATE(2026,7,8),'DRAFT 2'!$A:$A,"&lt;="&amp;DATE(2026,7,14))</f>
        <v>0</v>
      </c>
      <c r="FW8">
        <f>COUNTIFS('DRAFT 2'!$D:$D,$B8,'DRAFT 2'!$A:$A,"&gt;="&amp;DATE(2026,7,15),'DRAFT 2'!$A:$A,"&lt;="&amp;DATE(2026,7,21))</f>
        <v>0</v>
      </c>
      <c r="FX8">
        <f>COUNTIFS('DRAFT 2'!$D:$D,$B8,'DRAFT 2'!$A:$A,"&gt;="&amp;DATE(2026,7,22),'DRAFT 2'!$A:$A,"&lt;"&amp;DATE(2026,IF(7=12,7+1,7+1),1))</f>
        <v>0</v>
      </c>
      <c r="FY8">
        <f t="shared" si="8"/>
        <v>0</v>
      </c>
      <c r="FZ8" s="49">
        <f>IF(GA8=0,1,GB8/GA8)</f>
        <v>1</v>
      </c>
      <c r="GA8" s="46"/>
      <c r="GB8" s="46"/>
      <c r="GC8" s="49">
        <f>IF(GD8=0,1,GE8/GD8)</f>
        <v>1</v>
      </c>
      <c r="GD8" s="46"/>
      <c r="GE8" s="46"/>
      <c r="GF8" s="49">
        <f>IF(GG8=0,1,GH8/GG8)</f>
        <v>1</v>
      </c>
      <c r="GG8" s="46"/>
      <c r="GH8" s="46"/>
      <c r="GI8" s="47" t="str">
        <f>IFERROR(LOOKUP(2,1/('DRAFT 2'!$D:$D=$B8)*('DRAFT 2'!$A:$A&gt;=DATE(2026,8,1))*('DRAFT 2'!$A:$A&lt;DATE(2026,IF(8=12,8+1,8+1),1)),'DRAFT 2'!$A:$A),"")</f>
        <v/>
      </c>
      <c r="GJ8">
        <f>COUNTIFS('DRAFT 2'!$D:$D,$B8,'DRAFT 2'!$A:$A,"&gt;="&amp;DATE(2026,8,1),'DRAFT 2'!$A:$A,"&lt;="&amp;DATE(2026,8,7))</f>
        <v>0</v>
      </c>
      <c r="GK8">
        <f>COUNTIFS('DRAFT 2'!$D:$D,$B8,'DRAFT 2'!$A:$A,"&gt;="&amp;DATE(2026,8,8),'DRAFT 2'!$A:$A,"&lt;="&amp;DATE(2026,8,14))</f>
        <v>0</v>
      </c>
      <c r="GL8">
        <f>COUNTIFS('DRAFT 2'!$D:$D,$B8,'DRAFT 2'!$A:$A,"&gt;="&amp;DATE(2026,8,15),'DRAFT 2'!$A:$A,"&lt;="&amp;DATE(2026,8,21))</f>
        <v>0</v>
      </c>
      <c r="GM8">
        <f>COUNTIFS('DRAFT 2'!$D:$D,$B8,'DRAFT 2'!$A:$A,"&gt;="&amp;DATE(2026,8,22),'DRAFT 2'!$A:$A,"&lt;"&amp;DATE(2026,IF(8=12,8+1,8+1),1))</f>
        <v>0</v>
      </c>
      <c r="GN8">
        <f t="shared" si="9"/>
        <v>0</v>
      </c>
      <c r="GO8" s="49">
        <f>IF(GP8=0,1,GQ8/GP8)</f>
        <v>1</v>
      </c>
      <c r="GP8" s="46"/>
      <c r="GQ8" s="46"/>
      <c r="GR8" s="49">
        <f>IF(GS8=0,1,GT8/GS8)</f>
        <v>1</v>
      </c>
      <c r="GS8" s="46"/>
      <c r="GT8" s="46"/>
      <c r="GU8" s="49">
        <f>IF(GV8=0,1,GW8/GV8)</f>
        <v>1</v>
      </c>
      <c r="GV8" s="46"/>
      <c r="GW8" s="46"/>
      <c r="GX8" s="47" t="str">
        <f>IFERROR(LOOKUP(2,1/('DRAFT 2'!$D:$D=$B8)*('DRAFT 2'!$A:$A&gt;=DATE(2026,9,1))*('DRAFT 2'!$A:$A&lt;DATE(2026,IF(9=12,9+1,9+1),1)),'DRAFT 2'!$A:$A),"")</f>
        <v/>
      </c>
      <c r="GY8">
        <f>COUNTIFS('DRAFT 2'!$D:$D,$B8,'DRAFT 2'!$A:$A,"&gt;="&amp;DATE(2026,9,1),'DRAFT 2'!$A:$A,"&lt;="&amp;DATE(2026,9,7))</f>
        <v>0</v>
      </c>
      <c r="GZ8">
        <f>COUNTIFS('DRAFT 2'!$D:$D,$B8,'DRAFT 2'!$A:$A,"&gt;="&amp;DATE(2026,9,8),'DRAFT 2'!$A:$A,"&lt;="&amp;DATE(2026,9,14))</f>
        <v>0</v>
      </c>
      <c r="HA8">
        <f>COUNTIFS('DRAFT 2'!$D:$D,$B8,'DRAFT 2'!$A:$A,"&gt;="&amp;DATE(2026,9,15),'DRAFT 2'!$A:$A,"&lt;="&amp;DATE(2026,9,21))</f>
        <v>0</v>
      </c>
      <c r="HB8">
        <f>COUNTIFS('DRAFT 2'!$D:$D,$B8,'DRAFT 2'!$A:$A,"&gt;="&amp;DATE(2026,9,22),'DRAFT 2'!$A:$A,"&lt;"&amp;DATE(2026,IF(9=12,9+1,9+1),1))</f>
        <v>0</v>
      </c>
      <c r="HC8">
        <f t="shared" si="10"/>
        <v>0</v>
      </c>
      <c r="HD8" s="44">
        <f>AVERAGE(HK8,HZ8,IO8)</f>
        <v>1</v>
      </c>
      <c r="HE8" s="50">
        <f>IF(HF8=0,1,HG8/HF8)</f>
        <v>1</v>
      </c>
      <c r="HF8" s="46"/>
      <c r="HG8" s="46"/>
      <c r="HH8" s="50">
        <f>IF(HI8=0,1,HJ8/HI8)</f>
        <v>1</v>
      </c>
      <c r="HI8" s="46"/>
      <c r="HJ8" s="46"/>
      <c r="HK8" s="50">
        <f>IF(HL8=0,1,HM8/HL8)</f>
        <v>1</v>
      </c>
      <c r="HL8" s="46"/>
      <c r="HM8" s="46"/>
      <c r="HN8" s="47" t="str">
        <f>IFERROR(LOOKUP(2,1/('DRAFT 2'!$D:$D=$B8)*('DRAFT 2'!$A:$A&gt;=DATE(2026,10,1))*('DRAFT 2'!$A:$A&lt;DATE(2026,IF(10=12,10+1,10+1),1)),'DRAFT 2'!$A:$A),"")</f>
        <v/>
      </c>
      <c r="HO8">
        <f>COUNTIFS('DRAFT 2'!$D:$D,$B8,'DRAFT 2'!$A:$A,"&gt;="&amp;DATE(2026,10,1),'DRAFT 2'!$A:$A,"&lt;="&amp;DATE(2026,10,7))</f>
        <v>0</v>
      </c>
      <c r="HP8">
        <f>COUNTIFS('DRAFT 2'!$D:$D,$B8,'DRAFT 2'!$A:$A,"&gt;="&amp;DATE(2026,10,8),'DRAFT 2'!$A:$A,"&lt;="&amp;DATE(2026,10,14))</f>
        <v>0</v>
      </c>
      <c r="HQ8">
        <f>COUNTIFS('DRAFT 2'!$D:$D,$B8,'DRAFT 2'!$A:$A,"&gt;="&amp;DATE(2026,10,15),'DRAFT 2'!$A:$A,"&lt;="&amp;DATE(2026,10,21))</f>
        <v>0</v>
      </c>
      <c r="HR8">
        <f>COUNTIFS('DRAFT 2'!$D:$D,$B8,'DRAFT 2'!$A:$A,"&gt;="&amp;DATE(2026,10,22),'DRAFT 2'!$A:$A,"&lt;"&amp;DATE(2026,IF(10=12,10+1,10+1),1))</f>
        <v>0</v>
      </c>
      <c r="HS8">
        <f t="shared" si="11"/>
        <v>0</v>
      </c>
      <c r="HT8" s="50">
        <f>IF(HU8=0,1,HV8/HU8)</f>
        <v>1</v>
      </c>
      <c r="HU8" s="46"/>
      <c r="HV8" s="46"/>
      <c r="HW8" s="50">
        <f>IF(HX8=0,1,HY8/HX8)</f>
        <v>1</v>
      </c>
      <c r="HX8" s="46"/>
      <c r="HY8" s="46"/>
      <c r="HZ8" s="50">
        <f>IF(IA8=0,1,IB8/IA8)</f>
        <v>1</v>
      </c>
      <c r="IA8" s="46"/>
      <c r="IB8" s="46"/>
      <c r="IC8" s="47" t="str">
        <f>IFERROR(LOOKUP(2,1/('DRAFT 2'!$D:$D=$B8)*('DRAFT 2'!$A:$A&gt;=DATE(2026,11,1))*('DRAFT 2'!$A:$A&lt;DATE(2026,IF(11=12,11+1,11+1),1)),'DRAFT 2'!$A:$A),"")</f>
        <v/>
      </c>
      <c r="ID8">
        <f>COUNTIFS('DRAFT 2'!$D:$D,$B8,'DRAFT 2'!$A:$A,"&gt;="&amp;DATE(2026,11,1),'DRAFT 2'!$A:$A,"&lt;="&amp;DATE(2026,11,7))</f>
        <v>0</v>
      </c>
      <c r="IE8">
        <f>COUNTIFS('DRAFT 2'!$D:$D,$B8,'DRAFT 2'!$A:$A,"&gt;="&amp;DATE(2026,11,8),'DRAFT 2'!$A:$A,"&lt;="&amp;DATE(2026,11,14))</f>
        <v>0</v>
      </c>
      <c r="IF8">
        <f>COUNTIFS('DRAFT 2'!$D:$D,$B8,'DRAFT 2'!$A:$A,"&gt;="&amp;DATE(2026,11,15),'DRAFT 2'!$A:$A,"&lt;="&amp;DATE(2026,11,21))</f>
        <v>0</v>
      </c>
      <c r="IG8">
        <f>COUNTIFS('DRAFT 2'!$D:$D,$B8,'DRAFT 2'!$A:$A,"&gt;="&amp;DATE(2026,11,22),'DRAFT 2'!$A:$A,"&lt;"&amp;DATE(2026,IF(11=12,11+1,11+1),1))</f>
        <v>0</v>
      </c>
      <c r="IH8">
        <f t="shared" si="12"/>
        <v>0</v>
      </c>
      <c r="II8" s="50">
        <f>IF(IJ8=0,1,IK8/IJ8)</f>
        <v>1</v>
      </c>
      <c r="IJ8" s="46"/>
      <c r="IK8" s="46"/>
      <c r="IL8" s="50">
        <f>IF(IM8=0,1,IN8/IM8)</f>
        <v>1</v>
      </c>
      <c r="IM8" s="46"/>
      <c r="IN8" s="46"/>
      <c r="IO8" s="50">
        <f>IF(IP8=0,1,IQ8/IP8)</f>
        <v>1</v>
      </c>
      <c r="IP8" s="46"/>
      <c r="IQ8" s="46"/>
      <c r="IR8" s="47" t="str">
        <f>IFERROR(LOOKUP(2,1/('DRAFT 2'!$D:$D=$B8)*('DRAFT 2'!$A:$A&gt;=DATE(2026,12,1))*('DRAFT 2'!$A:$A&lt;DATE(2026,IF(12=12,12+1,12+1),1)),'DRAFT 2'!$A:$A),"")</f>
        <v/>
      </c>
      <c r="IS8">
        <f>COUNTIFS('DRAFT 2'!$D:$D,$B8,'DRAFT 2'!$A:$A,"&gt;="&amp;DATE(2026,12,1),'DRAFT 2'!$A:$A,"&lt;="&amp;DATE(2026,12,7))</f>
        <v>0</v>
      </c>
      <c r="IT8">
        <f>COUNTIFS('DRAFT 2'!$D:$D,$B8,'DRAFT 2'!$A:$A,"&gt;="&amp;DATE(2026,12,8),'DRAFT 2'!$A:$A,"&lt;="&amp;DATE(2026,12,14))</f>
        <v>0</v>
      </c>
      <c r="IU8">
        <f>COUNTIFS('DRAFT 2'!$D:$D,$B8,'DRAFT 2'!$A:$A,"&gt;="&amp;DATE(2026,12,15),'DRAFT 2'!$A:$A,"&lt;="&amp;DATE(2026,12,21))</f>
        <v>0</v>
      </c>
      <c r="IV8">
        <f>COUNTIFS('DRAFT 2'!$D:$D,$B8,'DRAFT 2'!$A:$A,"&gt;="&amp;DATE(2026,12,22),'DRAFT 2'!$A:$A,"&lt;"&amp;DATE(2026,IF(12=12,12+1,12+1),1))</f>
        <v>0</v>
      </c>
      <c r="IW8">
        <f t="shared" si="13"/>
        <v>0</v>
      </c>
    </row>
    <row r="9" spans="1:257" x14ac:dyDescent="0.3">
      <c r="A9" t="str">
        <f>IFERROR(INDEX('DRAFT 1'!$A:$A,MATCH($B9,'DRAFT 1'!$B:$B,0)),"")</f>
        <v/>
      </c>
      <c r="C9" t="str">
        <f>IFERROR(INDEX('DRAFT 1'!$C:$C,MATCH($B9,'DRAFT 1'!$B:$B,0)),"")</f>
        <v/>
      </c>
      <c r="D9" t="str">
        <f>IFERROR(INDEX('DRAFT 1'!$D:$D,MATCH($B9,'DRAFT 1'!$B:$B,0)),"")</f>
        <v/>
      </c>
      <c r="E9" t="str">
        <f>IFERROR(INDEX('DRAFT 1'!$E:$E,MATCH($B9,'DRAFT 1'!$B:$B,0)),"")</f>
        <v/>
      </c>
      <c r="F9" t="str">
        <f>IFERROR(INDEX('DRAFT 1'!$F:$F,MATCH($B9,'DRAFT 1'!$B:$B,0)),"")</f>
        <v/>
      </c>
      <c r="G9" t="str">
        <f>IFERROR(INDEX('DRAFT 1'!$G:$G,MATCH($B9,'DRAFT 1'!$B:$B,0)),"")</f>
        <v/>
      </c>
      <c r="H9" t="str">
        <f>IFERROR(INDEX('DRAFT 1'!$H:$H,MATCH($B9,'DRAFT 1'!$B:$B,0)),"")</f>
        <v/>
      </c>
      <c r="I9" t="s">
        <v>295</v>
      </c>
      <c r="K9" t="str">
        <f>IFERROR(INDEX('DRAFT 1'!$AL:$AL,MATCH($B9,'DRAFT 1'!$B:$B,0)),"")</f>
        <v/>
      </c>
      <c r="L9" t="str">
        <f>IFERROR(INDEX('DRAFT 1'!$J:$J,MATCH($B9,'DRAFT 1'!$B:$B,0)),"")</f>
        <v/>
      </c>
      <c r="M9" t="str">
        <f>IFERROR(INDEX('DRAFT 1'!$K:$K,MATCH($B9,'DRAFT 1'!$B:$B,0)),"")</f>
        <v/>
      </c>
      <c r="N9" t="s">
        <v>74</v>
      </c>
      <c r="P9" t="str">
        <f>IFERROR(INDEX('DRAFT 1'!$L:$L,MATCH($B9,'DRAFT 1'!$B:$B,0)),"")</f>
        <v/>
      </c>
      <c r="Q9" t="str">
        <f>IFERROR(INDEX('DRAFT 1'!$M:$M,MATCH($B9,'DRAFT 1'!$B:$B,0)),"")</f>
        <v/>
      </c>
      <c r="R9" t="str">
        <f>IFERROR(INDEX('DRAFT 1'!$N:$N,MATCH($B9,'DRAFT 1'!$B:$B,0)),"")</f>
        <v/>
      </c>
      <c r="S9" t="str">
        <f>IFERROR(INDEX('DRAFT 1'!$O:$O,MATCH($B9,'DRAFT 1'!$B:$B,0)),"")</f>
        <v/>
      </c>
      <c r="T9" t="str">
        <f>IFERROR(INDEX('DRAFT 1'!$P:$P,MATCH($B9,'DRAFT 1'!$B:$B,0)),"")</f>
        <v/>
      </c>
      <c r="U9" t="str">
        <f>IFERROR(INDEX('DRAFT 1'!$Q:$Q,MATCH($B9,'DRAFT 1'!$B:$B,0)),"")</f>
        <v/>
      </c>
      <c r="V9" t="str">
        <f>IFERROR(INDEX('DRAFT 1'!$R:$R,MATCH($B9,'DRAFT 1'!$B:$B,0)),"")</f>
        <v/>
      </c>
      <c r="W9" t="str">
        <f>IFERROR(INDEX('DRAFT 1'!$S:$S,MATCH($B9,'DRAFT 1'!$B:$B,0)),"")</f>
        <v/>
      </c>
      <c r="X9" t="str">
        <f>IFERROR(INDEX('DRAFT 1'!$T:$T,MATCH($B9,'DRAFT 1'!$B:$B,0)),"")</f>
        <v/>
      </c>
      <c r="Z9" t="str">
        <f>IFERROR(INDEX('DRAFT 1'!$U:$U,MATCH($B9,'DRAFT 1'!$B:$B,0)),"")</f>
        <v/>
      </c>
      <c r="AA9" t="str">
        <f>IFERROR(INDEX('DRAFT 1'!$V:$V,MATCH($B9,'DRAFT 1'!$B:$B,0)),"")</f>
        <v/>
      </c>
      <c r="AB9" t="str">
        <f>IFERROR(INDEX('DRAFT 1'!$W:$W,MATCH($B9,'DRAFT 1'!$B:$B,0)),"")</f>
        <v/>
      </c>
      <c r="AC9" t="str">
        <f>IFERROR(INDEX('DRAFT 1'!$X:$X,MATCH($B9,'DRAFT 1'!$B:$B,0)),"")</f>
        <v/>
      </c>
      <c r="AD9" t="str">
        <f>IFERROR(INDEX('DRAFT 1'!$Y:$Y,MATCH($B9,'DRAFT 1'!$B:$B,0)),"")</f>
        <v/>
      </c>
      <c r="AE9" t="str">
        <f>IFERROR(INDEX('DRAFT 1'!$Z:$Z,MATCH($B9,'DRAFT 1'!$B:$B,0)),"")</f>
        <v/>
      </c>
      <c r="AF9" t="str">
        <f>IFERROR(INDEX('DRAFT 1'!$AA:$AA,MATCH($B9,'DRAFT 1'!$B:$B,0)),"")</f>
        <v/>
      </c>
      <c r="AG9" t="str">
        <f>IFERROR(INDEX('DRAFT 1'!$AB:$AB,MATCH($B9,'DRAFT 1'!$B:$B,0)),"")</f>
        <v/>
      </c>
      <c r="AH9" t="str">
        <f>IFERROR(INDEX('DRAFT 1'!$AC:$AC,MATCH($B9,'DRAFT 1'!$B:$B,0)),"")</f>
        <v/>
      </c>
      <c r="AI9" t="str">
        <f>IFERROR(INDEX('DRAFT 1'!$AD:$AD,MATCH($B9,'DRAFT 1'!$B:$B,0)),"")</f>
        <v/>
      </c>
      <c r="AJ9" t="str">
        <f>IFERROR(INDEX('DRAFT 1'!$AE:$AE,MATCH($B9,'DRAFT 1'!$B:$B,0)),"")</f>
        <v/>
      </c>
      <c r="AK9" t="str">
        <f>IFERROR(INDEX('DRAFT 1'!$AG:$AG,MATCH($B9,'DRAFT 1'!$B:$B,0)),"")</f>
        <v/>
      </c>
      <c r="AL9" t="str">
        <f>IFERROR(INDEX('DRAFT 1'!$AH:$AH,MATCH($B9,'DRAFT 1'!$B:$B,0)),"")</f>
        <v/>
      </c>
      <c r="AM9" t="str">
        <f>IFERROR(INDEX('DRAFT 1'!$AI:$AI,MATCH($B9,'DRAFT 1'!$B:$B,0)),"")</f>
        <v/>
      </c>
      <c r="AN9" t="str">
        <f>IFERROR(INDEX('DRAFT 1'!$AJ:$AJ,MATCH($B9,'DRAFT 1'!$B:$B,0)),"")</f>
        <v/>
      </c>
      <c r="AO9">
        <f t="shared" si="0"/>
        <v>0</v>
      </c>
      <c r="AP9" t="str">
        <f>IFERROR(INDEX('DRAFT 1'!$AK:$AK,MATCH($B9,'DRAFT 1'!$B:$B,0)),"")</f>
        <v/>
      </c>
      <c r="AR9" t="s">
        <v>33</v>
      </c>
      <c r="AS9">
        <f>IFERROR(LOOKUP(2,1/('DRAFT 2'!$D:$D=$B9),'DRAFT 2'!$T:$T),"")</f>
        <v>0</v>
      </c>
      <c r="AT9">
        <f>IFERROR(LOOKUP(2,1/('DRAFT 2'!$D:$D=$B9),'DRAFT 2'!$A:$A),"")</f>
        <v>0</v>
      </c>
      <c r="AU9">
        <f>IFERROR(LOOKUP(2,1/('DRAFT 2'!$D:$D=$B9),'DRAFT 2'!$R:$R),"")</f>
        <v>0</v>
      </c>
      <c r="AV9">
        <f>IFERROR(LOOKUP(2,1/('DRAFT 2'!$D:$D=$B9),'DRAFT 2'!$S:$S),"")</f>
        <v>0</v>
      </c>
      <c r="AW9" t="s">
        <v>88</v>
      </c>
      <c r="AX9">
        <f>IFERROR(LOOKUP(2,1/('DRAFT 2'!$D:$D=$B9),'DRAFT 2'!$M:$M),"")</f>
        <v>0</v>
      </c>
      <c r="AY9">
        <f>IFERROR(LOOKUP(2,1/('DRAFT 2'!$D:$D=$B9),'DRAFT 2'!$K:$K),"")</f>
        <v>0</v>
      </c>
      <c r="BG9">
        <f>IFERROR(LOOKUP(2,1/('DRAFT 2'!$D:$D=$B9),'DRAFT 2'!$U:$U),"")</f>
        <v>0</v>
      </c>
      <c r="BH9">
        <f>IFERROR(LOOKUP(2,1/('DRAFT 2'!$D:$D=$B9),'DRAFT 2'!$V:$V),"")</f>
        <v>0</v>
      </c>
      <c r="CE9" t="str">
        <f t="shared" si="1"/>
        <v/>
      </c>
      <c r="CF9">
        <f>IFERROR(LOOKUP(2,1/('DRAFT 2'!$D:$D=$B9)*('DRAFT 2'!$A:$A&gt;=DATE(2026,1,1))*('DRAFT 2'!$A:$A&lt;DATE(2026,IF(1=12,1+1,1+1),1)),'DRAFT 2'!$A:$A),"")</f>
        <v>0</v>
      </c>
      <c r="CG9">
        <f>COUNTIFS('DRAFT 2'!$D:$D,$B9,'DRAFT 2'!$A:$A,"&gt;="&amp;DATE(2026,1,1),'DRAFT 2'!$A:$A,"&lt;="&amp;DATE(2026,1,7))</f>
        <v>0</v>
      </c>
      <c r="CH9">
        <f>COUNTIFS('DRAFT 2'!$D:$D,$B9,'DRAFT 2'!$A:$A,"&gt;="&amp;DATE(2026,1,8),'DRAFT 2'!$A:$A,"&lt;="&amp;DATE(2026,1,14))</f>
        <v>0</v>
      </c>
      <c r="CI9">
        <f>COUNTIFS('DRAFT 2'!$D:$D,$B9,'DRAFT 2'!$A:$A,"&gt;="&amp;DATE(2026,1,15),'DRAFT 2'!$A:$A,"&lt;="&amp;DATE(2026,1,21))</f>
        <v>0</v>
      </c>
      <c r="CJ9">
        <f>COUNTIFS('DRAFT 2'!$D:$D,$B9,'DRAFT 2'!$A:$A,"&gt;="&amp;DATE(2026,1,22),'DRAFT 2'!$A:$A,"&lt;"&amp;DATE(2026,IF(1=12,1+1,1+1),1))</f>
        <v>0</v>
      </c>
      <c r="CK9">
        <f t="shared" si="2"/>
        <v>0</v>
      </c>
      <c r="CT9">
        <v>0</v>
      </c>
      <c r="CU9">
        <f>IFERROR(LOOKUP(2,1/('DRAFT 2'!$D:$D=$B9)*('DRAFT 2'!$A:$A&gt;=DATE(2026,2,1))*('DRAFT 2'!$A:$A&lt;DATE(2026,IF(2=12,2+1,2+1),1)),'DRAFT 2'!$A:$A),"")</f>
        <v>0</v>
      </c>
      <c r="CV9">
        <f>COUNTIFS('DRAFT 2'!$D:$D,$B9,'DRAFT 2'!$A:$A,"&gt;="&amp;DATE(2026,2,1),'DRAFT 2'!$A:$A,"&lt;="&amp;DATE(2026,2,7))</f>
        <v>0</v>
      </c>
      <c r="CW9">
        <f>COUNTIFS('DRAFT 2'!$D:$D,$B9,'DRAFT 2'!$A:$A,"&gt;="&amp;DATE(2026,2,8),'DRAFT 2'!$A:$A,"&lt;="&amp;DATE(2026,2,14))</f>
        <v>0</v>
      </c>
      <c r="CX9">
        <f>COUNTIFS('DRAFT 2'!$D:$D,$B9,'DRAFT 2'!$A:$A,"&gt;="&amp;DATE(2026,2,15),'DRAFT 2'!$A:$A,"&lt;="&amp;DATE(2026,2,21))</f>
        <v>0</v>
      </c>
      <c r="CY9">
        <f>COUNTIFS('DRAFT 2'!$D:$D,$B9,'DRAFT 2'!$A:$A,"&gt;="&amp;DATE(2026,2,22),'DRAFT 2'!$A:$A,"&lt;"&amp;DATE(2026,IF(2=12,2+1,2+1),1))</f>
        <v>0</v>
      </c>
      <c r="CZ9">
        <f t="shared" si="3"/>
        <v>0</v>
      </c>
      <c r="DJ9">
        <f>IFERROR(LOOKUP(2,1/('DRAFT 2'!$D:$D=$B9)*('DRAFT 2'!$A:$A&gt;=DATE(2026,3,1))*('DRAFT 2'!$A:$A&lt;DATE(2026,IF(3=12,3+1,3+1),1)),'DRAFT 2'!$A:$A),"")</f>
        <v>0</v>
      </c>
      <c r="DK9">
        <f>COUNTIFS('DRAFT 2'!$D:$D,$B9,'DRAFT 2'!$A:$A,"&gt;="&amp;DATE(2026,3,1),'DRAFT 2'!$A:$A,"&lt;="&amp;DATE(2026,3,7))</f>
        <v>0</v>
      </c>
      <c r="DL9">
        <f>COUNTIFS('DRAFT 2'!$D:$D,$B9,'DRAFT 2'!$A:$A,"&gt;="&amp;DATE(2026,3,8),'DRAFT 2'!$A:$A,"&lt;="&amp;DATE(2026,3,14))</f>
        <v>0</v>
      </c>
      <c r="DM9">
        <f>COUNTIFS('DRAFT 2'!$D:$D,$B9,'DRAFT 2'!$A:$A,"&gt;="&amp;DATE(2026,3,15),'DRAFT 2'!$A:$A,"&lt;="&amp;DATE(2026,3,21))</f>
        <v>0</v>
      </c>
      <c r="DN9">
        <f>COUNTIFS('DRAFT 2'!$D:$D,$B9,'DRAFT 2'!$A:$A,"&gt;="&amp;DATE(2026,3,22),'DRAFT 2'!$A:$A,"&lt;"&amp;DATE(2026,IF(3=12,3+1,3+1),1))</f>
        <v>0</v>
      </c>
      <c r="DO9">
        <f t="shared" si="4"/>
        <v>0</v>
      </c>
      <c r="DZ9">
        <f>IFERROR(LOOKUP(2,1/('DRAFT 2'!$D:$D=$B9)*('DRAFT 2'!$A:$A&gt;=DATE(2026,4,1))*('DRAFT 2'!$A:$A&lt;DATE(2026,IF(4=12,4+1,4+1),1)),'DRAFT 2'!$A:$A),"")</f>
        <v>0</v>
      </c>
      <c r="EA9">
        <f>COUNTIFS('DRAFT 2'!$D:$D,$B9,'DRAFT 2'!$A:$A,"&gt;="&amp;DATE(2026,4,1),'DRAFT 2'!$A:$A,"&lt;="&amp;DATE(2026,4,7))</f>
        <v>0</v>
      </c>
      <c r="EB9">
        <f>COUNTIFS('DRAFT 2'!$D:$D,$B9,'DRAFT 2'!$A:$A,"&gt;="&amp;DATE(2026,4,8),'DRAFT 2'!$A:$A,"&lt;="&amp;DATE(2026,4,14))</f>
        <v>0</v>
      </c>
      <c r="EC9">
        <f>COUNTIFS('DRAFT 2'!$D:$D,$B9,'DRAFT 2'!$A:$A,"&gt;="&amp;DATE(2026,4,15),'DRAFT 2'!$A:$A,"&lt;="&amp;DATE(2026,4,21))</f>
        <v>0</v>
      </c>
      <c r="ED9">
        <f>COUNTIFS('DRAFT 2'!$D:$D,$B9,'DRAFT 2'!$A:$A,"&gt;="&amp;DATE(2026,4,22),'DRAFT 2'!$A:$A,"&lt;"&amp;DATE(2026,IF(4=12,4+1,4+1),1))</f>
        <v>0</v>
      </c>
      <c r="EE9">
        <f t="shared" si="5"/>
        <v>0</v>
      </c>
      <c r="EO9">
        <f>IFERROR(LOOKUP(2,1/('DRAFT 2'!$D:$D=$B9)*('DRAFT 2'!$A:$A&gt;=DATE(2026,5,1))*('DRAFT 2'!$A:$A&lt;DATE(2026,IF(5=12,5+1,5+1),1)),'DRAFT 2'!$A:$A),"")</f>
        <v>0</v>
      </c>
      <c r="EP9">
        <f>COUNTIFS('DRAFT 2'!$D:$D,$B9,'DRAFT 2'!$A:$A,"&gt;="&amp;DATE(2026,5,1),'DRAFT 2'!$A:$A,"&lt;="&amp;DATE(2026,5,7))</f>
        <v>0</v>
      </c>
      <c r="EQ9">
        <f>COUNTIFS('DRAFT 2'!$D:$D,$B9,'DRAFT 2'!$A:$A,"&gt;="&amp;DATE(2026,5,8),'DRAFT 2'!$A:$A,"&lt;="&amp;DATE(2026,5,14))</f>
        <v>0</v>
      </c>
      <c r="ER9">
        <f>COUNTIFS('DRAFT 2'!$D:$D,$B9,'DRAFT 2'!$A:$A,"&gt;="&amp;DATE(2026,5,15),'DRAFT 2'!$A:$A,"&lt;="&amp;DATE(2026,5,21))</f>
        <v>0</v>
      </c>
      <c r="ES9">
        <f>COUNTIFS('DRAFT 2'!$D:$D,$B9,'DRAFT 2'!$A:$A,"&gt;="&amp;DATE(2026,5,22),'DRAFT 2'!$A:$A,"&lt;"&amp;DATE(2026,IF(5=12,5+1,5+1),1))</f>
        <v>0</v>
      </c>
      <c r="ET9">
        <f t="shared" si="6"/>
        <v>0</v>
      </c>
      <c r="FD9">
        <f>IFERROR(LOOKUP(2,1/('DRAFT 2'!$D:$D=$B9)*('DRAFT 2'!$A:$A&gt;=DATE(2026,6,1))*('DRAFT 2'!$A:$A&lt;DATE(2026,IF(6=12,6+1,6+1),1)),'DRAFT 2'!$A:$A),"")</f>
        <v>0</v>
      </c>
      <c r="FE9">
        <f>COUNTIFS('DRAFT 2'!$D:$D,$B9,'DRAFT 2'!$A:$A,"&gt;="&amp;DATE(2026,6,1),'DRAFT 2'!$A:$A,"&lt;="&amp;DATE(2026,6,7))</f>
        <v>0</v>
      </c>
      <c r="FF9">
        <f>COUNTIFS('DRAFT 2'!$D:$D,$B9,'DRAFT 2'!$A:$A,"&gt;="&amp;DATE(2026,6,8),'DRAFT 2'!$A:$A,"&lt;="&amp;DATE(2026,6,14))</f>
        <v>0</v>
      </c>
      <c r="FG9">
        <f>COUNTIFS('DRAFT 2'!$D:$D,$B9,'DRAFT 2'!$A:$A,"&gt;="&amp;DATE(2026,6,15),'DRAFT 2'!$A:$A,"&lt;="&amp;DATE(2026,6,21))</f>
        <v>0</v>
      </c>
      <c r="FH9">
        <f>COUNTIFS('DRAFT 2'!$D:$D,$B9,'DRAFT 2'!$A:$A,"&gt;="&amp;DATE(2026,6,22),'DRAFT 2'!$A:$A,"&lt;"&amp;DATE(2026,IF(6=12,6+1,6+1),1))</f>
        <v>0</v>
      </c>
      <c r="FI9">
        <f t="shared" si="7"/>
        <v>0</v>
      </c>
      <c r="FT9">
        <f>IFERROR(LOOKUP(2,1/('DRAFT 2'!$D:$D=$B9)*('DRAFT 2'!$A:$A&gt;=DATE(2026,7,1))*('DRAFT 2'!$A:$A&lt;DATE(2026,IF(7=12,7+1,7+1),1)),'DRAFT 2'!$A:$A),"")</f>
        <v>0</v>
      </c>
      <c r="FU9">
        <f>COUNTIFS('DRAFT 2'!$D:$D,$B9,'DRAFT 2'!$A:$A,"&gt;="&amp;DATE(2026,7,1),'DRAFT 2'!$A:$A,"&lt;="&amp;DATE(2026,7,7))</f>
        <v>0</v>
      </c>
      <c r="FV9">
        <f>COUNTIFS('DRAFT 2'!$D:$D,$B9,'DRAFT 2'!$A:$A,"&gt;="&amp;DATE(2026,7,8),'DRAFT 2'!$A:$A,"&lt;="&amp;DATE(2026,7,14))</f>
        <v>0</v>
      </c>
      <c r="FW9">
        <f>COUNTIFS('DRAFT 2'!$D:$D,$B9,'DRAFT 2'!$A:$A,"&gt;="&amp;DATE(2026,7,15),'DRAFT 2'!$A:$A,"&lt;="&amp;DATE(2026,7,21))</f>
        <v>0</v>
      </c>
      <c r="FX9">
        <f>COUNTIFS('DRAFT 2'!$D:$D,$B9,'DRAFT 2'!$A:$A,"&gt;="&amp;DATE(2026,7,22),'DRAFT 2'!$A:$A,"&lt;"&amp;DATE(2026,IF(7=12,7+1,7+1),1))</f>
        <v>0</v>
      </c>
      <c r="FY9">
        <f t="shared" si="8"/>
        <v>0</v>
      </c>
      <c r="GI9">
        <f>IFERROR(LOOKUP(2,1/('DRAFT 2'!$D:$D=$B9)*('DRAFT 2'!$A:$A&gt;=DATE(2026,8,1))*('DRAFT 2'!$A:$A&lt;DATE(2026,IF(8=12,8+1,8+1),1)),'DRAFT 2'!$A:$A),"")</f>
        <v>0</v>
      </c>
      <c r="GJ9">
        <f>COUNTIFS('DRAFT 2'!$D:$D,$B9,'DRAFT 2'!$A:$A,"&gt;="&amp;DATE(2026,8,1),'DRAFT 2'!$A:$A,"&lt;="&amp;DATE(2026,8,7))</f>
        <v>0</v>
      </c>
      <c r="GK9">
        <f>COUNTIFS('DRAFT 2'!$D:$D,$B9,'DRAFT 2'!$A:$A,"&gt;="&amp;DATE(2026,8,8),'DRAFT 2'!$A:$A,"&lt;="&amp;DATE(2026,8,14))</f>
        <v>0</v>
      </c>
      <c r="GL9">
        <f>COUNTIFS('DRAFT 2'!$D:$D,$B9,'DRAFT 2'!$A:$A,"&gt;="&amp;DATE(2026,8,15),'DRAFT 2'!$A:$A,"&lt;="&amp;DATE(2026,8,21))</f>
        <v>0</v>
      </c>
      <c r="GM9">
        <f>COUNTIFS('DRAFT 2'!$D:$D,$B9,'DRAFT 2'!$A:$A,"&gt;="&amp;DATE(2026,8,22),'DRAFT 2'!$A:$A,"&lt;"&amp;DATE(2026,IF(8=12,8+1,8+1),1))</f>
        <v>0</v>
      </c>
      <c r="GN9">
        <f t="shared" si="9"/>
        <v>0</v>
      </c>
      <c r="GX9">
        <f>IFERROR(LOOKUP(2,1/('DRAFT 2'!$D:$D=$B9)*('DRAFT 2'!$A:$A&gt;=DATE(2026,9,1))*('DRAFT 2'!$A:$A&lt;DATE(2026,IF(9=12,9+1,9+1),1)),'DRAFT 2'!$A:$A),"")</f>
        <v>0</v>
      </c>
      <c r="GY9">
        <f>COUNTIFS('DRAFT 2'!$D:$D,$B9,'DRAFT 2'!$A:$A,"&gt;="&amp;DATE(2026,9,1),'DRAFT 2'!$A:$A,"&lt;="&amp;DATE(2026,9,7))</f>
        <v>0</v>
      </c>
      <c r="GZ9">
        <f>COUNTIFS('DRAFT 2'!$D:$D,$B9,'DRAFT 2'!$A:$A,"&gt;="&amp;DATE(2026,9,8),'DRAFT 2'!$A:$A,"&lt;="&amp;DATE(2026,9,14))</f>
        <v>0</v>
      </c>
      <c r="HA9">
        <f>COUNTIFS('DRAFT 2'!$D:$D,$B9,'DRAFT 2'!$A:$A,"&gt;="&amp;DATE(2026,9,15),'DRAFT 2'!$A:$A,"&lt;="&amp;DATE(2026,9,21))</f>
        <v>0</v>
      </c>
      <c r="HB9">
        <f>COUNTIFS('DRAFT 2'!$D:$D,$B9,'DRAFT 2'!$A:$A,"&gt;="&amp;DATE(2026,9,22),'DRAFT 2'!$A:$A,"&lt;"&amp;DATE(2026,IF(9=12,9+1,9+1),1))</f>
        <v>0</v>
      </c>
      <c r="HC9">
        <f t="shared" si="10"/>
        <v>0</v>
      </c>
      <c r="HN9">
        <f>IFERROR(LOOKUP(2,1/('DRAFT 2'!$D:$D=$B9)*('DRAFT 2'!$A:$A&gt;=DATE(2026,10,1))*('DRAFT 2'!$A:$A&lt;DATE(2026,IF(10=12,10+1,10+1),1)),'DRAFT 2'!$A:$A),"")</f>
        <v>0</v>
      </c>
      <c r="HO9">
        <f>COUNTIFS('DRAFT 2'!$D:$D,$B9,'DRAFT 2'!$A:$A,"&gt;="&amp;DATE(2026,10,1),'DRAFT 2'!$A:$A,"&lt;="&amp;DATE(2026,10,7))</f>
        <v>0</v>
      </c>
      <c r="HP9">
        <f>COUNTIFS('DRAFT 2'!$D:$D,$B9,'DRAFT 2'!$A:$A,"&gt;="&amp;DATE(2026,10,8),'DRAFT 2'!$A:$A,"&lt;="&amp;DATE(2026,10,14))</f>
        <v>0</v>
      </c>
      <c r="HQ9">
        <f>COUNTIFS('DRAFT 2'!$D:$D,$B9,'DRAFT 2'!$A:$A,"&gt;="&amp;DATE(2026,10,15),'DRAFT 2'!$A:$A,"&lt;="&amp;DATE(2026,10,21))</f>
        <v>0</v>
      </c>
      <c r="HR9">
        <f>COUNTIFS('DRAFT 2'!$D:$D,$B9,'DRAFT 2'!$A:$A,"&gt;="&amp;DATE(2026,10,22),'DRAFT 2'!$A:$A,"&lt;"&amp;DATE(2026,IF(10=12,10+1,10+1),1))</f>
        <v>0</v>
      </c>
      <c r="HS9">
        <f t="shared" si="11"/>
        <v>0</v>
      </c>
      <c r="IC9">
        <f>IFERROR(LOOKUP(2,1/('DRAFT 2'!$D:$D=$B9)*('DRAFT 2'!$A:$A&gt;=DATE(2026,11,1))*('DRAFT 2'!$A:$A&lt;DATE(2026,IF(11=12,11+1,11+1),1)),'DRAFT 2'!$A:$A),"")</f>
        <v>0</v>
      </c>
      <c r="ID9">
        <f>COUNTIFS('DRAFT 2'!$D:$D,$B9,'DRAFT 2'!$A:$A,"&gt;="&amp;DATE(2026,11,1),'DRAFT 2'!$A:$A,"&lt;="&amp;DATE(2026,11,7))</f>
        <v>0</v>
      </c>
      <c r="IE9">
        <f>COUNTIFS('DRAFT 2'!$D:$D,$B9,'DRAFT 2'!$A:$A,"&gt;="&amp;DATE(2026,11,8),'DRAFT 2'!$A:$A,"&lt;="&amp;DATE(2026,11,14))</f>
        <v>0</v>
      </c>
      <c r="IF9">
        <f>COUNTIFS('DRAFT 2'!$D:$D,$B9,'DRAFT 2'!$A:$A,"&gt;="&amp;DATE(2026,11,15),'DRAFT 2'!$A:$A,"&lt;="&amp;DATE(2026,11,21))</f>
        <v>0</v>
      </c>
      <c r="IG9">
        <f>COUNTIFS('DRAFT 2'!$D:$D,$B9,'DRAFT 2'!$A:$A,"&gt;="&amp;DATE(2026,11,22),'DRAFT 2'!$A:$A,"&lt;"&amp;DATE(2026,IF(11=12,11+1,11+1),1))</f>
        <v>0</v>
      </c>
      <c r="IH9">
        <f t="shared" si="12"/>
        <v>0</v>
      </c>
      <c r="IR9">
        <f>IFERROR(LOOKUP(2,1/('DRAFT 2'!$D:$D=$B9)*('DRAFT 2'!$A:$A&gt;=DATE(2026,12,1))*('DRAFT 2'!$A:$A&lt;DATE(2026,IF(12=12,12+1,12+1),1)),'DRAFT 2'!$A:$A),"")</f>
        <v>0</v>
      </c>
      <c r="IS9">
        <f>COUNTIFS('DRAFT 2'!$D:$D,$B9,'DRAFT 2'!$A:$A,"&gt;="&amp;DATE(2026,12,1),'DRAFT 2'!$A:$A,"&lt;="&amp;DATE(2026,12,7))</f>
        <v>0</v>
      </c>
      <c r="IT9">
        <f>COUNTIFS('DRAFT 2'!$D:$D,$B9,'DRAFT 2'!$A:$A,"&gt;="&amp;DATE(2026,12,8),'DRAFT 2'!$A:$A,"&lt;="&amp;DATE(2026,12,14))</f>
        <v>0</v>
      </c>
      <c r="IU9">
        <f>COUNTIFS('DRAFT 2'!$D:$D,$B9,'DRAFT 2'!$A:$A,"&gt;="&amp;DATE(2026,12,15),'DRAFT 2'!$A:$A,"&lt;="&amp;DATE(2026,12,21))</f>
        <v>0</v>
      </c>
      <c r="IV9">
        <f>COUNTIFS('DRAFT 2'!$D:$D,$B9,'DRAFT 2'!$A:$A,"&gt;="&amp;DATE(2026,12,22),'DRAFT 2'!$A:$A,"&lt;"&amp;DATE(2026,IF(12=12,12+1,12+1),1))</f>
        <v>0</v>
      </c>
      <c r="IW9">
        <f t="shared" si="13"/>
        <v>0</v>
      </c>
    </row>
    <row r="10" spans="1:257" x14ac:dyDescent="0.3">
      <c r="A10" t="str">
        <f>IFERROR(INDEX('DRAFT 1'!$A:$A,MATCH($B10,'DRAFT 1'!$B:$B,0)),"")</f>
        <v/>
      </c>
      <c r="C10" t="str">
        <f>IFERROR(INDEX('DRAFT 1'!$C:$C,MATCH($B10,'DRAFT 1'!$B:$B,0)),"")</f>
        <v/>
      </c>
      <c r="D10" t="str">
        <f>IFERROR(INDEX('DRAFT 1'!$D:$D,MATCH($B10,'DRAFT 1'!$B:$B,0)),"")</f>
        <v/>
      </c>
      <c r="E10" t="str">
        <f>IFERROR(INDEX('DRAFT 1'!$E:$E,MATCH($B10,'DRAFT 1'!$B:$B,0)),"")</f>
        <v/>
      </c>
      <c r="F10" t="str">
        <f>IFERROR(INDEX('DRAFT 1'!$F:$F,MATCH($B10,'DRAFT 1'!$B:$B,0)),"")</f>
        <v/>
      </c>
      <c r="G10" t="str">
        <f>IFERROR(INDEX('DRAFT 1'!$G:$G,MATCH($B10,'DRAFT 1'!$B:$B,0)),"")</f>
        <v/>
      </c>
      <c r="H10" t="str">
        <f>IFERROR(INDEX('DRAFT 1'!$H:$H,MATCH($B10,'DRAFT 1'!$B:$B,0)),"")</f>
        <v/>
      </c>
      <c r="I10" t="s">
        <v>296</v>
      </c>
      <c r="K10" t="str">
        <f>IFERROR(INDEX('DRAFT 1'!$AL:$AL,MATCH($B10,'DRAFT 1'!$B:$B,0)),"")</f>
        <v/>
      </c>
      <c r="L10" t="str">
        <f>IFERROR(INDEX('DRAFT 1'!$J:$J,MATCH($B10,'DRAFT 1'!$B:$B,0)),"")</f>
        <v/>
      </c>
      <c r="M10" t="str">
        <f>IFERROR(INDEX('DRAFT 1'!$K:$K,MATCH($B10,'DRAFT 1'!$B:$B,0)),"")</f>
        <v/>
      </c>
      <c r="N10" t="s">
        <v>71</v>
      </c>
      <c r="P10" t="str">
        <f>IFERROR(INDEX('DRAFT 1'!$L:$L,MATCH($B10,'DRAFT 1'!$B:$B,0)),"")</f>
        <v/>
      </c>
      <c r="Q10" t="str">
        <f>IFERROR(INDEX('DRAFT 1'!$M:$M,MATCH($B10,'DRAFT 1'!$B:$B,0)),"")</f>
        <v/>
      </c>
      <c r="R10" t="str">
        <f>IFERROR(INDEX('DRAFT 1'!$N:$N,MATCH($B10,'DRAFT 1'!$B:$B,0)),"")</f>
        <v/>
      </c>
      <c r="S10" t="str">
        <f>IFERROR(INDEX('DRAFT 1'!$O:$O,MATCH($B10,'DRAFT 1'!$B:$B,0)),"")</f>
        <v/>
      </c>
      <c r="T10" t="str">
        <f>IFERROR(INDEX('DRAFT 1'!$P:$P,MATCH($B10,'DRAFT 1'!$B:$B,0)),"")</f>
        <v/>
      </c>
      <c r="U10" t="str">
        <f>IFERROR(INDEX('DRAFT 1'!$Q:$Q,MATCH($B10,'DRAFT 1'!$B:$B,0)),"")</f>
        <v/>
      </c>
      <c r="V10" t="str">
        <f>IFERROR(INDEX('DRAFT 1'!$R:$R,MATCH($B10,'DRAFT 1'!$B:$B,0)),"")</f>
        <v/>
      </c>
      <c r="W10" t="str">
        <f>IFERROR(INDEX('DRAFT 1'!$S:$S,MATCH($B10,'DRAFT 1'!$B:$B,0)),"")</f>
        <v/>
      </c>
      <c r="X10" t="str">
        <f>IFERROR(INDEX('DRAFT 1'!$T:$T,MATCH($B10,'DRAFT 1'!$B:$B,0)),"")</f>
        <v/>
      </c>
      <c r="Z10" t="str">
        <f>IFERROR(INDEX('DRAFT 1'!$U:$U,MATCH($B10,'DRAFT 1'!$B:$B,0)),"")</f>
        <v/>
      </c>
      <c r="AA10" t="str">
        <f>IFERROR(INDEX('DRAFT 1'!$V:$V,MATCH($B10,'DRAFT 1'!$B:$B,0)),"")</f>
        <v/>
      </c>
      <c r="AB10" t="str">
        <f>IFERROR(INDEX('DRAFT 1'!$W:$W,MATCH($B10,'DRAFT 1'!$B:$B,0)),"")</f>
        <v/>
      </c>
      <c r="AC10" t="str">
        <f>IFERROR(INDEX('DRAFT 1'!$X:$X,MATCH($B10,'DRAFT 1'!$B:$B,0)),"")</f>
        <v/>
      </c>
      <c r="AD10" t="str">
        <f>IFERROR(INDEX('DRAFT 1'!$Y:$Y,MATCH($B10,'DRAFT 1'!$B:$B,0)),"")</f>
        <v/>
      </c>
      <c r="AE10" t="str">
        <f>IFERROR(INDEX('DRAFT 1'!$Z:$Z,MATCH($B10,'DRAFT 1'!$B:$B,0)),"")</f>
        <v/>
      </c>
      <c r="AF10" t="str">
        <f>IFERROR(INDEX('DRAFT 1'!$AA:$AA,MATCH($B10,'DRAFT 1'!$B:$B,0)),"")</f>
        <v/>
      </c>
      <c r="AG10" t="str">
        <f>IFERROR(INDEX('DRAFT 1'!$AB:$AB,MATCH($B10,'DRAFT 1'!$B:$B,0)),"")</f>
        <v/>
      </c>
      <c r="AH10" t="str">
        <f>IFERROR(INDEX('DRAFT 1'!$AC:$AC,MATCH($B10,'DRAFT 1'!$B:$B,0)),"")</f>
        <v/>
      </c>
      <c r="AI10" t="str">
        <f>IFERROR(INDEX('DRAFT 1'!$AD:$AD,MATCH($B10,'DRAFT 1'!$B:$B,0)),"")</f>
        <v/>
      </c>
      <c r="AJ10" t="str">
        <f>IFERROR(INDEX('DRAFT 1'!$AE:$AE,MATCH($B10,'DRAFT 1'!$B:$B,0)),"")</f>
        <v/>
      </c>
      <c r="AK10" t="str">
        <f>IFERROR(INDEX('DRAFT 1'!$AG:$AG,MATCH($B10,'DRAFT 1'!$B:$B,0)),"")</f>
        <v/>
      </c>
      <c r="AL10" t="str">
        <f>IFERROR(INDEX('DRAFT 1'!$AH:$AH,MATCH($B10,'DRAFT 1'!$B:$B,0)),"")</f>
        <v/>
      </c>
      <c r="AM10" t="str">
        <f>IFERROR(INDEX('DRAFT 1'!$AI:$AI,MATCH($B10,'DRAFT 1'!$B:$B,0)),"")</f>
        <v/>
      </c>
      <c r="AN10" t="str">
        <f>IFERROR(INDEX('DRAFT 1'!$AJ:$AJ,MATCH($B10,'DRAFT 1'!$B:$B,0)),"")</f>
        <v/>
      </c>
      <c r="AO10">
        <f t="shared" si="0"/>
        <v>0</v>
      </c>
      <c r="AP10" t="str">
        <f>IFERROR(INDEX('DRAFT 1'!$AK:$AK,MATCH($B10,'DRAFT 1'!$B:$B,0)),"")</f>
        <v/>
      </c>
      <c r="AR10" t="s">
        <v>93</v>
      </c>
      <c r="AS10">
        <f>IFERROR(LOOKUP(2,1/('DRAFT 2'!$D:$D=$B10),'DRAFT 2'!$T:$T),"")</f>
        <v>0</v>
      </c>
      <c r="AT10">
        <f>IFERROR(LOOKUP(2,1/('DRAFT 2'!$D:$D=$B10),'DRAFT 2'!$A:$A),"")</f>
        <v>0</v>
      </c>
      <c r="AU10">
        <f>IFERROR(LOOKUP(2,1/('DRAFT 2'!$D:$D=$B10),'DRAFT 2'!$R:$R),"")</f>
        <v>0</v>
      </c>
      <c r="AV10">
        <f>IFERROR(LOOKUP(2,1/('DRAFT 2'!$D:$D=$B10),'DRAFT 2'!$S:$S),"")</f>
        <v>0</v>
      </c>
      <c r="AW10" t="s">
        <v>82</v>
      </c>
      <c r="AX10">
        <f>IFERROR(LOOKUP(2,1/('DRAFT 2'!$D:$D=$B10),'DRAFT 2'!$M:$M),"")</f>
        <v>0</v>
      </c>
      <c r="AY10">
        <f>IFERROR(LOOKUP(2,1/('DRAFT 2'!$D:$D=$B10),'DRAFT 2'!$K:$K),"")</f>
        <v>0</v>
      </c>
      <c r="BG10">
        <f>IFERROR(LOOKUP(2,1/('DRAFT 2'!$D:$D=$B10),'DRAFT 2'!$U:$U),"")</f>
        <v>0</v>
      </c>
      <c r="BH10">
        <f>IFERROR(LOOKUP(2,1/('DRAFT 2'!$D:$D=$B10),'DRAFT 2'!$V:$V),"")</f>
        <v>0</v>
      </c>
      <c r="CE10" t="str">
        <f t="shared" si="1"/>
        <v/>
      </c>
      <c r="CF10">
        <f>IFERROR(LOOKUP(2,1/('DRAFT 2'!$D:$D=$B10)*('DRAFT 2'!$A:$A&gt;=DATE(2026,1,1))*('DRAFT 2'!$A:$A&lt;DATE(2026,IF(1=12,1+1,1+1),1)),'DRAFT 2'!$A:$A),"")</f>
        <v>0</v>
      </c>
      <c r="CG10">
        <f>COUNTIFS('DRAFT 2'!$D:$D,$B10,'DRAFT 2'!$A:$A,"&gt;="&amp;DATE(2026,1,1),'DRAFT 2'!$A:$A,"&lt;="&amp;DATE(2026,1,7))</f>
        <v>0</v>
      </c>
      <c r="CH10">
        <f>COUNTIFS('DRAFT 2'!$D:$D,$B10,'DRAFT 2'!$A:$A,"&gt;="&amp;DATE(2026,1,8),'DRAFT 2'!$A:$A,"&lt;="&amp;DATE(2026,1,14))</f>
        <v>0</v>
      </c>
      <c r="CI10">
        <f>COUNTIFS('DRAFT 2'!$D:$D,$B10,'DRAFT 2'!$A:$A,"&gt;="&amp;DATE(2026,1,15),'DRAFT 2'!$A:$A,"&lt;="&amp;DATE(2026,1,21))</f>
        <v>0</v>
      </c>
      <c r="CJ10">
        <f>COUNTIFS('DRAFT 2'!$D:$D,$B10,'DRAFT 2'!$A:$A,"&gt;="&amp;DATE(2026,1,22),'DRAFT 2'!$A:$A,"&lt;"&amp;DATE(2026,IF(1=12,1+1,1+1),1))</f>
        <v>0</v>
      </c>
      <c r="CK10">
        <f t="shared" si="2"/>
        <v>0</v>
      </c>
      <c r="CT10">
        <v>0</v>
      </c>
      <c r="CU10">
        <f>IFERROR(LOOKUP(2,1/('DRAFT 2'!$D:$D=$B10)*('DRAFT 2'!$A:$A&gt;=DATE(2026,2,1))*('DRAFT 2'!$A:$A&lt;DATE(2026,IF(2=12,2+1,2+1),1)),'DRAFT 2'!$A:$A),"")</f>
        <v>0</v>
      </c>
      <c r="CV10">
        <f>COUNTIFS('DRAFT 2'!$D:$D,$B10,'DRAFT 2'!$A:$A,"&gt;="&amp;DATE(2026,2,1),'DRAFT 2'!$A:$A,"&lt;="&amp;DATE(2026,2,7))</f>
        <v>0</v>
      </c>
      <c r="CW10">
        <f>COUNTIFS('DRAFT 2'!$D:$D,$B10,'DRAFT 2'!$A:$A,"&gt;="&amp;DATE(2026,2,8),'DRAFT 2'!$A:$A,"&lt;="&amp;DATE(2026,2,14))</f>
        <v>0</v>
      </c>
      <c r="CX10">
        <f>COUNTIFS('DRAFT 2'!$D:$D,$B10,'DRAFT 2'!$A:$A,"&gt;="&amp;DATE(2026,2,15),'DRAFT 2'!$A:$A,"&lt;="&amp;DATE(2026,2,21))</f>
        <v>0</v>
      </c>
      <c r="CY10">
        <f>COUNTIFS('DRAFT 2'!$D:$D,$B10,'DRAFT 2'!$A:$A,"&gt;="&amp;DATE(2026,2,22),'DRAFT 2'!$A:$A,"&lt;"&amp;DATE(2026,IF(2=12,2+1,2+1),1))</f>
        <v>0</v>
      </c>
      <c r="CZ10">
        <f t="shared" si="3"/>
        <v>0</v>
      </c>
      <c r="DJ10">
        <f>IFERROR(LOOKUP(2,1/('DRAFT 2'!$D:$D=$B10)*('DRAFT 2'!$A:$A&gt;=DATE(2026,3,1))*('DRAFT 2'!$A:$A&lt;DATE(2026,IF(3=12,3+1,3+1),1)),'DRAFT 2'!$A:$A),"")</f>
        <v>0</v>
      </c>
      <c r="DK10">
        <f>COUNTIFS('DRAFT 2'!$D:$D,$B10,'DRAFT 2'!$A:$A,"&gt;="&amp;DATE(2026,3,1),'DRAFT 2'!$A:$A,"&lt;="&amp;DATE(2026,3,7))</f>
        <v>0</v>
      </c>
      <c r="DL10">
        <f>COUNTIFS('DRAFT 2'!$D:$D,$B10,'DRAFT 2'!$A:$A,"&gt;="&amp;DATE(2026,3,8),'DRAFT 2'!$A:$A,"&lt;="&amp;DATE(2026,3,14))</f>
        <v>0</v>
      </c>
      <c r="DM10">
        <f>COUNTIFS('DRAFT 2'!$D:$D,$B10,'DRAFT 2'!$A:$A,"&gt;="&amp;DATE(2026,3,15),'DRAFT 2'!$A:$A,"&lt;="&amp;DATE(2026,3,21))</f>
        <v>0</v>
      </c>
      <c r="DN10">
        <f>COUNTIFS('DRAFT 2'!$D:$D,$B10,'DRAFT 2'!$A:$A,"&gt;="&amp;DATE(2026,3,22),'DRAFT 2'!$A:$A,"&lt;"&amp;DATE(2026,IF(3=12,3+1,3+1),1))</f>
        <v>0</v>
      </c>
      <c r="DO10">
        <f t="shared" si="4"/>
        <v>0</v>
      </c>
      <c r="DZ10">
        <f>IFERROR(LOOKUP(2,1/('DRAFT 2'!$D:$D=$B10)*('DRAFT 2'!$A:$A&gt;=DATE(2026,4,1))*('DRAFT 2'!$A:$A&lt;DATE(2026,IF(4=12,4+1,4+1),1)),'DRAFT 2'!$A:$A),"")</f>
        <v>0</v>
      </c>
      <c r="EA10">
        <f>COUNTIFS('DRAFT 2'!$D:$D,$B10,'DRAFT 2'!$A:$A,"&gt;="&amp;DATE(2026,4,1),'DRAFT 2'!$A:$A,"&lt;="&amp;DATE(2026,4,7))</f>
        <v>0</v>
      </c>
      <c r="EB10">
        <f>COUNTIFS('DRAFT 2'!$D:$D,$B10,'DRAFT 2'!$A:$A,"&gt;="&amp;DATE(2026,4,8),'DRAFT 2'!$A:$A,"&lt;="&amp;DATE(2026,4,14))</f>
        <v>0</v>
      </c>
      <c r="EC10">
        <f>COUNTIFS('DRAFT 2'!$D:$D,$B10,'DRAFT 2'!$A:$A,"&gt;="&amp;DATE(2026,4,15),'DRAFT 2'!$A:$A,"&lt;="&amp;DATE(2026,4,21))</f>
        <v>0</v>
      </c>
      <c r="ED10">
        <f>COUNTIFS('DRAFT 2'!$D:$D,$B10,'DRAFT 2'!$A:$A,"&gt;="&amp;DATE(2026,4,22),'DRAFT 2'!$A:$A,"&lt;"&amp;DATE(2026,IF(4=12,4+1,4+1),1))</f>
        <v>0</v>
      </c>
      <c r="EE10">
        <f t="shared" si="5"/>
        <v>0</v>
      </c>
      <c r="EO10">
        <f>IFERROR(LOOKUP(2,1/('DRAFT 2'!$D:$D=$B10)*('DRAFT 2'!$A:$A&gt;=DATE(2026,5,1))*('DRAFT 2'!$A:$A&lt;DATE(2026,IF(5=12,5+1,5+1),1)),'DRAFT 2'!$A:$A),"")</f>
        <v>0</v>
      </c>
      <c r="EP10">
        <f>COUNTIFS('DRAFT 2'!$D:$D,$B10,'DRAFT 2'!$A:$A,"&gt;="&amp;DATE(2026,5,1),'DRAFT 2'!$A:$A,"&lt;="&amp;DATE(2026,5,7))</f>
        <v>0</v>
      </c>
      <c r="EQ10">
        <f>COUNTIFS('DRAFT 2'!$D:$D,$B10,'DRAFT 2'!$A:$A,"&gt;="&amp;DATE(2026,5,8),'DRAFT 2'!$A:$A,"&lt;="&amp;DATE(2026,5,14))</f>
        <v>0</v>
      </c>
      <c r="ER10">
        <f>COUNTIFS('DRAFT 2'!$D:$D,$B10,'DRAFT 2'!$A:$A,"&gt;="&amp;DATE(2026,5,15),'DRAFT 2'!$A:$A,"&lt;="&amp;DATE(2026,5,21))</f>
        <v>0</v>
      </c>
      <c r="ES10">
        <f>COUNTIFS('DRAFT 2'!$D:$D,$B10,'DRAFT 2'!$A:$A,"&gt;="&amp;DATE(2026,5,22),'DRAFT 2'!$A:$A,"&lt;"&amp;DATE(2026,IF(5=12,5+1,5+1),1))</f>
        <v>0</v>
      </c>
      <c r="ET10">
        <f t="shared" si="6"/>
        <v>0</v>
      </c>
      <c r="FD10">
        <f>IFERROR(LOOKUP(2,1/('DRAFT 2'!$D:$D=$B10)*('DRAFT 2'!$A:$A&gt;=DATE(2026,6,1))*('DRAFT 2'!$A:$A&lt;DATE(2026,IF(6=12,6+1,6+1),1)),'DRAFT 2'!$A:$A),"")</f>
        <v>0</v>
      </c>
      <c r="FE10">
        <f>COUNTIFS('DRAFT 2'!$D:$D,$B10,'DRAFT 2'!$A:$A,"&gt;="&amp;DATE(2026,6,1),'DRAFT 2'!$A:$A,"&lt;="&amp;DATE(2026,6,7))</f>
        <v>0</v>
      </c>
      <c r="FF10">
        <f>COUNTIFS('DRAFT 2'!$D:$D,$B10,'DRAFT 2'!$A:$A,"&gt;="&amp;DATE(2026,6,8),'DRAFT 2'!$A:$A,"&lt;="&amp;DATE(2026,6,14))</f>
        <v>0</v>
      </c>
      <c r="FG10">
        <f>COUNTIFS('DRAFT 2'!$D:$D,$B10,'DRAFT 2'!$A:$A,"&gt;="&amp;DATE(2026,6,15),'DRAFT 2'!$A:$A,"&lt;="&amp;DATE(2026,6,21))</f>
        <v>0</v>
      </c>
      <c r="FH10">
        <f>COUNTIFS('DRAFT 2'!$D:$D,$B10,'DRAFT 2'!$A:$A,"&gt;="&amp;DATE(2026,6,22),'DRAFT 2'!$A:$A,"&lt;"&amp;DATE(2026,IF(6=12,6+1,6+1),1))</f>
        <v>0</v>
      </c>
      <c r="FI10">
        <f t="shared" si="7"/>
        <v>0</v>
      </c>
      <c r="FT10">
        <f>IFERROR(LOOKUP(2,1/('DRAFT 2'!$D:$D=$B10)*('DRAFT 2'!$A:$A&gt;=DATE(2026,7,1))*('DRAFT 2'!$A:$A&lt;DATE(2026,IF(7=12,7+1,7+1),1)),'DRAFT 2'!$A:$A),"")</f>
        <v>0</v>
      </c>
      <c r="FU10">
        <f>COUNTIFS('DRAFT 2'!$D:$D,$B10,'DRAFT 2'!$A:$A,"&gt;="&amp;DATE(2026,7,1),'DRAFT 2'!$A:$A,"&lt;="&amp;DATE(2026,7,7))</f>
        <v>0</v>
      </c>
      <c r="FV10">
        <f>COUNTIFS('DRAFT 2'!$D:$D,$B10,'DRAFT 2'!$A:$A,"&gt;="&amp;DATE(2026,7,8),'DRAFT 2'!$A:$A,"&lt;="&amp;DATE(2026,7,14))</f>
        <v>0</v>
      </c>
      <c r="FW10">
        <f>COUNTIFS('DRAFT 2'!$D:$D,$B10,'DRAFT 2'!$A:$A,"&gt;="&amp;DATE(2026,7,15),'DRAFT 2'!$A:$A,"&lt;="&amp;DATE(2026,7,21))</f>
        <v>0</v>
      </c>
      <c r="FX10">
        <f>COUNTIFS('DRAFT 2'!$D:$D,$B10,'DRAFT 2'!$A:$A,"&gt;="&amp;DATE(2026,7,22),'DRAFT 2'!$A:$A,"&lt;"&amp;DATE(2026,IF(7=12,7+1,7+1),1))</f>
        <v>0</v>
      </c>
      <c r="FY10">
        <f t="shared" si="8"/>
        <v>0</v>
      </c>
      <c r="GI10">
        <f>IFERROR(LOOKUP(2,1/('DRAFT 2'!$D:$D=$B10)*('DRAFT 2'!$A:$A&gt;=DATE(2026,8,1))*('DRAFT 2'!$A:$A&lt;DATE(2026,IF(8=12,8+1,8+1),1)),'DRAFT 2'!$A:$A),"")</f>
        <v>0</v>
      </c>
      <c r="GJ10">
        <f>COUNTIFS('DRAFT 2'!$D:$D,$B10,'DRAFT 2'!$A:$A,"&gt;="&amp;DATE(2026,8,1),'DRAFT 2'!$A:$A,"&lt;="&amp;DATE(2026,8,7))</f>
        <v>0</v>
      </c>
      <c r="GK10">
        <f>COUNTIFS('DRAFT 2'!$D:$D,$B10,'DRAFT 2'!$A:$A,"&gt;="&amp;DATE(2026,8,8),'DRAFT 2'!$A:$A,"&lt;="&amp;DATE(2026,8,14))</f>
        <v>0</v>
      </c>
      <c r="GL10">
        <f>COUNTIFS('DRAFT 2'!$D:$D,$B10,'DRAFT 2'!$A:$A,"&gt;="&amp;DATE(2026,8,15),'DRAFT 2'!$A:$A,"&lt;="&amp;DATE(2026,8,21))</f>
        <v>0</v>
      </c>
      <c r="GM10">
        <f>COUNTIFS('DRAFT 2'!$D:$D,$B10,'DRAFT 2'!$A:$A,"&gt;="&amp;DATE(2026,8,22),'DRAFT 2'!$A:$A,"&lt;"&amp;DATE(2026,IF(8=12,8+1,8+1),1))</f>
        <v>0</v>
      </c>
      <c r="GN10">
        <f t="shared" si="9"/>
        <v>0</v>
      </c>
      <c r="GX10">
        <f>IFERROR(LOOKUP(2,1/('DRAFT 2'!$D:$D=$B10)*('DRAFT 2'!$A:$A&gt;=DATE(2026,9,1))*('DRAFT 2'!$A:$A&lt;DATE(2026,IF(9=12,9+1,9+1),1)),'DRAFT 2'!$A:$A),"")</f>
        <v>0</v>
      </c>
      <c r="GY10">
        <f>COUNTIFS('DRAFT 2'!$D:$D,$B10,'DRAFT 2'!$A:$A,"&gt;="&amp;DATE(2026,9,1),'DRAFT 2'!$A:$A,"&lt;="&amp;DATE(2026,9,7))</f>
        <v>0</v>
      </c>
      <c r="GZ10">
        <f>COUNTIFS('DRAFT 2'!$D:$D,$B10,'DRAFT 2'!$A:$A,"&gt;="&amp;DATE(2026,9,8),'DRAFT 2'!$A:$A,"&lt;="&amp;DATE(2026,9,14))</f>
        <v>0</v>
      </c>
      <c r="HA10">
        <f>COUNTIFS('DRAFT 2'!$D:$D,$B10,'DRAFT 2'!$A:$A,"&gt;="&amp;DATE(2026,9,15),'DRAFT 2'!$A:$A,"&lt;="&amp;DATE(2026,9,21))</f>
        <v>0</v>
      </c>
      <c r="HB10">
        <f>COUNTIFS('DRAFT 2'!$D:$D,$B10,'DRAFT 2'!$A:$A,"&gt;="&amp;DATE(2026,9,22),'DRAFT 2'!$A:$A,"&lt;"&amp;DATE(2026,IF(9=12,9+1,9+1),1))</f>
        <v>0</v>
      </c>
      <c r="HC10">
        <f t="shared" si="10"/>
        <v>0</v>
      </c>
      <c r="HN10">
        <f>IFERROR(LOOKUP(2,1/('DRAFT 2'!$D:$D=$B10)*('DRAFT 2'!$A:$A&gt;=DATE(2026,10,1))*('DRAFT 2'!$A:$A&lt;DATE(2026,IF(10=12,10+1,10+1),1)),'DRAFT 2'!$A:$A),"")</f>
        <v>0</v>
      </c>
      <c r="HO10">
        <f>COUNTIFS('DRAFT 2'!$D:$D,$B10,'DRAFT 2'!$A:$A,"&gt;="&amp;DATE(2026,10,1),'DRAFT 2'!$A:$A,"&lt;="&amp;DATE(2026,10,7))</f>
        <v>0</v>
      </c>
      <c r="HP10">
        <f>COUNTIFS('DRAFT 2'!$D:$D,$B10,'DRAFT 2'!$A:$A,"&gt;="&amp;DATE(2026,10,8),'DRAFT 2'!$A:$A,"&lt;="&amp;DATE(2026,10,14))</f>
        <v>0</v>
      </c>
      <c r="HQ10">
        <f>COUNTIFS('DRAFT 2'!$D:$D,$B10,'DRAFT 2'!$A:$A,"&gt;="&amp;DATE(2026,10,15),'DRAFT 2'!$A:$A,"&lt;="&amp;DATE(2026,10,21))</f>
        <v>0</v>
      </c>
      <c r="HR10">
        <f>COUNTIFS('DRAFT 2'!$D:$D,$B10,'DRAFT 2'!$A:$A,"&gt;="&amp;DATE(2026,10,22),'DRAFT 2'!$A:$A,"&lt;"&amp;DATE(2026,IF(10=12,10+1,10+1),1))</f>
        <v>0</v>
      </c>
      <c r="HS10">
        <f t="shared" si="11"/>
        <v>0</v>
      </c>
      <c r="IC10">
        <f>IFERROR(LOOKUP(2,1/('DRAFT 2'!$D:$D=$B10)*('DRAFT 2'!$A:$A&gt;=DATE(2026,11,1))*('DRAFT 2'!$A:$A&lt;DATE(2026,IF(11=12,11+1,11+1),1)),'DRAFT 2'!$A:$A),"")</f>
        <v>0</v>
      </c>
      <c r="ID10">
        <f>COUNTIFS('DRAFT 2'!$D:$D,$B10,'DRAFT 2'!$A:$A,"&gt;="&amp;DATE(2026,11,1),'DRAFT 2'!$A:$A,"&lt;="&amp;DATE(2026,11,7))</f>
        <v>0</v>
      </c>
      <c r="IE10">
        <f>COUNTIFS('DRAFT 2'!$D:$D,$B10,'DRAFT 2'!$A:$A,"&gt;="&amp;DATE(2026,11,8),'DRAFT 2'!$A:$A,"&lt;="&amp;DATE(2026,11,14))</f>
        <v>0</v>
      </c>
      <c r="IF10">
        <f>COUNTIFS('DRAFT 2'!$D:$D,$B10,'DRAFT 2'!$A:$A,"&gt;="&amp;DATE(2026,11,15),'DRAFT 2'!$A:$A,"&lt;="&amp;DATE(2026,11,21))</f>
        <v>0</v>
      </c>
      <c r="IG10">
        <f>COUNTIFS('DRAFT 2'!$D:$D,$B10,'DRAFT 2'!$A:$A,"&gt;="&amp;DATE(2026,11,22),'DRAFT 2'!$A:$A,"&lt;"&amp;DATE(2026,IF(11=12,11+1,11+1),1))</f>
        <v>0</v>
      </c>
      <c r="IH10">
        <f t="shared" si="12"/>
        <v>0</v>
      </c>
      <c r="IR10">
        <f>IFERROR(LOOKUP(2,1/('DRAFT 2'!$D:$D=$B10)*('DRAFT 2'!$A:$A&gt;=DATE(2026,12,1))*('DRAFT 2'!$A:$A&lt;DATE(2026,IF(12=12,12+1,12+1),1)),'DRAFT 2'!$A:$A),"")</f>
        <v>0</v>
      </c>
      <c r="IS10">
        <f>COUNTIFS('DRAFT 2'!$D:$D,$B10,'DRAFT 2'!$A:$A,"&gt;="&amp;DATE(2026,12,1),'DRAFT 2'!$A:$A,"&lt;="&amp;DATE(2026,12,7))</f>
        <v>0</v>
      </c>
      <c r="IT10">
        <f>COUNTIFS('DRAFT 2'!$D:$D,$B10,'DRAFT 2'!$A:$A,"&gt;="&amp;DATE(2026,12,8),'DRAFT 2'!$A:$A,"&lt;="&amp;DATE(2026,12,14))</f>
        <v>0</v>
      </c>
      <c r="IU10">
        <f>COUNTIFS('DRAFT 2'!$D:$D,$B10,'DRAFT 2'!$A:$A,"&gt;="&amp;DATE(2026,12,15),'DRAFT 2'!$A:$A,"&lt;="&amp;DATE(2026,12,21))</f>
        <v>0</v>
      </c>
      <c r="IV10">
        <f>COUNTIFS('DRAFT 2'!$D:$D,$B10,'DRAFT 2'!$A:$A,"&gt;="&amp;DATE(2026,12,22),'DRAFT 2'!$A:$A,"&lt;"&amp;DATE(2026,IF(12=12,12+1,12+1),1))</f>
        <v>0</v>
      </c>
      <c r="IW10">
        <f t="shared" si="13"/>
        <v>0</v>
      </c>
    </row>
    <row r="11" spans="1:257" x14ac:dyDescent="0.3">
      <c r="A11" t="str">
        <f>IFERROR(INDEX('DRAFT 1'!$A:$A,MATCH($B11,'DRAFT 1'!$B:$B,0)),"")</f>
        <v/>
      </c>
      <c r="C11" t="str">
        <f>IFERROR(INDEX('DRAFT 1'!$C:$C,MATCH($B11,'DRAFT 1'!$B:$B,0)),"")</f>
        <v/>
      </c>
      <c r="D11" t="str">
        <f>IFERROR(INDEX('DRAFT 1'!$D:$D,MATCH($B11,'DRAFT 1'!$B:$B,0)),"")</f>
        <v/>
      </c>
      <c r="E11" t="str">
        <f>IFERROR(INDEX('DRAFT 1'!$E:$E,MATCH($B11,'DRAFT 1'!$B:$B,0)),"")</f>
        <v/>
      </c>
      <c r="F11" t="str">
        <f>IFERROR(INDEX('DRAFT 1'!$F:$F,MATCH($B11,'DRAFT 1'!$B:$B,0)),"")</f>
        <v/>
      </c>
      <c r="G11" t="str">
        <f>IFERROR(INDEX('DRAFT 1'!$G:$G,MATCH($B11,'DRAFT 1'!$B:$B,0)),"")</f>
        <v/>
      </c>
      <c r="H11" t="str">
        <f>IFERROR(INDEX('DRAFT 1'!$H:$H,MATCH($B11,'DRAFT 1'!$B:$B,0)),"")</f>
        <v/>
      </c>
      <c r="I11" t="s">
        <v>292</v>
      </c>
      <c r="K11" t="str">
        <f>IFERROR(INDEX('DRAFT 1'!$AL:$AL,MATCH($B11,'DRAFT 1'!$B:$B,0)),"")</f>
        <v/>
      </c>
      <c r="L11" t="str">
        <f>IFERROR(INDEX('DRAFT 1'!$J:$J,MATCH($B11,'DRAFT 1'!$B:$B,0)),"")</f>
        <v/>
      </c>
      <c r="M11" t="str">
        <f>IFERROR(INDEX('DRAFT 1'!$K:$K,MATCH($B11,'DRAFT 1'!$B:$B,0)),"")</f>
        <v/>
      </c>
      <c r="N11" t="s">
        <v>79</v>
      </c>
      <c r="P11" t="str">
        <f>IFERROR(INDEX('DRAFT 1'!$L:$L,MATCH($B11,'DRAFT 1'!$B:$B,0)),"")</f>
        <v/>
      </c>
      <c r="Q11" t="str">
        <f>IFERROR(INDEX('DRAFT 1'!$M:$M,MATCH($B11,'DRAFT 1'!$B:$B,0)),"")</f>
        <v/>
      </c>
      <c r="R11" t="str">
        <f>IFERROR(INDEX('DRAFT 1'!$N:$N,MATCH($B11,'DRAFT 1'!$B:$B,0)),"")</f>
        <v/>
      </c>
      <c r="S11" t="str">
        <f>IFERROR(INDEX('DRAFT 1'!$O:$O,MATCH($B11,'DRAFT 1'!$B:$B,0)),"")</f>
        <v/>
      </c>
      <c r="T11" t="str">
        <f>IFERROR(INDEX('DRAFT 1'!$P:$P,MATCH($B11,'DRAFT 1'!$B:$B,0)),"")</f>
        <v/>
      </c>
      <c r="U11" t="str">
        <f>IFERROR(INDEX('DRAFT 1'!$Q:$Q,MATCH($B11,'DRAFT 1'!$B:$B,0)),"")</f>
        <v/>
      </c>
      <c r="V11" t="str">
        <f>IFERROR(INDEX('DRAFT 1'!$R:$R,MATCH($B11,'DRAFT 1'!$B:$B,0)),"")</f>
        <v/>
      </c>
      <c r="W11" t="str">
        <f>IFERROR(INDEX('DRAFT 1'!$S:$S,MATCH($B11,'DRAFT 1'!$B:$B,0)),"")</f>
        <v/>
      </c>
      <c r="X11" t="str">
        <f>IFERROR(INDEX('DRAFT 1'!$T:$T,MATCH($B11,'DRAFT 1'!$B:$B,0)),"")</f>
        <v/>
      </c>
      <c r="Z11" t="str">
        <f>IFERROR(INDEX('DRAFT 1'!$U:$U,MATCH($B11,'DRAFT 1'!$B:$B,0)),"")</f>
        <v/>
      </c>
      <c r="AA11" t="str">
        <f>IFERROR(INDEX('DRAFT 1'!$V:$V,MATCH($B11,'DRAFT 1'!$B:$B,0)),"")</f>
        <v/>
      </c>
      <c r="AB11" t="str">
        <f>IFERROR(INDEX('DRAFT 1'!$W:$W,MATCH($B11,'DRAFT 1'!$B:$B,0)),"")</f>
        <v/>
      </c>
      <c r="AC11" t="str">
        <f>IFERROR(INDEX('DRAFT 1'!$X:$X,MATCH($B11,'DRAFT 1'!$B:$B,0)),"")</f>
        <v/>
      </c>
      <c r="AD11" t="str">
        <f>IFERROR(INDEX('DRAFT 1'!$Y:$Y,MATCH($B11,'DRAFT 1'!$B:$B,0)),"")</f>
        <v/>
      </c>
      <c r="AE11" t="str">
        <f>IFERROR(INDEX('DRAFT 1'!$Z:$Z,MATCH($B11,'DRAFT 1'!$B:$B,0)),"")</f>
        <v/>
      </c>
      <c r="AF11" t="str">
        <f>IFERROR(INDEX('DRAFT 1'!$AA:$AA,MATCH($B11,'DRAFT 1'!$B:$B,0)),"")</f>
        <v/>
      </c>
      <c r="AG11" t="str">
        <f>IFERROR(INDEX('DRAFT 1'!$AB:$AB,MATCH($B11,'DRAFT 1'!$B:$B,0)),"")</f>
        <v/>
      </c>
      <c r="AH11" t="str">
        <f>IFERROR(INDEX('DRAFT 1'!$AC:$AC,MATCH($B11,'DRAFT 1'!$B:$B,0)),"")</f>
        <v/>
      </c>
      <c r="AI11" t="str">
        <f>IFERROR(INDEX('DRAFT 1'!$AD:$AD,MATCH($B11,'DRAFT 1'!$B:$B,0)),"")</f>
        <v/>
      </c>
      <c r="AJ11" t="str">
        <f>IFERROR(INDEX('DRAFT 1'!$AE:$AE,MATCH($B11,'DRAFT 1'!$B:$B,0)),"")</f>
        <v/>
      </c>
      <c r="AK11" t="str">
        <f>IFERROR(INDEX('DRAFT 1'!$AG:$AG,MATCH($B11,'DRAFT 1'!$B:$B,0)),"")</f>
        <v/>
      </c>
      <c r="AL11" t="str">
        <f>IFERROR(INDEX('DRAFT 1'!$AH:$AH,MATCH($B11,'DRAFT 1'!$B:$B,0)),"")</f>
        <v/>
      </c>
      <c r="AM11" t="str">
        <f>IFERROR(INDEX('DRAFT 1'!$AI:$AI,MATCH($B11,'DRAFT 1'!$B:$B,0)),"")</f>
        <v/>
      </c>
      <c r="AN11" t="str">
        <f>IFERROR(INDEX('DRAFT 1'!$AJ:$AJ,MATCH($B11,'DRAFT 1'!$B:$B,0)),"")</f>
        <v/>
      </c>
      <c r="AO11">
        <f t="shared" si="0"/>
        <v>0</v>
      </c>
      <c r="AP11" t="str">
        <f>IFERROR(INDEX('DRAFT 1'!$AK:$AK,MATCH($B11,'DRAFT 1'!$B:$B,0)),"")</f>
        <v/>
      </c>
      <c r="AR11" t="s">
        <v>94</v>
      </c>
      <c r="AS11">
        <f>IFERROR(LOOKUP(2,1/('DRAFT 2'!$D:$D=$B11),'DRAFT 2'!$T:$T),"")</f>
        <v>0</v>
      </c>
      <c r="AT11">
        <f>IFERROR(LOOKUP(2,1/('DRAFT 2'!$D:$D=$B11),'DRAFT 2'!$A:$A),"")</f>
        <v>0</v>
      </c>
      <c r="AU11">
        <f>IFERROR(LOOKUP(2,1/('DRAFT 2'!$D:$D=$B11),'DRAFT 2'!$R:$R),"")</f>
        <v>0</v>
      </c>
      <c r="AV11">
        <f>IFERROR(LOOKUP(2,1/('DRAFT 2'!$D:$D=$B11),'DRAFT 2'!$S:$S),"")</f>
        <v>0</v>
      </c>
      <c r="AW11" t="s">
        <v>126</v>
      </c>
      <c r="AX11">
        <f>IFERROR(LOOKUP(2,1/('DRAFT 2'!$D:$D=$B11),'DRAFT 2'!$M:$M),"")</f>
        <v>0</v>
      </c>
      <c r="AY11">
        <f>IFERROR(LOOKUP(2,1/('DRAFT 2'!$D:$D=$B11),'DRAFT 2'!$K:$K),"")</f>
        <v>0</v>
      </c>
      <c r="BG11">
        <f>IFERROR(LOOKUP(2,1/('DRAFT 2'!$D:$D=$B11),'DRAFT 2'!$U:$U),"")</f>
        <v>0</v>
      </c>
      <c r="BH11">
        <f>IFERROR(LOOKUP(2,1/('DRAFT 2'!$D:$D=$B11),'DRAFT 2'!$V:$V),"")</f>
        <v>0</v>
      </c>
      <c r="CE11" t="str">
        <f t="shared" si="1"/>
        <v/>
      </c>
      <c r="CF11">
        <f>IFERROR(LOOKUP(2,1/('DRAFT 2'!$D:$D=$B11)*('DRAFT 2'!$A:$A&gt;=DATE(2026,1,1))*('DRAFT 2'!$A:$A&lt;DATE(2026,IF(1=12,1+1,1+1),1)),'DRAFT 2'!$A:$A),"")</f>
        <v>0</v>
      </c>
      <c r="CG11">
        <f>COUNTIFS('DRAFT 2'!$D:$D,$B11,'DRAFT 2'!$A:$A,"&gt;="&amp;DATE(2026,1,1),'DRAFT 2'!$A:$A,"&lt;="&amp;DATE(2026,1,7))</f>
        <v>0</v>
      </c>
      <c r="CH11">
        <f>COUNTIFS('DRAFT 2'!$D:$D,$B11,'DRAFT 2'!$A:$A,"&gt;="&amp;DATE(2026,1,8),'DRAFT 2'!$A:$A,"&lt;="&amp;DATE(2026,1,14))</f>
        <v>0</v>
      </c>
      <c r="CI11">
        <f>COUNTIFS('DRAFT 2'!$D:$D,$B11,'DRAFT 2'!$A:$A,"&gt;="&amp;DATE(2026,1,15),'DRAFT 2'!$A:$A,"&lt;="&amp;DATE(2026,1,21))</f>
        <v>0</v>
      </c>
      <c r="CJ11">
        <f>COUNTIFS('DRAFT 2'!$D:$D,$B11,'DRAFT 2'!$A:$A,"&gt;="&amp;DATE(2026,1,22),'DRAFT 2'!$A:$A,"&lt;"&amp;DATE(2026,IF(1=12,1+1,1+1),1))</f>
        <v>0</v>
      </c>
      <c r="CK11">
        <f t="shared" si="2"/>
        <v>0</v>
      </c>
      <c r="CT11">
        <v>0</v>
      </c>
      <c r="CU11">
        <f>IFERROR(LOOKUP(2,1/('DRAFT 2'!$D:$D=$B11)*('DRAFT 2'!$A:$A&gt;=DATE(2026,2,1))*('DRAFT 2'!$A:$A&lt;DATE(2026,IF(2=12,2+1,2+1),1)),'DRAFT 2'!$A:$A),"")</f>
        <v>0</v>
      </c>
      <c r="CV11">
        <f>COUNTIFS('DRAFT 2'!$D:$D,$B11,'DRAFT 2'!$A:$A,"&gt;="&amp;DATE(2026,2,1),'DRAFT 2'!$A:$A,"&lt;="&amp;DATE(2026,2,7))</f>
        <v>0</v>
      </c>
      <c r="CW11">
        <f>COUNTIFS('DRAFT 2'!$D:$D,$B11,'DRAFT 2'!$A:$A,"&gt;="&amp;DATE(2026,2,8),'DRAFT 2'!$A:$A,"&lt;="&amp;DATE(2026,2,14))</f>
        <v>0</v>
      </c>
      <c r="CX11">
        <f>COUNTIFS('DRAFT 2'!$D:$D,$B11,'DRAFT 2'!$A:$A,"&gt;="&amp;DATE(2026,2,15),'DRAFT 2'!$A:$A,"&lt;="&amp;DATE(2026,2,21))</f>
        <v>0</v>
      </c>
      <c r="CY11">
        <f>COUNTIFS('DRAFT 2'!$D:$D,$B11,'DRAFT 2'!$A:$A,"&gt;="&amp;DATE(2026,2,22),'DRAFT 2'!$A:$A,"&lt;"&amp;DATE(2026,IF(2=12,2+1,2+1),1))</f>
        <v>0</v>
      </c>
      <c r="CZ11">
        <f t="shared" si="3"/>
        <v>0</v>
      </c>
      <c r="DJ11">
        <f>IFERROR(LOOKUP(2,1/('DRAFT 2'!$D:$D=$B11)*('DRAFT 2'!$A:$A&gt;=DATE(2026,3,1))*('DRAFT 2'!$A:$A&lt;DATE(2026,IF(3=12,3+1,3+1),1)),'DRAFT 2'!$A:$A),"")</f>
        <v>0</v>
      </c>
      <c r="DK11">
        <f>COUNTIFS('DRAFT 2'!$D:$D,$B11,'DRAFT 2'!$A:$A,"&gt;="&amp;DATE(2026,3,1),'DRAFT 2'!$A:$A,"&lt;="&amp;DATE(2026,3,7))</f>
        <v>0</v>
      </c>
      <c r="DL11">
        <f>COUNTIFS('DRAFT 2'!$D:$D,$B11,'DRAFT 2'!$A:$A,"&gt;="&amp;DATE(2026,3,8),'DRAFT 2'!$A:$A,"&lt;="&amp;DATE(2026,3,14))</f>
        <v>0</v>
      </c>
      <c r="DM11">
        <f>COUNTIFS('DRAFT 2'!$D:$D,$B11,'DRAFT 2'!$A:$A,"&gt;="&amp;DATE(2026,3,15),'DRAFT 2'!$A:$A,"&lt;="&amp;DATE(2026,3,21))</f>
        <v>0</v>
      </c>
      <c r="DN11">
        <f>COUNTIFS('DRAFT 2'!$D:$D,$B11,'DRAFT 2'!$A:$A,"&gt;="&amp;DATE(2026,3,22),'DRAFT 2'!$A:$A,"&lt;"&amp;DATE(2026,IF(3=12,3+1,3+1),1))</f>
        <v>0</v>
      </c>
      <c r="DO11">
        <f t="shared" si="4"/>
        <v>0</v>
      </c>
      <c r="DZ11">
        <f>IFERROR(LOOKUP(2,1/('DRAFT 2'!$D:$D=$B11)*('DRAFT 2'!$A:$A&gt;=DATE(2026,4,1))*('DRAFT 2'!$A:$A&lt;DATE(2026,IF(4=12,4+1,4+1),1)),'DRAFT 2'!$A:$A),"")</f>
        <v>0</v>
      </c>
      <c r="EA11">
        <f>COUNTIFS('DRAFT 2'!$D:$D,$B11,'DRAFT 2'!$A:$A,"&gt;="&amp;DATE(2026,4,1),'DRAFT 2'!$A:$A,"&lt;="&amp;DATE(2026,4,7))</f>
        <v>0</v>
      </c>
      <c r="EB11">
        <f>COUNTIFS('DRAFT 2'!$D:$D,$B11,'DRAFT 2'!$A:$A,"&gt;="&amp;DATE(2026,4,8),'DRAFT 2'!$A:$A,"&lt;="&amp;DATE(2026,4,14))</f>
        <v>0</v>
      </c>
      <c r="EC11">
        <f>COUNTIFS('DRAFT 2'!$D:$D,$B11,'DRAFT 2'!$A:$A,"&gt;="&amp;DATE(2026,4,15),'DRAFT 2'!$A:$A,"&lt;="&amp;DATE(2026,4,21))</f>
        <v>0</v>
      </c>
      <c r="ED11">
        <f>COUNTIFS('DRAFT 2'!$D:$D,$B11,'DRAFT 2'!$A:$A,"&gt;="&amp;DATE(2026,4,22),'DRAFT 2'!$A:$A,"&lt;"&amp;DATE(2026,IF(4=12,4+1,4+1),1))</f>
        <v>0</v>
      </c>
      <c r="EE11">
        <f t="shared" si="5"/>
        <v>0</v>
      </c>
      <c r="EO11">
        <f>IFERROR(LOOKUP(2,1/('DRAFT 2'!$D:$D=$B11)*('DRAFT 2'!$A:$A&gt;=DATE(2026,5,1))*('DRAFT 2'!$A:$A&lt;DATE(2026,IF(5=12,5+1,5+1),1)),'DRAFT 2'!$A:$A),"")</f>
        <v>0</v>
      </c>
      <c r="EP11">
        <f>COUNTIFS('DRAFT 2'!$D:$D,$B11,'DRAFT 2'!$A:$A,"&gt;="&amp;DATE(2026,5,1),'DRAFT 2'!$A:$A,"&lt;="&amp;DATE(2026,5,7))</f>
        <v>0</v>
      </c>
      <c r="EQ11">
        <f>COUNTIFS('DRAFT 2'!$D:$D,$B11,'DRAFT 2'!$A:$A,"&gt;="&amp;DATE(2026,5,8),'DRAFT 2'!$A:$A,"&lt;="&amp;DATE(2026,5,14))</f>
        <v>0</v>
      </c>
      <c r="ER11">
        <f>COUNTIFS('DRAFT 2'!$D:$D,$B11,'DRAFT 2'!$A:$A,"&gt;="&amp;DATE(2026,5,15),'DRAFT 2'!$A:$A,"&lt;="&amp;DATE(2026,5,21))</f>
        <v>0</v>
      </c>
      <c r="ES11">
        <f>COUNTIFS('DRAFT 2'!$D:$D,$B11,'DRAFT 2'!$A:$A,"&gt;="&amp;DATE(2026,5,22),'DRAFT 2'!$A:$A,"&lt;"&amp;DATE(2026,IF(5=12,5+1,5+1),1))</f>
        <v>0</v>
      </c>
      <c r="ET11">
        <f t="shared" si="6"/>
        <v>0</v>
      </c>
      <c r="FD11">
        <f>IFERROR(LOOKUP(2,1/('DRAFT 2'!$D:$D=$B11)*('DRAFT 2'!$A:$A&gt;=DATE(2026,6,1))*('DRAFT 2'!$A:$A&lt;DATE(2026,IF(6=12,6+1,6+1),1)),'DRAFT 2'!$A:$A),"")</f>
        <v>0</v>
      </c>
      <c r="FE11">
        <f>COUNTIFS('DRAFT 2'!$D:$D,$B11,'DRAFT 2'!$A:$A,"&gt;="&amp;DATE(2026,6,1),'DRAFT 2'!$A:$A,"&lt;="&amp;DATE(2026,6,7))</f>
        <v>0</v>
      </c>
      <c r="FF11">
        <f>COUNTIFS('DRAFT 2'!$D:$D,$B11,'DRAFT 2'!$A:$A,"&gt;="&amp;DATE(2026,6,8),'DRAFT 2'!$A:$A,"&lt;="&amp;DATE(2026,6,14))</f>
        <v>0</v>
      </c>
      <c r="FG11">
        <f>COUNTIFS('DRAFT 2'!$D:$D,$B11,'DRAFT 2'!$A:$A,"&gt;="&amp;DATE(2026,6,15),'DRAFT 2'!$A:$A,"&lt;="&amp;DATE(2026,6,21))</f>
        <v>0</v>
      </c>
      <c r="FH11">
        <f>COUNTIFS('DRAFT 2'!$D:$D,$B11,'DRAFT 2'!$A:$A,"&gt;="&amp;DATE(2026,6,22),'DRAFT 2'!$A:$A,"&lt;"&amp;DATE(2026,IF(6=12,6+1,6+1),1))</f>
        <v>0</v>
      </c>
      <c r="FI11">
        <f t="shared" si="7"/>
        <v>0</v>
      </c>
      <c r="FT11">
        <f>IFERROR(LOOKUP(2,1/('DRAFT 2'!$D:$D=$B11)*('DRAFT 2'!$A:$A&gt;=DATE(2026,7,1))*('DRAFT 2'!$A:$A&lt;DATE(2026,IF(7=12,7+1,7+1),1)),'DRAFT 2'!$A:$A),"")</f>
        <v>0</v>
      </c>
      <c r="FU11">
        <f>COUNTIFS('DRAFT 2'!$D:$D,$B11,'DRAFT 2'!$A:$A,"&gt;="&amp;DATE(2026,7,1),'DRAFT 2'!$A:$A,"&lt;="&amp;DATE(2026,7,7))</f>
        <v>0</v>
      </c>
      <c r="FV11">
        <f>COUNTIFS('DRAFT 2'!$D:$D,$B11,'DRAFT 2'!$A:$A,"&gt;="&amp;DATE(2026,7,8),'DRAFT 2'!$A:$A,"&lt;="&amp;DATE(2026,7,14))</f>
        <v>0</v>
      </c>
      <c r="FW11">
        <f>COUNTIFS('DRAFT 2'!$D:$D,$B11,'DRAFT 2'!$A:$A,"&gt;="&amp;DATE(2026,7,15),'DRAFT 2'!$A:$A,"&lt;="&amp;DATE(2026,7,21))</f>
        <v>0</v>
      </c>
      <c r="FX11">
        <f>COUNTIFS('DRAFT 2'!$D:$D,$B11,'DRAFT 2'!$A:$A,"&gt;="&amp;DATE(2026,7,22),'DRAFT 2'!$A:$A,"&lt;"&amp;DATE(2026,IF(7=12,7+1,7+1),1))</f>
        <v>0</v>
      </c>
      <c r="FY11">
        <f t="shared" si="8"/>
        <v>0</v>
      </c>
      <c r="GI11">
        <f>IFERROR(LOOKUP(2,1/('DRAFT 2'!$D:$D=$B11)*('DRAFT 2'!$A:$A&gt;=DATE(2026,8,1))*('DRAFT 2'!$A:$A&lt;DATE(2026,IF(8=12,8+1,8+1),1)),'DRAFT 2'!$A:$A),"")</f>
        <v>0</v>
      </c>
      <c r="GJ11">
        <f>COUNTIFS('DRAFT 2'!$D:$D,$B11,'DRAFT 2'!$A:$A,"&gt;="&amp;DATE(2026,8,1),'DRAFT 2'!$A:$A,"&lt;="&amp;DATE(2026,8,7))</f>
        <v>0</v>
      </c>
      <c r="GK11">
        <f>COUNTIFS('DRAFT 2'!$D:$D,$B11,'DRAFT 2'!$A:$A,"&gt;="&amp;DATE(2026,8,8),'DRAFT 2'!$A:$A,"&lt;="&amp;DATE(2026,8,14))</f>
        <v>0</v>
      </c>
      <c r="GL11">
        <f>COUNTIFS('DRAFT 2'!$D:$D,$B11,'DRAFT 2'!$A:$A,"&gt;="&amp;DATE(2026,8,15),'DRAFT 2'!$A:$A,"&lt;="&amp;DATE(2026,8,21))</f>
        <v>0</v>
      </c>
      <c r="GM11">
        <f>COUNTIFS('DRAFT 2'!$D:$D,$B11,'DRAFT 2'!$A:$A,"&gt;="&amp;DATE(2026,8,22),'DRAFT 2'!$A:$A,"&lt;"&amp;DATE(2026,IF(8=12,8+1,8+1),1))</f>
        <v>0</v>
      </c>
      <c r="GN11">
        <f t="shared" si="9"/>
        <v>0</v>
      </c>
      <c r="GX11">
        <f>IFERROR(LOOKUP(2,1/('DRAFT 2'!$D:$D=$B11)*('DRAFT 2'!$A:$A&gt;=DATE(2026,9,1))*('DRAFT 2'!$A:$A&lt;DATE(2026,IF(9=12,9+1,9+1),1)),'DRAFT 2'!$A:$A),"")</f>
        <v>0</v>
      </c>
      <c r="GY11">
        <f>COUNTIFS('DRAFT 2'!$D:$D,$B11,'DRAFT 2'!$A:$A,"&gt;="&amp;DATE(2026,9,1),'DRAFT 2'!$A:$A,"&lt;="&amp;DATE(2026,9,7))</f>
        <v>0</v>
      </c>
      <c r="GZ11">
        <f>COUNTIFS('DRAFT 2'!$D:$D,$B11,'DRAFT 2'!$A:$A,"&gt;="&amp;DATE(2026,9,8),'DRAFT 2'!$A:$A,"&lt;="&amp;DATE(2026,9,14))</f>
        <v>0</v>
      </c>
      <c r="HA11">
        <f>COUNTIFS('DRAFT 2'!$D:$D,$B11,'DRAFT 2'!$A:$A,"&gt;="&amp;DATE(2026,9,15),'DRAFT 2'!$A:$A,"&lt;="&amp;DATE(2026,9,21))</f>
        <v>0</v>
      </c>
      <c r="HB11">
        <f>COUNTIFS('DRAFT 2'!$D:$D,$B11,'DRAFT 2'!$A:$A,"&gt;="&amp;DATE(2026,9,22),'DRAFT 2'!$A:$A,"&lt;"&amp;DATE(2026,IF(9=12,9+1,9+1),1))</f>
        <v>0</v>
      </c>
      <c r="HC11">
        <f t="shared" si="10"/>
        <v>0</v>
      </c>
      <c r="HN11">
        <f>IFERROR(LOOKUP(2,1/('DRAFT 2'!$D:$D=$B11)*('DRAFT 2'!$A:$A&gt;=DATE(2026,10,1))*('DRAFT 2'!$A:$A&lt;DATE(2026,IF(10=12,10+1,10+1),1)),'DRAFT 2'!$A:$A),"")</f>
        <v>0</v>
      </c>
      <c r="HO11">
        <f>COUNTIFS('DRAFT 2'!$D:$D,$B11,'DRAFT 2'!$A:$A,"&gt;="&amp;DATE(2026,10,1),'DRAFT 2'!$A:$A,"&lt;="&amp;DATE(2026,10,7))</f>
        <v>0</v>
      </c>
      <c r="HP11">
        <f>COUNTIFS('DRAFT 2'!$D:$D,$B11,'DRAFT 2'!$A:$A,"&gt;="&amp;DATE(2026,10,8),'DRAFT 2'!$A:$A,"&lt;="&amp;DATE(2026,10,14))</f>
        <v>0</v>
      </c>
      <c r="HQ11">
        <f>COUNTIFS('DRAFT 2'!$D:$D,$B11,'DRAFT 2'!$A:$A,"&gt;="&amp;DATE(2026,10,15),'DRAFT 2'!$A:$A,"&lt;="&amp;DATE(2026,10,21))</f>
        <v>0</v>
      </c>
      <c r="HR11">
        <f>COUNTIFS('DRAFT 2'!$D:$D,$B11,'DRAFT 2'!$A:$A,"&gt;="&amp;DATE(2026,10,22),'DRAFT 2'!$A:$A,"&lt;"&amp;DATE(2026,IF(10=12,10+1,10+1),1))</f>
        <v>0</v>
      </c>
      <c r="HS11">
        <f t="shared" si="11"/>
        <v>0</v>
      </c>
      <c r="IC11">
        <f>IFERROR(LOOKUP(2,1/('DRAFT 2'!$D:$D=$B11)*('DRAFT 2'!$A:$A&gt;=DATE(2026,11,1))*('DRAFT 2'!$A:$A&lt;DATE(2026,IF(11=12,11+1,11+1),1)),'DRAFT 2'!$A:$A),"")</f>
        <v>0</v>
      </c>
      <c r="ID11">
        <f>COUNTIFS('DRAFT 2'!$D:$D,$B11,'DRAFT 2'!$A:$A,"&gt;="&amp;DATE(2026,11,1),'DRAFT 2'!$A:$A,"&lt;="&amp;DATE(2026,11,7))</f>
        <v>0</v>
      </c>
      <c r="IE11">
        <f>COUNTIFS('DRAFT 2'!$D:$D,$B11,'DRAFT 2'!$A:$A,"&gt;="&amp;DATE(2026,11,8),'DRAFT 2'!$A:$A,"&lt;="&amp;DATE(2026,11,14))</f>
        <v>0</v>
      </c>
      <c r="IF11">
        <f>COUNTIFS('DRAFT 2'!$D:$D,$B11,'DRAFT 2'!$A:$A,"&gt;="&amp;DATE(2026,11,15),'DRAFT 2'!$A:$A,"&lt;="&amp;DATE(2026,11,21))</f>
        <v>0</v>
      </c>
      <c r="IG11">
        <f>COUNTIFS('DRAFT 2'!$D:$D,$B11,'DRAFT 2'!$A:$A,"&gt;="&amp;DATE(2026,11,22),'DRAFT 2'!$A:$A,"&lt;"&amp;DATE(2026,IF(11=12,11+1,11+1),1))</f>
        <v>0</v>
      </c>
      <c r="IH11">
        <f t="shared" si="12"/>
        <v>0</v>
      </c>
      <c r="IR11">
        <f>IFERROR(LOOKUP(2,1/('DRAFT 2'!$D:$D=$B11)*('DRAFT 2'!$A:$A&gt;=DATE(2026,12,1))*('DRAFT 2'!$A:$A&lt;DATE(2026,IF(12=12,12+1,12+1),1)),'DRAFT 2'!$A:$A),"")</f>
        <v>0</v>
      </c>
      <c r="IS11">
        <f>COUNTIFS('DRAFT 2'!$D:$D,$B11,'DRAFT 2'!$A:$A,"&gt;="&amp;DATE(2026,12,1),'DRAFT 2'!$A:$A,"&lt;="&amp;DATE(2026,12,7))</f>
        <v>0</v>
      </c>
      <c r="IT11">
        <f>COUNTIFS('DRAFT 2'!$D:$D,$B11,'DRAFT 2'!$A:$A,"&gt;="&amp;DATE(2026,12,8),'DRAFT 2'!$A:$A,"&lt;="&amp;DATE(2026,12,14))</f>
        <v>0</v>
      </c>
      <c r="IU11">
        <f>COUNTIFS('DRAFT 2'!$D:$D,$B11,'DRAFT 2'!$A:$A,"&gt;="&amp;DATE(2026,12,15),'DRAFT 2'!$A:$A,"&lt;="&amp;DATE(2026,12,21))</f>
        <v>0</v>
      </c>
      <c r="IV11">
        <f>COUNTIFS('DRAFT 2'!$D:$D,$B11,'DRAFT 2'!$A:$A,"&gt;="&amp;DATE(2026,12,22),'DRAFT 2'!$A:$A,"&lt;"&amp;DATE(2026,IF(12=12,12+1,12+1),1))</f>
        <v>0</v>
      </c>
      <c r="IW11">
        <f t="shared" si="13"/>
        <v>0</v>
      </c>
    </row>
    <row r="12" spans="1:257" x14ac:dyDescent="0.3">
      <c r="A12" t="str">
        <f>IFERROR(INDEX('DRAFT 1'!$A:$A,MATCH($B12,'DRAFT 1'!$B:$B,0)),"")</f>
        <v/>
      </c>
      <c r="C12" t="str">
        <f>IFERROR(INDEX('DRAFT 1'!$C:$C,MATCH($B12,'DRAFT 1'!$B:$B,0)),"")</f>
        <v/>
      </c>
      <c r="D12" t="str">
        <f>IFERROR(INDEX('DRAFT 1'!$D:$D,MATCH($B12,'DRAFT 1'!$B:$B,0)),"")</f>
        <v/>
      </c>
      <c r="E12" t="str">
        <f>IFERROR(INDEX('DRAFT 1'!$E:$E,MATCH($B12,'DRAFT 1'!$B:$B,0)),"")</f>
        <v/>
      </c>
      <c r="F12" t="str">
        <f>IFERROR(INDEX('DRAFT 1'!$F:$F,MATCH($B12,'DRAFT 1'!$B:$B,0)),"")</f>
        <v/>
      </c>
      <c r="G12" t="str">
        <f>IFERROR(INDEX('DRAFT 1'!$G:$G,MATCH($B12,'DRAFT 1'!$B:$B,0)),"")</f>
        <v/>
      </c>
      <c r="H12" t="str">
        <f>IFERROR(INDEX('DRAFT 1'!$H:$H,MATCH($B12,'DRAFT 1'!$B:$B,0)),"")</f>
        <v/>
      </c>
      <c r="I12" t="s">
        <v>295</v>
      </c>
      <c r="K12" t="str">
        <f>IFERROR(INDEX('DRAFT 1'!$AL:$AL,MATCH($B12,'DRAFT 1'!$B:$B,0)),"")</f>
        <v/>
      </c>
      <c r="L12" t="str">
        <f>IFERROR(INDEX('DRAFT 1'!$J:$J,MATCH($B12,'DRAFT 1'!$B:$B,0)),"")</f>
        <v/>
      </c>
      <c r="M12" t="str">
        <f>IFERROR(INDEX('DRAFT 1'!$K:$K,MATCH($B12,'DRAFT 1'!$B:$B,0)),"")</f>
        <v/>
      </c>
      <c r="N12" t="s">
        <v>82</v>
      </c>
      <c r="P12" t="str">
        <f>IFERROR(INDEX('DRAFT 1'!$L:$L,MATCH($B12,'DRAFT 1'!$B:$B,0)),"")</f>
        <v/>
      </c>
      <c r="Q12" t="str">
        <f>IFERROR(INDEX('DRAFT 1'!$M:$M,MATCH($B12,'DRAFT 1'!$B:$B,0)),"")</f>
        <v/>
      </c>
      <c r="R12" t="str">
        <f>IFERROR(INDEX('DRAFT 1'!$N:$N,MATCH($B12,'DRAFT 1'!$B:$B,0)),"")</f>
        <v/>
      </c>
      <c r="S12" t="str">
        <f>IFERROR(INDEX('DRAFT 1'!$O:$O,MATCH($B12,'DRAFT 1'!$B:$B,0)),"")</f>
        <v/>
      </c>
      <c r="T12" t="str">
        <f>IFERROR(INDEX('DRAFT 1'!$P:$P,MATCH($B12,'DRAFT 1'!$B:$B,0)),"")</f>
        <v/>
      </c>
      <c r="U12" t="str">
        <f>IFERROR(INDEX('DRAFT 1'!$Q:$Q,MATCH($B12,'DRAFT 1'!$B:$B,0)),"")</f>
        <v/>
      </c>
      <c r="V12" t="str">
        <f>IFERROR(INDEX('DRAFT 1'!$R:$R,MATCH($B12,'DRAFT 1'!$B:$B,0)),"")</f>
        <v/>
      </c>
      <c r="W12" t="str">
        <f>IFERROR(INDEX('DRAFT 1'!$S:$S,MATCH($B12,'DRAFT 1'!$B:$B,0)),"")</f>
        <v/>
      </c>
      <c r="X12" t="str">
        <f>IFERROR(INDEX('DRAFT 1'!$T:$T,MATCH($B12,'DRAFT 1'!$B:$B,0)),"")</f>
        <v/>
      </c>
      <c r="Z12" t="str">
        <f>IFERROR(INDEX('DRAFT 1'!$U:$U,MATCH($B12,'DRAFT 1'!$B:$B,0)),"")</f>
        <v/>
      </c>
      <c r="AA12" t="str">
        <f>IFERROR(INDEX('DRAFT 1'!$V:$V,MATCH($B12,'DRAFT 1'!$B:$B,0)),"")</f>
        <v/>
      </c>
      <c r="AB12" t="str">
        <f>IFERROR(INDEX('DRAFT 1'!$W:$W,MATCH($B12,'DRAFT 1'!$B:$B,0)),"")</f>
        <v/>
      </c>
      <c r="AC12" t="str">
        <f>IFERROR(INDEX('DRAFT 1'!$X:$X,MATCH($B12,'DRAFT 1'!$B:$B,0)),"")</f>
        <v/>
      </c>
      <c r="AD12" t="str">
        <f>IFERROR(INDEX('DRAFT 1'!$Y:$Y,MATCH($B12,'DRAFT 1'!$B:$B,0)),"")</f>
        <v/>
      </c>
      <c r="AE12" t="str">
        <f>IFERROR(INDEX('DRAFT 1'!$Z:$Z,MATCH($B12,'DRAFT 1'!$B:$B,0)),"")</f>
        <v/>
      </c>
      <c r="AF12" t="str">
        <f>IFERROR(INDEX('DRAFT 1'!$AA:$AA,MATCH($B12,'DRAFT 1'!$B:$B,0)),"")</f>
        <v/>
      </c>
      <c r="AG12" t="str">
        <f>IFERROR(INDEX('DRAFT 1'!$AB:$AB,MATCH($B12,'DRAFT 1'!$B:$B,0)),"")</f>
        <v/>
      </c>
      <c r="AH12" t="str">
        <f>IFERROR(INDEX('DRAFT 1'!$AC:$AC,MATCH($B12,'DRAFT 1'!$B:$B,0)),"")</f>
        <v/>
      </c>
      <c r="AI12" t="str">
        <f>IFERROR(INDEX('DRAFT 1'!$AD:$AD,MATCH($B12,'DRAFT 1'!$B:$B,0)),"")</f>
        <v/>
      </c>
      <c r="AJ12" t="str">
        <f>IFERROR(INDEX('DRAFT 1'!$AE:$AE,MATCH($B12,'DRAFT 1'!$B:$B,0)),"")</f>
        <v/>
      </c>
      <c r="AK12" t="str">
        <f>IFERROR(INDEX('DRAFT 1'!$AG:$AG,MATCH($B12,'DRAFT 1'!$B:$B,0)),"")</f>
        <v/>
      </c>
      <c r="AL12" t="str">
        <f>IFERROR(INDEX('DRAFT 1'!$AH:$AH,MATCH($B12,'DRAFT 1'!$B:$B,0)),"")</f>
        <v/>
      </c>
      <c r="AM12" t="str">
        <f>IFERROR(INDEX('DRAFT 1'!$AI:$AI,MATCH($B12,'DRAFT 1'!$B:$B,0)),"")</f>
        <v/>
      </c>
      <c r="AN12" t="str">
        <f>IFERROR(INDEX('DRAFT 1'!$AJ:$AJ,MATCH($B12,'DRAFT 1'!$B:$B,0)),"")</f>
        <v/>
      </c>
      <c r="AO12">
        <f t="shared" si="0"/>
        <v>0</v>
      </c>
      <c r="AP12" t="str">
        <f>IFERROR(INDEX('DRAFT 1'!$AK:$AK,MATCH($B12,'DRAFT 1'!$B:$B,0)),"")</f>
        <v/>
      </c>
      <c r="AR12" t="s">
        <v>94</v>
      </c>
      <c r="AS12">
        <f>IFERROR(LOOKUP(2,1/('DRAFT 2'!$D:$D=$B12),'DRAFT 2'!$T:$T),"")</f>
        <v>0</v>
      </c>
      <c r="AT12">
        <f>IFERROR(LOOKUP(2,1/('DRAFT 2'!$D:$D=$B12),'DRAFT 2'!$A:$A),"")</f>
        <v>0</v>
      </c>
      <c r="AU12">
        <f>IFERROR(LOOKUP(2,1/('DRAFT 2'!$D:$D=$B12),'DRAFT 2'!$R:$R),"")</f>
        <v>0</v>
      </c>
      <c r="AV12">
        <f>IFERROR(LOOKUP(2,1/('DRAFT 2'!$D:$D=$B12),'DRAFT 2'!$S:$S),"")</f>
        <v>0</v>
      </c>
      <c r="AW12" t="s">
        <v>85</v>
      </c>
      <c r="AX12">
        <f>IFERROR(LOOKUP(2,1/('DRAFT 2'!$D:$D=$B12),'DRAFT 2'!$M:$M),"")</f>
        <v>0</v>
      </c>
      <c r="AY12">
        <f>IFERROR(LOOKUP(2,1/('DRAFT 2'!$D:$D=$B12),'DRAFT 2'!$K:$K),"")</f>
        <v>0</v>
      </c>
      <c r="BG12">
        <f>IFERROR(LOOKUP(2,1/('DRAFT 2'!$D:$D=$B12),'DRAFT 2'!$U:$U),"")</f>
        <v>0</v>
      </c>
      <c r="BH12">
        <f>IFERROR(LOOKUP(2,1/('DRAFT 2'!$D:$D=$B12),'DRAFT 2'!$V:$V),"")</f>
        <v>0</v>
      </c>
      <c r="CE12" t="str">
        <f t="shared" si="1"/>
        <v/>
      </c>
      <c r="CF12">
        <f>IFERROR(LOOKUP(2,1/('DRAFT 2'!$D:$D=$B12)*('DRAFT 2'!$A:$A&gt;=DATE(2026,1,1))*('DRAFT 2'!$A:$A&lt;DATE(2026,IF(1=12,1+1,1+1),1)),'DRAFT 2'!$A:$A),"")</f>
        <v>0</v>
      </c>
      <c r="CG12">
        <f>COUNTIFS('DRAFT 2'!$D:$D,$B12,'DRAFT 2'!$A:$A,"&gt;="&amp;DATE(2026,1,1),'DRAFT 2'!$A:$A,"&lt;="&amp;DATE(2026,1,7))</f>
        <v>0</v>
      </c>
      <c r="CH12">
        <f>COUNTIFS('DRAFT 2'!$D:$D,$B12,'DRAFT 2'!$A:$A,"&gt;="&amp;DATE(2026,1,8),'DRAFT 2'!$A:$A,"&lt;="&amp;DATE(2026,1,14))</f>
        <v>0</v>
      </c>
      <c r="CI12">
        <f>COUNTIFS('DRAFT 2'!$D:$D,$B12,'DRAFT 2'!$A:$A,"&gt;="&amp;DATE(2026,1,15),'DRAFT 2'!$A:$A,"&lt;="&amp;DATE(2026,1,21))</f>
        <v>0</v>
      </c>
      <c r="CJ12">
        <f>COUNTIFS('DRAFT 2'!$D:$D,$B12,'DRAFT 2'!$A:$A,"&gt;="&amp;DATE(2026,1,22),'DRAFT 2'!$A:$A,"&lt;"&amp;DATE(2026,IF(1=12,1+1,1+1),1))</f>
        <v>0</v>
      </c>
      <c r="CK12">
        <f t="shared" si="2"/>
        <v>0</v>
      </c>
      <c r="CT12">
        <v>0</v>
      </c>
      <c r="CU12">
        <f>IFERROR(LOOKUP(2,1/('DRAFT 2'!$D:$D=$B12)*('DRAFT 2'!$A:$A&gt;=DATE(2026,2,1))*('DRAFT 2'!$A:$A&lt;DATE(2026,IF(2=12,2+1,2+1),1)),'DRAFT 2'!$A:$A),"")</f>
        <v>0</v>
      </c>
      <c r="CV12">
        <f>COUNTIFS('DRAFT 2'!$D:$D,$B12,'DRAFT 2'!$A:$A,"&gt;="&amp;DATE(2026,2,1),'DRAFT 2'!$A:$A,"&lt;="&amp;DATE(2026,2,7))</f>
        <v>0</v>
      </c>
      <c r="CW12">
        <f>COUNTIFS('DRAFT 2'!$D:$D,$B12,'DRAFT 2'!$A:$A,"&gt;="&amp;DATE(2026,2,8),'DRAFT 2'!$A:$A,"&lt;="&amp;DATE(2026,2,14))</f>
        <v>0</v>
      </c>
      <c r="CX12">
        <f>COUNTIFS('DRAFT 2'!$D:$D,$B12,'DRAFT 2'!$A:$A,"&gt;="&amp;DATE(2026,2,15),'DRAFT 2'!$A:$A,"&lt;="&amp;DATE(2026,2,21))</f>
        <v>0</v>
      </c>
      <c r="CY12">
        <f>COUNTIFS('DRAFT 2'!$D:$D,$B12,'DRAFT 2'!$A:$A,"&gt;="&amp;DATE(2026,2,22),'DRAFT 2'!$A:$A,"&lt;"&amp;DATE(2026,IF(2=12,2+1,2+1),1))</f>
        <v>0</v>
      </c>
      <c r="CZ12">
        <f t="shared" si="3"/>
        <v>0</v>
      </c>
      <c r="DJ12">
        <f>IFERROR(LOOKUP(2,1/('DRAFT 2'!$D:$D=$B12)*('DRAFT 2'!$A:$A&gt;=DATE(2026,3,1))*('DRAFT 2'!$A:$A&lt;DATE(2026,IF(3=12,3+1,3+1),1)),'DRAFT 2'!$A:$A),"")</f>
        <v>0</v>
      </c>
      <c r="DK12">
        <f>COUNTIFS('DRAFT 2'!$D:$D,$B12,'DRAFT 2'!$A:$A,"&gt;="&amp;DATE(2026,3,1),'DRAFT 2'!$A:$A,"&lt;="&amp;DATE(2026,3,7))</f>
        <v>0</v>
      </c>
      <c r="DL12">
        <f>COUNTIFS('DRAFT 2'!$D:$D,$B12,'DRAFT 2'!$A:$A,"&gt;="&amp;DATE(2026,3,8),'DRAFT 2'!$A:$A,"&lt;="&amp;DATE(2026,3,14))</f>
        <v>0</v>
      </c>
      <c r="DM12">
        <f>COUNTIFS('DRAFT 2'!$D:$D,$B12,'DRAFT 2'!$A:$A,"&gt;="&amp;DATE(2026,3,15),'DRAFT 2'!$A:$A,"&lt;="&amp;DATE(2026,3,21))</f>
        <v>0</v>
      </c>
      <c r="DN12">
        <f>COUNTIFS('DRAFT 2'!$D:$D,$B12,'DRAFT 2'!$A:$A,"&gt;="&amp;DATE(2026,3,22),'DRAFT 2'!$A:$A,"&lt;"&amp;DATE(2026,IF(3=12,3+1,3+1),1))</f>
        <v>0</v>
      </c>
      <c r="DO12">
        <f t="shared" si="4"/>
        <v>0</v>
      </c>
      <c r="DZ12">
        <f>IFERROR(LOOKUP(2,1/('DRAFT 2'!$D:$D=$B12)*('DRAFT 2'!$A:$A&gt;=DATE(2026,4,1))*('DRAFT 2'!$A:$A&lt;DATE(2026,IF(4=12,4+1,4+1),1)),'DRAFT 2'!$A:$A),"")</f>
        <v>0</v>
      </c>
      <c r="EA12">
        <f>COUNTIFS('DRAFT 2'!$D:$D,$B12,'DRAFT 2'!$A:$A,"&gt;="&amp;DATE(2026,4,1),'DRAFT 2'!$A:$A,"&lt;="&amp;DATE(2026,4,7))</f>
        <v>0</v>
      </c>
      <c r="EB12">
        <f>COUNTIFS('DRAFT 2'!$D:$D,$B12,'DRAFT 2'!$A:$A,"&gt;="&amp;DATE(2026,4,8),'DRAFT 2'!$A:$A,"&lt;="&amp;DATE(2026,4,14))</f>
        <v>0</v>
      </c>
      <c r="EC12">
        <f>COUNTIFS('DRAFT 2'!$D:$D,$B12,'DRAFT 2'!$A:$A,"&gt;="&amp;DATE(2026,4,15),'DRAFT 2'!$A:$A,"&lt;="&amp;DATE(2026,4,21))</f>
        <v>0</v>
      </c>
      <c r="ED12">
        <f>COUNTIFS('DRAFT 2'!$D:$D,$B12,'DRAFT 2'!$A:$A,"&gt;="&amp;DATE(2026,4,22),'DRAFT 2'!$A:$A,"&lt;"&amp;DATE(2026,IF(4=12,4+1,4+1),1))</f>
        <v>0</v>
      </c>
      <c r="EE12">
        <f t="shared" si="5"/>
        <v>0</v>
      </c>
      <c r="EO12">
        <f>IFERROR(LOOKUP(2,1/('DRAFT 2'!$D:$D=$B12)*('DRAFT 2'!$A:$A&gt;=DATE(2026,5,1))*('DRAFT 2'!$A:$A&lt;DATE(2026,IF(5=12,5+1,5+1),1)),'DRAFT 2'!$A:$A),"")</f>
        <v>0</v>
      </c>
      <c r="EP12">
        <f>COUNTIFS('DRAFT 2'!$D:$D,$B12,'DRAFT 2'!$A:$A,"&gt;="&amp;DATE(2026,5,1),'DRAFT 2'!$A:$A,"&lt;="&amp;DATE(2026,5,7))</f>
        <v>0</v>
      </c>
      <c r="EQ12">
        <f>COUNTIFS('DRAFT 2'!$D:$D,$B12,'DRAFT 2'!$A:$A,"&gt;="&amp;DATE(2026,5,8),'DRAFT 2'!$A:$A,"&lt;="&amp;DATE(2026,5,14))</f>
        <v>0</v>
      </c>
      <c r="ER12">
        <f>COUNTIFS('DRAFT 2'!$D:$D,$B12,'DRAFT 2'!$A:$A,"&gt;="&amp;DATE(2026,5,15),'DRAFT 2'!$A:$A,"&lt;="&amp;DATE(2026,5,21))</f>
        <v>0</v>
      </c>
      <c r="ES12">
        <f>COUNTIFS('DRAFT 2'!$D:$D,$B12,'DRAFT 2'!$A:$A,"&gt;="&amp;DATE(2026,5,22),'DRAFT 2'!$A:$A,"&lt;"&amp;DATE(2026,IF(5=12,5+1,5+1),1))</f>
        <v>0</v>
      </c>
      <c r="ET12">
        <f t="shared" si="6"/>
        <v>0</v>
      </c>
      <c r="FD12">
        <f>IFERROR(LOOKUP(2,1/('DRAFT 2'!$D:$D=$B12)*('DRAFT 2'!$A:$A&gt;=DATE(2026,6,1))*('DRAFT 2'!$A:$A&lt;DATE(2026,IF(6=12,6+1,6+1),1)),'DRAFT 2'!$A:$A),"")</f>
        <v>0</v>
      </c>
      <c r="FE12">
        <f>COUNTIFS('DRAFT 2'!$D:$D,$B12,'DRAFT 2'!$A:$A,"&gt;="&amp;DATE(2026,6,1),'DRAFT 2'!$A:$A,"&lt;="&amp;DATE(2026,6,7))</f>
        <v>0</v>
      </c>
      <c r="FF12">
        <f>COUNTIFS('DRAFT 2'!$D:$D,$B12,'DRAFT 2'!$A:$A,"&gt;="&amp;DATE(2026,6,8),'DRAFT 2'!$A:$A,"&lt;="&amp;DATE(2026,6,14))</f>
        <v>0</v>
      </c>
      <c r="FG12">
        <f>COUNTIFS('DRAFT 2'!$D:$D,$B12,'DRAFT 2'!$A:$A,"&gt;="&amp;DATE(2026,6,15),'DRAFT 2'!$A:$A,"&lt;="&amp;DATE(2026,6,21))</f>
        <v>0</v>
      </c>
      <c r="FH12">
        <f>COUNTIFS('DRAFT 2'!$D:$D,$B12,'DRAFT 2'!$A:$A,"&gt;="&amp;DATE(2026,6,22),'DRAFT 2'!$A:$A,"&lt;"&amp;DATE(2026,IF(6=12,6+1,6+1),1))</f>
        <v>0</v>
      </c>
      <c r="FI12">
        <f t="shared" si="7"/>
        <v>0</v>
      </c>
      <c r="FT12">
        <f>IFERROR(LOOKUP(2,1/('DRAFT 2'!$D:$D=$B12)*('DRAFT 2'!$A:$A&gt;=DATE(2026,7,1))*('DRAFT 2'!$A:$A&lt;DATE(2026,IF(7=12,7+1,7+1),1)),'DRAFT 2'!$A:$A),"")</f>
        <v>0</v>
      </c>
      <c r="FU12">
        <f>COUNTIFS('DRAFT 2'!$D:$D,$B12,'DRAFT 2'!$A:$A,"&gt;="&amp;DATE(2026,7,1),'DRAFT 2'!$A:$A,"&lt;="&amp;DATE(2026,7,7))</f>
        <v>0</v>
      </c>
      <c r="FV12">
        <f>COUNTIFS('DRAFT 2'!$D:$D,$B12,'DRAFT 2'!$A:$A,"&gt;="&amp;DATE(2026,7,8),'DRAFT 2'!$A:$A,"&lt;="&amp;DATE(2026,7,14))</f>
        <v>0</v>
      </c>
      <c r="FW12">
        <f>COUNTIFS('DRAFT 2'!$D:$D,$B12,'DRAFT 2'!$A:$A,"&gt;="&amp;DATE(2026,7,15),'DRAFT 2'!$A:$A,"&lt;="&amp;DATE(2026,7,21))</f>
        <v>0</v>
      </c>
      <c r="FX12">
        <f>COUNTIFS('DRAFT 2'!$D:$D,$B12,'DRAFT 2'!$A:$A,"&gt;="&amp;DATE(2026,7,22),'DRAFT 2'!$A:$A,"&lt;"&amp;DATE(2026,IF(7=12,7+1,7+1),1))</f>
        <v>0</v>
      </c>
      <c r="FY12">
        <f t="shared" si="8"/>
        <v>0</v>
      </c>
      <c r="GI12">
        <f>IFERROR(LOOKUP(2,1/('DRAFT 2'!$D:$D=$B12)*('DRAFT 2'!$A:$A&gt;=DATE(2026,8,1))*('DRAFT 2'!$A:$A&lt;DATE(2026,IF(8=12,8+1,8+1),1)),'DRAFT 2'!$A:$A),"")</f>
        <v>0</v>
      </c>
      <c r="GJ12">
        <f>COUNTIFS('DRAFT 2'!$D:$D,$B12,'DRAFT 2'!$A:$A,"&gt;="&amp;DATE(2026,8,1),'DRAFT 2'!$A:$A,"&lt;="&amp;DATE(2026,8,7))</f>
        <v>0</v>
      </c>
      <c r="GK12">
        <f>COUNTIFS('DRAFT 2'!$D:$D,$B12,'DRAFT 2'!$A:$A,"&gt;="&amp;DATE(2026,8,8),'DRAFT 2'!$A:$A,"&lt;="&amp;DATE(2026,8,14))</f>
        <v>0</v>
      </c>
      <c r="GL12">
        <f>COUNTIFS('DRAFT 2'!$D:$D,$B12,'DRAFT 2'!$A:$A,"&gt;="&amp;DATE(2026,8,15),'DRAFT 2'!$A:$A,"&lt;="&amp;DATE(2026,8,21))</f>
        <v>0</v>
      </c>
      <c r="GM12">
        <f>COUNTIFS('DRAFT 2'!$D:$D,$B12,'DRAFT 2'!$A:$A,"&gt;="&amp;DATE(2026,8,22),'DRAFT 2'!$A:$A,"&lt;"&amp;DATE(2026,IF(8=12,8+1,8+1),1))</f>
        <v>0</v>
      </c>
      <c r="GN12">
        <f t="shared" si="9"/>
        <v>0</v>
      </c>
      <c r="GX12">
        <f>IFERROR(LOOKUP(2,1/('DRAFT 2'!$D:$D=$B12)*('DRAFT 2'!$A:$A&gt;=DATE(2026,9,1))*('DRAFT 2'!$A:$A&lt;DATE(2026,IF(9=12,9+1,9+1),1)),'DRAFT 2'!$A:$A),"")</f>
        <v>0</v>
      </c>
      <c r="GY12">
        <f>COUNTIFS('DRAFT 2'!$D:$D,$B12,'DRAFT 2'!$A:$A,"&gt;="&amp;DATE(2026,9,1),'DRAFT 2'!$A:$A,"&lt;="&amp;DATE(2026,9,7))</f>
        <v>0</v>
      </c>
      <c r="GZ12">
        <f>COUNTIFS('DRAFT 2'!$D:$D,$B12,'DRAFT 2'!$A:$A,"&gt;="&amp;DATE(2026,9,8),'DRAFT 2'!$A:$A,"&lt;="&amp;DATE(2026,9,14))</f>
        <v>0</v>
      </c>
      <c r="HA12">
        <f>COUNTIFS('DRAFT 2'!$D:$D,$B12,'DRAFT 2'!$A:$A,"&gt;="&amp;DATE(2026,9,15),'DRAFT 2'!$A:$A,"&lt;="&amp;DATE(2026,9,21))</f>
        <v>0</v>
      </c>
      <c r="HB12">
        <f>COUNTIFS('DRAFT 2'!$D:$D,$B12,'DRAFT 2'!$A:$A,"&gt;="&amp;DATE(2026,9,22),'DRAFT 2'!$A:$A,"&lt;"&amp;DATE(2026,IF(9=12,9+1,9+1),1))</f>
        <v>0</v>
      </c>
      <c r="HC12">
        <f t="shared" si="10"/>
        <v>0</v>
      </c>
      <c r="HN12">
        <f>IFERROR(LOOKUP(2,1/('DRAFT 2'!$D:$D=$B12)*('DRAFT 2'!$A:$A&gt;=DATE(2026,10,1))*('DRAFT 2'!$A:$A&lt;DATE(2026,IF(10=12,10+1,10+1),1)),'DRAFT 2'!$A:$A),"")</f>
        <v>0</v>
      </c>
      <c r="HO12">
        <f>COUNTIFS('DRAFT 2'!$D:$D,$B12,'DRAFT 2'!$A:$A,"&gt;="&amp;DATE(2026,10,1),'DRAFT 2'!$A:$A,"&lt;="&amp;DATE(2026,10,7))</f>
        <v>0</v>
      </c>
      <c r="HP12">
        <f>COUNTIFS('DRAFT 2'!$D:$D,$B12,'DRAFT 2'!$A:$A,"&gt;="&amp;DATE(2026,10,8),'DRAFT 2'!$A:$A,"&lt;="&amp;DATE(2026,10,14))</f>
        <v>0</v>
      </c>
      <c r="HQ12">
        <f>COUNTIFS('DRAFT 2'!$D:$D,$B12,'DRAFT 2'!$A:$A,"&gt;="&amp;DATE(2026,10,15),'DRAFT 2'!$A:$A,"&lt;="&amp;DATE(2026,10,21))</f>
        <v>0</v>
      </c>
      <c r="HR12">
        <f>COUNTIFS('DRAFT 2'!$D:$D,$B12,'DRAFT 2'!$A:$A,"&gt;="&amp;DATE(2026,10,22),'DRAFT 2'!$A:$A,"&lt;"&amp;DATE(2026,IF(10=12,10+1,10+1),1))</f>
        <v>0</v>
      </c>
      <c r="HS12">
        <f t="shared" si="11"/>
        <v>0</v>
      </c>
      <c r="IC12">
        <f>IFERROR(LOOKUP(2,1/('DRAFT 2'!$D:$D=$B12)*('DRAFT 2'!$A:$A&gt;=DATE(2026,11,1))*('DRAFT 2'!$A:$A&lt;DATE(2026,IF(11=12,11+1,11+1),1)),'DRAFT 2'!$A:$A),"")</f>
        <v>0</v>
      </c>
      <c r="ID12">
        <f>COUNTIFS('DRAFT 2'!$D:$D,$B12,'DRAFT 2'!$A:$A,"&gt;="&amp;DATE(2026,11,1),'DRAFT 2'!$A:$A,"&lt;="&amp;DATE(2026,11,7))</f>
        <v>0</v>
      </c>
      <c r="IE12">
        <f>COUNTIFS('DRAFT 2'!$D:$D,$B12,'DRAFT 2'!$A:$A,"&gt;="&amp;DATE(2026,11,8),'DRAFT 2'!$A:$A,"&lt;="&amp;DATE(2026,11,14))</f>
        <v>0</v>
      </c>
      <c r="IF12">
        <f>COUNTIFS('DRAFT 2'!$D:$D,$B12,'DRAFT 2'!$A:$A,"&gt;="&amp;DATE(2026,11,15),'DRAFT 2'!$A:$A,"&lt;="&amp;DATE(2026,11,21))</f>
        <v>0</v>
      </c>
      <c r="IG12">
        <f>COUNTIFS('DRAFT 2'!$D:$D,$B12,'DRAFT 2'!$A:$A,"&gt;="&amp;DATE(2026,11,22),'DRAFT 2'!$A:$A,"&lt;"&amp;DATE(2026,IF(11=12,11+1,11+1),1))</f>
        <v>0</v>
      </c>
      <c r="IH12">
        <f t="shared" si="12"/>
        <v>0</v>
      </c>
      <c r="IR12">
        <f>IFERROR(LOOKUP(2,1/('DRAFT 2'!$D:$D=$B12)*('DRAFT 2'!$A:$A&gt;=DATE(2026,12,1))*('DRAFT 2'!$A:$A&lt;DATE(2026,IF(12=12,12+1,12+1),1)),'DRAFT 2'!$A:$A),"")</f>
        <v>0</v>
      </c>
      <c r="IS12">
        <f>COUNTIFS('DRAFT 2'!$D:$D,$B12,'DRAFT 2'!$A:$A,"&gt;="&amp;DATE(2026,12,1),'DRAFT 2'!$A:$A,"&lt;="&amp;DATE(2026,12,7))</f>
        <v>0</v>
      </c>
      <c r="IT12">
        <f>COUNTIFS('DRAFT 2'!$D:$D,$B12,'DRAFT 2'!$A:$A,"&gt;="&amp;DATE(2026,12,8),'DRAFT 2'!$A:$A,"&lt;="&amp;DATE(2026,12,14))</f>
        <v>0</v>
      </c>
      <c r="IU12">
        <f>COUNTIFS('DRAFT 2'!$D:$D,$B12,'DRAFT 2'!$A:$A,"&gt;="&amp;DATE(2026,12,15),'DRAFT 2'!$A:$A,"&lt;="&amp;DATE(2026,12,21))</f>
        <v>0</v>
      </c>
      <c r="IV12">
        <f>COUNTIFS('DRAFT 2'!$D:$D,$B12,'DRAFT 2'!$A:$A,"&gt;="&amp;DATE(2026,12,22),'DRAFT 2'!$A:$A,"&lt;"&amp;DATE(2026,IF(12=12,12+1,12+1),1))</f>
        <v>0</v>
      </c>
      <c r="IW12">
        <f t="shared" si="13"/>
        <v>0</v>
      </c>
    </row>
    <row r="13" spans="1:257" x14ac:dyDescent="0.3">
      <c r="A13" t="str">
        <f>IFERROR(INDEX('DRAFT 1'!$A:$A,MATCH($B13,'DRAFT 1'!$B:$B,0)),"")</f>
        <v/>
      </c>
      <c r="C13" t="str">
        <f>IFERROR(INDEX('DRAFT 1'!$C:$C,MATCH($B13,'DRAFT 1'!$B:$B,0)),"")</f>
        <v/>
      </c>
      <c r="D13" t="str">
        <f>IFERROR(INDEX('DRAFT 1'!$D:$D,MATCH($B13,'DRAFT 1'!$B:$B,0)),"")</f>
        <v/>
      </c>
      <c r="E13" t="str">
        <f>IFERROR(INDEX('DRAFT 1'!$E:$E,MATCH($B13,'DRAFT 1'!$B:$B,0)),"")</f>
        <v/>
      </c>
      <c r="F13" t="str">
        <f>IFERROR(INDEX('DRAFT 1'!$F:$F,MATCH($B13,'DRAFT 1'!$B:$B,0)),"")</f>
        <v/>
      </c>
      <c r="G13" t="str">
        <f>IFERROR(INDEX('DRAFT 1'!$G:$G,MATCH($B13,'DRAFT 1'!$B:$B,0)),"")</f>
        <v/>
      </c>
      <c r="H13" t="str">
        <f>IFERROR(INDEX('DRAFT 1'!$H:$H,MATCH($B13,'DRAFT 1'!$B:$B,0)),"")</f>
        <v/>
      </c>
      <c r="I13" t="s">
        <v>292</v>
      </c>
      <c r="K13" t="str">
        <f>IFERROR(INDEX('DRAFT 1'!$AL:$AL,MATCH($B13,'DRAFT 1'!$B:$B,0)),"")</f>
        <v/>
      </c>
      <c r="L13" t="str">
        <f>IFERROR(INDEX('DRAFT 1'!$J:$J,MATCH($B13,'DRAFT 1'!$B:$B,0)),"")</f>
        <v/>
      </c>
      <c r="M13" t="str">
        <f>IFERROR(INDEX('DRAFT 1'!$K:$K,MATCH($B13,'DRAFT 1'!$B:$B,0)),"")</f>
        <v/>
      </c>
      <c r="N13" t="s">
        <v>71</v>
      </c>
      <c r="P13" t="str">
        <f>IFERROR(INDEX('DRAFT 1'!$L:$L,MATCH($B13,'DRAFT 1'!$B:$B,0)),"")</f>
        <v/>
      </c>
      <c r="Q13" t="str">
        <f>IFERROR(INDEX('DRAFT 1'!$M:$M,MATCH($B13,'DRAFT 1'!$B:$B,0)),"")</f>
        <v/>
      </c>
      <c r="R13" t="str">
        <f>IFERROR(INDEX('DRAFT 1'!$N:$N,MATCH($B13,'DRAFT 1'!$B:$B,0)),"")</f>
        <v/>
      </c>
      <c r="S13" t="str">
        <f>IFERROR(INDEX('DRAFT 1'!$O:$O,MATCH($B13,'DRAFT 1'!$B:$B,0)),"")</f>
        <v/>
      </c>
      <c r="T13" t="str">
        <f>IFERROR(INDEX('DRAFT 1'!$P:$P,MATCH($B13,'DRAFT 1'!$B:$B,0)),"")</f>
        <v/>
      </c>
      <c r="U13" t="str">
        <f>IFERROR(INDEX('DRAFT 1'!$Q:$Q,MATCH($B13,'DRAFT 1'!$B:$B,0)),"")</f>
        <v/>
      </c>
      <c r="V13" t="str">
        <f>IFERROR(INDEX('DRAFT 1'!$R:$R,MATCH($B13,'DRAFT 1'!$B:$B,0)),"")</f>
        <v/>
      </c>
      <c r="W13" t="str">
        <f>IFERROR(INDEX('DRAFT 1'!$S:$S,MATCH($B13,'DRAFT 1'!$B:$B,0)),"")</f>
        <v/>
      </c>
      <c r="X13" t="str">
        <f>IFERROR(INDEX('DRAFT 1'!$T:$T,MATCH($B13,'DRAFT 1'!$B:$B,0)),"")</f>
        <v/>
      </c>
      <c r="Z13" t="str">
        <f>IFERROR(INDEX('DRAFT 1'!$U:$U,MATCH($B13,'DRAFT 1'!$B:$B,0)),"")</f>
        <v/>
      </c>
      <c r="AA13" t="str">
        <f>IFERROR(INDEX('DRAFT 1'!$V:$V,MATCH($B13,'DRAFT 1'!$B:$B,0)),"")</f>
        <v/>
      </c>
      <c r="AB13" t="str">
        <f>IFERROR(INDEX('DRAFT 1'!$W:$W,MATCH($B13,'DRAFT 1'!$B:$B,0)),"")</f>
        <v/>
      </c>
      <c r="AC13" t="str">
        <f>IFERROR(INDEX('DRAFT 1'!$X:$X,MATCH($B13,'DRAFT 1'!$B:$B,0)),"")</f>
        <v/>
      </c>
      <c r="AD13" t="str">
        <f>IFERROR(INDEX('DRAFT 1'!$Y:$Y,MATCH($B13,'DRAFT 1'!$B:$B,0)),"")</f>
        <v/>
      </c>
      <c r="AE13" t="str">
        <f>IFERROR(INDEX('DRAFT 1'!$Z:$Z,MATCH($B13,'DRAFT 1'!$B:$B,0)),"")</f>
        <v/>
      </c>
      <c r="AF13" t="str">
        <f>IFERROR(INDEX('DRAFT 1'!$AA:$AA,MATCH($B13,'DRAFT 1'!$B:$B,0)),"")</f>
        <v/>
      </c>
      <c r="AG13" t="str">
        <f>IFERROR(INDEX('DRAFT 1'!$AB:$AB,MATCH($B13,'DRAFT 1'!$B:$B,0)),"")</f>
        <v/>
      </c>
      <c r="AH13" t="str">
        <f>IFERROR(INDEX('DRAFT 1'!$AC:$AC,MATCH($B13,'DRAFT 1'!$B:$B,0)),"")</f>
        <v/>
      </c>
      <c r="AI13" t="str">
        <f>IFERROR(INDEX('DRAFT 1'!$AD:$AD,MATCH($B13,'DRAFT 1'!$B:$B,0)),"")</f>
        <v/>
      </c>
      <c r="AJ13" t="str">
        <f>IFERROR(INDEX('DRAFT 1'!$AE:$AE,MATCH($B13,'DRAFT 1'!$B:$B,0)),"")</f>
        <v/>
      </c>
      <c r="AK13" t="str">
        <f>IFERROR(INDEX('DRAFT 1'!$AG:$AG,MATCH($B13,'DRAFT 1'!$B:$B,0)),"")</f>
        <v/>
      </c>
      <c r="AL13" t="str">
        <f>IFERROR(INDEX('DRAFT 1'!$AH:$AH,MATCH($B13,'DRAFT 1'!$B:$B,0)),"")</f>
        <v/>
      </c>
      <c r="AM13" t="str">
        <f>IFERROR(INDEX('DRAFT 1'!$AI:$AI,MATCH($B13,'DRAFT 1'!$B:$B,0)),"")</f>
        <v/>
      </c>
      <c r="AN13" t="str">
        <f>IFERROR(INDEX('DRAFT 1'!$AJ:$AJ,MATCH($B13,'DRAFT 1'!$B:$B,0)),"")</f>
        <v/>
      </c>
      <c r="AO13">
        <f t="shared" si="0"/>
        <v>0</v>
      </c>
      <c r="AP13" t="str">
        <f>IFERROR(INDEX('DRAFT 1'!$AK:$AK,MATCH($B13,'DRAFT 1'!$B:$B,0)),"")</f>
        <v/>
      </c>
      <c r="AR13" t="s">
        <v>93</v>
      </c>
      <c r="AS13">
        <f>IFERROR(LOOKUP(2,1/('DRAFT 2'!$D:$D=$B13),'DRAFT 2'!$T:$T),"")</f>
        <v>0</v>
      </c>
      <c r="AT13">
        <f>IFERROR(LOOKUP(2,1/('DRAFT 2'!$D:$D=$B13),'DRAFT 2'!$A:$A),"")</f>
        <v>0</v>
      </c>
      <c r="AU13">
        <f>IFERROR(LOOKUP(2,1/('DRAFT 2'!$D:$D=$B13),'DRAFT 2'!$R:$R),"")</f>
        <v>0</v>
      </c>
      <c r="AV13">
        <f>IFERROR(LOOKUP(2,1/('DRAFT 2'!$D:$D=$B13),'DRAFT 2'!$S:$S),"")</f>
        <v>0</v>
      </c>
      <c r="AW13" t="s">
        <v>126</v>
      </c>
      <c r="AX13">
        <f>IFERROR(LOOKUP(2,1/('DRAFT 2'!$D:$D=$B13),'DRAFT 2'!$M:$M),"")</f>
        <v>0</v>
      </c>
      <c r="AY13">
        <f>IFERROR(LOOKUP(2,1/('DRAFT 2'!$D:$D=$B13),'DRAFT 2'!$K:$K),"")</f>
        <v>0</v>
      </c>
      <c r="BG13">
        <f>IFERROR(LOOKUP(2,1/('DRAFT 2'!$D:$D=$B13),'DRAFT 2'!$U:$U),"")</f>
        <v>0</v>
      </c>
      <c r="BH13">
        <f>IFERROR(LOOKUP(2,1/('DRAFT 2'!$D:$D=$B13),'DRAFT 2'!$V:$V),"")</f>
        <v>0</v>
      </c>
      <c r="CE13" t="str">
        <f t="shared" si="1"/>
        <v/>
      </c>
      <c r="CF13">
        <f>IFERROR(LOOKUP(2,1/('DRAFT 2'!$D:$D=$B13)*('DRAFT 2'!$A:$A&gt;=DATE(2026,1,1))*('DRAFT 2'!$A:$A&lt;DATE(2026,IF(1=12,1+1,1+1),1)),'DRAFT 2'!$A:$A),"")</f>
        <v>0</v>
      </c>
      <c r="CG13">
        <f>COUNTIFS('DRAFT 2'!$D:$D,$B13,'DRAFT 2'!$A:$A,"&gt;="&amp;DATE(2026,1,1),'DRAFT 2'!$A:$A,"&lt;="&amp;DATE(2026,1,7))</f>
        <v>0</v>
      </c>
      <c r="CH13">
        <f>COUNTIFS('DRAFT 2'!$D:$D,$B13,'DRAFT 2'!$A:$A,"&gt;="&amp;DATE(2026,1,8),'DRAFT 2'!$A:$A,"&lt;="&amp;DATE(2026,1,14))</f>
        <v>0</v>
      </c>
      <c r="CI13">
        <f>COUNTIFS('DRAFT 2'!$D:$D,$B13,'DRAFT 2'!$A:$A,"&gt;="&amp;DATE(2026,1,15),'DRAFT 2'!$A:$A,"&lt;="&amp;DATE(2026,1,21))</f>
        <v>0</v>
      </c>
      <c r="CJ13">
        <f>COUNTIFS('DRAFT 2'!$D:$D,$B13,'DRAFT 2'!$A:$A,"&gt;="&amp;DATE(2026,1,22),'DRAFT 2'!$A:$A,"&lt;"&amp;DATE(2026,IF(1=12,1+1,1+1),1))</f>
        <v>0</v>
      </c>
      <c r="CK13">
        <f t="shared" si="2"/>
        <v>0</v>
      </c>
      <c r="CT13">
        <v>0</v>
      </c>
      <c r="CU13">
        <f>IFERROR(LOOKUP(2,1/('DRAFT 2'!$D:$D=$B13)*('DRAFT 2'!$A:$A&gt;=DATE(2026,2,1))*('DRAFT 2'!$A:$A&lt;DATE(2026,IF(2=12,2+1,2+1),1)),'DRAFT 2'!$A:$A),"")</f>
        <v>0</v>
      </c>
      <c r="CV13">
        <f>COUNTIFS('DRAFT 2'!$D:$D,$B13,'DRAFT 2'!$A:$A,"&gt;="&amp;DATE(2026,2,1),'DRAFT 2'!$A:$A,"&lt;="&amp;DATE(2026,2,7))</f>
        <v>0</v>
      </c>
      <c r="CW13">
        <f>COUNTIFS('DRAFT 2'!$D:$D,$B13,'DRAFT 2'!$A:$A,"&gt;="&amp;DATE(2026,2,8),'DRAFT 2'!$A:$A,"&lt;="&amp;DATE(2026,2,14))</f>
        <v>0</v>
      </c>
      <c r="CX13">
        <f>COUNTIFS('DRAFT 2'!$D:$D,$B13,'DRAFT 2'!$A:$A,"&gt;="&amp;DATE(2026,2,15),'DRAFT 2'!$A:$A,"&lt;="&amp;DATE(2026,2,21))</f>
        <v>0</v>
      </c>
      <c r="CY13">
        <f>COUNTIFS('DRAFT 2'!$D:$D,$B13,'DRAFT 2'!$A:$A,"&gt;="&amp;DATE(2026,2,22),'DRAFT 2'!$A:$A,"&lt;"&amp;DATE(2026,IF(2=12,2+1,2+1),1))</f>
        <v>0</v>
      </c>
      <c r="CZ13">
        <f t="shared" si="3"/>
        <v>0</v>
      </c>
      <c r="DJ13">
        <f>IFERROR(LOOKUP(2,1/('DRAFT 2'!$D:$D=$B13)*('DRAFT 2'!$A:$A&gt;=DATE(2026,3,1))*('DRAFT 2'!$A:$A&lt;DATE(2026,IF(3=12,3+1,3+1),1)),'DRAFT 2'!$A:$A),"")</f>
        <v>0</v>
      </c>
      <c r="DK13">
        <f>COUNTIFS('DRAFT 2'!$D:$D,$B13,'DRAFT 2'!$A:$A,"&gt;="&amp;DATE(2026,3,1),'DRAFT 2'!$A:$A,"&lt;="&amp;DATE(2026,3,7))</f>
        <v>0</v>
      </c>
      <c r="DL13">
        <f>COUNTIFS('DRAFT 2'!$D:$D,$B13,'DRAFT 2'!$A:$A,"&gt;="&amp;DATE(2026,3,8),'DRAFT 2'!$A:$A,"&lt;="&amp;DATE(2026,3,14))</f>
        <v>0</v>
      </c>
      <c r="DM13">
        <f>COUNTIFS('DRAFT 2'!$D:$D,$B13,'DRAFT 2'!$A:$A,"&gt;="&amp;DATE(2026,3,15),'DRAFT 2'!$A:$A,"&lt;="&amp;DATE(2026,3,21))</f>
        <v>0</v>
      </c>
      <c r="DN13">
        <f>COUNTIFS('DRAFT 2'!$D:$D,$B13,'DRAFT 2'!$A:$A,"&gt;="&amp;DATE(2026,3,22),'DRAFT 2'!$A:$A,"&lt;"&amp;DATE(2026,IF(3=12,3+1,3+1),1))</f>
        <v>0</v>
      </c>
      <c r="DO13">
        <f t="shared" si="4"/>
        <v>0</v>
      </c>
      <c r="DZ13">
        <f>IFERROR(LOOKUP(2,1/('DRAFT 2'!$D:$D=$B13)*('DRAFT 2'!$A:$A&gt;=DATE(2026,4,1))*('DRAFT 2'!$A:$A&lt;DATE(2026,IF(4=12,4+1,4+1),1)),'DRAFT 2'!$A:$A),"")</f>
        <v>0</v>
      </c>
      <c r="EA13">
        <f>COUNTIFS('DRAFT 2'!$D:$D,$B13,'DRAFT 2'!$A:$A,"&gt;="&amp;DATE(2026,4,1),'DRAFT 2'!$A:$A,"&lt;="&amp;DATE(2026,4,7))</f>
        <v>0</v>
      </c>
      <c r="EB13">
        <f>COUNTIFS('DRAFT 2'!$D:$D,$B13,'DRAFT 2'!$A:$A,"&gt;="&amp;DATE(2026,4,8),'DRAFT 2'!$A:$A,"&lt;="&amp;DATE(2026,4,14))</f>
        <v>0</v>
      </c>
      <c r="EC13">
        <f>COUNTIFS('DRAFT 2'!$D:$D,$B13,'DRAFT 2'!$A:$A,"&gt;="&amp;DATE(2026,4,15),'DRAFT 2'!$A:$A,"&lt;="&amp;DATE(2026,4,21))</f>
        <v>0</v>
      </c>
      <c r="ED13">
        <f>COUNTIFS('DRAFT 2'!$D:$D,$B13,'DRAFT 2'!$A:$A,"&gt;="&amp;DATE(2026,4,22),'DRAFT 2'!$A:$A,"&lt;"&amp;DATE(2026,IF(4=12,4+1,4+1),1))</f>
        <v>0</v>
      </c>
      <c r="EE13">
        <f t="shared" si="5"/>
        <v>0</v>
      </c>
      <c r="EO13">
        <f>IFERROR(LOOKUP(2,1/('DRAFT 2'!$D:$D=$B13)*('DRAFT 2'!$A:$A&gt;=DATE(2026,5,1))*('DRAFT 2'!$A:$A&lt;DATE(2026,IF(5=12,5+1,5+1),1)),'DRAFT 2'!$A:$A),"")</f>
        <v>0</v>
      </c>
      <c r="EP13">
        <f>COUNTIFS('DRAFT 2'!$D:$D,$B13,'DRAFT 2'!$A:$A,"&gt;="&amp;DATE(2026,5,1),'DRAFT 2'!$A:$A,"&lt;="&amp;DATE(2026,5,7))</f>
        <v>0</v>
      </c>
      <c r="EQ13">
        <f>COUNTIFS('DRAFT 2'!$D:$D,$B13,'DRAFT 2'!$A:$A,"&gt;="&amp;DATE(2026,5,8),'DRAFT 2'!$A:$A,"&lt;="&amp;DATE(2026,5,14))</f>
        <v>0</v>
      </c>
      <c r="ER13">
        <f>COUNTIFS('DRAFT 2'!$D:$D,$B13,'DRAFT 2'!$A:$A,"&gt;="&amp;DATE(2026,5,15),'DRAFT 2'!$A:$A,"&lt;="&amp;DATE(2026,5,21))</f>
        <v>0</v>
      </c>
      <c r="ES13">
        <f>COUNTIFS('DRAFT 2'!$D:$D,$B13,'DRAFT 2'!$A:$A,"&gt;="&amp;DATE(2026,5,22),'DRAFT 2'!$A:$A,"&lt;"&amp;DATE(2026,IF(5=12,5+1,5+1),1))</f>
        <v>0</v>
      </c>
      <c r="ET13">
        <f t="shared" si="6"/>
        <v>0</v>
      </c>
      <c r="FD13">
        <f>IFERROR(LOOKUP(2,1/('DRAFT 2'!$D:$D=$B13)*('DRAFT 2'!$A:$A&gt;=DATE(2026,6,1))*('DRAFT 2'!$A:$A&lt;DATE(2026,IF(6=12,6+1,6+1),1)),'DRAFT 2'!$A:$A),"")</f>
        <v>0</v>
      </c>
      <c r="FE13">
        <f>COUNTIFS('DRAFT 2'!$D:$D,$B13,'DRAFT 2'!$A:$A,"&gt;="&amp;DATE(2026,6,1),'DRAFT 2'!$A:$A,"&lt;="&amp;DATE(2026,6,7))</f>
        <v>0</v>
      </c>
      <c r="FF13">
        <f>COUNTIFS('DRAFT 2'!$D:$D,$B13,'DRAFT 2'!$A:$A,"&gt;="&amp;DATE(2026,6,8),'DRAFT 2'!$A:$A,"&lt;="&amp;DATE(2026,6,14))</f>
        <v>0</v>
      </c>
      <c r="FG13">
        <f>COUNTIFS('DRAFT 2'!$D:$D,$B13,'DRAFT 2'!$A:$A,"&gt;="&amp;DATE(2026,6,15),'DRAFT 2'!$A:$A,"&lt;="&amp;DATE(2026,6,21))</f>
        <v>0</v>
      </c>
      <c r="FH13">
        <f>COUNTIFS('DRAFT 2'!$D:$D,$B13,'DRAFT 2'!$A:$A,"&gt;="&amp;DATE(2026,6,22),'DRAFT 2'!$A:$A,"&lt;"&amp;DATE(2026,IF(6=12,6+1,6+1),1))</f>
        <v>0</v>
      </c>
      <c r="FI13">
        <f t="shared" si="7"/>
        <v>0</v>
      </c>
      <c r="FT13">
        <f>IFERROR(LOOKUP(2,1/('DRAFT 2'!$D:$D=$B13)*('DRAFT 2'!$A:$A&gt;=DATE(2026,7,1))*('DRAFT 2'!$A:$A&lt;DATE(2026,IF(7=12,7+1,7+1),1)),'DRAFT 2'!$A:$A),"")</f>
        <v>0</v>
      </c>
      <c r="FU13">
        <f>COUNTIFS('DRAFT 2'!$D:$D,$B13,'DRAFT 2'!$A:$A,"&gt;="&amp;DATE(2026,7,1),'DRAFT 2'!$A:$A,"&lt;="&amp;DATE(2026,7,7))</f>
        <v>0</v>
      </c>
      <c r="FV13">
        <f>COUNTIFS('DRAFT 2'!$D:$D,$B13,'DRAFT 2'!$A:$A,"&gt;="&amp;DATE(2026,7,8),'DRAFT 2'!$A:$A,"&lt;="&amp;DATE(2026,7,14))</f>
        <v>0</v>
      </c>
      <c r="FW13">
        <f>COUNTIFS('DRAFT 2'!$D:$D,$B13,'DRAFT 2'!$A:$A,"&gt;="&amp;DATE(2026,7,15),'DRAFT 2'!$A:$A,"&lt;="&amp;DATE(2026,7,21))</f>
        <v>0</v>
      </c>
      <c r="FX13">
        <f>COUNTIFS('DRAFT 2'!$D:$D,$B13,'DRAFT 2'!$A:$A,"&gt;="&amp;DATE(2026,7,22),'DRAFT 2'!$A:$A,"&lt;"&amp;DATE(2026,IF(7=12,7+1,7+1),1))</f>
        <v>0</v>
      </c>
      <c r="FY13">
        <f t="shared" si="8"/>
        <v>0</v>
      </c>
      <c r="GI13">
        <f>IFERROR(LOOKUP(2,1/('DRAFT 2'!$D:$D=$B13)*('DRAFT 2'!$A:$A&gt;=DATE(2026,8,1))*('DRAFT 2'!$A:$A&lt;DATE(2026,IF(8=12,8+1,8+1),1)),'DRAFT 2'!$A:$A),"")</f>
        <v>0</v>
      </c>
      <c r="GJ13">
        <f>COUNTIFS('DRAFT 2'!$D:$D,$B13,'DRAFT 2'!$A:$A,"&gt;="&amp;DATE(2026,8,1),'DRAFT 2'!$A:$A,"&lt;="&amp;DATE(2026,8,7))</f>
        <v>0</v>
      </c>
      <c r="GK13">
        <f>COUNTIFS('DRAFT 2'!$D:$D,$B13,'DRAFT 2'!$A:$A,"&gt;="&amp;DATE(2026,8,8),'DRAFT 2'!$A:$A,"&lt;="&amp;DATE(2026,8,14))</f>
        <v>0</v>
      </c>
      <c r="GL13">
        <f>COUNTIFS('DRAFT 2'!$D:$D,$B13,'DRAFT 2'!$A:$A,"&gt;="&amp;DATE(2026,8,15),'DRAFT 2'!$A:$A,"&lt;="&amp;DATE(2026,8,21))</f>
        <v>0</v>
      </c>
      <c r="GM13">
        <f>COUNTIFS('DRAFT 2'!$D:$D,$B13,'DRAFT 2'!$A:$A,"&gt;="&amp;DATE(2026,8,22),'DRAFT 2'!$A:$A,"&lt;"&amp;DATE(2026,IF(8=12,8+1,8+1),1))</f>
        <v>0</v>
      </c>
      <c r="GN13">
        <f t="shared" si="9"/>
        <v>0</v>
      </c>
      <c r="GX13">
        <f>IFERROR(LOOKUP(2,1/('DRAFT 2'!$D:$D=$B13)*('DRAFT 2'!$A:$A&gt;=DATE(2026,9,1))*('DRAFT 2'!$A:$A&lt;DATE(2026,IF(9=12,9+1,9+1),1)),'DRAFT 2'!$A:$A),"")</f>
        <v>0</v>
      </c>
      <c r="GY13">
        <f>COUNTIFS('DRAFT 2'!$D:$D,$B13,'DRAFT 2'!$A:$A,"&gt;="&amp;DATE(2026,9,1),'DRAFT 2'!$A:$A,"&lt;="&amp;DATE(2026,9,7))</f>
        <v>0</v>
      </c>
      <c r="GZ13">
        <f>COUNTIFS('DRAFT 2'!$D:$D,$B13,'DRAFT 2'!$A:$A,"&gt;="&amp;DATE(2026,9,8),'DRAFT 2'!$A:$A,"&lt;="&amp;DATE(2026,9,14))</f>
        <v>0</v>
      </c>
      <c r="HA13">
        <f>COUNTIFS('DRAFT 2'!$D:$D,$B13,'DRAFT 2'!$A:$A,"&gt;="&amp;DATE(2026,9,15),'DRAFT 2'!$A:$A,"&lt;="&amp;DATE(2026,9,21))</f>
        <v>0</v>
      </c>
      <c r="HB13">
        <f>COUNTIFS('DRAFT 2'!$D:$D,$B13,'DRAFT 2'!$A:$A,"&gt;="&amp;DATE(2026,9,22),'DRAFT 2'!$A:$A,"&lt;"&amp;DATE(2026,IF(9=12,9+1,9+1),1))</f>
        <v>0</v>
      </c>
      <c r="HC13">
        <f t="shared" si="10"/>
        <v>0</v>
      </c>
      <c r="HN13">
        <f>IFERROR(LOOKUP(2,1/('DRAFT 2'!$D:$D=$B13)*('DRAFT 2'!$A:$A&gt;=DATE(2026,10,1))*('DRAFT 2'!$A:$A&lt;DATE(2026,IF(10=12,10+1,10+1),1)),'DRAFT 2'!$A:$A),"")</f>
        <v>0</v>
      </c>
      <c r="HO13">
        <f>COUNTIFS('DRAFT 2'!$D:$D,$B13,'DRAFT 2'!$A:$A,"&gt;="&amp;DATE(2026,10,1),'DRAFT 2'!$A:$A,"&lt;="&amp;DATE(2026,10,7))</f>
        <v>0</v>
      </c>
      <c r="HP13">
        <f>COUNTIFS('DRAFT 2'!$D:$D,$B13,'DRAFT 2'!$A:$A,"&gt;="&amp;DATE(2026,10,8),'DRAFT 2'!$A:$A,"&lt;="&amp;DATE(2026,10,14))</f>
        <v>0</v>
      </c>
      <c r="HQ13">
        <f>COUNTIFS('DRAFT 2'!$D:$D,$B13,'DRAFT 2'!$A:$A,"&gt;="&amp;DATE(2026,10,15),'DRAFT 2'!$A:$A,"&lt;="&amp;DATE(2026,10,21))</f>
        <v>0</v>
      </c>
      <c r="HR13">
        <f>COUNTIFS('DRAFT 2'!$D:$D,$B13,'DRAFT 2'!$A:$A,"&gt;="&amp;DATE(2026,10,22),'DRAFT 2'!$A:$A,"&lt;"&amp;DATE(2026,IF(10=12,10+1,10+1),1))</f>
        <v>0</v>
      </c>
      <c r="HS13">
        <f t="shared" si="11"/>
        <v>0</v>
      </c>
      <c r="IC13">
        <f>IFERROR(LOOKUP(2,1/('DRAFT 2'!$D:$D=$B13)*('DRAFT 2'!$A:$A&gt;=DATE(2026,11,1))*('DRAFT 2'!$A:$A&lt;DATE(2026,IF(11=12,11+1,11+1),1)),'DRAFT 2'!$A:$A),"")</f>
        <v>0</v>
      </c>
      <c r="ID13">
        <f>COUNTIFS('DRAFT 2'!$D:$D,$B13,'DRAFT 2'!$A:$A,"&gt;="&amp;DATE(2026,11,1),'DRAFT 2'!$A:$A,"&lt;="&amp;DATE(2026,11,7))</f>
        <v>0</v>
      </c>
      <c r="IE13">
        <f>COUNTIFS('DRAFT 2'!$D:$D,$B13,'DRAFT 2'!$A:$A,"&gt;="&amp;DATE(2026,11,8),'DRAFT 2'!$A:$A,"&lt;="&amp;DATE(2026,11,14))</f>
        <v>0</v>
      </c>
      <c r="IF13">
        <f>COUNTIFS('DRAFT 2'!$D:$D,$B13,'DRAFT 2'!$A:$A,"&gt;="&amp;DATE(2026,11,15),'DRAFT 2'!$A:$A,"&lt;="&amp;DATE(2026,11,21))</f>
        <v>0</v>
      </c>
      <c r="IG13">
        <f>COUNTIFS('DRAFT 2'!$D:$D,$B13,'DRAFT 2'!$A:$A,"&gt;="&amp;DATE(2026,11,22),'DRAFT 2'!$A:$A,"&lt;"&amp;DATE(2026,IF(11=12,11+1,11+1),1))</f>
        <v>0</v>
      </c>
      <c r="IH13">
        <f t="shared" si="12"/>
        <v>0</v>
      </c>
      <c r="IR13">
        <f>IFERROR(LOOKUP(2,1/('DRAFT 2'!$D:$D=$B13)*('DRAFT 2'!$A:$A&gt;=DATE(2026,12,1))*('DRAFT 2'!$A:$A&lt;DATE(2026,IF(12=12,12+1,12+1),1)),'DRAFT 2'!$A:$A),"")</f>
        <v>0</v>
      </c>
      <c r="IS13">
        <f>COUNTIFS('DRAFT 2'!$D:$D,$B13,'DRAFT 2'!$A:$A,"&gt;="&amp;DATE(2026,12,1),'DRAFT 2'!$A:$A,"&lt;="&amp;DATE(2026,12,7))</f>
        <v>0</v>
      </c>
      <c r="IT13">
        <f>COUNTIFS('DRAFT 2'!$D:$D,$B13,'DRAFT 2'!$A:$A,"&gt;="&amp;DATE(2026,12,8),'DRAFT 2'!$A:$A,"&lt;="&amp;DATE(2026,12,14))</f>
        <v>0</v>
      </c>
      <c r="IU13">
        <f>COUNTIFS('DRAFT 2'!$D:$D,$B13,'DRAFT 2'!$A:$A,"&gt;="&amp;DATE(2026,12,15),'DRAFT 2'!$A:$A,"&lt;="&amp;DATE(2026,12,21))</f>
        <v>0</v>
      </c>
      <c r="IV13">
        <f>COUNTIFS('DRAFT 2'!$D:$D,$B13,'DRAFT 2'!$A:$A,"&gt;="&amp;DATE(2026,12,22),'DRAFT 2'!$A:$A,"&lt;"&amp;DATE(2026,IF(12=12,12+1,12+1),1))</f>
        <v>0</v>
      </c>
      <c r="IW13">
        <f t="shared" si="13"/>
        <v>0</v>
      </c>
    </row>
    <row r="14" spans="1:257" x14ac:dyDescent="0.3">
      <c r="A14" t="str">
        <f>IFERROR(INDEX('DRAFT 1'!$A:$A,MATCH($B14,'DRAFT 1'!$B:$B,0)),"")</f>
        <v/>
      </c>
      <c r="C14" t="str">
        <f>IFERROR(INDEX('DRAFT 1'!$C:$C,MATCH($B14,'DRAFT 1'!$B:$B,0)),"")</f>
        <v/>
      </c>
      <c r="D14" t="str">
        <f>IFERROR(INDEX('DRAFT 1'!$D:$D,MATCH($B14,'DRAFT 1'!$B:$B,0)),"")</f>
        <v/>
      </c>
      <c r="E14" t="str">
        <f>IFERROR(INDEX('DRAFT 1'!$E:$E,MATCH($B14,'DRAFT 1'!$B:$B,0)),"")</f>
        <v/>
      </c>
      <c r="F14" t="str">
        <f>IFERROR(INDEX('DRAFT 1'!$F:$F,MATCH($B14,'DRAFT 1'!$B:$B,0)),"")</f>
        <v/>
      </c>
      <c r="G14" t="str">
        <f>IFERROR(INDEX('DRAFT 1'!$G:$G,MATCH($B14,'DRAFT 1'!$B:$B,0)),"")</f>
        <v/>
      </c>
      <c r="H14" t="str">
        <f>IFERROR(INDEX('DRAFT 1'!$H:$H,MATCH($B14,'DRAFT 1'!$B:$B,0)),"")</f>
        <v/>
      </c>
      <c r="I14" t="s">
        <v>292</v>
      </c>
      <c r="K14" t="str">
        <f>IFERROR(INDEX('DRAFT 1'!$AL:$AL,MATCH($B14,'DRAFT 1'!$B:$B,0)),"")</f>
        <v/>
      </c>
      <c r="L14" t="str">
        <f>IFERROR(INDEX('DRAFT 1'!$J:$J,MATCH($B14,'DRAFT 1'!$B:$B,0)),"")</f>
        <v/>
      </c>
      <c r="M14" t="str">
        <f>IFERROR(INDEX('DRAFT 1'!$K:$K,MATCH($B14,'DRAFT 1'!$B:$B,0)),"")</f>
        <v/>
      </c>
      <c r="N14" t="s">
        <v>85</v>
      </c>
      <c r="P14" t="str">
        <f>IFERROR(INDEX('DRAFT 1'!$L:$L,MATCH($B14,'DRAFT 1'!$B:$B,0)),"")</f>
        <v/>
      </c>
      <c r="Q14" t="str">
        <f>IFERROR(INDEX('DRAFT 1'!$M:$M,MATCH($B14,'DRAFT 1'!$B:$B,0)),"")</f>
        <v/>
      </c>
      <c r="R14" t="str">
        <f>IFERROR(INDEX('DRAFT 1'!$N:$N,MATCH($B14,'DRAFT 1'!$B:$B,0)),"")</f>
        <v/>
      </c>
      <c r="S14" t="str">
        <f>IFERROR(INDEX('DRAFT 1'!$O:$O,MATCH($B14,'DRAFT 1'!$B:$B,0)),"")</f>
        <v/>
      </c>
      <c r="T14" t="str">
        <f>IFERROR(INDEX('DRAFT 1'!$P:$P,MATCH($B14,'DRAFT 1'!$B:$B,0)),"")</f>
        <v/>
      </c>
      <c r="U14" t="str">
        <f>IFERROR(INDEX('DRAFT 1'!$Q:$Q,MATCH($B14,'DRAFT 1'!$B:$B,0)),"")</f>
        <v/>
      </c>
      <c r="V14" t="str">
        <f>IFERROR(INDEX('DRAFT 1'!$R:$R,MATCH($B14,'DRAFT 1'!$B:$B,0)),"")</f>
        <v/>
      </c>
      <c r="W14" t="str">
        <f>IFERROR(INDEX('DRAFT 1'!$S:$S,MATCH($B14,'DRAFT 1'!$B:$B,0)),"")</f>
        <v/>
      </c>
      <c r="X14" t="str">
        <f>IFERROR(INDEX('DRAFT 1'!$T:$T,MATCH($B14,'DRAFT 1'!$B:$B,0)),"")</f>
        <v/>
      </c>
      <c r="Z14" t="str">
        <f>IFERROR(INDEX('DRAFT 1'!$U:$U,MATCH($B14,'DRAFT 1'!$B:$B,0)),"")</f>
        <v/>
      </c>
      <c r="AA14" t="str">
        <f>IFERROR(INDEX('DRAFT 1'!$V:$V,MATCH($B14,'DRAFT 1'!$B:$B,0)),"")</f>
        <v/>
      </c>
      <c r="AB14" t="str">
        <f>IFERROR(INDEX('DRAFT 1'!$W:$W,MATCH($B14,'DRAFT 1'!$B:$B,0)),"")</f>
        <v/>
      </c>
      <c r="AC14" t="str">
        <f>IFERROR(INDEX('DRAFT 1'!$X:$X,MATCH($B14,'DRAFT 1'!$B:$B,0)),"")</f>
        <v/>
      </c>
      <c r="AD14" t="str">
        <f>IFERROR(INDEX('DRAFT 1'!$Y:$Y,MATCH($B14,'DRAFT 1'!$B:$B,0)),"")</f>
        <v/>
      </c>
      <c r="AE14" t="str">
        <f>IFERROR(INDEX('DRAFT 1'!$Z:$Z,MATCH($B14,'DRAFT 1'!$B:$B,0)),"")</f>
        <v/>
      </c>
      <c r="AF14" t="str">
        <f>IFERROR(INDEX('DRAFT 1'!$AA:$AA,MATCH($B14,'DRAFT 1'!$B:$B,0)),"")</f>
        <v/>
      </c>
      <c r="AG14" t="str">
        <f>IFERROR(INDEX('DRAFT 1'!$AB:$AB,MATCH($B14,'DRAFT 1'!$B:$B,0)),"")</f>
        <v/>
      </c>
      <c r="AH14" t="str">
        <f>IFERROR(INDEX('DRAFT 1'!$AC:$AC,MATCH($B14,'DRAFT 1'!$B:$B,0)),"")</f>
        <v/>
      </c>
      <c r="AI14" t="str">
        <f>IFERROR(INDEX('DRAFT 1'!$AD:$AD,MATCH($B14,'DRAFT 1'!$B:$B,0)),"")</f>
        <v/>
      </c>
      <c r="AJ14" t="str">
        <f>IFERROR(INDEX('DRAFT 1'!$AE:$AE,MATCH($B14,'DRAFT 1'!$B:$B,0)),"")</f>
        <v/>
      </c>
      <c r="AK14" t="str">
        <f>IFERROR(INDEX('DRAFT 1'!$AG:$AG,MATCH($B14,'DRAFT 1'!$B:$B,0)),"")</f>
        <v/>
      </c>
      <c r="AL14" t="str">
        <f>IFERROR(INDEX('DRAFT 1'!$AH:$AH,MATCH($B14,'DRAFT 1'!$B:$B,0)),"")</f>
        <v/>
      </c>
      <c r="AM14" t="str">
        <f>IFERROR(INDEX('DRAFT 1'!$AI:$AI,MATCH($B14,'DRAFT 1'!$B:$B,0)),"")</f>
        <v/>
      </c>
      <c r="AN14" t="str">
        <f>IFERROR(INDEX('DRAFT 1'!$AJ:$AJ,MATCH($B14,'DRAFT 1'!$B:$B,0)),"")</f>
        <v/>
      </c>
      <c r="AO14">
        <f t="shared" si="0"/>
        <v>0</v>
      </c>
      <c r="AP14" t="str">
        <f>IFERROR(INDEX('DRAFT 1'!$AK:$AK,MATCH($B14,'DRAFT 1'!$B:$B,0)),"")</f>
        <v/>
      </c>
      <c r="AR14" t="s">
        <v>93</v>
      </c>
      <c r="AS14">
        <f>IFERROR(LOOKUP(2,1/('DRAFT 2'!$D:$D=$B14),'DRAFT 2'!$T:$T),"")</f>
        <v>0</v>
      </c>
      <c r="AT14">
        <f>IFERROR(LOOKUP(2,1/('DRAFT 2'!$D:$D=$B14),'DRAFT 2'!$A:$A),"")</f>
        <v>0</v>
      </c>
      <c r="AU14">
        <f>IFERROR(LOOKUP(2,1/('DRAFT 2'!$D:$D=$B14),'DRAFT 2'!$R:$R),"")</f>
        <v>0</v>
      </c>
      <c r="AV14">
        <f>IFERROR(LOOKUP(2,1/('DRAFT 2'!$D:$D=$B14),'DRAFT 2'!$S:$S),"")</f>
        <v>0</v>
      </c>
      <c r="AW14" t="s">
        <v>82</v>
      </c>
      <c r="AX14">
        <f>IFERROR(LOOKUP(2,1/('DRAFT 2'!$D:$D=$B14),'DRAFT 2'!$M:$M),"")</f>
        <v>0</v>
      </c>
      <c r="AY14">
        <f>IFERROR(LOOKUP(2,1/('DRAFT 2'!$D:$D=$B14),'DRAFT 2'!$K:$K),"")</f>
        <v>0</v>
      </c>
      <c r="BG14">
        <f>IFERROR(LOOKUP(2,1/('DRAFT 2'!$D:$D=$B14),'DRAFT 2'!$U:$U),"")</f>
        <v>0</v>
      </c>
      <c r="BH14">
        <f>IFERROR(LOOKUP(2,1/('DRAFT 2'!$D:$D=$B14),'DRAFT 2'!$V:$V),"")</f>
        <v>0</v>
      </c>
      <c r="CE14" t="str">
        <f t="shared" si="1"/>
        <v/>
      </c>
      <c r="CF14">
        <f>IFERROR(LOOKUP(2,1/('DRAFT 2'!$D:$D=$B14)*('DRAFT 2'!$A:$A&gt;=DATE(2026,1,1))*('DRAFT 2'!$A:$A&lt;DATE(2026,IF(1=12,1+1,1+1),1)),'DRAFT 2'!$A:$A),"")</f>
        <v>0</v>
      </c>
      <c r="CG14">
        <f>COUNTIFS('DRAFT 2'!$D:$D,$B14,'DRAFT 2'!$A:$A,"&gt;="&amp;DATE(2026,1,1),'DRAFT 2'!$A:$A,"&lt;="&amp;DATE(2026,1,7))</f>
        <v>0</v>
      </c>
      <c r="CH14">
        <f>COUNTIFS('DRAFT 2'!$D:$D,$B14,'DRAFT 2'!$A:$A,"&gt;="&amp;DATE(2026,1,8),'DRAFT 2'!$A:$A,"&lt;="&amp;DATE(2026,1,14))</f>
        <v>0</v>
      </c>
      <c r="CI14">
        <f>COUNTIFS('DRAFT 2'!$D:$D,$B14,'DRAFT 2'!$A:$A,"&gt;="&amp;DATE(2026,1,15),'DRAFT 2'!$A:$A,"&lt;="&amp;DATE(2026,1,21))</f>
        <v>0</v>
      </c>
      <c r="CJ14">
        <f>COUNTIFS('DRAFT 2'!$D:$D,$B14,'DRAFT 2'!$A:$A,"&gt;="&amp;DATE(2026,1,22),'DRAFT 2'!$A:$A,"&lt;"&amp;DATE(2026,IF(1=12,1+1,1+1),1))</f>
        <v>0</v>
      </c>
      <c r="CK14">
        <f t="shared" si="2"/>
        <v>0</v>
      </c>
      <c r="CT14">
        <v>0</v>
      </c>
      <c r="CU14">
        <f>IFERROR(LOOKUP(2,1/('DRAFT 2'!$D:$D=$B14)*('DRAFT 2'!$A:$A&gt;=DATE(2026,2,1))*('DRAFT 2'!$A:$A&lt;DATE(2026,IF(2=12,2+1,2+1),1)),'DRAFT 2'!$A:$A),"")</f>
        <v>0</v>
      </c>
      <c r="CV14">
        <f>COUNTIFS('DRAFT 2'!$D:$D,$B14,'DRAFT 2'!$A:$A,"&gt;="&amp;DATE(2026,2,1),'DRAFT 2'!$A:$A,"&lt;="&amp;DATE(2026,2,7))</f>
        <v>0</v>
      </c>
      <c r="CW14">
        <f>COUNTIFS('DRAFT 2'!$D:$D,$B14,'DRAFT 2'!$A:$A,"&gt;="&amp;DATE(2026,2,8),'DRAFT 2'!$A:$A,"&lt;="&amp;DATE(2026,2,14))</f>
        <v>0</v>
      </c>
      <c r="CX14">
        <f>COUNTIFS('DRAFT 2'!$D:$D,$B14,'DRAFT 2'!$A:$A,"&gt;="&amp;DATE(2026,2,15),'DRAFT 2'!$A:$A,"&lt;="&amp;DATE(2026,2,21))</f>
        <v>0</v>
      </c>
      <c r="CY14">
        <f>COUNTIFS('DRAFT 2'!$D:$D,$B14,'DRAFT 2'!$A:$A,"&gt;="&amp;DATE(2026,2,22),'DRAFT 2'!$A:$A,"&lt;"&amp;DATE(2026,IF(2=12,2+1,2+1),1))</f>
        <v>0</v>
      </c>
      <c r="CZ14">
        <f t="shared" si="3"/>
        <v>0</v>
      </c>
      <c r="DJ14">
        <f>IFERROR(LOOKUP(2,1/('DRAFT 2'!$D:$D=$B14)*('DRAFT 2'!$A:$A&gt;=DATE(2026,3,1))*('DRAFT 2'!$A:$A&lt;DATE(2026,IF(3=12,3+1,3+1),1)),'DRAFT 2'!$A:$A),"")</f>
        <v>0</v>
      </c>
      <c r="DK14">
        <f>COUNTIFS('DRAFT 2'!$D:$D,$B14,'DRAFT 2'!$A:$A,"&gt;="&amp;DATE(2026,3,1),'DRAFT 2'!$A:$A,"&lt;="&amp;DATE(2026,3,7))</f>
        <v>0</v>
      </c>
      <c r="DL14">
        <f>COUNTIFS('DRAFT 2'!$D:$D,$B14,'DRAFT 2'!$A:$A,"&gt;="&amp;DATE(2026,3,8),'DRAFT 2'!$A:$A,"&lt;="&amp;DATE(2026,3,14))</f>
        <v>0</v>
      </c>
      <c r="DM14">
        <f>COUNTIFS('DRAFT 2'!$D:$D,$B14,'DRAFT 2'!$A:$A,"&gt;="&amp;DATE(2026,3,15),'DRAFT 2'!$A:$A,"&lt;="&amp;DATE(2026,3,21))</f>
        <v>0</v>
      </c>
      <c r="DN14">
        <f>COUNTIFS('DRAFT 2'!$D:$D,$B14,'DRAFT 2'!$A:$A,"&gt;="&amp;DATE(2026,3,22),'DRAFT 2'!$A:$A,"&lt;"&amp;DATE(2026,IF(3=12,3+1,3+1),1))</f>
        <v>0</v>
      </c>
      <c r="DO14">
        <f t="shared" si="4"/>
        <v>0</v>
      </c>
      <c r="DZ14">
        <f>IFERROR(LOOKUP(2,1/('DRAFT 2'!$D:$D=$B14)*('DRAFT 2'!$A:$A&gt;=DATE(2026,4,1))*('DRAFT 2'!$A:$A&lt;DATE(2026,IF(4=12,4+1,4+1),1)),'DRAFT 2'!$A:$A),"")</f>
        <v>0</v>
      </c>
      <c r="EA14">
        <f>COUNTIFS('DRAFT 2'!$D:$D,$B14,'DRAFT 2'!$A:$A,"&gt;="&amp;DATE(2026,4,1),'DRAFT 2'!$A:$A,"&lt;="&amp;DATE(2026,4,7))</f>
        <v>0</v>
      </c>
      <c r="EB14">
        <f>COUNTIFS('DRAFT 2'!$D:$D,$B14,'DRAFT 2'!$A:$A,"&gt;="&amp;DATE(2026,4,8),'DRAFT 2'!$A:$A,"&lt;="&amp;DATE(2026,4,14))</f>
        <v>0</v>
      </c>
      <c r="EC14">
        <f>COUNTIFS('DRAFT 2'!$D:$D,$B14,'DRAFT 2'!$A:$A,"&gt;="&amp;DATE(2026,4,15),'DRAFT 2'!$A:$A,"&lt;="&amp;DATE(2026,4,21))</f>
        <v>0</v>
      </c>
      <c r="ED14">
        <f>COUNTIFS('DRAFT 2'!$D:$D,$B14,'DRAFT 2'!$A:$A,"&gt;="&amp;DATE(2026,4,22),'DRAFT 2'!$A:$A,"&lt;"&amp;DATE(2026,IF(4=12,4+1,4+1),1))</f>
        <v>0</v>
      </c>
      <c r="EE14">
        <f t="shared" si="5"/>
        <v>0</v>
      </c>
      <c r="EO14">
        <f>IFERROR(LOOKUP(2,1/('DRAFT 2'!$D:$D=$B14)*('DRAFT 2'!$A:$A&gt;=DATE(2026,5,1))*('DRAFT 2'!$A:$A&lt;DATE(2026,IF(5=12,5+1,5+1),1)),'DRAFT 2'!$A:$A),"")</f>
        <v>0</v>
      </c>
      <c r="EP14">
        <f>COUNTIFS('DRAFT 2'!$D:$D,$B14,'DRAFT 2'!$A:$A,"&gt;="&amp;DATE(2026,5,1),'DRAFT 2'!$A:$A,"&lt;="&amp;DATE(2026,5,7))</f>
        <v>0</v>
      </c>
      <c r="EQ14">
        <f>COUNTIFS('DRAFT 2'!$D:$D,$B14,'DRAFT 2'!$A:$A,"&gt;="&amp;DATE(2026,5,8),'DRAFT 2'!$A:$A,"&lt;="&amp;DATE(2026,5,14))</f>
        <v>0</v>
      </c>
      <c r="ER14">
        <f>COUNTIFS('DRAFT 2'!$D:$D,$B14,'DRAFT 2'!$A:$A,"&gt;="&amp;DATE(2026,5,15),'DRAFT 2'!$A:$A,"&lt;="&amp;DATE(2026,5,21))</f>
        <v>0</v>
      </c>
      <c r="ES14">
        <f>COUNTIFS('DRAFT 2'!$D:$D,$B14,'DRAFT 2'!$A:$A,"&gt;="&amp;DATE(2026,5,22),'DRAFT 2'!$A:$A,"&lt;"&amp;DATE(2026,IF(5=12,5+1,5+1),1))</f>
        <v>0</v>
      </c>
      <c r="ET14">
        <f t="shared" si="6"/>
        <v>0</v>
      </c>
      <c r="FD14">
        <f>IFERROR(LOOKUP(2,1/('DRAFT 2'!$D:$D=$B14)*('DRAFT 2'!$A:$A&gt;=DATE(2026,6,1))*('DRAFT 2'!$A:$A&lt;DATE(2026,IF(6=12,6+1,6+1),1)),'DRAFT 2'!$A:$A),"")</f>
        <v>0</v>
      </c>
      <c r="FE14">
        <f>COUNTIFS('DRAFT 2'!$D:$D,$B14,'DRAFT 2'!$A:$A,"&gt;="&amp;DATE(2026,6,1),'DRAFT 2'!$A:$A,"&lt;="&amp;DATE(2026,6,7))</f>
        <v>0</v>
      </c>
      <c r="FF14">
        <f>COUNTIFS('DRAFT 2'!$D:$D,$B14,'DRAFT 2'!$A:$A,"&gt;="&amp;DATE(2026,6,8),'DRAFT 2'!$A:$A,"&lt;="&amp;DATE(2026,6,14))</f>
        <v>0</v>
      </c>
      <c r="FG14">
        <f>COUNTIFS('DRAFT 2'!$D:$D,$B14,'DRAFT 2'!$A:$A,"&gt;="&amp;DATE(2026,6,15),'DRAFT 2'!$A:$A,"&lt;="&amp;DATE(2026,6,21))</f>
        <v>0</v>
      </c>
      <c r="FH14">
        <f>COUNTIFS('DRAFT 2'!$D:$D,$B14,'DRAFT 2'!$A:$A,"&gt;="&amp;DATE(2026,6,22),'DRAFT 2'!$A:$A,"&lt;"&amp;DATE(2026,IF(6=12,6+1,6+1),1))</f>
        <v>0</v>
      </c>
      <c r="FI14">
        <f t="shared" si="7"/>
        <v>0</v>
      </c>
      <c r="FT14">
        <f>IFERROR(LOOKUP(2,1/('DRAFT 2'!$D:$D=$B14)*('DRAFT 2'!$A:$A&gt;=DATE(2026,7,1))*('DRAFT 2'!$A:$A&lt;DATE(2026,IF(7=12,7+1,7+1),1)),'DRAFT 2'!$A:$A),"")</f>
        <v>0</v>
      </c>
      <c r="FU14">
        <f>COUNTIFS('DRAFT 2'!$D:$D,$B14,'DRAFT 2'!$A:$A,"&gt;="&amp;DATE(2026,7,1),'DRAFT 2'!$A:$A,"&lt;="&amp;DATE(2026,7,7))</f>
        <v>0</v>
      </c>
      <c r="FV14">
        <f>COUNTIFS('DRAFT 2'!$D:$D,$B14,'DRAFT 2'!$A:$A,"&gt;="&amp;DATE(2026,7,8),'DRAFT 2'!$A:$A,"&lt;="&amp;DATE(2026,7,14))</f>
        <v>0</v>
      </c>
      <c r="FW14">
        <f>COUNTIFS('DRAFT 2'!$D:$D,$B14,'DRAFT 2'!$A:$A,"&gt;="&amp;DATE(2026,7,15),'DRAFT 2'!$A:$A,"&lt;="&amp;DATE(2026,7,21))</f>
        <v>0</v>
      </c>
      <c r="FX14">
        <f>COUNTIFS('DRAFT 2'!$D:$D,$B14,'DRAFT 2'!$A:$A,"&gt;="&amp;DATE(2026,7,22),'DRAFT 2'!$A:$A,"&lt;"&amp;DATE(2026,IF(7=12,7+1,7+1),1))</f>
        <v>0</v>
      </c>
      <c r="FY14">
        <f t="shared" si="8"/>
        <v>0</v>
      </c>
      <c r="GI14">
        <f>IFERROR(LOOKUP(2,1/('DRAFT 2'!$D:$D=$B14)*('DRAFT 2'!$A:$A&gt;=DATE(2026,8,1))*('DRAFT 2'!$A:$A&lt;DATE(2026,IF(8=12,8+1,8+1),1)),'DRAFT 2'!$A:$A),"")</f>
        <v>0</v>
      </c>
      <c r="GJ14">
        <f>COUNTIFS('DRAFT 2'!$D:$D,$B14,'DRAFT 2'!$A:$A,"&gt;="&amp;DATE(2026,8,1),'DRAFT 2'!$A:$A,"&lt;="&amp;DATE(2026,8,7))</f>
        <v>0</v>
      </c>
      <c r="GK14">
        <f>COUNTIFS('DRAFT 2'!$D:$D,$B14,'DRAFT 2'!$A:$A,"&gt;="&amp;DATE(2026,8,8),'DRAFT 2'!$A:$A,"&lt;="&amp;DATE(2026,8,14))</f>
        <v>0</v>
      </c>
      <c r="GL14">
        <f>COUNTIFS('DRAFT 2'!$D:$D,$B14,'DRAFT 2'!$A:$A,"&gt;="&amp;DATE(2026,8,15),'DRAFT 2'!$A:$A,"&lt;="&amp;DATE(2026,8,21))</f>
        <v>0</v>
      </c>
      <c r="GM14">
        <f>COUNTIFS('DRAFT 2'!$D:$D,$B14,'DRAFT 2'!$A:$A,"&gt;="&amp;DATE(2026,8,22),'DRAFT 2'!$A:$A,"&lt;"&amp;DATE(2026,IF(8=12,8+1,8+1),1))</f>
        <v>0</v>
      </c>
      <c r="GN14">
        <f t="shared" si="9"/>
        <v>0</v>
      </c>
      <c r="GX14">
        <f>IFERROR(LOOKUP(2,1/('DRAFT 2'!$D:$D=$B14)*('DRAFT 2'!$A:$A&gt;=DATE(2026,9,1))*('DRAFT 2'!$A:$A&lt;DATE(2026,IF(9=12,9+1,9+1),1)),'DRAFT 2'!$A:$A),"")</f>
        <v>0</v>
      </c>
      <c r="GY14">
        <f>COUNTIFS('DRAFT 2'!$D:$D,$B14,'DRAFT 2'!$A:$A,"&gt;="&amp;DATE(2026,9,1),'DRAFT 2'!$A:$A,"&lt;="&amp;DATE(2026,9,7))</f>
        <v>0</v>
      </c>
      <c r="GZ14">
        <f>COUNTIFS('DRAFT 2'!$D:$D,$B14,'DRAFT 2'!$A:$A,"&gt;="&amp;DATE(2026,9,8),'DRAFT 2'!$A:$A,"&lt;="&amp;DATE(2026,9,14))</f>
        <v>0</v>
      </c>
      <c r="HA14">
        <f>COUNTIFS('DRAFT 2'!$D:$D,$B14,'DRAFT 2'!$A:$A,"&gt;="&amp;DATE(2026,9,15),'DRAFT 2'!$A:$A,"&lt;="&amp;DATE(2026,9,21))</f>
        <v>0</v>
      </c>
      <c r="HB14">
        <f>COUNTIFS('DRAFT 2'!$D:$D,$B14,'DRAFT 2'!$A:$A,"&gt;="&amp;DATE(2026,9,22),'DRAFT 2'!$A:$A,"&lt;"&amp;DATE(2026,IF(9=12,9+1,9+1),1))</f>
        <v>0</v>
      </c>
      <c r="HC14">
        <f t="shared" si="10"/>
        <v>0</v>
      </c>
      <c r="HN14">
        <f>IFERROR(LOOKUP(2,1/('DRAFT 2'!$D:$D=$B14)*('DRAFT 2'!$A:$A&gt;=DATE(2026,10,1))*('DRAFT 2'!$A:$A&lt;DATE(2026,IF(10=12,10+1,10+1),1)),'DRAFT 2'!$A:$A),"")</f>
        <v>0</v>
      </c>
      <c r="HO14">
        <f>COUNTIFS('DRAFT 2'!$D:$D,$B14,'DRAFT 2'!$A:$A,"&gt;="&amp;DATE(2026,10,1),'DRAFT 2'!$A:$A,"&lt;="&amp;DATE(2026,10,7))</f>
        <v>0</v>
      </c>
      <c r="HP14">
        <f>COUNTIFS('DRAFT 2'!$D:$D,$B14,'DRAFT 2'!$A:$A,"&gt;="&amp;DATE(2026,10,8),'DRAFT 2'!$A:$A,"&lt;="&amp;DATE(2026,10,14))</f>
        <v>0</v>
      </c>
      <c r="HQ14">
        <f>COUNTIFS('DRAFT 2'!$D:$D,$B14,'DRAFT 2'!$A:$A,"&gt;="&amp;DATE(2026,10,15),'DRAFT 2'!$A:$A,"&lt;="&amp;DATE(2026,10,21))</f>
        <v>0</v>
      </c>
      <c r="HR14">
        <f>COUNTIFS('DRAFT 2'!$D:$D,$B14,'DRAFT 2'!$A:$A,"&gt;="&amp;DATE(2026,10,22),'DRAFT 2'!$A:$A,"&lt;"&amp;DATE(2026,IF(10=12,10+1,10+1),1))</f>
        <v>0</v>
      </c>
      <c r="HS14">
        <f t="shared" si="11"/>
        <v>0</v>
      </c>
      <c r="IC14">
        <f>IFERROR(LOOKUP(2,1/('DRAFT 2'!$D:$D=$B14)*('DRAFT 2'!$A:$A&gt;=DATE(2026,11,1))*('DRAFT 2'!$A:$A&lt;DATE(2026,IF(11=12,11+1,11+1),1)),'DRAFT 2'!$A:$A),"")</f>
        <v>0</v>
      </c>
      <c r="ID14">
        <f>COUNTIFS('DRAFT 2'!$D:$D,$B14,'DRAFT 2'!$A:$A,"&gt;="&amp;DATE(2026,11,1),'DRAFT 2'!$A:$A,"&lt;="&amp;DATE(2026,11,7))</f>
        <v>0</v>
      </c>
      <c r="IE14">
        <f>COUNTIFS('DRAFT 2'!$D:$D,$B14,'DRAFT 2'!$A:$A,"&gt;="&amp;DATE(2026,11,8),'DRAFT 2'!$A:$A,"&lt;="&amp;DATE(2026,11,14))</f>
        <v>0</v>
      </c>
      <c r="IF14">
        <f>COUNTIFS('DRAFT 2'!$D:$D,$B14,'DRAFT 2'!$A:$A,"&gt;="&amp;DATE(2026,11,15),'DRAFT 2'!$A:$A,"&lt;="&amp;DATE(2026,11,21))</f>
        <v>0</v>
      </c>
      <c r="IG14">
        <f>COUNTIFS('DRAFT 2'!$D:$D,$B14,'DRAFT 2'!$A:$A,"&gt;="&amp;DATE(2026,11,22),'DRAFT 2'!$A:$A,"&lt;"&amp;DATE(2026,IF(11=12,11+1,11+1),1))</f>
        <v>0</v>
      </c>
      <c r="IH14">
        <f t="shared" si="12"/>
        <v>0</v>
      </c>
      <c r="IR14">
        <f>IFERROR(LOOKUP(2,1/('DRAFT 2'!$D:$D=$B14)*('DRAFT 2'!$A:$A&gt;=DATE(2026,12,1))*('DRAFT 2'!$A:$A&lt;DATE(2026,IF(12=12,12+1,12+1),1)),'DRAFT 2'!$A:$A),"")</f>
        <v>0</v>
      </c>
      <c r="IS14">
        <f>COUNTIFS('DRAFT 2'!$D:$D,$B14,'DRAFT 2'!$A:$A,"&gt;="&amp;DATE(2026,12,1),'DRAFT 2'!$A:$A,"&lt;="&amp;DATE(2026,12,7))</f>
        <v>0</v>
      </c>
      <c r="IT14">
        <f>COUNTIFS('DRAFT 2'!$D:$D,$B14,'DRAFT 2'!$A:$A,"&gt;="&amp;DATE(2026,12,8),'DRAFT 2'!$A:$A,"&lt;="&amp;DATE(2026,12,14))</f>
        <v>0</v>
      </c>
      <c r="IU14">
        <f>COUNTIFS('DRAFT 2'!$D:$D,$B14,'DRAFT 2'!$A:$A,"&gt;="&amp;DATE(2026,12,15),'DRAFT 2'!$A:$A,"&lt;="&amp;DATE(2026,12,21))</f>
        <v>0</v>
      </c>
      <c r="IV14">
        <f>COUNTIFS('DRAFT 2'!$D:$D,$B14,'DRAFT 2'!$A:$A,"&gt;="&amp;DATE(2026,12,22),'DRAFT 2'!$A:$A,"&lt;"&amp;DATE(2026,IF(12=12,12+1,12+1),1))</f>
        <v>0</v>
      </c>
      <c r="IW14">
        <f t="shared" si="13"/>
        <v>0</v>
      </c>
    </row>
    <row r="15" spans="1:257" x14ac:dyDescent="0.3">
      <c r="A15" t="str">
        <f>IFERROR(INDEX('DRAFT 1'!$A:$A,MATCH($B15,'DRAFT 1'!$B:$B,0)),"")</f>
        <v/>
      </c>
      <c r="C15" t="str">
        <f>IFERROR(INDEX('DRAFT 1'!$C:$C,MATCH($B15,'DRAFT 1'!$B:$B,0)),"")</f>
        <v/>
      </c>
      <c r="D15" t="str">
        <f>IFERROR(INDEX('DRAFT 1'!$D:$D,MATCH($B15,'DRAFT 1'!$B:$B,0)),"")</f>
        <v/>
      </c>
      <c r="E15" t="str">
        <f>IFERROR(INDEX('DRAFT 1'!$E:$E,MATCH($B15,'DRAFT 1'!$B:$B,0)),"")</f>
        <v/>
      </c>
      <c r="F15" t="str">
        <f>IFERROR(INDEX('DRAFT 1'!$F:$F,MATCH($B15,'DRAFT 1'!$B:$B,0)),"")</f>
        <v/>
      </c>
      <c r="G15" t="str">
        <f>IFERROR(INDEX('DRAFT 1'!$G:$G,MATCH($B15,'DRAFT 1'!$B:$B,0)),"")</f>
        <v/>
      </c>
      <c r="H15" t="str">
        <f>IFERROR(INDEX('DRAFT 1'!$H:$H,MATCH($B15,'DRAFT 1'!$B:$B,0)),"")</f>
        <v/>
      </c>
      <c r="I15" t="s">
        <v>289</v>
      </c>
      <c r="K15" t="str">
        <f>IFERROR(INDEX('DRAFT 1'!$AL:$AL,MATCH($B15,'DRAFT 1'!$B:$B,0)),"")</f>
        <v/>
      </c>
      <c r="L15" t="str">
        <f>IFERROR(INDEX('DRAFT 1'!$J:$J,MATCH($B15,'DRAFT 1'!$B:$B,0)),"")</f>
        <v/>
      </c>
      <c r="M15" t="str">
        <f>IFERROR(INDEX('DRAFT 1'!$K:$K,MATCH($B15,'DRAFT 1'!$B:$B,0)),"")</f>
        <v/>
      </c>
      <c r="N15" t="s">
        <v>77</v>
      </c>
      <c r="P15" t="str">
        <f>IFERROR(INDEX('DRAFT 1'!$L:$L,MATCH($B15,'DRAFT 1'!$B:$B,0)),"")</f>
        <v/>
      </c>
      <c r="Q15" t="str">
        <f>IFERROR(INDEX('DRAFT 1'!$M:$M,MATCH($B15,'DRAFT 1'!$B:$B,0)),"")</f>
        <v/>
      </c>
      <c r="R15" t="str">
        <f>IFERROR(INDEX('DRAFT 1'!$N:$N,MATCH($B15,'DRAFT 1'!$B:$B,0)),"")</f>
        <v/>
      </c>
      <c r="S15" t="str">
        <f>IFERROR(INDEX('DRAFT 1'!$O:$O,MATCH($B15,'DRAFT 1'!$B:$B,0)),"")</f>
        <v/>
      </c>
      <c r="T15" t="str">
        <f>IFERROR(INDEX('DRAFT 1'!$P:$P,MATCH($B15,'DRAFT 1'!$B:$B,0)),"")</f>
        <v/>
      </c>
      <c r="U15" t="str">
        <f>IFERROR(INDEX('DRAFT 1'!$Q:$Q,MATCH($B15,'DRAFT 1'!$B:$B,0)),"")</f>
        <v/>
      </c>
      <c r="V15" t="str">
        <f>IFERROR(INDEX('DRAFT 1'!$R:$R,MATCH($B15,'DRAFT 1'!$B:$B,0)),"")</f>
        <v/>
      </c>
      <c r="W15" t="str">
        <f>IFERROR(INDEX('DRAFT 1'!$S:$S,MATCH($B15,'DRAFT 1'!$B:$B,0)),"")</f>
        <v/>
      </c>
      <c r="X15" t="str">
        <f>IFERROR(INDEX('DRAFT 1'!$T:$T,MATCH($B15,'DRAFT 1'!$B:$B,0)),"")</f>
        <v/>
      </c>
      <c r="Z15" t="str">
        <f>IFERROR(INDEX('DRAFT 1'!$U:$U,MATCH($B15,'DRAFT 1'!$B:$B,0)),"")</f>
        <v/>
      </c>
      <c r="AA15" t="str">
        <f>IFERROR(INDEX('DRAFT 1'!$V:$V,MATCH($B15,'DRAFT 1'!$B:$B,0)),"")</f>
        <v/>
      </c>
      <c r="AB15" t="str">
        <f>IFERROR(INDEX('DRAFT 1'!$W:$W,MATCH($B15,'DRAFT 1'!$B:$B,0)),"")</f>
        <v/>
      </c>
      <c r="AC15" t="str">
        <f>IFERROR(INDEX('DRAFT 1'!$X:$X,MATCH($B15,'DRAFT 1'!$B:$B,0)),"")</f>
        <v/>
      </c>
      <c r="AD15" t="str">
        <f>IFERROR(INDEX('DRAFT 1'!$Y:$Y,MATCH($B15,'DRAFT 1'!$B:$B,0)),"")</f>
        <v/>
      </c>
      <c r="AE15" t="str">
        <f>IFERROR(INDEX('DRAFT 1'!$Z:$Z,MATCH($B15,'DRAFT 1'!$B:$B,0)),"")</f>
        <v/>
      </c>
      <c r="AF15" t="str">
        <f>IFERROR(INDEX('DRAFT 1'!$AA:$AA,MATCH($B15,'DRAFT 1'!$B:$B,0)),"")</f>
        <v/>
      </c>
      <c r="AG15" t="str">
        <f>IFERROR(INDEX('DRAFT 1'!$AB:$AB,MATCH($B15,'DRAFT 1'!$B:$B,0)),"")</f>
        <v/>
      </c>
      <c r="AH15" t="str">
        <f>IFERROR(INDEX('DRAFT 1'!$AC:$AC,MATCH($B15,'DRAFT 1'!$B:$B,0)),"")</f>
        <v/>
      </c>
      <c r="AI15" t="str">
        <f>IFERROR(INDEX('DRAFT 1'!$AD:$AD,MATCH($B15,'DRAFT 1'!$B:$B,0)),"")</f>
        <v/>
      </c>
      <c r="AJ15" t="str">
        <f>IFERROR(INDEX('DRAFT 1'!$AE:$AE,MATCH($B15,'DRAFT 1'!$B:$B,0)),"")</f>
        <v/>
      </c>
      <c r="AK15" t="str">
        <f>IFERROR(INDEX('DRAFT 1'!$AG:$AG,MATCH($B15,'DRAFT 1'!$B:$B,0)),"")</f>
        <v/>
      </c>
      <c r="AL15" t="str">
        <f>IFERROR(INDEX('DRAFT 1'!$AH:$AH,MATCH($B15,'DRAFT 1'!$B:$B,0)),"")</f>
        <v/>
      </c>
      <c r="AM15" t="str">
        <f>IFERROR(INDEX('DRAFT 1'!$AI:$AI,MATCH($B15,'DRAFT 1'!$B:$B,0)),"")</f>
        <v/>
      </c>
      <c r="AN15" t="str">
        <f>IFERROR(INDEX('DRAFT 1'!$AJ:$AJ,MATCH($B15,'DRAFT 1'!$B:$B,0)),"")</f>
        <v/>
      </c>
      <c r="AO15">
        <f t="shared" si="0"/>
        <v>0</v>
      </c>
      <c r="AP15" t="str">
        <f>IFERROR(INDEX('DRAFT 1'!$AK:$AK,MATCH($B15,'DRAFT 1'!$B:$B,0)),"")</f>
        <v/>
      </c>
      <c r="AR15" t="s">
        <v>92</v>
      </c>
      <c r="AS15">
        <f>IFERROR(LOOKUP(2,1/('DRAFT 2'!$D:$D=$B15),'DRAFT 2'!$T:$T),"")</f>
        <v>0</v>
      </c>
      <c r="AT15">
        <f>IFERROR(LOOKUP(2,1/('DRAFT 2'!$D:$D=$B15),'DRAFT 2'!$A:$A),"")</f>
        <v>0</v>
      </c>
      <c r="AU15">
        <f>IFERROR(LOOKUP(2,1/('DRAFT 2'!$D:$D=$B15),'DRAFT 2'!$R:$R),"")</f>
        <v>0</v>
      </c>
      <c r="AV15">
        <f>IFERROR(LOOKUP(2,1/('DRAFT 2'!$D:$D=$B15),'DRAFT 2'!$S:$S),"")</f>
        <v>0</v>
      </c>
      <c r="AW15" t="s">
        <v>128</v>
      </c>
      <c r="AX15">
        <f>IFERROR(LOOKUP(2,1/('DRAFT 2'!$D:$D=$B15),'DRAFT 2'!$M:$M),"")</f>
        <v>0</v>
      </c>
      <c r="AY15">
        <f>IFERROR(LOOKUP(2,1/('DRAFT 2'!$D:$D=$B15),'DRAFT 2'!$K:$K),"")</f>
        <v>0</v>
      </c>
      <c r="BG15">
        <f>IFERROR(LOOKUP(2,1/('DRAFT 2'!$D:$D=$B15),'DRAFT 2'!$U:$U),"")</f>
        <v>0</v>
      </c>
      <c r="BH15">
        <f>IFERROR(LOOKUP(2,1/('DRAFT 2'!$D:$D=$B15),'DRAFT 2'!$V:$V),"")</f>
        <v>0</v>
      </c>
      <c r="CE15" t="str">
        <f t="shared" si="1"/>
        <v/>
      </c>
      <c r="CF15">
        <f>IFERROR(LOOKUP(2,1/('DRAFT 2'!$D:$D=$B15)*('DRAFT 2'!$A:$A&gt;=DATE(2026,1,1))*('DRAFT 2'!$A:$A&lt;DATE(2026,IF(1=12,1+1,1+1),1)),'DRAFT 2'!$A:$A),"")</f>
        <v>0</v>
      </c>
      <c r="CG15">
        <f>COUNTIFS('DRAFT 2'!$D:$D,$B15,'DRAFT 2'!$A:$A,"&gt;="&amp;DATE(2026,1,1),'DRAFT 2'!$A:$A,"&lt;="&amp;DATE(2026,1,7))</f>
        <v>0</v>
      </c>
      <c r="CH15">
        <f>COUNTIFS('DRAFT 2'!$D:$D,$B15,'DRAFT 2'!$A:$A,"&gt;="&amp;DATE(2026,1,8),'DRAFT 2'!$A:$A,"&lt;="&amp;DATE(2026,1,14))</f>
        <v>0</v>
      </c>
      <c r="CI15">
        <f>COUNTIFS('DRAFT 2'!$D:$D,$B15,'DRAFT 2'!$A:$A,"&gt;="&amp;DATE(2026,1,15),'DRAFT 2'!$A:$A,"&lt;="&amp;DATE(2026,1,21))</f>
        <v>0</v>
      </c>
      <c r="CJ15">
        <f>COUNTIFS('DRAFT 2'!$D:$D,$B15,'DRAFT 2'!$A:$A,"&gt;="&amp;DATE(2026,1,22),'DRAFT 2'!$A:$A,"&lt;"&amp;DATE(2026,IF(1=12,1+1,1+1),1))</f>
        <v>0</v>
      </c>
      <c r="CK15">
        <f t="shared" si="2"/>
        <v>0</v>
      </c>
      <c r="CT15">
        <v>0</v>
      </c>
      <c r="CU15">
        <f>IFERROR(LOOKUP(2,1/('DRAFT 2'!$D:$D=$B15)*('DRAFT 2'!$A:$A&gt;=DATE(2026,2,1))*('DRAFT 2'!$A:$A&lt;DATE(2026,IF(2=12,2+1,2+1),1)),'DRAFT 2'!$A:$A),"")</f>
        <v>0</v>
      </c>
      <c r="CV15">
        <f>COUNTIFS('DRAFT 2'!$D:$D,$B15,'DRAFT 2'!$A:$A,"&gt;="&amp;DATE(2026,2,1),'DRAFT 2'!$A:$A,"&lt;="&amp;DATE(2026,2,7))</f>
        <v>0</v>
      </c>
      <c r="CW15">
        <f>COUNTIFS('DRAFT 2'!$D:$D,$B15,'DRAFT 2'!$A:$A,"&gt;="&amp;DATE(2026,2,8),'DRAFT 2'!$A:$A,"&lt;="&amp;DATE(2026,2,14))</f>
        <v>0</v>
      </c>
      <c r="CX15">
        <f>COUNTIFS('DRAFT 2'!$D:$D,$B15,'DRAFT 2'!$A:$A,"&gt;="&amp;DATE(2026,2,15),'DRAFT 2'!$A:$A,"&lt;="&amp;DATE(2026,2,21))</f>
        <v>0</v>
      </c>
      <c r="CY15">
        <f>COUNTIFS('DRAFT 2'!$D:$D,$B15,'DRAFT 2'!$A:$A,"&gt;="&amp;DATE(2026,2,22),'DRAFT 2'!$A:$A,"&lt;"&amp;DATE(2026,IF(2=12,2+1,2+1),1))</f>
        <v>0</v>
      </c>
      <c r="CZ15">
        <f t="shared" si="3"/>
        <v>0</v>
      </c>
      <c r="DJ15">
        <f>IFERROR(LOOKUP(2,1/('DRAFT 2'!$D:$D=$B15)*('DRAFT 2'!$A:$A&gt;=DATE(2026,3,1))*('DRAFT 2'!$A:$A&lt;DATE(2026,IF(3=12,3+1,3+1),1)),'DRAFT 2'!$A:$A),"")</f>
        <v>0</v>
      </c>
      <c r="DK15">
        <f>COUNTIFS('DRAFT 2'!$D:$D,$B15,'DRAFT 2'!$A:$A,"&gt;="&amp;DATE(2026,3,1),'DRAFT 2'!$A:$A,"&lt;="&amp;DATE(2026,3,7))</f>
        <v>0</v>
      </c>
      <c r="DL15">
        <f>COUNTIFS('DRAFT 2'!$D:$D,$B15,'DRAFT 2'!$A:$A,"&gt;="&amp;DATE(2026,3,8),'DRAFT 2'!$A:$A,"&lt;="&amp;DATE(2026,3,14))</f>
        <v>0</v>
      </c>
      <c r="DM15">
        <f>COUNTIFS('DRAFT 2'!$D:$D,$B15,'DRAFT 2'!$A:$A,"&gt;="&amp;DATE(2026,3,15),'DRAFT 2'!$A:$A,"&lt;="&amp;DATE(2026,3,21))</f>
        <v>0</v>
      </c>
      <c r="DN15">
        <f>COUNTIFS('DRAFT 2'!$D:$D,$B15,'DRAFT 2'!$A:$A,"&gt;="&amp;DATE(2026,3,22),'DRAFT 2'!$A:$A,"&lt;"&amp;DATE(2026,IF(3=12,3+1,3+1),1))</f>
        <v>0</v>
      </c>
      <c r="DO15">
        <f t="shared" si="4"/>
        <v>0</v>
      </c>
      <c r="DZ15">
        <f>IFERROR(LOOKUP(2,1/('DRAFT 2'!$D:$D=$B15)*('DRAFT 2'!$A:$A&gt;=DATE(2026,4,1))*('DRAFT 2'!$A:$A&lt;DATE(2026,IF(4=12,4+1,4+1),1)),'DRAFT 2'!$A:$A),"")</f>
        <v>0</v>
      </c>
      <c r="EA15">
        <f>COUNTIFS('DRAFT 2'!$D:$D,$B15,'DRAFT 2'!$A:$A,"&gt;="&amp;DATE(2026,4,1),'DRAFT 2'!$A:$A,"&lt;="&amp;DATE(2026,4,7))</f>
        <v>0</v>
      </c>
      <c r="EB15">
        <f>COUNTIFS('DRAFT 2'!$D:$D,$B15,'DRAFT 2'!$A:$A,"&gt;="&amp;DATE(2026,4,8),'DRAFT 2'!$A:$A,"&lt;="&amp;DATE(2026,4,14))</f>
        <v>0</v>
      </c>
      <c r="EC15">
        <f>COUNTIFS('DRAFT 2'!$D:$D,$B15,'DRAFT 2'!$A:$A,"&gt;="&amp;DATE(2026,4,15),'DRAFT 2'!$A:$A,"&lt;="&amp;DATE(2026,4,21))</f>
        <v>0</v>
      </c>
      <c r="ED15">
        <f>COUNTIFS('DRAFT 2'!$D:$D,$B15,'DRAFT 2'!$A:$A,"&gt;="&amp;DATE(2026,4,22),'DRAFT 2'!$A:$A,"&lt;"&amp;DATE(2026,IF(4=12,4+1,4+1),1))</f>
        <v>0</v>
      </c>
      <c r="EE15">
        <f t="shared" si="5"/>
        <v>0</v>
      </c>
      <c r="EO15">
        <f>IFERROR(LOOKUP(2,1/('DRAFT 2'!$D:$D=$B15)*('DRAFT 2'!$A:$A&gt;=DATE(2026,5,1))*('DRAFT 2'!$A:$A&lt;DATE(2026,IF(5=12,5+1,5+1),1)),'DRAFT 2'!$A:$A),"")</f>
        <v>0</v>
      </c>
      <c r="EP15">
        <f>COUNTIFS('DRAFT 2'!$D:$D,$B15,'DRAFT 2'!$A:$A,"&gt;="&amp;DATE(2026,5,1),'DRAFT 2'!$A:$A,"&lt;="&amp;DATE(2026,5,7))</f>
        <v>0</v>
      </c>
      <c r="EQ15">
        <f>COUNTIFS('DRAFT 2'!$D:$D,$B15,'DRAFT 2'!$A:$A,"&gt;="&amp;DATE(2026,5,8),'DRAFT 2'!$A:$A,"&lt;="&amp;DATE(2026,5,14))</f>
        <v>0</v>
      </c>
      <c r="ER15">
        <f>COUNTIFS('DRAFT 2'!$D:$D,$B15,'DRAFT 2'!$A:$A,"&gt;="&amp;DATE(2026,5,15),'DRAFT 2'!$A:$A,"&lt;="&amp;DATE(2026,5,21))</f>
        <v>0</v>
      </c>
      <c r="ES15">
        <f>COUNTIFS('DRAFT 2'!$D:$D,$B15,'DRAFT 2'!$A:$A,"&gt;="&amp;DATE(2026,5,22),'DRAFT 2'!$A:$A,"&lt;"&amp;DATE(2026,IF(5=12,5+1,5+1),1))</f>
        <v>0</v>
      </c>
      <c r="ET15">
        <f t="shared" si="6"/>
        <v>0</v>
      </c>
      <c r="FD15">
        <f>IFERROR(LOOKUP(2,1/('DRAFT 2'!$D:$D=$B15)*('DRAFT 2'!$A:$A&gt;=DATE(2026,6,1))*('DRAFT 2'!$A:$A&lt;DATE(2026,IF(6=12,6+1,6+1),1)),'DRAFT 2'!$A:$A),"")</f>
        <v>0</v>
      </c>
      <c r="FE15">
        <f>COUNTIFS('DRAFT 2'!$D:$D,$B15,'DRAFT 2'!$A:$A,"&gt;="&amp;DATE(2026,6,1),'DRAFT 2'!$A:$A,"&lt;="&amp;DATE(2026,6,7))</f>
        <v>0</v>
      </c>
      <c r="FF15">
        <f>COUNTIFS('DRAFT 2'!$D:$D,$B15,'DRAFT 2'!$A:$A,"&gt;="&amp;DATE(2026,6,8),'DRAFT 2'!$A:$A,"&lt;="&amp;DATE(2026,6,14))</f>
        <v>0</v>
      </c>
      <c r="FG15">
        <f>COUNTIFS('DRAFT 2'!$D:$D,$B15,'DRAFT 2'!$A:$A,"&gt;="&amp;DATE(2026,6,15),'DRAFT 2'!$A:$A,"&lt;="&amp;DATE(2026,6,21))</f>
        <v>0</v>
      </c>
      <c r="FH15">
        <f>COUNTIFS('DRAFT 2'!$D:$D,$B15,'DRAFT 2'!$A:$A,"&gt;="&amp;DATE(2026,6,22),'DRAFT 2'!$A:$A,"&lt;"&amp;DATE(2026,IF(6=12,6+1,6+1),1))</f>
        <v>0</v>
      </c>
      <c r="FI15">
        <f t="shared" si="7"/>
        <v>0</v>
      </c>
      <c r="FT15">
        <f>IFERROR(LOOKUP(2,1/('DRAFT 2'!$D:$D=$B15)*('DRAFT 2'!$A:$A&gt;=DATE(2026,7,1))*('DRAFT 2'!$A:$A&lt;DATE(2026,IF(7=12,7+1,7+1),1)),'DRAFT 2'!$A:$A),"")</f>
        <v>0</v>
      </c>
      <c r="FU15">
        <f>COUNTIFS('DRAFT 2'!$D:$D,$B15,'DRAFT 2'!$A:$A,"&gt;="&amp;DATE(2026,7,1),'DRAFT 2'!$A:$A,"&lt;="&amp;DATE(2026,7,7))</f>
        <v>0</v>
      </c>
      <c r="FV15">
        <f>COUNTIFS('DRAFT 2'!$D:$D,$B15,'DRAFT 2'!$A:$A,"&gt;="&amp;DATE(2026,7,8),'DRAFT 2'!$A:$A,"&lt;="&amp;DATE(2026,7,14))</f>
        <v>0</v>
      </c>
      <c r="FW15">
        <f>COUNTIFS('DRAFT 2'!$D:$D,$B15,'DRAFT 2'!$A:$A,"&gt;="&amp;DATE(2026,7,15),'DRAFT 2'!$A:$A,"&lt;="&amp;DATE(2026,7,21))</f>
        <v>0</v>
      </c>
      <c r="FX15">
        <f>COUNTIFS('DRAFT 2'!$D:$D,$B15,'DRAFT 2'!$A:$A,"&gt;="&amp;DATE(2026,7,22),'DRAFT 2'!$A:$A,"&lt;"&amp;DATE(2026,IF(7=12,7+1,7+1),1))</f>
        <v>0</v>
      </c>
      <c r="FY15">
        <f t="shared" si="8"/>
        <v>0</v>
      </c>
      <c r="GI15">
        <f>IFERROR(LOOKUP(2,1/('DRAFT 2'!$D:$D=$B15)*('DRAFT 2'!$A:$A&gt;=DATE(2026,8,1))*('DRAFT 2'!$A:$A&lt;DATE(2026,IF(8=12,8+1,8+1),1)),'DRAFT 2'!$A:$A),"")</f>
        <v>0</v>
      </c>
      <c r="GJ15">
        <f>COUNTIFS('DRAFT 2'!$D:$D,$B15,'DRAFT 2'!$A:$A,"&gt;="&amp;DATE(2026,8,1),'DRAFT 2'!$A:$A,"&lt;="&amp;DATE(2026,8,7))</f>
        <v>0</v>
      </c>
      <c r="GK15">
        <f>COUNTIFS('DRAFT 2'!$D:$D,$B15,'DRAFT 2'!$A:$A,"&gt;="&amp;DATE(2026,8,8),'DRAFT 2'!$A:$A,"&lt;="&amp;DATE(2026,8,14))</f>
        <v>0</v>
      </c>
      <c r="GL15">
        <f>COUNTIFS('DRAFT 2'!$D:$D,$B15,'DRAFT 2'!$A:$A,"&gt;="&amp;DATE(2026,8,15),'DRAFT 2'!$A:$A,"&lt;="&amp;DATE(2026,8,21))</f>
        <v>0</v>
      </c>
      <c r="GM15">
        <f>COUNTIFS('DRAFT 2'!$D:$D,$B15,'DRAFT 2'!$A:$A,"&gt;="&amp;DATE(2026,8,22),'DRAFT 2'!$A:$A,"&lt;"&amp;DATE(2026,IF(8=12,8+1,8+1),1))</f>
        <v>0</v>
      </c>
      <c r="GN15">
        <f t="shared" si="9"/>
        <v>0</v>
      </c>
      <c r="GX15">
        <f>IFERROR(LOOKUP(2,1/('DRAFT 2'!$D:$D=$B15)*('DRAFT 2'!$A:$A&gt;=DATE(2026,9,1))*('DRAFT 2'!$A:$A&lt;DATE(2026,IF(9=12,9+1,9+1),1)),'DRAFT 2'!$A:$A),"")</f>
        <v>0</v>
      </c>
      <c r="GY15">
        <f>COUNTIFS('DRAFT 2'!$D:$D,$B15,'DRAFT 2'!$A:$A,"&gt;="&amp;DATE(2026,9,1),'DRAFT 2'!$A:$A,"&lt;="&amp;DATE(2026,9,7))</f>
        <v>0</v>
      </c>
      <c r="GZ15">
        <f>COUNTIFS('DRAFT 2'!$D:$D,$B15,'DRAFT 2'!$A:$A,"&gt;="&amp;DATE(2026,9,8),'DRAFT 2'!$A:$A,"&lt;="&amp;DATE(2026,9,14))</f>
        <v>0</v>
      </c>
      <c r="HA15">
        <f>COUNTIFS('DRAFT 2'!$D:$D,$B15,'DRAFT 2'!$A:$A,"&gt;="&amp;DATE(2026,9,15),'DRAFT 2'!$A:$A,"&lt;="&amp;DATE(2026,9,21))</f>
        <v>0</v>
      </c>
      <c r="HB15">
        <f>COUNTIFS('DRAFT 2'!$D:$D,$B15,'DRAFT 2'!$A:$A,"&gt;="&amp;DATE(2026,9,22),'DRAFT 2'!$A:$A,"&lt;"&amp;DATE(2026,IF(9=12,9+1,9+1),1))</f>
        <v>0</v>
      </c>
      <c r="HC15">
        <f t="shared" si="10"/>
        <v>0</v>
      </c>
      <c r="HN15">
        <f>IFERROR(LOOKUP(2,1/('DRAFT 2'!$D:$D=$B15)*('DRAFT 2'!$A:$A&gt;=DATE(2026,10,1))*('DRAFT 2'!$A:$A&lt;DATE(2026,IF(10=12,10+1,10+1),1)),'DRAFT 2'!$A:$A),"")</f>
        <v>0</v>
      </c>
      <c r="HO15">
        <f>COUNTIFS('DRAFT 2'!$D:$D,$B15,'DRAFT 2'!$A:$A,"&gt;="&amp;DATE(2026,10,1),'DRAFT 2'!$A:$A,"&lt;="&amp;DATE(2026,10,7))</f>
        <v>0</v>
      </c>
      <c r="HP15">
        <f>COUNTIFS('DRAFT 2'!$D:$D,$B15,'DRAFT 2'!$A:$A,"&gt;="&amp;DATE(2026,10,8),'DRAFT 2'!$A:$A,"&lt;="&amp;DATE(2026,10,14))</f>
        <v>0</v>
      </c>
      <c r="HQ15">
        <f>COUNTIFS('DRAFT 2'!$D:$D,$B15,'DRAFT 2'!$A:$A,"&gt;="&amp;DATE(2026,10,15),'DRAFT 2'!$A:$A,"&lt;="&amp;DATE(2026,10,21))</f>
        <v>0</v>
      </c>
      <c r="HR15">
        <f>COUNTIFS('DRAFT 2'!$D:$D,$B15,'DRAFT 2'!$A:$A,"&gt;="&amp;DATE(2026,10,22),'DRAFT 2'!$A:$A,"&lt;"&amp;DATE(2026,IF(10=12,10+1,10+1),1))</f>
        <v>0</v>
      </c>
      <c r="HS15">
        <f t="shared" si="11"/>
        <v>0</v>
      </c>
      <c r="IC15">
        <f>IFERROR(LOOKUP(2,1/('DRAFT 2'!$D:$D=$B15)*('DRAFT 2'!$A:$A&gt;=DATE(2026,11,1))*('DRAFT 2'!$A:$A&lt;DATE(2026,IF(11=12,11+1,11+1),1)),'DRAFT 2'!$A:$A),"")</f>
        <v>0</v>
      </c>
      <c r="ID15">
        <f>COUNTIFS('DRAFT 2'!$D:$D,$B15,'DRAFT 2'!$A:$A,"&gt;="&amp;DATE(2026,11,1),'DRAFT 2'!$A:$A,"&lt;="&amp;DATE(2026,11,7))</f>
        <v>0</v>
      </c>
      <c r="IE15">
        <f>COUNTIFS('DRAFT 2'!$D:$D,$B15,'DRAFT 2'!$A:$A,"&gt;="&amp;DATE(2026,11,8),'DRAFT 2'!$A:$A,"&lt;="&amp;DATE(2026,11,14))</f>
        <v>0</v>
      </c>
      <c r="IF15">
        <f>COUNTIFS('DRAFT 2'!$D:$D,$B15,'DRAFT 2'!$A:$A,"&gt;="&amp;DATE(2026,11,15),'DRAFT 2'!$A:$A,"&lt;="&amp;DATE(2026,11,21))</f>
        <v>0</v>
      </c>
      <c r="IG15">
        <f>COUNTIFS('DRAFT 2'!$D:$D,$B15,'DRAFT 2'!$A:$A,"&gt;="&amp;DATE(2026,11,22),'DRAFT 2'!$A:$A,"&lt;"&amp;DATE(2026,IF(11=12,11+1,11+1),1))</f>
        <v>0</v>
      </c>
      <c r="IH15">
        <f t="shared" si="12"/>
        <v>0</v>
      </c>
      <c r="IR15">
        <f>IFERROR(LOOKUP(2,1/('DRAFT 2'!$D:$D=$B15)*('DRAFT 2'!$A:$A&gt;=DATE(2026,12,1))*('DRAFT 2'!$A:$A&lt;DATE(2026,IF(12=12,12+1,12+1),1)),'DRAFT 2'!$A:$A),"")</f>
        <v>0</v>
      </c>
      <c r="IS15">
        <f>COUNTIFS('DRAFT 2'!$D:$D,$B15,'DRAFT 2'!$A:$A,"&gt;="&amp;DATE(2026,12,1),'DRAFT 2'!$A:$A,"&lt;="&amp;DATE(2026,12,7))</f>
        <v>0</v>
      </c>
      <c r="IT15">
        <f>COUNTIFS('DRAFT 2'!$D:$D,$B15,'DRAFT 2'!$A:$A,"&gt;="&amp;DATE(2026,12,8),'DRAFT 2'!$A:$A,"&lt;="&amp;DATE(2026,12,14))</f>
        <v>0</v>
      </c>
      <c r="IU15">
        <f>COUNTIFS('DRAFT 2'!$D:$D,$B15,'DRAFT 2'!$A:$A,"&gt;="&amp;DATE(2026,12,15),'DRAFT 2'!$A:$A,"&lt;="&amp;DATE(2026,12,21))</f>
        <v>0</v>
      </c>
      <c r="IV15">
        <f>COUNTIFS('DRAFT 2'!$D:$D,$B15,'DRAFT 2'!$A:$A,"&gt;="&amp;DATE(2026,12,22),'DRAFT 2'!$A:$A,"&lt;"&amp;DATE(2026,IF(12=12,12+1,12+1),1))</f>
        <v>0</v>
      </c>
      <c r="IW15">
        <f t="shared" si="13"/>
        <v>0</v>
      </c>
    </row>
    <row r="16" spans="1:257" x14ac:dyDescent="0.3">
      <c r="A16" t="str">
        <f>IFERROR(INDEX('DRAFT 1'!$A:$A,MATCH($B16,'DRAFT 1'!$B:$B,0)),"")</f>
        <v/>
      </c>
      <c r="C16" t="str">
        <f>IFERROR(INDEX('DRAFT 1'!$C:$C,MATCH($B16,'DRAFT 1'!$B:$B,0)),"")</f>
        <v/>
      </c>
      <c r="D16" t="str">
        <f>IFERROR(INDEX('DRAFT 1'!$D:$D,MATCH($B16,'DRAFT 1'!$B:$B,0)),"")</f>
        <v/>
      </c>
      <c r="E16" t="str">
        <f>IFERROR(INDEX('DRAFT 1'!$E:$E,MATCH($B16,'DRAFT 1'!$B:$B,0)),"")</f>
        <v/>
      </c>
      <c r="F16" t="str">
        <f>IFERROR(INDEX('DRAFT 1'!$F:$F,MATCH($B16,'DRAFT 1'!$B:$B,0)),"")</f>
        <v/>
      </c>
      <c r="G16" t="str">
        <f>IFERROR(INDEX('DRAFT 1'!$G:$G,MATCH($B16,'DRAFT 1'!$B:$B,0)),"")</f>
        <v/>
      </c>
      <c r="H16" t="str">
        <f>IFERROR(INDEX('DRAFT 1'!$H:$H,MATCH($B16,'DRAFT 1'!$B:$B,0)),"")</f>
        <v/>
      </c>
      <c r="I16" t="s">
        <v>297</v>
      </c>
      <c r="K16" t="str">
        <f>IFERROR(INDEX('DRAFT 1'!$AL:$AL,MATCH($B16,'DRAFT 1'!$B:$B,0)),"")</f>
        <v/>
      </c>
      <c r="L16" t="str">
        <f>IFERROR(INDEX('DRAFT 1'!$J:$J,MATCH($B16,'DRAFT 1'!$B:$B,0)),"")</f>
        <v/>
      </c>
      <c r="M16" t="str">
        <f>IFERROR(INDEX('DRAFT 1'!$K:$K,MATCH($B16,'DRAFT 1'!$B:$B,0)),"")</f>
        <v/>
      </c>
      <c r="N16" t="s">
        <v>71</v>
      </c>
      <c r="P16" t="str">
        <f>IFERROR(INDEX('DRAFT 1'!$L:$L,MATCH($B16,'DRAFT 1'!$B:$B,0)),"")</f>
        <v/>
      </c>
      <c r="Q16" t="str">
        <f>IFERROR(INDEX('DRAFT 1'!$M:$M,MATCH($B16,'DRAFT 1'!$B:$B,0)),"")</f>
        <v/>
      </c>
      <c r="R16" t="str">
        <f>IFERROR(INDEX('DRAFT 1'!$N:$N,MATCH($B16,'DRAFT 1'!$B:$B,0)),"")</f>
        <v/>
      </c>
      <c r="S16" t="str">
        <f>IFERROR(INDEX('DRAFT 1'!$O:$O,MATCH($B16,'DRAFT 1'!$B:$B,0)),"")</f>
        <v/>
      </c>
      <c r="T16" t="str">
        <f>IFERROR(INDEX('DRAFT 1'!$P:$P,MATCH($B16,'DRAFT 1'!$B:$B,0)),"")</f>
        <v/>
      </c>
      <c r="U16" t="str">
        <f>IFERROR(INDEX('DRAFT 1'!$Q:$Q,MATCH($B16,'DRAFT 1'!$B:$B,0)),"")</f>
        <v/>
      </c>
      <c r="V16" t="str">
        <f>IFERROR(INDEX('DRAFT 1'!$R:$R,MATCH($B16,'DRAFT 1'!$B:$B,0)),"")</f>
        <v/>
      </c>
      <c r="W16" t="str">
        <f>IFERROR(INDEX('DRAFT 1'!$S:$S,MATCH($B16,'DRAFT 1'!$B:$B,0)),"")</f>
        <v/>
      </c>
      <c r="X16" t="str">
        <f>IFERROR(INDEX('DRAFT 1'!$T:$T,MATCH($B16,'DRAFT 1'!$B:$B,0)),"")</f>
        <v/>
      </c>
      <c r="Z16" t="str">
        <f>IFERROR(INDEX('DRAFT 1'!$U:$U,MATCH($B16,'DRAFT 1'!$B:$B,0)),"")</f>
        <v/>
      </c>
      <c r="AA16" t="str">
        <f>IFERROR(INDEX('DRAFT 1'!$V:$V,MATCH($B16,'DRAFT 1'!$B:$B,0)),"")</f>
        <v/>
      </c>
      <c r="AB16" t="str">
        <f>IFERROR(INDEX('DRAFT 1'!$W:$W,MATCH($B16,'DRAFT 1'!$B:$B,0)),"")</f>
        <v/>
      </c>
      <c r="AC16" t="str">
        <f>IFERROR(INDEX('DRAFT 1'!$X:$X,MATCH($B16,'DRAFT 1'!$B:$B,0)),"")</f>
        <v/>
      </c>
      <c r="AD16" t="str">
        <f>IFERROR(INDEX('DRAFT 1'!$Y:$Y,MATCH($B16,'DRAFT 1'!$B:$B,0)),"")</f>
        <v/>
      </c>
      <c r="AE16" t="str">
        <f>IFERROR(INDEX('DRAFT 1'!$Z:$Z,MATCH($B16,'DRAFT 1'!$B:$B,0)),"")</f>
        <v/>
      </c>
      <c r="AF16" t="str">
        <f>IFERROR(INDEX('DRAFT 1'!$AA:$AA,MATCH($B16,'DRAFT 1'!$B:$B,0)),"")</f>
        <v/>
      </c>
      <c r="AG16" t="str">
        <f>IFERROR(INDEX('DRAFT 1'!$AB:$AB,MATCH($B16,'DRAFT 1'!$B:$B,0)),"")</f>
        <v/>
      </c>
      <c r="AH16" t="str">
        <f>IFERROR(INDEX('DRAFT 1'!$AC:$AC,MATCH($B16,'DRAFT 1'!$B:$B,0)),"")</f>
        <v/>
      </c>
      <c r="AI16" t="str">
        <f>IFERROR(INDEX('DRAFT 1'!$AD:$AD,MATCH($B16,'DRAFT 1'!$B:$B,0)),"")</f>
        <v/>
      </c>
      <c r="AJ16" t="str">
        <f>IFERROR(INDEX('DRAFT 1'!$AE:$AE,MATCH($B16,'DRAFT 1'!$B:$B,0)),"")</f>
        <v/>
      </c>
      <c r="AK16" t="str">
        <f>IFERROR(INDEX('DRAFT 1'!$AG:$AG,MATCH($B16,'DRAFT 1'!$B:$B,0)),"")</f>
        <v/>
      </c>
      <c r="AL16" t="str">
        <f>IFERROR(INDEX('DRAFT 1'!$AH:$AH,MATCH($B16,'DRAFT 1'!$B:$B,0)),"")</f>
        <v/>
      </c>
      <c r="AM16" t="str">
        <f>IFERROR(INDEX('DRAFT 1'!$AI:$AI,MATCH($B16,'DRAFT 1'!$B:$B,0)),"")</f>
        <v/>
      </c>
      <c r="AN16" t="str">
        <f>IFERROR(INDEX('DRAFT 1'!$AJ:$AJ,MATCH($B16,'DRAFT 1'!$B:$B,0)),"")</f>
        <v/>
      </c>
      <c r="AO16">
        <f t="shared" si="0"/>
        <v>0</v>
      </c>
      <c r="AP16" t="str">
        <f>IFERROR(INDEX('DRAFT 1'!$AK:$AK,MATCH($B16,'DRAFT 1'!$B:$B,0)),"")</f>
        <v/>
      </c>
      <c r="AR16" t="s">
        <v>33</v>
      </c>
      <c r="AS16">
        <f>IFERROR(LOOKUP(2,1/('DRAFT 2'!$D:$D=$B16),'DRAFT 2'!$T:$T),"")</f>
        <v>0</v>
      </c>
      <c r="AT16">
        <f>IFERROR(LOOKUP(2,1/('DRAFT 2'!$D:$D=$B16),'DRAFT 2'!$A:$A),"")</f>
        <v>0</v>
      </c>
      <c r="AU16">
        <f>IFERROR(LOOKUP(2,1/('DRAFT 2'!$D:$D=$B16),'DRAFT 2'!$R:$R),"")</f>
        <v>0</v>
      </c>
      <c r="AV16">
        <f>IFERROR(LOOKUP(2,1/('DRAFT 2'!$D:$D=$B16),'DRAFT 2'!$S:$S),"")</f>
        <v>0</v>
      </c>
      <c r="AW16" t="s">
        <v>82</v>
      </c>
      <c r="AX16">
        <f>IFERROR(LOOKUP(2,1/('DRAFT 2'!$D:$D=$B16),'DRAFT 2'!$M:$M),"")</f>
        <v>0</v>
      </c>
      <c r="AY16">
        <f>IFERROR(LOOKUP(2,1/('DRAFT 2'!$D:$D=$B16),'DRAFT 2'!$K:$K),"")</f>
        <v>0</v>
      </c>
      <c r="BG16">
        <f>IFERROR(LOOKUP(2,1/('DRAFT 2'!$D:$D=$B16),'DRAFT 2'!$U:$U),"")</f>
        <v>0</v>
      </c>
      <c r="BH16">
        <f>IFERROR(LOOKUP(2,1/('DRAFT 2'!$D:$D=$B16),'DRAFT 2'!$V:$V),"")</f>
        <v>0</v>
      </c>
      <c r="CE16" t="str">
        <f t="shared" si="1"/>
        <v/>
      </c>
      <c r="CF16">
        <f>IFERROR(LOOKUP(2,1/('DRAFT 2'!$D:$D=$B16)*('DRAFT 2'!$A:$A&gt;=DATE(2026,1,1))*('DRAFT 2'!$A:$A&lt;DATE(2026,IF(1=12,1+1,1+1),1)),'DRAFT 2'!$A:$A),"")</f>
        <v>0</v>
      </c>
      <c r="CG16">
        <f>COUNTIFS('DRAFT 2'!$D:$D,$B16,'DRAFT 2'!$A:$A,"&gt;="&amp;DATE(2026,1,1),'DRAFT 2'!$A:$A,"&lt;="&amp;DATE(2026,1,7))</f>
        <v>0</v>
      </c>
      <c r="CH16">
        <f>COUNTIFS('DRAFT 2'!$D:$D,$B16,'DRAFT 2'!$A:$A,"&gt;="&amp;DATE(2026,1,8),'DRAFT 2'!$A:$A,"&lt;="&amp;DATE(2026,1,14))</f>
        <v>0</v>
      </c>
      <c r="CI16">
        <f>COUNTIFS('DRAFT 2'!$D:$D,$B16,'DRAFT 2'!$A:$A,"&gt;="&amp;DATE(2026,1,15),'DRAFT 2'!$A:$A,"&lt;="&amp;DATE(2026,1,21))</f>
        <v>0</v>
      </c>
      <c r="CJ16">
        <f>COUNTIFS('DRAFT 2'!$D:$D,$B16,'DRAFT 2'!$A:$A,"&gt;="&amp;DATE(2026,1,22),'DRAFT 2'!$A:$A,"&lt;"&amp;DATE(2026,IF(1=12,1+1,1+1),1))</f>
        <v>0</v>
      </c>
      <c r="CK16">
        <f t="shared" si="2"/>
        <v>0</v>
      </c>
      <c r="CT16">
        <v>0</v>
      </c>
      <c r="CU16">
        <f>IFERROR(LOOKUP(2,1/('DRAFT 2'!$D:$D=$B16)*('DRAFT 2'!$A:$A&gt;=DATE(2026,2,1))*('DRAFT 2'!$A:$A&lt;DATE(2026,IF(2=12,2+1,2+1),1)),'DRAFT 2'!$A:$A),"")</f>
        <v>0</v>
      </c>
      <c r="CV16">
        <f>COUNTIFS('DRAFT 2'!$D:$D,$B16,'DRAFT 2'!$A:$A,"&gt;="&amp;DATE(2026,2,1),'DRAFT 2'!$A:$A,"&lt;="&amp;DATE(2026,2,7))</f>
        <v>0</v>
      </c>
      <c r="CW16">
        <f>COUNTIFS('DRAFT 2'!$D:$D,$B16,'DRAFT 2'!$A:$A,"&gt;="&amp;DATE(2026,2,8),'DRAFT 2'!$A:$A,"&lt;="&amp;DATE(2026,2,14))</f>
        <v>0</v>
      </c>
      <c r="CX16">
        <f>COUNTIFS('DRAFT 2'!$D:$D,$B16,'DRAFT 2'!$A:$A,"&gt;="&amp;DATE(2026,2,15),'DRAFT 2'!$A:$A,"&lt;="&amp;DATE(2026,2,21))</f>
        <v>0</v>
      </c>
      <c r="CY16">
        <f>COUNTIFS('DRAFT 2'!$D:$D,$B16,'DRAFT 2'!$A:$A,"&gt;="&amp;DATE(2026,2,22),'DRAFT 2'!$A:$A,"&lt;"&amp;DATE(2026,IF(2=12,2+1,2+1),1))</f>
        <v>0</v>
      </c>
      <c r="CZ16">
        <f t="shared" si="3"/>
        <v>0</v>
      </c>
      <c r="DJ16">
        <f>IFERROR(LOOKUP(2,1/('DRAFT 2'!$D:$D=$B16)*('DRAFT 2'!$A:$A&gt;=DATE(2026,3,1))*('DRAFT 2'!$A:$A&lt;DATE(2026,IF(3=12,3+1,3+1),1)),'DRAFT 2'!$A:$A),"")</f>
        <v>0</v>
      </c>
      <c r="DK16">
        <f>COUNTIFS('DRAFT 2'!$D:$D,$B16,'DRAFT 2'!$A:$A,"&gt;="&amp;DATE(2026,3,1),'DRAFT 2'!$A:$A,"&lt;="&amp;DATE(2026,3,7))</f>
        <v>0</v>
      </c>
      <c r="DL16">
        <f>COUNTIFS('DRAFT 2'!$D:$D,$B16,'DRAFT 2'!$A:$A,"&gt;="&amp;DATE(2026,3,8),'DRAFT 2'!$A:$A,"&lt;="&amp;DATE(2026,3,14))</f>
        <v>0</v>
      </c>
      <c r="DM16">
        <f>COUNTIFS('DRAFT 2'!$D:$D,$B16,'DRAFT 2'!$A:$A,"&gt;="&amp;DATE(2026,3,15),'DRAFT 2'!$A:$A,"&lt;="&amp;DATE(2026,3,21))</f>
        <v>0</v>
      </c>
      <c r="DN16">
        <f>COUNTIFS('DRAFT 2'!$D:$D,$B16,'DRAFT 2'!$A:$A,"&gt;="&amp;DATE(2026,3,22),'DRAFT 2'!$A:$A,"&lt;"&amp;DATE(2026,IF(3=12,3+1,3+1),1))</f>
        <v>0</v>
      </c>
      <c r="DO16">
        <f t="shared" si="4"/>
        <v>0</v>
      </c>
      <c r="DZ16">
        <f>IFERROR(LOOKUP(2,1/('DRAFT 2'!$D:$D=$B16)*('DRAFT 2'!$A:$A&gt;=DATE(2026,4,1))*('DRAFT 2'!$A:$A&lt;DATE(2026,IF(4=12,4+1,4+1),1)),'DRAFT 2'!$A:$A),"")</f>
        <v>0</v>
      </c>
      <c r="EA16">
        <f>COUNTIFS('DRAFT 2'!$D:$D,$B16,'DRAFT 2'!$A:$A,"&gt;="&amp;DATE(2026,4,1),'DRAFT 2'!$A:$A,"&lt;="&amp;DATE(2026,4,7))</f>
        <v>0</v>
      </c>
      <c r="EB16">
        <f>COUNTIFS('DRAFT 2'!$D:$D,$B16,'DRAFT 2'!$A:$A,"&gt;="&amp;DATE(2026,4,8),'DRAFT 2'!$A:$A,"&lt;="&amp;DATE(2026,4,14))</f>
        <v>0</v>
      </c>
      <c r="EC16">
        <f>COUNTIFS('DRAFT 2'!$D:$D,$B16,'DRAFT 2'!$A:$A,"&gt;="&amp;DATE(2026,4,15),'DRAFT 2'!$A:$A,"&lt;="&amp;DATE(2026,4,21))</f>
        <v>0</v>
      </c>
      <c r="ED16">
        <f>COUNTIFS('DRAFT 2'!$D:$D,$B16,'DRAFT 2'!$A:$A,"&gt;="&amp;DATE(2026,4,22),'DRAFT 2'!$A:$A,"&lt;"&amp;DATE(2026,IF(4=12,4+1,4+1),1))</f>
        <v>0</v>
      </c>
      <c r="EE16">
        <f t="shared" si="5"/>
        <v>0</v>
      </c>
      <c r="EO16">
        <f>IFERROR(LOOKUP(2,1/('DRAFT 2'!$D:$D=$B16)*('DRAFT 2'!$A:$A&gt;=DATE(2026,5,1))*('DRAFT 2'!$A:$A&lt;DATE(2026,IF(5=12,5+1,5+1),1)),'DRAFT 2'!$A:$A),"")</f>
        <v>0</v>
      </c>
      <c r="EP16">
        <f>COUNTIFS('DRAFT 2'!$D:$D,$B16,'DRAFT 2'!$A:$A,"&gt;="&amp;DATE(2026,5,1),'DRAFT 2'!$A:$A,"&lt;="&amp;DATE(2026,5,7))</f>
        <v>0</v>
      </c>
      <c r="EQ16">
        <f>COUNTIFS('DRAFT 2'!$D:$D,$B16,'DRAFT 2'!$A:$A,"&gt;="&amp;DATE(2026,5,8),'DRAFT 2'!$A:$A,"&lt;="&amp;DATE(2026,5,14))</f>
        <v>0</v>
      </c>
      <c r="ER16">
        <f>COUNTIFS('DRAFT 2'!$D:$D,$B16,'DRAFT 2'!$A:$A,"&gt;="&amp;DATE(2026,5,15),'DRAFT 2'!$A:$A,"&lt;="&amp;DATE(2026,5,21))</f>
        <v>0</v>
      </c>
      <c r="ES16">
        <f>COUNTIFS('DRAFT 2'!$D:$D,$B16,'DRAFT 2'!$A:$A,"&gt;="&amp;DATE(2026,5,22),'DRAFT 2'!$A:$A,"&lt;"&amp;DATE(2026,IF(5=12,5+1,5+1),1))</f>
        <v>0</v>
      </c>
      <c r="ET16">
        <f t="shared" si="6"/>
        <v>0</v>
      </c>
      <c r="FD16">
        <f>IFERROR(LOOKUP(2,1/('DRAFT 2'!$D:$D=$B16)*('DRAFT 2'!$A:$A&gt;=DATE(2026,6,1))*('DRAFT 2'!$A:$A&lt;DATE(2026,IF(6=12,6+1,6+1),1)),'DRAFT 2'!$A:$A),"")</f>
        <v>0</v>
      </c>
      <c r="FE16">
        <f>COUNTIFS('DRAFT 2'!$D:$D,$B16,'DRAFT 2'!$A:$A,"&gt;="&amp;DATE(2026,6,1),'DRAFT 2'!$A:$A,"&lt;="&amp;DATE(2026,6,7))</f>
        <v>0</v>
      </c>
      <c r="FF16">
        <f>COUNTIFS('DRAFT 2'!$D:$D,$B16,'DRAFT 2'!$A:$A,"&gt;="&amp;DATE(2026,6,8),'DRAFT 2'!$A:$A,"&lt;="&amp;DATE(2026,6,14))</f>
        <v>0</v>
      </c>
      <c r="FG16">
        <f>COUNTIFS('DRAFT 2'!$D:$D,$B16,'DRAFT 2'!$A:$A,"&gt;="&amp;DATE(2026,6,15),'DRAFT 2'!$A:$A,"&lt;="&amp;DATE(2026,6,21))</f>
        <v>0</v>
      </c>
      <c r="FH16">
        <f>COUNTIFS('DRAFT 2'!$D:$D,$B16,'DRAFT 2'!$A:$A,"&gt;="&amp;DATE(2026,6,22),'DRAFT 2'!$A:$A,"&lt;"&amp;DATE(2026,IF(6=12,6+1,6+1),1))</f>
        <v>0</v>
      </c>
      <c r="FI16">
        <f t="shared" si="7"/>
        <v>0</v>
      </c>
      <c r="FT16">
        <f>IFERROR(LOOKUP(2,1/('DRAFT 2'!$D:$D=$B16)*('DRAFT 2'!$A:$A&gt;=DATE(2026,7,1))*('DRAFT 2'!$A:$A&lt;DATE(2026,IF(7=12,7+1,7+1),1)),'DRAFT 2'!$A:$A),"")</f>
        <v>0</v>
      </c>
      <c r="FU16">
        <f>COUNTIFS('DRAFT 2'!$D:$D,$B16,'DRAFT 2'!$A:$A,"&gt;="&amp;DATE(2026,7,1),'DRAFT 2'!$A:$A,"&lt;="&amp;DATE(2026,7,7))</f>
        <v>0</v>
      </c>
      <c r="FV16">
        <f>COUNTIFS('DRAFT 2'!$D:$D,$B16,'DRAFT 2'!$A:$A,"&gt;="&amp;DATE(2026,7,8),'DRAFT 2'!$A:$A,"&lt;="&amp;DATE(2026,7,14))</f>
        <v>0</v>
      </c>
      <c r="FW16">
        <f>COUNTIFS('DRAFT 2'!$D:$D,$B16,'DRAFT 2'!$A:$A,"&gt;="&amp;DATE(2026,7,15),'DRAFT 2'!$A:$A,"&lt;="&amp;DATE(2026,7,21))</f>
        <v>0</v>
      </c>
      <c r="FX16">
        <f>COUNTIFS('DRAFT 2'!$D:$D,$B16,'DRAFT 2'!$A:$A,"&gt;="&amp;DATE(2026,7,22),'DRAFT 2'!$A:$A,"&lt;"&amp;DATE(2026,IF(7=12,7+1,7+1),1))</f>
        <v>0</v>
      </c>
      <c r="FY16">
        <f t="shared" si="8"/>
        <v>0</v>
      </c>
      <c r="GI16">
        <f>IFERROR(LOOKUP(2,1/('DRAFT 2'!$D:$D=$B16)*('DRAFT 2'!$A:$A&gt;=DATE(2026,8,1))*('DRAFT 2'!$A:$A&lt;DATE(2026,IF(8=12,8+1,8+1),1)),'DRAFT 2'!$A:$A),"")</f>
        <v>0</v>
      </c>
      <c r="GJ16">
        <f>COUNTIFS('DRAFT 2'!$D:$D,$B16,'DRAFT 2'!$A:$A,"&gt;="&amp;DATE(2026,8,1),'DRAFT 2'!$A:$A,"&lt;="&amp;DATE(2026,8,7))</f>
        <v>0</v>
      </c>
      <c r="GK16">
        <f>COUNTIFS('DRAFT 2'!$D:$D,$B16,'DRAFT 2'!$A:$A,"&gt;="&amp;DATE(2026,8,8),'DRAFT 2'!$A:$A,"&lt;="&amp;DATE(2026,8,14))</f>
        <v>0</v>
      </c>
      <c r="GL16">
        <f>COUNTIFS('DRAFT 2'!$D:$D,$B16,'DRAFT 2'!$A:$A,"&gt;="&amp;DATE(2026,8,15),'DRAFT 2'!$A:$A,"&lt;="&amp;DATE(2026,8,21))</f>
        <v>0</v>
      </c>
      <c r="GM16">
        <f>COUNTIFS('DRAFT 2'!$D:$D,$B16,'DRAFT 2'!$A:$A,"&gt;="&amp;DATE(2026,8,22),'DRAFT 2'!$A:$A,"&lt;"&amp;DATE(2026,IF(8=12,8+1,8+1),1))</f>
        <v>0</v>
      </c>
      <c r="GN16">
        <f t="shared" si="9"/>
        <v>0</v>
      </c>
      <c r="GX16">
        <f>IFERROR(LOOKUP(2,1/('DRAFT 2'!$D:$D=$B16)*('DRAFT 2'!$A:$A&gt;=DATE(2026,9,1))*('DRAFT 2'!$A:$A&lt;DATE(2026,IF(9=12,9+1,9+1),1)),'DRAFT 2'!$A:$A),"")</f>
        <v>0</v>
      </c>
      <c r="GY16">
        <f>COUNTIFS('DRAFT 2'!$D:$D,$B16,'DRAFT 2'!$A:$A,"&gt;="&amp;DATE(2026,9,1),'DRAFT 2'!$A:$A,"&lt;="&amp;DATE(2026,9,7))</f>
        <v>0</v>
      </c>
      <c r="GZ16">
        <f>COUNTIFS('DRAFT 2'!$D:$D,$B16,'DRAFT 2'!$A:$A,"&gt;="&amp;DATE(2026,9,8),'DRAFT 2'!$A:$A,"&lt;="&amp;DATE(2026,9,14))</f>
        <v>0</v>
      </c>
      <c r="HA16">
        <f>COUNTIFS('DRAFT 2'!$D:$D,$B16,'DRAFT 2'!$A:$A,"&gt;="&amp;DATE(2026,9,15),'DRAFT 2'!$A:$A,"&lt;="&amp;DATE(2026,9,21))</f>
        <v>0</v>
      </c>
      <c r="HB16">
        <f>COUNTIFS('DRAFT 2'!$D:$D,$B16,'DRAFT 2'!$A:$A,"&gt;="&amp;DATE(2026,9,22),'DRAFT 2'!$A:$A,"&lt;"&amp;DATE(2026,IF(9=12,9+1,9+1),1))</f>
        <v>0</v>
      </c>
      <c r="HC16">
        <f t="shared" si="10"/>
        <v>0</v>
      </c>
      <c r="HN16">
        <f>IFERROR(LOOKUP(2,1/('DRAFT 2'!$D:$D=$B16)*('DRAFT 2'!$A:$A&gt;=DATE(2026,10,1))*('DRAFT 2'!$A:$A&lt;DATE(2026,IF(10=12,10+1,10+1),1)),'DRAFT 2'!$A:$A),"")</f>
        <v>0</v>
      </c>
      <c r="HO16">
        <f>COUNTIFS('DRAFT 2'!$D:$D,$B16,'DRAFT 2'!$A:$A,"&gt;="&amp;DATE(2026,10,1),'DRAFT 2'!$A:$A,"&lt;="&amp;DATE(2026,10,7))</f>
        <v>0</v>
      </c>
      <c r="HP16">
        <f>COUNTIFS('DRAFT 2'!$D:$D,$B16,'DRAFT 2'!$A:$A,"&gt;="&amp;DATE(2026,10,8),'DRAFT 2'!$A:$A,"&lt;="&amp;DATE(2026,10,14))</f>
        <v>0</v>
      </c>
      <c r="HQ16">
        <f>COUNTIFS('DRAFT 2'!$D:$D,$B16,'DRAFT 2'!$A:$A,"&gt;="&amp;DATE(2026,10,15),'DRAFT 2'!$A:$A,"&lt;="&amp;DATE(2026,10,21))</f>
        <v>0</v>
      </c>
      <c r="HR16">
        <f>COUNTIFS('DRAFT 2'!$D:$D,$B16,'DRAFT 2'!$A:$A,"&gt;="&amp;DATE(2026,10,22),'DRAFT 2'!$A:$A,"&lt;"&amp;DATE(2026,IF(10=12,10+1,10+1),1))</f>
        <v>0</v>
      </c>
      <c r="HS16">
        <f t="shared" si="11"/>
        <v>0</v>
      </c>
      <c r="IC16">
        <f>IFERROR(LOOKUP(2,1/('DRAFT 2'!$D:$D=$B16)*('DRAFT 2'!$A:$A&gt;=DATE(2026,11,1))*('DRAFT 2'!$A:$A&lt;DATE(2026,IF(11=12,11+1,11+1),1)),'DRAFT 2'!$A:$A),"")</f>
        <v>0</v>
      </c>
      <c r="ID16">
        <f>COUNTIFS('DRAFT 2'!$D:$D,$B16,'DRAFT 2'!$A:$A,"&gt;="&amp;DATE(2026,11,1),'DRAFT 2'!$A:$A,"&lt;="&amp;DATE(2026,11,7))</f>
        <v>0</v>
      </c>
      <c r="IE16">
        <f>COUNTIFS('DRAFT 2'!$D:$D,$B16,'DRAFT 2'!$A:$A,"&gt;="&amp;DATE(2026,11,8),'DRAFT 2'!$A:$A,"&lt;="&amp;DATE(2026,11,14))</f>
        <v>0</v>
      </c>
      <c r="IF16">
        <f>COUNTIFS('DRAFT 2'!$D:$D,$B16,'DRAFT 2'!$A:$A,"&gt;="&amp;DATE(2026,11,15),'DRAFT 2'!$A:$A,"&lt;="&amp;DATE(2026,11,21))</f>
        <v>0</v>
      </c>
      <c r="IG16">
        <f>COUNTIFS('DRAFT 2'!$D:$D,$B16,'DRAFT 2'!$A:$A,"&gt;="&amp;DATE(2026,11,22),'DRAFT 2'!$A:$A,"&lt;"&amp;DATE(2026,IF(11=12,11+1,11+1),1))</f>
        <v>0</v>
      </c>
      <c r="IH16">
        <f t="shared" si="12"/>
        <v>0</v>
      </c>
      <c r="IR16">
        <f>IFERROR(LOOKUP(2,1/('DRAFT 2'!$D:$D=$B16)*('DRAFT 2'!$A:$A&gt;=DATE(2026,12,1))*('DRAFT 2'!$A:$A&lt;DATE(2026,IF(12=12,12+1,12+1),1)),'DRAFT 2'!$A:$A),"")</f>
        <v>0</v>
      </c>
      <c r="IS16">
        <f>COUNTIFS('DRAFT 2'!$D:$D,$B16,'DRAFT 2'!$A:$A,"&gt;="&amp;DATE(2026,12,1),'DRAFT 2'!$A:$A,"&lt;="&amp;DATE(2026,12,7))</f>
        <v>0</v>
      </c>
      <c r="IT16">
        <f>COUNTIFS('DRAFT 2'!$D:$D,$B16,'DRAFT 2'!$A:$A,"&gt;="&amp;DATE(2026,12,8),'DRAFT 2'!$A:$A,"&lt;="&amp;DATE(2026,12,14))</f>
        <v>0</v>
      </c>
      <c r="IU16">
        <f>COUNTIFS('DRAFT 2'!$D:$D,$B16,'DRAFT 2'!$A:$A,"&gt;="&amp;DATE(2026,12,15),'DRAFT 2'!$A:$A,"&lt;="&amp;DATE(2026,12,21))</f>
        <v>0</v>
      </c>
      <c r="IV16">
        <f>COUNTIFS('DRAFT 2'!$D:$D,$B16,'DRAFT 2'!$A:$A,"&gt;="&amp;DATE(2026,12,22),'DRAFT 2'!$A:$A,"&lt;"&amp;DATE(2026,IF(12=12,12+1,12+1),1))</f>
        <v>0</v>
      </c>
      <c r="IW16">
        <f t="shared" si="13"/>
        <v>0</v>
      </c>
    </row>
    <row r="17" spans="1:257" x14ac:dyDescent="0.3">
      <c r="A17" t="str">
        <f>IFERROR(INDEX('DRAFT 1'!$A:$A,MATCH($B17,'DRAFT 1'!$B:$B,0)),"")</f>
        <v/>
      </c>
      <c r="C17" t="str">
        <f>IFERROR(INDEX('DRAFT 1'!$C:$C,MATCH($B17,'DRAFT 1'!$B:$B,0)),"")</f>
        <v/>
      </c>
      <c r="D17" t="str">
        <f>IFERROR(INDEX('DRAFT 1'!$D:$D,MATCH($B17,'DRAFT 1'!$B:$B,0)),"")</f>
        <v/>
      </c>
      <c r="E17" t="str">
        <f>IFERROR(INDEX('DRAFT 1'!$E:$E,MATCH($B17,'DRAFT 1'!$B:$B,0)),"")</f>
        <v/>
      </c>
      <c r="F17" t="str">
        <f>IFERROR(INDEX('DRAFT 1'!$F:$F,MATCH($B17,'DRAFT 1'!$B:$B,0)),"")</f>
        <v/>
      </c>
      <c r="G17" t="str">
        <f>IFERROR(INDEX('DRAFT 1'!$G:$G,MATCH($B17,'DRAFT 1'!$B:$B,0)),"")</f>
        <v/>
      </c>
      <c r="H17" t="str">
        <f>IFERROR(INDEX('DRAFT 1'!$H:$H,MATCH($B17,'DRAFT 1'!$B:$B,0)),"")</f>
        <v/>
      </c>
      <c r="I17" t="s">
        <v>295</v>
      </c>
      <c r="K17" t="str">
        <f>IFERROR(INDEX('DRAFT 1'!$AL:$AL,MATCH($B17,'DRAFT 1'!$B:$B,0)),"")</f>
        <v/>
      </c>
      <c r="L17" t="str">
        <f>IFERROR(INDEX('DRAFT 1'!$J:$J,MATCH($B17,'DRAFT 1'!$B:$B,0)),"")</f>
        <v/>
      </c>
      <c r="M17" t="str">
        <f>IFERROR(INDEX('DRAFT 1'!$K:$K,MATCH($B17,'DRAFT 1'!$B:$B,0)),"")</f>
        <v/>
      </c>
      <c r="N17" t="s">
        <v>82</v>
      </c>
      <c r="P17" t="str">
        <f>IFERROR(INDEX('DRAFT 1'!$L:$L,MATCH($B17,'DRAFT 1'!$B:$B,0)),"")</f>
        <v/>
      </c>
      <c r="Q17" t="str">
        <f>IFERROR(INDEX('DRAFT 1'!$M:$M,MATCH($B17,'DRAFT 1'!$B:$B,0)),"")</f>
        <v/>
      </c>
      <c r="R17" t="str">
        <f>IFERROR(INDEX('DRAFT 1'!$N:$N,MATCH($B17,'DRAFT 1'!$B:$B,0)),"")</f>
        <v/>
      </c>
      <c r="S17" t="str">
        <f>IFERROR(INDEX('DRAFT 1'!$O:$O,MATCH($B17,'DRAFT 1'!$B:$B,0)),"")</f>
        <v/>
      </c>
      <c r="T17" t="str">
        <f>IFERROR(INDEX('DRAFT 1'!$P:$P,MATCH($B17,'DRAFT 1'!$B:$B,0)),"")</f>
        <v/>
      </c>
      <c r="U17" t="str">
        <f>IFERROR(INDEX('DRAFT 1'!$Q:$Q,MATCH($B17,'DRAFT 1'!$B:$B,0)),"")</f>
        <v/>
      </c>
      <c r="V17" t="str">
        <f>IFERROR(INDEX('DRAFT 1'!$R:$R,MATCH($B17,'DRAFT 1'!$B:$B,0)),"")</f>
        <v/>
      </c>
      <c r="W17" t="str">
        <f>IFERROR(INDEX('DRAFT 1'!$S:$S,MATCH($B17,'DRAFT 1'!$B:$B,0)),"")</f>
        <v/>
      </c>
      <c r="X17" t="str">
        <f>IFERROR(INDEX('DRAFT 1'!$T:$T,MATCH($B17,'DRAFT 1'!$B:$B,0)),"")</f>
        <v/>
      </c>
      <c r="Z17" t="str">
        <f>IFERROR(INDEX('DRAFT 1'!$U:$U,MATCH($B17,'DRAFT 1'!$B:$B,0)),"")</f>
        <v/>
      </c>
      <c r="AA17" t="str">
        <f>IFERROR(INDEX('DRAFT 1'!$V:$V,MATCH($B17,'DRAFT 1'!$B:$B,0)),"")</f>
        <v/>
      </c>
      <c r="AB17" t="str">
        <f>IFERROR(INDEX('DRAFT 1'!$W:$W,MATCH($B17,'DRAFT 1'!$B:$B,0)),"")</f>
        <v/>
      </c>
      <c r="AC17" t="str">
        <f>IFERROR(INDEX('DRAFT 1'!$X:$X,MATCH($B17,'DRAFT 1'!$B:$B,0)),"")</f>
        <v/>
      </c>
      <c r="AD17" t="str">
        <f>IFERROR(INDEX('DRAFT 1'!$Y:$Y,MATCH($B17,'DRAFT 1'!$B:$B,0)),"")</f>
        <v/>
      </c>
      <c r="AE17" t="str">
        <f>IFERROR(INDEX('DRAFT 1'!$Z:$Z,MATCH($B17,'DRAFT 1'!$B:$B,0)),"")</f>
        <v/>
      </c>
      <c r="AF17" t="str">
        <f>IFERROR(INDEX('DRAFT 1'!$AA:$AA,MATCH($B17,'DRAFT 1'!$B:$B,0)),"")</f>
        <v/>
      </c>
      <c r="AG17" t="str">
        <f>IFERROR(INDEX('DRAFT 1'!$AB:$AB,MATCH($B17,'DRAFT 1'!$B:$B,0)),"")</f>
        <v/>
      </c>
      <c r="AH17" t="str">
        <f>IFERROR(INDEX('DRAFT 1'!$AC:$AC,MATCH($B17,'DRAFT 1'!$B:$B,0)),"")</f>
        <v/>
      </c>
      <c r="AI17" t="str">
        <f>IFERROR(INDEX('DRAFT 1'!$AD:$AD,MATCH($B17,'DRAFT 1'!$B:$B,0)),"")</f>
        <v/>
      </c>
      <c r="AJ17" t="str">
        <f>IFERROR(INDEX('DRAFT 1'!$AE:$AE,MATCH($B17,'DRAFT 1'!$B:$B,0)),"")</f>
        <v/>
      </c>
      <c r="AK17" t="str">
        <f>IFERROR(INDEX('DRAFT 1'!$AG:$AG,MATCH($B17,'DRAFT 1'!$B:$B,0)),"")</f>
        <v/>
      </c>
      <c r="AL17" t="str">
        <f>IFERROR(INDEX('DRAFT 1'!$AH:$AH,MATCH($B17,'DRAFT 1'!$B:$B,0)),"")</f>
        <v/>
      </c>
      <c r="AM17" t="str">
        <f>IFERROR(INDEX('DRAFT 1'!$AI:$AI,MATCH($B17,'DRAFT 1'!$B:$B,0)),"")</f>
        <v/>
      </c>
      <c r="AN17" t="str">
        <f>IFERROR(INDEX('DRAFT 1'!$AJ:$AJ,MATCH($B17,'DRAFT 1'!$B:$B,0)),"")</f>
        <v/>
      </c>
      <c r="AO17">
        <f t="shared" si="0"/>
        <v>0</v>
      </c>
      <c r="AP17" t="str">
        <f>IFERROR(INDEX('DRAFT 1'!$AK:$AK,MATCH($B17,'DRAFT 1'!$B:$B,0)),"")</f>
        <v/>
      </c>
      <c r="AR17" t="s">
        <v>92</v>
      </c>
      <c r="AS17">
        <f>IFERROR(LOOKUP(2,1/('DRAFT 2'!$D:$D=$B17),'DRAFT 2'!$T:$T),"")</f>
        <v>0</v>
      </c>
      <c r="AT17">
        <f>IFERROR(LOOKUP(2,1/('DRAFT 2'!$D:$D=$B17),'DRAFT 2'!$A:$A),"")</f>
        <v>0</v>
      </c>
      <c r="AU17">
        <f>IFERROR(LOOKUP(2,1/('DRAFT 2'!$D:$D=$B17),'DRAFT 2'!$R:$R),"")</f>
        <v>0</v>
      </c>
      <c r="AV17">
        <f>IFERROR(LOOKUP(2,1/('DRAFT 2'!$D:$D=$B17),'DRAFT 2'!$S:$S),"")</f>
        <v>0</v>
      </c>
      <c r="AW17" t="s">
        <v>126</v>
      </c>
      <c r="AX17">
        <f>IFERROR(LOOKUP(2,1/('DRAFT 2'!$D:$D=$B17),'DRAFT 2'!$M:$M),"")</f>
        <v>0</v>
      </c>
      <c r="AY17">
        <f>IFERROR(LOOKUP(2,1/('DRAFT 2'!$D:$D=$B17),'DRAFT 2'!$K:$K),"")</f>
        <v>0</v>
      </c>
      <c r="BG17">
        <f>IFERROR(LOOKUP(2,1/('DRAFT 2'!$D:$D=$B17),'DRAFT 2'!$U:$U),"")</f>
        <v>0</v>
      </c>
      <c r="BH17">
        <f>IFERROR(LOOKUP(2,1/('DRAFT 2'!$D:$D=$B17),'DRAFT 2'!$V:$V),"")</f>
        <v>0</v>
      </c>
      <c r="CE17" t="str">
        <f t="shared" si="1"/>
        <v/>
      </c>
      <c r="CF17">
        <f>IFERROR(LOOKUP(2,1/('DRAFT 2'!$D:$D=$B17)*('DRAFT 2'!$A:$A&gt;=DATE(2026,1,1))*('DRAFT 2'!$A:$A&lt;DATE(2026,IF(1=12,1+1,1+1),1)),'DRAFT 2'!$A:$A),"")</f>
        <v>0</v>
      </c>
      <c r="CG17">
        <f>COUNTIFS('DRAFT 2'!$D:$D,$B17,'DRAFT 2'!$A:$A,"&gt;="&amp;DATE(2026,1,1),'DRAFT 2'!$A:$A,"&lt;="&amp;DATE(2026,1,7))</f>
        <v>0</v>
      </c>
      <c r="CH17">
        <f>COUNTIFS('DRAFT 2'!$D:$D,$B17,'DRAFT 2'!$A:$A,"&gt;="&amp;DATE(2026,1,8),'DRAFT 2'!$A:$A,"&lt;="&amp;DATE(2026,1,14))</f>
        <v>0</v>
      </c>
      <c r="CI17">
        <f>COUNTIFS('DRAFT 2'!$D:$D,$B17,'DRAFT 2'!$A:$A,"&gt;="&amp;DATE(2026,1,15),'DRAFT 2'!$A:$A,"&lt;="&amp;DATE(2026,1,21))</f>
        <v>0</v>
      </c>
      <c r="CJ17">
        <f>COUNTIFS('DRAFT 2'!$D:$D,$B17,'DRAFT 2'!$A:$A,"&gt;="&amp;DATE(2026,1,22),'DRAFT 2'!$A:$A,"&lt;"&amp;DATE(2026,IF(1=12,1+1,1+1),1))</f>
        <v>0</v>
      </c>
      <c r="CK17">
        <f t="shared" si="2"/>
        <v>0</v>
      </c>
      <c r="CT17">
        <v>0</v>
      </c>
      <c r="CU17">
        <f>IFERROR(LOOKUP(2,1/('DRAFT 2'!$D:$D=$B17)*('DRAFT 2'!$A:$A&gt;=DATE(2026,2,1))*('DRAFT 2'!$A:$A&lt;DATE(2026,IF(2=12,2+1,2+1),1)),'DRAFT 2'!$A:$A),"")</f>
        <v>0</v>
      </c>
      <c r="CV17">
        <f>COUNTIFS('DRAFT 2'!$D:$D,$B17,'DRAFT 2'!$A:$A,"&gt;="&amp;DATE(2026,2,1),'DRAFT 2'!$A:$A,"&lt;="&amp;DATE(2026,2,7))</f>
        <v>0</v>
      </c>
      <c r="CW17">
        <f>COUNTIFS('DRAFT 2'!$D:$D,$B17,'DRAFT 2'!$A:$A,"&gt;="&amp;DATE(2026,2,8),'DRAFT 2'!$A:$A,"&lt;="&amp;DATE(2026,2,14))</f>
        <v>0</v>
      </c>
      <c r="CX17">
        <f>COUNTIFS('DRAFT 2'!$D:$D,$B17,'DRAFT 2'!$A:$A,"&gt;="&amp;DATE(2026,2,15),'DRAFT 2'!$A:$A,"&lt;="&amp;DATE(2026,2,21))</f>
        <v>0</v>
      </c>
      <c r="CY17">
        <f>COUNTIFS('DRAFT 2'!$D:$D,$B17,'DRAFT 2'!$A:$A,"&gt;="&amp;DATE(2026,2,22),'DRAFT 2'!$A:$A,"&lt;"&amp;DATE(2026,IF(2=12,2+1,2+1),1))</f>
        <v>0</v>
      </c>
      <c r="CZ17">
        <f t="shared" si="3"/>
        <v>0</v>
      </c>
      <c r="DJ17">
        <f>IFERROR(LOOKUP(2,1/('DRAFT 2'!$D:$D=$B17)*('DRAFT 2'!$A:$A&gt;=DATE(2026,3,1))*('DRAFT 2'!$A:$A&lt;DATE(2026,IF(3=12,3+1,3+1),1)),'DRAFT 2'!$A:$A),"")</f>
        <v>0</v>
      </c>
      <c r="DK17">
        <f>COUNTIFS('DRAFT 2'!$D:$D,$B17,'DRAFT 2'!$A:$A,"&gt;="&amp;DATE(2026,3,1),'DRAFT 2'!$A:$A,"&lt;="&amp;DATE(2026,3,7))</f>
        <v>0</v>
      </c>
      <c r="DL17">
        <f>COUNTIFS('DRAFT 2'!$D:$D,$B17,'DRAFT 2'!$A:$A,"&gt;="&amp;DATE(2026,3,8),'DRAFT 2'!$A:$A,"&lt;="&amp;DATE(2026,3,14))</f>
        <v>0</v>
      </c>
      <c r="DM17">
        <f>COUNTIFS('DRAFT 2'!$D:$D,$B17,'DRAFT 2'!$A:$A,"&gt;="&amp;DATE(2026,3,15),'DRAFT 2'!$A:$A,"&lt;="&amp;DATE(2026,3,21))</f>
        <v>0</v>
      </c>
      <c r="DN17">
        <f>COUNTIFS('DRAFT 2'!$D:$D,$B17,'DRAFT 2'!$A:$A,"&gt;="&amp;DATE(2026,3,22),'DRAFT 2'!$A:$A,"&lt;"&amp;DATE(2026,IF(3=12,3+1,3+1),1))</f>
        <v>0</v>
      </c>
      <c r="DO17">
        <f t="shared" si="4"/>
        <v>0</v>
      </c>
      <c r="DZ17">
        <f>IFERROR(LOOKUP(2,1/('DRAFT 2'!$D:$D=$B17)*('DRAFT 2'!$A:$A&gt;=DATE(2026,4,1))*('DRAFT 2'!$A:$A&lt;DATE(2026,IF(4=12,4+1,4+1),1)),'DRAFT 2'!$A:$A),"")</f>
        <v>0</v>
      </c>
      <c r="EA17">
        <f>COUNTIFS('DRAFT 2'!$D:$D,$B17,'DRAFT 2'!$A:$A,"&gt;="&amp;DATE(2026,4,1),'DRAFT 2'!$A:$A,"&lt;="&amp;DATE(2026,4,7))</f>
        <v>0</v>
      </c>
      <c r="EB17">
        <f>COUNTIFS('DRAFT 2'!$D:$D,$B17,'DRAFT 2'!$A:$A,"&gt;="&amp;DATE(2026,4,8),'DRAFT 2'!$A:$A,"&lt;="&amp;DATE(2026,4,14))</f>
        <v>0</v>
      </c>
      <c r="EC17">
        <f>COUNTIFS('DRAFT 2'!$D:$D,$B17,'DRAFT 2'!$A:$A,"&gt;="&amp;DATE(2026,4,15),'DRAFT 2'!$A:$A,"&lt;="&amp;DATE(2026,4,21))</f>
        <v>0</v>
      </c>
      <c r="ED17">
        <f>COUNTIFS('DRAFT 2'!$D:$D,$B17,'DRAFT 2'!$A:$A,"&gt;="&amp;DATE(2026,4,22),'DRAFT 2'!$A:$A,"&lt;"&amp;DATE(2026,IF(4=12,4+1,4+1),1))</f>
        <v>0</v>
      </c>
      <c r="EE17">
        <f t="shared" si="5"/>
        <v>0</v>
      </c>
      <c r="EO17">
        <f>IFERROR(LOOKUP(2,1/('DRAFT 2'!$D:$D=$B17)*('DRAFT 2'!$A:$A&gt;=DATE(2026,5,1))*('DRAFT 2'!$A:$A&lt;DATE(2026,IF(5=12,5+1,5+1),1)),'DRAFT 2'!$A:$A),"")</f>
        <v>0</v>
      </c>
      <c r="EP17">
        <f>COUNTIFS('DRAFT 2'!$D:$D,$B17,'DRAFT 2'!$A:$A,"&gt;="&amp;DATE(2026,5,1),'DRAFT 2'!$A:$A,"&lt;="&amp;DATE(2026,5,7))</f>
        <v>0</v>
      </c>
      <c r="EQ17">
        <f>COUNTIFS('DRAFT 2'!$D:$D,$B17,'DRAFT 2'!$A:$A,"&gt;="&amp;DATE(2026,5,8),'DRAFT 2'!$A:$A,"&lt;="&amp;DATE(2026,5,14))</f>
        <v>0</v>
      </c>
      <c r="ER17">
        <f>COUNTIFS('DRAFT 2'!$D:$D,$B17,'DRAFT 2'!$A:$A,"&gt;="&amp;DATE(2026,5,15),'DRAFT 2'!$A:$A,"&lt;="&amp;DATE(2026,5,21))</f>
        <v>0</v>
      </c>
      <c r="ES17">
        <f>COUNTIFS('DRAFT 2'!$D:$D,$B17,'DRAFT 2'!$A:$A,"&gt;="&amp;DATE(2026,5,22),'DRAFT 2'!$A:$A,"&lt;"&amp;DATE(2026,IF(5=12,5+1,5+1),1))</f>
        <v>0</v>
      </c>
      <c r="ET17">
        <f t="shared" si="6"/>
        <v>0</v>
      </c>
      <c r="FD17">
        <f>IFERROR(LOOKUP(2,1/('DRAFT 2'!$D:$D=$B17)*('DRAFT 2'!$A:$A&gt;=DATE(2026,6,1))*('DRAFT 2'!$A:$A&lt;DATE(2026,IF(6=12,6+1,6+1),1)),'DRAFT 2'!$A:$A),"")</f>
        <v>0</v>
      </c>
      <c r="FE17">
        <f>COUNTIFS('DRAFT 2'!$D:$D,$B17,'DRAFT 2'!$A:$A,"&gt;="&amp;DATE(2026,6,1),'DRAFT 2'!$A:$A,"&lt;="&amp;DATE(2026,6,7))</f>
        <v>0</v>
      </c>
      <c r="FF17">
        <f>COUNTIFS('DRAFT 2'!$D:$D,$B17,'DRAFT 2'!$A:$A,"&gt;="&amp;DATE(2026,6,8),'DRAFT 2'!$A:$A,"&lt;="&amp;DATE(2026,6,14))</f>
        <v>0</v>
      </c>
      <c r="FG17">
        <f>COUNTIFS('DRAFT 2'!$D:$D,$B17,'DRAFT 2'!$A:$A,"&gt;="&amp;DATE(2026,6,15),'DRAFT 2'!$A:$A,"&lt;="&amp;DATE(2026,6,21))</f>
        <v>0</v>
      </c>
      <c r="FH17">
        <f>COUNTIFS('DRAFT 2'!$D:$D,$B17,'DRAFT 2'!$A:$A,"&gt;="&amp;DATE(2026,6,22),'DRAFT 2'!$A:$A,"&lt;"&amp;DATE(2026,IF(6=12,6+1,6+1),1))</f>
        <v>0</v>
      </c>
      <c r="FI17">
        <f t="shared" si="7"/>
        <v>0</v>
      </c>
      <c r="FT17">
        <f>IFERROR(LOOKUP(2,1/('DRAFT 2'!$D:$D=$B17)*('DRAFT 2'!$A:$A&gt;=DATE(2026,7,1))*('DRAFT 2'!$A:$A&lt;DATE(2026,IF(7=12,7+1,7+1),1)),'DRAFT 2'!$A:$A),"")</f>
        <v>0</v>
      </c>
      <c r="FU17">
        <f>COUNTIFS('DRAFT 2'!$D:$D,$B17,'DRAFT 2'!$A:$A,"&gt;="&amp;DATE(2026,7,1),'DRAFT 2'!$A:$A,"&lt;="&amp;DATE(2026,7,7))</f>
        <v>0</v>
      </c>
      <c r="FV17">
        <f>COUNTIFS('DRAFT 2'!$D:$D,$B17,'DRAFT 2'!$A:$A,"&gt;="&amp;DATE(2026,7,8),'DRAFT 2'!$A:$A,"&lt;="&amp;DATE(2026,7,14))</f>
        <v>0</v>
      </c>
      <c r="FW17">
        <f>COUNTIFS('DRAFT 2'!$D:$D,$B17,'DRAFT 2'!$A:$A,"&gt;="&amp;DATE(2026,7,15),'DRAFT 2'!$A:$A,"&lt;="&amp;DATE(2026,7,21))</f>
        <v>0</v>
      </c>
      <c r="FX17">
        <f>COUNTIFS('DRAFT 2'!$D:$D,$B17,'DRAFT 2'!$A:$A,"&gt;="&amp;DATE(2026,7,22),'DRAFT 2'!$A:$A,"&lt;"&amp;DATE(2026,IF(7=12,7+1,7+1),1))</f>
        <v>0</v>
      </c>
      <c r="FY17">
        <f t="shared" si="8"/>
        <v>0</v>
      </c>
      <c r="GI17">
        <f>IFERROR(LOOKUP(2,1/('DRAFT 2'!$D:$D=$B17)*('DRAFT 2'!$A:$A&gt;=DATE(2026,8,1))*('DRAFT 2'!$A:$A&lt;DATE(2026,IF(8=12,8+1,8+1),1)),'DRAFT 2'!$A:$A),"")</f>
        <v>0</v>
      </c>
      <c r="GJ17">
        <f>COUNTIFS('DRAFT 2'!$D:$D,$B17,'DRAFT 2'!$A:$A,"&gt;="&amp;DATE(2026,8,1),'DRAFT 2'!$A:$A,"&lt;="&amp;DATE(2026,8,7))</f>
        <v>0</v>
      </c>
      <c r="GK17">
        <f>COUNTIFS('DRAFT 2'!$D:$D,$B17,'DRAFT 2'!$A:$A,"&gt;="&amp;DATE(2026,8,8),'DRAFT 2'!$A:$A,"&lt;="&amp;DATE(2026,8,14))</f>
        <v>0</v>
      </c>
      <c r="GL17">
        <f>COUNTIFS('DRAFT 2'!$D:$D,$B17,'DRAFT 2'!$A:$A,"&gt;="&amp;DATE(2026,8,15),'DRAFT 2'!$A:$A,"&lt;="&amp;DATE(2026,8,21))</f>
        <v>0</v>
      </c>
      <c r="GM17">
        <f>COUNTIFS('DRAFT 2'!$D:$D,$B17,'DRAFT 2'!$A:$A,"&gt;="&amp;DATE(2026,8,22),'DRAFT 2'!$A:$A,"&lt;"&amp;DATE(2026,IF(8=12,8+1,8+1),1))</f>
        <v>0</v>
      </c>
      <c r="GN17">
        <f t="shared" si="9"/>
        <v>0</v>
      </c>
      <c r="GX17">
        <f>IFERROR(LOOKUP(2,1/('DRAFT 2'!$D:$D=$B17)*('DRAFT 2'!$A:$A&gt;=DATE(2026,9,1))*('DRAFT 2'!$A:$A&lt;DATE(2026,IF(9=12,9+1,9+1),1)),'DRAFT 2'!$A:$A),"")</f>
        <v>0</v>
      </c>
      <c r="GY17">
        <f>COUNTIFS('DRAFT 2'!$D:$D,$B17,'DRAFT 2'!$A:$A,"&gt;="&amp;DATE(2026,9,1),'DRAFT 2'!$A:$A,"&lt;="&amp;DATE(2026,9,7))</f>
        <v>0</v>
      </c>
      <c r="GZ17">
        <f>COUNTIFS('DRAFT 2'!$D:$D,$B17,'DRAFT 2'!$A:$A,"&gt;="&amp;DATE(2026,9,8),'DRAFT 2'!$A:$A,"&lt;="&amp;DATE(2026,9,14))</f>
        <v>0</v>
      </c>
      <c r="HA17">
        <f>COUNTIFS('DRAFT 2'!$D:$D,$B17,'DRAFT 2'!$A:$A,"&gt;="&amp;DATE(2026,9,15),'DRAFT 2'!$A:$A,"&lt;="&amp;DATE(2026,9,21))</f>
        <v>0</v>
      </c>
      <c r="HB17">
        <f>COUNTIFS('DRAFT 2'!$D:$D,$B17,'DRAFT 2'!$A:$A,"&gt;="&amp;DATE(2026,9,22),'DRAFT 2'!$A:$A,"&lt;"&amp;DATE(2026,IF(9=12,9+1,9+1),1))</f>
        <v>0</v>
      </c>
      <c r="HC17">
        <f t="shared" si="10"/>
        <v>0</v>
      </c>
      <c r="HN17">
        <f>IFERROR(LOOKUP(2,1/('DRAFT 2'!$D:$D=$B17)*('DRAFT 2'!$A:$A&gt;=DATE(2026,10,1))*('DRAFT 2'!$A:$A&lt;DATE(2026,IF(10=12,10+1,10+1),1)),'DRAFT 2'!$A:$A),"")</f>
        <v>0</v>
      </c>
      <c r="HO17">
        <f>COUNTIFS('DRAFT 2'!$D:$D,$B17,'DRAFT 2'!$A:$A,"&gt;="&amp;DATE(2026,10,1),'DRAFT 2'!$A:$A,"&lt;="&amp;DATE(2026,10,7))</f>
        <v>0</v>
      </c>
      <c r="HP17">
        <f>COUNTIFS('DRAFT 2'!$D:$D,$B17,'DRAFT 2'!$A:$A,"&gt;="&amp;DATE(2026,10,8),'DRAFT 2'!$A:$A,"&lt;="&amp;DATE(2026,10,14))</f>
        <v>0</v>
      </c>
      <c r="HQ17">
        <f>COUNTIFS('DRAFT 2'!$D:$D,$B17,'DRAFT 2'!$A:$A,"&gt;="&amp;DATE(2026,10,15),'DRAFT 2'!$A:$A,"&lt;="&amp;DATE(2026,10,21))</f>
        <v>0</v>
      </c>
      <c r="HR17">
        <f>COUNTIFS('DRAFT 2'!$D:$D,$B17,'DRAFT 2'!$A:$A,"&gt;="&amp;DATE(2026,10,22),'DRAFT 2'!$A:$A,"&lt;"&amp;DATE(2026,IF(10=12,10+1,10+1),1))</f>
        <v>0</v>
      </c>
      <c r="HS17">
        <f t="shared" si="11"/>
        <v>0</v>
      </c>
      <c r="IC17">
        <f>IFERROR(LOOKUP(2,1/('DRAFT 2'!$D:$D=$B17)*('DRAFT 2'!$A:$A&gt;=DATE(2026,11,1))*('DRAFT 2'!$A:$A&lt;DATE(2026,IF(11=12,11+1,11+1),1)),'DRAFT 2'!$A:$A),"")</f>
        <v>0</v>
      </c>
      <c r="ID17">
        <f>COUNTIFS('DRAFT 2'!$D:$D,$B17,'DRAFT 2'!$A:$A,"&gt;="&amp;DATE(2026,11,1),'DRAFT 2'!$A:$A,"&lt;="&amp;DATE(2026,11,7))</f>
        <v>0</v>
      </c>
      <c r="IE17">
        <f>COUNTIFS('DRAFT 2'!$D:$D,$B17,'DRAFT 2'!$A:$A,"&gt;="&amp;DATE(2026,11,8),'DRAFT 2'!$A:$A,"&lt;="&amp;DATE(2026,11,14))</f>
        <v>0</v>
      </c>
      <c r="IF17">
        <f>COUNTIFS('DRAFT 2'!$D:$D,$B17,'DRAFT 2'!$A:$A,"&gt;="&amp;DATE(2026,11,15),'DRAFT 2'!$A:$A,"&lt;="&amp;DATE(2026,11,21))</f>
        <v>0</v>
      </c>
      <c r="IG17">
        <f>COUNTIFS('DRAFT 2'!$D:$D,$B17,'DRAFT 2'!$A:$A,"&gt;="&amp;DATE(2026,11,22),'DRAFT 2'!$A:$A,"&lt;"&amp;DATE(2026,IF(11=12,11+1,11+1),1))</f>
        <v>0</v>
      </c>
      <c r="IH17">
        <f t="shared" si="12"/>
        <v>0</v>
      </c>
      <c r="IR17">
        <f>IFERROR(LOOKUP(2,1/('DRAFT 2'!$D:$D=$B17)*('DRAFT 2'!$A:$A&gt;=DATE(2026,12,1))*('DRAFT 2'!$A:$A&lt;DATE(2026,IF(12=12,12+1,12+1),1)),'DRAFT 2'!$A:$A),"")</f>
        <v>0</v>
      </c>
      <c r="IS17">
        <f>COUNTIFS('DRAFT 2'!$D:$D,$B17,'DRAFT 2'!$A:$A,"&gt;="&amp;DATE(2026,12,1),'DRAFT 2'!$A:$A,"&lt;="&amp;DATE(2026,12,7))</f>
        <v>0</v>
      </c>
      <c r="IT17">
        <f>COUNTIFS('DRAFT 2'!$D:$D,$B17,'DRAFT 2'!$A:$A,"&gt;="&amp;DATE(2026,12,8),'DRAFT 2'!$A:$A,"&lt;="&amp;DATE(2026,12,14))</f>
        <v>0</v>
      </c>
      <c r="IU17">
        <f>COUNTIFS('DRAFT 2'!$D:$D,$B17,'DRAFT 2'!$A:$A,"&gt;="&amp;DATE(2026,12,15),'DRAFT 2'!$A:$A,"&lt;="&amp;DATE(2026,12,21))</f>
        <v>0</v>
      </c>
      <c r="IV17">
        <f>COUNTIFS('DRAFT 2'!$D:$D,$B17,'DRAFT 2'!$A:$A,"&gt;="&amp;DATE(2026,12,22),'DRAFT 2'!$A:$A,"&lt;"&amp;DATE(2026,IF(12=12,12+1,12+1),1))</f>
        <v>0</v>
      </c>
      <c r="IW17">
        <f t="shared" si="13"/>
        <v>0</v>
      </c>
    </row>
    <row r="18" spans="1:257" x14ac:dyDescent="0.3">
      <c r="A18" t="str">
        <f>IFERROR(INDEX('DRAFT 1'!$A:$A,MATCH($B18,'DRAFT 1'!$B:$B,0)),"")</f>
        <v/>
      </c>
      <c r="C18" t="str">
        <f>IFERROR(INDEX('DRAFT 1'!$C:$C,MATCH($B18,'DRAFT 1'!$B:$B,0)),"")</f>
        <v/>
      </c>
      <c r="D18" t="str">
        <f>IFERROR(INDEX('DRAFT 1'!$D:$D,MATCH($B18,'DRAFT 1'!$B:$B,0)),"")</f>
        <v/>
      </c>
      <c r="E18" t="str">
        <f>IFERROR(INDEX('DRAFT 1'!$E:$E,MATCH($B18,'DRAFT 1'!$B:$B,0)),"")</f>
        <v/>
      </c>
      <c r="F18" t="str">
        <f>IFERROR(INDEX('DRAFT 1'!$F:$F,MATCH($B18,'DRAFT 1'!$B:$B,0)),"")</f>
        <v/>
      </c>
      <c r="G18" t="str">
        <f>IFERROR(INDEX('DRAFT 1'!$G:$G,MATCH($B18,'DRAFT 1'!$B:$B,0)),"")</f>
        <v/>
      </c>
      <c r="H18" t="str">
        <f>IFERROR(INDEX('DRAFT 1'!$H:$H,MATCH($B18,'DRAFT 1'!$B:$B,0)),"")</f>
        <v/>
      </c>
      <c r="I18" t="s">
        <v>298</v>
      </c>
      <c r="K18" t="str">
        <f>IFERROR(INDEX('DRAFT 1'!$AL:$AL,MATCH($B18,'DRAFT 1'!$B:$B,0)),"")</f>
        <v/>
      </c>
      <c r="L18" t="str">
        <f>IFERROR(INDEX('DRAFT 1'!$J:$J,MATCH($B18,'DRAFT 1'!$B:$B,0)),"")</f>
        <v/>
      </c>
      <c r="M18" t="str">
        <f>IFERROR(INDEX('DRAFT 1'!$K:$K,MATCH($B18,'DRAFT 1'!$B:$B,0)),"")</f>
        <v/>
      </c>
      <c r="N18" t="s">
        <v>79</v>
      </c>
      <c r="P18" t="str">
        <f>IFERROR(INDEX('DRAFT 1'!$L:$L,MATCH($B18,'DRAFT 1'!$B:$B,0)),"")</f>
        <v/>
      </c>
      <c r="Q18" t="str">
        <f>IFERROR(INDEX('DRAFT 1'!$M:$M,MATCH($B18,'DRAFT 1'!$B:$B,0)),"")</f>
        <v/>
      </c>
      <c r="R18" t="str">
        <f>IFERROR(INDEX('DRAFT 1'!$N:$N,MATCH($B18,'DRAFT 1'!$B:$B,0)),"")</f>
        <v/>
      </c>
      <c r="S18" t="str">
        <f>IFERROR(INDEX('DRAFT 1'!$O:$O,MATCH($B18,'DRAFT 1'!$B:$B,0)),"")</f>
        <v/>
      </c>
      <c r="T18" t="str">
        <f>IFERROR(INDEX('DRAFT 1'!$P:$P,MATCH($B18,'DRAFT 1'!$B:$B,0)),"")</f>
        <v/>
      </c>
      <c r="U18" t="str">
        <f>IFERROR(INDEX('DRAFT 1'!$Q:$Q,MATCH($B18,'DRAFT 1'!$B:$B,0)),"")</f>
        <v/>
      </c>
      <c r="V18" t="str">
        <f>IFERROR(INDEX('DRAFT 1'!$R:$R,MATCH($B18,'DRAFT 1'!$B:$B,0)),"")</f>
        <v/>
      </c>
      <c r="W18" t="str">
        <f>IFERROR(INDEX('DRAFT 1'!$S:$S,MATCH($B18,'DRAFT 1'!$B:$B,0)),"")</f>
        <v/>
      </c>
      <c r="X18" t="str">
        <f>IFERROR(INDEX('DRAFT 1'!$T:$T,MATCH($B18,'DRAFT 1'!$B:$B,0)),"")</f>
        <v/>
      </c>
      <c r="Z18" t="str">
        <f>IFERROR(INDEX('DRAFT 1'!$U:$U,MATCH($B18,'DRAFT 1'!$B:$B,0)),"")</f>
        <v/>
      </c>
      <c r="AA18" t="str">
        <f>IFERROR(INDEX('DRAFT 1'!$V:$V,MATCH($B18,'DRAFT 1'!$B:$B,0)),"")</f>
        <v/>
      </c>
      <c r="AB18" t="str">
        <f>IFERROR(INDEX('DRAFT 1'!$W:$W,MATCH($B18,'DRAFT 1'!$B:$B,0)),"")</f>
        <v/>
      </c>
      <c r="AC18" t="str">
        <f>IFERROR(INDEX('DRAFT 1'!$X:$X,MATCH($B18,'DRAFT 1'!$B:$B,0)),"")</f>
        <v/>
      </c>
      <c r="AD18" t="str">
        <f>IFERROR(INDEX('DRAFT 1'!$Y:$Y,MATCH($B18,'DRAFT 1'!$B:$B,0)),"")</f>
        <v/>
      </c>
      <c r="AE18" t="str">
        <f>IFERROR(INDEX('DRAFT 1'!$Z:$Z,MATCH($B18,'DRAFT 1'!$B:$B,0)),"")</f>
        <v/>
      </c>
      <c r="AF18" t="str">
        <f>IFERROR(INDEX('DRAFT 1'!$AA:$AA,MATCH($B18,'DRAFT 1'!$B:$B,0)),"")</f>
        <v/>
      </c>
      <c r="AG18" t="str">
        <f>IFERROR(INDEX('DRAFT 1'!$AB:$AB,MATCH($B18,'DRAFT 1'!$B:$B,0)),"")</f>
        <v/>
      </c>
      <c r="AH18" t="str">
        <f>IFERROR(INDEX('DRAFT 1'!$AC:$AC,MATCH($B18,'DRAFT 1'!$B:$B,0)),"")</f>
        <v/>
      </c>
      <c r="AI18" t="str">
        <f>IFERROR(INDEX('DRAFT 1'!$AD:$AD,MATCH($B18,'DRAFT 1'!$B:$B,0)),"")</f>
        <v/>
      </c>
      <c r="AJ18" t="str">
        <f>IFERROR(INDEX('DRAFT 1'!$AE:$AE,MATCH($B18,'DRAFT 1'!$B:$B,0)),"")</f>
        <v/>
      </c>
      <c r="AK18" t="str">
        <f>IFERROR(INDEX('DRAFT 1'!$AG:$AG,MATCH($B18,'DRAFT 1'!$B:$B,0)),"")</f>
        <v/>
      </c>
      <c r="AL18" t="str">
        <f>IFERROR(INDEX('DRAFT 1'!$AH:$AH,MATCH($B18,'DRAFT 1'!$B:$B,0)),"")</f>
        <v/>
      </c>
      <c r="AM18" t="str">
        <f>IFERROR(INDEX('DRAFT 1'!$AI:$AI,MATCH($B18,'DRAFT 1'!$B:$B,0)),"")</f>
        <v/>
      </c>
      <c r="AN18" t="str">
        <f>IFERROR(INDEX('DRAFT 1'!$AJ:$AJ,MATCH($B18,'DRAFT 1'!$B:$B,0)),"")</f>
        <v/>
      </c>
      <c r="AO18">
        <f t="shared" si="0"/>
        <v>0</v>
      </c>
      <c r="AP18" t="str">
        <f>IFERROR(INDEX('DRAFT 1'!$AK:$AK,MATCH($B18,'DRAFT 1'!$B:$B,0)),"")</f>
        <v/>
      </c>
      <c r="AR18" t="s">
        <v>33</v>
      </c>
      <c r="AS18">
        <f>IFERROR(LOOKUP(2,1/('DRAFT 2'!$D:$D=$B18),'DRAFT 2'!$T:$T),"")</f>
        <v>0</v>
      </c>
      <c r="AT18">
        <f>IFERROR(LOOKUP(2,1/('DRAFT 2'!$D:$D=$B18),'DRAFT 2'!$A:$A),"")</f>
        <v>0</v>
      </c>
      <c r="AU18">
        <f>IFERROR(LOOKUP(2,1/('DRAFT 2'!$D:$D=$B18),'DRAFT 2'!$R:$R),"")</f>
        <v>0</v>
      </c>
      <c r="AV18">
        <f>IFERROR(LOOKUP(2,1/('DRAFT 2'!$D:$D=$B18),'DRAFT 2'!$S:$S),"")</f>
        <v>0</v>
      </c>
      <c r="AW18" t="s">
        <v>128</v>
      </c>
      <c r="AX18">
        <f>IFERROR(LOOKUP(2,1/('DRAFT 2'!$D:$D=$B18),'DRAFT 2'!$M:$M),"")</f>
        <v>0</v>
      </c>
      <c r="AY18">
        <f>IFERROR(LOOKUP(2,1/('DRAFT 2'!$D:$D=$B18),'DRAFT 2'!$K:$K),"")</f>
        <v>0</v>
      </c>
      <c r="BG18">
        <f>IFERROR(LOOKUP(2,1/('DRAFT 2'!$D:$D=$B18),'DRAFT 2'!$U:$U),"")</f>
        <v>0</v>
      </c>
      <c r="BH18">
        <f>IFERROR(LOOKUP(2,1/('DRAFT 2'!$D:$D=$B18),'DRAFT 2'!$V:$V),"")</f>
        <v>0</v>
      </c>
      <c r="CE18" t="str">
        <f t="shared" si="1"/>
        <v/>
      </c>
      <c r="CF18">
        <f>IFERROR(LOOKUP(2,1/('DRAFT 2'!$D:$D=$B18)*('DRAFT 2'!$A:$A&gt;=DATE(2026,1,1))*('DRAFT 2'!$A:$A&lt;DATE(2026,IF(1=12,1+1,1+1),1)),'DRAFT 2'!$A:$A),"")</f>
        <v>0</v>
      </c>
      <c r="CG18">
        <f>COUNTIFS('DRAFT 2'!$D:$D,$B18,'DRAFT 2'!$A:$A,"&gt;="&amp;DATE(2026,1,1),'DRAFT 2'!$A:$A,"&lt;="&amp;DATE(2026,1,7))</f>
        <v>0</v>
      </c>
      <c r="CH18">
        <f>COUNTIFS('DRAFT 2'!$D:$D,$B18,'DRAFT 2'!$A:$A,"&gt;="&amp;DATE(2026,1,8),'DRAFT 2'!$A:$A,"&lt;="&amp;DATE(2026,1,14))</f>
        <v>0</v>
      </c>
      <c r="CI18">
        <f>COUNTIFS('DRAFT 2'!$D:$D,$B18,'DRAFT 2'!$A:$A,"&gt;="&amp;DATE(2026,1,15),'DRAFT 2'!$A:$A,"&lt;="&amp;DATE(2026,1,21))</f>
        <v>0</v>
      </c>
      <c r="CJ18">
        <f>COUNTIFS('DRAFT 2'!$D:$D,$B18,'DRAFT 2'!$A:$A,"&gt;="&amp;DATE(2026,1,22),'DRAFT 2'!$A:$A,"&lt;"&amp;DATE(2026,IF(1=12,1+1,1+1),1))</f>
        <v>0</v>
      </c>
      <c r="CK18">
        <f t="shared" si="2"/>
        <v>0</v>
      </c>
      <c r="CT18">
        <v>0</v>
      </c>
      <c r="CU18">
        <f>IFERROR(LOOKUP(2,1/('DRAFT 2'!$D:$D=$B18)*('DRAFT 2'!$A:$A&gt;=DATE(2026,2,1))*('DRAFT 2'!$A:$A&lt;DATE(2026,IF(2=12,2+1,2+1),1)),'DRAFT 2'!$A:$A),"")</f>
        <v>0</v>
      </c>
      <c r="CV18">
        <f>COUNTIFS('DRAFT 2'!$D:$D,$B18,'DRAFT 2'!$A:$A,"&gt;="&amp;DATE(2026,2,1),'DRAFT 2'!$A:$A,"&lt;="&amp;DATE(2026,2,7))</f>
        <v>0</v>
      </c>
      <c r="CW18">
        <f>COUNTIFS('DRAFT 2'!$D:$D,$B18,'DRAFT 2'!$A:$A,"&gt;="&amp;DATE(2026,2,8),'DRAFT 2'!$A:$A,"&lt;="&amp;DATE(2026,2,14))</f>
        <v>0</v>
      </c>
      <c r="CX18">
        <f>COUNTIFS('DRAFT 2'!$D:$D,$B18,'DRAFT 2'!$A:$A,"&gt;="&amp;DATE(2026,2,15),'DRAFT 2'!$A:$A,"&lt;="&amp;DATE(2026,2,21))</f>
        <v>0</v>
      </c>
      <c r="CY18">
        <f>COUNTIFS('DRAFT 2'!$D:$D,$B18,'DRAFT 2'!$A:$A,"&gt;="&amp;DATE(2026,2,22),'DRAFT 2'!$A:$A,"&lt;"&amp;DATE(2026,IF(2=12,2+1,2+1),1))</f>
        <v>0</v>
      </c>
      <c r="CZ18">
        <f t="shared" si="3"/>
        <v>0</v>
      </c>
      <c r="DJ18">
        <f>IFERROR(LOOKUP(2,1/('DRAFT 2'!$D:$D=$B18)*('DRAFT 2'!$A:$A&gt;=DATE(2026,3,1))*('DRAFT 2'!$A:$A&lt;DATE(2026,IF(3=12,3+1,3+1),1)),'DRAFT 2'!$A:$A),"")</f>
        <v>0</v>
      </c>
      <c r="DK18">
        <f>COUNTIFS('DRAFT 2'!$D:$D,$B18,'DRAFT 2'!$A:$A,"&gt;="&amp;DATE(2026,3,1),'DRAFT 2'!$A:$A,"&lt;="&amp;DATE(2026,3,7))</f>
        <v>0</v>
      </c>
      <c r="DL18">
        <f>COUNTIFS('DRAFT 2'!$D:$D,$B18,'DRAFT 2'!$A:$A,"&gt;="&amp;DATE(2026,3,8),'DRAFT 2'!$A:$A,"&lt;="&amp;DATE(2026,3,14))</f>
        <v>0</v>
      </c>
      <c r="DM18">
        <f>COUNTIFS('DRAFT 2'!$D:$D,$B18,'DRAFT 2'!$A:$A,"&gt;="&amp;DATE(2026,3,15),'DRAFT 2'!$A:$A,"&lt;="&amp;DATE(2026,3,21))</f>
        <v>0</v>
      </c>
      <c r="DN18">
        <f>COUNTIFS('DRAFT 2'!$D:$D,$B18,'DRAFT 2'!$A:$A,"&gt;="&amp;DATE(2026,3,22),'DRAFT 2'!$A:$A,"&lt;"&amp;DATE(2026,IF(3=12,3+1,3+1),1))</f>
        <v>0</v>
      </c>
      <c r="DO18">
        <f t="shared" si="4"/>
        <v>0</v>
      </c>
      <c r="DZ18">
        <f>IFERROR(LOOKUP(2,1/('DRAFT 2'!$D:$D=$B18)*('DRAFT 2'!$A:$A&gt;=DATE(2026,4,1))*('DRAFT 2'!$A:$A&lt;DATE(2026,IF(4=12,4+1,4+1),1)),'DRAFT 2'!$A:$A),"")</f>
        <v>0</v>
      </c>
      <c r="EA18">
        <f>COUNTIFS('DRAFT 2'!$D:$D,$B18,'DRAFT 2'!$A:$A,"&gt;="&amp;DATE(2026,4,1),'DRAFT 2'!$A:$A,"&lt;="&amp;DATE(2026,4,7))</f>
        <v>0</v>
      </c>
      <c r="EB18">
        <f>COUNTIFS('DRAFT 2'!$D:$D,$B18,'DRAFT 2'!$A:$A,"&gt;="&amp;DATE(2026,4,8),'DRAFT 2'!$A:$A,"&lt;="&amp;DATE(2026,4,14))</f>
        <v>0</v>
      </c>
      <c r="EC18">
        <f>COUNTIFS('DRAFT 2'!$D:$D,$B18,'DRAFT 2'!$A:$A,"&gt;="&amp;DATE(2026,4,15),'DRAFT 2'!$A:$A,"&lt;="&amp;DATE(2026,4,21))</f>
        <v>0</v>
      </c>
      <c r="ED18">
        <f>COUNTIFS('DRAFT 2'!$D:$D,$B18,'DRAFT 2'!$A:$A,"&gt;="&amp;DATE(2026,4,22),'DRAFT 2'!$A:$A,"&lt;"&amp;DATE(2026,IF(4=12,4+1,4+1),1))</f>
        <v>0</v>
      </c>
      <c r="EE18">
        <f t="shared" si="5"/>
        <v>0</v>
      </c>
      <c r="EO18">
        <f>IFERROR(LOOKUP(2,1/('DRAFT 2'!$D:$D=$B18)*('DRAFT 2'!$A:$A&gt;=DATE(2026,5,1))*('DRAFT 2'!$A:$A&lt;DATE(2026,IF(5=12,5+1,5+1),1)),'DRAFT 2'!$A:$A),"")</f>
        <v>0</v>
      </c>
      <c r="EP18">
        <f>COUNTIFS('DRAFT 2'!$D:$D,$B18,'DRAFT 2'!$A:$A,"&gt;="&amp;DATE(2026,5,1),'DRAFT 2'!$A:$A,"&lt;="&amp;DATE(2026,5,7))</f>
        <v>0</v>
      </c>
      <c r="EQ18">
        <f>COUNTIFS('DRAFT 2'!$D:$D,$B18,'DRAFT 2'!$A:$A,"&gt;="&amp;DATE(2026,5,8),'DRAFT 2'!$A:$A,"&lt;="&amp;DATE(2026,5,14))</f>
        <v>0</v>
      </c>
      <c r="ER18">
        <f>COUNTIFS('DRAFT 2'!$D:$D,$B18,'DRAFT 2'!$A:$A,"&gt;="&amp;DATE(2026,5,15),'DRAFT 2'!$A:$A,"&lt;="&amp;DATE(2026,5,21))</f>
        <v>0</v>
      </c>
      <c r="ES18">
        <f>COUNTIFS('DRAFT 2'!$D:$D,$B18,'DRAFT 2'!$A:$A,"&gt;="&amp;DATE(2026,5,22),'DRAFT 2'!$A:$A,"&lt;"&amp;DATE(2026,IF(5=12,5+1,5+1),1))</f>
        <v>0</v>
      </c>
      <c r="ET18">
        <f t="shared" si="6"/>
        <v>0</v>
      </c>
      <c r="FD18">
        <f>IFERROR(LOOKUP(2,1/('DRAFT 2'!$D:$D=$B18)*('DRAFT 2'!$A:$A&gt;=DATE(2026,6,1))*('DRAFT 2'!$A:$A&lt;DATE(2026,IF(6=12,6+1,6+1),1)),'DRAFT 2'!$A:$A),"")</f>
        <v>0</v>
      </c>
      <c r="FE18">
        <f>COUNTIFS('DRAFT 2'!$D:$D,$B18,'DRAFT 2'!$A:$A,"&gt;="&amp;DATE(2026,6,1),'DRAFT 2'!$A:$A,"&lt;="&amp;DATE(2026,6,7))</f>
        <v>0</v>
      </c>
      <c r="FF18">
        <f>COUNTIFS('DRAFT 2'!$D:$D,$B18,'DRAFT 2'!$A:$A,"&gt;="&amp;DATE(2026,6,8),'DRAFT 2'!$A:$A,"&lt;="&amp;DATE(2026,6,14))</f>
        <v>0</v>
      </c>
      <c r="FG18">
        <f>COUNTIFS('DRAFT 2'!$D:$D,$B18,'DRAFT 2'!$A:$A,"&gt;="&amp;DATE(2026,6,15),'DRAFT 2'!$A:$A,"&lt;="&amp;DATE(2026,6,21))</f>
        <v>0</v>
      </c>
      <c r="FH18">
        <f>COUNTIFS('DRAFT 2'!$D:$D,$B18,'DRAFT 2'!$A:$A,"&gt;="&amp;DATE(2026,6,22),'DRAFT 2'!$A:$A,"&lt;"&amp;DATE(2026,IF(6=12,6+1,6+1),1))</f>
        <v>0</v>
      </c>
      <c r="FI18">
        <f t="shared" si="7"/>
        <v>0</v>
      </c>
      <c r="FT18">
        <f>IFERROR(LOOKUP(2,1/('DRAFT 2'!$D:$D=$B18)*('DRAFT 2'!$A:$A&gt;=DATE(2026,7,1))*('DRAFT 2'!$A:$A&lt;DATE(2026,IF(7=12,7+1,7+1),1)),'DRAFT 2'!$A:$A),"")</f>
        <v>0</v>
      </c>
      <c r="FU18">
        <f>COUNTIFS('DRAFT 2'!$D:$D,$B18,'DRAFT 2'!$A:$A,"&gt;="&amp;DATE(2026,7,1),'DRAFT 2'!$A:$A,"&lt;="&amp;DATE(2026,7,7))</f>
        <v>0</v>
      </c>
      <c r="FV18">
        <f>COUNTIFS('DRAFT 2'!$D:$D,$B18,'DRAFT 2'!$A:$A,"&gt;="&amp;DATE(2026,7,8),'DRAFT 2'!$A:$A,"&lt;="&amp;DATE(2026,7,14))</f>
        <v>0</v>
      </c>
      <c r="FW18">
        <f>COUNTIFS('DRAFT 2'!$D:$D,$B18,'DRAFT 2'!$A:$A,"&gt;="&amp;DATE(2026,7,15),'DRAFT 2'!$A:$A,"&lt;="&amp;DATE(2026,7,21))</f>
        <v>0</v>
      </c>
      <c r="FX18">
        <f>COUNTIFS('DRAFT 2'!$D:$D,$B18,'DRAFT 2'!$A:$A,"&gt;="&amp;DATE(2026,7,22),'DRAFT 2'!$A:$A,"&lt;"&amp;DATE(2026,IF(7=12,7+1,7+1),1))</f>
        <v>0</v>
      </c>
      <c r="FY18">
        <f t="shared" si="8"/>
        <v>0</v>
      </c>
      <c r="GI18">
        <f>IFERROR(LOOKUP(2,1/('DRAFT 2'!$D:$D=$B18)*('DRAFT 2'!$A:$A&gt;=DATE(2026,8,1))*('DRAFT 2'!$A:$A&lt;DATE(2026,IF(8=12,8+1,8+1),1)),'DRAFT 2'!$A:$A),"")</f>
        <v>0</v>
      </c>
      <c r="GJ18">
        <f>COUNTIFS('DRAFT 2'!$D:$D,$B18,'DRAFT 2'!$A:$A,"&gt;="&amp;DATE(2026,8,1),'DRAFT 2'!$A:$A,"&lt;="&amp;DATE(2026,8,7))</f>
        <v>0</v>
      </c>
      <c r="GK18">
        <f>COUNTIFS('DRAFT 2'!$D:$D,$B18,'DRAFT 2'!$A:$A,"&gt;="&amp;DATE(2026,8,8),'DRAFT 2'!$A:$A,"&lt;="&amp;DATE(2026,8,14))</f>
        <v>0</v>
      </c>
      <c r="GL18">
        <f>COUNTIFS('DRAFT 2'!$D:$D,$B18,'DRAFT 2'!$A:$A,"&gt;="&amp;DATE(2026,8,15),'DRAFT 2'!$A:$A,"&lt;="&amp;DATE(2026,8,21))</f>
        <v>0</v>
      </c>
      <c r="GM18">
        <f>COUNTIFS('DRAFT 2'!$D:$D,$B18,'DRAFT 2'!$A:$A,"&gt;="&amp;DATE(2026,8,22),'DRAFT 2'!$A:$A,"&lt;"&amp;DATE(2026,IF(8=12,8+1,8+1),1))</f>
        <v>0</v>
      </c>
      <c r="GN18">
        <f t="shared" si="9"/>
        <v>0</v>
      </c>
      <c r="GX18">
        <f>IFERROR(LOOKUP(2,1/('DRAFT 2'!$D:$D=$B18)*('DRAFT 2'!$A:$A&gt;=DATE(2026,9,1))*('DRAFT 2'!$A:$A&lt;DATE(2026,IF(9=12,9+1,9+1),1)),'DRAFT 2'!$A:$A),"")</f>
        <v>0</v>
      </c>
      <c r="GY18">
        <f>COUNTIFS('DRAFT 2'!$D:$D,$B18,'DRAFT 2'!$A:$A,"&gt;="&amp;DATE(2026,9,1),'DRAFT 2'!$A:$A,"&lt;="&amp;DATE(2026,9,7))</f>
        <v>0</v>
      </c>
      <c r="GZ18">
        <f>COUNTIFS('DRAFT 2'!$D:$D,$B18,'DRAFT 2'!$A:$A,"&gt;="&amp;DATE(2026,9,8),'DRAFT 2'!$A:$A,"&lt;="&amp;DATE(2026,9,14))</f>
        <v>0</v>
      </c>
      <c r="HA18">
        <f>COUNTIFS('DRAFT 2'!$D:$D,$B18,'DRAFT 2'!$A:$A,"&gt;="&amp;DATE(2026,9,15),'DRAFT 2'!$A:$A,"&lt;="&amp;DATE(2026,9,21))</f>
        <v>0</v>
      </c>
      <c r="HB18">
        <f>COUNTIFS('DRAFT 2'!$D:$D,$B18,'DRAFT 2'!$A:$A,"&gt;="&amp;DATE(2026,9,22),'DRAFT 2'!$A:$A,"&lt;"&amp;DATE(2026,IF(9=12,9+1,9+1),1))</f>
        <v>0</v>
      </c>
      <c r="HC18">
        <f t="shared" si="10"/>
        <v>0</v>
      </c>
      <c r="HN18">
        <f>IFERROR(LOOKUP(2,1/('DRAFT 2'!$D:$D=$B18)*('DRAFT 2'!$A:$A&gt;=DATE(2026,10,1))*('DRAFT 2'!$A:$A&lt;DATE(2026,IF(10=12,10+1,10+1),1)),'DRAFT 2'!$A:$A),"")</f>
        <v>0</v>
      </c>
      <c r="HO18">
        <f>COUNTIFS('DRAFT 2'!$D:$D,$B18,'DRAFT 2'!$A:$A,"&gt;="&amp;DATE(2026,10,1),'DRAFT 2'!$A:$A,"&lt;="&amp;DATE(2026,10,7))</f>
        <v>0</v>
      </c>
      <c r="HP18">
        <f>COUNTIFS('DRAFT 2'!$D:$D,$B18,'DRAFT 2'!$A:$A,"&gt;="&amp;DATE(2026,10,8),'DRAFT 2'!$A:$A,"&lt;="&amp;DATE(2026,10,14))</f>
        <v>0</v>
      </c>
      <c r="HQ18">
        <f>COUNTIFS('DRAFT 2'!$D:$D,$B18,'DRAFT 2'!$A:$A,"&gt;="&amp;DATE(2026,10,15),'DRAFT 2'!$A:$A,"&lt;="&amp;DATE(2026,10,21))</f>
        <v>0</v>
      </c>
      <c r="HR18">
        <f>COUNTIFS('DRAFT 2'!$D:$D,$B18,'DRAFT 2'!$A:$A,"&gt;="&amp;DATE(2026,10,22),'DRAFT 2'!$A:$A,"&lt;"&amp;DATE(2026,IF(10=12,10+1,10+1),1))</f>
        <v>0</v>
      </c>
      <c r="HS18">
        <f t="shared" si="11"/>
        <v>0</v>
      </c>
      <c r="IC18">
        <f>IFERROR(LOOKUP(2,1/('DRAFT 2'!$D:$D=$B18)*('DRAFT 2'!$A:$A&gt;=DATE(2026,11,1))*('DRAFT 2'!$A:$A&lt;DATE(2026,IF(11=12,11+1,11+1),1)),'DRAFT 2'!$A:$A),"")</f>
        <v>0</v>
      </c>
      <c r="ID18">
        <f>COUNTIFS('DRAFT 2'!$D:$D,$B18,'DRAFT 2'!$A:$A,"&gt;="&amp;DATE(2026,11,1),'DRAFT 2'!$A:$A,"&lt;="&amp;DATE(2026,11,7))</f>
        <v>0</v>
      </c>
      <c r="IE18">
        <f>COUNTIFS('DRAFT 2'!$D:$D,$B18,'DRAFT 2'!$A:$A,"&gt;="&amp;DATE(2026,11,8),'DRAFT 2'!$A:$A,"&lt;="&amp;DATE(2026,11,14))</f>
        <v>0</v>
      </c>
      <c r="IF18">
        <f>COUNTIFS('DRAFT 2'!$D:$D,$B18,'DRAFT 2'!$A:$A,"&gt;="&amp;DATE(2026,11,15),'DRAFT 2'!$A:$A,"&lt;="&amp;DATE(2026,11,21))</f>
        <v>0</v>
      </c>
      <c r="IG18">
        <f>COUNTIFS('DRAFT 2'!$D:$D,$B18,'DRAFT 2'!$A:$A,"&gt;="&amp;DATE(2026,11,22),'DRAFT 2'!$A:$A,"&lt;"&amp;DATE(2026,IF(11=12,11+1,11+1),1))</f>
        <v>0</v>
      </c>
      <c r="IH18">
        <f t="shared" si="12"/>
        <v>0</v>
      </c>
      <c r="IR18">
        <f>IFERROR(LOOKUP(2,1/('DRAFT 2'!$D:$D=$B18)*('DRAFT 2'!$A:$A&gt;=DATE(2026,12,1))*('DRAFT 2'!$A:$A&lt;DATE(2026,IF(12=12,12+1,12+1),1)),'DRAFT 2'!$A:$A),"")</f>
        <v>0</v>
      </c>
      <c r="IS18">
        <f>COUNTIFS('DRAFT 2'!$D:$D,$B18,'DRAFT 2'!$A:$A,"&gt;="&amp;DATE(2026,12,1),'DRAFT 2'!$A:$A,"&lt;="&amp;DATE(2026,12,7))</f>
        <v>0</v>
      </c>
      <c r="IT18">
        <f>COUNTIFS('DRAFT 2'!$D:$D,$B18,'DRAFT 2'!$A:$A,"&gt;="&amp;DATE(2026,12,8),'DRAFT 2'!$A:$A,"&lt;="&amp;DATE(2026,12,14))</f>
        <v>0</v>
      </c>
      <c r="IU18">
        <f>COUNTIFS('DRAFT 2'!$D:$D,$B18,'DRAFT 2'!$A:$A,"&gt;="&amp;DATE(2026,12,15),'DRAFT 2'!$A:$A,"&lt;="&amp;DATE(2026,12,21))</f>
        <v>0</v>
      </c>
      <c r="IV18">
        <f>COUNTIFS('DRAFT 2'!$D:$D,$B18,'DRAFT 2'!$A:$A,"&gt;="&amp;DATE(2026,12,22),'DRAFT 2'!$A:$A,"&lt;"&amp;DATE(2026,IF(12=12,12+1,12+1),1))</f>
        <v>0</v>
      </c>
      <c r="IW18">
        <f t="shared" si="13"/>
        <v>0</v>
      </c>
    </row>
    <row r="19" spans="1:257" x14ac:dyDescent="0.3">
      <c r="A19" t="str">
        <f>IFERROR(INDEX('DRAFT 1'!$A:$A,MATCH($B19,'DRAFT 1'!$B:$B,0)),"")</f>
        <v/>
      </c>
      <c r="C19" t="str">
        <f>IFERROR(INDEX('DRAFT 1'!$C:$C,MATCH($B19,'DRAFT 1'!$B:$B,0)),"")</f>
        <v/>
      </c>
      <c r="D19" t="str">
        <f>IFERROR(INDEX('DRAFT 1'!$D:$D,MATCH($B19,'DRAFT 1'!$B:$B,0)),"")</f>
        <v/>
      </c>
      <c r="E19" t="str">
        <f>IFERROR(INDEX('DRAFT 1'!$E:$E,MATCH($B19,'DRAFT 1'!$B:$B,0)),"")</f>
        <v/>
      </c>
      <c r="F19" t="str">
        <f>IFERROR(INDEX('DRAFT 1'!$F:$F,MATCH($B19,'DRAFT 1'!$B:$B,0)),"")</f>
        <v/>
      </c>
      <c r="G19" t="str">
        <f>IFERROR(INDEX('DRAFT 1'!$G:$G,MATCH($B19,'DRAFT 1'!$B:$B,0)),"")</f>
        <v/>
      </c>
      <c r="H19" t="str">
        <f>IFERROR(INDEX('DRAFT 1'!$H:$H,MATCH($B19,'DRAFT 1'!$B:$B,0)),"")</f>
        <v/>
      </c>
      <c r="I19" t="s">
        <v>298</v>
      </c>
      <c r="K19" t="str">
        <f>IFERROR(INDEX('DRAFT 1'!$AL:$AL,MATCH($B19,'DRAFT 1'!$B:$B,0)),"")</f>
        <v/>
      </c>
      <c r="L19" t="str">
        <f>IFERROR(INDEX('DRAFT 1'!$J:$J,MATCH($B19,'DRAFT 1'!$B:$B,0)),"")</f>
        <v/>
      </c>
      <c r="M19" t="str">
        <f>IFERROR(INDEX('DRAFT 1'!$K:$K,MATCH($B19,'DRAFT 1'!$B:$B,0)),"")</f>
        <v/>
      </c>
      <c r="N19" t="s">
        <v>71</v>
      </c>
      <c r="P19" t="str">
        <f>IFERROR(INDEX('DRAFT 1'!$L:$L,MATCH($B19,'DRAFT 1'!$B:$B,0)),"")</f>
        <v/>
      </c>
      <c r="Q19" t="str">
        <f>IFERROR(INDEX('DRAFT 1'!$M:$M,MATCH($B19,'DRAFT 1'!$B:$B,0)),"")</f>
        <v/>
      </c>
      <c r="R19" t="str">
        <f>IFERROR(INDEX('DRAFT 1'!$N:$N,MATCH($B19,'DRAFT 1'!$B:$B,0)),"")</f>
        <v/>
      </c>
      <c r="S19" t="str">
        <f>IFERROR(INDEX('DRAFT 1'!$O:$O,MATCH($B19,'DRAFT 1'!$B:$B,0)),"")</f>
        <v/>
      </c>
      <c r="T19" t="str">
        <f>IFERROR(INDEX('DRAFT 1'!$P:$P,MATCH($B19,'DRAFT 1'!$B:$B,0)),"")</f>
        <v/>
      </c>
      <c r="U19" t="str">
        <f>IFERROR(INDEX('DRAFT 1'!$Q:$Q,MATCH($B19,'DRAFT 1'!$B:$B,0)),"")</f>
        <v/>
      </c>
      <c r="V19" t="str">
        <f>IFERROR(INDEX('DRAFT 1'!$R:$R,MATCH($B19,'DRAFT 1'!$B:$B,0)),"")</f>
        <v/>
      </c>
      <c r="W19" t="str">
        <f>IFERROR(INDEX('DRAFT 1'!$S:$S,MATCH($B19,'DRAFT 1'!$B:$B,0)),"")</f>
        <v/>
      </c>
      <c r="X19" t="str">
        <f>IFERROR(INDEX('DRAFT 1'!$T:$T,MATCH($B19,'DRAFT 1'!$B:$B,0)),"")</f>
        <v/>
      </c>
      <c r="Z19" t="str">
        <f>IFERROR(INDEX('DRAFT 1'!$U:$U,MATCH($B19,'DRAFT 1'!$B:$B,0)),"")</f>
        <v/>
      </c>
      <c r="AA19" t="str">
        <f>IFERROR(INDEX('DRAFT 1'!$V:$V,MATCH($B19,'DRAFT 1'!$B:$B,0)),"")</f>
        <v/>
      </c>
      <c r="AB19" t="str">
        <f>IFERROR(INDEX('DRAFT 1'!$W:$W,MATCH($B19,'DRAFT 1'!$B:$B,0)),"")</f>
        <v/>
      </c>
      <c r="AC19" t="str">
        <f>IFERROR(INDEX('DRAFT 1'!$X:$X,MATCH($B19,'DRAFT 1'!$B:$B,0)),"")</f>
        <v/>
      </c>
      <c r="AD19" t="str">
        <f>IFERROR(INDEX('DRAFT 1'!$Y:$Y,MATCH($B19,'DRAFT 1'!$B:$B,0)),"")</f>
        <v/>
      </c>
      <c r="AE19" t="str">
        <f>IFERROR(INDEX('DRAFT 1'!$Z:$Z,MATCH($B19,'DRAFT 1'!$B:$B,0)),"")</f>
        <v/>
      </c>
      <c r="AF19" t="str">
        <f>IFERROR(INDEX('DRAFT 1'!$AA:$AA,MATCH($B19,'DRAFT 1'!$B:$B,0)),"")</f>
        <v/>
      </c>
      <c r="AG19" t="str">
        <f>IFERROR(INDEX('DRAFT 1'!$AB:$AB,MATCH($B19,'DRAFT 1'!$B:$B,0)),"")</f>
        <v/>
      </c>
      <c r="AH19" t="str">
        <f>IFERROR(INDEX('DRAFT 1'!$AC:$AC,MATCH($B19,'DRAFT 1'!$B:$B,0)),"")</f>
        <v/>
      </c>
      <c r="AI19" t="str">
        <f>IFERROR(INDEX('DRAFT 1'!$AD:$AD,MATCH($B19,'DRAFT 1'!$B:$B,0)),"")</f>
        <v/>
      </c>
      <c r="AJ19" t="str">
        <f>IFERROR(INDEX('DRAFT 1'!$AE:$AE,MATCH($B19,'DRAFT 1'!$B:$B,0)),"")</f>
        <v/>
      </c>
      <c r="AK19" t="str">
        <f>IFERROR(INDEX('DRAFT 1'!$AG:$AG,MATCH($B19,'DRAFT 1'!$B:$B,0)),"")</f>
        <v/>
      </c>
      <c r="AL19" t="str">
        <f>IFERROR(INDEX('DRAFT 1'!$AH:$AH,MATCH($B19,'DRAFT 1'!$B:$B,0)),"")</f>
        <v/>
      </c>
      <c r="AM19" t="str">
        <f>IFERROR(INDEX('DRAFT 1'!$AI:$AI,MATCH($B19,'DRAFT 1'!$B:$B,0)),"")</f>
        <v/>
      </c>
      <c r="AN19" t="str">
        <f>IFERROR(INDEX('DRAFT 1'!$AJ:$AJ,MATCH($B19,'DRAFT 1'!$B:$B,0)),"")</f>
        <v/>
      </c>
      <c r="AO19">
        <f t="shared" si="0"/>
        <v>0</v>
      </c>
      <c r="AP19" t="str">
        <f>IFERROR(INDEX('DRAFT 1'!$AK:$AK,MATCH($B19,'DRAFT 1'!$B:$B,0)),"")</f>
        <v/>
      </c>
      <c r="AR19" t="s">
        <v>95</v>
      </c>
      <c r="AS19">
        <f>IFERROR(LOOKUP(2,1/('DRAFT 2'!$D:$D=$B19),'DRAFT 2'!$T:$T),"")</f>
        <v>0</v>
      </c>
      <c r="AT19">
        <f>IFERROR(LOOKUP(2,1/('DRAFT 2'!$D:$D=$B19),'DRAFT 2'!$A:$A),"")</f>
        <v>0</v>
      </c>
      <c r="AU19">
        <f>IFERROR(LOOKUP(2,1/('DRAFT 2'!$D:$D=$B19),'DRAFT 2'!$R:$R),"")</f>
        <v>0</v>
      </c>
      <c r="AV19">
        <f>IFERROR(LOOKUP(2,1/('DRAFT 2'!$D:$D=$B19),'DRAFT 2'!$S:$S),"")</f>
        <v>0</v>
      </c>
      <c r="AW19" t="s">
        <v>88</v>
      </c>
      <c r="AX19">
        <f>IFERROR(LOOKUP(2,1/('DRAFT 2'!$D:$D=$B19),'DRAFT 2'!$M:$M),"")</f>
        <v>0</v>
      </c>
      <c r="AY19">
        <f>IFERROR(LOOKUP(2,1/('DRAFT 2'!$D:$D=$B19),'DRAFT 2'!$K:$K),"")</f>
        <v>0</v>
      </c>
      <c r="BG19">
        <f>IFERROR(LOOKUP(2,1/('DRAFT 2'!$D:$D=$B19),'DRAFT 2'!$U:$U),"")</f>
        <v>0</v>
      </c>
      <c r="BH19">
        <f>IFERROR(LOOKUP(2,1/('DRAFT 2'!$D:$D=$B19),'DRAFT 2'!$V:$V),"")</f>
        <v>0</v>
      </c>
      <c r="CE19" t="str">
        <f t="shared" si="1"/>
        <v/>
      </c>
      <c r="CF19">
        <f>IFERROR(LOOKUP(2,1/('DRAFT 2'!$D:$D=$B19)*('DRAFT 2'!$A:$A&gt;=DATE(2026,1,1))*('DRAFT 2'!$A:$A&lt;DATE(2026,IF(1=12,1+1,1+1),1)),'DRAFT 2'!$A:$A),"")</f>
        <v>0</v>
      </c>
      <c r="CG19">
        <f>COUNTIFS('DRAFT 2'!$D:$D,$B19,'DRAFT 2'!$A:$A,"&gt;="&amp;DATE(2026,1,1),'DRAFT 2'!$A:$A,"&lt;="&amp;DATE(2026,1,7))</f>
        <v>0</v>
      </c>
      <c r="CH19">
        <f>COUNTIFS('DRAFT 2'!$D:$D,$B19,'DRAFT 2'!$A:$A,"&gt;="&amp;DATE(2026,1,8),'DRAFT 2'!$A:$A,"&lt;="&amp;DATE(2026,1,14))</f>
        <v>0</v>
      </c>
      <c r="CI19">
        <f>COUNTIFS('DRAFT 2'!$D:$D,$B19,'DRAFT 2'!$A:$A,"&gt;="&amp;DATE(2026,1,15),'DRAFT 2'!$A:$A,"&lt;="&amp;DATE(2026,1,21))</f>
        <v>0</v>
      </c>
      <c r="CJ19">
        <f>COUNTIFS('DRAFT 2'!$D:$D,$B19,'DRAFT 2'!$A:$A,"&gt;="&amp;DATE(2026,1,22),'DRAFT 2'!$A:$A,"&lt;"&amp;DATE(2026,IF(1=12,1+1,1+1),1))</f>
        <v>0</v>
      </c>
      <c r="CK19">
        <f t="shared" si="2"/>
        <v>0</v>
      </c>
      <c r="CT19">
        <v>0</v>
      </c>
      <c r="CU19">
        <f>IFERROR(LOOKUP(2,1/('DRAFT 2'!$D:$D=$B19)*('DRAFT 2'!$A:$A&gt;=DATE(2026,2,1))*('DRAFT 2'!$A:$A&lt;DATE(2026,IF(2=12,2+1,2+1),1)),'DRAFT 2'!$A:$A),"")</f>
        <v>0</v>
      </c>
      <c r="CV19">
        <f>COUNTIFS('DRAFT 2'!$D:$D,$B19,'DRAFT 2'!$A:$A,"&gt;="&amp;DATE(2026,2,1),'DRAFT 2'!$A:$A,"&lt;="&amp;DATE(2026,2,7))</f>
        <v>0</v>
      </c>
      <c r="CW19">
        <f>COUNTIFS('DRAFT 2'!$D:$D,$B19,'DRAFT 2'!$A:$A,"&gt;="&amp;DATE(2026,2,8),'DRAFT 2'!$A:$A,"&lt;="&amp;DATE(2026,2,14))</f>
        <v>0</v>
      </c>
      <c r="CX19">
        <f>COUNTIFS('DRAFT 2'!$D:$D,$B19,'DRAFT 2'!$A:$A,"&gt;="&amp;DATE(2026,2,15),'DRAFT 2'!$A:$A,"&lt;="&amp;DATE(2026,2,21))</f>
        <v>0</v>
      </c>
      <c r="CY19">
        <f>COUNTIFS('DRAFT 2'!$D:$D,$B19,'DRAFT 2'!$A:$A,"&gt;="&amp;DATE(2026,2,22),'DRAFT 2'!$A:$A,"&lt;"&amp;DATE(2026,IF(2=12,2+1,2+1),1))</f>
        <v>0</v>
      </c>
      <c r="CZ19">
        <f t="shared" si="3"/>
        <v>0</v>
      </c>
      <c r="DJ19">
        <f>IFERROR(LOOKUP(2,1/('DRAFT 2'!$D:$D=$B19)*('DRAFT 2'!$A:$A&gt;=DATE(2026,3,1))*('DRAFT 2'!$A:$A&lt;DATE(2026,IF(3=12,3+1,3+1),1)),'DRAFT 2'!$A:$A),"")</f>
        <v>0</v>
      </c>
      <c r="DK19">
        <f>COUNTIFS('DRAFT 2'!$D:$D,$B19,'DRAFT 2'!$A:$A,"&gt;="&amp;DATE(2026,3,1),'DRAFT 2'!$A:$A,"&lt;="&amp;DATE(2026,3,7))</f>
        <v>0</v>
      </c>
      <c r="DL19">
        <f>COUNTIFS('DRAFT 2'!$D:$D,$B19,'DRAFT 2'!$A:$A,"&gt;="&amp;DATE(2026,3,8),'DRAFT 2'!$A:$A,"&lt;="&amp;DATE(2026,3,14))</f>
        <v>0</v>
      </c>
      <c r="DM19">
        <f>COUNTIFS('DRAFT 2'!$D:$D,$B19,'DRAFT 2'!$A:$A,"&gt;="&amp;DATE(2026,3,15),'DRAFT 2'!$A:$A,"&lt;="&amp;DATE(2026,3,21))</f>
        <v>0</v>
      </c>
      <c r="DN19">
        <f>COUNTIFS('DRAFT 2'!$D:$D,$B19,'DRAFT 2'!$A:$A,"&gt;="&amp;DATE(2026,3,22),'DRAFT 2'!$A:$A,"&lt;"&amp;DATE(2026,IF(3=12,3+1,3+1),1))</f>
        <v>0</v>
      </c>
      <c r="DO19">
        <f t="shared" si="4"/>
        <v>0</v>
      </c>
      <c r="DZ19">
        <f>IFERROR(LOOKUP(2,1/('DRAFT 2'!$D:$D=$B19)*('DRAFT 2'!$A:$A&gt;=DATE(2026,4,1))*('DRAFT 2'!$A:$A&lt;DATE(2026,IF(4=12,4+1,4+1),1)),'DRAFT 2'!$A:$A),"")</f>
        <v>0</v>
      </c>
      <c r="EA19">
        <f>COUNTIFS('DRAFT 2'!$D:$D,$B19,'DRAFT 2'!$A:$A,"&gt;="&amp;DATE(2026,4,1),'DRAFT 2'!$A:$A,"&lt;="&amp;DATE(2026,4,7))</f>
        <v>0</v>
      </c>
      <c r="EB19">
        <f>COUNTIFS('DRAFT 2'!$D:$D,$B19,'DRAFT 2'!$A:$A,"&gt;="&amp;DATE(2026,4,8),'DRAFT 2'!$A:$A,"&lt;="&amp;DATE(2026,4,14))</f>
        <v>0</v>
      </c>
      <c r="EC19">
        <f>COUNTIFS('DRAFT 2'!$D:$D,$B19,'DRAFT 2'!$A:$A,"&gt;="&amp;DATE(2026,4,15),'DRAFT 2'!$A:$A,"&lt;="&amp;DATE(2026,4,21))</f>
        <v>0</v>
      </c>
      <c r="ED19">
        <f>COUNTIFS('DRAFT 2'!$D:$D,$B19,'DRAFT 2'!$A:$A,"&gt;="&amp;DATE(2026,4,22),'DRAFT 2'!$A:$A,"&lt;"&amp;DATE(2026,IF(4=12,4+1,4+1),1))</f>
        <v>0</v>
      </c>
      <c r="EE19">
        <f t="shared" si="5"/>
        <v>0</v>
      </c>
      <c r="EO19">
        <f>IFERROR(LOOKUP(2,1/('DRAFT 2'!$D:$D=$B19)*('DRAFT 2'!$A:$A&gt;=DATE(2026,5,1))*('DRAFT 2'!$A:$A&lt;DATE(2026,IF(5=12,5+1,5+1),1)),'DRAFT 2'!$A:$A),"")</f>
        <v>0</v>
      </c>
      <c r="EP19">
        <f>COUNTIFS('DRAFT 2'!$D:$D,$B19,'DRAFT 2'!$A:$A,"&gt;="&amp;DATE(2026,5,1),'DRAFT 2'!$A:$A,"&lt;="&amp;DATE(2026,5,7))</f>
        <v>0</v>
      </c>
      <c r="EQ19">
        <f>COUNTIFS('DRAFT 2'!$D:$D,$B19,'DRAFT 2'!$A:$A,"&gt;="&amp;DATE(2026,5,8),'DRAFT 2'!$A:$A,"&lt;="&amp;DATE(2026,5,14))</f>
        <v>0</v>
      </c>
      <c r="ER19">
        <f>COUNTIFS('DRAFT 2'!$D:$D,$B19,'DRAFT 2'!$A:$A,"&gt;="&amp;DATE(2026,5,15),'DRAFT 2'!$A:$A,"&lt;="&amp;DATE(2026,5,21))</f>
        <v>0</v>
      </c>
      <c r="ES19">
        <f>COUNTIFS('DRAFT 2'!$D:$D,$B19,'DRAFT 2'!$A:$A,"&gt;="&amp;DATE(2026,5,22),'DRAFT 2'!$A:$A,"&lt;"&amp;DATE(2026,IF(5=12,5+1,5+1),1))</f>
        <v>0</v>
      </c>
      <c r="ET19">
        <f t="shared" si="6"/>
        <v>0</v>
      </c>
      <c r="FD19">
        <f>IFERROR(LOOKUP(2,1/('DRAFT 2'!$D:$D=$B19)*('DRAFT 2'!$A:$A&gt;=DATE(2026,6,1))*('DRAFT 2'!$A:$A&lt;DATE(2026,IF(6=12,6+1,6+1),1)),'DRAFT 2'!$A:$A),"")</f>
        <v>0</v>
      </c>
      <c r="FE19">
        <f>COUNTIFS('DRAFT 2'!$D:$D,$B19,'DRAFT 2'!$A:$A,"&gt;="&amp;DATE(2026,6,1),'DRAFT 2'!$A:$A,"&lt;="&amp;DATE(2026,6,7))</f>
        <v>0</v>
      </c>
      <c r="FF19">
        <f>COUNTIFS('DRAFT 2'!$D:$D,$B19,'DRAFT 2'!$A:$A,"&gt;="&amp;DATE(2026,6,8),'DRAFT 2'!$A:$A,"&lt;="&amp;DATE(2026,6,14))</f>
        <v>0</v>
      </c>
      <c r="FG19">
        <f>COUNTIFS('DRAFT 2'!$D:$D,$B19,'DRAFT 2'!$A:$A,"&gt;="&amp;DATE(2026,6,15),'DRAFT 2'!$A:$A,"&lt;="&amp;DATE(2026,6,21))</f>
        <v>0</v>
      </c>
      <c r="FH19">
        <f>COUNTIFS('DRAFT 2'!$D:$D,$B19,'DRAFT 2'!$A:$A,"&gt;="&amp;DATE(2026,6,22),'DRAFT 2'!$A:$A,"&lt;"&amp;DATE(2026,IF(6=12,6+1,6+1),1))</f>
        <v>0</v>
      </c>
      <c r="FI19">
        <f t="shared" si="7"/>
        <v>0</v>
      </c>
      <c r="FT19">
        <f>IFERROR(LOOKUP(2,1/('DRAFT 2'!$D:$D=$B19)*('DRAFT 2'!$A:$A&gt;=DATE(2026,7,1))*('DRAFT 2'!$A:$A&lt;DATE(2026,IF(7=12,7+1,7+1),1)),'DRAFT 2'!$A:$A),"")</f>
        <v>0</v>
      </c>
      <c r="FU19">
        <f>COUNTIFS('DRAFT 2'!$D:$D,$B19,'DRAFT 2'!$A:$A,"&gt;="&amp;DATE(2026,7,1),'DRAFT 2'!$A:$A,"&lt;="&amp;DATE(2026,7,7))</f>
        <v>0</v>
      </c>
      <c r="FV19">
        <f>COUNTIFS('DRAFT 2'!$D:$D,$B19,'DRAFT 2'!$A:$A,"&gt;="&amp;DATE(2026,7,8),'DRAFT 2'!$A:$A,"&lt;="&amp;DATE(2026,7,14))</f>
        <v>0</v>
      </c>
      <c r="FW19">
        <f>COUNTIFS('DRAFT 2'!$D:$D,$B19,'DRAFT 2'!$A:$A,"&gt;="&amp;DATE(2026,7,15),'DRAFT 2'!$A:$A,"&lt;="&amp;DATE(2026,7,21))</f>
        <v>0</v>
      </c>
      <c r="FX19">
        <f>COUNTIFS('DRAFT 2'!$D:$D,$B19,'DRAFT 2'!$A:$A,"&gt;="&amp;DATE(2026,7,22),'DRAFT 2'!$A:$A,"&lt;"&amp;DATE(2026,IF(7=12,7+1,7+1),1))</f>
        <v>0</v>
      </c>
      <c r="FY19">
        <f t="shared" si="8"/>
        <v>0</v>
      </c>
      <c r="GI19">
        <f>IFERROR(LOOKUP(2,1/('DRAFT 2'!$D:$D=$B19)*('DRAFT 2'!$A:$A&gt;=DATE(2026,8,1))*('DRAFT 2'!$A:$A&lt;DATE(2026,IF(8=12,8+1,8+1),1)),'DRAFT 2'!$A:$A),"")</f>
        <v>0</v>
      </c>
      <c r="GJ19">
        <f>COUNTIFS('DRAFT 2'!$D:$D,$B19,'DRAFT 2'!$A:$A,"&gt;="&amp;DATE(2026,8,1),'DRAFT 2'!$A:$A,"&lt;="&amp;DATE(2026,8,7))</f>
        <v>0</v>
      </c>
      <c r="GK19">
        <f>COUNTIFS('DRAFT 2'!$D:$D,$B19,'DRAFT 2'!$A:$A,"&gt;="&amp;DATE(2026,8,8),'DRAFT 2'!$A:$A,"&lt;="&amp;DATE(2026,8,14))</f>
        <v>0</v>
      </c>
      <c r="GL19">
        <f>COUNTIFS('DRAFT 2'!$D:$D,$B19,'DRAFT 2'!$A:$A,"&gt;="&amp;DATE(2026,8,15),'DRAFT 2'!$A:$A,"&lt;="&amp;DATE(2026,8,21))</f>
        <v>0</v>
      </c>
      <c r="GM19">
        <f>COUNTIFS('DRAFT 2'!$D:$D,$B19,'DRAFT 2'!$A:$A,"&gt;="&amp;DATE(2026,8,22),'DRAFT 2'!$A:$A,"&lt;"&amp;DATE(2026,IF(8=12,8+1,8+1),1))</f>
        <v>0</v>
      </c>
      <c r="GN19">
        <f t="shared" si="9"/>
        <v>0</v>
      </c>
      <c r="GX19">
        <f>IFERROR(LOOKUP(2,1/('DRAFT 2'!$D:$D=$B19)*('DRAFT 2'!$A:$A&gt;=DATE(2026,9,1))*('DRAFT 2'!$A:$A&lt;DATE(2026,IF(9=12,9+1,9+1),1)),'DRAFT 2'!$A:$A),"")</f>
        <v>0</v>
      </c>
      <c r="GY19">
        <f>COUNTIFS('DRAFT 2'!$D:$D,$B19,'DRAFT 2'!$A:$A,"&gt;="&amp;DATE(2026,9,1),'DRAFT 2'!$A:$A,"&lt;="&amp;DATE(2026,9,7))</f>
        <v>0</v>
      </c>
      <c r="GZ19">
        <f>COUNTIFS('DRAFT 2'!$D:$D,$B19,'DRAFT 2'!$A:$A,"&gt;="&amp;DATE(2026,9,8),'DRAFT 2'!$A:$A,"&lt;="&amp;DATE(2026,9,14))</f>
        <v>0</v>
      </c>
      <c r="HA19">
        <f>COUNTIFS('DRAFT 2'!$D:$D,$B19,'DRAFT 2'!$A:$A,"&gt;="&amp;DATE(2026,9,15),'DRAFT 2'!$A:$A,"&lt;="&amp;DATE(2026,9,21))</f>
        <v>0</v>
      </c>
      <c r="HB19">
        <f>COUNTIFS('DRAFT 2'!$D:$D,$B19,'DRAFT 2'!$A:$A,"&gt;="&amp;DATE(2026,9,22),'DRAFT 2'!$A:$A,"&lt;"&amp;DATE(2026,IF(9=12,9+1,9+1),1))</f>
        <v>0</v>
      </c>
      <c r="HC19">
        <f t="shared" si="10"/>
        <v>0</v>
      </c>
      <c r="HN19">
        <f>IFERROR(LOOKUP(2,1/('DRAFT 2'!$D:$D=$B19)*('DRAFT 2'!$A:$A&gt;=DATE(2026,10,1))*('DRAFT 2'!$A:$A&lt;DATE(2026,IF(10=12,10+1,10+1),1)),'DRAFT 2'!$A:$A),"")</f>
        <v>0</v>
      </c>
      <c r="HO19">
        <f>COUNTIFS('DRAFT 2'!$D:$D,$B19,'DRAFT 2'!$A:$A,"&gt;="&amp;DATE(2026,10,1),'DRAFT 2'!$A:$A,"&lt;="&amp;DATE(2026,10,7))</f>
        <v>0</v>
      </c>
      <c r="HP19">
        <f>COUNTIFS('DRAFT 2'!$D:$D,$B19,'DRAFT 2'!$A:$A,"&gt;="&amp;DATE(2026,10,8),'DRAFT 2'!$A:$A,"&lt;="&amp;DATE(2026,10,14))</f>
        <v>0</v>
      </c>
      <c r="HQ19">
        <f>COUNTIFS('DRAFT 2'!$D:$D,$B19,'DRAFT 2'!$A:$A,"&gt;="&amp;DATE(2026,10,15),'DRAFT 2'!$A:$A,"&lt;="&amp;DATE(2026,10,21))</f>
        <v>0</v>
      </c>
      <c r="HR19">
        <f>COUNTIFS('DRAFT 2'!$D:$D,$B19,'DRAFT 2'!$A:$A,"&gt;="&amp;DATE(2026,10,22),'DRAFT 2'!$A:$A,"&lt;"&amp;DATE(2026,IF(10=12,10+1,10+1),1))</f>
        <v>0</v>
      </c>
      <c r="HS19">
        <f t="shared" si="11"/>
        <v>0</v>
      </c>
      <c r="IC19">
        <f>IFERROR(LOOKUP(2,1/('DRAFT 2'!$D:$D=$B19)*('DRAFT 2'!$A:$A&gt;=DATE(2026,11,1))*('DRAFT 2'!$A:$A&lt;DATE(2026,IF(11=12,11+1,11+1),1)),'DRAFT 2'!$A:$A),"")</f>
        <v>0</v>
      </c>
      <c r="ID19">
        <f>COUNTIFS('DRAFT 2'!$D:$D,$B19,'DRAFT 2'!$A:$A,"&gt;="&amp;DATE(2026,11,1),'DRAFT 2'!$A:$A,"&lt;="&amp;DATE(2026,11,7))</f>
        <v>0</v>
      </c>
      <c r="IE19">
        <f>COUNTIFS('DRAFT 2'!$D:$D,$B19,'DRAFT 2'!$A:$A,"&gt;="&amp;DATE(2026,11,8),'DRAFT 2'!$A:$A,"&lt;="&amp;DATE(2026,11,14))</f>
        <v>0</v>
      </c>
      <c r="IF19">
        <f>COUNTIFS('DRAFT 2'!$D:$D,$B19,'DRAFT 2'!$A:$A,"&gt;="&amp;DATE(2026,11,15),'DRAFT 2'!$A:$A,"&lt;="&amp;DATE(2026,11,21))</f>
        <v>0</v>
      </c>
      <c r="IG19">
        <f>COUNTIFS('DRAFT 2'!$D:$D,$B19,'DRAFT 2'!$A:$A,"&gt;="&amp;DATE(2026,11,22),'DRAFT 2'!$A:$A,"&lt;"&amp;DATE(2026,IF(11=12,11+1,11+1),1))</f>
        <v>0</v>
      </c>
      <c r="IH19">
        <f t="shared" si="12"/>
        <v>0</v>
      </c>
      <c r="IR19">
        <f>IFERROR(LOOKUP(2,1/('DRAFT 2'!$D:$D=$B19)*('DRAFT 2'!$A:$A&gt;=DATE(2026,12,1))*('DRAFT 2'!$A:$A&lt;DATE(2026,IF(12=12,12+1,12+1),1)),'DRAFT 2'!$A:$A),"")</f>
        <v>0</v>
      </c>
      <c r="IS19">
        <f>COUNTIFS('DRAFT 2'!$D:$D,$B19,'DRAFT 2'!$A:$A,"&gt;="&amp;DATE(2026,12,1),'DRAFT 2'!$A:$A,"&lt;="&amp;DATE(2026,12,7))</f>
        <v>0</v>
      </c>
      <c r="IT19">
        <f>COUNTIFS('DRAFT 2'!$D:$D,$B19,'DRAFT 2'!$A:$A,"&gt;="&amp;DATE(2026,12,8),'DRAFT 2'!$A:$A,"&lt;="&amp;DATE(2026,12,14))</f>
        <v>0</v>
      </c>
      <c r="IU19">
        <f>COUNTIFS('DRAFT 2'!$D:$D,$B19,'DRAFT 2'!$A:$A,"&gt;="&amp;DATE(2026,12,15),'DRAFT 2'!$A:$A,"&lt;="&amp;DATE(2026,12,21))</f>
        <v>0</v>
      </c>
      <c r="IV19">
        <f>COUNTIFS('DRAFT 2'!$D:$D,$B19,'DRAFT 2'!$A:$A,"&gt;="&amp;DATE(2026,12,22),'DRAFT 2'!$A:$A,"&lt;"&amp;DATE(2026,IF(12=12,12+1,12+1),1))</f>
        <v>0</v>
      </c>
      <c r="IW19">
        <f t="shared" si="13"/>
        <v>0</v>
      </c>
    </row>
    <row r="20" spans="1:257" x14ac:dyDescent="0.3">
      <c r="A20" t="str">
        <f>IFERROR(INDEX('DRAFT 1'!$A:$A,MATCH($B20,'DRAFT 1'!$B:$B,0)),"")</f>
        <v/>
      </c>
      <c r="C20" t="str">
        <f>IFERROR(INDEX('DRAFT 1'!$C:$C,MATCH($B20,'DRAFT 1'!$B:$B,0)),"")</f>
        <v/>
      </c>
      <c r="D20" t="str">
        <f>IFERROR(INDEX('DRAFT 1'!$D:$D,MATCH($B20,'DRAFT 1'!$B:$B,0)),"")</f>
        <v/>
      </c>
      <c r="E20" t="str">
        <f>IFERROR(INDEX('DRAFT 1'!$E:$E,MATCH($B20,'DRAFT 1'!$B:$B,0)),"")</f>
        <v/>
      </c>
      <c r="F20" t="str">
        <f>IFERROR(INDEX('DRAFT 1'!$F:$F,MATCH($B20,'DRAFT 1'!$B:$B,0)),"")</f>
        <v/>
      </c>
      <c r="G20" t="str">
        <f>IFERROR(INDEX('DRAFT 1'!$G:$G,MATCH($B20,'DRAFT 1'!$B:$B,0)),"")</f>
        <v/>
      </c>
      <c r="H20" t="str">
        <f>IFERROR(INDEX('DRAFT 1'!$H:$H,MATCH($B20,'DRAFT 1'!$B:$B,0)),"")</f>
        <v/>
      </c>
      <c r="I20" t="s">
        <v>286</v>
      </c>
      <c r="K20" t="str">
        <f>IFERROR(INDEX('DRAFT 1'!$AL:$AL,MATCH($B20,'DRAFT 1'!$B:$B,0)),"")</f>
        <v/>
      </c>
      <c r="L20" t="str">
        <f>IFERROR(INDEX('DRAFT 1'!$J:$J,MATCH($B20,'DRAFT 1'!$B:$B,0)),"")</f>
        <v/>
      </c>
      <c r="M20" t="str">
        <f>IFERROR(INDEX('DRAFT 1'!$K:$K,MATCH($B20,'DRAFT 1'!$B:$B,0)),"")</f>
        <v/>
      </c>
      <c r="N20" t="s">
        <v>79</v>
      </c>
      <c r="P20" t="str">
        <f>IFERROR(INDEX('DRAFT 1'!$L:$L,MATCH($B20,'DRAFT 1'!$B:$B,0)),"")</f>
        <v/>
      </c>
      <c r="Q20" t="str">
        <f>IFERROR(INDEX('DRAFT 1'!$M:$M,MATCH($B20,'DRAFT 1'!$B:$B,0)),"")</f>
        <v/>
      </c>
      <c r="R20" t="str">
        <f>IFERROR(INDEX('DRAFT 1'!$N:$N,MATCH($B20,'DRAFT 1'!$B:$B,0)),"")</f>
        <v/>
      </c>
      <c r="S20" t="str">
        <f>IFERROR(INDEX('DRAFT 1'!$O:$O,MATCH($B20,'DRAFT 1'!$B:$B,0)),"")</f>
        <v/>
      </c>
      <c r="T20" t="str">
        <f>IFERROR(INDEX('DRAFT 1'!$P:$P,MATCH($B20,'DRAFT 1'!$B:$B,0)),"")</f>
        <v/>
      </c>
      <c r="U20" t="str">
        <f>IFERROR(INDEX('DRAFT 1'!$Q:$Q,MATCH($B20,'DRAFT 1'!$B:$B,0)),"")</f>
        <v/>
      </c>
      <c r="V20" t="str">
        <f>IFERROR(INDEX('DRAFT 1'!$R:$R,MATCH($B20,'DRAFT 1'!$B:$B,0)),"")</f>
        <v/>
      </c>
      <c r="W20" t="str">
        <f>IFERROR(INDEX('DRAFT 1'!$S:$S,MATCH($B20,'DRAFT 1'!$B:$B,0)),"")</f>
        <v/>
      </c>
      <c r="X20" t="str">
        <f>IFERROR(INDEX('DRAFT 1'!$T:$T,MATCH($B20,'DRAFT 1'!$B:$B,0)),"")</f>
        <v/>
      </c>
      <c r="Z20" t="str">
        <f>IFERROR(INDEX('DRAFT 1'!$U:$U,MATCH($B20,'DRAFT 1'!$B:$B,0)),"")</f>
        <v/>
      </c>
      <c r="AA20" t="str">
        <f>IFERROR(INDEX('DRAFT 1'!$V:$V,MATCH($B20,'DRAFT 1'!$B:$B,0)),"")</f>
        <v/>
      </c>
      <c r="AB20" t="str">
        <f>IFERROR(INDEX('DRAFT 1'!$W:$W,MATCH($B20,'DRAFT 1'!$B:$B,0)),"")</f>
        <v/>
      </c>
      <c r="AC20" t="str">
        <f>IFERROR(INDEX('DRAFT 1'!$X:$X,MATCH($B20,'DRAFT 1'!$B:$B,0)),"")</f>
        <v/>
      </c>
      <c r="AD20" t="str">
        <f>IFERROR(INDEX('DRAFT 1'!$Y:$Y,MATCH($B20,'DRAFT 1'!$B:$B,0)),"")</f>
        <v/>
      </c>
      <c r="AE20" t="str">
        <f>IFERROR(INDEX('DRAFT 1'!$Z:$Z,MATCH($B20,'DRAFT 1'!$B:$B,0)),"")</f>
        <v/>
      </c>
      <c r="AF20" t="str">
        <f>IFERROR(INDEX('DRAFT 1'!$AA:$AA,MATCH($B20,'DRAFT 1'!$B:$B,0)),"")</f>
        <v/>
      </c>
      <c r="AG20" t="str">
        <f>IFERROR(INDEX('DRAFT 1'!$AB:$AB,MATCH($B20,'DRAFT 1'!$B:$B,0)),"")</f>
        <v/>
      </c>
      <c r="AH20" t="str">
        <f>IFERROR(INDEX('DRAFT 1'!$AC:$AC,MATCH($B20,'DRAFT 1'!$B:$B,0)),"")</f>
        <v/>
      </c>
      <c r="AI20" t="str">
        <f>IFERROR(INDEX('DRAFT 1'!$AD:$AD,MATCH($B20,'DRAFT 1'!$B:$B,0)),"")</f>
        <v/>
      </c>
      <c r="AJ20" t="str">
        <f>IFERROR(INDEX('DRAFT 1'!$AE:$AE,MATCH($B20,'DRAFT 1'!$B:$B,0)),"")</f>
        <v/>
      </c>
      <c r="AK20" t="str">
        <f>IFERROR(INDEX('DRAFT 1'!$AG:$AG,MATCH($B20,'DRAFT 1'!$B:$B,0)),"")</f>
        <v/>
      </c>
      <c r="AL20" t="str">
        <f>IFERROR(INDEX('DRAFT 1'!$AH:$AH,MATCH($B20,'DRAFT 1'!$B:$B,0)),"")</f>
        <v/>
      </c>
      <c r="AM20" t="str">
        <f>IFERROR(INDEX('DRAFT 1'!$AI:$AI,MATCH($B20,'DRAFT 1'!$B:$B,0)),"")</f>
        <v/>
      </c>
      <c r="AN20" t="str">
        <f>IFERROR(INDEX('DRAFT 1'!$AJ:$AJ,MATCH($B20,'DRAFT 1'!$B:$B,0)),"")</f>
        <v/>
      </c>
      <c r="AO20">
        <f t="shared" si="0"/>
        <v>0</v>
      </c>
      <c r="AP20" t="str">
        <f>IFERROR(INDEX('DRAFT 1'!$AK:$AK,MATCH($B20,'DRAFT 1'!$B:$B,0)),"")</f>
        <v/>
      </c>
      <c r="AR20" t="s">
        <v>91</v>
      </c>
      <c r="AS20">
        <f>IFERROR(LOOKUP(2,1/('DRAFT 2'!$D:$D=$B20),'DRAFT 2'!$T:$T),"")</f>
        <v>0</v>
      </c>
      <c r="AT20">
        <f>IFERROR(LOOKUP(2,1/('DRAFT 2'!$D:$D=$B20),'DRAFT 2'!$A:$A),"")</f>
        <v>0</v>
      </c>
      <c r="AU20">
        <f>IFERROR(LOOKUP(2,1/('DRAFT 2'!$D:$D=$B20),'DRAFT 2'!$R:$R),"")</f>
        <v>0</v>
      </c>
      <c r="AV20">
        <f>IFERROR(LOOKUP(2,1/('DRAFT 2'!$D:$D=$B20),'DRAFT 2'!$S:$S),"")</f>
        <v>0</v>
      </c>
      <c r="AW20" t="s">
        <v>128</v>
      </c>
      <c r="AX20">
        <f>IFERROR(LOOKUP(2,1/('DRAFT 2'!$D:$D=$B20),'DRAFT 2'!$M:$M),"")</f>
        <v>0</v>
      </c>
      <c r="AY20">
        <f>IFERROR(LOOKUP(2,1/('DRAFT 2'!$D:$D=$B20),'DRAFT 2'!$K:$K),"")</f>
        <v>0</v>
      </c>
      <c r="BG20">
        <f>IFERROR(LOOKUP(2,1/('DRAFT 2'!$D:$D=$B20),'DRAFT 2'!$U:$U),"")</f>
        <v>0</v>
      </c>
      <c r="BH20">
        <f>IFERROR(LOOKUP(2,1/('DRAFT 2'!$D:$D=$B20),'DRAFT 2'!$V:$V),"")</f>
        <v>0</v>
      </c>
      <c r="CE20" t="str">
        <f t="shared" si="1"/>
        <v/>
      </c>
      <c r="CF20">
        <f>IFERROR(LOOKUP(2,1/('DRAFT 2'!$D:$D=$B20)*('DRAFT 2'!$A:$A&gt;=DATE(2026,1,1))*('DRAFT 2'!$A:$A&lt;DATE(2026,IF(1=12,1+1,1+1),1)),'DRAFT 2'!$A:$A),"")</f>
        <v>0</v>
      </c>
      <c r="CG20">
        <f>COUNTIFS('DRAFT 2'!$D:$D,$B20,'DRAFT 2'!$A:$A,"&gt;="&amp;DATE(2026,1,1),'DRAFT 2'!$A:$A,"&lt;="&amp;DATE(2026,1,7))</f>
        <v>0</v>
      </c>
      <c r="CH20">
        <f>COUNTIFS('DRAFT 2'!$D:$D,$B20,'DRAFT 2'!$A:$A,"&gt;="&amp;DATE(2026,1,8),'DRAFT 2'!$A:$A,"&lt;="&amp;DATE(2026,1,14))</f>
        <v>0</v>
      </c>
      <c r="CI20">
        <f>COUNTIFS('DRAFT 2'!$D:$D,$B20,'DRAFT 2'!$A:$A,"&gt;="&amp;DATE(2026,1,15),'DRAFT 2'!$A:$A,"&lt;="&amp;DATE(2026,1,21))</f>
        <v>0</v>
      </c>
      <c r="CJ20">
        <f>COUNTIFS('DRAFT 2'!$D:$D,$B20,'DRAFT 2'!$A:$A,"&gt;="&amp;DATE(2026,1,22),'DRAFT 2'!$A:$A,"&lt;"&amp;DATE(2026,IF(1=12,1+1,1+1),1))</f>
        <v>0</v>
      </c>
      <c r="CK20">
        <f t="shared" si="2"/>
        <v>0</v>
      </c>
      <c r="CT20">
        <v>0</v>
      </c>
      <c r="CU20">
        <f>IFERROR(LOOKUP(2,1/('DRAFT 2'!$D:$D=$B20)*('DRAFT 2'!$A:$A&gt;=DATE(2026,2,1))*('DRAFT 2'!$A:$A&lt;DATE(2026,IF(2=12,2+1,2+1),1)),'DRAFT 2'!$A:$A),"")</f>
        <v>0</v>
      </c>
      <c r="CV20">
        <f>COUNTIFS('DRAFT 2'!$D:$D,$B20,'DRAFT 2'!$A:$A,"&gt;="&amp;DATE(2026,2,1),'DRAFT 2'!$A:$A,"&lt;="&amp;DATE(2026,2,7))</f>
        <v>0</v>
      </c>
      <c r="CW20">
        <f>COUNTIFS('DRAFT 2'!$D:$D,$B20,'DRAFT 2'!$A:$A,"&gt;="&amp;DATE(2026,2,8),'DRAFT 2'!$A:$A,"&lt;="&amp;DATE(2026,2,14))</f>
        <v>0</v>
      </c>
      <c r="CX20">
        <f>COUNTIFS('DRAFT 2'!$D:$D,$B20,'DRAFT 2'!$A:$A,"&gt;="&amp;DATE(2026,2,15),'DRAFT 2'!$A:$A,"&lt;="&amp;DATE(2026,2,21))</f>
        <v>0</v>
      </c>
      <c r="CY20">
        <f>COUNTIFS('DRAFT 2'!$D:$D,$B20,'DRAFT 2'!$A:$A,"&gt;="&amp;DATE(2026,2,22),'DRAFT 2'!$A:$A,"&lt;"&amp;DATE(2026,IF(2=12,2+1,2+1),1))</f>
        <v>0</v>
      </c>
      <c r="CZ20">
        <f t="shared" si="3"/>
        <v>0</v>
      </c>
      <c r="DJ20">
        <f>IFERROR(LOOKUP(2,1/('DRAFT 2'!$D:$D=$B20)*('DRAFT 2'!$A:$A&gt;=DATE(2026,3,1))*('DRAFT 2'!$A:$A&lt;DATE(2026,IF(3=12,3+1,3+1),1)),'DRAFT 2'!$A:$A),"")</f>
        <v>0</v>
      </c>
      <c r="DK20">
        <f>COUNTIFS('DRAFT 2'!$D:$D,$B20,'DRAFT 2'!$A:$A,"&gt;="&amp;DATE(2026,3,1),'DRAFT 2'!$A:$A,"&lt;="&amp;DATE(2026,3,7))</f>
        <v>0</v>
      </c>
      <c r="DL20">
        <f>COUNTIFS('DRAFT 2'!$D:$D,$B20,'DRAFT 2'!$A:$A,"&gt;="&amp;DATE(2026,3,8),'DRAFT 2'!$A:$A,"&lt;="&amp;DATE(2026,3,14))</f>
        <v>0</v>
      </c>
      <c r="DM20">
        <f>COUNTIFS('DRAFT 2'!$D:$D,$B20,'DRAFT 2'!$A:$A,"&gt;="&amp;DATE(2026,3,15),'DRAFT 2'!$A:$A,"&lt;="&amp;DATE(2026,3,21))</f>
        <v>0</v>
      </c>
      <c r="DN20">
        <f>COUNTIFS('DRAFT 2'!$D:$D,$B20,'DRAFT 2'!$A:$A,"&gt;="&amp;DATE(2026,3,22),'DRAFT 2'!$A:$A,"&lt;"&amp;DATE(2026,IF(3=12,3+1,3+1),1))</f>
        <v>0</v>
      </c>
      <c r="DO20">
        <f t="shared" si="4"/>
        <v>0</v>
      </c>
      <c r="DZ20">
        <f>IFERROR(LOOKUP(2,1/('DRAFT 2'!$D:$D=$B20)*('DRAFT 2'!$A:$A&gt;=DATE(2026,4,1))*('DRAFT 2'!$A:$A&lt;DATE(2026,IF(4=12,4+1,4+1),1)),'DRAFT 2'!$A:$A),"")</f>
        <v>0</v>
      </c>
      <c r="EA20">
        <f>COUNTIFS('DRAFT 2'!$D:$D,$B20,'DRAFT 2'!$A:$A,"&gt;="&amp;DATE(2026,4,1),'DRAFT 2'!$A:$A,"&lt;="&amp;DATE(2026,4,7))</f>
        <v>0</v>
      </c>
      <c r="EB20">
        <f>COUNTIFS('DRAFT 2'!$D:$D,$B20,'DRAFT 2'!$A:$A,"&gt;="&amp;DATE(2026,4,8),'DRAFT 2'!$A:$A,"&lt;="&amp;DATE(2026,4,14))</f>
        <v>0</v>
      </c>
      <c r="EC20">
        <f>COUNTIFS('DRAFT 2'!$D:$D,$B20,'DRAFT 2'!$A:$A,"&gt;="&amp;DATE(2026,4,15),'DRAFT 2'!$A:$A,"&lt;="&amp;DATE(2026,4,21))</f>
        <v>0</v>
      </c>
      <c r="ED20">
        <f>COUNTIFS('DRAFT 2'!$D:$D,$B20,'DRAFT 2'!$A:$A,"&gt;="&amp;DATE(2026,4,22),'DRAFT 2'!$A:$A,"&lt;"&amp;DATE(2026,IF(4=12,4+1,4+1),1))</f>
        <v>0</v>
      </c>
      <c r="EE20">
        <f t="shared" si="5"/>
        <v>0</v>
      </c>
      <c r="EO20">
        <f>IFERROR(LOOKUP(2,1/('DRAFT 2'!$D:$D=$B20)*('DRAFT 2'!$A:$A&gt;=DATE(2026,5,1))*('DRAFT 2'!$A:$A&lt;DATE(2026,IF(5=12,5+1,5+1),1)),'DRAFT 2'!$A:$A),"")</f>
        <v>0</v>
      </c>
      <c r="EP20">
        <f>COUNTIFS('DRAFT 2'!$D:$D,$B20,'DRAFT 2'!$A:$A,"&gt;="&amp;DATE(2026,5,1),'DRAFT 2'!$A:$A,"&lt;="&amp;DATE(2026,5,7))</f>
        <v>0</v>
      </c>
      <c r="EQ20">
        <f>COUNTIFS('DRAFT 2'!$D:$D,$B20,'DRAFT 2'!$A:$A,"&gt;="&amp;DATE(2026,5,8),'DRAFT 2'!$A:$A,"&lt;="&amp;DATE(2026,5,14))</f>
        <v>0</v>
      </c>
      <c r="ER20">
        <f>COUNTIFS('DRAFT 2'!$D:$D,$B20,'DRAFT 2'!$A:$A,"&gt;="&amp;DATE(2026,5,15),'DRAFT 2'!$A:$A,"&lt;="&amp;DATE(2026,5,21))</f>
        <v>0</v>
      </c>
      <c r="ES20">
        <f>COUNTIFS('DRAFT 2'!$D:$D,$B20,'DRAFT 2'!$A:$A,"&gt;="&amp;DATE(2026,5,22),'DRAFT 2'!$A:$A,"&lt;"&amp;DATE(2026,IF(5=12,5+1,5+1),1))</f>
        <v>0</v>
      </c>
      <c r="ET20">
        <f t="shared" si="6"/>
        <v>0</v>
      </c>
      <c r="FD20">
        <f>IFERROR(LOOKUP(2,1/('DRAFT 2'!$D:$D=$B20)*('DRAFT 2'!$A:$A&gt;=DATE(2026,6,1))*('DRAFT 2'!$A:$A&lt;DATE(2026,IF(6=12,6+1,6+1),1)),'DRAFT 2'!$A:$A),"")</f>
        <v>0</v>
      </c>
      <c r="FE20">
        <f>COUNTIFS('DRAFT 2'!$D:$D,$B20,'DRAFT 2'!$A:$A,"&gt;="&amp;DATE(2026,6,1),'DRAFT 2'!$A:$A,"&lt;="&amp;DATE(2026,6,7))</f>
        <v>0</v>
      </c>
      <c r="FF20">
        <f>COUNTIFS('DRAFT 2'!$D:$D,$B20,'DRAFT 2'!$A:$A,"&gt;="&amp;DATE(2026,6,8),'DRAFT 2'!$A:$A,"&lt;="&amp;DATE(2026,6,14))</f>
        <v>0</v>
      </c>
      <c r="FG20">
        <f>COUNTIFS('DRAFT 2'!$D:$D,$B20,'DRAFT 2'!$A:$A,"&gt;="&amp;DATE(2026,6,15),'DRAFT 2'!$A:$A,"&lt;="&amp;DATE(2026,6,21))</f>
        <v>0</v>
      </c>
      <c r="FH20">
        <f>COUNTIFS('DRAFT 2'!$D:$D,$B20,'DRAFT 2'!$A:$A,"&gt;="&amp;DATE(2026,6,22),'DRAFT 2'!$A:$A,"&lt;"&amp;DATE(2026,IF(6=12,6+1,6+1),1))</f>
        <v>0</v>
      </c>
      <c r="FI20">
        <f t="shared" si="7"/>
        <v>0</v>
      </c>
      <c r="FT20">
        <f>IFERROR(LOOKUP(2,1/('DRAFT 2'!$D:$D=$B20)*('DRAFT 2'!$A:$A&gt;=DATE(2026,7,1))*('DRAFT 2'!$A:$A&lt;DATE(2026,IF(7=12,7+1,7+1),1)),'DRAFT 2'!$A:$A),"")</f>
        <v>0</v>
      </c>
      <c r="FU20">
        <f>COUNTIFS('DRAFT 2'!$D:$D,$B20,'DRAFT 2'!$A:$A,"&gt;="&amp;DATE(2026,7,1),'DRAFT 2'!$A:$A,"&lt;="&amp;DATE(2026,7,7))</f>
        <v>0</v>
      </c>
      <c r="FV20">
        <f>COUNTIFS('DRAFT 2'!$D:$D,$B20,'DRAFT 2'!$A:$A,"&gt;="&amp;DATE(2026,7,8),'DRAFT 2'!$A:$A,"&lt;="&amp;DATE(2026,7,14))</f>
        <v>0</v>
      </c>
      <c r="FW20">
        <f>COUNTIFS('DRAFT 2'!$D:$D,$B20,'DRAFT 2'!$A:$A,"&gt;="&amp;DATE(2026,7,15),'DRAFT 2'!$A:$A,"&lt;="&amp;DATE(2026,7,21))</f>
        <v>0</v>
      </c>
      <c r="FX20">
        <f>COUNTIFS('DRAFT 2'!$D:$D,$B20,'DRAFT 2'!$A:$A,"&gt;="&amp;DATE(2026,7,22),'DRAFT 2'!$A:$A,"&lt;"&amp;DATE(2026,IF(7=12,7+1,7+1),1))</f>
        <v>0</v>
      </c>
      <c r="FY20">
        <f t="shared" si="8"/>
        <v>0</v>
      </c>
      <c r="GI20">
        <f>IFERROR(LOOKUP(2,1/('DRAFT 2'!$D:$D=$B20)*('DRAFT 2'!$A:$A&gt;=DATE(2026,8,1))*('DRAFT 2'!$A:$A&lt;DATE(2026,IF(8=12,8+1,8+1),1)),'DRAFT 2'!$A:$A),"")</f>
        <v>0</v>
      </c>
      <c r="GJ20">
        <f>COUNTIFS('DRAFT 2'!$D:$D,$B20,'DRAFT 2'!$A:$A,"&gt;="&amp;DATE(2026,8,1),'DRAFT 2'!$A:$A,"&lt;="&amp;DATE(2026,8,7))</f>
        <v>0</v>
      </c>
      <c r="GK20">
        <f>COUNTIFS('DRAFT 2'!$D:$D,$B20,'DRAFT 2'!$A:$A,"&gt;="&amp;DATE(2026,8,8),'DRAFT 2'!$A:$A,"&lt;="&amp;DATE(2026,8,14))</f>
        <v>0</v>
      </c>
      <c r="GL20">
        <f>COUNTIFS('DRAFT 2'!$D:$D,$B20,'DRAFT 2'!$A:$A,"&gt;="&amp;DATE(2026,8,15),'DRAFT 2'!$A:$A,"&lt;="&amp;DATE(2026,8,21))</f>
        <v>0</v>
      </c>
      <c r="GM20">
        <f>COUNTIFS('DRAFT 2'!$D:$D,$B20,'DRAFT 2'!$A:$A,"&gt;="&amp;DATE(2026,8,22),'DRAFT 2'!$A:$A,"&lt;"&amp;DATE(2026,IF(8=12,8+1,8+1),1))</f>
        <v>0</v>
      </c>
      <c r="GN20">
        <f t="shared" si="9"/>
        <v>0</v>
      </c>
      <c r="GX20">
        <f>IFERROR(LOOKUP(2,1/('DRAFT 2'!$D:$D=$B20)*('DRAFT 2'!$A:$A&gt;=DATE(2026,9,1))*('DRAFT 2'!$A:$A&lt;DATE(2026,IF(9=12,9+1,9+1),1)),'DRAFT 2'!$A:$A),"")</f>
        <v>0</v>
      </c>
      <c r="GY20">
        <f>COUNTIFS('DRAFT 2'!$D:$D,$B20,'DRAFT 2'!$A:$A,"&gt;="&amp;DATE(2026,9,1),'DRAFT 2'!$A:$A,"&lt;="&amp;DATE(2026,9,7))</f>
        <v>0</v>
      </c>
      <c r="GZ20">
        <f>COUNTIFS('DRAFT 2'!$D:$D,$B20,'DRAFT 2'!$A:$A,"&gt;="&amp;DATE(2026,9,8),'DRAFT 2'!$A:$A,"&lt;="&amp;DATE(2026,9,14))</f>
        <v>0</v>
      </c>
      <c r="HA20">
        <f>COUNTIFS('DRAFT 2'!$D:$D,$B20,'DRAFT 2'!$A:$A,"&gt;="&amp;DATE(2026,9,15),'DRAFT 2'!$A:$A,"&lt;="&amp;DATE(2026,9,21))</f>
        <v>0</v>
      </c>
      <c r="HB20">
        <f>COUNTIFS('DRAFT 2'!$D:$D,$B20,'DRAFT 2'!$A:$A,"&gt;="&amp;DATE(2026,9,22),'DRAFT 2'!$A:$A,"&lt;"&amp;DATE(2026,IF(9=12,9+1,9+1),1))</f>
        <v>0</v>
      </c>
      <c r="HC20">
        <f t="shared" si="10"/>
        <v>0</v>
      </c>
      <c r="HN20">
        <f>IFERROR(LOOKUP(2,1/('DRAFT 2'!$D:$D=$B20)*('DRAFT 2'!$A:$A&gt;=DATE(2026,10,1))*('DRAFT 2'!$A:$A&lt;DATE(2026,IF(10=12,10+1,10+1),1)),'DRAFT 2'!$A:$A),"")</f>
        <v>0</v>
      </c>
      <c r="HO20">
        <f>COUNTIFS('DRAFT 2'!$D:$D,$B20,'DRAFT 2'!$A:$A,"&gt;="&amp;DATE(2026,10,1),'DRAFT 2'!$A:$A,"&lt;="&amp;DATE(2026,10,7))</f>
        <v>0</v>
      </c>
      <c r="HP20">
        <f>COUNTIFS('DRAFT 2'!$D:$D,$B20,'DRAFT 2'!$A:$A,"&gt;="&amp;DATE(2026,10,8),'DRAFT 2'!$A:$A,"&lt;="&amp;DATE(2026,10,14))</f>
        <v>0</v>
      </c>
      <c r="HQ20">
        <f>COUNTIFS('DRAFT 2'!$D:$D,$B20,'DRAFT 2'!$A:$A,"&gt;="&amp;DATE(2026,10,15),'DRAFT 2'!$A:$A,"&lt;="&amp;DATE(2026,10,21))</f>
        <v>0</v>
      </c>
      <c r="HR20">
        <f>COUNTIFS('DRAFT 2'!$D:$D,$B20,'DRAFT 2'!$A:$A,"&gt;="&amp;DATE(2026,10,22),'DRAFT 2'!$A:$A,"&lt;"&amp;DATE(2026,IF(10=12,10+1,10+1),1))</f>
        <v>0</v>
      </c>
      <c r="HS20">
        <f t="shared" si="11"/>
        <v>0</v>
      </c>
      <c r="IC20">
        <f>IFERROR(LOOKUP(2,1/('DRAFT 2'!$D:$D=$B20)*('DRAFT 2'!$A:$A&gt;=DATE(2026,11,1))*('DRAFT 2'!$A:$A&lt;DATE(2026,IF(11=12,11+1,11+1),1)),'DRAFT 2'!$A:$A),"")</f>
        <v>0</v>
      </c>
      <c r="ID20">
        <f>COUNTIFS('DRAFT 2'!$D:$D,$B20,'DRAFT 2'!$A:$A,"&gt;="&amp;DATE(2026,11,1),'DRAFT 2'!$A:$A,"&lt;="&amp;DATE(2026,11,7))</f>
        <v>0</v>
      </c>
      <c r="IE20">
        <f>COUNTIFS('DRAFT 2'!$D:$D,$B20,'DRAFT 2'!$A:$A,"&gt;="&amp;DATE(2026,11,8),'DRAFT 2'!$A:$A,"&lt;="&amp;DATE(2026,11,14))</f>
        <v>0</v>
      </c>
      <c r="IF20">
        <f>COUNTIFS('DRAFT 2'!$D:$D,$B20,'DRAFT 2'!$A:$A,"&gt;="&amp;DATE(2026,11,15),'DRAFT 2'!$A:$A,"&lt;="&amp;DATE(2026,11,21))</f>
        <v>0</v>
      </c>
      <c r="IG20">
        <f>COUNTIFS('DRAFT 2'!$D:$D,$B20,'DRAFT 2'!$A:$A,"&gt;="&amp;DATE(2026,11,22),'DRAFT 2'!$A:$A,"&lt;"&amp;DATE(2026,IF(11=12,11+1,11+1),1))</f>
        <v>0</v>
      </c>
      <c r="IH20">
        <f t="shared" si="12"/>
        <v>0</v>
      </c>
      <c r="IR20">
        <f>IFERROR(LOOKUP(2,1/('DRAFT 2'!$D:$D=$B20)*('DRAFT 2'!$A:$A&gt;=DATE(2026,12,1))*('DRAFT 2'!$A:$A&lt;DATE(2026,IF(12=12,12+1,12+1),1)),'DRAFT 2'!$A:$A),"")</f>
        <v>0</v>
      </c>
      <c r="IS20">
        <f>COUNTIFS('DRAFT 2'!$D:$D,$B20,'DRAFT 2'!$A:$A,"&gt;="&amp;DATE(2026,12,1),'DRAFT 2'!$A:$A,"&lt;="&amp;DATE(2026,12,7))</f>
        <v>0</v>
      </c>
      <c r="IT20">
        <f>COUNTIFS('DRAFT 2'!$D:$D,$B20,'DRAFT 2'!$A:$A,"&gt;="&amp;DATE(2026,12,8),'DRAFT 2'!$A:$A,"&lt;="&amp;DATE(2026,12,14))</f>
        <v>0</v>
      </c>
      <c r="IU20">
        <f>COUNTIFS('DRAFT 2'!$D:$D,$B20,'DRAFT 2'!$A:$A,"&gt;="&amp;DATE(2026,12,15),'DRAFT 2'!$A:$A,"&lt;="&amp;DATE(2026,12,21))</f>
        <v>0</v>
      </c>
      <c r="IV20">
        <f>COUNTIFS('DRAFT 2'!$D:$D,$B20,'DRAFT 2'!$A:$A,"&gt;="&amp;DATE(2026,12,22),'DRAFT 2'!$A:$A,"&lt;"&amp;DATE(2026,IF(12=12,12+1,12+1),1))</f>
        <v>0</v>
      </c>
      <c r="IW20">
        <f t="shared" si="13"/>
        <v>0</v>
      </c>
    </row>
    <row r="21" spans="1:257" x14ac:dyDescent="0.3">
      <c r="A21" t="str">
        <f>IFERROR(INDEX('DRAFT 1'!$A:$A,MATCH($B21,'DRAFT 1'!$B:$B,0)),"")</f>
        <v/>
      </c>
      <c r="C21" t="str">
        <f>IFERROR(INDEX('DRAFT 1'!$C:$C,MATCH($B21,'DRAFT 1'!$B:$B,0)),"")</f>
        <v/>
      </c>
      <c r="D21" t="str">
        <f>IFERROR(INDEX('DRAFT 1'!$D:$D,MATCH($B21,'DRAFT 1'!$B:$B,0)),"")</f>
        <v/>
      </c>
      <c r="E21" t="str">
        <f>IFERROR(INDEX('DRAFT 1'!$E:$E,MATCH($B21,'DRAFT 1'!$B:$B,0)),"")</f>
        <v/>
      </c>
      <c r="F21" t="str">
        <f>IFERROR(INDEX('DRAFT 1'!$F:$F,MATCH($B21,'DRAFT 1'!$B:$B,0)),"")</f>
        <v/>
      </c>
      <c r="G21" t="str">
        <f>IFERROR(INDEX('DRAFT 1'!$G:$G,MATCH($B21,'DRAFT 1'!$B:$B,0)),"")</f>
        <v/>
      </c>
      <c r="H21" t="str">
        <f>IFERROR(INDEX('DRAFT 1'!$H:$H,MATCH($B21,'DRAFT 1'!$B:$B,0)),"")</f>
        <v/>
      </c>
      <c r="I21" t="s">
        <v>289</v>
      </c>
      <c r="K21" t="str">
        <f>IFERROR(INDEX('DRAFT 1'!$AL:$AL,MATCH($B21,'DRAFT 1'!$B:$B,0)),"")</f>
        <v/>
      </c>
      <c r="L21" t="str">
        <f>IFERROR(INDEX('DRAFT 1'!$J:$J,MATCH($B21,'DRAFT 1'!$B:$B,0)),"")</f>
        <v/>
      </c>
      <c r="M21" t="str">
        <f>IFERROR(INDEX('DRAFT 1'!$K:$K,MATCH($B21,'DRAFT 1'!$B:$B,0)),"")</f>
        <v/>
      </c>
      <c r="N21" t="s">
        <v>79</v>
      </c>
      <c r="P21" t="str">
        <f>IFERROR(INDEX('DRAFT 1'!$L:$L,MATCH($B21,'DRAFT 1'!$B:$B,0)),"")</f>
        <v/>
      </c>
      <c r="Q21" t="str">
        <f>IFERROR(INDEX('DRAFT 1'!$M:$M,MATCH($B21,'DRAFT 1'!$B:$B,0)),"")</f>
        <v/>
      </c>
      <c r="R21" t="str">
        <f>IFERROR(INDEX('DRAFT 1'!$N:$N,MATCH($B21,'DRAFT 1'!$B:$B,0)),"")</f>
        <v/>
      </c>
      <c r="S21" t="str">
        <f>IFERROR(INDEX('DRAFT 1'!$O:$O,MATCH($B21,'DRAFT 1'!$B:$B,0)),"")</f>
        <v/>
      </c>
      <c r="T21" t="str">
        <f>IFERROR(INDEX('DRAFT 1'!$P:$P,MATCH($B21,'DRAFT 1'!$B:$B,0)),"")</f>
        <v/>
      </c>
      <c r="U21" t="str">
        <f>IFERROR(INDEX('DRAFT 1'!$Q:$Q,MATCH($B21,'DRAFT 1'!$B:$B,0)),"")</f>
        <v/>
      </c>
      <c r="V21" t="str">
        <f>IFERROR(INDEX('DRAFT 1'!$R:$R,MATCH($B21,'DRAFT 1'!$B:$B,0)),"")</f>
        <v/>
      </c>
      <c r="W21" t="str">
        <f>IFERROR(INDEX('DRAFT 1'!$S:$S,MATCH($B21,'DRAFT 1'!$B:$B,0)),"")</f>
        <v/>
      </c>
      <c r="X21" t="str">
        <f>IFERROR(INDEX('DRAFT 1'!$T:$T,MATCH($B21,'DRAFT 1'!$B:$B,0)),"")</f>
        <v/>
      </c>
      <c r="Z21" t="str">
        <f>IFERROR(INDEX('DRAFT 1'!$U:$U,MATCH($B21,'DRAFT 1'!$B:$B,0)),"")</f>
        <v/>
      </c>
      <c r="AA21" t="str">
        <f>IFERROR(INDEX('DRAFT 1'!$V:$V,MATCH($B21,'DRAFT 1'!$B:$B,0)),"")</f>
        <v/>
      </c>
      <c r="AB21" t="str">
        <f>IFERROR(INDEX('DRAFT 1'!$W:$W,MATCH($B21,'DRAFT 1'!$B:$B,0)),"")</f>
        <v/>
      </c>
      <c r="AC21" t="str">
        <f>IFERROR(INDEX('DRAFT 1'!$X:$X,MATCH($B21,'DRAFT 1'!$B:$B,0)),"")</f>
        <v/>
      </c>
      <c r="AD21" t="str">
        <f>IFERROR(INDEX('DRAFT 1'!$Y:$Y,MATCH($B21,'DRAFT 1'!$B:$B,0)),"")</f>
        <v/>
      </c>
      <c r="AE21" t="str">
        <f>IFERROR(INDEX('DRAFT 1'!$Z:$Z,MATCH($B21,'DRAFT 1'!$B:$B,0)),"")</f>
        <v/>
      </c>
      <c r="AF21" t="str">
        <f>IFERROR(INDEX('DRAFT 1'!$AA:$AA,MATCH($B21,'DRAFT 1'!$B:$B,0)),"")</f>
        <v/>
      </c>
      <c r="AG21" t="str">
        <f>IFERROR(INDEX('DRAFT 1'!$AB:$AB,MATCH($B21,'DRAFT 1'!$B:$B,0)),"")</f>
        <v/>
      </c>
      <c r="AH21" t="str">
        <f>IFERROR(INDEX('DRAFT 1'!$AC:$AC,MATCH($B21,'DRAFT 1'!$B:$B,0)),"")</f>
        <v/>
      </c>
      <c r="AI21" t="str">
        <f>IFERROR(INDEX('DRAFT 1'!$AD:$AD,MATCH($B21,'DRAFT 1'!$B:$B,0)),"")</f>
        <v/>
      </c>
      <c r="AJ21" t="str">
        <f>IFERROR(INDEX('DRAFT 1'!$AE:$AE,MATCH($B21,'DRAFT 1'!$B:$B,0)),"")</f>
        <v/>
      </c>
      <c r="AK21" t="str">
        <f>IFERROR(INDEX('DRAFT 1'!$AG:$AG,MATCH($B21,'DRAFT 1'!$B:$B,0)),"")</f>
        <v/>
      </c>
      <c r="AL21" t="str">
        <f>IFERROR(INDEX('DRAFT 1'!$AH:$AH,MATCH($B21,'DRAFT 1'!$B:$B,0)),"")</f>
        <v/>
      </c>
      <c r="AM21" t="str">
        <f>IFERROR(INDEX('DRAFT 1'!$AI:$AI,MATCH($B21,'DRAFT 1'!$B:$B,0)),"")</f>
        <v/>
      </c>
      <c r="AN21" t="str">
        <f>IFERROR(INDEX('DRAFT 1'!$AJ:$AJ,MATCH($B21,'DRAFT 1'!$B:$B,0)),"")</f>
        <v/>
      </c>
      <c r="AO21">
        <f t="shared" si="0"/>
        <v>0</v>
      </c>
      <c r="AP21" t="str">
        <f>IFERROR(INDEX('DRAFT 1'!$AK:$AK,MATCH($B21,'DRAFT 1'!$B:$B,0)),"")</f>
        <v/>
      </c>
      <c r="AR21" t="s">
        <v>93</v>
      </c>
      <c r="AS21">
        <f>IFERROR(LOOKUP(2,1/('DRAFT 2'!$D:$D=$B21),'DRAFT 2'!$T:$T),"")</f>
        <v>0</v>
      </c>
      <c r="AT21">
        <f>IFERROR(LOOKUP(2,1/('DRAFT 2'!$D:$D=$B21),'DRAFT 2'!$A:$A),"")</f>
        <v>0</v>
      </c>
      <c r="AU21">
        <f>IFERROR(LOOKUP(2,1/('DRAFT 2'!$D:$D=$B21),'DRAFT 2'!$R:$R),"")</f>
        <v>0</v>
      </c>
      <c r="AV21">
        <f>IFERROR(LOOKUP(2,1/('DRAFT 2'!$D:$D=$B21),'DRAFT 2'!$S:$S),"")</f>
        <v>0</v>
      </c>
      <c r="AW21" t="s">
        <v>85</v>
      </c>
      <c r="AX21">
        <f>IFERROR(LOOKUP(2,1/('DRAFT 2'!$D:$D=$B21),'DRAFT 2'!$M:$M),"")</f>
        <v>0</v>
      </c>
      <c r="AY21">
        <f>IFERROR(LOOKUP(2,1/('DRAFT 2'!$D:$D=$B21),'DRAFT 2'!$K:$K),"")</f>
        <v>0</v>
      </c>
      <c r="BG21">
        <f>IFERROR(LOOKUP(2,1/('DRAFT 2'!$D:$D=$B21),'DRAFT 2'!$U:$U),"")</f>
        <v>0</v>
      </c>
      <c r="BH21">
        <f>IFERROR(LOOKUP(2,1/('DRAFT 2'!$D:$D=$B21),'DRAFT 2'!$V:$V),"")</f>
        <v>0</v>
      </c>
      <c r="CE21" t="str">
        <f t="shared" si="1"/>
        <v/>
      </c>
      <c r="CF21">
        <f>IFERROR(LOOKUP(2,1/('DRAFT 2'!$D:$D=$B21)*('DRAFT 2'!$A:$A&gt;=DATE(2026,1,1))*('DRAFT 2'!$A:$A&lt;DATE(2026,IF(1=12,1+1,1+1),1)),'DRAFT 2'!$A:$A),"")</f>
        <v>0</v>
      </c>
      <c r="CG21">
        <f>COUNTIFS('DRAFT 2'!$D:$D,$B21,'DRAFT 2'!$A:$A,"&gt;="&amp;DATE(2026,1,1),'DRAFT 2'!$A:$A,"&lt;="&amp;DATE(2026,1,7))</f>
        <v>0</v>
      </c>
      <c r="CH21">
        <f>COUNTIFS('DRAFT 2'!$D:$D,$B21,'DRAFT 2'!$A:$A,"&gt;="&amp;DATE(2026,1,8),'DRAFT 2'!$A:$A,"&lt;="&amp;DATE(2026,1,14))</f>
        <v>0</v>
      </c>
      <c r="CI21">
        <f>COUNTIFS('DRAFT 2'!$D:$D,$B21,'DRAFT 2'!$A:$A,"&gt;="&amp;DATE(2026,1,15),'DRAFT 2'!$A:$A,"&lt;="&amp;DATE(2026,1,21))</f>
        <v>0</v>
      </c>
      <c r="CJ21">
        <f>COUNTIFS('DRAFT 2'!$D:$D,$B21,'DRAFT 2'!$A:$A,"&gt;="&amp;DATE(2026,1,22),'DRAFT 2'!$A:$A,"&lt;"&amp;DATE(2026,IF(1=12,1+1,1+1),1))</f>
        <v>0</v>
      </c>
      <c r="CK21">
        <f t="shared" si="2"/>
        <v>0</v>
      </c>
      <c r="CT21">
        <v>0</v>
      </c>
      <c r="CU21">
        <f>IFERROR(LOOKUP(2,1/('DRAFT 2'!$D:$D=$B21)*('DRAFT 2'!$A:$A&gt;=DATE(2026,2,1))*('DRAFT 2'!$A:$A&lt;DATE(2026,IF(2=12,2+1,2+1),1)),'DRAFT 2'!$A:$A),"")</f>
        <v>0</v>
      </c>
      <c r="CV21">
        <f>COUNTIFS('DRAFT 2'!$D:$D,$B21,'DRAFT 2'!$A:$A,"&gt;="&amp;DATE(2026,2,1),'DRAFT 2'!$A:$A,"&lt;="&amp;DATE(2026,2,7))</f>
        <v>0</v>
      </c>
      <c r="CW21">
        <f>COUNTIFS('DRAFT 2'!$D:$D,$B21,'DRAFT 2'!$A:$A,"&gt;="&amp;DATE(2026,2,8),'DRAFT 2'!$A:$A,"&lt;="&amp;DATE(2026,2,14))</f>
        <v>0</v>
      </c>
      <c r="CX21">
        <f>COUNTIFS('DRAFT 2'!$D:$D,$B21,'DRAFT 2'!$A:$A,"&gt;="&amp;DATE(2026,2,15),'DRAFT 2'!$A:$A,"&lt;="&amp;DATE(2026,2,21))</f>
        <v>0</v>
      </c>
      <c r="CY21">
        <f>COUNTIFS('DRAFT 2'!$D:$D,$B21,'DRAFT 2'!$A:$A,"&gt;="&amp;DATE(2026,2,22),'DRAFT 2'!$A:$A,"&lt;"&amp;DATE(2026,IF(2=12,2+1,2+1),1))</f>
        <v>0</v>
      </c>
      <c r="CZ21">
        <f t="shared" si="3"/>
        <v>0</v>
      </c>
      <c r="DJ21">
        <f>IFERROR(LOOKUP(2,1/('DRAFT 2'!$D:$D=$B21)*('DRAFT 2'!$A:$A&gt;=DATE(2026,3,1))*('DRAFT 2'!$A:$A&lt;DATE(2026,IF(3=12,3+1,3+1),1)),'DRAFT 2'!$A:$A),"")</f>
        <v>0</v>
      </c>
      <c r="DK21">
        <f>COUNTIFS('DRAFT 2'!$D:$D,$B21,'DRAFT 2'!$A:$A,"&gt;="&amp;DATE(2026,3,1),'DRAFT 2'!$A:$A,"&lt;="&amp;DATE(2026,3,7))</f>
        <v>0</v>
      </c>
      <c r="DL21">
        <f>COUNTIFS('DRAFT 2'!$D:$D,$B21,'DRAFT 2'!$A:$A,"&gt;="&amp;DATE(2026,3,8),'DRAFT 2'!$A:$A,"&lt;="&amp;DATE(2026,3,14))</f>
        <v>0</v>
      </c>
      <c r="DM21">
        <f>COUNTIFS('DRAFT 2'!$D:$D,$B21,'DRAFT 2'!$A:$A,"&gt;="&amp;DATE(2026,3,15),'DRAFT 2'!$A:$A,"&lt;="&amp;DATE(2026,3,21))</f>
        <v>0</v>
      </c>
      <c r="DN21">
        <f>COUNTIFS('DRAFT 2'!$D:$D,$B21,'DRAFT 2'!$A:$A,"&gt;="&amp;DATE(2026,3,22),'DRAFT 2'!$A:$A,"&lt;"&amp;DATE(2026,IF(3=12,3+1,3+1),1))</f>
        <v>0</v>
      </c>
      <c r="DO21">
        <f t="shared" si="4"/>
        <v>0</v>
      </c>
      <c r="DZ21">
        <f>IFERROR(LOOKUP(2,1/('DRAFT 2'!$D:$D=$B21)*('DRAFT 2'!$A:$A&gt;=DATE(2026,4,1))*('DRAFT 2'!$A:$A&lt;DATE(2026,IF(4=12,4+1,4+1),1)),'DRAFT 2'!$A:$A),"")</f>
        <v>0</v>
      </c>
      <c r="EA21">
        <f>COUNTIFS('DRAFT 2'!$D:$D,$B21,'DRAFT 2'!$A:$A,"&gt;="&amp;DATE(2026,4,1),'DRAFT 2'!$A:$A,"&lt;="&amp;DATE(2026,4,7))</f>
        <v>0</v>
      </c>
      <c r="EB21">
        <f>COUNTIFS('DRAFT 2'!$D:$D,$B21,'DRAFT 2'!$A:$A,"&gt;="&amp;DATE(2026,4,8),'DRAFT 2'!$A:$A,"&lt;="&amp;DATE(2026,4,14))</f>
        <v>0</v>
      </c>
      <c r="EC21">
        <f>COUNTIFS('DRAFT 2'!$D:$D,$B21,'DRAFT 2'!$A:$A,"&gt;="&amp;DATE(2026,4,15),'DRAFT 2'!$A:$A,"&lt;="&amp;DATE(2026,4,21))</f>
        <v>0</v>
      </c>
      <c r="ED21">
        <f>COUNTIFS('DRAFT 2'!$D:$D,$B21,'DRAFT 2'!$A:$A,"&gt;="&amp;DATE(2026,4,22),'DRAFT 2'!$A:$A,"&lt;"&amp;DATE(2026,IF(4=12,4+1,4+1),1))</f>
        <v>0</v>
      </c>
      <c r="EE21">
        <f t="shared" si="5"/>
        <v>0</v>
      </c>
      <c r="EO21">
        <f>IFERROR(LOOKUP(2,1/('DRAFT 2'!$D:$D=$B21)*('DRAFT 2'!$A:$A&gt;=DATE(2026,5,1))*('DRAFT 2'!$A:$A&lt;DATE(2026,IF(5=12,5+1,5+1),1)),'DRAFT 2'!$A:$A),"")</f>
        <v>0</v>
      </c>
      <c r="EP21">
        <f>COUNTIFS('DRAFT 2'!$D:$D,$B21,'DRAFT 2'!$A:$A,"&gt;="&amp;DATE(2026,5,1),'DRAFT 2'!$A:$A,"&lt;="&amp;DATE(2026,5,7))</f>
        <v>0</v>
      </c>
      <c r="EQ21">
        <f>COUNTIFS('DRAFT 2'!$D:$D,$B21,'DRAFT 2'!$A:$A,"&gt;="&amp;DATE(2026,5,8),'DRAFT 2'!$A:$A,"&lt;="&amp;DATE(2026,5,14))</f>
        <v>0</v>
      </c>
      <c r="ER21">
        <f>COUNTIFS('DRAFT 2'!$D:$D,$B21,'DRAFT 2'!$A:$A,"&gt;="&amp;DATE(2026,5,15),'DRAFT 2'!$A:$A,"&lt;="&amp;DATE(2026,5,21))</f>
        <v>0</v>
      </c>
      <c r="ES21">
        <f>COUNTIFS('DRAFT 2'!$D:$D,$B21,'DRAFT 2'!$A:$A,"&gt;="&amp;DATE(2026,5,22),'DRAFT 2'!$A:$A,"&lt;"&amp;DATE(2026,IF(5=12,5+1,5+1),1))</f>
        <v>0</v>
      </c>
      <c r="ET21">
        <f t="shared" si="6"/>
        <v>0</v>
      </c>
      <c r="FD21">
        <f>IFERROR(LOOKUP(2,1/('DRAFT 2'!$D:$D=$B21)*('DRAFT 2'!$A:$A&gt;=DATE(2026,6,1))*('DRAFT 2'!$A:$A&lt;DATE(2026,IF(6=12,6+1,6+1),1)),'DRAFT 2'!$A:$A),"")</f>
        <v>0</v>
      </c>
      <c r="FE21">
        <f>COUNTIFS('DRAFT 2'!$D:$D,$B21,'DRAFT 2'!$A:$A,"&gt;="&amp;DATE(2026,6,1),'DRAFT 2'!$A:$A,"&lt;="&amp;DATE(2026,6,7))</f>
        <v>0</v>
      </c>
      <c r="FF21">
        <f>COUNTIFS('DRAFT 2'!$D:$D,$B21,'DRAFT 2'!$A:$A,"&gt;="&amp;DATE(2026,6,8),'DRAFT 2'!$A:$A,"&lt;="&amp;DATE(2026,6,14))</f>
        <v>0</v>
      </c>
      <c r="FG21">
        <f>COUNTIFS('DRAFT 2'!$D:$D,$B21,'DRAFT 2'!$A:$A,"&gt;="&amp;DATE(2026,6,15),'DRAFT 2'!$A:$A,"&lt;="&amp;DATE(2026,6,21))</f>
        <v>0</v>
      </c>
      <c r="FH21">
        <f>COUNTIFS('DRAFT 2'!$D:$D,$B21,'DRAFT 2'!$A:$A,"&gt;="&amp;DATE(2026,6,22),'DRAFT 2'!$A:$A,"&lt;"&amp;DATE(2026,IF(6=12,6+1,6+1),1))</f>
        <v>0</v>
      </c>
      <c r="FI21">
        <f t="shared" si="7"/>
        <v>0</v>
      </c>
      <c r="FT21">
        <f>IFERROR(LOOKUP(2,1/('DRAFT 2'!$D:$D=$B21)*('DRAFT 2'!$A:$A&gt;=DATE(2026,7,1))*('DRAFT 2'!$A:$A&lt;DATE(2026,IF(7=12,7+1,7+1),1)),'DRAFT 2'!$A:$A),"")</f>
        <v>0</v>
      </c>
      <c r="FU21">
        <f>COUNTIFS('DRAFT 2'!$D:$D,$B21,'DRAFT 2'!$A:$A,"&gt;="&amp;DATE(2026,7,1),'DRAFT 2'!$A:$A,"&lt;="&amp;DATE(2026,7,7))</f>
        <v>0</v>
      </c>
      <c r="FV21">
        <f>COUNTIFS('DRAFT 2'!$D:$D,$B21,'DRAFT 2'!$A:$A,"&gt;="&amp;DATE(2026,7,8),'DRAFT 2'!$A:$A,"&lt;="&amp;DATE(2026,7,14))</f>
        <v>0</v>
      </c>
      <c r="FW21">
        <f>COUNTIFS('DRAFT 2'!$D:$D,$B21,'DRAFT 2'!$A:$A,"&gt;="&amp;DATE(2026,7,15),'DRAFT 2'!$A:$A,"&lt;="&amp;DATE(2026,7,21))</f>
        <v>0</v>
      </c>
      <c r="FX21">
        <f>COUNTIFS('DRAFT 2'!$D:$D,$B21,'DRAFT 2'!$A:$A,"&gt;="&amp;DATE(2026,7,22),'DRAFT 2'!$A:$A,"&lt;"&amp;DATE(2026,IF(7=12,7+1,7+1),1))</f>
        <v>0</v>
      </c>
      <c r="FY21">
        <f t="shared" si="8"/>
        <v>0</v>
      </c>
      <c r="GI21">
        <f>IFERROR(LOOKUP(2,1/('DRAFT 2'!$D:$D=$B21)*('DRAFT 2'!$A:$A&gt;=DATE(2026,8,1))*('DRAFT 2'!$A:$A&lt;DATE(2026,IF(8=12,8+1,8+1),1)),'DRAFT 2'!$A:$A),"")</f>
        <v>0</v>
      </c>
      <c r="GJ21">
        <f>COUNTIFS('DRAFT 2'!$D:$D,$B21,'DRAFT 2'!$A:$A,"&gt;="&amp;DATE(2026,8,1),'DRAFT 2'!$A:$A,"&lt;="&amp;DATE(2026,8,7))</f>
        <v>0</v>
      </c>
      <c r="GK21">
        <f>COUNTIFS('DRAFT 2'!$D:$D,$B21,'DRAFT 2'!$A:$A,"&gt;="&amp;DATE(2026,8,8),'DRAFT 2'!$A:$A,"&lt;="&amp;DATE(2026,8,14))</f>
        <v>0</v>
      </c>
      <c r="GL21">
        <f>COUNTIFS('DRAFT 2'!$D:$D,$B21,'DRAFT 2'!$A:$A,"&gt;="&amp;DATE(2026,8,15),'DRAFT 2'!$A:$A,"&lt;="&amp;DATE(2026,8,21))</f>
        <v>0</v>
      </c>
      <c r="GM21">
        <f>COUNTIFS('DRAFT 2'!$D:$D,$B21,'DRAFT 2'!$A:$A,"&gt;="&amp;DATE(2026,8,22),'DRAFT 2'!$A:$A,"&lt;"&amp;DATE(2026,IF(8=12,8+1,8+1),1))</f>
        <v>0</v>
      </c>
      <c r="GN21">
        <f t="shared" si="9"/>
        <v>0</v>
      </c>
      <c r="GX21">
        <f>IFERROR(LOOKUP(2,1/('DRAFT 2'!$D:$D=$B21)*('DRAFT 2'!$A:$A&gt;=DATE(2026,9,1))*('DRAFT 2'!$A:$A&lt;DATE(2026,IF(9=12,9+1,9+1),1)),'DRAFT 2'!$A:$A),"")</f>
        <v>0</v>
      </c>
      <c r="GY21">
        <f>COUNTIFS('DRAFT 2'!$D:$D,$B21,'DRAFT 2'!$A:$A,"&gt;="&amp;DATE(2026,9,1),'DRAFT 2'!$A:$A,"&lt;="&amp;DATE(2026,9,7))</f>
        <v>0</v>
      </c>
      <c r="GZ21">
        <f>COUNTIFS('DRAFT 2'!$D:$D,$B21,'DRAFT 2'!$A:$A,"&gt;="&amp;DATE(2026,9,8),'DRAFT 2'!$A:$A,"&lt;="&amp;DATE(2026,9,14))</f>
        <v>0</v>
      </c>
      <c r="HA21">
        <f>COUNTIFS('DRAFT 2'!$D:$D,$B21,'DRAFT 2'!$A:$A,"&gt;="&amp;DATE(2026,9,15),'DRAFT 2'!$A:$A,"&lt;="&amp;DATE(2026,9,21))</f>
        <v>0</v>
      </c>
      <c r="HB21">
        <f>COUNTIFS('DRAFT 2'!$D:$D,$B21,'DRAFT 2'!$A:$A,"&gt;="&amp;DATE(2026,9,22),'DRAFT 2'!$A:$A,"&lt;"&amp;DATE(2026,IF(9=12,9+1,9+1),1))</f>
        <v>0</v>
      </c>
      <c r="HC21">
        <f t="shared" si="10"/>
        <v>0</v>
      </c>
      <c r="HN21">
        <f>IFERROR(LOOKUP(2,1/('DRAFT 2'!$D:$D=$B21)*('DRAFT 2'!$A:$A&gt;=DATE(2026,10,1))*('DRAFT 2'!$A:$A&lt;DATE(2026,IF(10=12,10+1,10+1),1)),'DRAFT 2'!$A:$A),"")</f>
        <v>0</v>
      </c>
      <c r="HO21">
        <f>COUNTIFS('DRAFT 2'!$D:$D,$B21,'DRAFT 2'!$A:$A,"&gt;="&amp;DATE(2026,10,1),'DRAFT 2'!$A:$A,"&lt;="&amp;DATE(2026,10,7))</f>
        <v>0</v>
      </c>
      <c r="HP21">
        <f>COUNTIFS('DRAFT 2'!$D:$D,$B21,'DRAFT 2'!$A:$A,"&gt;="&amp;DATE(2026,10,8),'DRAFT 2'!$A:$A,"&lt;="&amp;DATE(2026,10,14))</f>
        <v>0</v>
      </c>
      <c r="HQ21">
        <f>COUNTIFS('DRAFT 2'!$D:$D,$B21,'DRAFT 2'!$A:$A,"&gt;="&amp;DATE(2026,10,15),'DRAFT 2'!$A:$A,"&lt;="&amp;DATE(2026,10,21))</f>
        <v>0</v>
      </c>
      <c r="HR21">
        <f>COUNTIFS('DRAFT 2'!$D:$D,$B21,'DRAFT 2'!$A:$A,"&gt;="&amp;DATE(2026,10,22),'DRAFT 2'!$A:$A,"&lt;"&amp;DATE(2026,IF(10=12,10+1,10+1),1))</f>
        <v>0</v>
      </c>
      <c r="HS21">
        <f t="shared" si="11"/>
        <v>0</v>
      </c>
      <c r="IC21">
        <f>IFERROR(LOOKUP(2,1/('DRAFT 2'!$D:$D=$B21)*('DRAFT 2'!$A:$A&gt;=DATE(2026,11,1))*('DRAFT 2'!$A:$A&lt;DATE(2026,IF(11=12,11+1,11+1),1)),'DRAFT 2'!$A:$A),"")</f>
        <v>0</v>
      </c>
      <c r="ID21">
        <f>COUNTIFS('DRAFT 2'!$D:$D,$B21,'DRAFT 2'!$A:$A,"&gt;="&amp;DATE(2026,11,1),'DRAFT 2'!$A:$A,"&lt;="&amp;DATE(2026,11,7))</f>
        <v>0</v>
      </c>
      <c r="IE21">
        <f>COUNTIFS('DRAFT 2'!$D:$D,$B21,'DRAFT 2'!$A:$A,"&gt;="&amp;DATE(2026,11,8),'DRAFT 2'!$A:$A,"&lt;="&amp;DATE(2026,11,14))</f>
        <v>0</v>
      </c>
      <c r="IF21">
        <f>COUNTIFS('DRAFT 2'!$D:$D,$B21,'DRAFT 2'!$A:$A,"&gt;="&amp;DATE(2026,11,15),'DRAFT 2'!$A:$A,"&lt;="&amp;DATE(2026,11,21))</f>
        <v>0</v>
      </c>
      <c r="IG21">
        <f>COUNTIFS('DRAFT 2'!$D:$D,$B21,'DRAFT 2'!$A:$A,"&gt;="&amp;DATE(2026,11,22),'DRAFT 2'!$A:$A,"&lt;"&amp;DATE(2026,IF(11=12,11+1,11+1),1))</f>
        <v>0</v>
      </c>
      <c r="IH21">
        <f t="shared" si="12"/>
        <v>0</v>
      </c>
      <c r="IR21">
        <f>IFERROR(LOOKUP(2,1/('DRAFT 2'!$D:$D=$B21)*('DRAFT 2'!$A:$A&gt;=DATE(2026,12,1))*('DRAFT 2'!$A:$A&lt;DATE(2026,IF(12=12,12+1,12+1),1)),'DRAFT 2'!$A:$A),"")</f>
        <v>0</v>
      </c>
      <c r="IS21">
        <f>COUNTIFS('DRAFT 2'!$D:$D,$B21,'DRAFT 2'!$A:$A,"&gt;="&amp;DATE(2026,12,1),'DRAFT 2'!$A:$A,"&lt;="&amp;DATE(2026,12,7))</f>
        <v>0</v>
      </c>
      <c r="IT21">
        <f>COUNTIFS('DRAFT 2'!$D:$D,$B21,'DRAFT 2'!$A:$A,"&gt;="&amp;DATE(2026,12,8),'DRAFT 2'!$A:$A,"&lt;="&amp;DATE(2026,12,14))</f>
        <v>0</v>
      </c>
      <c r="IU21">
        <f>COUNTIFS('DRAFT 2'!$D:$D,$B21,'DRAFT 2'!$A:$A,"&gt;="&amp;DATE(2026,12,15),'DRAFT 2'!$A:$A,"&lt;="&amp;DATE(2026,12,21))</f>
        <v>0</v>
      </c>
      <c r="IV21">
        <f>COUNTIFS('DRAFT 2'!$D:$D,$B21,'DRAFT 2'!$A:$A,"&gt;="&amp;DATE(2026,12,22),'DRAFT 2'!$A:$A,"&lt;"&amp;DATE(2026,IF(12=12,12+1,12+1),1))</f>
        <v>0</v>
      </c>
      <c r="IW21">
        <f t="shared" si="13"/>
        <v>0</v>
      </c>
    </row>
    <row r="22" spans="1:257" x14ac:dyDescent="0.3">
      <c r="A22" t="str">
        <f>IFERROR(INDEX('DRAFT 1'!$A:$A,MATCH($B22,'DRAFT 1'!$B:$B,0)),"")</f>
        <v/>
      </c>
      <c r="C22" t="str">
        <f>IFERROR(INDEX('DRAFT 1'!$C:$C,MATCH($B22,'DRAFT 1'!$B:$B,0)),"")</f>
        <v/>
      </c>
      <c r="D22" t="str">
        <f>IFERROR(INDEX('DRAFT 1'!$D:$D,MATCH($B22,'DRAFT 1'!$B:$B,0)),"")</f>
        <v/>
      </c>
      <c r="E22" t="str">
        <f>IFERROR(INDEX('DRAFT 1'!$E:$E,MATCH($B22,'DRAFT 1'!$B:$B,0)),"")</f>
        <v/>
      </c>
      <c r="F22" t="str">
        <f>IFERROR(INDEX('DRAFT 1'!$F:$F,MATCH($B22,'DRAFT 1'!$B:$B,0)),"")</f>
        <v/>
      </c>
      <c r="G22" t="str">
        <f>IFERROR(INDEX('DRAFT 1'!$G:$G,MATCH($B22,'DRAFT 1'!$B:$B,0)),"")</f>
        <v/>
      </c>
      <c r="H22" t="str">
        <f>IFERROR(INDEX('DRAFT 1'!$H:$H,MATCH($B22,'DRAFT 1'!$B:$B,0)),"")</f>
        <v/>
      </c>
      <c r="I22" t="s">
        <v>292</v>
      </c>
      <c r="K22" t="str">
        <f>IFERROR(INDEX('DRAFT 1'!$AL:$AL,MATCH($B22,'DRAFT 1'!$B:$B,0)),"")</f>
        <v/>
      </c>
      <c r="L22" t="str">
        <f>IFERROR(INDEX('DRAFT 1'!$J:$J,MATCH($B22,'DRAFT 1'!$B:$B,0)),"")</f>
        <v/>
      </c>
      <c r="M22" t="str">
        <f>IFERROR(INDEX('DRAFT 1'!$K:$K,MATCH($B22,'DRAFT 1'!$B:$B,0)),"")</f>
        <v/>
      </c>
      <c r="N22" t="s">
        <v>79</v>
      </c>
      <c r="P22" t="str">
        <f>IFERROR(INDEX('DRAFT 1'!$L:$L,MATCH($B22,'DRAFT 1'!$B:$B,0)),"")</f>
        <v/>
      </c>
      <c r="Q22" t="str">
        <f>IFERROR(INDEX('DRAFT 1'!$M:$M,MATCH($B22,'DRAFT 1'!$B:$B,0)),"")</f>
        <v/>
      </c>
      <c r="R22" t="str">
        <f>IFERROR(INDEX('DRAFT 1'!$N:$N,MATCH($B22,'DRAFT 1'!$B:$B,0)),"")</f>
        <v/>
      </c>
      <c r="S22" t="str">
        <f>IFERROR(INDEX('DRAFT 1'!$O:$O,MATCH($B22,'DRAFT 1'!$B:$B,0)),"")</f>
        <v/>
      </c>
      <c r="T22" t="str">
        <f>IFERROR(INDEX('DRAFT 1'!$P:$P,MATCH($B22,'DRAFT 1'!$B:$B,0)),"")</f>
        <v/>
      </c>
      <c r="U22" t="str">
        <f>IFERROR(INDEX('DRAFT 1'!$Q:$Q,MATCH($B22,'DRAFT 1'!$B:$B,0)),"")</f>
        <v/>
      </c>
      <c r="V22" t="str">
        <f>IFERROR(INDEX('DRAFT 1'!$R:$R,MATCH($B22,'DRAFT 1'!$B:$B,0)),"")</f>
        <v/>
      </c>
      <c r="W22" t="str">
        <f>IFERROR(INDEX('DRAFT 1'!$S:$S,MATCH($B22,'DRAFT 1'!$B:$B,0)),"")</f>
        <v/>
      </c>
      <c r="X22" t="str">
        <f>IFERROR(INDEX('DRAFT 1'!$T:$T,MATCH($B22,'DRAFT 1'!$B:$B,0)),"")</f>
        <v/>
      </c>
      <c r="Z22" t="str">
        <f>IFERROR(INDEX('DRAFT 1'!$U:$U,MATCH($B22,'DRAFT 1'!$B:$B,0)),"")</f>
        <v/>
      </c>
      <c r="AA22" t="str">
        <f>IFERROR(INDEX('DRAFT 1'!$V:$V,MATCH($B22,'DRAFT 1'!$B:$B,0)),"")</f>
        <v/>
      </c>
      <c r="AB22" t="str">
        <f>IFERROR(INDEX('DRAFT 1'!$W:$W,MATCH($B22,'DRAFT 1'!$B:$B,0)),"")</f>
        <v/>
      </c>
      <c r="AC22" t="str">
        <f>IFERROR(INDEX('DRAFT 1'!$X:$X,MATCH($B22,'DRAFT 1'!$B:$B,0)),"")</f>
        <v/>
      </c>
      <c r="AD22" t="str">
        <f>IFERROR(INDEX('DRAFT 1'!$Y:$Y,MATCH($B22,'DRAFT 1'!$B:$B,0)),"")</f>
        <v/>
      </c>
      <c r="AE22" t="str">
        <f>IFERROR(INDEX('DRAFT 1'!$Z:$Z,MATCH($B22,'DRAFT 1'!$B:$B,0)),"")</f>
        <v/>
      </c>
      <c r="AF22" t="str">
        <f>IFERROR(INDEX('DRAFT 1'!$AA:$AA,MATCH($B22,'DRAFT 1'!$B:$B,0)),"")</f>
        <v/>
      </c>
      <c r="AG22" t="str">
        <f>IFERROR(INDEX('DRAFT 1'!$AB:$AB,MATCH($B22,'DRAFT 1'!$B:$B,0)),"")</f>
        <v/>
      </c>
      <c r="AH22" t="str">
        <f>IFERROR(INDEX('DRAFT 1'!$AC:$AC,MATCH($B22,'DRAFT 1'!$B:$B,0)),"")</f>
        <v/>
      </c>
      <c r="AI22" t="str">
        <f>IFERROR(INDEX('DRAFT 1'!$AD:$AD,MATCH($B22,'DRAFT 1'!$B:$B,0)),"")</f>
        <v/>
      </c>
      <c r="AJ22" t="str">
        <f>IFERROR(INDEX('DRAFT 1'!$AE:$AE,MATCH($B22,'DRAFT 1'!$B:$B,0)),"")</f>
        <v/>
      </c>
      <c r="AK22" t="str">
        <f>IFERROR(INDEX('DRAFT 1'!$AG:$AG,MATCH($B22,'DRAFT 1'!$B:$B,0)),"")</f>
        <v/>
      </c>
      <c r="AL22" t="str">
        <f>IFERROR(INDEX('DRAFT 1'!$AH:$AH,MATCH($B22,'DRAFT 1'!$B:$B,0)),"")</f>
        <v/>
      </c>
      <c r="AM22" t="str">
        <f>IFERROR(INDEX('DRAFT 1'!$AI:$AI,MATCH($B22,'DRAFT 1'!$B:$B,0)),"")</f>
        <v/>
      </c>
      <c r="AN22" t="str">
        <f>IFERROR(INDEX('DRAFT 1'!$AJ:$AJ,MATCH($B22,'DRAFT 1'!$B:$B,0)),"")</f>
        <v/>
      </c>
      <c r="AO22">
        <f t="shared" si="0"/>
        <v>0</v>
      </c>
      <c r="AP22" t="str">
        <f>IFERROR(INDEX('DRAFT 1'!$AK:$AK,MATCH($B22,'DRAFT 1'!$B:$B,0)),"")</f>
        <v/>
      </c>
      <c r="AR22" t="s">
        <v>33</v>
      </c>
      <c r="AS22">
        <f>IFERROR(LOOKUP(2,1/('DRAFT 2'!$D:$D=$B22),'DRAFT 2'!$T:$T),"")</f>
        <v>0</v>
      </c>
      <c r="AT22">
        <f>IFERROR(LOOKUP(2,1/('DRAFT 2'!$D:$D=$B22),'DRAFT 2'!$A:$A),"")</f>
        <v>0</v>
      </c>
      <c r="AU22">
        <f>IFERROR(LOOKUP(2,1/('DRAFT 2'!$D:$D=$B22),'DRAFT 2'!$R:$R),"")</f>
        <v>0</v>
      </c>
      <c r="AV22">
        <f>IFERROR(LOOKUP(2,1/('DRAFT 2'!$D:$D=$B22),'DRAFT 2'!$S:$S),"")</f>
        <v>0</v>
      </c>
      <c r="AW22" t="s">
        <v>128</v>
      </c>
      <c r="AX22">
        <f>IFERROR(LOOKUP(2,1/('DRAFT 2'!$D:$D=$B22),'DRAFT 2'!$M:$M),"")</f>
        <v>0</v>
      </c>
      <c r="AY22">
        <f>IFERROR(LOOKUP(2,1/('DRAFT 2'!$D:$D=$B22),'DRAFT 2'!$K:$K),"")</f>
        <v>0</v>
      </c>
      <c r="BG22">
        <f>IFERROR(LOOKUP(2,1/('DRAFT 2'!$D:$D=$B22),'DRAFT 2'!$U:$U),"")</f>
        <v>0</v>
      </c>
      <c r="BH22">
        <f>IFERROR(LOOKUP(2,1/('DRAFT 2'!$D:$D=$B22),'DRAFT 2'!$V:$V),"")</f>
        <v>0</v>
      </c>
      <c r="CE22" t="str">
        <f t="shared" si="1"/>
        <v/>
      </c>
      <c r="CF22">
        <f>IFERROR(LOOKUP(2,1/('DRAFT 2'!$D:$D=$B22)*('DRAFT 2'!$A:$A&gt;=DATE(2026,1,1))*('DRAFT 2'!$A:$A&lt;DATE(2026,IF(1=12,1+1,1+1),1)),'DRAFT 2'!$A:$A),"")</f>
        <v>0</v>
      </c>
      <c r="CG22">
        <f>COUNTIFS('DRAFT 2'!$D:$D,$B22,'DRAFT 2'!$A:$A,"&gt;="&amp;DATE(2026,1,1),'DRAFT 2'!$A:$A,"&lt;="&amp;DATE(2026,1,7))</f>
        <v>0</v>
      </c>
      <c r="CH22">
        <f>COUNTIFS('DRAFT 2'!$D:$D,$B22,'DRAFT 2'!$A:$A,"&gt;="&amp;DATE(2026,1,8),'DRAFT 2'!$A:$A,"&lt;="&amp;DATE(2026,1,14))</f>
        <v>0</v>
      </c>
      <c r="CI22">
        <f>COUNTIFS('DRAFT 2'!$D:$D,$B22,'DRAFT 2'!$A:$A,"&gt;="&amp;DATE(2026,1,15),'DRAFT 2'!$A:$A,"&lt;="&amp;DATE(2026,1,21))</f>
        <v>0</v>
      </c>
      <c r="CJ22">
        <f>COUNTIFS('DRAFT 2'!$D:$D,$B22,'DRAFT 2'!$A:$A,"&gt;="&amp;DATE(2026,1,22),'DRAFT 2'!$A:$A,"&lt;"&amp;DATE(2026,IF(1=12,1+1,1+1),1))</f>
        <v>0</v>
      </c>
      <c r="CK22">
        <f t="shared" si="2"/>
        <v>0</v>
      </c>
      <c r="CT22">
        <v>0</v>
      </c>
      <c r="CU22">
        <f>IFERROR(LOOKUP(2,1/('DRAFT 2'!$D:$D=$B22)*('DRAFT 2'!$A:$A&gt;=DATE(2026,2,1))*('DRAFT 2'!$A:$A&lt;DATE(2026,IF(2=12,2+1,2+1),1)),'DRAFT 2'!$A:$A),"")</f>
        <v>0</v>
      </c>
      <c r="CV22">
        <f>COUNTIFS('DRAFT 2'!$D:$D,$B22,'DRAFT 2'!$A:$A,"&gt;="&amp;DATE(2026,2,1),'DRAFT 2'!$A:$A,"&lt;="&amp;DATE(2026,2,7))</f>
        <v>0</v>
      </c>
      <c r="CW22">
        <f>COUNTIFS('DRAFT 2'!$D:$D,$B22,'DRAFT 2'!$A:$A,"&gt;="&amp;DATE(2026,2,8),'DRAFT 2'!$A:$A,"&lt;="&amp;DATE(2026,2,14))</f>
        <v>0</v>
      </c>
      <c r="CX22">
        <f>COUNTIFS('DRAFT 2'!$D:$D,$B22,'DRAFT 2'!$A:$A,"&gt;="&amp;DATE(2026,2,15),'DRAFT 2'!$A:$A,"&lt;="&amp;DATE(2026,2,21))</f>
        <v>0</v>
      </c>
      <c r="CY22">
        <f>COUNTIFS('DRAFT 2'!$D:$D,$B22,'DRAFT 2'!$A:$A,"&gt;="&amp;DATE(2026,2,22),'DRAFT 2'!$A:$A,"&lt;"&amp;DATE(2026,IF(2=12,2+1,2+1),1))</f>
        <v>0</v>
      </c>
      <c r="CZ22">
        <f t="shared" si="3"/>
        <v>0</v>
      </c>
      <c r="DJ22">
        <f>IFERROR(LOOKUP(2,1/('DRAFT 2'!$D:$D=$B22)*('DRAFT 2'!$A:$A&gt;=DATE(2026,3,1))*('DRAFT 2'!$A:$A&lt;DATE(2026,IF(3=12,3+1,3+1),1)),'DRAFT 2'!$A:$A),"")</f>
        <v>0</v>
      </c>
      <c r="DK22">
        <f>COUNTIFS('DRAFT 2'!$D:$D,$B22,'DRAFT 2'!$A:$A,"&gt;="&amp;DATE(2026,3,1),'DRAFT 2'!$A:$A,"&lt;="&amp;DATE(2026,3,7))</f>
        <v>0</v>
      </c>
      <c r="DL22">
        <f>COUNTIFS('DRAFT 2'!$D:$D,$B22,'DRAFT 2'!$A:$A,"&gt;="&amp;DATE(2026,3,8),'DRAFT 2'!$A:$A,"&lt;="&amp;DATE(2026,3,14))</f>
        <v>0</v>
      </c>
      <c r="DM22">
        <f>COUNTIFS('DRAFT 2'!$D:$D,$B22,'DRAFT 2'!$A:$A,"&gt;="&amp;DATE(2026,3,15),'DRAFT 2'!$A:$A,"&lt;="&amp;DATE(2026,3,21))</f>
        <v>0</v>
      </c>
      <c r="DN22">
        <f>COUNTIFS('DRAFT 2'!$D:$D,$B22,'DRAFT 2'!$A:$A,"&gt;="&amp;DATE(2026,3,22),'DRAFT 2'!$A:$A,"&lt;"&amp;DATE(2026,IF(3=12,3+1,3+1),1))</f>
        <v>0</v>
      </c>
      <c r="DO22">
        <f t="shared" si="4"/>
        <v>0</v>
      </c>
      <c r="DZ22">
        <f>IFERROR(LOOKUP(2,1/('DRAFT 2'!$D:$D=$B22)*('DRAFT 2'!$A:$A&gt;=DATE(2026,4,1))*('DRAFT 2'!$A:$A&lt;DATE(2026,IF(4=12,4+1,4+1),1)),'DRAFT 2'!$A:$A),"")</f>
        <v>0</v>
      </c>
      <c r="EA22">
        <f>COUNTIFS('DRAFT 2'!$D:$D,$B22,'DRAFT 2'!$A:$A,"&gt;="&amp;DATE(2026,4,1),'DRAFT 2'!$A:$A,"&lt;="&amp;DATE(2026,4,7))</f>
        <v>0</v>
      </c>
      <c r="EB22">
        <f>COUNTIFS('DRAFT 2'!$D:$D,$B22,'DRAFT 2'!$A:$A,"&gt;="&amp;DATE(2026,4,8),'DRAFT 2'!$A:$A,"&lt;="&amp;DATE(2026,4,14))</f>
        <v>0</v>
      </c>
      <c r="EC22">
        <f>COUNTIFS('DRAFT 2'!$D:$D,$B22,'DRAFT 2'!$A:$A,"&gt;="&amp;DATE(2026,4,15),'DRAFT 2'!$A:$A,"&lt;="&amp;DATE(2026,4,21))</f>
        <v>0</v>
      </c>
      <c r="ED22">
        <f>COUNTIFS('DRAFT 2'!$D:$D,$B22,'DRAFT 2'!$A:$A,"&gt;="&amp;DATE(2026,4,22),'DRAFT 2'!$A:$A,"&lt;"&amp;DATE(2026,IF(4=12,4+1,4+1),1))</f>
        <v>0</v>
      </c>
      <c r="EE22">
        <f t="shared" si="5"/>
        <v>0</v>
      </c>
      <c r="EO22">
        <f>IFERROR(LOOKUP(2,1/('DRAFT 2'!$D:$D=$B22)*('DRAFT 2'!$A:$A&gt;=DATE(2026,5,1))*('DRAFT 2'!$A:$A&lt;DATE(2026,IF(5=12,5+1,5+1),1)),'DRAFT 2'!$A:$A),"")</f>
        <v>0</v>
      </c>
      <c r="EP22">
        <f>COUNTIFS('DRAFT 2'!$D:$D,$B22,'DRAFT 2'!$A:$A,"&gt;="&amp;DATE(2026,5,1),'DRAFT 2'!$A:$A,"&lt;="&amp;DATE(2026,5,7))</f>
        <v>0</v>
      </c>
      <c r="EQ22">
        <f>COUNTIFS('DRAFT 2'!$D:$D,$B22,'DRAFT 2'!$A:$A,"&gt;="&amp;DATE(2026,5,8),'DRAFT 2'!$A:$A,"&lt;="&amp;DATE(2026,5,14))</f>
        <v>0</v>
      </c>
      <c r="ER22">
        <f>COUNTIFS('DRAFT 2'!$D:$D,$B22,'DRAFT 2'!$A:$A,"&gt;="&amp;DATE(2026,5,15),'DRAFT 2'!$A:$A,"&lt;="&amp;DATE(2026,5,21))</f>
        <v>0</v>
      </c>
      <c r="ES22">
        <f>COUNTIFS('DRAFT 2'!$D:$D,$B22,'DRAFT 2'!$A:$A,"&gt;="&amp;DATE(2026,5,22),'DRAFT 2'!$A:$A,"&lt;"&amp;DATE(2026,IF(5=12,5+1,5+1),1))</f>
        <v>0</v>
      </c>
      <c r="ET22">
        <f t="shared" si="6"/>
        <v>0</v>
      </c>
      <c r="FD22">
        <f>IFERROR(LOOKUP(2,1/('DRAFT 2'!$D:$D=$B22)*('DRAFT 2'!$A:$A&gt;=DATE(2026,6,1))*('DRAFT 2'!$A:$A&lt;DATE(2026,IF(6=12,6+1,6+1),1)),'DRAFT 2'!$A:$A),"")</f>
        <v>0</v>
      </c>
      <c r="FE22">
        <f>COUNTIFS('DRAFT 2'!$D:$D,$B22,'DRAFT 2'!$A:$A,"&gt;="&amp;DATE(2026,6,1),'DRAFT 2'!$A:$A,"&lt;="&amp;DATE(2026,6,7))</f>
        <v>0</v>
      </c>
      <c r="FF22">
        <f>COUNTIFS('DRAFT 2'!$D:$D,$B22,'DRAFT 2'!$A:$A,"&gt;="&amp;DATE(2026,6,8),'DRAFT 2'!$A:$A,"&lt;="&amp;DATE(2026,6,14))</f>
        <v>0</v>
      </c>
      <c r="FG22">
        <f>COUNTIFS('DRAFT 2'!$D:$D,$B22,'DRAFT 2'!$A:$A,"&gt;="&amp;DATE(2026,6,15),'DRAFT 2'!$A:$A,"&lt;="&amp;DATE(2026,6,21))</f>
        <v>0</v>
      </c>
      <c r="FH22">
        <f>COUNTIFS('DRAFT 2'!$D:$D,$B22,'DRAFT 2'!$A:$A,"&gt;="&amp;DATE(2026,6,22),'DRAFT 2'!$A:$A,"&lt;"&amp;DATE(2026,IF(6=12,6+1,6+1),1))</f>
        <v>0</v>
      </c>
      <c r="FI22">
        <f t="shared" si="7"/>
        <v>0</v>
      </c>
      <c r="FT22">
        <f>IFERROR(LOOKUP(2,1/('DRAFT 2'!$D:$D=$B22)*('DRAFT 2'!$A:$A&gt;=DATE(2026,7,1))*('DRAFT 2'!$A:$A&lt;DATE(2026,IF(7=12,7+1,7+1),1)),'DRAFT 2'!$A:$A),"")</f>
        <v>0</v>
      </c>
      <c r="FU22">
        <f>COUNTIFS('DRAFT 2'!$D:$D,$B22,'DRAFT 2'!$A:$A,"&gt;="&amp;DATE(2026,7,1),'DRAFT 2'!$A:$A,"&lt;="&amp;DATE(2026,7,7))</f>
        <v>0</v>
      </c>
      <c r="FV22">
        <f>COUNTIFS('DRAFT 2'!$D:$D,$B22,'DRAFT 2'!$A:$A,"&gt;="&amp;DATE(2026,7,8),'DRAFT 2'!$A:$A,"&lt;="&amp;DATE(2026,7,14))</f>
        <v>0</v>
      </c>
      <c r="FW22">
        <f>COUNTIFS('DRAFT 2'!$D:$D,$B22,'DRAFT 2'!$A:$A,"&gt;="&amp;DATE(2026,7,15),'DRAFT 2'!$A:$A,"&lt;="&amp;DATE(2026,7,21))</f>
        <v>0</v>
      </c>
      <c r="FX22">
        <f>COUNTIFS('DRAFT 2'!$D:$D,$B22,'DRAFT 2'!$A:$A,"&gt;="&amp;DATE(2026,7,22),'DRAFT 2'!$A:$A,"&lt;"&amp;DATE(2026,IF(7=12,7+1,7+1),1))</f>
        <v>0</v>
      </c>
      <c r="FY22">
        <f t="shared" si="8"/>
        <v>0</v>
      </c>
      <c r="GI22">
        <f>IFERROR(LOOKUP(2,1/('DRAFT 2'!$D:$D=$B22)*('DRAFT 2'!$A:$A&gt;=DATE(2026,8,1))*('DRAFT 2'!$A:$A&lt;DATE(2026,IF(8=12,8+1,8+1),1)),'DRAFT 2'!$A:$A),"")</f>
        <v>0</v>
      </c>
      <c r="GJ22">
        <f>COUNTIFS('DRAFT 2'!$D:$D,$B22,'DRAFT 2'!$A:$A,"&gt;="&amp;DATE(2026,8,1),'DRAFT 2'!$A:$A,"&lt;="&amp;DATE(2026,8,7))</f>
        <v>0</v>
      </c>
      <c r="GK22">
        <f>COUNTIFS('DRAFT 2'!$D:$D,$B22,'DRAFT 2'!$A:$A,"&gt;="&amp;DATE(2026,8,8),'DRAFT 2'!$A:$A,"&lt;="&amp;DATE(2026,8,14))</f>
        <v>0</v>
      </c>
      <c r="GL22">
        <f>COUNTIFS('DRAFT 2'!$D:$D,$B22,'DRAFT 2'!$A:$A,"&gt;="&amp;DATE(2026,8,15),'DRAFT 2'!$A:$A,"&lt;="&amp;DATE(2026,8,21))</f>
        <v>0</v>
      </c>
      <c r="GM22">
        <f>COUNTIFS('DRAFT 2'!$D:$D,$B22,'DRAFT 2'!$A:$A,"&gt;="&amp;DATE(2026,8,22),'DRAFT 2'!$A:$A,"&lt;"&amp;DATE(2026,IF(8=12,8+1,8+1),1))</f>
        <v>0</v>
      </c>
      <c r="GN22">
        <f t="shared" si="9"/>
        <v>0</v>
      </c>
      <c r="GX22">
        <f>IFERROR(LOOKUP(2,1/('DRAFT 2'!$D:$D=$B22)*('DRAFT 2'!$A:$A&gt;=DATE(2026,9,1))*('DRAFT 2'!$A:$A&lt;DATE(2026,IF(9=12,9+1,9+1),1)),'DRAFT 2'!$A:$A),"")</f>
        <v>0</v>
      </c>
      <c r="GY22">
        <f>COUNTIFS('DRAFT 2'!$D:$D,$B22,'DRAFT 2'!$A:$A,"&gt;="&amp;DATE(2026,9,1),'DRAFT 2'!$A:$A,"&lt;="&amp;DATE(2026,9,7))</f>
        <v>0</v>
      </c>
      <c r="GZ22">
        <f>COUNTIFS('DRAFT 2'!$D:$D,$B22,'DRAFT 2'!$A:$A,"&gt;="&amp;DATE(2026,9,8),'DRAFT 2'!$A:$A,"&lt;="&amp;DATE(2026,9,14))</f>
        <v>0</v>
      </c>
      <c r="HA22">
        <f>COUNTIFS('DRAFT 2'!$D:$D,$B22,'DRAFT 2'!$A:$A,"&gt;="&amp;DATE(2026,9,15),'DRAFT 2'!$A:$A,"&lt;="&amp;DATE(2026,9,21))</f>
        <v>0</v>
      </c>
      <c r="HB22">
        <f>COUNTIFS('DRAFT 2'!$D:$D,$B22,'DRAFT 2'!$A:$A,"&gt;="&amp;DATE(2026,9,22),'DRAFT 2'!$A:$A,"&lt;"&amp;DATE(2026,IF(9=12,9+1,9+1),1))</f>
        <v>0</v>
      </c>
      <c r="HC22">
        <f t="shared" si="10"/>
        <v>0</v>
      </c>
      <c r="HN22">
        <f>IFERROR(LOOKUP(2,1/('DRAFT 2'!$D:$D=$B22)*('DRAFT 2'!$A:$A&gt;=DATE(2026,10,1))*('DRAFT 2'!$A:$A&lt;DATE(2026,IF(10=12,10+1,10+1),1)),'DRAFT 2'!$A:$A),"")</f>
        <v>0</v>
      </c>
      <c r="HO22">
        <f>COUNTIFS('DRAFT 2'!$D:$D,$B22,'DRAFT 2'!$A:$A,"&gt;="&amp;DATE(2026,10,1),'DRAFT 2'!$A:$A,"&lt;="&amp;DATE(2026,10,7))</f>
        <v>0</v>
      </c>
      <c r="HP22">
        <f>COUNTIFS('DRAFT 2'!$D:$D,$B22,'DRAFT 2'!$A:$A,"&gt;="&amp;DATE(2026,10,8),'DRAFT 2'!$A:$A,"&lt;="&amp;DATE(2026,10,14))</f>
        <v>0</v>
      </c>
      <c r="HQ22">
        <f>COUNTIFS('DRAFT 2'!$D:$D,$B22,'DRAFT 2'!$A:$A,"&gt;="&amp;DATE(2026,10,15),'DRAFT 2'!$A:$A,"&lt;="&amp;DATE(2026,10,21))</f>
        <v>0</v>
      </c>
      <c r="HR22">
        <f>COUNTIFS('DRAFT 2'!$D:$D,$B22,'DRAFT 2'!$A:$A,"&gt;="&amp;DATE(2026,10,22),'DRAFT 2'!$A:$A,"&lt;"&amp;DATE(2026,IF(10=12,10+1,10+1),1))</f>
        <v>0</v>
      </c>
      <c r="HS22">
        <f t="shared" si="11"/>
        <v>0</v>
      </c>
      <c r="IC22">
        <f>IFERROR(LOOKUP(2,1/('DRAFT 2'!$D:$D=$B22)*('DRAFT 2'!$A:$A&gt;=DATE(2026,11,1))*('DRAFT 2'!$A:$A&lt;DATE(2026,IF(11=12,11+1,11+1),1)),'DRAFT 2'!$A:$A),"")</f>
        <v>0</v>
      </c>
      <c r="ID22">
        <f>COUNTIFS('DRAFT 2'!$D:$D,$B22,'DRAFT 2'!$A:$A,"&gt;="&amp;DATE(2026,11,1),'DRAFT 2'!$A:$A,"&lt;="&amp;DATE(2026,11,7))</f>
        <v>0</v>
      </c>
      <c r="IE22">
        <f>COUNTIFS('DRAFT 2'!$D:$D,$B22,'DRAFT 2'!$A:$A,"&gt;="&amp;DATE(2026,11,8),'DRAFT 2'!$A:$A,"&lt;="&amp;DATE(2026,11,14))</f>
        <v>0</v>
      </c>
      <c r="IF22">
        <f>COUNTIFS('DRAFT 2'!$D:$D,$B22,'DRAFT 2'!$A:$A,"&gt;="&amp;DATE(2026,11,15),'DRAFT 2'!$A:$A,"&lt;="&amp;DATE(2026,11,21))</f>
        <v>0</v>
      </c>
      <c r="IG22">
        <f>COUNTIFS('DRAFT 2'!$D:$D,$B22,'DRAFT 2'!$A:$A,"&gt;="&amp;DATE(2026,11,22),'DRAFT 2'!$A:$A,"&lt;"&amp;DATE(2026,IF(11=12,11+1,11+1),1))</f>
        <v>0</v>
      </c>
      <c r="IH22">
        <f t="shared" si="12"/>
        <v>0</v>
      </c>
      <c r="IR22">
        <f>IFERROR(LOOKUP(2,1/('DRAFT 2'!$D:$D=$B22)*('DRAFT 2'!$A:$A&gt;=DATE(2026,12,1))*('DRAFT 2'!$A:$A&lt;DATE(2026,IF(12=12,12+1,12+1),1)),'DRAFT 2'!$A:$A),"")</f>
        <v>0</v>
      </c>
      <c r="IS22">
        <f>COUNTIFS('DRAFT 2'!$D:$D,$B22,'DRAFT 2'!$A:$A,"&gt;="&amp;DATE(2026,12,1),'DRAFT 2'!$A:$A,"&lt;="&amp;DATE(2026,12,7))</f>
        <v>0</v>
      </c>
      <c r="IT22">
        <f>COUNTIFS('DRAFT 2'!$D:$D,$B22,'DRAFT 2'!$A:$A,"&gt;="&amp;DATE(2026,12,8),'DRAFT 2'!$A:$A,"&lt;="&amp;DATE(2026,12,14))</f>
        <v>0</v>
      </c>
      <c r="IU22">
        <f>COUNTIFS('DRAFT 2'!$D:$D,$B22,'DRAFT 2'!$A:$A,"&gt;="&amp;DATE(2026,12,15),'DRAFT 2'!$A:$A,"&lt;="&amp;DATE(2026,12,21))</f>
        <v>0</v>
      </c>
      <c r="IV22">
        <f>COUNTIFS('DRAFT 2'!$D:$D,$B22,'DRAFT 2'!$A:$A,"&gt;="&amp;DATE(2026,12,22),'DRAFT 2'!$A:$A,"&lt;"&amp;DATE(2026,IF(12=12,12+1,12+1),1))</f>
        <v>0</v>
      </c>
      <c r="IW22">
        <f t="shared" si="13"/>
        <v>0</v>
      </c>
    </row>
    <row r="23" spans="1:257" x14ac:dyDescent="0.3">
      <c r="A23" t="str">
        <f>IFERROR(INDEX('DRAFT 1'!$A:$A,MATCH($B23,'DRAFT 1'!$B:$B,0)),"")</f>
        <v/>
      </c>
      <c r="C23" t="str">
        <f>IFERROR(INDEX('DRAFT 1'!$C:$C,MATCH($B23,'DRAFT 1'!$B:$B,0)),"")</f>
        <v/>
      </c>
      <c r="D23" t="str">
        <f>IFERROR(INDEX('DRAFT 1'!$D:$D,MATCH($B23,'DRAFT 1'!$B:$B,0)),"")</f>
        <v/>
      </c>
      <c r="E23" t="str">
        <f>IFERROR(INDEX('DRAFT 1'!$E:$E,MATCH($B23,'DRAFT 1'!$B:$B,0)),"")</f>
        <v/>
      </c>
      <c r="F23" t="str">
        <f>IFERROR(INDEX('DRAFT 1'!$F:$F,MATCH($B23,'DRAFT 1'!$B:$B,0)),"")</f>
        <v/>
      </c>
      <c r="G23" t="str">
        <f>IFERROR(INDEX('DRAFT 1'!$G:$G,MATCH($B23,'DRAFT 1'!$B:$B,0)),"")</f>
        <v/>
      </c>
      <c r="H23" t="str">
        <f>IFERROR(INDEX('DRAFT 1'!$H:$H,MATCH($B23,'DRAFT 1'!$B:$B,0)),"")</f>
        <v/>
      </c>
      <c r="I23" t="s">
        <v>295</v>
      </c>
      <c r="K23" t="str">
        <f>IFERROR(INDEX('DRAFT 1'!$AL:$AL,MATCH($B23,'DRAFT 1'!$B:$B,0)),"")</f>
        <v/>
      </c>
      <c r="L23" t="str">
        <f>IFERROR(INDEX('DRAFT 1'!$J:$J,MATCH($B23,'DRAFT 1'!$B:$B,0)),"")</f>
        <v/>
      </c>
      <c r="M23" t="str">
        <f>IFERROR(INDEX('DRAFT 1'!$K:$K,MATCH($B23,'DRAFT 1'!$B:$B,0)),"")</f>
        <v/>
      </c>
      <c r="N23" t="s">
        <v>79</v>
      </c>
      <c r="P23" t="str">
        <f>IFERROR(INDEX('DRAFT 1'!$L:$L,MATCH($B23,'DRAFT 1'!$B:$B,0)),"")</f>
        <v/>
      </c>
      <c r="Q23" t="str">
        <f>IFERROR(INDEX('DRAFT 1'!$M:$M,MATCH($B23,'DRAFT 1'!$B:$B,0)),"")</f>
        <v/>
      </c>
      <c r="R23" t="str">
        <f>IFERROR(INDEX('DRAFT 1'!$N:$N,MATCH($B23,'DRAFT 1'!$B:$B,0)),"")</f>
        <v/>
      </c>
      <c r="S23" t="str">
        <f>IFERROR(INDEX('DRAFT 1'!$O:$O,MATCH($B23,'DRAFT 1'!$B:$B,0)),"")</f>
        <v/>
      </c>
      <c r="T23" t="str">
        <f>IFERROR(INDEX('DRAFT 1'!$P:$P,MATCH($B23,'DRAFT 1'!$B:$B,0)),"")</f>
        <v/>
      </c>
      <c r="U23" t="str">
        <f>IFERROR(INDEX('DRAFT 1'!$Q:$Q,MATCH($B23,'DRAFT 1'!$B:$B,0)),"")</f>
        <v/>
      </c>
      <c r="V23" t="str">
        <f>IFERROR(INDEX('DRAFT 1'!$R:$R,MATCH($B23,'DRAFT 1'!$B:$B,0)),"")</f>
        <v/>
      </c>
      <c r="W23" t="str">
        <f>IFERROR(INDEX('DRAFT 1'!$S:$S,MATCH($B23,'DRAFT 1'!$B:$B,0)),"")</f>
        <v/>
      </c>
      <c r="X23" t="str">
        <f>IFERROR(INDEX('DRAFT 1'!$T:$T,MATCH($B23,'DRAFT 1'!$B:$B,0)),"")</f>
        <v/>
      </c>
      <c r="Z23" t="str">
        <f>IFERROR(INDEX('DRAFT 1'!$U:$U,MATCH($B23,'DRAFT 1'!$B:$B,0)),"")</f>
        <v/>
      </c>
      <c r="AA23" t="str">
        <f>IFERROR(INDEX('DRAFT 1'!$V:$V,MATCH($B23,'DRAFT 1'!$B:$B,0)),"")</f>
        <v/>
      </c>
      <c r="AB23" t="str">
        <f>IFERROR(INDEX('DRAFT 1'!$W:$W,MATCH($B23,'DRAFT 1'!$B:$B,0)),"")</f>
        <v/>
      </c>
      <c r="AC23" t="str">
        <f>IFERROR(INDEX('DRAFT 1'!$X:$X,MATCH($B23,'DRAFT 1'!$B:$B,0)),"")</f>
        <v/>
      </c>
      <c r="AD23" t="str">
        <f>IFERROR(INDEX('DRAFT 1'!$Y:$Y,MATCH($B23,'DRAFT 1'!$B:$B,0)),"")</f>
        <v/>
      </c>
      <c r="AE23" t="str">
        <f>IFERROR(INDEX('DRAFT 1'!$Z:$Z,MATCH($B23,'DRAFT 1'!$B:$B,0)),"")</f>
        <v/>
      </c>
      <c r="AF23" t="str">
        <f>IFERROR(INDEX('DRAFT 1'!$AA:$AA,MATCH($B23,'DRAFT 1'!$B:$B,0)),"")</f>
        <v/>
      </c>
      <c r="AG23" t="str">
        <f>IFERROR(INDEX('DRAFT 1'!$AB:$AB,MATCH($B23,'DRAFT 1'!$B:$B,0)),"")</f>
        <v/>
      </c>
      <c r="AH23" t="str">
        <f>IFERROR(INDEX('DRAFT 1'!$AC:$AC,MATCH($B23,'DRAFT 1'!$B:$B,0)),"")</f>
        <v/>
      </c>
      <c r="AI23" t="str">
        <f>IFERROR(INDEX('DRAFT 1'!$AD:$AD,MATCH($B23,'DRAFT 1'!$B:$B,0)),"")</f>
        <v/>
      </c>
      <c r="AJ23" t="str">
        <f>IFERROR(INDEX('DRAFT 1'!$AE:$AE,MATCH($B23,'DRAFT 1'!$B:$B,0)),"")</f>
        <v/>
      </c>
      <c r="AK23" t="str">
        <f>IFERROR(INDEX('DRAFT 1'!$AG:$AG,MATCH($B23,'DRAFT 1'!$B:$B,0)),"")</f>
        <v/>
      </c>
      <c r="AL23" t="str">
        <f>IFERROR(INDEX('DRAFT 1'!$AH:$AH,MATCH($B23,'DRAFT 1'!$B:$B,0)),"")</f>
        <v/>
      </c>
      <c r="AM23" t="str">
        <f>IFERROR(INDEX('DRAFT 1'!$AI:$AI,MATCH($B23,'DRAFT 1'!$B:$B,0)),"")</f>
        <v/>
      </c>
      <c r="AN23" t="str">
        <f>IFERROR(INDEX('DRAFT 1'!$AJ:$AJ,MATCH($B23,'DRAFT 1'!$B:$B,0)),"")</f>
        <v/>
      </c>
      <c r="AO23">
        <f t="shared" si="0"/>
        <v>0</v>
      </c>
      <c r="AP23" t="str">
        <f>IFERROR(INDEX('DRAFT 1'!$AK:$AK,MATCH($B23,'DRAFT 1'!$B:$B,0)),"")</f>
        <v/>
      </c>
      <c r="AR23" t="s">
        <v>33</v>
      </c>
      <c r="AS23">
        <f>IFERROR(LOOKUP(2,1/('DRAFT 2'!$D:$D=$B23),'DRAFT 2'!$T:$T),"")</f>
        <v>0</v>
      </c>
      <c r="AT23">
        <f>IFERROR(LOOKUP(2,1/('DRAFT 2'!$D:$D=$B23),'DRAFT 2'!$A:$A),"")</f>
        <v>0</v>
      </c>
      <c r="AU23">
        <f>IFERROR(LOOKUP(2,1/('DRAFT 2'!$D:$D=$B23),'DRAFT 2'!$R:$R),"")</f>
        <v>0</v>
      </c>
      <c r="AV23">
        <f>IFERROR(LOOKUP(2,1/('DRAFT 2'!$D:$D=$B23),'DRAFT 2'!$S:$S),"")</f>
        <v>0</v>
      </c>
      <c r="AW23" t="s">
        <v>82</v>
      </c>
      <c r="AX23">
        <f>IFERROR(LOOKUP(2,1/('DRAFT 2'!$D:$D=$B23),'DRAFT 2'!$M:$M),"")</f>
        <v>0</v>
      </c>
      <c r="AY23">
        <f>IFERROR(LOOKUP(2,1/('DRAFT 2'!$D:$D=$B23),'DRAFT 2'!$K:$K),"")</f>
        <v>0</v>
      </c>
      <c r="BG23">
        <f>IFERROR(LOOKUP(2,1/('DRAFT 2'!$D:$D=$B23),'DRAFT 2'!$U:$U),"")</f>
        <v>0</v>
      </c>
      <c r="BH23">
        <f>IFERROR(LOOKUP(2,1/('DRAFT 2'!$D:$D=$B23),'DRAFT 2'!$V:$V),"")</f>
        <v>0</v>
      </c>
      <c r="CE23" t="str">
        <f t="shared" si="1"/>
        <v/>
      </c>
      <c r="CF23">
        <f>IFERROR(LOOKUP(2,1/('DRAFT 2'!$D:$D=$B23)*('DRAFT 2'!$A:$A&gt;=DATE(2026,1,1))*('DRAFT 2'!$A:$A&lt;DATE(2026,IF(1=12,1+1,1+1),1)),'DRAFT 2'!$A:$A),"")</f>
        <v>0</v>
      </c>
      <c r="CG23">
        <f>COUNTIFS('DRAFT 2'!$D:$D,$B23,'DRAFT 2'!$A:$A,"&gt;="&amp;DATE(2026,1,1),'DRAFT 2'!$A:$A,"&lt;="&amp;DATE(2026,1,7))</f>
        <v>0</v>
      </c>
      <c r="CH23">
        <f>COUNTIFS('DRAFT 2'!$D:$D,$B23,'DRAFT 2'!$A:$A,"&gt;="&amp;DATE(2026,1,8),'DRAFT 2'!$A:$A,"&lt;="&amp;DATE(2026,1,14))</f>
        <v>0</v>
      </c>
      <c r="CI23">
        <f>COUNTIFS('DRAFT 2'!$D:$D,$B23,'DRAFT 2'!$A:$A,"&gt;="&amp;DATE(2026,1,15),'DRAFT 2'!$A:$A,"&lt;="&amp;DATE(2026,1,21))</f>
        <v>0</v>
      </c>
      <c r="CJ23">
        <f>COUNTIFS('DRAFT 2'!$D:$D,$B23,'DRAFT 2'!$A:$A,"&gt;="&amp;DATE(2026,1,22),'DRAFT 2'!$A:$A,"&lt;"&amp;DATE(2026,IF(1=12,1+1,1+1),1))</f>
        <v>0</v>
      </c>
      <c r="CK23">
        <f t="shared" si="2"/>
        <v>0</v>
      </c>
      <c r="CT23">
        <v>0</v>
      </c>
      <c r="CU23">
        <f>IFERROR(LOOKUP(2,1/('DRAFT 2'!$D:$D=$B23)*('DRAFT 2'!$A:$A&gt;=DATE(2026,2,1))*('DRAFT 2'!$A:$A&lt;DATE(2026,IF(2=12,2+1,2+1),1)),'DRAFT 2'!$A:$A),"")</f>
        <v>0</v>
      </c>
      <c r="CV23">
        <f>COUNTIFS('DRAFT 2'!$D:$D,$B23,'DRAFT 2'!$A:$A,"&gt;="&amp;DATE(2026,2,1),'DRAFT 2'!$A:$A,"&lt;="&amp;DATE(2026,2,7))</f>
        <v>0</v>
      </c>
      <c r="CW23">
        <f>COUNTIFS('DRAFT 2'!$D:$D,$B23,'DRAFT 2'!$A:$A,"&gt;="&amp;DATE(2026,2,8),'DRAFT 2'!$A:$A,"&lt;="&amp;DATE(2026,2,14))</f>
        <v>0</v>
      </c>
      <c r="CX23">
        <f>COUNTIFS('DRAFT 2'!$D:$D,$B23,'DRAFT 2'!$A:$A,"&gt;="&amp;DATE(2026,2,15),'DRAFT 2'!$A:$A,"&lt;="&amp;DATE(2026,2,21))</f>
        <v>0</v>
      </c>
      <c r="CY23">
        <f>COUNTIFS('DRAFT 2'!$D:$D,$B23,'DRAFT 2'!$A:$A,"&gt;="&amp;DATE(2026,2,22),'DRAFT 2'!$A:$A,"&lt;"&amp;DATE(2026,IF(2=12,2+1,2+1),1))</f>
        <v>0</v>
      </c>
      <c r="CZ23">
        <f t="shared" si="3"/>
        <v>0</v>
      </c>
      <c r="DJ23">
        <f>IFERROR(LOOKUP(2,1/('DRAFT 2'!$D:$D=$B23)*('DRAFT 2'!$A:$A&gt;=DATE(2026,3,1))*('DRAFT 2'!$A:$A&lt;DATE(2026,IF(3=12,3+1,3+1),1)),'DRAFT 2'!$A:$A),"")</f>
        <v>0</v>
      </c>
      <c r="DK23">
        <f>COUNTIFS('DRAFT 2'!$D:$D,$B23,'DRAFT 2'!$A:$A,"&gt;="&amp;DATE(2026,3,1),'DRAFT 2'!$A:$A,"&lt;="&amp;DATE(2026,3,7))</f>
        <v>0</v>
      </c>
      <c r="DL23">
        <f>COUNTIFS('DRAFT 2'!$D:$D,$B23,'DRAFT 2'!$A:$A,"&gt;="&amp;DATE(2026,3,8),'DRAFT 2'!$A:$A,"&lt;="&amp;DATE(2026,3,14))</f>
        <v>0</v>
      </c>
      <c r="DM23">
        <f>COUNTIFS('DRAFT 2'!$D:$D,$B23,'DRAFT 2'!$A:$A,"&gt;="&amp;DATE(2026,3,15),'DRAFT 2'!$A:$A,"&lt;="&amp;DATE(2026,3,21))</f>
        <v>0</v>
      </c>
      <c r="DN23">
        <f>COUNTIFS('DRAFT 2'!$D:$D,$B23,'DRAFT 2'!$A:$A,"&gt;="&amp;DATE(2026,3,22),'DRAFT 2'!$A:$A,"&lt;"&amp;DATE(2026,IF(3=12,3+1,3+1),1))</f>
        <v>0</v>
      </c>
      <c r="DO23">
        <f t="shared" si="4"/>
        <v>0</v>
      </c>
      <c r="DZ23">
        <f>IFERROR(LOOKUP(2,1/('DRAFT 2'!$D:$D=$B23)*('DRAFT 2'!$A:$A&gt;=DATE(2026,4,1))*('DRAFT 2'!$A:$A&lt;DATE(2026,IF(4=12,4+1,4+1),1)),'DRAFT 2'!$A:$A),"")</f>
        <v>0</v>
      </c>
      <c r="EA23">
        <f>COUNTIFS('DRAFT 2'!$D:$D,$B23,'DRAFT 2'!$A:$A,"&gt;="&amp;DATE(2026,4,1),'DRAFT 2'!$A:$A,"&lt;="&amp;DATE(2026,4,7))</f>
        <v>0</v>
      </c>
      <c r="EB23">
        <f>COUNTIFS('DRAFT 2'!$D:$D,$B23,'DRAFT 2'!$A:$A,"&gt;="&amp;DATE(2026,4,8),'DRAFT 2'!$A:$A,"&lt;="&amp;DATE(2026,4,14))</f>
        <v>0</v>
      </c>
      <c r="EC23">
        <f>COUNTIFS('DRAFT 2'!$D:$D,$B23,'DRAFT 2'!$A:$A,"&gt;="&amp;DATE(2026,4,15),'DRAFT 2'!$A:$A,"&lt;="&amp;DATE(2026,4,21))</f>
        <v>0</v>
      </c>
      <c r="ED23">
        <f>COUNTIFS('DRAFT 2'!$D:$D,$B23,'DRAFT 2'!$A:$A,"&gt;="&amp;DATE(2026,4,22),'DRAFT 2'!$A:$A,"&lt;"&amp;DATE(2026,IF(4=12,4+1,4+1),1))</f>
        <v>0</v>
      </c>
      <c r="EE23">
        <f t="shared" si="5"/>
        <v>0</v>
      </c>
      <c r="EO23">
        <f>IFERROR(LOOKUP(2,1/('DRAFT 2'!$D:$D=$B23)*('DRAFT 2'!$A:$A&gt;=DATE(2026,5,1))*('DRAFT 2'!$A:$A&lt;DATE(2026,IF(5=12,5+1,5+1),1)),'DRAFT 2'!$A:$A),"")</f>
        <v>0</v>
      </c>
      <c r="EP23">
        <f>COUNTIFS('DRAFT 2'!$D:$D,$B23,'DRAFT 2'!$A:$A,"&gt;="&amp;DATE(2026,5,1),'DRAFT 2'!$A:$A,"&lt;="&amp;DATE(2026,5,7))</f>
        <v>0</v>
      </c>
      <c r="EQ23">
        <f>COUNTIFS('DRAFT 2'!$D:$D,$B23,'DRAFT 2'!$A:$A,"&gt;="&amp;DATE(2026,5,8),'DRAFT 2'!$A:$A,"&lt;="&amp;DATE(2026,5,14))</f>
        <v>0</v>
      </c>
      <c r="ER23">
        <f>COUNTIFS('DRAFT 2'!$D:$D,$B23,'DRAFT 2'!$A:$A,"&gt;="&amp;DATE(2026,5,15),'DRAFT 2'!$A:$A,"&lt;="&amp;DATE(2026,5,21))</f>
        <v>0</v>
      </c>
      <c r="ES23">
        <f>COUNTIFS('DRAFT 2'!$D:$D,$B23,'DRAFT 2'!$A:$A,"&gt;="&amp;DATE(2026,5,22),'DRAFT 2'!$A:$A,"&lt;"&amp;DATE(2026,IF(5=12,5+1,5+1),1))</f>
        <v>0</v>
      </c>
      <c r="ET23">
        <f t="shared" si="6"/>
        <v>0</v>
      </c>
      <c r="FD23">
        <f>IFERROR(LOOKUP(2,1/('DRAFT 2'!$D:$D=$B23)*('DRAFT 2'!$A:$A&gt;=DATE(2026,6,1))*('DRAFT 2'!$A:$A&lt;DATE(2026,IF(6=12,6+1,6+1),1)),'DRAFT 2'!$A:$A),"")</f>
        <v>0</v>
      </c>
      <c r="FE23">
        <f>COUNTIFS('DRAFT 2'!$D:$D,$B23,'DRAFT 2'!$A:$A,"&gt;="&amp;DATE(2026,6,1),'DRAFT 2'!$A:$A,"&lt;="&amp;DATE(2026,6,7))</f>
        <v>0</v>
      </c>
      <c r="FF23">
        <f>COUNTIFS('DRAFT 2'!$D:$D,$B23,'DRAFT 2'!$A:$A,"&gt;="&amp;DATE(2026,6,8),'DRAFT 2'!$A:$A,"&lt;="&amp;DATE(2026,6,14))</f>
        <v>0</v>
      </c>
      <c r="FG23">
        <f>COUNTIFS('DRAFT 2'!$D:$D,$B23,'DRAFT 2'!$A:$A,"&gt;="&amp;DATE(2026,6,15),'DRAFT 2'!$A:$A,"&lt;="&amp;DATE(2026,6,21))</f>
        <v>0</v>
      </c>
      <c r="FH23">
        <f>COUNTIFS('DRAFT 2'!$D:$D,$B23,'DRAFT 2'!$A:$A,"&gt;="&amp;DATE(2026,6,22),'DRAFT 2'!$A:$A,"&lt;"&amp;DATE(2026,IF(6=12,6+1,6+1),1))</f>
        <v>0</v>
      </c>
      <c r="FI23">
        <f t="shared" si="7"/>
        <v>0</v>
      </c>
      <c r="FT23">
        <f>IFERROR(LOOKUP(2,1/('DRAFT 2'!$D:$D=$B23)*('DRAFT 2'!$A:$A&gt;=DATE(2026,7,1))*('DRAFT 2'!$A:$A&lt;DATE(2026,IF(7=12,7+1,7+1),1)),'DRAFT 2'!$A:$A),"")</f>
        <v>0</v>
      </c>
      <c r="FU23">
        <f>COUNTIFS('DRAFT 2'!$D:$D,$B23,'DRAFT 2'!$A:$A,"&gt;="&amp;DATE(2026,7,1),'DRAFT 2'!$A:$A,"&lt;="&amp;DATE(2026,7,7))</f>
        <v>0</v>
      </c>
      <c r="FV23">
        <f>COUNTIFS('DRAFT 2'!$D:$D,$B23,'DRAFT 2'!$A:$A,"&gt;="&amp;DATE(2026,7,8),'DRAFT 2'!$A:$A,"&lt;="&amp;DATE(2026,7,14))</f>
        <v>0</v>
      </c>
      <c r="FW23">
        <f>COUNTIFS('DRAFT 2'!$D:$D,$B23,'DRAFT 2'!$A:$A,"&gt;="&amp;DATE(2026,7,15),'DRAFT 2'!$A:$A,"&lt;="&amp;DATE(2026,7,21))</f>
        <v>0</v>
      </c>
      <c r="FX23">
        <f>COUNTIFS('DRAFT 2'!$D:$D,$B23,'DRAFT 2'!$A:$A,"&gt;="&amp;DATE(2026,7,22),'DRAFT 2'!$A:$A,"&lt;"&amp;DATE(2026,IF(7=12,7+1,7+1),1))</f>
        <v>0</v>
      </c>
      <c r="FY23">
        <f t="shared" si="8"/>
        <v>0</v>
      </c>
      <c r="GI23">
        <f>IFERROR(LOOKUP(2,1/('DRAFT 2'!$D:$D=$B23)*('DRAFT 2'!$A:$A&gt;=DATE(2026,8,1))*('DRAFT 2'!$A:$A&lt;DATE(2026,IF(8=12,8+1,8+1),1)),'DRAFT 2'!$A:$A),"")</f>
        <v>0</v>
      </c>
      <c r="GJ23">
        <f>COUNTIFS('DRAFT 2'!$D:$D,$B23,'DRAFT 2'!$A:$A,"&gt;="&amp;DATE(2026,8,1),'DRAFT 2'!$A:$A,"&lt;="&amp;DATE(2026,8,7))</f>
        <v>0</v>
      </c>
      <c r="GK23">
        <f>COUNTIFS('DRAFT 2'!$D:$D,$B23,'DRAFT 2'!$A:$A,"&gt;="&amp;DATE(2026,8,8),'DRAFT 2'!$A:$A,"&lt;="&amp;DATE(2026,8,14))</f>
        <v>0</v>
      </c>
      <c r="GL23">
        <f>COUNTIFS('DRAFT 2'!$D:$D,$B23,'DRAFT 2'!$A:$A,"&gt;="&amp;DATE(2026,8,15),'DRAFT 2'!$A:$A,"&lt;="&amp;DATE(2026,8,21))</f>
        <v>0</v>
      </c>
      <c r="GM23">
        <f>COUNTIFS('DRAFT 2'!$D:$D,$B23,'DRAFT 2'!$A:$A,"&gt;="&amp;DATE(2026,8,22),'DRAFT 2'!$A:$A,"&lt;"&amp;DATE(2026,IF(8=12,8+1,8+1),1))</f>
        <v>0</v>
      </c>
      <c r="GN23">
        <f t="shared" si="9"/>
        <v>0</v>
      </c>
      <c r="GX23">
        <f>IFERROR(LOOKUP(2,1/('DRAFT 2'!$D:$D=$B23)*('DRAFT 2'!$A:$A&gt;=DATE(2026,9,1))*('DRAFT 2'!$A:$A&lt;DATE(2026,IF(9=12,9+1,9+1),1)),'DRAFT 2'!$A:$A),"")</f>
        <v>0</v>
      </c>
      <c r="GY23">
        <f>COUNTIFS('DRAFT 2'!$D:$D,$B23,'DRAFT 2'!$A:$A,"&gt;="&amp;DATE(2026,9,1),'DRAFT 2'!$A:$A,"&lt;="&amp;DATE(2026,9,7))</f>
        <v>0</v>
      </c>
      <c r="GZ23">
        <f>COUNTIFS('DRAFT 2'!$D:$D,$B23,'DRAFT 2'!$A:$A,"&gt;="&amp;DATE(2026,9,8),'DRAFT 2'!$A:$A,"&lt;="&amp;DATE(2026,9,14))</f>
        <v>0</v>
      </c>
      <c r="HA23">
        <f>COUNTIFS('DRAFT 2'!$D:$D,$B23,'DRAFT 2'!$A:$A,"&gt;="&amp;DATE(2026,9,15),'DRAFT 2'!$A:$A,"&lt;="&amp;DATE(2026,9,21))</f>
        <v>0</v>
      </c>
      <c r="HB23">
        <f>COUNTIFS('DRAFT 2'!$D:$D,$B23,'DRAFT 2'!$A:$A,"&gt;="&amp;DATE(2026,9,22),'DRAFT 2'!$A:$A,"&lt;"&amp;DATE(2026,IF(9=12,9+1,9+1),1))</f>
        <v>0</v>
      </c>
      <c r="HC23">
        <f t="shared" si="10"/>
        <v>0</v>
      </c>
      <c r="HN23">
        <f>IFERROR(LOOKUP(2,1/('DRAFT 2'!$D:$D=$B23)*('DRAFT 2'!$A:$A&gt;=DATE(2026,10,1))*('DRAFT 2'!$A:$A&lt;DATE(2026,IF(10=12,10+1,10+1),1)),'DRAFT 2'!$A:$A),"")</f>
        <v>0</v>
      </c>
      <c r="HO23">
        <f>COUNTIFS('DRAFT 2'!$D:$D,$B23,'DRAFT 2'!$A:$A,"&gt;="&amp;DATE(2026,10,1),'DRAFT 2'!$A:$A,"&lt;="&amp;DATE(2026,10,7))</f>
        <v>0</v>
      </c>
      <c r="HP23">
        <f>COUNTIFS('DRAFT 2'!$D:$D,$B23,'DRAFT 2'!$A:$A,"&gt;="&amp;DATE(2026,10,8),'DRAFT 2'!$A:$A,"&lt;="&amp;DATE(2026,10,14))</f>
        <v>0</v>
      </c>
      <c r="HQ23">
        <f>COUNTIFS('DRAFT 2'!$D:$D,$B23,'DRAFT 2'!$A:$A,"&gt;="&amp;DATE(2026,10,15),'DRAFT 2'!$A:$A,"&lt;="&amp;DATE(2026,10,21))</f>
        <v>0</v>
      </c>
      <c r="HR23">
        <f>COUNTIFS('DRAFT 2'!$D:$D,$B23,'DRAFT 2'!$A:$A,"&gt;="&amp;DATE(2026,10,22),'DRAFT 2'!$A:$A,"&lt;"&amp;DATE(2026,IF(10=12,10+1,10+1),1))</f>
        <v>0</v>
      </c>
      <c r="HS23">
        <f t="shared" si="11"/>
        <v>0</v>
      </c>
      <c r="IC23">
        <f>IFERROR(LOOKUP(2,1/('DRAFT 2'!$D:$D=$B23)*('DRAFT 2'!$A:$A&gt;=DATE(2026,11,1))*('DRAFT 2'!$A:$A&lt;DATE(2026,IF(11=12,11+1,11+1),1)),'DRAFT 2'!$A:$A),"")</f>
        <v>0</v>
      </c>
      <c r="ID23">
        <f>COUNTIFS('DRAFT 2'!$D:$D,$B23,'DRAFT 2'!$A:$A,"&gt;="&amp;DATE(2026,11,1),'DRAFT 2'!$A:$A,"&lt;="&amp;DATE(2026,11,7))</f>
        <v>0</v>
      </c>
      <c r="IE23">
        <f>COUNTIFS('DRAFT 2'!$D:$D,$B23,'DRAFT 2'!$A:$A,"&gt;="&amp;DATE(2026,11,8),'DRAFT 2'!$A:$A,"&lt;="&amp;DATE(2026,11,14))</f>
        <v>0</v>
      </c>
      <c r="IF23">
        <f>COUNTIFS('DRAFT 2'!$D:$D,$B23,'DRAFT 2'!$A:$A,"&gt;="&amp;DATE(2026,11,15),'DRAFT 2'!$A:$A,"&lt;="&amp;DATE(2026,11,21))</f>
        <v>0</v>
      </c>
      <c r="IG23">
        <f>COUNTIFS('DRAFT 2'!$D:$D,$B23,'DRAFT 2'!$A:$A,"&gt;="&amp;DATE(2026,11,22),'DRAFT 2'!$A:$A,"&lt;"&amp;DATE(2026,IF(11=12,11+1,11+1),1))</f>
        <v>0</v>
      </c>
      <c r="IH23">
        <f t="shared" si="12"/>
        <v>0</v>
      </c>
      <c r="IR23">
        <f>IFERROR(LOOKUP(2,1/('DRAFT 2'!$D:$D=$B23)*('DRAFT 2'!$A:$A&gt;=DATE(2026,12,1))*('DRAFT 2'!$A:$A&lt;DATE(2026,IF(12=12,12+1,12+1),1)),'DRAFT 2'!$A:$A),"")</f>
        <v>0</v>
      </c>
      <c r="IS23">
        <f>COUNTIFS('DRAFT 2'!$D:$D,$B23,'DRAFT 2'!$A:$A,"&gt;="&amp;DATE(2026,12,1),'DRAFT 2'!$A:$A,"&lt;="&amp;DATE(2026,12,7))</f>
        <v>0</v>
      </c>
      <c r="IT23">
        <f>COUNTIFS('DRAFT 2'!$D:$D,$B23,'DRAFT 2'!$A:$A,"&gt;="&amp;DATE(2026,12,8),'DRAFT 2'!$A:$A,"&lt;="&amp;DATE(2026,12,14))</f>
        <v>0</v>
      </c>
      <c r="IU23">
        <f>COUNTIFS('DRAFT 2'!$D:$D,$B23,'DRAFT 2'!$A:$A,"&gt;="&amp;DATE(2026,12,15),'DRAFT 2'!$A:$A,"&lt;="&amp;DATE(2026,12,21))</f>
        <v>0</v>
      </c>
      <c r="IV23">
        <f>COUNTIFS('DRAFT 2'!$D:$D,$B23,'DRAFT 2'!$A:$A,"&gt;="&amp;DATE(2026,12,22),'DRAFT 2'!$A:$A,"&lt;"&amp;DATE(2026,IF(12=12,12+1,12+1),1))</f>
        <v>0</v>
      </c>
      <c r="IW23">
        <f t="shared" si="13"/>
        <v>0</v>
      </c>
    </row>
    <row r="24" spans="1:257" x14ac:dyDescent="0.3">
      <c r="A24" t="str">
        <f>IFERROR(INDEX('DRAFT 1'!$A:$A,MATCH($B24,'DRAFT 1'!$B:$B,0)),"")</f>
        <v/>
      </c>
      <c r="C24" t="str">
        <f>IFERROR(INDEX('DRAFT 1'!$C:$C,MATCH($B24,'DRAFT 1'!$B:$B,0)),"")</f>
        <v/>
      </c>
      <c r="D24" t="str">
        <f>IFERROR(INDEX('DRAFT 1'!$D:$D,MATCH($B24,'DRAFT 1'!$B:$B,0)),"")</f>
        <v/>
      </c>
      <c r="E24" t="str">
        <f>IFERROR(INDEX('DRAFT 1'!$E:$E,MATCH($B24,'DRAFT 1'!$B:$B,0)),"")</f>
        <v/>
      </c>
      <c r="F24" t="str">
        <f>IFERROR(INDEX('DRAFT 1'!$F:$F,MATCH($B24,'DRAFT 1'!$B:$B,0)),"")</f>
        <v/>
      </c>
      <c r="G24" t="str">
        <f>IFERROR(INDEX('DRAFT 1'!$G:$G,MATCH($B24,'DRAFT 1'!$B:$B,0)),"")</f>
        <v/>
      </c>
      <c r="H24" t="str">
        <f>IFERROR(INDEX('DRAFT 1'!$H:$H,MATCH($B24,'DRAFT 1'!$B:$B,0)),"")</f>
        <v/>
      </c>
      <c r="I24" t="s">
        <v>283</v>
      </c>
      <c r="K24" t="str">
        <f>IFERROR(INDEX('DRAFT 1'!$AL:$AL,MATCH($B24,'DRAFT 1'!$B:$B,0)),"")</f>
        <v/>
      </c>
      <c r="L24" t="str">
        <f>IFERROR(INDEX('DRAFT 1'!$J:$J,MATCH($B24,'DRAFT 1'!$B:$B,0)),"")</f>
        <v/>
      </c>
      <c r="M24" t="str">
        <f>IFERROR(INDEX('DRAFT 1'!$K:$K,MATCH($B24,'DRAFT 1'!$B:$B,0)),"")</f>
        <v/>
      </c>
      <c r="N24" t="s">
        <v>74</v>
      </c>
      <c r="P24" t="str">
        <f>IFERROR(INDEX('DRAFT 1'!$L:$L,MATCH($B24,'DRAFT 1'!$B:$B,0)),"")</f>
        <v/>
      </c>
      <c r="Q24" t="str">
        <f>IFERROR(INDEX('DRAFT 1'!$M:$M,MATCH($B24,'DRAFT 1'!$B:$B,0)),"")</f>
        <v/>
      </c>
      <c r="R24" t="str">
        <f>IFERROR(INDEX('DRAFT 1'!$N:$N,MATCH($B24,'DRAFT 1'!$B:$B,0)),"")</f>
        <v/>
      </c>
      <c r="S24" t="str">
        <f>IFERROR(INDEX('DRAFT 1'!$O:$O,MATCH($B24,'DRAFT 1'!$B:$B,0)),"")</f>
        <v/>
      </c>
      <c r="T24" t="str">
        <f>IFERROR(INDEX('DRAFT 1'!$P:$P,MATCH($B24,'DRAFT 1'!$B:$B,0)),"")</f>
        <v/>
      </c>
      <c r="U24" t="str">
        <f>IFERROR(INDEX('DRAFT 1'!$Q:$Q,MATCH($B24,'DRAFT 1'!$B:$B,0)),"")</f>
        <v/>
      </c>
      <c r="V24" t="str">
        <f>IFERROR(INDEX('DRAFT 1'!$R:$R,MATCH($B24,'DRAFT 1'!$B:$B,0)),"")</f>
        <v/>
      </c>
      <c r="W24" t="str">
        <f>IFERROR(INDEX('DRAFT 1'!$S:$S,MATCH($B24,'DRAFT 1'!$B:$B,0)),"")</f>
        <v/>
      </c>
      <c r="X24" t="str">
        <f>IFERROR(INDEX('DRAFT 1'!$T:$T,MATCH($B24,'DRAFT 1'!$B:$B,0)),"")</f>
        <v/>
      </c>
      <c r="Z24" t="str">
        <f>IFERROR(INDEX('DRAFT 1'!$U:$U,MATCH($B24,'DRAFT 1'!$B:$B,0)),"")</f>
        <v/>
      </c>
      <c r="AA24" t="str">
        <f>IFERROR(INDEX('DRAFT 1'!$V:$V,MATCH($B24,'DRAFT 1'!$B:$B,0)),"")</f>
        <v/>
      </c>
      <c r="AB24" t="str">
        <f>IFERROR(INDEX('DRAFT 1'!$W:$W,MATCH($B24,'DRAFT 1'!$B:$B,0)),"")</f>
        <v/>
      </c>
      <c r="AC24" t="str">
        <f>IFERROR(INDEX('DRAFT 1'!$X:$X,MATCH($B24,'DRAFT 1'!$B:$B,0)),"")</f>
        <v/>
      </c>
      <c r="AD24" t="str">
        <f>IFERROR(INDEX('DRAFT 1'!$Y:$Y,MATCH($B24,'DRAFT 1'!$B:$B,0)),"")</f>
        <v/>
      </c>
      <c r="AE24" t="str">
        <f>IFERROR(INDEX('DRAFT 1'!$Z:$Z,MATCH($B24,'DRAFT 1'!$B:$B,0)),"")</f>
        <v/>
      </c>
      <c r="AF24" t="str">
        <f>IFERROR(INDEX('DRAFT 1'!$AA:$AA,MATCH($B24,'DRAFT 1'!$B:$B,0)),"")</f>
        <v/>
      </c>
      <c r="AG24" t="str">
        <f>IFERROR(INDEX('DRAFT 1'!$AB:$AB,MATCH($B24,'DRAFT 1'!$B:$B,0)),"")</f>
        <v/>
      </c>
      <c r="AH24" t="str">
        <f>IFERROR(INDEX('DRAFT 1'!$AC:$AC,MATCH($B24,'DRAFT 1'!$B:$B,0)),"")</f>
        <v/>
      </c>
      <c r="AI24" t="str">
        <f>IFERROR(INDEX('DRAFT 1'!$AD:$AD,MATCH($B24,'DRAFT 1'!$B:$B,0)),"")</f>
        <v/>
      </c>
      <c r="AJ24" t="str">
        <f>IFERROR(INDEX('DRAFT 1'!$AE:$AE,MATCH($B24,'DRAFT 1'!$B:$B,0)),"")</f>
        <v/>
      </c>
      <c r="AK24" t="str">
        <f>IFERROR(INDEX('DRAFT 1'!$AG:$AG,MATCH($B24,'DRAFT 1'!$B:$B,0)),"")</f>
        <v/>
      </c>
      <c r="AL24" t="str">
        <f>IFERROR(INDEX('DRAFT 1'!$AH:$AH,MATCH($B24,'DRAFT 1'!$B:$B,0)),"")</f>
        <v/>
      </c>
      <c r="AM24" t="str">
        <f>IFERROR(INDEX('DRAFT 1'!$AI:$AI,MATCH($B24,'DRAFT 1'!$B:$B,0)),"")</f>
        <v/>
      </c>
      <c r="AN24" t="str">
        <f>IFERROR(INDEX('DRAFT 1'!$AJ:$AJ,MATCH($B24,'DRAFT 1'!$B:$B,0)),"")</f>
        <v/>
      </c>
      <c r="AO24">
        <f t="shared" si="0"/>
        <v>0</v>
      </c>
      <c r="AP24" t="str">
        <f>IFERROR(INDEX('DRAFT 1'!$AK:$AK,MATCH($B24,'DRAFT 1'!$B:$B,0)),"")</f>
        <v/>
      </c>
      <c r="AR24" t="s">
        <v>95</v>
      </c>
      <c r="AS24">
        <f>IFERROR(LOOKUP(2,1/('DRAFT 2'!$D:$D=$B24),'DRAFT 2'!$T:$T),"")</f>
        <v>0</v>
      </c>
      <c r="AT24">
        <f>IFERROR(LOOKUP(2,1/('DRAFT 2'!$D:$D=$B24),'DRAFT 2'!$A:$A),"")</f>
        <v>0</v>
      </c>
      <c r="AU24">
        <f>IFERROR(LOOKUP(2,1/('DRAFT 2'!$D:$D=$B24),'DRAFT 2'!$R:$R),"")</f>
        <v>0</v>
      </c>
      <c r="AV24">
        <f>IFERROR(LOOKUP(2,1/('DRAFT 2'!$D:$D=$B24),'DRAFT 2'!$S:$S),"")</f>
        <v>0</v>
      </c>
      <c r="AW24" t="s">
        <v>130</v>
      </c>
      <c r="AX24">
        <f>IFERROR(LOOKUP(2,1/('DRAFT 2'!$D:$D=$B24),'DRAFT 2'!$M:$M),"")</f>
        <v>0</v>
      </c>
      <c r="AY24">
        <f>IFERROR(LOOKUP(2,1/('DRAFT 2'!$D:$D=$B24),'DRAFT 2'!$K:$K),"")</f>
        <v>0</v>
      </c>
      <c r="BG24">
        <f>IFERROR(LOOKUP(2,1/('DRAFT 2'!$D:$D=$B24),'DRAFT 2'!$U:$U),"")</f>
        <v>0</v>
      </c>
      <c r="BH24">
        <f>IFERROR(LOOKUP(2,1/('DRAFT 2'!$D:$D=$B24),'DRAFT 2'!$V:$V),"")</f>
        <v>0</v>
      </c>
      <c r="CE24" t="str">
        <f t="shared" si="1"/>
        <v/>
      </c>
      <c r="CF24">
        <f>IFERROR(LOOKUP(2,1/('DRAFT 2'!$D:$D=$B24)*('DRAFT 2'!$A:$A&gt;=DATE(2026,1,1))*('DRAFT 2'!$A:$A&lt;DATE(2026,IF(1=12,1+1,1+1),1)),'DRAFT 2'!$A:$A),"")</f>
        <v>0</v>
      </c>
      <c r="CG24">
        <f>COUNTIFS('DRAFT 2'!$D:$D,$B24,'DRAFT 2'!$A:$A,"&gt;="&amp;DATE(2026,1,1),'DRAFT 2'!$A:$A,"&lt;="&amp;DATE(2026,1,7))</f>
        <v>0</v>
      </c>
      <c r="CH24">
        <f>COUNTIFS('DRAFT 2'!$D:$D,$B24,'DRAFT 2'!$A:$A,"&gt;="&amp;DATE(2026,1,8),'DRAFT 2'!$A:$A,"&lt;="&amp;DATE(2026,1,14))</f>
        <v>0</v>
      </c>
      <c r="CI24">
        <f>COUNTIFS('DRAFT 2'!$D:$D,$B24,'DRAFT 2'!$A:$A,"&gt;="&amp;DATE(2026,1,15),'DRAFT 2'!$A:$A,"&lt;="&amp;DATE(2026,1,21))</f>
        <v>0</v>
      </c>
      <c r="CJ24">
        <f>COUNTIFS('DRAFT 2'!$D:$D,$B24,'DRAFT 2'!$A:$A,"&gt;="&amp;DATE(2026,1,22),'DRAFT 2'!$A:$A,"&lt;"&amp;DATE(2026,IF(1=12,1+1,1+1),1))</f>
        <v>0</v>
      </c>
      <c r="CK24">
        <f t="shared" si="2"/>
        <v>0</v>
      </c>
      <c r="CT24">
        <v>0</v>
      </c>
      <c r="CU24">
        <f>IFERROR(LOOKUP(2,1/('DRAFT 2'!$D:$D=$B24)*('DRAFT 2'!$A:$A&gt;=DATE(2026,2,1))*('DRAFT 2'!$A:$A&lt;DATE(2026,IF(2=12,2+1,2+1),1)),'DRAFT 2'!$A:$A),"")</f>
        <v>0</v>
      </c>
      <c r="CV24">
        <f>COUNTIFS('DRAFT 2'!$D:$D,$B24,'DRAFT 2'!$A:$A,"&gt;="&amp;DATE(2026,2,1),'DRAFT 2'!$A:$A,"&lt;="&amp;DATE(2026,2,7))</f>
        <v>0</v>
      </c>
      <c r="CW24">
        <f>COUNTIFS('DRAFT 2'!$D:$D,$B24,'DRAFT 2'!$A:$A,"&gt;="&amp;DATE(2026,2,8),'DRAFT 2'!$A:$A,"&lt;="&amp;DATE(2026,2,14))</f>
        <v>0</v>
      </c>
      <c r="CX24">
        <f>COUNTIFS('DRAFT 2'!$D:$D,$B24,'DRAFT 2'!$A:$A,"&gt;="&amp;DATE(2026,2,15),'DRAFT 2'!$A:$A,"&lt;="&amp;DATE(2026,2,21))</f>
        <v>0</v>
      </c>
      <c r="CY24">
        <f>COUNTIFS('DRAFT 2'!$D:$D,$B24,'DRAFT 2'!$A:$A,"&gt;="&amp;DATE(2026,2,22),'DRAFT 2'!$A:$A,"&lt;"&amp;DATE(2026,IF(2=12,2+1,2+1),1))</f>
        <v>0</v>
      </c>
      <c r="CZ24">
        <f t="shared" si="3"/>
        <v>0</v>
      </c>
      <c r="DJ24">
        <f>IFERROR(LOOKUP(2,1/('DRAFT 2'!$D:$D=$B24)*('DRAFT 2'!$A:$A&gt;=DATE(2026,3,1))*('DRAFT 2'!$A:$A&lt;DATE(2026,IF(3=12,3+1,3+1),1)),'DRAFT 2'!$A:$A),"")</f>
        <v>0</v>
      </c>
      <c r="DK24">
        <f>COUNTIFS('DRAFT 2'!$D:$D,$B24,'DRAFT 2'!$A:$A,"&gt;="&amp;DATE(2026,3,1),'DRAFT 2'!$A:$A,"&lt;="&amp;DATE(2026,3,7))</f>
        <v>0</v>
      </c>
      <c r="DL24">
        <f>COUNTIFS('DRAFT 2'!$D:$D,$B24,'DRAFT 2'!$A:$A,"&gt;="&amp;DATE(2026,3,8),'DRAFT 2'!$A:$A,"&lt;="&amp;DATE(2026,3,14))</f>
        <v>0</v>
      </c>
      <c r="DM24">
        <f>COUNTIFS('DRAFT 2'!$D:$D,$B24,'DRAFT 2'!$A:$A,"&gt;="&amp;DATE(2026,3,15),'DRAFT 2'!$A:$A,"&lt;="&amp;DATE(2026,3,21))</f>
        <v>0</v>
      </c>
      <c r="DN24">
        <f>COUNTIFS('DRAFT 2'!$D:$D,$B24,'DRAFT 2'!$A:$A,"&gt;="&amp;DATE(2026,3,22),'DRAFT 2'!$A:$A,"&lt;"&amp;DATE(2026,IF(3=12,3+1,3+1),1))</f>
        <v>0</v>
      </c>
      <c r="DO24">
        <f t="shared" si="4"/>
        <v>0</v>
      </c>
      <c r="DZ24">
        <f>IFERROR(LOOKUP(2,1/('DRAFT 2'!$D:$D=$B24)*('DRAFT 2'!$A:$A&gt;=DATE(2026,4,1))*('DRAFT 2'!$A:$A&lt;DATE(2026,IF(4=12,4+1,4+1),1)),'DRAFT 2'!$A:$A),"")</f>
        <v>0</v>
      </c>
      <c r="EA24">
        <f>COUNTIFS('DRAFT 2'!$D:$D,$B24,'DRAFT 2'!$A:$A,"&gt;="&amp;DATE(2026,4,1),'DRAFT 2'!$A:$A,"&lt;="&amp;DATE(2026,4,7))</f>
        <v>0</v>
      </c>
      <c r="EB24">
        <f>COUNTIFS('DRAFT 2'!$D:$D,$B24,'DRAFT 2'!$A:$A,"&gt;="&amp;DATE(2026,4,8),'DRAFT 2'!$A:$A,"&lt;="&amp;DATE(2026,4,14))</f>
        <v>0</v>
      </c>
      <c r="EC24">
        <f>COUNTIFS('DRAFT 2'!$D:$D,$B24,'DRAFT 2'!$A:$A,"&gt;="&amp;DATE(2026,4,15),'DRAFT 2'!$A:$A,"&lt;="&amp;DATE(2026,4,21))</f>
        <v>0</v>
      </c>
      <c r="ED24">
        <f>COUNTIFS('DRAFT 2'!$D:$D,$B24,'DRAFT 2'!$A:$A,"&gt;="&amp;DATE(2026,4,22),'DRAFT 2'!$A:$A,"&lt;"&amp;DATE(2026,IF(4=12,4+1,4+1),1))</f>
        <v>0</v>
      </c>
      <c r="EE24">
        <f t="shared" si="5"/>
        <v>0</v>
      </c>
      <c r="EO24">
        <f>IFERROR(LOOKUP(2,1/('DRAFT 2'!$D:$D=$B24)*('DRAFT 2'!$A:$A&gt;=DATE(2026,5,1))*('DRAFT 2'!$A:$A&lt;DATE(2026,IF(5=12,5+1,5+1),1)),'DRAFT 2'!$A:$A),"")</f>
        <v>0</v>
      </c>
      <c r="EP24">
        <f>COUNTIFS('DRAFT 2'!$D:$D,$B24,'DRAFT 2'!$A:$A,"&gt;="&amp;DATE(2026,5,1),'DRAFT 2'!$A:$A,"&lt;="&amp;DATE(2026,5,7))</f>
        <v>0</v>
      </c>
      <c r="EQ24">
        <f>COUNTIFS('DRAFT 2'!$D:$D,$B24,'DRAFT 2'!$A:$A,"&gt;="&amp;DATE(2026,5,8),'DRAFT 2'!$A:$A,"&lt;="&amp;DATE(2026,5,14))</f>
        <v>0</v>
      </c>
      <c r="ER24">
        <f>COUNTIFS('DRAFT 2'!$D:$D,$B24,'DRAFT 2'!$A:$A,"&gt;="&amp;DATE(2026,5,15),'DRAFT 2'!$A:$A,"&lt;="&amp;DATE(2026,5,21))</f>
        <v>0</v>
      </c>
      <c r="ES24">
        <f>COUNTIFS('DRAFT 2'!$D:$D,$B24,'DRAFT 2'!$A:$A,"&gt;="&amp;DATE(2026,5,22),'DRAFT 2'!$A:$A,"&lt;"&amp;DATE(2026,IF(5=12,5+1,5+1),1))</f>
        <v>0</v>
      </c>
      <c r="ET24">
        <f t="shared" si="6"/>
        <v>0</v>
      </c>
      <c r="FD24">
        <f>IFERROR(LOOKUP(2,1/('DRAFT 2'!$D:$D=$B24)*('DRAFT 2'!$A:$A&gt;=DATE(2026,6,1))*('DRAFT 2'!$A:$A&lt;DATE(2026,IF(6=12,6+1,6+1),1)),'DRAFT 2'!$A:$A),"")</f>
        <v>0</v>
      </c>
      <c r="FE24">
        <f>COUNTIFS('DRAFT 2'!$D:$D,$B24,'DRAFT 2'!$A:$A,"&gt;="&amp;DATE(2026,6,1),'DRAFT 2'!$A:$A,"&lt;="&amp;DATE(2026,6,7))</f>
        <v>0</v>
      </c>
      <c r="FF24">
        <f>COUNTIFS('DRAFT 2'!$D:$D,$B24,'DRAFT 2'!$A:$A,"&gt;="&amp;DATE(2026,6,8),'DRAFT 2'!$A:$A,"&lt;="&amp;DATE(2026,6,14))</f>
        <v>0</v>
      </c>
      <c r="FG24">
        <f>COUNTIFS('DRAFT 2'!$D:$D,$B24,'DRAFT 2'!$A:$A,"&gt;="&amp;DATE(2026,6,15),'DRAFT 2'!$A:$A,"&lt;="&amp;DATE(2026,6,21))</f>
        <v>0</v>
      </c>
      <c r="FH24">
        <f>COUNTIFS('DRAFT 2'!$D:$D,$B24,'DRAFT 2'!$A:$A,"&gt;="&amp;DATE(2026,6,22),'DRAFT 2'!$A:$A,"&lt;"&amp;DATE(2026,IF(6=12,6+1,6+1),1))</f>
        <v>0</v>
      </c>
      <c r="FI24">
        <f t="shared" si="7"/>
        <v>0</v>
      </c>
      <c r="FT24">
        <f>IFERROR(LOOKUP(2,1/('DRAFT 2'!$D:$D=$B24)*('DRAFT 2'!$A:$A&gt;=DATE(2026,7,1))*('DRAFT 2'!$A:$A&lt;DATE(2026,IF(7=12,7+1,7+1),1)),'DRAFT 2'!$A:$A),"")</f>
        <v>0</v>
      </c>
      <c r="FU24">
        <f>COUNTIFS('DRAFT 2'!$D:$D,$B24,'DRAFT 2'!$A:$A,"&gt;="&amp;DATE(2026,7,1),'DRAFT 2'!$A:$A,"&lt;="&amp;DATE(2026,7,7))</f>
        <v>0</v>
      </c>
      <c r="FV24">
        <f>COUNTIFS('DRAFT 2'!$D:$D,$B24,'DRAFT 2'!$A:$A,"&gt;="&amp;DATE(2026,7,8),'DRAFT 2'!$A:$A,"&lt;="&amp;DATE(2026,7,14))</f>
        <v>0</v>
      </c>
      <c r="FW24">
        <f>COUNTIFS('DRAFT 2'!$D:$D,$B24,'DRAFT 2'!$A:$A,"&gt;="&amp;DATE(2026,7,15),'DRAFT 2'!$A:$A,"&lt;="&amp;DATE(2026,7,21))</f>
        <v>0</v>
      </c>
      <c r="FX24">
        <f>COUNTIFS('DRAFT 2'!$D:$D,$B24,'DRAFT 2'!$A:$A,"&gt;="&amp;DATE(2026,7,22),'DRAFT 2'!$A:$A,"&lt;"&amp;DATE(2026,IF(7=12,7+1,7+1),1))</f>
        <v>0</v>
      </c>
      <c r="FY24">
        <f t="shared" si="8"/>
        <v>0</v>
      </c>
      <c r="GI24">
        <f>IFERROR(LOOKUP(2,1/('DRAFT 2'!$D:$D=$B24)*('DRAFT 2'!$A:$A&gt;=DATE(2026,8,1))*('DRAFT 2'!$A:$A&lt;DATE(2026,IF(8=12,8+1,8+1),1)),'DRAFT 2'!$A:$A),"")</f>
        <v>0</v>
      </c>
      <c r="GJ24">
        <f>COUNTIFS('DRAFT 2'!$D:$D,$B24,'DRAFT 2'!$A:$A,"&gt;="&amp;DATE(2026,8,1),'DRAFT 2'!$A:$A,"&lt;="&amp;DATE(2026,8,7))</f>
        <v>0</v>
      </c>
      <c r="GK24">
        <f>COUNTIFS('DRAFT 2'!$D:$D,$B24,'DRAFT 2'!$A:$A,"&gt;="&amp;DATE(2026,8,8),'DRAFT 2'!$A:$A,"&lt;="&amp;DATE(2026,8,14))</f>
        <v>0</v>
      </c>
      <c r="GL24">
        <f>COUNTIFS('DRAFT 2'!$D:$D,$B24,'DRAFT 2'!$A:$A,"&gt;="&amp;DATE(2026,8,15),'DRAFT 2'!$A:$A,"&lt;="&amp;DATE(2026,8,21))</f>
        <v>0</v>
      </c>
      <c r="GM24">
        <f>COUNTIFS('DRAFT 2'!$D:$D,$B24,'DRAFT 2'!$A:$A,"&gt;="&amp;DATE(2026,8,22),'DRAFT 2'!$A:$A,"&lt;"&amp;DATE(2026,IF(8=12,8+1,8+1),1))</f>
        <v>0</v>
      </c>
      <c r="GN24">
        <f t="shared" si="9"/>
        <v>0</v>
      </c>
      <c r="GX24">
        <f>IFERROR(LOOKUP(2,1/('DRAFT 2'!$D:$D=$B24)*('DRAFT 2'!$A:$A&gt;=DATE(2026,9,1))*('DRAFT 2'!$A:$A&lt;DATE(2026,IF(9=12,9+1,9+1),1)),'DRAFT 2'!$A:$A),"")</f>
        <v>0</v>
      </c>
      <c r="GY24">
        <f>COUNTIFS('DRAFT 2'!$D:$D,$B24,'DRAFT 2'!$A:$A,"&gt;="&amp;DATE(2026,9,1),'DRAFT 2'!$A:$A,"&lt;="&amp;DATE(2026,9,7))</f>
        <v>0</v>
      </c>
      <c r="GZ24">
        <f>COUNTIFS('DRAFT 2'!$D:$D,$B24,'DRAFT 2'!$A:$A,"&gt;="&amp;DATE(2026,9,8),'DRAFT 2'!$A:$A,"&lt;="&amp;DATE(2026,9,14))</f>
        <v>0</v>
      </c>
      <c r="HA24">
        <f>COUNTIFS('DRAFT 2'!$D:$D,$B24,'DRAFT 2'!$A:$A,"&gt;="&amp;DATE(2026,9,15),'DRAFT 2'!$A:$A,"&lt;="&amp;DATE(2026,9,21))</f>
        <v>0</v>
      </c>
      <c r="HB24">
        <f>COUNTIFS('DRAFT 2'!$D:$D,$B24,'DRAFT 2'!$A:$A,"&gt;="&amp;DATE(2026,9,22),'DRAFT 2'!$A:$A,"&lt;"&amp;DATE(2026,IF(9=12,9+1,9+1),1))</f>
        <v>0</v>
      </c>
      <c r="HC24">
        <f t="shared" si="10"/>
        <v>0</v>
      </c>
      <c r="HN24">
        <f>IFERROR(LOOKUP(2,1/('DRAFT 2'!$D:$D=$B24)*('DRAFT 2'!$A:$A&gt;=DATE(2026,10,1))*('DRAFT 2'!$A:$A&lt;DATE(2026,IF(10=12,10+1,10+1),1)),'DRAFT 2'!$A:$A),"")</f>
        <v>0</v>
      </c>
      <c r="HO24">
        <f>COUNTIFS('DRAFT 2'!$D:$D,$B24,'DRAFT 2'!$A:$A,"&gt;="&amp;DATE(2026,10,1),'DRAFT 2'!$A:$A,"&lt;="&amp;DATE(2026,10,7))</f>
        <v>0</v>
      </c>
      <c r="HP24">
        <f>COUNTIFS('DRAFT 2'!$D:$D,$B24,'DRAFT 2'!$A:$A,"&gt;="&amp;DATE(2026,10,8),'DRAFT 2'!$A:$A,"&lt;="&amp;DATE(2026,10,14))</f>
        <v>0</v>
      </c>
      <c r="HQ24">
        <f>COUNTIFS('DRAFT 2'!$D:$D,$B24,'DRAFT 2'!$A:$A,"&gt;="&amp;DATE(2026,10,15),'DRAFT 2'!$A:$A,"&lt;="&amp;DATE(2026,10,21))</f>
        <v>0</v>
      </c>
      <c r="HR24">
        <f>COUNTIFS('DRAFT 2'!$D:$D,$B24,'DRAFT 2'!$A:$A,"&gt;="&amp;DATE(2026,10,22),'DRAFT 2'!$A:$A,"&lt;"&amp;DATE(2026,IF(10=12,10+1,10+1),1))</f>
        <v>0</v>
      </c>
      <c r="HS24">
        <f t="shared" si="11"/>
        <v>0</v>
      </c>
      <c r="IC24">
        <f>IFERROR(LOOKUP(2,1/('DRAFT 2'!$D:$D=$B24)*('DRAFT 2'!$A:$A&gt;=DATE(2026,11,1))*('DRAFT 2'!$A:$A&lt;DATE(2026,IF(11=12,11+1,11+1),1)),'DRAFT 2'!$A:$A),"")</f>
        <v>0</v>
      </c>
      <c r="ID24">
        <f>COUNTIFS('DRAFT 2'!$D:$D,$B24,'DRAFT 2'!$A:$A,"&gt;="&amp;DATE(2026,11,1),'DRAFT 2'!$A:$A,"&lt;="&amp;DATE(2026,11,7))</f>
        <v>0</v>
      </c>
      <c r="IE24">
        <f>COUNTIFS('DRAFT 2'!$D:$D,$B24,'DRAFT 2'!$A:$A,"&gt;="&amp;DATE(2026,11,8),'DRAFT 2'!$A:$A,"&lt;="&amp;DATE(2026,11,14))</f>
        <v>0</v>
      </c>
      <c r="IF24">
        <f>COUNTIFS('DRAFT 2'!$D:$D,$B24,'DRAFT 2'!$A:$A,"&gt;="&amp;DATE(2026,11,15),'DRAFT 2'!$A:$A,"&lt;="&amp;DATE(2026,11,21))</f>
        <v>0</v>
      </c>
      <c r="IG24">
        <f>COUNTIFS('DRAFT 2'!$D:$D,$B24,'DRAFT 2'!$A:$A,"&gt;="&amp;DATE(2026,11,22),'DRAFT 2'!$A:$A,"&lt;"&amp;DATE(2026,IF(11=12,11+1,11+1),1))</f>
        <v>0</v>
      </c>
      <c r="IH24">
        <f t="shared" si="12"/>
        <v>0</v>
      </c>
      <c r="IR24">
        <f>IFERROR(LOOKUP(2,1/('DRAFT 2'!$D:$D=$B24)*('DRAFT 2'!$A:$A&gt;=DATE(2026,12,1))*('DRAFT 2'!$A:$A&lt;DATE(2026,IF(12=12,12+1,12+1),1)),'DRAFT 2'!$A:$A),"")</f>
        <v>0</v>
      </c>
      <c r="IS24">
        <f>COUNTIFS('DRAFT 2'!$D:$D,$B24,'DRAFT 2'!$A:$A,"&gt;="&amp;DATE(2026,12,1),'DRAFT 2'!$A:$A,"&lt;="&amp;DATE(2026,12,7))</f>
        <v>0</v>
      </c>
      <c r="IT24">
        <f>COUNTIFS('DRAFT 2'!$D:$D,$B24,'DRAFT 2'!$A:$A,"&gt;="&amp;DATE(2026,12,8),'DRAFT 2'!$A:$A,"&lt;="&amp;DATE(2026,12,14))</f>
        <v>0</v>
      </c>
      <c r="IU24">
        <f>COUNTIFS('DRAFT 2'!$D:$D,$B24,'DRAFT 2'!$A:$A,"&gt;="&amp;DATE(2026,12,15),'DRAFT 2'!$A:$A,"&lt;="&amp;DATE(2026,12,21))</f>
        <v>0</v>
      </c>
      <c r="IV24">
        <f>COUNTIFS('DRAFT 2'!$D:$D,$B24,'DRAFT 2'!$A:$A,"&gt;="&amp;DATE(2026,12,22),'DRAFT 2'!$A:$A,"&lt;"&amp;DATE(2026,IF(12=12,12+1,12+1),1))</f>
        <v>0</v>
      </c>
      <c r="IW24">
        <f t="shared" si="13"/>
        <v>0</v>
      </c>
    </row>
    <row r="25" spans="1:257" x14ac:dyDescent="0.3">
      <c r="A25" t="str">
        <f>IFERROR(INDEX('DRAFT 1'!$A:$A,MATCH($B25,'DRAFT 1'!$B:$B,0)),"")</f>
        <v/>
      </c>
      <c r="C25" t="str">
        <f>IFERROR(INDEX('DRAFT 1'!$C:$C,MATCH($B25,'DRAFT 1'!$B:$B,0)),"")</f>
        <v/>
      </c>
      <c r="D25" t="str">
        <f>IFERROR(INDEX('DRAFT 1'!$D:$D,MATCH($B25,'DRAFT 1'!$B:$B,0)),"")</f>
        <v/>
      </c>
      <c r="E25" t="str">
        <f>IFERROR(INDEX('DRAFT 1'!$E:$E,MATCH($B25,'DRAFT 1'!$B:$B,0)),"")</f>
        <v/>
      </c>
      <c r="F25" t="str">
        <f>IFERROR(INDEX('DRAFT 1'!$F:$F,MATCH($B25,'DRAFT 1'!$B:$B,0)),"")</f>
        <v/>
      </c>
      <c r="G25" t="str">
        <f>IFERROR(INDEX('DRAFT 1'!$G:$G,MATCH($B25,'DRAFT 1'!$B:$B,0)),"")</f>
        <v/>
      </c>
      <c r="H25" t="str">
        <f>IFERROR(INDEX('DRAFT 1'!$H:$H,MATCH($B25,'DRAFT 1'!$B:$B,0)),"")</f>
        <v/>
      </c>
      <c r="I25" t="s">
        <v>298</v>
      </c>
      <c r="K25" t="str">
        <f>IFERROR(INDEX('DRAFT 1'!$AL:$AL,MATCH($B25,'DRAFT 1'!$B:$B,0)),"")</f>
        <v/>
      </c>
      <c r="L25" t="str">
        <f>IFERROR(INDEX('DRAFT 1'!$J:$J,MATCH($B25,'DRAFT 1'!$B:$B,0)),"")</f>
        <v/>
      </c>
      <c r="M25" t="str">
        <f>IFERROR(INDEX('DRAFT 1'!$K:$K,MATCH($B25,'DRAFT 1'!$B:$B,0)),"")</f>
        <v/>
      </c>
      <c r="N25" t="s">
        <v>71</v>
      </c>
      <c r="P25" t="str">
        <f>IFERROR(INDEX('DRAFT 1'!$L:$L,MATCH($B25,'DRAFT 1'!$B:$B,0)),"")</f>
        <v/>
      </c>
      <c r="Q25" t="str">
        <f>IFERROR(INDEX('DRAFT 1'!$M:$M,MATCH($B25,'DRAFT 1'!$B:$B,0)),"")</f>
        <v/>
      </c>
      <c r="R25" t="str">
        <f>IFERROR(INDEX('DRAFT 1'!$N:$N,MATCH($B25,'DRAFT 1'!$B:$B,0)),"")</f>
        <v/>
      </c>
      <c r="S25" t="str">
        <f>IFERROR(INDEX('DRAFT 1'!$O:$O,MATCH($B25,'DRAFT 1'!$B:$B,0)),"")</f>
        <v/>
      </c>
      <c r="T25" t="str">
        <f>IFERROR(INDEX('DRAFT 1'!$P:$P,MATCH($B25,'DRAFT 1'!$B:$B,0)),"")</f>
        <v/>
      </c>
      <c r="U25" t="str">
        <f>IFERROR(INDEX('DRAFT 1'!$Q:$Q,MATCH($B25,'DRAFT 1'!$B:$B,0)),"")</f>
        <v/>
      </c>
      <c r="V25" t="str">
        <f>IFERROR(INDEX('DRAFT 1'!$R:$R,MATCH($B25,'DRAFT 1'!$B:$B,0)),"")</f>
        <v/>
      </c>
      <c r="W25" t="str">
        <f>IFERROR(INDEX('DRAFT 1'!$S:$S,MATCH($B25,'DRAFT 1'!$B:$B,0)),"")</f>
        <v/>
      </c>
      <c r="X25" t="str">
        <f>IFERROR(INDEX('DRAFT 1'!$T:$T,MATCH($B25,'DRAFT 1'!$B:$B,0)),"")</f>
        <v/>
      </c>
      <c r="Z25" t="str">
        <f>IFERROR(INDEX('DRAFT 1'!$U:$U,MATCH($B25,'DRAFT 1'!$B:$B,0)),"")</f>
        <v/>
      </c>
      <c r="AA25" t="str">
        <f>IFERROR(INDEX('DRAFT 1'!$V:$V,MATCH($B25,'DRAFT 1'!$B:$B,0)),"")</f>
        <v/>
      </c>
      <c r="AB25" t="str">
        <f>IFERROR(INDEX('DRAFT 1'!$W:$W,MATCH($B25,'DRAFT 1'!$B:$B,0)),"")</f>
        <v/>
      </c>
      <c r="AC25" t="str">
        <f>IFERROR(INDEX('DRAFT 1'!$X:$X,MATCH($B25,'DRAFT 1'!$B:$B,0)),"")</f>
        <v/>
      </c>
      <c r="AD25" t="str">
        <f>IFERROR(INDEX('DRAFT 1'!$Y:$Y,MATCH($B25,'DRAFT 1'!$B:$B,0)),"")</f>
        <v/>
      </c>
      <c r="AE25" t="str">
        <f>IFERROR(INDEX('DRAFT 1'!$Z:$Z,MATCH($B25,'DRAFT 1'!$B:$B,0)),"")</f>
        <v/>
      </c>
      <c r="AF25" t="str">
        <f>IFERROR(INDEX('DRAFT 1'!$AA:$AA,MATCH($B25,'DRAFT 1'!$B:$B,0)),"")</f>
        <v/>
      </c>
      <c r="AG25" t="str">
        <f>IFERROR(INDEX('DRAFT 1'!$AB:$AB,MATCH($B25,'DRAFT 1'!$B:$B,0)),"")</f>
        <v/>
      </c>
      <c r="AH25" t="str">
        <f>IFERROR(INDEX('DRAFT 1'!$AC:$AC,MATCH($B25,'DRAFT 1'!$B:$B,0)),"")</f>
        <v/>
      </c>
      <c r="AI25" t="str">
        <f>IFERROR(INDEX('DRAFT 1'!$AD:$AD,MATCH($B25,'DRAFT 1'!$B:$B,0)),"")</f>
        <v/>
      </c>
      <c r="AJ25" t="str">
        <f>IFERROR(INDEX('DRAFT 1'!$AE:$AE,MATCH($B25,'DRAFT 1'!$B:$B,0)),"")</f>
        <v/>
      </c>
      <c r="AK25" t="str">
        <f>IFERROR(INDEX('DRAFT 1'!$AG:$AG,MATCH($B25,'DRAFT 1'!$B:$B,0)),"")</f>
        <v/>
      </c>
      <c r="AL25" t="str">
        <f>IFERROR(INDEX('DRAFT 1'!$AH:$AH,MATCH($B25,'DRAFT 1'!$B:$B,0)),"")</f>
        <v/>
      </c>
      <c r="AM25" t="str">
        <f>IFERROR(INDEX('DRAFT 1'!$AI:$AI,MATCH($B25,'DRAFT 1'!$B:$B,0)),"")</f>
        <v/>
      </c>
      <c r="AN25" t="str">
        <f>IFERROR(INDEX('DRAFT 1'!$AJ:$AJ,MATCH($B25,'DRAFT 1'!$B:$B,0)),"")</f>
        <v/>
      </c>
      <c r="AO25">
        <f t="shared" si="0"/>
        <v>0</v>
      </c>
      <c r="AP25" t="str">
        <f>IFERROR(INDEX('DRAFT 1'!$AK:$AK,MATCH($B25,'DRAFT 1'!$B:$B,0)),"")</f>
        <v/>
      </c>
      <c r="AR25" t="s">
        <v>95</v>
      </c>
      <c r="AS25">
        <f>IFERROR(LOOKUP(2,1/('DRAFT 2'!$D:$D=$B25),'DRAFT 2'!$T:$T),"")</f>
        <v>0</v>
      </c>
      <c r="AT25">
        <f>IFERROR(LOOKUP(2,1/('DRAFT 2'!$D:$D=$B25),'DRAFT 2'!$A:$A),"")</f>
        <v>0</v>
      </c>
      <c r="AU25">
        <f>IFERROR(LOOKUP(2,1/('DRAFT 2'!$D:$D=$B25),'DRAFT 2'!$R:$R),"")</f>
        <v>0</v>
      </c>
      <c r="AV25">
        <f>IFERROR(LOOKUP(2,1/('DRAFT 2'!$D:$D=$B25),'DRAFT 2'!$S:$S),"")</f>
        <v>0</v>
      </c>
      <c r="AW25" t="s">
        <v>126</v>
      </c>
      <c r="AX25">
        <f>IFERROR(LOOKUP(2,1/('DRAFT 2'!$D:$D=$B25),'DRAFT 2'!$M:$M),"")</f>
        <v>0</v>
      </c>
      <c r="AY25">
        <f>IFERROR(LOOKUP(2,1/('DRAFT 2'!$D:$D=$B25),'DRAFT 2'!$K:$K),"")</f>
        <v>0</v>
      </c>
      <c r="BG25">
        <f>IFERROR(LOOKUP(2,1/('DRAFT 2'!$D:$D=$B25),'DRAFT 2'!$U:$U),"")</f>
        <v>0</v>
      </c>
      <c r="BH25">
        <f>IFERROR(LOOKUP(2,1/('DRAFT 2'!$D:$D=$B25),'DRAFT 2'!$V:$V),"")</f>
        <v>0</v>
      </c>
      <c r="CE25" t="str">
        <f t="shared" si="1"/>
        <v/>
      </c>
      <c r="CF25">
        <f>IFERROR(LOOKUP(2,1/('DRAFT 2'!$D:$D=$B25)*('DRAFT 2'!$A:$A&gt;=DATE(2026,1,1))*('DRAFT 2'!$A:$A&lt;DATE(2026,IF(1=12,1+1,1+1),1)),'DRAFT 2'!$A:$A),"")</f>
        <v>0</v>
      </c>
      <c r="CG25">
        <f>COUNTIFS('DRAFT 2'!$D:$D,$B25,'DRAFT 2'!$A:$A,"&gt;="&amp;DATE(2026,1,1),'DRAFT 2'!$A:$A,"&lt;="&amp;DATE(2026,1,7))</f>
        <v>0</v>
      </c>
      <c r="CH25">
        <f>COUNTIFS('DRAFT 2'!$D:$D,$B25,'DRAFT 2'!$A:$A,"&gt;="&amp;DATE(2026,1,8),'DRAFT 2'!$A:$A,"&lt;="&amp;DATE(2026,1,14))</f>
        <v>0</v>
      </c>
      <c r="CI25">
        <f>COUNTIFS('DRAFT 2'!$D:$D,$B25,'DRAFT 2'!$A:$A,"&gt;="&amp;DATE(2026,1,15),'DRAFT 2'!$A:$A,"&lt;="&amp;DATE(2026,1,21))</f>
        <v>0</v>
      </c>
      <c r="CJ25">
        <f>COUNTIFS('DRAFT 2'!$D:$D,$B25,'DRAFT 2'!$A:$A,"&gt;="&amp;DATE(2026,1,22),'DRAFT 2'!$A:$A,"&lt;"&amp;DATE(2026,IF(1=12,1+1,1+1),1))</f>
        <v>0</v>
      </c>
      <c r="CK25">
        <f t="shared" si="2"/>
        <v>0</v>
      </c>
      <c r="CT25">
        <v>0</v>
      </c>
      <c r="CU25">
        <f>IFERROR(LOOKUP(2,1/('DRAFT 2'!$D:$D=$B25)*('DRAFT 2'!$A:$A&gt;=DATE(2026,2,1))*('DRAFT 2'!$A:$A&lt;DATE(2026,IF(2=12,2+1,2+1),1)),'DRAFT 2'!$A:$A),"")</f>
        <v>0</v>
      </c>
      <c r="CV25">
        <f>COUNTIFS('DRAFT 2'!$D:$D,$B25,'DRAFT 2'!$A:$A,"&gt;="&amp;DATE(2026,2,1),'DRAFT 2'!$A:$A,"&lt;="&amp;DATE(2026,2,7))</f>
        <v>0</v>
      </c>
      <c r="CW25">
        <f>COUNTIFS('DRAFT 2'!$D:$D,$B25,'DRAFT 2'!$A:$A,"&gt;="&amp;DATE(2026,2,8),'DRAFT 2'!$A:$A,"&lt;="&amp;DATE(2026,2,14))</f>
        <v>0</v>
      </c>
      <c r="CX25">
        <f>COUNTIFS('DRAFT 2'!$D:$D,$B25,'DRAFT 2'!$A:$A,"&gt;="&amp;DATE(2026,2,15),'DRAFT 2'!$A:$A,"&lt;="&amp;DATE(2026,2,21))</f>
        <v>0</v>
      </c>
      <c r="CY25">
        <f>COUNTIFS('DRAFT 2'!$D:$D,$B25,'DRAFT 2'!$A:$A,"&gt;="&amp;DATE(2026,2,22),'DRAFT 2'!$A:$A,"&lt;"&amp;DATE(2026,IF(2=12,2+1,2+1),1))</f>
        <v>0</v>
      </c>
      <c r="CZ25">
        <f t="shared" si="3"/>
        <v>0</v>
      </c>
      <c r="DJ25">
        <f>IFERROR(LOOKUP(2,1/('DRAFT 2'!$D:$D=$B25)*('DRAFT 2'!$A:$A&gt;=DATE(2026,3,1))*('DRAFT 2'!$A:$A&lt;DATE(2026,IF(3=12,3+1,3+1),1)),'DRAFT 2'!$A:$A),"")</f>
        <v>0</v>
      </c>
      <c r="DK25">
        <f>COUNTIFS('DRAFT 2'!$D:$D,$B25,'DRAFT 2'!$A:$A,"&gt;="&amp;DATE(2026,3,1),'DRAFT 2'!$A:$A,"&lt;="&amp;DATE(2026,3,7))</f>
        <v>0</v>
      </c>
      <c r="DL25">
        <f>COUNTIFS('DRAFT 2'!$D:$D,$B25,'DRAFT 2'!$A:$A,"&gt;="&amp;DATE(2026,3,8),'DRAFT 2'!$A:$A,"&lt;="&amp;DATE(2026,3,14))</f>
        <v>0</v>
      </c>
      <c r="DM25">
        <f>COUNTIFS('DRAFT 2'!$D:$D,$B25,'DRAFT 2'!$A:$A,"&gt;="&amp;DATE(2026,3,15),'DRAFT 2'!$A:$A,"&lt;="&amp;DATE(2026,3,21))</f>
        <v>0</v>
      </c>
      <c r="DN25">
        <f>COUNTIFS('DRAFT 2'!$D:$D,$B25,'DRAFT 2'!$A:$A,"&gt;="&amp;DATE(2026,3,22),'DRAFT 2'!$A:$A,"&lt;"&amp;DATE(2026,IF(3=12,3+1,3+1),1))</f>
        <v>0</v>
      </c>
      <c r="DO25">
        <f t="shared" si="4"/>
        <v>0</v>
      </c>
      <c r="DZ25">
        <f>IFERROR(LOOKUP(2,1/('DRAFT 2'!$D:$D=$B25)*('DRAFT 2'!$A:$A&gt;=DATE(2026,4,1))*('DRAFT 2'!$A:$A&lt;DATE(2026,IF(4=12,4+1,4+1),1)),'DRAFT 2'!$A:$A),"")</f>
        <v>0</v>
      </c>
      <c r="EA25">
        <f>COUNTIFS('DRAFT 2'!$D:$D,$B25,'DRAFT 2'!$A:$A,"&gt;="&amp;DATE(2026,4,1),'DRAFT 2'!$A:$A,"&lt;="&amp;DATE(2026,4,7))</f>
        <v>0</v>
      </c>
      <c r="EB25">
        <f>COUNTIFS('DRAFT 2'!$D:$D,$B25,'DRAFT 2'!$A:$A,"&gt;="&amp;DATE(2026,4,8),'DRAFT 2'!$A:$A,"&lt;="&amp;DATE(2026,4,14))</f>
        <v>0</v>
      </c>
      <c r="EC25">
        <f>COUNTIFS('DRAFT 2'!$D:$D,$B25,'DRAFT 2'!$A:$A,"&gt;="&amp;DATE(2026,4,15),'DRAFT 2'!$A:$A,"&lt;="&amp;DATE(2026,4,21))</f>
        <v>0</v>
      </c>
      <c r="ED25">
        <f>COUNTIFS('DRAFT 2'!$D:$D,$B25,'DRAFT 2'!$A:$A,"&gt;="&amp;DATE(2026,4,22),'DRAFT 2'!$A:$A,"&lt;"&amp;DATE(2026,IF(4=12,4+1,4+1),1))</f>
        <v>0</v>
      </c>
      <c r="EE25">
        <f t="shared" si="5"/>
        <v>0</v>
      </c>
      <c r="EO25">
        <f>IFERROR(LOOKUP(2,1/('DRAFT 2'!$D:$D=$B25)*('DRAFT 2'!$A:$A&gt;=DATE(2026,5,1))*('DRAFT 2'!$A:$A&lt;DATE(2026,IF(5=12,5+1,5+1),1)),'DRAFT 2'!$A:$A),"")</f>
        <v>0</v>
      </c>
      <c r="EP25">
        <f>COUNTIFS('DRAFT 2'!$D:$D,$B25,'DRAFT 2'!$A:$A,"&gt;="&amp;DATE(2026,5,1),'DRAFT 2'!$A:$A,"&lt;="&amp;DATE(2026,5,7))</f>
        <v>0</v>
      </c>
      <c r="EQ25">
        <f>COUNTIFS('DRAFT 2'!$D:$D,$B25,'DRAFT 2'!$A:$A,"&gt;="&amp;DATE(2026,5,8),'DRAFT 2'!$A:$A,"&lt;="&amp;DATE(2026,5,14))</f>
        <v>0</v>
      </c>
      <c r="ER25">
        <f>COUNTIFS('DRAFT 2'!$D:$D,$B25,'DRAFT 2'!$A:$A,"&gt;="&amp;DATE(2026,5,15),'DRAFT 2'!$A:$A,"&lt;="&amp;DATE(2026,5,21))</f>
        <v>0</v>
      </c>
      <c r="ES25">
        <f>COUNTIFS('DRAFT 2'!$D:$D,$B25,'DRAFT 2'!$A:$A,"&gt;="&amp;DATE(2026,5,22),'DRAFT 2'!$A:$A,"&lt;"&amp;DATE(2026,IF(5=12,5+1,5+1),1))</f>
        <v>0</v>
      </c>
      <c r="ET25">
        <f t="shared" si="6"/>
        <v>0</v>
      </c>
      <c r="FD25">
        <f>IFERROR(LOOKUP(2,1/('DRAFT 2'!$D:$D=$B25)*('DRAFT 2'!$A:$A&gt;=DATE(2026,6,1))*('DRAFT 2'!$A:$A&lt;DATE(2026,IF(6=12,6+1,6+1),1)),'DRAFT 2'!$A:$A),"")</f>
        <v>0</v>
      </c>
      <c r="FE25">
        <f>COUNTIFS('DRAFT 2'!$D:$D,$B25,'DRAFT 2'!$A:$A,"&gt;="&amp;DATE(2026,6,1),'DRAFT 2'!$A:$A,"&lt;="&amp;DATE(2026,6,7))</f>
        <v>0</v>
      </c>
      <c r="FF25">
        <f>COUNTIFS('DRAFT 2'!$D:$D,$B25,'DRAFT 2'!$A:$A,"&gt;="&amp;DATE(2026,6,8),'DRAFT 2'!$A:$A,"&lt;="&amp;DATE(2026,6,14))</f>
        <v>0</v>
      </c>
      <c r="FG25">
        <f>COUNTIFS('DRAFT 2'!$D:$D,$B25,'DRAFT 2'!$A:$A,"&gt;="&amp;DATE(2026,6,15),'DRAFT 2'!$A:$A,"&lt;="&amp;DATE(2026,6,21))</f>
        <v>0</v>
      </c>
      <c r="FH25">
        <f>COUNTIFS('DRAFT 2'!$D:$D,$B25,'DRAFT 2'!$A:$A,"&gt;="&amp;DATE(2026,6,22),'DRAFT 2'!$A:$A,"&lt;"&amp;DATE(2026,IF(6=12,6+1,6+1),1))</f>
        <v>0</v>
      </c>
      <c r="FI25">
        <f t="shared" si="7"/>
        <v>0</v>
      </c>
      <c r="FT25">
        <f>IFERROR(LOOKUP(2,1/('DRAFT 2'!$D:$D=$B25)*('DRAFT 2'!$A:$A&gt;=DATE(2026,7,1))*('DRAFT 2'!$A:$A&lt;DATE(2026,IF(7=12,7+1,7+1),1)),'DRAFT 2'!$A:$A),"")</f>
        <v>0</v>
      </c>
      <c r="FU25">
        <f>COUNTIFS('DRAFT 2'!$D:$D,$B25,'DRAFT 2'!$A:$A,"&gt;="&amp;DATE(2026,7,1),'DRAFT 2'!$A:$A,"&lt;="&amp;DATE(2026,7,7))</f>
        <v>0</v>
      </c>
      <c r="FV25">
        <f>COUNTIFS('DRAFT 2'!$D:$D,$B25,'DRAFT 2'!$A:$A,"&gt;="&amp;DATE(2026,7,8),'DRAFT 2'!$A:$A,"&lt;="&amp;DATE(2026,7,14))</f>
        <v>0</v>
      </c>
      <c r="FW25">
        <f>COUNTIFS('DRAFT 2'!$D:$D,$B25,'DRAFT 2'!$A:$A,"&gt;="&amp;DATE(2026,7,15),'DRAFT 2'!$A:$A,"&lt;="&amp;DATE(2026,7,21))</f>
        <v>0</v>
      </c>
      <c r="FX25">
        <f>COUNTIFS('DRAFT 2'!$D:$D,$B25,'DRAFT 2'!$A:$A,"&gt;="&amp;DATE(2026,7,22),'DRAFT 2'!$A:$A,"&lt;"&amp;DATE(2026,IF(7=12,7+1,7+1),1))</f>
        <v>0</v>
      </c>
      <c r="FY25">
        <f t="shared" si="8"/>
        <v>0</v>
      </c>
      <c r="GI25">
        <f>IFERROR(LOOKUP(2,1/('DRAFT 2'!$D:$D=$B25)*('DRAFT 2'!$A:$A&gt;=DATE(2026,8,1))*('DRAFT 2'!$A:$A&lt;DATE(2026,IF(8=12,8+1,8+1),1)),'DRAFT 2'!$A:$A),"")</f>
        <v>0</v>
      </c>
      <c r="GJ25">
        <f>COUNTIFS('DRAFT 2'!$D:$D,$B25,'DRAFT 2'!$A:$A,"&gt;="&amp;DATE(2026,8,1),'DRAFT 2'!$A:$A,"&lt;="&amp;DATE(2026,8,7))</f>
        <v>0</v>
      </c>
      <c r="GK25">
        <f>COUNTIFS('DRAFT 2'!$D:$D,$B25,'DRAFT 2'!$A:$A,"&gt;="&amp;DATE(2026,8,8),'DRAFT 2'!$A:$A,"&lt;="&amp;DATE(2026,8,14))</f>
        <v>0</v>
      </c>
      <c r="GL25">
        <f>COUNTIFS('DRAFT 2'!$D:$D,$B25,'DRAFT 2'!$A:$A,"&gt;="&amp;DATE(2026,8,15),'DRAFT 2'!$A:$A,"&lt;="&amp;DATE(2026,8,21))</f>
        <v>0</v>
      </c>
      <c r="GM25">
        <f>COUNTIFS('DRAFT 2'!$D:$D,$B25,'DRAFT 2'!$A:$A,"&gt;="&amp;DATE(2026,8,22),'DRAFT 2'!$A:$A,"&lt;"&amp;DATE(2026,IF(8=12,8+1,8+1),1))</f>
        <v>0</v>
      </c>
      <c r="GN25">
        <f t="shared" si="9"/>
        <v>0</v>
      </c>
      <c r="GX25">
        <f>IFERROR(LOOKUP(2,1/('DRAFT 2'!$D:$D=$B25)*('DRAFT 2'!$A:$A&gt;=DATE(2026,9,1))*('DRAFT 2'!$A:$A&lt;DATE(2026,IF(9=12,9+1,9+1),1)),'DRAFT 2'!$A:$A),"")</f>
        <v>0</v>
      </c>
      <c r="GY25">
        <f>COUNTIFS('DRAFT 2'!$D:$D,$B25,'DRAFT 2'!$A:$A,"&gt;="&amp;DATE(2026,9,1),'DRAFT 2'!$A:$A,"&lt;="&amp;DATE(2026,9,7))</f>
        <v>0</v>
      </c>
      <c r="GZ25">
        <f>COUNTIFS('DRAFT 2'!$D:$D,$B25,'DRAFT 2'!$A:$A,"&gt;="&amp;DATE(2026,9,8),'DRAFT 2'!$A:$A,"&lt;="&amp;DATE(2026,9,14))</f>
        <v>0</v>
      </c>
      <c r="HA25">
        <f>COUNTIFS('DRAFT 2'!$D:$D,$B25,'DRAFT 2'!$A:$A,"&gt;="&amp;DATE(2026,9,15),'DRAFT 2'!$A:$A,"&lt;="&amp;DATE(2026,9,21))</f>
        <v>0</v>
      </c>
      <c r="HB25">
        <f>COUNTIFS('DRAFT 2'!$D:$D,$B25,'DRAFT 2'!$A:$A,"&gt;="&amp;DATE(2026,9,22),'DRAFT 2'!$A:$A,"&lt;"&amp;DATE(2026,IF(9=12,9+1,9+1),1))</f>
        <v>0</v>
      </c>
      <c r="HC25">
        <f t="shared" si="10"/>
        <v>0</v>
      </c>
      <c r="HN25">
        <f>IFERROR(LOOKUP(2,1/('DRAFT 2'!$D:$D=$B25)*('DRAFT 2'!$A:$A&gt;=DATE(2026,10,1))*('DRAFT 2'!$A:$A&lt;DATE(2026,IF(10=12,10+1,10+1),1)),'DRAFT 2'!$A:$A),"")</f>
        <v>0</v>
      </c>
      <c r="HO25">
        <f>COUNTIFS('DRAFT 2'!$D:$D,$B25,'DRAFT 2'!$A:$A,"&gt;="&amp;DATE(2026,10,1),'DRAFT 2'!$A:$A,"&lt;="&amp;DATE(2026,10,7))</f>
        <v>0</v>
      </c>
      <c r="HP25">
        <f>COUNTIFS('DRAFT 2'!$D:$D,$B25,'DRAFT 2'!$A:$A,"&gt;="&amp;DATE(2026,10,8),'DRAFT 2'!$A:$A,"&lt;="&amp;DATE(2026,10,14))</f>
        <v>0</v>
      </c>
      <c r="HQ25">
        <f>COUNTIFS('DRAFT 2'!$D:$D,$B25,'DRAFT 2'!$A:$A,"&gt;="&amp;DATE(2026,10,15),'DRAFT 2'!$A:$A,"&lt;="&amp;DATE(2026,10,21))</f>
        <v>0</v>
      </c>
      <c r="HR25">
        <f>COUNTIFS('DRAFT 2'!$D:$D,$B25,'DRAFT 2'!$A:$A,"&gt;="&amp;DATE(2026,10,22),'DRAFT 2'!$A:$A,"&lt;"&amp;DATE(2026,IF(10=12,10+1,10+1),1))</f>
        <v>0</v>
      </c>
      <c r="HS25">
        <f t="shared" si="11"/>
        <v>0</v>
      </c>
      <c r="IC25">
        <f>IFERROR(LOOKUP(2,1/('DRAFT 2'!$D:$D=$B25)*('DRAFT 2'!$A:$A&gt;=DATE(2026,11,1))*('DRAFT 2'!$A:$A&lt;DATE(2026,IF(11=12,11+1,11+1),1)),'DRAFT 2'!$A:$A),"")</f>
        <v>0</v>
      </c>
      <c r="ID25">
        <f>COUNTIFS('DRAFT 2'!$D:$D,$B25,'DRAFT 2'!$A:$A,"&gt;="&amp;DATE(2026,11,1),'DRAFT 2'!$A:$A,"&lt;="&amp;DATE(2026,11,7))</f>
        <v>0</v>
      </c>
      <c r="IE25">
        <f>COUNTIFS('DRAFT 2'!$D:$D,$B25,'DRAFT 2'!$A:$A,"&gt;="&amp;DATE(2026,11,8),'DRAFT 2'!$A:$A,"&lt;="&amp;DATE(2026,11,14))</f>
        <v>0</v>
      </c>
      <c r="IF25">
        <f>COUNTIFS('DRAFT 2'!$D:$D,$B25,'DRAFT 2'!$A:$A,"&gt;="&amp;DATE(2026,11,15),'DRAFT 2'!$A:$A,"&lt;="&amp;DATE(2026,11,21))</f>
        <v>0</v>
      </c>
      <c r="IG25">
        <f>COUNTIFS('DRAFT 2'!$D:$D,$B25,'DRAFT 2'!$A:$A,"&gt;="&amp;DATE(2026,11,22),'DRAFT 2'!$A:$A,"&lt;"&amp;DATE(2026,IF(11=12,11+1,11+1),1))</f>
        <v>0</v>
      </c>
      <c r="IH25">
        <f t="shared" si="12"/>
        <v>0</v>
      </c>
      <c r="IR25">
        <f>IFERROR(LOOKUP(2,1/('DRAFT 2'!$D:$D=$B25)*('DRAFT 2'!$A:$A&gt;=DATE(2026,12,1))*('DRAFT 2'!$A:$A&lt;DATE(2026,IF(12=12,12+1,12+1),1)),'DRAFT 2'!$A:$A),"")</f>
        <v>0</v>
      </c>
      <c r="IS25">
        <f>COUNTIFS('DRAFT 2'!$D:$D,$B25,'DRAFT 2'!$A:$A,"&gt;="&amp;DATE(2026,12,1),'DRAFT 2'!$A:$A,"&lt;="&amp;DATE(2026,12,7))</f>
        <v>0</v>
      </c>
      <c r="IT25">
        <f>COUNTIFS('DRAFT 2'!$D:$D,$B25,'DRAFT 2'!$A:$A,"&gt;="&amp;DATE(2026,12,8),'DRAFT 2'!$A:$A,"&lt;="&amp;DATE(2026,12,14))</f>
        <v>0</v>
      </c>
      <c r="IU25">
        <f>COUNTIFS('DRAFT 2'!$D:$D,$B25,'DRAFT 2'!$A:$A,"&gt;="&amp;DATE(2026,12,15),'DRAFT 2'!$A:$A,"&lt;="&amp;DATE(2026,12,21))</f>
        <v>0</v>
      </c>
      <c r="IV25">
        <f>COUNTIFS('DRAFT 2'!$D:$D,$B25,'DRAFT 2'!$A:$A,"&gt;="&amp;DATE(2026,12,22),'DRAFT 2'!$A:$A,"&lt;"&amp;DATE(2026,IF(12=12,12+1,12+1),1))</f>
        <v>0</v>
      </c>
      <c r="IW25">
        <f t="shared" si="13"/>
        <v>0</v>
      </c>
    </row>
    <row r="26" spans="1:257" x14ac:dyDescent="0.3">
      <c r="A26" t="str">
        <f>IFERROR(INDEX('DRAFT 1'!$A:$A,MATCH($B26,'DRAFT 1'!$B:$B,0)),"")</f>
        <v/>
      </c>
      <c r="C26" t="str">
        <f>IFERROR(INDEX('DRAFT 1'!$C:$C,MATCH($B26,'DRAFT 1'!$B:$B,0)),"")</f>
        <v/>
      </c>
      <c r="D26" t="str">
        <f>IFERROR(INDEX('DRAFT 1'!$D:$D,MATCH($B26,'DRAFT 1'!$B:$B,0)),"")</f>
        <v/>
      </c>
      <c r="E26" t="str">
        <f>IFERROR(INDEX('DRAFT 1'!$E:$E,MATCH($B26,'DRAFT 1'!$B:$B,0)),"")</f>
        <v/>
      </c>
      <c r="F26" t="str">
        <f>IFERROR(INDEX('DRAFT 1'!$F:$F,MATCH($B26,'DRAFT 1'!$B:$B,0)),"")</f>
        <v/>
      </c>
      <c r="G26" t="str">
        <f>IFERROR(INDEX('DRAFT 1'!$G:$G,MATCH($B26,'DRAFT 1'!$B:$B,0)),"")</f>
        <v/>
      </c>
      <c r="H26" t="str">
        <f>IFERROR(INDEX('DRAFT 1'!$H:$H,MATCH($B26,'DRAFT 1'!$B:$B,0)),"")</f>
        <v/>
      </c>
      <c r="I26" t="s">
        <v>283</v>
      </c>
      <c r="K26" t="str">
        <f>IFERROR(INDEX('DRAFT 1'!$AL:$AL,MATCH($B26,'DRAFT 1'!$B:$B,0)),"")</f>
        <v/>
      </c>
      <c r="L26" t="str">
        <f>IFERROR(INDEX('DRAFT 1'!$J:$J,MATCH($B26,'DRAFT 1'!$B:$B,0)),"")</f>
        <v/>
      </c>
      <c r="M26" t="str">
        <f>IFERROR(INDEX('DRAFT 1'!$K:$K,MATCH($B26,'DRAFT 1'!$B:$B,0)),"")</f>
        <v/>
      </c>
      <c r="N26" t="s">
        <v>74</v>
      </c>
      <c r="P26" t="str">
        <f>IFERROR(INDEX('DRAFT 1'!$L:$L,MATCH($B26,'DRAFT 1'!$B:$B,0)),"")</f>
        <v/>
      </c>
      <c r="Q26" t="str">
        <f>IFERROR(INDEX('DRAFT 1'!$M:$M,MATCH($B26,'DRAFT 1'!$B:$B,0)),"")</f>
        <v/>
      </c>
      <c r="R26" t="str">
        <f>IFERROR(INDEX('DRAFT 1'!$N:$N,MATCH($B26,'DRAFT 1'!$B:$B,0)),"")</f>
        <v/>
      </c>
      <c r="S26" t="str">
        <f>IFERROR(INDEX('DRAFT 1'!$O:$O,MATCH($B26,'DRAFT 1'!$B:$B,0)),"")</f>
        <v/>
      </c>
      <c r="T26" t="str">
        <f>IFERROR(INDEX('DRAFT 1'!$P:$P,MATCH($B26,'DRAFT 1'!$B:$B,0)),"")</f>
        <v/>
      </c>
      <c r="U26" t="str">
        <f>IFERROR(INDEX('DRAFT 1'!$Q:$Q,MATCH($B26,'DRAFT 1'!$B:$B,0)),"")</f>
        <v/>
      </c>
      <c r="V26" t="str">
        <f>IFERROR(INDEX('DRAFT 1'!$R:$R,MATCH($B26,'DRAFT 1'!$B:$B,0)),"")</f>
        <v/>
      </c>
      <c r="W26" t="str">
        <f>IFERROR(INDEX('DRAFT 1'!$S:$S,MATCH($B26,'DRAFT 1'!$B:$B,0)),"")</f>
        <v/>
      </c>
      <c r="X26" t="str">
        <f>IFERROR(INDEX('DRAFT 1'!$T:$T,MATCH($B26,'DRAFT 1'!$B:$B,0)),"")</f>
        <v/>
      </c>
      <c r="Z26" t="str">
        <f>IFERROR(INDEX('DRAFT 1'!$U:$U,MATCH($B26,'DRAFT 1'!$B:$B,0)),"")</f>
        <v/>
      </c>
      <c r="AA26" t="str">
        <f>IFERROR(INDEX('DRAFT 1'!$V:$V,MATCH($B26,'DRAFT 1'!$B:$B,0)),"")</f>
        <v/>
      </c>
      <c r="AB26" t="str">
        <f>IFERROR(INDEX('DRAFT 1'!$W:$W,MATCH($B26,'DRAFT 1'!$B:$B,0)),"")</f>
        <v/>
      </c>
      <c r="AC26" t="str">
        <f>IFERROR(INDEX('DRAFT 1'!$X:$X,MATCH($B26,'DRAFT 1'!$B:$B,0)),"")</f>
        <v/>
      </c>
      <c r="AD26" t="str">
        <f>IFERROR(INDEX('DRAFT 1'!$Y:$Y,MATCH($B26,'DRAFT 1'!$B:$B,0)),"")</f>
        <v/>
      </c>
      <c r="AE26" t="str">
        <f>IFERROR(INDEX('DRAFT 1'!$Z:$Z,MATCH($B26,'DRAFT 1'!$B:$B,0)),"")</f>
        <v/>
      </c>
      <c r="AF26" t="str">
        <f>IFERROR(INDEX('DRAFT 1'!$AA:$AA,MATCH($B26,'DRAFT 1'!$B:$B,0)),"")</f>
        <v/>
      </c>
      <c r="AG26" t="str">
        <f>IFERROR(INDEX('DRAFT 1'!$AB:$AB,MATCH($B26,'DRAFT 1'!$B:$B,0)),"")</f>
        <v/>
      </c>
      <c r="AH26" t="str">
        <f>IFERROR(INDEX('DRAFT 1'!$AC:$AC,MATCH($B26,'DRAFT 1'!$B:$B,0)),"")</f>
        <v/>
      </c>
      <c r="AI26" t="str">
        <f>IFERROR(INDEX('DRAFT 1'!$AD:$AD,MATCH($B26,'DRAFT 1'!$B:$B,0)),"")</f>
        <v/>
      </c>
      <c r="AJ26" t="str">
        <f>IFERROR(INDEX('DRAFT 1'!$AE:$AE,MATCH($B26,'DRAFT 1'!$B:$B,0)),"")</f>
        <v/>
      </c>
      <c r="AK26" t="str">
        <f>IFERROR(INDEX('DRAFT 1'!$AG:$AG,MATCH($B26,'DRAFT 1'!$B:$B,0)),"")</f>
        <v/>
      </c>
      <c r="AL26" t="str">
        <f>IFERROR(INDEX('DRAFT 1'!$AH:$AH,MATCH($B26,'DRAFT 1'!$B:$B,0)),"")</f>
        <v/>
      </c>
      <c r="AM26" t="str">
        <f>IFERROR(INDEX('DRAFT 1'!$AI:$AI,MATCH($B26,'DRAFT 1'!$B:$B,0)),"")</f>
        <v/>
      </c>
      <c r="AN26" t="str">
        <f>IFERROR(INDEX('DRAFT 1'!$AJ:$AJ,MATCH($B26,'DRAFT 1'!$B:$B,0)),"")</f>
        <v/>
      </c>
      <c r="AO26">
        <f t="shared" si="0"/>
        <v>0</v>
      </c>
      <c r="AP26" t="str">
        <f>IFERROR(INDEX('DRAFT 1'!$AK:$AK,MATCH($B26,'DRAFT 1'!$B:$B,0)),"")</f>
        <v/>
      </c>
      <c r="AR26" t="s">
        <v>93</v>
      </c>
      <c r="AS26">
        <f>IFERROR(LOOKUP(2,1/('DRAFT 2'!$D:$D=$B26),'DRAFT 2'!$T:$T),"")</f>
        <v>0</v>
      </c>
      <c r="AT26">
        <f>IFERROR(LOOKUP(2,1/('DRAFT 2'!$D:$D=$B26),'DRAFT 2'!$A:$A),"")</f>
        <v>0</v>
      </c>
      <c r="AU26">
        <f>IFERROR(LOOKUP(2,1/('DRAFT 2'!$D:$D=$B26),'DRAFT 2'!$R:$R),"")</f>
        <v>0</v>
      </c>
      <c r="AV26">
        <f>IFERROR(LOOKUP(2,1/('DRAFT 2'!$D:$D=$B26),'DRAFT 2'!$S:$S),"")</f>
        <v>0</v>
      </c>
      <c r="AW26" t="s">
        <v>130</v>
      </c>
      <c r="AX26">
        <f>IFERROR(LOOKUP(2,1/('DRAFT 2'!$D:$D=$B26),'DRAFT 2'!$M:$M),"")</f>
        <v>0</v>
      </c>
      <c r="AY26">
        <f>IFERROR(LOOKUP(2,1/('DRAFT 2'!$D:$D=$B26),'DRAFT 2'!$K:$K),"")</f>
        <v>0</v>
      </c>
      <c r="BG26">
        <f>IFERROR(LOOKUP(2,1/('DRAFT 2'!$D:$D=$B26),'DRAFT 2'!$U:$U),"")</f>
        <v>0</v>
      </c>
      <c r="BH26">
        <f>IFERROR(LOOKUP(2,1/('DRAFT 2'!$D:$D=$B26),'DRAFT 2'!$V:$V),"")</f>
        <v>0</v>
      </c>
      <c r="CE26" t="str">
        <f t="shared" si="1"/>
        <v/>
      </c>
      <c r="CF26">
        <f>IFERROR(LOOKUP(2,1/('DRAFT 2'!$D:$D=$B26)*('DRAFT 2'!$A:$A&gt;=DATE(2026,1,1))*('DRAFT 2'!$A:$A&lt;DATE(2026,IF(1=12,1+1,1+1),1)),'DRAFT 2'!$A:$A),"")</f>
        <v>0</v>
      </c>
      <c r="CG26">
        <f>COUNTIFS('DRAFT 2'!$D:$D,$B26,'DRAFT 2'!$A:$A,"&gt;="&amp;DATE(2026,1,1),'DRAFT 2'!$A:$A,"&lt;="&amp;DATE(2026,1,7))</f>
        <v>0</v>
      </c>
      <c r="CH26">
        <f>COUNTIFS('DRAFT 2'!$D:$D,$B26,'DRAFT 2'!$A:$A,"&gt;="&amp;DATE(2026,1,8),'DRAFT 2'!$A:$A,"&lt;="&amp;DATE(2026,1,14))</f>
        <v>0</v>
      </c>
      <c r="CI26">
        <f>COUNTIFS('DRAFT 2'!$D:$D,$B26,'DRAFT 2'!$A:$A,"&gt;="&amp;DATE(2026,1,15),'DRAFT 2'!$A:$A,"&lt;="&amp;DATE(2026,1,21))</f>
        <v>0</v>
      </c>
      <c r="CJ26">
        <f>COUNTIFS('DRAFT 2'!$D:$D,$B26,'DRAFT 2'!$A:$A,"&gt;="&amp;DATE(2026,1,22),'DRAFT 2'!$A:$A,"&lt;"&amp;DATE(2026,IF(1=12,1+1,1+1),1))</f>
        <v>0</v>
      </c>
      <c r="CK26">
        <f t="shared" si="2"/>
        <v>0</v>
      </c>
      <c r="CT26">
        <v>0</v>
      </c>
      <c r="CU26">
        <f>IFERROR(LOOKUP(2,1/('DRAFT 2'!$D:$D=$B26)*('DRAFT 2'!$A:$A&gt;=DATE(2026,2,1))*('DRAFT 2'!$A:$A&lt;DATE(2026,IF(2=12,2+1,2+1),1)),'DRAFT 2'!$A:$A),"")</f>
        <v>0</v>
      </c>
      <c r="CV26">
        <f>COUNTIFS('DRAFT 2'!$D:$D,$B26,'DRAFT 2'!$A:$A,"&gt;="&amp;DATE(2026,2,1),'DRAFT 2'!$A:$A,"&lt;="&amp;DATE(2026,2,7))</f>
        <v>0</v>
      </c>
      <c r="CW26">
        <f>COUNTIFS('DRAFT 2'!$D:$D,$B26,'DRAFT 2'!$A:$A,"&gt;="&amp;DATE(2026,2,8),'DRAFT 2'!$A:$A,"&lt;="&amp;DATE(2026,2,14))</f>
        <v>0</v>
      </c>
      <c r="CX26">
        <f>COUNTIFS('DRAFT 2'!$D:$D,$B26,'DRAFT 2'!$A:$A,"&gt;="&amp;DATE(2026,2,15),'DRAFT 2'!$A:$A,"&lt;="&amp;DATE(2026,2,21))</f>
        <v>0</v>
      </c>
      <c r="CY26">
        <f>COUNTIFS('DRAFT 2'!$D:$D,$B26,'DRAFT 2'!$A:$A,"&gt;="&amp;DATE(2026,2,22),'DRAFT 2'!$A:$A,"&lt;"&amp;DATE(2026,IF(2=12,2+1,2+1),1))</f>
        <v>0</v>
      </c>
      <c r="CZ26">
        <f t="shared" si="3"/>
        <v>0</v>
      </c>
      <c r="DJ26">
        <f>IFERROR(LOOKUP(2,1/('DRAFT 2'!$D:$D=$B26)*('DRAFT 2'!$A:$A&gt;=DATE(2026,3,1))*('DRAFT 2'!$A:$A&lt;DATE(2026,IF(3=12,3+1,3+1),1)),'DRAFT 2'!$A:$A),"")</f>
        <v>0</v>
      </c>
      <c r="DK26">
        <f>COUNTIFS('DRAFT 2'!$D:$D,$B26,'DRAFT 2'!$A:$A,"&gt;="&amp;DATE(2026,3,1),'DRAFT 2'!$A:$A,"&lt;="&amp;DATE(2026,3,7))</f>
        <v>0</v>
      </c>
      <c r="DL26">
        <f>COUNTIFS('DRAFT 2'!$D:$D,$B26,'DRAFT 2'!$A:$A,"&gt;="&amp;DATE(2026,3,8),'DRAFT 2'!$A:$A,"&lt;="&amp;DATE(2026,3,14))</f>
        <v>0</v>
      </c>
      <c r="DM26">
        <f>COUNTIFS('DRAFT 2'!$D:$D,$B26,'DRAFT 2'!$A:$A,"&gt;="&amp;DATE(2026,3,15),'DRAFT 2'!$A:$A,"&lt;="&amp;DATE(2026,3,21))</f>
        <v>0</v>
      </c>
      <c r="DN26">
        <f>COUNTIFS('DRAFT 2'!$D:$D,$B26,'DRAFT 2'!$A:$A,"&gt;="&amp;DATE(2026,3,22),'DRAFT 2'!$A:$A,"&lt;"&amp;DATE(2026,IF(3=12,3+1,3+1),1))</f>
        <v>0</v>
      </c>
      <c r="DO26">
        <f t="shared" si="4"/>
        <v>0</v>
      </c>
      <c r="DZ26">
        <f>IFERROR(LOOKUP(2,1/('DRAFT 2'!$D:$D=$B26)*('DRAFT 2'!$A:$A&gt;=DATE(2026,4,1))*('DRAFT 2'!$A:$A&lt;DATE(2026,IF(4=12,4+1,4+1),1)),'DRAFT 2'!$A:$A),"")</f>
        <v>0</v>
      </c>
      <c r="EA26">
        <f>COUNTIFS('DRAFT 2'!$D:$D,$B26,'DRAFT 2'!$A:$A,"&gt;="&amp;DATE(2026,4,1),'DRAFT 2'!$A:$A,"&lt;="&amp;DATE(2026,4,7))</f>
        <v>0</v>
      </c>
      <c r="EB26">
        <f>COUNTIFS('DRAFT 2'!$D:$D,$B26,'DRAFT 2'!$A:$A,"&gt;="&amp;DATE(2026,4,8),'DRAFT 2'!$A:$A,"&lt;="&amp;DATE(2026,4,14))</f>
        <v>0</v>
      </c>
      <c r="EC26">
        <f>COUNTIFS('DRAFT 2'!$D:$D,$B26,'DRAFT 2'!$A:$A,"&gt;="&amp;DATE(2026,4,15),'DRAFT 2'!$A:$A,"&lt;="&amp;DATE(2026,4,21))</f>
        <v>0</v>
      </c>
      <c r="ED26">
        <f>COUNTIFS('DRAFT 2'!$D:$D,$B26,'DRAFT 2'!$A:$A,"&gt;="&amp;DATE(2026,4,22),'DRAFT 2'!$A:$A,"&lt;"&amp;DATE(2026,IF(4=12,4+1,4+1),1))</f>
        <v>0</v>
      </c>
      <c r="EE26">
        <f t="shared" si="5"/>
        <v>0</v>
      </c>
      <c r="EO26">
        <f>IFERROR(LOOKUP(2,1/('DRAFT 2'!$D:$D=$B26)*('DRAFT 2'!$A:$A&gt;=DATE(2026,5,1))*('DRAFT 2'!$A:$A&lt;DATE(2026,IF(5=12,5+1,5+1),1)),'DRAFT 2'!$A:$A),"")</f>
        <v>0</v>
      </c>
      <c r="EP26">
        <f>COUNTIFS('DRAFT 2'!$D:$D,$B26,'DRAFT 2'!$A:$A,"&gt;="&amp;DATE(2026,5,1),'DRAFT 2'!$A:$A,"&lt;="&amp;DATE(2026,5,7))</f>
        <v>0</v>
      </c>
      <c r="EQ26">
        <f>COUNTIFS('DRAFT 2'!$D:$D,$B26,'DRAFT 2'!$A:$A,"&gt;="&amp;DATE(2026,5,8),'DRAFT 2'!$A:$A,"&lt;="&amp;DATE(2026,5,14))</f>
        <v>0</v>
      </c>
      <c r="ER26">
        <f>COUNTIFS('DRAFT 2'!$D:$D,$B26,'DRAFT 2'!$A:$A,"&gt;="&amp;DATE(2026,5,15),'DRAFT 2'!$A:$A,"&lt;="&amp;DATE(2026,5,21))</f>
        <v>0</v>
      </c>
      <c r="ES26">
        <f>COUNTIFS('DRAFT 2'!$D:$D,$B26,'DRAFT 2'!$A:$A,"&gt;="&amp;DATE(2026,5,22),'DRAFT 2'!$A:$A,"&lt;"&amp;DATE(2026,IF(5=12,5+1,5+1),1))</f>
        <v>0</v>
      </c>
      <c r="ET26">
        <f t="shared" si="6"/>
        <v>0</v>
      </c>
      <c r="FD26">
        <f>IFERROR(LOOKUP(2,1/('DRAFT 2'!$D:$D=$B26)*('DRAFT 2'!$A:$A&gt;=DATE(2026,6,1))*('DRAFT 2'!$A:$A&lt;DATE(2026,IF(6=12,6+1,6+1),1)),'DRAFT 2'!$A:$A),"")</f>
        <v>0</v>
      </c>
      <c r="FE26">
        <f>COUNTIFS('DRAFT 2'!$D:$D,$B26,'DRAFT 2'!$A:$A,"&gt;="&amp;DATE(2026,6,1),'DRAFT 2'!$A:$A,"&lt;="&amp;DATE(2026,6,7))</f>
        <v>0</v>
      </c>
      <c r="FF26">
        <f>COUNTIFS('DRAFT 2'!$D:$D,$B26,'DRAFT 2'!$A:$A,"&gt;="&amp;DATE(2026,6,8),'DRAFT 2'!$A:$A,"&lt;="&amp;DATE(2026,6,14))</f>
        <v>0</v>
      </c>
      <c r="FG26">
        <f>COUNTIFS('DRAFT 2'!$D:$D,$B26,'DRAFT 2'!$A:$A,"&gt;="&amp;DATE(2026,6,15),'DRAFT 2'!$A:$A,"&lt;="&amp;DATE(2026,6,21))</f>
        <v>0</v>
      </c>
      <c r="FH26">
        <f>COUNTIFS('DRAFT 2'!$D:$D,$B26,'DRAFT 2'!$A:$A,"&gt;="&amp;DATE(2026,6,22),'DRAFT 2'!$A:$A,"&lt;"&amp;DATE(2026,IF(6=12,6+1,6+1),1))</f>
        <v>0</v>
      </c>
      <c r="FI26">
        <f t="shared" si="7"/>
        <v>0</v>
      </c>
      <c r="FT26">
        <f>IFERROR(LOOKUP(2,1/('DRAFT 2'!$D:$D=$B26)*('DRAFT 2'!$A:$A&gt;=DATE(2026,7,1))*('DRAFT 2'!$A:$A&lt;DATE(2026,IF(7=12,7+1,7+1),1)),'DRAFT 2'!$A:$A),"")</f>
        <v>0</v>
      </c>
      <c r="FU26">
        <f>COUNTIFS('DRAFT 2'!$D:$D,$B26,'DRAFT 2'!$A:$A,"&gt;="&amp;DATE(2026,7,1),'DRAFT 2'!$A:$A,"&lt;="&amp;DATE(2026,7,7))</f>
        <v>0</v>
      </c>
      <c r="FV26">
        <f>COUNTIFS('DRAFT 2'!$D:$D,$B26,'DRAFT 2'!$A:$A,"&gt;="&amp;DATE(2026,7,8),'DRAFT 2'!$A:$A,"&lt;="&amp;DATE(2026,7,14))</f>
        <v>0</v>
      </c>
      <c r="FW26">
        <f>COUNTIFS('DRAFT 2'!$D:$D,$B26,'DRAFT 2'!$A:$A,"&gt;="&amp;DATE(2026,7,15),'DRAFT 2'!$A:$A,"&lt;="&amp;DATE(2026,7,21))</f>
        <v>0</v>
      </c>
      <c r="FX26">
        <f>COUNTIFS('DRAFT 2'!$D:$D,$B26,'DRAFT 2'!$A:$A,"&gt;="&amp;DATE(2026,7,22),'DRAFT 2'!$A:$A,"&lt;"&amp;DATE(2026,IF(7=12,7+1,7+1),1))</f>
        <v>0</v>
      </c>
      <c r="FY26">
        <f t="shared" si="8"/>
        <v>0</v>
      </c>
      <c r="GI26">
        <f>IFERROR(LOOKUP(2,1/('DRAFT 2'!$D:$D=$B26)*('DRAFT 2'!$A:$A&gt;=DATE(2026,8,1))*('DRAFT 2'!$A:$A&lt;DATE(2026,IF(8=12,8+1,8+1),1)),'DRAFT 2'!$A:$A),"")</f>
        <v>0</v>
      </c>
      <c r="GJ26">
        <f>COUNTIFS('DRAFT 2'!$D:$D,$B26,'DRAFT 2'!$A:$A,"&gt;="&amp;DATE(2026,8,1),'DRAFT 2'!$A:$A,"&lt;="&amp;DATE(2026,8,7))</f>
        <v>0</v>
      </c>
      <c r="GK26">
        <f>COUNTIFS('DRAFT 2'!$D:$D,$B26,'DRAFT 2'!$A:$A,"&gt;="&amp;DATE(2026,8,8),'DRAFT 2'!$A:$A,"&lt;="&amp;DATE(2026,8,14))</f>
        <v>0</v>
      </c>
      <c r="GL26">
        <f>COUNTIFS('DRAFT 2'!$D:$D,$B26,'DRAFT 2'!$A:$A,"&gt;="&amp;DATE(2026,8,15),'DRAFT 2'!$A:$A,"&lt;="&amp;DATE(2026,8,21))</f>
        <v>0</v>
      </c>
      <c r="GM26">
        <f>COUNTIFS('DRAFT 2'!$D:$D,$B26,'DRAFT 2'!$A:$A,"&gt;="&amp;DATE(2026,8,22),'DRAFT 2'!$A:$A,"&lt;"&amp;DATE(2026,IF(8=12,8+1,8+1),1))</f>
        <v>0</v>
      </c>
      <c r="GN26">
        <f t="shared" si="9"/>
        <v>0</v>
      </c>
      <c r="GX26">
        <f>IFERROR(LOOKUP(2,1/('DRAFT 2'!$D:$D=$B26)*('DRAFT 2'!$A:$A&gt;=DATE(2026,9,1))*('DRAFT 2'!$A:$A&lt;DATE(2026,IF(9=12,9+1,9+1),1)),'DRAFT 2'!$A:$A),"")</f>
        <v>0</v>
      </c>
      <c r="GY26">
        <f>COUNTIFS('DRAFT 2'!$D:$D,$B26,'DRAFT 2'!$A:$A,"&gt;="&amp;DATE(2026,9,1),'DRAFT 2'!$A:$A,"&lt;="&amp;DATE(2026,9,7))</f>
        <v>0</v>
      </c>
      <c r="GZ26">
        <f>COUNTIFS('DRAFT 2'!$D:$D,$B26,'DRAFT 2'!$A:$A,"&gt;="&amp;DATE(2026,9,8),'DRAFT 2'!$A:$A,"&lt;="&amp;DATE(2026,9,14))</f>
        <v>0</v>
      </c>
      <c r="HA26">
        <f>COUNTIFS('DRAFT 2'!$D:$D,$B26,'DRAFT 2'!$A:$A,"&gt;="&amp;DATE(2026,9,15),'DRAFT 2'!$A:$A,"&lt;="&amp;DATE(2026,9,21))</f>
        <v>0</v>
      </c>
      <c r="HB26">
        <f>COUNTIFS('DRAFT 2'!$D:$D,$B26,'DRAFT 2'!$A:$A,"&gt;="&amp;DATE(2026,9,22),'DRAFT 2'!$A:$A,"&lt;"&amp;DATE(2026,IF(9=12,9+1,9+1),1))</f>
        <v>0</v>
      </c>
      <c r="HC26">
        <f t="shared" si="10"/>
        <v>0</v>
      </c>
      <c r="HN26">
        <f>IFERROR(LOOKUP(2,1/('DRAFT 2'!$D:$D=$B26)*('DRAFT 2'!$A:$A&gt;=DATE(2026,10,1))*('DRAFT 2'!$A:$A&lt;DATE(2026,IF(10=12,10+1,10+1),1)),'DRAFT 2'!$A:$A),"")</f>
        <v>0</v>
      </c>
      <c r="HO26">
        <f>COUNTIFS('DRAFT 2'!$D:$D,$B26,'DRAFT 2'!$A:$A,"&gt;="&amp;DATE(2026,10,1),'DRAFT 2'!$A:$A,"&lt;="&amp;DATE(2026,10,7))</f>
        <v>0</v>
      </c>
      <c r="HP26">
        <f>COUNTIFS('DRAFT 2'!$D:$D,$B26,'DRAFT 2'!$A:$A,"&gt;="&amp;DATE(2026,10,8),'DRAFT 2'!$A:$A,"&lt;="&amp;DATE(2026,10,14))</f>
        <v>0</v>
      </c>
      <c r="HQ26">
        <f>COUNTIFS('DRAFT 2'!$D:$D,$B26,'DRAFT 2'!$A:$A,"&gt;="&amp;DATE(2026,10,15),'DRAFT 2'!$A:$A,"&lt;="&amp;DATE(2026,10,21))</f>
        <v>0</v>
      </c>
      <c r="HR26">
        <f>COUNTIFS('DRAFT 2'!$D:$D,$B26,'DRAFT 2'!$A:$A,"&gt;="&amp;DATE(2026,10,22),'DRAFT 2'!$A:$A,"&lt;"&amp;DATE(2026,IF(10=12,10+1,10+1),1))</f>
        <v>0</v>
      </c>
      <c r="HS26">
        <f t="shared" si="11"/>
        <v>0</v>
      </c>
      <c r="IC26">
        <f>IFERROR(LOOKUP(2,1/('DRAFT 2'!$D:$D=$B26)*('DRAFT 2'!$A:$A&gt;=DATE(2026,11,1))*('DRAFT 2'!$A:$A&lt;DATE(2026,IF(11=12,11+1,11+1),1)),'DRAFT 2'!$A:$A),"")</f>
        <v>0</v>
      </c>
      <c r="ID26">
        <f>COUNTIFS('DRAFT 2'!$D:$D,$B26,'DRAFT 2'!$A:$A,"&gt;="&amp;DATE(2026,11,1),'DRAFT 2'!$A:$A,"&lt;="&amp;DATE(2026,11,7))</f>
        <v>0</v>
      </c>
      <c r="IE26">
        <f>COUNTIFS('DRAFT 2'!$D:$D,$B26,'DRAFT 2'!$A:$A,"&gt;="&amp;DATE(2026,11,8),'DRAFT 2'!$A:$A,"&lt;="&amp;DATE(2026,11,14))</f>
        <v>0</v>
      </c>
      <c r="IF26">
        <f>COUNTIFS('DRAFT 2'!$D:$D,$B26,'DRAFT 2'!$A:$A,"&gt;="&amp;DATE(2026,11,15),'DRAFT 2'!$A:$A,"&lt;="&amp;DATE(2026,11,21))</f>
        <v>0</v>
      </c>
      <c r="IG26">
        <f>COUNTIFS('DRAFT 2'!$D:$D,$B26,'DRAFT 2'!$A:$A,"&gt;="&amp;DATE(2026,11,22),'DRAFT 2'!$A:$A,"&lt;"&amp;DATE(2026,IF(11=12,11+1,11+1),1))</f>
        <v>0</v>
      </c>
      <c r="IH26">
        <f t="shared" si="12"/>
        <v>0</v>
      </c>
      <c r="IR26">
        <f>IFERROR(LOOKUP(2,1/('DRAFT 2'!$D:$D=$B26)*('DRAFT 2'!$A:$A&gt;=DATE(2026,12,1))*('DRAFT 2'!$A:$A&lt;DATE(2026,IF(12=12,12+1,12+1),1)),'DRAFT 2'!$A:$A),"")</f>
        <v>0</v>
      </c>
      <c r="IS26">
        <f>COUNTIFS('DRAFT 2'!$D:$D,$B26,'DRAFT 2'!$A:$A,"&gt;="&amp;DATE(2026,12,1),'DRAFT 2'!$A:$A,"&lt;="&amp;DATE(2026,12,7))</f>
        <v>0</v>
      </c>
      <c r="IT26">
        <f>COUNTIFS('DRAFT 2'!$D:$D,$B26,'DRAFT 2'!$A:$A,"&gt;="&amp;DATE(2026,12,8),'DRAFT 2'!$A:$A,"&lt;="&amp;DATE(2026,12,14))</f>
        <v>0</v>
      </c>
      <c r="IU26">
        <f>COUNTIFS('DRAFT 2'!$D:$D,$B26,'DRAFT 2'!$A:$A,"&gt;="&amp;DATE(2026,12,15),'DRAFT 2'!$A:$A,"&lt;="&amp;DATE(2026,12,21))</f>
        <v>0</v>
      </c>
      <c r="IV26">
        <f>COUNTIFS('DRAFT 2'!$D:$D,$B26,'DRAFT 2'!$A:$A,"&gt;="&amp;DATE(2026,12,22),'DRAFT 2'!$A:$A,"&lt;"&amp;DATE(2026,IF(12=12,12+1,12+1),1))</f>
        <v>0</v>
      </c>
      <c r="IW26">
        <f t="shared" si="13"/>
        <v>0</v>
      </c>
    </row>
    <row r="27" spans="1:257" x14ac:dyDescent="0.3">
      <c r="A27" t="str">
        <f>IFERROR(INDEX('DRAFT 1'!$A:$A,MATCH($B27,'DRAFT 1'!$B:$B,0)),"")</f>
        <v/>
      </c>
      <c r="C27" t="str">
        <f>IFERROR(INDEX('DRAFT 1'!$C:$C,MATCH($B27,'DRAFT 1'!$B:$B,0)),"")</f>
        <v/>
      </c>
      <c r="D27" t="str">
        <f>IFERROR(INDEX('DRAFT 1'!$D:$D,MATCH($B27,'DRAFT 1'!$B:$B,0)),"")</f>
        <v/>
      </c>
      <c r="E27" t="str">
        <f>IFERROR(INDEX('DRAFT 1'!$E:$E,MATCH($B27,'DRAFT 1'!$B:$B,0)),"")</f>
        <v/>
      </c>
      <c r="F27" t="str">
        <f>IFERROR(INDEX('DRAFT 1'!$F:$F,MATCH($B27,'DRAFT 1'!$B:$B,0)),"")</f>
        <v/>
      </c>
      <c r="G27" t="str">
        <f>IFERROR(INDEX('DRAFT 1'!$G:$G,MATCH($B27,'DRAFT 1'!$B:$B,0)),"")</f>
        <v/>
      </c>
      <c r="H27" t="str">
        <f>IFERROR(INDEX('DRAFT 1'!$H:$H,MATCH($B27,'DRAFT 1'!$B:$B,0)),"")</f>
        <v/>
      </c>
      <c r="I27" t="s">
        <v>286</v>
      </c>
      <c r="K27" t="str">
        <f>IFERROR(INDEX('DRAFT 1'!$AL:$AL,MATCH($B27,'DRAFT 1'!$B:$B,0)),"")</f>
        <v/>
      </c>
      <c r="L27" t="str">
        <f>IFERROR(INDEX('DRAFT 1'!$J:$J,MATCH($B27,'DRAFT 1'!$B:$B,0)),"")</f>
        <v/>
      </c>
      <c r="M27" t="str">
        <f>IFERROR(INDEX('DRAFT 1'!$K:$K,MATCH($B27,'DRAFT 1'!$B:$B,0)),"")</f>
        <v/>
      </c>
      <c r="N27" t="s">
        <v>71</v>
      </c>
      <c r="P27" t="str">
        <f>IFERROR(INDEX('DRAFT 1'!$L:$L,MATCH($B27,'DRAFT 1'!$B:$B,0)),"")</f>
        <v/>
      </c>
      <c r="Q27" t="str">
        <f>IFERROR(INDEX('DRAFT 1'!$M:$M,MATCH($B27,'DRAFT 1'!$B:$B,0)),"")</f>
        <v/>
      </c>
      <c r="R27" t="str">
        <f>IFERROR(INDEX('DRAFT 1'!$N:$N,MATCH($B27,'DRAFT 1'!$B:$B,0)),"")</f>
        <v/>
      </c>
      <c r="S27" t="str">
        <f>IFERROR(INDEX('DRAFT 1'!$O:$O,MATCH($B27,'DRAFT 1'!$B:$B,0)),"")</f>
        <v/>
      </c>
      <c r="T27" t="str">
        <f>IFERROR(INDEX('DRAFT 1'!$P:$P,MATCH($B27,'DRAFT 1'!$B:$B,0)),"")</f>
        <v/>
      </c>
      <c r="U27" t="str">
        <f>IFERROR(INDEX('DRAFT 1'!$Q:$Q,MATCH($B27,'DRAFT 1'!$B:$B,0)),"")</f>
        <v/>
      </c>
      <c r="V27" t="str">
        <f>IFERROR(INDEX('DRAFT 1'!$R:$R,MATCH($B27,'DRAFT 1'!$B:$B,0)),"")</f>
        <v/>
      </c>
      <c r="W27" t="str">
        <f>IFERROR(INDEX('DRAFT 1'!$S:$S,MATCH($B27,'DRAFT 1'!$B:$B,0)),"")</f>
        <v/>
      </c>
      <c r="X27" t="str">
        <f>IFERROR(INDEX('DRAFT 1'!$T:$T,MATCH($B27,'DRAFT 1'!$B:$B,0)),"")</f>
        <v/>
      </c>
      <c r="Z27" t="str">
        <f>IFERROR(INDEX('DRAFT 1'!$U:$U,MATCH($B27,'DRAFT 1'!$B:$B,0)),"")</f>
        <v/>
      </c>
      <c r="AA27" t="str">
        <f>IFERROR(INDEX('DRAFT 1'!$V:$V,MATCH($B27,'DRAFT 1'!$B:$B,0)),"")</f>
        <v/>
      </c>
      <c r="AB27" t="str">
        <f>IFERROR(INDEX('DRAFT 1'!$W:$W,MATCH($B27,'DRAFT 1'!$B:$B,0)),"")</f>
        <v/>
      </c>
      <c r="AC27" t="str">
        <f>IFERROR(INDEX('DRAFT 1'!$X:$X,MATCH($B27,'DRAFT 1'!$B:$B,0)),"")</f>
        <v/>
      </c>
      <c r="AD27" t="str">
        <f>IFERROR(INDEX('DRAFT 1'!$Y:$Y,MATCH($B27,'DRAFT 1'!$B:$B,0)),"")</f>
        <v/>
      </c>
      <c r="AE27" t="str">
        <f>IFERROR(INDEX('DRAFT 1'!$Z:$Z,MATCH($B27,'DRAFT 1'!$B:$B,0)),"")</f>
        <v/>
      </c>
      <c r="AF27" t="str">
        <f>IFERROR(INDEX('DRAFT 1'!$AA:$AA,MATCH($B27,'DRAFT 1'!$B:$B,0)),"")</f>
        <v/>
      </c>
      <c r="AG27" t="str">
        <f>IFERROR(INDEX('DRAFT 1'!$AB:$AB,MATCH($B27,'DRAFT 1'!$B:$B,0)),"")</f>
        <v/>
      </c>
      <c r="AH27" t="str">
        <f>IFERROR(INDEX('DRAFT 1'!$AC:$AC,MATCH($B27,'DRAFT 1'!$B:$B,0)),"")</f>
        <v/>
      </c>
      <c r="AI27" t="str">
        <f>IFERROR(INDEX('DRAFT 1'!$AD:$AD,MATCH($B27,'DRAFT 1'!$B:$B,0)),"")</f>
        <v/>
      </c>
      <c r="AJ27" t="str">
        <f>IFERROR(INDEX('DRAFT 1'!$AE:$AE,MATCH($B27,'DRAFT 1'!$B:$B,0)),"")</f>
        <v/>
      </c>
      <c r="AK27" t="str">
        <f>IFERROR(INDEX('DRAFT 1'!$AG:$AG,MATCH($B27,'DRAFT 1'!$B:$B,0)),"")</f>
        <v/>
      </c>
      <c r="AL27" t="str">
        <f>IFERROR(INDEX('DRAFT 1'!$AH:$AH,MATCH($B27,'DRAFT 1'!$B:$B,0)),"")</f>
        <v/>
      </c>
      <c r="AM27" t="str">
        <f>IFERROR(INDEX('DRAFT 1'!$AI:$AI,MATCH($B27,'DRAFT 1'!$B:$B,0)),"")</f>
        <v/>
      </c>
      <c r="AN27" t="str">
        <f>IFERROR(INDEX('DRAFT 1'!$AJ:$AJ,MATCH($B27,'DRAFT 1'!$B:$B,0)),"")</f>
        <v/>
      </c>
      <c r="AO27">
        <f t="shared" si="0"/>
        <v>0</v>
      </c>
      <c r="AP27" t="str">
        <f>IFERROR(INDEX('DRAFT 1'!$AK:$AK,MATCH($B27,'DRAFT 1'!$B:$B,0)),"")</f>
        <v/>
      </c>
      <c r="AR27" t="s">
        <v>92</v>
      </c>
      <c r="AS27">
        <f>IFERROR(LOOKUP(2,1/('DRAFT 2'!$D:$D=$B27),'DRAFT 2'!$T:$T),"")</f>
        <v>0</v>
      </c>
      <c r="AT27">
        <f>IFERROR(LOOKUP(2,1/('DRAFT 2'!$D:$D=$B27),'DRAFT 2'!$A:$A),"")</f>
        <v>0</v>
      </c>
      <c r="AU27">
        <f>IFERROR(LOOKUP(2,1/('DRAFT 2'!$D:$D=$B27),'DRAFT 2'!$R:$R),"")</f>
        <v>0</v>
      </c>
      <c r="AV27">
        <f>IFERROR(LOOKUP(2,1/('DRAFT 2'!$D:$D=$B27),'DRAFT 2'!$S:$S),"")</f>
        <v>0</v>
      </c>
      <c r="AW27" t="s">
        <v>130</v>
      </c>
      <c r="AX27">
        <f>IFERROR(LOOKUP(2,1/('DRAFT 2'!$D:$D=$B27),'DRAFT 2'!$M:$M),"")</f>
        <v>0</v>
      </c>
      <c r="AY27">
        <f>IFERROR(LOOKUP(2,1/('DRAFT 2'!$D:$D=$B27),'DRAFT 2'!$K:$K),"")</f>
        <v>0</v>
      </c>
      <c r="BG27">
        <f>IFERROR(LOOKUP(2,1/('DRAFT 2'!$D:$D=$B27),'DRAFT 2'!$U:$U),"")</f>
        <v>0</v>
      </c>
      <c r="BH27">
        <f>IFERROR(LOOKUP(2,1/('DRAFT 2'!$D:$D=$B27),'DRAFT 2'!$V:$V),"")</f>
        <v>0</v>
      </c>
      <c r="CE27" t="str">
        <f t="shared" si="1"/>
        <v/>
      </c>
      <c r="CF27">
        <f>IFERROR(LOOKUP(2,1/('DRAFT 2'!$D:$D=$B27)*('DRAFT 2'!$A:$A&gt;=DATE(2026,1,1))*('DRAFT 2'!$A:$A&lt;DATE(2026,IF(1=12,1+1,1+1),1)),'DRAFT 2'!$A:$A),"")</f>
        <v>0</v>
      </c>
      <c r="CG27">
        <f>COUNTIFS('DRAFT 2'!$D:$D,$B27,'DRAFT 2'!$A:$A,"&gt;="&amp;DATE(2026,1,1),'DRAFT 2'!$A:$A,"&lt;="&amp;DATE(2026,1,7))</f>
        <v>0</v>
      </c>
      <c r="CH27">
        <f>COUNTIFS('DRAFT 2'!$D:$D,$B27,'DRAFT 2'!$A:$A,"&gt;="&amp;DATE(2026,1,8),'DRAFT 2'!$A:$A,"&lt;="&amp;DATE(2026,1,14))</f>
        <v>0</v>
      </c>
      <c r="CI27">
        <f>COUNTIFS('DRAFT 2'!$D:$D,$B27,'DRAFT 2'!$A:$A,"&gt;="&amp;DATE(2026,1,15),'DRAFT 2'!$A:$A,"&lt;="&amp;DATE(2026,1,21))</f>
        <v>0</v>
      </c>
      <c r="CJ27">
        <f>COUNTIFS('DRAFT 2'!$D:$D,$B27,'DRAFT 2'!$A:$A,"&gt;="&amp;DATE(2026,1,22),'DRAFT 2'!$A:$A,"&lt;"&amp;DATE(2026,IF(1=12,1+1,1+1),1))</f>
        <v>0</v>
      </c>
      <c r="CK27">
        <f t="shared" si="2"/>
        <v>0</v>
      </c>
      <c r="CT27">
        <v>0</v>
      </c>
      <c r="CU27">
        <f>IFERROR(LOOKUP(2,1/('DRAFT 2'!$D:$D=$B27)*('DRAFT 2'!$A:$A&gt;=DATE(2026,2,1))*('DRAFT 2'!$A:$A&lt;DATE(2026,IF(2=12,2+1,2+1),1)),'DRAFT 2'!$A:$A),"")</f>
        <v>0</v>
      </c>
      <c r="CV27">
        <f>COUNTIFS('DRAFT 2'!$D:$D,$B27,'DRAFT 2'!$A:$A,"&gt;="&amp;DATE(2026,2,1),'DRAFT 2'!$A:$A,"&lt;="&amp;DATE(2026,2,7))</f>
        <v>0</v>
      </c>
      <c r="CW27">
        <f>COUNTIFS('DRAFT 2'!$D:$D,$B27,'DRAFT 2'!$A:$A,"&gt;="&amp;DATE(2026,2,8),'DRAFT 2'!$A:$A,"&lt;="&amp;DATE(2026,2,14))</f>
        <v>0</v>
      </c>
      <c r="CX27">
        <f>COUNTIFS('DRAFT 2'!$D:$D,$B27,'DRAFT 2'!$A:$A,"&gt;="&amp;DATE(2026,2,15),'DRAFT 2'!$A:$A,"&lt;="&amp;DATE(2026,2,21))</f>
        <v>0</v>
      </c>
      <c r="CY27">
        <f>COUNTIFS('DRAFT 2'!$D:$D,$B27,'DRAFT 2'!$A:$A,"&gt;="&amp;DATE(2026,2,22),'DRAFT 2'!$A:$A,"&lt;"&amp;DATE(2026,IF(2=12,2+1,2+1),1))</f>
        <v>0</v>
      </c>
      <c r="CZ27">
        <f t="shared" si="3"/>
        <v>0</v>
      </c>
      <c r="DJ27">
        <f>IFERROR(LOOKUP(2,1/('DRAFT 2'!$D:$D=$B27)*('DRAFT 2'!$A:$A&gt;=DATE(2026,3,1))*('DRAFT 2'!$A:$A&lt;DATE(2026,IF(3=12,3+1,3+1),1)),'DRAFT 2'!$A:$A),"")</f>
        <v>0</v>
      </c>
      <c r="DK27">
        <f>COUNTIFS('DRAFT 2'!$D:$D,$B27,'DRAFT 2'!$A:$A,"&gt;="&amp;DATE(2026,3,1),'DRAFT 2'!$A:$A,"&lt;="&amp;DATE(2026,3,7))</f>
        <v>0</v>
      </c>
      <c r="DL27">
        <f>COUNTIFS('DRAFT 2'!$D:$D,$B27,'DRAFT 2'!$A:$A,"&gt;="&amp;DATE(2026,3,8),'DRAFT 2'!$A:$A,"&lt;="&amp;DATE(2026,3,14))</f>
        <v>0</v>
      </c>
      <c r="DM27">
        <f>COUNTIFS('DRAFT 2'!$D:$D,$B27,'DRAFT 2'!$A:$A,"&gt;="&amp;DATE(2026,3,15),'DRAFT 2'!$A:$A,"&lt;="&amp;DATE(2026,3,21))</f>
        <v>0</v>
      </c>
      <c r="DN27">
        <f>COUNTIFS('DRAFT 2'!$D:$D,$B27,'DRAFT 2'!$A:$A,"&gt;="&amp;DATE(2026,3,22),'DRAFT 2'!$A:$A,"&lt;"&amp;DATE(2026,IF(3=12,3+1,3+1),1))</f>
        <v>0</v>
      </c>
      <c r="DO27">
        <f t="shared" si="4"/>
        <v>0</v>
      </c>
      <c r="DZ27">
        <f>IFERROR(LOOKUP(2,1/('DRAFT 2'!$D:$D=$B27)*('DRAFT 2'!$A:$A&gt;=DATE(2026,4,1))*('DRAFT 2'!$A:$A&lt;DATE(2026,IF(4=12,4+1,4+1),1)),'DRAFT 2'!$A:$A),"")</f>
        <v>0</v>
      </c>
      <c r="EA27">
        <f>COUNTIFS('DRAFT 2'!$D:$D,$B27,'DRAFT 2'!$A:$A,"&gt;="&amp;DATE(2026,4,1),'DRAFT 2'!$A:$A,"&lt;="&amp;DATE(2026,4,7))</f>
        <v>0</v>
      </c>
      <c r="EB27">
        <f>COUNTIFS('DRAFT 2'!$D:$D,$B27,'DRAFT 2'!$A:$A,"&gt;="&amp;DATE(2026,4,8),'DRAFT 2'!$A:$A,"&lt;="&amp;DATE(2026,4,14))</f>
        <v>0</v>
      </c>
      <c r="EC27">
        <f>COUNTIFS('DRAFT 2'!$D:$D,$B27,'DRAFT 2'!$A:$A,"&gt;="&amp;DATE(2026,4,15),'DRAFT 2'!$A:$A,"&lt;="&amp;DATE(2026,4,21))</f>
        <v>0</v>
      </c>
      <c r="ED27">
        <f>COUNTIFS('DRAFT 2'!$D:$D,$B27,'DRAFT 2'!$A:$A,"&gt;="&amp;DATE(2026,4,22),'DRAFT 2'!$A:$A,"&lt;"&amp;DATE(2026,IF(4=12,4+1,4+1),1))</f>
        <v>0</v>
      </c>
      <c r="EE27">
        <f t="shared" si="5"/>
        <v>0</v>
      </c>
      <c r="EO27">
        <f>IFERROR(LOOKUP(2,1/('DRAFT 2'!$D:$D=$B27)*('DRAFT 2'!$A:$A&gt;=DATE(2026,5,1))*('DRAFT 2'!$A:$A&lt;DATE(2026,IF(5=12,5+1,5+1),1)),'DRAFT 2'!$A:$A),"")</f>
        <v>0</v>
      </c>
      <c r="EP27">
        <f>COUNTIFS('DRAFT 2'!$D:$D,$B27,'DRAFT 2'!$A:$A,"&gt;="&amp;DATE(2026,5,1),'DRAFT 2'!$A:$A,"&lt;="&amp;DATE(2026,5,7))</f>
        <v>0</v>
      </c>
      <c r="EQ27">
        <f>COUNTIFS('DRAFT 2'!$D:$D,$B27,'DRAFT 2'!$A:$A,"&gt;="&amp;DATE(2026,5,8),'DRAFT 2'!$A:$A,"&lt;="&amp;DATE(2026,5,14))</f>
        <v>0</v>
      </c>
      <c r="ER27">
        <f>COUNTIFS('DRAFT 2'!$D:$D,$B27,'DRAFT 2'!$A:$A,"&gt;="&amp;DATE(2026,5,15),'DRAFT 2'!$A:$A,"&lt;="&amp;DATE(2026,5,21))</f>
        <v>0</v>
      </c>
      <c r="ES27">
        <f>COUNTIFS('DRAFT 2'!$D:$D,$B27,'DRAFT 2'!$A:$A,"&gt;="&amp;DATE(2026,5,22),'DRAFT 2'!$A:$A,"&lt;"&amp;DATE(2026,IF(5=12,5+1,5+1),1))</f>
        <v>0</v>
      </c>
      <c r="ET27">
        <f t="shared" si="6"/>
        <v>0</v>
      </c>
      <c r="FD27">
        <f>IFERROR(LOOKUP(2,1/('DRAFT 2'!$D:$D=$B27)*('DRAFT 2'!$A:$A&gt;=DATE(2026,6,1))*('DRAFT 2'!$A:$A&lt;DATE(2026,IF(6=12,6+1,6+1),1)),'DRAFT 2'!$A:$A),"")</f>
        <v>0</v>
      </c>
      <c r="FE27">
        <f>COUNTIFS('DRAFT 2'!$D:$D,$B27,'DRAFT 2'!$A:$A,"&gt;="&amp;DATE(2026,6,1),'DRAFT 2'!$A:$A,"&lt;="&amp;DATE(2026,6,7))</f>
        <v>0</v>
      </c>
      <c r="FF27">
        <f>COUNTIFS('DRAFT 2'!$D:$D,$B27,'DRAFT 2'!$A:$A,"&gt;="&amp;DATE(2026,6,8),'DRAFT 2'!$A:$A,"&lt;="&amp;DATE(2026,6,14))</f>
        <v>0</v>
      </c>
      <c r="FG27">
        <f>COUNTIFS('DRAFT 2'!$D:$D,$B27,'DRAFT 2'!$A:$A,"&gt;="&amp;DATE(2026,6,15),'DRAFT 2'!$A:$A,"&lt;="&amp;DATE(2026,6,21))</f>
        <v>0</v>
      </c>
      <c r="FH27">
        <f>COUNTIFS('DRAFT 2'!$D:$D,$B27,'DRAFT 2'!$A:$A,"&gt;="&amp;DATE(2026,6,22),'DRAFT 2'!$A:$A,"&lt;"&amp;DATE(2026,IF(6=12,6+1,6+1),1))</f>
        <v>0</v>
      </c>
      <c r="FI27">
        <f t="shared" si="7"/>
        <v>0</v>
      </c>
      <c r="FT27">
        <f>IFERROR(LOOKUP(2,1/('DRAFT 2'!$D:$D=$B27)*('DRAFT 2'!$A:$A&gt;=DATE(2026,7,1))*('DRAFT 2'!$A:$A&lt;DATE(2026,IF(7=12,7+1,7+1),1)),'DRAFT 2'!$A:$A),"")</f>
        <v>0</v>
      </c>
      <c r="FU27">
        <f>COUNTIFS('DRAFT 2'!$D:$D,$B27,'DRAFT 2'!$A:$A,"&gt;="&amp;DATE(2026,7,1),'DRAFT 2'!$A:$A,"&lt;="&amp;DATE(2026,7,7))</f>
        <v>0</v>
      </c>
      <c r="FV27">
        <f>COUNTIFS('DRAFT 2'!$D:$D,$B27,'DRAFT 2'!$A:$A,"&gt;="&amp;DATE(2026,7,8),'DRAFT 2'!$A:$A,"&lt;="&amp;DATE(2026,7,14))</f>
        <v>0</v>
      </c>
      <c r="FW27">
        <f>COUNTIFS('DRAFT 2'!$D:$D,$B27,'DRAFT 2'!$A:$A,"&gt;="&amp;DATE(2026,7,15),'DRAFT 2'!$A:$A,"&lt;="&amp;DATE(2026,7,21))</f>
        <v>0</v>
      </c>
      <c r="FX27">
        <f>COUNTIFS('DRAFT 2'!$D:$D,$B27,'DRAFT 2'!$A:$A,"&gt;="&amp;DATE(2026,7,22),'DRAFT 2'!$A:$A,"&lt;"&amp;DATE(2026,IF(7=12,7+1,7+1),1))</f>
        <v>0</v>
      </c>
      <c r="FY27">
        <f t="shared" si="8"/>
        <v>0</v>
      </c>
      <c r="GI27">
        <f>IFERROR(LOOKUP(2,1/('DRAFT 2'!$D:$D=$B27)*('DRAFT 2'!$A:$A&gt;=DATE(2026,8,1))*('DRAFT 2'!$A:$A&lt;DATE(2026,IF(8=12,8+1,8+1),1)),'DRAFT 2'!$A:$A),"")</f>
        <v>0</v>
      </c>
      <c r="GJ27">
        <f>COUNTIFS('DRAFT 2'!$D:$D,$B27,'DRAFT 2'!$A:$A,"&gt;="&amp;DATE(2026,8,1),'DRAFT 2'!$A:$A,"&lt;="&amp;DATE(2026,8,7))</f>
        <v>0</v>
      </c>
      <c r="GK27">
        <f>COUNTIFS('DRAFT 2'!$D:$D,$B27,'DRAFT 2'!$A:$A,"&gt;="&amp;DATE(2026,8,8),'DRAFT 2'!$A:$A,"&lt;="&amp;DATE(2026,8,14))</f>
        <v>0</v>
      </c>
      <c r="GL27">
        <f>COUNTIFS('DRAFT 2'!$D:$D,$B27,'DRAFT 2'!$A:$A,"&gt;="&amp;DATE(2026,8,15),'DRAFT 2'!$A:$A,"&lt;="&amp;DATE(2026,8,21))</f>
        <v>0</v>
      </c>
      <c r="GM27">
        <f>COUNTIFS('DRAFT 2'!$D:$D,$B27,'DRAFT 2'!$A:$A,"&gt;="&amp;DATE(2026,8,22),'DRAFT 2'!$A:$A,"&lt;"&amp;DATE(2026,IF(8=12,8+1,8+1),1))</f>
        <v>0</v>
      </c>
      <c r="GN27">
        <f t="shared" si="9"/>
        <v>0</v>
      </c>
      <c r="GX27">
        <f>IFERROR(LOOKUP(2,1/('DRAFT 2'!$D:$D=$B27)*('DRAFT 2'!$A:$A&gt;=DATE(2026,9,1))*('DRAFT 2'!$A:$A&lt;DATE(2026,IF(9=12,9+1,9+1),1)),'DRAFT 2'!$A:$A),"")</f>
        <v>0</v>
      </c>
      <c r="GY27">
        <f>COUNTIFS('DRAFT 2'!$D:$D,$B27,'DRAFT 2'!$A:$A,"&gt;="&amp;DATE(2026,9,1),'DRAFT 2'!$A:$A,"&lt;="&amp;DATE(2026,9,7))</f>
        <v>0</v>
      </c>
      <c r="GZ27">
        <f>COUNTIFS('DRAFT 2'!$D:$D,$B27,'DRAFT 2'!$A:$A,"&gt;="&amp;DATE(2026,9,8),'DRAFT 2'!$A:$A,"&lt;="&amp;DATE(2026,9,14))</f>
        <v>0</v>
      </c>
      <c r="HA27">
        <f>COUNTIFS('DRAFT 2'!$D:$D,$B27,'DRAFT 2'!$A:$A,"&gt;="&amp;DATE(2026,9,15),'DRAFT 2'!$A:$A,"&lt;="&amp;DATE(2026,9,21))</f>
        <v>0</v>
      </c>
      <c r="HB27">
        <f>COUNTIFS('DRAFT 2'!$D:$D,$B27,'DRAFT 2'!$A:$A,"&gt;="&amp;DATE(2026,9,22),'DRAFT 2'!$A:$A,"&lt;"&amp;DATE(2026,IF(9=12,9+1,9+1),1))</f>
        <v>0</v>
      </c>
      <c r="HC27">
        <f t="shared" si="10"/>
        <v>0</v>
      </c>
      <c r="HN27">
        <f>IFERROR(LOOKUP(2,1/('DRAFT 2'!$D:$D=$B27)*('DRAFT 2'!$A:$A&gt;=DATE(2026,10,1))*('DRAFT 2'!$A:$A&lt;DATE(2026,IF(10=12,10+1,10+1),1)),'DRAFT 2'!$A:$A),"")</f>
        <v>0</v>
      </c>
      <c r="HO27">
        <f>COUNTIFS('DRAFT 2'!$D:$D,$B27,'DRAFT 2'!$A:$A,"&gt;="&amp;DATE(2026,10,1),'DRAFT 2'!$A:$A,"&lt;="&amp;DATE(2026,10,7))</f>
        <v>0</v>
      </c>
      <c r="HP27">
        <f>COUNTIFS('DRAFT 2'!$D:$D,$B27,'DRAFT 2'!$A:$A,"&gt;="&amp;DATE(2026,10,8),'DRAFT 2'!$A:$A,"&lt;="&amp;DATE(2026,10,14))</f>
        <v>0</v>
      </c>
      <c r="HQ27">
        <f>COUNTIFS('DRAFT 2'!$D:$D,$B27,'DRAFT 2'!$A:$A,"&gt;="&amp;DATE(2026,10,15),'DRAFT 2'!$A:$A,"&lt;="&amp;DATE(2026,10,21))</f>
        <v>0</v>
      </c>
      <c r="HR27">
        <f>COUNTIFS('DRAFT 2'!$D:$D,$B27,'DRAFT 2'!$A:$A,"&gt;="&amp;DATE(2026,10,22),'DRAFT 2'!$A:$A,"&lt;"&amp;DATE(2026,IF(10=12,10+1,10+1),1))</f>
        <v>0</v>
      </c>
      <c r="HS27">
        <f t="shared" si="11"/>
        <v>0</v>
      </c>
      <c r="IC27">
        <f>IFERROR(LOOKUP(2,1/('DRAFT 2'!$D:$D=$B27)*('DRAFT 2'!$A:$A&gt;=DATE(2026,11,1))*('DRAFT 2'!$A:$A&lt;DATE(2026,IF(11=12,11+1,11+1),1)),'DRAFT 2'!$A:$A),"")</f>
        <v>0</v>
      </c>
      <c r="ID27">
        <f>COUNTIFS('DRAFT 2'!$D:$D,$B27,'DRAFT 2'!$A:$A,"&gt;="&amp;DATE(2026,11,1),'DRAFT 2'!$A:$A,"&lt;="&amp;DATE(2026,11,7))</f>
        <v>0</v>
      </c>
      <c r="IE27">
        <f>COUNTIFS('DRAFT 2'!$D:$D,$B27,'DRAFT 2'!$A:$A,"&gt;="&amp;DATE(2026,11,8),'DRAFT 2'!$A:$A,"&lt;="&amp;DATE(2026,11,14))</f>
        <v>0</v>
      </c>
      <c r="IF27">
        <f>COUNTIFS('DRAFT 2'!$D:$D,$B27,'DRAFT 2'!$A:$A,"&gt;="&amp;DATE(2026,11,15),'DRAFT 2'!$A:$A,"&lt;="&amp;DATE(2026,11,21))</f>
        <v>0</v>
      </c>
      <c r="IG27">
        <f>COUNTIFS('DRAFT 2'!$D:$D,$B27,'DRAFT 2'!$A:$A,"&gt;="&amp;DATE(2026,11,22),'DRAFT 2'!$A:$A,"&lt;"&amp;DATE(2026,IF(11=12,11+1,11+1),1))</f>
        <v>0</v>
      </c>
      <c r="IH27">
        <f t="shared" si="12"/>
        <v>0</v>
      </c>
      <c r="IR27">
        <f>IFERROR(LOOKUP(2,1/('DRAFT 2'!$D:$D=$B27)*('DRAFT 2'!$A:$A&gt;=DATE(2026,12,1))*('DRAFT 2'!$A:$A&lt;DATE(2026,IF(12=12,12+1,12+1),1)),'DRAFT 2'!$A:$A),"")</f>
        <v>0</v>
      </c>
      <c r="IS27">
        <f>COUNTIFS('DRAFT 2'!$D:$D,$B27,'DRAFT 2'!$A:$A,"&gt;="&amp;DATE(2026,12,1),'DRAFT 2'!$A:$A,"&lt;="&amp;DATE(2026,12,7))</f>
        <v>0</v>
      </c>
      <c r="IT27">
        <f>COUNTIFS('DRAFT 2'!$D:$D,$B27,'DRAFT 2'!$A:$A,"&gt;="&amp;DATE(2026,12,8),'DRAFT 2'!$A:$A,"&lt;="&amp;DATE(2026,12,14))</f>
        <v>0</v>
      </c>
      <c r="IU27">
        <f>COUNTIFS('DRAFT 2'!$D:$D,$B27,'DRAFT 2'!$A:$A,"&gt;="&amp;DATE(2026,12,15),'DRAFT 2'!$A:$A,"&lt;="&amp;DATE(2026,12,21))</f>
        <v>0</v>
      </c>
      <c r="IV27">
        <f>COUNTIFS('DRAFT 2'!$D:$D,$B27,'DRAFT 2'!$A:$A,"&gt;="&amp;DATE(2026,12,22),'DRAFT 2'!$A:$A,"&lt;"&amp;DATE(2026,IF(12=12,12+1,12+1),1))</f>
        <v>0</v>
      </c>
      <c r="IW27">
        <f t="shared" si="13"/>
        <v>0</v>
      </c>
    </row>
    <row r="28" spans="1:257" x14ac:dyDescent="0.3">
      <c r="A28" t="str">
        <f>IFERROR(INDEX('DRAFT 1'!$A:$A,MATCH($B28,'DRAFT 1'!$B:$B,0)),"")</f>
        <v/>
      </c>
      <c r="C28" t="str">
        <f>IFERROR(INDEX('DRAFT 1'!$C:$C,MATCH($B28,'DRAFT 1'!$B:$B,0)),"")</f>
        <v/>
      </c>
      <c r="D28" t="str">
        <f>IFERROR(INDEX('DRAFT 1'!$D:$D,MATCH($B28,'DRAFT 1'!$B:$B,0)),"")</f>
        <v/>
      </c>
      <c r="E28" t="str">
        <f>IFERROR(INDEX('DRAFT 1'!$E:$E,MATCH($B28,'DRAFT 1'!$B:$B,0)),"")</f>
        <v/>
      </c>
      <c r="F28" t="str">
        <f>IFERROR(INDEX('DRAFT 1'!$F:$F,MATCH($B28,'DRAFT 1'!$B:$B,0)),"")</f>
        <v/>
      </c>
      <c r="G28" t="str">
        <f>IFERROR(INDEX('DRAFT 1'!$G:$G,MATCH($B28,'DRAFT 1'!$B:$B,0)),"")</f>
        <v/>
      </c>
      <c r="H28" t="str">
        <f>IFERROR(INDEX('DRAFT 1'!$H:$H,MATCH($B28,'DRAFT 1'!$B:$B,0)),"")</f>
        <v/>
      </c>
      <c r="I28" t="s">
        <v>297</v>
      </c>
      <c r="K28" t="str">
        <f>IFERROR(INDEX('DRAFT 1'!$AL:$AL,MATCH($B28,'DRAFT 1'!$B:$B,0)),"")</f>
        <v/>
      </c>
      <c r="L28" t="str">
        <f>IFERROR(INDEX('DRAFT 1'!$J:$J,MATCH($B28,'DRAFT 1'!$B:$B,0)),"")</f>
        <v/>
      </c>
      <c r="M28" t="str">
        <f>IFERROR(INDEX('DRAFT 1'!$K:$K,MATCH($B28,'DRAFT 1'!$B:$B,0)),"")</f>
        <v/>
      </c>
      <c r="N28" t="s">
        <v>74</v>
      </c>
      <c r="P28" t="str">
        <f>IFERROR(INDEX('DRAFT 1'!$L:$L,MATCH($B28,'DRAFT 1'!$B:$B,0)),"")</f>
        <v/>
      </c>
      <c r="Q28" t="str">
        <f>IFERROR(INDEX('DRAFT 1'!$M:$M,MATCH($B28,'DRAFT 1'!$B:$B,0)),"")</f>
        <v/>
      </c>
      <c r="R28" t="str">
        <f>IFERROR(INDEX('DRAFT 1'!$N:$N,MATCH($B28,'DRAFT 1'!$B:$B,0)),"")</f>
        <v/>
      </c>
      <c r="S28" t="str">
        <f>IFERROR(INDEX('DRAFT 1'!$O:$O,MATCH($B28,'DRAFT 1'!$B:$B,0)),"")</f>
        <v/>
      </c>
      <c r="T28" t="str">
        <f>IFERROR(INDEX('DRAFT 1'!$P:$P,MATCH($B28,'DRAFT 1'!$B:$B,0)),"")</f>
        <v/>
      </c>
      <c r="U28" t="str">
        <f>IFERROR(INDEX('DRAFT 1'!$Q:$Q,MATCH($B28,'DRAFT 1'!$B:$B,0)),"")</f>
        <v/>
      </c>
      <c r="V28" t="str">
        <f>IFERROR(INDEX('DRAFT 1'!$R:$R,MATCH($B28,'DRAFT 1'!$B:$B,0)),"")</f>
        <v/>
      </c>
      <c r="W28" t="str">
        <f>IFERROR(INDEX('DRAFT 1'!$S:$S,MATCH($B28,'DRAFT 1'!$B:$B,0)),"")</f>
        <v/>
      </c>
      <c r="X28" t="str">
        <f>IFERROR(INDEX('DRAFT 1'!$T:$T,MATCH($B28,'DRAFT 1'!$B:$B,0)),"")</f>
        <v/>
      </c>
      <c r="Z28" t="str">
        <f>IFERROR(INDEX('DRAFT 1'!$U:$U,MATCH($B28,'DRAFT 1'!$B:$B,0)),"")</f>
        <v/>
      </c>
      <c r="AA28" t="str">
        <f>IFERROR(INDEX('DRAFT 1'!$V:$V,MATCH($B28,'DRAFT 1'!$B:$B,0)),"")</f>
        <v/>
      </c>
      <c r="AB28" t="str">
        <f>IFERROR(INDEX('DRAFT 1'!$W:$W,MATCH($B28,'DRAFT 1'!$B:$B,0)),"")</f>
        <v/>
      </c>
      <c r="AC28" t="str">
        <f>IFERROR(INDEX('DRAFT 1'!$X:$X,MATCH($B28,'DRAFT 1'!$B:$B,0)),"")</f>
        <v/>
      </c>
      <c r="AD28" t="str">
        <f>IFERROR(INDEX('DRAFT 1'!$Y:$Y,MATCH($B28,'DRAFT 1'!$B:$B,0)),"")</f>
        <v/>
      </c>
      <c r="AE28" t="str">
        <f>IFERROR(INDEX('DRAFT 1'!$Z:$Z,MATCH($B28,'DRAFT 1'!$B:$B,0)),"")</f>
        <v/>
      </c>
      <c r="AF28" t="str">
        <f>IFERROR(INDEX('DRAFT 1'!$AA:$AA,MATCH($B28,'DRAFT 1'!$B:$B,0)),"")</f>
        <v/>
      </c>
      <c r="AG28" t="str">
        <f>IFERROR(INDEX('DRAFT 1'!$AB:$AB,MATCH($B28,'DRAFT 1'!$B:$B,0)),"")</f>
        <v/>
      </c>
      <c r="AH28" t="str">
        <f>IFERROR(INDEX('DRAFT 1'!$AC:$AC,MATCH($B28,'DRAFT 1'!$B:$B,0)),"")</f>
        <v/>
      </c>
      <c r="AI28" t="str">
        <f>IFERROR(INDEX('DRAFT 1'!$AD:$AD,MATCH($B28,'DRAFT 1'!$B:$B,0)),"")</f>
        <v/>
      </c>
      <c r="AJ28" t="str">
        <f>IFERROR(INDEX('DRAFT 1'!$AE:$AE,MATCH($B28,'DRAFT 1'!$B:$B,0)),"")</f>
        <v/>
      </c>
      <c r="AK28" t="str">
        <f>IFERROR(INDEX('DRAFT 1'!$AG:$AG,MATCH($B28,'DRAFT 1'!$B:$B,0)),"")</f>
        <v/>
      </c>
      <c r="AL28" t="str">
        <f>IFERROR(INDEX('DRAFT 1'!$AH:$AH,MATCH($B28,'DRAFT 1'!$B:$B,0)),"")</f>
        <v/>
      </c>
      <c r="AM28" t="str">
        <f>IFERROR(INDEX('DRAFT 1'!$AI:$AI,MATCH($B28,'DRAFT 1'!$B:$B,0)),"")</f>
        <v/>
      </c>
      <c r="AN28" t="str">
        <f>IFERROR(INDEX('DRAFT 1'!$AJ:$AJ,MATCH($B28,'DRAFT 1'!$B:$B,0)),"")</f>
        <v/>
      </c>
      <c r="AO28">
        <f t="shared" si="0"/>
        <v>0</v>
      </c>
      <c r="AP28" t="str">
        <f>IFERROR(INDEX('DRAFT 1'!$AK:$AK,MATCH($B28,'DRAFT 1'!$B:$B,0)),"")</f>
        <v/>
      </c>
      <c r="AR28" t="s">
        <v>93</v>
      </c>
      <c r="AS28">
        <f>IFERROR(LOOKUP(2,1/('DRAFT 2'!$D:$D=$B28),'DRAFT 2'!$T:$T),"")</f>
        <v>0</v>
      </c>
      <c r="AT28">
        <f>IFERROR(LOOKUP(2,1/('DRAFT 2'!$D:$D=$B28),'DRAFT 2'!$A:$A),"")</f>
        <v>0</v>
      </c>
      <c r="AU28">
        <f>IFERROR(LOOKUP(2,1/('DRAFT 2'!$D:$D=$B28),'DRAFT 2'!$R:$R),"")</f>
        <v>0</v>
      </c>
      <c r="AV28">
        <f>IFERROR(LOOKUP(2,1/('DRAFT 2'!$D:$D=$B28),'DRAFT 2'!$S:$S),"")</f>
        <v>0</v>
      </c>
      <c r="AW28" t="s">
        <v>85</v>
      </c>
      <c r="AX28">
        <f>IFERROR(LOOKUP(2,1/('DRAFT 2'!$D:$D=$B28),'DRAFT 2'!$M:$M),"")</f>
        <v>0</v>
      </c>
      <c r="AY28">
        <f>IFERROR(LOOKUP(2,1/('DRAFT 2'!$D:$D=$B28),'DRAFT 2'!$K:$K),"")</f>
        <v>0</v>
      </c>
      <c r="BG28">
        <f>IFERROR(LOOKUP(2,1/('DRAFT 2'!$D:$D=$B28),'DRAFT 2'!$U:$U),"")</f>
        <v>0</v>
      </c>
      <c r="BH28">
        <f>IFERROR(LOOKUP(2,1/('DRAFT 2'!$D:$D=$B28),'DRAFT 2'!$V:$V),"")</f>
        <v>0</v>
      </c>
      <c r="CE28" t="str">
        <f t="shared" si="1"/>
        <v/>
      </c>
      <c r="CF28">
        <f>IFERROR(LOOKUP(2,1/('DRAFT 2'!$D:$D=$B28)*('DRAFT 2'!$A:$A&gt;=DATE(2026,1,1))*('DRAFT 2'!$A:$A&lt;DATE(2026,IF(1=12,1+1,1+1),1)),'DRAFT 2'!$A:$A),"")</f>
        <v>0</v>
      </c>
      <c r="CG28">
        <f>COUNTIFS('DRAFT 2'!$D:$D,$B28,'DRAFT 2'!$A:$A,"&gt;="&amp;DATE(2026,1,1),'DRAFT 2'!$A:$A,"&lt;="&amp;DATE(2026,1,7))</f>
        <v>0</v>
      </c>
      <c r="CH28">
        <f>COUNTIFS('DRAFT 2'!$D:$D,$B28,'DRAFT 2'!$A:$A,"&gt;="&amp;DATE(2026,1,8),'DRAFT 2'!$A:$A,"&lt;="&amp;DATE(2026,1,14))</f>
        <v>0</v>
      </c>
      <c r="CI28">
        <f>COUNTIFS('DRAFT 2'!$D:$D,$B28,'DRAFT 2'!$A:$A,"&gt;="&amp;DATE(2026,1,15),'DRAFT 2'!$A:$A,"&lt;="&amp;DATE(2026,1,21))</f>
        <v>0</v>
      </c>
      <c r="CJ28">
        <f>COUNTIFS('DRAFT 2'!$D:$D,$B28,'DRAFT 2'!$A:$A,"&gt;="&amp;DATE(2026,1,22),'DRAFT 2'!$A:$A,"&lt;"&amp;DATE(2026,IF(1=12,1+1,1+1),1))</f>
        <v>0</v>
      </c>
      <c r="CK28">
        <f t="shared" si="2"/>
        <v>0</v>
      </c>
      <c r="CT28">
        <v>0</v>
      </c>
      <c r="CU28">
        <f>IFERROR(LOOKUP(2,1/('DRAFT 2'!$D:$D=$B28)*('DRAFT 2'!$A:$A&gt;=DATE(2026,2,1))*('DRAFT 2'!$A:$A&lt;DATE(2026,IF(2=12,2+1,2+1),1)),'DRAFT 2'!$A:$A),"")</f>
        <v>0</v>
      </c>
      <c r="CV28">
        <f>COUNTIFS('DRAFT 2'!$D:$D,$B28,'DRAFT 2'!$A:$A,"&gt;="&amp;DATE(2026,2,1),'DRAFT 2'!$A:$A,"&lt;="&amp;DATE(2026,2,7))</f>
        <v>0</v>
      </c>
      <c r="CW28">
        <f>COUNTIFS('DRAFT 2'!$D:$D,$B28,'DRAFT 2'!$A:$A,"&gt;="&amp;DATE(2026,2,8),'DRAFT 2'!$A:$A,"&lt;="&amp;DATE(2026,2,14))</f>
        <v>0</v>
      </c>
      <c r="CX28">
        <f>COUNTIFS('DRAFT 2'!$D:$D,$B28,'DRAFT 2'!$A:$A,"&gt;="&amp;DATE(2026,2,15),'DRAFT 2'!$A:$A,"&lt;="&amp;DATE(2026,2,21))</f>
        <v>0</v>
      </c>
      <c r="CY28">
        <f>COUNTIFS('DRAFT 2'!$D:$D,$B28,'DRAFT 2'!$A:$A,"&gt;="&amp;DATE(2026,2,22),'DRAFT 2'!$A:$A,"&lt;"&amp;DATE(2026,IF(2=12,2+1,2+1),1))</f>
        <v>0</v>
      </c>
      <c r="CZ28">
        <f t="shared" si="3"/>
        <v>0</v>
      </c>
      <c r="DJ28">
        <f>IFERROR(LOOKUP(2,1/('DRAFT 2'!$D:$D=$B28)*('DRAFT 2'!$A:$A&gt;=DATE(2026,3,1))*('DRAFT 2'!$A:$A&lt;DATE(2026,IF(3=12,3+1,3+1),1)),'DRAFT 2'!$A:$A),"")</f>
        <v>0</v>
      </c>
      <c r="DK28">
        <f>COUNTIFS('DRAFT 2'!$D:$D,$B28,'DRAFT 2'!$A:$A,"&gt;="&amp;DATE(2026,3,1),'DRAFT 2'!$A:$A,"&lt;="&amp;DATE(2026,3,7))</f>
        <v>0</v>
      </c>
      <c r="DL28">
        <f>COUNTIFS('DRAFT 2'!$D:$D,$B28,'DRAFT 2'!$A:$A,"&gt;="&amp;DATE(2026,3,8),'DRAFT 2'!$A:$A,"&lt;="&amp;DATE(2026,3,14))</f>
        <v>0</v>
      </c>
      <c r="DM28">
        <f>COUNTIFS('DRAFT 2'!$D:$D,$B28,'DRAFT 2'!$A:$A,"&gt;="&amp;DATE(2026,3,15),'DRAFT 2'!$A:$A,"&lt;="&amp;DATE(2026,3,21))</f>
        <v>0</v>
      </c>
      <c r="DN28">
        <f>COUNTIFS('DRAFT 2'!$D:$D,$B28,'DRAFT 2'!$A:$A,"&gt;="&amp;DATE(2026,3,22),'DRAFT 2'!$A:$A,"&lt;"&amp;DATE(2026,IF(3=12,3+1,3+1),1))</f>
        <v>0</v>
      </c>
      <c r="DO28">
        <f t="shared" si="4"/>
        <v>0</v>
      </c>
      <c r="DZ28">
        <f>IFERROR(LOOKUP(2,1/('DRAFT 2'!$D:$D=$B28)*('DRAFT 2'!$A:$A&gt;=DATE(2026,4,1))*('DRAFT 2'!$A:$A&lt;DATE(2026,IF(4=12,4+1,4+1),1)),'DRAFT 2'!$A:$A),"")</f>
        <v>0</v>
      </c>
      <c r="EA28">
        <f>COUNTIFS('DRAFT 2'!$D:$D,$B28,'DRAFT 2'!$A:$A,"&gt;="&amp;DATE(2026,4,1),'DRAFT 2'!$A:$A,"&lt;="&amp;DATE(2026,4,7))</f>
        <v>0</v>
      </c>
      <c r="EB28">
        <f>COUNTIFS('DRAFT 2'!$D:$D,$B28,'DRAFT 2'!$A:$A,"&gt;="&amp;DATE(2026,4,8),'DRAFT 2'!$A:$A,"&lt;="&amp;DATE(2026,4,14))</f>
        <v>0</v>
      </c>
      <c r="EC28">
        <f>COUNTIFS('DRAFT 2'!$D:$D,$B28,'DRAFT 2'!$A:$A,"&gt;="&amp;DATE(2026,4,15),'DRAFT 2'!$A:$A,"&lt;="&amp;DATE(2026,4,21))</f>
        <v>0</v>
      </c>
      <c r="ED28">
        <f>COUNTIFS('DRAFT 2'!$D:$D,$B28,'DRAFT 2'!$A:$A,"&gt;="&amp;DATE(2026,4,22),'DRAFT 2'!$A:$A,"&lt;"&amp;DATE(2026,IF(4=12,4+1,4+1),1))</f>
        <v>0</v>
      </c>
      <c r="EE28">
        <f t="shared" si="5"/>
        <v>0</v>
      </c>
      <c r="EO28">
        <f>IFERROR(LOOKUP(2,1/('DRAFT 2'!$D:$D=$B28)*('DRAFT 2'!$A:$A&gt;=DATE(2026,5,1))*('DRAFT 2'!$A:$A&lt;DATE(2026,IF(5=12,5+1,5+1),1)),'DRAFT 2'!$A:$A),"")</f>
        <v>0</v>
      </c>
      <c r="EP28">
        <f>COUNTIFS('DRAFT 2'!$D:$D,$B28,'DRAFT 2'!$A:$A,"&gt;="&amp;DATE(2026,5,1),'DRAFT 2'!$A:$A,"&lt;="&amp;DATE(2026,5,7))</f>
        <v>0</v>
      </c>
      <c r="EQ28">
        <f>COUNTIFS('DRAFT 2'!$D:$D,$B28,'DRAFT 2'!$A:$A,"&gt;="&amp;DATE(2026,5,8),'DRAFT 2'!$A:$A,"&lt;="&amp;DATE(2026,5,14))</f>
        <v>0</v>
      </c>
      <c r="ER28">
        <f>COUNTIFS('DRAFT 2'!$D:$D,$B28,'DRAFT 2'!$A:$A,"&gt;="&amp;DATE(2026,5,15),'DRAFT 2'!$A:$A,"&lt;="&amp;DATE(2026,5,21))</f>
        <v>0</v>
      </c>
      <c r="ES28">
        <f>COUNTIFS('DRAFT 2'!$D:$D,$B28,'DRAFT 2'!$A:$A,"&gt;="&amp;DATE(2026,5,22),'DRAFT 2'!$A:$A,"&lt;"&amp;DATE(2026,IF(5=12,5+1,5+1),1))</f>
        <v>0</v>
      </c>
      <c r="ET28">
        <f t="shared" si="6"/>
        <v>0</v>
      </c>
      <c r="FD28">
        <f>IFERROR(LOOKUP(2,1/('DRAFT 2'!$D:$D=$B28)*('DRAFT 2'!$A:$A&gt;=DATE(2026,6,1))*('DRAFT 2'!$A:$A&lt;DATE(2026,IF(6=12,6+1,6+1),1)),'DRAFT 2'!$A:$A),"")</f>
        <v>0</v>
      </c>
      <c r="FE28">
        <f>COUNTIFS('DRAFT 2'!$D:$D,$B28,'DRAFT 2'!$A:$A,"&gt;="&amp;DATE(2026,6,1),'DRAFT 2'!$A:$A,"&lt;="&amp;DATE(2026,6,7))</f>
        <v>0</v>
      </c>
      <c r="FF28">
        <f>COUNTIFS('DRAFT 2'!$D:$D,$B28,'DRAFT 2'!$A:$A,"&gt;="&amp;DATE(2026,6,8),'DRAFT 2'!$A:$A,"&lt;="&amp;DATE(2026,6,14))</f>
        <v>0</v>
      </c>
      <c r="FG28">
        <f>COUNTIFS('DRAFT 2'!$D:$D,$B28,'DRAFT 2'!$A:$A,"&gt;="&amp;DATE(2026,6,15),'DRAFT 2'!$A:$A,"&lt;="&amp;DATE(2026,6,21))</f>
        <v>0</v>
      </c>
      <c r="FH28">
        <f>COUNTIFS('DRAFT 2'!$D:$D,$B28,'DRAFT 2'!$A:$A,"&gt;="&amp;DATE(2026,6,22),'DRAFT 2'!$A:$A,"&lt;"&amp;DATE(2026,IF(6=12,6+1,6+1),1))</f>
        <v>0</v>
      </c>
      <c r="FI28">
        <f t="shared" si="7"/>
        <v>0</v>
      </c>
      <c r="FT28">
        <f>IFERROR(LOOKUP(2,1/('DRAFT 2'!$D:$D=$B28)*('DRAFT 2'!$A:$A&gt;=DATE(2026,7,1))*('DRAFT 2'!$A:$A&lt;DATE(2026,IF(7=12,7+1,7+1),1)),'DRAFT 2'!$A:$A),"")</f>
        <v>0</v>
      </c>
      <c r="FU28">
        <f>COUNTIFS('DRAFT 2'!$D:$D,$B28,'DRAFT 2'!$A:$A,"&gt;="&amp;DATE(2026,7,1),'DRAFT 2'!$A:$A,"&lt;="&amp;DATE(2026,7,7))</f>
        <v>0</v>
      </c>
      <c r="FV28">
        <f>COUNTIFS('DRAFT 2'!$D:$D,$B28,'DRAFT 2'!$A:$A,"&gt;="&amp;DATE(2026,7,8),'DRAFT 2'!$A:$A,"&lt;="&amp;DATE(2026,7,14))</f>
        <v>0</v>
      </c>
      <c r="FW28">
        <f>COUNTIFS('DRAFT 2'!$D:$D,$B28,'DRAFT 2'!$A:$A,"&gt;="&amp;DATE(2026,7,15),'DRAFT 2'!$A:$A,"&lt;="&amp;DATE(2026,7,21))</f>
        <v>0</v>
      </c>
      <c r="FX28">
        <f>COUNTIFS('DRAFT 2'!$D:$D,$B28,'DRAFT 2'!$A:$A,"&gt;="&amp;DATE(2026,7,22),'DRAFT 2'!$A:$A,"&lt;"&amp;DATE(2026,IF(7=12,7+1,7+1),1))</f>
        <v>0</v>
      </c>
      <c r="FY28">
        <f t="shared" si="8"/>
        <v>0</v>
      </c>
      <c r="GI28">
        <f>IFERROR(LOOKUP(2,1/('DRAFT 2'!$D:$D=$B28)*('DRAFT 2'!$A:$A&gt;=DATE(2026,8,1))*('DRAFT 2'!$A:$A&lt;DATE(2026,IF(8=12,8+1,8+1),1)),'DRAFT 2'!$A:$A),"")</f>
        <v>0</v>
      </c>
      <c r="GJ28">
        <f>COUNTIFS('DRAFT 2'!$D:$D,$B28,'DRAFT 2'!$A:$A,"&gt;="&amp;DATE(2026,8,1),'DRAFT 2'!$A:$A,"&lt;="&amp;DATE(2026,8,7))</f>
        <v>0</v>
      </c>
      <c r="GK28">
        <f>COUNTIFS('DRAFT 2'!$D:$D,$B28,'DRAFT 2'!$A:$A,"&gt;="&amp;DATE(2026,8,8),'DRAFT 2'!$A:$A,"&lt;="&amp;DATE(2026,8,14))</f>
        <v>0</v>
      </c>
      <c r="GL28">
        <f>COUNTIFS('DRAFT 2'!$D:$D,$B28,'DRAFT 2'!$A:$A,"&gt;="&amp;DATE(2026,8,15),'DRAFT 2'!$A:$A,"&lt;="&amp;DATE(2026,8,21))</f>
        <v>0</v>
      </c>
      <c r="GM28">
        <f>COUNTIFS('DRAFT 2'!$D:$D,$B28,'DRAFT 2'!$A:$A,"&gt;="&amp;DATE(2026,8,22),'DRAFT 2'!$A:$A,"&lt;"&amp;DATE(2026,IF(8=12,8+1,8+1),1))</f>
        <v>0</v>
      </c>
      <c r="GN28">
        <f t="shared" si="9"/>
        <v>0</v>
      </c>
      <c r="GX28">
        <f>IFERROR(LOOKUP(2,1/('DRAFT 2'!$D:$D=$B28)*('DRAFT 2'!$A:$A&gt;=DATE(2026,9,1))*('DRAFT 2'!$A:$A&lt;DATE(2026,IF(9=12,9+1,9+1),1)),'DRAFT 2'!$A:$A),"")</f>
        <v>0</v>
      </c>
      <c r="GY28">
        <f>COUNTIFS('DRAFT 2'!$D:$D,$B28,'DRAFT 2'!$A:$A,"&gt;="&amp;DATE(2026,9,1),'DRAFT 2'!$A:$A,"&lt;="&amp;DATE(2026,9,7))</f>
        <v>0</v>
      </c>
      <c r="GZ28">
        <f>COUNTIFS('DRAFT 2'!$D:$D,$B28,'DRAFT 2'!$A:$A,"&gt;="&amp;DATE(2026,9,8),'DRAFT 2'!$A:$A,"&lt;="&amp;DATE(2026,9,14))</f>
        <v>0</v>
      </c>
      <c r="HA28">
        <f>COUNTIFS('DRAFT 2'!$D:$D,$B28,'DRAFT 2'!$A:$A,"&gt;="&amp;DATE(2026,9,15),'DRAFT 2'!$A:$A,"&lt;="&amp;DATE(2026,9,21))</f>
        <v>0</v>
      </c>
      <c r="HB28">
        <f>COUNTIFS('DRAFT 2'!$D:$D,$B28,'DRAFT 2'!$A:$A,"&gt;="&amp;DATE(2026,9,22),'DRAFT 2'!$A:$A,"&lt;"&amp;DATE(2026,IF(9=12,9+1,9+1),1))</f>
        <v>0</v>
      </c>
      <c r="HC28">
        <f t="shared" si="10"/>
        <v>0</v>
      </c>
      <c r="HN28">
        <f>IFERROR(LOOKUP(2,1/('DRAFT 2'!$D:$D=$B28)*('DRAFT 2'!$A:$A&gt;=DATE(2026,10,1))*('DRAFT 2'!$A:$A&lt;DATE(2026,IF(10=12,10+1,10+1),1)),'DRAFT 2'!$A:$A),"")</f>
        <v>0</v>
      </c>
      <c r="HO28">
        <f>COUNTIFS('DRAFT 2'!$D:$D,$B28,'DRAFT 2'!$A:$A,"&gt;="&amp;DATE(2026,10,1),'DRAFT 2'!$A:$A,"&lt;="&amp;DATE(2026,10,7))</f>
        <v>0</v>
      </c>
      <c r="HP28">
        <f>COUNTIFS('DRAFT 2'!$D:$D,$B28,'DRAFT 2'!$A:$A,"&gt;="&amp;DATE(2026,10,8),'DRAFT 2'!$A:$A,"&lt;="&amp;DATE(2026,10,14))</f>
        <v>0</v>
      </c>
      <c r="HQ28">
        <f>COUNTIFS('DRAFT 2'!$D:$D,$B28,'DRAFT 2'!$A:$A,"&gt;="&amp;DATE(2026,10,15),'DRAFT 2'!$A:$A,"&lt;="&amp;DATE(2026,10,21))</f>
        <v>0</v>
      </c>
      <c r="HR28">
        <f>COUNTIFS('DRAFT 2'!$D:$D,$B28,'DRAFT 2'!$A:$A,"&gt;="&amp;DATE(2026,10,22),'DRAFT 2'!$A:$A,"&lt;"&amp;DATE(2026,IF(10=12,10+1,10+1),1))</f>
        <v>0</v>
      </c>
      <c r="HS28">
        <f t="shared" si="11"/>
        <v>0</v>
      </c>
      <c r="IC28">
        <f>IFERROR(LOOKUP(2,1/('DRAFT 2'!$D:$D=$B28)*('DRAFT 2'!$A:$A&gt;=DATE(2026,11,1))*('DRAFT 2'!$A:$A&lt;DATE(2026,IF(11=12,11+1,11+1),1)),'DRAFT 2'!$A:$A),"")</f>
        <v>0</v>
      </c>
      <c r="ID28">
        <f>COUNTIFS('DRAFT 2'!$D:$D,$B28,'DRAFT 2'!$A:$A,"&gt;="&amp;DATE(2026,11,1),'DRAFT 2'!$A:$A,"&lt;="&amp;DATE(2026,11,7))</f>
        <v>0</v>
      </c>
      <c r="IE28">
        <f>COUNTIFS('DRAFT 2'!$D:$D,$B28,'DRAFT 2'!$A:$A,"&gt;="&amp;DATE(2026,11,8),'DRAFT 2'!$A:$A,"&lt;="&amp;DATE(2026,11,14))</f>
        <v>0</v>
      </c>
      <c r="IF28">
        <f>COUNTIFS('DRAFT 2'!$D:$D,$B28,'DRAFT 2'!$A:$A,"&gt;="&amp;DATE(2026,11,15),'DRAFT 2'!$A:$A,"&lt;="&amp;DATE(2026,11,21))</f>
        <v>0</v>
      </c>
      <c r="IG28">
        <f>COUNTIFS('DRAFT 2'!$D:$D,$B28,'DRAFT 2'!$A:$A,"&gt;="&amp;DATE(2026,11,22),'DRAFT 2'!$A:$A,"&lt;"&amp;DATE(2026,IF(11=12,11+1,11+1),1))</f>
        <v>0</v>
      </c>
      <c r="IH28">
        <f t="shared" si="12"/>
        <v>0</v>
      </c>
      <c r="IR28">
        <f>IFERROR(LOOKUP(2,1/('DRAFT 2'!$D:$D=$B28)*('DRAFT 2'!$A:$A&gt;=DATE(2026,12,1))*('DRAFT 2'!$A:$A&lt;DATE(2026,IF(12=12,12+1,12+1),1)),'DRAFT 2'!$A:$A),"")</f>
        <v>0</v>
      </c>
      <c r="IS28">
        <f>COUNTIFS('DRAFT 2'!$D:$D,$B28,'DRAFT 2'!$A:$A,"&gt;="&amp;DATE(2026,12,1),'DRAFT 2'!$A:$A,"&lt;="&amp;DATE(2026,12,7))</f>
        <v>0</v>
      </c>
      <c r="IT28">
        <f>COUNTIFS('DRAFT 2'!$D:$D,$B28,'DRAFT 2'!$A:$A,"&gt;="&amp;DATE(2026,12,8),'DRAFT 2'!$A:$A,"&lt;="&amp;DATE(2026,12,14))</f>
        <v>0</v>
      </c>
      <c r="IU28">
        <f>COUNTIFS('DRAFT 2'!$D:$D,$B28,'DRAFT 2'!$A:$A,"&gt;="&amp;DATE(2026,12,15),'DRAFT 2'!$A:$A,"&lt;="&amp;DATE(2026,12,21))</f>
        <v>0</v>
      </c>
      <c r="IV28">
        <f>COUNTIFS('DRAFT 2'!$D:$D,$B28,'DRAFT 2'!$A:$A,"&gt;="&amp;DATE(2026,12,22),'DRAFT 2'!$A:$A,"&lt;"&amp;DATE(2026,IF(12=12,12+1,12+1),1))</f>
        <v>0</v>
      </c>
      <c r="IW28">
        <f t="shared" si="13"/>
        <v>0</v>
      </c>
    </row>
    <row r="29" spans="1:257" x14ac:dyDescent="0.3">
      <c r="A29" t="str">
        <f>IFERROR(INDEX('DRAFT 1'!$A:$A,MATCH($B29,'DRAFT 1'!$B:$B,0)),"")</f>
        <v/>
      </c>
      <c r="C29" t="str">
        <f>IFERROR(INDEX('DRAFT 1'!$C:$C,MATCH($B29,'DRAFT 1'!$B:$B,0)),"")</f>
        <v/>
      </c>
      <c r="D29" t="str">
        <f>IFERROR(INDEX('DRAFT 1'!$D:$D,MATCH($B29,'DRAFT 1'!$B:$B,0)),"")</f>
        <v/>
      </c>
      <c r="E29" t="str">
        <f>IFERROR(INDEX('DRAFT 1'!$E:$E,MATCH($B29,'DRAFT 1'!$B:$B,0)),"")</f>
        <v/>
      </c>
      <c r="F29" t="str">
        <f>IFERROR(INDEX('DRAFT 1'!$F:$F,MATCH($B29,'DRAFT 1'!$B:$B,0)),"")</f>
        <v/>
      </c>
      <c r="G29" t="str">
        <f>IFERROR(INDEX('DRAFT 1'!$G:$G,MATCH($B29,'DRAFT 1'!$B:$B,0)),"")</f>
        <v/>
      </c>
      <c r="H29" t="str">
        <f>IFERROR(INDEX('DRAFT 1'!$H:$H,MATCH($B29,'DRAFT 1'!$B:$B,0)),"")</f>
        <v/>
      </c>
      <c r="I29" t="s">
        <v>292</v>
      </c>
      <c r="K29" t="str">
        <f>IFERROR(INDEX('DRAFT 1'!$AL:$AL,MATCH($B29,'DRAFT 1'!$B:$B,0)),"")</f>
        <v/>
      </c>
      <c r="L29" t="str">
        <f>IFERROR(INDEX('DRAFT 1'!$J:$J,MATCH($B29,'DRAFT 1'!$B:$B,0)),"")</f>
        <v/>
      </c>
      <c r="M29" t="str">
        <f>IFERROR(INDEX('DRAFT 1'!$K:$K,MATCH($B29,'DRAFT 1'!$B:$B,0)),"")</f>
        <v/>
      </c>
      <c r="N29" t="s">
        <v>79</v>
      </c>
      <c r="P29" t="str">
        <f>IFERROR(INDEX('DRAFT 1'!$L:$L,MATCH($B29,'DRAFT 1'!$B:$B,0)),"")</f>
        <v/>
      </c>
      <c r="Q29" t="str">
        <f>IFERROR(INDEX('DRAFT 1'!$M:$M,MATCH($B29,'DRAFT 1'!$B:$B,0)),"")</f>
        <v/>
      </c>
      <c r="R29" t="str">
        <f>IFERROR(INDEX('DRAFT 1'!$N:$N,MATCH($B29,'DRAFT 1'!$B:$B,0)),"")</f>
        <v/>
      </c>
      <c r="S29" t="str">
        <f>IFERROR(INDEX('DRAFT 1'!$O:$O,MATCH($B29,'DRAFT 1'!$B:$B,0)),"")</f>
        <v/>
      </c>
      <c r="T29" t="str">
        <f>IFERROR(INDEX('DRAFT 1'!$P:$P,MATCH($B29,'DRAFT 1'!$B:$B,0)),"")</f>
        <v/>
      </c>
      <c r="U29" t="str">
        <f>IFERROR(INDEX('DRAFT 1'!$Q:$Q,MATCH($B29,'DRAFT 1'!$B:$B,0)),"")</f>
        <v/>
      </c>
      <c r="V29" t="str">
        <f>IFERROR(INDEX('DRAFT 1'!$R:$R,MATCH($B29,'DRAFT 1'!$B:$B,0)),"")</f>
        <v/>
      </c>
      <c r="W29" t="str">
        <f>IFERROR(INDEX('DRAFT 1'!$S:$S,MATCH($B29,'DRAFT 1'!$B:$B,0)),"")</f>
        <v/>
      </c>
      <c r="X29" t="str">
        <f>IFERROR(INDEX('DRAFT 1'!$T:$T,MATCH($B29,'DRAFT 1'!$B:$B,0)),"")</f>
        <v/>
      </c>
      <c r="Z29" t="str">
        <f>IFERROR(INDEX('DRAFT 1'!$U:$U,MATCH($B29,'DRAFT 1'!$B:$B,0)),"")</f>
        <v/>
      </c>
      <c r="AA29" t="str">
        <f>IFERROR(INDEX('DRAFT 1'!$V:$V,MATCH($B29,'DRAFT 1'!$B:$B,0)),"")</f>
        <v/>
      </c>
      <c r="AB29" t="str">
        <f>IFERROR(INDEX('DRAFT 1'!$W:$W,MATCH($B29,'DRAFT 1'!$B:$B,0)),"")</f>
        <v/>
      </c>
      <c r="AC29" t="str">
        <f>IFERROR(INDEX('DRAFT 1'!$X:$X,MATCH($B29,'DRAFT 1'!$B:$B,0)),"")</f>
        <v/>
      </c>
      <c r="AD29" t="str">
        <f>IFERROR(INDEX('DRAFT 1'!$Y:$Y,MATCH($B29,'DRAFT 1'!$B:$B,0)),"")</f>
        <v/>
      </c>
      <c r="AE29" t="str">
        <f>IFERROR(INDEX('DRAFT 1'!$Z:$Z,MATCH($B29,'DRAFT 1'!$B:$B,0)),"")</f>
        <v/>
      </c>
      <c r="AF29" t="str">
        <f>IFERROR(INDEX('DRAFT 1'!$AA:$AA,MATCH($B29,'DRAFT 1'!$B:$B,0)),"")</f>
        <v/>
      </c>
      <c r="AG29" t="str">
        <f>IFERROR(INDEX('DRAFT 1'!$AB:$AB,MATCH($B29,'DRAFT 1'!$B:$B,0)),"")</f>
        <v/>
      </c>
      <c r="AH29" t="str">
        <f>IFERROR(INDEX('DRAFT 1'!$AC:$AC,MATCH($B29,'DRAFT 1'!$B:$B,0)),"")</f>
        <v/>
      </c>
      <c r="AI29" t="str">
        <f>IFERROR(INDEX('DRAFT 1'!$AD:$AD,MATCH($B29,'DRAFT 1'!$B:$B,0)),"")</f>
        <v/>
      </c>
      <c r="AJ29" t="str">
        <f>IFERROR(INDEX('DRAFT 1'!$AE:$AE,MATCH($B29,'DRAFT 1'!$B:$B,0)),"")</f>
        <v/>
      </c>
      <c r="AK29" t="str">
        <f>IFERROR(INDEX('DRAFT 1'!$AG:$AG,MATCH($B29,'DRAFT 1'!$B:$B,0)),"")</f>
        <v/>
      </c>
      <c r="AL29" t="str">
        <f>IFERROR(INDEX('DRAFT 1'!$AH:$AH,MATCH($B29,'DRAFT 1'!$B:$B,0)),"")</f>
        <v/>
      </c>
      <c r="AM29" t="str">
        <f>IFERROR(INDEX('DRAFT 1'!$AI:$AI,MATCH($B29,'DRAFT 1'!$B:$B,0)),"")</f>
        <v/>
      </c>
      <c r="AN29" t="str">
        <f>IFERROR(INDEX('DRAFT 1'!$AJ:$AJ,MATCH($B29,'DRAFT 1'!$B:$B,0)),"")</f>
        <v/>
      </c>
      <c r="AO29">
        <f t="shared" si="0"/>
        <v>0</v>
      </c>
      <c r="AP29" t="str">
        <f>IFERROR(INDEX('DRAFT 1'!$AK:$AK,MATCH($B29,'DRAFT 1'!$B:$B,0)),"")</f>
        <v/>
      </c>
      <c r="AR29" t="s">
        <v>94</v>
      </c>
      <c r="AS29">
        <f>IFERROR(LOOKUP(2,1/('DRAFT 2'!$D:$D=$B29),'DRAFT 2'!$T:$T),"")</f>
        <v>0</v>
      </c>
      <c r="AT29">
        <f>IFERROR(LOOKUP(2,1/('DRAFT 2'!$D:$D=$B29),'DRAFT 2'!$A:$A),"")</f>
        <v>0</v>
      </c>
      <c r="AU29">
        <f>IFERROR(LOOKUP(2,1/('DRAFT 2'!$D:$D=$B29),'DRAFT 2'!$R:$R),"")</f>
        <v>0</v>
      </c>
      <c r="AV29">
        <f>IFERROR(LOOKUP(2,1/('DRAFT 2'!$D:$D=$B29),'DRAFT 2'!$S:$S),"")</f>
        <v>0</v>
      </c>
      <c r="AW29" t="s">
        <v>88</v>
      </c>
      <c r="AX29">
        <f>IFERROR(LOOKUP(2,1/('DRAFT 2'!$D:$D=$B29),'DRAFT 2'!$M:$M),"")</f>
        <v>0</v>
      </c>
      <c r="AY29">
        <f>IFERROR(LOOKUP(2,1/('DRAFT 2'!$D:$D=$B29),'DRAFT 2'!$K:$K),"")</f>
        <v>0</v>
      </c>
      <c r="BG29">
        <f>IFERROR(LOOKUP(2,1/('DRAFT 2'!$D:$D=$B29),'DRAFT 2'!$U:$U),"")</f>
        <v>0</v>
      </c>
      <c r="BH29">
        <f>IFERROR(LOOKUP(2,1/('DRAFT 2'!$D:$D=$B29),'DRAFT 2'!$V:$V),"")</f>
        <v>0</v>
      </c>
      <c r="CE29" t="str">
        <f t="shared" si="1"/>
        <v/>
      </c>
      <c r="CF29">
        <f>IFERROR(LOOKUP(2,1/('DRAFT 2'!$D:$D=$B29)*('DRAFT 2'!$A:$A&gt;=DATE(2026,1,1))*('DRAFT 2'!$A:$A&lt;DATE(2026,IF(1=12,1+1,1+1),1)),'DRAFT 2'!$A:$A),"")</f>
        <v>0</v>
      </c>
      <c r="CG29">
        <f>COUNTIFS('DRAFT 2'!$D:$D,$B29,'DRAFT 2'!$A:$A,"&gt;="&amp;DATE(2026,1,1),'DRAFT 2'!$A:$A,"&lt;="&amp;DATE(2026,1,7))</f>
        <v>0</v>
      </c>
      <c r="CH29">
        <f>COUNTIFS('DRAFT 2'!$D:$D,$B29,'DRAFT 2'!$A:$A,"&gt;="&amp;DATE(2026,1,8),'DRAFT 2'!$A:$A,"&lt;="&amp;DATE(2026,1,14))</f>
        <v>0</v>
      </c>
      <c r="CI29">
        <f>COUNTIFS('DRAFT 2'!$D:$D,$B29,'DRAFT 2'!$A:$A,"&gt;="&amp;DATE(2026,1,15),'DRAFT 2'!$A:$A,"&lt;="&amp;DATE(2026,1,21))</f>
        <v>0</v>
      </c>
      <c r="CJ29">
        <f>COUNTIFS('DRAFT 2'!$D:$D,$B29,'DRAFT 2'!$A:$A,"&gt;="&amp;DATE(2026,1,22),'DRAFT 2'!$A:$A,"&lt;"&amp;DATE(2026,IF(1=12,1+1,1+1),1))</f>
        <v>0</v>
      </c>
      <c r="CK29">
        <f t="shared" si="2"/>
        <v>0</v>
      </c>
      <c r="CT29">
        <v>0</v>
      </c>
      <c r="CU29">
        <f>IFERROR(LOOKUP(2,1/('DRAFT 2'!$D:$D=$B29)*('DRAFT 2'!$A:$A&gt;=DATE(2026,2,1))*('DRAFT 2'!$A:$A&lt;DATE(2026,IF(2=12,2+1,2+1),1)),'DRAFT 2'!$A:$A),"")</f>
        <v>0</v>
      </c>
      <c r="CV29">
        <f>COUNTIFS('DRAFT 2'!$D:$D,$B29,'DRAFT 2'!$A:$A,"&gt;="&amp;DATE(2026,2,1),'DRAFT 2'!$A:$A,"&lt;="&amp;DATE(2026,2,7))</f>
        <v>0</v>
      </c>
      <c r="CW29">
        <f>COUNTIFS('DRAFT 2'!$D:$D,$B29,'DRAFT 2'!$A:$A,"&gt;="&amp;DATE(2026,2,8),'DRAFT 2'!$A:$A,"&lt;="&amp;DATE(2026,2,14))</f>
        <v>0</v>
      </c>
      <c r="CX29">
        <f>COUNTIFS('DRAFT 2'!$D:$D,$B29,'DRAFT 2'!$A:$A,"&gt;="&amp;DATE(2026,2,15),'DRAFT 2'!$A:$A,"&lt;="&amp;DATE(2026,2,21))</f>
        <v>0</v>
      </c>
      <c r="CY29">
        <f>COUNTIFS('DRAFT 2'!$D:$D,$B29,'DRAFT 2'!$A:$A,"&gt;="&amp;DATE(2026,2,22),'DRAFT 2'!$A:$A,"&lt;"&amp;DATE(2026,IF(2=12,2+1,2+1),1))</f>
        <v>0</v>
      </c>
      <c r="CZ29">
        <f t="shared" si="3"/>
        <v>0</v>
      </c>
      <c r="DJ29">
        <f>IFERROR(LOOKUP(2,1/('DRAFT 2'!$D:$D=$B29)*('DRAFT 2'!$A:$A&gt;=DATE(2026,3,1))*('DRAFT 2'!$A:$A&lt;DATE(2026,IF(3=12,3+1,3+1),1)),'DRAFT 2'!$A:$A),"")</f>
        <v>0</v>
      </c>
      <c r="DK29">
        <f>COUNTIFS('DRAFT 2'!$D:$D,$B29,'DRAFT 2'!$A:$A,"&gt;="&amp;DATE(2026,3,1),'DRAFT 2'!$A:$A,"&lt;="&amp;DATE(2026,3,7))</f>
        <v>0</v>
      </c>
      <c r="DL29">
        <f>COUNTIFS('DRAFT 2'!$D:$D,$B29,'DRAFT 2'!$A:$A,"&gt;="&amp;DATE(2026,3,8),'DRAFT 2'!$A:$A,"&lt;="&amp;DATE(2026,3,14))</f>
        <v>0</v>
      </c>
      <c r="DM29">
        <f>COUNTIFS('DRAFT 2'!$D:$D,$B29,'DRAFT 2'!$A:$A,"&gt;="&amp;DATE(2026,3,15),'DRAFT 2'!$A:$A,"&lt;="&amp;DATE(2026,3,21))</f>
        <v>0</v>
      </c>
      <c r="DN29">
        <f>COUNTIFS('DRAFT 2'!$D:$D,$B29,'DRAFT 2'!$A:$A,"&gt;="&amp;DATE(2026,3,22),'DRAFT 2'!$A:$A,"&lt;"&amp;DATE(2026,IF(3=12,3+1,3+1),1))</f>
        <v>0</v>
      </c>
      <c r="DO29">
        <f t="shared" si="4"/>
        <v>0</v>
      </c>
      <c r="DZ29">
        <f>IFERROR(LOOKUP(2,1/('DRAFT 2'!$D:$D=$B29)*('DRAFT 2'!$A:$A&gt;=DATE(2026,4,1))*('DRAFT 2'!$A:$A&lt;DATE(2026,IF(4=12,4+1,4+1),1)),'DRAFT 2'!$A:$A),"")</f>
        <v>0</v>
      </c>
      <c r="EA29">
        <f>COUNTIFS('DRAFT 2'!$D:$D,$B29,'DRAFT 2'!$A:$A,"&gt;="&amp;DATE(2026,4,1),'DRAFT 2'!$A:$A,"&lt;="&amp;DATE(2026,4,7))</f>
        <v>0</v>
      </c>
      <c r="EB29">
        <f>COUNTIFS('DRAFT 2'!$D:$D,$B29,'DRAFT 2'!$A:$A,"&gt;="&amp;DATE(2026,4,8),'DRAFT 2'!$A:$A,"&lt;="&amp;DATE(2026,4,14))</f>
        <v>0</v>
      </c>
      <c r="EC29">
        <f>COUNTIFS('DRAFT 2'!$D:$D,$B29,'DRAFT 2'!$A:$A,"&gt;="&amp;DATE(2026,4,15),'DRAFT 2'!$A:$A,"&lt;="&amp;DATE(2026,4,21))</f>
        <v>0</v>
      </c>
      <c r="ED29">
        <f>COUNTIFS('DRAFT 2'!$D:$D,$B29,'DRAFT 2'!$A:$A,"&gt;="&amp;DATE(2026,4,22),'DRAFT 2'!$A:$A,"&lt;"&amp;DATE(2026,IF(4=12,4+1,4+1),1))</f>
        <v>0</v>
      </c>
      <c r="EE29">
        <f t="shared" si="5"/>
        <v>0</v>
      </c>
      <c r="EO29">
        <f>IFERROR(LOOKUP(2,1/('DRAFT 2'!$D:$D=$B29)*('DRAFT 2'!$A:$A&gt;=DATE(2026,5,1))*('DRAFT 2'!$A:$A&lt;DATE(2026,IF(5=12,5+1,5+1),1)),'DRAFT 2'!$A:$A),"")</f>
        <v>0</v>
      </c>
      <c r="EP29">
        <f>COUNTIFS('DRAFT 2'!$D:$D,$B29,'DRAFT 2'!$A:$A,"&gt;="&amp;DATE(2026,5,1),'DRAFT 2'!$A:$A,"&lt;="&amp;DATE(2026,5,7))</f>
        <v>0</v>
      </c>
      <c r="EQ29">
        <f>COUNTIFS('DRAFT 2'!$D:$D,$B29,'DRAFT 2'!$A:$A,"&gt;="&amp;DATE(2026,5,8),'DRAFT 2'!$A:$A,"&lt;="&amp;DATE(2026,5,14))</f>
        <v>0</v>
      </c>
      <c r="ER29">
        <f>COUNTIFS('DRAFT 2'!$D:$D,$B29,'DRAFT 2'!$A:$A,"&gt;="&amp;DATE(2026,5,15),'DRAFT 2'!$A:$A,"&lt;="&amp;DATE(2026,5,21))</f>
        <v>0</v>
      </c>
      <c r="ES29">
        <f>COUNTIFS('DRAFT 2'!$D:$D,$B29,'DRAFT 2'!$A:$A,"&gt;="&amp;DATE(2026,5,22),'DRAFT 2'!$A:$A,"&lt;"&amp;DATE(2026,IF(5=12,5+1,5+1),1))</f>
        <v>0</v>
      </c>
      <c r="ET29">
        <f t="shared" si="6"/>
        <v>0</v>
      </c>
      <c r="FD29">
        <f>IFERROR(LOOKUP(2,1/('DRAFT 2'!$D:$D=$B29)*('DRAFT 2'!$A:$A&gt;=DATE(2026,6,1))*('DRAFT 2'!$A:$A&lt;DATE(2026,IF(6=12,6+1,6+1),1)),'DRAFT 2'!$A:$A),"")</f>
        <v>0</v>
      </c>
      <c r="FE29">
        <f>COUNTIFS('DRAFT 2'!$D:$D,$B29,'DRAFT 2'!$A:$A,"&gt;="&amp;DATE(2026,6,1),'DRAFT 2'!$A:$A,"&lt;="&amp;DATE(2026,6,7))</f>
        <v>0</v>
      </c>
      <c r="FF29">
        <f>COUNTIFS('DRAFT 2'!$D:$D,$B29,'DRAFT 2'!$A:$A,"&gt;="&amp;DATE(2026,6,8),'DRAFT 2'!$A:$A,"&lt;="&amp;DATE(2026,6,14))</f>
        <v>0</v>
      </c>
      <c r="FG29">
        <f>COUNTIFS('DRAFT 2'!$D:$D,$B29,'DRAFT 2'!$A:$A,"&gt;="&amp;DATE(2026,6,15),'DRAFT 2'!$A:$A,"&lt;="&amp;DATE(2026,6,21))</f>
        <v>0</v>
      </c>
      <c r="FH29">
        <f>COUNTIFS('DRAFT 2'!$D:$D,$B29,'DRAFT 2'!$A:$A,"&gt;="&amp;DATE(2026,6,22),'DRAFT 2'!$A:$A,"&lt;"&amp;DATE(2026,IF(6=12,6+1,6+1),1))</f>
        <v>0</v>
      </c>
      <c r="FI29">
        <f t="shared" si="7"/>
        <v>0</v>
      </c>
      <c r="FT29">
        <f>IFERROR(LOOKUP(2,1/('DRAFT 2'!$D:$D=$B29)*('DRAFT 2'!$A:$A&gt;=DATE(2026,7,1))*('DRAFT 2'!$A:$A&lt;DATE(2026,IF(7=12,7+1,7+1),1)),'DRAFT 2'!$A:$A),"")</f>
        <v>0</v>
      </c>
      <c r="FU29">
        <f>COUNTIFS('DRAFT 2'!$D:$D,$B29,'DRAFT 2'!$A:$A,"&gt;="&amp;DATE(2026,7,1),'DRAFT 2'!$A:$A,"&lt;="&amp;DATE(2026,7,7))</f>
        <v>0</v>
      </c>
      <c r="FV29">
        <f>COUNTIFS('DRAFT 2'!$D:$D,$B29,'DRAFT 2'!$A:$A,"&gt;="&amp;DATE(2026,7,8),'DRAFT 2'!$A:$A,"&lt;="&amp;DATE(2026,7,14))</f>
        <v>0</v>
      </c>
      <c r="FW29">
        <f>COUNTIFS('DRAFT 2'!$D:$D,$B29,'DRAFT 2'!$A:$A,"&gt;="&amp;DATE(2026,7,15),'DRAFT 2'!$A:$A,"&lt;="&amp;DATE(2026,7,21))</f>
        <v>0</v>
      </c>
      <c r="FX29">
        <f>COUNTIFS('DRAFT 2'!$D:$D,$B29,'DRAFT 2'!$A:$A,"&gt;="&amp;DATE(2026,7,22),'DRAFT 2'!$A:$A,"&lt;"&amp;DATE(2026,IF(7=12,7+1,7+1),1))</f>
        <v>0</v>
      </c>
      <c r="FY29">
        <f t="shared" si="8"/>
        <v>0</v>
      </c>
      <c r="GI29">
        <f>IFERROR(LOOKUP(2,1/('DRAFT 2'!$D:$D=$B29)*('DRAFT 2'!$A:$A&gt;=DATE(2026,8,1))*('DRAFT 2'!$A:$A&lt;DATE(2026,IF(8=12,8+1,8+1),1)),'DRAFT 2'!$A:$A),"")</f>
        <v>0</v>
      </c>
      <c r="GJ29">
        <f>COUNTIFS('DRAFT 2'!$D:$D,$B29,'DRAFT 2'!$A:$A,"&gt;="&amp;DATE(2026,8,1),'DRAFT 2'!$A:$A,"&lt;="&amp;DATE(2026,8,7))</f>
        <v>0</v>
      </c>
      <c r="GK29">
        <f>COUNTIFS('DRAFT 2'!$D:$D,$B29,'DRAFT 2'!$A:$A,"&gt;="&amp;DATE(2026,8,8),'DRAFT 2'!$A:$A,"&lt;="&amp;DATE(2026,8,14))</f>
        <v>0</v>
      </c>
      <c r="GL29">
        <f>COUNTIFS('DRAFT 2'!$D:$D,$B29,'DRAFT 2'!$A:$A,"&gt;="&amp;DATE(2026,8,15),'DRAFT 2'!$A:$A,"&lt;="&amp;DATE(2026,8,21))</f>
        <v>0</v>
      </c>
      <c r="GM29">
        <f>COUNTIFS('DRAFT 2'!$D:$D,$B29,'DRAFT 2'!$A:$A,"&gt;="&amp;DATE(2026,8,22),'DRAFT 2'!$A:$A,"&lt;"&amp;DATE(2026,IF(8=12,8+1,8+1),1))</f>
        <v>0</v>
      </c>
      <c r="GN29">
        <f t="shared" si="9"/>
        <v>0</v>
      </c>
      <c r="GX29">
        <f>IFERROR(LOOKUP(2,1/('DRAFT 2'!$D:$D=$B29)*('DRAFT 2'!$A:$A&gt;=DATE(2026,9,1))*('DRAFT 2'!$A:$A&lt;DATE(2026,IF(9=12,9+1,9+1),1)),'DRAFT 2'!$A:$A),"")</f>
        <v>0</v>
      </c>
      <c r="GY29">
        <f>COUNTIFS('DRAFT 2'!$D:$D,$B29,'DRAFT 2'!$A:$A,"&gt;="&amp;DATE(2026,9,1),'DRAFT 2'!$A:$A,"&lt;="&amp;DATE(2026,9,7))</f>
        <v>0</v>
      </c>
      <c r="GZ29">
        <f>COUNTIFS('DRAFT 2'!$D:$D,$B29,'DRAFT 2'!$A:$A,"&gt;="&amp;DATE(2026,9,8),'DRAFT 2'!$A:$A,"&lt;="&amp;DATE(2026,9,14))</f>
        <v>0</v>
      </c>
      <c r="HA29">
        <f>COUNTIFS('DRAFT 2'!$D:$D,$B29,'DRAFT 2'!$A:$A,"&gt;="&amp;DATE(2026,9,15),'DRAFT 2'!$A:$A,"&lt;="&amp;DATE(2026,9,21))</f>
        <v>0</v>
      </c>
      <c r="HB29">
        <f>COUNTIFS('DRAFT 2'!$D:$D,$B29,'DRAFT 2'!$A:$A,"&gt;="&amp;DATE(2026,9,22),'DRAFT 2'!$A:$A,"&lt;"&amp;DATE(2026,IF(9=12,9+1,9+1),1))</f>
        <v>0</v>
      </c>
      <c r="HC29">
        <f t="shared" si="10"/>
        <v>0</v>
      </c>
      <c r="HN29">
        <f>IFERROR(LOOKUP(2,1/('DRAFT 2'!$D:$D=$B29)*('DRAFT 2'!$A:$A&gt;=DATE(2026,10,1))*('DRAFT 2'!$A:$A&lt;DATE(2026,IF(10=12,10+1,10+1),1)),'DRAFT 2'!$A:$A),"")</f>
        <v>0</v>
      </c>
      <c r="HO29">
        <f>COUNTIFS('DRAFT 2'!$D:$D,$B29,'DRAFT 2'!$A:$A,"&gt;="&amp;DATE(2026,10,1),'DRAFT 2'!$A:$A,"&lt;="&amp;DATE(2026,10,7))</f>
        <v>0</v>
      </c>
      <c r="HP29">
        <f>COUNTIFS('DRAFT 2'!$D:$D,$B29,'DRAFT 2'!$A:$A,"&gt;="&amp;DATE(2026,10,8),'DRAFT 2'!$A:$A,"&lt;="&amp;DATE(2026,10,14))</f>
        <v>0</v>
      </c>
      <c r="HQ29">
        <f>COUNTIFS('DRAFT 2'!$D:$D,$B29,'DRAFT 2'!$A:$A,"&gt;="&amp;DATE(2026,10,15),'DRAFT 2'!$A:$A,"&lt;="&amp;DATE(2026,10,21))</f>
        <v>0</v>
      </c>
      <c r="HR29">
        <f>COUNTIFS('DRAFT 2'!$D:$D,$B29,'DRAFT 2'!$A:$A,"&gt;="&amp;DATE(2026,10,22),'DRAFT 2'!$A:$A,"&lt;"&amp;DATE(2026,IF(10=12,10+1,10+1),1))</f>
        <v>0</v>
      </c>
      <c r="HS29">
        <f t="shared" si="11"/>
        <v>0</v>
      </c>
      <c r="IC29">
        <f>IFERROR(LOOKUP(2,1/('DRAFT 2'!$D:$D=$B29)*('DRAFT 2'!$A:$A&gt;=DATE(2026,11,1))*('DRAFT 2'!$A:$A&lt;DATE(2026,IF(11=12,11+1,11+1),1)),'DRAFT 2'!$A:$A),"")</f>
        <v>0</v>
      </c>
      <c r="ID29">
        <f>COUNTIFS('DRAFT 2'!$D:$D,$B29,'DRAFT 2'!$A:$A,"&gt;="&amp;DATE(2026,11,1),'DRAFT 2'!$A:$A,"&lt;="&amp;DATE(2026,11,7))</f>
        <v>0</v>
      </c>
      <c r="IE29">
        <f>COUNTIFS('DRAFT 2'!$D:$D,$B29,'DRAFT 2'!$A:$A,"&gt;="&amp;DATE(2026,11,8),'DRAFT 2'!$A:$A,"&lt;="&amp;DATE(2026,11,14))</f>
        <v>0</v>
      </c>
      <c r="IF29">
        <f>COUNTIFS('DRAFT 2'!$D:$D,$B29,'DRAFT 2'!$A:$A,"&gt;="&amp;DATE(2026,11,15),'DRAFT 2'!$A:$A,"&lt;="&amp;DATE(2026,11,21))</f>
        <v>0</v>
      </c>
      <c r="IG29">
        <f>COUNTIFS('DRAFT 2'!$D:$D,$B29,'DRAFT 2'!$A:$A,"&gt;="&amp;DATE(2026,11,22),'DRAFT 2'!$A:$A,"&lt;"&amp;DATE(2026,IF(11=12,11+1,11+1),1))</f>
        <v>0</v>
      </c>
      <c r="IH29">
        <f t="shared" si="12"/>
        <v>0</v>
      </c>
      <c r="IR29">
        <f>IFERROR(LOOKUP(2,1/('DRAFT 2'!$D:$D=$B29)*('DRAFT 2'!$A:$A&gt;=DATE(2026,12,1))*('DRAFT 2'!$A:$A&lt;DATE(2026,IF(12=12,12+1,12+1),1)),'DRAFT 2'!$A:$A),"")</f>
        <v>0</v>
      </c>
      <c r="IS29">
        <f>COUNTIFS('DRAFT 2'!$D:$D,$B29,'DRAFT 2'!$A:$A,"&gt;="&amp;DATE(2026,12,1),'DRAFT 2'!$A:$A,"&lt;="&amp;DATE(2026,12,7))</f>
        <v>0</v>
      </c>
      <c r="IT29">
        <f>COUNTIFS('DRAFT 2'!$D:$D,$B29,'DRAFT 2'!$A:$A,"&gt;="&amp;DATE(2026,12,8),'DRAFT 2'!$A:$A,"&lt;="&amp;DATE(2026,12,14))</f>
        <v>0</v>
      </c>
      <c r="IU29">
        <f>COUNTIFS('DRAFT 2'!$D:$D,$B29,'DRAFT 2'!$A:$A,"&gt;="&amp;DATE(2026,12,15),'DRAFT 2'!$A:$A,"&lt;="&amp;DATE(2026,12,21))</f>
        <v>0</v>
      </c>
      <c r="IV29">
        <f>COUNTIFS('DRAFT 2'!$D:$D,$B29,'DRAFT 2'!$A:$A,"&gt;="&amp;DATE(2026,12,22),'DRAFT 2'!$A:$A,"&lt;"&amp;DATE(2026,IF(12=12,12+1,12+1),1))</f>
        <v>0</v>
      </c>
      <c r="IW29">
        <f t="shared" si="13"/>
        <v>0</v>
      </c>
    </row>
    <row r="30" spans="1:257" x14ac:dyDescent="0.3">
      <c r="A30" t="str">
        <f>IFERROR(INDEX('DRAFT 1'!$A:$A,MATCH($B30,'DRAFT 1'!$B:$B,0)),"")</f>
        <v/>
      </c>
      <c r="C30" t="str">
        <f>IFERROR(INDEX('DRAFT 1'!$C:$C,MATCH($B30,'DRAFT 1'!$B:$B,0)),"")</f>
        <v/>
      </c>
      <c r="D30" t="str">
        <f>IFERROR(INDEX('DRAFT 1'!$D:$D,MATCH($B30,'DRAFT 1'!$B:$B,0)),"")</f>
        <v/>
      </c>
      <c r="E30" t="str">
        <f>IFERROR(INDEX('DRAFT 1'!$E:$E,MATCH($B30,'DRAFT 1'!$B:$B,0)),"")</f>
        <v/>
      </c>
      <c r="F30" t="str">
        <f>IFERROR(INDEX('DRAFT 1'!$F:$F,MATCH($B30,'DRAFT 1'!$B:$B,0)),"")</f>
        <v/>
      </c>
      <c r="G30" t="str">
        <f>IFERROR(INDEX('DRAFT 1'!$G:$G,MATCH($B30,'DRAFT 1'!$B:$B,0)),"")</f>
        <v/>
      </c>
      <c r="H30" t="str">
        <f>IFERROR(INDEX('DRAFT 1'!$H:$H,MATCH($B30,'DRAFT 1'!$B:$B,0)),"")</f>
        <v/>
      </c>
      <c r="I30" t="s">
        <v>297</v>
      </c>
      <c r="K30" t="str">
        <f>IFERROR(INDEX('DRAFT 1'!$AL:$AL,MATCH($B30,'DRAFT 1'!$B:$B,0)),"")</f>
        <v/>
      </c>
      <c r="L30" t="str">
        <f>IFERROR(INDEX('DRAFT 1'!$J:$J,MATCH($B30,'DRAFT 1'!$B:$B,0)),"")</f>
        <v/>
      </c>
      <c r="M30" t="str">
        <f>IFERROR(INDEX('DRAFT 1'!$K:$K,MATCH($B30,'DRAFT 1'!$B:$B,0)),"")</f>
        <v/>
      </c>
      <c r="N30" t="s">
        <v>85</v>
      </c>
      <c r="P30" t="str">
        <f>IFERROR(INDEX('DRAFT 1'!$L:$L,MATCH($B30,'DRAFT 1'!$B:$B,0)),"")</f>
        <v/>
      </c>
      <c r="Q30" t="str">
        <f>IFERROR(INDEX('DRAFT 1'!$M:$M,MATCH($B30,'DRAFT 1'!$B:$B,0)),"")</f>
        <v/>
      </c>
      <c r="R30" t="str">
        <f>IFERROR(INDEX('DRAFT 1'!$N:$N,MATCH($B30,'DRAFT 1'!$B:$B,0)),"")</f>
        <v/>
      </c>
      <c r="S30" t="str">
        <f>IFERROR(INDEX('DRAFT 1'!$O:$O,MATCH($B30,'DRAFT 1'!$B:$B,0)),"")</f>
        <v/>
      </c>
      <c r="T30" t="str">
        <f>IFERROR(INDEX('DRAFT 1'!$P:$P,MATCH($B30,'DRAFT 1'!$B:$B,0)),"")</f>
        <v/>
      </c>
      <c r="U30" t="str">
        <f>IFERROR(INDEX('DRAFT 1'!$Q:$Q,MATCH($B30,'DRAFT 1'!$B:$B,0)),"")</f>
        <v/>
      </c>
      <c r="V30" t="str">
        <f>IFERROR(INDEX('DRAFT 1'!$R:$R,MATCH($B30,'DRAFT 1'!$B:$B,0)),"")</f>
        <v/>
      </c>
      <c r="W30" t="str">
        <f>IFERROR(INDEX('DRAFT 1'!$S:$S,MATCH($B30,'DRAFT 1'!$B:$B,0)),"")</f>
        <v/>
      </c>
      <c r="X30" t="str">
        <f>IFERROR(INDEX('DRAFT 1'!$T:$T,MATCH($B30,'DRAFT 1'!$B:$B,0)),"")</f>
        <v/>
      </c>
      <c r="Z30" t="str">
        <f>IFERROR(INDEX('DRAFT 1'!$U:$U,MATCH($B30,'DRAFT 1'!$B:$B,0)),"")</f>
        <v/>
      </c>
      <c r="AA30" t="str">
        <f>IFERROR(INDEX('DRAFT 1'!$V:$V,MATCH($B30,'DRAFT 1'!$B:$B,0)),"")</f>
        <v/>
      </c>
      <c r="AB30" t="str">
        <f>IFERROR(INDEX('DRAFT 1'!$W:$W,MATCH($B30,'DRAFT 1'!$B:$B,0)),"")</f>
        <v/>
      </c>
      <c r="AC30" t="str">
        <f>IFERROR(INDEX('DRAFT 1'!$X:$X,MATCH($B30,'DRAFT 1'!$B:$B,0)),"")</f>
        <v/>
      </c>
      <c r="AD30" t="str">
        <f>IFERROR(INDEX('DRAFT 1'!$Y:$Y,MATCH($B30,'DRAFT 1'!$B:$B,0)),"")</f>
        <v/>
      </c>
      <c r="AE30" t="str">
        <f>IFERROR(INDEX('DRAFT 1'!$Z:$Z,MATCH($B30,'DRAFT 1'!$B:$B,0)),"")</f>
        <v/>
      </c>
      <c r="AF30" t="str">
        <f>IFERROR(INDEX('DRAFT 1'!$AA:$AA,MATCH($B30,'DRAFT 1'!$B:$B,0)),"")</f>
        <v/>
      </c>
      <c r="AG30" t="str">
        <f>IFERROR(INDEX('DRAFT 1'!$AB:$AB,MATCH($B30,'DRAFT 1'!$B:$B,0)),"")</f>
        <v/>
      </c>
      <c r="AH30" t="str">
        <f>IFERROR(INDEX('DRAFT 1'!$AC:$AC,MATCH($B30,'DRAFT 1'!$B:$B,0)),"")</f>
        <v/>
      </c>
      <c r="AI30" t="str">
        <f>IFERROR(INDEX('DRAFT 1'!$AD:$AD,MATCH($B30,'DRAFT 1'!$B:$B,0)),"")</f>
        <v/>
      </c>
      <c r="AJ30" t="str">
        <f>IFERROR(INDEX('DRAFT 1'!$AE:$AE,MATCH($B30,'DRAFT 1'!$B:$B,0)),"")</f>
        <v/>
      </c>
      <c r="AK30" t="str">
        <f>IFERROR(INDEX('DRAFT 1'!$AG:$AG,MATCH($B30,'DRAFT 1'!$B:$B,0)),"")</f>
        <v/>
      </c>
      <c r="AL30" t="str">
        <f>IFERROR(INDEX('DRAFT 1'!$AH:$AH,MATCH($B30,'DRAFT 1'!$B:$B,0)),"")</f>
        <v/>
      </c>
      <c r="AM30" t="str">
        <f>IFERROR(INDEX('DRAFT 1'!$AI:$AI,MATCH($B30,'DRAFT 1'!$B:$B,0)),"")</f>
        <v/>
      </c>
      <c r="AN30" t="str">
        <f>IFERROR(INDEX('DRAFT 1'!$AJ:$AJ,MATCH($B30,'DRAFT 1'!$B:$B,0)),"")</f>
        <v/>
      </c>
      <c r="AO30">
        <f t="shared" si="0"/>
        <v>0</v>
      </c>
      <c r="AP30" t="str">
        <f>IFERROR(INDEX('DRAFT 1'!$AK:$AK,MATCH($B30,'DRAFT 1'!$B:$B,0)),"")</f>
        <v/>
      </c>
      <c r="AR30" t="s">
        <v>95</v>
      </c>
      <c r="AS30">
        <f>IFERROR(LOOKUP(2,1/('DRAFT 2'!$D:$D=$B30),'DRAFT 2'!$T:$T),"")</f>
        <v>0</v>
      </c>
      <c r="AT30">
        <f>IFERROR(LOOKUP(2,1/('DRAFT 2'!$D:$D=$B30),'DRAFT 2'!$A:$A),"")</f>
        <v>0</v>
      </c>
      <c r="AU30">
        <f>IFERROR(LOOKUP(2,1/('DRAFT 2'!$D:$D=$B30),'DRAFT 2'!$R:$R),"")</f>
        <v>0</v>
      </c>
      <c r="AV30">
        <f>IFERROR(LOOKUP(2,1/('DRAFT 2'!$D:$D=$B30),'DRAFT 2'!$S:$S),"")</f>
        <v>0</v>
      </c>
      <c r="AW30" t="s">
        <v>126</v>
      </c>
      <c r="AX30">
        <f>IFERROR(LOOKUP(2,1/('DRAFT 2'!$D:$D=$B30),'DRAFT 2'!$M:$M),"")</f>
        <v>0</v>
      </c>
      <c r="AY30">
        <f>IFERROR(LOOKUP(2,1/('DRAFT 2'!$D:$D=$B30),'DRAFT 2'!$K:$K),"")</f>
        <v>0</v>
      </c>
      <c r="BG30">
        <f>IFERROR(LOOKUP(2,1/('DRAFT 2'!$D:$D=$B30),'DRAFT 2'!$U:$U),"")</f>
        <v>0</v>
      </c>
      <c r="BH30">
        <f>IFERROR(LOOKUP(2,1/('DRAFT 2'!$D:$D=$B30),'DRAFT 2'!$V:$V),"")</f>
        <v>0</v>
      </c>
      <c r="CE30" t="str">
        <f t="shared" si="1"/>
        <v/>
      </c>
      <c r="CF30">
        <f>IFERROR(LOOKUP(2,1/('DRAFT 2'!$D:$D=$B30)*('DRAFT 2'!$A:$A&gt;=DATE(2026,1,1))*('DRAFT 2'!$A:$A&lt;DATE(2026,IF(1=12,1+1,1+1),1)),'DRAFT 2'!$A:$A),"")</f>
        <v>0</v>
      </c>
      <c r="CG30">
        <f>COUNTIFS('DRAFT 2'!$D:$D,$B30,'DRAFT 2'!$A:$A,"&gt;="&amp;DATE(2026,1,1),'DRAFT 2'!$A:$A,"&lt;="&amp;DATE(2026,1,7))</f>
        <v>0</v>
      </c>
      <c r="CH30">
        <f>COUNTIFS('DRAFT 2'!$D:$D,$B30,'DRAFT 2'!$A:$A,"&gt;="&amp;DATE(2026,1,8),'DRAFT 2'!$A:$A,"&lt;="&amp;DATE(2026,1,14))</f>
        <v>0</v>
      </c>
      <c r="CI30">
        <f>COUNTIFS('DRAFT 2'!$D:$D,$B30,'DRAFT 2'!$A:$A,"&gt;="&amp;DATE(2026,1,15),'DRAFT 2'!$A:$A,"&lt;="&amp;DATE(2026,1,21))</f>
        <v>0</v>
      </c>
      <c r="CJ30">
        <f>COUNTIFS('DRAFT 2'!$D:$D,$B30,'DRAFT 2'!$A:$A,"&gt;="&amp;DATE(2026,1,22),'DRAFT 2'!$A:$A,"&lt;"&amp;DATE(2026,IF(1=12,1+1,1+1),1))</f>
        <v>0</v>
      </c>
      <c r="CK30">
        <f t="shared" si="2"/>
        <v>0</v>
      </c>
      <c r="CT30">
        <v>0</v>
      </c>
      <c r="CU30">
        <f>IFERROR(LOOKUP(2,1/('DRAFT 2'!$D:$D=$B30)*('DRAFT 2'!$A:$A&gt;=DATE(2026,2,1))*('DRAFT 2'!$A:$A&lt;DATE(2026,IF(2=12,2+1,2+1),1)),'DRAFT 2'!$A:$A),"")</f>
        <v>0</v>
      </c>
      <c r="CV30">
        <f>COUNTIFS('DRAFT 2'!$D:$D,$B30,'DRAFT 2'!$A:$A,"&gt;="&amp;DATE(2026,2,1),'DRAFT 2'!$A:$A,"&lt;="&amp;DATE(2026,2,7))</f>
        <v>0</v>
      </c>
      <c r="CW30">
        <f>COUNTIFS('DRAFT 2'!$D:$D,$B30,'DRAFT 2'!$A:$A,"&gt;="&amp;DATE(2026,2,8),'DRAFT 2'!$A:$A,"&lt;="&amp;DATE(2026,2,14))</f>
        <v>0</v>
      </c>
      <c r="CX30">
        <f>COUNTIFS('DRAFT 2'!$D:$D,$B30,'DRAFT 2'!$A:$A,"&gt;="&amp;DATE(2026,2,15),'DRAFT 2'!$A:$A,"&lt;="&amp;DATE(2026,2,21))</f>
        <v>0</v>
      </c>
      <c r="CY30">
        <f>COUNTIFS('DRAFT 2'!$D:$D,$B30,'DRAFT 2'!$A:$A,"&gt;="&amp;DATE(2026,2,22),'DRAFT 2'!$A:$A,"&lt;"&amp;DATE(2026,IF(2=12,2+1,2+1),1))</f>
        <v>0</v>
      </c>
      <c r="CZ30">
        <f t="shared" si="3"/>
        <v>0</v>
      </c>
      <c r="DJ30">
        <f>IFERROR(LOOKUP(2,1/('DRAFT 2'!$D:$D=$B30)*('DRAFT 2'!$A:$A&gt;=DATE(2026,3,1))*('DRAFT 2'!$A:$A&lt;DATE(2026,IF(3=12,3+1,3+1),1)),'DRAFT 2'!$A:$A),"")</f>
        <v>0</v>
      </c>
      <c r="DK30">
        <f>COUNTIFS('DRAFT 2'!$D:$D,$B30,'DRAFT 2'!$A:$A,"&gt;="&amp;DATE(2026,3,1),'DRAFT 2'!$A:$A,"&lt;="&amp;DATE(2026,3,7))</f>
        <v>0</v>
      </c>
      <c r="DL30">
        <f>COUNTIFS('DRAFT 2'!$D:$D,$B30,'DRAFT 2'!$A:$A,"&gt;="&amp;DATE(2026,3,8),'DRAFT 2'!$A:$A,"&lt;="&amp;DATE(2026,3,14))</f>
        <v>0</v>
      </c>
      <c r="DM30">
        <f>COUNTIFS('DRAFT 2'!$D:$D,$B30,'DRAFT 2'!$A:$A,"&gt;="&amp;DATE(2026,3,15),'DRAFT 2'!$A:$A,"&lt;="&amp;DATE(2026,3,21))</f>
        <v>0</v>
      </c>
      <c r="DN30">
        <f>COUNTIFS('DRAFT 2'!$D:$D,$B30,'DRAFT 2'!$A:$A,"&gt;="&amp;DATE(2026,3,22),'DRAFT 2'!$A:$A,"&lt;"&amp;DATE(2026,IF(3=12,3+1,3+1),1))</f>
        <v>0</v>
      </c>
      <c r="DO30">
        <f t="shared" si="4"/>
        <v>0</v>
      </c>
      <c r="DZ30">
        <f>IFERROR(LOOKUP(2,1/('DRAFT 2'!$D:$D=$B30)*('DRAFT 2'!$A:$A&gt;=DATE(2026,4,1))*('DRAFT 2'!$A:$A&lt;DATE(2026,IF(4=12,4+1,4+1),1)),'DRAFT 2'!$A:$A),"")</f>
        <v>0</v>
      </c>
      <c r="EA30">
        <f>COUNTIFS('DRAFT 2'!$D:$D,$B30,'DRAFT 2'!$A:$A,"&gt;="&amp;DATE(2026,4,1),'DRAFT 2'!$A:$A,"&lt;="&amp;DATE(2026,4,7))</f>
        <v>0</v>
      </c>
      <c r="EB30">
        <f>COUNTIFS('DRAFT 2'!$D:$D,$B30,'DRAFT 2'!$A:$A,"&gt;="&amp;DATE(2026,4,8),'DRAFT 2'!$A:$A,"&lt;="&amp;DATE(2026,4,14))</f>
        <v>0</v>
      </c>
      <c r="EC30">
        <f>COUNTIFS('DRAFT 2'!$D:$D,$B30,'DRAFT 2'!$A:$A,"&gt;="&amp;DATE(2026,4,15),'DRAFT 2'!$A:$A,"&lt;="&amp;DATE(2026,4,21))</f>
        <v>0</v>
      </c>
      <c r="ED30">
        <f>COUNTIFS('DRAFT 2'!$D:$D,$B30,'DRAFT 2'!$A:$A,"&gt;="&amp;DATE(2026,4,22),'DRAFT 2'!$A:$A,"&lt;"&amp;DATE(2026,IF(4=12,4+1,4+1),1))</f>
        <v>0</v>
      </c>
      <c r="EE30">
        <f t="shared" si="5"/>
        <v>0</v>
      </c>
      <c r="EO30">
        <f>IFERROR(LOOKUP(2,1/('DRAFT 2'!$D:$D=$B30)*('DRAFT 2'!$A:$A&gt;=DATE(2026,5,1))*('DRAFT 2'!$A:$A&lt;DATE(2026,IF(5=12,5+1,5+1),1)),'DRAFT 2'!$A:$A),"")</f>
        <v>0</v>
      </c>
      <c r="EP30">
        <f>COUNTIFS('DRAFT 2'!$D:$D,$B30,'DRAFT 2'!$A:$A,"&gt;="&amp;DATE(2026,5,1),'DRAFT 2'!$A:$A,"&lt;="&amp;DATE(2026,5,7))</f>
        <v>0</v>
      </c>
      <c r="EQ30">
        <f>COUNTIFS('DRAFT 2'!$D:$D,$B30,'DRAFT 2'!$A:$A,"&gt;="&amp;DATE(2026,5,8),'DRAFT 2'!$A:$A,"&lt;="&amp;DATE(2026,5,14))</f>
        <v>0</v>
      </c>
      <c r="ER30">
        <f>COUNTIFS('DRAFT 2'!$D:$D,$B30,'DRAFT 2'!$A:$A,"&gt;="&amp;DATE(2026,5,15),'DRAFT 2'!$A:$A,"&lt;="&amp;DATE(2026,5,21))</f>
        <v>0</v>
      </c>
      <c r="ES30">
        <f>COUNTIFS('DRAFT 2'!$D:$D,$B30,'DRAFT 2'!$A:$A,"&gt;="&amp;DATE(2026,5,22),'DRAFT 2'!$A:$A,"&lt;"&amp;DATE(2026,IF(5=12,5+1,5+1),1))</f>
        <v>0</v>
      </c>
      <c r="ET30">
        <f t="shared" si="6"/>
        <v>0</v>
      </c>
      <c r="FD30">
        <f>IFERROR(LOOKUP(2,1/('DRAFT 2'!$D:$D=$B30)*('DRAFT 2'!$A:$A&gt;=DATE(2026,6,1))*('DRAFT 2'!$A:$A&lt;DATE(2026,IF(6=12,6+1,6+1),1)),'DRAFT 2'!$A:$A),"")</f>
        <v>0</v>
      </c>
      <c r="FE30">
        <f>COUNTIFS('DRAFT 2'!$D:$D,$B30,'DRAFT 2'!$A:$A,"&gt;="&amp;DATE(2026,6,1),'DRAFT 2'!$A:$A,"&lt;="&amp;DATE(2026,6,7))</f>
        <v>0</v>
      </c>
      <c r="FF30">
        <f>COUNTIFS('DRAFT 2'!$D:$D,$B30,'DRAFT 2'!$A:$A,"&gt;="&amp;DATE(2026,6,8),'DRAFT 2'!$A:$A,"&lt;="&amp;DATE(2026,6,14))</f>
        <v>0</v>
      </c>
      <c r="FG30">
        <f>COUNTIFS('DRAFT 2'!$D:$D,$B30,'DRAFT 2'!$A:$A,"&gt;="&amp;DATE(2026,6,15),'DRAFT 2'!$A:$A,"&lt;="&amp;DATE(2026,6,21))</f>
        <v>0</v>
      </c>
      <c r="FH30">
        <f>COUNTIFS('DRAFT 2'!$D:$D,$B30,'DRAFT 2'!$A:$A,"&gt;="&amp;DATE(2026,6,22),'DRAFT 2'!$A:$A,"&lt;"&amp;DATE(2026,IF(6=12,6+1,6+1),1))</f>
        <v>0</v>
      </c>
      <c r="FI30">
        <f t="shared" si="7"/>
        <v>0</v>
      </c>
      <c r="FT30">
        <f>IFERROR(LOOKUP(2,1/('DRAFT 2'!$D:$D=$B30)*('DRAFT 2'!$A:$A&gt;=DATE(2026,7,1))*('DRAFT 2'!$A:$A&lt;DATE(2026,IF(7=12,7+1,7+1),1)),'DRAFT 2'!$A:$A),"")</f>
        <v>0</v>
      </c>
      <c r="FU30">
        <f>COUNTIFS('DRAFT 2'!$D:$D,$B30,'DRAFT 2'!$A:$A,"&gt;="&amp;DATE(2026,7,1),'DRAFT 2'!$A:$A,"&lt;="&amp;DATE(2026,7,7))</f>
        <v>0</v>
      </c>
      <c r="FV30">
        <f>COUNTIFS('DRAFT 2'!$D:$D,$B30,'DRAFT 2'!$A:$A,"&gt;="&amp;DATE(2026,7,8),'DRAFT 2'!$A:$A,"&lt;="&amp;DATE(2026,7,14))</f>
        <v>0</v>
      </c>
      <c r="FW30">
        <f>COUNTIFS('DRAFT 2'!$D:$D,$B30,'DRAFT 2'!$A:$A,"&gt;="&amp;DATE(2026,7,15),'DRAFT 2'!$A:$A,"&lt;="&amp;DATE(2026,7,21))</f>
        <v>0</v>
      </c>
      <c r="FX30">
        <f>COUNTIFS('DRAFT 2'!$D:$D,$B30,'DRAFT 2'!$A:$A,"&gt;="&amp;DATE(2026,7,22),'DRAFT 2'!$A:$A,"&lt;"&amp;DATE(2026,IF(7=12,7+1,7+1),1))</f>
        <v>0</v>
      </c>
      <c r="FY30">
        <f t="shared" si="8"/>
        <v>0</v>
      </c>
      <c r="GI30">
        <f>IFERROR(LOOKUP(2,1/('DRAFT 2'!$D:$D=$B30)*('DRAFT 2'!$A:$A&gt;=DATE(2026,8,1))*('DRAFT 2'!$A:$A&lt;DATE(2026,IF(8=12,8+1,8+1),1)),'DRAFT 2'!$A:$A),"")</f>
        <v>0</v>
      </c>
      <c r="GJ30">
        <f>COUNTIFS('DRAFT 2'!$D:$D,$B30,'DRAFT 2'!$A:$A,"&gt;="&amp;DATE(2026,8,1),'DRAFT 2'!$A:$A,"&lt;="&amp;DATE(2026,8,7))</f>
        <v>0</v>
      </c>
      <c r="GK30">
        <f>COUNTIFS('DRAFT 2'!$D:$D,$B30,'DRAFT 2'!$A:$A,"&gt;="&amp;DATE(2026,8,8),'DRAFT 2'!$A:$A,"&lt;="&amp;DATE(2026,8,14))</f>
        <v>0</v>
      </c>
      <c r="GL30">
        <f>COUNTIFS('DRAFT 2'!$D:$D,$B30,'DRAFT 2'!$A:$A,"&gt;="&amp;DATE(2026,8,15),'DRAFT 2'!$A:$A,"&lt;="&amp;DATE(2026,8,21))</f>
        <v>0</v>
      </c>
      <c r="GM30">
        <f>COUNTIFS('DRAFT 2'!$D:$D,$B30,'DRAFT 2'!$A:$A,"&gt;="&amp;DATE(2026,8,22),'DRAFT 2'!$A:$A,"&lt;"&amp;DATE(2026,IF(8=12,8+1,8+1),1))</f>
        <v>0</v>
      </c>
      <c r="GN30">
        <f t="shared" si="9"/>
        <v>0</v>
      </c>
      <c r="GX30">
        <f>IFERROR(LOOKUP(2,1/('DRAFT 2'!$D:$D=$B30)*('DRAFT 2'!$A:$A&gt;=DATE(2026,9,1))*('DRAFT 2'!$A:$A&lt;DATE(2026,IF(9=12,9+1,9+1),1)),'DRAFT 2'!$A:$A),"")</f>
        <v>0</v>
      </c>
      <c r="GY30">
        <f>COUNTIFS('DRAFT 2'!$D:$D,$B30,'DRAFT 2'!$A:$A,"&gt;="&amp;DATE(2026,9,1),'DRAFT 2'!$A:$A,"&lt;="&amp;DATE(2026,9,7))</f>
        <v>0</v>
      </c>
      <c r="GZ30">
        <f>COUNTIFS('DRAFT 2'!$D:$D,$B30,'DRAFT 2'!$A:$A,"&gt;="&amp;DATE(2026,9,8),'DRAFT 2'!$A:$A,"&lt;="&amp;DATE(2026,9,14))</f>
        <v>0</v>
      </c>
      <c r="HA30">
        <f>COUNTIFS('DRAFT 2'!$D:$D,$B30,'DRAFT 2'!$A:$A,"&gt;="&amp;DATE(2026,9,15),'DRAFT 2'!$A:$A,"&lt;="&amp;DATE(2026,9,21))</f>
        <v>0</v>
      </c>
      <c r="HB30">
        <f>COUNTIFS('DRAFT 2'!$D:$D,$B30,'DRAFT 2'!$A:$A,"&gt;="&amp;DATE(2026,9,22),'DRAFT 2'!$A:$A,"&lt;"&amp;DATE(2026,IF(9=12,9+1,9+1),1))</f>
        <v>0</v>
      </c>
      <c r="HC30">
        <f t="shared" si="10"/>
        <v>0</v>
      </c>
      <c r="HN30">
        <f>IFERROR(LOOKUP(2,1/('DRAFT 2'!$D:$D=$B30)*('DRAFT 2'!$A:$A&gt;=DATE(2026,10,1))*('DRAFT 2'!$A:$A&lt;DATE(2026,IF(10=12,10+1,10+1),1)),'DRAFT 2'!$A:$A),"")</f>
        <v>0</v>
      </c>
      <c r="HO30">
        <f>COUNTIFS('DRAFT 2'!$D:$D,$B30,'DRAFT 2'!$A:$A,"&gt;="&amp;DATE(2026,10,1),'DRAFT 2'!$A:$A,"&lt;="&amp;DATE(2026,10,7))</f>
        <v>0</v>
      </c>
      <c r="HP30">
        <f>COUNTIFS('DRAFT 2'!$D:$D,$B30,'DRAFT 2'!$A:$A,"&gt;="&amp;DATE(2026,10,8),'DRAFT 2'!$A:$A,"&lt;="&amp;DATE(2026,10,14))</f>
        <v>0</v>
      </c>
      <c r="HQ30">
        <f>COUNTIFS('DRAFT 2'!$D:$D,$B30,'DRAFT 2'!$A:$A,"&gt;="&amp;DATE(2026,10,15),'DRAFT 2'!$A:$A,"&lt;="&amp;DATE(2026,10,21))</f>
        <v>0</v>
      </c>
      <c r="HR30">
        <f>COUNTIFS('DRAFT 2'!$D:$D,$B30,'DRAFT 2'!$A:$A,"&gt;="&amp;DATE(2026,10,22),'DRAFT 2'!$A:$A,"&lt;"&amp;DATE(2026,IF(10=12,10+1,10+1),1))</f>
        <v>0</v>
      </c>
      <c r="HS30">
        <f t="shared" si="11"/>
        <v>0</v>
      </c>
      <c r="IC30">
        <f>IFERROR(LOOKUP(2,1/('DRAFT 2'!$D:$D=$B30)*('DRAFT 2'!$A:$A&gt;=DATE(2026,11,1))*('DRAFT 2'!$A:$A&lt;DATE(2026,IF(11=12,11+1,11+1),1)),'DRAFT 2'!$A:$A),"")</f>
        <v>0</v>
      </c>
      <c r="ID30">
        <f>COUNTIFS('DRAFT 2'!$D:$D,$B30,'DRAFT 2'!$A:$A,"&gt;="&amp;DATE(2026,11,1),'DRAFT 2'!$A:$A,"&lt;="&amp;DATE(2026,11,7))</f>
        <v>0</v>
      </c>
      <c r="IE30">
        <f>COUNTIFS('DRAFT 2'!$D:$D,$B30,'DRAFT 2'!$A:$A,"&gt;="&amp;DATE(2026,11,8),'DRAFT 2'!$A:$A,"&lt;="&amp;DATE(2026,11,14))</f>
        <v>0</v>
      </c>
      <c r="IF30">
        <f>COUNTIFS('DRAFT 2'!$D:$D,$B30,'DRAFT 2'!$A:$A,"&gt;="&amp;DATE(2026,11,15),'DRAFT 2'!$A:$A,"&lt;="&amp;DATE(2026,11,21))</f>
        <v>0</v>
      </c>
      <c r="IG30">
        <f>COUNTIFS('DRAFT 2'!$D:$D,$B30,'DRAFT 2'!$A:$A,"&gt;="&amp;DATE(2026,11,22),'DRAFT 2'!$A:$A,"&lt;"&amp;DATE(2026,IF(11=12,11+1,11+1),1))</f>
        <v>0</v>
      </c>
      <c r="IH30">
        <f t="shared" si="12"/>
        <v>0</v>
      </c>
      <c r="IR30">
        <f>IFERROR(LOOKUP(2,1/('DRAFT 2'!$D:$D=$B30)*('DRAFT 2'!$A:$A&gt;=DATE(2026,12,1))*('DRAFT 2'!$A:$A&lt;DATE(2026,IF(12=12,12+1,12+1),1)),'DRAFT 2'!$A:$A),"")</f>
        <v>0</v>
      </c>
      <c r="IS30">
        <f>COUNTIFS('DRAFT 2'!$D:$D,$B30,'DRAFT 2'!$A:$A,"&gt;="&amp;DATE(2026,12,1),'DRAFT 2'!$A:$A,"&lt;="&amp;DATE(2026,12,7))</f>
        <v>0</v>
      </c>
      <c r="IT30">
        <f>COUNTIFS('DRAFT 2'!$D:$D,$B30,'DRAFT 2'!$A:$A,"&gt;="&amp;DATE(2026,12,8),'DRAFT 2'!$A:$A,"&lt;="&amp;DATE(2026,12,14))</f>
        <v>0</v>
      </c>
      <c r="IU30">
        <f>COUNTIFS('DRAFT 2'!$D:$D,$B30,'DRAFT 2'!$A:$A,"&gt;="&amp;DATE(2026,12,15),'DRAFT 2'!$A:$A,"&lt;="&amp;DATE(2026,12,21))</f>
        <v>0</v>
      </c>
      <c r="IV30">
        <f>COUNTIFS('DRAFT 2'!$D:$D,$B30,'DRAFT 2'!$A:$A,"&gt;="&amp;DATE(2026,12,22),'DRAFT 2'!$A:$A,"&lt;"&amp;DATE(2026,IF(12=12,12+1,12+1),1))</f>
        <v>0</v>
      </c>
      <c r="IW30">
        <f t="shared" si="13"/>
        <v>0</v>
      </c>
    </row>
    <row r="31" spans="1:257" x14ac:dyDescent="0.3">
      <c r="A31" t="str">
        <f>IFERROR(INDEX('DRAFT 1'!$A:$A,MATCH($B31,'DRAFT 1'!$B:$B,0)),"")</f>
        <v/>
      </c>
      <c r="C31" t="str">
        <f>IFERROR(INDEX('DRAFT 1'!$C:$C,MATCH($B31,'DRAFT 1'!$B:$B,0)),"")</f>
        <v/>
      </c>
      <c r="D31" t="str">
        <f>IFERROR(INDEX('DRAFT 1'!$D:$D,MATCH($B31,'DRAFT 1'!$B:$B,0)),"")</f>
        <v/>
      </c>
      <c r="E31" t="str">
        <f>IFERROR(INDEX('DRAFT 1'!$E:$E,MATCH($B31,'DRAFT 1'!$B:$B,0)),"")</f>
        <v/>
      </c>
      <c r="F31" t="str">
        <f>IFERROR(INDEX('DRAFT 1'!$F:$F,MATCH($B31,'DRAFT 1'!$B:$B,0)),"")</f>
        <v/>
      </c>
      <c r="G31" t="str">
        <f>IFERROR(INDEX('DRAFT 1'!$G:$G,MATCH($B31,'DRAFT 1'!$B:$B,0)),"")</f>
        <v/>
      </c>
      <c r="H31" t="str">
        <f>IFERROR(INDEX('DRAFT 1'!$H:$H,MATCH($B31,'DRAFT 1'!$B:$B,0)),"")</f>
        <v/>
      </c>
      <c r="I31" t="s">
        <v>289</v>
      </c>
      <c r="K31" t="str">
        <f>IFERROR(INDEX('DRAFT 1'!$AL:$AL,MATCH($B31,'DRAFT 1'!$B:$B,0)),"")</f>
        <v/>
      </c>
      <c r="L31" t="str">
        <f>IFERROR(INDEX('DRAFT 1'!$J:$J,MATCH($B31,'DRAFT 1'!$B:$B,0)),"")</f>
        <v/>
      </c>
      <c r="M31" t="str">
        <f>IFERROR(INDEX('DRAFT 1'!$K:$K,MATCH($B31,'DRAFT 1'!$B:$B,0)),"")</f>
        <v/>
      </c>
      <c r="N31" t="s">
        <v>77</v>
      </c>
      <c r="P31" t="str">
        <f>IFERROR(INDEX('DRAFT 1'!$L:$L,MATCH($B31,'DRAFT 1'!$B:$B,0)),"")</f>
        <v/>
      </c>
      <c r="Q31" t="str">
        <f>IFERROR(INDEX('DRAFT 1'!$M:$M,MATCH($B31,'DRAFT 1'!$B:$B,0)),"")</f>
        <v/>
      </c>
      <c r="R31" t="str">
        <f>IFERROR(INDEX('DRAFT 1'!$N:$N,MATCH($B31,'DRAFT 1'!$B:$B,0)),"")</f>
        <v/>
      </c>
      <c r="S31" t="str">
        <f>IFERROR(INDEX('DRAFT 1'!$O:$O,MATCH($B31,'DRAFT 1'!$B:$B,0)),"")</f>
        <v/>
      </c>
      <c r="T31" t="str">
        <f>IFERROR(INDEX('DRAFT 1'!$P:$P,MATCH($B31,'DRAFT 1'!$B:$B,0)),"")</f>
        <v/>
      </c>
      <c r="U31" t="str">
        <f>IFERROR(INDEX('DRAFT 1'!$Q:$Q,MATCH($B31,'DRAFT 1'!$B:$B,0)),"")</f>
        <v/>
      </c>
      <c r="V31" t="str">
        <f>IFERROR(INDEX('DRAFT 1'!$R:$R,MATCH($B31,'DRAFT 1'!$B:$B,0)),"")</f>
        <v/>
      </c>
      <c r="W31" t="str">
        <f>IFERROR(INDEX('DRAFT 1'!$S:$S,MATCH($B31,'DRAFT 1'!$B:$B,0)),"")</f>
        <v/>
      </c>
      <c r="X31" t="str">
        <f>IFERROR(INDEX('DRAFT 1'!$T:$T,MATCH($B31,'DRAFT 1'!$B:$B,0)),"")</f>
        <v/>
      </c>
      <c r="Z31" t="str">
        <f>IFERROR(INDEX('DRAFT 1'!$U:$U,MATCH($B31,'DRAFT 1'!$B:$B,0)),"")</f>
        <v/>
      </c>
      <c r="AA31" t="str">
        <f>IFERROR(INDEX('DRAFT 1'!$V:$V,MATCH($B31,'DRAFT 1'!$B:$B,0)),"")</f>
        <v/>
      </c>
      <c r="AB31" t="str">
        <f>IFERROR(INDEX('DRAFT 1'!$W:$W,MATCH($B31,'DRAFT 1'!$B:$B,0)),"")</f>
        <v/>
      </c>
      <c r="AC31" t="str">
        <f>IFERROR(INDEX('DRAFT 1'!$X:$X,MATCH($B31,'DRAFT 1'!$B:$B,0)),"")</f>
        <v/>
      </c>
      <c r="AD31" t="str">
        <f>IFERROR(INDEX('DRAFT 1'!$Y:$Y,MATCH($B31,'DRAFT 1'!$B:$B,0)),"")</f>
        <v/>
      </c>
      <c r="AE31" t="str">
        <f>IFERROR(INDEX('DRAFT 1'!$Z:$Z,MATCH($B31,'DRAFT 1'!$B:$B,0)),"")</f>
        <v/>
      </c>
      <c r="AF31" t="str">
        <f>IFERROR(INDEX('DRAFT 1'!$AA:$AA,MATCH($B31,'DRAFT 1'!$B:$B,0)),"")</f>
        <v/>
      </c>
      <c r="AG31" t="str">
        <f>IFERROR(INDEX('DRAFT 1'!$AB:$AB,MATCH($B31,'DRAFT 1'!$B:$B,0)),"")</f>
        <v/>
      </c>
      <c r="AH31" t="str">
        <f>IFERROR(INDEX('DRAFT 1'!$AC:$AC,MATCH($B31,'DRAFT 1'!$B:$B,0)),"")</f>
        <v/>
      </c>
      <c r="AI31" t="str">
        <f>IFERROR(INDEX('DRAFT 1'!$AD:$AD,MATCH($B31,'DRAFT 1'!$B:$B,0)),"")</f>
        <v/>
      </c>
      <c r="AJ31" t="str">
        <f>IFERROR(INDEX('DRAFT 1'!$AE:$AE,MATCH($B31,'DRAFT 1'!$B:$B,0)),"")</f>
        <v/>
      </c>
      <c r="AK31" t="str">
        <f>IFERROR(INDEX('DRAFT 1'!$AG:$AG,MATCH($B31,'DRAFT 1'!$B:$B,0)),"")</f>
        <v/>
      </c>
      <c r="AL31" t="str">
        <f>IFERROR(INDEX('DRAFT 1'!$AH:$AH,MATCH($B31,'DRAFT 1'!$B:$B,0)),"")</f>
        <v/>
      </c>
      <c r="AM31" t="str">
        <f>IFERROR(INDEX('DRAFT 1'!$AI:$AI,MATCH($B31,'DRAFT 1'!$B:$B,0)),"")</f>
        <v/>
      </c>
      <c r="AN31" t="str">
        <f>IFERROR(INDEX('DRAFT 1'!$AJ:$AJ,MATCH($B31,'DRAFT 1'!$B:$B,0)),"")</f>
        <v/>
      </c>
      <c r="AO31">
        <f t="shared" si="0"/>
        <v>0</v>
      </c>
      <c r="AP31" t="str">
        <f>IFERROR(INDEX('DRAFT 1'!$AK:$AK,MATCH($B31,'DRAFT 1'!$B:$B,0)),"")</f>
        <v/>
      </c>
      <c r="AR31" t="s">
        <v>93</v>
      </c>
      <c r="AS31">
        <f>IFERROR(LOOKUP(2,1/('DRAFT 2'!$D:$D=$B31),'DRAFT 2'!$T:$T),"")</f>
        <v>0</v>
      </c>
      <c r="AT31">
        <f>IFERROR(LOOKUP(2,1/('DRAFT 2'!$D:$D=$B31),'DRAFT 2'!$A:$A),"")</f>
        <v>0</v>
      </c>
      <c r="AU31">
        <f>IFERROR(LOOKUP(2,1/('DRAFT 2'!$D:$D=$B31),'DRAFT 2'!$R:$R),"")</f>
        <v>0</v>
      </c>
      <c r="AV31">
        <f>IFERROR(LOOKUP(2,1/('DRAFT 2'!$D:$D=$B31),'DRAFT 2'!$S:$S),"")</f>
        <v>0</v>
      </c>
      <c r="AW31" t="s">
        <v>126</v>
      </c>
      <c r="AX31">
        <f>IFERROR(LOOKUP(2,1/('DRAFT 2'!$D:$D=$B31),'DRAFT 2'!$M:$M),"")</f>
        <v>0</v>
      </c>
      <c r="AY31">
        <f>IFERROR(LOOKUP(2,1/('DRAFT 2'!$D:$D=$B31),'DRAFT 2'!$K:$K),"")</f>
        <v>0</v>
      </c>
      <c r="BG31">
        <f>IFERROR(LOOKUP(2,1/('DRAFT 2'!$D:$D=$B31),'DRAFT 2'!$U:$U),"")</f>
        <v>0</v>
      </c>
      <c r="BH31">
        <f>IFERROR(LOOKUP(2,1/('DRAFT 2'!$D:$D=$B31),'DRAFT 2'!$V:$V),"")</f>
        <v>0</v>
      </c>
      <c r="CE31" t="str">
        <f t="shared" si="1"/>
        <v/>
      </c>
      <c r="CF31">
        <f>IFERROR(LOOKUP(2,1/('DRAFT 2'!$D:$D=$B31)*('DRAFT 2'!$A:$A&gt;=DATE(2026,1,1))*('DRAFT 2'!$A:$A&lt;DATE(2026,IF(1=12,1+1,1+1),1)),'DRAFT 2'!$A:$A),"")</f>
        <v>0</v>
      </c>
      <c r="CG31">
        <f>COUNTIFS('DRAFT 2'!$D:$D,$B31,'DRAFT 2'!$A:$A,"&gt;="&amp;DATE(2026,1,1),'DRAFT 2'!$A:$A,"&lt;="&amp;DATE(2026,1,7))</f>
        <v>0</v>
      </c>
      <c r="CH31">
        <f>COUNTIFS('DRAFT 2'!$D:$D,$B31,'DRAFT 2'!$A:$A,"&gt;="&amp;DATE(2026,1,8),'DRAFT 2'!$A:$A,"&lt;="&amp;DATE(2026,1,14))</f>
        <v>0</v>
      </c>
      <c r="CI31">
        <f>COUNTIFS('DRAFT 2'!$D:$D,$B31,'DRAFT 2'!$A:$A,"&gt;="&amp;DATE(2026,1,15),'DRAFT 2'!$A:$A,"&lt;="&amp;DATE(2026,1,21))</f>
        <v>0</v>
      </c>
      <c r="CJ31">
        <f>COUNTIFS('DRAFT 2'!$D:$D,$B31,'DRAFT 2'!$A:$A,"&gt;="&amp;DATE(2026,1,22),'DRAFT 2'!$A:$A,"&lt;"&amp;DATE(2026,IF(1=12,1+1,1+1),1))</f>
        <v>0</v>
      </c>
      <c r="CK31">
        <f t="shared" si="2"/>
        <v>0</v>
      </c>
      <c r="CT31">
        <v>0</v>
      </c>
      <c r="CU31">
        <f>IFERROR(LOOKUP(2,1/('DRAFT 2'!$D:$D=$B31)*('DRAFT 2'!$A:$A&gt;=DATE(2026,2,1))*('DRAFT 2'!$A:$A&lt;DATE(2026,IF(2=12,2+1,2+1),1)),'DRAFT 2'!$A:$A),"")</f>
        <v>0</v>
      </c>
      <c r="CV31">
        <f>COUNTIFS('DRAFT 2'!$D:$D,$B31,'DRAFT 2'!$A:$A,"&gt;="&amp;DATE(2026,2,1),'DRAFT 2'!$A:$A,"&lt;="&amp;DATE(2026,2,7))</f>
        <v>0</v>
      </c>
      <c r="CW31">
        <f>COUNTIFS('DRAFT 2'!$D:$D,$B31,'DRAFT 2'!$A:$A,"&gt;="&amp;DATE(2026,2,8),'DRAFT 2'!$A:$A,"&lt;="&amp;DATE(2026,2,14))</f>
        <v>0</v>
      </c>
      <c r="CX31">
        <f>COUNTIFS('DRAFT 2'!$D:$D,$B31,'DRAFT 2'!$A:$A,"&gt;="&amp;DATE(2026,2,15),'DRAFT 2'!$A:$A,"&lt;="&amp;DATE(2026,2,21))</f>
        <v>0</v>
      </c>
      <c r="CY31">
        <f>COUNTIFS('DRAFT 2'!$D:$D,$B31,'DRAFT 2'!$A:$A,"&gt;="&amp;DATE(2026,2,22),'DRAFT 2'!$A:$A,"&lt;"&amp;DATE(2026,IF(2=12,2+1,2+1),1))</f>
        <v>0</v>
      </c>
      <c r="CZ31">
        <f t="shared" si="3"/>
        <v>0</v>
      </c>
      <c r="DJ31">
        <f>IFERROR(LOOKUP(2,1/('DRAFT 2'!$D:$D=$B31)*('DRAFT 2'!$A:$A&gt;=DATE(2026,3,1))*('DRAFT 2'!$A:$A&lt;DATE(2026,IF(3=12,3+1,3+1),1)),'DRAFT 2'!$A:$A),"")</f>
        <v>0</v>
      </c>
      <c r="DK31">
        <f>COUNTIFS('DRAFT 2'!$D:$D,$B31,'DRAFT 2'!$A:$A,"&gt;="&amp;DATE(2026,3,1),'DRAFT 2'!$A:$A,"&lt;="&amp;DATE(2026,3,7))</f>
        <v>0</v>
      </c>
      <c r="DL31">
        <f>COUNTIFS('DRAFT 2'!$D:$D,$B31,'DRAFT 2'!$A:$A,"&gt;="&amp;DATE(2026,3,8),'DRAFT 2'!$A:$A,"&lt;="&amp;DATE(2026,3,14))</f>
        <v>0</v>
      </c>
      <c r="DM31">
        <f>COUNTIFS('DRAFT 2'!$D:$D,$B31,'DRAFT 2'!$A:$A,"&gt;="&amp;DATE(2026,3,15),'DRAFT 2'!$A:$A,"&lt;="&amp;DATE(2026,3,21))</f>
        <v>0</v>
      </c>
      <c r="DN31">
        <f>COUNTIFS('DRAFT 2'!$D:$D,$B31,'DRAFT 2'!$A:$A,"&gt;="&amp;DATE(2026,3,22),'DRAFT 2'!$A:$A,"&lt;"&amp;DATE(2026,IF(3=12,3+1,3+1),1))</f>
        <v>0</v>
      </c>
      <c r="DO31">
        <f t="shared" si="4"/>
        <v>0</v>
      </c>
      <c r="DZ31">
        <f>IFERROR(LOOKUP(2,1/('DRAFT 2'!$D:$D=$B31)*('DRAFT 2'!$A:$A&gt;=DATE(2026,4,1))*('DRAFT 2'!$A:$A&lt;DATE(2026,IF(4=12,4+1,4+1),1)),'DRAFT 2'!$A:$A),"")</f>
        <v>0</v>
      </c>
      <c r="EA31">
        <f>COUNTIFS('DRAFT 2'!$D:$D,$B31,'DRAFT 2'!$A:$A,"&gt;="&amp;DATE(2026,4,1),'DRAFT 2'!$A:$A,"&lt;="&amp;DATE(2026,4,7))</f>
        <v>0</v>
      </c>
      <c r="EB31">
        <f>COUNTIFS('DRAFT 2'!$D:$D,$B31,'DRAFT 2'!$A:$A,"&gt;="&amp;DATE(2026,4,8),'DRAFT 2'!$A:$A,"&lt;="&amp;DATE(2026,4,14))</f>
        <v>0</v>
      </c>
      <c r="EC31">
        <f>COUNTIFS('DRAFT 2'!$D:$D,$B31,'DRAFT 2'!$A:$A,"&gt;="&amp;DATE(2026,4,15),'DRAFT 2'!$A:$A,"&lt;="&amp;DATE(2026,4,21))</f>
        <v>0</v>
      </c>
      <c r="ED31">
        <f>COUNTIFS('DRAFT 2'!$D:$D,$B31,'DRAFT 2'!$A:$A,"&gt;="&amp;DATE(2026,4,22),'DRAFT 2'!$A:$A,"&lt;"&amp;DATE(2026,IF(4=12,4+1,4+1),1))</f>
        <v>0</v>
      </c>
      <c r="EE31">
        <f t="shared" si="5"/>
        <v>0</v>
      </c>
      <c r="EO31">
        <f>IFERROR(LOOKUP(2,1/('DRAFT 2'!$D:$D=$B31)*('DRAFT 2'!$A:$A&gt;=DATE(2026,5,1))*('DRAFT 2'!$A:$A&lt;DATE(2026,IF(5=12,5+1,5+1),1)),'DRAFT 2'!$A:$A),"")</f>
        <v>0</v>
      </c>
      <c r="EP31">
        <f>COUNTIFS('DRAFT 2'!$D:$D,$B31,'DRAFT 2'!$A:$A,"&gt;="&amp;DATE(2026,5,1),'DRAFT 2'!$A:$A,"&lt;="&amp;DATE(2026,5,7))</f>
        <v>0</v>
      </c>
      <c r="EQ31">
        <f>COUNTIFS('DRAFT 2'!$D:$D,$B31,'DRAFT 2'!$A:$A,"&gt;="&amp;DATE(2026,5,8),'DRAFT 2'!$A:$A,"&lt;="&amp;DATE(2026,5,14))</f>
        <v>0</v>
      </c>
      <c r="ER31">
        <f>COUNTIFS('DRAFT 2'!$D:$D,$B31,'DRAFT 2'!$A:$A,"&gt;="&amp;DATE(2026,5,15),'DRAFT 2'!$A:$A,"&lt;="&amp;DATE(2026,5,21))</f>
        <v>0</v>
      </c>
      <c r="ES31">
        <f>COUNTIFS('DRAFT 2'!$D:$D,$B31,'DRAFT 2'!$A:$A,"&gt;="&amp;DATE(2026,5,22),'DRAFT 2'!$A:$A,"&lt;"&amp;DATE(2026,IF(5=12,5+1,5+1),1))</f>
        <v>0</v>
      </c>
      <c r="ET31">
        <f t="shared" si="6"/>
        <v>0</v>
      </c>
      <c r="FD31">
        <f>IFERROR(LOOKUP(2,1/('DRAFT 2'!$D:$D=$B31)*('DRAFT 2'!$A:$A&gt;=DATE(2026,6,1))*('DRAFT 2'!$A:$A&lt;DATE(2026,IF(6=12,6+1,6+1),1)),'DRAFT 2'!$A:$A),"")</f>
        <v>0</v>
      </c>
      <c r="FE31">
        <f>COUNTIFS('DRAFT 2'!$D:$D,$B31,'DRAFT 2'!$A:$A,"&gt;="&amp;DATE(2026,6,1),'DRAFT 2'!$A:$A,"&lt;="&amp;DATE(2026,6,7))</f>
        <v>0</v>
      </c>
      <c r="FF31">
        <f>COUNTIFS('DRAFT 2'!$D:$D,$B31,'DRAFT 2'!$A:$A,"&gt;="&amp;DATE(2026,6,8),'DRAFT 2'!$A:$A,"&lt;="&amp;DATE(2026,6,14))</f>
        <v>0</v>
      </c>
      <c r="FG31">
        <f>COUNTIFS('DRAFT 2'!$D:$D,$B31,'DRAFT 2'!$A:$A,"&gt;="&amp;DATE(2026,6,15),'DRAFT 2'!$A:$A,"&lt;="&amp;DATE(2026,6,21))</f>
        <v>0</v>
      </c>
      <c r="FH31">
        <f>COUNTIFS('DRAFT 2'!$D:$D,$B31,'DRAFT 2'!$A:$A,"&gt;="&amp;DATE(2026,6,22),'DRAFT 2'!$A:$A,"&lt;"&amp;DATE(2026,IF(6=12,6+1,6+1),1))</f>
        <v>0</v>
      </c>
      <c r="FI31">
        <f t="shared" si="7"/>
        <v>0</v>
      </c>
      <c r="FT31">
        <f>IFERROR(LOOKUP(2,1/('DRAFT 2'!$D:$D=$B31)*('DRAFT 2'!$A:$A&gt;=DATE(2026,7,1))*('DRAFT 2'!$A:$A&lt;DATE(2026,IF(7=12,7+1,7+1),1)),'DRAFT 2'!$A:$A),"")</f>
        <v>0</v>
      </c>
      <c r="FU31">
        <f>COUNTIFS('DRAFT 2'!$D:$D,$B31,'DRAFT 2'!$A:$A,"&gt;="&amp;DATE(2026,7,1),'DRAFT 2'!$A:$A,"&lt;="&amp;DATE(2026,7,7))</f>
        <v>0</v>
      </c>
      <c r="FV31">
        <f>COUNTIFS('DRAFT 2'!$D:$D,$B31,'DRAFT 2'!$A:$A,"&gt;="&amp;DATE(2026,7,8),'DRAFT 2'!$A:$A,"&lt;="&amp;DATE(2026,7,14))</f>
        <v>0</v>
      </c>
      <c r="FW31">
        <f>COUNTIFS('DRAFT 2'!$D:$D,$B31,'DRAFT 2'!$A:$A,"&gt;="&amp;DATE(2026,7,15),'DRAFT 2'!$A:$A,"&lt;="&amp;DATE(2026,7,21))</f>
        <v>0</v>
      </c>
      <c r="FX31">
        <f>COUNTIFS('DRAFT 2'!$D:$D,$B31,'DRAFT 2'!$A:$A,"&gt;="&amp;DATE(2026,7,22),'DRAFT 2'!$A:$A,"&lt;"&amp;DATE(2026,IF(7=12,7+1,7+1),1))</f>
        <v>0</v>
      </c>
      <c r="FY31">
        <f t="shared" si="8"/>
        <v>0</v>
      </c>
      <c r="GI31">
        <f>IFERROR(LOOKUP(2,1/('DRAFT 2'!$D:$D=$B31)*('DRAFT 2'!$A:$A&gt;=DATE(2026,8,1))*('DRAFT 2'!$A:$A&lt;DATE(2026,IF(8=12,8+1,8+1),1)),'DRAFT 2'!$A:$A),"")</f>
        <v>0</v>
      </c>
      <c r="GJ31">
        <f>COUNTIFS('DRAFT 2'!$D:$D,$B31,'DRAFT 2'!$A:$A,"&gt;="&amp;DATE(2026,8,1),'DRAFT 2'!$A:$A,"&lt;="&amp;DATE(2026,8,7))</f>
        <v>0</v>
      </c>
      <c r="GK31">
        <f>COUNTIFS('DRAFT 2'!$D:$D,$B31,'DRAFT 2'!$A:$A,"&gt;="&amp;DATE(2026,8,8),'DRAFT 2'!$A:$A,"&lt;="&amp;DATE(2026,8,14))</f>
        <v>0</v>
      </c>
      <c r="GL31">
        <f>COUNTIFS('DRAFT 2'!$D:$D,$B31,'DRAFT 2'!$A:$A,"&gt;="&amp;DATE(2026,8,15),'DRAFT 2'!$A:$A,"&lt;="&amp;DATE(2026,8,21))</f>
        <v>0</v>
      </c>
      <c r="GM31">
        <f>COUNTIFS('DRAFT 2'!$D:$D,$B31,'DRAFT 2'!$A:$A,"&gt;="&amp;DATE(2026,8,22),'DRAFT 2'!$A:$A,"&lt;"&amp;DATE(2026,IF(8=12,8+1,8+1),1))</f>
        <v>0</v>
      </c>
      <c r="GN31">
        <f t="shared" si="9"/>
        <v>0</v>
      </c>
      <c r="GX31">
        <f>IFERROR(LOOKUP(2,1/('DRAFT 2'!$D:$D=$B31)*('DRAFT 2'!$A:$A&gt;=DATE(2026,9,1))*('DRAFT 2'!$A:$A&lt;DATE(2026,IF(9=12,9+1,9+1),1)),'DRAFT 2'!$A:$A),"")</f>
        <v>0</v>
      </c>
      <c r="GY31">
        <f>COUNTIFS('DRAFT 2'!$D:$D,$B31,'DRAFT 2'!$A:$A,"&gt;="&amp;DATE(2026,9,1),'DRAFT 2'!$A:$A,"&lt;="&amp;DATE(2026,9,7))</f>
        <v>0</v>
      </c>
      <c r="GZ31">
        <f>COUNTIFS('DRAFT 2'!$D:$D,$B31,'DRAFT 2'!$A:$A,"&gt;="&amp;DATE(2026,9,8),'DRAFT 2'!$A:$A,"&lt;="&amp;DATE(2026,9,14))</f>
        <v>0</v>
      </c>
      <c r="HA31">
        <f>COUNTIFS('DRAFT 2'!$D:$D,$B31,'DRAFT 2'!$A:$A,"&gt;="&amp;DATE(2026,9,15),'DRAFT 2'!$A:$A,"&lt;="&amp;DATE(2026,9,21))</f>
        <v>0</v>
      </c>
      <c r="HB31">
        <f>COUNTIFS('DRAFT 2'!$D:$D,$B31,'DRAFT 2'!$A:$A,"&gt;="&amp;DATE(2026,9,22),'DRAFT 2'!$A:$A,"&lt;"&amp;DATE(2026,IF(9=12,9+1,9+1),1))</f>
        <v>0</v>
      </c>
      <c r="HC31">
        <f t="shared" si="10"/>
        <v>0</v>
      </c>
      <c r="HN31">
        <f>IFERROR(LOOKUP(2,1/('DRAFT 2'!$D:$D=$B31)*('DRAFT 2'!$A:$A&gt;=DATE(2026,10,1))*('DRAFT 2'!$A:$A&lt;DATE(2026,IF(10=12,10+1,10+1),1)),'DRAFT 2'!$A:$A),"")</f>
        <v>0</v>
      </c>
      <c r="HO31">
        <f>COUNTIFS('DRAFT 2'!$D:$D,$B31,'DRAFT 2'!$A:$A,"&gt;="&amp;DATE(2026,10,1),'DRAFT 2'!$A:$A,"&lt;="&amp;DATE(2026,10,7))</f>
        <v>0</v>
      </c>
      <c r="HP31">
        <f>COUNTIFS('DRAFT 2'!$D:$D,$B31,'DRAFT 2'!$A:$A,"&gt;="&amp;DATE(2026,10,8),'DRAFT 2'!$A:$A,"&lt;="&amp;DATE(2026,10,14))</f>
        <v>0</v>
      </c>
      <c r="HQ31">
        <f>COUNTIFS('DRAFT 2'!$D:$D,$B31,'DRAFT 2'!$A:$A,"&gt;="&amp;DATE(2026,10,15),'DRAFT 2'!$A:$A,"&lt;="&amp;DATE(2026,10,21))</f>
        <v>0</v>
      </c>
      <c r="HR31">
        <f>COUNTIFS('DRAFT 2'!$D:$D,$B31,'DRAFT 2'!$A:$A,"&gt;="&amp;DATE(2026,10,22),'DRAFT 2'!$A:$A,"&lt;"&amp;DATE(2026,IF(10=12,10+1,10+1),1))</f>
        <v>0</v>
      </c>
      <c r="HS31">
        <f t="shared" si="11"/>
        <v>0</v>
      </c>
      <c r="IC31">
        <f>IFERROR(LOOKUP(2,1/('DRAFT 2'!$D:$D=$B31)*('DRAFT 2'!$A:$A&gt;=DATE(2026,11,1))*('DRAFT 2'!$A:$A&lt;DATE(2026,IF(11=12,11+1,11+1),1)),'DRAFT 2'!$A:$A),"")</f>
        <v>0</v>
      </c>
      <c r="ID31">
        <f>COUNTIFS('DRAFT 2'!$D:$D,$B31,'DRAFT 2'!$A:$A,"&gt;="&amp;DATE(2026,11,1),'DRAFT 2'!$A:$A,"&lt;="&amp;DATE(2026,11,7))</f>
        <v>0</v>
      </c>
      <c r="IE31">
        <f>COUNTIFS('DRAFT 2'!$D:$D,$B31,'DRAFT 2'!$A:$A,"&gt;="&amp;DATE(2026,11,8),'DRAFT 2'!$A:$A,"&lt;="&amp;DATE(2026,11,14))</f>
        <v>0</v>
      </c>
      <c r="IF31">
        <f>COUNTIFS('DRAFT 2'!$D:$D,$B31,'DRAFT 2'!$A:$A,"&gt;="&amp;DATE(2026,11,15),'DRAFT 2'!$A:$A,"&lt;="&amp;DATE(2026,11,21))</f>
        <v>0</v>
      </c>
      <c r="IG31">
        <f>COUNTIFS('DRAFT 2'!$D:$D,$B31,'DRAFT 2'!$A:$A,"&gt;="&amp;DATE(2026,11,22),'DRAFT 2'!$A:$A,"&lt;"&amp;DATE(2026,IF(11=12,11+1,11+1),1))</f>
        <v>0</v>
      </c>
      <c r="IH31">
        <f t="shared" si="12"/>
        <v>0</v>
      </c>
      <c r="IR31">
        <f>IFERROR(LOOKUP(2,1/('DRAFT 2'!$D:$D=$B31)*('DRAFT 2'!$A:$A&gt;=DATE(2026,12,1))*('DRAFT 2'!$A:$A&lt;DATE(2026,IF(12=12,12+1,12+1),1)),'DRAFT 2'!$A:$A),"")</f>
        <v>0</v>
      </c>
      <c r="IS31">
        <f>COUNTIFS('DRAFT 2'!$D:$D,$B31,'DRAFT 2'!$A:$A,"&gt;="&amp;DATE(2026,12,1),'DRAFT 2'!$A:$A,"&lt;="&amp;DATE(2026,12,7))</f>
        <v>0</v>
      </c>
      <c r="IT31">
        <f>COUNTIFS('DRAFT 2'!$D:$D,$B31,'DRAFT 2'!$A:$A,"&gt;="&amp;DATE(2026,12,8),'DRAFT 2'!$A:$A,"&lt;="&amp;DATE(2026,12,14))</f>
        <v>0</v>
      </c>
      <c r="IU31">
        <f>COUNTIFS('DRAFT 2'!$D:$D,$B31,'DRAFT 2'!$A:$A,"&gt;="&amp;DATE(2026,12,15),'DRAFT 2'!$A:$A,"&lt;="&amp;DATE(2026,12,21))</f>
        <v>0</v>
      </c>
      <c r="IV31">
        <f>COUNTIFS('DRAFT 2'!$D:$D,$B31,'DRAFT 2'!$A:$A,"&gt;="&amp;DATE(2026,12,22),'DRAFT 2'!$A:$A,"&lt;"&amp;DATE(2026,IF(12=12,12+1,12+1),1))</f>
        <v>0</v>
      </c>
      <c r="IW31">
        <f t="shared" si="13"/>
        <v>0</v>
      </c>
    </row>
    <row r="32" spans="1:257" x14ac:dyDescent="0.3">
      <c r="A32" t="str">
        <f>IFERROR(INDEX('DRAFT 1'!$A:$A,MATCH($B32,'DRAFT 1'!$B:$B,0)),"")</f>
        <v/>
      </c>
      <c r="C32" t="str">
        <f>IFERROR(INDEX('DRAFT 1'!$C:$C,MATCH($B32,'DRAFT 1'!$B:$B,0)),"")</f>
        <v/>
      </c>
      <c r="D32" t="str">
        <f>IFERROR(INDEX('DRAFT 1'!$D:$D,MATCH($B32,'DRAFT 1'!$B:$B,0)),"")</f>
        <v/>
      </c>
      <c r="E32" t="str">
        <f>IFERROR(INDEX('DRAFT 1'!$E:$E,MATCH($B32,'DRAFT 1'!$B:$B,0)),"")</f>
        <v/>
      </c>
      <c r="F32" t="str">
        <f>IFERROR(INDEX('DRAFT 1'!$F:$F,MATCH($B32,'DRAFT 1'!$B:$B,0)),"")</f>
        <v/>
      </c>
      <c r="G32" t="str">
        <f>IFERROR(INDEX('DRAFT 1'!$G:$G,MATCH($B32,'DRAFT 1'!$B:$B,0)),"")</f>
        <v/>
      </c>
      <c r="H32" t="str">
        <f>IFERROR(INDEX('DRAFT 1'!$H:$H,MATCH($B32,'DRAFT 1'!$B:$B,0)),"")</f>
        <v/>
      </c>
      <c r="I32" t="s">
        <v>292</v>
      </c>
      <c r="K32" t="str">
        <f>IFERROR(INDEX('DRAFT 1'!$AL:$AL,MATCH($B32,'DRAFT 1'!$B:$B,0)),"")</f>
        <v/>
      </c>
      <c r="L32" t="str">
        <f>IFERROR(INDEX('DRAFT 1'!$J:$J,MATCH($B32,'DRAFT 1'!$B:$B,0)),"")</f>
        <v/>
      </c>
      <c r="M32" t="str">
        <f>IFERROR(INDEX('DRAFT 1'!$K:$K,MATCH($B32,'DRAFT 1'!$B:$B,0)),"")</f>
        <v/>
      </c>
      <c r="N32" t="s">
        <v>77</v>
      </c>
      <c r="P32" t="str">
        <f>IFERROR(INDEX('DRAFT 1'!$L:$L,MATCH($B32,'DRAFT 1'!$B:$B,0)),"")</f>
        <v/>
      </c>
      <c r="Q32" t="str">
        <f>IFERROR(INDEX('DRAFT 1'!$M:$M,MATCH($B32,'DRAFT 1'!$B:$B,0)),"")</f>
        <v/>
      </c>
      <c r="R32" t="str">
        <f>IFERROR(INDEX('DRAFT 1'!$N:$N,MATCH($B32,'DRAFT 1'!$B:$B,0)),"")</f>
        <v/>
      </c>
      <c r="S32" t="str">
        <f>IFERROR(INDEX('DRAFT 1'!$O:$O,MATCH($B32,'DRAFT 1'!$B:$B,0)),"")</f>
        <v/>
      </c>
      <c r="T32" t="str">
        <f>IFERROR(INDEX('DRAFT 1'!$P:$P,MATCH($B32,'DRAFT 1'!$B:$B,0)),"")</f>
        <v/>
      </c>
      <c r="U32" t="str">
        <f>IFERROR(INDEX('DRAFT 1'!$Q:$Q,MATCH($B32,'DRAFT 1'!$B:$B,0)),"")</f>
        <v/>
      </c>
      <c r="V32" t="str">
        <f>IFERROR(INDEX('DRAFT 1'!$R:$R,MATCH($B32,'DRAFT 1'!$B:$B,0)),"")</f>
        <v/>
      </c>
      <c r="W32" t="str">
        <f>IFERROR(INDEX('DRAFT 1'!$S:$S,MATCH($B32,'DRAFT 1'!$B:$B,0)),"")</f>
        <v/>
      </c>
      <c r="X32" t="str">
        <f>IFERROR(INDEX('DRAFT 1'!$T:$T,MATCH($B32,'DRAFT 1'!$B:$B,0)),"")</f>
        <v/>
      </c>
      <c r="Z32" t="str">
        <f>IFERROR(INDEX('DRAFT 1'!$U:$U,MATCH($B32,'DRAFT 1'!$B:$B,0)),"")</f>
        <v/>
      </c>
      <c r="AA32" t="str">
        <f>IFERROR(INDEX('DRAFT 1'!$V:$V,MATCH($B32,'DRAFT 1'!$B:$B,0)),"")</f>
        <v/>
      </c>
      <c r="AB32" t="str">
        <f>IFERROR(INDEX('DRAFT 1'!$W:$W,MATCH($B32,'DRAFT 1'!$B:$B,0)),"")</f>
        <v/>
      </c>
      <c r="AC32" t="str">
        <f>IFERROR(INDEX('DRAFT 1'!$X:$X,MATCH($B32,'DRAFT 1'!$B:$B,0)),"")</f>
        <v/>
      </c>
      <c r="AD32" t="str">
        <f>IFERROR(INDEX('DRAFT 1'!$Y:$Y,MATCH($B32,'DRAFT 1'!$B:$B,0)),"")</f>
        <v/>
      </c>
      <c r="AE32" t="str">
        <f>IFERROR(INDEX('DRAFT 1'!$Z:$Z,MATCH($B32,'DRAFT 1'!$B:$B,0)),"")</f>
        <v/>
      </c>
      <c r="AF32" t="str">
        <f>IFERROR(INDEX('DRAFT 1'!$AA:$AA,MATCH($B32,'DRAFT 1'!$B:$B,0)),"")</f>
        <v/>
      </c>
      <c r="AG32" t="str">
        <f>IFERROR(INDEX('DRAFT 1'!$AB:$AB,MATCH($B32,'DRAFT 1'!$B:$B,0)),"")</f>
        <v/>
      </c>
      <c r="AH32" t="str">
        <f>IFERROR(INDEX('DRAFT 1'!$AC:$AC,MATCH($B32,'DRAFT 1'!$B:$B,0)),"")</f>
        <v/>
      </c>
      <c r="AI32" t="str">
        <f>IFERROR(INDEX('DRAFT 1'!$AD:$AD,MATCH($B32,'DRAFT 1'!$B:$B,0)),"")</f>
        <v/>
      </c>
      <c r="AJ32" t="str">
        <f>IFERROR(INDEX('DRAFT 1'!$AE:$AE,MATCH($B32,'DRAFT 1'!$B:$B,0)),"")</f>
        <v/>
      </c>
      <c r="AK32" t="str">
        <f>IFERROR(INDEX('DRAFT 1'!$AG:$AG,MATCH($B32,'DRAFT 1'!$B:$B,0)),"")</f>
        <v/>
      </c>
      <c r="AL32" t="str">
        <f>IFERROR(INDEX('DRAFT 1'!$AH:$AH,MATCH($B32,'DRAFT 1'!$B:$B,0)),"")</f>
        <v/>
      </c>
      <c r="AM32" t="str">
        <f>IFERROR(INDEX('DRAFT 1'!$AI:$AI,MATCH($B32,'DRAFT 1'!$B:$B,0)),"")</f>
        <v/>
      </c>
      <c r="AN32" t="str">
        <f>IFERROR(INDEX('DRAFT 1'!$AJ:$AJ,MATCH($B32,'DRAFT 1'!$B:$B,0)),"")</f>
        <v/>
      </c>
      <c r="AO32">
        <f t="shared" si="0"/>
        <v>0</v>
      </c>
      <c r="AP32" t="str">
        <f>IFERROR(INDEX('DRAFT 1'!$AK:$AK,MATCH($B32,'DRAFT 1'!$B:$B,0)),"")</f>
        <v/>
      </c>
      <c r="AR32" t="s">
        <v>93</v>
      </c>
      <c r="AS32">
        <f>IFERROR(LOOKUP(2,1/('DRAFT 2'!$D:$D=$B32),'DRAFT 2'!$T:$T),"")</f>
        <v>0</v>
      </c>
      <c r="AT32">
        <f>IFERROR(LOOKUP(2,1/('DRAFT 2'!$D:$D=$B32),'DRAFT 2'!$A:$A),"")</f>
        <v>0</v>
      </c>
      <c r="AU32">
        <f>IFERROR(LOOKUP(2,1/('DRAFT 2'!$D:$D=$B32),'DRAFT 2'!$R:$R),"")</f>
        <v>0</v>
      </c>
      <c r="AV32">
        <f>IFERROR(LOOKUP(2,1/('DRAFT 2'!$D:$D=$B32),'DRAFT 2'!$S:$S),"")</f>
        <v>0</v>
      </c>
      <c r="AW32" t="s">
        <v>85</v>
      </c>
      <c r="AX32">
        <f>IFERROR(LOOKUP(2,1/('DRAFT 2'!$D:$D=$B32),'DRAFT 2'!$M:$M),"")</f>
        <v>0</v>
      </c>
      <c r="AY32">
        <f>IFERROR(LOOKUP(2,1/('DRAFT 2'!$D:$D=$B32),'DRAFT 2'!$K:$K),"")</f>
        <v>0</v>
      </c>
      <c r="BG32">
        <f>IFERROR(LOOKUP(2,1/('DRAFT 2'!$D:$D=$B32),'DRAFT 2'!$U:$U),"")</f>
        <v>0</v>
      </c>
      <c r="BH32">
        <f>IFERROR(LOOKUP(2,1/('DRAFT 2'!$D:$D=$B32),'DRAFT 2'!$V:$V),"")</f>
        <v>0</v>
      </c>
      <c r="CE32" t="str">
        <f t="shared" si="1"/>
        <v/>
      </c>
      <c r="CF32">
        <f>IFERROR(LOOKUP(2,1/('DRAFT 2'!$D:$D=$B32)*('DRAFT 2'!$A:$A&gt;=DATE(2026,1,1))*('DRAFT 2'!$A:$A&lt;DATE(2026,IF(1=12,1+1,1+1),1)),'DRAFT 2'!$A:$A),"")</f>
        <v>0</v>
      </c>
      <c r="CG32">
        <f>COUNTIFS('DRAFT 2'!$D:$D,$B32,'DRAFT 2'!$A:$A,"&gt;="&amp;DATE(2026,1,1),'DRAFT 2'!$A:$A,"&lt;="&amp;DATE(2026,1,7))</f>
        <v>0</v>
      </c>
      <c r="CH32">
        <f>COUNTIFS('DRAFT 2'!$D:$D,$B32,'DRAFT 2'!$A:$A,"&gt;="&amp;DATE(2026,1,8),'DRAFT 2'!$A:$A,"&lt;="&amp;DATE(2026,1,14))</f>
        <v>0</v>
      </c>
      <c r="CI32">
        <f>COUNTIFS('DRAFT 2'!$D:$D,$B32,'DRAFT 2'!$A:$A,"&gt;="&amp;DATE(2026,1,15),'DRAFT 2'!$A:$A,"&lt;="&amp;DATE(2026,1,21))</f>
        <v>0</v>
      </c>
      <c r="CJ32">
        <f>COUNTIFS('DRAFT 2'!$D:$D,$B32,'DRAFT 2'!$A:$A,"&gt;="&amp;DATE(2026,1,22),'DRAFT 2'!$A:$A,"&lt;"&amp;DATE(2026,IF(1=12,1+1,1+1),1))</f>
        <v>0</v>
      </c>
      <c r="CK32">
        <f t="shared" si="2"/>
        <v>0</v>
      </c>
      <c r="CT32">
        <v>0</v>
      </c>
      <c r="CU32">
        <f>IFERROR(LOOKUP(2,1/('DRAFT 2'!$D:$D=$B32)*('DRAFT 2'!$A:$A&gt;=DATE(2026,2,1))*('DRAFT 2'!$A:$A&lt;DATE(2026,IF(2=12,2+1,2+1),1)),'DRAFT 2'!$A:$A),"")</f>
        <v>0</v>
      </c>
      <c r="CV32">
        <f>COUNTIFS('DRAFT 2'!$D:$D,$B32,'DRAFT 2'!$A:$A,"&gt;="&amp;DATE(2026,2,1),'DRAFT 2'!$A:$A,"&lt;="&amp;DATE(2026,2,7))</f>
        <v>0</v>
      </c>
      <c r="CW32">
        <f>COUNTIFS('DRAFT 2'!$D:$D,$B32,'DRAFT 2'!$A:$A,"&gt;="&amp;DATE(2026,2,8),'DRAFT 2'!$A:$A,"&lt;="&amp;DATE(2026,2,14))</f>
        <v>0</v>
      </c>
      <c r="CX32">
        <f>COUNTIFS('DRAFT 2'!$D:$D,$B32,'DRAFT 2'!$A:$A,"&gt;="&amp;DATE(2026,2,15),'DRAFT 2'!$A:$A,"&lt;="&amp;DATE(2026,2,21))</f>
        <v>0</v>
      </c>
      <c r="CY32">
        <f>COUNTIFS('DRAFT 2'!$D:$D,$B32,'DRAFT 2'!$A:$A,"&gt;="&amp;DATE(2026,2,22),'DRAFT 2'!$A:$A,"&lt;"&amp;DATE(2026,IF(2=12,2+1,2+1),1))</f>
        <v>0</v>
      </c>
      <c r="CZ32">
        <f t="shared" si="3"/>
        <v>0</v>
      </c>
      <c r="DJ32">
        <f>IFERROR(LOOKUP(2,1/('DRAFT 2'!$D:$D=$B32)*('DRAFT 2'!$A:$A&gt;=DATE(2026,3,1))*('DRAFT 2'!$A:$A&lt;DATE(2026,IF(3=12,3+1,3+1),1)),'DRAFT 2'!$A:$A),"")</f>
        <v>0</v>
      </c>
      <c r="DK32">
        <f>COUNTIFS('DRAFT 2'!$D:$D,$B32,'DRAFT 2'!$A:$A,"&gt;="&amp;DATE(2026,3,1),'DRAFT 2'!$A:$A,"&lt;="&amp;DATE(2026,3,7))</f>
        <v>0</v>
      </c>
      <c r="DL32">
        <f>COUNTIFS('DRAFT 2'!$D:$D,$B32,'DRAFT 2'!$A:$A,"&gt;="&amp;DATE(2026,3,8),'DRAFT 2'!$A:$A,"&lt;="&amp;DATE(2026,3,14))</f>
        <v>0</v>
      </c>
      <c r="DM32">
        <f>COUNTIFS('DRAFT 2'!$D:$D,$B32,'DRAFT 2'!$A:$A,"&gt;="&amp;DATE(2026,3,15),'DRAFT 2'!$A:$A,"&lt;="&amp;DATE(2026,3,21))</f>
        <v>0</v>
      </c>
      <c r="DN32">
        <f>COUNTIFS('DRAFT 2'!$D:$D,$B32,'DRAFT 2'!$A:$A,"&gt;="&amp;DATE(2026,3,22),'DRAFT 2'!$A:$A,"&lt;"&amp;DATE(2026,IF(3=12,3+1,3+1),1))</f>
        <v>0</v>
      </c>
      <c r="DO32">
        <f t="shared" si="4"/>
        <v>0</v>
      </c>
      <c r="DZ32">
        <f>IFERROR(LOOKUP(2,1/('DRAFT 2'!$D:$D=$B32)*('DRAFT 2'!$A:$A&gt;=DATE(2026,4,1))*('DRAFT 2'!$A:$A&lt;DATE(2026,IF(4=12,4+1,4+1),1)),'DRAFT 2'!$A:$A),"")</f>
        <v>0</v>
      </c>
      <c r="EA32">
        <f>COUNTIFS('DRAFT 2'!$D:$D,$B32,'DRAFT 2'!$A:$A,"&gt;="&amp;DATE(2026,4,1),'DRAFT 2'!$A:$A,"&lt;="&amp;DATE(2026,4,7))</f>
        <v>0</v>
      </c>
      <c r="EB32">
        <f>COUNTIFS('DRAFT 2'!$D:$D,$B32,'DRAFT 2'!$A:$A,"&gt;="&amp;DATE(2026,4,8),'DRAFT 2'!$A:$A,"&lt;="&amp;DATE(2026,4,14))</f>
        <v>0</v>
      </c>
      <c r="EC32">
        <f>COUNTIFS('DRAFT 2'!$D:$D,$B32,'DRAFT 2'!$A:$A,"&gt;="&amp;DATE(2026,4,15),'DRAFT 2'!$A:$A,"&lt;="&amp;DATE(2026,4,21))</f>
        <v>0</v>
      </c>
      <c r="ED32">
        <f>COUNTIFS('DRAFT 2'!$D:$D,$B32,'DRAFT 2'!$A:$A,"&gt;="&amp;DATE(2026,4,22),'DRAFT 2'!$A:$A,"&lt;"&amp;DATE(2026,IF(4=12,4+1,4+1),1))</f>
        <v>0</v>
      </c>
      <c r="EE32">
        <f t="shared" si="5"/>
        <v>0</v>
      </c>
      <c r="EO32">
        <f>IFERROR(LOOKUP(2,1/('DRAFT 2'!$D:$D=$B32)*('DRAFT 2'!$A:$A&gt;=DATE(2026,5,1))*('DRAFT 2'!$A:$A&lt;DATE(2026,IF(5=12,5+1,5+1),1)),'DRAFT 2'!$A:$A),"")</f>
        <v>0</v>
      </c>
      <c r="EP32">
        <f>COUNTIFS('DRAFT 2'!$D:$D,$B32,'DRAFT 2'!$A:$A,"&gt;="&amp;DATE(2026,5,1),'DRAFT 2'!$A:$A,"&lt;="&amp;DATE(2026,5,7))</f>
        <v>0</v>
      </c>
      <c r="EQ32">
        <f>COUNTIFS('DRAFT 2'!$D:$D,$B32,'DRAFT 2'!$A:$A,"&gt;="&amp;DATE(2026,5,8),'DRAFT 2'!$A:$A,"&lt;="&amp;DATE(2026,5,14))</f>
        <v>0</v>
      </c>
      <c r="ER32">
        <f>COUNTIFS('DRAFT 2'!$D:$D,$B32,'DRAFT 2'!$A:$A,"&gt;="&amp;DATE(2026,5,15),'DRAFT 2'!$A:$A,"&lt;="&amp;DATE(2026,5,21))</f>
        <v>0</v>
      </c>
      <c r="ES32">
        <f>COUNTIFS('DRAFT 2'!$D:$D,$B32,'DRAFT 2'!$A:$A,"&gt;="&amp;DATE(2026,5,22),'DRAFT 2'!$A:$A,"&lt;"&amp;DATE(2026,IF(5=12,5+1,5+1),1))</f>
        <v>0</v>
      </c>
      <c r="ET32">
        <f t="shared" si="6"/>
        <v>0</v>
      </c>
      <c r="FD32">
        <f>IFERROR(LOOKUP(2,1/('DRAFT 2'!$D:$D=$B32)*('DRAFT 2'!$A:$A&gt;=DATE(2026,6,1))*('DRAFT 2'!$A:$A&lt;DATE(2026,IF(6=12,6+1,6+1),1)),'DRAFT 2'!$A:$A),"")</f>
        <v>0</v>
      </c>
      <c r="FE32">
        <f>COUNTIFS('DRAFT 2'!$D:$D,$B32,'DRAFT 2'!$A:$A,"&gt;="&amp;DATE(2026,6,1),'DRAFT 2'!$A:$A,"&lt;="&amp;DATE(2026,6,7))</f>
        <v>0</v>
      </c>
      <c r="FF32">
        <f>COUNTIFS('DRAFT 2'!$D:$D,$B32,'DRAFT 2'!$A:$A,"&gt;="&amp;DATE(2026,6,8),'DRAFT 2'!$A:$A,"&lt;="&amp;DATE(2026,6,14))</f>
        <v>0</v>
      </c>
      <c r="FG32">
        <f>COUNTIFS('DRAFT 2'!$D:$D,$B32,'DRAFT 2'!$A:$A,"&gt;="&amp;DATE(2026,6,15),'DRAFT 2'!$A:$A,"&lt;="&amp;DATE(2026,6,21))</f>
        <v>0</v>
      </c>
      <c r="FH32">
        <f>COUNTIFS('DRAFT 2'!$D:$D,$B32,'DRAFT 2'!$A:$A,"&gt;="&amp;DATE(2026,6,22),'DRAFT 2'!$A:$A,"&lt;"&amp;DATE(2026,IF(6=12,6+1,6+1),1))</f>
        <v>0</v>
      </c>
      <c r="FI32">
        <f t="shared" si="7"/>
        <v>0</v>
      </c>
      <c r="FT32">
        <f>IFERROR(LOOKUP(2,1/('DRAFT 2'!$D:$D=$B32)*('DRAFT 2'!$A:$A&gt;=DATE(2026,7,1))*('DRAFT 2'!$A:$A&lt;DATE(2026,IF(7=12,7+1,7+1),1)),'DRAFT 2'!$A:$A),"")</f>
        <v>0</v>
      </c>
      <c r="FU32">
        <f>COUNTIFS('DRAFT 2'!$D:$D,$B32,'DRAFT 2'!$A:$A,"&gt;="&amp;DATE(2026,7,1),'DRAFT 2'!$A:$A,"&lt;="&amp;DATE(2026,7,7))</f>
        <v>0</v>
      </c>
      <c r="FV32">
        <f>COUNTIFS('DRAFT 2'!$D:$D,$B32,'DRAFT 2'!$A:$A,"&gt;="&amp;DATE(2026,7,8),'DRAFT 2'!$A:$A,"&lt;="&amp;DATE(2026,7,14))</f>
        <v>0</v>
      </c>
      <c r="FW32">
        <f>COUNTIFS('DRAFT 2'!$D:$D,$B32,'DRAFT 2'!$A:$A,"&gt;="&amp;DATE(2026,7,15),'DRAFT 2'!$A:$A,"&lt;="&amp;DATE(2026,7,21))</f>
        <v>0</v>
      </c>
      <c r="FX32">
        <f>COUNTIFS('DRAFT 2'!$D:$D,$B32,'DRAFT 2'!$A:$A,"&gt;="&amp;DATE(2026,7,22),'DRAFT 2'!$A:$A,"&lt;"&amp;DATE(2026,IF(7=12,7+1,7+1),1))</f>
        <v>0</v>
      </c>
      <c r="FY32">
        <f t="shared" si="8"/>
        <v>0</v>
      </c>
      <c r="GI32">
        <f>IFERROR(LOOKUP(2,1/('DRAFT 2'!$D:$D=$B32)*('DRAFT 2'!$A:$A&gt;=DATE(2026,8,1))*('DRAFT 2'!$A:$A&lt;DATE(2026,IF(8=12,8+1,8+1),1)),'DRAFT 2'!$A:$A),"")</f>
        <v>0</v>
      </c>
      <c r="GJ32">
        <f>COUNTIFS('DRAFT 2'!$D:$D,$B32,'DRAFT 2'!$A:$A,"&gt;="&amp;DATE(2026,8,1),'DRAFT 2'!$A:$A,"&lt;="&amp;DATE(2026,8,7))</f>
        <v>0</v>
      </c>
      <c r="GK32">
        <f>COUNTIFS('DRAFT 2'!$D:$D,$B32,'DRAFT 2'!$A:$A,"&gt;="&amp;DATE(2026,8,8),'DRAFT 2'!$A:$A,"&lt;="&amp;DATE(2026,8,14))</f>
        <v>0</v>
      </c>
      <c r="GL32">
        <f>COUNTIFS('DRAFT 2'!$D:$D,$B32,'DRAFT 2'!$A:$A,"&gt;="&amp;DATE(2026,8,15),'DRAFT 2'!$A:$A,"&lt;="&amp;DATE(2026,8,21))</f>
        <v>0</v>
      </c>
      <c r="GM32">
        <f>COUNTIFS('DRAFT 2'!$D:$D,$B32,'DRAFT 2'!$A:$A,"&gt;="&amp;DATE(2026,8,22),'DRAFT 2'!$A:$A,"&lt;"&amp;DATE(2026,IF(8=12,8+1,8+1),1))</f>
        <v>0</v>
      </c>
      <c r="GN32">
        <f t="shared" si="9"/>
        <v>0</v>
      </c>
      <c r="GX32">
        <f>IFERROR(LOOKUP(2,1/('DRAFT 2'!$D:$D=$B32)*('DRAFT 2'!$A:$A&gt;=DATE(2026,9,1))*('DRAFT 2'!$A:$A&lt;DATE(2026,IF(9=12,9+1,9+1),1)),'DRAFT 2'!$A:$A),"")</f>
        <v>0</v>
      </c>
      <c r="GY32">
        <f>COUNTIFS('DRAFT 2'!$D:$D,$B32,'DRAFT 2'!$A:$A,"&gt;="&amp;DATE(2026,9,1),'DRAFT 2'!$A:$A,"&lt;="&amp;DATE(2026,9,7))</f>
        <v>0</v>
      </c>
      <c r="GZ32">
        <f>COUNTIFS('DRAFT 2'!$D:$D,$B32,'DRAFT 2'!$A:$A,"&gt;="&amp;DATE(2026,9,8),'DRAFT 2'!$A:$A,"&lt;="&amp;DATE(2026,9,14))</f>
        <v>0</v>
      </c>
      <c r="HA32">
        <f>COUNTIFS('DRAFT 2'!$D:$D,$B32,'DRAFT 2'!$A:$A,"&gt;="&amp;DATE(2026,9,15),'DRAFT 2'!$A:$A,"&lt;="&amp;DATE(2026,9,21))</f>
        <v>0</v>
      </c>
      <c r="HB32">
        <f>COUNTIFS('DRAFT 2'!$D:$D,$B32,'DRAFT 2'!$A:$A,"&gt;="&amp;DATE(2026,9,22),'DRAFT 2'!$A:$A,"&lt;"&amp;DATE(2026,IF(9=12,9+1,9+1),1))</f>
        <v>0</v>
      </c>
      <c r="HC32">
        <f t="shared" si="10"/>
        <v>0</v>
      </c>
      <c r="HN32">
        <f>IFERROR(LOOKUP(2,1/('DRAFT 2'!$D:$D=$B32)*('DRAFT 2'!$A:$A&gt;=DATE(2026,10,1))*('DRAFT 2'!$A:$A&lt;DATE(2026,IF(10=12,10+1,10+1),1)),'DRAFT 2'!$A:$A),"")</f>
        <v>0</v>
      </c>
      <c r="HO32">
        <f>COUNTIFS('DRAFT 2'!$D:$D,$B32,'DRAFT 2'!$A:$A,"&gt;="&amp;DATE(2026,10,1),'DRAFT 2'!$A:$A,"&lt;="&amp;DATE(2026,10,7))</f>
        <v>0</v>
      </c>
      <c r="HP32">
        <f>COUNTIFS('DRAFT 2'!$D:$D,$B32,'DRAFT 2'!$A:$A,"&gt;="&amp;DATE(2026,10,8),'DRAFT 2'!$A:$A,"&lt;="&amp;DATE(2026,10,14))</f>
        <v>0</v>
      </c>
      <c r="HQ32">
        <f>COUNTIFS('DRAFT 2'!$D:$D,$B32,'DRAFT 2'!$A:$A,"&gt;="&amp;DATE(2026,10,15),'DRAFT 2'!$A:$A,"&lt;="&amp;DATE(2026,10,21))</f>
        <v>0</v>
      </c>
      <c r="HR32">
        <f>COUNTIFS('DRAFT 2'!$D:$D,$B32,'DRAFT 2'!$A:$A,"&gt;="&amp;DATE(2026,10,22),'DRAFT 2'!$A:$A,"&lt;"&amp;DATE(2026,IF(10=12,10+1,10+1),1))</f>
        <v>0</v>
      </c>
      <c r="HS32">
        <f t="shared" si="11"/>
        <v>0</v>
      </c>
      <c r="IC32">
        <f>IFERROR(LOOKUP(2,1/('DRAFT 2'!$D:$D=$B32)*('DRAFT 2'!$A:$A&gt;=DATE(2026,11,1))*('DRAFT 2'!$A:$A&lt;DATE(2026,IF(11=12,11+1,11+1),1)),'DRAFT 2'!$A:$A),"")</f>
        <v>0</v>
      </c>
      <c r="ID32">
        <f>COUNTIFS('DRAFT 2'!$D:$D,$B32,'DRAFT 2'!$A:$A,"&gt;="&amp;DATE(2026,11,1),'DRAFT 2'!$A:$A,"&lt;="&amp;DATE(2026,11,7))</f>
        <v>0</v>
      </c>
      <c r="IE32">
        <f>COUNTIFS('DRAFT 2'!$D:$D,$B32,'DRAFT 2'!$A:$A,"&gt;="&amp;DATE(2026,11,8),'DRAFT 2'!$A:$A,"&lt;="&amp;DATE(2026,11,14))</f>
        <v>0</v>
      </c>
      <c r="IF32">
        <f>COUNTIFS('DRAFT 2'!$D:$D,$B32,'DRAFT 2'!$A:$A,"&gt;="&amp;DATE(2026,11,15),'DRAFT 2'!$A:$A,"&lt;="&amp;DATE(2026,11,21))</f>
        <v>0</v>
      </c>
      <c r="IG32">
        <f>COUNTIFS('DRAFT 2'!$D:$D,$B32,'DRAFT 2'!$A:$A,"&gt;="&amp;DATE(2026,11,22),'DRAFT 2'!$A:$A,"&lt;"&amp;DATE(2026,IF(11=12,11+1,11+1),1))</f>
        <v>0</v>
      </c>
      <c r="IH32">
        <f t="shared" si="12"/>
        <v>0</v>
      </c>
      <c r="IR32">
        <f>IFERROR(LOOKUP(2,1/('DRAFT 2'!$D:$D=$B32)*('DRAFT 2'!$A:$A&gt;=DATE(2026,12,1))*('DRAFT 2'!$A:$A&lt;DATE(2026,IF(12=12,12+1,12+1),1)),'DRAFT 2'!$A:$A),"")</f>
        <v>0</v>
      </c>
      <c r="IS32">
        <f>COUNTIFS('DRAFT 2'!$D:$D,$B32,'DRAFT 2'!$A:$A,"&gt;="&amp;DATE(2026,12,1),'DRAFT 2'!$A:$A,"&lt;="&amp;DATE(2026,12,7))</f>
        <v>0</v>
      </c>
      <c r="IT32">
        <f>COUNTIFS('DRAFT 2'!$D:$D,$B32,'DRAFT 2'!$A:$A,"&gt;="&amp;DATE(2026,12,8),'DRAFT 2'!$A:$A,"&lt;="&amp;DATE(2026,12,14))</f>
        <v>0</v>
      </c>
      <c r="IU32">
        <f>COUNTIFS('DRAFT 2'!$D:$D,$B32,'DRAFT 2'!$A:$A,"&gt;="&amp;DATE(2026,12,15),'DRAFT 2'!$A:$A,"&lt;="&amp;DATE(2026,12,21))</f>
        <v>0</v>
      </c>
      <c r="IV32">
        <f>COUNTIFS('DRAFT 2'!$D:$D,$B32,'DRAFT 2'!$A:$A,"&gt;="&amp;DATE(2026,12,22),'DRAFT 2'!$A:$A,"&lt;"&amp;DATE(2026,IF(12=12,12+1,12+1),1))</f>
        <v>0</v>
      </c>
      <c r="IW32">
        <f t="shared" si="13"/>
        <v>0</v>
      </c>
    </row>
    <row r="33" spans="1:257" x14ac:dyDescent="0.3">
      <c r="A33" t="str">
        <f>IFERROR(INDEX('DRAFT 1'!$A:$A,MATCH($B33,'DRAFT 1'!$B:$B,0)),"")</f>
        <v/>
      </c>
      <c r="C33" t="str">
        <f>IFERROR(INDEX('DRAFT 1'!$C:$C,MATCH($B33,'DRAFT 1'!$B:$B,0)),"")</f>
        <v/>
      </c>
      <c r="D33" t="str">
        <f>IFERROR(INDEX('DRAFT 1'!$D:$D,MATCH($B33,'DRAFT 1'!$B:$B,0)),"")</f>
        <v/>
      </c>
      <c r="E33" t="str">
        <f>IFERROR(INDEX('DRAFT 1'!$E:$E,MATCH($B33,'DRAFT 1'!$B:$B,0)),"")</f>
        <v/>
      </c>
      <c r="F33" t="str">
        <f>IFERROR(INDEX('DRAFT 1'!$F:$F,MATCH($B33,'DRAFT 1'!$B:$B,0)),"")</f>
        <v/>
      </c>
      <c r="G33" t="str">
        <f>IFERROR(INDEX('DRAFT 1'!$G:$G,MATCH($B33,'DRAFT 1'!$B:$B,0)),"")</f>
        <v/>
      </c>
      <c r="H33" t="str">
        <f>IFERROR(INDEX('DRAFT 1'!$H:$H,MATCH($B33,'DRAFT 1'!$B:$B,0)),"")</f>
        <v/>
      </c>
      <c r="I33" t="s">
        <v>298</v>
      </c>
      <c r="K33" t="str">
        <f>IFERROR(INDEX('DRAFT 1'!$AL:$AL,MATCH($B33,'DRAFT 1'!$B:$B,0)),"")</f>
        <v/>
      </c>
      <c r="L33" t="str">
        <f>IFERROR(INDEX('DRAFT 1'!$J:$J,MATCH($B33,'DRAFT 1'!$B:$B,0)),"")</f>
        <v/>
      </c>
      <c r="M33" t="str">
        <f>IFERROR(INDEX('DRAFT 1'!$K:$K,MATCH($B33,'DRAFT 1'!$B:$B,0)),"")</f>
        <v/>
      </c>
      <c r="N33" t="s">
        <v>71</v>
      </c>
      <c r="P33" t="str">
        <f>IFERROR(INDEX('DRAFT 1'!$L:$L,MATCH($B33,'DRAFT 1'!$B:$B,0)),"")</f>
        <v/>
      </c>
      <c r="Q33" t="str">
        <f>IFERROR(INDEX('DRAFT 1'!$M:$M,MATCH($B33,'DRAFT 1'!$B:$B,0)),"")</f>
        <v/>
      </c>
      <c r="R33" t="str">
        <f>IFERROR(INDEX('DRAFT 1'!$N:$N,MATCH($B33,'DRAFT 1'!$B:$B,0)),"")</f>
        <v/>
      </c>
      <c r="S33" t="str">
        <f>IFERROR(INDEX('DRAFT 1'!$O:$O,MATCH($B33,'DRAFT 1'!$B:$B,0)),"")</f>
        <v/>
      </c>
      <c r="T33" t="str">
        <f>IFERROR(INDEX('DRAFT 1'!$P:$P,MATCH($B33,'DRAFT 1'!$B:$B,0)),"")</f>
        <v/>
      </c>
      <c r="U33" t="str">
        <f>IFERROR(INDEX('DRAFT 1'!$Q:$Q,MATCH($B33,'DRAFT 1'!$B:$B,0)),"")</f>
        <v/>
      </c>
      <c r="V33" t="str">
        <f>IFERROR(INDEX('DRAFT 1'!$R:$R,MATCH($B33,'DRAFT 1'!$B:$B,0)),"")</f>
        <v/>
      </c>
      <c r="W33" t="str">
        <f>IFERROR(INDEX('DRAFT 1'!$S:$S,MATCH($B33,'DRAFT 1'!$B:$B,0)),"")</f>
        <v/>
      </c>
      <c r="X33" t="str">
        <f>IFERROR(INDEX('DRAFT 1'!$T:$T,MATCH($B33,'DRAFT 1'!$B:$B,0)),"")</f>
        <v/>
      </c>
      <c r="Z33" t="str">
        <f>IFERROR(INDEX('DRAFT 1'!$U:$U,MATCH($B33,'DRAFT 1'!$B:$B,0)),"")</f>
        <v/>
      </c>
      <c r="AA33" t="str">
        <f>IFERROR(INDEX('DRAFT 1'!$V:$V,MATCH($B33,'DRAFT 1'!$B:$B,0)),"")</f>
        <v/>
      </c>
      <c r="AB33" t="str">
        <f>IFERROR(INDEX('DRAFT 1'!$W:$W,MATCH($B33,'DRAFT 1'!$B:$B,0)),"")</f>
        <v/>
      </c>
      <c r="AC33" t="str">
        <f>IFERROR(INDEX('DRAFT 1'!$X:$X,MATCH($B33,'DRAFT 1'!$B:$B,0)),"")</f>
        <v/>
      </c>
      <c r="AD33" t="str">
        <f>IFERROR(INDEX('DRAFT 1'!$Y:$Y,MATCH($B33,'DRAFT 1'!$B:$B,0)),"")</f>
        <v/>
      </c>
      <c r="AE33" t="str">
        <f>IFERROR(INDEX('DRAFT 1'!$Z:$Z,MATCH($B33,'DRAFT 1'!$B:$B,0)),"")</f>
        <v/>
      </c>
      <c r="AF33" t="str">
        <f>IFERROR(INDEX('DRAFT 1'!$AA:$AA,MATCH($B33,'DRAFT 1'!$B:$B,0)),"")</f>
        <v/>
      </c>
      <c r="AG33" t="str">
        <f>IFERROR(INDEX('DRAFT 1'!$AB:$AB,MATCH($B33,'DRAFT 1'!$B:$B,0)),"")</f>
        <v/>
      </c>
      <c r="AH33" t="str">
        <f>IFERROR(INDEX('DRAFT 1'!$AC:$AC,MATCH($B33,'DRAFT 1'!$B:$B,0)),"")</f>
        <v/>
      </c>
      <c r="AI33" t="str">
        <f>IFERROR(INDEX('DRAFT 1'!$AD:$AD,MATCH($B33,'DRAFT 1'!$B:$B,0)),"")</f>
        <v/>
      </c>
      <c r="AJ33" t="str">
        <f>IFERROR(INDEX('DRAFT 1'!$AE:$AE,MATCH($B33,'DRAFT 1'!$B:$B,0)),"")</f>
        <v/>
      </c>
      <c r="AK33" t="str">
        <f>IFERROR(INDEX('DRAFT 1'!$AG:$AG,MATCH($B33,'DRAFT 1'!$B:$B,0)),"")</f>
        <v/>
      </c>
      <c r="AL33" t="str">
        <f>IFERROR(INDEX('DRAFT 1'!$AH:$AH,MATCH($B33,'DRAFT 1'!$B:$B,0)),"")</f>
        <v/>
      </c>
      <c r="AM33" t="str">
        <f>IFERROR(INDEX('DRAFT 1'!$AI:$AI,MATCH($B33,'DRAFT 1'!$B:$B,0)),"")</f>
        <v/>
      </c>
      <c r="AN33" t="str">
        <f>IFERROR(INDEX('DRAFT 1'!$AJ:$AJ,MATCH($B33,'DRAFT 1'!$B:$B,0)),"")</f>
        <v/>
      </c>
      <c r="AO33">
        <f t="shared" si="0"/>
        <v>0</v>
      </c>
      <c r="AP33" t="str">
        <f>IFERROR(INDEX('DRAFT 1'!$AK:$AK,MATCH($B33,'DRAFT 1'!$B:$B,0)),"")</f>
        <v/>
      </c>
      <c r="AR33" t="s">
        <v>92</v>
      </c>
      <c r="AS33">
        <f>IFERROR(LOOKUP(2,1/('DRAFT 2'!$D:$D=$B33),'DRAFT 2'!$T:$T),"")</f>
        <v>0</v>
      </c>
      <c r="AT33">
        <f>IFERROR(LOOKUP(2,1/('DRAFT 2'!$D:$D=$B33),'DRAFT 2'!$A:$A),"")</f>
        <v>0</v>
      </c>
      <c r="AU33">
        <f>IFERROR(LOOKUP(2,1/('DRAFT 2'!$D:$D=$B33),'DRAFT 2'!$R:$R),"")</f>
        <v>0</v>
      </c>
      <c r="AV33">
        <f>IFERROR(LOOKUP(2,1/('DRAFT 2'!$D:$D=$B33),'DRAFT 2'!$S:$S),"")</f>
        <v>0</v>
      </c>
      <c r="AW33" t="s">
        <v>82</v>
      </c>
      <c r="AX33">
        <f>IFERROR(LOOKUP(2,1/('DRAFT 2'!$D:$D=$B33),'DRAFT 2'!$M:$M),"")</f>
        <v>0</v>
      </c>
      <c r="AY33">
        <f>IFERROR(LOOKUP(2,1/('DRAFT 2'!$D:$D=$B33),'DRAFT 2'!$K:$K),"")</f>
        <v>0</v>
      </c>
      <c r="BG33">
        <f>IFERROR(LOOKUP(2,1/('DRAFT 2'!$D:$D=$B33),'DRAFT 2'!$U:$U),"")</f>
        <v>0</v>
      </c>
      <c r="BH33">
        <f>IFERROR(LOOKUP(2,1/('DRAFT 2'!$D:$D=$B33),'DRAFT 2'!$V:$V),"")</f>
        <v>0</v>
      </c>
      <c r="CE33" t="str">
        <f t="shared" si="1"/>
        <v/>
      </c>
      <c r="CF33">
        <f>IFERROR(LOOKUP(2,1/('DRAFT 2'!$D:$D=$B33)*('DRAFT 2'!$A:$A&gt;=DATE(2026,1,1))*('DRAFT 2'!$A:$A&lt;DATE(2026,IF(1=12,1+1,1+1),1)),'DRAFT 2'!$A:$A),"")</f>
        <v>0</v>
      </c>
      <c r="CG33">
        <f>COUNTIFS('DRAFT 2'!$D:$D,$B33,'DRAFT 2'!$A:$A,"&gt;="&amp;DATE(2026,1,1),'DRAFT 2'!$A:$A,"&lt;="&amp;DATE(2026,1,7))</f>
        <v>0</v>
      </c>
      <c r="CH33">
        <f>COUNTIFS('DRAFT 2'!$D:$D,$B33,'DRAFT 2'!$A:$A,"&gt;="&amp;DATE(2026,1,8),'DRAFT 2'!$A:$A,"&lt;="&amp;DATE(2026,1,14))</f>
        <v>0</v>
      </c>
      <c r="CI33">
        <f>COUNTIFS('DRAFT 2'!$D:$D,$B33,'DRAFT 2'!$A:$A,"&gt;="&amp;DATE(2026,1,15),'DRAFT 2'!$A:$A,"&lt;="&amp;DATE(2026,1,21))</f>
        <v>0</v>
      </c>
      <c r="CJ33">
        <f>COUNTIFS('DRAFT 2'!$D:$D,$B33,'DRAFT 2'!$A:$A,"&gt;="&amp;DATE(2026,1,22),'DRAFT 2'!$A:$A,"&lt;"&amp;DATE(2026,IF(1=12,1+1,1+1),1))</f>
        <v>0</v>
      </c>
      <c r="CK33">
        <f t="shared" si="2"/>
        <v>0</v>
      </c>
      <c r="CT33">
        <v>0</v>
      </c>
      <c r="CU33">
        <f>IFERROR(LOOKUP(2,1/('DRAFT 2'!$D:$D=$B33)*('DRAFT 2'!$A:$A&gt;=DATE(2026,2,1))*('DRAFT 2'!$A:$A&lt;DATE(2026,IF(2=12,2+1,2+1),1)),'DRAFT 2'!$A:$A),"")</f>
        <v>0</v>
      </c>
      <c r="CV33">
        <f>COUNTIFS('DRAFT 2'!$D:$D,$B33,'DRAFT 2'!$A:$A,"&gt;="&amp;DATE(2026,2,1),'DRAFT 2'!$A:$A,"&lt;="&amp;DATE(2026,2,7))</f>
        <v>0</v>
      </c>
      <c r="CW33">
        <f>COUNTIFS('DRAFT 2'!$D:$D,$B33,'DRAFT 2'!$A:$A,"&gt;="&amp;DATE(2026,2,8),'DRAFT 2'!$A:$A,"&lt;="&amp;DATE(2026,2,14))</f>
        <v>0</v>
      </c>
      <c r="CX33">
        <f>COUNTIFS('DRAFT 2'!$D:$D,$B33,'DRAFT 2'!$A:$A,"&gt;="&amp;DATE(2026,2,15),'DRAFT 2'!$A:$A,"&lt;="&amp;DATE(2026,2,21))</f>
        <v>0</v>
      </c>
      <c r="CY33">
        <f>COUNTIFS('DRAFT 2'!$D:$D,$B33,'DRAFT 2'!$A:$A,"&gt;="&amp;DATE(2026,2,22),'DRAFT 2'!$A:$A,"&lt;"&amp;DATE(2026,IF(2=12,2+1,2+1),1))</f>
        <v>0</v>
      </c>
      <c r="CZ33">
        <f t="shared" si="3"/>
        <v>0</v>
      </c>
      <c r="DJ33">
        <f>IFERROR(LOOKUP(2,1/('DRAFT 2'!$D:$D=$B33)*('DRAFT 2'!$A:$A&gt;=DATE(2026,3,1))*('DRAFT 2'!$A:$A&lt;DATE(2026,IF(3=12,3+1,3+1),1)),'DRAFT 2'!$A:$A),"")</f>
        <v>0</v>
      </c>
      <c r="DK33">
        <f>COUNTIFS('DRAFT 2'!$D:$D,$B33,'DRAFT 2'!$A:$A,"&gt;="&amp;DATE(2026,3,1),'DRAFT 2'!$A:$A,"&lt;="&amp;DATE(2026,3,7))</f>
        <v>0</v>
      </c>
      <c r="DL33">
        <f>COUNTIFS('DRAFT 2'!$D:$D,$B33,'DRAFT 2'!$A:$A,"&gt;="&amp;DATE(2026,3,8),'DRAFT 2'!$A:$A,"&lt;="&amp;DATE(2026,3,14))</f>
        <v>0</v>
      </c>
      <c r="DM33">
        <f>COUNTIFS('DRAFT 2'!$D:$D,$B33,'DRAFT 2'!$A:$A,"&gt;="&amp;DATE(2026,3,15),'DRAFT 2'!$A:$A,"&lt;="&amp;DATE(2026,3,21))</f>
        <v>0</v>
      </c>
      <c r="DN33">
        <f>COUNTIFS('DRAFT 2'!$D:$D,$B33,'DRAFT 2'!$A:$A,"&gt;="&amp;DATE(2026,3,22),'DRAFT 2'!$A:$A,"&lt;"&amp;DATE(2026,IF(3=12,3+1,3+1),1))</f>
        <v>0</v>
      </c>
      <c r="DO33">
        <f t="shared" si="4"/>
        <v>0</v>
      </c>
      <c r="DZ33">
        <f>IFERROR(LOOKUP(2,1/('DRAFT 2'!$D:$D=$B33)*('DRAFT 2'!$A:$A&gt;=DATE(2026,4,1))*('DRAFT 2'!$A:$A&lt;DATE(2026,IF(4=12,4+1,4+1),1)),'DRAFT 2'!$A:$A),"")</f>
        <v>0</v>
      </c>
      <c r="EA33">
        <f>COUNTIFS('DRAFT 2'!$D:$D,$B33,'DRAFT 2'!$A:$A,"&gt;="&amp;DATE(2026,4,1),'DRAFT 2'!$A:$A,"&lt;="&amp;DATE(2026,4,7))</f>
        <v>0</v>
      </c>
      <c r="EB33">
        <f>COUNTIFS('DRAFT 2'!$D:$D,$B33,'DRAFT 2'!$A:$A,"&gt;="&amp;DATE(2026,4,8),'DRAFT 2'!$A:$A,"&lt;="&amp;DATE(2026,4,14))</f>
        <v>0</v>
      </c>
      <c r="EC33">
        <f>COUNTIFS('DRAFT 2'!$D:$D,$B33,'DRAFT 2'!$A:$A,"&gt;="&amp;DATE(2026,4,15),'DRAFT 2'!$A:$A,"&lt;="&amp;DATE(2026,4,21))</f>
        <v>0</v>
      </c>
      <c r="ED33">
        <f>COUNTIFS('DRAFT 2'!$D:$D,$B33,'DRAFT 2'!$A:$A,"&gt;="&amp;DATE(2026,4,22),'DRAFT 2'!$A:$A,"&lt;"&amp;DATE(2026,IF(4=12,4+1,4+1),1))</f>
        <v>0</v>
      </c>
      <c r="EE33">
        <f t="shared" si="5"/>
        <v>0</v>
      </c>
      <c r="EO33">
        <f>IFERROR(LOOKUP(2,1/('DRAFT 2'!$D:$D=$B33)*('DRAFT 2'!$A:$A&gt;=DATE(2026,5,1))*('DRAFT 2'!$A:$A&lt;DATE(2026,IF(5=12,5+1,5+1),1)),'DRAFT 2'!$A:$A),"")</f>
        <v>0</v>
      </c>
      <c r="EP33">
        <f>COUNTIFS('DRAFT 2'!$D:$D,$B33,'DRAFT 2'!$A:$A,"&gt;="&amp;DATE(2026,5,1),'DRAFT 2'!$A:$A,"&lt;="&amp;DATE(2026,5,7))</f>
        <v>0</v>
      </c>
      <c r="EQ33">
        <f>COUNTIFS('DRAFT 2'!$D:$D,$B33,'DRAFT 2'!$A:$A,"&gt;="&amp;DATE(2026,5,8),'DRAFT 2'!$A:$A,"&lt;="&amp;DATE(2026,5,14))</f>
        <v>0</v>
      </c>
      <c r="ER33">
        <f>COUNTIFS('DRAFT 2'!$D:$D,$B33,'DRAFT 2'!$A:$A,"&gt;="&amp;DATE(2026,5,15),'DRAFT 2'!$A:$A,"&lt;="&amp;DATE(2026,5,21))</f>
        <v>0</v>
      </c>
      <c r="ES33">
        <f>COUNTIFS('DRAFT 2'!$D:$D,$B33,'DRAFT 2'!$A:$A,"&gt;="&amp;DATE(2026,5,22),'DRAFT 2'!$A:$A,"&lt;"&amp;DATE(2026,IF(5=12,5+1,5+1),1))</f>
        <v>0</v>
      </c>
      <c r="ET33">
        <f t="shared" si="6"/>
        <v>0</v>
      </c>
      <c r="FD33">
        <f>IFERROR(LOOKUP(2,1/('DRAFT 2'!$D:$D=$B33)*('DRAFT 2'!$A:$A&gt;=DATE(2026,6,1))*('DRAFT 2'!$A:$A&lt;DATE(2026,IF(6=12,6+1,6+1),1)),'DRAFT 2'!$A:$A),"")</f>
        <v>0</v>
      </c>
      <c r="FE33">
        <f>COUNTIFS('DRAFT 2'!$D:$D,$B33,'DRAFT 2'!$A:$A,"&gt;="&amp;DATE(2026,6,1),'DRAFT 2'!$A:$A,"&lt;="&amp;DATE(2026,6,7))</f>
        <v>0</v>
      </c>
      <c r="FF33">
        <f>COUNTIFS('DRAFT 2'!$D:$D,$B33,'DRAFT 2'!$A:$A,"&gt;="&amp;DATE(2026,6,8),'DRAFT 2'!$A:$A,"&lt;="&amp;DATE(2026,6,14))</f>
        <v>0</v>
      </c>
      <c r="FG33">
        <f>COUNTIFS('DRAFT 2'!$D:$D,$B33,'DRAFT 2'!$A:$A,"&gt;="&amp;DATE(2026,6,15),'DRAFT 2'!$A:$A,"&lt;="&amp;DATE(2026,6,21))</f>
        <v>0</v>
      </c>
      <c r="FH33">
        <f>COUNTIFS('DRAFT 2'!$D:$D,$B33,'DRAFT 2'!$A:$A,"&gt;="&amp;DATE(2026,6,22),'DRAFT 2'!$A:$A,"&lt;"&amp;DATE(2026,IF(6=12,6+1,6+1),1))</f>
        <v>0</v>
      </c>
      <c r="FI33">
        <f t="shared" si="7"/>
        <v>0</v>
      </c>
      <c r="FT33">
        <f>IFERROR(LOOKUP(2,1/('DRAFT 2'!$D:$D=$B33)*('DRAFT 2'!$A:$A&gt;=DATE(2026,7,1))*('DRAFT 2'!$A:$A&lt;DATE(2026,IF(7=12,7+1,7+1),1)),'DRAFT 2'!$A:$A),"")</f>
        <v>0</v>
      </c>
      <c r="FU33">
        <f>COUNTIFS('DRAFT 2'!$D:$D,$B33,'DRAFT 2'!$A:$A,"&gt;="&amp;DATE(2026,7,1),'DRAFT 2'!$A:$A,"&lt;="&amp;DATE(2026,7,7))</f>
        <v>0</v>
      </c>
      <c r="FV33">
        <f>COUNTIFS('DRAFT 2'!$D:$D,$B33,'DRAFT 2'!$A:$A,"&gt;="&amp;DATE(2026,7,8),'DRAFT 2'!$A:$A,"&lt;="&amp;DATE(2026,7,14))</f>
        <v>0</v>
      </c>
      <c r="FW33">
        <f>COUNTIFS('DRAFT 2'!$D:$D,$B33,'DRAFT 2'!$A:$A,"&gt;="&amp;DATE(2026,7,15),'DRAFT 2'!$A:$A,"&lt;="&amp;DATE(2026,7,21))</f>
        <v>0</v>
      </c>
      <c r="FX33">
        <f>COUNTIFS('DRAFT 2'!$D:$D,$B33,'DRAFT 2'!$A:$A,"&gt;="&amp;DATE(2026,7,22),'DRAFT 2'!$A:$A,"&lt;"&amp;DATE(2026,IF(7=12,7+1,7+1),1))</f>
        <v>0</v>
      </c>
      <c r="FY33">
        <f t="shared" si="8"/>
        <v>0</v>
      </c>
      <c r="GI33">
        <f>IFERROR(LOOKUP(2,1/('DRAFT 2'!$D:$D=$B33)*('DRAFT 2'!$A:$A&gt;=DATE(2026,8,1))*('DRAFT 2'!$A:$A&lt;DATE(2026,IF(8=12,8+1,8+1),1)),'DRAFT 2'!$A:$A),"")</f>
        <v>0</v>
      </c>
      <c r="GJ33">
        <f>COUNTIFS('DRAFT 2'!$D:$D,$B33,'DRAFT 2'!$A:$A,"&gt;="&amp;DATE(2026,8,1),'DRAFT 2'!$A:$A,"&lt;="&amp;DATE(2026,8,7))</f>
        <v>0</v>
      </c>
      <c r="GK33">
        <f>COUNTIFS('DRAFT 2'!$D:$D,$B33,'DRAFT 2'!$A:$A,"&gt;="&amp;DATE(2026,8,8),'DRAFT 2'!$A:$A,"&lt;="&amp;DATE(2026,8,14))</f>
        <v>0</v>
      </c>
      <c r="GL33">
        <f>COUNTIFS('DRAFT 2'!$D:$D,$B33,'DRAFT 2'!$A:$A,"&gt;="&amp;DATE(2026,8,15),'DRAFT 2'!$A:$A,"&lt;="&amp;DATE(2026,8,21))</f>
        <v>0</v>
      </c>
      <c r="GM33">
        <f>COUNTIFS('DRAFT 2'!$D:$D,$B33,'DRAFT 2'!$A:$A,"&gt;="&amp;DATE(2026,8,22),'DRAFT 2'!$A:$A,"&lt;"&amp;DATE(2026,IF(8=12,8+1,8+1),1))</f>
        <v>0</v>
      </c>
      <c r="GN33">
        <f t="shared" si="9"/>
        <v>0</v>
      </c>
      <c r="GX33">
        <f>IFERROR(LOOKUP(2,1/('DRAFT 2'!$D:$D=$B33)*('DRAFT 2'!$A:$A&gt;=DATE(2026,9,1))*('DRAFT 2'!$A:$A&lt;DATE(2026,IF(9=12,9+1,9+1),1)),'DRAFT 2'!$A:$A),"")</f>
        <v>0</v>
      </c>
      <c r="GY33">
        <f>COUNTIFS('DRAFT 2'!$D:$D,$B33,'DRAFT 2'!$A:$A,"&gt;="&amp;DATE(2026,9,1),'DRAFT 2'!$A:$A,"&lt;="&amp;DATE(2026,9,7))</f>
        <v>0</v>
      </c>
      <c r="GZ33">
        <f>COUNTIFS('DRAFT 2'!$D:$D,$B33,'DRAFT 2'!$A:$A,"&gt;="&amp;DATE(2026,9,8),'DRAFT 2'!$A:$A,"&lt;="&amp;DATE(2026,9,14))</f>
        <v>0</v>
      </c>
      <c r="HA33">
        <f>COUNTIFS('DRAFT 2'!$D:$D,$B33,'DRAFT 2'!$A:$A,"&gt;="&amp;DATE(2026,9,15),'DRAFT 2'!$A:$A,"&lt;="&amp;DATE(2026,9,21))</f>
        <v>0</v>
      </c>
      <c r="HB33">
        <f>COUNTIFS('DRAFT 2'!$D:$D,$B33,'DRAFT 2'!$A:$A,"&gt;="&amp;DATE(2026,9,22),'DRAFT 2'!$A:$A,"&lt;"&amp;DATE(2026,IF(9=12,9+1,9+1),1))</f>
        <v>0</v>
      </c>
      <c r="HC33">
        <f t="shared" si="10"/>
        <v>0</v>
      </c>
      <c r="HN33">
        <f>IFERROR(LOOKUP(2,1/('DRAFT 2'!$D:$D=$B33)*('DRAFT 2'!$A:$A&gt;=DATE(2026,10,1))*('DRAFT 2'!$A:$A&lt;DATE(2026,IF(10=12,10+1,10+1),1)),'DRAFT 2'!$A:$A),"")</f>
        <v>0</v>
      </c>
      <c r="HO33">
        <f>COUNTIFS('DRAFT 2'!$D:$D,$B33,'DRAFT 2'!$A:$A,"&gt;="&amp;DATE(2026,10,1),'DRAFT 2'!$A:$A,"&lt;="&amp;DATE(2026,10,7))</f>
        <v>0</v>
      </c>
      <c r="HP33">
        <f>COUNTIFS('DRAFT 2'!$D:$D,$B33,'DRAFT 2'!$A:$A,"&gt;="&amp;DATE(2026,10,8),'DRAFT 2'!$A:$A,"&lt;="&amp;DATE(2026,10,14))</f>
        <v>0</v>
      </c>
      <c r="HQ33">
        <f>COUNTIFS('DRAFT 2'!$D:$D,$B33,'DRAFT 2'!$A:$A,"&gt;="&amp;DATE(2026,10,15),'DRAFT 2'!$A:$A,"&lt;="&amp;DATE(2026,10,21))</f>
        <v>0</v>
      </c>
      <c r="HR33">
        <f>COUNTIFS('DRAFT 2'!$D:$D,$B33,'DRAFT 2'!$A:$A,"&gt;="&amp;DATE(2026,10,22),'DRAFT 2'!$A:$A,"&lt;"&amp;DATE(2026,IF(10=12,10+1,10+1),1))</f>
        <v>0</v>
      </c>
      <c r="HS33">
        <f t="shared" si="11"/>
        <v>0</v>
      </c>
      <c r="IC33">
        <f>IFERROR(LOOKUP(2,1/('DRAFT 2'!$D:$D=$B33)*('DRAFT 2'!$A:$A&gt;=DATE(2026,11,1))*('DRAFT 2'!$A:$A&lt;DATE(2026,IF(11=12,11+1,11+1),1)),'DRAFT 2'!$A:$A),"")</f>
        <v>0</v>
      </c>
      <c r="ID33">
        <f>COUNTIFS('DRAFT 2'!$D:$D,$B33,'DRAFT 2'!$A:$A,"&gt;="&amp;DATE(2026,11,1),'DRAFT 2'!$A:$A,"&lt;="&amp;DATE(2026,11,7))</f>
        <v>0</v>
      </c>
      <c r="IE33">
        <f>COUNTIFS('DRAFT 2'!$D:$D,$B33,'DRAFT 2'!$A:$A,"&gt;="&amp;DATE(2026,11,8),'DRAFT 2'!$A:$A,"&lt;="&amp;DATE(2026,11,14))</f>
        <v>0</v>
      </c>
      <c r="IF33">
        <f>COUNTIFS('DRAFT 2'!$D:$D,$B33,'DRAFT 2'!$A:$A,"&gt;="&amp;DATE(2026,11,15),'DRAFT 2'!$A:$A,"&lt;="&amp;DATE(2026,11,21))</f>
        <v>0</v>
      </c>
      <c r="IG33">
        <f>COUNTIFS('DRAFT 2'!$D:$D,$B33,'DRAFT 2'!$A:$A,"&gt;="&amp;DATE(2026,11,22),'DRAFT 2'!$A:$A,"&lt;"&amp;DATE(2026,IF(11=12,11+1,11+1),1))</f>
        <v>0</v>
      </c>
      <c r="IH33">
        <f t="shared" si="12"/>
        <v>0</v>
      </c>
      <c r="IR33">
        <f>IFERROR(LOOKUP(2,1/('DRAFT 2'!$D:$D=$B33)*('DRAFT 2'!$A:$A&gt;=DATE(2026,12,1))*('DRAFT 2'!$A:$A&lt;DATE(2026,IF(12=12,12+1,12+1),1)),'DRAFT 2'!$A:$A),"")</f>
        <v>0</v>
      </c>
      <c r="IS33">
        <f>COUNTIFS('DRAFT 2'!$D:$D,$B33,'DRAFT 2'!$A:$A,"&gt;="&amp;DATE(2026,12,1),'DRAFT 2'!$A:$A,"&lt;="&amp;DATE(2026,12,7))</f>
        <v>0</v>
      </c>
      <c r="IT33">
        <f>COUNTIFS('DRAFT 2'!$D:$D,$B33,'DRAFT 2'!$A:$A,"&gt;="&amp;DATE(2026,12,8),'DRAFT 2'!$A:$A,"&lt;="&amp;DATE(2026,12,14))</f>
        <v>0</v>
      </c>
      <c r="IU33">
        <f>COUNTIFS('DRAFT 2'!$D:$D,$B33,'DRAFT 2'!$A:$A,"&gt;="&amp;DATE(2026,12,15),'DRAFT 2'!$A:$A,"&lt;="&amp;DATE(2026,12,21))</f>
        <v>0</v>
      </c>
      <c r="IV33">
        <f>COUNTIFS('DRAFT 2'!$D:$D,$B33,'DRAFT 2'!$A:$A,"&gt;="&amp;DATE(2026,12,22),'DRAFT 2'!$A:$A,"&lt;"&amp;DATE(2026,IF(12=12,12+1,12+1),1))</f>
        <v>0</v>
      </c>
      <c r="IW33">
        <f t="shared" si="13"/>
        <v>0</v>
      </c>
    </row>
    <row r="34" spans="1:257" x14ac:dyDescent="0.3">
      <c r="A34" t="str">
        <f>IFERROR(INDEX('DRAFT 1'!$A:$A,MATCH($B34,'DRAFT 1'!$B:$B,0)),"")</f>
        <v/>
      </c>
      <c r="C34" t="str">
        <f>IFERROR(INDEX('DRAFT 1'!$C:$C,MATCH($B34,'DRAFT 1'!$B:$B,0)),"")</f>
        <v/>
      </c>
      <c r="D34" t="str">
        <f>IFERROR(INDEX('DRAFT 1'!$D:$D,MATCH($B34,'DRAFT 1'!$B:$B,0)),"")</f>
        <v/>
      </c>
      <c r="E34" t="str">
        <f>IFERROR(INDEX('DRAFT 1'!$E:$E,MATCH($B34,'DRAFT 1'!$B:$B,0)),"")</f>
        <v/>
      </c>
      <c r="F34" t="str">
        <f>IFERROR(INDEX('DRAFT 1'!$F:$F,MATCH($B34,'DRAFT 1'!$B:$B,0)),"")</f>
        <v/>
      </c>
      <c r="G34" t="str">
        <f>IFERROR(INDEX('DRAFT 1'!$G:$G,MATCH($B34,'DRAFT 1'!$B:$B,0)),"")</f>
        <v/>
      </c>
      <c r="H34" t="str">
        <f>IFERROR(INDEX('DRAFT 1'!$H:$H,MATCH($B34,'DRAFT 1'!$B:$B,0)),"")</f>
        <v/>
      </c>
      <c r="I34" t="s">
        <v>292</v>
      </c>
      <c r="K34" t="str">
        <f>IFERROR(INDEX('DRAFT 1'!$AL:$AL,MATCH($B34,'DRAFT 1'!$B:$B,0)),"")</f>
        <v/>
      </c>
      <c r="L34" t="str">
        <f>IFERROR(INDEX('DRAFT 1'!$J:$J,MATCH($B34,'DRAFT 1'!$B:$B,0)),"")</f>
        <v/>
      </c>
      <c r="M34" t="str">
        <f>IFERROR(INDEX('DRAFT 1'!$K:$K,MATCH($B34,'DRAFT 1'!$B:$B,0)),"")</f>
        <v/>
      </c>
      <c r="N34" t="s">
        <v>71</v>
      </c>
      <c r="P34" t="str">
        <f>IFERROR(INDEX('DRAFT 1'!$L:$L,MATCH($B34,'DRAFT 1'!$B:$B,0)),"")</f>
        <v/>
      </c>
      <c r="Q34" t="str">
        <f>IFERROR(INDEX('DRAFT 1'!$M:$M,MATCH($B34,'DRAFT 1'!$B:$B,0)),"")</f>
        <v/>
      </c>
      <c r="R34" t="str">
        <f>IFERROR(INDEX('DRAFT 1'!$N:$N,MATCH($B34,'DRAFT 1'!$B:$B,0)),"")</f>
        <v/>
      </c>
      <c r="S34" t="str">
        <f>IFERROR(INDEX('DRAFT 1'!$O:$O,MATCH($B34,'DRAFT 1'!$B:$B,0)),"")</f>
        <v/>
      </c>
      <c r="T34" t="str">
        <f>IFERROR(INDEX('DRAFT 1'!$P:$P,MATCH($B34,'DRAFT 1'!$B:$B,0)),"")</f>
        <v/>
      </c>
      <c r="U34" t="str">
        <f>IFERROR(INDEX('DRAFT 1'!$Q:$Q,MATCH($B34,'DRAFT 1'!$B:$B,0)),"")</f>
        <v/>
      </c>
      <c r="V34" t="str">
        <f>IFERROR(INDEX('DRAFT 1'!$R:$R,MATCH($B34,'DRAFT 1'!$B:$B,0)),"")</f>
        <v/>
      </c>
      <c r="W34" t="str">
        <f>IFERROR(INDEX('DRAFT 1'!$S:$S,MATCH($B34,'DRAFT 1'!$B:$B,0)),"")</f>
        <v/>
      </c>
      <c r="X34" t="str">
        <f>IFERROR(INDEX('DRAFT 1'!$T:$T,MATCH($B34,'DRAFT 1'!$B:$B,0)),"")</f>
        <v/>
      </c>
      <c r="Z34" t="str">
        <f>IFERROR(INDEX('DRAFT 1'!$U:$U,MATCH($B34,'DRAFT 1'!$B:$B,0)),"")</f>
        <v/>
      </c>
      <c r="AA34" t="str">
        <f>IFERROR(INDEX('DRAFT 1'!$V:$V,MATCH($B34,'DRAFT 1'!$B:$B,0)),"")</f>
        <v/>
      </c>
      <c r="AB34" t="str">
        <f>IFERROR(INDEX('DRAFT 1'!$W:$W,MATCH($B34,'DRAFT 1'!$B:$B,0)),"")</f>
        <v/>
      </c>
      <c r="AC34" t="str">
        <f>IFERROR(INDEX('DRAFT 1'!$X:$X,MATCH($B34,'DRAFT 1'!$B:$B,0)),"")</f>
        <v/>
      </c>
      <c r="AD34" t="str">
        <f>IFERROR(INDEX('DRAFT 1'!$Y:$Y,MATCH($B34,'DRAFT 1'!$B:$B,0)),"")</f>
        <v/>
      </c>
      <c r="AE34" t="str">
        <f>IFERROR(INDEX('DRAFT 1'!$Z:$Z,MATCH($B34,'DRAFT 1'!$B:$B,0)),"")</f>
        <v/>
      </c>
      <c r="AF34" t="str">
        <f>IFERROR(INDEX('DRAFT 1'!$AA:$AA,MATCH($B34,'DRAFT 1'!$B:$B,0)),"")</f>
        <v/>
      </c>
      <c r="AG34" t="str">
        <f>IFERROR(INDEX('DRAFT 1'!$AB:$AB,MATCH($B34,'DRAFT 1'!$B:$B,0)),"")</f>
        <v/>
      </c>
      <c r="AH34" t="str">
        <f>IFERROR(INDEX('DRAFT 1'!$AC:$AC,MATCH($B34,'DRAFT 1'!$B:$B,0)),"")</f>
        <v/>
      </c>
      <c r="AI34" t="str">
        <f>IFERROR(INDEX('DRAFT 1'!$AD:$AD,MATCH($B34,'DRAFT 1'!$B:$B,0)),"")</f>
        <v/>
      </c>
      <c r="AJ34" t="str">
        <f>IFERROR(INDEX('DRAFT 1'!$AE:$AE,MATCH($B34,'DRAFT 1'!$B:$B,0)),"")</f>
        <v/>
      </c>
      <c r="AK34" t="str">
        <f>IFERROR(INDEX('DRAFT 1'!$AG:$AG,MATCH($B34,'DRAFT 1'!$B:$B,0)),"")</f>
        <v/>
      </c>
      <c r="AL34" t="str">
        <f>IFERROR(INDEX('DRAFT 1'!$AH:$AH,MATCH($B34,'DRAFT 1'!$B:$B,0)),"")</f>
        <v/>
      </c>
      <c r="AM34" t="str">
        <f>IFERROR(INDEX('DRAFT 1'!$AI:$AI,MATCH($B34,'DRAFT 1'!$B:$B,0)),"")</f>
        <v/>
      </c>
      <c r="AN34" t="str">
        <f>IFERROR(INDEX('DRAFT 1'!$AJ:$AJ,MATCH($B34,'DRAFT 1'!$B:$B,0)),"")</f>
        <v/>
      </c>
      <c r="AO34">
        <f t="shared" si="0"/>
        <v>0</v>
      </c>
      <c r="AP34" t="str">
        <f>IFERROR(INDEX('DRAFT 1'!$AK:$AK,MATCH($B34,'DRAFT 1'!$B:$B,0)),"")</f>
        <v/>
      </c>
      <c r="AR34" t="s">
        <v>33</v>
      </c>
      <c r="AS34">
        <f>IFERROR(LOOKUP(2,1/('DRAFT 2'!$D:$D=$B34),'DRAFT 2'!$T:$T),"")</f>
        <v>0</v>
      </c>
      <c r="AT34">
        <f>IFERROR(LOOKUP(2,1/('DRAFT 2'!$D:$D=$B34),'DRAFT 2'!$A:$A),"")</f>
        <v>0</v>
      </c>
      <c r="AU34">
        <f>IFERROR(LOOKUP(2,1/('DRAFT 2'!$D:$D=$B34),'DRAFT 2'!$R:$R),"")</f>
        <v>0</v>
      </c>
      <c r="AV34">
        <f>IFERROR(LOOKUP(2,1/('DRAFT 2'!$D:$D=$B34),'DRAFT 2'!$S:$S),"")</f>
        <v>0</v>
      </c>
      <c r="AW34" t="s">
        <v>130</v>
      </c>
      <c r="AX34">
        <f>IFERROR(LOOKUP(2,1/('DRAFT 2'!$D:$D=$B34),'DRAFT 2'!$M:$M),"")</f>
        <v>0</v>
      </c>
      <c r="AY34">
        <f>IFERROR(LOOKUP(2,1/('DRAFT 2'!$D:$D=$B34),'DRAFT 2'!$K:$K),"")</f>
        <v>0</v>
      </c>
      <c r="BG34">
        <f>IFERROR(LOOKUP(2,1/('DRAFT 2'!$D:$D=$B34),'DRAFT 2'!$U:$U),"")</f>
        <v>0</v>
      </c>
      <c r="BH34">
        <f>IFERROR(LOOKUP(2,1/('DRAFT 2'!$D:$D=$B34),'DRAFT 2'!$V:$V),"")</f>
        <v>0</v>
      </c>
      <c r="CE34" t="str">
        <f t="shared" si="1"/>
        <v/>
      </c>
      <c r="CF34">
        <f>IFERROR(LOOKUP(2,1/('DRAFT 2'!$D:$D=$B34)*('DRAFT 2'!$A:$A&gt;=DATE(2026,1,1))*('DRAFT 2'!$A:$A&lt;DATE(2026,IF(1=12,1+1,1+1),1)),'DRAFT 2'!$A:$A),"")</f>
        <v>0</v>
      </c>
      <c r="CG34">
        <f>COUNTIFS('DRAFT 2'!$D:$D,$B34,'DRAFT 2'!$A:$A,"&gt;="&amp;DATE(2026,1,1),'DRAFT 2'!$A:$A,"&lt;="&amp;DATE(2026,1,7))</f>
        <v>0</v>
      </c>
      <c r="CH34">
        <f>COUNTIFS('DRAFT 2'!$D:$D,$B34,'DRAFT 2'!$A:$A,"&gt;="&amp;DATE(2026,1,8),'DRAFT 2'!$A:$A,"&lt;="&amp;DATE(2026,1,14))</f>
        <v>0</v>
      </c>
      <c r="CI34">
        <f>COUNTIFS('DRAFT 2'!$D:$D,$B34,'DRAFT 2'!$A:$A,"&gt;="&amp;DATE(2026,1,15),'DRAFT 2'!$A:$A,"&lt;="&amp;DATE(2026,1,21))</f>
        <v>0</v>
      </c>
      <c r="CJ34">
        <f>COUNTIFS('DRAFT 2'!$D:$D,$B34,'DRAFT 2'!$A:$A,"&gt;="&amp;DATE(2026,1,22),'DRAFT 2'!$A:$A,"&lt;"&amp;DATE(2026,IF(1=12,1+1,1+1),1))</f>
        <v>0</v>
      </c>
      <c r="CK34">
        <f t="shared" si="2"/>
        <v>0</v>
      </c>
      <c r="CT34">
        <v>0</v>
      </c>
      <c r="CU34">
        <f>IFERROR(LOOKUP(2,1/('DRAFT 2'!$D:$D=$B34)*('DRAFT 2'!$A:$A&gt;=DATE(2026,2,1))*('DRAFT 2'!$A:$A&lt;DATE(2026,IF(2=12,2+1,2+1),1)),'DRAFT 2'!$A:$A),"")</f>
        <v>0</v>
      </c>
      <c r="CV34">
        <f>COUNTIFS('DRAFT 2'!$D:$D,$B34,'DRAFT 2'!$A:$A,"&gt;="&amp;DATE(2026,2,1),'DRAFT 2'!$A:$A,"&lt;="&amp;DATE(2026,2,7))</f>
        <v>0</v>
      </c>
      <c r="CW34">
        <f>COUNTIFS('DRAFT 2'!$D:$D,$B34,'DRAFT 2'!$A:$A,"&gt;="&amp;DATE(2026,2,8),'DRAFT 2'!$A:$A,"&lt;="&amp;DATE(2026,2,14))</f>
        <v>0</v>
      </c>
      <c r="CX34">
        <f>COUNTIFS('DRAFT 2'!$D:$D,$B34,'DRAFT 2'!$A:$A,"&gt;="&amp;DATE(2026,2,15),'DRAFT 2'!$A:$A,"&lt;="&amp;DATE(2026,2,21))</f>
        <v>0</v>
      </c>
      <c r="CY34">
        <f>COUNTIFS('DRAFT 2'!$D:$D,$B34,'DRAFT 2'!$A:$A,"&gt;="&amp;DATE(2026,2,22),'DRAFT 2'!$A:$A,"&lt;"&amp;DATE(2026,IF(2=12,2+1,2+1),1))</f>
        <v>0</v>
      </c>
      <c r="CZ34">
        <f t="shared" si="3"/>
        <v>0</v>
      </c>
      <c r="DJ34">
        <f>IFERROR(LOOKUP(2,1/('DRAFT 2'!$D:$D=$B34)*('DRAFT 2'!$A:$A&gt;=DATE(2026,3,1))*('DRAFT 2'!$A:$A&lt;DATE(2026,IF(3=12,3+1,3+1),1)),'DRAFT 2'!$A:$A),"")</f>
        <v>0</v>
      </c>
      <c r="DK34">
        <f>COUNTIFS('DRAFT 2'!$D:$D,$B34,'DRAFT 2'!$A:$A,"&gt;="&amp;DATE(2026,3,1),'DRAFT 2'!$A:$A,"&lt;="&amp;DATE(2026,3,7))</f>
        <v>0</v>
      </c>
      <c r="DL34">
        <f>COUNTIFS('DRAFT 2'!$D:$D,$B34,'DRAFT 2'!$A:$A,"&gt;="&amp;DATE(2026,3,8),'DRAFT 2'!$A:$A,"&lt;="&amp;DATE(2026,3,14))</f>
        <v>0</v>
      </c>
      <c r="DM34">
        <f>COUNTIFS('DRAFT 2'!$D:$D,$B34,'DRAFT 2'!$A:$A,"&gt;="&amp;DATE(2026,3,15),'DRAFT 2'!$A:$A,"&lt;="&amp;DATE(2026,3,21))</f>
        <v>0</v>
      </c>
      <c r="DN34">
        <f>COUNTIFS('DRAFT 2'!$D:$D,$B34,'DRAFT 2'!$A:$A,"&gt;="&amp;DATE(2026,3,22),'DRAFT 2'!$A:$A,"&lt;"&amp;DATE(2026,IF(3=12,3+1,3+1),1))</f>
        <v>0</v>
      </c>
      <c r="DO34">
        <f t="shared" si="4"/>
        <v>0</v>
      </c>
      <c r="DZ34">
        <f>IFERROR(LOOKUP(2,1/('DRAFT 2'!$D:$D=$B34)*('DRAFT 2'!$A:$A&gt;=DATE(2026,4,1))*('DRAFT 2'!$A:$A&lt;DATE(2026,IF(4=12,4+1,4+1),1)),'DRAFT 2'!$A:$A),"")</f>
        <v>0</v>
      </c>
      <c r="EA34">
        <f>COUNTIFS('DRAFT 2'!$D:$D,$B34,'DRAFT 2'!$A:$A,"&gt;="&amp;DATE(2026,4,1),'DRAFT 2'!$A:$A,"&lt;="&amp;DATE(2026,4,7))</f>
        <v>0</v>
      </c>
      <c r="EB34">
        <f>COUNTIFS('DRAFT 2'!$D:$D,$B34,'DRAFT 2'!$A:$A,"&gt;="&amp;DATE(2026,4,8),'DRAFT 2'!$A:$A,"&lt;="&amp;DATE(2026,4,14))</f>
        <v>0</v>
      </c>
      <c r="EC34">
        <f>COUNTIFS('DRAFT 2'!$D:$D,$B34,'DRAFT 2'!$A:$A,"&gt;="&amp;DATE(2026,4,15),'DRAFT 2'!$A:$A,"&lt;="&amp;DATE(2026,4,21))</f>
        <v>0</v>
      </c>
      <c r="ED34">
        <f>COUNTIFS('DRAFT 2'!$D:$D,$B34,'DRAFT 2'!$A:$A,"&gt;="&amp;DATE(2026,4,22),'DRAFT 2'!$A:$A,"&lt;"&amp;DATE(2026,IF(4=12,4+1,4+1),1))</f>
        <v>0</v>
      </c>
      <c r="EE34">
        <f t="shared" si="5"/>
        <v>0</v>
      </c>
      <c r="EO34">
        <f>IFERROR(LOOKUP(2,1/('DRAFT 2'!$D:$D=$B34)*('DRAFT 2'!$A:$A&gt;=DATE(2026,5,1))*('DRAFT 2'!$A:$A&lt;DATE(2026,IF(5=12,5+1,5+1),1)),'DRAFT 2'!$A:$A),"")</f>
        <v>0</v>
      </c>
      <c r="EP34">
        <f>COUNTIFS('DRAFT 2'!$D:$D,$B34,'DRAFT 2'!$A:$A,"&gt;="&amp;DATE(2026,5,1),'DRAFT 2'!$A:$A,"&lt;="&amp;DATE(2026,5,7))</f>
        <v>0</v>
      </c>
      <c r="EQ34">
        <f>COUNTIFS('DRAFT 2'!$D:$D,$B34,'DRAFT 2'!$A:$A,"&gt;="&amp;DATE(2026,5,8),'DRAFT 2'!$A:$A,"&lt;="&amp;DATE(2026,5,14))</f>
        <v>0</v>
      </c>
      <c r="ER34">
        <f>COUNTIFS('DRAFT 2'!$D:$D,$B34,'DRAFT 2'!$A:$A,"&gt;="&amp;DATE(2026,5,15),'DRAFT 2'!$A:$A,"&lt;="&amp;DATE(2026,5,21))</f>
        <v>0</v>
      </c>
      <c r="ES34">
        <f>COUNTIFS('DRAFT 2'!$D:$D,$B34,'DRAFT 2'!$A:$A,"&gt;="&amp;DATE(2026,5,22),'DRAFT 2'!$A:$A,"&lt;"&amp;DATE(2026,IF(5=12,5+1,5+1),1))</f>
        <v>0</v>
      </c>
      <c r="ET34">
        <f t="shared" si="6"/>
        <v>0</v>
      </c>
      <c r="FD34">
        <f>IFERROR(LOOKUP(2,1/('DRAFT 2'!$D:$D=$B34)*('DRAFT 2'!$A:$A&gt;=DATE(2026,6,1))*('DRAFT 2'!$A:$A&lt;DATE(2026,IF(6=12,6+1,6+1),1)),'DRAFT 2'!$A:$A),"")</f>
        <v>0</v>
      </c>
      <c r="FE34">
        <f>COUNTIFS('DRAFT 2'!$D:$D,$B34,'DRAFT 2'!$A:$A,"&gt;="&amp;DATE(2026,6,1),'DRAFT 2'!$A:$A,"&lt;="&amp;DATE(2026,6,7))</f>
        <v>0</v>
      </c>
      <c r="FF34">
        <f>COUNTIFS('DRAFT 2'!$D:$D,$B34,'DRAFT 2'!$A:$A,"&gt;="&amp;DATE(2026,6,8),'DRAFT 2'!$A:$A,"&lt;="&amp;DATE(2026,6,14))</f>
        <v>0</v>
      </c>
      <c r="FG34">
        <f>COUNTIFS('DRAFT 2'!$D:$D,$B34,'DRAFT 2'!$A:$A,"&gt;="&amp;DATE(2026,6,15),'DRAFT 2'!$A:$A,"&lt;="&amp;DATE(2026,6,21))</f>
        <v>0</v>
      </c>
      <c r="FH34">
        <f>COUNTIFS('DRAFT 2'!$D:$D,$B34,'DRAFT 2'!$A:$A,"&gt;="&amp;DATE(2026,6,22),'DRAFT 2'!$A:$A,"&lt;"&amp;DATE(2026,IF(6=12,6+1,6+1),1))</f>
        <v>0</v>
      </c>
      <c r="FI34">
        <f t="shared" si="7"/>
        <v>0</v>
      </c>
      <c r="FT34">
        <f>IFERROR(LOOKUP(2,1/('DRAFT 2'!$D:$D=$B34)*('DRAFT 2'!$A:$A&gt;=DATE(2026,7,1))*('DRAFT 2'!$A:$A&lt;DATE(2026,IF(7=12,7+1,7+1),1)),'DRAFT 2'!$A:$A),"")</f>
        <v>0</v>
      </c>
      <c r="FU34">
        <f>COUNTIFS('DRAFT 2'!$D:$D,$B34,'DRAFT 2'!$A:$A,"&gt;="&amp;DATE(2026,7,1),'DRAFT 2'!$A:$A,"&lt;="&amp;DATE(2026,7,7))</f>
        <v>0</v>
      </c>
      <c r="FV34">
        <f>COUNTIFS('DRAFT 2'!$D:$D,$B34,'DRAFT 2'!$A:$A,"&gt;="&amp;DATE(2026,7,8),'DRAFT 2'!$A:$A,"&lt;="&amp;DATE(2026,7,14))</f>
        <v>0</v>
      </c>
      <c r="FW34">
        <f>COUNTIFS('DRAFT 2'!$D:$D,$B34,'DRAFT 2'!$A:$A,"&gt;="&amp;DATE(2026,7,15),'DRAFT 2'!$A:$A,"&lt;="&amp;DATE(2026,7,21))</f>
        <v>0</v>
      </c>
      <c r="FX34">
        <f>COUNTIFS('DRAFT 2'!$D:$D,$B34,'DRAFT 2'!$A:$A,"&gt;="&amp;DATE(2026,7,22),'DRAFT 2'!$A:$A,"&lt;"&amp;DATE(2026,IF(7=12,7+1,7+1),1))</f>
        <v>0</v>
      </c>
      <c r="FY34">
        <f t="shared" si="8"/>
        <v>0</v>
      </c>
      <c r="GI34">
        <f>IFERROR(LOOKUP(2,1/('DRAFT 2'!$D:$D=$B34)*('DRAFT 2'!$A:$A&gt;=DATE(2026,8,1))*('DRAFT 2'!$A:$A&lt;DATE(2026,IF(8=12,8+1,8+1),1)),'DRAFT 2'!$A:$A),"")</f>
        <v>0</v>
      </c>
      <c r="GJ34">
        <f>COUNTIFS('DRAFT 2'!$D:$D,$B34,'DRAFT 2'!$A:$A,"&gt;="&amp;DATE(2026,8,1),'DRAFT 2'!$A:$A,"&lt;="&amp;DATE(2026,8,7))</f>
        <v>0</v>
      </c>
      <c r="GK34">
        <f>COUNTIFS('DRAFT 2'!$D:$D,$B34,'DRAFT 2'!$A:$A,"&gt;="&amp;DATE(2026,8,8),'DRAFT 2'!$A:$A,"&lt;="&amp;DATE(2026,8,14))</f>
        <v>0</v>
      </c>
      <c r="GL34">
        <f>COUNTIFS('DRAFT 2'!$D:$D,$B34,'DRAFT 2'!$A:$A,"&gt;="&amp;DATE(2026,8,15),'DRAFT 2'!$A:$A,"&lt;="&amp;DATE(2026,8,21))</f>
        <v>0</v>
      </c>
      <c r="GM34">
        <f>COUNTIFS('DRAFT 2'!$D:$D,$B34,'DRAFT 2'!$A:$A,"&gt;="&amp;DATE(2026,8,22),'DRAFT 2'!$A:$A,"&lt;"&amp;DATE(2026,IF(8=12,8+1,8+1),1))</f>
        <v>0</v>
      </c>
      <c r="GN34">
        <f t="shared" si="9"/>
        <v>0</v>
      </c>
      <c r="GX34">
        <f>IFERROR(LOOKUP(2,1/('DRAFT 2'!$D:$D=$B34)*('DRAFT 2'!$A:$A&gt;=DATE(2026,9,1))*('DRAFT 2'!$A:$A&lt;DATE(2026,IF(9=12,9+1,9+1),1)),'DRAFT 2'!$A:$A),"")</f>
        <v>0</v>
      </c>
      <c r="GY34">
        <f>COUNTIFS('DRAFT 2'!$D:$D,$B34,'DRAFT 2'!$A:$A,"&gt;="&amp;DATE(2026,9,1),'DRAFT 2'!$A:$A,"&lt;="&amp;DATE(2026,9,7))</f>
        <v>0</v>
      </c>
      <c r="GZ34">
        <f>COUNTIFS('DRAFT 2'!$D:$D,$B34,'DRAFT 2'!$A:$A,"&gt;="&amp;DATE(2026,9,8),'DRAFT 2'!$A:$A,"&lt;="&amp;DATE(2026,9,14))</f>
        <v>0</v>
      </c>
      <c r="HA34">
        <f>COUNTIFS('DRAFT 2'!$D:$D,$B34,'DRAFT 2'!$A:$A,"&gt;="&amp;DATE(2026,9,15),'DRAFT 2'!$A:$A,"&lt;="&amp;DATE(2026,9,21))</f>
        <v>0</v>
      </c>
      <c r="HB34">
        <f>COUNTIFS('DRAFT 2'!$D:$D,$B34,'DRAFT 2'!$A:$A,"&gt;="&amp;DATE(2026,9,22),'DRAFT 2'!$A:$A,"&lt;"&amp;DATE(2026,IF(9=12,9+1,9+1),1))</f>
        <v>0</v>
      </c>
      <c r="HC34">
        <f t="shared" si="10"/>
        <v>0</v>
      </c>
      <c r="HN34">
        <f>IFERROR(LOOKUP(2,1/('DRAFT 2'!$D:$D=$B34)*('DRAFT 2'!$A:$A&gt;=DATE(2026,10,1))*('DRAFT 2'!$A:$A&lt;DATE(2026,IF(10=12,10+1,10+1),1)),'DRAFT 2'!$A:$A),"")</f>
        <v>0</v>
      </c>
      <c r="HO34">
        <f>COUNTIFS('DRAFT 2'!$D:$D,$B34,'DRAFT 2'!$A:$A,"&gt;="&amp;DATE(2026,10,1),'DRAFT 2'!$A:$A,"&lt;="&amp;DATE(2026,10,7))</f>
        <v>0</v>
      </c>
      <c r="HP34">
        <f>COUNTIFS('DRAFT 2'!$D:$D,$B34,'DRAFT 2'!$A:$A,"&gt;="&amp;DATE(2026,10,8),'DRAFT 2'!$A:$A,"&lt;="&amp;DATE(2026,10,14))</f>
        <v>0</v>
      </c>
      <c r="HQ34">
        <f>COUNTIFS('DRAFT 2'!$D:$D,$B34,'DRAFT 2'!$A:$A,"&gt;="&amp;DATE(2026,10,15),'DRAFT 2'!$A:$A,"&lt;="&amp;DATE(2026,10,21))</f>
        <v>0</v>
      </c>
      <c r="HR34">
        <f>COUNTIFS('DRAFT 2'!$D:$D,$B34,'DRAFT 2'!$A:$A,"&gt;="&amp;DATE(2026,10,22),'DRAFT 2'!$A:$A,"&lt;"&amp;DATE(2026,IF(10=12,10+1,10+1),1))</f>
        <v>0</v>
      </c>
      <c r="HS34">
        <f t="shared" si="11"/>
        <v>0</v>
      </c>
      <c r="IC34">
        <f>IFERROR(LOOKUP(2,1/('DRAFT 2'!$D:$D=$B34)*('DRAFT 2'!$A:$A&gt;=DATE(2026,11,1))*('DRAFT 2'!$A:$A&lt;DATE(2026,IF(11=12,11+1,11+1),1)),'DRAFT 2'!$A:$A),"")</f>
        <v>0</v>
      </c>
      <c r="ID34">
        <f>COUNTIFS('DRAFT 2'!$D:$D,$B34,'DRAFT 2'!$A:$A,"&gt;="&amp;DATE(2026,11,1),'DRAFT 2'!$A:$A,"&lt;="&amp;DATE(2026,11,7))</f>
        <v>0</v>
      </c>
      <c r="IE34">
        <f>COUNTIFS('DRAFT 2'!$D:$D,$B34,'DRAFT 2'!$A:$A,"&gt;="&amp;DATE(2026,11,8),'DRAFT 2'!$A:$A,"&lt;="&amp;DATE(2026,11,14))</f>
        <v>0</v>
      </c>
      <c r="IF34">
        <f>COUNTIFS('DRAFT 2'!$D:$D,$B34,'DRAFT 2'!$A:$A,"&gt;="&amp;DATE(2026,11,15),'DRAFT 2'!$A:$A,"&lt;="&amp;DATE(2026,11,21))</f>
        <v>0</v>
      </c>
      <c r="IG34">
        <f>COUNTIFS('DRAFT 2'!$D:$D,$B34,'DRAFT 2'!$A:$A,"&gt;="&amp;DATE(2026,11,22),'DRAFT 2'!$A:$A,"&lt;"&amp;DATE(2026,IF(11=12,11+1,11+1),1))</f>
        <v>0</v>
      </c>
      <c r="IH34">
        <f t="shared" si="12"/>
        <v>0</v>
      </c>
      <c r="IR34">
        <f>IFERROR(LOOKUP(2,1/('DRAFT 2'!$D:$D=$B34)*('DRAFT 2'!$A:$A&gt;=DATE(2026,12,1))*('DRAFT 2'!$A:$A&lt;DATE(2026,IF(12=12,12+1,12+1),1)),'DRAFT 2'!$A:$A),"")</f>
        <v>0</v>
      </c>
      <c r="IS34">
        <f>COUNTIFS('DRAFT 2'!$D:$D,$B34,'DRAFT 2'!$A:$A,"&gt;="&amp;DATE(2026,12,1),'DRAFT 2'!$A:$A,"&lt;="&amp;DATE(2026,12,7))</f>
        <v>0</v>
      </c>
      <c r="IT34">
        <f>COUNTIFS('DRAFT 2'!$D:$D,$B34,'DRAFT 2'!$A:$A,"&gt;="&amp;DATE(2026,12,8),'DRAFT 2'!$A:$A,"&lt;="&amp;DATE(2026,12,14))</f>
        <v>0</v>
      </c>
      <c r="IU34">
        <f>COUNTIFS('DRAFT 2'!$D:$D,$B34,'DRAFT 2'!$A:$A,"&gt;="&amp;DATE(2026,12,15),'DRAFT 2'!$A:$A,"&lt;="&amp;DATE(2026,12,21))</f>
        <v>0</v>
      </c>
      <c r="IV34">
        <f>COUNTIFS('DRAFT 2'!$D:$D,$B34,'DRAFT 2'!$A:$A,"&gt;="&amp;DATE(2026,12,22),'DRAFT 2'!$A:$A,"&lt;"&amp;DATE(2026,IF(12=12,12+1,12+1),1))</f>
        <v>0</v>
      </c>
      <c r="IW34">
        <f t="shared" si="13"/>
        <v>0</v>
      </c>
    </row>
    <row r="35" spans="1:257" x14ac:dyDescent="0.3">
      <c r="A35" t="str">
        <f>IFERROR(INDEX('DRAFT 1'!$A:$A,MATCH($B35,'DRAFT 1'!$B:$B,0)),"")</f>
        <v/>
      </c>
      <c r="C35" t="str">
        <f>IFERROR(INDEX('DRAFT 1'!$C:$C,MATCH($B35,'DRAFT 1'!$B:$B,0)),"")</f>
        <v/>
      </c>
      <c r="D35" t="str">
        <f>IFERROR(INDEX('DRAFT 1'!$D:$D,MATCH($B35,'DRAFT 1'!$B:$B,0)),"")</f>
        <v/>
      </c>
      <c r="E35" t="str">
        <f>IFERROR(INDEX('DRAFT 1'!$E:$E,MATCH($B35,'DRAFT 1'!$B:$B,0)),"")</f>
        <v/>
      </c>
      <c r="F35" t="str">
        <f>IFERROR(INDEX('DRAFT 1'!$F:$F,MATCH($B35,'DRAFT 1'!$B:$B,0)),"")</f>
        <v/>
      </c>
      <c r="G35" t="str">
        <f>IFERROR(INDEX('DRAFT 1'!$G:$G,MATCH($B35,'DRAFT 1'!$B:$B,0)),"")</f>
        <v/>
      </c>
      <c r="H35" t="str">
        <f>IFERROR(INDEX('DRAFT 1'!$H:$H,MATCH($B35,'DRAFT 1'!$B:$B,0)),"")</f>
        <v/>
      </c>
      <c r="I35" t="s">
        <v>295</v>
      </c>
      <c r="K35" t="str">
        <f>IFERROR(INDEX('DRAFT 1'!$AL:$AL,MATCH($B35,'DRAFT 1'!$B:$B,0)),"")</f>
        <v/>
      </c>
      <c r="L35" t="str">
        <f>IFERROR(INDEX('DRAFT 1'!$J:$J,MATCH($B35,'DRAFT 1'!$B:$B,0)),"")</f>
        <v/>
      </c>
      <c r="M35" t="str">
        <f>IFERROR(INDEX('DRAFT 1'!$K:$K,MATCH($B35,'DRAFT 1'!$B:$B,0)),"")</f>
        <v/>
      </c>
      <c r="N35" t="s">
        <v>71</v>
      </c>
      <c r="P35" t="str">
        <f>IFERROR(INDEX('DRAFT 1'!$L:$L,MATCH($B35,'DRAFT 1'!$B:$B,0)),"")</f>
        <v/>
      </c>
      <c r="Q35" t="str">
        <f>IFERROR(INDEX('DRAFT 1'!$M:$M,MATCH($B35,'DRAFT 1'!$B:$B,0)),"")</f>
        <v/>
      </c>
      <c r="R35" t="str">
        <f>IFERROR(INDEX('DRAFT 1'!$N:$N,MATCH($B35,'DRAFT 1'!$B:$B,0)),"")</f>
        <v/>
      </c>
      <c r="S35" t="str">
        <f>IFERROR(INDEX('DRAFT 1'!$O:$O,MATCH($B35,'DRAFT 1'!$B:$B,0)),"")</f>
        <v/>
      </c>
      <c r="T35" t="str">
        <f>IFERROR(INDEX('DRAFT 1'!$P:$P,MATCH($B35,'DRAFT 1'!$B:$B,0)),"")</f>
        <v/>
      </c>
      <c r="U35" t="str">
        <f>IFERROR(INDEX('DRAFT 1'!$Q:$Q,MATCH($B35,'DRAFT 1'!$B:$B,0)),"")</f>
        <v/>
      </c>
      <c r="V35" t="str">
        <f>IFERROR(INDEX('DRAFT 1'!$R:$R,MATCH($B35,'DRAFT 1'!$B:$B,0)),"")</f>
        <v/>
      </c>
      <c r="W35" t="str">
        <f>IFERROR(INDEX('DRAFT 1'!$S:$S,MATCH($B35,'DRAFT 1'!$B:$B,0)),"")</f>
        <v/>
      </c>
      <c r="X35" t="str">
        <f>IFERROR(INDEX('DRAFT 1'!$T:$T,MATCH($B35,'DRAFT 1'!$B:$B,0)),"")</f>
        <v/>
      </c>
      <c r="Z35" t="str">
        <f>IFERROR(INDEX('DRAFT 1'!$U:$U,MATCH($B35,'DRAFT 1'!$B:$B,0)),"")</f>
        <v/>
      </c>
      <c r="AA35" t="str">
        <f>IFERROR(INDEX('DRAFT 1'!$V:$V,MATCH($B35,'DRAFT 1'!$B:$B,0)),"")</f>
        <v/>
      </c>
      <c r="AB35" t="str">
        <f>IFERROR(INDEX('DRAFT 1'!$W:$W,MATCH($B35,'DRAFT 1'!$B:$B,0)),"")</f>
        <v/>
      </c>
      <c r="AC35" t="str">
        <f>IFERROR(INDEX('DRAFT 1'!$X:$X,MATCH($B35,'DRAFT 1'!$B:$B,0)),"")</f>
        <v/>
      </c>
      <c r="AD35" t="str">
        <f>IFERROR(INDEX('DRAFT 1'!$Y:$Y,MATCH($B35,'DRAFT 1'!$B:$B,0)),"")</f>
        <v/>
      </c>
      <c r="AE35" t="str">
        <f>IFERROR(INDEX('DRAFT 1'!$Z:$Z,MATCH($B35,'DRAFT 1'!$B:$B,0)),"")</f>
        <v/>
      </c>
      <c r="AF35" t="str">
        <f>IFERROR(INDEX('DRAFT 1'!$AA:$AA,MATCH($B35,'DRAFT 1'!$B:$B,0)),"")</f>
        <v/>
      </c>
      <c r="AG35" t="str">
        <f>IFERROR(INDEX('DRAFT 1'!$AB:$AB,MATCH($B35,'DRAFT 1'!$B:$B,0)),"")</f>
        <v/>
      </c>
      <c r="AH35" t="str">
        <f>IFERROR(INDEX('DRAFT 1'!$AC:$AC,MATCH($B35,'DRAFT 1'!$B:$B,0)),"")</f>
        <v/>
      </c>
      <c r="AI35" t="str">
        <f>IFERROR(INDEX('DRAFT 1'!$AD:$AD,MATCH($B35,'DRAFT 1'!$B:$B,0)),"")</f>
        <v/>
      </c>
      <c r="AJ35" t="str">
        <f>IFERROR(INDEX('DRAFT 1'!$AE:$AE,MATCH($B35,'DRAFT 1'!$B:$B,0)),"")</f>
        <v/>
      </c>
      <c r="AK35" t="str">
        <f>IFERROR(INDEX('DRAFT 1'!$AG:$AG,MATCH($B35,'DRAFT 1'!$B:$B,0)),"")</f>
        <v/>
      </c>
      <c r="AL35" t="str">
        <f>IFERROR(INDEX('DRAFT 1'!$AH:$AH,MATCH($B35,'DRAFT 1'!$B:$B,0)),"")</f>
        <v/>
      </c>
      <c r="AM35" t="str">
        <f>IFERROR(INDEX('DRAFT 1'!$AI:$AI,MATCH($B35,'DRAFT 1'!$B:$B,0)),"")</f>
        <v/>
      </c>
      <c r="AN35" t="str">
        <f>IFERROR(INDEX('DRAFT 1'!$AJ:$AJ,MATCH($B35,'DRAFT 1'!$B:$B,0)),"")</f>
        <v/>
      </c>
      <c r="AO35">
        <f t="shared" si="0"/>
        <v>0</v>
      </c>
      <c r="AP35" t="str">
        <f>IFERROR(INDEX('DRAFT 1'!$AK:$AK,MATCH($B35,'DRAFT 1'!$B:$B,0)),"")</f>
        <v/>
      </c>
      <c r="AR35" t="s">
        <v>93</v>
      </c>
      <c r="AS35">
        <f>IFERROR(LOOKUP(2,1/('DRAFT 2'!$D:$D=$B35),'DRAFT 2'!$T:$T),"")</f>
        <v>0</v>
      </c>
      <c r="AT35">
        <f>IFERROR(LOOKUP(2,1/('DRAFT 2'!$D:$D=$B35),'DRAFT 2'!$A:$A),"")</f>
        <v>0</v>
      </c>
      <c r="AU35">
        <f>IFERROR(LOOKUP(2,1/('DRAFT 2'!$D:$D=$B35),'DRAFT 2'!$R:$R),"")</f>
        <v>0</v>
      </c>
      <c r="AV35">
        <f>IFERROR(LOOKUP(2,1/('DRAFT 2'!$D:$D=$B35),'DRAFT 2'!$S:$S),"")</f>
        <v>0</v>
      </c>
      <c r="AW35" t="s">
        <v>130</v>
      </c>
      <c r="AX35">
        <f>IFERROR(LOOKUP(2,1/('DRAFT 2'!$D:$D=$B35),'DRAFT 2'!$M:$M),"")</f>
        <v>0</v>
      </c>
      <c r="AY35">
        <f>IFERROR(LOOKUP(2,1/('DRAFT 2'!$D:$D=$B35),'DRAFT 2'!$K:$K),"")</f>
        <v>0</v>
      </c>
      <c r="BG35">
        <f>IFERROR(LOOKUP(2,1/('DRAFT 2'!$D:$D=$B35),'DRAFT 2'!$U:$U),"")</f>
        <v>0</v>
      </c>
      <c r="BH35">
        <f>IFERROR(LOOKUP(2,1/('DRAFT 2'!$D:$D=$B35),'DRAFT 2'!$V:$V),"")</f>
        <v>0</v>
      </c>
      <c r="CE35" t="str">
        <f t="shared" si="1"/>
        <v/>
      </c>
      <c r="CF35">
        <f>IFERROR(LOOKUP(2,1/('DRAFT 2'!$D:$D=$B35)*('DRAFT 2'!$A:$A&gt;=DATE(2026,1,1))*('DRAFT 2'!$A:$A&lt;DATE(2026,IF(1=12,1+1,1+1),1)),'DRAFT 2'!$A:$A),"")</f>
        <v>0</v>
      </c>
      <c r="CG35">
        <f>COUNTIFS('DRAFT 2'!$D:$D,$B35,'DRAFT 2'!$A:$A,"&gt;="&amp;DATE(2026,1,1),'DRAFT 2'!$A:$A,"&lt;="&amp;DATE(2026,1,7))</f>
        <v>0</v>
      </c>
      <c r="CH35">
        <f>COUNTIFS('DRAFT 2'!$D:$D,$B35,'DRAFT 2'!$A:$A,"&gt;="&amp;DATE(2026,1,8),'DRAFT 2'!$A:$A,"&lt;="&amp;DATE(2026,1,14))</f>
        <v>0</v>
      </c>
      <c r="CI35">
        <f>COUNTIFS('DRAFT 2'!$D:$D,$B35,'DRAFT 2'!$A:$A,"&gt;="&amp;DATE(2026,1,15),'DRAFT 2'!$A:$A,"&lt;="&amp;DATE(2026,1,21))</f>
        <v>0</v>
      </c>
      <c r="CJ35">
        <f>COUNTIFS('DRAFT 2'!$D:$D,$B35,'DRAFT 2'!$A:$A,"&gt;="&amp;DATE(2026,1,22),'DRAFT 2'!$A:$A,"&lt;"&amp;DATE(2026,IF(1=12,1+1,1+1),1))</f>
        <v>0</v>
      </c>
      <c r="CK35">
        <f t="shared" si="2"/>
        <v>0</v>
      </c>
      <c r="CT35">
        <v>0</v>
      </c>
      <c r="CU35">
        <f>IFERROR(LOOKUP(2,1/('DRAFT 2'!$D:$D=$B35)*('DRAFT 2'!$A:$A&gt;=DATE(2026,2,1))*('DRAFT 2'!$A:$A&lt;DATE(2026,IF(2=12,2+1,2+1),1)),'DRAFT 2'!$A:$A),"")</f>
        <v>0</v>
      </c>
      <c r="CV35">
        <f>COUNTIFS('DRAFT 2'!$D:$D,$B35,'DRAFT 2'!$A:$A,"&gt;="&amp;DATE(2026,2,1),'DRAFT 2'!$A:$A,"&lt;="&amp;DATE(2026,2,7))</f>
        <v>0</v>
      </c>
      <c r="CW35">
        <f>COUNTIFS('DRAFT 2'!$D:$D,$B35,'DRAFT 2'!$A:$A,"&gt;="&amp;DATE(2026,2,8),'DRAFT 2'!$A:$A,"&lt;="&amp;DATE(2026,2,14))</f>
        <v>0</v>
      </c>
      <c r="CX35">
        <f>COUNTIFS('DRAFT 2'!$D:$D,$B35,'DRAFT 2'!$A:$A,"&gt;="&amp;DATE(2026,2,15),'DRAFT 2'!$A:$A,"&lt;="&amp;DATE(2026,2,21))</f>
        <v>0</v>
      </c>
      <c r="CY35">
        <f>COUNTIFS('DRAFT 2'!$D:$D,$B35,'DRAFT 2'!$A:$A,"&gt;="&amp;DATE(2026,2,22),'DRAFT 2'!$A:$A,"&lt;"&amp;DATE(2026,IF(2=12,2+1,2+1),1))</f>
        <v>0</v>
      </c>
      <c r="CZ35">
        <f t="shared" si="3"/>
        <v>0</v>
      </c>
      <c r="DJ35">
        <f>IFERROR(LOOKUP(2,1/('DRAFT 2'!$D:$D=$B35)*('DRAFT 2'!$A:$A&gt;=DATE(2026,3,1))*('DRAFT 2'!$A:$A&lt;DATE(2026,IF(3=12,3+1,3+1),1)),'DRAFT 2'!$A:$A),"")</f>
        <v>0</v>
      </c>
      <c r="DK35">
        <f>COUNTIFS('DRAFT 2'!$D:$D,$B35,'DRAFT 2'!$A:$A,"&gt;="&amp;DATE(2026,3,1),'DRAFT 2'!$A:$A,"&lt;="&amp;DATE(2026,3,7))</f>
        <v>0</v>
      </c>
      <c r="DL35">
        <f>COUNTIFS('DRAFT 2'!$D:$D,$B35,'DRAFT 2'!$A:$A,"&gt;="&amp;DATE(2026,3,8),'DRAFT 2'!$A:$A,"&lt;="&amp;DATE(2026,3,14))</f>
        <v>0</v>
      </c>
      <c r="DM35">
        <f>COUNTIFS('DRAFT 2'!$D:$D,$B35,'DRAFT 2'!$A:$A,"&gt;="&amp;DATE(2026,3,15),'DRAFT 2'!$A:$A,"&lt;="&amp;DATE(2026,3,21))</f>
        <v>0</v>
      </c>
      <c r="DN35">
        <f>COUNTIFS('DRAFT 2'!$D:$D,$B35,'DRAFT 2'!$A:$A,"&gt;="&amp;DATE(2026,3,22),'DRAFT 2'!$A:$A,"&lt;"&amp;DATE(2026,IF(3=12,3+1,3+1),1))</f>
        <v>0</v>
      </c>
      <c r="DO35">
        <f t="shared" si="4"/>
        <v>0</v>
      </c>
      <c r="DZ35">
        <f>IFERROR(LOOKUP(2,1/('DRAFT 2'!$D:$D=$B35)*('DRAFT 2'!$A:$A&gt;=DATE(2026,4,1))*('DRAFT 2'!$A:$A&lt;DATE(2026,IF(4=12,4+1,4+1),1)),'DRAFT 2'!$A:$A),"")</f>
        <v>0</v>
      </c>
      <c r="EA35">
        <f>COUNTIFS('DRAFT 2'!$D:$D,$B35,'DRAFT 2'!$A:$A,"&gt;="&amp;DATE(2026,4,1),'DRAFT 2'!$A:$A,"&lt;="&amp;DATE(2026,4,7))</f>
        <v>0</v>
      </c>
      <c r="EB35">
        <f>COUNTIFS('DRAFT 2'!$D:$D,$B35,'DRAFT 2'!$A:$A,"&gt;="&amp;DATE(2026,4,8),'DRAFT 2'!$A:$A,"&lt;="&amp;DATE(2026,4,14))</f>
        <v>0</v>
      </c>
      <c r="EC35">
        <f>COUNTIFS('DRAFT 2'!$D:$D,$B35,'DRAFT 2'!$A:$A,"&gt;="&amp;DATE(2026,4,15),'DRAFT 2'!$A:$A,"&lt;="&amp;DATE(2026,4,21))</f>
        <v>0</v>
      </c>
      <c r="ED35">
        <f>COUNTIFS('DRAFT 2'!$D:$D,$B35,'DRAFT 2'!$A:$A,"&gt;="&amp;DATE(2026,4,22),'DRAFT 2'!$A:$A,"&lt;"&amp;DATE(2026,IF(4=12,4+1,4+1),1))</f>
        <v>0</v>
      </c>
      <c r="EE35">
        <f t="shared" si="5"/>
        <v>0</v>
      </c>
      <c r="EO35">
        <f>IFERROR(LOOKUP(2,1/('DRAFT 2'!$D:$D=$B35)*('DRAFT 2'!$A:$A&gt;=DATE(2026,5,1))*('DRAFT 2'!$A:$A&lt;DATE(2026,IF(5=12,5+1,5+1),1)),'DRAFT 2'!$A:$A),"")</f>
        <v>0</v>
      </c>
      <c r="EP35">
        <f>COUNTIFS('DRAFT 2'!$D:$D,$B35,'DRAFT 2'!$A:$A,"&gt;="&amp;DATE(2026,5,1),'DRAFT 2'!$A:$A,"&lt;="&amp;DATE(2026,5,7))</f>
        <v>0</v>
      </c>
      <c r="EQ35">
        <f>COUNTIFS('DRAFT 2'!$D:$D,$B35,'DRAFT 2'!$A:$A,"&gt;="&amp;DATE(2026,5,8),'DRAFT 2'!$A:$A,"&lt;="&amp;DATE(2026,5,14))</f>
        <v>0</v>
      </c>
      <c r="ER35">
        <f>COUNTIFS('DRAFT 2'!$D:$D,$B35,'DRAFT 2'!$A:$A,"&gt;="&amp;DATE(2026,5,15),'DRAFT 2'!$A:$A,"&lt;="&amp;DATE(2026,5,21))</f>
        <v>0</v>
      </c>
      <c r="ES35">
        <f>COUNTIFS('DRAFT 2'!$D:$D,$B35,'DRAFT 2'!$A:$A,"&gt;="&amp;DATE(2026,5,22),'DRAFT 2'!$A:$A,"&lt;"&amp;DATE(2026,IF(5=12,5+1,5+1),1))</f>
        <v>0</v>
      </c>
      <c r="ET35">
        <f t="shared" si="6"/>
        <v>0</v>
      </c>
      <c r="FD35">
        <f>IFERROR(LOOKUP(2,1/('DRAFT 2'!$D:$D=$B35)*('DRAFT 2'!$A:$A&gt;=DATE(2026,6,1))*('DRAFT 2'!$A:$A&lt;DATE(2026,IF(6=12,6+1,6+1),1)),'DRAFT 2'!$A:$A),"")</f>
        <v>0</v>
      </c>
      <c r="FE35">
        <f>COUNTIFS('DRAFT 2'!$D:$D,$B35,'DRAFT 2'!$A:$A,"&gt;="&amp;DATE(2026,6,1),'DRAFT 2'!$A:$A,"&lt;="&amp;DATE(2026,6,7))</f>
        <v>0</v>
      </c>
      <c r="FF35">
        <f>COUNTIFS('DRAFT 2'!$D:$D,$B35,'DRAFT 2'!$A:$A,"&gt;="&amp;DATE(2026,6,8),'DRAFT 2'!$A:$A,"&lt;="&amp;DATE(2026,6,14))</f>
        <v>0</v>
      </c>
      <c r="FG35">
        <f>COUNTIFS('DRAFT 2'!$D:$D,$B35,'DRAFT 2'!$A:$A,"&gt;="&amp;DATE(2026,6,15),'DRAFT 2'!$A:$A,"&lt;="&amp;DATE(2026,6,21))</f>
        <v>0</v>
      </c>
      <c r="FH35">
        <f>COUNTIFS('DRAFT 2'!$D:$D,$B35,'DRAFT 2'!$A:$A,"&gt;="&amp;DATE(2026,6,22),'DRAFT 2'!$A:$A,"&lt;"&amp;DATE(2026,IF(6=12,6+1,6+1),1))</f>
        <v>0</v>
      </c>
      <c r="FI35">
        <f t="shared" si="7"/>
        <v>0</v>
      </c>
      <c r="FT35">
        <f>IFERROR(LOOKUP(2,1/('DRAFT 2'!$D:$D=$B35)*('DRAFT 2'!$A:$A&gt;=DATE(2026,7,1))*('DRAFT 2'!$A:$A&lt;DATE(2026,IF(7=12,7+1,7+1),1)),'DRAFT 2'!$A:$A),"")</f>
        <v>0</v>
      </c>
      <c r="FU35">
        <f>COUNTIFS('DRAFT 2'!$D:$D,$B35,'DRAFT 2'!$A:$A,"&gt;="&amp;DATE(2026,7,1),'DRAFT 2'!$A:$A,"&lt;="&amp;DATE(2026,7,7))</f>
        <v>0</v>
      </c>
      <c r="FV35">
        <f>COUNTIFS('DRAFT 2'!$D:$D,$B35,'DRAFT 2'!$A:$A,"&gt;="&amp;DATE(2026,7,8),'DRAFT 2'!$A:$A,"&lt;="&amp;DATE(2026,7,14))</f>
        <v>0</v>
      </c>
      <c r="FW35">
        <f>COUNTIFS('DRAFT 2'!$D:$D,$B35,'DRAFT 2'!$A:$A,"&gt;="&amp;DATE(2026,7,15),'DRAFT 2'!$A:$A,"&lt;="&amp;DATE(2026,7,21))</f>
        <v>0</v>
      </c>
      <c r="FX35">
        <f>COUNTIFS('DRAFT 2'!$D:$D,$B35,'DRAFT 2'!$A:$A,"&gt;="&amp;DATE(2026,7,22),'DRAFT 2'!$A:$A,"&lt;"&amp;DATE(2026,IF(7=12,7+1,7+1),1))</f>
        <v>0</v>
      </c>
      <c r="FY35">
        <f t="shared" si="8"/>
        <v>0</v>
      </c>
      <c r="GI35">
        <f>IFERROR(LOOKUP(2,1/('DRAFT 2'!$D:$D=$B35)*('DRAFT 2'!$A:$A&gt;=DATE(2026,8,1))*('DRAFT 2'!$A:$A&lt;DATE(2026,IF(8=12,8+1,8+1),1)),'DRAFT 2'!$A:$A),"")</f>
        <v>0</v>
      </c>
      <c r="GJ35">
        <f>COUNTIFS('DRAFT 2'!$D:$D,$B35,'DRAFT 2'!$A:$A,"&gt;="&amp;DATE(2026,8,1),'DRAFT 2'!$A:$A,"&lt;="&amp;DATE(2026,8,7))</f>
        <v>0</v>
      </c>
      <c r="GK35">
        <f>COUNTIFS('DRAFT 2'!$D:$D,$B35,'DRAFT 2'!$A:$A,"&gt;="&amp;DATE(2026,8,8),'DRAFT 2'!$A:$A,"&lt;="&amp;DATE(2026,8,14))</f>
        <v>0</v>
      </c>
      <c r="GL35">
        <f>COUNTIFS('DRAFT 2'!$D:$D,$B35,'DRAFT 2'!$A:$A,"&gt;="&amp;DATE(2026,8,15),'DRAFT 2'!$A:$A,"&lt;="&amp;DATE(2026,8,21))</f>
        <v>0</v>
      </c>
      <c r="GM35">
        <f>COUNTIFS('DRAFT 2'!$D:$D,$B35,'DRAFT 2'!$A:$A,"&gt;="&amp;DATE(2026,8,22),'DRAFT 2'!$A:$A,"&lt;"&amp;DATE(2026,IF(8=12,8+1,8+1),1))</f>
        <v>0</v>
      </c>
      <c r="GN35">
        <f t="shared" si="9"/>
        <v>0</v>
      </c>
      <c r="GX35">
        <f>IFERROR(LOOKUP(2,1/('DRAFT 2'!$D:$D=$B35)*('DRAFT 2'!$A:$A&gt;=DATE(2026,9,1))*('DRAFT 2'!$A:$A&lt;DATE(2026,IF(9=12,9+1,9+1),1)),'DRAFT 2'!$A:$A),"")</f>
        <v>0</v>
      </c>
      <c r="GY35">
        <f>COUNTIFS('DRAFT 2'!$D:$D,$B35,'DRAFT 2'!$A:$A,"&gt;="&amp;DATE(2026,9,1),'DRAFT 2'!$A:$A,"&lt;="&amp;DATE(2026,9,7))</f>
        <v>0</v>
      </c>
      <c r="GZ35">
        <f>COUNTIFS('DRAFT 2'!$D:$D,$B35,'DRAFT 2'!$A:$A,"&gt;="&amp;DATE(2026,9,8),'DRAFT 2'!$A:$A,"&lt;="&amp;DATE(2026,9,14))</f>
        <v>0</v>
      </c>
      <c r="HA35">
        <f>COUNTIFS('DRAFT 2'!$D:$D,$B35,'DRAFT 2'!$A:$A,"&gt;="&amp;DATE(2026,9,15),'DRAFT 2'!$A:$A,"&lt;="&amp;DATE(2026,9,21))</f>
        <v>0</v>
      </c>
      <c r="HB35">
        <f>COUNTIFS('DRAFT 2'!$D:$D,$B35,'DRAFT 2'!$A:$A,"&gt;="&amp;DATE(2026,9,22),'DRAFT 2'!$A:$A,"&lt;"&amp;DATE(2026,IF(9=12,9+1,9+1),1))</f>
        <v>0</v>
      </c>
      <c r="HC35">
        <f t="shared" si="10"/>
        <v>0</v>
      </c>
      <c r="HN35">
        <f>IFERROR(LOOKUP(2,1/('DRAFT 2'!$D:$D=$B35)*('DRAFT 2'!$A:$A&gt;=DATE(2026,10,1))*('DRAFT 2'!$A:$A&lt;DATE(2026,IF(10=12,10+1,10+1),1)),'DRAFT 2'!$A:$A),"")</f>
        <v>0</v>
      </c>
      <c r="HO35">
        <f>COUNTIFS('DRAFT 2'!$D:$D,$B35,'DRAFT 2'!$A:$A,"&gt;="&amp;DATE(2026,10,1),'DRAFT 2'!$A:$A,"&lt;="&amp;DATE(2026,10,7))</f>
        <v>0</v>
      </c>
      <c r="HP35">
        <f>COUNTIFS('DRAFT 2'!$D:$D,$B35,'DRAFT 2'!$A:$A,"&gt;="&amp;DATE(2026,10,8),'DRAFT 2'!$A:$A,"&lt;="&amp;DATE(2026,10,14))</f>
        <v>0</v>
      </c>
      <c r="HQ35">
        <f>COUNTIFS('DRAFT 2'!$D:$D,$B35,'DRAFT 2'!$A:$A,"&gt;="&amp;DATE(2026,10,15),'DRAFT 2'!$A:$A,"&lt;="&amp;DATE(2026,10,21))</f>
        <v>0</v>
      </c>
      <c r="HR35">
        <f>COUNTIFS('DRAFT 2'!$D:$D,$B35,'DRAFT 2'!$A:$A,"&gt;="&amp;DATE(2026,10,22),'DRAFT 2'!$A:$A,"&lt;"&amp;DATE(2026,IF(10=12,10+1,10+1),1))</f>
        <v>0</v>
      </c>
      <c r="HS35">
        <f t="shared" si="11"/>
        <v>0</v>
      </c>
      <c r="IC35">
        <f>IFERROR(LOOKUP(2,1/('DRAFT 2'!$D:$D=$B35)*('DRAFT 2'!$A:$A&gt;=DATE(2026,11,1))*('DRAFT 2'!$A:$A&lt;DATE(2026,IF(11=12,11+1,11+1),1)),'DRAFT 2'!$A:$A),"")</f>
        <v>0</v>
      </c>
      <c r="ID35">
        <f>COUNTIFS('DRAFT 2'!$D:$D,$B35,'DRAFT 2'!$A:$A,"&gt;="&amp;DATE(2026,11,1),'DRAFT 2'!$A:$A,"&lt;="&amp;DATE(2026,11,7))</f>
        <v>0</v>
      </c>
      <c r="IE35">
        <f>COUNTIFS('DRAFT 2'!$D:$D,$B35,'DRAFT 2'!$A:$A,"&gt;="&amp;DATE(2026,11,8),'DRAFT 2'!$A:$A,"&lt;="&amp;DATE(2026,11,14))</f>
        <v>0</v>
      </c>
      <c r="IF35">
        <f>COUNTIFS('DRAFT 2'!$D:$D,$B35,'DRAFT 2'!$A:$A,"&gt;="&amp;DATE(2026,11,15),'DRAFT 2'!$A:$A,"&lt;="&amp;DATE(2026,11,21))</f>
        <v>0</v>
      </c>
      <c r="IG35">
        <f>COUNTIFS('DRAFT 2'!$D:$D,$B35,'DRAFT 2'!$A:$A,"&gt;="&amp;DATE(2026,11,22),'DRAFT 2'!$A:$A,"&lt;"&amp;DATE(2026,IF(11=12,11+1,11+1),1))</f>
        <v>0</v>
      </c>
      <c r="IH35">
        <f t="shared" si="12"/>
        <v>0</v>
      </c>
      <c r="IR35">
        <f>IFERROR(LOOKUP(2,1/('DRAFT 2'!$D:$D=$B35)*('DRAFT 2'!$A:$A&gt;=DATE(2026,12,1))*('DRAFT 2'!$A:$A&lt;DATE(2026,IF(12=12,12+1,12+1),1)),'DRAFT 2'!$A:$A),"")</f>
        <v>0</v>
      </c>
      <c r="IS35">
        <f>COUNTIFS('DRAFT 2'!$D:$D,$B35,'DRAFT 2'!$A:$A,"&gt;="&amp;DATE(2026,12,1),'DRAFT 2'!$A:$A,"&lt;="&amp;DATE(2026,12,7))</f>
        <v>0</v>
      </c>
      <c r="IT35">
        <f>COUNTIFS('DRAFT 2'!$D:$D,$B35,'DRAFT 2'!$A:$A,"&gt;="&amp;DATE(2026,12,8),'DRAFT 2'!$A:$A,"&lt;="&amp;DATE(2026,12,14))</f>
        <v>0</v>
      </c>
      <c r="IU35">
        <f>COUNTIFS('DRAFT 2'!$D:$D,$B35,'DRAFT 2'!$A:$A,"&gt;="&amp;DATE(2026,12,15),'DRAFT 2'!$A:$A,"&lt;="&amp;DATE(2026,12,21))</f>
        <v>0</v>
      </c>
      <c r="IV35">
        <f>COUNTIFS('DRAFT 2'!$D:$D,$B35,'DRAFT 2'!$A:$A,"&gt;="&amp;DATE(2026,12,22),'DRAFT 2'!$A:$A,"&lt;"&amp;DATE(2026,IF(12=12,12+1,12+1),1))</f>
        <v>0</v>
      </c>
      <c r="IW35">
        <f t="shared" si="13"/>
        <v>0</v>
      </c>
    </row>
    <row r="36" spans="1:257" x14ac:dyDescent="0.3">
      <c r="A36" t="str">
        <f>IFERROR(INDEX('DRAFT 1'!$A:$A,MATCH($B36,'DRAFT 1'!$B:$B,0)),"")</f>
        <v/>
      </c>
      <c r="C36" t="str">
        <f>IFERROR(INDEX('DRAFT 1'!$C:$C,MATCH($B36,'DRAFT 1'!$B:$B,0)),"")</f>
        <v/>
      </c>
      <c r="D36" t="str">
        <f>IFERROR(INDEX('DRAFT 1'!$D:$D,MATCH($B36,'DRAFT 1'!$B:$B,0)),"")</f>
        <v/>
      </c>
      <c r="E36" t="str">
        <f>IFERROR(INDEX('DRAFT 1'!$E:$E,MATCH($B36,'DRAFT 1'!$B:$B,0)),"")</f>
        <v/>
      </c>
      <c r="F36" t="str">
        <f>IFERROR(INDEX('DRAFT 1'!$F:$F,MATCH($B36,'DRAFT 1'!$B:$B,0)),"")</f>
        <v/>
      </c>
      <c r="G36" t="str">
        <f>IFERROR(INDEX('DRAFT 1'!$G:$G,MATCH($B36,'DRAFT 1'!$B:$B,0)),"")</f>
        <v/>
      </c>
      <c r="H36" t="str">
        <f>IFERROR(INDEX('DRAFT 1'!$H:$H,MATCH($B36,'DRAFT 1'!$B:$B,0)),"")</f>
        <v/>
      </c>
      <c r="I36" t="s">
        <v>295</v>
      </c>
      <c r="K36" t="str">
        <f>IFERROR(INDEX('DRAFT 1'!$AL:$AL,MATCH($B36,'DRAFT 1'!$B:$B,0)),"")</f>
        <v/>
      </c>
      <c r="L36" t="str">
        <f>IFERROR(INDEX('DRAFT 1'!$J:$J,MATCH($B36,'DRAFT 1'!$B:$B,0)),"")</f>
        <v/>
      </c>
      <c r="M36" t="str">
        <f>IFERROR(INDEX('DRAFT 1'!$K:$K,MATCH($B36,'DRAFT 1'!$B:$B,0)),"")</f>
        <v/>
      </c>
      <c r="N36" t="s">
        <v>74</v>
      </c>
      <c r="P36" t="str">
        <f>IFERROR(INDEX('DRAFT 1'!$L:$L,MATCH($B36,'DRAFT 1'!$B:$B,0)),"")</f>
        <v/>
      </c>
      <c r="Q36" t="str">
        <f>IFERROR(INDEX('DRAFT 1'!$M:$M,MATCH($B36,'DRAFT 1'!$B:$B,0)),"")</f>
        <v/>
      </c>
      <c r="R36" t="str">
        <f>IFERROR(INDEX('DRAFT 1'!$N:$N,MATCH($B36,'DRAFT 1'!$B:$B,0)),"")</f>
        <v/>
      </c>
      <c r="S36" t="str">
        <f>IFERROR(INDEX('DRAFT 1'!$O:$O,MATCH($B36,'DRAFT 1'!$B:$B,0)),"")</f>
        <v/>
      </c>
      <c r="T36" t="str">
        <f>IFERROR(INDEX('DRAFT 1'!$P:$P,MATCH($B36,'DRAFT 1'!$B:$B,0)),"")</f>
        <v/>
      </c>
      <c r="U36" t="str">
        <f>IFERROR(INDEX('DRAFT 1'!$Q:$Q,MATCH($B36,'DRAFT 1'!$B:$B,0)),"")</f>
        <v/>
      </c>
      <c r="V36" t="str">
        <f>IFERROR(INDEX('DRAFT 1'!$R:$R,MATCH($B36,'DRAFT 1'!$B:$B,0)),"")</f>
        <v/>
      </c>
      <c r="W36" t="str">
        <f>IFERROR(INDEX('DRAFT 1'!$S:$S,MATCH($B36,'DRAFT 1'!$B:$B,0)),"")</f>
        <v/>
      </c>
      <c r="X36" t="str">
        <f>IFERROR(INDEX('DRAFT 1'!$T:$T,MATCH($B36,'DRAFT 1'!$B:$B,0)),"")</f>
        <v/>
      </c>
      <c r="Z36" t="str">
        <f>IFERROR(INDEX('DRAFT 1'!$U:$U,MATCH($B36,'DRAFT 1'!$B:$B,0)),"")</f>
        <v/>
      </c>
      <c r="AA36" t="str">
        <f>IFERROR(INDEX('DRAFT 1'!$V:$V,MATCH($B36,'DRAFT 1'!$B:$B,0)),"")</f>
        <v/>
      </c>
      <c r="AB36" t="str">
        <f>IFERROR(INDEX('DRAFT 1'!$W:$W,MATCH($B36,'DRAFT 1'!$B:$B,0)),"")</f>
        <v/>
      </c>
      <c r="AC36" t="str">
        <f>IFERROR(INDEX('DRAFT 1'!$X:$X,MATCH($B36,'DRAFT 1'!$B:$B,0)),"")</f>
        <v/>
      </c>
      <c r="AD36" t="str">
        <f>IFERROR(INDEX('DRAFT 1'!$Y:$Y,MATCH($B36,'DRAFT 1'!$B:$B,0)),"")</f>
        <v/>
      </c>
      <c r="AE36" t="str">
        <f>IFERROR(INDEX('DRAFT 1'!$Z:$Z,MATCH($B36,'DRAFT 1'!$B:$B,0)),"")</f>
        <v/>
      </c>
      <c r="AF36" t="str">
        <f>IFERROR(INDEX('DRAFT 1'!$AA:$AA,MATCH($B36,'DRAFT 1'!$B:$B,0)),"")</f>
        <v/>
      </c>
      <c r="AG36" t="str">
        <f>IFERROR(INDEX('DRAFT 1'!$AB:$AB,MATCH($B36,'DRAFT 1'!$B:$B,0)),"")</f>
        <v/>
      </c>
      <c r="AH36" t="str">
        <f>IFERROR(INDEX('DRAFT 1'!$AC:$AC,MATCH($B36,'DRAFT 1'!$B:$B,0)),"")</f>
        <v/>
      </c>
      <c r="AI36" t="str">
        <f>IFERROR(INDEX('DRAFT 1'!$AD:$AD,MATCH($B36,'DRAFT 1'!$B:$B,0)),"")</f>
        <v/>
      </c>
      <c r="AJ36" t="str">
        <f>IFERROR(INDEX('DRAFT 1'!$AE:$AE,MATCH($B36,'DRAFT 1'!$B:$B,0)),"")</f>
        <v/>
      </c>
      <c r="AK36" t="str">
        <f>IFERROR(INDEX('DRAFT 1'!$AG:$AG,MATCH($B36,'DRAFT 1'!$B:$B,0)),"")</f>
        <v/>
      </c>
      <c r="AL36" t="str">
        <f>IFERROR(INDEX('DRAFT 1'!$AH:$AH,MATCH($B36,'DRAFT 1'!$B:$B,0)),"")</f>
        <v/>
      </c>
      <c r="AM36" t="str">
        <f>IFERROR(INDEX('DRAFT 1'!$AI:$AI,MATCH($B36,'DRAFT 1'!$B:$B,0)),"")</f>
        <v/>
      </c>
      <c r="AN36" t="str">
        <f>IFERROR(INDEX('DRAFT 1'!$AJ:$AJ,MATCH($B36,'DRAFT 1'!$B:$B,0)),"")</f>
        <v/>
      </c>
      <c r="AO36">
        <f t="shared" ref="AO36:AO67" si="14">IFERROR(Y36/AN36,0)</f>
        <v>0</v>
      </c>
      <c r="AP36" t="str">
        <f>IFERROR(INDEX('DRAFT 1'!$AK:$AK,MATCH($B36,'DRAFT 1'!$B:$B,0)),"")</f>
        <v/>
      </c>
      <c r="AR36" t="s">
        <v>92</v>
      </c>
      <c r="AS36">
        <f>IFERROR(LOOKUP(2,1/('DRAFT 2'!$D:$D=$B36),'DRAFT 2'!$T:$T),"")</f>
        <v>0</v>
      </c>
      <c r="AT36">
        <f>IFERROR(LOOKUP(2,1/('DRAFT 2'!$D:$D=$B36),'DRAFT 2'!$A:$A),"")</f>
        <v>0</v>
      </c>
      <c r="AU36">
        <f>IFERROR(LOOKUP(2,1/('DRAFT 2'!$D:$D=$B36),'DRAFT 2'!$R:$R),"")</f>
        <v>0</v>
      </c>
      <c r="AV36">
        <f>IFERROR(LOOKUP(2,1/('DRAFT 2'!$D:$D=$B36),'DRAFT 2'!$S:$S),"")</f>
        <v>0</v>
      </c>
      <c r="AW36" t="s">
        <v>130</v>
      </c>
      <c r="AX36">
        <f>IFERROR(LOOKUP(2,1/('DRAFT 2'!$D:$D=$B36),'DRAFT 2'!$M:$M),"")</f>
        <v>0</v>
      </c>
      <c r="AY36">
        <f>IFERROR(LOOKUP(2,1/('DRAFT 2'!$D:$D=$B36),'DRAFT 2'!$K:$K),"")</f>
        <v>0</v>
      </c>
      <c r="BG36">
        <f>IFERROR(LOOKUP(2,1/('DRAFT 2'!$D:$D=$B36),'DRAFT 2'!$U:$U),"")</f>
        <v>0</v>
      </c>
      <c r="BH36">
        <f>IFERROR(LOOKUP(2,1/('DRAFT 2'!$D:$D=$B36),'DRAFT 2'!$V:$V),"")</f>
        <v>0</v>
      </c>
      <c r="CE36" t="str">
        <f t="shared" ref="CE36:CE67" si="15">IFERROR(AJ36,0)</f>
        <v/>
      </c>
      <c r="CF36">
        <f>IFERROR(LOOKUP(2,1/('DRAFT 2'!$D:$D=$B36)*('DRAFT 2'!$A:$A&gt;=DATE(2026,1,1))*('DRAFT 2'!$A:$A&lt;DATE(2026,IF(1=12,1+1,1+1),1)),'DRAFT 2'!$A:$A),"")</f>
        <v>0</v>
      </c>
      <c r="CG36">
        <f>COUNTIFS('DRAFT 2'!$D:$D,$B36,'DRAFT 2'!$A:$A,"&gt;="&amp;DATE(2026,1,1),'DRAFT 2'!$A:$A,"&lt;="&amp;DATE(2026,1,7))</f>
        <v>0</v>
      </c>
      <c r="CH36">
        <f>COUNTIFS('DRAFT 2'!$D:$D,$B36,'DRAFT 2'!$A:$A,"&gt;="&amp;DATE(2026,1,8),'DRAFT 2'!$A:$A,"&lt;="&amp;DATE(2026,1,14))</f>
        <v>0</v>
      </c>
      <c r="CI36">
        <f>COUNTIFS('DRAFT 2'!$D:$D,$B36,'DRAFT 2'!$A:$A,"&gt;="&amp;DATE(2026,1,15),'DRAFT 2'!$A:$A,"&lt;="&amp;DATE(2026,1,21))</f>
        <v>0</v>
      </c>
      <c r="CJ36">
        <f>COUNTIFS('DRAFT 2'!$D:$D,$B36,'DRAFT 2'!$A:$A,"&gt;="&amp;DATE(2026,1,22),'DRAFT 2'!$A:$A,"&lt;"&amp;DATE(2026,IF(1=12,1+1,1+1),1))</f>
        <v>0</v>
      </c>
      <c r="CK36">
        <f t="shared" ref="CK36:CK67" si="16">SUM(CG36:CJ36)</f>
        <v>0</v>
      </c>
      <c r="CT36">
        <v>0</v>
      </c>
      <c r="CU36">
        <f>IFERROR(LOOKUP(2,1/('DRAFT 2'!$D:$D=$B36)*('DRAFT 2'!$A:$A&gt;=DATE(2026,2,1))*('DRAFT 2'!$A:$A&lt;DATE(2026,IF(2=12,2+1,2+1),1)),'DRAFT 2'!$A:$A),"")</f>
        <v>0</v>
      </c>
      <c r="CV36">
        <f>COUNTIFS('DRAFT 2'!$D:$D,$B36,'DRAFT 2'!$A:$A,"&gt;="&amp;DATE(2026,2,1),'DRAFT 2'!$A:$A,"&lt;="&amp;DATE(2026,2,7))</f>
        <v>0</v>
      </c>
      <c r="CW36">
        <f>COUNTIFS('DRAFT 2'!$D:$D,$B36,'DRAFT 2'!$A:$A,"&gt;="&amp;DATE(2026,2,8),'DRAFT 2'!$A:$A,"&lt;="&amp;DATE(2026,2,14))</f>
        <v>0</v>
      </c>
      <c r="CX36">
        <f>COUNTIFS('DRAFT 2'!$D:$D,$B36,'DRAFT 2'!$A:$A,"&gt;="&amp;DATE(2026,2,15),'DRAFT 2'!$A:$A,"&lt;="&amp;DATE(2026,2,21))</f>
        <v>0</v>
      </c>
      <c r="CY36">
        <f>COUNTIFS('DRAFT 2'!$D:$D,$B36,'DRAFT 2'!$A:$A,"&gt;="&amp;DATE(2026,2,22),'DRAFT 2'!$A:$A,"&lt;"&amp;DATE(2026,IF(2=12,2+1,2+1),1))</f>
        <v>0</v>
      </c>
      <c r="CZ36">
        <f t="shared" ref="CZ36:CZ67" si="17">SUM(CV36:CY36)</f>
        <v>0</v>
      </c>
      <c r="DJ36">
        <f>IFERROR(LOOKUP(2,1/('DRAFT 2'!$D:$D=$B36)*('DRAFT 2'!$A:$A&gt;=DATE(2026,3,1))*('DRAFT 2'!$A:$A&lt;DATE(2026,IF(3=12,3+1,3+1),1)),'DRAFT 2'!$A:$A),"")</f>
        <v>0</v>
      </c>
      <c r="DK36">
        <f>COUNTIFS('DRAFT 2'!$D:$D,$B36,'DRAFT 2'!$A:$A,"&gt;="&amp;DATE(2026,3,1),'DRAFT 2'!$A:$A,"&lt;="&amp;DATE(2026,3,7))</f>
        <v>0</v>
      </c>
      <c r="DL36">
        <f>COUNTIFS('DRAFT 2'!$D:$D,$B36,'DRAFT 2'!$A:$A,"&gt;="&amp;DATE(2026,3,8),'DRAFT 2'!$A:$A,"&lt;="&amp;DATE(2026,3,14))</f>
        <v>0</v>
      </c>
      <c r="DM36">
        <f>COUNTIFS('DRAFT 2'!$D:$D,$B36,'DRAFT 2'!$A:$A,"&gt;="&amp;DATE(2026,3,15),'DRAFT 2'!$A:$A,"&lt;="&amp;DATE(2026,3,21))</f>
        <v>0</v>
      </c>
      <c r="DN36">
        <f>COUNTIFS('DRAFT 2'!$D:$D,$B36,'DRAFT 2'!$A:$A,"&gt;="&amp;DATE(2026,3,22),'DRAFT 2'!$A:$A,"&lt;"&amp;DATE(2026,IF(3=12,3+1,3+1),1))</f>
        <v>0</v>
      </c>
      <c r="DO36">
        <f t="shared" ref="DO36:DO67" si="18">SUM(DK36:DN36)</f>
        <v>0</v>
      </c>
      <c r="DZ36">
        <f>IFERROR(LOOKUP(2,1/('DRAFT 2'!$D:$D=$B36)*('DRAFT 2'!$A:$A&gt;=DATE(2026,4,1))*('DRAFT 2'!$A:$A&lt;DATE(2026,IF(4=12,4+1,4+1),1)),'DRAFT 2'!$A:$A),"")</f>
        <v>0</v>
      </c>
      <c r="EA36">
        <f>COUNTIFS('DRAFT 2'!$D:$D,$B36,'DRAFT 2'!$A:$A,"&gt;="&amp;DATE(2026,4,1),'DRAFT 2'!$A:$A,"&lt;="&amp;DATE(2026,4,7))</f>
        <v>0</v>
      </c>
      <c r="EB36">
        <f>COUNTIFS('DRAFT 2'!$D:$D,$B36,'DRAFT 2'!$A:$A,"&gt;="&amp;DATE(2026,4,8),'DRAFT 2'!$A:$A,"&lt;="&amp;DATE(2026,4,14))</f>
        <v>0</v>
      </c>
      <c r="EC36">
        <f>COUNTIFS('DRAFT 2'!$D:$D,$B36,'DRAFT 2'!$A:$A,"&gt;="&amp;DATE(2026,4,15),'DRAFT 2'!$A:$A,"&lt;="&amp;DATE(2026,4,21))</f>
        <v>0</v>
      </c>
      <c r="ED36">
        <f>COUNTIFS('DRAFT 2'!$D:$D,$B36,'DRAFT 2'!$A:$A,"&gt;="&amp;DATE(2026,4,22),'DRAFT 2'!$A:$A,"&lt;"&amp;DATE(2026,IF(4=12,4+1,4+1),1))</f>
        <v>0</v>
      </c>
      <c r="EE36">
        <f t="shared" ref="EE36:EE67" si="19">SUM(EA36:ED36)</f>
        <v>0</v>
      </c>
      <c r="EO36">
        <f>IFERROR(LOOKUP(2,1/('DRAFT 2'!$D:$D=$B36)*('DRAFT 2'!$A:$A&gt;=DATE(2026,5,1))*('DRAFT 2'!$A:$A&lt;DATE(2026,IF(5=12,5+1,5+1),1)),'DRAFT 2'!$A:$A),"")</f>
        <v>0</v>
      </c>
      <c r="EP36">
        <f>COUNTIFS('DRAFT 2'!$D:$D,$B36,'DRAFT 2'!$A:$A,"&gt;="&amp;DATE(2026,5,1),'DRAFT 2'!$A:$A,"&lt;="&amp;DATE(2026,5,7))</f>
        <v>0</v>
      </c>
      <c r="EQ36">
        <f>COUNTIFS('DRAFT 2'!$D:$D,$B36,'DRAFT 2'!$A:$A,"&gt;="&amp;DATE(2026,5,8),'DRAFT 2'!$A:$A,"&lt;="&amp;DATE(2026,5,14))</f>
        <v>0</v>
      </c>
      <c r="ER36">
        <f>COUNTIFS('DRAFT 2'!$D:$D,$B36,'DRAFT 2'!$A:$A,"&gt;="&amp;DATE(2026,5,15),'DRAFT 2'!$A:$A,"&lt;="&amp;DATE(2026,5,21))</f>
        <v>0</v>
      </c>
      <c r="ES36">
        <f>COUNTIFS('DRAFT 2'!$D:$D,$B36,'DRAFT 2'!$A:$A,"&gt;="&amp;DATE(2026,5,22),'DRAFT 2'!$A:$A,"&lt;"&amp;DATE(2026,IF(5=12,5+1,5+1),1))</f>
        <v>0</v>
      </c>
      <c r="ET36">
        <f t="shared" ref="ET36:ET67" si="20">SUM(EP36:ES36)</f>
        <v>0</v>
      </c>
      <c r="FD36">
        <f>IFERROR(LOOKUP(2,1/('DRAFT 2'!$D:$D=$B36)*('DRAFT 2'!$A:$A&gt;=DATE(2026,6,1))*('DRAFT 2'!$A:$A&lt;DATE(2026,IF(6=12,6+1,6+1),1)),'DRAFT 2'!$A:$A),"")</f>
        <v>0</v>
      </c>
      <c r="FE36">
        <f>COUNTIFS('DRAFT 2'!$D:$D,$B36,'DRAFT 2'!$A:$A,"&gt;="&amp;DATE(2026,6,1),'DRAFT 2'!$A:$A,"&lt;="&amp;DATE(2026,6,7))</f>
        <v>0</v>
      </c>
      <c r="FF36">
        <f>COUNTIFS('DRAFT 2'!$D:$D,$B36,'DRAFT 2'!$A:$A,"&gt;="&amp;DATE(2026,6,8),'DRAFT 2'!$A:$A,"&lt;="&amp;DATE(2026,6,14))</f>
        <v>0</v>
      </c>
      <c r="FG36">
        <f>COUNTIFS('DRAFT 2'!$D:$D,$B36,'DRAFT 2'!$A:$A,"&gt;="&amp;DATE(2026,6,15),'DRAFT 2'!$A:$A,"&lt;="&amp;DATE(2026,6,21))</f>
        <v>0</v>
      </c>
      <c r="FH36">
        <f>COUNTIFS('DRAFT 2'!$D:$D,$B36,'DRAFT 2'!$A:$A,"&gt;="&amp;DATE(2026,6,22),'DRAFT 2'!$A:$A,"&lt;"&amp;DATE(2026,IF(6=12,6+1,6+1),1))</f>
        <v>0</v>
      </c>
      <c r="FI36">
        <f t="shared" ref="FI36:FI67" si="21">SUM(FE36:FH36)</f>
        <v>0</v>
      </c>
      <c r="FT36">
        <f>IFERROR(LOOKUP(2,1/('DRAFT 2'!$D:$D=$B36)*('DRAFT 2'!$A:$A&gt;=DATE(2026,7,1))*('DRAFT 2'!$A:$A&lt;DATE(2026,IF(7=12,7+1,7+1),1)),'DRAFT 2'!$A:$A),"")</f>
        <v>0</v>
      </c>
      <c r="FU36">
        <f>COUNTIFS('DRAFT 2'!$D:$D,$B36,'DRAFT 2'!$A:$A,"&gt;="&amp;DATE(2026,7,1),'DRAFT 2'!$A:$A,"&lt;="&amp;DATE(2026,7,7))</f>
        <v>0</v>
      </c>
      <c r="FV36">
        <f>COUNTIFS('DRAFT 2'!$D:$D,$B36,'DRAFT 2'!$A:$A,"&gt;="&amp;DATE(2026,7,8),'DRAFT 2'!$A:$A,"&lt;="&amp;DATE(2026,7,14))</f>
        <v>0</v>
      </c>
      <c r="FW36">
        <f>COUNTIFS('DRAFT 2'!$D:$D,$B36,'DRAFT 2'!$A:$A,"&gt;="&amp;DATE(2026,7,15),'DRAFT 2'!$A:$A,"&lt;="&amp;DATE(2026,7,21))</f>
        <v>0</v>
      </c>
      <c r="FX36">
        <f>COUNTIFS('DRAFT 2'!$D:$D,$B36,'DRAFT 2'!$A:$A,"&gt;="&amp;DATE(2026,7,22),'DRAFT 2'!$A:$A,"&lt;"&amp;DATE(2026,IF(7=12,7+1,7+1),1))</f>
        <v>0</v>
      </c>
      <c r="FY36">
        <f t="shared" ref="FY36:FY67" si="22">SUM(FU36:FX36)</f>
        <v>0</v>
      </c>
      <c r="GI36">
        <f>IFERROR(LOOKUP(2,1/('DRAFT 2'!$D:$D=$B36)*('DRAFT 2'!$A:$A&gt;=DATE(2026,8,1))*('DRAFT 2'!$A:$A&lt;DATE(2026,IF(8=12,8+1,8+1),1)),'DRAFT 2'!$A:$A),"")</f>
        <v>0</v>
      </c>
      <c r="GJ36">
        <f>COUNTIFS('DRAFT 2'!$D:$D,$B36,'DRAFT 2'!$A:$A,"&gt;="&amp;DATE(2026,8,1),'DRAFT 2'!$A:$A,"&lt;="&amp;DATE(2026,8,7))</f>
        <v>0</v>
      </c>
      <c r="GK36">
        <f>COUNTIFS('DRAFT 2'!$D:$D,$B36,'DRAFT 2'!$A:$A,"&gt;="&amp;DATE(2026,8,8),'DRAFT 2'!$A:$A,"&lt;="&amp;DATE(2026,8,14))</f>
        <v>0</v>
      </c>
      <c r="GL36">
        <f>COUNTIFS('DRAFT 2'!$D:$D,$B36,'DRAFT 2'!$A:$A,"&gt;="&amp;DATE(2026,8,15),'DRAFT 2'!$A:$A,"&lt;="&amp;DATE(2026,8,21))</f>
        <v>0</v>
      </c>
      <c r="GM36">
        <f>COUNTIFS('DRAFT 2'!$D:$D,$B36,'DRAFT 2'!$A:$A,"&gt;="&amp;DATE(2026,8,22),'DRAFT 2'!$A:$A,"&lt;"&amp;DATE(2026,IF(8=12,8+1,8+1),1))</f>
        <v>0</v>
      </c>
      <c r="GN36">
        <f t="shared" ref="GN36:GN67" si="23">SUM(GJ36:GM36)</f>
        <v>0</v>
      </c>
      <c r="GX36">
        <f>IFERROR(LOOKUP(2,1/('DRAFT 2'!$D:$D=$B36)*('DRAFT 2'!$A:$A&gt;=DATE(2026,9,1))*('DRAFT 2'!$A:$A&lt;DATE(2026,IF(9=12,9+1,9+1),1)),'DRAFT 2'!$A:$A),"")</f>
        <v>0</v>
      </c>
      <c r="GY36">
        <f>COUNTIFS('DRAFT 2'!$D:$D,$B36,'DRAFT 2'!$A:$A,"&gt;="&amp;DATE(2026,9,1),'DRAFT 2'!$A:$A,"&lt;="&amp;DATE(2026,9,7))</f>
        <v>0</v>
      </c>
      <c r="GZ36">
        <f>COUNTIFS('DRAFT 2'!$D:$D,$B36,'DRAFT 2'!$A:$A,"&gt;="&amp;DATE(2026,9,8),'DRAFT 2'!$A:$A,"&lt;="&amp;DATE(2026,9,14))</f>
        <v>0</v>
      </c>
      <c r="HA36">
        <f>COUNTIFS('DRAFT 2'!$D:$D,$B36,'DRAFT 2'!$A:$A,"&gt;="&amp;DATE(2026,9,15),'DRAFT 2'!$A:$A,"&lt;="&amp;DATE(2026,9,21))</f>
        <v>0</v>
      </c>
      <c r="HB36">
        <f>COUNTIFS('DRAFT 2'!$D:$D,$B36,'DRAFT 2'!$A:$A,"&gt;="&amp;DATE(2026,9,22),'DRAFT 2'!$A:$A,"&lt;"&amp;DATE(2026,IF(9=12,9+1,9+1),1))</f>
        <v>0</v>
      </c>
      <c r="HC36">
        <f t="shared" ref="HC36:HC67" si="24">SUM(GY36:HB36)</f>
        <v>0</v>
      </c>
      <c r="HN36">
        <f>IFERROR(LOOKUP(2,1/('DRAFT 2'!$D:$D=$B36)*('DRAFT 2'!$A:$A&gt;=DATE(2026,10,1))*('DRAFT 2'!$A:$A&lt;DATE(2026,IF(10=12,10+1,10+1),1)),'DRAFT 2'!$A:$A),"")</f>
        <v>0</v>
      </c>
      <c r="HO36">
        <f>COUNTIFS('DRAFT 2'!$D:$D,$B36,'DRAFT 2'!$A:$A,"&gt;="&amp;DATE(2026,10,1),'DRAFT 2'!$A:$A,"&lt;="&amp;DATE(2026,10,7))</f>
        <v>0</v>
      </c>
      <c r="HP36">
        <f>COUNTIFS('DRAFT 2'!$D:$D,$B36,'DRAFT 2'!$A:$A,"&gt;="&amp;DATE(2026,10,8),'DRAFT 2'!$A:$A,"&lt;="&amp;DATE(2026,10,14))</f>
        <v>0</v>
      </c>
      <c r="HQ36">
        <f>COUNTIFS('DRAFT 2'!$D:$D,$B36,'DRAFT 2'!$A:$A,"&gt;="&amp;DATE(2026,10,15),'DRAFT 2'!$A:$A,"&lt;="&amp;DATE(2026,10,21))</f>
        <v>0</v>
      </c>
      <c r="HR36">
        <f>COUNTIFS('DRAFT 2'!$D:$D,$B36,'DRAFT 2'!$A:$A,"&gt;="&amp;DATE(2026,10,22),'DRAFT 2'!$A:$A,"&lt;"&amp;DATE(2026,IF(10=12,10+1,10+1),1))</f>
        <v>0</v>
      </c>
      <c r="HS36">
        <f t="shared" ref="HS36:HS67" si="25">SUM(HO36:HR36)</f>
        <v>0</v>
      </c>
      <c r="IC36">
        <f>IFERROR(LOOKUP(2,1/('DRAFT 2'!$D:$D=$B36)*('DRAFT 2'!$A:$A&gt;=DATE(2026,11,1))*('DRAFT 2'!$A:$A&lt;DATE(2026,IF(11=12,11+1,11+1),1)),'DRAFT 2'!$A:$A),"")</f>
        <v>0</v>
      </c>
      <c r="ID36">
        <f>COUNTIFS('DRAFT 2'!$D:$D,$B36,'DRAFT 2'!$A:$A,"&gt;="&amp;DATE(2026,11,1),'DRAFT 2'!$A:$A,"&lt;="&amp;DATE(2026,11,7))</f>
        <v>0</v>
      </c>
      <c r="IE36">
        <f>COUNTIFS('DRAFT 2'!$D:$D,$B36,'DRAFT 2'!$A:$A,"&gt;="&amp;DATE(2026,11,8),'DRAFT 2'!$A:$A,"&lt;="&amp;DATE(2026,11,14))</f>
        <v>0</v>
      </c>
      <c r="IF36">
        <f>COUNTIFS('DRAFT 2'!$D:$D,$B36,'DRAFT 2'!$A:$A,"&gt;="&amp;DATE(2026,11,15),'DRAFT 2'!$A:$A,"&lt;="&amp;DATE(2026,11,21))</f>
        <v>0</v>
      </c>
      <c r="IG36">
        <f>COUNTIFS('DRAFT 2'!$D:$D,$B36,'DRAFT 2'!$A:$A,"&gt;="&amp;DATE(2026,11,22),'DRAFT 2'!$A:$A,"&lt;"&amp;DATE(2026,IF(11=12,11+1,11+1),1))</f>
        <v>0</v>
      </c>
      <c r="IH36">
        <f t="shared" ref="IH36:IH67" si="26">SUM(ID36:IG36)</f>
        <v>0</v>
      </c>
      <c r="IR36">
        <f>IFERROR(LOOKUP(2,1/('DRAFT 2'!$D:$D=$B36)*('DRAFT 2'!$A:$A&gt;=DATE(2026,12,1))*('DRAFT 2'!$A:$A&lt;DATE(2026,IF(12=12,12+1,12+1),1)),'DRAFT 2'!$A:$A),"")</f>
        <v>0</v>
      </c>
      <c r="IS36">
        <f>COUNTIFS('DRAFT 2'!$D:$D,$B36,'DRAFT 2'!$A:$A,"&gt;="&amp;DATE(2026,12,1),'DRAFT 2'!$A:$A,"&lt;="&amp;DATE(2026,12,7))</f>
        <v>0</v>
      </c>
      <c r="IT36">
        <f>COUNTIFS('DRAFT 2'!$D:$D,$B36,'DRAFT 2'!$A:$A,"&gt;="&amp;DATE(2026,12,8),'DRAFT 2'!$A:$A,"&lt;="&amp;DATE(2026,12,14))</f>
        <v>0</v>
      </c>
      <c r="IU36">
        <f>COUNTIFS('DRAFT 2'!$D:$D,$B36,'DRAFT 2'!$A:$A,"&gt;="&amp;DATE(2026,12,15),'DRAFT 2'!$A:$A,"&lt;="&amp;DATE(2026,12,21))</f>
        <v>0</v>
      </c>
      <c r="IV36">
        <f>COUNTIFS('DRAFT 2'!$D:$D,$B36,'DRAFT 2'!$A:$A,"&gt;="&amp;DATE(2026,12,22),'DRAFT 2'!$A:$A,"&lt;"&amp;DATE(2026,IF(12=12,12+1,12+1),1))</f>
        <v>0</v>
      </c>
      <c r="IW36">
        <f t="shared" ref="IW36:IW67" si="27">SUM(IS36:IV36)</f>
        <v>0</v>
      </c>
    </row>
    <row r="37" spans="1:257" x14ac:dyDescent="0.3">
      <c r="A37" t="str">
        <f>IFERROR(INDEX('DRAFT 1'!$A:$A,MATCH($B37,'DRAFT 1'!$B:$B,0)),"")</f>
        <v/>
      </c>
      <c r="C37" t="str">
        <f>IFERROR(INDEX('DRAFT 1'!$C:$C,MATCH($B37,'DRAFT 1'!$B:$B,0)),"")</f>
        <v/>
      </c>
      <c r="D37" t="str">
        <f>IFERROR(INDEX('DRAFT 1'!$D:$D,MATCH($B37,'DRAFT 1'!$B:$B,0)),"")</f>
        <v/>
      </c>
      <c r="E37" t="str">
        <f>IFERROR(INDEX('DRAFT 1'!$E:$E,MATCH($B37,'DRAFT 1'!$B:$B,0)),"")</f>
        <v/>
      </c>
      <c r="F37" t="str">
        <f>IFERROR(INDEX('DRAFT 1'!$F:$F,MATCH($B37,'DRAFT 1'!$B:$B,0)),"")</f>
        <v/>
      </c>
      <c r="G37" t="str">
        <f>IFERROR(INDEX('DRAFT 1'!$G:$G,MATCH($B37,'DRAFT 1'!$B:$B,0)),"")</f>
        <v/>
      </c>
      <c r="H37" t="str">
        <f>IFERROR(INDEX('DRAFT 1'!$H:$H,MATCH($B37,'DRAFT 1'!$B:$B,0)),"")</f>
        <v/>
      </c>
      <c r="I37" t="s">
        <v>283</v>
      </c>
      <c r="K37" t="str">
        <f>IFERROR(INDEX('DRAFT 1'!$AL:$AL,MATCH($B37,'DRAFT 1'!$B:$B,0)),"")</f>
        <v/>
      </c>
      <c r="L37" t="str">
        <f>IFERROR(INDEX('DRAFT 1'!$J:$J,MATCH($B37,'DRAFT 1'!$B:$B,0)),"")</f>
        <v/>
      </c>
      <c r="M37" t="str">
        <f>IFERROR(INDEX('DRAFT 1'!$K:$K,MATCH($B37,'DRAFT 1'!$B:$B,0)),"")</f>
        <v/>
      </c>
      <c r="N37" t="s">
        <v>82</v>
      </c>
      <c r="P37" t="str">
        <f>IFERROR(INDEX('DRAFT 1'!$L:$L,MATCH($B37,'DRAFT 1'!$B:$B,0)),"")</f>
        <v/>
      </c>
      <c r="Q37" t="str">
        <f>IFERROR(INDEX('DRAFT 1'!$M:$M,MATCH($B37,'DRAFT 1'!$B:$B,0)),"")</f>
        <v/>
      </c>
      <c r="R37" t="str">
        <f>IFERROR(INDEX('DRAFT 1'!$N:$N,MATCH($B37,'DRAFT 1'!$B:$B,0)),"")</f>
        <v/>
      </c>
      <c r="S37" t="str">
        <f>IFERROR(INDEX('DRAFT 1'!$O:$O,MATCH($B37,'DRAFT 1'!$B:$B,0)),"")</f>
        <v/>
      </c>
      <c r="T37" t="str">
        <f>IFERROR(INDEX('DRAFT 1'!$P:$P,MATCH($B37,'DRAFT 1'!$B:$B,0)),"")</f>
        <v/>
      </c>
      <c r="U37" t="str">
        <f>IFERROR(INDEX('DRAFT 1'!$Q:$Q,MATCH($B37,'DRAFT 1'!$B:$B,0)),"")</f>
        <v/>
      </c>
      <c r="V37" t="str">
        <f>IFERROR(INDEX('DRAFT 1'!$R:$R,MATCH($B37,'DRAFT 1'!$B:$B,0)),"")</f>
        <v/>
      </c>
      <c r="W37" t="str">
        <f>IFERROR(INDEX('DRAFT 1'!$S:$S,MATCH($B37,'DRAFT 1'!$B:$B,0)),"")</f>
        <v/>
      </c>
      <c r="X37" t="str">
        <f>IFERROR(INDEX('DRAFT 1'!$T:$T,MATCH($B37,'DRAFT 1'!$B:$B,0)),"")</f>
        <v/>
      </c>
      <c r="Z37" t="str">
        <f>IFERROR(INDEX('DRAFT 1'!$U:$U,MATCH($B37,'DRAFT 1'!$B:$B,0)),"")</f>
        <v/>
      </c>
      <c r="AA37" t="str">
        <f>IFERROR(INDEX('DRAFT 1'!$V:$V,MATCH($B37,'DRAFT 1'!$B:$B,0)),"")</f>
        <v/>
      </c>
      <c r="AB37" t="str">
        <f>IFERROR(INDEX('DRAFT 1'!$W:$W,MATCH($B37,'DRAFT 1'!$B:$B,0)),"")</f>
        <v/>
      </c>
      <c r="AC37" t="str">
        <f>IFERROR(INDEX('DRAFT 1'!$X:$X,MATCH($B37,'DRAFT 1'!$B:$B,0)),"")</f>
        <v/>
      </c>
      <c r="AD37" t="str">
        <f>IFERROR(INDEX('DRAFT 1'!$Y:$Y,MATCH($B37,'DRAFT 1'!$B:$B,0)),"")</f>
        <v/>
      </c>
      <c r="AE37" t="str">
        <f>IFERROR(INDEX('DRAFT 1'!$Z:$Z,MATCH($B37,'DRAFT 1'!$B:$B,0)),"")</f>
        <v/>
      </c>
      <c r="AF37" t="str">
        <f>IFERROR(INDEX('DRAFT 1'!$AA:$AA,MATCH($B37,'DRAFT 1'!$B:$B,0)),"")</f>
        <v/>
      </c>
      <c r="AG37" t="str">
        <f>IFERROR(INDEX('DRAFT 1'!$AB:$AB,MATCH($B37,'DRAFT 1'!$B:$B,0)),"")</f>
        <v/>
      </c>
      <c r="AH37" t="str">
        <f>IFERROR(INDEX('DRAFT 1'!$AC:$AC,MATCH($B37,'DRAFT 1'!$B:$B,0)),"")</f>
        <v/>
      </c>
      <c r="AI37" t="str">
        <f>IFERROR(INDEX('DRAFT 1'!$AD:$AD,MATCH($B37,'DRAFT 1'!$B:$B,0)),"")</f>
        <v/>
      </c>
      <c r="AJ37" t="str">
        <f>IFERROR(INDEX('DRAFT 1'!$AE:$AE,MATCH($B37,'DRAFT 1'!$B:$B,0)),"")</f>
        <v/>
      </c>
      <c r="AK37" t="str">
        <f>IFERROR(INDEX('DRAFT 1'!$AG:$AG,MATCH($B37,'DRAFT 1'!$B:$B,0)),"")</f>
        <v/>
      </c>
      <c r="AL37" t="str">
        <f>IFERROR(INDEX('DRAFT 1'!$AH:$AH,MATCH($B37,'DRAFT 1'!$B:$B,0)),"")</f>
        <v/>
      </c>
      <c r="AM37" t="str">
        <f>IFERROR(INDEX('DRAFT 1'!$AI:$AI,MATCH($B37,'DRAFT 1'!$B:$B,0)),"")</f>
        <v/>
      </c>
      <c r="AN37" t="str">
        <f>IFERROR(INDEX('DRAFT 1'!$AJ:$AJ,MATCH($B37,'DRAFT 1'!$B:$B,0)),"")</f>
        <v/>
      </c>
      <c r="AO37">
        <f t="shared" si="14"/>
        <v>0</v>
      </c>
      <c r="AP37" t="str">
        <f>IFERROR(INDEX('DRAFT 1'!$AK:$AK,MATCH($B37,'DRAFT 1'!$B:$B,0)),"")</f>
        <v/>
      </c>
      <c r="AR37" t="s">
        <v>93</v>
      </c>
      <c r="AS37">
        <f>IFERROR(LOOKUP(2,1/('DRAFT 2'!$D:$D=$B37),'DRAFT 2'!$T:$T),"")</f>
        <v>0</v>
      </c>
      <c r="AT37">
        <f>IFERROR(LOOKUP(2,1/('DRAFT 2'!$D:$D=$B37),'DRAFT 2'!$A:$A),"")</f>
        <v>0</v>
      </c>
      <c r="AU37">
        <f>IFERROR(LOOKUP(2,1/('DRAFT 2'!$D:$D=$B37),'DRAFT 2'!$R:$R),"")</f>
        <v>0</v>
      </c>
      <c r="AV37">
        <f>IFERROR(LOOKUP(2,1/('DRAFT 2'!$D:$D=$B37),'DRAFT 2'!$S:$S),"")</f>
        <v>0</v>
      </c>
      <c r="AW37" t="s">
        <v>88</v>
      </c>
      <c r="AX37">
        <f>IFERROR(LOOKUP(2,1/('DRAFT 2'!$D:$D=$B37),'DRAFT 2'!$M:$M),"")</f>
        <v>0</v>
      </c>
      <c r="AY37">
        <f>IFERROR(LOOKUP(2,1/('DRAFT 2'!$D:$D=$B37),'DRAFT 2'!$K:$K),"")</f>
        <v>0</v>
      </c>
      <c r="BG37">
        <f>IFERROR(LOOKUP(2,1/('DRAFT 2'!$D:$D=$B37),'DRAFT 2'!$U:$U),"")</f>
        <v>0</v>
      </c>
      <c r="BH37">
        <f>IFERROR(LOOKUP(2,1/('DRAFT 2'!$D:$D=$B37),'DRAFT 2'!$V:$V),"")</f>
        <v>0</v>
      </c>
      <c r="CE37" t="str">
        <f t="shared" si="15"/>
        <v/>
      </c>
      <c r="CF37">
        <f>IFERROR(LOOKUP(2,1/('DRAFT 2'!$D:$D=$B37)*('DRAFT 2'!$A:$A&gt;=DATE(2026,1,1))*('DRAFT 2'!$A:$A&lt;DATE(2026,IF(1=12,1+1,1+1),1)),'DRAFT 2'!$A:$A),"")</f>
        <v>0</v>
      </c>
      <c r="CG37">
        <f>COUNTIFS('DRAFT 2'!$D:$D,$B37,'DRAFT 2'!$A:$A,"&gt;="&amp;DATE(2026,1,1),'DRAFT 2'!$A:$A,"&lt;="&amp;DATE(2026,1,7))</f>
        <v>0</v>
      </c>
      <c r="CH37">
        <f>COUNTIFS('DRAFT 2'!$D:$D,$B37,'DRAFT 2'!$A:$A,"&gt;="&amp;DATE(2026,1,8),'DRAFT 2'!$A:$A,"&lt;="&amp;DATE(2026,1,14))</f>
        <v>0</v>
      </c>
      <c r="CI37">
        <f>COUNTIFS('DRAFT 2'!$D:$D,$B37,'DRAFT 2'!$A:$A,"&gt;="&amp;DATE(2026,1,15),'DRAFT 2'!$A:$A,"&lt;="&amp;DATE(2026,1,21))</f>
        <v>0</v>
      </c>
      <c r="CJ37">
        <f>COUNTIFS('DRAFT 2'!$D:$D,$B37,'DRAFT 2'!$A:$A,"&gt;="&amp;DATE(2026,1,22),'DRAFT 2'!$A:$A,"&lt;"&amp;DATE(2026,IF(1=12,1+1,1+1),1))</f>
        <v>0</v>
      </c>
      <c r="CK37">
        <f t="shared" si="16"/>
        <v>0</v>
      </c>
      <c r="CT37">
        <v>0</v>
      </c>
      <c r="CU37">
        <f>IFERROR(LOOKUP(2,1/('DRAFT 2'!$D:$D=$B37)*('DRAFT 2'!$A:$A&gt;=DATE(2026,2,1))*('DRAFT 2'!$A:$A&lt;DATE(2026,IF(2=12,2+1,2+1),1)),'DRAFT 2'!$A:$A),"")</f>
        <v>0</v>
      </c>
      <c r="CV37">
        <f>COUNTIFS('DRAFT 2'!$D:$D,$B37,'DRAFT 2'!$A:$A,"&gt;="&amp;DATE(2026,2,1),'DRAFT 2'!$A:$A,"&lt;="&amp;DATE(2026,2,7))</f>
        <v>0</v>
      </c>
      <c r="CW37">
        <f>COUNTIFS('DRAFT 2'!$D:$D,$B37,'DRAFT 2'!$A:$A,"&gt;="&amp;DATE(2026,2,8),'DRAFT 2'!$A:$A,"&lt;="&amp;DATE(2026,2,14))</f>
        <v>0</v>
      </c>
      <c r="CX37">
        <f>COUNTIFS('DRAFT 2'!$D:$D,$B37,'DRAFT 2'!$A:$A,"&gt;="&amp;DATE(2026,2,15),'DRAFT 2'!$A:$A,"&lt;="&amp;DATE(2026,2,21))</f>
        <v>0</v>
      </c>
      <c r="CY37">
        <f>COUNTIFS('DRAFT 2'!$D:$D,$B37,'DRAFT 2'!$A:$A,"&gt;="&amp;DATE(2026,2,22),'DRAFT 2'!$A:$A,"&lt;"&amp;DATE(2026,IF(2=12,2+1,2+1),1))</f>
        <v>0</v>
      </c>
      <c r="CZ37">
        <f t="shared" si="17"/>
        <v>0</v>
      </c>
      <c r="DJ37">
        <f>IFERROR(LOOKUP(2,1/('DRAFT 2'!$D:$D=$B37)*('DRAFT 2'!$A:$A&gt;=DATE(2026,3,1))*('DRAFT 2'!$A:$A&lt;DATE(2026,IF(3=12,3+1,3+1),1)),'DRAFT 2'!$A:$A),"")</f>
        <v>0</v>
      </c>
      <c r="DK37">
        <f>COUNTIFS('DRAFT 2'!$D:$D,$B37,'DRAFT 2'!$A:$A,"&gt;="&amp;DATE(2026,3,1),'DRAFT 2'!$A:$A,"&lt;="&amp;DATE(2026,3,7))</f>
        <v>0</v>
      </c>
      <c r="DL37">
        <f>COUNTIFS('DRAFT 2'!$D:$D,$B37,'DRAFT 2'!$A:$A,"&gt;="&amp;DATE(2026,3,8),'DRAFT 2'!$A:$A,"&lt;="&amp;DATE(2026,3,14))</f>
        <v>0</v>
      </c>
      <c r="DM37">
        <f>COUNTIFS('DRAFT 2'!$D:$D,$B37,'DRAFT 2'!$A:$A,"&gt;="&amp;DATE(2026,3,15),'DRAFT 2'!$A:$A,"&lt;="&amp;DATE(2026,3,21))</f>
        <v>0</v>
      </c>
      <c r="DN37">
        <f>COUNTIFS('DRAFT 2'!$D:$D,$B37,'DRAFT 2'!$A:$A,"&gt;="&amp;DATE(2026,3,22),'DRAFT 2'!$A:$A,"&lt;"&amp;DATE(2026,IF(3=12,3+1,3+1),1))</f>
        <v>0</v>
      </c>
      <c r="DO37">
        <f t="shared" si="18"/>
        <v>0</v>
      </c>
      <c r="DZ37">
        <f>IFERROR(LOOKUP(2,1/('DRAFT 2'!$D:$D=$B37)*('DRAFT 2'!$A:$A&gt;=DATE(2026,4,1))*('DRAFT 2'!$A:$A&lt;DATE(2026,IF(4=12,4+1,4+1),1)),'DRAFT 2'!$A:$A),"")</f>
        <v>0</v>
      </c>
      <c r="EA37">
        <f>COUNTIFS('DRAFT 2'!$D:$D,$B37,'DRAFT 2'!$A:$A,"&gt;="&amp;DATE(2026,4,1),'DRAFT 2'!$A:$A,"&lt;="&amp;DATE(2026,4,7))</f>
        <v>0</v>
      </c>
      <c r="EB37">
        <f>COUNTIFS('DRAFT 2'!$D:$D,$B37,'DRAFT 2'!$A:$A,"&gt;="&amp;DATE(2026,4,8),'DRAFT 2'!$A:$A,"&lt;="&amp;DATE(2026,4,14))</f>
        <v>0</v>
      </c>
      <c r="EC37">
        <f>COUNTIFS('DRAFT 2'!$D:$D,$B37,'DRAFT 2'!$A:$A,"&gt;="&amp;DATE(2026,4,15),'DRAFT 2'!$A:$A,"&lt;="&amp;DATE(2026,4,21))</f>
        <v>0</v>
      </c>
      <c r="ED37">
        <f>COUNTIFS('DRAFT 2'!$D:$D,$B37,'DRAFT 2'!$A:$A,"&gt;="&amp;DATE(2026,4,22),'DRAFT 2'!$A:$A,"&lt;"&amp;DATE(2026,IF(4=12,4+1,4+1),1))</f>
        <v>0</v>
      </c>
      <c r="EE37">
        <f t="shared" si="19"/>
        <v>0</v>
      </c>
      <c r="EO37">
        <f>IFERROR(LOOKUP(2,1/('DRAFT 2'!$D:$D=$B37)*('DRAFT 2'!$A:$A&gt;=DATE(2026,5,1))*('DRAFT 2'!$A:$A&lt;DATE(2026,IF(5=12,5+1,5+1),1)),'DRAFT 2'!$A:$A),"")</f>
        <v>0</v>
      </c>
      <c r="EP37">
        <f>COUNTIFS('DRAFT 2'!$D:$D,$B37,'DRAFT 2'!$A:$A,"&gt;="&amp;DATE(2026,5,1),'DRAFT 2'!$A:$A,"&lt;="&amp;DATE(2026,5,7))</f>
        <v>0</v>
      </c>
      <c r="EQ37">
        <f>COUNTIFS('DRAFT 2'!$D:$D,$B37,'DRAFT 2'!$A:$A,"&gt;="&amp;DATE(2026,5,8),'DRAFT 2'!$A:$A,"&lt;="&amp;DATE(2026,5,14))</f>
        <v>0</v>
      </c>
      <c r="ER37">
        <f>COUNTIFS('DRAFT 2'!$D:$D,$B37,'DRAFT 2'!$A:$A,"&gt;="&amp;DATE(2026,5,15),'DRAFT 2'!$A:$A,"&lt;="&amp;DATE(2026,5,21))</f>
        <v>0</v>
      </c>
      <c r="ES37">
        <f>COUNTIFS('DRAFT 2'!$D:$D,$B37,'DRAFT 2'!$A:$A,"&gt;="&amp;DATE(2026,5,22),'DRAFT 2'!$A:$A,"&lt;"&amp;DATE(2026,IF(5=12,5+1,5+1),1))</f>
        <v>0</v>
      </c>
      <c r="ET37">
        <f t="shared" si="20"/>
        <v>0</v>
      </c>
      <c r="FD37">
        <f>IFERROR(LOOKUP(2,1/('DRAFT 2'!$D:$D=$B37)*('DRAFT 2'!$A:$A&gt;=DATE(2026,6,1))*('DRAFT 2'!$A:$A&lt;DATE(2026,IF(6=12,6+1,6+1),1)),'DRAFT 2'!$A:$A),"")</f>
        <v>0</v>
      </c>
      <c r="FE37">
        <f>COUNTIFS('DRAFT 2'!$D:$D,$B37,'DRAFT 2'!$A:$A,"&gt;="&amp;DATE(2026,6,1),'DRAFT 2'!$A:$A,"&lt;="&amp;DATE(2026,6,7))</f>
        <v>0</v>
      </c>
      <c r="FF37">
        <f>COUNTIFS('DRAFT 2'!$D:$D,$B37,'DRAFT 2'!$A:$A,"&gt;="&amp;DATE(2026,6,8),'DRAFT 2'!$A:$A,"&lt;="&amp;DATE(2026,6,14))</f>
        <v>0</v>
      </c>
      <c r="FG37">
        <f>COUNTIFS('DRAFT 2'!$D:$D,$B37,'DRAFT 2'!$A:$A,"&gt;="&amp;DATE(2026,6,15),'DRAFT 2'!$A:$A,"&lt;="&amp;DATE(2026,6,21))</f>
        <v>0</v>
      </c>
      <c r="FH37">
        <f>COUNTIFS('DRAFT 2'!$D:$D,$B37,'DRAFT 2'!$A:$A,"&gt;="&amp;DATE(2026,6,22),'DRAFT 2'!$A:$A,"&lt;"&amp;DATE(2026,IF(6=12,6+1,6+1),1))</f>
        <v>0</v>
      </c>
      <c r="FI37">
        <f t="shared" si="21"/>
        <v>0</v>
      </c>
      <c r="FT37">
        <f>IFERROR(LOOKUP(2,1/('DRAFT 2'!$D:$D=$B37)*('DRAFT 2'!$A:$A&gt;=DATE(2026,7,1))*('DRAFT 2'!$A:$A&lt;DATE(2026,IF(7=12,7+1,7+1),1)),'DRAFT 2'!$A:$A),"")</f>
        <v>0</v>
      </c>
      <c r="FU37">
        <f>COUNTIFS('DRAFT 2'!$D:$D,$B37,'DRAFT 2'!$A:$A,"&gt;="&amp;DATE(2026,7,1),'DRAFT 2'!$A:$A,"&lt;="&amp;DATE(2026,7,7))</f>
        <v>0</v>
      </c>
      <c r="FV37">
        <f>COUNTIFS('DRAFT 2'!$D:$D,$B37,'DRAFT 2'!$A:$A,"&gt;="&amp;DATE(2026,7,8),'DRAFT 2'!$A:$A,"&lt;="&amp;DATE(2026,7,14))</f>
        <v>0</v>
      </c>
      <c r="FW37">
        <f>COUNTIFS('DRAFT 2'!$D:$D,$B37,'DRAFT 2'!$A:$A,"&gt;="&amp;DATE(2026,7,15),'DRAFT 2'!$A:$A,"&lt;="&amp;DATE(2026,7,21))</f>
        <v>0</v>
      </c>
      <c r="FX37">
        <f>COUNTIFS('DRAFT 2'!$D:$D,$B37,'DRAFT 2'!$A:$A,"&gt;="&amp;DATE(2026,7,22),'DRAFT 2'!$A:$A,"&lt;"&amp;DATE(2026,IF(7=12,7+1,7+1),1))</f>
        <v>0</v>
      </c>
      <c r="FY37">
        <f t="shared" si="22"/>
        <v>0</v>
      </c>
      <c r="GI37">
        <f>IFERROR(LOOKUP(2,1/('DRAFT 2'!$D:$D=$B37)*('DRAFT 2'!$A:$A&gt;=DATE(2026,8,1))*('DRAFT 2'!$A:$A&lt;DATE(2026,IF(8=12,8+1,8+1),1)),'DRAFT 2'!$A:$A),"")</f>
        <v>0</v>
      </c>
      <c r="GJ37">
        <f>COUNTIFS('DRAFT 2'!$D:$D,$B37,'DRAFT 2'!$A:$A,"&gt;="&amp;DATE(2026,8,1),'DRAFT 2'!$A:$A,"&lt;="&amp;DATE(2026,8,7))</f>
        <v>0</v>
      </c>
      <c r="GK37">
        <f>COUNTIFS('DRAFT 2'!$D:$D,$B37,'DRAFT 2'!$A:$A,"&gt;="&amp;DATE(2026,8,8),'DRAFT 2'!$A:$A,"&lt;="&amp;DATE(2026,8,14))</f>
        <v>0</v>
      </c>
      <c r="GL37">
        <f>COUNTIFS('DRAFT 2'!$D:$D,$B37,'DRAFT 2'!$A:$A,"&gt;="&amp;DATE(2026,8,15),'DRAFT 2'!$A:$A,"&lt;="&amp;DATE(2026,8,21))</f>
        <v>0</v>
      </c>
      <c r="GM37">
        <f>COUNTIFS('DRAFT 2'!$D:$D,$B37,'DRAFT 2'!$A:$A,"&gt;="&amp;DATE(2026,8,22),'DRAFT 2'!$A:$A,"&lt;"&amp;DATE(2026,IF(8=12,8+1,8+1),1))</f>
        <v>0</v>
      </c>
      <c r="GN37">
        <f t="shared" si="23"/>
        <v>0</v>
      </c>
      <c r="GX37">
        <f>IFERROR(LOOKUP(2,1/('DRAFT 2'!$D:$D=$B37)*('DRAFT 2'!$A:$A&gt;=DATE(2026,9,1))*('DRAFT 2'!$A:$A&lt;DATE(2026,IF(9=12,9+1,9+1),1)),'DRAFT 2'!$A:$A),"")</f>
        <v>0</v>
      </c>
      <c r="GY37">
        <f>COUNTIFS('DRAFT 2'!$D:$D,$B37,'DRAFT 2'!$A:$A,"&gt;="&amp;DATE(2026,9,1),'DRAFT 2'!$A:$A,"&lt;="&amp;DATE(2026,9,7))</f>
        <v>0</v>
      </c>
      <c r="GZ37">
        <f>COUNTIFS('DRAFT 2'!$D:$D,$B37,'DRAFT 2'!$A:$A,"&gt;="&amp;DATE(2026,9,8),'DRAFT 2'!$A:$A,"&lt;="&amp;DATE(2026,9,14))</f>
        <v>0</v>
      </c>
      <c r="HA37">
        <f>COUNTIFS('DRAFT 2'!$D:$D,$B37,'DRAFT 2'!$A:$A,"&gt;="&amp;DATE(2026,9,15),'DRAFT 2'!$A:$A,"&lt;="&amp;DATE(2026,9,21))</f>
        <v>0</v>
      </c>
      <c r="HB37">
        <f>COUNTIFS('DRAFT 2'!$D:$D,$B37,'DRAFT 2'!$A:$A,"&gt;="&amp;DATE(2026,9,22),'DRAFT 2'!$A:$A,"&lt;"&amp;DATE(2026,IF(9=12,9+1,9+1),1))</f>
        <v>0</v>
      </c>
      <c r="HC37">
        <f t="shared" si="24"/>
        <v>0</v>
      </c>
      <c r="HN37">
        <f>IFERROR(LOOKUP(2,1/('DRAFT 2'!$D:$D=$B37)*('DRAFT 2'!$A:$A&gt;=DATE(2026,10,1))*('DRAFT 2'!$A:$A&lt;DATE(2026,IF(10=12,10+1,10+1),1)),'DRAFT 2'!$A:$A),"")</f>
        <v>0</v>
      </c>
      <c r="HO37">
        <f>COUNTIFS('DRAFT 2'!$D:$D,$B37,'DRAFT 2'!$A:$A,"&gt;="&amp;DATE(2026,10,1),'DRAFT 2'!$A:$A,"&lt;="&amp;DATE(2026,10,7))</f>
        <v>0</v>
      </c>
      <c r="HP37">
        <f>COUNTIFS('DRAFT 2'!$D:$D,$B37,'DRAFT 2'!$A:$A,"&gt;="&amp;DATE(2026,10,8),'DRAFT 2'!$A:$A,"&lt;="&amp;DATE(2026,10,14))</f>
        <v>0</v>
      </c>
      <c r="HQ37">
        <f>COUNTIFS('DRAFT 2'!$D:$D,$B37,'DRAFT 2'!$A:$A,"&gt;="&amp;DATE(2026,10,15),'DRAFT 2'!$A:$A,"&lt;="&amp;DATE(2026,10,21))</f>
        <v>0</v>
      </c>
      <c r="HR37">
        <f>COUNTIFS('DRAFT 2'!$D:$D,$B37,'DRAFT 2'!$A:$A,"&gt;="&amp;DATE(2026,10,22),'DRAFT 2'!$A:$A,"&lt;"&amp;DATE(2026,IF(10=12,10+1,10+1),1))</f>
        <v>0</v>
      </c>
      <c r="HS37">
        <f t="shared" si="25"/>
        <v>0</v>
      </c>
      <c r="IC37">
        <f>IFERROR(LOOKUP(2,1/('DRAFT 2'!$D:$D=$B37)*('DRAFT 2'!$A:$A&gt;=DATE(2026,11,1))*('DRAFT 2'!$A:$A&lt;DATE(2026,IF(11=12,11+1,11+1),1)),'DRAFT 2'!$A:$A),"")</f>
        <v>0</v>
      </c>
      <c r="ID37">
        <f>COUNTIFS('DRAFT 2'!$D:$D,$B37,'DRAFT 2'!$A:$A,"&gt;="&amp;DATE(2026,11,1),'DRAFT 2'!$A:$A,"&lt;="&amp;DATE(2026,11,7))</f>
        <v>0</v>
      </c>
      <c r="IE37">
        <f>COUNTIFS('DRAFT 2'!$D:$D,$B37,'DRAFT 2'!$A:$A,"&gt;="&amp;DATE(2026,11,8),'DRAFT 2'!$A:$A,"&lt;="&amp;DATE(2026,11,14))</f>
        <v>0</v>
      </c>
      <c r="IF37">
        <f>COUNTIFS('DRAFT 2'!$D:$D,$B37,'DRAFT 2'!$A:$A,"&gt;="&amp;DATE(2026,11,15),'DRAFT 2'!$A:$A,"&lt;="&amp;DATE(2026,11,21))</f>
        <v>0</v>
      </c>
      <c r="IG37">
        <f>COUNTIFS('DRAFT 2'!$D:$D,$B37,'DRAFT 2'!$A:$A,"&gt;="&amp;DATE(2026,11,22),'DRAFT 2'!$A:$A,"&lt;"&amp;DATE(2026,IF(11=12,11+1,11+1),1))</f>
        <v>0</v>
      </c>
      <c r="IH37">
        <f t="shared" si="26"/>
        <v>0</v>
      </c>
      <c r="IR37">
        <f>IFERROR(LOOKUP(2,1/('DRAFT 2'!$D:$D=$B37)*('DRAFT 2'!$A:$A&gt;=DATE(2026,12,1))*('DRAFT 2'!$A:$A&lt;DATE(2026,IF(12=12,12+1,12+1),1)),'DRAFT 2'!$A:$A),"")</f>
        <v>0</v>
      </c>
      <c r="IS37">
        <f>COUNTIFS('DRAFT 2'!$D:$D,$B37,'DRAFT 2'!$A:$A,"&gt;="&amp;DATE(2026,12,1),'DRAFT 2'!$A:$A,"&lt;="&amp;DATE(2026,12,7))</f>
        <v>0</v>
      </c>
      <c r="IT37">
        <f>COUNTIFS('DRAFT 2'!$D:$D,$B37,'DRAFT 2'!$A:$A,"&gt;="&amp;DATE(2026,12,8),'DRAFT 2'!$A:$A,"&lt;="&amp;DATE(2026,12,14))</f>
        <v>0</v>
      </c>
      <c r="IU37">
        <f>COUNTIFS('DRAFT 2'!$D:$D,$B37,'DRAFT 2'!$A:$A,"&gt;="&amp;DATE(2026,12,15),'DRAFT 2'!$A:$A,"&lt;="&amp;DATE(2026,12,21))</f>
        <v>0</v>
      </c>
      <c r="IV37">
        <f>COUNTIFS('DRAFT 2'!$D:$D,$B37,'DRAFT 2'!$A:$A,"&gt;="&amp;DATE(2026,12,22),'DRAFT 2'!$A:$A,"&lt;"&amp;DATE(2026,IF(12=12,12+1,12+1),1))</f>
        <v>0</v>
      </c>
      <c r="IW37">
        <f t="shared" si="27"/>
        <v>0</v>
      </c>
    </row>
    <row r="38" spans="1:257" x14ac:dyDescent="0.3">
      <c r="A38" t="str">
        <f>IFERROR(INDEX('DRAFT 1'!$A:$A,MATCH($B38,'DRAFT 1'!$B:$B,0)),"")</f>
        <v/>
      </c>
      <c r="C38" t="str">
        <f>IFERROR(INDEX('DRAFT 1'!$C:$C,MATCH($B38,'DRAFT 1'!$B:$B,0)),"")</f>
        <v/>
      </c>
      <c r="D38" t="str">
        <f>IFERROR(INDEX('DRAFT 1'!$D:$D,MATCH($B38,'DRAFT 1'!$B:$B,0)),"")</f>
        <v/>
      </c>
      <c r="E38" t="str">
        <f>IFERROR(INDEX('DRAFT 1'!$E:$E,MATCH($B38,'DRAFT 1'!$B:$B,0)),"")</f>
        <v/>
      </c>
      <c r="F38" t="str">
        <f>IFERROR(INDEX('DRAFT 1'!$F:$F,MATCH($B38,'DRAFT 1'!$B:$B,0)),"")</f>
        <v/>
      </c>
      <c r="G38" t="str">
        <f>IFERROR(INDEX('DRAFT 1'!$G:$G,MATCH($B38,'DRAFT 1'!$B:$B,0)),"")</f>
        <v/>
      </c>
      <c r="H38" t="str">
        <f>IFERROR(INDEX('DRAFT 1'!$H:$H,MATCH($B38,'DRAFT 1'!$B:$B,0)),"")</f>
        <v/>
      </c>
      <c r="I38" t="s">
        <v>295</v>
      </c>
      <c r="K38" t="str">
        <f>IFERROR(INDEX('DRAFT 1'!$AL:$AL,MATCH($B38,'DRAFT 1'!$B:$B,0)),"")</f>
        <v/>
      </c>
      <c r="L38" t="str">
        <f>IFERROR(INDEX('DRAFT 1'!$J:$J,MATCH($B38,'DRAFT 1'!$B:$B,0)),"")</f>
        <v/>
      </c>
      <c r="M38" t="str">
        <f>IFERROR(INDEX('DRAFT 1'!$K:$K,MATCH($B38,'DRAFT 1'!$B:$B,0)),"")</f>
        <v/>
      </c>
      <c r="N38" t="s">
        <v>71</v>
      </c>
      <c r="P38" t="str">
        <f>IFERROR(INDEX('DRAFT 1'!$L:$L,MATCH($B38,'DRAFT 1'!$B:$B,0)),"")</f>
        <v/>
      </c>
      <c r="Q38" t="str">
        <f>IFERROR(INDEX('DRAFT 1'!$M:$M,MATCH($B38,'DRAFT 1'!$B:$B,0)),"")</f>
        <v/>
      </c>
      <c r="R38" t="str">
        <f>IFERROR(INDEX('DRAFT 1'!$N:$N,MATCH($B38,'DRAFT 1'!$B:$B,0)),"")</f>
        <v/>
      </c>
      <c r="S38" t="str">
        <f>IFERROR(INDEX('DRAFT 1'!$O:$O,MATCH($B38,'DRAFT 1'!$B:$B,0)),"")</f>
        <v/>
      </c>
      <c r="T38" t="str">
        <f>IFERROR(INDEX('DRAFT 1'!$P:$P,MATCH($B38,'DRAFT 1'!$B:$B,0)),"")</f>
        <v/>
      </c>
      <c r="U38" t="str">
        <f>IFERROR(INDEX('DRAFT 1'!$Q:$Q,MATCH($B38,'DRAFT 1'!$B:$B,0)),"")</f>
        <v/>
      </c>
      <c r="V38" t="str">
        <f>IFERROR(INDEX('DRAFT 1'!$R:$R,MATCH($B38,'DRAFT 1'!$B:$B,0)),"")</f>
        <v/>
      </c>
      <c r="W38" t="str">
        <f>IFERROR(INDEX('DRAFT 1'!$S:$S,MATCH($B38,'DRAFT 1'!$B:$B,0)),"")</f>
        <v/>
      </c>
      <c r="X38" t="str">
        <f>IFERROR(INDEX('DRAFT 1'!$T:$T,MATCH($B38,'DRAFT 1'!$B:$B,0)),"")</f>
        <v/>
      </c>
      <c r="Z38" t="str">
        <f>IFERROR(INDEX('DRAFT 1'!$U:$U,MATCH($B38,'DRAFT 1'!$B:$B,0)),"")</f>
        <v/>
      </c>
      <c r="AA38" t="str">
        <f>IFERROR(INDEX('DRAFT 1'!$V:$V,MATCH($B38,'DRAFT 1'!$B:$B,0)),"")</f>
        <v/>
      </c>
      <c r="AB38" t="str">
        <f>IFERROR(INDEX('DRAFT 1'!$W:$W,MATCH($B38,'DRAFT 1'!$B:$B,0)),"")</f>
        <v/>
      </c>
      <c r="AC38" t="str">
        <f>IFERROR(INDEX('DRAFT 1'!$X:$X,MATCH($B38,'DRAFT 1'!$B:$B,0)),"")</f>
        <v/>
      </c>
      <c r="AD38" t="str">
        <f>IFERROR(INDEX('DRAFT 1'!$Y:$Y,MATCH($B38,'DRAFT 1'!$B:$B,0)),"")</f>
        <v/>
      </c>
      <c r="AE38" t="str">
        <f>IFERROR(INDEX('DRAFT 1'!$Z:$Z,MATCH($B38,'DRAFT 1'!$B:$B,0)),"")</f>
        <v/>
      </c>
      <c r="AF38" t="str">
        <f>IFERROR(INDEX('DRAFT 1'!$AA:$AA,MATCH($B38,'DRAFT 1'!$B:$B,0)),"")</f>
        <v/>
      </c>
      <c r="AG38" t="str">
        <f>IFERROR(INDEX('DRAFT 1'!$AB:$AB,MATCH($B38,'DRAFT 1'!$B:$B,0)),"")</f>
        <v/>
      </c>
      <c r="AH38" t="str">
        <f>IFERROR(INDEX('DRAFT 1'!$AC:$AC,MATCH($B38,'DRAFT 1'!$B:$B,0)),"")</f>
        <v/>
      </c>
      <c r="AI38" t="str">
        <f>IFERROR(INDEX('DRAFT 1'!$AD:$AD,MATCH($B38,'DRAFT 1'!$B:$B,0)),"")</f>
        <v/>
      </c>
      <c r="AJ38" t="str">
        <f>IFERROR(INDEX('DRAFT 1'!$AE:$AE,MATCH($B38,'DRAFT 1'!$B:$B,0)),"")</f>
        <v/>
      </c>
      <c r="AK38" t="str">
        <f>IFERROR(INDEX('DRAFT 1'!$AG:$AG,MATCH($B38,'DRAFT 1'!$B:$B,0)),"")</f>
        <v/>
      </c>
      <c r="AL38" t="str">
        <f>IFERROR(INDEX('DRAFT 1'!$AH:$AH,MATCH($B38,'DRAFT 1'!$B:$B,0)),"")</f>
        <v/>
      </c>
      <c r="AM38" t="str">
        <f>IFERROR(INDEX('DRAFT 1'!$AI:$AI,MATCH($B38,'DRAFT 1'!$B:$B,0)),"")</f>
        <v/>
      </c>
      <c r="AN38" t="str">
        <f>IFERROR(INDEX('DRAFT 1'!$AJ:$AJ,MATCH($B38,'DRAFT 1'!$B:$B,0)),"")</f>
        <v/>
      </c>
      <c r="AO38">
        <f t="shared" si="14"/>
        <v>0</v>
      </c>
      <c r="AP38" t="str">
        <f>IFERROR(INDEX('DRAFT 1'!$AK:$AK,MATCH($B38,'DRAFT 1'!$B:$B,0)),"")</f>
        <v/>
      </c>
      <c r="AR38" t="s">
        <v>92</v>
      </c>
      <c r="AS38">
        <f>IFERROR(LOOKUP(2,1/('DRAFT 2'!$D:$D=$B38),'DRAFT 2'!$T:$T),"")</f>
        <v>0</v>
      </c>
      <c r="AT38">
        <f>IFERROR(LOOKUP(2,1/('DRAFT 2'!$D:$D=$B38),'DRAFT 2'!$A:$A),"")</f>
        <v>0</v>
      </c>
      <c r="AU38">
        <f>IFERROR(LOOKUP(2,1/('DRAFT 2'!$D:$D=$B38),'DRAFT 2'!$R:$R),"")</f>
        <v>0</v>
      </c>
      <c r="AV38">
        <f>IFERROR(LOOKUP(2,1/('DRAFT 2'!$D:$D=$B38),'DRAFT 2'!$S:$S),"")</f>
        <v>0</v>
      </c>
      <c r="AW38" t="s">
        <v>85</v>
      </c>
      <c r="AX38">
        <f>IFERROR(LOOKUP(2,1/('DRAFT 2'!$D:$D=$B38),'DRAFT 2'!$M:$M),"")</f>
        <v>0</v>
      </c>
      <c r="AY38">
        <f>IFERROR(LOOKUP(2,1/('DRAFT 2'!$D:$D=$B38),'DRAFT 2'!$K:$K),"")</f>
        <v>0</v>
      </c>
      <c r="BG38">
        <f>IFERROR(LOOKUP(2,1/('DRAFT 2'!$D:$D=$B38),'DRAFT 2'!$U:$U),"")</f>
        <v>0</v>
      </c>
      <c r="BH38">
        <f>IFERROR(LOOKUP(2,1/('DRAFT 2'!$D:$D=$B38),'DRAFT 2'!$V:$V),"")</f>
        <v>0</v>
      </c>
      <c r="CE38" t="str">
        <f t="shared" si="15"/>
        <v/>
      </c>
      <c r="CF38">
        <f>IFERROR(LOOKUP(2,1/('DRAFT 2'!$D:$D=$B38)*('DRAFT 2'!$A:$A&gt;=DATE(2026,1,1))*('DRAFT 2'!$A:$A&lt;DATE(2026,IF(1=12,1+1,1+1),1)),'DRAFT 2'!$A:$A),"")</f>
        <v>0</v>
      </c>
      <c r="CG38">
        <f>COUNTIFS('DRAFT 2'!$D:$D,$B38,'DRAFT 2'!$A:$A,"&gt;="&amp;DATE(2026,1,1),'DRAFT 2'!$A:$A,"&lt;="&amp;DATE(2026,1,7))</f>
        <v>0</v>
      </c>
      <c r="CH38">
        <f>COUNTIFS('DRAFT 2'!$D:$D,$B38,'DRAFT 2'!$A:$A,"&gt;="&amp;DATE(2026,1,8),'DRAFT 2'!$A:$A,"&lt;="&amp;DATE(2026,1,14))</f>
        <v>0</v>
      </c>
      <c r="CI38">
        <f>COUNTIFS('DRAFT 2'!$D:$D,$B38,'DRAFT 2'!$A:$A,"&gt;="&amp;DATE(2026,1,15),'DRAFT 2'!$A:$A,"&lt;="&amp;DATE(2026,1,21))</f>
        <v>0</v>
      </c>
      <c r="CJ38">
        <f>COUNTIFS('DRAFT 2'!$D:$D,$B38,'DRAFT 2'!$A:$A,"&gt;="&amp;DATE(2026,1,22),'DRAFT 2'!$A:$A,"&lt;"&amp;DATE(2026,IF(1=12,1+1,1+1),1))</f>
        <v>0</v>
      </c>
      <c r="CK38">
        <f t="shared" si="16"/>
        <v>0</v>
      </c>
      <c r="CT38">
        <v>0</v>
      </c>
      <c r="CU38">
        <f>IFERROR(LOOKUP(2,1/('DRAFT 2'!$D:$D=$B38)*('DRAFT 2'!$A:$A&gt;=DATE(2026,2,1))*('DRAFT 2'!$A:$A&lt;DATE(2026,IF(2=12,2+1,2+1),1)),'DRAFT 2'!$A:$A),"")</f>
        <v>0</v>
      </c>
      <c r="CV38">
        <f>COUNTIFS('DRAFT 2'!$D:$D,$B38,'DRAFT 2'!$A:$A,"&gt;="&amp;DATE(2026,2,1),'DRAFT 2'!$A:$A,"&lt;="&amp;DATE(2026,2,7))</f>
        <v>0</v>
      </c>
      <c r="CW38">
        <f>COUNTIFS('DRAFT 2'!$D:$D,$B38,'DRAFT 2'!$A:$A,"&gt;="&amp;DATE(2026,2,8),'DRAFT 2'!$A:$A,"&lt;="&amp;DATE(2026,2,14))</f>
        <v>0</v>
      </c>
      <c r="CX38">
        <f>COUNTIFS('DRAFT 2'!$D:$D,$B38,'DRAFT 2'!$A:$A,"&gt;="&amp;DATE(2026,2,15),'DRAFT 2'!$A:$A,"&lt;="&amp;DATE(2026,2,21))</f>
        <v>0</v>
      </c>
      <c r="CY38">
        <f>COUNTIFS('DRAFT 2'!$D:$D,$B38,'DRAFT 2'!$A:$A,"&gt;="&amp;DATE(2026,2,22),'DRAFT 2'!$A:$A,"&lt;"&amp;DATE(2026,IF(2=12,2+1,2+1),1))</f>
        <v>0</v>
      </c>
      <c r="CZ38">
        <f t="shared" si="17"/>
        <v>0</v>
      </c>
      <c r="DJ38">
        <f>IFERROR(LOOKUP(2,1/('DRAFT 2'!$D:$D=$B38)*('DRAFT 2'!$A:$A&gt;=DATE(2026,3,1))*('DRAFT 2'!$A:$A&lt;DATE(2026,IF(3=12,3+1,3+1),1)),'DRAFT 2'!$A:$A),"")</f>
        <v>0</v>
      </c>
      <c r="DK38">
        <f>COUNTIFS('DRAFT 2'!$D:$D,$B38,'DRAFT 2'!$A:$A,"&gt;="&amp;DATE(2026,3,1),'DRAFT 2'!$A:$A,"&lt;="&amp;DATE(2026,3,7))</f>
        <v>0</v>
      </c>
      <c r="DL38">
        <f>COUNTIFS('DRAFT 2'!$D:$D,$B38,'DRAFT 2'!$A:$A,"&gt;="&amp;DATE(2026,3,8),'DRAFT 2'!$A:$A,"&lt;="&amp;DATE(2026,3,14))</f>
        <v>0</v>
      </c>
      <c r="DM38">
        <f>COUNTIFS('DRAFT 2'!$D:$D,$B38,'DRAFT 2'!$A:$A,"&gt;="&amp;DATE(2026,3,15),'DRAFT 2'!$A:$A,"&lt;="&amp;DATE(2026,3,21))</f>
        <v>0</v>
      </c>
      <c r="DN38">
        <f>COUNTIFS('DRAFT 2'!$D:$D,$B38,'DRAFT 2'!$A:$A,"&gt;="&amp;DATE(2026,3,22),'DRAFT 2'!$A:$A,"&lt;"&amp;DATE(2026,IF(3=12,3+1,3+1),1))</f>
        <v>0</v>
      </c>
      <c r="DO38">
        <f t="shared" si="18"/>
        <v>0</v>
      </c>
      <c r="DZ38">
        <f>IFERROR(LOOKUP(2,1/('DRAFT 2'!$D:$D=$B38)*('DRAFT 2'!$A:$A&gt;=DATE(2026,4,1))*('DRAFT 2'!$A:$A&lt;DATE(2026,IF(4=12,4+1,4+1),1)),'DRAFT 2'!$A:$A),"")</f>
        <v>0</v>
      </c>
      <c r="EA38">
        <f>COUNTIFS('DRAFT 2'!$D:$D,$B38,'DRAFT 2'!$A:$A,"&gt;="&amp;DATE(2026,4,1),'DRAFT 2'!$A:$A,"&lt;="&amp;DATE(2026,4,7))</f>
        <v>0</v>
      </c>
      <c r="EB38">
        <f>COUNTIFS('DRAFT 2'!$D:$D,$B38,'DRAFT 2'!$A:$A,"&gt;="&amp;DATE(2026,4,8),'DRAFT 2'!$A:$A,"&lt;="&amp;DATE(2026,4,14))</f>
        <v>0</v>
      </c>
      <c r="EC38">
        <f>COUNTIFS('DRAFT 2'!$D:$D,$B38,'DRAFT 2'!$A:$A,"&gt;="&amp;DATE(2026,4,15),'DRAFT 2'!$A:$A,"&lt;="&amp;DATE(2026,4,21))</f>
        <v>0</v>
      </c>
      <c r="ED38">
        <f>COUNTIFS('DRAFT 2'!$D:$D,$B38,'DRAFT 2'!$A:$A,"&gt;="&amp;DATE(2026,4,22),'DRAFT 2'!$A:$A,"&lt;"&amp;DATE(2026,IF(4=12,4+1,4+1),1))</f>
        <v>0</v>
      </c>
      <c r="EE38">
        <f t="shared" si="19"/>
        <v>0</v>
      </c>
      <c r="EO38">
        <f>IFERROR(LOOKUP(2,1/('DRAFT 2'!$D:$D=$B38)*('DRAFT 2'!$A:$A&gt;=DATE(2026,5,1))*('DRAFT 2'!$A:$A&lt;DATE(2026,IF(5=12,5+1,5+1),1)),'DRAFT 2'!$A:$A),"")</f>
        <v>0</v>
      </c>
      <c r="EP38">
        <f>COUNTIFS('DRAFT 2'!$D:$D,$B38,'DRAFT 2'!$A:$A,"&gt;="&amp;DATE(2026,5,1),'DRAFT 2'!$A:$A,"&lt;="&amp;DATE(2026,5,7))</f>
        <v>0</v>
      </c>
      <c r="EQ38">
        <f>COUNTIFS('DRAFT 2'!$D:$D,$B38,'DRAFT 2'!$A:$A,"&gt;="&amp;DATE(2026,5,8),'DRAFT 2'!$A:$A,"&lt;="&amp;DATE(2026,5,14))</f>
        <v>0</v>
      </c>
      <c r="ER38">
        <f>COUNTIFS('DRAFT 2'!$D:$D,$B38,'DRAFT 2'!$A:$A,"&gt;="&amp;DATE(2026,5,15),'DRAFT 2'!$A:$A,"&lt;="&amp;DATE(2026,5,21))</f>
        <v>0</v>
      </c>
      <c r="ES38">
        <f>COUNTIFS('DRAFT 2'!$D:$D,$B38,'DRAFT 2'!$A:$A,"&gt;="&amp;DATE(2026,5,22),'DRAFT 2'!$A:$A,"&lt;"&amp;DATE(2026,IF(5=12,5+1,5+1),1))</f>
        <v>0</v>
      </c>
      <c r="ET38">
        <f t="shared" si="20"/>
        <v>0</v>
      </c>
      <c r="FD38">
        <f>IFERROR(LOOKUP(2,1/('DRAFT 2'!$D:$D=$B38)*('DRAFT 2'!$A:$A&gt;=DATE(2026,6,1))*('DRAFT 2'!$A:$A&lt;DATE(2026,IF(6=12,6+1,6+1),1)),'DRAFT 2'!$A:$A),"")</f>
        <v>0</v>
      </c>
      <c r="FE38">
        <f>COUNTIFS('DRAFT 2'!$D:$D,$B38,'DRAFT 2'!$A:$A,"&gt;="&amp;DATE(2026,6,1),'DRAFT 2'!$A:$A,"&lt;="&amp;DATE(2026,6,7))</f>
        <v>0</v>
      </c>
      <c r="FF38">
        <f>COUNTIFS('DRAFT 2'!$D:$D,$B38,'DRAFT 2'!$A:$A,"&gt;="&amp;DATE(2026,6,8),'DRAFT 2'!$A:$A,"&lt;="&amp;DATE(2026,6,14))</f>
        <v>0</v>
      </c>
      <c r="FG38">
        <f>COUNTIFS('DRAFT 2'!$D:$D,$B38,'DRAFT 2'!$A:$A,"&gt;="&amp;DATE(2026,6,15),'DRAFT 2'!$A:$A,"&lt;="&amp;DATE(2026,6,21))</f>
        <v>0</v>
      </c>
      <c r="FH38">
        <f>COUNTIFS('DRAFT 2'!$D:$D,$B38,'DRAFT 2'!$A:$A,"&gt;="&amp;DATE(2026,6,22),'DRAFT 2'!$A:$A,"&lt;"&amp;DATE(2026,IF(6=12,6+1,6+1),1))</f>
        <v>0</v>
      </c>
      <c r="FI38">
        <f t="shared" si="21"/>
        <v>0</v>
      </c>
      <c r="FT38">
        <f>IFERROR(LOOKUP(2,1/('DRAFT 2'!$D:$D=$B38)*('DRAFT 2'!$A:$A&gt;=DATE(2026,7,1))*('DRAFT 2'!$A:$A&lt;DATE(2026,IF(7=12,7+1,7+1),1)),'DRAFT 2'!$A:$A),"")</f>
        <v>0</v>
      </c>
      <c r="FU38">
        <f>COUNTIFS('DRAFT 2'!$D:$D,$B38,'DRAFT 2'!$A:$A,"&gt;="&amp;DATE(2026,7,1),'DRAFT 2'!$A:$A,"&lt;="&amp;DATE(2026,7,7))</f>
        <v>0</v>
      </c>
      <c r="FV38">
        <f>COUNTIFS('DRAFT 2'!$D:$D,$B38,'DRAFT 2'!$A:$A,"&gt;="&amp;DATE(2026,7,8),'DRAFT 2'!$A:$A,"&lt;="&amp;DATE(2026,7,14))</f>
        <v>0</v>
      </c>
      <c r="FW38">
        <f>COUNTIFS('DRAFT 2'!$D:$D,$B38,'DRAFT 2'!$A:$A,"&gt;="&amp;DATE(2026,7,15),'DRAFT 2'!$A:$A,"&lt;="&amp;DATE(2026,7,21))</f>
        <v>0</v>
      </c>
      <c r="FX38">
        <f>COUNTIFS('DRAFT 2'!$D:$D,$B38,'DRAFT 2'!$A:$A,"&gt;="&amp;DATE(2026,7,22),'DRAFT 2'!$A:$A,"&lt;"&amp;DATE(2026,IF(7=12,7+1,7+1),1))</f>
        <v>0</v>
      </c>
      <c r="FY38">
        <f t="shared" si="22"/>
        <v>0</v>
      </c>
      <c r="GI38">
        <f>IFERROR(LOOKUP(2,1/('DRAFT 2'!$D:$D=$B38)*('DRAFT 2'!$A:$A&gt;=DATE(2026,8,1))*('DRAFT 2'!$A:$A&lt;DATE(2026,IF(8=12,8+1,8+1),1)),'DRAFT 2'!$A:$A),"")</f>
        <v>0</v>
      </c>
      <c r="GJ38">
        <f>COUNTIFS('DRAFT 2'!$D:$D,$B38,'DRAFT 2'!$A:$A,"&gt;="&amp;DATE(2026,8,1),'DRAFT 2'!$A:$A,"&lt;="&amp;DATE(2026,8,7))</f>
        <v>0</v>
      </c>
      <c r="GK38">
        <f>COUNTIFS('DRAFT 2'!$D:$D,$B38,'DRAFT 2'!$A:$A,"&gt;="&amp;DATE(2026,8,8),'DRAFT 2'!$A:$A,"&lt;="&amp;DATE(2026,8,14))</f>
        <v>0</v>
      </c>
      <c r="GL38">
        <f>COUNTIFS('DRAFT 2'!$D:$D,$B38,'DRAFT 2'!$A:$A,"&gt;="&amp;DATE(2026,8,15),'DRAFT 2'!$A:$A,"&lt;="&amp;DATE(2026,8,21))</f>
        <v>0</v>
      </c>
      <c r="GM38">
        <f>COUNTIFS('DRAFT 2'!$D:$D,$B38,'DRAFT 2'!$A:$A,"&gt;="&amp;DATE(2026,8,22),'DRAFT 2'!$A:$A,"&lt;"&amp;DATE(2026,IF(8=12,8+1,8+1),1))</f>
        <v>0</v>
      </c>
      <c r="GN38">
        <f t="shared" si="23"/>
        <v>0</v>
      </c>
      <c r="GX38">
        <f>IFERROR(LOOKUP(2,1/('DRAFT 2'!$D:$D=$B38)*('DRAFT 2'!$A:$A&gt;=DATE(2026,9,1))*('DRAFT 2'!$A:$A&lt;DATE(2026,IF(9=12,9+1,9+1),1)),'DRAFT 2'!$A:$A),"")</f>
        <v>0</v>
      </c>
      <c r="GY38">
        <f>COUNTIFS('DRAFT 2'!$D:$D,$B38,'DRAFT 2'!$A:$A,"&gt;="&amp;DATE(2026,9,1),'DRAFT 2'!$A:$A,"&lt;="&amp;DATE(2026,9,7))</f>
        <v>0</v>
      </c>
      <c r="GZ38">
        <f>COUNTIFS('DRAFT 2'!$D:$D,$B38,'DRAFT 2'!$A:$A,"&gt;="&amp;DATE(2026,9,8),'DRAFT 2'!$A:$A,"&lt;="&amp;DATE(2026,9,14))</f>
        <v>0</v>
      </c>
      <c r="HA38">
        <f>COUNTIFS('DRAFT 2'!$D:$D,$B38,'DRAFT 2'!$A:$A,"&gt;="&amp;DATE(2026,9,15),'DRAFT 2'!$A:$A,"&lt;="&amp;DATE(2026,9,21))</f>
        <v>0</v>
      </c>
      <c r="HB38">
        <f>COUNTIFS('DRAFT 2'!$D:$D,$B38,'DRAFT 2'!$A:$A,"&gt;="&amp;DATE(2026,9,22),'DRAFT 2'!$A:$A,"&lt;"&amp;DATE(2026,IF(9=12,9+1,9+1),1))</f>
        <v>0</v>
      </c>
      <c r="HC38">
        <f t="shared" si="24"/>
        <v>0</v>
      </c>
      <c r="HN38">
        <f>IFERROR(LOOKUP(2,1/('DRAFT 2'!$D:$D=$B38)*('DRAFT 2'!$A:$A&gt;=DATE(2026,10,1))*('DRAFT 2'!$A:$A&lt;DATE(2026,IF(10=12,10+1,10+1),1)),'DRAFT 2'!$A:$A),"")</f>
        <v>0</v>
      </c>
      <c r="HO38">
        <f>COUNTIFS('DRAFT 2'!$D:$D,$B38,'DRAFT 2'!$A:$A,"&gt;="&amp;DATE(2026,10,1),'DRAFT 2'!$A:$A,"&lt;="&amp;DATE(2026,10,7))</f>
        <v>0</v>
      </c>
      <c r="HP38">
        <f>COUNTIFS('DRAFT 2'!$D:$D,$B38,'DRAFT 2'!$A:$A,"&gt;="&amp;DATE(2026,10,8),'DRAFT 2'!$A:$A,"&lt;="&amp;DATE(2026,10,14))</f>
        <v>0</v>
      </c>
      <c r="HQ38">
        <f>COUNTIFS('DRAFT 2'!$D:$D,$B38,'DRAFT 2'!$A:$A,"&gt;="&amp;DATE(2026,10,15),'DRAFT 2'!$A:$A,"&lt;="&amp;DATE(2026,10,21))</f>
        <v>0</v>
      </c>
      <c r="HR38">
        <f>COUNTIFS('DRAFT 2'!$D:$D,$B38,'DRAFT 2'!$A:$A,"&gt;="&amp;DATE(2026,10,22),'DRAFT 2'!$A:$A,"&lt;"&amp;DATE(2026,IF(10=12,10+1,10+1),1))</f>
        <v>0</v>
      </c>
      <c r="HS38">
        <f t="shared" si="25"/>
        <v>0</v>
      </c>
      <c r="IC38">
        <f>IFERROR(LOOKUP(2,1/('DRAFT 2'!$D:$D=$B38)*('DRAFT 2'!$A:$A&gt;=DATE(2026,11,1))*('DRAFT 2'!$A:$A&lt;DATE(2026,IF(11=12,11+1,11+1),1)),'DRAFT 2'!$A:$A),"")</f>
        <v>0</v>
      </c>
      <c r="ID38">
        <f>COUNTIFS('DRAFT 2'!$D:$D,$B38,'DRAFT 2'!$A:$A,"&gt;="&amp;DATE(2026,11,1),'DRAFT 2'!$A:$A,"&lt;="&amp;DATE(2026,11,7))</f>
        <v>0</v>
      </c>
      <c r="IE38">
        <f>COUNTIFS('DRAFT 2'!$D:$D,$B38,'DRAFT 2'!$A:$A,"&gt;="&amp;DATE(2026,11,8),'DRAFT 2'!$A:$A,"&lt;="&amp;DATE(2026,11,14))</f>
        <v>0</v>
      </c>
      <c r="IF38">
        <f>COUNTIFS('DRAFT 2'!$D:$D,$B38,'DRAFT 2'!$A:$A,"&gt;="&amp;DATE(2026,11,15),'DRAFT 2'!$A:$A,"&lt;="&amp;DATE(2026,11,21))</f>
        <v>0</v>
      </c>
      <c r="IG38">
        <f>COUNTIFS('DRAFT 2'!$D:$D,$B38,'DRAFT 2'!$A:$A,"&gt;="&amp;DATE(2026,11,22),'DRAFT 2'!$A:$A,"&lt;"&amp;DATE(2026,IF(11=12,11+1,11+1),1))</f>
        <v>0</v>
      </c>
      <c r="IH38">
        <f t="shared" si="26"/>
        <v>0</v>
      </c>
      <c r="IR38">
        <f>IFERROR(LOOKUP(2,1/('DRAFT 2'!$D:$D=$B38)*('DRAFT 2'!$A:$A&gt;=DATE(2026,12,1))*('DRAFT 2'!$A:$A&lt;DATE(2026,IF(12=12,12+1,12+1),1)),'DRAFT 2'!$A:$A),"")</f>
        <v>0</v>
      </c>
      <c r="IS38">
        <f>COUNTIFS('DRAFT 2'!$D:$D,$B38,'DRAFT 2'!$A:$A,"&gt;="&amp;DATE(2026,12,1),'DRAFT 2'!$A:$A,"&lt;="&amp;DATE(2026,12,7))</f>
        <v>0</v>
      </c>
      <c r="IT38">
        <f>COUNTIFS('DRAFT 2'!$D:$D,$B38,'DRAFT 2'!$A:$A,"&gt;="&amp;DATE(2026,12,8),'DRAFT 2'!$A:$A,"&lt;="&amp;DATE(2026,12,14))</f>
        <v>0</v>
      </c>
      <c r="IU38">
        <f>COUNTIFS('DRAFT 2'!$D:$D,$B38,'DRAFT 2'!$A:$A,"&gt;="&amp;DATE(2026,12,15),'DRAFT 2'!$A:$A,"&lt;="&amp;DATE(2026,12,21))</f>
        <v>0</v>
      </c>
      <c r="IV38">
        <f>COUNTIFS('DRAFT 2'!$D:$D,$B38,'DRAFT 2'!$A:$A,"&gt;="&amp;DATE(2026,12,22),'DRAFT 2'!$A:$A,"&lt;"&amp;DATE(2026,IF(12=12,12+1,12+1),1))</f>
        <v>0</v>
      </c>
      <c r="IW38">
        <f t="shared" si="27"/>
        <v>0</v>
      </c>
    </row>
    <row r="39" spans="1:257" x14ac:dyDescent="0.3">
      <c r="A39" t="str">
        <f>IFERROR(INDEX('DRAFT 1'!$A:$A,MATCH($B39,'DRAFT 1'!$B:$B,0)),"")</f>
        <v/>
      </c>
      <c r="C39" t="str">
        <f>IFERROR(INDEX('DRAFT 1'!$C:$C,MATCH($B39,'DRAFT 1'!$B:$B,0)),"")</f>
        <v/>
      </c>
      <c r="D39" t="str">
        <f>IFERROR(INDEX('DRAFT 1'!$D:$D,MATCH($B39,'DRAFT 1'!$B:$B,0)),"")</f>
        <v/>
      </c>
      <c r="E39" t="str">
        <f>IFERROR(INDEX('DRAFT 1'!$E:$E,MATCH($B39,'DRAFT 1'!$B:$B,0)),"")</f>
        <v/>
      </c>
      <c r="F39" t="str">
        <f>IFERROR(INDEX('DRAFT 1'!$F:$F,MATCH($B39,'DRAFT 1'!$B:$B,0)),"")</f>
        <v/>
      </c>
      <c r="G39" t="str">
        <f>IFERROR(INDEX('DRAFT 1'!$G:$G,MATCH($B39,'DRAFT 1'!$B:$B,0)),"")</f>
        <v/>
      </c>
      <c r="H39" t="str">
        <f>IFERROR(INDEX('DRAFT 1'!$H:$H,MATCH($B39,'DRAFT 1'!$B:$B,0)),"")</f>
        <v/>
      </c>
      <c r="I39" t="s">
        <v>283</v>
      </c>
      <c r="K39" t="str">
        <f>IFERROR(INDEX('DRAFT 1'!$AL:$AL,MATCH($B39,'DRAFT 1'!$B:$B,0)),"")</f>
        <v/>
      </c>
      <c r="L39" t="str">
        <f>IFERROR(INDEX('DRAFT 1'!$J:$J,MATCH($B39,'DRAFT 1'!$B:$B,0)),"")</f>
        <v/>
      </c>
      <c r="M39" t="str">
        <f>IFERROR(INDEX('DRAFT 1'!$K:$K,MATCH($B39,'DRAFT 1'!$B:$B,0)),"")</f>
        <v/>
      </c>
      <c r="N39" t="s">
        <v>77</v>
      </c>
      <c r="P39" t="str">
        <f>IFERROR(INDEX('DRAFT 1'!$L:$L,MATCH($B39,'DRAFT 1'!$B:$B,0)),"")</f>
        <v/>
      </c>
      <c r="Q39" t="str">
        <f>IFERROR(INDEX('DRAFT 1'!$M:$M,MATCH($B39,'DRAFT 1'!$B:$B,0)),"")</f>
        <v/>
      </c>
      <c r="R39" t="str">
        <f>IFERROR(INDEX('DRAFT 1'!$N:$N,MATCH($B39,'DRAFT 1'!$B:$B,0)),"")</f>
        <v/>
      </c>
      <c r="S39" t="str">
        <f>IFERROR(INDEX('DRAFT 1'!$O:$O,MATCH($B39,'DRAFT 1'!$B:$B,0)),"")</f>
        <v/>
      </c>
      <c r="T39" t="str">
        <f>IFERROR(INDEX('DRAFT 1'!$P:$P,MATCH($B39,'DRAFT 1'!$B:$B,0)),"")</f>
        <v/>
      </c>
      <c r="U39" t="str">
        <f>IFERROR(INDEX('DRAFT 1'!$Q:$Q,MATCH($B39,'DRAFT 1'!$B:$B,0)),"")</f>
        <v/>
      </c>
      <c r="V39" t="str">
        <f>IFERROR(INDEX('DRAFT 1'!$R:$R,MATCH($B39,'DRAFT 1'!$B:$B,0)),"")</f>
        <v/>
      </c>
      <c r="W39" t="str">
        <f>IFERROR(INDEX('DRAFT 1'!$S:$S,MATCH($B39,'DRAFT 1'!$B:$B,0)),"")</f>
        <v/>
      </c>
      <c r="X39" t="str">
        <f>IFERROR(INDEX('DRAFT 1'!$T:$T,MATCH($B39,'DRAFT 1'!$B:$B,0)),"")</f>
        <v/>
      </c>
      <c r="Z39" t="str">
        <f>IFERROR(INDEX('DRAFT 1'!$U:$U,MATCH($B39,'DRAFT 1'!$B:$B,0)),"")</f>
        <v/>
      </c>
      <c r="AA39" t="str">
        <f>IFERROR(INDEX('DRAFT 1'!$V:$V,MATCH($B39,'DRAFT 1'!$B:$B,0)),"")</f>
        <v/>
      </c>
      <c r="AB39" t="str">
        <f>IFERROR(INDEX('DRAFT 1'!$W:$W,MATCH($B39,'DRAFT 1'!$B:$B,0)),"")</f>
        <v/>
      </c>
      <c r="AC39" t="str">
        <f>IFERROR(INDEX('DRAFT 1'!$X:$X,MATCH($B39,'DRAFT 1'!$B:$B,0)),"")</f>
        <v/>
      </c>
      <c r="AD39" t="str">
        <f>IFERROR(INDEX('DRAFT 1'!$Y:$Y,MATCH($B39,'DRAFT 1'!$B:$B,0)),"")</f>
        <v/>
      </c>
      <c r="AE39" t="str">
        <f>IFERROR(INDEX('DRAFT 1'!$Z:$Z,MATCH($B39,'DRAFT 1'!$B:$B,0)),"")</f>
        <v/>
      </c>
      <c r="AF39" t="str">
        <f>IFERROR(INDEX('DRAFT 1'!$AA:$AA,MATCH($B39,'DRAFT 1'!$B:$B,0)),"")</f>
        <v/>
      </c>
      <c r="AG39" t="str">
        <f>IFERROR(INDEX('DRAFT 1'!$AB:$AB,MATCH($B39,'DRAFT 1'!$B:$B,0)),"")</f>
        <v/>
      </c>
      <c r="AH39" t="str">
        <f>IFERROR(INDEX('DRAFT 1'!$AC:$AC,MATCH($B39,'DRAFT 1'!$B:$B,0)),"")</f>
        <v/>
      </c>
      <c r="AI39" t="str">
        <f>IFERROR(INDEX('DRAFT 1'!$AD:$AD,MATCH($B39,'DRAFT 1'!$B:$B,0)),"")</f>
        <v/>
      </c>
      <c r="AJ39" t="str">
        <f>IFERROR(INDEX('DRAFT 1'!$AE:$AE,MATCH($B39,'DRAFT 1'!$B:$B,0)),"")</f>
        <v/>
      </c>
      <c r="AK39" t="str">
        <f>IFERROR(INDEX('DRAFT 1'!$AG:$AG,MATCH($B39,'DRAFT 1'!$B:$B,0)),"")</f>
        <v/>
      </c>
      <c r="AL39" t="str">
        <f>IFERROR(INDEX('DRAFT 1'!$AH:$AH,MATCH($B39,'DRAFT 1'!$B:$B,0)),"")</f>
        <v/>
      </c>
      <c r="AM39" t="str">
        <f>IFERROR(INDEX('DRAFT 1'!$AI:$AI,MATCH($B39,'DRAFT 1'!$B:$B,0)),"")</f>
        <v/>
      </c>
      <c r="AN39" t="str">
        <f>IFERROR(INDEX('DRAFT 1'!$AJ:$AJ,MATCH($B39,'DRAFT 1'!$B:$B,0)),"")</f>
        <v/>
      </c>
      <c r="AO39">
        <f t="shared" si="14"/>
        <v>0</v>
      </c>
      <c r="AP39" t="str">
        <f>IFERROR(INDEX('DRAFT 1'!$AK:$AK,MATCH($B39,'DRAFT 1'!$B:$B,0)),"")</f>
        <v/>
      </c>
      <c r="AR39" t="s">
        <v>91</v>
      </c>
      <c r="AS39">
        <f>IFERROR(LOOKUP(2,1/('DRAFT 2'!$D:$D=$B39),'DRAFT 2'!$T:$T),"")</f>
        <v>0</v>
      </c>
      <c r="AT39">
        <f>IFERROR(LOOKUP(2,1/('DRAFT 2'!$D:$D=$B39),'DRAFT 2'!$A:$A),"")</f>
        <v>0</v>
      </c>
      <c r="AU39">
        <f>IFERROR(LOOKUP(2,1/('DRAFT 2'!$D:$D=$B39),'DRAFT 2'!$R:$R),"")</f>
        <v>0</v>
      </c>
      <c r="AV39">
        <f>IFERROR(LOOKUP(2,1/('DRAFT 2'!$D:$D=$B39),'DRAFT 2'!$S:$S),"")</f>
        <v>0</v>
      </c>
      <c r="AW39" t="s">
        <v>130</v>
      </c>
      <c r="AX39">
        <f>IFERROR(LOOKUP(2,1/('DRAFT 2'!$D:$D=$B39),'DRAFT 2'!$M:$M),"")</f>
        <v>0</v>
      </c>
      <c r="AY39">
        <f>IFERROR(LOOKUP(2,1/('DRAFT 2'!$D:$D=$B39),'DRAFT 2'!$K:$K),"")</f>
        <v>0</v>
      </c>
      <c r="BG39">
        <f>IFERROR(LOOKUP(2,1/('DRAFT 2'!$D:$D=$B39),'DRAFT 2'!$U:$U),"")</f>
        <v>0</v>
      </c>
      <c r="BH39">
        <f>IFERROR(LOOKUP(2,1/('DRAFT 2'!$D:$D=$B39),'DRAFT 2'!$V:$V),"")</f>
        <v>0</v>
      </c>
      <c r="CE39" t="str">
        <f t="shared" si="15"/>
        <v/>
      </c>
      <c r="CF39">
        <f>IFERROR(LOOKUP(2,1/('DRAFT 2'!$D:$D=$B39)*('DRAFT 2'!$A:$A&gt;=DATE(2026,1,1))*('DRAFT 2'!$A:$A&lt;DATE(2026,IF(1=12,1+1,1+1),1)),'DRAFT 2'!$A:$A),"")</f>
        <v>0</v>
      </c>
      <c r="CG39">
        <f>COUNTIFS('DRAFT 2'!$D:$D,$B39,'DRAFT 2'!$A:$A,"&gt;="&amp;DATE(2026,1,1),'DRAFT 2'!$A:$A,"&lt;="&amp;DATE(2026,1,7))</f>
        <v>0</v>
      </c>
      <c r="CH39">
        <f>COUNTIFS('DRAFT 2'!$D:$D,$B39,'DRAFT 2'!$A:$A,"&gt;="&amp;DATE(2026,1,8),'DRAFT 2'!$A:$A,"&lt;="&amp;DATE(2026,1,14))</f>
        <v>0</v>
      </c>
      <c r="CI39">
        <f>COUNTIFS('DRAFT 2'!$D:$D,$B39,'DRAFT 2'!$A:$A,"&gt;="&amp;DATE(2026,1,15),'DRAFT 2'!$A:$A,"&lt;="&amp;DATE(2026,1,21))</f>
        <v>0</v>
      </c>
      <c r="CJ39">
        <f>COUNTIFS('DRAFT 2'!$D:$D,$B39,'DRAFT 2'!$A:$A,"&gt;="&amp;DATE(2026,1,22),'DRAFT 2'!$A:$A,"&lt;"&amp;DATE(2026,IF(1=12,1+1,1+1),1))</f>
        <v>0</v>
      </c>
      <c r="CK39">
        <f t="shared" si="16"/>
        <v>0</v>
      </c>
      <c r="CT39">
        <v>0</v>
      </c>
      <c r="CU39">
        <f>IFERROR(LOOKUP(2,1/('DRAFT 2'!$D:$D=$B39)*('DRAFT 2'!$A:$A&gt;=DATE(2026,2,1))*('DRAFT 2'!$A:$A&lt;DATE(2026,IF(2=12,2+1,2+1),1)),'DRAFT 2'!$A:$A),"")</f>
        <v>0</v>
      </c>
      <c r="CV39">
        <f>COUNTIFS('DRAFT 2'!$D:$D,$B39,'DRAFT 2'!$A:$A,"&gt;="&amp;DATE(2026,2,1),'DRAFT 2'!$A:$A,"&lt;="&amp;DATE(2026,2,7))</f>
        <v>0</v>
      </c>
      <c r="CW39">
        <f>COUNTIFS('DRAFT 2'!$D:$D,$B39,'DRAFT 2'!$A:$A,"&gt;="&amp;DATE(2026,2,8),'DRAFT 2'!$A:$A,"&lt;="&amp;DATE(2026,2,14))</f>
        <v>0</v>
      </c>
      <c r="CX39">
        <f>COUNTIFS('DRAFT 2'!$D:$D,$B39,'DRAFT 2'!$A:$A,"&gt;="&amp;DATE(2026,2,15),'DRAFT 2'!$A:$A,"&lt;="&amp;DATE(2026,2,21))</f>
        <v>0</v>
      </c>
      <c r="CY39">
        <f>COUNTIFS('DRAFT 2'!$D:$D,$B39,'DRAFT 2'!$A:$A,"&gt;="&amp;DATE(2026,2,22),'DRAFT 2'!$A:$A,"&lt;"&amp;DATE(2026,IF(2=12,2+1,2+1),1))</f>
        <v>0</v>
      </c>
      <c r="CZ39">
        <f t="shared" si="17"/>
        <v>0</v>
      </c>
      <c r="DJ39">
        <f>IFERROR(LOOKUP(2,1/('DRAFT 2'!$D:$D=$B39)*('DRAFT 2'!$A:$A&gt;=DATE(2026,3,1))*('DRAFT 2'!$A:$A&lt;DATE(2026,IF(3=12,3+1,3+1),1)),'DRAFT 2'!$A:$A),"")</f>
        <v>0</v>
      </c>
      <c r="DK39">
        <f>COUNTIFS('DRAFT 2'!$D:$D,$B39,'DRAFT 2'!$A:$A,"&gt;="&amp;DATE(2026,3,1),'DRAFT 2'!$A:$A,"&lt;="&amp;DATE(2026,3,7))</f>
        <v>0</v>
      </c>
      <c r="DL39">
        <f>COUNTIFS('DRAFT 2'!$D:$D,$B39,'DRAFT 2'!$A:$A,"&gt;="&amp;DATE(2026,3,8),'DRAFT 2'!$A:$A,"&lt;="&amp;DATE(2026,3,14))</f>
        <v>0</v>
      </c>
      <c r="DM39">
        <f>COUNTIFS('DRAFT 2'!$D:$D,$B39,'DRAFT 2'!$A:$A,"&gt;="&amp;DATE(2026,3,15),'DRAFT 2'!$A:$A,"&lt;="&amp;DATE(2026,3,21))</f>
        <v>0</v>
      </c>
      <c r="DN39">
        <f>COUNTIFS('DRAFT 2'!$D:$D,$B39,'DRAFT 2'!$A:$A,"&gt;="&amp;DATE(2026,3,22),'DRAFT 2'!$A:$A,"&lt;"&amp;DATE(2026,IF(3=12,3+1,3+1),1))</f>
        <v>0</v>
      </c>
      <c r="DO39">
        <f t="shared" si="18"/>
        <v>0</v>
      </c>
      <c r="DZ39">
        <f>IFERROR(LOOKUP(2,1/('DRAFT 2'!$D:$D=$B39)*('DRAFT 2'!$A:$A&gt;=DATE(2026,4,1))*('DRAFT 2'!$A:$A&lt;DATE(2026,IF(4=12,4+1,4+1),1)),'DRAFT 2'!$A:$A),"")</f>
        <v>0</v>
      </c>
      <c r="EA39">
        <f>COUNTIFS('DRAFT 2'!$D:$D,$B39,'DRAFT 2'!$A:$A,"&gt;="&amp;DATE(2026,4,1),'DRAFT 2'!$A:$A,"&lt;="&amp;DATE(2026,4,7))</f>
        <v>0</v>
      </c>
      <c r="EB39">
        <f>COUNTIFS('DRAFT 2'!$D:$D,$B39,'DRAFT 2'!$A:$A,"&gt;="&amp;DATE(2026,4,8),'DRAFT 2'!$A:$A,"&lt;="&amp;DATE(2026,4,14))</f>
        <v>0</v>
      </c>
      <c r="EC39">
        <f>COUNTIFS('DRAFT 2'!$D:$D,$B39,'DRAFT 2'!$A:$A,"&gt;="&amp;DATE(2026,4,15),'DRAFT 2'!$A:$A,"&lt;="&amp;DATE(2026,4,21))</f>
        <v>0</v>
      </c>
      <c r="ED39">
        <f>COUNTIFS('DRAFT 2'!$D:$D,$B39,'DRAFT 2'!$A:$A,"&gt;="&amp;DATE(2026,4,22),'DRAFT 2'!$A:$A,"&lt;"&amp;DATE(2026,IF(4=12,4+1,4+1),1))</f>
        <v>0</v>
      </c>
      <c r="EE39">
        <f t="shared" si="19"/>
        <v>0</v>
      </c>
      <c r="EO39">
        <f>IFERROR(LOOKUP(2,1/('DRAFT 2'!$D:$D=$B39)*('DRAFT 2'!$A:$A&gt;=DATE(2026,5,1))*('DRAFT 2'!$A:$A&lt;DATE(2026,IF(5=12,5+1,5+1),1)),'DRAFT 2'!$A:$A),"")</f>
        <v>0</v>
      </c>
      <c r="EP39">
        <f>COUNTIFS('DRAFT 2'!$D:$D,$B39,'DRAFT 2'!$A:$A,"&gt;="&amp;DATE(2026,5,1),'DRAFT 2'!$A:$A,"&lt;="&amp;DATE(2026,5,7))</f>
        <v>0</v>
      </c>
      <c r="EQ39">
        <f>COUNTIFS('DRAFT 2'!$D:$D,$B39,'DRAFT 2'!$A:$A,"&gt;="&amp;DATE(2026,5,8),'DRAFT 2'!$A:$A,"&lt;="&amp;DATE(2026,5,14))</f>
        <v>0</v>
      </c>
      <c r="ER39">
        <f>COUNTIFS('DRAFT 2'!$D:$D,$B39,'DRAFT 2'!$A:$A,"&gt;="&amp;DATE(2026,5,15),'DRAFT 2'!$A:$A,"&lt;="&amp;DATE(2026,5,21))</f>
        <v>0</v>
      </c>
      <c r="ES39">
        <f>COUNTIFS('DRAFT 2'!$D:$D,$B39,'DRAFT 2'!$A:$A,"&gt;="&amp;DATE(2026,5,22),'DRAFT 2'!$A:$A,"&lt;"&amp;DATE(2026,IF(5=12,5+1,5+1),1))</f>
        <v>0</v>
      </c>
      <c r="ET39">
        <f t="shared" si="20"/>
        <v>0</v>
      </c>
      <c r="FD39">
        <f>IFERROR(LOOKUP(2,1/('DRAFT 2'!$D:$D=$B39)*('DRAFT 2'!$A:$A&gt;=DATE(2026,6,1))*('DRAFT 2'!$A:$A&lt;DATE(2026,IF(6=12,6+1,6+1),1)),'DRAFT 2'!$A:$A),"")</f>
        <v>0</v>
      </c>
      <c r="FE39">
        <f>COUNTIFS('DRAFT 2'!$D:$D,$B39,'DRAFT 2'!$A:$A,"&gt;="&amp;DATE(2026,6,1),'DRAFT 2'!$A:$A,"&lt;="&amp;DATE(2026,6,7))</f>
        <v>0</v>
      </c>
      <c r="FF39">
        <f>COUNTIFS('DRAFT 2'!$D:$D,$B39,'DRAFT 2'!$A:$A,"&gt;="&amp;DATE(2026,6,8),'DRAFT 2'!$A:$A,"&lt;="&amp;DATE(2026,6,14))</f>
        <v>0</v>
      </c>
      <c r="FG39">
        <f>COUNTIFS('DRAFT 2'!$D:$D,$B39,'DRAFT 2'!$A:$A,"&gt;="&amp;DATE(2026,6,15),'DRAFT 2'!$A:$A,"&lt;="&amp;DATE(2026,6,21))</f>
        <v>0</v>
      </c>
      <c r="FH39">
        <f>COUNTIFS('DRAFT 2'!$D:$D,$B39,'DRAFT 2'!$A:$A,"&gt;="&amp;DATE(2026,6,22),'DRAFT 2'!$A:$A,"&lt;"&amp;DATE(2026,IF(6=12,6+1,6+1),1))</f>
        <v>0</v>
      </c>
      <c r="FI39">
        <f t="shared" si="21"/>
        <v>0</v>
      </c>
      <c r="FT39">
        <f>IFERROR(LOOKUP(2,1/('DRAFT 2'!$D:$D=$B39)*('DRAFT 2'!$A:$A&gt;=DATE(2026,7,1))*('DRAFT 2'!$A:$A&lt;DATE(2026,IF(7=12,7+1,7+1),1)),'DRAFT 2'!$A:$A),"")</f>
        <v>0</v>
      </c>
      <c r="FU39">
        <f>COUNTIFS('DRAFT 2'!$D:$D,$B39,'DRAFT 2'!$A:$A,"&gt;="&amp;DATE(2026,7,1),'DRAFT 2'!$A:$A,"&lt;="&amp;DATE(2026,7,7))</f>
        <v>0</v>
      </c>
      <c r="FV39">
        <f>COUNTIFS('DRAFT 2'!$D:$D,$B39,'DRAFT 2'!$A:$A,"&gt;="&amp;DATE(2026,7,8),'DRAFT 2'!$A:$A,"&lt;="&amp;DATE(2026,7,14))</f>
        <v>0</v>
      </c>
      <c r="FW39">
        <f>COUNTIFS('DRAFT 2'!$D:$D,$B39,'DRAFT 2'!$A:$A,"&gt;="&amp;DATE(2026,7,15),'DRAFT 2'!$A:$A,"&lt;="&amp;DATE(2026,7,21))</f>
        <v>0</v>
      </c>
      <c r="FX39">
        <f>COUNTIFS('DRAFT 2'!$D:$D,$B39,'DRAFT 2'!$A:$A,"&gt;="&amp;DATE(2026,7,22),'DRAFT 2'!$A:$A,"&lt;"&amp;DATE(2026,IF(7=12,7+1,7+1),1))</f>
        <v>0</v>
      </c>
      <c r="FY39">
        <f t="shared" si="22"/>
        <v>0</v>
      </c>
      <c r="GI39">
        <f>IFERROR(LOOKUP(2,1/('DRAFT 2'!$D:$D=$B39)*('DRAFT 2'!$A:$A&gt;=DATE(2026,8,1))*('DRAFT 2'!$A:$A&lt;DATE(2026,IF(8=12,8+1,8+1),1)),'DRAFT 2'!$A:$A),"")</f>
        <v>0</v>
      </c>
      <c r="GJ39">
        <f>COUNTIFS('DRAFT 2'!$D:$D,$B39,'DRAFT 2'!$A:$A,"&gt;="&amp;DATE(2026,8,1),'DRAFT 2'!$A:$A,"&lt;="&amp;DATE(2026,8,7))</f>
        <v>0</v>
      </c>
      <c r="GK39">
        <f>COUNTIFS('DRAFT 2'!$D:$D,$B39,'DRAFT 2'!$A:$A,"&gt;="&amp;DATE(2026,8,8),'DRAFT 2'!$A:$A,"&lt;="&amp;DATE(2026,8,14))</f>
        <v>0</v>
      </c>
      <c r="GL39">
        <f>COUNTIFS('DRAFT 2'!$D:$D,$B39,'DRAFT 2'!$A:$A,"&gt;="&amp;DATE(2026,8,15),'DRAFT 2'!$A:$A,"&lt;="&amp;DATE(2026,8,21))</f>
        <v>0</v>
      </c>
      <c r="GM39">
        <f>COUNTIFS('DRAFT 2'!$D:$D,$B39,'DRAFT 2'!$A:$A,"&gt;="&amp;DATE(2026,8,22),'DRAFT 2'!$A:$A,"&lt;"&amp;DATE(2026,IF(8=12,8+1,8+1),1))</f>
        <v>0</v>
      </c>
      <c r="GN39">
        <f t="shared" si="23"/>
        <v>0</v>
      </c>
      <c r="GX39">
        <f>IFERROR(LOOKUP(2,1/('DRAFT 2'!$D:$D=$B39)*('DRAFT 2'!$A:$A&gt;=DATE(2026,9,1))*('DRAFT 2'!$A:$A&lt;DATE(2026,IF(9=12,9+1,9+1),1)),'DRAFT 2'!$A:$A),"")</f>
        <v>0</v>
      </c>
      <c r="GY39">
        <f>COUNTIFS('DRAFT 2'!$D:$D,$B39,'DRAFT 2'!$A:$A,"&gt;="&amp;DATE(2026,9,1),'DRAFT 2'!$A:$A,"&lt;="&amp;DATE(2026,9,7))</f>
        <v>0</v>
      </c>
      <c r="GZ39">
        <f>COUNTIFS('DRAFT 2'!$D:$D,$B39,'DRAFT 2'!$A:$A,"&gt;="&amp;DATE(2026,9,8),'DRAFT 2'!$A:$A,"&lt;="&amp;DATE(2026,9,14))</f>
        <v>0</v>
      </c>
      <c r="HA39">
        <f>COUNTIFS('DRAFT 2'!$D:$D,$B39,'DRAFT 2'!$A:$A,"&gt;="&amp;DATE(2026,9,15),'DRAFT 2'!$A:$A,"&lt;="&amp;DATE(2026,9,21))</f>
        <v>0</v>
      </c>
      <c r="HB39">
        <f>COUNTIFS('DRAFT 2'!$D:$D,$B39,'DRAFT 2'!$A:$A,"&gt;="&amp;DATE(2026,9,22),'DRAFT 2'!$A:$A,"&lt;"&amp;DATE(2026,IF(9=12,9+1,9+1),1))</f>
        <v>0</v>
      </c>
      <c r="HC39">
        <f t="shared" si="24"/>
        <v>0</v>
      </c>
      <c r="HN39">
        <f>IFERROR(LOOKUP(2,1/('DRAFT 2'!$D:$D=$B39)*('DRAFT 2'!$A:$A&gt;=DATE(2026,10,1))*('DRAFT 2'!$A:$A&lt;DATE(2026,IF(10=12,10+1,10+1),1)),'DRAFT 2'!$A:$A),"")</f>
        <v>0</v>
      </c>
      <c r="HO39">
        <f>COUNTIFS('DRAFT 2'!$D:$D,$B39,'DRAFT 2'!$A:$A,"&gt;="&amp;DATE(2026,10,1),'DRAFT 2'!$A:$A,"&lt;="&amp;DATE(2026,10,7))</f>
        <v>0</v>
      </c>
      <c r="HP39">
        <f>COUNTIFS('DRAFT 2'!$D:$D,$B39,'DRAFT 2'!$A:$A,"&gt;="&amp;DATE(2026,10,8),'DRAFT 2'!$A:$A,"&lt;="&amp;DATE(2026,10,14))</f>
        <v>0</v>
      </c>
      <c r="HQ39">
        <f>COUNTIFS('DRAFT 2'!$D:$D,$B39,'DRAFT 2'!$A:$A,"&gt;="&amp;DATE(2026,10,15),'DRAFT 2'!$A:$A,"&lt;="&amp;DATE(2026,10,21))</f>
        <v>0</v>
      </c>
      <c r="HR39">
        <f>COUNTIFS('DRAFT 2'!$D:$D,$B39,'DRAFT 2'!$A:$A,"&gt;="&amp;DATE(2026,10,22),'DRAFT 2'!$A:$A,"&lt;"&amp;DATE(2026,IF(10=12,10+1,10+1),1))</f>
        <v>0</v>
      </c>
      <c r="HS39">
        <f t="shared" si="25"/>
        <v>0</v>
      </c>
      <c r="IC39">
        <f>IFERROR(LOOKUP(2,1/('DRAFT 2'!$D:$D=$B39)*('DRAFT 2'!$A:$A&gt;=DATE(2026,11,1))*('DRAFT 2'!$A:$A&lt;DATE(2026,IF(11=12,11+1,11+1),1)),'DRAFT 2'!$A:$A),"")</f>
        <v>0</v>
      </c>
      <c r="ID39">
        <f>COUNTIFS('DRAFT 2'!$D:$D,$B39,'DRAFT 2'!$A:$A,"&gt;="&amp;DATE(2026,11,1),'DRAFT 2'!$A:$A,"&lt;="&amp;DATE(2026,11,7))</f>
        <v>0</v>
      </c>
      <c r="IE39">
        <f>COUNTIFS('DRAFT 2'!$D:$D,$B39,'DRAFT 2'!$A:$A,"&gt;="&amp;DATE(2026,11,8),'DRAFT 2'!$A:$A,"&lt;="&amp;DATE(2026,11,14))</f>
        <v>0</v>
      </c>
      <c r="IF39">
        <f>COUNTIFS('DRAFT 2'!$D:$D,$B39,'DRAFT 2'!$A:$A,"&gt;="&amp;DATE(2026,11,15),'DRAFT 2'!$A:$A,"&lt;="&amp;DATE(2026,11,21))</f>
        <v>0</v>
      </c>
      <c r="IG39">
        <f>COUNTIFS('DRAFT 2'!$D:$D,$B39,'DRAFT 2'!$A:$A,"&gt;="&amp;DATE(2026,11,22),'DRAFT 2'!$A:$A,"&lt;"&amp;DATE(2026,IF(11=12,11+1,11+1),1))</f>
        <v>0</v>
      </c>
      <c r="IH39">
        <f t="shared" si="26"/>
        <v>0</v>
      </c>
      <c r="IR39">
        <f>IFERROR(LOOKUP(2,1/('DRAFT 2'!$D:$D=$B39)*('DRAFT 2'!$A:$A&gt;=DATE(2026,12,1))*('DRAFT 2'!$A:$A&lt;DATE(2026,IF(12=12,12+1,12+1),1)),'DRAFT 2'!$A:$A),"")</f>
        <v>0</v>
      </c>
      <c r="IS39">
        <f>COUNTIFS('DRAFT 2'!$D:$D,$B39,'DRAFT 2'!$A:$A,"&gt;="&amp;DATE(2026,12,1),'DRAFT 2'!$A:$A,"&lt;="&amp;DATE(2026,12,7))</f>
        <v>0</v>
      </c>
      <c r="IT39">
        <f>COUNTIFS('DRAFT 2'!$D:$D,$B39,'DRAFT 2'!$A:$A,"&gt;="&amp;DATE(2026,12,8),'DRAFT 2'!$A:$A,"&lt;="&amp;DATE(2026,12,14))</f>
        <v>0</v>
      </c>
      <c r="IU39">
        <f>COUNTIFS('DRAFT 2'!$D:$D,$B39,'DRAFT 2'!$A:$A,"&gt;="&amp;DATE(2026,12,15),'DRAFT 2'!$A:$A,"&lt;="&amp;DATE(2026,12,21))</f>
        <v>0</v>
      </c>
      <c r="IV39">
        <f>COUNTIFS('DRAFT 2'!$D:$D,$B39,'DRAFT 2'!$A:$A,"&gt;="&amp;DATE(2026,12,22),'DRAFT 2'!$A:$A,"&lt;"&amp;DATE(2026,IF(12=12,12+1,12+1),1))</f>
        <v>0</v>
      </c>
      <c r="IW39">
        <f t="shared" si="27"/>
        <v>0</v>
      </c>
    </row>
    <row r="40" spans="1:257" x14ac:dyDescent="0.3">
      <c r="A40" t="str">
        <f>IFERROR(INDEX('DRAFT 1'!$A:$A,MATCH($B40,'DRAFT 1'!$B:$B,0)),"")</f>
        <v/>
      </c>
      <c r="C40" t="str">
        <f>IFERROR(INDEX('DRAFT 1'!$C:$C,MATCH($B40,'DRAFT 1'!$B:$B,0)),"")</f>
        <v/>
      </c>
      <c r="D40" t="str">
        <f>IFERROR(INDEX('DRAFT 1'!$D:$D,MATCH($B40,'DRAFT 1'!$B:$B,0)),"")</f>
        <v/>
      </c>
      <c r="E40" t="str">
        <f>IFERROR(INDEX('DRAFT 1'!$E:$E,MATCH($B40,'DRAFT 1'!$B:$B,0)),"")</f>
        <v/>
      </c>
      <c r="F40" t="str">
        <f>IFERROR(INDEX('DRAFT 1'!$F:$F,MATCH($B40,'DRAFT 1'!$B:$B,0)),"")</f>
        <v/>
      </c>
      <c r="G40" t="str">
        <f>IFERROR(INDEX('DRAFT 1'!$G:$G,MATCH($B40,'DRAFT 1'!$B:$B,0)),"")</f>
        <v/>
      </c>
      <c r="H40" t="str">
        <f>IFERROR(INDEX('DRAFT 1'!$H:$H,MATCH($B40,'DRAFT 1'!$B:$B,0)),"")</f>
        <v/>
      </c>
      <c r="I40" t="s">
        <v>298</v>
      </c>
      <c r="K40" t="str">
        <f>IFERROR(INDEX('DRAFT 1'!$AL:$AL,MATCH($B40,'DRAFT 1'!$B:$B,0)),"")</f>
        <v/>
      </c>
      <c r="L40" t="str">
        <f>IFERROR(INDEX('DRAFT 1'!$J:$J,MATCH($B40,'DRAFT 1'!$B:$B,0)),"")</f>
        <v/>
      </c>
      <c r="M40" t="str">
        <f>IFERROR(INDEX('DRAFT 1'!$K:$K,MATCH($B40,'DRAFT 1'!$B:$B,0)),"")</f>
        <v/>
      </c>
      <c r="N40" t="s">
        <v>71</v>
      </c>
      <c r="P40" t="str">
        <f>IFERROR(INDEX('DRAFT 1'!$L:$L,MATCH($B40,'DRAFT 1'!$B:$B,0)),"")</f>
        <v/>
      </c>
      <c r="Q40" t="str">
        <f>IFERROR(INDEX('DRAFT 1'!$M:$M,MATCH($B40,'DRAFT 1'!$B:$B,0)),"")</f>
        <v/>
      </c>
      <c r="R40" t="str">
        <f>IFERROR(INDEX('DRAFT 1'!$N:$N,MATCH($B40,'DRAFT 1'!$B:$B,0)),"")</f>
        <v/>
      </c>
      <c r="S40" t="str">
        <f>IFERROR(INDEX('DRAFT 1'!$O:$O,MATCH($B40,'DRAFT 1'!$B:$B,0)),"")</f>
        <v/>
      </c>
      <c r="T40" t="str">
        <f>IFERROR(INDEX('DRAFT 1'!$P:$P,MATCH($B40,'DRAFT 1'!$B:$B,0)),"")</f>
        <v/>
      </c>
      <c r="U40" t="str">
        <f>IFERROR(INDEX('DRAFT 1'!$Q:$Q,MATCH($B40,'DRAFT 1'!$B:$B,0)),"")</f>
        <v/>
      </c>
      <c r="V40" t="str">
        <f>IFERROR(INDEX('DRAFT 1'!$R:$R,MATCH($B40,'DRAFT 1'!$B:$B,0)),"")</f>
        <v/>
      </c>
      <c r="W40" t="str">
        <f>IFERROR(INDEX('DRAFT 1'!$S:$S,MATCH($B40,'DRAFT 1'!$B:$B,0)),"")</f>
        <v/>
      </c>
      <c r="X40" t="str">
        <f>IFERROR(INDEX('DRAFT 1'!$T:$T,MATCH($B40,'DRAFT 1'!$B:$B,0)),"")</f>
        <v/>
      </c>
      <c r="Z40" t="str">
        <f>IFERROR(INDEX('DRAFT 1'!$U:$U,MATCH($B40,'DRAFT 1'!$B:$B,0)),"")</f>
        <v/>
      </c>
      <c r="AA40" t="str">
        <f>IFERROR(INDEX('DRAFT 1'!$V:$V,MATCH($B40,'DRAFT 1'!$B:$B,0)),"")</f>
        <v/>
      </c>
      <c r="AB40" t="str">
        <f>IFERROR(INDEX('DRAFT 1'!$W:$W,MATCH($B40,'DRAFT 1'!$B:$B,0)),"")</f>
        <v/>
      </c>
      <c r="AC40" t="str">
        <f>IFERROR(INDEX('DRAFT 1'!$X:$X,MATCH($B40,'DRAFT 1'!$B:$B,0)),"")</f>
        <v/>
      </c>
      <c r="AD40" t="str">
        <f>IFERROR(INDEX('DRAFT 1'!$Y:$Y,MATCH($B40,'DRAFT 1'!$B:$B,0)),"")</f>
        <v/>
      </c>
      <c r="AE40" t="str">
        <f>IFERROR(INDEX('DRAFT 1'!$Z:$Z,MATCH($B40,'DRAFT 1'!$B:$B,0)),"")</f>
        <v/>
      </c>
      <c r="AF40" t="str">
        <f>IFERROR(INDEX('DRAFT 1'!$AA:$AA,MATCH($B40,'DRAFT 1'!$B:$B,0)),"")</f>
        <v/>
      </c>
      <c r="AG40" t="str">
        <f>IFERROR(INDEX('DRAFT 1'!$AB:$AB,MATCH($B40,'DRAFT 1'!$B:$B,0)),"")</f>
        <v/>
      </c>
      <c r="AH40" t="str">
        <f>IFERROR(INDEX('DRAFT 1'!$AC:$AC,MATCH($B40,'DRAFT 1'!$B:$B,0)),"")</f>
        <v/>
      </c>
      <c r="AI40" t="str">
        <f>IFERROR(INDEX('DRAFT 1'!$AD:$AD,MATCH($B40,'DRAFT 1'!$B:$B,0)),"")</f>
        <v/>
      </c>
      <c r="AJ40" t="str">
        <f>IFERROR(INDEX('DRAFT 1'!$AE:$AE,MATCH($B40,'DRAFT 1'!$B:$B,0)),"")</f>
        <v/>
      </c>
      <c r="AK40" t="str">
        <f>IFERROR(INDEX('DRAFT 1'!$AG:$AG,MATCH($B40,'DRAFT 1'!$B:$B,0)),"")</f>
        <v/>
      </c>
      <c r="AL40" t="str">
        <f>IFERROR(INDEX('DRAFT 1'!$AH:$AH,MATCH($B40,'DRAFT 1'!$B:$B,0)),"")</f>
        <v/>
      </c>
      <c r="AM40" t="str">
        <f>IFERROR(INDEX('DRAFT 1'!$AI:$AI,MATCH($B40,'DRAFT 1'!$B:$B,0)),"")</f>
        <v/>
      </c>
      <c r="AN40" t="str">
        <f>IFERROR(INDEX('DRAFT 1'!$AJ:$AJ,MATCH($B40,'DRAFT 1'!$B:$B,0)),"")</f>
        <v/>
      </c>
      <c r="AO40">
        <f t="shared" si="14"/>
        <v>0</v>
      </c>
      <c r="AP40" t="str">
        <f>IFERROR(INDEX('DRAFT 1'!$AK:$AK,MATCH($B40,'DRAFT 1'!$B:$B,0)),"")</f>
        <v/>
      </c>
      <c r="AR40" t="s">
        <v>93</v>
      </c>
      <c r="AS40">
        <f>IFERROR(LOOKUP(2,1/('DRAFT 2'!$D:$D=$B40),'DRAFT 2'!$T:$T),"")</f>
        <v>0</v>
      </c>
      <c r="AT40">
        <f>IFERROR(LOOKUP(2,1/('DRAFT 2'!$D:$D=$B40),'DRAFT 2'!$A:$A),"")</f>
        <v>0</v>
      </c>
      <c r="AU40">
        <f>IFERROR(LOOKUP(2,1/('DRAFT 2'!$D:$D=$B40),'DRAFT 2'!$R:$R),"")</f>
        <v>0</v>
      </c>
      <c r="AV40">
        <f>IFERROR(LOOKUP(2,1/('DRAFT 2'!$D:$D=$B40),'DRAFT 2'!$S:$S),"")</f>
        <v>0</v>
      </c>
      <c r="AW40" t="s">
        <v>128</v>
      </c>
      <c r="AX40">
        <f>IFERROR(LOOKUP(2,1/('DRAFT 2'!$D:$D=$B40),'DRAFT 2'!$M:$M),"")</f>
        <v>0</v>
      </c>
      <c r="AY40">
        <f>IFERROR(LOOKUP(2,1/('DRAFT 2'!$D:$D=$B40),'DRAFT 2'!$K:$K),"")</f>
        <v>0</v>
      </c>
      <c r="BG40">
        <f>IFERROR(LOOKUP(2,1/('DRAFT 2'!$D:$D=$B40),'DRAFT 2'!$U:$U),"")</f>
        <v>0</v>
      </c>
      <c r="BH40">
        <f>IFERROR(LOOKUP(2,1/('DRAFT 2'!$D:$D=$B40),'DRAFT 2'!$V:$V),"")</f>
        <v>0</v>
      </c>
      <c r="CE40" t="str">
        <f t="shared" si="15"/>
        <v/>
      </c>
      <c r="CF40">
        <f>IFERROR(LOOKUP(2,1/('DRAFT 2'!$D:$D=$B40)*('DRAFT 2'!$A:$A&gt;=DATE(2026,1,1))*('DRAFT 2'!$A:$A&lt;DATE(2026,IF(1=12,1+1,1+1),1)),'DRAFT 2'!$A:$A),"")</f>
        <v>0</v>
      </c>
      <c r="CG40">
        <f>COUNTIFS('DRAFT 2'!$D:$D,$B40,'DRAFT 2'!$A:$A,"&gt;="&amp;DATE(2026,1,1),'DRAFT 2'!$A:$A,"&lt;="&amp;DATE(2026,1,7))</f>
        <v>0</v>
      </c>
      <c r="CH40">
        <f>COUNTIFS('DRAFT 2'!$D:$D,$B40,'DRAFT 2'!$A:$A,"&gt;="&amp;DATE(2026,1,8),'DRAFT 2'!$A:$A,"&lt;="&amp;DATE(2026,1,14))</f>
        <v>0</v>
      </c>
      <c r="CI40">
        <f>COUNTIFS('DRAFT 2'!$D:$D,$B40,'DRAFT 2'!$A:$A,"&gt;="&amp;DATE(2026,1,15),'DRAFT 2'!$A:$A,"&lt;="&amp;DATE(2026,1,21))</f>
        <v>0</v>
      </c>
      <c r="CJ40">
        <f>COUNTIFS('DRAFT 2'!$D:$D,$B40,'DRAFT 2'!$A:$A,"&gt;="&amp;DATE(2026,1,22),'DRAFT 2'!$A:$A,"&lt;"&amp;DATE(2026,IF(1=12,1+1,1+1),1))</f>
        <v>0</v>
      </c>
      <c r="CK40">
        <f t="shared" si="16"/>
        <v>0</v>
      </c>
      <c r="CT40">
        <v>0</v>
      </c>
      <c r="CU40">
        <f>IFERROR(LOOKUP(2,1/('DRAFT 2'!$D:$D=$B40)*('DRAFT 2'!$A:$A&gt;=DATE(2026,2,1))*('DRAFT 2'!$A:$A&lt;DATE(2026,IF(2=12,2+1,2+1),1)),'DRAFT 2'!$A:$A),"")</f>
        <v>0</v>
      </c>
      <c r="CV40">
        <f>COUNTIFS('DRAFT 2'!$D:$D,$B40,'DRAFT 2'!$A:$A,"&gt;="&amp;DATE(2026,2,1),'DRAFT 2'!$A:$A,"&lt;="&amp;DATE(2026,2,7))</f>
        <v>0</v>
      </c>
      <c r="CW40">
        <f>COUNTIFS('DRAFT 2'!$D:$D,$B40,'DRAFT 2'!$A:$A,"&gt;="&amp;DATE(2026,2,8),'DRAFT 2'!$A:$A,"&lt;="&amp;DATE(2026,2,14))</f>
        <v>0</v>
      </c>
      <c r="CX40">
        <f>COUNTIFS('DRAFT 2'!$D:$D,$B40,'DRAFT 2'!$A:$A,"&gt;="&amp;DATE(2026,2,15),'DRAFT 2'!$A:$A,"&lt;="&amp;DATE(2026,2,21))</f>
        <v>0</v>
      </c>
      <c r="CY40">
        <f>COUNTIFS('DRAFT 2'!$D:$D,$B40,'DRAFT 2'!$A:$A,"&gt;="&amp;DATE(2026,2,22),'DRAFT 2'!$A:$A,"&lt;"&amp;DATE(2026,IF(2=12,2+1,2+1),1))</f>
        <v>0</v>
      </c>
      <c r="CZ40">
        <f t="shared" si="17"/>
        <v>0</v>
      </c>
      <c r="DJ40">
        <f>IFERROR(LOOKUP(2,1/('DRAFT 2'!$D:$D=$B40)*('DRAFT 2'!$A:$A&gt;=DATE(2026,3,1))*('DRAFT 2'!$A:$A&lt;DATE(2026,IF(3=12,3+1,3+1),1)),'DRAFT 2'!$A:$A),"")</f>
        <v>0</v>
      </c>
      <c r="DK40">
        <f>COUNTIFS('DRAFT 2'!$D:$D,$B40,'DRAFT 2'!$A:$A,"&gt;="&amp;DATE(2026,3,1),'DRAFT 2'!$A:$A,"&lt;="&amp;DATE(2026,3,7))</f>
        <v>0</v>
      </c>
      <c r="DL40">
        <f>COUNTIFS('DRAFT 2'!$D:$D,$B40,'DRAFT 2'!$A:$A,"&gt;="&amp;DATE(2026,3,8),'DRAFT 2'!$A:$A,"&lt;="&amp;DATE(2026,3,14))</f>
        <v>0</v>
      </c>
      <c r="DM40">
        <f>COUNTIFS('DRAFT 2'!$D:$D,$B40,'DRAFT 2'!$A:$A,"&gt;="&amp;DATE(2026,3,15),'DRAFT 2'!$A:$A,"&lt;="&amp;DATE(2026,3,21))</f>
        <v>0</v>
      </c>
      <c r="DN40">
        <f>COUNTIFS('DRAFT 2'!$D:$D,$B40,'DRAFT 2'!$A:$A,"&gt;="&amp;DATE(2026,3,22),'DRAFT 2'!$A:$A,"&lt;"&amp;DATE(2026,IF(3=12,3+1,3+1),1))</f>
        <v>0</v>
      </c>
      <c r="DO40">
        <f t="shared" si="18"/>
        <v>0</v>
      </c>
      <c r="DZ40">
        <f>IFERROR(LOOKUP(2,1/('DRAFT 2'!$D:$D=$B40)*('DRAFT 2'!$A:$A&gt;=DATE(2026,4,1))*('DRAFT 2'!$A:$A&lt;DATE(2026,IF(4=12,4+1,4+1),1)),'DRAFT 2'!$A:$A),"")</f>
        <v>0</v>
      </c>
      <c r="EA40">
        <f>COUNTIFS('DRAFT 2'!$D:$D,$B40,'DRAFT 2'!$A:$A,"&gt;="&amp;DATE(2026,4,1),'DRAFT 2'!$A:$A,"&lt;="&amp;DATE(2026,4,7))</f>
        <v>0</v>
      </c>
      <c r="EB40">
        <f>COUNTIFS('DRAFT 2'!$D:$D,$B40,'DRAFT 2'!$A:$A,"&gt;="&amp;DATE(2026,4,8),'DRAFT 2'!$A:$A,"&lt;="&amp;DATE(2026,4,14))</f>
        <v>0</v>
      </c>
      <c r="EC40">
        <f>COUNTIFS('DRAFT 2'!$D:$D,$B40,'DRAFT 2'!$A:$A,"&gt;="&amp;DATE(2026,4,15),'DRAFT 2'!$A:$A,"&lt;="&amp;DATE(2026,4,21))</f>
        <v>0</v>
      </c>
      <c r="ED40">
        <f>COUNTIFS('DRAFT 2'!$D:$D,$B40,'DRAFT 2'!$A:$A,"&gt;="&amp;DATE(2026,4,22),'DRAFT 2'!$A:$A,"&lt;"&amp;DATE(2026,IF(4=12,4+1,4+1),1))</f>
        <v>0</v>
      </c>
      <c r="EE40">
        <f t="shared" si="19"/>
        <v>0</v>
      </c>
      <c r="EO40">
        <f>IFERROR(LOOKUP(2,1/('DRAFT 2'!$D:$D=$B40)*('DRAFT 2'!$A:$A&gt;=DATE(2026,5,1))*('DRAFT 2'!$A:$A&lt;DATE(2026,IF(5=12,5+1,5+1),1)),'DRAFT 2'!$A:$A),"")</f>
        <v>0</v>
      </c>
      <c r="EP40">
        <f>COUNTIFS('DRAFT 2'!$D:$D,$B40,'DRAFT 2'!$A:$A,"&gt;="&amp;DATE(2026,5,1),'DRAFT 2'!$A:$A,"&lt;="&amp;DATE(2026,5,7))</f>
        <v>0</v>
      </c>
      <c r="EQ40">
        <f>COUNTIFS('DRAFT 2'!$D:$D,$B40,'DRAFT 2'!$A:$A,"&gt;="&amp;DATE(2026,5,8),'DRAFT 2'!$A:$A,"&lt;="&amp;DATE(2026,5,14))</f>
        <v>0</v>
      </c>
      <c r="ER40">
        <f>COUNTIFS('DRAFT 2'!$D:$D,$B40,'DRAFT 2'!$A:$A,"&gt;="&amp;DATE(2026,5,15),'DRAFT 2'!$A:$A,"&lt;="&amp;DATE(2026,5,21))</f>
        <v>0</v>
      </c>
      <c r="ES40">
        <f>COUNTIFS('DRAFT 2'!$D:$D,$B40,'DRAFT 2'!$A:$A,"&gt;="&amp;DATE(2026,5,22),'DRAFT 2'!$A:$A,"&lt;"&amp;DATE(2026,IF(5=12,5+1,5+1),1))</f>
        <v>0</v>
      </c>
      <c r="ET40">
        <f t="shared" si="20"/>
        <v>0</v>
      </c>
      <c r="FD40">
        <f>IFERROR(LOOKUP(2,1/('DRAFT 2'!$D:$D=$B40)*('DRAFT 2'!$A:$A&gt;=DATE(2026,6,1))*('DRAFT 2'!$A:$A&lt;DATE(2026,IF(6=12,6+1,6+1),1)),'DRAFT 2'!$A:$A),"")</f>
        <v>0</v>
      </c>
      <c r="FE40">
        <f>COUNTIFS('DRAFT 2'!$D:$D,$B40,'DRAFT 2'!$A:$A,"&gt;="&amp;DATE(2026,6,1),'DRAFT 2'!$A:$A,"&lt;="&amp;DATE(2026,6,7))</f>
        <v>0</v>
      </c>
      <c r="FF40">
        <f>COUNTIFS('DRAFT 2'!$D:$D,$B40,'DRAFT 2'!$A:$A,"&gt;="&amp;DATE(2026,6,8),'DRAFT 2'!$A:$A,"&lt;="&amp;DATE(2026,6,14))</f>
        <v>0</v>
      </c>
      <c r="FG40">
        <f>COUNTIFS('DRAFT 2'!$D:$D,$B40,'DRAFT 2'!$A:$A,"&gt;="&amp;DATE(2026,6,15),'DRAFT 2'!$A:$A,"&lt;="&amp;DATE(2026,6,21))</f>
        <v>0</v>
      </c>
      <c r="FH40">
        <f>COUNTIFS('DRAFT 2'!$D:$D,$B40,'DRAFT 2'!$A:$A,"&gt;="&amp;DATE(2026,6,22),'DRAFT 2'!$A:$A,"&lt;"&amp;DATE(2026,IF(6=12,6+1,6+1),1))</f>
        <v>0</v>
      </c>
      <c r="FI40">
        <f t="shared" si="21"/>
        <v>0</v>
      </c>
      <c r="FT40">
        <f>IFERROR(LOOKUP(2,1/('DRAFT 2'!$D:$D=$B40)*('DRAFT 2'!$A:$A&gt;=DATE(2026,7,1))*('DRAFT 2'!$A:$A&lt;DATE(2026,IF(7=12,7+1,7+1),1)),'DRAFT 2'!$A:$A),"")</f>
        <v>0</v>
      </c>
      <c r="FU40">
        <f>COUNTIFS('DRAFT 2'!$D:$D,$B40,'DRAFT 2'!$A:$A,"&gt;="&amp;DATE(2026,7,1),'DRAFT 2'!$A:$A,"&lt;="&amp;DATE(2026,7,7))</f>
        <v>0</v>
      </c>
      <c r="FV40">
        <f>COUNTIFS('DRAFT 2'!$D:$D,$B40,'DRAFT 2'!$A:$A,"&gt;="&amp;DATE(2026,7,8),'DRAFT 2'!$A:$A,"&lt;="&amp;DATE(2026,7,14))</f>
        <v>0</v>
      </c>
      <c r="FW40">
        <f>COUNTIFS('DRAFT 2'!$D:$D,$B40,'DRAFT 2'!$A:$A,"&gt;="&amp;DATE(2026,7,15),'DRAFT 2'!$A:$A,"&lt;="&amp;DATE(2026,7,21))</f>
        <v>0</v>
      </c>
      <c r="FX40">
        <f>COUNTIFS('DRAFT 2'!$D:$D,$B40,'DRAFT 2'!$A:$A,"&gt;="&amp;DATE(2026,7,22),'DRAFT 2'!$A:$A,"&lt;"&amp;DATE(2026,IF(7=12,7+1,7+1),1))</f>
        <v>0</v>
      </c>
      <c r="FY40">
        <f t="shared" si="22"/>
        <v>0</v>
      </c>
      <c r="GI40">
        <f>IFERROR(LOOKUP(2,1/('DRAFT 2'!$D:$D=$B40)*('DRAFT 2'!$A:$A&gt;=DATE(2026,8,1))*('DRAFT 2'!$A:$A&lt;DATE(2026,IF(8=12,8+1,8+1),1)),'DRAFT 2'!$A:$A),"")</f>
        <v>0</v>
      </c>
      <c r="GJ40">
        <f>COUNTIFS('DRAFT 2'!$D:$D,$B40,'DRAFT 2'!$A:$A,"&gt;="&amp;DATE(2026,8,1),'DRAFT 2'!$A:$A,"&lt;="&amp;DATE(2026,8,7))</f>
        <v>0</v>
      </c>
      <c r="GK40">
        <f>COUNTIFS('DRAFT 2'!$D:$D,$B40,'DRAFT 2'!$A:$A,"&gt;="&amp;DATE(2026,8,8),'DRAFT 2'!$A:$A,"&lt;="&amp;DATE(2026,8,14))</f>
        <v>0</v>
      </c>
      <c r="GL40">
        <f>COUNTIFS('DRAFT 2'!$D:$D,$B40,'DRAFT 2'!$A:$A,"&gt;="&amp;DATE(2026,8,15),'DRAFT 2'!$A:$A,"&lt;="&amp;DATE(2026,8,21))</f>
        <v>0</v>
      </c>
      <c r="GM40">
        <f>COUNTIFS('DRAFT 2'!$D:$D,$B40,'DRAFT 2'!$A:$A,"&gt;="&amp;DATE(2026,8,22),'DRAFT 2'!$A:$A,"&lt;"&amp;DATE(2026,IF(8=12,8+1,8+1),1))</f>
        <v>0</v>
      </c>
      <c r="GN40">
        <f t="shared" si="23"/>
        <v>0</v>
      </c>
      <c r="GX40">
        <f>IFERROR(LOOKUP(2,1/('DRAFT 2'!$D:$D=$B40)*('DRAFT 2'!$A:$A&gt;=DATE(2026,9,1))*('DRAFT 2'!$A:$A&lt;DATE(2026,IF(9=12,9+1,9+1),1)),'DRAFT 2'!$A:$A),"")</f>
        <v>0</v>
      </c>
      <c r="GY40">
        <f>COUNTIFS('DRAFT 2'!$D:$D,$B40,'DRAFT 2'!$A:$A,"&gt;="&amp;DATE(2026,9,1),'DRAFT 2'!$A:$A,"&lt;="&amp;DATE(2026,9,7))</f>
        <v>0</v>
      </c>
      <c r="GZ40">
        <f>COUNTIFS('DRAFT 2'!$D:$D,$B40,'DRAFT 2'!$A:$A,"&gt;="&amp;DATE(2026,9,8),'DRAFT 2'!$A:$A,"&lt;="&amp;DATE(2026,9,14))</f>
        <v>0</v>
      </c>
      <c r="HA40">
        <f>COUNTIFS('DRAFT 2'!$D:$D,$B40,'DRAFT 2'!$A:$A,"&gt;="&amp;DATE(2026,9,15),'DRAFT 2'!$A:$A,"&lt;="&amp;DATE(2026,9,21))</f>
        <v>0</v>
      </c>
      <c r="HB40">
        <f>COUNTIFS('DRAFT 2'!$D:$D,$B40,'DRAFT 2'!$A:$A,"&gt;="&amp;DATE(2026,9,22),'DRAFT 2'!$A:$A,"&lt;"&amp;DATE(2026,IF(9=12,9+1,9+1),1))</f>
        <v>0</v>
      </c>
      <c r="HC40">
        <f t="shared" si="24"/>
        <v>0</v>
      </c>
      <c r="HN40">
        <f>IFERROR(LOOKUP(2,1/('DRAFT 2'!$D:$D=$B40)*('DRAFT 2'!$A:$A&gt;=DATE(2026,10,1))*('DRAFT 2'!$A:$A&lt;DATE(2026,IF(10=12,10+1,10+1),1)),'DRAFT 2'!$A:$A),"")</f>
        <v>0</v>
      </c>
      <c r="HO40">
        <f>COUNTIFS('DRAFT 2'!$D:$D,$B40,'DRAFT 2'!$A:$A,"&gt;="&amp;DATE(2026,10,1),'DRAFT 2'!$A:$A,"&lt;="&amp;DATE(2026,10,7))</f>
        <v>0</v>
      </c>
      <c r="HP40">
        <f>COUNTIFS('DRAFT 2'!$D:$D,$B40,'DRAFT 2'!$A:$A,"&gt;="&amp;DATE(2026,10,8),'DRAFT 2'!$A:$A,"&lt;="&amp;DATE(2026,10,14))</f>
        <v>0</v>
      </c>
      <c r="HQ40">
        <f>COUNTIFS('DRAFT 2'!$D:$D,$B40,'DRAFT 2'!$A:$A,"&gt;="&amp;DATE(2026,10,15),'DRAFT 2'!$A:$A,"&lt;="&amp;DATE(2026,10,21))</f>
        <v>0</v>
      </c>
      <c r="HR40">
        <f>COUNTIFS('DRAFT 2'!$D:$D,$B40,'DRAFT 2'!$A:$A,"&gt;="&amp;DATE(2026,10,22),'DRAFT 2'!$A:$A,"&lt;"&amp;DATE(2026,IF(10=12,10+1,10+1),1))</f>
        <v>0</v>
      </c>
      <c r="HS40">
        <f t="shared" si="25"/>
        <v>0</v>
      </c>
      <c r="IC40">
        <f>IFERROR(LOOKUP(2,1/('DRAFT 2'!$D:$D=$B40)*('DRAFT 2'!$A:$A&gt;=DATE(2026,11,1))*('DRAFT 2'!$A:$A&lt;DATE(2026,IF(11=12,11+1,11+1),1)),'DRAFT 2'!$A:$A),"")</f>
        <v>0</v>
      </c>
      <c r="ID40">
        <f>COUNTIFS('DRAFT 2'!$D:$D,$B40,'DRAFT 2'!$A:$A,"&gt;="&amp;DATE(2026,11,1),'DRAFT 2'!$A:$A,"&lt;="&amp;DATE(2026,11,7))</f>
        <v>0</v>
      </c>
      <c r="IE40">
        <f>COUNTIFS('DRAFT 2'!$D:$D,$B40,'DRAFT 2'!$A:$A,"&gt;="&amp;DATE(2026,11,8),'DRAFT 2'!$A:$A,"&lt;="&amp;DATE(2026,11,14))</f>
        <v>0</v>
      </c>
      <c r="IF40">
        <f>COUNTIFS('DRAFT 2'!$D:$D,$B40,'DRAFT 2'!$A:$A,"&gt;="&amp;DATE(2026,11,15),'DRAFT 2'!$A:$A,"&lt;="&amp;DATE(2026,11,21))</f>
        <v>0</v>
      </c>
      <c r="IG40">
        <f>COUNTIFS('DRAFT 2'!$D:$D,$B40,'DRAFT 2'!$A:$A,"&gt;="&amp;DATE(2026,11,22),'DRAFT 2'!$A:$A,"&lt;"&amp;DATE(2026,IF(11=12,11+1,11+1),1))</f>
        <v>0</v>
      </c>
      <c r="IH40">
        <f t="shared" si="26"/>
        <v>0</v>
      </c>
      <c r="IR40">
        <f>IFERROR(LOOKUP(2,1/('DRAFT 2'!$D:$D=$B40)*('DRAFT 2'!$A:$A&gt;=DATE(2026,12,1))*('DRAFT 2'!$A:$A&lt;DATE(2026,IF(12=12,12+1,12+1),1)),'DRAFT 2'!$A:$A),"")</f>
        <v>0</v>
      </c>
      <c r="IS40">
        <f>COUNTIFS('DRAFT 2'!$D:$D,$B40,'DRAFT 2'!$A:$A,"&gt;="&amp;DATE(2026,12,1),'DRAFT 2'!$A:$A,"&lt;="&amp;DATE(2026,12,7))</f>
        <v>0</v>
      </c>
      <c r="IT40">
        <f>COUNTIFS('DRAFT 2'!$D:$D,$B40,'DRAFT 2'!$A:$A,"&gt;="&amp;DATE(2026,12,8),'DRAFT 2'!$A:$A,"&lt;="&amp;DATE(2026,12,14))</f>
        <v>0</v>
      </c>
      <c r="IU40">
        <f>COUNTIFS('DRAFT 2'!$D:$D,$B40,'DRAFT 2'!$A:$A,"&gt;="&amp;DATE(2026,12,15),'DRAFT 2'!$A:$A,"&lt;="&amp;DATE(2026,12,21))</f>
        <v>0</v>
      </c>
      <c r="IV40">
        <f>COUNTIFS('DRAFT 2'!$D:$D,$B40,'DRAFT 2'!$A:$A,"&gt;="&amp;DATE(2026,12,22),'DRAFT 2'!$A:$A,"&lt;"&amp;DATE(2026,IF(12=12,12+1,12+1),1))</f>
        <v>0</v>
      </c>
      <c r="IW40">
        <f t="shared" si="27"/>
        <v>0</v>
      </c>
    </row>
    <row r="41" spans="1:257" x14ac:dyDescent="0.3">
      <c r="A41" t="str">
        <f>IFERROR(INDEX('DRAFT 1'!$A:$A,MATCH($B41,'DRAFT 1'!$B:$B,0)),"")</f>
        <v/>
      </c>
      <c r="C41" t="str">
        <f>IFERROR(INDEX('DRAFT 1'!$C:$C,MATCH($B41,'DRAFT 1'!$B:$B,0)),"")</f>
        <v/>
      </c>
      <c r="D41" t="str">
        <f>IFERROR(INDEX('DRAFT 1'!$D:$D,MATCH($B41,'DRAFT 1'!$B:$B,0)),"")</f>
        <v/>
      </c>
      <c r="E41" t="str">
        <f>IFERROR(INDEX('DRAFT 1'!$E:$E,MATCH($B41,'DRAFT 1'!$B:$B,0)),"")</f>
        <v/>
      </c>
      <c r="F41" t="str">
        <f>IFERROR(INDEX('DRAFT 1'!$F:$F,MATCH($B41,'DRAFT 1'!$B:$B,0)),"")</f>
        <v/>
      </c>
      <c r="G41" t="str">
        <f>IFERROR(INDEX('DRAFT 1'!$G:$G,MATCH($B41,'DRAFT 1'!$B:$B,0)),"")</f>
        <v/>
      </c>
      <c r="H41" t="str">
        <f>IFERROR(INDEX('DRAFT 1'!$H:$H,MATCH($B41,'DRAFT 1'!$B:$B,0)),"")</f>
        <v/>
      </c>
      <c r="I41" t="s">
        <v>286</v>
      </c>
      <c r="K41" t="str">
        <f>IFERROR(INDEX('DRAFT 1'!$AL:$AL,MATCH($B41,'DRAFT 1'!$B:$B,0)),"")</f>
        <v/>
      </c>
      <c r="L41" t="str">
        <f>IFERROR(INDEX('DRAFT 1'!$J:$J,MATCH($B41,'DRAFT 1'!$B:$B,0)),"")</f>
        <v/>
      </c>
      <c r="M41" t="str">
        <f>IFERROR(INDEX('DRAFT 1'!$K:$K,MATCH($B41,'DRAFT 1'!$B:$B,0)),"")</f>
        <v/>
      </c>
      <c r="N41" t="s">
        <v>85</v>
      </c>
      <c r="P41" t="str">
        <f>IFERROR(INDEX('DRAFT 1'!$L:$L,MATCH($B41,'DRAFT 1'!$B:$B,0)),"")</f>
        <v/>
      </c>
      <c r="Q41" t="str">
        <f>IFERROR(INDEX('DRAFT 1'!$M:$M,MATCH($B41,'DRAFT 1'!$B:$B,0)),"")</f>
        <v/>
      </c>
      <c r="R41" t="str">
        <f>IFERROR(INDEX('DRAFT 1'!$N:$N,MATCH($B41,'DRAFT 1'!$B:$B,0)),"")</f>
        <v/>
      </c>
      <c r="S41" t="str">
        <f>IFERROR(INDEX('DRAFT 1'!$O:$O,MATCH($B41,'DRAFT 1'!$B:$B,0)),"")</f>
        <v/>
      </c>
      <c r="T41" t="str">
        <f>IFERROR(INDEX('DRAFT 1'!$P:$P,MATCH($B41,'DRAFT 1'!$B:$B,0)),"")</f>
        <v/>
      </c>
      <c r="U41" t="str">
        <f>IFERROR(INDEX('DRAFT 1'!$Q:$Q,MATCH($B41,'DRAFT 1'!$B:$B,0)),"")</f>
        <v/>
      </c>
      <c r="V41" t="str">
        <f>IFERROR(INDEX('DRAFT 1'!$R:$R,MATCH($B41,'DRAFT 1'!$B:$B,0)),"")</f>
        <v/>
      </c>
      <c r="W41" t="str">
        <f>IFERROR(INDEX('DRAFT 1'!$S:$S,MATCH($B41,'DRAFT 1'!$B:$B,0)),"")</f>
        <v/>
      </c>
      <c r="X41" t="str">
        <f>IFERROR(INDEX('DRAFT 1'!$T:$T,MATCH($B41,'DRAFT 1'!$B:$B,0)),"")</f>
        <v/>
      </c>
      <c r="Z41" t="str">
        <f>IFERROR(INDEX('DRAFT 1'!$U:$U,MATCH($B41,'DRAFT 1'!$B:$B,0)),"")</f>
        <v/>
      </c>
      <c r="AA41" t="str">
        <f>IFERROR(INDEX('DRAFT 1'!$V:$V,MATCH($B41,'DRAFT 1'!$B:$B,0)),"")</f>
        <v/>
      </c>
      <c r="AB41" t="str">
        <f>IFERROR(INDEX('DRAFT 1'!$W:$W,MATCH($B41,'DRAFT 1'!$B:$B,0)),"")</f>
        <v/>
      </c>
      <c r="AC41" t="str">
        <f>IFERROR(INDEX('DRAFT 1'!$X:$X,MATCH($B41,'DRAFT 1'!$B:$B,0)),"")</f>
        <v/>
      </c>
      <c r="AD41" t="str">
        <f>IFERROR(INDEX('DRAFT 1'!$Y:$Y,MATCH($B41,'DRAFT 1'!$B:$B,0)),"")</f>
        <v/>
      </c>
      <c r="AE41" t="str">
        <f>IFERROR(INDEX('DRAFT 1'!$Z:$Z,MATCH($B41,'DRAFT 1'!$B:$B,0)),"")</f>
        <v/>
      </c>
      <c r="AF41" t="str">
        <f>IFERROR(INDEX('DRAFT 1'!$AA:$AA,MATCH($B41,'DRAFT 1'!$B:$B,0)),"")</f>
        <v/>
      </c>
      <c r="AG41" t="str">
        <f>IFERROR(INDEX('DRAFT 1'!$AB:$AB,MATCH($B41,'DRAFT 1'!$B:$B,0)),"")</f>
        <v/>
      </c>
      <c r="AH41" t="str">
        <f>IFERROR(INDEX('DRAFT 1'!$AC:$AC,MATCH($B41,'DRAFT 1'!$B:$B,0)),"")</f>
        <v/>
      </c>
      <c r="AI41" t="str">
        <f>IFERROR(INDEX('DRAFT 1'!$AD:$AD,MATCH($B41,'DRAFT 1'!$B:$B,0)),"")</f>
        <v/>
      </c>
      <c r="AJ41" t="str">
        <f>IFERROR(INDEX('DRAFT 1'!$AE:$AE,MATCH($B41,'DRAFT 1'!$B:$B,0)),"")</f>
        <v/>
      </c>
      <c r="AK41" t="str">
        <f>IFERROR(INDEX('DRAFT 1'!$AG:$AG,MATCH($B41,'DRAFT 1'!$B:$B,0)),"")</f>
        <v/>
      </c>
      <c r="AL41" t="str">
        <f>IFERROR(INDEX('DRAFT 1'!$AH:$AH,MATCH($B41,'DRAFT 1'!$B:$B,0)),"")</f>
        <v/>
      </c>
      <c r="AM41" t="str">
        <f>IFERROR(INDEX('DRAFT 1'!$AI:$AI,MATCH($B41,'DRAFT 1'!$B:$B,0)),"")</f>
        <v/>
      </c>
      <c r="AN41" t="str">
        <f>IFERROR(INDEX('DRAFT 1'!$AJ:$AJ,MATCH($B41,'DRAFT 1'!$B:$B,0)),"")</f>
        <v/>
      </c>
      <c r="AO41">
        <f t="shared" si="14"/>
        <v>0</v>
      </c>
      <c r="AP41" t="str">
        <f>IFERROR(INDEX('DRAFT 1'!$AK:$AK,MATCH($B41,'DRAFT 1'!$B:$B,0)),"")</f>
        <v/>
      </c>
      <c r="AR41" t="s">
        <v>33</v>
      </c>
      <c r="AS41">
        <f>IFERROR(LOOKUP(2,1/('DRAFT 2'!$D:$D=$B41),'DRAFT 2'!$T:$T),"")</f>
        <v>0</v>
      </c>
      <c r="AT41">
        <f>IFERROR(LOOKUP(2,1/('DRAFT 2'!$D:$D=$B41),'DRAFT 2'!$A:$A),"")</f>
        <v>0</v>
      </c>
      <c r="AU41">
        <f>IFERROR(LOOKUP(2,1/('DRAFT 2'!$D:$D=$B41),'DRAFT 2'!$R:$R),"")</f>
        <v>0</v>
      </c>
      <c r="AV41">
        <f>IFERROR(LOOKUP(2,1/('DRAFT 2'!$D:$D=$B41),'DRAFT 2'!$S:$S),"")</f>
        <v>0</v>
      </c>
      <c r="AW41" t="s">
        <v>130</v>
      </c>
      <c r="AX41">
        <f>IFERROR(LOOKUP(2,1/('DRAFT 2'!$D:$D=$B41),'DRAFT 2'!$M:$M),"")</f>
        <v>0</v>
      </c>
      <c r="AY41">
        <f>IFERROR(LOOKUP(2,1/('DRAFT 2'!$D:$D=$B41),'DRAFT 2'!$K:$K),"")</f>
        <v>0</v>
      </c>
      <c r="BG41">
        <f>IFERROR(LOOKUP(2,1/('DRAFT 2'!$D:$D=$B41),'DRAFT 2'!$U:$U),"")</f>
        <v>0</v>
      </c>
      <c r="BH41">
        <f>IFERROR(LOOKUP(2,1/('DRAFT 2'!$D:$D=$B41),'DRAFT 2'!$V:$V),"")</f>
        <v>0</v>
      </c>
      <c r="CE41" t="str">
        <f t="shared" si="15"/>
        <v/>
      </c>
      <c r="CF41">
        <f>IFERROR(LOOKUP(2,1/('DRAFT 2'!$D:$D=$B41)*('DRAFT 2'!$A:$A&gt;=DATE(2026,1,1))*('DRAFT 2'!$A:$A&lt;DATE(2026,IF(1=12,1+1,1+1),1)),'DRAFT 2'!$A:$A),"")</f>
        <v>0</v>
      </c>
      <c r="CG41">
        <f>COUNTIFS('DRAFT 2'!$D:$D,$B41,'DRAFT 2'!$A:$A,"&gt;="&amp;DATE(2026,1,1),'DRAFT 2'!$A:$A,"&lt;="&amp;DATE(2026,1,7))</f>
        <v>0</v>
      </c>
      <c r="CH41">
        <f>COUNTIFS('DRAFT 2'!$D:$D,$B41,'DRAFT 2'!$A:$A,"&gt;="&amp;DATE(2026,1,8),'DRAFT 2'!$A:$A,"&lt;="&amp;DATE(2026,1,14))</f>
        <v>0</v>
      </c>
      <c r="CI41">
        <f>COUNTIFS('DRAFT 2'!$D:$D,$B41,'DRAFT 2'!$A:$A,"&gt;="&amp;DATE(2026,1,15),'DRAFT 2'!$A:$A,"&lt;="&amp;DATE(2026,1,21))</f>
        <v>0</v>
      </c>
      <c r="CJ41">
        <f>COUNTIFS('DRAFT 2'!$D:$D,$B41,'DRAFT 2'!$A:$A,"&gt;="&amp;DATE(2026,1,22),'DRAFT 2'!$A:$A,"&lt;"&amp;DATE(2026,IF(1=12,1+1,1+1),1))</f>
        <v>0</v>
      </c>
      <c r="CK41">
        <f t="shared" si="16"/>
        <v>0</v>
      </c>
      <c r="CT41">
        <v>0</v>
      </c>
      <c r="CU41">
        <f>IFERROR(LOOKUP(2,1/('DRAFT 2'!$D:$D=$B41)*('DRAFT 2'!$A:$A&gt;=DATE(2026,2,1))*('DRAFT 2'!$A:$A&lt;DATE(2026,IF(2=12,2+1,2+1),1)),'DRAFT 2'!$A:$A),"")</f>
        <v>0</v>
      </c>
      <c r="CV41">
        <f>COUNTIFS('DRAFT 2'!$D:$D,$B41,'DRAFT 2'!$A:$A,"&gt;="&amp;DATE(2026,2,1),'DRAFT 2'!$A:$A,"&lt;="&amp;DATE(2026,2,7))</f>
        <v>0</v>
      </c>
      <c r="CW41">
        <f>COUNTIFS('DRAFT 2'!$D:$D,$B41,'DRAFT 2'!$A:$A,"&gt;="&amp;DATE(2026,2,8),'DRAFT 2'!$A:$A,"&lt;="&amp;DATE(2026,2,14))</f>
        <v>0</v>
      </c>
      <c r="CX41">
        <f>COUNTIFS('DRAFT 2'!$D:$D,$B41,'DRAFT 2'!$A:$A,"&gt;="&amp;DATE(2026,2,15),'DRAFT 2'!$A:$A,"&lt;="&amp;DATE(2026,2,21))</f>
        <v>0</v>
      </c>
      <c r="CY41">
        <f>COUNTIFS('DRAFT 2'!$D:$D,$B41,'DRAFT 2'!$A:$A,"&gt;="&amp;DATE(2026,2,22),'DRAFT 2'!$A:$A,"&lt;"&amp;DATE(2026,IF(2=12,2+1,2+1),1))</f>
        <v>0</v>
      </c>
      <c r="CZ41">
        <f t="shared" si="17"/>
        <v>0</v>
      </c>
      <c r="DJ41">
        <f>IFERROR(LOOKUP(2,1/('DRAFT 2'!$D:$D=$B41)*('DRAFT 2'!$A:$A&gt;=DATE(2026,3,1))*('DRAFT 2'!$A:$A&lt;DATE(2026,IF(3=12,3+1,3+1),1)),'DRAFT 2'!$A:$A),"")</f>
        <v>0</v>
      </c>
      <c r="DK41">
        <f>COUNTIFS('DRAFT 2'!$D:$D,$B41,'DRAFT 2'!$A:$A,"&gt;="&amp;DATE(2026,3,1),'DRAFT 2'!$A:$A,"&lt;="&amp;DATE(2026,3,7))</f>
        <v>0</v>
      </c>
      <c r="DL41">
        <f>COUNTIFS('DRAFT 2'!$D:$D,$B41,'DRAFT 2'!$A:$A,"&gt;="&amp;DATE(2026,3,8),'DRAFT 2'!$A:$A,"&lt;="&amp;DATE(2026,3,14))</f>
        <v>0</v>
      </c>
      <c r="DM41">
        <f>COUNTIFS('DRAFT 2'!$D:$D,$B41,'DRAFT 2'!$A:$A,"&gt;="&amp;DATE(2026,3,15),'DRAFT 2'!$A:$A,"&lt;="&amp;DATE(2026,3,21))</f>
        <v>0</v>
      </c>
      <c r="DN41">
        <f>COUNTIFS('DRAFT 2'!$D:$D,$B41,'DRAFT 2'!$A:$A,"&gt;="&amp;DATE(2026,3,22),'DRAFT 2'!$A:$A,"&lt;"&amp;DATE(2026,IF(3=12,3+1,3+1),1))</f>
        <v>0</v>
      </c>
      <c r="DO41">
        <f t="shared" si="18"/>
        <v>0</v>
      </c>
      <c r="DZ41">
        <f>IFERROR(LOOKUP(2,1/('DRAFT 2'!$D:$D=$B41)*('DRAFT 2'!$A:$A&gt;=DATE(2026,4,1))*('DRAFT 2'!$A:$A&lt;DATE(2026,IF(4=12,4+1,4+1),1)),'DRAFT 2'!$A:$A),"")</f>
        <v>0</v>
      </c>
      <c r="EA41">
        <f>COUNTIFS('DRAFT 2'!$D:$D,$B41,'DRAFT 2'!$A:$A,"&gt;="&amp;DATE(2026,4,1),'DRAFT 2'!$A:$A,"&lt;="&amp;DATE(2026,4,7))</f>
        <v>0</v>
      </c>
      <c r="EB41">
        <f>COUNTIFS('DRAFT 2'!$D:$D,$B41,'DRAFT 2'!$A:$A,"&gt;="&amp;DATE(2026,4,8),'DRAFT 2'!$A:$A,"&lt;="&amp;DATE(2026,4,14))</f>
        <v>0</v>
      </c>
      <c r="EC41">
        <f>COUNTIFS('DRAFT 2'!$D:$D,$B41,'DRAFT 2'!$A:$A,"&gt;="&amp;DATE(2026,4,15),'DRAFT 2'!$A:$A,"&lt;="&amp;DATE(2026,4,21))</f>
        <v>0</v>
      </c>
      <c r="ED41">
        <f>COUNTIFS('DRAFT 2'!$D:$D,$B41,'DRAFT 2'!$A:$A,"&gt;="&amp;DATE(2026,4,22),'DRAFT 2'!$A:$A,"&lt;"&amp;DATE(2026,IF(4=12,4+1,4+1),1))</f>
        <v>0</v>
      </c>
      <c r="EE41">
        <f t="shared" si="19"/>
        <v>0</v>
      </c>
      <c r="EO41">
        <f>IFERROR(LOOKUP(2,1/('DRAFT 2'!$D:$D=$B41)*('DRAFT 2'!$A:$A&gt;=DATE(2026,5,1))*('DRAFT 2'!$A:$A&lt;DATE(2026,IF(5=12,5+1,5+1),1)),'DRAFT 2'!$A:$A),"")</f>
        <v>0</v>
      </c>
      <c r="EP41">
        <f>COUNTIFS('DRAFT 2'!$D:$D,$B41,'DRAFT 2'!$A:$A,"&gt;="&amp;DATE(2026,5,1),'DRAFT 2'!$A:$A,"&lt;="&amp;DATE(2026,5,7))</f>
        <v>0</v>
      </c>
      <c r="EQ41">
        <f>COUNTIFS('DRAFT 2'!$D:$D,$B41,'DRAFT 2'!$A:$A,"&gt;="&amp;DATE(2026,5,8),'DRAFT 2'!$A:$A,"&lt;="&amp;DATE(2026,5,14))</f>
        <v>0</v>
      </c>
      <c r="ER41">
        <f>COUNTIFS('DRAFT 2'!$D:$D,$B41,'DRAFT 2'!$A:$A,"&gt;="&amp;DATE(2026,5,15),'DRAFT 2'!$A:$A,"&lt;="&amp;DATE(2026,5,21))</f>
        <v>0</v>
      </c>
      <c r="ES41">
        <f>COUNTIFS('DRAFT 2'!$D:$D,$B41,'DRAFT 2'!$A:$A,"&gt;="&amp;DATE(2026,5,22),'DRAFT 2'!$A:$A,"&lt;"&amp;DATE(2026,IF(5=12,5+1,5+1),1))</f>
        <v>0</v>
      </c>
      <c r="ET41">
        <f t="shared" si="20"/>
        <v>0</v>
      </c>
      <c r="FD41">
        <f>IFERROR(LOOKUP(2,1/('DRAFT 2'!$D:$D=$B41)*('DRAFT 2'!$A:$A&gt;=DATE(2026,6,1))*('DRAFT 2'!$A:$A&lt;DATE(2026,IF(6=12,6+1,6+1),1)),'DRAFT 2'!$A:$A),"")</f>
        <v>0</v>
      </c>
      <c r="FE41">
        <f>COUNTIFS('DRAFT 2'!$D:$D,$B41,'DRAFT 2'!$A:$A,"&gt;="&amp;DATE(2026,6,1),'DRAFT 2'!$A:$A,"&lt;="&amp;DATE(2026,6,7))</f>
        <v>0</v>
      </c>
      <c r="FF41">
        <f>COUNTIFS('DRAFT 2'!$D:$D,$B41,'DRAFT 2'!$A:$A,"&gt;="&amp;DATE(2026,6,8),'DRAFT 2'!$A:$A,"&lt;="&amp;DATE(2026,6,14))</f>
        <v>0</v>
      </c>
      <c r="FG41">
        <f>COUNTIFS('DRAFT 2'!$D:$D,$B41,'DRAFT 2'!$A:$A,"&gt;="&amp;DATE(2026,6,15),'DRAFT 2'!$A:$A,"&lt;="&amp;DATE(2026,6,21))</f>
        <v>0</v>
      </c>
      <c r="FH41">
        <f>COUNTIFS('DRAFT 2'!$D:$D,$B41,'DRAFT 2'!$A:$A,"&gt;="&amp;DATE(2026,6,22),'DRAFT 2'!$A:$A,"&lt;"&amp;DATE(2026,IF(6=12,6+1,6+1),1))</f>
        <v>0</v>
      </c>
      <c r="FI41">
        <f t="shared" si="21"/>
        <v>0</v>
      </c>
      <c r="FT41">
        <f>IFERROR(LOOKUP(2,1/('DRAFT 2'!$D:$D=$B41)*('DRAFT 2'!$A:$A&gt;=DATE(2026,7,1))*('DRAFT 2'!$A:$A&lt;DATE(2026,IF(7=12,7+1,7+1),1)),'DRAFT 2'!$A:$A),"")</f>
        <v>0</v>
      </c>
      <c r="FU41">
        <f>COUNTIFS('DRAFT 2'!$D:$D,$B41,'DRAFT 2'!$A:$A,"&gt;="&amp;DATE(2026,7,1),'DRAFT 2'!$A:$A,"&lt;="&amp;DATE(2026,7,7))</f>
        <v>0</v>
      </c>
      <c r="FV41">
        <f>COUNTIFS('DRAFT 2'!$D:$D,$B41,'DRAFT 2'!$A:$A,"&gt;="&amp;DATE(2026,7,8),'DRAFT 2'!$A:$A,"&lt;="&amp;DATE(2026,7,14))</f>
        <v>0</v>
      </c>
      <c r="FW41">
        <f>COUNTIFS('DRAFT 2'!$D:$D,$B41,'DRAFT 2'!$A:$A,"&gt;="&amp;DATE(2026,7,15),'DRAFT 2'!$A:$A,"&lt;="&amp;DATE(2026,7,21))</f>
        <v>0</v>
      </c>
      <c r="FX41">
        <f>COUNTIFS('DRAFT 2'!$D:$D,$B41,'DRAFT 2'!$A:$A,"&gt;="&amp;DATE(2026,7,22),'DRAFT 2'!$A:$A,"&lt;"&amp;DATE(2026,IF(7=12,7+1,7+1),1))</f>
        <v>0</v>
      </c>
      <c r="FY41">
        <f t="shared" si="22"/>
        <v>0</v>
      </c>
      <c r="GI41">
        <f>IFERROR(LOOKUP(2,1/('DRAFT 2'!$D:$D=$B41)*('DRAFT 2'!$A:$A&gt;=DATE(2026,8,1))*('DRAFT 2'!$A:$A&lt;DATE(2026,IF(8=12,8+1,8+1),1)),'DRAFT 2'!$A:$A),"")</f>
        <v>0</v>
      </c>
      <c r="GJ41">
        <f>COUNTIFS('DRAFT 2'!$D:$D,$B41,'DRAFT 2'!$A:$A,"&gt;="&amp;DATE(2026,8,1),'DRAFT 2'!$A:$A,"&lt;="&amp;DATE(2026,8,7))</f>
        <v>0</v>
      </c>
      <c r="GK41">
        <f>COUNTIFS('DRAFT 2'!$D:$D,$B41,'DRAFT 2'!$A:$A,"&gt;="&amp;DATE(2026,8,8),'DRAFT 2'!$A:$A,"&lt;="&amp;DATE(2026,8,14))</f>
        <v>0</v>
      </c>
      <c r="GL41">
        <f>COUNTIFS('DRAFT 2'!$D:$D,$B41,'DRAFT 2'!$A:$A,"&gt;="&amp;DATE(2026,8,15),'DRAFT 2'!$A:$A,"&lt;="&amp;DATE(2026,8,21))</f>
        <v>0</v>
      </c>
      <c r="GM41">
        <f>COUNTIFS('DRAFT 2'!$D:$D,$B41,'DRAFT 2'!$A:$A,"&gt;="&amp;DATE(2026,8,22),'DRAFT 2'!$A:$A,"&lt;"&amp;DATE(2026,IF(8=12,8+1,8+1),1))</f>
        <v>0</v>
      </c>
      <c r="GN41">
        <f t="shared" si="23"/>
        <v>0</v>
      </c>
      <c r="GX41">
        <f>IFERROR(LOOKUP(2,1/('DRAFT 2'!$D:$D=$B41)*('DRAFT 2'!$A:$A&gt;=DATE(2026,9,1))*('DRAFT 2'!$A:$A&lt;DATE(2026,IF(9=12,9+1,9+1),1)),'DRAFT 2'!$A:$A),"")</f>
        <v>0</v>
      </c>
      <c r="GY41">
        <f>COUNTIFS('DRAFT 2'!$D:$D,$B41,'DRAFT 2'!$A:$A,"&gt;="&amp;DATE(2026,9,1),'DRAFT 2'!$A:$A,"&lt;="&amp;DATE(2026,9,7))</f>
        <v>0</v>
      </c>
      <c r="GZ41">
        <f>COUNTIFS('DRAFT 2'!$D:$D,$B41,'DRAFT 2'!$A:$A,"&gt;="&amp;DATE(2026,9,8),'DRAFT 2'!$A:$A,"&lt;="&amp;DATE(2026,9,14))</f>
        <v>0</v>
      </c>
      <c r="HA41">
        <f>COUNTIFS('DRAFT 2'!$D:$D,$B41,'DRAFT 2'!$A:$A,"&gt;="&amp;DATE(2026,9,15),'DRAFT 2'!$A:$A,"&lt;="&amp;DATE(2026,9,21))</f>
        <v>0</v>
      </c>
      <c r="HB41">
        <f>COUNTIFS('DRAFT 2'!$D:$D,$B41,'DRAFT 2'!$A:$A,"&gt;="&amp;DATE(2026,9,22),'DRAFT 2'!$A:$A,"&lt;"&amp;DATE(2026,IF(9=12,9+1,9+1),1))</f>
        <v>0</v>
      </c>
      <c r="HC41">
        <f t="shared" si="24"/>
        <v>0</v>
      </c>
      <c r="HN41">
        <f>IFERROR(LOOKUP(2,1/('DRAFT 2'!$D:$D=$B41)*('DRAFT 2'!$A:$A&gt;=DATE(2026,10,1))*('DRAFT 2'!$A:$A&lt;DATE(2026,IF(10=12,10+1,10+1),1)),'DRAFT 2'!$A:$A),"")</f>
        <v>0</v>
      </c>
      <c r="HO41">
        <f>COUNTIFS('DRAFT 2'!$D:$D,$B41,'DRAFT 2'!$A:$A,"&gt;="&amp;DATE(2026,10,1),'DRAFT 2'!$A:$A,"&lt;="&amp;DATE(2026,10,7))</f>
        <v>0</v>
      </c>
      <c r="HP41">
        <f>COUNTIFS('DRAFT 2'!$D:$D,$B41,'DRAFT 2'!$A:$A,"&gt;="&amp;DATE(2026,10,8),'DRAFT 2'!$A:$A,"&lt;="&amp;DATE(2026,10,14))</f>
        <v>0</v>
      </c>
      <c r="HQ41">
        <f>COUNTIFS('DRAFT 2'!$D:$D,$B41,'DRAFT 2'!$A:$A,"&gt;="&amp;DATE(2026,10,15),'DRAFT 2'!$A:$A,"&lt;="&amp;DATE(2026,10,21))</f>
        <v>0</v>
      </c>
      <c r="HR41">
        <f>COUNTIFS('DRAFT 2'!$D:$D,$B41,'DRAFT 2'!$A:$A,"&gt;="&amp;DATE(2026,10,22),'DRAFT 2'!$A:$A,"&lt;"&amp;DATE(2026,IF(10=12,10+1,10+1),1))</f>
        <v>0</v>
      </c>
      <c r="HS41">
        <f t="shared" si="25"/>
        <v>0</v>
      </c>
      <c r="IC41">
        <f>IFERROR(LOOKUP(2,1/('DRAFT 2'!$D:$D=$B41)*('DRAFT 2'!$A:$A&gt;=DATE(2026,11,1))*('DRAFT 2'!$A:$A&lt;DATE(2026,IF(11=12,11+1,11+1),1)),'DRAFT 2'!$A:$A),"")</f>
        <v>0</v>
      </c>
      <c r="ID41">
        <f>COUNTIFS('DRAFT 2'!$D:$D,$B41,'DRAFT 2'!$A:$A,"&gt;="&amp;DATE(2026,11,1),'DRAFT 2'!$A:$A,"&lt;="&amp;DATE(2026,11,7))</f>
        <v>0</v>
      </c>
      <c r="IE41">
        <f>COUNTIFS('DRAFT 2'!$D:$D,$B41,'DRAFT 2'!$A:$A,"&gt;="&amp;DATE(2026,11,8),'DRAFT 2'!$A:$A,"&lt;="&amp;DATE(2026,11,14))</f>
        <v>0</v>
      </c>
      <c r="IF41">
        <f>COUNTIFS('DRAFT 2'!$D:$D,$B41,'DRAFT 2'!$A:$A,"&gt;="&amp;DATE(2026,11,15),'DRAFT 2'!$A:$A,"&lt;="&amp;DATE(2026,11,21))</f>
        <v>0</v>
      </c>
      <c r="IG41">
        <f>COUNTIFS('DRAFT 2'!$D:$D,$B41,'DRAFT 2'!$A:$A,"&gt;="&amp;DATE(2026,11,22),'DRAFT 2'!$A:$A,"&lt;"&amp;DATE(2026,IF(11=12,11+1,11+1),1))</f>
        <v>0</v>
      </c>
      <c r="IH41">
        <f t="shared" si="26"/>
        <v>0</v>
      </c>
      <c r="IR41">
        <f>IFERROR(LOOKUP(2,1/('DRAFT 2'!$D:$D=$B41)*('DRAFT 2'!$A:$A&gt;=DATE(2026,12,1))*('DRAFT 2'!$A:$A&lt;DATE(2026,IF(12=12,12+1,12+1),1)),'DRAFT 2'!$A:$A),"")</f>
        <v>0</v>
      </c>
      <c r="IS41">
        <f>COUNTIFS('DRAFT 2'!$D:$D,$B41,'DRAFT 2'!$A:$A,"&gt;="&amp;DATE(2026,12,1),'DRAFT 2'!$A:$A,"&lt;="&amp;DATE(2026,12,7))</f>
        <v>0</v>
      </c>
      <c r="IT41">
        <f>COUNTIFS('DRAFT 2'!$D:$D,$B41,'DRAFT 2'!$A:$A,"&gt;="&amp;DATE(2026,12,8),'DRAFT 2'!$A:$A,"&lt;="&amp;DATE(2026,12,14))</f>
        <v>0</v>
      </c>
      <c r="IU41">
        <f>COUNTIFS('DRAFT 2'!$D:$D,$B41,'DRAFT 2'!$A:$A,"&gt;="&amp;DATE(2026,12,15),'DRAFT 2'!$A:$A,"&lt;="&amp;DATE(2026,12,21))</f>
        <v>0</v>
      </c>
      <c r="IV41">
        <f>COUNTIFS('DRAFT 2'!$D:$D,$B41,'DRAFT 2'!$A:$A,"&gt;="&amp;DATE(2026,12,22),'DRAFT 2'!$A:$A,"&lt;"&amp;DATE(2026,IF(12=12,12+1,12+1),1))</f>
        <v>0</v>
      </c>
      <c r="IW41">
        <f t="shared" si="27"/>
        <v>0</v>
      </c>
    </row>
    <row r="42" spans="1:257" x14ac:dyDescent="0.3">
      <c r="A42" t="str">
        <f>IFERROR(INDEX('DRAFT 1'!$A:$A,MATCH($B42,'DRAFT 1'!$B:$B,0)),"")</f>
        <v/>
      </c>
      <c r="C42" t="str">
        <f>IFERROR(INDEX('DRAFT 1'!$C:$C,MATCH($B42,'DRAFT 1'!$B:$B,0)),"")</f>
        <v/>
      </c>
      <c r="D42" t="str">
        <f>IFERROR(INDEX('DRAFT 1'!$D:$D,MATCH($B42,'DRAFT 1'!$B:$B,0)),"")</f>
        <v/>
      </c>
      <c r="E42" t="str">
        <f>IFERROR(INDEX('DRAFT 1'!$E:$E,MATCH($B42,'DRAFT 1'!$B:$B,0)),"")</f>
        <v/>
      </c>
      <c r="F42" t="str">
        <f>IFERROR(INDEX('DRAFT 1'!$F:$F,MATCH($B42,'DRAFT 1'!$B:$B,0)),"")</f>
        <v/>
      </c>
      <c r="G42" t="str">
        <f>IFERROR(INDEX('DRAFT 1'!$G:$G,MATCH($B42,'DRAFT 1'!$B:$B,0)),"")</f>
        <v/>
      </c>
      <c r="H42" t="str">
        <f>IFERROR(INDEX('DRAFT 1'!$H:$H,MATCH($B42,'DRAFT 1'!$B:$B,0)),"")</f>
        <v/>
      </c>
      <c r="I42" t="s">
        <v>283</v>
      </c>
      <c r="K42" t="str">
        <f>IFERROR(INDEX('DRAFT 1'!$AL:$AL,MATCH($B42,'DRAFT 1'!$B:$B,0)),"")</f>
        <v/>
      </c>
      <c r="L42" t="str">
        <f>IFERROR(INDEX('DRAFT 1'!$J:$J,MATCH($B42,'DRAFT 1'!$B:$B,0)),"")</f>
        <v/>
      </c>
      <c r="M42" t="str">
        <f>IFERROR(INDEX('DRAFT 1'!$K:$K,MATCH($B42,'DRAFT 1'!$B:$B,0)),"")</f>
        <v/>
      </c>
      <c r="N42" t="s">
        <v>79</v>
      </c>
      <c r="P42" t="str">
        <f>IFERROR(INDEX('DRAFT 1'!$L:$L,MATCH($B42,'DRAFT 1'!$B:$B,0)),"")</f>
        <v/>
      </c>
      <c r="Q42" t="str">
        <f>IFERROR(INDEX('DRAFT 1'!$M:$M,MATCH($B42,'DRAFT 1'!$B:$B,0)),"")</f>
        <v/>
      </c>
      <c r="R42" t="str">
        <f>IFERROR(INDEX('DRAFT 1'!$N:$N,MATCH($B42,'DRAFT 1'!$B:$B,0)),"")</f>
        <v/>
      </c>
      <c r="S42" t="str">
        <f>IFERROR(INDEX('DRAFT 1'!$O:$O,MATCH($B42,'DRAFT 1'!$B:$B,0)),"")</f>
        <v/>
      </c>
      <c r="T42" t="str">
        <f>IFERROR(INDEX('DRAFT 1'!$P:$P,MATCH($B42,'DRAFT 1'!$B:$B,0)),"")</f>
        <v/>
      </c>
      <c r="U42" t="str">
        <f>IFERROR(INDEX('DRAFT 1'!$Q:$Q,MATCH($B42,'DRAFT 1'!$B:$B,0)),"")</f>
        <v/>
      </c>
      <c r="V42" t="str">
        <f>IFERROR(INDEX('DRAFT 1'!$R:$R,MATCH($B42,'DRAFT 1'!$B:$B,0)),"")</f>
        <v/>
      </c>
      <c r="W42" t="str">
        <f>IFERROR(INDEX('DRAFT 1'!$S:$S,MATCH($B42,'DRAFT 1'!$B:$B,0)),"")</f>
        <v/>
      </c>
      <c r="X42" t="str">
        <f>IFERROR(INDEX('DRAFT 1'!$T:$T,MATCH($B42,'DRAFT 1'!$B:$B,0)),"")</f>
        <v/>
      </c>
      <c r="Z42" t="str">
        <f>IFERROR(INDEX('DRAFT 1'!$U:$U,MATCH($B42,'DRAFT 1'!$B:$B,0)),"")</f>
        <v/>
      </c>
      <c r="AA42" t="str">
        <f>IFERROR(INDEX('DRAFT 1'!$V:$V,MATCH($B42,'DRAFT 1'!$B:$B,0)),"")</f>
        <v/>
      </c>
      <c r="AB42" t="str">
        <f>IFERROR(INDEX('DRAFT 1'!$W:$W,MATCH($B42,'DRAFT 1'!$B:$B,0)),"")</f>
        <v/>
      </c>
      <c r="AC42" t="str">
        <f>IFERROR(INDEX('DRAFT 1'!$X:$X,MATCH($B42,'DRAFT 1'!$B:$B,0)),"")</f>
        <v/>
      </c>
      <c r="AD42" t="str">
        <f>IFERROR(INDEX('DRAFT 1'!$Y:$Y,MATCH($B42,'DRAFT 1'!$B:$B,0)),"")</f>
        <v/>
      </c>
      <c r="AE42" t="str">
        <f>IFERROR(INDEX('DRAFT 1'!$Z:$Z,MATCH($B42,'DRAFT 1'!$B:$B,0)),"")</f>
        <v/>
      </c>
      <c r="AF42" t="str">
        <f>IFERROR(INDEX('DRAFT 1'!$AA:$AA,MATCH($B42,'DRAFT 1'!$B:$B,0)),"")</f>
        <v/>
      </c>
      <c r="AG42" t="str">
        <f>IFERROR(INDEX('DRAFT 1'!$AB:$AB,MATCH($B42,'DRAFT 1'!$B:$B,0)),"")</f>
        <v/>
      </c>
      <c r="AH42" t="str">
        <f>IFERROR(INDEX('DRAFT 1'!$AC:$AC,MATCH($B42,'DRAFT 1'!$B:$B,0)),"")</f>
        <v/>
      </c>
      <c r="AI42" t="str">
        <f>IFERROR(INDEX('DRAFT 1'!$AD:$AD,MATCH($B42,'DRAFT 1'!$B:$B,0)),"")</f>
        <v/>
      </c>
      <c r="AJ42" t="str">
        <f>IFERROR(INDEX('DRAFT 1'!$AE:$AE,MATCH($B42,'DRAFT 1'!$B:$B,0)),"")</f>
        <v/>
      </c>
      <c r="AK42" t="str">
        <f>IFERROR(INDEX('DRAFT 1'!$AG:$AG,MATCH($B42,'DRAFT 1'!$B:$B,0)),"")</f>
        <v/>
      </c>
      <c r="AL42" t="str">
        <f>IFERROR(INDEX('DRAFT 1'!$AH:$AH,MATCH($B42,'DRAFT 1'!$B:$B,0)),"")</f>
        <v/>
      </c>
      <c r="AM42" t="str">
        <f>IFERROR(INDEX('DRAFT 1'!$AI:$AI,MATCH($B42,'DRAFT 1'!$B:$B,0)),"")</f>
        <v/>
      </c>
      <c r="AN42" t="str">
        <f>IFERROR(INDEX('DRAFT 1'!$AJ:$AJ,MATCH($B42,'DRAFT 1'!$B:$B,0)),"")</f>
        <v/>
      </c>
      <c r="AO42">
        <f t="shared" si="14"/>
        <v>0</v>
      </c>
      <c r="AP42" t="str">
        <f>IFERROR(INDEX('DRAFT 1'!$AK:$AK,MATCH($B42,'DRAFT 1'!$B:$B,0)),"")</f>
        <v/>
      </c>
      <c r="AR42" t="s">
        <v>95</v>
      </c>
      <c r="AS42">
        <f>IFERROR(LOOKUP(2,1/('DRAFT 2'!$D:$D=$B42),'DRAFT 2'!$T:$T),"")</f>
        <v>0</v>
      </c>
      <c r="AT42">
        <f>IFERROR(LOOKUP(2,1/('DRAFT 2'!$D:$D=$B42),'DRAFT 2'!$A:$A),"")</f>
        <v>0</v>
      </c>
      <c r="AU42">
        <f>IFERROR(LOOKUP(2,1/('DRAFT 2'!$D:$D=$B42),'DRAFT 2'!$R:$R),"")</f>
        <v>0</v>
      </c>
      <c r="AV42">
        <f>IFERROR(LOOKUP(2,1/('DRAFT 2'!$D:$D=$B42),'DRAFT 2'!$S:$S),"")</f>
        <v>0</v>
      </c>
      <c r="AW42" t="s">
        <v>85</v>
      </c>
      <c r="AX42">
        <f>IFERROR(LOOKUP(2,1/('DRAFT 2'!$D:$D=$B42),'DRAFT 2'!$M:$M),"")</f>
        <v>0</v>
      </c>
      <c r="AY42">
        <f>IFERROR(LOOKUP(2,1/('DRAFT 2'!$D:$D=$B42),'DRAFT 2'!$K:$K),"")</f>
        <v>0</v>
      </c>
      <c r="BG42">
        <f>IFERROR(LOOKUP(2,1/('DRAFT 2'!$D:$D=$B42),'DRAFT 2'!$U:$U),"")</f>
        <v>0</v>
      </c>
      <c r="BH42">
        <f>IFERROR(LOOKUP(2,1/('DRAFT 2'!$D:$D=$B42),'DRAFT 2'!$V:$V),"")</f>
        <v>0</v>
      </c>
      <c r="CE42" t="str">
        <f t="shared" si="15"/>
        <v/>
      </c>
      <c r="CF42">
        <f>IFERROR(LOOKUP(2,1/('DRAFT 2'!$D:$D=$B42)*('DRAFT 2'!$A:$A&gt;=DATE(2026,1,1))*('DRAFT 2'!$A:$A&lt;DATE(2026,IF(1=12,1+1,1+1),1)),'DRAFT 2'!$A:$A),"")</f>
        <v>0</v>
      </c>
      <c r="CG42">
        <f>COUNTIFS('DRAFT 2'!$D:$D,$B42,'DRAFT 2'!$A:$A,"&gt;="&amp;DATE(2026,1,1),'DRAFT 2'!$A:$A,"&lt;="&amp;DATE(2026,1,7))</f>
        <v>0</v>
      </c>
      <c r="CH42">
        <f>COUNTIFS('DRAFT 2'!$D:$D,$B42,'DRAFT 2'!$A:$A,"&gt;="&amp;DATE(2026,1,8),'DRAFT 2'!$A:$A,"&lt;="&amp;DATE(2026,1,14))</f>
        <v>0</v>
      </c>
      <c r="CI42">
        <f>COUNTIFS('DRAFT 2'!$D:$D,$B42,'DRAFT 2'!$A:$A,"&gt;="&amp;DATE(2026,1,15),'DRAFT 2'!$A:$A,"&lt;="&amp;DATE(2026,1,21))</f>
        <v>0</v>
      </c>
      <c r="CJ42">
        <f>COUNTIFS('DRAFT 2'!$D:$D,$B42,'DRAFT 2'!$A:$A,"&gt;="&amp;DATE(2026,1,22),'DRAFT 2'!$A:$A,"&lt;"&amp;DATE(2026,IF(1=12,1+1,1+1),1))</f>
        <v>0</v>
      </c>
      <c r="CK42">
        <f t="shared" si="16"/>
        <v>0</v>
      </c>
      <c r="CT42">
        <v>0</v>
      </c>
      <c r="CU42">
        <f>IFERROR(LOOKUP(2,1/('DRAFT 2'!$D:$D=$B42)*('DRAFT 2'!$A:$A&gt;=DATE(2026,2,1))*('DRAFT 2'!$A:$A&lt;DATE(2026,IF(2=12,2+1,2+1),1)),'DRAFT 2'!$A:$A),"")</f>
        <v>0</v>
      </c>
      <c r="CV42">
        <f>COUNTIFS('DRAFT 2'!$D:$D,$B42,'DRAFT 2'!$A:$A,"&gt;="&amp;DATE(2026,2,1),'DRAFT 2'!$A:$A,"&lt;="&amp;DATE(2026,2,7))</f>
        <v>0</v>
      </c>
      <c r="CW42">
        <f>COUNTIFS('DRAFT 2'!$D:$D,$B42,'DRAFT 2'!$A:$A,"&gt;="&amp;DATE(2026,2,8),'DRAFT 2'!$A:$A,"&lt;="&amp;DATE(2026,2,14))</f>
        <v>0</v>
      </c>
      <c r="CX42">
        <f>COUNTIFS('DRAFT 2'!$D:$D,$B42,'DRAFT 2'!$A:$A,"&gt;="&amp;DATE(2026,2,15),'DRAFT 2'!$A:$A,"&lt;="&amp;DATE(2026,2,21))</f>
        <v>0</v>
      </c>
      <c r="CY42">
        <f>COUNTIFS('DRAFT 2'!$D:$D,$B42,'DRAFT 2'!$A:$A,"&gt;="&amp;DATE(2026,2,22),'DRAFT 2'!$A:$A,"&lt;"&amp;DATE(2026,IF(2=12,2+1,2+1),1))</f>
        <v>0</v>
      </c>
      <c r="CZ42">
        <f t="shared" si="17"/>
        <v>0</v>
      </c>
      <c r="DJ42">
        <f>IFERROR(LOOKUP(2,1/('DRAFT 2'!$D:$D=$B42)*('DRAFT 2'!$A:$A&gt;=DATE(2026,3,1))*('DRAFT 2'!$A:$A&lt;DATE(2026,IF(3=12,3+1,3+1),1)),'DRAFT 2'!$A:$A),"")</f>
        <v>0</v>
      </c>
      <c r="DK42">
        <f>COUNTIFS('DRAFT 2'!$D:$D,$B42,'DRAFT 2'!$A:$A,"&gt;="&amp;DATE(2026,3,1),'DRAFT 2'!$A:$A,"&lt;="&amp;DATE(2026,3,7))</f>
        <v>0</v>
      </c>
      <c r="DL42">
        <f>COUNTIFS('DRAFT 2'!$D:$D,$B42,'DRAFT 2'!$A:$A,"&gt;="&amp;DATE(2026,3,8),'DRAFT 2'!$A:$A,"&lt;="&amp;DATE(2026,3,14))</f>
        <v>0</v>
      </c>
      <c r="DM42">
        <f>COUNTIFS('DRAFT 2'!$D:$D,$B42,'DRAFT 2'!$A:$A,"&gt;="&amp;DATE(2026,3,15),'DRAFT 2'!$A:$A,"&lt;="&amp;DATE(2026,3,21))</f>
        <v>0</v>
      </c>
      <c r="DN42">
        <f>COUNTIFS('DRAFT 2'!$D:$D,$B42,'DRAFT 2'!$A:$A,"&gt;="&amp;DATE(2026,3,22),'DRAFT 2'!$A:$A,"&lt;"&amp;DATE(2026,IF(3=12,3+1,3+1),1))</f>
        <v>0</v>
      </c>
      <c r="DO42">
        <f t="shared" si="18"/>
        <v>0</v>
      </c>
      <c r="DZ42">
        <f>IFERROR(LOOKUP(2,1/('DRAFT 2'!$D:$D=$B42)*('DRAFT 2'!$A:$A&gt;=DATE(2026,4,1))*('DRAFT 2'!$A:$A&lt;DATE(2026,IF(4=12,4+1,4+1),1)),'DRAFT 2'!$A:$A),"")</f>
        <v>0</v>
      </c>
      <c r="EA42">
        <f>COUNTIFS('DRAFT 2'!$D:$D,$B42,'DRAFT 2'!$A:$A,"&gt;="&amp;DATE(2026,4,1),'DRAFT 2'!$A:$A,"&lt;="&amp;DATE(2026,4,7))</f>
        <v>0</v>
      </c>
      <c r="EB42">
        <f>COUNTIFS('DRAFT 2'!$D:$D,$B42,'DRAFT 2'!$A:$A,"&gt;="&amp;DATE(2026,4,8),'DRAFT 2'!$A:$A,"&lt;="&amp;DATE(2026,4,14))</f>
        <v>0</v>
      </c>
      <c r="EC42">
        <f>COUNTIFS('DRAFT 2'!$D:$D,$B42,'DRAFT 2'!$A:$A,"&gt;="&amp;DATE(2026,4,15),'DRAFT 2'!$A:$A,"&lt;="&amp;DATE(2026,4,21))</f>
        <v>0</v>
      </c>
      <c r="ED42">
        <f>COUNTIFS('DRAFT 2'!$D:$D,$B42,'DRAFT 2'!$A:$A,"&gt;="&amp;DATE(2026,4,22),'DRAFT 2'!$A:$A,"&lt;"&amp;DATE(2026,IF(4=12,4+1,4+1),1))</f>
        <v>0</v>
      </c>
      <c r="EE42">
        <f t="shared" si="19"/>
        <v>0</v>
      </c>
      <c r="EO42">
        <f>IFERROR(LOOKUP(2,1/('DRAFT 2'!$D:$D=$B42)*('DRAFT 2'!$A:$A&gt;=DATE(2026,5,1))*('DRAFT 2'!$A:$A&lt;DATE(2026,IF(5=12,5+1,5+1),1)),'DRAFT 2'!$A:$A),"")</f>
        <v>0</v>
      </c>
      <c r="EP42">
        <f>COUNTIFS('DRAFT 2'!$D:$D,$B42,'DRAFT 2'!$A:$A,"&gt;="&amp;DATE(2026,5,1),'DRAFT 2'!$A:$A,"&lt;="&amp;DATE(2026,5,7))</f>
        <v>0</v>
      </c>
      <c r="EQ42">
        <f>COUNTIFS('DRAFT 2'!$D:$D,$B42,'DRAFT 2'!$A:$A,"&gt;="&amp;DATE(2026,5,8),'DRAFT 2'!$A:$A,"&lt;="&amp;DATE(2026,5,14))</f>
        <v>0</v>
      </c>
      <c r="ER42">
        <f>COUNTIFS('DRAFT 2'!$D:$D,$B42,'DRAFT 2'!$A:$A,"&gt;="&amp;DATE(2026,5,15),'DRAFT 2'!$A:$A,"&lt;="&amp;DATE(2026,5,21))</f>
        <v>0</v>
      </c>
      <c r="ES42">
        <f>COUNTIFS('DRAFT 2'!$D:$D,$B42,'DRAFT 2'!$A:$A,"&gt;="&amp;DATE(2026,5,22),'DRAFT 2'!$A:$A,"&lt;"&amp;DATE(2026,IF(5=12,5+1,5+1),1))</f>
        <v>0</v>
      </c>
      <c r="ET42">
        <f t="shared" si="20"/>
        <v>0</v>
      </c>
      <c r="FD42">
        <f>IFERROR(LOOKUP(2,1/('DRAFT 2'!$D:$D=$B42)*('DRAFT 2'!$A:$A&gt;=DATE(2026,6,1))*('DRAFT 2'!$A:$A&lt;DATE(2026,IF(6=12,6+1,6+1),1)),'DRAFT 2'!$A:$A),"")</f>
        <v>0</v>
      </c>
      <c r="FE42">
        <f>COUNTIFS('DRAFT 2'!$D:$D,$B42,'DRAFT 2'!$A:$A,"&gt;="&amp;DATE(2026,6,1),'DRAFT 2'!$A:$A,"&lt;="&amp;DATE(2026,6,7))</f>
        <v>0</v>
      </c>
      <c r="FF42">
        <f>COUNTIFS('DRAFT 2'!$D:$D,$B42,'DRAFT 2'!$A:$A,"&gt;="&amp;DATE(2026,6,8),'DRAFT 2'!$A:$A,"&lt;="&amp;DATE(2026,6,14))</f>
        <v>0</v>
      </c>
      <c r="FG42">
        <f>COUNTIFS('DRAFT 2'!$D:$D,$B42,'DRAFT 2'!$A:$A,"&gt;="&amp;DATE(2026,6,15),'DRAFT 2'!$A:$A,"&lt;="&amp;DATE(2026,6,21))</f>
        <v>0</v>
      </c>
      <c r="FH42">
        <f>COUNTIFS('DRAFT 2'!$D:$D,$B42,'DRAFT 2'!$A:$A,"&gt;="&amp;DATE(2026,6,22),'DRAFT 2'!$A:$A,"&lt;"&amp;DATE(2026,IF(6=12,6+1,6+1),1))</f>
        <v>0</v>
      </c>
      <c r="FI42">
        <f t="shared" si="21"/>
        <v>0</v>
      </c>
      <c r="FT42">
        <f>IFERROR(LOOKUP(2,1/('DRAFT 2'!$D:$D=$B42)*('DRAFT 2'!$A:$A&gt;=DATE(2026,7,1))*('DRAFT 2'!$A:$A&lt;DATE(2026,IF(7=12,7+1,7+1),1)),'DRAFT 2'!$A:$A),"")</f>
        <v>0</v>
      </c>
      <c r="FU42">
        <f>COUNTIFS('DRAFT 2'!$D:$D,$B42,'DRAFT 2'!$A:$A,"&gt;="&amp;DATE(2026,7,1),'DRAFT 2'!$A:$A,"&lt;="&amp;DATE(2026,7,7))</f>
        <v>0</v>
      </c>
      <c r="FV42">
        <f>COUNTIFS('DRAFT 2'!$D:$D,$B42,'DRAFT 2'!$A:$A,"&gt;="&amp;DATE(2026,7,8),'DRAFT 2'!$A:$A,"&lt;="&amp;DATE(2026,7,14))</f>
        <v>0</v>
      </c>
      <c r="FW42">
        <f>COUNTIFS('DRAFT 2'!$D:$D,$B42,'DRAFT 2'!$A:$A,"&gt;="&amp;DATE(2026,7,15),'DRAFT 2'!$A:$A,"&lt;="&amp;DATE(2026,7,21))</f>
        <v>0</v>
      </c>
      <c r="FX42">
        <f>COUNTIFS('DRAFT 2'!$D:$D,$B42,'DRAFT 2'!$A:$A,"&gt;="&amp;DATE(2026,7,22),'DRAFT 2'!$A:$A,"&lt;"&amp;DATE(2026,IF(7=12,7+1,7+1),1))</f>
        <v>0</v>
      </c>
      <c r="FY42">
        <f t="shared" si="22"/>
        <v>0</v>
      </c>
      <c r="GI42">
        <f>IFERROR(LOOKUP(2,1/('DRAFT 2'!$D:$D=$B42)*('DRAFT 2'!$A:$A&gt;=DATE(2026,8,1))*('DRAFT 2'!$A:$A&lt;DATE(2026,IF(8=12,8+1,8+1),1)),'DRAFT 2'!$A:$A),"")</f>
        <v>0</v>
      </c>
      <c r="GJ42">
        <f>COUNTIFS('DRAFT 2'!$D:$D,$B42,'DRAFT 2'!$A:$A,"&gt;="&amp;DATE(2026,8,1),'DRAFT 2'!$A:$A,"&lt;="&amp;DATE(2026,8,7))</f>
        <v>0</v>
      </c>
      <c r="GK42">
        <f>COUNTIFS('DRAFT 2'!$D:$D,$B42,'DRAFT 2'!$A:$A,"&gt;="&amp;DATE(2026,8,8),'DRAFT 2'!$A:$A,"&lt;="&amp;DATE(2026,8,14))</f>
        <v>0</v>
      </c>
      <c r="GL42">
        <f>COUNTIFS('DRAFT 2'!$D:$D,$B42,'DRAFT 2'!$A:$A,"&gt;="&amp;DATE(2026,8,15),'DRAFT 2'!$A:$A,"&lt;="&amp;DATE(2026,8,21))</f>
        <v>0</v>
      </c>
      <c r="GM42">
        <f>COUNTIFS('DRAFT 2'!$D:$D,$B42,'DRAFT 2'!$A:$A,"&gt;="&amp;DATE(2026,8,22),'DRAFT 2'!$A:$A,"&lt;"&amp;DATE(2026,IF(8=12,8+1,8+1),1))</f>
        <v>0</v>
      </c>
      <c r="GN42">
        <f t="shared" si="23"/>
        <v>0</v>
      </c>
      <c r="GX42">
        <f>IFERROR(LOOKUP(2,1/('DRAFT 2'!$D:$D=$B42)*('DRAFT 2'!$A:$A&gt;=DATE(2026,9,1))*('DRAFT 2'!$A:$A&lt;DATE(2026,IF(9=12,9+1,9+1),1)),'DRAFT 2'!$A:$A),"")</f>
        <v>0</v>
      </c>
      <c r="GY42">
        <f>COUNTIFS('DRAFT 2'!$D:$D,$B42,'DRAFT 2'!$A:$A,"&gt;="&amp;DATE(2026,9,1),'DRAFT 2'!$A:$A,"&lt;="&amp;DATE(2026,9,7))</f>
        <v>0</v>
      </c>
      <c r="GZ42">
        <f>COUNTIFS('DRAFT 2'!$D:$D,$B42,'DRAFT 2'!$A:$A,"&gt;="&amp;DATE(2026,9,8),'DRAFT 2'!$A:$A,"&lt;="&amp;DATE(2026,9,14))</f>
        <v>0</v>
      </c>
      <c r="HA42">
        <f>COUNTIFS('DRAFT 2'!$D:$D,$B42,'DRAFT 2'!$A:$A,"&gt;="&amp;DATE(2026,9,15),'DRAFT 2'!$A:$A,"&lt;="&amp;DATE(2026,9,21))</f>
        <v>0</v>
      </c>
      <c r="HB42">
        <f>COUNTIFS('DRAFT 2'!$D:$D,$B42,'DRAFT 2'!$A:$A,"&gt;="&amp;DATE(2026,9,22),'DRAFT 2'!$A:$A,"&lt;"&amp;DATE(2026,IF(9=12,9+1,9+1),1))</f>
        <v>0</v>
      </c>
      <c r="HC42">
        <f t="shared" si="24"/>
        <v>0</v>
      </c>
      <c r="HN42">
        <f>IFERROR(LOOKUP(2,1/('DRAFT 2'!$D:$D=$B42)*('DRAFT 2'!$A:$A&gt;=DATE(2026,10,1))*('DRAFT 2'!$A:$A&lt;DATE(2026,IF(10=12,10+1,10+1),1)),'DRAFT 2'!$A:$A),"")</f>
        <v>0</v>
      </c>
      <c r="HO42">
        <f>COUNTIFS('DRAFT 2'!$D:$D,$B42,'DRAFT 2'!$A:$A,"&gt;="&amp;DATE(2026,10,1),'DRAFT 2'!$A:$A,"&lt;="&amp;DATE(2026,10,7))</f>
        <v>0</v>
      </c>
      <c r="HP42">
        <f>COUNTIFS('DRAFT 2'!$D:$D,$B42,'DRAFT 2'!$A:$A,"&gt;="&amp;DATE(2026,10,8),'DRAFT 2'!$A:$A,"&lt;="&amp;DATE(2026,10,14))</f>
        <v>0</v>
      </c>
      <c r="HQ42">
        <f>COUNTIFS('DRAFT 2'!$D:$D,$B42,'DRAFT 2'!$A:$A,"&gt;="&amp;DATE(2026,10,15),'DRAFT 2'!$A:$A,"&lt;="&amp;DATE(2026,10,21))</f>
        <v>0</v>
      </c>
      <c r="HR42">
        <f>COUNTIFS('DRAFT 2'!$D:$D,$B42,'DRAFT 2'!$A:$A,"&gt;="&amp;DATE(2026,10,22),'DRAFT 2'!$A:$A,"&lt;"&amp;DATE(2026,IF(10=12,10+1,10+1),1))</f>
        <v>0</v>
      </c>
      <c r="HS42">
        <f t="shared" si="25"/>
        <v>0</v>
      </c>
      <c r="IC42">
        <f>IFERROR(LOOKUP(2,1/('DRAFT 2'!$D:$D=$B42)*('DRAFT 2'!$A:$A&gt;=DATE(2026,11,1))*('DRAFT 2'!$A:$A&lt;DATE(2026,IF(11=12,11+1,11+1),1)),'DRAFT 2'!$A:$A),"")</f>
        <v>0</v>
      </c>
      <c r="ID42">
        <f>COUNTIFS('DRAFT 2'!$D:$D,$B42,'DRAFT 2'!$A:$A,"&gt;="&amp;DATE(2026,11,1),'DRAFT 2'!$A:$A,"&lt;="&amp;DATE(2026,11,7))</f>
        <v>0</v>
      </c>
      <c r="IE42">
        <f>COUNTIFS('DRAFT 2'!$D:$D,$B42,'DRAFT 2'!$A:$A,"&gt;="&amp;DATE(2026,11,8),'DRAFT 2'!$A:$A,"&lt;="&amp;DATE(2026,11,14))</f>
        <v>0</v>
      </c>
      <c r="IF42">
        <f>COUNTIFS('DRAFT 2'!$D:$D,$B42,'DRAFT 2'!$A:$A,"&gt;="&amp;DATE(2026,11,15),'DRAFT 2'!$A:$A,"&lt;="&amp;DATE(2026,11,21))</f>
        <v>0</v>
      </c>
      <c r="IG42">
        <f>COUNTIFS('DRAFT 2'!$D:$D,$B42,'DRAFT 2'!$A:$A,"&gt;="&amp;DATE(2026,11,22),'DRAFT 2'!$A:$A,"&lt;"&amp;DATE(2026,IF(11=12,11+1,11+1),1))</f>
        <v>0</v>
      </c>
      <c r="IH42">
        <f t="shared" si="26"/>
        <v>0</v>
      </c>
      <c r="IR42">
        <f>IFERROR(LOOKUP(2,1/('DRAFT 2'!$D:$D=$B42)*('DRAFT 2'!$A:$A&gt;=DATE(2026,12,1))*('DRAFT 2'!$A:$A&lt;DATE(2026,IF(12=12,12+1,12+1),1)),'DRAFT 2'!$A:$A),"")</f>
        <v>0</v>
      </c>
      <c r="IS42">
        <f>COUNTIFS('DRAFT 2'!$D:$D,$B42,'DRAFT 2'!$A:$A,"&gt;="&amp;DATE(2026,12,1),'DRAFT 2'!$A:$A,"&lt;="&amp;DATE(2026,12,7))</f>
        <v>0</v>
      </c>
      <c r="IT42">
        <f>COUNTIFS('DRAFT 2'!$D:$D,$B42,'DRAFT 2'!$A:$A,"&gt;="&amp;DATE(2026,12,8),'DRAFT 2'!$A:$A,"&lt;="&amp;DATE(2026,12,14))</f>
        <v>0</v>
      </c>
      <c r="IU42">
        <f>COUNTIFS('DRAFT 2'!$D:$D,$B42,'DRAFT 2'!$A:$A,"&gt;="&amp;DATE(2026,12,15),'DRAFT 2'!$A:$A,"&lt;="&amp;DATE(2026,12,21))</f>
        <v>0</v>
      </c>
      <c r="IV42">
        <f>COUNTIFS('DRAFT 2'!$D:$D,$B42,'DRAFT 2'!$A:$A,"&gt;="&amp;DATE(2026,12,22),'DRAFT 2'!$A:$A,"&lt;"&amp;DATE(2026,IF(12=12,12+1,12+1),1))</f>
        <v>0</v>
      </c>
      <c r="IW42">
        <f t="shared" si="27"/>
        <v>0</v>
      </c>
    </row>
    <row r="43" spans="1:257" x14ac:dyDescent="0.3">
      <c r="A43" t="str">
        <f>IFERROR(INDEX('DRAFT 1'!$A:$A,MATCH($B43,'DRAFT 1'!$B:$B,0)),"")</f>
        <v/>
      </c>
      <c r="C43" t="str">
        <f>IFERROR(INDEX('DRAFT 1'!$C:$C,MATCH($B43,'DRAFT 1'!$B:$B,0)),"")</f>
        <v/>
      </c>
      <c r="D43" t="str">
        <f>IFERROR(INDEX('DRAFT 1'!$D:$D,MATCH($B43,'DRAFT 1'!$B:$B,0)),"")</f>
        <v/>
      </c>
      <c r="E43" t="str">
        <f>IFERROR(INDEX('DRAFT 1'!$E:$E,MATCH($B43,'DRAFT 1'!$B:$B,0)),"")</f>
        <v/>
      </c>
      <c r="F43" t="str">
        <f>IFERROR(INDEX('DRAFT 1'!$F:$F,MATCH($B43,'DRAFT 1'!$B:$B,0)),"")</f>
        <v/>
      </c>
      <c r="G43" t="str">
        <f>IFERROR(INDEX('DRAFT 1'!$G:$G,MATCH($B43,'DRAFT 1'!$B:$B,0)),"")</f>
        <v/>
      </c>
      <c r="H43" t="str">
        <f>IFERROR(INDEX('DRAFT 1'!$H:$H,MATCH($B43,'DRAFT 1'!$B:$B,0)),"")</f>
        <v/>
      </c>
      <c r="I43" t="s">
        <v>283</v>
      </c>
      <c r="K43" t="str">
        <f>IFERROR(INDEX('DRAFT 1'!$AL:$AL,MATCH($B43,'DRAFT 1'!$B:$B,0)),"")</f>
        <v/>
      </c>
      <c r="L43" t="str">
        <f>IFERROR(INDEX('DRAFT 1'!$J:$J,MATCH($B43,'DRAFT 1'!$B:$B,0)),"")</f>
        <v/>
      </c>
      <c r="M43" t="str">
        <f>IFERROR(INDEX('DRAFT 1'!$K:$K,MATCH($B43,'DRAFT 1'!$B:$B,0)),"")</f>
        <v/>
      </c>
      <c r="N43" t="s">
        <v>79</v>
      </c>
      <c r="P43" t="str">
        <f>IFERROR(INDEX('DRAFT 1'!$L:$L,MATCH($B43,'DRAFT 1'!$B:$B,0)),"")</f>
        <v/>
      </c>
      <c r="Q43" t="str">
        <f>IFERROR(INDEX('DRAFT 1'!$M:$M,MATCH($B43,'DRAFT 1'!$B:$B,0)),"")</f>
        <v/>
      </c>
      <c r="R43" t="str">
        <f>IFERROR(INDEX('DRAFT 1'!$N:$N,MATCH($B43,'DRAFT 1'!$B:$B,0)),"")</f>
        <v/>
      </c>
      <c r="S43" t="str">
        <f>IFERROR(INDEX('DRAFT 1'!$O:$O,MATCH($B43,'DRAFT 1'!$B:$B,0)),"")</f>
        <v/>
      </c>
      <c r="T43" t="str">
        <f>IFERROR(INDEX('DRAFT 1'!$P:$P,MATCH($B43,'DRAFT 1'!$B:$B,0)),"")</f>
        <v/>
      </c>
      <c r="U43" t="str">
        <f>IFERROR(INDEX('DRAFT 1'!$Q:$Q,MATCH($B43,'DRAFT 1'!$B:$B,0)),"")</f>
        <v/>
      </c>
      <c r="V43" t="str">
        <f>IFERROR(INDEX('DRAFT 1'!$R:$R,MATCH($B43,'DRAFT 1'!$B:$B,0)),"")</f>
        <v/>
      </c>
      <c r="W43" t="str">
        <f>IFERROR(INDEX('DRAFT 1'!$S:$S,MATCH($B43,'DRAFT 1'!$B:$B,0)),"")</f>
        <v/>
      </c>
      <c r="X43" t="str">
        <f>IFERROR(INDEX('DRAFT 1'!$T:$T,MATCH($B43,'DRAFT 1'!$B:$B,0)),"")</f>
        <v/>
      </c>
      <c r="Z43" t="str">
        <f>IFERROR(INDEX('DRAFT 1'!$U:$U,MATCH($B43,'DRAFT 1'!$B:$B,0)),"")</f>
        <v/>
      </c>
      <c r="AA43" t="str">
        <f>IFERROR(INDEX('DRAFT 1'!$V:$V,MATCH($B43,'DRAFT 1'!$B:$B,0)),"")</f>
        <v/>
      </c>
      <c r="AB43" t="str">
        <f>IFERROR(INDEX('DRAFT 1'!$W:$W,MATCH($B43,'DRAFT 1'!$B:$B,0)),"")</f>
        <v/>
      </c>
      <c r="AC43" t="str">
        <f>IFERROR(INDEX('DRAFT 1'!$X:$X,MATCH($B43,'DRAFT 1'!$B:$B,0)),"")</f>
        <v/>
      </c>
      <c r="AD43" t="str">
        <f>IFERROR(INDEX('DRAFT 1'!$Y:$Y,MATCH($B43,'DRAFT 1'!$B:$B,0)),"")</f>
        <v/>
      </c>
      <c r="AE43" t="str">
        <f>IFERROR(INDEX('DRAFT 1'!$Z:$Z,MATCH($B43,'DRAFT 1'!$B:$B,0)),"")</f>
        <v/>
      </c>
      <c r="AF43" t="str">
        <f>IFERROR(INDEX('DRAFT 1'!$AA:$AA,MATCH($B43,'DRAFT 1'!$B:$B,0)),"")</f>
        <v/>
      </c>
      <c r="AG43" t="str">
        <f>IFERROR(INDEX('DRAFT 1'!$AB:$AB,MATCH($B43,'DRAFT 1'!$B:$B,0)),"")</f>
        <v/>
      </c>
      <c r="AH43" t="str">
        <f>IFERROR(INDEX('DRAFT 1'!$AC:$AC,MATCH($B43,'DRAFT 1'!$B:$B,0)),"")</f>
        <v/>
      </c>
      <c r="AI43" t="str">
        <f>IFERROR(INDEX('DRAFT 1'!$AD:$AD,MATCH($B43,'DRAFT 1'!$B:$B,0)),"")</f>
        <v/>
      </c>
      <c r="AJ43" t="str">
        <f>IFERROR(INDEX('DRAFT 1'!$AE:$AE,MATCH($B43,'DRAFT 1'!$B:$B,0)),"")</f>
        <v/>
      </c>
      <c r="AK43" t="str">
        <f>IFERROR(INDEX('DRAFT 1'!$AG:$AG,MATCH($B43,'DRAFT 1'!$B:$B,0)),"")</f>
        <v/>
      </c>
      <c r="AL43" t="str">
        <f>IFERROR(INDEX('DRAFT 1'!$AH:$AH,MATCH($B43,'DRAFT 1'!$B:$B,0)),"")</f>
        <v/>
      </c>
      <c r="AM43" t="str">
        <f>IFERROR(INDEX('DRAFT 1'!$AI:$AI,MATCH($B43,'DRAFT 1'!$B:$B,0)),"")</f>
        <v/>
      </c>
      <c r="AN43" t="str">
        <f>IFERROR(INDEX('DRAFT 1'!$AJ:$AJ,MATCH($B43,'DRAFT 1'!$B:$B,0)),"")</f>
        <v/>
      </c>
      <c r="AO43">
        <f t="shared" si="14"/>
        <v>0</v>
      </c>
      <c r="AP43" t="str">
        <f>IFERROR(INDEX('DRAFT 1'!$AK:$AK,MATCH($B43,'DRAFT 1'!$B:$B,0)),"")</f>
        <v/>
      </c>
      <c r="AR43" t="s">
        <v>91</v>
      </c>
      <c r="AS43">
        <f>IFERROR(LOOKUP(2,1/('DRAFT 2'!$D:$D=$B43),'DRAFT 2'!$T:$T),"")</f>
        <v>0</v>
      </c>
      <c r="AT43">
        <f>IFERROR(LOOKUP(2,1/('DRAFT 2'!$D:$D=$B43),'DRAFT 2'!$A:$A),"")</f>
        <v>0</v>
      </c>
      <c r="AU43">
        <f>IFERROR(LOOKUP(2,1/('DRAFT 2'!$D:$D=$B43),'DRAFT 2'!$R:$R),"")</f>
        <v>0</v>
      </c>
      <c r="AV43">
        <f>IFERROR(LOOKUP(2,1/('DRAFT 2'!$D:$D=$B43),'DRAFT 2'!$S:$S),"")</f>
        <v>0</v>
      </c>
      <c r="AW43" t="s">
        <v>82</v>
      </c>
      <c r="AX43">
        <f>IFERROR(LOOKUP(2,1/('DRAFT 2'!$D:$D=$B43),'DRAFT 2'!$M:$M),"")</f>
        <v>0</v>
      </c>
      <c r="AY43">
        <f>IFERROR(LOOKUP(2,1/('DRAFT 2'!$D:$D=$B43),'DRAFT 2'!$K:$K),"")</f>
        <v>0</v>
      </c>
      <c r="BG43">
        <f>IFERROR(LOOKUP(2,1/('DRAFT 2'!$D:$D=$B43),'DRAFT 2'!$U:$U),"")</f>
        <v>0</v>
      </c>
      <c r="BH43">
        <f>IFERROR(LOOKUP(2,1/('DRAFT 2'!$D:$D=$B43),'DRAFT 2'!$V:$V),"")</f>
        <v>0</v>
      </c>
      <c r="CE43" t="str">
        <f t="shared" si="15"/>
        <v/>
      </c>
      <c r="CF43">
        <f>IFERROR(LOOKUP(2,1/('DRAFT 2'!$D:$D=$B43)*('DRAFT 2'!$A:$A&gt;=DATE(2026,1,1))*('DRAFT 2'!$A:$A&lt;DATE(2026,IF(1=12,1+1,1+1),1)),'DRAFT 2'!$A:$A),"")</f>
        <v>0</v>
      </c>
      <c r="CG43">
        <f>COUNTIFS('DRAFT 2'!$D:$D,$B43,'DRAFT 2'!$A:$A,"&gt;="&amp;DATE(2026,1,1),'DRAFT 2'!$A:$A,"&lt;="&amp;DATE(2026,1,7))</f>
        <v>0</v>
      </c>
      <c r="CH43">
        <f>COUNTIFS('DRAFT 2'!$D:$D,$B43,'DRAFT 2'!$A:$A,"&gt;="&amp;DATE(2026,1,8),'DRAFT 2'!$A:$A,"&lt;="&amp;DATE(2026,1,14))</f>
        <v>0</v>
      </c>
      <c r="CI43">
        <f>COUNTIFS('DRAFT 2'!$D:$D,$B43,'DRAFT 2'!$A:$A,"&gt;="&amp;DATE(2026,1,15),'DRAFT 2'!$A:$A,"&lt;="&amp;DATE(2026,1,21))</f>
        <v>0</v>
      </c>
      <c r="CJ43">
        <f>COUNTIFS('DRAFT 2'!$D:$D,$B43,'DRAFT 2'!$A:$A,"&gt;="&amp;DATE(2026,1,22),'DRAFT 2'!$A:$A,"&lt;"&amp;DATE(2026,IF(1=12,1+1,1+1),1))</f>
        <v>0</v>
      </c>
      <c r="CK43">
        <f t="shared" si="16"/>
        <v>0</v>
      </c>
      <c r="CT43">
        <v>0</v>
      </c>
      <c r="CU43">
        <f>IFERROR(LOOKUP(2,1/('DRAFT 2'!$D:$D=$B43)*('DRAFT 2'!$A:$A&gt;=DATE(2026,2,1))*('DRAFT 2'!$A:$A&lt;DATE(2026,IF(2=12,2+1,2+1),1)),'DRAFT 2'!$A:$A),"")</f>
        <v>0</v>
      </c>
      <c r="CV43">
        <f>COUNTIFS('DRAFT 2'!$D:$D,$B43,'DRAFT 2'!$A:$A,"&gt;="&amp;DATE(2026,2,1),'DRAFT 2'!$A:$A,"&lt;="&amp;DATE(2026,2,7))</f>
        <v>0</v>
      </c>
      <c r="CW43">
        <f>COUNTIFS('DRAFT 2'!$D:$D,$B43,'DRAFT 2'!$A:$A,"&gt;="&amp;DATE(2026,2,8),'DRAFT 2'!$A:$A,"&lt;="&amp;DATE(2026,2,14))</f>
        <v>0</v>
      </c>
      <c r="CX43">
        <f>COUNTIFS('DRAFT 2'!$D:$D,$B43,'DRAFT 2'!$A:$A,"&gt;="&amp;DATE(2026,2,15),'DRAFT 2'!$A:$A,"&lt;="&amp;DATE(2026,2,21))</f>
        <v>0</v>
      </c>
      <c r="CY43">
        <f>COUNTIFS('DRAFT 2'!$D:$D,$B43,'DRAFT 2'!$A:$A,"&gt;="&amp;DATE(2026,2,22),'DRAFT 2'!$A:$A,"&lt;"&amp;DATE(2026,IF(2=12,2+1,2+1),1))</f>
        <v>0</v>
      </c>
      <c r="CZ43">
        <f t="shared" si="17"/>
        <v>0</v>
      </c>
      <c r="DJ43">
        <f>IFERROR(LOOKUP(2,1/('DRAFT 2'!$D:$D=$B43)*('DRAFT 2'!$A:$A&gt;=DATE(2026,3,1))*('DRAFT 2'!$A:$A&lt;DATE(2026,IF(3=12,3+1,3+1),1)),'DRAFT 2'!$A:$A),"")</f>
        <v>0</v>
      </c>
      <c r="DK43">
        <f>COUNTIFS('DRAFT 2'!$D:$D,$B43,'DRAFT 2'!$A:$A,"&gt;="&amp;DATE(2026,3,1),'DRAFT 2'!$A:$A,"&lt;="&amp;DATE(2026,3,7))</f>
        <v>0</v>
      </c>
      <c r="DL43">
        <f>COUNTIFS('DRAFT 2'!$D:$D,$B43,'DRAFT 2'!$A:$A,"&gt;="&amp;DATE(2026,3,8),'DRAFT 2'!$A:$A,"&lt;="&amp;DATE(2026,3,14))</f>
        <v>0</v>
      </c>
      <c r="DM43">
        <f>COUNTIFS('DRAFT 2'!$D:$D,$B43,'DRAFT 2'!$A:$A,"&gt;="&amp;DATE(2026,3,15),'DRAFT 2'!$A:$A,"&lt;="&amp;DATE(2026,3,21))</f>
        <v>0</v>
      </c>
      <c r="DN43">
        <f>COUNTIFS('DRAFT 2'!$D:$D,$B43,'DRAFT 2'!$A:$A,"&gt;="&amp;DATE(2026,3,22),'DRAFT 2'!$A:$A,"&lt;"&amp;DATE(2026,IF(3=12,3+1,3+1),1))</f>
        <v>0</v>
      </c>
      <c r="DO43">
        <f t="shared" si="18"/>
        <v>0</v>
      </c>
      <c r="DZ43">
        <f>IFERROR(LOOKUP(2,1/('DRAFT 2'!$D:$D=$B43)*('DRAFT 2'!$A:$A&gt;=DATE(2026,4,1))*('DRAFT 2'!$A:$A&lt;DATE(2026,IF(4=12,4+1,4+1),1)),'DRAFT 2'!$A:$A),"")</f>
        <v>0</v>
      </c>
      <c r="EA43">
        <f>COUNTIFS('DRAFT 2'!$D:$D,$B43,'DRAFT 2'!$A:$A,"&gt;="&amp;DATE(2026,4,1),'DRAFT 2'!$A:$A,"&lt;="&amp;DATE(2026,4,7))</f>
        <v>0</v>
      </c>
      <c r="EB43">
        <f>COUNTIFS('DRAFT 2'!$D:$D,$B43,'DRAFT 2'!$A:$A,"&gt;="&amp;DATE(2026,4,8),'DRAFT 2'!$A:$A,"&lt;="&amp;DATE(2026,4,14))</f>
        <v>0</v>
      </c>
      <c r="EC43">
        <f>COUNTIFS('DRAFT 2'!$D:$D,$B43,'DRAFT 2'!$A:$A,"&gt;="&amp;DATE(2026,4,15),'DRAFT 2'!$A:$A,"&lt;="&amp;DATE(2026,4,21))</f>
        <v>0</v>
      </c>
      <c r="ED43">
        <f>COUNTIFS('DRAFT 2'!$D:$D,$B43,'DRAFT 2'!$A:$A,"&gt;="&amp;DATE(2026,4,22),'DRAFT 2'!$A:$A,"&lt;"&amp;DATE(2026,IF(4=12,4+1,4+1),1))</f>
        <v>0</v>
      </c>
      <c r="EE43">
        <f t="shared" si="19"/>
        <v>0</v>
      </c>
      <c r="EO43">
        <f>IFERROR(LOOKUP(2,1/('DRAFT 2'!$D:$D=$B43)*('DRAFT 2'!$A:$A&gt;=DATE(2026,5,1))*('DRAFT 2'!$A:$A&lt;DATE(2026,IF(5=12,5+1,5+1),1)),'DRAFT 2'!$A:$A),"")</f>
        <v>0</v>
      </c>
      <c r="EP43">
        <f>COUNTIFS('DRAFT 2'!$D:$D,$B43,'DRAFT 2'!$A:$A,"&gt;="&amp;DATE(2026,5,1),'DRAFT 2'!$A:$A,"&lt;="&amp;DATE(2026,5,7))</f>
        <v>0</v>
      </c>
      <c r="EQ43">
        <f>COUNTIFS('DRAFT 2'!$D:$D,$B43,'DRAFT 2'!$A:$A,"&gt;="&amp;DATE(2026,5,8),'DRAFT 2'!$A:$A,"&lt;="&amp;DATE(2026,5,14))</f>
        <v>0</v>
      </c>
      <c r="ER43">
        <f>COUNTIFS('DRAFT 2'!$D:$D,$B43,'DRAFT 2'!$A:$A,"&gt;="&amp;DATE(2026,5,15),'DRAFT 2'!$A:$A,"&lt;="&amp;DATE(2026,5,21))</f>
        <v>0</v>
      </c>
      <c r="ES43">
        <f>COUNTIFS('DRAFT 2'!$D:$D,$B43,'DRAFT 2'!$A:$A,"&gt;="&amp;DATE(2026,5,22),'DRAFT 2'!$A:$A,"&lt;"&amp;DATE(2026,IF(5=12,5+1,5+1),1))</f>
        <v>0</v>
      </c>
      <c r="ET43">
        <f t="shared" si="20"/>
        <v>0</v>
      </c>
      <c r="FD43">
        <f>IFERROR(LOOKUP(2,1/('DRAFT 2'!$D:$D=$B43)*('DRAFT 2'!$A:$A&gt;=DATE(2026,6,1))*('DRAFT 2'!$A:$A&lt;DATE(2026,IF(6=12,6+1,6+1),1)),'DRAFT 2'!$A:$A),"")</f>
        <v>0</v>
      </c>
      <c r="FE43">
        <f>COUNTIFS('DRAFT 2'!$D:$D,$B43,'DRAFT 2'!$A:$A,"&gt;="&amp;DATE(2026,6,1),'DRAFT 2'!$A:$A,"&lt;="&amp;DATE(2026,6,7))</f>
        <v>0</v>
      </c>
      <c r="FF43">
        <f>COUNTIFS('DRAFT 2'!$D:$D,$B43,'DRAFT 2'!$A:$A,"&gt;="&amp;DATE(2026,6,8),'DRAFT 2'!$A:$A,"&lt;="&amp;DATE(2026,6,14))</f>
        <v>0</v>
      </c>
      <c r="FG43">
        <f>COUNTIFS('DRAFT 2'!$D:$D,$B43,'DRAFT 2'!$A:$A,"&gt;="&amp;DATE(2026,6,15),'DRAFT 2'!$A:$A,"&lt;="&amp;DATE(2026,6,21))</f>
        <v>0</v>
      </c>
      <c r="FH43">
        <f>COUNTIFS('DRAFT 2'!$D:$D,$B43,'DRAFT 2'!$A:$A,"&gt;="&amp;DATE(2026,6,22),'DRAFT 2'!$A:$A,"&lt;"&amp;DATE(2026,IF(6=12,6+1,6+1),1))</f>
        <v>0</v>
      </c>
      <c r="FI43">
        <f t="shared" si="21"/>
        <v>0</v>
      </c>
      <c r="FT43">
        <f>IFERROR(LOOKUP(2,1/('DRAFT 2'!$D:$D=$B43)*('DRAFT 2'!$A:$A&gt;=DATE(2026,7,1))*('DRAFT 2'!$A:$A&lt;DATE(2026,IF(7=12,7+1,7+1),1)),'DRAFT 2'!$A:$A),"")</f>
        <v>0</v>
      </c>
      <c r="FU43">
        <f>COUNTIFS('DRAFT 2'!$D:$D,$B43,'DRAFT 2'!$A:$A,"&gt;="&amp;DATE(2026,7,1),'DRAFT 2'!$A:$A,"&lt;="&amp;DATE(2026,7,7))</f>
        <v>0</v>
      </c>
      <c r="FV43">
        <f>COUNTIFS('DRAFT 2'!$D:$D,$B43,'DRAFT 2'!$A:$A,"&gt;="&amp;DATE(2026,7,8),'DRAFT 2'!$A:$A,"&lt;="&amp;DATE(2026,7,14))</f>
        <v>0</v>
      </c>
      <c r="FW43">
        <f>COUNTIFS('DRAFT 2'!$D:$D,$B43,'DRAFT 2'!$A:$A,"&gt;="&amp;DATE(2026,7,15),'DRAFT 2'!$A:$A,"&lt;="&amp;DATE(2026,7,21))</f>
        <v>0</v>
      </c>
      <c r="FX43">
        <f>COUNTIFS('DRAFT 2'!$D:$D,$B43,'DRAFT 2'!$A:$A,"&gt;="&amp;DATE(2026,7,22),'DRAFT 2'!$A:$A,"&lt;"&amp;DATE(2026,IF(7=12,7+1,7+1),1))</f>
        <v>0</v>
      </c>
      <c r="FY43">
        <f t="shared" si="22"/>
        <v>0</v>
      </c>
      <c r="GI43">
        <f>IFERROR(LOOKUP(2,1/('DRAFT 2'!$D:$D=$B43)*('DRAFT 2'!$A:$A&gt;=DATE(2026,8,1))*('DRAFT 2'!$A:$A&lt;DATE(2026,IF(8=12,8+1,8+1),1)),'DRAFT 2'!$A:$A),"")</f>
        <v>0</v>
      </c>
      <c r="GJ43">
        <f>COUNTIFS('DRAFT 2'!$D:$D,$B43,'DRAFT 2'!$A:$A,"&gt;="&amp;DATE(2026,8,1),'DRAFT 2'!$A:$A,"&lt;="&amp;DATE(2026,8,7))</f>
        <v>0</v>
      </c>
      <c r="GK43">
        <f>COUNTIFS('DRAFT 2'!$D:$D,$B43,'DRAFT 2'!$A:$A,"&gt;="&amp;DATE(2026,8,8),'DRAFT 2'!$A:$A,"&lt;="&amp;DATE(2026,8,14))</f>
        <v>0</v>
      </c>
      <c r="GL43">
        <f>COUNTIFS('DRAFT 2'!$D:$D,$B43,'DRAFT 2'!$A:$A,"&gt;="&amp;DATE(2026,8,15),'DRAFT 2'!$A:$A,"&lt;="&amp;DATE(2026,8,21))</f>
        <v>0</v>
      </c>
      <c r="GM43">
        <f>COUNTIFS('DRAFT 2'!$D:$D,$B43,'DRAFT 2'!$A:$A,"&gt;="&amp;DATE(2026,8,22),'DRAFT 2'!$A:$A,"&lt;"&amp;DATE(2026,IF(8=12,8+1,8+1),1))</f>
        <v>0</v>
      </c>
      <c r="GN43">
        <f t="shared" si="23"/>
        <v>0</v>
      </c>
      <c r="GX43">
        <f>IFERROR(LOOKUP(2,1/('DRAFT 2'!$D:$D=$B43)*('DRAFT 2'!$A:$A&gt;=DATE(2026,9,1))*('DRAFT 2'!$A:$A&lt;DATE(2026,IF(9=12,9+1,9+1),1)),'DRAFT 2'!$A:$A),"")</f>
        <v>0</v>
      </c>
      <c r="GY43">
        <f>COUNTIFS('DRAFT 2'!$D:$D,$B43,'DRAFT 2'!$A:$A,"&gt;="&amp;DATE(2026,9,1),'DRAFT 2'!$A:$A,"&lt;="&amp;DATE(2026,9,7))</f>
        <v>0</v>
      </c>
      <c r="GZ43">
        <f>COUNTIFS('DRAFT 2'!$D:$D,$B43,'DRAFT 2'!$A:$A,"&gt;="&amp;DATE(2026,9,8),'DRAFT 2'!$A:$A,"&lt;="&amp;DATE(2026,9,14))</f>
        <v>0</v>
      </c>
      <c r="HA43">
        <f>COUNTIFS('DRAFT 2'!$D:$D,$B43,'DRAFT 2'!$A:$A,"&gt;="&amp;DATE(2026,9,15),'DRAFT 2'!$A:$A,"&lt;="&amp;DATE(2026,9,21))</f>
        <v>0</v>
      </c>
      <c r="HB43">
        <f>COUNTIFS('DRAFT 2'!$D:$D,$B43,'DRAFT 2'!$A:$A,"&gt;="&amp;DATE(2026,9,22),'DRAFT 2'!$A:$A,"&lt;"&amp;DATE(2026,IF(9=12,9+1,9+1),1))</f>
        <v>0</v>
      </c>
      <c r="HC43">
        <f t="shared" si="24"/>
        <v>0</v>
      </c>
      <c r="HN43">
        <f>IFERROR(LOOKUP(2,1/('DRAFT 2'!$D:$D=$B43)*('DRAFT 2'!$A:$A&gt;=DATE(2026,10,1))*('DRAFT 2'!$A:$A&lt;DATE(2026,IF(10=12,10+1,10+1),1)),'DRAFT 2'!$A:$A),"")</f>
        <v>0</v>
      </c>
      <c r="HO43">
        <f>COUNTIFS('DRAFT 2'!$D:$D,$B43,'DRAFT 2'!$A:$A,"&gt;="&amp;DATE(2026,10,1),'DRAFT 2'!$A:$A,"&lt;="&amp;DATE(2026,10,7))</f>
        <v>0</v>
      </c>
      <c r="HP43">
        <f>COUNTIFS('DRAFT 2'!$D:$D,$B43,'DRAFT 2'!$A:$A,"&gt;="&amp;DATE(2026,10,8),'DRAFT 2'!$A:$A,"&lt;="&amp;DATE(2026,10,14))</f>
        <v>0</v>
      </c>
      <c r="HQ43">
        <f>COUNTIFS('DRAFT 2'!$D:$D,$B43,'DRAFT 2'!$A:$A,"&gt;="&amp;DATE(2026,10,15),'DRAFT 2'!$A:$A,"&lt;="&amp;DATE(2026,10,21))</f>
        <v>0</v>
      </c>
      <c r="HR43">
        <f>COUNTIFS('DRAFT 2'!$D:$D,$B43,'DRAFT 2'!$A:$A,"&gt;="&amp;DATE(2026,10,22),'DRAFT 2'!$A:$A,"&lt;"&amp;DATE(2026,IF(10=12,10+1,10+1),1))</f>
        <v>0</v>
      </c>
      <c r="HS43">
        <f t="shared" si="25"/>
        <v>0</v>
      </c>
      <c r="IC43">
        <f>IFERROR(LOOKUP(2,1/('DRAFT 2'!$D:$D=$B43)*('DRAFT 2'!$A:$A&gt;=DATE(2026,11,1))*('DRAFT 2'!$A:$A&lt;DATE(2026,IF(11=12,11+1,11+1),1)),'DRAFT 2'!$A:$A),"")</f>
        <v>0</v>
      </c>
      <c r="ID43">
        <f>COUNTIFS('DRAFT 2'!$D:$D,$B43,'DRAFT 2'!$A:$A,"&gt;="&amp;DATE(2026,11,1),'DRAFT 2'!$A:$A,"&lt;="&amp;DATE(2026,11,7))</f>
        <v>0</v>
      </c>
      <c r="IE43">
        <f>COUNTIFS('DRAFT 2'!$D:$D,$B43,'DRAFT 2'!$A:$A,"&gt;="&amp;DATE(2026,11,8),'DRAFT 2'!$A:$A,"&lt;="&amp;DATE(2026,11,14))</f>
        <v>0</v>
      </c>
      <c r="IF43">
        <f>COUNTIFS('DRAFT 2'!$D:$D,$B43,'DRAFT 2'!$A:$A,"&gt;="&amp;DATE(2026,11,15),'DRAFT 2'!$A:$A,"&lt;="&amp;DATE(2026,11,21))</f>
        <v>0</v>
      </c>
      <c r="IG43">
        <f>COUNTIFS('DRAFT 2'!$D:$D,$B43,'DRAFT 2'!$A:$A,"&gt;="&amp;DATE(2026,11,22),'DRAFT 2'!$A:$A,"&lt;"&amp;DATE(2026,IF(11=12,11+1,11+1),1))</f>
        <v>0</v>
      </c>
      <c r="IH43">
        <f t="shared" si="26"/>
        <v>0</v>
      </c>
      <c r="IR43">
        <f>IFERROR(LOOKUP(2,1/('DRAFT 2'!$D:$D=$B43)*('DRAFT 2'!$A:$A&gt;=DATE(2026,12,1))*('DRAFT 2'!$A:$A&lt;DATE(2026,IF(12=12,12+1,12+1),1)),'DRAFT 2'!$A:$A),"")</f>
        <v>0</v>
      </c>
      <c r="IS43">
        <f>COUNTIFS('DRAFT 2'!$D:$D,$B43,'DRAFT 2'!$A:$A,"&gt;="&amp;DATE(2026,12,1),'DRAFT 2'!$A:$A,"&lt;="&amp;DATE(2026,12,7))</f>
        <v>0</v>
      </c>
      <c r="IT43">
        <f>COUNTIFS('DRAFT 2'!$D:$D,$B43,'DRAFT 2'!$A:$A,"&gt;="&amp;DATE(2026,12,8),'DRAFT 2'!$A:$A,"&lt;="&amp;DATE(2026,12,14))</f>
        <v>0</v>
      </c>
      <c r="IU43">
        <f>COUNTIFS('DRAFT 2'!$D:$D,$B43,'DRAFT 2'!$A:$A,"&gt;="&amp;DATE(2026,12,15),'DRAFT 2'!$A:$A,"&lt;="&amp;DATE(2026,12,21))</f>
        <v>0</v>
      </c>
      <c r="IV43">
        <f>COUNTIFS('DRAFT 2'!$D:$D,$B43,'DRAFT 2'!$A:$A,"&gt;="&amp;DATE(2026,12,22),'DRAFT 2'!$A:$A,"&lt;"&amp;DATE(2026,IF(12=12,12+1,12+1),1))</f>
        <v>0</v>
      </c>
      <c r="IW43">
        <f t="shared" si="27"/>
        <v>0</v>
      </c>
    </row>
    <row r="44" spans="1:257" x14ac:dyDescent="0.3">
      <c r="A44" t="str">
        <f>IFERROR(INDEX('DRAFT 1'!$A:$A,MATCH($B44,'DRAFT 1'!$B:$B,0)),"")</f>
        <v/>
      </c>
      <c r="C44" t="str">
        <f>IFERROR(INDEX('DRAFT 1'!$C:$C,MATCH($B44,'DRAFT 1'!$B:$B,0)),"")</f>
        <v/>
      </c>
      <c r="D44" t="str">
        <f>IFERROR(INDEX('DRAFT 1'!$D:$D,MATCH($B44,'DRAFT 1'!$B:$B,0)),"")</f>
        <v/>
      </c>
      <c r="E44" t="str">
        <f>IFERROR(INDEX('DRAFT 1'!$E:$E,MATCH($B44,'DRAFT 1'!$B:$B,0)),"")</f>
        <v/>
      </c>
      <c r="F44" t="str">
        <f>IFERROR(INDEX('DRAFT 1'!$F:$F,MATCH($B44,'DRAFT 1'!$B:$B,0)),"")</f>
        <v/>
      </c>
      <c r="G44" t="str">
        <f>IFERROR(INDEX('DRAFT 1'!$G:$G,MATCH($B44,'DRAFT 1'!$B:$B,0)),"")</f>
        <v/>
      </c>
      <c r="H44" t="str">
        <f>IFERROR(INDEX('DRAFT 1'!$H:$H,MATCH($B44,'DRAFT 1'!$B:$B,0)),"")</f>
        <v/>
      </c>
      <c r="I44" t="s">
        <v>296</v>
      </c>
      <c r="K44" t="str">
        <f>IFERROR(INDEX('DRAFT 1'!$AL:$AL,MATCH($B44,'DRAFT 1'!$B:$B,0)),"")</f>
        <v/>
      </c>
      <c r="L44" t="str">
        <f>IFERROR(INDEX('DRAFT 1'!$J:$J,MATCH($B44,'DRAFT 1'!$B:$B,0)),"")</f>
        <v/>
      </c>
      <c r="M44" t="str">
        <f>IFERROR(INDEX('DRAFT 1'!$K:$K,MATCH($B44,'DRAFT 1'!$B:$B,0)),"")</f>
        <v/>
      </c>
      <c r="N44" t="s">
        <v>74</v>
      </c>
      <c r="P44" t="str">
        <f>IFERROR(INDEX('DRAFT 1'!$L:$L,MATCH($B44,'DRAFT 1'!$B:$B,0)),"")</f>
        <v/>
      </c>
      <c r="Q44" t="str">
        <f>IFERROR(INDEX('DRAFT 1'!$M:$M,MATCH($B44,'DRAFT 1'!$B:$B,0)),"")</f>
        <v/>
      </c>
      <c r="R44" t="str">
        <f>IFERROR(INDEX('DRAFT 1'!$N:$N,MATCH($B44,'DRAFT 1'!$B:$B,0)),"")</f>
        <v/>
      </c>
      <c r="S44" t="str">
        <f>IFERROR(INDEX('DRAFT 1'!$O:$O,MATCH($B44,'DRAFT 1'!$B:$B,0)),"")</f>
        <v/>
      </c>
      <c r="T44" t="str">
        <f>IFERROR(INDEX('DRAFT 1'!$P:$P,MATCH($B44,'DRAFT 1'!$B:$B,0)),"")</f>
        <v/>
      </c>
      <c r="U44" t="str">
        <f>IFERROR(INDEX('DRAFT 1'!$Q:$Q,MATCH($B44,'DRAFT 1'!$B:$B,0)),"")</f>
        <v/>
      </c>
      <c r="V44" t="str">
        <f>IFERROR(INDEX('DRAFT 1'!$R:$R,MATCH($B44,'DRAFT 1'!$B:$B,0)),"")</f>
        <v/>
      </c>
      <c r="W44" t="str">
        <f>IFERROR(INDEX('DRAFT 1'!$S:$S,MATCH($B44,'DRAFT 1'!$B:$B,0)),"")</f>
        <v/>
      </c>
      <c r="X44" t="str">
        <f>IFERROR(INDEX('DRAFT 1'!$T:$T,MATCH($B44,'DRAFT 1'!$B:$B,0)),"")</f>
        <v/>
      </c>
      <c r="Z44" t="str">
        <f>IFERROR(INDEX('DRAFT 1'!$U:$U,MATCH($B44,'DRAFT 1'!$B:$B,0)),"")</f>
        <v/>
      </c>
      <c r="AA44" t="str">
        <f>IFERROR(INDEX('DRAFT 1'!$V:$V,MATCH($B44,'DRAFT 1'!$B:$B,0)),"")</f>
        <v/>
      </c>
      <c r="AB44" t="str">
        <f>IFERROR(INDEX('DRAFT 1'!$W:$W,MATCH($B44,'DRAFT 1'!$B:$B,0)),"")</f>
        <v/>
      </c>
      <c r="AC44" t="str">
        <f>IFERROR(INDEX('DRAFT 1'!$X:$X,MATCH($B44,'DRAFT 1'!$B:$B,0)),"")</f>
        <v/>
      </c>
      <c r="AD44" t="str">
        <f>IFERROR(INDEX('DRAFT 1'!$Y:$Y,MATCH($B44,'DRAFT 1'!$B:$B,0)),"")</f>
        <v/>
      </c>
      <c r="AE44" t="str">
        <f>IFERROR(INDEX('DRAFT 1'!$Z:$Z,MATCH($B44,'DRAFT 1'!$B:$B,0)),"")</f>
        <v/>
      </c>
      <c r="AF44" t="str">
        <f>IFERROR(INDEX('DRAFT 1'!$AA:$AA,MATCH($B44,'DRAFT 1'!$B:$B,0)),"")</f>
        <v/>
      </c>
      <c r="AG44" t="str">
        <f>IFERROR(INDEX('DRAFT 1'!$AB:$AB,MATCH($B44,'DRAFT 1'!$B:$B,0)),"")</f>
        <v/>
      </c>
      <c r="AH44" t="str">
        <f>IFERROR(INDEX('DRAFT 1'!$AC:$AC,MATCH($B44,'DRAFT 1'!$B:$B,0)),"")</f>
        <v/>
      </c>
      <c r="AI44" t="str">
        <f>IFERROR(INDEX('DRAFT 1'!$AD:$AD,MATCH($B44,'DRAFT 1'!$B:$B,0)),"")</f>
        <v/>
      </c>
      <c r="AJ44" t="str">
        <f>IFERROR(INDEX('DRAFT 1'!$AE:$AE,MATCH($B44,'DRAFT 1'!$B:$B,0)),"")</f>
        <v/>
      </c>
      <c r="AK44" t="str">
        <f>IFERROR(INDEX('DRAFT 1'!$AG:$AG,MATCH($B44,'DRAFT 1'!$B:$B,0)),"")</f>
        <v/>
      </c>
      <c r="AL44" t="str">
        <f>IFERROR(INDEX('DRAFT 1'!$AH:$AH,MATCH($B44,'DRAFT 1'!$B:$B,0)),"")</f>
        <v/>
      </c>
      <c r="AM44" t="str">
        <f>IFERROR(INDEX('DRAFT 1'!$AI:$AI,MATCH($B44,'DRAFT 1'!$B:$B,0)),"")</f>
        <v/>
      </c>
      <c r="AN44" t="str">
        <f>IFERROR(INDEX('DRAFT 1'!$AJ:$AJ,MATCH($B44,'DRAFT 1'!$B:$B,0)),"")</f>
        <v/>
      </c>
      <c r="AO44">
        <f t="shared" si="14"/>
        <v>0</v>
      </c>
      <c r="AP44" t="str">
        <f>IFERROR(INDEX('DRAFT 1'!$AK:$AK,MATCH($B44,'DRAFT 1'!$B:$B,0)),"")</f>
        <v/>
      </c>
      <c r="AR44" t="s">
        <v>65</v>
      </c>
      <c r="AS44">
        <f>IFERROR(LOOKUP(2,1/('DRAFT 2'!$D:$D=$B44),'DRAFT 2'!$T:$T),"")</f>
        <v>0</v>
      </c>
      <c r="AT44">
        <f>IFERROR(LOOKUP(2,1/('DRAFT 2'!$D:$D=$B44),'DRAFT 2'!$A:$A),"")</f>
        <v>0</v>
      </c>
      <c r="AU44">
        <f>IFERROR(LOOKUP(2,1/('DRAFT 2'!$D:$D=$B44),'DRAFT 2'!$R:$R),"")</f>
        <v>0</v>
      </c>
      <c r="AV44">
        <f>IFERROR(LOOKUP(2,1/('DRAFT 2'!$D:$D=$B44),'DRAFT 2'!$S:$S),"")</f>
        <v>0</v>
      </c>
      <c r="AW44" t="s">
        <v>128</v>
      </c>
      <c r="AX44">
        <f>IFERROR(LOOKUP(2,1/('DRAFT 2'!$D:$D=$B44),'DRAFT 2'!$M:$M),"")</f>
        <v>0</v>
      </c>
      <c r="AY44">
        <f>IFERROR(LOOKUP(2,1/('DRAFT 2'!$D:$D=$B44),'DRAFT 2'!$K:$K),"")</f>
        <v>0</v>
      </c>
      <c r="BG44">
        <f>IFERROR(LOOKUP(2,1/('DRAFT 2'!$D:$D=$B44),'DRAFT 2'!$U:$U),"")</f>
        <v>0</v>
      </c>
      <c r="BH44">
        <f>IFERROR(LOOKUP(2,1/('DRAFT 2'!$D:$D=$B44),'DRAFT 2'!$V:$V),"")</f>
        <v>0</v>
      </c>
      <c r="CE44" t="str">
        <f t="shared" si="15"/>
        <v/>
      </c>
      <c r="CF44">
        <f>IFERROR(LOOKUP(2,1/('DRAFT 2'!$D:$D=$B44)*('DRAFT 2'!$A:$A&gt;=DATE(2026,1,1))*('DRAFT 2'!$A:$A&lt;DATE(2026,IF(1=12,1+1,1+1),1)),'DRAFT 2'!$A:$A),"")</f>
        <v>0</v>
      </c>
      <c r="CG44">
        <f>COUNTIFS('DRAFT 2'!$D:$D,$B44,'DRAFT 2'!$A:$A,"&gt;="&amp;DATE(2026,1,1),'DRAFT 2'!$A:$A,"&lt;="&amp;DATE(2026,1,7))</f>
        <v>0</v>
      </c>
      <c r="CH44">
        <f>COUNTIFS('DRAFT 2'!$D:$D,$B44,'DRAFT 2'!$A:$A,"&gt;="&amp;DATE(2026,1,8),'DRAFT 2'!$A:$A,"&lt;="&amp;DATE(2026,1,14))</f>
        <v>0</v>
      </c>
      <c r="CI44">
        <f>COUNTIFS('DRAFT 2'!$D:$D,$B44,'DRAFT 2'!$A:$A,"&gt;="&amp;DATE(2026,1,15),'DRAFT 2'!$A:$A,"&lt;="&amp;DATE(2026,1,21))</f>
        <v>0</v>
      </c>
      <c r="CJ44">
        <f>COUNTIFS('DRAFT 2'!$D:$D,$B44,'DRAFT 2'!$A:$A,"&gt;="&amp;DATE(2026,1,22),'DRAFT 2'!$A:$A,"&lt;"&amp;DATE(2026,IF(1=12,1+1,1+1),1))</f>
        <v>0</v>
      </c>
      <c r="CK44">
        <f t="shared" si="16"/>
        <v>0</v>
      </c>
      <c r="CT44">
        <v>0</v>
      </c>
      <c r="CU44">
        <f>IFERROR(LOOKUP(2,1/('DRAFT 2'!$D:$D=$B44)*('DRAFT 2'!$A:$A&gt;=DATE(2026,2,1))*('DRAFT 2'!$A:$A&lt;DATE(2026,IF(2=12,2+1,2+1),1)),'DRAFT 2'!$A:$A),"")</f>
        <v>0</v>
      </c>
      <c r="CV44">
        <f>COUNTIFS('DRAFT 2'!$D:$D,$B44,'DRAFT 2'!$A:$A,"&gt;="&amp;DATE(2026,2,1),'DRAFT 2'!$A:$A,"&lt;="&amp;DATE(2026,2,7))</f>
        <v>0</v>
      </c>
      <c r="CW44">
        <f>COUNTIFS('DRAFT 2'!$D:$D,$B44,'DRAFT 2'!$A:$A,"&gt;="&amp;DATE(2026,2,8),'DRAFT 2'!$A:$A,"&lt;="&amp;DATE(2026,2,14))</f>
        <v>0</v>
      </c>
      <c r="CX44">
        <f>COUNTIFS('DRAFT 2'!$D:$D,$B44,'DRAFT 2'!$A:$A,"&gt;="&amp;DATE(2026,2,15),'DRAFT 2'!$A:$A,"&lt;="&amp;DATE(2026,2,21))</f>
        <v>0</v>
      </c>
      <c r="CY44">
        <f>COUNTIFS('DRAFT 2'!$D:$D,$B44,'DRAFT 2'!$A:$A,"&gt;="&amp;DATE(2026,2,22),'DRAFT 2'!$A:$A,"&lt;"&amp;DATE(2026,IF(2=12,2+1,2+1),1))</f>
        <v>0</v>
      </c>
      <c r="CZ44">
        <f t="shared" si="17"/>
        <v>0</v>
      </c>
      <c r="DJ44">
        <f>IFERROR(LOOKUP(2,1/('DRAFT 2'!$D:$D=$B44)*('DRAFT 2'!$A:$A&gt;=DATE(2026,3,1))*('DRAFT 2'!$A:$A&lt;DATE(2026,IF(3=12,3+1,3+1),1)),'DRAFT 2'!$A:$A),"")</f>
        <v>0</v>
      </c>
      <c r="DK44">
        <f>COUNTIFS('DRAFT 2'!$D:$D,$B44,'DRAFT 2'!$A:$A,"&gt;="&amp;DATE(2026,3,1),'DRAFT 2'!$A:$A,"&lt;="&amp;DATE(2026,3,7))</f>
        <v>0</v>
      </c>
      <c r="DL44">
        <f>COUNTIFS('DRAFT 2'!$D:$D,$B44,'DRAFT 2'!$A:$A,"&gt;="&amp;DATE(2026,3,8),'DRAFT 2'!$A:$A,"&lt;="&amp;DATE(2026,3,14))</f>
        <v>0</v>
      </c>
      <c r="DM44">
        <f>COUNTIFS('DRAFT 2'!$D:$D,$B44,'DRAFT 2'!$A:$A,"&gt;="&amp;DATE(2026,3,15),'DRAFT 2'!$A:$A,"&lt;="&amp;DATE(2026,3,21))</f>
        <v>0</v>
      </c>
      <c r="DN44">
        <f>COUNTIFS('DRAFT 2'!$D:$D,$B44,'DRAFT 2'!$A:$A,"&gt;="&amp;DATE(2026,3,22),'DRAFT 2'!$A:$A,"&lt;"&amp;DATE(2026,IF(3=12,3+1,3+1),1))</f>
        <v>0</v>
      </c>
      <c r="DO44">
        <f t="shared" si="18"/>
        <v>0</v>
      </c>
      <c r="DZ44">
        <f>IFERROR(LOOKUP(2,1/('DRAFT 2'!$D:$D=$B44)*('DRAFT 2'!$A:$A&gt;=DATE(2026,4,1))*('DRAFT 2'!$A:$A&lt;DATE(2026,IF(4=12,4+1,4+1),1)),'DRAFT 2'!$A:$A),"")</f>
        <v>0</v>
      </c>
      <c r="EA44">
        <f>COUNTIFS('DRAFT 2'!$D:$D,$B44,'DRAFT 2'!$A:$A,"&gt;="&amp;DATE(2026,4,1),'DRAFT 2'!$A:$A,"&lt;="&amp;DATE(2026,4,7))</f>
        <v>0</v>
      </c>
      <c r="EB44">
        <f>COUNTIFS('DRAFT 2'!$D:$D,$B44,'DRAFT 2'!$A:$A,"&gt;="&amp;DATE(2026,4,8),'DRAFT 2'!$A:$A,"&lt;="&amp;DATE(2026,4,14))</f>
        <v>0</v>
      </c>
      <c r="EC44">
        <f>COUNTIFS('DRAFT 2'!$D:$D,$B44,'DRAFT 2'!$A:$A,"&gt;="&amp;DATE(2026,4,15),'DRAFT 2'!$A:$A,"&lt;="&amp;DATE(2026,4,21))</f>
        <v>0</v>
      </c>
      <c r="ED44">
        <f>COUNTIFS('DRAFT 2'!$D:$D,$B44,'DRAFT 2'!$A:$A,"&gt;="&amp;DATE(2026,4,22),'DRAFT 2'!$A:$A,"&lt;"&amp;DATE(2026,IF(4=12,4+1,4+1),1))</f>
        <v>0</v>
      </c>
      <c r="EE44">
        <f t="shared" si="19"/>
        <v>0</v>
      </c>
      <c r="EO44">
        <f>IFERROR(LOOKUP(2,1/('DRAFT 2'!$D:$D=$B44)*('DRAFT 2'!$A:$A&gt;=DATE(2026,5,1))*('DRAFT 2'!$A:$A&lt;DATE(2026,IF(5=12,5+1,5+1),1)),'DRAFT 2'!$A:$A),"")</f>
        <v>0</v>
      </c>
      <c r="EP44">
        <f>COUNTIFS('DRAFT 2'!$D:$D,$B44,'DRAFT 2'!$A:$A,"&gt;="&amp;DATE(2026,5,1),'DRAFT 2'!$A:$A,"&lt;="&amp;DATE(2026,5,7))</f>
        <v>0</v>
      </c>
      <c r="EQ44">
        <f>COUNTIFS('DRAFT 2'!$D:$D,$B44,'DRAFT 2'!$A:$A,"&gt;="&amp;DATE(2026,5,8),'DRAFT 2'!$A:$A,"&lt;="&amp;DATE(2026,5,14))</f>
        <v>0</v>
      </c>
      <c r="ER44">
        <f>COUNTIFS('DRAFT 2'!$D:$D,$B44,'DRAFT 2'!$A:$A,"&gt;="&amp;DATE(2026,5,15),'DRAFT 2'!$A:$A,"&lt;="&amp;DATE(2026,5,21))</f>
        <v>0</v>
      </c>
      <c r="ES44">
        <f>COUNTIFS('DRAFT 2'!$D:$D,$B44,'DRAFT 2'!$A:$A,"&gt;="&amp;DATE(2026,5,22),'DRAFT 2'!$A:$A,"&lt;"&amp;DATE(2026,IF(5=12,5+1,5+1),1))</f>
        <v>0</v>
      </c>
      <c r="ET44">
        <f t="shared" si="20"/>
        <v>0</v>
      </c>
      <c r="FD44">
        <f>IFERROR(LOOKUP(2,1/('DRAFT 2'!$D:$D=$B44)*('DRAFT 2'!$A:$A&gt;=DATE(2026,6,1))*('DRAFT 2'!$A:$A&lt;DATE(2026,IF(6=12,6+1,6+1),1)),'DRAFT 2'!$A:$A),"")</f>
        <v>0</v>
      </c>
      <c r="FE44">
        <f>COUNTIFS('DRAFT 2'!$D:$D,$B44,'DRAFT 2'!$A:$A,"&gt;="&amp;DATE(2026,6,1),'DRAFT 2'!$A:$A,"&lt;="&amp;DATE(2026,6,7))</f>
        <v>0</v>
      </c>
      <c r="FF44">
        <f>COUNTIFS('DRAFT 2'!$D:$D,$B44,'DRAFT 2'!$A:$A,"&gt;="&amp;DATE(2026,6,8),'DRAFT 2'!$A:$A,"&lt;="&amp;DATE(2026,6,14))</f>
        <v>0</v>
      </c>
      <c r="FG44">
        <f>COUNTIFS('DRAFT 2'!$D:$D,$B44,'DRAFT 2'!$A:$A,"&gt;="&amp;DATE(2026,6,15),'DRAFT 2'!$A:$A,"&lt;="&amp;DATE(2026,6,21))</f>
        <v>0</v>
      </c>
      <c r="FH44">
        <f>COUNTIFS('DRAFT 2'!$D:$D,$B44,'DRAFT 2'!$A:$A,"&gt;="&amp;DATE(2026,6,22),'DRAFT 2'!$A:$A,"&lt;"&amp;DATE(2026,IF(6=12,6+1,6+1),1))</f>
        <v>0</v>
      </c>
      <c r="FI44">
        <f t="shared" si="21"/>
        <v>0</v>
      </c>
      <c r="FT44">
        <f>IFERROR(LOOKUP(2,1/('DRAFT 2'!$D:$D=$B44)*('DRAFT 2'!$A:$A&gt;=DATE(2026,7,1))*('DRAFT 2'!$A:$A&lt;DATE(2026,IF(7=12,7+1,7+1),1)),'DRAFT 2'!$A:$A),"")</f>
        <v>0</v>
      </c>
      <c r="FU44">
        <f>COUNTIFS('DRAFT 2'!$D:$D,$B44,'DRAFT 2'!$A:$A,"&gt;="&amp;DATE(2026,7,1),'DRAFT 2'!$A:$A,"&lt;="&amp;DATE(2026,7,7))</f>
        <v>0</v>
      </c>
      <c r="FV44">
        <f>COUNTIFS('DRAFT 2'!$D:$D,$B44,'DRAFT 2'!$A:$A,"&gt;="&amp;DATE(2026,7,8),'DRAFT 2'!$A:$A,"&lt;="&amp;DATE(2026,7,14))</f>
        <v>0</v>
      </c>
      <c r="FW44">
        <f>COUNTIFS('DRAFT 2'!$D:$D,$B44,'DRAFT 2'!$A:$A,"&gt;="&amp;DATE(2026,7,15),'DRAFT 2'!$A:$A,"&lt;="&amp;DATE(2026,7,21))</f>
        <v>0</v>
      </c>
      <c r="FX44">
        <f>COUNTIFS('DRAFT 2'!$D:$D,$B44,'DRAFT 2'!$A:$A,"&gt;="&amp;DATE(2026,7,22),'DRAFT 2'!$A:$A,"&lt;"&amp;DATE(2026,IF(7=12,7+1,7+1),1))</f>
        <v>0</v>
      </c>
      <c r="FY44">
        <f t="shared" si="22"/>
        <v>0</v>
      </c>
      <c r="GI44">
        <f>IFERROR(LOOKUP(2,1/('DRAFT 2'!$D:$D=$B44)*('DRAFT 2'!$A:$A&gt;=DATE(2026,8,1))*('DRAFT 2'!$A:$A&lt;DATE(2026,IF(8=12,8+1,8+1),1)),'DRAFT 2'!$A:$A),"")</f>
        <v>0</v>
      </c>
      <c r="GJ44">
        <f>COUNTIFS('DRAFT 2'!$D:$D,$B44,'DRAFT 2'!$A:$A,"&gt;="&amp;DATE(2026,8,1),'DRAFT 2'!$A:$A,"&lt;="&amp;DATE(2026,8,7))</f>
        <v>0</v>
      </c>
      <c r="GK44">
        <f>COUNTIFS('DRAFT 2'!$D:$D,$B44,'DRAFT 2'!$A:$A,"&gt;="&amp;DATE(2026,8,8),'DRAFT 2'!$A:$A,"&lt;="&amp;DATE(2026,8,14))</f>
        <v>0</v>
      </c>
      <c r="GL44">
        <f>COUNTIFS('DRAFT 2'!$D:$D,$B44,'DRAFT 2'!$A:$A,"&gt;="&amp;DATE(2026,8,15),'DRAFT 2'!$A:$A,"&lt;="&amp;DATE(2026,8,21))</f>
        <v>0</v>
      </c>
      <c r="GM44">
        <f>COUNTIFS('DRAFT 2'!$D:$D,$B44,'DRAFT 2'!$A:$A,"&gt;="&amp;DATE(2026,8,22),'DRAFT 2'!$A:$A,"&lt;"&amp;DATE(2026,IF(8=12,8+1,8+1),1))</f>
        <v>0</v>
      </c>
      <c r="GN44">
        <f t="shared" si="23"/>
        <v>0</v>
      </c>
      <c r="GX44">
        <f>IFERROR(LOOKUP(2,1/('DRAFT 2'!$D:$D=$B44)*('DRAFT 2'!$A:$A&gt;=DATE(2026,9,1))*('DRAFT 2'!$A:$A&lt;DATE(2026,IF(9=12,9+1,9+1),1)),'DRAFT 2'!$A:$A),"")</f>
        <v>0</v>
      </c>
      <c r="GY44">
        <f>COUNTIFS('DRAFT 2'!$D:$D,$B44,'DRAFT 2'!$A:$A,"&gt;="&amp;DATE(2026,9,1),'DRAFT 2'!$A:$A,"&lt;="&amp;DATE(2026,9,7))</f>
        <v>0</v>
      </c>
      <c r="GZ44">
        <f>COUNTIFS('DRAFT 2'!$D:$D,$B44,'DRAFT 2'!$A:$A,"&gt;="&amp;DATE(2026,9,8),'DRAFT 2'!$A:$A,"&lt;="&amp;DATE(2026,9,14))</f>
        <v>0</v>
      </c>
      <c r="HA44">
        <f>COUNTIFS('DRAFT 2'!$D:$D,$B44,'DRAFT 2'!$A:$A,"&gt;="&amp;DATE(2026,9,15),'DRAFT 2'!$A:$A,"&lt;="&amp;DATE(2026,9,21))</f>
        <v>0</v>
      </c>
      <c r="HB44">
        <f>COUNTIFS('DRAFT 2'!$D:$D,$B44,'DRAFT 2'!$A:$A,"&gt;="&amp;DATE(2026,9,22),'DRAFT 2'!$A:$A,"&lt;"&amp;DATE(2026,IF(9=12,9+1,9+1),1))</f>
        <v>0</v>
      </c>
      <c r="HC44">
        <f t="shared" si="24"/>
        <v>0</v>
      </c>
      <c r="HN44">
        <f>IFERROR(LOOKUP(2,1/('DRAFT 2'!$D:$D=$B44)*('DRAFT 2'!$A:$A&gt;=DATE(2026,10,1))*('DRAFT 2'!$A:$A&lt;DATE(2026,IF(10=12,10+1,10+1),1)),'DRAFT 2'!$A:$A),"")</f>
        <v>0</v>
      </c>
      <c r="HO44">
        <f>COUNTIFS('DRAFT 2'!$D:$D,$B44,'DRAFT 2'!$A:$A,"&gt;="&amp;DATE(2026,10,1),'DRAFT 2'!$A:$A,"&lt;="&amp;DATE(2026,10,7))</f>
        <v>0</v>
      </c>
      <c r="HP44">
        <f>COUNTIFS('DRAFT 2'!$D:$D,$B44,'DRAFT 2'!$A:$A,"&gt;="&amp;DATE(2026,10,8),'DRAFT 2'!$A:$A,"&lt;="&amp;DATE(2026,10,14))</f>
        <v>0</v>
      </c>
      <c r="HQ44">
        <f>COUNTIFS('DRAFT 2'!$D:$D,$B44,'DRAFT 2'!$A:$A,"&gt;="&amp;DATE(2026,10,15),'DRAFT 2'!$A:$A,"&lt;="&amp;DATE(2026,10,21))</f>
        <v>0</v>
      </c>
      <c r="HR44">
        <f>COUNTIFS('DRAFT 2'!$D:$D,$B44,'DRAFT 2'!$A:$A,"&gt;="&amp;DATE(2026,10,22),'DRAFT 2'!$A:$A,"&lt;"&amp;DATE(2026,IF(10=12,10+1,10+1),1))</f>
        <v>0</v>
      </c>
      <c r="HS44">
        <f t="shared" si="25"/>
        <v>0</v>
      </c>
      <c r="IC44">
        <f>IFERROR(LOOKUP(2,1/('DRAFT 2'!$D:$D=$B44)*('DRAFT 2'!$A:$A&gt;=DATE(2026,11,1))*('DRAFT 2'!$A:$A&lt;DATE(2026,IF(11=12,11+1,11+1),1)),'DRAFT 2'!$A:$A),"")</f>
        <v>0</v>
      </c>
      <c r="ID44">
        <f>COUNTIFS('DRAFT 2'!$D:$D,$B44,'DRAFT 2'!$A:$A,"&gt;="&amp;DATE(2026,11,1),'DRAFT 2'!$A:$A,"&lt;="&amp;DATE(2026,11,7))</f>
        <v>0</v>
      </c>
      <c r="IE44">
        <f>COUNTIFS('DRAFT 2'!$D:$D,$B44,'DRAFT 2'!$A:$A,"&gt;="&amp;DATE(2026,11,8),'DRAFT 2'!$A:$A,"&lt;="&amp;DATE(2026,11,14))</f>
        <v>0</v>
      </c>
      <c r="IF44">
        <f>COUNTIFS('DRAFT 2'!$D:$D,$B44,'DRAFT 2'!$A:$A,"&gt;="&amp;DATE(2026,11,15),'DRAFT 2'!$A:$A,"&lt;="&amp;DATE(2026,11,21))</f>
        <v>0</v>
      </c>
      <c r="IG44">
        <f>COUNTIFS('DRAFT 2'!$D:$D,$B44,'DRAFT 2'!$A:$A,"&gt;="&amp;DATE(2026,11,22),'DRAFT 2'!$A:$A,"&lt;"&amp;DATE(2026,IF(11=12,11+1,11+1),1))</f>
        <v>0</v>
      </c>
      <c r="IH44">
        <f t="shared" si="26"/>
        <v>0</v>
      </c>
      <c r="IR44">
        <f>IFERROR(LOOKUP(2,1/('DRAFT 2'!$D:$D=$B44)*('DRAFT 2'!$A:$A&gt;=DATE(2026,12,1))*('DRAFT 2'!$A:$A&lt;DATE(2026,IF(12=12,12+1,12+1),1)),'DRAFT 2'!$A:$A),"")</f>
        <v>0</v>
      </c>
      <c r="IS44">
        <f>COUNTIFS('DRAFT 2'!$D:$D,$B44,'DRAFT 2'!$A:$A,"&gt;="&amp;DATE(2026,12,1),'DRAFT 2'!$A:$A,"&lt;="&amp;DATE(2026,12,7))</f>
        <v>0</v>
      </c>
      <c r="IT44">
        <f>COUNTIFS('DRAFT 2'!$D:$D,$B44,'DRAFT 2'!$A:$A,"&gt;="&amp;DATE(2026,12,8),'DRAFT 2'!$A:$A,"&lt;="&amp;DATE(2026,12,14))</f>
        <v>0</v>
      </c>
      <c r="IU44">
        <f>COUNTIFS('DRAFT 2'!$D:$D,$B44,'DRAFT 2'!$A:$A,"&gt;="&amp;DATE(2026,12,15),'DRAFT 2'!$A:$A,"&lt;="&amp;DATE(2026,12,21))</f>
        <v>0</v>
      </c>
      <c r="IV44">
        <f>COUNTIFS('DRAFT 2'!$D:$D,$B44,'DRAFT 2'!$A:$A,"&gt;="&amp;DATE(2026,12,22),'DRAFT 2'!$A:$A,"&lt;"&amp;DATE(2026,IF(12=12,12+1,12+1),1))</f>
        <v>0</v>
      </c>
      <c r="IW44">
        <f t="shared" si="27"/>
        <v>0</v>
      </c>
    </row>
    <row r="45" spans="1:257" x14ac:dyDescent="0.3">
      <c r="A45" t="str">
        <f>IFERROR(INDEX('DRAFT 1'!$A:$A,MATCH($B45,'DRAFT 1'!$B:$B,0)),"")</f>
        <v/>
      </c>
      <c r="C45" t="str">
        <f>IFERROR(INDEX('DRAFT 1'!$C:$C,MATCH($B45,'DRAFT 1'!$B:$B,0)),"")</f>
        <v/>
      </c>
      <c r="D45" t="str">
        <f>IFERROR(INDEX('DRAFT 1'!$D:$D,MATCH($B45,'DRAFT 1'!$B:$B,0)),"")</f>
        <v/>
      </c>
      <c r="E45" t="str">
        <f>IFERROR(INDEX('DRAFT 1'!$E:$E,MATCH($B45,'DRAFT 1'!$B:$B,0)),"")</f>
        <v/>
      </c>
      <c r="F45" t="str">
        <f>IFERROR(INDEX('DRAFT 1'!$F:$F,MATCH($B45,'DRAFT 1'!$B:$B,0)),"")</f>
        <v/>
      </c>
      <c r="G45" t="str">
        <f>IFERROR(INDEX('DRAFT 1'!$G:$G,MATCH($B45,'DRAFT 1'!$B:$B,0)),"")</f>
        <v/>
      </c>
      <c r="H45" t="str">
        <f>IFERROR(INDEX('DRAFT 1'!$H:$H,MATCH($B45,'DRAFT 1'!$B:$B,0)),"")</f>
        <v/>
      </c>
      <c r="I45" t="s">
        <v>283</v>
      </c>
      <c r="K45" t="str">
        <f>IFERROR(INDEX('DRAFT 1'!$AL:$AL,MATCH($B45,'DRAFT 1'!$B:$B,0)),"")</f>
        <v/>
      </c>
      <c r="L45" t="str">
        <f>IFERROR(INDEX('DRAFT 1'!$J:$J,MATCH($B45,'DRAFT 1'!$B:$B,0)),"")</f>
        <v/>
      </c>
      <c r="M45" t="str">
        <f>IFERROR(INDEX('DRAFT 1'!$K:$K,MATCH($B45,'DRAFT 1'!$B:$B,0)),"")</f>
        <v/>
      </c>
      <c r="N45" t="s">
        <v>79</v>
      </c>
      <c r="P45" t="str">
        <f>IFERROR(INDEX('DRAFT 1'!$L:$L,MATCH($B45,'DRAFT 1'!$B:$B,0)),"")</f>
        <v/>
      </c>
      <c r="Q45" t="str">
        <f>IFERROR(INDEX('DRAFT 1'!$M:$M,MATCH($B45,'DRAFT 1'!$B:$B,0)),"")</f>
        <v/>
      </c>
      <c r="R45" t="str">
        <f>IFERROR(INDEX('DRAFT 1'!$N:$N,MATCH($B45,'DRAFT 1'!$B:$B,0)),"")</f>
        <v/>
      </c>
      <c r="S45" t="str">
        <f>IFERROR(INDEX('DRAFT 1'!$O:$O,MATCH($B45,'DRAFT 1'!$B:$B,0)),"")</f>
        <v/>
      </c>
      <c r="T45" t="str">
        <f>IFERROR(INDEX('DRAFT 1'!$P:$P,MATCH($B45,'DRAFT 1'!$B:$B,0)),"")</f>
        <v/>
      </c>
      <c r="U45" t="str">
        <f>IFERROR(INDEX('DRAFT 1'!$Q:$Q,MATCH($B45,'DRAFT 1'!$B:$B,0)),"")</f>
        <v/>
      </c>
      <c r="V45" t="str">
        <f>IFERROR(INDEX('DRAFT 1'!$R:$R,MATCH($B45,'DRAFT 1'!$B:$B,0)),"")</f>
        <v/>
      </c>
      <c r="W45" t="str">
        <f>IFERROR(INDEX('DRAFT 1'!$S:$S,MATCH($B45,'DRAFT 1'!$B:$B,0)),"")</f>
        <v/>
      </c>
      <c r="X45" t="str">
        <f>IFERROR(INDEX('DRAFT 1'!$T:$T,MATCH($B45,'DRAFT 1'!$B:$B,0)),"")</f>
        <v/>
      </c>
      <c r="Z45" t="str">
        <f>IFERROR(INDEX('DRAFT 1'!$U:$U,MATCH($B45,'DRAFT 1'!$B:$B,0)),"")</f>
        <v/>
      </c>
      <c r="AA45" t="str">
        <f>IFERROR(INDEX('DRAFT 1'!$V:$V,MATCH($B45,'DRAFT 1'!$B:$B,0)),"")</f>
        <v/>
      </c>
      <c r="AB45" t="str">
        <f>IFERROR(INDEX('DRAFT 1'!$W:$W,MATCH($B45,'DRAFT 1'!$B:$B,0)),"")</f>
        <v/>
      </c>
      <c r="AC45" t="str">
        <f>IFERROR(INDEX('DRAFT 1'!$X:$X,MATCH($B45,'DRAFT 1'!$B:$B,0)),"")</f>
        <v/>
      </c>
      <c r="AD45" t="str">
        <f>IFERROR(INDEX('DRAFT 1'!$Y:$Y,MATCH($B45,'DRAFT 1'!$B:$B,0)),"")</f>
        <v/>
      </c>
      <c r="AE45" t="str">
        <f>IFERROR(INDEX('DRAFT 1'!$Z:$Z,MATCH($B45,'DRAFT 1'!$B:$B,0)),"")</f>
        <v/>
      </c>
      <c r="AF45" t="str">
        <f>IFERROR(INDEX('DRAFT 1'!$AA:$AA,MATCH($B45,'DRAFT 1'!$B:$B,0)),"")</f>
        <v/>
      </c>
      <c r="AG45" t="str">
        <f>IFERROR(INDEX('DRAFT 1'!$AB:$AB,MATCH($B45,'DRAFT 1'!$B:$B,0)),"")</f>
        <v/>
      </c>
      <c r="AH45" t="str">
        <f>IFERROR(INDEX('DRAFT 1'!$AC:$AC,MATCH($B45,'DRAFT 1'!$B:$B,0)),"")</f>
        <v/>
      </c>
      <c r="AI45" t="str">
        <f>IFERROR(INDEX('DRAFT 1'!$AD:$AD,MATCH($B45,'DRAFT 1'!$B:$B,0)),"")</f>
        <v/>
      </c>
      <c r="AJ45" t="str">
        <f>IFERROR(INDEX('DRAFT 1'!$AE:$AE,MATCH($B45,'DRAFT 1'!$B:$B,0)),"")</f>
        <v/>
      </c>
      <c r="AK45" t="str">
        <f>IFERROR(INDEX('DRAFT 1'!$AG:$AG,MATCH($B45,'DRAFT 1'!$B:$B,0)),"")</f>
        <v/>
      </c>
      <c r="AL45" t="str">
        <f>IFERROR(INDEX('DRAFT 1'!$AH:$AH,MATCH($B45,'DRAFT 1'!$B:$B,0)),"")</f>
        <v/>
      </c>
      <c r="AM45" t="str">
        <f>IFERROR(INDEX('DRAFT 1'!$AI:$AI,MATCH($B45,'DRAFT 1'!$B:$B,0)),"")</f>
        <v/>
      </c>
      <c r="AN45" t="str">
        <f>IFERROR(INDEX('DRAFT 1'!$AJ:$AJ,MATCH($B45,'DRAFT 1'!$B:$B,0)),"")</f>
        <v/>
      </c>
      <c r="AO45">
        <f t="shared" si="14"/>
        <v>0</v>
      </c>
      <c r="AP45" t="str">
        <f>IFERROR(INDEX('DRAFT 1'!$AK:$AK,MATCH($B45,'DRAFT 1'!$B:$B,0)),"")</f>
        <v/>
      </c>
      <c r="AR45" t="s">
        <v>93</v>
      </c>
      <c r="AS45">
        <f>IFERROR(LOOKUP(2,1/('DRAFT 2'!$D:$D=$B45),'DRAFT 2'!$T:$T),"")</f>
        <v>0</v>
      </c>
      <c r="AT45">
        <f>IFERROR(LOOKUP(2,1/('DRAFT 2'!$D:$D=$B45),'DRAFT 2'!$A:$A),"")</f>
        <v>0</v>
      </c>
      <c r="AU45">
        <f>IFERROR(LOOKUP(2,1/('DRAFT 2'!$D:$D=$B45),'DRAFT 2'!$R:$R),"")</f>
        <v>0</v>
      </c>
      <c r="AV45">
        <f>IFERROR(LOOKUP(2,1/('DRAFT 2'!$D:$D=$B45),'DRAFT 2'!$S:$S),"")</f>
        <v>0</v>
      </c>
      <c r="AW45" t="s">
        <v>128</v>
      </c>
      <c r="AX45">
        <f>IFERROR(LOOKUP(2,1/('DRAFT 2'!$D:$D=$B45),'DRAFT 2'!$M:$M),"")</f>
        <v>0</v>
      </c>
      <c r="AY45">
        <f>IFERROR(LOOKUP(2,1/('DRAFT 2'!$D:$D=$B45),'DRAFT 2'!$K:$K),"")</f>
        <v>0</v>
      </c>
      <c r="BG45">
        <f>IFERROR(LOOKUP(2,1/('DRAFT 2'!$D:$D=$B45),'DRAFT 2'!$U:$U),"")</f>
        <v>0</v>
      </c>
      <c r="BH45">
        <f>IFERROR(LOOKUP(2,1/('DRAFT 2'!$D:$D=$B45),'DRAFT 2'!$V:$V),"")</f>
        <v>0</v>
      </c>
      <c r="CE45" t="str">
        <f t="shared" si="15"/>
        <v/>
      </c>
      <c r="CF45">
        <f>IFERROR(LOOKUP(2,1/('DRAFT 2'!$D:$D=$B45)*('DRAFT 2'!$A:$A&gt;=DATE(2026,1,1))*('DRAFT 2'!$A:$A&lt;DATE(2026,IF(1=12,1+1,1+1),1)),'DRAFT 2'!$A:$A),"")</f>
        <v>0</v>
      </c>
      <c r="CG45">
        <f>COUNTIFS('DRAFT 2'!$D:$D,$B45,'DRAFT 2'!$A:$A,"&gt;="&amp;DATE(2026,1,1),'DRAFT 2'!$A:$A,"&lt;="&amp;DATE(2026,1,7))</f>
        <v>0</v>
      </c>
      <c r="CH45">
        <f>COUNTIFS('DRAFT 2'!$D:$D,$B45,'DRAFT 2'!$A:$A,"&gt;="&amp;DATE(2026,1,8),'DRAFT 2'!$A:$A,"&lt;="&amp;DATE(2026,1,14))</f>
        <v>0</v>
      </c>
      <c r="CI45">
        <f>COUNTIFS('DRAFT 2'!$D:$D,$B45,'DRAFT 2'!$A:$A,"&gt;="&amp;DATE(2026,1,15),'DRAFT 2'!$A:$A,"&lt;="&amp;DATE(2026,1,21))</f>
        <v>0</v>
      </c>
      <c r="CJ45">
        <f>COUNTIFS('DRAFT 2'!$D:$D,$B45,'DRAFT 2'!$A:$A,"&gt;="&amp;DATE(2026,1,22),'DRAFT 2'!$A:$A,"&lt;"&amp;DATE(2026,IF(1=12,1+1,1+1),1))</f>
        <v>0</v>
      </c>
      <c r="CK45">
        <f t="shared" si="16"/>
        <v>0</v>
      </c>
      <c r="CT45">
        <v>0</v>
      </c>
      <c r="CU45">
        <f>IFERROR(LOOKUP(2,1/('DRAFT 2'!$D:$D=$B45)*('DRAFT 2'!$A:$A&gt;=DATE(2026,2,1))*('DRAFT 2'!$A:$A&lt;DATE(2026,IF(2=12,2+1,2+1),1)),'DRAFT 2'!$A:$A),"")</f>
        <v>0</v>
      </c>
      <c r="CV45">
        <f>COUNTIFS('DRAFT 2'!$D:$D,$B45,'DRAFT 2'!$A:$A,"&gt;="&amp;DATE(2026,2,1),'DRAFT 2'!$A:$A,"&lt;="&amp;DATE(2026,2,7))</f>
        <v>0</v>
      </c>
      <c r="CW45">
        <f>COUNTIFS('DRAFT 2'!$D:$D,$B45,'DRAFT 2'!$A:$A,"&gt;="&amp;DATE(2026,2,8),'DRAFT 2'!$A:$A,"&lt;="&amp;DATE(2026,2,14))</f>
        <v>0</v>
      </c>
      <c r="CX45">
        <f>COUNTIFS('DRAFT 2'!$D:$D,$B45,'DRAFT 2'!$A:$A,"&gt;="&amp;DATE(2026,2,15),'DRAFT 2'!$A:$A,"&lt;="&amp;DATE(2026,2,21))</f>
        <v>0</v>
      </c>
      <c r="CY45">
        <f>COUNTIFS('DRAFT 2'!$D:$D,$B45,'DRAFT 2'!$A:$A,"&gt;="&amp;DATE(2026,2,22),'DRAFT 2'!$A:$A,"&lt;"&amp;DATE(2026,IF(2=12,2+1,2+1),1))</f>
        <v>0</v>
      </c>
      <c r="CZ45">
        <f t="shared" si="17"/>
        <v>0</v>
      </c>
      <c r="DJ45">
        <f>IFERROR(LOOKUP(2,1/('DRAFT 2'!$D:$D=$B45)*('DRAFT 2'!$A:$A&gt;=DATE(2026,3,1))*('DRAFT 2'!$A:$A&lt;DATE(2026,IF(3=12,3+1,3+1),1)),'DRAFT 2'!$A:$A),"")</f>
        <v>0</v>
      </c>
      <c r="DK45">
        <f>COUNTIFS('DRAFT 2'!$D:$D,$B45,'DRAFT 2'!$A:$A,"&gt;="&amp;DATE(2026,3,1),'DRAFT 2'!$A:$A,"&lt;="&amp;DATE(2026,3,7))</f>
        <v>0</v>
      </c>
      <c r="DL45">
        <f>COUNTIFS('DRAFT 2'!$D:$D,$B45,'DRAFT 2'!$A:$A,"&gt;="&amp;DATE(2026,3,8),'DRAFT 2'!$A:$A,"&lt;="&amp;DATE(2026,3,14))</f>
        <v>0</v>
      </c>
      <c r="DM45">
        <f>COUNTIFS('DRAFT 2'!$D:$D,$B45,'DRAFT 2'!$A:$A,"&gt;="&amp;DATE(2026,3,15),'DRAFT 2'!$A:$A,"&lt;="&amp;DATE(2026,3,21))</f>
        <v>0</v>
      </c>
      <c r="DN45">
        <f>COUNTIFS('DRAFT 2'!$D:$D,$B45,'DRAFT 2'!$A:$A,"&gt;="&amp;DATE(2026,3,22),'DRAFT 2'!$A:$A,"&lt;"&amp;DATE(2026,IF(3=12,3+1,3+1),1))</f>
        <v>0</v>
      </c>
      <c r="DO45">
        <f t="shared" si="18"/>
        <v>0</v>
      </c>
      <c r="DZ45">
        <f>IFERROR(LOOKUP(2,1/('DRAFT 2'!$D:$D=$B45)*('DRAFT 2'!$A:$A&gt;=DATE(2026,4,1))*('DRAFT 2'!$A:$A&lt;DATE(2026,IF(4=12,4+1,4+1),1)),'DRAFT 2'!$A:$A),"")</f>
        <v>0</v>
      </c>
      <c r="EA45">
        <f>COUNTIFS('DRAFT 2'!$D:$D,$B45,'DRAFT 2'!$A:$A,"&gt;="&amp;DATE(2026,4,1),'DRAFT 2'!$A:$A,"&lt;="&amp;DATE(2026,4,7))</f>
        <v>0</v>
      </c>
      <c r="EB45">
        <f>COUNTIFS('DRAFT 2'!$D:$D,$B45,'DRAFT 2'!$A:$A,"&gt;="&amp;DATE(2026,4,8),'DRAFT 2'!$A:$A,"&lt;="&amp;DATE(2026,4,14))</f>
        <v>0</v>
      </c>
      <c r="EC45">
        <f>COUNTIFS('DRAFT 2'!$D:$D,$B45,'DRAFT 2'!$A:$A,"&gt;="&amp;DATE(2026,4,15),'DRAFT 2'!$A:$A,"&lt;="&amp;DATE(2026,4,21))</f>
        <v>0</v>
      </c>
      <c r="ED45">
        <f>COUNTIFS('DRAFT 2'!$D:$D,$B45,'DRAFT 2'!$A:$A,"&gt;="&amp;DATE(2026,4,22),'DRAFT 2'!$A:$A,"&lt;"&amp;DATE(2026,IF(4=12,4+1,4+1),1))</f>
        <v>0</v>
      </c>
      <c r="EE45">
        <f t="shared" si="19"/>
        <v>0</v>
      </c>
      <c r="EO45">
        <f>IFERROR(LOOKUP(2,1/('DRAFT 2'!$D:$D=$B45)*('DRAFT 2'!$A:$A&gt;=DATE(2026,5,1))*('DRAFT 2'!$A:$A&lt;DATE(2026,IF(5=12,5+1,5+1),1)),'DRAFT 2'!$A:$A),"")</f>
        <v>0</v>
      </c>
      <c r="EP45">
        <f>COUNTIFS('DRAFT 2'!$D:$D,$B45,'DRAFT 2'!$A:$A,"&gt;="&amp;DATE(2026,5,1),'DRAFT 2'!$A:$A,"&lt;="&amp;DATE(2026,5,7))</f>
        <v>0</v>
      </c>
      <c r="EQ45">
        <f>COUNTIFS('DRAFT 2'!$D:$D,$B45,'DRAFT 2'!$A:$A,"&gt;="&amp;DATE(2026,5,8),'DRAFT 2'!$A:$A,"&lt;="&amp;DATE(2026,5,14))</f>
        <v>0</v>
      </c>
      <c r="ER45">
        <f>COUNTIFS('DRAFT 2'!$D:$D,$B45,'DRAFT 2'!$A:$A,"&gt;="&amp;DATE(2026,5,15),'DRAFT 2'!$A:$A,"&lt;="&amp;DATE(2026,5,21))</f>
        <v>0</v>
      </c>
      <c r="ES45">
        <f>COUNTIFS('DRAFT 2'!$D:$D,$B45,'DRAFT 2'!$A:$A,"&gt;="&amp;DATE(2026,5,22),'DRAFT 2'!$A:$A,"&lt;"&amp;DATE(2026,IF(5=12,5+1,5+1),1))</f>
        <v>0</v>
      </c>
      <c r="ET45">
        <f t="shared" si="20"/>
        <v>0</v>
      </c>
      <c r="FD45">
        <f>IFERROR(LOOKUP(2,1/('DRAFT 2'!$D:$D=$B45)*('DRAFT 2'!$A:$A&gt;=DATE(2026,6,1))*('DRAFT 2'!$A:$A&lt;DATE(2026,IF(6=12,6+1,6+1),1)),'DRAFT 2'!$A:$A),"")</f>
        <v>0</v>
      </c>
      <c r="FE45">
        <f>COUNTIFS('DRAFT 2'!$D:$D,$B45,'DRAFT 2'!$A:$A,"&gt;="&amp;DATE(2026,6,1),'DRAFT 2'!$A:$A,"&lt;="&amp;DATE(2026,6,7))</f>
        <v>0</v>
      </c>
      <c r="FF45">
        <f>COUNTIFS('DRAFT 2'!$D:$D,$B45,'DRAFT 2'!$A:$A,"&gt;="&amp;DATE(2026,6,8),'DRAFT 2'!$A:$A,"&lt;="&amp;DATE(2026,6,14))</f>
        <v>0</v>
      </c>
      <c r="FG45">
        <f>COUNTIFS('DRAFT 2'!$D:$D,$B45,'DRAFT 2'!$A:$A,"&gt;="&amp;DATE(2026,6,15),'DRAFT 2'!$A:$A,"&lt;="&amp;DATE(2026,6,21))</f>
        <v>0</v>
      </c>
      <c r="FH45">
        <f>COUNTIFS('DRAFT 2'!$D:$D,$B45,'DRAFT 2'!$A:$A,"&gt;="&amp;DATE(2026,6,22),'DRAFT 2'!$A:$A,"&lt;"&amp;DATE(2026,IF(6=12,6+1,6+1),1))</f>
        <v>0</v>
      </c>
      <c r="FI45">
        <f t="shared" si="21"/>
        <v>0</v>
      </c>
      <c r="FT45">
        <f>IFERROR(LOOKUP(2,1/('DRAFT 2'!$D:$D=$B45)*('DRAFT 2'!$A:$A&gt;=DATE(2026,7,1))*('DRAFT 2'!$A:$A&lt;DATE(2026,IF(7=12,7+1,7+1),1)),'DRAFT 2'!$A:$A),"")</f>
        <v>0</v>
      </c>
      <c r="FU45">
        <f>COUNTIFS('DRAFT 2'!$D:$D,$B45,'DRAFT 2'!$A:$A,"&gt;="&amp;DATE(2026,7,1),'DRAFT 2'!$A:$A,"&lt;="&amp;DATE(2026,7,7))</f>
        <v>0</v>
      </c>
      <c r="FV45">
        <f>COUNTIFS('DRAFT 2'!$D:$D,$B45,'DRAFT 2'!$A:$A,"&gt;="&amp;DATE(2026,7,8),'DRAFT 2'!$A:$A,"&lt;="&amp;DATE(2026,7,14))</f>
        <v>0</v>
      </c>
      <c r="FW45">
        <f>COUNTIFS('DRAFT 2'!$D:$D,$B45,'DRAFT 2'!$A:$A,"&gt;="&amp;DATE(2026,7,15),'DRAFT 2'!$A:$A,"&lt;="&amp;DATE(2026,7,21))</f>
        <v>0</v>
      </c>
      <c r="FX45">
        <f>COUNTIFS('DRAFT 2'!$D:$D,$B45,'DRAFT 2'!$A:$A,"&gt;="&amp;DATE(2026,7,22),'DRAFT 2'!$A:$A,"&lt;"&amp;DATE(2026,IF(7=12,7+1,7+1),1))</f>
        <v>0</v>
      </c>
      <c r="FY45">
        <f t="shared" si="22"/>
        <v>0</v>
      </c>
      <c r="GI45">
        <f>IFERROR(LOOKUP(2,1/('DRAFT 2'!$D:$D=$B45)*('DRAFT 2'!$A:$A&gt;=DATE(2026,8,1))*('DRAFT 2'!$A:$A&lt;DATE(2026,IF(8=12,8+1,8+1),1)),'DRAFT 2'!$A:$A),"")</f>
        <v>0</v>
      </c>
      <c r="GJ45">
        <f>COUNTIFS('DRAFT 2'!$D:$D,$B45,'DRAFT 2'!$A:$A,"&gt;="&amp;DATE(2026,8,1),'DRAFT 2'!$A:$A,"&lt;="&amp;DATE(2026,8,7))</f>
        <v>0</v>
      </c>
      <c r="GK45">
        <f>COUNTIFS('DRAFT 2'!$D:$D,$B45,'DRAFT 2'!$A:$A,"&gt;="&amp;DATE(2026,8,8),'DRAFT 2'!$A:$A,"&lt;="&amp;DATE(2026,8,14))</f>
        <v>0</v>
      </c>
      <c r="GL45">
        <f>COUNTIFS('DRAFT 2'!$D:$D,$B45,'DRAFT 2'!$A:$A,"&gt;="&amp;DATE(2026,8,15),'DRAFT 2'!$A:$A,"&lt;="&amp;DATE(2026,8,21))</f>
        <v>0</v>
      </c>
      <c r="GM45">
        <f>COUNTIFS('DRAFT 2'!$D:$D,$B45,'DRAFT 2'!$A:$A,"&gt;="&amp;DATE(2026,8,22),'DRAFT 2'!$A:$A,"&lt;"&amp;DATE(2026,IF(8=12,8+1,8+1),1))</f>
        <v>0</v>
      </c>
      <c r="GN45">
        <f t="shared" si="23"/>
        <v>0</v>
      </c>
      <c r="GX45">
        <f>IFERROR(LOOKUP(2,1/('DRAFT 2'!$D:$D=$B45)*('DRAFT 2'!$A:$A&gt;=DATE(2026,9,1))*('DRAFT 2'!$A:$A&lt;DATE(2026,IF(9=12,9+1,9+1),1)),'DRAFT 2'!$A:$A),"")</f>
        <v>0</v>
      </c>
      <c r="GY45">
        <f>COUNTIFS('DRAFT 2'!$D:$D,$B45,'DRAFT 2'!$A:$A,"&gt;="&amp;DATE(2026,9,1),'DRAFT 2'!$A:$A,"&lt;="&amp;DATE(2026,9,7))</f>
        <v>0</v>
      </c>
      <c r="GZ45">
        <f>COUNTIFS('DRAFT 2'!$D:$D,$B45,'DRAFT 2'!$A:$A,"&gt;="&amp;DATE(2026,9,8),'DRAFT 2'!$A:$A,"&lt;="&amp;DATE(2026,9,14))</f>
        <v>0</v>
      </c>
      <c r="HA45">
        <f>COUNTIFS('DRAFT 2'!$D:$D,$B45,'DRAFT 2'!$A:$A,"&gt;="&amp;DATE(2026,9,15),'DRAFT 2'!$A:$A,"&lt;="&amp;DATE(2026,9,21))</f>
        <v>0</v>
      </c>
      <c r="HB45">
        <f>COUNTIFS('DRAFT 2'!$D:$D,$B45,'DRAFT 2'!$A:$A,"&gt;="&amp;DATE(2026,9,22),'DRAFT 2'!$A:$A,"&lt;"&amp;DATE(2026,IF(9=12,9+1,9+1),1))</f>
        <v>0</v>
      </c>
      <c r="HC45">
        <f t="shared" si="24"/>
        <v>0</v>
      </c>
      <c r="HN45">
        <f>IFERROR(LOOKUP(2,1/('DRAFT 2'!$D:$D=$B45)*('DRAFT 2'!$A:$A&gt;=DATE(2026,10,1))*('DRAFT 2'!$A:$A&lt;DATE(2026,IF(10=12,10+1,10+1),1)),'DRAFT 2'!$A:$A),"")</f>
        <v>0</v>
      </c>
      <c r="HO45">
        <f>COUNTIFS('DRAFT 2'!$D:$D,$B45,'DRAFT 2'!$A:$A,"&gt;="&amp;DATE(2026,10,1),'DRAFT 2'!$A:$A,"&lt;="&amp;DATE(2026,10,7))</f>
        <v>0</v>
      </c>
      <c r="HP45">
        <f>COUNTIFS('DRAFT 2'!$D:$D,$B45,'DRAFT 2'!$A:$A,"&gt;="&amp;DATE(2026,10,8),'DRAFT 2'!$A:$A,"&lt;="&amp;DATE(2026,10,14))</f>
        <v>0</v>
      </c>
      <c r="HQ45">
        <f>COUNTIFS('DRAFT 2'!$D:$D,$B45,'DRAFT 2'!$A:$A,"&gt;="&amp;DATE(2026,10,15),'DRAFT 2'!$A:$A,"&lt;="&amp;DATE(2026,10,21))</f>
        <v>0</v>
      </c>
      <c r="HR45">
        <f>COUNTIFS('DRAFT 2'!$D:$D,$B45,'DRAFT 2'!$A:$A,"&gt;="&amp;DATE(2026,10,22),'DRAFT 2'!$A:$A,"&lt;"&amp;DATE(2026,IF(10=12,10+1,10+1),1))</f>
        <v>0</v>
      </c>
      <c r="HS45">
        <f t="shared" si="25"/>
        <v>0</v>
      </c>
      <c r="IC45">
        <f>IFERROR(LOOKUP(2,1/('DRAFT 2'!$D:$D=$B45)*('DRAFT 2'!$A:$A&gt;=DATE(2026,11,1))*('DRAFT 2'!$A:$A&lt;DATE(2026,IF(11=12,11+1,11+1),1)),'DRAFT 2'!$A:$A),"")</f>
        <v>0</v>
      </c>
      <c r="ID45">
        <f>COUNTIFS('DRAFT 2'!$D:$D,$B45,'DRAFT 2'!$A:$A,"&gt;="&amp;DATE(2026,11,1),'DRAFT 2'!$A:$A,"&lt;="&amp;DATE(2026,11,7))</f>
        <v>0</v>
      </c>
      <c r="IE45">
        <f>COUNTIFS('DRAFT 2'!$D:$D,$B45,'DRAFT 2'!$A:$A,"&gt;="&amp;DATE(2026,11,8),'DRAFT 2'!$A:$A,"&lt;="&amp;DATE(2026,11,14))</f>
        <v>0</v>
      </c>
      <c r="IF45">
        <f>COUNTIFS('DRAFT 2'!$D:$D,$B45,'DRAFT 2'!$A:$A,"&gt;="&amp;DATE(2026,11,15),'DRAFT 2'!$A:$A,"&lt;="&amp;DATE(2026,11,21))</f>
        <v>0</v>
      </c>
      <c r="IG45">
        <f>COUNTIFS('DRAFT 2'!$D:$D,$B45,'DRAFT 2'!$A:$A,"&gt;="&amp;DATE(2026,11,22),'DRAFT 2'!$A:$A,"&lt;"&amp;DATE(2026,IF(11=12,11+1,11+1),1))</f>
        <v>0</v>
      </c>
      <c r="IH45">
        <f t="shared" si="26"/>
        <v>0</v>
      </c>
      <c r="IR45">
        <f>IFERROR(LOOKUP(2,1/('DRAFT 2'!$D:$D=$B45)*('DRAFT 2'!$A:$A&gt;=DATE(2026,12,1))*('DRAFT 2'!$A:$A&lt;DATE(2026,IF(12=12,12+1,12+1),1)),'DRAFT 2'!$A:$A),"")</f>
        <v>0</v>
      </c>
      <c r="IS45">
        <f>COUNTIFS('DRAFT 2'!$D:$D,$B45,'DRAFT 2'!$A:$A,"&gt;="&amp;DATE(2026,12,1),'DRAFT 2'!$A:$A,"&lt;="&amp;DATE(2026,12,7))</f>
        <v>0</v>
      </c>
      <c r="IT45">
        <f>COUNTIFS('DRAFT 2'!$D:$D,$B45,'DRAFT 2'!$A:$A,"&gt;="&amp;DATE(2026,12,8),'DRAFT 2'!$A:$A,"&lt;="&amp;DATE(2026,12,14))</f>
        <v>0</v>
      </c>
      <c r="IU45">
        <f>COUNTIFS('DRAFT 2'!$D:$D,$B45,'DRAFT 2'!$A:$A,"&gt;="&amp;DATE(2026,12,15),'DRAFT 2'!$A:$A,"&lt;="&amp;DATE(2026,12,21))</f>
        <v>0</v>
      </c>
      <c r="IV45">
        <f>COUNTIFS('DRAFT 2'!$D:$D,$B45,'DRAFT 2'!$A:$A,"&gt;="&amp;DATE(2026,12,22),'DRAFT 2'!$A:$A,"&lt;"&amp;DATE(2026,IF(12=12,12+1,12+1),1))</f>
        <v>0</v>
      </c>
      <c r="IW45">
        <f t="shared" si="27"/>
        <v>0</v>
      </c>
    </row>
    <row r="46" spans="1:257" x14ac:dyDescent="0.3">
      <c r="A46" t="str">
        <f>IFERROR(INDEX('DRAFT 1'!$A:$A,MATCH($B46,'DRAFT 1'!$B:$B,0)),"")</f>
        <v/>
      </c>
      <c r="C46" t="str">
        <f>IFERROR(INDEX('DRAFT 1'!$C:$C,MATCH($B46,'DRAFT 1'!$B:$B,0)),"")</f>
        <v/>
      </c>
      <c r="D46" t="str">
        <f>IFERROR(INDEX('DRAFT 1'!$D:$D,MATCH($B46,'DRAFT 1'!$B:$B,0)),"")</f>
        <v/>
      </c>
      <c r="E46" t="str">
        <f>IFERROR(INDEX('DRAFT 1'!$E:$E,MATCH($B46,'DRAFT 1'!$B:$B,0)),"")</f>
        <v/>
      </c>
      <c r="F46" t="str">
        <f>IFERROR(INDEX('DRAFT 1'!$F:$F,MATCH($B46,'DRAFT 1'!$B:$B,0)),"")</f>
        <v/>
      </c>
      <c r="G46" t="str">
        <f>IFERROR(INDEX('DRAFT 1'!$G:$G,MATCH($B46,'DRAFT 1'!$B:$B,0)),"")</f>
        <v/>
      </c>
      <c r="H46" t="str">
        <f>IFERROR(INDEX('DRAFT 1'!$H:$H,MATCH($B46,'DRAFT 1'!$B:$B,0)),"")</f>
        <v/>
      </c>
      <c r="I46" t="s">
        <v>283</v>
      </c>
      <c r="K46" t="str">
        <f>IFERROR(INDEX('DRAFT 1'!$AL:$AL,MATCH($B46,'DRAFT 1'!$B:$B,0)),"")</f>
        <v/>
      </c>
      <c r="L46" t="str">
        <f>IFERROR(INDEX('DRAFT 1'!$J:$J,MATCH($B46,'DRAFT 1'!$B:$B,0)),"")</f>
        <v/>
      </c>
      <c r="M46" t="str">
        <f>IFERROR(INDEX('DRAFT 1'!$K:$K,MATCH($B46,'DRAFT 1'!$B:$B,0)),"")</f>
        <v/>
      </c>
      <c r="N46" t="s">
        <v>71</v>
      </c>
      <c r="P46" t="str">
        <f>IFERROR(INDEX('DRAFT 1'!$L:$L,MATCH($B46,'DRAFT 1'!$B:$B,0)),"")</f>
        <v/>
      </c>
      <c r="Q46" t="str">
        <f>IFERROR(INDEX('DRAFT 1'!$M:$M,MATCH($B46,'DRAFT 1'!$B:$B,0)),"")</f>
        <v/>
      </c>
      <c r="R46" t="str">
        <f>IFERROR(INDEX('DRAFT 1'!$N:$N,MATCH($B46,'DRAFT 1'!$B:$B,0)),"")</f>
        <v/>
      </c>
      <c r="S46" t="str">
        <f>IFERROR(INDEX('DRAFT 1'!$O:$O,MATCH($B46,'DRAFT 1'!$B:$B,0)),"")</f>
        <v/>
      </c>
      <c r="T46" t="str">
        <f>IFERROR(INDEX('DRAFT 1'!$P:$P,MATCH($B46,'DRAFT 1'!$B:$B,0)),"")</f>
        <v/>
      </c>
      <c r="U46" t="str">
        <f>IFERROR(INDEX('DRAFT 1'!$Q:$Q,MATCH($B46,'DRAFT 1'!$B:$B,0)),"")</f>
        <v/>
      </c>
      <c r="V46" t="str">
        <f>IFERROR(INDEX('DRAFT 1'!$R:$R,MATCH($B46,'DRAFT 1'!$B:$B,0)),"")</f>
        <v/>
      </c>
      <c r="W46" t="str">
        <f>IFERROR(INDEX('DRAFT 1'!$S:$S,MATCH($B46,'DRAFT 1'!$B:$B,0)),"")</f>
        <v/>
      </c>
      <c r="X46" t="str">
        <f>IFERROR(INDEX('DRAFT 1'!$T:$T,MATCH($B46,'DRAFT 1'!$B:$B,0)),"")</f>
        <v/>
      </c>
      <c r="Z46" t="str">
        <f>IFERROR(INDEX('DRAFT 1'!$U:$U,MATCH($B46,'DRAFT 1'!$B:$B,0)),"")</f>
        <v/>
      </c>
      <c r="AA46" t="str">
        <f>IFERROR(INDEX('DRAFT 1'!$V:$V,MATCH($B46,'DRAFT 1'!$B:$B,0)),"")</f>
        <v/>
      </c>
      <c r="AB46" t="str">
        <f>IFERROR(INDEX('DRAFT 1'!$W:$W,MATCH($B46,'DRAFT 1'!$B:$B,0)),"")</f>
        <v/>
      </c>
      <c r="AC46" t="str">
        <f>IFERROR(INDEX('DRAFT 1'!$X:$X,MATCH($B46,'DRAFT 1'!$B:$B,0)),"")</f>
        <v/>
      </c>
      <c r="AD46" t="str">
        <f>IFERROR(INDEX('DRAFT 1'!$Y:$Y,MATCH($B46,'DRAFT 1'!$B:$B,0)),"")</f>
        <v/>
      </c>
      <c r="AE46" t="str">
        <f>IFERROR(INDEX('DRAFT 1'!$Z:$Z,MATCH($B46,'DRAFT 1'!$B:$B,0)),"")</f>
        <v/>
      </c>
      <c r="AF46" t="str">
        <f>IFERROR(INDEX('DRAFT 1'!$AA:$AA,MATCH($B46,'DRAFT 1'!$B:$B,0)),"")</f>
        <v/>
      </c>
      <c r="AG46" t="str">
        <f>IFERROR(INDEX('DRAFT 1'!$AB:$AB,MATCH($B46,'DRAFT 1'!$B:$B,0)),"")</f>
        <v/>
      </c>
      <c r="AH46" t="str">
        <f>IFERROR(INDEX('DRAFT 1'!$AC:$AC,MATCH($B46,'DRAFT 1'!$B:$B,0)),"")</f>
        <v/>
      </c>
      <c r="AI46" t="str">
        <f>IFERROR(INDEX('DRAFT 1'!$AD:$AD,MATCH($B46,'DRAFT 1'!$B:$B,0)),"")</f>
        <v/>
      </c>
      <c r="AJ46" t="str">
        <f>IFERROR(INDEX('DRAFT 1'!$AE:$AE,MATCH($B46,'DRAFT 1'!$B:$B,0)),"")</f>
        <v/>
      </c>
      <c r="AK46" t="str">
        <f>IFERROR(INDEX('DRAFT 1'!$AG:$AG,MATCH($B46,'DRAFT 1'!$B:$B,0)),"")</f>
        <v/>
      </c>
      <c r="AL46" t="str">
        <f>IFERROR(INDEX('DRAFT 1'!$AH:$AH,MATCH($B46,'DRAFT 1'!$B:$B,0)),"")</f>
        <v/>
      </c>
      <c r="AM46" t="str">
        <f>IFERROR(INDEX('DRAFT 1'!$AI:$AI,MATCH($B46,'DRAFT 1'!$B:$B,0)),"")</f>
        <v/>
      </c>
      <c r="AN46" t="str">
        <f>IFERROR(INDEX('DRAFT 1'!$AJ:$AJ,MATCH($B46,'DRAFT 1'!$B:$B,0)),"")</f>
        <v/>
      </c>
      <c r="AO46">
        <f t="shared" si="14"/>
        <v>0</v>
      </c>
      <c r="AP46" t="str">
        <f>IFERROR(INDEX('DRAFT 1'!$AK:$AK,MATCH($B46,'DRAFT 1'!$B:$B,0)),"")</f>
        <v/>
      </c>
      <c r="AR46" t="s">
        <v>91</v>
      </c>
      <c r="AS46">
        <f>IFERROR(LOOKUP(2,1/('DRAFT 2'!$D:$D=$B46),'DRAFT 2'!$T:$T),"")</f>
        <v>0</v>
      </c>
      <c r="AT46">
        <f>IFERROR(LOOKUP(2,1/('DRAFT 2'!$D:$D=$B46),'DRAFT 2'!$A:$A),"")</f>
        <v>0</v>
      </c>
      <c r="AU46">
        <f>IFERROR(LOOKUP(2,1/('DRAFT 2'!$D:$D=$B46),'DRAFT 2'!$R:$R),"")</f>
        <v>0</v>
      </c>
      <c r="AV46">
        <f>IFERROR(LOOKUP(2,1/('DRAFT 2'!$D:$D=$B46),'DRAFT 2'!$S:$S),"")</f>
        <v>0</v>
      </c>
      <c r="AW46" t="s">
        <v>82</v>
      </c>
      <c r="AX46">
        <f>IFERROR(LOOKUP(2,1/('DRAFT 2'!$D:$D=$B46),'DRAFT 2'!$M:$M),"")</f>
        <v>0</v>
      </c>
      <c r="AY46">
        <f>IFERROR(LOOKUP(2,1/('DRAFT 2'!$D:$D=$B46),'DRAFT 2'!$K:$K),"")</f>
        <v>0</v>
      </c>
      <c r="BG46">
        <f>IFERROR(LOOKUP(2,1/('DRAFT 2'!$D:$D=$B46),'DRAFT 2'!$U:$U),"")</f>
        <v>0</v>
      </c>
      <c r="BH46">
        <f>IFERROR(LOOKUP(2,1/('DRAFT 2'!$D:$D=$B46),'DRAFT 2'!$V:$V),"")</f>
        <v>0</v>
      </c>
      <c r="CE46" t="str">
        <f t="shared" si="15"/>
        <v/>
      </c>
      <c r="CF46">
        <f>IFERROR(LOOKUP(2,1/('DRAFT 2'!$D:$D=$B46)*('DRAFT 2'!$A:$A&gt;=DATE(2026,1,1))*('DRAFT 2'!$A:$A&lt;DATE(2026,IF(1=12,1+1,1+1),1)),'DRAFT 2'!$A:$A),"")</f>
        <v>0</v>
      </c>
      <c r="CG46">
        <f>COUNTIFS('DRAFT 2'!$D:$D,$B46,'DRAFT 2'!$A:$A,"&gt;="&amp;DATE(2026,1,1),'DRAFT 2'!$A:$A,"&lt;="&amp;DATE(2026,1,7))</f>
        <v>0</v>
      </c>
      <c r="CH46">
        <f>COUNTIFS('DRAFT 2'!$D:$D,$B46,'DRAFT 2'!$A:$A,"&gt;="&amp;DATE(2026,1,8),'DRAFT 2'!$A:$A,"&lt;="&amp;DATE(2026,1,14))</f>
        <v>0</v>
      </c>
      <c r="CI46">
        <f>COUNTIFS('DRAFT 2'!$D:$D,$B46,'DRAFT 2'!$A:$A,"&gt;="&amp;DATE(2026,1,15),'DRAFT 2'!$A:$A,"&lt;="&amp;DATE(2026,1,21))</f>
        <v>0</v>
      </c>
      <c r="CJ46">
        <f>COUNTIFS('DRAFT 2'!$D:$D,$B46,'DRAFT 2'!$A:$A,"&gt;="&amp;DATE(2026,1,22),'DRAFT 2'!$A:$A,"&lt;"&amp;DATE(2026,IF(1=12,1+1,1+1),1))</f>
        <v>0</v>
      </c>
      <c r="CK46">
        <f t="shared" si="16"/>
        <v>0</v>
      </c>
      <c r="CT46">
        <v>0</v>
      </c>
      <c r="CU46">
        <f>IFERROR(LOOKUP(2,1/('DRAFT 2'!$D:$D=$B46)*('DRAFT 2'!$A:$A&gt;=DATE(2026,2,1))*('DRAFT 2'!$A:$A&lt;DATE(2026,IF(2=12,2+1,2+1),1)),'DRAFT 2'!$A:$A),"")</f>
        <v>0</v>
      </c>
      <c r="CV46">
        <f>COUNTIFS('DRAFT 2'!$D:$D,$B46,'DRAFT 2'!$A:$A,"&gt;="&amp;DATE(2026,2,1),'DRAFT 2'!$A:$A,"&lt;="&amp;DATE(2026,2,7))</f>
        <v>0</v>
      </c>
      <c r="CW46">
        <f>COUNTIFS('DRAFT 2'!$D:$D,$B46,'DRAFT 2'!$A:$A,"&gt;="&amp;DATE(2026,2,8),'DRAFT 2'!$A:$A,"&lt;="&amp;DATE(2026,2,14))</f>
        <v>0</v>
      </c>
      <c r="CX46">
        <f>COUNTIFS('DRAFT 2'!$D:$D,$B46,'DRAFT 2'!$A:$A,"&gt;="&amp;DATE(2026,2,15),'DRAFT 2'!$A:$A,"&lt;="&amp;DATE(2026,2,21))</f>
        <v>0</v>
      </c>
      <c r="CY46">
        <f>COUNTIFS('DRAFT 2'!$D:$D,$B46,'DRAFT 2'!$A:$A,"&gt;="&amp;DATE(2026,2,22),'DRAFT 2'!$A:$A,"&lt;"&amp;DATE(2026,IF(2=12,2+1,2+1),1))</f>
        <v>0</v>
      </c>
      <c r="CZ46">
        <f t="shared" si="17"/>
        <v>0</v>
      </c>
      <c r="DJ46">
        <f>IFERROR(LOOKUP(2,1/('DRAFT 2'!$D:$D=$B46)*('DRAFT 2'!$A:$A&gt;=DATE(2026,3,1))*('DRAFT 2'!$A:$A&lt;DATE(2026,IF(3=12,3+1,3+1),1)),'DRAFT 2'!$A:$A),"")</f>
        <v>0</v>
      </c>
      <c r="DK46">
        <f>COUNTIFS('DRAFT 2'!$D:$D,$B46,'DRAFT 2'!$A:$A,"&gt;="&amp;DATE(2026,3,1),'DRAFT 2'!$A:$A,"&lt;="&amp;DATE(2026,3,7))</f>
        <v>0</v>
      </c>
      <c r="DL46">
        <f>COUNTIFS('DRAFT 2'!$D:$D,$B46,'DRAFT 2'!$A:$A,"&gt;="&amp;DATE(2026,3,8),'DRAFT 2'!$A:$A,"&lt;="&amp;DATE(2026,3,14))</f>
        <v>0</v>
      </c>
      <c r="DM46">
        <f>COUNTIFS('DRAFT 2'!$D:$D,$B46,'DRAFT 2'!$A:$A,"&gt;="&amp;DATE(2026,3,15),'DRAFT 2'!$A:$A,"&lt;="&amp;DATE(2026,3,21))</f>
        <v>0</v>
      </c>
      <c r="DN46">
        <f>COUNTIFS('DRAFT 2'!$D:$D,$B46,'DRAFT 2'!$A:$A,"&gt;="&amp;DATE(2026,3,22),'DRAFT 2'!$A:$A,"&lt;"&amp;DATE(2026,IF(3=12,3+1,3+1),1))</f>
        <v>0</v>
      </c>
      <c r="DO46">
        <f t="shared" si="18"/>
        <v>0</v>
      </c>
      <c r="DZ46">
        <f>IFERROR(LOOKUP(2,1/('DRAFT 2'!$D:$D=$B46)*('DRAFT 2'!$A:$A&gt;=DATE(2026,4,1))*('DRAFT 2'!$A:$A&lt;DATE(2026,IF(4=12,4+1,4+1),1)),'DRAFT 2'!$A:$A),"")</f>
        <v>0</v>
      </c>
      <c r="EA46">
        <f>COUNTIFS('DRAFT 2'!$D:$D,$B46,'DRAFT 2'!$A:$A,"&gt;="&amp;DATE(2026,4,1),'DRAFT 2'!$A:$A,"&lt;="&amp;DATE(2026,4,7))</f>
        <v>0</v>
      </c>
      <c r="EB46">
        <f>COUNTIFS('DRAFT 2'!$D:$D,$B46,'DRAFT 2'!$A:$A,"&gt;="&amp;DATE(2026,4,8),'DRAFT 2'!$A:$A,"&lt;="&amp;DATE(2026,4,14))</f>
        <v>0</v>
      </c>
      <c r="EC46">
        <f>COUNTIFS('DRAFT 2'!$D:$D,$B46,'DRAFT 2'!$A:$A,"&gt;="&amp;DATE(2026,4,15),'DRAFT 2'!$A:$A,"&lt;="&amp;DATE(2026,4,21))</f>
        <v>0</v>
      </c>
      <c r="ED46">
        <f>COUNTIFS('DRAFT 2'!$D:$D,$B46,'DRAFT 2'!$A:$A,"&gt;="&amp;DATE(2026,4,22),'DRAFT 2'!$A:$A,"&lt;"&amp;DATE(2026,IF(4=12,4+1,4+1),1))</f>
        <v>0</v>
      </c>
      <c r="EE46">
        <f t="shared" si="19"/>
        <v>0</v>
      </c>
      <c r="EO46">
        <f>IFERROR(LOOKUP(2,1/('DRAFT 2'!$D:$D=$B46)*('DRAFT 2'!$A:$A&gt;=DATE(2026,5,1))*('DRAFT 2'!$A:$A&lt;DATE(2026,IF(5=12,5+1,5+1),1)),'DRAFT 2'!$A:$A),"")</f>
        <v>0</v>
      </c>
      <c r="EP46">
        <f>COUNTIFS('DRAFT 2'!$D:$D,$B46,'DRAFT 2'!$A:$A,"&gt;="&amp;DATE(2026,5,1),'DRAFT 2'!$A:$A,"&lt;="&amp;DATE(2026,5,7))</f>
        <v>0</v>
      </c>
      <c r="EQ46">
        <f>COUNTIFS('DRAFT 2'!$D:$D,$B46,'DRAFT 2'!$A:$A,"&gt;="&amp;DATE(2026,5,8),'DRAFT 2'!$A:$A,"&lt;="&amp;DATE(2026,5,14))</f>
        <v>0</v>
      </c>
      <c r="ER46">
        <f>COUNTIFS('DRAFT 2'!$D:$D,$B46,'DRAFT 2'!$A:$A,"&gt;="&amp;DATE(2026,5,15),'DRAFT 2'!$A:$A,"&lt;="&amp;DATE(2026,5,21))</f>
        <v>0</v>
      </c>
      <c r="ES46">
        <f>COUNTIFS('DRAFT 2'!$D:$D,$B46,'DRAFT 2'!$A:$A,"&gt;="&amp;DATE(2026,5,22),'DRAFT 2'!$A:$A,"&lt;"&amp;DATE(2026,IF(5=12,5+1,5+1),1))</f>
        <v>0</v>
      </c>
      <c r="ET46">
        <f t="shared" si="20"/>
        <v>0</v>
      </c>
      <c r="FD46">
        <f>IFERROR(LOOKUP(2,1/('DRAFT 2'!$D:$D=$B46)*('DRAFT 2'!$A:$A&gt;=DATE(2026,6,1))*('DRAFT 2'!$A:$A&lt;DATE(2026,IF(6=12,6+1,6+1),1)),'DRAFT 2'!$A:$A),"")</f>
        <v>0</v>
      </c>
      <c r="FE46">
        <f>COUNTIFS('DRAFT 2'!$D:$D,$B46,'DRAFT 2'!$A:$A,"&gt;="&amp;DATE(2026,6,1),'DRAFT 2'!$A:$A,"&lt;="&amp;DATE(2026,6,7))</f>
        <v>0</v>
      </c>
      <c r="FF46">
        <f>COUNTIFS('DRAFT 2'!$D:$D,$B46,'DRAFT 2'!$A:$A,"&gt;="&amp;DATE(2026,6,8),'DRAFT 2'!$A:$A,"&lt;="&amp;DATE(2026,6,14))</f>
        <v>0</v>
      </c>
      <c r="FG46">
        <f>COUNTIFS('DRAFT 2'!$D:$D,$B46,'DRAFT 2'!$A:$A,"&gt;="&amp;DATE(2026,6,15),'DRAFT 2'!$A:$A,"&lt;="&amp;DATE(2026,6,21))</f>
        <v>0</v>
      </c>
      <c r="FH46">
        <f>COUNTIFS('DRAFT 2'!$D:$D,$B46,'DRAFT 2'!$A:$A,"&gt;="&amp;DATE(2026,6,22),'DRAFT 2'!$A:$A,"&lt;"&amp;DATE(2026,IF(6=12,6+1,6+1),1))</f>
        <v>0</v>
      </c>
      <c r="FI46">
        <f t="shared" si="21"/>
        <v>0</v>
      </c>
      <c r="FT46">
        <f>IFERROR(LOOKUP(2,1/('DRAFT 2'!$D:$D=$B46)*('DRAFT 2'!$A:$A&gt;=DATE(2026,7,1))*('DRAFT 2'!$A:$A&lt;DATE(2026,IF(7=12,7+1,7+1),1)),'DRAFT 2'!$A:$A),"")</f>
        <v>0</v>
      </c>
      <c r="FU46">
        <f>COUNTIFS('DRAFT 2'!$D:$D,$B46,'DRAFT 2'!$A:$A,"&gt;="&amp;DATE(2026,7,1),'DRAFT 2'!$A:$A,"&lt;="&amp;DATE(2026,7,7))</f>
        <v>0</v>
      </c>
      <c r="FV46">
        <f>COUNTIFS('DRAFT 2'!$D:$D,$B46,'DRAFT 2'!$A:$A,"&gt;="&amp;DATE(2026,7,8),'DRAFT 2'!$A:$A,"&lt;="&amp;DATE(2026,7,14))</f>
        <v>0</v>
      </c>
      <c r="FW46">
        <f>COUNTIFS('DRAFT 2'!$D:$D,$B46,'DRAFT 2'!$A:$A,"&gt;="&amp;DATE(2026,7,15),'DRAFT 2'!$A:$A,"&lt;="&amp;DATE(2026,7,21))</f>
        <v>0</v>
      </c>
      <c r="FX46">
        <f>COUNTIFS('DRAFT 2'!$D:$D,$B46,'DRAFT 2'!$A:$A,"&gt;="&amp;DATE(2026,7,22),'DRAFT 2'!$A:$A,"&lt;"&amp;DATE(2026,IF(7=12,7+1,7+1),1))</f>
        <v>0</v>
      </c>
      <c r="FY46">
        <f t="shared" si="22"/>
        <v>0</v>
      </c>
      <c r="GI46">
        <f>IFERROR(LOOKUP(2,1/('DRAFT 2'!$D:$D=$B46)*('DRAFT 2'!$A:$A&gt;=DATE(2026,8,1))*('DRAFT 2'!$A:$A&lt;DATE(2026,IF(8=12,8+1,8+1),1)),'DRAFT 2'!$A:$A),"")</f>
        <v>0</v>
      </c>
      <c r="GJ46">
        <f>COUNTIFS('DRAFT 2'!$D:$D,$B46,'DRAFT 2'!$A:$A,"&gt;="&amp;DATE(2026,8,1),'DRAFT 2'!$A:$A,"&lt;="&amp;DATE(2026,8,7))</f>
        <v>0</v>
      </c>
      <c r="GK46">
        <f>COUNTIFS('DRAFT 2'!$D:$D,$B46,'DRAFT 2'!$A:$A,"&gt;="&amp;DATE(2026,8,8),'DRAFT 2'!$A:$A,"&lt;="&amp;DATE(2026,8,14))</f>
        <v>0</v>
      </c>
      <c r="GL46">
        <f>COUNTIFS('DRAFT 2'!$D:$D,$B46,'DRAFT 2'!$A:$A,"&gt;="&amp;DATE(2026,8,15),'DRAFT 2'!$A:$A,"&lt;="&amp;DATE(2026,8,21))</f>
        <v>0</v>
      </c>
      <c r="GM46">
        <f>COUNTIFS('DRAFT 2'!$D:$D,$B46,'DRAFT 2'!$A:$A,"&gt;="&amp;DATE(2026,8,22),'DRAFT 2'!$A:$A,"&lt;"&amp;DATE(2026,IF(8=12,8+1,8+1),1))</f>
        <v>0</v>
      </c>
      <c r="GN46">
        <f t="shared" si="23"/>
        <v>0</v>
      </c>
      <c r="GX46">
        <f>IFERROR(LOOKUP(2,1/('DRAFT 2'!$D:$D=$B46)*('DRAFT 2'!$A:$A&gt;=DATE(2026,9,1))*('DRAFT 2'!$A:$A&lt;DATE(2026,IF(9=12,9+1,9+1),1)),'DRAFT 2'!$A:$A),"")</f>
        <v>0</v>
      </c>
      <c r="GY46">
        <f>COUNTIFS('DRAFT 2'!$D:$D,$B46,'DRAFT 2'!$A:$A,"&gt;="&amp;DATE(2026,9,1),'DRAFT 2'!$A:$A,"&lt;="&amp;DATE(2026,9,7))</f>
        <v>0</v>
      </c>
      <c r="GZ46">
        <f>COUNTIFS('DRAFT 2'!$D:$D,$B46,'DRAFT 2'!$A:$A,"&gt;="&amp;DATE(2026,9,8),'DRAFT 2'!$A:$A,"&lt;="&amp;DATE(2026,9,14))</f>
        <v>0</v>
      </c>
      <c r="HA46">
        <f>COUNTIFS('DRAFT 2'!$D:$D,$B46,'DRAFT 2'!$A:$A,"&gt;="&amp;DATE(2026,9,15),'DRAFT 2'!$A:$A,"&lt;="&amp;DATE(2026,9,21))</f>
        <v>0</v>
      </c>
      <c r="HB46">
        <f>COUNTIFS('DRAFT 2'!$D:$D,$B46,'DRAFT 2'!$A:$A,"&gt;="&amp;DATE(2026,9,22),'DRAFT 2'!$A:$A,"&lt;"&amp;DATE(2026,IF(9=12,9+1,9+1),1))</f>
        <v>0</v>
      </c>
      <c r="HC46">
        <f t="shared" si="24"/>
        <v>0</v>
      </c>
      <c r="HN46">
        <f>IFERROR(LOOKUP(2,1/('DRAFT 2'!$D:$D=$B46)*('DRAFT 2'!$A:$A&gt;=DATE(2026,10,1))*('DRAFT 2'!$A:$A&lt;DATE(2026,IF(10=12,10+1,10+1),1)),'DRAFT 2'!$A:$A),"")</f>
        <v>0</v>
      </c>
      <c r="HO46">
        <f>COUNTIFS('DRAFT 2'!$D:$D,$B46,'DRAFT 2'!$A:$A,"&gt;="&amp;DATE(2026,10,1),'DRAFT 2'!$A:$A,"&lt;="&amp;DATE(2026,10,7))</f>
        <v>0</v>
      </c>
      <c r="HP46">
        <f>COUNTIFS('DRAFT 2'!$D:$D,$B46,'DRAFT 2'!$A:$A,"&gt;="&amp;DATE(2026,10,8),'DRAFT 2'!$A:$A,"&lt;="&amp;DATE(2026,10,14))</f>
        <v>0</v>
      </c>
      <c r="HQ46">
        <f>COUNTIFS('DRAFT 2'!$D:$D,$B46,'DRAFT 2'!$A:$A,"&gt;="&amp;DATE(2026,10,15),'DRAFT 2'!$A:$A,"&lt;="&amp;DATE(2026,10,21))</f>
        <v>0</v>
      </c>
      <c r="HR46">
        <f>COUNTIFS('DRAFT 2'!$D:$D,$B46,'DRAFT 2'!$A:$A,"&gt;="&amp;DATE(2026,10,22),'DRAFT 2'!$A:$A,"&lt;"&amp;DATE(2026,IF(10=12,10+1,10+1),1))</f>
        <v>0</v>
      </c>
      <c r="HS46">
        <f t="shared" si="25"/>
        <v>0</v>
      </c>
      <c r="IC46">
        <f>IFERROR(LOOKUP(2,1/('DRAFT 2'!$D:$D=$B46)*('DRAFT 2'!$A:$A&gt;=DATE(2026,11,1))*('DRAFT 2'!$A:$A&lt;DATE(2026,IF(11=12,11+1,11+1),1)),'DRAFT 2'!$A:$A),"")</f>
        <v>0</v>
      </c>
      <c r="ID46">
        <f>COUNTIFS('DRAFT 2'!$D:$D,$B46,'DRAFT 2'!$A:$A,"&gt;="&amp;DATE(2026,11,1),'DRAFT 2'!$A:$A,"&lt;="&amp;DATE(2026,11,7))</f>
        <v>0</v>
      </c>
      <c r="IE46">
        <f>COUNTIFS('DRAFT 2'!$D:$D,$B46,'DRAFT 2'!$A:$A,"&gt;="&amp;DATE(2026,11,8),'DRAFT 2'!$A:$A,"&lt;="&amp;DATE(2026,11,14))</f>
        <v>0</v>
      </c>
      <c r="IF46">
        <f>COUNTIFS('DRAFT 2'!$D:$D,$B46,'DRAFT 2'!$A:$A,"&gt;="&amp;DATE(2026,11,15),'DRAFT 2'!$A:$A,"&lt;="&amp;DATE(2026,11,21))</f>
        <v>0</v>
      </c>
      <c r="IG46">
        <f>COUNTIFS('DRAFT 2'!$D:$D,$B46,'DRAFT 2'!$A:$A,"&gt;="&amp;DATE(2026,11,22),'DRAFT 2'!$A:$A,"&lt;"&amp;DATE(2026,IF(11=12,11+1,11+1),1))</f>
        <v>0</v>
      </c>
      <c r="IH46">
        <f t="shared" si="26"/>
        <v>0</v>
      </c>
      <c r="IR46">
        <f>IFERROR(LOOKUP(2,1/('DRAFT 2'!$D:$D=$B46)*('DRAFT 2'!$A:$A&gt;=DATE(2026,12,1))*('DRAFT 2'!$A:$A&lt;DATE(2026,IF(12=12,12+1,12+1),1)),'DRAFT 2'!$A:$A),"")</f>
        <v>0</v>
      </c>
      <c r="IS46">
        <f>COUNTIFS('DRAFT 2'!$D:$D,$B46,'DRAFT 2'!$A:$A,"&gt;="&amp;DATE(2026,12,1),'DRAFT 2'!$A:$A,"&lt;="&amp;DATE(2026,12,7))</f>
        <v>0</v>
      </c>
      <c r="IT46">
        <f>COUNTIFS('DRAFT 2'!$D:$D,$B46,'DRAFT 2'!$A:$A,"&gt;="&amp;DATE(2026,12,8),'DRAFT 2'!$A:$A,"&lt;="&amp;DATE(2026,12,14))</f>
        <v>0</v>
      </c>
      <c r="IU46">
        <f>COUNTIFS('DRAFT 2'!$D:$D,$B46,'DRAFT 2'!$A:$A,"&gt;="&amp;DATE(2026,12,15),'DRAFT 2'!$A:$A,"&lt;="&amp;DATE(2026,12,21))</f>
        <v>0</v>
      </c>
      <c r="IV46">
        <f>COUNTIFS('DRAFT 2'!$D:$D,$B46,'DRAFT 2'!$A:$A,"&gt;="&amp;DATE(2026,12,22),'DRAFT 2'!$A:$A,"&lt;"&amp;DATE(2026,IF(12=12,12+1,12+1),1))</f>
        <v>0</v>
      </c>
      <c r="IW46">
        <f t="shared" si="27"/>
        <v>0</v>
      </c>
    </row>
    <row r="47" spans="1:257" x14ac:dyDescent="0.3">
      <c r="A47" t="str">
        <f>IFERROR(INDEX('DRAFT 1'!$A:$A,MATCH($B47,'DRAFT 1'!$B:$B,0)),"")</f>
        <v/>
      </c>
      <c r="C47" t="str">
        <f>IFERROR(INDEX('DRAFT 1'!$C:$C,MATCH($B47,'DRAFT 1'!$B:$B,0)),"")</f>
        <v/>
      </c>
      <c r="D47" t="str">
        <f>IFERROR(INDEX('DRAFT 1'!$D:$D,MATCH($B47,'DRAFT 1'!$B:$B,0)),"")</f>
        <v/>
      </c>
      <c r="E47" t="str">
        <f>IFERROR(INDEX('DRAFT 1'!$E:$E,MATCH($B47,'DRAFT 1'!$B:$B,0)),"")</f>
        <v/>
      </c>
      <c r="F47" t="str">
        <f>IFERROR(INDEX('DRAFT 1'!$F:$F,MATCH($B47,'DRAFT 1'!$B:$B,0)),"")</f>
        <v/>
      </c>
      <c r="G47" t="str">
        <f>IFERROR(INDEX('DRAFT 1'!$G:$G,MATCH($B47,'DRAFT 1'!$B:$B,0)),"")</f>
        <v/>
      </c>
      <c r="H47" t="str">
        <f>IFERROR(INDEX('DRAFT 1'!$H:$H,MATCH($B47,'DRAFT 1'!$B:$B,0)),"")</f>
        <v/>
      </c>
      <c r="I47" t="s">
        <v>292</v>
      </c>
      <c r="K47" t="str">
        <f>IFERROR(INDEX('DRAFT 1'!$AL:$AL,MATCH($B47,'DRAFT 1'!$B:$B,0)),"")</f>
        <v/>
      </c>
      <c r="L47" t="str">
        <f>IFERROR(INDEX('DRAFT 1'!$J:$J,MATCH($B47,'DRAFT 1'!$B:$B,0)),"")</f>
        <v/>
      </c>
      <c r="M47" t="str">
        <f>IFERROR(INDEX('DRAFT 1'!$K:$K,MATCH($B47,'DRAFT 1'!$B:$B,0)),"")</f>
        <v/>
      </c>
      <c r="N47" t="s">
        <v>71</v>
      </c>
      <c r="P47" t="str">
        <f>IFERROR(INDEX('DRAFT 1'!$L:$L,MATCH($B47,'DRAFT 1'!$B:$B,0)),"")</f>
        <v/>
      </c>
      <c r="Q47" t="str">
        <f>IFERROR(INDEX('DRAFT 1'!$M:$M,MATCH($B47,'DRAFT 1'!$B:$B,0)),"")</f>
        <v/>
      </c>
      <c r="R47" t="str">
        <f>IFERROR(INDEX('DRAFT 1'!$N:$N,MATCH($B47,'DRAFT 1'!$B:$B,0)),"")</f>
        <v/>
      </c>
      <c r="S47" t="str">
        <f>IFERROR(INDEX('DRAFT 1'!$O:$O,MATCH($B47,'DRAFT 1'!$B:$B,0)),"")</f>
        <v/>
      </c>
      <c r="T47" t="str">
        <f>IFERROR(INDEX('DRAFT 1'!$P:$P,MATCH($B47,'DRAFT 1'!$B:$B,0)),"")</f>
        <v/>
      </c>
      <c r="U47" t="str">
        <f>IFERROR(INDEX('DRAFT 1'!$Q:$Q,MATCH($B47,'DRAFT 1'!$B:$B,0)),"")</f>
        <v/>
      </c>
      <c r="V47" t="str">
        <f>IFERROR(INDEX('DRAFT 1'!$R:$R,MATCH($B47,'DRAFT 1'!$B:$B,0)),"")</f>
        <v/>
      </c>
      <c r="W47" t="str">
        <f>IFERROR(INDEX('DRAFT 1'!$S:$S,MATCH($B47,'DRAFT 1'!$B:$B,0)),"")</f>
        <v/>
      </c>
      <c r="X47" t="str">
        <f>IFERROR(INDEX('DRAFT 1'!$T:$T,MATCH($B47,'DRAFT 1'!$B:$B,0)),"")</f>
        <v/>
      </c>
      <c r="Z47" t="str">
        <f>IFERROR(INDEX('DRAFT 1'!$U:$U,MATCH($B47,'DRAFT 1'!$B:$B,0)),"")</f>
        <v/>
      </c>
      <c r="AA47" t="str">
        <f>IFERROR(INDEX('DRAFT 1'!$V:$V,MATCH($B47,'DRAFT 1'!$B:$B,0)),"")</f>
        <v/>
      </c>
      <c r="AB47" t="str">
        <f>IFERROR(INDEX('DRAFT 1'!$W:$W,MATCH($B47,'DRAFT 1'!$B:$B,0)),"")</f>
        <v/>
      </c>
      <c r="AC47" t="str">
        <f>IFERROR(INDEX('DRAFT 1'!$X:$X,MATCH($B47,'DRAFT 1'!$B:$B,0)),"")</f>
        <v/>
      </c>
      <c r="AD47" t="str">
        <f>IFERROR(INDEX('DRAFT 1'!$Y:$Y,MATCH($B47,'DRAFT 1'!$B:$B,0)),"")</f>
        <v/>
      </c>
      <c r="AE47" t="str">
        <f>IFERROR(INDEX('DRAFT 1'!$Z:$Z,MATCH($B47,'DRAFT 1'!$B:$B,0)),"")</f>
        <v/>
      </c>
      <c r="AF47" t="str">
        <f>IFERROR(INDEX('DRAFT 1'!$AA:$AA,MATCH($B47,'DRAFT 1'!$B:$B,0)),"")</f>
        <v/>
      </c>
      <c r="AG47" t="str">
        <f>IFERROR(INDEX('DRAFT 1'!$AB:$AB,MATCH($B47,'DRAFT 1'!$B:$B,0)),"")</f>
        <v/>
      </c>
      <c r="AH47" t="str">
        <f>IFERROR(INDEX('DRAFT 1'!$AC:$AC,MATCH($B47,'DRAFT 1'!$B:$B,0)),"")</f>
        <v/>
      </c>
      <c r="AI47" t="str">
        <f>IFERROR(INDEX('DRAFT 1'!$AD:$AD,MATCH($B47,'DRAFT 1'!$B:$B,0)),"")</f>
        <v/>
      </c>
      <c r="AJ47" t="str">
        <f>IFERROR(INDEX('DRAFT 1'!$AE:$AE,MATCH($B47,'DRAFT 1'!$B:$B,0)),"")</f>
        <v/>
      </c>
      <c r="AK47" t="str">
        <f>IFERROR(INDEX('DRAFT 1'!$AG:$AG,MATCH($B47,'DRAFT 1'!$B:$B,0)),"")</f>
        <v/>
      </c>
      <c r="AL47" t="str">
        <f>IFERROR(INDEX('DRAFT 1'!$AH:$AH,MATCH($B47,'DRAFT 1'!$B:$B,0)),"")</f>
        <v/>
      </c>
      <c r="AM47" t="str">
        <f>IFERROR(INDEX('DRAFT 1'!$AI:$AI,MATCH($B47,'DRAFT 1'!$B:$B,0)),"")</f>
        <v/>
      </c>
      <c r="AN47" t="str">
        <f>IFERROR(INDEX('DRAFT 1'!$AJ:$AJ,MATCH($B47,'DRAFT 1'!$B:$B,0)),"")</f>
        <v/>
      </c>
      <c r="AO47">
        <f t="shared" si="14"/>
        <v>0</v>
      </c>
      <c r="AP47" t="str">
        <f>IFERROR(INDEX('DRAFT 1'!$AK:$AK,MATCH($B47,'DRAFT 1'!$B:$B,0)),"")</f>
        <v/>
      </c>
      <c r="AR47" t="s">
        <v>94</v>
      </c>
      <c r="AS47">
        <f>IFERROR(LOOKUP(2,1/('DRAFT 2'!$D:$D=$B47),'DRAFT 2'!$T:$T),"")</f>
        <v>0</v>
      </c>
      <c r="AT47">
        <f>IFERROR(LOOKUP(2,1/('DRAFT 2'!$D:$D=$B47),'DRAFT 2'!$A:$A),"")</f>
        <v>0</v>
      </c>
      <c r="AU47">
        <f>IFERROR(LOOKUP(2,1/('DRAFT 2'!$D:$D=$B47),'DRAFT 2'!$R:$R),"")</f>
        <v>0</v>
      </c>
      <c r="AV47">
        <f>IFERROR(LOOKUP(2,1/('DRAFT 2'!$D:$D=$B47),'DRAFT 2'!$S:$S),"")</f>
        <v>0</v>
      </c>
      <c r="AW47" t="s">
        <v>82</v>
      </c>
      <c r="AX47">
        <f>IFERROR(LOOKUP(2,1/('DRAFT 2'!$D:$D=$B47),'DRAFT 2'!$M:$M),"")</f>
        <v>0</v>
      </c>
      <c r="AY47">
        <f>IFERROR(LOOKUP(2,1/('DRAFT 2'!$D:$D=$B47),'DRAFT 2'!$K:$K),"")</f>
        <v>0</v>
      </c>
      <c r="BG47">
        <f>IFERROR(LOOKUP(2,1/('DRAFT 2'!$D:$D=$B47),'DRAFT 2'!$U:$U),"")</f>
        <v>0</v>
      </c>
      <c r="BH47">
        <f>IFERROR(LOOKUP(2,1/('DRAFT 2'!$D:$D=$B47),'DRAFT 2'!$V:$V),"")</f>
        <v>0</v>
      </c>
      <c r="CE47" t="str">
        <f t="shared" si="15"/>
        <v/>
      </c>
      <c r="CF47">
        <f>IFERROR(LOOKUP(2,1/('DRAFT 2'!$D:$D=$B47)*('DRAFT 2'!$A:$A&gt;=DATE(2026,1,1))*('DRAFT 2'!$A:$A&lt;DATE(2026,IF(1=12,1+1,1+1),1)),'DRAFT 2'!$A:$A),"")</f>
        <v>0</v>
      </c>
      <c r="CG47">
        <f>COUNTIFS('DRAFT 2'!$D:$D,$B47,'DRAFT 2'!$A:$A,"&gt;="&amp;DATE(2026,1,1),'DRAFT 2'!$A:$A,"&lt;="&amp;DATE(2026,1,7))</f>
        <v>0</v>
      </c>
      <c r="CH47">
        <f>COUNTIFS('DRAFT 2'!$D:$D,$B47,'DRAFT 2'!$A:$A,"&gt;="&amp;DATE(2026,1,8),'DRAFT 2'!$A:$A,"&lt;="&amp;DATE(2026,1,14))</f>
        <v>0</v>
      </c>
      <c r="CI47">
        <f>COUNTIFS('DRAFT 2'!$D:$D,$B47,'DRAFT 2'!$A:$A,"&gt;="&amp;DATE(2026,1,15),'DRAFT 2'!$A:$A,"&lt;="&amp;DATE(2026,1,21))</f>
        <v>0</v>
      </c>
      <c r="CJ47">
        <f>COUNTIFS('DRAFT 2'!$D:$D,$B47,'DRAFT 2'!$A:$A,"&gt;="&amp;DATE(2026,1,22),'DRAFT 2'!$A:$A,"&lt;"&amp;DATE(2026,IF(1=12,1+1,1+1),1))</f>
        <v>0</v>
      </c>
      <c r="CK47">
        <f t="shared" si="16"/>
        <v>0</v>
      </c>
      <c r="CT47">
        <v>0</v>
      </c>
      <c r="CU47">
        <f>IFERROR(LOOKUP(2,1/('DRAFT 2'!$D:$D=$B47)*('DRAFT 2'!$A:$A&gt;=DATE(2026,2,1))*('DRAFT 2'!$A:$A&lt;DATE(2026,IF(2=12,2+1,2+1),1)),'DRAFT 2'!$A:$A),"")</f>
        <v>0</v>
      </c>
      <c r="CV47">
        <f>COUNTIFS('DRAFT 2'!$D:$D,$B47,'DRAFT 2'!$A:$A,"&gt;="&amp;DATE(2026,2,1),'DRAFT 2'!$A:$A,"&lt;="&amp;DATE(2026,2,7))</f>
        <v>0</v>
      </c>
      <c r="CW47">
        <f>COUNTIFS('DRAFT 2'!$D:$D,$B47,'DRAFT 2'!$A:$A,"&gt;="&amp;DATE(2026,2,8),'DRAFT 2'!$A:$A,"&lt;="&amp;DATE(2026,2,14))</f>
        <v>0</v>
      </c>
      <c r="CX47">
        <f>COUNTIFS('DRAFT 2'!$D:$D,$B47,'DRAFT 2'!$A:$A,"&gt;="&amp;DATE(2026,2,15),'DRAFT 2'!$A:$A,"&lt;="&amp;DATE(2026,2,21))</f>
        <v>0</v>
      </c>
      <c r="CY47">
        <f>COUNTIFS('DRAFT 2'!$D:$D,$B47,'DRAFT 2'!$A:$A,"&gt;="&amp;DATE(2026,2,22),'DRAFT 2'!$A:$A,"&lt;"&amp;DATE(2026,IF(2=12,2+1,2+1),1))</f>
        <v>0</v>
      </c>
      <c r="CZ47">
        <f t="shared" si="17"/>
        <v>0</v>
      </c>
      <c r="DJ47">
        <f>IFERROR(LOOKUP(2,1/('DRAFT 2'!$D:$D=$B47)*('DRAFT 2'!$A:$A&gt;=DATE(2026,3,1))*('DRAFT 2'!$A:$A&lt;DATE(2026,IF(3=12,3+1,3+1),1)),'DRAFT 2'!$A:$A),"")</f>
        <v>0</v>
      </c>
      <c r="DK47">
        <f>COUNTIFS('DRAFT 2'!$D:$D,$B47,'DRAFT 2'!$A:$A,"&gt;="&amp;DATE(2026,3,1),'DRAFT 2'!$A:$A,"&lt;="&amp;DATE(2026,3,7))</f>
        <v>0</v>
      </c>
      <c r="DL47">
        <f>COUNTIFS('DRAFT 2'!$D:$D,$B47,'DRAFT 2'!$A:$A,"&gt;="&amp;DATE(2026,3,8),'DRAFT 2'!$A:$A,"&lt;="&amp;DATE(2026,3,14))</f>
        <v>0</v>
      </c>
      <c r="DM47">
        <f>COUNTIFS('DRAFT 2'!$D:$D,$B47,'DRAFT 2'!$A:$A,"&gt;="&amp;DATE(2026,3,15),'DRAFT 2'!$A:$A,"&lt;="&amp;DATE(2026,3,21))</f>
        <v>0</v>
      </c>
      <c r="DN47">
        <f>COUNTIFS('DRAFT 2'!$D:$D,$B47,'DRAFT 2'!$A:$A,"&gt;="&amp;DATE(2026,3,22),'DRAFT 2'!$A:$A,"&lt;"&amp;DATE(2026,IF(3=12,3+1,3+1),1))</f>
        <v>0</v>
      </c>
      <c r="DO47">
        <f t="shared" si="18"/>
        <v>0</v>
      </c>
      <c r="DZ47">
        <f>IFERROR(LOOKUP(2,1/('DRAFT 2'!$D:$D=$B47)*('DRAFT 2'!$A:$A&gt;=DATE(2026,4,1))*('DRAFT 2'!$A:$A&lt;DATE(2026,IF(4=12,4+1,4+1),1)),'DRAFT 2'!$A:$A),"")</f>
        <v>0</v>
      </c>
      <c r="EA47">
        <f>COUNTIFS('DRAFT 2'!$D:$D,$B47,'DRAFT 2'!$A:$A,"&gt;="&amp;DATE(2026,4,1),'DRAFT 2'!$A:$A,"&lt;="&amp;DATE(2026,4,7))</f>
        <v>0</v>
      </c>
      <c r="EB47">
        <f>COUNTIFS('DRAFT 2'!$D:$D,$B47,'DRAFT 2'!$A:$A,"&gt;="&amp;DATE(2026,4,8),'DRAFT 2'!$A:$A,"&lt;="&amp;DATE(2026,4,14))</f>
        <v>0</v>
      </c>
      <c r="EC47">
        <f>COUNTIFS('DRAFT 2'!$D:$D,$B47,'DRAFT 2'!$A:$A,"&gt;="&amp;DATE(2026,4,15),'DRAFT 2'!$A:$A,"&lt;="&amp;DATE(2026,4,21))</f>
        <v>0</v>
      </c>
      <c r="ED47">
        <f>COUNTIFS('DRAFT 2'!$D:$D,$B47,'DRAFT 2'!$A:$A,"&gt;="&amp;DATE(2026,4,22),'DRAFT 2'!$A:$A,"&lt;"&amp;DATE(2026,IF(4=12,4+1,4+1),1))</f>
        <v>0</v>
      </c>
      <c r="EE47">
        <f t="shared" si="19"/>
        <v>0</v>
      </c>
      <c r="EO47">
        <f>IFERROR(LOOKUP(2,1/('DRAFT 2'!$D:$D=$B47)*('DRAFT 2'!$A:$A&gt;=DATE(2026,5,1))*('DRAFT 2'!$A:$A&lt;DATE(2026,IF(5=12,5+1,5+1),1)),'DRAFT 2'!$A:$A),"")</f>
        <v>0</v>
      </c>
      <c r="EP47">
        <f>COUNTIFS('DRAFT 2'!$D:$D,$B47,'DRAFT 2'!$A:$A,"&gt;="&amp;DATE(2026,5,1),'DRAFT 2'!$A:$A,"&lt;="&amp;DATE(2026,5,7))</f>
        <v>0</v>
      </c>
      <c r="EQ47">
        <f>COUNTIFS('DRAFT 2'!$D:$D,$B47,'DRAFT 2'!$A:$A,"&gt;="&amp;DATE(2026,5,8),'DRAFT 2'!$A:$A,"&lt;="&amp;DATE(2026,5,14))</f>
        <v>0</v>
      </c>
      <c r="ER47">
        <f>COUNTIFS('DRAFT 2'!$D:$D,$B47,'DRAFT 2'!$A:$A,"&gt;="&amp;DATE(2026,5,15),'DRAFT 2'!$A:$A,"&lt;="&amp;DATE(2026,5,21))</f>
        <v>0</v>
      </c>
      <c r="ES47">
        <f>COUNTIFS('DRAFT 2'!$D:$D,$B47,'DRAFT 2'!$A:$A,"&gt;="&amp;DATE(2026,5,22),'DRAFT 2'!$A:$A,"&lt;"&amp;DATE(2026,IF(5=12,5+1,5+1),1))</f>
        <v>0</v>
      </c>
      <c r="ET47">
        <f t="shared" si="20"/>
        <v>0</v>
      </c>
      <c r="FD47">
        <f>IFERROR(LOOKUP(2,1/('DRAFT 2'!$D:$D=$B47)*('DRAFT 2'!$A:$A&gt;=DATE(2026,6,1))*('DRAFT 2'!$A:$A&lt;DATE(2026,IF(6=12,6+1,6+1),1)),'DRAFT 2'!$A:$A),"")</f>
        <v>0</v>
      </c>
      <c r="FE47">
        <f>COUNTIFS('DRAFT 2'!$D:$D,$B47,'DRAFT 2'!$A:$A,"&gt;="&amp;DATE(2026,6,1),'DRAFT 2'!$A:$A,"&lt;="&amp;DATE(2026,6,7))</f>
        <v>0</v>
      </c>
      <c r="FF47">
        <f>COUNTIFS('DRAFT 2'!$D:$D,$B47,'DRAFT 2'!$A:$A,"&gt;="&amp;DATE(2026,6,8),'DRAFT 2'!$A:$A,"&lt;="&amp;DATE(2026,6,14))</f>
        <v>0</v>
      </c>
      <c r="FG47">
        <f>COUNTIFS('DRAFT 2'!$D:$D,$B47,'DRAFT 2'!$A:$A,"&gt;="&amp;DATE(2026,6,15),'DRAFT 2'!$A:$A,"&lt;="&amp;DATE(2026,6,21))</f>
        <v>0</v>
      </c>
      <c r="FH47">
        <f>COUNTIFS('DRAFT 2'!$D:$D,$B47,'DRAFT 2'!$A:$A,"&gt;="&amp;DATE(2026,6,22),'DRAFT 2'!$A:$A,"&lt;"&amp;DATE(2026,IF(6=12,6+1,6+1),1))</f>
        <v>0</v>
      </c>
      <c r="FI47">
        <f t="shared" si="21"/>
        <v>0</v>
      </c>
      <c r="FT47">
        <f>IFERROR(LOOKUP(2,1/('DRAFT 2'!$D:$D=$B47)*('DRAFT 2'!$A:$A&gt;=DATE(2026,7,1))*('DRAFT 2'!$A:$A&lt;DATE(2026,IF(7=12,7+1,7+1),1)),'DRAFT 2'!$A:$A),"")</f>
        <v>0</v>
      </c>
      <c r="FU47">
        <f>COUNTIFS('DRAFT 2'!$D:$D,$B47,'DRAFT 2'!$A:$A,"&gt;="&amp;DATE(2026,7,1),'DRAFT 2'!$A:$A,"&lt;="&amp;DATE(2026,7,7))</f>
        <v>0</v>
      </c>
      <c r="FV47">
        <f>COUNTIFS('DRAFT 2'!$D:$D,$B47,'DRAFT 2'!$A:$A,"&gt;="&amp;DATE(2026,7,8),'DRAFT 2'!$A:$A,"&lt;="&amp;DATE(2026,7,14))</f>
        <v>0</v>
      </c>
      <c r="FW47">
        <f>COUNTIFS('DRAFT 2'!$D:$D,$B47,'DRAFT 2'!$A:$A,"&gt;="&amp;DATE(2026,7,15),'DRAFT 2'!$A:$A,"&lt;="&amp;DATE(2026,7,21))</f>
        <v>0</v>
      </c>
      <c r="FX47">
        <f>COUNTIFS('DRAFT 2'!$D:$D,$B47,'DRAFT 2'!$A:$A,"&gt;="&amp;DATE(2026,7,22),'DRAFT 2'!$A:$A,"&lt;"&amp;DATE(2026,IF(7=12,7+1,7+1),1))</f>
        <v>0</v>
      </c>
      <c r="FY47">
        <f t="shared" si="22"/>
        <v>0</v>
      </c>
      <c r="GI47">
        <f>IFERROR(LOOKUP(2,1/('DRAFT 2'!$D:$D=$B47)*('DRAFT 2'!$A:$A&gt;=DATE(2026,8,1))*('DRAFT 2'!$A:$A&lt;DATE(2026,IF(8=12,8+1,8+1),1)),'DRAFT 2'!$A:$A),"")</f>
        <v>0</v>
      </c>
      <c r="GJ47">
        <f>COUNTIFS('DRAFT 2'!$D:$D,$B47,'DRAFT 2'!$A:$A,"&gt;="&amp;DATE(2026,8,1),'DRAFT 2'!$A:$A,"&lt;="&amp;DATE(2026,8,7))</f>
        <v>0</v>
      </c>
      <c r="GK47">
        <f>COUNTIFS('DRAFT 2'!$D:$D,$B47,'DRAFT 2'!$A:$A,"&gt;="&amp;DATE(2026,8,8),'DRAFT 2'!$A:$A,"&lt;="&amp;DATE(2026,8,14))</f>
        <v>0</v>
      </c>
      <c r="GL47">
        <f>COUNTIFS('DRAFT 2'!$D:$D,$B47,'DRAFT 2'!$A:$A,"&gt;="&amp;DATE(2026,8,15),'DRAFT 2'!$A:$A,"&lt;="&amp;DATE(2026,8,21))</f>
        <v>0</v>
      </c>
      <c r="GM47">
        <f>COUNTIFS('DRAFT 2'!$D:$D,$B47,'DRAFT 2'!$A:$A,"&gt;="&amp;DATE(2026,8,22),'DRAFT 2'!$A:$A,"&lt;"&amp;DATE(2026,IF(8=12,8+1,8+1),1))</f>
        <v>0</v>
      </c>
      <c r="GN47">
        <f t="shared" si="23"/>
        <v>0</v>
      </c>
      <c r="GX47">
        <f>IFERROR(LOOKUP(2,1/('DRAFT 2'!$D:$D=$B47)*('DRAFT 2'!$A:$A&gt;=DATE(2026,9,1))*('DRAFT 2'!$A:$A&lt;DATE(2026,IF(9=12,9+1,9+1),1)),'DRAFT 2'!$A:$A),"")</f>
        <v>0</v>
      </c>
      <c r="GY47">
        <f>COUNTIFS('DRAFT 2'!$D:$D,$B47,'DRAFT 2'!$A:$A,"&gt;="&amp;DATE(2026,9,1),'DRAFT 2'!$A:$A,"&lt;="&amp;DATE(2026,9,7))</f>
        <v>0</v>
      </c>
      <c r="GZ47">
        <f>COUNTIFS('DRAFT 2'!$D:$D,$B47,'DRAFT 2'!$A:$A,"&gt;="&amp;DATE(2026,9,8),'DRAFT 2'!$A:$A,"&lt;="&amp;DATE(2026,9,14))</f>
        <v>0</v>
      </c>
      <c r="HA47">
        <f>COUNTIFS('DRAFT 2'!$D:$D,$B47,'DRAFT 2'!$A:$A,"&gt;="&amp;DATE(2026,9,15),'DRAFT 2'!$A:$A,"&lt;="&amp;DATE(2026,9,21))</f>
        <v>0</v>
      </c>
      <c r="HB47">
        <f>COUNTIFS('DRAFT 2'!$D:$D,$B47,'DRAFT 2'!$A:$A,"&gt;="&amp;DATE(2026,9,22),'DRAFT 2'!$A:$A,"&lt;"&amp;DATE(2026,IF(9=12,9+1,9+1),1))</f>
        <v>0</v>
      </c>
      <c r="HC47">
        <f t="shared" si="24"/>
        <v>0</v>
      </c>
      <c r="HN47">
        <f>IFERROR(LOOKUP(2,1/('DRAFT 2'!$D:$D=$B47)*('DRAFT 2'!$A:$A&gt;=DATE(2026,10,1))*('DRAFT 2'!$A:$A&lt;DATE(2026,IF(10=12,10+1,10+1),1)),'DRAFT 2'!$A:$A),"")</f>
        <v>0</v>
      </c>
      <c r="HO47">
        <f>COUNTIFS('DRAFT 2'!$D:$D,$B47,'DRAFT 2'!$A:$A,"&gt;="&amp;DATE(2026,10,1),'DRAFT 2'!$A:$A,"&lt;="&amp;DATE(2026,10,7))</f>
        <v>0</v>
      </c>
      <c r="HP47">
        <f>COUNTIFS('DRAFT 2'!$D:$D,$B47,'DRAFT 2'!$A:$A,"&gt;="&amp;DATE(2026,10,8),'DRAFT 2'!$A:$A,"&lt;="&amp;DATE(2026,10,14))</f>
        <v>0</v>
      </c>
      <c r="HQ47">
        <f>COUNTIFS('DRAFT 2'!$D:$D,$B47,'DRAFT 2'!$A:$A,"&gt;="&amp;DATE(2026,10,15),'DRAFT 2'!$A:$A,"&lt;="&amp;DATE(2026,10,21))</f>
        <v>0</v>
      </c>
      <c r="HR47">
        <f>COUNTIFS('DRAFT 2'!$D:$D,$B47,'DRAFT 2'!$A:$A,"&gt;="&amp;DATE(2026,10,22),'DRAFT 2'!$A:$A,"&lt;"&amp;DATE(2026,IF(10=12,10+1,10+1),1))</f>
        <v>0</v>
      </c>
      <c r="HS47">
        <f t="shared" si="25"/>
        <v>0</v>
      </c>
      <c r="IC47">
        <f>IFERROR(LOOKUP(2,1/('DRAFT 2'!$D:$D=$B47)*('DRAFT 2'!$A:$A&gt;=DATE(2026,11,1))*('DRAFT 2'!$A:$A&lt;DATE(2026,IF(11=12,11+1,11+1),1)),'DRAFT 2'!$A:$A),"")</f>
        <v>0</v>
      </c>
      <c r="ID47">
        <f>COUNTIFS('DRAFT 2'!$D:$D,$B47,'DRAFT 2'!$A:$A,"&gt;="&amp;DATE(2026,11,1),'DRAFT 2'!$A:$A,"&lt;="&amp;DATE(2026,11,7))</f>
        <v>0</v>
      </c>
      <c r="IE47">
        <f>COUNTIFS('DRAFT 2'!$D:$D,$B47,'DRAFT 2'!$A:$A,"&gt;="&amp;DATE(2026,11,8),'DRAFT 2'!$A:$A,"&lt;="&amp;DATE(2026,11,14))</f>
        <v>0</v>
      </c>
      <c r="IF47">
        <f>COUNTIFS('DRAFT 2'!$D:$D,$B47,'DRAFT 2'!$A:$A,"&gt;="&amp;DATE(2026,11,15),'DRAFT 2'!$A:$A,"&lt;="&amp;DATE(2026,11,21))</f>
        <v>0</v>
      </c>
      <c r="IG47">
        <f>COUNTIFS('DRAFT 2'!$D:$D,$B47,'DRAFT 2'!$A:$A,"&gt;="&amp;DATE(2026,11,22),'DRAFT 2'!$A:$A,"&lt;"&amp;DATE(2026,IF(11=12,11+1,11+1),1))</f>
        <v>0</v>
      </c>
      <c r="IH47">
        <f t="shared" si="26"/>
        <v>0</v>
      </c>
      <c r="IR47">
        <f>IFERROR(LOOKUP(2,1/('DRAFT 2'!$D:$D=$B47)*('DRAFT 2'!$A:$A&gt;=DATE(2026,12,1))*('DRAFT 2'!$A:$A&lt;DATE(2026,IF(12=12,12+1,12+1),1)),'DRAFT 2'!$A:$A),"")</f>
        <v>0</v>
      </c>
      <c r="IS47">
        <f>COUNTIFS('DRAFT 2'!$D:$D,$B47,'DRAFT 2'!$A:$A,"&gt;="&amp;DATE(2026,12,1),'DRAFT 2'!$A:$A,"&lt;="&amp;DATE(2026,12,7))</f>
        <v>0</v>
      </c>
      <c r="IT47">
        <f>COUNTIFS('DRAFT 2'!$D:$D,$B47,'DRAFT 2'!$A:$A,"&gt;="&amp;DATE(2026,12,8),'DRAFT 2'!$A:$A,"&lt;="&amp;DATE(2026,12,14))</f>
        <v>0</v>
      </c>
      <c r="IU47">
        <f>COUNTIFS('DRAFT 2'!$D:$D,$B47,'DRAFT 2'!$A:$A,"&gt;="&amp;DATE(2026,12,15),'DRAFT 2'!$A:$A,"&lt;="&amp;DATE(2026,12,21))</f>
        <v>0</v>
      </c>
      <c r="IV47">
        <f>COUNTIFS('DRAFT 2'!$D:$D,$B47,'DRAFT 2'!$A:$A,"&gt;="&amp;DATE(2026,12,22),'DRAFT 2'!$A:$A,"&lt;"&amp;DATE(2026,IF(12=12,12+1,12+1),1))</f>
        <v>0</v>
      </c>
      <c r="IW47">
        <f t="shared" si="27"/>
        <v>0</v>
      </c>
    </row>
    <row r="48" spans="1:257" x14ac:dyDescent="0.3">
      <c r="A48" t="str">
        <f>IFERROR(INDEX('DRAFT 1'!$A:$A,MATCH($B48,'DRAFT 1'!$B:$B,0)),"")</f>
        <v/>
      </c>
      <c r="C48" t="str">
        <f>IFERROR(INDEX('DRAFT 1'!$C:$C,MATCH($B48,'DRAFT 1'!$B:$B,0)),"")</f>
        <v/>
      </c>
      <c r="D48" t="str">
        <f>IFERROR(INDEX('DRAFT 1'!$D:$D,MATCH($B48,'DRAFT 1'!$B:$B,0)),"")</f>
        <v/>
      </c>
      <c r="E48" t="str">
        <f>IFERROR(INDEX('DRAFT 1'!$E:$E,MATCH($B48,'DRAFT 1'!$B:$B,0)),"")</f>
        <v/>
      </c>
      <c r="F48" t="str">
        <f>IFERROR(INDEX('DRAFT 1'!$F:$F,MATCH($B48,'DRAFT 1'!$B:$B,0)),"")</f>
        <v/>
      </c>
      <c r="G48" t="str">
        <f>IFERROR(INDEX('DRAFT 1'!$G:$G,MATCH($B48,'DRAFT 1'!$B:$B,0)),"")</f>
        <v/>
      </c>
      <c r="H48" t="str">
        <f>IFERROR(INDEX('DRAFT 1'!$H:$H,MATCH($B48,'DRAFT 1'!$B:$B,0)),"")</f>
        <v/>
      </c>
      <c r="I48" t="s">
        <v>283</v>
      </c>
      <c r="K48" t="str">
        <f>IFERROR(INDEX('DRAFT 1'!$AL:$AL,MATCH($B48,'DRAFT 1'!$B:$B,0)),"")</f>
        <v/>
      </c>
      <c r="L48" t="str">
        <f>IFERROR(INDEX('DRAFT 1'!$J:$J,MATCH($B48,'DRAFT 1'!$B:$B,0)),"")</f>
        <v/>
      </c>
      <c r="M48" t="str">
        <f>IFERROR(INDEX('DRAFT 1'!$K:$K,MATCH($B48,'DRAFT 1'!$B:$B,0)),"")</f>
        <v/>
      </c>
      <c r="N48" t="s">
        <v>85</v>
      </c>
      <c r="P48" t="str">
        <f>IFERROR(INDEX('DRAFT 1'!$L:$L,MATCH($B48,'DRAFT 1'!$B:$B,0)),"")</f>
        <v/>
      </c>
      <c r="Q48" t="str">
        <f>IFERROR(INDEX('DRAFT 1'!$M:$M,MATCH($B48,'DRAFT 1'!$B:$B,0)),"")</f>
        <v/>
      </c>
      <c r="R48" t="str">
        <f>IFERROR(INDEX('DRAFT 1'!$N:$N,MATCH($B48,'DRAFT 1'!$B:$B,0)),"")</f>
        <v/>
      </c>
      <c r="S48" t="str">
        <f>IFERROR(INDEX('DRAFT 1'!$O:$O,MATCH($B48,'DRAFT 1'!$B:$B,0)),"")</f>
        <v/>
      </c>
      <c r="T48" t="str">
        <f>IFERROR(INDEX('DRAFT 1'!$P:$P,MATCH($B48,'DRAFT 1'!$B:$B,0)),"")</f>
        <v/>
      </c>
      <c r="U48" t="str">
        <f>IFERROR(INDEX('DRAFT 1'!$Q:$Q,MATCH($B48,'DRAFT 1'!$B:$B,0)),"")</f>
        <v/>
      </c>
      <c r="V48" t="str">
        <f>IFERROR(INDEX('DRAFT 1'!$R:$R,MATCH($B48,'DRAFT 1'!$B:$B,0)),"")</f>
        <v/>
      </c>
      <c r="W48" t="str">
        <f>IFERROR(INDEX('DRAFT 1'!$S:$S,MATCH($B48,'DRAFT 1'!$B:$B,0)),"")</f>
        <v/>
      </c>
      <c r="X48" t="str">
        <f>IFERROR(INDEX('DRAFT 1'!$T:$T,MATCH($B48,'DRAFT 1'!$B:$B,0)),"")</f>
        <v/>
      </c>
      <c r="Z48" t="str">
        <f>IFERROR(INDEX('DRAFT 1'!$U:$U,MATCH($B48,'DRAFT 1'!$B:$B,0)),"")</f>
        <v/>
      </c>
      <c r="AA48" t="str">
        <f>IFERROR(INDEX('DRAFT 1'!$V:$V,MATCH($B48,'DRAFT 1'!$B:$B,0)),"")</f>
        <v/>
      </c>
      <c r="AB48" t="str">
        <f>IFERROR(INDEX('DRAFT 1'!$W:$W,MATCH($B48,'DRAFT 1'!$B:$B,0)),"")</f>
        <v/>
      </c>
      <c r="AC48" t="str">
        <f>IFERROR(INDEX('DRAFT 1'!$X:$X,MATCH($B48,'DRAFT 1'!$B:$B,0)),"")</f>
        <v/>
      </c>
      <c r="AD48" t="str">
        <f>IFERROR(INDEX('DRAFT 1'!$Y:$Y,MATCH($B48,'DRAFT 1'!$B:$B,0)),"")</f>
        <v/>
      </c>
      <c r="AE48" t="str">
        <f>IFERROR(INDEX('DRAFT 1'!$Z:$Z,MATCH($B48,'DRAFT 1'!$B:$B,0)),"")</f>
        <v/>
      </c>
      <c r="AF48" t="str">
        <f>IFERROR(INDEX('DRAFT 1'!$AA:$AA,MATCH($B48,'DRAFT 1'!$B:$B,0)),"")</f>
        <v/>
      </c>
      <c r="AG48" t="str">
        <f>IFERROR(INDEX('DRAFT 1'!$AB:$AB,MATCH($B48,'DRAFT 1'!$B:$B,0)),"")</f>
        <v/>
      </c>
      <c r="AH48" t="str">
        <f>IFERROR(INDEX('DRAFT 1'!$AC:$AC,MATCH($B48,'DRAFT 1'!$B:$B,0)),"")</f>
        <v/>
      </c>
      <c r="AI48" t="str">
        <f>IFERROR(INDEX('DRAFT 1'!$AD:$AD,MATCH($B48,'DRAFT 1'!$B:$B,0)),"")</f>
        <v/>
      </c>
      <c r="AJ48" t="str">
        <f>IFERROR(INDEX('DRAFT 1'!$AE:$AE,MATCH($B48,'DRAFT 1'!$B:$B,0)),"")</f>
        <v/>
      </c>
      <c r="AK48" t="str">
        <f>IFERROR(INDEX('DRAFT 1'!$AG:$AG,MATCH($B48,'DRAFT 1'!$B:$B,0)),"")</f>
        <v/>
      </c>
      <c r="AL48" t="str">
        <f>IFERROR(INDEX('DRAFT 1'!$AH:$AH,MATCH($B48,'DRAFT 1'!$B:$B,0)),"")</f>
        <v/>
      </c>
      <c r="AM48" t="str">
        <f>IFERROR(INDEX('DRAFT 1'!$AI:$AI,MATCH($B48,'DRAFT 1'!$B:$B,0)),"")</f>
        <v/>
      </c>
      <c r="AN48" t="str">
        <f>IFERROR(INDEX('DRAFT 1'!$AJ:$AJ,MATCH($B48,'DRAFT 1'!$B:$B,0)),"")</f>
        <v/>
      </c>
      <c r="AO48">
        <f t="shared" si="14"/>
        <v>0</v>
      </c>
      <c r="AP48" t="str">
        <f>IFERROR(INDEX('DRAFT 1'!$AK:$AK,MATCH($B48,'DRAFT 1'!$B:$B,0)),"")</f>
        <v/>
      </c>
      <c r="AR48" t="s">
        <v>93</v>
      </c>
      <c r="AS48">
        <f>IFERROR(LOOKUP(2,1/('DRAFT 2'!$D:$D=$B48),'DRAFT 2'!$T:$T),"")</f>
        <v>0</v>
      </c>
      <c r="AT48">
        <f>IFERROR(LOOKUP(2,1/('DRAFT 2'!$D:$D=$B48),'DRAFT 2'!$A:$A),"")</f>
        <v>0</v>
      </c>
      <c r="AU48">
        <f>IFERROR(LOOKUP(2,1/('DRAFT 2'!$D:$D=$B48),'DRAFT 2'!$R:$R),"")</f>
        <v>0</v>
      </c>
      <c r="AV48">
        <f>IFERROR(LOOKUP(2,1/('DRAFT 2'!$D:$D=$B48),'DRAFT 2'!$S:$S),"")</f>
        <v>0</v>
      </c>
      <c r="AW48" t="s">
        <v>85</v>
      </c>
      <c r="AX48">
        <f>IFERROR(LOOKUP(2,1/('DRAFT 2'!$D:$D=$B48),'DRAFT 2'!$M:$M),"")</f>
        <v>0</v>
      </c>
      <c r="AY48">
        <f>IFERROR(LOOKUP(2,1/('DRAFT 2'!$D:$D=$B48),'DRAFT 2'!$K:$K),"")</f>
        <v>0</v>
      </c>
      <c r="BG48">
        <f>IFERROR(LOOKUP(2,1/('DRAFT 2'!$D:$D=$B48),'DRAFT 2'!$U:$U),"")</f>
        <v>0</v>
      </c>
      <c r="BH48">
        <f>IFERROR(LOOKUP(2,1/('DRAFT 2'!$D:$D=$B48),'DRAFT 2'!$V:$V),"")</f>
        <v>0</v>
      </c>
      <c r="CE48" t="str">
        <f t="shared" si="15"/>
        <v/>
      </c>
      <c r="CF48">
        <f>IFERROR(LOOKUP(2,1/('DRAFT 2'!$D:$D=$B48)*('DRAFT 2'!$A:$A&gt;=DATE(2026,1,1))*('DRAFT 2'!$A:$A&lt;DATE(2026,IF(1=12,1+1,1+1),1)),'DRAFT 2'!$A:$A),"")</f>
        <v>0</v>
      </c>
      <c r="CG48">
        <f>COUNTIFS('DRAFT 2'!$D:$D,$B48,'DRAFT 2'!$A:$A,"&gt;="&amp;DATE(2026,1,1),'DRAFT 2'!$A:$A,"&lt;="&amp;DATE(2026,1,7))</f>
        <v>0</v>
      </c>
      <c r="CH48">
        <f>COUNTIFS('DRAFT 2'!$D:$D,$B48,'DRAFT 2'!$A:$A,"&gt;="&amp;DATE(2026,1,8),'DRAFT 2'!$A:$A,"&lt;="&amp;DATE(2026,1,14))</f>
        <v>0</v>
      </c>
      <c r="CI48">
        <f>COUNTIFS('DRAFT 2'!$D:$D,$B48,'DRAFT 2'!$A:$A,"&gt;="&amp;DATE(2026,1,15),'DRAFT 2'!$A:$A,"&lt;="&amp;DATE(2026,1,21))</f>
        <v>0</v>
      </c>
      <c r="CJ48">
        <f>COUNTIFS('DRAFT 2'!$D:$D,$B48,'DRAFT 2'!$A:$A,"&gt;="&amp;DATE(2026,1,22),'DRAFT 2'!$A:$A,"&lt;"&amp;DATE(2026,IF(1=12,1+1,1+1),1))</f>
        <v>0</v>
      </c>
      <c r="CK48">
        <f t="shared" si="16"/>
        <v>0</v>
      </c>
      <c r="CT48">
        <v>0</v>
      </c>
      <c r="CU48">
        <f>IFERROR(LOOKUP(2,1/('DRAFT 2'!$D:$D=$B48)*('DRAFT 2'!$A:$A&gt;=DATE(2026,2,1))*('DRAFT 2'!$A:$A&lt;DATE(2026,IF(2=12,2+1,2+1),1)),'DRAFT 2'!$A:$A),"")</f>
        <v>0</v>
      </c>
      <c r="CV48">
        <f>COUNTIFS('DRAFT 2'!$D:$D,$B48,'DRAFT 2'!$A:$A,"&gt;="&amp;DATE(2026,2,1),'DRAFT 2'!$A:$A,"&lt;="&amp;DATE(2026,2,7))</f>
        <v>0</v>
      </c>
      <c r="CW48">
        <f>COUNTIFS('DRAFT 2'!$D:$D,$B48,'DRAFT 2'!$A:$A,"&gt;="&amp;DATE(2026,2,8),'DRAFT 2'!$A:$A,"&lt;="&amp;DATE(2026,2,14))</f>
        <v>0</v>
      </c>
      <c r="CX48">
        <f>COUNTIFS('DRAFT 2'!$D:$D,$B48,'DRAFT 2'!$A:$A,"&gt;="&amp;DATE(2026,2,15),'DRAFT 2'!$A:$A,"&lt;="&amp;DATE(2026,2,21))</f>
        <v>0</v>
      </c>
      <c r="CY48">
        <f>COUNTIFS('DRAFT 2'!$D:$D,$B48,'DRAFT 2'!$A:$A,"&gt;="&amp;DATE(2026,2,22),'DRAFT 2'!$A:$A,"&lt;"&amp;DATE(2026,IF(2=12,2+1,2+1),1))</f>
        <v>0</v>
      </c>
      <c r="CZ48">
        <f t="shared" si="17"/>
        <v>0</v>
      </c>
      <c r="DJ48">
        <f>IFERROR(LOOKUP(2,1/('DRAFT 2'!$D:$D=$B48)*('DRAFT 2'!$A:$A&gt;=DATE(2026,3,1))*('DRAFT 2'!$A:$A&lt;DATE(2026,IF(3=12,3+1,3+1),1)),'DRAFT 2'!$A:$A),"")</f>
        <v>0</v>
      </c>
      <c r="DK48">
        <f>COUNTIFS('DRAFT 2'!$D:$D,$B48,'DRAFT 2'!$A:$A,"&gt;="&amp;DATE(2026,3,1),'DRAFT 2'!$A:$A,"&lt;="&amp;DATE(2026,3,7))</f>
        <v>0</v>
      </c>
      <c r="DL48">
        <f>COUNTIFS('DRAFT 2'!$D:$D,$B48,'DRAFT 2'!$A:$A,"&gt;="&amp;DATE(2026,3,8),'DRAFT 2'!$A:$A,"&lt;="&amp;DATE(2026,3,14))</f>
        <v>0</v>
      </c>
      <c r="DM48">
        <f>COUNTIFS('DRAFT 2'!$D:$D,$B48,'DRAFT 2'!$A:$A,"&gt;="&amp;DATE(2026,3,15),'DRAFT 2'!$A:$A,"&lt;="&amp;DATE(2026,3,21))</f>
        <v>0</v>
      </c>
      <c r="DN48">
        <f>COUNTIFS('DRAFT 2'!$D:$D,$B48,'DRAFT 2'!$A:$A,"&gt;="&amp;DATE(2026,3,22),'DRAFT 2'!$A:$A,"&lt;"&amp;DATE(2026,IF(3=12,3+1,3+1),1))</f>
        <v>0</v>
      </c>
      <c r="DO48">
        <f t="shared" si="18"/>
        <v>0</v>
      </c>
      <c r="DZ48">
        <f>IFERROR(LOOKUP(2,1/('DRAFT 2'!$D:$D=$B48)*('DRAFT 2'!$A:$A&gt;=DATE(2026,4,1))*('DRAFT 2'!$A:$A&lt;DATE(2026,IF(4=12,4+1,4+1),1)),'DRAFT 2'!$A:$A),"")</f>
        <v>0</v>
      </c>
      <c r="EA48">
        <f>COUNTIFS('DRAFT 2'!$D:$D,$B48,'DRAFT 2'!$A:$A,"&gt;="&amp;DATE(2026,4,1),'DRAFT 2'!$A:$A,"&lt;="&amp;DATE(2026,4,7))</f>
        <v>0</v>
      </c>
      <c r="EB48">
        <f>COUNTIFS('DRAFT 2'!$D:$D,$B48,'DRAFT 2'!$A:$A,"&gt;="&amp;DATE(2026,4,8),'DRAFT 2'!$A:$A,"&lt;="&amp;DATE(2026,4,14))</f>
        <v>0</v>
      </c>
      <c r="EC48">
        <f>COUNTIFS('DRAFT 2'!$D:$D,$B48,'DRAFT 2'!$A:$A,"&gt;="&amp;DATE(2026,4,15),'DRAFT 2'!$A:$A,"&lt;="&amp;DATE(2026,4,21))</f>
        <v>0</v>
      </c>
      <c r="ED48">
        <f>COUNTIFS('DRAFT 2'!$D:$D,$B48,'DRAFT 2'!$A:$A,"&gt;="&amp;DATE(2026,4,22),'DRAFT 2'!$A:$A,"&lt;"&amp;DATE(2026,IF(4=12,4+1,4+1),1))</f>
        <v>0</v>
      </c>
      <c r="EE48">
        <f t="shared" si="19"/>
        <v>0</v>
      </c>
      <c r="EO48">
        <f>IFERROR(LOOKUP(2,1/('DRAFT 2'!$D:$D=$B48)*('DRAFT 2'!$A:$A&gt;=DATE(2026,5,1))*('DRAFT 2'!$A:$A&lt;DATE(2026,IF(5=12,5+1,5+1),1)),'DRAFT 2'!$A:$A),"")</f>
        <v>0</v>
      </c>
      <c r="EP48">
        <f>COUNTIFS('DRAFT 2'!$D:$D,$B48,'DRAFT 2'!$A:$A,"&gt;="&amp;DATE(2026,5,1),'DRAFT 2'!$A:$A,"&lt;="&amp;DATE(2026,5,7))</f>
        <v>0</v>
      </c>
      <c r="EQ48">
        <f>COUNTIFS('DRAFT 2'!$D:$D,$B48,'DRAFT 2'!$A:$A,"&gt;="&amp;DATE(2026,5,8),'DRAFT 2'!$A:$A,"&lt;="&amp;DATE(2026,5,14))</f>
        <v>0</v>
      </c>
      <c r="ER48">
        <f>COUNTIFS('DRAFT 2'!$D:$D,$B48,'DRAFT 2'!$A:$A,"&gt;="&amp;DATE(2026,5,15),'DRAFT 2'!$A:$A,"&lt;="&amp;DATE(2026,5,21))</f>
        <v>0</v>
      </c>
      <c r="ES48">
        <f>COUNTIFS('DRAFT 2'!$D:$D,$B48,'DRAFT 2'!$A:$A,"&gt;="&amp;DATE(2026,5,22),'DRAFT 2'!$A:$A,"&lt;"&amp;DATE(2026,IF(5=12,5+1,5+1),1))</f>
        <v>0</v>
      </c>
      <c r="ET48">
        <f t="shared" si="20"/>
        <v>0</v>
      </c>
      <c r="FD48">
        <f>IFERROR(LOOKUP(2,1/('DRAFT 2'!$D:$D=$B48)*('DRAFT 2'!$A:$A&gt;=DATE(2026,6,1))*('DRAFT 2'!$A:$A&lt;DATE(2026,IF(6=12,6+1,6+1),1)),'DRAFT 2'!$A:$A),"")</f>
        <v>0</v>
      </c>
      <c r="FE48">
        <f>COUNTIFS('DRAFT 2'!$D:$D,$B48,'DRAFT 2'!$A:$A,"&gt;="&amp;DATE(2026,6,1),'DRAFT 2'!$A:$A,"&lt;="&amp;DATE(2026,6,7))</f>
        <v>0</v>
      </c>
      <c r="FF48">
        <f>COUNTIFS('DRAFT 2'!$D:$D,$B48,'DRAFT 2'!$A:$A,"&gt;="&amp;DATE(2026,6,8),'DRAFT 2'!$A:$A,"&lt;="&amp;DATE(2026,6,14))</f>
        <v>0</v>
      </c>
      <c r="FG48">
        <f>COUNTIFS('DRAFT 2'!$D:$D,$B48,'DRAFT 2'!$A:$A,"&gt;="&amp;DATE(2026,6,15),'DRAFT 2'!$A:$A,"&lt;="&amp;DATE(2026,6,21))</f>
        <v>0</v>
      </c>
      <c r="FH48">
        <f>COUNTIFS('DRAFT 2'!$D:$D,$B48,'DRAFT 2'!$A:$A,"&gt;="&amp;DATE(2026,6,22),'DRAFT 2'!$A:$A,"&lt;"&amp;DATE(2026,IF(6=12,6+1,6+1),1))</f>
        <v>0</v>
      </c>
      <c r="FI48">
        <f t="shared" si="21"/>
        <v>0</v>
      </c>
      <c r="FT48">
        <f>IFERROR(LOOKUP(2,1/('DRAFT 2'!$D:$D=$B48)*('DRAFT 2'!$A:$A&gt;=DATE(2026,7,1))*('DRAFT 2'!$A:$A&lt;DATE(2026,IF(7=12,7+1,7+1),1)),'DRAFT 2'!$A:$A),"")</f>
        <v>0</v>
      </c>
      <c r="FU48">
        <f>COUNTIFS('DRAFT 2'!$D:$D,$B48,'DRAFT 2'!$A:$A,"&gt;="&amp;DATE(2026,7,1),'DRAFT 2'!$A:$A,"&lt;="&amp;DATE(2026,7,7))</f>
        <v>0</v>
      </c>
      <c r="FV48">
        <f>COUNTIFS('DRAFT 2'!$D:$D,$B48,'DRAFT 2'!$A:$A,"&gt;="&amp;DATE(2026,7,8),'DRAFT 2'!$A:$A,"&lt;="&amp;DATE(2026,7,14))</f>
        <v>0</v>
      </c>
      <c r="FW48">
        <f>COUNTIFS('DRAFT 2'!$D:$D,$B48,'DRAFT 2'!$A:$A,"&gt;="&amp;DATE(2026,7,15),'DRAFT 2'!$A:$A,"&lt;="&amp;DATE(2026,7,21))</f>
        <v>0</v>
      </c>
      <c r="FX48">
        <f>COUNTIFS('DRAFT 2'!$D:$D,$B48,'DRAFT 2'!$A:$A,"&gt;="&amp;DATE(2026,7,22),'DRAFT 2'!$A:$A,"&lt;"&amp;DATE(2026,IF(7=12,7+1,7+1),1))</f>
        <v>0</v>
      </c>
      <c r="FY48">
        <f t="shared" si="22"/>
        <v>0</v>
      </c>
      <c r="GI48">
        <f>IFERROR(LOOKUP(2,1/('DRAFT 2'!$D:$D=$B48)*('DRAFT 2'!$A:$A&gt;=DATE(2026,8,1))*('DRAFT 2'!$A:$A&lt;DATE(2026,IF(8=12,8+1,8+1),1)),'DRAFT 2'!$A:$A),"")</f>
        <v>0</v>
      </c>
      <c r="GJ48">
        <f>COUNTIFS('DRAFT 2'!$D:$D,$B48,'DRAFT 2'!$A:$A,"&gt;="&amp;DATE(2026,8,1),'DRAFT 2'!$A:$A,"&lt;="&amp;DATE(2026,8,7))</f>
        <v>0</v>
      </c>
      <c r="GK48">
        <f>COUNTIFS('DRAFT 2'!$D:$D,$B48,'DRAFT 2'!$A:$A,"&gt;="&amp;DATE(2026,8,8),'DRAFT 2'!$A:$A,"&lt;="&amp;DATE(2026,8,14))</f>
        <v>0</v>
      </c>
      <c r="GL48">
        <f>COUNTIFS('DRAFT 2'!$D:$D,$B48,'DRAFT 2'!$A:$A,"&gt;="&amp;DATE(2026,8,15),'DRAFT 2'!$A:$A,"&lt;="&amp;DATE(2026,8,21))</f>
        <v>0</v>
      </c>
      <c r="GM48">
        <f>COUNTIFS('DRAFT 2'!$D:$D,$B48,'DRAFT 2'!$A:$A,"&gt;="&amp;DATE(2026,8,22),'DRAFT 2'!$A:$A,"&lt;"&amp;DATE(2026,IF(8=12,8+1,8+1),1))</f>
        <v>0</v>
      </c>
      <c r="GN48">
        <f t="shared" si="23"/>
        <v>0</v>
      </c>
      <c r="GX48">
        <f>IFERROR(LOOKUP(2,1/('DRAFT 2'!$D:$D=$B48)*('DRAFT 2'!$A:$A&gt;=DATE(2026,9,1))*('DRAFT 2'!$A:$A&lt;DATE(2026,IF(9=12,9+1,9+1),1)),'DRAFT 2'!$A:$A),"")</f>
        <v>0</v>
      </c>
      <c r="GY48">
        <f>COUNTIFS('DRAFT 2'!$D:$D,$B48,'DRAFT 2'!$A:$A,"&gt;="&amp;DATE(2026,9,1),'DRAFT 2'!$A:$A,"&lt;="&amp;DATE(2026,9,7))</f>
        <v>0</v>
      </c>
      <c r="GZ48">
        <f>COUNTIFS('DRAFT 2'!$D:$D,$B48,'DRAFT 2'!$A:$A,"&gt;="&amp;DATE(2026,9,8),'DRAFT 2'!$A:$A,"&lt;="&amp;DATE(2026,9,14))</f>
        <v>0</v>
      </c>
      <c r="HA48">
        <f>COUNTIFS('DRAFT 2'!$D:$D,$B48,'DRAFT 2'!$A:$A,"&gt;="&amp;DATE(2026,9,15),'DRAFT 2'!$A:$A,"&lt;="&amp;DATE(2026,9,21))</f>
        <v>0</v>
      </c>
      <c r="HB48">
        <f>COUNTIFS('DRAFT 2'!$D:$D,$B48,'DRAFT 2'!$A:$A,"&gt;="&amp;DATE(2026,9,22),'DRAFT 2'!$A:$A,"&lt;"&amp;DATE(2026,IF(9=12,9+1,9+1),1))</f>
        <v>0</v>
      </c>
      <c r="HC48">
        <f t="shared" si="24"/>
        <v>0</v>
      </c>
      <c r="HN48">
        <f>IFERROR(LOOKUP(2,1/('DRAFT 2'!$D:$D=$B48)*('DRAFT 2'!$A:$A&gt;=DATE(2026,10,1))*('DRAFT 2'!$A:$A&lt;DATE(2026,IF(10=12,10+1,10+1),1)),'DRAFT 2'!$A:$A),"")</f>
        <v>0</v>
      </c>
      <c r="HO48">
        <f>COUNTIFS('DRAFT 2'!$D:$D,$B48,'DRAFT 2'!$A:$A,"&gt;="&amp;DATE(2026,10,1),'DRAFT 2'!$A:$A,"&lt;="&amp;DATE(2026,10,7))</f>
        <v>0</v>
      </c>
      <c r="HP48">
        <f>COUNTIFS('DRAFT 2'!$D:$D,$B48,'DRAFT 2'!$A:$A,"&gt;="&amp;DATE(2026,10,8),'DRAFT 2'!$A:$A,"&lt;="&amp;DATE(2026,10,14))</f>
        <v>0</v>
      </c>
      <c r="HQ48">
        <f>COUNTIFS('DRAFT 2'!$D:$D,$B48,'DRAFT 2'!$A:$A,"&gt;="&amp;DATE(2026,10,15),'DRAFT 2'!$A:$A,"&lt;="&amp;DATE(2026,10,21))</f>
        <v>0</v>
      </c>
      <c r="HR48">
        <f>COUNTIFS('DRAFT 2'!$D:$D,$B48,'DRAFT 2'!$A:$A,"&gt;="&amp;DATE(2026,10,22),'DRAFT 2'!$A:$A,"&lt;"&amp;DATE(2026,IF(10=12,10+1,10+1),1))</f>
        <v>0</v>
      </c>
      <c r="HS48">
        <f t="shared" si="25"/>
        <v>0</v>
      </c>
      <c r="IC48">
        <f>IFERROR(LOOKUP(2,1/('DRAFT 2'!$D:$D=$B48)*('DRAFT 2'!$A:$A&gt;=DATE(2026,11,1))*('DRAFT 2'!$A:$A&lt;DATE(2026,IF(11=12,11+1,11+1),1)),'DRAFT 2'!$A:$A),"")</f>
        <v>0</v>
      </c>
      <c r="ID48">
        <f>COUNTIFS('DRAFT 2'!$D:$D,$B48,'DRAFT 2'!$A:$A,"&gt;="&amp;DATE(2026,11,1),'DRAFT 2'!$A:$A,"&lt;="&amp;DATE(2026,11,7))</f>
        <v>0</v>
      </c>
      <c r="IE48">
        <f>COUNTIFS('DRAFT 2'!$D:$D,$B48,'DRAFT 2'!$A:$A,"&gt;="&amp;DATE(2026,11,8),'DRAFT 2'!$A:$A,"&lt;="&amp;DATE(2026,11,14))</f>
        <v>0</v>
      </c>
      <c r="IF48">
        <f>COUNTIFS('DRAFT 2'!$D:$D,$B48,'DRAFT 2'!$A:$A,"&gt;="&amp;DATE(2026,11,15),'DRAFT 2'!$A:$A,"&lt;="&amp;DATE(2026,11,21))</f>
        <v>0</v>
      </c>
      <c r="IG48">
        <f>COUNTIFS('DRAFT 2'!$D:$D,$B48,'DRAFT 2'!$A:$A,"&gt;="&amp;DATE(2026,11,22),'DRAFT 2'!$A:$A,"&lt;"&amp;DATE(2026,IF(11=12,11+1,11+1),1))</f>
        <v>0</v>
      </c>
      <c r="IH48">
        <f t="shared" si="26"/>
        <v>0</v>
      </c>
      <c r="IR48">
        <f>IFERROR(LOOKUP(2,1/('DRAFT 2'!$D:$D=$B48)*('DRAFT 2'!$A:$A&gt;=DATE(2026,12,1))*('DRAFT 2'!$A:$A&lt;DATE(2026,IF(12=12,12+1,12+1),1)),'DRAFT 2'!$A:$A),"")</f>
        <v>0</v>
      </c>
      <c r="IS48">
        <f>COUNTIFS('DRAFT 2'!$D:$D,$B48,'DRAFT 2'!$A:$A,"&gt;="&amp;DATE(2026,12,1),'DRAFT 2'!$A:$A,"&lt;="&amp;DATE(2026,12,7))</f>
        <v>0</v>
      </c>
      <c r="IT48">
        <f>COUNTIFS('DRAFT 2'!$D:$D,$B48,'DRAFT 2'!$A:$A,"&gt;="&amp;DATE(2026,12,8),'DRAFT 2'!$A:$A,"&lt;="&amp;DATE(2026,12,14))</f>
        <v>0</v>
      </c>
      <c r="IU48">
        <f>COUNTIFS('DRAFT 2'!$D:$D,$B48,'DRAFT 2'!$A:$A,"&gt;="&amp;DATE(2026,12,15),'DRAFT 2'!$A:$A,"&lt;="&amp;DATE(2026,12,21))</f>
        <v>0</v>
      </c>
      <c r="IV48">
        <f>COUNTIFS('DRAFT 2'!$D:$D,$B48,'DRAFT 2'!$A:$A,"&gt;="&amp;DATE(2026,12,22),'DRAFT 2'!$A:$A,"&lt;"&amp;DATE(2026,IF(12=12,12+1,12+1),1))</f>
        <v>0</v>
      </c>
      <c r="IW48">
        <f t="shared" si="27"/>
        <v>0</v>
      </c>
    </row>
    <row r="49" spans="1:257" x14ac:dyDescent="0.3">
      <c r="A49" t="str">
        <f>IFERROR(INDEX('DRAFT 1'!$A:$A,MATCH($B49,'DRAFT 1'!$B:$B,0)),"")</f>
        <v/>
      </c>
      <c r="C49" t="str">
        <f>IFERROR(INDEX('DRAFT 1'!$C:$C,MATCH($B49,'DRAFT 1'!$B:$B,0)),"")</f>
        <v/>
      </c>
      <c r="D49" t="str">
        <f>IFERROR(INDEX('DRAFT 1'!$D:$D,MATCH($B49,'DRAFT 1'!$B:$B,0)),"")</f>
        <v/>
      </c>
      <c r="E49" t="str">
        <f>IFERROR(INDEX('DRAFT 1'!$E:$E,MATCH($B49,'DRAFT 1'!$B:$B,0)),"")</f>
        <v/>
      </c>
      <c r="F49" t="str">
        <f>IFERROR(INDEX('DRAFT 1'!$F:$F,MATCH($B49,'DRAFT 1'!$B:$B,0)),"")</f>
        <v/>
      </c>
      <c r="G49" t="str">
        <f>IFERROR(INDEX('DRAFT 1'!$G:$G,MATCH($B49,'DRAFT 1'!$B:$B,0)),"")</f>
        <v/>
      </c>
      <c r="H49" t="str">
        <f>IFERROR(INDEX('DRAFT 1'!$H:$H,MATCH($B49,'DRAFT 1'!$B:$B,0)),"")</f>
        <v/>
      </c>
      <c r="I49" t="s">
        <v>292</v>
      </c>
      <c r="K49" t="str">
        <f>IFERROR(INDEX('DRAFT 1'!$AL:$AL,MATCH($B49,'DRAFT 1'!$B:$B,0)),"")</f>
        <v/>
      </c>
      <c r="L49" t="str">
        <f>IFERROR(INDEX('DRAFT 1'!$J:$J,MATCH($B49,'DRAFT 1'!$B:$B,0)),"")</f>
        <v/>
      </c>
      <c r="M49" t="str">
        <f>IFERROR(INDEX('DRAFT 1'!$K:$K,MATCH($B49,'DRAFT 1'!$B:$B,0)),"")</f>
        <v/>
      </c>
      <c r="N49" t="s">
        <v>77</v>
      </c>
      <c r="P49" t="str">
        <f>IFERROR(INDEX('DRAFT 1'!$L:$L,MATCH($B49,'DRAFT 1'!$B:$B,0)),"")</f>
        <v/>
      </c>
      <c r="Q49" t="str">
        <f>IFERROR(INDEX('DRAFT 1'!$M:$M,MATCH($B49,'DRAFT 1'!$B:$B,0)),"")</f>
        <v/>
      </c>
      <c r="R49" t="str">
        <f>IFERROR(INDEX('DRAFT 1'!$N:$N,MATCH($B49,'DRAFT 1'!$B:$B,0)),"")</f>
        <v/>
      </c>
      <c r="S49" t="str">
        <f>IFERROR(INDEX('DRAFT 1'!$O:$O,MATCH($B49,'DRAFT 1'!$B:$B,0)),"")</f>
        <v/>
      </c>
      <c r="T49" t="str">
        <f>IFERROR(INDEX('DRAFT 1'!$P:$P,MATCH($B49,'DRAFT 1'!$B:$B,0)),"")</f>
        <v/>
      </c>
      <c r="U49" t="str">
        <f>IFERROR(INDEX('DRAFT 1'!$Q:$Q,MATCH($B49,'DRAFT 1'!$B:$B,0)),"")</f>
        <v/>
      </c>
      <c r="V49" t="str">
        <f>IFERROR(INDEX('DRAFT 1'!$R:$R,MATCH($B49,'DRAFT 1'!$B:$B,0)),"")</f>
        <v/>
      </c>
      <c r="W49" t="str">
        <f>IFERROR(INDEX('DRAFT 1'!$S:$S,MATCH($B49,'DRAFT 1'!$B:$B,0)),"")</f>
        <v/>
      </c>
      <c r="X49" t="str">
        <f>IFERROR(INDEX('DRAFT 1'!$T:$T,MATCH($B49,'DRAFT 1'!$B:$B,0)),"")</f>
        <v/>
      </c>
      <c r="Z49" t="str">
        <f>IFERROR(INDEX('DRAFT 1'!$U:$U,MATCH($B49,'DRAFT 1'!$B:$B,0)),"")</f>
        <v/>
      </c>
      <c r="AA49" t="str">
        <f>IFERROR(INDEX('DRAFT 1'!$V:$V,MATCH($B49,'DRAFT 1'!$B:$B,0)),"")</f>
        <v/>
      </c>
      <c r="AB49" t="str">
        <f>IFERROR(INDEX('DRAFT 1'!$W:$W,MATCH($B49,'DRAFT 1'!$B:$B,0)),"")</f>
        <v/>
      </c>
      <c r="AC49" t="str">
        <f>IFERROR(INDEX('DRAFT 1'!$X:$X,MATCH($B49,'DRAFT 1'!$B:$B,0)),"")</f>
        <v/>
      </c>
      <c r="AD49" t="str">
        <f>IFERROR(INDEX('DRAFT 1'!$Y:$Y,MATCH($B49,'DRAFT 1'!$B:$B,0)),"")</f>
        <v/>
      </c>
      <c r="AE49" t="str">
        <f>IFERROR(INDEX('DRAFT 1'!$Z:$Z,MATCH($B49,'DRAFT 1'!$B:$B,0)),"")</f>
        <v/>
      </c>
      <c r="AF49" t="str">
        <f>IFERROR(INDEX('DRAFT 1'!$AA:$AA,MATCH($B49,'DRAFT 1'!$B:$B,0)),"")</f>
        <v/>
      </c>
      <c r="AG49" t="str">
        <f>IFERROR(INDEX('DRAFT 1'!$AB:$AB,MATCH($B49,'DRAFT 1'!$B:$B,0)),"")</f>
        <v/>
      </c>
      <c r="AH49" t="str">
        <f>IFERROR(INDEX('DRAFT 1'!$AC:$AC,MATCH($B49,'DRAFT 1'!$B:$B,0)),"")</f>
        <v/>
      </c>
      <c r="AI49" t="str">
        <f>IFERROR(INDEX('DRAFT 1'!$AD:$AD,MATCH($B49,'DRAFT 1'!$B:$B,0)),"")</f>
        <v/>
      </c>
      <c r="AJ49" t="str">
        <f>IFERROR(INDEX('DRAFT 1'!$AE:$AE,MATCH($B49,'DRAFT 1'!$B:$B,0)),"")</f>
        <v/>
      </c>
      <c r="AK49" t="str">
        <f>IFERROR(INDEX('DRAFT 1'!$AG:$AG,MATCH($B49,'DRAFT 1'!$B:$B,0)),"")</f>
        <v/>
      </c>
      <c r="AL49" t="str">
        <f>IFERROR(INDEX('DRAFT 1'!$AH:$AH,MATCH($B49,'DRAFT 1'!$B:$B,0)),"")</f>
        <v/>
      </c>
      <c r="AM49" t="str">
        <f>IFERROR(INDEX('DRAFT 1'!$AI:$AI,MATCH($B49,'DRAFT 1'!$B:$B,0)),"")</f>
        <v/>
      </c>
      <c r="AN49" t="str">
        <f>IFERROR(INDEX('DRAFT 1'!$AJ:$AJ,MATCH($B49,'DRAFT 1'!$B:$B,0)),"")</f>
        <v/>
      </c>
      <c r="AO49">
        <f t="shared" si="14"/>
        <v>0</v>
      </c>
      <c r="AP49" t="str">
        <f>IFERROR(INDEX('DRAFT 1'!$AK:$AK,MATCH($B49,'DRAFT 1'!$B:$B,0)),"")</f>
        <v/>
      </c>
      <c r="AR49" t="s">
        <v>95</v>
      </c>
      <c r="AS49">
        <f>IFERROR(LOOKUP(2,1/('DRAFT 2'!$D:$D=$B49),'DRAFT 2'!$T:$T),"")</f>
        <v>0</v>
      </c>
      <c r="AT49">
        <f>IFERROR(LOOKUP(2,1/('DRAFT 2'!$D:$D=$B49),'DRAFT 2'!$A:$A),"")</f>
        <v>0</v>
      </c>
      <c r="AU49">
        <f>IFERROR(LOOKUP(2,1/('DRAFT 2'!$D:$D=$B49),'DRAFT 2'!$R:$R),"")</f>
        <v>0</v>
      </c>
      <c r="AV49">
        <f>IFERROR(LOOKUP(2,1/('DRAFT 2'!$D:$D=$B49),'DRAFT 2'!$S:$S),"")</f>
        <v>0</v>
      </c>
      <c r="AW49" t="s">
        <v>126</v>
      </c>
      <c r="AX49">
        <f>IFERROR(LOOKUP(2,1/('DRAFT 2'!$D:$D=$B49),'DRAFT 2'!$M:$M),"")</f>
        <v>0</v>
      </c>
      <c r="AY49">
        <f>IFERROR(LOOKUP(2,1/('DRAFT 2'!$D:$D=$B49),'DRAFT 2'!$K:$K),"")</f>
        <v>0</v>
      </c>
      <c r="BG49">
        <f>IFERROR(LOOKUP(2,1/('DRAFT 2'!$D:$D=$B49),'DRAFT 2'!$U:$U),"")</f>
        <v>0</v>
      </c>
      <c r="BH49">
        <f>IFERROR(LOOKUP(2,1/('DRAFT 2'!$D:$D=$B49),'DRAFT 2'!$V:$V),"")</f>
        <v>0</v>
      </c>
      <c r="CE49" t="str">
        <f t="shared" si="15"/>
        <v/>
      </c>
      <c r="CF49">
        <f>IFERROR(LOOKUP(2,1/('DRAFT 2'!$D:$D=$B49)*('DRAFT 2'!$A:$A&gt;=DATE(2026,1,1))*('DRAFT 2'!$A:$A&lt;DATE(2026,IF(1=12,1+1,1+1),1)),'DRAFT 2'!$A:$A),"")</f>
        <v>0</v>
      </c>
      <c r="CG49">
        <f>COUNTIFS('DRAFT 2'!$D:$D,$B49,'DRAFT 2'!$A:$A,"&gt;="&amp;DATE(2026,1,1),'DRAFT 2'!$A:$A,"&lt;="&amp;DATE(2026,1,7))</f>
        <v>0</v>
      </c>
      <c r="CH49">
        <f>COUNTIFS('DRAFT 2'!$D:$D,$B49,'DRAFT 2'!$A:$A,"&gt;="&amp;DATE(2026,1,8),'DRAFT 2'!$A:$A,"&lt;="&amp;DATE(2026,1,14))</f>
        <v>0</v>
      </c>
      <c r="CI49">
        <f>COUNTIFS('DRAFT 2'!$D:$D,$B49,'DRAFT 2'!$A:$A,"&gt;="&amp;DATE(2026,1,15),'DRAFT 2'!$A:$A,"&lt;="&amp;DATE(2026,1,21))</f>
        <v>0</v>
      </c>
      <c r="CJ49">
        <f>COUNTIFS('DRAFT 2'!$D:$D,$B49,'DRAFT 2'!$A:$A,"&gt;="&amp;DATE(2026,1,22),'DRAFT 2'!$A:$A,"&lt;"&amp;DATE(2026,IF(1=12,1+1,1+1),1))</f>
        <v>0</v>
      </c>
      <c r="CK49">
        <f t="shared" si="16"/>
        <v>0</v>
      </c>
      <c r="CT49">
        <v>0</v>
      </c>
      <c r="CU49">
        <f>IFERROR(LOOKUP(2,1/('DRAFT 2'!$D:$D=$B49)*('DRAFT 2'!$A:$A&gt;=DATE(2026,2,1))*('DRAFT 2'!$A:$A&lt;DATE(2026,IF(2=12,2+1,2+1),1)),'DRAFT 2'!$A:$A),"")</f>
        <v>0</v>
      </c>
      <c r="CV49">
        <f>COUNTIFS('DRAFT 2'!$D:$D,$B49,'DRAFT 2'!$A:$A,"&gt;="&amp;DATE(2026,2,1),'DRAFT 2'!$A:$A,"&lt;="&amp;DATE(2026,2,7))</f>
        <v>0</v>
      </c>
      <c r="CW49">
        <f>COUNTIFS('DRAFT 2'!$D:$D,$B49,'DRAFT 2'!$A:$A,"&gt;="&amp;DATE(2026,2,8),'DRAFT 2'!$A:$A,"&lt;="&amp;DATE(2026,2,14))</f>
        <v>0</v>
      </c>
      <c r="CX49">
        <f>COUNTIFS('DRAFT 2'!$D:$D,$B49,'DRAFT 2'!$A:$A,"&gt;="&amp;DATE(2026,2,15),'DRAFT 2'!$A:$A,"&lt;="&amp;DATE(2026,2,21))</f>
        <v>0</v>
      </c>
      <c r="CY49">
        <f>COUNTIFS('DRAFT 2'!$D:$D,$B49,'DRAFT 2'!$A:$A,"&gt;="&amp;DATE(2026,2,22),'DRAFT 2'!$A:$A,"&lt;"&amp;DATE(2026,IF(2=12,2+1,2+1),1))</f>
        <v>0</v>
      </c>
      <c r="CZ49">
        <f t="shared" si="17"/>
        <v>0</v>
      </c>
      <c r="DJ49">
        <f>IFERROR(LOOKUP(2,1/('DRAFT 2'!$D:$D=$B49)*('DRAFT 2'!$A:$A&gt;=DATE(2026,3,1))*('DRAFT 2'!$A:$A&lt;DATE(2026,IF(3=12,3+1,3+1),1)),'DRAFT 2'!$A:$A),"")</f>
        <v>0</v>
      </c>
      <c r="DK49">
        <f>COUNTIFS('DRAFT 2'!$D:$D,$B49,'DRAFT 2'!$A:$A,"&gt;="&amp;DATE(2026,3,1),'DRAFT 2'!$A:$A,"&lt;="&amp;DATE(2026,3,7))</f>
        <v>0</v>
      </c>
      <c r="DL49">
        <f>COUNTIFS('DRAFT 2'!$D:$D,$B49,'DRAFT 2'!$A:$A,"&gt;="&amp;DATE(2026,3,8),'DRAFT 2'!$A:$A,"&lt;="&amp;DATE(2026,3,14))</f>
        <v>0</v>
      </c>
      <c r="DM49">
        <f>COUNTIFS('DRAFT 2'!$D:$D,$B49,'DRAFT 2'!$A:$A,"&gt;="&amp;DATE(2026,3,15),'DRAFT 2'!$A:$A,"&lt;="&amp;DATE(2026,3,21))</f>
        <v>0</v>
      </c>
      <c r="DN49">
        <f>COUNTIFS('DRAFT 2'!$D:$D,$B49,'DRAFT 2'!$A:$A,"&gt;="&amp;DATE(2026,3,22),'DRAFT 2'!$A:$A,"&lt;"&amp;DATE(2026,IF(3=12,3+1,3+1),1))</f>
        <v>0</v>
      </c>
      <c r="DO49">
        <f t="shared" si="18"/>
        <v>0</v>
      </c>
      <c r="DZ49">
        <f>IFERROR(LOOKUP(2,1/('DRAFT 2'!$D:$D=$B49)*('DRAFT 2'!$A:$A&gt;=DATE(2026,4,1))*('DRAFT 2'!$A:$A&lt;DATE(2026,IF(4=12,4+1,4+1),1)),'DRAFT 2'!$A:$A),"")</f>
        <v>0</v>
      </c>
      <c r="EA49">
        <f>COUNTIFS('DRAFT 2'!$D:$D,$B49,'DRAFT 2'!$A:$A,"&gt;="&amp;DATE(2026,4,1),'DRAFT 2'!$A:$A,"&lt;="&amp;DATE(2026,4,7))</f>
        <v>0</v>
      </c>
      <c r="EB49">
        <f>COUNTIFS('DRAFT 2'!$D:$D,$B49,'DRAFT 2'!$A:$A,"&gt;="&amp;DATE(2026,4,8),'DRAFT 2'!$A:$A,"&lt;="&amp;DATE(2026,4,14))</f>
        <v>0</v>
      </c>
      <c r="EC49">
        <f>COUNTIFS('DRAFT 2'!$D:$D,$B49,'DRAFT 2'!$A:$A,"&gt;="&amp;DATE(2026,4,15),'DRAFT 2'!$A:$A,"&lt;="&amp;DATE(2026,4,21))</f>
        <v>0</v>
      </c>
      <c r="ED49">
        <f>COUNTIFS('DRAFT 2'!$D:$D,$B49,'DRAFT 2'!$A:$A,"&gt;="&amp;DATE(2026,4,22),'DRAFT 2'!$A:$A,"&lt;"&amp;DATE(2026,IF(4=12,4+1,4+1),1))</f>
        <v>0</v>
      </c>
      <c r="EE49">
        <f t="shared" si="19"/>
        <v>0</v>
      </c>
      <c r="EO49">
        <f>IFERROR(LOOKUP(2,1/('DRAFT 2'!$D:$D=$B49)*('DRAFT 2'!$A:$A&gt;=DATE(2026,5,1))*('DRAFT 2'!$A:$A&lt;DATE(2026,IF(5=12,5+1,5+1),1)),'DRAFT 2'!$A:$A),"")</f>
        <v>0</v>
      </c>
      <c r="EP49">
        <f>COUNTIFS('DRAFT 2'!$D:$D,$B49,'DRAFT 2'!$A:$A,"&gt;="&amp;DATE(2026,5,1),'DRAFT 2'!$A:$A,"&lt;="&amp;DATE(2026,5,7))</f>
        <v>0</v>
      </c>
      <c r="EQ49">
        <f>COUNTIFS('DRAFT 2'!$D:$D,$B49,'DRAFT 2'!$A:$A,"&gt;="&amp;DATE(2026,5,8),'DRAFT 2'!$A:$A,"&lt;="&amp;DATE(2026,5,14))</f>
        <v>0</v>
      </c>
      <c r="ER49">
        <f>COUNTIFS('DRAFT 2'!$D:$D,$B49,'DRAFT 2'!$A:$A,"&gt;="&amp;DATE(2026,5,15),'DRAFT 2'!$A:$A,"&lt;="&amp;DATE(2026,5,21))</f>
        <v>0</v>
      </c>
      <c r="ES49">
        <f>COUNTIFS('DRAFT 2'!$D:$D,$B49,'DRAFT 2'!$A:$A,"&gt;="&amp;DATE(2026,5,22),'DRAFT 2'!$A:$A,"&lt;"&amp;DATE(2026,IF(5=12,5+1,5+1),1))</f>
        <v>0</v>
      </c>
      <c r="ET49">
        <f t="shared" si="20"/>
        <v>0</v>
      </c>
      <c r="FD49">
        <f>IFERROR(LOOKUP(2,1/('DRAFT 2'!$D:$D=$B49)*('DRAFT 2'!$A:$A&gt;=DATE(2026,6,1))*('DRAFT 2'!$A:$A&lt;DATE(2026,IF(6=12,6+1,6+1),1)),'DRAFT 2'!$A:$A),"")</f>
        <v>0</v>
      </c>
      <c r="FE49">
        <f>COUNTIFS('DRAFT 2'!$D:$D,$B49,'DRAFT 2'!$A:$A,"&gt;="&amp;DATE(2026,6,1),'DRAFT 2'!$A:$A,"&lt;="&amp;DATE(2026,6,7))</f>
        <v>0</v>
      </c>
      <c r="FF49">
        <f>COUNTIFS('DRAFT 2'!$D:$D,$B49,'DRAFT 2'!$A:$A,"&gt;="&amp;DATE(2026,6,8),'DRAFT 2'!$A:$A,"&lt;="&amp;DATE(2026,6,14))</f>
        <v>0</v>
      </c>
      <c r="FG49">
        <f>COUNTIFS('DRAFT 2'!$D:$D,$B49,'DRAFT 2'!$A:$A,"&gt;="&amp;DATE(2026,6,15),'DRAFT 2'!$A:$A,"&lt;="&amp;DATE(2026,6,21))</f>
        <v>0</v>
      </c>
      <c r="FH49">
        <f>COUNTIFS('DRAFT 2'!$D:$D,$B49,'DRAFT 2'!$A:$A,"&gt;="&amp;DATE(2026,6,22),'DRAFT 2'!$A:$A,"&lt;"&amp;DATE(2026,IF(6=12,6+1,6+1),1))</f>
        <v>0</v>
      </c>
      <c r="FI49">
        <f t="shared" si="21"/>
        <v>0</v>
      </c>
      <c r="FT49">
        <f>IFERROR(LOOKUP(2,1/('DRAFT 2'!$D:$D=$B49)*('DRAFT 2'!$A:$A&gt;=DATE(2026,7,1))*('DRAFT 2'!$A:$A&lt;DATE(2026,IF(7=12,7+1,7+1),1)),'DRAFT 2'!$A:$A),"")</f>
        <v>0</v>
      </c>
      <c r="FU49">
        <f>COUNTIFS('DRAFT 2'!$D:$D,$B49,'DRAFT 2'!$A:$A,"&gt;="&amp;DATE(2026,7,1),'DRAFT 2'!$A:$A,"&lt;="&amp;DATE(2026,7,7))</f>
        <v>0</v>
      </c>
      <c r="FV49">
        <f>COUNTIFS('DRAFT 2'!$D:$D,$B49,'DRAFT 2'!$A:$A,"&gt;="&amp;DATE(2026,7,8),'DRAFT 2'!$A:$A,"&lt;="&amp;DATE(2026,7,14))</f>
        <v>0</v>
      </c>
      <c r="FW49">
        <f>COUNTIFS('DRAFT 2'!$D:$D,$B49,'DRAFT 2'!$A:$A,"&gt;="&amp;DATE(2026,7,15),'DRAFT 2'!$A:$A,"&lt;="&amp;DATE(2026,7,21))</f>
        <v>0</v>
      </c>
      <c r="FX49">
        <f>COUNTIFS('DRAFT 2'!$D:$D,$B49,'DRAFT 2'!$A:$A,"&gt;="&amp;DATE(2026,7,22),'DRAFT 2'!$A:$A,"&lt;"&amp;DATE(2026,IF(7=12,7+1,7+1),1))</f>
        <v>0</v>
      </c>
      <c r="FY49">
        <f t="shared" si="22"/>
        <v>0</v>
      </c>
      <c r="GI49">
        <f>IFERROR(LOOKUP(2,1/('DRAFT 2'!$D:$D=$B49)*('DRAFT 2'!$A:$A&gt;=DATE(2026,8,1))*('DRAFT 2'!$A:$A&lt;DATE(2026,IF(8=12,8+1,8+1),1)),'DRAFT 2'!$A:$A),"")</f>
        <v>0</v>
      </c>
      <c r="GJ49">
        <f>COUNTIFS('DRAFT 2'!$D:$D,$B49,'DRAFT 2'!$A:$A,"&gt;="&amp;DATE(2026,8,1),'DRAFT 2'!$A:$A,"&lt;="&amp;DATE(2026,8,7))</f>
        <v>0</v>
      </c>
      <c r="GK49">
        <f>COUNTIFS('DRAFT 2'!$D:$D,$B49,'DRAFT 2'!$A:$A,"&gt;="&amp;DATE(2026,8,8),'DRAFT 2'!$A:$A,"&lt;="&amp;DATE(2026,8,14))</f>
        <v>0</v>
      </c>
      <c r="GL49">
        <f>COUNTIFS('DRAFT 2'!$D:$D,$B49,'DRAFT 2'!$A:$A,"&gt;="&amp;DATE(2026,8,15),'DRAFT 2'!$A:$A,"&lt;="&amp;DATE(2026,8,21))</f>
        <v>0</v>
      </c>
      <c r="GM49">
        <f>COUNTIFS('DRAFT 2'!$D:$D,$B49,'DRAFT 2'!$A:$A,"&gt;="&amp;DATE(2026,8,22),'DRAFT 2'!$A:$A,"&lt;"&amp;DATE(2026,IF(8=12,8+1,8+1),1))</f>
        <v>0</v>
      </c>
      <c r="GN49">
        <f t="shared" si="23"/>
        <v>0</v>
      </c>
      <c r="GX49">
        <f>IFERROR(LOOKUP(2,1/('DRAFT 2'!$D:$D=$B49)*('DRAFT 2'!$A:$A&gt;=DATE(2026,9,1))*('DRAFT 2'!$A:$A&lt;DATE(2026,IF(9=12,9+1,9+1),1)),'DRAFT 2'!$A:$A),"")</f>
        <v>0</v>
      </c>
      <c r="GY49">
        <f>COUNTIFS('DRAFT 2'!$D:$D,$B49,'DRAFT 2'!$A:$A,"&gt;="&amp;DATE(2026,9,1),'DRAFT 2'!$A:$A,"&lt;="&amp;DATE(2026,9,7))</f>
        <v>0</v>
      </c>
      <c r="GZ49">
        <f>COUNTIFS('DRAFT 2'!$D:$D,$B49,'DRAFT 2'!$A:$A,"&gt;="&amp;DATE(2026,9,8),'DRAFT 2'!$A:$A,"&lt;="&amp;DATE(2026,9,14))</f>
        <v>0</v>
      </c>
      <c r="HA49">
        <f>COUNTIFS('DRAFT 2'!$D:$D,$B49,'DRAFT 2'!$A:$A,"&gt;="&amp;DATE(2026,9,15),'DRAFT 2'!$A:$A,"&lt;="&amp;DATE(2026,9,21))</f>
        <v>0</v>
      </c>
      <c r="HB49">
        <f>COUNTIFS('DRAFT 2'!$D:$D,$B49,'DRAFT 2'!$A:$A,"&gt;="&amp;DATE(2026,9,22),'DRAFT 2'!$A:$A,"&lt;"&amp;DATE(2026,IF(9=12,9+1,9+1),1))</f>
        <v>0</v>
      </c>
      <c r="HC49">
        <f t="shared" si="24"/>
        <v>0</v>
      </c>
      <c r="HN49">
        <f>IFERROR(LOOKUP(2,1/('DRAFT 2'!$D:$D=$B49)*('DRAFT 2'!$A:$A&gt;=DATE(2026,10,1))*('DRAFT 2'!$A:$A&lt;DATE(2026,IF(10=12,10+1,10+1),1)),'DRAFT 2'!$A:$A),"")</f>
        <v>0</v>
      </c>
      <c r="HO49">
        <f>COUNTIFS('DRAFT 2'!$D:$D,$B49,'DRAFT 2'!$A:$A,"&gt;="&amp;DATE(2026,10,1),'DRAFT 2'!$A:$A,"&lt;="&amp;DATE(2026,10,7))</f>
        <v>0</v>
      </c>
      <c r="HP49">
        <f>COUNTIFS('DRAFT 2'!$D:$D,$B49,'DRAFT 2'!$A:$A,"&gt;="&amp;DATE(2026,10,8),'DRAFT 2'!$A:$A,"&lt;="&amp;DATE(2026,10,14))</f>
        <v>0</v>
      </c>
      <c r="HQ49">
        <f>COUNTIFS('DRAFT 2'!$D:$D,$B49,'DRAFT 2'!$A:$A,"&gt;="&amp;DATE(2026,10,15),'DRAFT 2'!$A:$A,"&lt;="&amp;DATE(2026,10,21))</f>
        <v>0</v>
      </c>
      <c r="HR49">
        <f>COUNTIFS('DRAFT 2'!$D:$D,$B49,'DRAFT 2'!$A:$A,"&gt;="&amp;DATE(2026,10,22),'DRAFT 2'!$A:$A,"&lt;"&amp;DATE(2026,IF(10=12,10+1,10+1),1))</f>
        <v>0</v>
      </c>
      <c r="HS49">
        <f t="shared" si="25"/>
        <v>0</v>
      </c>
      <c r="IC49">
        <f>IFERROR(LOOKUP(2,1/('DRAFT 2'!$D:$D=$B49)*('DRAFT 2'!$A:$A&gt;=DATE(2026,11,1))*('DRAFT 2'!$A:$A&lt;DATE(2026,IF(11=12,11+1,11+1),1)),'DRAFT 2'!$A:$A),"")</f>
        <v>0</v>
      </c>
      <c r="ID49">
        <f>COUNTIFS('DRAFT 2'!$D:$D,$B49,'DRAFT 2'!$A:$A,"&gt;="&amp;DATE(2026,11,1),'DRAFT 2'!$A:$A,"&lt;="&amp;DATE(2026,11,7))</f>
        <v>0</v>
      </c>
      <c r="IE49">
        <f>COUNTIFS('DRAFT 2'!$D:$D,$B49,'DRAFT 2'!$A:$A,"&gt;="&amp;DATE(2026,11,8),'DRAFT 2'!$A:$A,"&lt;="&amp;DATE(2026,11,14))</f>
        <v>0</v>
      </c>
      <c r="IF49">
        <f>COUNTIFS('DRAFT 2'!$D:$D,$B49,'DRAFT 2'!$A:$A,"&gt;="&amp;DATE(2026,11,15),'DRAFT 2'!$A:$A,"&lt;="&amp;DATE(2026,11,21))</f>
        <v>0</v>
      </c>
      <c r="IG49">
        <f>COUNTIFS('DRAFT 2'!$D:$D,$B49,'DRAFT 2'!$A:$A,"&gt;="&amp;DATE(2026,11,22),'DRAFT 2'!$A:$A,"&lt;"&amp;DATE(2026,IF(11=12,11+1,11+1),1))</f>
        <v>0</v>
      </c>
      <c r="IH49">
        <f t="shared" si="26"/>
        <v>0</v>
      </c>
      <c r="IR49">
        <f>IFERROR(LOOKUP(2,1/('DRAFT 2'!$D:$D=$B49)*('DRAFT 2'!$A:$A&gt;=DATE(2026,12,1))*('DRAFT 2'!$A:$A&lt;DATE(2026,IF(12=12,12+1,12+1),1)),'DRAFT 2'!$A:$A),"")</f>
        <v>0</v>
      </c>
      <c r="IS49">
        <f>COUNTIFS('DRAFT 2'!$D:$D,$B49,'DRAFT 2'!$A:$A,"&gt;="&amp;DATE(2026,12,1),'DRAFT 2'!$A:$A,"&lt;="&amp;DATE(2026,12,7))</f>
        <v>0</v>
      </c>
      <c r="IT49">
        <f>COUNTIFS('DRAFT 2'!$D:$D,$B49,'DRAFT 2'!$A:$A,"&gt;="&amp;DATE(2026,12,8),'DRAFT 2'!$A:$A,"&lt;="&amp;DATE(2026,12,14))</f>
        <v>0</v>
      </c>
      <c r="IU49">
        <f>COUNTIFS('DRAFT 2'!$D:$D,$B49,'DRAFT 2'!$A:$A,"&gt;="&amp;DATE(2026,12,15),'DRAFT 2'!$A:$A,"&lt;="&amp;DATE(2026,12,21))</f>
        <v>0</v>
      </c>
      <c r="IV49">
        <f>COUNTIFS('DRAFT 2'!$D:$D,$B49,'DRAFT 2'!$A:$A,"&gt;="&amp;DATE(2026,12,22),'DRAFT 2'!$A:$A,"&lt;"&amp;DATE(2026,IF(12=12,12+1,12+1),1))</f>
        <v>0</v>
      </c>
      <c r="IW49">
        <f t="shared" si="27"/>
        <v>0</v>
      </c>
    </row>
    <row r="50" spans="1:257" x14ac:dyDescent="0.3">
      <c r="A50" t="str">
        <f>IFERROR(INDEX('DRAFT 1'!$A:$A,MATCH($B50,'DRAFT 1'!$B:$B,0)),"")</f>
        <v/>
      </c>
      <c r="C50" t="str">
        <f>IFERROR(INDEX('DRAFT 1'!$C:$C,MATCH($B50,'DRAFT 1'!$B:$B,0)),"")</f>
        <v/>
      </c>
      <c r="D50" t="str">
        <f>IFERROR(INDEX('DRAFT 1'!$D:$D,MATCH($B50,'DRAFT 1'!$B:$B,0)),"")</f>
        <v/>
      </c>
      <c r="E50" t="str">
        <f>IFERROR(INDEX('DRAFT 1'!$E:$E,MATCH($B50,'DRAFT 1'!$B:$B,0)),"")</f>
        <v/>
      </c>
      <c r="F50" t="str">
        <f>IFERROR(INDEX('DRAFT 1'!$F:$F,MATCH($B50,'DRAFT 1'!$B:$B,0)),"")</f>
        <v/>
      </c>
      <c r="G50" t="str">
        <f>IFERROR(INDEX('DRAFT 1'!$G:$G,MATCH($B50,'DRAFT 1'!$B:$B,0)),"")</f>
        <v/>
      </c>
      <c r="H50" t="str">
        <f>IFERROR(INDEX('DRAFT 1'!$H:$H,MATCH($B50,'DRAFT 1'!$B:$B,0)),"")</f>
        <v/>
      </c>
      <c r="I50" t="s">
        <v>283</v>
      </c>
      <c r="K50" t="str">
        <f>IFERROR(INDEX('DRAFT 1'!$AL:$AL,MATCH($B50,'DRAFT 1'!$B:$B,0)),"")</f>
        <v/>
      </c>
      <c r="L50" t="str">
        <f>IFERROR(INDEX('DRAFT 1'!$J:$J,MATCH($B50,'DRAFT 1'!$B:$B,0)),"")</f>
        <v/>
      </c>
      <c r="M50" t="str">
        <f>IFERROR(INDEX('DRAFT 1'!$K:$K,MATCH($B50,'DRAFT 1'!$B:$B,0)),"")</f>
        <v/>
      </c>
      <c r="N50" t="s">
        <v>79</v>
      </c>
      <c r="P50" t="str">
        <f>IFERROR(INDEX('DRAFT 1'!$L:$L,MATCH($B50,'DRAFT 1'!$B:$B,0)),"")</f>
        <v/>
      </c>
      <c r="Q50" t="str">
        <f>IFERROR(INDEX('DRAFT 1'!$M:$M,MATCH($B50,'DRAFT 1'!$B:$B,0)),"")</f>
        <v/>
      </c>
      <c r="R50" t="str">
        <f>IFERROR(INDEX('DRAFT 1'!$N:$N,MATCH($B50,'DRAFT 1'!$B:$B,0)),"")</f>
        <v/>
      </c>
      <c r="S50" t="str">
        <f>IFERROR(INDEX('DRAFT 1'!$O:$O,MATCH($B50,'DRAFT 1'!$B:$B,0)),"")</f>
        <v/>
      </c>
      <c r="T50" t="str">
        <f>IFERROR(INDEX('DRAFT 1'!$P:$P,MATCH($B50,'DRAFT 1'!$B:$B,0)),"")</f>
        <v/>
      </c>
      <c r="U50" t="str">
        <f>IFERROR(INDEX('DRAFT 1'!$Q:$Q,MATCH($B50,'DRAFT 1'!$B:$B,0)),"")</f>
        <v/>
      </c>
      <c r="V50" t="str">
        <f>IFERROR(INDEX('DRAFT 1'!$R:$R,MATCH($B50,'DRAFT 1'!$B:$B,0)),"")</f>
        <v/>
      </c>
      <c r="W50" t="str">
        <f>IFERROR(INDEX('DRAFT 1'!$S:$S,MATCH($B50,'DRAFT 1'!$B:$B,0)),"")</f>
        <v/>
      </c>
      <c r="X50" t="str">
        <f>IFERROR(INDEX('DRAFT 1'!$T:$T,MATCH($B50,'DRAFT 1'!$B:$B,0)),"")</f>
        <v/>
      </c>
      <c r="Z50" t="str">
        <f>IFERROR(INDEX('DRAFT 1'!$U:$U,MATCH($B50,'DRAFT 1'!$B:$B,0)),"")</f>
        <v/>
      </c>
      <c r="AA50" t="str">
        <f>IFERROR(INDEX('DRAFT 1'!$V:$V,MATCH($B50,'DRAFT 1'!$B:$B,0)),"")</f>
        <v/>
      </c>
      <c r="AB50" t="str">
        <f>IFERROR(INDEX('DRAFT 1'!$W:$W,MATCH($B50,'DRAFT 1'!$B:$B,0)),"")</f>
        <v/>
      </c>
      <c r="AC50" t="str">
        <f>IFERROR(INDEX('DRAFT 1'!$X:$X,MATCH($B50,'DRAFT 1'!$B:$B,0)),"")</f>
        <v/>
      </c>
      <c r="AD50" t="str">
        <f>IFERROR(INDEX('DRAFT 1'!$Y:$Y,MATCH($B50,'DRAFT 1'!$B:$B,0)),"")</f>
        <v/>
      </c>
      <c r="AE50" t="str">
        <f>IFERROR(INDEX('DRAFT 1'!$Z:$Z,MATCH($B50,'DRAFT 1'!$B:$B,0)),"")</f>
        <v/>
      </c>
      <c r="AF50" t="str">
        <f>IFERROR(INDEX('DRAFT 1'!$AA:$AA,MATCH($B50,'DRAFT 1'!$B:$B,0)),"")</f>
        <v/>
      </c>
      <c r="AG50" t="str">
        <f>IFERROR(INDEX('DRAFT 1'!$AB:$AB,MATCH($B50,'DRAFT 1'!$B:$B,0)),"")</f>
        <v/>
      </c>
      <c r="AH50" t="str">
        <f>IFERROR(INDEX('DRAFT 1'!$AC:$AC,MATCH($B50,'DRAFT 1'!$B:$B,0)),"")</f>
        <v/>
      </c>
      <c r="AI50" t="str">
        <f>IFERROR(INDEX('DRAFT 1'!$AD:$AD,MATCH($B50,'DRAFT 1'!$B:$B,0)),"")</f>
        <v/>
      </c>
      <c r="AJ50" t="str">
        <f>IFERROR(INDEX('DRAFT 1'!$AE:$AE,MATCH($B50,'DRAFT 1'!$B:$B,0)),"")</f>
        <v/>
      </c>
      <c r="AK50" t="str">
        <f>IFERROR(INDEX('DRAFT 1'!$AG:$AG,MATCH($B50,'DRAFT 1'!$B:$B,0)),"")</f>
        <v/>
      </c>
      <c r="AL50" t="str">
        <f>IFERROR(INDEX('DRAFT 1'!$AH:$AH,MATCH($B50,'DRAFT 1'!$B:$B,0)),"")</f>
        <v/>
      </c>
      <c r="AM50" t="str">
        <f>IFERROR(INDEX('DRAFT 1'!$AI:$AI,MATCH($B50,'DRAFT 1'!$B:$B,0)),"")</f>
        <v/>
      </c>
      <c r="AN50" t="str">
        <f>IFERROR(INDEX('DRAFT 1'!$AJ:$AJ,MATCH($B50,'DRAFT 1'!$B:$B,0)),"")</f>
        <v/>
      </c>
      <c r="AO50">
        <f t="shared" si="14"/>
        <v>0</v>
      </c>
      <c r="AP50" t="str">
        <f>IFERROR(INDEX('DRAFT 1'!$AK:$AK,MATCH($B50,'DRAFT 1'!$B:$B,0)),"")</f>
        <v/>
      </c>
      <c r="AR50" t="s">
        <v>93</v>
      </c>
      <c r="AS50">
        <f>IFERROR(LOOKUP(2,1/('DRAFT 2'!$D:$D=$B50),'DRAFT 2'!$T:$T),"")</f>
        <v>0</v>
      </c>
      <c r="AT50">
        <f>IFERROR(LOOKUP(2,1/('DRAFT 2'!$D:$D=$B50),'DRAFT 2'!$A:$A),"")</f>
        <v>0</v>
      </c>
      <c r="AU50">
        <f>IFERROR(LOOKUP(2,1/('DRAFT 2'!$D:$D=$B50),'DRAFT 2'!$R:$R),"")</f>
        <v>0</v>
      </c>
      <c r="AV50">
        <f>IFERROR(LOOKUP(2,1/('DRAFT 2'!$D:$D=$B50),'DRAFT 2'!$S:$S),"")</f>
        <v>0</v>
      </c>
      <c r="AW50" t="s">
        <v>88</v>
      </c>
      <c r="AX50">
        <f>IFERROR(LOOKUP(2,1/('DRAFT 2'!$D:$D=$B50),'DRAFT 2'!$M:$M),"")</f>
        <v>0</v>
      </c>
      <c r="AY50">
        <f>IFERROR(LOOKUP(2,1/('DRAFT 2'!$D:$D=$B50),'DRAFT 2'!$K:$K),"")</f>
        <v>0</v>
      </c>
      <c r="BG50">
        <f>IFERROR(LOOKUP(2,1/('DRAFT 2'!$D:$D=$B50),'DRAFT 2'!$U:$U),"")</f>
        <v>0</v>
      </c>
      <c r="BH50">
        <f>IFERROR(LOOKUP(2,1/('DRAFT 2'!$D:$D=$B50),'DRAFT 2'!$V:$V),"")</f>
        <v>0</v>
      </c>
      <c r="CE50" t="str">
        <f t="shared" si="15"/>
        <v/>
      </c>
      <c r="CF50">
        <f>IFERROR(LOOKUP(2,1/('DRAFT 2'!$D:$D=$B50)*('DRAFT 2'!$A:$A&gt;=DATE(2026,1,1))*('DRAFT 2'!$A:$A&lt;DATE(2026,IF(1=12,1+1,1+1),1)),'DRAFT 2'!$A:$A),"")</f>
        <v>0</v>
      </c>
      <c r="CG50">
        <f>COUNTIFS('DRAFT 2'!$D:$D,$B50,'DRAFT 2'!$A:$A,"&gt;="&amp;DATE(2026,1,1),'DRAFT 2'!$A:$A,"&lt;="&amp;DATE(2026,1,7))</f>
        <v>0</v>
      </c>
      <c r="CH50">
        <f>COUNTIFS('DRAFT 2'!$D:$D,$B50,'DRAFT 2'!$A:$A,"&gt;="&amp;DATE(2026,1,8),'DRAFT 2'!$A:$A,"&lt;="&amp;DATE(2026,1,14))</f>
        <v>0</v>
      </c>
      <c r="CI50">
        <f>COUNTIFS('DRAFT 2'!$D:$D,$B50,'DRAFT 2'!$A:$A,"&gt;="&amp;DATE(2026,1,15),'DRAFT 2'!$A:$A,"&lt;="&amp;DATE(2026,1,21))</f>
        <v>0</v>
      </c>
      <c r="CJ50">
        <f>COUNTIFS('DRAFT 2'!$D:$D,$B50,'DRAFT 2'!$A:$A,"&gt;="&amp;DATE(2026,1,22),'DRAFT 2'!$A:$A,"&lt;"&amp;DATE(2026,IF(1=12,1+1,1+1),1))</f>
        <v>0</v>
      </c>
      <c r="CK50">
        <f t="shared" si="16"/>
        <v>0</v>
      </c>
      <c r="CT50">
        <v>0</v>
      </c>
      <c r="CU50">
        <f>IFERROR(LOOKUP(2,1/('DRAFT 2'!$D:$D=$B50)*('DRAFT 2'!$A:$A&gt;=DATE(2026,2,1))*('DRAFT 2'!$A:$A&lt;DATE(2026,IF(2=12,2+1,2+1),1)),'DRAFT 2'!$A:$A),"")</f>
        <v>0</v>
      </c>
      <c r="CV50">
        <f>COUNTIFS('DRAFT 2'!$D:$D,$B50,'DRAFT 2'!$A:$A,"&gt;="&amp;DATE(2026,2,1),'DRAFT 2'!$A:$A,"&lt;="&amp;DATE(2026,2,7))</f>
        <v>0</v>
      </c>
      <c r="CW50">
        <f>COUNTIFS('DRAFT 2'!$D:$D,$B50,'DRAFT 2'!$A:$A,"&gt;="&amp;DATE(2026,2,8),'DRAFT 2'!$A:$A,"&lt;="&amp;DATE(2026,2,14))</f>
        <v>0</v>
      </c>
      <c r="CX50">
        <f>COUNTIFS('DRAFT 2'!$D:$D,$B50,'DRAFT 2'!$A:$A,"&gt;="&amp;DATE(2026,2,15),'DRAFT 2'!$A:$A,"&lt;="&amp;DATE(2026,2,21))</f>
        <v>0</v>
      </c>
      <c r="CY50">
        <f>COUNTIFS('DRAFT 2'!$D:$D,$B50,'DRAFT 2'!$A:$A,"&gt;="&amp;DATE(2026,2,22),'DRAFT 2'!$A:$A,"&lt;"&amp;DATE(2026,IF(2=12,2+1,2+1),1))</f>
        <v>0</v>
      </c>
      <c r="CZ50">
        <f t="shared" si="17"/>
        <v>0</v>
      </c>
      <c r="DJ50">
        <f>IFERROR(LOOKUP(2,1/('DRAFT 2'!$D:$D=$B50)*('DRAFT 2'!$A:$A&gt;=DATE(2026,3,1))*('DRAFT 2'!$A:$A&lt;DATE(2026,IF(3=12,3+1,3+1),1)),'DRAFT 2'!$A:$A),"")</f>
        <v>0</v>
      </c>
      <c r="DK50">
        <f>COUNTIFS('DRAFT 2'!$D:$D,$B50,'DRAFT 2'!$A:$A,"&gt;="&amp;DATE(2026,3,1),'DRAFT 2'!$A:$A,"&lt;="&amp;DATE(2026,3,7))</f>
        <v>0</v>
      </c>
      <c r="DL50">
        <f>COUNTIFS('DRAFT 2'!$D:$D,$B50,'DRAFT 2'!$A:$A,"&gt;="&amp;DATE(2026,3,8),'DRAFT 2'!$A:$A,"&lt;="&amp;DATE(2026,3,14))</f>
        <v>0</v>
      </c>
      <c r="DM50">
        <f>COUNTIFS('DRAFT 2'!$D:$D,$B50,'DRAFT 2'!$A:$A,"&gt;="&amp;DATE(2026,3,15),'DRAFT 2'!$A:$A,"&lt;="&amp;DATE(2026,3,21))</f>
        <v>0</v>
      </c>
      <c r="DN50">
        <f>COUNTIFS('DRAFT 2'!$D:$D,$B50,'DRAFT 2'!$A:$A,"&gt;="&amp;DATE(2026,3,22),'DRAFT 2'!$A:$A,"&lt;"&amp;DATE(2026,IF(3=12,3+1,3+1),1))</f>
        <v>0</v>
      </c>
      <c r="DO50">
        <f t="shared" si="18"/>
        <v>0</v>
      </c>
      <c r="DZ50">
        <f>IFERROR(LOOKUP(2,1/('DRAFT 2'!$D:$D=$B50)*('DRAFT 2'!$A:$A&gt;=DATE(2026,4,1))*('DRAFT 2'!$A:$A&lt;DATE(2026,IF(4=12,4+1,4+1),1)),'DRAFT 2'!$A:$A),"")</f>
        <v>0</v>
      </c>
      <c r="EA50">
        <f>COUNTIFS('DRAFT 2'!$D:$D,$B50,'DRAFT 2'!$A:$A,"&gt;="&amp;DATE(2026,4,1),'DRAFT 2'!$A:$A,"&lt;="&amp;DATE(2026,4,7))</f>
        <v>0</v>
      </c>
      <c r="EB50">
        <f>COUNTIFS('DRAFT 2'!$D:$D,$B50,'DRAFT 2'!$A:$A,"&gt;="&amp;DATE(2026,4,8),'DRAFT 2'!$A:$A,"&lt;="&amp;DATE(2026,4,14))</f>
        <v>0</v>
      </c>
      <c r="EC50">
        <f>COUNTIFS('DRAFT 2'!$D:$D,$B50,'DRAFT 2'!$A:$A,"&gt;="&amp;DATE(2026,4,15),'DRAFT 2'!$A:$A,"&lt;="&amp;DATE(2026,4,21))</f>
        <v>0</v>
      </c>
      <c r="ED50">
        <f>COUNTIFS('DRAFT 2'!$D:$D,$B50,'DRAFT 2'!$A:$A,"&gt;="&amp;DATE(2026,4,22),'DRAFT 2'!$A:$A,"&lt;"&amp;DATE(2026,IF(4=12,4+1,4+1),1))</f>
        <v>0</v>
      </c>
      <c r="EE50">
        <f t="shared" si="19"/>
        <v>0</v>
      </c>
      <c r="EO50">
        <f>IFERROR(LOOKUP(2,1/('DRAFT 2'!$D:$D=$B50)*('DRAFT 2'!$A:$A&gt;=DATE(2026,5,1))*('DRAFT 2'!$A:$A&lt;DATE(2026,IF(5=12,5+1,5+1),1)),'DRAFT 2'!$A:$A),"")</f>
        <v>0</v>
      </c>
      <c r="EP50">
        <f>COUNTIFS('DRAFT 2'!$D:$D,$B50,'DRAFT 2'!$A:$A,"&gt;="&amp;DATE(2026,5,1),'DRAFT 2'!$A:$A,"&lt;="&amp;DATE(2026,5,7))</f>
        <v>0</v>
      </c>
      <c r="EQ50">
        <f>COUNTIFS('DRAFT 2'!$D:$D,$B50,'DRAFT 2'!$A:$A,"&gt;="&amp;DATE(2026,5,8),'DRAFT 2'!$A:$A,"&lt;="&amp;DATE(2026,5,14))</f>
        <v>0</v>
      </c>
      <c r="ER50">
        <f>COUNTIFS('DRAFT 2'!$D:$D,$B50,'DRAFT 2'!$A:$A,"&gt;="&amp;DATE(2026,5,15),'DRAFT 2'!$A:$A,"&lt;="&amp;DATE(2026,5,21))</f>
        <v>0</v>
      </c>
      <c r="ES50">
        <f>COUNTIFS('DRAFT 2'!$D:$D,$B50,'DRAFT 2'!$A:$A,"&gt;="&amp;DATE(2026,5,22),'DRAFT 2'!$A:$A,"&lt;"&amp;DATE(2026,IF(5=12,5+1,5+1),1))</f>
        <v>0</v>
      </c>
      <c r="ET50">
        <f t="shared" si="20"/>
        <v>0</v>
      </c>
      <c r="FD50">
        <f>IFERROR(LOOKUP(2,1/('DRAFT 2'!$D:$D=$B50)*('DRAFT 2'!$A:$A&gt;=DATE(2026,6,1))*('DRAFT 2'!$A:$A&lt;DATE(2026,IF(6=12,6+1,6+1),1)),'DRAFT 2'!$A:$A),"")</f>
        <v>0</v>
      </c>
      <c r="FE50">
        <f>COUNTIFS('DRAFT 2'!$D:$D,$B50,'DRAFT 2'!$A:$A,"&gt;="&amp;DATE(2026,6,1),'DRAFT 2'!$A:$A,"&lt;="&amp;DATE(2026,6,7))</f>
        <v>0</v>
      </c>
      <c r="FF50">
        <f>COUNTIFS('DRAFT 2'!$D:$D,$B50,'DRAFT 2'!$A:$A,"&gt;="&amp;DATE(2026,6,8),'DRAFT 2'!$A:$A,"&lt;="&amp;DATE(2026,6,14))</f>
        <v>0</v>
      </c>
      <c r="FG50">
        <f>COUNTIFS('DRAFT 2'!$D:$D,$B50,'DRAFT 2'!$A:$A,"&gt;="&amp;DATE(2026,6,15),'DRAFT 2'!$A:$A,"&lt;="&amp;DATE(2026,6,21))</f>
        <v>0</v>
      </c>
      <c r="FH50">
        <f>COUNTIFS('DRAFT 2'!$D:$D,$B50,'DRAFT 2'!$A:$A,"&gt;="&amp;DATE(2026,6,22),'DRAFT 2'!$A:$A,"&lt;"&amp;DATE(2026,IF(6=12,6+1,6+1),1))</f>
        <v>0</v>
      </c>
      <c r="FI50">
        <f t="shared" si="21"/>
        <v>0</v>
      </c>
      <c r="FT50">
        <f>IFERROR(LOOKUP(2,1/('DRAFT 2'!$D:$D=$B50)*('DRAFT 2'!$A:$A&gt;=DATE(2026,7,1))*('DRAFT 2'!$A:$A&lt;DATE(2026,IF(7=12,7+1,7+1),1)),'DRAFT 2'!$A:$A),"")</f>
        <v>0</v>
      </c>
      <c r="FU50">
        <f>COUNTIFS('DRAFT 2'!$D:$D,$B50,'DRAFT 2'!$A:$A,"&gt;="&amp;DATE(2026,7,1),'DRAFT 2'!$A:$A,"&lt;="&amp;DATE(2026,7,7))</f>
        <v>0</v>
      </c>
      <c r="FV50">
        <f>COUNTIFS('DRAFT 2'!$D:$D,$B50,'DRAFT 2'!$A:$A,"&gt;="&amp;DATE(2026,7,8),'DRAFT 2'!$A:$A,"&lt;="&amp;DATE(2026,7,14))</f>
        <v>0</v>
      </c>
      <c r="FW50">
        <f>COUNTIFS('DRAFT 2'!$D:$D,$B50,'DRAFT 2'!$A:$A,"&gt;="&amp;DATE(2026,7,15),'DRAFT 2'!$A:$A,"&lt;="&amp;DATE(2026,7,21))</f>
        <v>0</v>
      </c>
      <c r="FX50">
        <f>COUNTIFS('DRAFT 2'!$D:$D,$B50,'DRAFT 2'!$A:$A,"&gt;="&amp;DATE(2026,7,22),'DRAFT 2'!$A:$A,"&lt;"&amp;DATE(2026,IF(7=12,7+1,7+1),1))</f>
        <v>0</v>
      </c>
      <c r="FY50">
        <f t="shared" si="22"/>
        <v>0</v>
      </c>
      <c r="GI50">
        <f>IFERROR(LOOKUP(2,1/('DRAFT 2'!$D:$D=$B50)*('DRAFT 2'!$A:$A&gt;=DATE(2026,8,1))*('DRAFT 2'!$A:$A&lt;DATE(2026,IF(8=12,8+1,8+1),1)),'DRAFT 2'!$A:$A),"")</f>
        <v>0</v>
      </c>
      <c r="GJ50">
        <f>COUNTIFS('DRAFT 2'!$D:$D,$B50,'DRAFT 2'!$A:$A,"&gt;="&amp;DATE(2026,8,1),'DRAFT 2'!$A:$A,"&lt;="&amp;DATE(2026,8,7))</f>
        <v>0</v>
      </c>
      <c r="GK50">
        <f>COUNTIFS('DRAFT 2'!$D:$D,$B50,'DRAFT 2'!$A:$A,"&gt;="&amp;DATE(2026,8,8),'DRAFT 2'!$A:$A,"&lt;="&amp;DATE(2026,8,14))</f>
        <v>0</v>
      </c>
      <c r="GL50">
        <f>COUNTIFS('DRAFT 2'!$D:$D,$B50,'DRAFT 2'!$A:$A,"&gt;="&amp;DATE(2026,8,15),'DRAFT 2'!$A:$A,"&lt;="&amp;DATE(2026,8,21))</f>
        <v>0</v>
      </c>
      <c r="GM50">
        <f>COUNTIFS('DRAFT 2'!$D:$D,$B50,'DRAFT 2'!$A:$A,"&gt;="&amp;DATE(2026,8,22),'DRAFT 2'!$A:$A,"&lt;"&amp;DATE(2026,IF(8=12,8+1,8+1),1))</f>
        <v>0</v>
      </c>
      <c r="GN50">
        <f t="shared" si="23"/>
        <v>0</v>
      </c>
      <c r="GX50">
        <f>IFERROR(LOOKUP(2,1/('DRAFT 2'!$D:$D=$B50)*('DRAFT 2'!$A:$A&gt;=DATE(2026,9,1))*('DRAFT 2'!$A:$A&lt;DATE(2026,IF(9=12,9+1,9+1),1)),'DRAFT 2'!$A:$A),"")</f>
        <v>0</v>
      </c>
      <c r="GY50">
        <f>COUNTIFS('DRAFT 2'!$D:$D,$B50,'DRAFT 2'!$A:$A,"&gt;="&amp;DATE(2026,9,1),'DRAFT 2'!$A:$A,"&lt;="&amp;DATE(2026,9,7))</f>
        <v>0</v>
      </c>
      <c r="GZ50">
        <f>COUNTIFS('DRAFT 2'!$D:$D,$B50,'DRAFT 2'!$A:$A,"&gt;="&amp;DATE(2026,9,8),'DRAFT 2'!$A:$A,"&lt;="&amp;DATE(2026,9,14))</f>
        <v>0</v>
      </c>
      <c r="HA50">
        <f>COUNTIFS('DRAFT 2'!$D:$D,$B50,'DRAFT 2'!$A:$A,"&gt;="&amp;DATE(2026,9,15),'DRAFT 2'!$A:$A,"&lt;="&amp;DATE(2026,9,21))</f>
        <v>0</v>
      </c>
      <c r="HB50">
        <f>COUNTIFS('DRAFT 2'!$D:$D,$B50,'DRAFT 2'!$A:$A,"&gt;="&amp;DATE(2026,9,22),'DRAFT 2'!$A:$A,"&lt;"&amp;DATE(2026,IF(9=12,9+1,9+1),1))</f>
        <v>0</v>
      </c>
      <c r="HC50">
        <f t="shared" si="24"/>
        <v>0</v>
      </c>
      <c r="HN50">
        <f>IFERROR(LOOKUP(2,1/('DRAFT 2'!$D:$D=$B50)*('DRAFT 2'!$A:$A&gt;=DATE(2026,10,1))*('DRAFT 2'!$A:$A&lt;DATE(2026,IF(10=12,10+1,10+1),1)),'DRAFT 2'!$A:$A),"")</f>
        <v>0</v>
      </c>
      <c r="HO50">
        <f>COUNTIFS('DRAFT 2'!$D:$D,$B50,'DRAFT 2'!$A:$A,"&gt;="&amp;DATE(2026,10,1),'DRAFT 2'!$A:$A,"&lt;="&amp;DATE(2026,10,7))</f>
        <v>0</v>
      </c>
      <c r="HP50">
        <f>COUNTIFS('DRAFT 2'!$D:$D,$B50,'DRAFT 2'!$A:$A,"&gt;="&amp;DATE(2026,10,8),'DRAFT 2'!$A:$A,"&lt;="&amp;DATE(2026,10,14))</f>
        <v>0</v>
      </c>
      <c r="HQ50">
        <f>COUNTIFS('DRAFT 2'!$D:$D,$B50,'DRAFT 2'!$A:$A,"&gt;="&amp;DATE(2026,10,15),'DRAFT 2'!$A:$A,"&lt;="&amp;DATE(2026,10,21))</f>
        <v>0</v>
      </c>
      <c r="HR50">
        <f>COUNTIFS('DRAFT 2'!$D:$D,$B50,'DRAFT 2'!$A:$A,"&gt;="&amp;DATE(2026,10,22),'DRAFT 2'!$A:$A,"&lt;"&amp;DATE(2026,IF(10=12,10+1,10+1),1))</f>
        <v>0</v>
      </c>
      <c r="HS50">
        <f t="shared" si="25"/>
        <v>0</v>
      </c>
      <c r="IC50">
        <f>IFERROR(LOOKUP(2,1/('DRAFT 2'!$D:$D=$B50)*('DRAFT 2'!$A:$A&gt;=DATE(2026,11,1))*('DRAFT 2'!$A:$A&lt;DATE(2026,IF(11=12,11+1,11+1),1)),'DRAFT 2'!$A:$A),"")</f>
        <v>0</v>
      </c>
      <c r="ID50">
        <f>COUNTIFS('DRAFT 2'!$D:$D,$B50,'DRAFT 2'!$A:$A,"&gt;="&amp;DATE(2026,11,1),'DRAFT 2'!$A:$A,"&lt;="&amp;DATE(2026,11,7))</f>
        <v>0</v>
      </c>
      <c r="IE50">
        <f>COUNTIFS('DRAFT 2'!$D:$D,$B50,'DRAFT 2'!$A:$A,"&gt;="&amp;DATE(2026,11,8),'DRAFT 2'!$A:$A,"&lt;="&amp;DATE(2026,11,14))</f>
        <v>0</v>
      </c>
      <c r="IF50">
        <f>COUNTIFS('DRAFT 2'!$D:$D,$B50,'DRAFT 2'!$A:$A,"&gt;="&amp;DATE(2026,11,15),'DRAFT 2'!$A:$A,"&lt;="&amp;DATE(2026,11,21))</f>
        <v>0</v>
      </c>
      <c r="IG50">
        <f>COUNTIFS('DRAFT 2'!$D:$D,$B50,'DRAFT 2'!$A:$A,"&gt;="&amp;DATE(2026,11,22),'DRAFT 2'!$A:$A,"&lt;"&amp;DATE(2026,IF(11=12,11+1,11+1),1))</f>
        <v>0</v>
      </c>
      <c r="IH50">
        <f t="shared" si="26"/>
        <v>0</v>
      </c>
      <c r="IR50">
        <f>IFERROR(LOOKUP(2,1/('DRAFT 2'!$D:$D=$B50)*('DRAFT 2'!$A:$A&gt;=DATE(2026,12,1))*('DRAFT 2'!$A:$A&lt;DATE(2026,IF(12=12,12+1,12+1),1)),'DRAFT 2'!$A:$A),"")</f>
        <v>0</v>
      </c>
      <c r="IS50">
        <f>COUNTIFS('DRAFT 2'!$D:$D,$B50,'DRAFT 2'!$A:$A,"&gt;="&amp;DATE(2026,12,1),'DRAFT 2'!$A:$A,"&lt;="&amp;DATE(2026,12,7))</f>
        <v>0</v>
      </c>
      <c r="IT50">
        <f>COUNTIFS('DRAFT 2'!$D:$D,$B50,'DRAFT 2'!$A:$A,"&gt;="&amp;DATE(2026,12,8),'DRAFT 2'!$A:$A,"&lt;="&amp;DATE(2026,12,14))</f>
        <v>0</v>
      </c>
      <c r="IU50">
        <f>COUNTIFS('DRAFT 2'!$D:$D,$B50,'DRAFT 2'!$A:$A,"&gt;="&amp;DATE(2026,12,15),'DRAFT 2'!$A:$A,"&lt;="&amp;DATE(2026,12,21))</f>
        <v>0</v>
      </c>
      <c r="IV50">
        <f>COUNTIFS('DRAFT 2'!$D:$D,$B50,'DRAFT 2'!$A:$A,"&gt;="&amp;DATE(2026,12,22),'DRAFT 2'!$A:$A,"&lt;"&amp;DATE(2026,IF(12=12,12+1,12+1),1))</f>
        <v>0</v>
      </c>
      <c r="IW50">
        <f t="shared" si="27"/>
        <v>0</v>
      </c>
    </row>
    <row r="51" spans="1:257" x14ac:dyDescent="0.3">
      <c r="A51" t="str">
        <f>IFERROR(INDEX('DRAFT 1'!$A:$A,MATCH($B51,'DRAFT 1'!$B:$B,0)),"")</f>
        <v/>
      </c>
      <c r="C51" t="str">
        <f>IFERROR(INDEX('DRAFT 1'!$C:$C,MATCH($B51,'DRAFT 1'!$B:$B,0)),"")</f>
        <v/>
      </c>
      <c r="D51" t="str">
        <f>IFERROR(INDEX('DRAFT 1'!$D:$D,MATCH($B51,'DRAFT 1'!$B:$B,0)),"")</f>
        <v/>
      </c>
      <c r="E51" t="str">
        <f>IFERROR(INDEX('DRAFT 1'!$E:$E,MATCH($B51,'DRAFT 1'!$B:$B,0)),"")</f>
        <v/>
      </c>
      <c r="F51" t="str">
        <f>IFERROR(INDEX('DRAFT 1'!$F:$F,MATCH($B51,'DRAFT 1'!$B:$B,0)),"")</f>
        <v/>
      </c>
      <c r="G51" t="str">
        <f>IFERROR(INDEX('DRAFT 1'!$G:$G,MATCH($B51,'DRAFT 1'!$B:$B,0)),"")</f>
        <v/>
      </c>
      <c r="H51" t="str">
        <f>IFERROR(INDEX('DRAFT 1'!$H:$H,MATCH($B51,'DRAFT 1'!$B:$B,0)),"")</f>
        <v/>
      </c>
      <c r="I51" t="s">
        <v>295</v>
      </c>
      <c r="K51" t="str">
        <f>IFERROR(INDEX('DRAFT 1'!$AL:$AL,MATCH($B51,'DRAFT 1'!$B:$B,0)),"")</f>
        <v/>
      </c>
      <c r="L51" t="str">
        <f>IFERROR(INDEX('DRAFT 1'!$J:$J,MATCH($B51,'DRAFT 1'!$B:$B,0)),"")</f>
        <v/>
      </c>
      <c r="M51" t="str">
        <f>IFERROR(INDEX('DRAFT 1'!$K:$K,MATCH($B51,'DRAFT 1'!$B:$B,0)),"")</f>
        <v/>
      </c>
      <c r="N51" t="s">
        <v>71</v>
      </c>
      <c r="P51" t="str">
        <f>IFERROR(INDEX('DRAFT 1'!$L:$L,MATCH($B51,'DRAFT 1'!$B:$B,0)),"")</f>
        <v/>
      </c>
      <c r="Q51" t="str">
        <f>IFERROR(INDEX('DRAFT 1'!$M:$M,MATCH($B51,'DRAFT 1'!$B:$B,0)),"")</f>
        <v/>
      </c>
      <c r="R51" t="str">
        <f>IFERROR(INDEX('DRAFT 1'!$N:$N,MATCH($B51,'DRAFT 1'!$B:$B,0)),"")</f>
        <v/>
      </c>
      <c r="S51" t="str">
        <f>IFERROR(INDEX('DRAFT 1'!$O:$O,MATCH($B51,'DRAFT 1'!$B:$B,0)),"")</f>
        <v/>
      </c>
      <c r="T51" t="str">
        <f>IFERROR(INDEX('DRAFT 1'!$P:$P,MATCH($B51,'DRAFT 1'!$B:$B,0)),"")</f>
        <v/>
      </c>
      <c r="U51" t="str">
        <f>IFERROR(INDEX('DRAFT 1'!$Q:$Q,MATCH($B51,'DRAFT 1'!$B:$B,0)),"")</f>
        <v/>
      </c>
      <c r="V51" t="str">
        <f>IFERROR(INDEX('DRAFT 1'!$R:$R,MATCH($B51,'DRAFT 1'!$B:$B,0)),"")</f>
        <v/>
      </c>
      <c r="W51" t="str">
        <f>IFERROR(INDEX('DRAFT 1'!$S:$S,MATCH($B51,'DRAFT 1'!$B:$B,0)),"")</f>
        <v/>
      </c>
      <c r="X51" t="str">
        <f>IFERROR(INDEX('DRAFT 1'!$T:$T,MATCH($B51,'DRAFT 1'!$B:$B,0)),"")</f>
        <v/>
      </c>
      <c r="Z51" t="str">
        <f>IFERROR(INDEX('DRAFT 1'!$U:$U,MATCH($B51,'DRAFT 1'!$B:$B,0)),"")</f>
        <v/>
      </c>
      <c r="AA51" t="str">
        <f>IFERROR(INDEX('DRAFT 1'!$V:$V,MATCH($B51,'DRAFT 1'!$B:$B,0)),"")</f>
        <v/>
      </c>
      <c r="AB51" t="str">
        <f>IFERROR(INDEX('DRAFT 1'!$W:$W,MATCH($B51,'DRAFT 1'!$B:$B,0)),"")</f>
        <v/>
      </c>
      <c r="AC51" t="str">
        <f>IFERROR(INDEX('DRAFT 1'!$X:$X,MATCH($B51,'DRAFT 1'!$B:$B,0)),"")</f>
        <v/>
      </c>
      <c r="AD51" t="str">
        <f>IFERROR(INDEX('DRAFT 1'!$Y:$Y,MATCH($B51,'DRAFT 1'!$B:$B,0)),"")</f>
        <v/>
      </c>
      <c r="AE51" t="str">
        <f>IFERROR(INDEX('DRAFT 1'!$Z:$Z,MATCH($B51,'DRAFT 1'!$B:$B,0)),"")</f>
        <v/>
      </c>
      <c r="AF51" t="str">
        <f>IFERROR(INDEX('DRAFT 1'!$AA:$AA,MATCH($B51,'DRAFT 1'!$B:$B,0)),"")</f>
        <v/>
      </c>
      <c r="AG51" t="str">
        <f>IFERROR(INDEX('DRAFT 1'!$AB:$AB,MATCH($B51,'DRAFT 1'!$B:$B,0)),"")</f>
        <v/>
      </c>
      <c r="AH51" t="str">
        <f>IFERROR(INDEX('DRAFT 1'!$AC:$AC,MATCH($B51,'DRAFT 1'!$B:$B,0)),"")</f>
        <v/>
      </c>
      <c r="AI51" t="str">
        <f>IFERROR(INDEX('DRAFT 1'!$AD:$AD,MATCH($B51,'DRAFT 1'!$B:$B,0)),"")</f>
        <v/>
      </c>
      <c r="AJ51" t="str">
        <f>IFERROR(INDEX('DRAFT 1'!$AE:$AE,MATCH($B51,'DRAFT 1'!$B:$B,0)),"")</f>
        <v/>
      </c>
      <c r="AK51" t="str">
        <f>IFERROR(INDEX('DRAFT 1'!$AG:$AG,MATCH($B51,'DRAFT 1'!$B:$B,0)),"")</f>
        <v/>
      </c>
      <c r="AL51" t="str">
        <f>IFERROR(INDEX('DRAFT 1'!$AH:$AH,MATCH($B51,'DRAFT 1'!$B:$B,0)),"")</f>
        <v/>
      </c>
      <c r="AM51" t="str">
        <f>IFERROR(INDEX('DRAFT 1'!$AI:$AI,MATCH($B51,'DRAFT 1'!$B:$B,0)),"")</f>
        <v/>
      </c>
      <c r="AN51" t="str">
        <f>IFERROR(INDEX('DRAFT 1'!$AJ:$AJ,MATCH($B51,'DRAFT 1'!$B:$B,0)),"")</f>
        <v/>
      </c>
      <c r="AO51">
        <f t="shared" si="14"/>
        <v>0</v>
      </c>
      <c r="AP51" t="str">
        <f>IFERROR(INDEX('DRAFT 1'!$AK:$AK,MATCH($B51,'DRAFT 1'!$B:$B,0)),"")</f>
        <v/>
      </c>
      <c r="AR51" t="s">
        <v>33</v>
      </c>
      <c r="AS51">
        <f>IFERROR(LOOKUP(2,1/('DRAFT 2'!$D:$D=$B51),'DRAFT 2'!$T:$T),"")</f>
        <v>0</v>
      </c>
      <c r="AT51">
        <f>IFERROR(LOOKUP(2,1/('DRAFT 2'!$D:$D=$B51),'DRAFT 2'!$A:$A),"")</f>
        <v>0</v>
      </c>
      <c r="AU51">
        <f>IFERROR(LOOKUP(2,1/('DRAFT 2'!$D:$D=$B51),'DRAFT 2'!$R:$R),"")</f>
        <v>0</v>
      </c>
      <c r="AV51">
        <f>IFERROR(LOOKUP(2,1/('DRAFT 2'!$D:$D=$B51),'DRAFT 2'!$S:$S),"")</f>
        <v>0</v>
      </c>
      <c r="AW51" t="s">
        <v>85</v>
      </c>
      <c r="AX51">
        <f>IFERROR(LOOKUP(2,1/('DRAFT 2'!$D:$D=$B51),'DRAFT 2'!$M:$M),"")</f>
        <v>0</v>
      </c>
      <c r="AY51">
        <f>IFERROR(LOOKUP(2,1/('DRAFT 2'!$D:$D=$B51),'DRAFT 2'!$K:$K),"")</f>
        <v>0</v>
      </c>
      <c r="BG51">
        <f>IFERROR(LOOKUP(2,1/('DRAFT 2'!$D:$D=$B51),'DRAFT 2'!$U:$U),"")</f>
        <v>0</v>
      </c>
      <c r="BH51">
        <f>IFERROR(LOOKUP(2,1/('DRAFT 2'!$D:$D=$B51),'DRAFT 2'!$V:$V),"")</f>
        <v>0</v>
      </c>
      <c r="CE51" t="str">
        <f t="shared" si="15"/>
        <v/>
      </c>
      <c r="CF51">
        <f>IFERROR(LOOKUP(2,1/('DRAFT 2'!$D:$D=$B51)*('DRAFT 2'!$A:$A&gt;=DATE(2026,1,1))*('DRAFT 2'!$A:$A&lt;DATE(2026,IF(1=12,1+1,1+1),1)),'DRAFT 2'!$A:$A),"")</f>
        <v>0</v>
      </c>
      <c r="CG51">
        <f>COUNTIFS('DRAFT 2'!$D:$D,$B51,'DRAFT 2'!$A:$A,"&gt;="&amp;DATE(2026,1,1),'DRAFT 2'!$A:$A,"&lt;="&amp;DATE(2026,1,7))</f>
        <v>0</v>
      </c>
      <c r="CH51">
        <f>COUNTIFS('DRAFT 2'!$D:$D,$B51,'DRAFT 2'!$A:$A,"&gt;="&amp;DATE(2026,1,8),'DRAFT 2'!$A:$A,"&lt;="&amp;DATE(2026,1,14))</f>
        <v>0</v>
      </c>
      <c r="CI51">
        <f>COUNTIFS('DRAFT 2'!$D:$D,$B51,'DRAFT 2'!$A:$A,"&gt;="&amp;DATE(2026,1,15),'DRAFT 2'!$A:$A,"&lt;="&amp;DATE(2026,1,21))</f>
        <v>0</v>
      </c>
      <c r="CJ51">
        <f>COUNTIFS('DRAFT 2'!$D:$D,$B51,'DRAFT 2'!$A:$A,"&gt;="&amp;DATE(2026,1,22),'DRAFT 2'!$A:$A,"&lt;"&amp;DATE(2026,IF(1=12,1+1,1+1),1))</f>
        <v>0</v>
      </c>
      <c r="CK51">
        <f t="shared" si="16"/>
        <v>0</v>
      </c>
      <c r="CT51">
        <v>0</v>
      </c>
      <c r="CU51">
        <f>IFERROR(LOOKUP(2,1/('DRAFT 2'!$D:$D=$B51)*('DRAFT 2'!$A:$A&gt;=DATE(2026,2,1))*('DRAFT 2'!$A:$A&lt;DATE(2026,IF(2=12,2+1,2+1),1)),'DRAFT 2'!$A:$A),"")</f>
        <v>0</v>
      </c>
      <c r="CV51">
        <f>COUNTIFS('DRAFT 2'!$D:$D,$B51,'DRAFT 2'!$A:$A,"&gt;="&amp;DATE(2026,2,1),'DRAFT 2'!$A:$A,"&lt;="&amp;DATE(2026,2,7))</f>
        <v>0</v>
      </c>
      <c r="CW51">
        <f>COUNTIFS('DRAFT 2'!$D:$D,$B51,'DRAFT 2'!$A:$A,"&gt;="&amp;DATE(2026,2,8),'DRAFT 2'!$A:$A,"&lt;="&amp;DATE(2026,2,14))</f>
        <v>0</v>
      </c>
      <c r="CX51">
        <f>COUNTIFS('DRAFT 2'!$D:$D,$B51,'DRAFT 2'!$A:$A,"&gt;="&amp;DATE(2026,2,15),'DRAFT 2'!$A:$A,"&lt;="&amp;DATE(2026,2,21))</f>
        <v>0</v>
      </c>
      <c r="CY51">
        <f>COUNTIFS('DRAFT 2'!$D:$D,$B51,'DRAFT 2'!$A:$A,"&gt;="&amp;DATE(2026,2,22),'DRAFT 2'!$A:$A,"&lt;"&amp;DATE(2026,IF(2=12,2+1,2+1),1))</f>
        <v>0</v>
      </c>
      <c r="CZ51">
        <f t="shared" si="17"/>
        <v>0</v>
      </c>
      <c r="DJ51">
        <f>IFERROR(LOOKUP(2,1/('DRAFT 2'!$D:$D=$B51)*('DRAFT 2'!$A:$A&gt;=DATE(2026,3,1))*('DRAFT 2'!$A:$A&lt;DATE(2026,IF(3=12,3+1,3+1),1)),'DRAFT 2'!$A:$A),"")</f>
        <v>0</v>
      </c>
      <c r="DK51">
        <f>COUNTIFS('DRAFT 2'!$D:$D,$B51,'DRAFT 2'!$A:$A,"&gt;="&amp;DATE(2026,3,1),'DRAFT 2'!$A:$A,"&lt;="&amp;DATE(2026,3,7))</f>
        <v>0</v>
      </c>
      <c r="DL51">
        <f>COUNTIFS('DRAFT 2'!$D:$D,$B51,'DRAFT 2'!$A:$A,"&gt;="&amp;DATE(2026,3,8),'DRAFT 2'!$A:$A,"&lt;="&amp;DATE(2026,3,14))</f>
        <v>0</v>
      </c>
      <c r="DM51">
        <f>COUNTIFS('DRAFT 2'!$D:$D,$B51,'DRAFT 2'!$A:$A,"&gt;="&amp;DATE(2026,3,15),'DRAFT 2'!$A:$A,"&lt;="&amp;DATE(2026,3,21))</f>
        <v>0</v>
      </c>
      <c r="DN51">
        <f>COUNTIFS('DRAFT 2'!$D:$D,$B51,'DRAFT 2'!$A:$A,"&gt;="&amp;DATE(2026,3,22),'DRAFT 2'!$A:$A,"&lt;"&amp;DATE(2026,IF(3=12,3+1,3+1),1))</f>
        <v>0</v>
      </c>
      <c r="DO51">
        <f t="shared" si="18"/>
        <v>0</v>
      </c>
      <c r="DZ51">
        <f>IFERROR(LOOKUP(2,1/('DRAFT 2'!$D:$D=$B51)*('DRAFT 2'!$A:$A&gt;=DATE(2026,4,1))*('DRAFT 2'!$A:$A&lt;DATE(2026,IF(4=12,4+1,4+1),1)),'DRAFT 2'!$A:$A),"")</f>
        <v>0</v>
      </c>
      <c r="EA51">
        <f>COUNTIFS('DRAFT 2'!$D:$D,$B51,'DRAFT 2'!$A:$A,"&gt;="&amp;DATE(2026,4,1),'DRAFT 2'!$A:$A,"&lt;="&amp;DATE(2026,4,7))</f>
        <v>0</v>
      </c>
      <c r="EB51">
        <f>COUNTIFS('DRAFT 2'!$D:$D,$B51,'DRAFT 2'!$A:$A,"&gt;="&amp;DATE(2026,4,8),'DRAFT 2'!$A:$A,"&lt;="&amp;DATE(2026,4,14))</f>
        <v>0</v>
      </c>
      <c r="EC51">
        <f>COUNTIFS('DRAFT 2'!$D:$D,$B51,'DRAFT 2'!$A:$A,"&gt;="&amp;DATE(2026,4,15),'DRAFT 2'!$A:$A,"&lt;="&amp;DATE(2026,4,21))</f>
        <v>0</v>
      </c>
      <c r="ED51">
        <f>COUNTIFS('DRAFT 2'!$D:$D,$B51,'DRAFT 2'!$A:$A,"&gt;="&amp;DATE(2026,4,22),'DRAFT 2'!$A:$A,"&lt;"&amp;DATE(2026,IF(4=12,4+1,4+1),1))</f>
        <v>0</v>
      </c>
      <c r="EE51">
        <f t="shared" si="19"/>
        <v>0</v>
      </c>
      <c r="EO51">
        <f>IFERROR(LOOKUP(2,1/('DRAFT 2'!$D:$D=$B51)*('DRAFT 2'!$A:$A&gt;=DATE(2026,5,1))*('DRAFT 2'!$A:$A&lt;DATE(2026,IF(5=12,5+1,5+1),1)),'DRAFT 2'!$A:$A),"")</f>
        <v>0</v>
      </c>
      <c r="EP51">
        <f>COUNTIFS('DRAFT 2'!$D:$D,$B51,'DRAFT 2'!$A:$A,"&gt;="&amp;DATE(2026,5,1),'DRAFT 2'!$A:$A,"&lt;="&amp;DATE(2026,5,7))</f>
        <v>0</v>
      </c>
      <c r="EQ51">
        <f>COUNTIFS('DRAFT 2'!$D:$D,$B51,'DRAFT 2'!$A:$A,"&gt;="&amp;DATE(2026,5,8),'DRAFT 2'!$A:$A,"&lt;="&amp;DATE(2026,5,14))</f>
        <v>0</v>
      </c>
      <c r="ER51">
        <f>COUNTIFS('DRAFT 2'!$D:$D,$B51,'DRAFT 2'!$A:$A,"&gt;="&amp;DATE(2026,5,15),'DRAFT 2'!$A:$A,"&lt;="&amp;DATE(2026,5,21))</f>
        <v>0</v>
      </c>
      <c r="ES51">
        <f>COUNTIFS('DRAFT 2'!$D:$D,$B51,'DRAFT 2'!$A:$A,"&gt;="&amp;DATE(2026,5,22),'DRAFT 2'!$A:$A,"&lt;"&amp;DATE(2026,IF(5=12,5+1,5+1),1))</f>
        <v>0</v>
      </c>
      <c r="ET51">
        <f t="shared" si="20"/>
        <v>0</v>
      </c>
      <c r="FD51">
        <f>IFERROR(LOOKUP(2,1/('DRAFT 2'!$D:$D=$B51)*('DRAFT 2'!$A:$A&gt;=DATE(2026,6,1))*('DRAFT 2'!$A:$A&lt;DATE(2026,IF(6=12,6+1,6+1),1)),'DRAFT 2'!$A:$A),"")</f>
        <v>0</v>
      </c>
      <c r="FE51">
        <f>COUNTIFS('DRAFT 2'!$D:$D,$B51,'DRAFT 2'!$A:$A,"&gt;="&amp;DATE(2026,6,1),'DRAFT 2'!$A:$A,"&lt;="&amp;DATE(2026,6,7))</f>
        <v>0</v>
      </c>
      <c r="FF51">
        <f>COUNTIFS('DRAFT 2'!$D:$D,$B51,'DRAFT 2'!$A:$A,"&gt;="&amp;DATE(2026,6,8),'DRAFT 2'!$A:$A,"&lt;="&amp;DATE(2026,6,14))</f>
        <v>0</v>
      </c>
      <c r="FG51">
        <f>COUNTIFS('DRAFT 2'!$D:$D,$B51,'DRAFT 2'!$A:$A,"&gt;="&amp;DATE(2026,6,15),'DRAFT 2'!$A:$A,"&lt;="&amp;DATE(2026,6,21))</f>
        <v>0</v>
      </c>
      <c r="FH51">
        <f>COUNTIFS('DRAFT 2'!$D:$D,$B51,'DRAFT 2'!$A:$A,"&gt;="&amp;DATE(2026,6,22),'DRAFT 2'!$A:$A,"&lt;"&amp;DATE(2026,IF(6=12,6+1,6+1),1))</f>
        <v>0</v>
      </c>
      <c r="FI51">
        <f t="shared" si="21"/>
        <v>0</v>
      </c>
      <c r="FT51">
        <f>IFERROR(LOOKUP(2,1/('DRAFT 2'!$D:$D=$B51)*('DRAFT 2'!$A:$A&gt;=DATE(2026,7,1))*('DRAFT 2'!$A:$A&lt;DATE(2026,IF(7=12,7+1,7+1),1)),'DRAFT 2'!$A:$A),"")</f>
        <v>0</v>
      </c>
      <c r="FU51">
        <f>COUNTIFS('DRAFT 2'!$D:$D,$B51,'DRAFT 2'!$A:$A,"&gt;="&amp;DATE(2026,7,1),'DRAFT 2'!$A:$A,"&lt;="&amp;DATE(2026,7,7))</f>
        <v>0</v>
      </c>
      <c r="FV51">
        <f>COUNTIFS('DRAFT 2'!$D:$D,$B51,'DRAFT 2'!$A:$A,"&gt;="&amp;DATE(2026,7,8),'DRAFT 2'!$A:$A,"&lt;="&amp;DATE(2026,7,14))</f>
        <v>0</v>
      </c>
      <c r="FW51">
        <f>COUNTIFS('DRAFT 2'!$D:$D,$B51,'DRAFT 2'!$A:$A,"&gt;="&amp;DATE(2026,7,15),'DRAFT 2'!$A:$A,"&lt;="&amp;DATE(2026,7,21))</f>
        <v>0</v>
      </c>
      <c r="FX51">
        <f>COUNTIFS('DRAFT 2'!$D:$D,$B51,'DRAFT 2'!$A:$A,"&gt;="&amp;DATE(2026,7,22),'DRAFT 2'!$A:$A,"&lt;"&amp;DATE(2026,IF(7=12,7+1,7+1),1))</f>
        <v>0</v>
      </c>
      <c r="FY51">
        <f t="shared" si="22"/>
        <v>0</v>
      </c>
      <c r="GI51">
        <f>IFERROR(LOOKUP(2,1/('DRAFT 2'!$D:$D=$B51)*('DRAFT 2'!$A:$A&gt;=DATE(2026,8,1))*('DRAFT 2'!$A:$A&lt;DATE(2026,IF(8=12,8+1,8+1),1)),'DRAFT 2'!$A:$A),"")</f>
        <v>0</v>
      </c>
      <c r="GJ51">
        <f>COUNTIFS('DRAFT 2'!$D:$D,$B51,'DRAFT 2'!$A:$A,"&gt;="&amp;DATE(2026,8,1),'DRAFT 2'!$A:$A,"&lt;="&amp;DATE(2026,8,7))</f>
        <v>0</v>
      </c>
      <c r="GK51">
        <f>COUNTIFS('DRAFT 2'!$D:$D,$B51,'DRAFT 2'!$A:$A,"&gt;="&amp;DATE(2026,8,8),'DRAFT 2'!$A:$A,"&lt;="&amp;DATE(2026,8,14))</f>
        <v>0</v>
      </c>
      <c r="GL51">
        <f>COUNTIFS('DRAFT 2'!$D:$D,$B51,'DRAFT 2'!$A:$A,"&gt;="&amp;DATE(2026,8,15),'DRAFT 2'!$A:$A,"&lt;="&amp;DATE(2026,8,21))</f>
        <v>0</v>
      </c>
      <c r="GM51">
        <f>COUNTIFS('DRAFT 2'!$D:$D,$B51,'DRAFT 2'!$A:$A,"&gt;="&amp;DATE(2026,8,22),'DRAFT 2'!$A:$A,"&lt;"&amp;DATE(2026,IF(8=12,8+1,8+1),1))</f>
        <v>0</v>
      </c>
      <c r="GN51">
        <f t="shared" si="23"/>
        <v>0</v>
      </c>
      <c r="GX51">
        <f>IFERROR(LOOKUP(2,1/('DRAFT 2'!$D:$D=$B51)*('DRAFT 2'!$A:$A&gt;=DATE(2026,9,1))*('DRAFT 2'!$A:$A&lt;DATE(2026,IF(9=12,9+1,9+1),1)),'DRAFT 2'!$A:$A),"")</f>
        <v>0</v>
      </c>
      <c r="GY51">
        <f>COUNTIFS('DRAFT 2'!$D:$D,$B51,'DRAFT 2'!$A:$A,"&gt;="&amp;DATE(2026,9,1),'DRAFT 2'!$A:$A,"&lt;="&amp;DATE(2026,9,7))</f>
        <v>0</v>
      </c>
      <c r="GZ51">
        <f>COUNTIFS('DRAFT 2'!$D:$D,$B51,'DRAFT 2'!$A:$A,"&gt;="&amp;DATE(2026,9,8),'DRAFT 2'!$A:$A,"&lt;="&amp;DATE(2026,9,14))</f>
        <v>0</v>
      </c>
      <c r="HA51">
        <f>COUNTIFS('DRAFT 2'!$D:$D,$B51,'DRAFT 2'!$A:$A,"&gt;="&amp;DATE(2026,9,15),'DRAFT 2'!$A:$A,"&lt;="&amp;DATE(2026,9,21))</f>
        <v>0</v>
      </c>
      <c r="HB51">
        <f>COUNTIFS('DRAFT 2'!$D:$D,$B51,'DRAFT 2'!$A:$A,"&gt;="&amp;DATE(2026,9,22),'DRAFT 2'!$A:$A,"&lt;"&amp;DATE(2026,IF(9=12,9+1,9+1),1))</f>
        <v>0</v>
      </c>
      <c r="HC51">
        <f t="shared" si="24"/>
        <v>0</v>
      </c>
      <c r="HN51">
        <f>IFERROR(LOOKUP(2,1/('DRAFT 2'!$D:$D=$B51)*('DRAFT 2'!$A:$A&gt;=DATE(2026,10,1))*('DRAFT 2'!$A:$A&lt;DATE(2026,IF(10=12,10+1,10+1),1)),'DRAFT 2'!$A:$A),"")</f>
        <v>0</v>
      </c>
      <c r="HO51">
        <f>COUNTIFS('DRAFT 2'!$D:$D,$B51,'DRAFT 2'!$A:$A,"&gt;="&amp;DATE(2026,10,1),'DRAFT 2'!$A:$A,"&lt;="&amp;DATE(2026,10,7))</f>
        <v>0</v>
      </c>
      <c r="HP51">
        <f>COUNTIFS('DRAFT 2'!$D:$D,$B51,'DRAFT 2'!$A:$A,"&gt;="&amp;DATE(2026,10,8),'DRAFT 2'!$A:$A,"&lt;="&amp;DATE(2026,10,14))</f>
        <v>0</v>
      </c>
      <c r="HQ51">
        <f>COUNTIFS('DRAFT 2'!$D:$D,$B51,'DRAFT 2'!$A:$A,"&gt;="&amp;DATE(2026,10,15),'DRAFT 2'!$A:$A,"&lt;="&amp;DATE(2026,10,21))</f>
        <v>0</v>
      </c>
      <c r="HR51">
        <f>COUNTIFS('DRAFT 2'!$D:$D,$B51,'DRAFT 2'!$A:$A,"&gt;="&amp;DATE(2026,10,22),'DRAFT 2'!$A:$A,"&lt;"&amp;DATE(2026,IF(10=12,10+1,10+1),1))</f>
        <v>0</v>
      </c>
      <c r="HS51">
        <f t="shared" si="25"/>
        <v>0</v>
      </c>
      <c r="IC51">
        <f>IFERROR(LOOKUP(2,1/('DRAFT 2'!$D:$D=$B51)*('DRAFT 2'!$A:$A&gt;=DATE(2026,11,1))*('DRAFT 2'!$A:$A&lt;DATE(2026,IF(11=12,11+1,11+1),1)),'DRAFT 2'!$A:$A),"")</f>
        <v>0</v>
      </c>
      <c r="ID51">
        <f>COUNTIFS('DRAFT 2'!$D:$D,$B51,'DRAFT 2'!$A:$A,"&gt;="&amp;DATE(2026,11,1),'DRAFT 2'!$A:$A,"&lt;="&amp;DATE(2026,11,7))</f>
        <v>0</v>
      </c>
      <c r="IE51">
        <f>COUNTIFS('DRAFT 2'!$D:$D,$B51,'DRAFT 2'!$A:$A,"&gt;="&amp;DATE(2026,11,8),'DRAFT 2'!$A:$A,"&lt;="&amp;DATE(2026,11,14))</f>
        <v>0</v>
      </c>
      <c r="IF51">
        <f>COUNTIFS('DRAFT 2'!$D:$D,$B51,'DRAFT 2'!$A:$A,"&gt;="&amp;DATE(2026,11,15),'DRAFT 2'!$A:$A,"&lt;="&amp;DATE(2026,11,21))</f>
        <v>0</v>
      </c>
      <c r="IG51">
        <f>COUNTIFS('DRAFT 2'!$D:$D,$B51,'DRAFT 2'!$A:$A,"&gt;="&amp;DATE(2026,11,22),'DRAFT 2'!$A:$A,"&lt;"&amp;DATE(2026,IF(11=12,11+1,11+1),1))</f>
        <v>0</v>
      </c>
      <c r="IH51">
        <f t="shared" si="26"/>
        <v>0</v>
      </c>
      <c r="IR51">
        <f>IFERROR(LOOKUP(2,1/('DRAFT 2'!$D:$D=$B51)*('DRAFT 2'!$A:$A&gt;=DATE(2026,12,1))*('DRAFT 2'!$A:$A&lt;DATE(2026,IF(12=12,12+1,12+1),1)),'DRAFT 2'!$A:$A),"")</f>
        <v>0</v>
      </c>
      <c r="IS51">
        <f>COUNTIFS('DRAFT 2'!$D:$D,$B51,'DRAFT 2'!$A:$A,"&gt;="&amp;DATE(2026,12,1),'DRAFT 2'!$A:$A,"&lt;="&amp;DATE(2026,12,7))</f>
        <v>0</v>
      </c>
      <c r="IT51">
        <f>COUNTIFS('DRAFT 2'!$D:$D,$B51,'DRAFT 2'!$A:$A,"&gt;="&amp;DATE(2026,12,8),'DRAFT 2'!$A:$A,"&lt;="&amp;DATE(2026,12,14))</f>
        <v>0</v>
      </c>
      <c r="IU51">
        <f>COUNTIFS('DRAFT 2'!$D:$D,$B51,'DRAFT 2'!$A:$A,"&gt;="&amp;DATE(2026,12,15),'DRAFT 2'!$A:$A,"&lt;="&amp;DATE(2026,12,21))</f>
        <v>0</v>
      </c>
      <c r="IV51">
        <f>COUNTIFS('DRAFT 2'!$D:$D,$B51,'DRAFT 2'!$A:$A,"&gt;="&amp;DATE(2026,12,22),'DRAFT 2'!$A:$A,"&lt;"&amp;DATE(2026,IF(12=12,12+1,12+1),1))</f>
        <v>0</v>
      </c>
      <c r="IW51">
        <f t="shared" si="27"/>
        <v>0</v>
      </c>
    </row>
    <row r="52" spans="1:257" x14ac:dyDescent="0.3">
      <c r="A52" t="str">
        <f>IFERROR(INDEX('DRAFT 1'!$A:$A,MATCH($B52,'DRAFT 1'!$B:$B,0)),"")</f>
        <v/>
      </c>
      <c r="C52" t="str">
        <f>IFERROR(INDEX('DRAFT 1'!$C:$C,MATCH($B52,'DRAFT 1'!$B:$B,0)),"")</f>
        <v/>
      </c>
      <c r="D52" t="str">
        <f>IFERROR(INDEX('DRAFT 1'!$D:$D,MATCH($B52,'DRAFT 1'!$B:$B,0)),"")</f>
        <v/>
      </c>
      <c r="E52" t="str">
        <f>IFERROR(INDEX('DRAFT 1'!$E:$E,MATCH($B52,'DRAFT 1'!$B:$B,0)),"")</f>
        <v/>
      </c>
      <c r="F52" t="str">
        <f>IFERROR(INDEX('DRAFT 1'!$F:$F,MATCH($B52,'DRAFT 1'!$B:$B,0)),"")</f>
        <v/>
      </c>
      <c r="G52" t="str">
        <f>IFERROR(INDEX('DRAFT 1'!$G:$G,MATCH($B52,'DRAFT 1'!$B:$B,0)),"")</f>
        <v/>
      </c>
      <c r="H52" t="str">
        <f>IFERROR(INDEX('DRAFT 1'!$H:$H,MATCH($B52,'DRAFT 1'!$B:$B,0)),"")</f>
        <v/>
      </c>
      <c r="I52" t="s">
        <v>296</v>
      </c>
      <c r="K52" t="str">
        <f>IFERROR(INDEX('DRAFT 1'!$AL:$AL,MATCH($B52,'DRAFT 1'!$B:$B,0)),"")</f>
        <v/>
      </c>
      <c r="L52" t="str">
        <f>IFERROR(INDEX('DRAFT 1'!$J:$J,MATCH($B52,'DRAFT 1'!$B:$B,0)),"")</f>
        <v/>
      </c>
      <c r="M52" t="str">
        <f>IFERROR(INDEX('DRAFT 1'!$K:$K,MATCH($B52,'DRAFT 1'!$B:$B,0)),"")</f>
        <v/>
      </c>
      <c r="N52" t="s">
        <v>71</v>
      </c>
      <c r="P52" t="str">
        <f>IFERROR(INDEX('DRAFT 1'!$L:$L,MATCH($B52,'DRAFT 1'!$B:$B,0)),"")</f>
        <v/>
      </c>
      <c r="Q52" t="str">
        <f>IFERROR(INDEX('DRAFT 1'!$M:$M,MATCH($B52,'DRAFT 1'!$B:$B,0)),"")</f>
        <v/>
      </c>
      <c r="R52" t="str">
        <f>IFERROR(INDEX('DRAFT 1'!$N:$N,MATCH($B52,'DRAFT 1'!$B:$B,0)),"")</f>
        <v/>
      </c>
      <c r="S52" t="str">
        <f>IFERROR(INDEX('DRAFT 1'!$O:$O,MATCH($B52,'DRAFT 1'!$B:$B,0)),"")</f>
        <v/>
      </c>
      <c r="T52" t="str">
        <f>IFERROR(INDEX('DRAFT 1'!$P:$P,MATCH($B52,'DRAFT 1'!$B:$B,0)),"")</f>
        <v/>
      </c>
      <c r="U52" t="str">
        <f>IFERROR(INDEX('DRAFT 1'!$Q:$Q,MATCH($B52,'DRAFT 1'!$B:$B,0)),"")</f>
        <v/>
      </c>
      <c r="V52" t="str">
        <f>IFERROR(INDEX('DRAFT 1'!$R:$R,MATCH($B52,'DRAFT 1'!$B:$B,0)),"")</f>
        <v/>
      </c>
      <c r="W52" t="str">
        <f>IFERROR(INDEX('DRAFT 1'!$S:$S,MATCH($B52,'DRAFT 1'!$B:$B,0)),"")</f>
        <v/>
      </c>
      <c r="X52" t="str">
        <f>IFERROR(INDEX('DRAFT 1'!$T:$T,MATCH($B52,'DRAFT 1'!$B:$B,0)),"")</f>
        <v/>
      </c>
      <c r="Z52" t="str">
        <f>IFERROR(INDEX('DRAFT 1'!$U:$U,MATCH($B52,'DRAFT 1'!$B:$B,0)),"")</f>
        <v/>
      </c>
      <c r="AA52" t="str">
        <f>IFERROR(INDEX('DRAFT 1'!$V:$V,MATCH($B52,'DRAFT 1'!$B:$B,0)),"")</f>
        <v/>
      </c>
      <c r="AB52" t="str">
        <f>IFERROR(INDEX('DRAFT 1'!$W:$W,MATCH($B52,'DRAFT 1'!$B:$B,0)),"")</f>
        <v/>
      </c>
      <c r="AC52" t="str">
        <f>IFERROR(INDEX('DRAFT 1'!$X:$X,MATCH($B52,'DRAFT 1'!$B:$B,0)),"")</f>
        <v/>
      </c>
      <c r="AD52" t="str">
        <f>IFERROR(INDEX('DRAFT 1'!$Y:$Y,MATCH($B52,'DRAFT 1'!$B:$B,0)),"")</f>
        <v/>
      </c>
      <c r="AE52" t="str">
        <f>IFERROR(INDEX('DRAFT 1'!$Z:$Z,MATCH($B52,'DRAFT 1'!$B:$B,0)),"")</f>
        <v/>
      </c>
      <c r="AF52" t="str">
        <f>IFERROR(INDEX('DRAFT 1'!$AA:$AA,MATCH($B52,'DRAFT 1'!$B:$B,0)),"")</f>
        <v/>
      </c>
      <c r="AG52" t="str">
        <f>IFERROR(INDEX('DRAFT 1'!$AB:$AB,MATCH($B52,'DRAFT 1'!$B:$B,0)),"")</f>
        <v/>
      </c>
      <c r="AH52" t="str">
        <f>IFERROR(INDEX('DRAFT 1'!$AC:$AC,MATCH($B52,'DRAFT 1'!$B:$B,0)),"")</f>
        <v/>
      </c>
      <c r="AI52" t="str">
        <f>IFERROR(INDEX('DRAFT 1'!$AD:$AD,MATCH($B52,'DRAFT 1'!$B:$B,0)),"")</f>
        <v/>
      </c>
      <c r="AJ52" t="str">
        <f>IFERROR(INDEX('DRAFT 1'!$AE:$AE,MATCH($B52,'DRAFT 1'!$B:$B,0)),"")</f>
        <v/>
      </c>
      <c r="AK52" t="str">
        <f>IFERROR(INDEX('DRAFT 1'!$AG:$AG,MATCH($B52,'DRAFT 1'!$B:$B,0)),"")</f>
        <v/>
      </c>
      <c r="AL52" t="str">
        <f>IFERROR(INDEX('DRAFT 1'!$AH:$AH,MATCH($B52,'DRAFT 1'!$B:$B,0)),"")</f>
        <v/>
      </c>
      <c r="AM52" t="str">
        <f>IFERROR(INDEX('DRAFT 1'!$AI:$AI,MATCH($B52,'DRAFT 1'!$B:$B,0)),"")</f>
        <v/>
      </c>
      <c r="AN52" t="str">
        <f>IFERROR(INDEX('DRAFT 1'!$AJ:$AJ,MATCH($B52,'DRAFT 1'!$B:$B,0)),"")</f>
        <v/>
      </c>
      <c r="AO52">
        <f t="shared" si="14"/>
        <v>0</v>
      </c>
      <c r="AP52" t="str">
        <f>IFERROR(INDEX('DRAFT 1'!$AK:$AK,MATCH($B52,'DRAFT 1'!$B:$B,0)),"")</f>
        <v/>
      </c>
      <c r="AR52" t="s">
        <v>93</v>
      </c>
      <c r="AS52">
        <f>IFERROR(LOOKUP(2,1/('DRAFT 2'!$D:$D=$B52),'DRAFT 2'!$T:$T),"")</f>
        <v>0</v>
      </c>
      <c r="AT52">
        <f>IFERROR(LOOKUP(2,1/('DRAFT 2'!$D:$D=$B52),'DRAFT 2'!$A:$A),"")</f>
        <v>0</v>
      </c>
      <c r="AU52">
        <f>IFERROR(LOOKUP(2,1/('DRAFT 2'!$D:$D=$B52),'DRAFT 2'!$R:$R),"")</f>
        <v>0</v>
      </c>
      <c r="AV52">
        <f>IFERROR(LOOKUP(2,1/('DRAFT 2'!$D:$D=$B52),'DRAFT 2'!$S:$S),"")</f>
        <v>0</v>
      </c>
      <c r="AW52" t="s">
        <v>128</v>
      </c>
      <c r="AX52">
        <f>IFERROR(LOOKUP(2,1/('DRAFT 2'!$D:$D=$B52),'DRAFT 2'!$M:$M),"")</f>
        <v>0</v>
      </c>
      <c r="AY52">
        <f>IFERROR(LOOKUP(2,1/('DRAFT 2'!$D:$D=$B52),'DRAFT 2'!$K:$K),"")</f>
        <v>0</v>
      </c>
      <c r="BG52">
        <f>IFERROR(LOOKUP(2,1/('DRAFT 2'!$D:$D=$B52),'DRAFT 2'!$U:$U),"")</f>
        <v>0</v>
      </c>
      <c r="BH52">
        <f>IFERROR(LOOKUP(2,1/('DRAFT 2'!$D:$D=$B52),'DRAFT 2'!$V:$V),"")</f>
        <v>0</v>
      </c>
      <c r="CE52" t="str">
        <f t="shared" si="15"/>
        <v/>
      </c>
      <c r="CF52">
        <f>IFERROR(LOOKUP(2,1/('DRAFT 2'!$D:$D=$B52)*('DRAFT 2'!$A:$A&gt;=DATE(2026,1,1))*('DRAFT 2'!$A:$A&lt;DATE(2026,IF(1=12,1+1,1+1),1)),'DRAFT 2'!$A:$A),"")</f>
        <v>0</v>
      </c>
      <c r="CG52">
        <f>COUNTIFS('DRAFT 2'!$D:$D,$B52,'DRAFT 2'!$A:$A,"&gt;="&amp;DATE(2026,1,1),'DRAFT 2'!$A:$A,"&lt;="&amp;DATE(2026,1,7))</f>
        <v>0</v>
      </c>
      <c r="CH52">
        <f>COUNTIFS('DRAFT 2'!$D:$D,$B52,'DRAFT 2'!$A:$A,"&gt;="&amp;DATE(2026,1,8),'DRAFT 2'!$A:$A,"&lt;="&amp;DATE(2026,1,14))</f>
        <v>0</v>
      </c>
      <c r="CI52">
        <f>COUNTIFS('DRAFT 2'!$D:$D,$B52,'DRAFT 2'!$A:$A,"&gt;="&amp;DATE(2026,1,15),'DRAFT 2'!$A:$A,"&lt;="&amp;DATE(2026,1,21))</f>
        <v>0</v>
      </c>
      <c r="CJ52">
        <f>COUNTIFS('DRAFT 2'!$D:$D,$B52,'DRAFT 2'!$A:$A,"&gt;="&amp;DATE(2026,1,22),'DRAFT 2'!$A:$A,"&lt;"&amp;DATE(2026,IF(1=12,1+1,1+1),1))</f>
        <v>0</v>
      </c>
      <c r="CK52">
        <f t="shared" si="16"/>
        <v>0</v>
      </c>
      <c r="CT52">
        <v>0</v>
      </c>
      <c r="CU52">
        <f>IFERROR(LOOKUP(2,1/('DRAFT 2'!$D:$D=$B52)*('DRAFT 2'!$A:$A&gt;=DATE(2026,2,1))*('DRAFT 2'!$A:$A&lt;DATE(2026,IF(2=12,2+1,2+1),1)),'DRAFT 2'!$A:$A),"")</f>
        <v>0</v>
      </c>
      <c r="CV52">
        <f>COUNTIFS('DRAFT 2'!$D:$D,$B52,'DRAFT 2'!$A:$A,"&gt;="&amp;DATE(2026,2,1),'DRAFT 2'!$A:$A,"&lt;="&amp;DATE(2026,2,7))</f>
        <v>0</v>
      </c>
      <c r="CW52">
        <f>COUNTIFS('DRAFT 2'!$D:$D,$B52,'DRAFT 2'!$A:$A,"&gt;="&amp;DATE(2026,2,8),'DRAFT 2'!$A:$A,"&lt;="&amp;DATE(2026,2,14))</f>
        <v>0</v>
      </c>
      <c r="CX52">
        <f>COUNTIFS('DRAFT 2'!$D:$D,$B52,'DRAFT 2'!$A:$A,"&gt;="&amp;DATE(2026,2,15),'DRAFT 2'!$A:$A,"&lt;="&amp;DATE(2026,2,21))</f>
        <v>0</v>
      </c>
      <c r="CY52">
        <f>COUNTIFS('DRAFT 2'!$D:$D,$B52,'DRAFT 2'!$A:$A,"&gt;="&amp;DATE(2026,2,22),'DRAFT 2'!$A:$A,"&lt;"&amp;DATE(2026,IF(2=12,2+1,2+1),1))</f>
        <v>0</v>
      </c>
      <c r="CZ52">
        <f t="shared" si="17"/>
        <v>0</v>
      </c>
      <c r="DJ52">
        <f>IFERROR(LOOKUP(2,1/('DRAFT 2'!$D:$D=$B52)*('DRAFT 2'!$A:$A&gt;=DATE(2026,3,1))*('DRAFT 2'!$A:$A&lt;DATE(2026,IF(3=12,3+1,3+1),1)),'DRAFT 2'!$A:$A),"")</f>
        <v>0</v>
      </c>
      <c r="DK52">
        <f>COUNTIFS('DRAFT 2'!$D:$D,$B52,'DRAFT 2'!$A:$A,"&gt;="&amp;DATE(2026,3,1),'DRAFT 2'!$A:$A,"&lt;="&amp;DATE(2026,3,7))</f>
        <v>0</v>
      </c>
      <c r="DL52">
        <f>COUNTIFS('DRAFT 2'!$D:$D,$B52,'DRAFT 2'!$A:$A,"&gt;="&amp;DATE(2026,3,8),'DRAFT 2'!$A:$A,"&lt;="&amp;DATE(2026,3,14))</f>
        <v>0</v>
      </c>
      <c r="DM52">
        <f>COUNTIFS('DRAFT 2'!$D:$D,$B52,'DRAFT 2'!$A:$A,"&gt;="&amp;DATE(2026,3,15),'DRAFT 2'!$A:$A,"&lt;="&amp;DATE(2026,3,21))</f>
        <v>0</v>
      </c>
      <c r="DN52">
        <f>COUNTIFS('DRAFT 2'!$D:$D,$B52,'DRAFT 2'!$A:$A,"&gt;="&amp;DATE(2026,3,22),'DRAFT 2'!$A:$A,"&lt;"&amp;DATE(2026,IF(3=12,3+1,3+1),1))</f>
        <v>0</v>
      </c>
      <c r="DO52">
        <f t="shared" si="18"/>
        <v>0</v>
      </c>
      <c r="DZ52">
        <f>IFERROR(LOOKUP(2,1/('DRAFT 2'!$D:$D=$B52)*('DRAFT 2'!$A:$A&gt;=DATE(2026,4,1))*('DRAFT 2'!$A:$A&lt;DATE(2026,IF(4=12,4+1,4+1),1)),'DRAFT 2'!$A:$A),"")</f>
        <v>0</v>
      </c>
      <c r="EA52">
        <f>COUNTIFS('DRAFT 2'!$D:$D,$B52,'DRAFT 2'!$A:$A,"&gt;="&amp;DATE(2026,4,1),'DRAFT 2'!$A:$A,"&lt;="&amp;DATE(2026,4,7))</f>
        <v>0</v>
      </c>
      <c r="EB52">
        <f>COUNTIFS('DRAFT 2'!$D:$D,$B52,'DRAFT 2'!$A:$A,"&gt;="&amp;DATE(2026,4,8),'DRAFT 2'!$A:$A,"&lt;="&amp;DATE(2026,4,14))</f>
        <v>0</v>
      </c>
      <c r="EC52">
        <f>COUNTIFS('DRAFT 2'!$D:$D,$B52,'DRAFT 2'!$A:$A,"&gt;="&amp;DATE(2026,4,15),'DRAFT 2'!$A:$A,"&lt;="&amp;DATE(2026,4,21))</f>
        <v>0</v>
      </c>
      <c r="ED52">
        <f>COUNTIFS('DRAFT 2'!$D:$D,$B52,'DRAFT 2'!$A:$A,"&gt;="&amp;DATE(2026,4,22),'DRAFT 2'!$A:$A,"&lt;"&amp;DATE(2026,IF(4=12,4+1,4+1),1))</f>
        <v>0</v>
      </c>
      <c r="EE52">
        <f t="shared" si="19"/>
        <v>0</v>
      </c>
      <c r="EO52">
        <f>IFERROR(LOOKUP(2,1/('DRAFT 2'!$D:$D=$B52)*('DRAFT 2'!$A:$A&gt;=DATE(2026,5,1))*('DRAFT 2'!$A:$A&lt;DATE(2026,IF(5=12,5+1,5+1),1)),'DRAFT 2'!$A:$A),"")</f>
        <v>0</v>
      </c>
      <c r="EP52">
        <f>COUNTIFS('DRAFT 2'!$D:$D,$B52,'DRAFT 2'!$A:$A,"&gt;="&amp;DATE(2026,5,1),'DRAFT 2'!$A:$A,"&lt;="&amp;DATE(2026,5,7))</f>
        <v>0</v>
      </c>
      <c r="EQ52">
        <f>COUNTIFS('DRAFT 2'!$D:$D,$B52,'DRAFT 2'!$A:$A,"&gt;="&amp;DATE(2026,5,8),'DRAFT 2'!$A:$A,"&lt;="&amp;DATE(2026,5,14))</f>
        <v>0</v>
      </c>
      <c r="ER52">
        <f>COUNTIFS('DRAFT 2'!$D:$D,$B52,'DRAFT 2'!$A:$A,"&gt;="&amp;DATE(2026,5,15),'DRAFT 2'!$A:$A,"&lt;="&amp;DATE(2026,5,21))</f>
        <v>0</v>
      </c>
      <c r="ES52">
        <f>COUNTIFS('DRAFT 2'!$D:$D,$B52,'DRAFT 2'!$A:$A,"&gt;="&amp;DATE(2026,5,22),'DRAFT 2'!$A:$A,"&lt;"&amp;DATE(2026,IF(5=12,5+1,5+1),1))</f>
        <v>0</v>
      </c>
      <c r="ET52">
        <f t="shared" si="20"/>
        <v>0</v>
      </c>
      <c r="FD52">
        <f>IFERROR(LOOKUP(2,1/('DRAFT 2'!$D:$D=$B52)*('DRAFT 2'!$A:$A&gt;=DATE(2026,6,1))*('DRAFT 2'!$A:$A&lt;DATE(2026,IF(6=12,6+1,6+1),1)),'DRAFT 2'!$A:$A),"")</f>
        <v>0</v>
      </c>
      <c r="FE52">
        <f>COUNTIFS('DRAFT 2'!$D:$D,$B52,'DRAFT 2'!$A:$A,"&gt;="&amp;DATE(2026,6,1),'DRAFT 2'!$A:$A,"&lt;="&amp;DATE(2026,6,7))</f>
        <v>0</v>
      </c>
      <c r="FF52">
        <f>COUNTIFS('DRAFT 2'!$D:$D,$B52,'DRAFT 2'!$A:$A,"&gt;="&amp;DATE(2026,6,8),'DRAFT 2'!$A:$A,"&lt;="&amp;DATE(2026,6,14))</f>
        <v>0</v>
      </c>
      <c r="FG52">
        <f>COUNTIFS('DRAFT 2'!$D:$D,$B52,'DRAFT 2'!$A:$A,"&gt;="&amp;DATE(2026,6,15),'DRAFT 2'!$A:$A,"&lt;="&amp;DATE(2026,6,21))</f>
        <v>0</v>
      </c>
      <c r="FH52">
        <f>COUNTIFS('DRAFT 2'!$D:$D,$B52,'DRAFT 2'!$A:$A,"&gt;="&amp;DATE(2026,6,22),'DRAFT 2'!$A:$A,"&lt;"&amp;DATE(2026,IF(6=12,6+1,6+1),1))</f>
        <v>0</v>
      </c>
      <c r="FI52">
        <f t="shared" si="21"/>
        <v>0</v>
      </c>
      <c r="FT52">
        <f>IFERROR(LOOKUP(2,1/('DRAFT 2'!$D:$D=$B52)*('DRAFT 2'!$A:$A&gt;=DATE(2026,7,1))*('DRAFT 2'!$A:$A&lt;DATE(2026,IF(7=12,7+1,7+1),1)),'DRAFT 2'!$A:$A),"")</f>
        <v>0</v>
      </c>
      <c r="FU52">
        <f>COUNTIFS('DRAFT 2'!$D:$D,$B52,'DRAFT 2'!$A:$A,"&gt;="&amp;DATE(2026,7,1),'DRAFT 2'!$A:$A,"&lt;="&amp;DATE(2026,7,7))</f>
        <v>0</v>
      </c>
      <c r="FV52">
        <f>COUNTIFS('DRAFT 2'!$D:$D,$B52,'DRAFT 2'!$A:$A,"&gt;="&amp;DATE(2026,7,8),'DRAFT 2'!$A:$A,"&lt;="&amp;DATE(2026,7,14))</f>
        <v>0</v>
      </c>
      <c r="FW52">
        <f>COUNTIFS('DRAFT 2'!$D:$D,$B52,'DRAFT 2'!$A:$A,"&gt;="&amp;DATE(2026,7,15),'DRAFT 2'!$A:$A,"&lt;="&amp;DATE(2026,7,21))</f>
        <v>0</v>
      </c>
      <c r="FX52">
        <f>COUNTIFS('DRAFT 2'!$D:$D,$B52,'DRAFT 2'!$A:$A,"&gt;="&amp;DATE(2026,7,22),'DRAFT 2'!$A:$A,"&lt;"&amp;DATE(2026,IF(7=12,7+1,7+1),1))</f>
        <v>0</v>
      </c>
      <c r="FY52">
        <f t="shared" si="22"/>
        <v>0</v>
      </c>
      <c r="GI52">
        <f>IFERROR(LOOKUP(2,1/('DRAFT 2'!$D:$D=$B52)*('DRAFT 2'!$A:$A&gt;=DATE(2026,8,1))*('DRAFT 2'!$A:$A&lt;DATE(2026,IF(8=12,8+1,8+1),1)),'DRAFT 2'!$A:$A),"")</f>
        <v>0</v>
      </c>
      <c r="GJ52">
        <f>COUNTIFS('DRAFT 2'!$D:$D,$B52,'DRAFT 2'!$A:$A,"&gt;="&amp;DATE(2026,8,1),'DRAFT 2'!$A:$A,"&lt;="&amp;DATE(2026,8,7))</f>
        <v>0</v>
      </c>
      <c r="GK52">
        <f>COUNTIFS('DRAFT 2'!$D:$D,$B52,'DRAFT 2'!$A:$A,"&gt;="&amp;DATE(2026,8,8),'DRAFT 2'!$A:$A,"&lt;="&amp;DATE(2026,8,14))</f>
        <v>0</v>
      </c>
      <c r="GL52">
        <f>COUNTIFS('DRAFT 2'!$D:$D,$B52,'DRAFT 2'!$A:$A,"&gt;="&amp;DATE(2026,8,15),'DRAFT 2'!$A:$A,"&lt;="&amp;DATE(2026,8,21))</f>
        <v>0</v>
      </c>
      <c r="GM52">
        <f>COUNTIFS('DRAFT 2'!$D:$D,$B52,'DRAFT 2'!$A:$A,"&gt;="&amp;DATE(2026,8,22),'DRAFT 2'!$A:$A,"&lt;"&amp;DATE(2026,IF(8=12,8+1,8+1),1))</f>
        <v>0</v>
      </c>
      <c r="GN52">
        <f t="shared" si="23"/>
        <v>0</v>
      </c>
      <c r="GX52">
        <f>IFERROR(LOOKUP(2,1/('DRAFT 2'!$D:$D=$B52)*('DRAFT 2'!$A:$A&gt;=DATE(2026,9,1))*('DRAFT 2'!$A:$A&lt;DATE(2026,IF(9=12,9+1,9+1),1)),'DRAFT 2'!$A:$A),"")</f>
        <v>0</v>
      </c>
      <c r="GY52">
        <f>COUNTIFS('DRAFT 2'!$D:$D,$B52,'DRAFT 2'!$A:$A,"&gt;="&amp;DATE(2026,9,1),'DRAFT 2'!$A:$A,"&lt;="&amp;DATE(2026,9,7))</f>
        <v>0</v>
      </c>
      <c r="GZ52">
        <f>COUNTIFS('DRAFT 2'!$D:$D,$B52,'DRAFT 2'!$A:$A,"&gt;="&amp;DATE(2026,9,8),'DRAFT 2'!$A:$A,"&lt;="&amp;DATE(2026,9,14))</f>
        <v>0</v>
      </c>
      <c r="HA52">
        <f>COUNTIFS('DRAFT 2'!$D:$D,$B52,'DRAFT 2'!$A:$A,"&gt;="&amp;DATE(2026,9,15),'DRAFT 2'!$A:$A,"&lt;="&amp;DATE(2026,9,21))</f>
        <v>0</v>
      </c>
      <c r="HB52">
        <f>COUNTIFS('DRAFT 2'!$D:$D,$B52,'DRAFT 2'!$A:$A,"&gt;="&amp;DATE(2026,9,22),'DRAFT 2'!$A:$A,"&lt;"&amp;DATE(2026,IF(9=12,9+1,9+1),1))</f>
        <v>0</v>
      </c>
      <c r="HC52">
        <f t="shared" si="24"/>
        <v>0</v>
      </c>
      <c r="HN52">
        <f>IFERROR(LOOKUP(2,1/('DRAFT 2'!$D:$D=$B52)*('DRAFT 2'!$A:$A&gt;=DATE(2026,10,1))*('DRAFT 2'!$A:$A&lt;DATE(2026,IF(10=12,10+1,10+1),1)),'DRAFT 2'!$A:$A),"")</f>
        <v>0</v>
      </c>
      <c r="HO52">
        <f>COUNTIFS('DRAFT 2'!$D:$D,$B52,'DRAFT 2'!$A:$A,"&gt;="&amp;DATE(2026,10,1),'DRAFT 2'!$A:$A,"&lt;="&amp;DATE(2026,10,7))</f>
        <v>0</v>
      </c>
      <c r="HP52">
        <f>COUNTIFS('DRAFT 2'!$D:$D,$B52,'DRAFT 2'!$A:$A,"&gt;="&amp;DATE(2026,10,8),'DRAFT 2'!$A:$A,"&lt;="&amp;DATE(2026,10,14))</f>
        <v>0</v>
      </c>
      <c r="HQ52">
        <f>COUNTIFS('DRAFT 2'!$D:$D,$B52,'DRAFT 2'!$A:$A,"&gt;="&amp;DATE(2026,10,15),'DRAFT 2'!$A:$A,"&lt;="&amp;DATE(2026,10,21))</f>
        <v>0</v>
      </c>
      <c r="HR52">
        <f>COUNTIFS('DRAFT 2'!$D:$D,$B52,'DRAFT 2'!$A:$A,"&gt;="&amp;DATE(2026,10,22),'DRAFT 2'!$A:$A,"&lt;"&amp;DATE(2026,IF(10=12,10+1,10+1),1))</f>
        <v>0</v>
      </c>
      <c r="HS52">
        <f t="shared" si="25"/>
        <v>0</v>
      </c>
      <c r="IC52">
        <f>IFERROR(LOOKUP(2,1/('DRAFT 2'!$D:$D=$B52)*('DRAFT 2'!$A:$A&gt;=DATE(2026,11,1))*('DRAFT 2'!$A:$A&lt;DATE(2026,IF(11=12,11+1,11+1),1)),'DRAFT 2'!$A:$A),"")</f>
        <v>0</v>
      </c>
      <c r="ID52">
        <f>COUNTIFS('DRAFT 2'!$D:$D,$B52,'DRAFT 2'!$A:$A,"&gt;="&amp;DATE(2026,11,1),'DRAFT 2'!$A:$A,"&lt;="&amp;DATE(2026,11,7))</f>
        <v>0</v>
      </c>
      <c r="IE52">
        <f>COUNTIFS('DRAFT 2'!$D:$D,$B52,'DRAFT 2'!$A:$A,"&gt;="&amp;DATE(2026,11,8),'DRAFT 2'!$A:$A,"&lt;="&amp;DATE(2026,11,14))</f>
        <v>0</v>
      </c>
      <c r="IF52">
        <f>COUNTIFS('DRAFT 2'!$D:$D,$B52,'DRAFT 2'!$A:$A,"&gt;="&amp;DATE(2026,11,15),'DRAFT 2'!$A:$A,"&lt;="&amp;DATE(2026,11,21))</f>
        <v>0</v>
      </c>
      <c r="IG52">
        <f>COUNTIFS('DRAFT 2'!$D:$D,$B52,'DRAFT 2'!$A:$A,"&gt;="&amp;DATE(2026,11,22),'DRAFT 2'!$A:$A,"&lt;"&amp;DATE(2026,IF(11=12,11+1,11+1),1))</f>
        <v>0</v>
      </c>
      <c r="IH52">
        <f t="shared" si="26"/>
        <v>0</v>
      </c>
      <c r="IR52">
        <f>IFERROR(LOOKUP(2,1/('DRAFT 2'!$D:$D=$B52)*('DRAFT 2'!$A:$A&gt;=DATE(2026,12,1))*('DRAFT 2'!$A:$A&lt;DATE(2026,IF(12=12,12+1,12+1),1)),'DRAFT 2'!$A:$A),"")</f>
        <v>0</v>
      </c>
      <c r="IS52">
        <f>COUNTIFS('DRAFT 2'!$D:$D,$B52,'DRAFT 2'!$A:$A,"&gt;="&amp;DATE(2026,12,1),'DRAFT 2'!$A:$A,"&lt;="&amp;DATE(2026,12,7))</f>
        <v>0</v>
      </c>
      <c r="IT52">
        <f>COUNTIFS('DRAFT 2'!$D:$D,$B52,'DRAFT 2'!$A:$A,"&gt;="&amp;DATE(2026,12,8),'DRAFT 2'!$A:$A,"&lt;="&amp;DATE(2026,12,14))</f>
        <v>0</v>
      </c>
      <c r="IU52">
        <f>COUNTIFS('DRAFT 2'!$D:$D,$B52,'DRAFT 2'!$A:$A,"&gt;="&amp;DATE(2026,12,15),'DRAFT 2'!$A:$A,"&lt;="&amp;DATE(2026,12,21))</f>
        <v>0</v>
      </c>
      <c r="IV52">
        <f>COUNTIFS('DRAFT 2'!$D:$D,$B52,'DRAFT 2'!$A:$A,"&gt;="&amp;DATE(2026,12,22),'DRAFT 2'!$A:$A,"&lt;"&amp;DATE(2026,IF(12=12,12+1,12+1),1))</f>
        <v>0</v>
      </c>
      <c r="IW52">
        <f t="shared" si="27"/>
        <v>0</v>
      </c>
    </row>
    <row r="53" spans="1:257" x14ac:dyDescent="0.3">
      <c r="A53" t="str">
        <f>IFERROR(INDEX('DRAFT 1'!$A:$A,MATCH($B53,'DRAFT 1'!$B:$B,0)),"")</f>
        <v/>
      </c>
      <c r="C53" t="str">
        <f>IFERROR(INDEX('DRAFT 1'!$C:$C,MATCH($B53,'DRAFT 1'!$B:$B,0)),"")</f>
        <v/>
      </c>
      <c r="D53" t="str">
        <f>IFERROR(INDEX('DRAFT 1'!$D:$D,MATCH($B53,'DRAFT 1'!$B:$B,0)),"")</f>
        <v/>
      </c>
      <c r="E53" t="str">
        <f>IFERROR(INDEX('DRAFT 1'!$E:$E,MATCH($B53,'DRAFT 1'!$B:$B,0)),"")</f>
        <v/>
      </c>
      <c r="F53" t="str">
        <f>IFERROR(INDEX('DRAFT 1'!$F:$F,MATCH($B53,'DRAFT 1'!$B:$B,0)),"")</f>
        <v/>
      </c>
      <c r="G53" t="str">
        <f>IFERROR(INDEX('DRAFT 1'!$G:$G,MATCH($B53,'DRAFT 1'!$B:$B,0)),"")</f>
        <v/>
      </c>
      <c r="H53" t="str">
        <f>IFERROR(INDEX('DRAFT 1'!$H:$H,MATCH($B53,'DRAFT 1'!$B:$B,0)),"")</f>
        <v/>
      </c>
      <c r="I53" t="s">
        <v>296</v>
      </c>
      <c r="K53" t="str">
        <f>IFERROR(INDEX('DRAFT 1'!$AL:$AL,MATCH($B53,'DRAFT 1'!$B:$B,0)),"")</f>
        <v/>
      </c>
      <c r="L53" t="str">
        <f>IFERROR(INDEX('DRAFT 1'!$J:$J,MATCH($B53,'DRAFT 1'!$B:$B,0)),"")</f>
        <v/>
      </c>
      <c r="M53" t="str">
        <f>IFERROR(INDEX('DRAFT 1'!$K:$K,MATCH($B53,'DRAFT 1'!$B:$B,0)),"")</f>
        <v/>
      </c>
      <c r="N53" t="s">
        <v>77</v>
      </c>
      <c r="P53" t="str">
        <f>IFERROR(INDEX('DRAFT 1'!$L:$L,MATCH($B53,'DRAFT 1'!$B:$B,0)),"")</f>
        <v/>
      </c>
      <c r="Q53" t="str">
        <f>IFERROR(INDEX('DRAFT 1'!$M:$M,MATCH($B53,'DRAFT 1'!$B:$B,0)),"")</f>
        <v/>
      </c>
      <c r="R53" t="str">
        <f>IFERROR(INDEX('DRAFT 1'!$N:$N,MATCH($B53,'DRAFT 1'!$B:$B,0)),"")</f>
        <v/>
      </c>
      <c r="S53" t="str">
        <f>IFERROR(INDEX('DRAFT 1'!$O:$O,MATCH($B53,'DRAFT 1'!$B:$B,0)),"")</f>
        <v/>
      </c>
      <c r="T53" t="str">
        <f>IFERROR(INDEX('DRAFT 1'!$P:$P,MATCH($B53,'DRAFT 1'!$B:$B,0)),"")</f>
        <v/>
      </c>
      <c r="U53" t="str">
        <f>IFERROR(INDEX('DRAFT 1'!$Q:$Q,MATCH($B53,'DRAFT 1'!$B:$B,0)),"")</f>
        <v/>
      </c>
      <c r="V53" t="str">
        <f>IFERROR(INDEX('DRAFT 1'!$R:$R,MATCH($B53,'DRAFT 1'!$B:$B,0)),"")</f>
        <v/>
      </c>
      <c r="W53" t="str">
        <f>IFERROR(INDEX('DRAFT 1'!$S:$S,MATCH($B53,'DRAFT 1'!$B:$B,0)),"")</f>
        <v/>
      </c>
      <c r="X53" t="str">
        <f>IFERROR(INDEX('DRAFT 1'!$T:$T,MATCH($B53,'DRAFT 1'!$B:$B,0)),"")</f>
        <v/>
      </c>
      <c r="Z53" t="str">
        <f>IFERROR(INDEX('DRAFT 1'!$U:$U,MATCH($B53,'DRAFT 1'!$B:$B,0)),"")</f>
        <v/>
      </c>
      <c r="AA53" t="str">
        <f>IFERROR(INDEX('DRAFT 1'!$V:$V,MATCH($B53,'DRAFT 1'!$B:$B,0)),"")</f>
        <v/>
      </c>
      <c r="AB53" t="str">
        <f>IFERROR(INDEX('DRAFT 1'!$W:$W,MATCH($B53,'DRAFT 1'!$B:$B,0)),"")</f>
        <v/>
      </c>
      <c r="AC53" t="str">
        <f>IFERROR(INDEX('DRAFT 1'!$X:$X,MATCH($B53,'DRAFT 1'!$B:$B,0)),"")</f>
        <v/>
      </c>
      <c r="AD53" t="str">
        <f>IFERROR(INDEX('DRAFT 1'!$Y:$Y,MATCH($B53,'DRAFT 1'!$B:$B,0)),"")</f>
        <v/>
      </c>
      <c r="AE53" t="str">
        <f>IFERROR(INDEX('DRAFT 1'!$Z:$Z,MATCH($B53,'DRAFT 1'!$B:$B,0)),"")</f>
        <v/>
      </c>
      <c r="AF53" t="str">
        <f>IFERROR(INDEX('DRAFT 1'!$AA:$AA,MATCH($B53,'DRAFT 1'!$B:$B,0)),"")</f>
        <v/>
      </c>
      <c r="AG53" t="str">
        <f>IFERROR(INDEX('DRAFT 1'!$AB:$AB,MATCH($B53,'DRAFT 1'!$B:$B,0)),"")</f>
        <v/>
      </c>
      <c r="AH53" t="str">
        <f>IFERROR(INDEX('DRAFT 1'!$AC:$AC,MATCH($B53,'DRAFT 1'!$B:$B,0)),"")</f>
        <v/>
      </c>
      <c r="AI53" t="str">
        <f>IFERROR(INDEX('DRAFT 1'!$AD:$AD,MATCH($B53,'DRAFT 1'!$B:$B,0)),"")</f>
        <v/>
      </c>
      <c r="AJ53" t="str">
        <f>IFERROR(INDEX('DRAFT 1'!$AE:$AE,MATCH($B53,'DRAFT 1'!$B:$B,0)),"")</f>
        <v/>
      </c>
      <c r="AK53" t="str">
        <f>IFERROR(INDEX('DRAFT 1'!$AG:$AG,MATCH($B53,'DRAFT 1'!$B:$B,0)),"")</f>
        <v/>
      </c>
      <c r="AL53" t="str">
        <f>IFERROR(INDEX('DRAFT 1'!$AH:$AH,MATCH($B53,'DRAFT 1'!$B:$B,0)),"")</f>
        <v/>
      </c>
      <c r="AM53" t="str">
        <f>IFERROR(INDEX('DRAFT 1'!$AI:$AI,MATCH($B53,'DRAFT 1'!$B:$B,0)),"")</f>
        <v/>
      </c>
      <c r="AN53" t="str">
        <f>IFERROR(INDEX('DRAFT 1'!$AJ:$AJ,MATCH($B53,'DRAFT 1'!$B:$B,0)),"")</f>
        <v/>
      </c>
      <c r="AO53">
        <f t="shared" si="14"/>
        <v>0</v>
      </c>
      <c r="AP53" t="str">
        <f>IFERROR(INDEX('DRAFT 1'!$AK:$AK,MATCH($B53,'DRAFT 1'!$B:$B,0)),"")</f>
        <v/>
      </c>
      <c r="AR53" t="s">
        <v>65</v>
      </c>
      <c r="AS53">
        <f>IFERROR(LOOKUP(2,1/('DRAFT 2'!$D:$D=$B53),'DRAFT 2'!$T:$T),"")</f>
        <v>0</v>
      </c>
      <c r="AT53">
        <f>IFERROR(LOOKUP(2,1/('DRAFT 2'!$D:$D=$B53),'DRAFT 2'!$A:$A),"")</f>
        <v>0</v>
      </c>
      <c r="AU53">
        <f>IFERROR(LOOKUP(2,1/('DRAFT 2'!$D:$D=$B53),'DRAFT 2'!$R:$R),"")</f>
        <v>0</v>
      </c>
      <c r="AV53">
        <f>IFERROR(LOOKUP(2,1/('DRAFT 2'!$D:$D=$B53),'DRAFT 2'!$S:$S),"")</f>
        <v>0</v>
      </c>
      <c r="AW53" t="s">
        <v>128</v>
      </c>
      <c r="AX53">
        <f>IFERROR(LOOKUP(2,1/('DRAFT 2'!$D:$D=$B53),'DRAFT 2'!$M:$M),"")</f>
        <v>0</v>
      </c>
      <c r="AY53">
        <f>IFERROR(LOOKUP(2,1/('DRAFT 2'!$D:$D=$B53),'DRAFT 2'!$K:$K),"")</f>
        <v>0</v>
      </c>
      <c r="BG53">
        <f>IFERROR(LOOKUP(2,1/('DRAFT 2'!$D:$D=$B53),'DRAFT 2'!$U:$U),"")</f>
        <v>0</v>
      </c>
      <c r="BH53">
        <f>IFERROR(LOOKUP(2,1/('DRAFT 2'!$D:$D=$B53),'DRAFT 2'!$V:$V),"")</f>
        <v>0</v>
      </c>
      <c r="CE53" t="str">
        <f t="shared" si="15"/>
        <v/>
      </c>
      <c r="CF53">
        <f>IFERROR(LOOKUP(2,1/('DRAFT 2'!$D:$D=$B53)*('DRAFT 2'!$A:$A&gt;=DATE(2026,1,1))*('DRAFT 2'!$A:$A&lt;DATE(2026,IF(1=12,1+1,1+1),1)),'DRAFT 2'!$A:$A),"")</f>
        <v>0</v>
      </c>
      <c r="CG53">
        <f>COUNTIFS('DRAFT 2'!$D:$D,$B53,'DRAFT 2'!$A:$A,"&gt;="&amp;DATE(2026,1,1),'DRAFT 2'!$A:$A,"&lt;="&amp;DATE(2026,1,7))</f>
        <v>0</v>
      </c>
      <c r="CH53">
        <f>COUNTIFS('DRAFT 2'!$D:$D,$B53,'DRAFT 2'!$A:$A,"&gt;="&amp;DATE(2026,1,8),'DRAFT 2'!$A:$A,"&lt;="&amp;DATE(2026,1,14))</f>
        <v>0</v>
      </c>
      <c r="CI53">
        <f>COUNTIFS('DRAFT 2'!$D:$D,$B53,'DRAFT 2'!$A:$A,"&gt;="&amp;DATE(2026,1,15),'DRAFT 2'!$A:$A,"&lt;="&amp;DATE(2026,1,21))</f>
        <v>0</v>
      </c>
      <c r="CJ53">
        <f>COUNTIFS('DRAFT 2'!$D:$D,$B53,'DRAFT 2'!$A:$A,"&gt;="&amp;DATE(2026,1,22),'DRAFT 2'!$A:$A,"&lt;"&amp;DATE(2026,IF(1=12,1+1,1+1),1))</f>
        <v>0</v>
      </c>
      <c r="CK53">
        <f t="shared" si="16"/>
        <v>0</v>
      </c>
      <c r="CT53">
        <v>0</v>
      </c>
      <c r="CU53">
        <f>IFERROR(LOOKUP(2,1/('DRAFT 2'!$D:$D=$B53)*('DRAFT 2'!$A:$A&gt;=DATE(2026,2,1))*('DRAFT 2'!$A:$A&lt;DATE(2026,IF(2=12,2+1,2+1),1)),'DRAFT 2'!$A:$A),"")</f>
        <v>0</v>
      </c>
      <c r="CV53">
        <f>COUNTIFS('DRAFT 2'!$D:$D,$B53,'DRAFT 2'!$A:$A,"&gt;="&amp;DATE(2026,2,1),'DRAFT 2'!$A:$A,"&lt;="&amp;DATE(2026,2,7))</f>
        <v>0</v>
      </c>
      <c r="CW53">
        <f>COUNTIFS('DRAFT 2'!$D:$D,$B53,'DRAFT 2'!$A:$A,"&gt;="&amp;DATE(2026,2,8),'DRAFT 2'!$A:$A,"&lt;="&amp;DATE(2026,2,14))</f>
        <v>0</v>
      </c>
      <c r="CX53">
        <f>COUNTIFS('DRAFT 2'!$D:$D,$B53,'DRAFT 2'!$A:$A,"&gt;="&amp;DATE(2026,2,15),'DRAFT 2'!$A:$A,"&lt;="&amp;DATE(2026,2,21))</f>
        <v>0</v>
      </c>
      <c r="CY53">
        <f>COUNTIFS('DRAFT 2'!$D:$D,$B53,'DRAFT 2'!$A:$A,"&gt;="&amp;DATE(2026,2,22),'DRAFT 2'!$A:$A,"&lt;"&amp;DATE(2026,IF(2=12,2+1,2+1),1))</f>
        <v>0</v>
      </c>
      <c r="CZ53">
        <f t="shared" si="17"/>
        <v>0</v>
      </c>
      <c r="DJ53">
        <f>IFERROR(LOOKUP(2,1/('DRAFT 2'!$D:$D=$B53)*('DRAFT 2'!$A:$A&gt;=DATE(2026,3,1))*('DRAFT 2'!$A:$A&lt;DATE(2026,IF(3=12,3+1,3+1),1)),'DRAFT 2'!$A:$A),"")</f>
        <v>0</v>
      </c>
      <c r="DK53">
        <f>COUNTIFS('DRAFT 2'!$D:$D,$B53,'DRAFT 2'!$A:$A,"&gt;="&amp;DATE(2026,3,1),'DRAFT 2'!$A:$A,"&lt;="&amp;DATE(2026,3,7))</f>
        <v>0</v>
      </c>
      <c r="DL53">
        <f>COUNTIFS('DRAFT 2'!$D:$D,$B53,'DRAFT 2'!$A:$A,"&gt;="&amp;DATE(2026,3,8),'DRAFT 2'!$A:$A,"&lt;="&amp;DATE(2026,3,14))</f>
        <v>0</v>
      </c>
      <c r="DM53">
        <f>COUNTIFS('DRAFT 2'!$D:$D,$B53,'DRAFT 2'!$A:$A,"&gt;="&amp;DATE(2026,3,15),'DRAFT 2'!$A:$A,"&lt;="&amp;DATE(2026,3,21))</f>
        <v>0</v>
      </c>
      <c r="DN53">
        <f>COUNTIFS('DRAFT 2'!$D:$D,$B53,'DRAFT 2'!$A:$A,"&gt;="&amp;DATE(2026,3,22),'DRAFT 2'!$A:$A,"&lt;"&amp;DATE(2026,IF(3=12,3+1,3+1),1))</f>
        <v>0</v>
      </c>
      <c r="DO53">
        <f t="shared" si="18"/>
        <v>0</v>
      </c>
      <c r="DZ53">
        <f>IFERROR(LOOKUP(2,1/('DRAFT 2'!$D:$D=$B53)*('DRAFT 2'!$A:$A&gt;=DATE(2026,4,1))*('DRAFT 2'!$A:$A&lt;DATE(2026,IF(4=12,4+1,4+1),1)),'DRAFT 2'!$A:$A),"")</f>
        <v>0</v>
      </c>
      <c r="EA53">
        <f>COUNTIFS('DRAFT 2'!$D:$D,$B53,'DRAFT 2'!$A:$A,"&gt;="&amp;DATE(2026,4,1),'DRAFT 2'!$A:$A,"&lt;="&amp;DATE(2026,4,7))</f>
        <v>0</v>
      </c>
      <c r="EB53">
        <f>COUNTIFS('DRAFT 2'!$D:$D,$B53,'DRAFT 2'!$A:$A,"&gt;="&amp;DATE(2026,4,8),'DRAFT 2'!$A:$A,"&lt;="&amp;DATE(2026,4,14))</f>
        <v>0</v>
      </c>
      <c r="EC53">
        <f>COUNTIFS('DRAFT 2'!$D:$D,$B53,'DRAFT 2'!$A:$A,"&gt;="&amp;DATE(2026,4,15),'DRAFT 2'!$A:$A,"&lt;="&amp;DATE(2026,4,21))</f>
        <v>0</v>
      </c>
      <c r="ED53">
        <f>COUNTIFS('DRAFT 2'!$D:$D,$B53,'DRAFT 2'!$A:$A,"&gt;="&amp;DATE(2026,4,22),'DRAFT 2'!$A:$A,"&lt;"&amp;DATE(2026,IF(4=12,4+1,4+1),1))</f>
        <v>0</v>
      </c>
      <c r="EE53">
        <f t="shared" si="19"/>
        <v>0</v>
      </c>
      <c r="EO53">
        <f>IFERROR(LOOKUP(2,1/('DRAFT 2'!$D:$D=$B53)*('DRAFT 2'!$A:$A&gt;=DATE(2026,5,1))*('DRAFT 2'!$A:$A&lt;DATE(2026,IF(5=12,5+1,5+1),1)),'DRAFT 2'!$A:$A),"")</f>
        <v>0</v>
      </c>
      <c r="EP53">
        <f>COUNTIFS('DRAFT 2'!$D:$D,$B53,'DRAFT 2'!$A:$A,"&gt;="&amp;DATE(2026,5,1),'DRAFT 2'!$A:$A,"&lt;="&amp;DATE(2026,5,7))</f>
        <v>0</v>
      </c>
      <c r="EQ53">
        <f>COUNTIFS('DRAFT 2'!$D:$D,$B53,'DRAFT 2'!$A:$A,"&gt;="&amp;DATE(2026,5,8),'DRAFT 2'!$A:$A,"&lt;="&amp;DATE(2026,5,14))</f>
        <v>0</v>
      </c>
      <c r="ER53">
        <f>COUNTIFS('DRAFT 2'!$D:$D,$B53,'DRAFT 2'!$A:$A,"&gt;="&amp;DATE(2026,5,15),'DRAFT 2'!$A:$A,"&lt;="&amp;DATE(2026,5,21))</f>
        <v>0</v>
      </c>
      <c r="ES53">
        <f>COUNTIFS('DRAFT 2'!$D:$D,$B53,'DRAFT 2'!$A:$A,"&gt;="&amp;DATE(2026,5,22),'DRAFT 2'!$A:$A,"&lt;"&amp;DATE(2026,IF(5=12,5+1,5+1),1))</f>
        <v>0</v>
      </c>
      <c r="ET53">
        <f t="shared" si="20"/>
        <v>0</v>
      </c>
      <c r="FD53">
        <f>IFERROR(LOOKUP(2,1/('DRAFT 2'!$D:$D=$B53)*('DRAFT 2'!$A:$A&gt;=DATE(2026,6,1))*('DRAFT 2'!$A:$A&lt;DATE(2026,IF(6=12,6+1,6+1),1)),'DRAFT 2'!$A:$A),"")</f>
        <v>0</v>
      </c>
      <c r="FE53">
        <f>COUNTIFS('DRAFT 2'!$D:$D,$B53,'DRAFT 2'!$A:$A,"&gt;="&amp;DATE(2026,6,1),'DRAFT 2'!$A:$A,"&lt;="&amp;DATE(2026,6,7))</f>
        <v>0</v>
      </c>
      <c r="FF53">
        <f>COUNTIFS('DRAFT 2'!$D:$D,$B53,'DRAFT 2'!$A:$A,"&gt;="&amp;DATE(2026,6,8),'DRAFT 2'!$A:$A,"&lt;="&amp;DATE(2026,6,14))</f>
        <v>0</v>
      </c>
      <c r="FG53">
        <f>COUNTIFS('DRAFT 2'!$D:$D,$B53,'DRAFT 2'!$A:$A,"&gt;="&amp;DATE(2026,6,15),'DRAFT 2'!$A:$A,"&lt;="&amp;DATE(2026,6,21))</f>
        <v>0</v>
      </c>
      <c r="FH53">
        <f>COUNTIFS('DRAFT 2'!$D:$D,$B53,'DRAFT 2'!$A:$A,"&gt;="&amp;DATE(2026,6,22),'DRAFT 2'!$A:$A,"&lt;"&amp;DATE(2026,IF(6=12,6+1,6+1),1))</f>
        <v>0</v>
      </c>
      <c r="FI53">
        <f t="shared" si="21"/>
        <v>0</v>
      </c>
      <c r="FT53">
        <f>IFERROR(LOOKUP(2,1/('DRAFT 2'!$D:$D=$B53)*('DRAFT 2'!$A:$A&gt;=DATE(2026,7,1))*('DRAFT 2'!$A:$A&lt;DATE(2026,IF(7=12,7+1,7+1),1)),'DRAFT 2'!$A:$A),"")</f>
        <v>0</v>
      </c>
      <c r="FU53">
        <f>COUNTIFS('DRAFT 2'!$D:$D,$B53,'DRAFT 2'!$A:$A,"&gt;="&amp;DATE(2026,7,1),'DRAFT 2'!$A:$A,"&lt;="&amp;DATE(2026,7,7))</f>
        <v>0</v>
      </c>
      <c r="FV53">
        <f>COUNTIFS('DRAFT 2'!$D:$D,$B53,'DRAFT 2'!$A:$A,"&gt;="&amp;DATE(2026,7,8),'DRAFT 2'!$A:$A,"&lt;="&amp;DATE(2026,7,14))</f>
        <v>0</v>
      </c>
      <c r="FW53">
        <f>COUNTIFS('DRAFT 2'!$D:$D,$B53,'DRAFT 2'!$A:$A,"&gt;="&amp;DATE(2026,7,15),'DRAFT 2'!$A:$A,"&lt;="&amp;DATE(2026,7,21))</f>
        <v>0</v>
      </c>
      <c r="FX53">
        <f>COUNTIFS('DRAFT 2'!$D:$D,$B53,'DRAFT 2'!$A:$A,"&gt;="&amp;DATE(2026,7,22),'DRAFT 2'!$A:$A,"&lt;"&amp;DATE(2026,IF(7=12,7+1,7+1),1))</f>
        <v>0</v>
      </c>
      <c r="FY53">
        <f t="shared" si="22"/>
        <v>0</v>
      </c>
      <c r="GI53">
        <f>IFERROR(LOOKUP(2,1/('DRAFT 2'!$D:$D=$B53)*('DRAFT 2'!$A:$A&gt;=DATE(2026,8,1))*('DRAFT 2'!$A:$A&lt;DATE(2026,IF(8=12,8+1,8+1),1)),'DRAFT 2'!$A:$A),"")</f>
        <v>0</v>
      </c>
      <c r="GJ53">
        <f>COUNTIFS('DRAFT 2'!$D:$D,$B53,'DRAFT 2'!$A:$A,"&gt;="&amp;DATE(2026,8,1),'DRAFT 2'!$A:$A,"&lt;="&amp;DATE(2026,8,7))</f>
        <v>0</v>
      </c>
      <c r="GK53">
        <f>COUNTIFS('DRAFT 2'!$D:$D,$B53,'DRAFT 2'!$A:$A,"&gt;="&amp;DATE(2026,8,8),'DRAFT 2'!$A:$A,"&lt;="&amp;DATE(2026,8,14))</f>
        <v>0</v>
      </c>
      <c r="GL53">
        <f>COUNTIFS('DRAFT 2'!$D:$D,$B53,'DRAFT 2'!$A:$A,"&gt;="&amp;DATE(2026,8,15),'DRAFT 2'!$A:$A,"&lt;="&amp;DATE(2026,8,21))</f>
        <v>0</v>
      </c>
      <c r="GM53">
        <f>COUNTIFS('DRAFT 2'!$D:$D,$B53,'DRAFT 2'!$A:$A,"&gt;="&amp;DATE(2026,8,22),'DRAFT 2'!$A:$A,"&lt;"&amp;DATE(2026,IF(8=12,8+1,8+1),1))</f>
        <v>0</v>
      </c>
      <c r="GN53">
        <f t="shared" si="23"/>
        <v>0</v>
      </c>
      <c r="GX53">
        <f>IFERROR(LOOKUP(2,1/('DRAFT 2'!$D:$D=$B53)*('DRAFT 2'!$A:$A&gt;=DATE(2026,9,1))*('DRAFT 2'!$A:$A&lt;DATE(2026,IF(9=12,9+1,9+1),1)),'DRAFT 2'!$A:$A),"")</f>
        <v>0</v>
      </c>
      <c r="GY53">
        <f>COUNTIFS('DRAFT 2'!$D:$D,$B53,'DRAFT 2'!$A:$A,"&gt;="&amp;DATE(2026,9,1),'DRAFT 2'!$A:$A,"&lt;="&amp;DATE(2026,9,7))</f>
        <v>0</v>
      </c>
      <c r="GZ53">
        <f>COUNTIFS('DRAFT 2'!$D:$D,$B53,'DRAFT 2'!$A:$A,"&gt;="&amp;DATE(2026,9,8),'DRAFT 2'!$A:$A,"&lt;="&amp;DATE(2026,9,14))</f>
        <v>0</v>
      </c>
      <c r="HA53">
        <f>COUNTIFS('DRAFT 2'!$D:$D,$B53,'DRAFT 2'!$A:$A,"&gt;="&amp;DATE(2026,9,15),'DRAFT 2'!$A:$A,"&lt;="&amp;DATE(2026,9,21))</f>
        <v>0</v>
      </c>
      <c r="HB53">
        <f>COUNTIFS('DRAFT 2'!$D:$D,$B53,'DRAFT 2'!$A:$A,"&gt;="&amp;DATE(2026,9,22),'DRAFT 2'!$A:$A,"&lt;"&amp;DATE(2026,IF(9=12,9+1,9+1),1))</f>
        <v>0</v>
      </c>
      <c r="HC53">
        <f t="shared" si="24"/>
        <v>0</v>
      </c>
      <c r="HN53">
        <f>IFERROR(LOOKUP(2,1/('DRAFT 2'!$D:$D=$B53)*('DRAFT 2'!$A:$A&gt;=DATE(2026,10,1))*('DRAFT 2'!$A:$A&lt;DATE(2026,IF(10=12,10+1,10+1),1)),'DRAFT 2'!$A:$A),"")</f>
        <v>0</v>
      </c>
      <c r="HO53">
        <f>COUNTIFS('DRAFT 2'!$D:$D,$B53,'DRAFT 2'!$A:$A,"&gt;="&amp;DATE(2026,10,1),'DRAFT 2'!$A:$A,"&lt;="&amp;DATE(2026,10,7))</f>
        <v>0</v>
      </c>
      <c r="HP53">
        <f>COUNTIFS('DRAFT 2'!$D:$D,$B53,'DRAFT 2'!$A:$A,"&gt;="&amp;DATE(2026,10,8),'DRAFT 2'!$A:$A,"&lt;="&amp;DATE(2026,10,14))</f>
        <v>0</v>
      </c>
      <c r="HQ53">
        <f>COUNTIFS('DRAFT 2'!$D:$D,$B53,'DRAFT 2'!$A:$A,"&gt;="&amp;DATE(2026,10,15),'DRAFT 2'!$A:$A,"&lt;="&amp;DATE(2026,10,21))</f>
        <v>0</v>
      </c>
      <c r="HR53">
        <f>COUNTIFS('DRAFT 2'!$D:$D,$B53,'DRAFT 2'!$A:$A,"&gt;="&amp;DATE(2026,10,22),'DRAFT 2'!$A:$A,"&lt;"&amp;DATE(2026,IF(10=12,10+1,10+1),1))</f>
        <v>0</v>
      </c>
      <c r="HS53">
        <f t="shared" si="25"/>
        <v>0</v>
      </c>
      <c r="IC53">
        <f>IFERROR(LOOKUP(2,1/('DRAFT 2'!$D:$D=$B53)*('DRAFT 2'!$A:$A&gt;=DATE(2026,11,1))*('DRAFT 2'!$A:$A&lt;DATE(2026,IF(11=12,11+1,11+1),1)),'DRAFT 2'!$A:$A),"")</f>
        <v>0</v>
      </c>
      <c r="ID53">
        <f>COUNTIFS('DRAFT 2'!$D:$D,$B53,'DRAFT 2'!$A:$A,"&gt;="&amp;DATE(2026,11,1),'DRAFT 2'!$A:$A,"&lt;="&amp;DATE(2026,11,7))</f>
        <v>0</v>
      </c>
      <c r="IE53">
        <f>COUNTIFS('DRAFT 2'!$D:$D,$B53,'DRAFT 2'!$A:$A,"&gt;="&amp;DATE(2026,11,8),'DRAFT 2'!$A:$A,"&lt;="&amp;DATE(2026,11,14))</f>
        <v>0</v>
      </c>
      <c r="IF53">
        <f>COUNTIFS('DRAFT 2'!$D:$D,$B53,'DRAFT 2'!$A:$A,"&gt;="&amp;DATE(2026,11,15),'DRAFT 2'!$A:$A,"&lt;="&amp;DATE(2026,11,21))</f>
        <v>0</v>
      </c>
      <c r="IG53">
        <f>COUNTIFS('DRAFT 2'!$D:$D,$B53,'DRAFT 2'!$A:$A,"&gt;="&amp;DATE(2026,11,22),'DRAFT 2'!$A:$A,"&lt;"&amp;DATE(2026,IF(11=12,11+1,11+1),1))</f>
        <v>0</v>
      </c>
      <c r="IH53">
        <f t="shared" si="26"/>
        <v>0</v>
      </c>
      <c r="IR53">
        <f>IFERROR(LOOKUP(2,1/('DRAFT 2'!$D:$D=$B53)*('DRAFT 2'!$A:$A&gt;=DATE(2026,12,1))*('DRAFT 2'!$A:$A&lt;DATE(2026,IF(12=12,12+1,12+1),1)),'DRAFT 2'!$A:$A),"")</f>
        <v>0</v>
      </c>
      <c r="IS53">
        <f>COUNTIFS('DRAFT 2'!$D:$D,$B53,'DRAFT 2'!$A:$A,"&gt;="&amp;DATE(2026,12,1),'DRAFT 2'!$A:$A,"&lt;="&amp;DATE(2026,12,7))</f>
        <v>0</v>
      </c>
      <c r="IT53">
        <f>COUNTIFS('DRAFT 2'!$D:$D,$B53,'DRAFT 2'!$A:$A,"&gt;="&amp;DATE(2026,12,8),'DRAFT 2'!$A:$A,"&lt;="&amp;DATE(2026,12,14))</f>
        <v>0</v>
      </c>
      <c r="IU53">
        <f>COUNTIFS('DRAFT 2'!$D:$D,$B53,'DRAFT 2'!$A:$A,"&gt;="&amp;DATE(2026,12,15),'DRAFT 2'!$A:$A,"&lt;="&amp;DATE(2026,12,21))</f>
        <v>0</v>
      </c>
      <c r="IV53">
        <f>COUNTIFS('DRAFT 2'!$D:$D,$B53,'DRAFT 2'!$A:$A,"&gt;="&amp;DATE(2026,12,22),'DRAFT 2'!$A:$A,"&lt;"&amp;DATE(2026,IF(12=12,12+1,12+1),1))</f>
        <v>0</v>
      </c>
      <c r="IW53">
        <f t="shared" si="27"/>
        <v>0</v>
      </c>
    </row>
    <row r="54" spans="1:257" x14ac:dyDescent="0.3">
      <c r="A54" t="str">
        <f>IFERROR(INDEX('DRAFT 1'!$A:$A,MATCH($B54,'DRAFT 1'!$B:$B,0)),"")</f>
        <v/>
      </c>
      <c r="C54" t="str">
        <f>IFERROR(INDEX('DRAFT 1'!$C:$C,MATCH($B54,'DRAFT 1'!$B:$B,0)),"")</f>
        <v/>
      </c>
      <c r="D54" t="str">
        <f>IFERROR(INDEX('DRAFT 1'!$D:$D,MATCH($B54,'DRAFT 1'!$B:$B,0)),"")</f>
        <v/>
      </c>
      <c r="E54" t="str">
        <f>IFERROR(INDEX('DRAFT 1'!$E:$E,MATCH($B54,'DRAFT 1'!$B:$B,0)),"")</f>
        <v/>
      </c>
      <c r="F54" t="str">
        <f>IFERROR(INDEX('DRAFT 1'!$F:$F,MATCH($B54,'DRAFT 1'!$B:$B,0)),"")</f>
        <v/>
      </c>
      <c r="G54" t="str">
        <f>IFERROR(INDEX('DRAFT 1'!$G:$G,MATCH($B54,'DRAFT 1'!$B:$B,0)),"")</f>
        <v/>
      </c>
      <c r="H54" t="str">
        <f>IFERROR(INDEX('DRAFT 1'!$H:$H,MATCH($B54,'DRAFT 1'!$B:$B,0)),"")</f>
        <v/>
      </c>
      <c r="I54" t="s">
        <v>289</v>
      </c>
      <c r="K54" t="str">
        <f>IFERROR(INDEX('DRAFT 1'!$AL:$AL,MATCH($B54,'DRAFT 1'!$B:$B,0)),"")</f>
        <v/>
      </c>
      <c r="L54" t="str">
        <f>IFERROR(INDEX('DRAFT 1'!$J:$J,MATCH($B54,'DRAFT 1'!$B:$B,0)),"")</f>
        <v/>
      </c>
      <c r="M54" t="str">
        <f>IFERROR(INDEX('DRAFT 1'!$K:$K,MATCH($B54,'DRAFT 1'!$B:$B,0)),"")</f>
        <v/>
      </c>
      <c r="N54" t="s">
        <v>71</v>
      </c>
      <c r="P54" t="str">
        <f>IFERROR(INDEX('DRAFT 1'!$L:$L,MATCH($B54,'DRAFT 1'!$B:$B,0)),"")</f>
        <v/>
      </c>
      <c r="Q54" t="str">
        <f>IFERROR(INDEX('DRAFT 1'!$M:$M,MATCH($B54,'DRAFT 1'!$B:$B,0)),"")</f>
        <v/>
      </c>
      <c r="R54" t="str">
        <f>IFERROR(INDEX('DRAFT 1'!$N:$N,MATCH($B54,'DRAFT 1'!$B:$B,0)),"")</f>
        <v/>
      </c>
      <c r="S54" t="str">
        <f>IFERROR(INDEX('DRAFT 1'!$O:$O,MATCH($B54,'DRAFT 1'!$B:$B,0)),"")</f>
        <v/>
      </c>
      <c r="T54" t="str">
        <f>IFERROR(INDEX('DRAFT 1'!$P:$P,MATCH($B54,'DRAFT 1'!$B:$B,0)),"")</f>
        <v/>
      </c>
      <c r="U54" t="str">
        <f>IFERROR(INDEX('DRAFT 1'!$Q:$Q,MATCH($B54,'DRAFT 1'!$B:$B,0)),"")</f>
        <v/>
      </c>
      <c r="V54" t="str">
        <f>IFERROR(INDEX('DRAFT 1'!$R:$R,MATCH($B54,'DRAFT 1'!$B:$B,0)),"")</f>
        <v/>
      </c>
      <c r="W54" t="str">
        <f>IFERROR(INDEX('DRAFT 1'!$S:$S,MATCH($B54,'DRAFT 1'!$B:$B,0)),"")</f>
        <v/>
      </c>
      <c r="X54" t="str">
        <f>IFERROR(INDEX('DRAFT 1'!$T:$T,MATCH($B54,'DRAFT 1'!$B:$B,0)),"")</f>
        <v/>
      </c>
      <c r="Z54" t="str">
        <f>IFERROR(INDEX('DRAFT 1'!$U:$U,MATCH($B54,'DRAFT 1'!$B:$B,0)),"")</f>
        <v/>
      </c>
      <c r="AA54" t="str">
        <f>IFERROR(INDEX('DRAFT 1'!$V:$V,MATCH($B54,'DRAFT 1'!$B:$B,0)),"")</f>
        <v/>
      </c>
      <c r="AB54" t="str">
        <f>IFERROR(INDEX('DRAFT 1'!$W:$W,MATCH($B54,'DRAFT 1'!$B:$B,0)),"")</f>
        <v/>
      </c>
      <c r="AC54" t="str">
        <f>IFERROR(INDEX('DRAFT 1'!$X:$X,MATCH($B54,'DRAFT 1'!$B:$B,0)),"")</f>
        <v/>
      </c>
      <c r="AD54" t="str">
        <f>IFERROR(INDEX('DRAFT 1'!$Y:$Y,MATCH($B54,'DRAFT 1'!$B:$B,0)),"")</f>
        <v/>
      </c>
      <c r="AE54" t="str">
        <f>IFERROR(INDEX('DRAFT 1'!$Z:$Z,MATCH($B54,'DRAFT 1'!$B:$B,0)),"")</f>
        <v/>
      </c>
      <c r="AF54" t="str">
        <f>IFERROR(INDEX('DRAFT 1'!$AA:$AA,MATCH($B54,'DRAFT 1'!$B:$B,0)),"")</f>
        <v/>
      </c>
      <c r="AG54" t="str">
        <f>IFERROR(INDEX('DRAFT 1'!$AB:$AB,MATCH($B54,'DRAFT 1'!$B:$B,0)),"")</f>
        <v/>
      </c>
      <c r="AH54" t="str">
        <f>IFERROR(INDEX('DRAFT 1'!$AC:$AC,MATCH($B54,'DRAFT 1'!$B:$B,0)),"")</f>
        <v/>
      </c>
      <c r="AI54" t="str">
        <f>IFERROR(INDEX('DRAFT 1'!$AD:$AD,MATCH($B54,'DRAFT 1'!$B:$B,0)),"")</f>
        <v/>
      </c>
      <c r="AJ54" t="str">
        <f>IFERROR(INDEX('DRAFT 1'!$AE:$AE,MATCH($B54,'DRAFT 1'!$B:$B,0)),"")</f>
        <v/>
      </c>
      <c r="AK54" t="str">
        <f>IFERROR(INDEX('DRAFT 1'!$AG:$AG,MATCH($B54,'DRAFT 1'!$B:$B,0)),"")</f>
        <v/>
      </c>
      <c r="AL54" t="str">
        <f>IFERROR(INDEX('DRAFT 1'!$AH:$AH,MATCH($B54,'DRAFT 1'!$B:$B,0)),"")</f>
        <v/>
      </c>
      <c r="AM54" t="str">
        <f>IFERROR(INDEX('DRAFT 1'!$AI:$AI,MATCH($B54,'DRAFT 1'!$B:$B,0)),"")</f>
        <v/>
      </c>
      <c r="AN54" t="str">
        <f>IFERROR(INDEX('DRAFT 1'!$AJ:$AJ,MATCH($B54,'DRAFT 1'!$B:$B,0)),"")</f>
        <v/>
      </c>
      <c r="AO54">
        <f t="shared" si="14"/>
        <v>0</v>
      </c>
      <c r="AP54" t="str">
        <f>IFERROR(INDEX('DRAFT 1'!$AK:$AK,MATCH($B54,'DRAFT 1'!$B:$B,0)),"")</f>
        <v/>
      </c>
      <c r="AR54" t="s">
        <v>93</v>
      </c>
      <c r="AS54">
        <f>IFERROR(LOOKUP(2,1/('DRAFT 2'!$D:$D=$B54),'DRAFT 2'!$T:$T),"")</f>
        <v>0</v>
      </c>
      <c r="AT54">
        <f>IFERROR(LOOKUP(2,1/('DRAFT 2'!$D:$D=$B54),'DRAFT 2'!$A:$A),"")</f>
        <v>0</v>
      </c>
      <c r="AU54">
        <f>IFERROR(LOOKUP(2,1/('DRAFT 2'!$D:$D=$B54),'DRAFT 2'!$R:$R),"")</f>
        <v>0</v>
      </c>
      <c r="AV54">
        <f>IFERROR(LOOKUP(2,1/('DRAFT 2'!$D:$D=$B54),'DRAFT 2'!$S:$S),"")</f>
        <v>0</v>
      </c>
      <c r="AW54" t="s">
        <v>126</v>
      </c>
      <c r="AX54">
        <f>IFERROR(LOOKUP(2,1/('DRAFT 2'!$D:$D=$B54),'DRAFT 2'!$M:$M),"")</f>
        <v>0</v>
      </c>
      <c r="AY54">
        <f>IFERROR(LOOKUP(2,1/('DRAFT 2'!$D:$D=$B54),'DRAFT 2'!$K:$K),"")</f>
        <v>0</v>
      </c>
      <c r="BG54">
        <f>IFERROR(LOOKUP(2,1/('DRAFT 2'!$D:$D=$B54),'DRAFT 2'!$U:$U),"")</f>
        <v>0</v>
      </c>
      <c r="BH54">
        <f>IFERROR(LOOKUP(2,1/('DRAFT 2'!$D:$D=$B54),'DRAFT 2'!$V:$V),"")</f>
        <v>0</v>
      </c>
      <c r="CE54" t="str">
        <f t="shared" si="15"/>
        <v/>
      </c>
      <c r="CF54">
        <f>IFERROR(LOOKUP(2,1/('DRAFT 2'!$D:$D=$B54)*('DRAFT 2'!$A:$A&gt;=DATE(2026,1,1))*('DRAFT 2'!$A:$A&lt;DATE(2026,IF(1=12,1+1,1+1),1)),'DRAFT 2'!$A:$A),"")</f>
        <v>0</v>
      </c>
      <c r="CG54">
        <f>COUNTIFS('DRAFT 2'!$D:$D,$B54,'DRAFT 2'!$A:$A,"&gt;="&amp;DATE(2026,1,1),'DRAFT 2'!$A:$A,"&lt;="&amp;DATE(2026,1,7))</f>
        <v>0</v>
      </c>
      <c r="CH54">
        <f>COUNTIFS('DRAFT 2'!$D:$D,$B54,'DRAFT 2'!$A:$A,"&gt;="&amp;DATE(2026,1,8),'DRAFT 2'!$A:$A,"&lt;="&amp;DATE(2026,1,14))</f>
        <v>0</v>
      </c>
      <c r="CI54">
        <f>COUNTIFS('DRAFT 2'!$D:$D,$B54,'DRAFT 2'!$A:$A,"&gt;="&amp;DATE(2026,1,15),'DRAFT 2'!$A:$A,"&lt;="&amp;DATE(2026,1,21))</f>
        <v>0</v>
      </c>
      <c r="CJ54">
        <f>COUNTIFS('DRAFT 2'!$D:$D,$B54,'DRAFT 2'!$A:$A,"&gt;="&amp;DATE(2026,1,22),'DRAFT 2'!$A:$A,"&lt;"&amp;DATE(2026,IF(1=12,1+1,1+1),1))</f>
        <v>0</v>
      </c>
      <c r="CK54">
        <f t="shared" si="16"/>
        <v>0</v>
      </c>
      <c r="CT54">
        <v>0</v>
      </c>
      <c r="CU54">
        <f>IFERROR(LOOKUP(2,1/('DRAFT 2'!$D:$D=$B54)*('DRAFT 2'!$A:$A&gt;=DATE(2026,2,1))*('DRAFT 2'!$A:$A&lt;DATE(2026,IF(2=12,2+1,2+1),1)),'DRAFT 2'!$A:$A),"")</f>
        <v>0</v>
      </c>
      <c r="CV54">
        <f>COUNTIFS('DRAFT 2'!$D:$D,$B54,'DRAFT 2'!$A:$A,"&gt;="&amp;DATE(2026,2,1),'DRAFT 2'!$A:$A,"&lt;="&amp;DATE(2026,2,7))</f>
        <v>0</v>
      </c>
      <c r="CW54">
        <f>COUNTIFS('DRAFT 2'!$D:$D,$B54,'DRAFT 2'!$A:$A,"&gt;="&amp;DATE(2026,2,8),'DRAFT 2'!$A:$A,"&lt;="&amp;DATE(2026,2,14))</f>
        <v>0</v>
      </c>
      <c r="CX54">
        <f>COUNTIFS('DRAFT 2'!$D:$D,$B54,'DRAFT 2'!$A:$A,"&gt;="&amp;DATE(2026,2,15),'DRAFT 2'!$A:$A,"&lt;="&amp;DATE(2026,2,21))</f>
        <v>0</v>
      </c>
      <c r="CY54">
        <f>COUNTIFS('DRAFT 2'!$D:$D,$B54,'DRAFT 2'!$A:$A,"&gt;="&amp;DATE(2026,2,22),'DRAFT 2'!$A:$A,"&lt;"&amp;DATE(2026,IF(2=12,2+1,2+1),1))</f>
        <v>0</v>
      </c>
      <c r="CZ54">
        <f t="shared" si="17"/>
        <v>0</v>
      </c>
      <c r="DJ54">
        <f>IFERROR(LOOKUP(2,1/('DRAFT 2'!$D:$D=$B54)*('DRAFT 2'!$A:$A&gt;=DATE(2026,3,1))*('DRAFT 2'!$A:$A&lt;DATE(2026,IF(3=12,3+1,3+1),1)),'DRAFT 2'!$A:$A),"")</f>
        <v>0</v>
      </c>
      <c r="DK54">
        <f>COUNTIFS('DRAFT 2'!$D:$D,$B54,'DRAFT 2'!$A:$A,"&gt;="&amp;DATE(2026,3,1),'DRAFT 2'!$A:$A,"&lt;="&amp;DATE(2026,3,7))</f>
        <v>0</v>
      </c>
      <c r="DL54">
        <f>COUNTIFS('DRAFT 2'!$D:$D,$B54,'DRAFT 2'!$A:$A,"&gt;="&amp;DATE(2026,3,8),'DRAFT 2'!$A:$A,"&lt;="&amp;DATE(2026,3,14))</f>
        <v>0</v>
      </c>
      <c r="DM54">
        <f>COUNTIFS('DRAFT 2'!$D:$D,$B54,'DRAFT 2'!$A:$A,"&gt;="&amp;DATE(2026,3,15),'DRAFT 2'!$A:$A,"&lt;="&amp;DATE(2026,3,21))</f>
        <v>0</v>
      </c>
      <c r="DN54">
        <f>COUNTIFS('DRAFT 2'!$D:$D,$B54,'DRAFT 2'!$A:$A,"&gt;="&amp;DATE(2026,3,22),'DRAFT 2'!$A:$A,"&lt;"&amp;DATE(2026,IF(3=12,3+1,3+1),1))</f>
        <v>0</v>
      </c>
      <c r="DO54">
        <f t="shared" si="18"/>
        <v>0</v>
      </c>
      <c r="DZ54">
        <f>IFERROR(LOOKUP(2,1/('DRAFT 2'!$D:$D=$B54)*('DRAFT 2'!$A:$A&gt;=DATE(2026,4,1))*('DRAFT 2'!$A:$A&lt;DATE(2026,IF(4=12,4+1,4+1),1)),'DRAFT 2'!$A:$A),"")</f>
        <v>0</v>
      </c>
      <c r="EA54">
        <f>COUNTIFS('DRAFT 2'!$D:$D,$B54,'DRAFT 2'!$A:$A,"&gt;="&amp;DATE(2026,4,1),'DRAFT 2'!$A:$A,"&lt;="&amp;DATE(2026,4,7))</f>
        <v>0</v>
      </c>
      <c r="EB54">
        <f>COUNTIFS('DRAFT 2'!$D:$D,$B54,'DRAFT 2'!$A:$A,"&gt;="&amp;DATE(2026,4,8),'DRAFT 2'!$A:$A,"&lt;="&amp;DATE(2026,4,14))</f>
        <v>0</v>
      </c>
      <c r="EC54">
        <f>COUNTIFS('DRAFT 2'!$D:$D,$B54,'DRAFT 2'!$A:$A,"&gt;="&amp;DATE(2026,4,15),'DRAFT 2'!$A:$A,"&lt;="&amp;DATE(2026,4,21))</f>
        <v>0</v>
      </c>
      <c r="ED54">
        <f>COUNTIFS('DRAFT 2'!$D:$D,$B54,'DRAFT 2'!$A:$A,"&gt;="&amp;DATE(2026,4,22),'DRAFT 2'!$A:$A,"&lt;"&amp;DATE(2026,IF(4=12,4+1,4+1),1))</f>
        <v>0</v>
      </c>
      <c r="EE54">
        <f t="shared" si="19"/>
        <v>0</v>
      </c>
      <c r="EO54">
        <f>IFERROR(LOOKUP(2,1/('DRAFT 2'!$D:$D=$B54)*('DRAFT 2'!$A:$A&gt;=DATE(2026,5,1))*('DRAFT 2'!$A:$A&lt;DATE(2026,IF(5=12,5+1,5+1),1)),'DRAFT 2'!$A:$A),"")</f>
        <v>0</v>
      </c>
      <c r="EP54">
        <f>COUNTIFS('DRAFT 2'!$D:$D,$B54,'DRAFT 2'!$A:$A,"&gt;="&amp;DATE(2026,5,1),'DRAFT 2'!$A:$A,"&lt;="&amp;DATE(2026,5,7))</f>
        <v>0</v>
      </c>
      <c r="EQ54">
        <f>COUNTIFS('DRAFT 2'!$D:$D,$B54,'DRAFT 2'!$A:$A,"&gt;="&amp;DATE(2026,5,8),'DRAFT 2'!$A:$A,"&lt;="&amp;DATE(2026,5,14))</f>
        <v>0</v>
      </c>
      <c r="ER54">
        <f>COUNTIFS('DRAFT 2'!$D:$D,$B54,'DRAFT 2'!$A:$A,"&gt;="&amp;DATE(2026,5,15),'DRAFT 2'!$A:$A,"&lt;="&amp;DATE(2026,5,21))</f>
        <v>0</v>
      </c>
      <c r="ES54">
        <f>COUNTIFS('DRAFT 2'!$D:$D,$B54,'DRAFT 2'!$A:$A,"&gt;="&amp;DATE(2026,5,22),'DRAFT 2'!$A:$A,"&lt;"&amp;DATE(2026,IF(5=12,5+1,5+1),1))</f>
        <v>0</v>
      </c>
      <c r="ET54">
        <f t="shared" si="20"/>
        <v>0</v>
      </c>
      <c r="FD54">
        <f>IFERROR(LOOKUP(2,1/('DRAFT 2'!$D:$D=$B54)*('DRAFT 2'!$A:$A&gt;=DATE(2026,6,1))*('DRAFT 2'!$A:$A&lt;DATE(2026,IF(6=12,6+1,6+1),1)),'DRAFT 2'!$A:$A),"")</f>
        <v>0</v>
      </c>
      <c r="FE54">
        <f>COUNTIFS('DRAFT 2'!$D:$D,$B54,'DRAFT 2'!$A:$A,"&gt;="&amp;DATE(2026,6,1),'DRAFT 2'!$A:$A,"&lt;="&amp;DATE(2026,6,7))</f>
        <v>0</v>
      </c>
      <c r="FF54">
        <f>COUNTIFS('DRAFT 2'!$D:$D,$B54,'DRAFT 2'!$A:$A,"&gt;="&amp;DATE(2026,6,8),'DRAFT 2'!$A:$A,"&lt;="&amp;DATE(2026,6,14))</f>
        <v>0</v>
      </c>
      <c r="FG54">
        <f>COUNTIFS('DRAFT 2'!$D:$D,$B54,'DRAFT 2'!$A:$A,"&gt;="&amp;DATE(2026,6,15),'DRAFT 2'!$A:$A,"&lt;="&amp;DATE(2026,6,21))</f>
        <v>0</v>
      </c>
      <c r="FH54">
        <f>COUNTIFS('DRAFT 2'!$D:$D,$B54,'DRAFT 2'!$A:$A,"&gt;="&amp;DATE(2026,6,22),'DRAFT 2'!$A:$A,"&lt;"&amp;DATE(2026,IF(6=12,6+1,6+1),1))</f>
        <v>0</v>
      </c>
      <c r="FI54">
        <f t="shared" si="21"/>
        <v>0</v>
      </c>
      <c r="FT54">
        <f>IFERROR(LOOKUP(2,1/('DRAFT 2'!$D:$D=$B54)*('DRAFT 2'!$A:$A&gt;=DATE(2026,7,1))*('DRAFT 2'!$A:$A&lt;DATE(2026,IF(7=12,7+1,7+1),1)),'DRAFT 2'!$A:$A),"")</f>
        <v>0</v>
      </c>
      <c r="FU54">
        <f>COUNTIFS('DRAFT 2'!$D:$D,$B54,'DRAFT 2'!$A:$A,"&gt;="&amp;DATE(2026,7,1),'DRAFT 2'!$A:$A,"&lt;="&amp;DATE(2026,7,7))</f>
        <v>0</v>
      </c>
      <c r="FV54">
        <f>COUNTIFS('DRAFT 2'!$D:$D,$B54,'DRAFT 2'!$A:$A,"&gt;="&amp;DATE(2026,7,8),'DRAFT 2'!$A:$A,"&lt;="&amp;DATE(2026,7,14))</f>
        <v>0</v>
      </c>
      <c r="FW54">
        <f>COUNTIFS('DRAFT 2'!$D:$D,$B54,'DRAFT 2'!$A:$A,"&gt;="&amp;DATE(2026,7,15),'DRAFT 2'!$A:$A,"&lt;="&amp;DATE(2026,7,21))</f>
        <v>0</v>
      </c>
      <c r="FX54">
        <f>COUNTIFS('DRAFT 2'!$D:$D,$B54,'DRAFT 2'!$A:$A,"&gt;="&amp;DATE(2026,7,22),'DRAFT 2'!$A:$A,"&lt;"&amp;DATE(2026,IF(7=12,7+1,7+1),1))</f>
        <v>0</v>
      </c>
      <c r="FY54">
        <f t="shared" si="22"/>
        <v>0</v>
      </c>
      <c r="GI54">
        <f>IFERROR(LOOKUP(2,1/('DRAFT 2'!$D:$D=$B54)*('DRAFT 2'!$A:$A&gt;=DATE(2026,8,1))*('DRAFT 2'!$A:$A&lt;DATE(2026,IF(8=12,8+1,8+1),1)),'DRAFT 2'!$A:$A),"")</f>
        <v>0</v>
      </c>
      <c r="GJ54">
        <f>COUNTIFS('DRAFT 2'!$D:$D,$B54,'DRAFT 2'!$A:$A,"&gt;="&amp;DATE(2026,8,1),'DRAFT 2'!$A:$A,"&lt;="&amp;DATE(2026,8,7))</f>
        <v>0</v>
      </c>
      <c r="GK54">
        <f>COUNTIFS('DRAFT 2'!$D:$D,$B54,'DRAFT 2'!$A:$A,"&gt;="&amp;DATE(2026,8,8),'DRAFT 2'!$A:$A,"&lt;="&amp;DATE(2026,8,14))</f>
        <v>0</v>
      </c>
      <c r="GL54">
        <f>COUNTIFS('DRAFT 2'!$D:$D,$B54,'DRAFT 2'!$A:$A,"&gt;="&amp;DATE(2026,8,15),'DRAFT 2'!$A:$A,"&lt;="&amp;DATE(2026,8,21))</f>
        <v>0</v>
      </c>
      <c r="GM54">
        <f>COUNTIFS('DRAFT 2'!$D:$D,$B54,'DRAFT 2'!$A:$A,"&gt;="&amp;DATE(2026,8,22),'DRAFT 2'!$A:$A,"&lt;"&amp;DATE(2026,IF(8=12,8+1,8+1),1))</f>
        <v>0</v>
      </c>
      <c r="GN54">
        <f t="shared" si="23"/>
        <v>0</v>
      </c>
      <c r="GX54">
        <f>IFERROR(LOOKUP(2,1/('DRAFT 2'!$D:$D=$B54)*('DRAFT 2'!$A:$A&gt;=DATE(2026,9,1))*('DRAFT 2'!$A:$A&lt;DATE(2026,IF(9=12,9+1,9+1),1)),'DRAFT 2'!$A:$A),"")</f>
        <v>0</v>
      </c>
      <c r="GY54">
        <f>COUNTIFS('DRAFT 2'!$D:$D,$B54,'DRAFT 2'!$A:$A,"&gt;="&amp;DATE(2026,9,1),'DRAFT 2'!$A:$A,"&lt;="&amp;DATE(2026,9,7))</f>
        <v>0</v>
      </c>
      <c r="GZ54">
        <f>COUNTIFS('DRAFT 2'!$D:$D,$B54,'DRAFT 2'!$A:$A,"&gt;="&amp;DATE(2026,9,8),'DRAFT 2'!$A:$A,"&lt;="&amp;DATE(2026,9,14))</f>
        <v>0</v>
      </c>
      <c r="HA54">
        <f>COUNTIFS('DRAFT 2'!$D:$D,$B54,'DRAFT 2'!$A:$A,"&gt;="&amp;DATE(2026,9,15),'DRAFT 2'!$A:$A,"&lt;="&amp;DATE(2026,9,21))</f>
        <v>0</v>
      </c>
      <c r="HB54">
        <f>COUNTIFS('DRAFT 2'!$D:$D,$B54,'DRAFT 2'!$A:$A,"&gt;="&amp;DATE(2026,9,22),'DRAFT 2'!$A:$A,"&lt;"&amp;DATE(2026,IF(9=12,9+1,9+1),1))</f>
        <v>0</v>
      </c>
      <c r="HC54">
        <f t="shared" si="24"/>
        <v>0</v>
      </c>
      <c r="HN54">
        <f>IFERROR(LOOKUP(2,1/('DRAFT 2'!$D:$D=$B54)*('DRAFT 2'!$A:$A&gt;=DATE(2026,10,1))*('DRAFT 2'!$A:$A&lt;DATE(2026,IF(10=12,10+1,10+1),1)),'DRAFT 2'!$A:$A),"")</f>
        <v>0</v>
      </c>
      <c r="HO54">
        <f>COUNTIFS('DRAFT 2'!$D:$D,$B54,'DRAFT 2'!$A:$A,"&gt;="&amp;DATE(2026,10,1),'DRAFT 2'!$A:$A,"&lt;="&amp;DATE(2026,10,7))</f>
        <v>0</v>
      </c>
      <c r="HP54">
        <f>COUNTIFS('DRAFT 2'!$D:$D,$B54,'DRAFT 2'!$A:$A,"&gt;="&amp;DATE(2026,10,8),'DRAFT 2'!$A:$A,"&lt;="&amp;DATE(2026,10,14))</f>
        <v>0</v>
      </c>
      <c r="HQ54">
        <f>COUNTIFS('DRAFT 2'!$D:$D,$B54,'DRAFT 2'!$A:$A,"&gt;="&amp;DATE(2026,10,15),'DRAFT 2'!$A:$A,"&lt;="&amp;DATE(2026,10,21))</f>
        <v>0</v>
      </c>
      <c r="HR54">
        <f>COUNTIFS('DRAFT 2'!$D:$D,$B54,'DRAFT 2'!$A:$A,"&gt;="&amp;DATE(2026,10,22),'DRAFT 2'!$A:$A,"&lt;"&amp;DATE(2026,IF(10=12,10+1,10+1),1))</f>
        <v>0</v>
      </c>
      <c r="HS54">
        <f t="shared" si="25"/>
        <v>0</v>
      </c>
      <c r="IC54">
        <f>IFERROR(LOOKUP(2,1/('DRAFT 2'!$D:$D=$B54)*('DRAFT 2'!$A:$A&gt;=DATE(2026,11,1))*('DRAFT 2'!$A:$A&lt;DATE(2026,IF(11=12,11+1,11+1),1)),'DRAFT 2'!$A:$A),"")</f>
        <v>0</v>
      </c>
      <c r="ID54">
        <f>COUNTIFS('DRAFT 2'!$D:$D,$B54,'DRAFT 2'!$A:$A,"&gt;="&amp;DATE(2026,11,1),'DRAFT 2'!$A:$A,"&lt;="&amp;DATE(2026,11,7))</f>
        <v>0</v>
      </c>
      <c r="IE54">
        <f>COUNTIFS('DRAFT 2'!$D:$D,$B54,'DRAFT 2'!$A:$A,"&gt;="&amp;DATE(2026,11,8),'DRAFT 2'!$A:$A,"&lt;="&amp;DATE(2026,11,14))</f>
        <v>0</v>
      </c>
      <c r="IF54">
        <f>COUNTIFS('DRAFT 2'!$D:$D,$B54,'DRAFT 2'!$A:$A,"&gt;="&amp;DATE(2026,11,15),'DRAFT 2'!$A:$A,"&lt;="&amp;DATE(2026,11,21))</f>
        <v>0</v>
      </c>
      <c r="IG54">
        <f>COUNTIFS('DRAFT 2'!$D:$D,$B54,'DRAFT 2'!$A:$A,"&gt;="&amp;DATE(2026,11,22),'DRAFT 2'!$A:$A,"&lt;"&amp;DATE(2026,IF(11=12,11+1,11+1),1))</f>
        <v>0</v>
      </c>
      <c r="IH54">
        <f t="shared" si="26"/>
        <v>0</v>
      </c>
      <c r="IR54">
        <f>IFERROR(LOOKUP(2,1/('DRAFT 2'!$D:$D=$B54)*('DRAFT 2'!$A:$A&gt;=DATE(2026,12,1))*('DRAFT 2'!$A:$A&lt;DATE(2026,IF(12=12,12+1,12+1),1)),'DRAFT 2'!$A:$A),"")</f>
        <v>0</v>
      </c>
      <c r="IS54">
        <f>COUNTIFS('DRAFT 2'!$D:$D,$B54,'DRAFT 2'!$A:$A,"&gt;="&amp;DATE(2026,12,1),'DRAFT 2'!$A:$A,"&lt;="&amp;DATE(2026,12,7))</f>
        <v>0</v>
      </c>
      <c r="IT54">
        <f>COUNTIFS('DRAFT 2'!$D:$D,$B54,'DRAFT 2'!$A:$A,"&gt;="&amp;DATE(2026,12,8),'DRAFT 2'!$A:$A,"&lt;="&amp;DATE(2026,12,14))</f>
        <v>0</v>
      </c>
      <c r="IU54">
        <f>COUNTIFS('DRAFT 2'!$D:$D,$B54,'DRAFT 2'!$A:$A,"&gt;="&amp;DATE(2026,12,15),'DRAFT 2'!$A:$A,"&lt;="&amp;DATE(2026,12,21))</f>
        <v>0</v>
      </c>
      <c r="IV54">
        <f>COUNTIFS('DRAFT 2'!$D:$D,$B54,'DRAFT 2'!$A:$A,"&gt;="&amp;DATE(2026,12,22),'DRAFT 2'!$A:$A,"&lt;"&amp;DATE(2026,IF(12=12,12+1,12+1),1))</f>
        <v>0</v>
      </c>
      <c r="IW54">
        <f t="shared" si="27"/>
        <v>0</v>
      </c>
    </row>
    <row r="55" spans="1:257" x14ac:dyDescent="0.3">
      <c r="A55" t="str">
        <f>IFERROR(INDEX('DRAFT 1'!$A:$A,MATCH($B55,'DRAFT 1'!$B:$B,0)),"")</f>
        <v/>
      </c>
      <c r="C55" t="str">
        <f>IFERROR(INDEX('DRAFT 1'!$C:$C,MATCH($B55,'DRAFT 1'!$B:$B,0)),"")</f>
        <v/>
      </c>
      <c r="D55" t="str">
        <f>IFERROR(INDEX('DRAFT 1'!$D:$D,MATCH($B55,'DRAFT 1'!$B:$B,0)),"")</f>
        <v/>
      </c>
      <c r="E55" t="str">
        <f>IFERROR(INDEX('DRAFT 1'!$E:$E,MATCH($B55,'DRAFT 1'!$B:$B,0)),"")</f>
        <v/>
      </c>
      <c r="F55" t="str">
        <f>IFERROR(INDEX('DRAFT 1'!$F:$F,MATCH($B55,'DRAFT 1'!$B:$B,0)),"")</f>
        <v/>
      </c>
      <c r="G55" t="str">
        <f>IFERROR(INDEX('DRAFT 1'!$G:$G,MATCH($B55,'DRAFT 1'!$B:$B,0)),"")</f>
        <v/>
      </c>
      <c r="H55" t="str">
        <f>IFERROR(INDEX('DRAFT 1'!$H:$H,MATCH($B55,'DRAFT 1'!$B:$B,0)),"")</f>
        <v/>
      </c>
      <c r="I55" t="s">
        <v>283</v>
      </c>
      <c r="K55" t="str">
        <f>IFERROR(INDEX('DRAFT 1'!$AL:$AL,MATCH($B55,'DRAFT 1'!$B:$B,0)),"")</f>
        <v/>
      </c>
      <c r="L55" t="str">
        <f>IFERROR(INDEX('DRAFT 1'!$J:$J,MATCH($B55,'DRAFT 1'!$B:$B,0)),"")</f>
        <v/>
      </c>
      <c r="M55" t="str">
        <f>IFERROR(INDEX('DRAFT 1'!$K:$K,MATCH($B55,'DRAFT 1'!$B:$B,0)),"")</f>
        <v/>
      </c>
      <c r="N55" t="s">
        <v>88</v>
      </c>
      <c r="P55" t="str">
        <f>IFERROR(INDEX('DRAFT 1'!$L:$L,MATCH($B55,'DRAFT 1'!$B:$B,0)),"")</f>
        <v/>
      </c>
      <c r="Q55" t="str">
        <f>IFERROR(INDEX('DRAFT 1'!$M:$M,MATCH($B55,'DRAFT 1'!$B:$B,0)),"")</f>
        <v/>
      </c>
      <c r="R55" t="str">
        <f>IFERROR(INDEX('DRAFT 1'!$N:$N,MATCH($B55,'DRAFT 1'!$B:$B,0)),"")</f>
        <v/>
      </c>
      <c r="S55" t="str">
        <f>IFERROR(INDEX('DRAFT 1'!$O:$O,MATCH($B55,'DRAFT 1'!$B:$B,0)),"")</f>
        <v/>
      </c>
      <c r="T55" t="str">
        <f>IFERROR(INDEX('DRAFT 1'!$P:$P,MATCH($B55,'DRAFT 1'!$B:$B,0)),"")</f>
        <v/>
      </c>
      <c r="U55" t="str">
        <f>IFERROR(INDEX('DRAFT 1'!$Q:$Q,MATCH($B55,'DRAFT 1'!$B:$B,0)),"")</f>
        <v/>
      </c>
      <c r="V55" t="str">
        <f>IFERROR(INDEX('DRAFT 1'!$R:$R,MATCH($B55,'DRAFT 1'!$B:$B,0)),"")</f>
        <v/>
      </c>
      <c r="W55" t="str">
        <f>IFERROR(INDEX('DRAFT 1'!$S:$S,MATCH($B55,'DRAFT 1'!$B:$B,0)),"")</f>
        <v/>
      </c>
      <c r="X55" t="str">
        <f>IFERROR(INDEX('DRAFT 1'!$T:$T,MATCH($B55,'DRAFT 1'!$B:$B,0)),"")</f>
        <v/>
      </c>
      <c r="Z55" t="str">
        <f>IFERROR(INDEX('DRAFT 1'!$U:$U,MATCH($B55,'DRAFT 1'!$B:$B,0)),"")</f>
        <v/>
      </c>
      <c r="AA55" t="str">
        <f>IFERROR(INDEX('DRAFT 1'!$V:$V,MATCH($B55,'DRAFT 1'!$B:$B,0)),"")</f>
        <v/>
      </c>
      <c r="AB55" t="str">
        <f>IFERROR(INDEX('DRAFT 1'!$W:$W,MATCH($B55,'DRAFT 1'!$B:$B,0)),"")</f>
        <v/>
      </c>
      <c r="AC55" t="str">
        <f>IFERROR(INDEX('DRAFT 1'!$X:$X,MATCH($B55,'DRAFT 1'!$B:$B,0)),"")</f>
        <v/>
      </c>
      <c r="AD55" t="str">
        <f>IFERROR(INDEX('DRAFT 1'!$Y:$Y,MATCH($B55,'DRAFT 1'!$B:$B,0)),"")</f>
        <v/>
      </c>
      <c r="AE55" t="str">
        <f>IFERROR(INDEX('DRAFT 1'!$Z:$Z,MATCH($B55,'DRAFT 1'!$B:$B,0)),"")</f>
        <v/>
      </c>
      <c r="AF55" t="str">
        <f>IFERROR(INDEX('DRAFT 1'!$AA:$AA,MATCH($B55,'DRAFT 1'!$B:$B,0)),"")</f>
        <v/>
      </c>
      <c r="AG55" t="str">
        <f>IFERROR(INDEX('DRAFT 1'!$AB:$AB,MATCH($B55,'DRAFT 1'!$B:$B,0)),"")</f>
        <v/>
      </c>
      <c r="AH55" t="str">
        <f>IFERROR(INDEX('DRAFT 1'!$AC:$AC,MATCH($B55,'DRAFT 1'!$B:$B,0)),"")</f>
        <v/>
      </c>
      <c r="AI55" t="str">
        <f>IFERROR(INDEX('DRAFT 1'!$AD:$AD,MATCH($B55,'DRAFT 1'!$B:$B,0)),"")</f>
        <v/>
      </c>
      <c r="AJ55" t="str">
        <f>IFERROR(INDEX('DRAFT 1'!$AE:$AE,MATCH($B55,'DRAFT 1'!$B:$B,0)),"")</f>
        <v/>
      </c>
      <c r="AK55" t="str">
        <f>IFERROR(INDEX('DRAFT 1'!$AG:$AG,MATCH($B55,'DRAFT 1'!$B:$B,0)),"")</f>
        <v/>
      </c>
      <c r="AL55" t="str">
        <f>IFERROR(INDEX('DRAFT 1'!$AH:$AH,MATCH($B55,'DRAFT 1'!$B:$B,0)),"")</f>
        <v/>
      </c>
      <c r="AM55" t="str">
        <f>IFERROR(INDEX('DRAFT 1'!$AI:$AI,MATCH($B55,'DRAFT 1'!$B:$B,0)),"")</f>
        <v/>
      </c>
      <c r="AN55" t="str">
        <f>IFERROR(INDEX('DRAFT 1'!$AJ:$AJ,MATCH($B55,'DRAFT 1'!$B:$B,0)),"")</f>
        <v/>
      </c>
      <c r="AO55">
        <f t="shared" si="14"/>
        <v>0</v>
      </c>
      <c r="AP55" t="str">
        <f>IFERROR(INDEX('DRAFT 1'!$AK:$AK,MATCH($B55,'DRAFT 1'!$B:$B,0)),"")</f>
        <v/>
      </c>
      <c r="AR55" t="s">
        <v>93</v>
      </c>
      <c r="AS55">
        <f>IFERROR(LOOKUP(2,1/('DRAFT 2'!$D:$D=$B55),'DRAFT 2'!$T:$T),"")</f>
        <v>0</v>
      </c>
      <c r="AT55">
        <f>IFERROR(LOOKUP(2,1/('DRAFT 2'!$D:$D=$B55),'DRAFT 2'!$A:$A),"")</f>
        <v>0</v>
      </c>
      <c r="AU55">
        <f>IFERROR(LOOKUP(2,1/('DRAFT 2'!$D:$D=$B55),'DRAFT 2'!$R:$R),"")</f>
        <v>0</v>
      </c>
      <c r="AV55">
        <f>IFERROR(LOOKUP(2,1/('DRAFT 2'!$D:$D=$B55),'DRAFT 2'!$S:$S),"")</f>
        <v>0</v>
      </c>
      <c r="AW55" t="s">
        <v>128</v>
      </c>
      <c r="AX55">
        <f>IFERROR(LOOKUP(2,1/('DRAFT 2'!$D:$D=$B55),'DRAFT 2'!$M:$M),"")</f>
        <v>0</v>
      </c>
      <c r="AY55">
        <f>IFERROR(LOOKUP(2,1/('DRAFT 2'!$D:$D=$B55),'DRAFT 2'!$K:$K),"")</f>
        <v>0</v>
      </c>
      <c r="BG55">
        <f>IFERROR(LOOKUP(2,1/('DRAFT 2'!$D:$D=$B55),'DRAFT 2'!$U:$U),"")</f>
        <v>0</v>
      </c>
      <c r="BH55">
        <f>IFERROR(LOOKUP(2,1/('DRAFT 2'!$D:$D=$B55),'DRAFT 2'!$V:$V),"")</f>
        <v>0</v>
      </c>
      <c r="CE55" t="str">
        <f t="shared" si="15"/>
        <v/>
      </c>
      <c r="CF55">
        <f>IFERROR(LOOKUP(2,1/('DRAFT 2'!$D:$D=$B55)*('DRAFT 2'!$A:$A&gt;=DATE(2026,1,1))*('DRAFT 2'!$A:$A&lt;DATE(2026,IF(1=12,1+1,1+1),1)),'DRAFT 2'!$A:$A),"")</f>
        <v>0</v>
      </c>
      <c r="CG55">
        <f>COUNTIFS('DRAFT 2'!$D:$D,$B55,'DRAFT 2'!$A:$A,"&gt;="&amp;DATE(2026,1,1),'DRAFT 2'!$A:$A,"&lt;="&amp;DATE(2026,1,7))</f>
        <v>0</v>
      </c>
      <c r="CH55">
        <f>COUNTIFS('DRAFT 2'!$D:$D,$B55,'DRAFT 2'!$A:$A,"&gt;="&amp;DATE(2026,1,8),'DRAFT 2'!$A:$A,"&lt;="&amp;DATE(2026,1,14))</f>
        <v>0</v>
      </c>
      <c r="CI55">
        <f>COUNTIFS('DRAFT 2'!$D:$D,$B55,'DRAFT 2'!$A:$A,"&gt;="&amp;DATE(2026,1,15),'DRAFT 2'!$A:$A,"&lt;="&amp;DATE(2026,1,21))</f>
        <v>0</v>
      </c>
      <c r="CJ55">
        <f>COUNTIFS('DRAFT 2'!$D:$D,$B55,'DRAFT 2'!$A:$A,"&gt;="&amp;DATE(2026,1,22),'DRAFT 2'!$A:$A,"&lt;"&amp;DATE(2026,IF(1=12,1+1,1+1),1))</f>
        <v>0</v>
      </c>
      <c r="CK55">
        <f t="shared" si="16"/>
        <v>0</v>
      </c>
      <c r="CT55">
        <v>0</v>
      </c>
      <c r="CU55">
        <f>IFERROR(LOOKUP(2,1/('DRAFT 2'!$D:$D=$B55)*('DRAFT 2'!$A:$A&gt;=DATE(2026,2,1))*('DRAFT 2'!$A:$A&lt;DATE(2026,IF(2=12,2+1,2+1),1)),'DRAFT 2'!$A:$A),"")</f>
        <v>0</v>
      </c>
      <c r="CV55">
        <f>COUNTIFS('DRAFT 2'!$D:$D,$B55,'DRAFT 2'!$A:$A,"&gt;="&amp;DATE(2026,2,1),'DRAFT 2'!$A:$A,"&lt;="&amp;DATE(2026,2,7))</f>
        <v>0</v>
      </c>
      <c r="CW55">
        <f>COUNTIFS('DRAFT 2'!$D:$D,$B55,'DRAFT 2'!$A:$A,"&gt;="&amp;DATE(2026,2,8),'DRAFT 2'!$A:$A,"&lt;="&amp;DATE(2026,2,14))</f>
        <v>0</v>
      </c>
      <c r="CX55">
        <f>COUNTIFS('DRAFT 2'!$D:$D,$B55,'DRAFT 2'!$A:$A,"&gt;="&amp;DATE(2026,2,15),'DRAFT 2'!$A:$A,"&lt;="&amp;DATE(2026,2,21))</f>
        <v>0</v>
      </c>
      <c r="CY55">
        <f>COUNTIFS('DRAFT 2'!$D:$D,$B55,'DRAFT 2'!$A:$A,"&gt;="&amp;DATE(2026,2,22),'DRAFT 2'!$A:$A,"&lt;"&amp;DATE(2026,IF(2=12,2+1,2+1),1))</f>
        <v>0</v>
      </c>
      <c r="CZ55">
        <f t="shared" si="17"/>
        <v>0</v>
      </c>
      <c r="DJ55">
        <f>IFERROR(LOOKUP(2,1/('DRAFT 2'!$D:$D=$B55)*('DRAFT 2'!$A:$A&gt;=DATE(2026,3,1))*('DRAFT 2'!$A:$A&lt;DATE(2026,IF(3=12,3+1,3+1),1)),'DRAFT 2'!$A:$A),"")</f>
        <v>0</v>
      </c>
      <c r="DK55">
        <f>COUNTIFS('DRAFT 2'!$D:$D,$B55,'DRAFT 2'!$A:$A,"&gt;="&amp;DATE(2026,3,1),'DRAFT 2'!$A:$A,"&lt;="&amp;DATE(2026,3,7))</f>
        <v>0</v>
      </c>
      <c r="DL55">
        <f>COUNTIFS('DRAFT 2'!$D:$D,$B55,'DRAFT 2'!$A:$A,"&gt;="&amp;DATE(2026,3,8),'DRAFT 2'!$A:$A,"&lt;="&amp;DATE(2026,3,14))</f>
        <v>0</v>
      </c>
      <c r="DM55">
        <f>COUNTIFS('DRAFT 2'!$D:$D,$B55,'DRAFT 2'!$A:$A,"&gt;="&amp;DATE(2026,3,15),'DRAFT 2'!$A:$A,"&lt;="&amp;DATE(2026,3,21))</f>
        <v>0</v>
      </c>
      <c r="DN55">
        <f>COUNTIFS('DRAFT 2'!$D:$D,$B55,'DRAFT 2'!$A:$A,"&gt;="&amp;DATE(2026,3,22),'DRAFT 2'!$A:$A,"&lt;"&amp;DATE(2026,IF(3=12,3+1,3+1),1))</f>
        <v>0</v>
      </c>
      <c r="DO55">
        <f t="shared" si="18"/>
        <v>0</v>
      </c>
      <c r="DZ55">
        <f>IFERROR(LOOKUP(2,1/('DRAFT 2'!$D:$D=$B55)*('DRAFT 2'!$A:$A&gt;=DATE(2026,4,1))*('DRAFT 2'!$A:$A&lt;DATE(2026,IF(4=12,4+1,4+1),1)),'DRAFT 2'!$A:$A),"")</f>
        <v>0</v>
      </c>
      <c r="EA55">
        <f>COUNTIFS('DRAFT 2'!$D:$D,$B55,'DRAFT 2'!$A:$A,"&gt;="&amp;DATE(2026,4,1),'DRAFT 2'!$A:$A,"&lt;="&amp;DATE(2026,4,7))</f>
        <v>0</v>
      </c>
      <c r="EB55">
        <f>COUNTIFS('DRAFT 2'!$D:$D,$B55,'DRAFT 2'!$A:$A,"&gt;="&amp;DATE(2026,4,8),'DRAFT 2'!$A:$A,"&lt;="&amp;DATE(2026,4,14))</f>
        <v>0</v>
      </c>
      <c r="EC55">
        <f>COUNTIFS('DRAFT 2'!$D:$D,$B55,'DRAFT 2'!$A:$A,"&gt;="&amp;DATE(2026,4,15),'DRAFT 2'!$A:$A,"&lt;="&amp;DATE(2026,4,21))</f>
        <v>0</v>
      </c>
      <c r="ED55">
        <f>COUNTIFS('DRAFT 2'!$D:$D,$B55,'DRAFT 2'!$A:$A,"&gt;="&amp;DATE(2026,4,22),'DRAFT 2'!$A:$A,"&lt;"&amp;DATE(2026,IF(4=12,4+1,4+1),1))</f>
        <v>0</v>
      </c>
      <c r="EE55">
        <f t="shared" si="19"/>
        <v>0</v>
      </c>
      <c r="EO55">
        <f>IFERROR(LOOKUP(2,1/('DRAFT 2'!$D:$D=$B55)*('DRAFT 2'!$A:$A&gt;=DATE(2026,5,1))*('DRAFT 2'!$A:$A&lt;DATE(2026,IF(5=12,5+1,5+1),1)),'DRAFT 2'!$A:$A),"")</f>
        <v>0</v>
      </c>
      <c r="EP55">
        <f>COUNTIFS('DRAFT 2'!$D:$D,$B55,'DRAFT 2'!$A:$A,"&gt;="&amp;DATE(2026,5,1),'DRAFT 2'!$A:$A,"&lt;="&amp;DATE(2026,5,7))</f>
        <v>0</v>
      </c>
      <c r="EQ55">
        <f>COUNTIFS('DRAFT 2'!$D:$D,$B55,'DRAFT 2'!$A:$A,"&gt;="&amp;DATE(2026,5,8),'DRAFT 2'!$A:$A,"&lt;="&amp;DATE(2026,5,14))</f>
        <v>0</v>
      </c>
      <c r="ER55">
        <f>COUNTIFS('DRAFT 2'!$D:$D,$B55,'DRAFT 2'!$A:$A,"&gt;="&amp;DATE(2026,5,15),'DRAFT 2'!$A:$A,"&lt;="&amp;DATE(2026,5,21))</f>
        <v>0</v>
      </c>
      <c r="ES55">
        <f>COUNTIFS('DRAFT 2'!$D:$D,$B55,'DRAFT 2'!$A:$A,"&gt;="&amp;DATE(2026,5,22),'DRAFT 2'!$A:$A,"&lt;"&amp;DATE(2026,IF(5=12,5+1,5+1),1))</f>
        <v>0</v>
      </c>
      <c r="ET55">
        <f t="shared" si="20"/>
        <v>0</v>
      </c>
      <c r="FD55">
        <f>IFERROR(LOOKUP(2,1/('DRAFT 2'!$D:$D=$B55)*('DRAFT 2'!$A:$A&gt;=DATE(2026,6,1))*('DRAFT 2'!$A:$A&lt;DATE(2026,IF(6=12,6+1,6+1),1)),'DRAFT 2'!$A:$A),"")</f>
        <v>0</v>
      </c>
      <c r="FE55">
        <f>COUNTIFS('DRAFT 2'!$D:$D,$B55,'DRAFT 2'!$A:$A,"&gt;="&amp;DATE(2026,6,1),'DRAFT 2'!$A:$A,"&lt;="&amp;DATE(2026,6,7))</f>
        <v>0</v>
      </c>
      <c r="FF55">
        <f>COUNTIFS('DRAFT 2'!$D:$D,$B55,'DRAFT 2'!$A:$A,"&gt;="&amp;DATE(2026,6,8),'DRAFT 2'!$A:$A,"&lt;="&amp;DATE(2026,6,14))</f>
        <v>0</v>
      </c>
      <c r="FG55">
        <f>COUNTIFS('DRAFT 2'!$D:$D,$B55,'DRAFT 2'!$A:$A,"&gt;="&amp;DATE(2026,6,15),'DRAFT 2'!$A:$A,"&lt;="&amp;DATE(2026,6,21))</f>
        <v>0</v>
      </c>
      <c r="FH55">
        <f>COUNTIFS('DRAFT 2'!$D:$D,$B55,'DRAFT 2'!$A:$A,"&gt;="&amp;DATE(2026,6,22),'DRAFT 2'!$A:$A,"&lt;"&amp;DATE(2026,IF(6=12,6+1,6+1),1))</f>
        <v>0</v>
      </c>
      <c r="FI55">
        <f t="shared" si="21"/>
        <v>0</v>
      </c>
      <c r="FT55">
        <f>IFERROR(LOOKUP(2,1/('DRAFT 2'!$D:$D=$B55)*('DRAFT 2'!$A:$A&gt;=DATE(2026,7,1))*('DRAFT 2'!$A:$A&lt;DATE(2026,IF(7=12,7+1,7+1),1)),'DRAFT 2'!$A:$A),"")</f>
        <v>0</v>
      </c>
      <c r="FU55">
        <f>COUNTIFS('DRAFT 2'!$D:$D,$B55,'DRAFT 2'!$A:$A,"&gt;="&amp;DATE(2026,7,1),'DRAFT 2'!$A:$A,"&lt;="&amp;DATE(2026,7,7))</f>
        <v>0</v>
      </c>
      <c r="FV55">
        <f>COUNTIFS('DRAFT 2'!$D:$D,$B55,'DRAFT 2'!$A:$A,"&gt;="&amp;DATE(2026,7,8),'DRAFT 2'!$A:$A,"&lt;="&amp;DATE(2026,7,14))</f>
        <v>0</v>
      </c>
      <c r="FW55">
        <f>COUNTIFS('DRAFT 2'!$D:$D,$B55,'DRAFT 2'!$A:$A,"&gt;="&amp;DATE(2026,7,15),'DRAFT 2'!$A:$A,"&lt;="&amp;DATE(2026,7,21))</f>
        <v>0</v>
      </c>
      <c r="FX55">
        <f>COUNTIFS('DRAFT 2'!$D:$D,$B55,'DRAFT 2'!$A:$A,"&gt;="&amp;DATE(2026,7,22),'DRAFT 2'!$A:$A,"&lt;"&amp;DATE(2026,IF(7=12,7+1,7+1),1))</f>
        <v>0</v>
      </c>
      <c r="FY55">
        <f t="shared" si="22"/>
        <v>0</v>
      </c>
      <c r="GI55">
        <f>IFERROR(LOOKUP(2,1/('DRAFT 2'!$D:$D=$B55)*('DRAFT 2'!$A:$A&gt;=DATE(2026,8,1))*('DRAFT 2'!$A:$A&lt;DATE(2026,IF(8=12,8+1,8+1),1)),'DRAFT 2'!$A:$A),"")</f>
        <v>0</v>
      </c>
      <c r="GJ55">
        <f>COUNTIFS('DRAFT 2'!$D:$D,$B55,'DRAFT 2'!$A:$A,"&gt;="&amp;DATE(2026,8,1),'DRAFT 2'!$A:$A,"&lt;="&amp;DATE(2026,8,7))</f>
        <v>0</v>
      </c>
      <c r="GK55">
        <f>COUNTIFS('DRAFT 2'!$D:$D,$B55,'DRAFT 2'!$A:$A,"&gt;="&amp;DATE(2026,8,8),'DRAFT 2'!$A:$A,"&lt;="&amp;DATE(2026,8,14))</f>
        <v>0</v>
      </c>
      <c r="GL55">
        <f>COUNTIFS('DRAFT 2'!$D:$D,$B55,'DRAFT 2'!$A:$A,"&gt;="&amp;DATE(2026,8,15),'DRAFT 2'!$A:$A,"&lt;="&amp;DATE(2026,8,21))</f>
        <v>0</v>
      </c>
      <c r="GM55">
        <f>COUNTIFS('DRAFT 2'!$D:$D,$B55,'DRAFT 2'!$A:$A,"&gt;="&amp;DATE(2026,8,22),'DRAFT 2'!$A:$A,"&lt;"&amp;DATE(2026,IF(8=12,8+1,8+1),1))</f>
        <v>0</v>
      </c>
      <c r="GN55">
        <f t="shared" si="23"/>
        <v>0</v>
      </c>
      <c r="GX55">
        <f>IFERROR(LOOKUP(2,1/('DRAFT 2'!$D:$D=$B55)*('DRAFT 2'!$A:$A&gt;=DATE(2026,9,1))*('DRAFT 2'!$A:$A&lt;DATE(2026,IF(9=12,9+1,9+1),1)),'DRAFT 2'!$A:$A),"")</f>
        <v>0</v>
      </c>
      <c r="GY55">
        <f>COUNTIFS('DRAFT 2'!$D:$D,$B55,'DRAFT 2'!$A:$A,"&gt;="&amp;DATE(2026,9,1),'DRAFT 2'!$A:$A,"&lt;="&amp;DATE(2026,9,7))</f>
        <v>0</v>
      </c>
      <c r="GZ55">
        <f>COUNTIFS('DRAFT 2'!$D:$D,$B55,'DRAFT 2'!$A:$A,"&gt;="&amp;DATE(2026,9,8),'DRAFT 2'!$A:$A,"&lt;="&amp;DATE(2026,9,14))</f>
        <v>0</v>
      </c>
      <c r="HA55">
        <f>COUNTIFS('DRAFT 2'!$D:$D,$B55,'DRAFT 2'!$A:$A,"&gt;="&amp;DATE(2026,9,15),'DRAFT 2'!$A:$A,"&lt;="&amp;DATE(2026,9,21))</f>
        <v>0</v>
      </c>
      <c r="HB55">
        <f>COUNTIFS('DRAFT 2'!$D:$D,$B55,'DRAFT 2'!$A:$A,"&gt;="&amp;DATE(2026,9,22),'DRAFT 2'!$A:$A,"&lt;"&amp;DATE(2026,IF(9=12,9+1,9+1),1))</f>
        <v>0</v>
      </c>
      <c r="HC55">
        <f t="shared" si="24"/>
        <v>0</v>
      </c>
      <c r="HN55">
        <f>IFERROR(LOOKUP(2,1/('DRAFT 2'!$D:$D=$B55)*('DRAFT 2'!$A:$A&gt;=DATE(2026,10,1))*('DRAFT 2'!$A:$A&lt;DATE(2026,IF(10=12,10+1,10+1),1)),'DRAFT 2'!$A:$A),"")</f>
        <v>0</v>
      </c>
      <c r="HO55">
        <f>COUNTIFS('DRAFT 2'!$D:$D,$B55,'DRAFT 2'!$A:$A,"&gt;="&amp;DATE(2026,10,1),'DRAFT 2'!$A:$A,"&lt;="&amp;DATE(2026,10,7))</f>
        <v>0</v>
      </c>
      <c r="HP55">
        <f>COUNTIFS('DRAFT 2'!$D:$D,$B55,'DRAFT 2'!$A:$A,"&gt;="&amp;DATE(2026,10,8),'DRAFT 2'!$A:$A,"&lt;="&amp;DATE(2026,10,14))</f>
        <v>0</v>
      </c>
      <c r="HQ55">
        <f>COUNTIFS('DRAFT 2'!$D:$D,$B55,'DRAFT 2'!$A:$A,"&gt;="&amp;DATE(2026,10,15),'DRAFT 2'!$A:$A,"&lt;="&amp;DATE(2026,10,21))</f>
        <v>0</v>
      </c>
      <c r="HR55">
        <f>COUNTIFS('DRAFT 2'!$D:$D,$B55,'DRAFT 2'!$A:$A,"&gt;="&amp;DATE(2026,10,22),'DRAFT 2'!$A:$A,"&lt;"&amp;DATE(2026,IF(10=12,10+1,10+1),1))</f>
        <v>0</v>
      </c>
      <c r="HS55">
        <f t="shared" si="25"/>
        <v>0</v>
      </c>
      <c r="IC55">
        <f>IFERROR(LOOKUP(2,1/('DRAFT 2'!$D:$D=$B55)*('DRAFT 2'!$A:$A&gt;=DATE(2026,11,1))*('DRAFT 2'!$A:$A&lt;DATE(2026,IF(11=12,11+1,11+1),1)),'DRAFT 2'!$A:$A),"")</f>
        <v>0</v>
      </c>
      <c r="ID55">
        <f>COUNTIFS('DRAFT 2'!$D:$D,$B55,'DRAFT 2'!$A:$A,"&gt;="&amp;DATE(2026,11,1),'DRAFT 2'!$A:$A,"&lt;="&amp;DATE(2026,11,7))</f>
        <v>0</v>
      </c>
      <c r="IE55">
        <f>COUNTIFS('DRAFT 2'!$D:$D,$B55,'DRAFT 2'!$A:$A,"&gt;="&amp;DATE(2026,11,8),'DRAFT 2'!$A:$A,"&lt;="&amp;DATE(2026,11,14))</f>
        <v>0</v>
      </c>
      <c r="IF55">
        <f>COUNTIFS('DRAFT 2'!$D:$D,$B55,'DRAFT 2'!$A:$A,"&gt;="&amp;DATE(2026,11,15),'DRAFT 2'!$A:$A,"&lt;="&amp;DATE(2026,11,21))</f>
        <v>0</v>
      </c>
      <c r="IG55">
        <f>COUNTIFS('DRAFT 2'!$D:$D,$B55,'DRAFT 2'!$A:$A,"&gt;="&amp;DATE(2026,11,22),'DRAFT 2'!$A:$A,"&lt;"&amp;DATE(2026,IF(11=12,11+1,11+1),1))</f>
        <v>0</v>
      </c>
      <c r="IH55">
        <f t="shared" si="26"/>
        <v>0</v>
      </c>
      <c r="IR55">
        <f>IFERROR(LOOKUP(2,1/('DRAFT 2'!$D:$D=$B55)*('DRAFT 2'!$A:$A&gt;=DATE(2026,12,1))*('DRAFT 2'!$A:$A&lt;DATE(2026,IF(12=12,12+1,12+1),1)),'DRAFT 2'!$A:$A),"")</f>
        <v>0</v>
      </c>
      <c r="IS55">
        <f>COUNTIFS('DRAFT 2'!$D:$D,$B55,'DRAFT 2'!$A:$A,"&gt;="&amp;DATE(2026,12,1),'DRAFT 2'!$A:$A,"&lt;="&amp;DATE(2026,12,7))</f>
        <v>0</v>
      </c>
      <c r="IT55">
        <f>COUNTIFS('DRAFT 2'!$D:$D,$B55,'DRAFT 2'!$A:$A,"&gt;="&amp;DATE(2026,12,8),'DRAFT 2'!$A:$A,"&lt;="&amp;DATE(2026,12,14))</f>
        <v>0</v>
      </c>
      <c r="IU55">
        <f>COUNTIFS('DRAFT 2'!$D:$D,$B55,'DRAFT 2'!$A:$A,"&gt;="&amp;DATE(2026,12,15),'DRAFT 2'!$A:$A,"&lt;="&amp;DATE(2026,12,21))</f>
        <v>0</v>
      </c>
      <c r="IV55">
        <f>COUNTIFS('DRAFT 2'!$D:$D,$B55,'DRAFT 2'!$A:$A,"&gt;="&amp;DATE(2026,12,22),'DRAFT 2'!$A:$A,"&lt;"&amp;DATE(2026,IF(12=12,12+1,12+1),1))</f>
        <v>0</v>
      </c>
      <c r="IW55">
        <f t="shared" si="27"/>
        <v>0</v>
      </c>
    </row>
    <row r="56" spans="1:257" x14ac:dyDescent="0.3">
      <c r="A56" t="str">
        <f>IFERROR(INDEX('DRAFT 1'!$A:$A,MATCH($B56,'DRAFT 1'!$B:$B,0)),"")</f>
        <v/>
      </c>
      <c r="C56" t="str">
        <f>IFERROR(INDEX('DRAFT 1'!$C:$C,MATCH($B56,'DRAFT 1'!$B:$B,0)),"")</f>
        <v/>
      </c>
      <c r="D56" t="str">
        <f>IFERROR(INDEX('DRAFT 1'!$D:$D,MATCH($B56,'DRAFT 1'!$B:$B,0)),"")</f>
        <v/>
      </c>
      <c r="E56" t="str">
        <f>IFERROR(INDEX('DRAFT 1'!$E:$E,MATCH($B56,'DRAFT 1'!$B:$B,0)),"")</f>
        <v/>
      </c>
      <c r="F56" t="str">
        <f>IFERROR(INDEX('DRAFT 1'!$F:$F,MATCH($B56,'DRAFT 1'!$B:$B,0)),"")</f>
        <v/>
      </c>
      <c r="G56" t="str">
        <f>IFERROR(INDEX('DRAFT 1'!$G:$G,MATCH($B56,'DRAFT 1'!$B:$B,0)),"")</f>
        <v/>
      </c>
      <c r="H56" t="str">
        <f>IFERROR(INDEX('DRAFT 1'!$H:$H,MATCH($B56,'DRAFT 1'!$B:$B,0)),"")</f>
        <v/>
      </c>
      <c r="I56" t="s">
        <v>289</v>
      </c>
      <c r="K56" t="str">
        <f>IFERROR(INDEX('DRAFT 1'!$AL:$AL,MATCH($B56,'DRAFT 1'!$B:$B,0)),"")</f>
        <v/>
      </c>
      <c r="L56" t="str">
        <f>IFERROR(INDEX('DRAFT 1'!$J:$J,MATCH($B56,'DRAFT 1'!$B:$B,0)),"")</f>
        <v/>
      </c>
      <c r="M56" t="str">
        <f>IFERROR(INDEX('DRAFT 1'!$K:$K,MATCH($B56,'DRAFT 1'!$B:$B,0)),"")</f>
        <v/>
      </c>
      <c r="N56" t="s">
        <v>82</v>
      </c>
      <c r="P56" t="str">
        <f>IFERROR(INDEX('DRAFT 1'!$L:$L,MATCH($B56,'DRAFT 1'!$B:$B,0)),"")</f>
        <v/>
      </c>
      <c r="Q56" t="str">
        <f>IFERROR(INDEX('DRAFT 1'!$M:$M,MATCH($B56,'DRAFT 1'!$B:$B,0)),"")</f>
        <v/>
      </c>
      <c r="R56" t="str">
        <f>IFERROR(INDEX('DRAFT 1'!$N:$N,MATCH($B56,'DRAFT 1'!$B:$B,0)),"")</f>
        <v/>
      </c>
      <c r="S56" t="str">
        <f>IFERROR(INDEX('DRAFT 1'!$O:$O,MATCH($B56,'DRAFT 1'!$B:$B,0)),"")</f>
        <v/>
      </c>
      <c r="T56" t="str">
        <f>IFERROR(INDEX('DRAFT 1'!$P:$P,MATCH($B56,'DRAFT 1'!$B:$B,0)),"")</f>
        <v/>
      </c>
      <c r="U56" t="str">
        <f>IFERROR(INDEX('DRAFT 1'!$Q:$Q,MATCH($B56,'DRAFT 1'!$B:$B,0)),"")</f>
        <v/>
      </c>
      <c r="V56" t="str">
        <f>IFERROR(INDEX('DRAFT 1'!$R:$R,MATCH($B56,'DRAFT 1'!$B:$B,0)),"")</f>
        <v/>
      </c>
      <c r="W56" t="str">
        <f>IFERROR(INDEX('DRAFT 1'!$S:$S,MATCH($B56,'DRAFT 1'!$B:$B,0)),"")</f>
        <v/>
      </c>
      <c r="X56" t="str">
        <f>IFERROR(INDEX('DRAFT 1'!$T:$T,MATCH($B56,'DRAFT 1'!$B:$B,0)),"")</f>
        <v/>
      </c>
      <c r="Z56" t="str">
        <f>IFERROR(INDEX('DRAFT 1'!$U:$U,MATCH($B56,'DRAFT 1'!$B:$B,0)),"")</f>
        <v/>
      </c>
      <c r="AA56" t="str">
        <f>IFERROR(INDEX('DRAFT 1'!$V:$V,MATCH($B56,'DRAFT 1'!$B:$B,0)),"")</f>
        <v/>
      </c>
      <c r="AB56" t="str">
        <f>IFERROR(INDEX('DRAFT 1'!$W:$W,MATCH($B56,'DRAFT 1'!$B:$B,0)),"")</f>
        <v/>
      </c>
      <c r="AC56" t="str">
        <f>IFERROR(INDEX('DRAFT 1'!$X:$X,MATCH($B56,'DRAFT 1'!$B:$B,0)),"")</f>
        <v/>
      </c>
      <c r="AD56" t="str">
        <f>IFERROR(INDEX('DRAFT 1'!$Y:$Y,MATCH($B56,'DRAFT 1'!$B:$B,0)),"")</f>
        <v/>
      </c>
      <c r="AE56" t="str">
        <f>IFERROR(INDEX('DRAFT 1'!$Z:$Z,MATCH($B56,'DRAFT 1'!$B:$B,0)),"")</f>
        <v/>
      </c>
      <c r="AF56" t="str">
        <f>IFERROR(INDEX('DRAFT 1'!$AA:$AA,MATCH($B56,'DRAFT 1'!$B:$B,0)),"")</f>
        <v/>
      </c>
      <c r="AG56" t="str">
        <f>IFERROR(INDEX('DRAFT 1'!$AB:$AB,MATCH($B56,'DRAFT 1'!$B:$B,0)),"")</f>
        <v/>
      </c>
      <c r="AH56" t="str">
        <f>IFERROR(INDEX('DRAFT 1'!$AC:$AC,MATCH($B56,'DRAFT 1'!$B:$B,0)),"")</f>
        <v/>
      </c>
      <c r="AI56" t="str">
        <f>IFERROR(INDEX('DRAFT 1'!$AD:$AD,MATCH($B56,'DRAFT 1'!$B:$B,0)),"")</f>
        <v/>
      </c>
      <c r="AJ56" t="str">
        <f>IFERROR(INDEX('DRAFT 1'!$AE:$AE,MATCH($B56,'DRAFT 1'!$B:$B,0)),"")</f>
        <v/>
      </c>
      <c r="AK56" t="str">
        <f>IFERROR(INDEX('DRAFT 1'!$AG:$AG,MATCH($B56,'DRAFT 1'!$B:$B,0)),"")</f>
        <v/>
      </c>
      <c r="AL56" t="str">
        <f>IFERROR(INDEX('DRAFT 1'!$AH:$AH,MATCH($B56,'DRAFT 1'!$B:$B,0)),"")</f>
        <v/>
      </c>
      <c r="AM56" t="str">
        <f>IFERROR(INDEX('DRAFT 1'!$AI:$AI,MATCH($B56,'DRAFT 1'!$B:$B,0)),"")</f>
        <v/>
      </c>
      <c r="AN56" t="str">
        <f>IFERROR(INDEX('DRAFT 1'!$AJ:$AJ,MATCH($B56,'DRAFT 1'!$B:$B,0)),"")</f>
        <v/>
      </c>
      <c r="AO56">
        <f t="shared" si="14"/>
        <v>0</v>
      </c>
      <c r="AP56" t="str">
        <f>IFERROR(INDEX('DRAFT 1'!$AK:$AK,MATCH($B56,'DRAFT 1'!$B:$B,0)),"")</f>
        <v/>
      </c>
      <c r="AR56" t="s">
        <v>92</v>
      </c>
      <c r="AS56">
        <f>IFERROR(LOOKUP(2,1/('DRAFT 2'!$D:$D=$B56),'DRAFT 2'!$T:$T),"")</f>
        <v>0</v>
      </c>
      <c r="AT56">
        <f>IFERROR(LOOKUP(2,1/('DRAFT 2'!$D:$D=$B56),'DRAFT 2'!$A:$A),"")</f>
        <v>0</v>
      </c>
      <c r="AU56">
        <f>IFERROR(LOOKUP(2,1/('DRAFT 2'!$D:$D=$B56),'DRAFT 2'!$R:$R),"")</f>
        <v>0</v>
      </c>
      <c r="AV56">
        <f>IFERROR(LOOKUP(2,1/('DRAFT 2'!$D:$D=$B56),'DRAFT 2'!$S:$S),"")</f>
        <v>0</v>
      </c>
      <c r="AW56" t="s">
        <v>88</v>
      </c>
      <c r="AX56">
        <f>IFERROR(LOOKUP(2,1/('DRAFT 2'!$D:$D=$B56),'DRAFT 2'!$M:$M),"")</f>
        <v>0</v>
      </c>
      <c r="AY56">
        <f>IFERROR(LOOKUP(2,1/('DRAFT 2'!$D:$D=$B56),'DRAFT 2'!$K:$K),"")</f>
        <v>0</v>
      </c>
      <c r="BG56">
        <f>IFERROR(LOOKUP(2,1/('DRAFT 2'!$D:$D=$B56),'DRAFT 2'!$U:$U),"")</f>
        <v>0</v>
      </c>
      <c r="BH56">
        <f>IFERROR(LOOKUP(2,1/('DRAFT 2'!$D:$D=$B56),'DRAFT 2'!$V:$V),"")</f>
        <v>0</v>
      </c>
      <c r="CE56" t="str">
        <f t="shared" si="15"/>
        <v/>
      </c>
      <c r="CF56">
        <f>IFERROR(LOOKUP(2,1/('DRAFT 2'!$D:$D=$B56)*('DRAFT 2'!$A:$A&gt;=DATE(2026,1,1))*('DRAFT 2'!$A:$A&lt;DATE(2026,IF(1=12,1+1,1+1),1)),'DRAFT 2'!$A:$A),"")</f>
        <v>0</v>
      </c>
      <c r="CG56">
        <f>COUNTIFS('DRAFT 2'!$D:$D,$B56,'DRAFT 2'!$A:$A,"&gt;="&amp;DATE(2026,1,1),'DRAFT 2'!$A:$A,"&lt;="&amp;DATE(2026,1,7))</f>
        <v>0</v>
      </c>
      <c r="CH56">
        <f>COUNTIFS('DRAFT 2'!$D:$D,$B56,'DRAFT 2'!$A:$A,"&gt;="&amp;DATE(2026,1,8),'DRAFT 2'!$A:$A,"&lt;="&amp;DATE(2026,1,14))</f>
        <v>0</v>
      </c>
      <c r="CI56">
        <f>COUNTIFS('DRAFT 2'!$D:$D,$B56,'DRAFT 2'!$A:$A,"&gt;="&amp;DATE(2026,1,15),'DRAFT 2'!$A:$A,"&lt;="&amp;DATE(2026,1,21))</f>
        <v>0</v>
      </c>
      <c r="CJ56">
        <f>COUNTIFS('DRAFT 2'!$D:$D,$B56,'DRAFT 2'!$A:$A,"&gt;="&amp;DATE(2026,1,22),'DRAFT 2'!$A:$A,"&lt;"&amp;DATE(2026,IF(1=12,1+1,1+1),1))</f>
        <v>0</v>
      </c>
      <c r="CK56">
        <f t="shared" si="16"/>
        <v>0</v>
      </c>
      <c r="CT56">
        <v>0</v>
      </c>
      <c r="CU56">
        <f>IFERROR(LOOKUP(2,1/('DRAFT 2'!$D:$D=$B56)*('DRAFT 2'!$A:$A&gt;=DATE(2026,2,1))*('DRAFT 2'!$A:$A&lt;DATE(2026,IF(2=12,2+1,2+1),1)),'DRAFT 2'!$A:$A),"")</f>
        <v>0</v>
      </c>
      <c r="CV56">
        <f>COUNTIFS('DRAFT 2'!$D:$D,$B56,'DRAFT 2'!$A:$A,"&gt;="&amp;DATE(2026,2,1),'DRAFT 2'!$A:$A,"&lt;="&amp;DATE(2026,2,7))</f>
        <v>0</v>
      </c>
      <c r="CW56">
        <f>COUNTIFS('DRAFT 2'!$D:$D,$B56,'DRAFT 2'!$A:$A,"&gt;="&amp;DATE(2026,2,8),'DRAFT 2'!$A:$A,"&lt;="&amp;DATE(2026,2,14))</f>
        <v>0</v>
      </c>
      <c r="CX56">
        <f>COUNTIFS('DRAFT 2'!$D:$D,$B56,'DRAFT 2'!$A:$A,"&gt;="&amp;DATE(2026,2,15),'DRAFT 2'!$A:$A,"&lt;="&amp;DATE(2026,2,21))</f>
        <v>0</v>
      </c>
      <c r="CY56">
        <f>COUNTIFS('DRAFT 2'!$D:$D,$B56,'DRAFT 2'!$A:$A,"&gt;="&amp;DATE(2026,2,22),'DRAFT 2'!$A:$A,"&lt;"&amp;DATE(2026,IF(2=12,2+1,2+1),1))</f>
        <v>0</v>
      </c>
      <c r="CZ56">
        <f t="shared" si="17"/>
        <v>0</v>
      </c>
      <c r="DJ56">
        <f>IFERROR(LOOKUP(2,1/('DRAFT 2'!$D:$D=$B56)*('DRAFT 2'!$A:$A&gt;=DATE(2026,3,1))*('DRAFT 2'!$A:$A&lt;DATE(2026,IF(3=12,3+1,3+1),1)),'DRAFT 2'!$A:$A),"")</f>
        <v>0</v>
      </c>
      <c r="DK56">
        <f>COUNTIFS('DRAFT 2'!$D:$D,$B56,'DRAFT 2'!$A:$A,"&gt;="&amp;DATE(2026,3,1),'DRAFT 2'!$A:$A,"&lt;="&amp;DATE(2026,3,7))</f>
        <v>0</v>
      </c>
      <c r="DL56">
        <f>COUNTIFS('DRAFT 2'!$D:$D,$B56,'DRAFT 2'!$A:$A,"&gt;="&amp;DATE(2026,3,8),'DRAFT 2'!$A:$A,"&lt;="&amp;DATE(2026,3,14))</f>
        <v>0</v>
      </c>
      <c r="DM56">
        <f>COUNTIFS('DRAFT 2'!$D:$D,$B56,'DRAFT 2'!$A:$A,"&gt;="&amp;DATE(2026,3,15),'DRAFT 2'!$A:$A,"&lt;="&amp;DATE(2026,3,21))</f>
        <v>0</v>
      </c>
      <c r="DN56">
        <f>COUNTIFS('DRAFT 2'!$D:$D,$B56,'DRAFT 2'!$A:$A,"&gt;="&amp;DATE(2026,3,22),'DRAFT 2'!$A:$A,"&lt;"&amp;DATE(2026,IF(3=12,3+1,3+1),1))</f>
        <v>0</v>
      </c>
      <c r="DO56">
        <f t="shared" si="18"/>
        <v>0</v>
      </c>
      <c r="DZ56">
        <f>IFERROR(LOOKUP(2,1/('DRAFT 2'!$D:$D=$B56)*('DRAFT 2'!$A:$A&gt;=DATE(2026,4,1))*('DRAFT 2'!$A:$A&lt;DATE(2026,IF(4=12,4+1,4+1),1)),'DRAFT 2'!$A:$A),"")</f>
        <v>0</v>
      </c>
      <c r="EA56">
        <f>COUNTIFS('DRAFT 2'!$D:$D,$B56,'DRAFT 2'!$A:$A,"&gt;="&amp;DATE(2026,4,1),'DRAFT 2'!$A:$A,"&lt;="&amp;DATE(2026,4,7))</f>
        <v>0</v>
      </c>
      <c r="EB56">
        <f>COUNTIFS('DRAFT 2'!$D:$D,$B56,'DRAFT 2'!$A:$A,"&gt;="&amp;DATE(2026,4,8),'DRAFT 2'!$A:$A,"&lt;="&amp;DATE(2026,4,14))</f>
        <v>0</v>
      </c>
      <c r="EC56">
        <f>COUNTIFS('DRAFT 2'!$D:$D,$B56,'DRAFT 2'!$A:$A,"&gt;="&amp;DATE(2026,4,15),'DRAFT 2'!$A:$A,"&lt;="&amp;DATE(2026,4,21))</f>
        <v>0</v>
      </c>
      <c r="ED56">
        <f>COUNTIFS('DRAFT 2'!$D:$D,$B56,'DRAFT 2'!$A:$A,"&gt;="&amp;DATE(2026,4,22),'DRAFT 2'!$A:$A,"&lt;"&amp;DATE(2026,IF(4=12,4+1,4+1),1))</f>
        <v>0</v>
      </c>
      <c r="EE56">
        <f t="shared" si="19"/>
        <v>0</v>
      </c>
      <c r="EO56">
        <f>IFERROR(LOOKUP(2,1/('DRAFT 2'!$D:$D=$B56)*('DRAFT 2'!$A:$A&gt;=DATE(2026,5,1))*('DRAFT 2'!$A:$A&lt;DATE(2026,IF(5=12,5+1,5+1),1)),'DRAFT 2'!$A:$A),"")</f>
        <v>0</v>
      </c>
      <c r="EP56">
        <f>COUNTIFS('DRAFT 2'!$D:$D,$B56,'DRAFT 2'!$A:$A,"&gt;="&amp;DATE(2026,5,1),'DRAFT 2'!$A:$A,"&lt;="&amp;DATE(2026,5,7))</f>
        <v>0</v>
      </c>
      <c r="EQ56">
        <f>COUNTIFS('DRAFT 2'!$D:$D,$B56,'DRAFT 2'!$A:$A,"&gt;="&amp;DATE(2026,5,8),'DRAFT 2'!$A:$A,"&lt;="&amp;DATE(2026,5,14))</f>
        <v>0</v>
      </c>
      <c r="ER56">
        <f>COUNTIFS('DRAFT 2'!$D:$D,$B56,'DRAFT 2'!$A:$A,"&gt;="&amp;DATE(2026,5,15),'DRAFT 2'!$A:$A,"&lt;="&amp;DATE(2026,5,21))</f>
        <v>0</v>
      </c>
      <c r="ES56">
        <f>COUNTIFS('DRAFT 2'!$D:$D,$B56,'DRAFT 2'!$A:$A,"&gt;="&amp;DATE(2026,5,22),'DRAFT 2'!$A:$A,"&lt;"&amp;DATE(2026,IF(5=12,5+1,5+1),1))</f>
        <v>0</v>
      </c>
      <c r="ET56">
        <f t="shared" si="20"/>
        <v>0</v>
      </c>
      <c r="FD56">
        <f>IFERROR(LOOKUP(2,1/('DRAFT 2'!$D:$D=$B56)*('DRAFT 2'!$A:$A&gt;=DATE(2026,6,1))*('DRAFT 2'!$A:$A&lt;DATE(2026,IF(6=12,6+1,6+1),1)),'DRAFT 2'!$A:$A),"")</f>
        <v>0</v>
      </c>
      <c r="FE56">
        <f>COUNTIFS('DRAFT 2'!$D:$D,$B56,'DRAFT 2'!$A:$A,"&gt;="&amp;DATE(2026,6,1),'DRAFT 2'!$A:$A,"&lt;="&amp;DATE(2026,6,7))</f>
        <v>0</v>
      </c>
      <c r="FF56">
        <f>COUNTIFS('DRAFT 2'!$D:$D,$B56,'DRAFT 2'!$A:$A,"&gt;="&amp;DATE(2026,6,8),'DRAFT 2'!$A:$A,"&lt;="&amp;DATE(2026,6,14))</f>
        <v>0</v>
      </c>
      <c r="FG56">
        <f>COUNTIFS('DRAFT 2'!$D:$D,$B56,'DRAFT 2'!$A:$A,"&gt;="&amp;DATE(2026,6,15),'DRAFT 2'!$A:$A,"&lt;="&amp;DATE(2026,6,21))</f>
        <v>0</v>
      </c>
      <c r="FH56">
        <f>COUNTIFS('DRAFT 2'!$D:$D,$B56,'DRAFT 2'!$A:$A,"&gt;="&amp;DATE(2026,6,22),'DRAFT 2'!$A:$A,"&lt;"&amp;DATE(2026,IF(6=12,6+1,6+1),1))</f>
        <v>0</v>
      </c>
      <c r="FI56">
        <f t="shared" si="21"/>
        <v>0</v>
      </c>
      <c r="FT56">
        <f>IFERROR(LOOKUP(2,1/('DRAFT 2'!$D:$D=$B56)*('DRAFT 2'!$A:$A&gt;=DATE(2026,7,1))*('DRAFT 2'!$A:$A&lt;DATE(2026,IF(7=12,7+1,7+1),1)),'DRAFT 2'!$A:$A),"")</f>
        <v>0</v>
      </c>
      <c r="FU56">
        <f>COUNTIFS('DRAFT 2'!$D:$D,$B56,'DRAFT 2'!$A:$A,"&gt;="&amp;DATE(2026,7,1),'DRAFT 2'!$A:$A,"&lt;="&amp;DATE(2026,7,7))</f>
        <v>0</v>
      </c>
      <c r="FV56">
        <f>COUNTIFS('DRAFT 2'!$D:$D,$B56,'DRAFT 2'!$A:$A,"&gt;="&amp;DATE(2026,7,8),'DRAFT 2'!$A:$A,"&lt;="&amp;DATE(2026,7,14))</f>
        <v>0</v>
      </c>
      <c r="FW56">
        <f>COUNTIFS('DRAFT 2'!$D:$D,$B56,'DRAFT 2'!$A:$A,"&gt;="&amp;DATE(2026,7,15),'DRAFT 2'!$A:$A,"&lt;="&amp;DATE(2026,7,21))</f>
        <v>0</v>
      </c>
      <c r="FX56">
        <f>COUNTIFS('DRAFT 2'!$D:$D,$B56,'DRAFT 2'!$A:$A,"&gt;="&amp;DATE(2026,7,22),'DRAFT 2'!$A:$A,"&lt;"&amp;DATE(2026,IF(7=12,7+1,7+1),1))</f>
        <v>0</v>
      </c>
      <c r="FY56">
        <f t="shared" si="22"/>
        <v>0</v>
      </c>
      <c r="GI56">
        <f>IFERROR(LOOKUP(2,1/('DRAFT 2'!$D:$D=$B56)*('DRAFT 2'!$A:$A&gt;=DATE(2026,8,1))*('DRAFT 2'!$A:$A&lt;DATE(2026,IF(8=12,8+1,8+1),1)),'DRAFT 2'!$A:$A),"")</f>
        <v>0</v>
      </c>
      <c r="GJ56">
        <f>COUNTIFS('DRAFT 2'!$D:$D,$B56,'DRAFT 2'!$A:$A,"&gt;="&amp;DATE(2026,8,1),'DRAFT 2'!$A:$A,"&lt;="&amp;DATE(2026,8,7))</f>
        <v>0</v>
      </c>
      <c r="GK56">
        <f>COUNTIFS('DRAFT 2'!$D:$D,$B56,'DRAFT 2'!$A:$A,"&gt;="&amp;DATE(2026,8,8),'DRAFT 2'!$A:$A,"&lt;="&amp;DATE(2026,8,14))</f>
        <v>0</v>
      </c>
      <c r="GL56">
        <f>COUNTIFS('DRAFT 2'!$D:$D,$B56,'DRAFT 2'!$A:$A,"&gt;="&amp;DATE(2026,8,15),'DRAFT 2'!$A:$A,"&lt;="&amp;DATE(2026,8,21))</f>
        <v>0</v>
      </c>
      <c r="GM56">
        <f>COUNTIFS('DRAFT 2'!$D:$D,$B56,'DRAFT 2'!$A:$A,"&gt;="&amp;DATE(2026,8,22),'DRAFT 2'!$A:$A,"&lt;"&amp;DATE(2026,IF(8=12,8+1,8+1),1))</f>
        <v>0</v>
      </c>
      <c r="GN56">
        <f t="shared" si="23"/>
        <v>0</v>
      </c>
      <c r="GX56">
        <f>IFERROR(LOOKUP(2,1/('DRAFT 2'!$D:$D=$B56)*('DRAFT 2'!$A:$A&gt;=DATE(2026,9,1))*('DRAFT 2'!$A:$A&lt;DATE(2026,IF(9=12,9+1,9+1),1)),'DRAFT 2'!$A:$A),"")</f>
        <v>0</v>
      </c>
      <c r="GY56">
        <f>COUNTIFS('DRAFT 2'!$D:$D,$B56,'DRAFT 2'!$A:$A,"&gt;="&amp;DATE(2026,9,1),'DRAFT 2'!$A:$A,"&lt;="&amp;DATE(2026,9,7))</f>
        <v>0</v>
      </c>
      <c r="GZ56">
        <f>COUNTIFS('DRAFT 2'!$D:$D,$B56,'DRAFT 2'!$A:$A,"&gt;="&amp;DATE(2026,9,8),'DRAFT 2'!$A:$A,"&lt;="&amp;DATE(2026,9,14))</f>
        <v>0</v>
      </c>
      <c r="HA56">
        <f>COUNTIFS('DRAFT 2'!$D:$D,$B56,'DRAFT 2'!$A:$A,"&gt;="&amp;DATE(2026,9,15),'DRAFT 2'!$A:$A,"&lt;="&amp;DATE(2026,9,21))</f>
        <v>0</v>
      </c>
      <c r="HB56">
        <f>COUNTIFS('DRAFT 2'!$D:$D,$B56,'DRAFT 2'!$A:$A,"&gt;="&amp;DATE(2026,9,22),'DRAFT 2'!$A:$A,"&lt;"&amp;DATE(2026,IF(9=12,9+1,9+1),1))</f>
        <v>0</v>
      </c>
      <c r="HC56">
        <f t="shared" si="24"/>
        <v>0</v>
      </c>
      <c r="HN56">
        <f>IFERROR(LOOKUP(2,1/('DRAFT 2'!$D:$D=$B56)*('DRAFT 2'!$A:$A&gt;=DATE(2026,10,1))*('DRAFT 2'!$A:$A&lt;DATE(2026,IF(10=12,10+1,10+1),1)),'DRAFT 2'!$A:$A),"")</f>
        <v>0</v>
      </c>
      <c r="HO56">
        <f>COUNTIFS('DRAFT 2'!$D:$D,$B56,'DRAFT 2'!$A:$A,"&gt;="&amp;DATE(2026,10,1),'DRAFT 2'!$A:$A,"&lt;="&amp;DATE(2026,10,7))</f>
        <v>0</v>
      </c>
      <c r="HP56">
        <f>COUNTIFS('DRAFT 2'!$D:$D,$B56,'DRAFT 2'!$A:$A,"&gt;="&amp;DATE(2026,10,8),'DRAFT 2'!$A:$A,"&lt;="&amp;DATE(2026,10,14))</f>
        <v>0</v>
      </c>
      <c r="HQ56">
        <f>COUNTIFS('DRAFT 2'!$D:$D,$B56,'DRAFT 2'!$A:$A,"&gt;="&amp;DATE(2026,10,15),'DRAFT 2'!$A:$A,"&lt;="&amp;DATE(2026,10,21))</f>
        <v>0</v>
      </c>
      <c r="HR56">
        <f>COUNTIFS('DRAFT 2'!$D:$D,$B56,'DRAFT 2'!$A:$A,"&gt;="&amp;DATE(2026,10,22),'DRAFT 2'!$A:$A,"&lt;"&amp;DATE(2026,IF(10=12,10+1,10+1),1))</f>
        <v>0</v>
      </c>
      <c r="HS56">
        <f t="shared" si="25"/>
        <v>0</v>
      </c>
      <c r="IC56">
        <f>IFERROR(LOOKUP(2,1/('DRAFT 2'!$D:$D=$B56)*('DRAFT 2'!$A:$A&gt;=DATE(2026,11,1))*('DRAFT 2'!$A:$A&lt;DATE(2026,IF(11=12,11+1,11+1),1)),'DRAFT 2'!$A:$A),"")</f>
        <v>0</v>
      </c>
      <c r="ID56">
        <f>COUNTIFS('DRAFT 2'!$D:$D,$B56,'DRAFT 2'!$A:$A,"&gt;="&amp;DATE(2026,11,1),'DRAFT 2'!$A:$A,"&lt;="&amp;DATE(2026,11,7))</f>
        <v>0</v>
      </c>
      <c r="IE56">
        <f>COUNTIFS('DRAFT 2'!$D:$D,$B56,'DRAFT 2'!$A:$A,"&gt;="&amp;DATE(2026,11,8),'DRAFT 2'!$A:$A,"&lt;="&amp;DATE(2026,11,14))</f>
        <v>0</v>
      </c>
      <c r="IF56">
        <f>COUNTIFS('DRAFT 2'!$D:$D,$B56,'DRAFT 2'!$A:$A,"&gt;="&amp;DATE(2026,11,15),'DRAFT 2'!$A:$A,"&lt;="&amp;DATE(2026,11,21))</f>
        <v>0</v>
      </c>
      <c r="IG56">
        <f>COUNTIFS('DRAFT 2'!$D:$D,$B56,'DRAFT 2'!$A:$A,"&gt;="&amp;DATE(2026,11,22),'DRAFT 2'!$A:$A,"&lt;"&amp;DATE(2026,IF(11=12,11+1,11+1),1))</f>
        <v>0</v>
      </c>
      <c r="IH56">
        <f t="shared" si="26"/>
        <v>0</v>
      </c>
      <c r="IR56">
        <f>IFERROR(LOOKUP(2,1/('DRAFT 2'!$D:$D=$B56)*('DRAFT 2'!$A:$A&gt;=DATE(2026,12,1))*('DRAFT 2'!$A:$A&lt;DATE(2026,IF(12=12,12+1,12+1),1)),'DRAFT 2'!$A:$A),"")</f>
        <v>0</v>
      </c>
      <c r="IS56">
        <f>COUNTIFS('DRAFT 2'!$D:$D,$B56,'DRAFT 2'!$A:$A,"&gt;="&amp;DATE(2026,12,1),'DRAFT 2'!$A:$A,"&lt;="&amp;DATE(2026,12,7))</f>
        <v>0</v>
      </c>
      <c r="IT56">
        <f>COUNTIFS('DRAFT 2'!$D:$D,$B56,'DRAFT 2'!$A:$A,"&gt;="&amp;DATE(2026,12,8),'DRAFT 2'!$A:$A,"&lt;="&amp;DATE(2026,12,14))</f>
        <v>0</v>
      </c>
      <c r="IU56">
        <f>COUNTIFS('DRAFT 2'!$D:$D,$B56,'DRAFT 2'!$A:$A,"&gt;="&amp;DATE(2026,12,15),'DRAFT 2'!$A:$A,"&lt;="&amp;DATE(2026,12,21))</f>
        <v>0</v>
      </c>
      <c r="IV56">
        <f>COUNTIFS('DRAFT 2'!$D:$D,$B56,'DRAFT 2'!$A:$A,"&gt;="&amp;DATE(2026,12,22),'DRAFT 2'!$A:$A,"&lt;"&amp;DATE(2026,IF(12=12,12+1,12+1),1))</f>
        <v>0</v>
      </c>
      <c r="IW56">
        <f t="shared" si="27"/>
        <v>0</v>
      </c>
    </row>
    <row r="57" spans="1:257" x14ac:dyDescent="0.3">
      <c r="A57" t="str">
        <f>IFERROR(INDEX('DRAFT 1'!$A:$A,MATCH($B57,'DRAFT 1'!$B:$B,0)),"")</f>
        <v/>
      </c>
      <c r="C57" t="str">
        <f>IFERROR(INDEX('DRAFT 1'!$C:$C,MATCH($B57,'DRAFT 1'!$B:$B,0)),"")</f>
        <v/>
      </c>
      <c r="D57" t="str">
        <f>IFERROR(INDEX('DRAFT 1'!$D:$D,MATCH($B57,'DRAFT 1'!$B:$B,0)),"")</f>
        <v/>
      </c>
      <c r="E57" t="str">
        <f>IFERROR(INDEX('DRAFT 1'!$E:$E,MATCH($B57,'DRAFT 1'!$B:$B,0)),"")</f>
        <v/>
      </c>
      <c r="F57" t="str">
        <f>IFERROR(INDEX('DRAFT 1'!$F:$F,MATCH($B57,'DRAFT 1'!$B:$B,0)),"")</f>
        <v/>
      </c>
      <c r="G57" t="str">
        <f>IFERROR(INDEX('DRAFT 1'!$G:$G,MATCH($B57,'DRAFT 1'!$B:$B,0)),"")</f>
        <v/>
      </c>
      <c r="H57" t="str">
        <f>IFERROR(INDEX('DRAFT 1'!$H:$H,MATCH($B57,'DRAFT 1'!$B:$B,0)),"")</f>
        <v/>
      </c>
      <c r="I57" t="s">
        <v>297</v>
      </c>
      <c r="K57" t="str">
        <f>IFERROR(INDEX('DRAFT 1'!$AL:$AL,MATCH($B57,'DRAFT 1'!$B:$B,0)),"")</f>
        <v/>
      </c>
      <c r="L57" t="str">
        <f>IFERROR(INDEX('DRAFT 1'!$J:$J,MATCH($B57,'DRAFT 1'!$B:$B,0)),"")</f>
        <v/>
      </c>
      <c r="M57" t="str">
        <f>IFERROR(INDEX('DRAFT 1'!$K:$K,MATCH($B57,'DRAFT 1'!$B:$B,0)),"")</f>
        <v/>
      </c>
      <c r="N57" t="s">
        <v>71</v>
      </c>
      <c r="P57" t="str">
        <f>IFERROR(INDEX('DRAFT 1'!$L:$L,MATCH($B57,'DRAFT 1'!$B:$B,0)),"")</f>
        <v/>
      </c>
      <c r="Q57" t="str">
        <f>IFERROR(INDEX('DRAFT 1'!$M:$M,MATCH($B57,'DRAFT 1'!$B:$B,0)),"")</f>
        <v/>
      </c>
      <c r="R57" t="str">
        <f>IFERROR(INDEX('DRAFT 1'!$N:$N,MATCH($B57,'DRAFT 1'!$B:$B,0)),"")</f>
        <v/>
      </c>
      <c r="S57" t="str">
        <f>IFERROR(INDEX('DRAFT 1'!$O:$O,MATCH($B57,'DRAFT 1'!$B:$B,0)),"")</f>
        <v/>
      </c>
      <c r="T57" t="str">
        <f>IFERROR(INDEX('DRAFT 1'!$P:$P,MATCH($B57,'DRAFT 1'!$B:$B,0)),"")</f>
        <v/>
      </c>
      <c r="U57" t="str">
        <f>IFERROR(INDEX('DRAFT 1'!$Q:$Q,MATCH($B57,'DRAFT 1'!$B:$B,0)),"")</f>
        <v/>
      </c>
      <c r="V57" t="str">
        <f>IFERROR(INDEX('DRAFT 1'!$R:$R,MATCH($B57,'DRAFT 1'!$B:$B,0)),"")</f>
        <v/>
      </c>
      <c r="W57" t="str">
        <f>IFERROR(INDEX('DRAFT 1'!$S:$S,MATCH($B57,'DRAFT 1'!$B:$B,0)),"")</f>
        <v/>
      </c>
      <c r="X57" t="str">
        <f>IFERROR(INDEX('DRAFT 1'!$T:$T,MATCH($B57,'DRAFT 1'!$B:$B,0)),"")</f>
        <v/>
      </c>
      <c r="Z57" t="str">
        <f>IFERROR(INDEX('DRAFT 1'!$U:$U,MATCH($B57,'DRAFT 1'!$B:$B,0)),"")</f>
        <v/>
      </c>
      <c r="AA57" t="str">
        <f>IFERROR(INDEX('DRAFT 1'!$V:$V,MATCH($B57,'DRAFT 1'!$B:$B,0)),"")</f>
        <v/>
      </c>
      <c r="AB57" t="str">
        <f>IFERROR(INDEX('DRAFT 1'!$W:$W,MATCH($B57,'DRAFT 1'!$B:$B,0)),"")</f>
        <v/>
      </c>
      <c r="AC57" t="str">
        <f>IFERROR(INDEX('DRAFT 1'!$X:$X,MATCH($B57,'DRAFT 1'!$B:$B,0)),"")</f>
        <v/>
      </c>
      <c r="AD57" t="str">
        <f>IFERROR(INDEX('DRAFT 1'!$Y:$Y,MATCH($B57,'DRAFT 1'!$B:$B,0)),"")</f>
        <v/>
      </c>
      <c r="AE57" t="str">
        <f>IFERROR(INDEX('DRAFT 1'!$Z:$Z,MATCH($B57,'DRAFT 1'!$B:$B,0)),"")</f>
        <v/>
      </c>
      <c r="AF57" t="str">
        <f>IFERROR(INDEX('DRAFT 1'!$AA:$AA,MATCH($B57,'DRAFT 1'!$B:$B,0)),"")</f>
        <v/>
      </c>
      <c r="AG57" t="str">
        <f>IFERROR(INDEX('DRAFT 1'!$AB:$AB,MATCH($B57,'DRAFT 1'!$B:$B,0)),"")</f>
        <v/>
      </c>
      <c r="AH57" t="str">
        <f>IFERROR(INDEX('DRAFT 1'!$AC:$AC,MATCH($B57,'DRAFT 1'!$B:$B,0)),"")</f>
        <v/>
      </c>
      <c r="AI57" t="str">
        <f>IFERROR(INDEX('DRAFT 1'!$AD:$AD,MATCH($B57,'DRAFT 1'!$B:$B,0)),"")</f>
        <v/>
      </c>
      <c r="AJ57" t="str">
        <f>IFERROR(INDEX('DRAFT 1'!$AE:$AE,MATCH($B57,'DRAFT 1'!$B:$B,0)),"")</f>
        <v/>
      </c>
      <c r="AK57" t="str">
        <f>IFERROR(INDEX('DRAFT 1'!$AG:$AG,MATCH($B57,'DRAFT 1'!$B:$B,0)),"")</f>
        <v/>
      </c>
      <c r="AL57" t="str">
        <f>IFERROR(INDEX('DRAFT 1'!$AH:$AH,MATCH($B57,'DRAFT 1'!$B:$B,0)),"")</f>
        <v/>
      </c>
      <c r="AM57" t="str">
        <f>IFERROR(INDEX('DRAFT 1'!$AI:$AI,MATCH($B57,'DRAFT 1'!$B:$B,0)),"")</f>
        <v/>
      </c>
      <c r="AN57" t="str">
        <f>IFERROR(INDEX('DRAFT 1'!$AJ:$AJ,MATCH($B57,'DRAFT 1'!$B:$B,0)),"")</f>
        <v/>
      </c>
      <c r="AO57">
        <f t="shared" si="14"/>
        <v>0</v>
      </c>
      <c r="AP57" t="str">
        <f>IFERROR(INDEX('DRAFT 1'!$AK:$AK,MATCH($B57,'DRAFT 1'!$B:$B,0)),"")</f>
        <v/>
      </c>
      <c r="AR57" t="s">
        <v>5</v>
      </c>
      <c r="AS57">
        <f>IFERROR(LOOKUP(2,1/('DRAFT 2'!$D:$D=$B57),'DRAFT 2'!$T:$T),"")</f>
        <v>0</v>
      </c>
      <c r="AT57">
        <f>IFERROR(LOOKUP(2,1/('DRAFT 2'!$D:$D=$B57),'DRAFT 2'!$A:$A),"")</f>
        <v>0</v>
      </c>
      <c r="AU57">
        <f>IFERROR(LOOKUP(2,1/('DRAFT 2'!$D:$D=$B57),'DRAFT 2'!$R:$R),"")</f>
        <v>0</v>
      </c>
      <c r="AV57">
        <f>IFERROR(LOOKUP(2,1/('DRAFT 2'!$D:$D=$B57),'DRAFT 2'!$S:$S),"")</f>
        <v>0</v>
      </c>
      <c r="AW57" t="s">
        <v>128</v>
      </c>
      <c r="AX57">
        <f>IFERROR(LOOKUP(2,1/('DRAFT 2'!$D:$D=$B57),'DRAFT 2'!$M:$M),"")</f>
        <v>0</v>
      </c>
      <c r="AY57">
        <f>IFERROR(LOOKUP(2,1/('DRAFT 2'!$D:$D=$B57),'DRAFT 2'!$K:$K),"")</f>
        <v>0</v>
      </c>
      <c r="BG57">
        <f>IFERROR(LOOKUP(2,1/('DRAFT 2'!$D:$D=$B57),'DRAFT 2'!$U:$U),"")</f>
        <v>0</v>
      </c>
      <c r="BH57">
        <f>IFERROR(LOOKUP(2,1/('DRAFT 2'!$D:$D=$B57),'DRAFT 2'!$V:$V),"")</f>
        <v>0</v>
      </c>
      <c r="CE57" t="str">
        <f t="shared" si="15"/>
        <v/>
      </c>
      <c r="CF57">
        <f>IFERROR(LOOKUP(2,1/('DRAFT 2'!$D:$D=$B57)*('DRAFT 2'!$A:$A&gt;=DATE(2026,1,1))*('DRAFT 2'!$A:$A&lt;DATE(2026,IF(1=12,1+1,1+1),1)),'DRAFT 2'!$A:$A),"")</f>
        <v>0</v>
      </c>
      <c r="CG57">
        <f>COUNTIFS('DRAFT 2'!$D:$D,$B57,'DRAFT 2'!$A:$A,"&gt;="&amp;DATE(2026,1,1),'DRAFT 2'!$A:$A,"&lt;="&amp;DATE(2026,1,7))</f>
        <v>0</v>
      </c>
      <c r="CH57">
        <f>COUNTIFS('DRAFT 2'!$D:$D,$B57,'DRAFT 2'!$A:$A,"&gt;="&amp;DATE(2026,1,8),'DRAFT 2'!$A:$A,"&lt;="&amp;DATE(2026,1,14))</f>
        <v>0</v>
      </c>
      <c r="CI57">
        <f>COUNTIFS('DRAFT 2'!$D:$D,$B57,'DRAFT 2'!$A:$A,"&gt;="&amp;DATE(2026,1,15),'DRAFT 2'!$A:$A,"&lt;="&amp;DATE(2026,1,21))</f>
        <v>0</v>
      </c>
      <c r="CJ57">
        <f>COUNTIFS('DRAFT 2'!$D:$D,$B57,'DRAFT 2'!$A:$A,"&gt;="&amp;DATE(2026,1,22),'DRAFT 2'!$A:$A,"&lt;"&amp;DATE(2026,IF(1=12,1+1,1+1),1))</f>
        <v>0</v>
      </c>
      <c r="CK57">
        <f t="shared" si="16"/>
        <v>0</v>
      </c>
      <c r="CT57">
        <v>0</v>
      </c>
      <c r="CU57">
        <f>IFERROR(LOOKUP(2,1/('DRAFT 2'!$D:$D=$B57)*('DRAFT 2'!$A:$A&gt;=DATE(2026,2,1))*('DRAFT 2'!$A:$A&lt;DATE(2026,IF(2=12,2+1,2+1),1)),'DRAFT 2'!$A:$A),"")</f>
        <v>0</v>
      </c>
      <c r="CV57">
        <f>COUNTIFS('DRAFT 2'!$D:$D,$B57,'DRAFT 2'!$A:$A,"&gt;="&amp;DATE(2026,2,1),'DRAFT 2'!$A:$A,"&lt;="&amp;DATE(2026,2,7))</f>
        <v>0</v>
      </c>
      <c r="CW57">
        <f>COUNTIFS('DRAFT 2'!$D:$D,$B57,'DRAFT 2'!$A:$A,"&gt;="&amp;DATE(2026,2,8),'DRAFT 2'!$A:$A,"&lt;="&amp;DATE(2026,2,14))</f>
        <v>0</v>
      </c>
      <c r="CX57">
        <f>COUNTIFS('DRAFT 2'!$D:$D,$B57,'DRAFT 2'!$A:$A,"&gt;="&amp;DATE(2026,2,15),'DRAFT 2'!$A:$A,"&lt;="&amp;DATE(2026,2,21))</f>
        <v>0</v>
      </c>
      <c r="CY57">
        <f>COUNTIFS('DRAFT 2'!$D:$D,$B57,'DRAFT 2'!$A:$A,"&gt;="&amp;DATE(2026,2,22),'DRAFT 2'!$A:$A,"&lt;"&amp;DATE(2026,IF(2=12,2+1,2+1),1))</f>
        <v>0</v>
      </c>
      <c r="CZ57">
        <f t="shared" si="17"/>
        <v>0</v>
      </c>
      <c r="DJ57">
        <f>IFERROR(LOOKUP(2,1/('DRAFT 2'!$D:$D=$B57)*('DRAFT 2'!$A:$A&gt;=DATE(2026,3,1))*('DRAFT 2'!$A:$A&lt;DATE(2026,IF(3=12,3+1,3+1),1)),'DRAFT 2'!$A:$A),"")</f>
        <v>0</v>
      </c>
      <c r="DK57">
        <f>COUNTIFS('DRAFT 2'!$D:$D,$B57,'DRAFT 2'!$A:$A,"&gt;="&amp;DATE(2026,3,1),'DRAFT 2'!$A:$A,"&lt;="&amp;DATE(2026,3,7))</f>
        <v>0</v>
      </c>
      <c r="DL57">
        <f>COUNTIFS('DRAFT 2'!$D:$D,$B57,'DRAFT 2'!$A:$A,"&gt;="&amp;DATE(2026,3,8),'DRAFT 2'!$A:$A,"&lt;="&amp;DATE(2026,3,14))</f>
        <v>0</v>
      </c>
      <c r="DM57">
        <f>COUNTIFS('DRAFT 2'!$D:$D,$B57,'DRAFT 2'!$A:$A,"&gt;="&amp;DATE(2026,3,15),'DRAFT 2'!$A:$A,"&lt;="&amp;DATE(2026,3,21))</f>
        <v>0</v>
      </c>
      <c r="DN57">
        <f>COUNTIFS('DRAFT 2'!$D:$D,$B57,'DRAFT 2'!$A:$A,"&gt;="&amp;DATE(2026,3,22),'DRAFT 2'!$A:$A,"&lt;"&amp;DATE(2026,IF(3=12,3+1,3+1),1))</f>
        <v>0</v>
      </c>
      <c r="DO57">
        <f t="shared" si="18"/>
        <v>0</v>
      </c>
      <c r="DZ57">
        <f>IFERROR(LOOKUP(2,1/('DRAFT 2'!$D:$D=$B57)*('DRAFT 2'!$A:$A&gt;=DATE(2026,4,1))*('DRAFT 2'!$A:$A&lt;DATE(2026,IF(4=12,4+1,4+1),1)),'DRAFT 2'!$A:$A),"")</f>
        <v>0</v>
      </c>
      <c r="EA57">
        <f>COUNTIFS('DRAFT 2'!$D:$D,$B57,'DRAFT 2'!$A:$A,"&gt;="&amp;DATE(2026,4,1),'DRAFT 2'!$A:$A,"&lt;="&amp;DATE(2026,4,7))</f>
        <v>0</v>
      </c>
      <c r="EB57">
        <f>COUNTIFS('DRAFT 2'!$D:$D,$B57,'DRAFT 2'!$A:$A,"&gt;="&amp;DATE(2026,4,8),'DRAFT 2'!$A:$A,"&lt;="&amp;DATE(2026,4,14))</f>
        <v>0</v>
      </c>
      <c r="EC57">
        <f>COUNTIFS('DRAFT 2'!$D:$D,$B57,'DRAFT 2'!$A:$A,"&gt;="&amp;DATE(2026,4,15),'DRAFT 2'!$A:$A,"&lt;="&amp;DATE(2026,4,21))</f>
        <v>0</v>
      </c>
      <c r="ED57">
        <f>COUNTIFS('DRAFT 2'!$D:$D,$B57,'DRAFT 2'!$A:$A,"&gt;="&amp;DATE(2026,4,22),'DRAFT 2'!$A:$A,"&lt;"&amp;DATE(2026,IF(4=12,4+1,4+1),1))</f>
        <v>0</v>
      </c>
      <c r="EE57">
        <f t="shared" si="19"/>
        <v>0</v>
      </c>
      <c r="EO57">
        <f>IFERROR(LOOKUP(2,1/('DRAFT 2'!$D:$D=$B57)*('DRAFT 2'!$A:$A&gt;=DATE(2026,5,1))*('DRAFT 2'!$A:$A&lt;DATE(2026,IF(5=12,5+1,5+1),1)),'DRAFT 2'!$A:$A),"")</f>
        <v>0</v>
      </c>
      <c r="EP57">
        <f>COUNTIFS('DRAFT 2'!$D:$D,$B57,'DRAFT 2'!$A:$A,"&gt;="&amp;DATE(2026,5,1),'DRAFT 2'!$A:$A,"&lt;="&amp;DATE(2026,5,7))</f>
        <v>0</v>
      </c>
      <c r="EQ57">
        <f>COUNTIFS('DRAFT 2'!$D:$D,$B57,'DRAFT 2'!$A:$A,"&gt;="&amp;DATE(2026,5,8),'DRAFT 2'!$A:$A,"&lt;="&amp;DATE(2026,5,14))</f>
        <v>0</v>
      </c>
      <c r="ER57">
        <f>COUNTIFS('DRAFT 2'!$D:$D,$B57,'DRAFT 2'!$A:$A,"&gt;="&amp;DATE(2026,5,15),'DRAFT 2'!$A:$A,"&lt;="&amp;DATE(2026,5,21))</f>
        <v>0</v>
      </c>
      <c r="ES57">
        <f>COUNTIFS('DRAFT 2'!$D:$D,$B57,'DRAFT 2'!$A:$A,"&gt;="&amp;DATE(2026,5,22),'DRAFT 2'!$A:$A,"&lt;"&amp;DATE(2026,IF(5=12,5+1,5+1),1))</f>
        <v>0</v>
      </c>
      <c r="ET57">
        <f t="shared" si="20"/>
        <v>0</v>
      </c>
      <c r="FD57">
        <f>IFERROR(LOOKUP(2,1/('DRAFT 2'!$D:$D=$B57)*('DRAFT 2'!$A:$A&gt;=DATE(2026,6,1))*('DRAFT 2'!$A:$A&lt;DATE(2026,IF(6=12,6+1,6+1),1)),'DRAFT 2'!$A:$A),"")</f>
        <v>0</v>
      </c>
      <c r="FE57">
        <f>COUNTIFS('DRAFT 2'!$D:$D,$B57,'DRAFT 2'!$A:$A,"&gt;="&amp;DATE(2026,6,1),'DRAFT 2'!$A:$A,"&lt;="&amp;DATE(2026,6,7))</f>
        <v>0</v>
      </c>
      <c r="FF57">
        <f>COUNTIFS('DRAFT 2'!$D:$D,$B57,'DRAFT 2'!$A:$A,"&gt;="&amp;DATE(2026,6,8),'DRAFT 2'!$A:$A,"&lt;="&amp;DATE(2026,6,14))</f>
        <v>0</v>
      </c>
      <c r="FG57">
        <f>COUNTIFS('DRAFT 2'!$D:$D,$B57,'DRAFT 2'!$A:$A,"&gt;="&amp;DATE(2026,6,15),'DRAFT 2'!$A:$A,"&lt;="&amp;DATE(2026,6,21))</f>
        <v>0</v>
      </c>
      <c r="FH57">
        <f>COUNTIFS('DRAFT 2'!$D:$D,$B57,'DRAFT 2'!$A:$A,"&gt;="&amp;DATE(2026,6,22),'DRAFT 2'!$A:$A,"&lt;"&amp;DATE(2026,IF(6=12,6+1,6+1),1))</f>
        <v>0</v>
      </c>
      <c r="FI57">
        <f t="shared" si="21"/>
        <v>0</v>
      </c>
      <c r="FT57">
        <f>IFERROR(LOOKUP(2,1/('DRAFT 2'!$D:$D=$B57)*('DRAFT 2'!$A:$A&gt;=DATE(2026,7,1))*('DRAFT 2'!$A:$A&lt;DATE(2026,IF(7=12,7+1,7+1),1)),'DRAFT 2'!$A:$A),"")</f>
        <v>0</v>
      </c>
      <c r="FU57">
        <f>COUNTIFS('DRAFT 2'!$D:$D,$B57,'DRAFT 2'!$A:$A,"&gt;="&amp;DATE(2026,7,1),'DRAFT 2'!$A:$A,"&lt;="&amp;DATE(2026,7,7))</f>
        <v>0</v>
      </c>
      <c r="FV57">
        <f>COUNTIFS('DRAFT 2'!$D:$D,$B57,'DRAFT 2'!$A:$A,"&gt;="&amp;DATE(2026,7,8),'DRAFT 2'!$A:$A,"&lt;="&amp;DATE(2026,7,14))</f>
        <v>0</v>
      </c>
      <c r="FW57">
        <f>COUNTIFS('DRAFT 2'!$D:$D,$B57,'DRAFT 2'!$A:$A,"&gt;="&amp;DATE(2026,7,15),'DRAFT 2'!$A:$A,"&lt;="&amp;DATE(2026,7,21))</f>
        <v>0</v>
      </c>
      <c r="FX57">
        <f>COUNTIFS('DRAFT 2'!$D:$D,$B57,'DRAFT 2'!$A:$A,"&gt;="&amp;DATE(2026,7,22),'DRAFT 2'!$A:$A,"&lt;"&amp;DATE(2026,IF(7=12,7+1,7+1),1))</f>
        <v>0</v>
      </c>
      <c r="FY57">
        <f t="shared" si="22"/>
        <v>0</v>
      </c>
      <c r="GI57">
        <f>IFERROR(LOOKUP(2,1/('DRAFT 2'!$D:$D=$B57)*('DRAFT 2'!$A:$A&gt;=DATE(2026,8,1))*('DRAFT 2'!$A:$A&lt;DATE(2026,IF(8=12,8+1,8+1),1)),'DRAFT 2'!$A:$A),"")</f>
        <v>0</v>
      </c>
      <c r="GJ57">
        <f>COUNTIFS('DRAFT 2'!$D:$D,$B57,'DRAFT 2'!$A:$A,"&gt;="&amp;DATE(2026,8,1),'DRAFT 2'!$A:$A,"&lt;="&amp;DATE(2026,8,7))</f>
        <v>0</v>
      </c>
      <c r="GK57">
        <f>COUNTIFS('DRAFT 2'!$D:$D,$B57,'DRAFT 2'!$A:$A,"&gt;="&amp;DATE(2026,8,8),'DRAFT 2'!$A:$A,"&lt;="&amp;DATE(2026,8,14))</f>
        <v>0</v>
      </c>
      <c r="GL57">
        <f>COUNTIFS('DRAFT 2'!$D:$D,$B57,'DRAFT 2'!$A:$A,"&gt;="&amp;DATE(2026,8,15),'DRAFT 2'!$A:$A,"&lt;="&amp;DATE(2026,8,21))</f>
        <v>0</v>
      </c>
      <c r="GM57">
        <f>COUNTIFS('DRAFT 2'!$D:$D,$B57,'DRAFT 2'!$A:$A,"&gt;="&amp;DATE(2026,8,22),'DRAFT 2'!$A:$A,"&lt;"&amp;DATE(2026,IF(8=12,8+1,8+1),1))</f>
        <v>0</v>
      </c>
      <c r="GN57">
        <f t="shared" si="23"/>
        <v>0</v>
      </c>
      <c r="GX57">
        <f>IFERROR(LOOKUP(2,1/('DRAFT 2'!$D:$D=$B57)*('DRAFT 2'!$A:$A&gt;=DATE(2026,9,1))*('DRAFT 2'!$A:$A&lt;DATE(2026,IF(9=12,9+1,9+1),1)),'DRAFT 2'!$A:$A),"")</f>
        <v>0</v>
      </c>
      <c r="GY57">
        <f>COUNTIFS('DRAFT 2'!$D:$D,$B57,'DRAFT 2'!$A:$A,"&gt;="&amp;DATE(2026,9,1),'DRAFT 2'!$A:$A,"&lt;="&amp;DATE(2026,9,7))</f>
        <v>0</v>
      </c>
      <c r="GZ57">
        <f>COUNTIFS('DRAFT 2'!$D:$D,$B57,'DRAFT 2'!$A:$A,"&gt;="&amp;DATE(2026,9,8),'DRAFT 2'!$A:$A,"&lt;="&amp;DATE(2026,9,14))</f>
        <v>0</v>
      </c>
      <c r="HA57">
        <f>COUNTIFS('DRAFT 2'!$D:$D,$B57,'DRAFT 2'!$A:$A,"&gt;="&amp;DATE(2026,9,15),'DRAFT 2'!$A:$A,"&lt;="&amp;DATE(2026,9,21))</f>
        <v>0</v>
      </c>
      <c r="HB57">
        <f>COUNTIFS('DRAFT 2'!$D:$D,$B57,'DRAFT 2'!$A:$A,"&gt;="&amp;DATE(2026,9,22),'DRAFT 2'!$A:$A,"&lt;"&amp;DATE(2026,IF(9=12,9+1,9+1),1))</f>
        <v>0</v>
      </c>
      <c r="HC57">
        <f t="shared" si="24"/>
        <v>0</v>
      </c>
      <c r="HN57">
        <f>IFERROR(LOOKUP(2,1/('DRAFT 2'!$D:$D=$B57)*('DRAFT 2'!$A:$A&gt;=DATE(2026,10,1))*('DRAFT 2'!$A:$A&lt;DATE(2026,IF(10=12,10+1,10+1),1)),'DRAFT 2'!$A:$A),"")</f>
        <v>0</v>
      </c>
      <c r="HO57">
        <f>COUNTIFS('DRAFT 2'!$D:$D,$B57,'DRAFT 2'!$A:$A,"&gt;="&amp;DATE(2026,10,1),'DRAFT 2'!$A:$A,"&lt;="&amp;DATE(2026,10,7))</f>
        <v>0</v>
      </c>
      <c r="HP57">
        <f>COUNTIFS('DRAFT 2'!$D:$D,$B57,'DRAFT 2'!$A:$A,"&gt;="&amp;DATE(2026,10,8),'DRAFT 2'!$A:$A,"&lt;="&amp;DATE(2026,10,14))</f>
        <v>0</v>
      </c>
      <c r="HQ57">
        <f>COUNTIFS('DRAFT 2'!$D:$D,$B57,'DRAFT 2'!$A:$A,"&gt;="&amp;DATE(2026,10,15),'DRAFT 2'!$A:$A,"&lt;="&amp;DATE(2026,10,21))</f>
        <v>0</v>
      </c>
      <c r="HR57">
        <f>COUNTIFS('DRAFT 2'!$D:$D,$B57,'DRAFT 2'!$A:$A,"&gt;="&amp;DATE(2026,10,22),'DRAFT 2'!$A:$A,"&lt;"&amp;DATE(2026,IF(10=12,10+1,10+1),1))</f>
        <v>0</v>
      </c>
      <c r="HS57">
        <f t="shared" si="25"/>
        <v>0</v>
      </c>
      <c r="IC57">
        <f>IFERROR(LOOKUP(2,1/('DRAFT 2'!$D:$D=$B57)*('DRAFT 2'!$A:$A&gt;=DATE(2026,11,1))*('DRAFT 2'!$A:$A&lt;DATE(2026,IF(11=12,11+1,11+1),1)),'DRAFT 2'!$A:$A),"")</f>
        <v>0</v>
      </c>
      <c r="ID57">
        <f>COUNTIFS('DRAFT 2'!$D:$D,$B57,'DRAFT 2'!$A:$A,"&gt;="&amp;DATE(2026,11,1),'DRAFT 2'!$A:$A,"&lt;="&amp;DATE(2026,11,7))</f>
        <v>0</v>
      </c>
      <c r="IE57">
        <f>COUNTIFS('DRAFT 2'!$D:$D,$B57,'DRAFT 2'!$A:$A,"&gt;="&amp;DATE(2026,11,8),'DRAFT 2'!$A:$A,"&lt;="&amp;DATE(2026,11,14))</f>
        <v>0</v>
      </c>
      <c r="IF57">
        <f>COUNTIFS('DRAFT 2'!$D:$D,$B57,'DRAFT 2'!$A:$A,"&gt;="&amp;DATE(2026,11,15),'DRAFT 2'!$A:$A,"&lt;="&amp;DATE(2026,11,21))</f>
        <v>0</v>
      </c>
      <c r="IG57">
        <f>COUNTIFS('DRAFT 2'!$D:$D,$B57,'DRAFT 2'!$A:$A,"&gt;="&amp;DATE(2026,11,22),'DRAFT 2'!$A:$A,"&lt;"&amp;DATE(2026,IF(11=12,11+1,11+1),1))</f>
        <v>0</v>
      </c>
      <c r="IH57">
        <f t="shared" si="26"/>
        <v>0</v>
      </c>
      <c r="IR57">
        <f>IFERROR(LOOKUP(2,1/('DRAFT 2'!$D:$D=$B57)*('DRAFT 2'!$A:$A&gt;=DATE(2026,12,1))*('DRAFT 2'!$A:$A&lt;DATE(2026,IF(12=12,12+1,12+1),1)),'DRAFT 2'!$A:$A),"")</f>
        <v>0</v>
      </c>
      <c r="IS57">
        <f>COUNTIFS('DRAFT 2'!$D:$D,$B57,'DRAFT 2'!$A:$A,"&gt;="&amp;DATE(2026,12,1),'DRAFT 2'!$A:$A,"&lt;="&amp;DATE(2026,12,7))</f>
        <v>0</v>
      </c>
      <c r="IT57">
        <f>COUNTIFS('DRAFT 2'!$D:$D,$B57,'DRAFT 2'!$A:$A,"&gt;="&amp;DATE(2026,12,8),'DRAFT 2'!$A:$A,"&lt;="&amp;DATE(2026,12,14))</f>
        <v>0</v>
      </c>
      <c r="IU57">
        <f>COUNTIFS('DRAFT 2'!$D:$D,$B57,'DRAFT 2'!$A:$A,"&gt;="&amp;DATE(2026,12,15),'DRAFT 2'!$A:$A,"&lt;="&amp;DATE(2026,12,21))</f>
        <v>0</v>
      </c>
      <c r="IV57">
        <f>COUNTIFS('DRAFT 2'!$D:$D,$B57,'DRAFT 2'!$A:$A,"&gt;="&amp;DATE(2026,12,22),'DRAFT 2'!$A:$A,"&lt;"&amp;DATE(2026,IF(12=12,12+1,12+1),1))</f>
        <v>0</v>
      </c>
      <c r="IW57">
        <f t="shared" si="27"/>
        <v>0</v>
      </c>
    </row>
    <row r="58" spans="1:257" x14ac:dyDescent="0.3">
      <c r="A58" t="str">
        <f>IFERROR(INDEX('DRAFT 1'!$A:$A,MATCH($B58,'DRAFT 1'!$B:$B,0)),"")</f>
        <v/>
      </c>
      <c r="C58" t="str">
        <f>IFERROR(INDEX('DRAFT 1'!$C:$C,MATCH($B58,'DRAFT 1'!$B:$B,0)),"")</f>
        <v/>
      </c>
      <c r="D58" t="str">
        <f>IFERROR(INDEX('DRAFT 1'!$D:$D,MATCH($B58,'DRAFT 1'!$B:$B,0)),"")</f>
        <v/>
      </c>
      <c r="E58" t="str">
        <f>IFERROR(INDEX('DRAFT 1'!$E:$E,MATCH($B58,'DRAFT 1'!$B:$B,0)),"")</f>
        <v/>
      </c>
      <c r="F58" t="str">
        <f>IFERROR(INDEX('DRAFT 1'!$F:$F,MATCH($B58,'DRAFT 1'!$B:$B,0)),"")</f>
        <v/>
      </c>
      <c r="G58" t="str">
        <f>IFERROR(INDEX('DRAFT 1'!$G:$G,MATCH($B58,'DRAFT 1'!$B:$B,0)),"")</f>
        <v/>
      </c>
      <c r="H58" t="str">
        <f>IFERROR(INDEX('DRAFT 1'!$H:$H,MATCH($B58,'DRAFT 1'!$B:$B,0)),"")</f>
        <v/>
      </c>
      <c r="I58" t="s">
        <v>292</v>
      </c>
      <c r="K58" t="str">
        <f>IFERROR(INDEX('DRAFT 1'!$AL:$AL,MATCH($B58,'DRAFT 1'!$B:$B,0)),"")</f>
        <v/>
      </c>
      <c r="L58" t="str">
        <f>IFERROR(INDEX('DRAFT 1'!$J:$J,MATCH($B58,'DRAFT 1'!$B:$B,0)),"")</f>
        <v/>
      </c>
      <c r="M58" t="str">
        <f>IFERROR(INDEX('DRAFT 1'!$K:$K,MATCH($B58,'DRAFT 1'!$B:$B,0)),"")</f>
        <v/>
      </c>
      <c r="N58" t="s">
        <v>71</v>
      </c>
      <c r="P58" t="str">
        <f>IFERROR(INDEX('DRAFT 1'!$L:$L,MATCH($B58,'DRAFT 1'!$B:$B,0)),"")</f>
        <v/>
      </c>
      <c r="Q58" t="str">
        <f>IFERROR(INDEX('DRAFT 1'!$M:$M,MATCH($B58,'DRAFT 1'!$B:$B,0)),"")</f>
        <v/>
      </c>
      <c r="R58" t="str">
        <f>IFERROR(INDEX('DRAFT 1'!$N:$N,MATCH($B58,'DRAFT 1'!$B:$B,0)),"")</f>
        <v/>
      </c>
      <c r="S58" t="str">
        <f>IFERROR(INDEX('DRAFT 1'!$O:$O,MATCH($B58,'DRAFT 1'!$B:$B,0)),"")</f>
        <v/>
      </c>
      <c r="T58" t="str">
        <f>IFERROR(INDEX('DRAFT 1'!$P:$P,MATCH($B58,'DRAFT 1'!$B:$B,0)),"")</f>
        <v/>
      </c>
      <c r="U58" t="str">
        <f>IFERROR(INDEX('DRAFT 1'!$Q:$Q,MATCH($B58,'DRAFT 1'!$B:$B,0)),"")</f>
        <v/>
      </c>
      <c r="V58" t="str">
        <f>IFERROR(INDEX('DRAFT 1'!$R:$R,MATCH($B58,'DRAFT 1'!$B:$B,0)),"")</f>
        <v/>
      </c>
      <c r="W58" t="str">
        <f>IFERROR(INDEX('DRAFT 1'!$S:$S,MATCH($B58,'DRAFT 1'!$B:$B,0)),"")</f>
        <v/>
      </c>
      <c r="X58" t="str">
        <f>IFERROR(INDEX('DRAFT 1'!$T:$T,MATCH($B58,'DRAFT 1'!$B:$B,0)),"")</f>
        <v/>
      </c>
      <c r="Z58" t="str">
        <f>IFERROR(INDEX('DRAFT 1'!$U:$U,MATCH($B58,'DRAFT 1'!$B:$B,0)),"")</f>
        <v/>
      </c>
      <c r="AA58" t="str">
        <f>IFERROR(INDEX('DRAFT 1'!$V:$V,MATCH($B58,'DRAFT 1'!$B:$B,0)),"")</f>
        <v/>
      </c>
      <c r="AB58" t="str">
        <f>IFERROR(INDEX('DRAFT 1'!$W:$W,MATCH($B58,'DRAFT 1'!$B:$B,0)),"")</f>
        <v/>
      </c>
      <c r="AC58" t="str">
        <f>IFERROR(INDEX('DRAFT 1'!$X:$X,MATCH($B58,'DRAFT 1'!$B:$B,0)),"")</f>
        <v/>
      </c>
      <c r="AD58" t="str">
        <f>IFERROR(INDEX('DRAFT 1'!$Y:$Y,MATCH($B58,'DRAFT 1'!$B:$B,0)),"")</f>
        <v/>
      </c>
      <c r="AE58" t="str">
        <f>IFERROR(INDEX('DRAFT 1'!$Z:$Z,MATCH($B58,'DRAFT 1'!$B:$B,0)),"")</f>
        <v/>
      </c>
      <c r="AF58" t="str">
        <f>IFERROR(INDEX('DRAFT 1'!$AA:$AA,MATCH($B58,'DRAFT 1'!$B:$B,0)),"")</f>
        <v/>
      </c>
      <c r="AG58" t="str">
        <f>IFERROR(INDEX('DRAFT 1'!$AB:$AB,MATCH($B58,'DRAFT 1'!$B:$B,0)),"")</f>
        <v/>
      </c>
      <c r="AH58" t="str">
        <f>IFERROR(INDEX('DRAFT 1'!$AC:$AC,MATCH($B58,'DRAFT 1'!$B:$B,0)),"")</f>
        <v/>
      </c>
      <c r="AI58" t="str">
        <f>IFERROR(INDEX('DRAFT 1'!$AD:$AD,MATCH($B58,'DRAFT 1'!$B:$B,0)),"")</f>
        <v/>
      </c>
      <c r="AJ58" t="str">
        <f>IFERROR(INDEX('DRAFT 1'!$AE:$AE,MATCH($B58,'DRAFT 1'!$B:$B,0)),"")</f>
        <v/>
      </c>
      <c r="AK58" t="str">
        <f>IFERROR(INDEX('DRAFT 1'!$AG:$AG,MATCH($B58,'DRAFT 1'!$B:$B,0)),"")</f>
        <v/>
      </c>
      <c r="AL58" t="str">
        <f>IFERROR(INDEX('DRAFT 1'!$AH:$AH,MATCH($B58,'DRAFT 1'!$B:$B,0)),"")</f>
        <v/>
      </c>
      <c r="AM58" t="str">
        <f>IFERROR(INDEX('DRAFT 1'!$AI:$AI,MATCH($B58,'DRAFT 1'!$B:$B,0)),"")</f>
        <v/>
      </c>
      <c r="AN58" t="str">
        <f>IFERROR(INDEX('DRAFT 1'!$AJ:$AJ,MATCH($B58,'DRAFT 1'!$B:$B,0)),"")</f>
        <v/>
      </c>
      <c r="AO58">
        <f t="shared" si="14"/>
        <v>0</v>
      </c>
      <c r="AP58" t="str">
        <f>IFERROR(INDEX('DRAFT 1'!$AK:$AK,MATCH($B58,'DRAFT 1'!$B:$B,0)),"")</f>
        <v/>
      </c>
      <c r="AR58" t="s">
        <v>91</v>
      </c>
      <c r="AS58">
        <f>IFERROR(LOOKUP(2,1/('DRAFT 2'!$D:$D=$B58),'DRAFT 2'!$T:$T),"")</f>
        <v>0</v>
      </c>
      <c r="AT58">
        <f>IFERROR(LOOKUP(2,1/('DRAFT 2'!$D:$D=$B58),'DRAFT 2'!$A:$A),"")</f>
        <v>0</v>
      </c>
      <c r="AU58">
        <f>IFERROR(LOOKUP(2,1/('DRAFT 2'!$D:$D=$B58),'DRAFT 2'!$R:$R),"")</f>
        <v>0</v>
      </c>
      <c r="AV58">
        <f>IFERROR(LOOKUP(2,1/('DRAFT 2'!$D:$D=$B58),'DRAFT 2'!$S:$S),"")</f>
        <v>0</v>
      </c>
      <c r="AW58" t="s">
        <v>130</v>
      </c>
      <c r="AX58">
        <f>IFERROR(LOOKUP(2,1/('DRAFT 2'!$D:$D=$B58),'DRAFT 2'!$M:$M),"")</f>
        <v>0</v>
      </c>
      <c r="AY58">
        <f>IFERROR(LOOKUP(2,1/('DRAFT 2'!$D:$D=$B58),'DRAFT 2'!$K:$K),"")</f>
        <v>0</v>
      </c>
      <c r="BG58">
        <f>IFERROR(LOOKUP(2,1/('DRAFT 2'!$D:$D=$B58),'DRAFT 2'!$U:$U),"")</f>
        <v>0</v>
      </c>
      <c r="BH58">
        <f>IFERROR(LOOKUP(2,1/('DRAFT 2'!$D:$D=$B58),'DRAFT 2'!$V:$V),"")</f>
        <v>0</v>
      </c>
      <c r="CE58" t="str">
        <f t="shared" si="15"/>
        <v/>
      </c>
      <c r="CF58">
        <f>IFERROR(LOOKUP(2,1/('DRAFT 2'!$D:$D=$B58)*('DRAFT 2'!$A:$A&gt;=DATE(2026,1,1))*('DRAFT 2'!$A:$A&lt;DATE(2026,IF(1=12,1+1,1+1),1)),'DRAFT 2'!$A:$A),"")</f>
        <v>0</v>
      </c>
      <c r="CG58">
        <f>COUNTIFS('DRAFT 2'!$D:$D,$B58,'DRAFT 2'!$A:$A,"&gt;="&amp;DATE(2026,1,1),'DRAFT 2'!$A:$A,"&lt;="&amp;DATE(2026,1,7))</f>
        <v>0</v>
      </c>
      <c r="CH58">
        <f>COUNTIFS('DRAFT 2'!$D:$D,$B58,'DRAFT 2'!$A:$A,"&gt;="&amp;DATE(2026,1,8),'DRAFT 2'!$A:$A,"&lt;="&amp;DATE(2026,1,14))</f>
        <v>0</v>
      </c>
      <c r="CI58">
        <f>COUNTIFS('DRAFT 2'!$D:$D,$B58,'DRAFT 2'!$A:$A,"&gt;="&amp;DATE(2026,1,15),'DRAFT 2'!$A:$A,"&lt;="&amp;DATE(2026,1,21))</f>
        <v>0</v>
      </c>
      <c r="CJ58">
        <f>COUNTIFS('DRAFT 2'!$D:$D,$B58,'DRAFT 2'!$A:$A,"&gt;="&amp;DATE(2026,1,22),'DRAFT 2'!$A:$A,"&lt;"&amp;DATE(2026,IF(1=12,1+1,1+1),1))</f>
        <v>0</v>
      </c>
      <c r="CK58">
        <f t="shared" si="16"/>
        <v>0</v>
      </c>
      <c r="CT58">
        <v>0</v>
      </c>
      <c r="CU58">
        <f>IFERROR(LOOKUP(2,1/('DRAFT 2'!$D:$D=$B58)*('DRAFT 2'!$A:$A&gt;=DATE(2026,2,1))*('DRAFT 2'!$A:$A&lt;DATE(2026,IF(2=12,2+1,2+1),1)),'DRAFT 2'!$A:$A),"")</f>
        <v>0</v>
      </c>
      <c r="CV58">
        <f>COUNTIFS('DRAFT 2'!$D:$D,$B58,'DRAFT 2'!$A:$A,"&gt;="&amp;DATE(2026,2,1),'DRAFT 2'!$A:$A,"&lt;="&amp;DATE(2026,2,7))</f>
        <v>0</v>
      </c>
      <c r="CW58">
        <f>COUNTIFS('DRAFT 2'!$D:$D,$B58,'DRAFT 2'!$A:$A,"&gt;="&amp;DATE(2026,2,8),'DRAFT 2'!$A:$A,"&lt;="&amp;DATE(2026,2,14))</f>
        <v>0</v>
      </c>
      <c r="CX58">
        <f>COUNTIFS('DRAFT 2'!$D:$D,$B58,'DRAFT 2'!$A:$A,"&gt;="&amp;DATE(2026,2,15),'DRAFT 2'!$A:$A,"&lt;="&amp;DATE(2026,2,21))</f>
        <v>0</v>
      </c>
      <c r="CY58">
        <f>COUNTIFS('DRAFT 2'!$D:$D,$B58,'DRAFT 2'!$A:$A,"&gt;="&amp;DATE(2026,2,22),'DRAFT 2'!$A:$A,"&lt;"&amp;DATE(2026,IF(2=12,2+1,2+1),1))</f>
        <v>0</v>
      </c>
      <c r="CZ58">
        <f t="shared" si="17"/>
        <v>0</v>
      </c>
      <c r="DJ58">
        <f>IFERROR(LOOKUP(2,1/('DRAFT 2'!$D:$D=$B58)*('DRAFT 2'!$A:$A&gt;=DATE(2026,3,1))*('DRAFT 2'!$A:$A&lt;DATE(2026,IF(3=12,3+1,3+1),1)),'DRAFT 2'!$A:$A),"")</f>
        <v>0</v>
      </c>
      <c r="DK58">
        <f>COUNTIFS('DRAFT 2'!$D:$D,$B58,'DRAFT 2'!$A:$A,"&gt;="&amp;DATE(2026,3,1),'DRAFT 2'!$A:$A,"&lt;="&amp;DATE(2026,3,7))</f>
        <v>0</v>
      </c>
      <c r="DL58">
        <f>COUNTIFS('DRAFT 2'!$D:$D,$B58,'DRAFT 2'!$A:$A,"&gt;="&amp;DATE(2026,3,8),'DRAFT 2'!$A:$A,"&lt;="&amp;DATE(2026,3,14))</f>
        <v>0</v>
      </c>
      <c r="DM58">
        <f>COUNTIFS('DRAFT 2'!$D:$D,$B58,'DRAFT 2'!$A:$A,"&gt;="&amp;DATE(2026,3,15),'DRAFT 2'!$A:$A,"&lt;="&amp;DATE(2026,3,21))</f>
        <v>0</v>
      </c>
      <c r="DN58">
        <f>COUNTIFS('DRAFT 2'!$D:$D,$B58,'DRAFT 2'!$A:$A,"&gt;="&amp;DATE(2026,3,22),'DRAFT 2'!$A:$A,"&lt;"&amp;DATE(2026,IF(3=12,3+1,3+1),1))</f>
        <v>0</v>
      </c>
      <c r="DO58">
        <f t="shared" si="18"/>
        <v>0</v>
      </c>
      <c r="DZ58">
        <f>IFERROR(LOOKUP(2,1/('DRAFT 2'!$D:$D=$B58)*('DRAFT 2'!$A:$A&gt;=DATE(2026,4,1))*('DRAFT 2'!$A:$A&lt;DATE(2026,IF(4=12,4+1,4+1),1)),'DRAFT 2'!$A:$A),"")</f>
        <v>0</v>
      </c>
      <c r="EA58">
        <f>COUNTIFS('DRAFT 2'!$D:$D,$B58,'DRAFT 2'!$A:$A,"&gt;="&amp;DATE(2026,4,1),'DRAFT 2'!$A:$A,"&lt;="&amp;DATE(2026,4,7))</f>
        <v>0</v>
      </c>
      <c r="EB58">
        <f>COUNTIFS('DRAFT 2'!$D:$D,$B58,'DRAFT 2'!$A:$A,"&gt;="&amp;DATE(2026,4,8),'DRAFT 2'!$A:$A,"&lt;="&amp;DATE(2026,4,14))</f>
        <v>0</v>
      </c>
      <c r="EC58">
        <f>COUNTIFS('DRAFT 2'!$D:$D,$B58,'DRAFT 2'!$A:$A,"&gt;="&amp;DATE(2026,4,15),'DRAFT 2'!$A:$A,"&lt;="&amp;DATE(2026,4,21))</f>
        <v>0</v>
      </c>
      <c r="ED58">
        <f>COUNTIFS('DRAFT 2'!$D:$D,$B58,'DRAFT 2'!$A:$A,"&gt;="&amp;DATE(2026,4,22),'DRAFT 2'!$A:$A,"&lt;"&amp;DATE(2026,IF(4=12,4+1,4+1),1))</f>
        <v>0</v>
      </c>
      <c r="EE58">
        <f t="shared" si="19"/>
        <v>0</v>
      </c>
      <c r="EO58">
        <f>IFERROR(LOOKUP(2,1/('DRAFT 2'!$D:$D=$B58)*('DRAFT 2'!$A:$A&gt;=DATE(2026,5,1))*('DRAFT 2'!$A:$A&lt;DATE(2026,IF(5=12,5+1,5+1),1)),'DRAFT 2'!$A:$A),"")</f>
        <v>0</v>
      </c>
      <c r="EP58">
        <f>COUNTIFS('DRAFT 2'!$D:$D,$B58,'DRAFT 2'!$A:$A,"&gt;="&amp;DATE(2026,5,1),'DRAFT 2'!$A:$A,"&lt;="&amp;DATE(2026,5,7))</f>
        <v>0</v>
      </c>
      <c r="EQ58">
        <f>COUNTIFS('DRAFT 2'!$D:$D,$B58,'DRAFT 2'!$A:$A,"&gt;="&amp;DATE(2026,5,8),'DRAFT 2'!$A:$A,"&lt;="&amp;DATE(2026,5,14))</f>
        <v>0</v>
      </c>
      <c r="ER58">
        <f>COUNTIFS('DRAFT 2'!$D:$D,$B58,'DRAFT 2'!$A:$A,"&gt;="&amp;DATE(2026,5,15),'DRAFT 2'!$A:$A,"&lt;="&amp;DATE(2026,5,21))</f>
        <v>0</v>
      </c>
      <c r="ES58">
        <f>COUNTIFS('DRAFT 2'!$D:$D,$B58,'DRAFT 2'!$A:$A,"&gt;="&amp;DATE(2026,5,22),'DRAFT 2'!$A:$A,"&lt;"&amp;DATE(2026,IF(5=12,5+1,5+1),1))</f>
        <v>0</v>
      </c>
      <c r="ET58">
        <f t="shared" si="20"/>
        <v>0</v>
      </c>
      <c r="FD58">
        <f>IFERROR(LOOKUP(2,1/('DRAFT 2'!$D:$D=$B58)*('DRAFT 2'!$A:$A&gt;=DATE(2026,6,1))*('DRAFT 2'!$A:$A&lt;DATE(2026,IF(6=12,6+1,6+1),1)),'DRAFT 2'!$A:$A),"")</f>
        <v>0</v>
      </c>
      <c r="FE58">
        <f>COUNTIFS('DRAFT 2'!$D:$D,$B58,'DRAFT 2'!$A:$A,"&gt;="&amp;DATE(2026,6,1),'DRAFT 2'!$A:$A,"&lt;="&amp;DATE(2026,6,7))</f>
        <v>0</v>
      </c>
      <c r="FF58">
        <f>COUNTIFS('DRAFT 2'!$D:$D,$B58,'DRAFT 2'!$A:$A,"&gt;="&amp;DATE(2026,6,8),'DRAFT 2'!$A:$A,"&lt;="&amp;DATE(2026,6,14))</f>
        <v>0</v>
      </c>
      <c r="FG58">
        <f>COUNTIFS('DRAFT 2'!$D:$D,$B58,'DRAFT 2'!$A:$A,"&gt;="&amp;DATE(2026,6,15),'DRAFT 2'!$A:$A,"&lt;="&amp;DATE(2026,6,21))</f>
        <v>0</v>
      </c>
      <c r="FH58">
        <f>COUNTIFS('DRAFT 2'!$D:$D,$B58,'DRAFT 2'!$A:$A,"&gt;="&amp;DATE(2026,6,22),'DRAFT 2'!$A:$A,"&lt;"&amp;DATE(2026,IF(6=12,6+1,6+1),1))</f>
        <v>0</v>
      </c>
      <c r="FI58">
        <f t="shared" si="21"/>
        <v>0</v>
      </c>
      <c r="FT58">
        <f>IFERROR(LOOKUP(2,1/('DRAFT 2'!$D:$D=$B58)*('DRAFT 2'!$A:$A&gt;=DATE(2026,7,1))*('DRAFT 2'!$A:$A&lt;DATE(2026,IF(7=12,7+1,7+1),1)),'DRAFT 2'!$A:$A),"")</f>
        <v>0</v>
      </c>
      <c r="FU58">
        <f>COUNTIFS('DRAFT 2'!$D:$D,$B58,'DRAFT 2'!$A:$A,"&gt;="&amp;DATE(2026,7,1),'DRAFT 2'!$A:$A,"&lt;="&amp;DATE(2026,7,7))</f>
        <v>0</v>
      </c>
      <c r="FV58">
        <f>COUNTIFS('DRAFT 2'!$D:$D,$B58,'DRAFT 2'!$A:$A,"&gt;="&amp;DATE(2026,7,8),'DRAFT 2'!$A:$A,"&lt;="&amp;DATE(2026,7,14))</f>
        <v>0</v>
      </c>
      <c r="FW58">
        <f>COUNTIFS('DRAFT 2'!$D:$D,$B58,'DRAFT 2'!$A:$A,"&gt;="&amp;DATE(2026,7,15),'DRAFT 2'!$A:$A,"&lt;="&amp;DATE(2026,7,21))</f>
        <v>0</v>
      </c>
      <c r="FX58">
        <f>COUNTIFS('DRAFT 2'!$D:$D,$B58,'DRAFT 2'!$A:$A,"&gt;="&amp;DATE(2026,7,22),'DRAFT 2'!$A:$A,"&lt;"&amp;DATE(2026,IF(7=12,7+1,7+1),1))</f>
        <v>0</v>
      </c>
      <c r="FY58">
        <f t="shared" si="22"/>
        <v>0</v>
      </c>
      <c r="GI58">
        <f>IFERROR(LOOKUP(2,1/('DRAFT 2'!$D:$D=$B58)*('DRAFT 2'!$A:$A&gt;=DATE(2026,8,1))*('DRAFT 2'!$A:$A&lt;DATE(2026,IF(8=12,8+1,8+1),1)),'DRAFT 2'!$A:$A),"")</f>
        <v>0</v>
      </c>
      <c r="GJ58">
        <f>COUNTIFS('DRAFT 2'!$D:$D,$B58,'DRAFT 2'!$A:$A,"&gt;="&amp;DATE(2026,8,1),'DRAFT 2'!$A:$A,"&lt;="&amp;DATE(2026,8,7))</f>
        <v>0</v>
      </c>
      <c r="GK58">
        <f>COUNTIFS('DRAFT 2'!$D:$D,$B58,'DRAFT 2'!$A:$A,"&gt;="&amp;DATE(2026,8,8),'DRAFT 2'!$A:$A,"&lt;="&amp;DATE(2026,8,14))</f>
        <v>0</v>
      </c>
      <c r="GL58">
        <f>COUNTIFS('DRAFT 2'!$D:$D,$B58,'DRAFT 2'!$A:$A,"&gt;="&amp;DATE(2026,8,15),'DRAFT 2'!$A:$A,"&lt;="&amp;DATE(2026,8,21))</f>
        <v>0</v>
      </c>
      <c r="GM58">
        <f>COUNTIFS('DRAFT 2'!$D:$D,$B58,'DRAFT 2'!$A:$A,"&gt;="&amp;DATE(2026,8,22),'DRAFT 2'!$A:$A,"&lt;"&amp;DATE(2026,IF(8=12,8+1,8+1),1))</f>
        <v>0</v>
      </c>
      <c r="GN58">
        <f t="shared" si="23"/>
        <v>0</v>
      </c>
      <c r="GX58">
        <f>IFERROR(LOOKUP(2,1/('DRAFT 2'!$D:$D=$B58)*('DRAFT 2'!$A:$A&gt;=DATE(2026,9,1))*('DRAFT 2'!$A:$A&lt;DATE(2026,IF(9=12,9+1,9+1),1)),'DRAFT 2'!$A:$A),"")</f>
        <v>0</v>
      </c>
      <c r="GY58">
        <f>COUNTIFS('DRAFT 2'!$D:$D,$B58,'DRAFT 2'!$A:$A,"&gt;="&amp;DATE(2026,9,1),'DRAFT 2'!$A:$A,"&lt;="&amp;DATE(2026,9,7))</f>
        <v>0</v>
      </c>
      <c r="GZ58">
        <f>COUNTIFS('DRAFT 2'!$D:$D,$B58,'DRAFT 2'!$A:$A,"&gt;="&amp;DATE(2026,9,8),'DRAFT 2'!$A:$A,"&lt;="&amp;DATE(2026,9,14))</f>
        <v>0</v>
      </c>
      <c r="HA58">
        <f>COUNTIFS('DRAFT 2'!$D:$D,$B58,'DRAFT 2'!$A:$A,"&gt;="&amp;DATE(2026,9,15),'DRAFT 2'!$A:$A,"&lt;="&amp;DATE(2026,9,21))</f>
        <v>0</v>
      </c>
      <c r="HB58">
        <f>COUNTIFS('DRAFT 2'!$D:$D,$B58,'DRAFT 2'!$A:$A,"&gt;="&amp;DATE(2026,9,22),'DRAFT 2'!$A:$A,"&lt;"&amp;DATE(2026,IF(9=12,9+1,9+1),1))</f>
        <v>0</v>
      </c>
      <c r="HC58">
        <f t="shared" si="24"/>
        <v>0</v>
      </c>
      <c r="HN58">
        <f>IFERROR(LOOKUP(2,1/('DRAFT 2'!$D:$D=$B58)*('DRAFT 2'!$A:$A&gt;=DATE(2026,10,1))*('DRAFT 2'!$A:$A&lt;DATE(2026,IF(10=12,10+1,10+1),1)),'DRAFT 2'!$A:$A),"")</f>
        <v>0</v>
      </c>
      <c r="HO58">
        <f>COUNTIFS('DRAFT 2'!$D:$D,$B58,'DRAFT 2'!$A:$A,"&gt;="&amp;DATE(2026,10,1),'DRAFT 2'!$A:$A,"&lt;="&amp;DATE(2026,10,7))</f>
        <v>0</v>
      </c>
      <c r="HP58">
        <f>COUNTIFS('DRAFT 2'!$D:$D,$B58,'DRAFT 2'!$A:$A,"&gt;="&amp;DATE(2026,10,8),'DRAFT 2'!$A:$A,"&lt;="&amp;DATE(2026,10,14))</f>
        <v>0</v>
      </c>
      <c r="HQ58">
        <f>COUNTIFS('DRAFT 2'!$D:$D,$B58,'DRAFT 2'!$A:$A,"&gt;="&amp;DATE(2026,10,15),'DRAFT 2'!$A:$A,"&lt;="&amp;DATE(2026,10,21))</f>
        <v>0</v>
      </c>
      <c r="HR58">
        <f>COUNTIFS('DRAFT 2'!$D:$D,$B58,'DRAFT 2'!$A:$A,"&gt;="&amp;DATE(2026,10,22),'DRAFT 2'!$A:$A,"&lt;"&amp;DATE(2026,IF(10=12,10+1,10+1),1))</f>
        <v>0</v>
      </c>
      <c r="HS58">
        <f t="shared" si="25"/>
        <v>0</v>
      </c>
      <c r="IC58">
        <f>IFERROR(LOOKUP(2,1/('DRAFT 2'!$D:$D=$B58)*('DRAFT 2'!$A:$A&gt;=DATE(2026,11,1))*('DRAFT 2'!$A:$A&lt;DATE(2026,IF(11=12,11+1,11+1),1)),'DRAFT 2'!$A:$A),"")</f>
        <v>0</v>
      </c>
      <c r="ID58">
        <f>COUNTIFS('DRAFT 2'!$D:$D,$B58,'DRAFT 2'!$A:$A,"&gt;="&amp;DATE(2026,11,1),'DRAFT 2'!$A:$A,"&lt;="&amp;DATE(2026,11,7))</f>
        <v>0</v>
      </c>
      <c r="IE58">
        <f>COUNTIFS('DRAFT 2'!$D:$D,$B58,'DRAFT 2'!$A:$A,"&gt;="&amp;DATE(2026,11,8),'DRAFT 2'!$A:$A,"&lt;="&amp;DATE(2026,11,14))</f>
        <v>0</v>
      </c>
      <c r="IF58">
        <f>COUNTIFS('DRAFT 2'!$D:$D,$B58,'DRAFT 2'!$A:$A,"&gt;="&amp;DATE(2026,11,15),'DRAFT 2'!$A:$A,"&lt;="&amp;DATE(2026,11,21))</f>
        <v>0</v>
      </c>
      <c r="IG58">
        <f>COUNTIFS('DRAFT 2'!$D:$D,$B58,'DRAFT 2'!$A:$A,"&gt;="&amp;DATE(2026,11,22),'DRAFT 2'!$A:$A,"&lt;"&amp;DATE(2026,IF(11=12,11+1,11+1),1))</f>
        <v>0</v>
      </c>
      <c r="IH58">
        <f t="shared" si="26"/>
        <v>0</v>
      </c>
      <c r="IR58">
        <f>IFERROR(LOOKUP(2,1/('DRAFT 2'!$D:$D=$B58)*('DRAFT 2'!$A:$A&gt;=DATE(2026,12,1))*('DRAFT 2'!$A:$A&lt;DATE(2026,IF(12=12,12+1,12+1),1)),'DRAFT 2'!$A:$A),"")</f>
        <v>0</v>
      </c>
      <c r="IS58">
        <f>COUNTIFS('DRAFT 2'!$D:$D,$B58,'DRAFT 2'!$A:$A,"&gt;="&amp;DATE(2026,12,1),'DRAFT 2'!$A:$A,"&lt;="&amp;DATE(2026,12,7))</f>
        <v>0</v>
      </c>
      <c r="IT58">
        <f>COUNTIFS('DRAFT 2'!$D:$D,$B58,'DRAFT 2'!$A:$A,"&gt;="&amp;DATE(2026,12,8),'DRAFT 2'!$A:$A,"&lt;="&amp;DATE(2026,12,14))</f>
        <v>0</v>
      </c>
      <c r="IU58">
        <f>COUNTIFS('DRAFT 2'!$D:$D,$B58,'DRAFT 2'!$A:$A,"&gt;="&amp;DATE(2026,12,15),'DRAFT 2'!$A:$A,"&lt;="&amp;DATE(2026,12,21))</f>
        <v>0</v>
      </c>
      <c r="IV58">
        <f>COUNTIFS('DRAFT 2'!$D:$D,$B58,'DRAFT 2'!$A:$A,"&gt;="&amp;DATE(2026,12,22),'DRAFT 2'!$A:$A,"&lt;"&amp;DATE(2026,IF(12=12,12+1,12+1),1))</f>
        <v>0</v>
      </c>
      <c r="IW58">
        <f t="shared" si="27"/>
        <v>0</v>
      </c>
    </row>
    <row r="59" spans="1:257" x14ac:dyDescent="0.3">
      <c r="A59" t="str">
        <f>IFERROR(INDEX('DRAFT 1'!$A:$A,MATCH($B59,'DRAFT 1'!$B:$B,0)),"")</f>
        <v/>
      </c>
      <c r="C59" t="str">
        <f>IFERROR(INDEX('DRAFT 1'!$C:$C,MATCH($B59,'DRAFT 1'!$B:$B,0)),"")</f>
        <v/>
      </c>
      <c r="D59" t="str">
        <f>IFERROR(INDEX('DRAFT 1'!$D:$D,MATCH($B59,'DRAFT 1'!$B:$B,0)),"")</f>
        <v/>
      </c>
      <c r="E59" t="str">
        <f>IFERROR(INDEX('DRAFT 1'!$E:$E,MATCH($B59,'DRAFT 1'!$B:$B,0)),"")</f>
        <v/>
      </c>
      <c r="F59" t="str">
        <f>IFERROR(INDEX('DRAFT 1'!$F:$F,MATCH($B59,'DRAFT 1'!$B:$B,0)),"")</f>
        <v/>
      </c>
      <c r="G59" t="str">
        <f>IFERROR(INDEX('DRAFT 1'!$G:$G,MATCH($B59,'DRAFT 1'!$B:$B,0)),"")</f>
        <v/>
      </c>
      <c r="H59" t="str">
        <f>IFERROR(INDEX('DRAFT 1'!$H:$H,MATCH($B59,'DRAFT 1'!$B:$B,0)),"")</f>
        <v/>
      </c>
      <c r="I59" t="s">
        <v>292</v>
      </c>
      <c r="K59" t="str">
        <f>IFERROR(INDEX('DRAFT 1'!$AL:$AL,MATCH($B59,'DRAFT 1'!$B:$B,0)),"")</f>
        <v/>
      </c>
      <c r="L59" t="str">
        <f>IFERROR(INDEX('DRAFT 1'!$J:$J,MATCH($B59,'DRAFT 1'!$B:$B,0)),"")</f>
        <v/>
      </c>
      <c r="M59" t="str">
        <f>IFERROR(INDEX('DRAFT 1'!$K:$K,MATCH($B59,'DRAFT 1'!$B:$B,0)),"")</f>
        <v/>
      </c>
      <c r="N59" t="s">
        <v>71</v>
      </c>
      <c r="P59" t="str">
        <f>IFERROR(INDEX('DRAFT 1'!$L:$L,MATCH($B59,'DRAFT 1'!$B:$B,0)),"")</f>
        <v/>
      </c>
      <c r="Q59" t="str">
        <f>IFERROR(INDEX('DRAFT 1'!$M:$M,MATCH($B59,'DRAFT 1'!$B:$B,0)),"")</f>
        <v/>
      </c>
      <c r="R59" t="str">
        <f>IFERROR(INDEX('DRAFT 1'!$N:$N,MATCH($B59,'DRAFT 1'!$B:$B,0)),"")</f>
        <v/>
      </c>
      <c r="S59" t="str">
        <f>IFERROR(INDEX('DRAFT 1'!$O:$O,MATCH($B59,'DRAFT 1'!$B:$B,0)),"")</f>
        <v/>
      </c>
      <c r="T59" t="str">
        <f>IFERROR(INDEX('DRAFT 1'!$P:$P,MATCH($B59,'DRAFT 1'!$B:$B,0)),"")</f>
        <v/>
      </c>
      <c r="U59" t="str">
        <f>IFERROR(INDEX('DRAFT 1'!$Q:$Q,MATCH($B59,'DRAFT 1'!$B:$B,0)),"")</f>
        <v/>
      </c>
      <c r="V59" t="str">
        <f>IFERROR(INDEX('DRAFT 1'!$R:$R,MATCH($B59,'DRAFT 1'!$B:$B,0)),"")</f>
        <v/>
      </c>
      <c r="W59" t="str">
        <f>IFERROR(INDEX('DRAFT 1'!$S:$S,MATCH($B59,'DRAFT 1'!$B:$B,0)),"")</f>
        <v/>
      </c>
      <c r="X59" t="str">
        <f>IFERROR(INDEX('DRAFT 1'!$T:$T,MATCH($B59,'DRAFT 1'!$B:$B,0)),"")</f>
        <v/>
      </c>
      <c r="Z59" t="str">
        <f>IFERROR(INDEX('DRAFT 1'!$U:$U,MATCH($B59,'DRAFT 1'!$B:$B,0)),"")</f>
        <v/>
      </c>
      <c r="AA59" t="str">
        <f>IFERROR(INDEX('DRAFT 1'!$V:$V,MATCH($B59,'DRAFT 1'!$B:$B,0)),"")</f>
        <v/>
      </c>
      <c r="AB59" t="str">
        <f>IFERROR(INDEX('DRAFT 1'!$W:$W,MATCH($B59,'DRAFT 1'!$B:$B,0)),"")</f>
        <v/>
      </c>
      <c r="AC59" t="str">
        <f>IFERROR(INDEX('DRAFT 1'!$X:$X,MATCH($B59,'DRAFT 1'!$B:$B,0)),"")</f>
        <v/>
      </c>
      <c r="AD59" t="str">
        <f>IFERROR(INDEX('DRAFT 1'!$Y:$Y,MATCH($B59,'DRAFT 1'!$B:$B,0)),"")</f>
        <v/>
      </c>
      <c r="AE59" t="str">
        <f>IFERROR(INDEX('DRAFT 1'!$Z:$Z,MATCH($B59,'DRAFT 1'!$B:$B,0)),"")</f>
        <v/>
      </c>
      <c r="AF59" t="str">
        <f>IFERROR(INDEX('DRAFT 1'!$AA:$AA,MATCH($B59,'DRAFT 1'!$B:$B,0)),"")</f>
        <v/>
      </c>
      <c r="AG59" t="str">
        <f>IFERROR(INDEX('DRAFT 1'!$AB:$AB,MATCH($B59,'DRAFT 1'!$B:$B,0)),"")</f>
        <v/>
      </c>
      <c r="AH59" t="str">
        <f>IFERROR(INDEX('DRAFT 1'!$AC:$AC,MATCH($B59,'DRAFT 1'!$B:$B,0)),"")</f>
        <v/>
      </c>
      <c r="AI59" t="str">
        <f>IFERROR(INDEX('DRAFT 1'!$AD:$AD,MATCH($B59,'DRAFT 1'!$B:$B,0)),"")</f>
        <v/>
      </c>
      <c r="AJ59" t="str">
        <f>IFERROR(INDEX('DRAFT 1'!$AE:$AE,MATCH($B59,'DRAFT 1'!$B:$B,0)),"")</f>
        <v/>
      </c>
      <c r="AK59" t="str">
        <f>IFERROR(INDEX('DRAFT 1'!$AG:$AG,MATCH($B59,'DRAFT 1'!$B:$B,0)),"")</f>
        <v/>
      </c>
      <c r="AL59" t="str">
        <f>IFERROR(INDEX('DRAFT 1'!$AH:$AH,MATCH($B59,'DRAFT 1'!$B:$B,0)),"")</f>
        <v/>
      </c>
      <c r="AM59" t="str">
        <f>IFERROR(INDEX('DRAFT 1'!$AI:$AI,MATCH($B59,'DRAFT 1'!$B:$B,0)),"")</f>
        <v/>
      </c>
      <c r="AN59" t="str">
        <f>IFERROR(INDEX('DRAFT 1'!$AJ:$AJ,MATCH($B59,'DRAFT 1'!$B:$B,0)),"")</f>
        <v/>
      </c>
      <c r="AO59">
        <f t="shared" si="14"/>
        <v>0</v>
      </c>
      <c r="AP59" t="str">
        <f>IFERROR(INDEX('DRAFT 1'!$AK:$AK,MATCH($B59,'DRAFT 1'!$B:$B,0)),"")</f>
        <v/>
      </c>
      <c r="AR59" t="s">
        <v>65</v>
      </c>
      <c r="AS59">
        <f>IFERROR(LOOKUP(2,1/('DRAFT 2'!$D:$D=$B59),'DRAFT 2'!$T:$T),"")</f>
        <v>0</v>
      </c>
      <c r="AT59">
        <f>IFERROR(LOOKUP(2,1/('DRAFT 2'!$D:$D=$B59),'DRAFT 2'!$A:$A),"")</f>
        <v>0</v>
      </c>
      <c r="AU59">
        <f>IFERROR(LOOKUP(2,1/('DRAFT 2'!$D:$D=$B59),'DRAFT 2'!$R:$R),"")</f>
        <v>0</v>
      </c>
      <c r="AV59">
        <f>IFERROR(LOOKUP(2,1/('DRAFT 2'!$D:$D=$B59),'DRAFT 2'!$S:$S),"")</f>
        <v>0</v>
      </c>
      <c r="AW59" t="s">
        <v>88</v>
      </c>
      <c r="AX59">
        <f>IFERROR(LOOKUP(2,1/('DRAFT 2'!$D:$D=$B59),'DRAFT 2'!$M:$M),"")</f>
        <v>0</v>
      </c>
      <c r="AY59">
        <f>IFERROR(LOOKUP(2,1/('DRAFT 2'!$D:$D=$B59),'DRAFT 2'!$K:$K),"")</f>
        <v>0</v>
      </c>
      <c r="BG59">
        <f>IFERROR(LOOKUP(2,1/('DRAFT 2'!$D:$D=$B59),'DRAFT 2'!$U:$U),"")</f>
        <v>0</v>
      </c>
      <c r="BH59">
        <f>IFERROR(LOOKUP(2,1/('DRAFT 2'!$D:$D=$B59),'DRAFT 2'!$V:$V),"")</f>
        <v>0</v>
      </c>
      <c r="CE59" t="str">
        <f t="shared" si="15"/>
        <v/>
      </c>
      <c r="CF59">
        <f>IFERROR(LOOKUP(2,1/('DRAFT 2'!$D:$D=$B59)*('DRAFT 2'!$A:$A&gt;=DATE(2026,1,1))*('DRAFT 2'!$A:$A&lt;DATE(2026,IF(1=12,1+1,1+1),1)),'DRAFT 2'!$A:$A),"")</f>
        <v>0</v>
      </c>
      <c r="CG59">
        <f>COUNTIFS('DRAFT 2'!$D:$D,$B59,'DRAFT 2'!$A:$A,"&gt;="&amp;DATE(2026,1,1),'DRAFT 2'!$A:$A,"&lt;="&amp;DATE(2026,1,7))</f>
        <v>0</v>
      </c>
      <c r="CH59">
        <f>COUNTIFS('DRAFT 2'!$D:$D,$B59,'DRAFT 2'!$A:$A,"&gt;="&amp;DATE(2026,1,8),'DRAFT 2'!$A:$A,"&lt;="&amp;DATE(2026,1,14))</f>
        <v>0</v>
      </c>
      <c r="CI59">
        <f>COUNTIFS('DRAFT 2'!$D:$D,$B59,'DRAFT 2'!$A:$A,"&gt;="&amp;DATE(2026,1,15),'DRAFT 2'!$A:$A,"&lt;="&amp;DATE(2026,1,21))</f>
        <v>0</v>
      </c>
      <c r="CJ59">
        <f>COUNTIFS('DRAFT 2'!$D:$D,$B59,'DRAFT 2'!$A:$A,"&gt;="&amp;DATE(2026,1,22),'DRAFT 2'!$A:$A,"&lt;"&amp;DATE(2026,IF(1=12,1+1,1+1),1))</f>
        <v>0</v>
      </c>
      <c r="CK59">
        <f t="shared" si="16"/>
        <v>0</v>
      </c>
      <c r="CT59">
        <v>0</v>
      </c>
      <c r="CU59">
        <f>IFERROR(LOOKUP(2,1/('DRAFT 2'!$D:$D=$B59)*('DRAFT 2'!$A:$A&gt;=DATE(2026,2,1))*('DRAFT 2'!$A:$A&lt;DATE(2026,IF(2=12,2+1,2+1),1)),'DRAFT 2'!$A:$A),"")</f>
        <v>0</v>
      </c>
      <c r="CV59">
        <f>COUNTIFS('DRAFT 2'!$D:$D,$B59,'DRAFT 2'!$A:$A,"&gt;="&amp;DATE(2026,2,1),'DRAFT 2'!$A:$A,"&lt;="&amp;DATE(2026,2,7))</f>
        <v>0</v>
      </c>
      <c r="CW59">
        <f>COUNTIFS('DRAFT 2'!$D:$D,$B59,'DRAFT 2'!$A:$A,"&gt;="&amp;DATE(2026,2,8),'DRAFT 2'!$A:$A,"&lt;="&amp;DATE(2026,2,14))</f>
        <v>0</v>
      </c>
      <c r="CX59">
        <f>COUNTIFS('DRAFT 2'!$D:$D,$B59,'DRAFT 2'!$A:$A,"&gt;="&amp;DATE(2026,2,15),'DRAFT 2'!$A:$A,"&lt;="&amp;DATE(2026,2,21))</f>
        <v>0</v>
      </c>
      <c r="CY59">
        <f>COUNTIFS('DRAFT 2'!$D:$D,$B59,'DRAFT 2'!$A:$A,"&gt;="&amp;DATE(2026,2,22),'DRAFT 2'!$A:$A,"&lt;"&amp;DATE(2026,IF(2=12,2+1,2+1),1))</f>
        <v>0</v>
      </c>
      <c r="CZ59">
        <f t="shared" si="17"/>
        <v>0</v>
      </c>
      <c r="DJ59">
        <f>IFERROR(LOOKUP(2,1/('DRAFT 2'!$D:$D=$B59)*('DRAFT 2'!$A:$A&gt;=DATE(2026,3,1))*('DRAFT 2'!$A:$A&lt;DATE(2026,IF(3=12,3+1,3+1),1)),'DRAFT 2'!$A:$A),"")</f>
        <v>0</v>
      </c>
      <c r="DK59">
        <f>COUNTIFS('DRAFT 2'!$D:$D,$B59,'DRAFT 2'!$A:$A,"&gt;="&amp;DATE(2026,3,1),'DRAFT 2'!$A:$A,"&lt;="&amp;DATE(2026,3,7))</f>
        <v>0</v>
      </c>
      <c r="DL59">
        <f>COUNTIFS('DRAFT 2'!$D:$D,$B59,'DRAFT 2'!$A:$A,"&gt;="&amp;DATE(2026,3,8),'DRAFT 2'!$A:$A,"&lt;="&amp;DATE(2026,3,14))</f>
        <v>0</v>
      </c>
      <c r="DM59">
        <f>COUNTIFS('DRAFT 2'!$D:$D,$B59,'DRAFT 2'!$A:$A,"&gt;="&amp;DATE(2026,3,15),'DRAFT 2'!$A:$A,"&lt;="&amp;DATE(2026,3,21))</f>
        <v>0</v>
      </c>
      <c r="DN59">
        <f>COUNTIFS('DRAFT 2'!$D:$D,$B59,'DRAFT 2'!$A:$A,"&gt;="&amp;DATE(2026,3,22),'DRAFT 2'!$A:$A,"&lt;"&amp;DATE(2026,IF(3=12,3+1,3+1),1))</f>
        <v>0</v>
      </c>
      <c r="DO59">
        <f t="shared" si="18"/>
        <v>0</v>
      </c>
      <c r="DZ59">
        <f>IFERROR(LOOKUP(2,1/('DRAFT 2'!$D:$D=$B59)*('DRAFT 2'!$A:$A&gt;=DATE(2026,4,1))*('DRAFT 2'!$A:$A&lt;DATE(2026,IF(4=12,4+1,4+1),1)),'DRAFT 2'!$A:$A),"")</f>
        <v>0</v>
      </c>
      <c r="EA59">
        <f>COUNTIFS('DRAFT 2'!$D:$D,$B59,'DRAFT 2'!$A:$A,"&gt;="&amp;DATE(2026,4,1),'DRAFT 2'!$A:$A,"&lt;="&amp;DATE(2026,4,7))</f>
        <v>0</v>
      </c>
      <c r="EB59">
        <f>COUNTIFS('DRAFT 2'!$D:$D,$B59,'DRAFT 2'!$A:$A,"&gt;="&amp;DATE(2026,4,8),'DRAFT 2'!$A:$A,"&lt;="&amp;DATE(2026,4,14))</f>
        <v>0</v>
      </c>
      <c r="EC59">
        <f>COUNTIFS('DRAFT 2'!$D:$D,$B59,'DRAFT 2'!$A:$A,"&gt;="&amp;DATE(2026,4,15),'DRAFT 2'!$A:$A,"&lt;="&amp;DATE(2026,4,21))</f>
        <v>0</v>
      </c>
      <c r="ED59">
        <f>COUNTIFS('DRAFT 2'!$D:$D,$B59,'DRAFT 2'!$A:$A,"&gt;="&amp;DATE(2026,4,22),'DRAFT 2'!$A:$A,"&lt;"&amp;DATE(2026,IF(4=12,4+1,4+1),1))</f>
        <v>0</v>
      </c>
      <c r="EE59">
        <f t="shared" si="19"/>
        <v>0</v>
      </c>
      <c r="EO59">
        <f>IFERROR(LOOKUP(2,1/('DRAFT 2'!$D:$D=$B59)*('DRAFT 2'!$A:$A&gt;=DATE(2026,5,1))*('DRAFT 2'!$A:$A&lt;DATE(2026,IF(5=12,5+1,5+1),1)),'DRAFT 2'!$A:$A),"")</f>
        <v>0</v>
      </c>
      <c r="EP59">
        <f>COUNTIFS('DRAFT 2'!$D:$D,$B59,'DRAFT 2'!$A:$A,"&gt;="&amp;DATE(2026,5,1),'DRAFT 2'!$A:$A,"&lt;="&amp;DATE(2026,5,7))</f>
        <v>0</v>
      </c>
      <c r="EQ59">
        <f>COUNTIFS('DRAFT 2'!$D:$D,$B59,'DRAFT 2'!$A:$A,"&gt;="&amp;DATE(2026,5,8),'DRAFT 2'!$A:$A,"&lt;="&amp;DATE(2026,5,14))</f>
        <v>0</v>
      </c>
      <c r="ER59">
        <f>COUNTIFS('DRAFT 2'!$D:$D,$B59,'DRAFT 2'!$A:$A,"&gt;="&amp;DATE(2026,5,15),'DRAFT 2'!$A:$A,"&lt;="&amp;DATE(2026,5,21))</f>
        <v>0</v>
      </c>
      <c r="ES59">
        <f>COUNTIFS('DRAFT 2'!$D:$D,$B59,'DRAFT 2'!$A:$A,"&gt;="&amp;DATE(2026,5,22),'DRAFT 2'!$A:$A,"&lt;"&amp;DATE(2026,IF(5=12,5+1,5+1),1))</f>
        <v>0</v>
      </c>
      <c r="ET59">
        <f t="shared" si="20"/>
        <v>0</v>
      </c>
      <c r="FD59">
        <f>IFERROR(LOOKUP(2,1/('DRAFT 2'!$D:$D=$B59)*('DRAFT 2'!$A:$A&gt;=DATE(2026,6,1))*('DRAFT 2'!$A:$A&lt;DATE(2026,IF(6=12,6+1,6+1),1)),'DRAFT 2'!$A:$A),"")</f>
        <v>0</v>
      </c>
      <c r="FE59">
        <f>COUNTIFS('DRAFT 2'!$D:$D,$B59,'DRAFT 2'!$A:$A,"&gt;="&amp;DATE(2026,6,1),'DRAFT 2'!$A:$A,"&lt;="&amp;DATE(2026,6,7))</f>
        <v>0</v>
      </c>
      <c r="FF59">
        <f>COUNTIFS('DRAFT 2'!$D:$D,$B59,'DRAFT 2'!$A:$A,"&gt;="&amp;DATE(2026,6,8),'DRAFT 2'!$A:$A,"&lt;="&amp;DATE(2026,6,14))</f>
        <v>0</v>
      </c>
      <c r="FG59">
        <f>COUNTIFS('DRAFT 2'!$D:$D,$B59,'DRAFT 2'!$A:$A,"&gt;="&amp;DATE(2026,6,15),'DRAFT 2'!$A:$A,"&lt;="&amp;DATE(2026,6,21))</f>
        <v>0</v>
      </c>
      <c r="FH59">
        <f>COUNTIFS('DRAFT 2'!$D:$D,$B59,'DRAFT 2'!$A:$A,"&gt;="&amp;DATE(2026,6,22),'DRAFT 2'!$A:$A,"&lt;"&amp;DATE(2026,IF(6=12,6+1,6+1),1))</f>
        <v>0</v>
      </c>
      <c r="FI59">
        <f t="shared" si="21"/>
        <v>0</v>
      </c>
      <c r="FT59">
        <f>IFERROR(LOOKUP(2,1/('DRAFT 2'!$D:$D=$B59)*('DRAFT 2'!$A:$A&gt;=DATE(2026,7,1))*('DRAFT 2'!$A:$A&lt;DATE(2026,IF(7=12,7+1,7+1),1)),'DRAFT 2'!$A:$A),"")</f>
        <v>0</v>
      </c>
      <c r="FU59">
        <f>COUNTIFS('DRAFT 2'!$D:$D,$B59,'DRAFT 2'!$A:$A,"&gt;="&amp;DATE(2026,7,1),'DRAFT 2'!$A:$A,"&lt;="&amp;DATE(2026,7,7))</f>
        <v>0</v>
      </c>
      <c r="FV59">
        <f>COUNTIFS('DRAFT 2'!$D:$D,$B59,'DRAFT 2'!$A:$A,"&gt;="&amp;DATE(2026,7,8),'DRAFT 2'!$A:$A,"&lt;="&amp;DATE(2026,7,14))</f>
        <v>0</v>
      </c>
      <c r="FW59">
        <f>COUNTIFS('DRAFT 2'!$D:$D,$B59,'DRAFT 2'!$A:$A,"&gt;="&amp;DATE(2026,7,15),'DRAFT 2'!$A:$A,"&lt;="&amp;DATE(2026,7,21))</f>
        <v>0</v>
      </c>
      <c r="FX59">
        <f>COUNTIFS('DRAFT 2'!$D:$D,$B59,'DRAFT 2'!$A:$A,"&gt;="&amp;DATE(2026,7,22),'DRAFT 2'!$A:$A,"&lt;"&amp;DATE(2026,IF(7=12,7+1,7+1),1))</f>
        <v>0</v>
      </c>
      <c r="FY59">
        <f t="shared" si="22"/>
        <v>0</v>
      </c>
      <c r="GI59">
        <f>IFERROR(LOOKUP(2,1/('DRAFT 2'!$D:$D=$B59)*('DRAFT 2'!$A:$A&gt;=DATE(2026,8,1))*('DRAFT 2'!$A:$A&lt;DATE(2026,IF(8=12,8+1,8+1),1)),'DRAFT 2'!$A:$A),"")</f>
        <v>0</v>
      </c>
      <c r="GJ59">
        <f>COUNTIFS('DRAFT 2'!$D:$D,$B59,'DRAFT 2'!$A:$A,"&gt;="&amp;DATE(2026,8,1),'DRAFT 2'!$A:$A,"&lt;="&amp;DATE(2026,8,7))</f>
        <v>0</v>
      </c>
      <c r="GK59">
        <f>COUNTIFS('DRAFT 2'!$D:$D,$B59,'DRAFT 2'!$A:$A,"&gt;="&amp;DATE(2026,8,8),'DRAFT 2'!$A:$A,"&lt;="&amp;DATE(2026,8,14))</f>
        <v>0</v>
      </c>
      <c r="GL59">
        <f>COUNTIFS('DRAFT 2'!$D:$D,$B59,'DRAFT 2'!$A:$A,"&gt;="&amp;DATE(2026,8,15),'DRAFT 2'!$A:$A,"&lt;="&amp;DATE(2026,8,21))</f>
        <v>0</v>
      </c>
      <c r="GM59">
        <f>COUNTIFS('DRAFT 2'!$D:$D,$B59,'DRAFT 2'!$A:$A,"&gt;="&amp;DATE(2026,8,22),'DRAFT 2'!$A:$A,"&lt;"&amp;DATE(2026,IF(8=12,8+1,8+1),1))</f>
        <v>0</v>
      </c>
      <c r="GN59">
        <f t="shared" si="23"/>
        <v>0</v>
      </c>
      <c r="GX59">
        <f>IFERROR(LOOKUP(2,1/('DRAFT 2'!$D:$D=$B59)*('DRAFT 2'!$A:$A&gt;=DATE(2026,9,1))*('DRAFT 2'!$A:$A&lt;DATE(2026,IF(9=12,9+1,9+1),1)),'DRAFT 2'!$A:$A),"")</f>
        <v>0</v>
      </c>
      <c r="GY59">
        <f>COUNTIFS('DRAFT 2'!$D:$D,$B59,'DRAFT 2'!$A:$A,"&gt;="&amp;DATE(2026,9,1),'DRAFT 2'!$A:$A,"&lt;="&amp;DATE(2026,9,7))</f>
        <v>0</v>
      </c>
      <c r="GZ59">
        <f>COUNTIFS('DRAFT 2'!$D:$D,$B59,'DRAFT 2'!$A:$A,"&gt;="&amp;DATE(2026,9,8),'DRAFT 2'!$A:$A,"&lt;="&amp;DATE(2026,9,14))</f>
        <v>0</v>
      </c>
      <c r="HA59">
        <f>COUNTIFS('DRAFT 2'!$D:$D,$B59,'DRAFT 2'!$A:$A,"&gt;="&amp;DATE(2026,9,15),'DRAFT 2'!$A:$A,"&lt;="&amp;DATE(2026,9,21))</f>
        <v>0</v>
      </c>
      <c r="HB59">
        <f>COUNTIFS('DRAFT 2'!$D:$D,$B59,'DRAFT 2'!$A:$A,"&gt;="&amp;DATE(2026,9,22),'DRAFT 2'!$A:$A,"&lt;"&amp;DATE(2026,IF(9=12,9+1,9+1),1))</f>
        <v>0</v>
      </c>
      <c r="HC59">
        <f t="shared" si="24"/>
        <v>0</v>
      </c>
      <c r="HN59">
        <f>IFERROR(LOOKUP(2,1/('DRAFT 2'!$D:$D=$B59)*('DRAFT 2'!$A:$A&gt;=DATE(2026,10,1))*('DRAFT 2'!$A:$A&lt;DATE(2026,IF(10=12,10+1,10+1),1)),'DRAFT 2'!$A:$A),"")</f>
        <v>0</v>
      </c>
      <c r="HO59">
        <f>COUNTIFS('DRAFT 2'!$D:$D,$B59,'DRAFT 2'!$A:$A,"&gt;="&amp;DATE(2026,10,1),'DRAFT 2'!$A:$A,"&lt;="&amp;DATE(2026,10,7))</f>
        <v>0</v>
      </c>
      <c r="HP59">
        <f>COUNTIFS('DRAFT 2'!$D:$D,$B59,'DRAFT 2'!$A:$A,"&gt;="&amp;DATE(2026,10,8),'DRAFT 2'!$A:$A,"&lt;="&amp;DATE(2026,10,14))</f>
        <v>0</v>
      </c>
      <c r="HQ59">
        <f>COUNTIFS('DRAFT 2'!$D:$D,$B59,'DRAFT 2'!$A:$A,"&gt;="&amp;DATE(2026,10,15),'DRAFT 2'!$A:$A,"&lt;="&amp;DATE(2026,10,21))</f>
        <v>0</v>
      </c>
      <c r="HR59">
        <f>COUNTIFS('DRAFT 2'!$D:$D,$B59,'DRAFT 2'!$A:$A,"&gt;="&amp;DATE(2026,10,22),'DRAFT 2'!$A:$A,"&lt;"&amp;DATE(2026,IF(10=12,10+1,10+1),1))</f>
        <v>0</v>
      </c>
      <c r="HS59">
        <f t="shared" si="25"/>
        <v>0</v>
      </c>
      <c r="IC59">
        <f>IFERROR(LOOKUP(2,1/('DRAFT 2'!$D:$D=$B59)*('DRAFT 2'!$A:$A&gt;=DATE(2026,11,1))*('DRAFT 2'!$A:$A&lt;DATE(2026,IF(11=12,11+1,11+1),1)),'DRAFT 2'!$A:$A),"")</f>
        <v>0</v>
      </c>
      <c r="ID59">
        <f>COUNTIFS('DRAFT 2'!$D:$D,$B59,'DRAFT 2'!$A:$A,"&gt;="&amp;DATE(2026,11,1),'DRAFT 2'!$A:$A,"&lt;="&amp;DATE(2026,11,7))</f>
        <v>0</v>
      </c>
      <c r="IE59">
        <f>COUNTIFS('DRAFT 2'!$D:$D,$B59,'DRAFT 2'!$A:$A,"&gt;="&amp;DATE(2026,11,8),'DRAFT 2'!$A:$A,"&lt;="&amp;DATE(2026,11,14))</f>
        <v>0</v>
      </c>
      <c r="IF59">
        <f>COUNTIFS('DRAFT 2'!$D:$D,$B59,'DRAFT 2'!$A:$A,"&gt;="&amp;DATE(2026,11,15),'DRAFT 2'!$A:$A,"&lt;="&amp;DATE(2026,11,21))</f>
        <v>0</v>
      </c>
      <c r="IG59">
        <f>COUNTIFS('DRAFT 2'!$D:$D,$B59,'DRAFT 2'!$A:$A,"&gt;="&amp;DATE(2026,11,22),'DRAFT 2'!$A:$A,"&lt;"&amp;DATE(2026,IF(11=12,11+1,11+1),1))</f>
        <v>0</v>
      </c>
      <c r="IH59">
        <f t="shared" si="26"/>
        <v>0</v>
      </c>
      <c r="IR59">
        <f>IFERROR(LOOKUP(2,1/('DRAFT 2'!$D:$D=$B59)*('DRAFT 2'!$A:$A&gt;=DATE(2026,12,1))*('DRAFT 2'!$A:$A&lt;DATE(2026,IF(12=12,12+1,12+1),1)),'DRAFT 2'!$A:$A),"")</f>
        <v>0</v>
      </c>
      <c r="IS59">
        <f>COUNTIFS('DRAFT 2'!$D:$D,$B59,'DRAFT 2'!$A:$A,"&gt;="&amp;DATE(2026,12,1),'DRAFT 2'!$A:$A,"&lt;="&amp;DATE(2026,12,7))</f>
        <v>0</v>
      </c>
      <c r="IT59">
        <f>COUNTIFS('DRAFT 2'!$D:$D,$B59,'DRAFT 2'!$A:$A,"&gt;="&amp;DATE(2026,12,8),'DRAFT 2'!$A:$A,"&lt;="&amp;DATE(2026,12,14))</f>
        <v>0</v>
      </c>
      <c r="IU59">
        <f>COUNTIFS('DRAFT 2'!$D:$D,$B59,'DRAFT 2'!$A:$A,"&gt;="&amp;DATE(2026,12,15),'DRAFT 2'!$A:$A,"&lt;="&amp;DATE(2026,12,21))</f>
        <v>0</v>
      </c>
      <c r="IV59">
        <f>COUNTIFS('DRAFT 2'!$D:$D,$B59,'DRAFT 2'!$A:$A,"&gt;="&amp;DATE(2026,12,22),'DRAFT 2'!$A:$A,"&lt;"&amp;DATE(2026,IF(12=12,12+1,12+1),1))</f>
        <v>0</v>
      </c>
      <c r="IW59">
        <f t="shared" si="27"/>
        <v>0</v>
      </c>
    </row>
    <row r="60" spans="1:257" x14ac:dyDescent="0.3">
      <c r="A60" t="str">
        <f>IFERROR(INDEX('DRAFT 1'!$A:$A,MATCH($B60,'DRAFT 1'!$B:$B,0)),"")</f>
        <v/>
      </c>
      <c r="C60" t="str">
        <f>IFERROR(INDEX('DRAFT 1'!$C:$C,MATCH($B60,'DRAFT 1'!$B:$B,0)),"")</f>
        <v/>
      </c>
      <c r="D60" t="str">
        <f>IFERROR(INDEX('DRAFT 1'!$D:$D,MATCH($B60,'DRAFT 1'!$B:$B,0)),"")</f>
        <v/>
      </c>
      <c r="E60" t="str">
        <f>IFERROR(INDEX('DRAFT 1'!$E:$E,MATCH($B60,'DRAFT 1'!$B:$B,0)),"")</f>
        <v/>
      </c>
      <c r="F60" t="str">
        <f>IFERROR(INDEX('DRAFT 1'!$F:$F,MATCH($B60,'DRAFT 1'!$B:$B,0)),"")</f>
        <v/>
      </c>
      <c r="G60" t="str">
        <f>IFERROR(INDEX('DRAFT 1'!$G:$G,MATCH($B60,'DRAFT 1'!$B:$B,0)),"")</f>
        <v/>
      </c>
      <c r="H60" t="str">
        <f>IFERROR(INDEX('DRAFT 1'!$H:$H,MATCH($B60,'DRAFT 1'!$B:$B,0)),"")</f>
        <v/>
      </c>
      <c r="I60" t="s">
        <v>283</v>
      </c>
      <c r="K60" t="str">
        <f>IFERROR(INDEX('DRAFT 1'!$AL:$AL,MATCH($B60,'DRAFT 1'!$B:$B,0)),"")</f>
        <v/>
      </c>
      <c r="L60" t="str">
        <f>IFERROR(INDEX('DRAFT 1'!$J:$J,MATCH($B60,'DRAFT 1'!$B:$B,0)),"")</f>
        <v/>
      </c>
      <c r="M60" t="str">
        <f>IFERROR(INDEX('DRAFT 1'!$K:$K,MATCH($B60,'DRAFT 1'!$B:$B,0)),"")</f>
        <v/>
      </c>
      <c r="N60" t="s">
        <v>71</v>
      </c>
      <c r="P60" t="str">
        <f>IFERROR(INDEX('DRAFT 1'!$L:$L,MATCH($B60,'DRAFT 1'!$B:$B,0)),"")</f>
        <v/>
      </c>
      <c r="Q60" t="str">
        <f>IFERROR(INDEX('DRAFT 1'!$M:$M,MATCH($B60,'DRAFT 1'!$B:$B,0)),"")</f>
        <v/>
      </c>
      <c r="R60" t="str">
        <f>IFERROR(INDEX('DRAFT 1'!$N:$N,MATCH($B60,'DRAFT 1'!$B:$B,0)),"")</f>
        <v/>
      </c>
      <c r="S60" t="str">
        <f>IFERROR(INDEX('DRAFT 1'!$O:$O,MATCH($B60,'DRAFT 1'!$B:$B,0)),"")</f>
        <v/>
      </c>
      <c r="T60" t="str">
        <f>IFERROR(INDEX('DRAFT 1'!$P:$P,MATCH($B60,'DRAFT 1'!$B:$B,0)),"")</f>
        <v/>
      </c>
      <c r="U60" t="str">
        <f>IFERROR(INDEX('DRAFT 1'!$Q:$Q,MATCH($B60,'DRAFT 1'!$B:$B,0)),"")</f>
        <v/>
      </c>
      <c r="V60" t="str">
        <f>IFERROR(INDEX('DRAFT 1'!$R:$R,MATCH($B60,'DRAFT 1'!$B:$B,0)),"")</f>
        <v/>
      </c>
      <c r="W60" t="str">
        <f>IFERROR(INDEX('DRAFT 1'!$S:$S,MATCH($B60,'DRAFT 1'!$B:$B,0)),"")</f>
        <v/>
      </c>
      <c r="X60" t="str">
        <f>IFERROR(INDEX('DRAFT 1'!$T:$T,MATCH($B60,'DRAFT 1'!$B:$B,0)),"")</f>
        <v/>
      </c>
      <c r="Z60" t="str">
        <f>IFERROR(INDEX('DRAFT 1'!$U:$U,MATCH($B60,'DRAFT 1'!$B:$B,0)),"")</f>
        <v/>
      </c>
      <c r="AA60" t="str">
        <f>IFERROR(INDEX('DRAFT 1'!$V:$V,MATCH($B60,'DRAFT 1'!$B:$B,0)),"")</f>
        <v/>
      </c>
      <c r="AB60" t="str">
        <f>IFERROR(INDEX('DRAFT 1'!$W:$W,MATCH($B60,'DRAFT 1'!$B:$B,0)),"")</f>
        <v/>
      </c>
      <c r="AC60" t="str">
        <f>IFERROR(INDEX('DRAFT 1'!$X:$X,MATCH($B60,'DRAFT 1'!$B:$B,0)),"")</f>
        <v/>
      </c>
      <c r="AD60" t="str">
        <f>IFERROR(INDEX('DRAFT 1'!$Y:$Y,MATCH($B60,'DRAFT 1'!$B:$B,0)),"")</f>
        <v/>
      </c>
      <c r="AE60" t="str">
        <f>IFERROR(INDEX('DRAFT 1'!$Z:$Z,MATCH($B60,'DRAFT 1'!$B:$B,0)),"")</f>
        <v/>
      </c>
      <c r="AF60" t="str">
        <f>IFERROR(INDEX('DRAFT 1'!$AA:$AA,MATCH($B60,'DRAFT 1'!$B:$B,0)),"")</f>
        <v/>
      </c>
      <c r="AG60" t="str">
        <f>IFERROR(INDEX('DRAFT 1'!$AB:$AB,MATCH($B60,'DRAFT 1'!$B:$B,0)),"")</f>
        <v/>
      </c>
      <c r="AH60" t="str">
        <f>IFERROR(INDEX('DRAFT 1'!$AC:$AC,MATCH($B60,'DRAFT 1'!$B:$B,0)),"")</f>
        <v/>
      </c>
      <c r="AI60" t="str">
        <f>IFERROR(INDEX('DRAFT 1'!$AD:$AD,MATCH($B60,'DRAFT 1'!$B:$B,0)),"")</f>
        <v/>
      </c>
      <c r="AJ60" t="str">
        <f>IFERROR(INDEX('DRAFT 1'!$AE:$AE,MATCH($B60,'DRAFT 1'!$B:$B,0)),"")</f>
        <v/>
      </c>
      <c r="AK60" t="str">
        <f>IFERROR(INDEX('DRAFT 1'!$AG:$AG,MATCH($B60,'DRAFT 1'!$B:$B,0)),"")</f>
        <v/>
      </c>
      <c r="AL60" t="str">
        <f>IFERROR(INDEX('DRAFT 1'!$AH:$AH,MATCH($B60,'DRAFT 1'!$B:$B,0)),"")</f>
        <v/>
      </c>
      <c r="AM60" t="str">
        <f>IFERROR(INDEX('DRAFT 1'!$AI:$AI,MATCH($B60,'DRAFT 1'!$B:$B,0)),"")</f>
        <v/>
      </c>
      <c r="AN60" t="str">
        <f>IFERROR(INDEX('DRAFT 1'!$AJ:$AJ,MATCH($B60,'DRAFT 1'!$B:$B,0)),"")</f>
        <v/>
      </c>
      <c r="AO60">
        <f t="shared" si="14"/>
        <v>0</v>
      </c>
      <c r="AP60" t="str">
        <f>IFERROR(INDEX('DRAFT 1'!$AK:$AK,MATCH($B60,'DRAFT 1'!$B:$B,0)),"")</f>
        <v/>
      </c>
      <c r="AR60" t="s">
        <v>93</v>
      </c>
      <c r="AS60">
        <f>IFERROR(LOOKUP(2,1/('DRAFT 2'!$D:$D=$B60),'DRAFT 2'!$T:$T),"")</f>
        <v>0</v>
      </c>
      <c r="AT60">
        <f>IFERROR(LOOKUP(2,1/('DRAFT 2'!$D:$D=$B60),'DRAFT 2'!$A:$A),"")</f>
        <v>0</v>
      </c>
      <c r="AU60">
        <f>IFERROR(LOOKUP(2,1/('DRAFT 2'!$D:$D=$B60),'DRAFT 2'!$R:$R),"")</f>
        <v>0</v>
      </c>
      <c r="AV60">
        <f>IFERROR(LOOKUP(2,1/('DRAFT 2'!$D:$D=$B60),'DRAFT 2'!$S:$S),"")</f>
        <v>0</v>
      </c>
      <c r="AW60" t="s">
        <v>128</v>
      </c>
      <c r="AX60">
        <f>IFERROR(LOOKUP(2,1/('DRAFT 2'!$D:$D=$B60),'DRAFT 2'!$M:$M),"")</f>
        <v>0</v>
      </c>
      <c r="AY60">
        <f>IFERROR(LOOKUP(2,1/('DRAFT 2'!$D:$D=$B60),'DRAFT 2'!$K:$K),"")</f>
        <v>0</v>
      </c>
      <c r="BG60">
        <f>IFERROR(LOOKUP(2,1/('DRAFT 2'!$D:$D=$B60),'DRAFT 2'!$U:$U),"")</f>
        <v>0</v>
      </c>
      <c r="BH60">
        <f>IFERROR(LOOKUP(2,1/('DRAFT 2'!$D:$D=$B60),'DRAFT 2'!$V:$V),"")</f>
        <v>0</v>
      </c>
      <c r="CE60" t="str">
        <f t="shared" si="15"/>
        <v/>
      </c>
      <c r="CF60">
        <f>IFERROR(LOOKUP(2,1/('DRAFT 2'!$D:$D=$B60)*('DRAFT 2'!$A:$A&gt;=DATE(2026,1,1))*('DRAFT 2'!$A:$A&lt;DATE(2026,IF(1=12,1+1,1+1),1)),'DRAFT 2'!$A:$A),"")</f>
        <v>0</v>
      </c>
      <c r="CG60">
        <f>COUNTIFS('DRAFT 2'!$D:$D,$B60,'DRAFT 2'!$A:$A,"&gt;="&amp;DATE(2026,1,1),'DRAFT 2'!$A:$A,"&lt;="&amp;DATE(2026,1,7))</f>
        <v>0</v>
      </c>
      <c r="CH60">
        <f>COUNTIFS('DRAFT 2'!$D:$D,$B60,'DRAFT 2'!$A:$A,"&gt;="&amp;DATE(2026,1,8),'DRAFT 2'!$A:$A,"&lt;="&amp;DATE(2026,1,14))</f>
        <v>0</v>
      </c>
      <c r="CI60">
        <f>COUNTIFS('DRAFT 2'!$D:$D,$B60,'DRAFT 2'!$A:$A,"&gt;="&amp;DATE(2026,1,15),'DRAFT 2'!$A:$A,"&lt;="&amp;DATE(2026,1,21))</f>
        <v>0</v>
      </c>
      <c r="CJ60">
        <f>COUNTIFS('DRAFT 2'!$D:$D,$B60,'DRAFT 2'!$A:$A,"&gt;="&amp;DATE(2026,1,22),'DRAFT 2'!$A:$A,"&lt;"&amp;DATE(2026,IF(1=12,1+1,1+1),1))</f>
        <v>0</v>
      </c>
      <c r="CK60">
        <f t="shared" si="16"/>
        <v>0</v>
      </c>
      <c r="CT60">
        <v>0</v>
      </c>
      <c r="CU60">
        <f>IFERROR(LOOKUP(2,1/('DRAFT 2'!$D:$D=$B60)*('DRAFT 2'!$A:$A&gt;=DATE(2026,2,1))*('DRAFT 2'!$A:$A&lt;DATE(2026,IF(2=12,2+1,2+1),1)),'DRAFT 2'!$A:$A),"")</f>
        <v>0</v>
      </c>
      <c r="CV60">
        <f>COUNTIFS('DRAFT 2'!$D:$D,$B60,'DRAFT 2'!$A:$A,"&gt;="&amp;DATE(2026,2,1),'DRAFT 2'!$A:$A,"&lt;="&amp;DATE(2026,2,7))</f>
        <v>0</v>
      </c>
      <c r="CW60">
        <f>COUNTIFS('DRAFT 2'!$D:$D,$B60,'DRAFT 2'!$A:$A,"&gt;="&amp;DATE(2026,2,8),'DRAFT 2'!$A:$A,"&lt;="&amp;DATE(2026,2,14))</f>
        <v>0</v>
      </c>
      <c r="CX60">
        <f>COUNTIFS('DRAFT 2'!$D:$D,$B60,'DRAFT 2'!$A:$A,"&gt;="&amp;DATE(2026,2,15),'DRAFT 2'!$A:$A,"&lt;="&amp;DATE(2026,2,21))</f>
        <v>0</v>
      </c>
      <c r="CY60">
        <f>COUNTIFS('DRAFT 2'!$D:$D,$B60,'DRAFT 2'!$A:$A,"&gt;="&amp;DATE(2026,2,22),'DRAFT 2'!$A:$A,"&lt;"&amp;DATE(2026,IF(2=12,2+1,2+1),1))</f>
        <v>0</v>
      </c>
      <c r="CZ60">
        <f t="shared" si="17"/>
        <v>0</v>
      </c>
      <c r="DJ60">
        <f>IFERROR(LOOKUP(2,1/('DRAFT 2'!$D:$D=$B60)*('DRAFT 2'!$A:$A&gt;=DATE(2026,3,1))*('DRAFT 2'!$A:$A&lt;DATE(2026,IF(3=12,3+1,3+1),1)),'DRAFT 2'!$A:$A),"")</f>
        <v>0</v>
      </c>
      <c r="DK60">
        <f>COUNTIFS('DRAFT 2'!$D:$D,$B60,'DRAFT 2'!$A:$A,"&gt;="&amp;DATE(2026,3,1),'DRAFT 2'!$A:$A,"&lt;="&amp;DATE(2026,3,7))</f>
        <v>0</v>
      </c>
      <c r="DL60">
        <f>COUNTIFS('DRAFT 2'!$D:$D,$B60,'DRAFT 2'!$A:$A,"&gt;="&amp;DATE(2026,3,8),'DRAFT 2'!$A:$A,"&lt;="&amp;DATE(2026,3,14))</f>
        <v>0</v>
      </c>
      <c r="DM60">
        <f>COUNTIFS('DRAFT 2'!$D:$D,$B60,'DRAFT 2'!$A:$A,"&gt;="&amp;DATE(2026,3,15),'DRAFT 2'!$A:$A,"&lt;="&amp;DATE(2026,3,21))</f>
        <v>0</v>
      </c>
      <c r="DN60">
        <f>COUNTIFS('DRAFT 2'!$D:$D,$B60,'DRAFT 2'!$A:$A,"&gt;="&amp;DATE(2026,3,22),'DRAFT 2'!$A:$A,"&lt;"&amp;DATE(2026,IF(3=12,3+1,3+1),1))</f>
        <v>0</v>
      </c>
      <c r="DO60">
        <f t="shared" si="18"/>
        <v>0</v>
      </c>
      <c r="DZ60">
        <f>IFERROR(LOOKUP(2,1/('DRAFT 2'!$D:$D=$B60)*('DRAFT 2'!$A:$A&gt;=DATE(2026,4,1))*('DRAFT 2'!$A:$A&lt;DATE(2026,IF(4=12,4+1,4+1),1)),'DRAFT 2'!$A:$A),"")</f>
        <v>0</v>
      </c>
      <c r="EA60">
        <f>COUNTIFS('DRAFT 2'!$D:$D,$B60,'DRAFT 2'!$A:$A,"&gt;="&amp;DATE(2026,4,1),'DRAFT 2'!$A:$A,"&lt;="&amp;DATE(2026,4,7))</f>
        <v>0</v>
      </c>
      <c r="EB60">
        <f>COUNTIFS('DRAFT 2'!$D:$D,$B60,'DRAFT 2'!$A:$A,"&gt;="&amp;DATE(2026,4,8),'DRAFT 2'!$A:$A,"&lt;="&amp;DATE(2026,4,14))</f>
        <v>0</v>
      </c>
      <c r="EC60">
        <f>COUNTIFS('DRAFT 2'!$D:$D,$B60,'DRAFT 2'!$A:$A,"&gt;="&amp;DATE(2026,4,15),'DRAFT 2'!$A:$A,"&lt;="&amp;DATE(2026,4,21))</f>
        <v>0</v>
      </c>
      <c r="ED60">
        <f>COUNTIFS('DRAFT 2'!$D:$D,$B60,'DRAFT 2'!$A:$A,"&gt;="&amp;DATE(2026,4,22),'DRAFT 2'!$A:$A,"&lt;"&amp;DATE(2026,IF(4=12,4+1,4+1),1))</f>
        <v>0</v>
      </c>
      <c r="EE60">
        <f t="shared" si="19"/>
        <v>0</v>
      </c>
      <c r="EO60">
        <f>IFERROR(LOOKUP(2,1/('DRAFT 2'!$D:$D=$B60)*('DRAFT 2'!$A:$A&gt;=DATE(2026,5,1))*('DRAFT 2'!$A:$A&lt;DATE(2026,IF(5=12,5+1,5+1),1)),'DRAFT 2'!$A:$A),"")</f>
        <v>0</v>
      </c>
      <c r="EP60">
        <f>COUNTIFS('DRAFT 2'!$D:$D,$B60,'DRAFT 2'!$A:$A,"&gt;="&amp;DATE(2026,5,1),'DRAFT 2'!$A:$A,"&lt;="&amp;DATE(2026,5,7))</f>
        <v>0</v>
      </c>
      <c r="EQ60">
        <f>COUNTIFS('DRAFT 2'!$D:$D,$B60,'DRAFT 2'!$A:$A,"&gt;="&amp;DATE(2026,5,8),'DRAFT 2'!$A:$A,"&lt;="&amp;DATE(2026,5,14))</f>
        <v>0</v>
      </c>
      <c r="ER60">
        <f>COUNTIFS('DRAFT 2'!$D:$D,$B60,'DRAFT 2'!$A:$A,"&gt;="&amp;DATE(2026,5,15),'DRAFT 2'!$A:$A,"&lt;="&amp;DATE(2026,5,21))</f>
        <v>0</v>
      </c>
      <c r="ES60">
        <f>COUNTIFS('DRAFT 2'!$D:$D,$B60,'DRAFT 2'!$A:$A,"&gt;="&amp;DATE(2026,5,22),'DRAFT 2'!$A:$A,"&lt;"&amp;DATE(2026,IF(5=12,5+1,5+1),1))</f>
        <v>0</v>
      </c>
      <c r="ET60">
        <f t="shared" si="20"/>
        <v>0</v>
      </c>
      <c r="FD60">
        <f>IFERROR(LOOKUP(2,1/('DRAFT 2'!$D:$D=$B60)*('DRAFT 2'!$A:$A&gt;=DATE(2026,6,1))*('DRAFT 2'!$A:$A&lt;DATE(2026,IF(6=12,6+1,6+1),1)),'DRAFT 2'!$A:$A),"")</f>
        <v>0</v>
      </c>
      <c r="FE60">
        <f>COUNTIFS('DRAFT 2'!$D:$D,$B60,'DRAFT 2'!$A:$A,"&gt;="&amp;DATE(2026,6,1),'DRAFT 2'!$A:$A,"&lt;="&amp;DATE(2026,6,7))</f>
        <v>0</v>
      </c>
      <c r="FF60">
        <f>COUNTIFS('DRAFT 2'!$D:$D,$B60,'DRAFT 2'!$A:$A,"&gt;="&amp;DATE(2026,6,8),'DRAFT 2'!$A:$A,"&lt;="&amp;DATE(2026,6,14))</f>
        <v>0</v>
      </c>
      <c r="FG60">
        <f>COUNTIFS('DRAFT 2'!$D:$D,$B60,'DRAFT 2'!$A:$A,"&gt;="&amp;DATE(2026,6,15),'DRAFT 2'!$A:$A,"&lt;="&amp;DATE(2026,6,21))</f>
        <v>0</v>
      </c>
      <c r="FH60">
        <f>COUNTIFS('DRAFT 2'!$D:$D,$B60,'DRAFT 2'!$A:$A,"&gt;="&amp;DATE(2026,6,22),'DRAFT 2'!$A:$A,"&lt;"&amp;DATE(2026,IF(6=12,6+1,6+1),1))</f>
        <v>0</v>
      </c>
      <c r="FI60">
        <f t="shared" si="21"/>
        <v>0</v>
      </c>
      <c r="FT60">
        <f>IFERROR(LOOKUP(2,1/('DRAFT 2'!$D:$D=$B60)*('DRAFT 2'!$A:$A&gt;=DATE(2026,7,1))*('DRAFT 2'!$A:$A&lt;DATE(2026,IF(7=12,7+1,7+1),1)),'DRAFT 2'!$A:$A),"")</f>
        <v>0</v>
      </c>
      <c r="FU60">
        <f>COUNTIFS('DRAFT 2'!$D:$D,$B60,'DRAFT 2'!$A:$A,"&gt;="&amp;DATE(2026,7,1),'DRAFT 2'!$A:$A,"&lt;="&amp;DATE(2026,7,7))</f>
        <v>0</v>
      </c>
      <c r="FV60">
        <f>COUNTIFS('DRAFT 2'!$D:$D,$B60,'DRAFT 2'!$A:$A,"&gt;="&amp;DATE(2026,7,8),'DRAFT 2'!$A:$A,"&lt;="&amp;DATE(2026,7,14))</f>
        <v>0</v>
      </c>
      <c r="FW60">
        <f>COUNTIFS('DRAFT 2'!$D:$D,$B60,'DRAFT 2'!$A:$A,"&gt;="&amp;DATE(2026,7,15),'DRAFT 2'!$A:$A,"&lt;="&amp;DATE(2026,7,21))</f>
        <v>0</v>
      </c>
      <c r="FX60">
        <f>COUNTIFS('DRAFT 2'!$D:$D,$B60,'DRAFT 2'!$A:$A,"&gt;="&amp;DATE(2026,7,22),'DRAFT 2'!$A:$A,"&lt;"&amp;DATE(2026,IF(7=12,7+1,7+1),1))</f>
        <v>0</v>
      </c>
      <c r="FY60">
        <f t="shared" si="22"/>
        <v>0</v>
      </c>
      <c r="GI60">
        <f>IFERROR(LOOKUP(2,1/('DRAFT 2'!$D:$D=$B60)*('DRAFT 2'!$A:$A&gt;=DATE(2026,8,1))*('DRAFT 2'!$A:$A&lt;DATE(2026,IF(8=12,8+1,8+1),1)),'DRAFT 2'!$A:$A),"")</f>
        <v>0</v>
      </c>
      <c r="GJ60">
        <f>COUNTIFS('DRAFT 2'!$D:$D,$B60,'DRAFT 2'!$A:$A,"&gt;="&amp;DATE(2026,8,1),'DRAFT 2'!$A:$A,"&lt;="&amp;DATE(2026,8,7))</f>
        <v>0</v>
      </c>
      <c r="GK60">
        <f>COUNTIFS('DRAFT 2'!$D:$D,$B60,'DRAFT 2'!$A:$A,"&gt;="&amp;DATE(2026,8,8),'DRAFT 2'!$A:$A,"&lt;="&amp;DATE(2026,8,14))</f>
        <v>0</v>
      </c>
      <c r="GL60">
        <f>COUNTIFS('DRAFT 2'!$D:$D,$B60,'DRAFT 2'!$A:$A,"&gt;="&amp;DATE(2026,8,15),'DRAFT 2'!$A:$A,"&lt;="&amp;DATE(2026,8,21))</f>
        <v>0</v>
      </c>
      <c r="GM60">
        <f>COUNTIFS('DRAFT 2'!$D:$D,$B60,'DRAFT 2'!$A:$A,"&gt;="&amp;DATE(2026,8,22),'DRAFT 2'!$A:$A,"&lt;"&amp;DATE(2026,IF(8=12,8+1,8+1),1))</f>
        <v>0</v>
      </c>
      <c r="GN60">
        <f t="shared" si="23"/>
        <v>0</v>
      </c>
      <c r="GX60">
        <f>IFERROR(LOOKUP(2,1/('DRAFT 2'!$D:$D=$B60)*('DRAFT 2'!$A:$A&gt;=DATE(2026,9,1))*('DRAFT 2'!$A:$A&lt;DATE(2026,IF(9=12,9+1,9+1),1)),'DRAFT 2'!$A:$A),"")</f>
        <v>0</v>
      </c>
      <c r="GY60">
        <f>COUNTIFS('DRAFT 2'!$D:$D,$B60,'DRAFT 2'!$A:$A,"&gt;="&amp;DATE(2026,9,1),'DRAFT 2'!$A:$A,"&lt;="&amp;DATE(2026,9,7))</f>
        <v>0</v>
      </c>
      <c r="GZ60">
        <f>COUNTIFS('DRAFT 2'!$D:$D,$B60,'DRAFT 2'!$A:$A,"&gt;="&amp;DATE(2026,9,8),'DRAFT 2'!$A:$A,"&lt;="&amp;DATE(2026,9,14))</f>
        <v>0</v>
      </c>
      <c r="HA60">
        <f>COUNTIFS('DRAFT 2'!$D:$D,$B60,'DRAFT 2'!$A:$A,"&gt;="&amp;DATE(2026,9,15),'DRAFT 2'!$A:$A,"&lt;="&amp;DATE(2026,9,21))</f>
        <v>0</v>
      </c>
      <c r="HB60">
        <f>COUNTIFS('DRAFT 2'!$D:$D,$B60,'DRAFT 2'!$A:$A,"&gt;="&amp;DATE(2026,9,22),'DRAFT 2'!$A:$A,"&lt;"&amp;DATE(2026,IF(9=12,9+1,9+1),1))</f>
        <v>0</v>
      </c>
      <c r="HC60">
        <f t="shared" si="24"/>
        <v>0</v>
      </c>
      <c r="HN60">
        <f>IFERROR(LOOKUP(2,1/('DRAFT 2'!$D:$D=$B60)*('DRAFT 2'!$A:$A&gt;=DATE(2026,10,1))*('DRAFT 2'!$A:$A&lt;DATE(2026,IF(10=12,10+1,10+1),1)),'DRAFT 2'!$A:$A),"")</f>
        <v>0</v>
      </c>
      <c r="HO60">
        <f>COUNTIFS('DRAFT 2'!$D:$D,$B60,'DRAFT 2'!$A:$A,"&gt;="&amp;DATE(2026,10,1),'DRAFT 2'!$A:$A,"&lt;="&amp;DATE(2026,10,7))</f>
        <v>0</v>
      </c>
      <c r="HP60">
        <f>COUNTIFS('DRAFT 2'!$D:$D,$B60,'DRAFT 2'!$A:$A,"&gt;="&amp;DATE(2026,10,8),'DRAFT 2'!$A:$A,"&lt;="&amp;DATE(2026,10,14))</f>
        <v>0</v>
      </c>
      <c r="HQ60">
        <f>COUNTIFS('DRAFT 2'!$D:$D,$B60,'DRAFT 2'!$A:$A,"&gt;="&amp;DATE(2026,10,15),'DRAFT 2'!$A:$A,"&lt;="&amp;DATE(2026,10,21))</f>
        <v>0</v>
      </c>
      <c r="HR60">
        <f>COUNTIFS('DRAFT 2'!$D:$D,$B60,'DRAFT 2'!$A:$A,"&gt;="&amp;DATE(2026,10,22),'DRAFT 2'!$A:$A,"&lt;"&amp;DATE(2026,IF(10=12,10+1,10+1),1))</f>
        <v>0</v>
      </c>
      <c r="HS60">
        <f t="shared" si="25"/>
        <v>0</v>
      </c>
      <c r="IC60">
        <f>IFERROR(LOOKUP(2,1/('DRAFT 2'!$D:$D=$B60)*('DRAFT 2'!$A:$A&gt;=DATE(2026,11,1))*('DRAFT 2'!$A:$A&lt;DATE(2026,IF(11=12,11+1,11+1),1)),'DRAFT 2'!$A:$A),"")</f>
        <v>0</v>
      </c>
      <c r="ID60">
        <f>COUNTIFS('DRAFT 2'!$D:$D,$B60,'DRAFT 2'!$A:$A,"&gt;="&amp;DATE(2026,11,1),'DRAFT 2'!$A:$A,"&lt;="&amp;DATE(2026,11,7))</f>
        <v>0</v>
      </c>
      <c r="IE60">
        <f>COUNTIFS('DRAFT 2'!$D:$D,$B60,'DRAFT 2'!$A:$A,"&gt;="&amp;DATE(2026,11,8),'DRAFT 2'!$A:$A,"&lt;="&amp;DATE(2026,11,14))</f>
        <v>0</v>
      </c>
      <c r="IF60">
        <f>COUNTIFS('DRAFT 2'!$D:$D,$B60,'DRAFT 2'!$A:$A,"&gt;="&amp;DATE(2026,11,15),'DRAFT 2'!$A:$A,"&lt;="&amp;DATE(2026,11,21))</f>
        <v>0</v>
      </c>
      <c r="IG60">
        <f>COUNTIFS('DRAFT 2'!$D:$D,$B60,'DRAFT 2'!$A:$A,"&gt;="&amp;DATE(2026,11,22),'DRAFT 2'!$A:$A,"&lt;"&amp;DATE(2026,IF(11=12,11+1,11+1),1))</f>
        <v>0</v>
      </c>
      <c r="IH60">
        <f t="shared" si="26"/>
        <v>0</v>
      </c>
      <c r="IR60">
        <f>IFERROR(LOOKUP(2,1/('DRAFT 2'!$D:$D=$B60)*('DRAFT 2'!$A:$A&gt;=DATE(2026,12,1))*('DRAFT 2'!$A:$A&lt;DATE(2026,IF(12=12,12+1,12+1),1)),'DRAFT 2'!$A:$A),"")</f>
        <v>0</v>
      </c>
      <c r="IS60">
        <f>COUNTIFS('DRAFT 2'!$D:$D,$B60,'DRAFT 2'!$A:$A,"&gt;="&amp;DATE(2026,12,1),'DRAFT 2'!$A:$A,"&lt;="&amp;DATE(2026,12,7))</f>
        <v>0</v>
      </c>
      <c r="IT60">
        <f>COUNTIFS('DRAFT 2'!$D:$D,$B60,'DRAFT 2'!$A:$A,"&gt;="&amp;DATE(2026,12,8),'DRAFT 2'!$A:$A,"&lt;="&amp;DATE(2026,12,14))</f>
        <v>0</v>
      </c>
      <c r="IU60">
        <f>COUNTIFS('DRAFT 2'!$D:$D,$B60,'DRAFT 2'!$A:$A,"&gt;="&amp;DATE(2026,12,15),'DRAFT 2'!$A:$A,"&lt;="&amp;DATE(2026,12,21))</f>
        <v>0</v>
      </c>
      <c r="IV60">
        <f>COUNTIFS('DRAFT 2'!$D:$D,$B60,'DRAFT 2'!$A:$A,"&gt;="&amp;DATE(2026,12,22),'DRAFT 2'!$A:$A,"&lt;"&amp;DATE(2026,IF(12=12,12+1,12+1),1))</f>
        <v>0</v>
      </c>
      <c r="IW60">
        <f t="shared" si="27"/>
        <v>0</v>
      </c>
    </row>
    <row r="61" spans="1:257" x14ac:dyDescent="0.3">
      <c r="A61" t="str">
        <f>IFERROR(INDEX('DRAFT 1'!$A:$A,MATCH($B61,'DRAFT 1'!$B:$B,0)),"")</f>
        <v/>
      </c>
      <c r="C61" t="str">
        <f>IFERROR(INDEX('DRAFT 1'!$C:$C,MATCH($B61,'DRAFT 1'!$B:$B,0)),"")</f>
        <v/>
      </c>
      <c r="D61" t="str">
        <f>IFERROR(INDEX('DRAFT 1'!$D:$D,MATCH($B61,'DRAFT 1'!$B:$B,0)),"")</f>
        <v/>
      </c>
      <c r="E61" t="str">
        <f>IFERROR(INDEX('DRAFT 1'!$E:$E,MATCH($B61,'DRAFT 1'!$B:$B,0)),"")</f>
        <v/>
      </c>
      <c r="F61" t="str">
        <f>IFERROR(INDEX('DRAFT 1'!$F:$F,MATCH($B61,'DRAFT 1'!$B:$B,0)),"")</f>
        <v/>
      </c>
      <c r="G61" t="str">
        <f>IFERROR(INDEX('DRAFT 1'!$G:$G,MATCH($B61,'DRAFT 1'!$B:$B,0)),"")</f>
        <v/>
      </c>
      <c r="H61" t="str">
        <f>IFERROR(INDEX('DRAFT 1'!$H:$H,MATCH($B61,'DRAFT 1'!$B:$B,0)),"")</f>
        <v/>
      </c>
      <c r="I61" t="s">
        <v>298</v>
      </c>
      <c r="K61" t="str">
        <f>IFERROR(INDEX('DRAFT 1'!$AL:$AL,MATCH($B61,'DRAFT 1'!$B:$B,0)),"")</f>
        <v/>
      </c>
      <c r="L61" t="str">
        <f>IFERROR(INDEX('DRAFT 1'!$J:$J,MATCH($B61,'DRAFT 1'!$B:$B,0)),"")</f>
        <v/>
      </c>
      <c r="M61" t="str">
        <f>IFERROR(INDEX('DRAFT 1'!$K:$K,MATCH($B61,'DRAFT 1'!$B:$B,0)),"")</f>
        <v/>
      </c>
      <c r="N61" t="s">
        <v>77</v>
      </c>
      <c r="P61" t="str">
        <f>IFERROR(INDEX('DRAFT 1'!$L:$L,MATCH($B61,'DRAFT 1'!$B:$B,0)),"")</f>
        <v/>
      </c>
      <c r="Q61" t="str">
        <f>IFERROR(INDEX('DRAFT 1'!$M:$M,MATCH($B61,'DRAFT 1'!$B:$B,0)),"")</f>
        <v/>
      </c>
      <c r="R61" t="str">
        <f>IFERROR(INDEX('DRAFT 1'!$N:$N,MATCH($B61,'DRAFT 1'!$B:$B,0)),"")</f>
        <v/>
      </c>
      <c r="S61" t="str">
        <f>IFERROR(INDEX('DRAFT 1'!$O:$O,MATCH($B61,'DRAFT 1'!$B:$B,0)),"")</f>
        <v/>
      </c>
      <c r="T61" t="str">
        <f>IFERROR(INDEX('DRAFT 1'!$P:$P,MATCH($B61,'DRAFT 1'!$B:$B,0)),"")</f>
        <v/>
      </c>
      <c r="U61" t="str">
        <f>IFERROR(INDEX('DRAFT 1'!$Q:$Q,MATCH($B61,'DRAFT 1'!$B:$B,0)),"")</f>
        <v/>
      </c>
      <c r="V61" t="str">
        <f>IFERROR(INDEX('DRAFT 1'!$R:$R,MATCH($B61,'DRAFT 1'!$B:$B,0)),"")</f>
        <v/>
      </c>
      <c r="W61" t="str">
        <f>IFERROR(INDEX('DRAFT 1'!$S:$S,MATCH($B61,'DRAFT 1'!$B:$B,0)),"")</f>
        <v/>
      </c>
      <c r="X61" t="str">
        <f>IFERROR(INDEX('DRAFT 1'!$T:$T,MATCH($B61,'DRAFT 1'!$B:$B,0)),"")</f>
        <v/>
      </c>
      <c r="Z61" t="str">
        <f>IFERROR(INDEX('DRAFT 1'!$U:$U,MATCH($B61,'DRAFT 1'!$B:$B,0)),"")</f>
        <v/>
      </c>
      <c r="AA61" t="str">
        <f>IFERROR(INDEX('DRAFT 1'!$V:$V,MATCH($B61,'DRAFT 1'!$B:$B,0)),"")</f>
        <v/>
      </c>
      <c r="AB61" t="str">
        <f>IFERROR(INDEX('DRAFT 1'!$W:$W,MATCH($B61,'DRAFT 1'!$B:$B,0)),"")</f>
        <v/>
      </c>
      <c r="AC61" t="str">
        <f>IFERROR(INDEX('DRAFT 1'!$X:$X,MATCH($B61,'DRAFT 1'!$B:$B,0)),"")</f>
        <v/>
      </c>
      <c r="AD61" t="str">
        <f>IFERROR(INDEX('DRAFT 1'!$Y:$Y,MATCH($B61,'DRAFT 1'!$B:$B,0)),"")</f>
        <v/>
      </c>
      <c r="AE61" t="str">
        <f>IFERROR(INDEX('DRAFT 1'!$Z:$Z,MATCH($B61,'DRAFT 1'!$B:$B,0)),"")</f>
        <v/>
      </c>
      <c r="AF61" t="str">
        <f>IFERROR(INDEX('DRAFT 1'!$AA:$AA,MATCH($B61,'DRAFT 1'!$B:$B,0)),"")</f>
        <v/>
      </c>
      <c r="AG61" t="str">
        <f>IFERROR(INDEX('DRAFT 1'!$AB:$AB,MATCH($B61,'DRAFT 1'!$B:$B,0)),"")</f>
        <v/>
      </c>
      <c r="AH61" t="str">
        <f>IFERROR(INDEX('DRAFT 1'!$AC:$AC,MATCH($B61,'DRAFT 1'!$B:$B,0)),"")</f>
        <v/>
      </c>
      <c r="AI61" t="str">
        <f>IFERROR(INDEX('DRAFT 1'!$AD:$AD,MATCH($B61,'DRAFT 1'!$B:$B,0)),"")</f>
        <v/>
      </c>
      <c r="AJ61" t="str">
        <f>IFERROR(INDEX('DRAFT 1'!$AE:$AE,MATCH($B61,'DRAFT 1'!$B:$B,0)),"")</f>
        <v/>
      </c>
      <c r="AK61" t="str">
        <f>IFERROR(INDEX('DRAFT 1'!$AG:$AG,MATCH($B61,'DRAFT 1'!$B:$B,0)),"")</f>
        <v/>
      </c>
      <c r="AL61" t="str">
        <f>IFERROR(INDEX('DRAFT 1'!$AH:$AH,MATCH($B61,'DRAFT 1'!$B:$B,0)),"")</f>
        <v/>
      </c>
      <c r="AM61" t="str">
        <f>IFERROR(INDEX('DRAFT 1'!$AI:$AI,MATCH($B61,'DRAFT 1'!$B:$B,0)),"")</f>
        <v/>
      </c>
      <c r="AN61" t="str">
        <f>IFERROR(INDEX('DRAFT 1'!$AJ:$AJ,MATCH($B61,'DRAFT 1'!$B:$B,0)),"")</f>
        <v/>
      </c>
      <c r="AO61">
        <f t="shared" si="14"/>
        <v>0</v>
      </c>
      <c r="AP61" t="str">
        <f>IFERROR(INDEX('DRAFT 1'!$AK:$AK,MATCH($B61,'DRAFT 1'!$B:$B,0)),"")</f>
        <v/>
      </c>
      <c r="AR61" t="s">
        <v>65</v>
      </c>
      <c r="AS61">
        <f>IFERROR(LOOKUP(2,1/('DRAFT 2'!$D:$D=$B61),'DRAFT 2'!$T:$T),"")</f>
        <v>0</v>
      </c>
      <c r="AT61">
        <f>IFERROR(LOOKUP(2,1/('DRAFT 2'!$D:$D=$B61),'DRAFT 2'!$A:$A),"")</f>
        <v>0</v>
      </c>
      <c r="AU61">
        <f>IFERROR(LOOKUP(2,1/('DRAFT 2'!$D:$D=$B61),'DRAFT 2'!$R:$R),"")</f>
        <v>0</v>
      </c>
      <c r="AV61">
        <f>IFERROR(LOOKUP(2,1/('DRAFT 2'!$D:$D=$B61),'DRAFT 2'!$S:$S),"")</f>
        <v>0</v>
      </c>
      <c r="AW61" t="s">
        <v>128</v>
      </c>
      <c r="AX61">
        <f>IFERROR(LOOKUP(2,1/('DRAFT 2'!$D:$D=$B61),'DRAFT 2'!$M:$M),"")</f>
        <v>0</v>
      </c>
      <c r="AY61">
        <f>IFERROR(LOOKUP(2,1/('DRAFT 2'!$D:$D=$B61),'DRAFT 2'!$K:$K),"")</f>
        <v>0</v>
      </c>
      <c r="BG61">
        <f>IFERROR(LOOKUP(2,1/('DRAFT 2'!$D:$D=$B61),'DRAFT 2'!$U:$U),"")</f>
        <v>0</v>
      </c>
      <c r="BH61">
        <f>IFERROR(LOOKUP(2,1/('DRAFT 2'!$D:$D=$B61),'DRAFT 2'!$V:$V),"")</f>
        <v>0</v>
      </c>
      <c r="CE61" t="str">
        <f t="shared" si="15"/>
        <v/>
      </c>
      <c r="CF61">
        <f>IFERROR(LOOKUP(2,1/('DRAFT 2'!$D:$D=$B61)*('DRAFT 2'!$A:$A&gt;=DATE(2026,1,1))*('DRAFT 2'!$A:$A&lt;DATE(2026,IF(1=12,1+1,1+1),1)),'DRAFT 2'!$A:$A),"")</f>
        <v>0</v>
      </c>
      <c r="CG61">
        <f>COUNTIFS('DRAFT 2'!$D:$D,$B61,'DRAFT 2'!$A:$A,"&gt;="&amp;DATE(2026,1,1),'DRAFT 2'!$A:$A,"&lt;="&amp;DATE(2026,1,7))</f>
        <v>0</v>
      </c>
      <c r="CH61">
        <f>COUNTIFS('DRAFT 2'!$D:$D,$B61,'DRAFT 2'!$A:$A,"&gt;="&amp;DATE(2026,1,8),'DRAFT 2'!$A:$A,"&lt;="&amp;DATE(2026,1,14))</f>
        <v>0</v>
      </c>
      <c r="CI61">
        <f>COUNTIFS('DRAFT 2'!$D:$D,$B61,'DRAFT 2'!$A:$A,"&gt;="&amp;DATE(2026,1,15),'DRAFT 2'!$A:$A,"&lt;="&amp;DATE(2026,1,21))</f>
        <v>0</v>
      </c>
      <c r="CJ61">
        <f>COUNTIFS('DRAFT 2'!$D:$D,$B61,'DRAFT 2'!$A:$A,"&gt;="&amp;DATE(2026,1,22),'DRAFT 2'!$A:$A,"&lt;"&amp;DATE(2026,IF(1=12,1+1,1+1),1))</f>
        <v>0</v>
      </c>
      <c r="CK61">
        <f t="shared" si="16"/>
        <v>0</v>
      </c>
      <c r="CT61">
        <v>0</v>
      </c>
      <c r="CU61">
        <f>IFERROR(LOOKUP(2,1/('DRAFT 2'!$D:$D=$B61)*('DRAFT 2'!$A:$A&gt;=DATE(2026,2,1))*('DRAFT 2'!$A:$A&lt;DATE(2026,IF(2=12,2+1,2+1),1)),'DRAFT 2'!$A:$A),"")</f>
        <v>0</v>
      </c>
      <c r="CV61">
        <f>COUNTIFS('DRAFT 2'!$D:$D,$B61,'DRAFT 2'!$A:$A,"&gt;="&amp;DATE(2026,2,1),'DRAFT 2'!$A:$A,"&lt;="&amp;DATE(2026,2,7))</f>
        <v>0</v>
      </c>
      <c r="CW61">
        <f>COUNTIFS('DRAFT 2'!$D:$D,$B61,'DRAFT 2'!$A:$A,"&gt;="&amp;DATE(2026,2,8),'DRAFT 2'!$A:$A,"&lt;="&amp;DATE(2026,2,14))</f>
        <v>0</v>
      </c>
      <c r="CX61">
        <f>COUNTIFS('DRAFT 2'!$D:$D,$B61,'DRAFT 2'!$A:$A,"&gt;="&amp;DATE(2026,2,15),'DRAFT 2'!$A:$A,"&lt;="&amp;DATE(2026,2,21))</f>
        <v>0</v>
      </c>
      <c r="CY61">
        <f>COUNTIFS('DRAFT 2'!$D:$D,$B61,'DRAFT 2'!$A:$A,"&gt;="&amp;DATE(2026,2,22),'DRAFT 2'!$A:$A,"&lt;"&amp;DATE(2026,IF(2=12,2+1,2+1),1))</f>
        <v>0</v>
      </c>
      <c r="CZ61">
        <f t="shared" si="17"/>
        <v>0</v>
      </c>
      <c r="DJ61">
        <f>IFERROR(LOOKUP(2,1/('DRAFT 2'!$D:$D=$B61)*('DRAFT 2'!$A:$A&gt;=DATE(2026,3,1))*('DRAFT 2'!$A:$A&lt;DATE(2026,IF(3=12,3+1,3+1),1)),'DRAFT 2'!$A:$A),"")</f>
        <v>0</v>
      </c>
      <c r="DK61">
        <f>COUNTIFS('DRAFT 2'!$D:$D,$B61,'DRAFT 2'!$A:$A,"&gt;="&amp;DATE(2026,3,1),'DRAFT 2'!$A:$A,"&lt;="&amp;DATE(2026,3,7))</f>
        <v>0</v>
      </c>
      <c r="DL61">
        <f>COUNTIFS('DRAFT 2'!$D:$D,$B61,'DRAFT 2'!$A:$A,"&gt;="&amp;DATE(2026,3,8),'DRAFT 2'!$A:$A,"&lt;="&amp;DATE(2026,3,14))</f>
        <v>0</v>
      </c>
      <c r="DM61">
        <f>COUNTIFS('DRAFT 2'!$D:$D,$B61,'DRAFT 2'!$A:$A,"&gt;="&amp;DATE(2026,3,15),'DRAFT 2'!$A:$A,"&lt;="&amp;DATE(2026,3,21))</f>
        <v>0</v>
      </c>
      <c r="DN61">
        <f>COUNTIFS('DRAFT 2'!$D:$D,$B61,'DRAFT 2'!$A:$A,"&gt;="&amp;DATE(2026,3,22),'DRAFT 2'!$A:$A,"&lt;"&amp;DATE(2026,IF(3=12,3+1,3+1),1))</f>
        <v>0</v>
      </c>
      <c r="DO61">
        <f t="shared" si="18"/>
        <v>0</v>
      </c>
      <c r="DZ61">
        <f>IFERROR(LOOKUP(2,1/('DRAFT 2'!$D:$D=$B61)*('DRAFT 2'!$A:$A&gt;=DATE(2026,4,1))*('DRAFT 2'!$A:$A&lt;DATE(2026,IF(4=12,4+1,4+1),1)),'DRAFT 2'!$A:$A),"")</f>
        <v>0</v>
      </c>
      <c r="EA61">
        <f>COUNTIFS('DRAFT 2'!$D:$D,$B61,'DRAFT 2'!$A:$A,"&gt;="&amp;DATE(2026,4,1),'DRAFT 2'!$A:$A,"&lt;="&amp;DATE(2026,4,7))</f>
        <v>0</v>
      </c>
      <c r="EB61">
        <f>COUNTIFS('DRAFT 2'!$D:$D,$B61,'DRAFT 2'!$A:$A,"&gt;="&amp;DATE(2026,4,8),'DRAFT 2'!$A:$A,"&lt;="&amp;DATE(2026,4,14))</f>
        <v>0</v>
      </c>
      <c r="EC61">
        <f>COUNTIFS('DRAFT 2'!$D:$D,$B61,'DRAFT 2'!$A:$A,"&gt;="&amp;DATE(2026,4,15),'DRAFT 2'!$A:$A,"&lt;="&amp;DATE(2026,4,21))</f>
        <v>0</v>
      </c>
      <c r="ED61">
        <f>COUNTIFS('DRAFT 2'!$D:$D,$B61,'DRAFT 2'!$A:$A,"&gt;="&amp;DATE(2026,4,22),'DRAFT 2'!$A:$A,"&lt;"&amp;DATE(2026,IF(4=12,4+1,4+1),1))</f>
        <v>0</v>
      </c>
      <c r="EE61">
        <f t="shared" si="19"/>
        <v>0</v>
      </c>
      <c r="EO61">
        <f>IFERROR(LOOKUP(2,1/('DRAFT 2'!$D:$D=$B61)*('DRAFT 2'!$A:$A&gt;=DATE(2026,5,1))*('DRAFT 2'!$A:$A&lt;DATE(2026,IF(5=12,5+1,5+1),1)),'DRAFT 2'!$A:$A),"")</f>
        <v>0</v>
      </c>
      <c r="EP61">
        <f>COUNTIFS('DRAFT 2'!$D:$D,$B61,'DRAFT 2'!$A:$A,"&gt;="&amp;DATE(2026,5,1),'DRAFT 2'!$A:$A,"&lt;="&amp;DATE(2026,5,7))</f>
        <v>0</v>
      </c>
      <c r="EQ61">
        <f>COUNTIFS('DRAFT 2'!$D:$D,$B61,'DRAFT 2'!$A:$A,"&gt;="&amp;DATE(2026,5,8),'DRAFT 2'!$A:$A,"&lt;="&amp;DATE(2026,5,14))</f>
        <v>0</v>
      </c>
      <c r="ER61">
        <f>COUNTIFS('DRAFT 2'!$D:$D,$B61,'DRAFT 2'!$A:$A,"&gt;="&amp;DATE(2026,5,15),'DRAFT 2'!$A:$A,"&lt;="&amp;DATE(2026,5,21))</f>
        <v>0</v>
      </c>
      <c r="ES61">
        <f>COUNTIFS('DRAFT 2'!$D:$D,$B61,'DRAFT 2'!$A:$A,"&gt;="&amp;DATE(2026,5,22),'DRAFT 2'!$A:$A,"&lt;"&amp;DATE(2026,IF(5=12,5+1,5+1),1))</f>
        <v>0</v>
      </c>
      <c r="ET61">
        <f t="shared" si="20"/>
        <v>0</v>
      </c>
      <c r="FD61">
        <f>IFERROR(LOOKUP(2,1/('DRAFT 2'!$D:$D=$B61)*('DRAFT 2'!$A:$A&gt;=DATE(2026,6,1))*('DRAFT 2'!$A:$A&lt;DATE(2026,IF(6=12,6+1,6+1),1)),'DRAFT 2'!$A:$A),"")</f>
        <v>0</v>
      </c>
      <c r="FE61">
        <f>COUNTIFS('DRAFT 2'!$D:$D,$B61,'DRAFT 2'!$A:$A,"&gt;="&amp;DATE(2026,6,1),'DRAFT 2'!$A:$A,"&lt;="&amp;DATE(2026,6,7))</f>
        <v>0</v>
      </c>
      <c r="FF61">
        <f>COUNTIFS('DRAFT 2'!$D:$D,$B61,'DRAFT 2'!$A:$A,"&gt;="&amp;DATE(2026,6,8),'DRAFT 2'!$A:$A,"&lt;="&amp;DATE(2026,6,14))</f>
        <v>0</v>
      </c>
      <c r="FG61">
        <f>COUNTIFS('DRAFT 2'!$D:$D,$B61,'DRAFT 2'!$A:$A,"&gt;="&amp;DATE(2026,6,15),'DRAFT 2'!$A:$A,"&lt;="&amp;DATE(2026,6,21))</f>
        <v>0</v>
      </c>
      <c r="FH61">
        <f>COUNTIFS('DRAFT 2'!$D:$D,$B61,'DRAFT 2'!$A:$A,"&gt;="&amp;DATE(2026,6,22),'DRAFT 2'!$A:$A,"&lt;"&amp;DATE(2026,IF(6=12,6+1,6+1),1))</f>
        <v>0</v>
      </c>
      <c r="FI61">
        <f t="shared" si="21"/>
        <v>0</v>
      </c>
      <c r="FT61">
        <f>IFERROR(LOOKUP(2,1/('DRAFT 2'!$D:$D=$B61)*('DRAFT 2'!$A:$A&gt;=DATE(2026,7,1))*('DRAFT 2'!$A:$A&lt;DATE(2026,IF(7=12,7+1,7+1),1)),'DRAFT 2'!$A:$A),"")</f>
        <v>0</v>
      </c>
      <c r="FU61">
        <f>COUNTIFS('DRAFT 2'!$D:$D,$B61,'DRAFT 2'!$A:$A,"&gt;="&amp;DATE(2026,7,1),'DRAFT 2'!$A:$A,"&lt;="&amp;DATE(2026,7,7))</f>
        <v>0</v>
      </c>
      <c r="FV61">
        <f>COUNTIFS('DRAFT 2'!$D:$D,$B61,'DRAFT 2'!$A:$A,"&gt;="&amp;DATE(2026,7,8),'DRAFT 2'!$A:$A,"&lt;="&amp;DATE(2026,7,14))</f>
        <v>0</v>
      </c>
      <c r="FW61">
        <f>COUNTIFS('DRAFT 2'!$D:$D,$B61,'DRAFT 2'!$A:$A,"&gt;="&amp;DATE(2026,7,15),'DRAFT 2'!$A:$A,"&lt;="&amp;DATE(2026,7,21))</f>
        <v>0</v>
      </c>
      <c r="FX61">
        <f>COUNTIFS('DRAFT 2'!$D:$D,$B61,'DRAFT 2'!$A:$A,"&gt;="&amp;DATE(2026,7,22),'DRAFT 2'!$A:$A,"&lt;"&amp;DATE(2026,IF(7=12,7+1,7+1),1))</f>
        <v>0</v>
      </c>
      <c r="FY61">
        <f t="shared" si="22"/>
        <v>0</v>
      </c>
      <c r="GI61">
        <f>IFERROR(LOOKUP(2,1/('DRAFT 2'!$D:$D=$B61)*('DRAFT 2'!$A:$A&gt;=DATE(2026,8,1))*('DRAFT 2'!$A:$A&lt;DATE(2026,IF(8=12,8+1,8+1),1)),'DRAFT 2'!$A:$A),"")</f>
        <v>0</v>
      </c>
      <c r="GJ61">
        <f>COUNTIFS('DRAFT 2'!$D:$D,$B61,'DRAFT 2'!$A:$A,"&gt;="&amp;DATE(2026,8,1),'DRAFT 2'!$A:$A,"&lt;="&amp;DATE(2026,8,7))</f>
        <v>0</v>
      </c>
      <c r="GK61">
        <f>COUNTIFS('DRAFT 2'!$D:$D,$B61,'DRAFT 2'!$A:$A,"&gt;="&amp;DATE(2026,8,8),'DRAFT 2'!$A:$A,"&lt;="&amp;DATE(2026,8,14))</f>
        <v>0</v>
      </c>
      <c r="GL61">
        <f>COUNTIFS('DRAFT 2'!$D:$D,$B61,'DRAFT 2'!$A:$A,"&gt;="&amp;DATE(2026,8,15),'DRAFT 2'!$A:$A,"&lt;="&amp;DATE(2026,8,21))</f>
        <v>0</v>
      </c>
      <c r="GM61">
        <f>COUNTIFS('DRAFT 2'!$D:$D,$B61,'DRAFT 2'!$A:$A,"&gt;="&amp;DATE(2026,8,22),'DRAFT 2'!$A:$A,"&lt;"&amp;DATE(2026,IF(8=12,8+1,8+1),1))</f>
        <v>0</v>
      </c>
      <c r="GN61">
        <f t="shared" si="23"/>
        <v>0</v>
      </c>
      <c r="GX61">
        <f>IFERROR(LOOKUP(2,1/('DRAFT 2'!$D:$D=$B61)*('DRAFT 2'!$A:$A&gt;=DATE(2026,9,1))*('DRAFT 2'!$A:$A&lt;DATE(2026,IF(9=12,9+1,9+1),1)),'DRAFT 2'!$A:$A),"")</f>
        <v>0</v>
      </c>
      <c r="GY61">
        <f>COUNTIFS('DRAFT 2'!$D:$D,$B61,'DRAFT 2'!$A:$A,"&gt;="&amp;DATE(2026,9,1),'DRAFT 2'!$A:$A,"&lt;="&amp;DATE(2026,9,7))</f>
        <v>0</v>
      </c>
      <c r="GZ61">
        <f>COUNTIFS('DRAFT 2'!$D:$D,$B61,'DRAFT 2'!$A:$A,"&gt;="&amp;DATE(2026,9,8),'DRAFT 2'!$A:$A,"&lt;="&amp;DATE(2026,9,14))</f>
        <v>0</v>
      </c>
      <c r="HA61">
        <f>COUNTIFS('DRAFT 2'!$D:$D,$B61,'DRAFT 2'!$A:$A,"&gt;="&amp;DATE(2026,9,15),'DRAFT 2'!$A:$A,"&lt;="&amp;DATE(2026,9,21))</f>
        <v>0</v>
      </c>
      <c r="HB61">
        <f>COUNTIFS('DRAFT 2'!$D:$D,$B61,'DRAFT 2'!$A:$A,"&gt;="&amp;DATE(2026,9,22),'DRAFT 2'!$A:$A,"&lt;"&amp;DATE(2026,IF(9=12,9+1,9+1),1))</f>
        <v>0</v>
      </c>
      <c r="HC61">
        <f t="shared" si="24"/>
        <v>0</v>
      </c>
      <c r="HN61">
        <f>IFERROR(LOOKUP(2,1/('DRAFT 2'!$D:$D=$B61)*('DRAFT 2'!$A:$A&gt;=DATE(2026,10,1))*('DRAFT 2'!$A:$A&lt;DATE(2026,IF(10=12,10+1,10+1),1)),'DRAFT 2'!$A:$A),"")</f>
        <v>0</v>
      </c>
      <c r="HO61">
        <f>COUNTIFS('DRAFT 2'!$D:$D,$B61,'DRAFT 2'!$A:$A,"&gt;="&amp;DATE(2026,10,1),'DRAFT 2'!$A:$A,"&lt;="&amp;DATE(2026,10,7))</f>
        <v>0</v>
      </c>
      <c r="HP61">
        <f>COUNTIFS('DRAFT 2'!$D:$D,$B61,'DRAFT 2'!$A:$A,"&gt;="&amp;DATE(2026,10,8),'DRAFT 2'!$A:$A,"&lt;="&amp;DATE(2026,10,14))</f>
        <v>0</v>
      </c>
      <c r="HQ61">
        <f>COUNTIFS('DRAFT 2'!$D:$D,$B61,'DRAFT 2'!$A:$A,"&gt;="&amp;DATE(2026,10,15),'DRAFT 2'!$A:$A,"&lt;="&amp;DATE(2026,10,21))</f>
        <v>0</v>
      </c>
      <c r="HR61">
        <f>COUNTIFS('DRAFT 2'!$D:$D,$B61,'DRAFT 2'!$A:$A,"&gt;="&amp;DATE(2026,10,22),'DRAFT 2'!$A:$A,"&lt;"&amp;DATE(2026,IF(10=12,10+1,10+1),1))</f>
        <v>0</v>
      </c>
      <c r="HS61">
        <f t="shared" si="25"/>
        <v>0</v>
      </c>
      <c r="IC61">
        <f>IFERROR(LOOKUP(2,1/('DRAFT 2'!$D:$D=$B61)*('DRAFT 2'!$A:$A&gt;=DATE(2026,11,1))*('DRAFT 2'!$A:$A&lt;DATE(2026,IF(11=12,11+1,11+1),1)),'DRAFT 2'!$A:$A),"")</f>
        <v>0</v>
      </c>
      <c r="ID61">
        <f>COUNTIFS('DRAFT 2'!$D:$D,$B61,'DRAFT 2'!$A:$A,"&gt;="&amp;DATE(2026,11,1),'DRAFT 2'!$A:$A,"&lt;="&amp;DATE(2026,11,7))</f>
        <v>0</v>
      </c>
      <c r="IE61">
        <f>COUNTIFS('DRAFT 2'!$D:$D,$B61,'DRAFT 2'!$A:$A,"&gt;="&amp;DATE(2026,11,8),'DRAFT 2'!$A:$A,"&lt;="&amp;DATE(2026,11,14))</f>
        <v>0</v>
      </c>
      <c r="IF61">
        <f>COUNTIFS('DRAFT 2'!$D:$D,$B61,'DRAFT 2'!$A:$A,"&gt;="&amp;DATE(2026,11,15),'DRAFT 2'!$A:$A,"&lt;="&amp;DATE(2026,11,21))</f>
        <v>0</v>
      </c>
      <c r="IG61">
        <f>COUNTIFS('DRAFT 2'!$D:$D,$B61,'DRAFT 2'!$A:$A,"&gt;="&amp;DATE(2026,11,22),'DRAFT 2'!$A:$A,"&lt;"&amp;DATE(2026,IF(11=12,11+1,11+1),1))</f>
        <v>0</v>
      </c>
      <c r="IH61">
        <f t="shared" si="26"/>
        <v>0</v>
      </c>
      <c r="IR61">
        <f>IFERROR(LOOKUP(2,1/('DRAFT 2'!$D:$D=$B61)*('DRAFT 2'!$A:$A&gt;=DATE(2026,12,1))*('DRAFT 2'!$A:$A&lt;DATE(2026,IF(12=12,12+1,12+1),1)),'DRAFT 2'!$A:$A),"")</f>
        <v>0</v>
      </c>
      <c r="IS61">
        <f>COUNTIFS('DRAFT 2'!$D:$D,$B61,'DRAFT 2'!$A:$A,"&gt;="&amp;DATE(2026,12,1),'DRAFT 2'!$A:$A,"&lt;="&amp;DATE(2026,12,7))</f>
        <v>0</v>
      </c>
      <c r="IT61">
        <f>COUNTIFS('DRAFT 2'!$D:$D,$B61,'DRAFT 2'!$A:$A,"&gt;="&amp;DATE(2026,12,8),'DRAFT 2'!$A:$A,"&lt;="&amp;DATE(2026,12,14))</f>
        <v>0</v>
      </c>
      <c r="IU61">
        <f>COUNTIFS('DRAFT 2'!$D:$D,$B61,'DRAFT 2'!$A:$A,"&gt;="&amp;DATE(2026,12,15),'DRAFT 2'!$A:$A,"&lt;="&amp;DATE(2026,12,21))</f>
        <v>0</v>
      </c>
      <c r="IV61">
        <f>COUNTIFS('DRAFT 2'!$D:$D,$B61,'DRAFT 2'!$A:$A,"&gt;="&amp;DATE(2026,12,22),'DRAFT 2'!$A:$A,"&lt;"&amp;DATE(2026,IF(12=12,12+1,12+1),1))</f>
        <v>0</v>
      </c>
      <c r="IW61">
        <f t="shared" si="27"/>
        <v>0</v>
      </c>
    </row>
    <row r="62" spans="1:257" x14ac:dyDescent="0.3">
      <c r="A62" t="str">
        <f>IFERROR(INDEX('DRAFT 1'!$A:$A,MATCH($B62,'DRAFT 1'!$B:$B,0)),"")</f>
        <v/>
      </c>
      <c r="C62" t="str">
        <f>IFERROR(INDEX('DRAFT 1'!$C:$C,MATCH($B62,'DRAFT 1'!$B:$B,0)),"")</f>
        <v/>
      </c>
      <c r="D62" t="str">
        <f>IFERROR(INDEX('DRAFT 1'!$D:$D,MATCH($B62,'DRAFT 1'!$B:$B,0)),"")</f>
        <v/>
      </c>
      <c r="E62" t="str">
        <f>IFERROR(INDEX('DRAFT 1'!$E:$E,MATCH($B62,'DRAFT 1'!$B:$B,0)),"")</f>
        <v/>
      </c>
      <c r="F62" t="str">
        <f>IFERROR(INDEX('DRAFT 1'!$F:$F,MATCH($B62,'DRAFT 1'!$B:$B,0)),"")</f>
        <v/>
      </c>
      <c r="G62" t="str">
        <f>IFERROR(INDEX('DRAFT 1'!$G:$G,MATCH($B62,'DRAFT 1'!$B:$B,0)),"")</f>
        <v/>
      </c>
      <c r="H62" t="str">
        <f>IFERROR(INDEX('DRAFT 1'!$H:$H,MATCH($B62,'DRAFT 1'!$B:$B,0)),"")</f>
        <v/>
      </c>
      <c r="I62" t="s">
        <v>295</v>
      </c>
      <c r="K62" t="str">
        <f>IFERROR(INDEX('DRAFT 1'!$AL:$AL,MATCH($B62,'DRAFT 1'!$B:$B,0)),"")</f>
        <v/>
      </c>
      <c r="L62" t="str">
        <f>IFERROR(INDEX('DRAFT 1'!$J:$J,MATCH($B62,'DRAFT 1'!$B:$B,0)),"")</f>
        <v/>
      </c>
      <c r="M62" t="str">
        <f>IFERROR(INDEX('DRAFT 1'!$K:$K,MATCH($B62,'DRAFT 1'!$B:$B,0)),"")</f>
        <v/>
      </c>
      <c r="N62" t="s">
        <v>77</v>
      </c>
      <c r="P62" t="str">
        <f>IFERROR(INDEX('DRAFT 1'!$L:$L,MATCH($B62,'DRAFT 1'!$B:$B,0)),"")</f>
        <v/>
      </c>
      <c r="Q62" t="str">
        <f>IFERROR(INDEX('DRAFT 1'!$M:$M,MATCH($B62,'DRAFT 1'!$B:$B,0)),"")</f>
        <v/>
      </c>
      <c r="R62" t="str">
        <f>IFERROR(INDEX('DRAFT 1'!$N:$N,MATCH($B62,'DRAFT 1'!$B:$B,0)),"")</f>
        <v/>
      </c>
      <c r="S62" t="str">
        <f>IFERROR(INDEX('DRAFT 1'!$O:$O,MATCH($B62,'DRAFT 1'!$B:$B,0)),"")</f>
        <v/>
      </c>
      <c r="T62" t="str">
        <f>IFERROR(INDEX('DRAFT 1'!$P:$P,MATCH($B62,'DRAFT 1'!$B:$B,0)),"")</f>
        <v/>
      </c>
      <c r="U62" t="str">
        <f>IFERROR(INDEX('DRAFT 1'!$Q:$Q,MATCH($B62,'DRAFT 1'!$B:$B,0)),"")</f>
        <v/>
      </c>
      <c r="V62" t="str">
        <f>IFERROR(INDEX('DRAFT 1'!$R:$R,MATCH($B62,'DRAFT 1'!$B:$B,0)),"")</f>
        <v/>
      </c>
      <c r="W62" t="str">
        <f>IFERROR(INDEX('DRAFT 1'!$S:$S,MATCH($B62,'DRAFT 1'!$B:$B,0)),"")</f>
        <v/>
      </c>
      <c r="X62" t="str">
        <f>IFERROR(INDEX('DRAFT 1'!$T:$T,MATCH($B62,'DRAFT 1'!$B:$B,0)),"")</f>
        <v/>
      </c>
      <c r="Z62" t="str">
        <f>IFERROR(INDEX('DRAFT 1'!$U:$U,MATCH($B62,'DRAFT 1'!$B:$B,0)),"")</f>
        <v/>
      </c>
      <c r="AA62" t="str">
        <f>IFERROR(INDEX('DRAFT 1'!$V:$V,MATCH($B62,'DRAFT 1'!$B:$B,0)),"")</f>
        <v/>
      </c>
      <c r="AB62" t="str">
        <f>IFERROR(INDEX('DRAFT 1'!$W:$W,MATCH($B62,'DRAFT 1'!$B:$B,0)),"")</f>
        <v/>
      </c>
      <c r="AC62" t="str">
        <f>IFERROR(INDEX('DRAFT 1'!$X:$X,MATCH($B62,'DRAFT 1'!$B:$B,0)),"")</f>
        <v/>
      </c>
      <c r="AD62" t="str">
        <f>IFERROR(INDEX('DRAFT 1'!$Y:$Y,MATCH($B62,'DRAFT 1'!$B:$B,0)),"")</f>
        <v/>
      </c>
      <c r="AE62" t="str">
        <f>IFERROR(INDEX('DRAFT 1'!$Z:$Z,MATCH($B62,'DRAFT 1'!$B:$B,0)),"")</f>
        <v/>
      </c>
      <c r="AF62" t="str">
        <f>IFERROR(INDEX('DRAFT 1'!$AA:$AA,MATCH($B62,'DRAFT 1'!$B:$B,0)),"")</f>
        <v/>
      </c>
      <c r="AG62" t="str">
        <f>IFERROR(INDEX('DRAFT 1'!$AB:$AB,MATCH($B62,'DRAFT 1'!$B:$B,0)),"")</f>
        <v/>
      </c>
      <c r="AH62" t="str">
        <f>IFERROR(INDEX('DRAFT 1'!$AC:$AC,MATCH($B62,'DRAFT 1'!$B:$B,0)),"")</f>
        <v/>
      </c>
      <c r="AI62" t="str">
        <f>IFERROR(INDEX('DRAFT 1'!$AD:$AD,MATCH($B62,'DRAFT 1'!$B:$B,0)),"")</f>
        <v/>
      </c>
      <c r="AJ62" t="str">
        <f>IFERROR(INDEX('DRAFT 1'!$AE:$AE,MATCH($B62,'DRAFT 1'!$B:$B,0)),"")</f>
        <v/>
      </c>
      <c r="AK62" t="str">
        <f>IFERROR(INDEX('DRAFT 1'!$AG:$AG,MATCH($B62,'DRAFT 1'!$B:$B,0)),"")</f>
        <v/>
      </c>
      <c r="AL62" t="str">
        <f>IFERROR(INDEX('DRAFT 1'!$AH:$AH,MATCH($B62,'DRAFT 1'!$B:$B,0)),"")</f>
        <v/>
      </c>
      <c r="AM62" t="str">
        <f>IFERROR(INDEX('DRAFT 1'!$AI:$AI,MATCH($B62,'DRAFT 1'!$B:$B,0)),"")</f>
        <v/>
      </c>
      <c r="AN62" t="str">
        <f>IFERROR(INDEX('DRAFT 1'!$AJ:$AJ,MATCH($B62,'DRAFT 1'!$B:$B,0)),"")</f>
        <v/>
      </c>
      <c r="AO62">
        <f t="shared" si="14"/>
        <v>0</v>
      </c>
      <c r="AP62" t="str">
        <f>IFERROR(INDEX('DRAFT 1'!$AK:$AK,MATCH($B62,'DRAFT 1'!$B:$B,0)),"")</f>
        <v/>
      </c>
      <c r="AR62" t="s">
        <v>91</v>
      </c>
      <c r="AS62">
        <f>IFERROR(LOOKUP(2,1/('DRAFT 2'!$D:$D=$B62),'DRAFT 2'!$T:$T),"")</f>
        <v>0</v>
      </c>
      <c r="AT62">
        <f>IFERROR(LOOKUP(2,1/('DRAFT 2'!$D:$D=$B62),'DRAFT 2'!$A:$A),"")</f>
        <v>0</v>
      </c>
      <c r="AU62">
        <f>IFERROR(LOOKUP(2,1/('DRAFT 2'!$D:$D=$B62),'DRAFT 2'!$R:$R),"")</f>
        <v>0</v>
      </c>
      <c r="AV62">
        <f>IFERROR(LOOKUP(2,1/('DRAFT 2'!$D:$D=$B62),'DRAFT 2'!$S:$S),"")</f>
        <v>0</v>
      </c>
      <c r="AW62" t="s">
        <v>130</v>
      </c>
      <c r="AX62">
        <f>IFERROR(LOOKUP(2,1/('DRAFT 2'!$D:$D=$B62),'DRAFT 2'!$M:$M),"")</f>
        <v>0</v>
      </c>
      <c r="AY62">
        <f>IFERROR(LOOKUP(2,1/('DRAFT 2'!$D:$D=$B62),'DRAFT 2'!$K:$K),"")</f>
        <v>0</v>
      </c>
      <c r="BG62">
        <f>IFERROR(LOOKUP(2,1/('DRAFT 2'!$D:$D=$B62),'DRAFT 2'!$U:$U),"")</f>
        <v>0</v>
      </c>
      <c r="BH62">
        <f>IFERROR(LOOKUP(2,1/('DRAFT 2'!$D:$D=$B62),'DRAFT 2'!$V:$V),"")</f>
        <v>0</v>
      </c>
      <c r="CE62" t="str">
        <f t="shared" si="15"/>
        <v/>
      </c>
      <c r="CF62">
        <f>IFERROR(LOOKUP(2,1/('DRAFT 2'!$D:$D=$B62)*('DRAFT 2'!$A:$A&gt;=DATE(2026,1,1))*('DRAFT 2'!$A:$A&lt;DATE(2026,IF(1=12,1+1,1+1),1)),'DRAFT 2'!$A:$A),"")</f>
        <v>0</v>
      </c>
      <c r="CG62">
        <f>COUNTIFS('DRAFT 2'!$D:$D,$B62,'DRAFT 2'!$A:$A,"&gt;="&amp;DATE(2026,1,1),'DRAFT 2'!$A:$A,"&lt;="&amp;DATE(2026,1,7))</f>
        <v>0</v>
      </c>
      <c r="CH62">
        <f>COUNTIFS('DRAFT 2'!$D:$D,$B62,'DRAFT 2'!$A:$A,"&gt;="&amp;DATE(2026,1,8),'DRAFT 2'!$A:$A,"&lt;="&amp;DATE(2026,1,14))</f>
        <v>0</v>
      </c>
      <c r="CI62">
        <f>COUNTIFS('DRAFT 2'!$D:$D,$B62,'DRAFT 2'!$A:$A,"&gt;="&amp;DATE(2026,1,15),'DRAFT 2'!$A:$A,"&lt;="&amp;DATE(2026,1,21))</f>
        <v>0</v>
      </c>
      <c r="CJ62">
        <f>COUNTIFS('DRAFT 2'!$D:$D,$B62,'DRAFT 2'!$A:$A,"&gt;="&amp;DATE(2026,1,22),'DRAFT 2'!$A:$A,"&lt;"&amp;DATE(2026,IF(1=12,1+1,1+1),1))</f>
        <v>0</v>
      </c>
      <c r="CK62">
        <f t="shared" si="16"/>
        <v>0</v>
      </c>
      <c r="CT62">
        <v>0</v>
      </c>
      <c r="CU62">
        <f>IFERROR(LOOKUP(2,1/('DRAFT 2'!$D:$D=$B62)*('DRAFT 2'!$A:$A&gt;=DATE(2026,2,1))*('DRAFT 2'!$A:$A&lt;DATE(2026,IF(2=12,2+1,2+1),1)),'DRAFT 2'!$A:$A),"")</f>
        <v>0</v>
      </c>
      <c r="CV62">
        <f>COUNTIFS('DRAFT 2'!$D:$D,$B62,'DRAFT 2'!$A:$A,"&gt;="&amp;DATE(2026,2,1),'DRAFT 2'!$A:$A,"&lt;="&amp;DATE(2026,2,7))</f>
        <v>0</v>
      </c>
      <c r="CW62">
        <f>COUNTIFS('DRAFT 2'!$D:$D,$B62,'DRAFT 2'!$A:$A,"&gt;="&amp;DATE(2026,2,8),'DRAFT 2'!$A:$A,"&lt;="&amp;DATE(2026,2,14))</f>
        <v>0</v>
      </c>
      <c r="CX62">
        <f>COUNTIFS('DRAFT 2'!$D:$D,$B62,'DRAFT 2'!$A:$A,"&gt;="&amp;DATE(2026,2,15),'DRAFT 2'!$A:$A,"&lt;="&amp;DATE(2026,2,21))</f>
        <v>0</v>
      </c>
      <c r="CY62">
        <f>COUNTIFS('DRAFT 2'!$D:$D,$B62,'DRAFT 2'!$A:$A,"&gt;="&amp;DATE(2026,2,22),'DRAFT 2'!$A:$A,"&lt;"&amp;DATE(2026,IF(2=12,2+1,2+1),1))</f>
        <v>0</v>
      </c>
      <c r="CZ62">
        <f t="shared" si="17"/>
        <v>0</v>
      </c>
      <c r="DJ62">
        <f>IFERROR(LOOKUP(2,1/('DRAFT 2'!$D:$D=$B62)*('DRAFT 2'!$A:$A&gt;=DATE(2026,3,1))*('DRAFT 2'!$A:$A&lt;DATE(2026,IF(3=12,3+1,3+1),1)),'DRAFT 2'!$A:$A),"")</f>
        <v>0</v>
      </c>
      <c r="DK62">
        <f>COUNTIFS('DRAFT 2'!$D:$D,$B62,'DRAFT 2'!$A:$A,"&gt;="&amp;DATE(2026,3,1),'DRAFT 2'!$A:$A,"&lt;="&amp;DATE(2026,3,7))</f>
        <v>0</v>
      </c>
      <c r="DL62">
        <f>COUNTIFS('DRAFT 2'!$D:$D,$B62,'DRAFT 2'!$A:$A,"&gt;="&amp;DATE(2026,3,8),'DRAFT 2'!$A:$A,"&lt;="&amp;DATE(2026,3,14))</f>
        <v>0</v>
      </c>
      <c r="DM62">
        <f>COUNTIFS('DRAFT 2'!$D:$D,$B62,'DRAFT 2'!$A:$A,"&gt;="&amp;DATE(2026,3,15),'DRAFT 2'!$A:$A,"&lt;="&amp;DATE(2026,3,21))</f>
        <v>0</v>
      </c>
      <c r="DN62">
        <f>COUNTIFS('DRAFT 2'!$D:$D,$B62,'DRAFT 2'!$A:$A,"&gt;="&amp;DATE(2026,3,22),'DRAFT 2'!$A:$A,"&lt;"&amp;DATE(2026,IF(3=12,3+1,3+1),1))</f>
        <v>0</v>
      </c>
      <c r="DO62">
        <f t="shared" si="18"/>
        <v>0</v>
      </c>
      <c r="DZ62">
        <f>IFERROR(LOOKUP(2,1/('DRAFT 2'!$D:$D=$B62)*('DRAFT 2'!$A:$A&gt;=DATE(2026,4,1))*('DRAFT 2'!$A:$A&lt;DATE(2026,IF(4=12,4+1,4+1),1)),'DRAFT 2'!$A:$A),"")</f>
        <v>0</v>
      </c>
      <c r="EA62">
        <f>COUNTIFS('DRAFT 2'!$D:$D,$B62,'DRAFT 2'!$A:$A,"&gt;="&amp;DATE(2026,4,1),'DRAFT 2'!$A:$A,"&lt;="&amp;DATE(2026,4,7))</f>
        <v>0</v>
      </c>
      <c r="EB62">
        <f>COUNTIFS('DRAFT 2'!$D:$D,$B62,'DRAFT 2'!$A:$A,"&gt;="&amp;DATE(2026,4,8),'DRAFT 2'!$A:$A,"&lt;="&amp;DATE(2026,4,14))</f>
        <v>0</v>
      </c>
      <c r="EC62">
        <f>COUNTIFS('DRAFT 2'!$D:$D,$B62,'DRAFT 2'!$A:$A,"&gt;="&amp;DATE(2026,4,15),'DRAFT 2'!$A:$A,"&lt;="&amp;DATE(2026,4,21))</f>
        <v>0</v>
      </c>
      <c r="ED62">
        <f>COUNTIFS('DRAFT 2'!$D:$D,$B62,'DRAFT 2'!$A:$A,"&gt;="&amp;DATE(2026,4,22),'DRAFT 2'!$A:$A,"&lt;"&amp;DATE(2026,IF(4=12,4+1,4+1),1))</f>
        <v>0</v>
      </c>
      <c r="EE62">
        <f t="shared" si="19"/>
        <v>0</v>
      </c>
      <c r="EO62">
        <f>IFERROR(LOOKUP(2,1/('DRAFT 2'!$D:$D=$B62)*('DRAFT 2'!$A:$A&gt;=DATE(2026,5,1))*('DRAFT 2'!$A:$A&lt;DATE(2026,IF(5=12,5+1,5+1),1)),'DRAFT 2'!$A:$A),"")</f>
        <v>0</v>
      </c>
      <c r="EP62">
        <f>COUNTIFS('DRAFT 2'!$D:$D,$B62,'DRAFT 2'!$A:$A,"&gt;="&amp;DATE(2026,5,1),'DRAFT 2'!$A:$A,"&lt;="&amp;DATE(2026,5,7))</f>
        <v>0</v>
      </c>
      <c r="EQ62">
        <f>COUNTIFS('DRAFT 2'!$D:$D,$B62,'DRAFT 2'!$A:$A,"&gt;="&amp;DATE(2026,5,8),'DRAFT 2'!$A:$A,"&lt;="&amp;DATE(2026,5,14))</f>
        <v>0</v>
      </c>
      <c r="ER62">
        <f>COUNTIFS('DRAFT 2'!$D:$D,$B62,'DRAFT 2'!$A:$A,"&gt;="&amp;DATE(2026,5,15),'DRAFT 2'!$A:$A,"&lt;="&amp;DATE(2026,5,21))</f>
        <v>0</v>
      </c>
      <c r="ES62">
        <f>COUNTIFS('DRAFT 2'!$D:$D,$B62,'DRAFT 2'!$A:$A,"&gt;="&amp;DATE(2026,5,22),'DRAFT 2'!$A:$A,"&lt;"&amp;DATE(2026,IF(5=12,5+1,5+1),1))</f>
        <v>0</v>
      </c>
      <c r="ET62">
        <f t="shared" si="20"/>
        <v>0</v>
      </c>
      <c r="FD62">
        <f>IFERROR(LOOKUP(2,1/('DRAFT 2'!$D:$D=$B62)*('DRAFT 2'!$A:$A&gt;=DATE(2026,6,1))*('DRAFT 2'!$A:$A&lt;DATE(2026,IF(6=12,6+1,6+1),1)),'DRAFT 2'!$A:$A),"")</f>
        <v>0</v>
      </c>
      <c r="FE62">
        <f>COUNTIFS('DRAFT 2'!$D:$D,$B62,'DRAFT 2'!$A:$A,"&gt;="&amp;DATE(2026,6,1),'DRAFT 2'!$A:$A,"&lt;="&amp;DATE(2026,6,7))</f>
        <v>0</v>
      </c>
      <c r="FF62">
        <f>COUNTIFS('DRAFT 2'!$D:$D,$B62,'DRAFT 2'!$A:$A,"&gt;="&amp;DATE(2026,6,8),'DRAFT 2'!$A:$A,"&lt;="&amp;DATE(2026,6,14))</f>
        <v>0</v>
      </c>
      <c r="FG62">
        <f>COUNTIFS('DRAFT 2'!$D:$D,$B62,'DRAFT 2'!$A:$A,"&gt;="&amp;DATE(2026,6,15),'DRAFT 2'!$A:$A,"&lt;="&amp;DATE(2026,6,21))</f>
        <v>0</v>
      </c>
      <c r="FH62">
        <f>COUNTIFS('DRAFT 2'!$D:$D,$B62,'DRAFT 2'!$A:$A,"&gt;="&amp;DATE(2026,6,22),'DRAFT 2'!$A:$A,"&lt;"&amp;DATE(2026,IF(6=12,6+1,6+1),1))</f>
        <v>0</v>
      </c>
      <c r="FI62">
        <f t="shared" si="21"/>
        <v>0</v>
      </c>
      <c r="FT62">
        <f>IFERROR(LOOKUP(2,1/('DRAFT 2'!$D:$D=$B62)*('DRAFT 2'!$A:$A&gt;=DATE(2026,7,1))*('DRAFT 2'!$A:$A&lt;DATE(2026,IF(7=12,7+1,7+1),1)),'DRAFT 2'!$A:$A),"")</f>
        <v>0</v>
      </c>
      <c r="FU62">
        <f>COUNTIFS('DRAFT 2'!$D:$D,$B62,'DRAFT 2'!$A:$A,"&gt;="&amp;DATE(2026,7,1),'DRAFT 2'!$A:$A,"&lt;="&amp;DATE(2026,7,7))</f>
        <v>0</v>
      </c>
      <c r="FV62">
        <f>COUNTIFS('DRAFT 2'!$D:$D,$B62,'DRAFT 2'!$A:$A,"&gt;="&amp;DATE(2026,7,8),'DRAFT 2'!$A:$A,"&lt;="&amp;DATE(2026,7,14))</f>
        <v>0</v>
      </c>
      <c r="FW62">
        <f>COUNTIFS('DRAFT 2'!$D:$D,$B62,'DRAFT 2'!$A:$A,"&gt;="&amp;DATE(2026,7,15),'DRAFT 2'!$A:$A,"&lt;="&amp;DATE(2026,7,21))</f>
        <v>0</v>
      </c>
      <c r="FX62">
        <f>COUNTIFS('DRAFT 2'!$D:$D,$B62,'DRAFT 2'!$A:$A,"&gt;="&amp;DATE(2026,7,22),'DRAFT 2'!$A:$A,"&lt;"&amp;DATE(2026,IF(7=12,7+1,7+1),1))</f>
        <v>0</v>
      </c>
      <c r="FY62">
        <f t="shared" si="22"/>
        <v>0</v>
      </c>
      <c r="GI62">
        <f>IFERROR(LOOKUP(2,1/('DRAFT 2'!$D:$D=$B62)*('DRAFT 2'!$A:$A&gt;=DATE(2026,8,1))*('DRAFT 2'!$A:$A&lt;DATE(2026,IF(8=12,8+1,8+1),1)),'DRAFT 2'!$A:$A),"")</f>
        <v>0</v>
      </c>
      <c r="GJ62">
        <f>COUNTIFS('DRAFT 2'!$D:$D,$B62,'DRAFT 2'!$A:$A,"&gt;="&amp;DATE(2026,8,1),'DRAFT 2'!$A:$A,"&lt;="&amp;DATE(2026,8,7))</f>
        <v>0</v>
      </c>
      <c r="GK62">
        <f>COUNTIFS('DRAFT 2'!$D:$D,$B62,'DRAFT 2'!$A:$A,"&gt;="&amp;DATE(2026,8,8),'DRAFT 2'!$A:$A,"&lt;="&amp;DATE(2026,8,14))</f>
        <v>0</v>
      </c>
      <c r="GL62">
        <f>COUNTIFS('DRAFT 2'!$D:$D,$B62,'DRAFT 2'!$A:$A,"&gt;="&amp;DATE(2026,8,15),'DRAFT 2'!$A:$A,"&lt;="&amp;DATE(2026,8,21))</f>
        <v>0</v>
      </c>
      <c r="GM62">
        <f>COUNTIFS('DRAFT 2'!$D:$D,$B62,'DRAFT 2'!$A:$A,"&gt;="&amp;DATE(2026,8,22),'DRAFT 2'!$A:$A,"&lt;"&amp;DATE(2026,IF(8=12,8+1,8+1),1))</f>
        <v>0</v>
      </c>
      <c r="GN62">
        <f t="shared" si="23"/>
        <v>0</v>
      </c>
      <c r="GX62">
        <f>IFERROR(LOOKUP(2,1/('DRAFT 2'!$D:$D=$B62)*('DRAFT 2'!$A:$A&gt;=DATE(2026,9,1))*('DRAFT 2'!$A:$A&lt;DATE(2026,IF(9=12,9+1,9+1),1)),'DRAFT 2'!$A:$A),"")</f>
        <v>0</v>
      </c>
      <c r="GY62">
        <f>COUNTIFS('DRAFT 2'!$D:$D,$B62,'DRAFT 2'!$A:$A,"&gt;="&amp;DATE(2026,9,1),'DRAFT 2'!$A:$A,"&lt;="&amp;DATE(2026,9,7))</f>
        <v>0</v>
      </c>
      <c r="GZ62">
        <f>COUNTIFS('DRAFT 2'!$D:$D,$B62,'DRAFT 2'!$A:$A,"&gt;="&amp;DATE(2026,9,8),'DRAFT 2'!$A:$A,"&lt;="&amp;DATE(2026,9,14))</f>
        <v>0</v>
      </c>
      <c r="HA62">
        <f>COUNTIFS('DRAFT 2'!$D:$D,$B62,'DRAFT 2'!$A:$A,"&gt;="&amp;DATE(2026,9,15),'DRAFT 2'!$A:$A,"&lt;="&amp;DATE(2026,9,21))</f>
        <v>0</v>
      </c>
      <c r="HB62">
        <f>COUNTIFS('DRAFT 2'!$D:$D,$B62,'DRAFT 2'!$A:$A,"&gt;="&amp;DATE(2026,9,22),'DRAFT 2'!$A:$A,"&lt;"&amp;DATE(2026,IF(9=12,9+1,9+1),1))</f>
        <v>0</v>
      </c>
      <c r="HC62">
        <f t="shared" si="24"/>
        <v>0</v>
      </c>
      <c r="HN62">
        <f>IFERROR(LOOKUP(2,1/('DRAFT 2'!$D:$D=$B62)*('DRAFT 2'!$A:$A&gt;=DATE(2026,10,1))*('DRAFT 2'!$A:$A&lt;DATE(2026,IF(10=12,10+1,10+1),1)),'DRAFT 2'!$A:$A),"")</f>
        <v>0</v>
      </c>
      <c r="HO62">
        <f>COUNTIFS('DRAFT 2'!$D:$D,$B62,'DRAFT 2'!$A:$A,"&gt;="&amp;DATE(2026,10,1),'DRAFT 2'!$A:$A,"&lt;="&amp;DATE(2026,10,7))</f>
        <v>0</v>
      </c>
      <c r="HP62">
        <f>COUNTIFS('DRAFT 2'!$D:$D,$B62,'DRAFT 2'!$A:$A,"&gt;="&amp;DATE(2026,10,8),'DRAFT 2'!$A:$A,"&lt;="&amp;DATE(2026,10,14))</f>
        <v>0</v>
      </c>
      <c r="HQ62">
        <f>COUNTIFS('DRAFT 2'!$D:$D,$B62,'DRAFT 2'!$A:$A,"&gt;="&amp;DATE(2026,10,15),'DRAFT 2'!$A:$A,"&lt;="&amp;DATE(2026,10,21))</f>
        <v>0</v>
      </c>
      <c r="HR62">
        <f>COUNTIFS('DRAFT 2'!$D:$D,$B62,'DRAFT 2'!$A:$A,"&gt;="&amp;DATE(2026,10,22),'DRAFT 2'!$A:$A,"&lt;"&amp;DATE(2026,IF(10=12,10+1,10+1),1))</f>
        <v>0</v>
      </c>
      <c r="HS62">
        <f t="shared" si="25"/>
        <v>0</v>
      </c>
      <c r="IC62">
        <f>IFERROR(LOOKUP(2,1/('DRAFT 2'!$D:$D=$B62)*('DRAFT 2'!$A:$A&gt;=DATE(2026,11,1))*('DRAFT 2'!$A:$A&lt;DATE(2026,IF(11=12,11+1,11+1),1)),'DRAFT 2'!$A:$A),"")</f>
        <v>0</v>
      </c>
      <c r="ID62">
        <f>COUNTIFS('DRAFT 2'!$D:$D,$B62,'DRAFT 2'!$A:$A,"&gt;="&amp;DATE(2026,11,1),'DRAFT 2'!$A:$A,"&lt;="&amp;DATE(2026,11,7))</f>
        <v>0</v>
      </c>
      <c r="IE62">
        <f>COUNTIFS('DRAFT 2'!$D:$D,$B62,'DRAFT 2'!$A:$A,"&gt;="&amp;DATE(2026,11,8),'DRAFT 2'!$A:$A,"&lt;="&amp;DATE(2026,11,14))</f>
        <v>0</v>
      </c>
      <c r="IF62">
        <f>COUNTIFS('DRAFT 2'!$D:$D,$B62,'DRAFT 2'!$A:$A,"&gt;="&amp;DATE(2026,11,15),'DRAFT 2'!$A:$A,"&lt;="&amp;DATE(2026,11,21))</f>
        <v>0</v>
      </c>
      <c r="IG62">
        <f>COUNTIFS('DRAFT 2'!$D:$D,$B62,'DRAFT 2'!$A:$A,"&gt;="&amp;DATE(2026,11,22),'DRAFT 2'!$A:$A,"&lt;"&amp;DATE(2026,IF(11=12,11+1,11+1),1))</f>
        <v>0</v>
      </c>
      <c r="IH62">
        <f t="shared" si="26"/>
        <v>0</v>
      </c>
      <c r="IR62">
        <f>IFERROR(LOOKUP(2,1/('DRAFT 2'!$D:$D=$B62)*('DRAFT 2'!$A:$A&gt;=DATE(2026,12,1))*('DRAFT 2'!$A:$A&lt;DATE(2026,IF(12=12,12+1,12+1),1)),'DRAFT 2'!$A:$A),"")</f>
        <v>0</v>
      </c>
      <c r="IS62">
        <f>COUNTIFS('DRAFT 2'!$D:$D,$B62,'DRAFT 2'!$A:$A,"&gt;="&amp;DATE(2026,12,1),'DRAFT 2'!$A:$A,"&lt;="&amp;DATE(2026,12,7))</f>
        <v>0</v>
      </c>
      <c r="IT62">
        <f>COUNTIFS('DRAFT 2'!$D:$D,$B62,'DRAFT 2'!$A:$A,"&gt;="&amp;DATE(2026,12,8),'DRAFT 2'!$A:$A,"&lt;="&amp;DATE(2026,12,14))</f>
        <v>0</v>
      </c>
      <c r="IU62">
        <f>COUNTIFS('DRAFT 2'!$D:$D,$B62,'DRAFT 2'!$A:$A,"&gt;="&amp;DATE(2026,12,15),'DRAFT 2'!$A:$A,"&lt;="&amp;DATE(2026,12,21))</f>
        <v>0</v>
      </c>
      <c r="IV62">
        <f>COUNTIFS('DRAFT 2'!$D:$D,$B62,'DRAFT 2'!$A:$A,"&gt;="&amp;DATE(2026,12,22),'DRAFT 2'!$A:$A,"&lt;"&amp;DATE(2026,IF(12=12,12+1,12+1),1))</f>
        <v>0</v>
      </c>
      <c r="IW62">
        <f t="shared" si="27"/>
        <v>0</v>
      </c>
    </row>
    <row r="63" spans="1:257" x14ac:dyDescent="0.3">
      <c r="A63" t="str">
        <f>IFERROR(INDEX('DRAFT 1'!$A:$A,MATCH($B63,'DRAFT 1'!$B:$B,0)),"")</f>
        <v/>
      </c>
      <c r="C63" t="str">
        <f>IFERROR(INDEX('DRAFT 1'!$C:$C,MATCH($B63,'DRAFT 1'!$B:$B,0)),"")</f>
        <v/>
      </c>
      <c r="D63" t="str">
        <f>IFERROR(INDEX('DRAFT 1'!$D:$D,MATCH($B63,'DRAFT 1'!$B:$B,0)),"")</f>
        <v/>
      </c>
      <c r="E63" t="str">
        <f>IFERROR(INDEX('DRAFT 1'!$E:$E,MATCH($B63,'DRAFT 1'!$B:$B,0)),"")</f>
        <v/>
      </c>
      <c r="F63" t="str">
        <f>IFERROR(INDEX('DRAFT 1'!$F:$F,MATCH($B63,'DRAFT 1'!$B:$B,0)),"")</f>
        <v/>
      </c>
      <c r="G63" t="str">
        <f>IFERROR(INDEX('DRAFT 1'!$G:$G,MATCH($B63,'DRAFT 1'!$B:$B,0)),"")</f>
        <v/>
      </c>
      <c r="H63" t="str">
        <f>IFERROR(INDEX('DRAFT 1'!$H:$H,MATCH($B63,'DRAFT 1'!$B:$B,0)),"")</f>
        <v/>
      </c>
      <c r="I63" t="s">
        <v>297</v>
      </c>
      <c r="K63" t="str">
        <f>IFERROR(INDEX('DRAFT 1'!$AL:$AL,MATCH($B63,'DRAFT 1'!$B:$B,0)),"")</f>
        <v/>
      </c>
      <c r="L63" t="str">
        <f>IFERROR(INDEX('DRAFT 1'!$J:$J,MATCH($B63,'DRAFT 1'!$B:$B,0)),"")</f>
        <v/>
      </c>
      <c r="M63" t="str">
        <f>IFERROR(INDEX('DRAFT 1'!$K:$K,MATCH($B63,'DRAFT 1'!$B:$B,0)),"")</f>
        <v/>
      </c>
      <c r="N63" t="s">
        <v>85</v>
      </c>
      <c r="P63" t="str">
        <f>IFERROR(INDEX('DRAFT 1'!$L:$L,MATCH($B63,'DRAFT 1'!$B:$B,0)),"")</f>
        <v/>
      </c>
      <c r="Q63" t="str">
        <f>IFERROR(INDEX('DRAFT 1'!$M:$M,MATCH($B63,'DRAFT 1'!$B:$B,0)),"")</f>
        <v/>
      </c>
      <c r="R63" t="str">
        <f>IFERROR(INDEX('DRAFT 1'!$N:$N,MATCH($B63,'DRAFT 1'!$B:$B,0)),"")</f>
        <v/>
      </c>
      <c r="S63" t="str">
        <f>IFERROR(INDEX('DRAFT 1'!$O:$O,MATCH($B63,'DRAFT 1'!$B:$B,0)),"")</f>
        <v/>
      </c>
      <c r="T63" t="str">
        <f>IFERROR(INDEX('DRAFT 1'!$P:$P,MATCH($B63,'DRAFT 1'!$B:$B,0)),"")</f>
        <v/>
      </c>
      <c r="U63" t="str">
        <f>IFERROR(INDEX('DRAFT 1'!$Q:$Q,MATCH($B63,'DRAFT 1'!$B:$B,0)),"")</f>
        <v/>
      </c>
      <c r="V63" t="str">
        <f>IFERROR(INDEX('DRAFT 1'!$R:$R,MATCH($B63,'DRAFT 1'!$B:$B,0)),"")</f>
        <v/>
      </c>
      <c r="W63" t="str">
        <f>IFERROR(INDEX('DRAFT 1'!$S:$S,MATCH($B63,'DRAFT 1'!$B:$B,0)),"")</f>
        <v/>
      </c>
      <c r="X63" t="str">
        <f>IFERROR(INDEX('DRAFT 1'!$T:$T,MATCH($B63,'DRAFT 1'!$B:$B,0)),"")</f>
        <v/>
      </c>
      <c r="Z63" t="str">
        <f>IFERROR(INDEX('DRAFT 1'!$U:$U,MATCH($B63,'DRAFT 1'!$B:$B,0)),"")</f>
        <v/>
      </c>
      <c r="AA63" t="str">
        <f>IFERROR(INDEX('DRAFT 1'!$V:$V,MATCH($B63,'DRAFT 1'!$B:$B,0)),"")</f>
        <v/>
      </c>
      <c r="AB63" t="str">
        <f>IFERROR(INDEX('DRAFT 1'!$W:$W,MATCH($B63,'DRAFT 1'!$B:$B,0)),"")</f>
        <v/>
      </c>
      <c r="AC63" t="str">
        <f>IFERROR(INDEX('DRAFT 1'!$X:$X,MATCH($B63,'DRAFT 1'!$B:$B,0)),"")</f>
        <v/>
      </c>
      <c r="AD63" t="str">
        <f>IFERROR(INDEX('DRAFT 1'!$Y:$Y,MATCH($B63,'DRAFT 1'!$B:$B,0)),"")</f>
        <v/>
      </c>
      <c r="AE63" t="str">
        <f>IFERROR(INDEX('DRAFT 1'!$Z:$Z,MATCH($B63,'DRAFT 1'!$B:$B,0)),"")</f>
        <v/>
      </c>
      <c r="AF63" t="str">
        <f>IFERROR(INDEX('DRAFT 1'!$AA:$AA,MATCH($B63,'DRAFT 1'!$B:$B,0)),"")</f>
        <v/>
      </c>
      <c r="AG63" t="str">
        <f>IFERROR(INDEX('DRAFT 1'!$AB:$AB,MATCH($B63,'DRAFT 1'!$B:$B,0)),"")</f>
        <v/>
      </c>
      <c r="AH63" t="str">
        <f>IFERROR(INDEX('DRAFT 1'!$AC:$AC,MATCH($B63,'DRAFT 1'!$B:$B,0)),"")</f>
        <v/>
      </c>
      <c r="AI63" t="str">
        <f>IFERROR(INDEX('DRAFT 1'!$AD:$AD,MATCH($B63,'DRAFT 1'!$B:$B,0)),"")</f>
        <v/>
      </c>
      <c r="AJ63" t="str">
        <f>IFERROR(INDEX('DRAFT 1'!$AE:$AE,MATCH($B63,'DRAFT 1'!$B:$B,0)),"")</f>
        <v/>
      </c>
      <c r="AK63" t="str">
        <f>IFERROR(INDEX('DRAFT 1'!$AG:$AG,MATCH($B63,'DRAFT 1'!$B:$B,0)),"")</f>
        <v/>
      </c>
      <c r="AL63" t="str">
        <f>IFERROR(INDEX('DRAFT 1'!$AH:$AH,MATCH($B63,'DRAFT 1'!$B:$B,0)),"")</f>
        <v/>
      </c>
      <c r="AM63" t="str">
        <f>IFERROR(INDEX('DRAFT 1'!$AI:$AI,MATCH($B63,'DRAFT 1'!$B:$B,0)),"")</f>
        <v/>
      </c>
      <c r="AN63" t="str">
        <f>IFERROR(INDEX('DRAFT 1'!$AJ:$AJ,MATCH($B63,'DRAFT 1'!$B:$B,0)),"")</f>
        <v/>
      </c>
      <c r="AO63">
        <f t="shared" si="14"/>
        <v>0</v>
      </c>
      <c r="AP63" t="str">
        <f>IFERROR(INDEX('DRAFT 1'!$AK:$AK,MATCH($B63,'DRAFT 1'!$B:$B,0)),"")</f>
        <v/>
      </c>
      <c r="AR63" t="s">
        <v>91</v>
      </c>
      <c r="AS63">
        <f>IFERROR(LOOKUP(2,1/('DRAFT 2'!$D:$D=$B63),'DRAFT 2'!$T:$T),"")</f>
        <v>0</v>
      </c>
      <c r="AT63">
        <f>IFERROR(LOOKUP(2,1/('DRAFT 2'!$D:$D=$B63),'DRAFT 2'!$A:$A),"")</f>
        <v>0</v>
      </c>
      <c r="AU63">
        <f>IFERROR(LOOKUP(2,1/('DRAFT 2'!$D:$D=$B63),'DRAFT 2'!$R:$R),"")</f>
        <v>0</v>
      </c>
      <c r="AV63">
        <f>IFERROR(LOOKUP(2,1/('DRAFT 2'!$D:$D=$B63),'DRAFT 2'!$S:$S),"")</f>
        <v>0</v>
      </c>
      <c r="AW63" t="s">
        <v>82</v>
      </c>
      <c r="AX63">
        <f>IFERROR(LOOKUP(2,1/('DRAFT 2'!$D:$D=$B63),'DRAFT 2'!$M:$M),"")</f>
        <v>0</v>
      </c>
      <c r="AY63">
        <f>IFERROR(LOOKUP(2,1/('DRAFT 2'!$D:$D=$B63),'DRAFT 2'!$K:$K),"")</f>
        <v>0</v>
      </c>
      <c r="BG63">
        <f>IFERROR(LOOKUP(2,1/('DRAFT 2'!$D:$D=$B63),'DRAFT 2'!$U:$U),"")</f>
        <v>0</v>
      </c>
      <c r="BH63">
        <f>IFERROR(LOOKUP(2,1/('DRAFT 2'!$D:$D=$B63),'DRAFT 2'!$V:$V),"")</f>
        <v>0</v>
      </c>
      <c r="CE63" t="str">
        <f t="shared" si="15"/>
        <v/>
      </c>
      <c r="CF63">
        <f>IFERROR(LOOKUP(2,1/('DRAFT 2'!$D:$D=$B63)*('DRAFT 2'!$A:$A&gt;=DATE(2026,1,1))*('DRAFT 2'!$A:$A&lt;DATE(2026,IF(1=12,1+1,1+1),1)),'DRAFT 2'!$A:$A),"")</f>
        <v>0</v>
      </c>
      <c r="CG63">
        <f>COUNTIFS('DRAFT 2'!$D:$D,$B63,'DRAFT 2'!$A:$A,"&gt;="&amp;DATE(2026,1,1),'DRAFT 2'!$A:$A,"&lt;="&amp;DATE(2026,1,7))</f>
        <v>0</v>
      </c>
      <c r="CH63">
        <f>COUNTIFS('DRAFT 2'!$D:$D,$B63,'DRAFT 2'!$A:$A,"&gt;="&amp;DATE(2026,1,8),'DRAFT 2'!$A:$A,"&lt;="&amp;DATE(2026,1,14))</f>
        <v>0</v>
      </c>
      <c r="CI63">
        <f>COUNTIFS('DRAFT 2'!$D:$D,$B63,'DRAFT 2'!$A:$A,"&gt;="&amp;DATE(2026,1,15),'DRAFT 2'!$A:$A,"&lt;="&amp;DATE(2026,1,21))</f>
        <v>0</v>
      </c>
      <c r="CJ63">
        <f>COUNTIFS('DRAFT 2'!$D:$D,$B63,'DRAFT 2'!$A:$A,"&gt;="&amp;DATE(2026,1,22),'DRAFT 2'!$A:$A,"&lt;"&amp;DATE(2026,IF(1=12,1+1,1+1),1))</f>
        <v>0</v>
      </c>
      <c r="CK63">
        <f t="shared" si="16"/>
        <v>0</v>
      </c>
      <c r="CT63">
        <v>0</v>
      </c>
      <c r="CU63">
        <f>IFERROR(LOOKUP(2,1/('DRAFT 2'!$D:$D=$B63)*('DRAFT 2'!$A:$A&gt;=DATE(2026,2,1))*('DRAFT 2'!$A:$A&lt;DATE(2026,IF(2=12,2+1,2+1),1)),'DRAFT 2'!$A:$A),"")</f>
        <v>0</v>
      </c>
      <c r="CV63">
        <f>COUNTIFS('DRAFT 2'!$D:$D,$B63,'DRAFT 2'!$A:$A,"&gt;="&amp;DATE(2026,2,1),'DRAFT 2'!$A:$A,"&lt;="&amp;DATE(2026,2,7))</f>
        <v>0</v>
      </c>
      <c r="CW63">
        <f>COUNTIFS('DRAFT 2'!$D:$D,$B63,'DRAFT 2'!$A:$A,"&gt;="&amp;DATE(2026,2,8),'DRAFT 2'!$A:$A,"&lt;="&amp;DATE(2026,2,14))</f>
        <v>0</v>
      </c>
      <c r="CX63">
        <f>COUNTIFS('DRAFT 2'!$D:$D,$B63,'DRAFT 2'!$A:$A,"&gt;="&amp;DATE(2026,2,15),'DRAFT 2'!$A:$A,"&lt;="&amp;DATE(2026,2,21))</f>
        <v>0</v>
      </c>
      <c r="CY63">
        <f>COUNTIFS('DRAFT 2'!$D:$D,$B63,'DRAFT 2'!$A:$A,"&gt;="&amp;DATE(2026,2,22),'DRAFT 2'!$A:$A,"&lt;"&amp;DATE(2026,IF(2=12,2+1,2+1),1))</f>
        <v>0</v>
      </c>
      <c r="CZ63">
        <f t="shared" si="17"/>
        <v>0</v>
      </c>
      <c r="DJ63">
        <f>IFERROR(LOOKUP(2,1/('DRAFT 2'!$D:$D=$B63)*('DRAFT 2'!$A:$A&gt;=DATE(2026,3,1))*('DRAFT 2'!$A:$A&lt;DATE(2026,IF(3=12,3+1,3+1),1)),'DRAFT 2'!$A:$A),"")</f>
        <v>0</v>
      </c>
      <c r="DK63">
        <f>COUNTIFS('DRAFT 2'!$D:$D,$B63,'DRAFT 2'!$A:$A,"&gt;="&amp;DATE(2026,3,1),'DRAFT 2'!$A:$A,"&lt;="&amp;DATE(2026,3,7))</f>
        <v>0</v>
      </c>
      <c r="DL63">
        <f>COUNTIFS('DRAFT 2'!$D:$D,$B63,'DRAFT 2'!$A:$A,"&gt;="&amp;DATE(2026,3,8),'DRAFT 2'!$A:$A,"&lt;="&amp;DATE(2026,3,14))</f>
        <v>0</v>
      </c>
      <c r="DM63">
        <f>COUNTIFS('DRAFT 2'!$D:$D,$B63,'DRAFT 2'!$A:$A,"&gt;="&amp;DATE(2026,3,15),'DRAFT 2'!$A:$A,"&lt;="&amp;DATE(2026,3,21))</f>
        <v>0</v>
      </c>
      <c r="DN63">
        <f>COUNTIFS('DRAFT 2'!$D:$D,$B63,'DRAFT 2'!$A:$A,"&gt;="&amp;DATE(2026,3,22),'DRAFT 2'!$A:$A,"&lt;"&amp;DATE(2026,IF(3=12,3+1,3+1),1))</f>
        <v>0</v>
      </c>
      <c r="DO63">
        <f t="shared" si="18"/>
        <v>0</v>
      </c>
      <c r="DZ63">
        <f>IFERROR(LOOKUP(2,1/('DRAFT 2'!$D:$D=$B63)*('DRAFT 2'!$A:$A&gt;=DATE(2026,4,1))*('DRAFT 2'!$A:$A&lt;DATE(2026,IF(4=12,4+1,4+1),1)),'DRAFT 2'!$A:$A),"")</f>
        <v>0</v>
      </c>
      <c r="EA63">
        <f>COUNTIFS('DRAFT 2'!$D:$D,$B63,'DRAFT 2'!$A:$A,"&gt;="&amp;DATE(2026,4,1),'DRAFT 2'!$A:$A,"&lt;="&amp;DATE(2026,4,7))</f>
        <v>0</v>
      </c>
      <c r="EB63">
        <f>COUNTIFS('DRAFT 2'!$D:$D,$B63,'DRAFT 2'!$A:$A,"&gt;="&amp;DATE(2026,4,8),'DRAFT 2'!$A:$A,"&lt;="&amp;DATE(2026,4,14))</f>
        <v>0</v>
      </c>
      <c r="EC63">
        <f>COUNTIFS('DRAFT 2'!$D:$D,$B63,'DRAFT 2'!$A:$A,"&gt;="&amp;DATE(2026,4,15),'DRAFT 2'!$A:$A,"&lt;="&amp;DATE(2026,4,21))</f>
        <v>0</v>
      </c>
      <c r="ED63">
        <f>COUNTIFS('DRAFT 2'!$D:$D,$B63,'DRAFT 2'!$A:$A,"&gt;="&amp;DATE(2026,4,22),'DRAFT 2'!$A:$A,"&lt;"&amp;DATE(2026,IF(4=12,4+1,4+1),1))</f>
        <v>0</v>
      </c>
      <c r="EE63">
        <f t="shared" si="19"/>
        <v>0</v>
      </c>
      <c r="EO63">
        <f>IFERROR(LOOKUP(2,1/('DRAFT 2'!$D:$D=$B63)*('DRAFT 2'!$A:$A&gt;=DATE(2026,5,1))*('DRAFT 2'!$A:$A&lt;DATE(2026,IF(5=12,5+1,5+1),1)),'DRAFT 2'!$A:$A),"")</f>
        <v>0</v>
      </c>
      <c r="EP63">
        <f>COUNTIFS('DRAFT 2'!$D:$D,$B63,'DRAFT 2'!$A:$A,"&gt;="&amp;DATE(2026,5,1),'DRAFT 2'!$A:$A,"&lt;="&amp;DATE(2026,5,7))</f>
        <v>0</v>
      </c>
      <c r="EQ63">
        <f>COUNTIFS('DRAFT 2'!$D:$D,$B63,'DRAFT 2'!$A:$A,"&gt;="&amp;DATE(2026,5,8),'DRAFT 2'!$A:$A,"&lt;="&amp;DATE(2026,5,14))</f>
        <v>0</v>
      </c>
      <c r="ER63">
        <f>COUNTIFS('DRAFT 2'!$D:$D,$B63,'DRAFT 2'!$A:$A,"&gt;="&amp;DATE(2026,5,15),'DRAFT 2'!$A:$A,"&lt;="&amp;DATE(2026,5,21))</f>
        <v>0</v>
      </c>
      <c r="ES63">
        <f>COUNTIFS('DRAFT 2'!$D:$D,$B63,'DRAFT 2'!$A:$A,"&gt;="&amp;DATE(2026,5,22),'DRAFT 2'!$A:$A,"&lt;"&amp;DATE(2026,IF(5=12,5+1,5+1),1))</f>
        <v>0</v>
      </c>
      <c r="ET63">
        <f t="shared" si="20"/>
        <v>0</v>
      </c>
      <c r="FD63">
        <f>IFERROR(LOOKUP(2,1/('DRAFT 2'!$D:$D=$B63)*('DRAFT 2'!$A:$A&gt;=DATE(2026,6,1))*('DRAFT 2'!$A:$A&lt;DATE(2026,IF(6=12,6+1,6+1),1)),'DRAFT 2'!$A:$A),"")</f>
        <v>0</v>
      </c>
      <c r="FE63">
        <f>COUNTIFS('DRAFT 2'!$D:$D,$B63,'DRAFT 2'!$A:$A,"&gt;="&amp;DATE(2026,6,1),'DRAFT 2'!$A:$A,"&lt;="&amp;DATE(2026,6,7))</f>
        <v>0</v>
      </c>
      <c r="FF63">
        <f>COUNTIFS('DRAFT 2'!$D:$D,$B63,'DRAFT 2'!$A:$A,"&gt;="&amp;DATE(2026,6,8),'DRAFT 2'!$A:$A,"&lt;="&amp;DATE(2026,6,14))</f>
        <v>0</v>
      </c>
      <c r="FG63">
        <f>COUNTIFS('DRAFT 2'!$D:$D,$B63,'DRAFT 2'!$A:$A,"&gt;="&amp;DATE(2026,6,15),'DRAFT 2'!$A:$A,"&lt;="&amp;DATE(2026,6,21))</f>
        <v>0</v>
      </c>
      <c r="FH63">
        <f>COUNTIFS('DRAFT 2'!$D:$D,$B63,'DRAFT 2'!$A:$A,"&gt;="&amp;DATE(2026,6,22),'DRAFT 2'!$A:$A,"&lt;"&amp;DATE(2026,IF(6=12,6+1,6+1),1))</f>
        <v>0</v>
      </c>
      <c r="FI63">
        <f t="shared" si="21"/>
        <v>0</v>
      </c>
      <c r="FT63">
        <f>IFERROR(LOOKUP(2,1/('DRAFT 2'!$D:$D=$B63)*('DRAFT 2'!$A:$A&gt;=DATE(2026,7,1))*('DRAFT 2'!$A:$A&lt;DATE(2026,IF(7=12,7+1,7+1),1)),'DRAFT 2'!$A:$A),"")</f>
        <v>0</v>
      </c>
      <c r="FU63">
        <f>COUNTIFS('DRAFT 2'!$D:$D,$B63,'DRAFT 2'!$A:$A,"&gt;="&amp;DATE(2026,7,1),'DRAFT 2'!$A:$A,"&lt;="&amp;DATE(2026,7,7))</f>
        <v>0</v>
      </c>
      <c r="FV63">
        <f>COUNTIFS('DRAFT 2'!$D:$D,$B63,'DRAFT 2'!$A:$A,"&gt;="&amp;DATE(2026,7,8),'DRAFT 2'!$A:$A,"&lt;="&amp;DATE(2026,7,14))</f>
        <v>0</v>
      </c>
      <c r="FW63">
        <f>COUNTIFS('DRAFT 2'!$D:$D,$B63,'DRAFT 2'!$A:$A,"&gt;="&amp;DATE(2026,7,15),'DRAFT 2'!$A:$A,"&lt;="&amp;DATE(2026,7,21))</f>
        <v>0</v>
      </c>
      <c r="FX63">
        <f>COUNTIFS('DRAFT 2'!$D:$D,$B63,'DRAFT 2'!$A:$A,"&gt;="&amp;DATE(2026,7,22),'DRAFT 2'!$A:$A,"&lt;"&amp;DATE(2026,IF(7=12,7+1,7+1),1))</f>
        <v>0</v>
      </c>
      <c r="FY63">
        <f t="shared" si="22"/>
        <v>0</v>
      </c>
      <c r="GI63">
        <f>IFERROR(LOOKUP(2,1/('DRAFT 2'!$D:$D=$B63)*('DRAFT 2'!$A:$A&gt;=DATE(2026,8,1))*('DRAFT 2'!$A:$A&lt;DATE(2026,IF(8=12,8+1,8+1),1)),'DRAFT 2'!$A:$A),"")</f>
        <v>0</v>
      </c>
      <c r="GJ63">
        <f>COUNTIFS('DRAFT 2'!$D:$D,$B63,'DRAFT 2'!$A:$A,"&gt;="&amp;DATE(2026,8,1),'DRAFT 2'!$A:$A,"&lt;="&amp;DATE(2026,8,7))</f>
        <v>0</v>
      </c>
      <c r="GK63">
        <f>COUNTIFS('DRAFT 2'!$D:$D,$B63,'DRAFT 2'!$A:$A,"&gt;="&amp;DATE(2026,8,8),'DRAFT 2'!$A:$A,"&lt;="&amp;DATE(2026,8,14))</f>
        <v>0</v>
      </c>
      <c r="GL63">
        <f>COUNTIFS('DRAFT 2'!$D:$D,$B63,'DRAFT 2'!$A:$A,"&gt;="&amp;DATE(2026,8,15),'DRAFT 2'!$A:$A,"&lt;="&amp;DATE(2026,8,21))</f>
        <v>0</v>
      </c>
      <c r="GM63">
        <f>COUNTIFS('DRAFT 2'!$D:$D,$B63,'DRAFT 2'!$A:$A,"&gt;="&amp;DATE(2026,8,22),'DRAFT 2'!$A:$A,"&lt;"&amp;DATE(2026,IF(8=12,8+1,8+1),1))</f>
        <v>0</v>
      </c>
      <c r="GN63">
        <f t="shared" si="23"/>
        <v>0</v>
      </c>
      <c r="GX63">
        <f>IFERROR(LOOKUP(2,1/('DRAFT 2'!$D:$D=$B63)*('DRAFT 2'!$A:$A&gt;=DATE(2026,9,1))*('DRAFT 2'!$A:$A&lt;DATE(2026,IF(9=12,9+1,9+1),1)),'DRAFT 2'!$A:$A),"")</f>
        <v>0</v>
      </c>
      <c r="GY63">
        <f>COUNTIFS('DRAFT 2'!$D:$D,$B63,'DRAFT 2'!$A:$A,"&gt;="&amp;DATE(2026,9,1),'DRAFT 2'!$A:$A,"&lt;="&amp;DATE(2026,9,7))</f>
        <v>0</v>
      </c>
      <c r="GZ63">
        <f>COUNTIFS('DRAFT 2'!$D:$D,$B63,'DRAFT 2'!$A:$A,"&gt;="&amp;DATE(2026,9,8),'DRAFT 2'!$A:$A,"&lt;="&amp;DATE(2026,9,14))</f>
        <v>0</v>
      </c>
      <c r="HA63">
        <f>COUNTIFS('DRAFT 2'!$D:$D,$B63,'DRAFT 2'!$A:$A,"&gt;="&amp;DATE(2026,9,15),'DRAFT 2'!$A:$A,"&lt;="&amp;DATE(2026,9,21))</f>
        <v>0</v>
      </c>
      <c r="HB63">
        <f>COUNTIFS('DRAFT 2'!$D:$D,$B63,'DRAFT 2'!$A:$A,"&gt;="&amp;DATE(2026,9,22),'DRAFT 2'!$A:$A,"&lt;"&amp;DATE(2026,IF(9=12,9+1,9+1),1))</f>
        <v>0</v>
      </c>
      <c r="HC63">
        <f t="shared" si="24"/>
        <v>0</v>
      </c>
      <c r="HN63">
        <f>IFERROR(LOOKUP(2,1/('DRAFT 2'!$D:$D=$B63)*('DRAFT 2'!$A:$A&gt;=DATE(2026,10,1))*('DRAFT 2'!$A:$A&lt;DATE(2026,IF(10=12,10+1,10+1),1)),'DRAFT 2'!$A:$A),"")</f>
        <v>0</v>
      </c>
      <c r="HO63">
        <f>COUNTIFS('DRAFT 2'!$D:$D,$B63,'DRAFT 2'!$A:$A,"&gt;="&amp;DATE(2026,10,1),'DRAFT 2'!$A:$A,"&lt;="&amp;DATE(2026,10,7))</f>
        <v>0</v>
      </c>
      <c r="HP63">
        <f>COUNTIFS('DRAFT 2'!$D:$D,$B63,'DRAFT 2'!$A:$A,"&gt;="&amp;DATE(2026,10,8),'DRAFT 2'!$A:$A,"&lt;="&amp;DATE(2026,10,14))</f>
        <v>0</v>
      </c>
      <c r="HQ63">
        <f>COUNTIFS('DRAFT 2'!$D:$D,$B63,'DRAFT 2'!$A:$A,"&gt;="&amp;DATE(2026,10,15),'DRAFT 2'!$A:$A,"&lt;="&amp;DATE(2026,10,21))</f>
        <v>0</v>
      </c>
      <c r="HR63">
        <f>COUNTIFS('DRAFT 2'!$D:$D,$B63,'DRAFT 2'!$A:$A,"&gt;="&amp;DATE(2026,10,22),'DRAFT 2'!$A:$A,"&lt;"&amp;DATE(2026,IF(10=12,10+1,10+1),1))</f>
        <v>0</v>
      </c>
      <c r="HS63">
        <f t="shared" si="25"/>
        <v>0</v>
      </c>
      <c r="IC63">
        <f>IFERROR(LOOKUP(2,1/('DRAFT 2'!$D:$D=$B63)*('DRAFT 2'!$A:$A&gt;=DATE(2026,11,1))*('DRAFT 2'!$A:$A&lt;DATE(2026,IF(11=12,11+1,11+1),1)),'DRAFT 2'!$A:$A),"")</f>
        <v>0</v>
      </c>
      <c r="ID63">
        <f>COUNTIFS('DRAFT 2'!$D:$D,$B63,'DRAFT 2'!$A:$A,"&gt;="&amp;DATE(2026,11,1),'DRAFT 2'!$A:$A,"&lt;="&amp;DATE(2026,11,7))</f>
        <v>0</v>
      </c>
      <c r="IE63">
        <f>COUNTIFS('DRAFT 2'!$D:$D,$B63,'DRAFT 2'!$A:$A,"&gt;="&amp;DATE(2026,11,8),'DRAFT 2'!$A:$A,"&lt;="&amp;DATE(2026,11,14))</f>
        <v>0</v>
      </c>
      <c r="IF63">
        <f>COUNTIFS('DRAFT 2'!$D:$D,$B63,'DRAFT 2'!$A:$A,"&gt;="&amp;DATE(2026,11,15),'DRAFT 2'!$A:$A,"&lt;="&amp;DATE(2026,11,21))</f>
        <v>0</v>
      </c>
      <c r="IG63">
        <f>COUNTIFS('DRAFT 2'!$D:$D,$B63,'DRAFT 2'!$A:$A,"&gt;="&amp;DATE(2026,11,22),'DRAFT 2'!$A:$A,"&lt;"&amp;DATE(2026,IF(11=12,11+1,11+1),1))</f>
        <v>0</v>
      </c>
      <c r="IH63">
        <f t="shared" si="26"/>
        <v>0</v>
      </c>
      <c r="IR63">
        <f>IFERROR(LOOKUP(2,1/('DRAFT 2'!$D:$D=$B63)*('DRAFT 2'!$A:$A&gt;=DATE(2026,12,1))*('DRAFT 2'!$A:$A&lt;DATE(2026,IF(12=12,12+1,12+1),1)),'DRAFT 2'!$A:$A),"")</f>
        <v>0</v>
      </c>
      <c r="IS63">
        <f>COUNTIFS('DRAFT 2'!$D:$D,$B63,'DRAFT 2'!$A:$A,"&gt;="&amp;DATE(2026,12,1),'DRAFT 2'!$A:$A,"&lt;="&amp;DATE(2026,12,7))</f>
        <v>0</v>
      </c>
      <c r="IT63">
        <f>COUNTIFS('DRAFT 2'!$D:$D,$B63,'DRAFT 2'!$A:$A,"&gt;="&amp;DATE(2026,12,8),'DRAFT 2'!$A:$A,"&lt;="&amp;DATE(2026,12,14))</f>
        <v>0</v>
      </c>
      <c r="IU63">
        <f>COUNTIFS('DRAFT 2'!$D:$D,$B63,'DRAFT 2'!$A:$A,"&gt;="&amp;DATE(2026,12,15),'DRAFT 2'!$A:$A,"&lt;="&amp;DATE(2026,12,21))</f>
        <v>0</v>
      </c>
      <c r="IV63">
        <f>COUNTIFS('DRAFT 2'!$D:$D,$B63,'DRAFT 2'!$A:$A,"&gt;="&amp;DATE(2026,12,22),'DRAFT 2'!$A:$A,"&lt;"&amp;DATE(2026,IF(12=12,12+1,12+1),1))</f>
        <v>0</v>
      </c>
      <c r="IW63">
        <f t="shared" si="27"/>
        <v>0</v>
      </c>
    </row>
    <row r="64" spans="1:257" x14ac:dyDescent="0.3">
      <c r="A64" t="str">
        <f>IFERROR(INDEX('DRAFT 1'!$A:$A,MATCH($B64,'DRAFT 1'!$B:$B,0)),"")</f>
        <v/>
      </c>
      <c r="C64" t="str">
        <f>IFERROR(INDEX('DRAFT 1'!$C:$C,MATCH($B64,'DRAFT 1'!$B:$B,0)),"")</f>
        <v/>
      </c>
      <c r="D64" t="str">
        <f>IFERROR(INDEX('DRAFT 1'!$D:$D,MATCH($B64,'DRAFT 1'!$B:$B,0)),"")</f>
        <v/>
      </c>
      <c r="E64" t="str">
        <f>IFERROR(INDEX('DRAFT 1'!$E:$E,MATCH($B64,'DRAFT 1'!$B:$B,0)),"")</f>
        <v/>
      </c>
      <c r="F64" t="str">
        <f>IFERROR(INDEX('DRAFT 1'!$F:$F,MATCH($B64,'DRAFT 1'!$B:$B,0)),"")</f>
        <v/>
      </c>
      <c r="G64" t="str">
        <f>IFERROR(INDEX('DRAFT 1'!$G:$G,MATCH($B64,'DRAFT 1'!$B:$B,0)),"")</f>
        <v/>
      </c>
      <c r="H64" t="str">
        <f>IFERROR(INDEX('DRAFT 1'!$H:$H,MATCH($B64,'DRAFT 1'!$B:$B,0)),"")</f>
        <v/>
      </c>
      <c r="I64" t="s">
        <v>296</v>
      </c>
      <c r="K64" t="str">
        <f>IFERROR(INDEX('DRAFT 1'!$AL:$AL,MATCH($B64,'DRAFT 1'!$B:$B,0)),"")</f>
        <v/>
      </c>
      <c r="L64" t="str">
        <f>IFERROR(INDEX('DRAFT 1'!$J:$J,MATCH($B64,'DRAFT 1'!$B:$B,0)),"")</f>
        <v/>
      </c>
      <c r="M64" t="str">
        <f>IFERROR(INDEX('DRAFT 1'!$K:$K,MATCH($B64,'DRAFT 1'!$B:$B,0)),"")</f>
        <v/>
      </c>
      <c r="N64" t="s">
        <v>71</v>
      </c>
      <c r="P64" t="str">
        <f>IFERROR(INDEX('DRAFT 1'!$L:$L,MATCH($B64,'DRAFT 1'!$B:$B,0)),"")</f>
        <v/>
      </c>
      <c r="Q64" t="str">
        <f>IFERROR(INDEX('DRAFT 1'!$M:$M,MATCH($B64,'DRAFT 1'!$B:$B,0)),"")</f>
        <v/>
      </c>
      <c r="R64" t="str">
        <f>IFERROR(INDEX('DRAFT 1'!$N:$N,MATCH($B64,'DRAFT 1'!$B:$B,0)),"")</f>
        <v/>
      </c>
      <c r="S64" t="str">
        <f>IFERROR(INDEX('DRAFT 1'!$O:$O,MATCH($B64,'DRAFT 1'!$B:$B,0)),"")</f>
        <v/>
      </c>
      <c r="T64" t="str">
        <f>IFERROR(INDEX('DRAFT 1'!$P:$P,MATCH($B64,'DRAFT 1'!$B:$B,0)),"")</f>
        <v/>
      </c>
      <c r="U64" t="str">
        <f>IFERROR(INDEX('DRAFT 1'!$Q:$Q,MATCH($B64,'DRAFT 1'!$B:$B,0)),"")</f>
        <v/>
      </c>
      <c r="V64" t="str">
        <f>IFERROR(INDEX('DRAFT 1'!$R:$R,MATCH($B64,'DRAFT 1'!$B:$B,0)),"")</f>
        <v/>
      </c>
      <c r="W64" t="str">
        <f>IFERROR(INDEX('DRAFT 1'!$S:$S,MATCH($B64,'DRAFT 1'!$B:$B,0)),"")</f>
        <v/>
      </c>
      <c r="X64" t="str">
        <f>IFERROR(INDEX('DRAFT 1'!$T:$T,MATCH($B64,'DRAFT 1'!$B:$B,0)),"")</f>
        <v/>
      </c>
      <c r="Z64" t="str">
        <f>IFERROR(INDEX('DRAFT 1'!$U:$U,MATCH($B64,'DRAFT 1'!$B:$B,0)),"")</f>
        <v/>
      </c>
      <c r="AA64" t="str">
        <f>IFERROR(INDEX('DRAFT 1'!$V:$V,MATCH($B64,'DRAFT 1'!$B:$B,0)),"")</f>
        <v/>
      </c>
      <c r="AB64" t="str">
        <f>IFERROR(INDEX('DRAFT 1'!$W:$W,MATCH($B64,'DRAFT 1'!$B:$B,0)),"")</f>
        <v/>
      </c>
      <c r="AC64" t="str">
        <f>IFERROR(INDEX('DRAFT 1'!$X:$X,MATCH($B64,'DRAFT 1'!$B:$B,0)),"")</f>
        <v/>
      </c>
      <c r="AD64" t="str">
        <f>IFERROR(INDEX('DRAFT 1'!$Y:$Y,MATCH($B64,'DRAFT 1'!$B:$B,0)),"")</f>
        <v/>
      </c>
      <c r="AE64" t="str">
        <f>IFERROR(INDEX('DRAFT 1'!$Z:$Z,MATCH($B64,'DRAFT 1'!$B:$B,0)),"")</f>
        <v/>
      </c>
      <c r="AF64" t="str">
        <f>IFERROR(INDEX('DRAFT 1'!$AA:$AA,MATCH($B64,'DRAFT 1'!$B:$B,0)),"")</f>
        <v/>
      </c>
      <c r="AG64" t="str">
        <f>IFERROR(INDEX('DRAFT 1'!$AB:$AB,MATCH($B64,'DRAFT 1'!$B:$B,0)),"")</f>
        <v/>
      </c>
      <c r="AH64" t="str">
        <f>IFERROR(INDEX('DRAFT 1'!$AC:$AC,MATCH($B64,'DRAFT 1'!$B:$B,0)),"")</f>
        <v/>
      </c>
      <c r="AI64" t="str">
        <f>IFERROR(INDEX('DRAFT 1'!$AD:$AD,MATCH($B64,'DRAFT 1'!$B:$B,0)),"")</f>
        <v/>
      </c>
      <c r="AJ64" t="str">
        <f>IFERROR(INDEX('DRAFT 1'!$AE:$AE,MATCH($B64,'DRAFT 1'!$B:$B,0)),"")</f>
        <v/>
      </c>
      <c r="AK64" t="str">
        <f>IFERROR(INDEX('DRAFT 1'!$AG:$AG,MATCH($B64,'DRAFT 1'!$B:$B,0)),"")</f>
        <v/>
      </c>
      <c r="AL64" t="str">
        <f>IFERROR(INDEX('DRAFT 1'!$AH:$AH,MATCH($B64,'DRAFT 1'!$B:$B,0)),"")</f>
        <v/>
      </c>
      <c r="AM64" t="str">
        <f>IFERROR(INDEX('DRAFT 1'!$AI:$AI,MATCH($B64,'DRAFT 1'!$B:$B,0)),"")</f>
        <v/>
      </c>
      <c r="AN64" t="str">
        <f>IFERROR(INDEX('DRAFT 1'!$AJ:$AJ,MATCH($B64,'DRAFT 1'!$B:$B,0)),"")</f>
        <v/>
      </c>
      <c r="AO64">
        <f t="shared" si="14"/>
        <v>0</v>
      </c>
      <c r="AP64" t="str">
        <f>IFERROR(INDEX('DRAFT 1'!$AK:$AK,MATCH($B64,'DRAFT 1'!$B:$B,0)),"")</f>
        <v/>
      </c>
      <c r="AR64" t="s">
        <v>95</v>
      </c>
      <c r="AS64">
        <f>IFERROR(LOOKUP(2,1/('DRAFT 2'!$D:$D=$B64),'DRAFT 2'!$T:$T),"")</f>
        <v>0</v>
      </c>
      <c r="AT64">
        <f>IFERROR(LOOKUP(2,1/('DRAFT 2'!$D:$D=$B64),'DRAFT 2'!$A:$A),"")</f>
        <v>0</v>
      </c>
      <c r="AU64">
        <f>IFERROR(LOOKUP(2,1/('DRAFT 2'!$D:$D=$B64),'DRAFT 2'!$R:$R),"")</f>
        <v>0</v>
      </c>
      <c r="AV64">
        <f>IFERROR(LOOKUP(2,1/('DRAFT 2'!$D:$D=$B64),'DRAFT 2'!$S:$S),"")</f>
        <v>0</v>
      </c>
      <c r="AW64" t="s">
        <v>85</v>
      </c>
      <c r="AX64">
        <f>IFERROR(LOOKUP(2,1/('DRAFT 2'!$D:$D=$B64),'DRAFT 2'!$M:$M),"")</f>
        <v>0</v>
      </c>
      <c r="AY64">
        <f>IFERROR(LOOKUP(2,1/('DRAFT 2'!$D:$D=$B64),'DRAFT 2'!$K:$K),"")</f>
        <v>0</v>
      </c>
      <c r="BG64">
        <f>IFERROR(LOOKUP(2,1/('DRAFT 2'!$D:$D=$B64),'DRAFT 2'!$U:$U),"")</f>
        <v>0</v>
      </c>
      <c r="BH64">
        <f>IFERROR(LOOKUP(2,1/('DRAFT 2'!$D:$D=$B64),'DRAFT 2'!$V:$V),"")</f>
        <v>0</v>
      </c>
      <c r="CE64" t="str">
        <f t="shared" si="15"/>
        <v/>
      </c>
      <c r="CF64">
        <f>IFERROR(LOOKUP(2,1/('DRAFT 2'!$D:$D=$B64)*('DRAFT 2'!$A:$A&gt;=DATE(2026,1,1))*('DRAFT 2'!$A:$A&lt;DATE(2026,IF(1=12,1+1,1+1),1)),'DRAFT 2'!$A:$A),"")</f>
        <v>0</v>
      </c>
      <c r="CG64">
        <f>COUNTIFS('DRAFT 2'!$D:$D,$B64,'DRAFT 2'!$A:$A,"&gt;="&amp;DATE(2026,1,1),'DRAFT 2'!$A:$A,"&lt;="&amp;DATE(2026,1,7))</f>
        <v>0</v>
      </c>
      <c r="CH64">
        <f>COUNTIFS('DRAFT 2'!$D:$D,$B64,'DRAFT 2'!$A:$A,"&gt;="&amp;DATE(2026,1,8),'DRAFT 2'!$A:$A,"&lt;="&amp;DATE(2026,1,14))</f>
        <v>0</v>
      </c>
      <c r="CI64">
        <f>COUNTIFS('DRAFT 2'!$D:$D,$B64,'DRAFT 2'!$A:$A,"&gt;="&amp;DATE(2026,1,15),'DRAFT 2'!$A:$A,"&lt;="&amp;DATE(2026,1,21))</f>
        <v>0</v>
      </c>
      <c r="CJ64">
        <f>COUNTIFS('DRAFT 2'!$D:$D,$B64,'DRAFT 2'!$A:$A,"&gt;="&amp;DATE(2026,1,22),'DRAFT 2'!$A:$A,"&lt;"&amp;DATE(2026,IF(1=12,1+1,1+1),1))</f>
        <v>0</v>
      </c>
      <c r="CK64">
        <f t="shared" si="16"/>
        <v>0</v>
      </c>
      <c r="CT64">
        <v>0</v>
      </c>
      <c r="CU64">
        <f>IFERROR(LOOKUP(2,1/('DRAFT 2'!$D:$D=$B64)*('DRAFT 2'!$A:$A&gt;=DATE(2026,2,1))*('DRAFT 2'!$A:$A&lt;DATE(2026,IF(2=12,2+1,2+1),1)),'DRAFT 2'!$A:$A),"")</f>
        <v>0</v>
      </c>
      <c r="CV64">
        <f>COUNTIFS('DRAFT 2'!$D:$D,$B64,'DRAFT 2'!$A:$A,"&gt;="&amp;DATE(2026,2,1),'DRAFT 2'!$A:$A,"&lt;="&amp;DATE(2026,2,7))</f>
        <v>0</v>
      </c>
      <c r="CW64">
        <f>COUNTIFS('DRAFT 2'!$D:$D,$B64,'DRAFT 2'!$A:$A,"&gt;="&amp;DATE(2026,2,8),'DRAFT 2'!$A:$A,"&lt;="&amp;DATE(2026,2,14))</f>
        <v>0</v>
      </c>
      <c r="CX64">
        <f>COUNTIFS('DRAFT 2'!$D:$D,$B64,'DRAFT 2'!$A:$A,"&gt;="&amp;DATE(2026,2,15),'DRAFT 2'!$A:$A,"&lt;="&amp;DATE(2026,2,21))</f>
        <v>0</v>
      </c>
      <c r="CY64">
        <f>COUNTIFS('DRAFT 2'!$D:$D,$B64,'DRAFT 2'!$A:$A,"&gt;="&amp;DATE(2026,2,22),'DRAFT 2'!$A:$A,"&lt;"&amp;DATE(2026,IF(2=12,2+1,2+1),1))</f>
        <v>0</v>
      </c>
      <c r="CZ64">
        <f t="shared" si="17"/>
        <v>0</v>
      </c>
      <c r="DJ64">
        <f>IFERROR(LOOKUP(2,1/('DRAFT 2'!$D:$D=$B64)*('DRAFT 2'!$A:$A&gt;=DATE(2026,3,1))*('DRAFT 2'!$A:$A&lt;DATE(2026,IF(3=12,3+1,3+1),1)),'DRAFT 2'!$A:$A),"")</f>
        <v>0</v>
      </c>
      <c r="DK64">
        <f>COUNTIFS('DRAFT 2'!$D:$D,$B64,'DRAFT 2'!$A:$A,"&gt;="&amp;DATE(2026,3,1),'DRAFT 2'!$A:$A,"&lt;="&amp;DATE(2026,3,7))</f>
        <v>0</v>
      </c>
      <c r="DL64">
        <f>COUNTIFS('DRAFT 2'!$D:$D,$B64,'DRAFT 2'!$A:$A,"&gt;="&amp;DATE(2026,3,8),'DRAFT 2'!$A:$A,"&lt;="&amp;DATE(2026,3,14))</f>
        <v>0</v>
      </c>
      <c r="DM64">
        <f>COUNTIFS('DRAFT 2'!$D:$D,$B64,'DRAFT 2'!$A:$A,"&gt;="&amp;DATE(2026,3,15),'DRAFT 2'!$A:$A,"&lt;="&amp;DATE(2026,3,21))</f>
        <v>0</v>
      </c>
      <c r="DN64">
        <f>COUNTIFS('DRAFT 2'!$D:$D,$B64,'DRAFT 2'!$A:$A,"&gt;="&amp;DATE(2026,3,22),'DRAFT 2'!$A:$A,"&lt;"&amp;DATE(2026,IF(3=12,3+1,3+1),1))</f>
        <v>0</v>
      </c>
      <c r="DO64">
        <f t="shared" si="18"/>
        <v>0</v>
      </c>
      <c r="DZ64">
        <f>IFERROR(LOOKUP(2,1/('DRAFT 2'!$D:$D=$B64)*('DRAFT 2'!$A:$A&gt;=DATE(2026,4,1))*('DRAFT 2'!$A:$A&lt;DATE(2026,IF(4=12,4+1,4+1),1)),'DRAFT 2'!$A:$A),"")</f>
        <v>0</v>
      </c>
      <c r="EA64">
        <f>COUNTIFS('DRAFT 2'!$D:$D,$B64,'DRAFT 2'!$A:$A,"&gt;="&amp;DATE(2026,4,1),'DRAFT 2'!$A:$A,"&lt;="&amp;DATE(2026,4,7))</f>
        <v>0</v>
      </c>
      <c r="EB64">
        <f>COUNTIFS('DRAFT 2'!$D:$D,$B64,'DRAFT 2'!$A:$A,"&gt;="&amp;DATE(2026,4,8),'DRAFT 2'!$A:$A,"&lt;="&amp;DATE(2026,4,14))</f>
        <v>0</v>
      </c>
      <c r="EC64">
        <f>COUNTIFS('DRAFT 2'!$D:$D,$B64,'DRAFT 2'!$A:$A,"&gt;="&amp;DATE(2026,4,15),'DRAFT 2'!$A:$A,"&lt;="&amp;DATE(2026,4,21))</f>
        <v>0</v>
      </c>
      <c r="ED64">
        <f>COUNTIFS('DRAFT 2'!$D:$D,$B64,'DRAFT 2'!$A:$A,"&gt;="&amp;DATE(2026,4,22),'DRAFT 2'!$A:$A,"&lt;"&amp;DATE(2026,IF(4=12,4+1,4+1),1))</f>
        <v>0</v>
      </c>
      <c r="EE64">
        <f t="shared" si="19"/>
        <v>0</v>
      </c>
      <c r="EO64">
        <f>IFERROR(LOOKUP(2,1/('DRAFT 2'!$D:$D=$B64)*('DRAFT 2'!$A:$A&gt;=DATE(2026,5,1))*('DRAFT 2'!$A:$A&lt;DATE(2026,IF(5=12,5+1,5+1),1)),'DRAFT 2'!$A:$A),"")</f>
        <v>0</v>
      </c>
      <c r="EP64">
        <f>COUNTIFS('DRAFT 2'!$D:$D,$B64,'DRAFT 2'!$A:$A,"&gt;="&amp;DATE(2026,5,1),'DRAFT 2'!$A:$A,"&lt;="&amp;DATE(2026,5,7))</f>
        <v>0</v>
      </c>
      <c r="EQ64">
        <f>COUNTIFS('DRAFT 2'!$D:$D,$B64,'DRAFT 2'!$A:$A,"&gt;="&amp;DATE(2026,5,8),'DRAFT 2'!$A:$A,"&lt;="&amp;DATE(2026,5,14))</f>
        <v>0</v>
      </c>
      <c r="ER64">
        <f>COUNTIFS('DRAFT 2'!$D:$D,$B64,'DRAFT 2'!$A:$A,"&gt;="&amp;DATE(2026,5,15),'DRAFT 2'!$A:$A,"&lt;="&amp;DATE(2026,5,21))</f>
        <v>0</v>
      </c>
      <c r="ES64">
        <f>COUNTIFS('DRAFT 2'!$D:$D,$B64,'DRAFT 2'!$A:$A,"&gt;="&amp;DATE(2026,5,22),'DRAFT 2'!$A:$A,"&lt;"&amp;DATE(2026,IF(5=12,5+1,5+1),1))</f>
        <v>0</v>
      </c>
      <c r="ET64">
        <f t="shared" si="20"/>
        <v>0</v>
      </c>
      <c r="FD64">
        <f>IFERROR(LOOKUP(2,1/('DRAFT 2'!$D:$D=$B64)*('DRAFT 2'!$A:$A&gt;=DATE(2026,6,1))*('DRAFT 2'!$A:$A&lt;DATE(2026,IF(6=12,6+1,6+1),1)),'DRAFT 2'!$A:$A),"")</f>
        <v>0</v>
      </c>
      <c r="FE64">
        <f>COUNTIFS('DRAFT 2'!$D:$D,$B64,'DRAFT 2'!$A:$A,"&gt;="&amp;DATE(2026,6,1),'DRAFT 2'!$A:$A,"&lt;="&amp;DATE(2026,6,7))</f>
        <v>0</v>
      </c>
      <c r="FF64">
        <f>COUNTIFS('DRAFT 2'!$D:$D,$B64,'DRAFT 2'!$A:$A,"&gt;="&amp;DATE(2026,6,8),'DRAFT 2'!$A:$A,"&lt;="&amp;DATE(2026,6,14))</f>
        <v>0</v>
      </c>
      <c r="FG64">
        <f>COUNTIFS('DRAFT 2'!$D:$D,$B64,'DRAFT 2'!$A:$A,"&gt;="&amp;DATE(2026,6,15),'DRAFT 2'!$A:$A,"&lt;="&amp;DATE(2026,6,21))</f>
        <v>0</v>
      </c>
      <c r="FH64">
        <f>COUNTIFS('DRAFT 2'!$D:$D,$B64,'DRAFT 2'!$A:$A,"&gt;="&amp;DATE(2026,6,22),'DRAFT 2'!$A:$A,"&lt;"&amp;DATE(2026,IF(6=12,6+1,6+1),1))</f>
        <v>0</v>
      </c>
      <c r="FI64">
        <f t="shared" si="21"/>
        <v>0</v>
      </c>
      <c r="FT64">
        <f>IFERROR(LOOKUP(2,1/('DRAFT 2'!$D:$D=$B64)*('DRAFT 2'!$A:$A&gt;=DATE(2026,7,1))*('DRAFT 2'!$A:$A&lt;DATE(2026,IF(7=12,7+1,7+1),1)),'DRAFT 2'!$A:$A),"")</f>
        <v>0</v>
      </c>
      <c r="FU64">
        <f>COUNTIFS('DRAFT 2'!$D:$D,$B64,'DRAFT 2'!$A:$A,"&gt;="&amp;DATE(2026,7,1),'DRAFT 2'!$A:$A,"&lt;="&amp;DATE(2026,7,7))</f>
        <v>0</v>
      </c>
      <c r="FV64">
        <f>COUNTIFS('DRAFT 2'!$D:$D,$B64,'DRAFT 2'!$A:$A,"&gt;="&amp;DATE(2026,7,8),'DRAFT 2'!$A:$A,"&lt;="&amp;DATE(2026,7,14))</f>
        <v>0</v>
      </c>
      <c r="FW64">
        <f>COUNTIFS('DRAFT 2'!$D:$D,$B64,'DRAFT 2'!$A:$A,"&gt;="&amp;DATE(2026,7,15),'DRAFT 2'!$A:$A,"&lt;="&amp;DATE(2026,7,21))</f>
        <v>0</v>
      </c>
      <c r="FX64">
        <f>COUNTIFS('DRAFT 2'!$D:$D,$B64,'DRAFT 2'!$A:$A,"&gt;="&amp;DATE(2026,7,22),'DRAFT 2'!$A:$A,"&lt;"&amp;DATE(2026,IF(7=12,7+1,7+1),1))</f>
        <v>0</v>
      </c>
      <c r="FY64">
        <f t="shared" si="22"/>
        <v>0</v>
      </c>
      <c r="GI64">
        <f>IFERROR(LOOKUP(2,1/('DRAFT 2'!$D:$D=$B64)*('DRAFT 2'!$A:$A&gt;=DATE(2026,8,1))*('DRAFT 2'!$A:$A&lt;DATE(2026,IF(8=12,8+1,8+1),1)),'DRAFT 2'!$A:$A),"")</f>
        <v>0</v>
      </c>
      <c r="GJ64">
        <f>COUNTIFS('DRAFT 2'!$D:$D,$B64,'DRAFT 2'!$A:$A,"&gt;="&amp;DATE(2026,8,1),'DRAFT 2'!$A:$A,"&lt;="&amp;DATE(2026,8,7))</f>
        <v>0</v>
      </c>
      <c r="GK64">
        <f>COUNTIFS('DRAFT 2'!$D:$D,$B64,'DRAFT 2'!$A:$A,"&gt;="&amp;DATE(2026,8,8),'DRAFT 2'!$A:$A,"&lt;="&amp;DATE(2026,8,14))</f>
        <v>0</v>
      </c>
      <c r="GL64">
        <f>COUNTIFS('DRAFT 2'!$D:$D,$B64,'DRAFT 2'!$A:$A,"&gt;="&amp;DATE(2026,8,15),'DRAFT 2'!$A:$A,"&lt;="&amp;DATE(2026,8,21))</f>
        <v>0</v>
      </c>
      <c r="GM64">
        <f>COUNTIFS('DRAFT 2'!$D:$D,$B64,'DRAFT 2'!$A:$A,"&gt;="&amp;DATE(2026,8,22),'DRAFT 2'!$A:$A,"&lt;"&amp;DATE(2026,IF(8=12,8+1,8+1),1))</f>
        <v>0</v>
      </c>
      <c r="GN64">
        <f t="shared" si="23"/>
        <v>0</v>
      </c>
      <c r="GX64">
        <f>IFERROR(LOOKUP(2,1/('DRAFT 2'!$D:$D=$B64)*('DRAFT 2'!$A:$A&gt;=DATE(2026,9,1))*('DRAFT 2'!$A:$A&lt;DATE(2026,IF(9=12,9+1,9+1),1)),'DRAFT 2'!$A:$A),"")</f>
        <v>0</v>
      </c>
      <c r="GY64">
        <f>COUNTIFS('DRAFT 2'!$D:$D,$B64,'DRAFT 2'!$A:$A,"&gt;="&amp;DATE(2026,9,1),'DRAFT 2'!$A:$A,"&lt;="&amp;DATE(2026,9,7))</f>
        <v>0</v>
      </c>
      <c r="GZ64">
        <f>COUNTIFS('DRAFT 2'!$D:$D,$B64,'DRAFT 2'!$A:$A,"&gt;="&amp;DATE(2026,9,8),'DRAFT 2'!$A:$A,"&lt;="&amp;DATE(2026,9,14))</f>
        <v>0</v>
      </c>
      <c r="HA64">
        <f>COUNTIFS('DRAFT 2'!$D:$D,$B64,'DRAFT 2'!$A:$A,"&gt;="&amp;DATE(2026,9,15),'DRAFT 2'!$A:$A,"&lt;="&amp;DATE(2026,9,21))</f>
        <v>0</v>
      </c>
      <c r="HB64">
        <f>COUNTIFS('DRAFT 2'!$D:$D,$B64,'DRAFT 2'!$A:$A,"&gt;="&amp;DATE(2026,9,22),'DRAFT 2'!$A:$A,"&lt;"&amp;DATE(2026,IF(9=12,9+1,9+1),1))</f>
        <v>0</v>
      </c>
      <c r="HC64">
        <f t="shared" si="24"/>
        <v>0</v>
      </c>
      <c r="HN64">
        <f>IFERROR(LOOKUP(2,1/('DRAFT 2'!$D:$D=$B64)*('DRAFT 2'!$A:$A&gt;=DATE(2026,10,1))*('DRAFT 2'!$A:$A&lt;DATE(2026,IF(10=12,10+1,10+1),1)),'DRAFT 2'!$A:$A),"")</f>
        <v>0</v>
      </c>
      <c r="HO64">
        <f>COUNTIFS('DRAFT 2'!$D:$D,$B64,'DRAFT 2'!$A:$A,"&gt;="&amp;DATE(2026,10,1),'DRAFT 2'!$A:$A,"&lt;="&amp;DATE(2026,10,7))</f>
        <v>0</v>
      </c>
      <c r="HP64">
        <f>COUNTIFS('DRAFT 2'!$D:$D,$B64,'DRAFT 2'!$A:$A,"&gt;="&amp;DATE(2026,10,8),'DRAFT 2'!$A:$A,"&lt;="&amp;DATE(2026,10,14))</f>
        <v>0</v>
      </c>
      <c r="HQ64">
        <f>COUNTIFS('DRAFT 2'!$D:$D,$B64,'DRAFT 2'!$A:$A,"&gt;="&amp;DATE(2026,10,15),'DRAFT 2'!$A:$A,"&lt;="&amp;DATE(2026,10,21))</f>
        <v>0</v>
      </c>
      <c r="HR64">
        <f>COUNTIFS('DRAFT 2'!$D:$D,$B64,'DRAFT 2'!$A:$A,"&gt;="&amp;DATE(2026,10,22),'DRAFT 2'!$A:$A,"&lt;"&amp;DATE(2026,IF(10=12,10+1,10+1),1))</f>
        <v>0</v>
      </c>
      <c r="HS64">
        <f t="shared" si="25"/>
        <v>0</v>
      </c>
      <c r="IC64">
        <f>IFERROR(LOOKUP(2,1/('DRAFT 2'!$D:$D=$B64)*('DRAFT 2'!$A:$A&gt;=DATE(2026,11,1))*('DRAFT 2'!$A:$A&lt;DATE(2026,IF(11=12,11+1,11+1),1)),'DRAFT 2'!$A:$A),"")</f>
        <v>0</v>
      </c>
      <c r="ID64">
        <f>COUNTIFS('DRAFT 2'!$D:$D,$B64,'DRAFT 2'!$A:$A,"&gt;="&amp;DATE(2026,11,1),'DRAFT 2'!$A:$A,"&lt;="&amp;DATE(2026,11,7))</f>
        <v>0</v>
      </c>
      <c r="IE64">
        <f>COUNTIFS('DRAFT 2'!$D:$D,$B64,'DRAFT 2'!$A:$A,"&gt;="&amp;DATE(2026,11,8),'DRAFT 2'!$A:$A,"&lt;="&amp;DATE(2026,11,14))</f>
        <v>0</v>
      </c>
      <c r="IF64">
        <f>COUNTIFS('DRAFT 2'!$D:$D,$B64,'DRAFT 2'!$A:$A,"&gt;="&amp;DATE(2026,11,15),'DRAFT 2'!$A:$A,"&lt;="&amp;DATE(2026,11,21))</f>
        <v>0</v>
      </c>
      <c r="IG64">
        <f>COUNTIFS('DRAFT 2'!$D:$D,$B64,'DRAFT 2'!$A:$A,"&gt;="&amp;DATE(2026,11,22),'DRAFT 2'!$A:$A,"&lt;"&amp;DATE(2026,IF(11=12,11+1,11+1),1))</f>
        <v>0</v>
      </c>
      <c r="IH64">
        <f t="shared" si="26"/>
        <v>0</v>
      </c>
      <c r="IR64">
        <f>IFERROR(LOOKUP(2,1/('DRAFT 2'!$D:$D=$B64)*('DRAFT 2'!$A:$A&gt;=DATE(2026,12,1))*('DRAFT 2'!$A:$A&lt;DATE(2026,IF(12=12,12+1,12+1),1)),'DRAFT 2'!$A:$A),"")</f>
        <v>0</v>
      </c>
      <c r="IS64">
        <f>COUNTIFS('DRAFT 2'!$D:$D,$B64,'DRAFT 2'!$A:$A,"&gt;="&amp;DATE(2026,12,1),'DRAFT 2'!$A:$A,"&lt;="&amp;DATE(2026,12,7))</f>
        <v>0</v>
      </c>
      <c r="IT64">
        <f>COUNTIFS('DRAFT 2'!$D:$D,$B64,'DRAFT 2'!$A:$A,"&gt;="&amp;DATE(2026,12,8),'DRAFT 2'!$A:$A,"&lt;="&amp;DATE(2026,12,14))</f>
        <v>0</v>
      </c>
      <c r="IU64">
        <f>COUNTIFS('DRAFT 2'!$D:$D,$B64,'DRAFT 2'!$A:$A,"&gt;="&amp;DATE(2026,12,15),'DRAFT 2'!$A:$A,"&lt;="&amp;DATE(2026,12,21))</f>
        <v>0</v>
      </c>
      <c r="IV64">
        <f>COUNTIFS('DRAFT 2'!$D:$D,$B64,'DRAFT 2'!$A:$A,"&gt;="&amp;DATE(2026,12,22),'DRAFT 2'!$A:$A,"&lt;"&amp;DATE(2026,IF(12=12,12+1,12+1),1))</f>
        <v>0</v>
      </c>
      <c r="IW64">
        <f t="shared" si="27"/>
        <v>0</v>
      </c>
    </row>
    <row r="65" spans="1:257" x14ac:dyDescent="0.3">
      <c r="A65" t="str">
        <f>IFERROR(INDEX('DRAFT 1'!$A:$A,MATCH($B65,'DRAFT 1'!$B:$B,0)),"")</f>
        <v/>
      </c>
      <c r="C65" t="str">
        <f>IFERROR(INDEX('DRAFT 1'!$C:$C,MATCH($B65,'DRAFT 1'!$B:$B,0)),"")</f>
        <v/>
      </c>
      <c r="D65" t="str">
        <f>IFERROR(INDEX('DRAFT 1'!$D:$D,MATCH($B65,'DRAFT 1'!$B:$B,0)),"")</f>
        <v/>
      </c>
      <c r="E65" t="str">
        <f>IFERROR(INDEX('DRAFT 1'!$E:$E,MATCH($B65,'DRAFT 1'!$B:$B,0)),"")</f>
        <v/>
      </c>
      <c r="F65" t="str">
        <f>IFERROR(INDEX('DRAFT 1'!$F:$F,MATCH($B65,'DRAFT 1'!$B:$B,0)),"")</f>
        <v/>
      </c>
      <c r="G65" t="str">
        <f>IFERROR(INDEX('DRAFT 1'!$G:$G,MATCH($B65,'DRAFT 1'!$B:$B,0)),"")</f>
        <v/>
      </c>
      <c r="H65" t="str">
        <f>IFERROR(INDEX('DRAFT 1'!$H:$H,MATCH($B65,'DRAFT 1'!$B:$B,0)),"")</f>
        <v/>
      </c>
      <c r="I65" t="s">
        <v>283</v>
      </c>
      <c r="K65" t="str">
        <f>IFERROR(INDEX('DRAFT 1'!$AL:$AL,MATCH($B65,'DRAFT 1'!$B:$B,0)),"")</f>
        <v/>
      </c>
      <c r="L65" t="str">
        <f>IFERROR(INDEX('DRAFT 1'!$J:$J,MATCH($B65,'DRAFT 1'!$B:$B,0)),"")</f>
        <v/>
      </c>
      <c r="M65" t="str">
        <f>IFERROR(INDEX('DRAFT 1'!$K:$K,MATCH($B65,'DRAFT 1'!$B:$B,0)),"")</f>
        <v/>
      </c>
      <c r="N65" t="s">
        <v>79</v>
      </c>
      <c r="P65" t="str">
        <f>IFERROR(INDEX('DRAFT 1'!$L:$L,MATCH($B65,'DRAFT 1'!$B:$B,0)),"")</f>
        <v/>
      </c>
      <c r="Q65" t="str">
        <f>IFERROR(INDEX('DRAFT 1'!$M:$M,MATCH($B65,'DRAFT 1'!$B:$B,0)),"")</f>
        <v/>
      </c>
      <c r="R65" t="str">
        <f>IFERROR(INDEX('DRAFT 1'!$N:$N,MATCH($B65,'DRAFT 1'!$B:$B,0)),"")</f>
        <v/>
      </c>
      <c r="S65" t="str">
        <f>IFERROR(INDEX('DRAFT 1'!$O:$O,MATCH($B65,'DRAFT 1'!$B:$B,0)),"")</f>
        <v/>
      </c>
      <c r="T65" t="str">
        <f>IFERROR(INDEX('DRAFT 1'!$P:$P,MATCH($B65,'DRAFT 1'!$B:$B,0)),"")</f>
        <v/>
      </c>
      <c r="U65" t="str">
        <f>IFERROR(INDEX('DRAFT 1'!$Q:$Q,MATCH($B65,'DRAFT 1'!$B:$B,0)),"")</f>
        <v/>
      </c>
      <c r="V65" t="str">
        <f>IFERROR(INDEX('DRAFT 1'!$R:$R,MATCH($B65,'DRAFT 1'!$B:$B,0)),"")</f>
        <v/>
      </c>
      <c r="W65" t="str">
        <f>IFERROR(INDEX('DRAFT 1'!$S:$S,MATCH($B65,'DRAFT 1'!$B:$B,0)),"")</f>
        <v/>
      </c>
      <c r="X65" t="str">
        <f>IFERROR(INDEX('DRAFT 1'!$T:$T,MATCH($B65,'DRAFT 1'!$B:$B,0)),"")</f>
        <v/>
      </c>
      <c r="Z65" t="str">
        <f>IFERROR(INDEX('DRAFT 1'!$U:$U,MATCH($B65,'DRAFT 1'!$B:$B,0)),"")</f>
        <v/>
      </c>
      <c r="AA65" t="str">
        <f>IFERROR(INDEX('DRAFT 1'!$V:$V,MATCH($B65,'DRAFT 1'!$B:$B,0)),"")</f>
        <v/>
      </c>
      <c r="AB65" t="str">
        <f>IFERROR(INDEX('DRAFT 1'!$W:$W,MATCH($B65,'DRAFT 1'!$B:$B,0)),"")</f>
        <v/>
      </c>
      <c r="AC65" t="str">
        <f>IFERROR(INDEX('DRAFT 1'!$X:$X,MATCH($B65,'DRAFT 1'!$B:$B,0)),"")</f>
        <v/>
      </c>
      <c r="AD65" t="str">
        <f>IFERROR(INDEX('DRAFT 1'!$Y:$Y,MATCH($B65,'DRAFT 1'!$B:$B,0)),"")</f>
        <v/>
      </c>
      <c r="AE65" t="str">
        <f>IFERROR(INDEX('DRAFT 1'!$Z:$Z,MATCH($B65,'DRAFT 1'!$B:$B,0)),"")</f>
        <v/>
      </c>
      <c r="AF65" t="str">
        <f>IFERROR(INDEX('DRAFT 1'!$AA:$AA,MATCH($B65,'DRAFT 1'!$B:$B,0)),"")</f>
        <v/>
      </c>
      <c r="AG65" t="str">
        <f>IFERROR(INDEX('DRAFT 1'!$AB:$AB,MATCH($B65,'DRAFT 1'!$B:$B,0)),"")</f>
        <v/>
      </c>
      <c r="AH65" t="str">
        <f>IFERROR(INDEX('DRAFT 1'!$AC:$AC,MATCH($B65,'DRAFT 1'!$B:$B,0)),"")</f>
        <v/>
      </c>
      <c r="AI65" t="str">
        <f>IFERROR(INDEX('DRAFT 1'!$AD:$AD,MATCH($B65,'DRAFT 1'!$B:$B,0)),"")</f>
        <v/>
      </c>
      <c r="AJ65" t="str">
        <f>IFERROR(INDEX('DRAFT 1'!$AE:$AE,MATCH($B65,'DRAFT 1'!$B:$B,0)),"")</f>
        <v/>
      </c>
      <c r="AK65" t="str">
        <f>IFERROR(INDEX('DRAFT 1'!$AG:$AG,MATCH($B65,'DRAFT 1'!$B:$B,0)),"")</f>
        <v/>
      </c>
      <c r="AL65" t="str">
        <f>IFERROR(INDEX('DRAFT 1'!$AH:$AH,MATCH($B65,'DRAFT 1'!$B:$B,0)),"")</f>
        <v/>
      </c>
      <c r="AM65" t="str">
        <f>IFERROR(INDEX('DRAFT 1'!$AI:$AI,MATCH($B65,'DRAFT 1'!$B:$B,0)),"")</f>
        <v/>
      </c>
      <c r="AN65" t="str">
        <f>IFERROR(INDEX('DRAFT 1'!$AJ:$AJ,MATCH($B65,'DRAFT 1'!$B:$B,0)),"")</f>
        <v/>
      </c>
      <c r="AO65">
        <f t="shared" si="14"/>
        <v>0</v>
      </c>
      <c r="AP65" t="str">
        <f>IFERROR(INDEX('DRAFT 1'!$AK:$AK,MATCH($B65,'DRAFT 1'!$B:$B,0)),"")</f>
        <v/>
      </c>
      <c r="AR65" t="s">
        <v>93</v>
      </c>
      <c r="AS65">
        <f>IFERROR(LOOKUP(2,1/('DRAFT 2'!$D:$D=$B65),'DRAFT 2'!$T:$T),"")</f>
        <v>0</v>
      </c>
      <c r="AT65">
        <f>IFERROR(LOOKUP(2,1/('DRAFT 2'!$D:$D=$B65),'DRAFT 2'!$A:$A),"")</f>
        <v>0</v>
      </c>
      <c r="AU65">
        <f>IFERROR(LOOKUP(2,1/('DRAFT 2'!$D:$D=$B65),'DRAFT 2'!$R:$R),"")</f>
        <v>0</v>
      </c>
      <c r="AV65">
        <f>IFERROR(LOOKUP(2,1/('DRAFT 2'!$D:$D=$B65),'DRAFT 2'!$S:$S),"")</f>
        <v>0</v>
      </c>
      <c r="AW65" t="s">
        <v>85</v>
      </c>
      <c r="AX65">
        <f>IFERROR(LOOKUP(2,1/('DRAFT 2'!$D:$D=$B65),'DRAFT 2'!$M:$M),"")</f>
        <v>0</v>
      </c>
      <c r="AY65">
        <f>IFERROR(LOOKUP(2,1/('DRAFT 2'!$D:$D=$B65),'DRAFT 2'!$K:$K),"")</f>
        <v>0</v>
      </c>
      <c r="BG65">
        <f>IFERROR(LOOKUP(2,1/('DRAFT 2'!$D:$D=$B65),'DRAFT 2'!$U:$U),"")</f>
        <v>0</v>
      </c>
      <c r="BH65">
        <f>IFERROR(LOOKUP(2,1/('DRAFT 2'!$D:$D=$B65),'DRAFT 2'!$V:$V),"")</f>
        <v>0</v>
      </c>
      <c r="CE65" t="str">
        <f t="shared" si="15"/>
        <v/>
      </c>
      <c r="CF65">
        <f>IFERROR(LOOKUP(2,1/('DRAFT 2'!$D:$D=$B65)*('DRAFT 2'!$A:$A&gt;=DATE(2026,1,1))*('DRAFT 2'!$A:$A&lt;DATE(2026,IF(1=12,1+1,1+1),1)),'DRAFT 2'!$A:$A),"")</f>
        <v>0</v>
      </c>
      <c r="CG65">
        <f>COUNTIFS('DRAFT 2'!$D:$D,$B65,'DRAFT 2'!$A:$A,"&gt;="&amp;DATE(2026,1,1),'DRAFT 2'!$A:$A,"&lt;="&amp;DATE(2026,1,7))</f>
        <v>0</v>
      </c>
      <c r="CH65">
        <f>COUNTIFS('DRAFT 2'!$D:$D,$B65,'DRAFT 2'!$A:$A,"&gt;="&amp;DATE(2026,1,8),'DRAFT 2'!$A:$A,"&lt;="&amp;DATE(2026,1,14))</f>
        <v>0</v>
      </c>
      <c r="CI65">
        <f>COUNTIFS('DRAFT 2'!$D:$D,$B65,'DRAFT 2'!$A:$A,"&gt;="&amp;DATE(2026,1,15),'DRAFT 2'!$A:$A,"&lt;="&amp;DATE(2026,1,21))</f>
        <v>0</v>
      </c>
      <c r="CJ65">
        <f>COUNTIFS('DRAFT 2'!$D:$D,$B65,'DRAFT 2'!$A:$A,"&gt;="&amp;DATE(2026,1,22),'DRAFT 2'!$A:$A,"&lt;"&amp;DATE(2026,IF(1=12,1+1,1+1),1))</f>
        <v>0</v>
      </c>
      <c r="CK65">
        <f t="shared" si="16"/>
        <v>0</v>
      </c>
      <c r="CT65">
        <v>0</v>
      </c>
      <c r="CU65">
        <f>IFERROR(LOOKUP(2,1/('DRAFT 2'!$D:$D=$B65)*('DRAFT 2'!$A:$A&gt;=DATE(2026,2,1))*('DRAFT 2'!$A:$A&lt;DATE(2026,IF(2=12,2+1,2+1),1)),'DRAFT 2'!$A:$A),"")</f>
        <v>0</v>
      </c>
      <c r="CV65">
        <f>COUNTIFS('DRAFT 2'!$D:$D,$B65,'DRAFT 2'!$A:$A,"&gt;="&amp;DATE(2026,2,1),'DRAFT 2'!$A:$A,"&lt;="&amp;DATE(2026,2,7))</f>
        <v>0</v>
      </c>
      <c r="CW65">
        <f>COUNTIFS('DRAFT 2'!$D:$D,$B65,'DRAFT 2'!$A:$A,"&gt;="&amp;DATE(2026,2,8),'DRAFT 2'!$A:$A,"&lt;="&amp;DATE(2026,2,14))</f>
        <v>0</v>
      </c>
      <c r="CX65">
        <f>COUNTIFS('DRAFT 2'!$D:$D,$B65,'DRAFT 2'!$A:$A,"&gt;="&amp;DATE(2026,2,15),'DRAFT 2'!$A:$A,"&lt;="&amp;DATE(2026,2,21))</f>
        <v>0</v>
      </c>
      <c r="CY65">
        <f>COUNTIFS('DRAFT 2'!$D:$D,$B65,'DRAFT 2'!$A:$A,"&gt;="&amp;DATE(2026,2,22),'DRAFT 2'!$A:$A,"&lt;"&amp;DATE(2026,IF(2=12,2+1,2+1),1))</f>
        <v>0</v>
      </c>
      <c r="CZ65">
        <f t="shared" si="17"/>
        <v>0</v>
      </c>
      <c r="DJ65">
        <f>IFERROR(LOOKUP(2,1/('DRAFT 2'!$D:$D=$B65)*('DRAFT 2'!$A:$A&gt;=DATE(2026,3,1))*('DRAFT 2'!$A:$A&lt;DATE(2026,IF(3=12,3+1,3+1),1)),'DRAFT 2'!$A:$A),"")</f>
        <v>0</v>
      </c>
      <c r="DK65">
        <f>COUNTIFS('DRAFT 2'!$D:$D,$B65,'DRAFT 2'!$A:$A,"&gt;="&amp;DATE(2026,3,1),'DRAFT 2'!$A:$A,"&lt;="&amp;DATE(2026,3,7))</f>
        <v>0</v>
      </c>
      <c r="DL65">
        <f>COUNTIFS('DRAFT 2'!$D:$D,$B65,'DRAFT 2'!$A:$A,"&gt;="&amp;DATE(2026,3,8),'DRAFT 2'!$A:$A,"&lt;="&amp;DATE(2026,3,14))</f>
        <v>0</v>
      </c>
      <c r="DM65">
        <f>COUNTIFS('DRAFT 2'!$D:$D,$B65,'DRAFT 2'!$A:$A,"&gt;="&amp;DATE(2026,3,15),'DRAFT 2'!$A:$A,"&lt;="&amp;DATE(2026,3,21))</f>
        <v>0</v>
      </c>
      <c r="DN65">
        <f>COUNTIFS('DRAFT 2'!$D:$D,$B65,'DRAFT 2'!$A:$A,"&gt;="&amp;DATE(2026,3,22),'DRAFT 2'!$A:$A,"&lt;"&amp;DATE(2026,IF(3=12,3+1,3+1),1))</f>
        <v>0</v>
      </c>
      <c r="DO65">
        <f t="shared" si="18"/>
        <v>0</v>
      </c>
      <c r="DZ65">
        <f>IFERROR(LOOKUP(2,1/('DRAFT 2'!$D:$D=$B65)*('DRAFT 2'!$A:$A&gt;=DATE(2026,4,1))*('DRAFT 2'!$A:$A&lt;DATE(2026,IF(4=12,4+1,4+1),1)),'DRAFT 2'!$A:$A),"")</f>
        <v>0</v>
      </c>
      <c r="EA65">
        <f>COUNTIFS('DRAFT 2'!$D:$D,$B65,'DRAFT 2'!$A:$A,"&gt;="&amp;DATE(2026,4,1),'DRAFT 2'!$A:$A,"&lt;="&amp;DATE(2026,4,7))</f>
        <v>0</v>
      </c>
      <c r="EB65">
        <f>COUNTIFS('DRAFT 2'!$D:$D,$B65,'DRAFT 2'!$A:$A,"&gt;="&amp;DATE(2026,4,8),'DRAFT 2'!$A:$A,"&lt;="&amp;DATE(2026,4,14))</f>
        <v>0</v>
      </c>
      <c r="EC65">
        <f>COUNTIFS('DRAFT 2'!$D:$D,$B65,'DRAFT 2'!$A:$A,"&gt;="&amp;DATE(2026,4,15),'DRAFT 2'!$A:$A,"&lt;="&amp;DATE(2026,4,21))</f>
        <v>0</v>
      </c>
      <c r="ED65">
        <f>COUNTIFS('DRAFT 2'!$D:$D,$B65,'DRAFT 2'!$A:$A,"&gt;="&amp;DATE(2026,4,22),'DRAFT 2'!$A:$A,"&lt;"&amp;DATE(2026,IF(4=12,4+1,4+1),1))</f>
        <v>0</v>
      </c>
      <c r="EE65">
        <f t="shared" si="19"/>
        <v>0</v>
      </c>
      <c r="EO65">
        <f>IFERROR(LOOKUP(2,1/('DRAFT 2'!$D:$D=$B65)*('DRAFT 2'!$A:$A&gt;=DATE(2026,5,1))*('DRAFT 2'!$A:$A&lt;DATE(2026,IF(5=12,5+1,5+1),1)),'DRAFT 2'!$A:$A),"")</f>
        <v>0</v>
      </c>
      <c r="EP65">
        <f>COUNTIFS('DRAFT 2'!$D:$D,$B65,'DRAFT 2'!$A:$A,"&gt;="&amp;DATE(2026,5,1),'DRAFT 2'!$A:$A,"&lt;="&amp;DATE(2026,5,7))</f>
        <v>0</v>
      </c>
      <c r="EQ65">
        <f>COUNTIFS('DRAFT 2'!$D:$D,$B65,'DRAFT 2'!$A:$A,"&gt;="&amp;DATE(2026,5,8),'DRAFT 2'!$A:$A,"&lt;="&amp;DATE(2026,5,14))</f>
        <v>0</v>
      </c>
      <c r="ER65">
        <f>COUNTIFS('DRAFT 2'!$D:$D,$B65,'DRAFT 2'!$A:$A,"&gt;="&amp;DATE(2026,5,15),'DRAFT 2'!$A:$A,"&lt;="&amp;DATE(2026,5,21))</f>
        <v>0</v>
      </c>
      <c r="ES65">
        <f>COUNTIFS('DRAFT 2'!$D:$D,$B65,'DRAFT 2'!$A:$A,"&gt;="&amp;DATE(2026,5,22),'DRAFT 2'!$A:$A,"&lt;"&amp;DATE(2026,IF(5=12,5+1,5+1),1))</f>
        <v>0</v>
      </c>
      <c r="ET65">
        <f t="shared" si="20"/>
        <v>0</v>
      </c>
      <c r="FD65">
        <f>IFERROR(LOOKUP(2,1/('DRAFT 2'!$D:$D=$B65)*('DRAFT 2'!$A:$A&gt;=DATE(2026,6,1))*('DRAFT 2'!$A:$A&lt;DATE(2026,IF(6=12,6+1,6+1),1)),'DRAFT 2'!$A:$A),"")</f>
        <v>0</v>
      </c>
      <c r="FE65">
        <f>COUNTIFS('DRAFT 2'!$D:$D,$B65,'DRAFT 2'!$A:$A,"&gt;="&amp;DATE(2026,6,1),'DRAFT 2'!$A:$A,"&lt;="&amp;DATE(2026,6,7))</f>
        <v>0</v>
      </c>
      <c r="FF65">
        <f>COUNTIFS('DRAFT 2'!$D:$D,$B65,'DRAFT 2'!$A:$A,"&gt;="&amp;DATE(2026,6,8),'DRAFT 2'!$A:$A,"&lt;="&amp;DATE(2026,6,14))</f>
        <v>0</v>
      </c>
      <c r="FG65">
        <f>COUNTIFS('DRAFT 2'!$D:$D,$B65,'DRAFT 2'!$A:$A,"&gt;="&amp;DATE(2026,6,15),'DRAFT 2'!$A:$A,"&lt;="&amp;DATE(2026,6,21))</f>
        <v>0</v>
      </c>
      <c r="FH65">
        <f>COUNTIFS('DRAFT 2'!$D:$D,$B65,'DRAFT 2'!$A:$A,"&gt;="&amp;DATE(2026,6,22),'DRAFT 2'!$A:$A,"&lt;"&amp;DATE(2026,IF(6=12,6+1,6+1),1))</f>
        <v>0</v>
      </c>
      <c r="FI65">
        <f t="shared" si="21"/>
        <v>0</v>
      </c>
      <c r="FT65">
        <f>IFERROR(LOOKUP(2,1/('DRAFT 2'!$D:$D=$B65)*('DRAFT 2'!$A:$A&gt;=DATE(2026,7,1))*('DRAFT 2'!$A:$A&lt;DATE(2026,IF(7=12,7+1,7+1),1)),'DRAFT 2'!$A:$A),"")</f>
        <v>0</v>
      </c>
      <c r="FU65">
        <f>COUNTIFS('DRAFT 2'!$D:$D,$B65,'DRAFT 2'!$A:$A,"&gt;="&amp;DATE(2026,7,1),'DRAFT 2'!$A:$A,"&lt;="&amp;DATE(2026,7,7))</f>
        <v>0</v>
      </c>
      <c r="FV65">
        <f>COUNTIFS('DRAFT 2'!$D:$D,$B65,'DRAFT 2'!$A:$A,"&gt;="&amp;DATE(2026,7,8),'DRAFT 2'!$A:$A,"&lt;="&amp;DATE(2026,7,14))</f>
        <v>0</v>
      </c>
      <c r="FW65">
        <f>COUNTIFS('DRAFT 2'!$D:$D,$B65,'DRAFT 2'!$A:$A,"&gt;="&amp;DATE(2026,7,15),'DRAFT 2'!$A:$A,"&lt;="&amp;DATE(2026,7,21))</f>
        <v>0</v>
      </c>
      <c r="FX65">
        <f>COUNTIFS('DRAFT 2'!$D:$D,$B65,'DRAFT 2'!$A:$A,"&gt;="&amp;DATE(2026,7,22),'DRAFT 2'!$A:$A,"&lt;"&amp;DATE(2026,IF(7=12,7+1,7+1),1))</f>
        <v>0</v>
      </c>
      <c r="FY65">
        <f t="shared" si="22"/>
        <v>0</v>
      </c>
      <c r="GI65">
        <f>IFERROR(LOOKUP(2,1/('DRAFT 2'!$D:$D=$B65)*('DRAFT 2'!$A:$A&gt;=DATE(2026,8,1))*('DRAFT 2'!$A:$A&lt;DATE(2026,IF(8=12,8+1,8+1),1)),'DRAFT 2'!$A:$A),"")</f>
        <v>0</v>
      </c>
      <c r="GJ65">
        <f>COUNTIFS('DRAFT 2'!$D:$D,$B65,'DRAFT 2'!$A:$A,"&gt;="&amp;DATE(2026,8,1),'DRAFT 2'!$A:$A,"&lt;="&amp;DATE(2026,8,7))</f>
        <v>0</v>
      </c>
      <c r="GK65">
        <f>COUNTIFS('DRAFT 2'!$D:$D,$B65,'DRAFT 2'!$A:$A,"&gt;="&amp;DATE(2026,8,8),'DRAFT 2'!$A:$A,"&lt;="&amp;DATE(2026,8,14))</f>
        <v>0</v>
      </c>
      <c r="GL65">
        <f>COUNTIFS('DRAFT 2'!$D:$D,$B65,'DRAFT 2'!$A:$A,"&gt;="&amp;DATE(2026,8,15),'DRAFT 2'!$A:$A,"&lt;="&amp;DATE(2026,8,21))</f>
        <v>0</v>
      </c>
      <c r="GM65">
        <f>COUNTIFS('DRAFT 2'!$D:$D,$B65,'DRAFT 2'!$A:$A,"&gt;="&amp;DATE(2026,8,22),'DRAFT 2'!$A:$A,"&lt;"&amp;DATE(2026,IF(8=12,8+1,8+1),1))</f>
        <v>0</v>
      </c>
      <c r="GN65">
        <f t="shared" si="23"/>
        <v>0</v>
      </c>
      <c r="GX65">
        <f>IFERROR(LOOKUP(2,1/('DRAFT 2'!$D:$D=$B65)*('DRAFT 2'!$A:$A&gt;=DATE(2026,9,1))*('DRAFT 2'!$A:$A&lt;DATE(2026,IF(9=12,9+1,9+1),1)),'DRAFT 2'!$A:$A),"")</f>
        <v>0</v>
      </c>
      <c r="GY65">
        <f>COUNTIFS('DRAFT 2'!$D:$D,$B65,'DRAFT 2'!$A:$A,"&gt;="&amp;DATE(2026,9,1),'DRAFT 2'!$A:$A,"&lt;="&amp;DATE(2026,9,7))</f>
        <v>0</v>
      </c>
      <c r="GZ65">
        <f>COUNTIFS('DRAFT 2'!$D:$D,$B65,'DRAFT 2'!$A:$A,"&gt;="&amp;DATE(2026,9,8),'DRAFT 2'!$A:$A,"&lt;="&amp;DATE(2026,9,14))</f>
        <v>0</v>
      </c>
      <c r="HA65">
        <f>COUNTIFS('DRAFT 2'!$D:$D,$B65,'DRAFT 2'!$A:$A,"&gt;="&amp;DATE(2026,9,15),'DRAFT 2'!$A:$A,"&lt;="&amp;DATE(2026,9,21))</f>
        <v>0</v>
      </c>
      <c r="HB65">
        <f>COUNTIFS('DRAFT 2'!$D:$D,$B65,'DRAFT 2'!$A:$A,"&gt;="&amp;DATE(2026,9,22),'DRAFT 2'!$A:$A,"&lt;"&amp;DATE(2026,IF(9=12,9+1,9+1),1))</f>
        <v>0</v>
      </c>
      <c r="HC65">
        <f t="shared" si="24"/>
        <v>0</v>
      </c>
      <c r="HN65">
        <f>IFERROR(LOOKUP(2,1/('DRAFT 2'!$D:$D=$B65)*('DRAFT 2'!$A:$A&gt;=DATE(2026,10,1))*('DRAFT 2'!$A:$A&lt;DATE(2026,IF(10=12,10+1,10+1),1)),'DRAFT 2'!$A:$A),"")</f>
        <v>0</v>
      </c>
      <c r="HO65">
        <f>COUNTIFS('DRAFT 2'!$D:$D,$B65,'DRAFT 2'!$A:$A,"&gt;="&amp;DATE(2026,10,1),'DRAFT 2'!$A:$A,"&lt;="&amp;DATE(2026,10,7))</f>
        <v>0</v>
      </c>
      <c r="HP65">
        <f>COUNTIFS('DRAFT 2'!$D:$D,$B65,'DRAFT 2'!$A:$A,"&gt;="&amp;DATE(2026,10,8),'DRAFT 2'!$A:$A,"&lt;="&amp;DATE(2026,10,14))</f>
        <v>0</v>
      </c>
      <c r="HQ65">
        <f>COUNTIFS('DRAFT 2'!$D:$D,$B65,'DRAFT 2'!$A:$A,"&gt;="&amp;DATE(2026,10,15),'DRAFT 2'!$A:$A,"&lt;="&amp;DATE(2026,10,21))</f>
        <v>0</v>
      </c>
      <c r="HR65">
        <f>COUNTIFS('DRAFT 2'!$D:$D,$B65,'DRAFT 2'!$A:$A,"&gt;="&amp;DATE(2026,10,22),'DRAFT 2'!$A:$A,"&lt;"&amp;DATE(2026,IF(10=12,10+1,10+1),1))</f>
        <v>0</v>
      </c>
      <c r="HS65">
        <f t="shared" si="25"/>
        <v>0</v>
      </c>
      <c r="IC65">
        <f>IFERROR(LOOKUP(2,1/('DRAFT 2'!$D:$D=$B65)*('DRAFT 2'!$A:$A&gt;=DATE(2026,11,1))*('DRAFT 2'!$A:$A&lt;DATE(2026,IF(11=12,11+1,11+1),1)),'DRAFT 2'!$A:$A),"")</f>
        <v>0</v>
      </c>
      <c r="ID65">
        <f>COUNTIFS('DRAFT 2'!$D:$D,$B65,'DRAFT 2'!$A:$A,"&gt;="&amp;DATE(2026,11,1),'DRAFT 2'!$A:$A,"&lt;="&amp;DATE(2026,11,7))</f>
        <v>0</v>
      </c>
      <c r="IE65">
        <f>COUNTIFS('DRAFT 2'!$D:$D,$B65,'DRAFT 2'!$A:$A,"&gt;="&amp;DATE(2026,11,8),'DRAFT 2'!$A:$A,"&lt;="&amp;DATE(2026,11,14))</f>
        <v>0</v>
      </c>
      <c r="IF65">
        <f>COUNTIFS('DRAFT 2'!$D:$D,$B65,'DRAFT 2'!$A:$A,"&gt;="&amp;DATE(2026,11,15),'DRAFT 2'!$A:$A,"&lt;="&amp;DATE(2026,11,21))</f>
        <v>0</v>
      </c>
      <c r="IG65">
        <f>COUNTIFS('DRAFT 2'!$D:$D,$B65,'DRAFT 2'!$A:$A,"&gt;="&amp;DATE(2026,11,22),'DRAFT 2'!$A:$A,"&lt;"&amp;DATE(2026,IF(11=12,11+1,11+1),1))</f>
        <v>0</v>
      </c>
      <c r="IH65">
        <f t="shared" si="26"/>
        <v>0</v>
      </c>
      <c r="IR65">
        <f>IFERROR(LOOKUP(2,1/('DRAFT 2'!$D:$D=$B65)*('DRAFT 2'!$A:$A&gt;=DATE(2026,12,1))*('DRAFT 2'!$A:$A&lt;DATE(2026,IF(12=12,12+1,12+1),1)),'DRAFT 2'!$A:$A),"")</f>
        <v>0</v>
      </c>
      <c r="IS65">
        <f>COUNTIFS('DRAFT 2'!$D:$D,$B65,'DRAFT 2'!$A:$A,"&gt;="&amp;DATE(2026,12,1),'DRAFT 2'!$A:$A,"&lt;="&amp;DATE(2026,12,7))</f>
        <v>0</v>
      </c>
      <c r="IT65">
        <f>COUNTIFS('DRAFT 2'!$D:$D,$B65,'DRAFT 2'!$A:$A,"&gt;="&amp;DATE(2026,12,8),'DRAFT 2'!$A:$A,"&lt;="&amp;DATE(2026,12,14))</f>
        <v>0</v>
      </c>
      <c r="IU65">
        <f>COUNTIFS('DRAFT 2'!$D:$D,$B65,'DRAFT 2'!$A:$A,"&gt;="&amp;DATE(2026,12,15),'DRAFT 2'!$A:$A,"&lt;="&amp;DATE(2026,12,21))</f>
        <v>0</v>
      </c>
      <c r="IV65">
        <f>COUNTIFS('DRAFT 2'!$D:$D,$B65,'DRAFT 2'!$A:$A,"&gt;="&amp;DATE(2026,12,22),'DRAFT 2'!$A:$A,"&lt;"&amp;DATE(2026,IF(12=12,12+1,12+1),1))</f>
        <v>0</v>
      </c>
      <c r="IW65">
        <f t="shared" si="27"/>
        <v>0</v>
      </c>
    </row>
    <row r="66" spans="1:257" x14ac:dyDescent="0.3">
      <c r="A66" t="str">
        <f>IFERROR(INDEX('DRAFT 1'!$A:$A,MATCH($B66,'DRAFT 1'!$B:$B,0)),"")</f>
        <v/>
      </c>
      <c r="C66" t="str">
        <f>IFERROR(INDEX('DRAFT 1'!$C:$C,MATCH($B66,'DRAFT 1'!$B:$B,0)),"")</f>
        <v/>
      </c>
      <c r="D66" t="str">
        <f>IFERROR(INDEX('DRAFT 1'!$D:$D,MATCH($B66,'DRAFT 1'!$B:$B,0)),"")</f>
        <v/>
      </c>
      <c r="E66" t="str">
        <f>IFERROR(INDEX('DRAFT 1'!$E:$E,MATCH($B66,'DRAFT 1'!$B:$B,0)),"")</f>
        <v/>
      </c>
      <c r="F66" t="str">
        <f>IFERROR(INDEX('DRAFT 1'!$F:$F,MATCH($B66,'DRAFT 1'!$B:$B,0)),"")</f>
        <v/>
      </c>
      <c r="G66" t="str">
        <f>IFERROR(INDEX('DRAFT 1'!$G:$G,MATCH($B66,'DRAFT 1'!$B:$B,0)),"")</f>
        <v/>
      </c>
      <c r="H66" t="str">
        <f>IFERROR(INDEX('DRAFT 1'!$H:$H,MATCH($B66,'DRAFT 1'!$B:$B,0)),"")</f>
        <v/>
      </c>
      <c r="I66" t="s">
        <v>298</v>
      </c>
      <c r="K66" t="str">
        <f>IFERROR(INDEX('DRAFT 1'!$AL:$AL,MATCH($B66,'DRAFT 1'!$B:$B,0)),"")</f>
        <v/>
      </c>
      <c r="L66" t="str">
        <f>IFERROR(INDEX('DRAFT 1'!$J:$J,MATCH($B66,'DRAFT 1'!$B:$B,0)),"")</f>
        <v/>
      </c>
      <c r="M66" t="str">
        <f>IFERROR(INDEX('DRAFT 1'!$K:$K,MATCH($B66,'DRAFT 1'!$B:$B,0)),"")</f>
        <v/>
      </c>
      <c r="N66" t="s">
        <v>82</v>
      </c>
      <c r="P66" t="str">
        <f>IFERROR(INDEX('DRAFT 1'!$L:$L,MATCH($B66,'DRAFT 1'!$B:$B,0)),"")</f>
        <v/>
      </c>
      <c r="Q66" t="str">
        <f>IFERROR(INDEX('DRAFT 1'!$M:$M,MATCH($B66,'DRAFT 1'!$B:$B,0)),"")</f>
        <v/>
      </c>
      <c r="R66" t="str">
        <f>IFERROR(INDEX('DRAFT 1'!$N:$N,MATCH($B66,'DRAFT 1'!$B:$B,0)),"")</f>
        <v/>
      </c>
      <c r="S66" t="str">
        <f>IFERROR(INDEX('DRAFT 1'!$O:$O,MATCH($B66,'DRAFT 1'!$B:$B,0)),"")</f>
        <v/>
      </c>
      <c r="T66" t="str">
        <f>IFERROR(INDEX('DRAFT 1'!$P:$P,MATCH($B66,'DRAFT 1'!$B:$B,0)),"")</f>
        <v/>
      </c>
      <c r="U66" t="str">
        <f>IFERROR(INDEX('DRAFT 1'!$Q:$Q,MATCH($B66,'DRAFT 1'!$B:$B,0)),"")</f>
        <v/>
      </c>
      <c r="V66" t="str">
        <f>IFERROR(INDEX('DRAFT 1'!$R:$R,MATCH($B66,'DRAFT 1'!$B:$B,0)),"")</f>
        <v/>
      </c>
      <c r="W66" t="str">
        <f>IFERROR(INDEX('DRAFT 1'!$S:$S,MATCH($B66,'DRAFT 1'!$B:$B,0)),"")</f>
        <v/>
      </c>
      <c r="X66" t="str">
        <f>IFERROR(INDEX('DRAFT 1'!$T:$T,MATCH($B66,'DRAFT 1'!$B:$B,0)),"")</f>
        <v/>
      </c>
      <c r="Z66" t="str">
        <f>IFERROR(INDEX('DRAFT 1'!$U:$U,MATCH($B66,'DRAFT 1'!$B:$B,0)),"")</f>
        <v/>
      </c>
      <c r="AA66" t="str">
        <f>IFERROR(INDEX('DRAFT 1'!$V:$V,MATCH($B66,'DRAFT 1'!$B:$B,0)),"")</f>
        <v/>
      </c>
      <c r="AB66" t="str">
        <f>IFERROR(INDEX('DRAFT 1'!$W:$W,MATCH($B66,'DRAFT 1'!$B:$B,0)),"")</f>
        <v/>
      </c>
      <c r="AC66" t="str">
        <f>IFERROR(INDEX('DRAFT 1'!$X:$X,MATCH($B66,'DRAFT 1'!$B:$B,0)),"")</f>
        <v/>
      </c>
      <c r="AD66" t="str">
        <f>IFERROR(INDEX('DRAFT 1'!$Y:$Y,MATCH($B66,'DRAFT 1'!$B:$B,0)),"")</f>
        <v/>
      </c>
      <c r="AE66" t="str">
        <f>IFERROR(INDEX('DRAFT 1'!$Z:$Z,MATCH($B66,'DRAFT 1'!$B:$B,0)),"")</f>
        <v/>
      </c>
      <c r="AF66" t="str">
        <f>IFERROR(INDEX('DRAFT 1'!$AA:$AA,MATCH($B66,'DRAFT 1'!$B:$B,0)),"")</f>
        <v/>
      </c>
      <c r="AG66" t="str">
        <f>IFERROR(INDEX('DRAFT 1'!$AB:$AB,MATCH($B66,'DRAFT 1'!$B:$B,0)),"")</f>
        <v/>
      </c>
      <c r="AH66" t="str">
        <f>IFERROR(INDEX('DRAFT 1'!$AC:$AC,MATCH($B66,'DRAFT 1'!$B:$B,0)),"")</f>
        <v/>
      </c>
      <c r="AI66" t="str">
        <f>IFERROR(INDEX('DRAFT 1'!$AD:$AD,MATCH($B66,'DRAFT 1'!$B:$B,0)),"")</f>
        <v/>
      </c>
      <c r="AJ66" t="str">
        <f>IFERROR(INDEX('DRAFT 1'!$AE:$AE,MATCH($B66,'DRAFT 1'!$B:$B,0)),"")</f>
        <v/>
      </c>
      <c r="AK66" t="str">
        <f>IFERROR(INDEX('DRAFT 1'!$AG:$AG,MATCH($B66,'DRAFT 1'!$B:$B,0)),"")</f>
        <v/>
      </c>
      <c r="AL66" t="str">
        <f>IFERROR(INDEX('DRAFT 1'!$AH:$AH,MATCH($B66,'DRAFT 1'!$B:$B,0)),"")</f>
        <v/>
      </c>
      <c r="AM66" t="str">
        <f>IFERROR(INDEX('DRAFT 1'!$AI:$AI,MATCH($B66,'DRAFT 1'!$B:$B,0)),"")</f>
        <v/>
      </c>
      <c r="AN66" t="str">
        <f>IFERROR(INDEX('DRAFT 1'!$AJ:$AJ,MATCH($B66,'DRAFT 1'!$B:$B,0)),"")</f>
        <v/>
      </c>
      <c r="AO66">
        <f t="shared" si="14"/>
        <v>0</v>
      </c>
      <c r="AP66" t="str">
        <f>IFERROR(INDEX('DRAFT 1'!$AK:$AK,MATCH($B66,'DRAFT 1'!$B:$B,0)),"")</f>
        <v/>
      </c>
      <c r="AR66" t="s">
        <v>91</v>
      </c>
      <c r="AS66">
        <f>IFERROR(LOOKUP(2,1/('DRAFT 2'!$D:$D=$B66),'DRAFT 2'!$T:$T),"")</f>
        <v>0</v>
      </c>
      <c r="AT66">
        <f>IFERROR(LOOKUP(2,1/('DRAFT 2'!$D:$D=$B66),'DRAFT 2'!$A:$A),"")</f>
        <v>0</v>
      </c>
      <c r="AU66">
        <f>IFERROR(LOOKUP(2,1/('DRAFT 2'!$D:$D=$B66),'DRAFT 2'!$R:$R),"")</f>
        <v>0</v>
      </c>
      <c r="AV66">
        <f>IFERROR(LOOKUP(2,1/('DRAFT 2'!$D:$D=$B66),'DRAFT 2'!$S:$S),"")</f>
        <v>0</v>
      </c>
      <c r="AW66" t="s">
        <v>82</v>
      </c>
      <c r="AX66">
        <f>IFERROR(LOOKUP(2,1/('DRAFT 2'!$D:$D=$B66),'DRAFT 2'!$M:$M),"")</f>
        <v>0</v>
      </c>
      <c r="AY66">
        <f>IFERROR(LOOKUP(2,1/('DRAFT 2'!$D:$D=$B66),'DRAFT 2'!$K:$K),"")</f>
        <v>0</v>
      </c>
      <c r="BG66">
        <f>IFERROR(LOOKUP(2,1/('DRAFT 2'!$D:$D=$B66),'DRAFT 2'!$U:$U),"")</f>
        <v>0</v>
      </c>
      <c r="BH66">
        <f>IFERROR(LOOKUP(2,1/('DRAFT 2'!$D:$D=$B66),'DRAFT 2'!$V:$V),"")</f>
        <v>0</v>
      </c>
      <c r="CE66" t="str">
        <f t="shared" si="15"/>
        <v/>
      </c>
      <c r="CF66">
        <f>IFERROR(LOOKUP(2,1/('DRAFT 2'!$D:$D=$B66)*('DRAFT 2'!$A:$A&gt;=DATE(2026,1,1))*('DRAFT 2'!$A:$A&lt;DATE(2026,IF(1=12,1+1,1+1),1)),'DRAFT 2'!$A:$A),"")</f>
        <v>0</v>
      </c>
      <c r="CG66">
        <f>COUNTIFS('DRAFT 2'!$D:$D,$B66,'DRAFT 2'!$A:$A,"&gt;="&amp;DATE(2026,1,1),'DRAFT 2'!$A:$A,"&lt;="&amp;DATE(2026,1,7))</f>
        <v>0</v>
      </c>
      <c r="CH66">
        <f>COUNTIFS('DRAFT 2'!$D:$D,$B66,'DRAFT 2'!$A:$A,"&gt;="&amp;DATE(2026,1,8),'DRAFT 2'!$A:$A,"&lt;="&amp;DATE(2026,1,14))</f>
        <v>0</v>
      </c>
      <c r="CI66">
        <f>COUNTIFS('DRAFT 2'!$D:$D,$B66,'DRAFT 2'!$A:$A,"&gt;="&amp;DATE(2026,1,15),'DRAFT 2'!$A:$A,"&lt;="&amp;DATE(2026,1,21))</f>
        <v>0</v>
      </c>
      <c r="CJ66">
        <f>COUNTIFS('DRAFT 2'!$D:$D,$B66,'DRAFT 2'!$A:$A,"&gt;="&amp;DATE(2026,1,22),'DRAFT 2'!$A:$A,"&lt;"&amp;DATE(2026,IF(1=12,1+1,1+1),1))</f>
        <v>0</v>
      </c>
      <c r="CK66">
        <f t="shared" si="16"/>
        <v>0</v>
      </c>
      <c r="CT66">
        <v>0</v>
      </c>
      <c r="CU66">
        <f>IFERROR(LOOKUP(2,1/('DRAFT 2'!$D:$D=$B66)*('DRAFT 2'!$A:$A&gt;=DATE(2026,2,1))*('DRAFT 2'!$A:$A&lt;DATE(2026,IF(2=12,2+1,2+1),1)),'DRAFT 2'!$A:$A),"")</f>
        <v>0</v>
      </c>
      <c r="CV66">
        <f>COUNTIFS('DRAFT 2'!$D:$D,$B66,'DRAFT 2'!$A:$A,"&gt;="&amp;DATE(2026,2,1),'DRAFT 2'!$A:$A,"&lt;="&amp;DATE(2026,2,7))</f>
        <v>0</v>
      </c>
      <c r="CW66">
        <f>COUNTIFS('DRAFT 2'!$D:$D,$B66,'DRAFT 2'!$A:$A,"&gt;="&amp;DATE(2026,2,8),'DRAFT 2'!$A:$A,"&lt;="&amp;DATE(2026,2,14))</f>
        <v>0</v>
      </c>
      <c r="CX66">
        <f>COUNTIFS('DRAFT 2'!$D:$D,$B66,'DRAFT 2'!$A:$A,"&gt;="&amp;DATE(2026,2,15),'DRAFT 2'!$A:$A,"&lt;="&amp;DATE(2026,2,21))</f>
        <v>0</v>
      </c>
      <c r="CY66">
        <f>COUNTIFS('DRAFT 2'!$D:$D,$B66,'DRAFT 2'!$A:$A,"&gt;="&amp;DATE(2026,2,22),'DRAFT 2'!$A:$A,"&lt;"&amp;DATE(2026,IF(2=12,2+1,2+1),1))</f>
        <v>0</v>
      </c>
      <c r="CZ66">
        <f t="shared" si="17"/>
        <v>0</v>
      </c>
      <c r="DJ66">
        <f>IFERROR(LOOKUP(2,1/('DRAFT 2'!$D:$D=$B66)*('DRAFT 2'!$A:$A&gt;=DATE(2026,3,1))*('DRAFT 2'!$A:$A&lt;DATE(2026,IF(3=12,3+1,3+1),1)),'DRAFT 2'!$A:$A),"")</f>
        <v>0</v>
      </c>
      <c r="DK66">
        <f>COUNTIFS('DRAFT 2'!$D:$D,$B66,'DRAFT 2'!$A:$A,"&gt;="&amp;DATE(2026,3,1),'DRAFT 2'!$A:$A,"&lt;="&amp;DATE(2026,3,7))</f>
        <v>0</v>
      </c>
      <c r="DL66">
        <f>COUNTIFS('DRAFT 2'!$D:$D,$B66,'DRAFT 2'!$A:$A,"&gt;="&amp;DATE(2026,3,8),'DRAFT 2'!$A:$A,"&lt;="&amp;DATE(2026,3,14))</f>
        <v>0</v>
      </c>
      <c r="DM66">
        <f>COUNTIFS('DRAFT 2'!$D:$D,$B66,'DRAFT 2'!$A:$A,"&gt;="&amp;DATE(2026,3,15),'DRAFT 2'!$A:$A,"&lt;="&amp;DATE(2026,3,21))</f>
        <v>0</v>
      </c>
      <c r="DN66">
        <f>COUNTIFS('DRAFT 2'!$D:$D,$B66,'DRAFT 2'!$A:$A,"&gt;="&amp;DATE(2026,3,22),'DRAFT 2'!$A:$A,"&lt;"&amp;DATE(2026,IF(3=12,3+1,3+1),1))</f>
        <v>0</v>
      </c>
      <c r="DO66">
        <f t="shared" si="18"/>
        <v>0</v>
      </c>
      <c r="DZ66">
        <f>IFERROR(LOOKUP(2,1/('DRAFT 2'!$D:$D=$B66)*('DRAFT 2'!$A:$A&gt;=DATE(2026,4,1))*('DRAFT 2'!$A:$A&lt;DATE(2026,IF(4=12,4+1,4+1),1)),'DRAFT 2'!$A:$A),"")</f>
        <v>0</v>
      </c>
      <c r="EA66">
        <f>COUNTIFS('DRAFT 2'!$D:$D,$B66,'DRAFT 2'!$A:$A,"&gt;="&amp;DATE(2026,4,1),'DRAFT 2'!$A:$A,"&lt;="&amp;DATE(2026,4,7))</f>
        <v>0</v>
      </c>
      <c r="EB66">
        <f>COUNTIFS('DRAFT 2'!$D:$D,$B66,'DRAFT 2'!$A:$A,"&gt;="&amp;DATE(2026,4,8),'DRAFT 2'!$A:$A,"&lt;="&amp;DATE(2026,4,14))</f>
        <v>0</v>
      </c>
      <c r="EC66">
        <f>COUNTIFS('DRAFT 2'!$D:$D,$B66,'DRAFT 2'!$A:$A,"&gt;="&amp;DATE(2026,4,15),'DRAFT 2'!$A:$A,"&lt;="&amp;DATE(2026,4,21))</f>
        <v>0</v>
      </c>
      <c r="ED66">
        <f>COUNTIFS('DRAFT 2'!$D:$D,$B66,'DRAFT 2'!$A:$A,"&gt;="&amp;DATE(2026,4,22),'DRAFT 2'!$A:$A,"&lt;"&amp;DATE(2026,IF(4=12,4+1,4+1),1))</f>
        <v>0</v>
      </c>
      <c r="EE66">
        <f t="shared" si="19"/>
        <v>0</v>
      </c>
      <c r="EO66">
        <f>IFERROR(LOOKUP(2,1/('DRAFT 2'!$D:$D=$B66)*('DRAFT 2'!$A:$A&gt;=DATE(2026,5,1))*('DRAFT 2'!$A:$A&lt;DATE(2026,IF(5=12,5+1,5+1),1)),'DRAFT 2'!$A:$A),"")</f>
        <v>0</v>
      </c>
      <c r="EP66">
        <f>COUNTIFS('DRAFT 2'!$D:$D,$B66,'DRAFT 2'!$A:$A,"&gt;="&amp;DATE(2026,5,1),'DRAFT 2'!$A:$A,"&lt;="&amp;DATE(2026,5,7))</f>
        <v>0</v>
      </c>
      <c r="EQ66">
        <f>COUNTIFS('DRAFT 2'!$D:$D,$B66,'DRAFT 2'!$A:$A,"&gt;="&amp;DATE(2026,5,8),'DRAFT 2'!$A:$A,"&lt;="&amp;DATE(2026,5,14))</f>
        <v>0</v>
      </c>
      <c r="ER66">
        <f>COUNTIFS('DRAFT 2'!$D:$D,$B66,'DRAFT 2'!$A:$A,"&gt;="&amp;DATE(2026,5,15),'DRAFT 2'!$A:$A,"&lt;="&amp;DATE(2026,5,21))</f>
        <v>0</v>
      </c>
      <c r="ES66">
        <f>COUNTIFS('DRAFT 2'!$D:$D,$B66,'DRAFT 2'!$A:$A,"&gt;="&amp;DATE(2026,5,22),'DRAFT 2'!$A:$A,"&lt;"&amp;DATE(2026,IF(5=12,5+1,5+1),1))</f>
        <v>0</v>
      </c>
      <c r="ET66">
        <f t="shared" si="20"/>
        <v>0</v>
      </c>
      <c r="FD66">
        <f>IFERROR(LOOKUP(2,1/('DRAFT 2'!$D:$D=$B66)*('DRAFT 2'!$A:$A&gt;=DATE(2026,6,1))*('DRAFT 2'!$A:$A&lt;DATE(2026,IF(6=12,6+1,6+1),1)),'DRAFT 2'!$A:$A),"")</f>
        <v>0</v>
      </c>
      <c r="FE66">
        <f>COUNTIFS('DRAFT 2'!$D:$D,$B66,'DRAFT 2'!$A:$A,"&gt;="&amp;DATE(2026,6,1),'DRAFT 2'!$A:$A,"&lt;="&amp;DATE(2026,6,7))</f>
        <v>0</v>
      </c>
      <c r="FF66">
        <f>COUNTIFS('DRAFT 2'!$D:$D,$B66,'DRAFT 2'!$A:$A,"&gt;="&amp;DATE(2026,6,8),'DRAFT 2'!$A:$A,"&lt;="&amp;DATE(2026,6,14))</f>
        <v>0</v>
      </c>
      <c r="FG66">
        <f>COUNTIFS('DRAFT 2'!$D:$D,$B66,'DRAFT 2'!$A:$A,"&gt;="&amp;DATE(2026,6,15),'DRAFT 2'!$A:$A,"&lt;="&amp;DATE(2026,6,21))</f>
        <v>0</v>
      </c>
      <c r="FH66">
        <f>COUNTIFS('DRAFT 2'!$D:$D,$B66,'DRAFT 2'!$A:$A,"&gt;="&amp;DATE(2026,6,22),'DRAFT 2'!$A:$A,"&lt;"&amp;DATE(2026,IF(6=12,6+1,6+1),1))</f>
        <v>0</v>
      </c>
      <c r="FI66">
        <f t="shared" si="21"/>
        <v>0</v>
      </c>
      <c r="FT66">
        <f>IFERROR(LOOKUP(2,1/('DRAFT 2'!$D:$D=$B66)*('DRAFT 2'!$A:$A&gt;=DATE(2026,7,1))*('DRAFT 2'!$A:$A&lt;DATE(2026,IF(7=12,7+1,7+1),1)),'DRAFT 2'!$A:$A),"")</f>
        <v>0</v>
      </c>
      <c r="FU66">
        <f>COUNTIFS('DRAFT 2'!$D:$D,$B66,'DRAFT 2'!$A:$A,"&gt;="&amp;DATE(2026,7,1),'DRAFT 2'!$A:$A,"&lt;="&amp;DATE(2026,7,7))</f>
        <v>0</v>
      </c>
      <c r="FV66">
        <f>COUNTIFS('DRAFT 2'!$D:$D,$B66,'DRAFT 2'!$A:$A,"&gt;="&amp;DATE(2026,7,8),'DRAFT 2'!$A:$A,"&lt;="&amp;DATE(2026,7,14))</f>
        <v>0</v>
      </c>
      <c r="FW66">
        <f>COUNTIFS('DRAFT 2'!$D:$D,$B66,'DRAFT 2'!$A:$A,"&gt;="&amp;DATE(2026,7,15),'DRAFT 2'!$A:$A,"&lt;="&amp;DATE(2026,7,21))</f>
        <v>0</v>
      </c>
      <c r="FX66">
        <f>COUNTIFS('DRAFT 2'!$D:$D,$B66,'DRAFT 2'!$A:$A,"&gt;="&amp;DATE(2026,7,22),'DRAFT 2'!$A:$A,"&lt;"&amp;DATE(2026,IF(7=12,7+1,7+1),1))</f>
        <v>0</v>
      </c>
      <c r="FY66">
        <f t="shared" si="22"/>
        <v>0</v>
      </c>
      <c r="GI66">
        <f>IFERROR(LOOKUP(2,1/('DRAFT 2'!$D:$D=$B66)*('DRAFT 2'!$A:$A&gt;=DATE(2026,8,1))*('DRAFT 2'!$A:$A&lt;DATE(2026,IF(8=12,8+1,8+1),1)),'DRAFT 2'!$A:$A),"")</f>
        <v>0</v>
      </c>
      <c r="GJ66">
        <f>COUNTIFS('DRAFT 2'!$D:$D,$B66,'DRAFT 2'!$A:$A,"&gt;="&amp;DATE(2026,8,1),'DRAFT 2'!$A:$A,"&lt;="&amp;DATE(2026,8,7))</f>
        <v>0</v>
      </c>
      <c r="GK66">
        <f>COUNTIFS('DRAFT 2'!$D:$D,$B66,'DRAFT 2'!$A:$A,"&gt;="&amp;DATE(2026,8,8),'DRAFT 2'!$A:$A,"&lt;="&amp;DATE(2026,8,14))</f>
        <v>0</v>
      </c>
      <c r="GL66">
        <f>COUNTIFS('DRAFT 2'!$D:$D,$B66,'DRAFT 2'!$A:$A,"&gt;="&amp;DATE(2026,8,15),'DRAFT 2'!$A:$A,"&lt;="&amp;DATE(2026,8,21))</f>
        <v>0</v>
      </c>
      <c r="GM66">
        <f>COUNTIFS('DRAFT 2'!$D:$D,$B66,'DRAFT 2'!$A:$A,"&gt;="&amp;DATE(2026,8,22),'DRAFT 2'!$A:$A,"&lt;"&amp;DATE(2026,IF(8=12,8+1,8+1),1))</f>
        <v>0</v>
      </c>
      <c r="GN66">
        <f t="shared" si="23"/>
        <v>0</v>
      </c>
      <c r="GX66">
        <f>IFERROR(LOOKUP(2,1/('DRAFT 2'!$D:$D=$B66)*('DRAFT 2'!$A:$A&gt;=DATE(2026,9,1))*('DRAFT 2'!$A:$A&lt;DATE(2026,IF(9=12,9+1,9+1),1)),'DRAFT 2'!$A:$A),"")</f>
        <v>0</v>
      </c>
      <c r="GY66">
        <f>COUNTIFS('DRAFT 2'!$D:$D,$B66,'DRAFT 2'!$A:$A,"&gt;="&amp;DATE(2026,9,1),'DRAFT 2'!$A:$A,"&lt;="&amp;DATE(2026,9,7))</f>
        <v>0</v>
      </c>
      <c r="GZ66">
        <f>COUNTIFS('DRAFT 2'!$D:$D,$B66,'DRAFT 2'!$A:$A,"&gt;="&amp;DATE(2026,9,8),'DRAFT 2'!$A:$A,"&lt;="&amp;DATE(2026,9,14))</f>
        <v>0</v>
      </c>
      <c r="HA66">
        <f>COUNTIFS('DRAFT 2'!$D:$D,$B66,'DRAFT 2'!$A:$A,"&gt;="&amp;DATE(2026,9,15),'DRAFT 2'!$A:$A,"&lt;="&amp;DATE(2026,9,21))</f>
        <v>0</v>
      </c>
      <c r="HB66">
        <f>COUNTIFS('DRAFT 2'!$D:$D,$B66,'DRAFT 2'!$A:$A,"&gt;="&amp;DATE(2026,9,22),'DRAFT 2'!$A:$A,"&lt;"&amp;DATE(2026,IF(9=12,9+1,9+1),1))</f>
        <v>0</v>
      </c>
      <c r="HC66">
        <f t="shared" si="24"/>
        <v>0</v>
      </c>
      <c r="HN66">
        <f>IFERROR(LOOKUP(2,1/('DRAFT 2'!$D:$D=$B66)*('DRAFT 2'!$A:$A&gt;=DATE(2026,10,1))*('DRAFT 2'!$A:$A&lt;DATE(2026,IF(10=12,10+1,10+1),1)),'DRAFT 2'!$A:$A),"")</f>
        <v>0</v>
      </c>
      <c r="HO66">
        <f>COUNTIFS('DRAFT 2'!$D:$D,$B66,'DRAFT 2'!$A:$A,"&gt;="&amp;DATE(2026,10,1),'DRAFT 2'!$A:$A,"&lt;="&amp;DATE(2026,10,7))</f>
        <v>0</v>
      </c>
      <c r="HP66">
        <f>COUNTIFS('DRAFT 2'!$D:$D,$B66,'DRAFT 2'!$A:$A,"&gt;="&amp;DATE(2026,10,8),'DRAFT 2'!$A:$A,"&lt;="&amp;DATE(2026,10,14))</f>
        <v>0</v>
      </c>
      <c r="HQ66">
        <f>COUNTIFS('DRAFT 2'!$D:$D,$B66,'DRAFT 2'!$A:$A,"&gt;="&amp;DATE(2026,10,15),'DRAFT 2'!$A:$A,"&lt;="&amp;DATE(2026,10,21))</f>
        <v>0</v>
      </c>
      <c r="HR66">
        <f>COUNTIFS('DRAFT 2'!$D:$D,$B66,'DRAFT 2'!$A:$A,"&gt;="&amp;DATE(2026,10,22),'DRAFT 2'!$A:$A,"&lt;"&amp;DATE(2026,IF(10=12,10+1,10+1),1))</f>
        <v>0</v>
      </c>
      <c r="HS66">
        <f t="shared" si="25"/>
        <v>0</v>
      </c>
      <c r="IC66">
        <f>IFERROR(LOOKUP(2,1/('DRAFT 2'!$D:$D=$B66)*('DRAFT 2'!$A:$A&gt;=DATE(2026,11,1))*('DRAFT 2'!$A:$A&lt;DATE(2026,IF(11=12,11+1,11+1),1)),'DRAFT 2'!$A:$A),"")</f>
        <v>0</v>
      </c>
      <c r="ID66">
        <f>COUNTIFS('DRAFT 2'!$D:$D,$B66,'DRAFT 2'!$A:$A,"&gt;="&amp;DATE(2026,11,1),'DRAFT 2'!$A:$A,"&lt;="&amp;DATE(2026,11,7))</f>
        <v>0</v>
      </c>
      <c r="IE66">
        <f>COUNTIFS('DRAFT 2'!$D:$D,$B66,'DRAFT 2'!$A:$A,"&gt;="&amp;DATE(2026,11,8),'DRAFT 2'!$A:$A,"&lt;="&amp;DATE(2026,11,14))</f>
        <v>0</v>
      </c>
      <c r="IF66">
        <f>COUNTIFS('DRAFT 2'!$D:$D,$B66,'DRAFT 2'!$A:$A,"&gt;="&amp;DATE(2026,11,15),'DRAFT 2'!$A:$A,"&lt;="&amp;DATE(2026,11,21))</f>
        <v>0</v>
      </c>
      <c r="IG66">
        <f>COUNTIFS('DRAFT 2'!$D:$D,$B66,'DRAFT 2'!$A:$A,"&gt;="&amp;DATE(2026,11,22),'DRAFT 2'!$A:$A,"&lt;"&amp;DATE(2026,IF(11=12,11+1,11+1),1))</f>
        <v>0</v>
      </c>
      <c r="IH66">
        <f t="shared" si="26"/>
        <v>0</v>
      </c>
      <c r="IR66">
        <f>IFERROR(LOOKUP(2,1/('DRAFT 2'!$D:$D=$B66)*('DRAFT 2'!$A:$A&gt;=DATE(2026,12,1))*('DRAFT 2'!$A:$A&lt;DATE(2026,IF(12=12,12+1,12+1),1)),'DRAFT 2'!$A:$A),"")</f>
        <v>0</v>
      </c>
      <c r="IS66">
        <f>COUNTIFS('DRAFT 2'!$D:$D,$B66,'DRAFT 2'!$A:$A,"&gt;="&amp;DATE(2026,12,1),'DRAFT 2'!$A:$A,"&lt;="&amp;DATE(2026,12,7))</f>
        <v>0</v>
      </c>
      <c r="IT66">
        <f>COUNTIFS('DRAFT 2'!$D:$D,$B66,'DRAFT 2'!$A:$A,"&gt;="&amp;DATE(2026,12,8),'DRAFT 2'!$A:$A,"&lt;="&amp;DATE(2026,12,14))</f>
        <v>0</v>
      </c>
      <c r="IU66">
        <f>COUNTIFS('DRAFT 2'!$D:$D,$B66,'DRAFT 2'!$A:$A,"&gt;="&amp;DATE(2026,12,15),'DRAFT 2'!$A:$A,"&lt;="&amp;DATE(2026,12,21))</f>
        <v>0</v>
      </c>
      <c r="IV66">
        <f>COUNTIFS('DRAFT 2'!$D:$D,$B66,'DRAFT 2'!$A:$A,"&gt;="&amp;DATE(2026,12,22),'DRAFT 2'!$A:$A,"&lt;"&amp;DATE(2026,IF(12=12,12+1,12+1),1))</f>
        <v>0</v>
      </c>
      <c r="IW66">
        <f t="shared" si="27"/>
        <v>0</v>
      </c>
    </row>
    <row r="67" spans="1:257" x14ac:dyDescent="0.3">
      <c r="A67" t="str">
        <f>IFERROR(INDEX('DRAFT 1'!$A:$A,MATCH($B67,'DRAFT 1'!$B:$B,0)),"")</f>
        <v/>
      </c>
      <c r="C67" t="str">
        <f>IFERROR(INDEX('DRAFT 1'!$C:$C,MATCH($B67,'DRAFT 1'!$B:$B,0)),"")</f>
        <v/>
      </c>
      <c r="D67" t="str">
        <f>IFERROR(INDEX('DRAFT 1'!$D:$D,MATCH($B67,'DRAFT 1'!$B:$B,0)),"")</f>
        <v/>
      </c>
      <c r="E67" t="str">
        <f>IFERROR(INDEX('DRAFT 1'!$E:$E,MATCH($B67,'DRAFT 1'!$B:$B,0)),"")</f>
        <v/>
      </c>
      <c r="F67" t="str">
        <f>IFERROR(INDEX('DRAFT 1'!$F:$F,MATCH($B67,'DRAFT 1'!$B:$B,0)),"")</f>
        <v/>
      </c>
      <c r="G67" t="str">
        <f>IFERROR(INDEX('DRAFT 1'!$G:$G,MATCH($B67,'DRAFT 1'!$B:$B,0)),"")</f>
        <v/>
      </c>
      <c r="H67" t="str">
        <f>IFERROR(INDEX('DRAFT 1'!$H:$H,MATCH($B67,'DRAFT 1'!$B:$B,0)),"")</f>
        <v/>
      </c>
      <c r="I67" t="s">
        <v>289</v>
      </c>
      <c r="K67" t="str">
        <f>IFERROR(INDEX('DRAFT 1'!$AL:$AL,MATCH($B67,'DRAFT 1'!$B:$B,0)),"")</f>
        <v/>
      </c>
      <c r="L67" t="str">
        <f>IFERROR(INDEX('DRAFT 1'!$J:$J,MATCH($B67,'DRAFT 1'!$B:$B,0)),"")</f>
        <v/>
      </c>
      <c r="M67" t="str">
        <f>IFERROR(INDEX('DRAFT 1'!$K:$K,MATCH($B67,'DRAFT 1'!$B:$B,0)),"")</f>
        <v/>
      </c>
      <c r="N67" t="s">
        <v>71</v>
      </c>
      <c r="P67" t="str">
        <f>IFERROR(INDEX('DRAFT 1'!$L:$L,MATCH($B67,'DRAFT 1'!$B:$B,0)),"")</f>
        <v/>
      </c>
      <c r="Q67" t="str">
        <f>IFERROR(INDEX('DRAFT 1'!$M:$M,MATCH($B67,'DRAFT 1'!$B:$B,0)),"")</f>
        <v/>
      </c>
      <c r="R67" t="str">
        <f>IFERROR(INDEX('DRAFT 1'!$N:$N,MATCH($B67,'DRAFT 1'!$B:$B,0)),"")</f>
        <v/>
      </c>
      <c r="S67" t="str">
        <f>IFERROR(INDEX('DRAFT 1'!$O:$O,MATCH($B67,'DRAFT 1'!$B:$B,0)),"")</f>
        <v/>
      </c>
      <c r="T67" t="str">
        <f>IFERROR(INDEX('DRAFT 1'!$P:$P,MATCH($B67,'DRAFT 1'!$B:$B,0)),"")</f>
        <v/>
      </c>
      <c r="U67" t="str">
        <f>IFERROR(INDEX('DRAFT 1'!$Q:$Q,MATCH($B67,'DRAFT 1'!$B:$B,0)),"")</f>
        <v/>
      </c>
      <c r="V67" t="str">
        <f>IFERROR(INDEX('DRAFT 1'!$R:$R,MATCH($B67,'DRAFT 1'!$B:$B,0)),"")</f>
        <v/>
      </c>
      <c r="W67" t="str">
        <f>IFERROR(INDEX('DRAFT 1'!$S:$S,MATCH($B67,'DRAFT 1'!$B:$B,0)),"")</f>
        <v/>
      </c>
      <c r="X67" t="str">
        <f>IFERROR(INDEX('DRAFT 1'!$T:$T,MATCH($B67,'DRAFT 1'!$B:$B,0)),"")</f>
        <v/>
      </c>
      <c r="Z67" t="str">
        <f>IFERROR(INDEX('DRAFT 1'!$U:$U,MATCH($B67,'DRAFT 1'!$B:$B,0)),"")</f>
        <v/>
      </c>
      <c r="AA67" t="str">
        <f>IFERROR(INDEX('DRAFT 1'!$V:$V,MATCH($B67,'DRAFT 1'!$B:$B,0)),"")</f>
        <v/>
      </c>
      <c r="AB67" t="str">
        <f>IFERROR(INDEX('DRAFT 1'!$W:$W,MATCH($B67,'DRAFT 1'!$B:$B,0)),"")</f>
        <v/>
      </c>
      <c r="AC67" t="str">
        <f>IFERROR(INDEX('DRAFT 1'!$X:$X,MATCH($B67,'DRAFT 1'!$B:$B,0)),"")</f>
        <v/>
      </c>
      <c r="AD67" t="str">
        <f>IFERROR(INDEX('DRAFT 1'!$Y:$Y,MATCH($B67,'DRAFT 1'!$B:$B,0)),"")</f>
        <v/>
      </c>
      <c r="AE67" t="str">
        <f>IFERROR(INDEX('DRAFT 1'!$Z:$Z,MATCH($B67,'DRAFT 1'!$B:$B,0)),"")</f>
        <v/>
      </c>
      <c r="AF67" t="str">
        <f>IFERROR(INDEX('DRAFT 1'!$AA:$AA,MATCH($B67,'DRAFT 1'!$B:$B,0)),"")</f>
        <v/>
      </c>
      <c r="AG67" t="str">
        <f>IFERROR(INDEX('DRAFT 1'!$AB:$AB,MATCH($B67,'DRAFT 1'!$B:$B,0)),"")</f>
        <v/>
      </c>
      <c r="AH67" t="str">
        <f>IFERROR(INDEX('DRAFT 1'!$AC:$AC,MATCH($B67,'DRAFT 1'!$B:$B,0)),"")</f>
        <v/>
      </c>
      <c r="AI67" t="str">
        <f>IFERROR(INDEX('DRAFT 1'!$AD:$AD,MATCH($B67,'DRAFT 1'!$B:$B,0)),"")</f>
        <v/>
      </c>
      <c r="AJ67" t="str">
        <f>IFERROR(INDEX('DRAFT 1'!$AE:$AE,MATCH($B67,'DRAFT 1'!$B:$B,0)),"")</f>
        <v/>
      </c>
      <c r="AK67" t="str">
        <f>IFERROR(INDEX('DRAFT 1'!$AG:$AG,MATCH($B67,'DRAFT 1'!$B:$B,0)),"")</f>
        <v/>
      </c>
      <c r="AL67" t="str">
        <f>IFERROR(INDEX('DRAFT 1'!$AH:$AH,MATCH($B67,'DRAFT 1'!$B:$B,0)),"")</f>
        <v/>
      </c>
      <c r="AM67" t="str">
        <f>IFERROR(INDEX('DRAFT 1'!$AI:$AI,MATCH($B67,'DRAFT 1'!$B:$B,0)),"")</f>
        <v/>
      </c>
      <c r="AN67" t="str">
        <f>IFERROR(INDEX('DRAFT 1'!$AJ:$AJ,MATCH($B67,'DRAFT 1'!$B:$B,0)),"")</f>
        <v/>
      </c>
      <c r="AO67">
        <f t="shared" si="14"/>
        <v>0</v>
      </c>
      <c r="AP67" t="str">
        <f>IFERROR(INDEX('DRAFT 1'!$AK:$AK,MATCH($B67,'DRAFT 1'!$B:$B,0)),"")</f>
        <v/>
      </c>
      <c r="AR67" t="s">
        <v>5</v>
      </c>
      <c r="AS67">
        <f>IFERROR(LOOKUP(2,1/('DRAFT 2'!$D:$D=$B67),'DRAFT 2'!$T:$T),"")</f>
        <v>0</v>
      </c>
      <c r="AT67">
        <f>IFERROR(LOOKUP(2,1/('DRAFT 2'!$D:$D=$B67),'DRAFT 2'!$A:$A),"")</f>
        <v>0</v>
      </c>
      <c r="AU67">
        <f>IFERROR(LOOKUP(2,1/('DRAFT 2'!$D:$D=$B67),'DRAFT 2'!$R:$R),"")</f>
        <v>0</v>
      </c>
      <c r="AV67">
        <f>IFERROR(LOOKUP(2,1/('DRAFT 2'!$D:$D=$B67),'DRAFT 2'!$S:$S),"")</f>
        <v>0</v>
      </c>
      <c r="AW67" t="s">
        <v>88</v>
      </c>
      <c r="AX67">
        <f>IFERROR(LOOKUP(2,1/('DRAFT 2'!$D:$D=$B67),'DRAFT 2'!$M:$M),"")</f>
        <v>0</v>
      </c>
      <c r="AY67">
        <f>IFERROR(LOOKUP(2,1/('DRAFT 2'!$D:$D=$B67),'DRAFT 2'!$K:$K),"")</f>
        <v>0</v>
      </c>
      <c r="BG67">
        <f>IFERROR(LOOKUP(2,1/('DRAFT 2'!$D:$D=$B67),'DRAFT 2'!$U:$U),"")</f>
        <v>0</v>
      </c>
      <c r="BH67">
        <f>IFERROR(LOOKUP(2,1/('DRAFT 2'!$D:$D=$B67),'DRAFT 2'!$V:$V),"")</f>
        <v>0</v>
      </c>
      <c r="CE67" t="str">
        <f t="shared" si="15"/>
        <v/>
      </c>
      <c r="CF67">
        <f>IFERROR(LOOKUP(2,1/('DRAFT 2'!$D:$D=$B67)*('DRAFT 2'!$A:$A&gt;=DATE(2026,1,1))*('DRAFT 2'!$A:$A&lt;DATE(2026,IF(1=12,1+1,1+1),1)),'DRAFT 2'!$A:$A),"")</f>
        <v>0</v>
      </c>
      <c r="CG67">
        <f>COUNTIFS('DRAFT 2'!$D:$D,$B67,'DRAFT 2'!$A:$A,"&gt;="&amp;DATE(2026,1,1),'DRAFT 2'!$A:$A,"&lt;="&amp;DATE(2026,1,7))</f>
        <v>0</v>
      </c>
      <c r="CH67">
        <f>COUNTIFS('DRAFT 2'!$D:$D,$B67,'DRAFT 2'!$A:$A,"&gt;="&amp;DATE(2026,1,8),'DRAFT 2'!$A:$A,"&lt;="&amp;DATE(2026,1,14))</f>
        <v>0</v>
      </c>
      <c r="CI67">
        <f>COUNTIFS('DRAFT 2'!$D:$D,$B67,'DRAFT 2'!$A:$A,"&gt;="&amp;DATE(2026,1,15),'DRAFT 2'!$A:$A,"&lt;="&amp;DATE(2026,1,21))</f>
        <v>0</v>
      </c>
      <c r="CJ67">
        <f>COUNTIFS('DRAFT 2'!$D:$D,$B67,'DRAFT 2'!$A:$A,"&gt;="&amp;DATE(2026,1,22),'DRAFT 2'!$A:$A,"&lt;"&amp;DATE(2026,IF(1=12,1+1,1+1),1))</f>
        <v>0</v>
      </c>
      <c r="CK67">
        <f t="shared" si="16"/>
        <v>0</v>
      </c>
      <c r="CT67">
        <v>0</v>
      </c>
      <c r="CU67">
        <f>IFERROR(LOOKUP(2,1/('DRAFT 2'!$D:$D=$B67)*('DRAFT 2'!$A:$A&gt;=DATE(2026,2,1))*('DRAFT 2'!$A:$A&lt;DATE(2026,IF(2=12,2+1,2+1),1)),'DRAFT 2'!$A:$A),"")</f>
        <v>0</v>
      </c>
      <c r="CV67">
        <f>COUNTIFS('DRAFT 2'!$D:$D,$B67,'DRAFT 2'!$A:$A,"&gt;="&amp;DATE(2026,2,1),'DRAFT 2'!$A:$A,"&lt;="&amp;DATE(2026,2,7))</f>
        <v>0</v>
      </c>
      <c r="CW67">
        <f>COUNTIFS('DRAFT 2'!$D:$D,$B67,'DRAFT 2'!$A:$A,"&gt;="&amp;DATE(2026,2,8),'DRAFT 2'!$A:$A,"&lt;="&amp;DATE(2026,2,14))</f>
        <v>0</v>
      </c>
      <c r="CX67">
        <f>COUNTIFS('DRAFT 2'!$D:$D,$B67,'DRAFT 2'!$A:$A,"&gt;="&amp;DATE(2026,2,15),'DRAFT 2'!$A:$A,"&lt;="&amp;DATE(2026,2,21))</f>
        <v>0</v>
      </c>
      <c r="CY67">
        <f>COUNTIFS('DRAFT 2'!$D:$D,$B67,'DRAFT 2'!$A:$A,"&gt;="&amp;DATE(2026,2,22),'DRAFT 2'!$A:$A,"&lt;"&amp;DATE(2026,IF(2=12,2+1,2+1),1))</f>
        <v>0</v>
      </c>
      <c r="CZ67">
        <f t="shared" si="17"/>
        <v>0</v>
      </c>
      <c r="DJ67">
        <f>IFERROR(LOOKUP(2,1/('DRAFT 2'!$D:$D=$B67)*('DRAFT 2'!$A:$A&gt;=DATE(2026,3,1))*('DRAFT 2'!$A:$A&lt;DATE(2026,IF(3=12,3+1,3+1),1)),'DRAFT 2'!$A:$A),"")</f>
        <v>0</v>
      </c>
      <c r="DK67">
        <f>COUNTIFS('DRAFT 2'!$D:$D,$B67,'DRAFT 2'!$A:$A,"&gt;="&amp;DATE(2026,3,1),'DRAFT 2'!$A:$A,"&lt;="&amp;DATE(2026,3,7))</f>
        <v>0</v>
      </c>
      <c r="DL67">
        <f>COUNTIFS('DRAFT 2'!$D:$D,$B67,'DRAFT 2'!$A:$A,"&gt;="&amp;DATE(2026,3,8),'DRAFT 2'!$A:$A,"&lt;="&amp;DATE(2026,3,14))</f>
        <v>0</v>
      </c>
      <c r="DM67">
        <f>COUNTIFS('DRAFT 2'!$D:$D,$B67,'DRAFT 2'!$A:$A,"&gt;="&amp;DATE(2026,3,15),'DRAFT 2'!$A:$A,"&lt;="&amp;DATE(2026,3,21))</f>
        <v>0</v>
      </c>
      <c r="DN67">
        <f>COUNTIFS('DRAFT 2'!$D:$D,$B67,'DRAFT 2'!$A:$A,"&gt;="&amp;DATE(2026,3,22),'DRAFT 2'!$A:$A,"&lt;"&amp;DATE(2026,IF(3=12,3+1,3+1),1))</f>
        <v>0</v>
      </c>
      <c r="DO67">
        <f t="shared" si="18"/>
        <v>0</v>
      </c>
      <c r="DZ67">
        <f>IFERROR(LOOKUP(2,1/('DRAFT 2'!$D:$D=$B67)*('DRAFT 2'!$A:$A&gt;=DATE(2026,4,1))*('DRAFT 2'!$A:$A&lt;DATE(2026,IF(4=12,4+1,4+1),1)),'DRAFT 2'!$A:$A),"")</f>
        <v>0</v>
      </c>
      <c r="EA67">
        <f>COUNTIFS('DRAFT 2'!$D:$D,$B67,'DRAFT 2'!$A:$A,"&gt;="&amp;DATE(2026,4,1),'DRAFT 2'!$A:$A,"&lt;="&amp;DATE(2026,4,7))</f>
        <v>0</v>
      </c>
      <c r="EB67">
        <f>COUNTIFS('DRAFT 2'!$D:$D,$B67,'DRAFT 2'!$A:$A,"&gt;="&amp;DATE(2026,4,8),'DRAFT 2'!$A:$A,"&lt;="&amp;DATE(2026,4,14))</f>
        <v>0</v>
      </c>
      <c r="EC67">
        <f>COUNTIFS('DRAFT 2'!$D:$D,$B67,'DRAFT 2'!$A:$A,"&gt;="&amp;DATE(2026,4,15),'DRAFT 2'!$A:$A,"&lt;="&amp;DATE(2026,4,21))</f>
        <v>0</v>
      </c>
      <c r="ED67">
        <f>COUNTIFS('DRAFT 2'!$D:$D,$B67,'DRAFT 2'!$A:$A,"&gt;="&amp;DATE(2026,4,22),'DRAFT 2'!$A:$A,"&lt;"&amp;DATE(2026,IF(4=12,4+1,4+1),1))</f>
        <v>0</v>
      </c>
      <c r="EE67">
        <f t="shared" si="19"/>
        <v>0</v>
      </c>
      <c r="EO67">
        <f>IFERROR(LOOKUP(2,1/('DRAFT 2'!$D:$D=$B67)*('DRAFT 2'!$A:$A&gt;=DATE(2026,5,1))*('DRAFT 2'!$A:$A&lt;DATE(2026,IF(5=12,5+1,5+1),1)),'DRAFT 2'!$A:$A),"")</f>
        <v>0</v>
      </c>
      <c r="EP67">
        <f>COUNTIFS('DRAFT 2'!$D:$D,$B67,'DRAFT 2'!$A:$A,"&gt;="&amp;DATE(2026,5,1),'DRAFT 2'!$A:$A,"&lt;="&amp;DATE(2026,5,7))</f>
        <v>0</v>
      </c>
      <c r="EQ67">
        <f>COUNTIFS('DRAFT 2'!$D:$D,$B67,'DRAFT 2'!$A:$A,"&gt;="&amp;DATE(2026,5,8),'DRAFT 2'!$A:$A,"&lt;="&amp;DATE(2026,5,14))</f>
        <v>0</v>
      </c>
      <c r="ER67">
        <f>COUNTIFS('DRAFT 2'!$D:$D,$B67,'DRAFT 2'!$A:$A,"&gt;="&amp;DATE(2026,5,15),'DRAFT 2'!$A:$A,"&lt;="&amp;DATE(2026,5,21))</f>
        <v>0</v>
      </c>
      <c r="ES67">
        <f>COUNTIFS('DRAFT 2'!$D:$D,$B67,'DRAFT 2'!$A:$A,"&gt;="&amp;DATE(2026,5,22),'DRAFT 2'!$A:$A,"&lt;"&amp;DATE(2026,IF(5=12,5+1,5+1),1))</f>
        <v>0</v>
      </c>
      <c r="ET67">
        <f t="shared" si="20"/>
        <v>0</v>
      </c>
      <c r="FD67">
        <f>IFERROR(LOOKUP(2,1/('DRAFT 2'!$D:$D=$B67)*('DRAFT 2'!$A:$A&gt;=DATE(2026,6,1))*('DRAFT 2'!$A:$A&lt;DATE(2026,IF(6=12,6+1,6+1),1)),'DRAFT 2'!$A:$A),"")</f>
        <v>0</v>
      </c>
      <c r="FE67">
        <f>COUNTIFS('DRAFT 2'!$D:$D,$B67,'DRAFT 2'!$A:$A,"&gt;="&amp;DATE(2026,6,1),'DRAFT 2'!$A:$A,"&lt;="&amp;DATE(2026,6,7))</f>
        <v>0</v>
      </c>
      <c r="FF67">
        <f>COUNTIFS('DRAFT 2'!$D:$D,$B67,'DRAFT 2'!$A:$A,"&gt;="&amp;DATE(2026,6,8),'DRAFT 2'!$A:$A,"&lt;="&amp;DATE(2026,6,14))</f>
        <v>0</v>
      </c>
      <c r="FG67">
        <f>COUNTIFS('DRAFT 2'!$D:$D,$B67,'DRAFT 2'!$A:$A,"&gt;="&amp;DATE(2026,6,15),'DRAFT 2'!$A:$A,"&lt;="&amp;DATE(2026,6,21))</f>
        <v>0</v>
      </c>
      <c r="FH67">
        <f>COUNTIFS('DRAFT 2'!$D:$D,$B67,'DRAFT 2'!$A:$A,"&gt;="&amp;DATE(2026,6,22),'DRAFT 2'!$A:$A,"&lt;"&amp;DATE(2026,IF(6=12,6+1,6+1),1))</f>
        <v>0</v>
      </c>
      <c r="FI67">
        <f t="shared" si="21"/>
        <v>0</v>
      </c>
      <c r="FT67">
        <f>IFERROR(LOOKUP(2,1/('DRAFT 2'!$D:$D=$B67)*('DRAFT 2'!$A:$A&gt;=DATE(2026,7,1))*('DRAFT 2'!$A:$A&lt;DATE(2026,IF(7=12,7+1,7+1),1)),'DRAFT 2'!$A:$A),"")</f>
        <v>0</v>
      </c>
      <c r="FU67">
        <f>COUNTIFS('DRAFT 2'!$D:$D,$B67,'DRAFT 2'!$A:$A,"&gt;="&amp;DATE(2026,7,1),'DRAFT 2'!$A:$A,"&lt;="&amp;DATE(2026,7,7))</f>
        <v>0</v>
      </c>
      <c r="FV67">
        <f>COUNTIFS('DRAFT 2'!$D:$D,$B67,'DRAFT 2'!$A:$A,"&gt;="&amp;DATE(2026,7,8),'DRAFT 2'!$A:$A,"&lt;="&amp;DATE(2026,7,14))</f>
        <v>0</v>
      </c>
      <c r="FW67">
        <f>COUNTIFS('DRAFT 2'!$D:$D,$B67,'DRAFT 2'!$A:$A,"&gt;="&amp;DATE(2026,7,15),'DRAFT 2'!$A:$A,"&lt;="&amp;DATE(2026,7,21))</f>
        <v>0</v>
      </c>
      <c r="FX67">
        <f>COUNTIFS('DRAFT 2'!$D:$D,$B67,'DRAFT 2'!$A:$A,"&gt;="&amp;DATE(2026,7,22),'DRAFT 2'!$A:$A,"&lt;"&amp;DATE(2026,IF(7=12,7+1,7+1),1))</f>
        <v>0</v>
      </c>
      <c r="FY67">
        <f t="shared" si="22"/>
        <v>0</v>
      </c>
      <c r="GI67">
        <f>IFERROR(LOOKUP(2,1/('DRAFT 2'!$D:$D=$B67)*('DRAFT 2'!$A:$A&gt;=DATE(2026,8,1))*('DRAFT 2'!$A:$A&lt;DATE(2026,IF(8=12,8+1,8+1),1)),'DRAFT 2'!$A:$A),"")</f>
        <v>0</v>
      </c>
      <c r="GJ67">
        <f>COUNTIFS('DRAFT 2'!$D:$D,$B67,'DRAFT 2'!$A:$A,"&gt;="&amp;DATE(2026,8,1),'DRAFT 2'!$A:$A,"&lt;="&amp;DATE(2026,8,7))</f>
        <v>0</v>
      </c>
      <c r="GK67">
        <f>COUNTIFS('DRAFT 2'!$D:$D,$B67,'DRAFT 2'!$A:$A,"&gt;="&amp;DATE(2026,8,8),'DRAFT 2'!$A:$A,"&lt;="&amp;DATE(2026,8,14))</f>
        <v>0</v>
      </c>
      <c r="GL67">
        <f>COUNTIFS('DRAFT 2'!$D:$D,$B67,'DRAFT 2'!$A:$A,"&gt;="&amp;DATE(2026,8,15),'DRAFT 2'!$A:$A,"&lt;="&amp;DATE(2026,8,21))</f>
        <v>0</v>
      </c>
      <c r="GM67">
        <f>COUNTIFS('DRAFT 2'!$D:$D,$B67,'DRAFT 2'!$A:$A,"&gt;="&amp;DATE(2026,8,22),'DRAFT 2'!$A:$A,"&lt;"&amp;DATE(2026,IF(8=12,8+1,8+1),1))</f>
        <v>0</v>
      </c>
      <c r="GN67">
        <f t="shared" si="23"/>
        <v>0</v>
      </c>
      <c r="GX67">
        <f>IFERROR(LOOKUP(2,1/('DRAFT 2'!$D:$D=$B67)*('DRAFT 2'!$A:$A&gt;=DATE(2026,9,1))*('DRAFT 2'!$A:$A&lt;DATE(2026,IF(9=12,9+1,9+1),1)),'DRAFT 2'!$A:$A),"")</f>
        <v>0</v>
      </c>
      <c r="GY67">
        <f>COUNTIFS('DRAFT 2'!$D:$D,$B67,'DRAFT 2'!$A:$A,"&gt;="&amp;DATE(2026,9,1),'DRAFT 2'!$A:$A,"&lt;="&amp;DATE(2026,9,7))</f>
        <v>0</v>
      </c>
      <c r="GZ67">
        <f>COUNTIFS('DRAFT 2'!$D:$D,$B67,'DRAFT 2'!$A:$A,"&gt;="&amp;DATE(2026,9,8),'DRAFT 2'!$A:$A,"&lt;="&amp;DATE(2026,9,14))</f>
        <v>0</v>
      </c>
      <c r="HA67">
        <f>COUNTIFS('DRAFT 2'!$D:$D,$B67,'DRAFT 2'!$A:$A,"&gt;="&amp;DATE(2026,9,15),'DRAFT 2'!$A:$A,"&lt;="&amp;DATE(2026,9,21))</f>
        <v>0</v>
      </c>
      <c r="HB67">
        <f>COUNTIFS('DRAFT 2'!$D:$D,$B67,'DRAFT 2'!$A:$A,"&gt;="&amp;DATE(2026,9,22),'DRAFT 2'!$A:$A,"&lt;"&amp;DATE(2026,IF(9=12,9+1,9+1),1))</f>
        <v>0</v>
      </c>
      <c r="HC67">
        <f t="shared" si="24"/>
        <v>0</v>
      </c>
      <c r="HN67">
        <f>IFERROR(LOOKUP(2,1/('DRAFT 2'!$D:$D=$B67)*('DRAFT 2'!$A:$A&gt;=DATE(2026,10,1))*('DRAFT 2'!$A:$A&lt;DATE(2026,IF(10=12,10+1,10+1),1)),'DRAFT 2'!$A:$A),"")</f>
        <v>0</v>
      </c>
      <c r="HO67">
        <f>COUNTIFS('DRAFT 2'!$D:$D,$B67,'DRAFT 2'!$A:$A,"&gt;="&amp;DATE(2026,10,1),'DRAFT 2'!$A:$A,"&lt;="&amp;DATE(2026,10,7))</f>
        <v>0</v>
      </c>
      <c r="HP67">
        <f>COUNTIFS('DRAFT 2'!$D:$D,$B67,'DRAFT 2'!$A:$A,"&gt;="&amp;DATE(2026,10,8),'DRAFT 2'!$A:$A,"&lt;="&amp;DATE(2026,10,14))</f>
        <v>0</v>
      </c>
      <c r="HQ67">
        <f>COUNTIFS('DRAFT 2'!$D:$D,$B67,'DRAFT 2'!$A:$A,"&gt;="&amp;DATE(2026,10,15),'DRAFT 2'!$A:$A,"&lt;="&amp;DATE(2026,10,21))</f>
        <v>0</v>
      </c>
      <c r="HR67">
        <f>COUNTIFS('DRAFT 2'!$D:$D,$B67,'DRAFT 2'!$A:$A,"&gt;="&amp;DATE(2026,10,22),'DRAFT 2'!$A:$A,"&lt;"&amp;DATE(2026,IF(10=12,10+1,10+1),1))</f>
        <v>0</v>
      </c>
      <c r="HS67">
        <f t="shared" si="25"/>
        <v>0</v>
      </c>
      <c r="IC67">
        <f>IFERROR(LOOKUP(2,1/('DRAFT 2'!$D:$D=$B67)*('DRAFT 2'!$A:$A&gt;=DATE(2026,11,1))*('DRAFT 2'!$A:$A&lt;DATE(2026,IF(11=12,11+1,11+1),1)),'DRAFT 2'!$A:$A),"")</f>
        <v>0</v>
      </c>
      <c r="ID67">
        <f>COUNTIFS('DRAFT 2'!$D:$D,$B67,'DRAFT 2'!$A:$A,"&gt;="&amp;DATE(2026,11,1),'DRAFT 2'!$A:$A,"&lt;="&amp;DATE(2026,11,7))</f>
        <v>0</v>
      </c>
      <c r="IE67">
        <f>COUNTIFS('DRAFT 2'!$D:$D,$B67,'DRAFT 2'!$A:$A,"&gt;="&amp;DATE(2026,11,8),'DRAFT 2'!$A:$A,"&lt;="&amp;DATE(2026,11,14))</f>
        <v>0</v>
      </c>
      <c r="IF67">
        <f>COUNTIFS('DRAFT 2'!$D:$D,$B67,'DRAFT 2'!$A:$A,"&gt;="&amp;DATE(2026,11,15),'DRAFT 2'!$A:$A,"&lt;="&amp;DATE(2026,11,21))</f>
        <v>0</v>
      </c>
      <c r="IG67">
        <f>COUNTIFS('DRAFT 2'!$D:$D,$B67,'DRAFT 2'!$A:$A,"&gt;="&amp;DATE(2026,11,22),'DRAFT 2'!$A:$A,"&lt;"&amp;DATE(2026,IF(11=12,11+1,11+1),1))</f>
        <v>0</v>
      </c>
      <c r="IH67">
        <f t="shared" si="26"/>
        <v>0</v>
      </c>
      <c r="IR67">
        <f>IFERROR(LOOKUP(2,1/('DRAFT 2'!$D:$D=$B67)*('DRAFT 2'!$A:$A&gt;=DATE(2026,12,1))*('DRAFT 2'!$A:$A&lt;DATE(2026,IF(12=12,12+1,12+1),1)),'DRAFT 2'!$A:$A),"")</f>
        <v>0</v>
      </c>
      <c r="IS67">
        <f>COUNTIFS('DRAFT 2'!$D:$D,$B67,'DRAFT 2'!$A:$A,"&gt;="&amp;DATE(2026,12,1),'DRAFT 2'!$A:$A,"&lt;="&amp;DATE(2026,12,7))</f>
        <v>0</v>
      </c>
      <c r="IT67">
        <f>COUNTIFS('DRAFT 2'!$D:$D,$B67,'DRAFT 2'!$A:$A,"&gt;="&amp;DATE(2026,12,8),'DRAFT 2'!$A:$A,"&lt;="&amp;DATE(2026,12,14))</f>
        <v>0</v>
      </c>
      <c r="IU67">
        <f>COUNTIFS('DRAFT 2'!$D:$D,$B67,'DRAFT 2'!$A:$A,"&gt;="&amp;DATE(2026,12,15),'DRAFT 2'!$A:$A,"&lt;="&amp;DATE(2026,12,21))</f>
        <v>0</v>
      </c>
      <c r="IV67">
        <f>COUNTIFS('DRAFT 2'!$D:$D,$B67,'DRAFT 2'!$A:$A,"&gt;="&amp;DATE(2026,12,22),'DRAFT 2'!$A:$A,"&lt;"&amp;DATE(2026,IF(12=12,12+1,12+1),1))</f>
        <v>0</v>
      </c>
      <c r="IW67">
        <f t="shared" si="27"/>
        <v>0</v>
      </c>
    </row>
    <row r="68" spans="1:257" x14ac:dyDescent="0.3">
      <c r="A68" t="str">
        <f>IFERROR(INDEX('DRAFT 1'!$A:$A,MATCH($B68,'DRAFT 1'!$B:$B,0)),"")</f>
        <v/>
      </c>
      <c r="C68" t="str">
        <f>IFERROR(INDEX('DRAFT 1'!$C:$C,MATCH($B68,'DRAFT 1'!$B:$B,0)),"")</f>
        <v/>
      </c>
      <c r="D68" t="str">
        <f>IFERROR(INDEX('DRAFT 1'!$D:$D,MATCH($B68,'DRAFT 1'!$B:$B,0)),"")</f>
        <v/>
      </c>
      <c r="E68" t="str">
        <f>IFERROR(INDEX('DRAFT 1'!$E:$E,MATCH($B68,'DRAFT 1'!$B:$B,0)),"")</f>
        <v/>
      </c>
      <c r="F68" t="str">
        <f>IFERROR(INDEX('DRAFT 1'!$F:$F,MATCH($B68,'DRAFT 1'!$B:$B,0)),"")</f>
        <v/>
      </c>
      <c r="G68" t="str">
        <f>IFERROR(INDEX('DRAFT 1'!$G:$G,MATCH($B68,'DRAFT 1'!$B:$B,0)),"")</f>
        <v/>
      </c>
      <c r="H68" t="str">
        <f>IFERROR(INDEX('DRAFT 1'!$H:$H,MATCH($B68,'DRAFT 1'!$B:$B,0)),"")</f>
        <v/>
      </c>
      <c r="I68" t="s">
        <v>296</v>
      </c>
      <c r="K68" t="str">
        <f>IFERROR(INDEX('DRAFT 1'!$AL:$AL,MATCH($B68,'DRAFT 1'!$B:$B,0)),"")</f>
        <v/>
      </c>
      <c r="L68" t="str">
        <f>IFERROR(INDEX('DRAFT 1'!$J:$J,MATCH($B68,'DRAFT 1'!$B:$B,0)),"")</f>
        <v/>
      </c>
      <c r="M68" t="str">
        <f>IFERROR(INDEX('DRAFT 1'!$K:$K,MATCH($B68,'DRAFT 1'!$B:$B,0)),"")</f>
        <v/>
      </c>
      <c r="N68" t="s">
        <v>71</v>
      </c>
      <c r="P68" t="str">
        <f>IFERROR(INDEX('DRAFT 1'!$L:$L,MATCH($B68,'DRAFT 1'!$B:$B,0)),"")</f>
        <v/>
      </c>
      <c r="Q68" t="str">
        <f>IFERROR(INDEX('DRAFT 1'!$M:$M,MATCH($B68,'DRAFT 1'!$B:$B,0)),"")</f>
        <v/>
      </c>
      <c r="R68" t="str">
        <f>IFERROR(INDEX('DRAFT 1'!$N:$N,MATCH($B68,'DRAFT 1'!$B:$B,0)),"")</f>
        <v/>
      </c>
      <c r="S68" t="str">
        <f>IFERROR(INDEX('DRAFT 1'!$O:$O,MATCH($B68,'DRAFT 1'!$B:$B,0)),"")</f>
        <v/>
      </c>
      <c r="T68" t="str">
        <f>IFERROR(INDEX('DRAFT 1'!$P:$P,MATCH($B68,'DRAFT 1'!$B:$B,0)),"")</f>
        <v/>
      </c>
      <c r="U68" t="str">
        <f>IFERROR(INDEX('DRAFT 1'!$Q:$Q,MATCH($B68,'DRAFT 1'!$B:$B,0)),"")</f>
        <v/>
      </c>
      <c r="V68" t="str">
        <f>IFERROR(INDEX('DRAFT 1'!$R:$R,MATCH($B68,'DRAFT 1'!$B:$B,0)),"")</f>
        <v/>
      </c>
      <c r="W68" t="str">
        <f>IFERROR(INDEX('DRAFT 1'!$S:$S,MATCH($B68,'DRAFT 1'!$B:$B,0)),"")</f>
        <v/>
      </c>
      <c r="X68" t="str">
        <f>IFERROR(INDEX('DRAFT 1'!$T:$T,MATCH($B68,'DRAFT 1'!$B:$B,0)),"")</f>
        <v/>
      </c>
      <c r="Z68" t="str">
        <f>IFERROR(INDEX('DRAFT 1'!$U:$U,MATCH($B68,'DRAFT 1'!$B:$B,0)),"")</f>
        <v/>
      </c>
      <c r="AA68" t="str">
        <f>IFERROR(INDEX('DRAFT 1'!$V:$V,MATCH($B68,'DRAFT 1'!$B:$B,0)),"")</f>
        <v/>
      </c>
      <c r="AB68" t="str">
        <f>IFERROR(INDEX('DRAFT 1'!$W:$W,MATCH($B68,'DRAFT 1'!$B:$B,0)),"")</f>
        <v/>
      </c>
      <c r="AC68" t="str">
        <f>IFERROR(INDEX('DRAFT 1'!$X:$X,MATCH($B68,'DRAFT 1'!$B:$B,0)),"")</f>
        <v/>
      </c>
      <c r="AD68" t="str">
        <f>IFERROR(INDEX('DRAFT 1'!$Y:$Y,MATCH($B68,'DRAFT 1'!$B:$B,0)),"")</f>
        <v/>
      </c>
      <c r="AE68" t="str">
        <f>IFERROR(INDEX('DRAFT 1'!$Z:$Z,MATCH($B68,'DRAFT 1'!$B:$B,0)),"")</f>
        <v/>
      </c>
      <c r="AF68" t="str">
        <f>IFERROR(INDEX('DRAFT 1'!$AA:$AA,MATCH($B68,'DRAFT 1'!$B:$B,0)),"")</f>
        <v/>
      </c>
      <c r="AG68" t="str">
        <f>IFERROR(INDEX('DRAFT 1'!$AB:$AB,MATCH($B68,'DRAFT 1'!$B:$B,0)),"")</f>
        <v/>
      </c>
      <c r="AH68" t="str">
        <f>IFERROR(INDEX('DRAFT 1'!$AC:$AC,MATCH($B68,'DRAFT 1'!$B:$B,0)),"")</f>
        <v/>
      </c>
      <c r="AI68" t="str">
        <f>IFERROR(INDEX('DRAFT 1'!$AD:$AD,MATCH($B68,'DRAFT 1'!$B:$B,0)),"")</f>
        <v/>
      </c>
      <c r="AJ68" t="str">
        <f>IFERROR(INDEX('DRAFT 1'!$AE:$AE,MATCH($B68,'DRAFT 1'!$B:$B,0)),"")</f>
        <v/>
      </c>
      <c r="AK68" t="str">
        <f>IFERROR(INDEX('DRAFT 1'!$AG:$AG,MATCH($B68,'DRAFT 1'!$B:$B,0)),"")</f>
        <v/>
      </c>
      <c r="AL68" t="str">
        <f>IFERROR(INDEX('DRAFT 1'!$AH:$AH,MATCH($B68,'DRAFT 1'!$B:$B,0)),"")</f>
        <v/>
      </c>
      <c r="AM68" t="str">
        <f>IFERROR(INDEX('DRAFT 1'!$AI:$AI,MATCH($B68,'DRAFT 1'!$B:$B,0)),"")</f>
        <v/>
      </c>
      <c r="AN68" t="str">
        <f>IFERROR(INDEX('DRAFT 1'!$AJ:$AJ,MATCH($B68,'DRAFT 1'!$B:$B,0)),"")</f>
        <v/>
      </c>
      <c r="AO68">
        <f t="shared" ref="AO68:AO99" si="28">IFERROR(Y68/AN68,0)</f>
        <v>0</v>
      </c>
      <c r="AP68" t="str">
        <f>IFERROR(INDEX('DRAFT 1'!$AK:$AK,MATCH($B68,'DRAFT 1'!$B:$B,0)),"")</f>
        <v/>
      </c>
      <c r="AR68" t="s">
        <v>33</v>
      </c>
      <c r="AS68">
        <f>IFERROR(LOOKUP(2,1/('DRAFT 2'!$D:$D=$B68),'DRAFT 2'!$T:$T),"")</f>
        <v>0</v>
      </c>
      <c r="AT68">
        <f>IFERROR(LOOKUP(2,1/('DRAFT 2'!$D:$D=$B68),'DRAFT 2'!$A:$A),"")</f>
        <v>0</v>
      </c>
      <c r="AU68">
        <f>IFERROR(LOOKUP(2,1/('DRAFT 2'!$D:$D=$B68),'DRAFT 2'!$R:$R),"")</f>
        <v>0</v>
      </c>
      <c r="AV68">
        <f>IFERROR(LOOKUP(2,1/('DRAFT 2'!$D:$D=$B68),'DRAFT 2'!$S:$S),"")</f>
        <v>0</v>
      </c>
      <c r="AW68" t="s">
        <v>88</v>
      </c>
      <c r="AX68">
        <f>IFERROR(LOOKUP(2,1/('DRAFT 2'!$D:$D=$B68),'DRAFT 2'!$M:$M),"")</f>
        <v>0</v>
      </c>
      <c r="AY68">
        <f>IFERROR(LOOKUP(2,1/('DRAFT 2'!$D:$D=$B68),'DRAFT 2'!$K:$K),"")</f>
        <v>0</v>
      </c>
      <c r="BG68">
        <f>IFERROR(LOOKUP(2,1/('DRAFT 2'!$D:$D=$B68),'DRAFT 2'!$U:$U),"")</f>
        <v>0</v>
      </c>
      <c r="BH68">
        <f>IFERROR(LOOKUP(2,1/('DRAFT 2'!$D:$D=$B68),'DRAFT 2'!$V:$V),"")</f>
        <v>0</v>
      </c>
      <c r="CE68" t="str">
        <f t="shared" ref="CE68:CE99" si="29">IFERROR(AJ68,0)</f>
        <v/>
      </c>
      <c r="CF68">
        <f>IFERROR(LOOKUP(2,1/('DRAFT 2'!$D:$D=$B68)*('DRAFT 2'!$A:$A&gt;=DATE(2026,1,1))*('DRAFT 2'!$A:$A&lt;DATE(2026,IF(1=12,1+1,1+1),1)),'DRAFT 2'!$A:$A),"")</f>
        <v>0</v>
      </c>
      <c r="CG68">
        <f>COUNTIFS('DRAFT 2'!$D:$D,$B68,'DRAFT 2'!$A:$A,"&gt;="&amp;DATE(2026,1,1),'DRAFT 2'!$A:$A,"&lt;="&amp;DATE(2026,1,7))</f>
        <v>0</v>
      </c>
      <c r="CH68">
        <f>COUNTIFS('DRAFT 2'!$D:$D,$B68,'DRAFT 2'!$A:$A,"&gt;="&amp;DATE(2026,1,8),'DRAFT 2'!$A:$A,"&lt;="&amp;DATE(2026,1,14))</f>
        <v>0</v>
      </c>
      <c r="CI68">
        <f>COUNTIFS('DRAFT 2'!$D:$D,$B68,'DRAFT 2'!$A:$A,"&gt;="&amp;DATE(2026,1,15),'DRAFT 2'!$A:$A,"&lt;="&amp;DATE(2026,1,21))</f>
        <v>0</v>
      </c>
      <c r="CJ68">
        <f>COUNTIFS('DRAFT 2'!$D:$D,$B68,'DRAFT 2'!$A:$A,"&gt;="&amp;DATE(2026,1,22),'DRAFT 2'!$A:$A,"&lt;"&amp;DATE(2026,IF(1=12,1+1,1+1),1))</f>
        <v>0</v>
      </c>
      <c r="CK68">
        <f t="shared" ref="CK68:CK99" si="30">SUM(CG68:CJ68)</f>
        <v>0</v>
      </c>
      <c r="CT68">
        <v>0</v>
      </c>
      <c r="CU68">
        <f>IFERROR(LOOKUP(2,1/('DRAFT 2'!$D:$D=$B68)*('DRAFT 2'!$A:$A&gt;=DATE(2026,2,1))*('DRAFT 2'!$A:$A&lt;DATE(2026,IF(2=12,2+1,2+1),1)),'DRAFT 2'!$A:$A),"")</f>
        <v>0</v>
      </c>
      <c r="CV68">
        <f>COUNTIFS('DRAFT 2'!$D:$D,$B68,'DRAFT 2'!$A:$A,"&gt;="&amp;DATE(2026,2,1),'DRAFT 2'!$A:$A,"&lt;="&amp;DATE(2026,2,7))</f>
        <v>0</v>
      </c>
      <c r="CW68">
        <f>COUNTIFS('DRAFT 2'!$D:$D,$B68,'DRAFT 2'!$A:$A,"&gt;="&amp;DATE(2026,2,8),'DRAFT 2'!$A:$A,"&lt;="&amp;DATE(2026,2,14))</f>
        <v>0</v>
      </c>
      <c r="CX68">
        <f>COUNTIFS('DRAFT 2'!$D:$D,$B68,'DRAFT 2'!$A:$A,"&gt;="&amp;DATE(2026,2,15),'DRAFT 2'!$A:$A,"&lt;="&amp;DATE(2026,2,21))</f>
        <v>0</v>
      </c>
      <c r="CY68">
        <f>COUNTIFS('DRAFT 2'!$D:$D,$B68,'DRAFT 2'!$A:$A,"&gt;="&amp;DATE(2026,2,22),'DRAFT 2'!$A:$A,"&lt;"&amp;DATE(2026,IF(2=12,2+1,2+1),1))</f>
        <v>0</v>
      </c>
      <c r="CZ68">
        <f t="shared" ref="CZ68:CZ99" si="31">SUM(CV68:CY68)</f>
        <v>0</v>
      </c>
      <c r="DJ68">
        <f>IFERROR(LOOKUP(2,1/('DRAFT 2'!$D:$D=$B68)*('DRAFT 2'!$A:$A&gt;=DATE(2026,3,1))*('DRAFT 2'!$A:$A&lt;DATE(2026,IF(3=12,3+1,3+1),1)),'DRAFT 2'!$A:$A),"")</f>
        <v>0</v>
      </c>
      <c r="DK68">
        <f>COUNTIFS('DRAFT 2'!$D:$D,$B68,'DRAFT 2'!$A:$A,"&gt;="&amp;DATE(2026,3,1),'DRAFT 2'!$A:$A,"&lt;="&amp;DATE(2026,3,7))</f>
        <v>0</v>
      </c>
      <c r="DL68">
        <f>COUNTIFS('DRAFT 2'!$D:$D,$B68,'DRAFT 2'!$A:$A,"&gt;="&amp;DATE(2026,3,8),'DRAFT 2'!$A:$A,"&lt;="&amp;DATE(2026,3,14))</f>
        <v>0</v>
      </c>
      <c r="DM68">
        <f>COUNTIFS('DRAFT 2'!$D:$D,$B68,'DRAFT 2'!$A:$A,"&gt;="&amp;DATE(2026,3,15),'DRAFT 2'!$A:$A,"&lt;="&amp;DATE(2026,3,21))</f>
        <v>0</v>
      </c>
      <c r="DN68">
        <f>COUNTIFS('DRAFT 2'!$D:$D,$B68,'DRAFT 2'!$A:$A,"&gt;="&amp;DATE(2026,3,22),'DRAFT 2'!$A:$A,"&lt;"&amp;DATE(2026,IF(3=12,3+1,3+1),1))</f>
        <v>0</v>
      </c>
      <c r="DO68">
        <f t="shared" ref="DO68:DO99" si="32">SUM(DK68:DN68)</f>
        <v>0</v>
      </c>
      <c r="DZ68">
        <f>IFERROR(LOOKUP(2,1/('DRAFT 2'!$D:$D=$B68)*('DRAFT 2'!$A:$A&gt;=DATE(2026,4,1))*('DRAFT 2'!$A:$A&lt;DATE(2026,IF(4=12,4+1,4+1),1)),'DRAFT 2'!$A:$A),"")</f>
        <v>0</v>
      </c>
      <c r="EA68">
        <f>COUNTIFS('DRAFT 2'!$D:$D,$B68,'DRAFT 2'!$A:$A,"&gt;="&amp;DATE(2026,4,1),'DRAFT 2'!$A:$A,"&lt;="&amp;DATE(2026,4,7))</f>
        <v>0</v>
      </c>
      <c r="EB68">
        <f>COUNTIFS('DRAFT 2'!$D:$D,$B68,'DRAFT 2'!$A:$A,"&gt;="&amp;DATE(2026,4,8),'DRAFT 2'!$A:$A,"&lt;="&amp;DATE(2026,4,14))</f>
        <v>0</v>
      </c>
      <c r="EC68">
        <f>COUNTIFS('DRAFT 2'!$D:$D,$B68,'DRAFT 2'!$A:$A,"&gt;="&amp;DATE(2026,4,15),'DRAFT 2'!$A:$A,"&lt;="&amp;DATE(2026,4,21))</f>
        <v>0</v>
      </c>
      <c r="ED68">
        <f>COUNTIFS('DRAFT 2'!$D:$D,$B68,'DRAFT 2'!$A:$A,"&gt;="&amp;DATE(2026,4,22),'DRAFT 2'!$A:$A,"&lt;"&amp;DATE(2026,IF(4=12,4+1,4+1),1))</f>
        <v>0</v>
      </c>
      <c r="EE68">
        <f t="shared" ref="EE68:EE99" si="33">SUM(EA68:ED68)</f>
        <v>0</v>
      </c>
      <c r="EO68">
        <f>IFERROR(LOOKUP(2,1/('DRAFT 2'!$D:$D=$B68)*('DRAFT 2'!$A:$A&gt;=DATE(2026,5,1))*('DRAFT 2'!$A:$A&lt;DATE(2026,IF(5=12,5+1,5+1),1)),'DRAFT 2'!$A:$A),"")</f>
        <v>0</v>
      </c>
      <c r="EP68">
        <f>COUNTIFS('DRAFT 2'!$D:$D,$B68,'DRAFT 2'!$A:$A,"&gt;="&amp;DATE(2026,5,1),'DRAFT 2'!$A:$A,"&lt;="&amp;DATE(2026,5,7))</f>
        <v>0</v>
      </c>
      <c r="EQ68">
        <f>COUNTIFS('DRAFT 2'!$D:$D,$B68,'DRAFT 2'!$A:$A,"&gt;="&amp;DATE(2026,5,8),'DRAFT 2'!$A:$A,"&lt;="&amp;DATE(2026,5,14))</f>
        <v>0</v>
      </c>
      <c r="ER68">
        <f>COUNTIFS('DRAFT 2'!$D:$D,$B68,'DRAFT 2'!$A:$A,"&gt;="&amp;DATE(2026,5,15),'DRAFT 2'!$A:$A,"&lt;="&amp;DATE(2026,5,21))</f>
        <v>0</v>
      </c>
      <c r="ES68">
        <f>COUNTIFS('DRAFT 2'!$D:$D,$B68,'DRAFT 2'!$A:$A,"&gt;="&amp;DATE(2026,5,22),'DRAFT 2'!$A:$A,"&lt;"&amp;DATE(2026,IF(5=12,5+1,5+1),1))</f>
        <v>0</v>
      </c>
      <c r="ET68">
        <f t="shared" ref="ET68:ET99" si="34">SUM(EP68:ES68)</f>
        <v>0</v>
      </c>
      <c r="FD68">
        <f>IFERROR(LOOKUP(2,1/('DRAFT 2'!$D:$D=$B68)*('DRAFT 2'!$A:$A&gt;=DATE(2026,6,1))*('DRAFT 2'!$A:$A&lt;DATE(2026,IF(6=12,6+1,6+1),1)),'DRAFT 2'!$A:$A),"")</f>
        <v>0</v>
      </c>
      <c r="FE68">
        <f>COUNTIFS('DRAFT 2'!$D:$D,$B68,'DRAFT 2'!$A:$A,"&gt;="&amp;DATE(2026,6,1),'DRAFT 2'!$A:$A,"&lt;="&amp;DATE(2026,6,7))</f>
        <v>0</v>
      </c>
      <c r="FF68">
        <f>COUNTIFS('DRAFT 2'!$D:$D,$B68,'DRAFT 2'!$A:$A,"&gt;="&amp;DATE(2026,6,8),'DRAFT 2'!$A:$A,"&lt;="&amp;DATE(2026,6,14))</f>
        <v>0</v>
      </c>
      <c r="FG68">
        <f>COUNTIFS('DRAFT 2'!$D:$D,$B68,'DRAFT 2'!$A:$A,"&gt;="&amp;DATE(2026,6,15),'DRAFT 2'!$A:$A,"&lt;="&amp;DATE(2026,6,21))</f>
        <v>0</v>
      </c>
      <c r="FH68">
        <f>COUNTIFS('DRAFT 2'!$D:$D,$B68,'DRAFT 2'!$A:$A,"&gt;="&amp;DATE(2026,6,22),'DRAFT 2'!$A:$A,"&lt;"&amp;DATE(2026,IF(6=12,6+1,6+1),1))</f>
        <v>0</v>
      </c>
      <c r="FI68">
        <f t="shared" ref="FI68:FI99" si="35">SUM(FE68:FH68)</f>
        <v>0</v>
      </c>
      <c r="FT68">
        <f>IFERROR(LOOKUP(2,1/('DRAFT 2'!$D:$D=$B68)*('DRAFT 2'!$A:$A&gt;=DATE(2026,7,1))*('DRAFT 2'!$A:$A&lt;DATE(2026,IF(7=12,7+1,7+1),1)),'DRAFT 2'!$A:$A),"")</f>
        <v>0</v>
      </c>
      <c r="FU68">
        <f>COUNTIFS('DRAFT 2'!$D:$D,$B68,'DRAFT 2'!$A:$A,"&gt;="&amp;DATE(2026,7,1),'DRAFT 2'!$A:$A,"&lt;="&amp;DATE(2026,7,7))</f>
        <v>0</v>
      </c>
      <c r="FV68">
        <f>COUNTIFS('DRAFT 2'!$D:$D,$B68,'DRAFT 2'!$A:$A,"&gt;="&amp;DATE(2026,7,8),'DRAFT 2'!$A:$A,"&lt;="&amp;DATE(2026,7,14))</f>
        <v>0</v>
      </c>
      <c r="FW68">
        <f>COUNTIFS('DRAFT 2'!$D:$D,$B68,'DRAFT 2'!$A:$A,"&gt;="&amp;DATE(2026,7,15),'DRAFT 2'!$A:$A,"&lt;="&amp;DATE(2026,7,21))</f>
        <v>0</v>
      </c>
      <c r="FX68">
        <f>COUNTIFS('DRAFT 2'!$D:$D,$B68,'DRAFT 2'!$A:$A,"&gt;="&amp;DATE(2026,7,22),'DRAFT 2'!$A:$A,"&lt;"&amp;DATE(2026,IF(7=12,7+1,7+1),1))</f>
        <v>0</v>
      </c>
      <c r="FY68">
        <f t="shared" ref="FY68:FY99" si="36">SUM(FU68:FX68)</f>
        <v>0</v>
      </c>
      <c r="GI68">
        <f>IFERROR(LOOKUP(2,1/('DRAFT 2'!$D:$D=$B68)*('DRAFT 2'!$A:$A&gt;=DATE(2026,8,1))*('DRAFT 2'!$A:$A&lt;DATE(2026,IF(8=12,8+1,8+1),1)),'DRAFT 2'!$A:$A),"")</f>
        <v>0</v>
      </c>
      <c r="GJ68">
        <f>COUNTIFS('DRAFT 2'!$D:$D,$B68,'DRAFT 2'!$A:$A,"&gt;="&amp;DATE(2026,8,1),'DRAFT 2'!$A:$A,"&lt;="&amp;DATE(2026,8,7))</f>
        <v>0</v>
      </c>
      <c r="GK68">
        <f>COUNTIFS('DRAFT 2'!$D:$D,$B68,'DRAFT 2'!$A:$A,"&gt;="&amp;DATE(2026,8,8),'DRAFT 2'!$A:$A,"&lt;="&amp;DATE(2026,8,14))</f>
        <v>0</v>
      </c>
      <c r="GL68">
        <f>COUNTIFS('DRAFT 2'!$D:$D,$B68,'DRAFT 2'!$A:$A,"&gt;="&amp;DATE(2026,8,15),'DRAFT 2'!$A:$A,"&lt;="&amp;DATE(2026,8,21))</f>
        <v>0</v>
      </c>
      <c r="GM68">
        <f>COUNTIFS('DRAFT 2'!$D:$D,$B68,'DRAFT 2'!$A:$A,"&gt;="&amp;DATE(2026,8,22),'DRAFT 2'!$A:$A,"&lt;"&amp;DATE(2026,IF(8=12,8+1,8+1),1))</f>
        <v>0</v>
      </c>
      <c r="GN68">
        <f t="shared" ref="GN68:GN99" si="37">SUM(GJ68:GM68)</f>
        <v>0</v>
      </c>
      <c r="GX68">
        <f>IFERROR(LOOKUP(2,1/('DRAFT 2'!$D:$D=$B68)*('DRAFT 2'!$A:$A&gt;=DATE(2026,9,1))*('DRAFT 2'!$A:$A&lt;DATE(2026,IF(9=12,9+1,9+1),1)),'DRAFT 2'!$A:$A),"")</f>
        <v>0</v>
      </c>
      <c r="GY68">
        <f>COUNTIFS('DRAFT 2'!$D:$D,$B68,'DRAFT 2'!$A:$A,"&gt;="&amp;DATE(2026,9,1),'DRAFT 2'!$A:$A,"&lt;="&amp;DATE(2026,9,7))</f>
        <v>0</v>
      </c>
      <c r="GZ68">
        <f>COUNTIFS('DRAFT 2'!$D:$D,$B68,'DRAFT 2'!$A:$A,"&gt;="&amp;DATE(2026,9,8),'DRAFT 2'!$A:$A,"&lt;="&amp;DATE(2026,9,14))</f>
        <v>0</v>
      </c>
      <c r="HA68">
        <f>COUNTIFS('DRAFT 2'!$D:$D,$B68,'DRAFT 2'!$A:$A,"&gt;="&amp;DATE(2026,9,15),'DRAFT 2'!$A:$A,"&lt;="&amp;DATE(2026,9,21))</f>
        <v>0</v>
      </c>
      <c r="HB68">
        <f>COUNTIFS('DRAFT 2'!$D:$D,$B68,'DRAFT 2'!$A:$A,"&gt;="&amp;DATE(2026,9,22),'DRAFT 2'!$A:$A,"&lt;"&amp;DATE(2026,IF(9=12,9+1,9+1),1))</f>
        <v>0</v>
      </c>
      <c r="HC68">
        <f t="shared" ref="HC68:HC99" si="38">SUM(GY68:HB68)</f>
        <v>0</v>
      </c>
      <c r="HN68">
        <f>IFERROR(LOOKUP(2,1/('DRAFT 2'!$D:$D=$B68)*('DRAFT 2'!$A:$A&gt;=DATE(2026,10,1))*('DRAFT 2'!$A:$A&lt;DATE(2026,IF(10=12,10+1,10+1),1)),'DRAFT 2'!$A:$A),"")</f>
        <v>0</v>
      </c>
      <c r="HO68">
        <f>COUNTIFS('DRAFT 2'!$D:$D,$B68,'DRAFT 2'!$A:$A,"&gt;="&amp;DATE(2026,10,1),'DRAFT 2'!$A:$A,"&lt;="&amp;DATE(2026,10,7))</f>
        <v>0</v>
      </c>
      <c r="HP68">
        <f>COUNTIFS('DRAFT 2'!$D:$D,$B68,'DRAFT 2'!$A:$A,"&gt;="&amp;DATE(2026,10,8),'DRAFT 2'!$A:$A,"&lt;="&amp;DATE(2026,10,14))</f>
        <v>0</v>
      </c>
      <c r="HQ68">
        <f>COUNTIFS('DRAFT 2'!$D:$D,$B68,'DRAFT 2'!$A:$A,"&gt;="&amp;DATE(2026,10,15),'DRAFT 2'!$A:$A,"&lt;="&amp;DATE(2026,10,21))</f>
        <v>0</v>
      </c>
      <c r="HR68">
        <f>COUNTIFS('DRAFT 2'!$D:$D,$B68,'DRAFT 2'!$A:$A,"&gt;="&amp;DATE(2026,10,22),'DRAFT 2'!$A:$A,"&lt;"&amp;DATE(2026,IF(10=12,10+1,10+1),1))</f>
        <v>0</v>
      </c>
      <c r="HS68">
        <f t="shared" ref="HS68:HS99" si="39">SUM(HO68:HR68)</f>
        <v>0</v>
      </c>
      <c r="IC68">
        <f>IFERROR(LOOKUP(2,1/('DRAFT 2'!$D:$D=$B68)*('DRAFT 2'!$A:$A&gt;=DATE(2026,11,1))*('DRAFT 2'!$A:$A&lt;DATE(2026,IF(11=12,11+1,11+1),1)),'DRAFT 2'!$A:$A),"")</f>
        <v>0</v>
      </c>
      <c r="ID68">
        <f>COUNTIFS('DRAFT 2'!$D:$D,$B68,'DRAFT 2'!$A:$A,"&gt;="&amp;DATE(2026,11,1),'DRAFT 2'!$A:$A,"&lt;="&amp;DATE(2026,11,7))</f>
        <v>0</v>
      </c>
      <c r="IE68">
        <f>COUNTIFS('DRAFT 2'!$D:$D,$B68,'DRAFT 2'!$A:$A,"&gt;="&amp;DATE(2026,11,8),'DRAFT 2'!$A:$A,"&lt;="&amp;DATE(2026,11,14))</f>
        <v>0</v>
      </c>
      <c r="IF68">
        <f>COUNTIFS('DRAFT 2'!$D:$D,$B68,'DRAFT 2'!$A:$A,"&gt;="&amp;DATE(2026,11,15),'DRAFT 2'!$A:$A,"&lt;="&amp;DATE(2026,11,21))</f>
        <v>0</v>
      </c>
      <c r="IG68">
        <f>COUNTIFS('DRAFT 2'!$D:$D,$B68,'DRAFT 2'!$A:$A,"&gt;="&amp;DATE(2026,11,22),'DRAFT 2'!$A:$A,"&lt;"&amp;DATE(2026,IF(11=12,11+1,11+1),1))</f>
        <v>0</v>
      </c>
      <c r="IH68">
        <f t="shared" ref="IH68:IH99" si="40">SUM(ID68:IG68)</f>
        <v>0</v>
      </c>
      <c r="IR68">
        <f>IFERROR(LOOKUP(2,1/('DRAFT 2'!$D:$D=$B68)*('DRAFT 2'!$A:$A&gt;=DATE(2026,12,1))*('DRAFT 2'!$A:$A&lt;DATE(2026,IF(12=12,12+1,12+1),1)),'DRAFT 2'!$A:$A),"")</f>
        <v>0</v>
      </c>
      <c r="IS68">
        <f>COUNTIFS('DRAFT 2'!$D:$D,$B68,'DRAFT 2'!$A:$A,"&gt;="&amp;DATE(2026,12,1),'DRAFT 2'!$A:$A,"&lt;="&amp;DATE(2026,12,7))</f>
        <v>0</v>
      </c>
      <c r="IT68">
        <f>COUNTIFS('DRAFT 2'!$D:$D,$B68,'DRAFT 2'!$A:$A,"&gt;="&amp;DATE(2026,12,8),'DRAFT 2'!$A:$A,"&lt;="&amp;DATE(2026,12,14))</f>
        <v>0</v>
      </c>
      <c r="IU68">
        <f>COUNTIFS('DRAFT 2'!$D:$D,$B68,'DRAFT 2'!$A:$A,"&gt;="&amp;DATE(2026,12,15),'DRAFT 2'!$A:$A,"&lt;="&amp;DATE(2026,12,21))</f>
        <v>0</v>
      </c>
      <c r="IV68">
        <f>COUNTIFS('DRAFT 2'!$D:$D,$B68,'DRAFT 2'!$A:$A,"&gt;="&amp;DATE(2026,12,22),'DRAFT 2'!$A:$A,"&lt;"&amp;DATE(2026,IF(12=12,12+1,12+1),1))</f>
        <v>0</v>
      </c>
      <c r="IW68">
        <f t="shared" ref="IW68:IW99" si="41">SUM(IS68:IV68)</f>
        <v>0</v>
      </c>
    </row>
    <row r="69" spans="1:257" x14ac:dyDescent="0.3">
      <c r="A69" t="str">
        <f>IFERROR(INDEX('DRAFT 1'!$A:$A,MATCH($B69,'DRAFT 1'!$B:$B,0)),"")</f>
        <v/>
      </c>
      <c r="C69" t="str">
        <f>IFERROR(INDEX('DRAFT 1'!$C:$C,MATCH($B69,'DRAFT 1'!$B:$B,0)),"")</f>
        <v/>
      </c>
      <c r="D69" t="str">
        <f>IFERROR(INDEX('DRAFT 1'!$D:$D,MATCH($B69,'DRAFT 1'!$B:$B,0)),"")</f>
        <v/>
      </c>
      <c r="E69" t="str">
        <f>IFERROR(INDEX('DRAFT 1'!$E:$E,MATCH($B69,'DRAFT 1'!$B:$B,0)),"")</f>
        <v/>
      </c>
      <c r="F69" t="str">
        <f>IFERROR(INDEX('DRAFT 1'!$F:$F,MATCH($B69,'DRAFT 1'!$B:$B,0)),"")</f>
        <v/>
      </c>
      <c r="G69" t="str">
        <f>IFERROR(INDEX('DRAFT 1'!$G:$G,MATCH($B69,'DRAFT 1'!$B:$B,0)),"")</f>
        <v/>
      </c>
      <c r="H69" t="str">
        <f>IFERROR(INDEX('DRAFT 1'!$H:$H,MATCH($B69,'DRAFT 1'!$B:$B,0)),"")</f>
        <v/>
      </c>
      <c r="I69" t="s">
        <v>296</v>
      </c>
      <c r="K69" t="str">
        <f>IFERROR(INDEX('DRAFT 1'!$AL:$AL,MATCH($B69,'DRAFT 1'!$B:$B,0)),"")</f>
        <v/>
      </c>
      <c r="L69" t="str">
        <f>IFERROR(INDEX('DRAFT 1'!$J:$J,MATCH($B69,'DRAFT 1'!$B:$B,0)),"")</f>
        <v/>
      </c>
      <c r="M69" t="str">
        <f>IFERROR(INDEX('DRAFT 1'!$K:$K,MATCH($B69,'DRAFT 1'!$B:$B,0)),"")</f>
        <v/>
      </c>
      <c r="N69" t="s">
        <v>79</v>
      </c>
      <c r="P69" t="str">
        <f>IFERROR(INDEX('DRAFT 1'!$L:$L,MATCH($B69,'DRAFT 1'!$B:$B,0)),"")</f>
        <v/>
      </c>
      <c r="Q69" t="str">
        <f>IFERROR(INDEX('DRAFT 1'!$M:$M,MATCH($B69,'DRAFT 1'!$B:$B,0)),"")</f>
        <v/>
      </c>
      <c r="R69" t="str">
        <f>IFERROR(INDEX('DRAFT 1'!$N:$N,MATCH($B69,'DRAFT 1'!$B:$B,0)),"")</f>
        <v/>
      </c>
      <c r="S69" t="str">
        <f>IFERROR(INDEX('DRAFT 1'!$O:$O,MATCH($B69,'DRAFT 1'!$B:$B,0)),"")</f>
        <v/>
      </c>
      <c r="T69" t="str">
        <f>IFERROR(INDEX('DRAFT 1'!$P:$P,MATCH($B69,'DRAFT 1'!$B:$B,0)),"")</f>
        <v/>
      </c>
      <c r="U69" t="str">
        <f>IFERROR(INDEX('DRAFT 1'!$Q:$Q,MATCH($B69,'DRAFT 1'!$B:$B,0)),"")</f>
        <v/>
      </c>
      <c r="V69" t="str">
        <f>IFERROR(INDEX('DRAFT 1'!$R:$R,MATCH($B69,'DRAFT 1'!$B:$B,0)),"")</f>
        <v/>
      </c>
      <c r="W69" t="str">
        <f>IFERROR(INDEX('DRAFT 1'!$S:$S,MATCH($B69,'DRAFT 1'!$B:$B,0)),"")</f>
        <v/>
      </c>
      <c r="X69" t="str">
        <f>IFERROR(INDEX('DRAFT 1'!$T:$T,MATCH($B69,'DRAFT 1'!$B:$B,0)),"")</f>
        <v/>
      </c>
      <c r="Z69" t="str">
        <f>IFERROR(INDEX('DRAFT 1'!$U:$U,MATCH($B69,'DRAFT 1'!$B:$B,0)),"")</f>
        <v/>
      </c>
      <c r="AA69" t="str">
        <f>IFERROR(INDEX('DRAFT 1'!$V:$V,MATCH($B69,'DRAFT 1'!$B:$B,0)),"")</f>
        <v/>
      </c>
      <c r="AB69" t="str">
        <f>IFERROR(INDEX('DRAFT 1'!$W:$W,MATCH($B69,'DRAFT 1'!$B:$B,0)),"")</f>
        <v/>
      </c>
      <c r="AC69" t="str">
        <f>IFERROR(INDEX('DRAFT 1'!$X:$X,MATCH($B69,'DRAFT 1'!$B:$B,0)),"")</f>
        <v/>
      </c>
      <c r="AD69" t="str">
        <f>IFERROR(INDEX('DRAFT 1'!$Y:$Y,MATCH($B69,'DRAFT 1'!$B:$B,0)),"")</f>
        <v/>
      </c>
      <c r="AE69" t="str">
        <f>IFERROR(INDEX('DRAFT 1'!$Z:$Z,MATCH($B69,'DRAFT 1'!$B:$B,0)),"")</f>
        <v/>
      </c>
      <c r="AF69" t="str">
        <f>IFERROR(INDEX('DRAFT 1'!$AA:$AA,MATCH($B69,'DRAFT 1'!$B:$B,0)),"")</f>
        <v/>
      </c>
      <c r="AG69" t="str">
        <f>IFERROR(INDEX('DRAFT 1'!$AB:$AB,MATCH($B69,'DRAFT 1'!$B:$B,0)),"")</f>
        <v/>
      </c>
      <c r="AH69" t="str">
        <f>IFERROR(INDEX('DRAFT 1'!$AC:$AC,MATCH($B69,'DRAFT 1'!$B:$B,0)),"")</f>
        <v/>
      </c>
      <c r="AI69" t="str">
        <f>IFERROR(INDEX('DRAFT 1'!$AD:$AD,MATCH($B69,'DRAFT 1'!$B:$B,0)),"")</f>
        <v/>
      </c>
      <c r="AJ69" t="str">
        <f>IFERROR(INDEX('DRAFT 1'!$AE:$AE,MATCH($B69,'DRAFT 1'!$B:$B,0)),"")</f>
        <v/>
      </c>
      <c r="AK69" t="str">
        <f>IFERROR(INDEX('DRAFT 1'!$AG:$AG,MATCH($B69,'DRAFT 1'!$B:$B,0)),"")</f>
        <v/>
      </c>
      <c r="AL69" t="str">
        <f>IFERROR(INDEX('DRAFT 1'!$AH:$AH,MATCH($B69,'DRAFT 1'!$B:$B,0)),"")</f>
        <v/>
      </c>
      <c r="AM69" t="str">
        <f>IFERROR(INDEX('DRAFT 1'!$AI:$AI,MATCH($B69,'DRAFT 1'!$B:$B,0)),"")</f>
        <v/>
      </c>
      <c r="AN69" t="str">
        <f>IFERROR(INDEX('DRAFT 1'!$AJ:$AJ,MATCH($B69,'DRAFT 1'!$B:$B,0)),"")</f>
        <v/>
      </c>
      <c r="AO69">
        <f t="shared" si="28"/>
        <v>0</v>
      </c>
      <c r="AP69" t="str">
        <f>IFERROR(INDEX('DRAFT 1'!$AK:$AK,MATCH($B69,'DRAFT 1'!$B:$B,0)),"")</f>
        <v/>
      </c>
      <c r="AR69" t="s">
        <v>92</v>
      </c>
      <c r="AS69">
        <f>IFERROR(LOOKUP(2,1/('DRAFT 2'!$D:$D=$B69),'DRAFT 2'!$T:$T),"")</f>
        <v>0</v>
      </c>
      <c r="AT69">
        <f>IFERROR(LOOKUP(2,1/('DRAFT 2'!$D:$D=$B69),'DRAFT 2'!$A:$A),"")</f>
        <v>0</v>
      </c>
      <c r="AU69">
        <f>IFERROR(LOOKUP(2,1/('DRAFT 2'!$D:$D=$B69),'DRAFT 2'!$R:$R),"")</f>
        <v>0</v>
      </c>
      <c r="AV69">
        <f>IFERROR(LOOKUP(2,1/('DRAFT 2'!$D:$D=$B69),'DRAFT 2'!$S:$S),"")</f>
        <v>0</v>
      </c>
      <c r="AW69" t="s">
        <v>130</v>
      </c>
      <c r="AX69">
        <f>IFERROR(LOOKUP(2,1/('DRAFT 2'!$D:$D=$B69),'DRAFT 2'!$M:$M),"")</f>
        <v>0</v>
      </c>
      <c r="AY69">
        <f>IFERROR(LOOKUP(2,1/('DRAFT 2'!$D:$D=$B69),'DRAFT 2'!$K:$K),"")</f>
        <v>0</v>
      </c>
      <c r="BG69">
        <f>IFERROR(LOOKUP(2,1/('DRAFT 2'!$D:$D=$B69),'DRAFT 2'!$U:$U),"")</f>
        <v>0</v>
      </c>
      <c r="BH69">
        <f>IFERROR(LOOKUP(2,1/('DRAFT 2'!$D:$D=$B69),'DRAFT 2'!$V:$V),"")</f>
        <v>0</v>
      </c>
      <c r="CE69" t="str">
        <f t="shared" si="29"/>
        <v/>
      </c>
      <c r="CF69">
        <f>IFERROR(LOOKUP(2,1/('DRAFT 2'!$D:$D=$B69)*('DRAFT 2'!$A:$A&gt;=DATE(2026,1,1))*('DRAFT 2'!$A:$A&lt;DATE(2026,IF(1=12,1+1,1+1),1)),'DRAFT 2'!$A:$A),"")</f>
        <v>0</v>
      </c>
      <c r="CG69">
        <f>COUNTIFS('DRAFT 2'!$D:$D,$B69,'DRAFT 2'!$A:$A,"&gt;="&amp;DATE(2026,1,1),'DRAFT 2'!$A:$A,"&lt;="&amp;DATE(2026,1,7))</f>
        <v>0</v>
      </c>
      <c r="CH69">
        <f>COUNTIFS('DRAFT 2'!$D:$D,$B69,'DRAFT 2'!$A:$A,"&gt;="&amp;DATE(2026,1,8),'DRAFT 2'!$A:$A,"&lt;="&amp;DATE(2026,1,14))</f>
        <v>0</v>
      </c>
      <c r="CI69">
        <f>COUNTIFS('DRAFT 2'!$D:$D,$B69,'DRAFT 2'!$A:$A,"&gt;="&amp;DATE(2026,1,15),'DRAFT 2'!$A:$A,"&lt;="&amp;DATE(2026,1,21))</f>
        <v>0</v>
      </c>
      <c r="CJ69">
        <f>COUNTIFS('DRAFT 2'!$D:$D,$B69,'DRAFT 2'!$A:$A,"&gt;="&amp;DATE(2026,1,22),'DRAFT 2'!$A:$A,"&lt;"&amp;DATE(2026,IF(1=12,1+1,1+1),1))</f>
        <v>0</v>
      </c>
      <c r="CK69">
        <f t="shared" si="30"/>
        <v>0</v>
      </c>
      <c r="CT69">
        <v>0</v>
      </c>
      <c r="CU69">
        <f>IFERROR(LOOKUP(2,1/('DRAFT 2'!$D:$D=$B69)*('DRAFT 2'!$A:$A&gt;=DATE(2026,2,1))*('DRAFT 2'!$A:$A&lt;DATE(2026,IF(2=12,2+1,2+1),1)),'DRAFT 2'!$A:$A),"")</f>
        <v>0</v>
      </c>
      <c r="CV69">
        <f>COUNTIFS('DRAFT 2'!$D:$D,$B69,'DRAFT 2'!$A:$A,"&gt;="&amp;DATE(2026,2,1),'DRAFT 2'!$A:$A,"&lt;="&amp;DATE(2026,2,7))</f>
        <v>0</v>
      </c>
      <c r="CW69">
        <f>COUNTIFS('DRAFT 2'!$D:$D,$B69,'DRAFT 2'!$A:$A,"&gt;="&amp;DATE(2026,2,8),'DRAFT 2'!$A:$A,"&lt;="&amp;DATE(2026,2,14))</f>
        <v>0</v>
      </c>
      <c r="CX69">
        <f>COUNTIFS('DRAFT 2'!$D:$D,$B69,'DRAFT 2'!$A:$A,"&gt;="&amp;DATE(2026,2,15),'DRAFT 2'!$A:$A,"&lt;="&amp;DATE(2026,2,21))</f>
        <v>0</v>
      </c>
      <c r="CY69">
        <f>COUNTIFS('DRAFT 2'!$D:$D,$B69,'DRAFT 2'!$A:$A,"&gt;="&amp;DATE(2026,2,22),'DRAFT 2'!$A:$A,"&lt;"&amp;DATE(2026,IF(2=12,2+1,2+1),1))</f>
        <v>0</v>
      </c>
      <c r="CZ69">
        <f t="shared" si="31"/>
        <v>0</v>
      </c>
      <c r="DJ69">
        <f>IFERROR(LOOKUP(2,1/('DRAFT 2'!$D:$D=$B69)*('DRAFT 2'!$A:$A&gt;=DATE(2026,3,1))*('DRAFT 2'!$A:$A&lt;DATE(2026,IF(3=12,3+1,3+1),1)),'DRAFT 2'!$A:$A),"")</f>
        <v>0</v>
      </c>
      <c r="DK69">
        <f>COUNTIFS('DRAFT 2'!$D:$D,$B69,'DRAFT 2'!$A:$A,"&gt;="&amp;DATE(2026,3,1),'DRAFT 2'!$A:$A,"&lt;="&amp;DATE(2026,3,7))</f>
        <v>0</v>
      </c>
      <c r="DL69">
        <f>COUNTIFS('DRAFT 2'!$D:$D,$B69,'DRAFT 2'!$A:$A,"&gt;="&amp;DATE(2026,3,8),'DRAFT 2'!$A:$A,"&lt;="&amp;DATE(2026,3,14))</f>
        <v>0</v>
      </c>
      <c r="DM69">
        <f>COUNTIFS('DRAFT 2'!$D:$D,$B69,'DRAFT 2'!$A:$A,"&gt;="&amp;DATE(2026,3,15),'DRAFT 2'!$A:$A,"&lt;="&amp;DATE(2026,3,21))</f>
        <v>0</v>
      </c>
      <c r="DN69">
        <f>COUNTIFS('DRAFT 2'!$D:$D,$B69,'DRAFT 2'!$A:$A,"&gt;="&amp;DATE(2026,3,22),'DRAFT 2'!$A:$A,"&lt;"&amp;DATE(2026,IF(3=12,3+1,3+1),1))</f>
        <v>0</v>
      </c>
      <c r="DO69">
        <f t="shared" si="32"/>
        <v>0</v>
      </c>
      <c r="DZ69">
        <f>IFERROR(LOOKUP(2,1/('DRAFT 2'!$D:$D=$B69)*('DRAFT 2'!$A:$A&gt;=DATE(2026,4,1))*('DRAFT 2'!$A:$A&lt;DATE(2026,IF(4=12,4+1,4+1),1)),'DRAFT 2'!$A:$A),"")</f>
        <v>0</v>
      </c>
      <c r="EA69">
        <f>COUNTIFS('DRAFT 2'!$D:$D,$B69,'DRAFT 2'!$A:$A,"&gt;="&amp;DATE(2026,4,1),'DRAFT 2'!$A:$A,"&lt;="&amp;DATE(2026,4,7))</f>
        <v>0</v>
      </c>
      <c r="EB69">
        <f>COUNTIFS('DRAFT 2'!$D:$D,$B69,'DRAFT 2'!$A:$A,"&gt;="&amp;DATE(2026,4,8),'DRAFT 2'!$A:$A,"&lt;="&amp;DATE(2026,4,14))</f>
        <v>0</v>
      </c>
      <c r="EC69">
        <f>COUNTIFS('DRAFT 2'!$D:$D,$B69,'DRAFT 2'!$A:$A,"&gt;="&amp;DATE(2026,4,15),'DRAFT 2'!$A:$A,"&lt;="&amp;DATE(2026,4,21))</f>
        <v>0</v>
      </c>
      <c r="ED69">
        <f>COUNTIFS('DRAFT 2'!$D:$D,$B69,'DRAFT 2'!$A:$A,"&gt;="&amp;DATE(2026,4,22),'DRAFT 2'!$A:$A,"&lt;"&amp;DATE(2026,IF(4=12,4+1,4+1),1))</f>
        <v>0</v>
      </c>
      <c r="EE69">
        <f t="shared" si="33"/>
        <v>0</v>
      </c>
      <c r="EO69">
        <f>IFERROR(LOOKUP(2,1/('DRAFT 2'!$D:$D=$B69)*('DRAFT 2'!$A:$A&gt;=DATE(2026,5,1))*('DRAFT 2'!$A:$A&lt;DATE(2026,IF(5=12,5+1,5+1),1)),'DRAFT 2'!$A:$A),"")</f>
        <v>0</v>
      </c>
      <c r="EP69">
        <f>COUNTIFS('DRAFT 2'!$D:$D,$B69,'DRAFT 2'!$A:$A,"&gt;="&amp;DATE(2026,5,1),'DRAFT 2'!$A:$A,"&lt;="&amp;DATE(2026,5,7))</f>
        <v>0</v>
      </c>
      <c r="EQ69">
        <f>COUNTIFS('DRAFT 2'!$D:$D,$B69,'DRAFT 2'!$A:$A,"&gt;="&amp;DATE(2026,5,8),'DRAFT 2'!$A:$A,"&lt;="&amp;DATE(2026,5,14))</f>
        <v>0</v>
      </c>
      <c r="ER69">
        <f>COUNTIFS('DRAFT 2'!$D:$D,$B69,'DRAFT 2'!$A:$A,"&gt;="&amp;DATE(2026,5,15),'DRAFT 2'!$A:$A,"&lt;="&amp;DATE(2026,5,21))</f>
        <v>0</v>
      </c>
      <c r="ES69">
        <f>COUNTIFS('DRAFT 2'!$D:$D,$B69,'DRAFT 2'!$A:$A,"&gt;="&amp;DATE(2026,5,22),'DRAFT 2'!$A:$A,"&lt;"&amp;DATE(2026,IF(5=12,5+1,5+1),1))</f>
        <v>0</v>
      </c>
      <c r="ET69">
        <f t="shared" si="34"/>
        <v>0</v>
      </c>
      <c r="FD69">
        <f>IFERROR(LOOKUP(2,1/('DRAFT 2'!$D:$D=$B69)*('DRAFT 2'!$A:$A&gt;=DATE(2026,6,1))*('DRAFT 2'!$A:$A&lt;DATE(2026,IF(6=12,6+1,6+1),1)),'DRAFT 2'!$A:$A),"")</f>
        <v>0</v>
      </c>
      <c r="FE69">
        <f>COUNTIFS('DRAFT 2'!$D:$D,$B69,'DRAFT 2'!$A:$A,"&gt;="&amp;DATE(2026,6,1),'DRAFT 2'!$A:$A,"&lt;="&amp;DATE(2026,6,7))</f>
        <v>0</v>
      </c>
      <c r="FF69">
        <f>COUNTIFS('DRAFT 2'!$D:$D,$B69,'DRAFT 2'!$A:$A,"&gt;="&amp;DATE(2026,6,8),'DRAFT 2'!$A:$A,"&lt;="&amp;DATE(2026,6,14))</f>
        <v>0</v>
      </c>
      <c r="FG69">
        <f>COUNTIFS('DRAFT 2'!$D:$D,$B69,'DRAFT 2'!$A:$A,"&gt;="&amp;DATE(2026,6,15),'DRAFT 2'!$A:$A,"&lt;="&amp;DATE(2026,6,21))</f>
        <v>0</v>
      </c>
      <c r="FH69">
        <f>COUNTIFS('DRAFT 2'!$D:$D,$B69,'DRAFT 2'!$A:$A,"&gt;="&amp;DATE(2026,6,22),'DRAFT 2'!$A:$A,"&lt;"&amp;DATE(2026,IF(6=12,6+1,6+1),1))</f>
        <v>0</v>
      </c>
      <c r="FI69">
        <f t="shared" si="35"/>
        <v>0</v>
      </c>
      <c r="FT69">
        <f>IFERROR(LOOKUP(2,1/('DRAFT 2'!$D:$D=$B69)*('DRAFT 2'!$A:$A&gt;=DATE(2026,7,1))*('DRAFT 2'!$A:$A&lt;DATE(2026,IF(7=12,7+1,7+1),1)),'DRAFT 2'!$A:$A),"")</f>
        <v>0</v>
      </c>
      <c r="FU69">
        <f>COUNTIFS('DRAFT 2'!$D:$D,$B69,'DRAFT 2'!$A:$A,"&gt;="&amp;DATE(2026,7,1),'DRAFT 2'!$A:$A,"&lt;="&amp;DATE(2026,7,7))</f>
        <v>0</v>
      </c>
      <c r="FV69">
        <f>COUNTIFS('DRAFT 2'!$D:$D,$B69,'DRAFT 2'!$A:$A,"&gt;="&amp;DATE(2026,7,8),'DRAFT 2'!$A:$A,"&lt;="&amp;DATE(2026,7,14))</f>
        <v>0</v>
      </c>
      <c r="FW69">
        <f>COUNTIFS('DRAFT 2'!$D:$D,$B69,'DRAFT 2'!$A:$A,"&gt;="&amp;DATE(2026,7,15),'DRAFT 2'!$A:$A,"&lt;="&amp;DATE(2026,7,21))</f>
        <v>0</v>
      </c>
      <c r="FX69">
        <f>COUNTIFS('DRAFT 2'!$D:$D,$B69,'DRAFT 2'!$A:$A,"&gt;="&amp;DATE(2026,7,22),'DRAFT 2'!$A:$A,"&lt;"&amp;DATE(2026,IF(7=12,7+1,7+1),1))</f>
        <v>0</v>
      </c>
      <c r="FY69">
        <f t="shared" si="36"/>
        <v>0</v>
      </c>
      <c r="GI69">
        <f>IFERROR(LOOKUP(2,1/('DRAFT 2'!$D:$D=$B69)*('DRAFT 2'!$A:$A&gt;=DATE(2026,8,1))*('DRAFT 2'!$A:$A&lt;DATE(2026,IF(8=12,8+1,8+1),1)),'DRAFT 2'!$A:$A),"")</f>
        <v>0</v>
      </c>
      <c r="GJ69">
        <f>COUNTIFS('DRAFT 2'!$D:$D,$B69,'DRAFT 2'!$A:$A,"&gt;="&amp;DATE(2026,8,1),'DRAFT 2'!$A:$A,"&lt;="&amp;DATE(2026,8,7))</f>
        <v>0</v>
      </c>
      <c r="GK69">
        <f>COUNTIFS('DRAFT 2'!$D:$D,$B69,'DRAFT 2'!$A:$A,"&gt;="&amp;DATE(2026,8,8),'DRAFT 2'!$A:$A,"&lt;="&amp;DATE(2026,8,14))</f>
        <v>0</v>
      </c>
      <c r="GL69">
        <f>COUNTIFS('DRAFT 2'!$D:$D,$B69,'DRAFT 2'!$A:$A,"&gt;="&amp;DATE(2026,8,15),'DRAFT 2'!$A:$A,"&lt;="&amp;DATE(2026,8,21))</f>
        <v>0</v>
      </c>
      <c r="GM69">
        <f>COUNTIFS('DRAFT 2'!$D:$D,$B69,'DRAFT 2'!$A:$A,"&gt;="&amp;DATE(2026,8,22),'DRAFT 2'!$A:$A,"&lt;"&amp;DATE(2026,IF(8=12,8+1,8+1),1))</f>
        <v>0</v>
      </c>
      <c r="GN69">
        <f t="shared" si="37"/>
        <v>0</v>
      </c>
      <c r="GX69">
        <f>IFERROR(LOOKUP(2,1/('DRAFT 2'!$D:$D=$B69)*('DRAFT 2'!$A:$A&gt;=DATE(2026,9,1))*('DRAFT 2'!$A:$A&lt;DATE(2026,IF(9=12,9+1,9+1),1)),'DRAFT 2'!$A:$A),"")</f>
        <v>0</v>
      </c>
      <c r="GY69">
        <f>COUNTIFS('DRAFT 2'!$D:$D,$B69,'DRAFT 2'!$A:$A,"&gt;="&amp;DATE(2026,9,1),'DRAFT 2'!$A:$A,"&lt;="&amp;DATE(2026,9,7))</f>
        <v>0</v>
      </c>
      <c r="GZ69">
        <f>COUNTIFS('DRAFT 2'!$D:$D,$B69,'DRAFT 2'!$A:$A,"&gt;="&amp;DATE(2026,9,8),'DRAFT 2'!$A:$A,"&lt;="&amp;DATE(2026,9,14))</f>
        <v>0</v>
      </c>
      <c r="HA69">
        <f>COUNTIFS('DRAFT 2'!$D:$D,$B69,'DRAFT 2'!$A:$A,"&gt;="&amp;DATE(2026,9,15),'DRAFT 2'!$A:$A,"&lt;="&amp;DATE(2026,9,21))</f>
        <v>0</v>
      </c>
      <c r="HB69">
        <f>COUNTIFS('DRAFT 2'!$D:$D,$B69,'DRAFT 2'!$A:$A,"&gt;="&amp;DATE(2026,9,22),'DRAFT 2'!$A:$A,"&lt;"&amp;DATE(2026,IF(9=12,9+1,9+1),1))</f>
        <v>0</v>
      </c>
      <c r="HC69">
        <f t="shared" si="38"/>
        <v>0</v>
      </c>
      <c r="HN69">
        <f>IFERROR(LOOKUP(2,1/('DRAFT 2'!$D:$D=$B69)*('DRAFT 2'!$A:$A&gt;=DATE(2026,10,1))*('DRAFT 2'!$A:$A&lt;DATE(2026,IF(10=12,10+1,10+1),1)),'DRAFT 2'!$A:$A),"")</f>
        <v>0</v>
      </c>
      <c r="HO69">
        <f>COUNTIFS('DRAFT 2'!$D:$D,$B69,'DRAFT 2'!$A:$A,"&gt;="&amp;DATE(2026,10,1),'DRAFT 2'!$A:$A,"&lt;="&amp;DATE(2026,10,7))</f>
        <v>0</v>
      </c>
      <c r="HP69">
        <f>COUNTIFS('DRAFT 2'!$D:$D,$B69,'DRAFT 2'!$A:$A,"&gt;="&amp;DATE(2026,10,8),'DRAFT 2'!$A:$A,"&lt;="&amp;DATE(2026,10,14))</f>
        <v>0</v>
      </c>
      <c r="HQ69">
        <f>COUNTIFS('DRAFT 2'!$D:$D,$B69,'DRAFT 2'!$A:$A,"&gt;="&amp;DATE(2026,10,15),'DRAFT 2'!$A:$A,"&lt;="&amp;DATE(2026,10,21))</f>
        <v>0</v>
      </c>
      <c r="HR69">
        <f>COUNTIFS('DRAFT 2'!$D:$D,$B69,'DRAFT 2'!$A:$A,"&gt;="&amp;DATE(2026,10,22),'DRAFT 2'!$A:$A,"&lt;"&amp;DATE(2026,IF(10=12,10+1,10+1),1))</f>
        <v>0</v>
      </c>
      <c r="HS69">
        <f t="shared" si="39"/>
        <v>0</v>
      </c>
      <c r="IC69">
        <f>IFERROR(LOOKUP(2,1/('DRAFT 2'!$D:$D=$B69)*('DRAFT 2'!$A:$A&gt;=DATE(2026,11,1))*('DRAFT 2'!$A:$A&lt;DATE(2026,IF(11=12,11+1,11+1),1)),'DRAFT 2'!$A:$A),"")</f>
        <v>0</v>
      </c>
      <c r="ID69">
        <f>COUNTIFS('DRAFT 2'!$D:$D,$B69,'DRAFT 2'!$A:$A,"&gt;="&amp;DATE(2026,11,1),'DRAFT 2'!$A:$A,"&lt;="&amp;DATE(2026,11,7))</f>
        <v>0</v>
      </c>
      <c r="IE69">
        <f>COUNTIFS('DRAFT 2'!$D:$D,$B69,'DRAFT 2'!$A:$A,"&gt;="&amp;DATE(2026,11,8),'DRAFT 2'!$A:$A,"&lt;="&amp;DATE(2026,11,14))</f>
        <v>0</v>
      </c>
      <c r="IF69">
        <f>COUNTIFS('DRAFT 2'!$D:$D,$B69,'DRAFT 2'!$A:$A,"&gt;="&amp;DATE(2026,11,15),'DRAFT 2'!$A:$A,"&lt;="&amp;DATE(2026,11,21))</f>
        <v>0</v>
      </c>
      <c r="IG69">
        <f>COUNTIFS('DRAFT 2'!$D:$D,$B69,'DRAFT 2'!$A:$A,"&gt;="&amp;DATE(2026,11,22),'DRAFT 2'!$A:$A,"&lt;"&amp;DATE(2026,IF(11=12,11+1,11+1),1))</f>
        <v>0</v>
      </c>
      <c r="IH69">
        <f t="shared" si="40"/>
        <v>0</v>
      </c>
      <c r="IR69">
        <f>IFERROR(LOOKUP(2,1/('DRAFT 2'!$D:$D=$B69)*('DRAFT 2'!$A:$A&gt;=DATE(2026,12,1))*('DRAFT 2'!$A:$A&lt;DATE(2026,IF(12=12,12+1,12+1),1)),'DRAFT 2'!$A:$A),"")</f>
        <v>0</v>
      </c>
      <c r="IS69">
        <f>COUNTIFS('DRAFT 2'!$D:$D,$B69,'DRAFT 2'!$A:$A,"&gt;="&amp;DATE(2026,12,1),'DRAFT 2'!$A:$A,"&lt;="&amp;DATE(2026,12,7))</f>
        <v>0</v>
      </c>
      <c r="IT69">
        <f>COUNTIFS('DRAFT 2'!$D:$D,$B69,'DRAFT 2'!$A:$A,"&gt;="&amp;DATE(2026,12,8),'DRAFT 2'!$A:$A,"&lt;="&amp;DATE(2026,12,14))</f>
        <v>0</v>
      </c>
      <c r="IU69">
        <f>COUNTIFS('DRAFT 2'!$D:$D,$B69,'DRAFT 2'!$A:$A,"&gt;="&amp;DATE(2026,12,15),'DRAFT 2'!$A:$A,"&lt;="&amp;DATE(2026,12,21))</f>
        <v>0</v>
      </c>
      <c r="IV69">
        <f>COUNTIFS('DRAFT 2'!$D:$D,$B69,'DRAFT 2'!$A:$A,"&gt;="&amp;DATE(2026,12,22),'DRAFT 2'!$A:$A,"&lt;"&amp;DATE(2026,IF(12=12,12+1,12+1),1))</f>
        <v>0</v>
      </c>
      <c r="IW69">
        <f t="shared" si="41"/>
        <v>0</v>
      </c>
    </row>
    <row r="70" spans="1:257" x14ac:dyDescent="0.3">
      <c r="A70" t="str">
        <f>IFERROR(INDEX('DRAFT 1'!$A:$A,MATCH($B70,'DRAFT 1'!$B:$B,0)),"")</f>
        <v/>
      </c>
      <c r="C70" t="str">
        <f>IFERROR(INDEX('DRAFT 1'!$C:$C,MATCH($B70,'DRAFT 1'!$B:$B,0)),"")</f>
        <v/>
      </c>
      <c r="D70" t="str">
        <f>IFERROR(INDEX('DRAFT 1'!$D:$D,MATCH($B70,'DRAFT 1'!$B:$B,0)),"")</f>
        <v/>
      </c>
      <c r="E70" t="str">
        <f>IFERROR(INDEX('DRAFT 1'!$E:$E,MATCH($B70,'DRAFT 1'!$B:$B,0)),"")</f>
        <v/>
      </c>
      <c r="F70" t="str">
        <f>IFERROR(INDEX('DRAFT 1'!$F:$F,MATCH($B70,'DRAFT 1'!$B:$B,0)),"")</f>
        <v/>
      </c>
      <c r="G70" t="str">
        <f>IFERROR(INDEX('DRAFT 1'!$G:$G,MATCH($B70,'DRAFT 1'!$B:$B,0)),"")</f>
        <v/>
      </c>
      <c r="H70" t="str">
        <f>IFERROR(INDEX('DRAFT 1'!$H:$H,MATCH($B70,'DRAFT 1'!$B:$B,0)),"")</f>
        <v/>
      </c>
      <c r="I70" t="s">
        <v>292</v>
      </c>
      <c r="K70" t="str">
        <f>IFERROR(INDEX('DRAFT 1'!$AL:$AL,MATCH($B70,'DRAFT 1'!$B:$B,0)),"")</f>
        <v/>
      </c>
      <c r="L70" t="str">
        <f>IFERROR(INDEX('DRAFT 1'!$J:$J,MATCH($B70,'DRAFT 1'!$B:$B,0)),"")</f>
        <v/>
      </c>
      <c r="M70" t="str">
        <f>IFERROR(INDEX('DRAFT 1'!$K:$K,MATCH($B70,'DRAFT 1'!$B:$B,0)),"")</f>
        <v/>
      </c>
      <c r="N70" t="s">
        <v>71</v>
      </c>
      <c r="P70" t="str">
        <f>IFERROR(INDEX('DRAFT 1'!$L:$L,MATCH($B70,'DRAFT 1'!$B:$B,0)),"")</f>
        <v/>
      </c>
      <c r="Q70" t="str">
        <f>IFERROR(INDEX('DRAFT 1'!$M:$M,MATCH($B70,'DRAFT 1'!$B:$B,0)),"")</f>
        <v/>
      </c>
      <c r="R70" t="str">
        <f>IFERROR(INDEX('DRAFT 1'!$N:$N,MATCH($B70,'DRAFT 1'!$B:$B,0)),"")</f>
        <v/>
      </c>
      <c r="S70" t="str">
        <f>IFERROR(INDEX('DRAFT 1'!$O:$O,MATCH($B70,'DRAFT 1'!$B:$B,0)),"")</f>
        <v/>
      </c>
      <c r="T70" t="str">
        <f>IFERROR(INDEX('DRAFT 1'!$P:$P,MATCH($B70,'DRAFT 1'!$B:$B,0)),"")</f>
        <v/>
      </c>
      <c r="U70" t="str">
        <f>IFERROR(INDEX('DRAFT 1'!$Q:$Q,MATCH($B70,'DRAFT 1'!$B:$B,0)),"")</f>
        <v/>
      </c>
      <c r="V70" t="str">
        <f>IFERROR(INDEX('DRAFT 1'!$R:$R,MATCH($B70,'DRAFT 1'!$B:$B,0)),"")</f>
        <v/>
      </c>
      <c r="W70" t="str">
        <f>IFERROR(INDEX('DRAFT 1'!$S:$S,MATCH($B70,'DRAFT 1'!$B:$B,0)),"")</f>
        <v/>
      </c>
      <c r="X70" t="str">
        <f>IFERROR(INDEX('DRAFT 1'!$T:$T,MATCH($B70,'DRAFT 1'!$B:$B,0)),"")</f>
        <v/>
      </c>
      <c r="Z70" t="str">
        <f>IFERROR(INDEX('DRAFT 1'!$U:$U,MATCH($B70,'DRAFT 1'!$B:$B,0)),"")</f>
        <v/>
      </c>
      <c r="AA70" t="str">
        <f>IFERROR(INDEX('DRAFT 1'!$V:$V,MATCH($B70,'DRAFT 1'!$B:$B,0)),"")</f>
        <v/>
      </c>
      <c r="AB70" t="str">
        <f>IFERROR(INDEX('DRAFT 1'!$W:$W,MATCH($B70,'DRAFT 1'!$B:$B,0)),"")</f>
        <v/>
      </c>
      <c r="AC70" t="str">
        <f>IFERROR(INDEX('DRAFT 1'!$X:$X,MATCH($B70,'DRAFT 1'!$B:$B,0)),"")</f>
        <v/>
      </c>
      <c r="AD70" t="str">
        <f>IFERROR(INDEX('DRAFT 1'!$Y:$Y,MATCH($B70,'DRAFT 1'!$B:$B,0)),"")</f>
        <v/>
      </c>
      <c r="AE70" t="str">
        <f>IFERROR(INDEX('DRAFT 1'!$Z:$Z,MATCH($B70,'DRAFT 1'!$B:$B,0)),"")</f>
        <v/>
      </c>
      <c r="AF70" t="str">
        <f>IFERROR(INDEX('DRAFT 1'!$AA:$AA,MATCH($B70,'DRAFT 1'!$B:$B,0)),"")</f>
        <v/>
      </c>
      <c r="AG70" t="str">
        <f>IFERROR(INDEX('DRAFT 1'!$AB:$AB,MATCH($B70,'DRAFT 1'!$B:$B,0)),"")</f>
        <v/>
      </c>
      <c r="AH70" t="str">
        <f>IFERROR(INDEX('DRAFT 1'!$AC:$AC,MATCH($B70,'DRAFT 1'!$B:$B,0)),"")</f>
        <v/>
      </c>
      <c r="AI70" t="str">
        <f>IFERROR(INDEX('DRAFT 1'!$AD:$AD,MATCH($B70,'DRAFT 1'!$B:$B,0)),"")</f>
        <v/>
      </c>
      <c r="AJ70" t="str">
        <f>IFERROR(INDEX('DRAFT 1'!$AE:$AE,MATCH($B70,'DRAFT 1'!$B:$B,0)),"")</f>
        <v/>
      </c>
      <c r="AK70" t="str">
        <f>IFERROR(INDEX('DRAFT 1'!$AG:$AG,MATCH($B70,'DRAFT 1'!$B:$B,0)),"")</f>
        <v/>
      </c>
      <c r="AL70" t="str">
        <f>IFERROR(INDEX('DRAFT 1'!$AH:$AH,MATCH($B70,'DRAFT 1'!$B:$B,0)),"")</f>
        <v/>
      </c>
      <c r="AM70" t="str">
        <f>IFERROR(INDEX('DRAFT 1'!$AI:$AI,MATCH($B70,'DRAFT 1'!$B:$B,0)),"")</f>
        <v/>
      </c>
      <c r="AN70" t="str">
        <f>IFERROR(INDEX('DRAFT 1'!$AJ:$AJ,MATCH($B70,'DRAFT 1'!$B:$B,0)),"")</f>
        <v/>
      </c>
      <c r="AO70">
        <f t="shared" si="28"/>
        <v>0</v>
      </c>
      <c r="AP70" t="str">
        <f>IFERROR(INDEX('DRAFT 1'!$AK:$AK,MATCH($B70,'DRAFT 1'!$B:$B,0)),"")</f>
        <v/>
      </c>
      <c r="AR70" t="s">
        <v>92</v>
      </c>
      <c r="AS70">
        <f>IFERROR(LOOKUP(2,1/('DRAFT 2'!$D:$D=$B70),'DRAFT 2'!$T:$T),"")</f>
        <v>0</v>
      </c>
      <c r="AT70">
        <f>IFERROR(LOOKUP(2,1/('DRAFT 2'!$D:$D=$B70),'DRAFT 2'!$A:$A),"")</f>
        <v>0</v>
      </c>
      <c r="AU70">
        <f>IFERROR(LOOKUP(2,1/('DRAFT 2'!$D:$D=$B70),'DRAFT 2'!$R:$R),"")</f>
        <v>0</v>
      </c>
      <c r="AV70">
        <f>IFERROR(LOOKUP(2,1/('DRAFT 2'!$D:$D=$B70),'DRAFT 2'!$S:$S),"")</f>
        <v>0</v>
      </c>
      <c r="AW70" t="s">
        <v>85</v>
      </c>
      <c r="AX70">
        <f>IFERROR(LOOKUP(2,1/('DRAFT 2'!$D:$D=$B70),'DRAFT 2'!$M:$M),"")</f>
        <v>0</v>
      </c>
      <c r="AY70">
        <f>IFERROR(LOOKUP(2,1/('DRAFT 2'!$D:$D=$B70),'DRAFT 2'!$K:$K),"")</f>
        <v>0</v>
      </c>
      <c r="BG70">
        <f>IFERROR(LOOKUP(2,1/('DRAFT 2'!$D:$D=$B70),'DRAFT 2'!$U:$U),"")</f>
        <v>0</v>
      </c>
      <c r="BH70">
        <f>IFERROR(LOOKUP(2,1/('DRAFT 2'!$D:$D=$B70),'DRAFT 2'!$V:$V),"")</f>
        <v>0</v>
      </c>
      <c r="CE70" t="str">
        <f t="shared" si="29"/>
        <v/>
      </c>
      <c r="CF70">
        <f>IFERROR(LOOKUP(2,1/('DRAFT 2'!$D:$D=$B70)*('DRAFT 2'!$A:$A&gt;=DATE(2026,1,1))*('DRAFT 2'!$A:$A&lt;DATE(2026,IF(1=12,1+1,1+1),1)),'DRAFT 2'!$A:$A),"")</f>
        <v>0</v>
      </c>
      <c r="CG70">
        <f>COUNTIFS('DRAFT 2'!$D:$D,$B70,'DRAFT 2'!$A:$A,"&gt;="&amp;DATE(2026,1,1),'DRAFT 2'!$A:$A,"&lt;="&amp;DATE(2026,1,7))</f>
        <v>0</v>
      </c>
      <c r="CH70">
        <f>COUNTIFS('DRAFT 2'!$D:$D,$B70,'DRAFT 2'!$A:$A,"&gt;="&amp;DATE(2026,1,8),'DRAFT 2'!$A:$A,"&lt;="&amp;DATE(2026,1,14))</f>
        <v>0</v>
      </c>
      <c r="CI70">
        <f>COUNTIFS('DRAFT 2'!$D:$D,$B70,'DRAFT 2'!$A:$A,"&gt;="&amp;DATE(2026,1,15),'DRAFT 2'!$A:$A,"&lt;="&amp;DATE(2026,1,21))</f>
        <v>0</v>
      </c>
      <c r="CJ70">
        <f>COUNTIFS('DRAFT 2'!$D:$D,$B70,'DRAFT 2'!$A:$A,"&gt;="&amp;DATE(2026,1,22),'DRAFT 2'!$A:$A,"&lt;"&amp;DATE(2026,IF(1=12,1+1,1+1),1))</f>
        <v>0</v>
      </c>
      <c r="CK70">
        <f t="shared" si="30"/>
        <v>0</v>
      </c>
      <c r="CT70">
        <v>0</v>
      </c>
      <c r="CU70">
        <f>IFERROR(LOOKUP(2,1/('DRAFT 2'!$D:$D=$B70)*('DRAFT 2'!$A:$A&gt;=DATE(2026,2,1))*('DRAFT 2'!$A:$A&lt;DATE(2026,IF(2=12,2+1,2+1),1)),'DRAFT 2'!$A:$A),"")</f>
        <v>0</v>
      </c>
      <c r="CV70">
        <f>COUNTIFS('DRAFT 2'!$D:$D,$B70,'DRAFT 2'!$A:$A,"&gt;="&amp;DATE(2026,2,1),'DRAFT 2'!$A:$A,"&lt;="&amp;DATE(2026,2,7))</f>
        <v>0</v>
      </c>
      <c r="CW70">
        <f>COUNTIFS('DRAFT 2'!$D:$D,$B70,'DRAFT 2'!$A:$A,"&gt;="&amp;DATE(2026,2,8),'DRAFT 2'!$A:$A,"&lt;="&amp;DATE(2026,2,14))</f>
        <v>0</v>
      </c>
      <c r="CX70">
        <f>COUNTIFS('DRAFT 2'!$D:$D,$B70,'DRAFT 2'!$A:$A,"&gt;="&amp;DATE(2026,2,15),'DRAFT 2'!$A:$A,"&lt;="&amp;DATE(2026,2,21))</f>
        <v>0</v>
      </c>
      <c r="CY70">
        <f>COUNTIFS('DRAFT 2'!$D:$D,$B70,'DRAFT 2'!$A:$A,"&gt;="&amp;DATE(2026,2,22),'DRAFT 2'!$A:$A,"&lt;"&amp;DATE(2026,IF(2=12,2+1,2+1),1))</f>
        <v>0</v>
      </c>
      <c r="CZ70">
        <f t="shared" si="31"/>
        <v>0</v>
      </c>
      <c r="DJ70">
        <f>IFERROR(LOOKUP(2,1/('DRAFT 2'!$D:$D=$B70)*('DRAFT 2'!$A:$A&gt;=DATE(2026,3,1))*('DRAFT 2'!$A:$A&lt;DATE(2026,IF(3=12,3+1,3+1),1)),'DRAFT 2'!$A:$A),"")</f>
        <v>0</v>
      </c>
      <c r="DK70">
        <f>COUNTIFS('DRAFT 2'!$D:$D,$B70,'DRAFT 2'!$A:$A,"&gt;="&amp;DATE(2026,3,1),'DRAFT 2'!$A:$A,"&lt;="&amp;DATE(2026,3,7))</f>
        <v>0</v>
      </c>
      <c r="DL70">
        <f>COUNTIFS('DRAFT 2'!$D:$D,$B70,'DRAFT 2'!$A:$A,"&gt;="&amp;DATE(2026,3,8),'DRAFT 2'!$A:$A,"&lt;="&amp;DATE(2026,3,14))</f>
        <v>0</v>
      </c>
      <c r="DM70">
        <f>COUNTIFS('DRAFT 2'!$D:$D,$B70,'DRAFT 2'!$A:$A,"&gt;="&amp;DATE(2026,3,15),'DRAFT 2'!$A:$A,"&lt;="&amp;DATE(2026,3,21))</f>
        <v>0</v>
      </c>
      <c r="DN70">
        <f>COUNTIFS('DRAFT 2'!$D:$D,$B70,'DRAFT 2'!$A:$A,"&gt;="&amp;DATE(2026,3,22),'DRAFT 2'!$A:$A,"&lt;"&amp;DATE(2026,IF(3=12,3+1,3+1),1))</f>
        <v>0</v>
      </c>
      <c r="DO70">
        <f t="shared" si="32"/>
        <v>0</v>
      </c>
      <c r="DZ70">
        <f>IFERROR(LOOKUP(2,1/('DRAFT 2'!$D:$D=$B70)*('DRAFT 2'!$A:$A&gt;=DATE(2026,4,1))*('DRAFT 2'!$A:$A&lt;DATE(2026,IF(4=12,4+1,4+1),1)),'DRAFT 2'!$A:$A),"")</f>
        <v>0</v>
      </c>
      <c r="EA70">
        <f>COUNTIFS('DRAFT 2'!$D:$D,$B70,'DRAFT 2'!$A:$A,"&gt;="&amp;DATE(2026,4,1),'DRAFT 2'!$A:$A,"&lt;="&amp;DATE(2026,4,7))</f>
        <v>0</v>
      </c>
      <c r="EB70">
        <f>COUNTIFS('DRAFT 2'!$D:$D,$B70,'DRAFT 2'!$A:$A,"&gt;="&amp;DATE(2026,4,8),'DRAFT 2'!$A:$A,"&lt;="&amp;DATE(2026,4,14))</f>
        <v>0</v>
      </c>
      <c r="EC70">
        <f>COUNTIFS('DRAFT 2'!$D:$D,$B70,'DRAFT 2'!$A:$A,"&gt;="&amp;DATE(2026,4,15),'DRAFT 2'!$A:$A,"&lt;="&amp;DATE(2026,4,21))</f>
        <v>0</v>
      </c>
      <c r="ED70">
        <f>COUNTIFS('DRAFT 2'!$D:$D,$B70,'DRAFT 2'!$A:$A,"&gt;="&amp;DATE(2026,4,22),'DRAFT 2'!$A:$A,"&lt;"&amp;DATE(2026,IF(4=12,4+1,4+1),1))</f>
        <v>0</v>
      </c>
      <c r="EE70">
        <f t="shared" si="33"/>
        <v>0</v>
      </c>
      <c r="EO70">
        <f>IFERROR(LOOKUP(2,1/('DRAFT 2'!$D:$D=$B70)*('DRAFT 2'!$A:$A&gt;=DATE(2026,5,1))*('DRAFT 2'!$A:$A&lt;DATE(2026,IF(5=12,5+1,5+1),1)),'DRAFT 2'!$A:$A),"")</f>
        <v>0</v>
      </c>
      <c r="EP70">
        <f>COUNTIFS('DRAFT 2'!$D:$D,$B70,'DRAFT 2'!$A:$A,"&gt;="&amp;DATE(2026,5,1),'DRAFT 2'!$A:$A,"&lt;="&amp;DATE(2026,5,7))</f>
        <v>0</v>
      </c>
      <c r="EQ70">
        <f>COUNTIFS('DRAFT 2'!$D:$D,$B70,'DRAFT 2'!$A:$A,"&gt;="&amp;DATE(2026,5,8),'DRAFT 2'!$A:$A,"&lt;="&amp;DATE(2026,5,14))</f>
        <v>0</v>
      </c>
      <c r="ER70">
        <f>COUNTIFS('DRAFT 2'!$D:$D,$B70,'DRAFT 2'!$A:$A,"&gt;="&amp;DATE(2026,5,15),'DRAFT 2'!$A:$A,"&lt;="&amp;DATE(2026,5,21))</f>
        <v>0</v>
      </c>
      <c r="ES70">
        <f>COUNTIFS('DRAFT 2'!$D:$D,$B70,'DRAFT 2'!$A:$A,"&gt;="&amp;DATE(2026,5,22),'DRAFT 2'!$A:$A,"&lt;"&amp;DATE(2026,IF(5=12,5+1,5+1),1))</f>
        <v>0</v>
      </c>
      <c r="ET70">
        <f t="shared" si="34"/>
        <v>0</v>
      </c>
      <c r="FD70">
        <f>IFERROR(LOOKUP(2,1/('DRAFT 2'!$D:$D=$B70)*('DRAFT 2'!$A:$A&gt;=DATE(2026,6,1))*('DRAFT 2'!$A:$A&lt;DATE(2026,IF(6=12,6+1,6+1),1)),'DRAFT 2'!$A:$A),"")</f>
        <v>0</v>
      </c>
      <c r="FE70">
        <f>COUNTIFS('DRAFT 2'!$D:$D,$B70,'DRAFT 2'!$A:$A,"&gt;="&amp;DATE(2026,6,1),'DRAFT 2'!$A:$A,"&lt;="&amp;DATE(2026,6,7))</f>
        <v>0</v>
      </c>
      <c r="FF70">
        <f>COUNTIFS('DRAFT 2'!$D:$D,$B70,'DRAFT 2'!$A:$A,"&gt;="&amp;DATE(2026,6,8),'DRAFT 2'!$A:$A,"&lt;="&amp;DATE(2026,6,14))</f>
        <v>0</v>
      </c>
      <c r="FG70">
        <f>COUNTIFS('DRAFT 2'!$D:$D,$B70,'DRAFT 2'!$A:$A,"&gt;="&amp;DATE(2026,6,15),'DRAFT 2'!$A:$A,"&lt;="&amp;DATE(2026,6,21))</f>
        <v>0</v>
      </c>
      <c r="FH70">
        <f>COUNTIFS('DRAFT 2'!$D:$D,$B70,'DRAFT 2'!$A:$A,"&gt;="&amp;DATE(2026,6,22),'DRAFT 2'!$A:$A,"&lt;"&amp;DATE(2026,IF(6=12,6+1,6+1),1))</f>
        <v>0</v>
      </c>
      <c r="FI70">
        <f t="shared" si="35"/>
        <v>0</v>
      </c>
      <c r="FT70">
        <f>IFERROR(LOOKUP(2,1/('DRAFT 2'!$D:$D=$B70)*('DRAFT 2'!$A:$A&gt;=DATE(2026,7,1))*('DRAFT 2'!$A:$A&lt;DATE(2026,IF(7=12,7+1,7+1),1)),'DRAFT 2'!$A:$A),"")</f>
        <v>0</v>
      </c>
      <c r="FU70">
        <f>COUNTIFS('DRAFT 2'!$D:$D,$B70,'DRAFT 2'!$A:$A,"&gt;="&amp;DATE(2026,7,1),'DRAFT 2'!$A:$A,"&lt;="&amp;DATE(2026,7,7))</f>
        <v>0</v>
      </c>
      <c r="FV70">
        <f>COUNTIFS('DRAFT 2'!$D:$D,$B70,'DRAFT 2'!$A:$A,"&gt;="&amp;DATE(2026,7,8),'DRAFT 2'!$A:$A,"&lt;="&amp;DATE(2026,7,14))</f>
        <v>0</v>
      </c>
      <c r="FW70">
        <f>COUNTIFS('DRAFT 2'!$D:$D,$B70,'DRAFT 2'!$A:$A,"&gt;="&amp;DATE(2026,7,15),'DRAFT 2'!$A:$A,"&lt;="&amp;DATE(2026,7,21))</f>
        <v>0</v>
      </c>
      <c r="FX70">
        <f>COUNTIFS('DRAFT 2'!$D:$D,$B70,'DRAFT 2'!$A:$A,"&gt;="&amp;DATE(2026,7,22),'DRAFT 2'!$A:$A,"&lt;"&amp;DATE(2026,IF(7=12,7+1,7+1),1))</f>
        <v>0</v>
      </c>
      <c r="FY70">
        <f t="shared" si="36"/>
        <v>0</v>
      </c>
      <c r="GI70">
        <f>IFERROR(LOOKUP(2,1/('DRAFT 2'!$D:$D=$B70)*('DRAFT 2'!$A:$A&gt;=DATE(2026,8,1))*('DRAFT 2'!$A:$A&lt;DATE(2026,IF(8=12,8+1,8+1),1)),'DRAFT 2'!$A:$A),"")</f>
        <v>0</v>
      </c>
      <c r="GJ70">
        <f>COUNTIFS('DRAFT 2'!$D:$D,$B70,'DRAFT 2'!$A:$A,"&gt;="&amp;DATE(2026,8,1),'DRAFT 2'!$A:$A,"&lt;="&amp;DATE(2026,8,7))</f>
        <v>0</v>
      </c>
      <c r="GK70">
        <f>COUNTIFS('DRAFT 2'!$D:$D,$B70,'DRAFT 2'!$A:$A,"&gt;="&amp;DATE(2026,8,8),'DRAFT 2'!$A:$A,"&lt;="&amp;DATE(2026,8,14))</f>
        <v>0</v>
      </c>
      <c r="GL70">
        <f>COUNTIFS('DRAFT 2'!$D:$D,$B70,'DRAFT 2'!$A:$A,"&gt;="&amp;DATE(2026,8,15),'DRAFT 2'!$A:$A,"&lt;="&amp;DATE(2026,8,21))</f>
        <v>0</v>
      </c>
      <c r="GM70">
        <f>COUNTIFS('DRAFT 2'!$D:$D,$B70,'DRAFT 2'!$A:$A,"&gt;="&amp;DATE(2026,8,22),'DRAFT 2'!$A:$A,"&lt;"&amp;DATE(2026,IF(8=12,8+1,8+1),1))</f>
        <v>0</v>
      </c>
      <c r="GN70">
        <f t="shared" si="37"/>
        <v>0</v>
      </c>
      <c r="GX70">
        <f>IFERROR(LOOKUP(2,1/('DRAFT 2'!$D:$D=$B70)*('DRAFT 2'!$A:$A&gt;=DATE(2026,9,1))*('DRAFT 2'!$A:$A&lt;DATE(2026,IF(9=12,9+1,9+1),1)),'DRAFT 2'!$A:$A),"")</f>
        <v>0</v>
      </c>
      <c r="GY70">
        <f>COUNTIFS('DRAFT 2'!$D:$D,$B70,'DRAFT 2'!$A:$A,"&gt;="&amp;DATE(2026,9,1),'DRAFT 2'!$A:$A,"&lt;="&amp;DATE(2026,9,7))</f>
        <v>0</v>
      </c>
      <c r="GZ70">
        <f>COUNTIFS('DRAFT 2'!$D:$D,$B70,'DRAFT 2'!$A:$A,"&gt;="&amp;DATE(2026,9,8),'DRAFT 2'!$A:$A,"&lt;="&amp;DATE(2026,9,14))</f>
        <v>0</v>
      </c>
      <c r="HA70">
        <f>COUNTIFS('DRAFT 2'!$D:$D,$B70,'DRAFT 2'!$A:$A,"&gt;="&amp;DATE(2026,9,15),'DRAFT 2'!$A:$A,"&lt;="&amp;DATE(2026,9,21))</f>
        <v>0</v>
      </c>
      <c r="HB70">
        <f>COUNTIFS('DRAFT 2'!$D:$D,$B70,'DRAFT 2'!$A:$A,"&gt;="&amp;DATE(2026,9,22),'DRAFT 2'!$A:$A,"&lt;"&amp;DATE(2026,IF(9=12,9+1,9+1),1))</f>
        <v>0</v>
      </c>
      <c r="HC70">
        <f t="shared" si="38"/>
        <v>0</v>
      </c>
      <c r="HN70">
        <f>IFERROR(LOOKUP(2,1/('DRAFT 2'!$D:$D=$B70)*('DRAFT 2'!$A:$A&gt;=DATE(2026,10,1))*('DRAFT 2'!$A:$A&lt;DATE(2026,IF(10=12,10+1,10+1),1)),'DRAFT 2'!$A:$A),"")</f>
        <v>0</v>
      </c>
      <c r="HO70">
        <f>COUNTIFS('DRAFT 2'!$D:$D,$B70,'DRAFT 2'!$A:$A,"&gt;="&amp;DATE(2026,10,1),'DRAFT 2'!$A:$A,"&lt;="&amp;DATE(2026,10,7))</f>
        <v>0</v>
      </c>
      <c r="HP70">
        <f>COUNTIFS('DRAFT 2'!$D:$D,$B70,'DRAFT 2'!$A:$A,"&gt;="&amp;DATE(2026,10,8),'DRAFT 2'!$A:$A,"&lt;="&amp;DATE(2026,10,14))</f>
        <v>0</v>
      </c>
      <c r="HQ70">
        <f>COUNTIFS('DRAFT 2'!$D:$D,$B70,'DRAFT 2'!$A:$A,"&gt;="&amp;DATE(2026,10,15),'DRAFT 2'!$A:$A,"&lt;="&amp;DATE(2026,10,21))</f>
        <v>0</v>
      </c>
      <c r="HR70">
        <f>COUNTIFS('DRAFT 2'!$D:$D,$B70,'DRAFT 2'!$A:$A,"&gt;="&amp;DATE(2026,10,22),'DRAFT 2'!$A:$A,"&lt;"&amp;DATE(2026,IF(10=12,10+1,10+1),1))</f>
        <v>0</v>
      </c>
      <c r="HS70">
        <f t="shared" si="39"/>
        <v>0</v>
      </c>
      <c r="IC70">
        <f>IFERROR(LOOKUP(2,1/('DRAFT 2'!$D:$D=$B70)*('DRAFT 2'!$A:$A&gt;=DATE(2026,11,1))*('DRAFT 2'!$A:$A&lt;DATE(2026,IF(11=12,11+1,11+1),1)),'DRAFT 2'!$A:$A),"")</f>
        <v>0</v>
      </c>
      <c r="ID70">
        <f>COUNTIFS('DRAFT 2'!$D:$D,$B70,'DRAFT 2'!$A:$A,"&gt;="&amp;DATE(2026,11,1),'DRAFT 2'!$A:$A,"&lt;="&amp;DATE(2026,11,7))</f>
        <v>0</v>
      </c>
      <c r="IE70">
        <f>COUNTIFS('DRAFT 2'!$D:$D,$B70,'DRAFT 2'!$A:$A,"&gt;="&amp;DATE(2026,11,8),'DRAFT 2'!$A:$A,"&lt;="&amp;DATE(2026,11,14))</f>
        <v>0</v>
      </c>
      <c r="IF70">
        <f>COUNTIFS('DRAFT 2'!$D:$D,$B70,'DRAFT 2'!$A:$A,"&gt;="&amp;DATE(2026,11,15),'DRAFT 2'!$A:$A,"&lt;="&amp;DATE(2026,11,21))</f>
        <v>0</v>
      </c>
      <c r="IG70">
        <f>COUNTIFS('DRAFT 2'!$D:$D,$B70,'DRAFT 2'!$A:$A,"&gt;="&amp;DATE(2026,11,22),'DRAFT 2'!$A:$A,"&lt;"&amp;DATE(2026,IF(11=12,11+1,11+1),1))</f>
        <v>0</v>
      </c>
      <c r="IH70">
        <f t="shared" si="40"/>
        <v>0</v>
      </c>
      <c r="IR70">
        <f>IFERROR(LOOKUP(2,1/('DRAFT 2'!$D:$D=$B70)*('DRAFT 2'!$A:$A&gt;=DATE(2026,12,1))*('DRAFT 2'!$A:$A&lt;DATE(2026,IF(12=12,12+1,12+1),1)),'DRAFT 2'!$A:$A),"")</f>
        <v>0</v>
      </c>
      <c r="IS70">
        <f>COUNTIFS('DRAFT 2'!$D:$D,$B70,'DRAFT 2'!$A:$A,"&gt;="&amp;DATE(2026,12,1),'DRAFT 2'!$A:$A,"&lt;="&amp;DATE(2026,12,7))</f>
        <v>0</v>
      </c>
      <c r="IT70">
        <f>COUNTIFS('DRAFT 2'!$D:$D,$B70,'DRAFT 2'!$A:$A,"&gt;="&amp;DATE(2026,12,8),'DRAFT 2'!$A:$A,"&lt;="&amp;DATE(2026,12,14))</f>
        <v>0</v>
      </c>
      <c r="IU70">
        <f>COUNTIFS('DRAFT 2'!$D:$D,$B70,'DRAFT 2'!$A:$A,"&gt;="&amp;DATE(2026,12,15),'DRAFT 2'!$A:$A,"&lt;="&amp;DATE(2026,12,21))</f>
        <v>0</v>
      </c>
      <c r="IV70">
        <f>COUNTIFS('DRAFT 2'!$D:$D,$B70,'DRAFT 2'!$A:$A,"&gt;="&amp;DATE(2026,12,22),'DRAFT 2'!$A:$A,"&lt;"&amp;DATE(2026,IF(12=12,12+1,12+1),1))</f>
        <v>0</v>
      </c>
      <c r="IW70">
        <f t="shared" si="41"/>
        <v>0</v>
      </c>
    </row>
    <row r="71" spans="1:257" x14ac:dyDescent="0.3">
      <c r="A71" t="str">
        <f>IFERROR(INDEX('DRAFT 1'!$A:$A,MATCH($B71,'DRAFT 1'!$B:$B,0)),"")</f>
        <v/>
      </c>
      <c r="C71" t="str">
        <f>IFERROR(INDEX('DRAFT 1'!$C:$C,MATCH($B71,'DRAFT 1'!$B:$B,0)),"")</f>
        <v/>
      </c>
      <c r="D71" t="str">
        <f>IFERROR(INDEX('DRAFT 1'!$D:$D,MATCH($B71,'DRAFT 1'!$B:$B,0)),"")</f>
        <v/>
      </c>
      <c r="E71" t="str">
        <f>IFERROR(INDEX('DRAFT 1'!$E:$E,MATCH($B71,'DRAFT 1'!$B:$B,0)),"")</f>
        <v/>
      </c>
      <c r="F71" t="str">
        <f>IFERROR(INDEX('DRAFT 1'!$F:$F,MATCH($B71,'DRAFT 1'!$B:$B,0)),"")</f>
        <v/>
      </c>
      <c r="G71" t="str">
        <f>IFERROR(INDEX('DRAFT 1'!$G:$G,MATCH($B71,'DRAFT 1'!$B:$B,0)),"")</f>
        <v/>
      </c>
      <c r="H71" t="str">
        <f>IFERROR(INDEX('DRAFT 1'!$H:$H,MATCH($B71,'DRAFT 1'!$B:$B,0)),"")</f>
        <v/>
      </c>
      <c r="I71" t="s">
        <v>292</v>
      </c>
      <c r="K71" t="str">
        <f>IFERROR(INDEX('DRAFT 1'!$AL:$AL,MATCH($B71,'DRAFT 1'!$B:$B,0)),"")</f>
        <v/>
      </c>
      <c r="L71" t="str">
        <f>IFERROR(INDEX('DRAFT 1'!$J:$J,MATCH($B71,'DRAFT 1'!$B:$B,0)),"")</f>
        <v/>
      </c>
      <c r="M71" t="str">
        <f>IFERROR(INDEX('DRAFT 1'!$K:$K,MATCH($B71,'DRAFT 1'!$B:$B,0)),"")</f>
        <v/>
      </c>
      <c r="N71" t="s">
        <v>85</v>
      </c>
      <c r="P71" t="str">
        <f>IFERROR(INDEX('DRAFT 1'!$L:$L,MATCH($B71,'DRAFT 1'!$B:$B,0)),"")</f>
        <v/>
      </c>
      <c r="Q71" t="str">
        <f>IFERROR(INDEX('DRAFT 1'!$M:$M,MATCH($B71,'DRAFT 1'!$B:$B,0)),"")</f>
        <v/>
      </c>
      <c r="R71" t="str">
        <f>IFERROR(INDEX('DRAFT 1'!$N:$N,MATCH($B71,'DRAFT 1'!$B:$B,0)),"")</f>
        <v/>
      </c>
      <c r="S71" t="str">
        <f>IFERROR(INDEX('DRAFT 1'!$O:$O,MATCH($B71,'DRAFT 1'!$B:$B,0)),"")</f>
        <v/>
      </c>
      <c r="T71" t="str">
        <f>IFERROR(INDEX('DRAFT 1'!$P:$P,MATCH($B71,'DRAFT 1'!$B:$B,0)),"")</f>
        <v/>
      </c>
      <c r="U71" t="str">
        <f>IFERROR(INDEX('DRAFT 1'!$Q:$Q,MATCH($B71,'DRAFT 1'!$B:$B,0)),"")</f>
        <v/>
      </c>
      <c r="V71" t="str">
        <f>IFERROR(INDEX('DRAFT 1'!$R:$R,MATCH($B71,'DRAFT 1'!$B:$B,0)),"")</f>
        <v/>
      </c>
      <c r="W71" t="str">
        <f>IFERROR(INDEX('DRAFT 1'!$S:$S,MATCH($B71,'DRAFT 1'!$B:$B,0)),"")</f>
        <v/>
      </c>
      <c r="X71" t="str">
        <f>IFERROR(INDEX('DRAFT 1'!$T:$T,MATCH($B71,'DRAFT 1'!$B:$B,0)),"")</f>
        <v/>
      </c>
      <c r="Z71" t="str">
        <f>IFERROR(INDEX('DRAFT 1'!$U:$U,MATCH($B71,'DRAFT 1'!$B:$B,0)),"")</f>
        <v/>
      </c>
      <c r="AA71" t="str">
        <f>IFERROR(INDEX('DRAFT 1'!$V:$V,MATCH($B71,'DRAFT 1'!$B:$B,0)),"")</f>
        <v/>
      </c>
      <c r="AB71" t="str">
        <f>IFERROR(INDEX('DRAFT 1'!$W:$W,MATCH($B71,'DRAFT 1'!$B:$B,0)),"")</f>
        <v/>
      </c>
      <c r="AC71" t="str">
        <f>IFERROR(INDEX('DRAFT 1'!$X:$X,MATCH($B71,'DRAFT 1'!$B:$B,0)),"")</f>
        <v/>
      </c>
      <c r="AD71" t="str">
        <f>IFERROR(INDEX('DRAFT 1'!$Y:$Y,MATCH($B71,'DRAFT 1'!$B:$B,0)),"")</f>
        <v/>
      </c>
      <c r="AE71" t="str">
        <f>IFERROR(INDEX('DRAFT 1'!$Z:$Z,MATCH($B71,'DRAFT 1'!$B:$B,0)),"")</f>
        <v/>
      </c>
      <c r="AF71" t="str">
        <f>IFERROR(INDEX('DRAFT 1'!$AA:$AA,MATCH($B71,'DRAFT 1'!$B:$B,0)),"")</f>
        <v/>
      </c>
      <c r="AG71" t="str">
        <f>IFERROR(INDEX('DRAFT 1'!$AB:$AB,MATCH($B71,'DRAFT 1'!$B:$B,0)),"")</f>
        <v/>
      </c>
      <c r="AH71" t="str">
        <f>IFERROR(INDEX('DRAFT 1'!$AC:$AC,MATCH($B71,'DRAFT 1'!$B:$B,0)),"")</f>
        <v/>
      </c>
      <c r="AI71" t="str">
        <f>IFERROR(INDEX('DRAFT 1'!$AD:$AD,MATCH($B71,'DRAFT 1'!$B:$B,0)),"")</f>
        <v/>
      </c>
      <c r="AJ71" t="str">
        <f>IFERROR(INDEX('DRAFT 1'!$AE:$AE,MATCH($B71,'DRAFT 1'!$B:$B,0)),"")</f>
        <v/>
      </c>
      <c r="AK71" t="str">
        <f>IFERROR(INDEX('DRAFT 1'!$AG:$AG,MATCH($B71,'DRAFT 1'!$B:$B,0)),"")</f>
        <v/>
      </c>
      <c r="AL71" t="str">
        <f>IFERROR(INDEX('DRAFT 1'!$AH:$AH,MATCH($B71,'DRAFT 1'!$B:$B,0)),"")</f>
        <v/>
      </c>
      <c r="AM71" t="str">
        <f>IFERROR(INDEX('DRAFT 1'!$AI:$AI,MATCH($B71,'DRAFT 1'!$B:$B,0)),"")</f>
        <v/>
      </c>
      <c r="AN71" t="str">
        <f>IFERROR(INDEX('DRAFT 1'!$AJ:$AJ,MATCH($B71,'DRAFT 1'!$B:$B,0)),"")</f>
        <v/>
      </c>
      <c r="AO71">
        <f t="shared" si="28"/>
        <v>0</v>
      </c>
      <c r="AP71" t="str">
        <f>IFERROR(INDEX('DRAFT 1'!$AK:$AK,MATCH($B71,'DRAFT 1'!$B:$B,0)),"")</f>
        <v/>
      </c>
      <c r="AR71" t="s">
        <v>92</v>
      </c>
      <c r="AS71">
        <f>IFERROR(LOOKUP(2,1/('DRAFT 2'!$D:$D=$B71),'DRAFT 2'!$T:$T),"")</f>
        <v>0</v>
      </c>
      <c r="AT71">
        <f>IFERROR(LOOKUP(2,1/('DRAFT 2'!$D:$D=$B71),'DRAFT 2'!$A:$A),"")</f>
        <v>0</v>
      </c>
      <c r="AU71">
        <f>IFERROR(LOOKUP(2,1/('DRAFT 2'!$D:$D=$B71),'DRAFT 2'!$R:$R),"")</f>
        <v>0</v>
      </c>
      <c r="AV71">
        <f>IFERROR(LOOKUP(2,1/('DRAFT 2'!$D:$D=$B71),'DRAFT 2'!$S:$S),"")</f>
        <v>0</v>
      </c>
      <c r="AW71" t="s">
        <v>85</v>
      </c>
      <c r="AX71">
        <f>IFERROR(LOOKUP(2,1/('DRAFT 2'!$D:$D=$B71),'DRAFT 2'!$M:$M),"")</f>
        <v>0</v>
      </c>
      <c r="AY71">
        <f>IFERROR(LOOKUP(2,1/('DRAFT 2'!$D:$D=$B71),'DRAFT 2'!$K:$K),"")</f>
        <v>0</v>
      </c>
      <c r="BG71">
        <f>IFERROR(LOOKUP(2,1/('DRAFT 2'!$D:$D=$B71),'DRAFT 2'!$U:$U),"")</f>
        <v>0</v>
      </c>
      <c r="BH71">
        <f>IFERROR(LOOKUP(2,1/('DRAFT 2'!$D:$D=$B71),'DRAFT 2'!$V:$V),"")</f>
        <v>0</v>
      </c>
      <c r="CE71" t="str">
        <f t="shared" si="29"/>
        <v/>
      </c>
      <c r="CF71">
        <f>IFERROR(LOOKUP(2,1/('DRAFT 2'!$D:$D=$B71)*('DRAFT 2'!$A:$A&gt;=DATE(2026,1,1))*('DRAFT 2'!$A:$A&lt;DATE(2026,IF(1=12,1+1,1+1),1)),'DRAFT 2'!$A:$A),"")</f>
        <v>0</v>
      </c>
      <c r="CG71">
        <f>COUNTIFS('DRAFT 2'!$D:$D,$B71,'DRAFT 2'!$A:$A,"&gt;="&amp;DATE(2026,1,1),'DRAFT 2'!$A:$A,"&lt;="&amp;DATE(2026,1,7))</f>
        <v>0</v>
      </c>
      <c r="CH71">
        <f>COUNTIFS('DRAFT 2'!$D:$D,$B71,'DRAFT 2'!$A:$A,"&gt;="&amp;DATE(2026,1,8),'DRAFT 2'!$A:$A,"&lt;="&amp;DATE(2026,1,14))</f>
        <v>0</v>
      </c>
      <c r="CI71">
        <f>COUNTIFS('DRAFT 2'!$D:$D,$B71,'DRAFT 2'!$A:$A,"&gt;="&amp;DATE(2026,1,15),'DRAFT 2'!$A:$A,"&lt;="&amp;DATE(2026,1,21))</f>
        <v>0</v>
      </c>
      <c r="CJ71">
        <f>COUNTIFS('DRAFT 2'!$D:$D,$B71,'DRAFT 2'!$A:$A,"&gt;="&amp;DATE(2026,1,22),'DRAFT 2'!$A:$A,"&lt;"&amp;DATE(2026,IF(1=12,1+1,1+1),1))</f>
        <v>0</v>
      </c>
      <c r="CK71">
        <f t="shared" si="30"/>
        <v>0</v>
      </c>
      <c r="CT71">
        <v>0</v>
      </c>
      <c r="CU71">
        <f>IFERROR(LOOKUP(2,1/('DRAFT 2'!$D:$D=$B71)*('DRAFT 2'!$A:$A&gt;=DATE(2026,2,1))*('DRAFT 2'!$A:$A&lt;DATE(2026,IF(2=12,2+1,2+1),1)),'DRAFT 2'!$A:$A),"")</f>
        <v>0</v>
      </c>
      <c r="CV71">
        <f>COUNTIFS('DRAFT 2'!$D:$D,$B71,'DRAFT 2'!$A:$A,"&gt;="&amp;DATE(2026,2,1),'DRAFT 2'!$A:$A,"&lt;="&amp;DATE(2026,2,7))</f>
        <v>0</v>
      </c>
      <c r="CW71">
        <f>COUNTIFS('DRAFT 2'!$D:$D,$B71,'DRAFT 2'!$A:$A,"&gt;="&amp;DATE(2026,2,8),'DRAFT 2'!$A:$A,"&lt;="&amp;DATE(2026,2,14))</f>
        <v>0</v>
      </c>
      <c r="CX71">
        <f>COUNTIFS('DRAFT 2'!$D:$D,$B71,'DRAFT 2'!$A:$A,"&gt;="&amp;DATE(2026,2,15),'DRAFT 2'!$A:$A,"&lt;="&amp;DATE(2026,2,21))</f>
        <v>0</v>
      </c>
      <c r="CY71">
        <f>COUNTIFS('DRAFT 2'!$D:$D,$B71,'DRAFT 2'!$A:$A,"&gt;="&amp;DATE(2026,2,22),'DRAFT 2'!$A:$A,"&lt;"&amp;DATE(2026,IF(2=12,2+1,2+1),1))</f>
        <v>0</v>
      </c>
      <c r="CZ71">
        <f t="shared" si="31"/>
        <v>0</v>
      </c>
      <c r="DJ71">
        <f>IFERROR(LOOKUP(2,1/('DRAFT 2'!$D:$D=$B71)*('DRAFT 2'!$A:$A&gt;=DATE(2026,3,1))*('DRAFT 2'!$A:$A&lt;DATE(2026,IF(3=12,3+1,3+1),1)),'DRAFT 2'!$A:$A),"")</f>
        <v>0</v>
      </c>
      <c r="DK71">
        <f>COUNTIFS('DRAFT 2'!$D:$D,$B71,'DRAFT 2'!$A:$A,"&gt;="&amp;DATE(2026,3,1),'DRAFT 2'!$A:$A,"&lt;="&amp;DATE(2026,3,7))</f>
        <v>0</v>
      </c>
      <c r="DL71">
        <f>COUNTIFS('DRAFT 2'!$D:$D,$B71,'DRAFT 2'!$A:$A,"&gt;="&amp;DATE(2026,3,8),'DRAFT 2'!$A:$A,"&lt;="&amp;DATE(2026,3,14))</f>
        <v>0</v>
      </c>
      <c r="DM71">
        <f>COUNTIFS('DRAFT 2'!$D:$D,$B71,'DRAFT 2'!$A:$A,"&gt;="&amp;DATE(2026,3,15),'DRAFT 2'!$A:$A,"&lt;="&amp;DATE(2026,3,21))</f>
        <v>0</v>
      </c>
      <c r="DN71">
        <f>COUNTIFS('DRAFT 2'!$D:$D,$B71,'DRAFT 2'!$A:$A,"&gt;="&amp;DATE(2026,3,22),'DRAFT 2'!$A:$A,"&lt;"&amp;DATE(2026,IF(3=12,3+1,3+1),1))</f>
        <v>0</v>
      </c>
      <c r="DO71">
        <f t="shared" si="32"/>
        <v>0</v>
      </c>
      <c r="DZ71">
        <f>IFERROR(LOOKUP(2,1/('DRAFT 2'!$D:$D=$B71)*('DRAFT 2'!$A:$A&gt;=DATE(2026,4,1))*('DRAFT 2'!$A:$A&lt;DATE(2026,IF(4=12,4+1,4+1),1)),'DRAFT 2'!$A:$A),"")</f>
        <v>0</v>
      </c>
      <c r="EA71">
        <f>COUNTIFS('DRAFT 2'!$D:$D,$B71,'DRAFT 2'!$A:$A,"&gt;="&amp;DATE(2026,4,1),'DRAFT 2'!$A:$A,"&lt;="&amp;DATE(2026,4,7))</f>
        <v>0</v>
      </c>
      <c r="EB71">
        <f>COUNTIFS('DRAFT 2'!$D:$D,$B71,'DRAFT 2'!$A:$A,"&gt;="&amp;DATE(2026,4,8),'DRAFT 2'!$A:$A,"&lt;="&amp;DATE(2026,4,14))</f>
        <v>0</v>
      </c>
      <c r="EC71">
        <f>COUNTIFS('DRAFT 2'!$D:$D,$B71,'DRAFT 2'!$A:$A,"&gt;="&amp;DATE(2026,4,15),'DRAFT 2'!$A:$A,"&lt;="&amp;DATE(2026,4,21))</f>
        <v>0</v>
      </c>
      <c r="ED71">
        <f>COUNTIFS('DRAFT 2'!$D:$D,$B71,'DRAFT 2'!$A:$A,"&gt;="&amp;DATE(2026,4,22),'DRAFT 2'!$A:$A,"&lt;"&amp;DATE(2026,IF(4=12,4+1,4+1),1))</f>
        <v>0</v>
      </c>
      <c r="EE71">
        <f t="shared" si="33"/>
        <v>0</v>
      </c>
      <c r="EO71">
        <f>IFERROR(LOOKUP(2,1/('DRAFT 2'!$D:$D=$B71)*('DRAFT 2'!$A:$A&gt;=DATE(2026,5,1))*('DRAFT 2'!$A:$A&lt;DATE(2026,IF(5=12,5+1,5+1),1)),'DRAFT 2'!$A:$A),"")</f>
        <v>0</v>
      </c>
      <c r="EP71">
        <f>COUNTIFS('DRAFT 2'!$D:$D,$B71,'DRAFT 2'!$A:$A,"&gt;="&amp;DATE(2026,5,1),'DRAFT 2'!$A:$A,"&lt;="&amp;DATE(2026,5,7))</f>
        <v>0</v>
      </c>
      <c r="EQ71">
        <f>COUNTIFS('DRAFT 2'!$D:$D,$B71,'DRAFT 2'!$A:$A,"&gt;="&amp;DATE(2026,5,8),'DRAFT 2'!$A:$A,"&lt;="&amp;DATE(2026,5,14))</f>
        <v>0</v>
      </c>
      <c r="ER71">
        <f>COUNTIFS('DRAFT 2'!$D:$D,$B71,'DRAFT 2'!$A:$A,"&gt;="&amp;DATE(2026,5,15),'DRAFT 2'!$A:$A,"&lt;="&amp;DATE(2026,5,21))</f>
        <v>0</v>
      </c>
      <c r="ES71">
        <f>COUNTIFS('DRAFT 2'!$D:$D,$B71,'DRAFT 2'!$A:$A,"&gt;="&amp;DATE(2026,5,22),'DRAFT 2'!$A:$A,"&lt;"&amp;DATE(2026,IF(5=12,5+1,5+1),1))</f>
        <v>0</v>
      </c>
      <c r="ET71">
        <f t="shared" si="34"/>
        <v>0</v>
      </c>
      <c r="FD71">
        <f>IFERROR(LOOKUP(2,1/('DRAFT 2'!$D:$D=$B71)*('DRAFT 2'!$A:$A&gt;=DATE(2026,6,1))*('DRAFT 2'!$A:$A&lt;DATE(2026,IF(6=12,6+1,6+1),1)),'DRAFT 2'!$A:$A),"")</f>
        <v>0</v>
      </c>
      <c r="FE71">
        <f>COUNTIFS('DRAFT 2'!$D:$D,$B71,'DRAFT 2'!$A:$A,"&gt;="&amp;DATE(2026,6,1),'DRAFT 2'!$A:$A,"&lt;="&amp;DATE(2026,6,7))</f>
        <v>0</v>
      </c>
      <c r="FF71">
        <f>COUNTIFS('DRAFT 2'!$D:$D,$B71,'DRAFT 2'!$A:$A,"&gt;="&amp;DATE(2026,6,8),'DRAFT 2'!$A:$A,"&lt;="&amp;DATE(2026,6,14))</f>
        <v>0</v>
      </c>
      <c r="FG71">
        <f>COUNTIFS('DRAFT 2'!$D:$D,$B71,'DRAFT 2'!$A:$A,"&gt;="&amp;DATE(2026,6,15),'DRAFT 2'!$A:$A,"&lt;="&amp;DATE(2026,6,21))</f>
        <v>0</v>
      </c>
      <c r="FH71">
        <f>COUNTIFS('DRAFT 2'!$D:$D,$B71,'DRAFT 2'!$A:$A,"&gt;="&amp;DATE(2026,6,22),'DRAFT 2'!$A:$A,"&lt;"&amp;DATE(2026,IF(6=12,6+1,6+1),1))</f>
        <v>0</v>
      </c>
      <c r="FI71">
        <f t="shared" si="35"/>
        <v>0</v>
      </c>
      <c r="FT71">
        <f>IFERROR(LOOKUP(2,1/('DRAFT 2'!$D:$D=$B71)*('DRAFT 2'!$A:$A&gt;=DATE(2026,7,1))*('DRAFT 2'!$A:$A&lt;DATE(2026,IF(7=12,7+1,7+1),1)),'DRAFT 2'!$A:$A),"")</f>
        <v>0</v>
      </c>
      <c r="FU71">
        <f>COUNTIFS('DRAFT 2'!$D:$D,$B71,'DRAFT 2'!$A:$A,"&gt;="&amp;DATE(2026,7,1),'DRAFT 2'!$A:$A,"&lt;="&amp;DATE(2026,7,7))</f>
        <v>0</v>
      </c>
      <c r="FV71">
        <f>COUNTIFS('DRAFT 2'!$D:$D,$B71,'DRAFT 2'!$A:$A,"&gt;="&amp;DATE(2026,7,8),'DRAFT 2'!$A:$A,"&lt;="&amp;DATE(2026,7,14))</f>
        <v>0</v>
      </c>
      <c r="FW71">
        <f>COUNTIFS('DRAFT 2'!$D:$D,$B71,'DRAFT 2'!$A:$A,"&gt;="&amp;DATE(2026,7,15),'DRAFT 2'!$A:$A,"&lt;="&amp;DATE(2026,7,21))</f>
        <v>0</v>
      </c>
      <c r="FX71">
        <f>COUNTIFS('DRAFT 2'!$D:$D,$B71,'DRAFT 2'!$A:$A,"&gt;="&amp;DATE(2026,7,22),'DRAFT 2'!$A:$A,"&lt;"&amp;DATE(2026,IF(7=12,7+1,7+1),1))</f>
        <v>0</v>
      </c>
      <c r="FY71">
        <f t="shared" si="36"/>
        <v>0</v>
      </c>
      <c r="GI71">
        <f>IFERROR(LOOKUP(2,1/('DRAFT 2'!$D:$D=$B71)*('DRAFT 2'!$A:$A&gt;=DATE(2026,8,1))*('DRAFT 2'!$A:$A&lt;DATE(2026,IF(8=12,8+1,8+1),1)),'DRAFT 2'!$A:$A),"")</f>
        <v>0</v>
      </c>
      <c r="GJ71">
        <f>COUNTIFS('DRAFT 2'!$D:$D,$B71,'DRAFT 2'!$A:$A,"&gt;="&amp;DATE(2026,8,1),'DRAFT 2'!$A:$A,"&lt;="&amp;DATE(2026,8,7))</f>
        <v>0</v>
      </c>
      <c r="GK71">
        <f>COUNTIFS('DRAFT 2'!$D:$D,$B71,'DRAFT 2'!$A:$A,"&gt;="&amp;DATE(2026,8,8),'DRAFT 2'!$A:$A,"&lt;="&amp;DATE(2026,8,14))</f>
        <v>0</v>
      </c>
      <c r="GL71">
        <f>COUNTIFS('DRAFT 2'!$D:$D,$B71,'DRAFT 2'!$A:$A,"&gt;="&amp;DATE(2026,8,15),'DRAFT 2'!$A:$A,"&lt;="&amp;DATE(2026,8,21))</f>
        <v>0</v>
      </c>
      <c r="GM71">
        <f>COUNTIFS('DRAFT 2'!$D:$D,$B71,'DRAFT 2'!$A:$A,"&gt;="&amp;DATE(2026,8,22),'DRAFT 2'!$A:$A,"&lt;"&amp;DATE(2026,IF(8=12,8+1,8+1),1))</f>
        <v>0</v>
      </c>
      <c r="GN71">
        <f t="shared" si="37"/>
        <v>0</v>
      </c>
      <c r="GX71">
        <f>IFERROR(LOOKUP(2,1/('DRAFT 2'!$D:$D=$B71)*('DRAFT 2'!$A:$A&gt;=DATE(2026,9,1))*('DRAFT 2'!$A:$A&lt;DATE(2026,IF(9=12,9+1,9+1),1)),'DRAFT 2'!$A:$A),"")</f>
        <v>0</v>
      </c>
      <c r="GY71">
        <f>COUNTIFS('DRAFT 2'!$D:$D,$B71,'DRAFT 2'!$A:$A,"&gt;="&amp;DATE(2026,9,1),'DRAFT 2'!$A:$A,"&lt;="&amp;DATE(2026,9,7))</f>
        <v>0</v>
      </c>
      <c r="GZ71">
        <f>COUNTIFS('DRAFT 2'!$D:$D,$B71,'DRAFT 2'!$A:$A,"&gt;="&amp;DATE(2026,9,8),'DRAFT 2'!$A:$A,"&lt;="&amp;DATE(2026,9,14))</f>
        <v>0</v>
      </c>
      <c r="HA71">
        <f>COUNTIFS('DRAFT 2'!$D:$D,$B71,'DRAFT 2'!$A:$A,"&gt;="&amp;DATE(2026,9,15),'DRAFT 2'!$A:$A,"&lt;="&amp;DATE(2026,9,21))</f>
        <v>0</v>
      </c>
      <c r="HB71">
        <f>COUNTIFS('DRAFT 2'!$D:$D,$B71,'DRAFT 2'!$A:$A,"&gt;="&amp;DATE(2026,9,22),'DRAFT 2'!$A:$A,"&lt;"&amp;DATE(2026,IF(9=12,9+1,9+1),1))</f>
        <v>0</v>
      </c>
      <c r="HC71">
        <f t="shared" si="38"/>
        <v>0</v>
      </c>
      <c r="HN71">
        <f>IFERROR(LOOKUP(2,1/('DRAFT 2'!$D:$D=$B71)*('DRAFT 2'!$A:$A&gt;=DATE(2026,10,1))*('DRAFT 2'!$A:$A&lt;DATE(2026,IF(10=12,10+1,10+1),1)),'DRAFT 2'!$A:$A),"")</f>
        <v>0</v>
      </c>
      <c r="HO71">
        <f>COUNTIFS('DRAFT 2'!$D:$D,$B71,'DRAFT 2'!$A:$A,"&gt;="&amp;DATE(2026,10,1),'DRAFT 2'!$A:$A,"&lt;="&amp;DATE(2026,10,7))</f>
        <v>0</v>
      </c>
      <c r="HP71">
        <f>COUNTIFS('DRAFT 2'!$D:$D,$B71,'DRAFT 2'!$A:$A,"&gt;="&amp;DATE(2026,10,8),'DRAFT 2'!$A:$A,"&lt;="&amp;DATE(2026,10,14))</f>
        <v>0</v>
      </c>
      <c r="HQ71">
        <f>COUNTIFS('DRAFT 2'!$D:$D,$B71,'DRAFT 2'!$A:$A,"&gt;="&amp;DATE(2026,10,15),'DRAFT 2'!$A:$A,"&lt;="&amp;DATE(2026,10,21))</f>
        <v>0</v>
      </c>
      <c r="HR71">
        <f>COUNTIFS('DRAFT 2'!$D:$D,$B71,'DRAFT 2'!$A:$A,"&gt;="&amp;DATE(2026,10,22),'DRAFT 2'!$A:$A,"&lt;"&amp;DATE(2026,IF(10=12,10+1,10+1),1))</f>
        <v>0</v>
      </c>
      <c r="HS71">
        <f t="shared" si="39"/>
        <v>0</v>
      </c>
      <c r="IC71">
        <f>IFERROR(LOOKUP(2,1/('DRAFT 2'!$D:$D=$B71)*('DRAFT 2'!$A:$A&gt;=DATE(2026,11,1))*('DRAFT 2'!$A:$A&lt;DATE(2026,IF(11=12,11+1,11+1),1)),'DRAFT 2'!$A:$A),"")</f>
        <v>0</v>
      </c>
      <c r="ID71">
        <f>COUNTIFS('DRAFT 2'!$D:$D,$B71,'DRAFT 2'!$A:$A,"&gt;="&amp;DATE(2026,11,1),'DRAFT 2'!$A:$A,"&lt;="&amp;DATE(2026,11,7))</f>
        <v>0</v>
      </c>
      <c r="IE71">
        <f>COUNTIFS('DRAFT 2'!$D:$D,$B71,'DRAFT 2'!$A:$A,"&gt;="&amp;DATE(2026,11,8),'DRAFT 2'!$A:$A,"&lt;="&amp;DATE(2026,11,14))</f>
        <v>0</v>
      </c>
      <c r="IF71">
        <f>COUNTIFS('DRAFT 2'!$D:$D,$B71,'DRAFT 2'!$A:$A,"&gt;="&amp;DATE(2026,11,15),'DRAFT 2'!$A:$A,"&lt;="&amp;DATE(2026,11,21))</f>
        <v>0</v>
      </c>
      <c r="IG71">
        <f>COUNTIFS('DRAFT 2'!$D:$D,$B71,'DRAFT 2'!$A:$A,"&gt;="&amp;DATE(2026,11,22),'DRAFT 2'!$A:$A,"&lt;"&amp;DATE(2026,IF(11=12,11+1,11+1),1))</f>
        <v>0</v>
      </c>
      <c r="IH71">
        <f t="shared" si="40"/>
        <v>0</v>
      </c>
      <c r="IR71">
        <f>IFERROR(LOOKUP(2,1/('DRAFT 2'!$D:$D=$B71)*('DRAFT 2'!$A:$A&gt;=DATE(2026,12,1))*('DRAFT 2'!$A:$A&lt;DATE(2026,IF(12=12,12+1,12+1),1)),'DRAFT 2'!$A:$A),"")</f>
        <v>0</v>
      </c>
      <c r="IS71">
        <f>COUNTIFS('DRAFT 2'!$D:$D,$B71,'DRAFT 2'!$A:$A,"&gt;="&amp;DATE(2026,12,1),'DRAFT 2'!$A:$A,"&lt;="&amp;DATE(2026,12,7))</f>
        <v>0</v>
      </c>
      <c r="IT71">
        <f>COUNTIFS('DRAFT 2'!$D:$D,$B71,'DRAFT 2'!$A:$A,"&gt;="&amp;DATE(2026,12,8),'DRAFT 2'!$A:$A,"&lt;="&amp;DATE(2026,12,14))</f>
        <v>0</v>
      </c>
      <c r="IU71">
        <f>COUNTIFS('DRAFT 2'!$D:$D,$B71,'DRAFT 2'!$A:$A,"&gt;="&amp;DATE(2026,12,15),'DRAFT 2'!$A:$A,"&lt;="&amp;DATE(2026,12,21))</f>
        <v>0</v>
      </c>
      <c r="IV71">
        <f>COUNTIFS('DRAFT 2'!$D:$D,$B71,'DRAFT 2'!$A:$A,"&gt;="&amp;DATE(2026,12,22),'DRAFT 2'!$A:$A,"&lt;"&amp;DATE(2026,IF(12=12,12+1,12+1),1))</f>
        <v>0</v>
      </c>
      <c r="IW71">
        <f t="shared" si="41"/>
        <v>0</v>
      </c>
    </row>
    <row r="72" spans="1:257" x14ac:dyDescent="0.3">
      <c r="A72" t="str">
        <f>IFERROR(INDEX('DRAFT 1'!$A:$A,MATCH($B72,'DRAFT 1'!$B:$B,0)),"")</f>
        <v/>
      </c>
      <c r="C72" t="str">
        <f>IFERROR(INDEX('DRAFT 1'!$C:$C,MATCH($B72,'DRAFT 1'!$B:$B,0)),"")</f>
        <v/>
      </c>
      <c r="D72" t="str">
        <f>IFERROR(INDEX('DRAFT 1'!$D:$D,MATCH($B72,'DRAFT 1'!$B:$B,0)),"")</f>
        <v/>
      </c>
      <c r="E72" t="str">
        <f>IFERROR(INDEX('DRAFT 1'!$E:$E,MATCH($B72,'DRAFT 1'!$B:$B,0)),"")</f>
        <v/>
      </c>
      <c r="F72" t="str">
        <f>IFERROR(INDEX('DRAFT 1'!$F:$F,MATCH($B72,'DRAFT 1'!$B:$B,0)),"")</f>
        <v/>
      </c>
      <c r="G72" t="str">
        <f>IFERROR(INDEX('DRAFT 1'!$G:$G,MATCH($B72,'DRAFT 1'!$B:$B,0)),"")</f>
        <v/>
      </c>
      <c r="H72" t="str">
        <f>IFERROR(INDEX('DRAFT 1'!$H:$H,MATCH($B72,'DRAFT 1'!$B:$B,0)),"")</f>
        <v/>
      </c>
      <c r="I72" t="s">
        <v>295</v>
      </c>
      <c r="K72" t="str">
        <f>IFERROR(INDEX('DRAFT 1'!$AL:$AL,MATCH($B72,'DRAFT 1'!$B:$B,0)),"")</f>
        <v/>
      </c>
      <c r="L72" t="str">
        <f>IFERROR(INDEX('DRAFT 1'!$J:$J,MATCH($B72,'DRAFT 1'!$B:$B,0)),"")</f>
        <v/>
      </c>
      <c r="M72" t="str">
        <f>IFERROR(INDEX('DRAFT 1'!$K:$K,MATCH($B72,'DRAFT 1'!$B:$B,0)),"")</f>
        <v/>
      </c>
      <c r="N72" t="s">
        <v>71</v>
      </c>
      <c r="P72" t="str">
        <f>IFERROR(INDEX('DRAFT 1'!$L:$L,MATCH($B72,'DRAFT 1'!$B:$B,0)),"")</f>
        <v/>
      </c>
      <c r="Q72" t="str">
        <f>IFERROR(INDEX('DRAFT 1'!$M:$M,MATCH($B72,'DRAFT 1'!$B:$B,0)),"")</f>
        <v/>
      </c>
      <c r="R72" t="str">
        <f>IFERROR(INDEX('DRAFT 1'!$N:$N,MATCH($B72,'DRAFT 1'!$B:$B,0)),"")</f>
        <v/>
      </c>
      <c r="S72" t="str">
        <f>IFERROR(INDEX('DRAFT 1'!$O:$O,MATCH($B72,'DRAFT 1'!$B:$B,0)),"")</f>
        <v/>
      </c>
      <c r="T72" t="str">
        <f>IFERROR(INDEX('DRAFT 1'!$P:$P,MATCH($B72,'DRAFT 1'!$B:$B,0)),"")</f>
        <v/>
      </c>
      <c r="U72" t="str">
        <f>IFERROR(INDEX('DRAFT 1'!$Q:$Q,MATCH($B72,'DRAFT 1'!$B:$B,0)),"")</f>
        <v/>
      </c>
      <c r="V72" t="str">
        <f>IFERROR(INDEX('DRAFT 1'!$R:$R,MATCH($B72,'DRAFT 1'!$B:$B,0)),"")</f>
        <v/>
      </c>
      <c r="W72" t="str">
        <f>IFERROR(INDEX('DRAFT 1'!$S:$S,MATCH($B72,'DRAFT 1'!$B:$B,0)),"")</f>
        <v/>
      </c>
      <c r="X72" t="str">
        <f>IFERROR(INDEX('DRAFT 1'!$T:$T,MATCH($B72,'DRAFT 1'!$B:$B,0)),"")</f>
        <v/>
      </c>
      <c r="Z72" t="str">
        <f>IFERROR(INDEX('DRAFT 1'!$U:$U,MATCH($B72,'DRAFT 1'!$B:$B,0)),"")</f>
        <v/>
      </c>
      <c r="AA72" t="str">
        <f>IFERROR(INDEX('DRAFT 1'!$V:$V,MATCH($B72,'DRAFT 1'!$B:$B,0)),"")</f>
        <v/>
      </c>
      <c r="AB72" t="str">
        <f>IFERROR(INDEX('DRAFT 1'!$W:$W,MATCH($B72,'DRAFT 1'!$B:$B,0)),"")</f>
        <v/>
      </c>
      <c r="AC72" t="str">
        <f>IFERROR(INDEX('DRAFT 1'!$X:$X,MATCH($B72,'DRAFT 1'!$B:$B,0)),"")</f>
        <v/>
      </c>
      <c r="AD72" t="str">
        <f>IFERROR(INDEX('DRAFT 1'!$Y:$Y,MATCH($B72,'DRAFT 1'!$B:$B,0)),"")</f>
        <v/>
      </c>
      <c r="AE72" t="str">
        <f>IFERROR(INDEX('DRAFT 1'!$Z:$Z,MATCH($B72,'DRAFT 1'!$B:$B,0)),"")</f>
        <v/>
      </c>
      <c r="AF72" t="str">
        <f>IFERROR(INDEX('DRAFT 1'!$AA:$AA,MATCH($B72,'DRAFT 1'!$B:$B,0)),"")</f>
        <v/>
      </c>
      <c r="AG72" t="str">
        <f>IFERROR(INDEX('DRAFT 1'!$AB:$AB,MATCH($B72,'DRAFT 1'!$B:$B,0)),"")</f>
        <v/>
      </c>
      <c r="AH72" t="str">
        <f>IFERROR(INDEX('DRAFT 1'!$AC:$AC,MATCH($B72,'DRAFT 1'!$B:$B,0)),"")</f>
        <v/>
      </c>
      <c r="AI72" t="str">
        <f>IFERROR(INDEX('DRAFT 1'!$AD:$AD,MATCH($B72,'DRAFT 1'!$B:$B,0)),"")</f>
        <v/>
      </c>
      <c r="AJ72" t="str">
        <f>IFERROR(INDEX('DRAFT 1'!$AE:$AE,MATCH($B72,'DRAFT 1'!$B:$B,0)),"")</f>
        <v/>
      </c>
      <c r="AK72" t="str">
        <f>IFERROR(INDEX('DRAFT 1'!$AG:$AG,MATCH($B72,'DRAFT 1'!$B:$B,0)),"")</f>
        <v/>
      </c>
      <c r="AL72" t="str">
        <f>IFERROR(INDEX('DRAFT 1'!$AH:$AH,MATCH($B72,'DRAFT 1'!$B:$B,0)),"")</f>
        <v/>
      </c>
      <c r="AM72" t="str">
        <f>IFERROR(INDEX('DRAFT 1'!$AI:$AI,MATCH($B72,'DRAFT 1'!$B:$B,0)),"")</f>
        <v/>
      </c>
      <c r="AN72" t="str">
        <f>IFERROR(INDEX('DRAFT 1'!$AJ:$AJ,MATCH($B72,'DRAFT 1'!$B:$B,0)),"")</f>
        <v/>
      </c>
      <c r="AO72">
        <f t="shared" si="28"/>
        <v>0</v>
      </c>
      <c r="AP72" t="str">
        <f>IFERROR(INDEX('DRAFT 1'!$AK:$AK,MATCH($B72,'DRAFT 1'!$B:$B,0)),"")</f>
        <v/>
      </c>
      <c r="AR72" t="s">
        <v>93</v>
      </c>
      <c r="AS72">
        <f>IFERROR(LOOKUP(2,1/('DRAFT 2'!$D:$D=$B72),'DRAFT 2'!$T:$T),"")</f>
        <v>0</v>
      </c>
      <c r="AT72">
        <f>IFERROR(LOOKUP(2,1/('DRAFT 2'!$D:$D=$B72),'DRAFT 2'!$A:$A),"")</f>
        <v>0</v>
      </c>
      <c r="AU72">
        <f>IFERROR(LOOKUP(2,1/('DRAFT 2'!$D:$D=$B72),'DRAFT 2'!$R:$R),"")</f>
        <v>0</v>
      </c>
      <c r="AV72">
        <f>IFERROR(LOOKUP(2,1/('DRAFT 2'!$D:$D=$B72),'DRAFT 2'!$S:$S),"")</f>
        <v>0</v>
      </c>
      <c r="AW72" t="s">
        <v>130</v>
      </c>
      <c r="AX72">
        <f>IFERROR(LOOKUP(2,1/('DRAFT 2'!$D:$D=$B72),'DRAFT 2'!$M:$M),"")</f>
        <v>0</v>
      </c>
      <c r="AY72">
        <f>IFERROR(LOOKUP(2,1/('DRAFT 2'!$D:$D=$B72),'DRAFT 2'!$K:$K),"")</f>
        <v>0</v>
      </c>
      <c r="BG72">
        <f>IFERROR(LOOKUP(2,1/('DRAFT 2'!$D:$D=$B72),'DRAFT 2'!$U:$U),"")</f>
        <v>0</v>
      </c>
      <c r="BH72">
        <f>IFERROR(LOOKUP(2,1/('DRAFT 2'!$D:$D=$B72),'DRAFT 2'!$V:$V),"")</f>
        <v>0</v>
      </c>
      <c r="CE72" t="str">
        <f t="shared" si="29"/>
        <v/>
      </c>
      <c r="CF72">
        <f>IFERROR(LOOKUP(2,1/('DRAFT 2'!$D:$D=$B72)*('DRAFT 2'!$A:$A&gt;=DATE(2026,1,1))*('DRAFT 2'!$A:$A&lt;DATE(2026,IF(1=12,1+1,1+1),1)),'DRAFT 2'!$A:$A),"")</f>
        <v>0</v>
      </c>
      <c r="CG72">
        <f>COUNTIFS('DRAFT 2'!$D:$D,$B72,'DRAFT 2'!$A:$A,"&gt;="&amp;DATE(2026,1,1),'DRAFT 2'!$A:$A,"&lt;="&amp;DATE(2026,1,7))</f>
        <v>0</v>
      </c>
      <c r="CH72">
        <f>COUNTIFS('DRAFT 2'!$D:$D,$B72,'DRAFT 2'!$A:$A,"&gt;="&amp;DATE(2026,1,8),'DRAFT 2'!$A:$A,"&lt;="&amp;DATE(2026,1,14))</f>
        <v>0</v>
      </c>
      <c r="CI72">
        <f>COUNTIFS('DRAFT 2'!$D:$D,$B72,'DRAFT 2'!$A:$A,"&gt;="&amp;DATE(2026,1,15),'DRAFT 2'!$A:$A,"&lt;="&amp;DATE(2026,1,21))</f>
        <v>0</v>
      </c>
      <c r="CJ72">
        <f>COUNTIFS('DRAFT 2'!$D:$D,$B72,'DRAFT 2'!$A:$A,"&gt;="&amp;DATE(2026,1,22),'DRAFT 2'!$A:$A,"&lt;"&amp;DATE(2026,IF(1=12,1+1,1+1),1))</f>
        <v>0</v>
      </c>
      <c r="CK72">
        <f t="shared" si="30"/>
        <v>0</v>
      </c>
      <c r="CT72">
        <v>0</v>
      </c>
      <c r="CU72">
        <f>IFERROR(LOOKUP(2,1/('DRAFT 2'!$D:$D=$B72)*('DRAFT 2'!$A:$A&gt;=DATE(2026,2,1))*('DRAFT 2'!$A:$A&lt;DATE(2026,IF(2=12,2+1,2+1),1)),'DRAFT 2'!$A:$A),"")</f>
        <v>0</v>
      </c>
      <c r="CV72">
        <f>COUNTIFS('DRAFT 2'!$D:$D,$B72,'DRAFT 2'!$A:$A,"&gt;="&amp;DATE(2026,2,1),'DRAFT 2'!$A:$A,"&lt;="&amp;DATE(2026,2,7))</f>
        <v>0</v>
      </c>
      <c r="CW72">
        <f>COUNTIFS('DRAFT 2'!$D:$D,$B72,'DRAFT 2'!$A:$A,"&gt;="&amp;DATE(2026,2,8),'DRAFT 2'!$A:$A,"&lt;="&amp;DATE(2026,2,14))</f>
        <v>0</v>
      </c>
      <c r="CX72">
        <f>COUNTIFS('DRAFT 2'!$D:$D,$B72,'DRAFT 2'!$A:$A,"&gt;="&amp;DATE(2026,2,15),'DRAFT 2'!$A:$A,"&lt;="&amp;DATE(2026,2,21))</f>
        <v>0</v>
      </c>
      <c r="CY72">
        <f>COUNTIFS('DRAFT 2'!$D:$D,$B72,'DRAFT 2'!$A:$A,"&gt;="&amp;DATE(2026,2,22),'DRAFT 2'!$A:$A,"&lt;"&amp;DATE(2026,IF(2=12,2+1,2+1),1))</f>
        <v>0</v>
      </c>
      <c r="CZ72">
        <f t="shared" si="31"/>
        <v>0</v>
      </c>
      <c r="DJ72">
        <f>IFERROR(LOOKUP(2,1/('DRAFT 2'!$D:$D=$B72)*('DRAFT 2'!$A:$A&gt;=DATE(2026,3,1))*('DRAFT 2'!$A:$A&lt;DATE(2026,IF(3=12,3+1,3+1),1)),'DRAFT 2'!$A:$A),"")</f>
        <v>0</v>
      </c>
      <c r="DK72">
        <f>COUNTIFS('DRAFT 2'!$D:$D,$B72,'DRAFT 2'!$A:$A,"&gt;="&amp;DATE(2026,3,1),'DRAFT 2'!$A:$A,"&lt;="&amp;DATE(2026,3,7))</f>
        <v>0</v>
      </c>
      <c r="DL72">
        <f>COUNTIFS('DRAFT 2'!$D:$D,$B72,'DRAFT 2'!$A:$A,"&gt;="&amp;DATE(2026,3,8),'DRAFT 2'!$A:$A,"&lt;="&amp;DATE(2026,3,14))</f>
        <v>0</v>
      </c>
      <c r="DM72">
        <f>COUNTIFS('DRAFT 2'!$D:$D,$B72,'DRAFT 2'!$A:$A,"&gt;="&amp;DATE(2026,3,15),'DRAFT 2'!$A:$A,"&lt;="&amp;DATE(2026,3,21))</f>
        <v>0</v>
      </c>
      <c r="DN72">
        <f>COUNTIFS('DRAFT 2'!$D:$D,$B72,'DRAFT 2'!$A:$A,"&gt;="&amp;DATE(2026,3,22),'DRAFT 2'!$A:$A,"&lt;"&amp;DATE(2026,IF(3=12,3+1,3+1),1))</f>
        <v>0</v>
      </c>
      <c r="DO72">
        <f t="shared" si="32"/>
        <v>0</v>
      </c>
      <c r="DZ72">
        <f>IFERROR(LOOKUP(2,1/('DRAFT 2'!$D:$D=$B72)*('DRAFT 2'!$A:$A&gt;=DATE(2026,4,1))*('DRAFT 2'!$A:$A&lt;DATE(2026,IF(4=12,4+1,4+1),1)),'DRAFT 2'!$A:$A),"")</f>
        <v>0</v>
      </c>
      <c r="EA72">
        <f>COUNTIFS('DRAFT 2'!$D:$D,$B72,'DRAFT 2'!$A:$A,"&gt;="&amp;DATE(2026,4,1),'DRAFT 2'!$A:$A,"&lt;="&amp;DATE(2026,4,7))</f>
        <v>0</v>
      </c>
      <c r="EB72">
        <f>COUNTIFS('DRAFT 2'!$D:$D,$B72,'DRAFT 2'!$A:$A,"&gt;="&amp;DATE(2026,4,8),'DRAFT 2'!$A:$A,"&lt;="&amp;DATE(2026,4,14))</f>
        <v>0</v>
      </c>
      <c r="EC72">
        <f>COUNTIFS('DRAFT 2'!$D:$D,$B72,'DRAFT 2'!$A:$A,"&gt;="&amp;DATE(2026,4,15),'DRAFT 2'!$A:$A,"&lt;="&amp;DATE(2026,4,21))</f>
        <v>0</v>
      </c>
      <c r="ED72">
        <f>COUNTIFS('DRAFT 2'!$D:$D,$B72,'DRAFT 2'!$A:$A,"&gt;="&amp;DATE(2026,4,22),'DRAFT 2'!$A:$A,"&lt;"&amp;DATE(2026,IF(4=12,4+1,4+1),1))</f>
        <v>0</v>
      </c>
      <c r="EE72">
        <f t="shared" si="33"/>
        <v>0</v>
      </c>
      <c r="EO72">
        <f>IFERROR(LOOKUP(2,1/('DRAFT 2'!$D:$D=$B72)*('DRAFT 2'!$A:$A&gt;=DATE(2026,5,1))*('DRAFT 2'!$A:$A&lt;DATE(2026,IF(5=12,5+1,5+1),1)),'DRAFT 2'!$A:$A),"")</f>
        <v>0</v>
      </c>
      <c r="EP72">
        <f>COUNTIFS('DRAFT 2'!$D:$D,$B72,'DRAFT 2'!$A:$A,"&gt;="&amp;DATE(2026,5,1),'DRAFT 2'!$A:$A,"&lt;="&amp;DATE(2026,5,7))</f>
        <v>0</v>
      </c>
      <c r="EQ72">
        <f>COUNTIFS('DRAFT 2'!$D:$D,$B72,'DRAFT 2'!$A:$A,"&gt;="&amp;DATE(2026,5,8),'DRAFT 2'!$A:$A,"&lt;="&amp;DATE(2026,5,14))</f>
        <v>0</v>
      </c>
      <c r="ER72">
        <f>COUNTIFS('DRAFT 2'!$D:$D,$B72,'DRAFT 2'!$A:$A,"&gt;="&amp;DATE(2026,5,15),'DRAFT 2'!$A:$A,"&lt;="&amp;DATE(2026,5,21))</f>
        <v>0</v>
      </c>
      <c r="ES72">
        <f>COUNTIFS('DRAFT 2'!$D:$D,$B72,'DRAFT 2'!$A:$A,"&gt;="&amp;DATE(2026,5,22),'DRAFT 2'!$A:$A,"&lt;"&amp;DATE(2026,IF(5=12,5+1,5+1),1))</f>
        <v>0</v>
      </c>
      <c r="ET72">
        <f t="shared" si="34"/>
        <v>0</v>
      </c>
      <c r="FD72">
        <f>IFERROR(LOOKUP(2,1/('DRAFT 2'!$D:$D=$B72)*('DRAFT 2'!$A:$A&gt;=DATE(2026,6,1))*('DRAFT 2'!$A:$A&lt;DATE(2026,IF(6=12,6+1,6+1),1)),'DRAFT 2'!$A:$A),"")</f>
        <v>0</v>
      </c>
      <c r="FE72">
        <f>COUNTIFS('DRAFT 2'!$D:$D,$B72,'DRAFT 2'!$A:$A,"&gt;="&amp;DATE(2026,6,1),'DRAFT 2'!$A:$A,"&lt;="&amp;DATE(2026,6,7))</f>
        <v>0</v>
      </c>
      <c r="FF72">
        <f>COUNTIFS('DRAFT 2'!$D:$D,$B72,'DRAFT 2'!$A:$A,"&gt;="&amp;DATE(2026,6,8),'DRAFT 2'!$A:$A,"&lt;="&amp;DATE(2026,6,14))</f>
        <v>0</v>
      </c>
      <c r="FG72">
        <f>COUNTIFS('DRAFT 2'!$D:$D,$B72,'DRAFT 2'!$A:$A,"&gt;="&amp;DATE(2026,6,15),'DRAFT 2'!$A:$A,"&lt;="&amp;DATE(2026,6,21))</f>
        <v>0</v>
      </c>
      <c r="FH72">
        <f>COUNTIFS('DRAFT 2'!$D:$D,$B72,'DRAFT 2'!$A:$A,"&gt;="&amp;DATE(2026,6,22),'DRAFT 2'!$A:$A,"&lt;"&amp;DATE(2026,IF(6=12,6+1,6+1),1))</f>
        <v>0</v>
      </c>
      <c r="FI72">
        <f t="shared" si="35"/>
        <v>0</v>
      </c>
      <c r="FT72">
        <f>IFERROR(LOOKUP(2,1/('DRAFT 2'!$D:$D=$B72)*('DRAFT 2'!$A:$A&gt;=DATE(2026,7,1))*('DRAFT 2'!$A:$A&lt;DATE(2026,IF(7=12,7+1,7+1),1)),'DRAFT 2'!$A:$A),"")</f>
        <v>0</v>
      </c>
      <c r="FU72">
        <f>COUNTIFS('DRAFT 2'!$D:$D,$B72,'DRAFT 2'!$A:$A,"&gt;="&amp;DATE(2026,7,1),'DRAFT 2'!$A:$A,"&lt;="&amp;DATE(2026,7,7))</f>
        <v>0</v>
      </c>
      <c r="FV72">
        <f>COUNTIFS('DRAFT 2'!$D:$D,$B72,'DRAFT 2'!$A:$A,"&gt;="&amp;DATE(2026,7,8),'DRAFT 2'!$A:$A,"&lt;="&amp;DATE(2026,7,14))</f>
        <v>0</v>
      </c>
      <c r="FW72">
        <f>COUNTIFS('DRAFT 2'!$D:$D,$B72,'DRAFT 2'!$A:$A,"&gt;="&amp;DATE(2026,7,15),'DRAFT 2'!$A:$A,"&lt;="&amp;DATE(2026,7,21))</f>
        <v>0</v>
      </c>
      <c r="FX72">
        <f>COUNTIFS('DRAFT 2'!$D:$D,$B72,'DRAFT 2'!$A:$A,"&gt;="&amp;DATE(2026,7,22),'DRAFT 2'!$A:$A,"&lt;"&amp;DATE(2026,IF(7=12,7+1,7+1),1))</f>
        <v>0</v>
      </c>
      <c r="FY72">
        <f t="shared" si="36"/>
        <v>0</v>
      </c>
      <c r="GI72">
        <f>IFERROR(LOOKUP(2,1/('DRAFT 2'!$D:$D=$B72)*('DRAFT 2'!$A:$A&gt;=DATE(2026,8,1))*('DRAFT 2'!$A:$A&lt;DATE(2026,IF(8=12,8+1,8+1),1)),'DRAFT 2'!$A:$A),"")</f>
        <v>0</v>
      </c>
      <c r="GJ72">
        <f>COUNTIFS('DRAFT 2'!$D:$D,$B72,'DRAFT 2'!$A:$A,"&gt;="&amp;DATE(2026,8,1),'DRAFT 2'!$A:$A,"&lt;="&amp;DATE(2026,8,7))</f>
        <v>0</v>
      </c>
      <c r="GK72">
        <f>COUNTIFS('DRAFT 2'!$D:$D,$B72,'DRAFT 2'!$A:$A,"&gt;="&amp;DATE(2026,8,8),'DRAFT 2'!$A:$A,"&lt;="&amp;DATE(2026,8,14))</f>
        <v>0</v>
      </c>
      <c r="GL72">
        <f>COUNTIFS('DRAFT 2'!$D:$D,$B72,'DRAFT 2'!$A:$A,"&gt;="&amp;DATE(2026,8,15),'DRAFT 2'!$A:$A,"&lt;="&amp;DATE(2026,8,21))</f>
        <v>0</v>
      </c>
      <c r="GM72">
        <f>COUNTIFS('DRAFT 2'!$D:$D,$B72,'DRAFT 2'!$A:$A,"&gt;="&amp;DATE(2026,8,22),'DRAFT 2'!$A:$A,"&lt;"&amp;DATE(2026,IF(8=12,8+1,8+1),1))</f>
        <v>0</v>
      </c>
      <c r="GN72">
        <f t="shared" si="37"/>
        <v>0</v>
      </c>
      <c r="GX72">
        <f>IFERROR(LOOKUP(2,1/('DRAFT 2'!$D:$D=$B72)*('DRAFT 2'!$A:$A&gt;=DATE(2026,9,1))*('DRAFT 2'!$A:$A&lt;DATE(2026,IF(9=12,9+1,9+1),1)),'DRAFT 2'!$A:$A),"")</f>
        <v>0</v>
      </c>
      <c r="GY72">
        <f>COUNTIFS('DRAFT 2'!$D:$D,$B72,'DRAFT 2'!$A:$A,"&gt;="&amp;DATE(2026,9,1),'DRAFT 2'!$A:$A,"&lt;="&amp;DATE(2026,9,7))</f>
        <v>0</v>
      </c>
      <c r="GZ72">
        <f>COUNTIFS('DRAFT 2'!$D:$D,$B72,'DRAFT 2'!$A:$A,"&gt;="&amp;DATE(2026,9,8),'DRAFT 2'!$A:$A,"&lt;="&amp;DATE(2026,9,14))</f>
        <v>0</v>
      </c>
      <c r="HA72">
        <f>COUNTIFS('DRAFT 2'!$D:$D,$B72,'DRAFT 2'!$A:$A,"&gt;="&amp;DATE(2026,9,15),'DRAFT 2'!$A:$A,"&lt;="&amp;DATE(2026,9,21))</f>
        <v>0</v>
      </c>
      <c r="HB72">
        <f>COUNTIFS('DRAFT 2'!$D:$D,$B72,'DRAFT 2'!$A:$A,"&gt;="&amp;DATE(2026,9,22),'DRAFT 2'!$A:$A,"&lt;"&amp;DATE(2026,IF(9=12,9+1,9+1),1))</f>
        <v>0</v>
      </c>
      <c r="HC72">
        <f t="shared" si="38"/>
        <v>0</v>
      </c>
      <c r="HN72">
        <f>IFERROR(LOOKUP(2,1/('DRAFT 2'!$D:$D=$B72)*('DRAFT 2'!$A:$A&gt;=DATE(2026,10,1))*('DRAFT 2'!$A:$A&lt;DATE(2026,IF(10=12,10+1,10+1),1)),'DRAFT 2'!$A:$A),"")</f>
        <v>0</v>
      </c>
      <c r="HO72">
        <f>COUNTIFS('DRAFT 2'!$D:$D,$B72,'DRAFT 2'!$A:$A,"&gt;="&amp;DATE(2026,10,1),'DRAFT 2'!$A:$A,"&lt;="&amp;DATE(2026,10,7))</f>
        <v>0</v>
      </c>
      <c r="HP72">
        <f>COUNTIFS('DRAFT 2'!$D:$D,$B72,'DRAFT 2'!$A:$A,"&gt;="&amp;DATE(2026,10,8),'DRAFT 2'!$A:$A,"&lt;="&amp;DATE(2026,10,14))</f>
        <v>0</v>
      </c>
      <c r="HQ72">
        <f>COUNTIFS('DRAFT 2'!$D:$D,$B72,'DRAFT 2'!$A:$A,"&gt;="&amp;DATE(2026,10,15),'DRAFT 2'!$A:$A,"&lt;="&amp;DATE(2026,10,21))</f>
        <v>0</v>
      </c>
      <c r="HR72">
        <f>COUNTIFS('DRAFT 2'!$D:$D,$B72,'DRAFT 2'!$A:$A,"&gt;="&amp;DATE(2026,10,22),'DRAFT 2'!$A:$A,"&lt;"&amp;DATE(2026,IF(10=12,10+1,10+1),1))</f>
        <v>0</v>
      </c>
      <c r="HS72">
        <f t="shared" si="39"/>
        <v>0</v>
      </c>
      <c r="IC72">
        <f>IFERROR(LOOKUP(2,1/('DRAFT 2'!$D:$D=$B72)*('DRAFT 2'!$A:$A&gt;=DATE(2026,11,1))*('DRAFT 2'!$A:$A&lt;DATE(2026,IF(11=12,11+1,11+1),1)),'DRAFT 2'!$A:$A),"")</f>
        <v>0</v>
      </c>
      <c r="ID72">
        <f>COUNTIFS('DRAFT 2'!$D:$D,$B72,'DRAFT 2'!$A:$A,"&gt;="&amp;DATE(2026,11,1),'DRAFT 2'!$A:$A,"&lt;="&amp;DATE(2026,11,7))</f>
        <v>0</v>
      </c>
      <c r="IE72">
        <f>COUNTIFS('DRAFT 2'!$D:$D,$B72,'DRAFT 2'!$A:$A,"&gt;="&amp;DATE(2026,11,8),'DRAFT 2'!$A:$A,"&lt;="&amp;DATE(2026,11,14))</f>
        <v>0</v>
      </c>
      <c r="IF72">
        <f>COUNTIFS('DRAFT 2'!$D:$D,$B72,'DRAFT 2'!$A:$A,"&gt;="&amp;DATE(2026,11,15),'DRAFT 2'!$A:$A,"&lt;="&amp;DATE(2026,11,21))</f>
        <v>0</v>
      </c>
      <c r="IG72">
        <f>COUNTIFS('DRAFT 2'!$D:$D,$B72,'DRAFT 2'!$A:$A,"&gt;="&amp;DATE(2026,11,22),'DRAFT 2'!$A:$A,"&lt;"&amp;DATE(2026,IF(11=12,11+1,11+1),1))</f>
        <v>0</v>
      </c>
      <c r="IH72">
        <f t="shared" si="40"/>
        <v>0</v>
      </c>
      <c r="IR72">
        <f>IFERROR(LOOKUP(2,1/('DRAFT 2'!$D:$D=$B72)*('DRAFT 2'!$A:$A&gt;=DATE(2026,12,1))*('DRAFT 2'!$A:$A&lt;DATE(2026,IF(12=12,12+1,12+1),1)),'DRAFT 2'!$A:$A),"")</f>
        <v>0</v>
      </c>
      <c r="IS72">
        <f>COUNTIFS('DRAFT 2'!$D:$D,$B72,'DRAFT 2'!$A:$A,"&gt;="&amp;DATE(2026,12,1),'DRAFT 2'!$A:$A,"&lt;="&amp;DATE(2026,12,7))</f>
        <v>0</v>
      </c>
      <c r="IT72">
        <f>COUNTIFS('DRAFT 2'!$D:$D,$B72,'DRAFT 2'!$A:$A,"&gt;="&amp;DATE(2026,12,8),'DRAFT 2'!$A:$A,"&lt;="&amp;DATE(2026,12,14))</f>
        <v>0</v>
      </c>
      <c r="IU72">
        <f>COUNTIFS('DRAFT 2'!$D:$D,$B72,'DRAFT 2'!$A:$A,"&gt;="&amp;DATE(2026,12,15),'DRAFT 2'!$A:$A,"&lt;="&amp;DATE(2026,12,21))</f>
        <v>0</v>
      </c>
      <c r="IV72">
        <f>COUNTIFS('DRAFT 2'!$D:$D,$B72,'DRAFT 2'!$A:$A,"&gt;="&amp;DATE(2026,12,22),'DRAFT 2'!$A:$A,"&lt;"&amp;DATE(2026,IF(12=12,12+1,12+1),1))</f>
        <v>0</v>
      </c>
      <c r="IW72">
        <f t="shared" si="41"/>
        <v>0</v>
      </c>
    </row>
    <row r="73" spans="1:257" x14ac:dyDescent="0.3">
      <c r="A73" t="str">
        <f>IFERROR(INDEX('DRAFT 1'!$A:$A,MATCH($B73,'DRAFT 1'!$B:$B,0)),"")</f>
        <v/>
      </c>
      <c r="C73" t="str">
        <f>IFERROR(INDEX('DRAFT 1'!$C:$C,MATCH($B73,'DRAFT 1'!$B:$B,0)),"")</f>
        <v/>
      </c>
      <c r="D73" t="str">
        <f>IFERROR(INDEX('DRAFT 1'!$D:$D,MATCH($B73,'DRAFT 1'!$B:$B,0)),"")</f>
        <v/>
      </c>
      <c r="E73" t="str">
        <f>IFERROR(INDEX('DRAFT 1'!$E:$E,MATCH($B73,'DRAFT 1'!$B:$B,0)),"")</f>
        <v/>
      </c>
      <c r="F73" t="str">
        <f>IFERROR(INDEX('DRAFT 1'!$F:$F,MATCH($B73,'DRAFT 1'!$B:$B,0)),"")</f>
        <v/>
      </c>
      <c r="G73" t="str">
        <f>IFERROR(INDEX('DRAFT 1'!$G:$G,MATCH($B73,'DRAFT 1'!$B:$B,0)),"")</f>
        <v/>
      </c>
      <c r="H73" t="str">
        <f>IFERROR(INDEX('DRAFT 1'!$H:$H,MATCH($B73,'DRAFT 1'!$B:$B,0)),"")</f>
        <v/>
      </c>
      <c r="I73" t="s">
        <v>283</v>
      </c>
      <c r="K73" t="str">
        <f>IFERROR(INDEX('DRAFT 1'!$AL:$AL,MATCH($B73,'DRAFT 1'!$B:$B,0)),"")</f>
        <v/>
      </c>
      <c r="L73" t="str">
        <f>IFERROR(INDEX('DRAFT 1'!$J:$J,MATCH($B73,'DRAFT 1'!$B:$B,0)),"")</f>
        <v/>
      </c>
      <c r="M73" t="str">
        <f>IFERROR(INDEX('DRAFT 1'!$K:$K,MATCH($B73,'DRAFT 1'!$B:$B,0)),"")</f>
        <v/>
      </c>
      <c r="N73" t="s">
        <v>79</v>
      </c>
      <c r="P73" t="str">
        <f>IFERROR(INDEX('DRAFT 1'!$L:$L,MATCH($B73,'DRAFT 1'!$B:$B,0)),"")</f>
        <v/>
      </c>
      <c r="Q73" t="str">
        <f>IFERROR(INDEX('DRAFT 1'!$M:$M,MATCH($B73,'DRAFT 1'!$B:$B,0)),"")</f>
        <v/>
      </c>
      <c r="R73" t="str">
        <f>IFERROR(INDEX('DRAFT 1'!$N:$N,MATCH($B73,'DRAFT 1'!$B:$B,0)),"")</f>
        <v/>
      </c>
      <c r="S73" t="str">
        <f>IFERROR(INDEX('DRAFT 1'!$O:$O,MATCH($B73,'DRAFT 1'!$B:$B,0)),"")</f>
        <v/>
      </c>
      <c r="T73" t="str">
        <f>IFERROR(INDEX('DRAFT 1'!$P:$P,MATCH($B73,'DRAFT 1'!$B:$B,0)),"")</f>
        <v/>
      </c>
      <c r="U73" t="str">
        <f>IFERROR(INDEX('DRAFT 1'!$Q:$Q,MATCH($B73,'DRAFT 1'!$B:$B,0)),"")</f>
        <v/>
      </c>
      <c r="V73" t="str">
        <f>IFERROR(INDEX('DRAFT 1'!$R:$R,MATCH($B73,'DRAFT 1'!$B:$B,0)),"")</f>
        <v/>
      </c>
      <c r="W73" t="str">
        <f>IFERROR(INDEX('DRAFT 1'!$S:$S,MATCH($B73,'DRAFT 1'!$B:$B,0)),"")</f>
        <v/>
      </c>
      <c r="X73" t="str">
        <f>IFERROR(INDEX('DRAFT 1'!$T:$T,MATCH($B73,'DRAFT 1'!$B:$B,0)),"")</f>
        <v/>
      </c>
      <c r="Z73" t="str">
        <f>IFERROR(INDEX('DRAFT 1'!$U:$U,MATCH($B73,'DRAFT 1'!$B:$B,0)),"")</f>
        <v/>
      </c>
      <c r="AA73" t="str">
        <f>IFERROR(INDEX('DRAFT 1'!$V:$V,MATCH($B73,'DRAFT 1'!$B:$B,0)),"")</f>
        <v/>
      </c>
      <c r="AB73" t="str">
        <f>IFERROR(INDEX('DRAFT 1'!$W:$W,MATCH($B73,'DRAFT 1'!$B:$B,0)),"")</f>
        <v/>
      </c>
      <c r="AC73" t="str">
        <f>IFERROR(INDEX('DRAFT 1'!$X:$X,MATCH($B73,'DRAFT 1'!$B:$B,0)),"")</f>
        <v/>
      </c>
      <c r="AD73" t="str">
        <f>IFERROR(INDEX('DRAFT 1'!$Y:$Y,MATCH($B73,'DRAFT 1'!$B:$B,0)),"")</f>
        <v/>
      </c>
      <c r="AE73" t="str">
        <f>IFERROR(INDEX('DRAFT 1'!$Z:$Z,MATCH($B73,'DRAFT 1'!$B:$B,0)),"")</f>
        <v/>
      </c>
      <c r="AF73" t="str">
        <f>IFERROR(INDEX('DRAFT 1'!$AA:$AA,MATCH($B73,'DRAFT 1'!$B:$B,0)),"")</f>
        <v/>
      </c>
      <c r="AG73" t="str">
        <f>IFERROR(INDEX('DRAFT 1'!$AB:$AB,MATCH($B73,'DRAFT 1'!$B:$B,0)),"")</f>
        <v/>
      </c>
      <c r="AH73" t="str">
        <f>IFERROR(INDEX('DRAFT 1'!$AC:$AC,MATCH($B73,'DRAFT 1'!$B:$B,0)),"")</f>
        <v/>
      </c>
      <c r="AI73" t="str">
        <f>IFERROR(INDEX('DRAFT 1'!$AD:$AD,MATCH($B73,'DRAFT 1'!$B:$B,0)),"")</f>
        <v/>
      </c>
      <c r="AJ73" t="str">
        <f>IFERROR(INDEX('DRAFT 1'!$AE:$AE,MATCH($B73,'DRAFT 1'!$B:$B,0)),"")</f>
        <v/>
      </c>
      <c r="AK73" t="str">
        <f>IFERROR(INDEX('DRAFT 1'!$AG:$AG,MATCH($B73,'DRAFT 1'!$B:$B,0)),"")</f>
        <v/>
      </c>
      <c r="AL73" t="str">
        <f>IFERROR(INDEX('DRAFT 1'!$AH:$AH,MATCH($B73,'DRAFT 1'!$B:$B,0)),"")</f>
        <v/>
      </c>
      <c r="AM73" t="str">
        <f>IFERROR(INDEX('DRAFT 1'!$AI:$AI,MATCH($B73,'DRAFT 1'!$B:$B,0)),"")</f>
        <v/>
      </c>
      <c r="AN73" t="str">
        <f>IFERROR(INDEX('DRAFT 1'!$AJ:$AJ,MATCH($B73,'DRAFT 1'!$B:$B,0)),"")</f>
        <v/>
      </c>
      <c r="AO73">
        <f t="shared" si="28"/>
        <v>0</v>
      </c>
      <c r="AP73" t="str">
        <f>IFERROR(INDEX('DRAFT 1'!$AK:$AK,MATCH($B73,'DRAFT 1'!$B:$B,0)),"")</f>
        <v/>
      </c>
      <c r="AR73" t="s">
        <v>33</v>
      </c>
      <c r="AS73">
        <f>IFERROR(LOOKUP(2,1/('DRAFT 2'!$D:$D=$B73),'DRAFT 2'!$T:$T),"")</f>
        <v>0</v>
      </c>
      <c r="AT73">
        <f>IFERROR(LOOKUP(2,1/('DRAFT 2'!$D:$D=$B73),'DRAFT 2'!$A:$A),"")</f>
        <v>0</v>
      </c>
      <c r="AU73">
        <f>IFERROR(LOOKUP(2,1/('DRAFT 2'!$D:$D=$B73),'DRAFT 2'!$R:$R),"")</f>
        <v>0</v>
      </c>
      <c r="AV73">
        <f>IFERROR(LOOKUP(2,1/('DRAFT 2'!$D:$D=$B73),'DRAFT 2'!$S:$S),"")</f>
        <v>0</v>
      </c>
      <c r="AW73" t="s">
        <v>85</v>
      </c>
      <c r="AX73">
        <f>IFERROR(LOOKUP(2,1/('DRAFT 2'!$D:$D=$B73),'DRAFT 2'!$M:$M),"")</f>
        <v>0</v>
      </c>
      <c r="AY73">
        <f>IFERROR(LOOKUP(2,1/('DRAFT 2'!$D:$D=$B73),'DRAFT 2'!$K:$K),"")</f>
        <v>0</v>
      </c>
      <c r="BG73">
        <f>IFERROR(LOOKUP(2,1/('DRAFT 2'!$D:$D=$B73),'DRAFT 2'!$U:$U),"")</f>
        <v>0</v>
      </c>
      <c r="BH73">
        <f>IFERROR(LOOKUP(2,1/('DRAFT 2'!$D:$D=$B73),'DRAFT 2'!$V:$V),"")</f>
        <v>0</v>
      </c>
      <c r="CE73" t="str">
        <f t="shared" si="29"/>
        <v/>
      </c>
      <c r="CF73">
        <f>IFERROR(LOOKUP(2,1/('DRAFT 2'!$D:$D=$B73)*('DRAFT 2'!$A:$A&gt;=DATE(2026,1,1))*('DRAFT 2'!$A:$A&lt;DATE(2026,IF(1=12,1+1,1+1),1)),'DRAFT 2'!$A:$A),"")</f>
        <v>0</v>
      </c>
      <c r="CG73">
        <f>COUNTIFS('DRAFT 2'!$D:$D,$B73,'DRAFT 2'!$A:$A,"&gt;="&amp;DATE(2026,1,1),'DRAFT 2'!$A:$A,"&lt;="&amp;DATE(2026,1,7))</f>
        <v>0</v>
      </c>
      <c r="CH73">
        <f>COUNTIFS('DRAFT 2'!$D:$D,$B73,'DRAFT 2'!$A:$A,"&gt;="&amp;DATE(2026,1,8),'DRAFT 2'!$A:$A,"&lt;="&amp;DATE(2026,1,14))</f>
        <v>0</v>
      </c>
      <c r="CI73">
        <f>COUNTIFS('DRAFT 2'!$D:$D,$B73,'DRAFT 2'!$A:$A,"&gt;="&amp;DATE(2026,1,15),'DRAFT 2'!$A:$A,"&lt;="&amp;DATE(2026,1,21))</f>
        <v>0</v>
      </c>
      <c r="CJ73">
        <f>COUNTIFS('DRAFT 2'!$D:$D,$B73,'DRAFT 2'!$A:$A,"&gt;="&amp;DATE(2026,1,22),'DRAFT 2'!$A:$A,"&lt;"&amp;DATE(2026,IF(1=12,1+1,1+1),1))</f>
        <v>0</v>
      </c>
      <c r="CK73">
        <f t="shared" si="30"/>
        <v>0</v>
      </c>
      <c r="CT73">
        <v>0</v>
      </c>
      <c r="CU73">
        <f>IFERROR(LOOKUP(2,1/('DRAFT 2'!$D:$D=$B73)*('DRAFT 2'!$A:$A&gt;=DATE(2026,2,1))*('DRAFT 2'!$A:$A&lt;DATE(2026,IF(2=12,2+1,2+1),1)),'DRAFT 2'!$A:$A),"")</f>
        <v>0</v>
      </c>
      <c r="CV73">
        <f>COUNTIFS('DRAFT 2'!$D:$D,$B73,'DRAFT 2'!$A:$A,"&gt;="&amp;DATE(2026,2,1),'DRAFT 2'!$A:$A,"&lt;="&amp;DATE(2026,2,7))</f>
        <v>0</v>
      </c>
      <c r="CW73">
        <f>COUNTIFS('DRAFT 2'!$D:$D,$B73,'DRAFT 2'!$A:$A,"&gt;="&amp;DATE(2026,2,8),'DRAFT 2'!$A:$A,"&lt;="&amp;DATE(2026,2,14))</f>
        <v>0</v>
      </c>
      <c r="CX73">
        <f>COUNTIFS('DRAFT 2'!$D:$D,$B73,'DRAFT 2'!$A:$A,"&gt;="&amp;DATE(2026,2,15),'DRAFT 2'!$A:$A,"&lt;="&amp;DATE(2026,2,21))</f>
        <v>0</v>
      </c>
      <c r="CY73">
        <f>COUNTIFS('DRAFT 2'!$D:$D,$B73,'DRAFT 2'!$A:$A,"&gt;="&amp;DATE(2026,2,22),'DRAFT 2'!$A:$A,"&lt;"&amp;DATE(2026,IF(2=12,2+1,2+1),1))</f>
        <v>0</v>
      </c>
      <c r="CZ73">
        <f t="shared" si="31"/>
        <v>0</v>
      </c>
      <c r="DJ73">
        <f>IFERROR(LOOKUP(2,1/('DRAFT 2'!$D:$D=$B73)*('DRAFT 2'!$A:$A&gt;=DATE(2026,3,1))*('DRAFT 2'!$A:$A&lt;DATE(2026,IF(3=12,3+1,3+1),1)),'DRAFT 2'!$A:$A),"")</f>
        <v>0</v>
      </c>
      <c r="DK73">
        <f>COUNTIFS('DRAFT 2'!$D:$D,$B73,'DRAFT 2'!$A:$A,"&gt;="&amp;DATE(2026,3,1),'DRAFT 2'!$A:$A,"&lt;="&amp;DATE(2026,3,7))</f>
        <v>0</v>
      </c>
      <c r="DL73">
        <f>COUNTIFS('DRAFT 2'!$D:$D,$B73,'DRAFT 2'!$A:$A,"&gt;="&amp;DATE(2026,3,8),'DRAFT 2'!$A:$A,"&lt;="&amp;DATE(2026,3,14))</f>
        <v>0</v>
      </c>
      <c r="DM73">
        <f>COUNTIFS('DRAFT 2'!$D:$D,$B73,'DRAFT 2'!$A:$A,"&gt;="&amp;DATE(2026,3,15),'DRAFT 2'!$A:$A,"&lt;="&amp;DATE(2026,3,21))</f>
        <v>0</v>
      </c>
      <c r="DN73">
        <f>COUNTIFS('DRAFT 2'!$D:$D,$B73,'DRAFT 2'!$A:$A,"&gt;="&amp;DATE(2026,3,22),'DRAFT 2'!$A:$A,"&lt;"&amp;DATE(2026,IF(3=12,3+1,3+1),1))</f>
        <v>0</v>
      </c>
      <c r="DO73">
        <f t="shared" si="32"/>
        <v>0</v>
      </c>
      <c r="DZ73">
        <f>IFERROR(LOOKUP(2,1/('DRAFT 2'!$D:$D=$B73)*('DRAFT 2'!$A:$A&gt;=DATE(2026,4,1))*('DRAFT 2'!$A:$A&lt;DATE(2026,IF(4=12,4+1,4+1),1)),'DRAFT 2'!$A:$A),"")</f>
        <v>0</v>
      </c>
      <c r="EA73">
        <f>COUNTIFS('DRAFT 2'!$D:$D,$B73,'DRAFT 2'!$A:$A,"&gt;="&amp;DATE(2026,4,1),'DRAFT 2'!$A:$A,"&lt;="&amp;DATE(2026,4,7))</f>
        <v>0</v>
      </c>
      <c r="EB73">
        <f>COUNTIFS('DRAFT 2'!$D:$D,$B73,'DRAFT 2'!$A:$A,"&gt;="&amp;DATE(2026,4,8),'DRAFT 2'!$A:$A,"&lt;="&amp;DATE(2026,4,14))</f>
        <v>0</v>
      </c>
      <c r="EC73">
        <f>COUNTIFS('DRAFT 2'!$D:$D,$B73,'DRAFT 2'!$A:$A,"&gt;="&amp;DATE(2026,4,15),'DRAFT 2'!$A:$A,"&lt;="&amp;DATE(2026,4,21))</f>
        <v>0</v>
      </c>
      <c r="ED73">
        <f>COUNTIFS('DRAFT 2'!$D:$D,$B73,'DRAFT 2'!$A:$A,"&gt;="&amp;DATE(2026,4,22),'DRAFT 2'!$A:$A,"&lt;"&amp;DATE(2026,IF(4=12,4+1,4+1),1))</f>
        <v>0</v>
      </c>
      <c r="EE73">
        <f t="shared" si="33"/>
        <v>0</v>
      </c>
      <c r="EO73">
        <f>IFERROR(LOOKUP(2,1/('DRAFT 2'!$D:$D=$B73)*('DRAFT 2'!$A:$A&gt;=DATE(2026,5,1))*('DRAFT 2'!$A:$A&lt;DATE(2026,IF(5=12,5+1,5+1),1)),'DRAFT 2'!$A:$A),"")</f>
        <v>0</v>
      </c>
      <c r="EP73">
        <f>COUNTIFS('DRAFT 2'!$D:$D,$B73,'DRAFT 2'!$A:$A,"&gt;="&amp;DATE(2026,5,1),'DRAFT 2'!$A:$A,"&lt;="&amp;DATE(2026,5,7))</f>
        <v>0</v>
      </c>
      <c r="EQ73">
        <f>COUNTIFS('DRAFT 2'!$D:$D,$B73,'DRAFT 2'!$A:$A,"&gt;="&amp;DATE(2026,5,8),'DRAFT 2'!$A:$A,"&lt;="&amp;DATE(2026,5,14))</f>
        <v>0</v>
      </c>
      <c r="ER73">
        <f>COUNTIFS('DRAFT 2'!$D:$D,$B73,'DRAFT 2'!$A:$A,"&gt;="&amp;DATE(2026,5,15),'DRAFT 2'!$A:$A,"&lt;="&amp;DATE(2026,5,21))</f>
        <v>0</v>
      </c>
      <c r="ES73">
        <f>COUNTIFS('DRAFT 2'!$D:$D,$B73,'DRAFT 2'!$A:$A,"&gt;="&amp;DATE(2026,5,22),'DRAFT 2'!$A:$A,"&lt;"&amp;DATE(2026,IF(5=12,5+1,5+1),1))</f>
        <v>0</v>
      </c>
      <c r="ET73">
        <f t="shared" si="34"/>
        <v>0</v>
      </c>
      <c r="FD73">
        <f>IFERROR(LOOKUP(2,1/('DRAFT 2'!$D:$D=$B73)*('DRAFT 2'!$A:$A&gt;=DATE(2026,6,1))*('DRAFT 2'!$A:$A&lt;DATE(2026,IF(6=12,6+1,6+1),1)),'DRAFT 2'!$A:$A),"")</f>
        <v>0</v>
      </c>
      <c r="FE73">
        <f>COUNTIFS('DRAFT 2'!$D:$D,$B73,'DRAFT 2'!$A:$A,"&gt;="&amp;DATE(2026,6,1),'DRAFT 2'!$A:$A,"&lt;="&amp;DATE(2026,6,7))</f>
        <v>0</v>
      </c>
      <c r="FF73">
        <f>COUNTIFS('DRAFT 2'!$D:$D,$B73,'DRAFT 2'!$A:$A,"&gt;="&amp;DATE(2026,6,8),'DRAFT 2'!$A:$A,"&lt;="&amp;DATE(2026,6,14))</f>
        <v>0</v>
      </c>
      <c r="FG73">
        <f>COUNTIFS('DRAFT 2'!$D:$D,$B73,'DRAFT 2'!$A:$A,"&gt;="&amp;DATE(2026,6,15),'DRAFT 2'!$A:$A,"&lt;="&amp;DATE(2026,6,21))</f>
        <v>0</v>
      </c>
      <c r="FH73">
        <f>COUNTIFS('DRAFT 2'!$D:$D,$B73,'DRAFT 2'!$A:$A,"&gt;="&amp;DATE(2026,6,22),'DRAFT 2'!$A:$A,"&lt;"&amp;DATE(2026,IF(6=12,6+1,6+1),1))</f>
        <v>0</v>
      </c>
      <c r="FI73">
        <f t="shared" si="35"/>
        <v>0</v>
      </c>
      <c r="FT73">
        <f>IFERROR(LOOKUP(2,1/('DRAFT 2'!$D:$D=$B73)*('DRAFT 2'!$A:$A&gt;=DATE(2026,7,1))*('DRAFT 2'!$A:$A&lt;DATE(2026,IF(7=12,7+1,7+1),1)),'DRAFT 2'!$A:$A),"")</f>
        <v>0</v>
      </c>
      <c r="FU73">
        <f>COUNTIFS('DRAFT 2'!$D:$D,$B73,'DRAFT 2'!$A:$A,"&gt;="&amp;DATE(2026,7,1),'DRAFT 2'!$A:$A,"&lt;="&amp;DATE(2026,7,7))</f>
        <v>0</v>
      </c>
      <c r="FV73">
        <f>COUNTIFS('DRAFT 2'!$D:$D,$B73,'DRAFT 2'!$A:$A,"&gt;="&amp;DATE(2026,7,8),'DRAFT 2'!$A:$A,"&lt;="&amp;DATE(2026,7,14))</f>
        <v>0</v>
      </c>
      <c r="FW73">
        <f>COUNTIFS('DRAFT 2'!$D:$D,$B73,'DRAFT 2'!$A:$A,"&gt;="&amp;DATE(2026,7,15),'DRAFT 2'!$A:$A,"&lt;="&amp;DATE(2026,7,21))</f>
        <v>0</v>
      </c>
      <c r="FX73">
        <f>COUNTIFS('DRAFT 2'!$D:$D,$B73,'DRAFT 2'!$A:$A,"&gt;="&amp;DATE(2026,7,22),'DRAFT 2'!$A:$A,"&lt;"&amp;DATE(2026,IF(7=12,7+1,7+1),1))</f>
        <v>0</v>
      </c>
      <c r="FY73">
        <f t="shared" si="36"/>
        <v>0</v>
      </c>
      <c r="GI73">
        <f>IFERROR(LOOKUP(2,1/('DRAFT 2'!$D:$D=$B73)*('DRAFT 2'!$A:$A&gt;=DATE(2026,8,1))*('DRAFT 2'!$A:$A&lt;DATE(2026,IF(8=12,8+1,8+1),1)),'DRAFT 2'!$A:$A),"")</f>
        <v>0</v>
      </c>
      <c r="GJ73">
        <f>COUNTIFS('DRAFT 2'!$D:$D,$B73,'DRAFT 2'!$A:$A,"&gt;="&amp;DATE(2026,8,1),'DRAFT 2'!$A:$A,"&lt;="&amp;DATE(2026,8,7))</f>
        <v>0</v>
      </c>
      <c r="GK73">
        <f>COUNTIFS('DRAFT 2'!$D:$D,$B73,'DRAFT 2'!$A:$A,"&gt;="&amp;DATE(2026,8,8),'DRAFT 2'!$A:$A,"&lt;="&amp;DATE(2026,8,14))</f>
        <v>0</v>
      </c>
      <c r="GL73">
        <f>COUNTIFS('DRAFT 2'!$D:$D,$B73,'DRAFT 2'!$A:$A,"&gt;="&amp;DATE(2026,8,15),'DRAFT 2'!$A:$A,"&lt;="&amp;DATE(2026,8,21))</f>
        <v>0</v>
      </c>
      <c r="GM73">
        <f>COUNTIFS('DRAFT 2'!$D:$D,$B73,'DRAFT 2'!$A:$A,"&gt;="&amp;DATE(2026,8,22),'DRAFT 2'!$A:$A,"&lt;"&amp;DATE(2026,IF(8=12,8+1,8+1),1))</f>
        <v>0</v>
      </c>
      <c r="GN73">
        <f t="shared" si="37"/>
        <v>0</v>
      </c>
      <c r="GX73">
        <f>IFERROR(LOOKUP(2,1/('DRAFT 2'!$D:$D=$B73)*('DRAFT 2'!$A:$A&gt;=DATE(2026,9,1))*('DRAFT 2'!$A:$A&lt;DATE(2026,IF(9=12,9+1,9+1),1)),'DRAFT 2'!$A:$A),"")</f>
        <v>0</v>
      </c>
      <c r="GY73">
        <f>COUNTIFS('DRAFT 2'!$D:$D,$B73,'DRAFT 2'!$A:$A,"&gt;="&amp;DATE(2026,9,1),'DRAFT 2'!$A:$A,"&lt;="&amp;DATE(2026,9,7))</f>
        <v>0</v>
      </c>
      <c r="GZ73">
        <f>COUNTIFS('DRAFT 2'!$D:$D,$B73,'DRAFT 2'!$A:$A,"&gt;="&amp;DATE(2026,9,8),'DRAFT 2'!$A:$A,"&lt;="&amp;DATE(2026,9,14))</f>
        <v>0</v>
      </c>
      <c r="HA73">
        <f>COUNTIFS('DRAFT 2'!$D:$D,$B73,'DRAFT 2'!$A:$A,"&gt;="&amp;DATE(2026,9,15),'DRAFT 2'!$A:$A,"&lt;="&amp;DATE(2026,9,21))</f>
        <v>0</v>
      </c>
      <c r="HB73">
        <f>COUNTIFS('DRAFT 2'!$D:$D,$B73,'DRAFT 2'!$A:$A,"&gt;="&amp;DATE(2026,9,22),'DRAFT 2'!$A:$A,"&lt;"&amp;DATE(2026,IF(9=12,9+1,9+1),1))</f>
        <v>0</v>
      </c>
      <c r="HC73">
        <f t="shared" si="38"/>
        <v>0</v>
      </c>
      <c r="HN73">
        <f>IFERROR(LOOKUP(2,1/('DRAFT 2'!$D:$D=$B73)*('DRAFT 2'!$A:$A&gt;=DATE(2026,10,1))*('DRAFT 2'!$A:$A&lt;DATE(2026,IF(10=12,10+1,10+1),1)),'DRAFT 2'!$A:$A),"")</f>
        <v>0</v>
      </c>
      <c r="HO73">
        <f>COUNTIFS('DRAFT 2'!$D:$D,$B73,'DRAFT 2'!$A:$A,"&gt;="&amp;DATE(2026,10,1),'DRAFT 2'!$A:$A,"&lt;="&amp;DATE(2026,10,7))</f>
        <v>0</v>
      </c>
      <c r="HP73">
        <f>COUNTIFS('DRAFT 2'!$D:$D,$B73,'DRAFT 2'!$A:$A,"&gt;="&amp;DATE(2026,10,8),'DRAFT 2'!$A:$A,"&lt;="&amp;DATE(2026,10,14))</f>
        <v>0</v>
      </c>
      <c r="HQ73">
        <f>COUNTIFS('DRAFT 2'!$D:$D,$B73,'DRAFT 2'!$A:$A,"&gt;="&amp;DATE(2026,10,15),'DRAFT 2'!$A:$A,"&lt;="&amp;DATE(2026,10,21))</f>
        <v>0</v>
      </c>
      <c r="HR73">
        <f>COUNTIFS('DRAFT 2'!$D:$D,$B73,'DRAFT 2'!$A:$A,"&gt;="&amp;DATE(2026,10,22),'DRAFT 2'!$A:$A,"&lt;"&amp;DATE(2026,IF(10=12,10+1,10+1),1))</f>
        <v>0</v>
      </c>
      <c r="HS73">
        <f t="shared" si="39"/>
        <v>0</v>
      </c>
      <c r="IC73">
        <f>IFERROR(LOOKUP(2,1/('DRAFT 2'!$D:$D=$B73)*('DRAFT 2'!$A:$A&gt;=DATE(2026,11,1))*('DRAFT 2'!$A:$A&lt;DATE(2026,IF(11=12,11+1,11+1),1)),'DRAFT 2'!$A:$A),"")</f>
        <v>0</v>
      </c>
      <c r="ID73">
        <f>COUNTIFS('DRAFT 2'!$D:$D,$B73,'DRAFT 2'!$A:$A,"&gt;="&amp;DATE(2026,11,1),'DRAFT 2'!$A:$A,"&lt;="&amp;DATE(2026,11,7))</f>
        <v>0</v>
      </c>
      <c r="IE73">
        <f>COUNTIFS('DRAFT 2'!$D:$D,$B73,'DRAFT 2'!$A:$A,"&gt;="&amp;DATE(2026,11,8),'DRAFT 2'!$A:$A,"&lt;="&amp;DATE(2026,11,14))</f>
        <v>0</v>
      </c>
      <c r="IF73">
        <f>COUNTIFS('DRAFT 2'!$D:$D,$B73,'DRAFT 2'!$A:$A,"&gt;="&amp;DATE(2026,11,15),'DRAFT 2'!$A:$A,"&lt;="&amp;DATE(2026,11,21))</f>
        <v>0</v>
      </c>
      <c r="IG73">
        <f>COUNTIFS('DRAFT 2'!$D:$D,$B73,'DRAFT 2'!$A:$A,"&gt;="&amp;DATE(2026,11,22),'DRAFT 2'!$A:$A,"&lt;"&amp;DATE(2026,IF(11=12,11+1,11+1),1))</f>
        <v>0</v>
      </c>
      <c r="IH73">
        <f t="shared" si="40"/>
        <v>0</v>
      </c>
      <c r="IR73">
        <f>IFERROR(LOOKUP(2,1/('DRAFT 2'!$D:$D=$B73)*('DRAFT 2'!$A:$A&gt;=DATE(2026,12,1))*('DRAFT 2'!$A:$A&lt;DATE(2026,IF(12=12,12+1,12+1),1)),'DRAFT 2'!$A:$A),"")</f>
        <v>0</v>
      </c>
      <c r="IS73">
        <f>COUNTIFS('DRAFT 2'!$D:$D,$B73,'DRAFT 2'!$A:$A,"&gt;="&amp;DATE(2026,12,1),'DRAFT 2'!$A:$A,"&lt;="&amp;DATE(2026,12,7))</f>
        <v>0</v>
      </c>
      <c r="IT73">
        <f>COUNTIFS('DRAFT 2'!$D:$D,$B73,'DRAFT 2'!$A:$A,"&gt;="&amp;DATE(2026,12,8),'DRAFT 2'!$A:$A,"&lt;="&amp;DATE(2026,12,14))</f>
        <v>0</v>
      </c>
      <c r="IU73">
        <f>COUNTIFS('DRAFT 2'!$D:$D,$B73,'DRAFT 2'!$A:$A,"&gt;="&amp;DATE(2026,12,15),'DRAFT 2'!$A:$A,"&lt;="&amp;DATE(2026,12,21))</f>
        <v>0</v>
      </c>
      <c r="IV73">
        <f>COUNTIFS('DRAFT 2'!$D:$D,$B73,'DRAFT 2'!$A:$A,"&gt;="&amp;DATE(2026,12,22),'DRAFT 2'!$A:$A,"&lt;"&amp;DATE(2026,IF(12=12,12+1,12+1),1))</f>
        <v>0</v>
      </c>
      <c r="IW73">
        <f t="shared" si="41"/>
        <v>0</v>
      </c>
    </row>
    <row r="74" spans="1:257" x14ac:dyDescent="0.3">
      <c r="A74" t="str">
        <f>IFERROR(INDEX('DRAFT 1'!$A:$A,MATCH($B74,'DRAFT 1'!$B:$B,0)),"")</f>
        <v/>
      </c>
      <c r="C74" t="str">
        <f>IFERROR(INDEX('DRAFT 1'!$C:$C,MATCH($B74,'DRAFT 1'!$B:$B,0)),"")</f>
        <v/>
      </c>
      <c r="D74" t="str">
        <f>IFERROR(INDEX('DRAFT 1'!$D:$D,MATCH($B74,'DRAFT 1'!$B:$B,0)),"")</f>
        <v/>
      </c>
      <c r="E74" t="str">
        <f>IFERROR(INDEX('DRAFT 1'!$E:$E,MATCH($B74,'DRAFT 1'!$B:$B,0)),"")</f>
        <v/>
      </c>
      <c r="F74" t="str">
        <f>IFERROR(INDEX('DRAFT 1'!$F:$F,MATCH($B74,'DRAFT 1'!$B:$B,0)),"")</f>
        <v/>
      </c>
      <c r="G74" t="str">
        <f>IFERROR(INDEX('DRAFT 1'!$G:$G,MATCH($B74,'DRAFT 1'!$B:$B,0)),"")</f>
        <v/>
      </c>
      <c r="H74" t="str">
        <f>IFERROR(INDEX('DRAFT 1'!$H:$H,MATCH($B74,'DRAFT 1'!$B:$B,0)),"")</f>
        <v/>
      </c>
      <c r="I74" t="s">
        <v>292</v>
      </c>
      <c r="K74" t="str">
        <f>IFERROR(INDEX('DRAFT 1'!$AL:$AL,MATCH($B74,'DRAFT 1'!$B:$B,0)),"")</f>
        <v/>
      </c>
      <c r="L74" t="str">
        <f>IFERROR(INDEX('DRAFT 1'!$J:$J,MATCH($B74,'DRAFT 1'!$B:$B,0)),"")</f>
        <v/>
      </c>
      <c r="M74" t="str">
        <f>IFERROR(INDEX('DRAFT 1'!$K:$K,MATCH($B74,'DRAFT 1'!$B:$B,0)),"")</f>
        <v/>
      </c>
      <c r="N74" t="s">
        <v>85</v>
      </c>
      <c r="P74" t="str">
        <f>IFERROR(INDEX('DRAFT 1'!$L:$L,MATCH($B74,'DRAFT 1'!$B:$B,0)),"")</f>
        <v/>
      </c>
      <c r="Q74" t="str">
        <f>IFERROR(INDEX('DRAFT 1'!$M:$M,MATCH($B74,'DRAFT 1'!$B:$B,0)),"")</f>
        <v/>
      </c>
      <c r="R74" t="str">
        <f>IFERROR(INDEX('DRAFT 1'!$N:$N,MATCH($B74,'DRAFT 1'!$B:$B,0)),"")</f>
        <v/>
      </c>
      <c r="S74" t="str">
        <f>IFERROR(INDEX('DRAFT 1'!$O:$O,MATCH($B74,'DRAFT 1'!$B:$B,0)),"")</f>
        <v/>
      </c>
      <c r="T74" t="str">
        <f>IFERROR(INDEX('DRAFT 1'!$P:$P,MATCH($B74,'DRAFT 1'!$B:$B,0)),"")</f>
        <v/>
      </c>
      <c r="U74" t="str">
        <f>IFERROR(INDEX('DRAFT 1'!$Q:$Q,MATCH($B74,'DRAFT 1'!$B:$B,0)),"")</f>
        <v/>
      </c>
      <c r="V74" t="str">
        <f>IFERROR(INDEX('DRAFT 1'!$R:$R,MATCH($B74,'DRAFT 1'!$B:$B,0)),"")</f>
        <v/>
      </c>
      <c r="W74" t="str">
        <f>IFERROR(INDEX('DRAFT 1'!$S:$S,MATCH($B74,'DRAFT 1'!$B:$B,0)),"")</f>
        <v/>
      </c>
      <c r="X74" t="str">
        <f>IFERROR(INDEX('DRAFT 1'!$T:$T,MATCH($B74,'DRAFT 1'!$B:$B,0)),"")</f>
        <v/>
      </c>
      <c r="Z74" t="str">
        <f>IFERROR(INDEX('DRAFT 1'!$U:$U,MATCH($B74,'DRAFT 1'!$B:$B,0)),"")</f>
        <v/>
      </c>
      <c r="AA74" t="str">
        <f>IFERROR(INDEX('DRAFT 1'!$V:$V,MATCH($B74,'DRAFT 1'!$B:$B,0)),"")</f>
        <v/>
      </c>
      <c r="AB74" t="str">
        <f>IFERROR(INDEX('DRAFT 1'!$W:$W,MATCH($B74,'DRAFT 1'!$B:$B,0)),"")</f>
        <v/>
      </c>
      <c r="AC74" t="str">
        <f>IFERROR(INDEX('DRAFT 1'!$X:$X,MATCH($B74,'DRAFT 1'!$B:$B,0)),"")</f>
        <v/>
      </c>
      <c r="AD74" t="str">
        <f>IFERROR(INDEX('DRAFT 1'!$Y:$Y,MATCH($B74,'DRAFT 1'!$B:$B,0)),"")</f>
        <v/>
      </c>
      <c r="AE74" t="str">
        <f>IFERROR(INDEX('DRAFT 1'!$Z:$Z,MATCH($B74,'DRAFT 1'!$B:$B,0)),"")</f>
        <v/>
      </c>
      <c r="AF74" t="str">
        <f>IFERROR(INDEX('DRAFT 1'!$AA:$AA,MATCH($B74,'DRAFT 1'!$B:$B,0)),"")</f>
        <v/>
      </c>
      <c r="AG74" t="str">
        <f>IFERROR(INDEX('DRAFT 1'!$AB:$AB,MATCH($B74,'DRAFT 1'!$B:$B,0)),"")</f>
        <v/>
      </c>
      <c r="AH74" t="str">
        <f>IFERROR(INDEX('DRAFT 1'!$AC:$AC,MATCH($B74,'DRAFT 1'!$B:$B,0)),"")</f>
        <v/>
      </c>
      <c r="AI74" t="str">
        <f>IFERROR(INDEX('DRAFT 1'!$AD:$AD,MATCH($B74,'DRAFT 1'!$B:$B,0)),"")</f>
        <v/>
      </c>
      <c r="AJ74" t="str">
        <f>IFERROR(INDEX('DRAFT 1'!$AE:$AE,MATCH($B74,'DRAFT 1'!$B:$B,0)),"")</f>
        <v/>
      </c>
      <c r="AK74" t="str">
        <f>IFERROR(INDEX('DRAFT 1'!$AG:$AG,MATCH($B74,'DRAFT 1'!$B:$B,0)),"")</f>
        <v/>
      </c>
      <c r="AL74" t="str">
        <f>IFERROR(INDEX('DRAFT 1'!$AH:$AH,MATCH($B74,'DRAFT 1'!$B:$B,0)),"")</f>
        <v/>
      </c>
      <c r="AM74" t="str">
        <f>IFERROR(INDEX('DRAFT 1'!$AI:$AI,MATCH($B74,'DRAFT 1'!$B:$B,0)),"")</f>
        <v/>
      </c>
      <c r="AN74" t="str">
        <f>IFERROR(INDEX('DRAFT 1'!$AJ:$AJ,MATCH($B74,'DRAFT 1'!$B:$B,0)),"")</f>
        <v/>
      </c>
      <c r="AO74">
        <f t="shared" si="28"/>
        <v>0</v>
      </c>
      <c r="AP74" t="str">
        <f>IFERROR(INDEX('DRAFT 1'!$AK:$AK,MATCH($B74,'DRAFT 1'!$B:$B,0)),"")</f>
        <v/>
      </c>
      <c r="AR74" t="s">
        <v>92</v>
      </c>
      <c r="AS74">
        <f>IFERROR(LOOKUP(2,1/('DRAFT 2'!$D:$D=$B74),'DRAFT 2'!$T:$T),"")</f>
        <v>0</v>
      </c>
      <c r="AT74">
        <f>IFERROR(LOOKUP(2,1/('DRAFT 2'!$D:$D=$B74),'DRAFT 2'!$A:$A),"")</f>
        <v>0</v>
      </c>
      <c r="AU74">
        <f>IFERROR(LOOKUP(2,1/('DRAFT 2'!$D:$D=$B74),'DRAFT 2'!$R:$R),"")</f>
        <v>0</v>
      </c>
      <c r="AV74">
        <f>IFERROR(LOOKUP(2,1/('DRAFT 2'!$D:$D=$B74),'DRAFT 2'!$S:$S),"")</f>
        <v>0</v>
      </c>
      <c r="AW74" t="s">
        <v>126</v>
      </c>
      <c r="AX74">
        <f>IFERROR(LOOKUP(2,1/('DRAFT 2'!$D:$D=$B74),'DRAFT 2'!$M:$M),"")</f>
        <v>0</v>
      </c>
      <c r="AY74">
        <f>IFERROR(LOOKUP(2,1/('DRAFT 2'!$D:$D=$B74),'DRAFT 2'!$K:$K),"")</f>
        <v>0</v>
      </c>
      <c r="BG74">
        <f>IFERROR(LOOKUP(2,1/('DRAFT 2'!$D:$D=$B74),'DRAFT 2'!$U:$U),"")</f>
        <v>0</v>
      </c>
      <c r="BH74">
        <f>IFERROR(LOOKUP(2,1/('DRAFT 2'!$D:$D=$B74),'DRAFT 2'!$V:$V),"")</f>
        <v>0</v>
      </c>
      <c r="CE74" t="str">
        <f t="shared" si="29"/>
        <v/>
      </c>
      <c r="CF74">
        <f>IFERROR(LOOKUP(2,1/('DRAFT 2'!$D:$D=$B74)*('DRAFT 2'!$A:$A&gt;=DATE(2026,1,1))*('DRAFT 2'!$A:$A&lt;DATE(2026,IF(1=12,1+1,1+1),1)),'DRAFT 2'!$A:$A),"")</f>
        <v>0</v>
      </c>
      <c r="CG74">
        <f>COUNTIFS('DRAFT 2'!$D:$D,$B74,'DRAFT 2'!$A:$A,"&gt;="&amp;DATE(2026,1,1),'DRAFT 2'!$A:$A,"&lt;="&amp;DATE(2026,1,7))</f>
        <v>0</v>
      </c>
      <c r="CH74">
        <f>COUNTIFS('DRAFT 2'!$D:$D,$B74,'DRAFT 2'!$A:$A,"&gt;="&amp;DATE(2026,1,8),'DRAFT 2'!$A:$A,"&lt;="&amp;DATE(2026,1,14))</f>
        <v>0</v>
      </c>
      <c r="CI74">
        <f>COUNTIFS('DRAFT 2'!$D:$D,$B74,'DRAFT 2'!$A:$A,"&gt;="&amp;DATE(2026,1,15),'DRAFT 2'!$A:$A,"&lt;="&amp;DATE(2026,1,21))</f>
        <v>0</v>
      </c>
      <c r="CJ74">
        <f>COUNTIFS('DRAFT 2'!$D:$D,$B74,'DRAFT 2'!$A:$A,"&gt;="&amp;DATE(2026,1,22),'DRAFT 2'!$A:$A,"&lt;"&amp;DATE(2026,IF(1=12,1+1,1+1),1))</f>
        <v>0</v>
      </c>
      <c r="CK74">
        <f t="shared" si="30"/>
        <v>0</v>
      </c>
      <c r="CT74">
        <v>0</v>
      </c>
      <c r="CU74">
        <f>IFERROR(LOOKUP(2,1/('DRAFT 2'!$D:$D=$B74)*('DRAFT 2'!$A:$A&gt;=DATE(2026,2,1))*('DRAFT 2'!$A:$A&lt;DATE(2026,IF(2=12,2+1,2+1),1)),'DRAFT 2'!$A:$A),"")</f>
        <v>0</v>
      </c>
      <c r="CV74">
        <f>COUNTIFS('DRAFT 2'!$D:$D,$B74,'DRAFT 2'!$A:$A,"&gt;="&amp;DATE(2026,2,1),'DRAFT 2'!$A:$A,"&lt;="&amp;DATE(2026,2,7))</f>
        <v>0</v>
      </c>
      <c r="CW74">
        <f>COUNTIFS('DRAFT 2'!$D:$D,$B74,'DRAFT 2'!$A:$A,"&gt;="&amp;DATE(2026,2,8),'DRAFT 2'!$A:$A,"&lt;="&amp;DATE(2026,2,14))</f>
        <v>0</v>
      </c>
      <c r="CX74">
        <f>COUNTIFS('DRAFT 2'!$D:$D,$B74,'DRAFT 2'!$A:$A,"&gt;="&amp;DATE(2026,2,15),'DRAFT 2'!$A:$A,"&lt;="&amp;DATE(2026,2,21))</f>
        <v>0</v>
      </c>
      <c r="CY74">
        <f>COUNTIFS('DRAFT 2'!$D:$D,$B74,'DRAFT 2'!$A:$A,"&gt;="&amp;DATE(2026,2,22),'DRAFT 2'!$A:$A,"&lt;"&amp;DATE(2026,IF(2=12,2+1,2+1),1))</f>
        <v>0</v>
      </c>
      <c r="CZ74">
        <f t="shared" si="31"/>
        <v>0</v>
      </c>
      <c r="DJ74">
        <f>IFERROR(LOOKUP(2,1/('DRAFT 2'!$D:$D=$B74)*('DRAFT 2'!$A:$A&gt;=DATE(2026,3,1))*('DRAFT 2'!$A:$A&lt;DATE(2026,IF(3=12,3+1,3+1),1)),'DRAFT 2'!$A:$A),"")</f>
        <v>0</v>
      </c>
      <c r="DK74">
        <f>COUNTIFS('DRAFT 2'!$D:$D,$B74,'DRAFT 2'!$A:$A,"&gt;="&amp;DATE(2026,3,1),'DRAFT 2'!$A:$A,"&lt;="&amp;DATE(2026,3,7))</f>
        <v>0</v>
      </c>
      <c r="DL74">
        <f>COUNTIFS('DRAFT 2'!$D:$D,$B74,'DRAFT 2'!$A:$A,"&gt;="&amp;DATE(2026,3,8),'DRAFT 2'!$A:$A,"&lt;="&amp;DATE(2026,3,14))</f>
        <v>0</v>
      </c>
      <c r="DM74">
        <f>COUNTIFS('DRAFT 2'!$D:$D,$B74,'DRAFT 2'!$A:$A,"&gt;="&amp;DATE(2026,3,15),'DRAFT 2'!$A:$A,"&lt;="&amp;DATE(2026,3,21))</f>
        <v>0</v>
      </c>
      <c r="DN74">
        <f>COUNTIFS('DRAFT 2'!$D:$D,$B74,'DRAFT 2'!$A:$A,"&gt;="&amp;DATE(2026,3,22),'DRAFT 2'!$A:$A,"&lt;"&amp;DATE(2026,IF(3=12,3+1,3+1),1))</f>
        <v>0</v>
      </c>
      <c r="DO74">
        <f t="shared" si="32"/>
        <v>0</v>
      </c>
      <c r="DZ74">
        <f>IFERROR(LOOKUP(2,1/('DRAFT 2'!$D:$D=$B74)*('DRAFT 2'!$A:$A&gt;=DATE(2026,4,1))*('DRAFT 2'!$A:$A&lt;DATE(2026,IF(4=12,4+1,4+1),1)),'DRAFT 2'!$A:$A),"")</f>
        <v>0</v>
      </c>
      <c r="EA74">
        <f>COUNTIFS('DRAFT 2'!$D:$D,$B74,'DRAFT 2'!$A:$A,"&gt;="&amp;DATE(2026,4,1),'DRAFT 2'!$A:$A,"&lt;="&amp;DATE(2026,4,7))</f>
        <v>0</v>
      </c>
      <c r="EB74">
        <f>COUNTIFS('DRAFT 2'!$D:$D,$B74,'DRAFT 2'!$A:$A,"&gt;="&amp;DATE(2026,4,8),'DRAFT 2'!$A:$A,"&lt;="&amp;DATE(2026,4,14))</f>
        <v>0</v>
      </c>
      <c r="EC74">
        <f>COUNTIFS('DRAFT 2'!$D:$D,$B74,'DRAFT 2'!$A:$A,"&gt;="&amp;DATE(2026,4,15),'DRAFT 2'!$A:$A,"&lt;="&amp;DATE(2026,4,21))</f>
        <v>0</v>
      </c>
      <c r="ED74">
        <f>COUNTIFS('DRAFT 2'!$D:$D,$B74,'DRAFT 2'!$A:$A,"&gt;="&amp;DATE(2026,4,22),'DRAFT 2'!$A:$A,"&lt;"&amp;DATE(2026,IF(4=12,4+1,4+1),1))</f>
        <v>0</v>
      </c>
      <c r="EE74">
        <f t="shared" si="33"/>
        <v>0</v>
      </c>
      <c r="EO74">
        <f>IFERROR(LOOKUP(2,1/('DRAFT 2'!$D:$D=$B74)*('DRAFT 2'!$A:$A&gt;=DATE(2026,5,1))*('DRAFT 2'!$A:$A&lt;DATE(2026,IF(5=12,5+1,5+1),1)),'DRAFT 2'!$A:$A),"")</f>
        <v>0</v>
      </c>
      <c r="EP74">
        <f>COUNTIFS('DRAFT 2'!$D:$D,$B74,'DRAFT 2'!$A:$A,"&gt;="&amp;DATE(2026,5,1),'DRAFT 2'!$A:$A,"&lt;="&amp;DATE(2026,5,7))</f>
        <v>0</v>
      </c>
      <c r="EQ74">
        <f>COUNTIFS('DRAFT 2'!$D:$D,$B74,'DRAFT 2'!$A:$A,"&gt;="&amp;DATE(2026,5,8),'DRAFT 2'!$A:$A,"&lt;="&amp;DATE(2026,5,14))</f>
        <v>0</v>
      </c>
      <c r="ER74">
        <f>COUNTIFS('DRAFT 2'!$D:$D,$B74,'DRAFT 2'!$A:$A,"&gt;="&amp;DATE(2026,5,15),'DRAFT 2'!$A:$A,"&lt;="&amp;DATE(2026,5,21))</f>
        <v>0</v>
      </c>
      <c r="ES74">
        <f>COUNTIFS('DRAFT 2'!$D:$D,$B74,'DRAFT 2'!$A:$A,"&gt;="&amp;DATE(2026,5,22),'DRAFT 2'!$A:$A,"&lt;"&amp;DATE(2026,IF(5=12,5+1,5+1),1))</f>
        <v>0</v>
      </c>
      <c r="ET74">
        <f t="shared" si="34"/>
        <v>0</v>
      </c>
      <c r="FD74">
        <f>IFERROR(LOOKUP(2,1/('DRAFT 2'!$D:$D=$B74)*('DRAFT 2'!$A:$A&gt;=DATE(2026,6,1))*('DRAFT 2'!$A:$A&lt;DATE(2026,IF(6=12,6+1,6+1),1)),'DRAFT 2'!$A:$A),"")</f>
        <v>0</v>
      </c>
      <c r="FE74">
        <f>COUNTIFS('DRAFT 2'!$D:$D,$B74,'DRAFT 2'!$A:$A,"&gt;="&amp;DATE(2026,6,1),'DRAFT 2'!$A:$A,"&lt;="&amp;DATE(2026,6,7))</f>
        <v>0</v>
      </c>
      <c r="FF74">
        <f>COUNTIFS('DRAFT 2'!$D:$D,$B74,'DRAFT 2'!$A:$A,"&gt;="&amp;DATE(2026,6,8),'DRAFT 2'!$A:$A,"&lt;="&amp;DATE(2026,6,14))</f>
        <v>0</v>
      </c>
      <c r="FG74">
        <f>COUNTIFS('DRAFT 2'!$D:$D,$B74,'DRAFT 2'!$A:$A,"&gt;="&amp;DATE(2026,6,15),'DRAFT 2'!$A:$A,"&lt;="&amp;DATE(2026,6,21))</f>
        <v>0</v>
      </c>
      <c r="FH74">
        <f>COUNTIFS('DRAFT 2'!$D:$D,$B74,'DRAFT 2'!$A:$A,"&gt;="&amp;DATE(2026,6,22),'DRAFT 2'!$A:$A,"&lt;"&amp;DATE(2026,IF(6=12,6+1,6+1),1))</f>
        <v>0</v>
      </c>
      <c r="FI74">
        <f t="shared" si="35"/>
        <v>0</v>
      </c>
      <c r="FT74">
        <f>IFERROR(LOOKUP(2,1/('DRAFT 2'!$D:$D=$B74)*('DRAFT 2'!$A:$A&gt;=DATE(2026,7,1))*('DRAFT 2'!$A:$A&lt;DATE(2026,IF(7=12,7+1,7+1),1)),'DRAFT 2'!$A:$A),"")</f>
        <v>0</v>
      </c>
      <c r="FU74">
        <f>COUNTIFS('DRAFT 2'!$D:$D,$B74,'DRAFT 2'!$A:$A,"&gt;="&amp;DATE(2026,7,1),'DRAFT 2'!$A:$A,"&lt;="&amp;DATE(2026,7,7))</f>
        <v>0</v>
      </c>
      <c r="FV74">
        <f>COUNTIFS('DRAFT 2'!$D:$D,$B74,'DRAFT 2'!$A:$A,"&gt;="&amp;DATE(2026,7,8),'DRAFT 2'!$A:$A,"&lt;="&amp;DATE(2026,7,14))</f>
        <v>0</v>
      </c>
      <c r="FW74">
        <f>COUNTIFS('DRAFT 2'!$D:$D,$B74,'DRAFT 2'!$A:$A,"&gt;="&amp;DATE(2026,7,15),'DRAFT 2'!$A:$A,"&lt;="&amp;DATE(2026,7,21))</f>
        <v>0</v>
      </c>
      <c r="FX74">
        <f>COUNTIFS('DRAFT 2'!$D:$D,$B74,'DRAFT 2'!$A:$A,"&gt;="&amp;DATE(2026,7,22),'DRAFT 2'!$A:$A,"&lt;"&amp;DATE(2026,IF(7=12,7+1,7+1),1))</f>
        <v>0</v>
      </c>
      <c r="FY74">
        <f t="shared" si="36"/>
        <v>0</v>
      </c>
      <c r="GI74">
        <f>IFERROR(LOOKUP(2,1/('DRAFT 2'!$D:$D=$B74)*('DRAFT 2'!$A:$A&gt;=DATE(2026,8,1))*('DRAFT 2'!$A:$A&lt;DATE(2026,IF(8=12,8+1,8+1),1)),'DRAFT 2'!$A:$A),"")</f>
        <v>0</v>
      </c>
      <c r="GJ74">
        <f>COUNTIFS('DRAFT 2'!$D:$D,$B74,'DRAFT 2'!$A:$A,"&gt;="&amp;DATE(2026,8,1),'DRAFT 2'!$A:$A,"&lt;="&amp;DATE(2026,8,7))</f>
        <v>0</v>
      </c>
      <c r="GK74">
        <f>COUNTIFS('DRAFT 2'!$D:$D,$B74,'DRAFT 2'!$A:$A,"&gt;="&amp;DATE(2026,8,8),'DRAFT 2'!$A:$A,"&lt;="&amp;DATE(2026,8,14))</f>
        <v>0</v>
      </c>
      <c r="GL74">
        <f>COUNTIFS('DRAFT 2'!$D:$D,$B74,'DRAFT 2'!$A:$A,"&gt;="&amp;DATE(2026,8,15),'DRAFT 2'!$A:$A,"&lt;="&amp;DATE(2026,8,21))</f>
        <v>0</v>
      </c>
      <c r="GM74">
        <f>COUNTIFS('DRAFT 2'!$D:$D,$B74,'DRAFT 2'!$A:$A,"&gt;="&amp;DATE(2026,8,22),'DRAFT 2'!$A:$A,"&lt;"&amp;DATE(2026,IF(8=12,8+1,8+1),1))</f>
        <v>0</v>
      </c>
      <c r="GN74">
        <f t="shared" si="37"/>
        <v>0</v>
      </c>
      <c r="GX74">
        <f>IFERROR(LOOKUP(2,1/('DRAFT 2'!$D:$D=$B74)*('DRAFT 2'!$A:$A&gt;=DATE(2026,9,1))*('DRAFT 2'!$A:$A&lt;DATE(2026,IF(9=12,9+1,9+1),1)),'DRAFT 2'!$A:$A),"")</f>
        <v>0</v>
      </c>
      <c r="GY74">
        <f>COUNTIFS('DRAFT 2'!$D:$D,$B74,'DRAFT 2'!$A:$A,"&gt;="&amp;DATE(2026,9,1),'DRAFT 2'!$A:$A,"&lt;="&amp;DATE(2026,9,7))</f>
        <v>0</v>
      </c>
      <c r="GZ74">
        <f>COUNTIFS('DRAFT 2'!$D:$D,$B74,'DRAFT 2'!$A:$A,"&gt;="&amp;DATE(2026,9,8),'DRAFT 2'!$A:$A,"&lt;="&amp;DATE(2026,9,14))</f>
        <v>0</v>
      </c>
      <c r="HA74">
        <f>COUNTIFS('DRAFT 2'!$D:$D,$B74,'DRAFT 2'!$A:$A,"&gt;="&amp;DATE(2026,9,15),'DRAFT 2'!$A:$A,"&lt;="&amp;DATE(2026,9,21))</f>
        <v>0</v>
      </c>
      <c r="HB74">
        <f>COUNTIFS('DRAFT 2'!$D:$D,$B74,'DRAFT 2'!$A:$A,"&gt;="&amp;DATE(2026,9,22),'DRAFT 2'!$A:$A,"&lt;"&amp;DATE(2026,IF(9=12,9+1,9+1),1))</f>
        <v>0</v>
      </c>
      <c r="HC74">
        <f t="shared" si="38"/>
        <v>0</v>
      </c>
      <c r="HN74">
        <f>IFERROR(LOOKUP(2,1/('DRAFT 2'!$D:$D=$B74)*('DRAFT 2'!$A:$A&gt;=DATE(2026,10,1))*('DRAFT 2'!$A:$A&lt;DATE(2026,IF(10=12,10+1,10+1),1)),'DRAFT 2'!$A:$A),"")</f>
        <v>0</v>
      </c>
      <c r="HO74">
        <f>COUNTIFS('DRAFT 2'!$D:$D,$B74,'DRAFT 2'!$A:$A,"&gt;="&amp;DATE(2026,10,1),'DRAFT 2'!$A:$A,"&lt;="&amp;DATE(2026,10,7))</f>
        <v>0</v>
      </c>
      <c r="HP74">
        <f>COUNTIFS('DRAFT 2'!$D:$D,$B74,'DRAFT 2'!$A:$A,"&gt;="&amp;DATE(2026,10,8),'DRAFT 2'!$A:$A,"&lt;="&amp;DATE(2026,10,14))</f>
        <v>0</v>
      </c>
      <c r="HQ74">
        <f>COUNTIFS('DRAFT 2'!$D:$D,$B74,'DRAFT 2'!$A:$A,"&gt;="&amp;DATE(2026,10,15),'DRAFT 2'!$A:$A,"&lt;="&amp;DATE(2026,10,21))</f>
        <v>0</v>
      </c>
      <c r="HR74">
        <f>COUNTIFS('DRAFT 2'!$D:$D,$B74,'DRAFT 2'!$A:$A,"&gt;="&amp;DATE(2026,10,22),'DRAFT 2'!$A:$A,"&lt;"&amp;DATE(2026,IF(10=12,10+1,10+1),1))</f>
        <v>0</v>
      </c>
      <c r="HS74">
        <f t="shared" si="39"/>
        <v>0</v>
      </c>
      <c r="IC74">
        <f>IFERROR(LOOKUP(2,1/('DRAFT 2'!$D:$D=$B74)*('DRAFT 2'!$A:$A&gt;=DATE(2026,11,1))*('DRAFT 2'!$A:$A&lt;DATE(2026,IF(11=12,11+1,11+1),1)),'DRAFT 2'!$A:$A),"")</f>
        <v>0</v>
      </c>
      <c r="ID74">
        <f>COUNTIFS('DRAFT 2'!$D:$D,$B74,'DRAFT 2'!$A:$A,"&gt;="&amp;DATE(2026,11,1),'DRAFT 2'!$A:$A,"&lt;="&amp;DATE(2026,11,7))</f>
        <v>0</v>
      </c>
      <c r="IE74">
        <f>COUNTIFS('DRAFT 2'!$D:$D,$B74,'DRAFT 2'!$A:$A,"&gt;="&amp;DATE(2026,11,8),'DRAFT 2'!$A:$A,"&lt;="&amp;DATE(2026,11,14))</f>
        <v>0</v>
      </c>
      <c r="IF74">
        <f>COUNTIFS('DRAFT 2'!$D:$D,$B74,'DRAFT 2'!$A:$A,"&gt;="&amp;DATE(2026,11,15),'DRAFT 2'!$A:$A,"&lt;="&amp;DATE(2026,11,21))</f>
        <v>0</v>
      </c>
      <c r="IG74">
        <f>COUNTIFS('DRAFT 2'!$D:$D,$B74,'DRAFT 2'!$A:$A,"&gt;="&amp;DATE(2026,11,22),'DRAFT 2'!$A:$A,"&lt;"&amp;DATE(2026,IF(11=12,11+1,11+1),1))</f>
        <v>0</v>
      </c>
      <c r="IH74">
        <f t="shared" si="40"/>
        <v>0</v>
      </c>
      <c r="IR74">
        <f>IFERROR(LOOKUP(2,1/('DRAFT 2'!$D:$D=$B74)*('DRAFT 2'!$A:$A&gt;=DATE(2026,12,1))*('DRAFT 2'!$A:$A&lt;DATE(2026,IF(12=12,12+1,12+1),1)),'DRAFT 2'!$A:$A),"")</f>
        <v>0</v>
      </c>
      <c r="IS74">
        <f>COUNTIFS('DRAFT 2'!$D:$D,$B74,'DRAFT 2'!$A:$A,"&gt;="&amp;DATE(2026,12,1),'DRAFT 2'!$A:$A,"&lt;="&amp;DATE(2026,12,7))</f>
        <v>0</v>
      </c>
      <c r="IT74">
        <f>COUNTIFS('DRAFT 2'!$D:$D,$B74,'DRAFT 2'!$A:$A,"&gt;="&amp;DATE(2026,12,8),'DRAFT 2'!$A:$A,"&lt;="&amp;DATE(2026,12,14))</f>
        <v>0</v>
      </c>
      <c r="IU74">
        <f>COUNTIFS('DRAFT 2'!$D:$D,$B74,'DRAFT 2'!$A:$A,"&gt;="&amp;DATE(2026,12,15),'DRAFT 2'!$A:$A,"&lt;="&amp;DATE(2026,12,21))</f>
        <v>0</v>
      </c>
      <c r="IV74">
        <f>COUNTIFS('DRAFT 2'!$D:$D,$B74,'DRAFT 2'!$A:$A,"&gt;="&amp;DATE(2026,12,22),'DRAFT 2'!$A:$A,"&lt;"&amp;DATE(2026,IF(12=12,12+1,12+1),1))</f>
        <v>0</v>
      </c>
      <c r="IW74">
        <f t="shared" si="41"/>
        <v>0</v>
      </c>
    </row>
    <row r="75" spans="1:257" x14ac:dyDescent="0.3">
      <c r="A75" t="str">
        <f>IFERROR(INDEX('DRAFT 1'!$A:$A,MATCH($B75,'DRAFT 1'!$B:$B,0)),"")</f>
        <v/>
      </c>
      <c r="C75" t="str">
        <f>IFERROR(INDEX('DRAFT 1'!$C:$C,MATCH($B75,'DRAFT 1'!$B:$B,0)),"")</f>
        <v/>
      </c>
      <c r="D75" t="str">
        <f>IFERROR(INDEX('DRAFT 1'!$D:$D,MATCH($B75,'DRAFT 1'!$B:$B,0)),"")</f>
        <v/>
      </c>
      <c r="E75" t="str">
        <f>IFERROR(INDEX('DRAFT 1'!$E:$E,MATCH($B75,'DRAFT 1'!$B:$B,0)),"")</f>
        <v/>
      </c>
      <c r="F75" t="str">
        <f>IFERROR(INDEX('DRAFT 1'!$F:$F,MATCH($B75,'DRAFT 1'!$B:$B,0)),"")</f>
        <v/>
      </c>
      <c r="G75" t="str">
        <f>IFERROR(INDEX('DRAFT 1'!$G:$G,MATCH($B75,'DRAFT 1'!$B:$B,0)),"")</f>
        <v/>
      </c>
      <c r="H75" t="str">
        <f>IFERROR(INDEX('DRAFT 1'!$H:$H,MATCH($B75,'DRAFT 1'!$B:$B,0)),"")</f>
        <v/>
      </c>
      <c r="I75" t="s">
        <v>292</v>
      </c>
      <c r="K75" t="str">
        <f>IFERROR(INDEX('DRAFT 1'!$AL:$AL,MATCH($B75,'DRAFT 1'!$B:$B,0)),"")</f>
        <v/>
      </c>
      <c r="L75" t="str">
        <f>IFERROR(INDEX('DRAFT 1'!$J:$J,MATCH($B75,'DRAFT 1'!$B:$B,0)),"")</f>
        <v/>
      </c>
      <c r="M75" t="str">
        <f>IFERROR(INDEX('DRAFT 1'!$K:$K,MATCH($B75,'DRAFT 1'!$B:$B,0)),"")</f>
        <v/>
      </c>
      <c r="N75" t="s">
        <v>85</v>
      </c>
      <c r="P75" t="str">
        <f>IFERROR(INDEX('DRAFT 1'!$L:$L,MATCH($B75,'DRAFT 1'!$B:$B,0)),"")</f>
        <v/>
      </c>
      <c r="Q75" t="str">
        <f>IFERROR(INDEX('DRAFT 1'!$M:$M,MATCH($B75,'DRAFT 1'!$B:$B,0)),"")</f>
        <v/>
      </c>
      <c r="R75" t="str">
        <f>IFERROR(INDEX('DRAFT 1'!$N:$N,MATCH($B75,'DRAFT 1'!$B:$B,0)),"")</f>
        <v/>
      </c>
      <c r="S75" t="str">
        <f>IFERROR(INDEX('DRAFT 1'!$O:$O,MATCH($B75,'DRAFT 1'!$B:$B,0)),"")</f>
        <v/>
      </c>
      <c r="T75" t="str">
        <f>IFERROR(INDEX('DRAFT 1'!$P:$P,MATCH($B75,'DRAFT 1'!$B:$B,0)),"")</f>
        <v/>
      </c>
      <c r="U75" t="str">
        <f>IFERROR(INDEX('DRAFT 1'!$Q:$Q,MATCH($B75,'DRAFT 1'!$B:$B,0)),"")</f>
        <v/>
      </c>
      <c r="V75" t="str">
        <f>IFERROR(INDEX('DRAFT 1'!$R:$R,MATCH($B75,'DRAFT 1'!$B:$B,0)),"")</f>
        <v/>
      </c>
      <c r="W75" t="str">
        <f>IFERROR(INDEX('DRAFT 1'!$S:$S,MATCH($B75,'DRAFT 1'!$B:$B,0)),"")</f>
        <v/>
      </c>
      <c r="X75" t="str">
        <f>IFERROR(INDEX('DRAFT 1'!$T:$T,MATCH($B75,'DRAFT 1'!$B:$B,0)),"")</f>
        <v/>
      </c>
      <c r="Z75" t="str">
        <f>IFERROR(INDEX('DRAFT 1'!$U:$U,MATCH($B75,'DRAFT 1'!$B:$B,0)),"")</f>
        <v/>
      </c>
      <c r="AA75" t="str">
        <f>IFERROR(INDEX('DRAFT 1'!$V:$V,MATCH($B75,'DRAFT 1'!$B:$B,0)),"")</f>
        <v/>
      </c>
      <c r="AB75" t="str">
        <f>IFERROR(INDEX('DRAFT 1'!$W:$W,MATCH($B75,'DRAFT 1'!$B:$B,0)),"")</f>
        <v/>
      </c>
      <c r="AC75" t="str">
        <f>IFERROR(INDEX('DRAFT 1'!$X:$X,MATCH($B75,'DRAFT 1'!$B:$B,0)),"")</f>
        <v/>
      </c>
      <c r="AD75" t="str">
        <f>IFERROR(INDEX('DRAFT 1'!$Y:$Y,MATCH($B75,'DRAFT 1'!$B:$B,0)),"")</f>
        <v/>
      </c>
      <c r="AE75" t="str">
        <f>IFERROR(INDEX('DRAFT 1'!$Z:$Z,MATCH($B75,'DRAFT 1'!$B:$B,0)),"")</f>
        <v/>
      </c>
      <c r="AF75" t="str">
        <f>IFERROR(INDEX('DRAFT 1'!$AA:$AA,MATCH($B75,'DRAFT 1'!$B:$B,0)),"")</f>
        <v/>
      </c>
      <c r="AG75" t="str">
        <f>IFERROR(INDEX('DRAFT 1'!$AB:$AB,MATCH($B75,'DRAFT 1'!$B:$B,0)),"")</f>
        <v/>
      </c>
      <c r="AH75" t="str">
        <f>IFERROR(INDEX('DRAFT 1'!$AC:$AC,MATCH($B75,'DRAFT 1'!$B:$B,0)),"")</f>
        <v/>
      </c>
      <c r="AI75" t="str">
        <f>IFERROR(INDEX('DRAFT 1'!$AD:$AD,MATCH($B75,'DRAFT 1'!$B:$B,0)),"")</f>
        <v/>
      </c>
      <c r="AJ75" t="str">
        <f>IFERROR(INDEX('DRAFT 1'!$AE:$AE,MATCH($B75,'DRAFT 1'!$B:$B,0)),"")</f>
        <v/>
      </c>
      <c r="AK75" t="str">
        <f>IFERROR(INDEX('DRAFT 1'!$AG:$AG,MATCH($B75,'DRAFT 1'!$B:$B,0)),"")</f>
        <v/>
      </c>
      <c r="AL75" t="str">
        <f>IFERROR(INDEX('DRAFT 1'!$AH:$AH,MATCH($B75,'DRAFT 1'!$B:$B,0)),"")</f>
        <v/>
      </c>
      <c r="AM75" t="str">
        <f>IFERROR(INDEX('DRAFT 1'!$AI:$AI,MATCH($B75,'DRAFT 1'!$B:$B,0)),"")</f>
        <v/>
      </c>
      <c r="AN75" t="str">
        <f>IFERROR(INDEX('DRAFT 1'!$AJ:$AJ,MATCH($B75,'DRAFT 1'!$B:$B,0)),"")</f>
        <v/>
      </c>
      <c r="AO75">
        <f t="shared" si="28"/>
        <v>0</v>
      </c>
      <c r="AP75" t="str">
        <f>IFERROR(INDEX('DRAFT 1'!$AK:$AK,MATCH($B75,'DRAFT 1'!$B:$B,0)),"")</f>
        <v/>
      </c>
      <c r="AR75" t="s">
        <v>65</v>
      </c>
      <c r="AS75">
        <f>IFERROR(LOOKUP(2,1/('DRAFT 2'!$D:$D=$B75),'DRAFT 2'!$T:$T),"")</f>
        <v>0</v>
      </c>
      <c r="AT75">
        <f>IFERROR(LOOKUP(2,1/('DRAFT 2'!$D:$D=$B75),'DRAFT 2'!$A:$A),"")</f>
        <v>0</v>
      </c>
      <c r="AU75">
        <f>IFERROR(LOOKUP(2,1/('DRAFT 2'!$D:$D=$B75),'DRAFT 2'!$R:$R),"")</f>
        <v>0</v>
      </c>
      <c r="AV75">
        <f>IFERROR(LOOKUP(2,1/('DRAFT 2'!$D:$D=$B75),'DRAFT 2'!$S:$S),"")</f>
        <v>0</v>
      </c>
      <c r="AW75" t="s">
        <v>82</v>
      </c>
      <c r="AX75">
        <f>IFERROR(LOOKUP(2,1/('DRAFT 2'!$D:$D=$B75),'DRAFT 2'!$M:$M),"")</f>
        <v>0</v>
      </c>
      <c r="AY75">
        <f>IFERROR(LOOKUP(2,1/('DRAFT 2'!$D:$D=$B75),'DRAFT 2'!$K:$K),"")</f>
        <v>0</v>
      </c>
      <c r="BG75">
        <f>IFERROR(LOOKUP(2,1/('DRAFT 2'!$D:$D=$B75),'DRAFT 2'!$U:$U),"")</f>
        <v>0</v>
      </c>
      <c r="BH75">
        <f>IFERROR(LOOKUP(2,1/('DRAFT 2'!$D:$D=$B75),'DRAFT 2'!$V:$V),"")</f>
        <v>0</v>
      </c>
      <c r="CE75" t="str">
        <f t="shared" si="29"/>
        <v/>
      </c>
      <c r="CF75">
        <f>IFERROR(LOOKUP(2,1/('DRAFT 2'!$D:$D=$B75)*('DRAFT 2'!$A:$A&gt;=DATE(2026,1,1))*('DRAFT 2'!$A:$A&lt;DATE(2026,IF(1=12,1+1,1+1),1)),'DRAFT 2'!$A:$A),"")</f>
        <v>0</v>
      </c>
      <c r="CG75">
        <f>COUNTIFS('DRAFT 2'!$D:$D,$B75,'DRAFT 2'!$A:$A,"&gt;="&amp;DATE(2026,1,1),'DRAFT 2'!$A:$A,"&lt;="&amp;DATE(2026,1,7))</f>
        <v>0</v>
      </c>
      <c r="CH75">
        <f>COUNTIFS('DRAFT 2'!$D:$D,$B75,'DRAFT 2'!$A:$A,"&gt;="&amp;DATE(2026,1,8),'DRAFT 2'!$A:$A,"&lt;="&amp;DATE(2026,1,14))</f>
        <v>0</v>
      </c>
      <c r="CI75">
        <f>COUNTIFS('DRAFT 2'!$D:$D,$B75,'DRAFT 2'!$A:$A,"&gt;="&amp;DATE(2026,1,15),'DRAFT 2'!$A:$A,"&lt;="&amp;DATE(2026,1,21))</f>
        <v>0</v>
      </c>
      <c r="CJ75">
        <f>COUNTIFS('DRAFT 2'!$D:$D,$B75,'DRAFT 2'!$A:$A,"&gt;="&amp;DATE(2026,1,22),'DRAFT 2'!$A:$A,"&lt;"&amp;DATE(2026,IF(1=12,1+1,1+1),1))</f>
        <v>0</v>
      </c>
      <c r="CK75">
        <f t="shared" si="30"/>
        <v>0</v>
      </c>
      <c r="CT75">
        <v>0</v>
      </c>
      <c r="CU75">
        <f>IFERROR(LOOKUP(2,1/('DRAFT 2'!$D:$D=$B75)*('DRAFT 2'!$A:$A&gt;=DATE(2026,2,1))*('DRAFT 2'!$A:$A&lt;DATE(2026,IF(2=12,2+1,2+1),1)),'DRAFT 2'!$A:$A),"")</f>
        <v>0</v>
      </c>
      <c r="CV75">
        <f>COUNTIFS('DRAFT 2'!$D:$D,$B75,'DRAFT 2'!$A:$A,"&gt;="&amp;DATE(2026,2,1),'DRAFT 2'!$A:$A,"&lt;="&amp;DATE(2026,2,7))</f>
        <v>0</v>
      </c>
      <c r="CW75">
        <f>COUNTIFS('DRAFT 2'!$D:$D,$B75,'DRAFT 2'!$A:$A,"&gt;="&amp;DATE(2026,2,8),'DRAFT 2'!$A:$A,"&lt;="&amp;DATE(2026,2,14))</f>
        <v>0</v>
      </c>
      <c r="CX75">
        <f>COUNTIFS('DRAFT 2'!$D:$D,$B75,'DRAFT 2'!$A:$A,"&gt;="&amp;DATE(2026,2,15),'DRAFT 2'!$A:$A,"&lt;="&amp;DATE(2026,2,21))</f>
        <v>0</v>
      </c>
      <c r="CY75">
        <f>COUNTIFS('DRAFT 2'!$D:$D,$B75,'DRAFT 2'!$A:$A,"&gt;="&amp;DATE(2026,2,22),'DRAFT 2'!$A:$A,"&lt;"&amp;DATE(2026,IF(2=12,2+1,2+1),1))</f>
        <v>0</v>
      </c>
      <c r="CZ75">
        <f t="shared" si="31"/>
        <v>0</v>
      </c>
      <c r="DJ75">
        <f>IFERROR(LOOKUP(2,1/('DRAFT 2'!$D:$D=$B75)*('DRAFT 2'!$A:$A&gt;=DATE(2026,3,1))*('DRAFT 2'!$A:$A&lt;DATE(2026,IF(3=12,3+1,3+1),1)),'DRAFT 2'!$A:$A),"")</f>
        <v>0</v>
      </c>
      <c r="DK75">
        <f>COUNTIFS('DRAFT 2'!$D:$D,$B75,'DRAFT 2'!$A:$A,"&gt;="&amp;DATE(2026,3,1),'DRAFT 2'!$A:$A,"&lt;="&amp;DATE(2026,3,7))</f>
        <v>0</v>
      </c>
      <c r="DL75">
        <f>COUNTIFS('DRAFT 2'!$D:$D,$B75,'DRAFT 2'!$A:$A,"&gt;="&amp;DATE(2026,3,8),'DRAFT 2'!$A:$A,"&lt;="&amp;DATE(2026,3,14))</f>
        <v>0</v>
      </c>
      <c r="DM75">
        <f>COUNTIFS('DRAFT 2'!$D:$D,$B75,'DRAFT 2'!$A:$A,"&gt;="&amp;DATE(2026,3,15),'DRAFT 2'!$A:$A,"&lt;="&amp;DATE(2026,3,21))</f>
        <v>0</v>
      </c>
      <c r="DN75">
        <f>COUNTIFS('DRAFT 2'!$D:$D,$B75,'DRAFT 2'!$A:$A,"&gt;="&amp;DATE(2026,3,22),'DRAFT 2'!$A:$A,"&lt;"&amp;DATE(2026,IF(3=12,3+1,3+1),1))</f>
        <v>0</v>
      </c>
      <c r="DO75">
        <f t="shared" si="32"/>
        <v>0</v>
      </c>
      <c r="DZ75">
        <f>IFERROR(LOOKUP(2,1/('DRAFT 2'!$D:$D=$B75)*('DRAFT 2'!$A:$A&gt;=DATE(2026,4,1))*('DRAFT 2'!$A:$A&lt;DATE(2026,IF(4=12,4+1,4+1),1)),'DRAFT 2'!$A:$A),"")</f>
        <v>0</v>
      </c>
      <c r="EA75">
        <f>COUNTIFS('DRAFT 2'!$D:$D,$B75,'DRAFT 2'!$A:$A,"&gt;="&amp;DATE(2026,4,1),'DRAFT 2'!$A:$A,"&lt;="&amp;DATE(2026,4,7))</f>
        <v>0</v>
      </c>
      <c r="EB75">
        <f>COUNTIFS('DRAFT 2'!$D:$D,$B75,'DRAFT 2'!$A:$A,"&gt;="&amp;DATE(2026,4,8),'DRAFT 2'!$A:$A,"&lt;="&amp;DATE(2026,4,14))</f>
        <v>0</v>
      </c>
      <c r="EC75">
        <f>COUNTIFS('DRAFT 2'!$D:$D,$B75,'DRAFT 2'!$A:$A,"&gt;="&amp;DATE(2026,4,15),'DRAFT 2'!$A:$A,"&lt;="&amp;DATE(2026,4,21))</f>
        <v>0</v>
      </c>
      <c r="ED75">
        <f>COUNTIFS('DRAFT 2'!$D:$D,$B75,'DRAFT 2'!$A:$A,"&gt;="&amp;DATE(2026,4,22),'DRAFT 2'!$A:$A,"&lt;"&amp;DATE(2026,IF(4=12,4+1,4+1),1))</f>
        <v>0</v>
      </c>
      <c r="EE75">
        <f t="shared" si="33"/>
        <v>0</v>
      </c>
      <c r="EO75">
        <f>IFERROR(LOOKUP(2,1/('DRAFT 2'!$D:$D=$B75)*('DRAFT 2'!$A:$A&gt;=DATE(2026,5,1))*('DRAFT 2'!$A:$A&lt;DATE(2026,IF(5=12,5+1,5+1),1)),'DRAFT 2'!$A:$A),"")</f>
        <v>0</v>
      </c>
      <c r="EP75">
        <f>COUNTIFS('DRAFT 2'!$D:$D,$B75,'DRAFT 2'!$A:$A,"&gt;="&amp;DATE(2026,5,1),'DRAFT 2'!$A:$A,"&lt;="&amp;DATE(2026,5,7))</f>
        <v>0</v>
      </c>
      <c r="EQ75">
        <f>COUNTIFS('DRAFT 2'!$D:$D,$B75,'DRAFT 2'!$A:$A,"&gt;="&amp;DATE(2026,5,8),'DRAFT 2'!$A:$A,"&lt;="&amp;DATE(2026,5,14))</f>
        <v>0</v>
      </c>
      <c r="ER75">
        <f>COUNTIFS('DRAFT 2'!$D:$D,$B75,'DRAFT 2'!$A:$A,"&gt;="&amp;DATE(2026,5,15),'DRAFT 2'!$A:$A,"&lt;="&amp;DATE(2026,5,21))</f>
        <v>0</v>
      </c>
      <c r="ES75">
        <f>COUNTIFS('DRAFT 2'!$D:$D,$B75,'DRAFT 2'!$A:$A,"&gt;="&amp;DATE(2026,5,22),'DRAFT 2'!$A:$A,"&lt;"&amp;DATE(2026,IF(5=12,5+1,5+1),1))</f>
        <v>0</v>
      </c>
      <c r="ET75">
        <f t="shared" si="34"/>
        <v>0</v>
      </c>
      <c r="FD75">
        <f>IFERROR(LOOKUP(2,1/('DRAFT 2'!$D:$D=$B75)*('DRAFT 2'!$A:$A&gt;=DATE(2026,6,1))*('DRAFT 2'!$A:$A&lt;DATE(2026,IF(6=12,6+1,6+1),1)),'DRAFT 2'!$A:$A),"")</f>
        <v>0</v>
      </c>
      <c r="FE75">
        <f>COUNTIFS('DRAFT 2'!$D:$D,$B75,'DRAFT 2'!$A:$A,"&gt;="&amp;DATE(2026,6,1),'DRAFT 2'!$A:$A,"&lt;="&amp;DATE(2026,6,7))</f>
        <v>0</v>
      </c>
      <c r="FF75">
        <f>COUNTIFS('DRAFT 2'!$D:$D,$B75,'DRAFT 2'!$A:$A,"&gt;="&amp;DATE(2026,6,8),'DRAFT 2'!$A:$A,"&lt;="&amp;DATE(2026,6,14))</f>
        <v>0</v>
      </c>
      <c r="FG75">
        <f>COUNTIFS('DRAFT 2'!$D:$D,$B75,'DRAFT 2'!$A:$A,"&gt;="&amp;DATE(2026,6,15),'DRAFT 2'!$A:$A,"&lt;="&amp;DATE(2026,6,21))</f>
        <v>0</v>
      </c>
      <c r="FH75">
        <f>COUNTIFS('DRAFT 2'!$D:$D,$B75,'DRAFT 2'!$A:$A,"&gt;="&amp;DATE(2026,6,22),'DRAFT 2'!$A:$A,"&lt;"&amp;DATE(2026,IF(6=12,6+1,6+1),1))</f>
        <v>0</v>
      </c>
      <c r="FI75">
        <f t="shared" si="35"/>
        <v>0</v>
      </c>
      <c r="FT75">
        <f>IFERROR(LOOKUP(2,1/('DRAFT 2'!$D:$D=$B75)*('DRAFT 2'!$A:$A&gt;=DATE(2026,7,1))*('DRAFT 2'!$A:$A&lt;DATE(2026,IF(7=12,7+1,7+1),1)),'DRAFT 2'!$A:$A),"")</f>
        <v>0</v>
      </c>
      <c r="FU75">
        <f>COUNTIFS('DRAFT 2'!$D:$D,$B75,'DRAFT 2'!$A:$A,"&gt;="&amp;DATE(2026,7,1),'DRAFT 2'!$A:$A,"&lt;="&amp;DATE(2026,7,7))</f>
        <v>0</v>
      </c>
      <c r="FV75">
        <f>COUNTIFS('DRAFT 2'!$D:$D,$B75,'DRAFT 2'!$A:$A,"&gt;="&amp;DATE(2026,7,8),'DRAFT 2'!$A:$A,"&lt;="&amp;DATE(2026,7,14))</f>
        <v>0</v>
      </c>
      <c r="FW75">
        <f>COUNTIFS('DRAFT 2'!$D:$D,$B75,'DRAFT 2'!$A:$A,"&gt;="&amp;DATE(2026,7,15),'DRAFT 2'!$A:$A,"&lt;="&amp;DATE(2026,7,21))</f>
        <v>0</v>
      </c>
      <c r="FX75">
        <f>COUNTIFS('DRAFT 2'!$D:$D,$B75,'DRAFT 2'!$A:$A,"&gt;="&amp;DATE(2026,7,22),'DRAFT 2'!$A:$A,"&lt;"&amp;DATE(2026,IF(7=12,7+1,7+1),1))</f>
        <v>0</v>
      </c>
      <c r="FY75">
        <f t="shared" si="36"/>
        <v>0</v>
      </c>
      <c r="GI75">
        <f>IFERROR(LOOKUP(2,1/('DRAFT 2'!$D:$D=$B75)*('DRAFT 2'!$A:$A&gt;=DATE(2026,8,1))*('DRAFT 2'!$A:$A&lt;DATE(2026,IF(8=12,8+1,8+1),1)),'DRAFT 2'!$A:$A),"")</f>
        <v>0</v>
      </c>
      <c r="GJ75">
        <f>COUNTIFS('DRAFT 2'!$D:$D,$B75,'DRAFT 2'!$A:$A,"&gt;="&amp;DATE(2026,8,1),'DRAFT 2'!$A:$A,"&lt;="&amp;DATE(2026,8,7))</f>
        <v>0</v>
      </c>
      <c r="GK75">
        <f>COUNTIFS('DRAFT 2'!$D:$D,$B75,'DRAFT 2'!$A:$A,"&gt;="&amp;DATE(2026,8,8),'DRAFT 2'!$A:$A,"&lt;="&amp;DATE(2026,8,14))</f>
        <v>0</v>
      </c>
      <c r="GL75">
        <f>COUNTIFS('DRAFT 2'!$D:$D,$B75,'DRAFT 2'!$A:$A,"&gt;="&amp;DATE(2026,8,15),'DRAFT 2'!$A:$A,"&lt;="&amp;DATE(2026,8,21))</f>
        <v>0</v>
      </c>
      <c r="GM75">
        <f>COUNTIFS('DRAFT 2'!$D:$D,$B75,'DRAFT 2'!$A:$A,"&gt;="&amp;DATE(2026,8,22),'DRAFT 2'!$A:$A,"&lt;"&amp;DATE(2026,IF(8=12,8+1,8+1),1))</f>
        <v>0</v>
      </c>
      <c r="GN75">
        <f t="shared" si="37"/>
        <v>0</v>
      </c>
      <c r="GX75">
        <f>IFERROR(LOOKUP(2,1/('DRAFT 2'!$D:$D=$B75)*('DRAFT 2'!$A:$A&gt;=DATE(2026,9,1))*('DRAFT 2'!$A:$A&lt;DATE(2026,IF(9=12,9+1,9+1),1)),'DRAFT 2'!$A:$A),"")</f>
        <v>0</v>
      </c>
      <c r="GY75">
        <f>COUNTIFS('DRAFT 2'!$D:$D,$B75,'DRAFT 2'!$A:$A,"&gt;="&amp;DATE(2026,9,1),'DRAFT 2'!$A:$A,"&lt;="&amp;DATE(2026,9,7))</f>
        <v>0</v>
      </c>
      <c r="GZ75">
        <f>COUNTIFS('DRAFT 2'!$D:$D,$B75,'DRAFT 2'!$A:$A,"&gt;="&amp;DATE(2026,9,8),'DRAFT 2'!$A:$A,"&lt;="&amp;DATE(2026,9,14))</f>
        <v>0</v>
      </c>
      <c r="HA75">
        <f>COUNTIFS('DRAFT 2'!$D:$D,$B75,'DRAFT 2'!$A:$A,"&gt;="&amp;DATE(2026,9,15),'DRAFT 2'!$A:$A,"&lt;="&amp;DATE(2026,9,21))</f>
        <v>0</v>
      </c>
      <c r="HB75">
        <f>COUNTIFS('DRAFT 2'!$D:$D,$B75,'DRAFT 2'!$A:$A,"&gt;="&amp;DATE(2026,9,22),'DRAFT 2'!$A:$A,"&lt;"&amp;DATE(2026,IF(9=12,9+1,9+1),1))</f>
        <v>0</v>
      </c>
      <c r="HC75">
        <f t="shared" si="38"/>
        <v>0</v>
      </c>
      <c r="HN75">
        <f>IFERROR(LOOKUP(2,1/('DRAFT 2'!$D:$D=$B75)*('DRAFT 2'!$A:$A&gt;=DATE(2026,10,1))*('DRAFT 2'!$A:$A&lt;DATE(2026,IF(10=12,10+1,10+1),1)),'DRAFT 2'!$A:$A),"")</f>
        <v>0</v>
      </c>
      <c r="HO75">
        <f>COUNTIFS('DRAFT 2'!$D:$D,$B75,'DRAFT 2'!$A:$A,"&gt;="&amp;DATE(2026,10,1),'DRAFT 2'!$A:$A,"&lt;="&amp;DATE(2026,10,7))</f>
        <v>0</v>
      </c>
      <c r="HP75">
        <f>COUNTIFS('DRAFT 2'!$D:$D,$B75,'DRAFT 2'!$A:$A,"&gt;="&amp;DATE(2026,10,8),'DRAFT 2'!$A:$A,"&lt;="&amp;DATE(2026,10,14))</f>
        <v>0</v>
      </c>
      <c r="HQ75">
        <f>COUNTIFS('DRAFT 2'!$D:$D,$B75,'DRAFT 2'!$A:$A,"&gt;="&amp;DATE(2026,10,15),'DRAFT 2'!$A:$A,"&lt;="&amp;DATE(2026,10,21))</f>
        <v>0</v>
      </c>
      <c r="HR75">
        <f>COUNTIFS('DRAFT 2'!$D:$D,$B75,'DRAFT 2'!$A:$A,"&gt;="&amp;DATE(2026,10,22),'DRAFT 2'!$A:$A,"&lt;"&amp;DATE(2026,IF(10=12,10+1,10+1),1))</f>
        <v>0</v>
      </c>
      <c r="HS75">
        <f t="shared" si="39"/>
        <v>0</v>
      </c>
      <c r="IC75">
        <f>IFERROR(LOOKUP(2,1/('DRAFT 2'!$D:$D=$B75)*('DRAFT 2'!$A:$A&gt;=DATE(2026,11,1))*('DRAFT 2'!$A:$A&lt;DATE(2026,IF(11=12,11+1,11+1),1)),'DRAFT 2'!$A:$A),"")</f>
        <v>0</v>
      </c>
      <c r="ID75">
        <f>COUNTIFS('DRAFT 2'!$D:$D,$B75,'DRAFT 2'!$A:$A,"&gt;="&amp;DATE(2026,11,1),'DRAFT 2'!$A:$A,"&lt;="&amp;DATE(2026,11,7))</f>
        <v>0</v>
      </c>
      <c r="IE75">
        <f>COUNTIFS('DRAFT 2'!$D:$D,$B75,'DRAFT 2'!$A:$A,"&gt;="&amp;DATE(2026,11,8),'DRAFT 2'!$A:$A,"&lt;="&amp;DATE(2026,11,14))</f>
        <v>0</v>
      </c>
      <c r="IF75">
        <f>COUNTIFS('DRAFT 2'!$D:$D,$B75,'DRAFT 2'!$A:$A,"&gt;="&amp;DATE(2026,11,15),'DRAFT 2'!$A:$A,"&lt;="&amp;DATE(2026,11,21))</f>
        <v>0</v>
      </c>
      <c r="IG75">
        <f>COUNTIFS('DRAFT 2'!$D:$D,$B75,'DRAFT 2'!$A:$A,"&gt;="&amp;DATE(2026,11,22),'DRAFT 2'!$A:$A,"&lt;"&amp;DATE(2026,IF(11=12,11+1,11+1),1))</f>
        <v>0</v>
      </c>
      <c r="IH75">
        <f t="shared" si="40"/>
        <v>0</v>
      </c>
      <c r="IR75">
        <f>IFERROR(LOOKUP(2,1/('DRAFT 2'!$D:$D=$B75)*('DRAFT 2'!$A:$A&gt;=DATE(2026,12,1))*('DRAFT 2'!$A:$A&lt;DATE(2026,IF(12=12,12+1,12+1),1)),'DRAFT 2'!$A:$A),"")</f>
        <v>0</v>
      </c>
      <c r="IS75">
        <f>COUNTIFS('DRAFT 2'!$D:$D,$B75,'DRAFT 2'!$A:$A,"&gt;="&amp;DATE(2026,12,1),'DRAFT 2'!$A:$A,"&lt;="&amp;DATE(2026,12,7))</f>
        <v>0</v>
      </c>
      <c r="IT75">
        <f>COUNTIFS('DRAFT 2'!$D:$D,$B75,'DRAFT 2'!$A:$A,"&gt;="&amp;DATE(2026,12,8),'DRAFT 2'!$A:$A,"&lt;="&amp;DATE(2026,12,14))</f>
        <v>0</v>
      </c>
      <c r="IU75">
        <f>COUNTIFS('DRAFT 2'!$D:$D,$B75,'DRAFT 2'!$A:$A,"&gt;="&amp;DATE(2026,12,15),'DRAFT 2'!$A:$A,"&lt;="&amp;DATE(2026,12,21))</f>
        <v>0</v>
      </c>
      <c r="IV75">
        <f>COUNTIFS('DRAFT 2'!$D:$D,$B75,'DRAFT 2'!$A:$A,"&gt;="&amp;DATE(2026,12,22),'DRAFT 2'!$A:$A,"&lt;"&amp;DATE(2026,IF(12=12,12+1,12+1),1))</f>
        <v>0</v>
      </c>
      <c r="IW75">
        <f t="shared" si="41"/>
        <v>0</v>
      </c>
    </row>
    <row r="76" spans="1:257" x14ac:dyDescent="0.3">
      <c r="A76" t="str">
        <f>IFERROR(INDEX('DRAFT 1'!$A:$A,MATCH($B76,'DRAFT 1'!$B:$B,0)),"")</f>
        <v/>
      </c>
      <c r="C76" t="str">
        <f>IFERROR(INDEX('DRAFT 1'!$C:$C,MATCH($B76,'DRAFT 1'!$B:$B,0)),"")</f>
        <v/>
      </c>
      <c r="D76" t="str">
        <f>IFERROR(INDEX('DRAFT 1'!$D:$D,MATCH($B76,'DRAFT 1'!$B:$B,0)),"")</f>
        <v/>
      </c>
      <c r="E76" t="str">
        <f>IFERROR(INDEX('DRAFT 1'!$E:$E,MATCH($B76,'DRAFT 1'!$B:$B,0)),"")</f>
        <v/>
      </c>
      <c r="F76" t="str">
        <f>IFERROR(INDEX('DRAFT 1'!$F:$F,MATCH($B76,'DRAFT 1'!$B:$B,0)),"")</f>
        <v/>
      </c>
      <c r="G76" t="str">
        <f>IFERROR(INDEX('DRAFT 1'!$G:$G,MATCH($B76,'DRAFT 1'!$B:$B,0)),"")</f>
        <v/>
      </c>
      <c r="H76" t="str">
        <f>IFERROR(INDEX('DRAFT 1'!$H:$H,MATCH($B76,'DRAFT 1'!$B:$B,0)),"")</f>
        <v/>
      </c>
      <c r="I76" t="s">
        <v>292</v>
      </c>
      <c r="K76" t="str">
        <f>IFERROR(INDEX('DRAFT 1'!$AL:$AL,MATCH($B76,'DRAFT 1'!$B:$B,0)),"")</f>
        <v/>
      </c>
      <c r="L76" t="str">
        <f>IFERROR(INDEX('DRAFT 1'!$J:$J,MATCH($B76,'DRAFT 1'!$B:$B,0)),"")</f>
        <v/>
      </c>
      <c r="M76" t="str">
        <f>IFERROR(INDEX('DRAFT 1'!$K:$K,MATCH($B76,'DRAFT 1'!$B:$B,0)),"")</f>
        <v/>
      </c>
      <c r="N76" t="s">
        <v>79</v>
      </c>
      <c r="P76" t="str">
        <f>IFERROR(INDEX('DRAFT 1'!$L:$L,MATCH($B76,'DRAFT 1'!$B:$B,0)),"")</f>
        <v/>
      </c>
      <c r="Q76" t="str">
        <f>IFERROR(INDEX('DRAFT 1'!$M:$M,MATCH($B76,'DRAFT 1'!$B:$B,0)),"")</f>
        <v/>
      </c>
      <c r="R76" t="str">
        <f>IFERROR(INDEX('DRAFT 1'!$N:$N,MATCH($B76,'DRAFT 1'!$B:$B,0)),"")</f>
        <v/>
      </c>
      <c r="S76" t="str">
        <f>IFERROR(INDEX('DRAFT 1'!$O:$O,MATCH($B76,'DRAFT 1'!$B:$B,0)),"")</f>
        <v/>
      </c>
      <c r="T76" t="str">
        <f>IFERROR(INDEX('DRAFT 1'!$P:$P,MATCH($B76,'DRAFT 1'!$B:$B,0)),"")</f>
        <v/>
      </c>
      <c r="U76" t="str">
        <f>IFERROR(INDEX('DRAFT 1'!$Q:$Q,MATCH($B76,'DRAFT 1'!$B:$B,0)),"")</f>
        <v/>
      </c>
      <c r="V76" t="str">
        <f>IFERROR(INDEX('DRAFT 1'!$R:$R,MATCH($B76,'DRAFT 1'!$B:$B,0)),"")</f>
        <v/>
      </c>
      <c r="W76" t="str">
        <f>IFERROR(INDEX('DRAFT 1'!$S:$S,MATCH($B76,'DRAFT 1'!$B:$B,0)),"")</f>
        <v/>
      </c>
      <c r="X76" t="str">
        <f>IFERROR(INDEX('DRAFT 1'!$T:$T,MATCH($B76,'DRAFT 1'!$B:$B,0)),"")</f>
        <v/>
      </c>
      <c r="Z76" t="str">
        <f>IFERROR(INDEX('DRAFT 1'!$U:$U,MATCH($B76,'DRAFT 1'!$B:$B,0)),"")</f>
        <v/>
      </c>
      <c r="AA76" t="str">
        <f>IFERROR(INDEX('DRAFT 1'!$V:$V,MATCH($B76,'DRAFT 1'!$B:$B,0)),"")</f>
        <v/>
      </c>
      <c r="AB76" t="str">
        <f>IFERROR(INDEX('DRAFT 1'!$W:$W,MATCH($B76,'DRAFT 1'!$B:$B,0)),"")</f>
        <v/>
      </c>
      <c r="AC76" t="str">
        <f>IFERROR(INDEX('DRAFT 1'!$X:$X,MATCH($B76,'DRAFT 1'!$B:$B,0)),"")</f>
        <v/>
      </c>
      <c r="AD76" t="str">
        <f>IFERROR(INDEX('DRAFT 1'!$Y:$Y,MATCH($B76,'DRAFT 1'!$B:$B,0)),"")</f>
        <v/>
      </c>
      <c r="AE76" t="str">
        <f>IFERROR(INDEX('DRAFT 1'!$Z:$Z,MATCH($B76,'DRAFT 1'!$B:$B,0)),"")</f>
        <v/>
      </c>
      <c r="AF76" t="str">
        <f>IFERROR(INDEX('DRAFT 1'!$AA:$AA,MATCH($B76,'DRAFT 1'!$B:$B,0)),"")</f>
        <v/>
      </c>
      <c r="AG76" t="str">
        <f>IFERROR(INDEX('DRAFT 1'!$AB:$AB,MATCH($B76,'DRAFT 1'!$B:$B,0)),"")</f>
        <v/>
      </c>
      <c r="AH76" t="str">
        <f>IFERROR(INDEX('DRAFT 1'!$AC:$AC,MATCH($B76,'DRAFT 1'!$B:$B,0)),"")</f>
        <v/>
      </c>
      <c r="AI76" t="str">
        <f>IFERROR(INDEX('DRAFT 1'!$AD:$AD,MATCH($B76,'DRAFT 1'!$B:$B,0)),"")</f>
        <v/>
      </c>
      <c r="AJ76" t="str">
        <f>IFERROR(INDEX('DRAFT 1'!$AE:$AE,MATCH($B76,'DRAFT 1'!$B:$B,0)),"")</f>
        <v/>
      </c>
      <c r="AK76" t="str">
        <f>IFERROR(INDEX('DRAFT 1'!$AG:$AG,MATCH($B76,'DRAFT 1'!$B:$B,0)),"")</f>
        <v/>
      </c>
      <c r="AL76" t="str">
        <f>IFERROR(INDEX('DRAFT 1'!$AH:$AH,MATCH($B76,'DRAFT 1'!$B:$B,0)),"")</f>
        <v/>
      </c>
      <c r="AM76" t="str">
        <f>IFERROR(INDEX('DRAFT 1'!$AI:$AI,MATCH($B76,'DRAFT 1'!$B:$B,0)),"")</f>
        <v/>
      </c>
      <c r="AN76" t="str">
        <f>IFERROR(INDEX('DRAFT 1'!$AJ:$AJ,MATCH($B76,'DRAFT 1'!$B:$B,0)),"")</f>
        <v/>
      </c>
      <c r="AO76">
        <f t="shared" si="28"/>
        <v>0</v>
      </c>
      <c r="AP76" t="str">
        <f>IFERROR(INDEX('DRAFT 1'!$AK:$AK,MATCH($B76,'DRAFT 1'!$B:$B,0)),"")</f>
        <v/>
      </c>
      <c r="AR76" t="s">
        <v>92</v>
      </c>
      <c r="AS76">
        <f>IFERROR(LOOKUP(2,1/('DRAFT 2'!$D:$D=$B76),'DRAFT 2'!$T:$T),"")</f>
        <v>0</v>
      </c>
      <c r="AT76">
        <f>IFERROR(LOOKUP(2,1/('DRAFT 2'!$D:$D=$B76),'DRAFT 2'!$A:$A),"")</f>
        <v>0</v>
      </c>
      <c r="AU76">
        <f>IFERROR(LOOKUP(2,1/('DRAFT 2'!$D:$D=$B76),'DRAFT 2'!$R:$R),"")</f>
        <v>0</v>
      </c>
      <c r="AV76">
        <f>IFERROR(LOOKUP(2,1/('DRAFT 2'!$D:$D=$B76),'DRAFT 2'!$S:$S),"")</f>
        <v>0</v>
      </c>
      <c r="AW76" t="s">
        <v>85</v>
      </c>
      <c r="AX76">
        <f>IFERROR(LOOKUP(2,1/('DRAFT 2'!$D:$D=$B76),'DRAFT 2'!$M:$M),"")</f>
        <v>0</v>
      </c>
      <c r="AY76">
        <f>IFERROR(LOOKUP(2,1/('DRAFT 2'!$D:$D=$B76),'DRAFT 2'!$K:$K),"")</f>
        <v>0</v>
      </c>
      <c r="BG76">
        <f>IFERROR(LOOKUP(2,1/('DRAFT 2'!$D:$D=$B76),'DRAFT 2'!$U:$U),"")</f>
        <v>0</v>
      </c>
      <c r="BH76">
        <f>IFERROR(LOOKUP(2,1/('DRAFT 2'!$D:$D=$B76),'DRAFT 2'!$V:$V),"")</f>
        <v>0</v>
      </c>
      <c r="CE76" t="str">
        <f t="shared" si="29"/>
        <v/>
      </c>
      <c r="CF76">
        <f>IFERROR(LOOKUP(2,1/('DRAFT 2'!$D:$D=$B76)*('DRAFT 2'!$A:$A&gt;=DATE(2026,1,1))*('DRAFT 2'!$A:$A&lt;DATE(2026,IF(1=12,1+1,1+1),1)),'DRAFT 2'!$A:$A),"")</f>
        <v>0</v>
      </c>
      <c r="CG76">
        <f>COUNTIFS('DRAFT 2'!$D:$D,$B76,'DRAFT 2'!$A:$A,"&gt;="&amp;DATE(2026,1,1),'DRAFT 2'!$A:$A,"&lt;="&amp;DATE(2026,1,7))</f>
        <v>0</v>
      </c>
      <c r="CH76">
        <f>COUNTIFS('DRAFT 2'!$D:$D,$B76,'DRAFT 2'!$A:$A,"&gt;="&amp;DATE(2026,1,8),'DRAFT 2'!$A:$A,"&lt;="&amp;DATE(2026,1,14))</f>
        <v>0</v>
      </c>
      <c r="CI76">
        <f>COUNTIFS('DRAFT 2'!$D:$D,$B76,'DRAFT 2'!$A:$A,"&gt;="&amp;DATE(2026,1,15),'DRAFT 2'!$A:$A,"&lt;="&amp;DATE(2026,1,21))</f>
        <v>0</v>
      </c>
      <c r="CJ76">
        <f>COUNTIFS('DRAFT 2'!$D:$D,$B76,'DRAFT 2'!$A:$A,"&gt;="&amp;DATE(2026,1,22),'DRAFT 2'!$A:$A,"&lt;"&amp;DATE(2026,IF(1=12,1+1,1+1),1))</f>
        <v>0</v>
      </c>
      <c r="CK76">
        <f t="shared" si="30"/>
        <v>0</v>
      </c>
      <c r="CT76">
        <v>0</v>
      </c>
      <c r="CU76">
        <f>IFERROR(LOOKUP(2,1/('DRAFT 2'!$D:$D=$B76)*('DRAFT 2'!$A:$A&gt;=DATE(2026,2,1))*('DRAFT 2'!$A:$A&lt;DATE(2026,IF(2=12,2+1,2+1),1)),'DRAFT 2'!$A:$A),"")</f>
        <v>0</v>
      </c>
      <c r="CV76">
        <f>COUNTIFS('DRAFT 2'!$D:$D,$B76,'DRAFT 2'!$A:$A,"&gt;="&amp;DATE(2026,2,1),'DRAFT 2'!$A:$A,"&lt;="&amp;DATE(2026,2,7))</f>
        <v>0</v>
      </c>
      <c r="CW76">
        <f>COUNTIFS('DRAFT 2'!$D:$D,$B76,'DRAFT 2'!$A:$A,"&gt;="&amp;DATE(2026,2,8),'DRAFT 2'!$A:$A,"&lt;="&amp;DATE(2026,2,14))</f>
        <v>0</v>
      </c>
      <c r="CX76">
        <f>COUNTIFS('DRAFT 2'!$D:$D,$B76,'DRAFT 2'!$A:$A,"&gt;="&amp;DATE(2026,2,15),'DRAFT 2'!$A:$A,"&lt;="&amp;DATE(2026,2,21))</f>
        <v>0</v>
      </c>
      <c r="CY76">
        <f>COUNTIFS('DRAFT 2'!$D:$D,$B76,'DRAFT 2'!$A:$A,"&gt;="&amp;DATE(2026,2,22),'DRAFT 2'!$A:$A,"&lt;"&amp;DATE(2026,IF(2=12,2+1,2+1),1))</f>
        <v>0</v>
      </c>
      <c r="CZ76">
        <f t="shared" si="31"/>
        <v>0</v>
      </c>
      <c r="DJ76">
        <f>IFERROR(LOOKUP(2,1/('DRAFT 2'!$D:$D=$B76)*('DRAFT 2'!$A:$A&gt;=DATE(2026,3,1))*('DRAFT 2'!$A:$A&lt;DATE(2026,IF(3=12,3+1,3+1),1)),'DRAFT 2'!$A:$A),"")</f>
        <v>0</v>
      </c>
      <c r="DK76">
        <f>COUNTIFS('DRAFT 2'!$D:$D,$B76,'DRAFT 2'!$A:$A,"&gt;="&amp;DATE(2026,3,1),'DRAFT 2'!$A:$A,"&lt;="&amp;DATE(2026,3,7))</f>
        <v>0</v>
      </c>
      <c r="DL76">
        <f>COUNTIFS('DRAFT 2'!$D:$D,$B76,'DRAFT 2'!$A:$A,"&gt;="&amp;DATE(2026,3,8),'DRAFT 2'!$A:$A,"&lt;="&amp;DATE(2026,3,14))</f>
        <v>0</v>
      </c>
      <c r="DM76">
        <f>COUNTIFS('DRAFT 2'!$D:$D,$B76,'DRAFT 2'!$A:$A,"&gt;="&amp;DATE(2026,3,15),'DRAFT 2'!$A:$A,"&lt;="&amp;DATE(2026,3,21))</f>
        <v>0</v>
      </c>
      <c r="DN76">
        <f>COUNTIFS('DRAFT 2'!$D:$D,$B76,'DRAFT 2'!$A:$A,"&gt;="&amp;DATE(2026,3,22),'DRAFT 2'!$A:$A,"&lt;"&amp;DATE(2026,IF(3=12,3+1,3+1),1))</f>
        <v>0</v>
      </c>
      <c r="DO76">
        <f t="shared" si="32"/>
        <v>0</v>
      </c>
      <c r="DZ76">
        <f>IFERROR(LOOKUP(2,1/('DRAFT 2'!$D:$D=$B76)*('DRAFT 2'!$A:$A&gt;=DATE(2026,4,1))*('DRAFT 2'!$A:$A&lt;DATE(2026,IF(4=12,4+1,4+1),1)),'DRAFT 2'!$A:$A),"")</f>
        <v>0</v>
      </c>
      <c r="EA76">
        <f>COUNTIFS('DRAFT 2'!$D:$D,$B76,'DRAFT 2'!$A:$A,"&gt;="&amp;DATE(2026,4,1),'DRAFT 2'!$A:$A,"&lt;="&amp;DATE(2026,4,7))</f>
        <v>0</v>
      </c>
      <c r="EB76">
        <f>COUNTIFS('DRAFT 2'!$D:$D,$B76,'DRAFT 2'!$A:$A,"&gt;="&amp;DATE(2026,4,8),'DRAFT 2'!$A:$A,"&lt;="&amp;DATE(2026,4,14))</f>
        <v>0</v>
      </c>
      <c r="EC76">
        <f>COUNTIFS('DRAFT 2'!$D:$D,$B76,'DRAFT 2'!$A:$A,"&gt;="&amp;DATE(2026,4,15),'DRAFT 2'!$A:$A,"&lt;="&amp;DATE(2026,4,21))</f>
        <v>0</v>
      </c>
      <c r="ED76">
        <f>COUNTIFS('DRAFT 2'!$D:$D,$B76,'DRAFT 2'!$A:$A,"&gt;="&amp;DATE(2026,4,22),'DRAFT 2'!$A:$A,"&lt;"&amp;DATE(2026,IF(4=12,4+1,4+1),1))</f>
        <v>0</v>
      </c>
      <c r="EE76">
        <f t="shared" si="33"/>
        <v>0</v>
      </c>
      <c r="EO76">
        <f>IFERROR(LOOKUP(2,1/('DRAFT 2'!$D:$D=$B76)*('DRAFT 2'!$A:$A&gt;=DATE(2026,5,1))*('DRAFT 2'!$A:$A&lt;DATE(2026,IF(5=12,5+1,5+1),1)),'DRAFT 2'!$A:$A),"")</f>
        <v>0</v>
      </c>
      <c r="EP76">
        <f>COUNTIFS('DRAFT 2'!$D:$D,$B76,'DRAFT 2'!$A:$A,"&gt;="&amp;DATE(2026,5,1),'DRAFT 2'!$A:$A,"&lt;="&amp;DATE(2026,5,7))</f>
        <v>0</v>
      </c>
      <c r="EQ76">
        <f>COUNTIFS('DRAFT 2'!$D:$D,$B76,'DRAFT 2'!$A:$A,"&gt;="&amp;DATE(2026,5,8),'DRAFT 2'!$A:$A,"&lt;="&amp;DATE(2026,5,14))</f>
        <v>0</v>
      </c>
      <c r="ER76">
        <f>COUNTIFS('DRAFT 2'!$D:$D,$B76,'DRAFT 2'!$A:$A,"&gt;="&amp;DATE(2026,5,15),'DRAFT 2'!$A:$A,"&lt;="&amp;DATE(2026,5,21))</f>
        <v>0</v>
      </c>
      <c r="ES76">
        <f>COUNTIFS('DRAFT 2'!$D:$D,$B76,'DRAFT 2'!$A:$A,"&gt;="&amp;DATE(2026,5,22),'DRAFT 2'!$A:$A,"&lt;"&amp;DATE(2026,IF(5=12,5+1,5+1),1))</f>
        <v>0</v>
      </c>
      <c r="ET76">
        <f t="shared" si="34"/>
        <v>0</v>
      </c>
      <c r="FD76">
        <f>IFERROR(LOOKUP(2,1/('DRAFT 2'!$D:$D=$B76)*('DRAFT 2'!$A:$A&gt;=DATE(2026,6,1))*('DRAFT 2'!$A:$A&lt;DATE(2026,IF(6=12,6+1,6+1),1)),'DRAFT 2'!$A:$A),"")</f>
        <v>0</v>
      </c>
      <c r="FE76">
        <f>COUNTIFS('DRAFT 2'!$D:$D,$B76,'DRAFT 2'!$A:$A,"&gt;="&amp;DATE(2026,6,1),'DRAFT 2'!$A:$A,"&lt;="&amp;DATE(2026,6,7))</f>
        <v>0</v>
      </c>
      <c r="FF76">
        <f>COUNTIFS('DRAFT 2'!$D:$D,$B76,'DRAFT 2'!$A:$A,"&gt;="&amp;DATE(2026,6,8),'DRAFT 2'!$A:$A,"&lt;="&amp;DATE(2026,6,14))</f>
        <v>0</v>
      </c>
      <c r="FG76">
        <f>COUNTIFS('DRAFT 2'!$D:$D,$B76,'DRAFT 2'!$A:$A,"&gt;="&amp;DATE(2026,6,15),'DRAFT 2'!$A:$A,"&lt;="&amp;DATE(2026,6,21))</f>
        <v>0</v>
      </c>
      <c r="FH76">
        <f>COUNTIFS('DRAFT 2'!$D:$D,$B76,'DRAFT 2'!$A:$A,"&gt;="&amp;DATE(2026,6,22),'DRAFT 2'!$A:$A,"&lt;"&amp;DATE(2026,IF(6=12,6+1,6+1),1))</f>
        <v>0</v>
      </c>
      <c r="FI76">
        <f t="shared" si="35"/>
        <v>0</v>
      </c>
      <c r="FT76">
        <f>IFERROR(LOOKUP(2,1/('DRAFT 2'!$D:$D=$B76)*('DRAFT 2'!$A:$A&gt;=DATE(2026,7,1))*('DRAFT 2'!$A:$A&lt;DATE(2026,IF(7=12,7+1,7+1),1)),'DRAFT 2'!$A:$A),"")</f>
        <v>0</v>
      </c>
      <c r="FU76">
        <f>COUNTIFS('DRAFT 2'!$D:$D,$B76,'DRAFT 2'!$A:$A,"&gt;="&amp;DATE(2026,7,1),'DRAFT 2'!$A:$A,"&lt;="&amp;DATE(2026,7,7))</f>
        <v>0</v>
      </c>
      <c r="FV76">
        <f>COUNTIFS('DRAFT 2'!$D:$D,$B76,'DRAFT 2'!$A:$A,"&gt;="&amp;DATE(2026,7,8),'DRAFT 2'!$A:$A,"&lt;="&amp;DATE(2026,7,14))</f>
        <v>0</v>
      </c>
      <c r="FW76">
        <f>COUNTIFS('DRAFT 2'!$D:$D,$B76,'DRAFT 2'!$A:$A,"&gt;="&amp;DATE(2026,7,15),'DRAFT 2'!$A:$A,"&lt;="&amp;DATE(2026,7,21))</f>
        <v>0</v>
      </c>
      <c r="FX76">
        <f>COUNTIFS('DRAFT 2'!$D:$D,$B76,'DRAFT 2'!$A:$A,"&gt;="&amp;DATE(2026,7,22),'DRAFT 2'!$A:$A,"&lt;"&amp;DATE(2026,IF(7=12,7+1,7+1),1))</f>
        <v>0</v>
      </c>
      <c r="FY76">
        <f t="shared" si="36"/>
        <v>0</v>
      </c>
      <c r="GI76">
        <f>IFERROR(LOOKUP(2,1/('DRAFT 2'!$D:$D=$B76)*('DRAFT 2'!$A:$A&gt;=DATE(2026,8,1))*('DRAFT 2'!$A:$A&lt;DATE(2026,IF(8=12,8+1,8+1),1)),'DRAFT 2'!$A:$A),"")</f>
        <v>0</v>
      </c>
      <c r="GJ76">
        <f>COUNTIFS('DRAFT 2'!$D:$D,$B76,'DRAFT 2'!$A:$A,"&gt;="&amp;DATE(2026,8,1),'DRAFT 2'!$A:$A,"&lt;="&amp;DATE(2026,8,7))</f>
        <v>0</v>
      </c>
      <c r="GK76">
        <f>COUNTIFS('DRAFT 2'!$D:$D,$B76,'DRAFT 2'!$A:$A,"&gt;="&amp;DATE(2026,8,8),'DRAFT 2'!$A:$A,"&lt;="&amp;DATE(2026,8,14))</f>
        <v>0</v>
      </c>
      <c r="GL76">
        <f>COUNTIFS('DRAFT 2'!$D:$D,$B76,'DRAFT 2'!$A:$A,"&gt;="&amp;DATE(2026,8,15),'DRAFT 2'!$A:$A,"&lt;="&amp;DATE(2026,8,21))</f>
        <v>0</v>
      </c>
      <c r="GM76">
        <f>COUNTIFS('DRAFT 2'!$D:$D,$B76,'DRAFT 2'!$A:$A,"&gt;="&amp;DATE(2026,8,22),'DRAFT 2'!$A:$A,"&lt;"&amp;DATE(2026,IF(8=12,8+1,8+1),1))</f>
        <v>0</v>
      </c>
      <c r="GN76">
        <f t="shared" si="37"/>
        <v>0</v>
      </c>
      <c r="GX76">
        <f>IFERROR(LOOKUP(2,1/('DRAFT 2'!$D:$D=$B76)*('DRAFT 2'!$A:$A&gt;=DATE(2026,9,1))*('DRAFT 2'!$A:$A&lt;DATE(2026,IF(9=12,9+1,9+1),1)),'DRAFT 2'!$A:$A),"")</f>
        <v>0</v>
      </c>
      <c r="GY76">
        <f>COUNTIFS('DRAFT 2'!$D:$D,$B76,'DRAFT 2'!$A:$A,"&gt;="&amp;DATE(2026,9,1),'DRAFT 2'!$A:$A,"&lt;="&amp;DATE(2026,9,7))</f>
        <v>0</v>
      </c>
      <c r="GZ76">
        <f>COUNTIFS('DRAFT 2'!$D:$D,$B76,'DRAFT 2'!$A:$A,"&gt;="&amp;DATE(2026,9,8),'DRAFT 2'!$A:$A,"&lt;="&amp;DATE(2026,9,14))</f>
        <v>0</v>
      </c>
      <c r="HA76">
        <f>COUNTIFS('DRAFT 2'!$D:$D,$B76,'DRAFT 2'!$A:$A,"&gt;="&amp;DATE(2026,9,15),'DRAFT 2'!$A:$A,"&lt;="&amp;DATE(2026,9,21))</f>
        <v>0</v>
      </c>
      <c r="HB76">
        <f>COUNTIFS('DRAFT 2'!$D:$D,$B76,'DRAFT 2'!$A:$A,"&gt;="&amp;DATE(2026,9,22),'DRAFT 2'!$A:$A,"&lt;"&amp;DATE(2026,IF(9=12,9+1,9+1),1))</f>
        <v>0</v>
      </c>
      <c r="HC76">
        <f t="shared" si="38"/>
        <v>0</v>
      </c>
      <c r="HN76">
        <f>IFERROR(LOOKUP(2,1/('DRAFT 2'!$D:$D=$B76)*('DRAFT 2'!$A:$A&gt;=DATE(2026,10,1))*('DRAFT 2'!$A:$A&lt;DATE(2026,IF(10=12,10+1,10+1),1)),'DRAFT 2'!$A:$A),"")</f>
        <v>0</v>
      </c>
      <c r="HO76">
        <f>COUNTIFS('DRAFT 2'!$D:$D,$B76,'DRAFT 2'!$A:$A,"&gt;="&amp;DATE(2026,10,1),'DRAFT 2'!$A:$A,"&lt;="&amp;DATE(2026,10,7))</f>
        <v>0</v>
      </c>
      <c r="HP76">
        <f>COUNTIFS('DRAFT 2'!$D:$D,$B76,'DRAFT 2'!$A:$A,"&gt;="&amp;DATE(2026,10,8),'DRAFT 2'!$A:$A,"&lt;="&amp;DATE(2026,10,14))</f>
        <v>0</v>
      </c>
      <c r="HQ76">
        <f>COUNTIFS('DRAFT 2'!$D:$D,$B76,'DRAFT 2'!$A:$A,"&gt;="&amp;DATE(2026,10,15),'DRAFT 2'!$A:$A,"&lt;="&amp;DATE(2026,10,21))</f>
        <v>0</v>
      </c>
      <c r="HR76">
        <f>COUNTIFS('DRAFT 2'!$D:$D,$B76,'DRAFT 2'!$A:$A,"&gt;="&amp;DATE(2026,10,22),'DRAFT 2'!$A:$A,"&lt;"&amp;DATE(2026,IF(10=12,10+1,10+1),1))</f>
        <v>0</v>
      </c>
      <c r="HS76">
        <f t="shared" si="39"/>
        <v>0</v>
      </c>
      <c r="IC76">
        <f>IFERROR(LOOKUP(2,1/('DRAFT 2'!$D:$D=$B76)*('DRAFT 2'!$A:$A&gt;=DATE(2026,11,1))*('DRAFT 2'!$A:$A&lt;DATE(2026,IF(11=12,11+1,11+1),1)),'DRAFT 2'!$A:$A),"")</f>
        <v>0</v>
      </c>
      <c r="ID76">
        <f>COUNTIFS('DRAFT 2'!$D:$D,$B76,'DRAFT 2'!$A:$A,"&gt;="&amp;DATE(2026,11,1),'DRAFT 2'!$A:$A,"&lt;="&amp;DATE(2026,11,7))</f>
        <v>0</v>
      </c>
      <c r="IE76">
        <f>COUNTIFS('DRAFT 2'!$D:$D,$B76,'DRAFT 2'!$A:$A,"&gt;="&amp;DATE(2026,11,8),'DRAFT 2'!$A:$A,"&lt;="&amp;DATE(2026,11,14))</f>
        <v>0</v>
      </c>
      <c r="IF76">
        <f>COUNTIFS('DRAFT 2'!$D:$D,$B76,'DRAFT 2'!$A:$A,"&gt;="&amp;DATE(2026,11,15),'DRAFT 2'!$A:$A,"&lt;="&amp;DATE(2026,11,21))</f>
        <v>0</v>
      </c>
      <c r="IG76">
        <f>COUNTIFS('DRAFT 2'!$D:$D,$B76,'DRAFT 2'!$A:$A,"&gt;="&amp;DATE(2026,11,22),'DRAFT 2'!$A:$A,"&lt;"&amp;DATE(2026,IF(11=12,11+1,11+1),1))</f>
        <v>0</v>
      </c>
      <c r="IH76">
        <f t="shared" si="40"/>
        <v>0</v>
      </c>
      <c r="IR76">
        <f>IFERROR(LOOKUP(2,1/('DRAFT 2'!$D:$D=$B76)*('DRAFT 2'!$A:$A&gt;=DATE(2026,12,1))*('DRAFT 2'!$A:$A&lt;DATE(2026,IF(12=12,12+1,12+1),1)),'DRAFT 2'!$A:$A),"")</f>
        <v>0</v>
      </c>
      <c r="IS76">
        <f>COUNTIFS('DRAFT 2'!$D:$D,$B76,'DRAFT 2'!$A:$A,"&gt;="&amp;DATE(2026,12,1),'DRAFT 2'!$A:$A,"&lt;="&amp;DATE(2026,12,7))</f>
        <v>0</v>
      </c>
      <c r="IT76">
        <f>COUNTIFS('DRAFT 2'!$D:$D,$B76,'DRAFT 2'!$A:$A,"&gt;="&amp;DATE(2026,12,8),'DRAFT 2'!$A:$A,"&lt;="&amp;DATE(2026,12,14))</f>
        <v>0</v>
      </c>
      <c r="IU76">
        <f>COUNTIFS('DRAFT 2'!$D:$D,$B76,'DRAFT 2'!$A:$A,"&gt;="&amp;DATE(2026,12,15),'DRAFT 2'!$A:$A,"&lt;="&amp;DATE(2026,12,21))</f>
        <v>0</v>
      </c>
      <c r="IV76">
        <f>COUNTIFS('DRAFT 2'!$D:$D,$B76,'DRAFT 2'!$A:$A,"&gt;="&amp;DATE(2026,12,22),'DRAFT 2'!$A:$A,"&lt;"&amp;DATE(2026,IF(12=12,12+1,12+1),1))</f>
        <v>0</v>
      </c>
      <c r="IW76">
        <f t="shared" si="41"/>
        <v>0</v>
      </c>
    </row>
    <row r="77" spans="1:257" x14ac:dyDescent="0.3">
      <c r="A77" t="str">
        <f>IFERROR(INDEX('DRAFT 1'!$A:$A,MATCH($B77,'DRAFT 1'!$B:$B,0)),"")</f>
        <v/>
      </c>
      <c r="C77" t="str">
        <f>IFERROR(INDEX('DRAFT 1'!$C:$C,MATCH($B77,'DRAFT 1'!$B:$B,0)),"")</f>
        <v/>
      </c>
      <c r="D77" t="str">
        <f>IFERROR(INDEX('DRAFT 1'!$D:$D,MATCH($B77,'DRAFT 1'!$B:$B,0)),"")</f>
        <v/>
      </c>
      <c r="E77" t="str">
        <f>IFERROR(INDEX('DRAFT 1'!$E:$E,MATCH($B77,'DRAFT 1'!$B:$B,0)),"")</f>
        <v/>
      </c>
      <c r="F77" t="str">
        <f>IFERROR(INDEX('DRAFT 1'!$F:$F,MATCH($B77,'DRAFT 1'!$B:$B,0)),"")</f>
        <v/>
      </c>
      <c r="G77" t="str">
        <f>IFERROR(INDEX('DRAFT 1'!$G:$G,MATCH($B77,'DRAFT 1'!$B:$B,0)),"")</f>
        <v/>
      </c>
      <c r="H77" t="str">
        <f>IFERROR(INDEX('DRAFT 1'!$H:$H,MATCH($B77,'DRAFT 1'!$B:$B,0)),"")</f>
        <v/>
      </c>
      <c r="I77" t="s">
        <v>295</v>
      </c>
      <c r="K77" t="str">
        <f>IFERROR(INDEX('DRAFT 1'!$AL:$AL,MATCH($B77,'DRAFT 1'!$B:$B,0)),"")</f>
        <v/>
      </c>
      <c r="L77" t="str">
        <f>IFERROR(INDEX('DRAFT 1'!$J:$J,MATCH($B77,'DRAFT 1'!$B:$B,0)),"")</f>
        <v/>
      </c>
      <c r="M77" t="str">
        <f>IFERROR(INDEX('DRAFT 1'!$K:$K,MATCH($B77,'DRAFT 1'!$B:$B,0)),"")</f>
        <v/>
      </c>
      <c r="N77" t="s">
        <v>71</v>
      </c>
      <c r="P77" t="str">
        <f>IFERROR(INDEX('DRAFT 1'!$L:$L,MATCH($B77,'DRAFT 1'!$B:$B,0)),"")</f>
        <v/>
      </c>
      <c r="Q77" t="str">
        <f>IFERROR(INDEX('DRAFT 1'!$M:$M,MATCH($B77,'DRAFT 1'!$B:$B,0)),"")</f>
        <v/>
      </c>
      <c r="R77" t="str">
        <f>IFERROR(INDEX('DRAFT 1'!$N:$N,MATCH($B77,'DRAFT 1'!$B:$B,0)),"")</f>
        <v/>
      </c>
      <c r="S77" t="str">
        <f>IFERROR(INDEX('DRAFT 1'!$O:$O,MATCH($B77,'DRAFT 1'!$B:$B,0)),"")</f>
        <v/>
      </c>
      <c r="T77" t="str">
        <f>IFERROR(INDEX('DRAFT 1'!$P:$P,MATCH($B77,'DRAFT 1'!$B:$B,0)),"")</f>
        <v/>
      </c>
      <c r="U77" t="str">
        <f>IFERROR(INDEX('DRAFT 1'!$Q:$Q,MATCH($B77,'DRAFT 1'!$B:$B,0)),"")</f>
        <v/>
      </c>
      <c r="V77" t="str">
        <f>IFERROR(INDEX('DRAFT 1'!$R:$R,MATCH($B77,'DRAFT 1'!$B:$B,0)),"")</f>
        <v/>
      </c>
      <c r="W77" t="str">
        <f>IFERROR(INDEX('DRAFT 1'!$S:$S,MATCH($B77,'DRAFT 1'!$B:$B,0)),"")</f>
        <v/>
      </c>
      <c r="X77" t="str">
        <f>IFERROR(INDEX('DRAFT 1'!$T:$T,MATCH($B77,'DRAFT 1'!$B:$B,0)),"")</f>
        <v/>
      </c>
      <c r="Z77" t="str">
        <f>IFERROR(INDEX('DRAFT 1'!$U:$U,MATCH($B77,'DRAFT 1'!$B:$B,0)),"")</f>
        <v/>
      </c>
      <c r="AA77" t="str">
        <f>IFERROR(INDEX('DRAFT 1'!$V:$V,MATCH($B77,'DRAFT 1'!$B:$B,0)),"")</f>
        <v/>
      </c>
      <c r="AB77" t="str">
        <f>IFERROR(INDEX('DRAFT 1'!$W:$W,MATCH($B77,'DRAFT 1'!$B:$B,0)),"")</f>
        <v/>
      </c>
      <c r="AC77" t="str">
        <f>IFERROR(INDEX('DRAFT 1'!$X:$X,MATCH($B77,'DRAFT 1'!$B:$B,0)),"")</f>
        <v/>
      </c>
      <c r="AD77" t="str">
        <f>IFERROR(INDEX('DRAFT 1'!$Y:$Y,MATCH($B77,'DRAFT 1'!$B:$B,0)),"")</f>
        <v/>
      </c>
      <c r="AE77" t="str">
        <f>IFERROR(INDEX('DRAFT 1'!$Z:$Z,MATCH($B77,'DRAFT 1'!$B:$B,0)),"")</f>
        <v/>
      </c>
      <c r="AF77" t="str">
        <f>IFERROR(INDEX('DRAFT 1'!$AA:$AA,MATCH($B77,'DRAFT 1'!$B:$B,0)),"")</f>
        <v/>
      </c>
      <c r="AG77" t="str">
        <f>IFERROR(INDEX('DRAFT 1'!$AB:$AB,MATCH($B77,'DRAFT 1'!$B:$B,0)),"")</f>
        <v/>
      </c>
      <c r="AH77" t="str">
        <f>IFERROR(INDEX('DRAFT 1'!$AC:$AC,MATCH($B77,'DRAFT 1'!$B:$B,0)),"")</f>
        <v/>
      </c>
      <c r="AI77" t="str">
        <f>IFERROR(INDEX('DRAFT 1'!$AD:$AD,MATCH($B77,'DRAFT 1'!$B:$B,0)),"")</f>
        <v/>
      </c>
      <c r="AJ77" t="str">
        <f>IFERROR(INDEX('DRAFT 1'!$AE:$AE,MATCH($B77,'DRAFT 1'!$B:$B,0)),"")</f>
        <v/>
      </c>
      <c r="AK77" t="str">
        <f>IFERROR(INDEX('DRAFT 1'!$AG:$AG,MATCH($B77,'DRAFT 1'!$B:$B,0)),"")</f>
        <v/>
      </c>
      <c r="AL77" t="str">
        <f>IFERROR(INDEX('DRAFT 1'!$AH:$AH,MATCH($B77,'DRAFT 1'!$B:$B,0)),"")</f>
        <v/>
      </c>
      <c r="AM77" t="str">
        <f>IFERROR(INDEX('DRAFT 1'!$AI:$AI,MATCH($B77,'DRAFT 1'!$B:$B,0)),"")</f>
        <v/>
      </c>
      <c r="AN77" t="str">
        <f>IFERROR(INDEX('DRAFT 1'!$AJ:$AJ,MATCH($B77,'DRAFT 1'!$B:$B,0)),"")</f>
        <v/>
      </c>
      <c r="AO77">
        <f t="shared" si="28"/>
        <v>0</v>
      </c>
      <c r="AP77" t="str">
        <f>IFERROR(INDEX('DRAFT 1'!$AK:$AK,MATCH($B77,'DRAFT 1'!$B:$B,0)),"")</f>
        <v/>
      </c>
      <c r="AR77" t="s">
        <v>5</v>
      </c>
      <c r="AS77">
        <f>IFERROR(LOOKUP(2,1/('DRAFT 2'!$D:$D=$B77),'DRAFT 2'!$T:$T),"")</f>
        <v>0</v>
      </c>
      <c r="AT77">
        <f>IFERROR(LOOKUP(2,1/('DRAFT 2'!$D:$D=$B77),'DRAFT 2'!$A:$A),"")</f>
        <v>0</v>
      </c>
      <c r="AU77">
        <f>IFERROR(LOOKUP(2,1/('DRAFT 2'!$D:$D=$B77),'DRAFT 2'!$R:$R),"")</f>
        <v>0</v>
      </c>
      <c r="AV77">
        <f>IFERROR(LOOKUP(2,1/('DRAFT 2'!$D:$D=$B77),'DRAFT 2'!$S:$S),"")</f>
        <v>0</v>
      </c>
      <c r="AW77" t="s">
        <v>128</v>
      </c>
      <c r="AX77">
        <f>IFERROR(LOOKUP(2,1/('DRAFT 2'!$D:$D=$B77),'DRAFT 2'!$M:$M),"")</f>
        <v>0</v>
      </c>
      <c r="AY77">
        <f>IFERROR(LOOKUP(2,1/('DRAFT 2'!$D:$D=$B77),'DRAFT 2'!$K:$K),"")</f>
        <v>0</v>
      </c>
      <c r="BG77">
        <f>IFERROR(LOOKUP(2,1/('DRAFT 2'!$D:$D=$B77),'DRAFT 2'!$U:$U),"")</f>
        <v>0</v>
      </c>
      <c r="BH77">
        <f>IFERROR(LOOKUP(2,1/('DRAFT 2'!$D:$D=$B77),'DRAFT 2'!$V:$V),"")</f>
        <v>0</v>
      </c>
      <c r="CE77" t="str">
        <f t="shared" si="29"/>
        <v/>
      </c>
      <c r="CF77">
        <f>IFERROR(LOOKUP(2,1/('DRAFT 2'!$D:$D=$B77)*('DRAFT 2'!$A:$A&gt;=DATE(2026,1,1))*('DRAFT 2'!$A:$A&lt;DATE(2026,IF(1=12,1+1,1+1),1)),'DRAFT 2'!$A:$A),"")</f>
        <v>0</v>
      </c>
      <c r="CG77">
        <f>COUNTIFS('DRAFT 2'!$D:$D,$B77,'DRAFT 2'!$A:$A,"&gt;="&amp;DATE(2026,1,1),'DRAFT 2'!$A:$A,"&lt;="&amp;DATE(2026,1,7))</f>
        <v>0</v>
      </c>
      <c r="CH77">
        <f>COUNTIFS('DRAFT 2'!$D:$D,$B77,'DRAFT 2'!$A:$A,"&gt;="&amp;DATE(2026,1,8),'DRAFT 2'!$A:$A,"&lt;="&amp;DATE(2026,1,14))</f>
        <v>0</v>
      </c>
      <c r="CI77">
        <f>COUNTIFS('DRAFT 2'!$D:$D,$B77,'DRAFT 2'!$A:$A,"&gt;="&amp;DATE(2026,1,15),'DRAFT 2'!$A:$A,"&lt;="&amp;DATE(2026,1,21))</f>
        <v>0</v>
      </c>
      <c r="CJ77">
        <f>COUNTIFS('DRAFT 2'!$D:$D,$B77,'DRAFT 2'!$A:$A,"&gt;="&amp;DATE(2026,1,22),'DRAFT 2'!$A:$A,"&lt;"&amp;DATE(2026,IF(1=12,1+1,1+1),1))</f>
        <v>0</v>
      </c>
      <c r="CK77">
        <f t="shared" si="30"/>
        <v>0</v>
      </c>
      <c r="CT77">
        <v>0</v>
      </c>
      <c r="CU77">
        <f>IFERROR(LOOKUP(2,1/('DRAFT 2'!$D:$D=$B77)*('DRAFT 2'!$A:$A&gt;=DATE(2026,2,1))*('DRAFT 2'!$A:$A&lt;DATE(2026,IF(2=12,2+1,2+1),1)),'DRAFT 2'!$A:$A),"")</f>
        <v>0</v>
      </c>
      <c r="CV77">
        <f>COUNTIFS('DRAFT 2'!$D:$D,$B77,'DRAFT 2'!$A:$A,"&gt;="&amp;DATE(2026,2,1),'DRAFT 2'!$A:$A,"&lt;="&amp;DATE(2026,2,7))</f>
        <v>0</v>
      </c>
      <c r="CW77">
        <f>COUNTIFS('DRAFT 2'!$D:$D,$B77,'DRAFT 2'!$A:$A,"&gt;="&amp;DATE(2026,2,8),'DRAFT 2'!$A:$A,"&lt;="&amp;DATE(2026,2,14))</f>
        <v>0</v>
      </c>
      <c r="CX77">
        <f>COUNTIFS('DRAFT 2'!$D:$D,$B77,'DRAFT 2'!$A:$A,"&gt;="&amp;DATE(2026,2,15),'DRAFT 2'!$A:$A,"&lt;="&amp;DATE(2026,2,21))</f>
        <v>0</v>
      </c>
      <c r="CY77">
        <f>COUNTIFS('DRAFT 2'!$D:$D,$B77,'DRAFT 2'!$A:$A,"&gt;="&amp;DATE(2026,2,22),'DRAFT 2'!$A:$A,"&lt;"&amp;DATE(2026,IF(2=12,2+1,2+1),1))</f>
        <v>0</v>
      </c>
      <c r="CZ77">
        <f t="shared" si="31"/>
        <v>0</v>
      </c>
      <c r="DJ77">
        <f>IFERROR(LOOKUP(2,1/('DRAFT 2'!$D:$D=$B77)*('DRAFT 2'!$A:$A&gt;=DATE(2026,3,1))*('DRAFT 2'!$A:$A&lt;DATE(2026,IF(3=12,3+1,3+1),1)),'DRAFT 2'!$A:$A),"")</f>
        <v>0</v>
      </c>
      <c r="DK77">
        <f>COUNTIFS('DRAFT 2'!$D:$D,$B77,'DRAFT 2'!$A:$A,"&gt;="&amp;DATE(2026,3,1),'DRAFT 2'!$A:$A,"&lt;="&amp;DATE(2026,3,7))</f>
        <v>0</v>
      </c>
      <c r="DL77">
        <f>COUNTIFS('DRAFT 2'!$D:$D,$B77,'DRAFT 2'!$A:$A,"&gt;="&amp;DATE(2026,3,8),'DRAFT 2'!$A:$A,"&lt;="&amp;DATE(2026,3,14))</f>
        <v>0</v>
      </c>
      <c r="DM77">
        <f>COUNTIFS('DRAFT 2'!$D:$D,$B77,'DRAFT 2'!$A:$A,"&gt;="&amp;DATE(2026,3,15),'DRAFT 2'!$A:$A,"&lt;="&amp;DATE(2026,3,21))</f>
        <v>0</v>
      </c>
      <c r="DN77">
        <f>COUNTIFS('DRAFT 2'!$D:$D,$B77,'DRAFT 2'!$A:$A,"&gt;="&amp;DATE(2026,3,22),'DRAFT 2'!$A:$A,"&lt;"&amp;DATE(2026,IF(3=12,3+1,3+1),1))</f>
        <v>0</v>
      </c>
      <c r="DO77">
        <f t="shared" si="32"/>
        <v>0</v>
      </c>
      <c r="DZ77">
        <f>IFERROR(LOOKUP(2,1/('DRAFT 2'!$D:$D=$B77)*('DRAFT 2'!$A:$A&gt;=DATE(2026,4,1))*('DRAFT 2'!$A:$A&lt;DATE(2026,IF(4=12,4+1,4+1),1)),'DRAFT 2'!$A:$A),"")</f>
        <v>0</v>
      </c>
      <c r="EA77">
        <f>COUNTIFS('DRAFT 2'!$D:$D,$B77,'DRAFT 2'!$A:$A,"&gt;="&amp;DATE(2026,4,1),'DRAFT 2'!$A:$A,"&lt;="&amp;DATE(2026,4,7))</f>
        <v>0</v>
      </c>
      <c r="EB77">
        <f>COUNTIFS('DRAFT 2'!$D:$D,$B77,'DRAFT 2'!$A:$A,"&gt;="&amp;DATE(2026,4,8),'DRAFT 2'!$A:$A,"&lt;="&amp;DATE(2026,4,14))</f>
        <v>0</v>
      </c>
      <c r="EC77">
        <f>COUNTIFS('DRAFT 2'!$D:$D,$B77,'DRAFT 2'!$A:$A,"&gt;="&amp;DATE(2026,4,15),'DRAFT 2'!$A:$A,"&lt;="&amp;DATE(2026,4,21))</f>
        <v>0</v>
      </c>
      <c r="ED77">
        <f>COUNTIFS('DRAFT 2'!$D:$D,$B77,'DRAFT 2'!$A:$A,"&gt;="&amp;DATE(2026,4,22),'DRAFT 2'!$A:$A,"&lt;"&amp;DATE(2026,IF(4=12,4+1,4+1),1))</f>
        <v>0</v>
      </c>
      <c r="EE77">
        <f t="shared" si="33"/>
        <v>0</v>
      </c>
      <c r="EO77">
        <f>IFERROR(LOOKUP(2,1/('DRAFT 2'!$D:$D=$B77)*('DRAFT 2'!$A:$A&gt;=DATE(2026,5,1))*('DRAFT 2'!$A:$A&lt;DATE(2026,IF(5=12,5+1,5+1),1)),'DRAFT 2'!$A:$A),"")</f>
        <v>0</v>
      </c>
      <c r="EP77">
        <f>COUNTIFS('DRAFT 2'!$D:$D,$B77,'DRAFT 2'!$A:$A,"&gt;="&amp;DATE(2026,5,1),'DRAFT 2'!$A:$A,"&lt;="&amp;DATE(2026,5,7))</f>
        <v>0</v>
      </c>
      <c r="EQ77">
        <f>COUNTIFS('DRAFT 2'!$D:$D,$B77,'DRAFT 2'!$A:$A,"&gt;="&amp;DATE(2026,5,8),'DRAFT 2'!$A:$A,"&lt;="&amp;DATE(2026,5,14))</f>
        <v>0</v>
      </c>
      <c r="ER77">
        <f>COUNTIFS('DRAFT 2'!$D:$D,$B77,'DRAFT 2'!$A:$A,"&gt;="&amp;DATE(2026,5,15),'DRAFT 2'!$A:$A,"&lt;="&amp;DATE(2026,5,21))</f>
        <v>0</v>
      </c>
      <c r="ES77">
        <f>COUNTIFS('DRAFT 2'!$D:$D,$B77,'DRAFT 2'!$A:$A,"&gt;="&amp;DATE(2026,5,22),'DRAFT 2'!$A:$A,"&lt;"&amp;DATE(2026,IF(5=12,5+1,5+1),1))</f>
        <v>0</v>
      </c>
      <c r="ET77">
        <f t="shared" si="34"/>
        <v>0</v>
      </c>
      <c r="FD77">
        <f>IFERROR(LOOKUP(2,1/('DRAFT 2'!$D:$D=$B77)*('DRAFT 2'!$A:$A&gt;=DATE(2026,6,1))*('DRAFT 2'!$A:$A&lt;DATE(2026,IF(6=12,6+1,6+1),1)),'DRAFT 2'!$A:$A),"")</f>
        <v>0</v>
      </c>
      <c r="FE77">
        <f>COUNTIFS('DRAFT 2'!$D:$D,$B77,'DRAFT 2'!$A:$A,"&gt;="&amp;DATE(2026,6,1),'DRAFT 2'!$A:$A,"&lt;="&amp;DATE(2026,6,7))</f>
        <v>0</v>
      </c>
      <c r="FF77">
        <f>COUNTIFS('DRAFT 2'!$D:$D,$B77,'DRAFT 2'!$A:$A,"&gt;="&amp;DATE(2026,6,8),'DRAFT 2'!$A:$A,"&lt;="&amp;DATE(2026,6,14))</f>
        <v>0</v>
      </c>
      <c r="FG77">
        <f>COUNTIFS('DRAFT 2'!$D:$D,$B77,'DRAFT 2'!$A:$A,"&gt;="&amp;DATE(2026,6,15),'DRAFT 2'!$A:$A,"&lt;="&amp;DATE(2026,6,21))</f>
        <v>0</v>
      </c>
      <c r="FH77">
        <f>COUNTIFS('DRAFT 2'!$D:$D,$B77,'DRAFT 2'!$A:$A,"&gt;="&amp;DATE(2026,6,22),'DRAFT 2'!$A:$A,"&lt;"&amp;DATE(2026,IF(6=12,6+1,6+1),1))</f>
        <v>0</v>
      </c>
      <c r="FI77">
        <f t="shared" si="35"/>
        <v>0</v>
      </c>
      <c r="FT77">
        <f>IFERROR(LOOKUP(2,1/('DRAFT 2'!$D:$D=$B77)*('DRAFT 2'!$A:$A&gt;=DATE(2026,7,1))*('DRAFT 2'!$A:$A&lt;DATE(2026,IF(7=12,7+1,7+1),1)),'DRAFT 2'!$A:$A),"")</f>
        <v>0</v>
      </c>
      <c r="FU77">
        <f>COUNTIFS('DRAFT 2'!$D:$D,$B77,'DRAFT 2'!$A:$A,"&gt;="&amp;DATE(2026,7,1),'DRAFT 2'!$A:$A,"&lt;="&amp;DATE(2026,7,7))</f>
        <v>0</v>
      </c>
      <c r="FV77">
        <f>COUNTIFS('DRAFT 2'!$D:$D,$B77,'DRAFT 2'!$A:$A,"&gt;="&amp;DATE(2026,7,8),'DRAFT 2'!$A:$A,"&lt;="&amp;DATE(2026,7,14))</f>
        <v>0</v>
      </c>
      <c r="FW77">
        <f>COUNTIFS('DRAFT 2'!$D:$D,$B77,'DRAFT 2'!$A:$A,"&gt;="&amp;DATE(2026,7,15),'DRAFT 2'!$A:$A,"&lt;="&amp;DATE(2026,7,21))</f>
        <v>0</v>
      </c>
      <c r="FX77">
        <f>COUNTIFS('DRAFT 2'!$D:$D,$B77,'DRAFT 2'!$A:$A,"&gt;="&amp;DATE(2026,7,22),'DRAFT 2'!$A:$A,"&lt;"&amp;DATE(2026,IF(7=12,7+1,7+1),1))</f>
        <v>0</v>
      </c>
      <c r="FY77">
        <f t="shared" si="36"/>
        <v>0</v>
      </c>
      <c r="GI77">
        <f>IFERROR(LOOKUP(2,1/('DRAFT 2'!$D:$D=$B77)*('DRAFT 2'!$A:$A&gt;=DATE(2026,8,1))*('DRAFT 2'!$A:$A&lt;DATE(2026,IF(8=12,8+1,8+1),1)),'DRAFT 2'!$A:$A),"")</f>
        <v>0</v>
      </c>
      <c r="GJ77">
        <f>COUNTIFS('DRAFT 2'!$D:$D,$B77,'DRAFT 2'!$A:$A,"&gt;="&amp;DATE(2026,8,1),'DRAFT 2'!$A:$A,"&lt;="&amp;DATE(2026,8,7))</f>
        <v>0</v>
      </c>
      <c r="GK77">
        <f>COUNTIFS('DRAFT 2'!$D:$D,$B77,'DRAFT 2'!$A:$A,"&gt;="&amp;DATE(2026,8,8),'DRAFT 2'!$A:$A,"&lt;="&amp;DATE(2026,8,14))</f>
        <v>0</v>
      </c>
      <c r="GL77">
        <f>COUNTIFS('DRAFT 2'!$D:$D,$B77,'DRAFT 2'!$A:$A,"&gt;="&amp;DATE(2026,8,15),'DRAFT 2'!$A:$A,"&lt;="&amp;DATE(2026,8,21))</f>
        <v>0</v>
      </c>
      <c r="GM77">
        <f>COUNTIFS('DRAFT 2'!$D:$D,$B77,'DRAFT 2'!$A:$A,"&gt;="&amp;DATE(2026,8,22),'DRAFT 2'!$A:$A,"&lt;"&amp;DATE(2026,IF(8=12,8+1,8+1),1))</f>
        <v>0</v>
      </c>
      <c r="GN77">
        <f t="shared" si="37"/>
        <v>0</v>
      </c>
      <c r="GX77">
        <f>IFERROR(LOOKUP(2,1/('DRAFT 2'!$D:$D=$B77)*('DRAFT 2'!$A:$A&gt;=DATE(2026,9,1))*('DRAFT 2'!$A:$A&lt;DATE(2026,IF(9=12,9+1,9+1),1)),'DRAFT 2'!$A:$A),"")</f>
        <v>0</v>
      </c>
      <c r="GY77">
        <f>COUNTIFS('DRAFT 2'!$D:$D,$B77,'DRAFT 2'!$A:$A,"&gt;="&amp;DATE(2026,9,1),'DRAFT 2'!$A:$A,"&lt;="&amp;DATE(2026,9,7))</f>
        <v>0</v>
      </c>
      <c r="GZ77">
        <f>COUNTIFS('DRAFT 2'!$D:$D,$B77,'DRAFT 2'!$A:$A,"&gt;="&amp;DATE(2026,9,8),'DRAFT 2'!$A:$A,"&lt;="&amp;DATE(2026,9,14))</f>
        <v>0</v>
      </c>
      <c r="HA77">
        <f>COUNTIFS('DRAFT 2'!$D:$D,$B77,'DRAFT 2'!$A:$A,"&gt;="&amp;DATE(2026,9,15),'DRAFT 2'!$A:$A,"&lt;="&amp;DATE(2026,9,21))</f>
        <v>0</v>
      </c>
      <c r="HB77">
        <f>COUNTIFS('DRAFT 2'!$D:$D,$B77,'DRAFT 2'!$A:$A,"&gt;="&amp;DATE(2026,9,22),'DRAFT 2'!$A:$A,"&lt;"&amp;DATE(2026,IF(9=12,9+1,9+1),1))</f>
        <v>0</v>
      </c>
      <c r="HC77">
        <f t="shared" si="38"/>
        <v>0</v>
      </c>
      <c r="HN77">
        <f>IFERROR(LOOKUP(2,1/('DRAFT 2'!$D:$D=$B77)*('DRAFT 2'!$A:$A&gt;=DATE(2026,10,1))*('DRAFT 2'!$A:$A&lt;DATE(2026,IF(10=12,10+1,10+1),1)),'DRAFT 2'!$A:$A),"")</f>
        <v>0</v>
      </c>
      <c r="HO77">
        <f>COUNTIFS('DRAFT 2'!$D:$D,$B77,'DRAFT 2'!$A:$A,"&gt;="&amp;DATE(2026,10,1),'DRAFT 2'!$A:$A,"&lt;="&amp;DATE(2026,10,7))</f>
        <v>0</v>
      </c>
      <c r="HP77">
        <f>COUNTIFS('DRAFT 2'!$D:$D,$B77,'DRAFT 2'!$A:$A,"&gt;="&amp;DATE(2026,10,8),'DRAFT 2'!$A:$A,"&lt;="&amp;DATE(2026,10,14))</f>
        <v>0</v>
      </c>
      <c r="HQ77">
        <f>COUNTIFS('DRAFT 2'!$D:$D,$B77,'DRAFT 2'!$A:$A,"&gt;="&amp;DATE(2026,10,15),'DRAFT 2'!$A:$A,"&lt;="&amp;DATE(2026,10,21))</f>
        <v>0</v>
      </c>
      <c r="HR77">
        <f>COUNTIFS('DRAFT 2'!$D:$D,$B77,'DRAFT 2'!$A:$A,"&gt;="&amp;DATE(2026,10,22),'DRAFT 2'!$A:$A,"&lt;"&amp;DATE(2026,IF(10=12,10+1,10+1),1))</f>
        <v>0</v>
      </c>
      <c r="HS77">
        <f t="shared" si="39"/>
        <v>0</v>
      </c>
      <c r="IC77">
        <f>IFERROR(LOOKUP(2,1/('DRAFT 2'!$D:$D=$B77)*('DRAFT 2'!$A:$A&gt;=DATE(2026,11,1))*('DRAFT 2'!$A:$A&lt;DATE(2026,IF(11=12,11+1,11+1),1)),'DRAFT 2'!$A:$A),"")</f>
        <v>0</v>
      </c>
      <c r="ID77">
        <f>COUNTIFS('DRAFT 2'!$D:$D,$B77,'DRAFT 2'!$A:$A,"&gt;="&amp;DATE(2026,11,1),'DRAFT 2'!$A:$A,"&lt;="&amp;DATE(2026,11,7))</f>
        <v>0</v>
      </c>
      <c r="IE77">
        <f>COUNTIFS('DRAFT 2'!$D:$D,$B77,'DRAFT 2'!$A:$A,"&gt;="&amp;DATE(2026,11,8),'DRAFT 2'!$A:$A,"&lt;="&amp;DATE(2026,11,14))</f>
        <v>0</v>
      </c>
      <c r="IF77">
        <f>COUNTIFS('DRAFT 2'!$D:$D,$B77,'DRAFT 2'!$A:$A,"&gt;="&amp;DATE(2026,11,15),'DRAFT 2'!$A:$A,"&lt;="&amp;DATE(2026,11,21))</f>
        <v>0</v>
      </c>
      <c r="IG77">
        <f>COUNTIFS('DRAFT 2'!$D:$D,$B77,'DRAFT 2'!$A:$A,"&gt;="&amp;DATE(2026,11,22),'DRAFT 2'!$A:$A,"&lt;"&amp;DATE(2026,IF(11=12,11+1,11+1),1))</f>
        <v>0</v>
      </c>
      <c r="IH77">
        <f t="shared" si="40"/>
        <v>0</v>
      </c>
      <c r="IR77">
        <f>IFERROR(LOOKUP(2,1/('DRAFT 2'!$D:$D=$B77)*('DRAFT 2'!$A:$A&gt;=DATE(2026,12,1))*('DRAFT 2'!$A:$A&lt;DATE(2026,IF(12=12,12+1,12+1),1)),'DRAFT 2'!$A:$A),"")</f>
        <v>0</v>
      </c>
      <c r="IS77">
        <f>COUNTIFS('DRAFT 2'!$D:$D,$B77,'DRAFT 2'!$A:$A,"&gt;="&amp;DATE(2026,12,1),'DRAFT 2'!$A:$A,"&lt;="&amp;DATE(2026,12,7))</f>
        <v>0</v>
      </c>
      <c r="IT77">
        <f>COUNTIFS('DRAFT 2'!$D:$D,$B77,'DRAFT 2'!$A:$A,"&gt;="&amp;DATE(2026,12,8),'DRAFT 2'!$A:$A,"&lt;="&amp;DATE(2026,12,14))</f>
        <v>0</v>
      </c>
      <c r="IU77">
        <f>COUNTIFS('DRAFT 2'!$D:$D,$B77,'DRAFT 2'!$A:$A,"&gt;="&amp;DATE(2026,12,15),'DRAFT 2'!$A:$A,"&lt;="&amp;DATE(2026,12,21))</f>
        <v>0</v>
      </c>
      <c r="IV77">
        <f>COUNTIFS('DRAFT 2'!$D:$D,$B77,'DRAFT 2'!$A:$A,"&gt;="&amp;DATE(2026,12,22),'DRAFT 2'!$A:$A,"&lt;"&amp;DATE(2026,IF(12=12,12+1,12+1),1))</f>
        <v>0</v>
      </c>
      <c r="IW77">
        <f t="shared" si="41"/>
        <v>0</v>
      </c>
    </row>
    <row r="78" spans="1:257" x14ac:dyDescent="0.3">
      <c r="A78" t="str">
        <f>IFERROR(INDEX('DRAFT 1'!$A:$A,MATCH($B78,'DRAFT 1'!$B:$B,0)),"")</f>
        <v/>
      </c>
      <c r="C78" t="str">
        <f>IFERROR(INDEX('DRAFT 1'!$C:$C,MATCH($B78,'DRAFT 1'!$B:$B,0)),"")</f>
        <v/>
      </c>
      <c r="D78" t="str">
        <f>IFERROR(INDEX('DRAFT 1'!$D:$D,MATCH($B78,'DRAFT 1'!$B:$B,0)),"")</f>
        <v/>
      </c>
      <c r="E78" t="str">
        <f>IFERROR(INDEX('DRAFT 1'!$E:$E,MATCH($B78,'DRAFT 1'!$B:$B,0)),"")</f>
        <v/>
      </c>
      <c r="F78" t="str">
        <f>IFERROR(INDEX('DRAFT 1'!$F:$F,MATCH($B78,'DRAFT 1'!$B:$B,0)),"")</f>
        <v/>
      </c>
      <c r="G78" t="str">
        <f>IFERROR(INDEX('DRAFT 1'!$G:$G,MATCH($B78,'DRAFT 1'!$B:$B,0)),"")</f>
        <v/>
      </c>
      <c r="H78" t="str">
        <f>IFERROR(INDEX('DRAFT 1'!$H:$H,MATCH($B78,'DRAFT 1'!$B:$B,0)),"")</f>
        <v/>
      </c>
      <c r="I78" t="s">
        <v>292</v>
      </c>
      <c r="K78" t="str">
        <f>IFERROR(INDEX('DRAFT 1'!$AL:$AL,MATCH($B78,'DRAFT 1'!$B:$B,0)),"")</f>
        <v/>
      </c>
      <c r="L78" t="str">
        <f>IFERROR(INDEX('DRAFT 1'!$J:$J,MATCH($B78,'DRAFT 1'!$B:$B,0)),"")</f>
        <v/>
      </c>
      <c r="M78" t="str">
        <f>IFERROR(INDEX('DRAFT 1'!$K:$K,MATCH($B78,'DRAFT 1'!$B:$B,0)),"")</f>
        <v/>
      </c>
      <c r="N78" t="s">
        <v>71</v>
      </c>
      <c r="P78" t="str">
        <f>IFERROR(INDEX('DRAFT 1'!$L:$L,MATCH($B78,'DRAFT 1'!$B:$B,0)),"")</f>
        <v/>
      </c>
      <c r="Q78" t="str">
        <f>IFERROR(INDEX('DRAFT 1'!$M:$M,MATCH($B78,'DRAFT 1'!$B:$B,0)),"")</f>
        <v/>
      </c>
      <c r="R78" t="str">
        <f>IFERROR(INDEX('DRAFT 1'!$N:$N,MATCH($B78,'DRAFT 1'!$B:$B,0)),"")</f>
        <v/>
      </c>
      <c r="S78" t="str">
        <f>IFERROR(INDEX('DRAFT 1'!$O:$O,MATCH($B78,'DRAFT 1'!$B:$B,0)),"")</f>
        <v/>
      </c>
      <c r="T78" t="str">
        <f>IFERROR(INDEX('DRAFT 1'!$P:$P,MATCH($B78,'DRAFT 1'!$B:$B,0)),"")</f>
        <v/>
      </c>
      <c r="U78" t="str">
        <f>IFERROR(INDEX('DRAFT 1'!$Q:$Q,MATCH($B78,'DRAFT 1'!$B:$B,0)),"")</f>
        <v/>
      </c>
      <c r="V78" t="str">
        <f>IFERROR(INDEX('DRAFT 1'!$R:$R,MATCH($B78,'DRAFT 1'!$B:$B,0)),"")</f>
        <v/>
      </c>
      <c r="W78" t="str">
        <f>IFERROR(INDEX('DRAFT 1'!$S:$S,MATCH($B78,'DRAFT 1'!$B:$B,0)),"")</f>
        <v/>
      </c>
      <c r="X78" t="str">
        <f>IFERROR(INDEX('DRAFT 1'!$T:$T,MATCH($B78,'DRAFT 1'!$B:$B,0)),"")</f>
        <v/>
      </c>
      <c r="Z78" t="str">
        <f>IFERROR(INDEX('DRAFT 1'!$U:$U,MATCH($B78,'DRAFT 1'!$B:$B,0)),"")</f>
        <v/>
      </c>
      <c r="AA78" t="str">
        <f>IFERROR(INDEX('DRAFT 1'!$V:$V,MATCH($B78,'DRAFT 1'!$B:$B,0)),"")</f>
        <v/>
      </c>
      <c r="AB78" t="str">
        <f>IFERROR(INDEX('DRAFT 1'!$W:$W,MATCH($B78,'DRAFT 1'!$B:$B,0)),"")</f>
        <v/>
      </c>
      <c r="AC78" t="str">
        <f>IFERROR(INDEX('DRAFT 1'!$X:$X,MATCH($B78,'DRAFT 1'!$B:$B,0)),"")</f>
        <v/>
      </c>
      <c r="AD78" t="str">
        <f>IFERROR(INDEX('DRAFT 1'!$Y:$Y,MATCH($B78,'DRAFT 1'!$B:$B,0)),"")</f>
        <v/>
      </c>
      <c r="AE78" t="str">
        <f>IFERROR(INDEX('DRAFT 1'!$Z:$Z,MATCH($B78,'DRAFT 1'!$B:$B,0)),"")</f>
        <v/>
      </c>
      <c r="AF78" t="str">
        <f>IFERROR(INDEX('DRAFT 1'!$AA:$AA,MATCH($B78,'DRAFT 1'!$B:$B,0)),"")</f>
        <v/>
      </c>
      <c r="AG78" t="str">
        <f>IFERROR(INDEX('DRAFT 1'!$AB:$AB,MATCH($B78,'DRAFT 1'!$B:$B,0)),"")</f>
        <v/>
      </c>
      <c r="AH78" t="str">
        <f>IFERROR(INDEX('DRAFT 1'!$AC:$AC,MATCH($B78,'DRAFT 1'!$B:$B,0)),"")</f>
        <v/>
      </c>
      <c r="AI78" t="str">
        <f>IFERROR(INDEX('DRAFT 1'!$AD:$AD,MATCH($B78,'DRAFT 1'!$B:$B,0)),"")</f>
        <v/>
      </c>
      <c r="AJ78" t="str">
        <f>IFERROR(INDEX('DRAFT 1'!$AE:$AE,MATCH($B78,'DRAFT 1'!$B:$B,0)),"")</f>
        <v/>
      </c>
      <c r="AK78" t="str">
        <f>IFERROR(INDEX('DRAFT 1'!$AG:$AG,MATCH($B78,'DRAFT 1'!$B:$B,0)),"")</f>
        <v/>
      </c>
      <c r="AL78" t="str">
        <f>IFERROR(INDEX('DRAFT 1'!$AH:$AH,MATCH($B78,'DRAFT 1'!$B:$B,0)),"")</f>
        <v/>
      </c>
      <c r="AM78" t="str">
        <f>IFERROR(INDEX('DRAFT 1'!$AI:$AI,MATCH($B78,'DRAFT 1'!$B:$B,0)),"")</f>
        <v/>
      </c>
      <c r="AN78" t="str">
        <f>IFERROR(INDEX('DRAFT 1'!$AJ:$AJ,MATCH($B78,'DRAFT 1'!$B:$B,0)),"")</f>
        <v/>
      </c>
      <c r="AO78">
        <f t="shared" si="28"/>
        <v>0</v>
      </c>
      <c r="AP78" t="str">
        <f>IFERROR(INDEX('DRAFT 1'!$AK:$AK,MATCH($B78,'DRAFT 1'!$B:$B,0)),"")</f>
        <v/>
      </c>
      <c r="AR78" t="s">
        <v>65</v>
      </c>
      <c r="AS78">
        <f>IFERROR(LOOKUP(2,1/('DRAFT 2'!$D:$D=$B78),'DRAFT 2'!$T:$T),"")</f>
        <v>0</v>
      </c>
      <c r="AT78">
        <f>IFERROR(LOOKUP(2,1/('DRAFT 2'!$D:$D=$B78),'DRAFT 2'!$A:$A),"")</f>
        <v>0</v>
      </c>
      <c r="AU78">
        <f>IFERROR(LOOKUP(2,1/('DRAFT 2'!$D:$D=$B78),'DRAFT 2'!$R:$R),"")</f>
        <v>0</v>
      </c>
      <c r="AV78">
        <f>IFERROR(LOOKUP(2,1/('DRAFT 2'!$D:$D=$B78),'DRAFT 2'!$S:$S),"")</f>
        <v>0</v>
      </c>
      <c r="AW78" t="s">
        <v>82</v>
      </c>
      <c r="AX78">
        <f>IFERROR(LOOKUP(2,1/('DRAFT 2'!$D:$D=$B78),'DRAFT 2'!$M:$M),"")</f>
        <v>0</v>
      </c>
      <c r="AY78">
        <f>IFERROR(LOOKUP(2,1/('DRAFT 2'!$D:$D=$B78),'DRAFT 2'!$K:$K),"")</f>
        <v>0</v>
      </c>
      <c r="BG78">
        <f>IFERROR(LOOKUP(2,1/('DRAFT 2'!$D:$D=$B78),'DRAFT 2'!$U:$U),"")</f>
        <v>0</v>
      </c>
      <c r="BH78">
        <f>IFERROR(LOOKUP(2,1/('DRAFT 2'!$D:$D=$B78),'DRAFT 2'!$V:$V),"")</f>
        <v>0</v>
      </c>
      <c r="CE78" t="str">
        <f t="shared" si="29"/>
        <v/>
      </c>
      <c r="CF78">
        <f>IFERROR(LOOKUP(2,1/('DRAFT 2'!$D:$D=$B78)*('DRAFT 2'!$A:$A&gt;=DATE(2026,1,1))*('DRAFT 2'!$A:$A&lt;DATE(2026,IF(1=12,1+1,1+1),1)),'DRAFT 2'!$A:$A),"")</f>
        <v>0</v>
      </c>
      <c r="CG78">
        <f>COUNTIFS('DRAFT 2'!$D:$D,$B78,'DRAFT 2'!$A:$A,"&gt;="&amp;DATE(2026,1,1),'DRAFT 2'!$A:$A,"&lt;="&amp;DATE(2026,1,7))</f>
        <v>0</v>
      </c>
      <c r="CH78">
        <f>COUNTIFS('DRAFT 2'!$D:$D,$B78,'DRAFT 2'!$A:$A,"&gt;="&amp;DATE(2026,1,8),'DRAFT 2'!$A:$A,"&lt;="&amp;DATE(2026,1,14))</f>
        <v>0</v>
      </c>
      <c r="CI78">
        <f>COUNTIFS('DRAFT 2'!$D:$D,$B78,'DRAFT 2'!$A:$A,"&gt;="&amp;DATE(2026,1,15),'DRAFT 2'!$A:$A,"&lt;="&amp;DATE(2026,1,21))</f>
        <v>0</v>
      </c>
      <c r="CJ78">
        <f>COUNTIFS('DRAFT 2'!$D:$D,$B78,'DRAFT 2'!$A:$A,"&gt;="&amp;DATE(2026,1,22),'DRAFT 2'!$A:$A,"&lt;"&amp;DATE(2026,IF(1=12,1+1,1+1),1))</f>
        <v>0</v>
      </c>
      <c r="CK78">
        <f t="shared" si="30"/>
        <v>0</v>
      </c>
      <c r="CT78">
        <v>0</v>
      </c>
      <c r="CU78">
        <f>IFERROR(LOOKUP(2,1/('DRAFT 2'!$D:$D=$B78)*('DRAFT 2'!$A:$A&gt;=DATE(2026,2,1))*('DRAFT 2'!$A:$A&lt;DATE(2026,IF(2=12,2+1,2+1),1)),'DRAFT 2'!$A:$A),"")</f>
        <v>0</v>
      </c>
      <c r="CV78">
        <f>COUNTIFS('DRAFT 2'!$D:$D,$B78,'DRAFT 2'!$A:$A,"&gt;="&amp;DATE(2026,2,1),'DRAFT 2'!$A:$A,"&lt;="&amp;DATE(2026,2,7))</f>
        <v>0</v>
      </c>
      <c r="CW78">
        <f>COUNTIFS('DRAFT 2'!$D:$D,$B78,'DRAFT 2'!$A:$A,"&gt;="&amp;DATE(2026,2,8),'DRAFT 2'!$A:$A,"&lt;="&amp;DATE(2026,2,14))</f>
        <v>0</v>
      </c>
      <c r="CX78">
        <f>COUNTIFS('DRAFT 2'!$D:$D,$B78,'DRAFT 2'!$A:$A,"&gt;="&amp;DATE(2026,2,15),'DRAFT 2'!$A:$A,"&lt;="&amp;DATE(2026,2,21))</f>
        <v>0</v>
      </c>
      <c r="CY78">
        <f>COUNTIFS('DRAFT 2'!$D:$D,$B78,'DRAFT 2'!$A:$A,"&gt;="&amp;DATE(2026,2,22),'DRAFT 2'!$A:$A,"&lt;"&amp;DATE(2026,IF(2=12,2+1,2+1),1))</f>
        <v>0</v>
      </c>
      <c r="CZ78">
        <f t="shared" si="31"/>
        <v>0</v>
      </c>
      <c r="DJ78">
        <f>IFERROR(LOOKUP(2,1/('DRAFT 2'!$D:$D=$B78)*('DRAFT 2'!$A:$A&gt;=DATE(2026,3,1))*('DRAFT 2'!$A:$A&lt;DATE(2026,IF(3=12,3+1,3+1),1)),'DRAFT 2'!$A:$A),"")</f>
        <v>0</v>
      </c>
      <c r="DK78">
        <f>COUNTIFS('DRAFT 2'!$D:$D,$B78,'DRAFT 2'!$A:$A,"&gt;="&amp;DATE(2026,3,1),'DRAFT 2'!$A:$A,"&lt;="&amp;DATE(2026,3,7))</f>
        <v>0</v>
      </c>
      <c r="DL78">
        <f>COUNTIFS('DRAFT 2'!$D:$D,$B78,'DRAFT 2'!$A:$A,"&gt;="&amp;DATE(2026,3,8),'DRAFT 2'!$A:$A,"&lt;="&amp;DATE(2026,3,14))</f>
        <v>0</v>
      </c>
      <c r="DM78">
        <f>COUNTIFS('DRAFT 2'!$D:$D,$B78,'DRAFT 2'!$A:$A,"&gt;="&amp;DATE(2026,3,15),'DRAFT 2'!$A:$A,"&lt;="&amp;DATE(2026,3,21))</f>
        <v>0</v>
      </c>
      <c r="DN78">
        <f>COUNTIFS('DRAFT 2'!$D:$D,$B78,'DRAFT 2'!$A:$A,"&gt;="&amp;DATE(2026,3,22),'DRAFT 2'!$A:$A,"&lt;"&amp;DATE(2026,IF(3=12,3+1,3+1),1))</f>
        <v>0</v>
      </c>
      <c r="DO78">
        <f t="shared" si="32"/>
        <v>0</v>
      </c>
      <c r="DZ78">
        <f>IFERROR(LOOKUP(2,1/('DRAFT 2'!$D:$D=$B78)*('DRAFT 2'!$A:$A&gt;=DATE(2026,4,1))*('DRAFT 2'!$A:$A&lt;DATE(2026,IF(4=12,4+1,4+1),1)),'DRAFT 2'!$A:$A),"")</f>
        <v>0</v>
      </c>
      <c r="EA78">
        <f>COUNTIFS('DRAFT 2'!$D:$D,$B78,'DRAFT 2'!$A:$A,"&gt;="&amp;DATE(2026,4,1),'DRAFT 2'!$A:$A,"&lt;="&amp;DATE(2026,4,7))</f>
        <v>0</v>
      </c>
      <c r="EB78">
        <f>COUNTIFS('DRAFT 2'!$D:$D,$B78,'DRAFT 2'!$A:$A,"&gt;="&amp;DATE(2026,4,8),'DRAFT 2'!$A:$A,"&lt;="&amp;DATE(2026,4,14))</f>
        <v>0</v>
      </c>
      <c r="EC78">
        <f>COUNTIFS('DRAFT 2'!$D:$D,$B78,'DRAFT 2'!$A:$A,"&gt;="&amp;DATE(2026,4,15),'DRAFT 2'!$A:$A,"&lt;="&amp;DATE(2026,4,21))</f>
        <v>0</v>
      </c>
      <c r="ED78">
        <f>COUNTIFS('DRAFT 2'!$D:$D,$B78,'DRAFT 2'!$A:$A,"&gt;="&amp;DATE(2026,4,22),'DRAFT 2'!$A:$A,"&lt;"&amp;DATE(2026,IF(4=12,4+1,4+1),1))</f>
        <v>0</v>
      </c>
      <c r="EE78">
        <f t="shared" si="33"/>
        <v>0</v>
      </c>
      <c r="EO78">
        <f>IFERROR(LOOKUP(2,1/('DRAFT 2'!$D:$D=$B78)*('DRAFT 2'!$A:$A&gt;=DATE(2026,5,1))*('DRAFT 2'!$A:$A&lt;DATE(2026,IF(5=12,5+1,5+1),1)),'DRAFT 2'!$A:$A),"")</f>
        <v>0</v>
      </c>
      <c r="EP78">
        <f>COUNTIFS('DRAFT 2'!$D:$D,$B78,'DRAFT 2'!$A:$A,"&gt;="&amp;DATE(2026,5,1),'DRAFT 2'!$A:$A,"&lt;="&amp;DATE(2026,5,7))</f>
        <v>0</v>
      </c>
      <c r="EQ78">
        <f>COUNTIFS('DRAFT 2'!$D:$D,$B78,'DRAFT 2'!$A:$A,"&gt;="&amp;DATE(2026,5,8),'DRAFT 2'!$A:$A,"&lt;="&amp;DATE(2026,5,14))</f>
        <v>0</v>
      </c>
      <c r="ER78">
        <f>COUNTIFS('DRAFT 2'!$D:$D,$B78,'DRAFT 2'!$A:$A,"&gt;="&amp;DATE(2026,5,15),'DRAFT 2'!$A:$A,"&lt;="&amp;DATE(2026,5,21))</f>
        <v>0</v>
      </c>
      <c r="ES78">
        <f>COUNTIFS('DRAFT 2'!$D:$D,$B78,'DRAFT 2'!$A:$A,"&gt;="&amp;DATE(2026,5,22),'DRAFT 2'!$A:$A,"&lt;"&amp;DATE(2026,IF(5=12,5+1,5+1),1))</f>
        <v>0</v>
      </c>
      <c r="ET78">
        <f t="shared" si="34"/>
        <v>0</v>
      </c>
      <c r="FD78">
        <f>IFERROR(LOOKUP(2,1/('DRAFT 2'!$D:$D=$B78)*('DRAFT 2'!$A:$A&gt;=DATE(2026,6,1))*('DRAFT 2'!$A:$A&lt;DATE(2026,IF(6=12,6+1,6+1),1)),'DRAFT 2'!$A:$A),"")</f>
        <v>0</v>
      </c>
      <c r="FE78">
        <f>COUNTIFS('DRAFT 2'!$D:$D,$B78,'DRAFT 2'!$A:$A,"&gt;="&amp;DATE(2026,6,1),'DRAFT 2'!$A:$A,"&lt;="&amp;DATE(2026,6,7))</f>
        <v>0</v>
      </c>
      <c r="FF78">
        <f>COUNTIFS('DRAFT 2'!$D:$D,$B78,'DRAFT 2'!$A:$A,"&gt;="&amp;DATE(2026,6,8),'DRAFT 2'!$A:$A,"&lt;="&amp;DATE(2026,6,14))</f>
        <v>0</v>
      </c>
      <c r="FG78">
        <f>COUNTIFS('DRAFT 2'!$D:$D,$B78,'DRAFT 2'!$A:$A,"&gt;="&amp;DATE(2026,6,15),'DRAFT 2'!$A:$A,"&lt;="&amp;DATE(2026,6,21))</f>
        <v>0</v>
      </c>
      <c r="FH78">
        <f>COUNTIFS('DRAFT 2'!$D:$D,$B78,'DRAFT 2'!$A:$A,"&gt;="&amp;DATE(2026,6,22),'DRAFT 2'!$A:$A,"&lt;"&amp;DATE(2026,IF(6=12,6+1,6+1),1))</f>
        <v>0</v>
      </c>
      <c r="FI78">
        <f t="shared" si="35"/>
        <v>0</v>
      </c>
      <c r="FT78">
        <f>IFERROR(LOOKUP(2,1/('DRAFT 2'!$D:$D=$B78)*('DRAFT 2'!$A:$A&gt;=DATE(2026,7,1))*('DRAFT 2'!$A:$A&lt;DATE(2026,IF(7=12,7+1,7+1),1)),'DRAFT 2'!$A:$A),"")</f>
        <v>0</v>
      </c>
      <c r="FU78">
        <f>COUNTIFS('DRAFT 2'!$D:$D,$B78,'DRAFT 2'!$A:$A,"&gt;="&amp;DATE(2026,7,1),'DRAFT 2'!$A:$A,"&lt;="&amp;DATE(2026,7,7))</f>
        <v>0</v>
      </c>
      <c r="FV78">
        <f>COUNTIFS('DRAFT 2'!$D:$D,$B78,'DRAFT 2'!$A:$A,"&gt;="&amp;DATE(2026,7,8),'DRAFT 2'!$A:$A,"&lt;="&amp;DATE(2026,7,14))</f>
        <v>0</v>
      </c>
      <c r="FW78">
        <f>COUNTIFS('DRAFT 2'!$D:$D,$B78,'DRAFT 2'!$A:$A,"&gt;="&amp;DATE(2026,7,15),'DRAFT 2'!$A:$A,"&lt;="&amp;DATE(2026,7,21))</f>
        <v>0</v>
      </c>
      <c r="FX78">
        <f>COUNTIFS('DRAFT 2'!$D:$D,$B78,'DRAFT 2'!$A:$A,"&gt;="&amp;DATE(2026,7,22),'DRAFT 2'!$A:$A,"&lt;"&amp;DATE(2026,IF(7=12,7+1,7+1),1))</f>
        <v>0</v>
      </c>
      <c r="FY78">
        <f t="shared" si="36"/>
        <v>0</v>
      </c>
      <c r="GI78">
        <f>IFERROR(LOOKUP(2,1/('DRAFT 2'!$D:$D=$B78)*('DRAFT 2'!$A:$A&gt;=DATE(2026,8,1))*('DRAFT 2'!$A:$A&lt;DATE(2026,IF(8=12,8+1,8+1),1)),'DRAFT 2'!$A:$A),"")</f>
        <v>0</v>
      </c>
      <c r="GJ78">
        <f>COUNTIFS('DRAFT 2'!$D:$D,$B78,'DRAFT 2'!$A:$A,"&gt;="&amp;DATE(2026,8,1),'DRAFT 2'!$A:$A,"&lt;="&amp;DATE(2026,8,7))</f>
        <v>0</v>
      </c>
      <c r="GK78">
        <f>COUNTIFS('DRAFT 2'!$D:$D,$B78,'DRAFT 2'!$A:$A,"&gt;="&amp;DATE(2026,8,8),'DRAFT 2'!$A:$A,"&lt;="&amp;DATE(2026,8,14))</f>
        <v>0</v>
      </c>
      <c r="GL78">
        <f>COUNTIFS('DRAFT 2'!$D:$D,$B78,'DRAFT 2'!$A:$A,"&gt;="&amp;DATE(2026,8,15),'DRAFT 2'!$A:$A,"&lt;="&amp;DATE(2026,8,21))</f>
        <v>0</v>
      </c>
      <c r="GM78">
        <f>COUNTIFS('DRAFT 2'!$D:$D,$B78,'DRAFT 2'!$A:$A,"&gt;="&amp;DATE(2026,8,22),'DRAFT 2'!$A:$A,"&lt;"&amp;DATE(2026,IF(8=12,8+1,8+1),1))</f>
        <v>0</v>
      </c>
      <c r="GN78">
        <f t="shared" si="37"/>
        <v>0</v>
      </c>
      <c r="GX78">
        <f>IFERROR(LOOKUP(2,1/('DRAFT 2'!$D:$D=$B78)*('DRAFT 2'!$A:$A&gt;=DATE(2026,9,1))*('DRAFT 2'!$A:$A&lt;DATE(2026,IF(9=12,9+1,9+1),1)),'DRAFT 2'!$A:$A),"")</f>
        <v>0</v>
      </c>
      <c r="GY78">
        <f>COUNTIFS('DRAFT 2'!$D:$D,$B78,'DRAFT 2'!$A:$A,"&gt;="&amp;DATE(2026,9,1),'DRAFT 2'!$A:$A,"&lt;="&amp;DATE(2026,9,7))</f>
        <v>0</v>
      </c>
      <c r="GZ78">
        <f>COUNTIFS('DRAFT 2'!$D:$D,$B78,'DRAFT 2'!$A:$A,"&gt;="&amp;DATE(2026,9,8),'DRAFT 2'!$A:$A,"&lt;="&amp;DATE(2026,9,14))</f>
        <v>0</v>
      </c>
      <c r="HA78">
        <f>COUNTIFS('DRAFT 2'!$D:$D,$B78,'DRAFT 2'!$A:$A,"&gt;="&amp;DATE(2026,9,15),'DRAFT 2'!$A:$A,"&lt;="&amp;DATE(2026,9,21))</f>
        <v>0</v>
      </c>
      <c r="HB78">
        <f>COUNTIFS('DRAFT 2'!$D:$D,$B78,'DRAFT 2'!$A:$A,"&gt;="&amp;DATE(2026,9,22),'DRAFT 2'!$A:$A,"&lt;"&amp;DATE(2026,IF(9=12,9+1,9+1),1))</f>
        <v>0</v>
      </c>
      <c r="HC78">
        <f t="shared" si="38"/>
        <v>0</v>
      </c>
      <c r="HN78">
        <f>IFERROR(LOOKUP(2,1/('DRAFT 2'!$D:$D=$B78)*('DRAFT 2'!$A:$A&gt;=DATE(2026,10,1))*('DRAFT 2'!$A:$A&lt;DATE(2026,IF(10=12,10+1,10+1),1)),'DRAFT 2'!$A:$A),"")</f>
        <v>0</v>
      </c>
      <c r="HO78">
        <f>COUNTIFS('DRAFT 2'!$D:$D,$B78,'DRAFT 2'!$A:$A,"&gt;="&amp;DATE(2026,10,1),'DRAFT 2'!$A:$A,"&lt;="&amp;DATE(2026,10,7))</f>
        <v>0</v>
      </c>
      <c r="HP78">
        <f>COUNTIFS('DRAFT 2'!$D:$D,$B78,'DRAFT 2'!$A:$A,"&gt;="&amp;DATE(2026,10,8),'DRAFT 2'!$A:$A,"&lt;="&amp;DATE(2026,10,14))</f>
        <v>0</v>
      </c>
      <c r="HQ78">
        <f>COUNTIFS('DRAFT 2'!$D:$D,$B78,'DRAFT 2'!$A:$A,"&gt;="&amp;DATE(2026,10,15),'DRAFT 2'!$A:$A,"&lt;="&amp;DATE(2026,10,21))</f>
        <v>0</v>
      </c>
      <c r="HR78">
        <f>COUNTIFS('DRAFT 2'!$D:$D,$B78,'DRAFT 2'!$A:$A,"&gt;="&amp;DATE(2026,10,22),'DRAFT 2'!$A:$A,"&lt;"&amp;DATE(2026,IF(10=12,10+1,10+1),1))</f>
        <v>0</v>
      </c>
      <c r="HS78">
        <f t="shared" si="39"/>
        <v>0</v>
      </c>
      <c r="IC78">
        <f>IFERROR(LOOKUP(2,1/('DRAFT 2'!$D:$D=$B78)*('DRAFT 2'!$A:$A&gt;=DATE(2026,11,1))*('DRAFT 2'!$A:$A&lt;DATE(2026,IF(11=12,11+1,11+1),1)),'DRAFT 2'!$A:$A),"")</f>
        <v>0</v>
      </c>
      <c r="ID78">
        <f>COUNTIFS('DRAFT 2'!$D:$D,$B78,'DRAFT 2'!$A:$A,"&gt;="&amp;DATE(2026,11,1),'DRAFT 2'!$A:$A,"&lt;="&amp;DATE(2026,11,7))</f>
        <v>0</v>
      </c>
      <c r="IE78">
        <f>COUNTIFS('DRAFT 2'!$D:$D,$B78,'DRAFT 2'!$A:$A,"&gt;="&amp;DATE(2026,11,8),'DRAFT 2'!$A:$A,"&lt;="&amp;DATE(2026,11,14))</f>
        <v>0</v>
      </c>
      <c r="IF78">
        <f>COUNTIFS('DRAFT 2'!$D:$D,$B78,'DRAFT 2'!$A:$A,"&gt;="&amp;DATE(2026,11,15),'DRAFT 2'!$A:$A,"&lt;="&amp;DATE(2026,11,21))</f>
        <v>0</v>
      </c>
      <c r="IG78">
        <f>COUNTIFS('DRAFT 2'!$D:$D,$B78,'DRAFT 2'!$A:$A,"&gt;="&amp;DATE(2026,11,22),'DRAFT 2'!$A:$A,"&lt;"&amp;DATE(2026,IF(11=12,11+1,11+1),1))</f>
        <v>0</v>
      </c>
      <c r="IH78">
        <f t="shared" si="40"/>
        <v>0</v>
      </c>
      <c r="IR78">
        <f>IFERROR(LOOKUP(2,1/('DRAFT 2'!$D:$D=$B78)*('DRAFT 2'!$A:$A&gt;=DATE(2026,12,1))*('DRAFT 2'!$A:$A&lt;DATE(2026,IF(12=12,12+1,12+1),1)),'DRAFT 2'!$A:$A),"")</f>
        <v>0</v>
      </c>
      <c r="IS78">
        <f>COUNTIFS('DRAFT 2'!$D:$D,$B78,'DRAFT 2'!$A:$A,"&gt;="&amp;DATE(2026,12,1),'DRAFT 2'!$A:$A,"&lt;="&amp;DATE(2026,12,7))</f>
        <v>0</v>
      </c>
      <c r="IT78">
        <f>COUNTIFS('DRAFT 2'!$D:$D,$B78,'DRAFT 2'!$A:$A,"&gt;="&amp;DATE(2026,12,8),'DRAFT 2'!$A:$A,"&lt;="&amp;DATE(2026,12,14))</f>
        <v>0</v>
      </c>
      <c r="IU78">
        <f>COUNTIFS('DRAFT 2'!$D:$D,$B78,'DRAFT 2'!$A:$A,"&gt;="&amp;DATE(2026,12,15),'DRAFT 2'!$A:$A,"&lt;="&amp;DATE(2026,12,21))</f>
        <v>0</v>
      </c>
      <c r="IV78">
        <f>COUNTIFS('DRAFT 2'!$D:$D,$B78,'DRAFT 2'!$A:$A,"&gt;="&amp;DATE(2026,12,22),'DRAFT 2'!$A:$A,"&lt;"&amp;DATE(2026,IF(12=12,12+1,12+1),1))</f>
        <v>0</v>
      </c>
      <c r="IW78">
        <f t="shared" si="41"/>
        <v>0</v>
      </c>
    </row>
    <row r="79" spans="1:257" x14ac:dyDescent="0.3">
      <c r="A79" t="str">
        <f>IFERROR(INDEX('DRAFT 1'!$A:$A,MATCH($B79,'DRAFT 1'!$B:$B,0)),"")</f>
        <v/>
      </c>
      <c r="C79" t="str">
        <f>IFERROR(INDEX('DRAFT 1'!$C:$C,MATCH($B79,'DRAFT 1'!$B:$B,0)),"")</f>
        <v/>
      </c>
      <c r="D79" t="str">
        <f>IFERROR(INDEX('DRAFT 1'!$D:$D,MATCH($B79,'DRAFT 1'!$B:$B,0)),"")</f>
        <v/>
      </c>
      <c r="E79" t="str">
        <f>IFERROR(INDEX('DRAFT 1'!$E:$E,MATCH($B79,'DRAFT 1'!$B:$B,0)),"")</f>
        <v/>
      </c>
      <c r="F79" t="str">
        <f>IFERROR(INDEX('DRAFT 1'!$F:$F,MATCH($B79,'DRAFT 1'!$B:$B,0)),"")</f>
        <v/>
      </c>
      <c r="G79" t="str">
        <f>IFERROR(INDEX('DRAFT 1'!$G:$G,MATCH($B79,'DRAFT 1'!$B:$B,0)),"")</f>
        <v/>
      </c>
      <c r="H79" t="str">
        <f>IFERROR(INDEX('DRAFT 1'!$H:$H,MATCH($B79,'DRAFT 1'!$B:$B,0)),"")</f>
        <v/>
      </c>
      <c r="I79" t="s">
        <v>283</v>
      </c>
      <c r="K79" t="str">
        <f>IFERROR(INDEX('DRAFT 1'!$AL:$AL,MATCH($B79,'DRAFT 1'!$B:$B,0)),"")</f>
        <v/>
      </c>
      <c r="L79" t="str">
        <f>IFERROR(INDEX('DRAFT 1'!$J:$J,MATCH($B79,'DRAFT 1'!$B:$B,0)),"")</f>
        <v/>
      </c>
      <c r="M79" t="str">
        <f>IFERROR(INDEX('DRAFT 1'!$K:$K,MATCH($B79,'DRAFT 1'!$B:$B,0)),"")</f>
        <v/>
      </c>
      <c r="N79" t="s">
        <v>71</v>
      </c>
      <c r="P79" t="str">
        <f>IFERROR(INDEX('DRAFT 1'!$L:$L,MATCH($B79,'DRAFT 1'!$B:$B,0)),"")</f>
        <v/>
      </c>
      <c r="Q79" t="str">
        <f>IFERROR(INDEX('DRAFT 1'!$M:$M,MATCH($B79,'DRAFT 1'!$B:$B,0)),"")</f>
        <v/>
      </c>
      <c r="R79" t="str">
        <f>IFERROR(INDEX('DRAFT 1'!$N:$N,MATCH($B79,'DRAFT 1'!$B:$B,0)),"")</f>
        <v/>
      </c>
      <c r="S79" t="str">
        <f>IFERROR(INDEX('DRAFT 1'!$O:$O,MATCH($B79,'DRAFT 1'!$B:$B,0)),"")</f>
        <v/>
      </c>
      <c r="T79" t="str">
        <f>IFERROR(INDEX('DRAFT 1'!$P:$P,MATCH($B79,'DRAFT 1'!$B:$B,0)),"")</f>
        <v/>
      </c>
      <c r="U79" t="str">
        <f>IFERROR(INDEX('DRAFT 1'!$Q:$Q,MATCH($B79,'DRAFT 1'!$B:$B,0)),"")</f>
        <v/>
      </c>
      <c r="V79" t="str">
        <f>IFERROR(INDEX('DRAFT 1'!$R:$R,MATCH($B79,'DRAFT 1'!$B:$B,0)),"")</f>
        <v/>
      </c>
      <c r="W79" t="str">
        <f>IFERROR(INDEX('DRAFT 1'!$S:$S,MATCH($B79,'DRAFT 1'!$B:$B,0)),"")</f>
        <v/>
      </c>
      <c r="X79" t="str">
        <f>IFERROR(INDEX('DRAFT 1'!$T:$T,MATCH($B79,'DRAFT 1'!$B:$B,0)),"")</f>
        <v/>
      </c>
      <c r="Z79" t="str">
        <f>IFERROR(INDEX('DRAFT 1'!$U:$U,MATCH($B79,'DRAFT 1'!$B:$B,0)),"")</f>
        <v/>
      </c>
      <c r="AA79" t="str">
        <f>IFERROR(INDEX('DRAFT 1'!$V:$V,MATCH($B79,'DRAFT 1'!$B:$B,0)),"")</f>
        <v/>
      </c>
      <c r="AB79" t="str">
        <f>IFERROR(INDEX('DRAFT 1'!$W:$W,MATCH($B79,'DRAFT 1'!$B:$B,0)),"")</f>
        <v/>
      </c>
      <c r="AC79" t="str">
        <f>IFERROR(INDEX('DRAFT 1'!$X:$X,MATCH($B79,'DRAFT 1'!$B:$B,0)),"")</f>
        <v/>
      </c>
      <c r="AD79" t="str">
        <f>IFERROR(INDEX('DRAFT 1'!$Y:$Y,MATCH($B79,'DRAFT 1'!$B:$B,0)),"")</f>
        <v/>
      </c>
      <c r="AE79" t="str">
        <f>IFERROR(INDEX('DRAFT 1'!$Z:$Z,MATCH($B79,'DRAFT 1'!$B:$B,0)),"")</f>
        <v/>
      </c>
      <c r="AF79" t="str">
        <f>IFERROR(INDEX('DRAFT 1'!$AA:$AA,MATCH($B79,'DRAFT 1'!$B:$B,0)),"")</f>
        <v/>
      </c>
      <c r="AG79" t="str">
        <f>IFERROR(INDEX('DRAFT 1'!$AB:$AB,MATCH($B79,'DRAFT 1'!$B:$B,0)),"")</f>
        <v/>
      </c>
      <c r="AH79" t="str">
        <f>IFERROR(INDEX('DRAFT 1'!$AC:$AC,MATCH($B79,'DRAFT 1'!$B:$B,0)),"")</f>
        <v/>
      </c>
      <c r="AI79" t="str">
        <f>IFERROR(INDEX('DRAFT 1'!$AD:$AD,MATCH($B79,'DRAFT 1'!$B:$B,0)),"")</f>
        <v/>
      </c>
      <c r="AJ79" t="str">
        <f>IFERROR(INDEX('DRAFT 1'!$AE:$AE,MATCH($B79,'DRAFT 1'!$B:$B,0)),"")</f>
        <v/>
      </c>
      <c r="AK79" t="str">
        <f>IFERROR(INDEX('DRAFT 1'!$AG:$AG,MATCH($B79,'DRAFT 1'!$B:$B,0)),"")</f>
        <v/>
      </c>
      <c r="AL79" t="str">
        <f>IFERROR(INDEX('DRAFT 1'!$AH:$AH,MATCH($B79,'DRAFT 1'!$B:$B,0)),"")</f>
        <v/>
      </c>
      <c r="AM79" t="str">
        <f>IFERROR(INDEX('DRAFT 1'!$AI:$AI,MATCH($B79,'DRAFT 1'!$B:$B,0)),"")</f>
        <v/>
      </c>
      <c r="AN79" t="str">
        <f>IFERROR(INDEX('DRAFT 1'!$AJ:$AJ,MATCH($B79,'DRAFT 1'!$B:$B,0)),"")</f>
        <v/>
      </c>
      <c r="AO79">
        <f t="shared" si="28"/>
        <v>0</v>
      </c>
      <c r="AP79" t="str">
        <f>IFERROR(INDEX('DRAFT 1'!$AK:$AK,MATCH($B79,'DRAFT 1'!$B:$B,0)),"")</f>
        <v/>
      </c>
      <c r="AR79" t="s">
        <v>92</v>
      </c>
      <c r="AS79">
        <f>IFERROR(LOOKUP(2,1/('DRAFT 2'!$D:$D=$B79),'DRAFT 2'!$T:$T),"")</f>
        <v>0</v>
      </c>
      <c r="AT79">
        <f>IFERROR(LOOKUP(2,1/('DRAFT 2'!$D:$D=$B79),'DRAFT 2'!$A:$A),"")</f>
        <v>0</v>
      </c>
      <c r="AU79">
        <f>IFERROR(LOOKUP(2,1/('DRAFT 2'!$D:$D=$B79),'DRAFT 2'!$R:$R),"")</f>
        <v>0</v>
      </c>
      <c r="AV79">
        <f>IFERROR(LOOKUP(2,1/('DRAFT 2'!$D:$D=$B79),'DRAFT 2'!$S:$S),"")</f>
        <v>0</v>
      </c>
      <c r="AW79" t="s">
        <v>82</v>
      </c>
      <c r="AX79">
        <f>IFERROR(LOOKUP(2,1/('DRAFT 2'!$D:$D=$B79),'DRAFT 2'!$M:$M),"")</f>
        <v>0</v>
      </c>
      <c r="AY79">
        <f>IFERROR(LOOKUP(2,1/('DRAFT 2'!$D:$D=$B79),'DRAFT 2'!$K:$K),"")</f>
        <v>0</v>
      </c>
      <c r="BG79">
        <f>IFERROR(LOOKUP(2,1/('DRAFT 2'!$D:$D=$B79),'DRAFT 2'!$U:$U),"")</f>
        <v>0</v>
      </c>
      <c r="BH79">
        <f>IFERROR(LOOKUP(2,1/('DRAFT 2'!$D:$D=$B79),'DRAFT 2'!$V:$V),"")</f>
        <v>0</v>
      </c>
      <c r="CE79" t="str">
        <f t="shared" si="29"/>
        <v/>
      </c>
      <c r="CF79">
        <f>IFERROR(LOOKUP(2,1/('DRAFT 2'!$D:$D=$B79)*('DRAFT 2'!$A:$A&gt;=DATE(2026,1,1))*('DRAFT 2'!$A:$A&lt;DATE(2026,IF(1=12,1+1,1+1),1)),'DRAFT 2'!$A:$A),"")</f>
        <v>0</v>
      </c>
      <c r="CG79">
        <f>COUNTIFS('DRAFT 2'!$D:$D,$B79,'DRAFT 2'!$A:$A,"&gt;="&amp;DATE(2026,1,1),'DRAFT 2'!$A:$A,"&lt;="&amp;DATE(2026,1,7))</f>
        <v>0</v>
      </c>
      <c r="CH79">
        <f>COUNTIFS('DRAFT 2'!$D:$D,$B79,'DRAFT 2'!$A:$A,"&gt;="&amp;DATE(2026,1,8),'DRAFT 2'!$A:$A,"&lt;="&amp;DATE(2026,1,14))</f>
        <v>0</v>
      </c>
      <c r="CI79">
        <f>COUNTIFS('DRAFT 2'!$D:$D,$B79,'DRAFT 2'!$A:$A,"&gt;="&amp;DATE(2026,1,15),'DRAFT 2'!$A:$A,"&lt;="&amp;DATE(2026,1,21))</f>
        <v>0</v>
      </c>
      <c r="CJ79">
        <f>COUNTIFS('DRAFT 2'!$D:$D,$B79,'DRAFT 2'!$A:$A,"&gt;="&amp;DATE(2026,1,22),'DRAFT 2'!$A:$A,"&lt;"&amp;DATE(2026,IF(1=12,1+1,1+1),1))</f>
        <v>0</v>
      </c>
      <c r="CK79">
        <f t="shared" si="30"/>
        <v>0</v>
      </c>
      <c r="CT79">
        <v>0</v>
      </c>
      <c r="CU79">
        <f>IFERROR(LOOKUP(2,1/('DRAFT 2'!$D:$D=$B79)*('DRAFT 2'!$A:$A&gt;=DATE(2026,2,1))*('DRAFT 2'!$A:$A&lt;DATE(2026,IF(2=12,2+1,2+1),1)),'DRAFT 2'!$A:$A),"")</f>
        <v>0</v>
      </c>
      <c r="CV79">
        <f>COUNTIFS('DRAFT 2'!$D:$D,$B79,'DRAFT 2'!$A:$A,"&gt;="&amp;DATE(2026,2,1),'DRAFT 2'!$A:$A,"&lt;="&amp;DATE(2026,2,7))</f>
        <v>0</v>
      </c>
      <c r="CW79">
        <f>COUNTIFS('DRAFT 2'!$D:$D,$B79,'DRAFT 2'!$A:$A,"&gt;="&amp;DATE(2026,2,8),'DRAFT 2'!$A:$A,"&lt;="&amp;DATE(2026,2,14))</f>
        <v>0</v>
      </c>
      <c r="CX79">
        <f>COUNTIFS('DRAFT 2'!$D:$D,$B79,'DRAFT 2'!$A:$A,"&gt;="&amp;DATE(2026,2,15),'DRAFT 2'!$A:$A,"&lt;="&amp;DATE(2026,2,21))</f>
        <v>0</v>
      </c>
      <c r="CY79">
        <f>COUNTIFS('DRAFT 2'!$D:$D,$B79,'DRAFT 2'!$A:$A,"&gt;="&amp;DATE(2026,2,22),'DRAFT 2'!$A:$A,"&lt;"&amp;DATE(2026,IF(2=12,2+1,2+1),1))</f>
        <v>0</v>
      </c>
      <c r="CZ79">
        <f t="shared" si="31"/>
        <v>0</v>
      </c>
      <c r="DJ79">
        <f>IFERROR(LOOKUP(2,1/('DRAFT 2'!$D:$D=$B79)*('DRAFT 2'!$A:$A&gt;=DATE(2026,3,1))*('DRAFT 2'!$A:$A&lt;DATE(2026,IF(3=12,3+1,3+1),1)),'DRAFT 2'!$A:$A),"")</f>
        <v>0</v>
      </c>
      <c r="DK79">
        <f>COUNTIFS('DRAFT 2'!$D:$D,$B79,'DRAFT 2'!$A:$A,"&gt;="&amp;DATE(2026,3,1),'DRAFT 2'!$A:$A,"&lt;="&amp;DATE(2026,3,7))</f>
        <v>0</v>
      </c>
      <c r="DL79">
        <f>COUNTIFS('DRAFT 2'!$D:$D,$B79,'DRAFT 2'!$A:$A,"&gt;="&amp;DATE(2026,3,8),'DRAFT 2'!$A:$A,"&lt;="&amp;DATE(2026,3,14))</f>
        <v>0</v>
      </c>
      <c r="DM79">
        <f>COUNTIFS('DRAFT 2'!$D:$D,$B79,'DRAFT 2'!$A:$A,"&gt;="&amp;DATE(2026,3,15),'DRAFT 2'!$A:$A,"&lt;="&amp;DATE(2026,3,21))</f>
        <v>0</v>
      </c>
      <c r="DN79">
        <f>COUNTIFS('DRAFT 2'!$D:$D,$B79,'DRAFT 2'!$A:$A,"&gt;="&amp;DATE(2026,3,22),'DRAFT 2'!$A:$A,"&lt;"&amp;DATE(2026,IF(3=12,3+1,3+1),1))</f>
        <v>0</v>
      </c>
      <c r="DO79">
        <f t="shared" si="32"/>
        <v>0</v>
      </c>
      <c r="DZ79">
        <f>IFERROR(LOOKUP(2,1/('DRAFT 2'!$D:$D=$B79)*('DRAFT 2'!$A:$A&gt;=DATE(2026,4,1))*('DRAFT 2'!$A:$A&lt;DATE(2026,IF(4=12,4+1,4+1),1)),'DRAFT 2'!$A:$A),"")</f>
        <v>0</v>
      </c>
      <c r="EA79">
        <f>COUNTIFS('DRAFT 2'!$D:$D,$B79,'DRAFT 2'!$A:$A,"&gt;="&amp;DATE(2026,4,1),'DRAFT 2'!$A:$A,"&lt;="&amp;DATE(2026,4,7))</f>
        <v>0</v>
      </c>
      <c r="EB79">
        <f>COUNTIFS('DRAFT 2'!$D:$D,$B79,'DRAFT 2'!$A:$A,"&gt;="&amp;DATE(2026,4,8),'DRAFT 2'!$A:$A,"&lt;="&amp;DATE(2026,4,14))</f>
        <v>0</v>
      </c>
      <c r="EC79">
        <f>COUNTIFS('DRAFT 2'!$D:$D,$B79,'DRAFT 2'!$A:$A,"&gt;="&amp;DATE(2026,4,15),'DRAFT 2'!$A:$A,"&lt;="&amp;DATE(2026,4,21))</f>
        <v>0</v>
      </c>
      <c r="ED79">
        <f>COUNTIFS('DRAFT 2'!$D:$D,$B79,'DRAFT 2'!$A:$A,"&gt;="&amp;DATE(2026,4,22),'DRAFT 2'!$A:$A,"&lt;"&amp;DATE(2026,IF(4=12,4+1,4+1),1))</f>
        <v>0</v>
      </c>
      <c r="EE79">
        <f t="shared" si="33"/>
        <v>0</v>
      </c>
      <c r="EO79">
        <f>IFERROR(LOOKUP(2,1/('DRAFT 2'!$D:$D=$B79)*('DRAFT 2'!$A:$A&gt;=DATE(2026,5,1))*('DRAFT 2'!$A:$A&lt;DATE(2026,IF(5=12,5+1,5+1),1)),'DRAFT 2'!$A:$A),"")</f>
        <v>0</v>
      </c>
      <c r="EP79">
        <f>COUNTIFS('DRAFT 2'!$D:$D,$B79,'DRAFT 2'!$A:$A,"&gt;="&amp;DATE(2026,5,1),'DRAFT 2'!$A:$A,"&lt;="&amp;DATE(2026,5,7))</f>
        <v>0</v>
      </c>
      <c r="EQ79">
        <f>COUNTIFS('DRAFT 2'!$D:$D,$B79,'DRAFT 2'!$A:$A,"&gt;="&amp;DATE(2026,5,8),'DRAFT 2'!$A:$A,"&lt;="&amp;DATE(2026,5,14))</f>
        <v>0</v>
      </c>
      <c r="ER79">
        <f>COUNTIFS('DRAFT 2'!$D:$D,$B79,'DRAFT 2'!$A:$A,"&gt;="&amp;DATE(2026,5,15),'DRAFT 2'!$A:$A,"&lt;="&amp;DATE(2026,5,21))</f>
        <v>0</v>
      </c>
      <c r="ES79">
        <f>COUNTIFS('DRAFT 2'!$D:$D,$B79,'DRAFT 2'!$A:$A,"&gt;="&amp;DATE(2026,5,22),'DRAFT 2'!$A:$A,"&lt;"&amp;DATE(2026,IF(5=12,5+1,5+1),1))</f>
        <v>0</v>
      </c>
      <c r="ET79">
        <f t="shared" si="34"/>
        <v>0</v>
      </c>
      <c r="FD79">
        <f>IFERROR(LOOKUP(2,1/('DRAFT 2'!$D:$D=$B79)*('DRAFT 2'!$A:$A&gt;=DATE(2026,6,1))*('DRAFT 2'!$A:$A&lt;DATE(2026,IF(6=12,6+1,6+1),1)),'DRAFT 2'!$A:$A),"")</f>
        <v>0</v>
      </c>
      <c r="FE79">
        <f>COUNTIFS('DRAFT 2'!$D:$D,$B79,'DRAFT 2'!$A:$A,"&gt;="&amp;DATE(2026,6,1),'DRAFT 2'!$A:$A,"&lt;="&amp;DATE(2026,6,7))</f>
        <v>0</v>
      </c>
      <c r="FF79">
        <f>COUNTIFS('DRAFT 2'!$D:$D,$B79,'DRAFT 2'!$A:$A,"&gt;="&amp;DATE(2026,6,8),'DRAFT 2'!$A:$A,"&lt;="&amp;DATE(2026,6,14))</f>
        <v>0</v>
      </c>
      <c r="FG79">
        <f>COUNTIFS('DRAFT 2'!$D:$D,$B79,'DRAFT 2'!$A:$A,"&gt;="&amp;DATE(2026,6,15),'DRAFT 2'!$A:$A,"&lt;="&amp;DATE(2026,6,21))</f>
        <v>0</v>
      </c>
      <c r="FH79">
        <f>COUNTIFS('DRAFT 2'!$D:$D,$B79,'DRAFT 2'!$A:$A,"&gt;="&amp;DATE(2026,6,22),'DRAFT 2'!$A:$A,"&lt;"&amp;DATE(2026,IF(6=12,6+1,6+1),1))</f>
        <v>0</v>
      </c>
      <c r="FI79">
        <f t="shared" si="35"/>
        <v>0</v>
      </c>
      <c r="FT79">
        <f>IFERROR(LOOKUP(2,1/('DRAFT 2'!$D:$D=$B79)*('DRAFT 2'!$A:$A&gt;=DATE(2026,7,1))*('DRAFT 2'!$A:$A&lt;DATE(2026,IF(7=12,7+1,7+1),1)),'DRAFT 2'!$A:$A),"")</f>
        <v>0</v>
      </c>
      <c r="FU79">
        <f>COUNTIFS('DRAFT 2'!$D:$D,$B79,'DRAFT 2'!$A:$A,"&gt;="&amp;DATE(2026,7,1),'DRAFT 2'!$A:$A,"&lt;="&amp;DATE(2026,7,7))</f>
        <v>0</v>
      </c>
      <c r="FV79">
        <f>COUNTIFS('DRAFT 2'!$D:$D,$B79,'DRAFT 2'!$A:$A,"&gt;="&amp;DATE(2026,7,8),'DRAFT 2'!$A:$A,"&lt;="&amp;DATE(2026,7,14))</f>
        <v>0</v>
      </c>
      <c r="FW79">
        <f>COUNTIFS('DRAFT 2'!$D:$D,$B79,'DRAFT 2'!$A:$A,"&gt;="&amp;DATE(2026,7,15),'DRAFT 2'!$A:$A,"&lt;="&amp;DATE(2026,7,21))</f>
        <v>0</v>
      </c>
      <c r="FX79">
        <f>COUNTIFS('DRAFT 2'!$D:$D,$B79,'DRAFT 2'!$A:$A,"&gt;="&amp;DATE(2026,7,22),'DRAFT 2'!$A:$A,"&lt;"&amp;DATE(2026,IF(7=12,7+1,7+1),1))</f>
        <v>0</v>
      </c>
      <c r="FY79">
        <f t="shared" si="36"/>
        <v>0</v>
      </c>
      <c r="GI79">
        <f>IFERROR(LOOKUP(2,1/('DRAFT 2'!$D:$D=$B79)*('DRAFT 2'!$A:$A&gt;=DATE(2026,8,1))*('DRAFT 2'!$A:$A&lt;DATE(2026,IF(8=12,8+1,8+1),1)),'DRAFT 2'!$A:$A),"")</f>
        <v>0</v>
      </c>
      <c r="GJ79">
        <f>COUNTIFS('DRAFT 2'!$D:$D,$B79,'DRAFT 2'!$A:$A,"&gt;="&amp;DATE(2026,8,1),'DRAFT 2'!$A:$A,"&lt;="&amp;DATE(2026,8,7))</f>
        <v>0</v>
      </c>
      <c r="GK79">
        <f>COUNTIFS('DRAFT 2'!$D:$D,$B79,'DRAFT 2'!$A:$A,"&gt;="&amp;DATE(2026,8,8),'DRAFT 2'!$A:$A,"&lt;="&amp;DATE(2026,8,14))</f>
        <v>0</v>
      </c>
      <c r="GL79">
        <f>COUNTIFS('DRAFT 2'!$D:$D,$B79,'DRAFT 2'!$A:$A,"&gt;="&amp;DATE(2026,8,15),'DRAFT 2'!$A:$A,"&lt;="&amp;DATE(2026,8,21))</f>
        <v>0</v>
      </c>
      <c r="GM79">
        <f>COUNTIFS('DRAFT 2'!$D:$D,$B79,'DRAFT 2'!$A:$A,"&gt;="&amp;DATE(2026,8,22),'DRAFT 2'!$A:$A,"&lt;"&amp;DATE(2026,IF(8=12,8+1,8+1),1))</f>
        <v>0</v>
      </c>
      <c r="GN79">
        <f t="shared" si="37"/>
        <v>0</v>
      </c>
      <c r="GX79">
        <f>IFERROR(LOOKUP(2,1/('DRAFT 2'!$D:$D=$B79)*('DRAFT 2'!$A:$A&gt;=DATE(2026,9,1))*('DRAFT 2'!$A:$A&lt;DATE(2026,IF(9=12,9+1,9+1),1)),'DRAFT 2'!$A:$A),"")</f>
        <v>0</v>
      </c>
      <c r="GY79">
        <f>COUNTIFS('DRAFT 2'!$D:$D,$B79,'DRAFT 2'!$A:$A,"&gt;="&amp;DATE(2026,9,1),'DRAFT 2'!$A:$A,"&lt;="&amp;DATE(2026,9,7))</f>
        <v>0</v>
      </c>
      <c r="GZ79">
        <f>COUNTIFS('DRAFT 2'!$D:$D,$B79,'DRAFT 2'!$A:$A,"&gt;="&amp;DATE(2026,9,8),'DRAFT 2'!$A:$A,"&lt;="&amp;DATE(2026,9,14))</f>
        <v>0</v>
      </c>
      <c r="HA79">
        <f>COUNTIFS('DRAFT 2'!$D:$D,$B79,'DRAFT 2'!$A:$A,"&gt;="&amp;DATE(2026,9,15),'DRAFT 2'!$A:$A,"&lt;="&amp;DATE(2026,9,21))</f>
        <v>0</v>
      </c>
      <c r="HB79">
        <f>COUNTIFS('DRAFT 2'!$D:$D,$B79,'DRAFT 2'!$A:$A,"&gt;="&amp;DATE(2026,9,22),'DRAFT 2'!$A:$A,"&lt;"&amp;DATE(2026,IF(9=12,9+1,9+1),1))</f>
        <v>0</v>
      </c>
      <c r="HC79">
        <f t="shared" si="38"/>
        <v>0</v>
      </c>
      <c r="HN79">
        <f>IFERROR(LOOKUP(2,1/('DRAFT 2'!$D:$D=$B79)*('DRAFT 2'!$A:$A&gt;=DATE(2026,10,1))*('DRAFT 2'!$A:$A&lt;DATE(2026,IF(10=12,10+1,10+1),1)),'DRAFT 2'!$A:$A),"")</f>
        <v>0</v>
      </c>
      <c r="HO79">
        <f>COUNTIFS('DRAFT 2'!$D:$D,$B79,'DRAFT 2'!$A:$A,"&gt;="&amp;DATE(2026,10,1),'DRAFT 2'!$A:$A,"&lt;="&amp;DATE(2026,10,7))</f>
        <v>0</v>
      </c>
      <c r="HP79">
        <f>COUNTIFS('DRAFT 2'!$D:$D,$B79,'DRAFT 2'!$A:$A,"&gt;="&amp;DATE(2026,10,8),'DRAFT 2'!$A:$A,"&lt;="&amp;DATE(2026,10,14))</f>
        <v>0</v>
      </c>
      <c r="HQ79">
        <f>COUNTIFS('DRAFT 2'!$D:$D,$B79,'DRAFT 2'!$A:$A,"&gt;="&amp;DATE(2026,10,15),'DRAFT 2'!$A:$A,"&lt;="&amp;DATE(2026,10,21))</f>
        <v>0</v>
      </c>
      <c r="HR79">
        <f>COUNTIFS('DRAFT 2'!$D:$D,$B79,'DRAFT 2'!$A:$A,"&gt;="&amp;DATE(2026,10,22),'DRAFT 2'!$A:$A,"&lt;"&amp;DATE(2026,IF(10=12,10+1,10+1),1))</f>
        <v>0</v>
      </c>
      <c r="HS79">
        <f t="shared" si="39"/>
        <v>0</v>
      </c>
      <c r="IC79">
        <f>IFERROR(LOOKUP(2,1/('DRAFT 2'!$D:$D=$B79)*('DRAFT 2'!$A:$A&gt;=DATE(2026,11,1))*('DRAFT 2'!$A:$A&lt;DATE(2026,IF(11=12,11+1,11+1),1)),'DRAFT 2'!$A:$A),"")</f>
        <v>0</v>
      </c>
      <c r="ID79">
        <f>COUNTIFS('DRAFT 2'!$D:$D,$B79,'DRAFT 2'!$A:$A,"&gt;="&amp;DATE(2026,11,1),'DRAFT 2'!$A:$A,"&lt;="&amp;DATE(2026,11,7))</f>
        <v>0</v>
      </c>
      <c r="IE79">
        <f>COUNTIFS('DRAFT 2'!$D:$D,$B79,'DRAFT 2'!$A:$A,"&gt;="&amp;DATE(2026,11,8),'DRAFT 2'!$A:$A,"&lt;="&amp;DATE(2026,11,14))</f>
        <v>0</v>
      </c>
      <c r="IF79">
        <f>COUNTIFS('DRAFT 2'!$D:$D,$B79,'DRAFT 2'!$A:$A,"&gt;="&amp;DATE(2026,11,15),'DRAFT 2'!$A:$A,"&lt;="&amp;DATE(2026,11,21))</f>
        <v>0</v>
      </c>
      <c r="IG79">
        <f>COUNTIFS('DRAFT 2'!$D:$D,$B79,'DRAFT 2'!$A:$A,"&gt;="&amp;DATE(2026,11,22),'DRAFT 2'!$A:$A,"&lt;"&amp;DATE(2026,IF(11=12,11+1,11+1),1))</f>
        <v>0</v>
      </c>
      <c r="IH79">
        <f t="shared" si="40"/>
        <v>0</v>
      </c>
      <c r="IR79">
        <f>IFERROR(LOOKUP(2,1/('DRAFT 2'!$D:$D=$B79)*('DRAFT 2'!$A:$A&gt;=DATE(2026,12,1))*('DRAFT 2'!$A:$A&lt;DATE(2026,IF(12=12,12+1,12+1),1)),'DRAFT 2'!$A:$A),"")</f>
        <v>0</v>
      </c>
      <c r="IS79">
        <f>COUNTIFS('DRAFT 2'!$D:$D,$B79,'DRAFT 2'!$A:$A,"&gt;="&amp;DATE(2026,12,1),'DRAFT 2'!$A:$A,"&lt;="&amp;DATE(2026,12,7))</f>
        <v>0</v>
      </c>
      <c r="IT79">
        <f>COUNTIFS('DRAFT 2'!$D:$D,$B79,'DRAFT 2'!$A:$A,"&gt;="&amp;DATE(2026,12,8),'DRAFT 2'!$A:$A,"&lt;="&amp;DATE(2026,12,14))</f>
        <v>0</v>
      </c>
      <c r="IU79">
        <f>COUNTIFS('DRAFT 2'!$D:$D,$B79,'DRAFT 2'!$A:$A,"&gt;="&amp;DATE(2026,12,15),'DRAFT 2'!$A:$A,"&lt;="&amp;DATE(2026,12,21))</f>
        <v>0</v>
      </c>
      <c r="IV79">
        <f>COUNTIFS('DRAFT 2'!$D:$D,$B79,'DRAFT 2'!$A:$A,"&gt;="&amp;DATE(2026,12,22),'DRAFT 2'!$A:$A,"&lt;"&amp;DATE(2026,IF(12=12,12+1,12+1),1))</f>
        <v>0</v>
      </c>
      <c r="IW79">
        <f t="shared" si="41"/>
        <v>0</v>
      </c>
    </row>
    <row r="80" spans="1:257" x14ac:dyDescent="0.3">
      <c r="A80" t="str">
        <f>IFERROR(INDEX('DRAFT 1'!$A:$A,MATCH($B80,'DRAFT 1'!$B:$B,0)),"")</f>
        <v/>
      </c>
      <c r="C80" t="str">
        <f>IFERROR(INDEX('DRAFT 1'!$C:$C,MATCH($B80,'DRAFT 1'!$B:$B,0)),"")</f>
        <v/>
      </c>
      <c r="D80" t="str">
        <f>IFERROR(INDEX('DRAFT 1'!$D:$D,MATCH($B80,'DRAFT 1'!$B:$B,0)),"")</f>
        <v/>
      </c>
      <c r="E80" t="str">
        <f>IFERROR(INDEX('DRAFT 1'!$E:$E,MATCH($B80,'DRAFT 1'!$B:$B,0)),"")</f>
        <v/>
      </c>
      <c r="F80" t="str">
        <f>IFERROR(INDEX('DRAFT 1'!$F:$F,MATCH($B80,'DRAFT 1'!$B:$B,0)),"")</f>
        <v/>
      </c>
      <c r="G80" t="str">
        <f>IFERROR(INDEX('DRAFT 1'!$G:$G,MATCH($B80,'DRAFT 1'!$B:$B,0)),"")</f>
        <v/>
      </c>
      <c r="H80" t="str">
        <f>IFERROR(INDEX('DRAFT 1'!$H:$H,MATCH($B80,'DRAFT 1'!$B:$B,0)),"")</f>
        <v/>
      </c>
      <c r="I80" t="s">
        <v>297</v>
      </c>
      <c r="K80" t="str">
        <f>IFERROR(INDEX('DRAFT 1'!$AL:$AL,MATCH($B80,'DRAFT 1'!$B:$B,0)),"")</f>
        <v/>
      </c>
      <c r="L80" t="str">
        <f>IFERROR(INDEX('DRAFT 1'!$J:$J,MATCH($B80,'DRAFT 1'!$B:$B,0)),"")</f>
        <v/>
      </c>
      <c r="M80" t="str">
        <f>IFERROR(INDEX('DRAFT 1'!$K:$K,MATCH($B80,'DRAFT 1'!$B:$B,0)),"")</f>
        <v/>
      </c>
      <c r="N80" t="s">
        <v>77</v>
      </c>
      <c r="P80" t="str">
        <f>IFERROR(INDEX('DRAFT 1'!$L:$L,MATCH($B80,'DRAFT 1'!$B:$B,0)),"")</f>
        <v/>
      </c>
      <c r="Q80" t="str">
        <f>IFERROR(INDEX('DRAFT 1'!$M:$M,MATCH($B80,'DRAFT 1'!$B:$B,0)),"")</f>
        <v/>
      </c>
      <c r="R80" t="str">
        <f>IFERROR(INDEX('DRAFT 1'!$N:$N,MATCH($B80,'DRAFT 1'!$B:$B,0)),"")</f>
        <v/>
      </c>
      <c r="S80" t="str">
        <f>IFERROR(INDEX('DRAFT 1'!$O:$O,MATCH($B80,'DRAFT 1'!$B:$B,0)),"")</f>
        <v/>
      </c>
      <c r="T80" t="str">
        <f>IFERROR(INDEX('DRAFT 1'!$P:$P,MATCH($B80,'DRAFT 1'!$B:$B,0)),"")</f>
        <v/>
      </c>
      <c r="U80" t="str">
        <f>IFERROR(INDEX('DRAFT 1'!$Q:$Q,MATCH($B80,'DRAFT 1'!$B:$B,0)),"")</f>
        <v/>
      </c>
      <c r="V80" t="str">
        <f>IFERROR(INDEX('DRAFT 1'!$R:$R,MATCH($B80,'DRAFT 1'!$B:$B,0)),"")</f>
        <v/>
      </c>
      <c r="W80" t="str">
        <f>IFERROR(INDEX('DRAFT 1'!$S:$S,MATCH($B80,'DRAFT 1'!$B:$B,0)),"")</f>
        <v/>
      </c>
      <c r="X80" t="str">
        <f>IFERROR(INDEX('DRAFT 1'!$T:$T,MATCH($B80,'DRAFT 1'!$B:$B,0)),"")</f>
        <v/>
      </c>
      <c r="Z80" t="str">
        <f>IFERROR(INDEX('DRAFT 1'!$U:$U,MATCH($B80,'DRAFT 1'!$B:$B,0)),"")</f>
        <v/>
      </c>
      <c r="AA80" t="str">
        <f>IFERROR(INDEX('DRAFT 1'!$V:$V,MATCH($B80,'DRAFT 1'!$B:$B,0)),"")</f>
        <v/>
      </c>
      <c r="AB80" t="str">
        <f>IFERROR(INDEX('DRAFT 1'!$W:$W,MATCH($B80,'DRAFT 1'!$B:$B,0)),"")</f>
        <v/>
      </c>
      <c r="AC80" t="str">
        <f>IFERROR(INDEX('DRAFT 1'!$X:$X,MATCH($B80,'DRAFT 1'!$B:$B,0)),"")</f>
        <v/>
      </c>
      <c r="AD80" t="str">
        <f>IFERROR(INDEX('DRAFT 1'!$Y:$Y,MATCH($B80,'DRAFT 1'!$B:$B,0)),"")</f>
        <v/>
      </c>
      <c r="AE80" t="str">
        <f>IFERROR(INDEX('DRAFT 1'!$Z:$Z,MATCH($B80,'DRAFT 1'!$B:$B,0)),"")</f>
        <v/>
      </c>
      <c r="AF80" t="str">
        <f>IFERROR(INDEX('DRAFT 1'!$AA:$AA,MATCH($B80,'DRAFT 1'!$B:$B,0)),"")</f>
        <v/>
      </c>
      <c r="AG80" t="str">
        <f>IFERROR(INDEX('DRAFT 1'!$AB:$AB,MATCH($B80,'DRAFT 1'!$B:$B,0)),"")</f>
        <v/>
      </c>
      <c r="AH80" t="str">
        <f>IFERROR(INDEX('DRAFT 1'!$AC:$AC,MATCH($B80,'DRAFT 1'!$B:$B,0)),"")</f>
        <v/>
      </c>
      <c r="AI80" t="str">
        <f>IFERROR(INDEX('DRAFT 1'!$AD:$AD,MATCH($B80,'DRAFT 1'!$B:$B,0)),"")</f>
        <v/>
      </c>
      <c r="AJ80" t="str">
        <f>IFERROR(INDEX('DRAFT 1'!$AE:$AE,MATCH($B80,'DRAFT 1'!$B:$B,0)),"")</f>
        <v/>
      </c>
      <c r="AK80" t="str">
        <f>IFERROR(INDEX('DRAFT 1'!$AG:$AG,MATCH($B80,'DRAFT 1'!$B:$B,0)),"")</f>
        <v/>
      </c>
      <c r="AL80" t="str">
        <f>IFERROR(INDEX('DRAFT 1'!$AH:$AH,MATCH($B80,'DRAFT 1'!$B:$B,0)),"")</f>
        <v/>
      </c>
      <c r="AM80" t="str">
        <f>IFERROR(INDEX('DRAFT 1'!$AI:$AI,MATCH($B80,'DRAFT 1'!$B:$B,0)),"")</f>
        <v/>
      </c>
      <c r="AN80" t="str">
        <f>IFERROR(INDEX('DRAFT 1'!$AJ:$AJ,MATCH($B80,'DRAFT 1'!$B:$B,0)),"")</f>
        <v/>
      </c>
      <c r="AO80">
        <f t="shared" si="28"/>
        <v>0</v>
      </c>
      <c r="AP80" t="str">
        <f>IFERROR(INDEX('DRAFT 1'!$AK:$AK,MATCH($B80,'DRAFT 1'!$B:$B,0)),"")</f>
        <v/>
      </c>
      <c r="AR80" t="s">
        <v>93</v>
      </c>
      <c r="AS80">
        <f>IFERROR(LOOKUP(2,1/('DRAFT 2'!$D:$D=$B80),'DRAFT 2'!$T:$T),"")</f>
        <v>0</v>
      </c>
      <c r="AT80">
        <f>IFERROR(LOOKUP(2,1/('DRAFT 2'!$D:$D=$B80),'DRAFT 2'!$A:$A),"")</f>
        <v>0</v>
      </c>
      <c r="AU80">
        <f>IFERROR(LOOKUP(2,1/('DRAFT 2'!$D:$D=$B80),'DRAFT 2'!$R:$R),"")</f>
        <v>0</v>
      </c>
      <c r="AV80">
        <f>IFERROR(LOOKUP(2,1/('DRAFT 2'!$D:$D=$B80),'DRAFT 2'!$S:$S),"")</f>
        <v>0</v>
      </c>
      <c r="AW80" t="s">
        <v>130</v>
      </c>
      <c r="AX80">
        <f>IFERROR(LOOKUP(2,1/('DRAFT 2'!$D:$D=$B80),'DRAFT 2'!$M:$M),"")</f>
        <v>0</v>
      </c>
      <c r="AY80">
        <f>IFERROR(LOOKUP(2,1/('DRAFT 2'!$D:$D=$B80),'DRAFT 2'!$K:$K),"")</f>
        <v>0</v>
      </c>
      <c r="BG80">
        <f>IFERROR(LOOKUP(2,1/('DRAFT 2'!$D:$D=$B80),'DRAFT 2'!$U:$U),"")</f>
        <v>0</v>
      </c>
      <c r="BH80">
        <f>IFERROR(LOOKUP(2,1/('DRAFT 2'!$D:$D=$B80),'DRAFT 2'!$V:$V),"")</f>
        <v>0</v>
      </c>
      <c r="CE80" t="str">
        <f t="shared" si="29"/>
        <v/>
      </c>
      <c r="CF80">
        <f>IFERROR(LOOKUP(2,1/('DRAFT 2'!$D:$D=$B80)*('DRAFT 2'!$A:$A&gt;=DATE(2026,1,1))*('DRAFT 2'!$A:$A&lt;DATE(2026,IF(1=12,1+1,1+1),1)),'DRAFT 2'!$A:$A),"")</f>
        <v>0</v>
      </c>
      <c r="CG80">
        <f>COUNTIFS('DRAFT 2'!$D:$D,$B80,'DRAFT 2'!$A:$A,"&gt;="&amp;DATE(2026,1,1),'DRAFT 2'!$A:$A,"&lt;="&amp;DATE(2026,1,7))</f>
        <v>0</v>
      </c>
      <c r="CH80">
        <f>COUNTIFS('DRAFT 2'!$D:$D,$B80,'DRAFT 2'!$A:$A,"&gt;="&amp;DATE(2026,1,8),'DRAFT 2'!$A:$A,"&lt;="&amp;DATE(2026,1,14))</f>
        <v>0</v>
      </c>
      <c r="CI80">
        <f>COUNTIFS('DRAFT 2'!$D:$D,$B80,'DRAFT 2'!$A:$A,"&gt;="&amp;DATE(2026,1,15),'DRAFT 2'!$A:$A,"&lt;="&amp;DATE(2026,1,21))</f>
        <v>0</v>
      </c>
      <c r="CJ80">
        <f>COUNTIFS('DRAFT 2'!$D:$D,$B80,'DRAFT 2'!$A:$A,"&gt;="&amp;DATE(2026,1,22),'DRAFT 2'!$A:$A,"&lt;"&amp;DATE(2026,IF(1=12,1+1,1+1),1))</f>
        <v>0</v>
      </c>
      <c r="CK80">
        <f t="shared" si="30"/>
        <v>0</v>
      </c>
      <c r="CT80">
        <v>0</v>
      </c>
      <c r="CU80">
        <f>IFERROR(LOOKUP(2,1/('DRAFT 2'!$D:$D=$B80)*('DRAFT 2'!$A:$A&gt;=DATE(2026,2,1))*('DRAFT 2'!$A:$A&lt;DATE(2026,IF(2=12,2+1,2+1),1)),'DRAFT 2'!$A:$A),"")</f>
        <v>0</v>
      </c>
      <c r="CV80">
        <f>COUNTIFS('DRAFT 2'!$D:$D,$B80,'DRAFT 2'!$A:$A,"&gt;="&amp;DATE(2026,2,1),'DRAFT 2'!$A:$A,"&lt;="&amp;DATE(2026,2,7))</f>
        <v>0</v>
      </c>
      <c r="CW80">
        <f>COUNTIFS('DRAFT 2'!$D:$D,$B80,'DRAFT 2'!$A:$A,"&gt;="&amp;DATE(2026,2,8),'DRAFT 2'!$A:$A,"&lt;="&amp;DATE(2026,2,14))</f>
        <v>0</v>
      </c>
      <c r="CX80">
        <f>COUNTIFS('DRAFT 2'!$D:$D,$B80,'DRAFT 2'!$A:$A,"&gt;="&amp;DATE(2026,2,15),'DRAFT 2'!$A:$A,"&lt;="&amp;DATE(2026,2,21))</f>
        <v>0</v>
      </c>
      <c r="CY80">
        <f>COUNTIFS('DRAFT 2'!$D:$D,$B80,'DRAFT 2'!$A:$A,"&gt;="&amp;DATE(2026,2,22),'DRAFT 2'!$A:$A,"&lt;"&amp;DATE(2026,IF(2=12,2+1,2+1),1))</f>
        <v>0</v>
      </c>
      <c r="CZ80">
        <f t="shared" si="31"/>
        <v>0</v>
      </c>
      <c r="DJ80">
        <f>IFERROR(LOOKUP(2,1/('DRAFT 2'!$D:$D=$B80)*('DRAFT 2'!$A:$A&gt;=DATE(2026,3,1))*('DRAFT 2'!$A:$A&lt;DATE(2026,IF(3=12,3+1,3+1),1)),'DRAFT 2'!$A:$A),"")</f>
        <v>0</v>
      </c>
      <c r="DK80">
        <f>COUNTIFS('DRAFT 2'!$D:$D,$B80,'DRAFT 2'!$A:$A,"&gt;="&amp;DATE(2026,3,1),'DRAFT 2'!$A:$A,"&lt;="&amp;DATE(2026,3,7))</f>
        <v>0</v>
      </c>
      <c r="DL80">
        <f>COUNTIFS('DRAFT 2'!$D:$D,$B80,'DRAFT 2'!$A:$A,"&gt;="&amp;DATE(2026,3,8),'DRAFT 2'!$A:$A,"&lt;="&amp;DATE(2026,3,14))</f>
        <v>0</v>
      </c>
      <c r="DM80">
        <f>COUNTIFS('DRAFT 2'!$D:$D,$B80,'DRAFT 2'!$A:$A,"&gt;="&amp;DATE(2026,3,15),'DRAFT 2'!$A:$A,"&lt;="&amp;DATE(2026,3,21))</f>
        <v>0</v>
      </c>
      <c r="DN80">
        <f>COUNTIFS('DRAFT 2'!$D:$D,$B80,'DRAFT 2'!$A:$A,"&gt;="&amp;DATE(2026,3,22),'DRAFT 2'!$A:$A,"&lt;"&amp;DATE(2026,IF(3=12,3+1,3+1),1))</f>
        <v>0</v>
      </c>
      <c r="DO80">
        <f t="shared" si="32"/>
        <v>0</v>
      </c>
      <c r="DZ80">
        <f>IFERROR(LOOKUP(2,1/('DRAFT 2'!$D:$D=$B80)*('DRAFT 2'!$A:$A&gt;=DATE(2026,4,1))*('DRAFT 2'!$A:$A&lt;DATE(2026,IF(4=12,4+1,4+1),1)),'DRAFT 2'!$A:$A),"")</f>
        <v>0</v>
      </c>
      <c r="EA80">
        <f>COUNTIFS('DRAFT 2'!$D:$D,$B80,'DRAFT 2'!$A:$A,"&gt;="&amp;DATE(2026,4,1),'DRAFT 2'!$A:$A,"&lt;="&amp;DATE(2026,4,7))</f>
        <v>0</v>
      </c>
      <c r="EB80">
        <f>COUNTIFS('DRAFT 2'!$D:$D,$B80,'DRAFT 2'!$A:$A,"&gt;="&amp;DATE(2026,4,8),'DRAFT 2'!$A:$A,"&lt;="&amp;DATE(2026,4,14))</f>
        <v>0</v>
      </c>
      <c r="EC80">
        <f>COUNTIFS('DRAFT 2'!$D:$D,$B80,'DRAFT 2'!$A:$A,"&gt;="&amp;DATE(2026,4,15),'DRAFT 2'!$A:$A,"&lt;="&amp;DATE(2026,4,21))</f>
        <v>0</v>
      </c>
      <c r="ED80">
        <f>COUNTIFS('DRAFT 2'!$D:$D,$B80,'DRAFT 2'!$A:$A,"&gt;="&amp;DATE(2026,4,22),'DRAFT 2'!$A:$A,"&lt;"&amp;DATE(2026,IF(4=12,4+1,4+1),1))</f>
        <v>0</v>
      </c>
      <c r="EE80">
        <f t="shared" si="33"/>
        <v>0</v>
      </c>
      <c r="EO80">
        <f>IFERROR(LOOKUP(2,1/('DRAFT 2'!$D:$D=$B80)*('DRAFT 2'!$A:$A&gt;=DATE(2026,5,1))*('DRAFT 2'!$A:$A&lt;DATE(2026,IF(5=12,5+1,5+1),1)),'DRAFT 2'!$A:$A),"")</f>
        <v>0</v>
      </c>
      <c r="EP80">
        <f>COUNTIFS('DRAFT 2'!$D:$D,$B80,'DRAFT 2'!$A:$A,"&gt;="&amp;DATE(2026,5,1),'DRAFT 2'!$A:$A,"&lt;="&amp;DATE(2026,5,7))</f>
        <v>0</v>
      </c>
      <c r="EQ80">
        <f>COUNTIFS('DRAFT 2'!$D:$D,$B80,'DRAFT 2'!$A:$A,"&gt;="&amp;DATE(2026,5,8),'DRAFT 2'!$A:$A,"&lt;="&amp;DATE(2026,5,14))</f>
        <v>0</v>
      </c>
      <c r="ER80">
        <f>COUNTIFS('DRAFT 2'!$D:$D,$B80,'DRAFT 2'!$A:$A,"&gt;="&amp;DATE(2026,5,15),'DRAFT 2'!$A:$A,"&lt;="&amp;DATE(2026,5,21))</f>
        <v>0</v>
      </c>
      <c r="ES80">
        <f>COUNTIFS('DRAFT 2'!$D:$D,$B80,'DRAFT 2'!$A:$A,"&gt;="&amp;DATE(2026,5,22),'DRAFT 2'!$A:$A,"&lt;"&amp;DATE(2026,IF(5=12,5+1,5+1),1))</f>
        <v>0</v>
      </c>
      <c r="ET80">
        <f t="shared" si="34"/>
        <v>0</v>
      </c>
      <c r="FD80">
        <f>IFERROR(LOOKUP(2,1/('DRAFT 2'!$D:$D=$B80)*('DRAFT 2'!$A:$A&gt;=DATE(2026,6,1))*('DRAFT 2'!$A:$A&lt;DATE(2026,IF(6=12,6+1,6+1),1)),'DRAFT 2'!$A:$A),"")</f>
        <v>0</v>
      </c>
      <c r="FE80">
        <f>COUNTIFS('DRAFT 2'!$D:$D,$B80,'DRAFT 2'!$A:$A,"&gt;="&amp;DATE(2026,6,1),'DRAFT 2'!$A:$A,"&lt;="&amp;DATE(2026,6,7))</f>
        <v>0</v>
      </c>
      <c r="FF80">
        <f>COUNTIFS('DRAFT 2'!$D:$D,$B80,'DRAFT 2'!$A:$A,"&gt;="&amp;DATE(2026,6,8),'DRAFT 2'!$A:$A,"&lt;="&amp;DATE(2026,6,14))</f>
        <v>0</v>
      </c>
      <c r="FG80">
        <f>COUNTIFS('DRAFT 2'!$D:$D,$B80,'DRAFT 2'!$A:$A,"&gt;="&amp;DATE(2026,6,15),'DRAFT 2'!$A:$A,"&lt;="&amp;DATE(2026,6,21))</f>
        <v>0</v>
      </c>
      <c r="FH80">
        <f>COUNTIFS('DRAFT 2'!$D:$D,$B80,'DRAFT 2'!$A:$A,"&gt;="&amp;DATE(2026,6,22),'DRAFT 2'!$A:$A,"&lt;"&amp;DATE(2026,IF(6=12,6+1,6+1),1))</f>
        <v>0</v>
      </c>
      <c r="FI80">
        <f t="shared" si="35"/>
        <v>0</v>
      </c>
      <c r="FT80">
        <f>IFERROR(LOOKUP(2,1/('DRAFT 2'!$D:$D=$B80)*('DRAFT 2'!$A:$A&gt;=DATE(2026,7,1))*('DRAFT 2'!$A:$A&lt;DATE(2026,IF(7=12,7+1,7+1),1)),'DRAFT 2'!$A:$A),"")</f>
        <v>0</v>
      </c>
      <c r="FU80">
        <f>COUNTIFS('DRAFT 2'!$D:$D,$B80,'DRAFT 2'!$A:$A,"&gt;="&amp;DATE(2026,7,1),'DRAFT 2'!$A:$A,"&lt;="&amp;DATE(2026,7,7))</f>
        <v>0</v>
      </c>
      <c r="FV80">
        <f>COUNTIFS('DRAFT 2'!$D:$D,$B80,'DRAFT 2'!$A:$A,"&gt;="&amp;DATE(2026,7,8),'DRAFT 2'!$A:$A,"&lt;="&amp;DATE(2026,7,14))</f>
        <v>0</v>
      </c>
      <c r="FW80">
        <f>COUNTIFS('DRAFT 2'!$D:$D,$B80,'DRAFT 2'!$A:$A,"&gt;="&amp;DATE(2026,7,15),'DRAFT 2'!$A:$A,"&lt;="&amp;DATE(2026,7,21))</f>
        <v>0</v>
      </c>
      <c r="FX80">
        <f>COUNTIFS('DRAFT 2'!$D:$D,$B80,'DRAFT 2'!$A:$A,"&gt;="&amp;DATE(2026,7,22),'DRAFT 2'!$A:$A,"&lt;"&amp;DATE(2026,IF(7=12,7+1,7+1),1))</f>
        <v>0</v>
      </c>
      <c r="FY80">
        <f t="shared" si="36"/>
        <v>0</v>
      </c>
      <c r="GI80">
        <f>IFERROR(LOOKUP(2,1/('DRAFT 2'!$D:$D=$B80)*('DRAFT 2'!$A:$A&gt;=DATE(2026,8,1))*('DRAFT 2'!$A:$A&lt;DATE(2026,IF(8=12,8+1,8+1),1)),'DRAFT 2'!$A:$A),"")</f>
        <v>0</v>
      </c>
      <c r="GJ80">
        <f>COUNTIFS('DRAFT 2'!$D:$D,$B80,'DRAFT 2'!$A:$A,"&gt;="&amp;DATE(2026,8,1),'DRAFT 2'!$A:$A,"&lt;="&amp;DATE(2026,8,7))</f>
        <v>0</v>
      </c>
      <c r="GK80">
        <f>COUNTIFS('DRAFT 2'!$D:$D,$B80,'DRAFT 2'!$A:$A,"&gt;="&amp;DATE(2026,8,8),'DRAFT 2'!$A:$A,"&lt;="&amp;DATE(2026,8,14))</f>
        <v>0</v>
      </c>
      <c r="GL80">
        <f>COUNTIFS('DRAFT 2'!$D:$D,$B80,'DRAFT 2'!$A:$A,"&gt;="&amp;DATE(2026,8,15),'DRAFT 2'!$A:$A,"&lt;="&amp;DATE(2026,8,21))</f>
        <v>0</v>
      </c>
      <c r="GM80">
        <f>COUNTIFS('DRAFT 2'!$D:$D,$B80,'DRAFT 2'!$A:$A,"&gt;="&amp;DATE(2026,8,22),'DRAFT 2'!$A:$A,"&lt;"&amp;DATE(2026,IF(8=12,8+1,8+1),1))</f>
        <v>0</v>
      </c>
      <c r="GN80">
        <f t="shared" si="37"/>
        <v>0</v>
      </c>
      <c r="GX80">
        <f>IFERROR(LOOKUP(2,1/('DRAFT 2'!$D:$D=$B80)*('DRAFT 2'!$A:$A&gt;=DATE(2026,9,1))*('DRAFT 2'!$A:$A&lt;DATE(2026,IF(9=12,9+1,9+1),1)),'DRAFT 2'!$A:$A),"")</f>
        <v>0</v>
      </c>
      <c r="GY80">
        <f>COUNTIFS('DRAFT 2'!$D:$D,$B80,'DRAFT 2'!$A:$A,"&gt;="&amp;DATE(2026,9,1),'DRAFT 2'!$A:$A,"&lt;="&amp;DATE(2026,9,7))</f>
        <v>0</v>
      </c>
      <c r="GZ80">
        <f>COUNTIFS('DRAFT 2'!$D:$D,$B80,'DRAFT 2'!$A:$A,"&gt;="&amp;DATE(2026,9,8),'DRAFT 2'!$A:$A,"&lt;="&amp;DATE(2026,9,14))</f>
        <v>0</v>
      </c>
      <c r="HA80">
        <f>COUNTIFS('DRAFT 2'!$D:$D,$B80,'DRAFT 2'!$A:$A,"&gt;="&amp;DATE(2026,9,15),'DRAFT 2'!$A:$A,"&lt;="&amp;DATE(2026,9,21))</f>
        <v>0</v>
      </c>
      <c r="HB80">
        <f>COUNTIFS('DRAFT 2'!$D:$D,$B80,'DRAFT 2'!$A:$A,"&gt;="&amp;DATE(2026,9,22),'DRAFT 2'!$A:$A,"&lt;"&amp;DATE(2026,IF(9=12,9+1,9+1),1))</f>
        <v>0</v>
      </c>
      <c r="HC80">
        <f t="shared" si="38"/>
        <v>0</v>
      </c>
      <c r="HN80">
        <f>IFERROR(LOOKUP(2,1/('DRAFT 2'!$D:$D=$B80)*('DRAFT 2'!$A:$A&gt;=DATE(2026,10,1))*('DRAFT 2'!$A:$A&lt;DATE(2026,IF(10=12,10+1,10+1),1)),'DRAFT 2'!$A:$A),"")</f>
        <v>0</v>
      </c>
      <c r="HO80">
        <f>COUNTIFS('DRAFT 2'!$D:$D,$B80,'DRAFT 2'!$A:$A,"&gt;="&amp;DATE(2026,10,1),'DRAFT 2'!$A:$A,"&lt;="&amp;DATE(2026,10,7))</f>
        <v>0</v>
      </c>
      <c r="HP80">
        <f>COUNTIFS('DRAFT 2'!$D:$D,$B80,'DRAFT 2'!$A:$A,"&gt;="&amp;DATE(2026,10,8),'DRAFT 2'!$A:$A,"&lt;="&amp;DATE(2026,10,14))</f>
        <v>0</v>
      </c>
      <c r="HQ80">
        <f>COUNTIFS('DRAFT 2'!$D:$D,$B80,'DRAFT 2'!$A:$A,"&gt;="&amp;DATE(2026,10,15),'DRAFT 2'!$A:$A,"&lt;="&amp;DATE(2026,10,21))</f>
        <v>0</v>
      </c>
      <c r="HR80">
        <f>COUNTIFS('DRAFT 2'!$D:$D,$B80,'DRAFT 2'!$A:$A,"&gt;="&amp;DATE(2026,10,22),'DRAFT 2'!$A:$A,"&lt;"&amp;DATE(2026,IF(10=12,10+1,10+1),1))</f>
        <v>0</v>
      </c>
      <c r="HS80">
        <f t="shared" si="39"/>
        <v>0</v>
      </c>
      <c r="IC80">
        <f>IFERROR(LOOKUP(2,1/('DRAFT 2'!$D:$D=$B80)*('DRAFT 2'!$A:$A&gt;=DATE(2026,11,1))*('DRAFT 2'!$A:$A&lt;DATE(2026,IF(11=12,11+1,11+1),1)),'DRAFT 2'!$A:$A),"")</f>
        <v>0</v>
      </c>
      <c r="ID80">
        <f>COUNTIFS('DRAFT 2'!$D:$D,$B80,'DRAFT 2'!$A:$A,"&gt;="&amp;DATE(2026,11,1),'DRAFT 2'!$A:$A,"&lt;="&amp;DATE(2026,11,7))</f>
        <v>0</v>
      </c>
      <c r="IE80">
        <f>COUNTIFS('DRAFT 2'!$D:$D,$B80,'DRAFT 2'!$A:$A,"&gt;="&amp;DATE(2026,11,8),'DRAFT 2'!$A:$A,"&lt;="&amp;DATE(2026,11,14))</f>
        <v>0</v>
      </c>
      <c r="IF80">
        <f>COUNTIFS('DRAFT 2'!$D:$D,$B80,'DRAFT 2'!$A:$A,"&gt;="&amp;DATE(2026,11,15),'DRAFT 2'!$A:$A,"&lt;="&amp;DATE(2026,11,21))</f>
        <v>0</v>
      </c>
      <c r="IG80">
        <f>COUNTIFS('DRAFT 2'!$D:$D,$B80,'DRAFT 2'!$A:$A,"&gt;="&amp;DATE(2026,11,22),'DRAFT 2'!$A:$A,"&lt;"&amp;DATE(2026,IF(11=12,11+1,11+1),1))</f>
        <v>0</v>
      </c>
      <c r="IH80">
        <f t="shared" si="40"/>
        <v>0</v>
      </c>
      <c r="IR80">
        <f>IFERROR(LOOKUP(2,1/('DRAFT 2'!$D:$D=$B80)*('DRAFT 2'!$A:$A&gt;=DATE(2026,12,1))*('DRAFT 2'!$A:$A&lt;DATE(2026,IF(12=12,12+1,12+1),1)),'DRAFT 2'!$A:$A),"")</f>
        <v>0</v>
      </c>
      <c r="IS80">
        <f>COUNTIFS('DRAFT 2'!$D:$D,$B80,'DRAFT 2'!$A:$A,"&gt;="&amp;DATE(2026,12,1),'DRAFT 2'!$A:$A,"&lt;="&amp;DATE(2026,12,7))</f>
        <v>0</v>
      </c>
      <c r="IT80">
        <f>COUNTIFS('DRAFT 2'!$D:$D,$B80,'DRAFT 2'!$A:$A,"&gt;="&amp;DATE(2026,12,8),'DRAFT 2'!$A:$A,"&lt;="&amp;DATE(2026,12,14))</f>
        <v>0</v>
      </c>
      <c r="IU80">
        <f>COUNTIFS('DRAFT 2'!$D:$D,$B80,'DRAFT 2'!$A:$A,"&gt;="&amp;DATE(2026,12,15),'DRAFT 2'!$A:$A,"&lt;="&amp;DATE(2026,12,21))</f>
        <v>0</v>
      </c>
      <c r="IV80">
        <f>COUNTIFS('DRAFT 2'!$D:$D,$B80,'DRAFT 2'!$A:$A,"&gt;="&amp;DATE(2026,12,22),'DRAFT 2'!$A:$A,"&lt;"&amp;DATE(2026,IF(12=12,12+1,12+1),1))</f>
        <v>0</v>
      </c>
      <c r="IW80">
        <f t="shared" si="41"/>
        <v>0</v>
      </c>
    </row>
    <row r="81" spans="1:257" x14ac:dyDescent="0.3">
      <c r="A81" t="str">
        <f>IFERROR(INDEX('DRAFT 1'!$A:$A,MATCH($B81,'DRAFT 1'!$B:$B,0)),"")</f>
        <v/>
      </c>
      <c r="C81" t="str">
        <f>IFERROR(INDEX('DRAFT 1'!$C:$C,MATCH($B81,'DRAFT 1'!$B:$B,0)),"")</f>
        <v/>
      </c>
      <c r="D81" t="str">
        <f>IFERROR(INDEX('DRAFT 1'!$D:$D,MATCH($B81,'DRAFT 1'!$B:$B,0)),"")</f>
        <v/>
      </c>
      <c r="E81" t="str">
        <f>IFERROR(INDEX('DRAFT 1'!$E:$E,MATCH($B81,'DRAFT 1'!$B:$B,0)),"")</f>
        <v/>
      </c>
      <c r="F81" t="str">
        <f>IFERROR(INDEX('DRAFT 1'!$F:$F,MATCH($B81,'DRAFT 1'!$B:$B,0)),"")</f>
        <v/>
      </c>
      <c r="G81" t="str">
        <f>IFERROR(INDEX('DRAFT 1'!$G:$G,MATCH($B81,'DRAFT 1'!$B:$B,0)),"")</f>
        <v/>
      </c>
      <c r="H81" t="str">
        <f>IFERROR(INDEX('DRAFT 1'!$H:$H,MATCH($B81,'DRAFT 1'!$B:$B,0)),"")</f>
        <v/>
      </c>
      <c r="I81" t="s">
        <v>292</v>
      </c>
      <c r="K81" t="str">
        <f>IFERROR(INDEX('DRAFT 1'!$AL:$AL,MATCH($B81,'DRAFT 1'!$B:$B,0)),"")</f>
        <v/>
      </c>
      <c r="L81" t="str">
        <f>IFERROR(INDEX('DRAFT 1'!$J:$J,MATCH($B81,'DRAFT 1'!$B:$B,0)),"")</f>
        <v/>
      </c>
      <c r="M81" t="str">
        <f>IFERROR(INDEX('DRAFT 1'!$K:$K,MATCH($B81,'DRAFT 1'!$B:$B,0)),"")</f>
        <v/>
      </c>
      <c r="N81" t="s">
        <v>79</v>
      </c>
      <c r="P81" t="str">
        <f>IFERROR(INDEX('DRAFT 1'!$L:$L,MATCH($B81,'DRAFT 1'!$B:$B,0)),"")</f>
        <v/>
      </c>
      <c r="Q81" t="str">
        <f>IFERROR(INDEX('DRAFT 1'!$M:$M,MATCH($B81,'DRAFT 1'!$B:$B,0)),"")</f>
        <v/>
      </c>
      <c r="R81" t="str">
        <f>IFERROR(INDEX('DRAFT 1'!$N:$N,MATCH($B81,'DRAFT 1'!$B:$B,0)),"")</f>
        <v/>
      </c>
      <c r="S81" t="str">
        <f>IFERROR(INDEX('DRAFT 1'!$O:$O,MATCH($B81,'DRAFT 1'!$B:$B,0)),"")</f>
        <v/>
      </c>
      <c r="T81" t="str">
        <f>IFERROR(INDEX('DRAFT 1'!$P:$P,MATCH($B81,'DRAFT 1'!$B:$B,0)),"")</f>
        <v/>
      </c>
      <c r="U81" t="str">
        <f>IFERROR(INDEX('DRAFT 1'!$Q:$Q,MATCH($B81,'DRAFT 1'!$B:$B,0)),"")</f>
        <v/>
      </c>
      <c r="V81" t="str">
        <f>IFERROR(INDEX('DRAFT 1'!$R:$R,MATCH($B81,'DRAFT 1'!$B:$B,0)),"")</f>
        <v/>
      </c>
      <c r="W81" t="str">
        <f>IFERROR(INDEX('DRAFT 1'!$S:$S,MATCH($B81,'DRAFT 1'!$B:$B,0)),"")</f>
        <v/>
      </c>
      <c r="X81" t="str">
        <f>IFERROR(INDEX('DRAFT 1'!$T:$T,MATCH($B81,'DRAFT 1'!$B:$B,0)),"")</f>
        <v/>
      </c>
      <c r="Z81" t="str">
        <f>IFERROR(INDEX('DRAFT 1'!$U:$U,MATCH($B81,'DRAFT 1'!$B:$B,0)),"")</f>
        <v/>
      </c>
      <c r="AA81" t="str">
        <f>IFERROR(INDEX('DRAFT 1'!$V:$V,MATCH($B81,'DRAFT 1'!$B:$B,0)),"")</f>
        <v/>
      </c>
      <c r="AB81" t="str">
        <f>IFERROR(INDEX('DRAFT 1'!$W:$W,MATCH($B81,'DRAFT 1'!$B:$B,0)),"")</f>
        <v/>
      </c>
      <c r="AC81" t="str">
        <f>IFERROR(INDEX('DRAFT 1'!$X:$X,MATCH($B81,'DRAFT 1'!$B:$B,0)),"")</f>
        <v/>
      </c>
      <c r="AD81" t="str">
        <f>IFERROR(INDEX('DRAFT 1'!$Y:$Y,MATCH($B81,'DRAFT 1'!$B:$B,0)),"")</f>
        <v/>
      </c>
      <c r="AE81" t="str">
        <f>IFERROR(INDEX('DRAFT 1'!$Z:$Z,MATCH($B81,'DRAFT 1'!$B:$B,0)),"")</f>
        <v/>
      </c>
      <c r="AF81" t="str">
        <f>IFERROR(INDEX('DRAFT 1'!$AA:$AA,MATCH($B81,'DRAFT 1'!$B:$B,0)),"")</f>
        <v/>
      </c>
      <c r="AG81" t="str">
        <f>IFERROR(INDEX('DRAFT 1'!$AB:$AB,MATCH($B81,'DRAFT 1'!$B:$B,0)),"")</f>
        <v/>
      </c>
      <c r="AH81" t="str">
        <f>IFERROR(INDEX('DRAFT 1'!$AC:$AC,MATCH($B81,'DRAFT 1'!$B:$B,0)),"")</f>
        <v/>
      </c>
      <c r="AI81" t="str">
        <f>IFERROR(INDEX('DRAFT 1'!$AD:$AD,MATCH($B81,'DRAFT 1'!$B:$B,0)),"")</f>
        <v/>
      </c>
      <c r="AJ81" t="str">
        <f>IFERROR(INDEX('DRAFT 1'!$AE:$AE,MATCH($B81,'DRAFT 1'!$B:$B,0)),"")</f>
        <v/>
      </c>
      <c r="AK81" t="str">
        <f>IFERROR(INDEX('DRAFT 1'!$AG:$AG,MATCH($B81,'DRAFT 1'!$B:$B,0)),"")</f>
        <v/>
      </c>
      <c r="AL81" t="str">
        <f>IFERROR(INDEX('DRAFT 1'!$AH:$AH,MATCH($B81,'DRAFT 1'!$B:$B,0)),"")</f>
        <v/>
      </c>
      <c r="AM81" t="str">
        <f>IFERROR(INDEX('DRAFT 1'!$AI:$AI,MATCH($B81,'DRAFT 1'!$B:$B,0)),"")</f>
        <v/>
      </c>
      <c r="AN81" t="str">
        <f>IFERROR(INDEX('DRAFT 1'!$AJ:$AJ,MATCH($B81,'DRAFT 1'!$B:$B,0)),"")</f>
        <v/>
      </c>
      <c r="AO81">
        <f t="shared" si="28"/>
        <v>0</v>
      </c>
      <c r="AP81" t="str">
        <f>IFERROR(INDEX('DRAFT 1'!$AK:$AK,MATCH($B81,'DRAFT 1'!$B:$B,0)),"")</f>
        <v/>
      </c>
      <c r="AR81" t="s">
        <v>93</v>
      </c>
      <c r="AS81">
        <f>IFERROR(LOOKUP(2,1/('DRAFT 2'!$D:$D=$B81),'DRAFT 2'!$T:$T),"")</f>
        <v>0</v>
      </c>
      <c r="AT81">
        <f>IFERROR(LOOKUP(2,1/('DRAFT 2'!$D:$D=$B81),'DRAFT 2'!$A:$A),"")</f>
        <v>0</v>
      </c>
      <c r="AU81">
        <f>IFERROR(LOOKUP(2,1/('DRAFT 2'!$D:$D=$B81),'DRAFT 2'!$R:$R),"")</f>
        <v>0</v>
      </c>
      <c r="AV81">
        <f>IFERROR(LOOKUP(2,1/('DRAFT 2'!$D:$D=$B81),'DRAFT 2'!$S:$S),"")</f>
        <v>0</v>
      </c>
      <c r="AW81" t="s">
        <v>88</v>
      </c>
      <c r="AX81">
        <f>IFERROR(LOOKUP(2,1/('DRAFT 2'!$D:$D=$B81),'DRAFT 2'!$M:$M),"")</f>
        <v>0</v>
      </c>
      <c r="AY81">
        <f>IFERROR(LOOKUP(2,1/('DRAFT 2'!$D:$D=$B81),'DRAFT 2'!$K:$K),"")</f>
        <v>0</v>
      </c>
      <c r="BG81">
        <f>IFERROR(LOOKUP(2,1/('DRAFT 2'!$D:$D=$B81),'DRAFT 2'!$U:$U),"")</f>
        <v>0</v>
      </c>
      <c r="BH81">
        <f>IFERROR(LOOKUP(2,1/('DRAFT 2'!$D:$D=$B81),'DRAFT 2'!$V:$V),"")</f>
        <v>0</v>
      </c>
      <c r="CE81" t="str">
        <f t="shared" si="29"/>
        <v/>
      </c>
      <c r="CF81">
        <f>IFERROR(LOOKUP(2,1/('DRAFT 2'!$D:$D=$B81)*('DRAFT 2'!$A:$A&gt;=DATE(2026,1,1))*('DRAFT 2'!$A:$A&lt;DATE(2026,IF(1=12,1+1,1+1),1)),'DRAFT 2'!$A:$A),"")</f>
        <v>0</v>
      </c>
      <c r="CG81">
        <f>COUNTIFS('DRAFT 2'!$D:$D,$B81,'DRAFT 2'!$A:$A,"&gt;="&amp;DATE(2026,1,1),'DRAFT 2'!$A:$A,"&lt;="&amp;DATE(2026,1,7))</f>
        <v>0</v>
      </c>
      <c r="CH81">
        <f>COUNTIFS('DRAFT 2'!$D:$D,$B81,'DRAFT 2'!$A:$A,"&gt;="&amp;DATE(2026,1,8),'DRAFT 2'!$A:$A,"&lt;="&amp;DATE(2026,1,14))</f>
        <v>0</v>
      </c>
      <c r="CI81">
        <f>COUNTIFS('DRAFT 2'!$D:$D,$B81,'DRAFT 2'!$A:$A,"&gt;="&amp;DATE(2026,1,15),'DRAFT 2'!$A:$A,"&lt;="&amp;DATE(2026,1,21))</f>
        <v>0</v>
      </c>
      <c r="CJ81">
        <f>COUNTIFS('DRAFT 2'!$D:$D,$B81,'DRAFT 2'!$A:$A,"&gt;="&amp;DATE(2026,1,22),'DRAFT 2'!$A:$A,"&lt;"&amp;DATE(2026,IF(1=12,1+1,1+1),1))</f>
        <v>0</v>
      </c>
      <c r="CK81">
        <f t="shared" si="30"/>
        <v>0</v>
      </c>
      <c r="CT81">
        <v>0</v>
      </c>
      <c r="CU81">
        <f>IFERROR(LOOKUP(2,1/('DRAFT 2'!$D:$D=$B81)*('DRAFT 2'!$A:$A&gt;=DATE(2026,2,1))*('DRAFT 2'!$A:$A&lt;DATE(2026,IF(2=12,2+1,2+1),1)),'DRAFT 2'!$A:$A),"")</f>
        <v>0</v>
      </c>
      <c r="CV81">
        <f>COUNTIFS('DRAFT 2'!$D:$D,$B81,'DRAFT 2'!$A:$A,"&gt;="&amp;DATE(2026,2,1),'DRAFT 2'!$A:$A,"&lt;="&amp;DATE(2026,2,7))</f>
        <v>0</v>
      </c>
      <c r="CW81">
        <f>COUNTIFS('DRAFT 2'!$D:$D,$B81,'DRAFT 2'!$A:$A,"&gt;="&amp;DATE(2026,2,8),'DRAFT 2'!$A:$A,"&lt;="&amp;DATE(2026,2,14))</f>
        <v>0</v>
      </c>
      <c r="CX81">
        <f>COUNTIFS('DRAFT 2'!$D:$D,$B81,'DRAFT 2'!$A:$A,"&gt;="&amp;DATE(2026,2,15),'DRAFT 2'!$A:$A,"&lt;="&amp;DATE(2026,2,21))</f>
        <v>0</v>
      </c>
      <c r="CY81">
        <f>COUNTIFS('DRAFT 2'!$D:$D,$B81,'DRAFT 2'!$A:$A,"&gt;="&amp;DATE(2026,2,22),'DRAFT 2'!$A:$A,"&lt;"&amp;DATE(2026,IF(2=12,2+1,2+1),1))</f>
        <v>0</v>
      </c>
      <c r="CZ81">
        <f t="shared" si="31"/>
        <v>0</v>
      </c>
      <c r="DJ81">
        <f>IFERROR(LOOKUP(2,1/('DRAFT 2'!$D:$D=$B81)*('DRAFT 2'!$A:$A&gt;=DATE(2026,3,1))*('DRAFT 2'!$A:$A&lt;DATE(2026,IF(3=12,3+1,3+1),1)),'DRAFT 2'!$A:$A),"")</f>
        <v>0</v>
      </c>
      <c r="DK81">
        <f>COUNTIFS('DRAFT 2'!$D:$D,$B81,'DRAFT 2'!$A:$A,"&gt;="&amp;DATE(2026,3,1),'DRAFT 2'!$A:$A,"&lt;="&amp;DATE(2026,3,7))</f>
        <v>0</v>
      </c>
      <c r="DL81">
        <f>COUNTIFS('DRAFT 2'!$D:$D,$B81,'DRAFT 2'!$A:$A,"&gt;="&amp;DATE(2026,3,8),'DRAFT 2'!$A:$A,"&lt;="&amp;DATE(2026,3,14))</f>
        <v>0</v>
      </c>
      <c r="DM81">
        <f>COUNTIFS('DRAFT 2'!$D:$D,$B81,'DRAFT 2'!$A:$A,"&gt;="&amp;DATE(2026,3,15),'DRAFT 2'!$A:$A,"&lt;="&amp;DATE(2026,3,21))</f>
        <v>0</v>
      </c>
      <c r="DN81">
        <f>COUNTIFS('DRAFT 2'!$D:$D,$B81,'DRAFT 2'!$A:$A,"&gt;="&amp;DATE(2026,3,22),'DRAFT 2'!$A:$A,"&lt;"&amp;DATE(2026,IF(3=12,3+1,3+1),1))</f>
        <v>0</v>
      </c>
      <c r="DO81">
        <f t="shared" si="32"/>
        <v>0</v>
      </c>
      <c r="DZ81">
        <f>IFERROR(LOOKUP(2,1/('DRAFT 2'!$D:$D=$B81)*('DRAFT 2'!$A:$A&gt;=DATE(2026,4,1))*('DRAFT 2'!$A:$A&lt;DATE(2026,IF(4=12,4+1,4+1),1)),'DRAFT 2'!$A:$A),"")</f>
        <v>0</v>
      </c>
      <c r="EA81">
        <f>COUNTIFS('DRAFT 2'!$D:$D,$B81,'DRAFT 2'!$A:$A,"&gt;="&amp;DATE(2026,4,1),'DRAFT 2'!$A:$A,"&lt;="&amp;DATE(2026,4,7))</f>
        <v>0</v>
      </c>
      <c r="EB81">
        <f>COUNTIFS('DRAFT 2'!$D:$D,$B81,'DRAFT 2'!$A:$A,"&gt;="&amp;DATE(2026,4,8),'DRAFT 2'!$A:$A,"&lt;="&amp;DATE(2026,4,14))</f>
        <v>0</v>
      </c>
      <c r="EC81">
        <f>COUNTIFS('DRAFT 2'!$D:$D,$B81,'DRAFT 2'!$A:$A,"&gt;="&amp;DATE(2026,4,15),'DRAFT 2'!$A:$A,"&lt;="&amp;DATE(2026,4,21))</f>
        <v>0</v>
      </c>
      <c r="ED81">
        <f>COUNTIFS('DRAFT 2'!$D:$D,$B81,'DRAFT 2'!$A:$A,"&gt;="&amp;DATE(2026,4,22),'DRAFT 2'!$A:$A,"&lt;"&amp;DATE(2026,IF(4=12,4+1,4+1),1))</f>
        <v>0</v>
      </c>
      <c r="EE81">
        <f t="shared" si="33"/>
        <v>0</v>
      </c>
      <c r="EO81">
        <f>IFERROR(LOOKUP(2,1/('DRAFT 2'!$D:$D=$B81)*('DRAFT 2'!$A:$A&gt;=DATE(2026,5,1))*('DRAFT 2'!$A:$A&lt;DATE(2026,IF(5=12,5+1,5+1),1)),'DRAFT 2'!$A:$A),"")</f>
        <v>0</v>
      </c>
      <c r="EP81">
        <f>COUNTIFS('DRAFT 2'!$D:$D,$B81,'DRAFT 2'!$A:$A,"&gt;="&amp;DATE(2026,5,1),'DRAFT 2'!$A:$A,"&lt;="&amp;DATE(2026,5,7))</f>
        <v>0</v>
      </c>
      <c r="EQ81">
        <f>COUNTIFS('DRAFT 2'!$D:$D,$B81,'DRAFT 2'!$A:$A,"&gt;="&amp;DATE(2026,5,8),'DRAFT 2'!$A:$A,"&lt;="&amp;DATE(2026,5,14))</f>
        <v>0</v>
      </c>
      <c r="ER81">
        <f>COUNTIFS('DRAFT 2'!$D:$D,$B81,'DRAFT 2'!$A:$A,"&gt;="&amp;DATE(2026,5,15),'DRAFT 2'!$A:$A,"&lt;="&amp;DATE(2026,5,21))</f>
        <v>0</v>
      </c>
      <c r="ES81">
        <f>COUNTIFS('DRAFT 2'!$D:$D,$B81,'DRAFT 2'!$A:$A,"&gt;="&amp;DATE(2026,5,22),'DRAFT 2'!$A:$A,"&lt;"&amp;DATE(2026,IF(5=12,5+1,5+1),1))</f>
        <v>0</v>
      </c>
      <c r="ET81">
        <f t="shared" si="34"/>
        <v>0</v>
      </c>
      <c r="FD81">
        <f>IFERROR(LOOKUP(2,1/('DRAFT 2'!$D:$D=$B81)*('DRAFT 2'!$A:$A&gt;=DATE(2026,6,1))*('DRAFT 2'!$A:$A&lt;DATE(2026,IF(6=12,6+1,6+1),1)),'DRAFT 2'!$A:$A),"")</f>
        <v>0</v>
      </c>
      <c r="FE81">
        <f>COUNTIFS('DRAFT 2'!$D:$D,$B81,'DRAFT 2'!$A:$A,"&gt;="&amp;DATE(2026,6,1),'DRAFT 2'!$A:$A,"&lt;="&amp;DATE(2026,6,7))</f>
        <v>0</v>
      </c>
      <c r="FF81">
        <f>COUNTIFS('DRAFT 2'!$D:$D,$B81,'DRAFT 2'!$A:$A,"&gt;="&amp;DATE(2026,6,8),'DRAFT 2'!$A:$A,"&lt;="&amp;DATE(2026,6,14))</f>
        <v>0</v>
      </c>
      <c r="FG81">
        <f>COUNTIFS('DRAFT 2'!$D:$D,$B81,'DRAFT 2'!$A:$A,"&gt;="&amp;DATE(2026,6,15),'DRAFT 2'!$A:$A,"&lt;="&amp;DATE(2026,6,21))</f>
        <v>0</v>
      </c>
      <c r="FH81">
        <f>COUNTIFS('DRAFT 2'!$D:$D,$B81,'DRAFT 2'!$A:$A,"&gt;="&amp;DATE(2026,6,22),'DRAFT 2'!$A:$A,"&lt;"&amp;DATE(2026,IF(6=12,6+1,6+1),1))</f>
        <v>0</v>
      </c>
      <c r="FI81">
        <f t="shared" si="35"/>
        <v>0</v>
      </c>
      <c r="FT81">
        <f>IFERROR(LOOKUP(2,1/('DRAFT 2'!$D:$D=$B81)*('DRAFT 2'!$A:$A&gt;=DATE(2026,7,1))*('DRAFT 2'!$A:$A&lt;DATE(2026,IF(7=12,7+1,7+1),1)),'DRAFT 2'!$A:$A),"")</f>
        <v>0</v>
      </c>
      <c r="FU81">
        <f>COUNTIFS('DRAFT 2'!$D:$D,$B81,'DRAFT 2'!$A:$A,"&gt;="&amp;DATE(2026,7,1),'DRAFT 2'!$A:$A,"&lt;="&amp;DATE(2026,7,7))</f>
        <v>0</v>
      </c>
      <c r="FV81">
        <f>COUNTIFS('DRAFT 2'!$D:$D,$B81,'DRAFT 2'!$A:$A,"&gt;="&amp;DATE(2026,7,8),'DRAFT 2'!$A:$A,"&lt;="&amp;DATE(2026,7,14))</f>
        <v>0</v>
      </c>
      <c r="FW81">
        <f>COUNTIFS('DRAFT 2'!$D:$D,$B81,'DRAFT 2'!$A:$A,"&gt;="&amp;DATE(2026,7,15),'DRAFT 2'!$A:$A,"&lt;="&amp;DATE(2026,7,21))</f>
        <v>0</v>
      </c>
      <c r="FX81">
        <f>COUNTIFS('DRAFT 2'!$D:$D,$B81,'DRAFT 2'!$A:$A,"&gt;="&amp;DATE(2026,7,22),'DRAFT 2'!$A:$A,"&lt;"&amp;DATE(2026,IF(7=12,7+1,7+1),1))</f>
        <v>0</v>
      </c>
      <c r="FY81">
        <f t="shared" si="36"/>
        <v>0</v>
      </c>
      <c r="GI81">
        <f>IFERROR(LOOKUP(2,1/('DRAFT 2'!$D:$D=$B81)*('DRAFT 2'!$A:$A&gt;=DATE(2026,8,1))*('DRAFT 2'!$A:$A&lt;DATE(2026,IF(8=12,8+1,8+1),1)),'DRAFT 2'!$A:$A),"")</f>
        <v>0</v>
      </c>
      <c r="GJ81">
        <f>COUNTIFS('DRAFT 2'!$D:$D,$B81,'DRAFT 2'!$A:$A,"&gt;="&amp;DATE(2026,8,1),'DRAFT 2'!$A:$A,"&lt;="&amp;DATE(2026,8,7))</f>
        <v>0</v>
      </c>
      <c r="GK81">
        <f>COUNTIFS('DRAFT 2'!$D:$D,$B81,'DRAFT 2'!$A:$A,"&gt;="&amp;DATE(2026,8,8),'DRAFT 2'!$A:$A,"&lt;="&amp;DATE(2026,8,14))</f>
        <v>0</v>
      </c>
      <c r="GL81">
        <f>COUNTIFS('DRAFT 2'!$D:$D,$B81,'DRAFT 2'!$A:$A,"&gt;="&amp;DATE(2026,8,15),'DRAFT 2'!$A:$A,"&lt;="&amp;DATE(2026,8,21))</f>
        <v>0</v>
      </c>
      <c r="GM81">
        <f>COUNTIFS('DRAFT 2'!$D:$D,$B81,'DRAFT 2'!$A:$A,"&gt;="&amp;DATE(2026,8,22),'DRAFT 2'!$A:$A,"&lt;"&amp;DATE(2026,IF(8=12,8+1,8+1),1))</f>
        <v>0</v>
      </c>
      <c r="GN81">
        <f t="shared" si="37"/>
        <v>0</v>
      </c>
      <c r="GX81">
        <f>IFERROR(LOOKUP(2,1/('DRAFT 2'!$D:$D=$B81)*('DRAFT 2'!$A:$A&gt;=DATE(2026,9,1))*('DRAFT 2'!$A:$A&lt;DATE(2026,IF(9=12,9+1,9+1),1)),'DRAFT 2'!$A:$A),"")</f>
        <v>0</v>
      </c>
      <c r="GY81">
        <f>COUNTIFS('DRAFT 2'!$D:$D,$B81,'DRAFT 2'!$A:$A,"&gt;="&amp;DATE(2026,9,1),'DRAFT 2'!$A:$A,"&lt;="&amp;DATE(2026,9,7))</f>
        <v>0</v>
      </c>
      <c r="GZ81">
        <f>COUNTIFS('DRAFT 2'!$D:$D,$B81,'DRAFT 2'!$A:$A,"&gt;="&amp;DATE(2026,9,8),'DRAFT 2'!$A:$A,"&lt;="&amp;DATE(2026,9,14))</f>
        <v>0</v>
      </c>
      <c r="HA81">
        <f>COUNTIFS('DRAFT 2'!$D:$D,$B81,'DRAFT 2'!$A:$A,"&gt;="&amp;DATE(2026,9,15),'DRAFT 2'!$A:$A,"&lt;="&amp;DATE(2026,9,21))</f>
        <v>0</v>
      </c>
      <c r="HB81">
        <f>COUNTIFS('DRAFT 2'!$D:$D,$B81,'DRAFT 2'!$A:$A,"&gt;="&amp;DATE(2026,9,22),'DRAFT 2'!$A:$A,"&lt;"&amp;DATE(2026,IF(9=12,9+1,9+1),1))</f>
        <v>0</v>
      </c>
      <c r="HC81">
        <f t="shared" si="38"/>
        <v>0</v>
      </c>
      <c r="HN81">
        <f>IFERROR(LOOKUP(2,1/('DRAFT 2'!$D:$D=$B81)*('DRAFT 2'!$A:$A&gt;=DATE(2026,10,1))*('DRAFT 2'!$A:$A&lt;DATE(2026,IF(10=12,10+1,10+1),1)),'DRAFT 2'!$A:$A),"")</f>
        <v>0</v>
      </c>
      <c r="HO81">
        <f>COUNTIFS('DRAFT 2'!$D:$D,$B81,'DRAFT 2'!$A:$A,"&gt;="&amp;DATE(2026,10,1),'DRAFT 2'!$A:$A,"&lt;="&amp;DATE(2026,10,7))</f>
        <v>0</v>
      </c>
      <c r="HP81">
        <f>COUNTIFS('DRAFT 2'!$D:$D,$B81,'DRAFT 2'!$A:$A,"&gt;="&amp;DATE(2026,10,8),'DRAFT 2'!$A:$A,"&lt;="&amp;DATE(2026,10,14))</f>
        <v>0</v>
      </c>
      <c r="HQ81">
        <f>COUNTIFS('DRAFT 2'!$D:$D,$B81,'DRAFT 2'!$A:$A,"&gt;="&amp;DATE(2026,10,15),'DRAFT 2'!$A:$A,"&lt;="&amp;DATE(2026,10,21))</f>
        <v>0</v>
      </c>
      <c r="HR81">
        <f>COUNTIFS('DRAFT 2'!$D:$D,$B81,'DRAFT 2'!$A:$A,"&gt;="&amp;DATE(2026,10,22),'DRAFT 2'!$A:$A,"&lt;"&amp;DATE(2026,IF(10=12,10+1,10+1),1))</f>
        <v>0</v>
      </c>
      <c r="HS81">
        <f t="shared" si="39"/>
        <v>0</v>
      </c>
      <c r="IC81">
        <f>IFERROR(LOOKUP(2,1/('DRAFT 2'!$D:$D=$B81)*('DRAFT 2'!$A:$A&gt;=DATE(2026,11,1))*('DRAFT 2'!$A:$A&lt;DATE(2026,IF(11=12,11+1,11+1),1)),'DRAFT 2'!$A:$A),"")</f>
        <v>0</v>
      </c>
      <c r="ID81">
        <f>COUNTIFS('DRAFT 2'!$D:$D,$B81,'DRAFT 2'!$A:$A,"&gt;="&amp;DATE(2026,11,1),'DRAFT 2'!$A:$A,"&lt;="&amp;DATE(2026,11,7))</f>
        <v>0</v>
      </c>
      <c r="IE81">
        <f>COUNTIFS('DRAFT 2'!$D:$D,$B81,'DRAFT 2'!$A:$A,"&gt;="&amp;DATE(2026,11,8),'DRAFT 2'!$A:$A,"&lt;="&amp;DATE(2026,11,14))</f>
        <v>0</v>
      </c>
      <c r="IF81">
        <f>COUNTIFS('DRAFT 2'!$D:$D,$B81,'DRAFT 2'!$A:$A,"&gt;="&amp;DATE(2026,11,15),'DRAFT 2'!$A:$A,"&lt;="&amp;DATE(2026,11,21))</f>
        <v>0</v>
      </c>
      <c r="IG81">
        <f>COUNTIFS('DRAFT 2'!$D:$D,$B81,'DRAFT 2'!$A:$A,"&gt;="&amp;DATE(2026,11,22),'DRAFT 2'!$A:$A,"&lt;"&amp;DATE(2026,IF(11=12,11+1,11+1),1))</f>
        <v>0</v>
      </c>
      <c r="IH81">
        <f t="shared" si="40"/>
        <v>0</v>
      </c>
      <c r="IR81">
        <f>IFERROR(LOOKUP(2,1/('DRAFT 2'!$D:$D=$B81)*('DRAFT 2'!$A:$A&gt;=DATE(2026,12,1))*('DRAFT 2'!$A:$A&lt;DATE(2026,IF(12=12,12+1,12+1),1)),'DRAFT 2'!$A:$A),"")</f>
        <v>0</v>
      </c>
      <c r="IS81">
        <f>COUNTIFS('DRAFT 2'!$D:$D,$B81,'DRAFT 2'!$A:$A,"&gt;="&amp;DATE(2026,12,1),'DRAFT 2'!$A:$A,"&lt;="&amp;DATE(2026,12,7))</f>
        <v>0</v>
      </c>
      <c r="IT81">
        <f>COUNTIFS('DRAFT 2'!$D:$D,$B81,'DRAFT 2'!$A:$A,"&gt;="&amp;DATE(2026,12,8),'DRAFT 2'!$A:$A,"&lt;="&amp;DATE(2026,12,14))</f>
        <v>0</v>
      </c>
      <c r="IU81">
        <f>COUNTIFS('DRAFT 2'!$D:$D,$B81,'DRAFT 2'!$A:$A,"&gt;="&amp;DATE(2026,12,15),'DRAFT 2'!$A:$A,"&lt;="&amp;DATE(2026,12,21))</f>
        <v>0</v>
      </c>
      <c r="IV81">
        <f>COUNTIFS('DRAFT 2'!$D:$D,$B81,'DRAFT 2'!$A:$A,"&gt;="&amp;DATE(2026,12,22),'DRAFT 2'!$A:$A,"&lt;"&amp;DATE(2026,IF(12=12,12+1,12+1),1))</f>
        <v>0</v>
      </c>
      <c r="IW81">
        <f t="shared" si="41"/>
        <v>0</v>
      </c>
    </row>
    <row r="82" spans="1:257" x14ac:dyDescent="0.3">
      <c r="A82" t="str">
        <f>IFERROR(INDEX('DRAFT 1'!$A:$A,MATCH($B82,'DRAFT 1'!$B:$B,0)),"")</f>
        <v/>
      </c>
      <c r="C82" t="str">
        <f>IFERROR(INDEX('DRAFT 1'!$C:$C,MATCH($B82,'DRAFT 1'!$B:$B,0)),"")</f>
        <v/>
      </c>
      <c r="D82" t="str">
        <f>IFERROR(INDEX('DRAFT 1'!$D:$D,MATCH($B82,'DRAFT 1'!$B:$B,0)),"")</f>
        <v/>
      </c>
      <c r="E82" t="str">
        <f>IFERROR(INDEX('DRAFT 1'!$E:$E,MATCH($B82,'DRAFT 1'!$B:$B,0)),"")</f>
        <v/>
      </c>
      <c r="F82" t="str">
        <f>IFERROR(INDEX('DRAFT 1'!$F:$F,MATCH($B82,'DRAFT 1'!$B:$B,0)),"")</f>
        <v/>
      </c>
      <c r="G82" t="str">
        <f>IFERROR(INDEX('DRAFT 1'!$G:$G,MATCH($B82,'DRAFT 1'!$B:$B,0)),"")</f>
        <v/>
      </c>
      <c r="H82" t="str">
        <f>IFERROR(INDEX('DRAFT 1'!$H:$H,MATCH($B82,'DRAFT 1'!$B:$B,0)),"")</f>
        <v/>
      </c>
      <c r="I82" t="s">
        <v>292</v>
      </c>
      <c r="K82" t="str">
        <f>IFERROR(INDEX('DRAFT 1'!$AL:$AL,MATCH($B82,'DRAFT 1'!$B:$B,0)),"")</f>
        <v/>
      </c>
      <c r="L82" t="str">
        <f>IFERROR(INDEX('DRAFT 1'!$J:$J,MATCH($B82,'DRAFT 1'!$B:$B,0)),"")</f>
        <v/>
      </c>
      <c r="M82" t="str">
        <f>IFERROR(INDEX('DRAFT 1'!$K:$K,MATCH($B82,'DRAFT 1'!$B:$B,0)),"")</f>
        <v/>
      </c>
      <c r="N82" t="s">
        <v>74</v>
      </c>
      <c r="P82" t="str">
        <f>IFERROR(INDEX('DRAFT 1'!$L:$L,MATCH($B82,'DRAFT 1'!$B:$B,0)),"")</f>
        <v/>
      </c>
      <c r="Q82" t="str">
        <f>IFERROR(INDEX('DRAFT 1'!$M:$M,MATCH($B82,'DRAFT 1'!$B:$B,0)),"")</f>
        <v/>
      </c>
      <c r="R82" t="str">
        <f>IFERROR(INDEX('DRAFT 1'!$N:$N,MATCH($B82,'DRAFT 1'!$B:$B,0)),"")</f>
        <v/>
      </c>
      <c r="S82" t="str">
        <f>IFERROR(INDEX('DRAFT 1'!$O:$O,MATCH($B82,'DRAFT 1'!$B:$B,0)),"")</f>
        <v/>
      </c>
      <c r="T82" t="str">
        <f>IFERROR(INDEX('DRAFT 1'!$P:$P,MATCH($B82,'DRAFT 1'!$B:$B,0)),"")</f>
        <v/>
      </c>
      <c r="U82" t="str">
        <f>IFERROR(INDEX('DRAFT 1'!$Q:$Q,MATCH($B82,'DRAFT 1'!$B:$B,0)),"")</f>
        <v/>
      </c>
      <c r="V82" t="str">
        <f>IFERROR(INDEX('DRAFT 1'!$R:$R,MATCH($B82,'DRAFT 1'!$B:$B,0)),"")</f>
        <v/>
      </c>
      <c r="W82" t="str">
        <f>IFERROR(INDEX('DRAFT 1'!$S:$S,MATCH($B82,'DRAFT 1'!$B:$B,0)),"")</f>
        <v/>
      </c>
      <c r="X82" t="str">
        <f>IFERROR(INDEX('DRAFT 1'!$T:$T,MATCH($B82,'DRAFT 1'!$B:$B,0)),"")</f>
        <v/>
      </c>
      <c r="Z82" t="str">
        <f>IFERROR(INDEX('DRAFT 1'!$U:$U,MATCH($B82,'DRAFT 1'!$B:$B,0)),"")</f>
        <v/>
      </c>
      <c r="AA82" t="str">
        <f>IFERROR(INDEX('DRAFT 1'!$V:$V,MATCH($B82,'DRAFT 1'!$B:$B,0)),"")</f>
        <v/>
      </c>
      <c r="AB82" t="str">
        <f>IFERROR(INDEX('DRAFT 1'!$W:$W,MATCH($B82,'DRAFT 1'!$B:$B,0)),"")</f>
        <v/>
      </c>
      <c r="AC82" t="str">
        <f>IFERROR(INDEX('DRAFT 1'!$X:$X,MATCH($B82,'DRAFT 1'!$B:$B,0)),"")</f>
        <v/>
      </c>
      <c r="AD82" t="str">
        <f>IFERROR(INDEX('DRAFT 1'!$Y:$Y,MATCH($B82,'DRAFT 1'!$B:$B,0)),"")</f>
        <v/>
      </c>
      <c r="AE82" t="str">
        <f>IFERROR(INDEX('DRAFT 1'!$Z:$Z,MATCH($B82,'DRAFT 1'!$B:$B,0)),"")</f>
        <v/>
      </c>
      <c r="AF82" t="str">
        <f>IFERROR(INDEX('DRAFT 1'!$AA:$AA,MATCH($B82,'DRAFT 1'!$B:$B,0)),"")</f>
        <v/>
      </c>
      <c r="AG82" t="str">
        <f>IFERROR(INDEX('DRAFT 1'!$AB:$AB,MATCH($B82,'DRAFT 1'!$B:$B,0)),"")</f>
        <v/>
      </c>
      <c r="AH82" t="str">
        <f>IFERROR(INDEX('DRAFT 1'!$AC:$AC,MATCH($B82,'DRAFT 1'!$B:$B,0)),"")</f>
        <v/>
      </c>
      <c r="AI82" t="str">
        <f>IFERROR(INDEX('DRAFT 1'!$AD:$AD,MATCH($B82,'DRAFT 1'!$B:$B,0)),"")</f>
        <v/>
      </c>
      <c r="AJ82" t="str">
        <f>IFERROR(INDEX('DRAFT 1'!$AE:$AE,MATCH($B82,'DRAFT 1'!$B:$B,0)),"")</f>
        <v/>
      </c>
      <c r="AK82" t="str">
        <f>IFERROR(INDEX('DRAFT 1'!$AG:$AG,MATCH($B82,'DRAFT 1'!$B:$B,0)),"")</f>
        <v/>
      </c>
      <c r="AL82" t="str">
        <f>IFERROR(INDEX('DRAFT 1'!$AH:$AH,MATCH($B82,'DRAFT 1'!$B:$B,0)),"")</f>
        <v/>
      </c>
      <c r="AM82" t="str">
        <f>IFERROR(INDEX('DRAFT 1'!$AI:$AI,MATCH($B82,'DRAFT 1'!$B:$B,0)),"")</f>
        <v/>
      </c>
      <c r="AN82" t="str">
        <f>IFERROR(INDEX('DRAFT 1'!$AJ:$AJ,MATCH($B82,'DRAFT 1'!$B:$B,0)),"")</f>
        <v/>
      </c>
      <c r="AO82">
        <f t="shared" si="28"/>
        <v>0</v>
      </c>
      <c r="AP82" t="str">
        <f>IFERROR(INDEX('DRAFT 1'!$AK:$AK,MATCH($B82,'DRAFT 1'!$B:$B,0)),"")</f>
        <v/>
      </c>
      <c r="AR82" t="s">
        <v>91</v>
      </c>
      <c r="AS82">
        <f>IFERROR(LOOKUP(2,1/('DRAFT 2'!$D:$D=$B82),'DRAFT 2'!$T:$T),"")</f>
        <v>0</v>
      </c>
      <c r="AT82">
        <f>IFERROR(LOOKUP(2,1/('DRAFT 2'!$D:$D=$B82),'DRAFT 2'!$A:$A),"")</f>
        <v>0</v>
      </c>
      <c r="AU82">
        <f>IFERROR(LOOKUP(2,1/('DRAFT 2'!$D:$D=$B82),'DRAFT 2'!$R:$R),"")</f>
        <v>0</v>
      </c>
      <c r="AV82">
        <f>IFERROR(LOOKUP(2,1/('DRAFT 2'!$D:$D=$B82),'DRAFT 2'!$S:$S),"")</f>
        <v>0</v>
      </c>
      <c r="AW82" t="s">
        <v>88</v>
      </c>
      <c r="AX82">
        <f>IFERROR(LOOKUP(2,1/('DRAFT 2'!$D:$D=$B82),'DRAFT 2'!$M:$M),"")</f>
        <v>0</v>
      </c>
      <c r="AY82">
        <f>IFERROR(LOOKUP(2,1/('DRAFT 2'!$D:$D=$B82),'DRAFT 2'!$K:$K),"")</f>
        <v>0</v>
      </c>
      <c r="BG82">
        <f>IFERROR(LOOKUP(2,1/('DRAFT 2'!$D:$D=$B82),'DRAFT 2'!$U:$U),"")</f>
        <v>0</v>
      </c>
      <c r="BH82">
        <f>IFERROR(LOOKUP(2,1/('DRAFT 2'!$D:$D=$B82),'DRAFT 2'!$V:$V),"")</f>
        <v>0</v>
      </c>
      <c r="CE82" t="str">
        <f t="shared" si="29"/>
        <v/>
      </c>
      <c r="CF82">
        <f>IFERROR(LOOKUP(2,1/('DRAFT 2'!$D:$D=$B82)*('DRAFT 2'!$A:$A&gt;=DATE(2026,1,1))*('DRAFT 2'!$A:$A&lt;DATE(2026,IF(1=12,1+1,1+1),1)),'DRAFT 2'!$A:$A),"")</f>
        <v>0</v>
      </c>
      <c r="CG82">
        <f>COUNTIFS('DRAFT 2'!$D:$D,$B82,'DRAFT 2'!$A:$A,"&gt;="&amp;DATE(2026,1,1),'DRAFT 2'!$A:$A,"&lt;="&amp;DATE(2026,1,7))</f>
        <v>0</v>
      </c>
      <c r="CH82">
        <f>COUNTIFS('DRAFT 2'!$D:$D,$B82,'DRAFT 2'!$A:$A,"&gt;="&amp;DATE(2026,1,8),'DRAFT 2'!$A:$A,"&lt;="&amp;DATE(2026,1,14))</f>
        <v>0</v>
      </c>
      <c r="CI82">
        <f>COUNTIFS('DRAFT 2'!$D:$D,$B82,'DRAFT 2'!$A:$A,"&gt;="&amp;DATE(2026,1,15),'DRAFT 2'!$A:$A,"&lt;="&amp;DATE(2026,1,21))</f>
        <v>0</v>
      </c>
      <c r="CJ82">
        <f>COUNTIFS('DRAFT 2'!$D:$D,$B82,'DRAFT 2'!$A:$A,"&gt;="&amp;DATE(2026,1,22),'DRAFT 2'!$A:$A,"&lt;"&amp;DATE(2026,IF(1=12,1+1,1+1),1))</f>
        <v>0</v>
      </c>
      <c r="CK82">
        <f t="shared" si="30"/>
        <v>0</v>
      </c>
      <c r="CT82">
        <v>0</v>
      </c>
      <c r="CU82">
        <f>IFERROR(LOOKUP(2,1/('DRAFT 2'!$D:$D=$B82)*('DRAFT 2'!$A:$A&gt;=DATE(2026,2,1))*('DRAFT 2'!$A:$A&lt;DATE(2026,IF(2=12,2+1,2+1),1)),'DRAFT 2'!$A:$A),"")</f>
        <v>0</v>
      </c>
      <c r="CV82">
        <f>COUNTIFS('DRAFT 2'!$D:$D,$B82,'DRAFT 2'!$A:$A,"&gt;="&amp;DATE(2026,2,1),'DRAFT 2'!$A:$A,"&lt;="&amp;DATE(2026,2,7))</f>
        <v>0</v>
      </c>
      <c r="CW82">
        <f>COUNTIFS('DRAFT 2'!$D:$D,$B82,'DRAFT 2'!$A:$A,"&gt;="&amp;DATE(2026,2,8),'DRAFT 2'!$A:$A,"&lt;="&amp;DATE(2026,2,14))</f>
        <v>0</v>
      </c>
      <c r="CX82">
        <f>COUNTIFS('DRAFT 2'!$D:$D,$B82,'DRAFT 2'!$A:$A,"&gt;="&amp;DATE(2026,2,15),'DRAFT 2'!$A:$A,"&lt;="&amp;DATE(2026,2,21))</f>
        <v>0</v>
      </c>
      <c r="CY82">
        <f>COUNTIFS('DRAFT 2'!$D:$D,$B82,'DRAFT 2'!$A:$A,"&gt;="&amp;DATE(2026,2,22),'DRAFT 2'!$A:$A,"&lt;"&amp;DATE(2026,IF(2=12,2+1,2+1),1))</f>
        <v>0</v>
      </c>
      <c r="CZ82">
        <f t="shared" si="31"/>
        <v>0</v>
      </c>
      <c r="DJ82">
        <f>IFERROR(LOOKUP(2,1/('DRAFT 2'!$D:$D=$B82)*('DRAFT 2'!$A:$A&gt;=DATE(2026,3,1))*('DRAFT 2'!$A:$A&lt;DATE(2026,IF(3=12,3+1,3+1),1)),'DRAFT 2'!$A:$A),"")</f>
        <v>0</v>
      </c>
      <c r="DK82">
        <f>COUNTIFS('DRAFT 2'!$D:$D,$B82,'DRAFT 2'!$A:$A,"&gt;="&amp;DATE(2026,3,1),'DRAFT 2'!$A:$A,"&lt;="&amp;DATE(2026,3,7))</f>
        <v>0</v>
      </c>
      <c r="DL82">
        <f>COUNTIFS('DRAFT 2'!$D:$D,$B82,'DRAFT 2'!$A:$A,"&gt;="&amp;DATE(2026,3,8),'DRAFT 2'!$A:$A,"&lt;="&amp;DATE(2026,3,14))</f>
        <v>0</v>
      </c>
      <c r="DM82">
        <f>COUNTIFS('DRAFT 2'!$D:$D,$B82,'DRAFT 2'!$A:$A,"&gt;="&amp;DATE(2026,3,15),'DRAFT 2'!$A:$A,"&lt;="&amp;DATE(2026,3,21))</f>
        <v>0</v>
      </c>
      <c r="DN82">
        <f>COUNTIFS('DRAFT 2'!$D:$D,$B82,'DRAFT 2'!$A:$A,"&gt;="&amp;DATE(2026,3,22),'DRAFT 2'!$A:$A,"&lt;"&amp;DATE(2026,IF(3=12,3+1,3+1),1))</f>
        <v>0</v>
      </c>
      <c r="DO82">
        <f t="shared" si="32"/>
        <v>0</v>
      </c>
      <c r="DZ82">
        <f>IFERROR(LOOKUP(2,1/('DRAFT 2'!$D:$D=$B82)*('DRAFT 2'!$A:$A&gt;=DATE(2026,4,1))*('DRAFT 2'!$A:$A&lt;DATE(2026,IF(4=12,4+1,4+1),1)),'DRAFT 2'!$A:$A),"")</f>
        <v>0</v>
      </c>
      <c r="EA82">
        <f>COUNTIFS('DRAFT 2'!$D:$D,$B82,'DRAFT 2'!$A:$A,"&gt;="&amp;DATE(2026,4,1),'DRAFT 2'!$A:$A,"&lt;="&amp;DATE(2026,4,7))</f>
        <v>0</v>
      </c>
      <c r="EB82">
        <f>COUNTIFS('DRAFT 2'!$D:$D,$B82,'DRAFT 2'!$A:$A,"&gt;="&amp;DATE(2026,4,8),'DRAFT 2'!$A:$A,"&lt;="&amp;DATE(2026,4,14))</f>
        <v>0</v>
      </c>
      <c r="EC82">
        <f>COUNTIFS('DRAFT 2'!$D:$D,$B82,'DRAFT 2'!$A:$A,"&gt;="&amp;DATE(2026,4,15),'DRAFT 2'!$A:$A,"&lt;="&amp;DATE(2026,4,21))</f>
        <v>0</v>
      </c>
      <c r="ED82">
        <f>COUNTIFS('DRAFT 2'!$D:$D,$B82,'DRAFT 2'!$A:$A,"&gt;="&amp;DATE(2026,4,22),'DRAFT 2'!$A:$A,"&lt;"&amp;DATE(2026,IF(4=12,4+1,4+1),1))</f>
        <v>0</v>
      </c>
      <c r="EE82">
        <f t="shared" si="33"/>
        <v>0</v>
      </c>
      <c r="EO82">
        <f>IFERROR(LOOKUP(2,1/('DRAFT 2'!$D:$D=$B82)*('DRAFT 2'!$A:$A&gt;=DATE(2026,5,1))*('DRAFT 2'!$A:$A&lt;DATE(2026,IF(5=12,5+1,5+1),1)),'DRAFT 2'!$A:$A),"")</f>
        <v>0</v>
      </c>
      <c r="EP82">
        <f>COUNTIFS('DRAFT 2'!$D:$D,$B82,'DRAFT 2'!$A:$A,"&gt;="&amp;DATE(2026,5,1),'DRAFT 2'!$A:$A,"&lt;="&amp;DATE(2026,5,7))</f>
        <v>0</v>
      </c>
      <c r="EQ82">
        <f>COUNTIFS('DRAFT 2'!$D:$D,$B82,'DRAFT 2'!$A:$A,"&gt;="&amp;DATE(2026,5,8),'DRAFT 2'!$A:$A,"&lt;="&amp;DATE(2026,5,14))</f>
        <v>0</v>
      </c>
      <c r="ER82">
        <f>COUNTIFS('DRAFT 2'!$D:$D,$B82,'DRAFT 2'!$A:$A,"&gt;="&amp;DATE(2026,5,15),'DRAFT 2'!$A:$A,"&lt;="&amp;DATE(2026,5,21))</f>
        <v>0</v>
      </c>
      <c r="ES82">
        <f>COUNTIFS('DRAFT 2'!$D:$D,$B82,'DRAFT 2'!$A:$A,"&gt;="&amp;DATE(2026,5,22),'DRAFT 2'!$A:$A,"&lt;"&amp;DATE(2026,IF(5=12,5+1,5+1),1))</f>
        <v>0</v>
      </c>
      <c r="ET82">
        <f t="shared" si="34"/>
        <v>0</v>
      </c>
      <c r="FD82">
        <f>IFERROR(LOOKUP(2,1/('DRAFT 2'!$D:$D=$B82)*('DRAFT 2'!$A:$A&gt;=DATE(2026,6,1))*('DRAFT 2'!$A:$A&lt;DATE(2026,IF(6=12,6+1,6+1),1)),'DRAFT 2'!$A:$A),"")</f>
        <v>0</v>
      </c>
      <c r="FE82">
        <f>COUNTIFS('DRAFT 2'!$D:$D,$B82,'DRAFT 2'!$A:$A,"&gt;="&amp;DATE(2026,6,1),'DRAFT 2'!$A:$A,"&lt;="&amp;DATE(2026,6,7))</f>
        <v>0</v>
      </c>
      <c r="FF82">
        <f>COUNTIFS('DRAFT 2'!$D:$D,$B82,'DRAFT 2'!$A:$A,"&gt;="&amp;DATE(2026,6,8),'DRAFT 2'!$A:$A,"&lt;="&amp;DATE(2026,6,14))</f>
        <v>0</v>
      </c>
      <c r="FG82">
        <f>COUNTIFS('DRAFT 2'!$D:$D,$B82,'DRAFT 2'!$A:$A,"&gt;="&amp;DATE(2026,6,15),'DRAFT 2'!$A:$A,"&lt;="&amp;DATE(2026,6,21))</f>
        <v>0</v>
      </c>
      <c r="FH82">
        <f>COUNTIFS('DRAFT 2'!$D:$D,$B82,'DRAFT 2'!$A:$A,"&gt;="&amp;DATE(2026,6,22),'DRAFT 2'!$A:$A,"&lt;"&amp;DATE(2026,IF(6=12,6+1,6+1),1))</f>
        <v>0</v>
      </c>
      <c r="FI82">
        <f t="shared" si="35"/>
        <v>0</v>
      </c>
      <c r="FT82">
        <f>IFERROR(LOOKUP(2,1/('DRAFT 2'!$D:$D=$B82)*('DRAFT 2'!$A:$A&gt;=DATE(2026,7,1))*('DRAFT 2'!$A:$A&lt;DATE(2026,IF(7=12,7+1,7+1),1)),'DRAFT 2'!$A:$A),"")</f>
        <v>0</v>
      </c>
      <c r="FU82">
        <f>COUNTIFS('DRAFT 2'!$D:$D,$B82,'DRAFT 2'!$A:$A,"&gt;="&amp;DATE(2026,7,1),'DRAFT 2'!$A:$A,"&lt;="&amp;DATE(2026,7,7))</f>
        <v>0</v>
      </c>
      <c r="FV82">
        <f>COUNTIFS('DRAFT 2'!$D:$D,$B82,'DRAFT 2'!$A:$A,"&gt;="&amp;DATE(2026,7,8),'DRAFT 2'!$A:$A,"&lt;="&amp;DATE(2026,7,14))</f>
        <v>0</v>
      </c>
      <c r="FW82">
        <f>COUNTIFS('DRAFT 2'!$D:$D,$B82,'DRAFT 2'!$A:$A,"&gt;="&amp;DATE(2026,7,15),'DRAFT 2'!$A:$A,"&lt;="&amp;DATE(2026,7,21))</f>
        <v>0</v>
      </c>
      <c r="FX82">
        <f>COUNTIFS('DRAFT 2'!$D:$D,$B82,'DRAFT 2'!$A:$A,"&gt;="&amp;DATE(2026,7,22),'DRAFT 2'!$A:$A,"&lt;"&amp;DATE(2026,IF(7=12,7+1,7+1),1))</f>
        <v>0</v>
      </c>
      <c r="FY82">
        <f t="shared" si="36"/>
        <v>0</v>
      </c>
      <c r="GI82">
        <f>IFERROR(LOOKUP(2,1/('DRAFT 2'!$D:$D=$B82)*('DRAFT 2'!$A:$A&gt;=DATE(2026,8,1))*('DRAFT 2'!$A:$A&lt;DATE(2026,IF(8=12,8+1,8+1),1)),'DRAFT 2'!$A:$A),"")</f>
        <v>0</v>
      </c>
      <c r="GJ82">
        <f>COUNTIFS('DRAFT 2'!$D:$D,$B82,'DRAFT 2'!$A:$A,"&gt;="&amp;DATE(2026,8,1),'DRAFT 2'!$A:$A,"&lt;="&amp;DATE(2026,8,7))</f>
        <v>0</v>
      </c>
      <c r="GK82">
        <f>COUNTIFS('DRAFT 2'!$D:$D,$B82,'DRAFT 2'!$A:$A,"&gt;="&amp;DATE(2026,8,8),'DRAFT 2'!$A:$A,"&lt;="&amp;DATE(2026,8,14))</f>
        <v>0</v>
      </c>
      <c r="GL82">
        <f>COUNTIFS('DRAFT 2'!$D:$D,$B82,'DRAFT 2'!$A:$A,"&gt;="&amp;DATE(2026,8,15),'DRAFT 2'!$A:$A,"&lt;="&amp;DATE(2026,8,21))</f>
        <v>0</v>
      </c>
      <c r="GM82">
        <f>COUNTIFS('DRAFT 2'!$D:$D,$B82,'DRAFT 2'!$A:$A,"&gt;="&amp;DATE(2026,8,22),'DRAFT 2'!$A:$A,"&lt;"&amp;DATE(2026,IF(8=12,8+1,8+1),1))</f>
        <v>0</v>
      </c>
      <c r="GN82">
        <f t="shared" si="37"/>
        <v>0</v>
      </c>
      <c r="GX82">
        <f>IFERROR(LOOKUP(2,1/('DRAFT 2'!$D:$D=$B82)*('DRAFT 2'!$A:$A&gt;=DATE(2026,9,1))*('DRAFT 2'!$A:$A&lt;DATE(2026,IF(9=12,9+1,9+1),1)),'DRAFT 2'!$A:$A),"")</f>
        <v>0</v>
      </c>
      <c r="GY82">
        <f>COUNTIFS('DRAFT 2'!$D:$D,$B82,'DRAFT 2'!$A:$A,"&gt;="&amp;DATE(2026,9,1),'DRAFT 2'!$A:$A,"&lt;="&amp;DATE(2026,9,7))</f>
        <v>0</v>
      </c>
      <c r="GZ82">
        <f>COUNTIFS('DRAFT 2'!$D:$D,$B82,'DRAFT 2'!$A:$A,"&gt;="&amp;DATE(2026,9,8),'DRAFT 2'!$A:$A,"&lt;="&amp;DATE(2026,9,14))</f>
        <v>0</v>
      </c>
      <c r="HA82">
        <f>COUNTIFS('DRAFT 2'!$D:$D,$B82,'DRAFT 2'!$A:$A,"&gt;="&amp;DATE(2026,9,15),'DRAFT 2'!$A:$A,"&lt;="&amp;DATE(2026,9,21))</f>
        <v>0</v>
      </c>
      <c r="HB82">
        <f>COUNTIFS('DRAFT 2'!$D:$D,$B82,'DRAFT 2'!$A:$A,"&gt;="&amp;DATE(2026,9,22),'DRAFT 2'!$A:$A,"&lt;"&amp;DATE(2026,IF(9=12,9+1,9+1),1))</f>
        <v>0</v>
      </c>
      <c r="HC82">
        <f t="shared" si="38"/>
        <v>0</v>
      </c>
      <c r="HN82">
        <f>IFERROR(LOOKUP(2,1/('DRAFT 2'!$D:$D=$B82)*('DRAFT 2'!$A:$A&gt;=DATE(2026,10,1))*('DRAFT 2'!$A:$A&lt;DATE(2026,IF(10=12,10+1,10+1),1)),'DRAFT 2'!$A:$A),"")</f>
        <v>0</v>
      </c>
      <c r="HO82">
        <f>COUNTIFS('DRAFT 2'!$D:$D,$B82,'DRAFT 2'!$A:$A,"&gt;="&amp;DATE(2026,10,1),'DRAFT 2'!$A:$A,"&lt;="&amp;DATE(2026,10,7))</f>
        <v>0</v>
      </c>
      <c r="HP82">
        <f>COUNTIFS('DRAFT 2'!$D:$D,$B82,'DRAFT 2'!$A:$A,"&gt;="&amp;DATE(2026,10,8),'DRAFT 2'!$A:$A,"&lt;="&amp;DATE(2026,10,14))</f>
        <v>0</v>
      </c>
      <c r="HQ82">
        <f>COUNTIFS('DRAFT 2'!$D:$D,$B82,'DRAFT 2'!$A:$A,"&gt;="&amp;DATE(2026,10,15),'DRAFT 2'!$A:$A,"&lt;="&amp;DATE(2026,10,21))</f>
        <v>0</v>
      </c>
      <c r="HR82">
        <f>COUNTIFS('DRAFT 2'!$D:$D,$B82,'DRAFT 2'!$A:$A,"&gt;="&amp;DATE(2026,10,22),'DRAFT 2'!$A:$A,"&lt;"&amp;DATE(2026,IF(10=12,10+1,10+1),1))</f>
        <v>0</v>
      </c>
      <c r="HS82">
        <f t="shared" si="39"/>
        <v>0</v>
      </c>
      <c r="IC82">
        <f>IFERROR(LOOKUP(2,1/('DRAFT 2'!$D:$D=$B82)*('DRAFT 2'!$A:$A&gt;=DATE(2026,11,1))*('DRAFT 2'!$A:$A&lt;DATE(2026,IF(11=12,11+1,11+1),1)),'DRAFT 2'!$A:$A),"")</f>
        <v>0</v>
      </c>
      <c r="ID82">
        <f>COUNTIFS('DRAFT 2'!$D:$D,$B82,'DRAFT 2'!$A:$A,"&gt;="&amp;DATE(2026,11,1),'DRAFT 2'!$A:$A,"&lt;="&amp;DATE(2026,11,7))</f>
        <v>0</v>
      </c>
      <c r="IE82">
        <f>COUNTIFS('DRAFT 2'!$D:$D,$B82,'DRAFT 2'!$A:$A,"&gt;="&amp;DATE(2026,11,8),'DRAFT 2'!$A:$A,"&lt;="&amp;DATE(2026,11,14))</f>
        <v>0</v>
      </c>
      <c r="IF82">
        <f>COUNTIFS('DRAFT 2'!$D:$D,$B82,'DRAFT 2'!$A:$A,"&gt;="&amp;DATE(2026,11,15),'DRAFT 2'!$A:$A,"&lt;="&amp;DATE(2026,11,21))</f>
        <v>0</v>
      </c>
      <c r="IG82">
        <f>COUNTIFS('DRAFT 2'!$D:$D,$B82,'DRAFT 2'!$A:$A,"&gt;="&amp;DATE(2026,11,22),'DRAFT 2'!$A:$A,"&lt;"&amp;DATE(2026,IF(11=12,11+1,11+1),1))</f>
        <v>0</v>
      </c>
      <c r="IH82">
        <f t="shared" si="40"/>
        <v>0</v>
      </c>
      <c r="IR82">
        <f>IFERROR(LOOKUP(2,1/('DRAFT 2'!$D:$D=$B82)*('DRAFT 2'!$A:$A&gt;=DATE(2026,12,1))*('DRAFT 2'!$A:$A&lt;DATE(2026,IF(12=12,12+1,12+1),1)),'DRAFT 2'!$A:$A),"")</f>
        <v>0</v>
      </c>
      <c r="IS82">
        <f>COUNTIFS('DRAFT 2'!$D:$D,$B82,'DRAFT 2'!$A:$A,"&gt;="&amp;DATE(2026,12,1),'DRAFT 2'!$A:$A,"&lt;="&amp;DATE(2026,12,7))</f>
        <v>0</v>
      </c>
      <c r="IT82">
        <f>COUNTIFS('DRAFT 2'!$D:$D,$B82,'DRAFT 2'!$A:$A,"&gt;="&amp;DATE(2026,12,8),'DRAFT 2'!$A:$A,"&lt;="&amp;DATE(2026,12,14))</f>
        <v>0</v>
      </c>
      <c r="IU82">
        <f>COUNTIFS('DRAFT 2'!$D:$D,$B82,'DRAFT 2'!$A:$A,"&gt;="&amp;DATE(2026,12,15),'DRAFT 2'!$A:$A,"&lt;="&amp;DATE(2026,12,21))</f>
        <v>0</v>
      </c>
      <c r="IV82">
        <f>COUNTIFS('DRAFT 2'!$D:$D,$B82,'DRAFT 2'!$A:$A,"&gt;="&amp;DATE(2026,12,22),'DRAFT 2'!$A:$A,"&lt;"&amp;DATE(2026,IF(12=12,12+1,12+1),1))</f>
        <v>0</v>
      </c>
      <c r="IW82">
        <f t="shared" si="41"/>
        <v>0</v>
      </c>
    </row>
    <row r="83" spans="1:257" x14ac:dyDescent="0.3">
      <c r="A83" t="str">
        <f>IFERROR(INDEX('DRAFT 1'!$A:$A,MATCH($B83,'DRAFT 1'!$B:$B,0)),"")</f>
        <v/>
      </c>
      <c r="C83" t="str">
        <f>IFERROR(INDEX('DRAFT 1'!$C:$C,MATCH($B83,'DRAFT 1'!$B:$B,0)),"")</f>
        <v/>
      </c>
      <c r="D83" t="str">
        <f>IFERROR(INDEX('DRAFT 1'!$D:$D,MATCH($B83,'DRAFT 1'!$B:$B,0)),"")</f>
        <v/>
      </c>
      <c r="E83" t="str">
        <f>IFERROR(INDEX('DRAFT 1'!$E:$E,MATCH($B83,'DRAFT 1'!$B:$B,0)),"")</f>
        <v/>
      </c>
      <c r="F83" t="str">
        <f>IFERROR(INDEX('DRAFT 1'!$F:$F,MATCH($B83,'DRAFT 1'!$B:$B,0)),"")</f>
        <v/>
      </c>
      <c r="G83" t="str">
        <f>IFERROR(INDEX('DRAFT 1'!$G:$G,MATCH($B83,'DRAFT 1'!$B:$B,0)),"")</f>
        <v/>
      </c>
      <c r="H83" t="str">
        <f>IFERROR(INDEX('DRAFT 1'!$H:$H,MATCH($B83,'DRAFT 1'!$B:$B,0)),"")</f>
        <v/>
      </c>
      <c r="I83" t="s">
        <v>286</v>
      </c>
      <c r="K83" t="str">
        <f>IFERROR(INDEX('DRAFT 1'!$AL:$AL,MATCH($B83,'DRAFT 1'!$B:$B,0)),"")</f>
        <v/>
      </c>
      <c r="L83" t="str">
        <f>IFERROR(INDEX('DRAFT 1'!$J:$J,MATCH($B83,'DRAFT 1'!$B:$B,0)),"")</f>
        <v/>
      </c>
      <c r="M83" t="str">
        <f>IFERROR(INDEX('DRAFT 1'!$K:$K,MATCH($B83,'DRAFT 1'!$B:$B,0)),"")</f>
        <v/>
      </c>
      <c r="N83" t="s">
        <v>79</v>
      </c>
      <c r="P83" t="str">
        <f>IFERROR(INDEX('DRAFT 1'!$L:$L,MATCH($B83,'DRAFT 1'!$B:$B,0)),"")</f>
        <v/>
      </c>
      <c r="Q83" t="str">
        <f>IFERROR(INDEX('DRAFT 1'!$M:$M,MATCH($B83,'DRAFT 1'!$B:$B,0)),"")</f>
        <v/>
      </c>
      <c r="R83" t="str">
        <f>IFERROR(INDEX('DRAFT 1'!$N:$N,MATCH($B83,'DRAFT 1'!$B:$B,0)),"")</f>
        <v/>
      </c>
      <c r="S83" t="str">
        <f>IFERROR(INDEX('DRAFT 1'!$O:$O,MATCH($B83,'DRAFT 1'!$B:$B,0)),"")</f>
        <v/>
      </c>
      <c r="T83" t="str">
        <f>IFERROR(INDEX('DRAFT 1'!$P:$P,MATCH($B83,'DRAFT 1'!$B:$B,0)),"")</f>
        <v/>
      </c>
      <c r="U83" t="str">
        <f>IFERROR(INDEX('DRAFT 1'!$Q:$Q,MATCH($B83,'DRAFT 1'!$B:$B,0)),"")</f>
        <v/>
      </c>
      <c r="V83" t="str">
        <f>IFERROR(INDEX('DRAFT 1'!$R:$R,MATCH($B83,'DRAFT 1'!$B:$B,0)),"")</f>
        <v/>
      </c>
      <c r="W83" t="str">
        <f>IFERROR(INDEX('DRAFT 1'!$S:$S,MATCH($B83,'DRAFT 1'!$B:$B,0)),"")</f>
        <v/>
      </c>
      <c r="X83" t="str">
        <f>IFERROR(INDEX('DRAFT 1'!$T:$T,MATCH($B83,'DRAFT 1'!$B:$B,0)),"")</f>
        <v/>
      </c>
      <c r="Z83" t="str">
        <f>IFERROR(INDEX('DRAFT 1'!$U:$U,MATCH($B83,'DRAFT 1'!$B:$B,0)),"")</f>
        <v/>
      </c>
      <c r="AA83" t="str">
        <f>IFERROR(INDEX('DRAFT 1'!$V:$V,MATCH($B83,'DRAFT 1'!$B:$B,0)),"")</f>
        <v/>
      </c>
      <c r="AB83" t="str">
        <f>IFERROR(INDEX('DRAFT 1'!$W:$W,MATCH($B83,'DRAFT 1'!$B:$B,0)),"")</f>
        <v/>
      </c>
      <c r="AC83" t="str">
        <f>IFERROR(INDEX('DRAFT 1'!$X:$X,MATCH($B83,'DRAFT 1'!$B:$B,0)),"")</f>
        <v/>
      </c>
      <c r="AD83" t="str">
        <f>IFERROR(INDEX('DRAFT 1'!$Y:$Y,MATCH($B83,'DRAFT 1'!$B:$B,0)),"")</f>
        <v/>
      </c>
      <c r="AE83" t="str">
        <f>IFERROR(INDEX('DRAFT 1'!$Z:$Z,MATCH($B83,'DRAFT 1'!$B:$B,0)),"")</f>
        <v/>
      </c>
      <c r="AF83" t="str">
        <f>IFERROR(INDEX('DRAFT 1'!$AA:$AA,MATCH($B83,'DRAFT 1'!$B:$B,0)),"")</f>
        <v/>
      </c>
      <c r="AG83" t="str">
        <f>IFERROR(INDEX('DRAFT 1'!$AB:$AB,MATCH($B83,'DRAFT 1'!$B:$B,0)),"")</f>
        <v/>
      </c>
      <c r="AH83" t="str">
        <f>IFERROR(INDEX('DRAFT 1'!$AC:$AC,MATCH($B83,'DRAFT 1'!$B:$B,0)),"")</f>
        <v/>
      </c>
      <c r="AI83" t="str">
        <f>IFERROR(INDEX('DRAFT 1'!$AD:$AD,MATCH($B83,'DRAFT 1'!$B:$B,0)),"")</f>
        <v/>
      </c>
      <c r="AJ83" t="str">
        <f>IFERROR(INDEX('DRAFT 1'!$AE:$AE,MATCH($B83,'DRAFT 1'!$B:$B,0)),"")</f>
        <v/>
      </c>
      <c r="AK83" t="str">
        <f>IFERROR(INDEX('DRAFT 1'!$AG:$AG,MATCH($B83,'DRAFT 1'!$B:$B,0)),"")</f>
        <v/>
      </c>
      <c r="AL83" t="str">
        <f>IFERROR(INDEX('DRAFT 1'!$AH:$AH,MATCH($B83,'DRAFT 1'!$B:$B,0)),"")</f>
        <v/>
      </c>
      <c r="AM83" t="str">
        <f>IFERROR(INDEX('DRAFT 1'!$AI:$AI,MATCH($B83,'DRAFT 1'!$B:$B,0)),"")</f>
        <v/>
      </c>
      <c r="AN83" t="str">
        <f>IFERROR(INDEX('DRAFT 1'!$AJ:$AJ,MATCH($B83,'DRAFT 1'!$B:$B,0)),"")</f>
        <v/>
      </c>
      <c r="AO83">
        <f t="shared" si="28"/>
        <v>0</v>
      </c>
      <c r="AP83" t="str">
        <f>IFERROR(INDEX('DRAFT 1'!$AK:$AK,MATCH($B83,'DRAFT 1'!$B:$B,0)),"")</f>
        <v/>
      </c>
      <c r="AR83" t="s">
        <v>93</v>
      </c>
      <c r="AS83">
        <f>IFERROR(LOOKUP(2,1/('DRAFT 2'!$D:$D=$B83),'DRAFT 2'!$T:$T),"")</f>
        <v>0</v>
      </c>
      <c r="AT83">
        <f>IFERROR(LOOKUP(2,1/('DRAFT 2'!$D:$D=$B83),'DRAFT 2'!$A:$A),"")</f>
        <v>0</v>
      </c>
      <c r="AU83">
        <f>IFERROR(LOOKUP(2,1/('DRAFT 2'!$D:$D=$B83),'DRAFT 2'!$R:$R),"")</f>
        <v>0</v>
      </c>
      <c r="AV83">
        <f>IFERROR(LOOKUP(2,1/('DRAFT 2'!$D:$D=$B83),'DRAFT 2'!$S:$S),"")</f>
        <v>0</v>
      </c>
      <c r="AW83" t="s">
        <v>85</v>
      </c>
      <c r="AX83">
        <f>IFERROR(LOOKUP(2,1/('DRAFT 2'!$D:$D=$B83),'DRAFT 2'!$M:$M),"")</f>
        <v>0</v>
      </c>
      <c r="AY83">
        <f>IFERROR(LOOKUP(2,1/('DRAFT 2'!$D:$D=$B83),'DRAFT 2'!$K:$K),"")</f>
        <v>0</v>
      </c>
      <c r="BG83">
        <f>IFERROR(LOOKUP(2,1/('DRAFT 2'!$D:$D=$B83),'DRAFT 2'!$U:$U),"")</f>
        <v>0</v>
      </c>
      <c r="BH83">
        <f>IFERROR(LOOKUP(2,1/('DRAFT 2'!$D:$D=$B83),'DRAFT 2'!$V:$V),"")</f>
        <v>0</v>
      </c>
      <c r="CE83" t="str">
        <f t="shared" si="29"/>
        <v/>
      </c>
      <c r="CF83">
        <f>IFERROR(LOOKUP(2,1/('DRAFT 2'!$D:$D=$B83)*('DRAFT 2'!$A:$A&gt;=DATE(2026,1,1))*('DRAFT 2'!$A:$A&lt;DATE(2026,IF(1=12,1+1,1+1),1)),'DRAFT 2'!$A:$A),"")</f>
        <v>0</v>
      </c>
      <c r="CG83">
        <f>COUNTIFS('DRAFT 2'!$D:$D,$B83,'DRAFT 2'!$A:$A,"&gt;="&amp;DATE(2026,1,1),'DRAFT 2'!$A:$A,"&lt;="&amp;DATE(2026,1,7))</f>
        <v>0</v>
      </c>
      <c r="CH83">
        <f>COUNTIFS('DRAFT 2'!$D:$D,$B83,'DRAFT 2'!$A:$A,"&gt;="&amp;DATE(2026,1,8),'DRAFT 2'!$A:$A,"&lt;="&amp;DATE(2026,1,14))</f>
        <v>0</v>
      </c>
      <c r="CI83">
        <f>COUNTIFS('DRAFT 2'!$D:$D,$B83,'DRAFT 2'!$A:$A,"&gt;="&amp;DATE(2026,1,15),'DRAFT 2'!$A:$A,"&lt;="&amp;DATE(2026,1,21))</f>
        <v>0</v>
      </c>
      <c r="CJ83">
        <f>COUNTIFS('DRAFT 2'!$D:$D,$B83,'DRAFT 2'!$A:$A,"&gt;="&amp;DATE(2026,1,22),'DRAFT 2'!$A:$A,"&lt;"&amp;DATE(2026,IF(1=12,1+1,1+1),1))</f>
        <v>0</v>
      </c>
      <c r="CK83">
        <f t="shared" si="30"/>
        <v>0</v>
      </c>
      <c r="CT83">
        <v>0</v>
      </c>
      <c r="CU83">
        <f>IFERROR(LOOKUP(2,1/('DRAFT 2'!$D:$D=$B83)*('DRAFT 2'!$A:$A&gt;=DATE(2026,2,1))*('DRAFT 2'!$A:$A&lt;DATE(2026,IF(2=12,2+1,2+1),1)),'DRAFT 2'!$A:$A),"")</f>
        <v>0</v>
      </c>
      <c r="CV83">
        <f>COUNTIFS('DRAFT 2'!$D:$D,$B83,'DRAFT 2'!$A:$A,"&gt;="&amp;DATE(2026,2,1),'DRAFT 2'!$A:$A,"&lt;="&amp;DATE(2026,2,7))</f>
        <v>0</v>
      </c>
      <c r="CW83">
        <f>COUNTIFS('DRAFT 2'!$D:$D,$B83,'DRAFT 2'!$A:$A,"&gt;="&amp;DATE(2026,2,8),'DRAFT 2'!$A:$A,"&lt;="&amp;DATE(2026,2,14))</f>
        <v>0</v>
      </c>
      <c r="CX83">
        <f>COUNTIFS('DRAFT 2'!$D:$D,$B83,'DRAFT 2'!$A:$A,"&gt;="&amp;DATE(2026,2,15),'DRAFT 2'!$A:$A,"&lt;="&amp;DATE(2026,2,21))</f>
        <v>0</v>
      </c>
      <c r="CY83">
        <f>COUNTIFS('DRAFT 2'!$D:$D,$B83,'DRAFT 2'!$A:$A,"&gt;="&amp;DATE(2026,2,22),'DRAFT 2'!$A:$A,"&lt;"&amp;DATE(2026,IF(2=12,2+1,2+1),1))</f>
        <v>0</v>
      </c>
      <c r="CZ83">
        <f t="shared" si="31"/>
        <v>0</v>
      </c>
      <c r="DJ83">
        <f>IFERROR(LOOKUP(2,1/('DRAFT 2'!$D:$D=$B83)*('DRAFT 2'!$A:$A&gt;=DATE(2026,3,1))*('DRAFT 2'!$A:$A&lt;DATE(2026,IF(3=12,3+1,3+1),1)),'DRAFT 2'!$A:$A),"")</f>
        <v>0</v>
      </c>
      <c r="DK83">
        <f>COUNTIFS('DRAFT 2'!$D:$D,$B83,'DRAFT 2'!$A:$A,"&gt;="&amp;DATE(2026,3,1),'DRAFT 2'!$A:$A,"&lt;="&amp;DATE(2026,3,7))</f>
        <v>0</v>
      </c>
      <c r="DL83">
        <f>COUNTIFS('DRAFT 2'!$D:$D,$B83,'DRAFT 2'!$A:$A,"&gt;="&amp;DATE(2026,3,8),'DRAFT 2'!$A:$A,"&lt;="&amp;DATE(2026,3,14))</f>
        <v>0</v>
      </c>
      <c r="DM83">
        <f>COUNTIFS('DRAFT 2'!$D:$D,$B83,'DRAFT 2'!$A:$A,"&gt;="&amp;DATE(2026,3,15),'DRAFT 2'!$A:$A,"&lt;="&amp;DATE(2026,3,21))</f>
        <v>0</v>
      </c>
      <c r="DN83">
        <f>COUNTIFS('DRAFT 2'!$D:$D,$B83,'DRAFT 2'!$A:$A,"&gt;="&amp;DATE(2026,3,22),'DRAFT 2'!$A:$A,"&lt;"&amp;DATE(2026,IF(3=12,3+1,3+1),1))</f>
        <v>0</v>
      </c>
      <c r="DO83">
        <f t="shared" si="32"/>
        <v>0</v>
      </c>
      <c r="DZ83">
        <f>IFERROR(LOOKUP(2,1/('DRAFT 2'!$D:$D=$B83)*('DRAFT 2'!$A:$A&gt;=DATE(2026,4,1))*('DRAFT 2'!$A:$A&lt;DATE(2026,IF(4=12,4+1,4+1),1)),'DRAFT 2'!$A:$A),"")</f>
        <v>0</v>
      </c>
      <c r="EA83">
        <f>COUNTIFS('DRAFT 2'!$D:$D,$B83,'DRAFT 2'!$A:$A,"&gt;="&amp;DATE(2026,4,1),'DRAFT 2'!$A:$A,"&lt;="&amp;DATE(2026,4,7))</f>
        <v>0</v>
      </c>
      <c r="EB83">
        <f>COUNTIFS('DRAFT 2'!$D:$D,$B83,'DRAFT 2'!$A:$A,"&gt;="&amp;DATE(2026,4,8),'DRAFT 2'!$A:$A,"&lt;="&amp;DATE(2026,4,14))</f>
        <v>0</v>
      </c>
      <c r="EC83">
        <f>COUNTIFS('DRAFT 2'!$D:$D,$B83,'DRAFT 2'!$A:$A,"&gt;="&amp;DATE(2026,4,15),'DRAFT 2'!$A:$A,"&lt;="&amp;DATE(2026,4,21))</f>
        <v>0</v>
      </c>
      <c r="ED83">
        <f>COUNTIFS('DRAFT 2'!$D:$D,$B83,'DRAFT 2'!$A:$A,"&gt;="&amp;DATE(2026,4,22),'DRAFT 2'!$A:$A,"&lt;"&amp;DATE(2026,IF(4=12,4+1,4+1),1))</f>
        <v>0</v>
      </c>
      <c r="EE83">
        <f t="shared" si="33"/>
        <v>0</v>
      </c>
      <c r="EO83">
        <f>IFERROR(LOOKUP(2,1/('DRAFT 2'!$D:$D=$B83)*('DRAFT 2'!$A:$A&gt;=DATE(2026,5,1))*('DRAFT 2'!$A:$A&lt;DATE(2026,IF(5=12,5+1,5+1),1)),'DRAFT 2'!$A:$A),"")</f>
        <v>0</v>
      </c>
      <c r="EP83">
        <f>COUNTIFS('DRAFT 2'!$D:$D,$B83,'DRAFT 2'!$A:$A,"&gt;="&amp;DATE(2026,5,1),'DRAFT 2'!$A:$A,"&lt;="&amp;DATE(2026,5,7))</f>
        <v>0</v>
      </c>
      <c r="EQ83">
        <f>COUNTIFS('DRAFT 2'!$D:$D,$B83,'DRAFT 2'!$A:$A,"&gt;="&amp;DATE(2026,5,8),'DRAFT 2'!$A:$A,"&lt;="&amp;DATE(2026,5,14))</f>
        <v>0</v>
      </c>
      <c r="ER83">
        <f>COUNTIFS('DRAFT 2'!$D:$D,$B83,'DRAFT 2'!$A:$A,"&gt;="&amp;DATE(2026,5,15),'DRAFT 2'!$A:$A,"&lt;="&amp;DATE(2026,5,21))</f>
        <v>0</v>
      </c>
      <c r="ES83">
        <f>COUNTIFS('DRAFT 2'!$D:$D,$B83,'DRAFT 2'!$A:$A,"&gt;="&amp;DATE(2026,5,22),'DRAFT 2'!$A:$A,"&lt;"&amp;DATE(2026,IF(5=12,5+1,5+1),1))</f>
        <v>0</v>
      </c>
      <c r="ET83">
        <f t="shared" si="34"/>
        <v>0</v>
      </c>
      <c r="FD83">
        <f>IFERROR(LOOKUP(2,1/('DRAFT 2'!$D:$D=$B83)*('DRAFT 2'!$A:$A&gt;=DATE(2026,6,1))*('DRAFT 2'!$A:$A&lt;DATE(2026,IF(6=12,6+1,6+1),1)),'DRAFT 2'!$A:$A),"")</f>
        <v>0</v>
      </c>
      <c r="FE83">
        <f>COUNTIFS('DRAFT 2'!$D:$D,$B83,'DRAFT 2'!$A:$A,"&gt;="&amp;DATE(2026,6,1),'DRAFT 2'!$A:$A,"&lt;="&amp;DATE(2026,6,7))</f>
        <v>0</v>
      </c>
      <c r="FF83">
        <f>COUNTIFS('DRAFT 2'!$D:$D,$B83,'DRAFT 2'!$A:$A,"&gt;="&amp;DATE(2026,6,8),'DRAFT 2'!$A:$A,"&lt;="&amp;DATE(2026,6,14))</f>
        <v>0</v>
      </c>
      <c r="FG83">
        <f>COUNTIFS('DRAFT 2'!$D:$D,$B83,'DRAFT 2'!$A:$A,"&gt;="&amp;DATE(2026,6,15),'DRAFT 2'!$A:$A,"&lt;="&amp;DATE(2026,6,21))</f>
        <v>0</v>
      </c>
      <c r="FH83">
        <f>COUNTIFS('DRAFT 2'!$D:$D,$B83,'DRAFT 2'!$A:$A,"&gt;="&amp;DATE(2026,6,22),'DRAFT 2'!$A:$A,"&lt;"&amp;DATE(2026,IF(6=12,6+1,6+1),1))</f>
        <v>0</v>
      </c>
      <c r="FI83">
        <f t="shared" si="35"/>
        <v>0</v>
      </c>
      <c r="FT83">
        <f>IFERROR(LOOKUP(2,1/('DRAFT 2'!$D:$D=$B83)*('DRAFT 2'!$A:$A&gt;=DATE(2026,7,1))*('DRAFT 2'!$A:$A&lt;DATE(2026,IF(7=12,7+1,7+1),1)),'DRAFT 2'!$A:$A),"")</f>
        <v>0</v>
      </c>
      <c r="FU83">
        <f>COUNTIFS('DRAFT 2'!$D:$D,$B83,'DRAFT 2'!$A:$A,"&gt;="&amp;DATE(2026,7,1),'DRAFT 2'!$A:$A,"&lt;="&amp;DATE(2026,7,7))</f>
        <v>0</v>
      </c>
      <c r="FV83">
        <f>COUNTIFS('DRAFT 2'!$D:$D,$B83,'DRAFT 2'!$A:$A,"&gt;="&amp;DATE(2026,7,8),'DRAFT 2'!$A:$A,"&lt;="&amp;DATE(2026,7,14))</f>
        <v>0</v>
      </c>
      <c r="FW83">
        <f>COUNTIFS('DRAFT 2'!$D:$D,$B83,'DRAFT 2'!$A:$A,"&gt;="&amp;DATE(2026,7,15),'DRAFT 2'!$A:$A,"&lt;="&amp;DATE(2026,7,21))</f>
        <v>0</v>
      </c>
      <c r="FX83">
        <f>COUNTIFS('DRAFT 2'!$D:$D,$B83,'DRAFT 2'!$A:$A,"&gt;="&amp;DATE(2026,7,22),'DRAFT 2'!$A:$A,"&lt;"&amp;DATE(2026,IF(7=12,7+1,7+1),1))</f>
        <v>0</v>
      </c>
      <c r="FY83">
        <f t="shared" si="36"/>
        <v>0</v>
      </c>
      <c r="GI83">
        <f>IFERROR(LOOKUP(2,1/('DRAFT 2'!$D:$D=$B83)*('DRAFT 2'!$A:$A&gt;=DATE(2026,8,1))*('DRAFT 2'!$A:$A&lt;DATE(2026,IF(8=12,8+1,8+1),1)),'DRAFT 2'!$A:$A),"")</f>
        <v>0</v>
      </c>
      <c r="GJ83">
        <f>COUNTIFS('DRAFT 2'!$D:$D,$B83,'DRAFT 2'!$A:$A,"&gt;="&amp;DATE(2026,8,1),'DRAFT 2'!$A:$A,"&lt;="&amp;DATE(2026,8,7))</f>
        <v>0</v>
      </c>
      <c r="GK83">
        <f>COUNTIFS('DRAFT 2'!$D:$D,$B83,'DRAFT 2'!$A:$A,"&gt;="&amp;DATE(2026,8,8),'DRAFT 2'!$A:$A,"&lt;="&amp;DATE(2026,8,14))</f>
        <v>0</v>
      </c>
      <c r="GL83">
        <f>COUNTIFS('DRAFT 2'!$D:$D,$B83,'DRAFT 2'!$A:$A,"&gt;="&amp;DATE(2026,8,15),'DRAFT 2'!$A:$A,"&lt;="&amp;DATE(2026,8,21))</f>
        <v>0</v>
      </c>
      <c r="GM83">
        <f>COUNTIFS('DRAFT 2'!$D:$D,$B83,'DRAFT 2'!$A:$A,"&gt;="&amp;DATE(2026,8,22),'DRAFT 2'!$A:$A,"&lt;"&amp;DATE(2026,IF(8=12,8+1,8+1),1))</f>
        <v>0</v>
      </c>
      <c r="GN83">
        <f t="shared" si="37"/>
        <v>0</v>
      </c>
      <c r="GX83">
        <f>IFERROR(LOOKUP(2,1/('DRAFT 2'!$D:$D=$B83)*('DRAFT 2'!$A:$A&gt;=DATE(2026,9,1))*('DRAFT 2'!$A:$A&lt;DATE(2026,IF(9=12,9+1,9+1),1)),'DRAFT 2'!$A:$A),"")</f>
        <v>0</v>
      </c>
      <c r="GY83">
        <f>COUNTIFS('DRAFT 2'!$D:$D,$B83,'DRAFT 2'!$A:$A,"&gt;="&amp;DATE(2026,9,1),'DRAFT 2'!$A:$A,"&lt;="&amp;DATE(2026,9,7))</f>
        <v>0</v>
      </c>
      <c r="GZ83">
        <f>COUNTIFS('DRAFT 2'!$D:$D,$B83,'DRAFT 2'!$A:$A,"&gt;="&amp;DATE(2026,9,8),'DRAFT 2'!$A:$A,"&lt;="&amp;DATE(2026,9,14))</f>
        <v>0</v>
      </c>
      <c r="HA83">
        <f>COUNTIFS('DRAFT 2'!$D:$D,$B83,'DRAFT 2'!$A:$A,"&gt;="&amp;DATE(2026,9,15),'DRAFT 2'!$A:$A,"&lt;="&amp;DATE(2026,9,21))</f>
        <v>0</v>
      </c>
      <c r="HB83">
        <f>COUNTIFS('DRAFT 2'!$D:$D,$B83,'DRAFT 2'!$A:$A,"&gt;="&amp;DATE(2026,9,22),'DRAFT 2'!$A:$A,"&lt;"&amp;DATE(2026,IF(9=12,9+1,9+1),1))</f>
        <v>0</v>
      </c>
      <c r="HC83">
        <f t="shared" si="38"/>
        <v>0</v>
      </c>
      <c r="HN83">
        <f>IFERROR(LOOKUP(2,1/('DRAFT 2'!$D:$D=$B83)*('DRAFT 2'!$A:$A&gt;=DATE(2026,10,1))*('DRAFT 2'!$A:$A&lt;DATE(2026,IF(10=12,10+1,10+1),1)),'DRAFT 2'!$A:$A),"")</f>
        <v>0</v>
      </c>
      <c r="HO83">
        <f>COUNTIFS('DRAFT 2'!$D:$D,$B83,'DRAFT 2'!$A:$A,"&gt;="&amp;DATE(2026,10,1),'DRAFT 2'!$A:$A,"&lt;="&amp;DATE(2026,10,7))</f>
        <v>0</v>
      </c>
      <c r="HP83">
        <f>COUNTIFS('DRAFT 2'!$D:$D,$B83,'DRAFT 2'!$A:$A,"&gt;="&amp;DATE(2026,10,8),'DRAFT 2'!$A:$A,"&lt;="&amp;DATE(2026,10,14))</f>
        <v>0</v>
      </c>
      <c r="HQ83">
        <f>COUNTIFS('DRAFT 2'!$D:$D,$B83,'DRAFT 2'!$A:$A,"&gt;="&amp;DATE(2026,10,15),'DRAFT 2'!$A:$A,"&lt;="&amp;DATE(2026,10,21))</f>
        <v>0</v>
      </c>
      <c r="HR83">
        <f>COUNTIFS('DRAFT 2'!$D:$D,$B83,'DRAFT 2'!$A:$A,"&gt;="&amp;DATE(2026,10,22),'DRAFT 2'!$A:$A,"&lt;"&amp;DATE(2026,IF(10=12,10+1,10+1),1))</f>
        <v>0</v>
      </c>
      <c r="HS83">
        <f t="shared" si="39"/>
        <v>0</v>
      </c>
      <c r="IC83">
        <f>IFERROR(LOOKUP(2,1/('DRAFT 2'!$D:$D=$B83)*('DRAFT 2'!$A:$A&gt;=DATE(2026,11,1))*('DRAFT 2'!$A:$A&lt;DATE(2026,IF(11=12,11+1,11+1),1)),'DRAFT 2'!$A:$A),"")</f>
        <v>0</v>
      </c>
      <c r="ID83">
        <f>COUNTIFS('DRAFT 2'!$D:$D,$B83,'DRAFT 2'!$A:$A,"&gt;="&amp;DATE(2026,11,1),'DRAFT 2'!$A:$A,"&lt;="&amp;DATE(2026,11,7))</f>
        <v>0</v>
      </c>
      <c r="IE83">
        <f>COUNTIFS('DRAFT 2'!$D:$D,$B83,'DRAFT 2'!$A:$A,"&gt;="&amp;DATE(2026,11,8),'DRAFT 2'!$A:$A,"&lt;="&amp;DATE(2026,11,14))</f>
        <v>0</v>
      </c>
      <c r="IF83">
        <f>COUNTIFS('DRAFT 2'!$D:$D,$B83,'DRAFT 2'!$A:$A,"&gt;="&amp;DATE(2026,11,15),'DRAFT 2'!$A:$A,"&lt;="&amp;DATE(2026,11,21))</f>
        <v>0</v>
      </c>
      <c r="IG83">
        <f>COUNTIFS('DRAFT 2'!$D:$D,$B83,'DRAFT 2'!$A:$A,"&gt;="&amp;DATE(2026,11,22),'DRAFT 2'!$A:$A,"&lt;"&amp;DATE(2026,IF(11=12,11+1,11+1),1))</f>
        <v>0</v>
      </c>
      <c r="IH83">
        <f t="shared" si="40"/>
        <v>0</v>
      </c>
      <c r="IR83">
        <f>IFERROR(LOOKUP(2,1/('DRAFT 2'!$D:$D=$B83)*('DRAFT 2'!$A:$A&gt;=DATE(2026,12,1))*('DRAFT 2'!$A:$A&lt;DATE(2026,IF(12=12,12+1,12+1),1)),'DRAFT 2'!$A:$A),"")</f>
        <v>0</v>
      </c>
      <c r="IS83">
        <f>COUNTIFS('DRAFT 2'!$D:$D,$B83,'DRAFT 2'!$A:$A,"&gt;="&amp;DATE(2026,12,1),'DRAFT 2'!$A:$A,"&lt;="&amp;DATE(2026,12,7))</f>
        <v>0</v>
      </c>
      <c r="IT83">
        <f>COUNTIFS('DRAFT 2'!$D:$D,$B83,'DRAFT 2'!$A:$A,"&gt;="&amp;DATE(2026,12,8),'DRAFT 2'!$A:$A,"&lt;="&amp;DATE(2026,12,14))</f>
        <v>0</v>
      </c>
      <c r="IU83">
        <f>COUNTIFS('DRAFT 2'!$D:$D,$B83,'DRAFT 2'!$A:$A,"&gt;="&amp;DATE(2026,12,15),'DRAFT 2'!$A:$A,"&lt;="&amp;DATE(2026,12,21))</f>
        <v>0</v>
      </c>
      <c r="IV83">
        <f>COUNTIFS('DRAFT 2'!$D:$D,$B83,'DRAFT 2'!$A:$A,"&gt;="&amp;DATE(2026,12,22),'DRAFT 2'!$A:$A,"&lt;"&amp;DATE(2026,IF(12=12,12+1,12+1),1))</f>
        <v>0</v>
      </c>
      <c r="IW83">
        <f t="shared" si="41"/>
        <v>0</v>
      </c>
    </row>
    <row r="84" spans="1:257" x14ac:dyDescent="0.3">
      <c r="A84" t="str">
        <f>IFERROR(INDEX('DRAFT 1'!$A:$A,MATCH($B84,'DRAFT 1'!$B:$B,0)),"")</f>
        <v/>
      </c>
      <c r="C84" t="str">
        <f>IFERROR(INDEX('DRAFT 1'!$C:$C,MATCH($B84,'DRAFT 1'!$B:$B,0)),"")</f>
        <v/>
      </c>
      <c r="D84" t="str">
        <f>IFERROR(INDEX('DRAFT 1'!$D:$D,MATCH($B84,'DRAFT 1'!$B:$B,0)),"")</f>
        <v/>
      </c>
      <c r="E84" t="str">
        <f>IFERROR(INDEX('DRAFT 1'!$E:$E,MATCH($B84,'DRAFT 1'!$B:$B,0)),"")</f>
        <v/>
      </c>
      <c r="F84" t="str">
        <f>IFERROR(INDEX('DRAFT 1'!$F:$F,MATCH($B84,'DRAFT 1'!$B:$B,0)),"")</f>
        <v/>
      </c>
      <c r="G84" t="str">
        <f>IFERROR(INDEX('DRAFT 1'!$G:$G,MATCH($B84,'DRAFT 1'!$B:$B,0)),"")</f>
        <v/>
      </c>
      <c r="H84" t="str">
        <f>IFERROR(INDEX('DRAFT 1'!$H:$H,MATCH($B84,'DRAFT 1'!$B:$B,0)),"")</f>
        <v/>
      </c>
      <c r="I84" t="s">
        <v>292</v>
      </c>
      <c r="K84" t="str">
        <f>IFERROR(INDEX('DRAFT 1'!$AL:$AL,MATCH($B84,'DRAFT 1'!$B:$B,0)),"")</f>
        <v/>
      </c>
      <c r="L84" t="str">
        <f>IFERROR(INDEX('DRAFT 1'!$J:$J,MATCH($B84,'DRAFT 1'!$B:$B,0)),"")</f>
        <v/>
      </c>
      <c r="M84" t="str">
        <f>IFERROR(INDEX('DRAFT 1'!$K:$K,MATCH($B84,'DRAFT 1'!$B:$B,0)),"")</f>
        <v/>
      </c>
      <c r="N84" t="s">
        <v>88</v>
      </c>
      <c r="P84" t="str">
        <f>IFERROR(INDEX('DRAFT 1'!$L:$L,MATCH($B84,'DRAFT 1'!$B:$B,0)),"")</f>
        <v/>
      </c>
      <c r="Q84" t="str">
        <f>IFERROR(INDEX('DRAFT 1'!$M:$M,MATCH($B84,'DRAFT 1'!$B:$B,0)),"")</f>
        <v/>
      </c>
      <c r="R84" t="str">
        <f>IFERROR(INDEX('DRAFT 1'!$N:$N,MATCH($B84,'DRAFT 1'!$B:$B,0)),"")</f>
        <v/>
      </c>
      <c r="S84" t="str">
        <f>IFERROR(INDEX('DRAFT 1'!$O:$O,MATCH($B84,'DRAFT 1'!$B:$B,0)),"")</f>
        <v/>
      </c>
      <c r="T84" t="str">
        <f>IFERROR(INDEX('DRAFT 1'!$P:$P,MATCH($B84,'DRAFT 1'!$B:$B,0)),"")</f>
        <v/>
      </c>
      <c r="U84" t="str">
        <f>IFERROR(INDEX('DRAFT 1'!$Q:$Q,MATCH($B84,'DRAFT 1'!$B:$B,0)),"")</f>
        <v/>
      </c>
      <c r="V84" t="str">
        <f>IFERROR(INDEX('DRAFT 1'!$R:$R,MATCH($B84,'DRAFT 1'!$B:$B,0)),"")</f>
        <v/>
      </c>
      <c r="W84" t="str">
        <f>IFERROR(INDEX('DRAFT 1'!$S:$S,MATCH($B84,'DRAFT 1'!$B:$B,0)),"")</f>
        <v/>
      </c>
      <c r="X84" t="str">
        <f>IFERROR(INDEX('DRAFT 1'!$T:$T,MATCH($B84,'DRAFT 1'!$B:$B,0)),"")</f>
        <v/>
      </c>
      <c r="Z84" t="str">
        <f>IFERROR(INDEX('DRAFT 1'!$U:$U,MATCH($B84,'DRAFT 1'!$B:$B,0)),"")</f>
        <v/>
      </c>
      <c r="AA84" t="str">
        <f>IFERROR(INDEX('DRAFT 1'!$V:$V,MATCH($B84,'DRAFT 1'!$B:$B,0)),"")</f>
        <v/>
      </c>
      <c r="AB84" t="str">
        <f>IFERROR(INDEX('DRAFT 1'!$W:$W,MATCH($B84,'DRAFT 1'!$B:$B,0)),"")</f>
        <v/>
      </c>
      <c r="AC84" t="str">
        <f>IFERROR(INDEX('DRAFT 1'!$X:$X,MATCH($B84,'DRAFT 1'!$B:$B,0)),"")</f>
        <v/>
      </c>
      <c r="AD84" t="str">
        <f>IFERROR(INDEX('DRAFT 1'!$Y:$Y,MATCH($B84,'DRAFT 1'!$B:$B,0)),"")</f>
        <v/>
      </c>
      <c r="AE84" t="str">
        <f>IFERROR(INDEX('DRAFT 1'!$Z:$Z,MATCH($B84,'DRAFT 1'!$B:$B,0)),"")</f>
        <v/>
      </c>
      <c r="AF84" t="str">
        <f>IFERROR(INDEX('DRAFT 1'!$AA:$AA,MATCH($B84,'DRAFT 1'!$B:$B,0)),"")</f>
        <v/>
      </c>
      <c r="AG84" t="str">
        <f>IFERROR(INDEX('DRAFT 1'!$AB:$AB,MATCH($B84,'DRAFT 1'!$B:$B,0)),"")</f>
        <v/>
      </c>
      <c r="AH84" t="str">
        <f>IFERROR(INDEX('DRAFT 1'!$AC:$AC,MATCH($B84,'DRAFT 1'!$B:$B,0)),"")</f>
        <v/>
      </c>
      <c r="AI84" t="str">
        <f>IFERROR(INDEX('DRAFT 1'!$AD:$AD,MATCH($B84,'DRAFT 1'!$B:$B,0)),"")</f>
        <v/>
      </c>
      <c r="AJ84" t="str">
        <f>IFERROR(INDEX('DRAFT 1'!$AE:$AE,MATCH($B84,'DRAFT 1'!$B:$B,0)),"")</f>
        <v/>
      </c>
      <c r="AK84" t="str">
        <f>IFERROR(INDEX('DRAFT 1'!$AG:$AG,MATCH($B84,'DRAFT 1'!$B:$B,0)),"")</f>
        <v/>
      </c>
      <c r="AL84" t="str">
        <f>IFERROR(INDEX('DRAFT 1'!$AH:$AH,MATCH($B84,'DRAFT 1'!$B:$B,0)),"")</f>
        <v/>
      </c>
      <c r="AM84" t="str">
        <f>IFERROR(INDEX('DRAFT 1'!$AI:$AI,MATCH($B84,'DRAFT 1'!$B:$B,0)),"")</f>
        <v/>
      </c>
      <c r="AN84" t="str">
        <f>IFERROR(INDEX('DRAFT 1'!$AJ:$AJ,MATCH($B84,'DRAFT 1'!$B:$B,0)),"")</f>
        <v/>
      </c>
      <c r="AO84">
        <f t="shared" si="28"/>
        <v>0</v>
      </c>
      <c r="AP84" t="str">
        <f>IFERROR(INDEX('DRAFT 1'!$AK:$AK,MATCH($B84,'DRAFT 1'!$B:$B,0)),"")</f>
        <v/>
      </c>
      <c r="AR84" t="s">
        <v>91</v>
      </c>
      <c r="AS84">
        <f>IFERROR(LOOKUP(2,1/('DRAFT 2'!$D:$D=$B84),'DRAFT 2'!$T:$T),"")</f>
        <v>0</v>
      </c>
      <c r="AT84">
        <f>IFERROR(LOOKUP(2,1/('DRAFT 2'!$D:$D=$B84),'DRAFT 2'!$A:$A),"")</f>
        <v>0</v>
      </c>
      <c r="AU84">
        <f>IFERROR(LOOKUP(2,1/('DRAFT 2'!$D:$D=$B84),'DRAFT 2'!$R:$R),"")</f>
        <v>0</v>
      </c>
      <c r="AV84">
        <f>IFERROR(LOOKUP(2,1/('DRAFT 2'!$D:$D=$B84),'DRAFT 2'!$S:$S),"")</f>
        <v>0</v>
      </c>
      <c r="AW84" t="s">
        <v>126</v>
      </c>
      <c r="AX84">
        <f>IFERROR(LOOKUP(2,1/('DRAFT 2'!$D:$D=$B84),'DRAFT 2'!$M:$M),"")</f>
        <v>0</v>
      </c>
      <c r="AY84">
        <f>IFERROR(LOOKUP(2,1/('DRAFT 2'!$D:$D=$B84),'DRAFT 2'!$K:$K),"")</f>
        <v>0</v>
      </c>
      <c r="BG84">
        <f>IFERROR(LOOKUP(2,1/('DRAFT 2'!$D:$D=$B84),'DRAFT 2'!$U:$U),"")</f>
        <v>0</v>
      </c>
      <c r="BH84">
        <f>IFERROR(LOOKUP(2,1/('DRAFT 2'!$D:$D=$B84),'DRAFT 2'!$V:$V),"")</f>
        <v>0</v>
      </c>
      <c r="CE84" t="str">
        <f t="shared" si="29"/>
        <v/>
      </c>
      <c r="CF84">
        <f>IFERROR(LOOKUP(2,1/('DRAFT 2'!$D:$D=$B84)*('DRAFT 2'!$A:$A&gt;=DATE(2026,1,1))*('DRAFT 2'!$A:$A&lt;DATE(2026,IF(1=12,1+1,1+1),1)),'DRAFT 2'!$A:$A),"")</f>
        <v>0</v>
      </c>
      <c r="CG84">
        <f>COUNTIFS('DRAFT 2'!$D:$D,$B84,'DRAFT 2'!$A:$A,"&gt;="&amp;DATE(2026,1,1),'DRAFT 2'!$A:$A,"&lt;="&amp;DATE(2026,1,7))</f>
        <v>0</v>
      </c>
      <c r="CH84">
        <f>COUNTIFS('DRAFT 2'!$D:$D,$B84,'DRAFT 2'!$A:$A,"&gt;="&amp;DATE(2026,1,8),'DRAFT 2'!$A:$A,"&lt;="&amp;DATE(2026,1,14))</f>
        <v>0</v>
      </c>
      <c r="CI84">
        <f>COUNTIFS('DRAFT 2'!$D:$D,$B84,'DRAFT 2'!$A:$A,"&gt;="&amp;DATE(2026,1,15),'DRAFT 2'!$A:$A,"&lt;="&amp;DATE(2026,1,21))</f>
        <v>0</v>
      </c>
      <c r="CJ84">
        <f>COUNTIFS('DRAFT 2'!$D:$D,$B84,'DRAFT 2'!$A:$A,"&gt;="&amp;DATE(2026,1,22),'DRAFT 2'!$A:$A,"&lt;"&amp;DATE(2026,IF(1=12,1+1,1+1),1))</f>
        <v>0</v>
      </c>
      <c r="CK84">
        <f t="shared" si="30"/>
        <v>0</v>
      </c>
      <c r="CT84">
        <v>0</v>
      </c>
      <c r="CU84">
        <f>IFERROR(LOOKUP(2,1/('DRAFT 2'!$D:$D=$B84)*('DRAFT 2'!$A:$A&gt;=DATE(2026,2,1))*('DRAFT 2'!$A:$A&lt;DATE(2026,IF(2=12,2+1,2+1),1)),'DRAFT 2'!$A:$A),"")</f>
        <v>0</v>
      </c>
      <c r="CV84">
        <f>COUNTIFS('DRAFT 2'!$D:$D,$B84,'DRAFT 2'!$A:$A,"&gt;="&amp;DATE(2026,2,1),'DRAFT 2'!$A:$A,"&lt;="&amp;DATE(2026,2,7))</f>
        <v>0</v>
      </c>
      <c r="CW84">
        <f>COUNTIFS('DRAFT 2'!$D:$D,$B84,'DRAFT 2'!$A:$A,"&gt;="&amp;DATE(2026,2,8),'DRAFT 2'!$A:$A,"&lt;="&amp;DATE(2026,2,14))</f>
        <v>0</v>
      </c>
      <c r="CX84">
        <f>COUNTIFS('DRAFT 2'!$D:$D,$B84,'DRAFT 2'!$A:$A,"&gt;="&amp;DATE(2026,2,15),'DRAFT 2'!$A:$A,"&lt;="&amp;DATE(2026,2,21))</f>
        <v>0</v>
      </c>
      <c r="CY84">
        <f>COUNTIFS('DRAFT 2'!$D:$D,$B84,'DRAFT 2'!$A:$A,"&gt;="&amp;DATE(2026,2,22),'DRAFT 2'!$A:$A,"&lt;"&amp;DATE(2026,IF(2=12,2+1,2+1),1))</f>
        <v>0</v>
      </c>
      <c r="CZ84">
        <f t="shared" si="31"/>
        <v>0</v>
      </c>
      <c r="DJ84">
        <f>IFERROR(LOOKUP(2,1/('DRAFT 2'!$D:$D=$B84)*('DRAFT 2'!$A:$A&gt;=DATE(2026,3,1))*('DRAFT 2'!$A:$A&lt;DATE(2026,IF(3=12,3+1,3+1),1)),'DRAFT 2'!$A:$A),"")</f>
        <v>0</v>
      </c>
      <c r="DK84">
        <f>COUNTIFS('DRAFT 2'!$D:$D,$B84,'DRAFT 2'!$A:$A,"&gt;="&amp;DATE(2026,3,1),'DRAFT 2'!$A:$A,"&lt;="&amp;DATE(2026,3,7))</f>
        <v>0</v>
      </c>
      <c r="DL84">
        <f>COUNTIFS('DRAFT 2'!$D:$D,$B84,'DRAFT 2'!$A:$A,"&gt;="&amp;DATE(2026,3,8),'DRAFT 2'!$A:$A,"&lt;="&amp;DATE(2026,3,14))</f>
        <v>0</v>
      </c>
      <c r="DM84">
        <f>COUNTIFS('DRAFT 2'!$D:$D,$B84,'DRAFT 2'!$A:$A,"&gt;="&amp;DATE(2026,3,15),'DRAFT 2'!$A:$A,"&lt;="&amp;DATE(2026,3,21))</f>
        <v>0</v>
      </c>
      <c r="DN84">
        <f>COUNTIFS('DRAFT 2'!$D:$D,$B84,'DRAFT 2'!$A:$A,"&gt;="&amp;DATE(2026,3,22),'DRAFT 2'!$A:$A,"&lt;"&amp;DATE(2026,IF(3=12,3+1,3+1),1))</f>
        <v>0</v>
      </c>
      <c r="DO84">
        <f t="shared" si="32"/>
        <v>0</v>
      </c>
      <c r="DZ84">
        <f>IFERROR(LOOKUP(2,1/('DRAFT 2'!$D:$D=$B84)*('DRAFT 2'!$A:$A&gt;=DATE(2026,4,1))*('DRAFT 2'!$A:$A&lt;DATE(2026,IF(4=12,4+1,4+1),1)),'DRAFT 2'!$A:$A),"")</f>
        <v>0</v>
      </c>
      <c r="EA84">
        <f>COUNTIFS('DRAFT 2'!$D:$D,$B84,'DRAFT 2'!$A:$A,"&gt;="&amp;DATE(2026,4,1),'DRAFT 2'!$A:$A,"&lt;="&amp;DATE(2026,4,7))</f>
        <v>0</v>
      </c>
      <c r="EB84">
        <f>COUNTIFS('DRAFT 2'!$D:$D,$B84,'DRAFT 2'!$A:$A,"&gt;="&amp;DATE(2026,4,8),'DRAFT 2'!$A:$A,"&lt;="&amp;DATE(2026,4,14))</f>
        <v>0</v>
      </c>
      <c r="EC84">
        <f>COUNTIFS('DRAFT 2'!$D:$D,$B84,'DRAFT 2'!$A:$A,"&gt;="&amp;DATE(2026,4,15),'DRAFT 2'!$A:$A,"&lt;="&amp;DATE(2026,4,21))</f>
        <v>0</v>
      </c>
      <c r="ED84">
        <f>COUNTIFS('DRAFT 2'!$D:$D,$B84,'DRAFT 2'!$A:$A,"&gt;="&amp;DATE(2026,4,22),'DRAFT 2'!$A:$A,"&lt;"&amp;DATE(2026,IF(4=12,4+1,4+1),1))</f>
        <v>0</v>
      </c>
      <c r="EE84">
        <f t="shared" si="33"/>
        <v>0</v>
      </c>
      <c r="EO84">
        <f>IFERROR(LOOKUP(2,1/('DRAFT 2'!$D:$D=$B84)*('DRAFT 2'!$A:$A&gt;=DATE(2026,5,1))*('DRAFT 2'!$A:$A&lt;DATE(2026,IF(5=12,5+1,5+1),1)),'DRAFT 2'!$A:$A),"")</f>
        <v>0</v>
      </c>
      <c r="EP84">
        <f>COUNTIFS('DRAFT 2'!$D:$D,$B84,'DRAFT 2'!$A:$A,"&gt;="&amp;DATE(2026,5,1),'DRAFT 2'!$A:$A,"&lt;="&amp;DATE(2026,5,7))</f>
        <v>0</v>
      </c>
      <c r="EQ84">
        <f>COUNTIFS('DRAFT 2'!$D:$D,$B84,'DRAFT 2'!$A:$A,"&gt;="&amp;DATE(2026,5,8),'DRAFT 2'!$A:$A,"&lt;="&amp;DATE(2026,5,14))</f>
        <v>0</v>
      </c>
      <c r="ER84">
        <f>COUNTIFS('DRAFT 2'!$D:$D,$B84,'DRAFT 2'!$A:$A,"&gt;="&amp;DATE(2026,5,15),'DRAFT 2'!$A:$A,"&lt;="&amp;DATE(2026,5,21))</f>
        <v>0</v>
      </c>
      <c r="ES84">
        <f>COUNTIFS('DRAFT 2'!$D:$D,$B84,'DRAFT 2'!$A:$A,"&gt;="&amp;DATE(2026,5,22),'DRAFT 2'!$A:$A,"&lt;"&amp;DATE(2026,IF(5=12,5+1,5+1),1))</f>
        <v>0</v>
      </c>
      <c r="ET84">
        <f t="shared" si="34"/>
        <v>0</v>
      </c>
      <c r="FD84">
        <f>IFERROR(LOOKUP(2,1/('DRAFT 2'!$D:$D=$B84)*('DRAFT 2'!$A:$A&gt;=DATE(2026,6,1))*('DRAFT 2'!$A:$A&lt;DATE(2026,IF(6=12,6+1,6+1),1)),'DRAFT 2'!$A:$A),"")</f>
        <v>0</v>
      </c>
      <c r="FE84">
        <f>COUNTIFS('DRAFT 2'!$D:$D,$B84,'DRAFT 2'!$A:$A,"&gt;="&amp;DATE(2026,6,1),'DRAFT 2'!$A:$A,"&lt;="&amp;DATE(2026,6,7))</f>
        <v>0</v>
      </c>
      <c r="FF84">
        <f>COUNTIFS('DRAFT 2'!$D:$D,$B84,'DRAFT 2'!$A:$A,"&gt;="&amp;DATE(2026,6,8),'DRAFT 2'!$A:$A,"&lt;="&amp;DATE(2026,6,14))</f>
        <v>0</v>
      </c>
      <c r="FG84">
        <f>COUNTIFS('DRAFT 2'!$D:$D,$B84,'DRAFT 2'!$A:$A,"&gt;="&amp;DATE(2026,6,15),'DRAFT 2'!$A:$A,"&lt;="&amp;DATE(2026,6,21))</f>
        <v>0</v>
      </c>
      <c r="FH84">
        <f>COUNTIFS('DRAFT 2'!$D:$D,$B84,'DRAFT 2'!$A:$A,"&gt;="&amp;DATE(2026,6,22),'DRAFT 2'!$A:$A,"&lt;"&amp;DATE(2026,IF(6=12,6+1,6+1),1))</f>
        <v>0</v>
      </c>
      <c r="FI84">
        <f t="shared" si="35"/>
        <v>0</v>
      </c>
      <c r="FT84">
        <f>IFERROR(LOOKUP(2,1/('DRAFT 2'!$D:$D=$B84)*('DRAFT 2'!$A:$A&gt;=DATE(2026,7,1))*('DRAFT 2'!$A:$A&lt;DATE(2026,IF(7=12,7+1,7+1),1)),'DRAFT 2'!$A:$A),"")</f>
        <v>0</v>
      </c>
      <c r="FU84">
        <f>COUNTIFS('DRAFT 2'!$D:$D,$B84,'DRAFT 2'!$A:$A,"&gt;="&amp;DATE(2026,7,1),'DRAFT 2'!$A:$A,"&lt;="&amp;DATE(2026,7,7))</f>
        <v>0</v>
      </c>
      <c r="FV84">
        <f>COUNTIFS('DRAFT 2'!$D:$D,$B84,'DRAFT 2'!$A:$A,"&gt;="&amp;DATE(2026,7,8),'DRAFT 2'!$A:$A,"&lt;="&amp;DATE(2026,7,14))</f>
        <v>0</v>
      </c>
      <c r="FW84">
        <f>COUNTIFS('DRAFT 2'!$D:$D,$B84,'DRAFT 2'!$A:$A,"&gt;="&amp;DATE(2026,7,15),'DRAFT 2'!$A:$A,"&lt;="&amp;DATE(2026,7,21))</f>
        <v>0</v>
      </c>
      <c r="FX84">
        <f>COUNTIFS('DRAFT 2'!$D:$D,$B84,'DRAFT 2'!$A:$A,"&gt;="&amp;DATE(2026,7,22),'DRAFT 2'!$A:$A,"&lt;"&amp;DATE(2026,IF(7=12,7+1,7+1),1))</f>
        <v>0</v>
      </c>
      <c r="FY84">
        <f t="shared" si="36"/>
        <v>0</v>
      </c>
      <c r="GI84">
        <f>IFERROR(LOOKUP(2,1/('DRAFT 2'!$D:$D=$B84)*('DRAFT 2'!$A:$A&gt;=DATE(2026,8,1))*('DRAFT 2'!$A:$A&lt;DATE(2026,IF(8=12,8+1,8+1),1)),'DRAFT 2'!$A:$A),"")</f>
        <v>0</v>
      </c>
      <c r="GJ84">
        <f>COUNTIFS('DRAFT 2'!$D:$D,$B84,'DRAFT 2'!$A:$A,"&gt;="&amp;DATE(2026,8,1),'DRAFT 2'!$A:$A,"&lt;="&amp;DATE(2026,8,7))</f>
        <v>0</v>
      </c>
      <c r="GK84">
        <f>COUNTIFS('DRAFT 2'!$D:$D,$B84,'DRAFT 2'!$A:$A,"&gt;="&amp;DATE(2026,8,8),'DRAFT 2'!$A:$A,"&lt;="&amp;DATE(2026,8,14))</f>
        <v>0</v>
      </c>
      <c r="GL84">
        <f>COUNTIFS('DRAFT 2'!$D:$D,$B84,'DRAFT 2'!$A:$A,"&gt;="&amp;DATE(2026,8,15),'DRAFT 2'!$A:$A,"&lt;="&amp;DATE(2026,8,21))</f>
        <v>0</v>
      </c>
      <c r="GM84">
        <f>COUNTIFS('DRAFT 2'!$D:$D,$B84,'DRAFT 2'!$A:$A,"&gt;="&amp;DATE(2026,8,22),'DRAFT 2'!$A:$A,"&lt;"&amp;DATE(2026,IF(8=12,8+1,8+1),1))</f>
        <v>0</v>
      </c>
      <c r="GN84">
        <f t="shared" si="37"/>
        <v>0</v>
      </c>
      <c r="GX84">
        <f>IFERROR(LOOKUP(2,1/('DRAFT 2'!$D:$D=$B84)*('DRAFT 2'!$A:$A&gt;=DATE(2026,9,1))*('DRAFT 2'!$A:$A&lt;DATE(2026,IF(9=12,9+1,9+1),1)),'DRAFT 2'!$A:$A),"")</f>
        <v>0</v>
      </c>
      <c r="GY84">
        <f>COUNTIFS('DRAFT 2'!$D:$D,$B84,'DRAFT 2'!$A:$A,"&gt;="&amp;DATE(2026,9,1),'DRAFT 2'!$A:$A,"&lt;="&amp;DATE(2026,9,7))</f>
        <v>0</v>
      </c>
      <c r="GZ84">
        <f>COUNTIFS('DRAFT 2'!$D:$D,$B84,'DRAFT 2'!$A:$A,"&gt;="&amp;DATE(2026,9,8),'DRAFT 2'!$A:$A,"&lt;="&amp;DATE(2026,9,14))</f>
        <v>0</v>
      </c>
      <c r="HA84">
        <f>COUNTIFS('DRAFT 2'!$D:$D,$B84,'DRAFT 2'!$A:$A,"&gt;="&amp;DATE(2026,9,15),'DRAFT 2'!$A:$A,"&lt;="&amp;DATE(2026,9,21))</f>
        <v>0</v>
      </c>
      <c r="HB84">
        <f>COUNTIFS('DRAFT 2'!$D:$D,$B84,'DRAFT 2'!$A:$A,"&gt;="&amp;DATE(2026,9,22),'DRAFT 2'!$A:$A,"&lt;"&amp;DATE(2026,IF(9=12,9+1,9+1),1))</f>
        <v>0</v>
      </c>
      <c r="HC84">
        <f t="shared" si="38"/>
        <v>0</v>
      </c>
      <c r="HN84">
        <f>IFERROR(LOOKUP(2,1/('DRAFT 2'!$D:$D=$B84)*('DRAFT 2'!$A:$A&gt;=DATE(2026,10,1))*('DRAFT 2'!$A:$A&lt;DATE(2026,IF(10=12,10+1,10+1),1)),'DRAFT 2'!$A:$A),"")</f>
        <v>0</v>
      </c>
      <c r="HO84">
        <f>COUNTIFS('DRAFT 2'!$D:$D,$B84,'DRAFT 2'!$A:$A,"&gt;="&amp;DATE(2026,10,1),'DRAFT 2'!$A:$A,"&lt;="&amp;DATE(2026,10,7))</f>
        <v>0</v>
      </c>
      <c r="HP84">
        <f>COUNTIFS('DRAFT 2'!$D:$D,$B84,'DRAFT 2'!$A:$A,"&gt;="&amp;DATE(2026,10,8),'DRAFT 2'!$A:$A,"&lt;="&amp;DATE(2026,10,14))</f>
        <v>0</v>
      </c>
      <c r="HQ84">
        <f>COUNTIFS('DRAFT 2'!$D:$D,$B84,'DRAFT 2'!$A:$A,"&gt;="&amp;DATE(2026,10,15),'DRAFT 2'!$A:$A,"&lt;="&amp;DATE(2026,10,21))</f>
        <v>0</v>
      </c>
      <c r="HR84">
        <f>COUNTIFS('DRAFT 2'!$D:$D,$B84,'DRAFT 2'!$A:$A,"&gt;="&amp;DATE(2026,10,22),'DRAFT 2'!$A:$A,"&lt;"&amp;DATE(2026,IF(10=12,10+1,10+1),1))</f>
        <v>0</v>
      </c>
      <c r="HS84">
        <f t="shared" si="39"/>
        <v>0</v>
      </c>
      <c r="IC84">
        <f>IFERROR(LOOKUP(2,1/('DRAFT 2'!$D:$D=$B84)*('DRAFT 2'!$A:$A&gt;=DATE(2026,11,1))*('DRAFT 2'!$A:$A&lt;DATE(2026,IF(11=12,11+1,11+1),1)),'DRAFT 2'!$A:$A),"")</f>
        <v>0</v>
      </c>
      <c r="ID84">
        <f>COUNTIFS('DRAFT 2'!$D:$D,$B84,'DRAFT 2'!$A:$A,"&gt;="&amp;DATE(2026,11,1),'DRAFT 2'!$A:$A,"&lt;="&amp;DATE(2026,11,7))</f>
        <v>0</v>
      </c>
      <c r="IE84">
        <f>COUNTIFS('DRAFT 2'!$D:$D,$B84,'DRAFT 2'!$A:$A,"&gt;="&amp;DATE(2026,11,8),'DRAFT 2'!$A:$A,"&lt;="&amp;DATE(2026,11,14))</f>
        <v>0</v>
      </c>
      <c r="IF84">
        <f>COUNTIFS('DRAFT 2'!$D:$D,$B84,'DRAFT 2'!$A:$A,"&gt;="&amp;DATE(2026,11,15),'DRAFT 2'!$A:$A,"&lt;="&amp;DATE(2026,11,21))</f>
        <v>0</v>
      </c>
      <c r="IG84">
        <f>COUNTIFS('DRAFT 2'!$D:$D,$B84,'DRAFT 2'!$A:$A,"&gt;="&amp;DATE(2026,11,22),'DRAFT 2'!$A:$A,"&lt;"&amp;DATE(2026,IF(11=12,11+1,11+1),1))</f>
        <v>0</v>
      </c>
      <c r="IH84">
        <f t="shared" si="40"/>
        <v>0</v>
      </c>
      <c r="IR84">
        <f>IFERROR(LOOKUP(2,1/('DRAFT 2'!$D:$D=$B84)*('DRAFT 2'!$A:$A&gt;=DATE(2026,12,1))*('DRAFT 2'!$A:$A&lt;DATE(2026,IF(12=12,12+1,12+1),1)),'DRAFT 2'!$A:$A),"")</f>
        <v>0</v>
      </c>
      <c r="IS84">
        <f>COUNTIFS('DRAFT 2'!$D:$D,$B84,'DRAFT 2'!$A:$A,"&gt;="&amp;DATE(2026,12,1),'DRAFT 2'!$A:$A,"&lt;="&amp;DATE(2026,12,7))</f>
        <v>0</v>
      </c>
      <c r="IT84">
        <f>COUNTIFS('DRAFT 2'!$D:$D,$B84,'DRAFT 2'!$A:$A,"&gt;="&amp;DATE(2026,12,8),'DRAFT 2'!$A:$A,"&lt;="&amp;DATE(2026,12,14))</f>
        <v>0</v>
      </c>
      <c r="IU84">
        <f>COUNTIFS('DRAFT 2'!$D:$D,$B84,'DRAFT 2'!$A:$A,"&gt;="&amp;DATE(2026,12,15),'DRAFT 2'!$A:$A,"&lt;="&amp;DATE(2026,12,21))</f>
        <v>0</v>
      </c>
      <c r="IV84">
        <f>COUNTIFS('DRAFT 2'!$D:$D,$B84,'DRAFT 2'!$A:$A,"&gt;="&amp;DATE(2026,12,22),'DRAFT 2'!$A:$A,"&lt;"&amp;DATE(2026,IF(12=12,12+1,12+1),1))</f>
        <v>0</v>
      </c>
      <c r="IW84">
        <f t="shared" si="41"/>
        <v>0</v>
      </c>
    </row>
    <row r="85" spans="1:257" x14ac:dyDescent="0.3">
      <c r="A85" t="str">
        <f>IFERROR(INDEX('DRAFT 1'!$A:$A,MATCH($B85,'DRAFT 1'!$B:$B,0)),"")</f>
        <v/>
      </c>
      <c r="C85" t="str">
        <f>IFERROR(INDEX('DRAFT 1'!$C:$C,MATCH($B85,'DRAFT 1'!$B:$B,0)),"")</f>
        <v/>
      </c>
      <c r="D85" t="str">
        <f>IFERROR(INDEX('DRAFT 1'!$D:$D,MATCH($B85,'DRAFT 1'!$B:$B,0)),"")</f>
        <v/>
      </c>
      <c r="E85" t="str">
        <f>IFERROR(INDEX('DRAFT 1'!$E:$E,MATCH($B85,'DRAFT 1'!$B:$B,0)),"")</f>
        <v/>
      </c>
      <c r="F85" t="str">
        <f>IFERROR(INDEX('DRAFT 1'!$F:$F,MATCH($B85,'DRAFT 1'!$B:$B,0)),"")</f>
        <v/>
      </c>
      <c r="G85" t="str">
        <f>IFERROR(INDEX('DRAFT 1'!$G:$G,MATCH($B85,'DRAFT 1'!$B:$B,0)),"")</f>
        <v/>
      </c>
      <c r="H85" t="str">
        <f>IFERROR(INDEX('DRAFT 1'!$H:$H,MATCH($B85,'DRAFT 1'!$B:$B,0)),"")</f>
        <v/>
      </c>
      <c r="I85" t="s">
        <v>289</v>
      </c>
      <c r="K85" t="str">
        <f>IFERROR(INDEX('DRAFT 1'!$AL:$AL,MATCH($B85,'DRAFT 1'!$B:$B,0)),"")</f>
        <v/>
      </c>
      <c r="L85" t="str">
        <f>IFERROR(INDEX('DRAFT 1'!$J:$J,MATCH($B85,'DRAFT 1'!$B:$B,0)),"")</f>
        <v/>
      </c>
      <c r="M85" t="str">
        <f>IFERROR(INDEX('DRAFT 1'!$K:$K,MATCH($B85,'DRAFT 1'!$B:$B,0)),"")</f>
        <v/>
      </c>
      <c r="N85" t="s">
        <v>71</v>
      </c>
      <c r="P85" t="str">
        <f>IFERROR(INDEX('DRAFT 1'!$L:$L,MATCH($B85,'DRAFT 1'!$B:$B,0)),"")</f>
        <v/>
      </c>
      <c r="Q85" t="str">
        <f>IFERROR(INDEX('DRAFT 1'!$M:$M,MATCH($B85,'DRAFT 1'!$B:$B,0)),"")</f>
        <v/>
      </c>
      <c r="R85" t="str">
        <f>IFERROR(INDEX('DRAFT 1'!$N:$N,MATCH($B85,'DRAFT 1'!$B:$B,0)),"")</f>
        <v/>
      </c>
      <c r="S85" t="str">
        <f>IFERROR(INDEX('DRAFT 1'!$O:$O,MATCH($B85,'DRAFT 1'!$B:$B,0)),"")</f>
        <v/>
      </c>
      <c r="T85" t="str">
        <f>IFERROR(INDEX('DRAFT 1'!$P:$P,MATCH($B85,'DRAFT 1'!$B:$B,0)),"")</f>
        <v/>
      </c>
      <c r="U85" t="str">
        <f>IFERROR(INDEX('DRAFT 1'!$Q:$Q,MATCH($B85,'DRAFT 1'!$B:$B,0)),"")</f>
        <v/>
      </c>
      <c r="V85" t="str">
        <f>IFERROR(INDEX('DRAFT 1'!$R:$R,MATCH($B85,'DRAFT 1'!$B:$B,0)),"")</f>
        <v/>
      </c>
      <c r="W85" t="str">
        <f>IFERROR(INDEX('DRAFT 1'!$S:$S,MATCH($B85,'DRAFT 1'!$B:$B,0)),"")</f>
        <v/>
      </c>
      <c r="X85" t="str">
        <f>IFERROR(INDEX('DRAFT 1'!$T:$T,MATCH($B85,'DRAFT 1'!$B:$B,0)),"")</f>
        <v/>
      </c>
      <c r="Z85" t="str">
        <f>IFERROR(INDEX('DRAFT 1'!$U:$U,MATCH($B85,'DRAFT 1'!$B:$B,0)),"")</f>
        <v/>
      </c>
      <c r="AA85" t="str">
        <f>IFERROR(INDEX('DRAFT 1'!$V:$V,MATCH($B85,'DRAFT 1'!$B:$B,0)),"")</f>
        <v/>
      </c>
      <c r="AB85" t="str">
        <f>IFERROR(INDEX('DRAFT 1'!$W:$W,MATCH($B85,'DRAFT 1'!$B:$B,0)),"")</f>
        <v/>
      </c>
      <c r="AC85" t="str">
        <f>IFERROR(INDEX('DRAFT 1'!$X:$X,MATCH($B85,'DRAFT 1'!$B:$B,0)),"")</f>
        <v/>
      </c>
      <c r="AD85" t="str">
        <f>IFERROR(INDEX('DRAFT 1'!$Y:$Y,MATCH($B85,'DRAFT 1'!$B:$B,0)),"")</f>
        <v/>
      </c>
      <c r="AE85" t="str">
        <f>IFERROR(INDEX('DRAFT 1'!$Z:$Z,MATCH($B85,'DRAFT 1'!$B:$B,0)),"")</f>
        <v/>
      </c>
      <c r="AF85" t="str">
        <f>IFERROR(INDEX('DRAFT 1'!$AA:$AA,MATCH($B85,'DRAFT 1'!$B:$B,0)),"")</f>
        <v/>
      </c>
      <c r="AG85" t="str">
        <f>IFERROR(INDEX('DRAFT 1'!$AB:$AB,MATCH($B85,'DRAFT 1'!$B:$B,0)),"")</f>
        <v/>
      </c>
      <c r="AH85" t="str">
        <f>IFERROR(INDEX('DRAFT 1'!$AC:$AC,MATCH($B85,'DRAFT 1'!$B:$B,0)),"")</f>
        <v/>
      </c>
      <c r="AI85" t="str">
        <f>IFERROR(INDEX('DRAFT 1'!$AD:$AD,MATCH($B85,'DRAFT 1'!$B:$B,0)),"")</f>
        <v/>
      </c>
      <c r="AJ85" t="str">
        <f>IFERROR(INDEX('DRAFT 1'!$AE:$AE,MATCH($B85,'DRAFT 1'!$B:$B,0)),"")</f>
        <v/>
      </c>
      <c r="AK85" t="str">
        <f>IFERROR(INDEX('DRAFT 1'!$AG:$AG,MATCH($B85,'DRAFT 1'!$B:$B,0)),"")</f>
        <v/>
      </c>
      <c r="AL85" t="str">
        <f>IFERROR(INDEX('DRAFT 1'!$AH:$AH,MATCH($B85,'DRAFT 1'!$B:$B,0)),"")</f>
        <v/>
      </c>
      <c r="AM85" t="str">
        <f>IFERROR(INDEX('DRAFT 1'!$AI:$AI,MATCH($B85,'DRAFT 1'!$B:$B,0)),"")</f>
        <v/>
      </c>
      <c r="AN85" t="str">
        <f>IFERROR(INDEX('DRAFT 1'!$AJ:$AJ,MATCH($B85,'DRAFT 1'!$B:$B,0)),"")</f>
        <v/>
      </c>
      <c r="AO85">
        <f t="shared" si="28"/>
        <v>0</v>
      </c>
      <c r="AP85" t="str">
        <f>IFERROR(INDEX('DRAFT 1'!$AK:$AK,MATCH($B85,'DRAFT 1'!$B:$B,0)),"")</f>
        <v/>
      </c>
      <c r="AR85" t="s">
        <v>95</v>
      </c>
      <c r="AS85">
        <f>IFERROR(LOOKUP(2,1/('DRAFT 2'!$D:$D=$B85),'DRAFT 2'!$T:$T),"")</f>
        <v>0</v>
      </c>
      <c r="AT85">
        <f>IFERROR(LOOKUP(2,1/('DRAFT 2'!$D:$D=$B85),'DRAFT 2'!$A:$A),"")</f>
        <v>0</v>
      </c>
      <c r="AU85">
        <f>IFERROR(LOOKUP(2,1/('DRAFT 2'!$D:$D=$B85),'DRAFT 2'!$R:$R),"")</f>
        <v>0</v>
      </c>
      <c r="AV85">
        <f>IFERROR(LOOKUP(2,1/('DRAFT 2'!$D:$D=$B85),'DRAFT 2'!$S:$S),"")</f>
        <v>0</v>
      </c>
      <c r="AW85" t="s">
        <v>85</v>
      </c>
      <c r="AX85">
        <f>IFERROR(LOOKUP(2,1/('DRAFT 2'!$D:$D=$B85),'DRAFT 2'!$M:$M),"")</f>
        <v>0</v>
      </c>
      <c r="AY85">
        <f>IFERROR(LOOKUP(2,1/('DRAFT 2'!$D:$D=$B85),'DRAFT 2'!$K:$K),"")</f>
        <v>0</v>
      </c>
      <c r="BG85">
        <f>IFERROR(LOOKUP(2,1/('DRAFT 2'!$D:$D=$B85),'DRAFT 2'!$U:$U),"")</f>
        <v>0</v>
      </c>
      <c r="BH85">
        <f>IFERROR(LOOKUP(2,1/('DRAFT 2'!$D:$D=$B85),'DRAFT 2'!$V:$V),"")</f>
        <v>0</v>
      </c>
      <c r="CE85" t="str">
        <f t="shared" si="29"/>
        <v/>
      </c>
      <c r="CF85">
        <f>IFERROR(LOOKUP(2,1/('DRAFT 2'!$D:$D=$B85)*('DRAFT 2'!$A:$A&gt;=DATE(2026,1,1))*('DRAFT 2'!$A:$A&lt;DATE(2026,IF(1=12,1+1,1+1),1)),'DRAFT 2'!$A:$A),"")</f>
        <v>0</v>
      </c>
      <c r="CG85">
        <f>COUNTIFS('DRAFT 2'!$D:$D,$B85,'DRAFT 2'!$A:$A,"&gt;="&amp;DATE(2026,1,1),'DRAFT 2'!$A:$A,"&lt;="&amp;DATE(2026,1,7))</f>
        <v>0</v>
      </c>
      <c r="CH85">
        <f>COUNTIFS('DRAFT 2'!$D:$D,$B85,'DRAFT 2'!$A:$A,"&gt;="&amp;DATE(2026,1,8),'DRAFT 2'!$A:$A,"&lt;="&amp;DATE(2026,1,14))</f>
        <v>0</v>
      </c>
      <c r="CI85">
        <f>COUNTIFS('DRAFT 2'!$D:$D,$B85,'DRAFT 2'!$A:$A,"&gt;="&amp;DATE(2026,1,15),'DRAFT 2'!$A:$A,"&lt;="&amp;DATE(2026,1,21))</f>
        <v>0</v>
      </c>
      <c r="CJ85">
        <f>COUNTIFS('DRAFT 2'!$D:$D,$B85,'DRAFT 2'!$A:$A,"&gt;="&amp;DATE(2026,1,22),'DRAFT 2'!$A:$A,"&lt;"&amp;DATE(2026,IF(1=12,1+1,1+1),1))</f>
        <v>0</v>
      </c>
      <c r="CK85">
        <f t="shared" si="30"/>
        <v>0</v>
      </c>
      <c r="CT85">
        <v>0</v>
      </c>
      <c r="CU85">
        <f>IFERROR(LOOKUP(2,1/('DRAFT 2'!$D:$D=$B85)*('DRAFT 2'!$A:$A&gt;=DATE(2026,2,1))*('DRAFT 2'!$A:$A&lt;DATE(2026,IF(2=12,2+1,2+1),1)),'DRAFT 2'!$A:$A),"")</f>
        <v>0</v>
      </c>
      <c r="CV85">
        <f>COUNTIFS('DRAFT 2'!$D:$D,$B85,'DRAFT 2'!$A:$A,"&gt;="&amp;DATE(2026,2,1),'DRAFT 2'!$A:$A,"&lt;="&amp;DATE(2026,2,7))</f>
        <v>0</v>
      </c>
      <c r="CW85">
        <f>COUNTIFS('DRAFT 2'!$D:$D,$B85,'DRAFT 2'!$A:$A,"&gt;="&amp;DATE(2026,2,8),'DRAFT 2'!$A:$A,"&lt;="&amp;DATE(2026,2,14))</f>
        <v>0</v>
      </c>
      <c r="CX85">
        <f>COUNTIFS('DRAFT 2'!$D:$D,$B85,'DRAFT 2'!$A:$A,"&gt;="&amp;DATE(2026,2,15),'DRAFT 2'!$A:$A,"&lt;="&amp;DATE(2026,2,21))</f>
        <v>0</v>
      </c>
      <c r="CY85">
        <f>COUNTIFS('DRAFT 2'!$D:$D,$B85,'DRAFT 2'!$A:$A,"&gt;="&amp;DATE(2026,2,22),'DRAFT 2'!$A:$A,"&lt;"&amp;DATE(2026,IF(2=12,2+1,2+1),1))</f>
        <v>0</v>
      </c>
      <c r="CZ85">
        <f t="shared" si="31"/>
        <v>0</v>
      </c>
      <c r="DJ85">
        <f>IFERROR(LOOKUP(2,1/('DRAFT 2'!$D:$D=$B85)*('DRAFT 2'!$A:$A&gt;=DATE(2026,3,1))*('DRAFT 2'!$A:$A&lt;DATE(2026,IF(3=12,3+1,3+1),1)),'DRAFT 2'!$A:$A),"")</f>
        <v>0</v>
      </c>
      <c r="DK85">
        <f>COUNTIFS('DRAFT 2'!$D:$D,$B85,'DRAFT 2'!$A:$A,"&gt;="&amp;DATE(2026,3,1),'DRAFT 2'!$A:$A,"&lt;="&amp;DATE(2026,3,7))</f>
        <v>0</v>
      </c>
      <c r="DL85">
        <f>COUNTIFS('DRAFT 2'!$D:$D,$B85,'DRAFT 2'!$A:$A,"&gt;="&amp;DATE(2026,3,8),'DRAFT 2'!$A:$A,"&lt;="&amp;DATE(2026,3,14))</f>
        <v>0</v>
      </c>
      <c r="DM85">
        <f>COUNTIFS('DRAFT 2'!$D:$D,$B85,'DRAFT 2'!$A:$A,"&gt;="&amp;DATE(2026,3,15),'DRAFT 2'!$A:$A,"&lt;="&amp;DATE(2026,3,21))</f>
        <v>0</v>
      </c>
      <c r="DN85">
        <f>COUNTIFS('DRAFT 2'!$D:$D,$B85,'DRAFT 2'!$A:$A,"&gt;="&amp;DATE(2026,3,22),'DRAFT 2'!$A:$A,"&lt;"&amp;DATE(2026,IF(3=12,3+1,3+1),1))</f>
        <v>0</v>
      </c>
      <c r="DO85">
        <f t="shared" si="32"/>
        <v>0</v>
      </c>
      <c r="DZ85">
        <f>IFERROR(LOOKUP(2,1/('DRAFT 2'!$D:$D=$B85)*('DRAFT 2'!$A:$A&gt;=DATE(2026,4,1))*('DRAFT 2'!$A:$A&lt;DATE(2026,IF(4=12,4+1,4+1),1)),'DRAFT 2'!$A:$A),"")</f>
        <v>0</v>
      </c>
      <c r="EA85">
        <f>COUNTIFS('DRAFT 2'!$D:$D,$B85,'DRAFT 2'!$A:$A,"&gt;="&amp;DATE(2026,4,1),'DRAFT 2'!$A:$A,"&lt;="&amp;DATE(2026,4,7))</f>
        <v>0</v>
      </c>
      <c r="EB85">
        <f>COUNTIFS('DRAFT 2'!$D:$D,$B85,'DRAFT 2'!$A:$A,"&gt;="&amp;DATE(2026,4,8),'DRAFT 2'!$A:$A,"&lt;="&amp;DATE(2026,4,14))</f>
        <v>0</v>
      </c>
      <c r="EC85">
        <f>COUNTIFS('DRAFT 2'!$D:$D,$B85,'DRAFT 2'!$A:$A,"&gt;="&amp;DATE(2026,4,15),'DRAFT 2'!$A:$A,"&lt;="&amp;DATE(2026,4,21))</f>
        <v>0</v>
      </c>
      <c r="ED85">
        <f>COUNTIFS('DRAFT 2'!$D:$D,$B85,'DRAFT 2'!$A:$A,"&gt;="&amp;DATE(2026,4,22),'DRAFT 2'!$A:$A,"&lt;"&amp;DATE(2026,IF(4=12,4+1,4+1),1))</f>
        <v>0</v>
      </c>
      <c r="EE85">
        <f t="shared" si="33"/>
        <v>0</v>
      </c>
      <c r="EO85">
        <f>IFERROR(LOOKUP(2,1/('DRAFT 2'!$D:$D=$B85)*('DRAFT 2'!$A:$A&gt;=DATE(2026,5,1))*('DRAFT 2'!$A:$A&lt;DATE(2026,IF(5=12,5+1,5+1),1)),'DRAFT 2'!$A:$A),"")</f>
        <v>0</v>
      </c>
      <c r="EP85">
        <f>COUNTIFS('DRAFT 2'!$D:$D,$B85,'DRAFT 2'!$A:$A,"&gt;="&amp;DATE(2026,5,1),'DRAFT 2'!$A:$A,"&lt;="&amp;DATE(2026,5,7))</f>
        <v>0</v>
      </c>
      <c r="EQ85">
        <f>COUNTIFS('DRAFT 2'!$D:$D,$B85,'DRAFT 2'!$A:$A,"&gt;="&amp;DATE(2026,5,8),'DRAFT 2'!$A:$A,"&lt;="&amp;DATE(2026,5,14))</f>
        <v>0</v>
      </c>
      <c r="ER85">
        <f>COUNTIFS('DRAFT 2'!$D:$D,$B85,'DRAFT 2'!$A:$A,"&gt;="&amp;DATE(2026,5,15),'DRAFT 2'!$A:$A,"&lt;="&amp;DATE(2026,5,21))</f>
        <v>0</v>
      </c>
      <c r="ES85">
        <f>COUNTIFS('DRAFT 2'!$D:$D,$B85,'DRAFT 2'!$A:$A,"&gt;="&amp;DATE(2026,5,22),'DRAFT 2'!$A:$A,"&lt;"&amp;DATE(2026,IF(5=12,5+1,5+1),1))</f>
        <v>0</v>
      </c>
      <c r="ET85">
        <f t="shared" si="34"/>
        <v>0</v>
      </c>
      <c r="FD85">
        <f>IFERROR(LOOKUP(2,1/('DRAFT 2'!$D:$D=$B85)*('DRAFT 2'!$A:$A&gt;=DATE(2026,6,1))*('DRAFT 2'!$A:$A&lt;DATE(2026,IF(6=12,6+1,6+1),1)),'DRAFT 2'!$A:$A),"")</f>
        <v>0</v>
      </c>
      <c r="FE85">
        <f>COUNTIFS('DRAFT 2'!$D:$D,$B85,'DRAFT 2'!$A:$A,"&gt;="&amp;DATE(2026,6,1),'DRAFT 2'!$A:$A,"&lt;="&amp;DATE(2026,6,7))</f>
        <v>0</v>
      </c>
      <c r="FF85">
        <f>COUNTIFS('DRAFT 2'!$D:$D,$B85,'DRAFT 2'!$A:$A,"&gt;="&amp;DATE(2026,6,8),'DRAFT 2'!$A:$A,"&lt;="&amp;DATE(2026,6,14))</f>
        <v>0</v>
      </c>
      <c r="FG85">
        <f>COUNTIFS('DRAFT 2'!$D:$D,$B85,'DRAFT 2'!$A:$A,"&gt;="&amp;DATE(2026,6,15),'DRAFT 2'!$A:$A,"&lt;="&amp;DATE(2026,6,21))</f>
        <v>0</v>
      </c>
      <c r="FH85">
        <f>COUNTIFS('DRAFT 2'!$D:$D,$B85,'DRAFT 2'!$A:$A,"&gt;="&amp;DATE(2026,6,22),'DRAFT 2'!$A:$A,"&lt;"&amp;DATE(2026,IF(6=12,6+1,6+1),1))</f>
        <v>0</v>
      </c>
      <c r="FI85">
        <f t="shared" si="35"/>
        <v>0</v>
      </c>
      <c r="FT85">
        <f>IFERROR(LOOKUP(2,1/('DRAFT 2'!$D:$D=$B85)*('DRAFT 2'!$A:$A&gt;=DATE(2026,7,1))*('DRAFT 2'!$A:$A&lt;DATE(2026,IF(7=12,7+1,7+1),1)),'DRAFT 2'!$A:$A),"")</f>
        <v>0</v>
      </c>
      <c r="FU85">
        <f>COUNTIFS('DRAFT 2'!$D:$D,$B85,'DRAFT 2'!$A:$A,"&gt;="&amp;DATE(2026,7,1),'DRAFT 2'!$A:$A,"&lt;="&amp;DATE(2026,7,7))</f>
        <v>0</v>
      </c>
      <c r="FV85">
        <f>COUNTIFS('DRAFT 2'!$D:$D,$B85,'DRAFT 2'!$A:$A,"&gt;="&amp;DATE(2026,7,8),'DRAFT 2'!$A:$A,"&lt;="&amp;DATE(2026,7,14))</f>
        <v>0</v>
      </c>
      <c r="FW85">
        <f>COUNTIFS('DRAFT 2'!$D:$D,$B85,'DRAFT 2'!$A:$A,"&gt;="&amp;DATE(2026,7,15),'DRAFT 2'!$A:$A,"&lt;="&amp;DATE(2026,7,21))</f>
        <v>0</v>
      </c>
      <c r="FX85">
        <f>COUNTIFS('DRAFT 2'!$D:$D,$B85,'DRAFT 2'!$A:$A,"&gt;="&amp;DATE(2026,7,22),'DRAFT 2'!$A:$A,"&lt;"&amp;DATE(2026,IF(7=12,7+1,7+1),1))</f>
        <v>0</v>
      </c>
      <c r="FY85">
        <f t="shared" si="36"/>
        <v>0</v>
      </c>
      <c r="GI85">
        <f>IFERROR(LOOKUP(2,1/('DRAFT 2'!$D:$D=$B85)*('DRAFT 2'!$A:$A&gt;=DATE(2026,8,1))*('DRAFT 2'!$A:$A&lt;DATE(2026,IF(8=12,8+1,8+1),1)),'DRAFT 2'!$A:$A),"")</f>
        <v>0</v>
      </c>
      <c r="GJ85">
        <f>COUNTIFS('DRAFT 2'!$D:$D,$B85,'DRAFT 2'!$A:$A,"&gt;="&amp;DATE(2026,8,1),'DRAFT 2'!$A:$A,"&lt;="&amp;DATE(2026,8,7))</f>
        <v>0</v>
      </c>
      <c r="GK85">
        <f>COUNTIFS('DRAFT 2'!$D:$D,$B85,'DRAFT 2'!$A:$A,"&gt;="&amp;DATE(2026,8,8),'DRAFT 2'!$A:$A,"&lt;="&amp;DATE(2026,8,14))</f>
        <v>0</v>
      </c>
      <c r="GL85">
        <f>COUNTIFS('DRAFT 2'!$D:$D,$B85,'DRAFT 2'!$A:$A,"&gt;="&amp;DATE(2026,8,15),'DRAFT 2'!$A:$A,"&lt;="&amp;DATE(2026,8,21))</f>
        <v>0</v>
      </c>
      <c r="GM85">
        <f>COUNTIFS('DRAFT 2'!$D:$D,$B85,'DRAFT 2'!$A:$A,"&gt;="&amp;DATE(2026,8,22),'DRAFT 2'!$A:$A,"&lt;"&amp;DATE(2026,IF(8=12,8+1,8+1),1))</f>
        <v>0</v>
      </c>
      <c r="GN85">
        <f t="shared" si="37"/>
        <v>0</v>
      </c>
      <c r="GX85">
        <f>IFERROR(LOOKUP(2,1/('DRAFT 2'!$D:$D=$B85)*('DRAFT 2'!$A:$A&gt;=DATE(2026,9,1))*('DRAFT 2'!$A:$A&lt;DATE(2026,IF(9=12,9+1,9+1),1)),'DRAFT 2'!$A:$A),"")</f>
        <v>0</v>
      </c>
      <c r="GY85">
        <f>COUNTIFS('DRAFT 2'!$D:$D,$B85,'DRAFT 2'!$A:$A,"&gt;="&amp;DATE(2026,9,1),'DRAFT 2'!$A:$A,"&lt;="&amp;DATE(2026,9,7))</f>
        <v>0</v>
      </c>
      <c r="GZ85">
        <f>COUNTIFS('DRAFT 2'!$D:$D,$B85,'DRAFT 2'!$A:$A,"&gt;="&amp;DATE(2026,9,8),'DRAFT 2'!$A:$A,"&lt;="&amp;DATE(2026,9,14))</f>
        <v>0</v>
      </c>
      <c r="HA85">
        <f>COUNTIFS('DRAFT 2'!$D:$D,$B85,'DRAFT 2'!$A:$A,"&gt;="&amp;DATE(2026,9,15),'DRAFT 2'!$A:$A,"&lt;="&amp;DATE(2026,9,21))</f>
        <v>0</v>
      </c>
      <c r="HB85">
        <f>COUNTIFS('DRAFT 2'!$D:$D,$B85,'DRAFT 2'!$A:$A,"&gt;="&amp;DATE(2026,9,22),'DRAFT 2'!$A:$A,"&lt;"&amp;DATE(2026,IF(9=12,9+1,9+1),1))</f>
        <v>0</v>
      </c>
      <c r="HC85">
        <f t="shared" si="38"/>
        <v>0</v>
      </c>
      <c r="HN85">
        <f>IFERROR(LOOKUP(2,1/('DRAFT 2'!$D:$D=$B85)*('DRAFT 2'!$A:$A&gt;=DATE(2026,10,1))*('DRAFT 2'!$A:$A&lt;DATE(2026,IF(10=12,10+1,10+1),1)),'DRAFT 2'!$A:$A),"")</f>
        <v>0</v>
      </c>
      <c r="HO85">
        <f>COUNTIFS('DRAFT 2'!$D:$D,$B85,'DRAFT 2'!$A:$A,"&gt;="&amp;DATE(2026,10,1),'DRAFT 2'!$A:$A,"&lt;="&amp;DATE(2026,10,7))</f>
        <v>0</v>
      </c>
      <c r="HP85">
        <f>COUNTIFS('DRAFT 2'!$D:$D,$B85,'DRAFT 2'!$A:$A,"&gt;="&amp;DATE(2026,10,8),'DRAFT 2'!$A:$A,"&lt;="&amp;DATE(2026,10,14))</f>
        <v>0</v>
      </c>
      <c r="HQ85">
        <f>COUNTIFS('DRAFT 2'!$D:$D,$B85,'DRAFT 2'!$A:$A,"&gt;="&amp;DATE(2026,10,15),'DRAFT 2'!$A:$A,"&lt;="&amp;DATE(2026,10,21))</f>
        <v>0</v>
      </c>
      <c r="HR85">
        <f>COUNTIFS('DRAFT 2'!$D:$D,$B85,'DRAFT 2'!$A:$A,"&gt;="&amp;DATE(2026,10,22),'DRAFT 2'!$A:$A,"&lt;"&amp;DATE(2026,IF(10=12,10+1,10+1),1))</f>
        <v>0</v>
      </c>
      <c r="HS85">
        <f t="shared" si="39"/>
        <v>0</v>
      </c>
      <c r="IC85">
        <f>IFERROR(LOOKUP(2,1/('DRAFT 2'!$D:$D=$B85)*('DRAFT 2'!$A:$A&gt;=DATE(2026,11,1))*('DRAFT 2'!$A:$A&lt;DATE(2026,IF(11=12,11+1,11+1),1)),'DRAFT 2'!$A:$A),"")</f>
        <v>0</v>
      </c>
      <c r="ID85">
        <f>COUNTIFS('DRAFT 2'!$D:$D,$B85,'DRAFT 2'!$A:$A,"&gt;="&amp;DATE(2026,11,1),'DRAFT 2'!$A:$A,"&lt;="&amp;DATE(2026,11,7))</f>
        <v>0</v>
      </c>
      <c r="IE85">
        <f>COUNTIFS('DRAFT 2'!$D:$D,$B85,'DRAFT 2'!$A:$A,"&gt;="&amp;DATE(2026,11,8),'DRAFT 2'!$A:$A,"&lt;="&amp;DATE(2026,11,14))</f>
        <v>0</v>
      </c>
      <c r="IF85">
        <f>COUNTIFS('DRAFT 2'!$D:$D,$B85,'DRAFT 2'!$A:$A,"&gt;="&amp;DATE(2026,11,15),'DRAFT 2'!$A:$A,"&lt;="&amp;DATE(2026,11,21))</f>
        <v>0</v>
      </c>
      <c r="IG85">
        <f>COUNTIFS('DRAFT 2'!$D:$D,$B85,'DRAFT 2'!$A:$A,"&gt;="&amp;DATE(2026,11,22),'DRAFT 2'!$A:$A,"&lt;"&amp;DATE(2026,IF(11=12,11+1,11+1),1))</f>
        <v>0</v>
      </c>
      <c r="IH85">
        <f t="shared" si="40"/>
        <v>0</v>
      </c>
      <c r="IR85">
        <f>IFERROR(LOOKUP(2,1/('DRAFT 2'!$D:$D=$B85)*('DRAFT 2'!$A:$A&gt;=DATE(2026,12,1))*('DRAFT 2'!$A:$A&lt;DATE(2026,IF(12=12,12+1,12+1),1)),'DRAFT 2'!$A:$A),"")</f>
        <v>0</v>
      </c>
      <c r="IS85">
        <f>COUNTIFS('DRAFT 2'!$D:$D,$B85,'DRAFT 2'!$A:$A,"&gt;="&amp;DATE(2026,12,1),'DRAFT 2'!$A:$A,"&lt;="&amp;DATE(2026,12,7))</f>
        <v>0</v>
      </c>
      <c r="IT85">
        <f>COUNTIFS('DRAFT 2'!$D:$D,$B85,'DRAFT 2'!$A:$A,"&gt;="&amp;DATE(2026,12,8),'DRAFT 2'!$A:$A,"&lt;="&amp;DATE(2026,12,14))</f>
        <v>0</v>
      </c>
      <c r="IU85">
        <f>COUNTIFS('DRAFT 2'!$D:$D,$B85,'DRAFT 2'!$A:$A,"&gt;="&amp;DATE(2026,12,15),'DRAFT 2'!$A:$A,"&lt;="&amp;DATE(2026,12,21))</f>
        <v>0</v>
      </c>
      <c r="IV85">
        <f>COUNTIFS('DRAFT 2'!$D:$D,$B85,'DRAFT 2'!$A:$A,"&gt;="&amp;DATE(2026,12,22),'DRAFT 2'!$A:$A,"&lt;"&amp;DATE(2026,IF(12=12,12+1,12+1),1))</f>
        <v>0</v>
      </c>
      <c r="IW85">
        <f t="shared" si="41"/>
        <v>0</v>
      </c>
    </row>
    <row r="86" spans="1:257" x14ac:dyDescent="0.3">
      <c r="A86" t="str">
        <f>IFERROR(INDEX('DRAFT 1'!$A:$A,MATCH($B86,'DRAFT 1'!$B:$B,0)),"")</f>
        <v/>
      </c>
      <c r="C86" t="str">
        <f>IFERROR(INDEX('DRAFT 1'!$C:$C,MATCH($B86,'DRAFT 1'!$B:$B,0)),"")</f>
        <v/>
      </c>
      <c r="D86" t="str">
        <f>IFERROR(INDEX('DRAFT 1'!$D:$D,MATCH($B86,'DRAFT 1'!$B:$B,0)),"")</f>
        <v/>
      </c>
      <c r="E86" t="str">
        <f>IFERROR(INDEX('DRAFT 1'!$E:$E,MATCH($B86,'DRAFT 1'!$B:$B,0)),"")</f>
        <v/>
      </c>
      <c r="F86" t="str">
        <f>IFERROR(INDEX('DRAFT 1'!$F:$F,MATCH($B86,'DRAFT 1'!$B:$B,0)),"")</f>
        <v/>
      </c>
      <c r="G86" t="str">
        <f>IFERROR(INDEX('DRAFT 1'!$G:$G,MATCH($B86,'DRAFT 1'!$B:$B,0)),"")</f>
        <v/>
      </c>
      <c r="H86" t="str">
        <f>IFERROR(INDEX('DRAFT 1'!$H:$H,MATCH($B86,'DRAFT 1'!$B:$B,0)),"")</f>
        <v/>
      </c>
      <c r="I86" t="s">
        <v>297</v>
      </c>
      <c r="K86" t="str">
        <f>IFERROR(INDEX('DRAFT 1'!$AL:$AL,MATCH($B86,'DRAFT 1'!$B:$B,0)),"")</f>
        <v/>
      </c>
      <c r="L86" t="str">
        <f>IFERROR(INDEX('DRAFT 1'!$J:$J,MATCH($B86,'DRAFT 1'!$B:$B,0)),"")</f>
        <v/>
      </c>
      <c r="M86" t="str">
        <f>IFERROR(INDEX('DRAFT 1'!$K:$K,MATCH($B86,'DRAFT 1'!$B:$B,0)),"")</f>
        <v/>
      </c>
      <c r="N86" t="s">
        <v>79</v>
      </c>
      <c r="P86" t="str">
        <f>IFERROR(INDEX('DRAFT 1'!$L:$L,MATCH($B86,'DRAFT 1'!$B:$B,0)),"")</f>
        <v/>
      </c>
      <c r="Q86" t="str">
        <f>IFERROR(INDEX('DRAFT 1'!$M:$M,MATCH($B86,'DRAFT 1'!$B:$B,0)),"")</f>
        <v/>
      </c>
      <c r="R86" t="str">
        <f>IFERROR(INDEX('DRAFT 1'!$N:$N,MATCH($B86,'DRAFT 1'!$B:$B,0)),"")</f>
        <v/>
      </c>
      <c r="S86" t="str">
        <f>IFERROR(INDEX('DRAFT 1'!$O:$O,MATCH($B86,'DRAFT 1'!$B:$B,0)),"")</f>
        <v/>
      </c>
      <c r="T86" t="str">
        <f>IFERROR(INDEX('DRAFT 1'!$P:$P,MATCH($B86,'DRAFT 1'!$B:$B,0)),"")</f>
        <v/>
      </c>
      <c r="U86" t="str">
        <f>IFERROR(INDEX('DRAFT 1'!$Q:$Q,MATCH($B86,'DRAFT 1'!$B:$B,0)),"")</f>
        <v/>
      </c>
      <c r="V86" t="str">
        <f>IFERROR(INDEX('DRAFT 1'!$R:$R,MATCH($B86,'DRAFT 1'!$B:$B,0)),"")</f>
        <v/>
      </c>
      <c r="W86" t="str">
        <f>IFERROR(INDEX('DRAFT 1'!$S:$S,MATCH($B86,'DRAFT 1'!$B:$B,0)),"")</f>
        <v/>
      </c>
      <c r="X86" t="str">
        <f>IFERROR(INDEX('DRAFT 1'!$T:$T,MATCH($B86,'DRAFT 1'!$B:$B,0)),"")</f>
        <v/>
      </c>
      <c r="Z86" t="str">
        <f>IFERROR(INDEX('DRAFT 1'!$U:$U,MATCH($B86,'DRAFT 1'!$B:$B,0)),"")</f>
        <v/>
      </c>
      <c r="AA86" t="str">
        <f>IFERROR(INDEX('DRAFT 1'!$V:$V,MATCH($B86,'DRAFT 1'!$B:$B,0)),"")</f>
        <v/>
      </c>
      <c r="AB86" t="str">
        <f>IFERROR(INDEX('DRAFT 1'!$W:$W,MATCH($B86,'DRAFT 1'!$B:$B,0)),"")</f>
        <v/>
      </c>
      <c r="AC86" t="str">
        <f>IFERROR(INDEX('DRAFT 1'!$X:$X,MATCH($B86,'DRAFT 1'!$B:$B,0)),"")</f>
        <v/>
      </c>
      <c r="AD86" t="str">
        <f>IFERROR(INDEX('DRAFT 1'!$Y:$Y,MATCH($B86,'DRAFT 1'!$B:$B,0)),"")</f>
        <v/>
      </c>
      <c r="AE86" t="str">
        <f>IFERROR(INDEX('DRAFT 1'!$Z:$Z,MATCH($B86,'DRAFT 1'!$B:$B,0)),"")</f>
        <v/>
      </c>
      <c r="AF86" t="str">
        <f>IFERROR(INDEX('DRAFT 1'!$AA:$AA,MATCH($B86,'DRAFT 1'!$B:$B,0)),"")</f>
        <v/>
      </c>
      <c r="AG86" t="str">
        <f>IFERROR(INDEX('DRAFT 1'!$AB:$AB,MATCH($B86,'DRAFT 1'!$B:$B,0)),"")</f>
        <v/>
      </c>
      <c r="AH86" t="str">
        <f>IFERROR(INDEX('DRAFT 1'!$AC:$AC,MATCH($B86,'DRAFT 1'!$B:$B,0)),"")</f>
        <v/>
      </c>
      <c r="AI86" t="str">
        <f>IFERROR(INDEX('DRAFT 1'!$AD:$AD,MATCH($B86,'DRAFT 1'!$B:$B,0)),"")</f>
        <v/>
      </c>
      <c r="AJ86" t="str">
        <f>IFERROR(INDEX('DRAFT 1'!$AE:$AE,MATCH($B86,'DRAFT 1'!$B:$B,0)),"")</f>
        <v/>
      </c>
      <c r="AK86" t="str">
        <f>IFERROR(INDEX('DRAFT 1'!$AG:$AG,MATCH($B86,'DRAFT 1'!$B:$B,0)),"")</f>
        <v/>
      </c>
      <c r="AL86" t="str">
        <f>IFERROR(INDEX('DRAFT 1'!$AH:$AH,MATCH($B86,'DRAFT 1'!$B:$B,0)),"")</f>
        <v/>
      </c>
      <c r="AM86" t="str">
        <f>IFERROR(INDEX('DRAFT 1'!$AI:$AI,MATCH($B86,'DRAFT 1'!$B:$B,0)),"")</f>
        <v/>
      </c>
      <c r="AN86" t="str">
        <f>IFERROR(INDEX('DRAFT 1'!$AJ:$AJ,MATCH($B86,'DRAFT 1'!$B:$B,0)),"")</f>
        <v/>
      </c>
      <c r="AO86">
        <f t="shared" si="28"/>
        <v>0</v>
      </c>
      <c r="AP86" t="str">
        <f>IFERROR(INDEX('DRAFT 1'!$AK:$AK,MATCH($B86,'DRAFT 1'!$B:$B,0)),"")</f>
        <v/>
      </c>
      <c r="AR86" t="s">
        <v>92</v>
      </c>
      <c r="AS86">
        <f>IFERROR(LOOKUP(2,1/('DRAFT 2'!$D:$D=$B86),'DRAFT 2'!$T:$T),"")</f>
        <v>0</v>
      </c>
      <c r="AT86">
        <f>IFERROR(LOOKUP(2,1/('DRAFT 2'!$D:$D=$B86),'DRAFT 2'!$A:$A),"")</f>
        <v>0</v>
      </c>
      <c r="AU86">
        <f>IFERROR(LOOKUP(2,1/('DRAFT 2'!$D:$D=$B86),'DRAFT 2'!$R:$R),"")</f>
        <v>0</v>
      </c>
      <c r="AV86">
        <f>IFERROR(LOOKUP(2,1/('DRAFT 2'!$D:$D=$B86),'DRAFT 2'!$S:$S),"")</f>
        <v>0</v>
      </c>
      <c r="AW86" t="s">
        <v>85</v>
      </c>
      <c r="AX86">
        <f>IFERROR(LOOKUP(2,1/('DRAFT 2'!$D:$D=$B86),'DRAFT 2'!$M:$M),"")</f>
        <v>0</v>
      </c>
      <c r="AY86">
        <f>IFERROR(LOOKUP(2,1/('DRAFT 2'!$D:$D=$B86),'DRAFT 2'!$K:$K),"")</f>
        <v>0</v>
      </c>
      <c r="BG86">
        <f>IFERROR(LOOKUP(2,1/('DRAFT 2'!$D:$D=$B86),'DRAFT 2'!$U:$U),"")</f>
        <v>0</v>
      </c>
      <c r="BH86">
        <f>IFERROR(LOOKUP(2,1/('DRAFT 2'!$D:$D=$B86),'DRAFT 2'!$V:$V),"")</f>
        <v>0</v>
      </c>
      <c r="CE86" t="str">
        <f t="shared" si="29"/>
        <v/>
      </c>
      <c r="CF86">
        <f>IFERROR(LOOKUP(2,1/('DRAFT 2'!$D:$D=$B86)*('DRAFT 2'!$A:$A&gt;=DATE(2026,1,1))*('DRAFT 2'!$A:$A&lt;DATE(2026,IF(1=12,1+1,1+1),1)),'DRAFT 2'!$A:$A),"")</f>
        <v>0</v>
      </c>
      <c r="CG86">
        <f>COUNTIFS('DRAFT 2'!$D:$D,$B86,'DRAFT 2'!$A:$A,"&gt;="&amp;DATE(2026,1,1),'DRAFT 2'!$A:$A,"&lt;="&amp;DATE(2026,1,7))</f>
        <v>0</v>
      </c>
      <c r="CH86">
        <f>COUNTIFS('DRAFT 2'!$D:$D,$B86,'DRAFT 2'!$A:$A,"&gt;="&amp;DATE(2026,1,8),'DRAFT 2'!$A:$A,"&lt;="&amp;DATE(2026,1,14))</f>
        <v>0</v>
      </c>
      <c r="CI86">
        <f>COUNTIFS('DRAFT 2'!$D:$D,$B86,'DRAFT 2'!$A:$A,"&gt;="&amp;DATE(2026,1,15),'DRAFT 2'!$A:$A,"&lt;="&amp;DATE(2026,1,21))</f>
        <v>0</v>
      </c>
      <c r="CJ86">
        <f>COUNTIFS('DRAFT 2'!$D:$D,$B86,'DRAFT 2'!$A:$A,"&gt;="&amp;DATE(2026,1,22),'DRAFT 2'!$A:$A,"&lt;"&amp;DATE(2026,IF(1=12,1+1,1+1),1))</f>
        <v>0</v>
      </c>
      <c r="CK86">
        <f t="shared" si="30"/>
        <v>0</v>
      </c>
      <c r="CT86">
        <v>0</v>
      </c>
      <c r="CU86">
        <f>IFERROR(LOOKUP(2,1/('DRAFT 2'!$D:$D=$B86)*('DRAFT 2'!$A:$A&gt;=DATE(2026,2,1))*('DRAFT 2'!$A:$A&lt;DATE(2026,IF(2=12,2+1,2+1),1)),'DRAFT 2'!$A:$A),"")</f>
        <v>0</v>
      </c>
      <c r="CV86">
        <f>COUNTIFS('DRAFT 2'!$D:$D,$B86,'DRAFT 2'!$A:$A,"&gt;="&amp;DATE(2026,2,1),'DRAFT 2'!$A:$A,"&lt;="&amp;DATE(2026,2,7))</f>
        <v>0</v>
      </c>
      <c r="CW86">
        <f>COUNTIFS('DRAFT 2'!$D:$D,$B86,'DRAFT 2'!$A:$A,"&gt;="&amp;DATE(2026,2,8),'DRAFT 2'!$A:$A,"&lt;="&amp;DATE(2026,2,14))</f>
        <v>0</v>
      </c>
      <c r="CX86">
        <f>COUNTIFS('DRAFT 2'!$D:$D,$B86,'DRAFT 2'!$A:$A,"&gt;="&amp;DATE(2026,2,15),'DRAFT 2'!$A:$A,"&lt;="&amp;DATE(2026,2,21))</f>
        <v>0</v>
      </c>
      <c r="CY86">
        <f>COUNTIFS('DRAFT 2'!$D:$D,$B86,'DRAFT 2'!$A:$A,"&gt;="&amp;DATE(2026,2,22),'DRAFT 2'!$A:$A,"&lt;"&amp;DATE(2026,IF(2=12,2+1,2+1),1))</f>
        <v>0</v>
      </c>
      <c r="CZ86">
        <f t="shared" si="31"/>
        <v>0</v>
      </c>
      <c r="DJ86">
        <f>IFERROR(LOOKUP(2,1/('DRAFT 2'!$D:$D=$B86)*('DRAFT 2'!$A:$A&gt;=DATE(2026,3,1))*('DRAFT 2'!$A:$A&lt;DATE(2026,IF(3=12,3+1,3+1),1)),'DRAFT 2'!$A:$A),"")</f>
        <v>0</v>
      </c>
      <c r="DK86">
        <f>COUNTIFS('DRAFT 2'!$D:$D,$B86,'DRAFT 2'!$A:$A,"&gt;="&amp;DATE(2026,3,1),'DRAFT 2'!$A:$A,"&lt;="&amp;DATE(2026,3,7))</f>
        <v>0</v>
      </c>
      <c r="DL86">
        <f>COUNTIFS('DRAFT 2'!$D:$D,$B86,'DRAFT 2'!$A:$A,"&gt;="&amp;DATE(2026,3,8),'DRAFT 2'!$A:$A,"&lt;="&amp;DATE(2026,3,14))</f>
        <v>0</v>
      </c>
      <c r="DM86">
        <f>COUNTIFS('DRAFT 2'!$D:$D,$B86,'DRAFT 2'!$A:$A,"&gt;="&amp;DATE(2026,3,15),'DRAFT 2'!$A:$A,"&lt;="&amp;DATE(2026,3,21))</f>
        <v>0</v>
      </c>
      <c r="DN86">
        <f>COUNTIFS('DRAFT 2'!$D:$D,$B86,'DRAFT 2'!$A:$A,"&gt;="&amp;DATE(2026,3,22),'DRAFT 2'!$A:$A,"&lt;"&amp;DATE(2026,IF(3=12,3+1,3+1),1))</f>
        <v>0</v>
      </c>
      <c r="DO86">
        <f t="shared" si="32"/>
        <v>0</v>
      </c>
      <c r="DZ86">
        <f>IFERROR(LOOKUP(2,1/('DRAFT 2'!$D:$D=$B86)*('DRAFT 2'!$A:$A&gt;=DATE(2026,4,1))*('DRAFT 2'!$A:$A&lt;DATE(2026,IF(4=12,4+1,4+1),1)),'DRAFT 2'!$A:$A),"")</f>
        <v>0</v>
      </c>
      <c r="EA86">
        <f>COUNTIFS('DRAFT 2'!$D:$D,$B86,'DRAFT 2'!$A:$A,"&gt;="&amp;DATE(2026,4,1),'DRAFT 2'!$A:$A,"&lt;="&amp;DATE(2026,4,7))</f>
        <v>0</v>
      </c>
      <c r="EB86">
        <f>COUNTIFS('DRAFT 2'!$D:$D,$B86,'DRAFT 2'!$A:$A,"&gt;="&amp;DATE(2026,4,8),'DRAFT 2'!$A:$A,"&lt;="&amp;DATE(2026,4,14))</f>
        <v>0</v>
      </c>
      <c r="EC86">
        <f>COUNTIFS('DRAFT 2'!$D:$D,$B86,'DRAFT 2'!$A:$A,"&gt;="&amp;DATE(2026,4,15),'DRAFT 2'!$A:$A,"&lt;="&amp;DATE(2026,4,21))</f>
        <v>0</v>
      </c>
      <c r="ED86">
        <f>COUNTIFS('DRAFT 2'!$D:$D,$B86,'DRAFT 2'!$A:$A,"&gt;="&amp;DATE(2026,4,22),'DRAFT 2'!$A:$A,"&lt;"&amp;DATE(2026,IF(4=12,4+1,4+1),1))</f>
        <v>0</v>
      </c>
      <c r="EE86">
        <f t="shared" si="33"/>
        <v>0</v>
      </c>
      <c r="EO86">
        <f>IFERROR(LOOKUP(2,1/('DRAFT 2'!$D:$D=$B86)*('DRAFT 2'!$A:$A&gt;=DATE(2026,5,1))*('DRAFT 2'!$A:$A&lt;DATE(2026,IF(5=12,5+1,5+1),1)),'DRAFT 2'!$A:$A),"")</f>
        <v>0</v>
      </c>
      <c r="EP86">
        <f>COUNTIFS('DRAFT 2'!$D:$D,$B86,'DRAFT 2'!$A:$A,"&gt;="&amp;DATE(2026,5,1),'DRAFT 2'!$A:$A,"&lt;="&amp;DATE(2026,5,7))</f>
        <v>0</v>
      </c>
      <c r="EQ86">
        <f>COUNTIFS('DRAFT 2'!$D:$D,$B86,'DRAFT 2'!$A:$A,"&gt;="&amp;DATE(2026,5,8),'DRAFT 2'!$A:$A,"&lt;="&amp;DATE(2026,5,14))</f>
        <v>0</v>
      </c>
      <c r="ER86">
        <f>COUNTIFS('DRAFT 2'!$D:$D,$B86,'DRAFT 2'!$A:$A,"&gt;="&amp;DATE(2026,5,15),'DRAFT 2'!$A:$A,"&lt;="&amp;DATE(2026,5,21))</f>
        <v>0</v>
      </c>
      <c r="ES86">
        <f>COUNTIFS('DRAFT 2'!$D:$D,$B86,'DRAFT 2'!$A:$A,"&gt;="&amp;DATE(2026,5,22),'DRAFT 2'!$A:$A,"&lt;"&amp;DATE(2026,IF(5=12,5+1,5+1),1))</f>
        <v>0</v>
      </c>
      <c r="ET86">
        <f t="shared" si="34"/>
        <v>0</v>
      </c>
      <c r="FD86">
        <f>IFERROR(LOOKUP(2,1/('DRAFT 2'!$D:$D=$B86)*('DRAFT 2'!$A:$A&gt;=DATE(2026,6,1))*('DRAFT 2'!$A:$A&lt;DATE(2026,IF(6=12,6+1,6+1),1)),'DRAFT 2'!$A:$A),"")</f>
        <v>0</v>
      </c>
      <c r="FE86">
        <f>COUNTIFS('DRAFT 2'!$D:$D,$B86,'DRAFT 2'!$A:$A,"&gt;="&amp;DATE(2026,6,1),'DRAFT 2'!$A:$A,"&lt;="&amp;DATE(2026,6,7))</f>
        <v>0</v>
      </c>
      <c r="FF86">
        <f>COUNTIFS('DRAFT 2'!$D:$D,$B86,'DRAFT 2'!$A:$A,"&gt;="&amp;DATE(2026,6,8),'DRAFT 2'!$A:$A,"&lt;="&amp;DATE(2026,6,14))</f>
        <v>0</v>
      </c>
      <c r="FG86">
        <f>COUNTIFS('DRAFT 2'!$D:$D,$B86,'DRAFT 2'!$A:$A,"&gt;="&amp;DATE(2026,6,15),'DRAFT 2'!$A:$A,"&lt;="&amp;DATE(2026,6,21))</f>
        <v>0</v>
      </c>
      <c r="FH86">
        <f>COUNTIFS('DRAFT 2'!$D:$D,$B86,'DRAFT 2'!$A:$A,"&gt;="&amp;DATE(2026,6,22),'DRAFT 2'!$A:$A,"&lt;"&amp;DATE(2026,IF(6=12,6+1,6+1),1))</f>
        <v>0</v>
      </c>
      <c r="FI86">
        <f t="shared" si="35"/>
        <v>0</v>
      </c>
      <c r="FT86">
        <f>IFERROR(LOOKUP(2,1/('DRAFT 2'!$D:$D=$B86)*('DRAFT 2'!$A:$A&gt;=DATE(2026,7,1))*('DRAFT 2'!$A:$A&lt;DATE(2026,IF(7=12,7+1,7+1),1)),'DRAFT 2'!$A:$A),"")</f>
        <v>0</v>
      </c>
      <c r="FU86">
        <f>COUNTIFS('DRAFT 2'!$D:$D,$B86,'DRAFT 2'!$A:$A,"&gt;="&amp;DATE(2026,7,1),'DRAFT 2'!$A:$A,"&lt;="&amp;DATE(2026,7,7))</f>
        <v>0</v>
      </c>
      <c r="FV86">
        <f>COUNTIFS('DRAFT 2'!$D:$D,$B86,'DRAFT 2'!$A:$A,"&gt;="&amp;DATE(2026,7,8),'DRAFT 2'!$A:$A,"&lt;="&amp;DATE(2026,7,14))</f>
        <v>0</v>
      </c>
      <c r="FW86">
        <f>COUNTIFS('DRAFT 2'!$D:$D,$B86,'DRAFT 2'!$A:$A,"&gt;="&amp;DATE(2026,7,15),'DRAFT 2'!$A:$A,"&lt;="&amp;DATE(2026,7,21))</f>
        <v>0</v>
      </c>
      <c r="FX86">
        <f>COUNTIFS('DRAFT 2'!$D:$D,$B86,'DRAFT 2'!$A:$A,"&gt;="&amp;DATE(2026,7,22),'DRAFT 2'!$A:$A,"&lt;"&amp;DATE(2026,IF(7=12,7+1,7+1),1))</f>
        <v>0</v>
      </c>
      <c r="FY86">
        <f t="shared" si="36"/>
        <v>0</v>
      </c>
      <c r="GI86">
        <f>IFERROR(LOOKUP(2,1/('DRAFT 2'!$D:$D=$B86)*('DRAFT 2'!$A:$A&gt;=DATE(2026,8,1))*('DRAFT 2'!$A:$A&lt;DATE(2026,IF(8=12,8+1,8+1),1)),'DRAFT 2'!$A:$A),"")</f>
        <v>0</v>
      </c>
      <c r="GJ86">
        <f>COUNTIFS('DRAFT 2'!$D:$D,$B86,'DRAFT 2'!$A:$A,"&gt;="&amp;DATE(2026,8,1),'DRAFT 2'!$A:$A,"&lt;="&amp;DATE(2026,8,7))</f>
        <v>0</v>
      </c>
      <c r="GK86">
        <f>COUNTIFS('DRAFT 2'!$D:$D,$B86,'DRAFT 2'!$A:$A,"&gt;="&amp;DATE(2026,8,8),'DRAFT 2'!$A:$A,"&lt;="&amp;DATE(2026,8,14))</f>
        <v>0</v>
      </c>
      <c r="GL86">
        <f>COUNTIFS('DRAFT 2'!$D:$D,$B86,'DRAFT 2'!$A:$A,"&gt;="&amp;DATE(2026,8,15),'DRAFT 2'!$A:$A,"&lt;="&amp;DATE(2026,8,21))</f>
        <v>0</v>
      </c>
      <c r="GM86">
        <f>COUNTIFS('DRAFT 2'!$D:$D,$B86,'DRAFT 2'!$A:$A,"&gt;="&amp;DATE(2026,8,22),'DRAFT 2'!$A:$A,"&lt;"&amp;DATE(2026,IF(8=12,8+1,8+1),1))</f>
        <v>0</v>
      </c>
      <c r="GN86">
        <f t="shared" si="37"/>
        <v>0</v>
      </c>
      <c r="GX86">
        <f>IFERROR(LOOKUP(2,1/('DRAFT 2'!$D:$D=$B86)*('DRAFT 2'!$A:$A&gt;=DATE(2026,9,1))*('DRAFT 2'!$A:$A&lt;DATE(2026,IF(9=12,9+1,9+1),1)),'DRAFT 2'!$A:$A),"")</f>
        <v>0</v>
      </c>
      <c r="GY86">
        <f>COUNTIFS('DRAFT 2'!$D:$D,$B86,'DRAFT 2'!$A:$A,"&gt;="&amp;DATE(2026,9,1),'DRAFT 2'!$A:$A,"&lt;="&amp;DATE(2026,9,7))</f>
        <v>0</v>
      </c>
      <c r="GZ86">
        <f>COUNTIFS('DRAFT 2'!$D:$D,$B86,'DRAFT 2'!$A:$A,"&gt;="&amp;DATE(2026,9,8),'DRAFT 2'!$A:$A,"&lt;="&amp;DATE(2026,9,14))</f>
        <v>0</v>
      </c>
      <c r="HA86">
        <f>COUNTIFS('DRAFT 2'!$D:$D,$B86,'DRAFT 2'!$A:$A,"&gt;="&amp;DATE(2026,9,15),'DRAFT 2'!$A:$A,"&lt;="&amp;DATE(2026,9,21))</f>
        <v>0</v>
      </c>
      <c r="HB86">
        <f>COUNTIFS('DRAFT 2'!$D:$D,$B86,'DRAFT 2'!$A:$A,"&gt;="&amp;DATE(2026,9,22),'DRAFT 2'!$A:$A,"&lt;"&amp;DATE(2026,IF(9=12,9+1,9+1),1))</f>
        <v>0</v>
      </c>
      <c r="HC86">
        <f t="shared" si="38"/>
        <v>0</v>
      </c>
      <c r="HN86">
        <f>IFERROR(LOOKUP(2,1/('DRAFT 2'!$D:$D=$B86)*('DRAFT 2'!$A:$A&gt;=DATE(2026,10,1))*('DRAFT 2'!$A:$A&lt;DATE(2026,IF(10=12,10+1,10+1),1)),'DRAFT 2'!$A:$A),"")</f>
        <v>0</v>
      </c>
      <c r="HO86">
        <f>COUNTIFS('DRAFT 2'!$D:$D,$B86,'DRAFT 2'!$A:$A,"&gt;="&amp;DATE(2026,10,1),'DRAFT 2'!$A:$A,"&lt;="&amp;DATE(2026,10,7))</f>
        <v>0</v>
      </c>
      <c r="HP86">
        <f>COUNTIFS('DRAFT 2'!$D:$D,$B86,'DRAFT 2'!$A:$A,"&gt;="&amp;DATE(2026,10,8),'DRAFT 2'!$A:$A,"&lt;="&amp;DATE(2026,10,14))</f>
        <v>0</v>
      </c>
      <c r="HQ86">
        <f>COUNTIFS('DRAFT 2'!$D:$D,$B86,'DRAFT 2'!$A:$A,"&gt;="&amp;DATE(2026,10,15),'DRAFT 2'!$A:$A,"&lt;="&amp;DATE(2026,10,21))</f>
        <v>0</v>
      </c>
      <c r="HR86">
        <f>COUNTIFS('DRAFT 2'!$D:$D,$B86,'DRAFT 2'!$A:$A,"&gt;="&amp;DATE(2026,10,22),'DRAFT 2'!$A:$A,"&lt;"&amp;DATE(2026,IF(10=12,10+1,10+1),1))</f>
        <v>0</v>
      </c>
      <c r="HS86">
        <f t="shared" si="39"/>
        <v>0</v>
      </c>
      <c r="IC86">
        <f>IFERROR(LOOKUP(2,1/('DRAFT 2'!$D:$D=$B86)*('DRAFT 2'!$A:$A&gt;=DATE(2026,11,1))*('DRAFT 2'!$A:$A&lt;DATE(2026,IF(11=12,11+1,11+1),1)),'DRAFT 2'!$A:$A),"")</f>
        <v>0</v>
      </c>
      <c r="ID86">
        <f>COUNTIFS('DRAFT 2'!$D:$D,$B86,'DRAFT 2'!$A:$A,"&gt;="&amp;DATE(2026,11,1),'DRAFT 2'!$A:$A,"&lt;="&amp;DATE(2026,11,7))</f>
        <v>0</v>
      </c>
      <c r="IE86">
        <f>COUNTIFS('DRAFT 2'!$D:$D,$B86,'DRAFT 2'!$A:$A,"&gt;="&amp;DATE(2026,11,8),'DRAFT 2'!$A:$A,"&lt;="&amp;DATE(2026,11,14))</f>
        <v>0</v>
      </c>
      <c r="IF86">
        <f>COUNTIFS('DRAFT 2'!$D:$D,$B86,'DRAFT 2'!$A:$A,"&gt;="&amp;DATE(2026,11,15),'DRAFT 2'!$A:$A,"&lt;="&amp;DATE(2026,11,21))</f>
        <v>0</v>
      </c>
      <c r="IG86">
        <f>COUNTIFS('DRAFT 2'!$D:$D,$B86,'DRAFT 2'!$A:$A,"&gt;="&amp;DATE(2026,11,22),'DRAFT 2'!$A:$A,"&lt;"&amp;DATE(2026,IF(11=12,11+1,11+1),1))</f>
        <v>0</v>
      </c>
      <c r="IH86">
        <f t="shared" si="40"/>
        <v>0</v>
      </c>
      <c r="IR86">
        <f>IFERROR(LOOKUP(2,1/('DRAFT 2'!$D:$D=$B86)*('DRAFT 2'!$A:$A&gt;=DATE(2026,12,1))*('DRAFT 2'!$A:$A&lt;DATE(2026,IF(12=12,12+1,12+1),1)),'DRAFT 2'!$A:$A),"")</f>
        <v>0</v>
      </c>
      <c r="IS86">
        <f>COUNTIFS('DRAFT 2'!$D:$D,$B86,'DRAFT 2'!$A:$A,"&gt;="&amp;DATE(2026,12,1),'DRAFT 2'!$A:$A,"&lt;="&amp;DATE(2026,12,7))</f>
        <v>0</v>
      </c>
      <c r="IT86">
        <f>COUNTIFS('DRAFT 2'!$D:$D,$B86,'DRAFT 2'!$A:$A,"&gt;="&amp;DATE(2026,12,8),'DRAFT 2'!$A:$A,"&lt;="&amp;DATE(2026,12,14))</f>
        <v>0</v>
      </c>
      <c r="IU86">
        <f>COUNTIFS('DRAFT 2'!$D:$D,$B86,'DRAFT 2'!$A:$A,"&gt;="&amp;DATE(2026,12,15),'DRAFT 2'!$A:$A,"&lt;="&amp;DATE(2026,12,21))</f>
        <v>0</v>
      </c>
      <c r="IV86">
        <f>COUNTIFS('DRAFT 2'!$D:$D,$B86,'DRAFT 2'!$A:$A,"&gt;="&amp;DATE(2026,12,22),'DRAFT 2'!$A:$A,"&lt;"&amp;DATE(2026,IF(12=12,12+1,12+1),1))</f>
        <v>0</v>
      </c>
      <c r="IW86">
        <f t="shared" si="41"/>
        <v>0</v>
      </c>
    </row>
    <row r="87" spans="1:257" x14ac:dyDescent="0.3">
      <c r="A87" t="str">
        <f>IFERROR(INDEX('DRAFT 1'!$A:$A,MATCH($B87,'DRAFT 1'!$B:$B,0)),"")</f>
        <v/>
      </c>
      <c r="C87" t="str">
        <f>IFERROR(INDEX('DRAFT 1'!$C:$C,MATCH($B87,'DRAFT 1'!$B:$B,0)),"")</f>
        <v/>
      </c>
      <c r="D87" t="str">
        <f>IFERROR(INDEX('DRAFT 1'!$D:$D,MATCH($B87,'DRAFT 1'!$B:$B,0)),"")</f>
        <v/>
      </c>
      <c r="E87" t="str">
        <f>IFERROR(INDEX('DRAFT 1'!$E:$E,MATCH($B87,'DRAFT 1'!$B:$B,0)),"")</f>
        <v/>
      </c>
      <c r="F87" t="str">
        <f>IFERROR(INDEX('DRAFT 1'!$F:$F,MATCH($B87,'DRAFT 1'!$B:$B,0)),"")</f>
        <v/>
      </c>
      <c r="G87" t="str">
        <f>IFERROR(INDEX('DRAFT 1'!$G:$G,MATCH($B87,'DRAFT 1'!$B:$B,0)),"")</f>
        <v/>
      </c>
      <c r="H87" t="str">
        <f>IFERROR(INDEX('DRAFT 1'!$H:$H,MATCH($B87,'DRAFT 1'!$B:$B,0)),"")</f>
        <v/>
      </c>
      <c r="I87" t="s">
        <v>296</v>
      </c>
      <c r="K87" t="str">
        <f>IFERROR(INDEX('DRAFT 1'!$AL:$AL,MATCH($B87,'DRAFT 1'!$B:$B,0)),"")</f>
        <v/>
      </c>
      <c r="L87" t="str">
        <f>IFERROR(INDEX('DRAFT 1'!$J:$J,MATCH($B87,'DRAFT 1'!$B:$B,0)),"")</f>
        <v/>
      </c>
      <c r="M87" t="str">
        <f>IFERROR(INDEX('DRAFT 1'!$K:$K,MATCH($B87,'DRAFT 1'!$B:$B,0)),"")</f>
        <v/>
      </c>
      <c r="N87" t="s">
        <v>82</v>
      </c>
      <c r="P87" t="str">
        <f>IFERROR(INDEX('DRAFT 1'!$L:$L,MATCH($B87,'DRAFT 1'!$B:$B,0)),"")</f>
        <v/>
      </c>
      <c r="Q87" t="str">
        <f>IFERROR(INDEX('DRAFT 1'!$M:$M,MATCH($B87,'DRAFT 1'!$B:$B,0)),"")</f>
        <v/>
      </c>
      <c r="R87" t="str">
        <f>IFERROR(INDEX('DRAFT 1'!$N:$N,MATCH($B87,'DRAFT 1'!$B:$B,0)),"")</f>
        <v/>
      </c>
      <c r="S87" t="str">
        <f>IFERROR(INDEX('DRAFT 1'!$O:$O,MATCH($B87,'DRAFT 1'!$B:$B,0)),"")</f>
        <v/>
      </c>
      <c r="T87" t="str">
        <f>IFERROR(INDEX('DRAFT 1'!$P:$P,MATCH($B87,'DRAFT 1'!$B:$B,0)),"")</f>
        <v/>
      </c>
      <c r="U87" t="str">
        <f>IFERROR(INDEX('DRAFT 1'!$Q:$Q,MATCH($B87,'DRAFT 1'!$B:$B,0)),"")</f>
        <v/>
      </c>
      <c r="V87" t="str">
        <f>IFERROR(INDEX('DRAFT 1'!$R:$R,MATCH($B87,'DRAFT 1'!$B:$B,0)),"")</f>
        <v/>
      </c>
      <c r="W87" t="str">
        <f>IFERROR(INDEX('DRAFT 1'!$S:$S,MATCH($B87,'DRAFT 1'!$B:$B,0)),"")</f>
        <v/>
      </c>
      <c r="X87" t="str">
        <f>IFERROR(INDEX('DRAFT 1'!$T:$T,MATCH($B87,'DRAFT 1'!$B:$B,0)),"")</f>
        <v/>
      </c>
      <c r="Z87" t="str">
        <f>IFERROR(INDEX('DRAFT 1'!$U:$U,MATCH($B87,'DRAFT 1'!$B:$B,0)),"")</f>
        <v/>
      </c>
      <c r="AA87" t="str">
        <f>IFERROR(INDEX('DRAFT 1'!$V:$V,MATCH($B87,'DRAFT 1'!$B:$B,0)),"")</f>
        <v/>
      </c>
      <c r="AB87" t="str">
        <f>IFERROR(INDEX('DRAFT 1'!$W:$W,MATCH($B87,'DRAFT 1'!$B:$B,0)),"")</f>
        <v/>
      </c>
      <c r="AC87" t="str">
        <f>IFERROR(INDEX('DRAFT 1'!$X:$X,MATCH($B87,'DRAFT 1'!$B:$B,0)),"")</f>
        <v/>
      </c>
      <c r="AD87" t="str">
        <f>IFERROR(INDEX('DRAFT 1'!$Y:$Y,MATCH($B87,'DRAFT 1'!$B:$B,0)),"")</f>
        <v/>
      </c>
      <c r="AE87" t="str">
        <f>IFERROR(INDEX('DRAFT 1'!$Z:$Z,MATCH($B87,'DRAFT 1'!$B:$B,0)),"")</f>
        <v/>
      </c>
      <c r="AF87" t="str">
        <f>IFERROR(INDEX('DRAFT 1'!$AA:$AA,MATCH($B87,'DRAFT 1'!$B:$B,0)),"")</f>
        <v/>
      </c>
      <c r="AG87" t="str">
        <f>IFERROR(INDEX('DRAFT 1'!$AB:$AB,MATCH($B87,'DRAFT 1'!$B:$B,0)),"")</f>
        <v/>
      </c>
      <c r="AH87" t="str">
        <f>IFERROR(INDEX('DRAFT 1'!$AC:$AC,MATCH($B87,'DRAFT 1'!$B:$B,0)),"")</f>
        <v/>
      </c>
      <c r="AI87" t="str">
        <f>IFERROR(INDEX('DRAFT 1'!$AD:$AD,MATCH($B87,'DRAFT 1'!$B:$B,0)),"")</f>
        <v/>
      </c>
      <c r="AJ87" t="str">
        <f>IFERROR(INDEX('DRAFT 1'!$AE:$AE,MATCH($B87,'DRAFT 1'!$B:$B,0)),"")</f>
        <v/>
      </c>
      <c r="AK87" t="str">
        <f>IFERROR(INDEX('DRAFT 1'!$AG:$AG,MATCH($B87,'DRAFT 1'!$B:$B,0)),"")</f>
        <v/>
      </c>
      <c r="AL87" t="str">
        <f>IFERROR(INDEX('DRAFT 1'!$AH:$AH,MATCH($B87,'DRAFT 1'!$B:$B,0)),"")</f>
        <v/>
      </c>
      <c r="AM87" t="str">
        <f>IFERROR(INDEX('DRAFT 1'!$AI:$AI,MATCH($B87,'DRAFT 1'!$B:$B,0)),"")</f>
        <v/>
      </c>
      <c r="AN87" t="str">
        <f>IFERROR(INDEX('DRAFT 1'!$AJ:$AJ,MATCH($B87,'DRAFT 1'!$B:$B,0)),"")</f>
        <v/>
      </c>
      <c r="AO87">
        <f t="shared" si="28"/>
        <v>0</v>
      </c>
      <c r="AP87" t="str">
        <f>IFERROR(INDEX('DRAFT 1'!$AK:$AK,MATCH($B87,'DRAFT 1'!$B:$B,0)),"")</f>
        <v/>
      </c>
      <c r="AR87" t="s">
        <v>92</v>
      </c>
      <c r="AS87">
        <f>IFERROR(LOOKUP(2,1/('DRAFT 2'!$D:$D=$B87),'DRAFT 2'!$T:$T),"")</f>
        <v>0</v>
      </c>
      <c r="AT87">
        <f>IFERROR(LOOKUP(2,1/('DRAFT 2'!$D:$D=$B87),'DRAFT 2'!$A:$A),"")</f>
        <v>0</v>
      </c>
      <c r="AU87">
        <f>IFERROR(LOOKUP(2,1/('DRAFT 2'!$D:$D=$B87),'DRAFT 2'!$R:$R),"")</f>
        <v>0</v>
      </c>
      <c r="AV87">
        <f>IFERROR(LOOKUP(2,1/('DRAFT 2'!$D:$D=$B87),'DRAFT 2'!$S:$S),"")</f>
        <v>0</v>
      </c>
      <c r="AW87" t="s">
        <v>88</v>
      </c>
      <c r="AX87">
        <f>IFERROR(LOOKUP(2,1/('DRAFT 2'!$D:$D=$B87),'DRAFT 2'!$M:$M),"")</f>
        <v>0</v>
      </c>
      <c r="AY87">
        <f>IFERROR(LOOKUP(2,1/('DRAFT 2'!$D:$D=$B87),'DRAFT 2'!$K:$K),"")</f>
        <v>0</v>
      </c>
      <c r="BG87">
        <f>IFERROR(LOOKUP(2,1/('DRAFT 2'!$D:$D=$B87),'DRAFT 2'!$U:$U),"")</f>
        <v>0</v>
      </c>
      <c r="BH87">
        <f>IFERROR(LOOKUP(2,1/('DRAFT 2'!$D:$D=$B87),'DRAFT 2'!$V:$V),"")</f>
        <v>0</v>
      </c>
      <c r="CE87" t="str">
        <f t="shared" si="29"/>
        <v/>
      </c>
      <c r="CF87">
        <f>IFERROR(LOOKUP(2,1/('DRAFT 2'!$D:$D=$B87)*('DRAFT 2'!$A:$A&gt;=DATE(2026,1,1))*('DRAFT 2'!$A:$A&lt;DATE(2026,IF(1=12,1+1,1+1),1)),'DRAFT 2'!$A:$A),"")</f>
        <v>0</v>
      </c>
      <c r="CG87">
        <f>COUNTIFS('DRAFT 2'!$D:$D,$B87,'DRAFT 2'!$A:$A,"&gt;="&amp;DATE(2026,1,1),'DRAFT 2'!$A:$A,"&lt;="&amp;DATE(2026,1,7))</f>
        <v>0</v>
      </c>
      <c r="CH87">
        <f>COUNTIFS('DRAFT 2'!$D:$D,$B87,'DRAFT 2'!$A:$A,"&gt;="&amp;DATE(2026,1,8),'DRAFT 2'!$A:$A,"&lt;="&amp;DATE(2026,1,14))</f>
        <v>0</v>
      </c>
      <c r="CI87">
        <f>COUNTIFS('DRAFT 2'!$D:$D,$B87,'DRAFT 2'!$A:$A,"&gt;="&amp;DATE(2026,1,15),'DRAFT 2'!$A:$A,"&lt;="&amp;DATE(2026,1,21))</f>
        <v>0</v>
      </c>
      <c r="CJ87">
        <f>COUNTIFS('DRAFT 2'!$D:$D,$B87,'DRAFT 2'!$A:$A,"&gt;="&amp;DATE(2026,1,22),'DRAFT 2'!$A:$A,"&lt;"&amp;DATE(2026,IF(1=12,1+1,1+1),1))</f>
        <v>0</v>
      </c>
      <c r="CK87">
        <f t="shared" si="30"/>
        <v>0</v>
      </c>
      <c r="CT87">
        <v>0</v>
      </c>
      <c r="CU87">
        <f>IFERROR(LOOKUP(2,1/('DRAFT 2'!$D:$D=$B87)*('DRAFT 2'!$A:$A&gt;=DATE(2026,2,1))*('DRAFT 2'!$A:$A&lt;DATE(2026,IF(2=12,2+1,2+1),1)),'DRAFT 2'!$A:$A),"")</f>
        <v>0</v>
      </c>
      <c r="CV87">
        <f>COUNTIFS('DRAFT 2'!$D:$D,$B87,'DRAFT 2'!$A:$A,"&gt;="&amp;DATE(2026,2,1),'DRAFT 2'!$A:$A,"&lt;="&amp;DATE(2026,2,7))</f>
        <v>0</v>
      </c>
      <c r="CW87">
        <f>COUNTIFS('DRAFT 2'!$D:$D,$B87,'DRAFT 2'!$A:$A,"&gt;="&amp;DATE(2026,2,8),'DRAFT 2'!$A:$A,"&lt;="&amp;DATE(2026,2,14))</f>
        <v>0</v>
      </c>
      <c r="CX87">
        <f>COUNTIFS('DRAFT 2'!$D:$D,$B87,'DRAFT 2'!$A:$A,"&gt;="&amp;DATE(2026,2,15),'DRAFT 2'!$A:$A,"&lt;="&amp;DATE(2026,2,21))</f>
        <v>0</v>
      </c>
      <c r="CY87">
        <f>COUNTIFS('DRAFT 2'!$D:$D,$B87,'DRAFT 2'!$A:$A,"&gt;="&amp;DATE(2026,2,22),'DRAFT 2'!$A:$A,"&lt;"&amp;DATE(2026,IF(2=12,2+1,2+1),1))</f>
        <v>0</v>
      </c>
      <c r="CZ87">
        <f t="shared" si="31"/>
        <v>0</v>
      </c>
      <c r="DJ87">
        <f>IFERROR(LOOKUP(2,1/('DRAFT 2'!$D:$D=$B87)*('DRAFT 2'!$A:$A&gt;=DATE(2026,3,1))*('DRAFT 2'!$A:$A&lt;DATE(2026,IF(3=12,3+1,3+1),1)),'DRAFT 2'!$A:$A),"")</f>
        <v>0</v>
      </c>
      <c r="DK87">
        <f>COUNTIFS('DRAFT 2'!$D:$D,$B87,'DRAFT 2'!$A:$A,"&gt;="&amp;DATE(2026,3,1),'DRAFT 2'!$A:$A,"&lt;="&amp;DATE(2026,3,7))</f>
        <v>0</v>
      </c>
      <c r="DL87">
        <f>COUNTIFS('DRAFT 2'!$D:$D,$B87,'DRAFT 2'!$A:$A,"&gt;="&amp;DATE(2026,3,8),'DRAFT 2'!$A:$A,"&lt;="&amp;DATE(2026,3,14))</f>
        <v>0</v>
      </c>
      <c r="DM87">
        <f>COUNTIFS('DRAFT 2'!$D:$D,$B87,'DRAFT 2'!$A:$A,"&gt;="&amp;DATE(2026,3,15),'DRAFT 2'!$A:$A,"&lt;="&amp;DATE(2026,3,21))</f>
        <v>0</v>
      </c>
      <c r="DN87">
        <f>COUNTIFS('DRAFT 2'!$D:$D,$B87,'DRAFT 2'!$A:$A,"&gt;="&amp;DATE(2026,3,22),'DRAFT 2'!$A:$A,"&lt;"&amp;DATE(2026,IF(3=12,3+1,3+1),1))</f>
        <v>0</v>
      </c>
      <c r="DO87">
        <f t="shared" si="32"/>
        <v>0</v>
      </c>
      <c r="DZ87">
        <f>IFERROR(LOOKUP(2,1/('DRAFT 2'!$D:$D=$B87)*('DRAFT 2'!$A:$A&gt;=DATE(2026,4,1))*('DRAFT 2'!$A:$A&lt;DATE(2026,IF(4=12,4+1,4+1),1)),'DRAFT 2'!$A:$A),"")</f>
        <v>0</v>
      </c>
      <c r="EA87">
        <f>COUNTIFS('DRAFT 2'!$D:$D,$B87,'DRAFT 2'!$A:$A,"&gt;="&amp;DATE(2026,4,1),'DRAFT 2'!$A:$A,"&lt;="&amp;DATE(2026,4,7))</f>
        <v>0</v>
      </c>
      <c r="EB87">
        <f>COUNTIFS('DRAFT 2'!$D:$D,$B87,'DRAFT 2'!$A:$A,"&gt;="&amp;DATE(2026,4,8),'DRAFT 2'!$A:$A,"&lt;="&amp;DATE(2026,4,14))</f>
        <v>0</v>
      </c>
      <c r="EC87">
        <f>COUNTIFS('DRAFT 2'!$D:$D,$B87,'DRAFT 2'!$A:$A,"&gt;="&amp;DATE(2026,4,15),'DRAFT 2'!$A:$A,"&lt;="&amp;DATE(2026,4,21))</f>
        <v>0</v>
      </c>
      <c r="ED87">
        <f>COUNTIFS('DRAFT 2'!$D:$D,$B87,'DRAFT 2'!$A:$A,"&gt;="&amp;DATE(2026,4,22),'DRAFT 2'!$A:$A,"&lt;"&amp;DATE(2026,IF(4=12,4+1,4+1),1))</f>
        <v>0</v>
      </c>
      <c r="EE87">
        <f t="shared" si="33"/>
        <v>0</v>
      </c>
      <c r="EO87">
        <f>IFERROR(LOOKUP(2,1/('DRAFT 2'!$D:$D=$B87)*('DRAFT 2'!$A:$A&gt;=DATE(2026,5,1))*('DRAFT 2'!$A:$A&lt;DATE(2026,IF(5=12,5+1,5+1),1)),'DRAFT 2'!$A:$A),"")</f>
        <v>0</v>
      </c>
      <c r="EP87">
        <f>COUNTIFS('DRAFT 2'!$D:$D,$B87,'DRAFT 2'!$A:$A,"&gt;="&amp;DATE(2026,5,1),'DRAFT 2'!$A:$A,"&lt;="&amp;DATE(2026,5,7))</f>
        <v>0</v>
      </c>
      <c r="EQ87">
        <f>COUNTIFS('DRAFT 2'!$D:$D,$B87,'DRAFT 2'!$A:$A,"&gt;="&amp;DATE(2026,5,8),'DRAFT 2'!$A:$A,"&lt;="&amp;DATE(2026,5,14))</f>
        <v>0</v>
      </c>
      <c r="ER87">
        <f>COUNTIFS('DRAFT 2'!$D:$D,$B87,'DRAFT 2'!$A:$A,"&gt;="&amp;DATE(2026,5,15),'DRAFT 2'!$A:$A,"&lt;="&amp;DATE(2026,5,21))</f>
        <v>0</v>
      </c>
      <c r="ES87">
        <f>COUNTIFS('DRAFT 2'!$D:$D,$B87,'DRAFT 2'!$A:$A,"&gt;="&amp;DATE(2026,5,22),'DRAFT 2'!$A:$A,"&lt;"&amp;DATE(2026,IF(5=12,5+1,5+1),1))</f>
        <v>0</v>
      </c>
      <c r="ET87">
        <f t="shared" si="34"/>
        <v>0</v>
      </c>
      <c r="FD87">
        <f>IFERROR(LOOKUP(2,1/('DRAFT 2'!$D:$D=$B87)*('DRAFT 2'!$A:$A&gt;=DATE(2026,6,1))*('DRAFT 2'!$A:$A&lt;DATE(2026,IF(6=12,6+1,6+1),1)),'DRAFT 2'!$A:$A),"")</f>
        <v>0</v>
      </c>
      <c r="FE87">
        <f>COUNTIFS('DRAFT 2'!$D:$D,$B87,'DRAFT 2'!$A:$A,"&gt;="&amp;DATE(2026,6,1),'DRAFT 2'!$A:$A,"&lt;="&amp;DATE(2026,6,7))</f>
        <v>0</v>
      </c>
      <c r="FF87">
        <f>COUNTIFS('DRAFT 2'!$D:$D,$B87,'DRAFT 2'!$A:$A,"&gt;="&amp;DATE(2026,6,8),'DRAFT 2'!$A:$A,"&lt;="&amp;DATE(2026,6,14))</f>
        <v>0</v>
      </c>
      <c r="FG87">
        <f>COUNTIFS('DRAFT 2'!$D:$D,$B87,'DRAFT 2'!$A:$A,"&gt;="&amp;DATE(2026,6,15),'DRAFT 2'!$A:$A,"&lt;="&amp;DATE(2026,6,21))</f>
        <v>0</v>
      </c>
      <c r="FH87">
        <f>COUNTIFS('DRAFT 2'!$D:$D,$B87,'DRAFT 2'!$A:$A,"&gt;="&amp;DATE(2026,6,22),'DRAFT 2'!$A:$A,"&lt;"&amp;DATE(2026,IF(6=12,6+1,6+1),1))</f>
        <v>0</v>
      </c>
      <c r="FI87">
        <f t="shared" si="35"/>
        <v>0</v>
      </c>
      <c r="FT87">
        <f>IFERROR(LOOKUP(2,1/('DRAFT 2'!$D:$D=$B87)*('DRAFT 2'!$A:$A&gt;=DATE(2026,7,1))*('DRAFT 2'!$A:$A&lt;DATE(2026,IF(7=12,7+1,7+1),1)),'DRAFT 2'!$A:$A),"")</f>
        <v>0</v>
      </c>
      <c r="FU87">
        <f>COUNTIFS('DRAFT 2'!$D:$D,$B87,'DRAFT 2'!$A:$A,"&gt;="&amp;DATE(2026,7,1),'DRAFT 2'!$A:$A,"&lt;="&amp;DATE(2026,7,7))</f>
        <v>0</v>
      </c>
      <c r="FV87">
        <f>COUNTIFS('DRAFT 2'!$D:$D,$B87,'DRAFT 2'!$A:$A,"&gt;="&amp;DATE(2026,7,8),'DRAFT 2'!$A:$A,"&lt;="&amp;DATE(2026,7,14))</f>
        <v>0</v>
      </c>
      <c r="FW87">
        <f>COUNTIFS('DRAFT 2'!$D:$D,$B87,'DRAFT 2'!$A:$A,"&gt;="&amp;DATE(2026,7,15),'DRAFT 2'!$A:$A,"&lt;="&amp;DATE(2026,7,21))</f>
        <v>0</v>
      </c>
      <c r="FX87">
        <f>COUNTIFS('DRAFT 2'!$D:$D,$B87,'DRAFT 2'!$A:$A,"&gt;="&amp;DATE(2026,7,22),'DRAFT 2'!$A:$A,"&lt;"&amp;DATE(2026,IF(7=12,7+1,7+1),1))</f>
        <v>0</v>
      </c>
      <c r="FY87">
        <f t="shared" si="36"/>
        <v>0</v>
      </c>
      <c r="GI87">
        <f>IFERROR(LOOKUP(2,1/('DRAFT 2'!$D:$D=$B87)*('DRAFT 2'!$A:$A&gt;=DATE(2026,8,1))*('DRAFT 2'!$A:$A&lt;DATE(2026,IF(8=12,8+1,8+1),1)),'DRAFT 2'!$A:$A),"")</f>
        <v>0</v>
      </c>
      <c r="GJ87">
        <f>COUNTIFS('DRAFT 2'!$D:$D,$B87,'DRAFT 2'!$A:$A,"&gt;="&amp;DATE(2026,8,1),'DRAFT 2'!$A:$A,"&lt;="&amp;DATE(2026,8,7))</f>
        <v>0</v>
      </c>
      <c r="GK87">
        <f>COUNTIFS('DRAFT 2'!$D:$D,$B87,'DRAFT 2'!$A:$A,"&gt;="&amp;DATE(2026,8,8),'DRAFT 2'!$A:$A,"&lt;="&amp;DATE(2026,8,14))</f>
        <v>0</v>
      </c>
      <c r="GL87">
        <f>COUNTIFS('DRAFT 2'!$D:$D,$B87,'DRAFT 2'!$A:$A,"&gt;="&amp;DATE(2026,8,15),'DRAFT 2'!$A:$A,"&lt;="&amp;DATE(2026,8,21))</f>
        <v>0</v>
      </c>
      <c r="GM87">
        <f>COUNTIFS('DRAFT 2'!$D:$D,$B87,'DRAFT 2'!$A:$A,"&gt;="&amp;DATE(2026,8,22),'DRAFT 2'!$A:$A,"&lt;"&amp;DATE(2026,IF(8=12,8+1,8+1),1))</f>
        <v>0</v>
      </c>
      <c r="GN87">
        <f t="shared" si="37"/>
        <v>0</v>
      </c>
      <c r="GX87">
        <f>IFERROR(LOOKUP(2,1/('DRAFT 2'!$D:$D=$B87)*('DRAFT 2'!$A:$A&gt;=DATE(2026,9,1))*('DRAFT 2'!$A:$A&lt;DATE(2026,IF(9=12,9+1,9+1),1)),'DRAFT 2'!$A:$A),"")</f>
        <v>0</v>
      </c>
      <c r="GY87">
        <f>COUNTIFS('DRAFT 2'!$D:$D,$B87,'DRAFT 2'!$A:$A,"&gt;="&amp;DATE(2026,9,1),'DRAFT 2'!$A:$A,"&lt;="&amp;DATE(2026,9,7))</f>
        <v>0</v>
      </c>
      <c r="GZ87">
        <f>COUNTIFS('DRAFT 2'!$D:$D,$B87,'DRAFT 2'!$A:$A,"&gt;="&amp;DATE(2026,9,8),'DRAFT 2'!$A:$A,"&lt;="&amp;DATE(2026,9,14))</f>
        <v>0</v>
      </c>
      <c r="HA87">
        <f>COUNTIFS('DRAFT 2'!$D:$D,$B87,'DRAFT 2'!$A:$A,"&gt;="&amp;DATE(2026,9,15),'DRAFT 2'!$A:$A,"&lt;="&amp;DATE(2026,9,21))</f>
        <v>0</v>
      </c>
      <c r="HB87">
        <f>COUNTIFS('DRAFT 2'!$D:$D,$B87,'DRAFT 2'!$A:$A,"&gt;="&amp;DATE(2026,9,22),'DRAFT 2'!$A:$A,"&lt;"&amp;DATE(2026,IF(9=12,9+1,9+1),1))</f>
        <v>0</v>
      </c>
      <c r="HC87">
        <f t="shared" si="38"/>
        <v>0</v>
      </c>
      <c r="HN87">
        <f>IFERROR(LOOKUP(2,1/('DRAFT 2'!$D:$D=$B87)*('DRAFT 2'!$A:$A&gt;=DATE(2026,10,1))*('DRAFT 2'!$A:$A&lt;DATE(2026,IF(10=12,10+1,10+1),1)),'DRAFT 2'!$A:$A),"")</f>
        <v>0</v>
      </c>
      <c r="HO87">
        <f>COUNTIFS('DRAFT 2'!$D:$D,$B87,'DRAFT 2'!$A:$A,"&gt;="&amp;DATE(2026,10,1),'DRAFT 2'!$A:$A,"&lt;="&amp;DATE(2026,10,7))</f>
        <v>0</v>
      </c>
      <c r="HP87">
        <f>COUNTIFS('DRAFT 2'!$D:$D,$B87,'DRAFT 2'!$A:$A,"&gt;="&amp;DATE(2026,10,8),'DRAFT 2'!$A:$A,"&lt;="&amp;DATE(2026,10,14))</f>
        <v>0</v>
      </c>
      <c r="HQ87">
        <f>COUNTIFS('DRAFT 2'!$D:$D,$B87,'DRAFT 2'!$A:$A,"&gt;="&amp;DATE(2026,10,15),'DRAFT 2'!$A:$A,"&lt;="&amp;DATE(2026,10,21))</f>
        <v>0</v>
      </c>
      <c r="HR87">
        <f>COUNTIFS('DRAFT 2'!$D:$D,$B87,'DRAFT 2'!$A:$A,"&gt;="&amp;DATE(2026,10,22),'DRAFT 2'!$A:$A,"&lt;"&amp;DATE(2026,IF(10=12,10+1,10+1),1))</f>
        <v>0</v>
      </c>
      <c r="HS87">
        <f t="shared" si="39"/>
        <v>0</v>
      </c>
      <c r="IC87">
        <f>IFERROR(LOOKUP(2,1/('DRAFT 2'!$D:$D=$B87)*('DRAFT 2'!$A:$A&gt;=DATE(2026,11,1))*('DRAFT 2'!$A:$A&lt;DATE(2026,IF(11=12,11+1,11+1),1)),'DRAFT 2'!$A:$A),"")</f>
        <v>0</v>
      </c>
      <c r="ID87">
        <f>COUNTIFS('DRAFT 2'!$D:$D,$B87,'DRAFT 2'!$A:$A,"&gt;="&amp;DATE(2026,11,1),'DRAFT 2'!$A:$A,"&lt;="&amp;DATE(2026,11,7))</f>
        <v>0</v>
      </c>
      <c r="IE87">
        <f>COUNTIFS('DRAFT 2'!$D:$D,$B87,'DRAFT 2'!$A:$A,"&gt;="&amp;DATE(2026,11,8),'DRAFT 2'!$A:$A,"&lt;="&amp;DATE(2026,11,14))</f>
        <v>0</v>
      </c>
      <c r="IF87">
        <f>COUNTIFS('DRAFT 2'!$D:$D,$B87,'DRAFT 2'!$A:$A,"&gt;="&amp;DATE(2026,11,15),'DRAFT 2'!$A:$A,"&lt;="&amp;DATE(2026,11,21))</f>
        <v>0</v>
      </c>
      <c r="IG87">
        <f>COUNTIFS('DRAFT 2'!$D:$D,$B87,'DRAFT 2'!$A:$A,"&gt;="&amp;DATE(2026,11,22),'DRAFT 2'!$A:$A,"&lt;"&amp;DATE(2026,IF(11=12,11+1,11+1),1))</f>
        <v>0</v>
      </c>
      <c r="IH87">
        <f t="shared" si="40"/>
        <v>0</v>
      </c>
      <c r="IR87">
        <f>IFERROR(LOOKUP(2,1/('DRAFT 2'!$D:$D=$B87)*('DRAFT 2'!$A:$A&gt;=DATE(2026,12,1))*('DRAFT 2'!$A:$A&lt;DATE(2026,IF(12=12,12+1,12+1),1)),'DRAFT 2'!$A:$A),"")</f>
        <v>0</v>
      </c>
      <c r="IS87">
        <f>COUNTIFS('DRAFT 2'!$D:$D,$B87,'DRAFT 2'!$A:$A,"&gt;="&amp;DATE(2026,12,1),'DRAFT 2'!$A:$A,"&lt;="&amp;DATE(2026,12,7))</f>
        <v>0</v>
      </c>
      <c r="IT87">
        <f>COUNTIFS('DRAFT 2'!$D:$D,$B87,'DRAFT 2'!$A:$A,"&gt;="&amp;DATE(2026,12,8),'DRAFT 2'!$A:$A,"&lt;="&amp;DATE(2026,12,14))</f>
        <v>0</v>
      </c>
      <c r="IU87">
        <f>COUNTIFS('DRAFT 2'!$D:$D,$B87,'DRAFT 2'!$A:$A,"&gt;="&amp;DATE(2026,12,15),'DRAFT 2'!$A:$A,"&lt;="&amp;DATE(2026,12,21))</f>
        <v>0</v>
      </c>
      <c r="IV87">
        <f>COUNTIFS('DRAFT 2'!$D:$D,$B87,'DRAFT 2'!$A:$A,"&gt;="&amp;DATE(2026,12,22),'DRAFT 2'!$A:$A,"&lt;"&amp;DATE(2026,IF(12=12,12+1,12+1),1))</f>
        <v>0</v>
      </c>
      <c r="IW87">
        <f t="shared" si="41"/>
        <v>0</v>
      </c>
    </row>
    <row r="88" spans="1:257" x14ac:dyDescent="0.3">
      <c r="A88" t="str">
        <f>IFERROR(INDEX('DRAFT 1'!$A:$A,MATCH($B88,'DRAFT 1'!$B:$B,0)),"")</f>
        <v/>
      </c>
      <c r="C88" t="str">
        <f>IFERROR(INDEX('DRAFT 1'!$C:$C,MATCH($B88,'DRAFT 1'!$B:$B,0)),"")</f>
        <v/>
      </c>
      <c r="D88" t="str">
        <f>IFERROR(INDEX('DRAFT 1'!$D:$D,MATCH($B88,'DRAFT 1'!$B:$B,0)),"")</f>
        <v/>
      </c>
      <c r="E88" t="str">
        <f>IFERROR(INDEX('DRAFT 1'!$E:$E,MATCH($B88,'DRAFT 1'!$B:$B,0)),"")</f>
        <v/>
      </c>
      <c r="F88" t="str">
        <f>IFERROR(INDEX('DRAFT 1'!$F:$F,MATCH($B88,'DRAFT 1'!$B:$B,0)),"")</f>
        <v/>
      </c>
      <c r="G88" t="str">
        <f>IFERROR(INDEX('DRAFT 1'!$G:$G,MATCH($B88,'DRAFT 1'!$B:$B,0)),"")</f>
        <v/>
      </c>
      <c r="H88" t="str">
        <f>IFERROR(INDEX('DRAFT 1'!$H:$H,MATCH($B88,'DRAFT 1'!$B:$B,0)),"")</f>
        <v/>
      </c>
      <c r="I88" t="s">
        <v>292</v>
      </c>
      <c r="K88" t="str">
        <f>IFERROR(INDEX('DRAFT 1'!$AL:$AL,MATCH($B88,'DRAFT 1'!$B:$B,0)),"")</f>
        <v/>
      </c>
      <c r="L88" t="str">
        <f>IFERROR(INDEX('DRAFT 1'!$J:$J,MATCH($B88,'DRAFT 1'!$B:$B,0)),"")</f>
        <v/>
      </c>
      <c r="M88" t="str">
        <f>IFERROR(INDEX('DRAFT 1'!$K:$K,MATCH($B88,'DRAFT 1'!$B:$B,0)),"")</f>
        <v/>
      </c>
      <c r="N88" t="s">
        <v>71</v>
      </c>
      <c r="P88" t="str">
        <f>IFERROR(INDEX('DRAFT 1'!$L:$L,MATCH($B88,'DRAFT 1'!$B:$B,0)),"")</f>
        <v/>
      </c>
      <c r="Q88" t="str">
        <f>IFERROR(INDEX('DRAFT 1'!$M:$M,MATCH($B88,'DRAFT 1'!$B:$B,0)),"")</f>
        <v/>
      </c>
      <c r="R88" t="str">
        <f>IFERROR(INDEX('DRAFT 1'!$N:$N,MATCH($B88,'DRAFT 1'!$B:$B,0)),"")</f>
        <v/>
      </c>
      <c r="S88" t="str">
        <f>IFERROR(INDEX('DRAFT 1'!$O:$O,MATCH($B88,'DRAFT 1'!$B:$B,0)),"")</f>
        <v/>
      </c>
      <c r="T88" t="str">
        <f>IFERROR(INDEX('DRAFT 1'!$P:$P,MATCH($B88,'DRAFT 1'!$B:$B,0)),"")</f>
        <v/>
      </c>
      <c r="U88" t="str">
        <f>IFERROR(INDEX('DRAFT 1'!$Q:$Q,MATCH($B88,'DRAFT 1'!$B:$B,0)),"")</f>
        <v/>
      </c>
      <c r="V88" t="str">
        <f>IFERROR(INDEX('DRAFT 1'!$R:$R,MATCH($B88,'DRAFT 1'!$B:$B,0)),"")</f>
        <v/>
      </c>
      <c r="W88" t="str">
        <f>IFERROR(INDEX('DRAFT 1'!$S:$S,MATCH($B88,'DRAFT 1'!$B:$B,0)),"")</f>
        <v/>
      </c>
      <c r="X88" t="str">
        <f>IFERROR(INDEX('DRAFT 1'!$T:$T,MATCH($B88,'DRAFT 1'!$B:$B,0)),"")</f>
        <v/>
      </c>
      <c r="Z88" t="str">
        <f>IFERROR(INDEX('DRAFT 1'!$U:$U,MATCH($B88,'DRAFT 1'!$B:$B,0)),"")</f>
        <v/>
      </c>
      <c r="AA88" t="str">
        <f>IFERROR(INDEX('DRAFT 1'!$V:$V,MATCH($B88,'DRAFT 1'!$B:$B,0)),"")</f>
        <v/>
      </c>
      <c r="AB88" t="str">
        <f>IFERROR(INDEX('DRAFT 1'!$W:$W,MATCH($B88,'DRAFT 1'!$B:$B,0)),"")</f>
        <v/>
      </c>
      <c r="AC88" t="str">
        <f>IFERROR(INDEX('DRAFT 1'!$X:$X,MATCH($B88,'DRAFT 1'!$B:$B,0)),"")</f>
        <v/>
      </c>
      <c r="AD88" t="str">
        <f>IFERROR(INDEX('DRAFT 1'!$Y:$Y,MATCH($B88,'DRAFT 1'!$B:$B,0)),"")</f>
        <v/>
      </c>
      <c r="AE88" t="str">
        <f>IFERROR(INDEX('DRAFT 1'!$Z:$Z,MATCH($B88,'DRAFT 1'!$B:$B,0)),"")</f>
        <v/>
      </c>
      <c r="AF88" t="str">
        <f>IFERROR(INDEX('DRAFT 1'!$AA:$AA,MATCH($B88,'DRAFT 1'!$B:$B,0)),"")</f>
        <v/>
      </c>
      <c r="AG88" t="str">
        <f>IFERROR(INDEX('DRAFT 1'!$AB:$AB,MATCH($B88,'DRAFT 1'!$B:$B,0)),"")</f>
        <v/>
      </c>
      <c r="AH88" t="str">
        <f>IFERROR(INDEX('DRAFT 1'!$AC:$AC,MATCH($B88,'DRAFT 1'!$B:$B,0)),"")</f>
        <v/>
      </c>
      <c r="AI88" t="str">
        <f>IFERROR(INDEX('DRAFT 1'!$AD:$AD,MATCH($B88,'DRAFT 1'!$B:$B,0)),"")</f>
        <v/>
      </c>
      <c r="AJ88" t="str">
        <f>IFERROR(INDEX('DRAFT 1'!$AE:$AE,MATCH($B88,'DRAFT 1'!$B:$B,0)),"")</f>
        <v/>
      </c>
      <c r="AK88" t="str">
        <f>IFERROR(INDEX('DRAFT 1'!$AG:$AG,MATCH($B88,'DRAFT 1'!$B:$B,0)),"")</f>
        <v/>
      </c>
      <c r="AL88" t="str">
        <f>IFERROR(INDEX('DRAFT 1'!$AH:$AH,MATCH($B88,'DRAFT 1'!$B:$B,0)),"")</f>
        <v/>
      </c>
      <c r="AM88" t="str">
        <f>IFERROR(INDEX('DRAFT 1'!$AI:$AI,MATCH($B88,'DRAFT 1'!$B:$B,0)),"")</f>
        <v/>
      </c>
      <c r="AN88" t="str">
        <f>IFERROR(INDEX('DRAFT 1'!$AJ:$AJ,MATCH($B88,'DRAFT 1'!$B:$B,0)),"")</f>
        <v/>
      </c>
      <c r="AO88">
        <f t="shared" si="28"/>
        <v>0</v>
      </c>
      <c r="AP88" t="str">
        <f>IFERROR(INDEX('DRAFT 1'!$AK:$AK,MATCH($B88,'DRAFT 1'!$B:$B,0)),"")</f>
        <v/>
      </c>
      <c r="AR88" t="s">
        <v>93</v>
      </c>
      <c r="AS88">
        <f>IFERROR(LOOKUP(2,1/('DRAFT 2'!$D:$D=$B88),'DRAFT 2'!$T:$T),"")</f>
        <v>0</v>
      </c>
      <c r="AT88">
        <f>IFERROR(LOOKUP(2,1/('DRAFT 2'!$D:$D=$B88),'DRAFT 2'!$A:$A),"")</f>
        <v>0</v>
      </c>
      <c r="AU88">
        <f>IFERROR(LOOKUP(2,1/('DRAFT 2'!$D:$D=$B88),'DRAFT 2'!$R:$R),"")</f>
        <v>0</v>
      </c>
      <c r="AV88">
        <f>IFERROR(LOOKUP(2,1/('DRAFT 2'!$D:$D=$B88),'DRAFT 2'!$S:$S),"")</f>
        <v>0</v>
      </c>
      <c r="AW88" t="s">
        <v>85</v>
      </c>
      <c r="AX88">
        <f>IFERROR(LOOKUP(2,1/('DRAFT 2'!$D:$D=$B88),'DRAFT 2'!$M:$M),"")</f>
        <v>0</v>
      </c>
      <c r="AY88">
        <f>IFERROR(LOOKUP(2,1/('DRAFT 2'!$D:$D=$B88),'DRAFT 2'!$K:$K),"")</f>
        <v>0</v>
      </c>
      <c r="BG88">
        <f>IFERROR(LOOKUP(2,1/('DRAFT 2'!$D:$D=$B88),'DRAFT 2'!$U:$U),"")</f>
        <v>0</v>
      </c>
      <c r="BH88">
        <f>IFERROR(LOOKUP(2,1/('DRAFT 2'!$D:$D=$B88),'DRAFT 2'!$V:$V),"")</f>
        <v>0</v>
      </c>
      <c r="CE88" t="str">
        <f t="shared" si="29"/>
        <v/>
      </c>
      <c r="CF88">
        <f>IFERROR(LOOKUP(2,1/('DRAFT 2'!$D:$D=$B88)*('DRAFT 2'!$A:$A&gt;=DATE(2026,1,1))*('DRAFT 2'!$A:$A&lt;DATE(2026,IF(1=12,1+1,1+1),1)),'DRAFT 2'!$A:$A),"")</f>
        <v>0</v>
      </c>
      <c r="CG88">
        <f>COUNTIFS('DRAFT 2'!$D:$D,$B88,'DRAFT 2'!$A:$A,"&gt;="&amp;DATE(2026,1,1),'DRAFT 2'!$A:$A,"&lt;="&amp;DATE(2026,1,7))</f>
        <v>0</v>
      </c>
      <c r="CH88">
        <f>COUNTIFS('DRAFT 2'!$D:$D,$B88,'DRAFT 2'!$A:$A,"&gt;="&amp;DATE(2026,1,8),'DRAFT 2'!$A:$A,"&lt;="&amp;DATE(2026,1,14))</f>
        <v>0</v>
      </c>
      <c r="CI88">
        <f>COUNTIFS('DRAFT 2'!$D:$D,$B88,'DRAFT 2'!$A:$A,"&gt;="&amp;DATE(2026,1,15),'DRAFT 2'!$A:$A,"&lt;="&amp;DATE(2026,1,21))</f>
        <v>0</v>
      </c>
      <c r="CJ88">
        <f>COUNTIFS('DRAFT 2'!$D:$D,$B88,'DRAFT 2'!$A:$A,"&gt;="&amp;DATE(2026,1,22),'DRAFT 2'!$A:$A,"&lt;"&amp;DATE(2026,IF(1=12,1+1,1+1),1))</f>
        <v>0</v>
      </c>
      <c r="CK88">
        <f t="shared" si="30"/>
        <v>0</v>
      </c>
      <c r="CT88">
        <v>0</v>
      </c>
      <c r="CU88">
        <f>IFERROR(LOOKUP(2,1/('DRAFT 2'!$D:$D=$B88)*('DRAFT 2'!$A:$A&gt;=DATE(2026,2,1))*('DRAFT 2'!$A:$A&lt;DATE(2026,IF(2=12,2+1,2+1),1)),'DRAFT 2'!$A:$A),"")</f>
        <v>0</v>
      </c>
      <c r="CV88">
        <f>COUNTIFS('DRAFT 2'!$D:$D,$B88,'DRAFT 2'!$A:$A,"&gt;="&amp;DATE(2026,2,1),'DRAFT 2'!$A:$A,"&lt;="&amp;DATE(2026,2,7))</f>
        <v>0</v>
      </c>
      <c r="CW88">
        <f>COUNTIFS('DRAFT 2'!$D:$D,$B88,'DRAFT 2'!$A:$A,"&gt;="&amp;DATE(2026,2,8),'DRAFT 2'!$A:$A,"&lt;="&amp;DATE(2026,2,14))</f>
        <v>0</v>
      </c>
      <c r="CX88">
        <f>COUNTIFS('DRAFT 2'!$D:$D,$B88,'DRAFT 2'!$A:$A,"&gt;="&amp;DATE(2026,2,15),'DRAFT 2'!$A:$A,"&lt;="&amp;DATE(2026,2,21))</f>
        <v>0</v>
      </c>
      <c r="CY88">
        <f>COUNTIFS('DRAFT 2'!$D:$D,$B88,'DRAFT 2'!$A:$A,"&gt;="&amp;DATE(2026,2,22),'DRAFT 2'!$A:$A,"&lt;"&amp;DATE(2026,IF(2=12,2+1,2+1),1))</f>
        <v>0</v>
      </c>
      <c r="CZ88">
        <f t="shared" si="31"/>
        <v>0</v>
      </c>
      <c r="DJ88">
        <f>IFERROR(LOOKUP(2,1/('DRAFT 2'!$D:$D=$B88)*('DRAFT 2'!$A:$A&gt;=DATE(2026,3,1))*('DRAFT 2'!$A:$A&lt;DATE(2026,IF(3=12,3+1,3+1),1)),'DRAFT 2'!$A:$A),"")</f>
        <v>0</v>
      </c>
      <c r="DK88">
        <f>COUNTIFS('DRAFT 2'!$D:$D,$B88,'DRAFT 2'!$A:$A,"&gt;="&amp;DATE(2026,3,1),'DRAFT 2'!$A:$A,"&lt;="&amp;DATE(2026,3,7))</f>
        <v>0</v>
      </c>
      <c r="DL88">
        <f>COUNTIFS('DRAFT 2'!$D:$D,$B88,'DRAFT 2'!$A:$A,"&gt;="&amp;DATE(2026,3,8),'DRAFT 2'!$A:$A,"&lt;="&amp;DATE(2026,3,14))</f>
        <v>0</v>
      </c>
      <c r="DM88">
        <f>COUNTIFS('DRAFT 2'!$D:$D,$B88,'DRAFT 2'!$A:$A,"&gt;="&amp;DATE(2026,3,15),'DRAFT 2'!$A:$A,"&lt;="&amp;DATE(2026,3,21))</f>
        <v>0</v>
      </c>
      <c r="DN88">
        <f>COUNTIFS('DRAFT 2'!$D:$D,$B88,'DRAFT 2'!$A:$A,"&gt;="&amp;DATE(2026,3,22),'DRAFT 2'!$A:$A,"&lt;"&amp;DATE(2026,IF(3=12,3+1,3+1),1))</f>
        <v>0</v>
      </c>
      <c r="DO88">
        <f t="shared" si="32"/>
        <v>0</v>
      </c>
      <c r="DZ88">
        <f>IFERROR(LOOKUP(2,1/('DRAFT 2'!$D:$D=$B88)*('DRAFT 2'!$A:$A&gt;=DATE(2026,4,1))*('DRAFT 2'!$A:$A&lt;DATE(2026,IF(4=12,4+1,4+1),1)),'DRAFT 2'!$A:$A),"")</f>
        <v>0</v>
      </c>
      <c r="EA88">
        <f>COUNTIFS('DRAFT 2'!$D:$D,$B88,'DRAFT 2'!$A:$A,"&gt;="&amp;DATE(2026,4,1),'DRAFT 2'!$A:$A,"&lt;="&amp;DATE(2026,4,7))</f>
        <v>0</v>
      </c>
      <c r="EB88">
        <f>COUNTIFS('DRAFT 2'!$D:$D,$B88,'DRAFT 2'!$A:$A,"&gt;="&amp;DATE(2026,4,8),'DRAFT 2'!$A:$A,"&lt;="&amp;DATE(2026,4,14))</f>
        <v>0</v>
      </c>
      <c r="EC88">
        <f>COUNTIFS('DRAFT 2'!$D:$D,$B88,'DRAFT 2'!$A:$A,"&gt;="&amp;DATE(2026,4,15),'DRAFT 2'!$A:$A,"&lt;="&amp;DATE(2026,4,21))</f>
        <v>0</v>
      </c>
      <c r="ED88">
        <f>COUNTIFS('DRAFT 2'!$D:$D,$B88,'DRAFT 2'!$A:$A,"&gt;="&amp;DATE(2026,4,22),'DRAFT 2'!$A:$A,"&lt;"&amp;DATE(2026,IF(4=12,4+1,4+1),1))</f>
        <v>0</v>
      </c>
      <c r="EE88">
        <f t="shared" si="33"/>
        <v>0</v>
      </c>
      <c r="EO88">
        <f>IFERROR(LOOKUP(2,1/('DRAFT 2'!$D:$D=$B88)*('DRAFT 2'!$A:$A&gt;=DATE(2026,5,1))*('DRAFT 2'!$A:$A&lt;DATE(2026,IF(5=12,5+1,5+1),1)),'DRAFT 2'!$A:$A),"")</f>
        <v>0</v>
      </c>
      <c r="EP88">
        <f>COUNTIFS('DRAFT 2'!$D:$D,$B88,'DRAFT 2'!$A:$A,"&gt;="&amp;DATE(2026,5,1),'DRAFT 2'!$A:$A,"&lt;="&amp;DATE(2026,5,7))</f>
        <v>0</v>
      </c>
      <c r="EQ88">
        <f>COUNTIFS('DRAFT 2'!$D:$D,$B88,'DRAFT 2'!$A:$A,"&gt;="&amp;DATE(2026,5,8),'DRAFT 2'!$A:$A,"&lt;="&amp;DATE(2026,5,14))</f>
        <v>0</v>
      </c>
      <c r="ER88">
        <f>COUNTIFS('DRAFT 2'!$D:$D,$B88,'DRAFT 2'!$A:$A,"&gt;="&amp;DATE(2026,5,15),'DRAFT 2'!$A:$A,"&lt;="&amp;DATE(2026,5,21))</f>
        <v>0</v>
      </c>
      <c r="ES88">
        <f>COUNTIFS('DRAFT 2'!$D:$D,$B88,'DRAFT 2'!$A:$A,"&gt;="&amp;DATE(2026,5,22),'DRAFT 2'!$A:$A,"&lt;"&amp;DATE(2026,IF(5=12,5+1,5+1),1))</f>
        <v>0</v>
      </c>
      <c r="ET88">
        <f t="shared" si="34"/>
        <v>0</v>
      </c>
      <c r="FD88">
        <f>IFERROR(LOOKUP(2,1/('DRAFT 2'!$D:$D=$B88)*('DRAFT 2'!$A:$A&gt;=DATE(2026,6,1))*('DRAFT 2'!$A:$A&lt;DATE(2026,IF(6=12,6+1,6+1),1)),'DRAFT 2'!$A:$A),"")</f>
        <v>0</v>
      </c>
      <c r="FE88">
        <f>COUNTIFS('DRAFT 2'!$D:$D,$B88,'DRAFT 2'!$A:$A,"&gt;="&amp;DATE(2026,6,1),'DRAFT 2'!$A:$A,"&lt;="&amp;DATE(2026,6,7))</f>
        <v>0</v>
      </c>
      <c r="FF88">
        <f>COUNTIFS('DRAFT 2'!$D:$D,$B88,'DRAFT 2'!$A:$A,"&gt;="&amp;DATE(2026,6,8),'DRAFT 2'!$A:$A,"&lt;="&amp;DATE(2026,6,14))</f>
        <v>0</v>
      </c>
      <c r="FG88">
        <f>COUNTIFS('DRAFT 2'!$D:$D,$B88,'DRAFT 2'!$A:$A,"&gt;="&amp;DATE(2026,6,15),'DRAFT 2'!$A:$A,"&lt;="&amp;DATE(2026,6,21))</f>
        <v>0</v>
      </c>
      <c r="FH88">
        <f>COUNTIFS('DRAFT 2'!$D:$D,$B88,'DRAFT 2'!$A:$A,"&gt;="&amp;DATE(2026,6,22),'DRAFT 2'!$A:$A,"&lt;"&amp;DATE(2026,IF(6=12,6+1,6+1),1))</f>
        <v>0</v>
      </c>
      <c r="FI88">
        <f t="shared" si="35"/>
        <v>0</v>
      </c>
      <c r="FT88">
        <f>IFERROR(LOOKUP(2,1/('DRAFT 2'!$D:$D=$B88)*('DRAFT 2'!$A:$A&gt;=DATE(2026,7,1))*('DRAFT 2'!$A:$A&lt;DATE(2026,IF(7=12,7+1,7+1),1)),'DRAFT 2'!$A:$A),"")</f>
        <v>0</v>
      </c>
      <c r="FU88">
        <f>COUNTIFS('DRAFT 2'!$D:$D,$B88,'DRAFT 2'!$A:$A,"&gt;="&amp;DATE(2026,7,1),'DRAFT 2'!$A:$A,"&lt;="&amp;DATE(2026,7,7))</f>
        <v>0</v>
      </c>
      <c r="FV88">
        <f>COUNTIFS('DRAFT 2'!$D:$D,$B88,'DRAFT 2'!$A:$A,"&gt;="&amp;DATE(2026,7,8),'DRAFT 2'!$A:$A,"&lt;="&amp;DATE(2026,7,14))</f>
        <v>0</v>
      </c>
      <c r="FW88">
        <f>COUNTIFS('DRAFT 2'!$D:$D,$B88,'DRAFT 2'!$A:$A,"&gt;="&amp;DATE(2026,7,15),'DRAFT 2'!$A:$A,"&lt;="&amp;DATE(2026,7,21))</f>
        <v>0</v>
      </c>
      <c r="FX88">
        <f>COUNTIFS('DRAFT 2'!$D:$D,$B88,'DRAFT 2'!$A:$A,"&gt;="&amp;DATE(2026,7,22),'DRAFT 2'!$A:$A,"&lt;"&amp;DATE(2026,IF(7=12,7+1,7+1),1))</f>
        <v>0</v>
      </c>
      <c r="FY88">
        <f t="shared" si="36"/>
        <v>0</v>
      </c>
      <c r="GI88">
        <f>IFERROR(LOOKUP(2,1/('DRAFT 2'!$D:$D=$B88)*('DRAFT 2'!$A:$A&gt;=DATE(2026,8,1))*('DRAFT 2'!$A:$A&lt;DATE(2026,IF(8=12,8+1,8+1),1)),'DRAFT 2'!$A:$A),"")</f>
        <v>0</v>
      </c>
      <c r="GJ88">
        <f>COUNTIFS('DRAFT 2'!$D:$D,$B88,'DRAFT 2'!$A:$A,"&gt;="&amp;DATE(2026,8,1),'DRAFT 2'!$A:$A,"&lt;="&amp;DATE(2026,8,7))</f>
        <v>0</v>
      </c>
      <c r="GK88">
        <f>COUNTIFS('DRAFT 2'!$D:$D,$B88,'DRAFT 2'!$A:$A,"&gt;="&amp;DATE(2026,8,8),'DRAFT 2'!$A:$A,"&lt;="&amp;DATE(2026,8,14))</f>
        <v>0</v>
      </c>
      <c r="GL88">
        <f>COUNTIFS('DRAFT 2'!$D:$D,$B88,'DRAFT 2'!$A:$A,"&gt;="&amp;DATE(2026,8,15),'DRAFT 2'!$A:$A,"&lt;="&amp;DATE(2026,8,21))</f>
        <v>0</v>
      </c>
      <c r="GM88">
        <f>COUNTIFS('DRAFT 2'!$D:$D,$B88,'DRAFT 2'!$A:$A,"&gt;="&amp;DATE(2026,8,22),'DRAFT 2'!$A:$A,"&lt;"&amp;DATE(2026,IF(8=12,8+1,8+1),1))</f>
        <v>0</v>
      </c>
      <c r="GN88">
        <f t="shared" si="37"/>
        <v>0</v>
      </c>
      <c r="GX88">
        <f>IFERROR(LOOKUP(2,1/('DRAFT 2'!$D:$D=$B88)*('DRAFT 2'!$A:$A&gt;=DATE(2026,9,1))*('DRAFT 2'!$A:$A&lt;DATE(2026,IF(9=12,9+1,9+1),1)),'DRAFT 2'!$A:$A),"")</f>
        <v>0</v>
      </c>
      <c r="GY88">
        <f>COUNTIFS('DRAFT 2'!$D:$D,$B88,'DRAFT 2'!$A:$A,"&gt;="&amp;DATE(2026,9,1),'DRAFT 2'!$A:$A,"&lt;="&amp;DATE(2026,9,7))</f>
        <v>0</v>
      </c>
      <c r="GZ88">
        <f>COUNTIFS('DRAFT 2'!$D:$D,$B88,'DRAFT 2'!$A:$A,"&gt;="&amp;DATE(2026,9,8),'DRAFT 2'!$A:$A,"&lt;="&amp;DATE(2026,9,14))</f>
        <v>0</v>
      </c>
      <c r="HA88">
        <f>COUNTIFS('DRAFT 2'!$D:$D,$B88,'DRAFT 2'!$A:$A,"&gt;="&amp;DATE(2026,9,15),'DRAFT 2'!$A:$A,"&lt;="&amp;DATE(2026,9,21))</f>
        <v>0</v>
      </c>
      <c r="HB88">
        <f>COUNTIFS('DRAFT 2'!$D:$D,$B88,'DRAFT 2'!$A:$A,"&gt;="&amp;DATE(2026,9,22),'DRAFT 2'!$A:$A,"&lt;"&amp;DATE(2026,IF(9=12,9+1,9+1),1))</f>
        <v>0</v>
      </c>
      <c r="HC88">
        <f t="shared" si="38"/>
        <v>0</v>
      </c>
      <c r="HN88">
        <f>IFERROR(LOOKUP(2,1/('DRAFT 2'!$D:$D=$B88)*('DRAFT 2'!$A:$A&gt;=DATE(2026,10,1))*('DRAFT 2'!$A:$A&lt;DATE(2026,IF(10=12,10+1,10+1),1)),'DRAFT 2'!$A:$A),"")</f>
        <v>0</v>
      </c>
      <c r="HO88">
        <f>COUNTIFS('DRAFT 2'!$D:$D,$B88,'DRAFT 2'!$A:$A,"&gt;="&amp;DATE(2026,10,1),'DRAFT 2'!$A:$A,"&lt;="&amp;DATE(2026,10,7))</f>
        <v>0</v>
      </c>
      <c r="HP88">
        <f>COUNTIFS('DRAFT 2'!$D:$D,$B88,'DRAFT 2'!$A:$A,"&gt;="&amp;DATE(2026,10,8),'DRAFT 2'!$A:$A,"&lt;="&amp;DATE(2026,10,14))</f>
        <v>0</v>
      </c>
      <c r="HQ88">
        <f>COUNTIFS('DRAFT 2'!$D:$D,$B88,'DRAFT 2'!$A:$A,"&gt;="&amp;DATE(2026,10,15),'DRAFT 2'!$A:$A,"&lt;="&amp;DATE(2026,10,21))</f>
        <v>0</v>
      </c>
      <c r="HR88">
        <f>COUNTIFS('DRAFT 2'!$D:$D,$B88,'DRAFT 2'!$A:$A,"&gt;="&amp;DATE(2026,10,22),'DRAFT 2'!$A:$A,"&lt;"&amp;DATE(2026,IF(10=12,10+1,10+1),1))</f>
        <v>0</v>
      </c>
      <c r="HS88">
        <f t="shared" si="39"/>
        <v>0</v>
      </c>
      <c r="IC88">
        <f>IFERROR(LOOKUP(2,1/('DRAFT 2'!$D:$D=$B88)*('DRAFT 2'!$A:$A&gt;=DATE(2026,11,1))*('DRAFT 2'!$A:$A&lt;DATE(2026,IF(11=12,11+1,11+1),1)),'DRAFT 2'!$A:$A),"")</f>
        <v>0</v>
      </c>
      <c r="ID88">
        <f>COUNTIFS('DRAFT 2'!$D:$D,$B88,'DRAFT 2'!$A:$A,"&gt;="&amp;DATE(2026,11,1),'DRAFT 2'!$A:$A,"&lt;="&amp;DATE(2026,11,7))</f>
        <v>0</v>
      </c>
      <c r="IE88">
        <f>COUNTIFS('DRAFT 2'!$D:$D,$B88,'DRAFT 2'!$A:$A,"&gt;="&amp;DATE(2026,11,8),'DRAFT 2'!$A:$A,"&lt;="&amp;DATE(2026,11,14))</f>
        <v>0</v>
      </c>
      <c r="IF88">
        <f>COUNTIFS('DRAFT 2'!$D:$D,$B88,'DRAFT 2'!$A:$A,"&gt;="&amp;DATE(2026,11,15),'DRAFT 2'!$A:$A,"&lt;="&amp;DATE(2026,11,21))</f>
        <v>0</v>
      </c>
      <c r="IG88">
        <f>COUNTIFS('DRAFT 2'!$D:$D,$B88,'DRAFT 2'!$A:$A,"&gt;="&amp;DATE(2026,11,22),'DRAFT 2'!$A:$A,"&lt;"&amp;DATE(2026,IF(11=12,11+1,11+1),1))</f>
        <v>0</v>
      </c>
      <c r="IH88">
        <f t="shared" si="40"/>
        <v>0</v>
      </c>
      <c r="IR88">
        <f>IFERROR(LOOKUP(2,1/('DRAFT 2'!$D:$D=$B88)*('DRAFT 2'!$A:$A&gt;=DATE(2026,12,1))*('DRAFT 2'!$A:$A&lt;DATE(2026,IF(12=12,12+1,12+1),1)),'DRAFT 2'!$A:$A),"")</f>
        <v>0</v>
      </c>
      <c r="IS88">
        <f>COUNTIFS('DRAFT 2'!$D:$D,$B88,'DRAFT 2'!$A:$A,"&gt;="&amp;DATE(2026,12,1),'DRAFT 2'!$A:$A,"&lt;="&amp;DATE(2026,12,7))</f>
        <v>0</v>
      </c>
      <c r="IT88">
        <f>COUNTIFS('DRAFT 2'!$D:$D,$B88,'DRAFT 2'!$A:$A,"&gt;="&amp;DATE(2026,12,8),'DRAFT 2'!$A:$A,"&lt;="&amp;DATE(2026,12,14))</f>
        <v>0</v>
      </c>
      <c r="IU88">
        <f>COUNTIFS('DRAFT 2'!$D:$D,$B88,'DRAFT 2'!$A:$A,"&gt;="&amp;DATE(2026,12,15),'DRAFT 2'!$A:$A,"&lt;="&amp;DATE(2026,12,21))</f>
        <v>0</v>
      </c>
      <c r="IV88">
        <f>COUNTIFS('DRAFT 2'!$D:$D,$B88,'DRAFT 2'!$A:$A,"&gt;="&amp;DATE(2026,12,22),'DRAFT 2'!$A:$A,"&lt;"&amp;DATE(2026,IF(12=12,12+1,12+1),1))</f>
        <v>0</v>
      </c>
      <c r="IW88">
        <f t="shared" si="41"/>
        <v>0</v>
      </c>
    </row>
    <row r="89" spans="1:257" x14ac:dyDescent="0.3">
      <c r="A89" t="str">
        <f>IFERROR(INDEX('DRAFT 1'!$A:$A,MATCH($B89,'DRAFT 1'!$B:$B,0)),"")</f>
        <v/>
      </c>
      <c r="C89" t="str">
        <f>IFERROR(INDEX('DRAFT 1'!$C:$C,MATCH($B89,'DRAFT 1'!$B:$B,0)),"")</f>
        <v/>
      </c>
      <c r="D89" t="str">
        <f>IFERROR(INDEX('DRAFT 1'!$D:$D,MATCH($B89,'DRAFT 1'!$B:$B,0)),"")</f>
        <v/>
      </c>
      <c r="E89" t="str">
        <f>IFERROR(INDEX('DRAFT 1'!$E:$E,MATCH($B89,'DRAFT 1'!$B:$B,0)),"")</f>
        <v/>
      </c>
      <c r="F89" t="str">
        <f>IFERROR(INDEX('DRAFT 1'!$F:$F,MATCH($B89,'DRAFT 1'!$B:$B,0)),"")</f>
        <v/>
      </c>
      <c r="G89" t="str">
        <f>IFERROR(INDEX('DRAFT 1'!$G:$G,MATCH($B89,'DRAFT 1'!$B:$B,0)),"")</f>
        <v/>
      </c>
      <c r="H89" t="str">
        <f>IFERROR(INDEX('DRAFT 1'!$H:$H,MATCH($B89,'DRAFT 1'!$B:$B,0)),"")</f>
        <v/>
      </c>
      <c r="I89" t="s">
        <v>296</v>
      </c>
      <c r="K89" t="str">
        <f>IFERROR(INDEX('DRAFT 1'!$AL:$AL,MATCH($B89,'DRAFT 1'!$B:$B,0)),"")</f>
        <v/>
      </c>
      <c r="L89" t="str">
        <f>IFERROR(INDEX('DRAFT 1'!$J:$J,MATCH($B89,'DRAFT 1'!$B:$B,0)),"")</f>
        <v/>
      </c>
      <c r="M89" t="str">
        <f>IFERROR(INDEX('DRAFT 1'!$K:$K,MATCH($B89,'DRAFT 1'!$B:$B,0)),"")</f>
        <v/>
      </c>
      <c r="N89" t="s">
        <v>71</v>
      </c>
      <c r="P89" t="str">
        <f>IFERROR(INDEX('DRAFT 1'!$L:$L,MATCH($B89,'DRAFT 1'!$B:$B,0)),"")</f>
        <v/>
      </c>
      <c r="Q89" t="str">
        <f>IFERROR(INDEX('DRAFT 1'!$M:$M,MATCH($B89,'DRAFT 1'!$B:$B,0)),"")</f>
        <v/>
      </c>
      <c r="R89" t="str">
        <f>IFERROR(INDEX('DRAFT 1'!$N:$N,MATCH($B89,'DRAFT 1'!$B:$B,0)),"")</f>
        <v/>
      </c>
      <c r="S89" t="str">
        <f>IFERROR(INDEX('DRAFT 1'!$O:$O,MATCH($B89,'DRAFT 1'!$B:$B,0)),"")</f>
        <v/>
      </c>
      <c r="T89" t="str">
        <f>IFERROR(INDEX('DRAFT 1'!$P:$P,MATCH($B89,'DRAFT 1'!$B:$B,0)),"")</f>
        <v/>
      </c>
      <c r="U89" t="str">
        <f>IFERROR(INDEX('DRAFT 1'!$Q:$Q,MATCH($B89,'DRAFT 1'!$B:$B,0)),"")</f>
        <v/>
      </c>
      <c r="V89" t="str">
        <f>IFERROR(INDEX('DRAFT 1'!$R:$R,MATCH($B89,'DRAFT 1'!$B:$B,0)),"")</f>
        <v/>
      </c>
      <c r="W89" t="str">
        <f>IFERROR(INDEX('DRAFT 1'!$S:$S,MATCH($B89,'DRAFT 1'!$B:$B,0)),"")</f>
        <v/>
      </c>
      <c r="X89" t="str">
        <f>IFERROR(INDEX('DRAFT 1'!$T:$T,MATCH($B89,'DRAFT 1'!$B:$B,0)),"")</f>
        <v/>
      </c>
      <c r="Z89" t="str">
        <f>IFERROR(INDEX('DRAFT 1'!$U:$U,MATCH($B89,'DRAFT 1'!$B:$B,0)),"")</f>
        <v/>
      </c>
      <c r="AA89" t="str">
        <f>IFERROR(INDEX('DRAFT 1'!$V:$V,MATCH($B89,'DRAFT 1'!$B:$B,0)),"")</f>
        <v/>
      </c>
      <c r="AB89" t="str">
        <f>IFERROR(INDEX('DRAFT 1'!$W:$W,MATCH($B89,'DRAFT 1'!$B:$B,0)),"")</f>
        <v/>
      </c>
      <c r="AC89" t="str">
        <f>IFERROR(INDEX('DRAFT 1'!$X:$X,MATCH($B89,'DRAFT 1'!$B:$B,0)),"")</f>
        <v/>
      </c>
      <c r="AD89" t="str">
        <f>IFERROR(INDEX('DRAFT 1'!$Y:$Y,MATCH($B89,'DRAFT 1'!$B:$B,0)),"")</f>
        <v/>
      </c>
      <c r="AE89" t="str">
        <f>IFERROR(INDEX('DRAFT 1'!$Z:$Z,MATCH($B89,'DRAFT 1'!$B:$B,0)),"")</f>
        <v/>
      </c>
      <c r="AF89" t="str">
        <f>IFERROR(INDEX('DRAFT 1'!$AA:$AA,MATCH($B89,'DRAFT 1'!$B:$B,0)),"")</f>
        <v/>
      </c>
      <c r="AG89" t="str">
        <f>IFERROR(INDEX('DRAFT 1'!$AB:$AB,MATCH($B89,'DRAFT 1'!$B:$B,0)),"")</f>
        <v/>
      </c>
      <c r="AH89" t="str">
        <f>IFERROR(INDEX('DRAFT 1'!$AC:$AC,MATCH($B89,'DRAFT 1'!$B:$B,0)),"")</f>
        <v/>
      </c>
      <c r="AI89" t="str">
        <f>IFERROR(INDEX('DRAFT 1'!$AD:$AD,MATCH($B89,'DRAFT 1'!$B:$B,0)),"")</f>
        <v/>
      </c>
      <c r="AJ89" t="str">
        <f>IFERROR(INDEX('DRAFT 1'!$AE:$AE,MATCH($B89,'DRAFT 1'!$B:$B,0)),"")</f>
        <v/>
      </c>
      <c r="AK89" t="str">
        <f>IFERROR(INDEX('DRAFT 1'!$AG:$AG,MATCH($B89,'DRAFT 1'!$B:$B,0)),"")</f>
        <v/>
      </c>
      <c r="AL89" t="str">
        <f>IFERROR(INDEX('DRAFT 1'!$AH:$AH,MATCH($B89,'DRAFT 1'!$B:$B,0)),"")</f>
        <v/>
      </c>
      <c r="AM89" t="str">
        <f>IFERROR(INDEX('DRAFT 1'!$AI:$AI,MATCH($B89,'DRAFT 1'!$B:$B,0)),"")</f>
        <v/>
      </c>
      <c r="AN89" t="str">
        <f>IFERROR(INDEX('DRAFT 1'!$AJ:$AJ,MATCH($B89,'DRAFT 1'!$B:$B,0)),"")</f>
        <v/>
      </c>
      <c r="AO89">
        <f t="shared" si="28"/>
        <v>0</v>
      </c>
      <c r="AP89" t="str">
        <f>IFERROR(INDEX('DRAFT 1'!$AK:$AK,MATCH($B89,'DRAFT 1'!$B:$B,0)),"")</f>
        <v/>
      </c>
      <c r="AR89" t="s">
        <v>8</v>
      </c>
      <c r="AS89">
        <f>IFERROR(LOOKUP(2,1/('DRAFT 2'!$D:$D=$B89),'DRAFT 2'!$T:$T),"")</f>
        <v>0</v>
      </c>
      <c r="AT89">
        <f>IFERROR(LOOKUP(2,1/('DRAFT 2'!$D:$D=$B89),'DRAFT 2'!$A:$A),"")</f>
        <v>0</v>
      </c>
      <c r="AU89">
        <f>IFERROR(LOOKUP(2,1/('DRAFT 2'!$D:$D=$B89),'DRAFT 2'!$R:$R),"")</f>
        <v>0</v>
      </c>
      <c r="AV89">
        <f>IFERROR(LOOKUP(2,1/('DRAFT 2'!$D:$D=$B89),'DRAFT 2'!$S:$S),"")</f>
        <v>0</v>
      </c>
      <c r="AW89" t="s">
        <v>82</v>
      </c>
      <c r="AX89">
        <f>IFERROR(LOOKUP(2,1/('DRAFT 2'!$D:$D=$B89),'DRAFT 2'!$M:$M),"")</f>
        <v>0</v>
      </c>
      <c r="AY89">
        <f>IFERROR(LOOKUP(2,1/('DRAFT 2'!$D:$D=$B89),'DRAFT 2'!$K:$K),"")</f>
        <v>0</v>
      </c>
      <c r="BG89">
        <f>IFERROR(LOOKUP(2,1/('DRAFT 2'!$D:$D=$B89),'DRAFT 2'!$U:$U),"")</f>
        <v>0</v>
      </c>
      <c r="BH89">
        <f>IFERROR(LOOKUP(2,1/('DRAFT 2'!$D:$D=$B89),'DRAFT 2'!$V:$V),"")</f>
        <v>0</v>
      </c>
      <c r="CE89" t="str">
        <f t="shared" si="29"/>
        <v/>
      </c>
      <c r="CF89">
        <f>IFERROR(LOOKUP(2,1/('DRAFT 2'!$D:$D=$B89)*('DRAFT 2'!$A:$A&gt;=DATE(2026,1,1))*('DRAFT 2'!$A:$A&lt;DATE(2026,IF(1=12,1+1,1+1),1)),'DRAFT 2'!$A:$A),"")</f>
        <v>0</v>
      </c>
      <c r="CG89">
        <f>COUNTIFS('DRAFT 2'!$D:$D,$B89,'DRAFT 2'!$A:$A,"&gt;="&amp;DATE(2026,1,1),'DRAFT 2'!$A:$A,"&lt;="&amp;DATE(2026,1,7))</f>
        <v>0</v>
      </c>
      <c r="CH89">
        <f>COUNTIFS('DRAFT 2'!$D:$D,$B89,'DRAFT 2'!$A:$A,"&gt;="&amp;DATE(2026,1,8),'DRAFT 2'!$A:$A,"&lt;="&amp;DATE(2026,1,14))</f>
        <v>0</v>
      </c>
      <c r="CI89">
        <f>COUNTIFS('DRAFT 2'!$D:$D,$B89,'DRAFT 2'!$A:$A,"&gt;="&amp;DATE(2026,1,15),'DRAFT 2'!$A:$A,"&lt;="&amp;DATE(2026,1,21))</f>
        <v>0</v>
      </c>
      <c r="CJ89">
        <f>COUNTIFS('DRAFT 2'!$D:$D,$B89,'DRAFT 2'!$A:$A,"&gt;="&amp;DATE(2026,1,22),'DRAFT 2'!$A:$A,"&lt;"&amp;DATE(2026,IF(1=12,1+1,1+1),1))</f>
        <v>0</v>
      </c>
      <c r="CK89">
        <f t="shared" si="30"/>
        <v>0</v>
      </c>
      <c r="CT89">
        <v>0</v>
      </c>
      <c r="CU89">
        <f>IFERROR(LOOKUP(2,1/('DRAFT 2'!$D:$D=$B89)*('DRAFT 2'!$A:$A&gt;=DATE(2026,2,1))*('DRAFT 2'!$A:$A&lt;DATE(2026,IF(2=12,2+1,2+1),1)),'DRAFT 2'!$A:$A),"")</f>
        <v>0</v>
      </c>
      <c r="CV89">
        <f>COUNTIFS('DRAFT 2'!$D:$D,$B89,'DRAFT 2'!$A:$A,"&gt;="&amp;DATE(2026,2,1),'DRAFT 2'!$A:$A,"&lt;="&amp;DATE(2026,2,7))</f>
        <v>0</v>
      </c>
      <c r="CW89">
        <f>COUNTIFS('DRAFT 2'!$D:$D,$B89,'DRAFT 2'!$A:$A,"&gt;="&amp;DATE(2026,2,8),'DRAFT 2'!$A:$A,"&lt;="&amp;DATE(2026,2,14))</f>
        <v>0</v>
      </c>
      <c r="CX89">
        <f>COUNTIFS('DRAFT 2'!$D:$D,$B89,'DRAFT 2'!$A:$A,"&gt;="&amp;DATE(2026,2,15),'DRAFT 2'!$A:$A,"&lt;="&amp;DATE(2026,2,21))</f>
        <v>0</v>
      </c>
      <c r="CY89">
        <f>COUNTIFS('DRAFT 2'!$D:$D,$B89,'DRAFT 2'!$A:$A,"&gt;="&amp;DATE(2026,2,22),'DRAFT 2'!$A:$A,"&lt;"&amp;DATE(2026,IF(2=12,2+1,2+1),1))</f>
        <v>0</v>
      </c>
      <c r="CZ89">
        <f t="shared" si="31"/>
        <v>0</v>
      </c>
      <c r="DJ89">
        <f>IFERROR(LOOKUP(2,1/('DRAFT 2'!$D:$D=$B89)*('DRAFT 2'!$A:$A&gt;=DATE(2026,3,1))*('DRAFT 2'!$A:$A&lt;DATE(2026,IF(3=12,3+1,3+1),1)),'DRAFT 2'!$A:$A),"")</f>
        <v>0</v>
      </c>
      <c r="DK89">
        <f>COUNTIFS('DRAFT 2'!$D:$D,$B89,'DRAFT 2'!$A:$A,"&gt;="&amp;DATE(2026,3,1),'DRAFT 2'!$A:$A,"&lt;="&amp;DATE(2026,3,7))</f>
        <v>0</v>
      </c>
      <c r="DL89">
        <f>COUNTIFS('DRAFT 2'!$D:$D,$B89,'DRAFT 2'!$A:$A,"&gt;="&amp;DATE(2026,3,8),'DRAFT 2'!$A:$A,"&lt;="&amp;DATE(2026,3,14))</f>
        <v>0</v>
      </c>
      <c r="DM89">
        <f>COUNTIFS('DRAFT 2'!$D:$D,$B89,'DRAFT 2'!$A:$A,"&gt;="&amp;DATE(2026,3,15),'DRAFT 2'!$A:$A,"&lt;="&amp;DATE(2026,3,21))</f>
        <v>0</v>
      </c>
      <c r="DN89">
        <f>COUNTIFS('DRAFT 2'!$D:$D,$B89,'DRAFT 2'!$A:$A,"&gt;="&amp;DATE(2026,3,22),'DRAFT 2'!$A:$A,"&lt;"&amp;DATE(2026,IF(3=12,3+1,3+1),1))</f>
        <v>0</v>
      </c>
      <c r="DO89">
        <f t="shared" si="32"/>
        <v>0</v>
      </c>
      <c r="DZ89">
        <f>IFERROR(LOOKUP(2,1/('DRAFT 2'!$D:$D=$B89)*('DRAFT 2'!$A:$A&gt;=DATE(2026,4,1))*('DRAFT 2'!$A:$A&lt;DATE(2026,IF(4=12,4+1,4+1),1)),'DRAFT 2'!$A:$A),"")</f>
        <v>0</v>
      </c>
      <c r="EA89">
        <f>COUNTIFS('DRAFT 2'!$D:$D,$B89,'DRAFT 2'!$A:$A,"&gt;="&amp;DATE(2026,4,1),'DRAFT 2'!$A:$A,"&lt;="&amp;DATE(2026,4,7))</f>
        <v>0</v>
      </c>
      <c r="EB89">
        <f>COUNTIFS('DRAFT 2'!$D:$D,$B89,'DRAFT 2'!$A:$A,"&gt;="&amp;DATE(2026,4,8),'DRAFT 2'!$A:$A,"&lt;="&amp;DATE(2026,4,14))</f>
        <v>0</v>
      </c>
      <c r="EC89">
        <f>COUNTIFS('DRAFT 2'!$D:$D,$B89,'DRAFT 2'!$A:$A,"&gt;="&amp;DATE(2026,4,15),'DRAFT 2'!$A:$A,"&lt;="&amp;DATE(2026,4,21))</f>
        <v>0</v>
      </c>
      <c r="ED89">
        <f>COUNTIFS('DRAFT 2'!$D:$D,$B89,'DRAFT 2'!$A:$A,"&gt;="&amp;DATE(2026,4,22),'DRAFT 2'!$A:$A,"&lt;"&amp;DATE(2026,IF(4=12,4+1,4+1),1))</f>
        <v>0</v>
      </c>
      <c r="EE89">
        <f t="shared" si="33"/>
        <v>0</v>
      </c>
      <c r="EO89">
        <f>IFERROR(LOOKUP(2,1/('DRAFT 2'!$D:$D=$B89)*('DRAFT 2'!$A:$A&gt;=DATE(2026,5,1))*('DRAFT 2'!$A:$A&lt;DATE(2026,IF(5=12,5+1,5+1),1)),'DRAFT 2'!$A:$A),"")</f>
        <v>0</v>
      </c>
      <c r="EP89">
        <f>COUNTIFS('DRAFT 2'!$D:$D,$B89,'DRAFT 2'!$A:$A,"&gt;="&amp;DATE(2026,5,1),'DRAFT 2'!$A:$A,"&lt;="&amp;DATE(2026,5,7))</f>
        <v>0</v>
      </c>
      <c r="EQ89">
        <f>COUNTIFS('DRAFT 2'!$D:$D,$B89,'DRAFT 2'!$A:$A,"&gt;="&amp;DATE(2026,5,8),'DRAFT 2'!$A:$A,"&lt;="&amp;DATE(2026,5,14))</f>
        <v>0</v>
      </c>
      <c r="ER89">
        <f>COUNTIFS('DRAFT 2'!$D:$D,$B89,'DRAFT 2'!$A:$A,"&gt;="&amp;DATE(2026,5,15),'DRAFT 2'!$A:$A,"&lt;="&amp;DATE(2026,5,21))</f>
        <v>0</v>
      </c>
      <c r="ES89">
        <f>COUNTIFS('DRAFT 2'!$D:$D,$B89,'DRAFT 2'!$A:$A,"&gt;="&amp;DATE(2026,5,22),'DRAFT 2'!$A:$A,"&lt;"&amp;DATE(2026,IF(5=12,5+1,5+1),1))</f>
        <v>0</v>
      </c>
      <c r="ET89">
        <f t="shared" si="34"/>
        <v>0</v>
      </c>
      <c r="FD89">
        <f>IFERROR(LOOKUP(2,1/('DRAFT 2'!$D:$D=$B89)*('DRAFT 2'!$A:$A&gt;=DATE(2026,6,1))*('DRAFT 2'!$A:$A&lt;DATE(2026,IF(6=12,6+1,6+1),1)),'DRAFT 2'!$A:$A),"")</f>
        <v>0</v>
      </c>
      <c r="FE89">
        <f>COUNTIFS('DRAFT 2'!$D:$D,$B89,'DRAFT 2'!$A:$A,"&gt;="&amp;DATE(2026,6,1),'DRAFT 2'!$A:$A,"&lt;="&amp;DATE(2026,6,7))</f>
        <v>0</v>
      </c>
      <c r="FF89">
        <f>COUNTIFS('DRAFT 2'!$D:$D,$B89,'DRAFT 2'!$A:$A,"&gt;="&amp;DATE(2026,6,8),'DRAFT 2'!$A:$A,"&lt;="&amp;DATE(2026,6,14))</f>
        <v>0</v>
      </c>
      <c r="FG89">
        <f>COUNTIFS('DRAFT 2'!$D:$D,$B89,'DRAFT 2'!$A:$A,"&gt;="&amp;DATE(2026,6,15),'DRAFT 2'!$A:$A,"&lt;="&amp;DATE(2026,6,21))</f>
        <v>0</v>
      </c>
      <c r="FH89">
        <f>COUNTIFS('DRAFT 2'!$D:$D,$B89,'DRAFT 2'!$A:$A,"&gt;="&amp;DATE(2026,6,22),'DRAFT 2'!$A:$A,"&lt;"&amp;DATE(2026,IF(6=12,6+1,6+1),1))</f>
        <v>0</v>
      </c>
      <c r="FI89">
        <f t="shared" si="35"/>
        <v>0</v>
      </c>
      <c r="FT89">
        <f>IFERROR(LOOKUP(2,1/('DRAFT 2'!$D:$D=$B89)*('DRAFT 2'!$A:$A&gt;=DATE(2026,7,1))*('DRAFT 2'!$A:$A&lt;DATE(2026,IF(7=12,7+1,7+1),1)),'DRAFT 2'!$A:$A),"")</f>
        <v>0</v>
      </c>
      <c r="FU89">
        <f>COUNTIFS('DRAFT 2'!$D:$D,$B89,'DRAFT 2'!$A:$A,"&gt;="&amp;DATE(2026,7,1),'DRAFT 2'!$A:$A,"&lt;="&amp;DATE(2026,7,7))</f>
        <v>0</v>
      </c>
      <c r="FV89">
        <f>COUNTIFS('DRAFT 2'!$D:$D,$B89,'DRAFT 2'!$A:$A,"&gt;="&amp;DATE(2026,7,8),'DRAFT 2'!$A:$A,"&lt;="&amp;DATE(2026,7,14))</f>
        <v>0</v>
      </c>
      <c r="FW89">
        <f>COUNTIFS('DRAFT 2'!$D:$D,$B89,'DRAFT 2'!$A:$A,"&gt;="&amp;DATE(2026,7,15),'DRAFT 2'!$A:$A,"&lt;="&amp;DATE(2026,7,21))</f>
        <v>0</v>
      </c>
      <c r="FX89">
        <f>COUNTIFS('DRAFT 2'!$D:$D,$B89,'DRAFT 2'!$A:$A,"&gt;="&amp;DATE(2026,7,22),'DRAFT 2'!$A:$A,"&lt;"&amp;DATE(2026,IF(7=12,7+1,7+1),1))</f>
        <v>0</v>
      </c>
      <c r="FY89">
        <f t="shared" si="36"/>
        <v>0</v>
      </c>
      <c r="GI89">
        <f>IFERROR(LOOKUP(2,1/('DRAFT 2'!$D:$D=$B89)*('DRAFT 2'!$A:$A&gt;=DATE(2026,8,1))*('DRAFT 2'!$A:$A&lt;DATE(2026,IF(8=12,8+1,8+1),1)),'DRAFT 2'!$A:$A),"")</f>
        <v>0</v>
      </c>
      <c r="GJ89">
        <f>COUNTIFS('DRAFT 2'!$D:$D,$B89,'DRAFT 2'!$A:$A,"&gt;="&amp;DATE(2026,8,1),'DRAFT 2'!$A:$A,"&lt;="&amp;DATE(2026,8,7))</f>
        <v>0</v>
      </c>
      <c r="GK89">
        <f>COUNTIFS('DRAFT 2'!$D:$D,$B89,'DRAFT 2'!$A:$A,"&gt;="&amp;DATE(2026,8,8),'DRAFT 2'!$A:$A,"&lt;="&amp;DATE(2026,8,14))</f>
        <v>0</v>
      </c>
      <c r="GL89">
        <f>COUNTIFS('DRAFT 2'!$D:$D,$B89,'DRAFT 2'!$A:$A,"&gt;="&amp;DATE(2026,8,15),'DRAFT 2'!$A:$A,"&lt;="&amp;DATE(2026,8,21))</f>
        <v>0</v>
      </c>
      <c r="GM89">
        <f>COUNTIFS('DRAFT 2'!$D:$D,$B89,'DRAFT 2'!$A:$A,"&gt;="&amp;DATE(2026,8,22),'DRAFT 2'!$A:$A,"&lt;"&amp;DATE(2026,IF(8=12,8+1,8+1),1))</f>
        <v>0</v>
      </c>
      <c r="GN89">
        <f t="shared" si="37"/>
        <v>0</v>
      </c>
      <c r="GX89">
        <f>IFERROR(LOOKUP(2,1/('DRAFT 2'!$D:$D=$B89)*('DRAFT 2'!$A:$A&gt;=DATE(2026,9,1))*('DRAFT 2'!$A:$A&lt;DATE(2026,IF(9=12,9+1,9+1),1)),'DRAFT 2'!$A:$A),"")</f>
        <v>0</v>
      </c>
      <c r="GY89">
        <f>COUNTIFS('DRAFT 2'!$D:$D,$B89,'DRAFT 2'!$A:$A,"&gt;="&amp;DATE(2026,9,1),'DRAFT 2'!$A:$A,"&lt;="&amp;DATE(2026,9,7))</f>
        <v>0</v>
      </c>
      <c r="GZ89">
        <f>COUNTIFS('DRAFT 2'!$D:$D,$B89,'DRAFT 2'!$A:$A,"&gt;="&amp;DATE(2026,9,8),'DRAFT 2'!$A:$A,"&lt;="&amp;DATE(2026,9,14))</f>
        <v>0</v>
      </c>
      <c r="HA89">
        <f>COUNTIFS('DRAFT 2'!$D:$D,$B89,'DRAFT 2'!$A:$A,"&gt;="&amp;DATE(2026,9,15),'DRAFT 2'!$A:$A,"&lt;="&amp;DATE(2026,9,21))</f>
        <v>0</v>
      </c>
      <c r="HB89">
        <f>COUNTIFS('DRAFT 2'!$D:$D,$B89,'DRAFT 2'!$A:$A,"&gt;="&amp;DATE(2026,9,22),'DRAFT 2'!$A:$A,"&lt;"&amp;DATE(2026,IF(9=12,9+1,9+1),1))</f>
        <v>0</v>
      </c>
      <c r="HC89">
        <f t="shared" si="38"/>
        <v>0</v>
      </c>
      <c r="HN89">
        <f>IFERROR(LOOKUP(2,1/('DRAFT 2'!$D:$D=$B89)*('DRAFT 2'!$A:$A&gt;=DATE(2026,10,1))*('DRAFT 2'!$A:$A&lt;DATE(2026,IF(10=12,10+1,10+1),1)),'DRAFT 2'!$A:$A),"")</f>
        <v>0</v>
      </c>
      <c r="HO89">
        <f>COUNTIFS('DRAFT 2'!$D:$D,$B89,'DRAFT 2'!$A:$A,"&gt;="&amp;DATE(2026,10,1),'DRAFT 2'!$A:$A,"&lt;="&amp;DATE(2026,10,7))</f>
        <v>0</v>
      </c>
      <c r="HP89">
        <f>COUNTIFS('DRAFT 2'!$D:$D,$B89,'DRAFT 2'!$A:$A,"&gt;="&amp;DATE(2026,10,8),'DRAFT 2'!$A:$A,"&lt;="&amp;DATE(2026,10,14))</f>
        <v>0</v>
      </c>
      <c r="HQ89">
        <f>COUNTIFS('DRAFT 2'!$D:$D,$B89,'DRAFT 2'!$A:$A,"&gt;="&amp;DATE(2026,10,15),'DRAFT 2'!$A:$A,"&lt;="&amp;DATE(2026,10,21))</f>
        <v>0</v>
      </c>
      <c r="HR89">
        <f>COUNTIFS('DRAFT 2'!$D:$D,$B89,'DRAFT 2'!$A:$A,"&gt;="&amp;DATE(2026,10,22),'DRAFT 2'!$A:$A,"&lt;"&amp;DATE(2026,IF(10=12,10+1,10+1),1))</f>
        <v>0</v>
      </c>
      <c r="HS89">
        <f t="shared" si="39"/>
        <v>0</v>
      </c>
      <c r="IC89">
        <f>IFERROR(LOOKUP(2,1/('DRAFT 2'!$D:$D=$B89)*('DRAFT 2'!$A:$A&gt;=DATE(2026,11,1))*('DRAFT 2'!$A:$A&lt;DATE(2026,IF(11=12,11+1,11+1),1)),'DRAFT 2'!$A:$A),"")</f>
        <v>0</v>
      </c>
      <c r="ID89">
        <f>COUNTIFS('DRAFT 2'!$D:$D,$B89,'DRAFT 2'!$A:$A,"&gt;="&amp;DATE(2026,11,1),'DRAFT 2'!$A:$A,"&lt;="&amp;DATE(2026,11,7))</f>
        <v>0</v>
      </c>
      <c r="IE89">
        <f>COUNTIFS('DRAFT 2'!$D:$D,$B89,'DRAFT 2'!$A:$A,"&gt;="&amp;DATE(2026,11,8),'DRAFT 2'!$A:$A,"&lt;="&amp;DATE(2026,11,14))</f>
        <v>0</v>
      </c>
      <c r="IF89">
        <f>COUNTIFS('DRAFT 2'!$D:$D,$B89,'DRAFT 2'!$A:$A,"&gt;="&amp;DATE(2026,11,15),'DRAFT 2'!$A:$A,"&lt;="&amp;DATE(2026,11,21))</f>
        <v>0</v>
      </c>
      <c r="IG89">
        <f>COUNTIFS('DRAFT 2'!$D:$D,$B89,'DRAFT 2'!$A:$A,"&gt;="&amp;DATE(2026,11,22),'DRAFT 2'!$A:$A,"&lt;"&amp;DATE(2026,IF(11=12,11+1,11+1),1))</f>
        <v>0</v>
      </c>
      <c r="IH89">
        <f t="shared" si="40"/>
        <v>0</v>
      </c>
      <c r="IR89">
        <f>IFERROR(LOOKUP(2,1/('DRAFT 2'!$D:$D=$B89)*('DRAFT 2'!$A:$A&gt;=DATE(2026,12,1))*('DRAFT 2'!$A:$A&lt;DATE(2026,IF(12=12,12+1,12+1),1)),'DRAFT 2'!$A:$A),"")</f>
        <v>0</v>
      </c>
      <c r="IS89">
        <f>COUNTIFS('DRAFT 2'!$D:$D,$B89,'DRAFT 2'!$A:$A,"&gt;="&amp;DATE(2026,12,1),'DRAFT 2'!$A:$A,"&lt;="&amp;DATE(2026,12,7))</f>
        <v>0</v>
      </c>
      <c r="IT89">
        <f>COUNTIFS('DRAFT 2'!$D:$D,$B89,'DRAFT 2'!$A:$A,"&gt;="&amp;DATE(2026,12,8),'DRAFT 2'!$A:$A,"&lt;="&amp;DATE(2026,12,14))</f>
        <v>0</v>
      </c>
      <c r="IU89">
        <f>COUNTIFS('DRAFT 2'!$D:$D,$B89,'DRAFT 2'!$A:$A,"&gt;="&amp;DATE(2026,12,15),'DRAFT 2'!$A:$A,"&lt;="&amp;DATE(2026,12,21))</f>
        <v>0</v>
      </c>
      <c r="IV89">
        <f>COUNTIFS('DRAFT 2'!$D:$D,$B89,'DRAFT 2'!$A:$A,"&gt;="&amp;DATE(2026,12,22),'DRAFT 2'!$A:$A,"&lt;"&amp;DATE(2026,IF(12=12,12+1,12+1),1))</f>
        <v>0</v>
      </c>
      <c r="IW89">
        <f t="shared" si="41"/>
        <v>0</v>
      </c>
    </row>
    <row r="90" spans="1:257" x14ac:dyDescent="0.3">
      <c r="A90" t="str">
        <f>IFERROR(INDEX('DRAFT 1'!$A:$A,MATCH($B90,'DRAFT 1'!$B:$B,0)),"")</f>
        <v/>
      </c>
      <c r="C90" t="str">
        <f>IFERROR(INDEX('DRAFT 1'!$C:$C,MATCH($B90,'DRAFT 1'!$B:$B,0)),"")</f>
        <v/>
      </c>
      <c r="D90" t="str">
        <f>IFERROR(INDEX('DRAFT 1'!$D:$D,MATCH($B90,'DRAFT 1'!$B:$B,0)),"")</f>
        <v/>
      </c>
      <c r="E90" t="str">
        <f>IFERROR(INDEX('DRAFT 1'!$E:$E,MATCH($B90,'DRAFT 1'!$B:$B,0)),"")</f>
        <v/>
      </c>
      <c r="F90" t="str">
        <f>IFERROR(INDEX('DRAFT 1'!$F:$F,MATCH($B90,'DRAFT 1'!$B:$B,0)),"")</f>
        <v/>
      </c>
      <c r="G90" t="str">
        <f>IFERROR(INDEX('DRAFT 1'!$G:$G,MATCH($B90,'DRAFT 1'!$B:$B,0)),"")</f>
        <v/>
      </c>
      <c r="H90" t="str">
        <f>IFERROR(INDEX('DRAFT 1'!$H:$H,MATCH($B90,'DRAFT 1'!$B:$B,0)),"")</f>
        <v/>
      </c>
      <c r="I90" t="s">
        <v>283</v>
      </c>
      <c r="K90" t="str">
        <f>IFERROR(INDEX('DRAFT 1'!$AL:$AL,MATCH($B90,'DRAFT 1'!$B:$B,0)),"")</f>
        <v/>
      </c>
      <c r="L90" t="str">
        <f>IFERROR(INDEX('DRAFT 1'!$J:$J,MATCH($B90,'DRAFT 1'!$B:$B,0)),"")</f>
        <v/>
      </c>
      <c r="M90" t="str">
        <f>IFERROR(INDEX('DRAFT 1'!$K:$K,MATCH($B90,'DRAFT 1'!$B:$B,0)),"")</f>
        <v/>
      </c>
      <c r="N90" t="s">
        <v>71</v>
      </c>
      <c r="P90" t="str">
        <f>IFERROR(INDEX('DRAFT 1'!$L:$L,MATCH($B90,'DRAFT 1'!$B:$B,0)),"")</f>
        <v/>
      </c>
      <c r="Q90" t="str">
        <f>IFERROR(INDEX('DRAFT 1'!$M:$M,MATCH($B90,'DRAFT 1'!$B:$B,0)),"")</f>
        <v/>
      </c>
      <c r="R90" t="str">
        <f>IFERROR(INDEX('DRAFT 1'!$N:$N,MATCH($B90,'DRAFT 1'!$B:$B,0)),"")</f>
        <v/>
      </c>
      <c r="S90" t="str">
        <f>IFERROR(INDEX('DRAFT 1'!$O:$O,MATCH($B90,'DRAFT 1'!$B:$B,0)),"")</f>
        <v/>
      </c>
      <c r="T90" t="str">
        <f>IFERROR(INDEX('DRAFT 1'!$P:$P,MATCH($B90,'DRAFT 1'!$B:$B,0)),"")</f>
        <v/>
      </c>
      <c r="U90" t="str">
        <f>IFERROR(INDEX('DRAFT 1'!$Q:$Q,MATCH($B90,'DRAFT 1'!$B:$B,0)),"")</f>
        <v/>
      </c>
      <c r="V90" t="str">
        <f>IFERROR(INDEX('DRAFT 1'!$R:$R,MATCH($B90,'DRAFT 1'!$B:$B,0)),"")</f>
        <v/>
      </c>
      <c r="W90" t="str">
        <f>IFERROR(INDEX('DRAFT 1'!$S:$S,MATCH($B90,'DRAFT 1'!$B:$B,0)),"")</f>
        <v/>
      </c>
      <c r="X90" t="str">
        <f>IFERROR(INDEX('DRAFT 1'!$T:$T,MATCH($B90,'DRAFT 1'!$B:$B,0)),"")</f>
        <v/>
      </c>
      <c r="Z90" t="str">
        <f>IFERROR(INDEX('DRAFT 1'!$U:$U,MATCH($B90,'DRAFT 1'!$B:$B,0)),"")</f>
        <v/>
      </c>
      <c r="AA90" t="str">
        <f>IFERROR(INDEX('DRAFT 1'!$V:$V,MATCH($B90,'DRAFT 1'!$B:$B,0)),"")</f>
        <v/>
      </c>
      <c r="AB90" t="str">
        <f>IFERROR(INDEX('DRAFT 1'!$W:$W,MATCH($B90,'DRAFT 1'!$B:$B,0)),"")</f>
        <v/>
      </c>
      <c r="AC90" t="str">
        <f>IFERROR(INDEX('DRAFT 1'!$X:$X,MATCH($B90,'DRAFT 1'!$B:$B,0)),"")</f>
        <v/>
      </c>
      <c r="AD90" t="str">
        <f>IFERROR(INDEX('DRAFT 1'!$Y:$Y,MATCH($B90,'DRAFT 1'!$B:$B,0)),"")</f>
        <v/>
      </c>
      <c r="AE90" t="str">
        <f>IFERROR(INDEX('DRAFT 1'!$Z:$Z,MATCH($B90,'DRAFT 1'!$B:$B,0)),"")</f>
        <v/>
      </c>
      <c r="AF90" t="str">
        <f>IFERROR(INDEX('DRAFT 1'!$AA:$AA,MATCH($B90,'DRAFT 1'!$B:$B,0)),"")</f>
        <v/>
      </c>
      <c r="AG90" t="str">
        <f>IFERROR(INDEX('DRAFT 1'!$AB:$AB,MATCH($B90,'DRAFT 1'!$B:$B,0)),"")</f>
        <v/>
      </c>
      <c r="AH90" t="str">
        <f>IFERROR(INDEX('DRAFT 1'!$AC:$AC,MATCH($B90,'DRAFT 1'!$B:$B,0)),"")</f>
        <v/>
      </c>
      <c r="AI90" t="str">
        <f>IFERROR(INDEX('DRAFT 1'!$AD:$AD,MATCH($B90,'DRAFT 1'!$B:$B,0)),"")</f>
        <v/>
      </c>
      <c r="AJ90" t="str">
        <f>IFERROR(INDEX('DRAFT 1'!$AE:$AE,MATCH($B90,'DRAFT 1'!$B:$B,0)),"")</f>
        <v/>
      </c>
      <c r="AK90" t="str">
        <f>IFERROR(INDEX('DRAFT 1'!$AG:$AG,MATCH($B90,'DRAFT 1'!$B:$B,0)),"")</f>
        <v/>
      </c>
      <c r="AL90" t="str">
        <f>IFERROR(INDEX('DRAFT 1'!$AH:$AH,MATCH($B90,'DRAFT 1'!$B:$B,0)),"")</f>
        <v/>
      </c>
      <c r="AM90" t="str">
        <f>IFERROR(INDEX('DRAFT 1'!$AI:$AI,MATCH($B90,'DRAFT 1'!$B:$B,0)),"")</f>
        <v/>
      </c>
      <c r="AN90" t="str">
        <f>IFERROR(INDEX('DRAFT 1'!$AJ:$AJ,MATCH($B90,'DRAFT 1'!$B:$B,0)),"")</f>
        <v/>
      </c>
      <c r="AO90">
        <f t="shared" si="28"/>
        <v>0</v>
      </c>
      <c r="AP90" t="str">
        <f>IFERROR(INDEX('DRAFT 1'!$AK:$AK,MATCH($B90,'DRAFT 1'!$B:$B,0)),"")</f>
        <v/>
      </c>
      <c r="AR90" t="s">
        <v>93</v>
      </c>
      <c r="AS90">
        <f>IFERROR(LOOKUP(2,1/('DRAFT 2'!$D:$D=$B90),'DRAFT 2'!$T:$T),"")</f>
        <v>0</v>
      </c>
      <c r="AT90">
        <f>IFERROR(LOOKUP(2,1/('DRAFT 2'!$D:$D=$B90),'DRAFT 2'!$A:$A),"")</f>
        <v>0</v>
      </c>
      <c r="AU90">
        <f>IFERROR(LOOKUP(2,1/('DRAFT 2'!$D:$D=$B90),'DRAFT 2'!$R:$R),"")</f>
        <v>0</v>
      </c>
      <c r="AV90">
        <f>IFERROR(LOOKUP(2,1/('DRAFT 2'!$D:$D=$B90),'DRAFT 2'!$S:$S),"")</f>
        <v>0</v>
      </c>
      <c r="AW90" t="s">
        <v>128</v>
      </c>
      <c r="AX90">
        <f>IFERROR(LOOKUP(2,1/('DRAFT 2'!$D:$D=$B90),'DRAFT 2'!$M:$M),"")</f>
        <v>0</v>
      </c>
      <c r="AY90">
        <f>IFERROR(LOOKUP(2,1/('DRAFT 2'!$D:$D=$B90),'DRAFT 2'!$K:$K),"")</f>
        <v>0</v>
      </c>
      <c r="BG90">
        <f>IFERROR(LOOKUP(2,1/('DRAFT 2'!$D:$D=$B90),'DRAFT 2'!$U:$U),"")</f>
        <v>0</v>
      </c>
      <c r="BH90">
        <f>IFERROR(LOOKUP(2,1/('DRAFT 2'!$D:$D=$B90),'DRAFT 2'!$V:$V),"")</f>
        <v>0</v>
      </c>
      <c r="CE90" t="str">
        <f t="shared" si="29"/>
        <v/>
      </c>
      <c r="CF90">
        <f>IFERROR(LOOKUP(2,1/('DRAFT 2'!$D:$D=$B90)*('DRAFT 2'!$A:$A&gt;=DATE(2026,1,1))*('DRAFT 2'!$A:$A&lt;DATE(2026,IF(1=12,1+1,1+1),1)),'DRAFT 2'!$A:$A),"")</f>
        <v>0</v>
      </c>
      <c r="CG90">
        <f>COUNTIFS('DRAFT 2'!$D:$D,$B90,'DRAFT 2'!$A:$A,"&gt;="&amp;DATE(2026,1,1),'DRAFT 2'!$A:$A,"&lt;="&amp;DATE(2026,1,7))</f>
        <v>0</v>
      </c>
      <c r="CH90">
        <f>COUNTIFS('DRAFT 2'!$D:$D,$B90,'DRAFT 2'!$A:$A,"&gt;="&amp;DATE(2026,1,8),'DRAFT 2'!$A:$A,"&lt;="&amp;DATE(2026,1,14))</f>
        <v>0</v>
      </c>
      <c r="CI90">
        <f>COUNTIFS('DRAFT 2'!$D:$D,$B90,'DRAFT 2'!$A:$A,"&gt;="&amp;DATE(2026,1,15),'DRAFT 2'!$A:$A,"&lt;="&amp;DATE(2026,1,21))</f>
        <v>0</v>
      </c>
      <c r="CJ90">
        <f>COUNTIFS('DRAFT 2'!$D:$D,$B90,'DRAFT 2'!$A:$A,"&gt;="&amp;DATE(2026,1,22),'DRAFT 2'!$A:$A,"&lt;"&amp;DATE(2026,IF(1=12,1+1,1+1),1))</f>
        <v>0</v>
      </c>
      <c r="CK90">
        <f t="shared" si="30"/>
        <v>0</v>
      </c>
      <c r="CT90">
        <v>0</v>
      </c>
      <c r="CU90">
        <f>IFERROR(LOOKUP(2,1/('DRAFT 2'!$D:$D=$B90)*('DRAFT 2'!$A:$A&gt;=DATE(2026,2,1))*('DRAFT 2'!$A:$A&lt;DATE(2026,IF(2=12,2+1,2+1),1)),'DRAFT 2'!$A:$A),"")</f>
        <v>0</v>
      </c>
      <c r="CV90">
        <f>COUNTIFS('DRAFT 2'!$D:$D,$B90,'DRAFT 2'!$A:$A,"&gt;="&amp;DATE(2026,2,1),'DRAFT 2'!$A:$A,"&lt;="&amp;DATE(2026,2,7))</f>
        <v>0</v>
      </c>
      <c r="CW90">
        <f>COUNTIFS('DRAFT 2'!$D:$D,$B90,'DRAFT 2'!$A:$A,"&gt;="&amp;DATE(2026,2,8),'DRAFT 2'!$A:$A,"&lt;="&amp;DATE(2026,2,14))</f>
        <v>0</v>
      </c>
      <c r="CX90">
        <f>COUNTIFS('DRAFT 2'!$D:$D,$B90,'DRAFT 2'!$A:$A,"&gt;="&amp;DATE(2026,2,15),'DRAFT 2'!$A:$A,"&lt;="&amp;DATE(2026,2,21))</f>
        <v>0</v>
      </c>
      <c r="CY90">
        <f>COUNTIFS('DRAFT 2'!$D:$D,$B90,'DRAFT 2'!$A:$A,"&gt;="&amp;DATE(2026,2,22),'DRAFT 2'!$A:$A,"&lt;"&amp;DATE(2026,IF(2=12,2+1,2+1),1))</f>
        <v>0</v>
      </c>
      <c r="CZ90">
        <f t="shared" si="31"/>
        <v>0</v>
      </c>
      <c r="DJ90">
        <f>IFERROR(LOOKUP(2,1/('DRAFT 2'!$D:$D=$B90)*('DRAFT 2'!$A:$A&gt;=DATE(2026,3,1))*('DRAFT 2'!$A:$A&lt;DATE(2026,IF(3=12,3+1,3+1),1)),'DRAFT 2'!$A:$A),"")</f>
        <v>0</v>
      </c>
      <c r="DK90">
        <f>COUNTIFS('DRAFT 2'!$D:$D,$B90,'DRAFT 2'!$A:$A,"&gt;="&amp;DATE(2026,3,1),'DRAFT 2'!$A:$A,"&lt;="&amp;DATE(2026,3,7))</f>
        <v>0</v>
      </c>
      <c r="DL90">
        <f>COUNTIFS('DRAFT 2'!$D:$D,$B90,'DRAFT 2'!$A:$A,"&gt;="&amp;DATE(2026,3,8),'DRAFT 2'!$A:$A,"&lt;="&amp;DATE(2026,3,14))</f>
        <v>0</v>
      </c>
      <c r="DM90">
        <f>COUNTIFS('DRAFT 2'!$D:$D,$B90,'DRAFT 2'!$A:$A,"&gt;="&amp;DATE(2026,3,15),'DRAFT 2'!$A:$A,"&lt;="&amp;DATE(2026,3,21))</f>
        <v>0</v>
      </c>
      <c r="DN90">
        <f>COUNTIFS('DRAFT 2'!$D:$D,$B90,'DRAFT 2'!$A:$A,"&gt;="&amp;DATE(2026,3,22),'DRAFT 2'!$A:$A,"&lt;"&amp;DATE(2026,IF(3=12,3+1,3+1),1))</f>
        <v>0</v>
      </c>
      <c r="DO90">
        <f t="shared" si="32"/>
        <v>0</v>
      </c>
      <c r="DZ90">
        <f>IFERROR(LOOKUP(2,1/('DRAFT 2'!$D:$D=$B90)*('DRAFT 2'!$A:$A&gt;=DATE(2026,4,1))*('DRAFT 2'!$A:$A&lt;DATE(2026,IF(4=12,4+1,4+1),1)),'DRAFT 2'!$A:$A),"")</f>
        <v>0</v>
      </c>
      <c r="EA90">
        <f>COUNTIFS('DRAFT 2'!$D:$D,$B90,'DRAFT 2'!$A:$A,"&gt;="&amp;DATE(2026,4,1),'DRAFT 2'!$A:$A,"&lt;="&amp;DATE(2026,4,7))</f>
        <v>0</v>
      </c>
      <c r="EB90">
        <f>COUNTIFS('DRAFT 2'!$D:$D,$B90,'DRAFT 2'!$A:$A,"&gt;="&amp;DATE(2026,4,8),'DRAFT 2'!$A:$A,"&lt;="&amp;DATE(2026,4,14))</f>
        <v>0</v>
      </c>
      <c r="EC90">
        <f>COUNTIFS('DRAFT 2'!$D:$D,$B90,'DRAFT 2'!$A:$A,"&gt;="&amp;DATE(2026,4,15),'DRAFT 2'!$A:$A,"&lt;="&amp;DATE(2026,4,21))</f>
        <v>0</v>
      </c>
      <c r="ED90">
        <f>COUNTIFS('DRAFT 2'!$D:$D,$B90,'DRAFT 2'!$A:$A,"&gt;="&amp;DATE(2026,4,22),'DRAFT 2'!$A:$A,"&lt;"&amp;DATE(2026,IF(4=12,4+1,4+1),1))</f>
        <v>0</v>
      </c>
      <c r="EE90">
        <f t="shared" si="33"/>
        <v>0</v>
      </c>
      <c r="EO90">
        <f>IFERROR(LOOKUP(2,1/('DRAFT 2'!$D:$D=$B90)*('DRAFT 2'!$A:$A&gt;=DATE(2026,5,1))*('DRAFT 2'!$A:$A&lt;DATE(2026,IF(5=12,5+1,5+1),1)),'DRAFT 2'!$A:$A),"")</f>
        <v>0</v>
      </c>
      <c r="EP90">
        <f>COUNTIFS('DRAFT 2'!$D:$D,$B90,'DRAFT 2'!$A:$A,"&gt;="&amp;DATE(2026,5,1),'DRAFT 2'!$A:$A,"&lt;="&amp;DATE(2026,5,7))</f>
        <v>0</v>
      </c>
      <c r="EQ90">
        <f>COUNTIFS('DRAFT 2'!$D:$D,$B90,'DRAFT 2'!$A:$A,"&gt;="&amp;DATE(2026,5,8),'DRAFT 2'!$A:$A,"&lt;="&amp;DATE(2026,5,14))</f>
        <v>0</v>
      </c>
      <c r="ER90">
        <f>COUNTIFS('DRAFT 2'!$D:$D,$B90,'DRAFT 2'!$A:$A,"&gt;="&amp;DATE(2026,5,15),'DRAFT 2'!$A:$A,"&lt;="&amp;DATE(2026,5,21))</f>
        <v>0</v>
      </c>
      <c r="ES90">
        <f>COUNTIFS('DRAFT 2'!$D:$D,$B90,'DRAFT 2'!$A:$A,"&gt;="&amp;DATE(2026,5,22),'DRAFT 2'!$A:$A,"&lt;"&amp;DATE(2026,IF(5=12,5+1,5+1),1))</f>
        <v>0</v>
      </c>
      <c r="ET90">
        <f t="shared" si="34"/>
        <v>0</v>
      </c>
      <c r="FD90">
        <f>IFERROR(LOOKUP(2,1/('DRAFT 2'!$D:$D=$B90)*('DRAFT 2'!$A:$A&gt;=DATE(2026,6,1))*('DRAFT 2'!$A:$A&lt;DATE(2026,IF(6=12,6+1,6+1),1)),'DRAFT 2'!$A:$A),"")</f>
        <v>0</v>
      </c>
      <c r="FE90">
        <f>COUNTIFS('DRAFT 2'!$D:$D,$B90,'DRAFT 2'!$A:$A,"&gt;="&amp;DATE(2026,6,1),'DRAFT 2'!$A:$A,"&lt;="&amp;DATE(2026,6,7))</f>
        <v>0</v>
      </c>
      <c r="FF90">
        <f>COUNTIFS('DRAFT 2'!$D:$D,$B90,'DRAFT 2'!$A:$A,"&gt;="&amp;DATE(2026,6,8),'DRAFT 2'!$A:$A,"&lt;="&amp;DATE(2026,6,14))</f>
        <v>0</v>
      </c>
      <c r="FG90">
        <f>COUNTIFS('DRAFT 2'!$D:$D,$B90,'DRAFT 2'!$A:$A,"&gt;="&amp;DATE(2026,6,15),'DRAFT 2'!$A:$A,"&lt;="&amp;DATE(2026,6,21))</f>
        <v>0</v>
      </c>
      <c r="FH90">
        <f>COUNTIFS('DRAFT 2'!$D:$D,$B90,'DRAFT 2'!$A:$A,"&gt;="&amp;DATE(2026,6,22),'DRAFT 2'!$A:$A,"&lt;"&amp;DATE(2026,IF(6=12,6+1,6+1),1))</f>
        <v>0</v>
      </c>
      <c r="FI90">
        <f t="shared" si="35"/>
        <v>0</v>
      </c>
      <c r="FT90">
        <f>IFERROR(LOOKUP(2,1/('DRAFT 2'!$D:$D=$B90)*('DRAFT 2'!$A:$A&gt;=DATE(2026,7,1))*('DRAFT 2'!$A:$A&lt;DATE(2026,IF(7=12,7+1,7+1),1)),'DRAFT 2'!$A:$A),"")</f>
        <v>0</v>
      </c>
      <c r="FU90">
        <f>COUNTIFS('DRAFT 2'!$D:$D,$B90,'DRAFT 2'!$A:$A,"&gt;="&amp;DATE(2026,7,1),'DRAFT 2'!$A:$A,"&lt;="&amp;DATE(2026,7,7))</f>
        <v>0</v>
      </c>
      <c r="FV90">
        <f>COUNTIFS('DRAFT 2'!$D:$D,$B90,'DRAFT 2'!$A:$A,"&gt;="&amp;DATE(2026,7,8),'DRAFT 2'!$A:$A,"&lt;="&amp;DATE(2026,7,14))</f>
        <v>0</v>
      </c>
      <c r="FW90">
        <f>COUNTIFS('DRAFT 2'!$D:$D,$B90,'DRAFT 2'!$A:$A,"&gt;="&amp;DATE(2026,7,15),'DRAFT 2'!$A:$A,"&lt;="&amp;DATE(2026,7,21))</f>
        <v>0</v>
      </c>
      <c r="FX90">
        <f>COUNTIFS('DRAFT 2'!$D:$D,$B90,'DRAFT 2'!$A:$A,"&gt;="&amp;DATE(2026,7,22),'DRAFT 2'!$A:$A,"&lt;"&amp;DATE(2026,IF(7=12,7+1,7+1),1))</f>
        <v>0</v>
      </c>
      <c r="FY90">
        <f t="shared" si="36"/>
        <v>0</v>
      </c>
      <c r="GI90">
        <f>IFERROR(LOOKUP(2,1/('DRAFT 2'!$D:$D=$B90)*('DRAFT 2'!$A:$A&gt;=DATE(2026,8,1))*('DRAFT 2'!$A:$A&lt;DATE(2026,IF(8=12,8+1,8+1),1)),'DRAFT 2'!$A:$A),"")</f>
        <v>0</v>
      </c>
      <c r="GJ90">
        <f>COUNTIFS('DRAFT 2'!$D:$D,$B90,'DRAFT 2'!$A:$A,"&gt;="&amp;DATE(2026,8,1),'DRAFT 2'!$A:$A,"&lt;="&amp;DATE(2026,8,7))</f>
        <v>0</v>
      </c>
      <c r="GK90">
        <f>COUNTIFS('DRAFT 2'!$D:$D,$B90,'DRAFT 2'!$A:$A,"&gt;="&amp;DATE(2026,8,8),'DRAFT 2'!$A:$A,"&lt;="&amp;DATE(2026,8,14))</f>
        <v>0</v>
      </c>
      <c r="GL90">
        <f>COUNTIFS('DRAFT 2'!$D:$D,$B90,'DRAFT 2'!$A:$A,"&gt;="&amp;DATE(2026,8,15),'DRAFT 2'!$A:$A,"&lt;="&amp;DATE(2026,8,21))</f>
        <v>0</v>
      </c>
      <c r="GM90">
        <f>COUNTIFS('DRAFT 2'!$D:$D,$B90,'DRAFT 2'!$A:$A,"&gt;="&amp;DATE(2026,8,22),'DRAFT 2'!$A:$A,"&lt;"&amp;DATE(2026,IF(8=12,8+1,8+1),1))</f>
        <v>0</v>
      </c>
      <c r="GN90">
        <f t="shared" si="37"/>
        <v>0</v>
      </c>
      <c r="GX90">
        <f>IFERROR(LOOKUP(2,1/('DRAFT 2'!$D:$D=$B90)*('DRAFT 2'!$A:$A&gt;=DATE(2026,9,1))*('DRAFT 2'!$A:$A&lt;DATE(2026,IF(9=12,9+1,9+1),1)),'DRAFT 2'!$A:$A),"")</f>
        <v>0</v>
      </c>
      <c r="GY90">
        <f>COUNTIFS('DRAFT 2'!$D:$D,$B90,'DRAFT 2'!$A:$A,"&gt;="&amp;DATE(2026,9,1),'DRAFT 2'!$A:$A,"&lt;="&amp;DATE(2026,9,7))</f>
        <v>0</v>
      </c>
      <c r="GZ90">
        <f>COUNTIFS('DRAFT 2'!$D:$D,$B90,'DRAFT 2'!$A:$A,"&gt;="&amp;DATE(2026,9,8),'DRAFT 2'!$A:$A,"&lt;="&amp;DATE(2026,9,14))</f>
        <v>0</v>
      </c>
      <c r="HA90">
        <f>COUNTIFS('DRAFT 2'!$D:$D,$B90,'DRAFT 2'!$A:$A,"&gt;="&amp;DATE(2026,9,15),'DRAFT 2'!$A:$A,"&lt;="&amp;DATE(2026,9,21))</f>
        <v>0</v>
      </c>
      <c r="HB90">
        <f>COUNTIFS('DRAFT 2'!$D:$D,$B90,'DRAFT 2'!$A:$A,"&gt;="&amp;DATE(2026,9,22),'DRAFT 2'!$A:$A,"&lt;"&amp;DATE(2026,IF(9=12,9+1,9+1),1))</f>
        <v>0</v>
      </c>
      <c r="HC90">
        <f t="shared" si="38"/>
        <v>0</v>
      </c>
      <c r="HN90">
        <f>IFERROR(LOOKUP(2,1/('DRAFT 2'!$D:$D=$B90)*('DRAFT 2'!$A:$A&gt;=DATE(2026,10,1))*('DRAFT 2'!$A:$A&lt;DATE(2026,IF(10=12,10+1,10+1),1)),'DRAFT 2'!$A:$A),"")</f>
        <v>0</v>
      </c>
      <c r="HO90">
        <f>COUNTIFS('DRAFT 2'!$D:$D,$B90,'DRAFT 2'!$A:$A,"&gt;="&amp;DATE(2026,10,1),'DRAFT 2'!$A:$A,"&lt;="&amp;DATE(2026,10,7))</f>
        <v>0</v>
      </c>
      <c r="HP90">
        <f>COUNTIFS('DRAFT 2'!$D:$D,$B90,'DRAFT 2'!$A:$A,"&gt;="&amp;DATE(2026,10,8),'DRAFT 2'!$A:$A,"&lt;="&amp;DATE(2026,10,14))</f>
        <v>0</v>
      </c>
      <c r="HQ90">
        <f>COUNTIFS('DRAFT 2'!$D:$D,$B90,'DRAFT 2'!$A:$A,"&gt;="&amp;DATE(2026,10,15),'DRAFT 2'!$A:$A,"&lt;="&amp;DATE(2026,10,21))</f>
        <v>0</v>
      </c>
      <c r="HR90">
        <f>COUNTIFS('DRAFT 2'!$D:$D,$B90,'DRAFT 2'!$A:$A,"&gt;="&amp;DATE(2026,10,22),'DRAFT 2'!$A:$A,"&lt;"&amp;DATE(2026,IF(10=12,10+1,10+1),1))</f>
        <v>0</v>
      </c>
      <c r="HS90">
        <f t="shared" si="39"/>
        <v>0</v>
      </c>
      <c r="IC90">
        <f>IFERROR(LOOKUP(2,1/('DRAFT 2'!$D:$D=$B90)*('DRAFT 2'!$A:$A&gt;=DATE(2026,11,1))*('DRAFT 2'!$A:$A&lt;DATE(2026,IF(11=12,11+1,11+1),1)),'DRAFT 2'!$A:$A),"")</f>
        <v>0</v>
      </c>
      <c r="ID90">
        <f>COUNTIFS('DRAFT 2'!$D:$D,$B90,'DRAFT 2'!$A:$A,"&gt;="&amp;DATE(2026,11,1),'DRAFT 2'!$A:$A,"&lt;="&amp;DATE(2026,11,7))</f>
        <v>0</v>
      </c>
      <c r="IE90">
        <f>COUNTIFS('DRAFT 2'!$D:$D,$B90,'DRAFT 2'!$A:$A,"&gt;="&amp;DATE(2026,11,8),'DRAFT 2'!$A:$A,"&lt;="&amp;DATE(2026,11,14))</f>
        <v>0</v>
      </c>
      <c r="IF90">
        <f>COUNTIFS('DRAFT 2'!$D:$D,$B90,'DRAFT 2'!$A:$A,"&gt;="&amp;DATE(2026,11,15),'DRAFT 2'!$A:$A,"&lt;="&amp;DATE(2026,11,21))</f>
        <v>0</v>
      </c>
      <c r="IG90">
        <f>COUNTIFS('DRAFT 2'!$D:$D,$B90,'DRAFT 2'!$A:$A,"&gt;="&amp;DATE(2026,11,22),'DRAFT 2'!$A:$A,"&lt;"&amp;DATE(2026,IF(11=12,11+1,11+1),1))</f>
        <v>0</v>
      </c>
      <c r="IH90">
        <f t="shared" si="40"/>
        <v>0</v>
      </c>
      <c r="IR90">
        <f>IFERROR(LOOKUP(2,1/('DRAFT 2'!$D:$D=$B90)*('DRAFT 2'!$A:$A&gt;=DATE(2026,12,1))*('DRAFT 2'!$A:$A&lt;DATE(2026,IF(12=12,12+1,12+1),1)),'DRAFT 2'!$A:$A),"")</f>
        <v>0</v>
      </c>
      <c r="IS90">
        <f>COUNTIFS('DRAFT 2'!$D:$D,$B90,'DRAFT 2'!$A:$A,"&gt;="&amp;DATE(2026,12,1),'DRAFT 2'!$A:$A,"&lt;="&amp;DATE(2026,12,7))</f>
        <v>0</v>
      </c>
      <c r="IT90">
        <f>COUNTIFS('DRAFT 2'!$D:$D,$B90,'DRAFT 2'!$A:$A,"&gt;="&amp;DATE(2026,12,8),'DRAFT 2'!$A:$A,"&lt;="&amp;DATE(2026,12,14))</f>
        <v>0</v>
      </c>
      <c r="IU90">
        <f>COUNTIFS('DRAFT 2'!$D:$D,$B90,'DRAFT 2'!$A:$A,"&gt;="&amp;DATE(2026,12,15),'DRAFT 2'!$A:$A,"&lt;="&amp;DATE(2026,12,21))</f>
        <v>0</v>
      </c>
      <c r="IV90">
        <f>COUNTIFS('DRAFT 2'!$D:$D,$B90,'DRAFT 2'!$A:$A,"&gt;="&amp;DATE(2026,12,22),'DRAFT 2'!$A:$A,"&lt;"&amp;DATE(2026,IF(12=12,12+1,12+1),1))</f>
        <v>0</v>
      </c>
      <c r="IW90">
        <f t="shared" si="41"/>
        <v>0</v>
      </c>
    </row>
    <row r="91" spans="1:257" x14ac:dyDescent="0.3">
      <c r="A91" t="str">
        <f>IFERROR(INDEX('DRAFT 1'!$A:$A,MATCH($B91,'DRAFT 1'!$B:$B,0)),"")</f>
        <v/>
      </c>
      <c r="C91" t="str">
        <f>IFERROR(INDEX('DRAFT 1'!$C:$C,MATCH($B91,'DRAFT 1'!$B:$B,0)),"")</f>
        <v/>
      </c>
      <c r="D91" t="str">
        <f>IFERROR(INDEX('DRAFT 1'!$D:$D,MATCH($B91,'DRAFT 1'!$B:$B,0)),"")</f>
        <v/>
      </c>
      <c r="E91" t="str">
        <f>IFERROR(INDEX('DRAFT 1'!$E:$E,MATCH($B91,'DRAFT 1'!$B:$B,0)),"")</f>
        <v/>
      </c>
      <c r="F91" t="str">
        <f>IFERROR(INDEX('DRAFT 1'!$F:$F,MATCH($B91,'DRAFT 1'!$B:$B,0)),"")</f>
        <v/>
      </c>
      <c r="G91" t="str">
        <f>IFERROR(INDEX('DRAFT 1'!$G:$G,MATCH($B91,'DRAFT 1'!$B:$B,0)),"")</f>
        <v/>
      </c>
      <c r="H91" t="str">
        <f>IFERROR(INDEX('DRAFT 1'!$H:$H,MATCH($B91,'DRAFT 1'!$B:$B,0)),"")</f>
        <v/>
      </c>
      <c r="I91" t="s">
        <v>289</v>
      </c>
      <c r="K91" t="str">
        <f>IFERROR(INDEX('DRAFT 1'!$AL:$AL,MATCH($B91,'DRAFT 1'!$B:$B,0)),"")</f>
        <v/>
      </c>
      <c r="L91" t="str">
        <f>IFERROR(INDEX('DRAFT 1'!$J:$J,MATCH($B91,'DRAFT 1'!$B:$B,0)),"")</f>
        <v/>
      </c>
      <c r="M91" t="str">
        <f>IFERROR(INDEX('DRAFT 1'!$K:$K,MATCH($B91,'DRAFT 1'!$B:$B,0)),"")</f>
        <v/>
      </c>
      <c r="N91" t="s">
        <v>79</v>
      </c>
      <c r="P91" t="str">
        <f>IFERROR(INDEX('DRAFT 1'!$L:$L,MATCH($B91,'DRAFT 1'!$B:$B,0)),"")</f>
        <v/>
      </c>
      <c r="Q91" t="str">
        <f>IFERROR(INDEX('DRAFT 1'!$M:$M,MATCH($B91,'DRAFT 1'!$B:$B,0)),"")</f>
        <v/>
      </c>
      <c r="R91" t="str">
        <f>IFERROR(INDEX('DRAFT 1'!$N:$N,MATCH($B91,'DRAFT 1'!$B:$B,0)),"")</f>
        <v/>
      </c>
      <c r="S91" t="str">
        <f>IFERROR(INDEX('DRAFT 1'!$O:$O,MATCH($B91,'DRAFT 1'!$B:$B,0)),"")</f>
        <v/>
      </c>
      <c r="T91" t="str">
        <f>IFERROR(INDEX('DRAFT 1'!$P:$P,MATCH($B91,'DRAFT 1'!$B:$B,0)),"")</f>
        <v/>
      </c>
      <c r="U91" t="str">
        <f>IFERROR(INDEX('DRAFT 1'!$Q:$Q,MATCH($B91,'DRAFT 1'!$B:$B,0)),"")</f>
        <v/>
      </c>
      <c r="V91" t="str">
        <f>IFERROR(INDEX('DRAFT 1'!$R:$R,MATCH($B91,'DRAFT 1'!$B:$B,0)),"")</f>
        <v/>
      </c>
      <c r="W91" t="str">
        <f>IFERROR(INDEX('DRAFT 1'!$S:$S,MATCH($B91,'DRAFT 1'!$B:$B,0)),"")</f>
        <v/>
      </c>
      <c r="X91" t="str">
        <f>IFERROR(INDEX('DRAFT 1'!$T:$T,MATCH($B91,'DRAFT 1'!$B:$B,0)),"")</f>
        <v/>
      </c>
      <c r="Z91" t="str">
        <f>IFERROR(INDEX('DRAFT 1'!$U:$U,MATCH($B91,'DRAFT 1'!$B:$B,0)),"")</f>
        <v/>
      </c>
      <c r="AA91" t="str">
        <f>IFERROR(INDEX('DRAFT 1'!$V:$V,MATCH($B91,'DRAFT 1'!$B:$B,0)),"")</f>
        <v/>
      </c>
      <c r="AB91" t="str">
        <f>IFERROR(INDEX('DRAFT 1'!$W:$W,MATCH($B91,'DRAFT 1'!$B:$B,0)),"")</f>
        <v/>
      </c>
      <c r="AC91" t="str">
        <f>IFERROR(INDEX('DRAFT 1'!$X:$X,MATCH($B91,'DRAFT 1'!$B:$B,0)),"")</f>
        <v/>
      </c>
      <c r="AD91" t="str">
        <f>IFERROR(INDEX('DRAFT 1'!$Y:$Y,MATCH($B91,'DRAFT 1'!$B:$B,0)),"")</f>
        <v/>
      </c>
      <c r="AE91" t="str">
        <f>IFERROR(INDEX('DRAFT 1'!$Z:$Z,MATCH($B91,'DRAFT 1'!$B:$B,0)),"")</f>
        <v/>
      </c>
      <c r="AF91" t="str">
        <f>IFERROR(INDEX('DRAFT 1'!$AA:$AA,MATCH($B91,'DRAFT 1'!$B:$B,0)),"")</f>
        <v/>
      </c>
      <c r="AG91" t="str">
        <f>IFERROR(INDEX('DRAFT 1'!$AB:$AB,MATCH($B91,'DRAFT 1'!$B:$B,0)),"")</f>
        <v/>
      </c>
      <c r="AH91" t="str">
        <f>IFERROR(INDEX('DRAFT 1'!$AC:$AC,MATCH($B91,'DRAFT 1'!$B:$B,0)),"")</f>
        <v/>
      </c>
      <c r="AI91" t="str">
        <f>IFERROR(INDEX('DRAFT 1'!$AD:$AD,MATCH($B91,'DRAFT 1'!$B:$B,0)),"")</f>
        <v/>
      </c>
      <c r="AJ91" t="str">
        <f>IFERROR(INDEX('DRAFT 1'!$AE:$AE,MATCH($B91,'DRAFT 1'!$B:$B,0)),"")</f>
        <v/>
      </c>
      <c r="AK91" t="str">
        <f>IFERROR(INDEX('DRAFT 1'!$AG:$AG,MATCH($B91,'DRAFT 1'!$B:$B,0)),"")</f>
        <v/>
      </c>
      <c r="AL91" t="str">
        <f>IFERROR(INDEX('DRAFT 1'!$AH:$AH,MATCH($B91,'DRAFT 1'!$B:$B,0)),"")</f>
        <v/>
      </c>
      <c r="AM91" t="str">
        <f>IFERROR(INDEX('DRAFT 1'!$AI:$AI,MATCH($B91,'DRAFT 1'!$B:$B,0)),"")</f>
        <v/>
      </c>
      <c r="AN91" t="str">
        <f>IFERROR(INDEX('DRAFT 1'!$AJ:$AJ,MATCH($B91,'DRAFT 1'!$B:$B,0)),"")</f>
        <v/>
      </c>
      <c r="AO91">
        <f t="shared" si="28"/>
        <v>0</v>
      </c>
      <c r="AP91" t="str">
        <f>IFERROR(INDEX('DRAFT 1'!$AK:$AK,MATCH($B91,'DRAFT 1'!$B:$B,0)),"")</f>
        <v/>
      </c>
      <c r="AR91" t="s">
        <v>94</v>
      </c>
      <c r="AS91">
        <f>IFERROR(LOOKUP(2,1/('DRAFT 2'!$D:$D=$B91),'DRAFT 2'!$T:$T),"")</f>
        <v>0</v>
      </c>
      <c r="AT91">
        <f>IFERROR(LOOKUP(2,1/('DRAFT 2'!$D:$D=$B91),'DRAFT 2'!$A:$A),"")</f>
        <v>0</v>
      </c>
      <c r="AU91">
        <f>IFERROR(LOOKUP(2,1/('DRAFT 2'!$D:$D=$B91),'DRAFT 2'!$R:$R),"")</f>
        <v>0</v>
      </c>
      <c r="AV91">
        <f>IFERROR(LOOKUP(2,1/('DRAFT 2'!$D:$D=$B91),'DRAFT 2'!$S:$S),"")</f>
        <v>0</v>
      </c>
      <c r="AW91" t="s">
        <v>82</v>
      </c>
      <c r="AX91">
        <f>IFERROR(LOOKUP(2,1/('DRAFT 2'!$D:$D=$B91),'DRAFT 2'!$M:$M),"")</f>
        <v>0</v>
      </c>
      <c r="AY91">
        <f>IFERROR(LOOKUP(2,1/('DRAFT 2'!$D:$D=$B91),'DRAFT 2'!$K:$K),"")</f>
        <v>0</v>
      </c>
      <c r="BG91">
        <f>IFERROR(LOOKUP(2,1/('DRAFT 2'!$D:$D=$B91),'DRAFT 2'!$U:$U),"")</f>
        <v>0</v>
      </c>
      <c r="BH91">
        <f>IFERROR(LOOKUP(2,1/('DRAFT 2'!$D:$D=$B91),'DRAFT 2'!$V:$V),"")</f>
        <v>0</v>
      </c>
      <c r="CE91" t="str">
        <f t="shared" si="29"/>
        <v/>
      </c>
      <c r="CF91">
        <f>IFERROR(LOOKUP(2,1/('DRAFT 2'!$D:$D=$B91)*('DRAFT 2'!$A:$A&gt;=DATE(2026,1,1))*('DRAFT 2'!$A:$A&lt;DATE(2026,IF(1=12,1+1,1+1),1)),'DRAFT 2'!$A:$A),"")</f>
        <v>0</v>
      </c>
      <c r="CG91">
        <f>COUNTIFS('DRAFT 2'!$D:$D,$B91,'DRAFT 2'!$A:$A,"&gt;="&amp;DATE(2026,1,1),'DRAFT 2'!$A:$A,"&lt;="&amp;DATE(2026,1,7))</f>
        <v>0</v>
      </c>
      <c r="CH91">
        <f>COUNTIFS('DRAFT 2'!$D:$D,$B91,'DRAFT 2'!$A:$A,"&gt;="&amp;DATE(2026,1,8),'DRAFT 2'!$A:$A,"&lt;="&amp;DATE(2026,1,14))</f>
        <v>0</v>
      </c>
      <c r="CI91">
        <f>COUNTIFS('DRAFT 2'!$D:$D,$B91,'DRAFT 2'!$A:$A,"&gt;="&amp;DATE(2026,1,15),'DRAFT 2'!$A:$A,"&lt;="&amp;DATE(2026,1,21))</f>
        <v>0</v>
      </c>
      <c r="CJ91">
        <f>COUNTIFS('DRAFT 2'!$D:$D,$B91,'DRAFT 2'!$A:$A,"&gt;="&amp;DATE(2026,1,22),'DRAFT 2'!$A:$A,"&lt;"&amp;DATE(2026,IF(1=12,1+1,1+1),1))</f>
        <v>0</v>
      </c>
      <c r="CK91">
        <f t="shared" si="30"/>
        <v>0</v>
      </c>
      <c r="CT91">
        <v>0</v>
      </c>
      <c r="CU91">
        <f>IFERROR(LOOKUP(2,1/('DRAFT 2'!$D:$D=$B91)*('DRAFT 2'!$A:$A&gt;=DATE(2026,2,1))*('DRAFT 2'!$A:$A&lt;DATE(2026,IF(2=12,2+1,2+1),1)),'DRAFT 2'!$A:$A),"")</f>
        <v>0</v>
      </c>
      <c r="CV91">
        <f>COUNTIFS('DRAFT 2'!$D:$D,$B91,'DRAFT 2'!$A:$A,"&gt;="&amp;DATE(2026,2,1),'DRAFT 2'!$A:$A,"&lt;="&amp;DATE(2026,2,7))</f>
        <v>0</v>
      </c>
      <c r="CW91">
        <f>COUNTIFS('DRAFT 2'!$D:$D,$B91,'DRAFT 2'!$A:$A,"&gt;="&amp;DATE(2026,2,8),'DRAFT 2'!$A:$A,"&lt;="&amp;DATE(2026,2,14))</f>
        <v>0</v>
      </c>
      <c r="CX91">
        <f>COUNTIFS('DRAFT 2'!$D:$D,$B91,'DRAFT 2'!$A:$A,"&gt;="&amp;DATE(2026,2,15),'DRAFT 2'!$A:$A,"&lt;="&amp;DATE(2026,2,21))</f>
        <v>0</v>
      </c>
      <c r="CY91">
        <f>COUNTIFS('DRAFT 2'!$D:$D,$B91,'DRAFT 2'!$A:$A,"&gt;="&amp;DATE(2026,2,22),'DRAFT 2'!$A:$A,"&lt;"&amp;DATE(2026,IF(2=12,2+1,2+1),1))</f>
        <v>0</v>
      </c>
      <c r="CZ91">
        <f t="shared" si="31"/>
        <v>0</v>
      </c>
      <c r="DJ91">
        <f>IFERROR(LOOKUP(2,1/('DRAFT 2'!$D:$D=$B91)*('DRAFT 2'!$A:$A&gt;=DATE(2026,3,1))*('DRAFT 2'!$A:$A&lt;DATE(2026,IF(3=12,3+1,3+1),1)),'DRAFT 2'!$A:$A),"")</f>
        <v>0</v>
      </c>
      <c r="DK91">
        <f>COUNTIFS('DRAFT 2'!$D:$D,$B91,'DRAFT 2'!$A:$A,"&gt;="&amp;DATE(2026,3,1),'DRAFT 2'!$A:$A,"&lt;="&amp;DATE(2026,3,7))</f>
        <v>0</v>
      </c>
      <c r="DL91">
        <f>COUNTIFS('DRAFT 2'!$D:$D,$B91,'DRAFT 2'!$A:$A,"&gt;="&amp;DATE(2026,3,8),'DRAFT 2'!$A:$A,"&lt;="&amp;DATE(2026,3,14))</f>
        <v>0</v>
      </c>
      <c r="DM91">
        <f>COUNTIFS('DRAFT 2'!$D:$D,$B91,'DRAFT 2'!$A:$A,"&gt;="&amp;DATE(2026,3,15),'DRAFT 2'!$A:$A,"&lt;="&amp;DATE(2026,3,21))</f>
        <v>0</v>
      </c>
      <c r="DN91">
        <f>COUNTIFS('DRAFT 2'!$D:$D,$B91,'DRAFT 2'!$A:$A,"&gt;="&amp;DATE(2026,3,22),'DRAFT 2'!$A:$A,"&lt;"&amp;DATE(2026,IF(3=12,3+1,3+1),1))</f>
        <v>0</v>
      </c>
      <c r="DO91">
        <f t="shared" si="32"/>
        <v>0</v>
      </c>
      <c r="DZ91">
        <f>IFERROR(LOOKUP(2,1/('DRAFT 2'!$D:$D=$B91)*('DRAFT 2'!$A:$A&gt;=DATE(2026,4,1))*('DRAFT 2'!$A:$A&lt;DATE(2026,IF(4=12,4+1,4+1),1)),'DRAFT 2'!$A:$A),"")</f>
        <v>0</v>
      </c>
      <c r="EA91">
        <f>COUNTIFS('DRAFT 2'!$D:$D,$B91,'DRAFT 2'!$A:$A,"&gt;="&amp;DATE(2026,4,1),'DRAFT 2'!$A:$A,"&lt;="&amp;DATE(2026,4,7))</f>
        <v>0</v>
      </c>
      <c r="EB91">
        <f>COUNTIFS('DRAFT 2'!$D:$D,$B91,'DRAFT 2'!$A:$A,"&gt;="&amp;DATE(2026,4,8),'DRAFT 2'!$A:$A,"&lt;="&amp;DATE(2026,4,14))</f>
        <v>0</v>
      </c>
      <c r="EC91">
        <f>COUNTIFS('DRAFT 2'!$D:$D,$B91,'DRAFT 2'!$A:$A,"&gt;="&amp;DATE(2026,4,15),'DRAFT 2'!$A:$A,"&lt;="&amp;DATE(2026,4,21))</f>
        <v>0</v>
      </c>
      <c r="ED91">
        <f>COUNTIFS('DRAFT 2'!$D:$D,$B91,'DRAFT 2'!$A:$A,"&gt;="&amp;DATE(2026,4,22),'DRAFT 2'!$A:$A,"&lt;"&amp;DATE(2026,IF(4=12,4+1,4+1),1))</f>
        <v>0</v>
      </c>
      <c r="EE91">
        <f t="shared" si="33"/>
        <v>0</v>
      </c>
      <c r="EO91">
        <f>IFERROR(LOOKUP(2,1/('DRAFT 2'!$D:$D=$B91)*('DRAFT 2'!$A:$A&gt;=DATE(2026,5,1))*('DRAFT 2'!$A:$A&lt;DATE(2026,IF(5=12,5+1,5+1),1)),'DRAFT 2'!$A:$A),"")</f>
        <v>0</v>
      </c>
      <c r="EP91">
        <f>COUNTIFS('DRAFT 2'!$D:$D,$B91,'DRAFT 2'!$A:$A,"&gt;="&amp;DATE(2026,5,1),'DRAFT 2'!$A:$A,"&lt;="&amp;DATE(2026,5,7))</f>
        <v>0</v>
      </c>
      <c r="EQ91">
        <f>COUNTIFS('DRAFT 2'!$D:$D,$B91,'DRAFT 2'!$A:$A,"&gt;="&amp;DATE(2026,5,8),'DRAFT 2'!$A:$A,"&lt;="&amp;DATE(2026,5,14))</f>
        <v>0</v>
      </c>
      <c r="ER91">
        <f>COUNTIFS('DRAFT 2'!$D:$D,$B91,'DRAFT 2'!$A:$A,"&gt;="&amp;DATE(2026,5,15),'DRAFT 2'!$A:$A,"&lt;="&amp;DATE(2026,5,21))</f>
        <v>0</v>
      </c>
      <c r="ES91">
        <f>COUNTIFS('DRAFT 2'!$D:$D,$B91,'DRAFT 2'!$A:$A,"&gt;="&amp;DATE(2026,5,22),'DRAFT 2'!$A:$A,"&lt;"&amp;DATE(2026,IF(5=12,5+1,5+1),1))</f>
        <v>0</v>
      </c>
      <c r="ET91">
        <f t="shared" si="34"/>
        <v>0</v>
      </c>
      <c r="FD91">
        <f>IFERROR(LOOKUP(2,1/('DRAFT 2'!$D:$D=$B91)*('DRAFT 2'!$A:$A&gt;=DATE(2026,6,1))*('DRAFT 2'!$A:$A&lt;DATE(2026,IF(6=12,6+1,6+1),1)),'DRAFT 2'!$A:$A),"")</f>
        <v>0</v>
      </c>
      <c r="FE91">
        <f>COUNTIFS('DRAFT 2'!$D:$D,$B91,'DRAFT 2'!$A:$A,"&gt;="&amp;DATE(2026,6,1),'DRAFT 2'!$A:$A,"&lt;="&amp;DATE(2026,6,7))</f>
        <v>0</v>
      </c>
      <c r="FF91">
        <f>COUNTIFS('DRAFT 2'!$D:$D,$B91,'DRAFT 2'!$A:$A,"&gt;="&amp;DATE(2026,6,8),'DRAFT 2'!$A:$A,"&lt;="&amp;DATE(2026,6,14))</f>
        <v>0</v>
      </c>
      <c r="FG91">
        <f>COUNTIFS('DRAFT 2'!$D:$D,$B91,'DRAFT 2'!$A:$A,"&gt;="&amp;DATE(2026,6,15),'DRAFT 2'!$A:$A,"&lt;="&amp;DATE(2026,6,21))</f>
        <v>0</v>
      </c>
      <c r="FH91">
        <f>COUNTIFS('DRAFT 2'!$D:$D,$B91,'DRAFT 2'!$A:$A,"&gt;="&amp;DATE(2026,6,22),'DRAFT 2'!$A:$A,"&lt;"&amp;DATE(2026,IF(6=12,6+1,6+1),1))</f>
        <v>0</v>
      </c>
      <c r="FI91">
        <f t="shared" si="35"/>
        <v>0</v>
      </c>
      <c r="FT91">
        <f>IFERROR(LOOKUP(2,1/('DRAFT 2'!$D:$D=$B91)*('DRAFT 2'!$A:$A&gt;=DATE(2026,7,1))*('DRAFT 2'!$A:$A&lt;DATE(2026,IF(7=12,7+1,7+1),1)),'DRAFT 2'!$A:$A),"")</f>
        <v>0</v>
      </c>
      <c r="FU91">
        <f>COUNTIFS('DRAFT 2'!$D:$D,$B91,'DRAFT 2'!$A:$A,"&gt;="&amp;DATE(2026,7,1),'DRAFT 2'!$A:$A,"&lt;="&amp;DATE(2026,7,7))</f>
        <v>0</v>
      </c>
      <c r="FV91">
        <f>COUNTIFS('DRAFT 2'!$D:$D,$B91,'DRAFT 2'!$A:$A,"&gt;="&amp;DATE(2026,7,8),'DRAFT 2'!$A:$A,"&lt;="&amp;DATE(2026,7,14))</f>
        <v>0</v>
      </c>
      <c r="FW91">
        <f>COUNTIFS('DRAFT 2'!$D:$D,$B91,'DRAFT 2'!$A:$A,"&gt;="&amp;DATE(2026,7,15),'DRAFT 2'!$A:$A,"&lt;="&amp;DATE(2026,7,21))</f>
        <v>0</v>
      </c>
      <c r="FX91">
        <f>COUNTIFS('DRAFT 2'!$D:$D,$B91,'DRAFT 2'!$A:$A,"&gt;="&amp;DATE(2026,7,22),'DRAFT 2'!$A:$A,"&lt;"&amp;DATE(2026,IF(7=12,7+1,7+1),1))</f>
        <v>0</v>
      </c>
      <c r="FY91">
        <f t="shared" si="36"/>
        <v>0</v>
      </c>
      <c r="GI91">
        <f>IFERROR(LOOKUP(2,1/('DRAFT 2'!$D:$D=$B91)*('DRAFT 2'!$A:$A&gt;=DATE(2026,8,1))*('DRAFT 2'!$A:$A&lt;DATE(2026,IF(8=12,8+1,8+1),1)),'DRAFT 2'!$A:$A),"")</f>
        <v>0</v>
      </c>
      <c r="GJ91">
        <f>COUNTIFS('DRAFT 2'!$D:$D,$B91,'DRAFT 2'!$A:$A,"&gt;="&amp;DATE(2026,8,1),'DRAFT 2'!$A:$A,"&lt;="&amp;DATE(2026,8,7))</f>
        <v>0</v>
      </c>
      <c r="GK91">
        <f>COUNTIFS('DRAFT 2'!$D:$D,$B91,'DRAFT 2'!$A:$A,"&gt;="&amp;DATE(2026,8,8),'DRAFT 2'!$A:$A,"&lt;="&amp;DATE(2026,8,14))</f>
        <v>0</v>
      </c>
      <c r="GL91">
        <f>COUNTIFS('DRAFT 2'!$D:$D,$B91,'DRAFT 2'!$A:$A,"&gt;="&amp;DATE(2026,8,15),'DRAFT 2'!$A:$A,"&lt;="&amp;DATE(2026,8,21))</f>
        <v>0</v>
      </c>
      <c r="GM91">
        <f>COUNTIFS('DRAFT 2'!$D:$D,$B91,'DRAFT 2'!$A:$A,"&gt;="&amp;DATE(2026,8,22),'DRAFT 2'!$A:$A,"&lt;"&amp;DATE(2026,IF(8=12,8+1,8+1),1))</f>
        <v>0</v>
      </c>
      <c r="GN91">
        <f t="shared" si="37"/>
        <v>0</v>
      </c>
      <c r="GX91">
        <f>IFERROR(LOOKUP(2,1/('DRAFT 2'!$D:$D=$B91)*('DRAFT 2'!$A:$A&gt;=DATE(2026,9,1))*('DRAFT 2'!$A:$A&lt;DATE(2026,IF(9=12,9+1,9+1),1)),'DRAFT 2'!$A:$A),"")</f>
        <v>0</v>
      </c>
      <c r="GY91">
        <f>COUNTIFS('DRAFT 2'!$D:$D,$B91,'DRAFT 2'!$A:$A,"&gt;="&amp;DATE(2026,9,1),'DRAFT 2'!$A:$A,"&lt;="&amp;DATE(2026,9,7))</f>
        <v>0</v>
      </c>
      <c r="GZ91">
        <f>COUNTIFS('DRAFT 2'!$D:$D,$B91,'DRAFT 2'!$A:$A,"&gt;="&amp;DATE(2026,9,8),'DRAFT 2'!$A:$A,"&lt;="&amp;DATE(2026,9,14))</f>
        <v>0</v>
      </c>
      <c r="HA91">
        <f>COUNTIFS('DRAFT 2'!$D:$D,$B91,'DRAFT 2'!$A:$A,"&gt;="&amp;DATE(2026,9,15),'DRAFT 2'!$A:$A,"&lt;="&amp;DATE(2026,9,21))</f>
        <v>0</v>
      </c>
      <c r="HB91">
        <f>COUNTIFS('DRAFT 2'!$D:$D,$B91,'DRAFT 2'!$A:$A,"&gt;="&amp;DATE(2026,9,22),'DRAFT 2'!$A:$A,"&lt;"&amp;DATE(2026,IF(9=12,9+1,9+1),1))</f>
        <v>0</v>
      </c>
      <c r="HC91">
        <f t="shared" si="38"/>
        <v>0</v>
      </c>
      <c r="HN91">
        <f>IFERROR(LOOKUP(2,1/('DRAFT 2'!$D:$D=$B91)*('DRAFT 2'!$A:$A&gt;=DATE(2026,10,1))*('DRAFT 2'!$A:$A&lt;DATE(2026,IF(10=12,10+1,10+1),1)),'DRAFT 2'!$A:$A),"")</f>
        <v>0</v>
      </c>
      <c r="HO91">
        <f>COUNTIFS('DRAFT 2'!$D:$D,$B91,'DRAFT 2'!$A:$A,"&gt;="&amp;DATE(2026,10,1),'DRAFT 2'!$A:$A,"&lt;="&amp;DATE(2026,10,7))</f>
        <v>0</v>
      </c>
      <c r="HP91">
        <f>COUNTIFS('DRAFT 2'!$D:$D,$B91,'DRAFT 2'!$A:$A,"&gt;="&amp;DATE(2026,10,8),'DRAFT 2'!$A:$A,"&lt;="&amp;DATE(2026,10,14))</f>
        <v>0</v>
      </c>
      <c r="HQ91">
        <f>COUNTIFS('DRAFT 2'!$D:$D,$B91,'DRAFT 2'!$A:$A,"&gt;="&amp;DATE(2026,10,15),'DRAFT 2'!$A:$A,"&lt;="&amp;DATE(2026,10,21))</f>
        <v>0</v>
      </c>
      <c r="HR91">
        <f>COUNTIFS('DRAFT 2'!$D:$D,$B91,'DRAFT 2'!$A:$A,"&gt;="&amp;DATE(2026,10,22),'DRAFT 2'!$A:$A,"&lt;"&amp;DATE(2026,IF(10=12,10+1,10+1),1))</f>
        <v>0</v>
      </c>
      <c r="HS91">
        <f t="shared" si="39"/>
        <v>0</v>
      </c>
      <c r="IC91">
        <f>IFERROR(LOOKUP(2,1/('DRAFT 2'!$D:$D=$B91)*('DRAFT 2'!$A:$A&gt;=DATE(2026,11,1))*('DRAFT 2'!$A:$A&lt;DATE(2026,IF(11=12,11+1,11+1),1)),'DRAFT 2'!$A:$A),"")</f>
        <v>0</v>
      </c>
      <c r="ID91">
        <f>COUNTIFS('DRAFT 2'!$D:$D,$B91,'DRAFT 2'!$A:$A,"&gt;="&amp;DATE(2026,11,1),'DRAFT 2'!$A:$A,"&lt;="&amp;DATE(2026,11,7))</f>
        <v>0</v>
      </c>
      <c r="IE91">
        <f>COUNTIFS('DRAFT 2'!$D:$D,$B91,'DRAFT 2'!$A:$A,"&gt;="&amp;DATE(2026,11,8),'DRAFT 2'!$A:$A,"&lt;="&amp;DATE(2026,11,14))</f>
        <v>0</v>
      </c>
      <c r="IF91">
        <f>COUNTIFS('DRAFT 2'!$D:$D,$B91,'DRAFT 2'!$A:$A,"&gt;="&amp;DATE(2026,11,15),'DRAFT 2'!$A:$A,"&lt;="&amp;DATE(2026,11,21))</f>
        <v>0</v>
      </c>
      <c r="IG91">
        <f>COUNTIFS('DRAFT 2'!$D:$D,$B91,'DRAFT 2'!$A:$A,"&gt;="&amp;DATE(2026,11,22),'DRAFT 2'!$A:$A,"&lt;"&amp;DATE(2026,IF(11=12,11+1,11+1),1))</f>
        <v>0</v>
      </c>
      <c r="IH91">
        <f t="shared" si="40"/>
        <v>0</v>
      </c>
      <c r="IR91">
        <f>IFERROR(LOOKUP(2,1/('DRAFT 2'!$D:$D=$B91)*('DRAFT 2'!$A:$A&gt;=DATE(2026,12,1))*('DRAFT 2'!$A:$A&lt;DATE(2026,IF(12=12,12+1,12+1),1)),'DRAFT 2'!$A:$A),"")</f>
        <v>0</v>
      </c>
      <c r="IS91">
        <f>COUNTIFS('DRAFT 2'!$D:$D,$B91,'DRAFT 2'!$A:$A,"&gt;="&amp;DATE(2026,12,1),'DRAFT 2'!$A:$A,"&lt;="&amp;DATE(2026,12,7))</f>
        <v>0</v>
      </c>
      <c r="IT91">
        <f>COUNTIFS('DRAFT 2'!$D:$D,$B91,'DRAFT 2'!$A:$A,"&gt;="&amp;DATE(2026,12,8),'DRAFT 2'!$A:$A,"&lt;="&amp;DATE(2026,12,14))</f>
        <v>0</v>
      </c>
      <c r="IU91">
        <f>COUNTIFS('DRAFT 2'!$D:$D,$B91,'DRAFT 2'!$A:$A,"&gt;="&amp;DATE(2026,12,15),'DRAFT 2'!$A:$A,"&lt;="&amp;DATE(2026,12,21))</f>
        <v>0</v>
      </c>
      <c r="IV91">
        <f>COUNTIFS('DRAFT 2'!$D:$D,$B91,'DRAFT 2'!$A:$A,"&gt;="&amp;DATE(2026,12,22),'DRAFT 2'!$A:$A,"&lt;"&amp;DATE(2026,IF(12=12,12+1,12+1),1))</f>
        <v>0</v>
      </c>
      <c r="IW91">
        <f t="shared" si="41"/>
        <v>0</v>
      </c>
    </row>
    <row r="92" spans="1:257" x14ac:dyDescent="0.3">
      <c r="A92" t="str">
        <f>IFERROR(INDEX('DRAFT 1'!$A:$A,MATCH($B92,'DRAFT 1'!$B:$B,0)),"")</f>
        <v/>
      </c>
      <c r="C92" t="str">
        <f>IFERROR(INDEX('DRAFT 1'!$C:$C,MATCH($B92,'DRAFT 1'!$B:$B,0)),"")</f>
        <v/>
      </c>
      <c r="D92" t="str">
        <f>IFERROR(INDEX('DRAFT 1'!$D:$D,MATCH($B92,'DRAFT 1'!$B:$B,0)),"")</f>
        <v/>
      </c>
      <c r="E92" t="str">
        <f>IFERROR(INDEX('DRAFT 1'!$E:$E,MATCH($B92,'DRAFT 1'!$B:$B,0)),"")</f>
        <v/>
      </c>
      <c r="F92" t="str">
        <f>IFERROR(INDEX('DRAFT 1'!$F:$F,MATCH($B92,'DRAFT 1'!$B:$B,0)),"")</f>
        <v/>
      </c>
      <c r="G92" t="str">
        <f>IFERROR(INDEX('DRAFT 1'!$G:$G,MATCH($B92,'DRAFT 1'!$B:$B,0)),"")</f>
        <v/>
      </c>
      <c r="H92" t="str">
        <f>IFERROR(INDEX('DRAFT 1'!$H:$H,MATCH($B92,'DRAFT 1'!$B:$B,0)),"")</f>
        <v/>
      </c>
      <c r="I92" t="s">
        <v>289</v>
      </c>
      <c r="K92" t="str">
        <f>IFERROR(INDEX('DRAFT 1'!$AL:$AL,MATCH($B92,'DRAFT 1'!$B:$B,0)),"")</f>
        <v/>
      </c>
      <c r="L92" t="str">
        <f>IFERROR(INDEX('DRAFT 1'!$J:$J,MATCH($B92,'DRAFT 1'!$B:$B,0)),"")</f>
        <v/>
      </c>
      <c r="M92" t="str">
        <f>IFERROR(INDEX('DRAFT 1'!$K:$K,MATCH($B92,'DRAFT 1'!$B:$B,0)),"")</f>
        <v/>
      </c>
      <c r="N92" t="s">
        <v>79</v>
      </c>
      <c r="P92" t="str">
        <f>IFERROR(INDEX('DRAFT 1'!$L:$L,MATCH($B92,'DRAFT 1'!$B:$B,0)),"")</f>
        <v/>
      </c>
      <c r="Q92" t="str">
        <f>IFERROR(INDEX('DRAFT 1'!$M:$M,MATCH($B92,'DRAFT 1'!$B:$B,0)),"")</f>
        <v/>
      </c>
      <c r="R92" t="str">
        <f>IFERROR(INDEX('DRAFT 1'!$N:$N,MATCH($B92,'DRAFT 1'!$B:$B,0)),"")</f>
        <v/>
      </c>
      <c r="S92" t="str">
        <f>IFERROR(INDEX('DRAFT 1'!$O:$O,MATCH($B92,'DRAFT 1'!$B:$B,0)),"")</f>
        <v/>
      </c>
      <c r="T92" t="str">
        <f>IFERROR(INDEX('DRAFT 1'!$P:$P,MATCH($B92,'DRAFT 1'!$B:$B,0)),"")</f>
        <v/>
      </c>
      <c r="U92" t="str">
        <f>IFERROR(INDEX('DRAFT 1'!$Q:$Q,MATCH($B92,'DRAFT 1'!$B:$B,0)),"")</f>
        <v/>
      </c>
      <c r="V92" t="str">
        <f>IFERROR(INDEX('DRAFT 1'!$R:$R,MATCH($B92,'DRAFT 1'!$B:$B,0)),"")</f>
        <v/>
      </c>
      <c r="W92" t="str">
        <f>IFERROR(INDEX('DRAFT 1'!$S:$S,MATCH($B92,'DRAFT 1'!$B:$B,0)),"")</f>
        <v/>
      </c>
      <c r="X92" t="str">
        <f>IFERROR(INDEX('DRAFT 1'!$T:$T,MATCH($B92,'DRAFT 1'!$B:$B,0)),"")</f>
        <v/>
      </c>
      <c r="Z92" t="str">
        <f>IFERROR(INDEX('DRAFT 1'!$U:$U,MATCH($B92,'DRAFT 1'!$B:$B,0)),"")</f>
        <v/>
      </c>
      <c r="AA92" t="str">
        <f>IFERROR(INDEX('DRAFT 1'!$V:$V,MATCH($B92,'DRAFT 1'!$B:$B,0)),"")</f>
        <v/>
      </c>
      <c r="AB92" t="str">
        <f>IFERROR(INDEX('DRAFT 1'!$W:$W,MATCH($B92,'DRAFT 1'!$B:$B,0)),"")</f>
        <v/>
      </c>
      <c r="AC92" t="str">
        <f>IFERROR(INDEX('DRAFT 1'!$X:$X,MATCH($B92,'DRAFT 1'!$B:$B,0)),"")</f>
        <v/>
      </c>
      <c r="AD92" t="str">
        <f>IFERROR(INDEX('DRAFT 1'!$Y:$Y,MATCH($B92,'DRAFT 1'!$B:$B,0)),"")</f>
        <v/>
      </c>
      <c r="AE92" t="str">
        <f>IFERROR(INDEX('DRAFT 1'!$Z:$Z,MATCH($B92,'DRAFT 1'!$B:$B,0)),"")</f>
        <v/>
      </c>
      <c r="AF92" t="str">
        <f>IFERROR(INDEX('DRAFT 1'!$AA:$AA,MATCH($B92,'DRAFT 1'!$B:$B,0)),"")</f>
        <v/>
      </c>
      <c r="AG92" t="str">
        <f>IFERROR(INDEX('DRAFT 1'!$AB:$AB,MATCH($B92,'DRAFT 1'!$B:$B,0)),"")</f>
        <v/>
      </c>
      <c r="AH92" t="str">
        <f>IFERROR(INDEX('DRAFT 1'!$AC:$AC,MATCH($B92,'DRAFT 1'!$B:$B,0)),"")</f>
        <v/>
      </c>
      <c r="AI92" t="str">
        <f>IFERROR(INDEX('DRAFT 1'!$AD:$AD,MATCH($B92,'DRAFT 1'!$B:$B,0)),"")</f>
        <v/>
      </c>
      <c r="AJ92" t="str">
        <f>IFERROR(INDEX('DRAFT 1'!$AE:$AE,MATCH($B92,'DRAFT 1'!$B:$B,0)),"")</f>
        <v/>
      </c>
      <c r="AK92" t="str">
        <f>IFERROR(INDEX('DRAFT 1'!$AG:$AG,MATCH($B92,'DRAFT 1'!$B:$B,0)),"")</f>
        <v/>
      </c>
      <c r="AL92" t="str">
        <f>IFERROR(INDEX('DRAFT 1'!$AH:$AH,MATCH($B92,'DRAFT 1'!$B:$B,0)),"")</f>
        <v/>
      </c>
      <c r="AM92" t="str">
        <f>IFERROR(INDEX('DRAFT 1'!$AI:$AI,MATCH($B92,'DRAFT 1'!$B:$B,0)),"")</f>
        <v/>
      </c>
      <c r="AN92" t="str">
        <f>IFERROR(INDEX('DRAFT 1'!$AJ:$AJ,MATCH($B92,'DRAFT 1'!$B:$B,0)),"")</f>
        <v/>
      </c>
      <c r="AO92">
        <f t="shared" si="28"/>
        <v>0</v>
      </c>
      <c r="AP92" t="str">
        <f>IFERROR(INDEX('DRAFT 1'!$AK:$AK,MATCH($B92,'DRAFT 1'!$B:$B,0)),"")</f>
        <v/>
      </c>
      <c r="AR92" t="s">
        <v>95</v>
      </c>
      <c r="AS92">
        <f>IFERROR(LOOKUP(2,1/('DRAFT 2'!$D:$D=$B92),'DRAFT 2'!$T:$T),"")</f>
        <v>0</v>
      </c>
      <c r="AT92">
        <f>IFERROR(LOOKUP(2,1/('DRAFT 2'!$D:$D=$B92),'DRAFT 2'!$A:$A),"")</f>
        <v>0</v>
      </c>
      <c r="AU92">
        <f>IFERROR(LOOKUP(2,1/('DRAFT 2'!$D:$D=$B92),'DRAFT 2'!$R:$R),"")</f>
        <v>0</v>
      </c>
      <c r="AV92">
        <f>IFERROR(LOOKUP(2,1/('DRAFT 2'!$D:$D=$B92),'DRAFT 2'!$S:$S),"")</f>
        <v>0</v>
      </c>
      <c r="AW92" t="s">
        <v>130</v>
      </c>
      <c r="AX92">
        <f>IFERROR(LOOKUP(2,1/('DRAFT 2'!$D:$D=$B92),'DRAFT 2'!$M:$M),"")</f>
        <v>0</v>
      </c>
      <c r="AY92">
        <f>IFERROR(LOOKUP(2,1/('DRAFT 2'!$D:$D=$B92),'DRAFT 2'!$K:$K),"")</f>
        <v>0</v>
      </c>
      <c r="BG92">
        <f>IFERROR(LOOKUP(2,1/('DRAFT 2'!$D:$D=$B92),'DRAFT 2'!$U:$U),"")</f>
        <v>0</v>
      </c>
      <c r="BH92">
        <f>IFERROR(LOOKUP(2,1/('DRAFT 2'!$D:$D=$B92),'DRAFT 2'!$V:$V),"")</f>
        <v>0</v>
      </c>
      <c r="CE92" t="str">
        <f t="shared" si="29"/>
        <v/>
      </c>
      <c r="CF92">
        <f>IFERROR(LOOKUP(2,1/('DRAFT 2'!$D:$D=$B92)*('DRAFT 2'!$A:$A&gt;=DATE(2026,1,1))*('DRAFT 2'!$A:$A&lt;DATE(2026,IF(1=12,1+1,1+1),1)),'DRAFT 2'!$A:$A),"")</f>
        <v>0</v>
      </c>
      <c r="CG92">
        <f>COUNTIFS('DRAFT 2'!$D:$D,$B92,'DRAFT 2'!$A:$A,"&gt;="&amp;DATE(2026,1,1),'DRAFT 2'!$A:$A,"&lt;="&amp;DATE(2026,1,7))</f>
        <v>0</v>
      </c>
      <c r="CH92">
        <f>COUNTIFS('DRAFT 2'!$D:$D,$B92,'DRAFT 2'!$A:$A,"&gt;="&amp;DATE(2026,1,8),'DRAFT 2'!$A:$A,"&lt;="&amp;DATE(2026,1,14))</f>
        <v>0</v>
      </c>
      <c r="CI92">
        <f>COUNTIFS('DRAFT 2'!$D:$D,$B92,'DRAFT 2'!$A:$A,"&gt;="&amp;DATE(2026,1,15),'DRAFT 2'!$A:$A,"&lt;="&amp;DATE(2026,1,21))</f>
        <v>0</v>
      </c>
      <c r="CJ92">
        <f>COUNTIFS('DRAFT 2'!$D:$D,$B92,'DRAFT 2'!$A:$A,"&gt;="&amp;DATE(2026,1,22),'DRAFT 2'!$A:$A,"&lt;"&amp;DATE(2026,IF(1=12,1+1,1+1),1))</f>
        <v>0</v>
      </c>
      <c r="CK92">
        <f t="shared" si="30"/>
        <v>0</v>
      </c>
      <c r="CT92">
        <v>0</v>
      </c>
      <c r="CU92">
        <f>IFERROR(LOOKUP(2,1/('DRAFT 2'!$D:$D=$B92)*('DRAFT 2'!$A:$A&gt;=DATE(2026,2,1))*('DRAFT 2'!$A:$A&lt;DATE(2026,IF(2=12,2+1,2+1),1)),'DRAFT 2'!$A:$A),"")</f>
        <v>0</v>
      </c>
      <c r="CV92">
        <f>COUNTIFS('DRAFT 2'!$D:$D,$B92,'DRAFT 2'!$A:$A,"&gt;="&amp;DATE(2026,2,1),'DRAFT 2'!$A:$A,"&lt;="&amp;DATE(2026,2,7))</f>
        <v>0</v>
      </c>
      <c r="CW92">
        <f>COUNTIFS('DRAFT 2'!$D:$D,$B92,'DRAFT 2'!$A:$A,"&gt;="&amp;DATE(2026,2,8),'DRAFT 2'!$A:$A,"&lt;="&amp;DATE(2026,2,14))</f>
        <v>0</v>
      </c>
      <c r="CX92">
        <f>COUNTIFS('DRAFT 2'!$D:$D,$B92,'DRAFT 2'!$A:$A,"&gt;="&amp;DATE(2026,2,15),'DRAFT 2'!$A:$A,"&lt;="&amp;DATE(2026,2,21))</f>
        <v>0</v>
      </c>
      <c r="CY92">
        <f>COUNTIFS('DRAFT 2'!$D:$D,$B92,'DRAFT 2'!$A:$A,"&gt;="&amp;DATE(2026,2,22),'DRAFT 2'!$A:$A,"&lt;"&amp;DATE(2026,IF(2=12,2+1,2+1),1))</f>
        <v>0</v>
      </c>
      <c r="CZ92">
        <f t="shared" si="31"/>
        <v>0</v>
      </c>
      <c r="DJ92">
        <f>IFERROR(LOOKUP(2,1/('DRAFT 2'!$D:$D=$B92)*('DRAFT 2'!$A:$A&gt;=DATE(2026,3,1))*('DRAFT 2'!$A:$A&lt;DATE(2026,IF(3=12,3+1,3+1),1)),'DRAFT 2'!$A:$A),"")</f>
        <v>0</v>
      </c>
      <c r="DK92">
        <f>COUNTIFS('DRAFT 2'!$D:$D,$B92,'DRAFT 2'!$A:$A,"&gt;="&amp;DATE(2026,3,1),'DRAFT 2'!$A:$A,"&lt;="&amp;DATE(2026,3,7))</f>
        <v>0</v>
      </c>
      <c r="DL92">
        <f>COUNTIFS('DRAFT 2'!$D:$D,$B92,'DRAFT 2'!$A:$A,"&gt;="&amp;DATE(2026,3,8),'DRAFT 2'!$A:$A,"&lt;="&amp;DATE(2026,3,14))</f>
        <v>0</v>
      </c>
      <c r="DM92">
        <f>COUNTIFS('DRAFT 2'!$D:$D,$B92,'DRAFT 2'!$A:$A,"&gt;="&amp;DATE(2026,3,15),'DRAFT 2'!$A:$A,"&lt;="&amp;DATE(2026,3,21))</f>
        <v>0</v>
      </c>
      <c r="DN92">
        <f>COUNTIFS('DRAFT 2'!$D:$D,$B92,'DRAFT 2'!$A:$A,"&gt;="&amp;DATE(2026,3,22),'DRAFT 2'!$A:$A,"&lt;"&amp;DATE(2026,IF(3=12,3+1,3+1),1))</f>
        <v>0</v>
      </c>
      <c r="DO92">
        <f t="shared" si="32"/>
        <v>0</v>
      </c>
      <c r="DZ92">
        <f>IFERROR(LOOKUP(2,1/('DRAFT 2'!$D:$D=$B92)*('DRAFT 2'!$A:$A&gt;=DATE(2026,4,1))*('DRAFT 2'!$A:$A&lt;DATE(2026,IF(4=12,4+1,4+1),1)),'DRAFT 2'!$A:$A),"")</f>
        <v>0</v>
      </c>
      <c r="EA92">
        <f>COUNTIFS('DRAFT 2'!$D:$D,$B92,'DRAFT 2'!$A:$A,"&gt;="&amp;DATE(2026,4,1),'DRAFT 2'!$A:$A,"&lt;="&amp;DATE(2026,4,7))</f>
        <v>0</v>
      </c>
      <c r="EB92">
        <f>COUNTIFS('DRAFT 2'!$D:$D,$B92,'DRAFT 2'!$A:$A,"&gt;="&amp;DATE(2026,4,8),'DRAFT 2'!$A:$A,"&lt;="&amp;DATE(2026,4,14))</f>
        <v>0</v>
      </c>
      <c r="EC92">
        <f>COUNTIFS('DRAFT 2'!$D:$D,$B92,'DRAFT 2'!$A:$A,"&gt;="&amp;DATE(2026,4,15),'DRAFT 2'!$A:$A,"&lt;="&amp;DATE(2026,4,21))</f>
        <v>0</v>
      </c>
      <c r="ED92">
        <f>COUNTIFS('DRAFT 2'!$D:$D,$B92,'DRAFT 2'!$A:$A,"&gt;="&amp;DATE(2026,4,22),'DRAFT 2'!$A:$A,"&lt;"&amp;DATE(2026,IF(4=12,4+1,4+1),1))</f>
        <v>0</v>
      </c>
      <c r="EE92">
        <f t="shared" si="33"/>
        <v>0</v>
      </c>
      <c r="EO92">
        <f>IFERROR(LOOKUP(2,1/('DRAFT 2'!$D:$D=$B92)*('DRAFT 2'!$A:$A&gt;=DATE(2026,5,1))*('DRAFT 2'!$A:$A&lt;DATE(2026,IF(5=12,5+1,5+1),1)),'DRAFT 2'!$A:$A),"")</f>
        <v>0</v>
      </c>
      <c r="EP92">
        <f>COUNTIFS('DRAFT 2'!$D:$D,$B92,'DRAFT 2'!$A:$A,"&gt;="&amp;DATE(2026,5,1),'DRAFT 2'!$A:$A,"&lt;="&amp;DATE(2026,5,7))</f>
        <v>0</v>
      </c>
      <c r="EQ92">
        <f>COUNTIFS('DRAFT 2'!$D:$D,$B92,'DRAFT 2'!$A:$A,"&gt;="&amp;DATE(2026,5,8),'DRAFT 2'!$A:$A,"&lt;="&amp;DATE(2026,5,14))</f>
        <v>0</v>
      </c>
      <c r="ER92">
        <f>COUNTIFS('DRAFT 2'!$D:$D,$B92,'DRAFT 2'!$A:$A,"&gt;="&amp;DATE(2026,5,15),'DRAFT 2'!$A:$A,"&lt;="&amp;DATE(2026,5,21))</f>
        <v>0</v>
      </c>
      <c r="ES92">
        <f>COUNTIFS('DRAFT 2'!$D:$D,$B92,'DRAFT 2'!$A:$A,"&gt;="&amp;DATE(2026,5,22),'DRAFT 2'!$A:$A,"&lt;"&amp;DATE(2026,IF(5=12,5+1,5+1),1))</f>
        <v>0</v>
      </c>
      <c r="ET92">
        <f t="shared" si="34"/>
        <v>0</v>
      </c>
      <c r="FD92">
        <f>IFERROR(LOOKUP(2,1/('DRAFT 2'!$D:$D=$B92)*('DRAFT 2'!$A:$A&gt;=DATE(2026,6,1))*('DRAFT 2'!$A:$A&lt;DATE(2026,IF(6=12,6+1,6+1),1)),'DRAFT 2'!$A:$A),"")</f>
        <v>0</v>
      </c>
      <c r="FE92">
        <f>COUNTIFS('DRAFT 2'!$D:$D,$B92,'DRAFT 2'!$A:$A,"&gt;="&amp;DATE(2026,6,1),'DRAFT 2'!$A:$A,"&lt;="&amp;DATE(2026,6,7))</f>
        <v>0</v>
      </c>
      <c r="FF92">
        <f>COUNTIFS('DRAFT 2'!$D:$D,$B92,'DRAFT 2'!$A:$A,"&gt;="&amp;DATE(2026,6,8),'DRAFT 2'!$A:$A,"&lt;="&amp;DATE(2026,6,14))</f>
        <v>0</v>
      </c>
      <c r="FG92">
        <f>COUNTIFS('DRAFT 2'!$D:$D,$B92,'DRAFT 2'!$A:$A,"&gt;="&amp;DATE(2026,6,15),'DRAFT 2'!$A:$A,"&lt;="&amp;DATE(2026,6,21))</f>
        <v>0</v>
      </c>
      <c r="FH92">
        <f>COUNTIFS('DRAFT 2'!$D:$D,$B92,'DRAFT 2'!$A:$A,"&gt;="&amp;DATE(2026,6,22),'DRAFT 2'!$A:$A,"&lt;"&amp;DATE(2026,IF(6=12,6+1,6+1),1))</f>
        <v>0</v>
      </c>
      <c r="FI92">
        <f t="shared" si="35"/>
        <v>0</v>
      </c>
      <c r="FT92">
        <f>IFERROR(LOOKUP(2,1/('DRAFT 2'!$D:$D=$B92)*('DRAFT 2'!$A:$A&gt;=DATE(2026,7,1))*('DRAFT 2'!$A:$A&lt;DATE(2026,IF(7=12,7+1,7+1),1)),'DRAFT 2'!$A:$A),"")</f>
        <v>0</v>
      </c>
      <c r="FU92">
        <f>COUNTIFS('DRAFT 2'!$D:$D,$B92,'DRAFT 2'!$A:$A,"&gt;="&amp;DATE(2026,7,1),'DRAFT 2'!$A:$A,"&lt;="&amp;DATE(2026,7,7))</f>
        <v>0</v>
      </c>
      <c r="FV92">
        <f>COUNTIFS('DRAFT 2'!$D:$D,$B92,'DRAFT 2'!$A:$A,"&gt;="&amp;DATE(2026,7,8),'DRAFT 2'!$A:$A,"&lt;="&amp;DATE(2026,7,14))</f>
        <v>0</v>
      </c>
      <c r="FW92">
        <f>COUNTIFS('DRAFT 2'!$D:$D,$B92,'DRAFT 2'!$A:$A,"&gt;="&amp;DATE(2026,7,15),'DRAFT 2'!$A:$A,"&lt;="&amp;DATE(2026,7,21))</f>
        <v>0</v>
      </c>
      <c r="FX92">
        <f>COUNTIFS('DRAFT 2'!$D:$D,$B92,'DRAFT 2'!$A:$A,"&gt;="&amp;DATE(2026,7,22),'DRAFT 2'!$A:$A,"&lt;"&amp;DATE(2026,IF(7=12,7+1,7+1),1))</f>
        <v>0</v>
      </c>
      <c r="FY92">
        <f t="shared" si="36"/>
        <v>0</v>
      </c>
      <c r="GI92">
        <f>IFERROR(LOOKUP(2,1/('DRAFT 2'!$D:$D=$B92)*('DRAFT 2'!$A:$A&gt;=DATE(2026,8,1))*('DRAFT 2'!$A:$A&lt;DATE(2026,IF(8=12,8+1,8+1),1)),'DRAFT 2'!$A:$A),"")</f>
        <v>0</v>
      </c>
      <c r="GJ92">
        <f>COUNTIFS('DRAFT 2'!$D:$D,$B92,'DRAFT 2'!$A:$A,"&gt;="&amp;DATE(2026,8,1),'DRAFT 2'!$A:$A,"&lt;="&amp;DATE(2026,8,7))</f>
        <v>0</v>
      </c>
      <c r="GK92">
        <f>COUNTIFS('DRAFT 2'!$D:$D,$B92,'DRAFT 2'!$A:$A,"&gt;="&amp;DATE(2026,8,8),'DRAFT 2'!$A:$A,"&lt;="&amp;DATE(2026,8,14))</f>
        <v>0</v>
      </c>
      <c r="GL92">
        <f>COUNTIFS('DRAFT 2'!$D:$D,$B92,'DRAFT 2'!$A:$A,"&gt;="&amp;DATE(2026,8,15),'DRAFT 2'!$A:$A,"&lt;="&amp;DATE(2026,8,21))</f>
        <v>0</v>
      </c>
      <c r="GM92">
        <f>COUNTIFS('DRAFT 2'!$D:$D,$B92,'DRAFT 2'!$A:$A,"&gt;="&amp;DATE(2026,8,22),'DRAFT 2'!$A:$A,"&lt;"&amp;DATE(2026,IF(8=12,8+1,8+1),1))</f>
        <v>0</v>
      </c>
      <c r="GN92">
        <f t="shared" si="37"/>
        <v>0</v>
      </c>
      <c r="GX92">
        <f>IFERROR(LOOKUP(2,1/('DRAFT 2'!$D:$D=$B92)*('DRAFT 2'!$A:$A&gt;=DATE(2026,9,1))*('DRAFT 2'!$A:$A&lt;DATE(2026,IF(9=12,9+1,9+1),1)),'DRAFT 2'!$A:$A),"")</f>
        <v>0</v>
      </c>
      <c r="GY92">
        <f>COUNTIFS('DRAFT 2'!$D:$D,$B92,'DRAFT 2'!$A:$A,"&gt;="&amp;DATE(2026,9,1),'DRAFT 2'!$A:$A,"&lt;="&amp;DATE(2026,9,7))</f>
        <v>0</v>
      </c>
      <c r="GZ92">
        <f>COUNTIFS('DRAFT 2'!$D:$D,$B92,'DRAFT 2'!$A:$A,"&gt;="&amp;DATE(2026,9,8),'DRAFT 2'!$A:$A,"&lt;="&amp;DATE(2026,9,14))</f>
        <v>0</v>
      </c>
      <c r="HA92">
        <f>COUNTIFS('DRAFT 2'!$D:$D,$B92,'DRAFT 2'!$A:$A,"&gt;="&amp;DATE(2026,9,15),'DRAFT 2'!$A:$A,"&lt;="&amp;DATE(2026,9,21))</f>
        <v>0</v>
      </c>
      <c r="HB92">
        <f>COUNTIFS('DRAFT 2'!$D:$D,$B92,'DRAFT 2'!$A:$A,"&gt;="&amp;DATE(2026,9,22),'DRAFT 2'!$A:$A,"&lt;"&amp;DATE(2026,IF(9=12,9+1,9+1),1))</f>
        <v>0</v>
      </c>
      <c r="HC92">
        <f t="shared" si="38"/>
        <v>0</v>
      </c>
      <c r="HN92">
        <f>IFERROR(LOOKUP(2,1/('DRAFT 2'!$D:$D=$B92)*('DRAFT 2'!$A:$A&gt;=DATE(2026,10,1))*('DRAFT 2'!$A:$A&lt;DATE(2026,IF(10=12,10+1,10+1),1)),'DRAFT 2'!$A:$A),"")</f>
        <v>0</v>
      </c>
      <c r="HO92">
        <f>COUNTIFS('DRAFT 2'!$D:$D,$B92,'DRAFT 2'!$A:$A,"&gt;="&amp;DATE(2026,10,1),'DRAFT 2'!$A:$A,"&lt;="&amp;DATE(2026,10,7))</f>
        <v>0</v>
      </c>
      <c r="HP92">
        <f>COUNTIFS('DRAFT 2'!$D:$D,$B92,'DRAFT 2'!$A:$A,"&gt;="&amp;DATE(2026,10,8),'DRAFT 2'!$A:$A,"&lt;="&amp;DATE(2026,10,14))</f>
        <v>0</v>
      </c>
      <c r="HQ92">
        <f>COUNTIFS('DRAFT 2'!$D:$D,$B92,'DRAFT 2'!$A:$A,"&gt;="&amp;DATE(2026,10,15),'DRAFT 2'!$A:$A,"&lt;="&amp;DATE(2026,10,21))</f>
        <v>0</v>
      </c>
      <c r="HR92">
        <f>COUNTIFS('DRAFT 2'!$D:$D,$B92,'DRAFT 2'!$A:$A,"&gt;="&amp;DATE(2026,10,22),'DRAFT 2'!$A:$A,"&lt;"&amp;DATE(2026,IF(10=12,10+1,10+1),1))</f>
        <v>0</v>
      </c>
      <c r="HS92">
        <f t="shared" si="39"/>
        <v>0</v>
      </c>
      <c r="IC92">
        <f>IFERROR(LOOKUP(2,1/('DRAFT 2'!$D:$D=$B92)*('DRAFT 2'!$A:$A&gt;=DATE(2026,11,1))*('DRAFT 2'!$A:$A&lt;DATE(2026,IF(11=12,11+1,11+1),1)),'DRAFT 2'!$A:$A),"")</f>
        <v>0</v>
      </c>
      <c r="ID92">
        <f>COUNTIFS('DRAFT 2'!$D:$D,$B92,'DRAFT 2'!$A:$A,"&gt;="&amp;DATE(2026,11,1),'DRAFT 2'!$A:$A,"&lt;="&amp;DATE(2026,11,7))</f>
        <v>0</v>
      </c>
      <c r="IE92">
        <f>COUNTIFS('DRAFT 2'!$D:$D,$B92,'DRAFT 2'!$A:$A,"&gt;="&amp;DATE(2026,11,8),'DRAFT 2'!$A:$A,"&lt;="&amp;DATE(2026,11,14))</f>
        <v>0</v>
      </c>
      <c r="IF92">
        <f>COUNTIFS('DRAFT 2'!$D:$D,$B92,'DRAFT 2'!$A:$A,"&gt;="&amp;DATE(2026,11,15),'DRAFT 2'!$A:$A,"&lt;="&amp;DATE(2026,11,21))</f>
        <v>0</v>
      </c>
      <c r="IG92">
        <f>COUNTIFS('DRAFT 2'!$D:$D,$B92,'DRAFT 2'!$A:$A,"&gt;="&amp;DATE(2026,11,22),'DRAFT 2'!$A:$A,"&lt;"&amp;DATE(2026,IF(11=12,11+1,11+1),1))</f>
        <v>0</v>
      </c>
      <c r="IH92">
        <f t="shared" si="40"/>
        <v>0</v>
      </c>
      <c r="IR92">
        <f>IFERROR(LOOKUP(2,1/('DRAFT 2'!$D:$D=$B92)*('DRAFT 2'!$A:$A&gt;=DATE(2026,12,1))*('DRAFT 2'!$A:$A&lt;DATE(2026,IF(12=12,12+1,12+1),1)),'DRAFT 2'!$A:$A),"")</f>
        <v>0</v>
      </c>
      <c r="IS92">
        <f>COUNTIFS('DRAFT 2'!$D:$D,$B92,'DRAFT 2'!$A:$A,"&gt;="&amp;DATE(2026,12,1),'DRAFT 2'!$A:$A,"&lt;="&amp;DATE(2026,12,7))</f>
        <v>0</v>
      </c>
      <c r="IT92">
        <f>COUNTIFS('DRAFT 2'!$D:$D,$B92,'DRAFT 2'!$A:$A,"&gt;="&amp;DATE(2026,12,8),'DRAFT 2'!$A:$A,"&lt;="&amp;DATE(2026,12,14))</f>
        <v>0</v>
      </c>
      <c r="IU92">
        <f>COUNTIFS('DRAFT 2'!$D:$D,$B92,'DRAFT 2'!$A:$A,"&gt;="&amp;DATE(2026,12,15),'DRAFT 2'!$A:$A,"&lt;="&amp;DATE(2026,12,21))</f>
        <v>0</v>
      </c>
      <c r="IV92">
        <f>COUNTIFS('DRAFT 2'!$D:$D,$B92,'DRAFT 2'!$A:$A,"&gt;="&amp;DATE(2026,12,22),'DRAFT 2'!$A:$A,"&lt;"&amp;DATE(2026,IF(12=12,12+1,12+1),1))</f>
        <v>0</v>
      </c>
      <c r="IW92">
        <f t="shared" si="41"/>
        <v>0</v>
      </c>
    </row>
    <row r="93" spans="1:257" x14ac:dyDescent="0.3">
      <c r="A93" t="str">
        <f>IFERROR(INDEX('DRAFT 1'!$A:$A,MATCH($B93,'DRAFT 1'!$B:$B,0)),"")</f>
        <v/>
      </c>
      <c r="C93" t="str">
        <f>IFERROR(INDEX('DRAFT 1'!$C:$C,MATCH($B93,'DRAFT 1'!$B:$B,0)),"")</f>
        <v/>
      </c>
      <c r="D93" t="str">
        <f>IFERROR(INDEX('DRAFT 1'!$D:$D,MATCH($B93,'DRAFT 1'!$B:$B,0)),"")</f>
        <v/>
      </c>
      <c r="E93" t="str">
        <f>IFERROR(INDEX('DRAFT 1'!$E:$E,MATCH($B93,'DRAFT 1'!$B:$B,0)),"")</f>
        <v/>
      </c>
      <c r="F93" t="str">
        <f>IFERROR(INDEX('DRAFT 1'!$F:$F,MATCH($B93,'DRAFT 1'!$B:$B,0)),"")</f>
        <v/>
      </c>
      <c r="G93" t="str">
        <f>IFERROR(INDEX('DRAFT 1'!$G:$G,MATCH($B93,'DRAFT 1'!$B:$B,0)),"")</f>
        <v/>
      </c>
      <c r="H93" t="str">
        <f>IFERROR(INDEX('DRAFT 1'!$H:$H,MATCH($B93,'DRAFT 1'!$B:$B,0)),"")</f>
        <v/>
      </c>
      <c r="I93" t="s">
        <v>292</v>
      </c>
      <c r="K93" t="str">
        <f>IFERROR(INDEX('DRAFT 1'!$AL:$AL,MATCH($B93,'DRAFT 1'!$B:$B,0)),"")</f>
        <v/>
      </c>
      <c r="L93" t="str">
        <f>IFERROR(INDEX('DRAFT 1'!$J:$J,MATCH($B93,'DRAFT 1'!$B:$B,0)),"")</f>
        <v/>
      </c>
      <c r="M93" t="str">
        <f>IFERROR(INDEX('DRAFT 1'!$K:$K,MATCH($B93,'DRAFT 1'!$B:$B,0)),"")</f>
        <v/>
      </c>
      <c r="N93" t="s">
        <v>85</v>
      </c>
      <c r="P93" t="str">
        <f>IFERROR(INDEX('DRAFT 1'!$L:$L,MATCH($B93,'DRAFT 1'!$B:$B,0)),"")</f>
        <v/>
      </c>
      <c r="Q93" t="str">
        <f>IFERROR(INDEX('DRAFT 1'!$M:$M,MATCH($B93,'DRAFT 1'!$B:$B,0)),"")</f>
        <v/>
      </c>
      <c r="R93" t="str">
        <f>IFERROR(INDEX('DRAFT 1'!$N:$N,MATCH($B93,'DRAFT 1'!$B:$B,0)),"")</f>
        <v/>
      </c>
      <c r="S93" t="str">
        <f>IFERROR(INDEX('DRAFT 1'!$O:$O,MATCH($B93,'DRAFT 1'!$B:$B,0)),"")</f>
        <v/>
      </c>
      <c r="T93" t="str">
        <f>IFERROR(INDEX('DRAFT 1'!$P:$P,MATCH($B93,'DRAFT 1'!$B:$B,0)),"")</f>
        <v/>
      </c>
      <c r="U93" t="str">
        <f>IFERROR(INDEX('DRAFT 1'!$Q:$Q,MATCH($B93,'DRAFT 1'!$B:$B,0)),"")</f>
        <v/>
      </c>
      <c r="V93" t="str">
        <f>IFERROR(INDEX('DRAFT 1'!$R:$R,MATCH($B93,'DRAFT 1'!$B:$B,0)),"")</f>
        <v/>
      </c>
      <c r="W93" t="str">
        <f>IFERROR(INDEX('DRAFT 1'!$S:$S,MATCH($B93,'DRAFT 1'!$B:$B,0)),"")</f>
        <v/>
      </c>
      <c r="X93" t="str">
        <f>IFERROR(INDEX('DRAFT 1'!$T:$T,MATCH($B93,'DRAFT 1'!$B:$B,0)),"")</f>
        <v/>
      </c>
      <c r="Z93" t="str">
        <f>IFERROR(INDEX('DRAFT 1'!$U:$U,MATCH($B93,'DRAFT 1'!$B:$B,0)),"")</f>
        <v/>
      </c>
      <c r="AA93" t="str">
        <f>IFERROR(INDEX('DRAFT 1'!$V:$V,MATCH($B93,'DRAFT 1'!$B:$B,0)),"")</f>
        <v/>
      </c>
      <c r="AB93" t="str">
        <f>IFERROR(INDEX('DRAFT 1'!$W:$W,MATCH($B93,'DRAFT 1'!$B:$B,0)),"")</f>
        <v/>
      </c>
      <c r="AC93" t="str">
        <f>IFERROR(INDEX('DRAFT 1'!$X:$X,MATCH($B93,'DRAFT 1'!$B:$B,0)),"")</f>
        <v/>
      </c>
      <c r="AD93" t="str">
        <f>IFERROR(INDEX('DRAFT 1'!$Y:$Y,MATCH($B93,'DRAFT 1'!$B:$B,0)),"")</f>
        <v/>
      </c>
      <c r="AE93" t="str">
        <f>IFERROR(INDEX('DRAFT 1'!$Z:$Z,MATCH($B93,'DRAFT 1'!$B:$B,0)),"")</f>
        <v/>
      </c>
      <c r="AF93" t="str">
        <f>IFERROR(INDEX('DRAFT 1'!$AA:$AA,MATCH($B93,'DRAFT 1'!$B:$B,0)),"")</f>
        <v/>
      </c>
      <c r="AG93" t="str">
        <f>IFERROR(INDEX('DRAFT 1'!$AB:$AB,MATCH($B93,'DRAFT 1'!$B:$B,0)),"")</f>
        <v/>
      </c>
      <c r="AH93" t="str">
        <f>IFERROR(INDEX('DRAFT 1'!$AC:$AC,MATCH($B93,'DRAFT 1'!$B:$B,0)),"")</f>
        <v/>
      </c>
      <c r="AI93" t="str">
        <f>IFERROR(INDEX('DRAFT 1'!$AD:$AD,MATCH($B93,'DRAFT 1'!$B:$B,0)),"")</f>
        <v/>
      </c>
      <c r="AJ93" t="str">
        <f>IFERROR(INDEX('DRAFT 1'!$AE:$AE,MATCH($B93,'DRAFT 1'!$B:$B,0)),"")</f>
        <v/>
      </c>
      <c r="AK93" t="str">
        <f>IFERROR(INDEX('DRAFT 1'!$AG:$AG,MATCH($B93,'DRAFT 1'!$B:$B,0)),"")</f>
        <v/>
      </c>
      <c r="AL93" t="str">
        <f>IFERROR(INDEX('DRAFT 1'!$AH:$AH,MATCH($B93,'DRAFT 1'!$B:$B,0)),"")</f>
        <v/>
      </c>
      <c r="AM93" t="str">
        <f>IFERROR(INDEX('DRAFT 1'!$AI:$AI,MATCH($B93,'DRAFT 1'!$B:$B,0)),"")</f>
        <v/>
      </c>
      <c r="AN93" t="str">
        <f>IFERROR(INDEX('DRAFT 1'!$AJ:$AJ,MATCH($B93,'DRAFT 1'!$B:$B,0)),"")</f>
        <v/>
      </c>
      <c r="AO93">
        <f t="shared" si="28"/>
        <v>0</v>
      </c>
      <c r="AP93" t="str">
        <f>IFERROR(INDEX('DRAFT 1'!$AK:$AK,MATCH($B93,'DRAFT 1'!$B:$B,0)),"")</f>
        <v/>
      </c>
      <c r="AR93" t="s">
        <v>33</v>
      </c>
      <c r="AS93">
        <f>IFERROR(LOOKUP(2,1/('DRAFT 2'!$D:$D=$B93),'DRAFT 2'!$T:$T),"")</f>
        <v>0</v>
      </c>
      <c r="AT93">
        <f>IFERROR(LOOKUP(2,1/('DRAFT 2'!$D:$D=$B93),'DRAFT 2'!$A:$A),"")</f>
        <v>0</v>
      </c>
      <c r="AU93">
        <f>IFERROR(LOOKUP(2,1/('DRAFT 2'!$D:$D=$B93),'DRAFT 2'!$R:$R),"")</f>
        <v>0</v>
      </c>
      <c r="AV93">
        <f>IFERROR(LOOKUP(2,1/('DRAFT 2'!$D:$D=$B93),'DRAFT 2'!$S:$S),"")</f>
        <v>0</v>
      </c>
      <c r="AW93" t="s">
        <v>85</v>
      </c>
      <c r="AX93">
        <f>IFERROR(LOOKUP(2,1/('DRAFT 2'!$D:$D=$B93),'DRAFT 2'!$M:$M),"")</f>
        <v>0</v>
      </c>
      <c r="AY93">
        <f>IFERROR(LOOKUP(2,1/('DRAFT 2'!$D:$D=$B93),'DRAFT 2'!$K:$K),"")</f>
        <v>0</v>
      </c>
      <c r="BG93">
        <f>IFERROR(LOOKUP(2,1/('DRAFT 2'!$D:$D=$B93),'DRAFT 2'!$U:$U),"")</f>
        <v>0</v>
      </c>
      <c r="BH93">
        <f>IFERROR(LOOKUP(2,1/('DRAFT 2'!$D:$D=$B93),'DRAFT 2'!$V:$V),"")</f>
        <v>0</v>
      </c>
      <c r="CE93" t="str">
        <f t="shared" si="29"/>
        <v/>
      </c>
      <c r="CF93">
        <f>IFERROR(LOOKUP(2,1/('DRAFT 2'!$D:$D=$B93)*('DRAFT 2'!$A:$A&gt;=DATE(2026,1,1))*('DRAFT 2'!$A:$A&lt;DATE(2026,IF(1=12,1+1,1+1),1)),'DRAFT 2'!$A:$A),"")</f>
        <v>0</v>
      </c>
      <c r="CG93">
        <f>COUNTIFS('DRAFT 2'!$D:$D,$B93,'DRAFT 2'!$A:$A,"&gt;="&amp;DATE(2026,1,1),'DRAFT 2'!$A:$A,"&lt;="&amp;DATE(2026,1,7))</f>
        <v>0</v>
      </c>
      <c r="CH93">
        <f>COUNTIFS('DRAFT 2'!$D:$D,$B93,'DRAFT 2'!$A:$A,"&gt;="&amp;DATE(2026,1,8),'DRAFT 2'!$A:$A,"&lt;="&amp;DATE(2026,1,14))</f>
        <v>0</v>
      </c>
      <c r="CI93">
        <f>COUNTIFS('DRAFT 2'!$D:$D,$B93,'DRAFT 2'!$A:$A,"&gt;="&amp;DATE(2026,1,15),'DRAFT 2'!$A:$A,"&lt;="&amp;DATE(2026,1,21))</f>
        <v>0</v>
      </c>
      <c r="CJ93">
        <f>COUNTIFS('DRAFT 2'!$D:$D,$B93,'DRAFT 2'!$A:$A,"&gt;="&amp;DATE(2026,1,22),'DRAFT 2'!$A:$A,"&lt;"&amp;DATE(2026,IF(1=12,1+1,1+1),1))</f>
        <v>0</v>
      </c>
      <c r="CK93">
        <f t="shared" si="30"/>
        <v>0</v>
      </c>
      <c r="CT93">
        <v>0</v>
      </c>
      <c r="CU93">
        <f>IFERROR(LOOKUP(2,1/('DRAFT 2'!$D:$D=$B93)*('DRAFT 2'!$A:$A&gt;=DATE(2026,2,1))*('DRAFT 2'!$A:$A&lt;DATE(2026,IF(2=12,2+1,2+1),1)),'DRAFT 2'!$A:$A),"")</f>
        <v>0</v>
      </c>
      <c r="CV93">
        <f>COUNTIFS('DRAFT 2'!$D:$D,$B93,'DRAFT 2'!$A:$A,"&gt;="&amp;DATE(2026,2,1),'DRAFT 2'!$A:$A,"&lt;="&amp;DATE(2026,2,7))</f>
        <v>0</v>
      </c>
      <c r="CW93">
        <f>COUNTIFS('DRAFT 2'!$D:$D,$B93,'DRAFT 2'!$A:$A,"&gt;="&amp;DATE(2026,2,8),'DRAFT 2'!$A:$A,"&lt;="&amp;DATE(2026,2,14))</f>
        <v>0</v>
      </c>
      <c r="CX93">
        <f>COUNTIFS('DRAFT 2'!$D:$D,$B93,'DRAFT 2'!$A:$A,"&gt;="&amp;DATE(2026,2,15),'DRAFT 2'!$A:$A,"&lt;="&amp;DATE(2026,2,21))</f>
        <v>0</v>
      </c>
      <c r="CY93">
        <f>COUNTIFS('DRAFT 2'!$D:$D,$B93,'DRAFT 2'!$A:$A,"&gt;="&amp;DATE(2026,2,22),'DRAFT 2'!$A:$A,"&lt;"&amp;DATE(2026,IF(2=12,2+1,2+1),1))</f>
        <v>0</v>
      </c>
      <c r="CZ93">
        <f t="shared" si="31"/>
        <v>0</v>
      </c>
      <c r="DJ93">
        <f>IFERROR(LOOKUP(2,1/('DRAFT 2'!$D:$D=$B93)*('DRAFT 2'!$A:$A&gt;=DATE(2026,3,1))*('DRAFT 2'!$A:$A&lt;DATE(2026,IF(3=12,3+1,3+1),1)),'DRAFT 2'!$A:$A),"")</f>
        <v>0</v>
      </c>
      <c r="DK93">
        <f>COUNTIFS('DRAFT 2'!$D:$D,$B93,'DRAFT 2'!$A:$A,"&gt;="&amp;DATE(2026,3,1),'DRAFT 2'!$A:$A,"&lt;="&amp;DATE(2026,3,7))</f>
        <v>0</v>
      </c>
      <c r="DL93">
        <f>COUNTIFS('DRAFT 2'!$D:$D,$B93,'DRAFT 2'!$A:$A,"&gt;="&amp;DATE(2026,3,8),'DRAFT 2'!$A:$A,"&lt;="&amp;DATE(2026,3,14))</f>
        <v>0</v>
      </c>
      <c r="DM93">
        <f>COUNTIFS('DRAFT 2'!$D:$D,$B93,'DRAFT 2'!$A:$A,"&gt;="&amp;DATE(2026,3,15),'DRAFT 2'!$A:$A,"&lt;="&amp;DATE(2026,3,21))</f>
        <v>0</v>
      </c>
      <c r="DN93">
        <f>COUNTIFS('DRAFT 2'!$D:$D,$B93,'DRAFT 2'!$A:$A,"&gt;="&amp;DATE(2026,3,22),'DRAFT 2'!$A:$A,"&lt;"&amp;DATE(2026,IF(3=12,3+1,3+1),1))</f>
        <v>0</v>
      </c>
      <c r="DO93">
        <f t="shared" si="32"/>
        <v>0</v>
      </c>
      <c r="DZ93">
        <f>IFERROR(LOOKUP(2,1/('DRAFT 2'!$D:$D=$B93)*('DRAFT 2'!$A:$A&gt;=DATE(2026,4,1))*('DRAFT 2'!$A:$A&lt;DATE(2026,IF(4=12,4+1,4+1),1)),'DRAFT 2'!$A:$A),"")</f>
        <v>0</v>
      </c>
      <c r="EA93">
        <f>COUNTIFS('DRAFT 2'!$D:$D,$B93,'DRAFT 2'!$A:$A,"&gt;="&amp;DATE(2026,4,1),'DRAFT 2'!$A:$A,"&lt;="&amp;DATE(2026,4,7))</f>
        <v>0</v>
      </c>
      <c r="EB93">
        <f>COUNTIFS('DRAFT 2'!$D:$D,$B93,'DRAFT 2'!$A:$A,"&gt;="&amp;DATE(2026,4,8),'DRAFT 2'!$A:$A,"&lt;="&amp;DATE(2026,4,14))</f>
        <v>0</v>
      </c>
      <c r="EC93">
        <f>COUNTIFS('DRAFT 2'!$D:$D,$B93,'DRAFT 2'!$A:$A,"&gt;="&amp;DATE(2026,4,15),'DRAFT 2'!$A:$A,"&lt;="&amp;DATE(2026,4,21))</f>
        <v>0</v>
      </c>
      <c r="ED93">
        <f>COUNTIFS('DRAFT 2'!$D:$D,$B93,'DRAFT 2'!$A:$A,"&gt;="&amp;DATE(2026,4,22),'DRAFT 2'!$A:$A,"&lt;"&amp;DATE(2026,IF(4=12,4+1,4+1),1))</f>
        <v>0</v>
      </c>
      <c r="EE93">
        <f t="shared" si="33"/>
        <v>0</v>
      </c>
      <c r="EO93">
        <f>IFERROR(LOOKUP(2,1/('DRAFT 2'!$D:$D=$B93)*('DRAFT 2'!$A:$A&gt;=DATE(2026,5,1))*('DRAFT 2'!$A:$A&lt;DATE(2026,IF(5=12,5+1,5+1),1)),'DRAFT 2'!$A:$A),"")</f>
        <v>0</v>
      </c>
      <c r="EP93">
        <f>COUNTIFS('DRAFT 2'!$D:$D,$B93,'DRAFT 2'!$A:$A,"&gt;="&amp;DATE(2026,5,1),'DRAFT 2'!$A:$A,"&lt;="&amp;DATE(2026,5,7))</f>
        <v>0</v>
      </c>
      <c r="EQ93">
        <f>COUNTIFS('DRAFT 2'!$D:$D,$B93,'DRAFT 2'!$A:$A,"&gt;="&amp;DATE(2026,5,8),'DRAFT 2'!$A:$A,"&lt;="&amp;DATE(2026,5,14))</f>
        <v>0</v>
      </c>
      <c r="ER93">
        <f>COUNTIFS('DRAFT 2'!$D:$D,$B93,'DRAFT 2'!$A:$A,"&gt;="&amp;DATE(2026,5,15),'DRAFT 2'!$A:$A,"&lt;="&amp;DATE(2026,5,21))</f>
        <v>0</v>
      </c>
      <c r="ES93">
        <f>COUNTIFS('DRAFT 2'!$D:$D,$B93,'DRAFT 2'!$A:$A,"&gt;="&amp;DATE(2026,5,22),'DRAFT 2'!$A:$A,"&lt;"&amp;DATE(2026,IF(5=12,5+1,5+1),1))</f>
        <v>0</v>
      </c>
      <c r="ET93">
        <f t="shared" si="34"/>
        <v>0</v>
      </c>
      <c r="FD93">
        <f>IFERROR(LOOKUP(2,1/('DRAFT 2'!$D:$D=$B93)*('DRAFT 2'!$A:$A&gt;=DATE(2026,6,1))*('DRAFT 2'!$A:$A&lt;DATE(2026,IF(6=12,6+1,6+1),1)),'DRAFT 2'!$A:$A),"")</f>
        <v>0</v>
      </c>
      <c r="FE93">
        <f>COUNTIFS('DRAFT 2'!$D:$D,$B93,'DRAFT 2'!$A:$A,"&gt;="&amp;DATE(2026,6,1),'DRAFT 2'!$A:$A,"&lt;="&amp;DATE(2026,6,7))</f>
        <v>0</v>
      </c>
      <c r="FF93">
        <f>COUNTIFS('DRAFT 2'!$D:$D,$B93,'DRAFT 2'!$A:$A,"&gt;="&amp;DATE(2026,6,8),'DRAFT 2'!$A:$A,"&lt;="&amp;DATE(2026,6,14))</f>
        <v>0</v>
      </c>
      <c r="FG93">
        <f>COUNTIFS('DRAFT 2'!$D:$D,$B93,'DRAFT 2'!$A:$A,"&gt;="&amp;DATE(2026,6,15),'DRAFT 2'!$A:$A,"&lt;="&amp;DATE(2026,6,21))</f>
        <v>0</v>
      </c>
      <c r="FH93">
        <f>COUNTIFS('DRAFT 2'!$D:$D,$B93,'DRAFT 2'!$A:$A,"&gt;="&amp;DATE(2026,6,22),'DRAFT 2'!$A:$A,"&lt;"&amp;DATE(2026,IF(6=12,6+1,6+1),1))</f>
        <v>0</v>
      </c>
      <c r="FI93">
        <f t="shared" si="35"/>
        <v>0</v>
      </c>
      <c r="FT93">
        <f>IFERROR(LOOKUP(2,1/('DRAFT 2'!$D:$D=$B93)*('DRAFT 2'!$A:$A&gt;=DATE(2026,7,1))*('DRAFT 2'!$A:$A&lt;DATE(2026,IF(7=12,7+1,7+1),1)),'DRAFT 2'!$A:$A),"")</f>
        <v>0</v>
      </c>
      <c r="FU93">
        <f>COUNTIFS('DRAFT 2'!$D:$D,$B93,'DRAFT 2'!$A:$A,"&gt;="&amp;DATE(2026,7,1),'DRAFT 2'!$A:$A,"&lt;="&amp;DATE(2026,7,7))</f>
        <v>0</v>
      </c>
      <c r="FV93">
        <f>COUNTIFS('DRAFT 2'!$D:$D,$B93,'DRAFT 2'!$A:$A,"&gt;="&amp;DATE(2026,7,8),'DRAFT 2'!$A:$A,"&lt;="&amp;DATE(2026,7,14))</f>
        <v>0</v>
      </c>
      <c r="FW93">
        <f>COUNTIFS('DRAFT 2'!$D:$D,$B93,'DRAFT 2'!$A:$A,"&gt;="&amp;DATE(2026,7,15),'DRAFT 2'!$A:$A,"&lt;="&amp;DATE(2026,7,21))</f>
        <v>0</v>
      </c>
      <c r="FX93">
        <f>COUNTIFS('DRAFT 2'!$D:$D,$B93,'DRAFT 2'!$A:$A,"&gt;="&amp;DATE(2026,7,22),'DRAFT 2'!$A:$A,"&lt;"&amp;DATE(2026,IF(7=12,7+1,7+1),1))</f>
        <v>0</v>
      </c>
      <c r="FY93">
        <f t="shared" si="36"/>
        <v>0</v>
      </c>
      <c r="GI93">
        <f>IFERROR(LOOKUP(2,1/('DRAFT 2'!$D:$D=$B93)*('DRAFT 2'!$A:$A&gt;=DATE(2026,8,1))*('DRAFT 2'!$A:$A&lt;DATE(2026,IF(8=12,8+1,8+1),1)),'DRAFT 2'!$A:$A),"")</f>
        <v>0</v>
      </c>
      <c r="GJ93">
        <f>COUNTIFS('DRAFT 2'!$D:$D,$B93,'DRAFT 2'!$A:$A,"&gt;="&amp;DATE(2026,8,1),'DRAFT 2'!$A:$A,"&lt;="&amp;DATE(2026,8,7))</f>
        <v>0</v>
      </c>
      <c r="GK93">
        <f>COUNTIFS('DRAFT 2'!$D:$D,$B93,'DRAFT 2'!$A:$A,"&gt;="&amp;DATE(2026,8,8),'DRAFT 2'!$A:$A,"&lt;="&amp;DATE(2026,8,14))</f>
        <v>0</v>
      </c>
      <c r="GL93">
        <f>COUNTIFS('DRAFT 2'!$D:$D,$B93,'DRAFT 2'!$A:$A,"&gt;="&amp;DATE(2026,8,15),'DRAFT 2'!$A:$A,"&lt;="&amp;DATE(2026,8,21))</f>
        <v>0</v>
      </c>
      <c r="GM93">
        <f>COUNTIFS('DRAFT 2'!$D:$D,$B93,'DRAFT 2'!$A:$A,"&gt;="&amp;DATE(2026,8,22),'DRAFT 2'!$A:$A,"&lt;"&amp;DATE(2026,IF(8=12,8+1,8+1),1))</f>
        <v>0</v>
      </c>
      <c r="GN93">
        <f t="shared" si="37"/>
        <v>0</v>
      </c>
      <c r="GX93">
        <f>IFERROR(LOOKUP(2,1/('DRAFT 2'!$D:$D=$B93)*('DRAFT 2'!$A:$A&gt;=DATE(2026,9,1))*('DRAFT 2'!$A:$A&lt;DATE(2026,IF(9=12,9+1,9+1),1)),'DRAFT 2'!$A:$A),"")</f>
        <v>0</v>
      </c>
      <c r="GY93">
        <f>COUNTIFS('DRAFT 2'!$D:$D,$B93,'DRAFT 2'!$A:$A,"&gt;="&amp;DATE(2026,9,1),'DRAFT 2'!$A:$A,"&lt;="&amp;DATE(2026,9,7))</f>
        <v>0</v>
      </c>
      <c r="GZ93">
        <f>COUNTIFS('DRAFT 2'!$D:$D,$B93,'DRAFT 2'!$A:$A,"&gt;="&amp;DATE(2026,9,8),'DRAFT 2'!$A:$A,"&lt;="&amp;DATE(2026,9,14))</f>
        <v>0</v>
      </c>
      <c r="HA93">
        <f>COUNTIFS('DRAFT 2'!$D:$D,$B93,'DRAFT 2'!$A:$A,"&gt;="&amp;DATE(2026,9,15),'DRAFT 2'!$A:$A,"&lt;="&amp;DATE(2026,9,21))</f>
        <v>0</v>
      </c>
      <c r="HB93">
        <f>COUNTIFS('DRAFT 2'!$D:$D,$B93,'DRAFT 2'!$A:$A,"&gt;="&amp;DATE(2026,9,22),'DRAFT 2'!$A:$A,"&lt;"&amp;DATE(2026,IF(9=12,9+1,9+1),1))</f>
        <v>0</v>
      </c>
      <c r="HC93">
        <f t="shared" si="38"/>
        <v>0</v>
      </c>
      <c r="HN93">
        <f>IFERROR(LOOKUP(2,1/('DRAFT 2'!$D:$D=$B93)*('DRAFT 2'!$A:$A&gt;=DATE(2026,10,1))*('DRAFT 2'!$A:$A&lt;DATE(2026,IF(10=12,10+1,10+1),1)),'DRAFT 2'!$A:$A),"")</f>
        <v>0</v>
      </c>
      <c r="HO93">
        <f>COUNTIFS('DRAFT 2'!$D:$D,$B93,'DRAFT 2'!$A:$A,"&gt;="&amp;DATE(2026,10,1),'DRAFT 2'!$A:$A,"&lt;="&amp;DATE(2026,10,7))</f>
        <v>0</v>
      </c>
      <c r="HP93">
        <f>COUNTIFS('DRAFT 2'!$D:$D,$B93,'DRAFT 2'!$A:$A,"&gt;="&amp;DATE(2026,10,8),'DRAFT 2'!$A:$A,"&lt;="&amp;DATE(2026,10,14))</f>
        <v>0</v>
      </c>
      <c r="HQ93">
        <f>COUNTIFS('DRAFT 2'!$D:$D,$B93,'DRAFT 2'!$A:$A,"&gt;="&amp;DATE(2026,10,15),'DRAFT 2'!$A:$A,"&lt;="&amp;DATE(2026,10,21))</f>
        <v>0</v>
      </c>
      <c r="HR93">
        <f>COUNTIFS('DRAFT 2'!$D:$D,$B93,'DRAFT 2'!$A:$A,"&gt;="&amp;DATE(2026,10,22),'DRAFT 2'!$A:$A,"&lt;"&amp;DATE(2026,IF(10=12,10+1,10+1),1))</f>
        <v>0</v>
      </c>
      <c r="HS93">
        <f t="shared" si="39"/>
        <v>0</v>
      </c>
      <c r="IC93">
        <f>IFERROR(LOOKUP(2,1/('DRAFT 2'!$D:$D=$B93)*('DRAFT 2'!$A:$A&gt;=DATE(2026,11,1))*('DRAFT 2'!$A:$A&lt;DATE(2026,IF(11=12,11+1,11+1),1)),'DRAFT 2'!$A:$A),"")</f>
        <v>0</v>
      </c>
      <c r="ID93">
        <f>COUNTIFS('DRAFT 2'!$D:$D,$B93,'DRAFT 2'!$A:$A,"&gt;="&amp;DATE(2026,11,1),'DRAFT 2'!$A:$A,"&lt;="&amp;DATE(2026,11,7))</f>
        <v>0</v>
      </c>
      <c r="IE93">
        <f>COUNTIFS('DRAFT 2'!$D:$D,$B93,'DRAFT 2'!$A:$A,"&gt;="&amp;DATE(2026,11,8),'DRAFT 2'!$A:$A,"&lt;="&amp;DATE(2026,11,14))</f>
        <v>0</v>
      </c>
      <c r="IF93">
        <f>COUNTIFS('DRAFT 2'!$D:$D,$B93,'DRAFT 2'!$A:$A,"&gt;="&amp;DATE(2026,11,15),'DRAFT 2'!$A:$A,"&lt;="&amp;DATE(2026,11,21))</f>
        <v>0</v>
      </c>
      <c r="IG93">
        <f>COUNTIFS('DRAFT 2'!$D:$D,$B93,'DRAFT 2'!$A:$A,"&gt;="&amp;DATE(2026,11,22),'DRAFT 2'!$A:$A,"&lt;"&amp;DATE(2026,IF(11=12,11+1,11+1),1))</f>
        <v>0</v>
      </c>
      <c r="IH93">
        <f t="shared" si="40"/>
        <v>0</v>
      </c>
      <c r="IR93">
        <f>IFERROR(LOOKUP(2,1/('DRAFT 2'!$D:$D=$B93)*('DRAFT 2'!$A:$A&gt;=DATE(2026,12,1))*('DRAFT 2'!$A:$A&lt;DATE(2026,IF(12=12,12+1,12+1),1)),'DRAFT 2'!$A:$A),"")</f>
        <v>0</v>
      </c>
      <c r="IS93">
        <f>COUNTIFS('DRAFT 2'!$D:$D,$B93,'DRAFT 2'!$A:$A,"&gt;="&amp;DATE(2026,12,1),'DRAFT 2'!$A:$A,"&lt;="&amp;DATE(2026,12,7))</f>
        <v>0</v>
      </c>
      <c r="IT93">
        <f>COUNTIFS('DRAFT 2'!$D:$D,$B93,'DRAFT 2'!$A:$A,"&gt;="&amp;DATE(2026,12,8),'DRAFT 2'!$A:$A,"&lt;="&amp;DATE(2026,12,14))</f>
        <v>0</v>
      </c>
      <c r="IU93">
        <f>COUNTIFS('DRAFT 2'!$D:$D,$B93,'DRAFT 2'!$A:$A,"&gt;="&amp;DATE(2026,12,15),'DRAFT 2'!$A:$A,"&lt;="&amp;DATE(2026,12,21))</f>
        <v>0</v>
      </c>
      <c r="IV93">
        <f>COUNTIFS('DRAFT 2'!$D:$D,$B93,'DRAFT 2'!$A:$A,"&gt;="&amp;DATE(2026,12,22),'DRAFT 2'!$A:$A,"&lt;"&amp;DATE(2026,IF(12=12,12+1,12+1),1))</f>
        <v>0</v>
      </c>
      <c r="IW93">
        <f t="shared" si="41"/>
        <v>0</v>
      </c>
    </row>
    <row r="94" spans="1:257" x14ac:dyDescent="0.3">
      <c r="A94" t="str">
        <f>IFERROR(INDEX('DRAFT 1'!$A:$A,MATCH($B94,'DRAFT 1'!$B:$B,0)),"")</f>
        <v/>
      </c>
      <c r="C94" t="str">
        <f>IFERROR(INDEX('DRAFT 1'!$C:$C,MATCH($B94,'DRAFT 1'!$B:$B,0)),"")</f>
        <v/>
      </c>
      <c r="D94" t="str">
        <f>IFERROR(INDEX('DRAFT 1'!$D:$D,MATCH($B94,'DRAFT 1'!$B:$B,0)),"")</f>
        <v/>
      </c>
      <c r="E94" t="str">
        <f>IFERROR(INDEX('DRAFT 1'!$E:$E,MATCH($B94,'DRAFT 1'!$B:$B,0)),"")</f>
        <v/>
      </c>
      <c r="F94" t="str">
        <f>IFERROR(INDEX('DRAFT 1'!$F:$F,MATCH($B94,'DRAFT 1'!$B:$B,0)),"")</f>
        <v/>
      </c>
      <c r="G94" t="str">
        <f>IFERROR(INDEX('DRAFT 1'!$G:$G,MATCH($B94,'DRAFT 1'!$B:$B,0)),"")</f>
        <v/>
      </c>
      <c r="H94" t="str">
        <f>IFERROR(INDEX('DRAFT 1'!$H:$H,MATCH($B94,'DRAFT 1'!$B:$B,0)),"")</f>
        <v/>
      </c>
      <c r="I94" t="s">
        <v>295</v>
      </c>
      <c r="K94" t="str">
        <f>IFERROR(INDEX('DRAFT 1'!$AL:$AL,MATCH($B94,'DRAFT 1'!$B:$B,0)),"")</f>
        <v/>
      </c>
      <c r="L94" t="str">
        <f>IFERROR(INDEX('DRAFT 1'!$J:$J,MATCH($B94,'DRAFT 1'!$B:$B,0)),"")</f>
        <v/>
      </c>
      <c r="M94" t="str">
        <f>IFERROR(INDEX('DRAFT 1'!$K:$K,MATCH($B94,'DRAFT 1'!$B:$B,0)),"")</f>
        <v/>
      </c>
      <c r="N94" t="s">
        <v>85</v>
      </c>
      <c r="P94" t="str">
        <f>IFERROR(INDEX('DRAFT 1'!$L:$L,MATCH($B94,'DRAFT 1'!$B:$B,0)),"")</f>
        <v/>
      </c>
      <c r="Q94" t="str">
        <f>IFERROR(INDEX('DRAFT 1'!$M:$M,MATCH($B94,'DRAFT 1'!$B:$B,0)),"")</f>
        <v/>
      </c>
      <c r="R94" t="str">
        <f>IFERROR(INDEX('DRAFT 1'!$N:$N,MATCH($B94,'DRAFT 1'!$B:$B,0)),"")</f>
        <v/>
      </c>
      <c r="S94" t="str">
        <f>IFERROR(INDEX('DRAFT 1'!$O:$O,MATCH($B94,'DRAFT 1'!$B:$B,0)),"")</f>
        <v/>
      </c>
      <c r="T94" t="str">
        <f>IFERROR(INDEX('DRAFT 1'!$P:$P,MATCH($B94,'DRAFT 1'!$B:$B,0)),"")</f>
        <v/>
      </c>
      <c r="U94" t="str">
        <f>IFERROR(INDEX('DRAFT 1'!$Q:$Q,MATCH($B94,'DRAFT 1'!$B:$B,0)),"")</f>
        <v/>
      </c>
      <c r="V94" t="str">
        <f>IFERROR(INDEX('DRAFT 1'!$R:$R,MATCH($B94,'DRAFT 1'!$B:$B,0)),"")</f>
        <v/>
      </c>
      <c r="W94" t="str">
        <f>IFERROR(INDEX('DRAFT 1'!$S:$S,MATCH($B94,'DRAFT 1'!$B:$B,0)),"")</f>
        <v/>
      </c>
      <c r="X94" t="str">
        <f>IFERROR(INDEX('DRAFT 1'!$T:$T,MATCH($B94,'DRAFT 1'!$B:$B,0)),"")</f>
        <v/>
      </c>
      <c r="Z94" t="str">
        <f>IFERROR(INDEX('DRAFT 1'!$U:$U,MATCH($B94,'DRAFT 1'!$B:$B,0)),"")</f>
        <v/>
      </c>
      <c r="AA94" t="str">
        <f>IFERROR(INDEX('DRAFT 1'!$V:$V,MATCH($B94,'DRAFT 1'!$B:$B,0)),"")</f>
        <v/>
      </c>
      <c r="AB94" t="str">
        <f>IFERROR(INDEX('DRAFT 1'!$W:$W,MATCH($B94,'DRAFT 1'!$B:$B,0)),"")</f>
        <v/>
      </c>
      <c r="AC94" t="str">
        <f>IFERROR(INDEX('DRAFT 1'!$X:$X,MATCH($B94,'DRAFT 1'!$B:$B,0)),"")</f>
        <v/>
      </c>
      <c r="AD94" t="str">
        <f>IFERROR(INDEX('DRAFT 1'!$Y:$Y,MATCH($B94,'DRAFT 1'!$B:$B,0)),"")</f>
        <v/>
      </c>
      <c r="AE94" t="str">
        <f>IFERROR(INDEX('DRAFT 1'!$Z:$Z,MATCH($B94,'DRAFT 1'!$B:$B,0)),"")</f>
        <v/>
      </c>
      <c r="AF94" t="str">
        <f>IFERROR(INDEX('DRAFT 1'!$AA:$AA,MATCH($B94,'DRAFT 1'!$B:$B,0)),"")</f>
        <v/>
      </c>
      <c r="AG94" t="str">
        <f>IFERROR(INDEX('DRAFT 1'!$AB:$AB,MATCH($B94,'DRAFT 1'!$B:$B,0)),"")</f>
        <v/>
      </c>
      <c r="AH94" t="str">
        <f>IFERROR(INDEX('DRAFT 1'!$AC:$AC,MATCH($B94,'DRAFT 1'!$B:$B,0)),"")</f>
        <v/>
      </c>
      <c r="AI94" t="str">
        <f>IFERROR(INDEX('DRAFT 1'!$AD:$AD,MATCH($B94,'DRAFT 1'!$B:$B,0)),"")</f>
        <v/>
      </c>
      <c r="AJ94" t="str">
        <f>IFERROR(INDEX('DRAFT 1'!$AE:$AE,MATCH($B94,'DRAFT 1'!$B:$B,0)),"")</f>
        <v/>
      </c>
      <c r="AK94" t="str">
        <f>IFERROR(INDEX('DRAFT 1'!$AG:$AG,MATCH($B94,'DRAFT 1'!$B:$B,0)),"")</f>
        <v/>
      </c>
      <c r="AL94" t="str">
        <f>IFERROR(INDEX('DRAFT 1'!$AH:$AH,MATCH($B94,'DRAFT 1'!$B:$B,0)),"")</f>
        <v/>
      </c>
      <c r="AM94" t="str">
        <f>IFERROR(INDEX('DRAFT 1'!$AI:$AI,MATCH($B94,'DRAFT 1'!$B:$B,0)),"")</f>
        <v/>
      </c>
      <c r="AN94" t="str">
        <f>IFERROR(INDEX('DRAFT 1'!$AJ:$AJ,MATCH($B94,'DRAFT 1'!$B:$B,0)),"")</f>
        <v/>
      </c>
      <c r="AO94">
        <f t="shared" si="28"/>
        <v>0</v>
      </c>
      <c r="AP94" t="str">
        <f>IFERROR(INDEX('DRAFT 1'!$AK:$AK,MATCH($B94,'DRAFT 1'!$B:$B,0)),"")</f>
        <v/>
      </c>
      <c r="AR94" t="s">
        <v>91</v>
      </c>
      <c r="AS94">
        <f>IFERROR(LOOKUP(2,1/('DRAFT 2'!$D:$D=$B94),'DRAFT 2'!$T:$T),"")</f>
        <v>0</v>
      </c>
      <c r="AT94">
        <f>IFERROR(LOOKUP(2,1/('DRAFT 2'!$D:$D=$B94),'DRAFT 2'!$A:$A),"")</f>
        <v>0</v>
      </c>
      <c r="AU94">
        <f>IFERROR(LOOKUP(2,1/('DRAFT 2'!$D:$D=$B94),'DRAFT 2'!$R:$R),"")</f>
        <v>0</v>
      </c>
      <c r="AV94">
        <f>IFERROR(LOOKUP(2,1/('DRAFT 2'!$D:$D=$B94),'DRAFT 2'!$S:$S),"")</f>
        <v>0</v>
      </c>
      <c r="AW94" t="s">
        <v>88</v>
      </c>
      <c r="AX94">
        <f>IFERROR(LOOKUP(2,1/('DRAFT 2'!$D:$D=$B94),'DRAFT 2'!$M:$M),"")</f>
        <v>0</v>
      </c>
      <c r="AY94">
        <f>IFERROR(LOOKUP(2,1/('DRAFT 2'!$D:$D=$B94),'DRAFT 2'!$K:$K),"")</f>
        <v>0</v>
      </c>
      <c r="BG94">
        <f>IFERROR(LOOKUP(2,1/('DRAFT 2'!$D:$D=$B94),'DRAFT 2'!$U:$U),"")</f>
        <v>0</v>
      </c>
      <c r="BH94">
        <f>IFERROR(LOOKUP(2,1/('DRAFT 2'!$D:$D=$B94),'DRAFT 2'!$V:$V),"")</f>
        <v>0</v>
      </c>
      <c r="CE94" t="str">
        <f t="shared" si="29"/>
        <v/>
      </c>
      <c r="CF94">
        <f>IFERROR(LOOKUP(2,1/('DRAFT 2'!$D:$D=$B94)*('DRAFT 2'!$A:$A&gt;=DATE(2026,1,1))*('DRAFT 2'!$A:$A&lt;DATE(2026,IF(1=12,1+1,1+1),1)),'DRAFT 2'!$A:$A),"")</f>
        <v>0</v>
      </c>
      <c r="CG94">
        <f>COUNTIFS('DRAFT 2'!$D:$D,$B94,'DRAFT 2'!$A:$A,"&gt;="&amp;DATE(2026,1,1),'DRAFT 2'!$A:$A,"&lt;="&amp;DATE(2026,1,7))</f>
        <v>0</v>
      </c>
      <c r="CH94">
        <f>COUNTIFS('DRAFT 2'!$D:$D,$B94,'DRAFT 2'!$A:$A,"&gt;="&amp;DATE(2026,1,8),'DRAFT 2'!$A:$A,"&lt;="&amp;DATE(2026,1,14))</f>
        <v>0</v>
      </c>
      <c r="CI94">
        <f>COUNTIFS('DRAFT 2'!$D:$D,$B94,'DRAFT 2'!$A:$A,"&gt;="&amp;DATE(2026,1,15),'DRAFT 2'!$A:$A,"&lt;="&amp;DATE(2026,1,21))</f>
        <v>0</v>
      </c>
      <c r="CJ94">
        <f>COUNTIFS('DRAFT 2'!$D:$D,$B94,'DRAFT 2'!$A:$A,"&gt;="&amp;DATE(2026,1,22),'DRAFT 2'!$A:$A,"&lt;"&amp;DATE(2026,IF(1=12,1+1,1+1),1))</f>
        <v>0</v>
      </c>
      <c r="CK94">
        <f t="shared" si="30"/>
        <v>0</v>
      </c>
      <c r="CT94">
        <v>0</v>
      </c>
      <c r="CU94">
        <f>IFERROR(LOOKUP(2,1/('DRAFT 2'!$D:$D=$B94)*('DRAFT 2'!$A:$A&gt;=DATE(2026,2,1))*('DRAFT 2'!$A:$A&lt;DATE(2026,IF(2=12,2+1,2+1),1)),'DRAFT 2'!$A:$A),"")</f>
        <v>0</v>
      </c>
      <c r="CV94">
        <f>COUNTIFS('DRAFT 2'!$D:$D,$B94,'DRAFT 2'!$A:$A,"&gt;="&amp;DATE(2026,2,1),'DRAFT 2'!$A:$A,"&lt;="&amp;DATE(2026,2,7))</f>
        <v>0</v>
      </c>
      <c r="CW94">
        <f>COUNTIFS('DRAFT 2'!$D:$D,$B94,'DRAFT 2'!$A:$A,"&gt;="&amp;DATE(2026,2,8),'DRAFT 2'!$A:$A,"&lt;="&amp;DATE(2026,2,14))</f>
        <v>0</v>
      </c>
      <c r="CX94">
        <f>COUNTIFS('DRAFT 2'!$D:$D,$B94,'DRAFT 2'!$A:$A,"&gt;="&amp;DATE(2026,2,15),'DRAFT 2'!$A:$A,"&lt;="&amp;DATE(2026,2,21))</f>
        <v>0</v>
      </c>
      <c r="CY94">
        <f>COUNTIFS('DRAFT 2'!$D:$D,$B94,'DRAFT 2'!$A:$A,"&gt;="&amp;DATE(2026,2,22),'DRAFT 2'!$A:$A,"&lt;"&amp;DATE(2026,IF(2=12,2+1,2+1),1))</f>
        <v>0</v>
      </c>
      <c r="CZ94">
        <f t="shared" si="31"/>
        <v>0</v>
      </c>
      <c r="DJ94">
        <f>IFERROR(LOOKUP(2,1/('DRAFT 2'!$D:$D=$B94)*('DRAFT 2'!$A:$A&gt;=DATE(2026,3,1))*('DRAFT 2'!$A:$A&lt;DATE(2026,IF(3=12,3+1,3+1),1)),'DRAFT 2'!$A:$A),"")</f>
        <v>0</v>
      </c>
      <c r="DK94">
        <f>COUNTIFS('DRAFT 2'!$D:$D,$B94,'DRAFT 2'!$A:$A,"&gt;="&amp;DATE(2026,3,1),'DRAFT 2'!$A:$A,"&lt;="&amp;DATE(2026,3,7))</f>
        <v>0</v>
      </c>
      <c r="DL94">
        <f>COUNTIFS('DRAFT 2'!$D:$D,$B94,'DRAFT 2'!$A:$A,"&gt;="&amp;DATE(2026,3,8),'DRAFT 2'!$A:$A,"&lt;="&amp;DATE(2026,3,14))</f>
        <v>0</v>
      </c>
      <c r="DM94">
        <f>COUNTIFS('DRAFT 2'!$D:$D,$B94,'DRAFT 2'!$A:$A,"&gt;="&amp;DATE(2026,3,15),'DRAFT 2'!$A:$A,"&lt;="&amp;DATE(2026,3,21))</f>
        <v>0</v>
      </c>
      <c r="DN94">
        <f>COUNTIFS('DRAFT 2'!$D:$D,$B94,'DRAFT 2'!$A:$A,"&gt;="&amp;DATE(2026,3,22),'DRAFT 2'!$A:$A,"&lt;"&amp;DATE(2026,IF(3=12,3+1,3+1),1))</f>
        <v>0</v>
      </c>
      <c r="DO94">
        <f t="shared" si="32"/>
        <v>0</v>
      </c>
      <c r="DZ94">
        <f>IFERROR(LOOKUP(2,1/('DRAFT 2'!$D:$D=$B94)*('DRAFT 2'!$A:$A&gt;=DATE(2026,4,1))*('DRAFT 2'!$A:$A&lt;DATE(2026,IF(4=12,4+1,4+1),1)),'DRAFT 2'!$A:$A),"")</f>
        <v>0</v>
      </c>
      <c r="EA94">
        <f>COUNTIFS('DRAFT 2'!$D:$D,$B94,'DRAFT 2'!$A:$A,"&gt;="&amp;DATE(2026,4,1),'DRAFT 2'!$A:$A,"&lt;="&amp;DATE(2026,4,7))</f>
        <v>0</v>
      </c>
      <c r="EB94">
        <f>COUNTIFS('DRAFT 2'!$D:$D,$B94,'DRAFT 2'!$A:$A,"&gt;="&amp;DATE(2026,4,8),'DRAFT 2'!$A:$A,"&lt;="&amp;DATE(2026,4,14))</f>
        <v>0</v>
      </c>
      <c r="EC94">
        <f>COUNTIFS('DRAFT 2'!$D:$D,$B94,'DRAFT 2'!$A:$A,"&gt;="&amp;DATE(2026,4,15),'DRAFT 2'!$A:$A,"&lt;="&amp;DATE(2026,4,21))</f>
        <v>0</v>
      </c>
      <c r="ED94">
        <f>COUNTIFS('DRAFT 2'!$D:$D,$B94,'DRAFT 2'!$A:$A,"&gt;="&amp;DATE(2026,4,22),'DRAFT 2'!$A:$A,"&lt;"&amp;DATE(2026,IF(4=12,4+1,4+1),1))</f>
        <v>0</v>
      </c>
      <c r="EE94">
        <f t="shared" si="33"/>
        <v>0</v>
      </c>
      <c r="EO94">
        <f>IFERROR(LOOKUP(2,1/('DRAFT 2'!$D:$D=$B94)*('DRAFT 2'!$A:$A&gt;=DATE(2026,5,1))*('DRAFT 2'!$A:$A&lt;DATE(2026,IF(5=12,5+1,5+1),1)),'DRAFT 2'!$A:$A),"")</f>
        <v>0</v>
      </c>
      <c r="EP94">
        <f>COUNTIFS('DRAFT 2'!$D:$D,$B94,'DRAFT 2'!$A:$A,"&gt;="&amp;DATE(2026,5,1),'DRAFT 2'!$A:$A,"&lt;="&amp;DATE(2026,5,7))</f>
        <v>0</v>
      </c>
      <c r="EQ94">
        <f>COUNTIFS('DRAFT 2'!$D:$D,$B94,'DRAFT 2'!$A:$A,"&gt;="&amp;DATE(2026,5,8),'DRAFT 2'!$A:$A,"&lt;="&amp;DATE(2026,5,14))</f>
        <v>0</v>
      </c>
      <c r="ER94">
        <f>COUNTIFS('DRAFT 2'!$D:$D,$B94,'DRAFT 2'!$A:$A,"&gt;="&amp;DATE(2026,5,15),'DRAFT 2'!$A:$A,"&lt;="&amp;DATE(2026,5,21))</f>
        <v>0</v>
      </c>
      <c r="ES94">
        <f>COUNTIFS('DRAFT 2'!$D:$D,$B94,'DRAFT 2'!$A:$A,"&gt;="&amp;DATE(2026,5,22),'DRAFT 2'!$A:$A,"&lt;"&amp;DATE(2026,IF(5=12,5+1,5+1),1))</f>
        <v>0</v>
      </c>
      <c r="ET94">
        <f t="shared" si="34"/>
        <v>0</v>
      </c>
      <c r="FD94">
        <f>IFERROR(LOOKUP(2,1/('DRAFT 2'!$D:$D=$B94)*('DRAFT 2'!$A:$A&gt;=DATE(2026,6,1))*('DRAFT 2'!$A:$A&lt;DATE(2026,IF(6=12,6+1,6+1),1)),'DRAFT 2'!$A:$A),"")</f>
        <v>0</v>
      </c>
      <c r="FE94">
        <f>COUNTIFS('DRAFT 2'!$D:$D,$B94,'DRAFT 2'!$A:$A,"&gt;="&amp;DATE(2026,6,1),'DRAFT 2'!$A:$A,"&lt;="&amp;DATE(2026,6,7))</f>
        <v>0</v>
      </c>
      <c r="FF94">
        <f>COUNTIFS('DRAFT 2'!$D:$D,$B94,'DRAFT 2'!$A:$A,"&gt;="&amp;DATE(2026,6,8),'DRAFT 2'!$A:$A,"&lt;="&amp;DATE(2026,6,14))</f>
        <v>0</v>
      </c>
      <c r="FG94">
        <f>COUNTIFS('DRAFT 2'!$D:$D,$B94,'DRAFT 2'!$A:$A,"&gt;="&amp;DATE(2026,6,15),'DRAFT 2'!$A:$A,"&lt;="&amp;DATE(2026,6,21))</f>
        <v>0</v>
      </c>
      <c r="FH94">
        <f>COUNTIFS('DRAFT 2'!$D:$D,$B94,'DRAFT 2'!$A:$A,"&gt;="&amp;DATE(2026,6,22),'DRAFT 2'!$A:$A,"&lt;"&amp;DATE(2026,IF(6=12,6+1,6+1),1))</f>
        <v>0</v>
      </c>
      <c r="FI94">
        <f t="shared" si="35"/>
        <v>0</v>
      </c>
      <c r="FT94">
        <f>IFERROR(LOOKUP(2,1/('DRAFT 2'!$D:$D=$B94)*('DRAFT 2'!$A:$A&gt;=DATE(2026,7,1))*('DRAFT 2'!$A:$A&lt;DATE(2026,IF(7=12,7+1,7+1),1)),'DRAFT 2'!$A:$A),"")</f>
        <v>0</v>
      </c>
      <c r="FU94">
        <f>COUNTIFS('DRAFT 2'!$D:$D,$B94,'DRAFT 2'!$A:$A,"&gt;="&amp;DATE(2026,7,1),'DRAFT 2'!$A:$A,"&lt;="&amp;DATE(2026,7,7))</f>
        <v>0</v>
      </c>
      <c r="FV94">
        <f>COUNTIFS('DRAFT 2'!$D:$D,$B94,'DRAFT 2'!$A:$A,"&gt;="&amp;DATE(2026,7,8),'DRAFT 2'!$A:$A,"&lt;="&amp;DATE(2026,7,14))</f>
        <v>0</v>
      </c>
      <c r="FW94">
        <f>COUNTIFS('DRAFT 2'!$D:$D,$B94,'DRAFT 2'!$A:$A,"&gt;="&amp;DATE(2026,7,15),'DRAFT 2'!$A:$A,"&lt;="&amp;DATE(2026,7,21))</f>
        <v>0</v>
      </c>
      <c r="FX94">
        <f>COUNTIFS('DRAFT 2'!$D:$D,$B94,'DRAFT 2'!$A:$A,"&gt;="&amp;DATE(2026,7,22),'DRAFT 2'!$A:$A,"&lt;"&amp;DATE(2026,IF(7=12,7+1,7+1),1))</f>
        <v>0</v>
      </c>
      <c r="FY94">
        <f t="shared" si="36"/>
        <v>0</v>
      </c>
      <c r="GI94">
        <f>IFERROR(LOOKUP(2,1/('DRAFT 2'!$D:$D=$B94)*('DRAFT 2'!$A:$A&gt;=DATE(2026,8,1))*('DRAFT 2'!$A:$A&lt;DATE(2026,IF(8=12,8+1,8+1),1)),'DRAFT 2'!$A:$A),"")</f>
        <v>0</v>
      </c>
      <c r="GJ94">
        <f>COUNTIFS('DRAFT 2'!$D:$D,$B94,'DRAFT 2'!$A:$A,"&gt;="&amp;DATE(2026,8,1),'DRAFT 2'!$A:$A,"&lt;="&amp;DATE(2026,8,7))</f>
        <v>0</v>
      </c>
      <c r="GK94">
        <f>COUNTIFS('DRAFT 2'!$D:$D,$B94,'DRAFT 2'!$A:$A,"&gt;="&amp;DATE(2026,8,8),'DRAFT 2'!$A:$A,"&lt;="&amp;DATE(2026,8,14))</f>
        <v>0</v>
      </c>
      <c r="GL94">
        <f>COUNTIFS('DRAFT 2'!$D:$D,$B94,'DRAFT 2'!$A:$A,"&gt;="&amp;DATE(2026,8,15),'DRAFT 2'!$A:$A,"&lt;="&amp;DATE(2026,8,21))</f>
        <v>0</v>
      </c>
      <c r="GM94">
        <f>COUNTIFS('DRAFT 2'!$D:$D,$B94,'DRAFT 2'!$A:$A,"&gt;="&amp;DATE(2026,8,22),'DRAFT 2'!$A:$A,"&lt;"&amp;DATE(2026,IF(8=12,8+1,8+1),1))</f>
        <v>0</v>
      </c>
      <c r="GN94">
        <f t="shared" si="37"/>
        <v>0</v>
      </c>
      <c r="GX94">
        <f>IFERROR(LOOKUP(2,1/('DRAFT 2'!$D:$D=$B94)*('DRAFT 2'!$A:$A&gt;=DATE(2026,9,1))*('DRAFT 2'!$A:$A&lt;DATE(2026,IF(9=12,9+1,9+1),1)),'DRAFT 2'!$A:$A),"")</f>
        <v>0</v>
      </c>
      <c r="GY94">
        <f>COUNTIFS('DRAFT 2'!$D:$D,$B94,'DRAFT 2'!$A:$A,"&gt;="&amp;DATE(2026,9,1),'DRAFT 2'!$A:$A,"&lt;="&amp;DATE(2026,9,7))</f>
        <v>0</v>
      </c>
      <c r="GZ94">
        <f>COUNTIFS('DRAFT 2'!$D:$D,$B94,'DRAFT 2'!$A:$A,"&gt;="&amp;DATE(2026,9,8),'DRAFT 2'!$A:$A,"&lt;="&amp;DATE(2026,9,14))</f>
        <v>0</v>
      </c>
      <c r="HA94">
        <f>COUNTIFS('DRAFT 2'!$D:$D,$B94,'DRAFT 2'!$A:$A,"&gt;="&amp;DATE(2026,9,15),'DRAFT 2'!$A:$A,"&lt;="&amp;DATE(2026,9,21))</f>
        <v>0</v>
      </c>
      <c r="HB94">
        <f>COUNTIFS('DRAFT 2'!$D:$D,$B94,'DRAFT 2'!$A:$A,"&gt;="&amp;DATE(2026,9,22),'DRAFT 2'!$A:$A,"&lt;"&amp;DATE(2026,IF(9=12,9+1,9+1),1))</f>
        <v>0</v>
      </c>
      <c r="HC94">
        <f t="shared" si="38"/>
        <v>0</v>
      </c>
      <c r="HN94">
        <f>IFERROR(LOOKUP(2,1/('DRAFT 2'!$D:$D=$B94)*('DRAFT 2'!$A:$A&gt;=DATE(2026,10,1))*('DRAFT 2'!$A:$A&lt;DATE(2026,IF(10=12,10+1,10+1),1)),'DRAFT 2'!$A:$A),"")</f>
        <v>0</v>
      </c>
      <c r="HO94">
        <f>COUNTIFS('DRAFT 2'!$D:$D,$B94,'DRAFT 2'!$A:$A,"&gt;="&amp;DATE(2026,10,1),'DRAFT 2'!$A:$A,"&lt;="&amp;DATE(2026,10,7))</f>
        <v>0</v>
      </c>
      <c r="HP94">
        <f>COUNTIFS('DRAFT 2'!$D:$D,$B94,'DRAFT 2'!$A:$A,"&gt;="&amp;DATE(2026,10,8),'DRAFT 2'!$A:$A,"&lt;="&amp;DATE(2026,10,14))</f>
        <v>0</v>
      </c>
      <c r="HQ94">
        <f>COUNTIFS('DRAFT 2'!$D:$D,$B94,'DRAFT 2'!$A:$A,"&gt;="&amp;DATE(2026,10,15),'DRAFT 2'!$A:$A,"&lt;="&amp;DATE(2026,10,21))</f>
        <v>0</v>
      </c>
      <c r="HR94">
        <f>COUNTIFS('DRAFT 2'!$D:$D,$B94,'DRAFT 2'!$A:$A,"&gt;="&amp;DATE(2026,10,22),'DRAFT 2'!$A:$A,"&lt;"&amp;DATE(2026,IF(10=12,10+1,10+1),1))</f>
        <v>0</v>
      </c>
      <c r="HS94">
        <f t="shared" si="39"/>
        <v>0</v>
      </c>
      <c r="IC94">
        <f>IFERROR(LOOKUP(2,1/('DRAFT 2'!$D:$D=$B94)*('DRAFT 2'!$A:$A&gt;=DATE(2026,11,1))*('DRAFT 2'!$A:$A&lt;DATE(2026,IF(11=12,11+1,11+1),1)),'DRAFT 2'!$A:$A),"")</f>
        <v>0</v>
      </c>
      <c r="ID94">
        <f>COUNTIFS('DRAFT 2'!$D:$D,$B94,'DRAFT 2'!$A:$A,"&gt;="&amp;DATE(2026,11,1),'DRAFT 2'!$A:$A,"&lt;="&amp;DATE(2026,11,7))</f>
        <v>0</v>
      </c>
      <c r="IE94">
        <f>COUNTIFS('DRAFT 2'!$D:$D,$B94,'DRAFT 2'!$A:$A,"&gt;="&amp;DATE(2026,11,8),'DRAFT 2'!$A:$A,"&lt;="&amp;DATE(2026,11,14))</f>
        <v>0</v>
      </c>
      <c r="IF94">
        <f>COUNTIFS('DRAFT 2'!$D:$D,$B94,'DRAFT 2'!$A:$A,"&gt;="&amp;DATE(2026,11,15),'DRAFT 2'!$A:$A,"&lt;="&amp;DATE(2026,11,21))</f>
        <v>0</v>
      </c>
      <c r="IG94">
        <f>COUNTIFS('DRAFT 2'!$D:$D,$B94,'DRAFT 2'!$A:$A,"&gt;="&amp;DATE(2026,11,22),'DRAFT 2'!$A:$A,"&lt;"&amp;DATE(2026,IF(11=12,11+1,11+1),1))</f>
        <v>0</v>
      </c>
      <c r="IH94">
        <f t="shared" si="40"/>
        <v>0</v>
      </c>
      <c r="IR94">
        <f>IFERROR(LOOKUP(2,1/('DRAFT 2'!$D:$D=$B94)*('DRAFT 2'!$A:$A&gt;=DATE(2026,12,1))*('DRAFT 2'!$A:$A&lt;DATE(2026,IF(12=12,12+1,12+1),1)),'DRAFT 2'!$A:$A),"")</f>
        <v>0</v>
      </c>
      <c r="IS94">
        <f>COUNTIFS('DRAFT 2'!$D:$D,$B94,'DRAFT 2'!$A:$A,"&gt;="&amp;DATE(2026,12,1),'DRAFT 2'!$A:$A,"&lt;="&amp;DATE(2026,12,7))</f>
        <v>0</v>
      </c>
      <c r="IT94">
        <f>COUNTIFS('DRAFT 2'!$D:$D,$B94,'DRAFT 2'!$A:$A,"&gt;="&amp;DATE(2026,12,8),'DRAFT 2'!$A:$A,"&lt;="&amp;DATE(2026,12,14))</f>
        <v>0</v>
      </c>
      <c r="IU94">
        <f>COUNTIFS('DRAFT 2'!$D:$D,$B94,'DRAFT 2'!$A:$A,"&gt;="&amp;DATE(2026,12,15),'DRAFT 2'!$A:$A,"&lt;="&amp;DATE(2026,12,21))</f>
        <v>0</v>
      </c>
      <c r="IV94">
        <f>COUNTIFS('DRAFT 2'!$D:$D,$B94,'DRAFT 2'!$A:$A,"&gt;="&amp;DATE(2026,12,22),'DRAFT 2'!$A:$A,"&lt;"&amp;DATE(2026,IF(12=12,12+1,12+1),1))</f>
        <v>0</v>
      </c>
      <c r="IW94">
        <f t="shared" si="41"/>
        <v>0</v>
      </c>
    </row>
    <row r="95" spans="1:257" x14ac:dyDescent="0.3">
      <c r="A95" t="str">
        <f>IFERROR(INDEX('DRAFT 1'!$A:$A,MATCH($B95,'DRAFT 1'!$B:$B,0)),"")</f>
        <v/>
      </c>
      <c r="C95" t="str">
        <f>IFERROR(INDEX('DRAFT 1'!$C:$C,MATCH($B95,'DRAFT 1'!$B:$B,0)),"")</f>
        <v/>
      </c>
      <c r="D95" t="str">
        <f>IFERROR(INDEX('DRAFT 1'!$D:$D,MATCH($B95,'DRAFT 1'!$B:$B,0)),"")</f>
        <v/>
      </c>
      <c r="E95" t="str">
        <f>IFERROR(INDEX('DRAFT 1'!$E:$E,MATCH($B95,'DRAFT 1'!$B:$B,0)),"")</f>
        <v/>
      </c>
      <c r="F95" t="str">
        <f>IFERROR(INDEX('DRAFT 1'!$F:$F,MATCH($B95,'DRAFT 1'!$B:$B,0)),"")</f>
        <v/>
      </c>
      <c r="G95" t="str">
        <f>IFERROR(INDEX('DRAFT 1'!$G:$G,MATCH($B95,'DRAFT 1'!$B:$B,0)),"")</f>
        <v/>
      </c>
      <c r="H95" t="str">
        <f>IFERROR(INDEX('DRAFT 1'!$H:$H,MATCH($B95,'DRAFT 1'!$B:$B,0)),"")</f>
        <v/>
      </c>
      <c r="I95" t="s">
        <v>297</v>
      </c>
      <c r="K95" t="str">
        <f>IFERROR(INDEX('DRAFT 1'!$AL:$AL,MATCH($B95,'DRAFT 1'!$B:$B,0)),"")</f>
        <v/>
      </c>
      <c r="L95" t="str">
        <f>IFERROR(INDEX('DRAFT 1'!$J:$J,MATCH($B95,'DRAFT 1'!$B:$B,0)),"")</f>
        <v/>
      </c>
      <c r="M95" t="str">
        <f>IFERROR(INDEX('DRAFT 1'!$K:$K,MATCH($B95,'DRAFT 1'!$B:$B,0)),"")</f>
        <v/>
      </c>
      <c r="N95" t="s">
        <v>79</v>
      </c>
      <c r="P95" t="str">
        <f>IFERROR(INDEX('DRAFT 1'!$L:$L,MATCH($B95,'DRAFT 1'!$B:$B,0)),"")</f>
        <v/>
      </c>
      <c r="Q95" t="str">
        <f>IFERROR(INDEX('DRAFT 1'!$M:$M,MATCH($B95,'DRAFT 1'!$B:$B,0)),"")</f>
        <v/>
      </c>
      <c r="R95" t="str">
        <f>IFERROR(INDEX('DRAFT 1'!$N:$N,MATCH($B95,'DRAFT 1'!$B:$B,0)),"")</f>
        <v/>
      </c>
      <c r="S95" t="str">
        <f>IFERROR(INDEX('DRAFT 1'!$O:$O,MATCH($B95,'DRAFT 1'!$B:$B,0)),"")</f>
        <v/>
      </c>
      <c r="T95" t="str">
        <f>IFERROR(INDEX('DRAFT 1'!$P:$P,MATCH($B95,'DRAFT 1'!$B:$B,0)),"")</f>
        <v/>
      </c>
      <c r="U95" t="str">
        <f>IFERROR(INDEX('DRAFT 1'!$Q:$Q,MATCH($B95,'DRAFT 1'!$B:$B,0)),"")</f>
        <v/>
      </c>
      <c r="V95" t="str">
        <f>IFERROR(INDEX('DRAFT 1'!$R:$R,MATCH($B95,'DRAFT 1'!$B:$B,0)),"")</f>
        <v/>
      </c>
      <c r="W95" t="str">
        <f>IFERROR(INDEX('DRAFT 1'!$S:$S,MATCH($B95,'DRAFT 1'!$B:$B,0)),"")</f>
        <v/>
      </c>
      <c r="X95" t="str">
        <f>IFERROR(INDEX('DRAFT 1'!$T:$T,MATCH($B95,'DRAFT 1'!$B:$B,0)),"")</f>
        <v/>
      </c>
      <c r="Z95" t="str">
        <f>IFERROR(INDEX('DRAFT 1'!$U:$U,MATCH($B95,'DRAFT 1'!$B:$B,0)),"")</f>
        <v/>
      </c>
      <c r="AA95" t="str">
        <f>IFERROR(INDEX('DRAFT 1'!$V:$V,MATCH($B95,'DRAFT 1'!$B:$B,0)),"")</f>
        <v/>
      </c>
      <c r="AB95" t="str">
        <f>IFERROR(INDEX('DRAFT 1'!$W:$W,MATCH($B95,'DRAFT 1'!$B:$B,0)),"")</f>
        <v/>
      </c>
      <c r="AC95" t="str">
        <f>IFERROR(INDEX('DRAFT 1'!$X:$X,MATCH($B95,'DRAFT 1'!$B:$B,0)),"")</f>
        <v/>
      </c>
      <c r="AD95" t="str">
        <f>IFERROR(INDEX('DRAFT 1'!$Y:$Y,MATCH($B95,'DRAFT 1'!$B:$B,0)),"")</f>
        <v/>
      </c>
      <c r="AE95" t="str">
        <f>IFERROR(INDEX('DRAFT 1'!$Z:$Z,MATCH($B95,'DRAFT 1'!$B:$B,0)),"")</f>
        <v/>
      </c>
      <c r="AF95" t="str">
        <f>IFERROR(INDEX('DRAFT 1'!$AA:$AA,MATCH($B95,'DRAFT 1'!$B:$B,0)),"")</f>
        <v/>
      </c>
      <c r="AG95" t="str">
        <f>IFERROR(INDEX('DRAFT 1'!$AB:$AB,MATCH($B95,'DRAFT 1'!$B:$B,0)),"")</f>
        <v/>
      </c>
      <c r="AH95" t="str">
        <f>IFERROR(INDEX('DRAFT 1'!$AC:$AC,MATCH($B95,'DRAFT 1'!$B:$B,0)),"")</f>
        <v/>
      </c>
      <c r="AI95" t="str">
        <f>IFERROR(INDEX('DRAFT 1'!$AD:$AD,MATCH($B95,'DRAFT 1'!$B:$B,0)),"")</f>
        <v/>
      </c>
      <c r="AJ95" t="str">
        <f>IFERROR(INDEX('DRAFT 1'!$AE:$AE,MATCH($B95,'DRAFT 1'!$B:$B,0)),"")</f>
        <v/>
      </c>
      <c r="AK95" t="str">
        <f>IFERROR(INDEX('DRAFT 1'!$AG:$AG,MATCH($B95,'DRAFT 1'!$B:$B,0)),"")</f>
        <v/>
      </c>
      <c r="AL95" t="str">
        <f>IFERROR(INDEX('DRAFT 1'!$AH:$AH,MATCH($B95,'DRAFT 1'!$B:$B,0)),"")</f>
        <v/>
      </c>
      <c r="AM95" t="str">
        <f>IFERROR(INDEX('DRAFT 1'!$AI:$AI,MATCH($B95,'DRAFT 1'!$B:$B,0)),"")</f>
        <v/>
      </c>
      <c r="AN95" t="str">
        <f>IFERROR(INDEX('DRAFT 1'!$AJ:$AJ,MATCH($B95,'DRAFT 1'!$B:$B,0)),"")</f>
        <v/>
      </c>
      <c r="AO95">
        <f t="shared" si="28"/>
        <v>0</v>
      </c>
      <c r="AP95" t="str">
        <f>IFERROR(INDEX('DRAFT 1'!$AK:$AK,MATCH($B95,'DRAFT 1'!$B:$B,0)),"")</f>
        <v/>
      </c>
      <c r="AR95" t="s">
        <v>94</v>
      </c>
      <c r="AS95">
        <f>IFERROR(LOOKUP(2,1/('DRAFT 2'!$D:$D=$B95),'DRAFT 2'!$T:$T),"")</f>
        <v>0</v>
      </c>
      <c r="AT95">
        <f>IFERROR(LOOKUP(2,1/('DRAFT 2'!$D:$D=$B95),'DRAFT 2'!$A:$A),"")</f>
        <v>0</v>
      </c>
      <c r="AU95">
        <f>IFERROR(LOOKUP(2,1/('DRAFT 2'!$D:$D=$B95),'DRAFT 2'!$R:$R),"")</f>
        <v>0</v>
      </c>
      <c r="AV95">
        <f>IFERROR(LOOKUP(2,1/('DRAFT 2'!$D:$D=$B95),'DRAFT 2'!$S:$S),"")</f>
        <v>0</v>
      </c>
      <c r="AW95" t="s">
        <v>88</v>
      </c>
      <c r="AX95">
        <f>IFERROR(LOOKUP(2,1/('DRAFT 2'!$D:$D=$B95),'DRAFT 2'!$M:$M),"")</f>
        <v>0</v>
      </c>
      <c r="AY95">
        <f>IFERROR(LOOKUP(2,1/('DRAFT 2'!$D:$D=$B95),'DRAFT 2'!$K:$K),"")</f>
        <v>0</v>
      </c>
      <c r="BG95">
        <f>IFERROR(LOOKUP(2,1/('DRAFT 2'!$D:$D=$B95),'DRAFT 2'!$U:$U),"")</f>
        <v>0</v>
      </c>
      <c r="BH95">
        <f>IFERROR(LOOKUP(2,1/('DRAFT 2'!$D:$D=$B95),'DRAFT 2'!$V:$V),"")</f>
        <v>0</v>
      </c>
      <c r="CE95" t="str">
        <f t="shared" si="29"/>
        <v/>
      </c>
      <c r="CF95">
        <f>IFERROR(LOOKUP(2,1/('DRAFT 2'!$D:$D=$B95)*('DRAFT 2'!$A:$A&gt;=DATE(2026,1,1))*('DRAFT 2'!$A:$A&lt;DATE(2026,IF(1=12,1+1,1+1),1)),'DRAFT 2'!$A:$A),"")</f>
        <v>0</v>
      </c>
      <c r="CG95">
        <f>COUNTIFS('DRAFT 2'!$D:$D,$B95,'DRAFT 2'!$A:$A,"&gt;="&amp;DATE(2026,1,1),'DRAFT 2'!$A:$A,"&lt;="&amp;DATE(2026,1,7))</f>
        <v>0</v>
      </c>
      <c r="CH95">
        <f>COUNTIFS('DRAFT 2'!$D:$D,$B95,'DRAFT 2'!$A:$A,"&gt;="&amp;DATE(2026,1,8),'DRAFT 2'!$A:$A,"&lt;="&amp;DATE(2026,1,14))</f>
        <v>0</v>
      </c>
      <c r="CI95">
        <f>COUNTIFS('DRAFT 2'!$D:$D,$B95,'DRAFT 2'!$A:$A,"&gt;="&amp;DATE(2026,1,15),'DRAFT 2'!$A:$A,"&lt;="&amp;DATE(2026,1,21))</f>
        <v>0</v>
      </c>
      <c r="CJ95">
        <f>COUNTIFS('DRAFT 2'!$D:$D,$B95,'DRAFT 2'!$A:$A,"&gt;="&amp;DATE(2026,1,22),'DRAFT 2'!$A:$A,"&lt;"&amp;DATE(2026,IF(1=12,1+1,1+1),1))</f>
        <v>0</v>
      </c>
      <c r="CK95">
        <f t="shared" si="30"/>
        <v>0</v>
      </c>
      <c r="CT95">
        <v>0</v>
      </c>
      <c r="CU95">
        <f>IFERROR(LOOKUP(2,1/('DRAFT 2'!$D:$D=$B95)*('DRAFT 2'!$A:$A&gt;=DATE(2026,2,1))*('DRAFT 2'!$A:$A&lt;DATE(2026,IF(2=12,2+1,2+1),1)),'DRAFT 2'!$A:$A),"")</f>
        <v>0</v>
      </c>
      <c r="CV95">
        <f>COUNTIFS('DRAFT 2'!$D:$D,$B95,'DRAFT 2'!$A:$A,"&gt;="&amp;DATE(2026,2,1),'DRAFT 2'!$A:$A,"&lt;="&amp;DATE(2026,2,7))</f>
        <v>0</v>
      </c>
      <c r="CW95">
        <f>COUNTIFS('DRAFT 2'!$D:$D,$B95,'DRAFT 2'!$A:$A,"&gt;="&amp;DATE(2026,2,8),'DRAFT 2'!$A:$A,"&lt;="&amp;DATE(2026,2,14))</f>
        <v>0</v>
      </c>
      <c r="CX95">
        <f>COUNTIFS('DRAFT 2'!$D:$D,$B95,'DRAFT 2'!$A:$A,"&gt;="&amp;DATE(2026,2,15),'DRAFT 2'!$A:$A,"&lt;="&amp;DATE(2026,2,21))</f>
        <v>0</v>
      </c>
      <c r="CY95">
        <f>COUNTIFS('DRAFT 2'!$D:$D,$B95,'DRAFT 2'!$A:$A,"&gt;="&amp;DATE(2026,2,22),'DRAFT 2'!$A:$A,"&lt;"&amp;DATE(2026,IF(2=12,2+1,2+1),1))</f>
        <v>0</v>
      </c>
      <c r="CZ95">
        <f t="shared" si="31"/>
        <v>0</v>
      </c>
      <c r="DJ95">
        <f>IFERROR(LOOKUP(2,1/('DRAFT 2'!$D:$D=$B95)*('DRAFT 2'!$A:$A&gt;=DATE(2026,3,1))*('DRAFT 2'!$A:$A&lt;DATE(2026,IF(3=12,3+1,3+1),1)),'DRAFT 2'!$A:$A),"")</f>
        <v>0</v>
      </c>
      <c r="DK95">
        <f>COUNTIFS('DRAFT 2'!$D:$D,$B95,'DRAFT 2'!$A:$A,"&gt;="&amp;DATE(2026,3,1),'DRAFT 2'!$A:$A,"&lt;="&amp;DATE(2026,3,7))</f>
        <v>0</v>
      </c>
      <c r="DL95">
        <f>COUNTIFS('DRAFT 2'!$D:$D,$B95,'DRAFT 2'!$A:$A,"&gt;="&amp;DATE(2026,3,8),'DRAFT 2'!$A:$A,"&lt;="&amp;DATE(2026,3,14))</f>
        <v>0</v>
      </c>
      <c r="DM95">
        <f>COUNTIFS('DRAFT 2'!$D:$D,$B95,'DRAFT 2'!$A:$A,"&gt;="&amp;DATE(2026,3,15),'DRAFT 2'!$A:$A,"&lt;="&amp;DATE(2026,3,21))</f>
        <v>0</v>
      </c>
      <c r="DN95">
        <f>COUNTIFS('DRAFT 2'!$D:$D,$B95,'DRAFT 2'!$A:$A,"&gt;="&amp;DATE(2026,3,22),'DRAFT 2'!$A:$A,"&lt;"&amp;DATE(2026,IF(3=12,3+1,3+1),1))</f>
        <v>0</v>
      </c>
      <c r="DO95">
        <f t="shared" si="32"/>
        <v>0</v>
      </c>
      <c r="DZ95">
        <f>IFERROR(LOOKUP(2,1/('DRAFT 2'!$D:$D=$B95)*('DRAFT 2'!$A:$A&gt;=DATE(2026,4,1))*('DRAFT 2'!$A:$A&lt;DATE(2026,IF(4=12,4+1,4+1),1)),'DRAFT 2'!$A:$A),"")</f>
        <v>0</v>
      </c>
      <c r="EA95">
        <f>COUNTIFS('DRAFT 2'!$D:$D,$B95,'DRAFT 2'!$A:$A,"&gt;="&amp;DATE(2026,4,1),'DRAFT 2'!$A:$A,"&lt;="&amp;DATE(2026,4,7))</f>
        <v>0</v>
      </c>
      <c r="EB95">
        <f>COUNTIFS('DRAFT 2'!$D:$D,$B95,'DRAFT 2'!$A:$A,"&gt;="&amp;DATE(2026,4,8),'DRAFT 2'!$A:$A,"&lt;="&amp;DATE(2026,4,14))</f>
        <v>0</v>
      </c>
      <c r="EC95">
        <f>COUNTIFS('DRAFT 2'!$D:$D,$B95,'DRAFT 2'!$A:$A,"&gt;="&amp;DATE(2026,4,15),'DRAFT 2'!$A:$A,"&lt;="&amp;DATE(2026,4,21))</f>
        <v>0</v>
      </c>
      <c r="ED95">
        <f>COUNTIFS('DRAFT 2'!$D:$D,$B95,'DRAFT 2'!$A:$A,"&gt;="&amp;DATE(2026,4,22),'DRAFT 2'!$A:$A,"&lt;"&amp;DATE(2026,IF(4=12,4+1,4+1),1))</f>
        <v>0</v>
      </c>
      <c r="EE95">
        <f t="shared" si="33"/>
        <v>0</v>
      </c>
      <c r="EO95">
        <f>IFERROR(LOOKUP(2,1/('DRAFT 2'!$D:$D=$B95)*('DRAFT 2'!$A:$A&gt;=DATE(2026,5,1))*('DRAFT 2'!$A:$A&lt;DATE(2026,IF(5=12,5+1,5+1),1)),'DRAFT 2'!$A:$A),"")</f>
        <v>0</v>
      </c>
      <c r="EP95">
        <f>COUNTIFS('DRAFT 2'!$D:$D,$B95,'DRAFT 2'!$A:$A,"&gt;="&amp;DATE(2026,5,1),'DRAFT 2'!$A:$A,"&lt;="&amp;DATE(2026,5,7))</f>
        <v>0</v>
      </c>
      <c r="EQ95">
        <f>COUNTIFS('DRAFT 2'!$D:$D,$B95,'DRAFT 2'!$A:$A,"&gt;="&amp;DATE(2026,5,8),'DRAFT 2'!$A:$A,"&lt;="&amp;DATE(2026,5,14))</f>
        <v>0</v>
      </c>
      <c r="ER95">
        <f>COUNTIFS('DRAFT 2'!$D:$D,$B95,'DRAFT 2'!$A:$A,"&gt;="&amp;DATE(2026,5,15),'DRAFT 2'!$A:$A,"&lt;="&amp;DATE(2026,5,21))</f>
        <v>0</v>
      </c>
      <c r="ES95">
        <f>COUNTIFS('DRAFT 2'!$D:$D,$B95,'DRAFT 2'!$A:$A,"&gt;="&amp;DATE(2026,5,22),'DRAFT 2'!$A:$A,"&lt;"&amp;DATE(2026,IF(5=12,5+1,5+1),1))</f>
        <v>0</v>
      </c>
      <c r="ET95">
        <f t="shared" si="34"/>
        <v>0</v>
      </c>
      <c r="FD95">
        <f>IFERROR(LOOKUP(2,1/('DRAFT 2'!$D:$D=$B95)*('DRAFT 2'!$A:$A&gt;=DATE(2026,6,1))*('DRAFT 2'!$A:$A&lt;DATE(2026,IF(6=12,6+1,6+1),1)),'DRAFT 2'!$A:$A),"")</f>
        <v>0</v>
      </c>
      <c r="FE95">
        <f>COUNTIFS('DRAFT 2'!$D:$D,$B95,'DRAFT 2'!$A:$A,"&gt;="&amp;DATE(2026,6,1),'DRAFT 2'!$A:$A,"&lt;="&amp;DATE(2026,6,7))</f>
        <v>0</v>
      </c>
      <c r="FF95">
        <f>COUNTIFS('DRAFT 2'!$D:$D,$B95,'DRAFT 2'!$A:$A,"&gt;="&amp;DATE(2026,6,8),'DRAFT 2'!$A:$A,"&lt;="&amp;DATE(2026,6,14))</f>
        <v>0</v>
      </c>
      <c r="FG95">
        <f>COUNTIFS('DRAFT 2'!$D:$D,$B95,'DRAFT 2'!$A:$A,"&gt;="&amp;DATE(2026,6,15),'DRAFT 2'!$A:$A,"&lt;="&amp;DATE(2026,6,21))</f>
        <v>0</v>
      </c>
      <c r="FH95">
        <f>COUNTIFS('DRAFT 2'!$D:$D,$B95,'DRAFT 2'!$A:$A,"&gt;="&amp;DATE(2026,6,22),'DRAFT 2'!$A:$A,"&lt;"&amp;DATE(2026,IF(6=12,6+1,6+1),1))</f>
        <v>0</v>
      </c>
      <c r="FI95">
        <f t="shared" si="35"/>
        <v>0</v>
      </c>
      <c r="FT95">
        <f>IFERROR(LOOKUP(2,1/('DRAFT 2'!$D:$D=$B95)*('DRAFT 2'!$A:$A&gt;=DATE(2026,7,1))*('DRAFT 2'!$A:$A&lt;DATE(2026,IF(7=12,7+1,7+1),1)),'DRAFT 2'!$A:$A),"")</f>
        <v>0</v>
      </c>
      <c r="FU95">
        <f>COUNTIFS('DRAFT 2'!$D:$D,$B95,'DRAFT 2'!$A:$A,"&gt;="&amp;DATE(2026,7,1),'DRAFT 2'!$A:$A,"&lt;="&amp;DATE(2026,7,7))</f>
        <v>0</v>
      </c>
      <c r="FV95">
        <f>COUNTIFS('DRAFT 2'!$D:$D,$B95,'DRAFT 2'!$A:$A,"&gt;="&amp;DATE(2026,7,8),'DRAFT 2'!$A:$A,"&lt;="&amp;DATE(2026,7,14))</f>
        <v>0</v>
      </c>
      <c r="FW95">
        <f>COUNTIFS('DRAFT 2'!$D:$D,$B95,'DRAFT 2'!$A:$A,"&gt;="&amp;DATE(2026,7,15),'DRAFT 2'!$A:$A,"&lt;="&amp;DATE(2026,7,21))</f>
        <v>0</v>
      </c>
      <c r="FX95">
        <f>COUNTIFS('DRAFT 2'!$D:$D,$B95,'DRAFT 2'!$A:$A,"&gt;="&amp;DATE(2026,7,22),'DRAFT 2'!$A:$A,"&lt;"&amp;DATE(2026,IF(7=12,7+1,7+1),1))</f>
        <v>0</v>
      </c>
      <c r="FY95">
        <f t="shared" si="36"/>
        <v>0</v>
      </c>
      <c r="GI95">
        <f>IFERROR(LOOKUP(2,1/('DRAFT 2'!$D:$D=$B95)*('DRAFT 2'!$A:$A&gt;=DATE(2026,8,1))*('DRAFT 2'!$A:$A&lt;DATE(2026,IF(8=12,8+1,8+1),1)),'DRAFT 2'!$A:$A),"")</f>
        <v>0</v>
      </c>
      <c r="GJ95">
        <f>COUNTIFS('DRAFT 2'!$D:$D,$B95,'DRAFT 2'!$A:$A,"&gt;="&amp;DATE(2026,8,1),'DRAFT 2'!$A:$A,"&lt;="&amp;DATE(2026,8,7))</f>
        <v>0</v>
      </c>
      <c r="GK95">
        <f>COUNTIFS('DRAFT 2'!$D:$D,$B95,'DRAFT 2'!$A:$A,"&gt;="&amp;DATE(2026,8,8),'DRAFT 2'!$A:$A,"&lt;="&amp;DATE(2026,8,14))</f>
        <v>0</v>
      </c>
      <c r="GL95">
        <f>COUNTIFS('DRAFT 2'!$D:$D,$B95,'DRAFT 2'!$A:$A,"&gt;="&amp;DATE(2026,8,15),'DRAFT 2'!$A:$A,"&lt;="&amp;DATE(2026,8,21))</f>
        <v>0</v>
      </c>
      <c r="GM95">
        <f>COUNTIFS('DRAFT 2'!$D:$D,$B95,'DRAFT 2'!$A:$A,"&gt;="&amp;DATE(2026,8,22),'DRAFT 2'!$A:$A,"&lt;"&amp;DATE(2026,IF(8=12,8+1,8+1),1))</f>
        <v>0</v>
      </c>
      <c r="GN95">
        <f t="shared" si="37"/>
        <v>0</v>
      </c>
      <c r="GX95">
        <f>IFERROR(LOOKUP(2,1/('DRAFT 2'!$D:$D=$B95)*('DRAFT 2'!$A:$A&gt;=DATE(2026,9,1))*('DRAFT 2'!$A:$A&lt;DATE(2026,IF(9=12,9+1,9+1),1)),'DRAFT 2'!$A:$A),"")</f>
        <v>0</v>
      </c>
      <c r="GY95">
        <f>COUNTIFS('DRAFT 2'!$D:$D,$B95,'DRAFT 2'!$A:$A,"&gt;="&amp;DATE(2026,9,1),'DRAFT 2'!$A:$A,"&lt;="&amp;DATE(2026,9,7))</f>
        <v>0</v>
      </c>
      <c r="GZ95">
        <f>COUNTIFS('DRAFT 2'!$D:$D,$B95,'DRAFT 2'!$A:$A,"&gt;="&amp;DATE(2026,9,8),'DRAFT 2'!$A:$A,"&lt;="&amp;DATE(2026,9,14))</f>
        <v>0</v>
      </c>
      <c r="HA95">
        <f>COUNTIFS('DRAFT 2'!$D:$D,$B95,'DRAFT 2'!$A:$A,"&gt;="&amp;DATE(2026,9,15),'DRAFT 2'!$A:$A,"&lt;="&amp;DATE(2026,9,21))</f>
        <v>0</v>
      </c>
      <c r="HB95">
        <f>COUNTIFS('DRAFT 2'!$D:$D,$B95,'DRAFT 2'!$A:$A,"&gt;="&amp;DATE(2026,9,22),'DRAFT 2'!$A:$A,"&lt;"&amp;DATE(2026,IF(9=12,9+1,9+1),1))</f>
        <v>0</v>
      </c>
      <c r="HC95">
        <f t="shared" si="38"/>
        <v>0</v>
      </c>
      <c r="HN95">
        <f>IFERROR(LOOKUP(2,1/('DRAFT 2'!$D:$D=$B95)*('DRAFT 2'!$A:$A&gt;=DATE(2026,10,1))*('DRAFT 2'!$A:$A&lt;DATE(2026,IF(10=12,10+1,10+1),1)),'DRAFT 2'!$A:$A),"")</f>
        <v>0</v>
      </c>
      <c r="HO95">
        <f>COUNTIFS('DRAFT 2'!$D:$D,$B95,'DRAFT 2'!$A:$A,"&gt;="&amp;DATE(2026,10,1),'DRAFT 2'!$A:$A,"&lt;="&amp;DATE(2026,10,7))</f>
        <v>0</v>
      </c>
      <c r="HP95">
        <f>COUNTIFS('DRAFT 2'!$D:$D,$B95,'DRAFT 2'!$A:$A,"&gt;="&amp;DATE(2026,10,8),'DRAFT 2'!$A:$A,"&lt;="&amp;DATE(2026,10,14))</f>
        <v>0</v>
      </c>
      <c r="HQ95">
        <f>COUNTIFS('DRAFT 2'!$D:$D,$B95,'DRAFT 2'!$A:$A,"&gt;="&amp;DATE(2026,10,15),'DRAFT 2'!$A:$A,"&lt;="&amp;DATE(2026,10,21))</f>
        <v>0</v>
      </c>
      <c r="HR95">
        <f>COUNTIFS('DRAFT 2'!$D:$D,$B95,'DRAFT 2'!$A:$A,"&gt;="&amp;DATE(2026,10,22),'DRAFT 2'!$A:$A,"&lt;"&amp;DATE(2026,IF(10=12,10+1,10+1),1))</f>
        <v>0</v>
      </c>
      <c r="HS95">
        <f t="shared" si="39"/>
        <v>0</v>
      </c>
      <c r="IC95">
        <f>IFERROR(LOOKUP(2,1/('DRAFT 2'!$D:$D=$B95)*('DRAFT 2'!$A:$A&gt;=DATE(2026,11,1))*('DRAFT 2'!$A:$A&lt;DATE(2026,IF(11=12,11+1,11+1),1)),'DRAFT 2'!$A:$A),"")</f>
        <v>0</v>
      </c>
      <c r="ID95">
        <f>COUNTIFS('DRAFT 2'!$D:$D,$B95,'DRAFT 2'!$A:$A,"&gt;="&amp;DATE(2026,11,1),'DRAFT 2'!$A:$A,"&lt;="&amp;DATE(2026,11,7))</f>
        <v>0</v>
      </c>
      <c r="IE95">
        <f>COUNTIFS('DRAFT 2'!$D:$D,$B95,'DRAFT 2'!$A:$A,"&gt;="&amp;DATE(2026,11,8),'DRAFT 2'!$A:$A,"&lt;="&amp;DATE(2026,11,14))</f>
        <v>0</v>
      </c>
      <c r="IF95">
        <f>COUNTIFS('DRAFT 2'!$D:$D,$B95,'DRAFT 2'!$A:$A,"&gt;="&amp;DATE(2026,11,15),'DRAFT 2'!$A:$A,"&lt;="&amp;DATE(2026,11,21))</f>
        <v>0</v>
      </c>
      <c r="IG95">
        <f>COUNTIFS('DRAFT 2'!$D:$D,$B95,'DRAFT 2'!$A:$A,"&gt;="&amp;DATE(2026,11,22),'DRAFT 2'!$A:$A,"&lt;"&amp;DATE(2026,IF(11=12,11+1,11+1),1))</f>
        <v>0</v>
      </c>
      <c r="IH95">
        <f t="shared" si="40"/>
        <v>0</v>
      </c>
      <c r="IR95">
        <f>IFERROR(LOOKUP(2,1/('DRAFT 2'!$D:$D=$B95)*('DRAFT 2'!$A:$A&gt;=DATE(2026,12,1))*('DRAFT 2'!$A:$A&lt;DATE(2026,IF(12=12,12+1,12+1),1)),'DRAFT 2'!$A:$A),"")</f>
        <v>0</v>
      </c>
      <c r="IS95">
        <f>COUNTIFS('DRAFT 2'!$D:$D,$B95,'DRAFT 2'!$A:$A,"&gt;="&amp;DATE(2026,12,1),'DRAFT 2'!$A:$A,"&lt;="&amp;DATE(2026,12,7))</f>
        <v>0</v>
      </c>
      <c r="IT95">
        <f>COUNTIFS('DRAFT 2'!$D:$D,$B95,'DRAFT 2'!$A:$A,"&gt;="&amp;DATE(2026,12,8),'DRAFT 2'!$A:$A,"&lt;="&amp;DATE(2026,12,14))</f>
        <v>0</v>
      </c>
      <c r="IU95">
        <f>COUNTIFS('DRAFT 2'!$D:$D,$B95,'DRAFT 2'!$A:$A,"&gt;="&amp;DATE(2026,12,15),'DRAFT 2'!$A:$A,"&lt;="&amp;DATE(2026,12,21))</f>
        <v>0</v>
      </c>
      <c r="IV95">
        <f>COUNTIFS('DRAFT 2'!$D:$D,$B95,'DRAFT 2'!$A:$A,"&gt;="&amp;DATE(2026,12,22),'DRAFT 2'!$A:$A,"&lt;"&amp;DATE(2026,IF(12=12,12+1,12+1),1))</f>
        <v>0</v>
      </c>
      <c r="IW95">
        <f t="shared" si="41"/>
        <v>0</v>
      </c>
    </row>
    <row r="96" spans="1:257" x14ac:dyDescent="0.3">
      <c r="A96" t="str">
        <f>IFERROR(INDEX('DRAFT 1'!$A:$A,MATCH($B96,'DRAFT 1'!$B:$B,0)),"")</f>
        <v/>
      </c>
      <c r="C96" t="str">
        <f>IFERROR(INDEX('DRAFT 1'!$C:$C,MATCH($B96,'DRAFT 1'!$B:$B,0)),"")</f>
        <v/>
      </c>
      <c r="D96" t="str">
        <f>IFERROR(INDEX('DRAFT 1'!$D:$D,MATCH($B96,'DRAFT 1'!$B:$B,0)),"")</f>
        <v/>
      </c>
      <c r="E96" t="str">
        <f>IFERROR(INDEX('DRAFT 1'!$E:$E,MATCH($B96,'DRAFT 1'!$B:$B,0)),"")</f>
        <v/>
      </c>
      <c r="F96" t="str">
        <f>IFERROR(INDEX('DRAFT 1'!$F:$F,MATCH($B96,'DRAFT 1'!$B:$B,0)),"")</f>
        <v/>
      </c>
      <c r="G96" t="str">
        <f>IFERROR(INDEX('DRAFT 1'!$G:$G,MATCH($B96,'DRAFT 1'!$B:$B,0)),"")</f>
        <v/>
      </c>
      <c r="H96" t="str">
        <f>IFERROR(INDEX('DRAFT 1'!$H:$H,MATCH($B96,'DRAFT 1'!$B:$B,0)),"")</f>
        <v/>
      </c>
      <c r="I96" t="s">
        <v>283</v>
      </c>
      <c r="K96" t="str">
        <f>IFERROR(INDEX('DRAFT 1'!$AL:$AL,MATCH($B96,'DRAFT 1'!$B:$B,0)),"")</f>
        <v/>
      </c>
      <c r="L96" t="str">
        <f>IFERROR(INDEX('DRAFT 1'!$J:$J,MATCH($B96,'DRAFT 1'!$B:$B,0)),"")</f>
        <v/>
      </c>
      <c r="M96" t="str">
        <f>IFERROR(INDEX('DRAFT 1'!$K:$K,MATCH($B96,'DRAFT 1'!$B:$B,0)),"")</f>
        <v/>
      </c>
      <c r="N96" t="s">
        <v>74</v>
      </c>
      <c r="P96" t="str">
        <f>IFERROR(INDEX('DRAFT 1'!$L:$L,MATCH($B96,'DRAFT 1'!$B:$B,0)),"")</f>
        <v/>
      </c>
      <c r="Q96" t="str">
        <f>IFERROR(INDEX('DRAFT 1'!$M:$M,MATCH($B96,'DRAFT 1'!$B:$B,0)),"")</f>
        <v/>
      </c>
      <c r="R96" t="str">
        <f>IFERROR(INDEX('DRAFT 1'!$N:$N,MATCH($B96,'DRAFT 1'!$B:$B,0)),"")</f>
        <v/>
      </c>
      <c r="S96" t="str">
        <f>IFERROR(INDEX('DRAFT 1'!$O:$O,MATCH($B96,'DRAFT 1'!$B:$B,0)),"")</f>
        <v/>
      </c>
      <c r="T96" t="str">
        <f>IFERROR(INDEX('DRAFT 1'!$P:$P,MATCH($B96,'DRAFT 1'!$B:$B,0)),"")</f>
        <v/>
      </c>
      <c r="U96" t="str">
        <f>IFERROR(INDEX('DRAFT 1'!$Q:$Q,MATCH($B96,'DRAFT 1'!$B:$B,0)),"")</f>
        <v/>
      </c>
      <c r="V96" t="str">
        <f>IFERROR(INDEX('DRAFT 1'!$R:$R,MATCH($B96,'DRAFT 1'!$B:$B,0)),"")</f>
        <v/>
      </c>
      <c r="W96" t="str">
        <f>IFERROR(INDEX('DRAFT 1'!$S:$S,MATCH($B96,'DRAFT 1'!$B:$B,0)),"")</f>
        <v/>
      </c>
      <c r="X96" t="str">
        <f>IFERROR(INDEX('DRAFT 1'!$T:$T,MATCH($B96,'DRAFT 1'!$B:$B,0)),"")</f>
        <v/>
      </c>
      <c r="Z96" t="str">
        <f>IFERROR(INDEX('DRAFT 1'!$U:$U,MATCH($B96,'DRAFT 1'!$B:$B,0)),"")</f>
        <v/>
      </c>
      <c r="AA96" t="str">
        <f>IFERROR(INDEX('DRAFT 1'!$V:$V,MATCH($B96,'DRAFT 1'!$B:$B,0)),"")</f>
        <v/>
      </c>
      <c r="AB96" t="str">
        <f>IFERROR(INDEX('DRAFT 1'!$W:$W,MATCH($B96,'DRAFT 1'!$B:$B,0)),"")</f>
        <v/>
      </c>
      <c r="AC96" t="str">
        <f>IFERROR(INDEX('DRAFT 1'!$X:$X,MATCH($B96,'DRAFT 1'!$B:$B,0)),"")</f>
        <v/>
      </c>
      <c r="AD96" t="str">
        <f>IFERROR(INDEX('DRAFT 1'!$Y:$Y,MATCH($B96,'DRAFT 1'!$B:$B,0)),"")</f>
        <v/>
      </c>
      <c r="AE96" t="str">
        <f>IFERROR(INDEX('DRAFT 1'!$Z:$Z,MATCH($B96,'DRAFT 1'!$B:$B,0)),"")</f>
        <v/>
      </c>
      <c r="AF96" t="str">
        <f>IFERROR(INDEX('DRAFT 1'!$AA:$AA,MATCH($B96,'DRAFT 1'!$B:$B,0)),"")</f>
        <v/>
      </c>
      <c r="AG96" t="str">
        <f>IFERROR(INDEX('DRAFT 1'!$AB:$AB,MATCH($B96,'DRAFT 1'!$B:$B,0)),"")</f>
        <v/>
      </c>
      <c r="AH96" t="str">
        <f>IFERROR(INDEX('DRAFT 1'!$AC:$AC,MATCH($B96,'DRAFT 1'!$B:$B,0)),"")</f>
        <v/>
      </c>
      <c r="AI96" t="str">
        <f>IFERROR(INDEX('DRAFT 1'!$AD:$AD,MATCH($B96,'DRAFT 1'!$B:$B,0)),"")</f>
        <v/>
      </c>
      <c r="AJ96" t="str">
        <f>IFERROR(INDEX('DRAFT 1'!$AE:$AE,MATCH($B96,'DRAFT 1'!$B:$B,0)),"")</f>
        <v/>
      </c>
      <c r="AK96" t="str">
        <f>IFERROR(INDEX('DRAFT 1'!$AG:$AG,MATCH($B96,'DRAFT 1'!$B:$B,0)),"")</f>
        <v/>
      </c>
      <c r="AL96" t="str">
        <f>IFERROR(INDEX('DRAFT 1'!$AH:$AH,MATCH($B96,'DRAFT 1'!$B:$B,0)),"")</f>
        <v/>
      </c>
      <c r="AM96" t="str">
        <f>IFERROR(INDEX('DRAFT 1'!$AI:$AI,MATCH($B96,'DRAFT 1'!$B:$B,0)),"")</f>
        <v/>
      </c>
      <c r="AN96" t="str">
        <f>IFERROR(INDEX('DRAFT 1'!$AJ:$AJ,MATCH($B96,'DRAFT 1'!$B:$B,0)),"")</f>
        <v/>
      </c>
      <c r="AO96">
        <f t="shared" si="28"/>
        <v>0</v>
      </c>
      <c r="AP96" t="str">
        <f>IFERROR(INDEX('DRAFT 1'!$AK:$AK,MATCH($B96,'DRAFT 1'!$B:$B,0)),"")</f>
        <v/>
      </c>
      <c r="AR96" t="s">
        <v>94</v>
      </c>
      <c r="AS96">
        <f>IFERROR(LOOKUP(2,1/('DRAFT 2'!$D:$D=$B96),'DRAFT 2'!$T:$T),"")</f>
        <v>0</v>
      </c>
      <c r="AT96">
        <f>IFERROR(LOOKUP(2,1/('DRAFT 2'!$D:$D=$B96),'DRAFT 2'!$A:$A),"")</f>
        <v>0</v>
      </c>
      <c r="AU96">
        <f>IFERROR(LOOKUP(2,1/('DRAFT 2'!$D:$D=$B96),'DRAFT 2'!$R:$R),"")</f>
        <v>0</v>
      </c>
      <c r="AV96">
        <f>IFERROR(LOOKUP(2,1/('DRAFT 2'!$D:$D=$B96),'DRAFT 2'!$S:$S),"")</f>
        <v>0</v>
      </c>
      <c r="AW96" t="s">
        <v>85</v>
      </c>
      <c r="AX96">
        <f>IFERROR(LOOKUP(2,1/('DRAFT 2'!$D:$D=$B96),'DRAFT 2'!$M:$M),"")</f>
        <v>0</v>
      </c>
      <c r="AY96">
        <f>IFERROR(LOOKUP(2,1/('DRAFT 2'!$D:$D=$B96),'DRAFT 2'!$K:$K),"")</f>
        <v>0</v>
      </c>
      <c r="BG96">
        <f>IFERROR(LOOKUP(2,1/('DRAFT 2'!$D:$D=$B96),'DRAFT 2'!$U:$U),"")</f>
        <v>0</v>
      </c>
      <c r="BH96">
        <f>IFERROR(LOOKUP(2,1/('DRAFT 2'!$D:$D=$B96),'DRAFT 2'!$V:$V),"")</f>
        <v>0</v>
      </c>
      <c r="CE96" t="str">
        <f t="shared" si="29"/>
        <v/>
      </c>
      <c r="CF96">
        <f>IFERROR(LOOKUP(2,1/('DRAFT 2'!$D:$D=$B96)*('DRAFT 2'!$A:$A&gt;=DATE(2026,1,1))*('DRAFT 2'!$A:$A&lt;DATE(2026,IF(1=12,1+1,1+1),1)),'DRAFT 2'!$A:$A),"")</f>
        <v>0</v>
      </c>
      <c r="CG96">
        <f>COUNTIFS('DRAFT 2'!$D:$D,$B96,'DRAFT 2'!$A:$A,"&gt;="&amp;DATE(2026,1,1),'DRAFT 2'!$A:$A,"&lt;="&amp;DATE(2026,1,7))</f>
        <v>0</v>
      </c>
      <c r="CH96">
        <f>COUNTIFS('DRAFT 2'!$D:$D,$B96,'DRAFT 2'!$A:$A,"&gt;="&amp;DATE(2026,1,8),'DRAFT 2'!$A:$A,"&lt;="&amp;DATE(2026,1,14))</f>
        <v>0</v>
      </c>
      <c r="CI96">
        <f>COUNTIFS('DRAFT 2'!$D:$D,$B96,'DRAFT 2'!$A:$A,"&gt;="&amp;DATE(2026,1,15),'DRAFT 2'!$A:$A,"&lt;="&amp;DATE(2026,1,21))</f>
        <v>0</v>
      </c>
      <c r="CJ96">
        <f>COUNTIFS('DRAFT 2'!$D:$D,$B96,'DRAFT 2'!$A:$A,"&gt;="&amp;DATE(2026,1,22),'DRAFT 2'!$A:$A,"&lt;"&amp;DATE(2026,IF(1=12,1+1,1+1),1))</f>
        <v>0</v>
      </c>
      <c r="CK96">
        <f t="shared" si="30"/>
        <v>0</v>
      </c>
      <c r="CT96">
        <v>0</v>
      </c>
      <c r="CU96">
        <f>IFERROR(LOOKUP(2,1/('DRAFT 2'!$D:$D=$B96)*('DRAFT 2'!$A:$A&gt;=DATE(2026,2,1))*('DRAFT 2'!$A:$A&lt;DATE(2026,IF(2=12,2+1,2+1),1)),'DRAFT 2'!$A:$A),"")</f>
        <v>0</v>
      </c>
      <c r="CV96">
        <f>COUNTIFS('DRAFT 2'!$D:$D,$B96,'DRAFT 2'!$A:$A,"&gt;="&amp;DATE(2026,2,1),'DRAFT 2'!$A:$A,"&lt;="&amp;DATE(2026,2,7))</f>
        <v>0</v>
      </c>
      <c r="CW96">
        <f>COUNTIFS('DRAFT 2'!$D:$D,$B96,'DRAFT 2'!$A:$A,"&gt;="&amp;DATE(2026,2,8),'DRAFT 2'!$A:$A,"&lt;="&amp;DATE(2026,2,14))</f>
        <v>0</v>
      </c>
      <c r="CX96">
        <f>COUNTIFS('DRAFT 2'!$D:$D,$B96,'DRAFT 2'!$A:$A,"&gt;="&amp;DATE(2026,2,15),'DRAFT 2'!$A:$A,"&lt;="&amp;DATE(2026,2,21))</f>
        <v>0</v>
      </c>
      <c r="CY96">
        <f>COUNTIFS('DRAFT 2'!$D:$D,$B96,'DRAFT 2'!$A:$A,"&gt;="&amp;DATE(2026,2,22),'DRAFT 2'!$A:$A,"&lt;"&amp;DATE(2026,IF(2=12,2+1,2+1),1))</f>
        <v>0</v>
      </c>
      <c r="CZ96">
        <f t="shared" si="31"/>
        <v>0</v>
      </c>
      <c r="DJ96">
        <f>IFERROR(LOOKUP(2,1/('DRAFT 2'!$D:$D=$B96)*('DRAFT 2'!$A:$A&gt;=DATE(2026,3,1))*('DRAFT 2'!$A:$A&lt;DATE(2026,IF(3=12,3+1,3+1),1)),'DRAFT 2'!$A:$A),"")</f>
        <v>0</v>
      </c>
      <c r="DK96">
        <f>COUNTIFS('DRAFT 2'!$D:$D,$B96,'DRAFT 2'!$A:$A,"&gt;="&amp;DATE(2026,3,1),'DRAFT 2'!$A:$A,"&lt;="&amp;DATE(2026,3,7))</f>
        <v>0</v>
      </c>
      <c r="DL96">
        <f>COUNTIFS('DRAFT 2'!$D:$D,$B96,'DRAFT 2'!$A:$A,"&gt;="&amp;DATE(2026,3,8),'DRAFT 2'!$A:$A,"&lt;="&amp;DATE(2026,3,14))</f>
        <v>0</v>
      </c>
      <c r="DM96">
        <f>COUNTIFS('DRAFT 2'!$D:$D,$B96,'DRAFT 2'!$A:$A,"&gt;="&amp;DATE(2026,3,15),'DRAFT 2'!$A:$A,"&lt;="&amp;DATE(2026,3,21))</f>
        <v>0</v>
      </c>
      <c r="DN96">
        <f>COUNTIFS('DRAFT 2'!$D:$D,$B96,'DRAFT 2'!$A:$A,"&gt;="&amp;DATE(2026,3,22),'DRAFT 2'!$A:$A,"&lt;"&amp;DATE(2026,IF(3=12,3+1,3+1),1))</f>
        <v>0</v>
      </c>
      <c r="DO96">
        <f t="shared" si="32"/>
        <v>0</v>
      </c>
      <c r="DZ96">
        <f>IFERROR(LOOKUP(2,1/('DRAFT 2'!$D:$D=$B96)*('DRAFT 2'!$A:$A&gt;=DATE(2026,4,1))*('DRAFT 2'!$A:$A&lt;DATE(2026,IF(4=12,4+1,4+1),1)),'DRAFT 2'!$A:$A),"")</f>
        <v>0</v>
      </c>
      <c r="EA96">
        <f>COUNTIFS('DRAFT 2'!$D:$D,$B96,'DRAFT 2'!$A:$A,"&gt;="&amp;DATE(2026,4,1),'DRAFT 2'!$A:$A,"&lt;="&amp;DATE(2026,4,7))</f>
        <v>0</v>
      </c>
      <c r="EB96">
        <f>COUNTIFS('DRAFT 2'!$D:$D,$B96,'DRAFT 2'!$A:$A,"&gt;="&amp;DATE(2026,4,8),'DRAFT 2'!$A:$A,"&lt;="&amp;DATE(2026,4,14))</f>
        <v>0</v>
      </c>
      <c r="EC96">
        <f>COUNTIFS('DRAFT 2'!$D:$D,$B96,'DRAFT 2'!$A:$A,"&gt;="&amp;DATE(2026,4,15),'DRAFT 2'!$A:$A,"&lt;="&amp;DATE(2026,4,21))</f>
        <v>0</v>
      </c>
      <c r="ED96">
        <f>COUNTIFS('DRAFT 2'!$D:$D,$B96,'DRAFT 2'!$A:$A,"&gt;="&amp;DATE(2026,4,22),'DRAFT 2'!$A:$A,"&lt;"&amp;DATE(2026,IF(4=12,4+1,4+1),1))</f>
        <v>0</v>
      </c>
      <c r="EE96">
        <f t="shared" si="33"/>
        <v>0</v>
      </c>
      <c r="EO96">
        <f>IFERROR(LOOKUP(2,1/('DRAFT 2'!$D:$D=$B96)*('DRAFT 2'!$A:$A&gt;=DATE(2026,5,1))*('DRAFT 2'!$A:$A&lt;DATE(2026,IF(5=12,5+1,5+1),1)),'DRAFT 2'!$A:$A),"")</f>
        <v>0</v>
      </c>
      <c r="EP96">
        <f>COUNTIFS('DRAFT 2'!$D:$D,$B96,'DRAFT 2'!$A:$A,"&gt;="&amp;DATE(2026,5,1),'DRAFT 2'!$A:$A,"&lt;="&amp;DATE(2026,5,7))</f>
        <v>0</v>
      </c>
      <c r="EQ96">
        <f>COUNTIFS('DRAFT 2'!$D:$D,$B96,'DRAFT 2'!$A:$A,"&gt;="&amp;DATE(2026,5,8),'DRAFT 2'!$A:$A,"&lt;="&amp;DATE(2026,5,14))</f>
        <v>0</v>
      </c>
      <c r="ER96">
        <f>COUNTIFS('DRAFT 2'!$D:$D,$B96,'DRAFT 2'!$A:$A,"&gt;="&amp;DATE(2026,5,15),'DRAFT 2'!$A:$A,"&lt;="&amp;DATE(2026,5,21))</f>
        <v>0</v>
      </c>
      <c r="ES96">
        <f>COUNTIFS('DRAFT 2'!$D:$D,$B96,'DRAFT 2'!$A:$A,"&gt;="&amp;DATE(2026,5,22),'DRAFT 2'!$A:$A,"&lt;"&amp;DATE(2026,IF(5=12,5+1,5+1),1))</f>
        <v>0</v>
      </c>
      <c r="ET96">
        <f t="shared" si="34"/>
        <v>0</v>
      </c>
      <c r="FD96">
        <f>IFERROR(LOOKUP(2,1/('DRAFT 2'!$D:$D=$B96)*('DRAFT 2'!$A:$A&gt;=DATE(2026,6,1))*('DRAFT 2'!$A:$A&lt;DATE(2026,IF(6=12,6+1,6+1),1)),'DRAFT 2'!$A:$A),"")</f>
        <v>0</v>
      </c>
      <c r="FE96">
        <f>COUNTIFS('DRAFT 2'!$D:$D,$B96,'DRAFT 2'!$A:$A,"&gt;="&amp;DATE(2026,6,1),'DRAFT 2'!$A:$A,"&lt;="&amp;DATE(2026,6,7))</f>
        <v>0</v>
      </c>
      <c r="FF96">
        <f>COUNTIFS('DRAFT 2'!$D:$D,$B96,'DRAFT 2'!$A:$A,"&gt;="&amp;DATE(2026,6,8),'DRAFT 2'!$A:$A,"&lt;="&amp;DATE(2026,6,14))</f>
        <v>0</v>
      </c>
      <c r="FG96">
        <f>COUNTIFS('DRAFT 2'!$D:$D,$B96,'DRAFT 2'!$A:$A,"&gt;="&amp;DATE(2026,6,15),'DRAFT 2'!$A:$A,"&lt;="&amp;DATE(2026,6,21))</f>
        <v>0</v>
      </c>
      <c r="FH96">
        <f>COUNTIFS('DRAFT 2'!$D:$D,$B96,'DRAFT 2'!$A:$A,"&gt;="&amp;DATE(2026,6,22),'DRAFT 2'!$A:$A,"&lt;"&amp;DATE(2026,IF(6=12,6+1,6+1),1))</f>
        <v>0</v>
      </c>
      <c r="FI96">
        <f t="shared" si="35"/>
        <v>0</v>
      </c>
      <c r="FT96">
        <f>IFERROR(LOOKUP(2,1/('DRAFT 2'!$D:$D=$B96)*('DRAFT 2'!$A:$A&gt;=DATE(2026,7,1))*('DRAFT 2'!$A:$A&lt;DATE(2026,IF(7=12,7+1,7+1),1)),'DRAFT 2'!$A:$A),"")</f>
        <v>0</v>
      </c>
      <c r="FU96">
        <f>COUNTIFS('DRAFT 2'!$D:$D,$B96,'DRAFT 2'!$A:$A,"&gt;="&amp;DATE(2026,7,1),'DRAFT 2'!$A:$A,"&lt;="&amp;DATE(2026,7,7))</f>
        <v>0</v>
      </c>
      <c r="FV96">
        <f>COUNTIFS('DRAFT 2'!$D:$D,$B96,'DRAFT 2'!$A:$A,"&gt;="&amp;DATE(2026,7,8),'DRAFT 2'!$A:$A,"&lt;="&amp;DATE(2026,7,14))</f>
        <v>0</v>
      </c>
      <c r="FW96">
        <f>COUNTIFS('DRAFT 2'!$D:$D,$B96,'DRAFT 2'!$A:$A,"&gt;="&amp;DATE(2026,7,15),'DRAFT 2'!$A:$A,"&lt;="&amp;DATE(2026,7,21))</f>
        <v>0</v>
      </c>
      <c r="FX96">
        <f>COUNTIFS('DRAFT 2'!$D:$D,$B96,'DRAFT 2'!$A:$A,"&gt;="&amp;DATE(2026,7,22),'DRAFT 2'!$A:$A,"&lt;"&amp;DATE(2026,IF(7=12,7+1,7+1),1))</f>
        <v>0</v>
      </c>
      <c r="FY96">
        <f t="shared" si="36"/>
        <v>0</v>
      </c>
      <c r="GI96">
        <f>IFERROR(LOOKUP(2,1/('DRAFT 2'!$D:$D=$B96)*('DRAFT 2'!$A:$A&gt;=DATE(2026,8,1))*('DRAFT 2'!$A:$A&lt;DATE(2026,IF(8=12,8+1,8+1),1)),'DRAFT 2'!$A:$A),"")</f>
        <v>0</v>
      </c>
      <c r="GJ96">
        <f>COUNTIFS('DRAFT 2'!$D:$D,$B96,'DRAFT 2'!$A:$A,"&gt;="&amp;DATE(2026,8,1),'DRAFT 2'!$A:$A,"&lt;="&amp;DATE(2026,8,7))</f>
        <v>0</v>
      </c>
      <c r="GK96">
        <f>COUNTIFS('DRAFT 2'!$D:$D,$B96,'DRAFT 2'!$A:$A,"&gt;="&amp;DATE(2026,8,8),'DRAFT 2'!$A:$A,"&lt;="&amp;DATE(2026,8,14))</f>
        <v>0</v>
      </c>
      <c r="GL96">
        <f>COUNTIFS('DRAFT 2'!$D:$D,$B96,'DRAFT 2'!$A:$A,"&gt;="&amp;DATE(2026,8,15),'DRAFT 2'!$A:$A,"&lt;="&amp;DATE(2026,8,21))</f>
        <v>0</v>
      </c>
      <c r="GM96">
        <f>COUNTIFS('DRAFT 2'!$D:$D,$B96,'DRAFT 2'!$A:$A,"&gt;="&amp;DATE(2026,8,22),'DRAFT 2'!$A:$A,"&lt;"&amp;DATE(2026,IF(8=12,8+1,8+1),1))</f>
        <v>0</v>
      </c>
      <c r="GN96">
        <f t="shared" si="37"/>
        <v>0</v>
      </c>
      <c r="GX96">
        <f>IFERROR(LOOKUP(2,1/('DRAFT 2'!$D:$D=$B96)*('DRAFT 2'!$A:$A&gt;=DATE(2026,9,1))*('DRAFT 2'!$A:$A&lt;DATE(2026,IF(9=12,9+1,9+1),1)),'DRAFT 2'!$A:$A),"")</f>
        <v>0</v>
      </c>
      <c r="GY96">
        <f>COUNTIFS('DRAFT 2'!$D:$D,$B96,'DRAFT 2'!$A:$A,"&gt;="&amp;DATE(2026,9,1),'DRAFT 2'!$A:$A,"&lt;="&amp;DATE(2026,9,7))</f>
        <v>0</v>
      </c>
      <c r="GZ96">
        <f>COUNTIFS('DRAFT 2'!$D:$D,$B96,'DRAFT 2'!$A:$A,"&gt;="&amp;DATE(2026,9,8),'DRAFT 2'!$A:$A,"&lt;="&amp;DATE(2026,9,14))</f>
        <v>0</v>
      </c>
      <c r="HA96">
        <f>COUNTIFS('DRAFT 2'!$D:$D,$B96,'DRAFT 2'!$A:$A,"&gt;="&amp;DATE(2026,9,15),'DRAFT 2'!$A:$A,"&lt;="&amp;DATE(2026,9,21))</f>
        <v>0</v>
      </c>
      <c r="HB96">
        <f>COUNTIFS('DRAFT 2'!$D:$D,$B96,'DRAFT 2'!$A:$A,"&gt;="&amp;DATE(2026,9,22),'DRAFT 2'!$A:$A,"&lt;"&amp;DATE(2026,IF(9=12,9+1,9+1),1))</f>
        <v>0</v>
      </c>
      <c r="HC96">
        <f t="shared" si="38"/>
        <v>0</v>
      </c>
      <c r="HN96">
        <f>IFERROR(LOOKUP(2,1/('DRAFT 2'!$D:$D=$B96)*('DRAFT 2'!$A:$A&gt;=DATE(2026,10,1))*('DRAFT 2'!$A:$A&lt;DATE(2026,IF(10=12,10+1,10+1),1)),'DRAFT 2'!$A:$A),"")</f>
        <v>0</v>
      </c>
      <c r="HO96">
        <f>COUNTIFS('DRAFT 2'!$D:$D,$B96,'DRAFT 2'!$A:$A,"&gt;="&amp;DATE(2026,10,1),'DRAFT 2'!$A:$A,"&lt;="&amp;DATE(2026,10,7))</f>
        <v>0</v>
      </c>
      <c r="HP96">
        <f>COUNTIFS('DRAFT 2'!$D:$D,$B96,'DRAFT 2'!$A:$A,"&gt;="&amp;DATE(2026,10,8),'DRAFT 2'!$A:$A,"&lt;="&amp;DATE(2026,10,14))</f>
        <v>0</v>
      </c>
      <c r="HQ96">
        <f>COUNTIFS('DRAFT 2'!$D:$D,$B96,'DRAFT 2'!$A:$A,"&gt;="&amp;DATE(2026,10,15),'DRAFT 2'!$A:$A,"&lt;="&amp;DATE(2026,10,21))</f>
        <v>0</v>
      </c>
      <c r="HR96">
        <f>COUNTIFS('DRAFT 2'!$D:$D,$B96,'DRAFT 2'!$A:$A,"&gt;="&amp;DATE(2026,10,22),'DRAFT 2'!$A:$A,"&lt;"&amp;DATE(2026,IF(10=12,10+1,10+1),1))</f>
        <v>0</v>
      </c>
      <c r="HS96">
        <f t="shared" si="39"/>
        <v>0</v>
      </c>
      <c r="IC96">
        <f>IFERROR(LOOKUP(2,1/('DRAFT 2'!$D:$D=$B96)*('DRAFT 2'!$A:$A&gt;=DATE(2026,11,1))*('DRAFT 2'!$A:$A&lt;DATE(2026,IF(11=12,11+1,11+1),1)),'DRAFT 2'!$A:$A),"")</f>
        <v>0</v>
      </c>
      <c r="ID96">
        <f>COUNTIFS('DRAFT 2'!$D:$D,$B96,'DRAFT 2'!$A:$A,"&gt;="&amp;DATE(2026,11,1),'DRAFT 2'!$A:$A,"&lt;="&amp;DATE(2026,11,7))</f>
        <v>0</v>
      </c>
      <c r="IE96">
        <f>COUNTIFS('DRAFT 2'!$D:$D,$B96,'DRAFT 2'!$A:$A,"&gt;="&amp;DATE(2026,11,8),'DRAFT 2'!$A:$A,"&lt;="&amp;DATE(2026,11,14))</f>
        <v>0</v>
      </c>
      <c r="IF96">
        <f>COUNTIFS('DRAFT 2'!$D:$D,$B96,'DRAFT 2'!$A:$A,"&gt;="&amp;DATE(2026,11,15),'DRAFT 2'!$A:$A,"&lt;="&amp;DATE(2026,11,21))</f>
        <v>0</v>
      </c>
      <c r="IG96">
        <f>COUNTIFS('DRAFT 2'!$D:$D,$B96,'DRAFT 2'!$A:$A,"&gt;="&amp;DATE(2026,11,22),'DRAFT 2'!$A:$A,"&lt;"&amp;DATE(2026,IF(11=12,11+1,11+1),1))</f>
        <v>0</v>
      </c>
      <c r="IH96">
        <f t="shared" si="40"/>
        <v>0</v>
      </c>
      <c r="IR96">
        <f>IFERROR(LOOKUP(2,1/('DRAFT 2'!$D:$D=$B96)*('DRAFT 2'!$A:$A&gt;=DATE(2026,12,1))*('DRAFT 2'!$A:$A&lt;DATE(2026,IF(12=12,12+1,12+1),1)),'DRAFT 2'!$A:$A),"")</f>
        <v>0</v>
      </c>
      <c r="IS96">
        <f>COUNTIFS('DRAFT 2'!$D:$D,$B96,'DRAFT 2'!$A:$A,"&gt;="&amp;DATE(2026,12,1),'DRAFT 2'!$A:$A,"&lt;="&amp;DATE(2026,12,7))</f>
        <v>0</v>
      </c>
      <c r="IT96">
        <f>COUNTIFS('DRAFT 2'!$D:$D,$B96,'DRAFT 2'!$A:$A,"&gt;="&amp;DATE(2026,12,8),'DRAFT 2'!$A:$A,"&lt;="&amp;DATE(2026,12,14))</f>
        <v>0</v>
      </c>
      <c r="IU96">
        <f>COUNTIFS('DRAFT 2'!$D:$D,$B96,'DRAFT 2'!$A:$A,"&gt;="&amp;DATE(2026,12,15),'DRAFT 2'!$A:$A,"&lt;="&amp;DATE(2026,12,21))</f>
        <v>0</v>
      </c>
      <c r="IV96">
        <f>COUNTIFS('DRAFT 2'!$D:$D,$B96,'DRAFT 2'!$A:$A,"&gt;="&amp;DATE(2026,12,22),'DRAFT 2'!$A:$A,"&lt;"&amp;DATE(2026,IF(12=12,12+1,12+1),1))</f>
        <v>0</v>
      </c>
      <c r="IW96">
        <f t="shared" si="41"/>
        <v>0</v>
      </c>
    </row>
    <row r="97" spans="1:257" x14ac:dyDescent="0.3">
      <c r="A97" t="str">
        <f>IFERROR(INDEX('DRAFT 1'!$A:$A,MATCH($B97,'DRAFT 1'!$B:$B,0)),"")</f>
        <v/>
      </c>
      <c r="C97" t="str">
        <f>IFERROR(INDEX('DRAFT 1'!$C:$C,MATCH($B97,'DRAFT 1'!$B:$B,0)),"")</f>
        <v/>
      </c>
      <c r="D97" t="str">
        <f>IFERROR(INDEX('DRAFT 1'!$D:$D,MATCH($B97,'DRAFT 1'!$B:$B,0)),"")</f>
        <v/>
      </c>
      <c r="E97" t="str">
        <f>IFERROR(INDEX('DRAFT 1'!$E:$E,MATCH($B97,'DRAFT 1'!$B:$B,0)),"")</f>
        <v/>
      </c>
      <c r="F97" t="str">
        <f>IFERROR(INDEX('DRAFT 1'!$F:$F,MATCH($B97,'DRAFT 1'!$B:$B,0)),"")</f>
        <v/>
      </c>
      <c r="G97" t="str">
        <f>IFERROR(INDEX('DRAFT 1'!$G:$G,MATCH($B97,'DRAFT 1'!$B:$B,0)),"")</f>
        <v/>
      </c>
      <c r="H97" t="str">
        <f>IFERROR(INDEX('DRAFT 1'!$H:$H,MATCH($B97,'DRAFT 1'!$B:$B,0)),"")</f>
        <v/>
      </c>
      <c r="I97" t="s">
        <v>292</v>
      </c>
      <c r="K97" t="str">
        <f>IFERROR(INDEX('DRAFT 1'!$AL:$AL,MATCH($B97,'DRAFT 1'!$B:$B,0)),"")</f>
        <v/>
      </c>
      <c r="L97" t="str">
        <f>IFERROR(INDEX('DRAFT 1'!$J:$J,MATCH($B97,'DRAFT 1'!$B:$B,0)),"")</f>
        <v/>
      </c>
      <c r="M97" t="str">
        <f>IFERROR(INDEX('DRAFT 1'!$K:$K,MATCH($B97,'DRAFT 1'!$B:$B,0)),"")</f>
        <v/>
      </c>
      <c r="N97" t="s">
        <v>71</v>
      </c>
      <c r="P97" t="str">
        <f>IFERROR(INDEX('DRAFT 1'!$L:$L,MATCH($B97,'DRAFT 1'!$B:$B,0)),"")</f>
        <v/>
      </c>
      <c r="Q97" t="str">
        <f>IFERROR(INDEX('DRAFT 1'!$M:$M,MATCH($B97,'DRAFT 1'!$B:$B,0)),"")</f>
        <v/>
      </c>
      <c r="R97" t="str">
        <f>IFERROR(INDEX('DRAFT 1'!$N:$N,MATCH($B97,'DRAFT 1'!$B:$B,0)),"")</f>
        <v/>
      </c>
      <c r="S97" t="str">
        <f>IFERROR(INDEX('DRAFT 1'!$O:$O,MATCH($B97,'DRAFT 1'!$B:$B,0)),"")</f>
        <v/>
      </c>
      <c r="T97" t="str">
        <f>IFERROR(INDEX('DRAFT 1'!$P:$P,MATCH($B97,'DRAFT 1'!$B:$B,0)),"")</f>
        <v/>
      </c>
      <c r="U97" t="str">
        <f>IFERROR(INDEX('DRAFT 1'!$Q:$Q,MATCH($B97,'DRAFT 1'!$B:$B,0)),"")</f>
        <v/>
      </c>
      <c r="V97" t="str">
        <f>IFERROR(INDEX('DRAFT 1'!$R:$R,MATCH($B97,'DRAFT 1'!$B:$B,0)),"")</f>
        <v/>
      </c>
      <c r="W97" t="str">
        <f>IFERROR(INDEX('DRAFT 1'!$S:$S,MATCH($B97,'DRAFT 1'!$B:$B,0)),"")</f>
        <v/>
      </c>
      <c r="X97" t="str">
        <f>IFERROR(INDEX('DRAFT 1'!$T:$T,MATCH($B97,'DRAFT 1'!$B:$B,0)),"")</f>
        <v/>
      </c>
      <c r="Z97" t="str">
        <f>IFERROR(INDEX('DRAFT 1'!$U:$U,MATCH($B97,'DRAFT 1'!$B:$B,0)),"")</f>
        <v/>
      </c>
      <c r="AA97" t="str">
        <f>IFERROR(INDEX('DRAFT 1'!$V:$V,MATCH($B97,'DRAFT 1'!$B:$B,0)),"")</f>
        <v/>
      </c>
      <c r="AB97" t="str">
        <f>IFERROR(INDEX('DRAFT 1'!$W:$W,MATCH($B97,'DRAFT 1'!$B:$B,0)),"")</f>
        <v/>
      </c>
      <c r="AC97" t="str">
        <f>IFERROR(INDEX('DRAFT 1'!$X:$X,MATCH($B97,'DRAFT 1'!$B:$B,0)),"")</f>
        <v/>
      </c>
      <c r="AD97" t="str">
        <f>IFERROR(INDEX('DRAFT 1'!$Y:$Y,MATCH($B97,'DRAFT 1'!$B:$B,0)),"")</f>
        <v/>
      </c>
      <c r="AE97" t="str">
        <f>IFERROR(INDEX('DRAFT 1'!$Z:$Z,MATCH($B97,'DRAFT 1'!$B:$B,0)),"")</f>
        <v/>
      </c>
      <c r="AF97" t="str">
        <f>IFERROR(INDEX('DRAFT 1'!$AA:$AA,MATCH($B97,'DRAFT 1'!$B:$B,0)),"")</f>
        <v/>
      </c>
      <c r="AG97" t="str">
        <f>IFERROR(INDEX('DRAFT 1'!$AB:$AB,MATCH($B97,'DRAFT 1'!$B:$B,0)),"")</f>
        <v/>
      </c>
      <c r="AH97" t="str">
        <f>IFERROR(INDEX('DRAFT 1'!$AC:$AC,MATCH($B97,'DRAFT 1'!$B:$B,0)),"")</f>
        <v/>
      </c>
      <c r="AI97" t="str">
        <f>IFERROR(INDEX('DRAFT 1'!$AD:$AD,MATCH($B97,'DRAFT 1'!$B:$B,0)),"")</f>
        <v/>
      </c>
      <c r="AJ97" t="str">
        <f>IFERROR(INDEX('DRAFT 1'!$AE:$AE,MATCH($B97,'DRAFT 1'!$B:$B,0)),"")</f>
        <v/>
      </c>
      <c r="AK97" t="str">
        <f>IFERROR(INDEX('DRAFT 1'!$AG:$AG,MATCH($B97,'DRAFT 1'!$B:$B,0)),"")</f>
        <v/>
      </c>
      <c r="AL97" t="str">
        <f>IFERROR(INDEX('DRAFT 1'!$AH:$AH,MATCH($B97,'DRAFT 1'!$B:$B,0)),"")</f>
        <v/>
      </c>
      <c r="AM97" t="str">
        <f>IFERROR(INDEX('DRAFT 1'!$AI:$AI,MATCH($B97,'DRAFT 1'!$B:$B,0)),"")</f>
        <v/>
      </c>
      <c r="AN97" t="str">
        <f>IFERROR(INDEX('DRAFT 1'!$AJ:$AJ,MATCH($B97,'DRAFT 1'!$B:$B,0)),"")</f>
        <v/>
      </c>
      <c r="AO97">
        <f t="shared" si="28"/>
        <v>0</v>
      </c>
      <c r="AP97" t="str">
        <f>IFERROR(INDEX('DRAFT 1'!$AK:$AK,MATCH($B97,'DRAFT 1'!$B:$B,0)),"")</f>
        <v/>
      </c>
      <c r="AR97" t="s">
        <v>33</v>
      </c>
      <c r="AS97">
        <f>IFERROR(LOOKUP(2,1/('DRAFT 2'!$D:$D=$B97),'DRAFT 2'!$T:$T),"")</f>
        <v>0</v>
      </c>
      <c r="AT97">
        <f>IFERROR(LOOKUP(2,1/('DRAFT 2'!$D:$D=$B97),'DRAFT 2'!$A:$A),"")</f>
        <v>0</v>
      </c>
      <c r="AU97">
        <f>IFERROR(LOOKUP(2,1/('DRAFT 2'!$D:$D=$B97),'DRAFT 2'!$R:$R),"")</f>
        <v>0</v>
      </c>
      <c r="AV97">
        <f>IFERROR(LOOKUP(2,1/('DRAFT 2'!$D:$D=$B97),'DRAFT 2'!$S:$S),"")</f>
        <v>0</v>
      </c>
      <c r="AW97" t="s">
        <v>126</v>
      </c>
      <c r="AX97">
        <f>IFERROR(LOOKUP(2,1/('DRAFT 2'!$D:$D=$B97),'DRAFT 2'!$M:$M),"")</f>
        <v>0</v>
      </c>
      <c r="AY97">
        <f>IFERROR(LOOKUP(2,1/('DRAFT 2'!$D:$D=$B97),'DRAFT 2'!$K:$K),"")</f>
        <v>0</v>
      </c>
      <c r="BG97">
        <f>IFERROR(LOOKUP(2,1/('DRAFT 2'!$D:$D=$B97),'DRAFT 2'!$U:$U),"")</f>
        <v>0</v>
      </c>
      <c r="BH97">
        <f>IFERROR(LOOKUP(2,1/('DRAFT 2'!$D:$D=$B97),'DRAFT 2'!$V:$V),"")</f>
        <v>0</v>
      </c>
      <c r="CE97" t="str">
        <f t="shared" si="29"/>
        <v/>
      </c>
      <c r="CF97">
        <f>IFERROR(LOOKUP(2,1/('DRAFT 2'!$D:$D=$B97)*('DRAFT 2'!$A:$A&gt;=DATE(2026,1,1))*('DRAFT 2'!$A:$A&lt;DATE(2026,IF(1=12,1+1,1+1),1)),'DRAFT 2'!$A:$A),"")</f>
        <v>0</v>
      </c>
      <c r="CG97">
        <f>COUNTIFS('DRAFT 2'!$D:$D,$B97,'DRAFT 2'!$A:$A,"&gt;="&amp;DATE(2026,1,1),'DRAFT 2'!$A:$A,"&lt;="&amp;DATE(2026,1,7))</f>
        <v>0</v>
      </c>
      <c r="CH97">
        <f>COUNTIFS('DRAFT 2'!$D:$D,$B97,'DRAFT 2'!$A:$A,"&gt;="&amp;DATE(2026,1,8),'DRAFT 2'!$A:$A,"&lt;="&amp;DATE(2026,1,14))</f>
        <v>0</v>
      </c>
      <c r="CI97">
        <f>COUNTIFS('DRAFT 2'!$D:$D,$B97,'DRAFT 2'!$A:$A,"&gt;="&amp;DATE(2026,1,15),'DRAFT 2'!$A:$A,"&lt;="&amp;DATE(2026,1,21))</f>
        <v>0</v>
      </c>
      <c r="CJ97">
        <f>COUNTIFS('DRAFT 2'!$D:$D,$B97,'DRAFT 2'!$A:$A,"&gt;="&amp;DATE(2026,1,22),'DRAFT 2'!$A:$A,"&lt;"&amp;DATE(2026,IF(1=12,1+1,1+1),1))</f>
        <v>0</v>
      </c>
      <c r="CK97">
        <f t="shared" si="30"/>
        <v>0</v>
      </c>
      <c r="CT97">
        <v>0</v>
      </c>
      <c r="CU97">
        <f>IFERROR(LOOKUP(2,1/('DRAFT 2'!$D:$D=$B97)*('DRAFT 2'!$A:$A&gt;=DATE(2026,2,1))*('DRAFT 2'!$A:$A&lt;DATE(2026,IF(2=12,2+1,2+1),1)),'DRAFT 2'!$A:$A),"")</f>
        <v>0</v>
      </c>
      <c r="CV97">
        <f>COUNTIFS('DRAFT 2'!$D:$D,$B97,'DRAFT 2'!$A:$A,"&gt;="&amp;DATE(2026,2,1),'DRAFT 2'!$A:$A,"&lt;="&amp;DATE(2026,2,7))</f>
        <v>0</v>
      </c>
      <c r="CW97">
        <f>COUNTIFS('DRAFT 2'!$D:$D,$B97,'DRAFT 2'!$A:$A,"&gt;="&amp;DATE(2026,2,8),'DRAFT 2'!$A:$A,"&lt;="&amp;DATE(2026,2,14))</f>
        <v>0</v>
      </c>
      <c r="CX97">
        <f>COUNTIFS('DRAFT 2'!$D:$D,$B97,'DRAFT 2'!$A:$A,"&gt;="&amp;DATE(2026,2,15),'DRAFT 2'!$A:$A,"&lt;="&amp;DATE(2026,2,21))</f>
        <v>0</v>
      </c>
      <c r="CY97">
        <f>COUNTIFS('DRAFT 2'!$D:$D,$B97,'DRAFT 2'!$A:$A,"&gt;="&amp;DATE(2026,2,22),'DRAFT 2'!$A:$A,"&lt;"&amp;DATE(2026,IF(2=12,2+1,2+1),1))</f>
        <v>0</v>
      </c>
      <c r="CZ97">
        <f t="shared" si="31"/>
        <v>0</v>
      </c>
      <c r="DJ97">
        <f>IFERROR(LOOKUP(2,1/('DRAFT 2'!$D:$D=$B97)*('DRAFT 2'!$A:$A&gt;=DATE(2026,3,1))*('DRAFT 2'!$A:$A&lt;DATE(2026,IF(3=12,3+1,3+1),1)),'DRAFT 2'!$A:$A),"")</f>
        <v>0</v>
      </c>
      <c r="DK97">
        <f>COUNTIFS('DRAFT 2'!$D:$D,$B97,'DRAFT 2'!$A:$A,"&gt;="&amp;DATE(2026,3,1),'DRAFT 2'!$A:$A,"&lt;="&amp;DATE(2026,3,7))</f>
        <v>0</v>
      </c>
      <c r="DL97">
        <f>COUNTIFS('DRAFT 2'!$D:$D,$B97,'DRAFT 2'!$A:$A,"&gt;="&amp;DATE(2026,3,8),'DRAFT 2'!$A:$A,"&lt;="&amp;DATE(2026,3,14))</f>
        <v>0</v>
      </c>
      <c r="DM97">
        <f>COUNTIFS('DRAFT 2'!$D:$D,$B97,'DRAFT 2'!$A:$A,"&gt;="&amp;DATE(2026,3,15),'DRAFT 2'!$A:$A,"&lt;="&amp;DATE(2026,3,21))</f>
        <v>0</v>
      </c>
      <c r="DN97">
        <f>COUNTIFS('DRAFT 2'!$D:$D,$B97,'DRAFT 2'!$A:$A,"&gt;="&amp;DATE(2026,3,22),'DRAFT 2'!$A:$A,"&lt;"&amp;DATE(2026,IF(3=12,3+1,3+1),1))</f>
        <v>0</v>
      </c>
      <c r="DO97">
        <f t="shared" si="32"/>
        <v>0</v>
      </c>
      <c r="DZ97">
        <f>IFERROR(LOOKUP(2,1/('DRAFT 2'!$D:$D=$B97)*('DRAFT 2'!$A:$A&gt;=DATE(2026,4,1))*('DRAFT 2'!$A:$A&lt;DATE(2026,IF(4=12,4+1,4+1),1)),'DRAFT 2'!$A:$A),"")</f>
        <v>0</v>
      </c>
      <c r="EA97">
        <f>COUNTIFS('DRAFT 2'!$D:$D,$B97,'DRAFT 2'!$A:$A,"&gt;="&amp;DATE(2026,4,1),'DRAFT 2'!$A:$A,"&lt;="&amp;DATE(2026,4,7))</f>
        <v>0</v>
      </c>
      <c r="EB97">
        <f>COUNTIFS('DRAFT 2'!$D:$D,$B97,'DRAFT 2'!$A:$A,"&gt;="&amp;DATE(2026,4,8),'DRAFT 2'!$A:$A,"&lt;="&amp;DATE(2026,4,14))</f>
        <v>0</v>
      </c>
      <c r="EC97">
        <f>COUNTIFS('DRAFT 2'!$D:$D,$B97,'DRAFT 2'!$A:$A,"&gt;="&amp;DATE(2026,4,15),'DRAFT 2'!$A:$A,"&lt;="&amp;DATE(2026,4,21))</f>
        <v>0</v>
      </c>
      <c r="ED97">
        <f>COUNTIFS('DRAFT 2'!$D:$D,$B97,'DRAFT 2'!$A:$A,"&gt;="&amp;DATE(2026,4,22),'DRAFT 2'!$A:$A,"&lt;"&amp;DATE(2026,IF(4=12,4+1,4+1),1))</f>
        <v>0</v>
      </c>
      <c r="EE97">
        <f t="shared" si="33"/>
        <v>0</v>
      </c>
      <c r="EO97">
        <f>IFERROR(LOOKUP(2,1/('DRAFT 2'!$D:$D=$B97)*('DRAFT 2'!$A:$A&gt;=DATE(2026,5,1))*('DRAFT 2'!$A:$A&lt;DATE(2026,IF(5=12,5+1,5+1),1)),'DRAFT 2'!$A:$A),"")</f>
        <v>0</v>
      </c>
      <c r="EP97">
        <f>COUNTIFS('DRAFT 2'!$D:$D,$B97,'DRAFT 2'!$A:$A,"&gt;="&amp;DATE(2026,5,1),'DRAFT 2'!$A:$A,"&lt;="&amp;DATE(2026,5,7))</f>
        <v>0</v>
      </c>
      <c r="EQ97">
        <f>COUNTIFS('DRAFT 2'!$D:$D,$B97,'DRAFT 2'!$A:$A,"&gt;="&amp;DATE(2026,5,8),'DRAFT 2'!$A:$A,"&lt;="&amp;DATE(2026,5,14))</f>
        <v>0</v>
      </c>
      <c r="ER97">
        <f>COUNTIFS('DRAFT 2'!$D:$D,$B97,'DRAFT 2'!$A:$A,"&gt;="&amp;DATE(2026,5,15),'DRAFT 2'!$A:$A,"&lt;="&amp;DATE(2026,5,21))</f>
        <v>0</v>
      </c>
      <c r="ES97">
        <f>COUNTIFS('DRAFT 2'!$D:$D,$B97,'DRAFT 2'!$A:$A,"&gt;="&amp;DATE(2026,5,22),'DRAFT 2'!$A:$A,"&lt;"&amp;DATE(2026,IF(5=12,5+1,5+1),1))</f>
        <v>0</v>
      </c>
      <c r="ET97">
        <f t="shared" si="34"/>
        <v>0</v>
      </c>
      <c r="FD97">
        <f>IFERROR(LOOKUP(2,1/('DRAFT 2'!$D:$D=$B97)*('DRAFT 2'!$A:$A&gt;=DATE(2026,6,1))*('DRAFT 2'!$A:$A&lt;DATE(2026,IF(6=12,6+1,6+1),1)),'DRAFT 2'!$A:$A),"")</f>
        <v>0</v>
      </c>
      <c r="FE97">
        <f>COUNTIFS('DRAFT 2'!$D:$D,$B97,'DRAFT 2'!$A:$A,"&gt;="&amp;DATE(2026,6,1),'DRAFT 2'!$A:$A,"&lt;="&amp;DATE(2026,6,7))</f>
        <v>0</v>
      </c>
      <c r="FF97">
        <f>COUNTIFS('DRAFT 2'!$D:$D,$B97,'DRAFT 2'!$A:$A,"&gt;="&amp;DATE(2026,6,8),'DRAFT 2'!$A:$A,"&lt;="&amp;DATE(2026,6,14))</f>
        <v>0</v>
      </c>
      <c r="FG97">
        <f>COUNTIFS('DRAFT 2'!$D:$D,$B97,'DRAFT 2'!$A:$A,"&gt;="&amp;DATE(2026,6,15),'DRAFT 2'!$A:$A,"&lt;="&amp;DATE(2026,6,21))</f>
        <v>0</v>
      </c>
      <c r="FH97">
        <f>COUNTIFS('DRAFT 2'!$D:$D,$B97,'DRAFT 2'!$A:$A,"&gt;="&amp;DATE(2026,6,22),'DRAFT 2'!$A:$A,"&lt;"&amp;DATE(2026,IF(6=12,6+1,6+1),1))</f>
        <v>0</v>
      </c>
      <c r="FI97">
        <f t="shared" si="35"/>
        <v>0</v>
      </c>
      <c r="FT97">
        <f>IFERROR(LOOKUP(2,1/('DRAFT 2'!$D:$D=$B97)*('DRAFT 2'!$A:$A&gt;=DATE(2026,7,1))*('DRAFT 2'!$A:$A&lt;DATE(2026,IF(7=12,7+1,7+1),1)),'DRAFT 2'!$A:$A),"")</f>
        <v>0</v>
      </c>
      <c r="FU97">
        <f>COUNTIFS('DRAFT 2'!$D:$D,$B97,'DRAFT 2'!$A:$A,"&gt;="&amp;DATE(2026,7,1),'DRAFT 2'!$A:$A,"&lt;="&amp;DATE(2026,7,7))</f>
        <v>0</v>
      </c>
      <c r="FV97">
        <f>COUNTIFS('DRAFT 2'!$D:$D,$B97,'DRAFT 2'!$A:$A,"&gt;="&amp;DATE(2026,7,8),'DRAFT 2'!$A:$A,"&lt;="&amp;DATE(2026,7,14))</f>
        <v>0</v>
      </c>
      <c r="FW97">
        <f>COUNTIFS('DRAFT 2'!$D:$D,$B97,'DRAFT 2'!$A:$A,"&gt;="&amp;DATE(2026,7,15),'DRAFT 2'!$A:$A,"&lt;="&amp;DATE(2026,7,21))</f>
        <v>0</v>
      </c>
      <c r="FX97">
        <f>COUNTIFS('DRAFT 2'!$D:$D,$B97,'DRAFT 2'!$A:$A,"&gt;="&amp;DATE(2026,7,22),'DRAFT 2'!$A:$A,"&lt;"&amp;DATE(2026,IF(7=12,7+1,7+1),1))</f>
        <v>0</v>
      </c>
      <c r="FY97">
        <f t="shared" si="36"/>
        <v>0</v>
      </c>
      <c r="GI97">
        <f>IFERROR(LOOKUP(2,1/('DRAFT 2'!$D:$D=$B97)*('DRAFT 2'!$A:$A&gt;=DATE(2026,8,1))*('DRAFT 2'!$A:$A&lt;DATE(2026,IF(8=12,8+1,8+1),1)),'DRAFT 2'!$A:$A),"")</f>
        <v>0</v>
      </c>
      <c r="GJ97">
        <f>COUNTIFS('DRAFT 2'!$D:$D,$B97,'DRAFT 2'!$A:$A,"&gt;="&amp;DATE(2026,8,1),'DRAFT 2'!$A:$A,"&lt;="&amp;DATE(2026,8,7))</f>
        <v>0</v>
      </c>
      <c r="GK97">
        <f>COUNTIFS('DRAFT 2'!$D:$D,$B97,'DRAFT 2'!$A:$A,"&gt;="&amp;DATE(2026,8,8),'DRAFT 2'!$A:$A,"&lt;="&amp;DATE(2026,8,14))</f>
        <v>0</v>
      </c>
      <c r="GL97">
        <f>COUNTIFS('DRAFT 2'!$D:$D,$B97,'DRAFT 2'!$A:$A,"&gt;="&amp;DATE(2026,8,15),'DRAFT 2'!$A:$A,"&lt;="&amp;DATE(2026,8,21))</f>
        <v>0</v>
      </c>
      <c r="GM97">
        <f>COUNTIFS('DRAFT 2'!$D:$D,$B97,'DRAFT 2'!$A:$A,"&gt;="&amp;DATE(2026,8,22),'DRAFT 2'!$A:$A,"&lt;"&amp;DATE(2026,IF(8=12,8+1,8+1),1))</f>
        <v>0</v>
      </c>
      <c r="GN97">
        <f t="shared" si="37"/>
        <v>0</v>
      </c>
      <c r="GX97">
        <f>IFERROR(LOOKUP(2,1/('DRAFT 2'!$D:$D=$B97)*('DRAFT 2'!$A:$A&gt;=DATE(2026,9,1))*('DRAFT 2'!$A:$A&lt;DATE(2026,IF(9=12,9+1,9+1),1)),'DRAFT 2'!$A:$A),"")</f>
        <v>0</v>
      </c>
      <c r="GY97">
        <f>COUNTIFS('DRAFT 2'!$D:$D,$B97,'DRAFT 2'!$A:$A,"&gt;="&amp;DATE(2026,9,1),'DRAFT 2'!$A:$A,"&lt;="&amp;DATE(2026,9,7))</f>
        <v>0</v>
      </c>
      <c r="GZ97">
        <f>COUNTIFS('DRAFT 2'!$D:$D,$B97,'DRAFT 2'!$A:$A,"&gt;="&amp;DATE(2026,9,8),'DRAFT 2'!$A:$A,"&lt;="&amp;DATE(2026,9,14))</f>
        <v>0</v>
      </c>
      <c r="HA97">
        <f>COUNTIFS('DRAFT 2'!$D:$D,$B97,'DRAFT 2'!$A:$A,"&gt;="&amp;DATE(2026,9,15),'DRAFT 2'!$A:$A,"&lt;="&amp;DATE(2026,9,21))</f>
        <v>0</v>
      </c>
      <c r="HB97">
        <f>COUNTIFS('DRAFT 2'!$D:$D,$B97,'DRAFT 2'!$A:$A,"&gt;="&amp;DATE(2026,9,22),'DRAFT 2'!$A:$A,"&lt;"&amp;DATE(2026,IF(9=12,9+1,9+1),1))</f>
        <v>0</v>
      </c>
      <c r="HC97">
        <f t="shared" si="38"/>
        <v>0</v>
      </c>
      <c r="HN97">
        <f>IFERROR(LOOKUP(2,1/('DRAFT 2'!$D:$D=$B97)*('DRAFT 2'!$A:$A&gt;=DATE(2026,10,1))*('DRAFT 2'!$A:$A&lt;DATE(2026,IF(10=12,10+1,10+1),1)),'DRAFT 2'!$A:$A),"")</f>
        <v>0</v>
      </c>
      <c r="HO97">
        <f>COUNTIFS('DRAFT 2'!$D:$D,$B97,'DRAFT 2'!$A:$A,"&gt;="&amp;DATE(2026,10,1),'DRAFT 2'!$A:$A,"&lt;="&amp;DATE(2026,10,7))</f>
        <v>0</v>
      </c>
      <c r="HP97">
        <f>COUNTIFS('DRAFT 2'!$D:$D,$B97,'DRAFT 2'!$A:$A,"&gt;="&amp;DATE(2026,10,8),'DRAFT 2'!$A:$A,"&lt;="&amp;DATE(2026,10,14))</f>
        <v>0</v>
      </c>
      <c r="HQ97">
        <f>COUNTIFS('DRAFT 2'!$D:$D,$B97,'DRAFT 2'!$A:$A,"&gt;="&amp;DATE(2026,10,15),'DRAFT 2'!$A:$A,"&lt;="&amp;DATE(2026,10,21))</f>
        <v>0</v>
      </c>
      <c r="HR97">
        <f>COUNTIFS('DRAFT 2'!$D:$D,$B97,'DRAFT 2'!$A:$A,"&gt;="&amp;DATE(2026,10,22),'DRAFT 2'!$A:$A,"&lt;"&amp;DATE(2026,IF(10=12,10+1,10+1),1))</f>
        <v>0</v>
      </c>
      <c r="HS97">
        <f t="shared" si="39"/>
        <v>0</v>
      </c>
      <c r="IC97">
        <f>IFERROR(LOOKUP(2,1/('DRAFT 2'!$D:$D=$B97)*('DRAFT 2'!$A:$A&gt;=DATE(2026,11,1))*('DRAFT 2'!$A:$A&lt;DATE(2026,IF(11=12,11+1,11+1),1)),'DRAFT 2'!$A:$A),"")</f>
        <v>0</v>
      </c>
      <c r="ID97">
        <f>COUNTIFS('DRAFT 2'!$D:$D,$B97,'DRAFT 2'!$A:$A,"&gt;="&amp;DATE(2026,11,1),'DRAFT 2'!$A:$A,"&lt;="&amp;DATE(2026,11,7))</f>
        <v>0</v>
      </c>
      <c r="IE97">
        <f>COUNTIFS('DRAFT 2'!$D:$D,$B97,'DRAFT 2'!$A:$A,"&gt;="&amp;DATE(2026,11,8),'DRAFT 2'!$A:$A,"&lt;="&amp;DATE(2026,11,14))</f>
        <v>0</v>
      </c>
      <c r="IF97">
        <f>COUNTIFS('DRAFT 2'!$D:$D,$B97,'DRAFT 2'!$A:$A,"&gt;="&amp;DATE(2026,11,15),'DRAFT 2'!$A:$A,"&lt;="&amp;DATE(2026,11,21))</f>
        <v>0</v>
      </c>
      <c r="IG97">
        <f>COUNTIFS('DRAFT 2'!$D:$D,$B97,'DRAFT 2'!$A:$A,"&gt;="&amp;DATE(2026,11,22),'DRAFT 2'!$A:$A,"&lt;"&amp;DATE(2026,IF(11=12,11+1,11+1),1))</f>
        <v>0</v>
      </c>
      <c r="IH97">
        <f t="shared" si="40"/>
        <v>0</v>
      </c>
      <c r="IR97">
        <f>IFERROR(LOOKUP(2,1/('DRAFT 2'!$D:$D=$B97)*('DRAFT 2'!$A:$A&gt;=DATE(2026,12,1))*('DRAFT 2'!$A:$A&lt;DATE(2026,IF(12=12,12+1,12+1),1)),'DRAFT 2'!$A:$A),"")</f>
        <v>0</v>
      </c>
      <c r="IS97">
        <f>COUNTIFS('DRAFT 2'!$D:$D,$B97,'DRAFT 2'!$A:$A,"&gt;="&amp;DATE(2026,12,1),'DRAFT 2'!$A:$A,"&lt;="&amp;DATE(2026,12,7))</f>
        <v>0</v>
      </c>
      <c r="IT97">
        <f>COUNTIFS('DRAFT 2'!$D:$D,$B97,'DRAFT 2'!$A:$A,"&gt;="&amp;DATE(2026,12,8),'DRAFT 2'!$A:$A,"&lt;="&amp;DATE(2026,12,14))</f>
        <v>0</v>
      </c>
      <c r="IU97">
        <f>COUNTIFS('DRAFT 2'!$D:$D,$B97,'DRAFT 2'!$A:$A,"&gt;="&amp;DATE(2026,12,15),'DRAFT 2'!$A:$A,"&lt;="&amp;DATE(2026,12,21))</f>
        <v>0</v>
      </c>
      <c r="IV97">
        <f>COUNTIFS('DRAFT 2'!$D:$D,$B97,'DRAFT 2'!$A:$A,"&gt;="&amp;DATE(2026,12,22),'DRAFT 2'!$A:$A,"&lt;"&amp;DATE(2026,IF(12=12,12+1,12+1),1))</f>
        <v>0</v>
      </c>
      <c r="IW97">
        <f t="shared" si="41"/>
        <v>0</v>
      </c>
    </row>
    <row r="98" spans="1:257" x14ac:dyDescent="0.3">
      <c r="A98" t="str">
        <f>IFERROR(INDEX('DRAFT 1'!$A:$A,MATCH($B98,'DRAFT 1'!$B:$B,0)),"")</f>
        <v/>
      </c>
      <c r="C98" t="str">
        <f>IFERROR(INDEX('DRAFT 1'!$C:$C,MATCH($B98,'DRAFT 1'!$B:$B,0)),"")</f>
        <v/>
      </c>
      <c r="D98" t="str">
        <f>IFERROR(INDEX('DRAFT 1'!$D:$D,MATCH($B98,'DRAFT 1'!$B:$B,0)),"")</f>
        <v/>
      </c>
      <c r="E98" t="str">
        <f>IFERROR(INDEX('DRAFT 1'!$E:$E,MATCH($B98,'DRAFT 1'!$B:$B,0)),"")</f>
        <v/>
      </c>
      <c r="F98" t="str">
        <f>IFERROR(INDEX('DRAFT 1'!$F:$F,MATCH($B98,'DRAFT 1'!$B:$B,0)),"")</f>
        <v/>
      </c>
      <c r="G98" t="str">
        <f>IFERROR(INDEX('DRAFT 1'!$G:$G,MATCH($B98,'DRAFT 1'!$B:$B,0)),"")</f>
        <v/>
      </c>
      <c r="H98" t="str">
        <f>IFERROR(INDEX('DRAFT 1'!$H:$H,MATCH($B98,'DRAFT 1'!$B:$B,0)),"")</f>
        <v/>
      </c>
      <c r="I98" t="s">
        <v>283</v>
      </c>
      <c r="K98" t="str">
        <f>IFERROR(INDEX('DRAFT 1'!$AL:$AL,MATCH($B98,'DRAFT 1'!$B:$B,0)),"")</f>
        <v/>
      </c>
      <c r="L98" t="str">
        <f>IFERROR(INDEX('DRAFT 1'!$J:$J,MATCH($B98,'DRAFT 1'!$B:$B,0)),"")</f>
        <v/>
      </c>
      <c r="M98" t="str">
        <f>IFERROR(INDEX('DRAFT 1'!$K:$K,MATCH($B98,'DRAFT 1'!$B:$B,0)),"")</f>
        <v/>
      </c>
      <c r="N98" t="s">
        <v>77</v>
      </c>
      <c r="P98" t="str">
        <f>IFERROR(INDEX('DRAFT 1'!$L:$L,MATCH($B98,'DRAFT 1'!$B:$B,0)),"")</f>
        <v/>
      </c>
      <c r="Q98" t="str">
        <f>IFERROR(INDEX('DRAFT 1'!$M:$M,MATCH($B98,'DRAFT 1'!$B:$B,0)),"")</f>
        <v/>
      </c>
      <c r="R98" t="str">
        <f>IFERROR(INDEX('DRAFT 1'!$N:$N,MATCH($B98,'DRAFT 1'!$B:$B,0)),"")</f>
        <v/>
      </c>
      <c r="S98" t="str">
        <f>IFERROR(INDEX('DRAFT 1'!$O:$O,MATCH($B98,'DRAFT 1'!$B:$B,0)),"")</f>
        <v/>
      </c>
      <c r="T98" t="str">
        <f>IFERROR(INDEX('DRAFT 1'!$P:$P,MATCH($B98,'DRAFT 1'!$B:$B,0)),"")</f>
        <v/>
      </c>
      <c r="U98" t="str">
        <f>IFERROR(INDEX('DRAFT 1'!$Q:$Q,MATCH($B98,'DRAFT 1'!$B:$B,0)),"")</f>
        <v/>
      </c>
      <c r="V98" t="str">
        <f>IFERROR(INDEX('DRAFT 1'!$R:$R,MATCH($B98,'DRAFT 1'!$B:$B,0)),"")</f>
        <v/>
      </c>
      <c r="W98" t="str">
        <f>IFERROR(INDEX('DRAFT 1'!$S:$S,MATCH($B98,'DRAFT 1'!$B:$B,0)),"")</f>
        <v/>
      </c>
      <c r="X98" t="str">
        <f>IFERROR(INDEX('DRAFT 1'!$T:$T,MATCH($B98,'DRAFT 1'!$B:$B,0)),"")</f>
        <v/>
      </c>
      <c r="Z98" t="str">
        <f>IFERROR(INDEX('DRAFT 1'!$U:$U,MATCH($B98,'DRAFT 1'!$B:$B,0)),"")</f>
        <v/>
      </c>
      <c r="AA98" t="str">
        <f>IFERROR(INDEX('DRAFT 1'!$V:$V,MATCH($B98,'DRAFT 1'!$B:$B,0)),"")</f>
        <v/>
      </c>
      <c r="AB98" t="str">
        <f>IFERROR(INDEX('DRAFT 1'!$W:$W,MATCH($B98,'DRAFT 1'!$B:$B,0)),"")</f>
        <v/>
      </c>
      <c r="AC98" t="str">
        <f>IFERROR(INDEX('DRAFT 1'!$X:$X,MATCH($B98,'DRAFT 1'!$B:$B,0)),"")</f>
        <v/>
      </c>
      <c r="AD98" t="str">
        <f>IFERROR(INDEX('DRAFT 1'!$Y:$Y,MATCH($B98,'DRAFT 1'!$B:$B,0)),"")</f>
        <v/>
      </c>
      <c r="AE98" t="str">
        <f>IFERROR(INDEX('DRAFT 1'!$Z:$Z,MATCH($B98,'DRAFT 1'!$B:$B,0)),"")</f>
        <v/>
      </c>
      <c r="AF98" t="str">
        <f>IFERROR(INDEX('DRAFT 1'!$AA:$AA,MATCH($B98,'DRAFT 1'!$B:$B,0)),"")</f>
        <v/>
      </c>
      <c r="AG98" t="str">
        <f>IFERROR(INDEX('DRAFT 1'!$AB:$AB,MATCH($B98,'DRAFT 1'!$B:$B,0)),"")</f>
        <v/>
      </c>
      <c r="AH98" t="str">
        <f>IFERROR(INDEX('DRAFT 1'!$AC:$AC,MATCH($B98,'DRAFT 1'!$B:$B,0)),"")</f>
        <v/>
      </c>
      <c r="AI98" t="str">
        <f>IFERROR(INDEX('DRAFT 1'!$AD:$AD,MATCH($B98,'DRAFT 1'!$B:$B,0)),"")</f>
        <v/>
      </c>
      <c r="AJ98" t="str">
        <f>IFERROR(INDEX('DRAFT 1'!$AE:$AE,MATCH($B98,'DRAFT 1'!$B:$B,0)),"")</f>
        <v/>
      </c>
      <c r="AK98" t="str">
        <f>IFERROR(INDEX('DRAFT 1'!$AG:$AG,MATCH($B98,'DRAFT 1'!$B:$B,0)),"")</f>
        <v/>
      </c>
      <c r="AL98" t="str">
        <f>IFERROR(INDEX('DRAFT 1'!$AH:$AH,MATCH($B98,'DRAFT 1'!$B:$B,0)),"")</f>
        <v/>
      </c>
      <c r="AM98" t="str">
        <f>IFERROR(INDEX('DRAFT 1'!$AI:$AI,MATCH($B98,'DRAFT 1'!$B:$B,0)),"")</f>
        <v/>
      </c>
      <c r="AN98" t="str">
        <f>IFERROR(INDEX('DRAFT 1'!$AJ:$AJ,MATCH($B98,'DRAFT 1'!$B:$B,0)),"")</f>
        <v/>
      </c>
      <c r="AO98">
        <f t="shared" si="28"/>
        <v>0</v>
      </c>
      <c r="AP98" t="str">
        <f>IFERROR(INDEX('DRAFT 1'!$AK:$AK,MATCH($B98,'DRAFT 1'!$B:$B,0)),"")</f>
        <v/>
      </c>
      <c r="AR98" t="s">
        <v>93</v>
      </c>
      <c r="AS98">
        <f>IFERROR(LOOKUP(2,1/('DRAFT 2'!$D:$D=$B98),'DRAFT 2'!$T:$T),"")</f>
        <v>0</v>
      </c>
      <c r="AT98">
        <f>IFERROR(LOOKUP(2,1/('DRAFT 2'!$D:$D=$B98),'DRAFT 2'!$A:$A),"")</f>
        <v>0</v>
      </c>
      <c r="AU98">
        <f>IFERROR(LOOKUP(2,1/('DRAFT 2'!$D:$D=$B98),'DRAFT 2'!$R:$R),"")</f>
        <v>0</v>
      </c>
      <c r="AV98">
        <f>IFERROR(LOOKUP(2,1/('DRAFT 2'!$D:$D=$B98),'DRAFT 2'!$S:$S),"")</f>
        <v>0</v>
      </c>
      <c r="AW98" t="s">
        <v>126</v>
      </c>
      <c r="AX98">
        <f>IFERROR(LOOKUP(2,1/('DRAFT 2'!$D:$D=$B98),'DRAFT 2'!$M:$M),"")</f>
        <v>0</v>
      </c>
      <c r="AY98">
        <f>IFERROR(LOOKUP(2,1/('DRAFT 2'!$D:$D=$B98),'DRAFT 2'!$K:$K),"")</f>
        <v>0</v>
      </c>
      <c r="BG98">
        <f>IFERROR(LOOKUP(2,1/('DRAFT 2'!$D:$D=$B98),'DRAFT 2'!$U:$U),"")</f>
        <v>0</v>
      </c>
      <c r="BH98">
        <f>IFERROR(LOOKUP(2,1/('DRAFT 2'!$D:$D=$B98),'DRAFT 2'!$V:$V),"")</f>
        <v>0</v>
      </c>
      <c r="CE98" t="str">
        <f t="shared" si="29"/>
        <v/>
      </c>
      <c r="CF98">
        <f>IFERROR(LOOKUP(2,1/('DRAFT 2'!$D:$D=$B98)*('DRAFT 2'!$A:$A&gt;=DATE(2026,1,1))*('DRAFT 2'!$A:$A&lt;DATE(2026,IF(1=12,1+1,1+1),1)),'DRAFT 2'!$A:$A),"")</f>
        <v>0</v>
      </c>
      <c r="CG98">
        <f>COUNTIFS('DRAFT 2'!$D:$D,$B98,'DRAFT 2'!$A:$A,"&gt;="&amp;DATE(2026,1,1),'DRAFT 2'!$A:$A,"&lt;="&amp;DATE(2026,1,7))</f>
        <v>0</v>
      </c>
      <c r="CH98">
        <f>COUNTIFS('DRAFT 2'!$D:$D,$B98,'DRAFT 2'!$A:$A,"&gt;="&amp;DATE(2026,1,8),'DRAFT 2'!$A:$A,"&lt;="&amp;DATE(2026,1,14))</f>
        <v>0</v>
      </c>
      <c r="CI98">
        <f>COUNTIFS('DRAFT 2'!$D:$D,$B98,'DRAFT 2'!$A:$A,"&gt;="&amp;DATE(2026,1,15),'DRAFT 2'!$A:$A,"&lt;="&amp;DATE(2026,1,21))</f>
        <v>0</v>
      </c>
      <c r="CJ98">
        <f>COUNTIFS('DRAFT 2'!$D:$D,$B98,'DRAFT 2'!$A:$A,"&gt;="&amp;DATE(2026,1,22),'DRAFT 2'!$A:$A,"&lt;"&amp;DATE(2026,IF(1=12,1+1,1+1),1))</f>
        <v>0</v>
      </c>
      <c r="CK98">
        <f t="shared" si="30"/>
        <v>0</v>
      </c>
      <c r="CT98">
        <v>0</v>
      </c>
      <c r="CU98">
        <f>IFERROR(LOOKUP(2,1/('DRAFT 2'!$D:$D=$B98)*('DRAFT 2'!$A:$A&gt;=DATE(2026,2,1))*('DRAFT 2'!$A:$A&lt;DATE(2026,IF(2=12,2+1,2+1),1)),'DRAFT 2'!$A:$A),"")</f>
        <v>0</v>
      </c>
      <c r="CV98">
        <f>COUNTIFS('DRAFT 2'!$D:$D,$B98,'DRAFT 2'!$A:$A,"&gt;="&amp;DATE(2026,2,1),'DRAFT 2'!$A:$A,"&lt;="&amp;DATE(2026,2,7))</f>
        <v>0</v>
      </c>
      <c r="CW98">
        <f>COUNTIFS('DRAFT 2'!$D:$D,$B98,'DRAFT 2'!$A:$A,"&gt;="&amp;DATE(2026,2,8),'DRAFT 2'!$A:$A,"&lt;="&amp;DATE(2026,2,14))</f>
        <v>0</v>
      </c>
      <c r="CX98">
        <f>COUNTIFS('DRAFT 2'!$D:$D,$B98,'DRAFT 2'!$A:$A,"&gt;="&amp;DATE(2026,2,15),'DRAFT 2'!$A:$A,"&lt;="&amp;DATE(2026,2,21))</f>
        <v>0</v>
      </c>
      <c r="CY98">
        <f>COUNTIFS('DRAFT 2'!$D:$D,$B98,'DRAFT 2'!$A:$A,"&gt;="&amp;DATE(2026,2,22),'DRAFT 2'!$A:$A,"&lt;"&amp;DATE(2026,IF(2=12,2+1,2+1),1))</f>
        <v>0</v>
      </c>
      <c r="CZ98">
        <f t="shared" si="31"/>
        <v>0</v>
      </c>
      <c r="DJ98">
        <f>IFERROR(LOOKUP(2,1/('DRAFT 2'!$D:$D=$B98)*('DRAFT 2'!$A:$A&gt;=DATE(2026,3,1))*('DRAFT 2'!$A:$A&lt;DATE(2026,IF(3=12,3+1,3+1),1)),'DRAFT 2'!$A:$A),"")</f>
        <v>0</v>
      </c>
      <c r="DK98">
        <f>COUNTIFS('DRAFT 2'!$D:$D,$B98,'DRAFT 2'!$A:$A,"&gt;="&amp;DATE(2026,3,1),'DRAFT 2'!$A:$A,"&lt;="&amp;DATE(2026,3,7))</f>
        <v>0</v>
      </c>
      <c r="DL98">
        <f>COUNTIFS('DRAFT 2'!$D:$D,$B98,'DRAFT 2'!$A:$A,"&gt;="&amp;DATE(2026,3,8),'DRAFT 2'!$A:$A,"&lt;="&amp;DATE(2026,3,14))</f>
        <v>0</v>
      </c>
      <c r="DM98">
        <f>COUNTIFS('DRAFT 2'!$D:$D,$B98,'DRAFT 2'!$A:$A,"&gt;="&amp;DATE(2026,3,15),'DRAFT 2'!$A:$A,"&lt;="&amp;DATE(2026,3,21))</f>
        <v>0</v>
      </c>
      <c r="DN98">
        <f>COUNTIFS('DRAFT 2'!$D:$D,$B98,'DRAFT 2'!$A:$A,"&gt;="&amp;DATE(2026,3,22),'DRAFT 2'!$A:$A,"&lt;"&amp;DATE(2026,IF(3=12,3+1,3+1),1))</f>
        <v>0</v>
      </c>
      <c r="DO98">
        <f t="shared" si="32"/>
        <v>0</v>
      </c>
      <c r="DZ98">
        <f>IFERROR(LOOKUP(2,1/('DRAFT 2'!$D:$D=$B98)*('DRAFT 2'!$A:$A&gt;=DATE(2026,4,1))*('DRAFT 2'!$A:$A&lt;DATE(2026,IF(4=12,4+1,4+1),1)),'DRAFT 2'!$A:$A),"")</f>
        <v>0</v>
      </c>
      <c r="EA98">
        <f>COUNTIFS('DRAFT 2'!$D:$D,$B98,'DRAFT 2'!$A:$A,"&gt;="&amp;DATE(2026,4,1),'DRAFT 2'!$A:$A,"&lt;="&amp;DATE(2026,4,7))</f>
        <v>0</v>
      </c>
      <c r="EB98">
        <f>COUNTIFS('DRAFT 2'!$D:$D,$B98,'DRAFT 2'!$A:$A,"&gt;="&amp;DATE(2026,4,8),'DRAFT 2'!$A:$A,"&lt;="&amp;DATE(2026,4,14))</f>
        <v>0</v>
      </c>
      <c r="EC98">
        <f>COUNTIFS('DRAFT 2'!$D:$D,$B98,'DRAFT 2'!$A:$A,"&gt;="&amp;DATE(2026,4,15),'DRAFT 2'!$A:$A,"&lt;="&amp;DATE(2026,4,21))</f>
        <v>0</v>
      </c>
      <c r="ED98">
        <f>COUNTIFS('DRAFT 2'!$D:$D,$B98,'DRAFT 2'!$A:$A,"&gt;="&amp;DATE(2026,4,22),'DRAFT 2'!$A:$A,"&lt;"&amp;DATE(2026,IF(4=12,4+1,4+1),1))</f>
        <v>0</v>
      </c>
      <c r="EE98">
        <f t="shared" si="33"/>
        <v>0</v>
      </c>
      <c r="EO98">
        <f>IFERROR(LOOKUP(2,1/('DRAFT 2'!$D:$D=$B98)*('DRAFT 2'!$A:$A&gt;=DATE(2026,5,1))*('DRAFT 2'!$A:$A&lt;DATE(2026,IF(5=12,5+1,5+1),1)),'DRAFT 2'!$A:$A),"")</f>
        <v>0</v>
      </c>
      <c r="EP98">
        <f>COUNTIFS('DRAFT 2'!$D:$D,$B98,'DRAFT 2'!$A:$A,"&gt;="&amp;DATE(2026,5,1),'DRAFT 2'!$A:$A,"&lt;="&amp;DATE(2026,5,7))</f>
        <v>0</v>
      </c>
      <c r="EQ98">
        <f>COUNTIFS('DRAFT 2'!$D:$D,$B98,'DRAFT 2'!$A:$A,"&gt;="&amp;DATE(2026,5,8),'DRAFT 2'!$A:$A,"&lt;="&amp;DATE(2026,5,14))</f>
        <v>0</v>
      </c>
      <c r="ER98">
        <f>COUNTIFS('DRAFT 2'!$D:$D,$B98,'DRAFT 2'!$A:$A,"&gt;="&amp;DATE(2026,5,15),'DRAFT 2'!$A:$A,"&lt;="&amp;DATE(2026,5,21))</f>
        <v>0</v>
      </c>
      <c r="ES98">
        <f>COUNTIFS('DRAFT 2'!$D:$D,$B98,'DRAFT 2'!$A:$A,"&gt;="&amp;DATE(2026,5,22),'DRAFT 2'!$A:$A,"&lt;"&amp;DATE(2026,IF(5=12,5+1,5+1),1))</f>
        <v>0</v>
      </c>
      <c r="ET98">
        <f t="shared" si="34"/>
        <v>0</v>
      </c>
      <c r="FD98">
        <f>IFERROR(LOOKUP(2,1/('DRAFT 2'!$D:$D=$B98)*('DRAFT 2'!$A:$A&gt;=DATE(2026,6,1))*('DRAFT 2'!$A:$A&lt;DATE(2026,IF(6=12,6+1,6+1),1)),'DRAFT 2'!$A:$A),"")</f>
        <v>0</v>
      </c>
      <c r="FE98">
        <f>COUNTIFS('DRAFT 2'!$D:$D,$B98,'DRAFT 2'!$A:$A,"&gt;="&amp;DATE(2026,6,1),'DRAFT 2'!$A:$A,"&lt;="&amp;DATE(2026,6,7))</f>
        <v>0</v>
      </c>
      <c r="FF98">
        <f>COUNTIFS('DRAFT 2'!$D:$D,$B98,'DRAFT 2'!$A:$A,"&gt;="&amp;DATE(2026,6,8),'DRAFT 2'!$A:$A,"&lt;="&amp;DATE(2026,6,14))</f>
        <v>0</v>
      </c>
      <c r="FG98">
        <f>COUNTIFS('DRAFT 2'!$D:$D,$B98,'DRAFT 2'!$A:$A,"&gt;="&amp;DATE(2026,6,15),'DRAFT 2'!$A:$A,"&lt;="&amp;DATE(2026,6,21))</f>
        <v>0</v>
      </c>
      <c r="FH98">
        <f>COUNTIFS('DRAFT 2'!$D:$D,$B98,'DRAFT 2'!$A:$A,"&gt;="&amp;DATE(2026,6,22),'DRAFT 2'!$A:$A,"&lt;"&amp;DATE(2026,IF(6=12,6+1,6+1),1))</f>
        <v>0</v>
      </c>
      <c r="FI98">
        <f t="shared" si="35"/>
        <v>0</v>
      </c>
      <c r="FT98">
        <f>IFERROR(LOOKUP(2,1/('DRAFT 2'!$D:$D=$B98)*('DRAFT 2'!$A:$A&gt;=DATE(2026,7,1))*('DRAFT 2'!$A:$A&lt;DATE(2026,IF(7=12,7+1,7+1),1)),'DRAFT 2'!$A:$A),"")</f>
        <v>0</v>
      </c>
      <c r="FU98">
        <f>COUNTIFS('DRAFT 2'!$D:$D,$B98,'DRAFT 2'!$A:$A,"&gt;="&amp;DATE(2026,7,1),'DRAFT 2'!$A:$A,"&lt;="&amp;DATE(2026,7,7))</f>
        <v>0</v>
      </c>
      <c r="FV98">
        <f>COUNTIFS('DRAFT 2'!$D:$D,$B98,'DRAFT 2'!$A:$A,"&gt;="&amp;DATE(2026,7,8),'DRAFT 2'!$A:$A,"&lt;="&amp;DATE(2026,7,14))</f>
        <v>0</v>
      </c>
      <c r="FW98">
        <f>COUNTIFS('DRAFT 2'!$D:$D,$B98,'DRAFT 2'!$A:$A,"&gt;="&amp;DATE(2026,7,15),'DRAFT 2'!$A:$A,"&lt;="&amp;DATE(2026,7,21))</f>
        <v>0</v>
      </c>
      <c r="FX98">
        <f>COUNTIFS('DRAFT 2'!$D:$D,$B98,'DRAFT 2'!$A:$A,"&gt;="&amp;DATE(2026,7,22),'DRAFT 2'!$A:$A,"&lt;"&amp;DATE(2026,IF(7=12,7+1,7+1),1))</f>
        <v>0</v>
      </c>
      <c r="FY98">
        <f t="shared" si="36"/>
        <v>0</v>
      </c>
      <c r="GI98">
        <f>IFERROR(LOOKUP(2,1/('DRAFT 2'!$D:$D=$B98)*('DRAFT 2'!$A:$A&gt;=DATE(2026,8,1))*('DRAFT 2'!$A:$A&lt;DATE(2026,IF(8=12,8+1,8+1),1)),'DRAFT 2'!$A:$A),"")</f>
        <v>0</v>
      </c>
      <c r="GJ98">
        <f>COUNTIFS('DRAFT 2'!$D:$D,$B98,'DRAFT 2'!$A:$A,"&gt;="&amp;DATE(2026,8,1),'DRAFT 2'!$A:$A,"&lt;="&amp;DATE(2026,8,7))</f>
        <v>0</v>
      </c>
      <c r="GK98">
        <f>COUNTIFS('DRAFT 2'!$D:$D,$B98,'DRAFT 2'!$A:$A,"&gt;="&amp;DATE(2026,8,8),'DRAFT 2'!$A:$A,"&lt;="&amp;DATE(2026,8,14))</f>
        <v>0</v>
      </c>
      <c r="GL98">
        <f>COUNTIFS('DRAFT 2'!$D:$D,$B98,'DRAFT 2'!$A:$A,"&gt;="&amp;DATE(2026,8,15),'DRAFT 2'!$A:$A,"&lt;="&amp;DATE(2026,8,21))</f>
        <v>0</v>
      </c>
      <c r="GM98">
        <f>COUNTIFS('DRAFT 2'!$D:$D,$B98,'DRAFT 2'!$A:$A,"&gt;="&amp;DATE(2026,8,22),'DRAFT 2'!$A:$A,"&lt;"&amp;DATE(2026,IF(8=12,8+1,8+1),1))</f>
        <v>0</v>
      </c>
      <c r="GN98">
        <f t="shared" si="37"/>
        <v>0</v>
      </c>
      <c r="GX98">
        <f>IFERROR(LOOKUP(2,1/('DRAFT 2'!$D:$D=$B98)*('DRAFT 2'!$A:$A&gt;=DATE(2026,9,1))*('DRAFT 2'!$A:$A&lt;DATE(2026,IF(9=12,9+1,9+1),1)),'DRAFT 2'!$A:$A),"")</f>
        <v>0</v>
      </c>
      <c r="GY98">
        <f>COUNTIFS('DRAFT 2'!$D:$D,$B98,'DRAFT 2'!$A:$A,"&gt;="&amp;DATE(2026,9,1),'DRAFT 2'!$A:$A,"&lt;="&amp;DATE(2026,9,7))</f>
        <v>0</v>
      </c>
      <c r="GZ98">
        <f>COUNTIFS('DRAFT 2'!$D:$D,$B98,'DRAFT 2'!$A:$A,"&gt;="&amp;DATE(2026,9,8),'DRAFT 2'!$A:$A,"&lt;="&amp;DATE(2026,9,14))</f>
        <v>0</v>
      </c>
      <c r="HA98">
        <f>COUNTIFS('DRAFT 2'!$D:$D,$B98,'DRAFT 2'!$A:$A,"&gt;="&amp;DATE(2026,9,15),'DRAFT 2'!$A:$A,"&lt;="&amp;DATE(2026,9,21))</f>
        <v>0</v>
      </c>
      <c r="HB98">
        <f>COUNTIFS('DRAFT 2'!$D:$D,$B98,'DRAFT 2'!$A:$A,"&gt;="&amp;DATE(2026,9,22),'DRAFT 2'!$A:$A,"&lt;"&amp;DATE(2026,IF(9=12,9+1,9+1),1))</f>
        <v>0</v>
      </c>
      <c r="HC98">
        <f t="shared" si="38"/>
        <v>0</v>
      </c>
      <c r="HN98">
        <f>IFERROR(LOOKUP(2,1/('DRAFT 2'!$D:$D=$B98)*('DRAFT 2'!$A:$A&gt;=DATE(2026,10,1))*('DRAFT 2'!$A:$A&lt;DATE(2026,IF(10=12,10+1,10+1),1)),'DRAFT 2'!$A:$A),"")</f>
        <v>0</v>
      </c>
      <c r="HO98">
        <f>COUNTIFS('DRAFT 2'!$D:$D,$B98,'DRAFT 2'!$A:$A,"&gt;="&amp;DATE(2026,10,1),'DRAFT 2'!$A:$A,"&lt;="&amp;DATE(2026,10,7))</f>
        <v>0</v>
      </c>
      <c r="HP98">
        <f>COUNTIFS('DRAFT 2'!$D:$D,$B98,'DRAFT 2'!$A:$A,"&gt;="&amp;DATE(2026,10,8),'DRAFT 2'!$A:$A,"&lt;="&amp;DATE(2026,10,14))</f>
        <v>0</v>
      </c>
      <c r="HQ98">
        <f>COUNTIFS('DRAFT 2'!$D:$D,$B98,'DRAFT 2'!$A:$A,"&gt;="&amp;DATE(2026,10,15),'DRAFT 2'!$A:$A,"&lt;="&amp;DATE(2026,10,21))</f>
        <v>0</v>
      </c>
      <c r="HR98">
        <f>COUNTIFS('DRAFT 2'!$D:$D,$B98,'DRAFT 2'!$A:$A,"&gt;="&amp;DATE(2026,10,22),'DRAFT 2'!$A:$A,"&lt;"&amp;DATE(2026,IF(10=12,10+1,10+1),1))</f>
        <v>0</v>
      </c>
      <c r="HS98">
        <f t="shared" si="39"/>
        <v>0</v>
      </c>
      <c r="IC98">
        <f>IFERROR(LOOKUP(2,1/('DRAFT 2'!$D:$D=$B98)*('DRAFT 2'!$A:$A&gt;=DATE(2026,11,1))*('DRAFT 2'!$A:$A&lt;DATE(2026,IF(11=12,11+1,11+1),1)),'DRAFT 2'!$A:$A),"")</f>
        <v>0</v>
      </c>
      <c r="ID98">
        <f>COUNTIFS('DRAFT 2'!$D:$D,$B98,'DRAFT 2'!$A:$A,"&gt;="&amp;DATE(2026,11,1),'DRAFT 2'!$A:$A,"&lt;="&amp;DATE(2026,11,7))</f>
        <v>0</v>
      </c>
      <c r="IE98">
        <f>COUNTIFS('DRAFT 2'!$D:$D,$B98,'DRAFT 2'!$A:$A,"&gt;="&amp;DATE(2026,11,8),'DRAFT 2'!$A:$A,"&lt;="&amp;DATE(2026,11,14))</f>
        <v>0</v>
      </c>
      <c r="IF98">
        <f>COUNTIFS('DRAFT 2'!$D:$D,$B98,'DRAFT 2'!$A:$A,"&gt;="&amp;DATE(2026,11,15),'DRAFT 2'!$A:$A,"&lt;="&amp;DATE(2026,11,21))</f>
        <v>0</v>
      </c>
      <c r="IG98">
        <f>COUNTIFS('DRAFT 2'!$D:$D,$B98,'DRAFT 2'!$A:$A,"&gt;="&amp;DATE(2026,11,22),'DRAFT 2'!$A:$A,"&lt;"&amp;DATE(2026,IF(11=12,11+1,11+1),1))</f>
        <v>0</v>
      </c>
      <c r="IH98">
        <f t="shared" si="40"/>
        <v>0</v>
      </c>
      <c r="IR98">
        <f>IFERROR(LOOKUP(2,1/('DRAFT 2'!$D:$D=$B98)*('DRAFT 2'!$A:$A&gt;=DATE(2026,12,1))*('DRAFT 2'!$A:$A&lt;DATE(2026,IF(12=12,12+1,12+1),1)),'DRAFT 2'!$A:$A),"")</f>
        <v>0</v>
      </c>
      <c r="IS98">
        <f>COUNTIFS('DRAFT 2'!$D:$D,$B98,'DRAFT 2'!$A:$A,"&gt;="&amp;DATE(2026,12,1),'DRAFT 2'!$A:$A,"&lt;="&amp;DATE(2026,12,7))</f>
        <v>0</v>
      </c>
      <c r="IT98">
        <f>COUNTIFS('DRAFT 2'!$D:$D,$B98,'DRAFT 2'!$A:$A,"&gt;="&amp;DATE(2026,12,8),'DRAFT 2'!$A:$A,"&lt;="&amp;DATE(2026,12,14))</f>
        <v>0</v>
      </c>
      <c r="IU98">
        <f>COUNTIFS('DRAFT 2'!$D:$D,$B98,'DRAFT 2'!$A:$A,"&gt;="&amp;DATE(2026,12,15),'DRAFT 2'!$A:$A,"&lt;="&amp;DATE(2026,12,21))</f>
        <v>0</v>
      </c>
      <c r="IV98">
        <f>COUNTIFS('DRAFT 2'!$D:$D,$B98,'DRAFT 2'!$A:$A,"&gt;="&amp;DATE(2026,12,22),'DRAFT 2'!$A:$A,"&lt;"&amp;DATE(2026,IF(12=12,12+1,12+1),1))</f>
        <v>0</v>
      </c>
      <c r="IW98">
        <f t="shared" si="41"/>
        <v>0</v>
      </c>
    </row>
    <row r="99" spans="1:257" x14ac:dyDescent="0.3">
      <c r="A99" t="str">
        <f>IFERROR(INDEX('DRAFT 1'!$A:$A,MATCH($B99,'DRAFT 1'!$B:$B,0)),"")</f>
        <v/>
      </c>
      <c r="C99" t="str">
        <f>IFERROR(INDEX('DRAFT 1'!$C:$C,MATCH($B99,'DRAFT 1'!$B:$B,0)),"")</f>
        <v/>
      </c>
      <c r="D99" t="str">
        <f>IFERROR(INDEX('DRAFT 1'!$D:$D,MATCH($B99,'DRAFT 1'!$B:$B,0)),"")</f>
        <v/>
      </c>
      <c r="E99" t="str">
        <f>IFERROR(INDEX('DRAFT 1'!$E:$E,MATCH($B99,'DRAFT 1'!$B:$B,0)),"")</f>
        <v/>
      </c>
      <c r="F99" t="str">
        <f>IFERROR(INDEX('DRAFT 1'!$F:$F,MATCH($B99,'DRAFT 1'!$B:$B,0)),"")</f>
        <v/>
      </c>
      <c r="G99" t="str">
        <f>IFERROR(INDEX('DRAFT 1'!$G:$G,MATCH($B99,'DRAFT 1'!$B:$B,0)),"")</f>
        <v/>
      </c>
      <c r="H99" t="str">
        <f>IFERROR(INDEX('DRAFT 1'!$H:$H,MATCH($B99,'DRAFT 1'!$B:$B,0)),"")</f>
        <v/>
      </c>
      <c r="I99" t="s">
        <v>283</v>
      </c>
      <c r="K99" t="str">
        <f>IFERROR(INDEX('DRAFT 1'!$AL:$AL,MATCH($B99,'DRAFT 1'!$B:$B,0)),"")</f>
        <v/>
      </c>
      <c r="L99" t="str">
        <f>IFERROR(INDEX('DRAFT 1'!$J:$J,MATCH($B99,'DRAFT 1'!$B:$B,0)),"")</f>
        <v/>
      </c>
      <c r="M99" t="str">
        <f>IFERROR(INDEX('DRAFT 1'!$K:$K,MATCH($B99,'DRAFT 1'!$B:$B,0)),"")</f>
        <v/>
      </c>
      <c r="N99" t="s">
        <v>79</v>
      </c>
      <c r="P99" t="str">
        <f>IFERROR(INDEX('DRAFT 1'!$L:$L,MATCH($B99,'DRAFT 1'!$B:$B,0)),"")</f>
        <v/>
      </c>
      <c r="Q99" t="str">
        <f>IFERROR(INDEX('DRAFT 1'!$M:$M,MATCH($B99,'DRAFT 1'!$B:$B,0)),"")</f>
        <v/>
      </c>
      <c r="R99" t="str">
        <f>IFERROR(INDEX('DRAFT 1'!$N:$N,MATCH($B99,'DRAFT 1'!$B:$B,0)),"")</f>
        <v/>
      </c>
      <c r="S99" t="str">
        <f>IFERROR(INDEX('DRAFT 1'!$O:$O,MATCH($B99,'DRAFT 1'!$B:$B,0)),"")</f>
        <v/>
      </c>
      <c r="T99" t="str">
        <f>IFERROR(INDEX('DRAFT 1'!$P:$P,MATCH($B99,'DRAFT 1'!$B:$B,0)),"")</f>
        <v/>
      </c>
      <c r="U99" t="str">
        <f>IFERROR(INDEX('DRAFT 1'!$Q:$Q,MATCH($B99,'DRAFT 1'!$B:$B,0)),"")</f>
        <v/>
      </c>
      <c r="V99" t="str">
        <f>IFERROR(INDEX('DRAFT 1'!$R:$R,MATCH($B99,'DRAFT 1'!$B:$B,0)),"")</f>
        <v/>
      </c>
      <c r="W99" t="str">
        <f>IFERROR(INDEX('DRAFT 1'!$S:$S,MATCH($B99,'DRAFT 1'!$B:$B,0)),"")</f>
        <v/>
      </c>
      <c r="X99" t="str">
        <f>IFERROR(INDEX('DRAFT 1'!$T:$T,MATCH($B99,'DRAFT 1'!$B:$B,0)),"")</f>
        <v/>
      </c>
      <c r="Z99" t="str">
        <f>IFERROR(INDEX('DRAFT 1'!$U:$U,MATCH($B99,'DRAFT 1'!$B:$B,0)),"")</f>
        <v/>
      </c>
      <c r="AA99" t="str">
        <f>IFERROR(INDEX('DRAFT 1'!$V:$V,MATCH($B99,'DRAFT 1'!$B:$B,0)),"")</f>
        <v/>
      </c>
      <c r="AB99" t="str">
        <f>IFERROR(INDEX('DRAFT 1'!$W:$W,MATCH($B99,'DRAFT 1'!$B:$B,0)),"")</f>
        <v/>
      </c>
      <c r="AC99" t="str">
        <f>IFERROR(INDEX('DRAFT 1'!$X:$X,MATCH($B99,'DRAFT 1'!$B:$B,0)),"")</f>
        <v/>
      </c>
      <c r="AD99" t="str">
        <f>IFERROR(INDEX('DRAFT 1'!$Y:$Y,MATCH($B99,'DRAFT 1'!$B:$B,0)),"")</f>
        <v/>
      </c>
      <c r="AE99" t="str">
        <f>IFERROR(INDEX('DRAFT 1'!$Z:$Z,MATCH($B99,'DRAFT 1'!$B:$B,0)),"")</f>
        <v/>
      </c>
      <c r="AF99" t="str">
        <f>IFERROR(INDEX('DRAFT 1'!$AA:$AA,MATCH($B99,'DRAFT 1'!$B:$B,0)),"")</f>
        <v/>
      </c>
      <c r="AG99" t="str">
        <f>IFERROR(INDEX('DRAFT 1'!$AB:$AB,MATCH($B99,'DRAFT 1'!$B:$B,0)),"")</f>
        <v/>
      </c>
      <c r="AH99" t="str">
        <f>IFERROR(INDEX('DRAFT 1'!$AC:$AC,MATCH($B99,'DRAFT 1'!$B:$B,0)),"")</f>
        <v/>
      </c>
      <c r="AI99" t="str">
        <f>IFERROR(INDEX('DRAFT 1'!$AD:$AD,MATCH($B99,'DRAFT 1'!$B:$B,0)),"")</f>
        <v/>
      </c>
      <c r="AJ99" t="str">
        <f>IFERROR(INDEX('DRAFT 1'!$AE:$AE,MATCH($B99,'DRAFT 1'!$B:$B,0)),"")</f>
        <v/>
      </c>
      <c r="AK99" t="str">
        <f>IFERROR(INDEX('DRAFT 1'!$AG:$AG,MATCH($B99,'DRAFT 1'!$B:$B,0)),"")</f>
        <v/>
      </c>
      <c r="AL99" t="str">
        <f>IFERROR(INDEX('DRAFT 1'!$AH:$AH,MATCH($B99,'DRAFT 1'!$B:$B,0)),"")</f>
        <v/>
      </c>
      <c r="AM99" t="str">
        <f>IFERROR(INDEX('DRAFT 1'!$AI:$AI,MATCH($B99,'DRAFT 1'!$B:$B,0)),"")</f>
        <v/>
      </c>
      <c r="AN99" t="str">
        <f>IFERROR(INDEX('DRAFT 1'!$AJ:$AJ,MATCH($B99,'DRAFT 1'!$B:$B,0)),"")</f>
        <v/>
      </c>
      <c r="AO99">
        <f t="shared" si="28"/>
        <v>0</v>
      </c>
      <c r="AP99" t="str">
        <f>IFERROR(INDEX('DRAFT 1'!$AK:$AK,MATCH($B99,'DRAFT 1'!$B:$B,0)),"")</f>
        <v/>
      </c>
      <c r="AR99" t="s">
        <v>91</v>
      </c>
      <c r="AS99">
        <f>IFERROR(LOOKUP(2,1/('DRAFT 2'!$D:$D=$B99),'DRAFT 2'!$T:$T),"")</f>
        <v>0</v>
      </c>
      <c r="AT99">
        <f>IFERROR(LOOKUP(2,1/('DRAFT 2'!$D:$D=$B99),'DRAFT 2'!$A:$A),"")</f>
        <v>0</v>
      </c>
      <c r="AU99">
        <f>IFERROR(LOOKUP(2,1/('DRAFT 2'!$D:$D=$B99),'DRAFT 2'!$R:$R),"")</f>
        <v>0</v>
      </c>
      <c r="AV99">
        <f>IFERROR(LOOKUP(2,1/('DRAFT 2'!$D:$D=$B99),'DRAFT 2'!$S:$S),"")</f>
        <v>0</v>
      </c>
      <c r="AW99" t="s">
        <v>88</v>
      </c>
      <c r="AX99">
        <f>IFERROR(LOOKUP(2,1/('DRAFT 2'!$D:$D=$B99),'DRAFT 2'!$M:$M),"")</f>
        <v>0</v>
      </c>
      <c r="AY99">
        <f>IFERROR(LOOKUP(2,1/('DRAFT 2'!$D:$D=$B99),'DRAFT 2'!$K:$K),"")</f>
        <v>0</v>
      </c>
      <c r="BG99">
        <f>IFERROR(LOOKUP(2,1/('DRAFT 2'!$D:$D=$B99),'DRAFT 2'!$U:$U),"")</f>
        <v>0</v>
      </c>
      <c r="BH99">
        <f>IFERROR(LOOKUP(2,1/('DRAFT 2'!$D:$D=$B99),'DRAFT 2'!$V:$V),"")</f>
        <v>0</v>
      </c>
      <c r="CE99" t="str">
        <f t="shared" si="29"/>
        <v/>
      </c>
      <c r="CF99">
        <f>IFERROR(LOOKUP(2,1/('DRAFT 2'!$D:$D=$B99)*('DRAFT 2'!$A:$A&gt;=DATE(2026,1,1))*('DRAFT 2'!$A:$A&lt;DATE(2026,IF(1=12,1+1,1+1),1)),'DRAFT 2'!$A:$A),"")</f>
        <v>0</v>
      </c>
      <c r="CG99">
        <f>COUNTIFS('DRAFT 2'!$D:$D,$B99,'DRAFT 2'!$A:$A,"&gt;="&amp;DATE(2026,1,1),'DRAFT 2'!$A:$A,"&lt;="&amp;DATE(2026,1,7))</f>
        <v>0</v>
      </c>
      <c r="CH99">
        <f>COUNTIFS('DRAFT 2'!$D:$D,$B99,'DRAFT 2'!$A:$A,"&gt;="&amp;DATE(2026,1,8),'DRAFT 2'!$A:$A,"&lt;="&amp;DATE(2026,1,14))</f>
        <v>0</v>
      </c>
      <c r="CI99">
        <f>COUNTIFS('DRAFT 2'!$D:$D,$B99,'DRAFT 2'!$A:$A,"&gt;="&amp;DATE(2026,1,15),'DRAFT 2'!$A:$A,"&lt;="&amp;DATE(2026,1,21))</f>
        <v>0</v>
      </c>
      <c r="CJ99">
        <f>COUNTIFS('DRAFT 2'!$D:$D,$B99,'DRAFT 2'!$A:$A,"&gt;="&amp;DATE(2026,1,22),'DRAFT 2'!$A:$A,"&lt;"&amp;DATE(2026,IF(1=12,1+1,1+1),1))</f>
        <v>0</v>
      </c>
      <c r="CK99">
        <f t="shared" si="30"/>
        <v>0</v>
      </c>
      <c r="CT99">
        <v>0</v>
      </c>
      <c r="CU99">
        <f>IFERROR(LOOKUP(2,1/('DRAFT 2'!$D:$D=$B99)*('DRAFT 2'!$A:$A&gt;=DATE(2026,2,1))*('DRAFT 2'!$A:$A&lt;DATE(2026,IF(2=12,2+1,2+1),1)),'DRAFT 2'!$A:$A),"")</f>
        <v>0</v>
      </c>
      <c r="CV99">
        <f>COUNTIFS('DRAFT 2'!$D:$D,$B99,'DRAFT 2'!$A:$A,"&gt;="&amp;DATE(2026,2,1),'DRAFT 2'!$A:$A,"&lt;="&amp;DATE(2026,2,7))</f>
        <v>0</v>
      </c>
      <c r="CW99">
        <f>COUNTIFS('DRAFT 2'!$D:$D,$B99,'DRAFT 2'!$A:$A,"&gt;="&amp;DATE(2026,2,8),'DRAFT 2'!$A:$A,"&lt;="&amp;DATE(2026,2,14))</f>
        <v>0</v>
      </c>
      <c r="CX99">
        <f>COUNTIFS('DRAFT 2'!$D:$D,$B99,'DRAFT 2'!$A:$A,"&gt;="&amp;DATE(2026,2,15),'DRAFT 2'!$A:$A,"&lt;="&amp;DATE(2026,2,21))</f>
        <v>0</v>
      </c>
      <c r="CY99">
        <f>COUNTIFS('DRAFT 2'!$D:$D,$B99,'DRAFT 2'!$A:$A,"&gt;="&amp;DATE(2026,2,22),'DRAFT 2'!$A:$A,"&lt;"&amp;DATE(2026,IF(2=12,2+1,2+1),1))</f>
        <v>0</v>
      </c>
      <c r="CZ99">
        <f t="shared" si="31"/>
        <v>0</v>
      </c>
      <c r="DJ99">
        <f>IFERROR(LOOKUP(2,1/('DRAFT 2'!$D:$D=$B99)*('DRAFT 2'!$A:$A&gt;=DATE(2026,3,1))*('DRAFT 2'!$A:$A&lt;DATE(2026,IF(3=12,3+1,3+1),1)),'DRAFT 2'!$A:$A),"")</f>
        <v>0</v>
      </c>
      <c r="DK99">
        <f>COUNTIFS('DRAFT 2'!$D:$D,$B99,'DRAFT 2'!$A:$A,"&gt;="&amp;DATE(2026,3,1),'DRAFT 2'!$A:$A,"&lt;="&amp;DATE(2026,3,7))</f>
        <v>0</v>
      </c>
      <c r="DL99">
        <f>COUNTIFS('DRAFT 2'!$D:$D,$B99,'DRAFT 2'!$A:$A,"&gt;="&amp;DATE(2026,3,8),'DRAFT 2'!$A:$A,"&lt;="&amp;DATE(2026,3,14))</f>
        <v>0</v>
      </c>
      <c r="DM99">
        <f>COUNTIFS('DRAFT 2'!$D:$D,$B99,'DRAFT 2'!$A:$A,"&gt;="&amp;DATE(2026,3,15),'DRAFT 2'!$A:$A,"&lt;="&amp;DATE(2026,3,21))</f>
        <v>0</v>
      </c>
      <c r="DN99">
        <f>COUNTIFS('DRAFT 2'!$D:$D,$B99,'DRAFT 2'!$A:$A,"&gt;="&amp;DATE(2026,3,22),'DRAFT 2'!$A:$A,"&lt;"&amp;DATE(2026,IF(3=12,3+1,3+1),1))</f>
        <v>0</v>
      </c>
      <c r="DO99">
        <f t="shared" si="32"/>
        <v>0</v>
      </c>
      <c r="DZ99">
        <f>IFERROR(LOOKUP(2,1/('DRAFT 2'!$D:$D=$B99)*('DRAFT 2'!$A:$A&gt;=DATE(2026,4,1))*('DRAFT 2'!$A:$A&lt;DATE(2026,IF(4=12,4+1,4+1),1)),'DRAFT 2'!$A:$A),"")</f>
        <v>0</v>
      </c>
      <c r="EA99">
        <f>COUNTIFS('DRAFT 2'!$D:$D,$B99,'DRAFT 2'!$A:$A,"&gt;="&amp;DATE(2026,4,1),'DRAFT 2'!$A:$A,"&lt;="&amp;DATE(2026,4,7))</f>
        <v>0</v>
      </c>
      <c r="EB99">
        <f>COUNTIFS('DRAFT 2'!$D:$D,$B99,'DRAFT 2'!$A:$A,"&gt;="&amp;DATE(2026,4,8),'DRAFT 2'!$A:$A,"&lt;="&amp;DATE(2026,4,14))</f>
        <v>0</v>
      </c>
      <c r="EC99">
        <f>COUNTIFS('DRAFT 2'!$D:$D,$B99,'DRAFT 2'!$A:$A,"&gt;="&amp;DATE(2026,4,15),'DRAFT 2'!$A:$A,"&lt;="&amp;DATE(2026,4,21))</f>
        <v>0</v>
      </c>
      <c r="ED99">
        <f>COUNTIFS('DRAFT 2'!$D:$D,$B99,'DRAFT 2'!$A:$A,"&gt;="&amp;DATE(2026,4,22),'DRAFT 2'!$A:$A,"&lt;"&amp;DATE(2026,IF(4=12,4+1,4+1),1))</f>
        <v>0</v>
      </c>
      <c r="EE99">
        <f t="shared" si="33"/>
        <v>0</v>
      </c>
      <c r="EO99">
        <f>IFERROR(LOOKUP(2,1/('DRAFT 2'!$D:$D=$B99)*('DRAFT 2'!$A:$A&gt;=DATE(2026,5,1))*('DRAFT 2'!$A:$A&lt;DATE(2026,IF(5=12,5+1,5+1),1)),'DRAFT 2'!$A:$A),"")</f>
        <v>0</v>
      </c>
      <c r="EP99">
        <f>COUNTIFS('DRAFT 2'!$D:$D,$B99,'DRAFT 2'!$A:$A,"&gt;="&amp;DATE(2026,5,1),'DRAFT 2'!$A:$A,"&lt;="&amp;DATE(2026,5,7))</f>
        <v>0</v>
      </c>
      <c r="EQ99">
        <f>COUNTIFS('DRAFT 2'!$D:$D,$B99,'DRAFT 2'!$A:$A,"&gt;="&amp;DATE(2026,5,8),'DRAFT 2'!$A:$A,"&lt;="&amp;DATE(2026,5,14))</f>
        <v>0</v>
      </c>
      <c r="ER99">
        <f>COUNTIFS('DRAFT 2'!$D:$D,$B99,'DRAFT 2'!$A:$A,"&gt;="&amp;DATE(2026,5,15),'DRAFT 2'!$A:$A,"&lt;="&amp;DATE(2026,5,21))</f>
        <v>0</v>
      </c>
      <c r="ES99">
        <f>COUNTIFS('DRAFT 2'!$D:$D,$B99,'DRAFT 2'!$A:$A,"&gt;="&amp;DATE(2026,5,22),'DRAFT 2'!$A:$A,"&lt;"&amp;DATE(2026,IF(5=12,5+1,5+1),1))</f>
        <v>0</v>
      </c>
      <c r="ET99">
        <f t="shared" si="34"/>
        <v>0</v>
      </c>
      <c r="FD99">
        <f>IFERROR(LOOKUP(2,1/('DRAFT 2'!$D:$D=$B99)*('DRAFT 2'!$A:$A&gt;=DATE(2026,6,1))*('DRAFT 2'!$A:$A&lt;DATE(2026,IF(6=12,6+1,6+1),1)),'DRAFT 2'!$A:$A),"")</f>
        <v>0</v>
      </c>
      <c r="FE99">
        <f>COUNTIFS('DRAFT 2'!$D:$D,$B99,'DRAFT 2'!$A:$A,"&gt;="&amp;DATE(2026,6,1),'DRAFT 2'!$A:$A,"&lt;="&amp;DATE(2026,6,7))</f>
        <v>0</v>
      </c>
      <c r="FF99">
        <f>COUNTIFS('DRAFT 2'!$D:$D,$B99,'DRAFT 2'!$A:$A,"&gt;="&amp;DATE(2026,6,8),'DRAFT 2'!$A:$A,"&lt;="&amp;DATE(2026,6,14))</f>
        <v>0</v>
      </c>
      <c r="FG99">
        <f>COUNTIFS('DRAFT 2'!$D:$D,$B99,'DRAFT 2'!$A:$A,"&gt;="&amp;DATE(2026,6,15),'DRAFT 2'!$A:$A,"&lt;="&amp;DATE(2026,6,21))</f>
        <v>0</v>
      </c>
      <c r="FH99">
        <f>COUNTIFS('DRAFT 2'!$D:$D,$B99,'DRAFT 2'!$A:$A,"&gt;="&amp;DATE(2026,6,22),'DRAFT 2'!$A:$A,"&lt;"&amp;DATE(2026,IF(6=12,6+1,6+1),1))</f>
        <v>0</v>
      </c>
      <c r="FI99">
        <f t="shared" si="35"/>
        <v>0</v>
      </c>
      <c r="FT99">
        <f>IFERROR(LOOKUP(2,1/('DRAFT 2'!$D:$D=$B99)*('DRAFT 2'!$A:$A&gt;=DATE(2026,7,1))*('DRAFT 2'!$A:$A&lt;DATE(2026,IF(7=12,7+1,7+1),1)),'DRAFT 2'!$A:$A),"")</f>
        <v>0</v>
      </c>
      <c r="FU99">
        <f>COUNTIFS('DRAFT 2'!$D:$D,$B99,'DRAFT 2'!$A:$A,"&gt;="&amp;DATE(2026,7,1),'DRAFT 2'!$A:$A,"&lt;="&amp;DATE(2026,7,7))</f>
        <v>0</v>
      </c>
      <c r="FV99">
        <f>COUNTIFS('DRAFT 2'!$D:$D,$B99,'DRAFT 2'!$A:$A,"&gt;="&amp;DATE(2026,7,8),'DRAFT 2'!$A:$A,"&lt;="&amp;DATE(2026,7,14))</f>
        <v>0</v>
      </c>
      <c r="FW99">
        <f>COUNTIFS('DRAFT 2'!$D:$D,$B99,'DRAFT 2'!$A:$A,"&gt;="&amp;DATE(2026,7,15),'DRAFT 2'!$A:$A,"&lt;="&amp;DATE(2026,7,21))</f>
        <v>0</v>
      </c>
      <c r="FX99">
        <f>COUNTIFS('DRAFT 2'!$D:$D,$B99,'DRAFT 2'!$A:$A,"&gt;="&amp;DATE(2026,7,22),'DRAFT 2'!$A:$A,"&lt;"&amp;DATE(2026,IF(7=12,7+1,7+1),1))</f>
        <v>0</v>
      </c>
      <c r="FY99">
        <f t="shared" si="36"/>
        <v>0</v>
      </c>
      <c r="GI99">
        <f>IFERROR(LOOKUP(2,1/('DRAFT 2'!$D:$D=$B99)*('DRAFT 2'!$A:$A&gt;=DATE(2026,8,1))*('DRAFT 2'!$A:$A&lt;DATE(2026,IF(8=12,8+1,8+1),1)),'DRAFT 2'!$A:$A),"")</f>
        <v>0</v>
      </c>
      <c r="GJ99">
        <f>COUNTIFS('DRAFT 2'!$D:$D,$B99,'DRAFT 2'!$A:$A,"&gt;="&amp;DATE(2026,8,1),'DRAFT 2'!$A:$A,"&lt;="&amp;DATE(2026,8,7))</f>
        <v>0</v>
      </c>
      <c r="GK99">
        <f>COUNTIFS('DRAFT 2'!$D:$D,$B99,'DRAFT 2'!$A:$A,"&gt;="&amp;DATE(2026,8,8),'DRAFT 2'!$A:$A,"&lt;="&amp;DATE(2026,8,14))</f>
        <v>0</v>
      </c>
      <c r="GL99">
        <f>COUNTIFS('DRAFT 2'!$D:$D,$B99,'DRAFT 2'!$A:$A,"&gt;="&amp;DATE(2026,8,15),'DRAFT 2'!$A:$A,"&lt;="&amp;DATE(2026,8,21))</f>
        <v>0</v>
      </c>
      <c r="GM99">
        <f>COUNTIFS('DRAFT 2'!$D:$D,$B99,'DRAFT 2'!$A:$A,"&gt;="&amp;DATE(2026,8,22),'DRAFT 2'!$A:$A,"&lt;"&amp;DATE(2026,IF(8=12,8+1,8+1),1))</f>
        <v>0</v>
      </c>
      <c r="GN99">
        <f t="shared" si="37"/>
        <v>0</v>
      </c>
      <c r="GX99">
        <f>IFERROR(LOOKUP(2,1/('DRAFT 2'!$D:$D=$B99)*('DRAFT 2'!$A:$A&gt;=DATE(2026,9,1))*('DRAFT 2'!$A:$A&lt;DATE(2026,IF(9=12,9+1,9+1),1)),'DRAFT 2'!$A:$A),"")</f>
        <v>0</v>
      </c>
      <c r="GY99">
        <f>COUNTIFS('DRAFT 2'!$D:$D,$B99,'DRAFT 2'!$A:$A,"&gt;="&amp;DATE(2026,9,1),'DRAFT 2'!$A:$A,"&lt;="&amp;DATE(2026,9,7))</f>
        <v>0</v>
      </c>
      <c r="GZ99">
        <f>COUNTIFS('DRAFT 2'!$D:$D,$B99,'DRAFT 2'!$A:$A,"&gt;="&amp;DATE(2026,9,8),'DRAFT 2'!$A:$A,"&lt;="&amp;DATE(2026,9,14))</f>
        <v>0</v>
      </c>
      <c r="HA99">
        <f>COUNTIFS('DRAFT 2'!$D:$D,$B99,'DRAFT 2'!$A:$A,"&gt;="&amp;DATE(2026,9,15),'DRAFT 2'!$A:$A,"&lt;="&amp;DATE(2026,9,21))</f>
        <v>0</v>
      </c>
      <c r="HB99">
        <f>COUNTIFS('DRAFT 2'!$D:$D,$B99,'DRAFT 2'!$A:$A,"&gt;="&amp;DATE(2026,9,22),'DRAFT 2'!$A:$A,"&lt;"&amp;DATE(2026,IF(9=12,9+1,9+1),1))</f>
        <v>0</v>
      </c>
      <c r="HC99">
        <f t="shared" si="38"/>
        <v>0</v>
      </c>
      <c r="HN99">
        <f>IFERROR(LOOKUP(2,1/('DRAFT 2'!$D:$D=$B99)*('DRAFT 2'!$A:$A&gt;=DATE(2026,10,1))*('DRAFT 2'!$A:$A&lt;DATE(2026,IF(10=12,10+1,10+1),1)),'DRAFT 2'!$A:$A),"")</f>
        <v>0</v>
      </c>
      <c r="HO99">
        <f>COUNTIFS('DRAFT 2'!$D:$D,$B99,'DRAFT 2'!$A:$A,"&gt;="&amp;DATE(2026,10,1),'DRAFT 2'!$A:$A,"&lt;="&amp;DATE(2026,10,7))</f>
        <v>0</v>
      </c>
      <c r="HP99">
        <f>COUNTIFS('DRAFT 2'!$D:$D,$B99,'DRAFT 2'!$A:$A,"&gt;="&amp;DATE(2026,10,8),'DRAFT 2'!$A:$A,"&lt;="&amp;DATE(2026,10,14))</f>
        <v>0</v>
      </c>
      <c r="HQ99">
        <f>COUNTIFS('DRAFT 2'!$D:$D,$B99,'DRAFT 2'!$A:$A,"&gt;="&amp;DATE(2026,10,15),'DRAFT 2'!$A:$A,"&lt;="&amp;DATE(2026,10,21))</f>
        <v>0</v>
      </c>
      <c r="HR99">
        <f>COUNTIFS('DRAFT 2'!$D:$D,$B99,'DRAFT 2'!$A:$A,"&gt;="&amp;DATE(2026,10,22),'DRAFT 2'!$A:$A,"&lt;"&amp;DATE(2026,IF(10=12,10+1,10+1),1))</f>
        <v>0</v>
      </c>
      <c r="HS99">
        <f t="shared" si="39"/>
        <v>0</v>
      </c>
      <c r="IC99">
        <f>IFERROR(LOOKUP(2,1/('DRAFT 2'!$D:$D=$B99)*('DRAFT 2'!$A:$A&gt;=DATE(2026,11,1))*('DRAFT 2'!$A:$A&lt;DATE(2026,IF(11=12,11+1,11+1),1)),'DRAFT 2'!$A:$A),"")</f>
        <v>0</v>
      </c>
      <c r="ID99">
        <f>COUNTIFS('DRAFT 2'!$D:$D,$B99,'DRAFT 2'!$A:$A,"&gt;="&amp;DATE(2026,11,1),'DRAFT 2'!$A:$A,"&lt;="&amp;DATE(2026,11,7))</f>
        <v>0</v>
      </c>
      <c r="IE99">
        <f>COUNTIFS('DRAFT 2'!$D:$D,$B99,'DRAFT 2'!$A:$A,"&gt;="&amp;DATE(2026,11,8),'DRAFT 2'!$A:$A,"&lt;="&amp;DATE(2026,11,14))</f>
        <v>0</v>
      </c>
      <c r="IF99">
        <f>COUNTIFS('DRAFT 2'!$D:$D,$B99,'DRAFT 2'!$A:$A,"&gt;="&amp;DATE(2026,11,15),'DRAFT 2'!$A:$A,"&lt;="&amp;DATE(2026,11,21))</f>
        <v>0</v>
      </c>
      <c r="IG99">
        <f>COUNTIFS('DRAFT 2'!$D:$D,$B99,'DRAFT 2'!$A:$A,"&gt;="&amp;DATE(2026,11,22),'DRAFT 2'!$A:$A,"&lt;"&amp;DATE(2026,IF(11=12,11+1,11+1),1))</f>
        <v>0</v>
      </c>
      <c r="IH99">
        <f t="shared" si="40"/>
        <v>0</v>
      </c>
      <c r="IR99">
        <f>IFERROR(LOOKUP(2,1/('DRAFT 2'!$D:$D=$B99)*('DRAFT 2'!$A:$A&gt;=DATE(2026,12,1))*('DRAFT 2'!$A:$A&lt;DATE(2026,IF(12=12,12+1,12+1),1)),'DRAFT 2'!$A:$A),"")</f>
        <v>0</v>
      </c>
      <c r="IS99">
        <f>COUNTIFS('DRAFT 2'!$D:$D,$B99,'DRAFT 2'!$A:$A,"&gt;="&amp;DATE(2026,12,1),'DRAFT 2'!$A:$A,"&lt;="&amp;DATE(2026,12,7))</f>
        <v>0</v>
      </c>
      <c r="IT99">
        <f>COUNTIFS('DRAFT 2'!$D:$D,$B99,'DRAFT 2'!$A:$A,"&gt;="&amp;DATE(2026,12,8),'DRAFT 2'!$A:$A,"&lt;="&amp;DATE(2026,12,14))</f>
        <v>0</v>
      </c>
      <c r="IU99">
        <f>COUNTIFS('DRAFT 2'!$D:$D,$B99,'DRAFT 2'!$A:$A,"&gt;="&amp;DATE(2026,12,15),'DRAFT 2'!$A:$A,"&lt;="&amp;DATE(2026,12,21))</f>
        <v>0</v>
      </c>
      <c r="IV99">
        <f>COUNTIFS('DRAFT 2'!$D:$D,$B99,'DRAFT 2'!$A:$A,"&gt;="&amp;DATE(2026,12,22),'DRAFT 2'!$A:$A,"&lt;"&amp;DATE(2026,IF(12=12,12+1,12+1),1))</f>
        <v>0</v>
      </c>
      <c r="IW99">
        <f t="shared" si="41"/>
        <v>0</v>
      </c>
    </row>
    <row r="100" spans="1:257" x14ac:dyDescent="0.3">
      <c r="A100" t="str">
        <f>IFERROR(INDEX('DRAFT 1'!$A:$A,MATCH($B100,'DRAFT 1'!$B:$B,0)),"")</f>
        <v/>
      </c>
      <c r="C100" t="str">
        <f>IFERROR(INDEX('DRAFT 1'!$C:$C,MATCH($B100,'DRAFT 1'!$B:$B,0)),"")</f>
        <v/>
      </c>
      <c r="D100" t="str">
        <f>IFERROR(INDEX('DRAFT 1'!$D:$D,MATCH($B100,'DRAFT 1'!$B:$B,0)),"")</f>
        <v/>
      </c>
      <c r="E100" t="str">
        <f>IFERROR(INDEX('DRAFT 1'!$E:$E,MATCH($B100,'DRAFT 1'!$B:$B,0)),"")</f>
        <v/>
      </c>
      <c r="F100" t="str">
        <f>IFERROR(INDEX('DRAFT 1'!$F:$F,MATCH($B100,'DRAFT 1'!$B:$B,0)),"")</f>
        <v/>
      </c>
      <c r="G100" t="str">
        <f>IFERROR(INDEX('DRAFT 1'!$G:$G,MATCH($B100,'DRAFT 1'!$B:$B,0)),"")</f>
        <v/>
      </c>
      <c r="H100" t="str">
        <f>IFERROR(INDEX('DRAFT 1'!$H:$H,MATCH($B100,'DRAFT 1'!$B:$B,0)),"")</f>
        <v/>
      </c>
      <c r="I100" t="s">
        <v>296</v>
      </c>
      <c r="K100" t="str">
        <f>IFERROR(INDEX('DRAFT 1'!$AL:$AL,MATCH($B100,'DRAFT 1'!$B:$B,0)),"")</f>
        <v/>
      </c>
      <c r="L100" t="str">
        <f>IFERROR(INDEX('DRAFT 1'!$J:$J,MATCH($B100,'DRAFT 1'!$B:$B,0)),"")</f>
        <v/>
      </c>
      <c r="M100" t="str">
        <f>IFERROR(INDEX('DRAFT 1'!$K:$K,MATCH($B100,'DRAFT 1'!$B:$B,0)),"")</f>
        <v/>
      </c>
      <c r="N100" t="s">
        <v>71</v>
      </c>
      <c r="P100" t="str">
        <f>IFERROR(INDEX('DRAFT 1'!$L:$L,MATCH($B100,'DRAFT 1'!$B:$B,0)),"")</f>
        <v/>
      </c>
      <c r="Q100" t="str">
        <f>IFERROR(INDEX('DRAFT 1'!$M:$M,MATCH($B100,'DRAFT 1'!$B:$B,0)),"")</f>
        <v/>
      </c>
      <c r="R100" t="str">
        <f>IFERROR(INDEX('DRAFT 1'!$N:$N,MATCH($B100,'DRAFT 1'!$B:$B,0)),"")</f>
        <v/>
      </c>
      <c r="S100" t="str">
        <f>IFERROR(INDEX('DRAFT 1'!$O:$O,MATCH($B100,'DRAFT 1'!$B:$B,0)),"")</f>
        <v/>
      </c>
      <c r="T100" t="str">
        <f>IFERROR(INDEX('DRAFT 1'!$P:$P,MATCH($B100,'DRAFT 1'!$B:$B,0)),"")</f>
        <v/>
      </c>
      <c r="U100" t="str">
        <f>IFERROR(INDEX('DRAFT 1'!$Q:$Q,MATCH($B100,'DRAFT 1'!$B:$B,0)),"")</f>
        <v/>
      </c>
      <c r="V100" t="str">
        <f>IFERROR(INDEX('DRAFT 1'!$R:$R,MATCH($B100,'DRAFT 1'!$B:$B,0)),"")</f>
        <v/>
      </c>
      <c r="W100" t="str">
        <f>IFERROR(INDEX('DRAFT 1'!$S:$S,MATCH($B100,'DRAFT 1'!$B:$B,0)),"")</f>
        <v/>
      </c>
      <c r="X100" t="str">
        <f>IFERROR(INDEX('DRAFT 1'!$T:$T,MATCH($B100,'DRAFT 1'!$B:$B,0)),"")</f>
        <v/>
      </c>
      <c r="Z100" t="str">
        <f>IFERROR(INDEX('DRAFT 1'!$U:$U,MATCH($B100,'DRAFT 1'!$B:$B,0)),"")</f>
        <v/>
      </c>
      <c r="AA100" t="str">
        <f>IFERROR(INDEX('DRAFT 1'!$V:$V,MATCH($B100,'DRAFT 1'!$B:$B,0)),"")</f>
        <v/>
      </c>
      <c r="AB100" t="str">
        <f>IFERROR(INDEX('DRAFT 1'!$W:$W,MATCH($B100,'DRAFT 1'!$B:$B,0)),"")</f>
        <v/>
      </c>
      <c r="AC100" t="str">
        <f>IFERROR(INDEX('DRAFT 1'!$X:$X,MATCH($B100,'DRAFT 1'!$B:$B,0)),"")</f>
        <v/>
      </c>
      <c r="AD100" t="str">
        <f>IFERROR(INDEX('DRAFT 1'!$Y:$Y,MATCH($B100,'DRAFT 1'!$B:$B,0)),"")</f>
        <v/>
      </c>
      <c r="AE100" t="str">
        <f>IFERROR(INDEX('DRAFT 1'!$Z:$Z,MATCH($B100,'DRAFT 1'!$B:$B,0)),"")</f>
        <v/>
      </c>
      <c r="AF100" t="str">
        <f>IFERROR(INDEX('DRAFT 1'!$AA:$AA,MATCH($B100,'DRAFT 1'!$B:$B,0)),"")</f>
        <v/>
      </c>
      <c r="AG100" t="str">
        <f>IFERROR(INDEX('DRAFT 1'!$AB:$AB,MATCH($B100,'DRAFT 1'!$B:$B,0)),"")</f>
        <v/>
      </c>
      <c r="AH100" t="str">
        <f>IFERROR(INDEX('DRAFT 1'!$AC:$AC,MATCH($B100,'DRAFT 1'!$B:$B,0)),"")</f>
        <v/>
      </c>
      <c r="AI100" t="str">
        <f>IFERROR(INDEX('DRAFT 1'!$AD:$AD,MATCH($B100,'DRAFT 1'!$B:$B,0)),"")</f>
        <v/>
      </c>
      <c r="AJ100" t="str">
        <f>IFERROR(INDEX('DRAFT 1'!$AE:$AE,MATCH($B100,'DRAFT 1'!$B:$B,0)),"")</f>
        <v/>
      </c>
      <c r="AK100" t="str">
        <f>IFERROR(INDEX('DRAFT 1'!$AG:$AG,MATCH($B100,'DRAFT 1'!$B:$B,0)),"")</f>
        <v/>
      </c>
      <c r="AL100" t="str">
        <f>IFERROR(INDEX('DRAFT 1'!$AH:$AH,MATCH($B100,'DRAFT 1'!$B:$B,0)),"")</f>
        <v/>
      </c>
      <c r="AM100" t="str">
        <f>IFERROR(INDEX('DRAFT 1'!$AI:$AI,MATCH($B100,'DRAFT 1'!$B:$B,0)),"")</f>
        <v/>
      </c>
      <c r="AN100" t="str">
        <f>IFERROR(INDEX('DRAFT 1'!$AJ:$AJ,MATCH($B100,'DRAFT 1'!$B:$B,0)),"")</f>
        <v/>
      </c>
      <c r="AO100">
        <f t="shared" ref="AO100:AO131" si="42">IFERROR(Y100/AN100,0)</f>
        <v>0</v>
      </c>
      <c r="AP100" t="str">
        <f>IFERROR(INDEX('DRAFT 1'!$AK:$AK,MATCH($B100,'DRAFT 1'!$B:$B,0)),"")</f>
        <v/>
      </c>
      <c r="AR100" t="s">
        <v>93</v>
      </c>
      <c r="AS100">
        <f>IFERROR(LOOKUP(2,1/('DRAFT 2'!$D:$D=$B100),'DRAFT 2'!$T:$T),"")</f>
        <v>0</v>
      </c>
      <c r="AT100">
        <f>IFERROR(LOOKUP(2,1/('DRAFT 2'!$D:$D=$B100),'DRAFT 2'!$A:$A),"")</f>
        <v>0</v>
      </c>
      <c r="AU100">
        <f>IFERROR(LOOKUP(2,1/('DRAFT 2'!$D:$D=$B100),'DRAFT 2'!$R:$R),"")</f>
        <v>0</v>
      </c>
      <c r="AV100">
        <f>IFERROR(LOOKUP(2,1/('DRAFT 2'!$D:$D=$B100),'DRAFT 2'!$S:$S),"")</f>
        <v>0</v>
      </c>
      <c r="AW100" t="s">
        <v>128</v>
      </c>
      <c r="AX100">
        <f>IFERROR(LOOKUP(2,1/('DRAFT 2'!$D:$D=$B100),'DRAFT 2'!$M:$M),"")</f>
        <v>0</v>
      </c>
      <c r="AY100">
        <f>IFERROR(LOOKUP(2,1/('DRAFT 2'!$D:$D=$B100),'DRAFT 2'!$K:$K),"")</f>
        <v>0</v>
      </c>
      <c r="BG100">
        <f>IFERROR(LOOKUP(2,1/('DRAFT 2'!$D:$D=$B100),'DRAFT 2'!$U:$U),"")</f>
        <v>0</v>
      </c>
      <c r="BH100">
        <f>IFERROR(LOOKUP(2,1/('DRAFT 2'!$D:$D=$B100),'DRAFT 2'!$V:$V),"")</f>
        <v>0</v>
      </c>
      <c r="CE100" t="str">
        <f t="shared" ref="CE100:CE131" si="43">IFERROR(AJ100,0)</f>
        <v/>
      </c>
      <c r="CF100">
        <f>IFERROR(LOOKUP(2,1/('DRAFT 2'!$D:$D=$B100)*('DRAFT 2'!$A:$A&gt;=DATE(2026,1,1))*('DRAFT 2'!$A:$A&lt;DATE(2026,IF(1=12,1+1,1+1),1)),'DRAFT 2'!$A:$A),"")</f>
        <v>0</v>
      </c>
      <c r="CG100">
        <f>COUNTIFS('DRAFT 2'!$D:$D,$B100,'DRAFT 2'!$A:$A,"&gt;="&amp;DATE(2026,1,1),'DRAFT 2'!$A:$A,"&lt;="&amp;DATE(2026,1,7))</f>
        <v>0</v>
      </c>
      <c r="CH100">
        <f>COUNTIFS('DRAFT 2'!$D:$D,$B100,'DRAFT 2'!$A:$A,"&gt;="&amp;DATE(2026,1,8),'DRAFT 2'!$A:$A,"&lt;="&amp;DATE(2026,1,14))</f>
        <v>0</v>
      </c>
      <c r="CI100">
        <f>COUNTIFS('DRAFT 2'!$D:$D,$B100,'DRAFT 2'!$A:$A,"&gt;="&amp;DATE(2026,1,15),'DRAFT 2'!$A:$A,"&lt;="&amp;DATE(2026,1,21))</f>
        <v>0</v>
      </c>
      <c r="CJ100">
        <f>COUNTIFS('DRAFT 2'!$D:$D,$B100,'DRAFT 2'!$A:$A,"&gt;="&amp;DATE(2026,1,22),'DRAFT 2'!$A:$A,"&lt;"&amp;DATE(2026,IF(1=12,1+1,1+1),1))</f>
        <v>0</v>
      </c>
      <c r="CK100">
        <f t="shared" ref="CK100:CK131" si="44">SUM(CG100:CJ100)</f>
        <v>0</v>
      </c>
      <c r="CT100">
        <v>0</v>
      </c>
      <c r="CU100">
        <f>IFERROR(LOOKUP(2,1/('DRAFT 2'!$D:$D=$B100)*('DRAFT 2'!$A:$A&gt;=DATE(2026,2,1))*('DRAFT 2'!$A:$A&lt;DATE(2026,IF(2=12,2+1,2+1),1)),'DRAFT 2'!$A:$A),"")</f>
        <v>0</v>
      </c>
      <c r="CV100">
        <f>COUNTIFS('DRAFT 2'!$D:$D,$B100,'DRAFT 2'!$A:$A,"&gt;="&amp;DATE(2026,2,1),'DRAFT 2'!$A:$A,"&lt;="&amp;DATE(2026,2,7))</f>
        <v>0</v>
      </c>
      <c r="CW100">
        <f>COUNTIFS('DRAFT 2'!$D:$D,$B100,'DRAFT 2'!$A:$A,"&gt;="&amp;DATE(2026,2,8),'DRAFT 2'!$A:$A,"&lt;="&amp;DATE(2026,2,14))</f>
        <v>0</v>
      </c>
      <c r="CX100">
        <f>COUNTIFS('DRAFT 2'!$D:$D,$B100,'DRAFT 2'!$A:$A,"&gt;="&amp;DATE(2026,2,15),'DRAFT 2'!$A:$A,"&lt;="&amp;DATE(2026,2,21))</f>
        <v>0</v>
      </c>
      <c r="CY100">
        <f>COUNTIFS('DRAFT 2'!$D:$D,$B100,'DRAFT 2'!$A:$A,"&gt;="&amp;DATE(2026,2,22),'DRAFT 2'!$A:$A,"&lt;"&amp;DATE(2026,IF(2=12,2+1,2+1),1))</f>
        <v>0</v>
      </c>
      <c r="CZ100">
        <f t="shared" ref="CZ100:CZ131" si="45">SUM(CV100:CY100)</f>
        <v>0</v>
      </c>
      <c r="DJ100">
        <f>IFERROR(LOOKUP(2,1/('DRAFT 2'!$D:$D=$B100)*('DRAFT 2'!$A:$A&gt;=DATE(2026,3,1))*('DRAFT 2'!$A:$A&lt;DATE(2026,IF(3=12,3+1,3+1),1)),'DRAFT 2'!$A:$A),"")</f>
        <v>0</v>
      </c>
      <c r="DK100">
        <f>COUNTIFS('DRAFT 2'!$D:$D,$B100,'DRAFT 2'!$A:$A,"&gt;="&amp;DATE(2026,3,1),'DRAFT 2'!$A:$A,"&lt;="&amp;DATE(2026,3,7))</f>
        <v>0</v>
      </c>
      <c r="DL100">
        <f>COUNTIFS('DRAFT 2'!$D:$D,$B100,'DRAFT 2'!$A:$A,"&gt;="&amp;DATE(2026,3,8),'DRAFT 2'!$A:$A,"&lt;="&amp;DATE(2026,3,14))</f>
        <v>0</v>
      </c>
      <c r="DM100">
        <f>COUNTIFS('DRAFT 2'!$D:$D,$B100,'DRAFT 2'!$A:$A,"&gt;="&amp;DATE(2026,3,15),'DRAFT 2'!$A:$A,"&lt;="&amp;DATE(2026,3,21))</f>
        <v>0</v>
      </c>
      <c r="DN100">
        <f>COUNTIFS('DRAFT 2'!$D:$D,$B100,'DRAFT 2'!$A:$A,"&gt;="&amp;DATE(2026,3,22),'DRAFT 2'!$A:$A,"&lt;"&amp;DATE(2026,IF(3=12,3+1,3+1),1))</f>
        <v>0</v>
      </c>
      <c r="DO100">
        <f t="shared" ref="DO100:DO131" si="46">SUM(DK100:DN100)</f>
        <v>0</v>
      </c>
      <c r="DZ100">
        <f>IFERROR(LOOKUP(2,1/('DRAFT 2'!$D:$D=$B100)*('DRAFT 2'!$A:$A&gt;=DATE(2026,4,1))*('DRAFT 2'!$A:$A&lt;DATE(2026,IF(4=12,4+1,4+1),1)),'DRAFT 2'!$A:$A),"")</f>
        <v>0</v>
      </c>
      <c r="EA100">
        <f>COUNTIFS('DRAFT 2'!$D:$D,$B100,'DRAFT 2'!$A:$A,"&gt;="&amp;DATE(2026,4,1),'DRAFT 2'!$A:$A,"&lt;="&amp;DATE(2026,4,7))</f>
        <v>0</v>
      </c>
      <c r="EB100">
        <f>COUNTIFS('DRAFT 2'!$D:$D,$B100,'DRAFT 2'!$A:$A,"&gt;="&amp;DATE(2026,4,8),'DRAFT 2'!$A:$A,"&lt;="&amp;DATE(2026,4,14))</f>
        <v>0</v>
      </c>
      <c r="EC100">
        <f>COUNTIFS('DRAFT 2'!$D:$D,$B100,'DRAFT 2'!$A:$A,"&gt;="&amp;DATE(2026,4,15),'DRAFT 2'!$A:$A,"&lt;="&amp;DATE(2026,4,21))</f>
        <v>0</v>
      </c>
      <c r="ED100">
        <f>COUNTIFS('DRAFT 2'!$D:$D,$B100,'DRAFT 2'!$A:$A,"&gt;="&amp;DATE(2026,4,22),'DRAFT 2'!$A:$A,"&lt;"&amp;DATE(2026,IF(4=12,4+1,4+1),1))</f>
        <v>0</v>
      </c>
      <c r="EE100">
        <f t="shared" ref="EE100:EE131" si="47">SUM(EA100:ED100)</f>
        <v>0</v>
      </c>
      <c r="EO100">
        <f>IFERROR(LOOKUP(2,1/('DRAFT 2'!$D:$D=$B100)*('DRAFT 2'!$A:$A&gt;=DATE(2026,5,1))*('DRAFT 2'!$A:$A&lt;DATE(2026,IF(5=12,5+1,5+1),1)),'DRAFT 2'!$A:$A),"")</f>
        <v>0</v>
      </c>
      <c r="EP100">
        <f>COUNTIFS('DRAFT 2'!$D:$D,$B100,'DRAFT 2'!$A:$A,"&gt;="&amp;DATE(2026,5,1),'DRAFT 2'!$A:$A,"&lt;="&amp;DATE(2026,5,7))</f>
        <v>0</v>
      </c>
      <c r="EQ100">
        <f>COUNTIFS('DRAFT 2'!$D:$D,$B100,'DRAFT 2'!$A:$A,"&gt;="&amp;DATE(2026,5,8),'DRAFT 2'!$A:$A,"&lt;="&amp;DATE(2026,5,14))</f>
        <v>0</v>
      </c>
      <c r="ER100">
        <f>COUNTIFS('DRAFT 2'!$D:$D,$B100,'DRAFT 2'!$A:$A,"&gt;="&amp;DATE(2026,5,15),'DRAFT 2'!$A:$A,"&lt;="&amp;DATE(2026,5,21))</f>
        <v>0</v>
      </c>
      <c r="ES100">
        <f>COUNTIFS('DRAFT 2'!$D:$D,$B100,'DRAFT 2'!$A:$A,"&gt;="&amp;DATE(2026,5,22),'DRAFT 2'!$A:$A,"&lt;"&amp;DATE(2026,IF(5=12,5+1,5+1),1))</f>
        <v>0</v>
      </c>
      <c r="ET100">
        <f t="shared" ref="ET100:ET131" si="48">SUM(EP100:ES100)</f>
        <v>0</v>
      </c>
      <c r="FD100">
        <f>IFERROR(LOOKUP(2,1/('DRAFT 2'!$D:$D=$B100)*('DRAFT 2'!$A:$A&gt;=DATE(2026,6,1))*('DRAFT 2'!$A:$A&lt;DATE(2026,IF(6=12,6+1,6+1),1)),'DRAFT 2'!$A:$A),"")</f>
        <v>0</v>
      </c>
      <c r="FE100">
        <f>COUNTIFS('DRAFT 2'!$D:$D,$B100,'DRAFT 2'!$A:$A,"&gt;="&amp;DATE(2026,6,1),'DRAFT 2'!$A:$A,"&lt;="&amp;DATE(2026,6,7))</f>
        <v>0</v>
      </c>
      <c r="FF100">
        <f>COUNTIFS('DRAFT 2'!$D:$D,$B100,'DRAFT 2'!$A:$A,"&gt;="&amp;DATE(2026,6,8),'DRAFT 2'!$A:$A,"&lt;="&amp;DATE(2026,6,14))</f>
        <v>0</v>
      </c>
      <c r="FG100">
        <f>COUNTIFS('DRAFT 2'!$D:$D,$B100,'DRAFT 2'!$A:$A,"&gt;="&amp;DATE(2026,6,15),'DRAFT 2'!$A:$A,"&lt;="&amp;DATE(2026,6,21))</f>
        <v>0</v>
      </c>
      <c r="FH100">
        <f>COUNTIFS('DRAFT 2'!$D:$D,$B100,'DRAFT 2'!$A:$A,"&gt;="&amp;DATE(2026,6,22),'DRAFT 2'!$A:$A,"&lt;"&amp;DATE(2026,IF(6=12,6+1,6+1),1))</f>
        <v>0</v>
      </c>
      <c r="FI100">
        <f t="shared" ref="FI100:FI131" si="49">SUM(FE100:FH100)</f>
        <v>0</v>
      </c>
      <c r="FT100">
        <f>IFERROR(LOOKUP(2,1/('DRAFT 2'!$D:$D=$B100)*('DRAFT 2'!$A:$A&gt;=DATE(2026,7,1))*('DRAFT 2'!$A:$A&lt;DATE(2026,IF(7=12,7+1,7+1),1)),'DRAFT 2'!$A:$A),"")</f>
        <v>0</v>
      </c>
      <c r="FU100">
        <f>COUNTIFS('DRAFT 2'!$D:$D,$B100,'DRAFT 2'!$A:$A,"&gt;="&amp;DATE(2026,7,1),'DRAFT 2'!$A:$A,"&lt;="&amp;DATE(2026,7,7))</f>
        <v>0</v>
      </c>
      <c r="FV100">
        <f>COUNTIFS('DRAFT 2'!$D:$D,$B100,'DRAFT 2'!$A:$A,"&gt;="&amp;DATE(2026,7,8),'DRAFT 2'!$A:$A,"&lt;="&amp;DATE(2026,7,14))</f>
        <v>0</v>
      </c>
      <c r="FW100">
        <f>COUNTIFS('DRAFT 2'!$D:$D,$B100,'DRAFT 2'!$A:$A,"&gt;="&amp;DATE(2026,7,15),'DRAFT 2'!$A:$A,"&lt;="&amp;DATE(2026,7,21))</f>
        <v>0</v>
      </c>
      <c r="FX100">
        <f>COUNTIFS('DRAFT 2'!$D:$D,$B100,'DRAFT 2'!$A:$A,"&gt;="&amp;DATE(2026,7,22),'DRAFT 2'!$A:$A,"&lt;"&amp;DATE(2026,IF(7=12,7+1,7+1),1))</f>
        <v>0</v>
      </c>
      <c r="FY100">
        <f t="shared" ref="FY100:FY131" si="50">SUM(FU100:FX100)</f>
        <v>0</v>
      </c>
      <c r="GI100">
        <f>IFERROR(LOOKUP(2,1/('DRAFT 2'!$D:$D=$B100)*('DRAFT 2'!$A:$A&gt;=DATE(2026,8,1))*('DRAFT 2'!$A:$A&lt;DATE(2026,IF(8=12,8+1,8+1),1)),'DRAFT 2'!$A:$A),"")</f>
        <v>0</v>
      </c>
      <c r="GJ100">
        <f>COUNTIFS('DRAFT 2'!$D:$D,$B100,'DRAFT 2'!$A:$A,"&gt;="&amp;DATE(2026,8,1),'DRAFT 2'!$A:$A,"&lt;="&amp;DATE(2026,8,7))</f>
        <v>0</v>
      </c>
      <c r="GK100">
        <f>COUNTIFS('DRAFT 2'!$D:$D,$B100,'DRAFT 2'!$A:$A,"&gt;="&amp;DATE(2026,8,8),'DRAFT 2'!$A:$A,"&lt;="&amp;DATE(2026,8,14))</f>
        <v>0</v>
      </c>
      <c r="GL100">
        <f>COUNTIFS('DRAFT 2'!$D:$D,$B100,'DRAFT 2'!$A:$A,"&gt;="&amp;DATE(2026,8,15),'DRAFT 2'!$A:$A,"&lt;="&amp;DATE(2026,8,21))</f>
        <v>0</v>
      </c>
      <c r="GM100">
        <f>COUNTIFS('DRAFT 2'!$D:$D,$B100,'DRAFT 2'!$A:$A,"&gt;="&amp;DATE(2026,8,22),'DRAFT 2'!$A:$A,"&lt;"&amp;DATE(2026,IF(8=12,8+1,8+1),1))</f>
        <v>0</v>
      </c>
      <c r="GN100">
        <f t="shared" ref="GN100:GN131" si="51">SUM(GJ100:GM100)</f>
        <v>0</v>
      </c>
      <c r="GX100">
        <f>IFERROR(LOOKUP(2,1/('DRAFT 2'!$D:$D=$B100)*('DRAFT 2'!$A:$A&gt;=DATE(2026,9,1))*('DRAFT 2'!$A:$A&lt;DATE(2026,IF(9=12,9+1,9+1),1)),'DRAFT 2'!$A:$A),"")</f>
        <v>0</v>
      </c>
      <c r="GY100">
        <f>COUNTIFS('DRAFT 2'!$D:$D,$B100,'DRAFT 2'!$A:$A,"&gt;="&amp;DATE(2026,9,1),'DRAFT 2'!$A:$A,"&lt;="&amp;DATE(2026,9,7))</f>
        <v>0</v>
      </c>
      <c r="GZ100">
        <f>COUNTIFS('DRAFT 2'!$D:$D,$B100,'DRAFT 2'!$A:$A,"&gt;="&amp;DATE(2026,9,8),'DRAFT 2'!$A:$A,"&lt;="&amp;DATE(2026,9,14))</f>
        <v>0</v>
      </c>
      <c r="HA100">
        <f>COUNTIFS('DRAFT 2'!$D:$D,$B100,'DRAFT 2'!$A:$A,"&gt;="&amp;DATE(2026,9,15),'DRAFT 2'!$A:$A,"&lt;="&amp;DATE(2026,9,21))</f>
        <v>0</v>
      </c>
      <c r="HB100">
        <f>COUNTIFS('DRAFT 2'!$D:$D,$B100,'DRAFT 2'!$A:$A,"&gt;="&amp;DATE(2026,9,22),'DRAFT 2'!$A:$A,"&lt;"&amp;DATE(2026,IF(9=12,9+1,9+1),1))</f>
        <v>0</v>
      </c>
      <c r="HC100">
        <f t="shared" ref="HC100:HC131" si="52">SUM(GY100:HB100)</f>
        <v>0</v>
      </c>
      <c r="HN100">
        <f>IFERROR(LOOKUP(2,1/('DRAFT 2'!$D:$D=$B100)*('DRAFT 2'!$A:$A&gt;=DATE(2026,10,1))*('DRAFT 2'!$A:$A&lt;DATE(2026,IF(10=12,10+1,10+1),1)),'DRAFT 2'!$A:$A),"")</f>
        <v>0</v>
      </c>
      <c r="HO100">
        <f>COUNTIFS('DRAFT 2'!$D:$D,$B100,'DRAFT 2'!$A:$A,"&gt;="&amp;DATE(2026,10,1),'DRAFT 2'!$A:$A,"&lt;="&amp;DATE(2026,10,7))</f>
        <v>0</v>
      </c>
      <c r="HP100">
        <f>COUNTIFS('DRAFT 2'!$D:$D,$B100,'DRAFT 2'!$A:$A,"&gt;="&amp;DATE(2026,10,8),'DRAFT 2'!$A:$A,"&lt;="&amp;DATE(2026,10,14))</f>
        <v>0</v>
      </c>
      <c r="HQ100">
        <f>COUNTIFS('DRAFT 2'!$D:$D,$B100,'DRAFT 2'!$A:$A,"&gt;="&amp;DATE(2026,10,15),'DRAFT 2'!$A:$A,"&lt;="&amp;DATE(2026,10,21))</f>
        <v>0</v>
      </c>
      <c r="HR100">
        <f>COUNTIFS('DRAFT 2'!$D:$D,$B100,'DRAFT 2'!$A:$A,"&gt;="&amp;DATE(2026,10,22),'DRAFT 2'!$A:$A,"&lt;"&amp;DATE(2026,IF(10=12,10+1,10+1),1))</f>
        <v>0</v>
      </c>
      <c r="HS100">
        <f t="shared" ref="HS100:HS131" si="53">SUM(HO100:HR100)</f>
        <v>0</v>
      </c>
      <c r="IC100">
        <f>IFERROR(LOOKUP(2,1/('DRAFT 2'!$D:$D=$B100)*('DRAFT 2'!$A:$A&gt;=DATE(2026,11,1))*('DRAFT 2'!$A:$A&lt;DATE(2026,IF(11=12,11+1,11+1),1)),'DRAFT 2'!$A:$A),"")</f>
        <v>0</v>
      </c>
      <c r="ID100">
        <f>COUNTIFS('DRAFT 2'!$D:$D,$B100,'DRAFT 2'!$A:$A,"&gt;="&amp;DATE(2026,11,1),'DRAFT 2'!$A:$A,"&lt;="&amp;DATE(2026,11,7))</f>
        <v>0</v>
      </c>
      <c r="IE100">
        <f>COUNTIFS('DRAFT 2'!$D:$D,$B100,'DRAFT 2'!$A:$A,"&gt;="&amp;DATE(2026,11,8),'DRAFT 2'!$A:$A,"&lt;="&amp;DATE(2026,11,14))</f>
        <v>0</v>
      </c>
      <c r="IF100">
        <f>COUNTIFS('DRAFT 2'!$D:$D,$B100,'DRAFT 2'!$A:$A,"&gt;="&amp;DATE(2026,11,15),'DRAFT 2'!$A:$A,"&lt;="&amp;DATE(2026,11,21))</f>
        <v>0</v>
      </c>
      <c r="IG100">
        <f>COUNTIFS('DRAFT 2'!$D:$D,$B100,'DRAFT 2'!$A:$A,"&gt;="&amp;DATE(2026,11,22),'DRAFT 2'!$A:$A,"&lt;"&amp;DATE(2026,IF(11=12,11+1,11+1),1))</f>
        <v>0</v>
      </c>
      <c r="IH100">
        <f t="shared" ref="IH100:IH131" si="54">SUM(ID100:IG100)</f>
        <v>0</v>
      </c>
      <c r="IR100">
        <f>IFERROR(LOOKUP(2,1/('DRAFT 2'!$D:$D=$B100)*('DRAFT 2'!$A:$A&gt;=DATE(2026,12,1))*('DRAFT 2'!$A:$A&lt;DATE(2026,IF(12=12,12+1,12+1),1)),'DRAFT 2'!$A:$A),"")</f>
        <v>0</v>
      </c>
      <c r="IS100">
        <f>COUNTIFS('DRAFT 2'!$D:$D,$B100,'DRAFT 2'!$A:$A,"&gt;="&amp;DATE(2026,12,1),'DRAFT 2'!$A:$A,"&lt;="&amp;DATE(2026,12,7))</f>
        <v>0</v>
      </c>
      <c r="IT100">
        <f>COUNTIFS('DRAFT 2'!$D:$D,$B100,'DRAFT 2'!$A:$A,"&gt;="&amp;DATE(2026,12,8),'DRAFT 2'!$A:$A,"&lt;="&amp;DATE(2026,12,14))</f>
        <v>0</v>
      </c>
      <c r="IU100">
        <f>COUNTIFS('DRAFT 2'!$D:$D,$B100,'DRAFT 2'!$A:$A,"&gt;="&amp;DATE(2026,12,15),'DRAFT 2'!$A:$A,"&lt;="&amp;DATE(2026,12,21))</f>
        <v>0</v>
      </c>
      <c r="IV100">
        <f>COUNTIFS('DRAFT 2'!$D:$D,$B100,'DRAFT 2'!$A:$A,"&gt;="&amp;DATE(2026,12,22),'DRAFT 2'!$A:$A,"&lt;"&amp;DATE(2026,IF(12=12,12+1,12+1),1))</f>
        <v>0</v>
      </c>
      <c r="IW100">
        <f t="shared" ref="IW100:IW131" si="55">SUM(IS100:IV100)</f>
        <v>0</v>
      </c>
    </row>
    <row r="101" spans="1:257" x14ac:dyDescent="0.3">
      <c r="A101" t="str">
        <f>IFERROR(INDEX('DRAFT 1'!$A:$A,MATCH($B101,'DRAFT 1'!$B:$B,0)),"")</f>
        <v/>
      </c>
      <c r="C101" t="str">
        <f>IFERROR(INDEX('DRAFT 1'!$C:$C,MATCH($B101,'DRAFT 1'!$B:$B,0)),"")</f>
        <v/>
      </c>
      <c r="D101" t="str">
        <f>IFERROR(INDEX('DRAFT 1'!$D:$D,MATCH($B101,'DRAFT 1'!$B:$B,0)),"")</f>
        <v/>
      </c>
      <c r="E101" t="str">
        <f>IFERROR(INDEX('DRAFT 1'!$E:$E,MATCH($B101,'DRAFT 1'!$B:$B,0)),"")</f>
        <v/>
      </c>
      <c r="F101" t="str">
        <f>IFERROR(INDEX('DRAFT 1'!$F:$F,MATCH($B101,'DRAFT 1'!$B:$B,0)),"")</f>
        <v/>
      </c>
      <c r="G101" t="str">
        <f>IFERROR(INDEX('DRAFT 1'!$G:$G,MATCH($B101,'DRAFT 1'!$B:$B,0)),"")</f>
        <v/>
      </c>
      <c r="H101" t="str">
        <f>IFERROR(INDEX('DRAFT 1'!$H:$H,MATCH($B101,'DRAFT 1'!$B:$B,0)),"")</f>
        <v/>
      </c>
      <c r="I101" t="s">
        <v>292</v>
      </c>
      <c r="K101" t="str">
        <f>IFERROR(INDEX('DRAFT 1'!$AL:$AL,MATCH($B101,'DRAFT 1'!$B:$B,0)),"")</f>
        <v/>
      </c>
      <c r="L101" t="str">
        <f>IFERROR(INDEX('DRAFT 1'!$J:$J,MATCH($B101,'DRAFT 1'!$B:$B,0)),"")</f>
        <v/>
      </c>
      <c r="M101" t="str">
        <f>IFERROR(INDEX('DRAFT 1'!$K:$K,MATCH($B101,'DRAFT 1'!$B:$B,0)),"")</f>
        <v/>
      </c>
      <c r="N101" t="s">
        <v>82</v>
      </c>
      <c r="P101" t="str">
        <f>IFERROR(INDEX('DRAFT 1'!$L:$L,MATCH($B101,'DRAFT 1'!$B:$B,0)),"")</f>
        <v/>
      </c>
      <c r="Q101" t="str">
        <f>IFERROR(INDEX('DRAFT 1'!$M:$M,MATCH($B101,'DRAFT 1'!$B:$B,0)),"")</f>
        <v/>
      </c>
      <c r="R101" t="str">
        <f>IFERROR(INDEX('DRAFT 1'!$N:$N,MATCH($B101,'DRAFT 1'!$B:$B,0)),"")</f>
        <v/>
      </c>
      <c r="S101" t="str">
        <f>IFERROR(INDEX('DRAFT 1'!$O:$O,MATCH($B101,'DRAFT 1'!$B:$B,0)),"")</f>
        <v/>
      </c>
      <c r="T101" t="str">
        <f>IFERROR(INDEX('DRAFT 1'!$P:$P,MATCH($B101,'DRAFT 1'!$B:$B,0)),"")</f>
        <v/>
      </c>
      <c r="U101" t="str">
        <f>IFERROR(INDEX('DRAFT 1'!$Q:$Q,MATCH($B101,'DRAFT 1'!$B:$B,0)),"")</f>
        <v/>
      </c>
      <c r="V101" t="str">
        <f>IFERROR(INDEX('DRAFT 1'!$R:$R,MATCH($B101,'DRAFT 1'!$B:$B,0)),"")</f>
        <v/>
      </c>
      <c r="W101" t="str">
        <f>IFERROR(INDEX('DRAFT 1'!$S:$S,MATCH($B101,'DRAFT 1'!$B:$B,0)),"")</f>
        <v/>
      </c>
      <c r="X101" t="str">
        <f>IFERROR(INDEX('DRAFT 1'!$T:$T,MATCH($B101,'DRAFT 1'!$B:$B,0)),"")</f>
        <v/>
      </c>
      <c r="Z101" t="str">
        <f>IFERROR(INDEX('DRAFT 1'!$U:$U,MATCH($B101,'DRAFT 1'!$B:$B,0)),"")</f>
        <v/>
      </c>
      <c r="AA101" t="str">
        <f>IFERROR(INDEX('DRAFT 1'!$V:$V,MATCH($B101,'DRAFT 1'!$B:$B,0)),"")</f>
        <v/>
      </c>
      <c r="AB101" t="str">
        <f>IFERROR(INDEX('DRAFT 1'!$W:$W,MATCH($B101,'DRAFT 1'!$B:$B,0)),"")</f>
        <v/>
      </c>
      <c r="AC101" t="str">
        <f>IFERROR(INDEX('DRAFT 1'!$X:$X,MATCH($B101,'DRAFT 1'!$B:$B,0)),"")</f>
        <v/>
      </c>
      <c r="AD101" t="str">
        <f>IFERROR(INDEX('DRAFT 1'!$Y:$Y,MATCH($B101,'DRAFT 1'!$B:$B,0)),"")</f>
        <v/>
      </c>
      <c r="AE101" t="str">
        <f>IFERROR(INDEX('DRAFT 1'!$Z:$Z,MATCH($B101,'DRAFT 1'!$B:$B,0)),"")</f>
        <v/>
      </c>
      <c r="AF101" t="str">
        <f>IFERROR(INDEX('DRAFT 1'!$AA:$AA,MATCH($B101,'DRAFT 1'!$B:$B,0)),"")</f>
        <v/>
      </c>
      <c r="AG101" t="str">
        <f>IFERROR(INDEX('DRAFT 1'!$AB:$AB,MATCH($B101,'DRAFT 1'!$B:$B,0)),"")</f>
        <v/>
      </c>
      <c r="AH101" t="str">
        <f>IFERROR(INDEX('DRAFT 1'!$AC:$AC,MATCH($B101,'DRAFT 1'!$B:$B,0)),"")</f>
        <v/>
      </c>
      <c r="AI101" t="str">
        <f>IFERROR(INDEX('DRAFT 1'!$AD:$AD,MATCH($B101,'DRAFT 1'!$B:$B,0)),"")</f>
        <v/>
      </c>
      <c r="AJ101" t="str">
        <f>IFERROR(INDEX('DRAFT 1'!$AE:$AE,MATCH($B101,'DRAFT 1'!$B:$B,0)),"")</f>
        <v/>
      </c>
      <c r="AK101" t="str">
        <f>IFERROR(INDEX('DRAFT 1'!$AG:$AG,MATCH($B101,'DRAFT 1'!$B:$B,0)),"")</f>
        <v/>
      </c>
      <c r="AL101" t="str">
        <f>IFERROR(INDEX('DRAFT 1'!$AH:$AH,MATCH($B101,'DRAFT 1'!$B:$B,0)),"")</f>
        <v/>
      </c>
      <c r="AM101" t="str">
        <f>IFERROR(INDEX('DRAFT 1'!$AI:$AI,MATCH($B101,'DRAFT 1'!$B:$B,0)),"")</f>
        <v/>
      </c>
      <c r="AN101" t="str">
        <f>IFERROR(INDEX('DRAFT 1'!$AJ:$AJ,MATCH($B101,'DRAFT 1'!$B:$B,0)),"")</f>
        <v/>
      </c>
      <c r="AO101">
        <f t="shared" si="42"/>
        <v>0</v>
      </c>
      <c r="AP101" t="str">
        <f>IFERROR(INDEX('DRAFT 1'!$AK:$AK,MATCH($B101,'DRAFT 1'!$B:$B,0)),"")</f>
        <v/>
      </c>
      <c r="AR101" t="s">
        <v>8</v>
      </c>
      <c r="AS101">
        <f>IFERROR(LOOKUP(2,1/('DRAFT 2'!$D:$D=$B101),'DRAFT 2'!$T:$T),"")</f>
        <v>0</v>
      </c>
      <c r="AT101">
        <f>IFERROR(LOOKUP(2,1/('DRAFT 2'!$D:$D=$B101),'DRAFT 2'!$A:$A),"")</f>
        <v>0</v>
      </c>
      <c r="AU101">
        <f>IFERROR(LOOKUP(2,1/('DRAFT 2'!$D:$D=$B101),'DRAFT 2'!$R:$R),"")</f>
        <v>0</v>
      </c>
      <c r="AV101">
        <f>IFERROR(LOOKUP(2,1/('DRAFT 2'!$D:$D=$B101),'DRAFT 2'!$S:$S),"")</f>
        <v>0</v>
      </c>
      <c r="AW101" t="s">
        <v>128</v>
      </c>
      <c r="AX101">
        <f>IFERROR(LOOKUP(2,1/('DRAFT 2'!$D:$D=$B101),'DRAFT 2'!$M:$M),"")</f>
        <v>0</v>
      </c>
      <c r="AY101">
        <f>IFERROR(LOOKUP(2,1/('DRAFT 2'!$D:$D=$B101),'DRAFT 2'!$K:$K),"")</f>
        <v>0</v>
      </c>
      <c r="BG101">
        <f>IFERROR(LOOKUP(2,1/('DRAFT 2'!$D:$D=$B101),'DRAFT 2'!$U:$U),"")</f>
        <v>0</v>
      </c>
      <c r="BH101">
        <f>IFERROR(LOOKUP(2,1/('DRAFT 2'!$D:$D=$B101),'DRAFT 2'!$V:$V),"")</f>
        <v>0</v>
      </c>
      <c r="CE101" t="str">
        <f t="shared" si="43"/>
        <v/>
      </c>
      <c r="CF101">
        <f>IFERROR(LOOKUP(2,1/('DRAFT 2'!$D:$D=$B101)*('DRAFT 2'!$A:$A&gt;=DATE(2026,1,1))*('DRAFT 2'!$A:$A&lt;DATE(2026,IF(1=12,1+1,1+1),1)),'DRAFT 2'!$A:$A),"")</f>
        <v>0</v>
      </c>
      <c r="CG101">
        <f>COUNTIFS('DRAFT 2'!$D:$D,$B101,'DRAFT 2'!$A:$A,"&gt;="&amp;DATE(2026,1,1),'DRAFT 2'!$A:$A,"&lt;="&amp;DATE(2026,1,7))</f>
        <v>0</v>
      </c>
      <c r="CH101">
        <f>COUNTIFS('DRAFT 2'!$D:$D,$B101,'DRAFT 2'!$A:$A,"&gt;="&amp;DATE(2026,1,8),'DRAFT 2'!$A:$A,"&lt;="&amp;DATE(2026,1,14))</f>
        <v>0</v>
      </c>
      <c r="CI101">
        <f>COUNTIFS('DRAFT 2'!$D:$D,$B101,'DRAFT 2'!$A:$A,"&gt;="&amp;DATE(2026,1,15),'DRAFT 2'!$A:$A,"&lt;="&amp;DATE(2026,1,21))</f>
        <v>0</v>
      </c>
      <c r="CJ101">
        <f>COUNTIFS('DRAFT 2'!$D:$D,$B101,'DRAFT 2'!$A:$A,"&gt;="&amp;DATE(2026,1,22),'DRAFT 2'!$A:$A,"&lt;"&amp;DATE(2026,IF(1=12,1+1,1+1),1))</f>
        <v>0</v>
      </c>
      <c r="CK101">
        <f t="shared" si="44"/>
        <v>0</v>
      </c>
      <c r="CT101">
        <v>0</v>
      </c>
      <c r="CU101">
        <f>IFERROR(LOOKUP(2,1/('DRAFT 2'!$D:$D=$B101)*('DRAFT 2'!$A:$A&gt;=DATE(2026,2,1))*('DRAFT 2'!$A:$A&lt;DATE(2026,IF(2=12,2+1,2+1),1)),'DRAFT 2'!$A:$A),"")</f>
        <v>0</v>
      </c>
      <c r="CV101">
        <f>COUNTIFS('DRAFT 2'!$D:$D,$B101,'DRAFT 2'!$A:$A,"&gt;="&amp;DATE(2026,2,1),'DRAFT 2'!$A:$A,"&lt;="&amp;DATE(2026,2,7))</f>
        <v>0</v>
      </c>
      <c r="CW101">
        <f>COUNTIFS('DRAFT 2'!$D:$D,$B101,'DRAFT 2'!$A:$A,"&gt;="&amp;DATE(2026,2,8),'DRAFT 2'!$A:$A,"&lt;="&amp;DATE(2026,2,14))</f>
        <v>0</v>
      </c>
      <c r="CX101">
        <f>COUNTIFS('DRAFT 2'!$D:$D,$B101,'DRAFT 2'!$A:$A,"&gt;="&amp;DATE(2026,2,15),'DRAFT 2'!$A:$A,"&lt;="&amp;DATE(2026,2,21))</f>
        <v>0</v>
      </c>
      <c r="CY101">
        <f>COUNTIFS('DRAFT 2'!$D:$D,$B101,'DRAFT 2'!$A:$A,"&gt;="&amp;DATE(2026,2,22),'DRAFT 2'!$A:$A,"&lt;"&amp;DATE(2026,IF(2=12,2+1,2+1),1))</f>
        <v>0</v>
      </c>
      <c r="CZ101">
        <f t="shared" si="45"/>
        <v>0</v>
      </c>
      <c r="DJ101">
        <f>IFERROR(LOOKUP(2,1/('DRAFT 2'!$D:$D=$B101)*('DRAFT 2'!$A:$A&gt;=DATE(2026,3,1))*('DRAFT 2'!$A:$A&lt;DATE(2026,IF(3=12,3+1,3+1),1)),'DRAFT 2'!$A:$A),"")</f>
        <v>0</v>
      </c>
      <c r="DK101">
        <f>COUNTIFS('DRAFT 2'!$D:$D,$B101,'DRAFT 2'!$A:$A,"&gt;="&amp;DATE(2026,3,1),'DRAFT 2'!$A:$A,"&lt;="&amp;DATE(2026,3,7))</f>
        <v>0</v>
      </c>
      <c r="DL101">
        <f>COUNTIFS('DRAFT 2'!$D:$D,$B101,'DRAFT 2'!$A:$A,"&gt;="&amp;DATE(2026,3,8),'DRAFT 2'!$A:$A,"&lt;="&amp;DATE(2026,3,14))</f>
        <v>0</v>
      </c>
      <c r="DM101">
        <f>COUNTIFS('DRAFT 2'!$D:$D,$B101,'DRAFT 2'!$A:$A,"&gt;="&amp;DATE(2026,3,15),'DRAFT 2'!$A:$A,"&lt;="&amp;DATE(2026,3,21))</f>
        <v>0</v>
      </c>
      <c r="DN101">
        <f>COUNTIFS('DRAFT 2'!$D:$D,$B101,'DRAFT 2'!$A:$A,"&gt;="&amp;DATE(2026,3,22),'DRAFT 2'!$A:$A,"&lt;"&amp;DATE(2026,IF(3=12,3+1,3+1),1))</f>
        <v>0</v>
      </c>
      <c r="DO101">
        <f t="shared" si="46"/>
        <v>0</v>
      </c>
      <c r="DZ101">
        <f>IFERROR(LOOKUP(2,1/('DRAFT 2'!$D:$D=$B101)*('DRAFT 2'!$A:$A&gt;=DATE(2026,4,1))*('DRAFT 2'!$A:$A&lt;DATE(2026,IF(4=12,4+1,4+1),1)),'DRAFT 2'!$A:$A),"")</f>
        <v>0</v>
      </c>
      <c r="EA101">
        <f>COUNTIFS('DRAFT 2'!$D:$D,$B101,'DRAFT 2'!$A:$A,"&gt;="&amp;DATE(2026,4,1),'DRAFT 2'!$A:$A,"&lt;="&amp;DATE(2026,4,7))</f>
        <v>0</v>
      </c>
      <c r="EB101">
        <f>COUNTIFS('DRAFT 2'!$D:$D,$B101,'DRAFT 2'!$A:$A,"&gt;="&amp;DATE(2026,4,8),'DRAFT 2'!$A:$A,"&lt;="&amp;DATE(2026,4,14))</f>
        <v>0</v>
      </c>
      <c r="EC101">
        <f>COUNTIFS('DRAFT 2'!$D:$D,$B101,'DRAFT 2'!$A:$A,"&gt;="&amp;DATE(2026,4,15),'DRAFT 2'!$A:$A,"&lt;="&amp;DATE(2026,4,21))</f>
        <v>0</v>
      </c>
      <c r="ED101">
        <f>COUNTIFS('DRAFT 2'!$D:$D,$B101,'DRAFT 2'!$A:$A,"&gt;="&amp;DATE(2026,4,22),'DRAFT 2'!$A:$A,"&lt;"&amp;DATE(2026,IF(4=12,4+1,4+1),1))</f>
        <v>0</v>
      </c>
      <c r="EE101">
        <f t="shared" si="47"/>
        <v>0</v>
      </c>
      <c r="EO101">
        <f>IFERROR(LOOKUP(2,1/('DRAFT 2'!$D:$D=$B101)*('DRAFT 2'!$A:$A&gt;=DATE(2026,5,1))*('DRAFT 2'!$A:$A&lt;DATE(2026,IF(5=12,5+1,5+1),1)),'DRAFT 2'!$A:$A),"")</f>
        <v>0</v>
      </c>
      <c r="EP101">
        <f>COUNTIFS('DRAFT 2'!$D:$D,$B101,'DRAFT 2'!$A:$A,"&gt;="&amp;DATE(2026,5,1),'DRAFT 2'!$A:$A,"&lt;="&amp;DATE(2026,5,7))</f>
        <v>0</v>
      </c>
      <c r="EQ101">
        <f>COUNTIFS('DRAFT 2'!$D:$D,$B101,'DRAFT 2'!$A:$A,"&gt;="&amp;DATE(2026,5,8),'DRAFT 2'!$A:$A,"&lt;="&amp;DATE(2026,5,14))</f>
        <v>0</v>
      </c>
      <c r="ER101">
        <f>COUNTIFS('DRAFT 2'!$D:$D,$B101,'DRAFT 2'!$A:$A,"&gt;="&amp;DATE(2026,5,15),'DRAFT 2'!$A:$A,"&lt;="&amp;DATE(2026,5,21))</f>
        <v>0</v>
      </c>
      <c r="ES101">
        <f>COUNTIFS('DRAFT 2'!$D:$D,$B101,'DRAFT 2'!$A:$A,"&gt;="&amp;DATE(2026,5,22),'DRAFT 2'!$A:$A,"&lt;"&amp;DATE(2026,IF(5=12,5+1,5+1),1))</f>
        <v>0</v>
      </c>
      <c r="ET101">
        <f t="shared" si="48"/>
        <v>0</v>
      </c>
      <c r="FD101">
        <f>IFERROR(LOOKUP(2,1/('DRAFT 2'!$D:$D=$B101)*('DRAFT 2'!$A:$A&gt;=DATE(2026,6,1))*('DRAFT 2'!$A:$A&lt;DATE(2026,IF(6=12,6+1,6+1),1)),'DRAFT 2'!$A:$A),"")</f>
        <v>0</v>
      </c>
      <c r="FE101">
        <f>COUNTIFS('DRAFT 2'!$D:$D,$B101,'DRAFT 2'!$A:$A,"&gt;="&amp;DATE(2026,6,1),'DRAFT 2'!$A:$A,"&lt;="&amp;DATE(2026,6,7))</f>
        <v>0</v>
      </c>
      <c r="FF101">
        <f>COUNTIFS('DRAFT 2'!$D:$D,$B101,'DRAFT 2'!$A:$A,"&gt;="&amp;DATE(2026,6,8),'DRAFT 2'!$A:$A,"&lt;="&amp;DATE(2026,6,14))</f>
        <v>0</v>
      </c>
      <c r="FG101">
        <f>COUNTIFS('DRAFT 2'!$D:$D,$B101,'DRAFT 2'!$A:$A,"&gt;="&amp;DATE(2026,6,15),'DRAFT 2'!$A:$A,"&lt;="&amp;DATE(2026,6,21))</f>
        <v>0</v>
      </c>
      <c r="FH101">
        <f>COUNTIFS('DRAFT 2'!$D:$D,$B101,'DRAFT 2'!$A:$A,"&gt;="&amp;DATE(2026,6,22),'DRAFT 2'!$A:$A,"&lt;"&amp;DATE(2026,IF(6=12,6+1,6+1),1))</f>
        <v>0</v>
      </c>
      <c r="FI101">
        <f t="shared" si="49"/>
        <v>0</v>
      </c>
      <c r="FT101">
        <f>IFERROR(LOOKUP(2,1/('DRAFT 2'!$D:$D=$B101)*('DRAFT 2'!$A:$A&gt;=DATE(2026,7,1))*('DRAFT 2'!$A:$A&lt;DATE(2026,IF(7=12,7+1,7+1),1)),'DRAFT 2'!$A:$A),"")</f>
        <v>0</v>
      </c>
      <c r="FU101">
        <f>COUNTIFS('DRAFT 2'!$D:$D,$B101,'DRAFT 2'!$A:$A,"&gt;="&amp;DATE(2026,7,1),'DRAFT 2'!$A:$A,"&lt;="&amp;DATE(2026,7,7))</f>
        <v>0</v>
      </c>
      <c r="FV101">
        <f>COUNTIFS('DRAFT 2'!$D:$D,$B101,'DRAFT 2'!$A:$A,"&gt;="&amp;DATE(2026,7,8),'DRAFT 2'!$A:$A,"&lt;="&amp;DATE(2026,7,14))</f>
        <v>0</v>
      </c>
      <c r="FW101">
        <f>COUNTIFS('DRAFT 2'!$D:$D,$B101,'DRAFT 2'!$A:$A,"&gt;="&amp;DATE(2026,7,15),'DRAFT 2'!$A:$A,"&lt;="&amp;DATE(2026,7,21))</f>
        <v>0</v>
      </c>
      <c r="FX101">
        <f>COUNTIFS('DRAFT 2'!$D:$D,$B101,'DRAFT 2'!$A:$A,"&gt;="&amp;DATE(2026,7,22),'DRAFT 2'!$A:$A,"&lt;"&amp;DATE(2026,IF(7=12,7+1,7+1),1))</f>
        <v>0</v>
      </c>
      <c r="FY101">
        <f t="shared" si="50"/>
        <v>0</v>
      </c>
      <c r="GI101">
        <f>IFERROR(LOOKUP(2,1/('DRAFT 2'!$D:$D=$B101)*('DRAFT 2'!$A:$A&gt;=DATE(2026,8,1))*('DRAFT 2'!$A:$A&lt;DATE(2026,IF(8=12,8+1,8+1),1)),'DRAFT 2'!$A:$A),"")</f>
        <v>0</v>
      </c>
      <c r="GJ101">
        <f>COUNTIFS('DRAFT 2'!$D:$D,$B101,'DRAFT 2'!$A:$A,"&gt;="&amp;DATE(2026,8,1),'DRAFT 2'!$A:$A,"&lt;="&amp;DATE(2026,8,7))</f>
        <v>0</v>
      </c>
      <c r="GK101">
        <f>COUNTIFS('DRAFT 2'!$D:$D,$B101,'DRAFT 2'!$A:$A,"&gt;="&amp;DATE(2026,8,8),'DRAFT 2'!$A:$A,"&lt;="&amp;DATE(2026,8,14))</f>
        <v>0</v>
      </c>
      <c r="GL101">
        <f>COUNTIFS('DRAFT 2'!$D:$D,$B101,'DRAFT 2'!$A:$A,"&gt;="&amp;DATE(2026,8,15),'DRAFT 2'!$A:$A,"&lt;="&amp;DATE(2026,8,21))</f>
        <v>0</v>
      </c>
      <c r="GM101">
        <f>COUNTIFS('DRAFT 2'!$D:$D,$B101,'DRAFT 2'!$A:$A,"&gt;="&amp;DATE(2026,8,22),'DRAFT 2'!$A:$A,"&lt;"&amp;DATE(2026,IF(8=12,8+1,8+1),1))</f>
        <v>0</v>
      </c>
      <c r="GN101">
        <f t="shared" si="51"/>
        <v>0</v>
      </c>
      <c r="GX101">
        <f>IFERROR(LOOKUP(2,1/('DRAFT 2'!$D:$D=$B101)*('DRAFT 2'!$A:$A&gt;=DATE(2026,9,1))*('DRAFT 2'!$A:$A&lt;DATE(2026,IF(9=12,9+1,9+1),1)),'DRAFT 2'!$A:$A),"")</f>
        <v>0</v>
      </c>
      <c r="GY101">
        <f>COUNTIFS('DRAFT 2'!$D:$D,$B101,'DRAFT 2'!$A:$A,"&gt;="&amp;DATE(2026,9,1),'DRAFT 2'!$A:$A,"&lt;="&amp;DATE(2026,9,7))</f>
        <v>0</v>
      </c>
      <c r="GZ101">
        <f>COUNTIFS('DRAFT 2'!$D:$D,$B101,'DRAFT 2'!$A:$A,"&gt;="&amp;DATE(2026,9,8),'DRAFT 2'!$A:$A,"&lt;="&amp;DATE(2026,9,14))</f>
        <v>0</v>
      </c>
      <c r="HA101">
        <f>COUNTIFS('DRAFT 2'!$D:$D,$B101,'DRAFT 2'!$A:$A,"&gt;="&amp;DATE(2026,9,15),'DRAFT 2'!$A:$A,"&lt;="&amp;DATE(2026,9,21))</f>
        <v>0</v>
      </c>
      <c r="HB101">
        <f>COUNTIFS('DRAFT 2'!$D:$D,$B101,'DRAFT 2'!$A:$A,"&gt;="&amp;DATE(2026,9,22),'DRAFT 2'!$A:$A,"&lt;"&amp;DATE(2026,IF(9=12,9+1,9+1),1))</f>
        <v>0</v>
      </c>
      <c r="HC101">
        <f t="shared" si="52"/>
        <v>0</v>
      </c>
      <c r="HN101">
        <f>IFERROR(LOOKUP(2,1/('DRAFT 2'!$D:$D=$B101)*('DRAFT 2'!$A:$A&gt;=DATE(2026,10,1))*('DRAFT 2'!$A:$A&lt;DATE(2026,IF(10=12,10+1,10+1),1)),'DRAFT 2'!$A:$A),"")</f>
        <v>0</v>
      </c>
      <c r="HO101">
        <f>COUNTIFS('DRAFT 2'!$D:$D,$B101,'DRAFT 2'!$A:$A,"&gt;="&amp;DATE(2026,10,1),'DRAFT 2'!$A:$A,"&lt;="&amp;DATE(2026,10,7))</f>
        <v>0</v>
      </c>
      <c r="HP101">
        <f>COUNTIFS('DRAFT 2'!$D:$D,$B101,'DRAFT 2'!$A:$A,"&gt;="&amp;DATE(2026,10,8),'DRAFT 2'!$A:$A,"&lt;="&amp;DATE(2026,10,14))</f>
        <v>0</v>
      </c>
      <c r="HQ101">
        <f>COUNTIFS('DRAFT 2'!$D:$D,$B101,'DRAFT 2'!$A:$A,"&gt;="&amp;DATE(2026,10,15),'DRAFT 2'!$A:$A,"&lt;="&amp;DATE(2026,10,21))</f>
        <v>0</v>
      </c>
      <c r="HR101">
        <f>COUNTIFS('DRAFT 2'!$D:$D,$B101,'DRAFT 2'!$A:$A,"&gt;="&amp;DATE(2026,10,22),'DRAFT 2'!$A:$A,"&lt;"&amp;DATE(2026,IF(10=12,10+1,10+1),1))</f>
        <v>0</v>
      </c>
      <c r="HS101">
        <f t="shared" si="53"/>
        <v>0</v>
      </c>
      <c r="IC101">
        <f>IFERROR(LOOKUP(2,1/('DRAFT 2'!$D:$D=$B101)*('DRAFT 2'!$A:$A&gt;=DATE(2026,11,1))*('DRAFT 2'!$A:$A&lt;DATE(2026,IF(11=12,11+1,11+1),1)),'DRAFT 2'!$A:$A),"")</f>
        <v>0</v>
      </c>
      <c r="ID101">
        <f>COUNTIFS('DRAFT 2'!$D:$D,$B101,'DRAFT 2'!$A:$A,"&gt;="&amp;DATE(2026,11,1),'DRAFT 2'!$A:$A,"&lt;="&amp;DATE(2026,11,7))</f>
        <v>0</v>
      </c>
      <c r="IE101">
        <f>COUNTIFS('DRAFT 2'!$D:$D,$B101,'DRAFT 2'!$A:$A,"&gt;="&amp;DATE(2026,11,8),'DRAFT 2'!$A:$A,"&lt;="&amp;DATE(2026,11,14))</f>
        <v>0</v>
      </c>
      <c r="IF101">
        <f>COUNTIFS('DRAFT 2'!$D:$D,$B101,'DRAFT 2'!$A:$A,"&gt;="&amp;DATE(2026,11,15),'DRAFT 2'!$A:$A,"&lt;="&amp;DATE(2026,11,21))</f>
        <v>0</v>
      </c>
      <c r="IG101">
        <f>COUNTIFS('DRAFT 2'!$D:$D,$B101,'DRAFT 2'!$A:$A,"&gt;="&amp;DATE(2026,11,22),'DRAFT 2'!$A:$A,"&lt;"&amp;DATE(2026,IF(11=12,11+1,11+1),1))</f>
        <v>0</v>
      </c>
      <c r="IH101">
        <f t="shared" si="54"/>
        <v>0</v>
      </c>
      <c r="IR101">
        <f>IFERROR(LOOKUP(2,1/('DRAFT 2'!$D:$D=$B101)*('DRAFT 2'!$A:$A&gt;=DATE(2026,12,1))*('DRAFT 2'!$A:$A&lt;DATE(2026,IF(12=12,12+1,12+1),1)),'DRAFT 2'!$A:$A),"")</f>
        <v>0</v>
      </c>
      <c r="IS101">
        <f>COUNTIFS('DRAFT 2'!$D:$D,$B101,'DRAFT 2'!$A:$A,"&gt;="&amp;DATE(2026,12,1),'DRAFT 2'!$A:$A,"&lt;="&amp;DATE(2026,12,7))</f>
        <v>0</v>
      </c>
      <c r="IT101">
        <f>COUNTIFS('DRAFT 2'!$D:$D,$B101,'DRAFT 2'!$A:$A,"&gt;="&amp;DATE(2026,12,8),'DRAFT 2'!$A:$A,"&lt;="&amp;DATE(2026,12,14))</f>
        <v>0</v>
      </c>
      <c r="IU101">
        <f>COUNTIFS('DRAFT 2'!$D:$D,$B101,'DRAFT 2'!$A:$A,"&gt;="&amp;DATE(2026,12,15),'DRAFT 2'!$A:$A,"&lt;="&amp;DATE(2026,12,21))</f>
        <v>0</v>
      </c>
      <c r="IV101">
        <f>COUNTIFS('DRAFT 2'!$D:$D,$B101,'DRAFT 2'!$A:$A,"&gt;="&amp;DATE(2026,12,22),'DRAFT 2'!$A:$A,"&lt;"&amp;DATE(2026,IF(12=12,12+1,12+1),1))</f>
        <v>0</v>
      </c>
      <c r="IW101">
        <f t="shared" si="55"/>
        <v>0</v>
      </c>
    </row>
    <row r="102" spans="1:257" x14ac:dyDescent="0.3">
      <c r="A102" t="str">
        <f>IFERROR(INDEX('DRAFT 1'!$A:$A,MATCH($B102,'DRAFT 1'!$B:$B,0)),"")</f>
        <v/>
      </c>
      <c r="C102" t="str">
        <f>IFERROR(INDEX('DRAFT 1'!$C:$C,MATCH($B102,'DRAFT 1'!$B:$B,0)),"")</f>
        <v/>
      </c>
      <c r="D102" t="str">
        <f>IFERROR(INDEX('DRAFT 1'!$D:$D,MATCH($B102,'DRAFT 1'!$B:$B,0)),"")</f>
        <v/>
      </c>
      <c r="E102" t="str">
        <f>IFERROR(INDEX('DRAFT 1'!$E:$E,MATCH($B102,'DRAFT 1'!$B:$B,0)),"")</f>
        <v/>
      </c>
      <c r="F102" t="str">
        <f>IFERROR(INDEX('DRAFT 1'!$F:$F,MATCH($B102,'DRAFT 1'!$B:$B,0)),"")</f>
        <v/>
      </c>
      <c r="G102" t="str">
        <f>IFERROR(INDEX('DRAFT 1'!$G:$G,MATCH($B102,'DRAFT 1'!$B:$B,0)),"")</f>
        <v/>
      </c>
      <c r="H102" t="str">
        <f>IFERROR(INDEX('DRAFT 1'!$H:$H,MATCH($B102,'DRAFT 1'!$B:$B,0)),"")</f>
        <v/>
      </c>
      <c r="I102" t="s">
        <v>297</v>
      </c>
      <c r="K102" t="str">
        <f>IFERROR(INDEX('DRAFT 1'!$AL:$AL,MATCH($B102,'DRAFT 1'!$B:$B,0)),"")</f>
        <v/>
      </c>
      <c r="L102" t="str">
        <f>IFERROR(INDEX('DRAFT 1'!$J:$J,MATCH($B102,'DRAFT 1'!$B:$B,0)),"")</f>
        <v/>
      </c>
      <c r="M102" t="str">
        <f>IFERROR(INDEX('DRAFT 1'!$K:$K,MATCH($B102,'DRAFT 1'!$B:$B,0)),"")</f>
        <v/>
      </c>
      <c r="N102" t="s">
        <v>85</v>
      </c>
      <c r="P102" t="str">
        <f>IFERROR(INDEX('DRAFT 1'!$L:$L,MATCH($B102,'DRAFT 1'!$B:$B,0)),"")</f>
        <v/>
      </c>
      <c r="Q102" t="str">
        <f>IFERROR(INDEX('DRAFT 1'!$M:$M,MATCH($B102,'DRAFT 1'!$B:$B,0)),"")</f>
        <v/>
      </c>
      <c r="R102" t="str">
        <f>IFERROR(INDEX('DRAFT 1'!$N:$N,MATCH($B102,'DRAFT 1'!$B:$B,0)),"")</f>
        <v/>
      </c>
      <c r="S102" t="str">
        <f>IFERROR(INDEX('DRAFT 1'!$O:$O,MATCH($B102,'DRAFT 1'!$B:$B,0)),"")</f>
        <v/>
      </c>
      <c r="T102" t="str">
        <f>IFERROR(INDEX('DRAFT 1'!$P:$P,MATCH($B102,'DRAFT 1'!$B:$B,0)),"")</f>
        <v/>
      </c>
      <c r="U102" t="str">
        <f>IFERROR(INDEX('DRAFT 1'!$Q:$Q,MATCH($B102,'DRAFT 1'!$B:$B,0)),"")</f>
        <v/>
      </c>
      <c r="V102" t="str">
        <f>IFERROR(INDEX('DRAFT 1'!$R:$R,MATCH($B102,'DRAFT 1'!$B:$B,0)),"")</f>
        <v/>
      </c>
      <c r="W102" t="str">
        <f>IFERROR(INDEX('DRAFT 1'!$S:$S,MATCH($B102,'DRAFT 1'!$B:$B,0)),"")</f>
        <v/>
      </c>
      <c r="X102" t="str">
        <f>IFERROR(INDEX('DRAFT 1'!$T:$T,MATCH($B102,'DRAFT 1'!$B:$B,0)),"")</f>
        <v/>
      </c>
      <c r="Z102" t="str">
        <f>IFERROR(INDEX('DRAFT 1'!$U:$U,MATCH($B102,'DRAFT 1'!$B:$B,0)),"")</f>
        <v/>
      </c>
      <c r="AA102" t="str">
        <f>IFERROR(INDEX('DRAFT 1'!$V:$V,MATCH($B102,'DRAFT 1'!$B:$B,0)),"")</f>
        <v/>
      </c>
      <c r="AB102" t="str">
        <f>IFERROR(INDEX('DRAFT 1'!$W:$W,MATCH($B102,'DRAFT 1'!$B:$B,0)),"")</f>
        <v/>
      </c>
      <c r="AC102" t="str">
        <f>IFERROR(INDEX('DRAFT 1'!$X:$X,MATCH($B102,'DRAFT 1'!$B:$B,0)),"")</f>
        <v/>
      </c>
      <c r="AD102" t="str">
        <f>IFERROR(INDEX('DRAFT 1'!$Y:$Y,MATCH($B102,'DRAFT 1'!$B:$B,0)),"")</f>
        <v/>
      </c>
      <c r="AE102" t="str">
        <f>IFERROR(INDEX('DRAFT 1'!$Z:$Z,MATCH($B102,'DRAFT 1'!$B:$B,0)),"")</f>
        <v/>
      </c>
      <c r="AF102" t="str">
        <f>IFERROR(INDEX('DRAFT 1'!$AA:$AA,MATCH($B102,'DRAFT 1'!$B:$B,0)),"")</f>
        <v/>
      </c>
      <c r="AG102" t="str">
        <f>IFERROR(INDEX('DRAFT 1'!$AB:$AB,MATCH($B102,'DRAFT 1'!$B:$B,0)),"")</f>
        <v/>
      </c>
      <c r="AH102" t="str">
        <f>IFERROR(INDEX('DRAFT 1'!$AC:$AC,MATCH($B102,'DRAFT 1'!$B:$B,0)),"")</f>
        <v/>
      </c>
      <c r="AI102" t="str">
        <f>IFERROR(INDEX('DRAFT 1'!$AD:$AD,MATCH($B102,'DRAFT 1'!$B:$B,0)),"")</f>
        <v/>
      </c>
      <c r="AJ102" t="str">
        <f>IFERROR(INDEX('DRAFT 1'!$AE:$AE,MATCH($B102,'DRAFT 1'!$B:$B,0)),"")</f>
        <v/>
      </c>
      <c r="AK102" t="str">
        <f>IFERROR(INDEX('DRAFT 1'!$AG:$AG,MATCH($B102,'DRAFT 1'!$B:$B,0)),"")</f>
        <v/>
      </c>
      <c r="AL102" t="str">
        <f>IFERROR(INDEX('DRAFT 1'!$AH:$AH,MATCH($B102,'DRAFT 1'!$B:$B,0)),"")</f>
        <v/>
      </c>
      <c r="AM102" t="str">
        <f>IFERROR(INDEX('DRAFT 1'!$AI:$AI,MATCH($B102,'DRAFT 1'!$B:$B,0)),"")</f>
        <v/>
      </c>
      <c r="AN102" t="str">
        <f>IFERROR(INDEX('DRAFT 1'!$AJ:$AJ,MATCH($B102,'DRAFT 1'!$B:$B,0)),"")</f>
        <v/>
      </c>
      <c r="AO102">
        <f t="shared" si="42"/>
        <v>0</v>
      </c>
      <c r="AP102" t="str">
        <f>IFERROR(INDEX('DRAFT 1'!$AK:$AK,MATCH($B102,'DRAFT 1'!$B:$B,0)),"")</f>
        <v/>
      </c>
      <c r="AR102" t="s">
        <v>65</v>
      </c>
      <c r="AS102">
        <f>IFERROR(LOOKUP(2,1/('DRAFT 2'!$D:$D=$B102),'DRAFT 2'!$T:$T),"")</f>
        <v>0</v>
      </c>
      <c r="AT102">
        <f>IFERROR(LOOKUP(2,1/('DRAFT 2'!$D:$D=$B102),'DRAFT 2'!$A:$A),"")</f>
        <v>0</v>
      </c>
      <c r="AU102">
        <f>IFERROR(LOOKUP(2,1/('DRAFT 2'!$D:$D=$B102),'DRAFT 2'!$R:$R),"")</f>
        <v>0</v>
      </c>
      <c r="AV102">
        <f>IFERROR(LOOKUP(2,1/('DRAFT 2'!$D:$D=$B102),'DRAFT 2'!$S:$S),"")</f>
        <v>0</v>
      </c>
      <c r="AW102" t="s">
        <v>128</v>
      </c>
      <c r="AX102">
        <f>IFERROR(LOOKUP(2,1/('DRAFT 2'!$D:$D=$B102),'DRAFT 2'!$M:$M),"")</f>
        <v>0</v>
      </c>
      <c r="AY102">
        <f>IFERROR(LOOKUP(2,1/('DRAFT 2'!$D:$D=$B102),'DRAFT 2'!$K:$K),"")</f>
        <v>0</v>
      </c>
      <c r="BG102">
        <f>IFERROR(LOOKUP(2,1/('DRAFT 2'!$D:$D=$B102),'DRAFT 2'!$U:$U),"")</f>
        <v>0</v>
      </c>
      <c r="BH102">
        <f>IFERROR(LOOKUP(2,1/('DRAFT 2'!$D:$D=$B102),'DRAFT 2'!$V:$V),"")</f>
        <v>0</v>
      </c>
      <c r="CE102" t="str">
        <f t="shared" si="43"/>
        <v/>
      </c>
      <c r="CF102">
        <f>IFERROR(LOOKUP(2,1/('DRAFT 2'!$D:$D=$B102)*('DRAFT 2'!$A:$A&gt;=DATE(2026,1,1))*('DRAFT 2'!$A:$A&lt;DATE(2026,IF(1=12,1+1,1+1),1)),'DRAFT 2'!$A:$A),"")</f>
        <v>0</v>
      </c>
      <c r="CG102">
        <f>COUNTIFS('DRAFT 2'!$D:$D,$B102,'DRAFT 2'!$A:$A,"&gt;="&amp;DATE(2026,1,1),'DRAFT 2'!$A:$A,"&lt;="&amp;DATE(2026,1,7))</f>
        <v>0</v>
      </c>
      <c r="CH102">
        <f>COUNTIFS('DRAFT 2'!$D:$D,$B102,'DRAFT 2'!$A:$A,"&gt;="&amp;DATE(2026,1,8),'DRAFT 2'!$A:$A,"&lt;="&amp;DATE(2026,1,14))</f>
        <v>0</v>
      </c>
      <c r="CI102">
        <f>COUNTIFS('DRAFT 2'!$D:$D,$B102,'DRAFT 2'!$A:$A,"&gt;="&amp;DATE(2026,1,15),'DRAFT 2'!$A:$A,"&lt;="&amp;DATE(2026,1,21))</f>
        <v>0</v>
      </c>
      <c r="CJ102">
        <f>COUNTIFS('DRAFT 2'!$D:$D,$B102,'DRAFT 2'!$A:$A,"&gt;="&amp;DATE(2026,1,22),'DRAFT 2'!$A:$A,"&lt;"&amp;DATE(2026,IF(1=12,1+1,1+1),1))</f>
        <v>0</v>
      </c>
      <c r="CK102">
        <f t="shared" si="44"/>
        <v>0</v>
      </c>
      <c r="CT102">
        <v>0</v>
      </c>
      <c r="CU102">
        <f>IFERROR(LOOKUP(2,1/('DRAFT 2'!$D:$D=$B102)*('DRAFT 2'!$A:$A&gt;=DATE(2026,2,1))*('DRAFT 2'!$A:$A&lt;DATE(2026,IF(2=12,2+1,2+1),1)),'DRAFT 2'!$A:$A),"")</f>
        <v>0</v>
      </c>
      <c r="CV102">
        <f>COUNTIFS('DRAFT 2'!$D:$D,$B102,'DRAFT 2'!$A:$A,"&gt;="&amp;DATE(2026,2,1),'DRAFT 2'!$A:$A,"&lt;="&amp;DATE(2026,2,7))</f>
        <v>0</v>
      </c>
      <c r="CW102">
        <f>COUNTIFS('DRAFT 2'!$D:$D,$B102,'DRAFT 2'!$A:$A,"&gt;="&amp;DATE(2026,2,8),'DRAFT 2'!$A:$A,"&lt;="&amp;DATE(2026,2,14))</f>
        <v>0</v>
      </c>
      <c r="CX102">
        <f>COUNTIFS('DRAFT 2'!$D:$D,$B102,'DRAFT 2'!$A:$A,"&gt;="&amp;DATE(2026,2,15),'DRAFT 2'!$A:$A,"&lt;="&amp;DATE(2026,2,21))</f>
        <v>0</v>
      </c>
      <c r="CY102">
        <f>COUNTIFS('DRAFT 2'!$D:$D,$B102,'DRAFT 2'!$A:$A,"&gt;="&amp;DATE(2026,2,22),'DRAFT 2'!$A:$A,"&lt;"&amp;DATE(2026,IF(2=12,2+1,2+1),1))</f>
        <v>0</v>
      </c>
      <c r="CZ102">
        <f t="shared" si="45"/>
        <v>0</v>
      </c>
      <c r="DJ102">
        <f>IFERROR(LOOKUP(2,1/('DRAFT 2'!$D:$D=$B102)*('DRAFT 2'!$A:$A&gt;=DATE(2026,3,1))*('DRAFT 2'!$A:$A&lt;DATE(2026,IF(3=12,3+1,3+1),1)),'DRAFT 2'!$A:$A),"")</f>
        <v>0</v>
      </c>
      <c r="DK102">
        <f>COUNTIFS('DRAFT 2'!$D:$D,$B102,'DRAFT 2'!$A:$A,"&gt;="&amp;DATE(2026,3,1),'DRAFT 2'!$A:$A,"&lt;="&amp;DATE(2026,3,7))</f>
        <v>0</v>
      </c>
      <c r="DL102">
        <f>COUNTIFS('DRAFT 2'!$D:$D,$B102,'DRAFT 2'!$A:$A,"&gt;="&amp;DATE(2026,3,8),'DRAFT 2'!$A:$A,"&lt;="&amp;DATE(2026,3,14))</f>
        <v>0</v>
      </c>
      <c r="DM102">
        <f>COUNTIFS('DRAFT 2'!$D:$D,$B102,'DRAFT 2'!$A:$A,"&gt;="&amp;DATE(2026,3,15),'DRAFT 2'!$A:$A,"&lt;="&amp;DATE(2026,3,21))</f>
        <v>0</v>
      </c>
      <c r="DN102">
        <f>COUNTIFS('DRAFT 2'!$D:$D,$B102,'DRAFT 2'!$A:$A,"&gt;="&amp;DATE(2026,3,22),'DRAFT 2'!$A:$A,"&lt;"&amp;DATE(2026,IF(3=12,3+1,3+1),1))</f>
        <v>0</v>
      </c>
      <c r="DO102">
        <f t="shared" si="46"/>
        <v>0</v>
      </c>
      <c r="DZ102">
        <f>IFERROR(LOOKUP(2,1/('DRAFT 2'!$D:$D=$B102)*('DRAFT 2'!$A:$A&gt;=DATE(2026,4,1))*('DRAFT 2'!$A:$A&lt;DATE(2026,IF(4=12,4+1,4+1),1)),'DRAFT 2'!$A:$A),"")</f>
        <v>0</v>
      </c>
      <c r="EA102">
        <f>COUNTIFS('DRAFT 2'!$D:$D,$B102,'DRAFT 2'!$A:$A,"&gt;="&amp;DATE(2026,4,1),'DRAFT 2'!$A:$A,"&lt;="&amp;DATE(2026,4,7))</f>
        <v>0</v>
      </c>
      <c r="EB102">
        <f>COUNTIFS('DRAFT 2'!$D:$D,$B102,'DRAFT 2'!$A:$A,"&gt;="&amp;DATE(2026,4,8),'DRAFT 2'!$A:$A,"&lt;="&amp;DATE(2026,4,14))</f>
        <v>0</v>
      </c>
      <c r="EC102">
        <f>COUNTIFS('DRAFT 2'!$D:$D,$B102,'DRAFT 2'!$A:$A,"&gt;="&amp;DATE(2026,4,15),'DRAFT 2'!$A:$A,"&lt;="&amp;DATE(2026,4,21))</f>
        <v>0</v>
      </c>
      <c r="ED102">
        <f>COUNTIFS('DRAFT 2'!$D:$D,$B102,'DRAFT 2'!$A:$A,"&gt;="&amp;DATE(2026,4,22),'DRAFT 2'!$A:$A,"&lt;"&amp;DATE(2026,IF(4=12,4+1,4+1),1))</f>
        <v>0</v>
      </c>
      <c r="EE102">
        <f t="shared" si="47"/>
        <v>0</v>
      </c>
      <c r="EO102">
        <f>IFERROR(LOOKUP(2,1/('DRAFT 2'!$D:$D=$B102)*('DRAFT 2'!$A:$A&gt;=DATE(2026,5,1))*('DRAFT 2'!$A:$A&lt;DATE(2026,IF(5=12,5+1,5+1),1)),'DRAFT 2'!$A:$A),"")</f>
        <v>0</v>
      </c>
      <c r="EP102">
        <f>COUNTIFS('DRAFT 2'!$D:$D,$B102,'DRAFT 2'!$A:$A,"&gt;="&amp;DATE(2026,5,1),'DRAFT 2'!$A:$A,"&lt;="&amp;DATE(2026,5,7))</f>
        <v>0</v>
      </c>
      <c r="EQ102">
        <f>COUNTIFS('DRAFT 2'!$D:$D,$B102,'DRAFT 2'!$A:$A,"&gt;="&amp;DATE(2026,5,8),'DRAFT 2'!$A:$A,"&lt;="&amp;DATE(2026,5,14))</f>
        <v>0</v>
      </c>
      <c r="ER102">
        <f>COUNTIFS('DRAFT 2'!$D:$D,$B102,'DRAFT 2'!$A:$A,"&gt;="&amp;DATE(2026,5,15),'DRAFT 2'!$A:$A,"&lt;="&amp;DATE(2026,5,21))</f>
        <v>0</v>
      </c>
      <c r="ES102">
        <f>COUNTIFS('DRAFT 2'!$D:$D,$B102,'DRAFT 2'!$A:$A,"&gt;="&amp;DATE(2026,5,22),'DRAFT 2'!$A:$A,"&lt;"&amp;DATE(2026,IF(5=12,5+1,5+1),1))</f>
        <v>0</v>
      </c>
      <c r="ET102">
        <f t="shared" si="48"/>
        <v>0</v>
      </c>
      <c r="FD102">
        <f>IFERROR(LOOKUP(2,1/('DRAFT 2'!$D:$D=$B102)*('DRAFT 2'!$A:$A&gt;=DATE(2026,6,1))*('DRAFT 2'!$A:$A&lt;DATE(2026,IF(6=12,6+1,6+1),1)),'DRAFT 2'!$A:$A),"")</f>
        <v>0</v>
      </c>
      <c r="FE102">
        <f>COUNTIFS('DRAFT 2'!$D:$D,$B102,'DRAFT 2'!$A:$A,"&gt;="&amp;DATE(2026,6,1),'DRAFT 2'!$A:$A,"&lt;="&amp;DATE(2026,6,7))</f>
        <v>0</v>
      </c>
      <c r="FF102">
        <f>COUNTIFS('DRAFT 2'!$D:$D,$B102,'DRAFT 2'!$A:$A,"&gt;="&amp;DATE(2026,6,8),'DRAFT 2'!$A:$A,"&lt;="&amp;DATE(2026,6,14))</f>
        <v>0</v>
      </c>
      <c r="FG102">
        <f>COUNTIFS('DRAFT 2'!$D:$D,$B102,'DRAFT 2'!$A:$A,"&gt;="&amp;DATE(2026,6,15),'DRAFT 2'!$A:$A,"&lt;="&amp;DATE(2026,6,21))</f>
        <v>0</v>
      </c>
      <c r="FH102">
        <f>COUNTIFS('DRAFT 2'!$D:$D,$B102,'DRAFT 2'!$A:$A,"&gt;="&amp;DATE(2026,6,22),'DRAFT 2'!$A:$A,"&lt;"&amp;DATE(2026,IF(6=12,6+1,6+1),1))</f>
        <v>0</v>
      </c>
      <c r="FI102">
        <f t="shared" si="49"/>
        <v>0</v>
      </c>
      <c r="FT102">
        <f>IFERROR(LOOKUP(2,1/('DRAFT 2'!$D:$D=$B102)*('DRAFT 2'!$A:$A&gt;=DATE(2026,7,1))*('DRAFT 2'!$A:$A&lt;DATE(2026,IF(7=12,7+1,7+1),1)),'DRAFT 2'!$A:$A),"")</f>
        <v>0</v>
      </c>
      <c r="FU102">
        <f>COUNTIFS('DRAFT 2'!$D:$D,$B102,'DRAFT 2'!$A:$A,"&gt;="&amp;DATE(2026,7,1),'DRAFT 2'!$A:$A,"&lt;="&amp;DATE(2026,7,7))</f>
        <v>0</v>
      </c>
      <c r="FV102">
        <f>COUNTIFS('DRAFT 2'!$D:$D,$B102,'DRAFT 2'!$A:$A,"&gt;="&amp;DATE(2026,7,8),'DRAFT 2'!$A:$A,"&lt;="&amp;DATE(2026,7,14))</f>
        <v>0</v>
      </c>
      <c r="FW102">
        <f>COUNTIFS('DRAFT 2'!$D:$D,$B102,'DRAFT 2'!$A:$A,"&gt;="&amp;DATE(2026,7,15),'DRAFT 2'!$A:$A,"&lt;="&amp;DATE(2026,7,21))</f>
        <v>0</v>
      </c>
      <c r="FX102">
        <f>COUNTIFS('DRAFT 2'!$D:$D,$B102,'DRAFT 2'!$A:$A,"&gt;="&amp;DATE(2026,7,22),'DRAFT 2'!$A:$A,"&lt;"&amp;DATE(2026,IF(7=12,7+1,7+1),1))</f>
        <v>0</v>
      </c>
      <c r="FY102">
        <f t="shared" si="50"/>
        <v>0</v>
      </c>
      <c r="GI102">
        <f>IFERROR(LOOKUP(2,1/('DRAFT 2'!$D:$D=$B102)*('DRAFT 2'!$A:$A&gt;=DATE(2026,8,1))*('DRAFT 2'!$A:$A&lt;DATE(2026,IF(8=12,8+1,8+1),1)),'DRAFT 2'!$A:$A),"")</f>
        <v>0</v>
      </c>
      <c r="GJ102">
        <f>COUNTIFS('DRAFT 2'!$D:$D,$B102,'DRAFT 2'!$A:$A,"&gt;="&amp;DATE(2026,8,1),'DRAFT 2'!$A:$A,"&lt;="&amp;DATE(2026,8,7))</f>
        <v>0</v>
      </c>
      <c r="GK102">
        <f>COUNTIFS('DRAFT 2'!$D:$D,$B102,'DRAFT 2'!$A:$A,"&gt;="&amp;DATE(2026,8,8),'DRAFT 2'!$A:$A,"&lt;="&amp;DATE(2026,8,14))</f>
        <v>0</v>
      </c>
      <c r="GL102">
        <f>COUNTIFS('DRAFT 2'!$D:$D,$B102,'DRAFT 2'!$A:$A,"&gt;="&amp;DATE(2026,8,15),'DRAFT 2'!$A:$A,"&lt;="&amp;DATE(2026,8,21))</f>
        <v>0</v>
      </c>
      <c r="GM102">
        <f>COUNTIFS('DRAFT 2'!$D:$D,$B102,'DRAFT 2'!$A:$A,"&gt;="&amp;DATE(2026,8,22),'DRAFT 2'!$A:$A,"&lt;"&amp;DATE(2026,IF(8=12,8+1,8+1),1))</f>
        <v>0</v>
      </c>
      <c r="GN102">
        <f t="shared" si="51"/>
        <v>0</v>
      </c>
      <c r="GX102">
        <f>IFERROR(LOOKUP(2,1/('DRAFT 2'!$D:$D=$B102)*('DRAFT 2'!$A:$A&gt;=DATE(2026,9,1))*('DRAFT 2'!$A:$A&lt;DATE(2026,IF(9=12,9+1,9+1),1)),'DRAFT 2'!$A:$A),"")</f>
        <v>0</v>
      </c>
      <c r="GY102">
        <f>COUNTIFS('DRAFT 2'!$D:$D,$B102,'DRAFT 2'!$A:$A,"&gt;="&amp;DATE(2026,9,1),'DRAFT 2'!$A:$A,"&lt;="&amp;DATE(2026,9,7))</f>
        <v>0</v>
      </c>
      <c r="GZ102">
        <f>COUNTIFS('DRAFT 2'!$D:$D,$B102,'DRAFT 2'!$A:$A,"&gt;="&amp;DATE(2026,9,8),'DRAFT 2'!$A:$A,"&lt;="&amp;DATE(2026,9,14))</f>
        <v>0</v>
      </c>
      <c r="HA102">
        <f>COUNTIFS('DRAFT 2'!$D:$D,$B102,'DRAFT 2'!$A:$A,"&gt;="&amp;DATE(2026,9,15),'DRAFT 2'!$A:$A,"&lt;="&amp;DATE(2026,9,21))</f>
        <v>0</v>
      </c>
      <c r="HB102">
        <f>COUNTIFS('DRAFT 2'!$D:$D,$B102,'DRAFT 2'!$A:$A,"&gt;="&amp;DATE(2026,9,22),'DRAFT 2'!$A:$A,"&lt;"&amp;DATE(2026,IF(9=12,9+1,9+1),1))</f>
        <v>0</v>
      </c>
      <c r="HC102">
        <f t="shared" si="52"/>
        <v>0</v>
      </c>
      <c r="HN102">
        <f>IFERROR(LOOKUP(2,1/('DRAFT 2'!$D:$D=$B102)*('DRAFT 2'!$A:$A&gt;=DATE(2026,10,1))*('DRAFT 2'!$A:$A&lt;DATE(2026,IF(10=12,10+1,10+1),1)),'DRAFT 2'!$A:$A),"")</f>
        <v>0</v>
      </c>
      <c r="HO102">
        <f>COUNTIFS('DRAFT 2'!$D:$D,$B102,'DRAFT 2'!$A:$A,"&gt;="&amp;DATE(2026,10,1),'DRAFT 2'!$A:$A,"&lt;="&amp;DATE(2026,10,7))</f>
        <v>0</v>
      </c>
      <c r="HP102">
        <f>COUNTIFS('DRAFT 2'!$D:$D,$B102,'DRAFT 2'!$A:$A,"&gt;="&amp;DATE(2026,10,8),'DRAFT 2'!$A:$A,"&lt;="&amp;DATE(2026,10,14))</f>
        <v>0</v>
      </c>
      <c r="HQ102">
        <f>COUNTIFS('DRAFT 2'!$D:$D,$B102,'DRAFT 2'!$A:$A,"&gt;="&amp;DATE(2026,10,15),'DRAFT 2'!$A:$A,"&lt;="&amp;DATE(2026,10,21))</f>
        <v>0</v>
      </c>
      <c r="HR102">
        <f>COUNTIFS('DRAFT 2'!$D:$D,$B102,'DRAFT 2'!$A:$A,"&gt;="&amp;DATE(2026,10,22),'DRAFT 2'!$A:$A,"&lt;"&amp;DATE(2026,IF(10=12,10+1,10+1),1))</f>
        <v>0</v>
      </c>
      <c r="HS102">
        <f t="shared" si="53"/>
        <v>0</v>
      </c>
      <c r="IC102">
        <f>IFERROR(LOOKUP(2,1/('DRAFT 2'!$D:$D=$B102)*('DRAFT 2'!$A:$A&gt;=DATE(2026,11,1))*('DRAFT 2'!$A:$A&lt;DATE(2026,IF(11=12,11+1,11+1),1)),'DRAFT 2'!$A:$A),"")</f>
        <v>0</v>
      </c>
      <c r="ID102">
        <f>COUNTIFS('DRAFT 2'!$D:$D,$B102,'DRAFT 2'!$A:$A,"&gt;="&amp;DATE(2026,11,1),'DRAFT 2'!$A:$A,"&lt;="&amp;DATE(2026,11,7))</f>
        <v>0</v>
      </c>
      <c r="IE102">
        <f>COUNTIFS('DRAFT 2'!$D:$D,$B102,'DRAFT 2'!$A:$A,"&gt;="&amp;DATE(2026,11,8),'DRAFT 2'!$A:$A,"&lt;="&amp;DATE(2026,11,14))</f>
        <v>0</v>
      </c>
      <c r="IF102">
        <f>COUNTIFS('DRAFT 2'!$D:$D,$B102,'DRAFT 2'!$A:$A,"&gt;="&amp;DATE(2026,11,15),'DRAFT 2'!$A:$A,"&lt;="&amp;DATE(2026,11,21))</f>
        <v>0</v>
      </c>
      <c r="IG102">
        <f>COUNTIFS('DRAFT 2'!$D:$D,$B102,'DRAFT 2'!$A:$A,"&gt;="&amp;DATE(2026,11,22),'DRAFT 2'!$A:$A,"&lt;"&amp;DATE(2026,IF(11=12,11+1,11+1),1))</f>
        <v>0</v>
      </c>
      <c r="IH102">
        <f t="shared" si="54"/>
        <v>0</v>
      </c>
      <c r="IR102">
        <f>IFERROR(LOOKUP(2,1/('DRAFT 2'!$D:$D=$B102)*('DRAFT 2'!$A:$A&gt;=DATE(2026,12,1))*('DRAFT 2'!$A:$A&lt;DATE(2026,IF(12=12,12+1,12+1),1)),'DRAFT 2'!$A:$A),"")</f>
        <v>0</v>
      </c>
      <c r="IS102">
        <f>COUNTIFS('DRAFT 2'!$D:$D,$B102,'DRAFT 2'!$A:$A,"&gt;="&amp;DATE(2026,12,1),'DRAFT 2'!$A:$A,"&lt;="&amp;DATE(2026,12,7))</f>
        <v>0</v>
      </c>
      <c r="IT102">
        <f>COUNTIFS('DRAFT 2'!$D:$D,$B102,'DRAFT 2'!$A:$A,"&gt;="&amp;DATE(2026,12,8),'DRAFT 2'!$A:$A,"&lt;="&amp;DATE(2026,12,14))</f>
        <v>0</v>
      </c>
      <c r="IU102">
        <f>COUNTIFS('DRAFT 2'!$D:$D,$B102,'DRAFT 2'!$A:$A,"&gt;="&amp;DATE(2026,12,15),'DRAFT 2'!$A:$A,"&lt;="&amp;DATE(2026,12,21))</f>
        <v>0</v>
      </c>
      <c r="IV102">
        <f>COUNTIFS('DRAFT 2'!$D:$D,$B102,'DRAFT 2'!$A:$A,"&gt;="&amp;DATE(2026,12,22),'DRAFT 2'!$A:$A,"&lt;"&amp;DATE(2026,IF(12=12,12+1,12+1),1))</f>
        <v>0</v>
      </c>
      <c r="IW102">
        <f t="shared" si="55"/>
        <v>0</v>
      </c>
    </row>
    <row r="103" spans="1:257" x14ac:dyDescent="0.3">
      <c r="A103" t="str">
        <f>IFERROR(INDEX('DRAFT 1'!$A:$A,MATCH($B103,'DRAFT 1'!$B:$B,0)),"")</f>
        <v/>
      </c>
      <c r="C103" t="str">
        <f>IFERROR(INDEX('DRAFT 1'!$C:$C,MATCH($B103,'DRAFT 1'!$B:$B,0)),"")</f>
        <v/>
      </c>
      <c r="D103" t="str">
        <f>IFERROR(INDEX('DRAFT 1'!$D:$D,MATCH($B103,'DRAFT 1'!$B:$B,0)),"")</f>
        <v/>
      </c>
      <c r="E103" t="str">
        <f>IFERROR(INDEX('DRAFT 1'!$E:$E,MATCH($B103,'DRAFT 1'!$B:$B,0)),"")</f>
        <v/>
      </c>
      <c r="F103" t="str">
        <f>IFERROR(INDEX('DRAFT 1'!$F:$F,MATCH($B103,'DRAFT 1'!$B:$B,0)),"")</f>
        <v/>
      </c>
      <c r="G103" t="str">
        <f>IFERROR(INDEX('DRAFT 1'!$G:$G,MATCH($B103,'DRAFT 1'!$B:$B,0)),"")</f>
        <v/>
      </c>
      <c r="H103" t="str">
        <f>IFERROR(INDEX('DRAFT 1'!$H:$H,MATCH($B103,'DRAFT 1'!$B:$B,0)),"")</f>
        <v/>
      </c>
      <c r="I103" t="s">
        <v>295</v>
      </c>
      <c r="K103" t="str">
        <f>IFERROR(INDEX('DRAFT 1'!$AL:$AL,MATCH($B103,'DRAFT 1'!$B:$B,0)),"")</f>
        <v/>
      </c>
      <c r="L103" t="str">
        <f>IFERROR(INDEX('DRAFT 1'!$J:$J,MATCH($B103,'DRAFT 1'!$B:$B,0)),"")</f>
        <v/>
      </c>
      <c r="M103" t="str">
        <f>IFERROR(INDEX('DRAFT 1'!$K:$K,MATCH($B103,'DRAFT 1'!$B:$B,0)),"")</f>
        <v/>
      </c>
      <c r="N103" t="s">
        <v>71</v>
      </c>
      <c r="P103" t="str">
        <f>IFERROR(INDEX('DRAFT 1'!$L:$L,MATCH($B103,'DRAFT 1'!$B:$B,0)),"")</f>
        <v/>
      </c>
      <c r="Q103" t="str">
        <f>IFERROR(INDEX('DRAFT 1'!$M:$M,MATCH($B103,'DRAFT 1'!$B:$B,0)),"")</f>
        <v/>
      </c>
      <c r="R103" t="str">
        <f>IFERROR(INDEX('DRAFT 1'!$N:$N,MATCH($B103,'DRAFT 1'!$B:$B,0)),"")</f>
        <v/>
      </c>
      <c r="S103" t="str">
        <f>IFERROR(INDEX('DRAFT 1'!$O:$O,MATCH($B103,'DRAFT 1'!$B:$B,0)),"")</f>
        <v/>
      </c>
      <c r="T103" t="str">
        <f>IFERROR(INDEX('DRAFT 1'!$P:$P,MATCH($B103,'DRAFT 1'!$B:$B,0)),"")</f>
        <v/>
      </c>
      <c r="U103" t="str">
        <f>IFERROR(INDEX('DRAFT 1'!$Q:$Q,MATCH($B103,'DRAFT 1'!$B:$B,0)),"")</f>
        <v/>
      </c>
      <c r="V103" t="str">
        <f>IFERROR(INDEX('DRAFT 1'!$R:$R,MATCH($B103,'DRAFT 1'!$B:$B,0)),"")</f>
        <v/>
      </c>
      <c r="W103" t="str">
        <f>IFERROR(INDEX('DRAFT 1'!$S:$S,MATCH($B103,'DRAFT 1'!$B:$B,0)),"")</f>
        <v/>
      </c>
      <c r="X103" t="str">
        <f>IFERROR(INDEX('DRAFT 1'!$T:$T,MATCH($B103,'DRAFT 1'!$B:$B,0)),"")</f>
        <v/>
      </c>
      <c r="Z103" t="str">
        <f>IFERROR(INDEX('DRAFT 1'!$U:$U,MATCH($B103,'DRAFT 1'!$B:$B,0)),"")</f>
        <v/>
      </c>
      <c r="AA103" t="str">
        <f>IFERROR(INDEX('DRAFT 1'!$V:$V,MATCH($B103,'DRAFT 1'!$B:$B,0)),"")</f>
        <v/>
      </c>
      <c r="AB103" t="str">
        <f>IFERROR(INDEX('DRAFT 1'!$W:$W,MATCH($B103,'DRAFT 1'!$B:$B,0)),"")</f>
        <v/>
      </c>
      <c r="AC103" t="str">
        <f>IFERROR(INDEX('DRAFT 1'!$X:$X,MATCH($B103,'DRAFT 1'!$B:$B,0)),"")</f>
        <v/>
      </c>
      <c r="AD103" t="str">
        <f>IFERROR(INDEX('DRAFT 1'!$Y:$Y,MATCH($B103,'DRAFT 1'!$B:$B,0)),"")</f>
        <v/>
      </c>
      <c r="AE103" t="str">
        <f>IFERROR(INDEX('DRAFT 1'!$Z:$Z,MATCH($B103,'DRAFT 1'!$B:$B,0)),"")</f>
        <v/>
      </c>
      <c r="AF103" t="str">
        <f>IFERROR(INDEX('DRAFT 1'!$AA:$AA,MATCH($B103,'DRAFT 1'!$B:$B,0)),"")</f>
        <v/>
      </c>
      <c r="AG103" t="str">
        <f>IFERROR(INDEX('DRAFT 1'!$AB:$AB,MATCH($B103,'DRAFT 1'!$B:$B,0)),"")</f>
        <v/>
      </c>
      <c r="AH103" t="str">
        <f>IFERROR(INDEX('DRAFT 1'!$AC:$AC,MATCH($B103,'DRAFT 1'!$B:$B,0)),"")</f>
        <v/>
      </c>
      <c r="AI103" t="str">
        <f>IFERROR(INDEX('DRAFT 1'!$AD:$AD,MATCH($B103,'DRAFT 1'!$B:$B,0)),"")</f>
        <v/>
      </c>
      <c r="AJ103" t="str">
        <f>IFERROR(INDEX('DRAFT 1'!$AE:$AE,MATCH($B103,'DRAFT 1'!$B:$B,0)),"")</f>
        <v/>
      </c>
      <c r="AK103" t="str">
        <f>IFERROR(INDEX('DRAFT 1'!$AG:$AG,MATCH($B103,'DRAFT 1'!$B:$B,0)),"")</f>
        <v/>
      </c>
      <c r="AL103" t="str">
        <f>IFERROR(INDEX('DRAFT 1'!$AH:$AH,MATCH($B103,'DRAFT 1'!$B:$B,0)),"")</f>
        <v/>
      </c>
      <c r="AM103" t="str">
        <f>IFERROR(INDEX('DRAFT 1'!$AI:$AI,MATCH($B103,'DRAFT 1'!$B:$B,0)),"")</f>
        <v/>
      </c>
      <c r="AN103" t="str">
        <f>IFERROR(INDEX('DRAFT 1'!$AJ:$AJ,MATCH($B103,'DRAFT 1'!$B:$B,0)),"")</f>
        <v/>
      </c>
      <c r="AO103">
        <f t="shared" si="42"/>
        <v>0</v>
      </c>
      <c r="AP103" t="str">
        <f>IFERROR(INDEX('DRAFT 1'!$AK:$AK,MATCH($B103,'DRAFT 1'!$B:$B,0)),"")</f>
        <v/>
      </c>
      <c r="AR103" t="s">
        <v>94</v>
      </c>
      <c r="AS103">
        <f>IFERROR(LOOKUP(2,1/('DRAFT 2'!$D:$D=$B103),'DRAFT 2'!$T:$T),"")</f>
        <v>0</v>
      </c>
      <c r="AT103">
        <f>IFERROR(LOOKUP(2,1/('DRAFT 2'!$D:$D=$B103),'DRAFT 2'!$A:$A),"")</f>
        <v>0</v>
      </c>
      <c r="AU103">
        <f>IFERROR(LOOKUP(2,1/('DRAFT 2'!$D:$D=$B103),'DRAFT 2'!$R:$R),"")</f>
        <v>0</v>
      </c>
      <c r="AV103">
        <f>IFERROR(LOOKUP(2,1/('DRAFT 2'!$D:$D=$B103),'DRAFT 2'!$S:$S),"")</f>
        <v>0</v>
      </c>
      <c r="AW103" t="s">
        <v>130</v>
      </c>
      <c r="AX103">
        <f>IFERROR(LOOKUP(2,1/('DRAFT 2'!$D:$D=$B103),'DRAFT 2'!$M:$M),"")</f>
        <v>0</v>
      </c>
      <c r="AY103">
        <f>IFERROR(LOOKUP(2,1/('DRAFT 2'!$D:$D=$B103),'DRAFT 2'!$K:$K),"")</f>
        <v>0</v>
      </c>
      <c r="BG103">
        <f>IFERROR(LOOKUP(2,1/('DRAFT 2'!$D:$D=$B103),'DRAFT 2'!$U:$U),"")</f>
        <v>0</v>
      </c>
      <c r="BH103">
        <f>IFERROR(LOOKUP(2,1/('DRAFT 2'!$D:$D=$B103),'DRAFT 2'!$V:$V),"")</f>
        <v>0</v>
      </c>
      <c r="CE103" t="str">
        <f t="shared" si="43"/>
        <v/>
      </c>
      <c r="CF103">
        <f>IFERROR(LOOKUP(2,1/('DRAFT 2'!$D:$D=$B103)*('DRAFT 2'!$A:$A&gt;=DATE(2026,1,1))*('DRAFT 2'!$A:$A&lt;DATE(2026,IF(1=12,1+1,1+1),1)),'DRAFT 2'!$A:$A),"")</f>
        <v>0</v>
      </c>
      <c r="CG103">
        <f>COUNTIFS('DRAFT 2'!$D:$D,$B103,'DRAFT 2'!$A:$A,"&gt;="&amp;DATE(2026,1,1),'DRAFT 2'!$A:$A,"&lt;="&amp;DATE(2026,1,7))</f>
        <v>0</v>
      </c>
      <c r="CH103">
        <f>COUNTIFS('DRAFT 2'!$D:$D,$B103,'DRAFT 2'!$A:$A,"&gt;="&amp;DATE(2026,1,8),'DRAFT 2'!$A:$A,"&lt;="&amp;DATE(2026,1,14))</f>
        <v>0</v>
      </c>
      <c r="CI103">
        <f>COUNTIFS('DRAFT 2'!$D:$D,$B103,'DRAFT 2'!$A:$A,"&gt;="&amp;DATE(2026,1,15),'DRAFT 2'!$A:$A,"&lt;="&amp;DATE(2026,1,21))</f>
        <v>0</v>
      </c>
      <c r="CJ103">
        <f>COUNTIFS('DRAFT 2'!$D:$D,$B103,'DRAFT 2'!$A:$A,"&gt;="&amp;DATE(2026,1,22),'DRAFT 2'!$A:$A,"&lt;"&amp;DATE(2026,IF(1=12,1+1,1+1),1))</f>
        <v>0</v>
      </c>
      <c r="CK103">
        <f t="shared" si="44"/>
        <v>0</v>
      </c>
      <c r="CT103">
        <v>0</v>
      </c>
      <c r="CU103">
        <f>IFERROR(LOOKUP(2,1/('DRAFT 2'!$D:$D=$B103)*('DRAFT 2'!$A:$A&gt;=DATE(2026,2,1))*('DRAFT 2'!$A:$A&lt;DATE(2026,IF(2=12,2+1,2+1),1)),'DRAFT 2'!$A:$A),"")</f>
        <v>0</v>
      </c>
      <c r="CV103">
        <f>COUNTIFS('DRAFT 2'!$D:$D,$B103,'DRAFT 2'!$A:$A,"&gt;="&amp;DATE(2026,2,1),'DRAFT 2'!$A:$A,"&lt;="&amp;DATE(2026,2,7))</f>
        <v>0</v>
      </c>
      <c r="CW103">
        <f>COUNTIFS('DRAFT 2'!$D:$D,$B103,'DRAFT 2'!$A:$A,"&gt;="&amp;DATE(2026,2,8),'DRAFT 2'!$A:$A,"&lt;="&amp;DATE(2026,2,14))</f>
        <v>0</v>
      </c>
      <c r="CX103">
        <f>COUNTIFS('DRAFT 2'!$D:$D,$B103,'DRAFT 2'!$A:$A,"&gt;="&amp;DATE(2026,2,15),'DRAFT 2'!$A:$A,"&lt;="&amp;DATE(2026,2,21))</f>
        <v>0</v>
      </c>
      <c r="CY103">
        <f>COUNTIFS('DRAFT 2'!$D:$D,$B103,'DRAFT 2'!$A:$A,"&gt;="&amp;DATE(2026,2,22),'DRAFT 2'!$A:$A,"&lt;"&amp;DATE(2026,IF(2=12,2+1,2+1),1))</f>
        <v>0</v>
      </c>
      <c r="CZ103">
        <f t="shared" si="45"/>
        <v>0</v>
      </c>
      <c r="DJ103">
        <f>IFERROR(LOOKUP(2,1/('DRAFT 2'!$D:$D=$B103)*('DRAFT 2'!$A:$A&gt;=DATE(2026,3,1))*('DRAFT 2'!$A:$A&lt;DATE(2026,IF(3=12,3+1,3+1),1)),'DRAFT 2'!$A:$A),"")</f>
        <v>0</v>
      </c>
      <c r="DK103">
        <f>COUNTIFS('DRAFT 2'!$D:$D,$B103,'DRAFT 2'!$A:$A,"&gt;="&amp;DATE(2026,3,1),'DRAFT 2'!$A:$A,"&lt;="&amp;DATE(2026,3,7))</f>
        <v>0</v>
      </c>
      <c r="DL103">
        <f>COUNTIFS('DRAFT 2'!$D:$D,$B103,'DRAFT 2'!$A:$A,"&gt;="&amp;DATE(2026,3,8),'DRAFT 2'!$A:$A,"&lt;="&amp;DATE(2026,3,14))</f>
        <v>0</v>
      </c>
      <c r="DM103">
        <f>COUNTIFS('DRAFT 2'!$D:$D,$B103,'DRAFT 2'!$A:$A,"&gt;="&amp;DATE(2026,3,15),'DRAFT 2'!$A:$A,"&lt;="&amp;DATE(2026,3,21))</f>
        <v>0</v>
      </c>
      <c r="DN103">
        <f>COUNTIFS('DRAFT 2'!$D:$D,$B103,'DRAFT 2'!$A:$A,"&gt;="&amp;DATE(2026,3,22),'DRAFT 2'!$A:$A,"&lt;"&amp;DATE(2026,IF(3=12,3+1,3+1),1))</f>
        <v>0</v>
      </c>
      <c r="DO103">
        <f t="shared" si="46"/>
        <v>0</v>
      </c>
      <c r="DZ103">
        <f>IFERROR(LOOKUP(2,1/('DRAFT 2'!$D:$D=$B103)*('DRAFT 2'!$A:$A&gt;=DATE(2026,4,1))*('DRAFT 2'!$A:$A&lt;DATE(2026,IF(4=12,4+1,4+1),1)),'DRAFT 2'!$A:$A),"")</f>
        <v>0</v>
      </c>
      <c r="EA103">
        <f>COUNTIFS('DRAFT 2'!$D:$D,$B103,'DRAFT 2'!$A:$A,"&gt;="&amp;DATE(2026,4,1),'DRAFT 2'!$A:$A,"&lt;="&amp;DATE(2026,4,7))</f>
        <v>0</v>
      </c>
      <c r="EB103">
        <f>COUNTIFS('DRAFT 2'!$D:$D,$B103,'DRAFT 2'!$A:$A,"&gt;="&amp;DATE(2026,4,8),'DRAFT 2'!$A:$A,"&lt;="&amp;DATE(2026,4,14))</f>
        <v>0</v>
      </c>
      <c r="EC103">
        <f>COUNTIFS('DRAFT 2'!$D:$D,$B103,'DRAFT 2'!$A:$A,"&gt;="&amp;DATE(2026,4,15),'DRAFT 2'!$A:$A,"&lt;="&amp;DATE(2026,4,21))</f>
        <v>0</v>
      </c>
      <c r="ED103">
        <f>COUNTIFS('DRAFT 2'!$D:$D,$B103,'DRAFT 2'!$A:$A,"&gt;="&amp;DATE(2026,4,22),'DRAFT 2'!$A:$A,"&lt;"&amp;DATE(2026,IF(4=12,4+1,4+1),1))</f>
        <v>0</v>
      </c>
      <c r="EE103">
        <f t="shared" si="47"/>
        <v>0</v>
      </c>
      <c r="EO103">
        <f>IFERROR(LOOKUP(2,1/('DRAFT 2'!$D:$D=$B103)*('DRAFT 2'!$A:$A&gt;=DATE(2026,5,1))*('DRAFT 2'!$A:$A&lt;DATE(2026,IF(5=12,5+1,5+1),1)),'DRAFT 2'!$A:$A),"")</f>
        <v>0</v>
      </c>
      <c r="EP103">
        <f>COUNTIFS('DRAFT 2'!$D:$D,$B103,'DRAFT 2'!$A:$A,"&gt;="&amp;DATE(2026,5,1),'DRAFT 2'!$A:$A,"&lt;="&amp;DATE(2026,5,7))</f>
        <v>0</v>
      </c>
      <c r="EQ103">
        <f>COUNTIFS('DRAFT 2'!$D:$D,$B103,'DRAFT 2'!$A:$A,"&gt;="&amp;DATE(2026,5,8),'DRAFT 2'!$A:$A,"&lt;="&amp;DATE(2026,5,14))</f>
        <v>0</v>
      </c>
      <c r="ER103">
        <f>COUNTIFS('DRAFT 2'!$D:$D,$B103,'DRAFT 2'!$A:$A,"&gt;="&amp;DATE(2026,5,15),'DRAFT 2'!$A:$A,"&lt;="&amp;DATE(2026,5,21))</f>
        <v>0</v>
      </c>
      <c r="ES103">
        <f>COUNTIFS('DRAFT 2'!$D:$D,$B103,'DRAFT 2'!$A:$A,"&gt;="&amp;DATE(2026,5,22),'DRAFT 2'!$A:$A,"&lt;"&amp;DATE(2026,IF(5=12,5+1,5+1),1))</f>
        <v>0</v>
      </c>
      <c r="ET103">
        <f t="shared" si="48"/>
        <v>0</v>
      </c>
      <c r="FD103">
        <f>IFERROR(LOOKUP(2,1/('DRAFT 2'!$D:$D=$B103)*('DRAFT 2'!$A:$A&gt;=DATE(2026,6,1))*('DRAFT 2'!$A:$A&lt;DATE(2026,IF(6=12,6+1,6+1),1)),'DRAFT 2'!$A:$A),"")</f>
        <v>0</v>
      </c>
      <c r="FE103">
        <f>COUNTIFS('DRAFT 2'!$D:$D,$B103,'DRAFT 2'!$A:$A,"&gt;="&amp;DATE(2026,6,1),'DRAFT 2'!$A:$A,"&lt;="&amp;DATE(2026,6,7))</f>
        <v>0</v>
      </c>
      <c r="FF103">
        <f>COUNTIFS('DRAFT 2'!$D:$D,$B103,'DRAFT 2'!$A:$A,"&gt;="&amp;DATE(2026,6,8),'DRAFT 2'!$A:$A,"&lt;="&amp;DATE(2026,6,14))</f>
        <v>0</v>
      </c>
      <c r="FG103">
        <f>COUNTIFS('DRAFT 2'!$D:$D,$B103,'DRAFT 2'!$A:$A,"&gt;="&amp;DATE(2026,6,15),'DRAFT 2'!$A:$A,"&lt;="&amp;DATE(2026,6,21))</f>
        <v>0</v>
      </c>
      <c r="FH103">
        <f>COUNTIFS('DRAFT 2'!$D:$D,$B103,'DRAFT 2'!$A:$A,"&gt;="&amp;DATE(2026,6,22),'DRAFT 2'!$A:$A,"&lt;"&amp;DATE(2026,IF(6=12,6+1,6+1),1))</f>
        <v>0</v>
      </c>
      <c r="FI103">
        <f t="shared" si="49"/>
        <v>0</v>
      </c>
      <c r="FT103">
        <f>IFERROR(LOOKUP(2,1/('DRAFT 2'!$D:$D=$B103)*('DRAFT 2'!$A:$A&gt;=DATE(2026,7,1))*('DRAFT 2'!$A:$A&lt;DATE(2026,IF(7=12,7+1,7+1),1)),'DRAFT 2'!$A:$A),"")</f>
        <v>0</v>
      </c>
      <c r="FU103">
        <f>COUNTIFS('DRAFT 2'!$D:$D,$B103,'DRAFT 2'!$A:$A,"&gt;="&amp;DATE(2026,7,1),'DRAFT 2'!$A:$A,"&lt;="&amp;DATE(2026,7,7))</f>
        <v>0</v>
      </c>
      <c r="FV103">
        <f>COUNTIFS('DRAFT 2'!$D:$D,$B103,'DRAFT 2'!$A:$A,"&gt;="&amp;DATE(2026,7,8),'DRAFT 2'!$A:$A,"&lt;="&amp;DATE(2026,7,14))</f>
        <v>0</v>
      </c>
      <c r="FW103">
        <f>COUNTIFS('DRAFT 2'!$D:$D,$B103,'DRAFT 2'!$A:$A,"&gt;="&amp;DATE(2026,7,15),'DRAFT 2'!$A:$A,"&lt;="&amp;DATE(2026,7,21))</f>
        <v>0</v>
      </c>
      <c r="FX103">
        <f>COUNTIFS('DRAFT 2'!$D:$D,$B103,'DRAFT 2'!$A:$A,"&gt;="&amp;DATE(2026,7,22),'DRAFT 2'!$A:$A,"&lt;"&amp;DATE(2026,IF(7=12,7+1,7+1),1))</f>
        <v>0</v>
      </c>
      <c r="FY103">
        <f t="shared" si="50"/>
        <v>0</v>
      </c>
      <c r="GI103">
        <f>IFERROR(LOOKUP(2,1/('DRAFT 2'!$D:$D=$B103)*('DRAFT 2'!$A:$A&gt;=DATE(2026,8,1))*('DRAFT 2'!$A:$A&lt;DATE(2026,IF(8=12,8+1,8+1),1)),'DRAFT 2'!$A:$A),"")</f>
        <v>0</v>
      </c>
      <c r="GJ103">
        <f>COUNTIFS('DRAFT 2'!$D:$D,$B103,'DRAFT 2'!$A:$A,"&gt;="&amp;DATE(2026,8,1),'DRAFT 2'!$A:$A,"&lt;="&amp;DATE(2026,8,7))</f>
        <v>0</v>
      </c>
      <c r="GK103">
        <f>COUNTIFS('DRAFT 2'!$D:$D,$B103,'DRAFT 2'!$A:$A,"&gt;="&amp;DATE(2026,8,8),'DRAFT 2'!$A:$A,"&lt;="&amp;DATE(2026,8,14))</f>
        <v>0</v>
      </c>
      <c r="GL103">
        <f>COUNTIFS('DRAFT 2'!$D:$D,$B103,'DRAFT 2'!$A:$A,"&gt;="&amp;DATE(2026,8,15),'DRAFT 2'!$A:$A,"&lt;="&amp;DATE(2026,8,21))</f>
        <v>0</v>
      </c>
      <c r="GM103">
        <f>COUNTIFS('DRAFT 2'!$D:$D,$B103,'DRAFT 2'!$A:$A,"&gt;="&amp;DATE(2026,8,22),'DRAFT 2'!$A:$A,"&lt;"&amp;DATE(2026,IF(8=12,8+1,8+1),1))</f>
        <v>0</v>
      </c>
      <c r="GN103">
        <f t="shared" si="51"/>
        <v>0</v>
      </c>
      <c r="GX103">
        <f>IFERROR(LOOKUP(2,1/('DRAFT 2'!$D:$D=$B103)*('DRAFT 2'!$A:$A&gt;=DATE(2026,9,1))*('DRAFT 2'!$A:$A&lt;DATE(2026,IF(9=12,9+1,9+1),1)),'DRAFT 2'!$A:$A),"")</f>
        <v>0</v>
      </c>
      <c r="GY103">
        <f>COUNTIFS('DRAFT 2'!$D:$D,$B103,'DRAFT 2'!$A:$A,"&gt;="&amp;DATE(2026,9,1),'DRAFT 2'!$A:$A,"&lt;="&amp;DATE(2026,9,7))</f>
        <v>0</v>
      </c>
      <c r="GZ103">
        <f>COUNTIFS('DRAFT 2'!$D:$D,$B103,'DRAFT 2'!$A:$A,"&gt;="&amp;DATE(2026,9,8),'DRAFT 2'!$A:$A,"&lt;="&amp;DATE(2026,9,14))</f>
        <v>0</v>
      </c>
      <c r="HA103">
        <f>COUNTIFS('DRAFT 2'!$D:$D,$B103,'DRAFT 2'!$A:$A,"&gt;="&amp;DATE(2026,9,15),'DRAFT 2'!$A:$A,"&lt;="&amp;DATE(2026,9,21))</f>
        <v>0</v>
      </c>
      <c r="HB103">
        <f>COUNTIFS('DRAFT 2'!$D:$D,$B103,'DRAFT 2'!$A:$A,"&gt;="&amp;DATE(2026,9,22),'DRAFT 2'!$A:$A,"&lt;"&amp;DATE(2026,IF(9=12,9+1,9+1),1))</f>
        <v>0</v>
      </c>
      <c r="HC103">
        <f t="shared" si="52"/>
        <v>0</v>
      </c>
      <c r="HN103">
        <f>IFERROR(LOOKUP(2,1/('DRAFT 2'!$D:$D=$B103)*('DRAFT 2'!$A:$A&gt;=DATE(2026,10,1))*('DRAFT 2'!$A:$A&lt;DATE(2026,IF(10=12,10+1,10+1),1)),'DRAFT 2'!$A:$A),"")</f>
        <v>0</v>
      </c>
      <c r="HO103">
        <f>COUNTIFS('DRAFT 2'!$D:$D,$B103,'DRAFT 2'!$A:$A,"&gt;="&amp;DATE(2026,10,1),'DRAFT 2'!$A:$A,"&lt;="&amp;DATE(2026,10,7))</f>
        <v>0</v>
      </c>
      <c r="HP103">
        <f>COUNTIFS('DRAFT 2'!$D:$D,$B103,'DRAFT 2'!$A:$A,"&gt;="&amp;DATE(2026,10,8),'DRAFT 2'!$A:$A,"&lt;="&amp;DATE(2026,10,14))</f>
        <v>0</v>
      </c>
      <c r="HQ103">
        <f>COUNTIFS('DRAFT 2'!$D:$D,$B103,'DRAFT 2'!$A:$A,"&gt;="&amp;DATE(2026,10,15),'DRAFT 2'!$A:$A,"&lt;="&amp;DATE(2026,10,21))</f>
        <v>0</v>
      </c>
      <c r="HR103">
        <f>COUNTIFS('DRAFT 2'!$D:$D,$B103,'DRAFT 2'!$A:$A,"&gt;="&amp;DATE(2026,10,22),'DRAFT 2'!$A:$A,"&lt;"&amp;DATE(2026,IF(10=12,10+1,10+1),1))</f>
        <v>0</v>
      </c>
      <c r="HS103">
        <f t="shared" si="53"/>
        <v>0</v>
      </c>
      <c r="IC103">
        <f>IFERROR(LOOKUP(2,1/('DRAFT 2'!$D:$D=$B103)*('DRAFT 2'!$A:$A&gt;=DATE(2026,11,1))*('DRAFT 2'!$A:$A&lt;DATE(2026,IF(11=12,11+1,11+1),1)),'DRAFT 2'!$A:$A),"")</f>
        <v>0</v>
      </c>
      <c r="ID103">
        <f>COUNTIFS('DRAFT 2'!$D:$D,$B103,'DRAFT 2'!$A:$A,"&gt;="&amp;DATE(2026,11,1),'DRAFT 2'!$A:$A,"&lt;="&amp;DATE(2026,11,7))</f>
        <v>0</v>
      </c>
      <c r="IE103">
        <f>COUNTIFS('DRAFT 2'!$D:$D,$B103,'DRAFT 2'!$A:$A,"&gt;="&amp;DATE(2026,11,8),'DRAFT 2'!$A:$A,"&lt;="&amp;DATE(2026,11,14))</f>
        <v>0</v>
      </c>
      <c r="IF103">
        <f>COUNTIFS('DRAFT 2'!$D:$D,$B103,'DRAFT 2'!$A:$A,"&gt;="&amp;DATE(2026,11,15),'DRAFT 2'!$A:$A,"&lt;="&amp;DATE(2026,11,21))</f>
        <v>0</v>
      </c>
      <c r="IG103">
        <f>COUNTIFS('DRAFT 2'!$D:$D,$B103,'DRAFT 2'!$A:$A,"&gt;="&amp;DATE(2026,11,22),'DRAFT 2'!$A:$A,"&lt;"&amp;DATE(2026,IF(11=12,11+1,11+1),1))</f>
        <v>0</v>
      </c>
      <c r="IH103">
        <f t="shared" si="54"/>
        <v>0</v>
      </c>
      <c r="IR103">
        <f>IFERROR(LOOKUP(2,1/('DRAFT 2'!$D:$D=$B103)*('DRAFT 2'!$A:$A&gt;=DATE(2026,12,1))*('DRAFT 2'!$A:$A&lt;DATE(2026,IF(12=12,12+1,12+1),1)),'DRAFT 2'!$A:$A),"")</f>
        <v>0</v>
      </c>
      <c r="IS103">
        <f>COUNTIFS('DRAFT 2'!$D:$D,$B103,'DRAFT 2'!$A:$A,"&gt;="&amp;DATE(2026,12,1),'DRAFT 2'!$A:$A,"&lt;="&amp;DATE(2026,12,7))</f>
        <v>0</v>
      </c>
      <c r="IT103">
        <f>COUNTIFS('DRAFT 2'!$D:$D,$B103,'DRAFT 2'!$A:$A,"&gt;="&amp;DATE(2026,12,8),'DRAFT 2'!$A:$A,"&lt;="&amp;DATE(2026,12,14))</f>
        <v>0</v>
      </c>
      <c r="IU103">
        <f>COUNTIFS('DRAFT 2'!$D:$D,$B103,'DRAFT 2'!$A:$A,"&gt;="&amp;DATE(2026,12,15),'DRAFT 2'!$A:$A,"&lt;="&amp;DATE(2026,12,21))</f>
        <v>0</v>
      </c>
      <c r="IV103">
        <f>COUNTIFS('DRAFT 2'!$D:$D,$B103,'DRAFT 2'!$A:$A,"&gt;="&amp;DATE(2026,12,22),'DRAFT 2'!$A:$A,"&lt;"&amp;DATE(2026,IF(12=12,12+1,12+1),1))</f>
        <v>0</v>
      </c>
      <c r="IW103">
        <f t="shared" si="55"/>
        <v>0</v>
      </c>
    </row>
    <row r="104" spans="1:257" x14ac:dyDescent="0.3">
      <c r="A104" t="str">
        <f>IFERROR(INDEX('DRAFT 1'!$A:$A,MATCH($B104,'DRAFT 1'!$B:$B,0)),"")</f>
        <v/>
      </c>
      <c r="C104" t="str">
        <f>IFERROR(INDEX('DRAFT 1'!$C:$C,MATCH($B104,'DRAFT 1'!$B:$B,0)),"")</f>
        <v/>
      </c>
      <c r="D104" t="str">
        <f>IFERROR(INDEX('DRAFT 1'!$D:$D,MATCH($B104,'DRAFT 1'!$B:$B,0)),"")</f>
        <v/>
      </c>
      <c r="E104" t="str">
        <f>IFERROR(INDEX('DRAFT 1'!$E:$E,MATCH($B104,'DRAFT 1'!$B:$B,0)),"")</f>
        <v/>
      </c>
      <c r="F104" t="str">
        <f>IFERROR(INDEX('DRAFT 1'!$F:$F,MATCH($B104,'DRAFT 1'!$B:$B,0)),"")</f>
        <v/>
      </c>
      <c r="G104" t="str">
        <f>IFERROR(INDEX('DRAFT 1'!$G:$G,MATCH($B104,'DRAFT 1'!$B:$B,0)),"")</f>
        <v/>
      </c>
      <c r="H104" t="str">
        <f>IFERROR(INDEX('DRAFT 1'!$H:$H,MATCH($B104,'DRAFT 1'!$B:$B,0)),"")</f>
        <v/>
      </c>
      <c r="I104" t="s">
        <v>286</v>
      </c>
      <c r="K104" t="str">
        <f>IFERROR(INDEX('DRAFT 1'!$AL:$AL,MATCH($B104,'DRAFT 1'!$B:$B,0)),"")</f>
        <v/>
      </c>
      <c r="L104" t="str">
        <f>IFERROR(INDEX('DRAFT 1'!$J:$J,MATCH($B104,'DRAFT 1'!$B:$B,0)),"")</f>
        <v/>
      </c>
      <c r="M104" t="str">
        <f>IFERROR(INDEX('DRAFT 1'!$K:$K,MATCH($B104,'DRAFT 1'!$B:$B,0)),"")</f>
        <v/>
      </c>
      <c r="N104" t="s">
        <v>71</v>
      </c>
      <c r="P104" t="str">
        <f>IFERROR(INDEX('DRAFT 1'!$L:$L,MATCH($B104,'DRAFT 1'!$B:$B,0)),"")</f>
        <v/>
      </c>
      <c r="Q104" t="str">
        <f>IFERROR(INDEX('DRAFT 1'!$M:$M,MATCH($B104,'DRAFT 1'!$B:$B,0)),"")</f>
        <v/>
      </c>
      <c r="R104" t="str">
        <f>IFERROR(INDEX('DRAFT 1'!$N:$N,MATCH($B104,'DRAFT 1'!$B:$B,0)),"")</f>
        <v/>
      </c>
      <c r="S104" t="str">
        <f>IFERROR(INDEX('DRAFT 1'!$O:$O,MATCH($B104,'DRAFT 1'!$B:$B,0)),"")</f>
        <v/>
      </c>
      <c r="T104" t="str">
        <f>IFERROR(INDEX('DRAFT 1'!$P:$P,MATCH($B104,'DRAFT 1'!$B:$B,0)),"")</f>
        <v/>
      </c>
      <c r="U104" t="str">
        <f>IFERROR(INDEX('DRAFT 1'!$Q:$Q,MATCH($B104,'DRAFT 1'!$B:$B,0)),"")</f>
        <v/>
      </c>
      <c r="V104" t="str">
        <f>IFERROR(INDEX('DRAFT 1'!$R:$R,MATCH($B104,'DRAFT 1'!$B:$B,0)),"")</f>
        <v/>
      </c>
      <c r="W104" t="str">
        <f>IFERROR(INDEX('DRAFT 1'!$S:$S,MATCH($B104,'DRAFT 1'!$B:$B,0)),"")</f>
        <v/>
      </c>
      <c r="X104" t="str">
        <f>IFERROR(INDEX('DRAFT 1'!$T:$T,MATCH($B104,'DRAFT 1'!$B:$B,0)),"")</f>
        <v/>
      </c>
      <c r="Z104" t="str">
        <f>IFERROR(INDEX('DRAFT 1'!$U:$U,MATCH($B104,'DRAFT 1'!$B:$B,0)),"")</f>
        <v/>
      </c>
      <c r="AA104" t="str">
        <f>IFERROR(INDEX('DRAFT 1'!$V:$V,MATCH($B104,'DRAFT 1'!$B:$B,0)),"")</f>
        <v/>
      </c>
      <c r="AB104" t="str">
        <f>IFERROR(INDEX('DRAFT 1'!$W:$W,MATCH($B104,'DRAFT 1'!$B:$B,0)),"")</f>
        <v/>
      </c>
      <c r="AC104" t="str">
        <f>IFERROR(INDEX('DRAFT 1'!$X:$X,MATCH($B104,'DRAFT 1'!$B:$B,0)),"")</f>
        <v/>
      </c>
      <c r="AD104" t="str">
        <f>IFERROR(INDEX('DRAFT 1'!$Y:$Y,MATCH($B104,'DRAFT 1'!$B:$B,0)),"")</f>
        <v/>
      </c>
      <c r="AE104" t="str">
        <f>IFERROR(INDEX('DRAFT 1'!$Z:$Z,MATCH($B104,'DRAFT 1'!$B:$B,0)),"")</f>
        <v/>
      </c>
      <c r="AF104" t="str">
        <f>IFERROR(INDEX('DRAFT 1'!$AA:$AA,MATCH($B104,'DRAFT 1'!$B:$B,0)),"")</f>
        <v/>
      </c>
      <c r="AG104" t="str">
        <f>IFERROR(INDEX('DRAFT 1'!$AB:$AB,MATCH($B104,'DRAFT 1'!$B:$B,0)),"")</f>
        <v/>
      </c>
      <c r="AH104" t="str">
        <f>IFERROR(INDEX('DRAFT 1'!$AC:$AC,MATCH($B104,'DRAFT 1'!$B:$B,0)),"")</f>
        <v/>
      </c>
      <c r="AI104" t="str">
        <f>IFERROR(INDEX('DRAFT 1'!$AD:$AD,MATCH($B104,'DRAFT 1'!$B:$B,0)),"")</f>
        <v/>
      </c>
      <c r="AJ104" t="str">
        <f>IFERROR(INDEX('DRAFT 1'!$AE:$AE,MATCH($B104,'DRAFT 1'!$B:$B,0)),"")</f>
        <v/>
      </c>
      <c r="AK104" t="str">
        <f>IFERROR(INDEX('DRAFT 1'!$AG:$AG,MATCH($B104,'DRAFT 1'!$B:$B,0)),"")</f>
        <v/>
      </c>
      <c r="AL104" t="str">
        <f>IFERROR(INDEX('DRAFT 1'!$AH:$AH,MATCH($B104,'DRAFT 1'!$B:$B,0)),"")</f>
        <v/>
      </c>
      <c r="AM104" t="str">
        <f>IFERROR(INDEX('DRAFT 1'!$AI:$AI,MATCH($B104,'DRAFT 1'!$B:$B,0)),"")</f>
        <v/>
      </c>
      <c r="AN104" t="str">
        <f>IFERROR(INDEX('DRAFT 1'!$AJ:$AJ,MATCH($B104,'DRAFT 1'!$B:$B,0)),"")</f>
        <v/>
      </c>
      <c r="AO104">
        <f t="shared" si="42"/>
        <v>0</v>
      </c>
      <c r="AP104" t="str">
        <f>IFERROR(INDEX('DRAFT 1'!$AK:$AK,MATCH($B104,'DRAFT 1'!$B:$B,0)),"")</f>
        <v/>
      </c>
      <c r="AR104" t="s">
        <v>33</v>
      </c>
      <c r="AS104">
        <f>IFERROR(LOOKUP(2,1/('DRAFT 2'!$D:$D=$B104),'DRAFT 2'!$T:$T),"")</f>
        <v>0</v>
      </c>
      <c r="AT104">
        <f>IFERROR(LOOKUP(2,1/('DRAFT 2'!$D:$D=$B104),'DRAFT 2'!$A:$A),"")</f>
        <v>0</v>
      </c>
      <c r="AU104">
        <f>IFERROR(LOOKUP(2,1/('DRAFT 2'!$D:$D=$B104),'DRAFT 2'!$R:$R),"")</f>
        <v>0</v>
      </c>
      <c r="AV104">
        <f>IFERROR(LOOKUP(2,1/('DRAFT 2'!$D:$D=$B104),'DRAFT 2'!$S:$S),"")</f>
        <v>0</v>
      </c>
      <c r="AW104" t="s">
        <v>88</v>
      </c>
      <c r="AX104">
        <f>IFERROR(LOOKUP(2,1/('DRAFT 2'!$D:$D=$B104),'DRAFT 2'!$M:$M),"")</f>
        <v>0</v>
      </c>
      <c r="AY104">
        <f>IFERROR(LOOKUP(2,1/('DRAFT 2'!$D:$D=$B104),'DRAFT 2'!$K:$K),"")</f>
        <v>0</v>
      </c>
      <c r="BG104">
        <f>IFERROR(LOOKUP(2,1/('DRAFT 2'!$D:$D=$B104),'DRAFT 2'!$U:$U),"")</f>
        <v>0</v>
      </c>
      <c r="BH104">
        <f>IFERROR(LOOKUP(2,1/('DRAFT 2'!$D:$D=$B104),'DRAFT 2'!$V:$V),"")</f>
        <v>0</v>
      </c>
      <c r="CE104" t="str">
        <f t="shared" si="43"/>
        <v/>
      </c>
      <c r="CF104">
        <f>IFERROR(LOOKUP(2,1/('DRAFT 2'!$D:$D=$B104)*('DRAFT 2'!$A:$A&gt;=DATE(2026,1,1))*('DRAFT 2'!$A:$A&lt;DATE(2026,IF(1=12,1+1,1+1),1)),'DRAFT 2'!$A:$A),"")</f>
        <v>0</v>
      </c>
      <c r="CG104">
        <f>COUNTIFS('DRAFT 2'!$D:$D,$B104,'DRAFT 2'!$A:$A,"&gt;="&amp;DATE(2026,1,1),'DRAFT 2'!$A:$A,"&lt;="&amp;DATE(2026,1,7))</f>
        <v>0</v>
      </c>
      <c r="CH104">
        <f>COUNTIFS('DRAFT 2'!$D:$D,$B104,'DRAFT 2'!$A:$A,"&gt;="&amp;DATE(2026,1,8),'DRAFT 2'!$A:$A,"&lt;="&amp;DATE(2026,1,14))</f>
        <v>0</v>
      </c>
      <c r="CI104">
        <f>COUNTIFS('DRAFT 2'!$D:$D,$B104,'DRAFT 2'!$A:$A,"&gt;="&amp;DATE(2026,1,15),'DRAFT 2'!$A:$A,"&lt;="&amp;DATE(2026,1,21))</f>
        <v>0</v>
      </c>
      <c r="CJ104">
        <f>COUNTIFS('DRAFT 2'!$D:$D,$B104,'DRAFT 2'!$A:$A,"&gt;="&amp;DATE(2026,1,22),'DRAFT 2'!$A:$A,"&lt;"&amp;DATE(2026,IF(1=12,1+1,1+1),1))</f>
        <v>0</v>
      </c>
      <c r="CK104">
        <f t="shared" si="44"/>
        <v>0</v>
      </c>
      <c r="CT104">
        <v>0</v>
      </c>
      <c r="CU104">
        <f>IFERROR(LOOKUP(2,1/('DRAFT 2'!$D:$D=$B104)*('DRAFT 2'!$A:$A&gt;=DATE(2026,2,1))*('DRAFT 2'!$A:$A&lt;DATE(2026,IF(2=12,2+1,2+1),1)),'DRAFT 2'!$A:$A),"")</f>
        <v>0</v>
      </c>
      <c r="CV104">
        <f>COUNTIFS('DRAFT 2'!$D:$D,$B104,'DRAFT 2'!$A:$A,"&gt;="&amp;DATE(2026,2,1),'DRAFT 2'!$A:$A,"&lt;="&amp;DATE(2026,2,7))</f>
        <v>0</v>
      </c>
      <c r="CW104">
        <f>COUNTIFS('DRAFT 2'!$D:$D,$B104,'DRAFT 2'!$A:$A,"&gt;="&amp;DATE(2026,2,8),'DRAFT 2'!$A:$A,"&lt;="&amp;DATE(2026,2,14))</f>
        <v>0</v>
      </c>
      <c r="CX104">
        <f>COUNTIFS('DRAFT 2'!$D:$D,$B104,'DRAFT 2'!$A:$A,"&gt;="&amp;DATE(2026,2,15),'DRAFT 2'!$A:$A,"&lt;="&amp;DATE(2026,2,21))</f>
        <v>0</v>
      </c>
      <c r="CY104">
        <f>COUNTIFS('DRAFT 2'!$D:$D,$B104,'DRAFT 2'!$A:$A,"&gt;="&amp;DATE(2026,2,22),'DRAFT 2'!$A:$A,"&lt;"&amp;DATE(2026,IF(2=12,2+1,2+1),1))</f>
        <v>0</v>
      </c>
      <c r="CZ104">
        <f t="shared" si="45"/>
        <v>0</v>
      </c>
      <c r="DJ104">
        <f>IFERROR(LOOKUP(2,1/('DRAFT 2'!$D:$D=$B104)*('DRAFT 2'!$A:$A&gt;=DATE(2026,3,1))*('DRAFT 2'!$A:$A&lt;DATE(2026,IF(3=12,3+1,3+1),1)),'DRAFT 2'!$A:$A),"")</f>
        <v>0</v>
      </c>
      <c r="DK104">
        <f>COUNTIFS('DRAFT 2'!$D:$D,$B104,'DRAFT 2'!$A:$A,"&gt;="&amp;DATE(2026,3,1),'DRAFT 2'!$A:$A,"&lt;="&amp;DATE(2026,3,7))</f>
        <v>0</v>
      </c>
      <c r="DL104">
        <f>COUNTIFS('DRAFT 2'!$D:$D,$B104,'DRAFT 2'!$A:$A,"&gt;="&amp;DATE(2026,3,8),'DRAFT 2'!$A:$A,"&lt;="&amp;DATE(2026,3,14))</f>
        <v>0</v>
      </c>
      <c r="DM104">
        <f>COUNTIFS('DRAFT 2'!$D:$D,$B104,'DRAFT 2'!$A:$A,"&gt;="&amp;DATE(2026,3,15),'DRAFT 2'!$A:$A,"&lt;="&amp;DATE(2026,3,21))</f>
        <v>0</v>
      </c>
      <c r="DN104">
        <f>COUNTIFS('DRAFT 2'!$D:$D,$B104,'DRAFT 2'!$A:$A,"&gt;="&amp;DATE(2026,3,22),'DRAFT 2'!$A:$A,"&lt;"&amp;DATE(2026,IF(3=12,3+1,3+1),1))</f>
        <v>0</v>
      </c>
      <c r="DO104">
        <f t="shared" si="46"/>
        <v>0</v>
      </c>
      <c r="DZ104">
        <f>IFERROR(LOOKUP(2,1/('DRAFT 2'!$D:$D=$B104)*('DRAFT 2'!$A:$A&gt;=DATE(2026,4,1))*('DRAFT 2'!$A:$A&lt;DATE(2026,IF(4=12,4+1,4+1),1)),'DRAFT 2'!$A:$A),"")</f>
        <v>0</v>
      </c>
      <c r="EA104">
        <f>COUNTIFS('DRAFT 2'!$D:$D,$B104,'DRAFT 2'!$A:$A,"&gt;="&amp;DATE(2026,4,1),'DRAFT 2'!$A:$A,"&lt;="&amp;DATE(2026,4,7))</f>
        <v>0</v>
      </c>
      <c r="EB104">
        <f>COUNTIFS('DRAFT 2'!$D:$D,$B104,'DRAFT 2'!$A:$A,"&gt;="&amp;DATE(2026,4,8),'DRAFT 2'!$A:$A,"&lt;="&amp;DATE(2026,4,14))</f>
        <v>0</v>
      </c>
      <c r="EC104">
        <f>COUNTIFS('DRAFT 2'!$D:$D,$B104,'DRAFT 2'!$A:$A,"&gt;="&amp;DATE(2026,4,15),'DRAFT 2'!$A:$A,"&lt;="&amp;DATE(2026,4,21))</f>
        <v>0</v>
      </c>
      <c r="ED104">
        <f>COUNTIFS('DRAFT 2'!$D:$D,$B104,'DRAFT 2'!$A:$A,"&gt;="&amp;DATE(2026,4,22),'DRAFT 2'!$A:$A,"&lt;"&amp;DATE(2026,IF(4=12,4+1,4+1),1))</f>
        <v>0</v>
      </c>
      <c r="EE104">
        <f t="shared" si="47"/>
        <v>0</v>
      </c>
      <c r="EO104">
        <f>IFERROR(LOOKUP(2,1/('DRAFT 2'!$D:$D=$B104)*('DRAFT 2'!$A:$A&gt;=DATE(2026,5,1))*('DRAFT 2'!$A:$A&lt;DATE(2026,IF(5=12,5+1,5+1),1)),'DRAFT 2'!$A:$A),"")</f>
        <v>0</v>
      </c>
      <c r="EP104">
        <f>COUNTIFS('DRAFT 2'!$D:$D,$B104,'DRAFT 2'!$A:$A,"&gt;="&amp;DATE(2026,5,1),'DRAFT 2'!$A:$A,"&lt;="&amp;DATE(2026,5,7))</f>
        <v>0</v>
      </c>
      <c r="EQ104">
        <f>COUNTIFS('DRAFT 2'!$D:$D,$B104,'DRAFT 2'!$A:$A,"&gt;="&amp;DATE(2026,5,8),'DRAFT 2'!$A:$A,"&lt;="&amp;DATE(2026,5,14))</f>
        <v>0</v>
      </c>
      <c r="ER104">
        <f>COUNTIFS('DRAFT 2'!$D:$D,$B104,'DRAFT 2'!$A:$A,"&gt;="&amp;DATE(2026,5,15),'DRAFT 2'!$A:$A,"&lt;="&amp;DATE(2026,5,21))</f>
        <v>0</v>
      </c>
      <c r="ES104">
        <f>COUNTIFS('DRAFT 2'!$D:$D,$B104,'DRAFT 2'!$A:$A,"&gt;="&amp;DATE(2026,5,22),'DRAFT 2'!$A:$A,"&lt;"&amp;DATE(2026,IF(5=12,5+1,5+1),1))</f>
        <v>0</v>
      </c>
      <c r="ET104">
        <f t="shared" si="48"/>
        <v>0</v>
      </c>
      <c r="FD104">
        <f>IFERROR(LOOKUP(2,1/('DRAFT 2'!$D:$D=$B104)*('DRAFT 2'!$A:$A&gt;=DATE(2026,6,1))*('DRAFT 2'!$A:$A&lt;DATE(2026,IF(6=12,6+1,6+1),1)),'DRAFT 2'!$A:$A),"")</f>
        <v>0</v>
      </c>
      <c r="FE104">
        <f>COUNTIFS('DRAFT 2'!$D:$D,$B104,'DRAFT 2'!$A:$A,"&gt;="&amp;DATE(2026,6,1),'DRAFT 2'!$A:$A,"&lt;="&amp;DATE(2026,6,7))</f>
        <v>0</v>
      </c>
      <c r="FF104">
        <f>COUNTIFS('DRAFT 2'!$D:$D,$B104,'DRAFT 2'!$A:$A,"&gt;="&amp;DATE(2026,6,8),'DRAFT 2'!$A:$A,"&lt;="&amp;DATE(2026,6,14))</f>
        <v>0</v>
      </c>
      <c r="FG104">
        <f>COUNTIFS('DRAFT 2'!$D:$D,$B104,'DRAFT 2'!$A:$A,"&gt;="&amp;DATE(2026,6,15),'DRAFT 2'!$A:$A,"&lt;="&amp;DATE(2026,6,21))</f>
        <v>0</v>
      </c>
      <c r="FH104">
        <f>COUNTIFS('DRAFT 2'!$D:$D,$B104,'DRAFT 2'!$A:$A,"&gt;="&amp;DATE(2026,6,22),'DRAFT 2'!$A:$A,"&lt;"&amp;DATE(2026,IF(6=12,6+1,6+1),1))</f>
        <v>0</v>
      </c>
      <c r="FI104">
        <f t="shared" si="49"/>
        <v>0</v>
      </c>
      <c r="FT104">
        <f>IFERROR(LOOKUP(2,1/('DRAFT 2'!$D:$D=$B104)*('DRAFT 2'!$A:$A&gt;=DATE(2026,7,1))*('DRAFT 2'!$A:$A&lt;DATE(2026,IF(7=12,7+1,7+1),1)),'DRAFT 2'!$A:$A),"")</f>
        <v>0</v>
      </c>
      <c r="FU104">
        <f>COUNTIFS('DRAFT 2'!$D:$D,$B104,'DRAFT 2'!$A:$A,"&gt;="&amp;DATE(2026,7,1),'DRAFT 2'!$A:$A,"&lt;="&amp;DATE(2026,7,7))</f>
        <v>0</v>
      </c>
      <c r="FV104">
        <f>COUNTIFS('DRAFT 2'!$D:$D,$B104,'DRAFT 2'!$A:$A,"&gt;="&amp;DATE(2026,7,8),'DRAFT 2'!$A:$A,"&lt;="&amp;DATE(2026,7,14))</f>
        <v>0</v>
      </c>
      <c r="FW104">
        <f>COUNTIFS('DRAFT 2'!$D:$D,$B104,'DRAFT 2'!$A:$A,"&gt;="&amp;DATE(2026,7,15),'DRAFT 2'!$A:$A,"&lt;="&amp;DATE(2026,7,21))</f>
        <v>0</v>
      </c>
      <c r="FX104">
        <f>COUNTIFS('DRAFT 2'!$D:$D,$B104,'DRAFT 2'!$A:$A,"&gt;="&amp;DATE(2026,7,22),'DRAFT 2'!$A:$A,"&lt;"&amp;DATE(2026,IF(7=12,7+1,7+1),1))</f>
        <v>0</v>
      </c>
      <c r="FY104">
        <f t="shared" si="50"/>
        <v>0</v>
      </c>
      <c r="GI104">
        <f>IFERROR(LOOKUP(2,1/('DRAFT 2'!$D:$D=$B104)*('DRAFT 2'!$A:$A&gt;=DATE(2026,8,1))*('DRAFT 2'!$A:$A&lt;DATE(2026,IF(8=12,8+1,8+1),1)),'DRAFT 2'!$A:$A),"")</f>
        <v>0</v>
      </c>
      <c r="GJ104">
        <f>COUNTIFS('DRAFT 2'!$D:$D,$B104,'DRAFT 2'!$A:$A,"&gt;="&amp;DATE(2026,8,1),'DRAFT 2'!$A:$A,"&lt;="&amp;DATE(2026,8,7))</f>
        <v>0</v>
      </c>
      <c r="GK104">
        <f>COUNTIFS('DRAFT 2'!$D:$D,$B104,'DRAFT 2'!$A:$A,"&gt;="&amp;DATE(2026,8,8),'DRAFT 2'!$A:$A,"&lt;="&amp;DATE(2026,8,14))</f>
        <v>0</v>
      </c>
      <c r="GL104">
        <f>COUNTIFS('DRAFT 2'!$D:$D,$B104,'DRAFT 2'!$A:$A,"&gt;="&amp;DATE(2026,8,15),'DRAFT 2'!$A:$A,"&lt;="&amp;DATE(2026,8,21))</f>
        <v>0</v>
      </c>
      <c r="GM104">
        <f>COUNTIFS('DRAFT 2'!$D:$D,$B104,'DRAFT 2'!$A:$A,"&gt;="&amp;DATE(2026,8,22),'DRAFT 2'!$A:$A,"&lt;"&amp;DATE(2026,IF(8=12,8+1,8+1),1))</f>
        <v>0</v>
      </c>
      <c r="GN104">
        <f t="shared" si="51"/>
        <v>0</v>
      </c>
      <c r="GX104">
        <f>IFERROR(LOOKUP(2,1/('DRAFT 2'!$D:$D=$B104)*('DRAFT 2'!$A:$A&gt;=DATE(2026,9,1))*('DRAFT 2'!$A:$A&lt;DATE(2026,IF(9=12,9+1,9+1),1)),'DRAFT 2'!$A:$A),"")</f>
        <v>0</v>
      </c>
      <c r="GY104">
        <f>COUNTIFS('DRAFT 2'!$D:$D,$B104,'DRAFT 2'!$A:$A,"&gt;="&amp;DATE(2026,9,1),'DRAFT 2'!$A:$A,"&lt;="&amp;DATE(2026,9,7))</f>
        <v>0</v>
      </c>
      <c r="GZ104">
        <f>COUNTIFS('DRAFT 2'!$D:$D,$B104,'DRAFT 2'!$A:$A,"&gt;="&amp;DATE(2026,9,8),'DRAFT 2'!$A:$A,"&lt;="&amp;DATE(2026,9,14))</f>
        <v>0</v>
      </c>
      <c r="HA104">
        <f>COUNTIFS('DRAFT 2'!$D:$D,$B104,'DRAFT 2'!$A:$A,"&gt;="&amp;DATE(2026,9,15),'DRAFT 2'!$A:$A,"&lt;="&amp;DATE(2026,9,21))</f>
        <v>0</v>
      </c>
      <c r="HB104">
        <f>COUNTIFS('DRAFT 2'!$D:$D,$B104,'DRAFT 2'!$A:$A,"&gt;="&amp;DATE(2026,9,22),'DRAFT 2'!$A:$A,"&lt;"&amp;DATE(2026,IF(9=12,9+1,9+1),1))</f>
        <v>0</v>
      </c>
      <c r="HC104">
        <f t="shared" si="52"/>
        <v>0</v>
      </c>
      <c r="HN104">
        <f>IFERROR(LOOKUP(2,1/('DRAFT 2'!$D:$D=$B104)*('DRAFT 2'!$A:$A&gt;=DATE(2026,10,1))*('DRAFT 2'!$A:$A&lt;DATE(2026,IF(10=12,10+1,10+1),1)),'DRAFT 2'!$A:$A),"")</f>
        <v>0</v>
      </c>
      <c r="HO104">
        <f>COUNTIFS('DRAFT 2'!$D:$D,$B104,'DRAFT 2'!$A:$A,"&gt;="&amp;DATE(2026,10,1),'DRAFT 2'!$A:$A,"&lt;="&amp;DATE(2026,10,7))</f>
        <v>0</v>
      </c>
      <c r="HP104">
        <f>COUNTIFS('DRAFT 2'!$D:$D,$B104,'DRAFT 2'!$A:$A,"&gt;="&amp;DATE(2026,10,8),'DRAFT 2'!$A:$A,"&lt;="&amp;DATE(2026,10,14))</f>
        <v>0</v>
      </c>
      <c r="HQ104">
        <f>COUNTIFS('DRAFT 2'!$D:$D,$B104,'DRAFT 2'!$A:$A,"&gt;="&amp;DATE(2026,10,15),'DRAFT 2'!$A:$A,"&lt;="&amp;DATE(2026,10,21))</f>
        <v>0</v>
      </c>
      <c r="HR104">
        <f>COUNTIFS('DRAFT 2'!$D:$D,$B104,'DRAFT 2'!$A:$A,"&gt;="&amp;DATE(2026,10,22),'DRAFT 2'!$A:$A,"&lt;"&amp;DATE(2026,IF(10=12,10+1,10+1),1))</f>
        <v>0</v>
      </c>
      <c r="HS104">
        <f t="shared" si="53"/>
        <v>0</v>
      </c>
      <c r="IC104">
        <f>IFERROR(LOOKUP(2,1/('DRAFT 2'!$D:$D=$B104)*('DRAFT 2'!$A:$A&gt;=DATE(2026,11,1))*('DRAFT 2'!$A:$A&lt;DATE(2026,IF(11=12,11+1,11+1),1)),'DRAFT 2'!$A:$A),"")</f>
        <v>0</v>
      </c>
      <c r="ID104">
        <f>COUNTIFS('DRAFT 2'!$D:$D,$B104,'DRAFT 2'!$A:$A,"&gt;="&amp;DATE(2026,11,1),'DRAFT 2'!$A:$A,"&lt;="&amp;DATE(2026,11,7))</f>
        <v>0</v>
      </c>
      <c r="IE104">
        <f>COUNTIFS('DRAFT 2'!$D:$D,$B104,'DRAFT 2'!$A:$A,"&gt;="&amp;DATE(2026,11,8),'DRAFT 2'!$A:$A,"&lt;="&amp;DATE(2026,11,14))</f>
        <v>0</v>
      </c>
      <c r="IF104">
        <f>COUNTIFS('DRAFT 2'!$D:$D,$B104,'DRAFT 2'!$A:$A,"&gt;="&amp;DATE(2026,11,15),'DRAFT 2'!$A:$A,"&lt;="&amp;DATE(2026,11,21))</f>
        <v>0</v>
      </c>
      <c r="IG104">
        <f>COUNTIFS('DRAFT 2'!$D:$D,$B104,'DRAFT 2'!$A:$A,"&gt;="&amp;DATE(2026,11,22),'DRAFT 2'!$A:$A,"&lt;"&amp;DATE(2026,IF(11=12,11+1,11+1),1))</f>
        <v>0</v>
      </c>
      <c r="IH104">
        <f t="shared" si="54"/>
        <v>0</v>
      </c>
      <c r="IR104">
        <f>IFERROR(LOOKUP(2,1/('DRAFT 2'!$D:$D=$B104)*('DRAFT 2'!$A:$A&gt;=DATE(2026,12,1))*('DRAFT 2'!$A:$A&lt;DATE(2026,IF(12=12,12+1,12+1),1)),'DRAFT 2'!$A:$A),"")</f>
        <v>0</v>
      </c>
      <c r="IS104">
        <f>COUNTIFS('DRAFT 2'!$D:$D,$B104,'DRAFT 2'!$A:$A,"&gt;="&amp;DATE(2026,12,1),'DRAFT 2'!$A:$A,"&lt;="&amp;DATE(2026,12,7))</f>
        <v>0</v>
      </c>
      <c r="IT104">
        <f>COUNTIFS('DRAFT 2'!$D:$D,$B104,'DRAFT 2'!$A:$A,"&gt;="&amp;DATE(2026,12,8),'DRAFT 2'!$A:$A,"&lt;="&amp;DATE(2026,12,14))</f>
        <v>0</v>
      </c>
      <c r="IU104">
        <f>COUNTIFS('DRAFT 2'!$D:$D,$B104,'DRAFT 2'!$A:$A,"&gt;="&amp;DATE(2026,12,15),'DRAFT 2'!$A:$A,"&lt;="&amp;DATE(2026,12,21))</f>
        <v>0</v>
      </c>
      <c r="IV104">
        <f>COUNTIFS('DRAFT 2'!$D:$D,$B104,'DRAFT 2'!$A:$A,"&gt;="&amp;DATE(2026,12,22),'DRAFT 2'!$A:$A,"&lt;"&amp;DATE(2026,IF(12=12,12+1,12+1),1))</f>
        <v>0</v>
      </c>
      <c r="IW104">
        <f t="shared" si="55"/>
        <v>0</v>
      </c>
    </row>
    <row r="105" spans="1:257" x14ac:dyDescent="0.3">
      <c r="A105" t="str">
        <f>IFERROR(INDEX('DRAFT 1'!$A:$A,MATCH($B105,'DRAFT 1'!$B:$B,0)),"")</f>
        <v/>
      </c>
      <c r="C105" t="str">
        <f>IFERROR(INDEX('DRAFT 1'!$C:$C,MATCH($B105,'DRAFT 1'!$B:$B,0)),"")</f>
        <v/>
      </c>
      <c r="D105" t="str">
        <f>IFERROR(INDEX('DRAFT 1'!$D:$D,MATCH($B105,'DRAFT 1'!$B:$B,0)),"")</f>
        <v/>
      </c>
      <c r="E105" t="str">
        <f>IFERROR(INDEX('DRAFT 1'!$E:$E,MATCH($B105,'DRAFT 1'!$B:$B,0)),"")</f>
        <v/>
      </c>
      <c r="F105" t="str">
        <f>IFERROR(INDEX('DRAFT 1'!$F:$F,MATCH($B105,'DRAFT 1'!$B:$B,0)),"")</f>
        <v/>
      </c>
      <c r="G105" t="str">
        <f>IFERROR(INDEX('DRAFT 1'!$G:$G,MATCH($B105,'DRAFT 1'!$B:$B,0)),"")</f>
        <v/>
      </c>
      <c r="H105" t="str">
        <f>IFERROR(INDEX('DRAFT 1'!$H:$H,MATCH($B105,'DRAFT 1'!$B:$B,0)),"")</f>
        <v/>
      </c>
      <c r="I105" t="s">
        <v>292</v>
      </c>
      <c r="K105" t="str">
        <f>IFERROR(INDEX('DRAFT 1'!$AL:$AL,MATCH($B105,'DRAFT 1'!$B:$B,0)),"")</f>
        <v/>
      </c>
      <c r="L105" t="str">
        <f>IFERROR(INDEX('DRAFT 1'!$J:$J,MATCH($B105,'DRAFT 1'!$B:$B,0)),"")</f>
        <v/>
      </c>
      <c r="M105" t="str">
        <f>IFERROR(INDEX('DRAFT 1'!$K:$K,MATCH($B105,'DRAFT 1'!$B:$B,0)),"")</f>
        <v/>
      </c>
      <c r="N105" t="s">
        <v>71</v>
      </c>
      <c r="P105" t="str">
        <f>IFERROR(INDEX('DRAFT 1'!$L:$L,MATCH($B105,'DRAFT 1'!$B:$B,0)),"")</f>
        <v/>
      </c>
      <c r="Q105" t="str">
        <f>IFERROR(INDEX('DRAFT 1'!$M:$M,MATCH($B105,'DRAFT 1'!$B:$B,0)),"")</f>
        <v/>
      </c>
      <c r="R105" t="str">
        <f>IFERROR(INDEX('DRAFT 1'!$N:$N,MATCH($B105,'DRAFT 1'!$B:$B,0)),"")</f>
        <v/>
      </c>
      <c r="S105" t="str">
        <f>IFERROR(INDEX('DRAFT 1'!$O:$O,MATCH($B105,'DRAFT 1'!$B:$B,0)),"")</f>
        <v/>
      </c>
      <c r="T105" t="str">
        <f>IFERROR(INDEX('DRAFT 1'!$P:$P,MATCH($B105,'DRAFT 1'!$B:$B,0)),"")</f>
        <v/>
      </c>
      <c r="U105" t="str">
        <f>IFERROR(INDEX('DRAFT 1'!$Q:$Q,MATCH($B105,'DRAFT 1'!$B:$B,0)),"")</f>
        <v/>
      </c>
      <c r="V105" t="str">
        <f>IFERROR(INDEX('DRAFT 1'!$R:$R,MATCH($B105,'DRAFT 1'!$B:$B,0)),"")</f>
        <v/>
      </c>
      <c r="W105" t="str">
        <f>IFERROR(INDEX('DRAFT 1'!$S:$S,MATCH($B105,'DRAFT 1'!$B:$B,0)),"")</f>
        <v/>
      </c>
      <c r="X105" t="str">
        <f>IFERROR(INDEX('DRAFT 1'!$T:$T,MATCH($B105,'DRAFT 1'!$B:$B,0)),"")</f>
        <v/>
      </c>
      <c r="Z105" t="str">
        <f>IFERROR(INDEX('DRAFT 1'!$U:$U,MATCH($B105,'DRAFT 1'!$B:$B,0)),"")</f>
        <v/>
      </c>
      <c r="AA105" t="str">
        <f>IFERROR(INDEX('DRAFT 1'!$V:$V,MATCH($B105,'DRAFT 1'!$B:$B,0)),"")</f>
        <v/>
      </c>
      <c r="AB105" t="str">
        <f>IFERROR(INDEX('DRAFT 1'!$W:$W,MATCH($B105,'DRAFT 1'!$B:$B,0)),"")</f>
        <v/>
      </c>
      <c r="AC105" t="str">
        <f>IFERROR(INDEX('DRAFT 1'!$X:$X,MATCH($B105,'DRAFT 1'!$B:$B,0)),"")</f>
        <v/>
      </c>
      <c r="AD105" t="str">
        <f>IFERROR(INDEX('DRAFT 1'!$Y:$Y,MATCH($B105,'DRAFT 1'!$B:$B,0)),"")</f>
        <v/>
      </c>
      <c r="AE105" t="str">
        <f>IFERROR(INDEX('DRAFT 1'!$Z:$Z,MATCH($B105,'DRAFT 1'!$B:$B,0)),"")</f>
        <v/>
      </c>
      <c r="AF105" t="str">
        <f>IFERROR(INDEX('DRAFT 1'!$AA:$AA,MATCH($B105,'DRAFT 1'!$B:$B,0)),"")</f>
        <v/>
      </c>
      <c r="AG105" t="str">
        <f>IFERROR(INDEX('DRAFT 1'!$AB:$AB,MATCH($B105,'DRAFT 1'!$B:$B,0)),"")</f>
        <v/>
      </c>
      <c r="AH105" t="str">
        <f>IFERROR(INDEX('DRAFT 1'!$AC:$AC,MATCH($B105,'DRAFT 1'!$B:$B,0)),"")</f>
        <v/>
      </c>
      <c r="AI105" t="str">
        <f>IFERROR(INDEX('DRAFT 1'!$AD:$AD,MATCH($B105,'DRAFT 1'!$B:$B,0)),"")</f>
        <v/>
      </c>
      <c r="AJ105" t="str">
        <f>IFERROR(INDEX('DRAFT 1'!$AE:$AE,MATCH($B105,'DRAFT 1'!$B:$B,0)),"")</f>
        <v/>
      </c>
      <c r="AK105" t="str">
        <f>IFERROR(INDEX('DRAFT 1'!$AG:$AG,MATCH($B105,'DRAFT 1'!$B:$B,0)),"")</f>
        <v/>
      </c>
      <c r="AL105" t="str">
        <f>IFERROR(INDEX('DRAFT 1'!$AH:$AH,MATCH($B105,'DRAFT 1'!$B:$B,0)),"")</f>
        <v/>
      </c>
      <c r="AM105" t="str">
        <f>IFERROR(INDEX('DRAFT 1'!$AI:$AI,MATCH($B105,'DRAFT 1'!$B:$B,0)),"")</f>
        <v/>
      </c>
      <c r="AN105" t="str">
        <f>IFERROR(INDEX('DRAFT 1'!$AJ:$AJ,MATCH($B105,'DRAFT 1'!$B:$B,0)),"")</f>
        <v/>
      </c>
      <c r="AO105">
        <f t="shared" si="42"/>
        <v>0</v>
      </c>
      <c r="AP105" t="str">
        <f>IFERROR(INDEX('DRAFT 1'!$AK:$AK,MATCH($B105,'DRAFT 1'!$B:$B,0)),"")</f>
        <v/>
      </c>
      <c r="AR105" t="s">
        <v>93</v>
      </c>
      <c r="AS105">
        <f>IFERROR(LOOKUP(2,1/('DRAFT 2'!$D:$D=$B105),'DRAFT 2'!$T:$T),"")</f>
        <v>0</v>
      </c>
      <c r="AT105">
        <f>IFERROR(LOOKUP(2,1/('DRAFT 2'!$D:$D=$B105),'DRAFT 2'!$A:$A),"")</f>
        <v>0</v>
      </c>
      <c r="AU105">
        <f>IFERROR(LOOKUP(2,1/('DRAFT 2'!$D:$D=$B105),'DRAFT 2'!$R:$R),"")</f>
        <v>0</v>
      </c>
      <c r="AV105">
        <f>IFERROR(LOOKUP(2,1/('DRAFT 2'!$D:$D=$B105),'DRAFT 2'!$S:$S),"")</f>
        <v>0</v>
      </c>
      <c r="AW105" t="s">
        <v>88</v>
      </c>
      <c r="AX105">
        <f>IFERROR(LOOKUP(2,1/('DRAFT 2'!$D:$D=$B105),'DRAFT 2'!$M:$M),"")</f>
        <v>0</v>
      </c>
      <c r="AY105">
        <f>IFERROR(LOOKUP(2,1/('DRAFT 2'!$D:$D=$B105),'DRAFT 2'!$K:$K),"")</f>
        <v>0</v>
      </c>
      <c r="BG105">
        <f>IFERROR(LOOKUP(2,1/('DRAFT 2'!$D:$D=$B105),'DRAFT 2'!$U:$U),"")</f>
        <v>0</v>
      </c>
      <c r="BH105">
        <f>IFERROR(LOOKUP(2,1/('DRAFT 2'!$D:$D=$B105),'DRAFT 2'!$V:$V),"")</f>
        <v>0</v>
      </c>
      <c r="CE105" t="str">
        <f t="shared" si="43"/>
        <v/>
      </c>
      <c r="CF105">
        <f>IFERROR(LOOKUP(2,1/('DRAFT 2'!$D:$D=$B105)*('DRAFT 2'!$A:$A&gt;=DATE(2026,1,1))*('DRAFT 2'!$A:$A&lt;DATE(2026,IF(1=12,1+1,1+1),1)),'DRAFT 2'!$A:$A),"")</f>
        <v>0</v>
      </c>
      <c r="CG105">
        <f>COUNTIFS('DRAFT 2'!$D:$D,$B105,'DRAFT 2'!$A:$A,"&gt;="&amp;DATE(2026,1,1),'DRAFT 2'!$A:$A,"&lt;="&amp;DATE(2026,1,7))</f>
        <v>0</v>
      </c>
      <c r="CH105">
        <f>COUNTIFS('DRAFT 2'!$D:$D,$B105,'DRAFT 2'!$A:$A,"&gt;="&amp;DATE(2026,1,8),'DRAFT 2'!$A:$A,"&lt;="&amp;DATE(2026,1,14))</f>
        <v>0</v>
      </c>
      <c r="CI105">
        <f>COUNTIFS('DRAFT 2'!$D:$D,$B105,'DRAFT 2'!$A:$A,"&gt;="&amp;DATE(2026,1,15),'DRAFT 2'!$A:$A,"&lt;="&amp;DATE(2026,1,21))</f>
        <v>0</v>
      </c>
      <c r="CJ105">
        <f>COUNTIFS('DRAFT 2'!$D:$D,$B105,'DRAFT 2'!$A:$A,"&gt;="&amp;DATE(2026,1,22),'DRAFT 2'!$A:$A,"&lt;"&amp;DATE(2026,IF(1=12,1+1,1+1),1))</f>
        <v>0</v>
      </c>
      <c r="CK105">
        <f t="shared" si="44"/>
        <v>0</v>
      </c>
      <c r="CT105">
        <v>0</v>
      </c>
      <c r="CU105">
        <f>IFERROR(LOOKUP(2,1/('DRAFT 2'!$D:$D=$B105)*('DRAFT 2'!$A:$A&gt;=DATE(2026,2,1))*('DRAFT 2'!$A:$A&lt;DATE(2026,IF(2=12,2+1,2+1),1)),'DRAFT 2'!$A:$A),"")</f>
        <v>0</v>
      </c>
      <c r="CV105">
        <f>COUNTIFS('DRAFT 2'!$D:$D,$B105,'DRAFT 2'!$A:$A,"&gt;="&amp;DATE(2026,2,1),'DRAFT 2'!$A:$A,"&lt;="&amp;DATE(2026,2,7))</f>
        <v>0</v>
      </c>
      <c r="CW105">
        <f>COUNTIFS('DRAFT 2'!$D:$D,$B105,'DRAFT 2'!$A:$A,"&gt;="&amp;DATE(2026,2,8),'DRAFT 2'!$A:$A,"&lt;="&amp;DATE(2026,2,14))</f>
        <v>0</v>
      </c>
      <c r="CX105">
        <f>COUNTIFS('DRAFT 2'!$D:$D,$B105,'DRAFT 2'!$A:$A,"&gt;="&amp;DATE(2026,2,15),'DRAFT 2'!$A:$A,"&lt;="&amp;DATE(2026,2,21))</f>
        <v>0</v>
      </c>
      <c r="CY105">
        <f>COUNTIFS('DRAFT 2'!$D:$D,$B105,'DRAFT 2'!$A:$A,"&gt;="&amp;DATE(2026,2,22),'DRAFT 2'!$A:$A,"&lt;"&amp;DATE(2026,IF(2=12,2+1,2+1),1))</f>
        <v>0</v>
      </c>
      <c r="CZ105">
        <f t="shared" si="45"/>
        <v>0</v>
      </c>
      <c r="DJ105">
        <f>IFERROR(LOOKUP(2,1/('DRAFT 2'!$D:$D=$B105)*('DRAFT 2'!$A:$A&gt;=DATE(2026,3,1))*('DRAFT 2'!$A:$A&lt;DATE(2026,IF(3=12,3+1,3+1),1)),'DRAFT 2'!$A:$A),"")</f>
        <v>0</v>
      </c>
      <c r="DK105">
        <f>COUNTIFS('DRAFT 2'!$D:$D,$B105,'DRAFT 2'!$A:$A,"&gt;="&amp;DATE(2026,3,1),'DRAFT 2'!$A:$A,"&lt;="&amp;DATE(2026,3,7))</f>
        <v>0</v>
      </c>
      <c r="DL105">
        <f>COUNTIFS('DRAFT 2'!$D:$D,$B105,'DRAFT 2'!$A:$A,"&gt;="&amp;DATE(2026,3,8),'DRAFT 2'!$A:$A,"&lt;="&amp;DATE(2026,3,14))</f>
        <v>0</v>
      </c>
      <c r="DM105">
        <f>COUNTIFS('DRAFT 2'!$D:$D,$B105,'DRAFT 2'!$A:$A,"&gt;="&amp;DATE(2026,3,15),'DRAFT 2'!$A:$A,"&lt;="&amp;DATE(2026,3,21))</f>
        <v>0</v>
      </c>
      <c r="DN105">
        <f>COUNTIFS('DRAFT 2'!$D:$D,$B105,'DRAFT 2'!$A:$A,"&gt;="&amp;DATE(2026,3,22),'DRAFT 2'!$A:$A,"&lt;"&amp;DATE(2026,IF(3=12,3+1,3+1),1))</f>
        <v>0</v>
      </c>
      <c r="DO105">
        <f t="shared" si="46"/>
        <v>0</v>
      </c>
      <c r="DZ105">
        <f>IFERROR(LOOKUP(2,1/('DRAFT 2'!$D:$D=$B105)*('DRAFT 2'!$A:$A&gt;=DATE(2026,4,1))*('DRAFT 2'!$A:$A&lt;DATE(2026,IF(4=12,4+1,4+1),1)),'DRAFT 2'!$A:$A),"")</f>
        <v>0</v>
      </c>
      <c r="EA105">
        <f>COUNTIFS('DRAFT 2'!$D:$D,$B105,'DRAFT 2'!$A:$A,"&gt;="&amp;DATE(2026,4,1),'DRAFT 2'!$A:$A,"&lt;="&amp;DATE(2026,4,7))</f>
        <v>0</v>
      </c>
      <c r="EB105">
        <f>COUNTIFS('DRAFT 2'!$D:$D,$B105,'DRAFT 2'!$A:$A,"&gt;="&amp;DATE(2026,4,8),'DRAFT 2'!$A:$A,"&lt;="&amp;DATE(2026,4,14))</f>
        <v>0</v>
      </c>
      <c r="EC105">
        <f>COUNTIFS('DRAFT 2'!$D:$D,$B105,'DRAFT 2'!$A:$A,"&gt;="&amp;DATE(2026,4,15),'DRAFT 2'!$A:$A,"&lt;="&amp;DATE(2026,4,21))</f>
        <v>0</v>
      </c>
      <c r="ED105">
        <f>COUNTIFS('DRAFT 2'!$D:$D,$B105,'DRAFT 2'!$A:$A,"&gt;="&amp;DATE(2026,4,22),'DRAFT 2'!$A:$A,"&lt;"&amp;DATE(2026,IF(4=12,4+1,4+1),1))</f>
        <v>0</v>
      </c>
      <c r="EE105">
        <f t="shared" si="47"/>
        <v>0</v>
      </c>
      <c r="EO105">
        <f>IFERROR(LOOKUP(2,1/('DRAFT 2'!$D:$D=$B105)*('DRAFT 2'!$A:$A&gt;=DATE(2026,5,1))*('DRAFT 2'!$A:$A&lt;DATE(2026,IF(5=12,5+1,5+1),1)),'DRAFT 2'!$A:$A),"")</f>
        <v>0</v>
      </c>
      <c r="EP105">
        <f>COUNTIFS('DRAFT 2'!$D:$D,$B105,'DRAFT 2'!$A:$A,"&gt;="&amp;DATE(2026,5,1),'DRAFT 2'!$A:$A,"&lt;="&amp;DATE(2026,5,7))</f>
        <v>0</v>
      </c>
      <c r="EQ105">
        <f>COUNTIFS('DRAFT 2'!$D:$D,$B105,'DRAFT 2'!$A:$A,"&gt;="&amp;DATE(2026,5,8),'DRAFT 2'!$A:$A,"&lt;="&amp;DATE(2026,5,14))</f>
        <v>0</v>
      </c>
      <c r="ER105">
        <f>COUNTIFS('DRAFT 2'!$D:$D,$B105,'DRAFT 2'!$A:$A,"&gt;="&amp;DATE(2026,5,15),'DRAFT 2'!$A:$A,"&lt;="&amp;DATE(2026,5,21))</f>
        <v>0</v>
      </c>
      <c r="ES105">
        <f>COUNTIFS('DRAFT 2'!$D:$D,$B105,'DRAFT 2'!$A:$A,"&gt;="&amp;DATE(2026,5,22),'DRAFT 2'!$A:$A,"&lt;"&amp;DATE(2026,IF(5=12,5+1,5+1),1))</f>
        <v>0</v>
      </c>
      <c r="ET105">
        <f t="shared" si="48"/>
        <v>0</v>
      </c>
      <c r="FD105">
        <f>IFERROR(LOOKUP(2,1/('DRAFT 2'!$D:$D=$B105)*('DRAFT 2'!$A:$A&gt;=DATE(2026,6,1))*('DRAFT 2'!$A:$A&lt;DATE(2026,IF(6=12,6+1,6+1),1)),'DRAFT 2'!$A:$A),"")</f>
        <v>0</v>
      </c>
      <c r="FE105">
        <f>COUNTIFS('DRAFT 2'!$D:$D,$B105,'DRAFT 2'!$A:$A,"&gt;="&amp;DATE(2026,6,1),'DRAFT 2'!$A:$A,"&lt;="&amp;DATE(2026,6,7))</f>
        <v>0</v>
      </c>
      <c r="FF105">
        <f>COUNTIFS('DRAFT 2'!$D:$D,$B105,'DRAFT 2'!$A:$A,"&gt;="&amp;DATE(2026,6,8),'DRAFT 2'!$A:$A,"&lt;="&amp;DATE(2026,6,14))</f>
        <v>0</v>
      </c>
      <c r="FG105">
        <f>COUNTIFS('DRAFT 2'!$D:$D,$B105,'DRAFT 2'!$A:$A,"&gt;="&amp;DATE(2026,6,15),'DRAFT 2'!$A:$A,"&lt;="&amp;DATE(2026,6,21))</f>
        <v>0</v>
      </c>
      <c r="FH105">
        <f>COUNTIFS('DRAFT 2'!$D:$D,$B105,'DRAFT 2'!$A:$A,"&gt;="&amp;DATE(2026,6,22),'DRAFT 2'!$A:$A,"&lt;"&amp;DATE(2026,IF(6=12,6+1,6+1),1))</f>
        <v>0</v>
      </c>
      <c r="FI105">
        <f t="shared" si="49"/>
        <v>0</v>
      </c>
      <c r="FT105">
        <f>IFERROR(LOOKUP(2,1/('DRAFT 2'!$D:$D=$B105)*('DRAFT 2'!$A:$A&gt;=DATE(2026,7,1))*('DRAFT 2'!$A:$A&lt;DATE(2026,IF(7=12,7+1,7+1),1)),'DRAFT 2'!$A:$A),"")</f>
        <v>0</v>
      </c>
      <c r="FU105">
        <f>COUNTIFS('DRAFT 2'!$D:$D,$B105,'DRAFT 2'!$A:$A,"&gt;="&amp;DATE(2026,7,1),'DRAFT 2'!$A:$A,"&lt;="&amp;DATE(2026,7,7))</f>
        <v>0</v>
      </c>
      <c r="FV105">
        <f>COUNTIFS('DRAFT 2'!$D:$D,$B105,'DRAFT 2'!$A:$A,"&gt;="&amp;DATE(2026,7,8),'DRAFT 2'!$A:$A,"&lt;="&amp;DATE(2026,7,14))</f>
        <v>0</v>
      </c>
      <c r="FW105">
        <f>COUNTIFS('DRAFT 2'!$D:$D,$B105,'DRAFT 2'!$A:$A,"&gt;="&amp;DATE(2026,7,15),'DRAFT 2'!$A:$A,"&lt;="&amp;DATE(2026,7,21))</f>
        <v>0</v>
      </c>
      <c r="FX105">
        <f>COUNTIFS('DRAFT 2'!$D:$D,$B105,'DRAFT 2'!$A:$A,"&gt;="&amp;DATE(2026,7,22),'DRAFT 2'!$A:$A,"&lt;"&amp;DATE(2026,IF(7=12,7+1,7+1),1))</f>
        <v>0</v>
      </c>
      <c r="FY105">
        <f t="shared" si="50"/>
        <v>0</v>
      </c>
      <c r="GI105">
        <f>IFERROR(LOOKUP(2,1/('DRAFT 2'!$D:$D=$B105)*('DRAFT 2'!$A:$A&gt;=DATE(2026,8,1))*('DRAFT 2'!$A:$A&lt;DATE(2026,IF(8=12,8+1,8+1),1)),'DRAFT 2'!$A:$A),"")</f>
        <v>0</v>
      </c>
      <c r="GJ105">
        <f>COUNTIFS('DRAFT 2'!$D:$D,$B105,'DRAFT 2'!$A:$A,"&gt;="&amp;DATE(2026,8,1),'DRAFT 2'!$A:$A,"&lt;="&amp;DATE(2026,8,7))</f>
        <v>0</v>
      </c>
      <c r="GK105">
        <f>COUNTIFS('DRAFT 2'!$D:$D,$B105,'DRAFT 2'!$A:$A,"&gt;="&amp;DATE(2026,8,8),'DRAFT 2'!$A:$A,"&lt;="&amp;DATE(2026,8,14))</f>
        <v>0</v>
      </c>
      <c r="GL105">
        <f>COUNTIFS('DRAFT 2'!$D:$D,$B105,'DRAFT 2'!$A:$A,"&gt;="&amp;DATE(2026,8,15),'DRAFT 2'!$A:$A,"&lt;="&amp;DATE(2026,8,21))</f>
        <v>0</v>
      </c>
      <c r="GM105">
        <f>COUNTIFS('DRAFT 2'!$D:$D,$B105,'DRAFT 2'!$A:$A,"&gt;="&amp;DATE(2026,8,22),'DRAFT 2'!$A:$A,"&lt;"&amp;DATE(2026,IF(8=12,8+1,8+1),1))</f>
        <v>0</v>
      </c>
      <c r="GN105">
        <f t="shared" si="51"/>
        <v>0</v>
      </c>
      <c r="GX105">
        <f>IFERROR(LOOKUP(2,1/('DRAFT 2'!$D:$D=$B105)*('DRAFT 2'!$A:$A&gt;=DATE(2026,9,1))*('DRAFT 2'!$A:$A&lt;DATE(2026,IF(9=12,9+1,9+1),1)),'DRAFT 2'!$A:$A),"")</f>
        <v>0</v>
      </c>
      <c r="GY105">
        <f>COUNTIFS('DRAFT 2'!$D:$D,$B105,'DRAFT 2'!$A:$A,"&gt;="&amp;DATE(2026,9,1),'DRAFT 2'!$A:$A,"&lt;="&amp;DATE(2026,9,7))</f>
        <v>0</v>
      </c>
      <c r="GZ105">
        <f>COUNTIFS('DRAFT 2'!$D:$D,$B105,'DRAFT 2'!$A:$A,"&gt;="&amp;DATE(2026,9,8),'DRAFT 2'!$A:$A,"&lt;="&amp;DATE(2026,9,14))</f>
        <v>0</v>
      </c>
      <c r="HA105">
        <f>COUNTIFS('DRAFT 2'!$D:$D,$B105,'DRAFT 2'!$A:$A,"&gt;="&amp;DATE(2026,9,15),'DRAFT 2'!$A:$A,"&lt;="&amp;DATE(2026,9,21))</f>
        <v>0</v>
      </c>
      <c r="HB105">
        <f>COUNTIFS('DRAFT 2'!$D:$D,$B105,'DRAFT 2'!$A:$A,"&gt;="&amp;DATE(2026,9,22),'DRAFT 2'!$A:$A,"&lt;"&amp;DATE(2026,IF(9=12,9+1,9+1),1))</f>
        <v>0</v>
      </c>
      <c r="HC105">
        <f t="shared" si="52"/>
        <v>0</v>
      </c>
      <c r="HN105">
        <f>IFERROR(LOOKUP(2,1/('DRAFT 2'!$D:$D=$B105)*('DRAFT 2'!$A:$A&gt;=DATE(2026,10,1))*('DRAFT 2'!$A:$A&lt;DATE(2026,IF(10=12,10+1,10+1),1)),'DRAFT 2'!$A:$A),"")</f>
        <v>0</v>
      </c>
      <c r="HO105">
        <f>COUNTIFS('DRAFT 2'!$D:$D,$B105,'DRAFT 2'!$A:$A,"&gt;="&amp;DATE(2026,10,1),'DRAFT 2'!$A:$A,"&lt;="&amp;DATE(2026,10,7))</f>
        <v>0</v>
      </c>
      <c r="HP105">
        <f>COUNTIFS('DRAFT 2'!$D:$D,$B105,'DRAFT 2'!$A:$A,"&gt;="&amp;DATE(2026,10,8),'DRAFT 2'!$A:$A,"&lt;="&amp;DATE(2026,10,14))</f>
        <v>0</v>
      </c>
      <c r="HQ105">
        <f>COUNTIFS('DRAFT 2'!$D:$D,$B105,'DRAFT 2'!$A:$A,"&gt;="&amp;DATE(2026,10,15),'DRAFT 2'!$A:$A,"&lt;="&amp;DATE(2026,10,21))</f>
        <v>0</v>
      </c>
      <c r="HR105">
        <f>COUNTIFS('DRAFT 2'!$D:$D,$B105,'DRAFT 2'!$A:$A,"&gt;="&amp;DATE(2026,10,22),'DRAFT 2'!$A:$A,"&lt;"&amp;DATE(2026,IF(10=12,10+1,10+1),1))</f>
        <v>0</v>
      </c>
      <c r="HS105">
        <f t="shared" si="53"/>
        <v>0</v>
      </c>
      <c r="IC105">
        <f>IFERROR(LOOKUP(2,1/('DRAFT 2'!$D:$D=$B105)*('DRAFT 2'!$A:$A&gt;=DATE(2026,11,1))*('DRAFT 2'!$A:$A&lt;DATE(2026,IF(11=12,11+1,11+1),1)),'DRAFT 2'!$A:$A),"")</f>
        <v>0</v>
      </c>
      <c r="ID105">
        <f>COUNTIFS('DRAFT 2'!$D:$D,$B105,'DRAFT 2'!$A:$A,"&gt;="&amp;DATE(2026,11,1),'DRAFT 2'!$A:$A,"&lt;="&amp;DATE(2026,11,7))</f>
        <v>0</v>
      </c>
      <c r="IE105">
        <f>COUNTIFS('DRAFT 2'!$D:$D,$B105,'DRAFT 2'!$A:$A,"&gt;="&amp;DATE(2026,11,8),'DRAFT 2'!$A:$A,"&lt;="&amp;DATE(2026,11,14))</f>
        <v>0</v>
      </c>
      <c r="IF105">
        <f>COUNTIFS('DRAFT 2'!$D:$D,$B105,'DRAFT 2'!$A:$A,"&gt;="&amp;DATE(2026,11,15),'DRAFT 2'!$A:$A,"&lt;="&amp;DATE(2026,11,21))</f>
        <v>0</v>
      </c>
      <c r="IG105">
        <f>COUNTIFS('DRAFT 2'!$D:$D,$B105,'DRAFT 2'!$A:$A,"&gt;="&amp;DATE(2026,11,22),'DRAFT 2'!$A:$A,"&lt;"&amp;DATE(2026,IF(11=12,11+1,11+1),1))</f>
        <v>0</v>
      </c>
      <c r="IH105">
        <f t="shared" si="54"/>
        <v>0</v>
      </c>
      <c r="IR105">
        <f>IFERROR(LOOKUP(2,1/('DRAFT 2'!$D:$D=$B105)*('DRAFT 2'!$A:$A&gt;=DATE(2026,12,1))*('DRAFT 2'!$A:$A&lt;DATE(2026,IF(12=12,12+1,12+1),1)),'DRAFT 2'!$A:$A),"")</f>
        <v>0</v>
      </c>
      <c r="IS105">
        <f>COUNTIFS('DRAFT 2'!$D:$D,$B105,'DRAFT 2'!$A:$A,"&gt;="&amp;DATE(2026,12,1),'DRAFT 2'!$A:$A,"&lt;="&amp;DATE(2026,12,7))</f>
        <v>0</v>
      </c>
      <c r="IT105">
        <f>COUNTIFS('DRAFT 2'!$D:$D,$B105,'DRAFT 2'!$A:$A,"&gt;="&amp;DATE(2026,12,8),'DRAFT 2'!$A:$A,"&lt;="&amp;DATE(2026,12,14))</f>
        <v>0</v>
      </c>
      <c r="IU105">
        <f>COUNTIFS('DRAFT 2'!$D:$D,$B105,'DRAFT 2'!$A:$A,"&gt;="&amp;DATE(2026,12,15),'DRAFT 2'!$A:$A,"&lt;="&amp;DATE(2026,12,21))</f>
        <v>0</v>
      </c>
      <c r="IV105">
        <f>COUNTIFS('DRAFT 2'!$D:$D,$B105,'DRAFT 2'!$A:$A,"&gt;="&amp;DATE(2026,12,22),'DRAFT 2'!$A:$A,"&lt;"&amp;DATE(2026,IF(12=12,12+1,12+1),1))</f>
        <v>0</v>
      </c>
      <c r="IW105">
        <f t="shared" si="55"/>
        <v>0</v>
      </c>
    </row>
    <row r="106" spans="1:257" x14ac:dyDescent="0.3">
      <c r="A106" t="str">
        <f>IFERROR(INDEX('DRAFT 1'!$A:$A,MATCH($B106,'DRAFT 1'!$B:$B,0)),"")</f>
        <v/>
      </c>
      <c r="C106" t="str">
        <f>IFERROR(INDEX('DRAFT 1'!$C:$C,MATCH($B106,'DRAFT 1'!$B:$B,0)),"")</f>
        <v/>
      </c>
      <c r="D106" t="str">
        <f>IFERROR(INDEX('DRAFT 1'!$D:$D,MATCH($B106,'DRAFT 1'!$B:$B,0)),"")</f>
        <v/>
      </c>
      <c r="E106" t="str">
        <f>IFERROR(INDEX('DRAFT 1'!$E:$E,MATCH($B106,'DRAFT 1'!$B:$B,0)),"")</f>
        <v/>
      </c>
      <c r="F106" t="str">
        <f>IFERROR(INDEX('DRAFT 1'!$F:$F,MATCH($B106,'DRAFT 1'!$B:$B,0)),"")</f>
        <v/>
      </c>
      <c r="G106" t="str">
        <f>IFERROR(INDEX('DRAFT 1'!$G:$G,MATCH($B106,'DRAFT 1'!$B:$B,0)),"")</f>
        <v/>
      </c>
      <c r="H106" t="str">
        <f>IFERROR(INDEX('DRAFT 1'!$H:$H,MATCH($B106,'DRAFT 1'!$B:$B,0)),"")</f>
        <v/>
      </c>
      <c r="I106" t="s">
        <v>292</v>
      </c>
      <c r="K106" t="str">
        <f>IFERROR(INDEX('DRAFT 1'!$AL:$AL,MATCH($B106,'DRAFT 1'!$B:$B,0)),"")</f>
        <v/>
      </c>
      <c r="L106" t="str">
        <f>IFERROR(INDEX('DRAFT 1'!$J:$J,MATCH($B106,'DRAFT 1'!$B:$B,0)),"")</f>
        <v/>
      </c>
      <c r="M106" t="str">
        <f>IFERROR(INDEX('DRAFT 1'!$K:$K,MATCH($B106,'DRAFT 1'!$B:$B,0)),"")</f>
        <v/>
      </c>
      <c r="N106" t="s">
        <v>82</v>
      </c>
      <c r="P106" t="str">
        <f>IFERROR(INDEX('DRAFT 1'!$L:$L,MATCH($B106,'DRAFT 1'!$B:$B,0)),"")</f>
        <v/>
      </c>
      <c r="Q106" t="str">
        <f>IFERROR(INDEX('DRAFT 1'!$M:$M,MATCH($B106,'DRAFT 1'!$B:$B,0)),"")</f>
        <v/>
      </c>
      <c r="R106" t="str">
        <f>IFERROR(INDEX('DRAFT 1'!$N:$N,MATCH($B106,'DRAFT 1'!$B:$B,0)),"")</f>
        <v/>
      </c>
      <c r="S106" t="str">
        <f>IFERROR(INDEX('DRAFT 1'!$O:$O,MATCH($B106,'DRAFT 1'!$B:$B,0)),"")</f>
        <v/>
      </c>
      <c r="T106" t="str">
        <f>IFERROR(INDEX('DRAFT 1'!$P:$P,MATCH($B106,'DRAFT 1'!$B:$B,0)),"")</f>
        <v/>
      </c>
      <c r="U106" t="str">
        <f>IFERROR(INDEX('DRAFT 1'!$Q:$Q,MATCH($B106,'DRAFT 1'!$B:$B,0)),"")</f>
        <v/>
      </c>
      <c r="V106" t="str">
        <f>IFERROR(INDEX('DRAFT 1'!$R:$R,MATCH($B106,'DRAFT 1'!$B:$B,0)),"")</f>
        <v/>
      </c>
      <c r="W106" t="str">
        <f>IFERROR(INDEX('DRAFT 1'!$S:$S,MATCH($B106,'DRAFT 1'!$B:$B,0)),"")</f>
        <v/>
      </c>
      <c r="X106" t="str">
        <f>IFERROR(INDEX('DRAFT 1'!$T:$T,MATCH($B106,'DRAFT 1'!$B:$B,0)),"")</f>
        <v/>
      </c>
      <c r="Z106" t="str">
        <f>IFERROR(INDEX('DRAFT 1'!$U:$U,MATCH($B106,'DRAFT 1'!$B:$B,0)),"")</f>
        <v/>
      </c>
      <c r="AA106" t="str">
        <f>IFERROR(INDEX('DRAFT 1'!$V:$V,MATCH($B106,'DRAFT 1'!$B:$B,0)),"")</f>
        <v/>
      </c>
      <c r="AB106" t="str">
        <f>IFERROR(INDEX('DRAFT 1'!$W:$W,MATCH($B106,'DRAFT 1'!$B:$B,0)),"")</f>
        <v/>
      </c>
      <c r="AC106" t="str">
        <f>IFERROR(INDEX('DRAFT 1'!$X:$X,MATCH($B106,'DRAFT 1'!$B:$B,0)),"")</f>
        <v/>
      </c>
      <c r="AD106" t="str">
        <f>IFERROR(INDEX('DRAFT 1'!$Y:$Y,MATCH($B106,'DRAFT 1'!$B:$B,0)),"")</f>
        <v/>
      </c>
      <c r="AE106" t="str">
        <f>IFERROR(INDEX('DRAFT 1'!$Z:$Z,MATCH($B106,'DRAFT 1'!$B:$B,0)),"")</f>
        <v/>
      </c>
      <c r="AF106" t="str">
        <f>IFERROR(INDEX('DRAFT 1'!$AA:$AA,MATCH($B106,'DRAFT 1'!$B:$B,0)),"")</f>
        <v/>
      </c>
      <c r="AG106" t="str">
        <f>IFERROR(INDEX('DRAFT 1'!$AB:$AB,MATCH($B106,'DRAFT 1'!$B:$B,0)),"")</f>
        <v/>
      </c>
      <c r="AH106" t="str">
        <f>IFERROR(INDEX('DRAFT 1'!$AC:$AC,MATCH($B106,'DRAFT 1'!$B:$B,0)),"")</f>
        <v/>
      </c>
      <c r="AI106" t="str">
        <f>IFERROR(INDEX('DRAFT 1'!$AD:$AD,MATCH($B106,'DRAFT 1'!$B:$B,0)),"")</f>
        <v/>
      </c>
      <c r="AJ106" t="str">
        <f>IFERROR(INDEX('DRAFT 1'!$AE:$AE,MATCH($B106,'DRAFT 1'!$B:$B,0)),"")</f>
        <v/>
      </c>
      <c r="AK106" t="str">
        <f>IFERROR(INDEX('DRAFT 1'!$AG:$AG,MATCH($B106,'DRAFT 1'!$B:$B,0)),"")</f>
        <v/>
      </c>
      <c r="AL106" t="str">
        <f>IFERROR(INDEX('DRAFT 1'!$AH:$AH,MATCH($B106,'DRAFT 1'!$B:$B,0)),"")</f>
        <v/>
      </c>
      <c r="AM106" t="str">
        <f>IFERROR(INDEX('DRAFT 1'!$AI:$AI,MATCH($B106,'DRAFT 1'!$B:$B,0)),"")</f>
        <v/>
      </c>
      <c r="AN106" t="str">
        <f>IFERROR(INDEX('DRAFT 1'!$AJ:$AJ,MATCH($B106,'DRAFT 1'!$B:$B,0)),"")</f>
        <v/>
      </c>
      <c r="AO106">
        <f t="shared" si="42"/>
        <v>0</v>
      </c>
      <c r="AP106" t="str">
        <f>IFERROR(INDEX('DRAFT 1'!$AK:$AK,MATCH($B106,'DRAFT 1'!$B:$B,0)),"")</f>
        <v/>
      </c>
      <c r="AR106" t="s">
        <v>93</v>
      </c>
      <c r="AS106">
        <f>IFERROR(LOOKUP(2,1/('DRAFT 2'!$D:$D=$B106),'DRAFT 2'!$T:$T),"")</f>
        <v>0</v>
      </c>
      <c r="AT106">
        <f>IFERROR(LOOKUP(2,1/('DRAFT 2'!$D:$D=$B106),'DRAFT 2'!$A:$A),"")</f>
        <v>0</v>
      </c>
      <c r="AU106">
        <f>IFERROR(LOOKUP(2,1/('DRAFT 2'!$D:$D=$B106),'DRAFT 2'!$R:$R),"")</f>
        <v>0</v>
      </c>
      <c r="AV106">
        <f>IFERROR(LOOKUP(2,1/('DRAFT 2'!$D:$D=$B106),'DRAFT 2'!$S:$S),"")</f>
        <v>0</v>
      </c>
      <c r="AW106" t="s">
        <v>128</v>
      </c>
      <c r="AX106">
        <f>IFERROR(LOOKUP(2,1/('DRAFT 2'!$D:$D=$B106),'DRAFT 2'!$M:$M),"")</f>
        <v>0</v>
      </c>
      <c r="AY106">
        <f>IFERROR(LOOKUP(2,1/('DRAFT 2'!$D:$D=$B106),'DRAFT 2'!$K:$K),"")</f>
        <v>0</v>
      </c>
      <c r="BG106">
        <f>IFERROR(LOOKUP(2,1/('DRAFT 2'!$D:$D=$B106),'DRAFT 2'!$U:$U),"")</f>
        <v>0</v>
      </c>
      <c r="BH106">
        <f>IFERROR(LOOKUP(2,1/('DRAFT 2'!$D:$D=$B106),'DRAFT 2'!$V:$V),"")</f>
        <v>0</v>
      </c>
      <c r="CE106" t="str">
        <f t="shared" si="43"/>
        <v/>
      </c>
      <c r="CF106">
        <f>IFERROR(LOOKUP(2,1/('DRAFT 2'!$D:$D=$B106)*('DRAFT 2'!$A:$A&gt;=DATE(2026,1,1))*('DRAFT 2'!$A:$A&lt;DATE(2026,IF(1=12,1+1,1+1),1)),'DRAFT 2'!$A:$A),"")</f>
        <v>0</v>
      </c>
      <c r="CG106">
        <f>COUNTIFS('DRAFT 2'!$D:$D,$B106,'DRAFT 2'!$A:$A,"&gt;="&amp;DATE(2026,1,1),'DRAFT 2'!$A:$A,"&lt;="&amp;DATE(2026,1,7))</f>
        <v>0</v>
      </c>
      <c r="CH106">
        <f>COUNTIFS('DRAFT 2'!$D:$D,$B106,'DRAFT 2'!$A:$A,"&gt;="&amp;DATE(2026,1,8),'DRAFT 2'!$A:$A,"&lt;="&amp;DATE(2026,1,14))</f>
        <v>0</v>
      </c>
      <c r="CI106">
        <f>COUNTIFS('DRAFT 2'!$D:$D,$B106,'DRAFT 2'!$A:$A,"&gt;="&amp;DATE(2026,1,15),'DRAFT 2'!$A:$A,"&lt;="&amp;DATE(2026,1,21))</f>
        <v>0</v>
      </c>
      <c r="CJ106">
        <f>COUNTIFS('DRAFT 2'!$D:$D,$B106,'DRAFT 2'!$A:$A,"&gt;="&amp;DATE(2026,1,22),'DRAFT 2'!$A:$A,"&lt;"&amp;DATE(2026,IF(1=12,1+1,1+1),1))</f>
        <v>0</v>
      </c>
      <c r="CK106">
        <f t="shared" si="44"/>
        <v>0</v>
      </c>
      <c r="CT106">
        <v>0</v>
      </c>
      <c r="CU106">
        <f>IFERROR(LOOKUP(2,1/('DRAFT 2'!$D:$D=$B106)*('DRAFT 2'!$A:$A&gt;=DATE(2026,2,1))*('DRAFT 2'!$A:$A&lt;DATE(2026,IF(2=12,2+1,2+1),1)),'DRAFT 2'!$A:$A),"")</f>
        <v>0</v>
      </c>
      <c r="CV106">
        <f>COUNTIFS('DRAFT 2'!$D:$D,$B106,'DRAFT 2'!$A:$A,"&gt;="&amp;DATE(2026,2,1),'DRAFT 2'!$A:$A,"&lt;="&amp;DATE(2026,2,7))</f>
        <v>0</v>
      </c>
      <c r="CW106">
        <f>COUNTIFS('DRAFT 2'!$D:$D,$B106,'DRAFT 2'!$A:$A,"&gt;="&amp;DATE(2026,2,8),'DRAFT 2'!$A:$A,"&lt;="&amp;DATE(2026,2,14))</f>
        <v>0</v>
      </c>
      <c r="CX106">
        <f>COUNTIFS('DRAFT 2'!$D:$D,$B106,'DRAFT 2'!$A:$A,"&gt;="&amp;DATE(2026,2,15),'DRAFT 2'!$A:$A,"&lt;="&amp;DATE(2026,2,21))</f>
        <v>0</v>
      </c>
      <c r="CY106">
        <f>COUNTIFS('DRAFT 2'!$D:$D,$B106,'DRAFT 2'!$A:$A,"&gt;="&amp;DATE(2026,2,22),'DRAFT 2'!$A:$A,"&lt;"&amp;DATE(2026,IF(2=12,2+1,2+1),1))</f>
        <v>0</v>
      </c>
      <c r="CZ106">
        <f t="shared" si="45"/>
        <v>0</v>
      </c>
      <c r="DJ106">
        <f>IFERROR(LOOKUP(2,1/('DRAFT 2'!$D:$D=$B106)*('DRAFT 2'!$A:$A&gt;=DATE(2026,3,1))*('DRAFT 2'!$A:$A&lt;DATE(2026,IF(3=12,3+1,3+1),1)),'DRAFT 2'!$A:$A),"")</f>
        <v>0</v>
      </c>
      <c r="DK106">
        <f>COUNTIFS('DRAFT 2'!$D:$D,$B106,'DRAFT 2'!$A:$A,"&gt;="&amp;DATE(2026,3,1),'DRAFT 2'!$A:$A,"&lt;="&amp;DATE(2026,3,7))</f>
        <v>0</v>
      </c>
      <c r="DL106">
        <f>COUNTIFS('DRAFT 2'!$D:$D,$B106,'DRAFT 2'!$A:$A,"&gt;="&amp;DATE(2026,3,8),'DRAFT 2'!$A:$A,"&lt;="&amp;DATE(2026,3,14))</f>
        <v>0</v>
      </c>
      <c r="DM106">
        <f>COUNTIFS('DRAFT 2'!$D:$D,$B106,'DRAFT 2'!$A:$A,"&gt;="&amp;DATE(2026,3,15),'DRAFT 2'!$A:$A,"&lt;="&amp;DATE(2026,3,21))</f>
        <v>0</v>
      </c>
      <c r="DN106">
        <f>COUNTIFS('DRAFT 2'!$D:$D,$B106,'DRAFT 2'!$A:$A,"&gt;="&amp;DATE(2026,3,22),'DRAFT 2'!$A:$A,"&lt;"&amp;DATE(2026,IF(3=12,3+1,3+1),1))</f>
        <v>0</v>
      </c>
      <c r="DO106">
        <f t="shared" si="46"/>
        <v>0</v>
      </c>
      <c r="DZ106">
        <f>IFERROR(LOOKUP(2,1/('DRAFT 2'!$D:$D=$B106)*('DRAFT 2'!$A:$A&gt;=DATE(2026,4,1))*('DRAFT 2'!$A:$A&lt;DATE(2026,IF(4=12,4+1,4+1),1)),'DRAFT 2'!$A:$A),"")</f>
        <v>0</v>
      </c>
      <c r="EA106">
        <f>COUNTIFS('DRAFT 2'!$D:$D,$B106,'DRAFT 2'!$A:$A,"&gt;="&amp;DATE(2026,4,1),'DRAFT 2'!$A:$A,"&lt;="&amp;DATE(2026,4,7))</f>
        <v>0</v>
      </c>
      <c r="EB106">
        <f>COUNTIFS('DRAFT 2'!$D:$D,$B106,'DRAFT 2'!$A:$A,"&gt;="&amp;DATE(2026,4,8),'DRAFT 2'!$A:$A,"&lt;="&amp;DATE(2026,4,14))</f>
        <v>0</v>
      </c>
      <c r="EC106">
        <f>COUNTIFS('DRAFT 2'!$D:$D,$B106,'DRAFT 2'!$A:$A,"&gt;="&amp;DATE(2026,4,15),'DRAFT 2'!$A:$A,"&lt;="&amp;DATE(2026,4,21))</f>
        <v>0</v>
      </c>
      <c r="ED106">
        <f>COUNTIFS('DRAFT 2'!$D:$D,$B106,'DRAFT 2'!$A:$A,"&gt;="&amp;DATE(2026,4,22),'DRAFT 2'!$A:$A,"&lt;"&amp;DATE(2026,IF(4=12,4+1,4+1),1))</f>
        <v>0</v>
      </c>
      <c r="EE106">
        <f t="shared" si="47"/>
        <v>0</v>
      </c>
      <c r="EO106">
        <f>IFERROR(LOOKUP(2,1/('DRAFT 2'!$D:$D=$B106)*('DRAFT 2'!$A:$A&gt;=DATE(2026,5,1))*('DRAFT 2'!$A:$A&lt;DATE(2026,IF(5=12,5+1,5+1),1)),'DRAFT 2'!$A:$A),"")</f>
        <v>0</v>
      </c>
      <c r="EP106">
        <f>COUNTIFS('DRAFT 2'!$D:$D,$B106,'DRAFT 2'!$A:$A,"&gt;="&amp;DATE(2026,5,1),'DRAFT 2'!$A:$A,"&lt;="&amp;DATE(2026,5,7))</f>
        <v>0</v>
      </c>
      <c r="EQ106">
        <f>COUNTIFS('DRAFT 2'!$D:$D,$B106,'DRAFT 2'!$A:$A,"&gt;="&amp;DATE(2026,5,8),'DRAFT 2'!$A:$A,"&lt;="&amp;DATE(2026,5,14))</f>
        <v>0</v>
      </c>
      <c r="ER106">
        <f>COUNTIFS('DRAFT 2'!$D:$D,$B106,'DRAFT 2'!$A:$A,"&gt;="&amp;DATE(2026,5,15),'DRAFT 2'!$A:$A,"&lt;="&amp;DATE(2026,5,21))</f>
        <v>0</v>
      </c>
      <c r="ES106">
        <f>COUNTIFS('DRAFT 2'!$D:$D,$B106,'DRAFT 2'!$A:$A,"&gt;="&amp;DATE(2026,5,22),'DRAFT 2'!$A:$A,"&lt;"&amp;DATE(2026,IF(5=12,5+1,5+1),1))</f>
        <v>0</v>
      </c>
      <c r="ET106">
        <f t="shared" si="48"/>
        <v>0</v>
      </c>
      <c r="FD106">
        <f>IFERROR(LOOKUP(2,1/('DRAFT 2'!$D:$D=$B106)*('DRAFT 2'!$A:$A&gt;=DATE(2026,6,1))*('DRAFT 2'!$A:$A&lt;DATE(2026,IF(6=12,6+1,6+1),1)),'DRAFT 2'!$A:$A),"")</f>
        <v>0</v>
      </c>
      <c r="FE106">
        <f>COUNTIFS('DRAFT 2'!$D:$D,$B106,'DRAFT 2'!$A:$A,"&gt;="&amp;DATE(2026,6,1),'DRAFT 2'!$A:$A,"&lt;="&amp;DATE(2026,6,7))</f>
        <v>0</v>
      </c>
      <c r="FF106">
        <f>COUNTIFS('DRAFT 2'!$D:$D,$B106,'DRAFT 2'!$A:$A,"&gt;="&amp;DATE(2026,6,8),'DRAFT 2'!$A:$A,"&lt;="&amp;DATE(2026,6,14))</f>
        <v>0</v>
      </c>
      <c r="FG106">
        <f>COUNTIFS('DRAFT 2'!$D:$D,$B106,'DRAFT 2'!$A:$A,"&gt;="&amp;DATE(2026,6,15),'DRAFT 2'!$A:$A,"&lt;="&amp;DATE(2026,6,21))</f>
        <v>0</v>
      </c>
      <c r="FH106">
        <f>COUNTIFS('DRAFT 2'!$D:$D,$B106,'DRAFT 2'!$A:$A,"&gt;="&amp;DATE(2026,6,22),'DRAFT 2'!$A:$A,"&lt;"&amp;DATE(2026,IF(6=12,6+1,6+1),1))</f>
        <v>0</v>
      </c>
      <c r="FI106">
        <f t="shared" si="49"/>
        <v>0</v>
      </c>
      <c r="FT106">
        <f>IFERROR(LOOKUP(2,1/('DRAFT 2'!$D:$D=$B106)*('DRAFT 2'!$A:$A&gt;=DATE(2026,7,1))*('DRAFT 2'!$A:$A&lt;DATE(2026,IF(7=12,7+1,7+1),1)),'DRAFT 2'!$A:$A),"")</f>
        <v>0</v>
      </c>
      <c r="FU106">
        <f>COUNTIFS('DRAFT 2'!$D:$D,$B106,'DRAFT 2'!$A:$A,"&gt;="&amp;DATE(2026,7,1),'DRAFT 2'!$A:$A,"&lt;="&amp;DATE(2026,7,7))</f>
        <v>0</v>
      </c>
      <c r="FV106">
        <f>COUNTIFS('DRAFT 2'!$D:$D,$B106,'DRAFT 2'!$A:$A,"&gt;="&amp;DATE(2026,7,8),'DRAFT 2'!$A:$A,"&lt;="&amp;DATE(2026,7,14))</f>
        <v>0</v>
      </c>
      <c r="FW106">
        <f>COUNTIFS('DRAFT 2'!$D:$D,$B106,'DRAFT 2'!$A:$A,"&gt;="&amp;DATE(2026,7,15),'DRAFT 2'!$A:$A,"&lt;="&amp;DATE(2026,7,21))</f>
        <v>0</v>
      </c>
      <c r="FX106">
        <f>COUNTIFS('DRAFT 2'!$D:$D,$B106,'DRAFT 2'!$A:$A,"&gt;="&amp;DATE(2026,7,22),'DRAFT 2'!$A:$A,"&lt;"&amp;DATE(2026,IF(7=12,7+1,7+1),1))</f>
        <v>0</v>
      </c>
      <c r="FY106">
        <f t="shared" si="50"/>
        <v>0</v>
      </c>
      <c r="GI106">
        <f>IFERROR(LOOKUP(2,1/('DRAFT 2'!$D:$D=$B106)*('DRAFT 2'!$A:$A&gt;=DATE(2026,8,1))*('DRAFT 2'!$A:$A&lt;DATE(2026,IF(8=12,8+1,8+1),1)),'DRAFT 2'!$A:$A),"")</f>
        <v>0</v>
      </c>
      <c r="GJ106">
        <f>COUNTIFS('DRAFT 2'!$D:$D,$B106,'DRAFT 2'!$A:$A,"&gt;="&amp;DATE(2026,8,1),'DRAFT 2'!$A:$A,"&lt;="&amp;DATE(2026,8,7))</f>
        <v>0</v>
      </c>
      <c r="GK106">
        <f>COUNTIFS('DRAFT 2'!$D:$D,$B106,'DRAFT 2'!$A:$A,"&gt;="&amp;DATE(2026,8,8),'DRAFT 2'!$A:$A,"&lt;="&amp;DATE(2026,8,14))</f>
        <v>0</v>
      </c>
      <c r="GL106">
        <f>COUNTIFS('DRAFT 2'!$D:$D,$B106,'DRAFT 2'!$A:$A,"&gt;="&amp;DATE(2026,8,15),'DRAFT 2'!$A:$A,"&lt;="&amp;DATE(2026,8,21))</f>
        <v>0</v>
      </c>
      <c r="GM106">
        <f>COUNTIFS('DRAFT 2'!$D:$D,$B106,'DRAFT 2'!$A:$A,"&gt;="&amp;DATE(2026,8,22),'DRAFT 2'!$A:$A,"&lt;"&amp;DATE(2026,IF(8=12,8+1,8+1),1))</f>
        <v>0</v>
      </c>
      <c r="GN106">
        <f t="shared" si="51"/>
        <v>0</v>
      </c>
      <c r="GX106">
        <f>IFERROR(LOOKUP(2,1/('DRAFT 2'!$D:$D=$B106)*('DRAFT 2'!$A:$A&gt;=DATE(2026,9,1))*('DRAFT 2'!$A:$A&lt;DATE(2026,IF(9=12,9+1,9+1),1)),'DRAFT 2'!$A:$A),"")</f>
        <v>0</v>
      </c>
      <c r="GY106">
        <f>COUNTIFS('DRAFT 2'!$D:$D,$B106,'DRAFT 2'!$A:$A,"&gt;="&amp;DATE(2026,9,1),'DRAFT 2'!$A:$A,"&lt;="&amp;DATE(2026,9,7))</f>
        <v>0</v>
      </c>
      <c r="GZ106">
        <f>COUNTIFS('DRAFT 2'!$D:$D,$B106,'DRAFT 2'!$A:$A,"&gt;="&amp;DATE(2026,9,8),'DRAFT 2'!$A:$A,"&lt;="&amp;DATE(2026,9,14))</f>
        <v>0</v>
      </c>
      <c r="HA106">
        <f>COUNTIFS('DRAFT 2'!$D:$D,$B106,'DRAFT 2'!$A:$A,"&gt;="&amp;DATE(2026,9,15),'DRAFT 2'!$A:$A,"&lt;="&amp;DATE(2026,9,21))</f>
        <v>0</v>
      </c>
      <c r="HB106">
        <f>COUNTIFS('DRAFT 2'!$D:$D,$B106,'DRAFT 2'!$A:$A,"&gt;="&amp;DATE(2026,9,22),'DRAFT 2'!$A:$A,"&lt;"&amp;DATE(2026,IF(9=12,9+1,9+1),1))</f>
        <v>0</v>
      </c>
      <c r="HC106">
        <f t="shared" si="52"/>
        <v>0</v>
      </c>
      <c r="HN106">
        <f>IFERROR(LOOKUP(2,1/('DRAFT 2'!$D:$D=$B106)*('DRAFT 2'!$A:$A&gt;=DATE(2026,10,1))*('DRAFT 2'!$A:$A&lt;DATE(2026,IF(10=12,10+1,10+1),1)),'DRAFT 2'!$A:$A),"")</f>
        <v>0</v>
      </c>
      <c r="HO106">
        <f>COUNTIFS('DRAFT 2'!$D:$D,$B106,'DRAFT 2'!$A:$A,"&gt;="&amp;DATE(2026,10,1),'DRAFT 2'!$A:$A,"&lt;="&amp;DATE(2026,10,7))</f>
        <v>0</v>
      </c>
      <c r="HP106">
        <f>COUNTIFS('DRAFT 2'!$D:$D,$B106,'DRAFT 2'!$A:$A,"&gt;="&amp;DATE(2026,10,8),'DRAFT 2'!$A:$A,"&lt;="&amp;DATE(2026,10,14))</f>
        <v>0</v>
      </c>
      <c r="HQ106">
        <f>COUNTIFS('DRAFT 2'!$D:$D,$B106,'DRAFT 2'!$A:$A,"&gt;="&amp;DATE(2026,10,15),'DRAFT 2'!$A:$A,"&lt;="&amp;DATE(2026,10,21))</f>
        <v>0</v>
      </c>
      <c r="HR106">
        <f>COUNTIFS('DRAFT 2'!$D:$D,$B106,'DRAFT 2'!$A:$A,"&gt;="&amp;DATE(2026,10,22),'DRAFT 2'!$A:$A,"&lt;"&amp;DATE(2026,IF(10=12,10+1,10+1),1))</f>
        <v>0</v>
      </c>
      <c r="HS106">
        <f t="shared" si="53"/>
        <v>0</v>
      </c>
      <c r="IC106">
        <f>IFERROR(LOOKUP(2,1/('DRAFT 2'!$D:$D=$B106)*('DRAFT 2'!$A:$A&gt;=DATE(2026,11,1))*('DRAFT 2'!$A:$A&lt;DATE(2026,IF(11=12,11+1,11+1),1)),'DRAFT 2'!$A:$A),"")</f>
        <v>0</v>
      </c>
      <c r="ID106">
        <f>COUNTIFS('DRAFT 2'!$D:$D,$B106,'DRAFT 2'!$A:$A,"&gt;="&amp;DATE(2026,11,1),'DRAFT 2'!$A:$A,"&lt;="&amp;DATE(2026,11,7))</f>
        <v>0</v>
      </c>
      <c r="IE106">
        <f>COUNTIFS('DRAFT 2'!$D:$D,$B106,'DRAFT 2'!$A:$A,"&gt;="&amp;DATE(2026,11,8),'DRAFT 2'!$A:$A,"&lt;="&amp;DATE(2026,11,14))</f>
        <v>0</v>
      </c>
      <c r="IF106">
        <f>COUNTIFS('DRAFT 2'!$D:$D,$B106,'DRAFT 2'!$A:$A,"&gt;="&amp;DATE(2026,11,15),'DRAFT 2'!$A:$A,"&lt;="&amp;DATE(2026,11,21))</f>
        <v>0</v>
      </c>
      <c r="IG106">
        <f>COUNTIFS('DRAFT 2'!$D:$D,$B106,'DRAFT 2'!$A:$A,"&gt;="&amp;DATE(2026,11,22),'DRAFT 2'!$A:$A,"&lt;"&amp;DATE(2026,IF(11=12,11+1,11+1),1))</f>
        <v>0</v>
      </c>
      <c r="IH106">
        <f t="shared" si="54"/>
        <v>0</v>
      </c>
      <c r="IR106">
        <f>IFERROR(LOOKUP(2,1/('DRAFT 2'!$D:$D=$B106)*('DRAFT 2'!$A:$A&gt;=DATE(2026,12,1))*('DRAFT 2'!$A:$A&lt;DATE(2026,IF(12=12,12+1,12+1),1)),'DRAFT 2'!$A:$A),"")</f>
        <v>0</v>
      </c>
      <c r="IS106">
        <f>COUNTIFS('DRAFT 2'!$D:$D,$B106,'DRAFT 2'!$A:$A,"&gt;="&amp;DATE(2026,12,1),'DRAFT 2'!$A:$A,"&lt;="&amp;DATE(2026,12,7))</f>
        <v>0</v>
      </c>
      <c r="IT106">
        <f>COUNTIFS('DRAFT 2'!$D:$D,$B106,'DRAFT 2'!$A:$A,"&gt;="&amp;DATE(2026,12,8),'DRAFT 2'!$A:$A,"&lt;="&amp;DATE(2026,12,14))</f>
        <v>0</v>
      </c>
      <c r="IU106">
        <f>COUNTIFS('DRAFT 2'!$D:$D,$B106,'DRAFT 2'!$A:$A,"&gt;="&amp;DATE(2026,12,15),'DRAFT 2'!$A:$A,"&lt;="&amp;DATE(2026,12,21))</f>
        <v>0</v>
      </c>
      <c r="IV106">
        <f>COUNTIFS('DRAFT 2'!$D:$D,$B106,'DRAFT 2'!$A:$A,"&gt;="&amp;DATE(2026,12,22),'DRAFT 2'!$A:$A,"&lt;"&amp;DATE(2026,IF(12=12,12+1,12+1),1))</f>
        <v>0</v>
      </c>
      <c r="IW106">
        <f t="shared" si="55"/>
        <v>0</v>
      </c>
    </row>
    <row r="107" spans="1:257" x14ac:dyDescent="0.3">
      <c r="A107" t="str">
        <f>IFERROR(INDEX('DRAFT 1'!$A:$A,MATCH($B107,'DRAFT 1'!$B:$B,0)),"")</f>
        <v/>
      </c>
      <c r="C107" t="str">
        <f>IFERROR(INDEX('DRAFT 1'!$C:$C,MATCH($B107,'DRAFT 1'!$B:$B,0)),"")</f>
        <v/>
      </c>
      <c r="D107" t="str">
        <f>IFERROR(INDEX('DRAFT 1'!$D:$D,MATCH($B107,'DRAFT 1'!$B:$B,0)),"")</f>
        <v/>
      </c>
      <c r="E107" t="str">
        <f>IFERROR(INDEX('DRAFT 1'!$E:$E,MATCH($B107,'DRAFT 1'!$B:$B,0)),"")</f>
        <v/>
      </c>
      <c r="F107" t="str">
        <f>IFERROR(INDEX('DRAFT 1'!$F:$F,MATCH($B107,'DRAFT 1'!$B:$B,0)),"")</f>
        <v/>
      </c>
      <c r="G107" t="str">
        <f>IFERROR(INDEX('DRAFT 1'!$G:$G,MATCH($B107,'DRAFT 1'!$B:$B,0)),"")</f>
        <v/>
      </c>
      <c r="H107" t="str">
        <f>IFERROR(INDEX('DRAFT 1'!$H:$H,MATCH($B107,'DRAFT 1'!$B:$B,0)),"")</f>
        <v/>
      </c>
      <c r="I107" t="s">
        <v>283</v>
      </c>
      <c r="K107" t="str">
        <f>IFERROR(INDEX('DRAFT 1'!$AL:$AL,MATCH($B107,'DRAFT 1'!$B:$B,0)),"")</f>
        <v/>
      </c>
      <c r="L107" t="str">
        <f>IFERROR(INDEX('DRAFT 1'!$J:$J,MATCH($B107,'DRAFT 1'!$B:$B,0)),"")</f>
        <v/>
      </c>
      <c r="M107" t="str">
        <f>IFERROR(INDEX('DRAFT 1'!$K:$K,MATCH($B107,'DRAFT 1'!$B:$B,0)),"")</f>
        <v/>
      </c>
      <c r="N107" t="s">
        <v>79</v>
      </c>
      <c r="P107" t="str">
        <f>IFERROR(INDEX('DRAFT 1'!$L:$L,MATCH($B107,'DRAFT 1'!$B:$B,0)),"")</f>
        <v/>
      </c>
      <c r="Q107" t="str">
        <f>IFERROR(INDEX('DRAFT 1'!$M:$M,MATCH($B107,'DRAFT 1'!$B:$B,0)),"")</f>
        <v/>
      </c>
      <c r="R107" t="str">
        <f>IFERROR(INDEX('DRAFT 1'!$N:$N,MATCH($B107,'DRAFT 1'!$B:$B,0)),"")</f>
        <v/>
      </c>
      <c r="S107" t="str">
        <f>IFERROR(INDEX('DRAFT 1'!$O:$O,MATCH($B107,'DRAFT 1'!$B:$B,0)),"")</f>
        <v/>
      </c>
      <c r="T107" t="str">
        <f>IFERROR(INDEX('DRAFT 1'!$P:$P,MATCH($B107,'DRAFT 1'!$B:$B,0)),"")</f>
        <v/>
      </c>
      <c r="U107" t="str">
        <f>IFERROR(INDEX('DRAFT 1'!$Q:$Q,MATCH($B107,'DRAFT 1'!$B:$B,0)),"")</f>
        <v/>
      </c>
      <c r="V107" t="str">
        <f>IFERROR(INDEX('DRAFT 1'!$R:$R,MATCH($B107,'DRAFT 1'!$B:$B,0)),"")</f>
        <v/>
      </c>
      <c r="W107" t="str">
        <f>IFERROR(INDEX('DRAFT 1'!$S:$S,MATCH($B107,'DRAFT 1'!$B:$B,0)),"")</f>
        <v/>
      </c>
      <c r="X107" t="str">
        <f>IFERROR(INDEX('DRAFT 1'!$T:$T,MATCH($B107,'DRAFT 1'!$B:$B,0)),"")</f>
        <v/>
      </c>
      <c r="Z107" t="str">
        <f>IFERROR(INDEX('DRAFT 1'!$U:$U,MATCH($B107,'DRAFT 1'!$B:$B,0)),"")</f>
        <v/>
      </c>
      <c r="AA107" t="str">
        <f>IFERROR(INDEX('DRAFT 1'!$V:$V,MATCH($B107,'DRAFT 1'!$B:$B,0)),"")</f>
        <v/>
      </c>
      <c r="AB107" t="str">
        <f>IFERROR(INDEX('DRAFT 1'!$W:$W,MATCH($B107,'DRAFT 1'!$B:$B,0)),"")</f>
        <v/>
      </c>
      <c r="AC107" t="str">
        <f>IFERROR(INDEX('DRAFT 1'!$X:$X,MATCH($B107,'DRAFT 1'!$B:$B,0)),"")</f>
        <v/>
      </c>
      <c r="AD107" t="str">
        <f>IFERROR(INDEX('DRAFT 1'!$Y:$Y,MATCH($B107,'DRAFT 1'!$B:$B,0)),"")</f>
        <v/>
      </c>
      <c r="AE107" t="str">
        <f>IFERROR(INDEX('DRAFT 1'!$Z:$Z,MATCH($B107,'DRAFT 1'!$B:$B,0)),"")</f>
        <v/>
      </c>
      <c r="AF107" t="str">
        <f>IFERROR(INDEX('DRAFT 1'!$AA:$AA,MATCH($B107,'DRAFT 1'!$B:$B,0)),"")</f>
        <v/>
      </c>
      <c r="AG107" t="str">
        <f>IFERROR(INDEX('DRAFT 1'!$AB:$AB,MATCH($B107,'DRAFT 1'!$B:$B,0)),"")</f>
        <v/>
      </c>
      <c r="AH107" t="str">
        <f>IFERROR(INDEX('DRAFT 1'!$AC:$AC,MATCH($B107,'DRAFT 1'!$B:$B,0)),"")</f>
        <v/>
      </c>
      <c r="AI107" t="str">
        <f>IFERROR(INDEX('DRAFT 1'!$AD:$AD,MATCH($B107,'DRAFT 1'!$B:$B,0)),"")</f>
        <v/>
      </c>
      <c r="AJ107" t="str">
        <f>IFERROR(INDEX('DRAFT 1'!$AE:$AE,MATCH($B107,'DRAFT 1'!$B:$B,0)),"")</f>
        <v/>
      </c>
      <c r="AK107" t="str">
        <f>IFERROR(INDEX('DRAFT 1'!$AG:$AG,MATCH($B107,'DRAFT 1'!$B:$B,0)),"")</f>
        <v/>
      </c>
      <c r="AL107" t="str">
        <f>IFERROR(INDEX('DRAFT 1'!$AH:$AH,MATCH($B107,'DRAFT 1'!$B:$B,0)),"")</f>
        <v/>
      </c>
      <c r="AM107" t="str">
        <f>IFERROR(INDEX('DRAFT 1'!$AI:$AI,MATCH($B107,'DRAFT 1'!$B:$B,0)),"")</f>
        <v/>
      </c>
      <c r="AN107" t="str">
        <f>IFERROR(INDEX('DRAFT 1'!$AJ:$AJ,MATCH($B107,'DRAFT 1'!$B:$B,0)),"")</f>
        <v/>
      </c>
      <c r="AO107">
        <f t="shared" si="42"/>
        <v>0</v>
      </c>
      <c r="AP107" t="str">
        <f>IFERROR(INDEX('DRAFT 1'!$AK:$AK,MATCH($B107,'DRAFT 1'!$B:$B,0)),"")</f>
        <v/>
      </c>
      <c r="AR107" t="s">
        <v>93</v>
      </c>
      <c r="AS107">
        <f>IFERROR(LOOKUP(2,1/('DRAFT 2'!$D:$D=$B107),'DRAFT 2'!$T:$T),"")</f>
        <v>0</v>
      </c>
      <c r="AT107">
        <f>IFERROR(LOOKUP(2,1/('DRAFT 2'!$D:$D=$B107),'DRAFT 2'!$A:$A),"")</f>
        <v>0</v>
      </c>
      <c r="AU107">
        <f>IFERROR(LOOKUP(2,1/('DRAFT 2'!$D:$D=$B107),'DRAFT 2'!$R:$R),"")</f>
        <v>0</v>
      </c>
      <c r="AV107">
        <f>IFERROR(LOOKUP(2,1/('DRAFT 2'!$D:$D=$B107),'DRAFT 2'!$S:$S),"")</f>
        <v>0</v>
      </c>
      <c r="AW107" t="s">
        <v>130</v>
      </c>
      <c r="AX107">
        <f>IFERROR(LOOKUP(2,1/('DRAFT 2'!$D:$D=$B107),'DRAFT 2'!$M:$M),"")</f>
        <v>0</v>
      </c>
      <c r="AY107">
        <f>IFERROR(LOOKUP(2,1/('DRAFT 2'!$D:$D=$B107),'DRAFT 2'!$K:$K),"")</f>
        <v>0</v>
      </c>
      <c r="BG107">
        <f>IFERROR(LOOKUP(2,1/('DRAFT 2'!$D:$D=$B107),'DRAFT 2'!$U:$U),"")</f>
        <v>0</v>
      </c>
      <c r="BH107">
        <f>IFERROR(LOOKUP(2,1/('DRAFT 2'!$D:$D=$B107),'DRAFT 2'!$V:$V),"")</f>
        <v>0</v>
      </c>
      <c r="CE107" t="str">
        <f t="shared" si="43"/>
        <v/>
      </c>
      <c r="CF107">
        <f>IFERROR(LOOKUP(2,1/('DRAFT 2'!$D:$D=$B107)*('DRAFT 2'!$A:$A&gt;=DATE(2026,1,1))*('DRAFT 2'!$A:$A&lt;DATE(2026,IF(1=12,1+1,1+1),1)),'DRAFT 2'!$A:$A),"")</f>
        <v>0</v>
      </c>
      <c r="CG107">
        <f>COUNTIFS('DRAFT 2'!$D:$D,$B107,'DRAFT 2'!$A:$A,"&gt;="&amp;DATE(2026,1,1),'DRAFT 2'!$A:$A,"&lt;="&amp;DATE(2026,1,7))</f>
        <v>0</v>
      </c>
      <c r="CH107">
        <f>COUNTIFS('DRAFT 2'!$D:$D,$B107,'DRAFT 2'!$A:$A,"&gt;="&amp;DATE(2026,1,8),'DRAFT 2'!$A:$A,"&lt;="&amp;DATE(2026,1,14))</f>
        <v>0</v>
      </c>
      <c r="CI107">
        <f>COUNTIFS('DRAFT 2'!$D:$D,$B107,'DRAFT 2'!$A:$A,"&gt;="&amp;DATE(2026,1,15),'DRAFT 2'!$A:$A,"&lt;="&amp;DATE(2026,1,21))</f>
        <v>0</v>
      </c>
      <c r="CJ107">
        <f>COUNTIFS('DRAFT 2'!$D:$D,$B107,'DRAFT 2'!$A:$A,"&gt;="&amp;DATE(2026,1,22),'DRAFT 2'!$A:$A,"&lt;"&amp;DATE(2026,IF(1=12,1+1,1+1),1))</f>
        <v>0</v>
      </c>
      <c r="CK107">
        <f t="shared" si="44"/>
        <v>0</v>
      </c>
      <c r="CT107">
        <v>0</v>
      </c>
      <c r="CU107">
        <f>IFERROR(LOOKUP(2,1/('DRAFT 2'!$D:$D=$B107)*('DRAFT 2'!$A:$A&gt;=DATE(2026,2,1))*('DRAFT 2'!$A:$A&lt;DATE(2026,IF(2=12,2+1,2+1),1)),'DRAFT 2'!$A:$A),"")</f>
        <v>0</v>
      </c>
      <c r="CV107">
        <f>COUNTIFS('DRAFT 2'!$D:$D,$B107,'DRAFT 2'!$A:$A,"&gt;="&amp;DATE(2026,2,1),'DRAFT 2'!$A:$A,"&lt;="&amp;DATE(2026,2,7))</f>
        <v>0</v>
      </c>
      <c r="CW107">
        <f>COUNTIFS('DRAFT 2'!$D:$D,$B107,'DRAFT 2'!$A:$A,"&gt;="&amp;DATE(2026,2,8),'DRAFT 2'!$A:$A,"&lt;="&amp;DATE(2026,2,14))</f>
        <v>0</v>
      </c>
      <c r="CX107">
        <f>COUNTIFS('DRAFT 2'!$D:$D,$B107,'DRAFT 2'!$A:$A,"&gt;="&amp;DATE(2026,2,15),'DRAFT 2'!$A:$A,"&lt;="&amp;DATE(2026,2,21))</f>
        <v>0</v>
      </c>
      <c r="CY107">
        <f>COUNTIFS('DRAFT 2'!$D:$D,$B107,'DRAFT 2'!$A:$A,"&gt;="&amp;DATE(2026,2,22),'DRAFT 2'!$A:$A,"&lt;"&amp;DATE(2026,IF(2=12,2+1,2+1),1))</f>
        <v>0</v>
      </c>
      <c r="CZ107">
        <f t="shared" si="45"/>
        <v>0</v>
      </c>
      <c r="DJ107">
        <f>IFERROR(LOOKUP(2,1/('DRAFT 2'!$D:$D=$B107)*('DRAFT 2'!$A:$A&gt;=DATE(2026,3,1))*('DRAFT 2'!$A:$A&lt;DATE(2026,IF(3=12,3+1,3+1),1)),'DRAFT 2'!$A:$A),"")</f>
        <v>0</v>
      </c>
      <c r="DK107">
        <f>COUNTIFS('DRAFT 2'!$D:$D,$B107,'DRAFT 2'!$A:$A,"&gt;="&amp;DATE(2026,3,1),'DRAFT 2'!$A:$A,"&lt;="&amp;DATE(2026,3,7))</f>
        <v>0</v>
      </c>
      <c r="DL107">
        <f>COUNTIFS('DRAFT 2'!$D:$D,$B107,'DRAFT 2'!$A:$A,"&gt;="&amp;DATE(2026,3,8),'DRAFT 2'!$A:$A,"&lt;="&amp;DATE(2026,3,14))</f>
        <v>0</v>
      </c>
      <c r="DM107">
        <f>COUNTIFS('DRAFT 2'!$D:$D,$B107,'DRAFT 2'!$A:$A,"&gt;="&amp;DATE(2026,3,15),'DRAFT 2'!$A:$A,"&lt;="&amp;DATE(2026,3,21))</f>
        <v>0</v>
      </c>
      <c r="DN107">
        <f>COUNTIFS('DRAFT 2'!$D:$D,$B107,'DRAFT 2'!$A:$A,"&gt;="&amp;DATE(2026,3,22),'DRAFT 2'!$A:$A,"&lt;"&amp;DATE(2026,IF(3=12,3+1,3+1),1))</f>
        <v>0</v>
      </c>
      <c r="DO107">
        <f t="shared" si="46"/>
        <v>0</v>
      </c>
      <c r="DZ107">
        <f>IFERROR(LOOKUP(2,1/('DRAFT 2'!$D:$D=$B107)*('DRAFT 2'!$A:$A&gt;=DATE(2026,4,1))*('DRAFT 2'!$A:$A&lt;DATE(2026,IF(4=12,4+1,4+1),1)),'DRAFT 2'!$A:$A),"")</f>
        <v>0</v>
      </c>
      <c r="EA107">
        <f>COUNTIFS('DRAFT 2'!$D:$D,$B107,'DRAFT 2'!$A:$A,"&gt;="&amp;DATE(2026,4,1),'DRAFT 2'!$A:$A,"&lt;="&amp;DATE(2026,4,7))</f>
        <v>0</v>
      </c>
      <c r="EB107">
        <f>COUNTIFS('DRAFT 2'!$D:$D,$B107,'DRAFT 2'!$A:$A,"&gt;="&amp;DATE(2026,4,8),'DRAFT 2'!$A:$A,"&lt;="&amp;DATE(2026,4,14))</f>
        <v>0</v>
      </c>
      <c r="EC107">
        <f>COUNTIFS('DRAFT 2'!$D:$D,$B107,'DRAFT 2'!$A:$A,"&gt;="&amp;DATE(2026,4,15),'DRAFT 2'!$A:$A,"&lt;="&amp;DATE(2026,4,21))</f>
        <v>0</v>
      </c>
      <c r="ED107">
        <f>COUNTIFS('DRAFT 2'!$D:$D,$B107,'DRAFT 2'!$A:$A,"&gt;="&amp;DATE(2026,4,22),'DRAFT 2'!$A:$A,"&lt;"&amp;DATE(2026,IF(4=12,4+1,4+1),1))</f>
        <v>0</v>
      </c>
      <c r="EE107">
        <f t="shared" si="47"/>
        <v>0</v>
      </c>
      <c r="EO107">
        <f>IFERROR(LOOKUP(2,1/('DRAFT 2'!$D:$D=$B107)*('DRAFT 2'!$A:$A&gt;=DATE(2026,5,1))*('DRAFT 2'!$A:$A&lt;DATE(2026,IF(5=12,5+1,5+1),1)),'DRAFT 2'!$A:$A),"")</f>
        <v>0</v>
      </c>
      <c r="EP107">
        <f>COUNTIFS('DRAFT 2'!$D:$D,$B107,'DRAFT 2'!$A:$A,"&gt;="&amp;DATE(2026,5,1),'DRAFT 2'!$A:$A,"&lt;="&amp;DATE(2026,5,7))</f>
        <v>0</v>
      </c>
      <c r="EQ107">
        <f>COUNTIFS('DRAFT 2'!$D:$D,$B107,'DRAFT 2'!$A:$A,"&gt;="&amp;DATE(2026,5,8),'DRAFT 2'!$A:$A,"&lt;="&amp;DATE(2026,5,14))</f>
        <v>0</v>
      </c>
      <c r="ER107">
        <f>COUNTIFS('DRAFT 2'!$D:$D,$B107,'DRAFT 2'!$A:$A,"&gt;="&amp;DATE(2026,5,15),'DRAFT 2'!$A:$A,"&lt;="&amp;DATE(2026,5,21))</f>
        <v>0</v>
      </c>
      <c r="ES107">
        <f>COUNTIFS('DRAFT 2'!$D:$D,$B107,'DRAFT 2'!$A:$A,"&gt;="&amp;DATE(2026,5,22),'DRAFT 2'!$A:$A,"&lt;"&amp;DATE(2026,IF(5=12,5+1,5+1),1))</f>
        <v>0</v>
      </c>
      <c r="ET107">
        <f t="shared" si="48"/>
        <v>0</v>
      </c>
      <c r="FD107">
        <f>IFERROR(LOOKUP(2,1/('DRAFT 2'!$D:$D=$B107)*('DRAFT 2'!$A:$A&gt;=DATE(2026,6,1))*('DRAFT 2'!$A:$A&lt;DATE(2026,IF(6=12,6+1,6+1),1)),'DRAFT 2'!$A:$A),"")</f>
        <v>0</v>
      </c>
      <c r="FE107">
        <f>COUNTIFS('DRAFT 2'!$D:$D,$B107,'DRAFT 2'!$A:$A,"&gt;="&amp;DATE(2026,6,1),'DRAFT 2'!$A:$A,"&lt;="&amp;DATE(2026,6,7))</f>
        <v>0</v>
      </c>
      <c r="FF107">
        <f>COUNTIFS('DRAFT 2'!$D:$D,$B107,'DRAFT 2'!$A:$A,"&gt;="&amp;DATE(2026,6,8),'DRAFT 2'!$A:$A,"&lt;="&amp;DATE(2026,6,14))</f>
        <v>0</v>
      </c>
      <c r="FG107">
        <f>COUNTIFS('DRAFT 2'!$D:$D,$B107,'DRAFT 2'!$A:$A,"&gt;="&amp;DATE(2026,6,15),'DRAFT 2'!$A:$A,"&lt;="&amp;DATE(2026,6,21))</f>
        <v>0</v>
      </c>
      <c r="FH107">
        <f>COUNTIFS('DRAFT 2'!$D:$D,$B107,'DRAFT 2'!$A:$A,"&gt;="&amp;DATE(2026,6,22),'DRAFT 2'!$A:$A,"&lt;"&amp;DATE(2026,IF(6=12,6+1,6+1),1))</f>
        <v>0</v>
      </c>
      <c r="FI107">
        <f t="shared" si="49"/>
        <v>0</v>
      </c>
      <c r="FT107">
        <f>IFERROR(LOOKUP(2,1/('DRAFT 2'!$D:$D=$B107)*('DRAFT 2'!$A:$A&gt;=DATE(2026,7,1))*('DRAFT 2'!$A:$A&lt;DATE(2026,IF(7=12,7+1,7+1),1)),'DRAFT 2'!$A:$A),"")</f>
        <v>0</v>
      </c>
      <c r="FU107">
        <f>COUNTIFS('DRAFT 2'!$D:$D,$B107,'DRAFT 2'!$A:$A,"&gt;="&amp;DATE(2026,7,1),'DRAFT 2'!$A:$A,"&lt;="&amp;DATE(2026,7,7))</f>
        <v>0</v>
      </c>
      <c r="FV107">
        <f>COUNTIFS('DRAFT 2'!$D:$D,$B107,'DRAFT 2'!$A:$A,"&gt;="&amp;DATE(2026,7,8),'DRAFT 2'!$A:$A,"&lt;="&amp;DATE(2026,7,14))</f>
        <v>0</v>
      </c>
      <c r="FW107">
        <f>COUNTIFS('DRAFT 2'!$D:$D,$B107,'DRAFT 2'!$A:$A,"&gt;="&amp;DATE(2026,7,15),'DRAFT 2'!$A:$A,"&lt;="&amp;DATE(2026,7,21))</f>
        <v>0</v>
      </c>
      <c r="FX107">
        <f>COUNTIFS('DRAFT 2'!$D:$D,$B107,'DRAFT 2'!$A:$A,"&gt;="&amp;DATE(2026,7,22),'DRAFT 2'!$A:$A,"&lt;"&amp;DATE(2026,IF(7=12,7+1,7+1),1))</f>
        <v>0</v>
      </c>
      <c r="FY107">
        <f t="shared" si="50"/>
        <v>0</v>
      </c>
      <c r="GI107">
        <f>IFERROR(LOOKUP(2,1/('DRAFT 2'!$D:$D=$B107)*('DRAFT 2'!$A:$A&gt;=DATE(2026,8,1))*('DRAFT 2'!$A:$A&lt;DATE(2026,IF(8=12,8+1,8+1),1)),'DRAFT 2'!$A:$A),"")</f>
        <v>0</v>
      </c>
      <c r="GJ107">
        <f>COUNTIFS('DRAFT 2'!$D:$D,$B107,'DRAFT 2'!$A:$A,"&gt;="&amp;DATE(2026,8,1),'DRAFT 2'!$A:$A,"&lt;="&amp;DATE(2026,8,7))</f>
        <v>0</v>
      </c>
      <c r="GK107">
        <f>COUNTIFS('DRAFT 2'!$D:$D,$B107,'DRAFT 2'!$A:$A,"&gt;="&amp;DATE(2026,8,8),'DRAFT 2'!$A:$A,"&lt;="&amp;DATE(2026,8,14))</f>
        <v>0</v>
      </c>
      <c r="GL107">
        <f>COUNTIFS('DRAFT 2'!$D:$D,$B107,'DRAFT 2'!$A:$A,"&gt;="&amp;DATE(2026,8,15),'DRAFT 2'!$A:$A,"&lt;="&amp;DATE(2026,8,21))</f>
        <v>0</v>
      </c>
      <c r="GM107">
        <f>COUNTIFS('DRAFT 2'!$D:$D,$B107,'DRAFT 2'!$A:$A,"&gt;="&amp;DATE(2026,8,22),'DRAFT 2'!$A:$A,"&lt;"&amp;DATE(2026,IF(8=12,8+1,8+1),1))</f>
        <v>0</v>
      </c>
      <c r="GN107">
        <f t="shared" si="51"/>
        <v>0</v>
      </c>
      <c r="GX107">
        <f>IFERROR(LOOKUP(2,1/('DRAFT 2'!$D:$D=$B107)*('DRAFT 2'!$A:$A&gt;=DATE(2026,9,1))*('DRAFT 2'!$A:$A&lt;DATE(2026,IF(9=12,9+1,9+1),1)),'DRAFT 2'!$A:$A),"")</f>
        <v>0</v>
      </c>
      <c r="GY107">
        <f>COUNTIFS('DRAFT 2'!$D:$D,$B107,'DRAFT 2'!$A:$A,"&gt;="&amp;DATE(2026,9,1),'DRAFT 2'!$A:$A,"&lt;="&amp;DATE(2026,9,7))</f>
        <v>0</v>
      </c>
      <c r="GZ107">
        <f>COUNTIFS('DRAFT 2'!$D:$D,$B107,'DRAFT 2'!$A:$A,"&gt;="&amp;DATE(2026,9,8),'DRAFT 2'!$A:$A,"&lt;="&amp;DATE(2026,9,14))</f>
        <v>0</v>
      </c>
      <c r="HA107">
        <f>COUNTIFS('DRAFT 2'!$D:$D,$B107,'DRAFT 2'!$A:$A,"&gt;="&amp;DATE(2026,9,15),'DRAFT 2'!$A:$A,"&lt;="&amp;DATE(2026,9,21))</f>
        <v>0</v>
      </c>
      <c r="HB107">
        <f>COUNTIFS('DRAFT 2'!$D:$D,$B107,'DRAFT 2'!$A:$A,"&gt;="&amp;DATE(2026,9,22),'DRAFT 2'!$A:$A,"&lt;"&amp;DATE(2026,IF(9=12,9+1,9+1),1))</f>
        <v>0</v>
      </c>
      <c r="HC107">
        <f t="shared" si="52"/>
        <v>0</v>
      </c>
      <c r="HN107">
        <f>IFERROR(LOOKUP(2,1/('DRAFT 2'!$D:$D=$B107)*('DRAFT 2'!$A:$A&gt;=DATE(2026,10,1))*('DRAFT 2'!$A:$A&lt;DATE(2026,IF(10=12,10+1,10+1),1)),'DRAFT 2'!$A:$A),"")</f>
        <v>0</v>
      </c>
      <c r="HO107">
        <f>COUNTIFS('DRAFT 2'!$D:$D,$B107,'DRAFT 2'!$A:$A,"&gt;="&amp;DATE(2026,10,1),'DRAFT 2'!$A:$A,"&lt;="&amp;DATE(2026,10,7))</f>
        <v>0</v>
      </c>
      <c r="HP107">
        <f>COUNTIFS('DRAFT 2'!$D:$D,$B107,'DRAFT 2'!$A:$A,"&gt;="&amp;DATE(2026,10,8),'DRAFT 2'!$A:$A,"&lt;="&amp;DATE(2026,10,14))</f>
        <v>0</v>
      </c>
      <c r="HQ107">
        <f>COUNTIFS('DRAFT 2'!$D:$D,$B107,'DRAFT 2'!$A:$A,"&gt;="&amp;DATE(2026,10,15),'DRAFT 2'!$A:$A,"&lt;="&amp;DATE(2026,10,21))</f>
        <v>0</v>
      </c>
      <c r="HR107">
        <f>COUNTIFS('DRAFT 2'!$D:$D,$B107,'DRAFT 2'!$A:$A,"&gt;="&amp;DATE(2026,10,22),'DRAFT 2'!$A:$A,"&lt;"&amp;DATE(2026,IF(10=12,10+1,10+1),1))</f>
        <v>0</v>
      </c>
      <c r="HS107">
        <f t="shared" si="53"/>
        <v>0</v>
      </c>
      <c r="IC107">
        <f>IFERROR(LOOKUP(2,1/('DRAFT 2'!$D:$D=$B107)*('DRAFT 2'!$A:$A&gt;=DATE(2026,11,1))*('DRAFT 2'!$A:$A&lt;DATE(2026,IF(11=12,11+1,11+1),1)),'DRAFT 2'!$A:$A),"")</f>
        <v>0</v>
      </c>
      <c r="ID107">
        <f>COUNTIFS('DRAFT 2'!$D:$D,$B107,'DRAFT 2'!$A:$A,"&gt;="&amp;DATE(2026,11,1),'DRAFT 2'!$A:$A,"&lt;="&amp;DATE(2026,11,7))</f>
        <v>0</v>
      </c>
      <c r="IE107">
        <f>COUNTIFS('DRAFT 2'!$D:$D,$B107,'DRAFT 2'!$A:$A,"&gt;="&amp;DATE(2026,11,8),'DRAFT 2'!$A:$A,"&lt;="&amp;DATE(2026,11,14))</f>
        <v>0</v>
      </c>
      <c r="IF107">
        <f>COUNTIFS('DRAFT 2'!$D:$D,$B107,'DRAFT 2'!$A:$A,"&gt;="&amp;DATE(2026,11,15),'DRAFT 2'!$A:$A,"&lt;="&amp;DATE(2026,11,21))</f>
        <v>0</v>
      </c>
      <c r="IG107">
        <f>COUNTIFS('DRAFT 2'!$D:$D,$B107,'DRAFT 2'!$A:$A,"&gt;="&amp;DATE(2026,11,22),'DRAFT 2'!$A:$A,"&lt;"&amp;DATE(2026,IF(11=12,11+1,11+1),1))</f>
        <v>0</v>
      </c>
      <c r="IH107">
        <f t="shared" si="54"/>
        <v>0</v>
      </c>
      <c r="IR107">
        <f>IFERROR(LOOKUP(2,1/('DRAFT 2'!$D:$D=$B107)*('DRAFT 2'!$A:$A&gt;=DATE(2026,12,1))*('DRAFT 2'!$A:$A&lt;DATE(2026,IF(12=12,12+1,12+1),1)),'DRAFT 2'!$A:$A),"")</f>
        <v>0</v>
      </c>
      <c r="IS107">
        <f>COUNTIFS('DRAFT 2'!$D:$D,$B107,'DRAFT 2'!$A:$A,"&gt;="&amp;DATE(2026,12,1),'DRAFT 2'!$A:$A,"&lt;="&amp;DATE(2026,12,7))</f>
        <v>0</v>
      </c>
      <c r="IT107">
        <f>COUNTIFS('DRAFT 2'!$D:$D,$B107,'DRAFT 2'!$A:$A,"&gt;="&amp;DATE(2026,12,8),'DRAFT 2'!$A:$A,"&lt;="&amp;DATE(2026,12,14))</f>
        <v>0</v>
      </c>
      <c r="IU107">
        <f>COUNTIFS('DRAFT 2'!$D:$D,$B107,'DRAFT 2'!$A:$A,"&gt;="&amp;DATE(2026,12,15),'DRAFT 2'!$A:$A,"&lt;="&amp;DATE(2026,12,21))</f>
        <v>0</v>
      </c>
      <c r="IV107">
        <f>COUNTIFS('DRAFT 2'!$D:$D,$B107,'DRAFT 2'!$A:$A,"&gt;="&amp;DATE(2026,12,22),'DRAFT 2'!$A:$A,"&lt;"&amp;DATE(2026,IF(12=12,12+1,12+1),1))</f>
        <v>0</v>
      </c>
      <c r="IW107">
        <f t="shared" si="55"/>
        <v>0</v>
      </c>
    </row>
    <row r="108" spans="1:257" x14ac:dyDescent="0.3">
      <c r="A108" t="str">
        <f>IFERROR(INDEX('DRAFT 1'!$A:$A,MATCH($B108,'DRAFT 1'!$B:$B,0)),"")</f>
        <v/>
      </c>
      <c r="C108" t="str">
        <f>IFERROR(INDEX('DRAFT 1'!$C:$C,MATCH($B108,'DRAFT 1'!$B:$B,0)),"")</f>
        <v/>
      </c>
      <c r="D108" t="str">
        <f>IFERROR(INDEX('DRAFT 1'!$D:$D,MATCH($B108,'DRAFT 1'!$B:$B,0)),"")</f>
        <v/>
      </c>
      <c r="E108" t="str">
        <f>IFERROR(INDEX('DRAFT 1'!$E:$E,MATCH($B108,'DRAFT 1'!$B:$B,0)),"")</f>
        <v/>
      </c>
      <c r="F108" t="str">
        <f>IFERROR(INDEX('DRAFT 1'!$F:$F,MATCH($B108,'DRAFT 1'!$B:$B,0)),"")</f>
        <v/>
      </c>
      <c r="G108" t="str">
        <f>IFERROR(INDEX('DRAFT 1'!$G:$G,MATCH($B108,'DRAFT 1'!$B:$B,0)),"")</f>
        <v/>
      </c>
      <c r="H108" t="str">
        <f>IFERROR(INDEX('DRAFT 1'!$H:$H,MATCH($B108,'DRAFT 1'!$B:$B,0)),"")</f>
        <v/>
      </c>
      <c r="I108" t="s">
        <v>286</v>
      </c>
      <c r="K108" t="str">
        <f>IFERROR(INDEX('DRAFT 1'!$AL:$AL,MATCH($B108,'DRAFT 1'!$B:$B,0)),"")</f>
        <v/>
      </c>
      <c r="L108" t="str">
        <f>IFERROR(INDEX('DRAFT 1'!$J:$J,MATCH($B108,'DRAFT 1'!$B:$B,0)),"")</f>
        <v/>
      </c>
      <c r="M108" t="str">
        <f>IFERROR(INDEX('DRAFT 1'!$K:$K,MATCH($B108,'DRAFT 1'!$B:$B,0)),"")</f>
        <v/>
      </c>
      <c r="N108" t="s">
        <v>71</v>
      </c>
      <c r="P108" t="str">
        <f>IFERROR(INDEX('DRAFT 1'!$L:$L,MATCH($B108,'DRAFT 1'!$B:$B,0)),"")</f>
        <v/>
      </c>
      <c r="Q108" t="str">
        <f>IFERROR(INDEX('DRAFT 1'!$M:$M,MATCH($B108,'DRAFT 1'!$B:$B,0)),"")</f>
        <v/>
      </c>
      <c r="R108" t="str">
        <f>IFERROR(INDEX('DRAFT 1'!$N:$N,MATCH($B108,'DRAFT 1'!$B:$B,0)),"")</f>
        <v/>
      </c>
      <c r="S108" t="str">
        <f>IFERROR(INDEX('DRAFT 1'!$O:$O,MATCH($B108,'DRAFT 1'!$B:$B,0)),"")</f>
        <v/>
      </c>
      <c r="T108" t="str">
        <f>IFERROR(INDEX('DRAFT 1'!$P:$P,MATCH($B108,'DRAFT 1'!$B:$B,0)),"")</f>
        <v/>
      </c>
      <c r="U108" t="str">
        <f>IFERROR(INDEX('DRAFT 1'!$Q:$Q,MATCH($B108,'DRAFT 1'!$B:$B,0)),"")</f>
        <v/>
      </c>
      <c r="V108" t="str">
        <f>IFERROR(INDEX('DRAFT 1'!$R:$R,MATCH($B108,'DRAFT 1'!$B:$B,0)),"")</f>
        <v/>
      </c>
      <c r="W108" t="str">
        <f>IFERROR(INDEX('DRAFT 1'!$S:$S,MATCH($B108,'DRAFT 1'!$B:$B,0)),"")</f>
        <v/>
      </c>
      <c r="X108" t="str">
        <f>IFERROR(INDEX('DRAFT 1'!$T:$T,MATCH($B108,'DRAFT 1'!$B:$B,0)),"")</f>
        <v/>
      </c>
      <c r="Z108" t="str">
        <f>IFERROR(INDEX('DRAFT 1'!$U:$U,MATCH($B108,'DRAFT 1'!$B:$B,0)),"")</f>
        <v/>
      </c>
      <c r="AA108" t="str">
        <f>IFERROR(INDEX('DRAFT 1'!$V:$V,MATCH($B108,'DRAFT 1'!$B:$B,0)),"")</f>
        <v/>
      </c>
      <c r="AB108" t="str">
        <f>IFERROR(INDEX('DRAFT 1'!$W:$W,MATCH($B108,'DRAFT 1'!$B:$B,0)),"")</f>
        <v/>
      </c>
      <c r="AC108" t="str">
        <f>IFERROR(INDEX('DRAFT 1'!$X:$X,MATCH($B108,'DRAFT 1'!$B:$B,0)),"")</f>
        <v/>
      </c>
      <c r="AD108" t="str">
        <f>IFERROR(INDEX('DRAFT 1'!$Y:$Y,MATCH($B108,'DRAFT 1'!$B:$B,0)),"")</f>
        <v/>
      </c>
      <c r="AE108" t="str">
        <f>IFERROR(INDEX('DRAFT 1'!$Z:$Z,MATCH($B108,'DRAFT 1'!$B:$B,0)),"")</f>
        <v/>
      </c>
      <c r="AF108" t="str">
        <f>IFERROR(INDEX('DRAFT 1'!$AA:$AA,MATCH($B108,'DRAFT 1'!$B:$B,0)),"")</f>
        <v/>
      </c>
      <c r="AG108" t="str">
        <f>IFERROR(INDEX('DRAFT 1'!$AB:$AB,MATCH($B108,'DRAFT 1'!$B:$B,0)),"")</f>
        <v/>
      </c>
      <c r="AH108" t="str">
        <f>IFERROR(INDEX('DRAFT 1'!$AC:$AC,MATCH($B108,'DRAFT 1'!$B:$B,0)),"")</f>
        <v/>
      </c>
      <c r="AI108" t="str">
        <f>IFERROR(INDEX('DRAFT 1'!$AD:$AD,MATCH($B108,'DRAFT 1'!$B:$B,0)),"")</f>
        <v/>
      </c>
      <c r="AJ108" t="str">
        <f>IFERROR(INDEX('DRAFT 1'!$AE:$AE,MATCH($B108,'DRAFT 1'!$B:$B,0)),"")</f>
        <v/>
      </c>
      <c r="AK108" t="str">
        <f>IFERROR(INDEX('DRAFT 1'!$AG:$AG,MATCH($B108,'DRAFT 1'!$B:$B,0)),"")</f>
        <v/>
      </c>
      <c r="AL108" t="str">
        <f>IFERROR(INDEX('DRAFT 1'!$AH:$AH,MATCH($B108,'DRAFT 1'!$B:$B,0)),"")</f>
        <v/>
      </c>
      <c r="AM108" t="str">
        <f>IFERROR(INDEX('DRAFT 1'!$AI:$AI,MATCH($B108,'DRAFT 1'!$B:$B,0)),"")</f>
        <v/>
      </c>
      <c r="AN108" t="str">
        <f>IFERROR(INDEX('DRAFT 1'!$AJ:$AJ,MATCH($B108,'DRAFT 1'!$B:$B,0)),"")</f>
        <v/>
      </c>
      <c r="AO108">
        <f t="shared" si="42"/>
        <v>0</v>
      </c>
      <c r="AP108" t="str">
        <f>IFERROR(INDEX('DRAFT 1'!$AK:$AK,MATCH($B108,'DRAFT 1'!$B:$B,0)),"")</f>
        <v/>
      </c>
      <c r="AR108" t="s">
        <v>5</v>
      </c>
      <c r="AS108">
        <f>IFERROR(LOOKUP(2,1/('DRAFT 2'!$D:$D=$B108),'DRAFT 2'!$T:$T),"")</f>
        <v>0</v>
      </c>
      <c r="AT108">
        <f>IFERROR(LOOKUP(2,1/('DRAFT 2'!$D:$D=$B108),'DRAFT 2'!$A:$A),"")</f>
        <v>0</v>
      </c>
      <c r="AU108">
        <f>IFERROR(LOOKUP(2,1/('DRAFT 2'!$D:$D=$B108),'DRAFT 2'!$R:$R),"")</f>
        <v>0</v>
      </c>
      <c r="AV108">
        <f>IFERROR(LOOKUP(2,1/('DRAFT 2'!$D:$D=$B108),'DRAFT 2'!$S:$S),"")</f>
        <v>0</v>
      </c>
      <c r="AW108" t="s">
        <v>88</v>
      </c>
      <c r="AX108">
        <f>IFERROR(LOOKUP(2,1/('DRAFT 2'!$D:$D=$B108),'DRAFT 2'!$M:$M),"")</f>
        <v>0</v>
      </c>
      <c r="AY108">
        <f>IFERROR(LOOKUP(2,1/('DRAFT 2'!$D:$D=$B108),'DRAFT 2'!$K:$K),"")</f>
        <v>0</v>
      </c>
      <c r="BG108">
        <f>IFERROR(LOOKUP(2,1/('DRAFT 2'!$D:$D=$B108),'DRAFT 2'!$U:$U),"")</f>
        <v>0</v>
      </c>
      <c r="BH108">
        <f>IFERROR(LOOKUP(2,1/('DRAFT 2'!$D:$D=$B108),'DRAFT 2'!$V:$V),"")</f>
        <v>0</v>
      </c>
      <c r="CE108" t="str">
        <f t="shared" si="43"/>
        <v/>
      </c>
      <c r="CF108">
        <f>IFERROR(LOOKUP(2,1/('DRAFT 2'!$D:$D=$B108)*('DRAFT 2'!$A:$A&gt;=DATE(2026,1,1))*('DRAFT 2'!$A:$A&lt;DATE(2026,IF(1=12,1+1,1+1),1)),'DRAFT 2'!$A:$A),"")</f>
        <v>0</v>
      </c>
      <c r="CG108">
        <f>COUNTIFS('DRAFT 2'!$D:$D,$B108,'DRAFT 2'!$A:$A,"&gt;="&amp;DATE(2026,1,1),'DRAFT 2'!$A:$A,"&lt;="&amp;DATE(2026,1,7))</f>
        <v>0</v>
      </c>
      <c r="CH108">
        <f>COUNTIFS('DRAFT 2'!$D:$D,$B108,'DRAFT 2'!$A:$A,"&gt;="&amp;DATE(2026,1,8),'DRAFT 2'!$A:$A,"&lt;="&amp;DATE(2026,1,14))</f>
        <v>0</v>
      </c>
      <c r="CI108">
        <f>COUNTIFS('DRAFT 2'!$D:$D,$B108,'DRAFT 2'!$A:$A,"&gt;="&amp;DATE(2026,1,15),'DRAFT 2'!$A:$A,"&lt;="&amp;DATE(2026,1,21))</f>
        <v>0</v>
      </c>
      <c r="CJ108">
        <f>COUNTIFS('DRAFT 2'!$D:$D,$B108,'DRAFT 2'!$A:$A,"&gt;="&amp;DATE(2026,1,22),'DRAFT 2'!$A:$A,"&lt;"&amp;DATE(2026,IF(1=12,1+1,1+1),1))</f>
        <v>0</v>
      </c>
      <c r="CK108">
        <f t="shared" si="44"/>
        <v>0</v>
      </c>
      <c r="CT108">
        <v>0</v>
      </c>
      <c r="CU108">
        <f>IFERROR(LOOKUP(2,1/('DRAFT 2'!$D:$D=$B108)*('DRAFT 2'!$A:$A&gt;=DATE(2026,2,1))*('DRAFT 2'!$A:$A&lt;DATE(2026,IF(2=12,2+1,2+1),1)),'DRAFT 2'!$A:$A),"")</f>
        <v>0</v>
      </c>
      <c r="CV108">
        <f>COUNTIFS('DRAFT 2'!$D:$D,$B108,'DRAFT 2'!$A:$A,"&gt;="&amp;DATE(2026,2,1),'DRAFT 2'!$A:$A,"&lt;="&amp;DATE(2026,2,7))</f>
        <v>0</v>
      </c>
      <c r="CW108">
        <f>COUNTIFS('DRAFT 2'!$D:$D,$B108,'DRAFT 2'!$A:$A,"&gt;="&amp;DATE(2026,2,8),'DRAFT 2'!$A:$A,"&lt;="&amp;DATE(2026,2,14))</f>
        <v>0</v>
      </c>
      <c r="CX108">
        <f>COUNTIFS('DRAFT 2'!$D:$D,$B108,'DRAFT 2'!$A:$A,"&gt;="&amp;DATE(2026,2,15),'DRAFT 2'!$A:$A,"&lt;="&amp;DATE(2026,2,21))</f>
        <v>0</v>
      </c>
      <c r="CY108">
        <f>COUNTIFS('DRAFT 2'!$D:$D,$B108,'DRAFT 2'!$A:$A,"&gt;="&amp;DATE(2026,2,22),'DRAFT 2'!$A:$A,"&lt;"&amp;DATE(2026,IF(2=12,2+1,2+1),1))</f>
        <v>0</v>
      </c>
      <c r="CZ108">
        <f t="shared" si="45"/>
        <v>0</v>
      </c>
      <c r="DJ108">
        <f>IFERROR(LOOKUP(2,1/('DRAFT 2'!$D:$D=$B108)*('DRAFT 2'!$A:$A&gt;=DATE(2026,3,1))*('DRAFT 2'!$A:$A&lt;DATE(2026,IF(3=12,3+1,3+1),1)),'DRAFT 2'!$A:$A),"")</f>
        <v>0</v>
      </c>
      <c r="DK108">
        <f>COUNTIFS('DRAFT 2'!$D:$D,$B108,'DRAFT 2'!$A:$A,"&gt;="&amp;DATE(2026,3,1),'DRAFT 2'!$A:$A,"&lt;="&amp;DATE(2026,3,7))</f>
        <v>0</v>
      </c>
      <c r="DL108">
        <f>COUNTIFS('DRAFT 2'!$D:$D,$B108,'DRAFT 2'!$A:$A,"&gt;="&amp;DATE(2026,3,8),'DRAFT 2'!$A:$A,"&lt;="&amp;DATE(2026,3,14))</f>
        <v>0</v>
      </c>
      <c r="DM108">
        <f>COUNTIFS('DRAFT 2'!$D:$D,$B108,'DRAFT 2'!$A:$A,"&gt;="&amp;DATE(2026,3,15),'DRAFT 2'!$A:$A,"&lt;="&amp;DATE(2026,3,21))</f>
        <v>0</v>
      </c>
      <c r="DN108">
        <f>COUNTIFS('DRAFT 2'!$D:$D,$B108,'DRAFT 2'!$A:$A,"&gt;="&amp;DATE(2026,3,22),'DRAFT 2'!$A:$A,"&lt;"&amp;DATE(2026,IF(3=12,3+1,3+1),1))</f>
        <v>0</v>
      </c>
      <c r="DO108">
        <f t="shared" si="46"/>
        <v>0</v>
      </c>
      <c r="DZ108">
        <f>IFERROR(LOOKUP(2,1/('DRAFT 2'!$D:$D=$B108)*('DRAFT 2'!$A:$A&gt;=DATE(2026,4,1))*('DRAFT 2'!$A:$A&lt;DATE(2026,IF(4=12,4+1,4+1),1)),'DRAFT 2'!$A:$A),"")</f>
        <v>0</v>
      </c>
      <c r="EA108">
        <f>COUNTIFS('DRAFT 2'!$D:$D,$B108,'DRAFT 2'!$A:$A,"&gt;="&amp;DATE(2026,4,1),'DRAFT 2'!$A:$A,"&lt;="&amp;DATE(2026,4,7))</f>
        <v>0</v>
      </c>
      <c r="EB108">
        <f>COUNTIFS('DRAFT 2'!$D:$D,$B108,'DRAFT 2'!$A:$A,"&gt;="&amp;DATE(2026,4,8),'DRAFT 2'!$A:$A,"&lt;="&amp;DATE(2026,4,14))</f>
        <v>0</v>
      </c>
      <c r="EC108">
        <f>COUNTIFS('DRAFT 2'!$D:$D,$B108,'DRAFT 2'!$A:$A,"&gt;="&amp;DATE(2026,4,15),'DRAFT 2'!$A:$A,"&lt;="&amp;DATE(2026,4,21))</f>
        <v>0</v>
      </c>
      <c r="ED108">
        <f>COUNTIFS('DRAFT 2'!$D:$D,$B108,'DRAFT 2'!$A:$A,"&gt;="&amp;DATE(2026,4,22),'DRAFT 2'!$A:$A,"&lt;"&amp;DATE(2026,IF(4=12,4+1,4+1),1))</f>
        <v>0</v>
      </c>
      <c r="EE108">
        <f t="shared" si="47"/>
        <v>0</v>
      </c>
      <c r="EO108">
        <f>IFERROR(LOOKUP(2,1/('DRAFT 2'!$D:$D=$B108)*('DRAFT 2'!$A:$A&gt;=DATE(2026,5,1))*('DRAFT 2'!$A:$A&lt;DATE(2026,IF(5=12,5+1,5+1),1)),'DRAFT 2'!$A:$A),"")</f>
        <v>0</v>
      </c>
      <c r="EP108">
        <f>COUNTIFS('DRAFT 2'!$D:$D,$B108,'DRAFT 2'!$A:$A,"&gt;="&amp;DATE(2026,5,1),'DRAFT 2'!$A:$A,"&lt;="&amp;DATE(2026,5,7))</f>
        <v>0</v>
      </c>
      <c r="EQ108">
        <f>COUNTIFS('DRAFT 2'!$D:$D,$B108,'DRAFT 2'!$A:$A,"&gt;="&amp;DATE(2026,5,8),'DRAFT 2'!$A:$A,"&lt;="&amp;DATE(2026,5,14))</f>
        <v>0</v>
      </c>
      <c r="ER108">
        <f>COUNTIFS('DRAFT 2'!$D:$D,$B108,'DRAFT 2'!$A:$A,"&gt;="&amp;DATE(2026,5,15),'DRAFT 2'!$A:$A,"&lt;="&amp;DATE(2026,5,21))</f>
        <v>0</v>
      </c>
      <c r="ES108">
        <f>COUNTIFS('DRAFT 2'!$D:$D,$B108,'DRAFT 2'!$A:$A,"&gt;="&amp;DATE(2026,5,22),'DRAFT 2'!$A:$A,"&lt;"&amp;DATE(2026,IF(5=12,5+1,5+1),1))</f>
        <v>0</v>
      </c>
      <c r="ET108">
        <f t="shared" si="48"/>
        <v>0</v>
      </c>
      <c r="FD108">
        <f>IFERROR(LOOKUP(2,1/('DRAFT 2'!$D:$D=$B108)*('DRAFT 2'!$A:$A&gt;=DATE(2026,6,1))*('DRAFT 2'!$A:$A&lt;DATE(2026,IF(6=12,6+1,6+1),1)),'DRAFT 2'!$A:$A),"")</f>
        <v>0</v>
      </c>
      <c r="FE108">
        <f>COUNTIFS('DRAFT 2'!$D:$D,$B108,'DRAFT 2'!$A:$A,"&gt;="&amp;DATE(2026,6,1),'DRAFT 2'!$A:$A,"&lt;="&amp;DATE(2026,6,7))</f>
        <v>0</v>
      </c>
      <c r="FF108">
        <f>COUNTIFS('DRAFT 2'!$D:$D,$B108,'DRAFT 2'!$A:$A,"&gt;="&amp;DATE(2026,6,8),'DRAFT 2'!$A:$A,"&lt;="&amp;DATE(2026,6,14))</f>
        <v>0</v>
      </c>
      <c r="FG108">
        <f>COUNTIFS('DRAFT 2'!$D:$D,$B108,'DRAFT 2'!$A:$A,"&gt;="&amp;DATE(2026,6,15),'DRAFT 2'!$A:$A,"&lt;="&amp;DATE(2026,6,21))</f>
        <v>0</v>
      </c>
      <c r="FH108">
        <f>COUNTIFS('DRAFT 2'!$D:$D,$B108,'DRAFT 2'!$A:$A,"&gt;="&amp;DATE(2026,6,22),'DRAFT 2'!$A:$A,"&lt;"&amp;DATE(2026,IF(6=12,6+1,6+1),1))</f>
        <v>0</v>
      </c>
      <c r="FI108">
        <f t="shared" si="49"/>
        <v>0</v>
      </c>
      <c r="FT108">
        <f>IFERROR(LOOKUP(2,1/('DRAFT 2'!$D:$D=$B108)*('DRAFT 2'!$A:$A&gt;=DATE(2026,7,1))*('DRAFT 2'!$A:$A&lt;DATE(2026,IF(7=12,7+1,7+1),1)),'DRAFT 2'!$A:$A),"")</f>
        <v>0</v>
      </c>
      <c r="FU108">
        <f>COUNTIFS('DRAFT 2'!$D:$D,$B108,'DRAFT 2'!$A:$A,"&gt;="&amp;DATE(2026,7,1),'DRAFT 2'!$A:$A,"&lt;="&amp;DATE(2026,7,7))</f>
        <v>0</v>
      </c>
      <c r="FV108">
        <f>COUNTIFS('DRAFT 2'!$D:$D,$B108,'DRAFT 2'!$A:$A,"&gt;="&amp;DATE(2026,7,8),'DRAFT 2'!$A:$A,"&lt;="&amp;DATE(2026,7,14))</f>
        <v>0</v>
      </c>
      <c r="FW108">
        <f>COUNTIFS('DRAFT 2'!$D:$D,$B108,'DRAFT 2'!$A:$A,"&gt;="&amp;DATE(2026,7,15),'DRAFT 2'!$A:$A,"&lt;="&amp;DATE(2026,7,21))</f>
        <v>0</v>
      </c>
      <c r="FX108">
        <f>COUNTIFS('DRAFT 2'!$D:$D,$B108,'DRAFT 2'!$A:$A,"&gt;="&amp;DATE(2026,7,22),'DRAFT 2'!$A:$A,"&lt;"&amp;DATE(2026,IF(7=12,7+1,7+1),1))</f>
        <v>0</v>
      </c>
      <c r="FY108">
        <f t="shared" si="50"/>
        <v>0</v>
      </c>
      <c r="GI108">
        <f>IFERROR(LOOKUP(2,1/('DRAFT 2'!$D:$D=$B108)*('DRAFT 2'!$A:$A&gt;=DATE(2026,8,1))*('DRAFT 2'!$A:$A&lt;DATE(2026,IF(8=12,8+1,8+1),1)),'DRAFT 2'!$A:$A),"")</f>
        <v>0</v>
      </c>
      <c r="GJ108">
        <f>COUNTIFS('DRAFT 2'!$D:$D,$B108,'DRAFT 2'!$A:$A,"&gt;="&amp;DATE(2026,8,1),'DRAFT 2'!$A:$A,"&lt;="&amp;DATE(2026,8,7))</f>
        <v>0</v>
      </c>
      <c r="GK108">
        <f>COUNTIFS('DRAFT 2'!$D:$D,$B108,'DRAFT 2'!$A:$A,"&gt;="&amp;DATE(2026,8,8),'DRAFT 2'!$A:$A,"&lt;="&amp;DATE(2026,8,14))</f>
        <v>0</v>
      </c>
      <c r="GL108">
        <f>COUNTIFS('DRAFT 2'!$D:$D,$B108,'DRAFT 2'!$A:$A,"&gt;="&amp;DATE(2026,8,15),'DRAFT 2'!$A:$A,"&lt;="&amp;DATE(2026,8,21))</f>
        <v>0</v>
      </c>
      <c r="GM108">
        <f>COUNTIFS('DRAFT 2'!$D:$D,$B108,'DRAFT 2'!$A:$A,"&gt;="&amp;DATE(2026,8,22),'DRAFT 2'!$A:$A,"&lt;"&amp;DATE(2026,IF(8=12,8+1,8+1),1))</f>
        <v>0</v>
      </c>
      <c r="GN108">
        <f t="shared" si="51"/>
        <v>0</v>
      </c>
      <c r="GX108">
        <f>IFERROR(LOOKUP(2,1/('DRAFT 2'!$D:$D=$B108)*('DRAFT 2'!$A:$A&gt;=DATE(2026,9,1))*('DRAFT 2'!$A:$A&lt;DATE(2026,IF(9=12,9+1,9+1),1)),'DRAFT 2'!$A:$A),"")</f>
        <v>0</v>
      </c>
      <c r="GY108">
        <f>COUNTIFS('DRAFT 2'!$D:$D,$B108,'DRAFT 2'!$A:$A,"&gt;="&amp;DATE(2026,9,1),'DRAFT 2'!$A:$A,"&lt;="&amp;DATE(2026,9,7))</f>
        <v>0</v>
      </c>
      <c r="GZ108">
        <f>COUNTIFS('DRAFT 2'!$D:$D,$B108,'DRAFT 2'!$A:$A,"&gt;="&amp;DATE(2026,9,8),'DRAFT 2'!$A:$A,"&lt;="&amp;DATE(2026,9,14))</f>
        <v>0</v>
      </c>
      <c r="HA108">
        <f>COUNTIFS('DRAFT 2'!$D:$D,$B108,'DRAFT 2'!$A:$A,"&gt;="&amp;DATE(2026,9,15),'DRAFT 2'!$A:$A,"&lt;="&amp;DATE(2026,9,21))</f>
        <v>0</v>
      </c>
      <c r="HB108">
        <f>COUNTIFS('DRAFT 2'!$D:$D,$B108,'DRAFT 2'!$A:$A,"&gt;="&amp;DATE(2026,9,22),'DRAFT 2'!$A:$A,"&lt;"&amp;DATE(2026,IF(9=12,9+1,9+1),1))</f>
        <v>0</v>
      </c>
      <c r="HC108">
        <f t="shared" si="52"/>
        <v>0</v>
      </c>
      <c r="HN108">
        <f>IFERROR(LOOKUP(2,1/('DRAFT 2'!$D:$D=$B108)*('DRAFT 2'!$A:$A&gt;=DATE(2026,10,1))*('DRAFT 2'!$A:$A&lt;DATE(2026,IF(10=12,10+1,10+1),1)),'DRAFT 2'!$A:$A),"")</f>
        <v>0</v>
      </c>
      <c r="HO108">
        <f>COUNTIFS('DRAFT 2'!$D:$D,$B108,'DRAFT 2'!$A:$A,"&gt;="&amp;DATE(2026,10,1),'DRAFT 2'!$A:$A,"&lt;="&amp;DATE(2026,10,7))</f>
        <v>0</v>
      </c>
      <c r="HP108">
        <f>COUNTIFS('DRAFT 2'!$D:$D,$B108,'DRAFT 2'!$A:$A,"&gt;="&amp;DATE(2026,10,8),'DRAFT 2'!$A:$A,"&lt;="&amp;DATE(2026,10,14))</f>
        <v>0</v>
      </c>
      <c r="HQ108">
        <f>COUNTIFS('DRAFT 2'!$D:$D,$B108,'DRAFT 2'!$A:$A,"&gt;="&amp;DATE(2026,10,15),'DRAFT 2'!$A:$A,"&lt;="&amp;DATE(2026,10,21))</f>
        <v>0</v>
      </c>
      <c r="HR108">
        <f>COUNTIFS('DRAFT 2'!$D:$D,$B108,'DRAFT 2'!$A:$A,"&gt;="&amp;DATE(2026,10,22),'DRAFT 2'!$A:$A,"&lt;"&amp;DATE(2026,IF(10=12,10+1,10+1),1))</f>
        <v>0</v>
      </c>
      <c r="HS108">
        <f t="shared" si="53"/>
        <v>0</v>
      </c>
      <c r="IC108">
        <f>IFERROR(LOOKUP(2,1/('DRAFT 2'!$D:$D=$B108)*('DRAFT 2'!$A:$A&gt;=DATE(2026,11,1))*('DRAFT 2'!$A:$A&lt;DATE(2026,IF(11=12,11+1,11+1),1)),'DRAFT 2'!$A:$A),"")</f>
        <v>0</v>
      </c>
      <c r="ID108">
        <f>COUNTIFS('DRAFT 2'!$D:$D,$B108,'DRAFT 2'!$A:$A,"&gt;="&amp;DATE(2026,11,1),'DRAFT 2'!$A:$A,"&lt;="&amp;DATE(2026,11,7))</f>
        <v>0</v>
      </c>
      <c r="IE108">
        <f>COUNTIFS('DRAFT 2'!$D:$D,$B108,'DRAFT 2'!$A:$A,"&gt;="&amp;DATE(2026,11,8),'DRAFT 2'!$A:$A,"&lt;="&amp;DATE(2026,11,14))</f>
        <v>0</v>
      </c>
      <c r="IF108">
        <f>COUNTIFS('DRAFT 2'!$D:$D,$B108,'DRAFT 2'!$A:$A,"&gt;="&amp;DATE(2026,11,15),'DRAFT 2'!$A:$A,"&lt;="&amp;DATE(2026,11,21))</f>
        <v>0</v>
      </c>
      <c r="IG108">
        <f>COUNTIFS('DRAFT 2'!$D:$D,$B108,'DRAFT 2'!$A:$A,"&gt;="&amp;DATE(2026,11,22),'DRAFT 2'!$A:$A,"&lt;"&amp;DATE(2026,IF(11=12,11+1,11+1),1))</f>
        <v>0</v>
      </c>
      <c r="IH108">
        <f t="shared" si="54"/>
        <v>0</v>
      </c>
      <c r="IR108">
        <f>IFERROR(LOOKUP(2,1/('DRAFT 2'!$D:$D=$B108)*('DRAFT 2'!$A:$A&gt;=DATE(2026,12,1))*('DRAFT 2'!$A:$A&lt;DATE(2026,IF(12=12,12+1,12+1),1)),'DRAFT 2'!$A:$A),"")</f>
        <v>0</v>
      </c>
      <c r="IS108">
        <f>COUNTIFS('DRAFT 2'!$D:$D,$B108,'DRAFT 2'!$A:$A,"&gt;="&amp;DATE(2026,12,1),'DRAFT 2'!$A:$A,"&lt;="&amp;DATE(2026,12,7))</f>
        <v>0</v>
      </c>
      <c r="IT108">
        <f>COUNTIFS('DRAFT 2'!$D:$D,$B108,'DRAFT 2'!$A:$A,"&gt;="&amp;DATE(2026,12,8),'DRAFT 2'!$A:$A,"&lt;="&amp;DATE(2026,12,14))</f>
        <v>0</v>
      </c>
      <c r="IU108">
        <f>COUNTIFS('DRAFT 2'!$D:$D,$B108,'DRAFT 2'!$A:$A,"&gt;="&amp;DATE(2026,12,15),'DRAFT 2'!$A:$A,"&lt;="&amp;DATE(2026,12,21))</f>
        <v>0</v>
      </c>
      <c r="IV108">
        <f>COUNTIFS('DRAFT 2'!$D:$D,$B108,'DRAFT 2'!$A:$A,"&gt;="&amp;DATE(2026,12,22),'DRAFT 2'!$A:$A,"&lt;"&amp;DATE(2026,IF(12=12,12+1,12+1),1))</f>
        <v>0</v>
      </c>
      <c r="IW108">
        <f t="shared" si="55"/>
        <v>0</v>
      </c>
    </row>
    <row r="109" spans="1:257" x14ac:dyDescent="0.3">
      <c r="A109" t="str">
        <f>IFERROR(INDEX('DRAFT 1'!$A:$A,MATCH($B109,'DRAFT 1'!$B:$B,0)),"")</f>
        <v/>
      </c>
      <c r="C109" t="str">
        <f>IFERROR(INDEX('DRAFT 1'!$C:$C,MATCH($B109,'DRAFT 1'!$B:$B,0)),"")</f>
        <v/>
      </c>
      <c r="D109" t="str">
        <f>IFERROR(INDEX('DRAFT 1'!$D:$D,MATCH($B109,'DRAFT 1'!$B:$B,0)),"")</f>
        <v/>
      </c>
      <c r="E109" t="str">
        <f>IFERROR(INDEX('DRAFT 1'!$E:$E,MATCH($B109,'DRAFT 1'!$B:$B,0)),"")</f>
        <v/>
      </c>
      <c r="F109" t="str">
        <f>IFERROR(INDEX('DRAFT 1'!$F:$F,MATCH($B109,'DRAFT 1'!$B:$B,0)),"")</f>
        <v/>
      </c>
      <c r="G109" t="str">
        <f>IFERROR(INDEX('DRAFT 1'!$G:$G,MATCH($B109,'DRAFT 1'!$B:$B,0)),"")</f>
        <v/>
      </c>
      <c r="H109" t="str">
        <f>IFERROR(INDEX('DRAFT 1'!$H:$H,MATCH($B109,'DRAFT 1'!$B:$B,0)),"")</f>
        <v/>
      </c>
      <c r="I109" t="s">
        <v>286</v>
      </c>
      <c r="K109" t="str">
        <f>IFERROR(INDEX('DRAFT 1'!$AL:$AL,MATCH($B109,'DRAFT 1'!$B:$B,0)),"")</f>
        <v/>
      </c>
      <c r="L109" t="str">
        <f>IFERROR(INDEX('DRAFT 1'!$J:$J,MATCH($B109,'DRAFT 1'!$B:$B,0)),"")</f>
        <v/>
      </c>
      <c r="M109" t="str">
        <f>IFERROR(INDEX('DRAFT 1'!$K:$K,MATCH($B109,'DRAFT 1'!$B:$B,0)),"")</f>
        <v/>
      </c>
      <c r="N109" t="s">
        <v>85</v>
      </c>
      <c r="P109" t="str">
        <f>IFERROR(INDEX('DRAFT 1'!$L:$L,MATCH($B109,'DRAFT 1'!$B:$B,0)),"")</f>
        <v/>
      </c>
      <c r="Q109" t="str">
        <f>IFERROR(INDEX('DRAFT 1'!$M:$M,MATCH($B109,'DRAFT 1'!$B:$B,0)),"")</f>
        <v/>
      </c>
      <c r="R109" t="str">
        <f>IFERROR(INDEX('DRAFT 1'!$N:$N,MATCH($B109,'DRAFT 1'!$B:$B,0)),"")</f>
        <v/>
      </c>
      <c r="S109" t="str">
        <f>IFERROR(INDEX('DRAFT 1'!$O:$O,MATCH($B109,'DRAFT 1'!$B:$B,0)),"")</f>
        <v/>
      </c>
      <c r="T109" t="str">
        <f>IFERROR(INDEX('DRAFT 1'!$P:$P,MATCH($B109,'DRAFT 1'!$B:$B,0)),"")</f>
        <v/>
      </c>
      <c r="U109" t="str">
        <f>IFERROR(INDEX('DRAFT 1'!$Q:$Q,MATCH($B109,'DRAFT 1'!$B:$B,0)),"")</f>
        <v/>
      </c>
      <c r="V109" t="str">
        <f>IFERROR(INDEX('DRAFT 1'!$R:$R,MATCH($B109,'DRAFT 1'!$B:$B,0)),"")</f>
        <v/>
      </c>
      <c r="W109" t="str">
        <f>IFERROR(INDEX('DRAFT 1'!$S:$S,MATCH($B109,'DRAFT 1'!$B:$B,0)),"")</f>
        <v/>
      </c>
      <c r="X109" t="str">
        <f>IFERROR(INDEX('DRAFT 1'!$T:$T,MATCH($B109,'DRAFT 1'!$B:$B,0)),"")</f>
        <v/>
      </c>
      <c r="Z109" t="str">
        <f>IFERROR(INDEX('DRAFT 1'!$U:$U,MATCH($B109,'DRAFT 1'!$B:$B,0)),"")</f>
        <v/>
      </c>
      <c r="AA109" t="str">
        <f>IFERROR(INDEX('DRAFT 1'!$V:$V,MATCH($B109,'DRAFT 1'!$B:$B,0)),"")</f>
        <v/>
      </c>
      <c r="AB109" t="str">
        <f>IFERROR(INDEX('DRAFT 1'!$W:$W,MATCH($B109,'DRAFT 1'!$B:$B,0)),"")</f>
        <v/>
      </c>
      <c r="AC109" t="str">
        <f>IFERROR(INDEX('DRAFT 1'!$X:$X,MATCH($B109,'DRAFT 1'!$B:$B,0)),"")</f>
        <v/>
      </c>
      <c r="AD109" t="str">
        <f>IFERROR(INDEX('DRAFT 1'!$Y:$Y,MATCH($B109,'DRAFT 1'!$B:$B,0)),"")</f>
        <v/>
      </c>
      <c r="AE109" t="str">
        <f>IFERROR(INDEX('DRAFT 1'!$Z:$Z,MATCH($B109,'DRAFT 1'!$B:$B,0)),"")</f>
        <v/>
      </c>
      <c r="AF109" t="str">
        <f>IFERROR(INDEX('DRAFT 1'!$AA:$AA,MATCH($B109,'DRAFT 1'!$B:$B,0)),"")</f>
        <v/>
      </c>
      <c r="AG109" t="str">
        <f>IFERROR(INDEX('DRAFT 1'!$AB:$AB,MATCH($B109,'DRAFT 1'!$B:$B,0)),"")</f>
        <v/>
      </c>
      <c r="AH109" t="str">
        <f>IFERROR(INDEX('DRAFT 1'!$AC:$AC,MATCH($B109,'DRAFT 1'!$B:$B,0)),"")</f>
        <v/>
      </c>
      <c r="AI109" t="str">
        <f>IFERROR(INDEX('DRAFT 1'!$AD:$AD,MATCH($B109,'DRAFT 1'!$B:$B,0)),"")</f>
        <v/>
      </c>
      <c r="AJ109" t="str">
        <f>IFERROR(INDEX('DRAFT 1'!$AE:$AE,MATCH($B109,'DRAFT 1'!$B:$B,0)),"")</f>
        <v/>
      </c>
      <c r="AK109" t="str">
        <f>IFERROR(INDEX('DRAFT 1'!$AG:$AG,MATCH($B109,'DRAFT 1'!$B:$B,0)),"")</f>
        <v/>
      </c>
      <c r="AL109" t="str">
        <f>IFERROR(INDEX('DRAFT 1'!$AH:$AH,MATCH($B109,'DRAFT 1'!$B:$B,0)),"")</f>
        <v/>
      </c>
      <c r="AM109" t="str">
        <f>IFERROR(INDEX('DRAFT 1'!$AI:$AI,MATCH($B109,'DRAFT 1'!$B:$B,0)),"")</f>
        <v/>
      </c>
      <c r="AN109" t="str">
        <f>IFERROR(INDEX('DRAFT 1'!$AJ:$AJ,MATCH($B109,'DRAFT 1'!$B:$B,0)),"")</f>
        <v/>
      </c>
      <c r="AO109">
        <f t="shared" si="42"/>
        <v>0</v>
      </c>
      <c r="AP109" t="str">
        <f>IFERROR(INDEX('DRAFT 1'!$AK:$AK,MATCH($B109,'DRAFT 1'!$B:$B,0)),"")</f>
        <v/>
      </c>
      <c r="AR109" t="s">
        <v>94</v>
      </c>
      <c r="AS109">
        <f>IFERROR(LOOKUP(2,1/('DRAFT 2'!$D:$D=$B109),'DRAFT 2'!$T:$T),"")</f>
        <v>0</v>
      </c>
      <c r="AT109">
        <f>IFERROR(LOOKUP(2,1/('DRAFT 2'!$D:$D=$B109),'DRAFT 2'!$A:$A),"")</f>
        <v>0</v>
      </c>
      <c r="AU109">
        <f>IFERROR(LOOKUP(2,1/('DRAFT 2'!$D:$D=$B109),'DRAFT 2'!$R:$R),"")</f>
        <v>0</v>
      </c>
      <c r="AV109">
        <f>IFERROR(LOOKUP(2,1/('DRAFT 2'!$D:$D=$B109),'DRAFT 2'!$S:$S),"")</f>
        <v>0</v>
      </c>
      <c r="AW109" t="s">
        <v>85</v>
      </c>
      <c r="AX109">
        <f>IFERROR(LOOKUP(2,1/('DRAFT 2'!$D:$D=$B109),'DRAFT 2'!$M:$M),"")</f>
        <v>0</v>
      </c>
      <c r="AY109">
        <f>IFERROR(LOOKUP(2,1/('DRAFT 2'!$D:$D=$B109),'DRAFT 2'!$K:$K),"")</f>
        <v>0</v>
      </c>
      <c r="BG109">
        <f>IFERROR(LOOKUP(2,1/('DRAFT 2'!$D:$D=$B109),'DRAFT 2'!$U:$U),"")</f>
        <v>0</v>
      </c>
      <c r="BH109">
        <f>IFERROR(LOOKUP(2,1/('DRAFT 2'!$D:$D=$B109),'DRAFT 2'!$V:$V),"")</f>
        <v>0</v>
      </c>
      <c r="CE109" t="str">
        <f t="shared" si="43"/>
        <v/>
      </c>
      <c r="CF109">
        <f>IFERROR(LOOKUP(2,1/('DRAFT 2'!$D:$D=$B109)*('DRAFT 2'!$A:$A&gt;=DATE(2026,1,1))*('DRAFT 2'!$A:$A&lt;DATE(2026,IF(1=12,1+1,1+1),1)),'DRAFT 2'!$A:$A),"")</f>
        <v>0</v>
      </c>
      <c r="CG109">
        <f>COUNTIFS('DRAFT 2'!$D:$D,$B109,'DRAFT 2'!$A:$A,"&gt;="&amp;DATE(2026,1,1),'DRAFT 2'!$A:$A,"&lt;="&amp;DATE(2026,1,7))</f>
        <v>0</v>
      </c>
      <c r="CH109">
        <f>COUNTIFS('DRAFT 2'!$D:$D,$B109,'DRAFT 2'!$A:$A,"&gt;="&amp;DATE(2026,1,8),'DRAFT 2'!$A:$A,"&lt;="&amp;DATE(2026,1,14))</f>
        <v>0</v>
      </c>
      <c r="CI109">
        <f>COUNTIFS('DRAFT 2'!$D:$D,$B109,'DRAFT 2'!$A:$A,"&gt;="&amp;DATE(2026,1,15),'DRAFT 2'!$A:$A,"&lt;="&amp;DATE(2026,1,21))</f>
        <v>0</v>
      </c>
      <c r="CJ109">
        <f>COUNTIFS('DRAFT 2'!$D:$D,$B109,'DRAFT 2'!$A:$A,"&gt;="&amp;DATE(2026,1,22),'DRAFT 2'!$A:$A,"&lt;"&amp;DATE(2026,IF(1=12,1+1,1+1),1))</f>
        <v>0</v>
      </c>
      <c r="CK109">
        <f t="shared" si="44"/>
        <v>0</v>
      </c>
      <c r="CT109">
        <v>0</v>
      </c>
      <c r="CU109">
        <f>IFERROR(LOOKUP(2,1/('DRAFT 2'!$D:$D=$B109)*('DRAFT 2'!$A:$A&gt;=DATE(2026,2,1))*('DRAFT 2'!$A:$A&lt;DATE(2026,IF(2=12,2+1,2+1),1)),'DRAFT 2'!$A:$A),"")</f>
        <v>0</v>
      </c>
      <c r="CV109">
        <f>COUNTIFS('DRAFT 2'!$D:$D,$B109,'DRAFT 2'!$A:$A,"&gt;="&amp;DATE(2026,2,1),'DRAFT 2'!$A:$A,"&lt;="&amp;DATE(2026,2,7))</f>
        <v>0</v>
      </c>
      <c r="CW109">
        <f>COUNTIFS('DRAFT 2'!$D:$D,$B109,'DRAFT 2'!$A:$A,"&gt;="&amp;DATE(2026,2,8),'DRAFT 2'!$A:$A,"&lt;="&amp;DATE(2026,2,14))</f>
        <v>0</v>
      </c>
      <c r="CX109">
        <f>COUNTIFS('DRAFT 2'!$D:$D,$B109,'DRAFT 2'!$A:$A,"&gt;="&amp;DATE(2026,2,15),'DRAFT 2'!$A:$A,"&lt;="&amp;DATE(2026,2,21))</f>
        <v>0</v>
      </c>
      <c r="CY109">
        <f>COUNTIFS('DRAFT 2'!$D:$D,$B109,'DRAFT 2'!$A:$A,"&gt;="&amp;DATE(2026,2,22),'DRAFT 2'!$A:$A,"&lt;"&amp;DATE(2026,IF(2=12,2+1,2+1),1))</f>
        <v>0</v>
      </c>
      <c r="CZ109">
        <f t="shared" si="45"/>
        <v>0</v>
      </c>
      <c r="DJ109">
        <f>IFERROR(LOOKUP(2,1/('DRAFT 2'!$D:$D=$B109)*('DRAFT 2'!$A:$A&gt;=DATE(2026,3,1))*('DRAFT 2'!$A:$A&lt;DATE(2026,IF(3=12,3+1,3+1),1)),'DRAFT 2'!$A:$A),"")</f>
        <v>0</v>
      </c>
      <c r="DK109">
        <f>COUNTIFS('DRAFT 2'!$D:$D,$B109,'DRAFT 2'!$A:$A,"&gt;="&amp;DATE(2026,3,1),'DRAFT 2'!$A:$A,"&lt;="&amp;DATE(2026,3,7))</f>
        <v>0</v>
      </c>
      <c r="DL109">
        <f>COUNTIFS('DRAFT 2'!$D:$D,$B109,'DRAFT 2'!$A:$A,"&gt;="&amp;DATE(2026,3,8),'DRAFT 2'!$A:$A,"&lt;="&amp;DATE(2026,3,14))</f>
        <v>0</v>
      </c>
      <c r="DM109">
        <f>COUNTIFS('DRAFT 2'!$D:$D,$B109,'DRAFT 2'!$A:$A,"&gt;="&amp;DATE(2026,3,15),'DRAFT 2'!$A:$A,"&lt;="&amp;DATE(2026,3,21))</f>
        <v>0</v>
      </c>
      <c r="DN109">
        <f>COUNTIFS('DRAFT 2'!$D:$D,$B109,'DRAFT 2'!$A:$A,"&gt;="&amp;DATE(2026,3,22),'DRAFT 2'!$A:$A,"&lt;"&amp;DATE(2026,IF(3=12,3+1,3+1),1))</f>
        <v>0</v>
      </c>
      <c r="DO109">
        <f t="shared" si="46"/>
        <v>0</v>
      </c>
      <c r="DZ109">
        <f>IFERROR(LOOKUP(2,1/('DRAFT 2'!$D:$D=$B109)*('DRAFT 2'!$A:$A&gt;=DATE(2026,4,1))*('DRAFT 2'!$A:$A&lt;DATE(2026,IF(4=12,4+1,4+1),1)),'DRAFT 2'!$A:$A),"")</f>
        <v>0</v>
      </c>
      <c r="EA109">
        <f>COUNTIFS('DRAFT 2'!$D:$D,$B109,'DRAFT 2'!$A:$A,"&gt;="&amp;DATE(2026,4,1),'DRAFT 2'!$A:$A,"&lt;="&amp;DATE(2026,4,7))</f>
        <v>0</v>
      </c>
      <c r="EB109">
        <f>COUNTIFS('DRAFT 2'!$D:$D,$B109,'DRAFT 2'!$A:$A,"&gt;="&amp;DATE(2026,4,8),'DRAFT 2'!$A:$A,"&lt;="&amp;DATE(2026,4,14))</f>
        <v>0</v>
      </c>
      <c r="EC109">
        <f>COUNTIFS('DRAFT 2'!$D:$D,$B109,'DRAFT 2'!$A:$A,"&gt;="&amp;DATE(2026,4,15),'DRAFT 2'!$A:$A,"&lt;="&amp;DATE(2026,4,21))</f>
        <v>0</v>
      </c>
      <c r="ED109">
        <f>COUNTIFS('DRAFT 2'!$D:$D,$B109,'DRAFT 2'!$A:$A,"&gt;="&amp;DATE(2026,4,22),'DRAFT 2'!$A:$A,"&lt;"&amp;DATE(2026,IF(4=12,4+1,4+1),1))</f>
        <v>0</v>
      </c>
      <c r="EE109">
        <f t="shared" si="47"/>
        <v>0</v>
      </c>
      <c r="EO109">
        <f>IFERROR(LOOKUP(2,1/('DRAFT 2'!$D:$D=$B109)*('DRAFT 2'!$A:$A&gt;=DATE(2026,5,1))*('DRAFT 2'!$A:$A&lt;DATE(2026,IF(5=12,5+1,5+1),1)),'DRAFT 2'!$A:$A),"")</f>
        <v>0</v>
      </c>
      <c r="EP109">
        <f>COUNTIFS('DRAFT 2'!$D:$D,$B109,'DRAFT 2'!$A:$A,"&gt;="&amp;DATE(2026,5,1),'DRAFT 2'!$A:$A,"&lt;="&amp;DATE(2026,5,7))</f>
        <v>0</v>
      </c>
      <c r="EQ109">
        <f>COUNTIFS('DRAFT 2'!$D:$D,$B109,'DRAFT 2'!$A:$A,"&gt;="&amp;DATE(2026,5,8),'DRAFT 2'!$A:$A,"&lt;="&amp;DATE(2026,5,14))</f>
        <v>0</v>
      </c>
      <c r="ER109">
        <f>COUNTIFS('DRAFT 2'!$D:$D,$B109,'DRAFT 2'!$A:$A,"&gt;="&amp;DATE(2026,5,15),'DRAFT 2'!$A:$A,"&lt;="&amp;DATE(2026,5,21))</f>
        <v>0</v>
      </c>
      <c r="ES109">
        <f>COUNTIFS('DRAFT 2'!$D:$D,$B109,'DRAFT 2'!$A:$A,"&gt;="&amp;DATE(2026,5,22),'DRAFT 2'!$A:$A,"&lt;"&amp;DATE(2026,IF(5=12,5+1,5+1),1))</f>
        <v>0</v>
      </c>
      <c r="ET109">
        <f t="shared" si="48"/>
        <v>0</v>
      </c>
      <c r="FD109">
        <f>IFERROR(LOOKUP(2,1/('DRAFT 2'!$D:$D=$B109)*('DRAFT 2'!$A:$A&gt;=DATE(2026,6,1))*('DRAFT 2'!$A:$A&lt;DATE(2026,IF(6=12,6+1,6+1),1)),'DRAFT 2'!$A:$A),"")</f>
        <v>0</v>
      </c>
      <c r="FE109">
        <f>COUNTIFS('DRAFT 2'!$D:$D,$B109,'DRAFT 2'!$A:$A,"&gt;="&amp;DATE(2026,6,1),'DRAFT 2'!$A:$A,"&lt;="&amp;DATE(2026,6,7))</f>
        <v>0</v>
      </c>
      <c r="FF109">
        <f>COUNTIFS('DRAFT 2'!$D:$D,$B109,'DRAFT 2'!$A:$A,"&gt;="&amp;DATE(2026,6,8),'DRAFT 2'!$A:$A,"&lt;="&amp;DATE(2026,6,14))</f>
        <v>0</v>
      </c>
      <c r="FG109">
        <f>COUNTIFS('DRAFT 2'!$D:$D,$B109,'DRAFT 2'!$A:$A,"&gt;="&amp;DATE(2026,6,15),'DRAFT 2'!$A:$A,"&lt;="&amp;DATE(2026,6,21))</f>
        <v>0</v>
      </c>
      <c r="FH109">
        <f>COUNTIFS('DRAFT 2'!$D:$D,$B109,'DRAFT 2'!$A:$A,"&gt;="&amp;DATE(2026,6,22),'DRAFT 2'!$A:$A,"&lt;"&amp;DATE(2026,IF(6=12,6+1,6+1),1))</f>
        <v>0</v>
      </c>
      <c r="FI109">
        <f t="shared" si="49"/>
        <v>0</v>
      </c>
      <c r="FT109">
        <f>IFERROR(LOOKUP(2,1/('DRAFT 2'!$D:$D=$B109)*('DRAFT 2'!$A:$A&gt;=DATE(2026,7,1))*('DRAFT 2'!$A:$A&lt;DATE(2026,IF(7=12,7+1,7+1),1)),'DRAFT 2'!$A:$A),"")</f>
        <v>0</v>
      </c>
      <c r="FU109">
        <f>COUNTIFS('DRAFT 2'!$D:$D,$B109,'DRAFT 2'!$A:$A,"&gt;="&amp;DATE(2026,7,1),'DRAFT 2'!$A:$A,"&lt;="&amp;DATE(2026,7,7))</f>
        <v>0</v>
      </c>
      <c r="FV109">
        <f>COUNTIFS('DRAFT 2'!$D:$D,$B109,'DRAFT 2'!$A:$A,"&gt;="&amp;DATE(2026,7,8),'DRAFT 2'!$A:$A,"&lt;="&amp;DATE(2026,7,14))</f>
        <v>0</v>
      </c>
      <c r="FW109">
        <f>COUNTIFS('DRAFT 2'!$D:$D,$B109,'DRAFT 2'!$A:$A,"&gt;="&amp;DATE(2026,7,15),'DRAFT 2'!$A:$A,"&lt;="&amp;DATE(2026,7,21))</f>
        <v>0</v>
      </c>
      <c r="FX109">
        <f>COUNTIFS('DRAFT 2'!$D:$D,$B109,'DRAFT 2'!$A:$A,"&gt;="&amp;DATE(2026,7,22),'DRAFT 2'!$A:$A,"&lt;"&amp;DATE(2026,IF(7=12,7+1,7+1),1))</f>
        <v>0</v>
      </c>
      <c r="FY109">
        <f t="shared" si="50"/>
        <v>0</v>
      </c>
      <c r="GI109">
        <f>IFERROR(LOOKUP(2,1/('DRAFT 2'!$D:$D=$B109)*('DRAFT 2'!$A:$A&gt;=DATE(2026,8,1))*('DRAFT 2'!$A:$A&lt;DATE(2026,IF(8=12,8+1,8+1),1)),'DRAFT 2'!$A:$A),"")</f>
        <v>0</v>
      </c>
      <c r="GJ109">
        <f>COUNTIFS('DRAFT 2'!$D:$D,$B109,'DRAFT 2'!$A:$A,"&gt;="&amp;DATE(2026,8,1),'DRAFT 2'!$A:$A,"&lt;="&amp;DATE(2026,8,7))</f>
        <v>0</v>
      </c>
      <c r="GK109">
        <f>COUNTIFS('DRAFT 2'!$D:$D,$B109,'DRAFT 2'!$A:$A,"&gt;="&amp;DATE(2026,8,8),'DRAFT 2'!$A:$A,"&lt;="&amp;DATE(2026,8,14))</f>
        <v>0</v>
      </c>
      <c r="GL109">
        <f>COUNTIFS('DRAFT 2'!$D:$D,$B109,'DRAFT 2'!$A:$A,"&gt;="&amp;DATE(2026,8,15),'DRAFT 2'!$A:$A,"&lt;="&amp;DATE(2026,8,21))</f>
        <v>0</v>
      </c>
      <c r="GM109">
        <f>COUNTIFS('DRAFT 2'!$D:$D,$B109,'DRAFT 2'!$A:$A,"&gt;="&amp;DATE(2026,8,22),'DRAFT 2'!$A:$A,"&lt;"&amp;DATE(2026,IF(8=12,8+1,8+1),1))</f>
        <v>0</v>
      </c>
      <c r="GN109">
        <f t="shared" si="51"/>
        <v>0</v>
      </c>
      <c r="GX109">
        <f>IFERROR(LOOKUP(2,1/('DRAFT 2'!$D:$D=$B109)*('DRAFT 2'!$A:$A&gt;=DATE(2026,9,1))*('DRAFT 2'!$A:$A&lt;DATE(2026,IF(9=12,9+1,9+1),1)),'DRAFT 2'!$A:$A),"")</f>
        <v>0</v>
      </c>
      <c r="GY109">
        <f>COUNTIFS('DRAFT 2'!$D:$D,$B109,'DRAFT 2'!$A:$A,"&gt;="&amp;DATE(2026,9,1),'DRAFT 2'!$A:$A,"&lt;="&amp;DATE(2026,9,7))</f>
        <v>0</v>
      </c>
      <c r="GZ109">
        <f>COUNTIFS('DRAFT 2'!$D:$D,$B109,'DRAFT 2'!$A:$A,"&gt;="&amp;DATE(2026,9,8),'DRAFT 2'!$A:$A,"&lt;="&amp;DATE(2026,9,14))</f>
        <v>0</v>
      </c>
      <c r="HA109">
        <f>COUNTIFS('DRAFT 2'!$D:$D,$B109,'DRAFT 2'!$A:$A,"&gt;="&amp;DATE(2026,9,15),'DRAFT 2'!$A:$A,"&lt;="&amp;DATE(2026,9,21))</f>
        <v>0</v>
      </c>
      <c r="HB109">
        <f>COUNTIFS('DRAFT 2'!$D:$D,$B109,'DRAFT 2'!$A:$A,"&gt;="&amp;DATE(2026,9,22),'DRAFT 2'!$A:$A,"&lt;"&amp;DATE(2026,IF(9=12,9+1,9+1),1))</f>
        <v>0</v>
      </c>
      <c r="HC109">
        <f t="shared" si="52"/>
        <v>0</v>
      </c>
      <c r="HN109">
        <f>IFERROR(LOOKUP(2,1/('DRAFT 2'!$D:$D=$B109)*('DRAFT 2'!$A:$A&gt;=DATE(2026,10,1))*('DRAFT 2'!$A:$A&lt;DATE(2026,IF(10=12,10+1,10+1),1)),'DRAFT 2'!$A:$A),"")</f>
        <v>0</v>
      </c>
      <c r="HO109">
        <f>COUNTIFS('DRAFT 2'!$D:$D,$B109,'DRAFT 2'!$A:$A,"&gt;="&amp;DATE(2026,10,1),'DRAFT 2'!$A:$A,"&lt;="&amp;DATE(2026,10,7))</f>
        <v>0</v>
      </c>
      <c r="HP109">
        <f>COUNTIFS('DRAFT 2'!$D:$D,$B109,'DRAFT 2'!$A:$A,"&gt;="&amp;DATE(2026,10,8),'DRAFT 2'!$A:$A,"&lt;="&amp;DATE(2026,10,14))</f>
        <v>0</v>
      </c>
      <c r="HQ109">
        <f>COUNTIFS('DRAFT 2'!$D:$D,$B109,'DRAFT 2'!$A:$A,"&gt;="&amp;DATE(2026,10,15),'DRAFT 2'!$A:$A,"&lt;="&amp;DATE(2026,10,21))</f>
        <v>0</v>
      </c>
      <c r="HR109">
        <f>COUNTIFS('DRAFT 2'!$D:$D,$B109,'DRAFT 2'!$A:$A,"&gt;="&amp;DATE(2026,10,22),'DRAFT 2'!$A:$A,"&lt;"&amp;DATE(2026,IF(10=12,10+1,10+1),1))</f>
        <v>0</v>
      </c>
      <c r="HS109">
        <f t="shared" si="53"/>
        <v>0</v>
      </c>
      <c r="IC109">
        <f>IFERROR(LOOKUP(2,1/('DRAFT 2'!$D:$D=$B109)*('DRAFT 2'!$A:$A&gt;=DATE(2026,11,1))*('DRAFT 2'!$A:$A&lt;DATE(2026,IF(11=12,11+1,11+1),1)),'DRAFT 2'!$A:$A),"")</f>
        <v>0</v>
      </c>
      <c r="ID109">
        <f>COUNTIFS('DRAFT 2'!$D:$D,$B109,'DRAFT 2'!$A:$A,"&gt;="&amp;DATE(2026,11,1),'DRAFT 2'!$A:$A,"&lt;="&amp;DATE(2026,11,7))</f>
        <v>0</v>
      </c>
      <c r="IE109">
        <f>COUNTIFS('DRAFT 2'!$D:$D,$B109,'DRAFT 2'!$A:$A,"&gt;="&amp;DATE(2026,11,8),'DRAFT 2'!$A:$A,"&lt;="&amp;DATE(2026,11,14))</f>
        <v>0</v>
      </c>
      <c r="IF109">
        <f>COUNTIFS('DRAFT 2'!$D:$D,$B109,'DRAFT 2'!$A:$A,"&gt;="&amp;DATE(2026,11,15),'DRAFT 2'!$A:$A,"&lt;="&amp;DATE(2026,11,21))</f>
        <v>0</v>
      </c>
      <c r="IG109">
        <f>COUNTIFS('DRAFT 2'!$D:$D,$B109,'DRAFT 2'!$A:$A,"&gt;="&amp;DATE(2026,11,22),'DRAFT 2'!$A:$A,"&lt;"&amp;DATE(2026,IF(11=12,11+1,11+1),1))</f>
        <v>0</v>
      </c>
      <c r="IH109">
        <f t="shared" si="54"/>
        <v>0</v>
      </c>
      <c r="IR109">
        <f>IFERROR(LOOKUP(2,1/('DRAFT 2'!$D:$D=$B109)*('DRAFT 2'!$A:$A&gt;=DATE(2026,12,1))*('DRAFT 2'!$A:$A&lt;DATE(2026,IF(12=12,12+1,12+1),1)),'DRAFT 2'!$A:$A),"")</f>
        <v>0</v>
      </c>
      <c r="IS109">
        <f>COUNTIFS('DRAFT 2'!$D:$D,$B109,'DRAFT 2'!$A:$A,"&gt;="&amp;DATE(2026,12,1),'DRAFT 2'!$A:$A,"&lt;="&amp;DATE(2026,12,7))</f>
        <v>0</v>
      </c>
      <c r="IT109">
        <f>COUNTIFS('DRAFT 2'!$D:$D,$B109,'DRAFT 2'!$A:$A,"&gt;="&amp;DATE(2026,12,8),'DRAFT 2'!$A:$A,"&lt;="&amp;DATE(2026,12,14))</f>
        <v>0</v>
      </c>
      <c r="IU109">
        <f>COUNTIFS('DRAFT 2'!$D:$D,$B109,'DRAFT 2'!$A:$A,"&gt;="&amp;DATE(2026,12,15),'DRAFT 2'!$A:$A,"&lt;="&amp;DATE(2026,12,21))</f>
        <v>0</v>
      </c>
      <c r="IV109">
        <f>COUNTIFS('DRAFT 2'!$D:$D,$B109,'DRAFT 2'!$A:$A,"&gt;="&amp;DATE(2026,12,22),'DRAFT 2'!$A:$A,"&lt;"&amp;DATE(2026,IF(12=12,12+1,12+1),1))</f>
        <v>0</v>
      </c>
      <c r="IW109">
        <f t="shared" si="55"/>
        <v>0</v>
      </c>
    </row>
    <row r="110" spans="1:257" x14ac:dyDescent="0.3">
      <c r="A110" t="str">
        <f>IFERROR(INDEX('DRAFT 1'!$A:$A,MATCH($B110,'DRAFT 1'!$B:$B,0)),"")</f>
        <v/>
      </c>
      <c r="C110" t="str">
        <f>IFERROR(INDEX('DRAFT 1'!$C:$C,MATCH($B110,'DRAFT 1'!$B:$B,0)),"")</f>
        <v/>
      </c>
      <c r="D110" t="str">
        <f>IFERROR(INDEX('DRAFT 1'!$D:$D,MATCH($B110,'DRAFT 1'!$B:$B,0)),"")</f>
        <v/>
      </c>
      <c r="E110" t="str">
        <f>IFERROR(INDEX('DRAFT 1'!$E:$E,MATCH($B110,'DRAFT 1'!$B:$B,0)),"")</f>
        <v/>
      </c>
      <c r="F110" t="str">
        <f>IFERROR(INDEX('DRAFT 1'!$F:$F,MATCH($B110,'DRAFT 1'!$B:$B,0)),"")</f>
        <v/>
      </c>
      <c r="G110" t="str">
        <f>IFERROR(INDEX('DRAFT 1'!$G:$G,MATCH($B110,'DRAFT 1'!$B:$B,0)),"")</f>
        <v/>
      </c>
      <c r="H110" t="str">
        <f>IFERROR(INDEX('DRAFT 1'!$H:$H,MATCH($B110,'DRAFT 1'!$B:$B,0)),"")</f>
        <v/>
      </c>
      <c r="I110" t="s">
        <v>283</v>
      </c>
      <c r="K110" t="str">
        <f>IFERROR(INDEX('DRAFT 1'!$AL:$AL,MATCH($B110,'DRAFT 1'!$B:$B,0)),"")</f>
        <v/>
      </c>
      <c r="L110" t="str">
        <f>IFERROR(INDEX('DRAFT 1'!$J:$J,MATCH($B110,'DRAFT 1'!$B:$B,0)),"")</f>
        <v/>
      </c>
      <c r="M110" t="str">
        <f>IFERROR(INDEX('DRAFT 1'!$K:$K,MATCH($B110,'DRAFT 1'!$B:$B,0)),"")</f>
        <v/>
      </c>
      <c r="N110" t="s">
        <v>82</v>
      </c>
      <c r="P110" t="str">
        <f>IFERROR(INDEX('DRAFT 1'!$L:$L,MATCH($B110,'DRAFT 1'!$B:$B,0)),"")</f>
        <v/>
      </c>
      <c r="Q110" t="str">
        <f>IFERROR(INDEX('DRAFT 1'!$M:$M,MATCH($B110,'DRAFT 1'!$B:$B,0)),"")</f>
        <v/>
      </c>
      <c r="R110" t="str">
        <f>IFERROR(INDEX('DRAFT 1'!$N:$N,MATCH($B110,'DRAFT 1'!$B:$B,0)),"")</f>
        <v/>
      </c>
      <c r="S110" t="str">
        <f>IFERROR(INDEX('DRAFT 1'!$O:$O,MATCH($B110,'DRAFT 1'!$B:$B,0)),"")</f>
        <v/>
      </c>
      <c r="T110" t="str">
        <f>IFERROR(INDEX('DRAFT 1'!$P:$P,MATCH($B110,'DRAFT 1'!$B:$B,0)),"")</f>
        <v/>
      </c>
      <c r="U110" t="str">
        <f>IFERROR(INDEX('DRAFT 1'!$Q:$Q,MATCH($B110,'DRAFT 1'!$B:$B,0)),"")</f>
        <v/>
      </c>
      <c r="V110" t="str">
        <f>IFERROR(INDEX('DRAFT 1'!$R:$R,MATCH($B110,'DRAFT 1'!$B:$B,0)),"")</f>
        <v/>
      </c>
      <c r="W110" t="str">
        <f>IFERROR(INDEX('DRAFT 1'!$S:$S,MATCH($B110,'DRAFT 1'!$B:$B,0)),"")</f>
        <v/>
      </c>
      <c r="X110" t="str">
        <f>IFERROR(INDEX('DRAFT 1'!$T:$T,MATCH($B110,'DRAFT 1'!$B:$B,0)),"")</f>
        <v/>
      </c>
      <c r="Z110" t="str">
        <f>IFERROR(INDEX('DRAFT 1'!$U:$U,MATCH($B110,'DRAFT 1'!$B:$B,0)),"")</f>
        <v/>
      </c>
      <c r="AA110" t="str">
        <f>IFERROR(INDEX('DRAFT 1'!$V:$V,MATCH($B110,'DRAFT 1'!$B:$B,0)),"")</f>
        <v/>
      </c>
      <c r="AB110" t="str">
        <f>IFERROR(INDEX('DRAFT 1'!$W:$W,MATCH($B110,'DRAFT 1'!$B:$B,0)),"")</f>
        <v/>
      </c>
      <c r="AC110" t="str">
        <f>IFERROR(INDEX('DRAFT 1'!$X:$X,MATCH($B110,'DRAFT 1'!$B:$B,0)),"")</f>
        <v/>
      </c>
      <c r="AD110" t="str">
        <f>IFERROR(INDEX('DRAFT 1'!$Y:$Y,MATCH($B110,'DRAFT 1'!$B:$B,0)),"")</f>
        <v/>
      </c>
      <c r="AE110" t="str">
        <f>IFERROR(INDEX('DRAFT 1'!$Z:$Z,MATCH($B110,'DRAFT 1'!$B:$B,0)),"")</f>
        <v/>
      </c>
      <c r="AF110" t="str">
        <f>IFERROR(INDEX('DRAFT 1'!$AA:$AA,MATCH($B110,'DRAFT 1'!$B:$B,0)),"")</f>
        <v/>
      </c>
      <c r="AG110" t="str">
        <f>IFERROR(INDEX('DRAFT 1'!$AB:$AB,MATCH($B110,'DRAFT 1'!$B:$B,0)),"")</f>
        <v/>
      </c>
      <c r="AH110" t="str">
        <f>IFERROR(INDEX('DRAFT 1'!$AC:$AC,MATCH($B110,'DRAFT 1'!$B:$B,0)),"")</f>
        <v/>
      </c>
      <c r="AI110" t="str">
        <f>IFERROR(INDEX('DRAFT 1'!$AD:$AD,MATCH($B110,'DRAFT 1'!$B:$B,0)),"")</f>
        <v/>
      </c>
      <c r="AJ110" t="str">
        <f>IFERROR(INDEX('DRAFT 1'!$AE:$AE,MATCH($B110,'DRAFT 1'!$B:$B,0)),"")</f>
        <v/>
      </c>
      <c r="AK110" t="str">
        <f>IFERROR(INDEX('DRAFT 1'!$AG:$AG,MATCH($B110,'DRAFT 1'!$B:$B,0)),"")</f>
        <v/>
      </c>
      <c r="AL110" t="str">
        <f>IFERROR(INDEX('DRAFT 1'!$AH:$AH,MATCH($B110,'DRAFT 1'!$B:$B,0)),"")</f>
        <v/>
      </c>
      <c r="AM110" t="str">
        <f>IFERROR(INDEX('DRAFT 1'!$AI:$AI,MATCH($B110,'DRAFT 1'!$B:$B,0)),"")</f>
        <v/>
      </c>
      <c r="AN110" t="str">
        <f>IFERROR(INDEX('DRAFT 1'!$AJ:$AJ,MATCH($B110,'DRAFT 1'!$B:$B,0)),"")</f>
        <v/>
      </c>
      <c r="AO110">
        <f t="shared" si="42"/>
        <v>0</v>
      </c>
      <c r="AP110" t="str">
        <f>IFERROR(INDEX('DRAFT 1'!$AK:$AK,MATCH($B110,'DRAFT 1'!$B:$B,0)),"")</f>
        <v/>
      </c>
      <c r="AR110" t="s">
        <v>91</v>
      </c>
      <c r="AS110">
        <f>IFERROR(LOOKUP(2,1/('DRAFT 2'!$D:$D=$B110),'DRAFT 2'!$T:$T),"")</f>
        <v>0</v>
      </c>
      <c r="AT110">
        <f>IFERROR(LOOKUP(2,1/('DRAFT 2'!$D:$D=$B110),'DRAFT 2'!$A:$A),"")</f>
        <v>0</v>
      </c>
      <c r="AU110">
        <f>IFERROR(LOOKUP(2,1/('DRAFT 2'!$D:$D=$B110),'DRAFT 2'!$R:$R),"")</f>
        <v>0</v>
      </c>
      <c r="AV110">
        <f>IFERROR(LOOKUP(2,1/('DRAFT 2'!$D:$D=$B110),'DRAFT 2'!$S:$S),"")</f>
        <v>0</v>
      </c>
      <c r="AW110" t="s">
        <v>82</v>
      </c>
      <c r="AX110">
        <f>IFERROR(LOOKUP(2,1/('DRAFT 2'!$D:$D=$B110),'DRAFT 2'!$M:$M),"")</f>
        <v>0</v>
      </c>
      <c r="AY110">
        <f>IFERROR(LOOKUP(2,1/('DRAFT 2'!$D:$D=$B110),'DRAFT 2'!$K:$K),"")</f>
        <v>0</v>
      </c>
      <c r="BG110">
        <f>IFERROR(LOOKUP(2,1/('DRAFT 2'!$D:$D=$B110),'DRAFT 2'!$U:$U),"")</f>
        <v>0</v>
      </c>
      <c r="BH110">
        <f>IFERROR(LOOKUP(2,1/('DRAFT 2'!$D:$D=$B110),'DRAFT 2'!$V:$V),"")</f>
        <v>0</v>
      </c>
      <c r="CE110" t="str">
        <f t="shared" si="43"/>
        <v/>
      </c>
      <c r="CF110">
        <f>IFERROR(LOOKUP(2,1/('DRAFT 2'!$D:$D=$B110)*('DRAFT 2'!$A:$A&gt;=DATE(2026,1,1))*('DRAFT 2'!$A:$A&lt;DATE(2026,IF(1=12,1+1,1+1),1)),'DRAFT 2'!$A:$A),"")</f>
        <v>0</v>
      </c>
      <c r="CG110">
        <f>COUNTIFS('DRAFT 2'!$D:$D,$B110,'DRAFT 2'!$A:$A,"&gt;="&amp;DATE(2026,1,1),'DRAFT 2'!$A:$A,"&lt;="&amp;DATE(2026,1,7))</f>
        <v>0</v>
      </c>
      <c r="CH110">
        <f>COUNTIFS('DRAFT 2'!$D:$D,$B110,'DRAFT 2'!$A:$A,"&gt;="&amp;DATE(2026,1,8),'DRAFT 2'!$A:$A,"&lt;="&amp;DATE(2026,1,14))</f>
        <v>0</v>
      </c>
      <c r="CI110">
        <f>COUNTIFS('DRAFT 2'!$D:$D,$B110,'DRAFT 2'!$A:$A,"&gt;="&amp;DATE(2026,1,15),'DRAFT 2'!$A:$A,"&lt;="&amp;DATE(2026,1,21))</f>
        <v>0</v>
      </c>
      <c r="CJ110">
        <f>COUNTIFS('DRAFT 2'!$D:$D,$B110,'DRAFT 2'!$A:$A,"&gt;="&amp;DATE(2026,1,22),'DRAFT 2'!$A:$A,"&lt;"&amp;DATE(2026,IF(1=12,1+1,1+1),1))</f>
        <v>0</v>
      </c>
      <c r="CK110">
        <f t="shared" si="44"/>
        <v>0</v>
      </c>
      <c r="CT110">
        <v>0</v>
      </c>
      <c r="CU110">
        <f>IFERROR(LOOKUP(2,1/('DRAFT 2'!$D:$D=$B110)*('DRAFT 2'!$A:$A&gt;=DATE(2026,2,1))*('DRAFT 2'!$A:$A&lt;DATE(2026,IF(2=12,2+1,2+1),1)),'DRAFT 2'!$A:$A),"")</f>
        <v>0</v>
      </c>
      <c r="CV110">
        <f>COUNTIFS('DRAFT 2'!$D:$D,$B110,'DRAFT 2'!$A:$A,"&gt;="&amp;DATE(2026,2,1),'DRAFT 2'!$A:$A,"&lt;="&amp;DATE(2026,2,7))</f>
        <v>0</v>
      </c>
      <c r="CW110">
        <f>COUNTIFS('DRAFT 2'!$D:$D,$B110,'DRAFT 2'!$A:$A,"&gt;="&amp;DATE(2026,2,8),'DRAFT 2'!$A:$A,"&lt;="&amp;DATE(2026,2,14))</f>
        <v>0</v>
      </c>
      <c r="CX110">
        <f>COUNTIFS('DRAFT 2'!$D:$D,$B110,'DRAFT 2'!$A:$A,"&gt;="&amp;DATE(2026,2,15),'DRAFT 2'!$A:$A,"&lt;="&amp;DATE(2026,2,21))</f>
        <v>0</v>
      </c>
      <c r="CY110">
        <f>COUNTIFS('DRAFT 2'!$D:$D,$B110,'DRAFT 2'!$A:$A,"&gt;="&amp;DATE(2026,2,22),'DRAFT 2'!$A:$A,"&lt;"&amp;DATE(2026,IF(2=12,2+1,2+1),1))</f>
        <v>0</v>
      </c>
      <c r="CZ110">
        <f t="shared" si="45"/>
        <v>0</v>
      </c>
      <c r="DJ110">
        <f>IFERROR(LOOKUP(2,1/('DRAFT 2'!$D:$D=$B110)*('DRAFT 2'!$A:$A&gt;=DATE(2026,3,1))*('DRAFT 2'!$A:$A&lt;DATE(2026,IF(3=12,3+1,3+1),1)),'DRAFT 2'!$A:$A),"")</f>
        <v>0</v>
      </c>
      <c r="DK110">
        <f>COUNTIFS('DRAFT 2'!$D:$D,$B110,'DRAFT 2'!$A:$A,"&gt;="&amp;DATE(2026,3,1),'DRAFT 2'!$A:$A,"&lt;="&amp;DATE(2026,3,7))</f>
        <v>0</v>
      </c>
      <c r="DL110">
        <f>COUNTIFS('DRAFT 2'!$D:$D,$B110,'DRAFT 2'!$A:$A,"&gt;="&amp;DATE(2026,3,8),'DRAFT 2'!$A:$A,"&lt;="&amp;DATE(2026,3,14))</f>
        <v>0</v>
      </c>
      <c r="DM110">
        <f>COUNTIFS('DRAFT 2'!$D:$D,$B110,'DRAFT 2'!$A:$A,"&gt;="&amp;DATE(2026,3,15),'DRAFT 2'!$A:$A,"&lt;="&amp;DATE(2026,3,21))</f>
        <v>0</v>
      </c>
      <c r="DN110">
        <f>COUNTIFS('DRAFT 2'!$D:$D,$B110,'DRAFT 2'!$A:$A,"&gt;="&amp;DATE(2026,3,22),'DRAFT 2'!$A:$A,"&lt;"&amp;DATE(2026,IF(3=12,3+1,3+1),1))</f>
        <v>0</v>
      </c>
      <c r="DO110">
        <f t="shared" si="46"/>
        <v>0</v>
      </c>
      <c r="DZ110">
        <f>IFERROR(LOOKUP(2,1/('DRAFT 2'!$D:$D=$B110)*('DRAFT 2'!$A:$A&gt;=DATE(2026,4,1))*('DRAFT 2'!$A:$A&lt;DATE(2026,IF(4=12,4+1,4+1),1)),'DRAFT 2'!$A:$A),"")</f>
        <v>0</v>
      </c>
      <c r="EA110">
        <f>COUNTIFS('DRAFT 2'!$D:$D,$B110,'DRAFT 2'!$A:$A,"&gt;="&amp;DATE(2026,4,1),'DRAFT 2'!$A:$A,"&lt;="&amp;DATE(2026,4,7))</f>
        <v>0</v>
      </c>
      <c r="EB110">
        <f>COUNTIFS('DRAFT 2'!$D:$D,$B110,'DRAFT 2'!$A:$A,"&gt;="&amp;DATE(2026,4,8),'DRAFT 2'!$A:$A,"&lt;="&amp;DATE(2026,4,14))</f>
        <v>0</v>
      </c>
      <c r="EC110">
        <f>COUNTIFS('DRAFT 2'!$D:$D,$B110,'DRAFT 2'!$A:$A,"&gt;="&amp;DATE(2026,4,15),'DRAFT 2'!$A:$A,"&lt;="&amp;DATE(2026,4,21))</f>
        <v>0</v>
      </c>
      <c r="ED110">
        <f>COUNTIFS('DRAFT 2'!$D:$D,$B110,'DRAFT 2'!$A:$A,"&gt;="&amp;DATE(2026,4,22),'DRAFT 2'!$A:$A,"&lt;"&amp;DATE(2026,IF(4=12,4+1,4+1),1))</f>
        <v>0</v>
      </c>
      <c r="EE110">
        <f t="shared" si="47"/>
        <v>0</v>
      </c>
      <c r="EO110">
        <f>IFERROR(LOOKUP(2,1/('DRAFT 2'!$D:$D=$B110)*('DRAFT 2'!$A:$A&gt;=DATE(2026,5,1))*('DRAFT 2'!$A:$A&lt;DATE(2026,IF(5=12,5+1,5+1),1)),'DRAFT 2'!$A:$A),"")</f>
        <v>0</v>
      </c>
      <c r="EP110">
        <f>COUNTIFS('DRAFT 2'!$D:$D,$B110,'DRAFT 2'!$A:$A,"&gt;="&amp;DATE(2026,5,1),'DRAFT 2'!$A:$A,"&lt;="&amp;DATE(2026,5,7))</f>
        <v>0</v>
      </c>
      <c r="EQ110">
        <f>COUNTIFS('DRAFT 2'!$D:$D,$B110,'DRAFT 2'!$A:$A,"&gt;="&amp;DATE(2026,5,8),'DRAFT 2'!$A:$A,"&lt;="&amp;DATE(2026,5,14))</f>
        <v>0</v>
      </c>
      <c r="ER110">
        <f>COUNTIFS('DRAFT 2'!$D:$D,$B110,'DRAFT 2'!$A:$A,"&gt;="&amp;DATE(2026,5,15),'DRAFT 2'!$A:$A,"&lt;="&amp;DATE(2026,5,21))</f>
        <v>0</v>
      </c>
      <c r="ES110">
        <f>COUNTIFS('DRAFT 2'!$D:$D,$B110,'DRAFT 2'!$A:$A,"&gt;="&amp;DATE(2026,5,22),'DRAFT 2'!$A:$A,"&lt;"&amp;DATE(2026,IF(5=12,5+1,5+1),1))</f>
        <v>0</v>
      </c>
      <c r="ET110">
        <f t="shared" si="48"/>
        <v>0</v>
      </c>
      <c r="FD110">
        <f>IFERROR(LOOKUP(2,1/('DRAFT 2'!$D:$D=$B110)*('DRAFT 2'!$A:$A&gt;=DATE(2026,6,1))*('DRAFT 2'!$A:$A&lt;DATE(2026,IF(6=12,6+1,6+1),1)),'DRAFT 2'!$A:$A),"")</f>
        <v>0</v>
      </c>
      <c r="FE110">
        <f>COUNTIFS('DRAFT 2'!$D:$D,$B110,'DRAFT 2'!$A:$A,"&gt;="&amp;DATE(2026,6,1),'DRAFT 2'!$A:$A,"&lt;="&amp;DATE(2026,6,7))</f>
        <v>0</v>
      </c>
      <c r="FF110">
        <f>COUNTIFS('DRAFT 2'!$D:$D,$B110,'DRAFT 2'!$A:$A,"&gt;="&amp;DATE(2026,6,8),'DRAFT 2'!$A:$A,"&lt;="&amp;DATE(2026,6,14))</f>
        <v>0</v>
      </c>
      <c r="FG110">
        <f>COUNTIFS('DRAFT 2'!$D:$D,$B110,'DRAFT 2'!$A:$A,"&gt;="&amp;DATE(2026,6,15),'DRAFT 2'!$A:$A,"&lt;="&amp;DATE(2026,6,21))</f>
        <v>0</v>
      </c>
      <c r="FH110">
        <f>COUNTIFS('DRAFT 2'!$D:$D,$B110,'DRAFT 2'!$A:$A,"&gt;="&amp;DATE(2026,6,22),'DRAFT 2'!$A:$A,"&lt;"&amp;DATE(2026,IF(6=12,6+1,6+1),1))</f>
        <v>0</v>
      </c>
      <c r="FI110">
        <f t="shared" si="49"/>
        <v>0</v>
      </c>
      <c r="FT110">
        <f>IFERROR(LOOKUP(2,1/('DRAFT 2'!$D:$D=$B110)*('DRAFT 2'!$A:$A&gt;=DATE(2026,7,1))*('DRAFT 2'!$A:$A&lt;DATE(2026,IF(7=12,7+1,7+1),1)),'DRAFT 2'!$A:$A),"")</f>
        <v>0</v>
      </c>
      <c r="FU110">
        <f>COUNTIFS('DRAFT 2'!$D:$D,$B110,'DRAFT 2'!$A:$A,"&gt;="&amp;DATE(2026,7,1),'DRAFT 2'!$A:$A,"&lt;="&amp;DATE(2026,7,7))</f>
        <v>0</v>
      </c>
      <c r="FV110">
        <f>COUNTIFS('DRAFT 2'!$D:$D,$B110,'DRAFT 2'!$A:$A,"&gt;="&amp;DATE(2026,7,8),'DRAFT 2'!$A:$A,"&lt;="&amp;DATE(2026,7,14))</f>
        <v>0</v>
      </c>
      <c r="FW110">
        <f>COUNTIFS('DRAFT 2'!$D:$D,$B110,'DRAFT 2'!$A:$A,"&gt;="&amp;DATE(2026,7,15),'DRAFT 2'!$A:$A,"&lt;="&amp;DATE(2026,7,21))</f>
        <v>0</v>
      </c>
      <c r="FX110">
        <f>COUNTIFS('DRAFT 2'!$D:$D,$B110,'DRAFT 2'!$A:$A,"&gt;="&amp;DATE(2026,7,22),'DRAFT 2'!$A:$A,"&lt;"&amp;DATE(2026,IF(7=12,7+1,7+1),1))</f>
        <v>0</v>
      </c>
      <c r="FY110">
        <f t="shared" si="50"/>
        <v>0</v>
      </c>
      <c r="GI110">
        <f>IFERROR(LOOKUP(2,1/('DRAFT 2'!$D:$D=$B110)*('DRAFT 2'!$A:$A&gt;=DATE(2026,8,1))*('DRAFT 2'!$A:$A&lt;DATE(2026,IF(8=12,8+1,8+1),1)),'DRAFT 2'!$A:$A),"")</f>
        <v>0</v>
      </c>
      <c r="GJ110">
        <f>COUNTIFS('DRAFT 2'!$D:$D,$B110,'DRAFT 2'!$A:$A,"&gt;="&amp;DATE(2026,8,1),'DRAFT 2'!$A:$A,"&lt;="&amp;DATE(2026,8,7))</f>
        <v>0</v>
      </c>
      <c r="GK110">
        <f>COUNTIFS('DRAFT 2'!$D:$D,$B110,'DRAFT 2'!$A:$A,"&gt;="&amp;DATE(2026,8,8),'DRAFT 2'!$A:$A,"&lt;="&amp;DATE(2026,8,14))</f>
        <v>0</v>
      </c>
      <c r="GL110">
        <f>COUNTIFS('DRAFT 2'!$D:$D,$B110,'DRAFT 2'!$A:$A,"&gt;="&amp;DATE(2026,8,15),'DRAFT 2'!$A:$A,"&lt;="&amp;DATE(2026,8,21))</f>
        <v>0</v>
      </c>
      <c r="GM110">
        <f>COUNTIFS('DRAFT 2'!$D:$D,$B110,'DRAFT 2'!$A:$A,"&gt;="&amp;DATE(2026,8,22),'DRAFT 2'!$A:$A,"&lt;"&amp;DATE(2026,IF(8=12,8+1,8+1),1))</f>
        <v>0</v>
      </c>
      <c r="GN110">
        <f t="shared" si="51"/>
        <v>0</v>
      </c>
      <c r="GX110">
        <f>IFERROR(LOOKUP(2,1/('DRAFT 2'!$D:$D=$B110)*('DRAFT 2'!$A:$A&gt;=DATE(2026,9,1))*('DRAFT 2'!$A:$A&lt;DATE(2026,IF(9=12,9+1,9+1),1)),'DRAFT 2'!$A:$A),"")</f>
        <v>0</v>
      </c>
      <c r="GY110">
        <f>COUNTIFS('DRAFT 2'!$D:$D,$B110,'DRAFT 2'!$A:$A,"&gt;="&amp;DATE(2026,9,1),'DRAFT 2'!$A:$A,"&lt;="&amp;DATE(2026,9,7))</f>
        <v>0</v>
      </c>
      <c r="GZ110">
        <f>COUNTIFS('DRAFT 2'!$D:$D,$B110,'DRAFT 2'!$A:$A,"&gt;="&amp;DATE(2026,9,8),'DRAFT 2'!$A:$A,"&lt;="&amp;DATE(2026,9,14))</f>
        <v>0</v>
      </c>
      <c r="HA110">
        <f>COUNTIFS('DRAFT 2'!$D:$D,$B110,'DRAFT 2'!$A:$A,"&gt;="&amp;DATE(2026,9,15),'DRAFT 2'!$A:$A,"&lt;="&amp;DATE(2026,9,21))</f>
        <v>0</v>
      </c>
      <c r="HB110">
        <f>COUNTIFS('DRAFT 2'!$D:$D,$B110,'DRAFT 2'!$A:$A,"&gt;="&amp;DATE(2026,9,22),'DRAFT 2'!$A:$A,"&lt;"&amp;DATE(2026,IF(9=12,9+1,9+1),1))</f>
        <v>0</v>
      </c>
      <c r="HC110">
        <f t="shared" si="52"/>
        <v>0</v>
      </c>
      <c r="HN110">
        <f>IFERROR(LOOKUP(2,1/('DRAFT 2'!$D:$D=$B110)*('DRAFT 2'!$A:$A&gt;=DATE(2026,10,1))*('DRAFT 2'!$A:$A&lt;DATE(2026,IF(10=12,10+1,10+1),1)),'DRAFT 2'!$A:$A),"")</f>
        <v>0</v>
      </c>
      <c r="HO110">
        <f>COUNTIFS('DRAFT 2'!$D:$D,$B110,'DRAFT 2'!$A:$A,"&gt;="&amp;DATE(2026,10,1),'DRAFT 2'!$A:$A,"&lt;="&amp;DATE(2026,10,7))</f>
        <v>0</v>
      </c>
      <c r="HP110">
        <f>COUNTIFS('DRAFT 2'!$D:$D,$B110,'DRAFT 2'!$A:$A,"&gt;="&amp;DATE(2026,10,8),'DRAFT 2'!$A:$A,"&lt;="&amp;DATE(2026,10,14))</f>
        <v>0</v>
      </c>
      <c r="HQ110">
        <f>COUNTIFS('DRAFT 2'!$D:$D,$B110,'DRAFT 2'!$A:$A,"&gt;="&amp;DATE(2026,10,15),'DRAFT 2'!$A:$A,"&lt;="&amp;DATE(2026,10,21))</f>
        <v>0</v>
      </c>
      <c r="HR110">
        <f>COUNTIFS('DRAFT 2'!$D:$D,$B110,'DRAFT 2'!$A:$A,"&gt;="&amp;DATE(2026,10,22),'DRAFT 2'!$A:$A,"&lt;"&amp;DATE(2026,IF(10=12,10+1,10+1),1))</f>
        <v>0</v>
      </c>
      <c r="HS110">
        <f t="shared" si="53"/>
        <v>0</v>
      </c>
      <c r="IC110">
        <f>IFERROR(LOOKUP(2,1/('DRAFT 2'!$D:$D=$B110)*('DRAFT 2'!$A:$A&gt;=DATE(2026,11,1))*('DRAFT 2'!$A:$A&lt;DATE(2026,IF(11=12,11+1,11+1),1)),'DRAFT 2'!$A:$A),"")</f>
        <v>0</v>
      </c>
      <c r="ID110">
        <f>COUNTIFS('DRAFT 2'!$D:$D,$B110,'DRAFT 2'!$A:$A,"&gt;="&amp;DATE(2026,11,1),'DRAFT 2'!$A:$A,"&lt;="&amp;DATE(2026,11,7))</f>
        <v>0</v>
      </c>
      <c r="IE110">
        <f>COUNTIFS('DRAFT 2'!$D:$D,$B110,'DRAFT 2'!$A:$A,"&gt;="&amp;DATE(2026,11,8),'DRAFT 2'!$A:$A,"&lt;="&amp;DATE(2026,11,14))</f>
        <v>0</v>
      </c>
      <c r="IF110">
        <f>COUNTIFS('DRAFT 2'!$D:$D,$B110,'DRAFT 2'!$A:$A,"&gt;="&amp;DATE(2026,11,15),'DRAFT 2'!$A:$A,"&lt;="&amp;DATE(2026,11,21))</f>
        <v>0</v>
      </c>
      <c r="IG110">
        <f>COUNTIFS('DRAFT 2'!$D:$D,$B110,'DRAFT 2'!$A:$A,"&gt;="&amp;DATE(2026,11,22),'DRAFT 2'!$A:$A,"&lt;"&amp;DATE(2026,IF(11=12,11+1,11+1),1))</f>
        <v>0</v>
      </c>
      <c r="IH110">
        <f t="shared" si="54"/>
        <v>0</v>
      </c>
      <c r="IR110">
        <f>IFERROR(LOOKUP(2,1/('DRAFT 2'!$D:$D=$B110)*('DRAFT 2'!$A:$A&gt;=DATE(2026,12,1))*('DRAFT 2'!$A:$A&lt;DATE(2026,IF(12=12,12+1,12+1),1)),'DRAFT 2'!$A:$A),"")</f>
        <v>0</v>
      </c>
      <c r="IS110">
        <f>COUNTIFS('DRAFT 2'!$D:$D,$B110,'DRAFT 2'!$A:$A,"&gt;="&amp;DATE(2026,12,1),'DRAFT 2'!$A:$A,"&lt;="&amp;DATE(2026,12,7))</f>
        <v>0</v>
      </c>
      <c r="IT110">
        <f>COUNTIFS('DRAFT 2'!$D:$D,$B110,'DRAFT 2'!$A:$A,"&gt;="&amp;DATE(2026,12,8),'DRAFT 2'!$A:$A,"&lt;="&amp;DATE(2026,12,14))</f>
        <v>0</v>
      </c>
      <c r="IU110">
        <f>COUNTIFS('DRAFT 2'!$D:$D,$B110,'DRAFT 2'!$A:$A,"&gt;="&amp;DATE(2026,12,15),'DRAFT 2'!$A:$A,"&lt;="&amp;DATE(2026,12,21))</f>
        <v>0</v>
      </c>
      <c r="IV110">
        <f>COUNTIFS('DRAFT 2'!$D:$D,$B110,'DRAFT 2'!$A:$A,"&gt;="&amp;DATE(2026,12,22),'DRAFT 2'!$A:$A,"&lt;"&amp;DATE(2026,IF(12=12,12+1,12+1),1))</f>
        <v>0</v>
      </c>
      <c r="IW110">
        <f t="shared" si="55"/>
        <v>0</v>
      </c>
    </row>
    <row r="111" spans="1:257" x14ac:dyDescent="0.3">
      <c r="A111" t="str">
        <f>IFERROR(INDEX('DRAFT 1'!$A:$A,MATCH($B111,'DRAFT 1'!$B:$B,0)),"")</f>
        <v/>
      </c>
      <c r="C111" t="str">
        <f>IFERROR(INDEX('DRAFT 1'!$C:$C,MATCH($B111,'DRAFT 1'!$B:$B,0)),"")</f>
        <v/>
      </c>
      <c r="D111" t="str">
        <f>IFERROR(INDEX('DRAFT 1'!$D:$D,MATCH($B111,'DRAFT 1'!$B:$B,0)),"")</f>
        <v/>
      </c>
      <c r="E111" t="str">
        <f>IFERROR(INDEX('DRAFT 1'!$E:$E,MATCH($B111,'DRAFT 1'!$B:$B,0)),"")</f>
        <v/>
      </c>
      <c r="F111" t="str">
        <f>IFERROR(INDEX('DRAFT 1'!$F:$F,MATCH($B111,'DRAFT 1'!$B:$B,0)),"")</f>
        <v/>
      </c>
      <c r="G111" t="str">
        <f>IFERROR(INDEX('DRAFT 1'!$G:$G,MATCH($B111,'DRAFT 1'!$B:$B,0)),"")</f>
        <v/>
      </c>
      <c r="H111" t="str">
        <f>IFERROR(INDEX('DRAFT 1'!$H:$H,MATCH($B111,'DRAFT 1'!$B:$B,0)),"")</f>
        <v/>
      </c>
      <c r="I111" t="s">
        <v>286</v>
      </c>
      <c r="K111" t="str">
        <f>IFERROR(INDEX('DRAFT 1'!$AL:$AL,MATCH($B111,'DRAFT 1'!$B:$B,0)),"")</f>
        <v/>
      </c>
      <c r="L111" t="str">
        <f>IFERROR(INDEX('DRAFT 1'!$J:$J,MATCH($B111,'DRAFT 1'!$B:$B,0)),"")</f>
        <v/>
      </c>
      <c r="M111" t="str">
        <f>IFERROR(INDEX('DRAFT 1'!$K:$K,MATCH($B111,'DRAFT 1'!$B:$B,0)),"")</f>
        <v/>
      </c>
      <c r="N111" t="s">
        <v>71</v>
      </c>
      <c r="P111" t="str">
        <f>IFERROR(INDEX('DRAFT 1'!$L:$L,MATCH($B111,'DRAFT 1'!$B:$B,0)),"")</f>
        <v/>
      </c>
      <c r="Q111" t="str">
        <f>IFERROR(INDEX('DRAFT 1'!$M:$M,MATCH($B111,'DRAFT 1'!$B:$B,0)),"")</f>
        <v/>
      </c>
      <c r="R111" t="str">
        <f>IFERROR(INDEX('DRAFT 1'!$N:$N,MATCH($B111,'DRAFT 1'!$B:$B,0)),"")</f>
        <v/>
      </c>
      <c r="S111" t="str">
        <f>IFERROR(INDEX('DRAFT 1'!$O:$O,MATCH($B111,'DRAFT 1'!$B:$B,0)),"")</f>
        <v/>
      </c>
      <c r="T111" t="str">
        <f>IFERROR(INDEX('DRAFT 1'!$P:$P,MATCH($B111,'DRAFT 1'!$B:$B,0)),"")</f>
        <v/>
      </c>
      <c r="U111" t="str">
        <f>IFERROR(INDEX('DRAFT 1'!$Q:$Q,MATCH($B111,'DRAFT 1'!$B:$B,0)),"")</f>
        <v/>
      </c>
      <c r="V111" t="str">
        <f>IFERROR(INDEX('DRAFT 1'!$R:$R,MATCH($B111,'DRAFT 1'!$B:$B,0)),"")</f>
        <v/>
      </c>
      <c r="W111" t="str">
        <f>IFERROR(INDEX('DRAFT 1'!$S:$S,MATCH($B111,'DRAFT 1'!$B:$B,0)),"")</f>
        <v/>
      </c>
      <c r="X111" t="str">
        <f>IFERROR(INDEX('DRAFT 1'!$T:$T,MATCH($B111,'DRAFT 1'!$B:$B,0)),"")</f>
        <v/>
      </c>
      <c r="Z111" t="str">
        <f>IFERROR(INDEX('DRAFT 1'!$U:$U,MATCH($B111,'DRAFT 1'!$B:$B,0)),"")</f>
        <v/>
      </c>
      <c r="AA111" t="str">
        <f>IFERROR(INDEX('DRAFT 1'!$V:$V,MATCH($B111,'DRAFT 1'!$B:$B,0)),"")</f>
        <v/>
      </c>
      <c r="AB111" t="str">
        <f>IFERROR(INDEX('DRAFT 1'!$W:$W,MATCH($B111,'DRAFT 1'!$B:$B,0)),"")</f>
        <v/>
      </c>
      <c r="AC111" t="str">
        <f>IFERROR(INDEX('DRAFT 1'!$X:$X,MATCH($B111,'DRAFT 1'!$B:$B,0)),"")</f>
        <v/>
      </c>
      <c r="AD111" t="str">
        <f>IFERROR(INDEX('DRAFT 1'!$Y:$Y,MATCH($B111,'DRAFT 1'!$B:$B,0)),"")</f>
        <v/>
      </c>
      <c r="AE111" t="str">
        <f>IFERROR(INDEX('DRAFT 1'!$Z:$Z,MATCH($B111,'DRAFT 1'!$B:$B,0)),"")</f>
        <v/>
      </c>
      <c r="AF111" t="str">
        <f>IFERROR(INDEX('DRAFT 1'!$AA:$AA,MATCH($B111,'DRAFT 1'!$B:$B,0)),"")</f>
        <v/>
      </c>
      <c r="AG111" t="str">
        <f>IFERROR(INDEX('DRAFT 1'!$AB:$AB,MATCH($B111,'DRAFT 1'!$B:$B,0)),"")</f>
        <v/>
      </c>
      <c r="AH111" t="str">
        <f>IFERROR(INDEX('DRAFT 1'!$AC:$AC,MATCH($B111,'DRAFT 1'!$B:$B,0)),"")</f>
        <v/>
      </c>
      <c r="AI111" t="str">
        <f>IFERROR(INDEX('DRAFT 1'!$AD:$AD,MATCH($B111,'DRAFT 1'!$B:$B,0)),"")</f>
        <v/>
      </c>
      <c r="AJ111" t="str">
        <f>IFERROR(INDEX('DRAFT 1'!$AE:$AE,MATCH($B111,'DRAFT 1'!$B:$B,0)),"")</f>
        <v/>
      </c>
      <c r="AK111" t="str">
        <f>IFERROR(INDEX('DRAFT 1'!$AG:$AG,MATCH($B111,'DRAFT 1'!$B:$B,0)),"")</f>
        <v/>
      </c>
      <c r="AL111" t="str">
        <f>IFERROR(INDEX('DRAFT 1'!$AH:$AH,MATCH($B111,'DRAFT 1'!$B:$B,0)),"")</f>
        <v/>
      </c>
      <c r="AM111" t="str">
        <f>IFERROR(INDEX('DRAFT 1'!$AI:$AI,MATCH($B111,'DRAFT 1'!$B:$B,0)),"")</f>
        <v/>
      </c>
      <c r="AN111" t="str">
        <f>IFERROR(INDEX('DRAFT 1'!$AJ:$AJ,MATCH($B111,'DRAFT 1'!$B:$B,0)),"")</f>
        <v/>
      </c>
      <c r="AO111">
        <f t="shared" si="42"/>
        <v>0</v>
      </c>
      <c r="AP111" t="str">
        <f>IFERROR(INDEX('DRAFT 1'!$AK:$AK,MATCH($B111,'DRAFT 1'!$B:$B,0)),"")</f>
        <v/>
      </c>
      <c r="AR111" t="s">
        <v>91</v>
      </c>
      <c r="AS111">
        <f>IFERROR(LOOKUP(2,1/('DRAFT 2'!$D:$D=$B111),'DRAFT 2'!$T:$T),"")</f>
        <v>0</v>
      </c>
      <c r="AT111">
        <f>IFERROR(LOOKUP(2,1/('DRAFT 2'!$D:$D=$B111),'DRAFT 2'!$A:$A),"")</f>
        <v>0</v>
      </c>
      <c r="AU111">
        <f>IFERROR(LOOKUP(2,1/('DRAFT 2'!$D:$D=$B111),'DRAFT 2'!$R:$R),"")</f>
        <v>0</v>
      </c>
      <c r="AV111">
        <f>IFERROR(LOOKUP(2,1/('DRAFT 2'!$D:$D=$B111),'DRAFT 2'!$S:$S),"")</f>
        <v>0</v>
      </c>
      <c r="AW111" t="s">
        <v>130</v>
      </c>
      <c r="AX111">
        <f>IFERROR(LOOKUP(2,1/('DRAFT 2'!$D:$D=$B111),'DRAFT 2'!$M:$M),"")</f>
        <v>0</v>
      </c>
      <c r="AY111">
        <f>IFERROR(LOOKUP(2,1/('DRAFT 2'!$D:$D=$B111),'DRAFT 2'!$K:$K),"")</f>
        <v>0</v>
      </c>
      <c r="BG111">
        <f>IFERROR(LOOKUP(2,1/('DRAFT 2'!$D:$D=$B111),'DRAFT 2'!$U:$U),"")</f>
        <v>0</v>
      </c>
      <c r="BH111">
        <f>IFERROR(LOOKUP(2,1/('DRAFT 2'!$D:$D=$B111),'DRAFT 2'!$V:$V),"")</f>
        <v>0</v>
      </c>
      <c r="CE111" t="str">
        <f t="shared" si="43"/>
        <v/>
      </c>
      <c r="CF111">
        <f>IFERROR(LOOKUP(2,1/('DRAFT 2'!$D:$D=$B111)*('DRAFT 2'!$A:$A&gt;=DATE(2026,1,1))*('DRAFT 2'!$A:$A&lt;DATE(2026,IF(1=12,1+1,1+1),1)),'DRAFT 2'!$A:$A),"")</f>
        <v>0</v>
      </c>
      <c r="CG111">
        <f>COUNTIFS('DRAFT 2'!$D:$D,$B111,'DRAFT 2'!$A:$A,"&gt;="&amp;DATE(2026,1,1),'DRAFT 2'!$A:$A,"&lt;="&amp;DATE(2026,1,7))</f>
        <v>0</v>
      </c>
      <c r="CH111">
        <f>COUNTIFS('DRAFT 2'!$D:$D,$B111,'DRAFT 2'!$A:$A,"&gt;="&amp;DATE(2026,1,8),'DRAFT 2'!$A:$A,"&lt;="&amp;DATE(2026,1,14))</f>
        <v>0</v>
      </c>
      <c r="CI111">
        <f>COUNTIFS('DRAFT 2'!$D:$D,$B111,'DRAFT 2'!$A:$A,"&gt;="&amp;DATE(2026,1,15),'DRAFT 2'!$A:$A,"&lt;="&amp;DATE(2026,1,21))</f>
        <v>0</v>
      </c>
      <c r="CJ111">
        <f>COUNTIFS('DRAFT 2'!$D:$D,$B111,'DRAFT 2'!$A:$A,"&gt;="&amp;DATE(2026,1,22),'DRAFT 2'!$A:$A,"&lt;"&amp;DATE(2026,IF(1=12,1+1,1+1),1))</f>
        <v>0</v>
      </c>
      <c r="CK111">
        <f t="shared" si="44"/>
        <v>0</v>
      </c>
      <c r="CT111">
        <v>0</v>
      </c>
      <c r="CU111">
        <f>IFERROR(LOOKUP(2,1/('DRAFT 2'!$D:$D=$B111)*('DRAFT 2'!$A:$A&gt;=DATE(2026,2,1))*('DRAFT 2'!$A:$A&lt;DATE(2026,IF(2=12,2+1,2+1),1)),'DRAFT 2'!$A:$A),"")</f>
        <v>0</v>
      </c>
      <c r="CV111">
        <f>COUNTIFS('DRAFT 2'!$D:$D,$B111,'DRAFT 2'!$A:$A,"&gt;="&amp;DATE(2026,2,1),'DRAFT 2'!$A:$A,"&lt;="&amp;DATE(2026,2,7))</f>
        <v>0</v>
      </c>
      <c r="CW111">
        <f>COUNTIFS('DRAFT 2'!$D:$D,$B111,'DRAFT 2'!$A:$A,"&gt;="&amp;DATE(2026,2,8),'DRAFT 2'!$A:$A,"&lt;="&amp;DATE(2026,2,14))</f>
        <v>0</v>
      </c>
      <c r="CX111">
        <f>COUNTIFS('DRAFT 2'!$D:$D,$B111,'DRAFT 2'!$A:$A,"&gt;="&amp;DATE(2026,2,15),'DRAFT 2'!$A:$A,"&lt;="&amp;DATE(2026,2,21))</f>
        <v>0</v>
      </c>
      <c r="CY111">
        <f>COUNTIFS('DRAFT 2'!$D:$D,$B111,'DRAFT 2'!$A:$A,"&gt;="&amp;DATE(2026,2,22),'DRAFT 2'!$A:$A,"&lt;"&amp;DATE(2026,IF(2=12,2+1,2+1),1))</f>
        <v>0</v>
      </c>
      <c r="CZ111">
        <f t="shared" si="45"/>
        <v>0</v>
      </c>
      <c r="DJ111">
        <f>IFERROR(LOOKUP(2,1/('DRAFT 2'!$D:$D=$B111)*('DRAFT 2'!$A:$A&gt;=DATE(2026,3,1))*('DRAFT 2'!$A:$A&lt;DATE(2026,IF(3=12,3+1,3+1),1)),'DRAFT 2'!$A:$A),"")</f>
        <v>0</v>
      </c>
      <c r="DK111">
        <f>COUNTIFS('DRAFT 2'!$D:$D,$B111,'DRAFT 2'!$A:$A,"&gt;="&amp;DATE(2026,3,1),'DRAFT 2'!$A:$A,"&lt;="&amp;DATE(2026,3,7))</f>
        <v>0</v>
      </c>
      <c r="DL111">
        <f>COUNTIFS('DRAFT 2'!$D:$D,$B111,'DRAFT 2'!$A:$A,"&gt;="&amp;DATE(2026,3,8),'DRAFT 2'!$A:$A,"&lt;="&amp;DATE(2026,3,14))</f>
        <v>0</v>
      </c>
      <c r="DM111">
        <f>COUNTIFS('DRAFT 2'!$D:$D,$B111,'DRAFT 2'!$A:$A,"&gt;="&amp;DATE(2026,3,15),'DRAFT 2'!$A:$A,"&lt;="&amp;DATE(2026,3,21))</f>
        <v>0</v>
      </c>
      <c r="DN111">
        <f>COUNTIFS('DRAFT 2'!$D:$D,$B111,'DRAFT 2'!$A:$A,"&gt;="&amp;DATE(2026,3,22),'DRAFT 2'!$A:$A,"&lt;"&amp;DATE(2026,IF(3=12,3+1,3+1),1))</f>
        <v>0</v>
      </c>
      <c r="DO111">
        <f t="shared" si="46"/>
        <v>0</v>
      </c>
      <c r="DZ111">
        <f>IFERROR(LOOKUP(2,1/('DRAFT 2'!$D:$D=$B111)*('DRAFT 2'!$A:$A&gt;=DATE(2026,4,1))*('DRAFT 2'!$A:$A&lt;DATE(2026,IF(4=12,4+1,4+1),1)),'DRAFT 2'!$A:$A),"")</f>
        <v>0</v>
      </c>
      <c r="EA111">
        <f>COUNTIFS('DRAFT 2'!$D:$D,$B111,'DRAFT 2'!$A:$A,"&gt;="&amp;DATE(2026,4,1),'DRAFT 2'!$A:$A,"&lt;="&amp;DATE(2026,4,7))</f>
        <v>0</v>
      </c>
      <c r="EB111">
        <f>COUNTIFS('DRAFT 2'!$D:$D,$B111,'DRAFT 2'!$A:$A,"&gt;="&amp;DATE(2026,4,8),'DRAFT 2'!$A:$A,"&lt;="&amp;DATE(2026,4,14))</f>
        <v>0</v>
      </c>
      <c r="EC111">
        <f>COUNTIFS('DRAFT 2'!$D:$D,$B111,'DRAFT 2'!$A:$A,"&gt;="&amp;DATE(2026,4,15),'DRAFT 2'!$A:$A,"&lt;="&amp;DATE(2026,4,21))</f>
        <v>0</v>
      </c>
      <c r="ED111">
        <f>COUNTIFS('DRAFT 2'!$D:$D,$B111,'DRAFT 2'!$A:$A,"&gt;="&amp;DATE(2026,4,22),'DRAFT 2'!$A:$A,"&lt;"&amp;DATE(2026,IF(4=12,4+1,4+1),1))</f>
        <v>0</v>
      </c>
      <c r="EE111">
        <f t="shared" si="47"/>
        <v>0</v>
      </c>
      <c r="EO111">
        <f>IFERROR(LOOKUP(2,1/('DRAFT 2'!$D:$D=$B111)*('DRAFT 2'!$A:$A&gt;=DATE(2026,5,1))*('DRAFT 2'!$A:$A&lt;DATE(2026,IF(5=12,5+1,5+1),1)),'DRAFT 2'!$A:$A),"")</f>
        <v>0</v>
      </c>
      <c r="EP111">
        <f>COUNTIFS('DRAFT 2'!$D:$D,$B111,'DRAFT 2'!$A:$A,"&gt;="&amp;DATE(2026,5,1),'DRAFT 2'!$A:$A,"&lt;="&amp;DATE(2026,5,7))</f>
        <v>0</v>
      </c>
      <c r="EQ111">
        <f>COUNTIFS('DRAFT 2'!$D:$D,$B111,'DRAFT 2'!$A:$A,"&gt;="&amp;DATE(2026,5,8),'DRAFT 2'!$A:$A,"&lt;="&amp;DATE(2026,5,14))</f>
        <v>0</v>
      </c>
      <c r="ER111">
        <f>COUNTIFS('DRAFT 2'!$D:$D,$B111,'DRAFT 2'!$A:$A,"&gt;="&amp;DATE(2026,5,15),'DRAFT 2'!$A:$A,"&lt;="&amp;DATE(2026,5,21))</f>
        <v>0</v>
      </c>
      <c r="ES111">
        <f>COUNTIFS('DRAFT 2'!$D:$D,$B111,'DRAFT 2'!$A:$A,"&gt;="&amp;DATE(2026,5,22),'DRAFT 2'!$A:$A,"&lt;"&amp;DATE(2026,IF(5=12,5+1,5+1),1))</f>
        <v>0</v>
      </c>
      <c r="ET111">
        <f t="shared" si="48"/>
        <v>0</v>
      </c>
      <c r="FD111">
        <f>IFERROR(LOOKUP(2,1/('DRAFT 2'!$D:$D=$B111)*('DRAFT 2'!$A:$A&gt;=DATE(2026,6,1))*('DRAFT 2'!$A:$A&lt;DATE(2026,IF(6=12,6+1,6+1),1)),'DRAFT 2'!$A:$A),"")</f>
        <v>0</v>
      </c>
      <c r="FE111">
        <f>COUNTIFS('DRAFT 2'!$D:$D,$B111,'DRAFT 2'!$A:$A,"&gt;="&amp;DATE(2026,6,1),'DRAFT 2'!$A:$A,"&lt;="&amp;DATE(2026,6,7))</f>
        <v>0</v>
      </c>
      <c r="FF111">
        <f>COUNTIFS('DRAFT 2'!$D:$D,$B111,'DRAFT 2'!$A:$A,"&gt;="&amp;DATE(2026,6,8),'DRAFT 2'!$A:$A,"&lt;="&amp;DATE(2026,6,14))</f>
        <v>0</v>
      </c>
      <c r="FG111">
        <f>COUNTIFS('DRAFT 2'!$D:$D,$B111,'DRAFT 2'!$A:$A,"&gt;="&amp;DATE(2026,6,15),'DRAFT 2'!$A:$A,"&lt;="&amp;DATE(2026,6,21))</f>
        <v>0</v>
      </c>
      <c r="FH111">
        <f>COUNTIFS('DRAFT 2'!$D:$D,$B111,'DRAFT 2'!$A:$A,"&gt;="&amp;DATE(2026,6,22),'DRAFT 2'!$A:$A,"&lt;"&amp;DATE(2026,IF(6=12,6+1,6+1),1))</f>
        <v>0</v>
      </c>
      <c r="FI111">
        <f t="shared" si="49"/>
        <v>0</v>
      </c>
      <c r="FT111">
        <f>IFERROR(LOOKUP(2,1/('DRAFT 2'!$D:$D=$B111)*('DRAFT 2'!$A:$A&gt;=DATE(2026,7,1))*('DRAFT 2'!$A:$A&lt;DATE(2026,IF(7=12,7+1,7+1),1)),'DRAFT 2'!$A:$A),"")</f>
        <v>0</v>
      </c>
      <c r="FU111">
        <f>COUNTIFS('DRAFT 2'!$D:$D,$B111,'DRAFT 2'!$A:$A,"&gt;="&amp;DATE(2026,7,1),'DRAFT 2'!$A:$A,"&lt;="&amp;DATE(2026,7,7))</f>
        <v>0</v>
      </c>
      <c r="FV111">
        <f>COUNTIFS('DRAFT 2'!$D:$D,$B111,'DRAFT 2'!$A:$A,"&gt;="&amp;DATE(2026,7,8),'DRAFT 2'!$A:$A,"&lt;="&amp;DATE(2026,7,14))</f>
        <v>0</v>
      </c>
      <c r="FW111">
        <f>COUNTIFS('DRAFT 2'!$D:$D,$B111,'DRAFT 2'!$A:$A,"&gt;="&amp;DATE(2026,7,15),'DRAFT 2'!$A:$A,"&lt;="&amp;DATE(2026,7,21))</f>
        <v>0</v>
      </c>
      <c r="FX111">
        <f>COUNTIFS('DRAFT 2'!$D:$D,$B111,'DRAFT 2'!$A:$A,"&gt;="&amp;DATE(2026,7,22),'DRAFT 2'!$A:$A,"&lt;"&amp;DATE(2026,IF(7=12,7+1,7+1),1))</f>
        <v>0</v>
      </c>
      <c r="FY111">
        <f t="shared" si="50"/>
        <v>0</v>
      </c>
      <c r="GI111">
        <f>IFERROR(LOOKUP(2,1/('DRAFT 2'!$D:$D=$B111)*('DRAFT 2'!$A:$A&gt;=DATE(2026,8,1))*('DRAFT 2'!$A:$A&lt;DATE(2026,IF(8=12,8+1,8+1),1)),'DRAFT 2'!$A:$A),"")</f>
        <v>0</v>
      </c>
      <c r="GJ111">
        <f>COUNTIFS('DRAFT 2'!$D:$D,$B111,'DRAFT 2'!$A:$A,"&gt;="&amp;DATE(2026,8,1),'DRAFT 2'!$A:$A,"&lt;="&amp;DATE(2026,8,7))</f>
        <v>0</v>
      </c>
      <c r="GK111">
        <f>COUNTIFS('DRAFT 2'!$D:$D,$B111,'DRAFT 2'!$A:$A,"&gt;="&amp;DATE(2026,8,8),'DRAFT 2'!$A:$A,"&lt;="&amp;DATE(2026,8,14))</f>
        <v>0</v>
      </c>
      <c r="GL111">
        <f>COUNTIFS('DRAFT 2'!$D:$D,$B111,'DRAFT 2'!$A:$A,"&gt;="&amp;DATE(2026,8,15),'DRAFT 2'!$A:$A,"&lt;="&amp;DATE(2026,8,21))</f>
        <v>0</v>
      </c>
      <c r="GM111">
        <f>COUNTIFS('DRAFT 2'!$D:$D,$B111,'DRAFT 2'!$A:$A,"&gt;="&amp;DATE(2026,8,22),'DRAFT 2'!$A:$A,"&lt;"&amp;DATE(2026,IF(8=12,8+1,8+1),1))</f>
        <v>0</v>
      </c>
      <c r="GN111">
        <f t="shared" si="51"/>
        <v>0</v>
      </c>
      <c r="GX111">
        <f>IFERROR(LOOKUP(2,1/('DRAFT 2'!$D:$D=$B111)*('DRAFT 2'!$A:$A&gt;=DATE(2026,9,1))*('DRAFT 2'!$A:$A&lt;DATE(2026,IF(9=12,9+1,9+1),1)),'DRAFT 2'!$A:$A),"")</f>
        <v>0</v>
      </c>
      <c r="GY111">
        <f>COUNTIFS('DRAFT 2'!$D:$D,$B111,'DRAFT 2'!$A:$A,"&gt;="&amp;DATE(2026,9,1),'DRAFT 2'!$A:$A,"&lt;="&amp;DATE(2026,9,7))</f>
        <v>0</v>
      </c>
      <c r="GZ111">
        <f>COUNTIFS('DRAFT 2'!$D:$D,$B111,'DRAFT 2'!$A:$A,"&gt;="&amp;DATE(2026,9,8),'DRAFT 2'!$A:$A,"&lt;="&amp;DATE(2026,9,14))</f>
        <v>0</v>
      </c>
      <c r="HA111">
        <f>COUNTIFS('DRAFT 2'!$D:$D,$B111,'DRAFT 2'!$A:$A,"&gt;="&amp;DATE(2026,9,15),'DRAFT 2'!$A:$A,"&lt;="&amp;DATE(2026,9,21))</f>
        <v>0</v>
      </c>
      <c r="HB111">
        <f>COUNTIFS('DRAFT 2'!$D:$D,$B111,'DRAFT 2'!$A:$A,"&gt;="&amp;DATE(2026,9,22),'DRAFT 2'!$A:$A,"&lt;"&amp;DATE(2026,IF(9=12,9+1,9+1),1))</f>
        <v>0</v>
      </c>
      <c r="HC111">
        <f t="shared" si="52"/>
        <v>0</v>
      </c>
      <c r="HN111">
        <f>IFERROR(LOOKUP(2,1/('DRAFT 2'!$D:$D=$B111)*('DRAFT 2'!$A:$A&gt;=DATE(2026,10,1))*('DRAFT 2'!$A:$A&lt;DATE(2026,IF(10=12,10+1,10+1),1)),'DRAFT 2'!$A:$A),"")</f>
        <v>0</v>
      </c>
      <c r="HO111">
        <f>COUNTIFS('DRAFT 2'!$D:$D,$B111,'DRAFT 2'!$A:$A,"&gt;="&amp;DATE(2026,10,1),'DRAFT 2'!$A:$A,"&lt;="&amp;DATE(2026,10,7))</f>
        <v>0</v>
      </c>
      <c r="HP111">
        <f>COUNTIFS('DRAFT 2'!$D:$D,$B111,'DRAFT 2'!$A:$A,"&gt;="&amp;DATE(2026,10,8),'DRAFT 2'!$A:$A,"&lt;="&amp;DATE(2026,10,14))</f>
        <v>0</v>
      </c>
      <c r="HQ111">
        <f>COUNTIFS('DRAFT 2'!$D:$D,$B111,'DRAFT 2'!$A:$A,"&gt;="&amp;DATE(2026,10,15),'DRAFT 2'!$A:$A,"&lt;="&amp;DATE(2026,10,21))</f>
        <v>0</v>
      </c>
      <c r="HR111">
        <f>COUNTIFS('DRAFT 2'!$D:$D,$B111,'DRAFT 2'!$A:$A,"&gt;="&amp;DATE(2026,10,22),'DRAFT 2'!$A:$A,"&lt;"&amp;DATE(2026,IF(10=12,10+1,10+1),1))</f>
        <v>0</v>
      </c>
      <c r="HS111">
        <f t="shared" si="53"/>
        <v>0</v>
      </c>
      <c r="IC111">
        <f>IFERROR(LOOKUP(2,1/('DRAFT 2'!$D:$D=$B111)*('DRAFT 2'!$A:$A&gt;=DATE(2026,11,1))*('DRAFT 2'!$A:$A&lt;DATE(2026,IF(11=12,11+1,11+1),1)),'DRAFT 2'!$A:$A),"")</f>
        <v>0</v>
      </c>
      <c r="ID111">
        <f>COUNTIFS('DRAFT 2'!$D:$D,$B111,'DRAFT 2'!$A:$A,"&gt;="&amp;DATE(2026,11,1),'DRAFT 2'!$A:$A,"&lt;="&amp;DATE(2026,11,7))</f>
        <v>0</v>
      </c>
      <c r="IE111">
        <f>COUNTIFS('DRAFT 2'!$D:$D,$B111,'DRAFT 2'!$A:$A,"&gt;="&amp;DATE(2026,11,8),'DRAFT 2'!$A:$A,"&lt;="&amp;DATE(2026,11,14))</f>
        <v>0</v>
      </c>
      <c r="IF111">
        <f>COUNTIFS('DRAFT 2'!$D:$D,$B111,'DRAFT 2'!$A:$A,"&gt;="&amp;DATE(2026,11,15),'DRAFT 2'!$A:$A,"&lt;="&amp;DATE(2026,11,21))</f>
        <v>0</v>
      </c>
      <c r="IG111">
        <f>COUNTIFS('DRAFT 2'!$D:$D,$B111,'DRAFT 2'!$A:$A,"&gt;="&amp;DATE(2026,11,22),'DRAFT 2'!$A:$A,"&lt;"&amp;DATE(2026,IF(11=12,11+1,11+1),1))</f>
        <v>0</v>
      </c>
      <c r="IH111">
        <f t="shared" si="54"/>
        <v>0</v>
      </c>
      <c r="IR111">
        <f>IFERROR(LOOKUP(2,1/('DRAFT 2'!$D:$D=$B111)*('DRAFT 2'!$A:$A&gt;=DATE(2026,12,1))*('DRAFT 2'!$A:$A&lt;DATE(2026,IF(12=12,12+1,12+1),1)),'DRAFT 2'!$A:$A),"")</f>
        <v>0</v>
      </c>
      <c r="IS111">
        <f>COUNTIFS('DRAFT 2'!$D:$D,$B111,'DRAFT 2'!$A:$A,"&gt;="&amp;DATE(2026,12,1),'DRAFT 2'!$A:$A,"&lt;="&amp;DATE(2026,12,7))</f>
        <v>0</v>
      </c>
      <c r="IT111">
        <f>COUNTIFS('DRAFT 2'!$D:$D,$B111,'DRAFT 2'!$A:$A,"&gt;="&amp;DATE(2026,12,8),'DRAFT 2'!$A:$A,"&lt;="&amp;DATE(2026,12,14))</f>
        <v>0</v>
      </c>
      <c r="IU111">
        <f>COUNTIFS('DRAFT 2'!$D:$D,$B111,'DRAFT 2'!$A:$A,"&gt;="&amp;DATE(2026,12,15),'DRAFT 2'!$A:$A,"&lt;="&amp;DATE(2026,12,21))</f>
        <v>0</v>
      </c>
      <c r="IV111">
        <f>COUNTIFS('DRAFT 2'!$D:$D,$B111,'DRAFT 2'!$A:$A,"&gt;="&amp;DATE(2026,12,22),'DRAFT 2'!$A:$A,"&lt;"&amp;DATE(2026,IF(12=12,12+1,12+1),1))</f>
        <v>0</v>
      </c>
      <c r="IW111">
        <f t="shared" si="55"/>
        <v>0</v>
      </c>
    </row>
    <row r="112" spans="1:257" x14ac:dyDescent="0.3">
      <c r="A112" t="str">
        <f>IFERROR(INDEX('DRAFT 1'!$A:$A,MATCH($B112,'DRAFT 1'!$B:$B,0)),"")</f>
        <v/>
      </c>
      <c r="C112" t="str">
        <f>IFERROR(INDEX('DRAFT 1'!$C:$C,MATCH($B112,'DRAFT 1'!$B:$B,0)),"")</f>
        <v/>
      </c>
      <c r="D112" t="str">
        <f>IFERROR(INDEX('DRAFT 1'!$D:$D,MATCH($B112,'DRAFT 1'!$B:$B,0)),"")</f>
        <v/>
      </c>
      <c r="E112" t="str">
        <f>IFERROR(INDEX('DRAFT 1'!$E:$E,MATCH($B112,'DRAFT 1'!$B:$B,0)),"")</f>
        <v/>
      </c>
      <c r="F112" t="str">
        <f>IFERROR(INDEX('DRAFT 1'!$F:$F,MATCH($B112,'DRAFT 1'!$B:$B,0)),"")</f>
        <v/>
      </c>
      <c r="G112" t="str">
        <f>IFERROR(INDEX('DRAFT 1'!$G:$G,MATCH($B112,'DRAFT 1'!$B:$B,0)),"")</f>
        <v/>
      </c>
      <c r="H112" t="str">
        <f>IFERROR(INDEX('DRAFT 1'!$H:$H,MATCH($B112,'DRAFT 1'!$B:$B,0)),"")</f>
        <v/>
      </c>
      <c r="I112" t="s">
        <v>292</v>
      </c>
      <c r="K112" t="str">
        <f>IFERROR(INDEX('DRAFT 1'!$AL:$AL,MATCH($B112,'DRAFT 1'!$B:$B,0)),"")</f>
        <v/>
      </c>
      <c r="L112" t="str">
        <f>IFERROR(INDEX('DRAFT 1'!$J:$J,MATCH($B112,'DRAFT 1'!$B:$B,0)),"")</f>
        <v/>
      </c>
      <c r="M112" t="str">
        <f>IFERROR(INDEX('DRAFT 1'!$K:$K,MATCH($B112,'DRAFT 1'!$B:$B,0)),"")</f>
        <v/>
      </c>
      <c r="N112" t="s">
        <v>74</v>
      </c>
      <c r="P112" t="str">
        <f>IFERROR(INDEX('DRAFT 1'!$L:$L,MATCH($B112,'DRAFT 1'!$B:$B,0)),"")</f>
        <v/>
      </c>
      <c r="Q112" t="str">
        <f>IFERROR(INDEX('DRAFT 1'!$M:$M,MATCH($B112,'DRAFT 1'!$B:$B,0)),"")</f>
        <v/>
      </c>
      <c r="R112" t="str">
        <f>IFERROR(INDEX('DRAFT 1'!$N:$N,MATCH($B112,'DRAFT 1'!$B:$B,0)),"")</f>
        <v/>
      </c>
      <c r="S112" t="str">
        <f>IFERROR(INDEX('DRAFT 1'!$O:$O,MATCH($B112,'DRAFT 1'!$B:$B,0)),"")</f>
        <v/>
      </c>
      <c r="T112" t="str">
        <f>IFERROR(INDEX('DRAFT 1'!$P:$P,MATCH($B112,'DRAFT 1'!$B:$B,0)),"")</f>
        <v/>
      </c>
      <c r="U112" t="str">
        <f>IFERROR(INDEX('DRAFT 1'!$Q:$Q,MATCH($B112,'DRAFT 1'!$B:$B,0)),"")</f>
        <v/>
      </c>
      <c r="V112" t="str">
        <f>IFERROR(INDEX('DRAFT 1'!$R:$R,MATCH($B112,'DRAFT 1'!$B:$B,0)),"")</f>
        <v/>
      </c>
      <c r="W112" t="str">
        <f>IFERROR(INDEX('DRAFT 1'!$S:$S,MATCH($B112,'DRAFT 1'!$B:$B,0)),"")</f>
        <v/>
      </c>
      <c r="X112" t="str">
        <f>IFERROR(INDEX('DRAFT 1'!$T:$T,MATCH($B112,'DRAFT 1'!$B:$B,0)),"")</f>
        <v/>
      </c>
      <c r="Z112" t="str">
        <f>IFERROR(INDEX('DRAFT 1'!$U:$U,MATCH($B112,'DRAFT 1'!$B:$B,0)),"")</f>
        <v/>
      </c>
      <c r="AA112" t="str">
        <f>IFERROR(INDEX('DRAFT 1'!$V:$V,MATCH($B112,'DRAFT 1'!$B:$B,0)),"")</f>
        <v/>
      </c>
      <c r="AB112" t="str">
        <f>IFERROR(INDEX('DRAFT 1'!$W:$W,MATCH($B112,'DRAFT 1'!$B:$B,0)),"")</f>
        <v/>
      </c>
      <c r="AC112" t="str">
        <f>IFERROR(INDEX('DRAFT 1'!$X:$X,MATCH($B112,'DRAFT 1'!$B:$B,0)),"")</f>
        <v/>
      </c>
      <c r="AD112" t="str">
        <f>IFERROR(INDEX('DRAFT 1'!$Y:$Y,MATCH($B112,'DRAFT 1'!$B:$B,0)),"")</f>
        <v/>
      </c>
      <c r="AE112" t="str">
        <f>IFERROR(INDEX('DRAFT 1'!$Z:$Z,MATCH($B112,'DRAFT 1'!$B:$B,0)),"")</f>
        <v/>
      </c>
      <c r="AF112" t="str">
        <f>IFERROR(INDEX('DRAFT 1'!$AA:$AA,MATCH($B112,'DRAFT 1'!$B:$B,0)),"")</f>
        <v/>
      </c>
      <c r="AG112" t="str">
        <f>IFERROR(INDEX('DRAFT 1'!$AB:$AB,MATCH($B112,'DRAFT 1'!$B:$B,0)),"")</f>
        <v/>
      </c>
      <c r="AH112" t="str">
        <f>IFERROR(INDEX('DRAFT 1'!$AC:$AC,MATCH($B112,'DRAFT 1'!$B:$B,0)),"")</f>
        <v/>
      </c>
      <c r="AI112" t="str">
        <f>IFERROR(INDEX('DRAFT 1'!$AD:$AD,MATCH($B112,'DRAFT 1'!$B:$B,0)),"")</f>
        <v/>
      </c>
      <c r="AJ112" t="str">
        <f>IFERROR(INDEX('DRAFT 1'!$AE:$AE,MATCH($B112,'DRAFT 1'!$B:$B,0)),"")</f>
        <v/>
      </c>
      <c r="AK112" t="str">
        <f>IFERROR(INDEX('DRAFT 1'!$AG:$AG,MATCH($B112,'DRAFT 1'!$B:$B,0)),"")</f>
        <v/>
      </c>
      <c r="AL112" t="str">
        <f>IFERROR(INDEX('DRAFT 1'!$AH:$AH,MATCH($B112,'DRAFT 1'!$B:$B,0)),"")</f>
        <v/>
      </c>
      <c r="AM112" t="str">
        <f>IFERROR(INDEX('DRAFT 1'!$AI:$AI,MATCH($B112,'DRAFT 1'!$B:$B,0)),"")</f>
        <v/>
      </c>
      <c r="AN112" t="str">
        <f>IFERROR(INDEX('DRAFT 1'!$AJ:$AJ,MATCH($B112,'DRAFT 1'!$B:$B,0)),"")</f>
        <v/>
      </c>
      <c r="AO112">
        <f t="shared" si="42"/>
        <v>0</v>
      </c>
      <c r="AP112" t="str">
        <f>IFERROR(INDEX('DRAFT 1'!$AK:$AK,MATCH($B112,'DRAFT 1'!$B:$B,0)),"")</f>
        <v/>
      </c>
      <c r="AR112" t="s">
        <v>94</v>
      </c>
      <c r="AS112">
        <f>IFERROR(LOOKUP(2,1/('DRAFT 2'!$D:$D=$B112),'DRAFT 2'!$T:$T),"")</f>
        <v>0</v>
      </c>
      <c r="AT112">
        <f>IFERROR(LOOKUP(2,1/('DRAFT 2'!$D:$D=$B112),'DRAFT 2'!$A:$A),"")</f>
        <v>0</v>
      </c>
      <c r="AU112">
        <f>IFERROR(LOOKUP(2,1/('DRAFT 2'!$D:$D=$B112),'DRAFT 2'!$R:$R),"")</f>
        <v>0</v>
      </c>
      <c r="AV112">
        <f>IFERROR(LOOKUP(2,1/('DRAFT 2'!$D:$D=$B112),'DRAFT 2'!$S:$S),"")</f>
        <v>0</v>
      </c>
      <c r="AW112" t="s">
        <v>126</v>
      </c>
      <c r="AX112">
        <f>IFERROR(LOOKUP(2,1/('DRAFT 2'!$D:$D=$B112),'DRAFT 2'!$M:$M),"")</f>
        <v>0</v>
      </c>
      <c r="AY112">
        <f>IFERROR(LOOKUP(2,1/('DRAFT 2'!$D:$D=$B112),'DRAFT 2'!$K:$K),"")</f>
        <v>0</v>
      </c>
      <c r="BG112">
        <f>IFERROR(LOOKUP(2,1/('DRAFT 2'!$D:$D=$B112),'DRAFT 2'!$U:$U),"")</f>
        <v>0</v>
      </c>
      <c r="BH112">
        <f>IFERROR(LOOKUP(2,1/('DRAFT 2'!$D:$D=$B112),'DRAFT 2'!$V:$V),"")</f>
        <v>0</v>
      </c>
      <c r="CE112" t="str">
        <f t="shared" si="43"/>
        <v/>
      </c>
      <c r="CF112">
        <f>IFERROR(LOOKUP(2,1/('DRAFT 2'!$D:$D=$B112)*('DRAFT 2'!$A:$A&gt;=DATE(2026,1,1))*('DRAFT 2'!$A:$A&lt;DATE(2026,IF(1=12,1+1,1+1),1)),'DRAFT 2'!$A:$A),"")</f>
        <v>0</v>
      </c>
      <c r="CG112">
        <f>COUNTIFS('DRAFT 2'!$D:$D,$B112,'DRAFT 2'!$A:$A,"&gt;="&amp;DATE(2026,1,1),'DRAFT 2'!$A:$A,"&lt;="&amp;DATE(2026,1,7))</f>
        <v>0</v>
      </c>
      <c r="CH112">
        <f>COUNTIFS('DRAFT 2'!$D:$D,$B112,'DRAFT 2'!$A:$A,"&gt;="&amp;DATE(2026,1,8),'DRAFT 2'!$A:$A,"&lt;="&amp;DATE(2026,1,14))</f>
        <v>0</v>
      </c>
      <c r="CI112">
        <f>COUNTIFS('DRAFT 2'!$D:$D,$B112,'DRAFT 2'!$A:$A,"&gt;="&amp;DATE(2026,1,15),'DRAFT 2'!$A:$A,"&lt;="&amp;DATE(2026,1,21))</f>
        <v>0</v>
      </c>
      <c r="CJ112">
        <f>COUNTIFS('DRAFT 2'!$D:$D,$B112,'DRAFT 2'!$A:$A,"&gt;="&amp;DATE(2026,1,22),'DRAFT 2'!$A:$A,"&lt;"&amp;DATE(2026,IF(1=12,1+1,1+1),1))</f>
        <v>0</v>
      </c>
      <c r="CK112">
        <f t="shared" si="44"/>
        <v>0</v>
      </c>
      <c r="CT112">
        <v>0</v>
      </c>
      <c r="CU112">
        <f>IFERROR(LOOKUP(2,1/('DRAFT 2'!$D:$D=$B112)*('DRAFT 2'!$A:$A&gt;=DATE(2026,2,1))*('DRAFT 2'!$A:$A&lt;DATE(2026,IF(2=12,2+1,2+1),1)),'DRAFT 2'!$A:$A),"")</f>
        <v>0</v>
      </c>
      <c r="CV112">
        <f>COUNTIFS('DRAFT 2'!$D:$D,$B112,'DRAFT 2'!$A:$A,"&gt;="&amp;DATE(2026,2,1),'DRAFT 2'!$A:$A,"&lt;="&amp;DATE(2026,2,7))</f>
        <v>0</v>
      </c>
      <c r="CW112">
        <f>COUNTIFS('DRAFT 2'!$D:$D,$B112,'DRAFT 2'!$A:$A,"&gt;="&amp;DATE(2026,2,8),'DRAFT 2'!$A:$A,"&lt;="&amp;DATE(2026,2,14))</f>
        <v>0</v>
      </c>
      <c r="CX112">
        <f>COUNTIFS('DRAFT 2'!$D:$D,$B112,'DRAFT 2'!$A:$A,"&gt;="&amp;DATE(2026,2,15),'DRAFT 2'!$A:$A,"&lt;="&amp;DATE(2026,2,21))</f>
        <v>0</v>
      </c>
      <c r="CY112">
        <f>COUNTIFS('DRAFT 2'!$D:$D,$B112,'DRAFT 2'!$A:$A,"&gt;="&amp;DATE(2026,2,22),'DRAFT 2'!$A:$A,"&lt;"&amp;DATE(2026,IF(2=12,2+1,2+1),1))</f>
        <v>0</v>
      </c>
      <c r="CZ112">
        <f t="shared" si="45"/>
        <v>0</v>
      </c>
      <c r="DJ112">
        <f>IFERROR(LOOKUP(2,1/('DRAFT 2'!$D:$D=$B112)*('DRAFT 2'!$A:$A&gt;=DATE(2026,3,1))*('DRAFT 2'!$A:$A&lt;DATE(2026,IF(3=12,3+1,3+1),1)),'DRAFT 2'!$A:$A),"")</f>
        <v>0</v>
      </c>
      <c r="DK112">
        <f>COUNTIFS('DRAFT 2'!$D:$D,$B112,'DRAFT 2'!$A:$A,"&gt;="&amp;DATE(2026,3,1),'DRAFT 2'!$A:$A,"&lt;="&amp;DATE(2026,3,7))</f>
        <v>0</v>
      </c>
      <c r="DL112">
        <f>COUNTIFS('DRAFT 2'!$D:$D,$B112,'DRAFT 2'!$A:$A,"&gt;="&amp;DATE(2026,3,8),'DRAFT 2'!$A:$A,"&lt;="&amp;DATE(2026,3,14))</f>
        <v>0</v>
      </c>
      <c r="DM112">
        <f>COUNTIFS('DRAFT 2'!$D:$D,$B112,'DRAFT 2'!$A:$A,"&gt;="&amp;DATE(2026,3,15),'DRAFT 2'!$A:$A,"&lt;="&amp;DATE(2026,3,21))</f>
        <v>0</v>
      </c>
      <c r="DN112">
        <f>COUNTIFS('DRAFT 2'!$D:$D,$B112,'DRAFT 2'!$A:$A,"&gt;="&amp;DATE(2026,3,22),'DRAFT 2'!$A:$A,"&lt;"&amp;DATE(2026,IF(3=12,3+1,3+1),1))</f>
        <v>0</v>
      </c>
      <c r="DO112">
        <f t="shared" si="46"/>
        <v>0</v>
      </c>
      <c r="DZ112">
        <f>IFERROR(LOOKUP(2,1/('DRAFT 2'!$D:$D=$B112)*('DRAFT 2'!$A:$A&gt;=DATE(2026,4,1))*('DRAFT 2'!$A:$A&lt;DATE(2026,IF(4=12,4+1,4+1),1)),'DRAFT 2'!$A:$A),"")</f>
        <v>0</v>
      </c>
      <c r="EA112">
        <f>COUNTIFS('DRAFT 2'!$D:$D,$B112,'DRAFT 2'!$A:$A,"&gt;="&amp;DATE(2026,4,1),'DRAFT 2'!$A:$A,"&lt;="&amp;DATE(2026,4,7))</f>
        <v>0</v>
      </c>
      <c r="EB112">
        <f>COUNTIFS('DRAFT 2'!$D:$D,$B112,'DRAFT 2'!$A:$A,"&gt;="&amp;DATE(2026,4,8),'DRAFT 2'!$A:$A,"&lt;="&amp;DATE(2026,4,14))</f>
        <v>0</v>
      </c>
      <c r="EC112">
        <f>COUNTIFS('DRAFT 2'!$D:$D,$B112,'DRAFT 2'!$A:$A,"&gt;="&amp;DATE(2026,4,15),'DRAFT 2'!$A:$A,"&lt;="&amp;DATE(2026,4,21))</f>
        <v>0</v>
      </c>
      <c r="ED112">
        <f>COUNTIFS('DRAFT 2'!$D:$D,$B112,'DRAFT 2'!$A:$A,"&gt;="&amp;DATE(2026,4,22),'DRAFT 2'!$A:$A,"&lt;"&amp;DATE(2026,IF(4=12,4+1,4+1),1))</f>
        <v>0</v>
      </c>
      <c r="EE112">
        <f t="shared" si="47"/>
        <v>0</v>
      </c>
      <c r="EO112">
        <f>IFERROR(LOOKUP(2,1/('DRAFT 2'!$D:$D=$B112)*('DRAFT 2'!$A:$A&gt;=DATE(2026,5,1))*('DRAFT 2'!$A:$A&lt;DATE(2026,IF(5=12,5+1,5+1),1)),'DRAFT 2'!$A:$A),"")</f>
        <v>0</v>
      </c>
      <c r="EP112">
        <f>COUNTIFS('DRAFT 2'!$D:$D,$B112,'DRAFT 2'!$A:$A,"&gt;="&amp;DATE(2026,5,1),'DRAFT 2'!$A:$A,"&lt;="&amp;DATE(2026,5,7))</f>
        <v>0</v>
      </c>
      <c r="EQ112">
        <f>COUNTIFS('DRAFT 2'!$D:$D,$B112,'DRAFT 2'!$A:$A,"&gt;="&amp;DATE(2026,5,8),'DRAFT 2'!$A:$A,"&lt;="&amp;DATE(2026,5,14))</f>
        <v>0</v>
      </c>
      <c r="ER112">
        <f>COUNTIFS('DRAFT 2'!$D:$D,$B112,'DRAFT 2'!$A:$A,"&gt;="&amp;DATE(2026,5,15),'DRAFT 2'!$A:$A,"&lt;="&amp;DATE(2026,5,21))</f>
        <v>0</v>
      </c>
      <c r="ES112">
        <f>COUNTIFS('DRAFT 2'!$D:$D,$B112,'DRAFT 2'!$A:$A,"&gt;="&amp;DATE(2026,5,22),'DRAFT 2'!$A:$A,"&lt;"&amp;DATE(2026,IF(5=12,5+1,5+1),1))</f>
        <v>0</v>
      </c>
      <c r="ET112">
        <f t="shared" si="48"/>
        <v>0</v>
      </c>
      <c r="FD112">
        <f>IFERROR(LOOKUP(2,1/('DRAFT 2'!$D:$D=$B112)*('DRAFT 2'!$A:$A&gt;=DATE(2026,6,1))*('DRAFT 2'!$A:$A&lt;DATE(2026,IF(6=12,6+1,6+1),1)),'DRAFT 2'!$A:$A),"")</f>
        <v>0</v>
      </c>
      <c r="FE112">
        <f>COUNTIFS('DRAFT 2'!$D:$D,$B112,'DRAFT 2'!$A:$A,"&gt;="&amp;DATE(2026,6,1),'DRAFT 2'!$A:$A,"&lt;="&amp;DATE(2026,6,7))</f>
        <v>0</v>
      </c>
      <c r="FF112">
        <f>COUNTIFS('DRAFT 2'!$D:$D,$B112,'DRAFT 2'!$A:$A,"&gt;="&amp;DATE(2026,6,8),'DRAFT 2'!$A:$A,"&lt;="&amp;DATE(2026,6,14))</f>
        <v>0</v>
      </c>
      <c r="FG112">
        <f>COUNTIFS('DRAFT 2'!$D:$D,$B112,'DRAFT 2'!$A:$A,"&gt;="&amp;DATE(2026,6,15),'DRAFT 2'!$A:$A,"&lt;="&amp;DATE(2026,6,21))</f>
        <v>0</v>
      </c>
      <c r="FH112">
        <f>COUNTIFS('DRAFT 2'!$D:$D,$B112,'DRAFT 2'!$A:$A,"&gt;="&amp;DATE(2026,6,22),'DRAFT 2'!$A:$A,"&lt;"&amp;DATE(2026,IF(6=12,6+1,6+1),1))</f>
        <v>0</v>
      </c>
      <c r="FI112">
        <f t="shared" si="49"/>
        <v>0</v>
      </c>
      <c r="FT112">
        <f>IFERROR(LOOKUP(2,1/('DRAFT 2'!$D:$D=$B112)*('DRAFT 2'!$A:$A&gt;=DATE(2026,7,1))*('DRAFT 2'!$A:$A&lt;DATE(2026,IF(7=12,7+1,7+1),1)),'DRAFT 2'!$A:$A),"")</f>
        <v>0</v>
      </c>
      <c r="FU112">
        <f>COUNTIFS('DRAFT 2'!$D:$D,$B112,'DRAFT 2'!$A:$A,"&gt;="&amp;DATE(2026,7,1),'DRAFT 2'!$A:$A,"&lt;="&amp;DATE(2026,7,7))</f>
        <v>0</v>
      </c>
      <c r="FV112">
        <f>COUNTIFS('DRAFT 2'!$D:$D,$B112,'DRAFT 2'!$A:$A,"&gt;="&amp;DATE(2026,7,8),'DRAFT 2'!$A:$A,"&lt;="&amp;DATE(2026,7,14))</f>
        <v>0</v>
      </c>
      <c r="FW112">
        <f>COUNTIFS('DRAFT 2'!$D:$D,$B112,'DRAFT 2'!$A:$A,"&gt;="&amp;DATE(2026,7,15),'DRAFT 2'!$A:$A,"&lt;="&amp;DATE(2026,7,21))</f>
        <v>0</v>
      </c>
      <c r="FX112">
        <f>COUNTIFS('DRAFT 2'!$D:$D,$B112,'DRAFT 2'!$A:$A,"&gt;="&amp;DATE(2026,7,22),'DRAFT 2'!$A:$A,"&lt;"&amp;DATE(2026,IF(7=12,7+1,7+1),1))</f>
        <v>0</v>
      </c>
      <c r="FY112">
        <f t="shared" si="50"/>
        <v>0</v>
      </c>
      <c r="GI112">
        <f>IFERROR(LOOKUP(2,1/('DRAFT 2'!$D:$D=$B112)*('DRAFT 2'!$A:$A&gt;=DATE(2026,8,1))*('DRAFT 2'!$A:$A&lt;DATE(2026,IF(8=12,8+1,8+1),1)),'DRAFT 2'!$A:$A),"")</f>
        <v>0</v>
      </c>
      <c r="GJ112">
        <f>COUNTIFS('DRAFT 2'!$D:$D,$B112,'DRAFT 2'!$A:$A,"&gt;="&amp;DATE(2026,8,1),'DRAFT 2'!$A:$A,"&lt;="&amp;DATE(2026,8,7))</f>
        <v>0</v>
      </c>
      <c r="GK112">
        <f>COUNTIFS('DRAFT 2'!$D:$D,$B112,'DRAFT 2'!$A:$A,"&gt;="&amp;DATE(2026,8,8),'DRAFT 2'!$A:$A,"&lt;="&amp;DATE(2026,8,14))</f>
        <v>0</v>
      </c>
      <c r="GL112">
        <f>COUNTIFS('DRAFT 2'!$D:$D,$B112,'DRAFT 2'!$A:$A,"&gt;="&amp;DATE(2026,8,15),'DRAFT 2'!$A:$A,"&lt;="&amp;DATE(2026,8,21))</f>
        <v>0</v>
      </c>
      <c r="GM112">
        <f>COUNTIFS('DRAFT 2'!$D:$D,$B112,'DRAFT 2'!$A:$A,"&gt;="&amp;DATE(2026,8,22),'DRAFT 2'!$A:$A,"&lt;"&amp;DATE(2026,IF(8=12,8+1,8+1),1))</f>
        <v>0</v>
      </c>
      <c r="GN112">
        <f t="shared" si="51"/>
        <v>0</v>
      </c>
      <c r="GX112">
        <f>IFERROR(LOOKUP(2,1/('DRAFT 2'!$D:$D=$B112)*('DRAFT 2'!$A:$A&gt;=DATE(2026,9,1))*('DRAFT 2'!$A:$A&lt;DATE(2026,IF(9=12,9+1,9+1),1)),'DRAFT 2'!$A:$A),"")</f>
        <v>0</v>
      </c>
      <c r="GY112">
        <f>COUNTIFS('DRAFT 2'!$D:$D,$B112,'DRAFT 2'!$A:$A,"&gt;="&amp;DATE(2026,9,1),'DRAFT 2'!$A:$A,"&lt;="&amp;DATE(2026,9,7))</f>
        <v>0</v>
      </c>
      <c r="GZ112">
        <f>COUNTIFS('DRAFT 2'!$D:$D,$B112,'DRAFT 2'!$A:$A,"&gt;="&amp;DATE(2026,9,8),'DRAFT 2'!$A:$A,"&lt;="&amp;DATE(2026,9,14))</f>
        <v>0</v>
      </c>
      <c r="HA112">
        <f>COUNTIFS('DRAFT 2'!$D:$D,$B112,'DRAFT 2'!$A:$A,"&gt;="&amp;DATE(2026,9,15),'DRAFT 2'!$A:$A,"&lt;="&amp;DATE(2026,9,21))</f>
        <v>0</v>
      </c>
      <c r="HB112">
        <f>COUNTIFS('DRAFT 2'!$D:$D,$B112,'DRAFT 2'!$A:$A,"&gt;="&amp;DATE(2026,9,22),'DRAFT 2'!$A:$A,"&lt;"&amp;DATE(2026,IF(9=12,9+1,9+1),1))</f>
        <v>0</v>
      </c>
      <c r="HC112">
        <f t="shared" si="52"/>
        <v>0</v>
      </c>
      <c r="HN112">
        <f>IFERROR(LOOKUP(2,1/('DRAFT 2'!$D:$D=$B112)*('DRAFT 2'!$A:$A&gt;=DATE(2026,10,1))*('DRAFT 2'!$A:$A&lt;DATE(2026,IF(10=12,10+1,10+1),1)),'DRAFT 2'!$A:$A),"")</f>
        <v>0</v>
      </c>
      <c r="HO112">
        <f>COUNTIFS('DRAFT 2'!$D:$D,$B112,'DRAFT 2'!$A:$A,"&gt;="&amp;DATE(2026,10,1),'DRAFT 2'!$A:$A,"&lt;="&amp;DATE(2026,10,7))</f>
        <v>0</v>
      </c>
      <c r="HP112">
        <f>COUNTIFS('DRAFT 2'!$D:$D,$B112,'DRAFT 2'!$A:$A,"&gt;="&amp;DATE(2026,10,8),'DRAFT 2'!$A:$A,"&lt;="&amp;DATE(2026,10,14))</f>
        <v>0</v>
      </c>
      <c r="HQ112">
        <f>COUNTIFS('DRAFT 2'!$D:$D,$B112,'DRAFT 2'!$A:$A,"&gt;="&amp;DATE(2026,10,15),'DRAFT 2'!$A:$A,"&lt;="&amp;DATE(2026,10,21))</f>
        <v>0</v>
      </c>
      <c r="HR112">
        <f>COUNTIFS('DRAFT 2'!$D:$D,$B112,'DRAFT 2'!$A:$A,"&gt;="&amp;DATE(2026,10,22),'DRAFT 2'!$A:$A,"&lt;"&amp;DATE(2026,IF(10=12,10+1,10+1),1))</f>
        <v>0</v>
      </c>
      <c r="HS112">
        <f t="shared" si="53"/>
        <v>0</v>
      </c>
      <c r="IC112">
        <f>IFERROR(LOOKUP(2,1/('DRAFT 2'!$D:$D=$B112)*('DRAFT 2'!$A:$A&gt;=DATE(2026,11,1))*('DRAFT 2'!$A:$A&lt;DATE(2026,IF(11=12,11+1,11+1),1)),'DRAFT 2'!$A:$A),"")</f>
        <v>0</v>
      </c>
      <c r="ID112">
        <f>COUNTIFS('DRAFT 2'!$D:$D,$B112,'DRAFT 2'!$A:$A,"&gt;="&amp;DATE(2026,11,1),'DRAFT 2'!$A:$A,"&lt;="&amp;DATE(2026,11,7))</f>
        <v>0</v>
      </c>
      <c r="IE112">
        <f>COUNTIFS('DRAFT 2'!$D:$D,$B112,'DRAFT 2'!$A:$A,"&gt;="&amp;DATE(2026,11,8),'DRAFT 2'!$A:$A,"&lt;="&amp;DATE(2026,11,14))</f>
        <v>0</v>
      </c>
      <c r="IF112">
        <f>COUNTIFS('DRAFT 2'!$D:$D,$B112,'DRAFT 2'!$A:$A,"&gt;="&amp;DATE(2026,11,15),'DRAFT 2'!$A:$A,"&lt;="&amp;DATE(2026,11,21))</f>
        <v>0</v>
      </c>
      <c r="IG112">
        <f>COUNTIFS('DRAFT 2'!$D:$D,$B112,'DRAFT 2'!$A:$A,"&gt;="&amp;DATE(2026,11,22),'DRAFT 2'!$A:$A,"&lt;"&amp;DATE(2026,IF(11=12,11+1,11+1),1))</f>
        <v>0</v>
      </c>
      <c r="IH112">
        <f t="shared" si="54"/>
        <v>0</v>
      </c>
      <c r="IR112">
        <f>IFERROR(LOOKUP(2,1/('DRAFT 2'!$D:$D=$B112)*('DRAFT 2'!$A:$A&gt;=DATE(2026,12,1))*('DRAFT 2'!$A:$A&lt;DATE(2026,IF(12=12,12+1,12+1),1)),'DRAFT 2'!$A:$A),"")</f>
        <v>0</v>
      </c>
      <c r="IS112">
        <f>COUNTIFS('DRAFT 2'!$D:$D,$B112,'DRAFT 2'!$A:$A,"&gt;="&amp;DATE(2026,12,1),'DRAFT 2'!$A:$A,"&lt;="&amp;DATE(2026,12,7))</f>
        <v>0</v>
      </c>
      <c r="IT112">
        <f>COUNTIFS('DRAFT 2'!$D:$D,$B112,'DRAFT 2'!$A:$A,"&gt;="&amp;DATE(2026,12,8),'DRAFT 2'!$A:$A,"&lt;="&amp;DATE(2026,12,14))</f>
        <v>0</v>
      </c>
      <c r="IU112">
        <f>COUNTIFS('DRAFT 2'!$D:$D,$B112,'DRAFT 2'!$A:$A,"&gt;="&amp;DATE(2026,12,15),'DRAFT 2'!$A:$A,"&lt;="&amp;DATE(2026,12,21))</f>
        <v>0</v>
      </c>
      <c r="IV112">
        <f>COUNTIFS('DRAFT 2'!$D:$D,$B112,'DRAFT 2'!$A:$A,"&gt;="&amp;DATE(2026,12,22),'DRAFT 2'!$A:$A,"&lt;"&amp;DATE(2026,IF(12=12,12+1,12+1),1))</f>
        <v>0</v>
      </c>
      <c r="IW112">
        <f t="shared" si="55"/>
        <v>0</v>
      </c>
    </row>
    <row r="113" spans="1:257" x14ac:dyDescent="0.3">
      <c r="A113" t="str">
        <f>IFERROR(INDEX('DRAFT 1'!$A:$A,MATCH($B113,'DRAFT 1'!$B:$B,0)),"")</f>
        <v/>
      </c>
      <c r="C113" t="str">
        <f>IFERROR(INDEX('DRAFT 1'!$C:$C,MATCH($B113,'DRAFT 1'!$B:$B,0)),"")</f>
        <v/>
      </c>
      <c r="D113" t="str">
        <f>IFERROR(INDEX('DRAFT 1'!$D:$D,MATCH($B113,'DRAFT 1'!$B:$B,0)),"")</f>
        <v/>
      </c>
      <c r="E113" t="str">
        <f>IFERROR(INDEX('DRAFT 1'!$E:$E,MATCH($B113,'DRAFT 1'!$B:$B,0)),"")</f>
        <v/>
      </c>
      <c r="F113" t="str">
        <f>IFERROR(INDEX('DRAFT 1'!$F:$F,MATCH($B113,'DRAFT 1'!$B:$B,0)),"")</f>
        <v/>
      </c>
      <c r="G113" t="str">
        <f>IFERROR(INDEX('DRAFT 1'!$G:$G,MATCH($B113,'DRAFT 1'!$B:$B,0)),"")</f>
        <v/>
      </c>
      <c r="H113" t="str">
        <f>IFERROR(INDEX('DRAFT 1'!$H:$H,MATCH($B113,'DRAFT 1'!$B:$B,0)),"")</f>
        <v/>
      </c>
      <c r="I113" t="s">
        <v>292</v>
      </c>
      <c r="K113" t="str">
        <f>IFERROR(INDEX('DRAFT 1'!$AL:$AL,MATCH($B113,'DRAFT 1'!$B:$B,0)),"")</f>
        <v/>
      </c>
      <c r="L113" t="str">
        <f>IFERROR(INDEX('DRAFT 1'!$J:$J,MATCH($B113,'DRAFT 1'!$B:$B,0)),"")</f>
        <v/>
      </c>
      <c r="M113" t="str">
        <f>IFERROR(INDEX('DRAFT 1'!$K:$K,MATCH($B113,'DRAFT 1'!$B:$B,0)),"")</f>
        <v/>
      </c>
      <c r="N113" t="s">
        <v>82</v>
      </c>
      <c r="P113" t="str">
        <f>IFERROR(INDEX('DRAFT 1'!$L:$L,MATCH($B113,'DRAFT 1'!$B:$B,0)),"")</f>
        <v/>
      </c>
      <c r="Q113" t="str">
        <f>IFERROR(INDEX('DRAFT 1'!$M:$M,MATCH($B113,'DRAFT 1'!$B:$B,0)),"")</f>
        <v/>
      </c>
      <c r="R113" t="str">
        <f>IFERROR(INDEX('DRAFT 1'!$N:$N,MATCH($B113,'DRAFT 1'!$B:$B,0)),"")</f>
        <v/>
      </c>
      <c r="S113" t="str">
        <f>IFERROR(INDEX('DRAFT 1'!$O:$O,MATCH($B113,'DRAFT 1'!$B:$B,0)),"")</f>
        <v/>
      </c>
      <c r="T113" t="str">
        <f>IFERROR(INDEX('DRAFT 1'!$P:$P,MATCH($B113,'DRAFT 1'!$B:$B,0)),"")</f>
        <v/>
      </c>
      <c r="U113" t="str">
        <f>IFERROR(INDEX('DRAFT 1'!$Q:$Q,MATCH($B113,'DRAFT 1'!$B:$B,0)),"")</f>
        <v/>
      </c>
      <c r="V113" t="str">
        <f>IFERROR(INDEX('DRAFT 1'!$R:$R,MATCH($B113,'DRAFT 1'!$B:$B,0)),"")</f>
        <v/>
      </c>
      <c r="W113" t="str">
        <f>IFERROR(INDEX('DRAFT 1'!$S:$S,MATCH($B113,'DRAFT 1'!$B:$B,0)),"")</f>
        <v/>
      </c>
      <c r="X113" t="str">
        <f>IFERROR(INDEX('DRAFT 1'!$T:$T,MATCH($B113,'DRAFT 1'!$B:$B,0)),"")</f>
        <v/>
      </c>
      <c r="Z113" t="str">
        <f>IFERROR(INDEX('DRAFT 1'!$U:$U,MATCH($B113,'DRAFT 1'!$B:$B,0)),"")</f>
        <v/>
      </c>
      <c r="AA113" t="str">
        <f>IFERROR(INDEX('DRAFT 1'!$V:$V,MATCH($B113,'DRAFT 1'!$B:$B,0)),"")</f>
        <v/>
      </c>
      <c r="AB113" t="str">
        <f>IFERROR(INDEX('DRAFT 1'!$W:$W,MATCH($B113,'DRAFT 1'!$B:$B,0)),"")</f>
        <v/>
      </c>
      <c r="AC113" t="str">
        <f>IFERROR(INDEX('DRAFT 1'!$X:$X,MATCH($B113,'DRAFT 1'!$B:$B,0)),"")</f>
        <v/>
      </c>
      <c r="AD113" t="str">
        <f>IFERROR(INDEX('DRAFT 1'!$Y:$Y,MATCH($B113,'DRAFT 1'!$B:$B,0)),"")</f>
        <v/>
      </c>
      <c r="AE113" t="str">
        <f>IFERROR(INDEX('DRAFT 1'!$Z:$Z,MATCH($B113,'DRAFT 1'!$B:$B,0)),"")</f>
        <v/>
      </c>
      <c r="AF113" t="str">
        <f>IFERROR(INDEX('DRAFT 1'!$AA:$AA,MATCH($B113,'DRAFT 1'!$B:$B,0)),"")</f>
        <v/>
      </c>
      <c r="AG113" t="str">
        <f>IFERROR(INDEX('DRAFT 1'!$AB:$AB,MATCH($B113,'DRAFT 1'!$B:$B,0)),"")</f>
        <v/>
      </c>
      <c r="AH113" t="str">
        <f>IFERROR(INDEX('DRAFT 1'!$AC:$AC,MATCH($B113,'DRAFT 1'!$B:$B,0)),"")</f>
        <v/>
      </c>
      <c r="AI113" t="str">
        <f>IFERROR(INDEX('DRAFT 1'!$AD:$AD,MATCH($B113,'DRAFT 1'!$B:$B,0)),"")</f>
        <v/>
      </c>
      <c r="AJ113" t="str">
        <f>IFERROR(INDEX('DRAFT 1'!$AE:$AE,MATCH($B113,'DRAFT 1'!$B:$B,0)),"")</f>
        <v/>
      </c>
      <c r="AK113" t="str">
        <f>IFERROR(INDEX('DRAFT 1'!$AG:$AG,MATCH($B113,'DRAFT 1'!$B:$B,0)),"")</f>
        <v/>
      </c>
      <c r="AL113" t="str">
        <f>IFERROR(INDEX('DRAFT 1'!$AH:$AH,MATCH($B113,'DRAFT 1'!$B:$B,0)),"")</f>
        <v/>
      </c>
      <c r="AM113" t="str">
        <f>IFERROR(INDEX('DRAFT 1'!$AI:$AI,MATCH($B113,'DRAFT 1'!$B:$B,0)),"")</f>
        <v/>
      </c>
      <c r="AN113" t="str">
        <f>IFERROR(INDEX('DRAFT 1'!$AJ:$AJ,MATCH($B113,'DRAFT 1'!$B:$B,0)),"")</f>
        <v/>
      </c>
      <c r="AO113">
        <f t="shared" si="42"/>
        <v>0</v>
      </c>
      <c r="AP113" t="str">
        <f>IFERROR(INDEX('DRAFT 1'!$AK:$AK,MATCH($B113,'DRAFT 1'!$B:$B,0)),"")</f>
        <v/>
      </c>
      <c r="AR113" t="s">
        <v>94</v>
      </c>
      <c r="AS113">
        <f>IFERROR(LOOKUP(2,1/('DRAFT 2'!$D:$D=$B113),'DRAFT 2'!$T:$T),"")</f>
        <v>0</v>
      </c>
      <c r="AT113">
        <f>IFERROR(LOOKUP(2,1/('DRAFT 2'!$D:$D=$B113),'DRAFT 2'!$A:$A),"")</f>
        <v>0</v>
      </c>
      <c r="AU113">
        <f>IFERROR(LOOKUP(2,1/('DRAFT 2'!$D:$D=$B113),'DRAFT 2'!$R:$R),"")</f>
        <v>0</v>
      </c>
      <c r="AV113">
        <f>IFERROR(LOOKUP(2,1/('DRAFT 2'!$D:$D=$B113),'DRAFT 2'!$S:$S),"")</f>
        <v>0</v>
      </c>
      <c r="AW113" t="s">
        <v>126</v>
      </c>
      <c r="AX113">
        <f>IFERROR(LOOKUP(2,1/('DRAFT 2'!$D:$D=$B113),'DRAFT 2'!$M:$M),"")</f>
        <v>0</v>
      </c>
      <c r="AY113">
        <f>IFERROR(LOOKUP(2,1/('DRAFT 2'!$D:$D=$B113),'DRAFT 2'!$K:$K),"")</f>
        <v>0</v>
      </c>
      <c r="BG113">
        <f>IFERROR(LOOKUP(2,1/('DRAFT 2'!$D:$D=$B113),'DRAFT 2'!$U:$U),"")</f>
        <v>0</v>
      </c>
      <c r="BH113">
        <f>IFERROR(LOOKUP(2,1/('DRAFT 2'!$D:$D=$B113),'DRAFT 2'!$V:$V),"")</f>
        <v>0</v>
      </c>
      <c r="CE113" t="str">
        <f t="shared" si="43"/>
        <v/>
      </c>
      <c r="CF113">
        <f>IFERROR(LOOKUP(2,1/('DRAFT 2'!$D:$D=$B113)*('DRAFT 2'!$A:$A&gt;=DATE(2026,1,1))*('DRAFT 2'!$A:$A&lt;DATE(2026,IF(1=12,1+1,1+1),1)),'DRAFT 2'!$A:$A),"")</f>
        <v>0</v>
      </c>
      <c r="CG113">
        <f>COUNTIFS('DRAFT 2'!$D:$D,$B113,'DRAFT 2'!$A:$A,"&gt;="&amp;DATE(2026,1,1),'DRAFT 2'!$A:$A,"&lt;="&amp;DATE(2026,1,7))</f>
        <v>0</v>
      </c>
      <c r="CH113">
        <f>COUNTIFS('DRAFT 2'!$D:$D,$B113,'DRAFT 2'!$A:$A,"&gt;="&amp;DATE(2026,1,8),'DRAFT 2'!$A:$A,"&lt;="&amp;DATE(2026,1,14))</f>
        <v>0</v>
      </c>
      <c r="CI113">
        <f>COUNTIFS('DRAFT 2'!$D:$D,$B113,'DRAFT 2'!$A:$A,"&gt;="&amp;DATE(2026,1,15),'DRAFT 2'!$A:$A,"&lt;="&amp;DATE(2026,1,21))</f>
        <v>0</v>
      </c>
      <c r="CJ113">
        <f>COUNTIFS('DRAFT 2'!$D:$D,$B113,'DRAFT 2'!$A:$A,"&gt;="&amp;DATE(2026,1,22),'DRAFT 2'!$A:$A,"&lt;"&amp;DATE(2026,IF(1=12,1+1,1+1),1))</f>
        <v>0</v>
      </c>
      <c r="CK113">
        <f t="shared" si="44"/>
        <v>0</v>
      </c>
      <c r="CT113">
        <v>0</v>
      </c>
      <c r="CU113">
        <f>IFERROR(LOOKUP(2,1/('DRAFT 2'!$D:$D=$B113)*('DRAFT 2'!$A:$A&gt;=DATE(2026,2,1))*('DRAFT 2'!$A:$A&lt;DATE(2026,IF(2=12,2+1,2+1),1)),'DRAFT 2'!$A:$A),"")</f>
        <v>0</v>
      </c>
      <c r="CV113">
        <f>COUNTIFS('DRAFT 2'!$D:$D,$B113,'DRAFT 2'!$A:$A,"&gt;="&amp;DATE(2026,2,1),'DRAFT 2'!$A:$A,"&lt;="&amp;DATE(2026,2,7))</f>
        <v>0</v>
      </c>
      <c r="CW113">
        <f>COUNTIFS('DRAFT 2'!$D:$D,$B113,'DRAFT 2'!$A:$A,"&gt;="&amp;DATE(2026,2,8),'DRAFT 2'!$A:$A,"&lt;="&amp;DATE(2026,2,14))</f>
        <v>0</v>
      </c>
      <c r="CX113">
        <f>COUNTIFS('DRAFT 2'!$D:$D,$B113,'DRAFT 2'!$A:$A,"&gt;="&amp;DATE(2026,2,15),'DRAFT 2'!$A:$A,"&lt;="&amp;DATE(2026,2,21))</f>
        <v>0</v>
      </c>
      <c r="CY113">
        <f>COUNTIFS('DRAFT 2'!$D:$D,$B113,'DRAFT 2'!$A:$A,"&gt;="&amp;DATE(2026,2,22),'DRAFT 2'!$A:$A,"&lt;"&amp;DATE(2026,IF(2=12,2+1,2+1),1))</f>
        <v>0</v>
      </c>
      <c r="CZ113">
        <f t="shared" si="45"/>
        <v>0</v>
      </c>
      <c r="DJ113">
        <f>IFERROR(LOOKUP(2,1/('DRAFT 2'!$D:$D=$B113)*('DRAFT 2'!$A:$A&gt;=DATE(2026,3,1))*('DRAFT 2'!$A:$A&lt;DATE(2026,IF(3=12,3+1,3+1),1)),'DRAFT 2'!$A:$A),"")</f>
        <v>0</v>
      </c>
      <c r="DK113">
        <f>COUNTIFS('DRAFT 2'!$D:$D,$B113,'DRAFT 2'!$A:$A,"&gt;="&amp;DATE(2026,3,1),'DRAFT 2'!$A:$A,"&lt;="&amp;DATE(2026,3,7))</f>
        <v>0</v>
      </c>
      <c r="DL113">
        <f>COUNTIFS('DRAFT 2'!$D:$D,$B113,'DRAFT 2'!$A:$A,"&gt;="&amp;DATE(2026,3,8),'DRAFT 2'!$A:$A,"&lt;="&amp;DATE(2026,3,14))</f>
        <v>0</v>
      </c>
      <c r="DM113">
        <f>COUNTIFS('DRAFT 2'!$D:$D,$B113,'DRAFT 2'!$A:$A,"&gt;="&amp;DATE(2026,3,15),'DRAFT 2'!$A:$A,"&lt;="&amp;DATE(2026,3,21))</f>
        <v>0</v>
      </c>
      <c r="DN113">
        <f>COUNTIFS('DRAFT 2'!$D:$D,$B113,'DRAFT 2'!$A:$A,"&gt;="&amp;DATE(2026,3,22),'DRAFT 2'!$A:$A,"&lt;"&amp;DATE(2026,IF(3=12,3+1,3+1),1))</f>
        <v>0</v>
      </c>
      <c r="DO113">
        <f t="shared" si="46"/>
        <v>0</v>
      </c>
      <c r="DZ113">
        <f>IFERROR(LOOKUP(2,1/('DRAFT 2'!$D:$D=$B113)*('DRAFT 2'!$A:$A&gt;=DATE(2026,4,1))*('DRAFT 2'!$A:$A&lt;DATE(2026,IF(4=12,4+1,4+1),1)),'DRAFT 2'!$A:$A),"")</f>
        <v>0</v>
      </c>
      <c r="EA113">
        <f>COUNTIFS('DRAFT 2'!$D:$D,$B113,'DRAFT 2'!$A:$A,"&gt;="&amp;DATE(2026,4,1),'DRAFT 2'!$A:$A,"&lt;="&amp;DATE(2026,4,7))</f>
        <v>0</v>
      </c>
      <c r="EB113">
        <f>COUNTIFS('DRAFT 2'!$D:$D,$B113,'DRAFT 2'!$A:$A,"&gt;="&amp;DATE(2026,4,8),'DRAFT 2'!$A:$A,"&lt;="&amp;DATE(2026,4,14))</f>
        <v>0</v>
      </c>
      <c r="EC113">
        <f>COUNTIFS('DRAFT 2'!$D:$D,$B113,'DRAFT 2'!$A:$A,"&gt;="&amp;DATE(2026,4,15),'DRAFT 2'!$A:$A,"&lt;="&amp;DATE(2026,4,21))</f>
        <v>0</v>
      </c>
      <c r="ED113">
        <f>COUNTIFS('DRAFT 2'!$D:$D,$B113,'DRAFT 2'!$A:$A,"&gt;="&amp;DATE(2026,4,22),'DRAFT 2'!$A:$A,"&lt;"&amp;DATE(2026,IF(4=12,4+1,4+1),1))</f>
        <v>0</v>
      </c>
      <c r="EE113">
        <f t="shared" si="47"/>
        <v>0</v>
      </c>
      <c r="EO113">
        <f>IFERROR(LOOKUP(2,1/('DRAFT 2'!$D:$D=$B113)*('DRAFT 2'!$A:$A&gt;=DATE(2026,5,1))*('DRAFT 2'!$A:$A&lt;DATE(2026,IF(5=12,5+1,5+1),1)),'DRAFT 2'!$A:$A),"")</f>
        <v>0</v>
      </c>
      <c r="EP113">
        <f>COUNTIFS('DRAFT 2'!$D:$D,$B113,'DRAFT 2'!$A:$A,"&gt;="&amp;DATE(2026,5,1),'DRAFT 2'!$A:$A,"&lt;="&amp;DATE(2026,5,7))</f>
        <v>0</v>
      </c>
      <c r="EQ113">
        <f>COUNTIFS('DRAFT 2'!$D:$D,$B113,'DRAFT 2'!$A:$A,"&gt;="&amp;DATE(2026,5,8),'DRAFT 2'!$A:$A,"&lt;="&amp;DATE(2026,5,14))</f>
        <v>0</v>
      </c>
      <c r="ER113">
        <f>COUNTIFS('DRAFT 2'!$D:$D,$B113,'DRAFT 2'!$A:$A,"&gt;="&amp;DATE(2026,5,15),'DRAFT 2'!$A:$A,"&lt;="&amp;DATE(2026,5,21))</f>
        <v>0</v>
      </c>
      <c r="ES113">
        <f>COUNTIFS('DRAFT 2'!$D:$D,$B113,'DRAFT 2'!$A:$A,"&gt;="&amp;DATE(2026,5,22),'DRAFT 2'!$A:$A,"&lt;"&amp;DATE(2026,IF(5=12,5+1,5+1),1))</f>
        <v>0</v>
      </c>
      <c r="ET113">
        <f t="shared" si="48"/>
        <v>0</v>
      </c>
      <c r="FD113">
        <f>IFERROR(LOOKUP(2,1/('DRAFT 2'!$D:$D=$B113)*('DRAFT 2'!$A:$A&gt;=DATE(2026,6,1))*('DRAFT 2'!$A:$A&lt;DATE(2026,IF(6=12,6+1,6+1),1)),'DRAFT 2'!$A:$A),"")</f>
        <v>0</v>
      </c>
      <c r="FE113">
        <f>COUNTIFS('DRAFT 2'!$D:$D,$B113,'DRAFT 2'!$A:$A,"&gt;="&amp;DATE(2026,6,1),'DRAFT 2'!$A:$A,"&lt;="&amp;DATE(2026,6,7))</f>
        <v>0</v>
      </c>
      <c r="FF113">
        <f>COUNTIFS('DRAFT 2'!$D:$D,$B113,'DRAFT 2'!$A:$A,"&gt;="&amp;DATE(2026,6,8),'DRAFT 2'!$A:$A,"&lt;="&amp;DATE(2026,6,14))</f>
        <v>0</v>
      </c>
      <c r="FG113">
        <f>COUNTIFS('DRAFT 2'!$D:$D,$B113,'DRAFT 2'!$A:$A,"&gt;="&amp;DATE(2026,6,15),'DRAFT 2'!$A:$A,"&lt;="&amp;DATE(2026,6,21))</f>
        <v>0</v>
      </c>
      <c r="FH113">
        <f>COUNTIFS('DRAFT 2'!$D:$D,$B113,'DRAFT 2'!$A:$A,"&gt;="&amp;DATE(2026,6,22),'DRAFT 2'!$A:$A,"&lt;"&amp;DATE(2026,IF(6=12,6+1,6+1),1))</f>
        <v>0</v>
      </c>
      <c r="FI113">
        <f t="shared" si="49"/>
        <v>0</v>
      </c>
      <c r="FT113">
        <f>IFERROR(LOOKUP(2,1/('DRAFT 2'!$D:$D=$B113)*('DRAFT 2'!$A:$A&gt;=DATE(2026,7,1))*('DRAFT 2'!$A:$A&lt;DATE(2026,IF(7=12,7+1,7+1),1)),'DRAFT 2'!$A:$A),"")</f>
        <v>0</v>
      </c>
      <c r="FU113">
        <f>COUNTIFS('DRAFT 2'!$D:$D,$B113,'DRAFT 2'!$A:$A,"&gt;="&amp;DATE(2026,7,1),'DRAFT 2'!$A:$A,"&lt;="&amp;DATE(2026,7,7))</f>
        <v>0</v>
      </c>
      <c r="FV113">
        <f>COUNTIFS('DRAFT 2'!$D:$D,$B113,'DRAFT 2'!$A:$A,"&gt;="&amp;DATE(2026,7,8),'DRAFT 2'!$A:$A,"&lt;="&amp;DATE(2026,7,14))</f>
        <v>0</v>
      </c>
      <c r="FW113">
        <f>COUNTIFS('DRAFT 2'!$D:$D,$B113,'DRAFT 2'!$A:$A,"&gt;="&amp;DATE(2026,7,15),'DRAFT 2'!$A:$A,"&lt;="&amp;DATE(2026,7,21))</f>
        <v>0</v>
      </c>
      <c r="FX113">
        <f>COUNTIFS('DRAFT 2'!$D:$D,$B113,'DRAFT 2'!$A:$A,"&gt;="&amp;DATE(2026,7,22),'DRAFT 2'!$A:$A,"&lt;"&amp;DATE(2026,IF(7=12,7+1,7+1),1))</f>
        <v>0</v>
      </c>
      <c r="FY113">
        <f t="shared" si="50"/>
        <v>0</v>
      </c>
      <c r="GI113">
        <f>IFERROR(LOOKUP(2,1/('DRAFT 2'!$D:$D=$B113)*('DRAFT 2'!$A:$A&gt;=DATE(2026,8,1))*('DRAFT 2'!$A:$A&lt;DATE(2026,IF(8=12,8+1,8+1),1)),'DRAFT 2'!$A:$A),"")</f>
        <v>0</v>
      </c>
      <c r="GJ113">
        <f>COUNTIFS('DRAFT 2'!$D:$D,$B113,'DRAFT 2'!$A:$A,"&gt;="&amp;DATE(2026,8,1),'DRAFT 2'!$A:$A,"&lt;="&amp;DATE(2026,8,7))</f>
        <v>0</v>
      </c>
      <c r="GK113">
        <f>COUNTIFS('DRAFT 2'!$D:$D,$B113,'DRAFT 2'!$A:$A,"&gt;="&amp;DATE(2026,8,8),'DRAFT 2'!$A:$A,"&lt;="&amp;DATE(2026,8,14))</f>
        <v>0</v>
      </c>
      <c r="GL113">
        <f>COUNTIFS('DRAFT 2'!$D:$D,$B113,'DRAFT 2'!$A:$A,"&gt;="&amp;DATE(2026,8,15),'DRAFT 2'!$A:$A,"&lt;="&amp;DATE(2026,8,21))</f>
        <v>0</v>
      </c>
      <c r="GM113">
        <f>COUNTIFS('DRAFT 2'!$D:$D,$B113,'DRAFT 2'!$A:$A,"&gt;="&amp;DATE(2026,8,22),'DRAFT 2'!$A:$A,"&lt;"&amp;DATE(2026,IF(8=12,8+1,8+1),1))</f>
        <v>0</v>
      </c>
      <c r="GN113">
        <f t="shared" si="51"/>
        <v>0</v>
      </c>
      <c r="GX113">
        <f>IFERROR(LOOKUP(2,1/('DRAFT 2'!$D:$D=$B113)*('DRAFT 2'!$A:$A&gt;=DATE(2026,9,1))*('DRAFT 2'!$A:$A&lt;DATE(2026,IF(9=12,9+1,9+1),1)),'DRAFT 2'!$A:$A),"")</f>
        <v>0</v>
      </c>
      <c r="GY113">
        <f>COUNTIFS('DRAFT 2'!$D:$D,$B113,'DRAFT 2'!$A:$A,"&gt;="&amp;DATE(2026,9,1),'DRAFT 2'!$A:$A,"&lt;="&amp;DATE(2026,9,7))</f>
        <v>0</v>
      </c>
      <c r="GZ113">
        <f>COUNTIFS('DRAFT 2'!$D:$D,$B113,'DRAFT 2'!$A:$A,"&gt;="&amp;DATE(2026,9,8),'DRAFT 2'!$A:$A,"&lt;="&amp;DATE(2026,9,14))</f>
        <v>0</v>
      </c>
      <c r="HA113">
        <f>COUNTIFS('DRAFT 2'!$D:$D,$B113,'DRAFT 2'!$A:$A,"&gt;="&amp;DATE(2026,9,15),'DRAFT 2'!$A:$A,"&lt;="&amp;DATE(2026,9,21))</f>
        <v>0</v>
      </c>
      <c r="HB113">
        <f>COUNTIFS('DRAFT 2'!$D:$D,$B113,'DRAFT 2'!$A:$A,"&gt;="&amp;DATE(2026,9,22),'DRAFT 2'!$A:$A,"&lt;"&amp;DATE(2026,IF(9=12,9+1,9+1),1))</f>
        <v>0</v>
      </c>
      <c r="HC113">
        <f t="shared" si="52"/>
        <v>0</v>
      </c>
      <c r="HN113">
        <f>IFERROR(LOOKUP(2,1/('DRAFT 2'!$D:$D=$B113)*('DRAFT 2'!$A:$A&gt;=DATE(2026,10,1))*('DRAFT 2'!$A:$A&lt;DATE(2026,IF(10=12,10+1,10+1),1)),'DRAFT 2'!$A:$A),"")</f>
        <v>0</v>
      </c>
      <c r="HO113">
        <f>COUNTIFS('DRAFT 2'!$D:$D,$B113,'DRAFT 2'!$A:$A,"&gt;="&amp;DATE(2026,10,1),'DRAFT 2'!$A:$A,"&lt;="&amp;DATE(2026,10,7))</f>
        <v>0</v>
      </c>
      <c r="HP113">
        <f>COUNTIFS('DRAFT 2'!$D:$D,$B113,'DRAFT 2'!$A:$A,"&gt;="&amp;DATE(2026,10,8),'DRAFT 2'!$A:$A,"&lt;="&amp;DATE(2026,10,14))</f>
        <v>0</v>
      </c>
      <c r="HQ113">
        <f>COUNTIFS('DRAFT 2'!$D:$D,$B113,'DRAFT 2'!$A:$A,"&gt;="&amp;DATE(2026,10,15),'DRAFT 2'!$A:$A,"&lt;="&amp;DATE(2026,10,21))</f>
        <v>0</v>
      </c>
      <c r="HR113">
        <f>COUNTIFS('DRAFT 2'!$D:$D,$B113,'DRAFT 2'!$A:$A,"&gt;="&amp;DATE(2026,10,22),'DRAFT 2'!$A:$A,"&lt;"&amp;DATE(2026,IF(10=12,10+1,10+1),1))</f>
        <v>0</v>
      </c>
      <c r="HS113">
        <f t="shared" si="53"/>
        <v>0</v>
      </c>
      <c r="IC113">
        <f>IFERROR(LOOKUP(2,1/('DRAFT 2'!$D:$D=$B113)*('DRAFT 2'!$A:$A&gt;=DATE(2026,11,1))*('DRAFT 2'!$A:$A&lt;DATE(2026,IF(11=12,11+1,11+1),1)),'DRAFT 2'!$A:$A),"")</f>
        <v>0</v>
      </c>
      <c r="ID113">
        <f>COUNTIFS('DRAFT 2'!$D:$D,$B113,'DRAFT 2'!$A:$A,"&gt;="&amp;DATE(2026,11,1),'DRAFT 2'!$A:$A,"&lt;="&amp;DATE(2026,11,7))</f>
        <v>0</v>
      </c>
      <c r="IE113">
        <f>COUNTIFS('DRAFT 2'!$D:$D,$B113,'DRAFT 2'!$A:$A,"&gt;="&amp;DATE(2026,11,8),'DRAFT 2'!$A:$A,"&lt;="&amp;DATE(2026,11,14))</f>
        <v>0</v>
      </c>
      <c r="IF113">
        <f>COUNTIFS('DRAFT 2'!$D:$D,$B113,'DRAFT 2'!$A:$A,"&gt;="&amp;DATE(2026,11,15),'DRAFT 2'!$A:$A,"&lt;="&amp;DATE(2026,11,21))</f>
        <v>0</v>
      </c>
      <c r="IG113">
        <f>COUNTIFS('DRAFT 2'!$D:$D,$B113,'DRAFT 2'!$A:$A,"&gt;="&amp;DATE(2026,11,22),'DRAFT 2'!$A:$A,"&lt;"&amp;DATE(2026,IF(11=12,11+1,11+1),1))</f>
        <v>0</v>
      </c>
      <c r="IH113">
        <f t="shared" si="54"/>
        <v>0</v>
      </c>
      <c r="IR113">
        <f>IFERROR(LOOKUP(2,1/('DRAFT 2'!$D:$D=$B113)*('DRAFT 2'!$A:$A&gt;=DATE(2026,12,1))*('DRAFT 2'!$A:$A&lt;DATE(2026,IF(12=12,12+1,12+1),1)),'DRAFT 2'!$A:$A),"")</f>
        <v>0</v>
      </c>
      <c r="IS113">
        <f>COUNTIFS('DRAFT 2'!$D:$D,$B113,'DRAFT 2'!$A:$A,"&gt;="&amp;DATE(2026,12,1),'DRAFT 2'!$A:$A,"&lt;="&amp;DATE(2026,12,7))</f>
        <v>0</v>
      </c>
      <c r="IT113">
        <f>COUNTIFS('DRAFT 2'!$D:$D,$B113,'DRAFT 2'!$A:$A,"&gt;="&amp;DATE(2026,12,8),'DRAFT 2'!$A:$A,"&lt;="&amp;DATE(2026,12,14))</f>
        <v>0</v>
      </c>
      <c r="IU113">
        <f>COUNTIFS('DRAFT 2'!$D:$D,$B113,'DRAFT 2'!$A:$A,"&gt;="&amp;DATE(2026,12,15),'DRAFT 2'!$A:$A,"&lt;="&amp;DATE(2026,12,21))</f>
        <v>0</v>
      </c>
      <c r="IV113">
        <f>COUNTIFS('DRAFT 2'!$D:$D,$B113,'DRAFT 2'!$A:$A,"&gt;="&amp;DATE(2026,12,22),'DRAFT 2'!$A:$A,"&lt;"&amp;DATE(2026,IF(12=12,12+1,12+1),1))</f>
        <v>0</v>
      </c>
      <c r="IW113">
        <f t="shared" si="55"/>
        <v>0</v>
      </c>
    </row>
    <row r="114" spans="1:257" x14ac:dyDescent="0.3">
      <c r="A114" t="str">
        <f>IFERROR(INDEX('DRAFT 1'!$A:$A,MATCH($B114,'DRAFT 1'!$B:$B,0)),"")</f>
        <v/>
      </c>
      <c r="C114" t="str">
        <f>IFERROR(INDEX('DRAFT 1'!$C:$C,MATCH($B114,'DRAFT 1'!$B:$B,0)),"")</f>
        <v/>
      </c>
      <c r="D114" t="str">
        <f>IFERROR(INDEX('DRAFT 1'!$D:$D,MATCH($B114,'DRAFT 1'!$B:$B,0)),"")</f>
        <v/>
      </c>
      <c r="E114" t="str">
        <f>IFERROR(INDEX('DRAFT 1'!$E:$E,MATCH($B114,'DRAFT 1'!$B:$B,0)),"")</f>
        <v/>
      </c>
      <c r="F114" t="str">
        <f>IFERROR(INDEX('DRAFT 1'!$F:$F,MATCH($B114,'DRAFT 1'!$B:$B,0)),"")</f>
        <v/>
      </c>
      <c r="G114" t="str">
        <f>IFERROR(INDEX('DRAFT 1'!$G:$G,MATCH($B114,'DRAFT 1'!$B:$B,0)),"")</f>
        <v/>
      </c>
      <c r="H114" t="str">
        <f>IFERROR(INDEX('DRAFT 1'!$H:$H,MATCH($B114,'DRAFT 1'!$B:$B,0)),"")</f>
        <v/>
      </c>
      <c r="I114" t="s">
        <v>298</v>
      </c>
      <c r="K114" t="str">
        <f>IFERROR(INDEX('DRAFT 1'!$AL:$AL,MATCH($B114,'DRAFT 1'!$B:$B,0)),"")</f>
        <v/>
      </c>
      <c r="L114" t="str">
        <f>IFERROR(INDEX('DRAFT 1'!$J:$J,MATCH($B114,'DRAFT 1'!$B:$B,0)),"")</f>
        <v/>
      </c>
      <c r="M114" t="str">
        <f>IFERROR(INDEX('DRAFT 1'!$K:$K,MATCH($B114,'DRAFT 1'!$B:$B,0)),"")</f>
        <v/>
      </c>
      <c r="N114" t="s">
        <v>74</v>
      </c>
      <c r="P114" t="str">
        <f>IFERROR(INDEX('DRAFT 1'!$L:$L,MATCH($B114,'DRAFT 1'!$B:$B,0)),"")</f>
        <v/>
      </c>
      <c r="Q114" t="str">
        <f>IFERROR(INDEX('DRAFT 1'!$M:$M,MATCH($B114,'DRAFT 1'!$B:$B,0)),"")</f>
        <v/>
      </c>
      <c r="R114" t="str">
        <f>IFERROR(INDEX('DRAFT 1'!$N:$N,MATCH($B114,'DRAFT 1'!$B:$B,0)),"")</f>
        <v/>
      </c>
      <c r="S114" t="str">
        <f>IFERROR(INDEX('DRAFT 1'!$O:$O,MATCH($B114,'DRAFT 1'!$B:$B,0)),"")</f>
        <v/>
      </c>
      <c r="T114" t="str">
        <f>IFERROR(INDEX('DRAFT 1'!$P:$P,MATCH($B114,'DRAFT 1'!$B:$B,0)),"")</f>
        <v/>
      </c>
      <c r="U114" t="str">
        <f>IFERROR(INDEX('DRAFT 1'!$Q:$Q,MATCH($B114,'DRAFT 1'!$B:$B,0)),"")</f>
        <v/>
      </c>
      <c r="V114" t="str">
        <f>IFERROR(INDEX('DRAFT 1'!$R:$R,MATCH($B114,'DRAFT 1'!$B:$B,0)),"")</f>
        <v/>
      </c>
      <c r="W114" t="str">
        <f>IFERROR(INDEX('DRAFT 1'!$S:$S,MATCH($B114,'DRAFT 1'!$B:$B,0)),"")</f>
        <v/>
      </c>
      <c r="X114" t="str">
        <f>IFERROR(INDEX('DRAFT 1'!$T:$T,MATCH($B114,'DRAFT 1'!$B:$B,0)),"")</f>
        <v/>
      </c>
      <c r="Z114" t="str">
        <f>IFERROR(INDEX('DRAFT 1'!$U:$U,MATCH($B114,'DRAFT 1'!$B:$B,0)),"")</f>
        <v/>
      </c>
      <c r="AA114" t="str">
        <f>IFERROR(INDEX('DRAFT 1'!$V:$V,MATCH($B114,'DRAFT 1'!$B:$B,0)),"")</f>
        <v/>
      </c>
      <c r="AB114" t="str">
        <f>IFERROR(INDEX('DRAFT 1'!$W:$W,MATCH($B114,'DRAFT 1'!$B:$B,0)),"")</f>
        <v/>
      </c>
      <c r="AC114" t="str">
        <f>IFERROR(INDEX('DRAFT 1'!$X:$X,MATCH($B114,'DRAFT 1'!$B:$B,0)),"")</f>
        <v/>
      </c>
      <c r="AD114" t="str">
        <f>IFERROR(INDEX('DRAFT 1'!$Y:$Y,MATCH($B114,'DRAFT 1'!$B:$B,0)),"")</f>
        <v/>
      </c>
      <c r="AE114" t="str">
        <f>IFERROR(INDEX('DRAFT 1'!$Z:$Z,MATCH($B114,'DRAFT 1'!$B:$B,0)),"")</f>
        <v/>
      </c>
      <c r="AF114" t="str">
        <f>IFERROR(INDEX('DRAFT 1'!$AA:$AA,MATCH($B114,'DRAFT 1'!$B:$B,0)),"")</f>
        <v/>
      </c>
      <c r="AG114" t="str">
        <f>IFERROR(INDEX('DRAFT 1'!$AB:$AB,MATCH($B114,'DRAFT 1'!$B:$B,0)),"")</f>
        <v/>
      </c>
      <c r="AH114" t="str">
        <f>IFERROR(INDEX('DRAFT 1'!$AC:$AC,MATCH($B114,'DRAFT 1'!$B:$B,0)),"")</f>
        <v/>
      </c>
      <c r="AI114" t="str">
        <f>IFERROR(INDEX('DRAFT 1'!$AD:$AD,MATCH($B114,'DRAFT 1'!$B:$B,0)),"")</f>
        <v/>
      </c>
      <c r="AJ114" t="str">
        <f>IFERROR(INDEX('DRAFT 1'!$AE:$AE,MATCH($B114,'DRAFT 1'!$B:$B,0)),"")</f>
        <v/>
      </c>
      <c r="AK114" t="str">
        <f>IFERROR(INDEX('DRAFT 1'!$AG:$AG,MATCH($B114,'DRAFT 1'!$B:$B,0)),"")</f>
        <v/>
      </c>
      <c r="AL114" t="str">
        <f>IFERROR(INDEX('DRAFT 1'!$AH:$AH,MATCH($B114,'DRAFT 1'!$B:$B,0)),"")</f>
        <v/>
      </c>
      <c r="AM114" t="str">
        <f>IFERROR(INDEX('DRAFT 1'!$AI:$AI,MATCH($B114,'DRAFT 1'!$B:$B,0)),"")</f>
        <v/>
      </c>
      <c r="AN114" t="str">
        <f>IFERROR(INDEX('DRAFT 1'!$AJ:$AJ,MATCH($B114,'DRAFT 1'!$B:$B,0)),"")</f>
        <v/>
      </c>
      <c r="AO114">
        <f t="shared" si="42"/>
        <v>0</v>
      </c>
      <c r="AP114" t="str">
        <f>IFERROR(INDEX('DRAFT 1'!$AK:$AK,MATCH($B114,'DRAFT 1'!$B:$B,0)),"")</f>
        <v/>
      </c>
      <c r="AR114" t="s">
        <v>94</v>
      </c>
      <c r="AS114">
        <f>IFERROR(LOOKUP(2,1/('DRAFT 2'!$D:$D=$B114),'DRAFT 2'!$T:$T),"")</f>
        <v>0</v>
      </c>
      <c r="AT114">
        <f>IFERROR(LOOKUP(2,1/('DRAFT 2'!$D:$D=$B114),'DRAFT 2'!$A:$A),"")</f>
        <v>0</v>
      </c>
      <c r="AU114">
        <f>IFERROR(LOOKUP(2,1/('DRAFT 2'!$D:$D=$B114),'DRAFT 2'!$R:$R),"")</f>
        <v>0</v>
      </c>
      <c r="AV114">
        <f>IFERROR(LOOKUP(2,1/('DRAFT 2'!$D:$D=$B114),'DRAFT 2'!$S:$S),"")</f>
        <v>0</v>
      </c>
      <c r="AW114" t="s">
        <v>130</v>
      </c>
      <c r="AX114">
        <f>IFERROR(LOOKUP(2,1/('DRAFT 2'!$D:$D=$B114),'DRAFT 2'!$M:$M),"")</f>
        <v>0</v>
      </c>
      <c r="AY114">
        <f>IFERROR(LOOKUP(2,1/('DRAFT 2'!$D:$D=$B114),'DRAFT 2'!$K:$K),"")</f>
        <v>0</v>
      </c>
      <c r="BG114">
        <f>IFERROR(LOOKUP(2,1/('DRAFT 2'!$D:$D=$B114),'DRAFT 2'!$U:$U),"")</f>
        <v>0</v>
      </c>
      <c r="BH114">
        <f>IFERROR(LOOKUP(2,1/('DRAFT 2'!$D:$D=$B114),'DRAFT 2'!$V:$V),"")</f>
        <v>0</v>
      </c>
      <c r="CE114" t="str">
        <f t="shared" si="43"/>
        <v/>
      </c>
      <c r="CF114">
        <f>IFERROR(LOOKUP(2,1/('DRAFT 2'!$D:$D=$B114)*('DRAFT 2'!$A:$A&gt;=DATE(2026,1,1))*('DRAFT 2'!$A:$A&lt;DATE(2026,IF(1=12,1+1,1+1),1)),'DRAFT 2'!$A:$A),"")</f>
        <v>0</v>
      </c>
      <c r="CG114">
        <f>COUNTIFS('DRAFT 2'!$D:$D,$B114,'DRAFT 2'!$A:$A,"&gt;="&amp;DATE(2026,1,1),'DRAFT 2'!$A:$A,"&lt;="&amp;DATE(2026,1,7))</f>
        <v>0</v>
      </c>
      <c r="CH114">
        <f>COUNTIFS('DRAFT 2'!$D:$D,$B114,'DRAFT 2'!$A:$A,"&gt;="&amp;DATE(2026,1,8),'DRAFT 2'!$A:$A,"&lt;="&amp;DATE(2026,1,14))</f>
        <v>0</v>
      </c>
      <c r="CI114">
        <f>COUNTIFS('DRAFT 2'!$D:$D,$B114,'DRAFT 2'!$A:$A,"&gt;="&amp;DATE(2026,1,15),'DRAFT 2'!$A:$A,"&lt;="&amp;DATE(2026,1,21))</f>
        <v>0</v>
      </c>
      <c r="CJ114">
        <f>COUNTIFS('DRAFT 2'!$D:$D,$B114,'DRAFT 2'!$A:$A,"&gt;="&amp;DATE(2026,1,22),'DRAFT 2'!$A:$A,"&lt;"&amp;DATE(2026,IF(1=12,1+1,1+1),1))</f>
        <v>0</v>
      </c>
      <c r="CK114">
        <f t="shared" si="44"/>
        <v>0</v>
      </c>
      <c r="CT114">
        <v>0</v>
      </c>
      <c r="CU114">
        <f>IFERROR(LOOKUP(2,1/('DRAFT 2'!$D:$D=$B114)*('DRAFT 2'!$A:$A&gt;=DATE(2026,2,1))*('DRAFT 2'!$A:$A&lt;DATE(2026,IF(2=12,2+1,2+1),1)),'DRAFT 2'!$A:$A),"")</f>
        <v>0</v>
      </c>
      <c r="CV114">
        <f>COUNTIFS('DRAFT 2'!$D:$D,$B114,'DRAFT 2'!$A:$A,"&gt;="&amp;DATE(2026,2,1),'DRAFT 2'!$A:$A,"&lt;="&amp;DATE(2026,2,7))</f>
        <v>0</v>
      </c>
      <c r="CW114">
        <f>COUNTIFS('DRAFT 2'!$D:$D,$B114,'DRAFT 2'!$A:$A,"&gt;="&amp;DATE(2026,2,8),'DRAFT 2'!$A:$A,"&lt;="&amp;DATE(2026,2,14))</f>
        <v>0</v>
      </c>
      <c r="CX114">
        <f>COUNTIFS('DRAFT 2'!$D:$D,$B114,'DRAFT 2'!$A:$A,"&gt;="&amp;DATE(2026,2,15),'DRAFT 2'!$A:$A,"&lt;="&amp;DATE(2026,2,21))</f>
        <v>0</v>
      </c>
      <c r="CY114">
        <f>COUNTIFS('DRAFT 2'!$D:$D,$B114,'DRAFT 2'!$A:$A,"&gt;="&amp;DATE(2026,2,22),'DRAFT 2'!$A:$A,"&lt;"&amp;DATE(2026,IF(2=12,2+1,2+1),1))</f>
        <v>0</v>
      </c>
      <c r="CZ114">
        <f t="shared" si="45"/>
        <v>0</v>
      </c>
      <c r="DJ114">
        <f>IFERROR(LOOKUP(2,1/('DRAFT 2'!$D:$D=$B114)*('DRAFT 2'!$A:$A&gt;=DATE(2026,3,1))*('DRAFT 2'!$A:$A&lt;DATE(2026,IF(3=12,3+1,3+1),1)),'DRAFT 2'!$A:$A),"")</f>
        <v>0</v>
      </c>
      <c r="DK114">
        <f>COUNTIFS('DRAFT 2'!$D:$D,$B114,'DRAFT 2'!$A:$A,"&gt;="&amp;DATE(2026,3,1),'DRAFT 2'!$A:$A,"&lt;="&amp;DATE(2026,3,7))</f>
        <v>0</v>
      </c>
      <c r="DL114">
        <f>COUNTIFS('DRAFT 2'!$D:$D,$B114,'DRAFT 2'!$A:$A,"&gt;="&amp;DATE(2026,3,8),'DRAFT 2'!$A:$A,"&lt;="&amp;DATE(2026,3,14))</f>
        <v>0</v>
      </c>
      <c r="DM114">
        <f>COUNTIFS('DRAFT 2'!$D:$D,$B114,'DRAFT 2'!$A:$A,"&gt;="&amp;DATE(2026,3,15),'DRAFT 2'!$A:$A,"&lt;="&amp;DATE(2026,3,21))</f>
        <v>0</v>
      </c>
      <c r="DN114">
        <f>COUNTIFS('DRAFT 2'!$D:$D,$B114,'DRAFT 2'!$A:$A,"&gt;="&amp;DATE(2026,3,22),'DRAFT 2'!$A:$A,"&lt;"&amp;DATE(2026,IF(3=12,3+1,3+1),1))</f>
        <v>0</v>
      </c>
      <c r="DO114">
        <f t="shared" si="46"/>
        <v>0</v>
      </c>
      <c r="DZ114">
        <f>IFERROR(LOOKUP(2,1/('DRAFT 2'!$D:$D=$B114)*('DRAFT 2'!$A:$A&gt;=DATE(2026,4,1))*('DRAFT 2'!$A:$A&lt;DATE(2026,IF(4=12,4+1,4+1),1)),'DRAFT 2'!$A:$A),"")</f>
        <v>0</v>
      </c>
      <c r="EA114">
        <f>COUNTIFS('DRAFT 2'!$D:$D,$B114,'DRAFT 2'!$A:$A,"&gt;="&amp;DATE(2026,4,1),'DRAFT 2'!$A:$A,"&lt;="&amp;DATE(2026,4,7))</f>
        <v>0</v>
      </c>
      <c r="EB114">
        <f>COUNTIFS('DRAFT 2'!$D:$D,$B114,'DRAFT 2'!$A:$A,"&gt;="&amp;DATE(2026,4,8),'DRAFT 2'!$A:$A,"&lt;="&amp;DATE(2026,4,14))</f>
        <v>0</v>
      </c>
      <c r="EC114">
        <f>COUNTIFS('DRAFT 2'!$D:$D,$B114,'DRAFT 2'!$A:$A,"&gt;="&amp;DATE(2026,4,15),'DRAFT 2'!$A:$A,"&lt;="&amp;DATE(2026,4,21))</f>
        <v>0</v>
      </c>
      <c r="ED114">
        <f>COUNTIFS('DRAFT 2'!$D:$D,$B114,'DRAFT 2'!$A:$A,"&gt;="&amp;DATE(2026,4,22),'DRAFT 2'!$A:$A,"&lt;"&amp;DATE(2026,IF(4=12,4+1,4+1),1))</f>
        <v>0</v>
      </c>
      <c r="EE114">
        <f t="shared" si="47"/>
        <v>0</v>
      </c>
      <c r="EO114">
        <f>IFERROR(LOOKUP(2,1/('DRAFT 2'!$D:$D=$B114)*('DRAFT 2'!$A:$A&gt;=DATE(2026,5,1))*('DRAFT 2'!$A:$A&lt;DATE(2026,IF(5=12,5+1,5+1),1)),'DRAFT 2'!$A:$A),"")</f>
        <v>0</v>
      </c>
      <c r="EP114">
        <f>COUNTIFS('DRAFT 2'!$D:$D,$B114,'DRAFT 2'!$A:$A,"&gt;="&amp;DATE(2026,5,1),'DRAFT 2'!$A:$A,"&lt;="&amp;DATE(2026,5,7))</f>
        <v>0</v>
      </c>
      <c r="EQ114">
        <f>COUNTIFS('DRAFT 2'!$D:$D,$B114,'DRAFT 2'!$A:$A,"&gt;="&amp;DATE(2026,5,8),'DRAFT 2'!$A:$A,"&lt;="&amp;DATE(2026,5,14))</f>
        <v>0</v>
      </c>
      <c r="ER114">
        <f>COUNTIFS('DRAFT 2'!$D:$D,$B114,'DRAFT 2'!$A:$A,"&gt;="&amp;DATE(2026,5,15),'DRAFT 2'!$A:$A,"&lt;="&amp;DATE(2026,5,21))</f>
        <v>0</v>
      </c>
      <c r="ES114">
        <f>COUNTIFS('DRAFT 2'!$D:$D,$B114,'DRAFT 2'!$A:$A,"&gt;="&amp;DATE(2026,5,22),'DRAFT 2'!$A:$A,"&lt;"&amp;DATE(2026,IF(5=12,5+1,5+1),1))</f>
        <v>0</v>
      </c>
      <c r="ET114">
        <f t="shared" si="48"/>
        <v>0</v>
      </c>
      <c r="FD114">
        <f>IFERROR(LOOKUP(2,1/('DRAFT 2'!$D:$D=$B114)*('DRAFT 2'!$A:$A&gt;=DATE(2026,6,1))*('DRAFT 2'!$A:$A&lt;DATE(2026,IF(6=12,6+1,6+1),1)),'DRAFT 2'!$A:$A),"")</f>
        <v>0</v>
      </c>
      <c r="FE114">
        <f>COUNTIFS('DRAFT 2'!$D:$D,$B114,'DRAFT 2'!$A:$A,"&gt;="&amp;DATE(2026,6,1),'DRAFT 2'!$A:$A,"&lt;="&amp;DATE(2026,6,7))</f>
        <v>0</v>
      </c>
      <c r="FF114">
        <f>COUNTIFS('DRAFT 2'!$D:$D,$B114,'DRAFT 2'!$A:$A,"&gt;="&amp;DATE(2026,6,8),'DRAFT 2'!$A:$A,"&lt;="&amp;DATE(2026,6,14))</f>
        <v>0</v>
      </c>
      <c r="FG114">
        <f>COUNTIFS('DRAFT 2'!$D:$D,$B114,'DRAFT 2'!$A:$A,"&gt;="&amp;DATE(2026,6,15),'DRAFT 2'!$A:$A,"&lt;="&amp;DATE(2026,6,21))</f>
        <v>0</v>
      </c>
      <c r="FH114">
        <f>COUNTIFS('DRAFT 2'!$D:$D,$B114,'DRAFT 2'!$A:$A,"&gt;="&amp;DATE(2026,6,22),'DRAFT 2'!$A:$A,"&lt;"&amp;DATE(2026,IF(6=12,6+1,6+1),1))</f>
        <v>0</v>
      </c>
      <c r="FI114">
        <f t="shared" si="49"/>
        <v>0</v>
      </c>
      <c r="FT114">
        <f>IFERROR(LOOKUP(2,1/('DRAFT 2'!$D:$D=$B114)*('DRAFT 2'!$A:$A&gt;=DATE(2026,7,1))*('DRAFT 2'!$A:$A&lt;DATE(2026,IF(7=12,7+1,7+1),1)),'DRAFT 2'!$A:$A),"")</f>
        <v>0</v>
      </c>
      <c r="FU114">
        <f>COUNTIFS('DRAFT 2'!$D:$D,$B114,'DRAFT 2'!$A:$A,"&gt;="&amp;DATE(2026,7,1),'DRAFT 2'!$A:$A,"&lt;="&amp;DATE(2026,7,7))</f>
        <v>0</v>
      </c>
      <c r="FV114">
        <f>COUNTIFS('DRAFT 2'!$D:$D,$B114,'DRAFT 2'!$A:$A,"&gt;="&amp;DATE(2026,7,8),'DRAFT 2'!$A:$A,"&lt;="&amp;DATE(2026,7,14))</f>
        <v>0</v>
      </c>
      <c r="FW114">
        <f>COUNTIFS('DRAFT 2'!$D:$D,$B114,'DRAFT 2'!$A:$A,"&gt;="&amp;DATE(2026,7,15),'DRAFT 2'!$A:$A,"&lt;="&amp;DATE(2026,7,21))</f>
        <v>0</v>
      </c>
      <c r="FX114">
        <f>COUNTIFS('DRAFT 2'!$D:$D,$B114,'DRAFT 2'!$A:$A,"&gt;="&amp;DATE(2026,7,22),'DRAFT 2'!$A:$A,"&lt;"&amp;DATE(2026,IF(7=12,7+1,7+1),1))</f>
        <v>0</v>
      </c>
      <c r="FY114">
        <f t="shared" si="50"/>
        <v>0</v>
      </c>
      <c r="GI114">
        <f>IFERROR(LOOKUP(2,1/('DRAFT 2'!$D:$D=$B114)*('DRAFT 2'!$A:$A&gt;=DATE(2026,8,1))*('DRAFT 2'!$A:$A&lt;DATE(2026,IF(8=12,8+1,8+1),1)),'DRAFT 2'!$A:$A),"")</f>
        <v>0</v>
      </c>
      <c r="GJ114">
        <f>COUNTIFS('DRAFT 2'!$D:$D,$B114,'DRAFT 2'!$A:$A,"&gt;="&amp;DATE(2026,8,1),'DRAFT 2'!$A:$A,"&lt;="&amp;DATE(2026,8,7))</f>
        <v>0</v>
      </c>
      <c r="GK114">
        <f>COUNTIFS('DRAFT 2'!$D:$D,$B114,'DRAFT 2'!$A:$A,"&gt;="&amp;DATE(2026,8,8),'DRAFT 2'!$A:$A,"&lt;="&amp;DATE(2026,8,14))</f>
        <v>0</v>
      </c>
      <c r="GL114">
        <f>COUNTIFS('DRAFT 2'!$D:$D,$B114,'DRAFT 2'!$A:$A,"&gt;="&amp;DATE(2026,8,15),'DRAFT 2'!$A:$A,"&lt;="&amp;DATE(2026,8,21))</f>
        <v>0</v>
      </c>
      <c r="GM114">
        <f>COUNTIFS('DRAFT 2'!$D:$D,$B114,'DRAFT 2'!$A:$A,"&gt;="&amp;DATE(2026,8,22),'DRAFT 2'!$A:$A,"&lt;"&amp;DATE(2026,IF(8=12,8+1,8+1),1))</f>
        <v>0</v>
      </c>
      <c r="GN114">
        <f t="shared" si="51"/>
        <v>0</v>
      </c>
      <c r="GX114">
        <f>IFERROR(LOOKUP(2,1/('DRAFT 2'!$D:$D=$B114)*('DRAFT 2'!$A:$A&gt;=DATE(2026,9,1))*('DRAFT 2'!$A:$A&lt;DATE(2026,IF(9=12,9+1,9+1),1)),'DRAFT 2'!$A:$A),"")</f>
        <v>0</v>
      </c>
      <c r="GY114">
        <f>COUNTIFS('DRAFT 2'!$D:$D,$B114,'DRAFT 2'!$A:$A,"&gt;="&amp;DATE(2026,9,1),'DRAFT 2'!$A:$A,"&lt;="&amp;DATE(2026,9,7))</f>
        <v>0</v>
      </c>
      <c r="GZ114">
        <f>COUNTIFS('DRAFT 2'!$D:$D,$B114,'DRAFT 2'!$A:$A,"&gt;="&amp;DATE(2026,9,8),'DRAFT 2'!$A:$A,"&lt;="&amp;DATE(2026,9,14))</f>
        <v>0</v>
      </c>
      <c r="HA114">
        <f>COUNTIFS('DRAFT 2'!$D:$D,$B114,'DRAFT 2'!$A:$A,"&gt;="&amp;DATE(2026,9,15),'DRAFT 2'!$A:$A,"&lt;="&amp;DATE(2026,9,21))</f>
        <v>0</v>
      </c>
      <c r="HB114">
        <f>COUNTIFS('DRAFT 2'!$D:$D,$B114,'DRAFT 2'!$A:$A,"&gt;="&amp;DATE(2026,9,22),'DRAFT 2'!$A:$A,"&lt;"&amp;DATE(2026,IF(9=12,9+1,9+1),1))</f>
        <v>0</v>
      </c>
      <c r="HC114">
        <f t="shared" si="52"/>
        <v>0</v>
      </c>
      <c r="HN114">
        <f>IFERROR(LOOKUP(2,1/('DRAFT 2'!$D:$D=$B114)*('DRAFT 2'!$A:$A&gt;=DATE(2026,10,1))*('DRAFT 2'!$A:$A&lt;DATE(2026,IF(10=12,10+1,10+1),1)),'DRAFT 2'!$A:$A),"")</f>
        <v>0</v>
      </c>
      <c r="HO114">
        <f>COUNTIFS('DRAFT 2'!$D:$D,$B114,'DRAFT 2'!$A:$A,"&gt;="&amp;DATE(2026,10,1),'DRAFT 2'!$A:$A,"&lt;="&amp;DATE(2026,10,7))</f>
        <v>0</v>
      </c>
      <c r="HP114">
        <f>COUNTIFS('DRAFT 2'!$D:$D,$B114,'DRAFT 2'!$A:$A,"&gt;="&amp;DATE(2026,10,8),'DRAFT 2'!$A:$A,"&lt;="&amp;DATE(2026,10,14))</f>
        <v>0</v>
      </c>
      <c r="HQ114">
        <f>COUNTIFS('DRAFT 2'!$D:$D,$B114,'DRAFT 2'!$A:$A,"&gt;="&amp;DATE(2026,10,15),'DRAFT 2'!$A:$A,"&lt;="&amp;DATE(2026,10,21))</f>
        <v>0</v>
      </c>
      <c r="HR114">
        <f>COUNTIFS('DRAFT 2'!$D:$D,$B114,'DRAFT 2'!$A:$A,"&gt;="&amp;DATE(2026,10,22),'DRAFT 2'!$A:$A,"&lt;"&amp;DATE(2026,IF(10=12,10+1,10+1),1))</f>
        <v>0</v>
      </c>
      <c r="HS114">
        <f t="shared" si="53"/>
        <v>0</v>
      </c>
      <c r="IC114">
        <f>IFERROR(LOOKUP(2,1/('DRAFT 2'!$D:$D=$B114)*('DRAFT 2'!$A:$A&gt;=DATE(2026,11,1))*('DRAFT 2'!$A:$A&lt;DATE(2026,IF(11=12,11+1,11+1),1)),'DRAFT 2'!$A:$A),"")</f>
        <v>0</v>
      </c>
      <c r="ID114">
        <f>COUNTIFS('DRAFT 2'!$D:$D,$B114,'DRAFT 2'!$A:$A,"&gt;="&amp;DATE(2026,11,1),'DRAFT 2'!$A:$A,"&lt;="&amp;DATE(2026,11,7))</f>
        <v>0</v>
      </c>
      <c r="IE114">
        <f>COUNTIFS('DRAFT 2'!$D:$D,$B114,'DRAFT 2'!$A:$A,"&gt;="&amp;DATE(2026,11,8),'DRAFT 2'!$A:$A,"&lt;="&amp;DATE(2026,11,14))</f>
        <v>0</v>
      </c>
      <c r="IF114">
        <f>COUNTIFS('DRAFT 2'!$D:$D,$B114,'DRAFT 2'!$A:$A,"&gt;="&amp;DATE(2026,11,15),'DRAFT 2'!$A:$A,"&lt;="&amp;DATE(2026,11,21))</f>
        <v>0</v>
      </c>
      <c r="IG114">
        <f>COUNTIFS('DRAFT 2'!$D:$D,$B114,'DRAFT 2'!$A:$A,"&gt;="&amp;DATE(2026,11,22),'DRAFT 2'!$A:$A,"&lt;"&amp;DATE(2026,IF(11=12,11+1,11+1),1))</f>
        <v>0</v>
      </c>
      <c r="IH114">
        <f t="shared" si="54"/>
        <v>0</v>
      </c>
      <c r="IR114">
        <f>IFERROR(LOOKUP(2,1/('DRAFT 2'!$D:$D=$B114)*('DRAFT 2'!$A:$A&gt;=DATE(2026,12,1))*('DRAFT 2'!$A:$A&lt;DATE(2026,IF(12=12,12+1,12+1),1)),'DRAFT 2'!$A:$A),"")</f>
        <v>0</v>
      </c>
      <c r="IS114">
        <f>COUNTIFS('DRAFT 2'!$D:$D,$B114,'DRAFT 2'!$A:$A,"&gt;="&amp;DATE(2026,12,1),'DRAFT 2'!$A:$A,"&lt;="&amp;DATE(2026,12,7))</f>
        <v>0</v>
      </c>
      <c r="IT114">
        <f>COUNTIFS('DRAFT 2'!$D:$D,$B114,'DRAFT 2'!$A:$A,"&gt;="&amp;DATE(2026,12,8),'DRAFT 2'!$A:$A,"&lt;="&amp;DATE(2026,12,14))</f>
        <v>0</v>
      </c>
      <c r="IU114">
        <f>COUNTIFS('DRAFT 2'!$D:$D,$B114,'DRAFT 2'!$A:$A,"&gt;="&amp;DATE(2026,12,15),'DRAFT 2'!$A:$A,"&lt;="&amp;DATE(2026,12,21))</f>
        <v>0</v>
      </c>
      <c r="IV114">
        <f>COUNTIFS('DRAFT 2'!$D:$D,$B114,'DRAFT 2'!$A:$A,"&gt;="&amp;DATE(2026,12,22),'DRAFT 2'!$A:$A,"&lt;"&amp;DATE(2026,IF(12=12,12+1,12+1),1))</f>
        <v>0</v>
      </c>
      <c r="IW114">
        <f t="shared" si="55"/>
        <v>0</v>
      </c>
    </row>
    <row r="115" spans="1:257" x14ac:dyDescent="0.3">
      <c r="A115" t="str">
        <f>IFERROR(INDEX('DRAFT 1'!$A:$A,MATCH($B115,'DRAFT 1'!$B:$B,0)),"")</f>
        <v/>
      </c>
      <c r="C115" t="str">
        <f>IFERROR(INDEX('DRAFT 1'!$C:$C,MATCH($B115,'DRAFT 1'!$B:$B,0)),"")</f>
        <v/>
      </c>
      <c r="D115" t="str">
        <f>IFERROR(INDEX('DRAFT 1'!$D:$D,MATCH($B115,'DRAFT 1'!$B:$B,0)),"")</f>
        <v/>
      </c>
      <c r="E115" t="str">
        <f>IFERROR(INDEX('DRAFT 1'!$E:$E,MATCH($B115,'DRAFT 1'!$B:$B,0)),"")</f>
        <v/>
      </c>
      <c r="F115" t="str">
        <f>IFERROR(INDEX('DRAFT 1'!$F:$F,MATCH($B115,'DRAFT 1'!$B:$B,0)),"")</f>
        <v/>
      </c>
      <c r="G115" t="str">
        <f>IFERROR(INDEX('DRAFT 1'!$G:$G,MATCH($B115,'DRAFT 1'!$B:$B,0)),"")</f>
        <v/>
      </c>
      <c r="H115" t="str">
        <f>IFERROR(INDEX('DRAFT 1'!$H:$H,MATCH($B115,'DRAFT 1'!$B:$B,0)),"")</f>
        <v/>
      </c>
      <c r="I115" t="s">
        <v>297</v>
      </c>
      <c r="K115" t="str">
        <f>IFERROR(INDEX('DRAFT 1'!$AL:$AL,MATCH($B115,'DRAFT 1'!$B:$B,0)),"")</f>
        <v/>
      </c>
      <c r="L115" t="str">
        <f>IFERROR(INDEX('DRAFT 1'!$J:$J,MATCH($B115,'DRAFT 1'!$B:$B,0)),"")</f>
        <v/>
      </c>
      <c r="M115" t="str">
        <f>IFERROR(INDEX('DRAFT 1'!$K:$K,MATCH($B115,'DRAFT 1'!$B:$B,0)),"")</f>
        <v/>
      </c>
      <c r="N115" t="s">
        <v>79</v>
      </c>
      <c r="P115" t="str">
        <f>IFERROR(INDEX('DRAFT 1'!$L:$L,MATCH($B115,'DRAFT 1'!$B:$B,0)),"")</f>
        <v/>
      </c>
      <c r="Q115" t="str">
        <f>IFERROR(INDEX('DRAFT 1'!$M:$M,MATCH($B115,'DRAFT 1'!$B:$B,0)),"")</f>
        <v/>
      </c>
      <c r="R115" t="str">
        <f>IFERROR(INDEX('DRAFT 1'!$N:$N,MATCH($B115,'DRAFT 1'!$B:$B,0)),"")</f>
        <v/>
      </c>
      <c r="S115" t="str">
        <f>IFERROR(INDEX('DRAFT 1'!$O:$O,MATCH($B115,'DRAFT 1'!$B:$B,0)),"")</f>
        <v/>
      </c>
      <c r="T115" t="str">
        <f>IFERROR(INDEX('DRAFT 1'!$P:$P,MATCH($B115,'DRAFT 1'!$B:$B,0)),"")</f>
        <v/>
      </c>
      <c r="U115" t="str">
        <f>IFERROR(INDEX('DRAFT 1'!$Q:$Q,MATCH($B115,'DRAFT 1'!$B:$B,0)),"")</f>
        <v/>
      </c>
      <c r="V115" t="str">
        <f>IFERROR(INDEX('DRAFT 1'!$R:$R,MATCH($B115,'DRAFT 1'!$B:$B,0)),"")</f>
        <v/>
      </c>
      <c r="W115" t="str">
        <f>IFERROR(INDEX('DRAFT 1'!$S:$S,MATCH($B115,'DRAFT 1'!$B:$B,0)),"")</f>
        <v/>
      </c>
      <c r="X115" t="str">
        <f>IFERROR(INDEX('DRAFT 1'!$T:$T,MATCH($B115,'DRAFT 1'!$B:$B,0)),"")</f>
        <v/>
      </c>
      <c r="Z115" t="str">
        <f>IFERROR(INDEX('DRAFT 1'!$U:$U,MATCH($B115,'DRAFT 1'!$B:$B,0)),"")</f>
        <v/>
      </c>
      <c r="AA115" t="str">
        <f>IFERROR(INDEX('DRAFT 1'!$V:$V,MATCH($B115,'DRAFT 1'!$B:$B,0)),"")</f>
        <v/>
      </c>
      <c r="AB115" t="str">
        <f>IFERROR(INDEX('DRAFT 1'!$W:$W,MATCH($B115,'DRAFT 1'!$B:$B,0)),"")</f>
        <v/>
      </c>
      <c r="AC115" t="str">
        <f>IFERROR(INDEX('DRAFT 1'!$X:$X,MATCH($B115,'DRAFT 1'!$B:$B,0)),"")</f>
        <v/>
      </c>
      <c r="AD115" t="str">
        <f>IFERROR(INDEX('DRAFT 1'!$Y:$Y,MATCH($B115,'DRAFT 1'!$B:$B,0)),"")</f>
        <v/>
      </c>
      <c r="AE115" t="str">
        <f>IFERROR(INDEX('DRAFT 1'!$Z:$Z,MATCH($B115,'DRAFT 1'!$B:$B,0)),"")</f>
        <v/>
      </c>
      <c r="AF115" t="str">
        <f>IFERROR(INDEX('DRAFT 1'!$AA:$AA,MATCH($B115,'DRAFT 1'!$B:$B,0)),"")</f>
        <v/>
      </c>
      <c r="AG115" t="str">
        <f>IFERROR(INDEX('DRAFT 1'!$AB:$AB,MATCH($B115,'DRAFT 1'!$B:$B,0)),"")</f>
        <v/>
      </c>
      <c r="AH115" t="str">
        <f>IFERROR(INDEX('DRAFT 1'!$AC:$AC,MATCH($B115,'DRAFT 1'!$B:$B,0)),"")</f>
        <v/>
      </c>
      <c r="AI115" t="str">
        <f>IFERROR(INDEX('DRAFT 1'!$AD:$AD,MATCH($B115,'DRAFT 1'!$B:$B,0)),"")</f>
        <v/>
      </c>
      <c r="AJ115" t="str">
        <f>IFERROR(INDEX('DRAFT 1'!$AE:$AE,MATCH($B115,'DRAFT 1'!$B:$B,0)),"")</f>
        <v/>
      </c>
      <c r="AK115" t="str">
        <f>IFERROR(INDEX('DRAFT 1'!$AG:$AG,MATCH($B115,'DRAFT 1'!$B:$B,0)),"")</f>
        <v/>
      </c>
      <c r="AL115" t="str">
        <f>IFERROR(INDEX('DRAFT 1'!$AH:$AH,MATCH($B115,'DRAFT 1'!$B:$B,0)),"")</f>
        <v/>
      </c>
      <c r="AM115" t="str">
        <f>IFERROR(INDEX('DRAFT 1'!$AI:$AI,MATCH($B115,'DRAFT 1'!$B:$B,0)),"")</f>
        <v/>
      </c>
      <c r="AN115" t="str">
        <f>IFERROR(INDEX('DRAFT 1'!$AJ:$AJ,MATCH($B115,'DRAFT 1'!$B:$B,0)),"")</f>
        <v/>
      </c>
      <c r="AO115">
        <f t="shared" si="42"/>
        <v>0</v>
      </c>
      <c r="AP115" t="str">
        <f>IFERROR(INDEX('DRAFT 1'!$AK:$AK,MATCH($B115,'DRAFT 1'!$B:$B,0)),"")</f>
        <v/>
      </c>
      <c r="AR115" t="s">
        <v>91</v>
      </c>
      <c r="AS115">
        <f>IFERROR(LOOKUP(2,1/('DRAFT 2'!$D:$D=$B115),'DRAFT 2'!$T:$T),"")</f>
        <v>0</v>
      </c>
      <c r="AT115">
        <f>IFERROR(LOOKUP(2,1/('DRAFT 2'!$D:$D=$B115),'DRAFT 2'!$A:$A),"")</f>
        <v>0</v>
      </c>
      <c r="AU115">
        <f>IFERROR(LOOKUP(2,1/('DRAFT 2'!$D:$D=$B115),'DRAFT 2'!$R:$R),"")</f>
        <v>0</v>
      </c>
      <c r="AV115">
        <f>IFERROR(LOOKUP(2,1/('DRAFT 2'!$D:$D=$B115),'DRAFT 2'!$S:$S),"")</f>
        <v>0</v>
      </c>
      <c r="AW115" t="s">
        <v>126</v>
      </c>
      <c r="AX115">
        <f>IFERROR(LOOKUP(2,1/('DRAFT 2'!$D:$D=$B115),'DRAFT 2'!$M:$M),"")</f>
        <v>0</v>
      </c>
      <c r="AY115">
        <f>IFERROR(LOOKUP(2,1/('DRAFT 2'!$D:$D=$B115),'DRAFT 2'!$K:$K),"")</f>
        <v>0</v>
      </c>
      <c r="BG115">
        <f>IFERROR(LOOKUP(2,1/('DRAFT 2'!$D:$D=$B115),'DRAFT 2'!$U:$U),"")</f>
        <v>0</v>
      </c>
      <c r="BH115">
        <f>IFERROR(LOOKUP(2,1/('DRAFT 2'!$D:$D=$B115),'DRAFT 2'!$V:$V),"")</f>
        <v>0</v>
      </c>
      <c r="CE115" t="str">
        <f t="shared" si="43"/>
        <v/>
      </c>
      <c r="CF115">
        <f>IFERROR(LOOKUP(2,1/('DRAFT 2'!$D:$D=$B115)*('DRAFT 2'!$A:$A&gt;=DATE(2026,1,1))*('DRAFT 2'!$A:$A&lt;DATE(2026,IF(1=12,1+1,1+1),1)),'DRAFT 2'!$A:$A),"")</f>
        <v>0</v>
      </c>
      <c r="CG115">
        <f>COUNTIFS('DRAFT 2'!$D:$D,$B115,'DRAFT 2'!$A:$A,"&gt;="&amp;DATE(2026,1,1),'DRAFT 2'!$A:$A,"&lt;="&amp;DATE(2026,1,7))</f>
        <v>0</v>
      </c>
      <c r="CH115">
        <f>COUNTIFS('DRAFT 2'!$D:$D,$B115,'DRAFT 2'!$A:$A,"&gt;="&amp;DATE(2026,1,8),'DRAFT 2'!$A:$A,"&lt;="&amp;DATE(2026,1,14))</f>
        <v>0</v>
      </c>
      <c r="CI115">
        <f>COUNTIFS('DRAFT 2'!$D:$D,$B115,'DRAFT 2'!$A:$A,"&gt;="&amp;DATE(2026,1,15),'DRAFT 2'!$A:$A,"&lt;="&amp;DATE(2026,1,21))</f>
        <v>0</v>
      </c>
      <c r="CJ115">
        <f>COUNTIFS('DRAFT 2'!$D:$D,$B115,'DRAFT 2'!$A:$A,"&gt;="&amp;DATE(2026,1,22),'DRAFT 2'!$A:$A,"&lt;"&amp;DATE(2026,IF(1=12,1+1,1+1),1))</f>
        <v>0</v>
      </c>
      <c r="CK115">
        <f t="shared" si="44"/>
        <v>0</v>
      </c>
      <c r="CT115">
        <v>0</v>
      </c>
      <c r="CU115">
        <f>IFERROR(LOOKUP(2,1/('DRAFT 2'!$D:$D=$B115)*('DRAFT 2'!$A:$A&gt;=DATE(2026,2,1))*('DRAFT 2'!$A:$A&lt;DATE(2026,IF(2=12,2+1,2+1),1)),'DRAFT 2'!$A:$A),"")</f>
        <v>0</v>
      </c>
      <c r="CV115">
        <f>COUNTIFS('DRAFT 2'!$D:$D,$B115,'DRAFT 2'!$A:$A,"&gt;="&amp;DATE(2026,2,1),'DRAFT 2'!$A:$A,"&lt;="&amp;DATE(2026,2,7))</f>
        <v>0</v>
      </c>
      <c r="CW115">
        <f>COUNTIFS('DRAFT 2'!$D:$D,$B115,'DRAFT 2'!$A:$A,"&gt;="&amp;DATE(2026,2,8),'DRAFT 2'!$A:$A,"&lt;="&amp;DATE(2026,2,14))</f>
        <v>0</v>
      </c>
      <c r="CX115">
        <f>COUNTIFS('DRAFT 2'!$D:$D,$B115,'DRAFT 2'!$A:$A,"&gt;="&amp;DATE(2026,2,15),'DRAFT 2'!$A:$A,"&lt;="&amp;DATE(2026,2,21))</f>
        <v>0</v>
      </c>
      <c r="CY115">
        <f>COUNTIFS('DRAFT 2'!$D:$D,$B115,'DRAFT 2'!$A:$A,"&gt;="&amp;DATE(2026,2,22),'DRAFT 2'!$A:$A,"&lt;"&amp;DATE(2026,IF(2=12,2+1,2+1),1))</f>
        <v>0</v>
      </c>
      <c r="CZ115">
        <f t="shared" si="45"/>
        <v>0</v>
      </c>
      <c r="DJ115">
        <f>IFERROR(LOOKUP(2,1/('DRAFT 2'!$D:$D=$B115)*('DRAFT 2'!$A:$A&gt;=DATE(2026,3,1))*('DRAFT 2'!$A:$A&lt;DATE(2026,IF(3=12,3+1,3+1),1)),'DRAFT 2'!$A:$A),"")</f>
        <v>0</v>
      </c>
      <c r="DK115">
        <f>COUNTIFS('DRAFT 2'!$D:$D,$B115,'DRAFT 2'!$A:$A,"&gt;="&amp;DATE(2026,3,1),'DRAFT 2'!$A:$A,"&lt;="&amp;DATE(2026,3,7))</f>
        <v>0</v>
      </c>
      <c r="DL115">
        <f>COUNTIFS('DRAFT 2'!$D:$D,$B115,'DRAFT 2'!$A:$A,"&gt;="&amp;DATE(2026,3,8),'DRAFT 2'!$A:$A,"&lt;="&amp;DATE(2026,3,14))</f>
        <v>0</v>
      </c>
      <c r="DM115">
        <f>COUNTIFS('DRAFT 2'!$D:$D,$B115,'DRAFT 2'!$A:$A,"&gt;="&amp;DATE(2026,3,15),'DRAFT 2'!$A:$A,"&lt;="&amp;DATE(2026,3,21))</f>
        <v>0</v>
      </c>
      <c r="DN115">
        <f>COUNTIFS('DRAFT 2'!$D:$D,$B115,'DRAFT 2'!$A:$A,"&gt;="&amp;DATE(2026,3,22),'DRAFT 2'!$A:$A,"&lt;"&amp;DATE(2026,IF(3=12,3+1,3+1),1))</f>
        <v>0</v>
      </c>
      <c r="DO115">
        <f t="shared" si="46"/>
        <v>0</v>
      </c>
      <c r="DZ115">
        <f>IFERROR(LOOKUP(2,1/('DRAFT 2'!$D:$D=$B115)*('DRAFT 2'!$A:$A&gt;=DATE(2026,4,1))*('DRAFT 2'!$A:$A&lt;DATE(2026,IF(4=12,4+1,4+1),1)),'DRAFT 2'!$A:$A),"")</f>
        <v>0</v>
      </c>
      <c r="EA115">
        <f>COUNTIFS('DRAFT 2'!$D:$D,$B115,'DRAFT 2'!$A:$A,"&gt;="&amp;DATE(2026,4,1),'DRAFT 2'!$A:$A,"&lt;="&amp;DATE(2026,4,7))</f>
        <v>0</v>
      </c>
      <c r="EB115">
        <f>COUNTIFS('DRAFT 2'!$D:$D,$B115,'DRAFT 2'!$A:$A,"&gt;="&amp;DATE(2026,4,8),'DRAFT 2'!$A:$A,"&lt;="&amp;DATE(2026,4,14))</f>
        <v>0</v>
      </c>
      <c r="EC115">
        <f>COUNTIFS('DRAFT 2'!$D:$D,$B115,'DRAFT 2'!$A:$A,"&gt;="&amp;DATE(2026,4,15),'DRAFT 2'!$A:$A,"&lt;="&amp;DATE(2026,4,21))</f>
        <v>0</v>
      </c>
      <c r="ED115">
        <f>COUNTIFS('DRAFT 2'!$D:$D,$B115,'DRAFT 2'!$A:$A,"&gt;="&amp;DATE(2026,4,22),'DRAFT 2'!$A:$A,"&lt;"&amp;DATE(2026,IF(4=12,4+1,4+1),1))</f>
        <v>0</v>
      </c>
      <c r="EE115">
        <f t="shared" si="47"/>
        <v>0</v>
      </c>
      <c r="EO115">
        <f>IFERROR(LOOKUP(2,1/('DRAFT 2'!$D:$D=$B115)*('DRAFT 2'!$A:$A&gt;=DATE(2026,5,1))*('DRAFT 2'!$A:$A&lt;DATE(2026,IF(5=12,5+1,5+1),1)),'DRAFT 2'!$A:$A),"")</f>
        <v>0</v>
      </c>
      <c r="EP115">
        <f>COUNTIFS('DRAFT 2'!$D:$D,$B115,'DRAFT 2'!$A:$A,"&gt;="&amp;DATE(2026,5,1),'DRAFT 2'!$A:$A,"&lt;="&amp;DATE(2026,5,7))</f>
        <v>0</v>
      </c>
      <c r="EQ115">
        <f>COUNTIFS('DRAFT 2'!$D:$D,$B115,'DRAFT 2'!$A:$A,"&gt;="&amp;DATE(2026,5,8),'DRAFT 2'!$A:$A,"&lt;="&amp;DATE(2026,5,14))</f>
        <v>0</v>
      </c>
      <c r="ER115">
        <f>COUNTIFS('DRAFT 2'!$D:$D,$B115,'DRAFT 2'!$A:$A,"&gt;="&amp;DATE(2026,5,15),'DRAFT 2'!$A:$A,"&lt;="&amp;DATE(2026,5,21))</f>
        <v>0</v>
      </c>
      <c r="ES115">
        <f>COUNTIFS('DRAFT 2'!$D:$D,$B115,'DRAFT 2'!$A:$A,"&gt;="&amp;DATE(2026,5,22),'DRAFT 2'!$A:$A,"&lt;"&amp;DATE(2026,IF(5=12,5+1,5+1),1))</f>
        <v>0</v>
      </c>
      <c r="ET115">
        <f t="shared" si="48"/>
        <v>0</v>
      </c>
      <c r="FD115">
        <f>IFERROR(LOOKUP(2,1/('DRAFT 2'!$D:$D=$B115)*('DRAFT 2'!$A:$A&gt;=DATE(2026,6,1))*('DRAFT 2'!$A:$A&lt;DATE(2026,IF(6=12,6+1,6+1),1)),'DRAFT 2'!$A:$A),"")</f>
        <v>0</v>
      </c>
      <c r="FE115">
        <f>COUNTIFS('DRAFT 2'!$D:$D,$B115,'DRAFT 2'!$A:$A,"&gt;="&amp;DATE(2026,6,1),'DRAFT 2'!$A:$A,"&lt;="&amp;DATE(2026,6,7))</f>
        <v>0</v>
      </c>
      <c r="FF115">
        <f>COUNTIFS('DRAFT 2'!$D:$D,$B115,'DRAFT 2'!$A:$A,"&gt;="&amp;DATE(2026,6,8),'DRAFT 2'!$A:$A,"&lt;="&amp;DATE(2026,6,14))</f>
        <v>0</v>
      </c>
      <c r="FG115">
        <f>COUNTIFS('DRAFT 2'!$D:$D,$B115,'DRAFT 2'!$A:$A,"&gt;="&amp;DATE(2026,6,15),'DRAFT 2'!$A:$A,"&lt;="&amp;DATE(2026,6,21))</f>
        <v>0</v>
      </c>
      <c r="FH115">
        <f>COUNTIFS('DRAFT 2'!$D:$D,$B115,'DRAFT 2'!$A:$A,"&gt;="&amp;DATE(2026,6,22),'DRAFT 2'!$A:$A,"&lt;"&amp;DATE(2026,IF(6=12,6+1,6+1),1))</f>
        <v>0</v>
      </c>
      <c r="FI115">
        <f t="shared" si="49"/>
        <v>0</v>
      </c>
      <c r="FT115">
        <f>IFERROR(LOOKUP(2,1/('DRAFT 2'!$D:$D=$B115)*('DRAFT 2'!$A:$A&gt;=DATE(2026,7,1))*('DRAFT 2'!$A:$A&lt;DATE(2026,IF(7=12,7+1,7+1),1)),'DRAFT 2'!$A:$A),"")</f>
        <v>0</v>
      </c>
      <c r="FU115">
        <f>COUNTIFS('DRAFT 2'!$D:$D,$B115,'DRAFT 2'!$A:$A,"&gt;="&amp;DATE(2026,7,1),'DRAFT 2'!$A:$A,"&lt;="&amp;DATE(2026,7,7))</f>
        <v>0</v>
      </c>
      <c r="FV115">
        <f>COUNTIFS('DRAFT 2'!$D:$D,$B115,'DRAFT 2'!$A:$A,"&gt;="&amp;DATE(2026,7,8),'DRAFT 2'!$A:$A,"&lt;="&amp;DATE(2026,7,14))</f>
        <v>0</v>
      </c>
      <c r="FW115">
        <f>COUNTIFS('DRAFT 2'!$D:$D,$B115,'DRAFT 2'!$A:$A,"&gt;="&amp;DATE(2026,7,15),'DRAFT 2'!$A:$A,"&lt;="&amp;DATE(2026,7,21))</f>
        <v>0</v>
      </c>
      <c r="FX115">
        <f>COUNTIFS('DRAFT 2'!$D:$D,$B115,'DRAFT 2'!$A:$A,"&gt;="&amp;DATE(2026,7,22),'DRAFT 2'!$A:$A,"&lt;"&amp;DATE(2026,IF(7=12,7+1,7+1),1))</f>
        <v>0</v>
      </c>
      <c r="FY115">
        <f t="shared" si="50"/>
        <v>0</v>
      </c>
      <c r="GI115">
        <f>IFERROR(LOOKUP(2,1/('DRAFT 2'!$D:$D=$B115)*('DRAFT 2'!$A:$A&gt;=DATE(2026,8,1))*('DRAFT 2'!$A:$A&lt;DATE(2026,IF(8=12,8+1,8+1),1)),'DRAFT 2'!$A:$A),"")</f>
        <v>0</v>
      </c>
      <c r="GJ115">
        <f>COUNTIFS('DRAFT 2'!$D:$D,$B115,'DRAFT 2'!$A:$A,"&gt;="&amp;DATE(2026,8,1),'DRAFT 2'!$A:$A,"&lt;="&amp;DATE(2026,8,7))</f>
        <v>0</v>
      </c>
      <c r="GK115">
        <f>COUNTIFS('DRAFT 2'!$D:$D,$B115,'DRAFT 2'!$A:$A,"&gt;="&amp;DATE(2026,8,8),'DRAFT 2'!$A:$A,"&lt;="&amp;DATE(2026,8,14))</f>
        <v>0</v>
      </c>
      <c r="GL115">
        <f>COUNTIFS('DRAFT 2'!$D:$D,$B115,'DRAFT 2'!$A:$A,"&gt;="&amp;DATE(2026,8,15),'DRAFT 2'!$A:$A,"&lt;="&amp;DATE(2026,8,21))</f>
        <v>0</v>
      </c>
      <c r="GM115">
        <f>COUNTIFS('DRAFT 2'!$D:$D,$B115,'DRAFT 2'!$A:$A,"&gt;="&amp;DATE(2026,8,22),'DRAFT 2'!$A:$A,"&lt;"&amp;DATE(2026,IF(8=12,8+1,8+1),1))</f>
        <v>0</v>
      </c>
      <c r="GN115">
        <f t="shared" si="51"/>
        <v>0</v>
      </c>
      <c r="GX115">
        <f>IFERROR(LOOKUP(2,1/('DRAFT 2'!$D:$D=$B115)*('DRAFT 2'!$A:$A&gt;=DATE(2026,9,1))*('DRAFT 2'!$A:$A&lt;DATE(2026,IF(9=12,9+1,9+1),1)),'DRAFT 2'!$A:$A),"")</f>
        <v>0</v>
      </c>
      <c r="GY115">
        <f>COUNTIFS('DRAFT 2'!$D:$D,$B115,'DRAFT 2'!$A:$A,"&gt;="&amp;DATE(2026,9,1),'DRAFT 2'!$A:$A,"&lt;="&amp;DATE(2026,9,7))</f>
        <v>0</v>
      </c>
      <c r="GZ115">
        <f>COUNTIFS('DRAFT 2'!$D:$D,$B115,'DRAFT 2'!$A:$A,"&gt;="&amp;DATE(2026,9,8),'DRAFT 2'!$A:$A,"&lt;="&amp;DATE(2026,9,14))</f>
        <v>0</v>
      </c>
      <c r="HA115">
        <f>COUNTIFS('DRAFT 2'!$D:$D,$B115,'DRAFT 2'!$A:$A,"&gt;="&amp;DATE(2026,9,15),'DRAFT 2'!$A:$A,"&lt;="&amp;DATE(2026,9,21))</f>
        <v>0</v>
      </c>
      <c r="HB115">
        <f>COUNTIFS('DRAFT 2'!$D:$D,$B115,'DRAFT 2'!$A:$A,"&gt;="&amp;DATE(2026,9,22),'DRAFT 2'!$A:$A,"&lt;"&amp;DATE(2026,IF(9=12,9+1,9+1),1))</f>
        <v>0</v>
      </c>
      <c r="HC115">
        <f t="shared" si="52"/>
        <v>0</v>
      </c>
      <c r="HN115">
        <f>IFERROR(LOOKUP(2,1/('DRAFT 2'!$D:$D=$B115)*('DRAFT 2'!$A:$A&gt;=DATE(2026,10,1))*('DRAFT 2'!$A:$A&lt;DATE(2026,IF(10=12,10+1,10+1),1)),'DRAFT 2'!$A:$A),"")</f>
        <v>0</v>
      </c>
      <c r="HO115">
        <f>COUNTIFS('DRAFT 2'!$D:$D,$B115,'DRAFT 2'!$A:$A,"&gt;="&amp;DATE(2026,10,1),'DRAFT 2'!$A:$A,"&lt;="&amp;DATE(2026,10,7))</f>
        <v>0</v>
      </c>
      <c r="HP115">
        <f>COUNTIFS('DRAFT 2'!$D:$D,$B115,'DRAFT 2'!$A:$A,"&gt;="&amp;DATE(2026,10,8),'DRAFT 2'!$A:$A,"&lt;="&amp;DATE(2026,10,14))</f>
        <v>0</v>
      </c>
      <c r="HQ115">
        <f>COUNTIFS('DRAFT 2'!$D:$D,$B115,'DRAFT 2'!$A:$A,"&gt;="&amp;DATE(2026,10,15),'DRAFT 2'!$A:$A,"&lt;="&amp;DATE(2026,10,21))</f>
        <v>0</v>
      </c>
      <c r="HR115">
        <f>COUNTIFS('DRAFT 2'!$D:$D,$B115,'DRAFT 2'!$A:$A,"&gt;="&amp;DATE(2026,10,22),'DRAFT 2'!$A:$A,"&lt;"&amp;DATE(2026,IF(10=12,10+1,10+1),1))</f>
        <v>0</v>
      </c>
      <c r="HS115">
        <f t="shared" si="53"/>
        <v>0</v>
      </c>
      <c r="IC115">
        <f>IFERROR(LOOKUP(2,1/('DRAFT 2'!$D:$D=$B115)*('DRAFT 2'!$A:$A&gt;=DATE(2026,11,1))*('DRAFT 2'!$A:$A&lt;DATE(2026,IF(11=12,11+1,11+1),1)),'DRAFT 2'!$A:$A),"")</f>
        <v>0</v>
      </c>
      <c r="ID115">
        <f>COUNTIFS('DRAFT 2'!$D:$D,$B115,'DRAFT 2'!$A:$A,"&gt;="&amp;DATE(2026,11,1),'DRAFT 2'!$A:$A,"&lt;="&amp;DATE(2026,11,7))</f>
        <v>0</v>
      </c>
      <c r="IE115">
        <f>COUNTIFS('DRAFT 2'!$D:$D,$B115,'DRAFT 2'!$A:$A,"&gt;="&amp;DATE(2026,11,8),'DRAFT 2'!$A:$A,"&lt;="&amp;DATE(2026,11,14))</f>
        <v>0</v>
      </c>
      <c r="IF115">
        <f>COUNTIFS('DRAFT 2'!$D:$D,$B115,'DRAFT 2'!$A:$A,"&gt;="&amp;DATE(2026,11,15),'DRAFT 2'!$A:$A,"&lt;="&amp;DATE(2026,11,21))</f>
        <v>0</v>
      </c>
      <c r="IG115">
        <f>COUNTIFS('DRAFT 2'!$D:$D,$B115,'DRAFT 2'!$A:$A,"&gt;="&amp;DATE(2026,11,22),'DRAFT 2'!$A:$A,"&lt;"&amp;DATE(2026,IF(11=12,11+1,11+1),1))</f>
        <v>0</v>
      </c>
      <c r="IH115">
        <f t="shared" si="54"/>
        <v>0</v>
      </c>
      <c r="IR115">
        <f>IFERROR(LOOKUP(2,1/('DRAFT 2'!$D:$D=$B115)*('DRAFT 2'!$A:$A&gt;=DATE(2026,12,1))*('DRAFT 2'!$A:$A&lt;DATE(2026,IF(12=12,12+1,12+1),1)),'DRAFT 2'!$A:$A),"")</f>
        <v>0</v>
      </c>
      <c r="IS115">
        <f>COUNTIFS('DRAFT 2'!$D:$D,$B115,'DRAFT 2'!$A:$A,"&gt;="&amp;DATE(2026,12,1),'DRAFT 2'!$A:$A,"&lt;="&amp;DATE(2026,12,7))</f>
        <v>0</v>
      </c>
      <c r="IT115">
        <f>COUNTIFS('DRAFT 2'!$D:$D,$B115,'DRAFT 2'!$A:$A,"&gt;="&amp;DATE(2026,12,8),'DRAFT 2'!$A:$A,"&lt;="&amp;DATE(2026,12,14))</f>
        <v>0</v>
      </c>
      <c r="IU115">
        <f>COUNTIFS('DRAFT 2'!$D:$D,$B115,'DRAFT 2'!$A:$A,"&gt;="&amp;DATE(2026,12,15),'DRAFT 2'!$A:$A,"&lt;="&amp;DATE(2026,12,21))</f>
        <v>0</v>
      </c>
      <c r="IV115">
        <f>COUNTIFS('DRAFT 2'!$D:$D,$B115,'DRAFT 2'!$A:$A,"&gt;="&amp;DATE(2026,12,22),'DRAFT 2'!$A:$A,"&lt;"&amp;DATE(2026,IF(12=12,12+1,12+1),1))</f>
        <v>0</v>
      </c>
      <c r="IW115">
        <f t="shared" si="55"/>
        <v>0</v>
      </c>
    </row>
    <row r="116" spans="1:257" x14ac:dyDescent="0.3">
      <c r="A116" t="str">
        <f>IFERROR(INDEX('DRAFT 1'!$A:$A,MATCH($B116,'DRAFT 1'!$B:$B,0)),"")</f>
        <v/>
      </c>
      <c r="C116" t="str">
        <f>IFERROR(INDEX('DRAFT 1'!$C:$C,MATCH($B116,'DRAFT 1'!$B:$B,0)),"")</f>
        <v/>
      </c>
      <c r="D116" t="str">
        <f>IFERROR(INDEX('DRAFT 1'!$D:$D,MATCH($B116,'DRAFT 1'!$B:$B,0)),"")</f>
        <v/>
      </c>
      <c r="E116" t="str">
        <f>IFERROR(INDEX('DRAFT 1'!$E:$E,MATCH($B116,'DRAFT 1'!$B:$B,0)),"")</f>
        <v/>
      </c>
      <c r="F116" t="str">
        <f>IFERROR(INDEX('DRAFT 1'!$F:$F,MATCH($B116,'DRAFT 1'!$B:$B,0)),"")</f>
        <v/>
      </c>
      <c r="G116" t="str">
        <f>IFERROR(INDEX('DRAFT 1'!$G:$G,MATCH($B116,'DRAFT 1'!$B:$B,0)),"")</f>
        <v/>
      </c>
      <c r="H116" t="str">
        <f>IFERROR(INDEX('DRAFT 1'!$H:$H,MATCH($B116,'DRAFT 1'!$B:$B,0)),"")</f>
        <v/>
      </c>
      <c r="I116" t="s">
        <v>296</v>
      </c>
      <c r="K116" t="str">
        <f>IFERROR(INDEX('DRAFT 1'!$AL:$AL,MATCH($B116,'DRAFT 1'!$B:$B,0)),"")</f>
        <v/>
      </c>
      <c r="L116" t="str">
        <f>IFERROR(INDEX('DRAFT 1'!$J:$J,MATCH($B116,'DRAFT 1'!$B:$B,0)),"")</f>
        <v/>
      </c>
      <c r="M116" t="str">
        <f>IFERROR(INDEX('DRAFT 1'!$K:$K,MATCH($B116,'DRAFT 1'!$B:$B,0)),"")</f>
        <v/>
      </c>
      <c r="N116" t="s">
        <v>71</v>
      </c>
      <c r="P116" t="str">
        <f>IFERROR(INDEX('DRAFT 1'!$L:$L,MATCH($B116,'DRAFT 1'!$B:$B,0)),"")</f>
        <v/>
      </c>
      <c r="Q116" t="str">
        <f>IFERROR(INDEX('DRAFT 1'!$M:$M,MATCH($B116,'DRAFT 1'!$B:$B,0)),"")</f>
        <v/>
      </c>
      <c r="R116" t="str">
        <f>IFERROR(INDEX('DRAFT 1'!$N:$N,MATCH($B116,'DRAFT 1'!$B:$B,0)),"")</f>
        <v/>
      </c>
      <c r="S116" t="str">
        <f>IFERROR(INDEX('DRAFT 1'!$O:$O,MATCH($B116,'DRAFT 1'!$B:$B,0)),"")</f>
        <v/>
      </c>
      <c r="T116" t="str">
        <f>IFERROR(INDEX('DRAFT 1'!$P:$P,MATCH($B116,'DRAFT 1'!$B:$B,0)),"")</f>
        <v/>
      </c>
      <c r="U116" t="str">
        <f>IFERROR(INDEX('DRAFT 1'!$Q:$Q,MATCH($B116,'DRAFT 1'!$B:$B,0)),"")</f>
        <v/>
      </c>
      <c r="V116" t="str">
        <f>IFERROR(INDEX('DRAFT 1'!$R:$R,MATCH($B116,'DRAFT 1'!$B:$B,0)),"")</f>
        <v/>
      </c>
      <c r="W116" t="str">
        <f>IFERROR(INDEX('DRAFT 1'!$S:$S,MATCH($B116,'DRAFT 1'!$B:$B,0)),"")</f>
        <v/>
      </c>
      <c r="X116" t="str">
        <f>IFERROR(INDEX('DRAFT 1'!$T:$T,MATCH($B116,'DRAFT 1'!$B:$B,0)),"")</f>
        <v/>
      </c>
      <c r="Z116" t="str">
        <f>IFERROR(INDEX('DRAFT 1'!$U:$U,MATCH($B116,'DRAFT 1'!$B:$B,0)),"")</f>
        <v/>
      </c>
      <c r="AA116" t="str">
        <f>IFERROR(INDEX('DRAFT 1'!$V:$V,MATCH($B116,'DRAFT 1'!$B:$B,0)),"")</f>
        <v/>
      </c>
      <c r="AB116" t="str">
        <f>IFERROR(INDEX('DRAFT 1'!$W:$W,MATCH($B116,'DRAFT 1'!$B:$B,0)),"")</f>
        <v/>
      </c>
      <c r="AC116" t="str">
        <f>IFERROR(INDEX('DRAFT 1'!$X:$X,MATCH($B116,'DRAFT 1'!$B:$B,0)),"")</f>
        <v/>
      </c>
      <c r="AD116" t="str">
        <f>IFERROR(INDEX('DRAFT 1'!$Y:$Y,MATCH($B116,'DRAFT 1'!$B:$B,0)),"")</f>
        <v/>
      </c>
      <c r="AE116" t="str">
        <f>IFERROR(INDEX('DRAFT 1'!$Z:$Z,MATCH($B116,'DRAFT 1'!$B:$B,0)),"")</f>
        <v/>
      </c>
      <c r="AF116" t="str">
        <f>IFERROR(INDEX('DRAFT 1'!$AA:$AA,MATCH($B116,'DRAFT 1'!$B:$B,0)),"")</f>
        <v/>
      </c>
      <c r="AG116" t="str">
        <f>IFERROR(INDEX('DRAFT 1'!$AB:$AB,MATCH($B116,'DRAFT 1'!$B:$B,0)),"")</f>
        <v/>
      </c>
      <c r="AH116" t="str">
        <f>IFERROR(INDEX('DRAFT 1'!$AC:$AC,MATCH($B116,'DRAFT 1'!$B:$B,0)),"")</f>
        <v/>
      </c>
      <c r="AI116" t="str">
        <f>IFERROR(INDEX('DRAFT 1'!$AD:$AD,MATCH($B116,'DRAFT 1'!$B:$B,0)),"")</f>
        <v/>
      </c>
      <c r="AJ116" t="str">
        <f>IFERROR(INDEX('DRAFT 1'!$AE:$AE,MATCH($B116,'DRAFT 1'!$B:$B,0)),"")</f>
        <v/>
      </c>
      <c r="AK116" t="str">
        <f>IFERROR(INDEX('DRAFT 1'!$AG:$AG,MATCH($B116,'DRAFT 1'!$B:$B,0)),"")</f>
        <v/>
      </c>
      <c r="AL116" t="str">
        <f>IFERROR(INDEX('DRAFT 1'!$AH:$AH,MATCH($B116,'DRAFT 1'!$B:$B,0)),"")</f>
        <v/>
      </c>
      <c r="AM116" t="str">
        <f>IFERROR(INDEX('DRAFT 1'!$AI:$AI,MATCH($B116,'DRAFT 1'!$B:$B,0)),"")</f>
        <v/>
      </c>
      <c r="AN116" t="str">
        <f>IFERROR(INDEX('DRAFT 1'!$AJ:$AJ,MATCH($B116,'DRAFT 1'!$B:$B,0)),"")</f>
        <v/>
      </c>
      <c r="AO116">
        <f t="shared" si="42"/>
        <v>0</v>
      </c>
      <c r="AP116" t="str">
        <f>IFERROR(INDEX('DRAFT 1'!$AK:$AK,MATCH($B116,'DRAFT 1'!$B:$B,0)),"")</f>
        <v/>
      </c>
      <c r="AR116" t="s">
        <v>91</v>
      </c>
      <c r="AS116">
        <f>IFERROR(LOOKUP(2,1/('DRAFT 2'!$D:$D=$B116),'DRAFT 2'!$T:$T),"")</f>
        <v>0</v>
      </c>
      <c r="AT116">
        <f>IFERROR(LOOKUP(2,1/('DRAFT 2'!$D:$D=$B116),'DRAFT 2'!$A:$A),"")</f>
        <v>0</v>
      </c>
      <c r="AU116">
        <f>IFERROR(LOOKUP(2,1/('DRAFT 2'!$D:$D=$B116),'DRAFT 2'!$R:$R),"")</f>
        <v>0</v>
      </c>
      <c r="AV116">
        <f>IFERROR(LOOKUP(2,1/('DRAFT 2'!$D:$D=$B116),'DRAFT 2'!$S:$S),"")</f>
        <v>0</v>
      </c>
      <c r="AW116" t="s">
        <v>85</v>
      </c>
      <c r="AX116">
        <f>IFERROR(LOOKUP(2,1/('DRAFT 2'!$D:$D=$B116),'DRAFT 2'!$M:$M),"")</f>
        <v>0</v>
      </c>
      <c r="AY116">
        <f>IFERROR(LOOKUP(2,1/('DRAFT 2'!$D:$D=$B116),'DRAFT 2'!$K:$K),"")</f>
        <v>0</v>
      </c>
      <c r="BG116">
        <f>IFERROR(LOOKUP(2,1/('DRAFT 2'!$D:$D=$B116),'DRAFT 2'!$U:$U),"")</f>
        <v>0</v>
      </c>
      <c r="BH116">
        <f>IFERROR(LOOKUP(2,1/('DRAFT 2'!$D:$D=$B116),'DRAFT 2'!$V:$V),"")</f>
        <v>0</v>
      </c>
      <c r="CE116" t="str">
        <f t="shared" si="43"/>
        <v/>
      </c>
      <c r="CF116">
        <f>IFERROR(LOOKUP(2,1/('DRAFT 2'!$D:$D=$B116)*('DRAFT 2'!$A:$A&gt;=DATE(2026,1,1))*('DRAFT 2'!$A:$A&lt;DATE(2026,IF(1=12,1+1,1+1),1)),'DRAFT 2'!$A:$A),"")</f>
        <v>0</v>
      </c>
      <c r="CG116">
        <f>COUNTIFS('DRAFT 2'!$D:$D,$B116,'DRAFT 2'!$A:$A,"&gt;="&amp;DATE(2026,1,1),'DRAFT 2'!$A:$A,"&lt;="&amp;DATE(2026,1,7))</f>
        <v>0</v>
      </c>
      <c r="CH116">
        <f>COUNTIFS('DRAFT 2'!$D:$D,$B116,'DRAFT 2'!$A:$A,"&gt;="&amp;DATE(2026,1,8),'DRAFT 2'!$A:$A,"&lt;="&amp;DATE(2026,1,14))</f>
        <v>0</v>
      </c>
      <c r="CI116">
        <f>COUNTIFS('DRAFT 2'!$D:$D,$B116,'DRAFT 2'!$A:$A,"&gt;="&amp;DATE(2026,1,15),'DRAFT 2'!$A:$A,"&lt;="&amp;DATE(2026,1,21))</f>
        <v>0</v>
      </c>
      <c r="CJ116">
        <f>COUNTIFS('DRAFT 2'!$D:$D,$B116,'DRAFT 2'!$A:$A,"&gt;="&amp;DATE(2026,1,22),'DRAFT 2'!$A:$A,"&lt;"&amp;DATE(2026,IF(1=12,1+1,1+1),1))</f>
        <v>0</v>
      </c>
      <c r="CK116">
        <f t="shared" si="44"/>
        <v>0</v>
      </c>
      <c r="CT116">
        <v>0</v>
      </c>
      <c r="CU116">
        <f>IFERROR(LOOKUP(2,1/('DRAFT 2'!$D:$D=$B116)*('DRAFT 2'!$A:$A&gt;=DATE(2026,2,1))*('DRAFT 2'!$A:$A&lt;DATE(2026,IF(2=12,2+1,2+1),1)),'DRAFT 2'!$A:$A),"")</f>
        <v>0</v>
      </c>
      <c r="CV116">
        <f>COUNTIFS('DRAFT 2'!$D:$D,$B116,'DRAFT 2'!$A:$A,"&gt;="&amp;DATE(2026,2,1),'DRAFT 2'!$A:$A,"&lt;="&amp;DATE(2026,2,7))</f>
        <v>0</v>
      </c>
      <c r="CW116">
        <f>COUNTIFS('DRAFT 2'!$D:$D,$B116,'DRAFT 2'!$A:$A,"&gt;="&amp;DATE(2026,2,8),'DRAFT 2'!$A:$A,"&lt;="&amp;DATE(2026,2,14))</f>
        <v>0</v>
      </c>
      <c r="CX116">
        <f>COUNTIFS('DRAFT 2'!$D:$D,$B116,'DRAFT 2'!$A:$A,"&gt;="&amp;DATE(2026,2,15),'DRAFT 2'!$A:$A,"&lt;="&amp;DATE(2026,2,21))</f>
        <v>0</v>
      </c>
      <c r="CY116">
        <f>COUNTIFS('DRAFT 2'!$D:$D,$B116,'DRAFT 2'!$A:$A,"&gt;="&amp;DATE(2026,2,22),'DRAFT 2'!$A:$A,"&lt;"&amp;DATE(2026,IF(2=12,2+1,2+1),1))</f>
        <v>0</v>
      </c>
      <c r="CZ116">
        <f t="shared" si="45"/>
        <v>0</v>
      </c>
      <c r="DJ116">
        <f>IFERROR(LOOKUP(2,1/('DRAFT 2'!$D:$D=$B116)*('DRAFT 2'!$A:$A&gt;=DATE(2026,3,1))*('DRAFT 2'!$A:$A&lt;DATE(2026,IF(3=12,3+1,3+1),1)),'DRAFT 2'!$A:$A),"")</f>
        <v>0</v>
      </c>
      <c r="DK116">
        <f>COUNTIFS('DRAFT 2'!$D:$D,$B116,'DRAFT 2'!$A:$A,"&gt;="&amp;DATE(2026,3,1),'DRAFT 2'!$A:$A,"&lt;="&amp;DATE(2026,3,7))</f>
        <v>0</v>
      </c>
      <c r="DL116">
        <f>COUNTIFS('DRAFT 2'!$D:$D,$B116,'DRAFT 2'!$A:$A,"&gt;="&amp;DATE(2026,3,8),'DRAFT 2'!$A:$A,"&lt;="&amp;DATE(2026,3,14))</f>
        <v>0</v>
      </c>
      <c r="DM116">
        <f>COUNTIFS('DRAFT 2'!$D:$D,$B116,'DRAFT 2'!$A:$A,"&gt;="&amp;DATE(2026,3,15),'DRAFT 2'!$A:$A,"&lt;="&amp;DATE(2026,3,21))</f>
        <v>0</v>
      </c>
      <c r="DN116">
        <f>COUNTIFS('DRAFT 2'!$D:$D,$B116,'DRAFT 2'!$A:$A,"&gt;="&amp;DATE(2026,3,22),'DRAFT 2'!$A:$A,"&lt;"&amp;DATE(2026,IF(3=12,3+1,3+1),1))</f>
        <v>0</v>
      </c>
      <c r="DO116">
        <f t="shared" si="46"/>
        <v>0</v>
      </c>
      <c r="DZ116">
        <f>IFERROR(LOOKUP(2,1/('DRAFT 2'!$D:$D=$B116)*('DRAFT 2'!$A:$A&gt;=DATE(2026,4,1))*('DRAFT 2'!$A:$A&lt;DATE(2026,IF(4=12,4+1,4+1),1)),'DRAFT 2'!$A:$A),"")</f>
        <v>0</v>
      </c>
      <c r="EA116">
        <f>COUNTIFS('DRAFT 2'!$D:$D,$B116,'DRAFT 2'!$A:$A,"&gt;="&amp;DATE(2026,4,1),'DRAFT 2'!$A:$A,"&lt;="&amp;DATE(2026,4,7))</f>
        <v>0</v>
      </c>
      <c r="EB116">
        <f>COUNTIFS('DRAFT 2'!$D:$D,$B116,'DRAFT 2'!$A:$A,"&gt;="&amp;DATE(2026,4,8),'DRAFT 2'!$A:$A,"&lt;="&amp;DATE(2026,4,14))</f>
        <v>0</v>
      </c>
      <c r="EC116">
        <f>COUNTIFS('DRAFT 2'!$D:$D,$B116,'DRAFT 2'!$A:$A,"&gt;="&amp;DATE(2026,4,15),'DRAFT 2'!$A:$A,"&lt;="&amp;DATE(2026,4,21))</f>
        <v>0</v>
      </c>
      <c r="ED116">
        <f>COUNTIFS('DRAFT 2'!$D:$D,$B116,'DRAFT 2'!$A:$A,"&gt;="&amp;DATE(2026,4,22),'DRAFT 2'!$A:$A,"&lt;"&amp;DATE(2026,IF(4=12,4+1,4+1),1))</f>
        <v>0</v>
      </c>
      <c r="EE116">
        <f t="shared" si="47"/>
        <v>0</v>
      </c>
      <c r="EO116">
        <f>IFERROR(LOOKUP(2,1/('DRAFT 2'!$D:$D=$B116)*('DRAFT 2'!$A:$A&gt;=DATE(2026,5,1))*('DRAFT 2'!$A:$A&lt;DATE(2026,IF(5=12,5+1,5+1),1)),'DRAFT 2'!$A:$A),"")</f>
        <v>0</v>
      </c>
      <c r="EP116">
        <f>COUNTIFS('DRAFT 2'!$D:$D,$B116,'DRAFT 2'!$A:$A,"&gt;="&amp;DATE(2026,5,1),'DRAFT 2'!$A:$A,"&lt;="&amp;DATE(2026,5,7))</f>
        <v>0</v>
      </c>
      <c r="EQ116">
        <f>COUNTIFS('DRAFT 2'!$D:$D,$B116,'DRAFT 2'!$A:$A,"&gt;="&amp;DATE(2026,5,8),'DRAFT 2'!$A:$A,"&lt;="&amp;DATE(2026,5,14))</f>
        <v>0</v>
      </c>
      <c r="ER116">
        <f>COUNTIFS('DRAFT 2'!$D:$D,$B116,'DRAFT 2'!$A:$A,"&gt;="&amp;DATE(2026,5,15),'DRAFT 2'!$A:$A,"&lt;="&amp;DATE(2026,5,21))</f>
        <v>0</v>
      </c>
      <c r="ES116">
        <f>COUNTIFS('DRAFT 2'!$D:$D,$B116,'DRAFT 2'!$A:$A,"&gt;="&amp;DATE(2026,5,22),'DRAFT 2'!$A:$A,"&lt;"&amp;DATE(2026,IF(5=12,5+1,5+1),1))</f>
        <v>0</v>
      </c>
      <c r="ET116">
        <f t="shared" si="48"/>
        <v>0</v>
      </c>
      <c r="FD116">
        <f>IFERROR(LOOKUP(2,1/('DRAFT 2'!$D:$D=$B116)*('DRAFT 2'!$A:$A&gt;=DATE(2026,6,1))*('DRAFT 2'!$A:$A&lt;DATE(2026,IF(6=12,6+1,6+1),1)),'DRAFT 2'!$A:$A),"")</f>
        <v>0</v>
      </c>
      <c r="FE116">
        <f>COUNTIFS('DRAFT 2'!$D:$D,$B116,'DRAFT 2'!$A:$A,"&gt;="&amp;DATE(2026,6,1),'DRAFT 2'!$A:$A,"&lt;="&amp;DATE(2026,6,7))</f>
        <v>0</v>
      </c>
      <c r="FF116">
        <f>COUNTIFS('DRAFT 2'!$D:$D,$B116,'DRAFT 2'!$A:$A,"&gt;="&amp;DATE(2026,6,8),'DRAFT 2'!$A:$A,"&lt;="&amp;DATE(2026,6,14))</f>
        <v>0</v>
      </c>
      <c r="FG116">
        <f>COUNTIFS('DRAFT 2'!$D:$D,$B116,'DRAFT 2'!$A:$A,"&gt;="&amp;DATE(2026,6,15),'DRAFT 2'!$A:$A,"&lt;="&amp;DATE(2026,6,21))</f>
        <v>0</v>
      </c>
      <c r="FH116">
        <f>COUNTIFS('DRAFT 2'!$D:$D,$B116,'DRAFT 2'!$A:$A,"&gt;="&amp;DATE(2026,6,22),'DRAFT 2'!$A:$A,"&lt;"&amp;DATE(2026,IF(6=12,6+1,6+1),1))</f>
        <v>0</v>
      </c>
      <c r="FI116">
        <f t="shared" si="49"/>
        <v>0</v>
      </c>
      <c r="FT116">
        <f>IFERROR(LOOKUP(2,1/('DRAFT 2'!$D:$D=$B116)*('DRAFT 2'!$A:$A&gt;=DATE(2026,7,1))*('DRAFT 2'!$A:$A&lt;DATE(2026,IF(7=12,7+1,7+1),1)),'DRAFT 2'!$A:$A),"")</f>
        <v>0</v>
      </c>
      <c r="FU116">
        <f>COUNTIFS('DRAFT 2'!$D:$D,$B116,'DRAFT 2'!$A:$A,"&gt;="&amp;DATE(2026,7,1),'DRAFT 2'!$A:$A,"&lt;="&amp;DATE(2026,7,7))</f>
        <v>0</v>
      </c>
      <c r="FV116">
        <f>COUNTIFS('DRAFT 2'!$D:$D,$B116,'DRAFT 2'!$A:$A,"&gt;="&amp;DATE(2026,7,8),'DRAFT 2'!$A:$A,"&lt;="&amp;DATE(2026,7,14))</f>
        <v>0</v>
      </c>
      <c r="FW116">
        <f>COUNTIFS('DRAFT 2'!$D:$D,$B116,'DRAFT 2'!$A:$A,"&gt;="&amp;DATE(2026,7,15),'DRAFT 2'!$A:$A,"&lt;="&amp;DATE(2026,7,21))</f>
        <v>0</v>
      </c>
      <c r="FX116">
        <f>COUNTIFS('DRAFT 2'!$D:$D,$B116,'DRAFT 2'!$A:$A,"&gt;="&amp;DATE(2026,7,22),'DRAFT 2'!$A:$A,"&lt;"&amp;DATE(2026,IF(7=12,7+1,7+1),1))</f>
        <v>0</v>
      </c>
      <c r="FY116">
        <f t="shared" si="50"/>
        <v>0</v>
      </c>
      <c r="GI116">
        <f>IFERROR(LOOKUP(2,1/('DRAFT 2'!$D:$D=$B116)*('DRAFT 2'!$A:$A&gt;=DATE(2026,8,1))*('DRAFT 2'!$A:$A&lt;DATE(2026,IF(8=12,8+1,8+1),1)),'DRAFT 2'!$A:$A),"")</f>
        <v>0</v>
      </c>
      <c r="GJ116">
        <f>COUNTIFS('DRAFT 2'!$D:$D,$B116,'DRAFT 2'!$A:$A,"&gt;="&amp;DATE(2026,8,1),'DRAFT 2'!$A:$A,"&lt;="&amp;DATE(2026,8,7))</f>
        <v>0</v>
      </c>
      <c r="GK116">
        <f>COUNTIFS('DRAFT 2'!$D:$D,$B116,'DRAFT 2'!$A:$A,"&gt;="&amp;DATE(2026,8,8),'DRAFT 2'!$A:$A,"&lt;="&amp;DATE(2026,8,14))</f>
        <v>0</v>
      </c>
      <c r="GL116">
        <f>COUNTIFS('DRAFT 2'!$D:$D,$B116,'DRAFT 2'!$A:$A,"&gt;="&amp;DATE(2026,8,15),'DRAFT 2'!$A:$A,"&lt;="&amp;DATE(2026,8,21))</f>
        <v>0</v>
      </c>
      <c r="GM116">
        <f>COUNTIFS('DRAFT 2'!$D:$D,$B116,'DRAFT 2'!$A:$A,"&gt;="&amp;DATE(2026,8,22),'DRAFT 2'!$A:$A,"&lt;"&amp;DATE(2026,IF(8=12,8+1,8+1),1))</f>
        <v>0</v>
      </c>
      <c r="GN116">
        <f t="shared" si="51"/>
        <v>0</v>
      </c>
      <c r="GX116">
        <f>IFERROR(LOOKUP(2,1/('DRAFT 2'!$D:$D=$B116)*('DRAFT 2'!$A:$A&gt;=DATE(2026,9,1))*('DRAFT 2'!$A:$A&lt;DATE(2026,IF(9=12,9+1,9+1),1)),'DRAFT 2'!$A:$A),"")</f>
        <v>0</v>
      </c>
      <c r="GY116">
        <f>COUNTIFS('DRAFT 2'!$D:$D,$B116,'DRAFT 2'!$A:$A,"&gt;="&amp;DATE(2026,9,1),'DRAFT 2'!$A:$A,"&lt;="&amp;DATE(2026,9,7))</f>
        <v>0</v>
      </c>
      <c r="GZ116">
        <f>COUNTIFS('DRAFT 2'!$D:$D,$B116,'DRAFT 2'!$A:$A,"&gt;="&amp;DATE(2026,9,8),'DRAFT 2'!$A:$A,"&lt;="&amp;DATE(2026,9,14))</f>
        <v>0</v>
      </c>
      <c r="HA116">
        <f>COUNTIFS('DRAFT 2'!$D:$D,$B116,'DRAFT 2'!$A:$A,"&gt;="&amp;DATE(2026,9,15),'DRAFT 2'!$A:$A,"&lt;="&amp;DATE(2026,9,21))</f>
        <v>0</v>
      </c>
      <c r="HB116">
        <f>COUNTIFS('DRAFT 2'!$D:$D,$B116,'DRAFT 2'!$A:$A,"&gt;="&amp;DATE(2026,9,22),'DRAFT 2'!$A:$A,"&lt;"&amp;DATE(2026,IF(9=12,9+1,9+1),1))</f>
        <v>0</v>
      </c>
      <c r="HC116">
        <f t="shared" si="52"/>
        <v>0</v>
      </c>
      <c r="HN116">
        <f>IFERROR(LOOKUP(2,1/('DRAFT 2'!$D:$D=$B116)*('DRAFT 2'!$A:$A&gt;=DATE(2026,10,1))*('DRAFT 2'!$A:$A&lt;DATE(2026,IF(10=12,10+1,10+1),1)),'DRAFT 2'!$A:$A),"")</f>
        <v>0</v>
      </c>
      <c r="HO116">
        <f>COUNTIFS('DRAFT 2'!$D:$D,$B116,'DRAFT 2'!$A:$A,"&gt;="&amp;DATE(2026,10,1),'DRAFT 2'!$A:$A,"&lt;="&amp;DATE(2026,10,7))</f>
        <v>0</v>
      </c>
      <c r="HP116">
        <f>COUNTIFS('DRAFT 2'!$D:$D,$B116,'DRAFT 2'!$A:$A,"&gt;="&amp;DATE(2026,10,8),'DRAFT 2'!$A:$A,"&lt;="&amp;DATE(2026,10,14))</f>
        <v>0</v>
      </c>
      <c r="HQ116">
        <f>COUNTIFS('DRAFT 2'!$D:$D,$B116,'DRAFT 2'!$A:$A,"&gt;="&amp;DATE(2026,10,15),'DRAFT 2'!$A:$A,"&lt;="&amp;DATE(2026,10,21))</f>
        <v>0</v>
      </c>
      <c r="HR116">
        <f>COUNTIFS('DRAFT 2'!$D:$D,$B116,'DRAFT 2'!$A:$A,"&gt;="&amp;DATE(2026,10,22),'DRAFT 2'!$A:$A,"&lt;"&amp;DATE(2026,IF(10=12,10+1,10+1),1))</f>
        <v>0</v>
      </c>
      <c r="HS116">
        <f t="shared" si="53"/>
        <v>0</v>
      </c>
      <c r="IC116">
        <f>IFERROR(LOOKUP(2,1/('DRAFT 2'!$D:$D=$B116)*('DRAFT 2'!$A:$A&gt;=DATE(2026,11,1))*('DRAFT 2'!$A:$A&lt;DATE(2026,IF(11=12,11+1,11+1),1)),'DRAFT 2'!$A:$A),"")</f>
        <v>0</v>
      </c>
      <c r="ID116">
        <f>COUNTIFS('DRAFT 2'!$D:$D,$B116,'DRAFT 2'!$A:$A,"&gt;="&amp;DATE(2026,11,1),'DRAFT 2'!$A:$A,"&lt;="&amp;DATE(2026,11,7))</f>
        <v>0</v>
      </c>
      <c r="IE116">
        <f>COUNTIFS('DRAFT 2'!$D:$D,$B116,'DRAFT 2'!$A:$A,"&gt;="&amp;DATE(2026,11,8),'DRAFT 2'!$A:$A,"&lt;="&amp;DATE(2026,11,14))</f>
        <v>0</v>
      </c>
      <c r="IF116">
        <f>COUNTIFS('DRAFT 2'!$D:$D,$B116,'DRAFT 2'!$A:$A,"&gt;="&amp;DATE(2026,11,15),'DRAFT 2'!$A:$A,"&lt;="&amp;DATE(2026,11,21))</f>
        <v>0</v>
      </c>
      <c r="IG116">
        <f>COUNTIFS('DRAFT 2'!$D:$D,$B116,'DRAFT 2'!$A:$A,"&gt;="&amp;DATE(2026,11,22),'DRAFT 2'!$A:$A,"&lt;"&amp;DATE(2026,IF(11=12,11+1,11+1),1))</f>
        <v>0</v>
      </c>
      <c r="IH116">
        <f t="shared" si="54"/>
        <v>0</v>
      </c>
      <c r="IR116">
        <f>IFERROR(LOOKUP(2,1/('DRAFT 2'!$D:$D=$B116)*('DRAFT 2'!$A:$A&gt;=DATE(2026,12,1))*('DRAFT 2'!$A:$A&lt;DATE(2026,IF(12=12,12+1,12+1),1)),'DRAFT 2'!$A:$A),"")</f>
        <v>0</v>
      </c>
      <c r="IS116">
        <f>COUNTIFS('DRAFT 2'!$D:$D,$B116,'DRAFT 2'!$A:$A,"&gt;="&amp;DATE(2026,12,1),'DRAFT 2'!$A:$A,"&lt;="&amp;DATE(2026,12,7))</f>
        <v>0</v>
      </c>
      <c r="IT116">
        <f>COUNTIFS('DRAFT 2'!$D:$D,$B116,'DRAFT 2'!$A:$A,"&gt;="&amp;DATE(2026,12,8),'DRAFT 2'!$A:$A,"&lt;="&amp;DATE(2026,12,14))</f>
        <v>0</v>
      </c>
      <c r="IU116">
        <f>COUNTIFS('DRAFT 2'!$D:$D,$B116,'DRAFT 2'!$A:$A,"&gt;="&amp;DATE(2026,12,15),'DRAFT 2'!$A:$A,"&lt;="&amp;DATE(2026,12,21))</f>
        <v>0</v>
      </c>
      <c r="IV116">
        <f>COUNTIFS('DRAFT 2'!$D:$D,$B116,'DRAFT 2'!$A:$A,"&gt;="&amp;DATE(2026,12,22),'DRAFT 2'!$A:$A,"&lt;"&amp;DATE(2026,IF(12=12,12+1,12+1),1))</f>
        <v>0</v>
      </c>
      <c r="IW116">
        <f t="shared" si="55"/>
        <v>0</v>
      </c>
    </row>
    <row r="117" spans="1:257" x14ac:dyDescent="0.3">
      <c r="A117" t="str">
        <f>IFERROR(INDEX('DRAFT 1'!$A:$A,MATCH($B117,'DRAFT 1'!$B:$B,0)),"")</f>
        <v/>
      </c>
      <c r="C117" t="str">
        <f>IFERROR(INDEX('DRAFT 1'!$C:$C,MATCH($B117,'DRAFT 1'!$B:$B,0)),"")</f>
        <v/>
      </c>
      <c r="D117" t="str">
        <f>IFERROR(INDEX('DRAFT 1'!$D:$D,MATCH($B117,'DRAFT 1'!$B:$B,0)),"")</f>
        <v/>
      </c>
      <c r="E117" t="str">
        <f>IFERROR(INDEX('DRAFT 1'!$E:$E,MATCH($B117,'DRAFT 1'!$B:$B,0)),"")</f>
        <v/>
      </c>
      <c r="F117" t="str">
        <f>IFERROR(INDEX('DRAFT 1'!$F:$F,MATCH($B117,'DRAFT 1'!$B:$B,0)),"")</f>
        <v/>
      </c>
      <c r="G117" t="str">
        <f>IFERROR(INDEX('DRAFT 1'!$G:$G,MATCH($B117,'DRAFT 1'!$B:$B,0)),"")</f>
        <v/>
      </c>
      <c r="H117" t="str">
        <f>IFERROR(INDEX('DRAFT 1'!$H:$H,MATCH($B117,'DRAFT 1'!$B:$B,0)),"")</f>
        <v/>
      </c>
      <c r="I117" t="s">
        <v>296</v>
      </c>
      <c r="K117" t="str">
        <f>IFERROR(INDEX('DRAFT 1'!$AL:$AL,MATCH($B117,'DRAFT 1'!$B:$B,0)),"")</f>
        <v/>
      </c>
      <c r="L117" t="str">
        <f>IFERROR(INDEX('DRAFT 1'!$J:$J,MATCH($B117,'DRAFT 1'!$B:$B,0)),"")</f>
        <v/>
      </c>
      <c r="M117" t="str">
        <f>IFERROR(INDEX('DRAFT 1'!$K:$K,MATCH($B117,'DRAFT 1'!$B:$B,0)),"")</f>
        <v/>
      </c>
      <c r="N117" t="s">
        <v>85</v>
      </c>
      <c r="P117" t="str">
        <f>IFERROR(INDEX('DRAFT 1'!$L:$L,MATCH($B117,'DRAFT 1'!$B:$B,0)),"")</f>
        <v/>
      </c>
      <c r="Q117" t="str">
        <f>IFERROR(INDEX('DRAFT 1'!$M:$M,MATCH($B117,'DRAFT 1'!$B:$B,0)),"")</f>
        <v/>
      </c>
      <c r="R117" t="str">
        <f>IFERROR(INDEX('DRAFT 1'!$N:$N,MATCH($B117,'DRAFT 1'!$B:$B,0)),"")</f>
        <v/>
      </c>
      <c r="S117" t="str">
        <f>IFERROR(INDEX('DRAFT 1'!$O:$O,MATCH($B117,'DRAFT 1'!$B:$B,0)),"")</f>
        <v/>
      </c>
      <c r="T117" t="str">
        <f>IFERROR(INDEX('DRAFT 1'!$P:$P,MATCH($B117,'DRAFT 1'!$B:$B,0)),"")</f>
        <v/>
      </c>
      <c r="U117" t="str">
        <f>IFERROR(INDEX('DRAFT 1'!$Q:$Q,MATCH($B117,'DRAFT 1'!$B:$B,0)),"")</f>
        <v/>
      </c>
      <c r="V117" t="str">
        <f>IFERROR(INDEX('DRAFT 1'!$R:$R,MATCH($B117,'DRAFT 1'!$B:$B,0)),"")</f>
        <v/>
      </c>
      <c r="W117" t="str">
        <f>IFERROR(INDEX('DRAFT 1'!$S:$S,MATCH($B117,'DRAFT 1'!$B:$B,0)),"")</f>
        <v/>
      </c>
      <c r="X117" t="str">
        <f>IFERROR(INDEX('DRAFT 1'!$T:$T,MATCH($B117,'DRAFT 1'!$B:$B,0)),"")</f>
        <v/>
      </c>
      <c r="Z117" t="str">
        <f>IFERROR(INDEX('DRAFT 1'!$U:$U,MATCH($B117,'DRAFT 1'!$B:$B,0)),"")</f>
        <v/>
      </c>
      <c r="AA117" t="str">
        <f>IFERROR(INDEX('DRAFT 1'!$V:$V,MATCH($B117,'DRAFT 1'!$B:$B,0)),"")</f>
        <v/>
      </c>
      <c r="AB117" t="str">
        <f>IFERROR(INDEX('DRAFT 1'!$W:$W,MATCH($B117,'DRAFT 1'!$B:$B,0)),"")</f>
        <v/>
      </c>
      <c r="AC117" t="str">
        <f>IFERROR(INDEX('DRAFT 1'!$X:$X,MATCH($B117,'DRAFT 1'!$B:$B,0)),"")</f>
        <v/>
      </c>
      <c r="AD117" t="str">
        <f>IFERROR(INDEX('DRAFT 1'!$Y:$Y,MATCH($B117,'DRAFT 1'!$B:$B,0)),"")</f>
        <v/>
      </c>
      <c r="AE117" t="str">
        <f>IFERROR(INDEX('DRAFT 1'!$Z:$Z,MATCH($B117,'DRAFT 1'!$B:$B,0)),"")</f>
        <v/>
      </c>
      <c r="AF117" t="str">
        <f>IFERROR(INDEX('DRAFT 1'!$AA:$AA,MATCH($B117,'DRAFT 1'!$B:$B,0)),"")</f>
        <v/>
      </c>
      <c r="AG117" t="str">
        <f>IFERROR(INDEX('DRAFT 1'!$AB:$AB,MATCH($B117,'DRAFT 1'!$B:$B,0)),"")</f>
        <v/>
      </c>
      <c r="AH117" t="str">
        <f>IFERROR(INDEX('DRAFT 1'!$AC:$AC,MATCH($B117,'DRAFT 1'!$B:$B,0)),"")</f>
        <v/>
      </c>
      <c r="AI117" t="str">
        <f>IFERROR(INDEX('DRAFT 1'!$AD:$AD,MATCH($B117,'DRAFT 1'!$B:$B,0)),"")</f>
        <v/>
      </c>
      <c r="AJ117" t="str">
        <f>IFERROR(INDEX('DRAFT 1'!$AE:$AE,MATCH($B117,'DRAFT 1'!$B:$B,0)),"")</f>
        <v/>
      </c>
      <c r="AK117" t="str">
        <f>IFERROR(INDEX('DRAFT 1'!$AG:$AG,MATCH($B117,'DRAFT 1'!$B:$B,0)),"")</f>
        <v/>
      </c>
      <c r="AL117" t="str">
        <f>IFERROR(INDEX('DRAFT 1'!$AH:$AH,MATCH($B117,'DRAFT 1'!$B:$B,0)),"")</f>
        <v/>
      </c>
      <c r="AM117" t="str">
        <f>IFERROR(INDEX('DRAFT 1'!$AI:$AI,MATCH($B117,'DRAFT 1'!$B:$B,0)),"")</f>
        <v/>
      </c>
      <c r="AN117" t="str">
        <f>IFERROR(INDEX('DRAFT 1'!$AJ:$AJ,MATCH($B117,'DRAFT 1'!$B:$B,0)),"")</f>
        <v/>
      </c>
      <c r="AO117">
        <f t="shared" si="42"/>
        <v>0</v>
      </c>
      <c r="AP117" t="str">
        <f>IFERROR(INDEX('DRAFT 1'!$AK:$AK,MATCH($B117,'DRAFT 1'!$B:$B,0)),"")</f>
        <v/>
      </c>
      <c r="AR117" t="s">
        <v>65</v>
      </c>
      <c r="AS117">
        <f>IFERROR(LOOKUP(2,1/('DRAFT 2'!$D:$D=$B117),'DRAFT 2'!$T:$T),"")</f>
        <v>0</v>
      </c>
      <c r="AT117">
        <f>IFERROR(LOOKUP(2,1/('DRAFT 2'!$D:$D=$B117),'DRAFT 2'!$A:$A),"")</f>
        <v>0</v>
      </c>
      <c r="AU117">
        <f>IFERROR(LOOKUP(2,1/('DRAFT 2'!$D:$D=$B117),'DRAFT 2'!$R:$R),"")</f>
        <v>0</v>
      </c>
      <c r="AV117">
        <f>IFERROR(LOOKUP(2,1/('DRAFT 2'!$D:$D=$B117),'DRAFT 2'!$S:$S),"")</f>
        <v>0</v>
      </c>
      <c r="AW117" t="s">
        <v>130</v>
      </c>
      <c r="AX117">
        <f>IFERROR(LOOKUP(2,1/('DRAFT 2'!$D:$D=$B117),'DRAFT 2'!$M:$M),"")</f>
        <v>0</v>
      </c>
      <c r="AY117">
        <f>IFERROR(LOOKUP(2,1/('DRAFT 2'!$D:$D=$B117),'DRAFT 2'!$K:$K),"")</f>
        <v>0</v>
      </c>
      <c r="BG117">
        <f>IFERROR(LOOKUP(2,1/('DRAFT 2'!$D:$D=$B117),'DRAFT 2'!$U:$U),"")</f>
        <v>0</v>
      </c>
      <c r="BH117">
        <f>IFERROR(LOOKUP(2,1/('DRAFT 2'!$D:$D=$B117),'DRAFT 2'!$V:$V),"")</f>
        <v>0</v>
      </c>
      <c r="CE117" t="str">
        <f t="shared" si="43"/>
        <v/>
      </c>
      <c r="CF117">
        <f>IFERROR(LOOKUP(2,1/('DRAFT 2'!$D:$D=$B117)*('DRAFT 2'!$A:$A&gt;=DATE(2026,1,1))*('DRAFT 2'!$A:$A&lt;DATE(2026,IF(1=12,1+1,1+1),1)),'DRAFT 2'!$A:$A),"")</f>
        <v>0</v>
      </c>
      <c r="CG117">
        <f>COUNTIFS('DRAFT 2'!$D:$D,$B117,'DRAFT 2'!$A:$A,"&gt;="&amp;DATE(2026,1,1),'DRAFT 2'!$A:$A,"&lt;="&amp;DATE(2026,1,7))</f>
        <v>0</v>
      </c>
      <c r="CH117">
        <f>COUNTIFS('DRAFT 2'!$D:$D,$B117,'DRAFT 2'!$A:$A,"&gt;="&amp;DATE(2026,1,8),'DRAFT 2'!$A:$A,"&lt;="&amp;DATE(2026,1,14))</f>
        <v>0</v>
      </c>
      <c r="CI117">
        <f>COUNTIFS('DRAFT 2'!$D:$D,$B117,'DRAFT 2'!$A:$A,"&gt;="&amp;DATE(2026,1,15),'DRAFT 2'!$A:$A,"&lt;="&amp;DATE(2026,1,21))</f>
        <v>0</v>
      </c>
      <c r="CJ117">
        <f>COUNTIFS('DRAFT 2'!$D:$D,$B117,'DRAFT 2'!$A:$A,"&gt;="&amp;DATE(2026,1,22),'DRAFT 2'!$A:$A,"&lt;"&amp;DATE(2026,IF(1=12,1+1,1+1),1))</f>
        <v>0</v>
      </c>
      <c r="CK117">
        <f t="shared" si="44"/>
        <v>0</v>
      </c>
      <c r="CT117">
        <v>0</v>
      </c>
      <c r="CU117">
        <f>IFERROR(LOOKUP(2,1/('DRAFT 2'!$D:$D=$B117)*('DRAFT 2'!$A:$A&gt;=DATE(2026,2,1))*('DRAFT 2'!$A:$A&lt;DATE(2026,IF(2=12,2+1,2+1),1)),'DRAFT 2'!$A:$A),"")</f>
        <v>0</v>
      </c>
      <c r="CV117">
        <f>COUNTIFS('DRAFT 2'!$D:$D,$B117,'DRAFT 2'!$A:$A,"&gt;="&amp;DATE(2026,2,1),'DRAFT 2'!$A:$A,"&lt;="&amp;DATE(2026,2,7))</f>
        <v>0</v>
      </c>
      <c r="CW117">
        <f>COUNTIFS('DRAFT 2'!$D:$D,$B117,'DRAFT 2'!$A:$A,"&gt;="&amp;DATE(2026,2,8),'DRAFT 2'!$A:$A,"&lt;="&amp;DATE(2026,2,14))</f>
        <v>0</v>
      </c>
      <c r="CX117">
        <f>COUNTIFS('DRAFT 2'!$D:$D,$B117,'DRAFT 2'!$A:$A,"&gt;="&amp;DATE(2026,2,15),'DRAFT 2'!$A:$A,"&lt;="&amp;DATE(2026,2,21))</f>
        <v>0</v>
      </c>
      <c r="CY117">
        <f>COUNTIFS('DRAFT 2'!$D:$D,$B117,'DRAFT 2'!$A:$A,"&gt;="&amp;DATE(2026,2,22),'DRAFT 2'!$A:$A,"&lt;"&amp;DATE(2026,IF(2=12,2+1,2+1),1))</f>
        <v>0</v>
      </c>
      <c r="CZ117">
        <f t="shared" si="45"/>
        <v>0</v>
      </c>
      <c r="DJ117">
        <f>IFERROR(LOOKUP(2,1/('DRAFT 2'!$D:$D=$B117)*('DRAFT 2'!$A:$A&gt;=DATE(2026,3,1))*('DRAFT 2'!$A:$A&lt;DATE(2026,IF(3=12,3+1,3+1),1)),'DRAFT 2'!$A:$A),"")</f>
        <v>0</v>
      </c>
      <c r="DK117">
        <f>COUNTIFS('DRAFT 2'!$D:$D,$B117,'DRAFT 2'!$A:$A,"&gt;="&amp;DATE(2026,3,1),'DRAFT 2'!$A:$A,"&lt;="&amp;DATE(2026,3,7))</f>
        <v>0</v>
      </c>
      <c r="DL117">
        <f>COUNTIFS('DRAFT 2'!$D:$D,$B117,'DRAFT 2'!$A:$A,"&gt;="&amp;DATE(2026,3,8),'DRAFT 2'!$A:$A,"&lt;="&amp;DATE(2026,3,14))</f>
        <v>0</v>
      </c>
      <c r="DM117">
        <f>COUNTIFS('DRAFT 2'!$D:$D,$B117,'DRAFT 2'!$A:$A,"&gt;="&amp;DATE(2026,3,15),'DRAFT 2'!$A:$A,"&lt;="&amp;DATE(2026,3,21))</f>
        <v>0</v>
      </c>
      <c r="DN117">
        <f>COUNTIFS('DRAFT 2'!$D:$D,$B117,'DRAFT 2'!$A:$A,"&gt;="&amp;DATE(2026,3,22),'DRAFT 2'!$A:$A,"&lt;"&amp;DATE(2026,IF(3=12,3+1,3+1),1))</f>
        <v>0</v>
      </c>
      <c r="DO117">
        <f t="shared" si="46"/>
        <v>0</v>
      </c>
      <c r="DZ117">
        <f>IFERROR(LOOKUP(2,1/('DRAFT 2'!$D:$D=$B117)*('DRAFT 2'!$A:$A&gt;=DATE(2026,4,1))*('DRAFT 2'!$A:$A&lt;DATE(2026,IF(4=12,4+1,4+1),1)),'DRAFT 2'!$A:$A),"")</f>
        <v>0</v>
      </c>
      <c r="EA117">
        <f>COUNTIFS('DRAFT 2'!$D:$D,$B117,'DRAFT 2'!$A:$A,"&gt;="&amp;DATE(2026,4,1),'DRAFT 2'!$A:$A,"&lt;="&amp;DATE(2026,4,7))</f>
        <v>0</v>
      </c>
      <c r="EB117">
        <f>COUNTIFS('DRAFT 2'!$D:$D,$B117,'DRAFT 2'!$A:$A,"&gt;="&amp;DATE(2026,4,8),'DRAFT 2'!$A:$A,"&lt;="&amp;DATE(2026,4,14))</f>
        <v>0</v>
      </c>
      <c r="EC117">
        <f>COUNTIFS('DRAFT 2'!$D:$D,$B117,'DRAFT 2'!$A:$A,"&gt;="&amp;DATE(2026,4,15),'DRAFT 2'!$A:$A,"&lt;="&amp;DATE(2026,4,21))</f>
        <v>0</v>
      </c>
      <c r="ED117">
        <f>COUNTIFS('DRAFT 2'!$D:$D,$B117,'DRAFT 2'!$A:$A,"&gt;="&amp;DATE(2026,4,22),'DRAFT 2'!$A:$A,"&lt;"&amp;DATE(2026,IF(4=12,4+1,4+1),1))</f>
        <v>0</v>
      </c>
      <c r="EE117">
        <f t="shared" si="47"/>
        <v>0</v>
      </c>
      <c r="EO117">
        <f>IFERROR(LOOKUP(2,1/('DRAFT 2'!$D:$D=$B117)*('DRAFT 2'!$A:$A&gt;=DATE(2026,5,1))*('DRAFT 2'!$A:$A&lt;DATE(2026,IF(5=12,5+1,5+1),1)),'DRAFT 2'!$A:$A),"")</f>
        <v>0</v>
      </c>
      <c r="EP117">
        <f>COUNTIFS('DRAFT 2'!$D:$D,$B117,'DRAFT 2'!$A:$A,"&gt;="&amp;DATE(2026,5,1),'DRAFT 2'!$A:$A,"&lt;="&amp;DATE(2026,5,7))</f>
        <v>0</v>
      </c>
      <c r="EQ117">
        <f>COUNTIFS('DRAFT 2'!$D:$D,$B117,'DRAFT 2'!$A:$A,"&gt;="&amp;DATE(2026,5,8),'DRAFT 2'!$A:$A,"&lt;="&amp;DATE(2026,5,14))</f>
        <v>0</v>
      </c>
      <c r="ER117">
        <f>COUNTIFS('DRAFT 2'!$D:$D,$B117,'DRAFT 2'!$A:$A,"&gt;="&amp;DATE(2026,5,15),'DRAFT 2'!$A:$A,"&lt;="&amp;DATE(2026,5,21))</f>
        <v>0</v>
      </c>
      <c r="ES117">
        <f>COUNTIFS('DRAFT 2'!$D:$D,$B117,'DRAFT 2'!$A:$A,"&gt;="&amp;DATE(2026,5,22),'DRAFT 2'!$A:$A,"&lt;"&amp;DATE(2026,IF(5=12,5+1,5+1),1))</f>
        <v>0</v>
      </c>
      <c r="ET117">
        <f t="shared" si="48"/>
        <v>0</v>
      </c>
      <c r="FD117">
        <f>IFERROR(LOOKUP(2,1/('DRAFT 2'!$D:$D=$B117)*('DRAFT 2'!$A:$A&gt;=DATE(2026,6,1))*('DRAFT 2'!$A:$A&lt;DATE(2026,IF(6=12,6+1,6+1),1)),'DRAFT 2'!$A:$A),"")</f>
        <v>0</v>
      </c>
      <c r="FE117">
        <f>COUNTIFS('DRAFT 2'!$D:$D,$B117,'DRAFT 2'!$A:$A,"&gt;="&amp;DATE(2026,6,1),'DRAFT 2'!$A:$A,"&lt;="&amp;DATE(2026,6,7))</f>
        <v>0</v>
      </c>
      <c r="FF117">
        <f>COUNTIFS('DRAFT 2'!$D:$D,$B117,'DRAFT 2'!$A:$A,"&gt;="&amp;DATE(2026,6,8),'DRAFT 2'!$A:$A,"&lt;="&amp;DATE(2026,6,14))</f>
        <v>0</v>
      </c>
      <c r="FG117">
        <f>COUNTIFS('DRAFT 2'!$D:$D,$B117,'DRAFT 2'!$A:$A,"&gt;="&amp;DATE(2026,6,15),'DRAFT 2'!$A:$A,"&lt;="&amp;DATE(2026,6,21))</f>
        <v>0</v>
      </c>
      <c r="FH117">
        <f>COUNTIFS('DRAFT 2'!$D:$D,$B117,'DRAFT 2'!$A:$A,"&gt;="&amp;DATE(2026,6,22),'DRAFT 2'!$A:$A,"&lt;"&amp;DATE(2026,IF(6=12,6+1,6+1),1))</f>
        <v>0</v>
      </c>
      <c r="FI117">
        <f t="shared" si="49"/>
        <v>0</v>
      </c>
      <c r="FT117">
        <f>IFERROR(LOOKUP(2,1/('DRAFT 2'!$D:$D=$B117)*('DRAFT 2'!$A:$A&gt;=DATE(2026,7,1))*('DRAFT 2'!$A:$A&lt;DATE(2026,IF(7=12,7+1,7+1),1)),'DRAFT 2'!$A:$A),"")</f>
        <v>0</v>
      </c>
      <c r="FU117">
        <f>COUNTIFS('DRAFT 2'!$D:$D,$B117,'DRAFT 2'!$A:$A,"&gt;="&amp;DATE(2026,7,1),'DRAFT 2'!$A:$A,"&lt;="&amp;DATE(2026,7,7))</f>
        <v>0</v>
      </c>
      <c r="FV117">
        <f>COUNTIFS('DRAFT 2'!$D:$D,$B117,'DRAFT 2'!$A:$A,"&gt;="&amp;DATE(2026,7,8),'DRAFT 2'!$A:$A,"&lt;="&amp;DATE(2026,7,14))</f>
        <v>0</v>
      </c>
      <c r="FW117">
        <f>COUNTIFS('DRAFT 2'!$D:$D,$B117,'DRAFT 2'!$A:$A,"&gt;="&amp;DATE(2026,7,15),'DRAFT 2'!$A:$A,"&lt;="&amp;DATE(2026,7,21))</f>
        <v>0</v>
      </c>
      <c r="FX117">
        <f>COUNTIFS('DRAFT 2'!$D:$D,$B117,'DRAFT 2'!$A:$A,"&gt;="&amp;DATE(2026,7,22),'DRAFT 2'!$A:$A,"&lt;"&amp;DATE(2026,IF(7=12,7+1,7+1),1))</f>
        <v>0</v>
      </c>
      <c r="FY117">
        <f t="shared" si="50"/>
        <v>0</v>
      </c>
      <c r="GI117">
        <f>IFERROR(LOOKUP(2,1/('DRAFT 2'!$D:$D=$B117)*('DRAFT 2'!$A:$A&gt;=DATE(2026,8,1))*('DRAFT 2'!$A:$A&lt;DATE(2026,IF(8=12,8+1,8+1),1)),'DRAFT 2'!$A:$A),"")</f>
        <v>0</v>
      </c>
      <c r="GJ117">
        <f>COUNTIFS('DRAFT 2'!$D:$D,$B117,'DRAFT 2'!$A:$A,"&gt;="&amp;DATE(2026,8,1),'DRAFT 2'!$A:$A,"&lt;="&amp;DATE(2026,8,7))</f>
        <v>0</v>
      </c>
      <c r="GK117">
        <f>COUNTIFS('DRAFT 2'!$D:$D,$B117,'DRAFT 2'!$A:$A,"&gt;="&amp;DATE(2026,8,8),'DRAFT 2'!$A:$A,"&lt;="&amp;DATE(2026,8,14))</f>
        <v>0</v>
      </c>
      <c r="GL117">
        <f>COUNTIFS('DRAFT 2'!$D:$D,$B117,'DRAFT 2'!$A:$A,"&gt;="&amp;DATE(2026,8,15),'DRAFT 2'!$A:$A,"&lt;="&amp;DATE(2026,8,21))</f>
        <v>0</v>
      </c>
      <c r="GM117">
        <f>COUNTIFS('DRAFT 2'!$D:$D,$B117,'DRAFT 2'!$A:$A,"&gt;="&amp;DATE(2026,8,22),'DRAFT 2'!$A:$A,"&lt;"&amp;DATE(2026,IF(8=12,8+1,8+1),1))</f>
        <v>0</v>
      </c>
      <c r="GN117">
        <f t="shared" si="51"/>
        <v>0</v>
      </c>
      <c r="GX117">
        <f>IFERROR(LOOKUP(2,1/('DRAFT 2'!$D:$D=$B117)*('DRAFT 2'!$A:$A&gt;=DATE(2026,9,1))*('DRAFT 2'!$A:$A&lt;DATE(2026,IF(9=12,9+1,9+1),1)),'DRAFT 2'!$A:$A),"")</f>
        <v>0</v>
      </c>
      <c r="GY117">
        <f>COUNTIFS('DRAFT 2'!$D:$D,$B117,'DRAFT 2'!$A:$A,"&gt;="&amp;DATE(2026,9,1),'DRAFT 2'!$A:$A,"&lt;="&amp;DATE(2026,9,7))</f>
        <v>0</v>
      </c>
      <c r="GZ117">
        <f>COUNTIFS('DRAFT 2'!$D:$D,$B117,'DRAFT 2'!$A:$A,"&gt;="&amp;DATE(2026,9,8),'DRAFT 2'!$A:$A,"&lt;="&amp;DATE(2026,9,14))</f>
        <v>0</v>
      </c>
      <c r="HA117">
        <f>COUNTIFS('DRAFT 2'!$D:$D,$B117,'DRAFT 2'!$A:$A,"&gt;="&amp;DATE(2026,9,15),'DRAFT 2'!$A:$A,"&lt;="&amp;DATE(2026,9,21))</f>
        <v>0</v>
      </c>
      <c r="HB117">
        <f>COUNTIFS('DRAFT 2'!$D:$D,$B117,'DRAFT 2'!$A:$A,"&gt;="&amp;DATE(2026,9,22),'DRAFT 2'!$A:$A,"&lt;"&amp;DATE(2026,IF(9=12,9+1,9+1),1))</f>
        <v>0</v>
      </c>
      <c r="HC117">
        <f t="shared" si="52"/>
        <v>0</v>
      </c>
      <c r="HN117">
        <f>IFERROR(LOOKUP(2,1/('DRAFT 2'!$D:$D=$B117)*('DRAFT 2'!$A:$A&gt;=DATE(2026,10,1))*('DRAFT 2'!$A:$A&lt;DATE(2026,IF(10=12,10+1,10+1),1)),'DRAFT 2'!$A:$A),"")</f>
        <v>0</v>
      </c>
      <c r="HO117">
        <f>COUNTIFS('DRAFT 2'!$D:$D,$B117,'DRAFT 2'!$A:$A,"&gt;="&amp;DATE(2026,10,1),'DRAFT 2'!$A:$A,"&lt;="&amp;DATE(2026,10,7))</f>
        <v>0</v>
      </c>
      <c r="HP117">
        <f>COUNTIFS('DRAFT 2'!$D:$D,$B117,'DRAFT 2'!$A:$A,"&gt;="&amp;DATE(2026,10,8),'DRAFT 2'!$A:$A,"&lt;="&amp;DATE(2026,10,14))</f>
        <v>0</v>
      </c>
      <c r="HQ117">
        <f>COUNTIFS('DRAFT 2'!$D:$D,$B117,'DRAFT 2'!$A:$A,"&gt;="&amp;DATE(2026,10,15),'DRAFT 2'!$A:$A,"&lt;="&amp;DATE(2026,10,21))</f>
        <v>0</v>
      </c>
      <c r="HR117">
        <f>COUNTIFS('DRAFT 2'!$D:$D,$B117,'DRAFT 2'!$A:$A,"&gt;="&amp;DATE(2026,10,22),'DRAFT 2'!$A:$A,"&lt;"&amp;DATE(2026,IF(10=12,10+1,10+1),1))</f>
        <v>0</v>
      </c>
      <c r="HS117">
        <f t="shared" si="53"/>
        <v>0</v>
      </c>
      <c r="IC117">
        <f>IFERROR(LOOKUP(2,1/('DRAFT 2'!$D:$D=$B117)*('DRAFT 2'!$A:$A&gt;=DATE(2026,11,1))*('DRAFT 2'!$A:$A&lt;DATE(2026,IF(11=12,11+1,11+1),1)),'DRAFT 2'!$A:$A),"")</f>
        <v>0</v>
      </c>
      <c r="ID117">
        <f>COUNTIFS('DRAFT 2'!$D:$D,$B117,'DRAFT 2'!$A:$A,"&gt;="&amp;DATE(2026,11,1),'DRAFT 2'!$A:$A,"&lt;="&amp;DATE(2026,11,7))</f>
        <v>0</v>
      </c>
      <c r="IE117">
        <f>COUNTIFS('DRAFT 2'!$D:$D,$B117,'DRAFT 2'!$A:$A,"&gt;="&amp;DATE(2026,11,8),'DRAFT 2'!$A:$A,"&lt;="&amp;DATE(2026,11,14))</f>
        <v>0</v>
      </c>
      <c r="IF117">
        <f>COUNTIFS('DRAFT 2'!$D:$D,$B117,'DRAFT 2'!$A:$A,"&gt;="&amp;DATE(2026,11,15),'DRAFT 2'!$A:$A,"&lt;="&amp;DATE(2026,11,21))</f>
        <v>0</v>
      </c>
      <c r="IG117">
        <f>COUNTIFS('DRAFT 2'!$D:$D,$B117,'DRAFT 2'!$A:$A,"&gt;="&amp;DATE(2026,11,22),'DRAFT 2'!$A:$A,"&lt;"&amp;DATE(2026,IF(11=12,11+1,11+1),1))</f>
        <v>0</v>
      </c>
      <c r="IH117">
        <f t="shared" si="54"/>
        <v>0</v>
      </c>
      <c r="IR117">
        <f>IFERROR(LOOKUP(2,1/('DRAFT 2'!$D:$D=$B117)*('DRAFT 2'!$A:$A&gt;=DATE(2026,12,1))*('DRAFT 2'!$A:$A&lt;DATE(2026,IF(12=12,12+1,12+1),1)),'DRAFT 2'!$A:$A),"")</f>
        <v>0</v>
      </c>
      <c r="IS117">
        <f>COUNTIFS('DRAFT 2'!$D:$D,$B117,'DRAFT 2'!$A:$A,"&gt;="&amp;DATE(2026,12,1),'DRAFT 2'!$A:$A,"&lt;="&amp;DATE(2026,12,7))</f>
        <v>0</v>
      </c>
      <c r="IT117">
        <f>COUNTIFS('DRAFT 2'!$D:$D,$B117,'DRAFT 2'!$A:$A,"&gt;="&amp;DATE(2026,12,8),'DRAFT 2'!$A:$A,"&lt;="&amp;DATE(2026,12,14))</f>
        <v>0</v>
      </c>
      <c r="IU117">
        <f>COUNTIFS('DRAFT 2'!$D:$D,$B117,'DRAFT 2'!$A:$A,"&gt;="&amp;DATE(2026,12,15),'DRAFT 2'!$A:$A,"&lt;="&amp;DATE(2026,12,21))</f>
        <v>0</v>
      </c>
      <c r="IV117">
        <f>COUNTIFS('DRAFT 2'!$D:$D,$B117,'DRAFT 2'!$A:$A,"&gt;="&amp;DATE(2026,12,22),'DRAFT 2'!$A:$A,"&lt;"&amp;DATE(2026,IF(12=12,12+1,12+1),1))</f>
        <v>0</v>
      </c>
      <c r="IW117">
        <f t="shared" si="55"/>
        <v>0</v>
      </c>
    </row>
    <row r="118" spans="1:257" x14ac:dyDescent="0.3">
      <c r="A118" t="str">
        <f>IFERROR(INDEX('DRAFT 1'!$A:$A,MATCH($B118,'DRAFT 1'!$B:$B,0)),"")</f>
        <v/>
      </c>
      <c r="C118" t="str">
        <f>IFERROR(INDEX('DRAFT 1'!$C:$C,MATCH($B118,'DRAFT 1'!$B:$B,0)),"")</f>
        <v/>
      </c>
      <c r="D118" t="str">
        <f>IFERROR(INDEX('DRAFT 1'!$D:$D,MATCH($B118,'DRAFT 1'!$B:$B,0)),"")</f>
        <v/>
      </c>
      <c r="E118" t="str">
        <f>IFERROR(INDEX('DRAFT 1'!$E:$E,MATCH($B118,'DRAFT 1'!$B:$B,0)),"")</f>
        <v/>
      </c>
      <c r="F118" t="str">
        <f>IFERROR(INDEX('DRAFT 1'!$F:$F,MATCH($B118,'DRAFT 1'!$B:$B,0)),"")</f>
        <v/>
      </c>
      <c r="G118" t="str">
        <f>IFERROR(INDEX('DRAFT 1'!$G:$G,MATCH($B118,'DRAFT 1'!$B:$B,0)),"")</f>
        <v/>
      </c>
      <c r="H118" t="str">
        <f>IFERROR(INDEX('DRAFT 1'!$H:$H,MATCH($B118,'DRAFT 1'!$B:$B,0)),"")</f>
        <v/>
      </c>
      <c r="I118" t="s">
        <v>298</v>
      </c>
      <c r="K118" t="str">
        <f>IFERROR(INDEX('DRAFT 1'!$AL:$AL,MATCH($B118,'DRAFT 1'!$B:$B,0)),"")</f>
        <v/>
      </c>
      <c r="L118" t="str">
        <f>IFERROR(INDEX('DRAFT 1'!$J:$J,MATCH($B118,'DRAFT 1'!$B:$B,0)),"")</f>
        <v/>
      </c>
      <c r="M118" t="str">
        <f>IFERROR(INDEX('DRAFT 1'!$K:$K,MATCH($B118,'DRAFT 1'!$B:$B,0)),"")</f>
        <v/>
      </c>
      <c r="N118" t="s">
        <v>74</v>
      </c>
      <c r="P118" t="str">
        <f>IFERROR(INDEX('DRAFT 1'!$L:$L,MATCH($B118,'DRAFT 1'!$B:$B,0)),"")</f>
        <v/>
      </c>
      <c r="Q118" t="str">
        <f>IFERROR(INDEX('DRAFT 1'!$M:$M,MATCH($B118,'DRAFT 1'!$B:$B,0)),"")</f>
        <v/>
      </c>
      <c r="R118" t="str">
        <f>IFERROR(INDEX('DRAFT 1'!$N:$N,MATCH($B118,'DRAFT 1'!$B:$B,0)),"")</f>
        <v/>
      </c>
      <c r="S118" t="str">
        <f>IFERROR(INDEX('DRAFT 1'!$O:$O,MATCH($B118,'DRAFT 1'!$B:$B,0)),"")</f>
        <v/>
      </c>
      <c r="T118" t="str">
        <f>IFERROR(INDEX('DRAFT 1'!$P:$P,MATCH($B118,'DRAFT 1'!$B:$B,0)),"")</f>
        <v/>
      </c>
      <c r="U118" t="str">
        <f>IFERROR(INDEX('DRAFT 1'!$Q:$Q,MATCH($B118,'DRAFT 1'!$B:$B,0)),"")</f>
        <v/>
      </c>
      <c r="V118" t="str">
        <f>IFERROR(INDEX('DRAFT 1'!$R:$R,MATCH($B118,'DRAFT 1'!$B:$B,0)),"")</f>
        <v/>
      </c>
      <c r="W118" t="str">
        <f>IFERROR(INDEX('DRAFT 1'!$S:$S,MATCH($B118,'DRAFT 1'!$B:$B,0)),"")</f>
        <v/>
      </c>
      <c r="X118" t="str">
        <f>IFERROR(INDEX('DRAFT 1'!$T:$T,MATCH($B118,'DRAFT 1'!$B:$B,0)),"")</f>
        <v/>
      </c>
      <c r="Z118" t="str">
        <f>IFERROR(INDEX('DRAFT 1'!$U:$U,MATCH($B118,'DRAFT 1'!$B:$B,0)),"")</f>
        <v/>
      </c>
      <c r="AA118" t="str">
        <f>IFERROR(INDEX('DRAFT 1'!$V:$V,MATCH($B118,'DRAFT 1'!$B:$B,0)),"")</f>
        <v/>
      </c>
      <c r="AB118" t="str">
        <f>IFERROR(INDEX('DRAFT 1'!$W:$W,MATCH($B118,'DRAFT 1'!$B:$B,0)),"")</f>
        <v/>
      </c>
      <c r="AC118" t="str">
        <f>IFERROR(INDEX('DRAFT 1'!$X:$X,MATCH($B118,'DRAFT 1'!$B:$B,0)),"")</f>
        <v/>
      </c>
      <c r="AD118" t="str">
        <f>IFERROR(INDEX('DRAFT 1'!$Y:$Y,MATCH($B118,'DRAFT 1'!$B:$B,0)),"")</f>
        <v/>
      </c>
      <c r="AE118" t="str">
        <f>IFERROR(INDEX('DRAFT 1'!$Z:$Z,MATCH($B118,'DRAFT 1'!$B:$B,0)),"")</f>
        <v/>
      </c>
      <c r="AF118" t="str">
        <f>IFERROR(INDEX('DRAFT 1'!$AA:$AA,MATCH($B118,'DRAFT 1'!$B:$B,0)),"")</f>
        <v/>
      </c>
      <c r="AG118" t="str">
        <f>IFERROR(INDEX('DRAFT 1'!$AB:$AB,MATCH($B118,'DRAFT 1'!$B:$B,0)),"")</f>
        <v/>
      </c>
      <c r="AH118" t="str">
        <f>IFERROR(INDEX('DRAFT 1'!$AC:$AC,MATCH($B118,'DRAFT 1'!$B:$B,0)),"")</f>
        <v/>
      </c>
      <c r="AI118" t="str">
        <f>IFERROR(INDEX('DRAFT 1'!$AD:$AD,MATCH($B118,'DRAFT 1'!$B:$B,0)),"")</f>
        <v/>
      </c>
      <c r="AJ118" t="str">
        <f>IFERROR(INDEX('DRAFT 1'!$AE:$AE,MATCH($B118,'DRAFT 1'!$B:$B,0)),"")</f>
        <v/>
      </c>
      <c r="AK118" t="str">
        <f>IFERROR(INDEX('DRAFT 1'!$AG:$AG,MATCH($B118,'DRAFT 1'!$B:$B,0)),"")</f>
        <v/>
      </c>
      <c r="AL118" t="str">
        <f>IFERROR(INDEX('DRAFT 1'!$AH:$AH,MATCH($B118,'DRAFT 1'!$B:$B,0)),"")</f>
        <v/>
      </c>
      <c r="AM118" t="str">
        <f>IFERROR(INDEX('DRAFT 1'!$AI:$AI,MATCH($B118,'DRAFT 1'!$B:$B,0)),"")</f>
        <v/>
      </c>
      <c r="AN118" t="str">
        <f>IFERROR(INDEX('DRAFT 1'!$AJ:$AJ,MATCH($B118,'DRAFT 1'!$B:$B,0)),"")</f>
        <v/>
      </c>
      <c r="AO118">
        <f t="shared" si="42"/>
        <v>0</v>
      </c>
      <c r="AP118" t="str">
        <f>IFERROR(INDEX('DRAFT 1'!$AK:$AK,MATCH($B118,'DRAFT 1'!$B:$B,0)),"")</f>
        <v/>
      </c>
      <c r="AR118" t="s">
        <v>93</v>
      </c>
      <c r="AS118">
        <f>IFERROR(LOOKUP(2,1/('DRAFT 2'!$D:$D=$B118),'DRAFT 2'!$T:$T),"")</f>
        <v>0</v>
      </c>
      <c r="AT118">
        <f>IFERROR(LOOKUP(2,1/('DRAFT 2'!$D:$D=$B118),'DRAFT 2'!$A:$A),"")</f>
        <v>0</v>
      </c>
      <c r="AU118">
        <f>IFERROR(LOOKUP(2,1/('DRAFT 2'!$D:$D=$B118),'DRAFT 2'!$R:$R),"")</f>
        <v>0</v>
      </c>
      <c r="AV118">
        <f>IFERROR(LOOKUP(2,1/('DRAFT 2'!$D:$D=$B118),'DRAFT 2'!$S:$S),"")</f>
        <v>0</v>
      </c>
      <c r="AW118" t="s">
        <v>82</v>
      </c>
      <c r="AX118">
        <f>IFERROR(LOOKUP(2,1/('DRAFT 2'!$D:$D=$B118),'DRAFT 2'!$M:$M),"")</f>
        <v>0</v>
      </c>
      <c r="AY118">
        <f>IFERROR(LOOKUP(2,1/('DRAFT 2'!$D:$D=$B118),'DRAFT 2'!$K:$K),"")</f>
        <v>0</v>
      </c>
      <c r="BG118">
        <f>IFERROR(LOOKUP(2,1/('DRAFT 2'!$D:$D=$B118),'DRAFT 2'!$U:$U),"")</f>
        <v>0</v>
      </c>
      <c r="BH118">
        <f>IFERROR(LOOKUP(2,1/('DRAFT 2'!$D:$D=$B118),'DRAFT 2'!$V:$V),"")</f>
        <v>0</v>
      </c>
      <c r="CE118" t="str">
        <f t="shared" si="43"/>
        <v/>
      </c>
      <c r="CF118">
        <f>IFERROR(LOOKUP(2,1/('DRAFT 2'!$D:$D=$B118)*('DRAFT 2'!$A:$A&gt;=DATE(2026,1,1))*('DRAFT 2'!$A:$A&lt;DATE(2026,IF(1=12,1+1,1+1),1)),'DRAFT 2'!$A:$A),"")</f>
        <v>0</v>
      </c>
      <c r="CG118">
        <f>COUNTIFS('DRAFT 2'!$D:$D,$B118,'DRAFT 2'!$A:$A,"&gt;="&amp;DATE(2026,1,1),'DRAFT 2'!$A:$A,"&lt;="&amp;DATE(2026,1,7))</f>
        <v>0</v>
      </c>
      <c r="CH118">
        <f>COUNTIFS('DRAFT 2'!$D:$D,$B118,'DRAFT 2'!$A:$A,"&gt;="&amp;DATE(2026,1,8),'DRAFT 2'!$A:$A,"&lt;="&amp;DATE(2026,1,14))</f>
        <v>0</v>
      </c>
      <c r="CI118">
        <f>COUNTIFS('DRAFT 2'!$D:$D,$B118,'DRAFT 2'!$A:$A,"&gt;="&amp;DATE(2026,1,15),'DRAFT 2'!$A:$A,"&lt;="&amp;DATE(2026,1,21))</f>
        <v>0</v>
      </c>
      <c r="CJ118">
        <f>COUNTIFS('DRAFT 2'!$D:$D,$B118,'DRAFT 2'!$A:$A,"&gt;="&amp;DATE(2026,1,22),'DRAFT 2'!$A:$A,"&lt;"&amp;DATE(2026,IF(1=12,1+1,1+1),1))</f>
        <v>0</v>
      </c>
      <c r="CK118">
        <f t="shared" si="44"/>
        <v>0</v>
      </c>
      <c r="CT118">
        <v>0</v>
      </c>
      <c r="CU118">
        <f>IFERROR(LOOKUP(2,1/('DRAFT 2'!$D:$D=$B118)*('DRAFT 2'!$A:$A&gt;=DATE(2026,2,1))*('DRAFT 2'!$A:$A&lt;DATE(2026,IF(2=12,2+1,2+1),1)),'DRAFT 2'!$A:$A),"")</f>
        <v>0</v>
      </c>
      <c r="CV118">
        <f>COUNTIFS('DRAFT 2'!$D:$D,$B118,'DRAFT 2'!$A:$A,"&gt;="&amp;DATE(2026,2,1),'DRAFT 2'!$A:$A,"&lt;="&amp;DATE(2026,2,7))</f>
        <v>0</v>
      </c>
      <c r="CW118">
        <f>COUNTIFS('DRAFT 2'!$D:$D,$B118,'DRAFT 2'!$A:$A,"&gt;="&amp;DATE(2026,2,8),'DRAFT 2'!$A:$A,"&lt;="&amp;DATE(2026,2,14))</f>
        <v>0</v>
      </c>
      <c r="CX118">
        <f>COUNTIFS('DRAFT 2'!$D:$D,$B118,'DRAFT 2'!$A:$A,"&gt;="&amp;DATE(2026,2,15),'DRAFT 2'!$A:$A,"&lt;="&amp;DATE(2026,2,21))</f>
        <v>0</v>
      </c>
      <c r="CY118">
        <f>COUNTIFS('DRAFT 2'!$D:$D,$B118,'DRAFT 2'!$A:$A,"&gt;="&amp;DATE(2026,2,22),'DRAFT 2'!$A:$A,"&lt;"&amp;DATE(2026,IF(2=12,2+1,2+1),1))</f>
        <v>0</v>
      </c>
      <c r="CZ118">
        <f t="shared" si="45"/>
        <v>0</v>
      </c>
      <c r="DJ118">
        <f>IFERROR(LOOKUP(2,1/('DRAFT 2'!$D:$D=$B118)*('DRAFT 2'!$A:$A&gt;=DATE(2026,3,1))*('DRAFT 2'!$A:$A&lt;DATE(2026,IF(3=12,3+1,3+1),1)),'DRAFT 2'!$A:$A),"")</f>
        <v>0</v>
      </c>
      <c r="DK118">
        <f>COUNTIFS('DRAFT 2'!$D:$D,$B118,'DRAFT 2'!$A:$A,"&gt;="&amp;DATE(2026,3,1),'DRAFT 2'!$A:$A,"&lt;="&amp;DATE(2026,3,7))</f>
        <v>0</v>
      </c>
      <c r="DL118">
        <f>COUNTIFS('DRAFT 2'!$D:$D,$B118,'DRAFT 2'!$A:$A,"&gt;="&amp;DATE(2026,3,8),'DRAFT 2'!$A:$A,"&lt;="&amp;DATE(2026,3,14))</f>
        <v>0</v>
      </c>
      <c r="DM118">
        <f>COUNTIFS('DRAFT 2'!$D:$D,$B118,'DRAFT 2'!$A:$A,"&gt;="&amp;DATE(2026,3,15),'DRAFT 2'!$A:$A,"&lt;="&amp;DATE(2026,3,21))</f>
        <v>0</v>
      </c>
      <c r="DN118">
        <f>COUNTIFS('DRAFT 2'!$D:$D,$B118,'DRAFT 2'!$A:$A,"&gt;="&amp;DATE(2026,3,22),'DRAFT 2'!$A:$A,"&lt;"&amp;DATE(2026,IF(3=12,3+1,3+1),1))</f>
        <v>0</v>
      </c>
      <c r="DO118">
        <f t="shared" si="46"/>
        <v>0</v>
      </c>
      <c r="DZ118">
        <f>IFERROR(LOOKUP(2,1/('DRAFT 2'!$D:$D=$B118)*('DRAFT 2'!$A:$A&gt;=DATE(2026,4,1))*('DRAFT 2'!$A:$A&lt;DATE(2026,IF(4=12,4+1,4+1),1)),'DRAFT 2'!$A:$A),"")</f>
        <v>0</v>
      </c>
      <c r="EA118">
        <f>COUNTIFS('DRAFT 2'!$D:$D,$B118,'DRAFT 2'!$A:$A,"&gt;="&amp;DATE(2026,4,1),'DRAFT 2'!$A:$A,"&lt;="&amp;DATE(2026,4,7))</f>
        <v>0</v>
      </c>
      <c r="EB118">
        <f>COUNTIFS('DRAFT 2'!$D:$D,$B118,'DRAFT 2'!$A:$A,"&gt;="&amp;DATE(2026,4,8),'DRAFT 2'!$A:$A,"&lt;="&amp;DATE(2026,4,14))</f>
        <v>0</v>
      </c>
      <c r="EC118">
        <f>COUNTIFS('DRAFT 2'!$D:$D,$B118,'DRAFT 2'!$A:$A,"&gt;="&amp;DATE(2026,4,15),'DRAFT 2'!$A:$A,"&lt;="&amp;DATE(2026,4,21))</f>
        <v>0</v>
      </c>
      <c r="ED118">
        <f>COUNTIFS('DRAFT 2'!$D:$D,$B118,'DRAFT 2'!$A:$A,"&gt;="&amp;DATE(2026,4,22),'DRAFT 2'!$A:$A,"&lt;"&amp;DATE(2026,IF(4=12,4+1,4+1),1))</f>
        <v>0</v>
      </c>
      <c r="EE118">
        <f t="shared" si="47"/>
        <v>0</v>
      </c>
      <c r="EO118">
        <f>IFERROR(LOOKUP(2,1/('DRAFT 2'!$D:$D=$B118)*('DRAFT 2'!$A:$A&gt;=DATE(2026,5,1))*('DRAFT 2'!$A:$A&lt;DATE(2026,IF(5=12,5+1,5+1),1)),'DRAFT 2'!$A:$A),"")</f>
        <v>0</v>
      </c>
      <c r="EP118">
        <f>COUNTIFS('DRAFT 2'!$D:$D,$B118,'DRAFT 2'!$A:$A,"&gt;="&amp;DATE(2026,5,1),'DRAFT 2'!$A:$A,"&lt;="&amp;DATE(2026,5,7))</f>
        <v>0</v>
      </c>
      <c r="EQ118">
        <f>COUNTIFS('DRAFT 2'!$D:$D,$B118,'DRAFT 2'!$A:$A,"&gt;="&amp;DATE(2026,5,8),'DRAFT 2'!$A:$A,"&lt;="&amp;DATE(2026,5,14))</f>
        <v>0</v>
      </c>
      <c r="ER118">
        <f>COUNTIFS('DRAFT 2'!$D:$D,$B118,'DRAFT 2'!$A:$A,"&gt;="&amp;DATE(2026,5,15),'DRAFT 2'!$A:$A,"&lt;="&amp;DATE(2026,5,21))</f>
        <v>0</v>
      </c>
      <c r="ES118">
        <f>COUNTIFS('DRAFT 2'!$D:$D,$B118,'DRAFT 2'!$A:$A,"&gt;="&amp;DATE(2026,5,22),'DRAFT 2'!$A:$A,"&lt;"&amp;DATE(2026,IF(5=12,5+1,5+1),1))</f>
        <v>0</v>
      </c>
      <c r="ET118">
        <f t="shared" si="48"/>
        <v>0</v>
      </c>
      <c r="FD118">
        <f>IFERROR(LOOKUP(2,1/('DRAFT 2'!$D:$D=$B118)*('DRAFT 2'!$A:$A&gt;=DATE(2026,6,1))*('DRAFT 2'!$A:$A&lt;DATE(2026,IF(6=12,6+1,6+1),1)),'DRAFT 2'!$A:$A),"")</f>
        <v>0</v>
      </c>
      <c r="FE118">
        <f>COUNTIFS('DRAFT 2'!$D:$D,$B118,'DRAFT 2'!$A:$A,"&gt;="&amp;DATE(2026,6,1),'DRAFT 2'!$A:$A,"&lt;="&amp;DATE(2026,6,7))</f>
        <v>0</v>
      </c>
      <c r="FF118">
        <f>COUNTIFS('DRAFT 2'!$D:$D,$B118,'DRAFT 2'!$A:$A,"&gt;="&amp;DATE(2026,6,8),'DRAFT 2'!$A:$A,"&lt;="&amp;DATE(2026,6,14))</f>
        <v>0</v>
      </c>
      <c r="FG118">
        <f>COUNTIFS('DRAFT 2'!$D:$D,$B118,'DRAFT 2'!$A:$A,"&gt;="&amp;DATE(2026,6,15),'DRAFT 2'!$A:$A,"&lt;="&amp;DATE(2026,6,21))</f>
        <v>0</v>
      </c>
      <c r="FH118">
        <f>COUNTIFS('DRAFT 2'!$D:$D,$B118,'DRAFT 2'!$A:$A,"&gt;="&amp;DATE(2026,6,22),'DRAFT 2'!$A:$A,"&lt;"&amp;DATE(2026,IF(6=12,6+1,6+1),1))</f>
        <v>0</v>
      </c>
      <c r="FI118">
        <f t="shared" si="49"/>
        <v>0</v>
      </c>
      <c r="FT118">
        <f>IFERROR(LOOKUP(2,1/('DRAFT 2'!$D:$D=$B118)*('DRAFT 2'!$A:$A&gt;=DATE(2026,7,1))*('DRAFT 2'!$A:$A&lt;DATE(2026,IF(7=12,7+1,7+1),1)),'DRAFT 2'!$A:$A),"")</f>
        <v>0</v>
      </c>
      <c r="FU118">
        <f>COUNTIFS('DRAFT 2'!$D:$D,$B118,'DRAFT 2'!$A:$A,"&gt;="&amp;DATE(2026,7,1),'DRAFT 2'!$A:$A,"&lt;="&amp;DATE(2026,7,7))</f>
        <v>0</v>
      </c>
      <c r="FV118">
        <f>COUNTIFS('DRAFT 2'!$D:$D,$B118,'DRAFT 2'!$A:$A,"&gt;="&amp;DATE(2026,7,8),'DRAFT 2'!$A:$A,"&lt;="&amp;DATE(2026,7,14))</f>
        <v>0</v>
      </c>
      <c r="FW118">
        <f>COUNTIFS('DRAFT 2'!$D:$D,$B118,'DRAFT 2'!$A:$A,"&gt;="&amp;DATE(2026,7,15),'DRAFT 2'!$A:$A,"&lt;="&amp;DATE(2026,7,21))</f>
        <v>0</v>
      </c>
      <c r="FX118">
        <f>COUNTIFS('DRAFT 2'!$D:$D,$B118,'DRAFT 2'!$A:$A,"&gt;="&amp;DATE(2026,7,22),'DRAFT 2'!$A:$A,"&lt;"&amp;DATE(2026,IF(7=12,7+1,7+1),1))</f>
        <v>0</v>
      </c>
      <c r="FY118">
        <f t="shared" si="50"/>
        <v>0</v>
      </c>
      <c r="GI118">
        <f>IFERROR(LOOKUP(2,1/('DRAFT 2'!$D:$D=$B118)*('DRAFT 2'!$A:$A&gt;=DATE(2026,8,1))*('DRAFT 2'!$A:$A&lt;DATE(2026,IF(8=12,8+1,8+1),1)),'DRAFT 2'!$A:$A),"")</f>
        <v>0</v>
      </c>
      <c r="GJ118">
        <f>COUNTIFS('DRAFT 2'!$D:$D,$B118,'DRAFT 2'!$A:$A,"&gt;="&amp;DATE(2026,8,1),'DRAFT 2'!$A:$A,"&lt;="&amp;DATE(2026,8,7))</f>
        <v>0</v>
      </c>
      <c r="GK118">
        <f>COUNTIFS('DRAFT 2'!$D:$D,$B118,'DRAFT 2'!$A:$A,"&gt;="&amp;DATE(2026,8,8),'DRAFT 2'!$A:$A,"&lt;="&amp;DATE(2026,8,14))</f>
        <v>0</v>
      </c>
      <c r="GL118">
        <f>COUNTIFS('DRAFT 2'!$D:$D,$B118,'DRAFT 2'!$A:$A,"&gt;="&amp;DATE(2026,8,15),'DRAFT 2'!$A:$A,"&lt;="&amp;DATE(2026,8,21))</f>
        <v>0</v>
      </c>
      <c r="GM118">
        <f>COUNTIFS('DRAFT 2'!$D:$D,$B118,'DRAFT 2'!$A:$A,"&gt;="&amp;DATE(2026,8,22),'DRAFT 2'!$A:$A,"&lt;"&amp;DATE(2026,IF(8=12,8+1,8+1),1))</f>
        <v>0</v>
      </c>
      <c r="GN118">
        <f t="shared" si="51"/>
        <v>0</v>
      </c>
      <c r="GX118">
        <f>IFERROR(LOOKUP(2,1/('DRAFT 2'!$D:$D=$B118)*('DRAFT 2'!$A:$A&gt;=DATE(2026,9,1))*('DRAFT 2'!$A:$A&lt;DATE(2026,IF(9=12,9+1,9+1),1)),'DRAFT 2'!$A:$A),"")</f>
        <v>0</v>
      </c>
      <c r="GY118">
        <f>COUNTIFS('DRAFT 2'!$D:$D,$B118,'DRAFT 2'!$A:$A,"&gt;="&amp;DATE(2026,9,1),'DRAFT 2'!$A:$A,"&lt;="&amp;DATE(2026,9,7))</f>
        <v>0</v>
      </c>
      <c r="GZ118">
        <f>COUNTIFS('DRAFT 2'!$D:$D,$B118,'DRAFT 2'!$A:$A,"&gt;="&amp;DATE(2026,9,8),'DRAFT 2'!$A:$A,"&lt;="&amp;DATE(2026,9,14))</f>
        <v>0</v>
      </c>
      <c r="HA118">
        <f>COUNTIFS('DRAFT 2'!$D:$D,$B118,'DRAFT 2'!$A:$A,"&gt;="&amp;DATE(2026,9,15),'DRAFT 2'!$A:$A,"&lt;="&amp;DATE(2026,9,21))</f>
        <v>0</v>
      </c>
      <c r="HB118">
        <f>COUNTIFS('DRAFT 2'!$D:$D,$B118,'DRAFT 2'!$A:$A,"&gt;="&amp;DATE(2026,9,22),'DRAFT 2'!$A:$A,"&lt;"&amp;DATE(2026,IF(9=12,9+1,9+1),1))</f>
        <v>0</v>
      </c>
      <c r="HC118">
        <f t="shared" si="52"/>
        <v>0</v>
      </c>
      <c r="HN118">
        <f>IFERROR(LOOKUP(2,1/('DRAFT 2'!$D:$D=$B118)*('DRAFT 2'!$A:$A&gt;=DATE(2026,10,1))*('DRAFT 2'!$A:$A&lt;DATE(2026,IF(10=12,10+1,10+1),1)),'DRAFT 2'!$A:$A),"")</f>
        <v>0</v>
      </c>
      <c r="HO118">
        <f>COUNTIFS('DRAFT 2'!$D:$D,$B118,'DRAFT 2'!$A:$A,"&gt;="&amp;DATE(2026,10,1),'DRAFT 2'!$A:$A,"&lt;="&amp;DATE(2026,10,7))</f>
        <v>0</v>
      </c>
      <c r="HP118">
        <f>COUNTIFS('DRAFT 2'!$D:$D,$B118,'DRAFT 2'!$A:$A,"&gt;="&amp;DATE(2026,10,8),'DRAFT 2'!$A:$A,"&lt;="&amp;DATE(2026,10,14))</f>
        <v>0</v>
      </c>
      <c r="HQ118">
        <f>COUNTIFS('DRAFT 2'!$D:$D,$B118,'DRAFT 2'!$A:$A,"&gt;="&amp;DATE(2026,10,15),'DRAFT 2'!$A:$A,"&lt;="&amp;DATE(2026,10,21))</f>
        <v>0</v>
      </c>
      <c r="HR118">
        <f>COUNTIFS('DRAFT 2'!$D:$D,$B118,'DRAFT 2'!$A:$A,"&gt;="&amp;DATE(2026,10,22),'DRAFT 2'!$A:$A,"&lt;"&amp;DATE(2026,IF(10=12,10+1,10+1),1))</f>
        <v>0</v>
      </c>
      <c r="HS118">
        <f t="shared" si="53"/>
        <v>0</v>
      </c>
      <c r="IC118">
        <f>IFERROR(LOOKUP(2,1/('DRAFT 2'!$D:$D=$B118)*('DRAFT 2'!$A:$A&gt;=DATE(2026,11,1))*('DRAFT 2'!$A:$A&lt;DATE(2026,IF(11=12,11+1,11+1),1)),'DRAFT 2'!$A:$A),"")</f>
        <v>0</v>
      </c>
      <c r="ID118">
        <f>COUNTIFS('DRAFT 2'!$D:$D,$B118,'DRAFT 2'!$A:$A,"&gt;="&amp;DATE(2026,11,1),'DRAFT 2'!$A:$A,"&lt;="&amp;DATE(2026,11,7))</f>
        <v>0</v>
      </c>
      <c r="IE118">
        <f>COUNTIFS('DRAFT 2'!$D:$D,$B118,'DRAFT 2'!$A:$A,"&gt;="&amp;DATE(2026,11,8),'DRAFT 2'!$A:$A,"&lt;="&amp;DATE(2026,11,14))</f>
        <v>0</v>
      </c>
      <c r="IF118">
        <f>COUNTIFS('DRAFT 2'!$D:$D,$B118,'DRAFT 2'!$A:$A,"&gt;="&amp;DATE(2026,11,15),'DRAFT 2'!$A:$A,"&lt;="&amp;DATE(2026,11,21))</f>
        <v>0</v>
      </c>
      <c r="IG118">
        <f>COUNTIFS('DRAFT 2'!$D:$D,$B118,'DRAFT 2'!$A:$A,"&gt;="&amp;DATE(2026,11,22),'DRAFT 2'!$A:$A,"&lt;"&amp;DATE(2026,IF(11=12,11+1,11+1),1))</f>
        <v>0</v>
      </c>
      <c r="IH118">
        <f t="shared" si="54"/>
        <v>0</v>
      </c>
      <c r="IR118">
        <f>IFERROR(LOOKUP(2,1/('DRAFT 2'!$D:$D=$B118)*('DRAFT 2'!$A:$A&gt;=DATE(2026,12,1))*('DRAFT 2'!$A:$A&lt;DATE(2026,IF(12=12,12+1,12+1),1)),'DRAFT 2'!$A:$A),"")</f>
        <v>0</v>
      </c>
      <c r="IS118">
        <f>COUNTIFS('DRAFT 2'!$D:$D,$B118,'DRAFT 2'!$A:$A,"&gt;="&amp;DATE(2026,12,1),'DRAFT 2'!$A:$A,"&lt;="&amp;DATE(2026,12,7))</f>
        <v>0</v>
      </c>
      <c r="IT118">
        <f>COUNTIFS('DRAFT 2'!$D:$D,$B118,'DRAFT 2'!$A:$A,"&gt;="&amp;DATE(2026,12,8),'DRAFT 2'!$A:$A,"&lt;="&amp;DATE(2026,12,14))</f>
        <v>0</v>
      </c>
      <c r="IU118">
        <f>COUNTIFS('DRAFT 2'!$D:$D,$B118,'DRAFT 2'!$A:$A,"&gt;="&amp;DATE(2026,12,15),'DRAFT 2'!$A:$A,"&lt;="&amp;DATE(2026,12,21))</f>
        <v>0</v>
      </c>
      <c r="IV118">
        <f>COUNTIFS('DRAFT 2'!$D:$D,$B118,'DRAFT 2'!$A:$A,"&gt;="&amp;DATE(2026,12,22),'DRAFT 2'!$A:$A,"&lt;"&amp;DATE(2026,IF(12=12,12+1,12+1),1))</f>
        <v>0</v>
      </c>
      <c r="IW118">
        <f t="shared" si="55"/>
        <v>0</v>
      </c>
    </row>
    <row r="119" spans="1:257" x14ac:dyDescent="0.3">
      <c r="A119" t="str">
        <f>IFERROR(INDEX('DRAFT 1'!$A:$A,MATCH($B119,'DRAFT 1'!$B:$B,0)),"")</f>
        <v/>
      </c>
      <c r="C119" t="str">
        <f>IFERROR(INDEX('DRAFT 1'!$C:$C,MATCH($B119,'DRAFT 1'!$B:$B,0)),"")</f>
        <v/>
      </c>
      <c r="D119" t="str">
        <f>IFERROR(INDEX('DRAFT 1'!$D:$D,MATCH($B119,'DRAFT 1'!$B:$B,0)),"")</f>
        <v/>
      </c>
      <c r="E119" t="str">
        <f>IFERROR(INDEX('DRAFT 1'!$E:$E,MATCH($B119,'DRAFT 1'!$B:$B,0)),"")</f>
        <v/>
      </c>
      <c r="F119" t="str">
        <f>IFERROR(INDEX('DRAFT 1'!$F:$F,MATCH($B119,'DRAFT 1'!$B:$B,0)),"")</f>
        <v/>
      </c>
      <c r="G119" t="str">
        <f>IFERROR(INDEX('DRAFT 1'!$G:$G,MATCH($B119,'DRAFT 1'!$B:$B,0)),"")</f>
        <v/>
      </c>
      <c r="H119" t="str">
        <f>IFERROR(INDEX('DRAFT 1'!$H:$H,MATCH($B119,'DRAFT 1'!$B:$B,0)),"")</f>
        <v/>
      </c>
      <c r="I119" t="s">
        <v>289</v>
      </c>
      <c r="K119" t="str">
        <f>IFERROR(INDEX('DRAFT 1'!$AL:$AL,MATCH($B119,'DRAFT 1'!$B:$B,0)),"")</f>
        <v/>
      </c>
      <c r="L119" t="str">
        <f>IFERROR(INDEX('DRAFT 1'!$J:$J,MATCH($B119,'DRAFT 1'!$B:$B,0)),"")</f>
        <v/>
      </c>
      <c r="M119" t="str">
        <f>IFERROR(INDEX('DRAFT 1'!$K:$K,MATCH($B119,'DRAFT 1'!$B:$B,0)),"")</f>
        <v/>
      </c>
      <c r="N119" t="s">
        <v>71</v>
      </c>
      <c r="P119" t="str">
        <f>IFERROR(INDEX('DRAFT 1'!$L:$L,MATCH($B119,'DRAFT 1'!$B:$B,0)),"")</f>
        <v/>
      </c>
      <c r="Q119" t="str">
        <f>IFERROR(INDEX('DRAFT 1'!$M:$M,MATCH($B119,'DRAFT 1'!$B:$B,0)),"")</f>
        <v/>
      </c>
      <c r="R119" t="str">
        <f>IFERROR(INDEX('DRAFT 1'!$N:$N,MATCH($B119,'DRAFT 1'!$B:$B,0)),"")</f>
        <v/>
      </c>
      <c r="S119" t="str">
        <f>IFERROR(INDEX('DRAFT 1'!$O:$O,MATCH($B119,'DRAFT 1'!$B:$B,0)),"")</f>
        <v/>
      </c>
      <c r="T119" t="str">
        <f>IFERROR(INDEX('DRAFT 1'!$P:$P,MATCH($B119,'DRAFT 1'!$B:$B,0)),"")</f>
        <v/>
      </c>
      <c r="U119" t="str">
        <f>IFERROR(INDEX('DRAFT 1'!$Q:$Q,MATCH($B119,'DRAFT 1'!$B:$B,0)),"")</f>
        <v/>
      </c>
      <c r="V119" t="str">
        <f>IFERROR(INDEX('DRAFT 1'!$R:$R,MATCH($B119,'DRAFT 1'!$B:$B,0)),"")</f>
        <v/>
      </c>
      <c r="W119" t="str">
        <f>IFERROR(INDEX('DRAFT 1'!$S:$S,MATCH($B119,'DRAFT 1'!$B:$B,0)),"")</f>
        <v/>
      </c>
      <c r="X119" t="str">
        <f>IFERROR(INDEX('DRAFT 1'!$T:$T,MATCH($B119,'DRAFT 1'!$B:$B,0)),"")</f>
        <v/>
      </c>
      <c r="Z119" t="str">
        <f>IFERROR(INDEX('DRAFT 1'!$U:$U,MATCH($B119,'DRAFT 1'!$B:$B,0)),"")</f>
        <v/>
      </c>
      <c r="AA119" t="str">
        <f>IFERROR(INDEX('DRAFT 1'!$V:$V,MATCH($B119,'DRAFT 1'!$B:$B,0)),"")</f>
        <v/>
      </c>
      <c r="AB119" t="str">
        <f>IFERROR(INDEX('DRAFT 1'!$W:$W,MATCH($B119,'DRAFT 1'!$B:$B,0)),"")</f>
        <v/>
      </c>
      <c r="AC119" t="str">
        <f>IFERROR(INDEX('DRAFT 1'!$X:$X,MATCH($B119,'DRAFT 1'!$B:$B,0)),"")</f>
        <v/>
      </c>
      <c r="AD119" t="str">
        <f>IFERROR(INDEX('DRAFT 1'!$Y:$Y,MATCH($B119,'DRAFT 1'!$B:$B,0)),"")</f>
        <v/>
      </c>
      <c r="AE119" t="str">
        <f>IFERROR(INDEX('DRAFT 1'!$Z:$Z,MATCH($B119,'DRAFT 1'!$B:$B,0)),"")</f>
        <v/>
      </c>
      <c r="AF119" t="str">
        <f>IFERROR(INDEX('DRAFT 1'!$AA:$AA,MATCH($B119,'DRAFT 1'!$B:$B,0)),"")</f>
        <v/>
      </c>
      <c r="AG119" t="str">
        <f>IFERROR(INDEX('DRAFT 1'!$AB:$AB,MATCH($B119,'DRAFT 1'!$B:$B,0)),"")</f>
        <v/>
      </c>
      <c r="AH119" t="str">
        <f>IFERROR(INDEX('DRAFT 1'!$AC:$AC,MATCH($B119,'DRAFT 1'!$B:$B,0)),"")</f>
        <v/>
      </c>
      <c r="AI119" t="str">
        <f>IFERROR(INDEX('DRAFT 1'!$AD:$AD,MATCH($B119,'DRAFT 1'!$B:$B,0)),"")</f>
        <v/>
      </c>
      <c r="AJ119" t="str">
        <f>IFERROR(INDEX('DRAFT 1'!$AE:$AE,MATCH($B119,'DRAFT 1'!$B:$B,0)),"")</f>
        <v/>
      </c>
      <c r="AK119" t="str">
        <f>IFERROR(INDEX('DRAFT 1'!$AG:$AG,MATCH($B119,'DRAFT 1'!$B:$B,0)),"")</f>
        <v/>
      </c>
      <c r="AL119" t="str">
        <f>IFERROR(INDEX('DRAFT 1'!$AH:$AH,MATCH($B119,'DRAFT 1'!$B:$B,0)),"")</f>
        <v/>
      </c>
      <c r="AM119" t="str">
        <f>IFERROR(INDEX('DRAFT 1'!$AI:$AI,MATCH($B119,'DRAFT 1'!$B:$B,0)),"")</f>
        <v/>
      </c>
      <c r="AN119" t="str">
        <f>IFERROR(INDEX('DRAFT 1'!$AJ:$AJ,MATCH($B119,'DRAFT 1'!$B:$B,0)),"")</f>
        <v/>
      </c>
      <c r="AO119">
        <f t="shared" si="42"/>
        <v>0</v>
      </c>
      <c r="AP119" t="str">
        <f>IFERROR(INDEX('DRAFT 1'!$AK:$AK,MATCH($B119,'DRAFT 1'!$B:$B,0)),"")</f>
        <v/>
      </c>
      <c r="AR119" t="s">
        <v>91</v>
      </c>
      <c r="AS119">
        <f>IFERROR(LOOKUP(2,1/('DRAFT 2'!$D:$D=$B119),'DRAFT 2'!$T:$T),"")</f>
        <v>0</v>
      </c>
      <c r="AT119">
        <f>IFERROR(LOOKUP(2,1/('DRAFT 2'!$D:$D=$B119),'DRAFT 2'!$A:$A),"")</f>
        <v>0</v>
      </c>
      <c r="AU119">
        <f>IFERROR(LOOKUP(2,1/('DRAFT 2'!$D:$D=$B119),'DRAFT 2'!$R:$R),"")</f>
        <v>0</v>
      </c>
      <c r="AV119">
        <f>IFERROR(LOOKUP(2,1/('DRAFT 2'!$D:$D=$B119),'DRAFT 2'!$S:$S),"")</f>
        <v>0</v>
      </c>
      <c r="AW119" t="s">
        <v>130</v>
      </c>
      <c r="AX119">
        <f>IFERROR(LOOKUP(2,1/('DRAFT 2'!$D:$D=$B119),'DRAFT 2'!$M:$M),"")</f>
        <v>0</v>
      </c>
      <c r="AY119">
        <f>IFERROR(LOOKUP(2,1/('DRAFT 2'!$D:$D=$B119),'DRAFT 2'!$K:$K),"")</f>
        <v>0</v>
      </c>
      <c r="BG119">
        <f>IFERROR(LOOKUP(2,1/('DRAFT 2'!$D:$D=$B119),'DRAFT 2'!$U:$U),"")</f>
        <v>0</v>
      </c>
      <c r="BH119">
        <f>IFERROR(LOOKUP(2,1/('DRAFT 2'!$D:$D=$B119),'DRAFT 2'!$V:$V),"")</f>
        <v>0</v>
      </c>
      <c r="CE119" t="str">
        <f t="shared" si="43"/>
        <v/>
      </c>
      <c r="CF119">
        <f>IFERROR(LOOKUP(2,1/('DRAFT 2'!$D:$D=$B119)*('DRAFT 2'!$A:$A&gt;=DATE(2026,1,1))*('DRAFT 2'!$A:$A&lt;DATE(2026,IF(1=12,1+1,1+1),1)),'DRAFT 2'!$A:$A),"")</f>
        <v>0</v>
      </c>
      <c r="CG119">
        <f>COUNTIFS('DRAFT 2'!$D:$D,$B119,'DRAFT 2'!$A:$A,"&gt;="&amp;DATE(2026,1,1),'DRAFT 2'!$A:$A,"&lt;="&amp;DATE(2026,1,7))</f>
        <v>0</v>
      </c>
      <c r="CH119">
        <f>COUNTIFS('DRAFT 2'!$D:$D,$B119,'DRAFT 2'!$A:$A,"&gt;="&amp;DATE(2026,1,8),'DRAFT 2'!$A:$A,"&lt;="&amp;DATE(2026,1,14))</f>
        <v>0</v>
      </c>
      <c r="CI119">
        <f>COUNTIFS('DRAFT 2'!$D:$D,$B119,'DRAFT 2'!$A:$A,"&gt;="&amp;DATE(2026,1,15),'DRAFT 2'!$A:$A,"&lt;="&amp;DATE(2026,1,21))</f>
        <v>0</v>
      </c>
      <c r="CJ119">
        <f>COUNTIFS('DRAFT 2'!$D:$D,$B119,'DRAFT 2'!$A:$A,"&gt;="&amp;DATE(2026,1,22),'DRAFT 2'!$A:$A,"&lt;"&amp;DATE(2026,IF(1=12,1+1,1+1),1))</f>
        <v>0</v>
      </c>
      <c r="CK119">
        <f t="shared" si="44"/>
        <v>0</v>
      </c>
      <c r="CT119">
        <v>0</v>
      </c>
      <c r="CU119">
        <f>IFERROR(LOOKUP(2,1/('DRAFT 2'!$D:$D=$B119)*('DRAFT 2'!$A:$A&gt;=DATE(2026,2,1))*('DRAFT 2'!$A:$A&lt;DATE(2026,IF(2=12,2+1,2+1),1)),'DRAFT 2'!$A:$A),"")</f>
        <v>0</v>
      </c>
      <c r="CV119">
        <f>COUNTIFS('DRAFT 2'!$D:$D,$B119,'DRAFT 2'!$A:$A,"&gt;="&amp;DATE(2026,2,1),'DRAFT 2'!$A:$A,"&lt;="&amp;DATE(2026,2,7))</f>
        <v>0</v>
      </c>
      <c r="CW119">
        <f>COUNTIFS('DRAFT 2'!$D:$D,$B119,'DRAFT 2'!$A:$A,"&gt;="&amp;DATE(2026,2,8),'DRAFT 2'!$A:$A,"&lt;="&amp;DATE(2026,2,14))</f>
        <v>0</v>
      </c>
      <c r="CX119">
        <f>COUNTIFS('DRAFT 2'!$D:$D,$B119,'DRAFT 2'!$A:$A,"&gt;="&amp;DATE(2026,2,15),'DRAFT 2'!$A:$A,"&lt;="&amp;DATE(2026,2,21))</f>
        <v>0</v>
      </c>
      <c r="CY119">
        <f>COUNTIFS('DRAFT 2'!$D:$D,$B119,'DRAFT 2'!$A:$A,"&gt;="&amp;DATE(2026,2,22),'DRAFT 2'!$A:$A,"&lt;"&amp;DATE(2026,IF(2=12,2+1,2+1),1))</f>
        <v>0</v>
      </c>
      <c r="CZ119">
        <f t="shared" si="45"/>
        <v>0</v>
      </c>
      <c r="DJ119">
        <f>IFERROR(LOOKUP(2,1/('DRAFT 2'!$D:$D=$B119)*('DRAFT 2'!$A:$A&gt;=DATE(2026,3,1))*('DRAFT 2'!$A:$A&lt;DATE(2026,IF(3=12,3+1,3+1),1)),'DRAFT 2'!$A:$A),"")</f>
        <v>0</v>
      </c>
      <c r="DK119">
        <f>COUNTIFS('DRAFT 2'!$D:$D,$B119,'DRAFT 2'!$A:$A,"&gt;="&amp;DATE(2026,3,1),'DRAFT 2'!$A:$A,"&lt;="&amp;DATE(2026,3,7))</f>
        <v>0</v>
      </c>
      <c r="DL119">
        <f>COUNTIFS('DRAFT 2'!$D:$D,$B119,'DRAFT 2'!$A:$A,"&gt;="&amp;DATE(2026,3,8),'DRAFT 2'!$A:$A,"&lt;="&amp;DATE(2026,3,14))</f>
        <v>0</v>
      </c>
      <c r="DM119">
        <f>COUNTIFS('DRAFT 2'!$D:$D,$B119,'DRAFT 2'!$A:$A,"&gt;="&amp;DATE(2026,3,15),'DRAFT 2'!$A:$A,"&lt;="&amp;DATE(2026,3,21))</f>
        <v>0</v>
      </c>
      <c r="DN119">
        <f>COUNTIFS('DRAFT 2'!$D:$D,$B119,'DRAFT 2'!$A:$A,"&gt;="&amp;DATE(2026,3,22),'DRAFT 2'!$A:$A,"&lt;"&amp;DATE(2026,IF(3=12,3+1,3+1),1))</f>
        <v>0</v>
      </c>
      <c r="DO119">
        <f t="shared" si="46"/>
        <v>0</v>
      </c>
      <c r="DZ119">
        <f>IFERROR(LOOKUP(2,1/('DRAFT 2'!$D:$D=$B119)*('DRAFT 2'!$A:$A&gt;=DATE(2026,4,1))*('DRAFT 2'!$A:$A&lt;DATE(2026,IF(4=12,4+1,4+1),1)),'DRAFT 2'!$A:$A),"")</f>
        <v>0</v>
      </c>
      <c r="EA119">
        <f>COUNTIFS('DRAFT 2'!$D:$D,$B119,'DRAFT 2'!$A:$A,"&gt;="&amp;DATE(2026,4,1),'DRAFT 2'!$A:$A,"&lt;="&amp;DATE(2026,4,7))</f>
        <v>0</v>
      </c>
      <c r="EB119">
        <f>COUNTIFS('DRAFT 2'!$D:$D,$B119,'DRAFT 2'!$A:$A,"&gt;="&amp;DATE(2026,4,8),'DRAFT 2'!$A:$A,"&lt;="&amp;DATE(2026,4,14))</f>
        <v>0</v>
      </c>
      <c r="EC119">
        <f>COUNTIFS('DRAFT 2'!$D:$D,$B119,'DRAFT 2'!$A:$A,"&gt;="&amp;DATE(2026,4,15),'DRAFT 2'!$A:$A,"&lt;="&amp;DATE(2026,4,21))</f>
        <v>0</v>
      </c>
      <c r="ED119">
        <f>COUNTIFS('DRAFT 2'!$D:$D,$B119,'DRAFT 2'!$A:$A,"&gt;="&amp;DATE(2026,4,22),'DRAFT 2'!$A:$A,"&lt;"&amp;DATE(2026,IF(4=12,4+1,4+1),1))</f>
        <v>0</v>
      </c>
      <c r="EE119">
        <f t="shared" si="47"/>
        <v>0</v>
      </c>
      <c r="EO119">
        <f>IFERROR(LOOKUP(2,1/('DRAFT 2'!$D:$D=$B119)*('DRAFT 2'!$A:$A&gt;=DATE(2026,5,1))*('DRAFT 2'!$A:$A&lt;DATE(2026,IF(5=12,5+1,5+1),1)),'DRAFT 2'!$A:$A),"")</f>
        <v>0</v>
      </c>
      <c r="EP119">
        <f>COUNTIFS('DRAFT 2'!$D:$D,$B119,'DRAFT 2'!$A:$A,"&gt;="&amp;DATE(2026,5,1),'DRAFT 2'!$A:$A,"&lt;="&amp;DATE(2026,5,7))</f>
        <v>0</v>
      </c>
      <c r="EQ119">
        <f>COUNTIFS('DRAFT 2'!$D:$D,$B119,'DRAFT 2'!$A:$A,"&gt;="&amp;DATE(2026,5,8),'DRAFT 2'!$A:$A,"&lt;="&amp;DATE(2026,5,14))</f>
        <v>0</v>
      </c>
      <c r="ER119">
        <f>COUNTIFS('DRAFT 2'!$D:$D,$B119,'DRAFT 2'!$A:$A,"&gt;="&amp;DATE(2026,5,15),'DRAFT 2'!$A:$A,"&lt;="&amp;DATE(2026,5,21))</f>
        <v>0</v>
      </c>
      <c r="ES119">
        <f>COUNTIFS('DRAFT 2'!$D:$D,$B119,'DRAFT 2'!$A:$A,"&gt;="&amp;DATE(2026,5,22),'DRAFT 2'!$A:$A,"&lt;"&amp;DATE(2026,IF(5=12,5+1,5+1),1))</f>
        <v>0</v>
      </c>
      <c r="ET119">
        <f t="shared" si="48"/>
        <v>0</v>
      </c>
      <c r="FD119">
        <f>IFERROR(LOOKUP(2,1/('DRAFT 2'!$D:$D=$B119)*('DRAFT 2'!$A:$A&gt;=DATE(2026,6,1))*('DRAFT 2'!$A:$A&lt;DATE(2026,IF(6=12,6+1,6+1),1)),'DRAFT 2'!$A:$A),"")</f>
        <v>0</v>
      </c>
      <c r="FE119">
        <f>COUNTIFS('DRAFT 2'!$D:$D,$B119,'DRAFT 2'!$A:$A,"&gt;="&amp;DATE(2026,6,1),'DRAFT 2'!$A:$A,"&lt;="&amp;DATE(2026,6,7))</f>
        <v>0</v>
      </c>
      <c r="FF119">
        <f>COUNTIFS('DRAFT 2'!$D:$D,$B119,'DRAFT 2'!$A:$A,"&gt;="&amp;DATE(2026,6,8),'DRAFT 2'!$A:$A,"&lt;="&amp;DATE(2026,6,14))</f>
        <v>0</v>
      </c>
      <c r="FG119">
        <f>COUNTIFS('DRAFT 2'!$D:$D,$B119,'DRAFT 2'!$A:$A,"&gt;="&amp;DATE(2026,6,15),'DRAFT 2'!$A:$A,"&lt;="&amp;DATE(2026,6,21))</f>
        <v>0</v>
      </c>
      <c r="FH119">
        <f>COUNTIFS('DRAFT 2'!$D:$D,$B119,'DRAFT 2'!$A:$A,"&gt;="&amp;DATE(2026,6,22),'DRAFT 2'!$A:$A,"&lt;"&amp;DATE(2026,IF(6=12,6+1,6+1),1))</f>
        <v>0</v>
      </c>
      <c r="FI119">
        <f t="shared" si="49"/>
        <v>0</v>
      </c>
      <c r="FT119">
        <f>IFERROR(LOOKUP(2,1/('DRAFT 2'!$D:$D=$B119)*('DRAFT 2'!$A:$A&gt;=DATE(2026,7,1))*('DRAFT 2'!$A:$A&lt;DATE(2026,IF(7=12,7+1,7+1),1)),'DRAFT 2'!$A:$A),"")</f>
        <v>0</v>
      </c>
      <c r="FU119">
        <f>COUNTIFS('DRAFT 2'!$D:$D,$B119,'DRAFT 2'!$A:$A,"&gt;="&amp;DATE(2026,7,1),'DRAFT 2'!$A:$A,"&lt;="&amp;DATE(2026,7,7))</f>
        <v>0</v>
      </c>
      <c r="FV119">
        <f>COUNTIFS('DRAFT 2'!$D:$D,$B119,'DRAFT 2'!$A:$A,"&gt;="&amp;DATE(2026,7,8),'DRAFT 2'!$A:$A,"&lt;="&amp;DATE(2026,7,14))</f>
        <v>0</v>
      </c>
      <c r="FW119">
        <f>COUNTIFS('DRAFT 2'!$D:$D,$B119,'DRAFT 2'!$A:$A,"&gt;="&amp;DATE(2026,7,15),'DRAFT 2'!$A:$A,"&lt;="&amp;DATE(2026,7,21))</f>
        <v>0</v>
      </c>
      <c r="FX119">
        <f>COUNTIFS('DRAFT 2'!$D:$D,$B119,'DRAFT 2'!$A:$A,"&gt;="&amp;DATE(2026,7,22),'DRAFT 2'!$A:$A,"&lt;"&amp;DATE(2026,IF(7=12,7+1,7+1),1))</f>
        <v>0</v>
      </c>
      <c r="FY119">
        <f t="shared" si="50"/>
        <v>0</v>
      </c>
      <c r="GI119">
        <f>IFERROR(LOOKUP(2,1/('DRAFT 2'!$D:$D=$B119)*('DRAFT 2'!$A:$A&gt;=DATE(2026,8,1))*('DRAFT 2'!$A:$A&lt;DATE(2026,IF(8=12,8+1,8+1),1)),'DRAFT 2'!$A:$A),"")</f>
        <v>0</v>
      </c>
      <c r="GJ119">
        <f>COUNTIFS('DRAFT 2'!$D:$D,$B119,'DRAFT 2'!$A:$A,"&gt;="&amp;DATE(2026,8,1),'DRAFT 2'!$A:$A,"&lt;="&amp;DATE(2026,8,7))</f>
        <v>0</v>
      </c>
      <c r="GK119">
        <f>COUNTIFS('DRAFT 2'!$D:$D,$B119,'DRAFT 2'!$A:$A,"&gt;="&amp;DATE(2026,8,8),'DRAFT 2'!$A:$A,"&lt;="&amp;DATE(2026,8,14))</f>
        <v>0</v>
      </c>
      <c r="GL119">
        <f>COUNTIFS('DRAFT 2'!$D:$D,$B119,'DRAFT 2'!$A:$A,"&gt;="&amp;DATE(2026,8,15),'DRAFT 2'!$A:$A,"&lt;="&amp;DATE(2026,8,21))</f>
        <v>0</v>
      </c>
      <c r="GM119">
        <f>COUNTIFS('DRAFT 2'!$D:$D,$B119,'DRAFT 2'!$A:$A,"&gt;="&amp;DATE(2026,8,22),'DRAFT 2'!$A:$A,"&lt;"&amp;DATE(2026,IF(8=12,8+1,8+1),1))</f>
        <v>0</v>
      </c>
      <c r="GN119">
        <f t="shared" si="51"/>
        <v>0</v>
      </c>
      <c r="GX119">
        <f>IFERROR(LOOKUP(2,1/('DRAFT 2'!$D:$D=$B119)*('DRAFT 2'!$A:$A&gt;=DATE(2026,9,1))*('DRAFT 2'!$A:$A&lt;DATE(2026,IF(9=12,9+1,9+1),1)),'DRAFT 2'!$A:$A),"")</f>
        <v>0</v>
      </c>
      <c r="GY119">
        <f>COUNTIFS('DRAFT 2'!$D:$D,$B119,'DRAFT 2'!$A:$A,"&gt;="&amp;DATE(2026,9,1),'DRAFT 2'!$A:$A,"&lt;="&amp;DATE(2026,9,7))</f>
        <v>0</v>
      </c>
      <c r="GZ119">
        <f>COUNTIFS('DRAFT 2'!$D:$D,$B119,'DRAFT 2'!$A:$A,"&gt;="&amp;DATE(2026,9,8),'DRAFT 2'!$A:$A,"&lt;="&amp;DATE(2026,9,14))</f>
        <v>0</v>
      </c>
      <c r="HA119">
        <f>COUNTIFS('DRAFT 2'!$D:$D,$B119,'DRAFT 2'!$A:$A,"&gt;="&amp;DATE(2026,9,15),'DRAFT 2'!$A:$A,"&lt;="&amp;DATE(2026,9,21))</f>
        <v>0</v>
      </c>
      <c r="HB119">
        <f>COUNTIFS('DRAFT 2'!$D:$D,$B119,'DRAFT 2'!$A:$A,"&gt;="&amp;DATE(2026,9,22),'DRAFT 2'!$A:$A,"&lt;"&amp;DATE(2026,IF(9=12,9+1,9+1),1))</f>
        <v>0</v>
      </c>
      <c r="HC119">
        <f t="shared" si="52"/>
        <v>0</v>
      </c>
      <c r="HN119">
        <f>IFERROR(LOOKUP(2,1/('DRAFT 2'!$D:$D=$B119)*('DRAFT 2'!$A:$A&gt;=DATE(2026,10,1))*('DRAFT 2'!$A:$A&lt;DATE(2026,IF(10=12,10+1,10+1),1)),'DRAFT 2'!$A:$A),"")</f>
        <v>0</v>
      </c>
      <c r="HO119">
        <f>COUNTIFS('DRAFT 2'!$D:$D,$B119,'DRAFT 2'!$A:$A,"&gt;="&amp;DATE(2026,10,1),'DRAFT 2'!$A:$A,"&lt;="&amp;DATE(2026,10,7))</f>
        <v>0</v>
      </c>
      <c r="HP119">
        <f>COUNTIFS('DRAFT 2'!$D:$D,$B119,'DRAFT 2'!$A:$A,"&gt;="&amp;DATE(2026,10,8),'DRAFT 2'!$A:$A,"&lt;="&amp;DATE(2026,10,14))</f>
        <v>0</v>
      </c>
      <c r="HQ119">
        <f>COUNTIFS('DRAFT 2'!$D:$D,$B119,'DRAFT 2'!$A:$A,"&gt;="&amp;DATE(2026,10,15),'DRAFT 2'!$A:$A,"&lt;="&amp;DATE(2026,10,21))</f>
        <v>0</v>
      </c>
      <c r="HR119">
        <f>COUNTIFS('DRAFT 2'!$D:$D,$B119,'DRAFT 2'!$A:$A,"&gt;="&amp;DATE(2026,10,22),'DRAFT 2'!$A:$A,"&lt;"&amp;DATE(2026,IF(10=12,10+1,10+1),1))</f>
        <v>0</v>
      </c>
      <c r="HS119">
        <f t="shared" si="53"/>
        <v>0</v>
      </c>
      <c r="IC119">
        <f>IFERROR(LOOKUP(2,1/('DRAFT 2'!$D:$D=$B119)*('DRAFT 2'!$A:$A&gt;=DATE(2026,11,1))*('DRAFT 2'!$A:$A&lt;DATE(2026,IF(11=12,11+1,11+1),1)),'DRAFT 2'!$A:$A),"")</f>
        <v>0</v>
      </c>
      <c r="ID119">
        <f>COUNTIFS('DRAFT 2'!$D:$D,$B119,'DRAFT 2'!$A:$A,"&gt;="&amp;DATE(2026,11,1),'DRAFT 2'!$A:$A,"&lt;="&amp;DATE(2026,11,7))</f>
        <v>0</v>
      </c>
      <c r="IE119">
        <f>COUNTIFS('DRAFT 2'!$D:$D,$B119,'DRAFT 2'!$A:$A,"&gt;="&amp;DATE(2026,11,8),'DRAFT 2'!$A:$A,"&lt;="&amp;DATE(2026,11,14))</f>
        <v>0</v>
      </c>
      <c r="IF119">
        <f>COUNTIFS('DRAFT 2'!$D:$D,$B119,'DRAFT 2'!$A:$A,"&gt;="&amp;DATE(2026,11,15),'DRAFT 2'!$A:$A,"&lt;="&amp;DATE(2026,11,21))</f>
        <v>0</v>
      </c>
      <c r="IG119">
        <f>COUNTIFS('DRAFT 2'!$D:$D,$B119,'DRAFT 2'!$A:$A,"&gt;="&amp;DATE(2026,11,22),'DRAFT 2'!$A:$A,"&lt;"&amp;DATE(2026,IF(11=12,11+1,11+1),1))</f>
        <v>0</v>
      </c>
      <c r="IH119">
        <f t="shared" si="54"/>
        <v>0</v>
      </c>
      <c r="IR119">
        <f>IFERROR(LOOKUP(2,1/('DRAFT 2'!$D:$D=$B119)*('DRAFT 2'!$A:$A&gt;=DATE(2026,12,1))*('DRAFT 2'!$A:$A&lt;DATE(2026,IF(12=12,12+1,12+1),1)),'DRAFT 2'!$A:$A),"")</f>
        <v>0</v>
      </c>
      <c r="IS119">
        <f>COUNTIFS('DRAFT 2'!$D:$D,$B119,'DRAFT 2'!$A:$A,"&gt;="&amp;DATE(2026,12,1),'DRAFT 2'!$A:$A,"&lt;="&amp;DATE(2026,12,7))</f>
        <v>0</v>
      </c>
      <c r="IT119">
        <f>COUNTIFS('DRAFT 2'!$D:$D,$B119,'DRAFT 2'!$A:$A,"&gt;="&amp;DATE(2026,12,8),'DRAFT 2'!$A:$A,"&lt;="&amp;DATE(2026,12,14))</f>
        <v>0</v>
      </c>
      <c r="IU119">
        <f>COUNTIFS('DRAFT 2'!$D:$D,$B119,'DRAFT 2'!$A:$A,"&gt;="&amp;DATE(2026,12,15),'DRAFT 2'!$A:$A,"&lt;="&amp;DATE(2026,12,21))</f>
        <v>0</v>
      </c>
      <c r="IV119">
        <f>COUNTIFS('DRAFT 2'!$D:$D,$B119,'DRAFT 2'!$A:$A,"&gt;="&amp;DATE(2026,12,22),'DRAFT 2'!$A:$A,"&lt;"&amp;DATE(2026,IF(12=12,12+1,12+1),1))</f>
        <v>0</v>
      </c>
      <c r="IW119">
        <f t="shared" si="55"/>
        <v>0</v>
      </c>
    </row>
    <row r="120" spans="1:257" x14ac:dyDescent="0.3">
      <c r="A120" t="str">
        <f>IFERROR(INDEX('DRAFT 1'!$A:$A,MATCH($B120,'DRAFT 1'!$B:$B,0)),"")</f>
        <v/>
      </c>
      <c r="C120" t="str">
        <f>IFERROR(INDEX('DRAFT 1'!$C:$C,MATCH($B120,'DRAFT 1'!$B:$B,0)),"")</f>
        <v/>
      </c>
      <c r="D120" t="str">
        <f>IFERROR(INDEX('DRAFT 1'!$D:$D,MATCH($B120,'DRAFT 1'!$B:$B,0)),"")</f>
        <v/>
      </c>
      <c r="E120" t="str">
        <f>IFERROR(INDEX('DRAFT 1'!$E:$E,MATCH($B120,'DRAFT 1'!$B:$B,0)),"")</f>
        <v/>
      </c>
      <c r="F120" t="str">
        <f>IFERROR(INDEX('DRAFT 1'!$F:$F,MATCH($B120,'DRAFT 1'!$B:$B,0)),"")</f>
        <v/>
      </c>
      <c r="G120" t="str">
        <f>IFERROR(INDEX('DRAFT 1'!$G:$G,MATCH($B120,'DRAFT 1'!$B:$B,0)),"")</f>
        <v/>
      </c>
      <c r="H120" t="str">
        <f>IFERROR(INDEX('DRAFT 1'!$H:$H,MATCH($B120,'DRAFT 1'!$B:$B,0)),"")</f>
        <v/>
      </c>
      <c r="I120" t="s">
        <v>296</v>
      </c>
      <c r="K120" t="str">
        <f>IFERROR(INDEX('DRAFT 1'!$AL:$AL,MATCH($B120,'DRAFT 1'!$B:$B,0)),"")</f>
        <v/>
      </c>
      <c r="L120" t="str">
        <f>IFERROR(INDEX('DRAFT 1'!$J:$J,MATCH($B120,'DRAFT 1'!$B:$B,0)),"")</f>
        <v/>
      </c>
      <c r="M120" t="str">
        <f>IFERROR(INDEX('DRAFT 1'!$K:$K,MATCH($B120,'DRAFT 1'!$B:$B,0)),"")</f>
        <v/>
      </c>
      <c r="N120" t="s">
        <v>77</v>
      </c>
      <c r="P120" t="str">
        <f>IFERROR(INDEX('DRAFT 1'!$L:$L,MATCH($B120,'DRAFT 1'!$B:$B,0)),"")</f>
        <v/>
      </c>
      <c r="Q120" t="str">
        <f>IFERROR(INDEX('DRAFT 1'!$M:$M,MATCH($B120,'DRAFT 1'!$B:$B,0)),"")</f>
        <v/>
      </c>
      <c r="R120" t="str">
        <f>IFERROR(INDEX('DRAFT 1'!$N:$N,MATCH($B120,'DRAFT 1'!$B:$B,0)),"")</f>
        <v/>
      </c>
      <c r="S120" t="str">
        <f>IFERROR(INDEX('DRAFT 1'!$O:$O,MATCH($B120,'DRAFT 1'!$B:$B,0)),"")</f>
        <v/>
      </c>
      <c r="T120" t="str">
        <f>IFERROR(INDEX('DRAFT 1'!$P:$P,MATCH($B120,'DRAFT 1'!$B:$B,0)),"")</f>
        <v/>
      </c>
      <c r="U120" t="str">
        <f>IFERROR(INDEX('DRAFT 1'!$Q:$Q,MATCH($B120,'DRAFT 1'!$B:$B,0)),"")</f>
        <v/>
      </c>
      <c r="V120" t="str">
        <f>IFERROR(INDEX('DRAFT 1'!$R:$R,MATCH($B120,'DRAFT 1'!$B:$B,0)),"")</f>
        <v/>
      </c>
      <c r="W120" t="str">
        <f>IFERROR(INDEX('DRAFT 1'!$S:$S,MATCH($B120,'DRAFT 1'!$B:$B,0)),"")</f>
        <v/>
      </c>
      <c r="X120" t="str">
        <f>IFERROR(INDEX('DRAFT 1'!$T:$T,MATCH($B120,'DRAFT 1'!$B:$B,0)),"")</f>
        <v/>
      </c>
      <c r="Z120" t="str">
        <f>IFERROR(INDEX('DRAFT 1'!$U:$U,MATCH($B120,'DRAFT 1'!$B:$B,0)),"")</f>
        <v/>
      </c>
      <c r="AA120" t="str">
        <f>IFERROR(INDEX('DRAFT 1'!$V:$V,MATCH($B120,'DRAFT 1'!$B:$B,0)),"")</f>
        <v/>
      </c>
      <c r="AB120" t="str">
        <f>IFERROR(INDEX('DRAFT 1'!$W:$W,MATCH($B120,'DRAFT 1'!$B:$B,0)),"")</f>
        <v/>
      </c>
      <c r="AC120" t="str">
        <f>IFERROR(INDEX('DRAFT 1'!$X:$X,MATCH($B120,'DRAFT 1'!$B:$B,0)),"")</f>
        <v/>
      </c>
      <c r="AD120" t="str">
        <f>IFERROR(INDEX('DRAFT 1'!$Y:$Y,MATCH($B120,'DRAFT 1'!$B:$B,0)),"")</f>
        <v/>
      </c>
      <c r="AE120" t="str">
        <f>IFERROR(INDEX('DRAFT 1'!$Z:$Z,MATCH($B120,'DRAFT 1'!$B:$B,0)),"")</f>
        <v/>
      </c>
      <c r="AF120" t="str">
        <f>IFERROR(INDEX('DRAFT 1'!$AA:$AA,MATCH($B120,'DRAFT 1'!$B:$B,0)),"")</f>
        <v/>
      </c>
      <c r="AG120" t="str">
        <f>IFERROR(INDEX('DRAFT 1'!$AB:$AB,MATCH($B120,'DRAFT 1'!$B:$B,0)),"")</f>
        <v/>
      </c>
      <c r="AH120" t="str">
        <f>IFERROR(INDEX('DRAFT 1'!$AC:$AC,MATCH($B120,'DRAFT 1'!$B:$B,0)),"")</f>
        <v/>
      </c>
      <c r="AI120" t="str">
        <f>IFERROR(INDEX('DRAFT 1'!$AD:$AD,MATCH($B120,'DRAFT 1'!$B:$B,0)),"")</f>
        <v/>
      </c>
      <c r="AJ120" t="str">
        <f>IFERROR(INDEX('DRAFT 1'!$AE:$AE,MATCH($B120,'DRAFT 1'!$B:$B,0)),"")</f>
        <v/>
      </c>
      <c r="AK120" t="str">
        <f>IFERROR(INDEX('DRAFT 1'!$AG:$AG,MATCH($B120,'DRAFT 1'!$B:$B,0)),"")</f>
        <v/>
      </c>
      <c r="AL120" t="str">
        <f>IFERROR(INDEX('DRAFT 1'!$AH:$AH,MATCH($B120,'DRAFT 1'!$B:$B,0)),"")</f>
        <v/>
      </c>
      <c r="AM120" t="str">
        <f>IFERROR(INDEX('DRAFT 1'!$AI:$AI,MATCH($B120,'DRAFT 1'!$B:$B,0)),"")</f>
        <v/>
      </c>
      <c r="AN120" t="str">
        <f>IFERROR(INDEX('DRAFT 1'!$AJ:$AJ,MATCH($B120,'DRAFT 1'!$B:$B,0)),"")</f>
        <v/>
      </c>
      <c r="AO120">
        <f t="shared" si="42"/>
        <v>0</v>
      </c>
      <c r="AP120" t="str">
        <f>IFERROR(INDEX('DRAFT 1'!$AK:$AK,MATCH($B120,'DRAFT 1'!$B:$B,0)),"")</f>
        <v/>
      </c>
      <c r="AR120" t="s">
        <v>94</v>
      </c>
      <c r="AS120">
        <f>IFERROR(LOOKUP(2,1/('DRAFT 2'!$D:$D=$B120),'DRAFT 2'!$T:$T),"")</f>
        <v>0</v>
      </c>
      <c r="AT120">
        <f>IFERROR(LOOKUP(2,1/('DRAFT 2'!$D:$D=$B120),'DRAFT 2'!$A:$A),"")</f>
        <v>0</v>
      </c>
      <c r="AU120">
        <f>IFERROR(LOOKUP(2,1/('DRAFT 2'!$D:$D=$B120),'DRAFT 2'!$R:$R),"")</f>
        <v>0</v>
      </c>
      <c r="AV120">
        <f>IFERROR(LOOKUP(2,1/('DRAFT 2'!$D:$D=$B120),'DRAFT 2'!$S:$S),"")</f>
        <v>0</v>
      </c>
      <c r="AW120" t="s">
        <v>126</v>
      </c>
      <c r="AX120">
        <f>IFERROR(LOOKUP(2,1/('DRAFT 2'!$D:$D=$B120),'DRAFT 2'!$M:$M),"")</f>
        <v>0</v>
      </c>
      <c r="AY120">
        <f>IFERROR(LOOKUP(2,1/('DRAFT 2'!$D:$D=$B120),'DRAFT 2'!$K:$K),"")</f>
        <v>0</v>
      </c>
      <c r="BG120">
        <f>IFERROR(LOOKUP(2,1/('DRAFT 2'!$D:$D=$B120),'DRAFT 2'!$U:$U),"")</f>
        <v>0</v>
      </c>
      <c r="BH120">
        <f>IFERROR(LOOKUP(2,1/('DRAFT 2'!$D:$D=$B120),'DRAFT 2'!$V:$V),"")</f>
        <v>0</v>
      </c>
      <c r="CE120" t="str">
        <f t="shared" si="43"/>
        <v/>
      </c>
      <c r="CF120">
        <f>IFERROR(LOOKUP(2,1/('DRAFT 2'!$D:$D=$B120)*('DRAFT 2'!$A:$A&gt;=DATE(2026,1,1))*('DRAFT 2'!$A:$A&lt;DATE(2026,IF(1=12,1+1,1+1),1)),'DRAFT 2'!$A:$A),"")</f>
        <v>0</v>
      </c>
      <c r="CG120">
        <f>COUNTIFS('DRAFT 2'!$D:$D,$B120,'DRAFT 2'!$A:$A,"&gt;="&amp;DATE(2026,1,1),'DRAFT 2'!$A:$A,"&lt;="&amp;DATE(2026,1,7))</f>
        <v>0</v>
      </c>
      <c r="CH120">
        <f>COUNTIFS('DRAFT 2'!$D:$D,$B120,'DRAFT 2'!$A:$A,"&gt;="&amp;DATE(2026,1,8),'DRAFT 2'!$A:$A,"&lt;="&amp;DATE(2026,1,14))</f>
        <v>0</v>
      </c>
      <c r="CI120">
        <f>COUNTIFS('DRAFT 2'!$D:$D,$B120,'DRAFT 2'!$A:$A,"&gt;="&amp;DATE(2026,1,15),'DRAFT 2'!$A:$A,"&lt;="&amp;DATE(2026,1,21))</f>
        <v>0</v>
      </c>
      <c r="CJ120">
        <f>COUNTIFS('DRAFT 2'!$D:$D,$B120,'DRAFT 2'!$A:$A,"&gt;="&amp;DATE(2026,1,22),'DRAFT 2'!$A:$A,"&lt;"&amp;DATE(2026,IF(1=12,1+1,1+1),1))</f>
        <v>0</v>
      </c>
      <c r="CK120">
        <f t="shared" si="44"/>
        <v>0</v>
      </c>
      <c r="CT120">
        <v>0</v>
      </c>
      <c r="CU120">
        <f>IFERROR(LOOKUP(2,1/('DRAFT 2'!$D:$D=$B120)*('DRAFT 2'!$A:$A&gt;=DATE(2026,2,1))*('DRAFT 2'!$A:$A&lt;DATE(2026,IF(2=12,2+1,2+1),1)),'DRAFT 2'!$A:$A),"")</f>
        <v>0</v>
      </c>
      <c r="CV120">
        <f>COUNTIFS('DRAFT 2'!$D:$D,$B120,'DRAFT 2'!$A:$A,"&gt;="&amp;DATE(2026,2,1),'DRAFT 2'!$A:$A,"&lt;="&amp;DATE(2026,2,7))</f>
        <v>0</v>
      </c>
      <c r="CW120">
        <f>COUNTIFS('DRAFT 2'!$D:$D,$B120,'DRAFT 2'!$A:$A,"&gt;="&amp;DATE(2026,2,8),'DRAFT 2'!$A:$A,"&lt;="&amp;DATE(2026,2,14))</f>
        <v>0</v>
      </c>
      <c r="CX120">
        <f>COUNTIFS('DRAFT 2'!$D:$D,$B120,'DRAFT 2'!$A:$A,"&gt;="&amp;DATE(2026,2,15),'DRAFT 2'!$A:$A,"&lt;="&amp;DATE(2026,2,21))</f>
        <v>0</v>
      </c>
      <c r="CY120">
        <f>COUNTIFS('DRAFT 2'!$D:$D,$B120,'DRAFT 2'!$A:$A,"&gt;="&amp;DATE(2026,2,22),'DRAFT 2'!$A:$A,"&lt;"&amp;DATE(2026,IF(2=12,2+1,2+1),1))</f>
        <v>0</v>
      </c>
      <c r="CZ120">
        <f t="shared" si="45"/>
        <v>0</v>
      </c>
      <c r="DJ120">
        <f>IFERROR(LOOKUP(2,1/('DRAFT 2'!$D:$D=$B120)*('DRAFT 2'!$A:$A&gt;=DATE(2026,3,1))*('DRAFT 2'!$A:$A&lt;DATE(2026,IF(3=12,3+1,3+1),1)),'DRAFT 2'!$A:$A),"")</f>
        <v>0</v>
      </c>
      <c r="DK120">
        <f>COUNTIFS('DRAFT 2'!$D:$D,$B120,'DRAFT 2'!$A:$A,"&gt;="&amp;DATE(2026,3,1),'DRAFT 2'!$A:$A,"&lt;="&amp;DATE(2026,3,7))</f>
        <v>0</v>
      </c>
      <c r="DL120">
        <f>COUNTIFS('DRAFT 2'!$D:$D,$B120,'DRAFT 2'!$A:$A,"&gt;="&amp;DATE(2026,3,8),'DRAFT 2'!$A:$A,"&lt;="&amp;DATE(2026,3,14))</f>
        <v>0</v>
      </c>
      <c r="DM120">
        <f>COUNTIFS('DRAFT 2'!$D:$D,$B120,'DRAFT 2'!$A:$A,"&gt;="&amp;DATE(2026,3,15),'DRAFT 2'!$A:$A,"&lt;="&amp;DATE(2026,3,21))</f>
        <v>0</v>
      </c>
      <c r="DN120">
        <f>COUNTIFS('DRAFT 2'!$D:$D,$B120,'DRAFT 2'!$A:$A,"&gt;="&amp;DATE(2026,3,22),'DRAFT 2'!$A:$A,"&lt;"&amp;DATE(2026,IF(3=12,3+1,3+1),1))</f>
        <v>0</v>
      </c>
      <c r="DO120">
        <f t="shared" si="46"/>
        <v>0</v>
      </c>
      <c r="DZ120">
        <f>IFERROR(LOOKUP(2,1/('DRAFT 2'!$D:$D=$B120)*('DRAFT 2'!$A:$A&gt;=DATE(2026,4,1))*('DRAFT 2'!$A:$A&lt;DATE(2026,IF(4=12,4+1,4+1),1)),'DRAFT 2'!$A:$A),"")</f>
        <v>0</v>
      </c>
      <c r="EA120">
        <f>COUNTIFS('DRAFT 2'!$D:$D,$B120,'DRAFT 2'!$A:$A,"&gt;="&amp;DATE(2026,4,1),'DRAFT 2'!$A:$A,"&lt;="&amp;DATE(2026,4,7))</f>
        <v>0</v>
      </c>
      <c r="EB120">
        <f>COUNTIFS('DRAFT 2'!$D:$D,$B120,'DRAFT 2'!$A:$A,"&gt;="&amp;DATE(2026,4,8),'DRAFT 2'!$A:$A,"&lt;="&amp;DATE(2026,4,14))</f>
        <v>0</v>
      </c>
      <c r="EC120">
        <f>COUNTIFS('DRAFT 2'!$D:$D,$B120,'DRAFT 2'!$A:$A,"&gt;="&amp;DATE(2026,4,15),'DRAFT 2'!$A:$A,"&lt;="&amp;DATE(2026,4,21))</f>
        <v>0</v>
      </c>
      <c r="ED120">
        <f>COUNTIFS('DRAFT 2'!$D:$D,$B120,'DRAFT 2'!$A:$A,"&gt;="&amp;DATE(2026,4,22),'DRAFT 2'!$A:$A,"&lt;"&amp;DATE(2026,IF(4=12,4+1,4+1),1))</f>
        <v>0</v>
      </c>
      <c r="EE120">
        <f t="shared" si="47"/>
        <v>0</v>
      </c>
      <c r="EO120">
        <f>IFERROR(LOOKUP(2,1/('DRAFT 2'!$D:$D=$B120)*('DRAFT 2'!$A:$A&gt;=DATE(2026,5,1))*('DRAFT 2'!$A:$A&lt;DATE(2026,IF(5=12,5+1,5+1),1)),'DRAFT 2'!$A:$A),"")</f>
        <v>0</v>
      </c>
      <c r="EP120">
        <f>COUNTIFS('DRAFT 2'!$D:$D,$B120,'DRAFT 2'!$A:$A,"&gt;="&amp;DATE(2026,5,1),'DRAFT 2'!$A:$A,"&lt;="&amp;DATE(2026,5,7))</f>
        <v>0</v>
      </c>
      <c r="EQ120">
        <f>COUNTIFS('DRAFT 2'!$D:$D,$B120,'DRAFT 2'!$A:$A,"&gt;="&amp;DATE(2026,5,8),'DRAFT 2'!$A:$A,"&lt;="&amp;DATE(2026,5,14))</f>
        <v>0</v>
      </c>
      <c r="ER120">
        <f>COUNTIFS('DRAFT 2'!$D:$D,$B120,'DRAFT 2'!$A:$A,"&gt;="&amp;DATE(2026,5,15),'DRAFT 2'!$A:$A,"&lt;="&amp;DATE(2026,5,21))</f>
        <v>0</v>
      </c>
      <c r="ES120">
        <f>COUNTIFS('DRAFT 2'!$D:$D,$B120,'DRAFT 2'!$A:$A,"&gt;="&amp;DATE(2026,5,22),'DRAFT 2'!$A:$A,"&lt;"&amp;DATE(2026,IF(5=12,5+1,5+1),1))</f>
        <v>0</v>
      </c>
      <c r="ET120">
        <f t="shared" si="48"/>
        <v>0</v>
      </c>
      <c r="FD120">
        <f>IFERROR(LOOKUP(2,1/('DRAFT 2'!$D:$D=$B120)*('DRAFT 2'!$A:$A&gt;=DATE(2026,6,1))*('DRAFT 2'!$A:$A&lt;DATE(2026,IF(6=12,6+1,6+1),1)),'DRAFT 2'!$A:$A),"")</f>
        <v>0</v>
      </c>
      <c r="FE120">
        <f>COUNTIFS('DRAFT 2'!$D:$D,$B120,'DRAFT 2'!$A:$A,"&gt;="&amp;DATE(2026,6,1),'DRAFT 2'!$A:$A,"&lt;="&amp;DATE(2026,6,7))</f>
        <v>0</v>
      </c>
      <c r="FF120">
        <f>COUNTIFS('DRAFT 2'!$D:$D,$B120,'DRAFT 2'!$A:$A,"&gt;="&amp;DATE(2026,6,8),'DRAFT 2'!$A:$A,"&lt;="&amp;DATE(2026,6,14))</f>
        <v>0</v>
      </c>
      <c r="FG120">
        <f>COUNTIFS('DRAFT 2'!$D:$D,$B120,'DRAFT 2'!$A:$A,"&gt;="&amp;DATE(2026,6,15),'DRAFT 2'!$A:$A,"&lt;="&amp;DATE(2026,6,21))</f>
        <v>0</v>
      </c>
      <c r="FH120">
        <f>COUNTIFS('DRAFT 2'!$D:$D,$B120,'DRAFT 2'!$A:$A,"&gt;="&amp;DATE(2026,6,22),'DRAFT 2'!$A:$A,"&lt;"&amp;DATE(2026,IF(6=12,6+1,6+1),1))</f>
        <v>0</v>
      </c>
      <c r="FI120">
        <f t="shared" si="49"/>
        <v>0</v>
      </c>
      <c r="FT120">
        <f>IFERROR(LOOKUP(2,1/('DRAFT 2'!$D:$D=$B120)*('DRAFT 2'!$A:$A&gt;=DATE(2026,7,1))*('DRAFT 2'!$A:$A&lt;DATE(2026,IF(7=12,7+1,7+1),1)),'DRAFT 2'!$A:$A),"")</f>
        <v>0</v>
      </c>
      <c r="FU120">
        <f>COUNTIFS('DRAFT 2'!$D:$D,$B120,'DRAFT 2'!$A:$A,"&gt;="&amp;DATE(2026,7,1),'DRAFT 2'!$A:$A,"&lt;="&amp;DATE(2026,7,7))</f>
        <v>0</v>
      </c>
      <c r="FV120">
        <f>COUNTIFS('DRAFT 2'!$D:$D,$B120,'DRAFT 2'!$A:$A,"&gt;="&amp;DATE(2026,7,8),'DRAFT 2'!$A:$A,"&lt;="&amp;DATE(2026,7,14))</f>
        <v>0</v>
      </c>
      <c r="FW120">
        <f>COUNTIFS('DRAFT 2'!$D:$D,$B120,'DRAFT 2'!$A:$A,"&gt;="&amp;DATE(2026,7,15),'DRAFT 2'!$A:$A,"&lt;="&amp;DATE(2026,7,21))</f>
        <v>0</v>
      </c>
      <c r="FX120">
        <f>COUNTIFS('DRAFT 2'!$D:$D,$B120,'DRAFT 2'!$A:$A,"&gt;="&amp;DATE(2026,7,22),'DRAFT 2'!$A:$A,"&lt;"&amp;DATE(2026,IF(7=12,7+1,7+1),1))</f>
        <v>0</v>
      </c>
      <c r="FY120">
        <f t="shared" si="50"/>
        <v>0</v>
      </c>
      <c r="GI120">
        <f>IFERROR(LOOKUP(2,1/('DRAFT 2'!$D:$D=$B120)*('DRAFT 2'!$A:$A&gt;=DATE(2026,8,1))*('DRAFT 2'!$A:$A&lt;DATE(2026,IF(8=12,8+1,8+1),1)),'DRAFT 2'!$A:$A),"")</f>
        <v>0</v>
      </c>
      <c r="GJ120">
        <f>COUNTIFS('DRAFT 2'!$D:$D,$B120,'DRAFT 2'!$A:$A,"&gt;="&amp;DATE(2026,8,1),'DRAFT 2'!$A:$A,"&lt;="&amp;DATE(2026,8,7))</f>
        <v>0</v>
      </c>
      <c r="GK120">
        <f>COUNTIFS('DRAFT 2'!$D:$D,$B120,'DRAFT 2'!$A:$A,"&gt;="&amp;DATE(2026,8,8),'DRAFT 2'!$A:$A,"&lt;="&amp;DATE(2026,8,14))</f>
        <v>0</v>
      </c>
      <c r="GL120">
        <f>COUNTIFS('DRAFT 2'!$D:$D,$B120,'DRAFT 2'!$A:$A,"&gt;="&amp;DATE(2026,8,15),'DRAFT 2'!$A:$A,"&lt;="&amp;DATE(2026,8,21))</f>
        <v>0</v>
      </c>
      <c r="GM120">
        <f>COUNTIFS('DRAFT 2'!$D:$D,$B120,'DRAFT 2'!$A:$A,"&gt;="&amp;DATE(2026,8,22),'DRAFT 2'!$A:$A,"&lt;"&amp;DATE(2026,IF(8=12,8+1,8+1),1))</f>
        <v>0</v>
      </c>
      <c r="GN120">
        <f t="shared" si="51"/>
        <v>0</v>
      </c>
      <c r="GX120">
        <f>IFERROR(LOOKUP(2,1/('DRAFT 2'!$D:$D=$B120)*('DRAFT 2'!$A:$A&gt;=DATE(2026,9,1))*('DRAFT 2'!$A:$A&lt;DATE(2026,IF(9=12,9+1,9+1),1)),'DRAFT 2'!$A:$A),"")</f>
        <v>0</v>
      </c>
      <c r="GY120">
        <f>COUNTIFS('DRAFT 2'!$D:$D,$B120,'DRAFT 2'!$A:$A,"&gt;="&amp;DATE(2026,9,1),'DRAFT 2'!$A:$A,"&lt;="&amp;DATE(2026,9,7))</f>
        <v>0</v>
      </c>
      <c r="GZ120">
        <f>COUNTIFS('DRAFT 2'!$D:$D,$B120,'DRAFT 2'!$A:$A,"&gt;="&amp;DATE(2026,9,8),'DRAFT 2'!$A:$A,"&lt;="&amp;DATE(2026,9,14))</f>
        <v>0</v>
      </c>
      <c r="HA120">
        <f>COUNTIFS('DRAFT 2'!$D:$D,$B120,'DRAFT 2'!$A:$A,"&gt;="&amp;DATE(2026,9,15),'DRAFT 2'!$A:$A,"&lt;="&amp;DATE(2026,9,21))</f>
        <v>0</v>
      </c>
      <c r="HB120">
        <f>COUNTIFS('DRAFT 2'!$D:$D,$B120,'DRAFT 2'!$A:$A,"&gt;="&amp;DATE(2026,9,22),'DRAFT 2'!$A:$A,"&lt;"&amp;DATE(2026,IF(9=12,9+1,9+1),1))</f>
        <v>0</v>
      </c>
      <c r="HC120">
        <f t="shared" si="52"/>
        <v>0</v>
      </c>
      <c r="HN120">
        <f>IFERROR(LOOKUP(2,1/('DRAFT 2'!$D:$D=$B120)*('DRAFT 2'!$A:$A&gt;=DATE(2026,10,1))*('DRAFT 2'!$A:$A&lt;DATE(2026,IF(10=12,10+1,10+1),1)),'DRAFT 2'!$A:$A),"")</f>
        <v>0</v>
      </c>
      <c r="HO120">
        <f>COUNTIFS('DRAFT 2'!$D:$D,$B120,'DRAFT 2'!$A:$A,"&gt;="&amp;DATE(2026,10,1),'DRAFT 2'!$A:$A,"&lt;="&amp;DATE(2026,10,7))</f>
        <v>0</v>
      </c>
      <c r="HP120">
        <f>COUNTIFS('DRAFT 2'!$D:$D,$B120,'DRAFT 2'!$A:$A,"&gt;="&amp;DATE(2026,10,8),'DRAFT 2'!$A:$A,"&lt;="&amp;DATE(2026,10,14))</f>
        <v>0</v>
      </c>
      <c r="HQ120">
        <f>COUNTIFS('DRAFT 2'!$D:$D,$B120,'DRAFT 2'!$A:$A,"&gt;="&amp;DATE(2026,10,15),'DRAFT 2'!$A:$A,"&lt;="&amp;DATE(2026,10,21))</f>
        <v>0</v>
      </c>
      <c r="HR120">
        <f>COUNTIFS('DRAFT 2'!$D:$D,$B120,'DRAFT 2'!$A:$A,"&gt;="&amp;DATE(2026,10,22),'DRAFT 2'!$A:$A,"&lt;"&amp;DATE(2026,IF(10=12,10+1,10+1),1))</f>
        <v>0</v>
      </c>
      <c r="HS120">
        <f t="shared" si="53"/>
        <v>0</v>
      </c>
      <c r="IC120">
        <f>IFERROR(LOOKUP(2,1/('DRAFT 2'!$D:$D=$B120)*('DRAFT 2'!$A:$A&gt;=DATE(2026,11,1))*('DRAFT 2'!$A:$A&lt;DATE(2026,IF(11=12,11+1,11+1),1)),'DRAFT 2'!$A:$A),"")</f>
        <v>0</v>
      </c>
      <c r="ID120">
        <f>COUNTIFS('DRAFT 2'!$D:$D,$B120,'DRAFT 2'!$A:$A,"&gt;="&amp;DATE(2026,11,1),'DRAFT 2'!$A:$A,"&lt;="&amp;DATE(2026,11,7))</f>
        <v>0</v>
      </c>
      <c r="IE120">
        <f>COUNTIFS('DRAFT 2'!$D:$D,$B120,'DRAFT 2'!$A:$A,"&gt;="&amp;DATE(2026,11,8),'DRAFT 2'!$A:$A,"&lt;="&amp;DATE(2026,11,14))</f>
        <v>0</v>
      </c>
      <c r="IF120">
        <f>COUNTIFS('DRAFT 2'!$D:$D,$B120,'DRAFT 2'!$A:$A,"&gt;="&amp;DATE(2026,11,15),'DRAFT 2'!$A:$A,"&lt;="&amp;DATE(2026,11,21))</f>
        <v>0</v>
      </c>
      <c r="IG120">
        <f>COUNTIFS('DRAFT 2'!$D:$D,$B120,'DRAFT 2'!$A:$A,"&gt;="&amp;DATE(2026,11,22),'DRAFT 2'!$A:$A,"&lt;"&amp;DATE(2026,IF(11=12,11+1,11+1),1))</f>
        <v>0</v>
      </c>
      <c r="IH120">
        <f t="shared" si="54"/>
        <v>0</v>
      </c>
      <c r="IR120">
        <f>IFERROR(LOOKUP(2,1/('DRAFT 2'!$D:$D=$B120)*('DRAFT 2'!$A:$A&gt;=DATE(2026,12,1))*('DRAFT 2'!$A:$A&lt;DATE(2026,IF(12=12,12+1,12+1),1)),'DRAFT 2'!$A:$A),"")</f>
        <v>0</v>
      </c>
      <c r="IS120">
        <f>COUNTIFS('DRAFT 2'!$D:$D,$B120,'DRAFT 2'!$A:$A,"&gt;="&amp;DATE(2026,12,1),'DRAFT 2'!$A:$A,"&lt;="&amp;DATE(2026,12,7))</f>
        <v>0</v>
      </c>
      <c r="IT120">
        <f>COUNTIFS('DRAFT 2'!$D:$D,$B120,'DRAFT 2'!$A:$A,"&gt;="&amp;DATE(2026,12,8),'DRAFT 2'!$A:$A,"&lt;="&amp;DATE(2026,12,14))</f>
        <v>0</v>
      </c>
      <c r="IU120">
        <f>COUNTIFS('DRAFT 2'!$D:$D,$B120,'DRAFT 2'!$A:$A,"&gt;="&amp;DATE(2026,12,15),'DRAFT 2'!$A:$A,"&lt;="&amp;DATE(2026,12,21))</f>
        <v>0</v>
      </c>
      <c r="IV120">
        <f>COUNTIFS('DRAFT 2'!$D:$D,$B120,'DRAFT 2'!$A:$A,"&gt;="&amp;DATE(2026,12,22),'DRAFT 2'!$A:$A,"&lt;"&amp;DATE(2026,IF(12=12,12+1,12+1),1))</f>
        <v>0</v>
      </c>
      <c r="IW120">
        <f t="shared" si="55"/>
        <v>0</v>
      </c>
    </row>
    <row r="121" spans="1:257" x14ac:dyDescent="0.3">
      <c r="A121" t="str">
        <f>IFERROR(INDEX('DRAFT 1'!$A:$A,MATCH($B121,'DRAFT 1'!$B:$B,0)),"")</f>
        <v/>
      </c>
      <c r="C121" t="str">
        <f>IFERROR(INDEX('DRAFT 1'!$C:$C,MATCH($B121,'DRAFT 1'!$B:$B,0)),"")</f>
        <v/>
      </c>
      <c r="D121" t="str">
        <f>IFERROR(INDEX('DRAFT 1'!$D:$D,MATCH($B121,'DRAFT 1'!$B:$B,0)),"")</f>
        <v/>
      </c>
      <c r="E121" t="str">
        <f>IFERROR(INDEX('DRAFT 1'!$E:$E,MATCH($B121,'DRAFT 1'!$B:$B,0)),"")</f>
        <v/>
      </c>
      <c r="F121" t="str">
        <f>IFERROR(INDEX('DRAFT 1'!$F:$F,MATCH($B121,'DRAFT 1'!$B:$B,0)),"")</f>
        <v/>
      </c>
      <c r="G121" t="str">
        <f>IFERROR(INDEX('DRAFT 1'!$G:$G,MATCH($B121,'DRAFT 1'!$B:$B,0)),"")</f>
        <v/>
      </c>
      <c r="H121" t="str">
        <f>IFERROR(INDEX('DRAFT 1'!$H:$H,MATCH($B121,'DRAFT 1'!$B:$B,0)),"")</f>
        <v/>
      </c>
      <c r="I121" t="s">
        <v>296</v>
      </c>
      <c r="K121" t="str">
        <f>IFERROR(INDEX('DRAFT 1'!$AL:$AL,MATCH($B121,'DRAFT 1'!$B:$B,0)),"")</f>
        <v/>
      </c>
      <c r="L121" t="str">
        <f>IFERROR(INDEX('DRAFT 1'!$J:$J,MATCH($B121,'DRAFT 1'!$B:$B,0)),"")</f>
        <v/>
      </c>
      <c r="M121" t="str">
        <f>IFERROR(INDEX('DRAFT 1'!$K:$K,MATCH($B121,'DRAFT 1'!$B:$B,0)),"")</f>
        <v/>
      </c>
      <c r="N121" t="s">
        <v>77</v>
      </c>
      <c r="P121" t="str">
        <f>IFERROR(INDEX('DRAFT 1'!$L:$L,MATCH($B121,'DRAFT 1'!$B:$B,0)),"")</f>
        <v/>
      </c>
      <c r="Q121" t="str">
        <f>IFERROR(INDEX('DRAFT 1'!$M:$M,MATCH($B121,'DRAFT 1'!$B:$B,0)),"")</f>
        <v/>
      </c>
      <c r="R121" t="str">
        <f>IFERROR(INDEX('DRAFT 1'!$N:$N,MATCH($B121,'DRAFT 1'!$B:$B,0)),"")</f>
        <v/>
      </c>
      <c r="S121" t="str">
        <f>IFERROR(INDEX('DRAFT 1'!$O:$O,MATCH($B121,'DRAFT 1'!$B:$B,0)),"")</f>
        <v/>
      </c>
      <c r="T121" t="str">
        <f>IFERROR(INDEX('DRAFT 1'!$P:$P,MATCH($B121,'DRAFT 1'!$B:$B,0)),"")</f>
        <v/>
      </c>
      <c r="U121" t="str">
        <f>IFERROR(INDEX('DRAFT 1'!$Q:$Q,MATCH($B121,'DRAFT 1'!$B:$B,0)),"")</f>
        <v/>
      </c>
      <c r="V121" t="str">
        <f>IFERROR(INDEX('DRAFT 1'!$R:$R,MATCH($B121,'DRAFT 1'!$B:$B,0)),"")</f>
        <v/>
      </c>
      <c r="W121" t="str">
        <f>IFERROR(INDEX('DRAFT 1'!$S:$S,MATCH($B121,'DRAFT 1'!$B:$B,0)),"")</f>
        <v/>
      </c>
      <c r="X121" t="str">
        <f>IFERROR(INDEX('DRAFT 1'!$T:$T,MATCH($B121,'DRAFT 1'!$B:$B,0)),"")</f>
        <v/>
      </c>
      <c r="Z121" t="str">
        <f>IFERROR(INDEX('DRAFT 1'!$U:$U,MATCH($B121,'DRAFT 1'!$B:$B,0)),"")</f>
        <v/>
      </c>
      <c r="AA121" t="str">
        <f>IFERROR(INDEX('DRAFT 1'!$V:$V,MATCH($B121,'DRAFT 1'!$B:$B,0)),"")</f>
        <v/>
      </c>
      <c r="AB121" t="str">
        <f>IFERROR(INDEX('DRAFT 1'!$W:$W,MATCH($B121,'DRAFT 1'!$B:$B,0)),"")</f>
        <v/>
      </c>
      <c r="AC121" t="str">
        <f>IFERROR(INDEX('DRAFT 1'!$X:$X,MATCH($B121,'DRAFT 1'!$B:$B,0)),"")</f>
        <v/>
      </c>
      <c r="AD121" t="str">
        <f>IFERROR(INDEX('DRAFT 1'!$Y:$Y,MATCH($B121,'DRAFT 1'!$B:$B,0)),"")</f>
        <v/>
      </c>
      <c r="AE121" t="str">
        <f>IFERROR(INDEX('DRAFT 1'!$Z:$Z,MATCH($B121,'DRAFT 1'!$B:$B,0)),"")</f>
        <v/>
      </c>
      <c r="AF121" t="str">
        <f>IFERROR(INDEX('DRAFT 1'!$AA:$AA,MATCH($B121,'DRAFT 1'!$B:$B,0)),"")</f>
        <v/>
      </c>
      <c r="AG121" t="str">
        <f>IFERROR(INDEX('DRAFT 1'!$AB:$AB,MATCH($B121,'DRAFT 1'!$B:$B,0)),"")</f>
        <v/>
      </c>
      <c r="AH121" t="str">
        <f>IFERROR(INDEX('DRAFT 1'!$AC:$AC,MATCH($B121,'DRAFT 1'!$B:$B,0)),"")</f>
        <v/>
      </c>
      <c r="AI121" t="str">
        <f>IFERROR(INDEX('DRAFT 1'!$AD:$AD,MATCH($B121,'DRAFT 1'!$B:$B,0)),"")</f>
        <v/>
      </c>
      <c r="AJ121" t="str">
        <f>IFERROR(INDEX('DRAFT 1'!$AE:$AE,MATCH($B121,'DRAFT 1'!$B:$B,0)),"")</f>
        <v/>
      </c>
      <c r="AK121" t="str">
        <f>IFERROR(INDEX('DRAFT 1'!$AG:$AG,MATCH($B121,'DRAFT 1'!$B:$B,0)),"")</f>
        <v/>
      </c>
      <c r="AL121" t="str">
        <f>IFERROR(INDEX('DRAFT 1'!$AH:$AH,MATCH($B121,'DRAFT 1'!$B:$B,0)),"")</f>
        <v/>
      </c>
      <c r="AM121" t="str">
        <f>IFERROR(INDEX('DRAFT 1'!$AI:$AI,MATCH($B121,'DRAFT 1'!$B:$B,0)),"")</f>
        <v/>
      </c>
      <c r="AN121" t="str">
        <f>IFERROR(INDEX('DRAFT 1'!$AJ:$AJ,MATCH($B121,'DRAFT 1'!$B:$B,0)),"")</f>
        <v/>
      </c>
      <c r="AO121">
        <f t="shared" si="42"/>
        <v>0</v>
      </c>
      <c r="AP121" t="str">
        <f>IFERROR(INDEX('DRAFT 1'!$AK:$AK,MATCH($B121,'DRAFT 1'!$B:$B,0)),"")</f>
        <v/>
      </c>
      <c r="AR121" t="s">
        <v>91</v>
      </c>
      <c r="AS121">
        <f>IFERROR(LOOKUP(2,1/('DRAFT 2'!$D:$D=$B121),'DRAFT 2'!$T:$T),"")</f>
        <v>0</v>
      </c>
      <c r="AT121">
        <f>IFERROR(LOOKUP(2,1/('DRAFT 2'!$D:$D=$B121),'DRAFT 2'!$A:$A),"")</f>
        <v>0</v>
      </c>
      <c r="AU121">
        <f>IFERROR(LOOKUP(2,1/('DRAFT 2'!$D:$D=$B121),'DRAFT 2'!$R:$R),"")</f>
        <v>0</v>
      </c>
      <c r="AV121">
        <f>IFERROR(LOOKUP(2,1/('DRAFT 2'!$D:$D=$B121),'DRAFT 2'!$S:$S),"")</f>
        <v>0</v>
      </c>
      <c r="AW121" t="s">
        <v>126</v>
      </c>
      <c r="AX121">
        <f>IFERROR(LOOKUP(2,1/('DRAFT 2'!$D:$D=$B121),'DRAFT 2'!$M:$M),"")</f>
        <v>0</v>
      </c>
      <c r="AY121">
        <f>IFERROR(LOOKUP(2,1/('DRAFT 2'!$D:$D=$B121),'DRAFT 2'!$K:$K),"")</f>
        <v>0</v>
      </c>
      <c r="BG121">
        <f>IFERROR(LOOKUP(2,1/('DRAFT 2'!$D:$D=$B121),'DRAFT 2'!$U:$U),"")</f>
        <v>0</v>
      </c>
      <c r="BH121">
        <f>IFERROR(LOOKUP(2,1/('DRAFT 2'!$D:$D=$B121),'DRAFT 2'!$V:$V),"")</f>
        <v>0</v>
      </c>
      <c r="CE121" t="str">
        <f t="shared" si="43"/>
        <v/>
      </c>
      <c r="CF121">
        <f>IFERROR(LOOKUP(2,1/('DRAFT 2'!$D:$D=$B121)*('DRAFT 2'!$A:$A&gt;=DATE(2026,1,1))*('DRAFT 2'!$A:$A&lt;DATE(2026,IF(1=12,1+1,1+1),1)),'DRAFT 2'!$A:$A),"")</f>
        <v>0</v>
      </c>
      <c r="CG121">
        <f>COUNTIFS('DRAFT 2'!$D:$D,$B121,'DRAFT 2'!$A:$A,"&gt;="&amp;DATE(2026,1,1),'DRAFT 2'!$A:$A,"&lt;="&amp;DATE(2026,1,7))</f>
        <v>0</v>
      </c>
      <c r="CH121">
        <f>COUNTIFS('DRAFT 2'!$D:$D,$B121,'DRAFT 2'!$A:$A,"&gt;="&amp;DATE(2026,1,8),'DRAFT 2'!$A:$A,"&lt;="&amp;DATE(2026,1,14))</f>
        <v>0</v>
      </c>
      <c r="CI121">
        <f>COUNTIFS('DRAFT 2'!$D:$D,$B121,'DRAFT 2'!$A:$A,"&gt;="&amp;DATE(2026,1,15),'DRAFT 2'!$A:$A,"&lt;="&amp;DATE(2026,1,21))</f>
        <v>0</v>
      </c>
      <c r="CJ121">
        <f>COUNTIFS('DRAFT 2'!$D:$D,$B121,'DRAFT 2'!$A:$A,"&gt;="&amp;DATE(2026,1,22),'DRAFT 2'!$A:$A,"&lt;"&amp;DATE(2026,IF(1=12,1+1,1+1),1))</f>
        <v>0</v>
      </c>
      <c r="CK121">
        <f t="shared" si="44"/>
        <v>0</v>
      </c>
      <c r="CT121">
        <v>0</v>
      </c>
      <c r="CU121">
        <f>IFERROR(LOOKUP(2,1/('DRAFT 2'!$D:$D=$B121)*('DRAFT 2'!$A:$A&gt;=DATE(2026,2,1))*('DRAFT 2'!$A:$A&lt;DATE(2026,IF(2=12,2+1,2+1),1)),'DRAFT 2'!$A:$A),"")</f>
        <v>0</v>
      </c>
      <c r="CV121">
        <f>COUNTIFS('DRAFT 2'!$D:$D,$B121,'DRAFT 2'!$A:$A,"&gt;="&amp;DATE(2026,2,1),'DRAFT 2'!$A:$A,"&lt;="&amp;DATE(2026,2,7))</f>
        <v>0</v>
      </c>
      <c r="CW121">
        <f>COUNTIFS('DRAFT 2'!$D:$D,$B121,'DRAFT 2'!$A:$A,"&gt;="&amp;DATE(2026,2,8),'DRAFT 2'!$A:$A,"&lt;="&amp;DATE(2026,2,14))</f>
        <v>0</v>
      </c>
      <c r="CX121">
        <f>COUNTIFS('DRAFT 2'!$D:$D,$B121,'DRAFT 2'!$A:$A,"&gt;="&amp;DATE(2026,2,15),'DRAFT 2'!$A:$A,"&lt;="&amp;DATE(2026,2,21))</f>
        <v>0</v>
      </c>
      <c r="CY121">
        <f>COUNTIFS('DRAFT 2'!$D:$D,$B121,'DRAFT 2'!$A:$A,"&gt;="&amp;DATE(2026,2,22),'DRAFT 2'!$A:$A,"&lt;"&amp;DATE(2026,IF(2=12,2+1,2+1),1))</f>
        <v>0</v>
      </c>
      <c r="CZ121">
        <f t="shared" si="45"/>
        <v>0</v>
      </c>
      <c r="DJ121">
        <f>IFERROR(LOOKUP(2,1/('DRAFT 2'!$D:$D=$B121)*('DRAFT 2'!$A:$A&gt;=DATE(2026,3,1))*('DRAFT 2'!$A:$A&lt;DATE(2026,IF(3=12,3+1,3+1),1)),'DRAFT 2'!$A:$A),"")</f>
        <v>0</v>
      </c>
      <c r="DK121">
        <f>COUNTIFS('DRAFT 2'!$D:$D,$B121,'DRAFT 2'!$A:$A,"&gt;="&amp;DATE(2026,3,1),'DRAFT 2'!$A:$A,"&lt;="&amp;DATE(2026,3,7))</f>
        <v>0</v>
      </c>
      <c r="DL121">
        <f>COUNTIFS('DRAFT 2'!$D:$D,$B121,'DRAFT 2'!$A:$A,"&gt;="&amp;DATE(2026,3,8),'DRAFT 2'!$A:$A,"&lt;="&amp;DATE(2026,3,14))</f>
        <v>0</v>
      </c>
      <c r="DM121">
        <f>COUNTIFS('DRAFT 2'!$D:$D,$B121,'DRAFT 2'!$A:$A,"&gt;="&amp;DATE(2026,3,15),'DRAFT 2'!$A:$A,"&lt;="&amp;DATE(2026,3,21))</f>
        <v>0</v>
      </c>
      <c r="DN121">
        <f>COUNTIFS('DRAFT 2'!$D:$D,$B121,'DRAFT 2'!$A:$A,"&gt;="&amp;DATE(2026,3,22),'DRAFT 2'!$A:$A,"&lt;"&amp;DATE(2026,IF(3=12,3+1,3+1),1))</f>
        <v>0</v>
      </c>
      <c r="DO121">
        <f t="shared" si="46"/>
        <v>0</v>
      </c>
      <c r="DZ121">
        <f>IFERROR(LOOKUP(2,1/('DRAFT 2'!$D:$D=$B121)*('DRAFT 2'!$A:$A&gt;=DATE(2026,4,1))*('DRAFT 2'!$A:$A&lt;DATE(2026,IF(4=12,4+1,4+1),1)),'DRAFT 2'!$A:$A),"")</f>
        <v>0</v>
      </c>
      <c r="EA121">
        <f>COUNTIFS('DRAFT 2'!$D:$D,$B121,'DRAFT 2'!$A:$A,"&gt;="&amp;DATE(2026,4,1),'DRAFT 2'!$A:$A,"&lt;="&amp;DATE(2026,4,7))</f>
        <v>0</v>
      </c>
      <c r="EB121">
        <f>COUNTIFS('DRAFT 2'!$D:$D,$B121,'DRAFT 2'!$A:$A,"&gt;="&amp;DATE(2026,4,8),'DRAFT 2'!$A:$A,"&lt;="&amp;DATE(2026,4,14))</f>
        <v>0</v>
      </c>
      <c r="EC121">
        <f>COUNTIFS('DRAFT 2'!$D:$D,$B121,'DRAFT 2'!$A:$A,"&gt;="&amp;DATE(2026,4,15),'DRAFT 2'!$A:$A,"&lt;="&amp;DATE(2026,4,21))</f>
        <v>0</v>
      </c>
      <c r="ED121">
        <f>COUNTIFS('DRAFT 2'!$D:$D,$B121,'DRAFT 2'!$A:$A,"&gt;="&amp;DATE(2026,4,22),'DRAFT 2'!$A:$A,"&lt;"&amp;DATE(2026,IF(4=12,4+1,4+1),1))</f>
        <v>0</v>
      </c>
      <c r="EE121">
        <f t="shared" si="47"/>
        <v>0</v>
      </c>
      <c r="EO121">
        <f>IFERROR(LOOKUP(2,1/('DRAFT 2'!$D:$D=$B121)*('DRAFT 2'!$A:$A&gt;=DATE(2026,5,1))*('DRAFT 2'!$A:$A&lt;DATE(2026,IF(5=12,5+1,5+1),1)),'DRAFT 2'!$A:$A),"")</f>
        <v>0</v>
      </c>
      <c r="EP121">
        <f>COUNTIFS('DRAFT 2'!$D:$D,$B121,'DRAFT 2'!$A:$A,"&gt;="&amp;DATE(2026,5,1),'DRAFT 2'!$A:$A,"&lt;="&amp;DATE(2026,5,7))</f>
        <v>0</v>
      </c>
      <c r="EQ121">
        <f>COUNTIFS('DRAFT 2'!$D:$D,$B121,'DRAFT 2'!$A:$A,"&gt;="&amp;DATE(2026,5,8),'DRAFT 2'!$A:$A,"&lt;="&amp;DATE(2026,5,14))</f>
        <v>0</v>
      </c>
      <c r="ER121">
        <f>COUNTIFS('DRAFT 2'!$D:$D,$B121,'DRAFT 2'!$A:$A,"&gt;="&amp;DATE(2026,5,15),'DRAFT 2'!$A:$A,"&lt;="&amp;DATE(2026,5,21))</f>
        <v>0</v>
      </c>
      <c r="ES121">
        <f>COUNTIFS('DRAFT 2'!$D:$D,$B121,'DRAFT 2'!$A:$A,"&gt;="&amp;DATE(2026,5,22),'DRAFT 2'!$A:$A,"&lt;"&amp;DATE(2026,IF(5=12,5+1,5+1),1))</f>
        <v>0</v>
      </c>
      <c r="ET121">
        <f t="shared" si="48"/>
        <v>0</v>
      </c>
      <c r="FD121">
        <f>IFERROR(LOOKUP(2,1/('DRAFT 2'!$D:$D=$B121)*('DRAFT 2'!$A:$A&gt;=DATE(2026,6,1))*('DRAFT 2'!$A:$A&lt;DATE(2026,IF(6=12,6+1,6+1),1)),'DRAFT 2'!$A:$A),"")</f>
        <v>0</v>
      </c>
      <c r="FE121">
        <f>COUNTIFS('DRAFT 2'!$D:$D,$B121,'DRAFT 2'!$A:$A,"&gt;="&amp;DATE(2026,6,1),'DRAFT 2'!$A:$A,"&lt;="&amp;DATE(2026,6,7))</f>
        <v>0</v>
      </c>
      <c r="FF121">
        <f>COUNTIFS('DRAFT 2'!$D:$D,$B121,'DRAFT 2'!$A:$A,"&gt;="&amp;DATE(2026,6,8),'DRAFT 2'!$A:$A,"&lt;="&amp;DATE(2026,6,14))</f>
        <v>0</v>
      </c>
      <c r="FG121">
        <f>COUNTIFS('DRAFT 2'!$D:$D,$B121,'DRAFT 2'!$A:$A,"&gt;="&amp;DATE(2026,6,15),'DRAFT 2'!$A:$A,"&lt;="&amp;DATE(2026,6,21))</f>
        <v>0</v>
      </c>
      <c r="FH121">
        <f>COUNTIFS('DRAFT 2'!$D:$D,$B121,'DRAFT 2'!$A:$A,"&gt;="&amp;DATE(2026,6,22),'DRAFT 2'!$A:$A,"&lt;"&amp;DATE(2026,IF(6=12,6+1,6+1),1))</f>
        <v>0</v>
      </c>
      <c r="FI121">
        <f t="shared" si="49"/>
        <v>0</v>
      </c>
      <c r="FT121">
        <f>IFERROR(LOOKUP(2,1/('DRAFT 2'!$D:$D=$B121)*('DRAFT 2'!$A:$A&gt;=DATE(2026,7,1))*('DRAFT 2'!$A:$A&lt;DATE(2026,IF(7=12,7+1,7+1),1)),'DRAFT 2'!$A:$A),"")</f>
        <v>0</v>
      </c>
      <c r="FU121">
        <f>COUNTIFS('DRAFT 2'!$D:$D,$B121,'DRAFT 2'!$A:$A,"&gt;="&amp;DATE(2026,7,1),'DRAFT 2'!$A:$A,"&lt;="&amp;DATE(2026,7,7))</f>
        <v>0</v>
      </c>
      <c r="FV121">
        <f>COUNTIFS('DRAFT 2'!$D:$D,$B121,'DRAFT 2'!$A:$A,"&gt;="&amp;DATE(2026,7,8),'DRAFT 2'!$A:$A,"&lt;="&amp;DATE(2026,7,14))</f>
        <v>0</v>
      </c>
      <c r="FW121">
        <f>COUNTIFS('DRAFT 2'!$D:$D,$B121,'DRAFT 2'!$A:$A,"&gt;="&amp;DATE(2026,7,15),'DRAFT 2'!$A:$A,"&lt;="&amp;DATE(2026,7,21))</f>
        <v>0</v>
      </c>
      <c r="FX121">
        <f>COUNTIFS('DRAFT 2'!$D:$D,$B121,'DRAFT 2'!$A:$A,"&gt;="&amp;DATE(2026,7,22),'DRAFT 2'!$A:$A,"&lt;"&amp;DATE(2026,IF(7=12,7+1,7+1),1))</f>
        <v>0</v>
      </c>
      <c r="FY121">
        <f t="shared" si="50"/>
        <v>0</v>
      </c>
      <c r="GI121">
        <f>IFERROR(LOOKUP(2,1/('DRAFT 2'!$D:$D=$B121)*('DRAFT 2'!$A:$A&gt;=DATE(2026,8,1))*('DRAFT 2'!$A:$A&lt;DATE(2026,IF(8=12,8+1,8+1),1)),'DRAFT 2'!$A:$A),"")</f>
        <v>0</v>
      </c>
      <c r="GJ121">
        <f>COUNTIFS('DRAFT 2'!$D:$D,$B121,'DRAFT 2'!$A:$A,"&gt;="&amp;DATE(2026,8,1),'DRAFT 2'!$A:$A,"&lt;="&amp;DATE(2026,8,7))</f>
        <v>0</v>
      </c>
      <c r="GK121">
        <f>COUNTIFS('DRAFT 2'!$D:$D,$B121,'DRAFT 2'!$A:$A,"&gt;="&amp;DATE(2026,8,8),'DRAFT 2'!$A:$A,"&lt;="&amp;DATE(2026,8,14))</f>
        <v>0</v>
      </c>
      <c r="GL121">
        <f>COUNTIFS('DRAFT 2'!$D:$D,$B121,'DRAFT 2'!$A:$A,"&gt;="&amp;DATE(2026,8,15),'DRAFT 2'!$A:$A,"&lt;="&amp;DATE(2026,8,21))</f>
        <v>0</v>
      </c>
      <c r="GM121">
        <f>COUNTIFS('DRAFT 2'!$D:$D,$B121,'DRAFT 2'!$A:$A,"&gt;="&amp;DATE(2026,8,22),'DRAFT 2'!$A:$A,"&lt;"&amp;DATE(2026,IF(8=12,8+1,8+1),1))</f>
        <v>0</v>
      </c>
      <c r="GN121">
        <f t="shared" si="51"/>
        <v>0</v>
      </c>
      <c r="GX121">
        <f>IFERROR(LOOKUP(2,1/('DRAFT 2'!$D:$D=$B121)*('DRAFT 2'!$A:$A&gt;=DATE(2026,9,1))*('DRAFT 2'!$A:$A&lt;DATE(2026,IF(9=12,9+1,9+1),1)),'DRAFT 2'!$A:$A),"")</f>
        <v>0</v>
      </c>
      <c r="GY121">
        <f>COUNTIFS('DRAFT 2'!$D:$D,$B121,'DRAFT 2'!$A:$A,"&gt;="&amp;DATE(2026,9,1),'DRAFT 2'!$A:$A,"&lt;="&amp;DATE(2026,9,7))</f>
        <v>0</v>
      </c>
      <c r="GZ121">
        <f>COUNTIFS('DRAFT 2'!$D:$D,$B121,'DRAFT 2'!$A:$A,"&gt;="&amp;DATE(2026,9,8),'DRAFT 2'!$A:$A,"&lt;="&amp;DATE(2026,9,14))</f>
        <v>0</v>
      </c>
      <c r="HA121">
        <f>COUNTIFS('DRAFT 2'!$D:$D,$B121,'DRAFT 2'!$A:$A,"&gt;="&amp;DATE(2026,9,15),'DRAFT 2'!$A:$A,"&lt;="&amp;DATE(2026,9,21))</f>
        <v>0</v>
      </c>
      <c r="HB121">
        <f>COUNTIFS('DRAFT 2'!$D:$D,$B121,'DRAFT 2'!$A:$A,"&gt;="&amp;DATE(2026,9,22),'DRAFT 2'!$A:$A,"&lt;"&amp;DATE(2026,IF(9=12,9+1,9+1),1))</f>
        <v>0</v>
      </c>
      <c r="HC121">
        <f t="shared" si="52"/>
        <v>0</v>
      </c>
      <c r="HN121">
        <f>IFERROR(LOOKUP(2,1/('DRAFT 2'!$D:$D=$B121)*('DRAFT 2'!$A:$A&gt;=DATE(2026,10,1))*('DRAFT 2'!$A:$A&lt;DATE(2026,IF(10=12,10+1,10+1),1)),'DRAFT 2'!$A:$A),"")</f>
        <v>0</v>
      </c>
      <c r="HO121">
        <f>COUNTIFS('DRAFT 2'!$D:$D,$B121,'DRAFT 2'!$A:$A,"&gt;="&amp;DATE(2026,10,1),'DRAFT 2'!$A:$A,"&lt;="&amp;DATE(2026,10,7))</f>
        <v>0</v>
      </c>
      <c r="HP121">
        <f>COUNTIFS('DRAFT 2'!$D:$D,$B121,'DRAFT 2'!$A:$A,"&gt;="&amp;DATE(2026,10,8),'DRAFT 2'!$A:$A,"&lt;="&amp;DATE(2026,10,14))</f>
        <v>0</v>
      </c>
      <c r="HQ121">
        <f>COUNTIFS('DRAFT 2'!$D:$D,$B121,'DRAFT 2'!$A:$A,"&gt;="&amp;DATE(2026,10,15),'DRAFT 2'!$A:$A,"&lt;="&amp;DATE(2026,10,21))</f>
        <v>0</v>
      </c>
      <c r="HR121">
        <f>COUNTIFS('DRAFT 2'!$D:$D,$B121,'DRAFT 2'!$A:$A,"&gt;="&amp;DATE(2026,10,22),'DRAFT 2'!$A:$A,"&lt;"&amp;DATE(2026,IF(10=12,10+1,10+1),1))</f>
        <v>0</v>
      </c>
      <c r="HS121">
        <f t="shared" si="53"/>
        <v>0</v>
      </c>
      <c r="IC121">
        <f>IFERROR(LOOKUP(2,1/('DRAFT 2'!$D:$D=$B121)*('DRAFT 2'!$A:$A&gt;=DATE(2026,11,1))*('DRAFT 2'!$A:$A&lt;DATE(2026,IF(11=12,11+1,11+1),1)),'DRAFT 2'!$A:$A),"")</f>
        <v>0</v>
      </c>
      <c r="ID121">
        <f>COUNTIFS('DRAFT 2'!$D:$D,$B121,'DRAFT 2'!$A:$A,"&gt;="&amp;DATE(2026,11,1),'DRAFT 2'!$A:$A,"&lt;="&amp;DATE(2026,11,7))</f>
        <v>0</v>
      </c>
      <c r="IE121">
        <f>COUNTIFS('DRAFT 2'!$D:$D,$B121,'DRAFT 2'!$A:$A,"&gt;="&amp;DATE(2026,11,8),'DRAFT 2'!$A:$A,"&lt;="&amp;DATE(2026,11,14))</f>
        <v>0</v>
      </c>
      <c r="IF121">
        <f>COUNTIFS('DRAFT 2'!$D:$D,$B121,'DRAFT 2'!$A:$A,"&gt;="&amp;DATE(2026,11,15),'DRAFT 2'!$A:$A,"&lt;="&amp;DATE(2026,11,21))</f>
        <v>0</v>
      </c>
      <c r="IG121">
        <f>COUNTIFS('DRAFT 2'!$D:$D,$B121,'DRAFT 2'!$A:$A,"&gt;="&amp;DATE(2026,11,22),'DRAFT 2'!$A:$A,"&lt;"&amp;DATE(2026,IF(11=12,11+1,11+1),1))</f>
        <v>0</v>
      </c>
      <c r="IH121">
        <f t="shared" si="54"/>
        <v>0</v>
      </c>
      <c r="IR121">
        <f>IFERROR(LOOKUP(2,1/('DRAFT 2'!$D:$D=$B121)*('DRAFT 2'!$A:$A&gt;=DATE(2026,12,1))*('DRAFT 2'!$A:$A&lt;DATE(2026,IF(12=12,12+1,12+1),1)),'DRAFT 2'!$A:$A),"")</f>
        <v>0</v>
      </c>
      <c r="IS121">
        <f>COUNTIFS('DRAFT 2'!$D:$D,$B121,'DRAFT 2'!$A:$A,"&gt;="&amp;DATE(2026,12,1),'DRAFT 2'!$A:$A,"&lt;="&amp;DATE(2026,12,7))</f>
        <v>0</v>
      </c>
      <c r="IT121">
        <f>COUNTIFS('DRAFT 2'!$D:$D,$B121,'DRAFT 2'!$A:$A,"&gt;="&amp;DATE(2026,12,8),'DRAFT 2'!$A:$A,"&lt;="&amp;DATE(2026,12,14))</f>
        <v>0</v>
      </c>
      <c r="IU121">
        <f>COUNTIFS('DRAFT 2'!$D:$D,$B121,'DRAFT 2'!$A:$A,"&gt;="&amp;DATE(2026,12,15),'DRAFT 2'!$A:$A,"&lt;="&amp;DATE(2026,12,21))</f>
        <v>0</v>
      </c>
      <c r="IV121">
        <f>COUNTIFS('DRAFT 2'!$D:$D,$B121,'DRAFT 2'!$A:$A,"&gt;="&amp;DATE(2026,12,22),'DRAFT 2'!$A:$A,"&lt;"&amp;DATE(2026,IF(12=12,12+1,12+1),1))</f>
        <v>0</v>
      </c>
      <c r="IW121">
        <f t="shared" si="55"/>
        <v>0</v>
      </c>
    </row>
    <row r="122" spans="1:257" x14ac:dyDescent="0.3">
      <c r="A122" t="str">
        <f>IFERROR(INDEX('DRAFT 1'!$A:$A,MATCH($B122,'DRAFT 1'!$B:$B,0)),"")</f>
        <v/>
      </c>
      <c r="C122" t="str">
        <f>IFERROR(INDEX('DRAFT 1'!$C:$C,MATCH($B122,'DRAFT 1'!$B:$B,0)),"")</f>
        <v/>
      </c>
      <c r="D122" t="str">
        <f>IFERROR(INDEX('DRAFT 1'!$D:$D,MATCH($B122,'DRAFT 1'!$B:$B,0)),"")</f>
        <v/>
      </c>
      <c r="E122" t="str">
        <f>IFERROR(INDEX('DRAFT 1'!$E:$E,MATCH($B122,'DRAFT 1'!$B:$B,0)),"")</f>
        <v/>
      </c>
      <c r="F122" t="str">
        <f>IFERROR(INDEX('DRAFT 1'!$F:$F,MATCH($B122,'DRAFT 1'!$B:$B,0)),"")</f>
        <v/>
      </c>
      <c r="G122" t="str">
        <f>IFERROR(INDEX('DRAFT 1'!$G:$G,MATCH($B122,'DRAFT 1'!$B:$B,0)),"")</f>
        <v/>
      </c>
      <c r="H122" t="str">
        <f>IFERROR(INDEX('DRAFT 1'!$H:$H,MATCH($B122,'DRAFT 1'!$B:$B,0)),"")</f>
        <v/>
      </c>
      <c r="I122" t="s">
        <v>296</v>
      </c>
      <c r="K122" t="str">
        <f>IFERROR(INDEX('DRAFT 1'!$AL:$AL,MATCH($B122,'DRAFT 1'!$B:$B,0)),"")</f>
        <v/>
      </c>
      <c r="L122" t="str">
        <f>IFERROR(INDEX('DRAFT 1'!$J:$J,MATCH($B122,'DRAFT 1'!$B:$B,0)),"")</f>
        <v/>
      </c>
      <c r="M122" t="str">
        <f>IFERROR(INDEX('DRAFT 1'!$K:$K,MATCH($B122,'DRAFT 1'!$B:$B,0)),"")</f>
        <v/>
      </c>
      <c r="N122" t="s">
        <v>71</v>
      </c>
      <c r="P122" t="str">
        <f>IFERROR(INDEX('DRAFT 1'!$L:$L,MATCH($B122,'DRAFT 1'!$B:$B,0)),"")</f>
        <v/>
      </c>
      <c r="Q122" t="str">
        <f>IFERROR(INDEX('DRAFT 1'!$M:$M,MATCH($B122,'DRAFT 1'!$B:$B,0)),"")</f>
        <v/>
      </c>
      <c r="R122" t="str">
        <f>IFERROR(INDEX('DRAFT 1'!$N:$N,MATCH($B122,'DRAFT 1'!$B:$B,0)),"")</f>
        <v/>
      </c>
      <c r="S122" t="str">
        <f>IFERROR(INDEX('DRAFT 1'!$O:$O,MATCH($B122,'DRAFT 1'!$B:$B,0)),"")</f>
        <v/>
      </c>
      <c r="T122" t="str">
        <f>IFERROR(INDEX('DRAFT 1'!$P:$P,MATCH($B122,'DRAFT 1'!$B:$B,0)),"")</f>
        <v/>
      </c>
      <c r="U122" t="str">
        <f>IFERROR(INDEX('DRAFT 1'!$Q:$Q,MATCH($B122,'DRAFT 1'!$B:$B,0)),"")</f>
        <v/>
      </c>
      <c r="V122" t="str">
        <f>IFERROR(INDEX('DRAFT 1'!$R:$R,MATCH($B122,'DRAFT 1'!$B:$B,0)),"")</f>
        <v/>
      </c>
      <c r="W122" t="str">
        <f>IFERROR(INDEX('DRAFT 1'!$S:$S,MATCH($B122,'DRAFT 1'!$B:$B,0)),"")</f>
        <v/>
      </c>
      <c r="X122" t="str">
        <f>IFERROR(INDEX('DRAFT 1'!$T:$T,MATCH($B122,'DRAFT 1'!$B:$B,0)),"")</f>
        <v/>
      </c>
      <c r="Z122" t="str">
        <f>IFERROR(INDEX('DRAFT 1'!$U:$U,MATCH($B122,'DRAFT 1'!$B:$B,0)),"")</f>
        <v/>
      </c>
      <c r="AA122" t="str">
        <f>IFERROR(INDEX('DRAFT 1'!$V:$V,MATCH($B122,'DRAFT 1'!$B:$B,0)),"")</f>
        <v/>
      </c>
      <c r="AB122" t="str">
        <f>IFERROR(INDEX('DRAFT 1'!$W:$W,MATCH($B122,'DRAFT 1'!$B:$B,0)),"")</f>
        <v/>
      </c>
      <c r="AC122" t="str">
        <f>IFERROR(INDEX('DRAFT 1'!$X:$X,MATCH($B122,'DRAFT 1'!$B:$B,0)),"")</f>
        <v/>
      </c>
      <c r="AD122" t="str">
        <f>IFERROR(INDEX('DRAFT 1'!$Y:$Y,MATCH($B122,'DRAFT 1'!$B:$B,0)),"")</f>
        <v/>
      </c>
      <c r="AE122" t="str">
        <f>IFERROR(INDEX('DRAFT 1'!$Z:$Z,MATCH($B122,'DRAFT 1'!$B:$B,0)),"")</f>
        <v/>
      </c>
      <c r="AF122" t="str">
        <f>IFERROR(INDEX('DRAFT 1'!$AA:$AA,MATCH($B122,'DRAFT 1'!$B:$B,0)),"")</f>
        <v/>
      </c>
      <c r="AG122" t="str">
        <f>IFERROR(INDEX('DRAFT 1'!$AB:$AB,MATCH($B122,'DRAFT 1'!$B:$B,0)),"")</f>
        <v/>
      </c>
      <c r="AH122" t="str">
        <f>IFERROR(INDEX('DRAFT 1'!$AC:$AC,MATCH($B122,'DRAFT 1'!$B:$B,0)),"")</f>
        <v/>
      </c>
      <c r="AI122" t="str">
        <f>IFERROR(INDEX('DRAFT 1'!$AD:$AD,MATCH($B122,'DRAFT 1'!$B:$B,0)),"")</f>
        <v/>
      </c>
      <c r="AJ122" t="str">
        <f>IFERROR(INDEX('DRAFT 1'!$AE:$AE,MATCH($B122,'DRAFT 1'!$B:$B,0)),"")</f>
        <v/>
      </c>
      <c r="AK122" t="str">
        <f>IFERROR(INDEX('DRAFT 1'!$AG:$AG,MATCH($B122,'DRAFT 1'!$B:$B,0)),"")</f>
        <v/>
      </c>
      <c r="AL122" t="str">
        <f>IFERROR(INDEX('DRAFT 1'!$AH:$AH,MATCH($B122,'DRAFT 1'!$B:$B,0)),"")</f>
        <v/>
      </c>
      <c r="AM122" t="str">
        <f>IFERROR(INDEX('DRAFT 1'!$AI:$AI,MATCH($B122,'DRAFT 1'!$B:$B,0)),"")</f>
        <v/>
      </c>
      <c r="AN122" t="str">
        <f>IFERROR(INDEX('DRAFT 1'!$AJ:$AJ,MATCH($B122,'DRAFT 1'!$B:$B,0)),"")</f>
        <v/>
      </c>
      <c r="AO122">
        <f t="shared" si="42"/>
        <v>0</v>
      </c>
      <c r="AP122" t="str">
        <f>IFERROR(INDEX('DRAFT 1'!$AK:$AK,MATCH($B122,'DRAFT 1'!$B:$B,0)),"")</f>
        <v/>
      </c>
      <c r="AR122" t="s">
        <v>5</v>
      </c>
      <c r="AS122">
        <f>IFERROR(LOOKUP(2,1/('DRAFT 2'!$D:$D=$B122),'DRAFT 2'!$T:$T),"")</f>
        <v>0</v>
      </c>
      <c r="AT122">
        <f>IFERROR(LOOKUP(2,1/('DRAFT 2'!$D:$D=$B122),'DRAFT 2'!$A:$A),"")</f>
        <v>0</v>
      </c>
      <c r="AU122">
        <f>IFERROR(LOOKUP(2,1/('DRAFT 2'!$D:$D=$B122),'DRAFT 2'!$R:$R),"")</f>
        <v>0</v>
      </c>
      <c r="AV122">
        <f>IFERROR(LOOKUP(2,1/('DRAFT 2'!$D:$D=$B122),'DRAFT 2'!$S:$S),"")</f>
        <v>0</v>
      </c>
      <c r="AW122" t="s">
        <v>126</v>
      </c>
      <c r="AX122">
        <f>IFERROR(LOOKUP(2,1/('DRAFT 2'!$D:$D=$B122),'DRAFT 2'!$M:$M),"")</f>
        <v>0</v>
      </c>
      <c r="AY122">
        <f>IFERROR(LOOKUP(2,1/('DRAFT 2'!$D:$D=$B122),'DRAFT 2'!$K:$K),"")</f>
        <v>0</v>
      </c>
      <c r="BG122">
        <f>IFERROR(LOOKUP(2,1/('DRAFT 2'!$D:$D=$B122),'DRAFT 2'!$U:$U),"")</f>
        <v>0</v>
      </c>
      <c r="BH122">
        <f>IFERROR(LOOKUP(2,1/('DRAFT 2'!$D:$D=$B122),'DRAFT 2'!$V:$V),"")</f>
        <v>0</v>
      </c>
      <c r="CE122" t="str">
        <f t="shared" si="43"/>
        <v/>
      </c>
      <c r="CF122">
        <f>IFERROR(LOOKUP(2,1/('DRAFT 2'!$D:$D=$B122)*('DRAFT 2'!$A:$A&gt;=DATE(2026,1,1))*('DRAFT 2'!$A:$A&lt;DATE(2026,IF(1=12,1+1,1+1),1)),'DRAFT 2'!$A:$A),"")</f>
        <v>0</v>
      </c>
      <c r="CG122">
        <f>COUNTIFS('DRAFT 2'!$D:$D,$B122,'DRAFT 2'!$A:$A,"&gt;="&amp;DATE(2026,1,1),'DRAFT 2'!$A:$A,"&lt;="&amp;DATE(2026,1,7))</f>
        <v>0</v>
      </c>
      <c r="CH122">
        <f>COUNTIFS('DRAFT 2'!$D:$D,$B122,'DRAFT 2'!$A:$A,"&gt;="&amp;DATE(2026,1,8),'DRAFT 2'!$A:$A,"&lt;="&amp;DATE(2026,1,14))</f>
        <v>0</v>
      </c>
      <c r="CI122">
        <f>COUNTIFS('DRAFT 2'!$D:$D,$B122,'DRAFT 2'!$A:$A,"&gt;="&amp;DATE(2026,1,15),'DRAFT 2'!$A:$A,"&lt;="&amp;DATE(2026,1,21))</f>
        <v>0</v>
      </c>
      <c r="CJ122">
        <f>COUNTIFS('DRAFT 2'!$D:$D,$B122,'DRAFT 2'!$A:$A,"&gt;="&amp;DATE(2026,1,22),'DRAFT 2'!$A:$A,"&lt;"&amp;DATE(2026,IF(1=12,1+1,1+1),1))</f>
        <v>0</v>
      </c>
      <c r="CK122">
        <f t="shared" si="44"/>
        <v>0</v>
      </c>
      <c r="CT122">
        <v>0</v>
      </c>
      <c r="CU122">
        <f>IFERROR(LOOKUP(2,1/('DRAFT 2'!$D:$D=$B122)*('DRAFT 2'!$A:$A&gt;=DATE(2026,2,1))*('DRAFT 2'!$A:$A&lt;DATE(2026,IF(2=12,2+1,2+1),1)),'DRAFT 2'!$A:$A),"")</f>
        <v>0</v>
      </c>
      <c r="CV122">
        <f>COUNTIFS('DRAFT 2'!$D:$D,$B122,'DRAFT 2'!$A:$A,"&gt;="&amp;DATE(2026,2,1),'DRAFT 2'!$A:$A,"&lt;="&amp;DATE(2026,2,7))</f>
        <v>0</v>
      </c>
      <c r="CW122">
        <f>COUNTIFS('DRAFT 2'!$D:$D,$B122,'DRAFT 2'!$A:$A,"&gt;="&amp;DATE(2026,2,8),'DRAFT 2'!$A:$A,"&lt;="&amp;DATE(2026,2,14))</f>
        <v>0</v>
      </c>
      <c r="CX122">
        <f>COUNTIFS('DRAFT 2'!$D:$D,$B122,'DRAFT 2'!$A:$A,"&gt;="&amp;DATE(2026,2,15),'DRAFT 2'!$A:$A,"&lt;="&amp;DATE(2026,2,21))</f>
        <v>0</v>
      </c>
      <c r="CY122">
        <f>COUNTIFS('DRAFT 2'!$D:$D,$B122,'DRAFT 2'!$A:$A,"&gt;="&amp;DATE(2026,2,22),'DRAFT 2'!$A:$A,"&lt;"&amp;DATE(2026,IF(2=12,2+1,2+1),1))</f>
        <v>0</v>
      </c>
      <c r="CZ122">
        <f t="shared" si="45"/>
        <v>0</v>
      </c>
      <c r="DJ122">
        <f>IFERROR(LOOKUP(2,1/('DRAFT 2'!$D:$D=$B122)*('DRAFT 2'!$A:$A&gt;=DATE(2026,3,1))*('DRAFT 2'!$A:$A&lt;DATE(2026,IF(3=12,3+1,3+1),1)),'DRAFT 2'!$A:$A),"")</f>
        <v>0</v>
      </c>
      <c r="DK122">
        <f>COUNTIFS('DRAFT 2'!$D:$D,$B122,'DRAFT 2'!$A:$A,"&gt;="&amp;DATE(2026,3,1),'DRAFT 2'!$A:$A,"&lt;="&amp;DATE(2026,3,7))</f>
        <v>0</v>
      </c>
      <c r="DL122">
        <f>COUNTIFS('DRAFT 2'!$D:$D,$B122,'DRAFT 2'!$A:$A,"&gt;="&amp;DATE(2026,3,8),'DRAFT 2'!$A:$A,"&lt;="&amp;DATE(2026,3,14))</f>
        <v>0</v>
      </c>
      <c r="DM122">
        <f>COUNTIFS('DRAFT 2'!$D:$D,$B122,'DRAFT 2'!$A:$A,"&gt;="&amp;DATE(2026,3,15),'DRAFT 2'!$A:$A,"&lt;="&amp;DATE(2026,3,21))</f>
        <v>0</v>
      </c>
      <c r="DN122">
        <f>COUNTIFS('DRAFT 2'!$D:$D,$B122,'DRAFT 2'!$A:$A,"&gt;="&amp;DATE(2026,3,22),'DRAFT 2'!$A:$A,"&lt;"&amp;DATE(2026,IF(3=12,3+1,3+1),1))</f>
        <v>0</v>
      </c>
      <c r="DO122">
        <f t="shared" si="46"/>
        <v>0</v>
      </c>
      <c r="DZ122">
        <f>IFERROR(LOOKUP(2,1/('DRAFT 2'!$D:$D=$B122)*('DRAFT 2'!$A:$A&gt;=DATE(2026,4,1))*('DRAFT 2'!$A:$A&lt;DATE(2026,IF(4=12,4+1,4+1),1)),'DRAFT 2'!$A:$A),"")</f>
        <v>0</v>
      </c>
      <c r="EA122">
        <f>COUNTIFS('DRAFT 2'!$D:$D,$B122,'DRAFT 2'!$A:$A,"&gt;="&amp;DATE(2026,4,1),'DRAFT 2'!$A:$A,"&lt;="&amp;DATE(2026,4,7))</f>
        <v>0</v>
      </c>
      <c r="EB122">
        <f>COUNTIFS('DRAFT 2'!$D:$D,$B122,'DRAFT 2'!$A:$A,"&gt;="&amp;DATE(2026,4,8),'DRAFT 2'!$A:$A,"&lt;="&amp;DATE(2026,4,14))</f>
        <v>0</v>
      </c>
      <c r="EC122">
        <f>COUNTIFS('DRAFT 2'!$D:$D,$B122,'DRAFT 2'!$A:$A,"&gt;="&amp;DATE(2026,4,15),'DRAFT 2'!$A:$A,"&lt;="&amp;DATE(2026,4,21))</f>
        <v>0</v>
      </c>
      <c r="ED122">
        <f>COUNTIFS('DRAFT 2'!$D:$D,$B122,'DRAFT 2'!$A:$A,"&gt;="&amp;DATE(2026,4,22),'DRAFT 2'!$A:$A,"&lt;"&amp;DATE(2026,IF(4=12,4+1,4+1),1))</f>
        <v>0</v>
      </c>
      <c r="EE122">
        <f t="shared" si="47"/>
        <v>0</v>
      </c>
      <c r="EO122">
        <f>IFERROR(LOOKUP(2,1/('DRAFT 2'!$D:$D=$B122)*('DRAFT 2'!$A:$A&gt;=DATE(2026,5,1))*('DRAFT 2'!$A:$A&lt;DATE(2026,IF(5=12,5+1,5+1),1)),'DRAFT 2'!$A:$A),"")</f>
        <v>0</v>
      </c>
      <c r="EP122">
        <f>COUNTIFS('DRAFT 2'!$D:$D,$B122,'DRAFT 2'!$A:$A,"&gt;="&amp;DATE(2026,5,1),'DRAFT 2'!$A:$A,"&lt;="&amp;DATE(2026,5,7))</f>
        <v>0</v>
      </c>
      <c r="EQ122">
        <f>COUNTIFS('DRAFT 2'!$D:$D,$B122,'DRAFT 2'!$A:$A,"&gt;="&amp;DATE(2026,5,8),'DRAFT 2'!$A:$A,"&lt;="&amp;DATE(2026,5,14))</f>
        <v>0</v>
      </c>
      <c r="ER122">
        <f>COUNTIFS('DRAFT 2'!$D:$D,$B122,'DRAFT 2'!$A:$A,"&gt;="&amp;DATE(2026,5,15),'DRAFT 2'!$A:$A,"&lt;="&amp;DATE(2026,5,21))</f>
        <v>0</v>
      </c>
      <c r="ES122">
        <f>COUNTIFS('DRAFT 2'!$D:$D,$B122,'DRAFT 2'!$A:$A,"&gt;="&amp;DATE(2026,5,22),'DRAFT 2'!$A:$A,"&lt;"&amp;DATE(2026,IF(5=12,5+1,5+1),1))</f>
        <v>0</v>
      </c>
      <c r="ET122">
        <f t="shared" si="48"/>
        <v>0</v>
      </c>
      <c r="FD122">
        <f>IFERROR(LOOKUP(2,1/('DRAFT 2'!$D:$D=$B122)*('DRAFT 2'!$A:$A&gt;=DATE(2026,6,1))*('DRAFT 2'!$A:$A&lt;DATE(2026,IF(6=12,6+1,6+1),1)),'DRAFT 2'!$A:$A),"")</f>
        <v>0</v>
      </c>
      <c r="FE122">
        <f>COUNTIFS('DRAFT 2'!$D:$D,$B122,'DRAFT 2'!$A:$A,"&gt;="&amp;DATE(2026,6,1),'DRAFT 2'!$A:$A,"&lt;="&amp;DATE(2026,6,7))</f>
        <v>0</v>
      </c>
      <c r="FF122">
        <f>COUNTIFS('DRAFT 2'!$D:$D,$B122,'DRAFT 2'!$A:$A,"&gt;="&amp;DATE(2026,6,8),'DRAFT 2'!$A:$A,"&lt;="&amp;DATE(2026,6,14))</f>
        <v>0</v>
      </c>
      <c r="FG122">
        <f>COUNTIFS('DRAFT 2'!$D:$D,$B122,'DRAFT 2'!$A:$A,"&gt;="&amp;DATE(2026,6,15),'DRAFT 2'!$A:$A,"&lt;="&amp;DATE(2026,6,21))</f>
        <v>0</v>
      </c>
      <c r="FH122">
        <f>COUNTIFS('DRAFT 2'!$D:$D,$B122,'DRAFT 2'!$A:$A,"&gt;="&amp;DATE(2026,6,22),'DRAFT 2'!$A:$A,"&lt;"&amp;DATE(2026,IF(6=12,6+1,6+1),1))</f>
        <v>0</v>
      </c>
      <c r="FI122">
        <f t="shared" si="49"/>
        <v>0</v>
      </c>
      <c r="FT122">
        <f>IFERROR(LOOKUP(2,1/('DRAFT 2'!$D:$D=$B122)*('DRAFT 2'!$A:$A&gt;=DATE(2026,7,1))*('DRAFT 2'!$A:$A&lt;DATE(2026,IF(7=12,7+1,7+1),1)),'DRAFT 2'!$A:$A),"")</f>
        <v>0</v>
      </c>
      <c r="FU122">
        <f>COUNTIFS('DRAFT 2'!$D:$D,$B122,'DRAFT 2'!$A:$A,"&gt;="&amp;DATE(2026,7,1),'DRAFT 2'!$A:$A,"&lt;="&amp;DATE(2026,7,7))</f>
        <v>0</v>
      </c>
      <c r="FV122">
        <f>COUNTIFS('DRAFT 2'!$D:$D,$B122,'DRAFT 2'!$A:$A,"&gt;="&amp;DATE(2026,7,8),'DRAFT 2'!$A:$A,"&lt;="&amp;DATE(2026,7,14))</f>
        <v>0</v>
      </c>
      <c r="FW122">
        <f>COUNTIFS('DRAFT 2'!$D:$D,$B122,'DRAFT 2'!$A:$A,"&gt;="&amp;DATE(2026,7,15),'DRAFT 2'!$A:$A,"&lt;="&amp;DATE(2026,7,21))</f>
        <v>0</v>
      </c>
      <c r="FX122">
        <f>COUNTIFS('DRAFT 2'!$D:$D,$B122,'DRAFT 2'!$A:$A,"&gt;="&amp;DATE(2026,7,22),'DRAFT 2'!$A:$A,"&lt;"&amp;DATE(2026,IF(7=12,7+1,7+1),1))</f>
        <v>0</v>
      </c>
      <c r="FY122">
        <f t="shared" si="50"/>
        <v>0</v>
      </c>
      <c r="GI122">
        <f>IFERROR(LOOKUP(2,1/('DRAFT 2'!$D:$D=$B122)*('DRAFT 2'!$A:$A&gt;=DATE(2026,8,1))*('DRAFT 2'!$A:$A&lt;DATE(2026,IF(8=12,8+1,8+1),1)),'DRAFT 2'!$A:$A),"")</f>
        <v>0</v>
      </c>
      <c r="GJ122">
        <f>COUNTIFS('DRAFT 2'!$D:$D,$B122,'DRAFT 2'!$A:$A,"&gt;="&amp;DATE(2026,8,1),'DRAFT 2'!$A:$A,"&lt;="&amp;DATE(2026,8,7))</f>
        <v>0</v>
      </c>
      <c r="GK122">
        <f>COUNTIFS('DRAFT 2'!$D:$D,$B122,'DRAFT 2'!$A:$A,"&gt;="&amp;DATE(2026,8,8),'DRAFT 2'!$A:$A,"&lt;="&amp;DATE(2026,8,14))</f>
        <v>0</v>
      </c>
      <c r="GL122">
        <f>COUNTIFS('DRAFT 2'!$D:$D,$B122,'DRAFT 2'!$A:$A,"&gt;="&amp;DATE(2026,8,15),'DRAFT 2'!$A:$A,"&lt;="&amp;DATE(2026,8,21))</f>
        <v>0</v>
      </c>
      <c r="GM122">
        <f>COUNTIFS('DRAFT 2'!$D:$D,$B122,'DRAFT 2'!$A:$A,"&gt;="&amp;DATE(2026,8,22),'DRAFT 2'!$A:$A,"&lt;"&amp;DATE(2026,IF(8=12,8+1,8+1),1))</f>
        <v>0</v>
      </c>
      <c r="GN122">
        <f t="shared" si="51"/>
        <v>0</v>
      </c>
      <c r="GX122">
        <f>IFERROR(LOOKUP(2,1/('DRAFT 2'!$D:$D=$B122)*('DRAFT 2'!$A:$A&gt;=DATE(2026,9,1))*('DRAFT 2'!$A:$A&lt;DATE(2026,IF(9=12,9+1,9+1),1)),'DRAFT 2'!$A:$A),"")</f>
        <v>0</v>
      </c>
      <c r="GY122">
        <f>COUNTIFS('DRAFT 2'!$D:$D,$B122,'DRAFT 2'!$A:$A,"&gt;="&amp;DATE(2026,9,1),'DRAFT 2'!$A:$A,"&lt;="&amp;DATE(2026,9,7))</f>
        <v>0</v>
      </c>
      <c r="GZ122">
        <f>COUNTIFS('DRAFT 2'!$D:$D,$B122,'DRAFT 2'!$A:$A,"&gt;="&amp;DATE(2026,9,8),'DRAFT 2'!$A:$A,"&lt;="&amp;DATE(2026,9,14))</f>
        <v>0</v>
      </c>
      <c r="HA122">
        <f>COUNTIFS('DRAFT 2'!$D:$D,$B122,'DRAFT 2'!$A:$A,"&gt;="&amp;DATE(2026,9,15),'DRAFT 2'!$A:$A,"&lt;="&amp;DATE(2026,9,21))</f>
        <v>0</v>
      </c>
      <c r="HB122">
        <f>COUNTIFS('DRAFT 2'!$D:$D,$B122,'DRAFT 2'!$A:$A,"&gt;="&amp;DATE(2026,9,22),'DRAFT 2'!$A:$A,"&lt;"&amp;DATE(2026,IF(9=12,9+1,9+1),1))</f>
        <v>0</v>
      </c>
      <c r="HC122">
        <f t="shared" si="52"/>
        <v>0</v>
      </c>
      <c r="HN122">
        <f>IFERROR(LOOKUP(2,1/('DRAFT 2'!$D:$D=$B122)*('DRAFT 2'!$A:$A&gt;=DATE(2026,10,1))*('DRAFT 2'!$A:$A&lt;DATE(2026,IF(10=12,10+1,10+1),1)),'DRAFT 2'!$A:$A),"")</f>
        <v>0</v>
      </c>
      <c r="HO122">
        <f>COUNTIFS('DRAFT 2'!$D:$D,$B122,'DRAFT 2'!$A:$A,"&gt;="&amp;DATE(2026,10,1),'DRAFT 2'!$A:$A,"&lt;="&amp;DATE(2026,10,7))</f>
        <v>0</v>
      </c>
      <c r="HP122">
        <f>COUNTIFS('DRAFT 2'!$D:$D,$B122,'DRAFT 2'!$A:$A,"&gt;="&amp;DATE(2026,10,8),'DRAFT 2'!$A:$A,"&lt;="&amp;DATE(2026,10,14))</f>
        <v>0</v>
      </c>
      <c r="HQ122">
        <f>COUNTIFS('DRAFT 2'!$D:$D,$B122,'DRAFT 2'!$A:$A,"&gt;="&amp;DATE(2026,10,15),'DRAFT 2'!$A:$A,"&lt;="&amp;DATE(2026,10,21))</f>
        <v>0</v>
      </c>
      <c r="HR122">
        <f>COUNTIFS('DRAFT 2'!$D:$D,$B122,'DRAFT 2'!$A:$A,"&gt;="&amp;DATE(2026,10,22),'DRAFT 2'!$A:$A,"&lt;"&amp;DATE(2026,IF(10=12,10+1,10+1),1))</f>
        <v>0</v>
      </c>
      <c r="HS122">
        <f t="shared" si="53"/>
        <v>0</v>
      </c>
      <c r="IC122">
        <f>IFERROR(LOOKUP(2,1/('DRAFT 2'!$D:$D=$B122)*('DRAFT 2'!$A:$A&gt;=DATE(2026,11,1))*('DRAFT 2'!$A:$A&lt;DATE(2026,IF(11=12,11+1,11+1),1)),'DRAFT 2'!$A:$A),"")</f>
        <v>0</v>
      </c>
      <c r="ID122">
        <f>COUNTIFS('DRAFT 2'!$D:$D,$B122,'DRAFT 2'!$A:$A,"&gt;="&amp;DATE(2026,11,1),'DRAFT 2'!$A:$A,"&lt;="&amp;DATE(2026,11,7))</f>
        <v>0</v>
      </c>
      <c r="IE122">
        <f>COUNTIFS('DRAFT 2'!$D:$D,$B122,'DRAFT 2'!$A:$A,"&gt;="&amp;DATE(2026,11,8),'DRAFT 2'!$A:$A,"&lt;="&amp;DATE(2026,11,14))</f>
        <v>0</v>
      </c>
      <c r="IF122">
        <f>COUNTIFS('DRAFT 2'!$D:$D,$B122,'DRAFT 2'!$A:$A,"&gt;="&amp;DATE(2026,11,15),'DRAFT 2'!$A:$A,"&lt;="&amp;DATE(2026,11,21))</f>
        <v>0</v>
      </c>
      <c r="IG122">
        <f>COUNTIFS('DRAFT 2'!$D:$D,$B122,'DRAFT 2'!$A:$A,"&gt;="&amp;DATE(2026,11,22),'DRAFT 2'!$A:$A,"&lt;"&amp;DATE(2026,IF(11=12,11+1,11+1),1))</f>
        <v>0</v>
      </c>
      <c r="IH122">
        <f t="shared" si="54"/>
        <v>0</v>
      </c>
      <c r="IR122">
        <f>IFERROR(LOOKUP(2,1/('DRAFT 2'!$D:$D=$B122)*('DRAFT 2'!$A:$A&gt;=DATE(2026,12,1))*('DRAFT 2'!$A:$A&lt;DATE(2026,IF(12=12,12+1,12+1),1)),'DRAFT 2'!$A:$A),"")</f>
        <v>0</v>
      </c>
      <c r="IS122">
        <f>COUNTIFS('DRAFT 2'!$D:$D,$B122,'DRAFT 2'!$A:$A,"&gt;="&amp;DATE(2026,12,1),'DRAFT 2'!$A:$A,"&lt;="&amp;DATE(2026,12,7))</f>
        <v>0</v>
      </c>
      <c r="IT122">
        <f>COUNTIFS('DRAFT 2'!$D:$D,$B122,'DRAFT 2'!$A:$A,"&gt;="&amp;DATE(2026,12,8),'DRAFT 2'!$A:$A,"&lt;="&amp;DATE(2026,12,14))</f>
        <v>0</v>
      </c>
      <c r="IU122">
        <f>COUNTIFS('DRAFT 2'!$D:$D,$B122,'DRAFT 2'!$A:$A,"&gt;="&amp;DATE(2026,12,15),'DRAFT 2'!$A:$A,"&lt;="&amp;DATE(2026,12,21))</f>
        <v>0</v>
      </c>
      <c r="IV122">
        <f>COUNTIFS('DRAFT 2'!$D:$D,$B122,'DRAFT 2'!$A:$A,"&gt;="&amp;DATE(2026,12,22),'DRAFT 2'!$A:$A,"&lt;"&amp;DATE(2026,IF(12=12,12+1,12+1),1))</f>
        <v>0</v>
      </c>
      <c r="IW122">
        <f t="shared" si="55"/>
        <v>0</v>
      </c>
    </row>
    <row r="123" spans="1:257" x14ac:dyDescent="0.3">
      <c r="A123" t="str">
        <f>IFERROR(INDEX('DRAFT 1'!$A:$A,MATCH($B123,'DRAFT 1'!$B:$B,0)),"")</f>
        <v/>
      </c>
      <c r="C123" t="str">
        <f>IFERROR(INDEX('DRAFT 1'!$C:$C,MATCH($B123,'DRAFT 1'!$B:$B,0)),"")</f>
        <v/>
      </c>
      <c r="D123" t="str">
        <f>IFERROR(INDEX('DRAFT 1'!$D:$D,MATCH($B123,'DRAFT 1'!$B:$B,0)),"")</f>
        <v/>
      </c>
      <c r="E123" t="str">
        <f>IFERROR(INDEX('DRAFT 1'!$E:$E,MATCH($B123,'DRAFT 1'!$B:$B,0)),"")</f>
        <v/>
      </c>
      <c r="F123" t="str">
        <f>IFERROR(INDEX('DRAFT 1'!$F:$F,MATCH($B123,'DRAFT 1'!$B:$B,0)),"")</f>
        <v/>
      </c>
      <c r="G123" t="str">
        <f>IFERROR(INDEX('DRAFT 1'!$G:$G,MATCH($B123,'DRAFT 1'!$B:$B,0)),"")</f>
        <v/>
      </c>
      <c r="H123" t="str">
        <f>IFERROR(INDEX('DRAFT 1'!$H:$H,MATCH($B123,'DRAFT 1'!$B:$B,0)),"")</f>
        <v/>
      </c>
      <c r="I123" t="s">
        <v>297</v>
      </c>
      <c r="K123" t="str">
        <f>IFERROR(INDEX('DRAFT 1'!$AL:$AL,MATCH($B123,'DRAFT 1'!$B:$B,0)),"")</f>
        <v/>
      </c>
      <c r="L123" t="str">
        <f>IFERROR(INDEX('DRAFT 1'!$J:$J,MATCH($B123,'DRAFT 1'!$B:$B,0)),"")</f>
        <v/>
      </c>
      <c r="M123" t="str">
        <f>IFERROR(INDEX('DRAFT 1'!$K:$K,MATCH($B123,'DRAFT 1'!$B:$B,0)),"")</f>
        <v/>
      </c>
      <c r="N123" t="s">
        <v>71</v>
      </c>
      <c r="P123" t="str">
        <f>IFERROR(INDEX('DRAFT 1'!$L:$L,MATCH($B123,'DRAFT 1'!$B:$B,0)),"")</f>
        <v/>
      </c>
      <c r="Q123" t="str">
        <f>IFERROR(INDEX('DRAFT 1'!$M:$M,MATCH($B123,'DRAFT 1'!$B:$B,0)),"")</f>
        <v/>
      </c>
      <c r="R123" t="str">
        <f>IFERROR(INDEX('DRAFT 1'!$N:$N,MATCH($B123,'DRAFT 1'!$B:$B,0)),"")</f>
        <v/>
      </c>
      <c r="S123" t="str">
        <f>IFERROR(INDEX('DRAFT 1'!$O:$O,MATCH($B123,'DRAFT 1'!$B:$B,0)),"")</f>
        <v/>
      </c>
      <c r="T123" t="str">
        <f>IFERROR(INDEX('DRAFT 1'!$P:$P,MATCH($B123,'DRAFT 1'!$B:$B,0)),"")</f>
        <v/>
      </c>
      <c r="U123" t="str">
        <f>IFERROR(INDEX('DRAFT 1'!$Q:$Q,MATCH($B123,'DRAFT 1'!$B:$B,0)),"")</f>
        <v/>
      </c>
      <c r="V123" t="str">
        <f>IFERROR(INDEX('DRAFT 1'!$R:$R,MATCH($B123,'DRAFT 1'!$B:$B,0)),"")</f>
        <v/>
      </c>
      <c r="W123" t="str">
        <f>IFERROR(INDEX('DRAFT 1'!$S:$S,MATCH($B123,'DRAFT 1'!$B:$B,0)),"")</f>
        <v/>
      </c>
      <c r="X123" t="str">
        <f>IFERROR(INDEX('DRAFT 1'!$T:$T,MATCH($B123,'DRAFT 1'!$B:$B,0)),"")</f>
        <v/>
      </c>
      <c r="Z123" t="str">
        <f>IFERROR(INDEX('DRAFT 1'!$U:$U,MATCH($B123,'DRAFT 1'!$B:$B,0)),"")</f>
        <v/>
      </c>
      <c r="AA123" t="str">
        <f>IFERROR(INDEX('DRAFT 1'!$V:$V,MATCH($B123,'DRAFT 1'!$B:$B,0)),"")</f>
        <v/>
      </c>
      <c r="AB123" t="str">
        <f>IFERROR(INDEX('DRAFT 1'!$W:$W,MATCH($B123,'DRAFT 1'!$B:$B,0)),"")</f>
        <v/>
      </c>
      <c r="AC123" t="str">
        <f>IFERROR(INDEX('DRAFT 1'!$X:$X,MATCH($B123,'DRAFT 1'!$B:$B,0)),"")</f>
        <v/>
      </c>
      <c r="AD123" t="str">
        <f>IFERROR(INDEX('DRAFT 1'!$Y:$Y,MATCH($B123,'DRAFT 1'!$B:$B,0)),"")</f>
        <v/>
      </c>
      <c r="AE123" t="str">
        <f>IFERROR(INDEX('DRAFT 1'!$Z:$Z,MATCH($B123,'DRAFT 1'!$B:$B,0)),"")</f>
        <v/>
      </c>
      <c r="AF123" t="str">
        <f>IFERROR(INDEX('DRAFT 1'!$AA:$AA,MATCH($B123,'DRAFT 1'!$B:$B,0)),"")</f>
        <v/>
      </c>
      <c r="AG123" t="str">
        <f>IFERROR(INDEX('DRAFT 1'!$AB:$AB,MATCH($B123,'DRAFT 1'!$B:$B,0)),"")</f>
        <v/>
      </c>
      <c r="AH123" t="str">
        <f>IFERROR(INDEX('DRAFT 1'!$AC:$AC,MATCH($B123,'DRAFT 1'!$B:$B,0)),"")</f>
        <v/>
      </c>
      <c r="AI123" t="str">
        <f>IFERROR(INDEX('DRAFT 1'!$AD:$AD,MATCH($B123,'DRAFT 1'!$B:$B,0)),"")</f>
        <v/>
      </c>
      <c r="AJ123" t="str">
        <f>IFERROR(INDEX('DRAFT 1'!$AE:$AE,MATCH($B123,'DRAFT 1'!$B:$B,0)),"")</f>
        <v/>
      </c>
      <c r="AK123" t="str">
        <f>IFERROR(INDEX('DRAFT 1'!$AG:$AG,MATCH($B123,'DRAFT 1'!$B:$B,0)),"")</f>
        <v/>
      </c>
      <c r="AL123" t="str">
        <f>IFERROR(INDEX('DRAFT 1'!$AH:$AH,MATCH($B123,'DRAFT 1'!$B:$B,0)),"")</f>
        <v/>
      </c>
      <c r="AM123" t="str">
        <f>IFERROR(INDEX('DRAFT 1'!$AI:$AI,MATCH($B123,'DRAFT 1'!$B:$B,0)),"")</f>
        <v/>
      </c>
      <c r="AN123" t="str">
        <f>IFERROR(INDEX('DRAFT 1'!$AJ:$AJ,MATCH($B123,'DRAFT 1'!$B:$B,0)),"")</f>
        <v/>
      </c>
      <c r="AO123">
        <f t="shared" si="42"/>
        <v>0</v>
      </c>
      <c r="AP123" t="str">
        <f>IFERROR(INDEX('DRAFT 1'!$AK:$AK,MATCH($B123,'DRAFT 1'!$B:$B,0)),"")</f>
        <v/>
      </c>
      <c r="AR123" t="s">
        <v>92</v>
      </c>
      <c r="AS123">
        <f>IFERROR(LOOKUP(2,1/('DRAFT 2'!$D:$D=$B123),'DRAFT 2'!$T:$T),"")</f>
        <v>0</v>
      </c>
      <c r="AT123">
        <f>IFERROR(LOOKUP(2,1/('DRAFT 2'!$D:$D=$B123),'DRAFT 2'!$A:$A),"")</f>
        <v>0</v>
      </c>
      <c r="AU123">
        <f>IFERROR(LOOKUP(2,1/('DRAFT 2'!$D:$D=$B123),'DRAFT 2'!$R:$R),"")</f>
        <v>0</v>
      </c>
      <c r="AV123">
        <f>IFERROR(LOOKUP(2,1/('DRAFT 2'!$D:$D=$B123),'DRAFT 2'!$S:$S),"")</f>
        <v>0</v>
      </c>
      <c r="AW123" t="s">
        <v>85</v>
      </c>
      <c r="AX123">
        <f>IFERROR(LOOKUP(2,1/('DRAFT 2'!$D:$D=$B123),'DRAFT 2'!$M:$M),"")</f>
        <v>0</v>
      </c>
      <c r="AY123">
        <f>IFERROR(LOOKUP(2,1/('DRAFT 2'!$D:$D=$B123),'DRAFT 2'!$K:$K),"")</f>
        <v>0</v>
      </c>
      <c r="BG123">
        <f>IFERROR(LOOKUP(2,1/('DRAFT 2'!$D:$D=$B123),'DRAFT 2'!$U:$U),"")</f>
        <v>0</v>
      </c>
      <c r="BH123">
        <f>IFERROR(LOOKUP(2,1/('DRAFT 2'!$D:$D=$B123),'DRAFT 2'!$V:$V),"")</f>
        <v>0</v>
      </c>
      <c r="CE123" t="str">
        <f t="shared" si="43"/>
        <v/>
      </c>
      <c r="CF123">
        <f>IFERROR(LOOKUP(2,1/('DRAFT 2'!$D:$D=$B123)*('DRAFT 2'!$A:$A&gt;=DATE(2026,1,1))*('DRAFT 2'!$A:$A&lt;DATE(2026,IF(1=12,1+1,1+1),1)),'DRAFT 2'!$A:$A),"")</f>
        <v>0</v>
      </c>
      <c r="CG123">
        <f>COUNTIFS('DRAFT 2'!$D:$D,$B123,'DRAFT 2'!$A:$A,"&gt;="&amp;DATE(2026,1,1),'DRAFT 2'!$A:$A,"&lt;="&amp;DATE(2026,1,7))</f>
        <v>0</v>
      </c>
      <c r="CH123">
        <f>COUNTIFS('DRAFT 2'!$D:$D,$B123,'DRAFT 2'!$A:$A,"&gt;="&amp;DATE(2026,1,8),'DRAFT 2'!$A:$A,"&lt;="&amp;DATE(2026,1,14))</f>
        <v>0</v>
      </c>
      <c r="CI123">
        <f>COUNTIFS('DRAFT 2'!$D:$D,$B123,'DRAFT 2'!$A:$A,"&gt;="&amp;DATE(2026,1,15),'DRAFT 2'!$A:$A,"&lt;="&amp;DATE(2026,1,21))</f>
        <v>0</v>
      </c>
      <c r="CJ123">
        <f>COUNTIFS('DRAFT 2'!$D:$D,$B123,'DRAFT 2'!$A:$A,"&gt;="&amp;DATE(2026,1,22),'DRAFT 2'!$A:$A,"&lt;"&amp;DATE(2026,IF(1=12,1+1,1+1),1))</f>
        <v>0</v>
      </c>
      <c r="CK123">
        <f t="shared" si="44"/>
        <v>0</v>
      </c>
      <c r="CT123">
        <v>0</v>
      </c>
      <c r="CU123">
        <f>IFERROR(LOOKUP(2,1/('DRAFT 2'!$D:$D=$B123)*('DRAFT 2'!$A:$A&gt;=DATE(2026,2,1))*('DRAFT 2'!$A:$A&lt;DATE(2026,IF(2=12,2+1,2+1),1)),'DRAFT 2'!$A:$A),"")</f>
        <v>0</v>
      </c>
      <c r="CV123">
        <f>COUNTIFS('DRAFT 2'!$D:$D,$B123,'DRAFT 2'!$A:$A,"&gt;="&amp;DATE(2026,2,1),'DRAFT 2'!$A:$A,"&lt;="&amp;DATE(2026,2,7))</f>
        <v>0</v>
      </c>
      <c r="CW123">
        <f>COUNTIFS('DRAFT 2'!$D:$D,$B123,'DRAFT 2'!$A:$A,"&gt;="&amp;DATE(2026,2,8),'DRAFT 2'!$A:$A,"&lt;="&amp;DATE(2026,2,14))</f>
        <v>0</v>
      </c>
      <c r="CX123">
        <f>COUNTIFS('DRAFT 2'!$D:$D,$B123,'DRAFT 2'!$A:$A,"&gt;="&amp;DATE(2026,2,15),'DRAFT 2'!$A:$A,"&lt;="&amp;DATE(2026,2,21))</f>
        <v>0</v>
      </c>
      <c r="CY123">
        <f>COUNTIFS('DRAFT 2'!$D:$D,$B123,'DRAFT 2'!$A:$A,"&gt;="&amp;DATE(2026,2,22),'DRAFT 2'!$A:$A,"&lt;"&amp;DATE(2026,IF(2=12,2+1,2+1),1))</f>
        <v>0</v>
      </c>
      <c r="CZ123">
        <f t="shared" si="45"/>
        <v>0</v>
      </c>
      <c r="DJ123">
        <f>IFERROR(LOOKUP(2,1/('DRAFT 2'!$D:$D=$B123)*('DRAFT 2'!$A:$A&gt;=DATE(2026,3,1))*('DRAFT 2'!$A:$A&lt;DATE(2026,IF(3=12,3+1,3+1),1)),'DRAFT 2'!$A:$A),"")</f>
        <v>0</v>
      </c>
      <c r="DK123">
        <f>COUNTIFS('DRAFT 2'!$D:$D,$B123,'DRAFT 2'!$A:$A,"&gt;="&amp;DATE(2026,3,1),'DRAFT 2'!$A:$A,"&lt;="&amp;DATE(2026,3,7))</f>
        <v>0</v>
      </c>
      <c r="DL123">
        <f>COUNTIFS('DRAFT 2'!$D:$D,$B123,'DRAFT 2'!$A:$A,"&gt;="&amp;DATE(2026,3,8),'DRAFT 2'!$A:$A,"&lt;="&amp;DATE(2026,3,14))</f>
        <v>0</v>
      </c>
      <c r="DM123">
        <f>COUNTIFS('DRAFT 2'!$D:$D,$B123,'DRAFT 2'!$A:$A,"&gt;="&amp;DATE(2026,3,15),'DRAFT 2'!$A:$A,"&lt;="&amp;DATE(2026,3,21))</f>
        <v>0</v>
      </c>
      <c r="DN123">
        <f>COUNTIFS('DRAFT 2'!$D:$D,$B123,'DRAFT 2'!$A:$A,"&gt;="&amp;DATE(2026,3,22),'DRAFT 2'!$A:$A,"&lt;"&amp;DATE(2026,IF(3=12,3+1,3+1),1))</f>
        <v>0</v>
      </c>
      <c r="DO123">
        <f t="shared" si="46"/>
        <v>0</v>
      </c>
      <c r="DZ123">
        <f>IFERROR(LOOKUP(2,1/('DRAFT 2'!$D:$D=$B123)*('DRAFT 2'!$A:$A&gt;=DATE(2026,4,1))*('DRAFT 2'!$A:$A&lt;DATE(2026,IF(4=12,4+1,4+1),1)),'DRAFT 2'!$A:$A),"")</f>
        <v>0</v>
      </c>
      <c r="EA123">
        <f>COUNTIFS('DRAFT 2'!$D:$D,$B123,'DRAFT 2'!$A:$A,"&gt;="&amp;DATE(2026,4,1),'DRAFT 2'!$A:$A,"&lt;="&amp;DATE(2026,4,7))</f>
        <v>0</v>
      </c>
      <c r="EB123">
        <f>COUNTIFS('DRAFT 2'!$D:$D,$B123,'DRAFT 2'!$A:$A,"&gt;="&amp;DATE(2026,4,8),'DRAFT 2'!$A:$A,"&lt;="&amp;DATE(2026,4,14))</f>
        <v>0</v>
      </c>
      <c r="EC123">
        <f>COUNTIFS('DRAFT 2'!$D:$D,$B123,'DRAFT 2'!$A:$A,"&gt;="&amp;DATE(2026,4,15),'DRAFT 2'!$A:$A,"&lt;="&amp;DATE(2026,4,21))</f>
        <v>0</v>
      </c>
      <c r="ED123">
        <f>COUNTIFS('DRAFT 2'!$D:$D,$B123,'DRAFT 2'!$A:$A,"&gt;="&amp;DATE(2026,4,22),'DRAFT 2'!$A:$A,"&lt;"&amp;DATE(2026,IF(4=12,4+1,4+1),1))</f>
        <v>0</v>
      </c>
      <c r="EE123">
        <f t="shared" si="47"/>
        <v>0</v>
      </c>
      <c r="EO123">
        <f>IFERROR(LOOKUP(2,1/('DRAFT 2'!$D:$D=$B123)*('DRAFT 2'!$A:$A&gt;=DATE(2026,5,1))*('DRAFT 2'!$A:$A&lt;DATE(2026,IF(5=12,5+1,5+1),1)),'DRAFT 2'!$A:$A),"")</f>
        <v>0</v>
      </c>
      <c r="EP123">
        <f>COUNTIFS('DRAFT 2'!$D:$D,$B123,'DRAFT 2'!$A:$A,"&gt;="&amp;DATE(2026,5,1),'DRAFT 2'!$A:$A,"&lt;="&amp;DATE(2026,5,7))</f>
        <v>0</v>
      </c>
      <c r="EQ123">
        <f>COUNTIFS('DRAFT 2'!$D:$D,$B123,'DRAFT 2'!$A:$A,"&gt;="&amp;DATE(2026,5,8),'DRAFT 2'!$A:$A,"&lt;="&amp;DATE(2026,5,14))</f>
        <v>0</v>
      </c>
      <c r="ER123">
        <f>COUNTIFS('DRAFT 2'!$D:$D,$B123,'DRAFT 2'!$A:$A,"&gt;="&amp;DATE(2026,5,15),'DRAFT 2'!$A:$A,"&lt;="&amp;DATE(2026,5,21))</f>
        <v>0</v>
      </c>
      <c r="ES123">
        <f>COUNTIFS('DRAFT 2'!$D:$D,$B123,'DRAFT 2'!$A:$A,"&gt;="&amp;DATE(2026,5,22),'DRAFT 2'!$A:$A,"&lt;"&amp;DATE(2026,IF(5=12,5+1,5+1),1))</f>
        <v>0</v>
      </c>
      <c r="ET123">
        <f t="shared" si="48"/>
        <v>0</v>
      </c>
      <c r="FD123">
        <f>IFERROR(LOOKUP(2,1/('DRAFT 2'!$D:$D=$B123)*('DRAFT 2'!$A:$A&gt;=DATE(2026,6,1))*('DRAFT 2'!$A:$A&lt;DATE(2026,IF(6=12,6+1,6+1),1)),'DRAFT 2'!$A:$A),"")</f>
        <v>0</v>
      </c>
      <c r="FE123">
        <f>COUNTIFS('DRAFT 2'!$D:$D,$B123,'DRAFT 2'!$A:$A,"&gt;="&amp;DATE(2026,6,1),'DRAFT 2'!$A:$A,"&lt;="&amp;DATE(2026,6,7))</f>
        <v>0</v>
      </c>
      <c r="FF123">
        <f>COUNTIFS('DRAFT 2'!$D:$D,$B123,'DRAFT 2'!$A:$A,"&gt;="&amp;DATE(2026,6,8),'DRAFT 2'!$A:$A,"&lt;="&amp;DATE(2026,6,14))</f>
        <v>0</v>
      </c>
      <c r="FG123">
        <f>COUNTIFS('DRAFT 2'!$D:$D,$B123,'DRAFT 2'!$A:$A,"&gt;="&amp;DATE(2026,6,15),'DRAFT 2'!$A:$A,"&lt;="&amp;DATE(2026,6,21))</f>
        <v>0</v>
      </c>
      <c r="FH123">
        <f>COUNTIFS('DRAFT 2'!$D:$D,$B123,'DRAFT 2'!$A:$A,"&gt;="&amp;DATE(2026,6,22),'DRAFT 2'!$A:$A,"&lt;"&amp;DATE(2026,IF(6=12,6+1,6+1),1))</f>
        <v>0</v>
      </c>
      <c r="FI123">
        <f t="shared" si="49"/>
        <v>0</v>
      </c>
      <c r="FT123">
        <f>IFERROR(LOOKUP(2,1/('DRAFT 2'!$D:$D=$B123)*('DRAFT 2'!$A:$A&gt;=DATE(2026,7,1))*('DRAFT 2'!$A:$A&lt;DATE(2026,IF(7=12,7+1,7+1),1)),'DRAFT 2'!$A:$A),"")</f>
        <v>0</v>
      </c>
      <c r="FU123">
        <f>COUNTIFS('DRAFT 2'!$D:$D,$B123,'DRAFT 2'!$A:$A,"&gt;="&amp;DATE(2026,7,1),'DRAFT 2'!$A:$A,"&lt;="&amp;DATE(2026,7,7))</f>
        <v>0</v>
      </c>
      <c r="FV123">
        <f>COUNTIFS('DRAFT 2'!$D:$D,$B123,'DRAFT 2'!$A:$A,"&gt;="&amp;DATE(2026,7,8),'DRAFT 2'!$A:$A,"&lt;="&amp;DATE(2026,7,14))</f>
        <v>0</v>
      </c>
      <c r="FW123">
        <f>COUNTIFS('DRAFT 2'!$D:$D,$B123,'DRAFT 2'!$A:$A,"&gt;="&amp;DATE(2026,7,15),'DRAFT 2'!$A:$A,"&lt;="&amp;DATE(2026,7,21))</f>
        <v>0</v>
      </c>
      <c r="FX123">
        <f>COUNTIFS('DRAFT 2'!$D:$D,$B123,'DRAFT 2'!$A:$A,"&gt;="&amp;DATE(2026,7,22),'DRAFT 2'!$A:$A,"&lt;"&amp;DATE(2026,IF(7=12,7+1,7+1),1))</f>
        <v>0</v>
      </c>
      <c r="FY123">
        <f t="shared" si="50"/>
        <v>0</v>
      </c>
      <c r="GI123">
        <f>IFERROR(LOOKUP(2,1/('DRAFT 2'!$D:$D=$B123)*('DRAFT 2'!$A:$A&gt;=DATE(2026,8,1))*('DRAFT 2'!$A:$A&lt;DATE(2026,IF(8=12,8+1,8+1),1)),'DRAFT 2'!$A:$A),"")</f>
        <v>0</v>
      </c>
      <c r="GJ123">
        <f>COUNTIFS('DRAFT 2'!$D:$D,$B123,'DRAFT 2'!$A:$A,"&gt;="&amp;DATE(2026,8,1),'DRAFT 2'!$A:$A,"&lt;="&amp;DATE(2026,8,7))</f>
        <v>0</v>
      </c>
      <c r="GK123">
        <f>COUNTIFS('DRAFT 2'!$D:$D,$B123,'DRAFT 2'!$A:$A,"&gt;="&amp;DATE(2026,8,8),'DRAFT 2'!$A:$A,"&lt;="&amp;DATE(2026,8,14))</f>
        <v>0</v>
      </c>
      <c r="GL123">
        <f>COUNTIFS('DRAFT 2'!$D:$D,$B123,'DRAFT 2'!$A:$A,"&gt;="&amp;DATE(2026,8,15),'DRAFT 2'!$A:$A,"&lt;="&amp;DATE(2026,8,21))</f>
        <v>0</v>
      </c>
      <c r="GM123">
        <f>COUNTIFS('DRAFT 2'!$D:$D,$B123,'DRAFT 2'!$A:$A,"&gt;="&amp;DATE(2026,8,22),'DRAFT 2'!$A:$A,"&lt;"&amp;DATE(2026,IF(8=12,8+1,8+1),1))</f>
        <v>0</v>
      </c>
      <c r="GN123">
        <f t="shared" si="51"/>
        <v>0</v>
      </c>
      <c r="GX123">
        <f>IFERROR(LOOKUP(2,1/('DRAFT 2'!$D:$D=$B123)*('DRAFT 2'!$A:$A&gt;=DATE(2026,9,1))*('DRAFT 2'!$A:$A&lt;DATE(2026,IF(9=12,9+1,9+1),1)),'DRAFT 2'!$A:$A),"")</f>
        <v>0</v>
      </c>
      <c r="GY123">
        <f>COUNTIFS('DRAFT 2'!$D:$D,$B123,'DRAFT 2'!$A:$A,"&gt;="&amp;DATE(2026,9,1),'DRAFT 2'!$A:$A,"&lt;="&amp;DATE(2026,9,7))</f>
        <v>0</v>
      </c>
      <c r="GZ123">
        <f>COUNTIFS('DRAFT 2'!$D:$D,$B123,'DRAFT 2'!$A:$A,"&gt;="&amp;DATE(2026,9,8),'DRAFT 2'!$A:$A,"&lt;="&amp;DATE(2026,9,14))</f>
        <v>0</v>
      </c>
      <c r="HA123">
        <f>COUNTIFS('DRAFT 2'!$D:$D,$B123,'DRAFT 2'!$A:$A,"&gt;="&amp;DATE(2026,9,15),'DRAFT 2'!$A:$A,"&lt;="&amp;DATE(2026,9,21))</f>
        <v>0</v>
      </c>
      <c r="HB123">
        <f>COUNTIFS('DRAFT 2'!$D:$D,$B123,'DRAFT 2'!$A:$A,"&gt;="&amp;DATE(2026,9,22),'DRAFT 2'!$A:$A,"&lt;"&amp;DATE(2026,IF(9=12,9+1,9+1),1))</f>
        <v>0</v>
      </c>
      <c r="HC123">
        <f t="shared" si="52"/>
        <v>0</v>
      </c>
      <c r="HN123">
        <f>IFERROR(LOOKUP(2,1/('DRAFT 2'!$D:$D=$B123)*('DRAFT 2'!$A:$A&gt;=DATE(2026,10,1))*('DRAFT 2'!$A:$A&lt;DATE(2026,IF(10=12,10+1,10+1),1)),'DRAFT 2'!$A:$A),"")</f>
        <v>0</v>
      </c>
      <c r="HO123">
        <f>COUNTIFS('DRAFT 2'!$D:$D,$B123,'DRAFT 2'!$A:$A,"&gt;="&amp;DATE(2026,10,1),'DRAFT 2'!$A:$A,"&lt;="&amp;DATE(2026,10,7))</f>
        <v>0</v>
      </c>
      <c r="HP123">
        <f>COUNTIFS('DRAFT 2'!$D:$D,$B123,'DRAFT 2'!$A:$A,"&gt;="&amp;DATE(2026,10,8),'DRAFT 2'!$A:$A,"&lt;="&amp;DATE(2026,10,14))</f>
        <v>0</v>
      </c>
      <c r="HQ123">
        <f>COUNTIFS('DRAFT 2'!$D:$D,$B123,'DRAFT 2'!$A:$A,"&gt;="&amp;DATE(2026,10,15),'DRAFT 2'!$A:$A,"&lt;="&amp;DATE(2026,10,21))</f>
        <v>0</v>
      </c>
      <c r="HR123">
        <f>COUNTIFS('DRAFT 2'!$D:$D,$B123,'DRAFT 2'!$A:$A,"&gt;="&amp;DATE(2026,10,22),'DRAFT 2'!$A:$A,"&lt;"&amp;DATE(2026,IF(10=12,10+1,10+1),1))</f>
        <v>0</v>
      </c>
      <c r="HS123">
        <f t="shared" si="53"/>
        <v>0</v>
      </c>
      <c r="IC123">
        <f>IFERROR(LOOKUP(2,1/('DRAFT 2'!$D:$D=$B123)*('DRAFT 2'!$A:$A&gt;=DATE(2026,11,1))*('DRAFT 2'!$A:$A&lt;DATE(2026,IF(11=12,11+1,11+1),1)),'DRAFT 2'!$A:$A),"")</f>
        <v>0</v>
      </c>
      <c r="ID123">
        <f>COUNTIFS('DRAFT 2'!$D:$D,$B123,'DRAFT 2'!$A:$A,"&gt;="&amp;DATE(2026,11,1),'DRAFT 2'!$A:$A,"&lt;="&amp;DATE(2026,11,7))</f>
        <v>0</v>
      </c>
      <c r="IE123">
        <f>COUNTIFS('DRAFT 2'!$D:$D,$B123,'DRAFT 2'!$A:$A,"&gt;="&amp;DATE(2026,11,8),'DRAFT 2'!$A:$A,"&lt;="&amp;DATE(2026,11,14))</f>
        <v>0</v>
      </c>
      <c r="IF123">
        <f>COUNTIFS('DRAFT 2'!$D:$D,$B123,'DRAFT 2'!$A:$A,"&gt;="&amp;DATE(2026,11,15),'DRAFT 2'!$A:$A,"&lt;="&amp;DATE(2026,11,21))</f>
        <v>0</v>
      </c>
      <c r="IG123">
        <f>COUNTIFS('DRAFT 2'!$D:$D,$B123,'DRAFT 2'!$A:$A,"&gt;="&amp;DATE(2026,11,22),'DRAFT 2'!$A:$A,"&lt;"&amp;DATE(2026,IF(11=12,11+1,11+1),1))</f>
        <v>0</v>
      </c>
      <c r="IH123">
        <f t="shared" si="54"/>
        <v>0</v>
      </c>
      <c r="IR123">
        <f>IFERROR(LOOKUP(2,1/('DRAFT 2'!$D:$D=$B123)*('DRAFT 2'!$A:$A&gt;=DATE(2026,12,1))*('DRAFT 2'!$A:$A&lt;DATE(2026,IF(12=12,12+1,12+1),1)),'DRAFT 2'!$A:$A),"")</f>
        <v>0</v>
      </c>
      <c r="IS123">
        <f>COUNTIFS('DRAFT 2'!$D:$D,$B123,'DRAFT 2'!$A:$A,"&gt;="&amp;DATE(2026,12,1),'DRAFT 2'!$A:$A,"&lt;="&amp;DATE(2026,12,7))</f>
        <v>0</v>
      </c>
      <c r="IT123">
        <f>COUNTIFS('DRAFT 2'!$D:$D,$B123,'DRAFT 2'!$A:$A,"&gt;="&amp;DATE(2026,12,8),'DRAFT 2'!$A:$A,"&lt;="&amp;DATE(2026,12,14))</f>
        <v>0</v>
      </c>
      <c r="IU123">
        <f>COUNTIFS('DRAFT 2'!$D:$D,$B123,'DRAFT 2'!$A:$A,"&gt;="&amp;DATE(2026,12,15),'DRAFT 2'!$A:$A,"&lt;="&amp;DATE(2026,12,21))</f>
        <v>0</v>
      </c>
      <c r="IV123">
        <f>COUNTIFS('DRAFT 2'!$D:$D,$B123,'DRAFT 2'!$A:$A,"&gt;="&amp;DATE(2026,12,22),'DRAFT 2'!$A:$A,"&lt;"&amp;DATE(2026,IF(12=12,12+1,12+1),1))</f>
        <v>0</v>
      </c>
      <c r="IW123">
        <f t="shared" si="55"/>
        <v>0</v>
      </c>
    </row>
    <row r="124" spans="1:257" x14ac:dyDescent="0.3">
      <c r="A124" t="str">
        <f>IFERROR(INDEX('DRAFT 1'!$A:$A,MATCH($B124,'DRAFT 1'!$B:$B,0)),"")</f>
        <v/>
      </c>
      <c r="C124" t="str">
        <f>IFERROR(INDEX('DRAFT 1'!$C:$C,MATCH($B124,'DRAFT 1'!$B:$B,0)),"")</f>
        <v/>
      </c>
      <c r="D124" t="str">
        <f>IFERROR(INDEX('DRAFT 1'!$D:$D,MATCH($B124,'DRAFT 1'!$B:$B,0)),"")</f>
        <v/>
      </c>
      <c r="E124" t="str">
        <f>IFERROR(INDEX('DRAFT 1'!$E:$E,MATCH($B124,'DRAFT 1'!$B:$B,0)),"")</f>
        <v/>
      </c>
      <c r="F124" t="str">
        <f>IFERROR(INDEX('DRAFT 1'!$F:$F,MATCH($B124,'DRAFT 1'!$B:$B,0)),"")</f>
        <v/>
      </c>
      <c r="G124" t="str">
        <f>IFERROR(INDEX('DRAFT 1'!$G:$G,MATCH($B124,'DRAFT 1'!$B:$B,0)),"")</f>
        <v/>
      </c>
      <c r="H124" t="str">
        <f>IFERROR(INDEX('DRAFT 1'!$H:$H,MATCH($B124,'DRAFT 1'!$B:$B,0)),"")</f>
        <v/>
      </c>
      <c r="I124" t="str">
        <f>IFERROR(INDEX('DRAFT 1'!$I:$I,MATCH($B124,'DRAFT 1'!$B:$B,0)),"")</f>
        <v/>
      </c>
      <c r="K124" t="str">
        <f>IFERROR(INDEX('DRAFT 1'!$AL:$AL,MATCH($B124,'DRAFT 1'!$B:$B,0)),"")</f>
        <v/>
      </c>
      <c r="L124" t="str">
        <f>IFERROR(INDEX('DRAFT 1'!$J:$J,MATCH($B124,'DRAFT 1'!$B:$B,0)),"")</f>
        <v/>
      </c>
      <c r="M124" t="str">
        <f>IFERROR(INDEX('DRAFT 1'!$K:$K,MATCH($B124,'DRAFT 1'!$B:$B,0)),"")</f>
        <v/>
      </c>
      <c r="P124" t="str">
        <f>IFERROR(INDEX('DRAFT 1'!$L:$L,MATCH($B124,'DRAFT 1'!$B:$B,0)),"")</f>
        <v/>
      </c>
      <c r="Q124" t="str">
        <f>IFERROR(INDEX('DRAFT 1'!$M:$M,MATCH($B124,'DRAFT 1'!$B:$B,0)),"")</f>
        <v/>
      </c>
      <c r="R124" t="str">
        <f>IFERROR(INDEX('DRAFT 1'!$N:$N,MATCH($B124,'DRAFT 1'!$B:$B,0)),"")</f>
        <v/>
      </c>
      <c r="S124" t="str">
        <f>IFERROR(INDEX('DRAFT 1'!$O:$O,MATCH($B124,'DRAFT 1'!$B:$B,0)),"")</f>
        <v/>
      </c>
      <c r="T124" t="str">
        <f>IFERROR(INDEX('DRAFT 1'!$P:$P,MATCH($B124,'DRAFT 1'!$B:$B,0)),"")</f>
        <v/>
      </c>
      <c r="U124" t="str">
        <f>IFERROR(INDEX('DRAFT 1'!$Q:$Q,MATCH($B124,'DRAFT 1'!$B:$B,0)),"")</f>
        <v/>
      </c>
      <c r="V124" t="str">
        <f>IFERROR(INDEX('DRAFT 1'!$R:$R,MATCH($B124,'DRAFT 1'!$B:$B,0)),"")</f>
        <v/>
      </c>
      <c r="W124" t="str">
        <f>IFERROR(INDEX('DRAFT 1'!$S:$S,MATCH($B124,'DRAFT 1'!$B:$B,0)),"")</f>
        <v/>
      </c>
      <c r="X124" t="str">
        <f>IFERROR(INDEX('DRAFT 1'!$T:$T,MATCH($B124,'DRAFT 1'!$B:$B,0)),"")</f>
        <v/>
      </c>
      <c r="Z124" t="str">
        <f>IFERROR(INDEX('DRAFT 1'!$U:$U,MATCH($B124,'DRAFT 1'!$B:$B,0)),"")</f>
        <v/>
      </c>
      <c r="AA124" t="str">
        <f>IFERROR(INDEX('DRAFT 1'!$V:$V,MATCH($B124,'DRAFT 1'!$B:$B,0)),"")</f>
        <v/>
      </c>
      <c r="AB124" t="str">
        <f>IFERROR(INDEX('DRAFT 1'!$W:$W,MATCH($B124,'DRAFT 1'!$B:$B,0)),"")</f>
        <v/>
      </c>
      <c r="AC124" t="str">
        <f>IFERROR(INDEX('DRAFT 1'!$X:$X,MATCH($B124,'DRAFT 1'!$B:$B,0)),"")</f>
        <v/>
      </c>
      <c r="AD124" t="str">
        <f>IFERROR(INDEX('DRAFT 1'!$Y:$Y,MATCH($B124,'DRAFT 1'!$B:$B,0)),"")</f>
        <v/>
      </c>
      <c r="AE124" t="str">
        <f>IFERROR(INDEX('DRAFT 1'!$Z:$Z,MATCH($B124,'DRAFT 1'!$B:$B,0)),"")</f>
        <v/>
      </c>
      <c r="AF124" t="str">
        <f>IFERROR(INDEX('DRAFT 1'!$AA:$AA,MATCH($B124,'DRAFT 1'!$B:$B,0)),"")</f>
        <v/>
      </c>
      <c r="AG124" t="str">
        <f>IFERROR(INDEX('DRAFT 1'!$AB:$AB,MATCH($B124,'DRAFT 1'!$B:$B,0)),"")</f>
        <v/>
      </c>
      <c r="AH124" t="str">
        <f>IFERROR(INDEX('DRAFT 1'!$AC:$AC,MATCH($B124,'DRAFT 1'!$B:$B,0)),"")</f>
        <v/>
      </c>
      <c r="AI124" t="str">
        <f>IFERROR(INDEX('DRAFT 1'!$AD:$AD,MATCH($B124,'DRAFT 1'!$B:$B,0)),"")</f>
        <v/>
      </c>
      <c r="AJ124" t="str">
        <f>IFERROR(INDEX('DRAFT 1'!$AE:$AE,MATCH($B124,'DRAFT 1'!$B:$B,0)),"")</f>
        <v/>
      </c>
      <c r="AK124" t="str">
        <f>IFERROR(INDEX('DRAFT 1'!$AG:$AG,MATCH($B124,'DRAFT 1'!$B:$B,0)),"")</f>
        <v/>
      </c>
      <c r="AL124" t="str">
        <f>IFERROR(INDEX('DRAFT 1'!$AH:$AH,MATCH($B124,'DRAFT 1'!$B:$B,0)),"")</f>
        <v/>
      </c>
      <c r="AM124" t="str">
        <f>IFERROR(INDEX('DRAFT 1'!$AI:$AI,MATCH($B124,'DRAFT 1'!$B:$B,0)),"")</f>
        <v/>
      </c>
      <c r="AN124" t="str">
        <f>IFERROR(INDEX('DRAFT 1'!$AJ:$AJ,MATCH($B124,'DRAFT 1'!$B:$B,0)),"")</f>
        <v/>
      </c>
      <c r="AO124">
        <f t="shared" si="42"/>
        <v>0</v>
      </c>
      <c r="AP124" t="str">
        <f>IFERROR(INDEX('DRAFT 1'!$AK:$AK,MATCH($B124,'DRAFT 1'!$B:$B,0)),"")</f>
        <v/>
      </c>
      <c r="AR124">
        <f>IFERROR(LOOKUP(2,1/('DRAFT 2'!$D:$D=$B124),'DRAFT 2'!$I:$I),"")</f>
        <v>0</v>
      </c>
      <c r="AS124">
        <f>IFERROR(LOOKUP(2,1/('DRAFT 2'!$D:$D=$B124),'DRAFT 2'!$T:$T),"")</f>
        <v>0</v>
      </c>
      <c r="AT124">
        <f>IFERROR(LOOKUP(2,1/('DRAFT 2'!$D:$D=$B124),'DRAFT 2'!$A:$A),"")</f>
        <v>0</v>
      </c>
      <c r="AU124">
        <f>IFERROR(LOOKUP(2,1/('DRAFT 2'!$D:$D=$B124),'DRAFT 2'!$R:$R),"")</f>
        <v>0</v>
      </c>
      <c r="AV124">
        <f>IFERROR(LOOKUP(2,1/('DRAFT 2'!$D:$D=$B124),'DRAFT 2'!$S:$S),"")</f>
        <v>0</v>
      </c>
      <c r="AX124">
        <f>IFERROR(LOOKUP(2,1/('DRAFT 2'!$D:$D=$B124),'DRAFT 2'!$M:$M),"")</f>
        <v>0</v>
      </c>
      <c r="AY124">
        <f>IFERROR(LOOKUP(2,1/('DRAFT 2'!$D:$D=$B124),'DRAFT 2'!$K:$K),"")</f>
        <v>0</v>
      </c>
      <c r="BG124">
        <f>IFERROR(LOOKUP(2,1/('DRAFT 2'!$D:$D=$B124),'DRAFT 2'!$U:$U),"")</f>
        <v>0</v>
      </c>
      <c r="BH124">
        <f>IFERROR(LOOKUP(2,1/('DRAFT 2'!$D:$D=$B124),'DRAFT 2'!$V:$V),"")</f>
        <v>0</v>
      </c>
      <c r="CE124" t="str">
        <f t="shared" si="43"/>
        <v/>
      </c>
      <c r="CF124">
        <f>IFERROR(LOOKUP(2,1/('DRAFT 2'!$D:$D=$B124)*('DRAFT 2'!$A:$A&gt;=DATE(2026,1,1))*('DRAFT 2'!$A:$A&lt;DATE(2026,IF(1=12,1+1,1+1),1)),'DRAFT 2'!$A:$A),"")</f>
        <v>0</v>
      </c>
      <c r="CG124">
        <f>COUNTIFS('DRAFT 2'!$D:$D,$B124,'DRAFT 2'!$A:$A,"&gt;="&amp;DATE(2026,1,1),'DRAFT 2'!$A:$A,"&lt;="&amp;DATE(2026,1,7))</f>
        <v>0</v>
      </c>
      <c r="CH124">
        <f>COUNTIFS('DRAFT 2'!$D:$D,$B124,'DRAFT 2'!$A:$A,"&gt;="&amp;DATE(2026,1,8),'DRAFT 2'!$A:$A,"&lt;="&amp;DATE(2026,1,14))</f>
        <v>0</v>
      </c>
      <c r="CI124">
        <f>COUNTIFS('DRAFT 2'!$D:$D,$B124,'DRAFT 2'!$A:$A,"&gt;="&amp;DATE(2026,1,15),'DRAFT 2'!$A:$A,"&lt;="&amp;DATE(2026,1,21))</f>
        <v>0</v>
      </c>
      <c r="CJ124">
        <f>COUNTIFS('DRAFT 2'!$D:$D,$B124,'DRAFT 2'!$A:$A,"&gt;="&amp;DATE(2026,1,22),'DRAFT 2'!$A:$A,"&lt;"&amp;DATE(2026,IF(1=12,1+1,1+1),1))</f>
        <v>0</v>
      </c>
      <c r="CK124">
        <f t="shared" si="44"/>
        <v>0</v>
      </c>
      <c r="CT124">
        <v>0</v>
      </c>
      <c r="CU124">
        <f>IFERROR(LOOKUP(2,1/('DRAFT 2'!$D:$D=$B124)*('DRAFT 2'!$A:$A&gt;=DATE(2026,2,1))*('DRAFT 2'!$A:$A&lt;DATE(2026,IF(2=12,2+1,2+1),1)),'DRAFT 2'!$A:$A),"")</f>
        <v>0</v>
      </c>
      <c r="CV124">
        <f>COUNTIFS('DRAFT 2'!$D:$D,$B124,'DRAFT 2'!$A:$A,"&gt;="&amp;DATE(2026,2,1),'DRAFT 2'!$A:$A,"&lt;="&amp;DATE(2026,2,7))</f>
        <v>0</v>
      </c>
      <c r="CW124">
        <f>COUNTIFS('DRAFT 2'!$D:$D,$B124,'DRAFT 2'!$A:$A,"&gt;="&amp;DATE(2026,2,8),'DRAFT 2'!$A:$A,"&lt;="&amp;DATE(2026,2,14))</f>
        <v>0</v>
      </c>
      <c r="CX124">
        <f>COUNTIFS('DRAFT 2'!$D:$D,$B124,'DRAFT 2'!$A:$A,"&gt;="&amp;DATE(2026,2,15),'DRAFT 2'!$A:$A,"&lt;="&amp;DATE(2026,2,21))</f>
        <v>0</v>
      </c>
      <c r="CY124">
        <f>COUNTIFS('DRAFT 2'!$D:$D,$B124,'DRAFT 2'!$A:$A,"&gt;="&amp;DATE(2026,2,22),'DRAFT 2'!$A:$A,"&lt;"&amp;DATE(2026,IF(2=12,2+1,2+1),1))</f>
        <v>0</v>
      </c>
      <c r="CZ124">
        <f t="shared" si="45"/>
        <v>0</v>
      </c>
      <c r="DJ124">
        <f>IFERROR(LOOKUP(2,1/('DRAFT 2'!$D:$D=$B124)*('DRAFT 2'!$A:$A&gt;=DATE(2026,3,1))*('DRAFT 2'!$A:$A&lt;DATE(2026,IF(3=12,3+1,3+1),1)),'DRAFT 2'!$A:$A),"")</f>
        <v>0</v>
      </c>
      <c r="DK124">
        <f>COUNTIFS('DRAFT 2'!$D:$D,$B124,'DRAFT 2'!$A:$A,"&gt;="&amp;DATE(2026,3,1),'DRAFT 2'!$A:$A,"&lt;="&amp;DATE(2026,3,7))</f>
        <v>0</v>
      </c>
      <c r="DL124">
        <f>COUNTIFS('DRAFT 2'!$D:$D,$B124,'DRAFT 2'!$A:$A,"&gt;="&amp;DATE(2026,3,8),'DRAFT 2'!$A:$A,"&lt;="&amp;DATE(2026,3,14))</f>
        <v>0</v>
      </c>
      <c r="DM124">
        <f>COUNTIFS('DRAFT 2'!$D:$D,$B124,'DRAFT 2'!$A:$A,"&gt;="&amp;DATE(2026,3,15),'DRAFT 2'!$A:$A,"&lt;="&amp;DATE(2026,3,21))</f>
        <v>0</v>
      </c>
      <c r="DN124">
        <f>COUNTIFS('DRAFT 2'!$D:$D,$B124,'DRAFT 2'!$A:$A,"&gt;="&amp;DATE(2026,3,22),'DRAFT 2'!$A:$A,"&lt;"&amp;DATE(2026,IF(3=12,3+1,3+1),1))</f>
        <v>0</v>
      </c>
      <c r="DO124">
        <f t="shared" si="46"/>
        <v>0</v>
      </c>
      <c r="DZ124">
        <f>IFERROR(LOOKUP(2,1/('DRAFT 2'!$D:$D=$B124)*('DRAFT 2'!$A:$A&gt;=DATE(2026,4,1))*('DRAFT 2'!$A:$A&lt;DATE(2026,IF(4=12,4+1,4+1),1)),'DRAFT 2'!$A:$A),"")</f>
        <v>0</v>
      </c>
      <c r="EA124">
        <f>COUNTIFS('DRAFT 2'!$D:$D,$B124,'DRAFT 2'!$A:$A,"&gt;="&amp;DATE(2026,4,1),'DRAFT 2'!$A:$A,"&lt;="&amp;DATE(2026,4,7))</f>
        <v>0</v>
      </c>
      <c r="EB124">
        <f>COUNTIFS('DRAFT 2'!$D:$D,$B124,'DRAFT 2'!$A:$A,"&gt;="&amp;DATE(2026,4,8),'DRAFT 2'!$A:$A,"&lt;="&amp;DATE(2026,4,14))</f>
        <v>0</v>
      </c>
      <c r="EC124">
        <f>COUNTIFS('DRAFT 2'!$D:$D,$B124,'DRAFT 2'!$A:$A,"&gt;="&amp;DATE(2026,4,15),'DRAFT 2'!$A:$A,"&lt;="&amp;DATE(2026,4,21))</f>
        <v>0</v>
      </c>
      <c r="ED124">
        <f>COUNTIFS('DRAFT 2'!$D:$D,$B124,'DRAFT 2'!$A:$A,"&gt;="&amp;DATE(2026,4,22),'DRAFT 2'!$A:$A,"&lt;"&amp;DATE(2026,IF(4=12,4+1,4+1),1))</f>
        <v>0</v>
      </c>
      <c r="EE124">
        <f t="shared" si="47"/>
        <v>0</v>
      </c>
      <c r="EO124">
        <f>IFERROR(LOOKUP(2,1/('DRAFT 2'!$D:$D=$B124)*('DRAFT 2'!$A:$A&gt;=DATE(2026,5,1))*('DRAFT 2'!$A:$A&lt;DATE(2026,IF(5=12,5+1,5+1),1)),'DRAFT 2'!$A:$A),"")</f>
        <v>0</v>
      </c>
      <c r="EP124">
        <f>COUNTIFS('DRAFT 2'!$D:$D,$B124,'DRAFT 2'!$A:$A,"&gt;="&amp;DATE(2026,5,1),'DRAFT 2'!$A:$A,"&lt;="&amp;DATE(2026,5,7))</f>
        <v>0</v>
      </c>
      <c r="EQ124">
        <f>COUNTIFS('DRAFT 2'!$D:$D,$B124,'DRAFT 2'!$A:$A,"&gt;="&amp;DATE(2026,5,8),'DRAFT 2'!$A:$A,"&lt;="&amp;DATE(2026,5,14))</f>
        <v>0</v>
      </c>
      <c r="ER124">
        <f>COUNTIFS('DRAFT 2'!$D:$D,$B124,'DRAFT 2'!$A:$A,"&gt;="&amp;DATE(2026,5,15),'DRAFT 2'!$A:$A,"&lt;="&amp;DATE(2026,5,21))</f>
        <v>0</v>
      </c>
      <c r="ES124">
        <f>COUNTIFS('DRAFT 2'!$D:$D,$B124,'DRAFT 2'!$A:$A,"&gt;="&amp;DATE(2026,5,22),'DRAFT 2'!$A:$A,"&lt;"&amp;DATE(2026,IF(5=12,5+1,5+1),1))</f>
        <v>0</v>
      </c>
      <c r="ET124">
        <f t="shared" si="48"/>
        <v>0</v>
      </c>
      <c r="FD124">
        <f>IFERROR(LOOKUP(2,1/('DRAFT 2'!$D:$D=$B124)*('DRAFT 2'!$A:$A&gt;=DATE(2026,6,1))*('DRAFT 2'!$A:$A&lt;DATE(2026,IF(6=12,6+1,6+1),1)),'DRAFT 2'!$A:$A),"")</f>
        <v>0</v>
      </c>
      <c r="FE124">
        <f>COUNTIFS('DRAFT 2'!$D:$D,$B124,'DRAFT 2'!$A:$A,"&gt;="&amp;DATE(2026,6,1),'DRAFT 2'!$A:$A,"&lt;="&amp;DATE(2026,6,7))</f>
        <v>0</v>
      </c>
      <c r="FF124">
        <f>COUNTIFS('DRAFT 2'!$D:$D,$B124,'DRAFT 2'!$A:$A,"&gt;="&amp;DATE(2026,6,8),'DRAFT 2'!$A:$A,"&lt;="&amp;DATE(2026,6,14))</f>
        <v>0</v>
      </c>
      <c r="FG124">
        <f>COUNTIFS('DRAFT 2'!$D:$D,$B124,'DRAFT 2'!$A:$A,"&gt;="&amp;DATE(2026,6,15),'DRAFT 2'!$A:$A,"&lt;="&amp;DATE(2026,6,21))</f>
        <v>0</v>
      </c>
      <c r="FH124">
        <f>COUNTIFS('DRAFT 2'!$D:$D,$B124,'DRAFT 2'!$A:$A,"&gt;="&amp;DATE(2026,6,22),'DRAFT 2'!$A:$A,"&lt;"&amp;DATE(2026,IF(6=12,6+1,6+1),1))</f>
        <v>0</v>
      </c>
      <c r="FI124">
        <f t="shared" si="49"/>
        <v>0</v>
      </c>
      <c r="FT124">
        <f>IFERROR(LOOKUP(2,1/('DRAFT 2'!$D:$D=$B124)*('DRAFT 2'!$A:$A&gt;=DATE(2026,7,1))*('DRAFT 2'!$A:$A&lt;DATE(2026,IF(7=12,7+1,7+1),1)),'DRAFT 2'!$A:$A),"")</f>
        <v>0</v>
      </c>
      <c r="FU124">
        <f>COUNTIFS('DRAFT 2'!$D:$D,$B124,'DRAFT 2'!$A:$A,"&gt;="&amp;DATE(2026,7,1),'DRAFT 2'!$A:$A,"&lt;="&amp;DATE(2026,7,7))</f>
        <v>0</v>
      </c>
      <c r="FV124">
        <f>COUNTIFS('DRAFT 2'!$D:$D,$B124,'DRAFT 2'!$A:$A,"&gt;="&amp;DATE(2026,7,8),'DRAFT 2'!$A:$A,"&lt;="&amp;DATE(2026,7,14))</f>
        <v>0</v>
      </c>
      <c r="FW124">
        <f>COUNTIFS('DRAFT 2'!$D:$D,$B124,'DRAFT 2'!$A:$A,"&gt;="&amp;DATE(2026,7,15),'DRAFT 2'!$A:$A,"&lt;="&amp;DATE(2026,7,21))</f>
        <v>0</v>
      </c>
      <c r="FX124">
        <f>COUNTIFS('DRAFT 2'!$D:$D,$B124,'DRAFT 2'!$A:$A,"&gt;="&amp;DATE(2026,7,22),'DRAFT 2'!$A:$A,"&lt;"&amp;DATE(2026,IF(7=12,7+1,7+1),1))</f>
        <v>0</v>
      </c>
      <c r="FY124">
        <f t="shared" si="50"/>
        <v>0</v>
      </c>
      <c r="GI124">
        <f>IFERROR(LOOKUP(2,1/('DRAFT 2'!$D:$D=$B124)*('DRAFT 2'!$A:$A&gt;=DATE(2026,8,1))*('DRAFT 2'!$A:$A&lt;DATE(2026,IF(8=12,8+1,8+1),1)),'DRAFT 2'!$A:$A),"")</f>
        <v>0</v>
      </c>
      <c r="GJ124">
        <f>COUNTIFS('DRAFT 2'!$D:$D,$B124,'DRAFT 2'!$A:$A,"&gt;="&amp;DATE(2026,8,1),'DRAFT 2'!$A:$A,"&lt;="&amp;DATE(2026,8,7))</f>
        <v>0</v>
      </c>
      <c r="GK124">
        <f>COUNTIFS('DRAFT 2'!$D:$D,$B124,'DRAFT 2'!$A:$A,"&gt;="&amp;DATE(2026,8,8),'DRAFT 2'!$A:$A,"&lt;="&amp;DATE(2026,8,14))</f>
        <v>0</v>
      </c>
      <c r="GL124">
        <f>COUNTIFS('DRAFT 2'!$D:$D,$B124,'DRAFT 2'!$A:$A,"&gt;="&amp;DATE(2026,8,15),'DRAFT 2'!$A:$A,"&lt;="&amp;DATE(2026,8,21))</f>
        <v>0</v>
      </c>
      <c r="GM124">
        <f>COUNTIFS('DRAFT 2'!$D:$D,$B124,'DRAFT 2'!$A:$A,"&gt;="&amp;DATE(2026,8,22),'DRAFT 2'!$A:$A,"&lt;"&amp;DATE(2026,IF(8=12,8+1,8+1),1))</f>
        <v>0</v>
      </c>
      <c r="GN124">
        <f t="shared" si="51"/>
        <v>0</v>
      </c>
      <c r="GX124">
        <f>IFERROR(LOOKUP(2,1/('DRAFT 2'!$D:$D=$B124)*('DRAFT 2'!$A:$A&gt;=DATE(2026,9,1))*('DRAFT 2'!$A:$A&lt;DATE(2026,IF(9=12,9+1,9+1),1)),'DRAFT 2'!$A:$A),"")</f>
        <v>0</v>
      </c>
      <c r="GY124">
        <f>COUNTIFS('DRAFT 2'!$D:$D,$B124,'DRAFT 2'!$A:$A,"&gt;="&amp;DATE(2026,9,1),'DRAFT 2'!$A:$A,"&lt;="&amp;DATE(2026,9,7))</f>
        <v>0</v>
      </c>
      <c r="GZ124">
        <f>COUNTIFS('DRAFT 2'!$D:$D,$B124,'DRAFT 2'!$A:$A,"&gt;="&amp;DATE(2026,9,8),'DRAFT 2'!$A:$A,"&lt;="&amp;DATE(2026,9,14))</f>
        <v>0</v>
      </c>
      <c r="HA124">
        <f>COUNTIFS('DRAFT 2'!$D:$D,$B124,'DRAFT 2'!$A:$A,"&gt;="&amp;DATE(2026,9,15),'DRAFT 2'!$A:$A,"&lt;="&amp;DATE(2026,9,21))</f>
        <v>0</v>
      </c>
      <c r="HB124">
        <f>COUNTIFS('DRAFT 2'!$D:$D,$B124,'DRAFT 2'!$A:$A,"&gt;="&amp;DATE(2026,9,22),'DRAFT 2'!$A:$A,"&lt;"&amp;DATE(2026,IF(9=12,9+1,9+1),1))</f>
        <v>0</v>
      </c>
      <c r="HC124">
        <f t="shared" si="52"/>
        <v>0</v>
      </c>
      <c r="HN124">
        <f>IFERROR(LOOKUP(2,1/('DRAFT 2'!$D:$D=$B124)*('DRAFT 2'!$A:$A&gt;=DATE(2026,10,1))*('DRAFT 2'!$A:$A&lt;DATE(2026,IF(10=12,10+1,10+1),1)),'DRAFT 2'!$A:$A),"")</f>
        <v>0</v>
      </c>
      <c r="HO124">
        <f>COUNTIFS('DRAFT 2'!$D:$D,$B124,'DRAFT 2'!$A:$A,"&gt;="&amp;DATE(2026,10,1),'DRAFT 2'!$A:$A,"&lt;="&amp;DATE(2026,10,7))</f>
        <v>0</v>
      </c>
      <c r="HP124">
        <f>COUNTIFS('DRAFT 2'!$D:$D,$B124,'DRAFT 2'!$A:$A,"&gt;="&amp;DATE(2026,10,8),'DRAFT 2'!$A:$A,"&lt;="&amp;DATE(2026,10,14))</f>
        <v>0</v>
      </c>
      <c r="HQ124">
        <f>COUNTIFS('DRAFT 2'!$D:$D,$B124,'DRAFT 2'!$A:$A,"&gt;="&amp;DATE(2026,10,15),'DRAFT 2'!$A:$A,"&lt;="&amp;DATE(2026,10,21))</f>
        <v>0</v>
      </c>
      <c r="HR124">
        <f>COUNTIFS('DRAFT 2'!$D:$D,$B124,'DRAFT 2'!$A:$A,"&gt;="&amp;DATE(2026,10,22),'DRAFT 2'!$A:$A,"&lt;"&amp;DATE(2026,IF(10=12,10+1,10+1),1))</f>
        <v>0</v>
      </c>
      <c r="HS124">
        <f t="shared" si="53"/>
        <v>0</v>
      </c>
      <c r="IC124">
        <f>IFERROR(LOOKUP(2,1/('DRAFT 2'!$D:$D=$B124)*('DRAFT 2'!$A:$A&gt;=DATE(2026,11,1))*('DRAFT 2'!$A:$A&lt;DATE(2026,IF(11=12,11+1,11+1),1)),'DRAFT 2'!$A:$A),"")</f>
        <v>0</v>
      </c>
      <c r="ID124">
        <f>COUNTIFS('DRAFT 2'!$D:$D,$B124,'DRAFT 2'!$A:$A,"&gt;="&amp;DATE(2026,11,1),'DRAFT 2'!$A:$A,"&lt;="&amp;DATE(2026,11,7))</f>
        <v>0</v>
      </c>
      <c r="IE124">
        <f>COUNTIFS('DRAFT 2'!$D:$D,$B124,'DRAFT 2'!$A:$A,"&gt;="&amp;DATE(2026,11,8),'DRAFT 2'!$A:$A,"&lt;="&amp;DATE(2026,11,14))</f>
        <v>0</v>
      </c>
      <c r="IF124">
        <f>COUNTIFS('DRAFT 2'!$D:$D,$B124,'DRAFT 2'!$A:$A,"&gt;="&amp;DATE(2026,11,15),'DRAFT 2'!$A:$A,"&lt;="&amp;DATE(2026,11,21))</f>
        <v>0</v>
      </c>
      <c r="IG124">
        <f>COUNTIFS('DRAFT 2'!$D:$D,$B124,'DRAFT 2'!$A:$A,"&gt;="&amp;DATE(2026,11,22),'DRAFT 2'!$A:$A,"&lt;"&amp;DATE(2026,IF(11=12,11+1,11+1),1))</f>
        <v>0</v>
      </c>
      <c r="IH124">
        <f t="shared" si="54"/>
        <v>0</v>
      </c>
      <c r="IR124">
        <f>IFERROR(LOOKUP(2,1/('DRAFT 2'!$D:$D=$B124)*('DRAFT 2'!$A:$A&gt;=DATE(2026,12,1))*('DRAFT 2'!$A:$A&lt;DATE(2026,IF(12=12,12+1,12+1),1)),'DRAFT 2'!$A:$A),"")</f>
        <v>0</v>
      </c>
      <c r="IS124">
        <f>COUNTIFS('DRAFT 2'!$D:$D,$B124,'DRAFT 2'!$A:$A,"&gt;="&amp;DATE(2026,12,1),'DRAFT 2'!$A:$A,"&lt;="&amp;DATE(2026,12,7))</f>
        <v>0</v>
      </c>
      <c r="IT124">
        <f>COUNTIFS('DRAFT 2'!$D:$D,$B124,'DRAFT 2'!$A:$A,"&gt;="&amp;DATE(2026,12,8),'DRAFT 2'!$A:$A,"&lt;="&amp;DATE(2026,12,14))</f>
        <v>0</v>
      </c>
      <c r="IU124">
        <f>COUNTIFS('DRAFT 2'!$D:$D,$B124,'DRAFT 2'!$A:$A,"&gt;="&amp;DATE(2026,12,15),'DRAFT 2'!$A:$A,"&lt;="&amp;DATE(2026,12,21))</f>
        <v>0</v>
      </c>
      <c r="IV124">
        <f>COUNTIFS('DRAFT 2'!$D:$D,$B124,'DRAFT 2'!$A:$A,"&gt;="&amp;DATE(2026,12,22),'DRAFT 2'!$A:$A,"&lt;"&amp;DATE(2026,IF(12=12,12+1,12+1),1))</f>
        <v>0</v>
      </c>
      <c r="IW124">
        <f t="shared" si="55"/>
        <v>0</v>
      </c>
    </row>
    <row r="125" spans="1:257" x14ac:dyDescent="0.3">
      <c r="A125" t="str">
        <f>IFERROR(INDEX('DRAFT 1'!$A:$A,MATCH($B125,'DRAFT 1'!$B:$B,0)),"")</f>
        <v/>
      </c>
      <c r="C125" t="str">
        <f>IFERROR(INDEX('DRAFT 1'!$C:$C,MATCH($B125,'DRAFT 1'!$B:$B,0)),"")</f>
        <v/>
      </c>
      <c r="D125" t="str">
        <f>IFERROR(INDEX('DRAFT 1'!$D:$D,MATCH($B125,'DRAFT 1'!$B:$B,0)),"")</f>
        <v/>
      </c>
      <c r="E125" t="str">
        <f>IFERROR(INDEX('DRAFT 1'!$E:$E,MATCH($B125,'DRAFT 1'!$B:$B,0)),"")</f>
        <v/>
      </c>
      <c r="F125" t="str">
        <f>IFERROR(INDEX('DRAFT 1'!$F:$F,MATCH($B125,'DRAFT 1'!$B:$B,0)),"")</f>
        <v/>
      </c>
      <c r="G125" t="str">
        <f>IFERROR(INDEX('DRAFT 1'!$G:$G,MATCH($B125,'DRAFT 1'!$B:$B,0)),"")</f>
        <v/>
      </c>
      <c r="H125" t="str">
        <f>IFERROR(INDEX('DRAFT 1'!$H:$H,MATCH($B125,'DRAFT 1'!$B:$B,0)),"")</f>
        <v/>
      </c>
      <c r="I125" t="str">
        <f>IFERROR(INDEX('DRAFT 1'!$I:$I,MATCH($B125,'DRAFT 1'!$B:$B,0)),"")</f>
        <v/>
      </c>
      <c r="K125" t="str">
        <f>IFERROR(INDEX('DRAFT 1'!$AL:$AL,MATCH($B125,'DRAFT 1'!$B:$B,0)),"")</f>
        <v/>
      </c>
      <c r="L125" t="str">
        <f>IFERROR(INDEX('DRAFT 1'!$J:$J,MATCH($B125,'DRAFT 1'!$B:$B,0)),"")</f>
        <v/>
      </c>
      <c r="M125" t="str">
        <f>IFERROR(INDEX('DRAFT 1'!$K:$K,MATCH($B125,'DRAFT 1'!$B:$B,0)),"")</f>
        <v/>
      </c>
      <c r="P125" t="str">
        <f>IFERROR(INDEX('DRAFT 1'!$L:$L,MATCH($B125,'DRAFT 1'!$B:$B,0)),"")</f>
        <v/>
      </c>
      <c r="Q125" t="str">
        <f>IFERROR(INDEX('DRAFT 1'!$M:$M,MATCH($B125,'DRAFT 1'!$B:$B,0)),"")</f>
        <v/>
      </c>
      <c r="R125" t="str">
        <f>IFERROR(INDEX('DRAFT 1'!$N:$N,MATCH($B125,'DRAFT 1'!$B:$B,0)),"")</f>
        <v/>
      </c>
      <c r="S125" t="str">
        <f>IFERROR(INDEX('DRAFT 1'!$O:$O,MATCH($B125,'DRAFT 1'!$B:$B,0)),"")</f>
        <v/>
      </c>
      <c r="T125" t="str">
        <f>IFERROR(INDEX('DRAFT 1'!$P:$P,MATCH($B125,'DRAFT 1'!$B:$B,0)),"")</f>
        <v/>
      </c>
      <c r="U125" t="str">
        <f>IFERROR(INDEX('DRAFT 1'!$Q:$Q,MATCH($B125,'DRAFT 1'!$B:$B,0)),"")</f>
        <v/>
      </c>
      <c r="V125" t="str">
        <f>IFERROR(INDEX('DRAFT 1'!$R:$R,MATCH($B125,'DRAFT 1'!$B:$B,0)),"")</f>
        <v/>
      </c>
      <c r="W125" t="str">
        <f>IFERROR(INDEX('DRAFT 1'!$S:$S,MATCH($B125,'DRAFT 1'!$B:$B,0)),"")</f>
        <v/>
      </c>
      <c r="X125" t="str">
        <f>IFERROR(INDEX('DRAFT 1'!$T:$T,MATCH($B125,'DRAFT 1'!$B:$B,0)),"")</f>
        <v/>
      </c>
      <c r="Z125" t="str">
        <f>IFERROR(INDEX('DRAFT 1'!$U:$U,MATCH($B125,'DRAFT 1'!$B:$B,0)),"")</f>
        <v/>
      </c>
      <c r="AA125" t="str">
        <f>IFERROR(INDEX('DRAFT 1'!$V:$V,MATCH($B125,'DRAFT 1'!$B:$B,0)),"")</f>
        <v/>
      </c>
      <c r="AB125" t="str">
        <f>IFERROR(INDEX('DRAFT 1'!$W:$W,MATCH($B125,'DRAFT 1'!$B:$B,0)),"")</f>
        <v/>
      </c>
      <c r="AC125" t="str">
        <f>IFERROR(INDEX('DRAFT 1'!$X:$X,MATCH($B125,'DRAFT 1'!$B:$B,0)),"")</f>
        <v/>
      </c>
      <c r="AD125" t="str">
        <f>IFERROR(INDEX('DRAFT 1'!$Y:$Y,MATCH($B125,'DRAFT 1'!$B:$B,0)),"")</f>
        <v/>
      </c>
      <c r="AE125" t="str">
        <f>IFERROR(INDEX('DRAFT 1'!$Z:$Z,MATCH($B125,'DRAFT 1'!$B:$B,0)),"")</f>
        <v/>
      </c>
      <c r="AF125" t="str">
        <f>IFERROR(INDEX('DRAFT 1'!$AA:$AA,MATCH($B125,'DRAFT 1'!$B:$B,0)),"")</f>
        <v/>
      </c>
      <c r="AG125" t="str">
        <f>IFERROR(INDEX('DRAFT 1'!$AB:$AB,MATCH($B125,'DRAFT 1'!$B:$B,0)),"")</f>
        <v/>
      </c>
      <c r="AH125" t="str">
        <f>IFERROR(INDEX('DRAFT 1'!$AC:$AC,MATCH($B125,'DRAFT 1'!$B:$B,0)),"")</f>
        <v/>
      </c>
      <c r="AI125" t="str">
        <f>IFERROR(INDEX('DRAFT 1'!$AD:$AD,MATCH($B125,'DRAFT 1'!$B:$B,0)),"")</f>
        <v/>
      </c>
      <c r="AJ125" t="str">
        <f>IFERROR(INDEX('DRAFT 1'!$AE:$AE,MATCH($B125,'DRAFT 1'!$B:$B,0)),"")</f>
        <v/>
      </c>
      <c r="AK125" t="str">
        <f>IFERROR(INDEX('DRAFT 1'!$AG:$AG,MATCH($B125,'DRAFT 1'!$B:$B,0)),"")</f>
        <v/>
      </c>
      <c r="AL125" t="str">
        <f>IFERROR(INDEX('DRAFT 1'!$AH:$AH,MATCH($B125,'DRAFT 1'!$B:$B,0)),"")</f>
        <v/>
      </c>
      <c r="AM125" t="str">
        <f>IFERROR(INDEX('DRAFT 1'!$AI:$AI,MATCH($B125,'DRAFT 1'!$B:$B,0)),"")</f>
        <v/>
      </c>
      <c r="AN125" t="str">
        <f>IFERROR(INDEX('DRAFT 1'!$AJ:$AJ,MATCH($B125,'DRAFT 1'!$B:$B,0)),"")</f>
        <v/>
      </c>
      <c r="AO125">
        <f t="shared" si="42"/>
        <v>0</v>
      </c>
      <c r="AP125" t="str">
        <f>IFERROR(INDEX('DRAFT 1'!$AK:$AK,MATCH($B125,'DRAFT 1'!$B:$B,0)),"")</f>
        <v/>
      </c>
      <c r="AR125">
        <f>IFERROR(LOOKUP(2,1/('DRAFT 2'!$D:$D=$B125),'DRAFT 2'!$I:$I),"")</f>
        <v>0</v>
      </c>
      <c r="AS125">
        <f>IFERROR(LOOKUP(2,1/('DRAFT 2'!$D:$D=$B125),'DRAFT 2'!$T:$T),"")</f>
        <v>0</v>
      </c>
      <c r="AT125">
        <f>IFERROR(LOOKUP(2,1/('DRAFT 2'!$D:$D=$B125),'DRAFT 2'!$A:$A),"")</f>
        <v>0</v>
      </c>
      <c r="AU125">
        <f>IFERROR(LOOKUP(2,1/('DRAFT 2'!$D:$D=$B125),'DRAFT 2'!$R:$R),"")</f>
        <v>0</v>
      </c>
      <c r="AV125">
        <f>IFERROR(LOOKUP(2,1/('DRAFT 2'!$D:$D=$B125),'DRAFT 2'!$S:$S),"")</f>
        <v>0</v>
      </c>
      <c r="AX125">
        <f>IFERROR(LOOKUP(2,1/('DRAFT 2'!$D:$D=$B125),'DRAFT 2'!$M:$M),"")</f>
        <v>0</v>
      </c>
      <c r="AY125">
        <f>IFERROR(LOOKUP(2,1/('DRAFT 2'!$D:$D=$B125),'DRAFT 2'!$K:$K),"")</f>
        <v>0</v>
      </c>
      <c r="BG125">
        <f>IFERROR(LOOKUP(2,1/('DRAFT 2'!$D:$D=$B125),'DRAFT 2'!$U:$U),"")</f>
        <v>0</v>
      </c>
      <c r="BH125">
        <f>IFERROR(LOOKUP(2,1/('DRAFT 2'!$D:$D=$B125),'DRAFT 2'!$V:$V),"")</f>
        <v>0</v>
      </c>
      <c r="CE125" t="str">
        <f t="shared" si="43"/>
        <v/>
      </c>
      <c r="CF125">
        <f>IFERROR(LOOKUP(2,1/('DRAFT 2'!$D:$D=$B125)*('DRAFT 2'!$A:$A&gt;=DATE(2026,1,1))*('DRAFT 2'!$A:$A&lt;DATE(2026,IF(1=12,1+1,1+1),1)),'DRAFT 2'!$A:$A),"")</f>
        <v>0</v>
      </c>
      <c r="CG125">
        <f>COUNTIFS('DRAFT 2'!$D:$D,$B125,'DRAFT 2'!$A:$A,"&gt;="&amp;DATE(2026,1,1),'DRAFT 2'!$A:$A,"&lt;="&amp;DATE(2026,1,7))</f>
        <v>0</v>
      </c>
      <c r="CH125">
        <f>COUNTIFS('DRAFT 2'!$D:$D,$B125,'DRAFT 2'!$A:$A,"&gt;="&amp;DATE(2026,1,8),'DRAFT 2'!$A:$A,"&lt;="&amp;DATE(2026,1,14))</f>
        <v>0</v>
      </c>
      <c r="CI125">
        <f>COUNTIFS('DRAFT 2'!$D:$D,$B125,'DRAFT 2'!$A:$A,"&gt;="&amp;DATE(2026,1,15),'DRAFT 2'!$A:$A,"&lt;="&amp;DATE(2026,1,21))</f>
        <v>0</v>
      </c>
      <c r="CJ125">
        <f>COUNTIFS('DRAFT 2'!$D:$D,$B125,'DRAFT 2'!$A:$A,"&gt;="&amp;DATE(2026,1,22),'DRAFT 2'!$A:$A,"&lt;"&amp;DATE(2026,IF(1=12,1+1,1+1),1))</f>
        <v>0</v>
      </c>
      <c r="CK125">
        <f t="shared" si="44"/>
        <v>0</v>
      </c>
      <c r="CT125">
        <v>0</v>
      </c>
      <c r="CU125">
        <f>IFERROR(LOOKUP(2,1/('DRAFT 2'!$D:$D=$B125)*('DRAFT 2'!$A:$A&gt;=DATE(2026,2,1))*('DRAFT 2'!$A:$A&lt;DATE(2026,IF(2=12,2+1,2+1),1)),'DRAFT 2'!$A:$A),"")</f>
        <v>0</v>
      </c>
      <c r="CV125">
        <f>COUNTIFS('DRAFT 2'!$D:$D,$B125,'DRAFT 2'!$A:$A,"&gt;="&amp;DATE(2026,2,1),'DRAFT 2'!$A:$A,"&lt;="&amp;DATE(2026,2,7))</f>
        <v>0</v>
      </c>
      <c r="CW125">
        <f>COUNTIFS('DRAFT 2'!$D:$D,$B125,'DRAFT 2'!$A:$A,"&gt;="&amp;DATE(2026,2,8),'DRAFT 2'!$A:$A,"&lt;="&amp;DATE(2026,2,14))</f>
        <v>0</v>
      </c>
      <c r="CX125">
        <f>COUNTIFS('DRAFT 2'!$D:$D,$B125,'DRAFT 2'!$A:$A,"&gt;="&amp;DATE(2026,2,15),'DRAFT 2'!$A:$A,"&lt;="&amp;DATE(2026,2,21))</f>
        <v>0</v>
      </c>
      <c r="CY125">
        <f>COUNTIFS('DRAFT 2'!$D:$D,$B125,'DRAFT 2'!$A:$A,"&gt;="&amp;DATE(2026,2,22),'DRAFT 2'!$A:$A,"&lt;"&amp;DATE(2026,IF(2=12,2+1,2+1),1))</f>
        <v>0</v>
      </c>
      <c r="CZ125">
        <f t="shared" si="45"/>
        <v>0</v>
      </c>
      <c r="DJ125">
        <f>IFERROR(LOOKUP(2,1/('DRAFT 2'!$D:$D=$B125)*('DRAFT 2'!$A:$A&gt;=DATE(2026,3,1))*('DRAFT 2'!$A:$A&lt;DATE(2026,IF(3=12,3+1,3+1),1)),'DRAFT 2'!$A:$A),"")</f>
        <v>0</v>
      </c>
      <c r="DK125">
        <f>COUNTIFS('DRAFT 2'!$D:$D,$B125,'DRAFT 2'!$A:$A,"&gt;="&amp;DATE(2026,3,1),'DRAFT 2'!$A:$A,"&lt;="&amp;DATE(2026,3,7))</f>
        <v>0</v>
      </c>
      <c r="DL125">
        <f>COUNTIFS('DRAFT 2'!$D:$D,$B125,'DRAFT 2'!$A:$A,"&gt;="&amp;DATE(2026,3,8),'DRAFT 2'!$A:$A,"&lt;="&amp;DATE(2026,3,14))</f>
        <v>0</v>
      </c>
      <c r="DM125">
        <f>COUNTIFS('DRAFT 2'!$D:$D,$B125,'DRAFT 2'!$A:$A,"&gt;="&amp;DATE(2026,3,15),'DRAFT 2'!$A:$A,"&lt;="&amp;DATE(2026,3,21))</f>
        <v>0</v>
      </c>
      <c r="DN125">
        <f>COUNTIFS('DRAFT 2'!$D:$D,$B125,'DRAFT 2'!$A:$A,"&gt;="&amp;DATE(2026,3,22),'DRAFT 2'!$A:$A,"&lt;"&amp;DATE(2026,IF(3=12,3+1,3+1),1))</f>
        <v>0</v>
      </c>
      <c r="DO125">
        <f t="shared" si="46"/>
        <v>0</v>
      </c>
      <c r="DZ125">
        <f>IFERROR(LOOKUP(2,1/('DRAFT 2'!$D:$D=$B125)*('DRAFT 2'!$A:$A&gt;=DATE(2026,4,1))*('DRAFT 2'!$A:$A&lt;DATE(2026,IF(4=12,4+1,4+1),1)),'DRAFT 2'!$A:$A),"")</f>
        <v>0</v>
      </c>
      <c r="EA125">
        <f>COUNTIFS('DRAFT 2'!$D:$D,$B125,'DRAFT 2'!$A:$A,"&gt;="&amp;DATE(2026,4,1),'DRAFT 2'!$A:$A,"&lt;="&amp;DATE(2026,4,7))</f>
        <v>0</v>
      </c>
      <c r="EB125">
        <f>COUNTIFS('DRAFT 2'!$D:$D,$B125,'DRAFT 2'!$A:$A,"&gt;="&amp;DATE(2026,4,8),'DRAFT 2'!$A:$A,"&lt;="&amp;DATE(2026,4,14))</f>
        <v>0</v>
      </c>
      <c r="EC125">
        <f>COUNTIFS('DRAFT 2'!$D:$D,$B125,'DRAFT 2'!$A:$A,"&gt;="&amp;DATE(2026,4,15),'DRAFT 2'!$A:$A,"&lt;="&amp;DATE(2026,4,21))</f>
        <v>0</v>
      </c>
      <c r="ED125">
        <f>COUNTIFS('DRAFT 2'!$D:$D,$B125,'DRAFT 2'!$A:$A,"&gt;="&amp;DATE(2026,4,22),'DRAFT 2'!$A:$A,"&lt;"&amp;DATE(2026,IF(4=12,4+1,4+1),1))</f>
        <v>0</v>
      </c>
      <c r="EE125">
        <f t="shared" si="47"/>
        <v>0</v>
      </c>
      <c r="EO125">
        <f>IFERROR(LOOKUP(2,1/('DRAFT 2'!$D:$D=$B125)*('DRAFT 2'!$A:$A&gt;=DATE(2026,5,1))*('DRAFT 2'!$A:$A&lt;DATE(2026,IF(5=12,5+1,5+1),1)),'DRAFT 2'!$A:$A),"")</f>
        <v>0</v>
      </c>
      <c r="EP125">
        <f>COUNTIFS('DRAFT 2'!$D:$D,$B125,'DRAFT 2'!$A:$A,"&gt;="&amp;DATE(2026,5,1),'DRAFT 2'!$A:$A,"&lt;="&amp;DATE(2026,5,7))</f>
        <v>0</v>
      </c>
      <c r="EQ125">
        <f>COUNTIFS('DRAFT 2'!$D:$D,$B125,'DRAFT 2'!$A:$A,"&gt;="&amp;DATE(2026,5,8),'DRAFT 2'!$A:$A,"&lt;="&amp;DATE(2026,5,14))</f>
        <v>0</v>
      </c>
      <c r="ER125">
        <f>COUNTIFS('DRAFT 2'!$D:$D,$B125,'DRAFT 2'!$A:$A,"&gt;="&amp;DATE(2026,5,15),'DRAFT 2'!$A:$A,"&lt;="&amp;DATE(2026,5,21))</f>
        <v>0</v>
      </c>
      <c r="ES125">
        <f>COUNTIFS('DRAFT 2'!$D:$D,$B125,'DRAFT 2'!$A:$A,"&gt;="&amp;DATE(2026,5,22),'DRAFT 2'!$A:$A,"&lt;"&amp;DATE(2026,IF(5=12,5+1,5+1),1))</f>
        <v>0</v>
      </c>
      <c r="ET125">
        <f t="shared" si="48"/>
        <v>0</v>
      </c>
      <c r="FD125">
        <f>IFERROR(LOOKUP(2,1/('DRAFT 2'!$D:$D=$B125)*('DRAFT 2'!$A:$A&gt;=DATE(2026,6,1))*('DRAFT 2'!$A:$A&lt;DATE(2026,IF(6=12,6+1,6+1),1)),'DRAFT 2'!$A:$A),"")</f>
        <v>0</v>
      </c>
      <c r="FE125">
        <f>COUNTIFS('DRAFT 2'!$D:$D,$B125,'DRAFT 2'!$A:$A,"&gt;="&amp;DATE(2026,6,1),'DRAFT 2'!$A:$A,"&lt;="&amp;DATE(2026,6,7))</f>
        <v>0</v>
      </c>
      <c r="FF125">
        <f>COUNTIFS('DRAFT 2'!$D:$D,$B125,'DRAFT 2'!$A:$A,"&gt;="&amp;DATE(2026,6,8),'DRAFT 2'!$A:$A,"&lt;="&amp;DATE(2026,6,14))</f>
        <v>0</v>
      </c>
      <c r="FG125">
        <f>COUNTIFS('DRAFT 2'!$D:$D,$B125,'DRAFT 2'!$A:$A,"&gt;="&amp;DATE(2026,6,15),'DRAFT 2'!$A:$A,"&lt;="&amp;DATE(2026,6,21))</f>
        <v>0</v>
      </c>
      <c r="FH125">
        <f>COUNTIFS('DRAFT 2'!$D:$D,$B125,'DRAFT 2'!$A:$A,"&gt;="&amp;DATE(2026,6,22),'DRAFT 2'!$A:$A,"&lt;"&amp;DATE(2026,IF(6=12,6+1,6+1),1))</f>
        <v>0</v>
      </c>
      <c r="FI125">
        <f t="shared" si="49"/>
        <v>0</v>
      </c>
      <c r="FT125">
        <f>IFERROR(LOOKUP(2,1/('DRAFT 2'!$D:$D=$B125)*('DRAFT 2'!$A:$A&gt;=DATE(2026,7,1))*('DRAFT 2'!$A:$A&lt;DATE(2026,IF(7=12,7+1,7+1),1)),'DRAFT 2'!$A:$A),"")</f>
        <v>0</v>
      </c>
      <c r="FU125">
        <f>COUNTIFS('DRAFT 2'!$D:$D,$B125,'DRAFT 2'!$A:$A,"&gt;="&amp;DATE(2026,7,1),'DRAFT 2'!$A:$A,"&lt;="&amp;DATE(2026,7,7))</f>
        <v>0</v>
      </c>
      <c r="FV125">
        <f>COUNTIFS('DRAFT 2'!$D:$D,$B125,'DRAFT 2'!$A:$A,"&gt;="&amp;DATE(2026,7,8),'DRAFT 2'!$A:$A,"&lt;="&amp;DATE(2026,7,14))</f>
        <v>0</v>
      </c>
      <c r="FW125">
        <f>COUNTIFS('DRAFT 2'!$D:$D,$B125,'DRAFT 2'!$A:$A,"&gt;="&amp;DATE(2026,7,15),'DRAFT 2'!$A:$A,"&lt;="&amp;DATE(2026,7,21))</f>
        <v>0</v>
      </c>
      <c r="FX125">
        <f>COUNTIFS('DRAFT 2'!$D:$D,$B125,'DRAFT 2'!$A:$A,"&gt;="&amp;DATE(2026,7,22),'DRAFT 2'!$A:$A,"&lt;"&amp;DATE(2026,IF(7=12,7+1,7+1),1))</f>
        <v>0</v>
      </c>
      <c r="FY125">
        <f t="shared" si="50"/>
        <v>0</v>
      </c>
      <c r="GI125">
        <f>IFERROR(LOOKUP(2,1/('DRAFT 2'!$D:$D=$B125)*('DRAFT 2'!$A:$A&gt;=DATE(2026,8,1))*('DRAFT 2'!$A:$A&lt;DATE(2026,IF(8=12,8+1,8+1),1)),'DRAFT 2'!$A:$A),"")</f>
        <v>0</v>
      </c>
      <c r="GJ125">
        <f>COUNTIFS('DRAFT 2'!$D:$D,$B125,'DRAFT 2'!$A:$A,"&gt;="&amp;DATE(2026,8,1),'DRAFT 2'!$A:$A,"&lt;="&amp;DATE(2026,8,7))</f>
        <v>0</v>
      </c>
      <c r="GK125">
        <f>COUNTIFS('DRAFT 2'!$D:$D,$B125,'DRAFT 2'!$A:$A,"&gt;="&amp;DATE(2026,8,8),'DRAFT 2'!$A:$A,"&lt;="&amp;DATE(2026,8,14))</f>
        <v>0</v>
      </c>
      <c r="GL125">
        <f>COUNTIFS('DRAFT 2'!$D:$D,$B125,'DRAFT 2'!$A:$A,"&gt;="&amp;DATE(2026,8,15),'DRAFT 2'!$A:$A,"&lt;="&amp;DATE(2026,8,21))</f>
        <v>0</v>
      </c>
      <c r="GM125">
        <f>COUNTIFS('DRAFT 2'!$D:$D,$B125,'DRAFT 2'!$A:$A,"&gt;="&amp;DATE(2026,8,22),'DRAFT 2'!$A:$A,"&lt;"&amp;DATE(2026,IF(8=12,8+1,8+1),1))</f>
        <v>0</v>
      </c>
      <c r="GN125">
        <f t="shared" si="51"/>
        <v>0</v>
      </c>
      <c r="GX125">
        <f>IFERROR(LOOKUP(2,1/('DRAFT 2'!$D:$D=$B125)*('DRAFT 2'!$A:$A&gt;=DATE(2026,9,1))*('DRAFT 2'!$A:$A&lt;DATE(2026,IF(9=12,9+1,9+1),1)),'DRAFT 2'!$A:$A),"")</f>
        <v>0</v>
      </c>
      <c r="GY125">
        <f>COUNTIFS('DRAFT 2'!$D:$D,$B125,'DRAFT 2'!$A:$A,"&gt;="&amp;DATE(2026,9,1),'DRAFT 2'!$A:$A,"&lt;="&amp;DATE(2026,9,7))</f>
        <v>0</v>
      </c>
      <c r="GZ125">
        <f>COUNTIFS('DRAFT 2'!$D:$D,$B125,'DRAFT 2'!$A:$A,"&gt;="&amp;DATE(2026,9,8),'DRAFT 2'!$A:$A,"&lt;="&amp;DATE(2026,9,14))</f>
        <v>0</v>
      </c>
      <c r="HA125">
        <f>COUNTIFS('DRAFT 2'!$D:$D,$B125,'DRAFT 2'!$A:$A,"&gt;="&amp;DATE(2026,9,15),'DRAFT 2'!$A:$A,"&lt;="&amp;DATE(2026,9,21))</f>
        <v>0</v>
      </c>
      <c r="HB125">
        <f>COUNTIFS('DRAFT 2'!$D:$D,$B125,'DRAFT 2'!$A:$A,"&gt;="&amp;DATE(2026,9,22),'DRAFT 2'!$A:$A,"&lt;"&amp;DATE(2026,IF(9=12,9+1,9+1),1))</f>
        <v>0</v>
      </c>
      <c r="HC125">
        <f t="shared" si="52"/>
        <v>0</v>
      </c>
      <c r="HN125">
        <f>IFERROR(LOOKUP(2,1/('DRAFT 2'!$D:$D=$B125)*('DRAFT 2'!$A:$A&gt;=DATE(2026,10,1))*('DRAFT 2'!$A:$A&lt;DATE(2026,IF(10=12,10+1,10+1),1)),'DRAFT 2'!$A:$A),"")</f>
        <v>0</v>
      </c>
      <c r="HO125">
        <f>COUNTIFS('DRAFT 2'!$D:$D,$B125,'DRAFT 2'!$A:$A,"&gt;="&amp;DATE(2026,10,1),'DRAFT 2'!$A:$A,"&lt;="&amp;DATE(2026,10,7))</f>
        <v>0</v>
      </c>
      <c r="HP125">
        <f>COUNTIFS('DRAFT 2'!$D:$D,$B125,'DRAFT 2'!$A:$A,"&gt;="&amp;DATE(2026,10,8),'DRAFT 2'!$A:$A,"&lt;="&amp;DATE(2026,10,14))</f>
        <v>0</v>
      </c>
      <c r="HQ125">
        <f>COUNTIFS('DRAFT 2'!$D:$D,$B125,'DRAFT 2'!$A:$A,"&gt;="&amp;DATE(2026,10,15),'DRAFT 2'!$A:$A,"&lt;="&amp;DATE(2026,10,21))</f>
        <v>0</v>
      </c>
      <c r="HR125">
        <f>COUNTIFS('DRAFT 2'!$D:$D,$B125,'DRAFT 2'!$A:$A,"&gt;="&amp;DATE(2026,10,22),'DRAFT 2'!$A:$A,"&lt;"&amp;DATE(2026,IF(10=12,10+1,10+1),1))</f>
        <v>0</v>
      </c>
      <c r="HS125">
        <f t="shared" si="53"/>
        <v>0</v>
      </c>
      <c r="IC125">
        <f>IFERROR(LOOKUP(2,1/('DRAFT 2'!$D:$D=$B125)*('DRAFT 2'!$A:$A&gt;=DATE(2026,11,1))*('DRAFT 2'!$A:$A&lt;DATE(2026,IF(11=12,11+1,11+1),1)),'DRAFT 2'!$A:$A),"")</f>
        <v>0</v>
      </c>
      <c r="ID125">
        <f>COUNTIFS('DRAFT 2'!$D:$D,$B125,'DRAFT 2'!$A:$A,"&gt;="&amp;DATE(2026,11,1),'DRAFT 2'!$A:$A,"&lt;="&amp;DATE(2026,11,7))</f>
        <v>0</v>
      </c>
      <c r="IE125">
        <f>COUNTIFS('DRAFT 2'!$D:$D,$B125,'DRAFT 2'!$A:$A,"&gt;="&amp;DATE(2026,11,8),'DRAFT 2'!$A:$A,"&lt;="&amp;DATE(2026,11,14))</f>
        <v>0</v>
      </c>
      <c r="IF125">
        <f>COUNTIFS('DRAFT 2'!$D:$D,$B125,'DRAFT 2'!$A:$A,"&gt;="&amp;DATE(2026,11,15),'DRAFT 2'!$A:$A,"&lt;="&amp;DATE(2026,11,21))</f>
        <v>0</v>
      </c>
      <c r="IG125">
        <f>COUNTIFS('DRAFT 2'!$D:$D,$B125,'DRAFT 2'!$A:$A,"&gt;="&amp;DATE(2026,11,22),'DRAFT 2'!$A:$A,"&lt;"&amp;DATE(2026,IF(11=12,11+1,11+1),1))</f>
        <v>0</v>
      </c>
      <c r="IH125">
        <f t="shared" si="54"/>
        <v>0</v>
      </c>
      <c r="IR125">
        <f>IFERROR(LOOKUP(2,1/('DRAFT 2'!$D:$D=$B125)*('DRAFT 2'!$A:$A&gt;=DATE(2026,12,1))*('DRAFT 2'!$A:$A&lt;DATE(2026,IF(12=12,12+1,12+1),1)),'DRAFT 2'!$A:$A),"")</f>
        <v>0</v>
      </c>
      <c r="IS125">
        <f>COUNTIFS('DRAFT 2'!$D:$D,$B125,'DRAFT 2'!$A:$A,"&gt;="&amp;DATE(2026,12,1),'DRAFT 2'!$A:$A,"&lt;="&amp;DATE(2026,12,7))</f>
        <v>0</v>
      </c>
      <c r="IT125">
        <f>COUNTIFS('DRAFT 2'!$D:$D,$B125,'DRAFT 2'!$A:$A,"&gt;="&amp;DATE(2026,12,8),'DRAFT 2'!$A:$A,"&lt;="&amp;DATE(2026,12,14))</f>
        <v>0</v>
      </c>
      <c r="IU125">
        <f>COUNTIFS('DRAFT 2'!$D:$D,$B125,'DRAFT 2'!$A:$A,"&gt;="&amp;DATE(2026,12,15),'DRAFT 2'!$A:$A,"&lt;="&amp;DATE(2026,12,21))</f>
        <v>0</v>
      </c>
      <c r="IV125">
        <f>COUNTIFS('DRAFT 2'!$D:$D,$B125,'DRAFT 2'!$A:$A,"&gt;="&amp;DATE(2026,12,22),'DRAFT 2'!$A:$A,"&lt;"&amp;DATE(2026,IF(12=12,12+1,12+1),1))</f>
        <v>0</v>
      </c>
      <c r="IW125">
        <f t="shared" si="55"/>
        <v>0</v>
      </c>
    </row>
    <row r="126" spans="1:257" x14ac:dyDescent="0.3">
      <c r="A126" t="str">
        <f>IFERROR(INDEX('DRAFT 1'!$A:$A,MATCH($B126,'DRAFT 1'!$B:$B,0)),"")</f>
        <v/>
      </c>
      <c r="C126" t="str">
        <f>IFERROR(INDEX('DRAFT 1'!$C:$C,MATCH($B126,'DRAFT 1'!$B:$B,0)),"")</f>
        <v/>
      </c>
      <c r="D126" t="str">
        <f>IFERROR(INDEX('DRAFT 1'!$D:$D,MATCH($B126,'DRAFT 1'!$B:$B,0)),"")</f>
        <v/>
      </c>
      <c r="E126" t="str">
        <f>IFERROR(INDEX('DRAFT 1'!$E:$E,MATCH($B126,'DRAFT 1'!$B:$B,0)),"")</f>
        <v/>
      </c>
      <c r="F126" t="str">
        <f>IFERROR(INDEX('DRAFT 1'!$F:$F,MATCH($B126,'DRAFT 1'!$B:$B,0)),"")</f>
        <v/>
      </c>
      <c r="G126" t="str">
        <f>IFERROR(INDEX('DRAFT 1'!$G:$G,MATCH($B126,'DRAFT 1'!$B:$B,0)),"")</f>
        <v/>
      </c>
      <c r="H126" t="str">
        <f>IFERROR(INDEX('DRAFT 1'!$H:$H,MATCH($B126,'DRAFT 1'!$B:$B,0)),"")</f>
        <v/>
      </c>
      <c r="I126" t="str">
        <f>IFERROR(INDEX('DRAFT 1'!$I:$I,MATCH($B126,'DRAFT 1'!$B:$B,0)),"")</f>
        <v/>
      </c>
      <c r="K126" t="str">
        <f>IFERROR(INDEX('DRAFT 1'!$AL:$AL,MATCH($B126,'DRAFT 1'!$B:$B,0)),"")</f>
        <v/>
      </c>
      <c r="L126" t="str">
        <f>IFERROR(INDEX('DRAFT 1'!$J:$J,MATCH($B126,'DRAFT 1'!$B:$B,0)),"")</f>
        <v/>
      </c>
      <c r="M126" t="str">
        <f>IFERROR(INDEX('DRAFT 1'!$K:$K,MATCH($B126,'DRAFT 1'!$B:$B,0)),"")</f>
        <v/>
      </c>
      <c r="P126" t="str">
        <f>IFERROR(INDEX('DRAFT 1'!$L:$L,MATCH($B126,'DRAFT 1'!$B:$B,0)),"")</f>
        <v/>
      </c>
      <c r="Q126" t="str">
        <f>IFERROR(INDEX('DRAFT 1'!$M:$M,MATCH($B126,'DRAFT 1'!$B:$B,0)),"")</f>
        <v/>
      </c>
      <c r="R126" t="str">
        <f>IFERROR(INDEX('DRAFT 1'!$N:$N,MATCH($B126,'DRAFT 1'!$B:$B,0)),"")</f>
        <v/>
      </c>
      <c r="S126" t="str">
        <f>IFERROR(INDEX('DRAFT 1'!$O:$O,MATCH($B126,'DRAFT 1'!$B:$B,0)),"")</f>
        <v/>
      </c>
      <c r="T126" t="str">
        <f>IFERROR(INDEX('DRAFT 1'!$P:$P,MATCH($B126,'DRAFT 1'!$B:$B,0)),"")</f>
        <v/>
      </c>
      <c r="U126" t="str">
        <f>IFERROR(INDEX('DRAFT 1'!$Q:$Q,MATCH($B126,'DRAFT 1'!$B:$B,0)),"")</f>
        <v/>
      </c>
      <c r="V126" t="str">
        <f>IFERROR(INDEX('DRAFT 1'!$R:$R,MATCH($B126,'DRAFT 1'!$B:$B,0)),"")</f>
        <v/>
      </c>
      <c r="W126" t="str">
        <f>IFERROR(INDEX('DRAFT 1'!$S:$S,MATCH($B126,'DRAFT 1'!$B:$B,0)),"")</f>
        <v/>
      </c>
      <c r="X126" t="str">
        <f>IFERROR(INDEX('DRAFT 1'!$T:$T,MATCH($B126,'DRAFT 1'!$B:$B,0)),"")</f>
        <v/>
      </c>
      <c r="Z126" t="str">
        <f>IFERROR(INDEX('DRAFT 1'!$U:$U,MATCH($B126,'DRAFT 1'!$B:$B,0)),"")</f>
        <v/>
      </c>
      <c r="AA126" t="str">
        <f>IFERROR(INDEX('DRAFT 1'!$V:$V,MATCH($B126,'DRAFT 1'!$B:$B,0)),"")</f>
        <v/>
      </c>
      <c r="AB126" t="str">
        <f>IFERROR(INDEX('DRAFT 1'!$W:$W,MATCH($B126,'DRAFT 1'!$B:$B,0)),"")</f>
        <v/>
      </c>
      <c r="AC126" t="str">
        <f>IFERROR(INDEX('DRAFT 1'!$X:$X,MATCH($B126,'DRAFT 1'!$B:$B,0)),"")</f>
        <v/>
      </c>
      <c r="AD126" t="str">
        <f>IFERROR(INDEX('DRAFT 1'!$Y:$Y,MATCH($B126,'DRAFT 1'!$B:$B,0)),"")</f>
        <v/>
      </c>
      <c r="AE126" t="str">
        <f>IFERROR(INDEX('DRAFT 1'!$Z:$Z,MATCH($B126,'DRAFT 1'!$B:$B,0)),"")</f>
        <v/>
      </c>
      <c r="AF126" t="str">
        <f>IFERROR(INDEX('DRAFT 1'!$AA:$AA,MATCH($B126,'DRAFT 1'!$B:$B,0)),"")</f>
        <v/>
      </c>
      <c r="AG126" t="str">
        <f>IFERROR(INDEX('DRAFT 1'!$AB:$AB,MATCH($B126,'DRAFT 1'!$B:$B,0)),"")</f>
        <v/>
      </c>
      <c r="AH126" t="str">
        <f>IFERROR(INDEX('DRAFT 1'!$AC:$AC,MATCH($B126,'DRAFT 1'!$B:$B,0)),"")</f>
        <v/>
      </c>
      <c r="AI126" t="str">
        <f>IFERROR(INDEX('DRAFT 1'!$AD:$AD,MATCH($B126,'DRAFT 1'!$B:$B,0)),"")</f>
        <v/>
      </c>
      <c r="AJ126" t="str">
        <f>IFERROR(INDEX('DRAFT 1'!$AE:$AE,MATCH($B126,'DRAFT 1'!$B:$B,0)),"")</f>
        <v/>
      </c>
      <c r="AK126" t="str">
        <f>IFERROR(INDEX('DRAFT 1'!$AG:$AG,MATCH($B126,'DRAFT 1'!$B:$B,0)),"")</f>
        <v/>
      </c>
      <c r="AL126" t="str">
        <f>IFERROR(INDEX('DRAFT 1'!$AH:$AH,MATCH($B126,'DRAFT 1'!$B:$B,0)),"")</f>
        <v/>
      </c>
      <c r="AM126" t="str">
        <f>IFERROR(INDEX('DRAFT 1'!$AI:$AI,MATCH($B126,'DRAFT 1'!$B:$B,0)),"")</f>
        <v/>
      </c>
      <c r="AN126" t="str">
        <f>IFERROR(INDEX('DRAFT 1'!$AJ:$AJ,MATCH($B126,'DRAFT 1'!$B:$B,0)),"")</f>
        <v/>
      </c>
      <c r="AO126">
        <f t="shared" si="42"/>
        <v>0</v>
      </c>
      <c r="AP126" t="str">
        <f>IFERROR(INDEX('DRAFT 1'!$AK:$AK,MATCH($B126,'DRAFT 1'!$B:$B,0)),"")</f>
        <v/>
      </c>
      <c r="AR126">
        <f>IFERROR(LOOKUP(2,1/('DRAFT 2'!$D:$D=$B126),'DRAFT 2'!$I:$I),"")</f>
        <v>0</v>
      </c>
      <c r="AS126">
        <f>IFERROR(LOOKUP(2,1/('DRAFT 2'!$D:$D=$B126),'DRAFT 2'!$T:$T),"")</f>
        <v>0</v>
      </c>
      <c r="AT126">
        <f>IFERROR(LOOKUP(2,1/('DRAFT 2'!$D:$D=$B126),'DRAFT 2'!$A:$A),"")</f>
        <v>0</v>
      </c>
      <c r="AU126">
        <f>IFERROR(LOOKUP(2,1/('DRAFT 2'!$D:$D=$B126),'DRAFT 2'!$R:$R),"")</f>
        <v>0</v>
      </c>
      <c r="AV126">
        <f>IFERROR(LOOKUP(2,1/('DRAFT 2'!$D:$D=$B126),'DRAFT 2'!$S:$S),"")</f>
        <v>0</v>
      </c>
      <c r="AX126">
        <f>IFERROR(LOOKUP(2,1/('DRAFT 2'!$D:$D=$B126),'DRAFT 2'!$M:$M),"")</f>
        <v>0</v>
      </c>
      <c r="AY126">
        <f>IFERROR(LOOKUP(2,1/('DRAFT 2'!$D:$D=$B126),'DRAFT 2'!$K:$K),"")</f>
        <v>0</v>
      </c>
      <c r="BG126">
        <f>IFERROR(LOOKUP(2,1/('DRAFT 2'!$D:$D=$B126),'DRAFT 2'!$U:$U),"")</f>
        <v>0</v>
      </c>
      <c r="BH126">
        <f>IFERROR(LOOKUP(2,1/('DRAFT 2'!$D:$D=$B126),'DRAFT 2'!$V:$V),"")</f>
        <v>0</v>
      </c>
      <c r="CE126" t="str">
        <f t="shared" si="43"/>
        <v/>
      </c>
      <c r="CF126">
        <f>IFERROR(LOOKUP(2,1/('DRAFT 2'!$D:$D=$B126)*('DRAFT 2'!$A:$A&gt;=DATE(2026,1,1))*('DRAFT 2'!$A:$A&lt;DATE(2026,IF(1=12,1+1,1+1),1)),'DRAFT 2'!$A:$A),"")</f>
        <v>0</v>
      </c>
      <c r="CG126">
        <f>COUNTIFS('DRAFT 2'!$D:$D,$B126,'DRAFT 2'!$A:$A,"&gt;="&amp;DATE(2026,1,1),'DRAFT 2'!$A:$A,"&lt;="&amp;DATE(2026,1,7))</f>
        <v>0</v>
      </c>
      <c r="CH126">
        <f>COUNTIFS('DRAFT 2'!$D:$D,$B126,'DRAFT 2'!$A:$A,"&gt;="&amp;DATE(2026,1,8),'DRAFT 2'!$A:$A,"&lt;="&amp;DATE(2026,1,14))</f>
        <v>0</v>
      </c>
      <c r="CI126">
        <f>COUNTIFS('DRAFT 2'!$D:$D,$B126,'DRAFT 2'!$A:$A,"&gt;="&amp;DATE(2026,1,15),'DRAFT 2'!$A:$A,"&lt;="&amp;DATE(2026,1,21))</f>
        <v>0</v>
      </c>
      <c r="CJ126">
        <f>COUNTIFS('DRAFT 2'!$D:$D,$B126,'DRAFT 2'!$A:$A,"&gt;="&amp;DATE(2026,1,22),'DRAFT 2'!$A:$A,"&lt;"&amp;DATE(2026,IF(1=12,1+1,1+1),1))</f>
        <v>0</v>
      </c>
      <c r="CK126">
        <f t="shared" si="44"/>
        <v>0</v>
      </c>
      <c r="CT126">
        <v>0</v>
      </c>
      <c r="CU126">
        <f>IFERROR(LOOKUP(2,1/('DRAFT 2'!$D:$D=$B126)*('DRAFT 2'!$A:$A&gt;=DATE(2026,2,1))*('DRAFT 2'!$A:$A&lt;DATE(2026,IF(2=12,2+1,2+1),1)),'DRAFT 2'!$A:$A),"")</f>
        <v>0</v>
      </c>
      <c r="CV126">
        <f>COUNTIFS('DRAFT 2'!$D:$D,$B126,'DRAFT 2'!$A:$A,"&gt;="&amp;DATE(2026,2,1),'DRAFT 2'!$A:$A,"&lt;="&amp;DATE(2026,2,7))</f>
        <v>0</v>
      </c>
      <c r="CW126">
        <f>COUNTIFS('DRAFT 2'!$D:$D,$B126,'DRAFT 2'!$A:$A,"&gt;="&amp;DATE(2026,2,8),'DRAFT 2'!$A:$A,"&lt;="&amp;DATE(2026,2,14))</f>
        <v>0</v>
      </c>
      <c r="CX126">
        <f>COUNTIFS('DRAFT 2'!$D:$D,$B126,'DRAFT 2'!$A:$A,"&gt;="&amp;DATE(2026,2,15),'DRAFT 2'!$A:$A,"&lt;="&amp;DATE(2026,2,21))</f>
        <v>0</v>
      </c>
      <c r="CY126">
        <f>COUNTIFS('DRAFT 2'!$D:$D,$B126,'DRAFT 2'!$A:$A,"&gt;="&amp;DATE(2026,2,22),'DRAFT 2'!$A:$A,"&lt;"&amp;DATE(2026,IF(2=12,2+1,2+1),1))</f>
        <v>0</v>
      </c>
      <c r="CZ126">
        <f t="shared" si="45"/>
        <v>0</v>
      </c>
      <c r="DJ126">
        <f>IFERROR(LOOKUP(2,1/('DRAFT 2'!$D:$D=$B126)*('DRAFT 2'!$A:$A&gt;=DATE(2026,3,1))*('DRAFT 2'!$A:$A&lt;DATE(2026,IF(3=12,3+1,3+1),1)),'DRAFT 2'!$A:$A),"")</f>
        <v>0</v>
      </c>
      <c r="DK126">
        <f>COUNTIFS('DRAFT 2'!$D:$D,$B126,'DRAFT 2'!$A:$A,"&gt;="&amp;DATE(2026,3,1),'DRAFT 2'!$A:$A,"&lt;="&amp;DATE(2026,3,7))</f>
        <v>0</v>
      </c>
      <c r="DL126">
        <f>COUNTIFS('DRAFT 2'!$D:$D,$B126,'DRAFT 2'!$A:$A,"&gt;="&amp;DATE(2026,3,8),'DRAFT 2'!$A:$A,"&lt;="&amp;DATE(2026,3,14))</f>
        <v>0</v>
      </c>
      <c r="DM126">
        <f>COUNTIFS('DRAFT 2'!$D:$D,$B126,'DRAFT 2'!$A:$A,"&gt;="&amp;DATE(2026,3,15),'DRAFT 2'!$A:$A,"&lt;="&amp;DATE(2026,3,21))</f>
        <v>0</v>
      </c>
      <c r="DN126">
        <f>COUNTIFS('DRAFT 2'!$D:$D,$B126,'DRAFT 2'!$A:$A,"&gt;="&amp;DATE(2026,3,22),'DRAFT 2'!$A:$A,"&lt;"&amp;DATE(2026,IF(3=12,3+1,3+1),1))</f>
        <v>0</v>
      </c>
      <c r="DO126">
        <f t="shared" si="46"/>
        <v>0</v>
      </c>
      <c r="DZ126">
        <f>IFERROR(LOOKUP(2,1/('DRAFT 2'!$D:$D=$B126)*('DRAFT 2'!$A:$A&gt;=DATE(2026,4,1))*('DRAFT 2'!$A:$A&lt;DATE(2026,IF(4=12,4+1,4+1),1)),'DRAFT 2'!$A:$A),"")</f>
        <v>0</v>
      </c>
      <c r="EA126">
        <f>COUNTIFS('DRAFT 2'!$D:$D,$B126,'DRAFT 2'!$A:$A,"&gt;="&amp;DATE(2026,4,1),'DRAFT 2'!$A:$A,"&lt;="&amp;DATE(2026,4,7))</f>
        <v>0</v>
      </c>
      <c r="EB126">
        <f>COUNTIFS('DRAFT 2'!$D:$D,$B126,'DRAFT 2'!$A:$A,"&gt;="&amp;DATE(2026,4,8),'DRAFT 2'!$A:$A,"&lt;="&amp;DATE(2026,4,14))</f>
        <v>0</v>
      </c>
      <c r="EC126">
        <f>COUNTIFS('DRAFT 2'!$D:$D,$B126,'DRAFT 2'!$A:$A,"&gt;="&amp;DATE(2026,4,15),'DRAFT 2'!$A:$A,"&lt;="&amp;DATE(2026,4,21))</f>
        <v>0</v>
      </c>
      <c r="ED126">
        <f>COUNTIFS('DRAFT 2'!$D:$D,$B126,'DRAFT 2'!$A:$A,"&gt;="&amp;DATE(2026,4,22),'DRAFT 2'!$A:$A,"&lt;"&amp;DATE(2026,IF(4=12,4+1,4+1),1))</f>
        <v>0</v>
      </c>
      <c r="EE126">
        <f t="shared" si="47"/>
        <v>0</v>
      </c>
      <c r="EO126">
        <f>IFERROR(LOOKUP(2,1/('DRAFT 2'!$D:$D=$B126)*('DRAFT 2'!$A:$A&gt;=DATE(2026,5,1))*('DRAFT 2'!$A:$A&lt;DATE(2026,IF(5=12,5+1,5+1),1)),'DRAFT 2'!$A:$A),"")</f>
        <v>0</v>
      </c>
      <c r="EP126">
        <f>COUNTIFS('DRAFT 2'!$D:$D,$B126,'DRAFT 2'!$A:$A,"&gt;="&amp;DATE(2026,5,1),'DRAFT 2'!$A:$A,"&lt;="&amp;DATE(2026,5,7))</f>
        <v>0</v>
      </c>
      <c r="EQ126">
        <f>COUNTIFS('DRAFT 2'!$D:$D,$B126,'DRAFT 2'!$A:$A,"&gt;="&amp;DATE(2026,5,8),'DRAFT 2'!$A:$A,"&lt;="&amp;DATE(2026,5,14))</f>
        <v>0</v>
      </c>
      <c r="ER126">
        <f>COUNTIFS('DRAFT 2'!$D:$D,$B126,'DRAFT 2'!$A:$A,"&gt;="&amp;DATE(2026,5,15),'DRAFT 2'!$A:$A,"&lt;="&amp;DATE(2026,5,21))</f>
        <v>0</v>
      </c>
      <c r="ES126">
        <f>COUNTIFS('DRAFT 2'!$D:$D,$B126,'DRAFT 2'!$A:$A,"&gt;="&amp;DATE(2026,5,22),'DRAFT 2'!$A:$A,"&lt;"&amp;DATE(2026,IF(5=12,5+1,5+1),1))</f>
        <v>0</v>
      </c>
      <c r="ET126">
        <f t="shared" si="48"/>
        <v>0</v>
      </c>
      <c r="FD126">
        <f>IFERROR(LOOKUP(2,1/('DRAFT 2'!$D:$D=$B126)*('DRAFT 2'!$A:$A&gt;=DATE(2026,6,1))*('DRAFT 2'!$A:$A&lt;DATE(2026,IF(6=12,6+1,6+1),1)),'DRAFT 2'!$A:$A),"")</f>
        <v>0</v>
      </c>
      <c r="FE126">
        <f>COUNTIFS('DRAFT 2'!$D:$D,$B126,'DRAFT 2'!$A:$A,"&gt;="&amp;DATE(2026,6,1),'DRAFT 2'!$A:$A,"&lt;="&amp;DATE(2026,6,7))</f>
        <v>0</v>
      </c>
      <c r="FF126">
        <f>COUNTIFS('DRAFT 2'!$D:$D,$B126,'DRAFT 2'!$A:$A,"&gt;="&amp;DATE(2026,6,8),'DRAFT 2'!$A:$A,"&lt;="&amp;DATE(2026,6,14))</f>
        <v>0</v>
      </c>
      <c r="FG126">
        <f>COUNTIFS('DRAFT 2'!$D:$D,$B126,'DRAFT 2'!$A:$A,"&gt;="&amp;DATE(2026,6,15),'DRAFT 2'!$A:$A,"&lt;="&amp;DATE(2026,6,21))</f>
        <v>0</v>
      </c>
      <c r="FH126">
        <f>COUNTIFS('DRAFT 2'!$D:$D,$B126,'DRAFT 2'!$A:$A,"&gt;="&amp;DATE(2026,6,22),'DRAFT 2'!$A:$A,"&lt;"&amp;DATE(2026,IF(6=12,6+1,6+1),1))</f>
        <v>0</v>
      </c>
      <c r="FI126">
        <f t="shared" si="49"/>
        <v>0</v>
      </c>
      <c r="FT126">
        <f>IFERROR(LOOKUP(2,1/('DRAFT 2'!$D:$D=$B126)*('DRAFT 2'!$A:$A&gt;=DATE(2026,7,1))*('DRAFT 2'!$A:$A&lt;DATE(2026,IF(7=12,7+1,7+1),1)),'DRAFT 2'!$A:$A),"")</f>
        <v>0</v>
      </c>
      <c r="FU126">
        <f>COUNTIFS('DRAFT 2'!$D:$D,$B126,'DRAFT 2'!$A:$A,"&gt;="&amp;DATE(2026,7,1),'DRAFT 2'!$A:$A,"&lt;="&amp;DATE(2026,7,7))</f>
        <v>0</v>
      </c>
      <c r="FV126">
        <f>COUNTIFS('DRAFT 2'!$D:$D,$B126,'DRAFT 2'!$A:$A,"&gt;="&amp;DATE(2026,7,8),'DRAFT 2'!$A:$A,"&lt;="&amp;DATE(2026,7,14))</f>
        <v>0</v>
      </c>
      <c r="FW126">
        <f>COUNTIFS('DRAFT 2'!$D:$D,$B126,'DRAFT 2'!$A:$A,"&gt;="&amp;DATE(2026,7,15),'DRAFT 2'!$A:$A,"&lt;="&amp;DATE(2026,7,21))</f>
        <v>0</v>
      </c>
      <c r="FX126">
        <f>COUNTIFS('DRAFT 2'!$D:$D,$B126,'DRAFT 2'!$A:$A,"&gt;="&amp;DATE(2026,7,22),'DRAFT 2'!$A:$A,"&lt;"&amp;DATE(2026,IF(7=12,7+1,7+1),1))</f>
        <v>0</v>
      </c>
      <c r="FY126">
        <f t="shared" si="50"/>
        <v>0</v>
      </c>
      <c r="GI126">
        <f>IFERROR(LOOKUP(2,1/('DRAFT 2'!$D:$D=$B126)*('DRAFT 2'!$A:$A&gt;=DATE(2026,8,1))*('DRAFT 2'!$A:$A&lt;DATE(2026,IF(8=12,8+1,8+1),1)),'DRAFT 2'!$A:$A),"")</f>
        <v>0</v>
      </c>
      <c r="GJ126">
        <f>COUNTIFS('DRAFT 2'!$D:$D,$B126,'DRAFT 2'!$A:$A,"&gt;="&amp;DATE(2026,8,1),'DRAFT 2'!$A:$A,"&lt;="&amp;DATE(2026,8,7))</f>
        <v>0</v>
      </c>
      <c r="GK126">
        <f>COUNTIFS('DRAFT 2'!$D:$D,$B126,'DRAFT 2'!$A:$A,"&gt;="&amp;DATE(2026,8,8),'DRAFT 2'!$A:$A,"&lt;="&amp;DATE(2026,8,14))</f>
        <v>0</v>
      </c>
      <c r="GL126">
        <f>COUNTIFS('DRAFT 2'!$D:$D,$B126,'DRAFT 2'!$A:$A,"&gt;="&amp;DATE(2026,8,15),'DRAFT 2'!$A:$A,"&lt;="&amp;DATE(2026,8,21))</f>
        <v>0</v>
      </c>
      <c r="GM126">
        <f>COUNTIFS('DRAFT 2'!$D:$D,$B126,'DRAFT 2'!$A:$A,"&gt;="&amp;DATE(2026,8,22),'DRAFT 2'!$A:$A,"&lt;"&amp;DATE(2026,IF(8=12,8+1,8+1),1))</f>
        <v>0</v>
      </c>
      <c r="GN126">
        <f t="shared" si="51"/>
        <v>0</v>
      </c>
      <c r="GX126">
        <f>IFERROR(LOOKUP(2,1/('DRAFT 2'!$D:$D=$B126)*('DRAFT 2'!$A:$A&gt;=DATE(2026,9,1))*('DRAFT 2'!$A:$A&lt;DATE(2026,IF(9=12,9+1,9+1),1)),'DRAFT 2'!$A:$A),"")</f>
        <v>0</v>
      </c>
      <c r="GY126">
        <f>COUNTIFS('DRAFT 2'!$D:$D,$B126,'DRAFT 2'!$A:$A,"&gt;="&amp;DATE(2026,9,1),'DRAFT 2'!$A:$A,"&lt;="&amp;DATE(2026,9,7))</f>
        <v>0</v>
      </c>
      <c r="GZ126">
        <f>COUNTIFS('DRAFT 2'!$D:$D,$B126,'DRAFT 2'!$A:$A,"&gt;="&amp;DATE(2026,9,8),'DRAFT 2'!$A:$A,"&lt;="&amp;DATE(2026,9,14))</f>
        <v>0</v>
      </c>
      <c r="HA126">
        <f>COUNTIFS('DRAFT 2'!$D:$D,$B126,'DRAFT 2'!$A:$A,"&gt;="&amp;DATE(2026,9,15),'DRAFT 2'!$A:$A,"&lt;="&amp;DATE(2026,9,21))</f>
        <v>0</v>
      </c>
      <c r="HB126">
        <f>COUNTIFS('DRAFT 2'!$D:$D,$B126,'DRAFT 2'!$A:$A,"&gt;="&amp;DATE(2026,9,22),'DRAFT 2'!$A:$A,"&lt;"&amp;DATE(2026,IF(9=12,9+1,9+1),1))</f>
        <v>0</v>
      </c>
      <c r="HC126">
        <f t="shared" si="52"/>
        <v>0</v>
      </c>
      <c r="HN126">
        <f>IFERROR(LOOKUP(2,1/('DRAFT 2'!$D:$D=$B126)*('DRAFT 2'!$A:$A&gt;=DATE(2026,10,1))*('DRAFT 2'!$A:$A&lt;DATE(2026,IF(10=12,10+1,10+1),1)),'DRAFT 2'!$A:$A),"")</f>
        <v>0</v>
      </c>
      <c r="HO126">
        <f>COUNTIFS('DRAFT 2'!$D:$D,$B126,'DRAFT 2'!$A:$A,"&gt;="&amp;DATE(2026,10,1),'DRAFT 2'!$A:$A,"&lt;="&amp;DATE(2026,10,7))</f>
        <v>0</v>
      </c>
      <c r="HP126">
        <f>COUNTIFS('DRAFT 2'!$D:$D,$B126,'DRAFT 2'!$A:$A,"&gt;="&amp;DATE(2026,10,8),'DRAFT 2'!$A:$A,"&lt;="&amp;DATE(2026,10,14))</f>
        <v>0</v>
      </c>
      <c r="HQ126">
        <f>COUNTIFS('DRAFT 2'!$D:$D,$B126,'DRAFT 2'!$A:$A,"&gt;="&amp;DATE(2026,10,15),'DRAFT 2'!$A:$A,"&lt;="&amp;DATE(2026,10,21))</f>
        <v>0</v>
      </c>
      <c r="HR126">
        <f>COUNTIFS('DRAFT 2'!$D:$D,$B126,'DRAFT 2'!$A:$A,"&gt;="&amp;DATE(2026,10,22),'DRAFT 2'!$A:$A,"&lt;"&amp;DATE(2026,IF(10=12,10+1,10+1),1))</f>
        <v>0</v>
      </c>
      <c r="HS126">
        <f t="shared" si="53"/>
        <v>0</v>
      </c>
      <c r="IC126">
        <f>IFERROR(LOOKUP(2,1/('DRAFT 2'!$D:$D=$B126)*('DRAFT 2'!$A:$A&gt;=DATE(2026,11,1))*('DRAFT 2'!$A:$A&lt;DATE(2026,IF(11=12,11+1,11+1),1)),'DRAFT 2'!$A:$A),"")</f>
        <v>0</v>
      </c>
      <c r="ID126">
        <f>COUNTIFS('DRAFT 2'!$D:$D,$B126,'DRAFT 2'!$A:$A,"&gt;="&amp;DATE(2026,11,1),'DRAFT 2'!$A:$A,"&lt;="&amp;DATE(2026,11,7))</f>
        <v>0</v>
      </c>
      <c r="IE126">
        <f>COUNTIFS('DRAFT 2'!$D:$D,$B126,'DRAFT 2'!$A:$A,"&gt;="&amp;DATE(2026,11,8),'DRAFT 2'!$A:$A,"&lt;="&amp;DATE(2026,11,14))</f>
        <v>0</v>
      </c>
      <c r="IF126">
        <f>COUNTIFS('DRAFT 2'!$D:$D,$B126,'DRAFT 2'!$A:$A,"&gt;="&amp;DATE(2026,11,15),'DRAFT 2'!$A:$A,"&lt;="&amp;DATE(2026,11,21))</f>
        <v>0</v>
      </c>
      <c r="IG126">
        <f>COUNTIFS('DRAFT 2'!$D:$D,$B126,'DRAFT 2'!$A:$A,"&gt;="&amp;DATE(2026,11,22),'DRAFT 2'!$A:$A,"&lt;"&amp;DATE(2026,IF(11=12,11+1,11+1),1))</f>
        <v>0</v>
      </c>
      <c r="IH126">
        <f t="shared" si="54"/>
        <v>0</v>
      </c>
      <c r="IR126">
        <f>IFERROR(LOOKUP(2,1/('DRAFT 2'!$D:$D=$B126)*('DRAFT 2'!$A:$A&gt;=DATE(2026,12,1))*('DRAFT 2'!$A:$A&lt;DATE(2026,IF(12=12,12+1,12+1),1)),'DRAFT 2'!$A:$A),"")</f>
        <v>0</v>
      </c>
      <c r="IS126">
        <f>COUNTIFS('DRAFT 2'!$D:$D,$B126,'DRAFT 2'!$A:$A,"&gt;="&amp;DATE(2026,12,1),'DRAFT 2'!$A:$A,"&lt;="&amp;DATE(2026,12,7))</f>
        <v>0</v>
      </c>
      <c r="IT126">
        <f>COUNTIFS('DRAFT 2'!$D:$D,$B126,'DRAFT 2'!$A:$A,"&gt;="&amp;DATE(2026,12,8),'DRAFT 2'!$A:$A,"&lt;="&amp;DATE(2026,12,14))</f>
        <v>0</v>
      </c>
      <c r="IU126">
        <f>COUNTIFS('DRAFT 2'!$D:$D,$B126,'DRAFT 2'!$A:$A,"&gt;="&amp;DATE(2026,12,15),'DRAFT 2'!$A:$A,"&lt;="&amp;DATE(2026,12,21))</f>
        <v>0</v>
      </c>
      <c r="IV126">
        <f>COUNTIFS('DRAFT 2'!$D:$D,$B126,'DRAFT 2'!$A:$A,"&gt;="&amp;DATE(2026,12,22),'DRAFT 2'!$A:$A,"&lt;"&amp;DATE(2026,IF(12=12,12+1,12+1),1))</f>
        <v>0</v>
      </c>
      <c r="IW126">
        <f t="shared" si="55"/>
        <v>0</v>
      </c>
    </row>
    <row r="127" spans="1:257" x14ac:dyDescent="0.3">
      <c r="A127" t="str">
        <f>IFERROR(INDEX('DRAFT 1'!$A:$A,MATCH($B127,'DRAFT 1'!$B:$B,0)),"")</f>
        <v/>
      </c>
      <c r="C127" t="str">
        <f>IFERROR(INDEX('DRAFT 1'!$C:$C,MATCH($B127,'DRAFT 1'!$B:$B,0)),"")</f>
        <v/>
      </c>
      <c r="D127" t="str">
        <f>IFERROR(INDEX('DRAFT 1'!$D:$D,MATCH($B127,'DRAFT 1'!$B:$B,0)),"")</f>
        <v/>
      </c>
      <c r="E127" t="str">
        <f>IFERROR(INDEX('DRAFT 1'!$E:$E,MATCH($B127,'DRAFT 1'!$B:$B,0)),"")</f>
        <v/>
      </c>
      <c r="F127" t="str">
        <f>IFERROR(INDEX('DRAFT 1'!$F:$F,MATCH($B127,'DRAFT 1'!$B:$B,0)),"")</f>
        <v/>
      </c>
      <c r="G127" t="str">
        <f>IFERROR(INDEX('DRAFT 1'!$G:$G,MATCH($B127,'DRAFT 1'!$B:$B,0)),"")</f>
        <v/>
      </c>
      <c r="H127" t="str">
        <f>IFERROR(INDEX('DRAFT 1'!$H:$H,MATCH($B127,'DRAFT 1'!$B:$B,0)),"")</f>
        <v/>
      </c>
      <c r="I127" t="str">
        <f>IFERROR(INDEX('DRAFT 1'!$I:$I,MATCH($B127,'DRAFT 1'!$B:$B,0)),"")</f>
        <v/>
      </c>
      <c r="K127" t="str">
        <f>IFERROR(INDEX('DRAFT 1'!$AL:$AL,MATCH($B127,'DRAFT 1'!$B:$B,0)),"")</f>
        <v/>
      </c>
      <c r="L127" t="str">
        <f>IFERROR(INDEX('DRAFT 1'!$J:$J,MATCH($B127,'DRAFT 1'!$B:$B,0)),"")</f>
        <v/>
      </c>
      <c r="M127" t="str">
        <f>IFERROR(INDEX('DRAFT 1'!$K:$K,MATCH($B127,'DRAFT 1'!$B:$B,0)),"")</f>
        <v/>
      </c>
      <c r="P127" t="str">
        <f>IFERROR(INDEX('DRAFT 1'!$L:$L,MATCH($B127,'DRAFT 1'!$B:$B,0)),"")</f>
        <v/>
      </c>
      <c r="Q127" t="str">
        <f>IFERROR(INDEX('DRAFT 1'!$M:$M,MATCH($B127,'DRAFT 1'!$B:$B,0)),"")</f>
        <v/>
      </c>
      <c r="R127" t="str">
        <f>IFERROR(INDEX('DRAFT 1'!$N:$N,MATCH($B127,'DRAFT 1'!$B:$B,0)),"")</f>
        <v/>
      </c>
      <c r="S127" t="str">
        <f>IFERROR(INDEX('DRAFT 1'!$O:$O,MATCH($B127,'DRAFT 1'!$B:$B,0)),"")</f>
        <v/>
      </c>
      <c r="T127" t="str">
        <f>IFERROR(INDEX('DRAFT 1'!$P:$P,MATCH($B127,'DRAFT 1'!$B:$B,0)),"")</f>
        <v/>
      </c>
      <c r="U127" t="str">
        <f>IFERROR(INDEX('DRAFT 1'!$Q:$Q,MATCH($B127,'DRAFT 1'!$B:$B,0)),"")</f>
        <v/>
      </c>
      <c r="V127" t="str">
        <f>IFERROR(INDEX('DRAFT 1'!$R:$R,MATCH($B127,'DRAFT 1'!$B:$B,0)),"")</f>
        <v/>
      </c>
      <c r="W127" t="str">
        <f>IFERROR(INDEX('DRAFT 1'!$S:$S,MATCH($B127,'DRAFT 1'!$B:$B,0)),"")</f>
        <v/>
      </c>
      <c r="X127" t="str">
        <f>IFERROR(INDEX('DRAFT 1'!$T:$T,MATCH($B127,'DRAFT 1'!$B:$B,0)),"")</f>
        <v/>
      </c>
      <c r="Z127" t="str">
        <f>IFERROR(INDEX('DRAFT 1'!$U:$U,MATCH($B127,'DRAFT 1'!$B:$B,0)),"")</f>
        <v/>
      </c>
      <c r="AA127" t="str">
        <f>IFERROR(INDEX('DRAFT 1'!$V:$V,MATCH($B127,'DRAFT 1'!$B:$B,0)),"")</f>
        <v/>
      </c>
      <c r="AB127" t="str">
        <f>IFERROR(INDEX('DRAFT 1'!$W:$W,MATCH($B127,'DRAFT 1'!$B:$B,0)),"")</f>
        <v/>
      </c>
      <c r="AC127" t="str">
        <f>IFERROR(INDEX('DRAFT 1'!$X:$X,MATCH($B127,'DRAFT 1'!$B:$B,0)),"")</f>
        <v/>
      </c>
      <c r="AD127" t="str">
        <f>IFERROR(INDEX('DRAFT 1'!$Y:$Y,MATCH($B127,'DRAFT 1'!$B:$B,0)),"")</f>
        <v/>
      </c>
      <c r="AE127" t="str">
        <f>IFERROR(INDEX('DRAFT 1'!$Z:$Z,MATCH($B127,'DRAFT 1'!$B:$B,0)),"")</f>
        <v/>
      </c>
      <c r="AF127" t="str">
        <f>IFERROR(INDEX('DRAFT 1'!$AA:$AA,MATCH($B127,'DRAFT 1'!$B:$B,0)),"")</f>
        <v/>
      </c>
      <c r="AG127" t="str">
        <f>IFERROR(INDEX('DRAFT 1'!$AB:$AB,MATCH($B127,'DRAFT 1'!$B:$B,0)),"")</f>
        <v/>
      </c>
      <c r="AH127" t="str">
        <f>IFERROR(INDEX('DRAFT 1'!$AC:$AC,MATCH($B127,'DRAFT 1'!$B:$B,0)),"")</f>
        <v/>
      </c>
      <c r="AI127" t="str">
        <f>IFERROR(INDEX('DRAFT 1'!$AD:$AD,MATCH($B127,'DRAFT 1'!$B:$B,0)),"")</f>
        <v/>
      </c>
      <c r="AJ127" t="str">
        <f>IFERROR(INDEX('DRAFT 1'!$AE:$AE,MATCH($B127,'DRAFT 1'!$B:$B,0)),"")</f>
        <v/>
      </c>
      <c r="AK127" t="str">
        <f>IFERROR(INDEX('DRAFT 1'!$AG:$AG,MATCH($B127,'DRAFT 1'!$B:$B,0)),"")</f>
        <v/>
      </c>
      <c r="AL127" t="str">
        <f>IFERROR(INDEX('DRAFT 1'!$AH:$AH,MATCH($B127,'DRAFT 1'!$B:$B,0)),"")</f>
        <v/>
      </c>
      <c r="AM127" t="str">
        <f>IFERROR(INDEX('DRAFT 1'!$AI:$AI,MATCH($B127,'DRAFT 1'!$B:$B,0)),"")</f>
        <v/>
      </c>
      <c r="AN127" t="str">
        <f>IFERROR(INDEX('DRAFT 1'!$AJ:$AJ,MATCH($B127,'DRAFT 1'!$B:$B,0)),"")</f>
        <v/>
      </c>
      <c r="AO127">
        <f t="shared" si="42"/>
        <v>0</v>
      </c>
      <c r="AP127" t="str">
        <f>IFERROR(INDEX('DRAFT 1'!$AK:$AK,MATCH($B127,'DRAFT 1'!$B:$B,0)),"")</f>
        <v/>
      </c>
      <c r="AR127">
        <f>IFERROR(LOOKUP(2,1/('DRAFT 2'!$D:$D=$B127),'DRAFT 2'!$I:$I),"")</f>
        <v>0</v>
      </c>
      <c r="AS127">
        <f>IFERROR(LOOKUP(2,1/('DRAFT 2'!$D:$D=$B127),'DRAFT 2'!$T:$T),"")</f>
        <v>0</v>
      </c>
      <c r="AT127">
        <f>IFERROR(LOOKUP(2,1/('DRAFT 2'!$D:$D=$B127),'DRAFT 2'!$A:$A),"")</f>
        <v>0</v>
      </c>
      <c r="AU127">
        <f>IFERROR(LOOKUP(2,1/('DRAFT 2'!$D:$D=$B127),'DRAFT 2'!$R:$R),"")</f>
        <v>0</v>
      </c>
      <c r="AV127">
        <f>IFERROR(LOOKUP(2,1/('DRAFT 2'!$D:$D=$B127),'DRAFT 2'!$S:$S),"")</f>
        <v>0</v>
      </c>
      <c r="AX127">
        <f>IFERROR(LOOKUP(2,1/('DRAFT 2'!$D:$D=$B127),'DRAFT 2'!$M:$M),"")</f>
        <v>0</v>
      </c>
      <c r="AY127">
        <f>IFERROR(LOOKUP(2,1/('DRAFT 2'!$D:$D=$B127),'DRAFT 2'!$K:$K),"")</f>
        <v>0</v>
      </c>
      <c r="BG127">
        <f>IFERROR(LOOKUP(2,1/('DRAFT 2'!$D:$D=$B127),'DRAFT 2'!$U:$U),"")</f>
        <v>0</v>
      </c>
      <c r="BH127">
        <f>IFERROR(LOOKUP(2,1/('DRAFT 2'!$D:$D=$B127),'DRAFT 2'!$V:$V),"")</f>
        <v>0</v>
      </c>
      <c r="CE127" t="str">
        <f t="shared" si="43"/>
        <v/>
      </c>
      <c r="CF127">
        <f>IFERROR(LOOKUP(2,1/('DRAFT 2'!$D:$D=$B127)*('DRAFT 2'!$A:$A&gt;=DATE(2026,1,1))*('DRAFT 2'!$A:$A&lt;DATE(2026,IF(1=12,1+1,1+1),1)),'DRAFT 2'!$A:$A),"")</f>
        <v>0</v>
      </c>
      <c r="CG127">
        <f>COUNTIFS('DRAFT 2'!$D:$D,$B127,'DRAFT 2'!$A:$A,"&gt;="&amp;DATE(2026,1,1),'DRAFT 2'!$A:$A,"&lt;="&amp;DATE(2026,1,7))</f>
        <v>0</v>
      </c>
      <c r="CH127">
        <f>COUNTIFS('DRAFT 2'!$D:$D,$B127,'DRAFT 2'!$A:$A,"&gt;="&amp;DATE(2026,1,8),'DRAFT 2'!$A:$A,"&lt;="&amp;DATE(2026,1,14))</f>
        <v>0</v>
      </c>
      <c r="CI127">
        <f>COUNTIFS('DRAFT 2'!$D:$D,$B127,'DRAFT 2'!$A:$A,"&gt;="&amp;DATE(2026,1,15),'DRAFT 2'!$A:$A,"&lt;="&amp;DATE(2026,1,21))</f>
        <v>0</v>
      </c>
      <c r="CJ127">
        <f>COUNTIFS('DRAFT 2'!$D:$D,$B127,'DRAFT 2'!$A:$A,"&gt;="&amp;DATE(2026,1,22),'DRAFT 2'!$A:$A,"&lt;"&amp;DATE(2026,IF(1=12,1+1,1+1),1))</f>
        <v>0</v>
      </c>
      <c r="CK127">
        <f t="shared" si="44"/>
        <v>0</v>
      </c>
      <c r="CT127">
        <v>0</v>
      </c>
      <c r="CU127">
        <f>IFERROR(LOOKUP(2,1/('DRAFT 2'!$D:$D=$B127)*('DRAFT 2'!$A:$A&gt;=DATE(2026,2,1))*('DRAFT 2'!$A:$A&lt;DATE(2026,IF(2=12,2+1,2+1),1)),'DRAFT 2'!$A:$A),"")</f>
        <v>0</v>
      </c>
      <c r="CV127">
        <f>COUNTIFS('DRAFT 2'!$D:$D,$B127,'DRAFT 2'!$A:$A,"&gt;="&amp;DATE(2026,2,1),'DRAFT 2'!$A:$A,"&lt;="&amp;DATE(2026,2,7))</f>
        <v>0</v>
      </c>
      <c r="CW127">
        <f>COUNTIFS('DRAFT 2'!$D:$D,$B127,'DRAFT 2'!$A:$A,"&gt;="&amp;DATE(2026,2,8),'DRAFT 2'!$A:$A,"&lt;="&amp;DATE(2026,2,14))</f>
        <v>0</v>
      </c>
      <c r="CX127">
        <f>COUNTIFS('DRAFT 2'!$D:$D,$B127,'DRAFT 2'!$A:$A,"&gt;="&amp;DATE(2026,2,15),'DRAFT 2'!$A:$A,"&lt;="&amp;DATE(2026,2,21))</f>
        <v>0</v>
      </c>
      <c r="CY127">
        <f>COUNTIFS('DRAFT 2'!$D:$D,$B127,'DRAFT 2'!$A:$A,"&gt;="&amp;DATE(2026,2,22),'DRAFT 2'!$A:$A,"&lt;"&amp;DATE(2026,IF(2=12,2+1,2+1),1))</f>
        <v>0</v>
      </c>
      <c r="CZ127">
        <f t="shared" si="45"/>
        <v>0</v>
      </c>
      <c r="DJ127">
        <f>IFERROR(LOOKUP(2,1/('DRAFT 2'!$D:$D=$B127)*('DRAFT 2'!$A:$A&gt;=DATE(2026,3,1))*('DRAFT 2'!$A:$A&lt;DATE(2026,IF(3=12,3+1,3+1),1)),'DRAFT 2'!$A:$A),"")</f>
        <v>0</v>
      </c>
      <c r="DK127">
        <f>COUNTIFS('DRAFT 2'!$D:$D,$B127,'DRAFT 2'!$A:$A,"&gt;="&amp;DATE(2026,3,1),'DRAFT 2'!$A:$A,"&lt;="&amp;DATE(2026,3,7))</f>
        <v>0</v>
      </c>
      <c r="DL127">
        <f>COUNTIFS('DRAFT 2'!$D:$D,$B127,'DRAFT 2'!$A:$A,"&gt;="&amp;DATE(2026,3,8),'DRAFT 2'!$A:$A,"&lt;="&amp;DATE(2026,3,14))</f>
        <v>0</v>
      </c>
      <c r="DM127">
        <f>COUNTIFS('DRAFT 2'!$D:$D,$B127,'DRAFT 2'!$A:$A,"&gt;="&amp;DATE(2026,3,15),'DRAFT 2'!$A:$A,"&lt;="&amp;DATE(2026,3,21))</f>
        <v>0</v>
      </c>
      <c r="DN127">
        <f>COUNTIFS('DRAFT 2'!$D:$D,$B127,'DRAFT 2'!$A:$A,"&gt;="&amp;DATE(2026,3,22),'DRAFT 2'!$A:$A,"&lt;"&amp;DATE(2026,IF(3=12,3+1,3+1),1))</f>
        <v>0</v>
      </c>
      <c r="DO127">
        <f t="shared" si="46"/>
        <v>0</v>
      </c>
      <c r="DZ127">
        <f>IFERROR(LOOKUP(2,1/('DRAFT 2'!$D:$D=$B127)*('DRAFT 2'!$A:$A&gt;=DATE(2026,4,1))*('DRAFT 2'!$A:$A&lt;DATE(2026,IF(4=12,4+1,4+1),1)),'DRAFT 2'!$A:$A),"")</f>
        <v>0</v>
      </c>
      <c r="EA127">
        <f>COUNTIFS('DRAFT 2'!$D:$D,$B127,'DRAFT 2'!$A:$A,"&gt;="&amp;DATE(2026,4,1),'DRAFT 2'!$A:$A,"&lt;="&amp;DATE(2026,4,7))</f>
        <v>0</v>
      </c>
      <c r="EB127">
        <f>COUNTIFS('DRAFT 2'!$D:$D,$B127,'DRAFT 2'!$A:$A,"&gt;="&amp;DATE(2026,4,8),'DRAFT 2'!$A:$A,"&lt;="&amp;DATE(2026,4,14))</f>
        <v>0</v>
      </c>
      <c r="EC127">
        <f>COUNTIFS('DRAFT 2'!$D:$D,$B127,'DRAFT 2'!$A:$A,"&gt;="&amp;DATE(2026,4,15),'DRAFT 2'!$A:$A,"&lt;="&amp;DATE(2026,4,21))</f>
        <v>0</v>
      </c>
      <c r="ED127">
        <f>COUNTIFS('DRAFT 2'!$D:$D,$B127,'DRAFT 2'!$A:$A,"&gt;="&amp;DATE(2026,4,22),'DRAFT 2'!$A:$A,"&lt;"&amp;DATE(2026,IF(4=12,4+1,4+1),1))</f>
        <v>0</v>
      </c>
      <c r="EE127">
        <f t="shared" si="47"/>
        <v>0</v>
      </c>
      <c r="EO127">
        <f>IFERROR(LOOKUP(2,1/('DRAFT 2'!$D:$D=$B127)*('DRAFT 2'!$A:$A&gt;=DATE(2026,5,1))*('DRAFT 2'!$A:$A&lt;DATE(2026,IF(5=12,5+1,5+1),1)),'DRAFT 2'!$A:$A),"")</f>
        <v>0</v>
      </c>
      <c r="EP127">
        <f>COUNTIFS('DRAFT 2'!$D:$D,$B127,'DRAFT 2'!$A:$A,"&gt;="&amp;DATE(2026,5,1),'DRAFT 2'!$A:$A,"&lt;="&amp;DATE(2026,5,7))</f>
        <v>0</v>
      </c>
      <c r="EQ127">
        <f>COUNTIFS('DRAFT 2'!$D:$D,$B127,'DRAFT 2'!$A:$A,"&gt;="&amp;DATE(2026,5,8),'DRAFT 2'!$A:$A,"&lt;="&amp;DATE(2026,5,14))</f>
        <v>0</v>
      </c>
      <c r="ER127">
        <f>COUNTIFS('DRAFT 2'!$D:$D,$B127,'DRAFT 2'!$A:$A,"&gt;="&amp;DATE(2026,5,15),'DRAFT 2'!$A:$A,"&lt;="&amp;DATE(2026,5,21))</f>
        <v>0</v>
      </c>
      <c r="ES127">
        <f>COUNTIFS('DRAFT 2'!$D:$D,$B127,'DRAFT 2'!$A:$A,"&gt;="&amp;DATE(2026,5,22),'DRAFT 2'!$A:$A,"&lt;"&amp;DATE(2026,IF(5=12,5+1,5+1),1))</f>
        <v>0</v>
      </c>
      <c r="ET127">
        <f t="shared" si="48"/>
        <v>0</v>
      </c>
      <c r="FD127">
        <f>IFERROR(LOOKUP(2,1/('DRAFT 2'!$D:$D=$B127)*('DRAFT 2'!$A:$A&gt;=DATE(2026,6,1))*('DRAFT 2'!$A:$A&lt;DATE(2026,IF(6=12,6+1,6+1),1)),'DRAFT 2'!$A:$A),"")</f>
        <v>0</v>
      </c>
      <c r="FE127">
        <f>COUNTIFS('DRAFT 2'!$D:$D,$B127,'DRAFT 2'!$A:$A,"&gt;="&amp;DATE(2026,6,1),'DRAFT 2'!$A:$A,"&lt;="&amp;DATE(2026,6,7))</f>
        <v>0</v>
      </c>
      <c r="FF127">
        <f>COUNTIFS('DRAFT 2'!$D:$D,$B127,'DRAFT 2'!$A:$A,"&gt;="&amp;DATE(2026,6,8),'DRAFT 2'!$A:$A,"&lt;="&amp;DATE(2026,6,14))</f>
        <v>0</v>
      </c>
      <c r="FG127">
        <f>COUNTIFS('DRAFT 2'!$D:$D,$B127,'DRAFT 2'!$A:$A,"&gt;="&amp;DATE(2026,6,15),'DRAFT 2'!$A:$A,"&lt;="&amp;DATE(2026,6,21))</f>
        <v>0</v>
      </c>
      <c r="FH127">
        <f>COUNTIFS('DRAFT 2'!$D:$D,$B127,'DRAFT 2'!$A:$A,"&gt;="&amp;DATE(2026,6,22),'DRAFT 2'!$A:$A,"&lt;"&amp;DATE(2026,IF(6=12,6+1,6+1),1))</f>
        <v>0</v>
      </c>
      <c r="FI127">
        <f t="shared" si="49"/>
        <v>0</v>
      </c>
      <c r="FT127">
        <f>IFERROR(LOOKUP(2,1/('DRAFT 2'!$D:$D=$B127)*('DRAFT 2'!$A:$A&gt;=DATE(2026,7,1))*('DRAFT 2'!$A:$A&lt;DATE(2026,IF(7=12,7+1,7+1),1)),'DRAFT 2'!$A:$A),"")</f>
        <v>0</v>
      </c>
      <c r="FU127">
        <f>COUNTIFS('DRAFT 2'!$D:$D,$B127,'DRAFT 2'!$A:$A,"&gt;="&amp;DATE(2026,7,1),'DRAFT 2'!$A:$A,"&lt;="&amp;DATE(2026,7,7))</f>
        <v>0</v>
      </c>
      <c r="FV127">
        <f>COUNTIFS('DRAFT 2'!$D:$D,$B127,'DRAFT 2'!$A:$A,"&gt;="&amp;DATE(2026,7,8),'DRAFT 2'!$A:$A,"&lt;="&amp;DATE(2026,7,14))</f>
        <v>0</v>
      </c>
      <c r="FW127">
        <f>COUNTIFS('DRAFT 2'!$D:$D,$B127,'DRAFT 2'!$A:$A,"&gt;="&amp;DATE(2026,7,15),'DRAFT 2'!$A:$A,"&lt;="&amp;DATE(2026,7,21))</f>
        <v>0</v>
      </c>
      <c r="FX127">
        <f>COUNTIFS('DRAFT 2'!$D:$D,$B127,'DRAFT 2'!$A:$A,"&gt;="&amp;DATE(2026,7,22),'DRAFT 2'!$A:$A,"&lt;"&amp;DATE(2026,IF(7=12,7+1,7+1),1))</f>
        <v>0</v>
      </c>
      <c r="FY127">
        <f t="shared" si="50"/>
        <v>0</v>
      </c>
      <c r="GI127">
        <f>IFERROR(LOOKUP(2,1/('DRAFT 2'!$D:$D=$B127)*('DRAFT 2'!$A:$A&gt;=DATE(2026,8,1))*('DRAFT 2'!$A:$A&lt;DATE(2026,IF(8=12,8+1,8+1),1)),'DRAFT 2'!$A:$A),"")</f>
        <v>0</v>
      </c>
      <c r="GJ127">
        <f>COUNTIFS('DRAFT 2'!$D:$D,$B127,'DRAFT 2'!$A:$A,"&gt;="&amp;DATE(2026,8,1),'DRAFT 2'!$A:$A,"&lt;="&amp;DATE(2026,8,7))</f>
        <v>0</v>
      </c>
      <c r="GK127">
        <f>COUNTIFS('DRAFT 2'!$D:$D,$B127,'DRAFT 2'!$A:$A,"&gt;="&amp;DATE(2026,8,8),'DRAFT 2'!$A:$A,"&lt;="&amp;DATE(2026,8,14))</f>
        <v>0</v>
      </c>
      <c r="GL127">
        <f>COUNTIFS('DRAFT 2'!$D:$D,$B127,'DRAFT 2'!$A:$A,"&gt;="&amp;DATE(2026,8,15),'DRAFT 2'!$A:$A,"&lt;="&amp;DATE(2026,8,21))</f>
        <v>0</v>
      </c>
      <c r="GM127">
        <f>COUNTIFS('DRAFT 2'!$D:$D,$B127,'DRAFT 2'!$A:$A,"&gt;="&amp;DATE(2026,8,22),'DRAFT 2'!$A:$A,"&lt;"&amp;DATE(2026,IF(8=12,8+1,8+1),1))</f>
        <v>0</v>
      </c>
      <c r="GN127">
        <f t="shared" si="51"/>
        <v>0</v>
      </c>
      <c r="GX127">
        <f>IFERROR(LOOKUP(2,1/('DRAFT 2'!$D:$D=$B127)*('DRAFT 2'!$A:$A&gt;=DATE(2026,9,1))*('DRAFT 2'!$A:$A&lt;DATE(2026,IF(9=12,9+1,9+1),1)),'DRAFT 2'!$A:$A),"")</f>
        <v>0</v>
      </c>
      <c r="GY127">
        <f>COUNTIFS('DRAFT 2'!$D:$D,$B127,'DRAFT 2'!$A:$A,"&gt;="&amp;DATE(2026,9,1),'DRAFT 2'!$A:$A,"&lt;="&amp;DATE(2026,9,7))</f>
        <v>0</v>
      </c>
      <c r="GZ127">
        <f>COUNTIFS('DRAFT 2'!$D:$D,$B127,'DRAFT 2'!$A:$A,"&gt;="&amp;DATE(2026,9,8),'DRAFT 2'!$A:$A,"&lt;="&amp;DATE(2026,9,14))</f>
        <v>0</v>
      </c>
      <c r="HA127">
        <f>COUNTIFS('DRAFT 2'!$D:$D,$B127,'DRAFT 2'!$A:$A,"&gt;="&amp;DATE(2026,9,15),'DRAFT 2'!$A:$A,"&lt;="&amp;DATE(2026,9,21))</f>
        <v>0</v>
      </c>
      <c r="HB127">
        <f>COUNTIFS('DRAFT 2'!$D:$D,$B127,'DRAFT 2'!$A:$A,"&gt;="&amp;DATE(2026,9,22),'DRAFT 2'!$A:$A,"&lt;"&amp;DATE(2026,IF(9=12,9+1,9+1),1))</f>
        <v>0</v>
      </c>
      <c r="HC127">
        <f t="shared" si="52"/>
        <v>0</v>
      </c>
      <c r="HN127">
        <f>IFERROR(LOOKUP(2,1/('DRAFT 2'!$D:$D=$B127)*('DRAFT 2'!$A:$A&gt;=DATE(2026,10,1))*('DRAFT 2'!$A:$A&lt;DATE(2026,IF(10=12,10+1,10+1),1)),'DRAFT 2'!$A:$A),"")</f>
        <v>0</v>
      </c>
      <c r="HO127">
        <f>COUNTIFS('DRAFT 2'!$D:$D,$B127,'DRAFT 2'!$A:$A,"&gt;="&amp;DATE(2026,10,1),'DRAFT 2'!$A:$A,"&lt;="&amp;DATE(2026,10,7))</f>
        <v>0</v>
      </c>
      <c r="HP127">
        <f>COUNTIFS('DRAFT 2'!$D:$D,$B127,'DRAFT 2'!$A:$A,"&gt;="&amp;DATE(2026,10,8),'DRAFT 2'!$A:$A,"&lt;="&amp;DATE(2026,10,14))</f>
        <v>0</v>
      </c>
      <c r="HQ127">
        <f>COUNTIFS('DRAFT 2'!$D:$D,$B127,'DRAFT 2'!$A:$A,"&gt;="&amp;DATE(2026,10,15),'DRAFT 2'!$A:$A,"&lt;="&amp;DATE(2026,10,21))</f>
        <v>0</v>
      </c>
      <c r="HR127">
        <f>COUNTIFS('DRAFT 2'!$D:$D,$B127,'DRAFT 2'!$A:$A,"&gt;="&amp;DATE(2026,10,22),'DRAFT 2'!$A:$A,"&lt;"&amp;DATE(2026,IF(10=12,10+1,10+1),1))</f>
        <v>0</v>
      </c>
      <c r="HS127">
        <f t="shared" si="53"/>
        <v>0</v>
      </c>
      <c r="IC127">
        <f>IFERROR(LOOKUP(2,1/('DRAFT 2'!$D:$D=$B127)*('DRAFT 2'!$A:$A&gt;=DATE(2026,11,1))*('DRAFT 2'!$A:$A&lt;DATE(2026,IF(11=12,11+1,11+1),1)),'DRAFT 2'!$A:$A),"")</f>
        <v>0</v>
      </c>
      <c r="ID127">
        <f>COUNTIFS('DRAFT 2'!$D:$D,$B127,'DRAFT 2'!$A:$A,"&gt;="&amp;DATE(2026,11,1),'DRAFT 2'!$A:$A,"&lt;="&amp;DATE(2026,11,7))</f>
        <v>0</v>
      </c>
      <c r="IE127">
        <f>COUNTIFS('DRAFT 2'!$D:$D,$B127,'DRAFT 2'!$A:$A,"&gt;="&amp;DATE(2026,11,8),'DRAFT 2'!$A:$A,"&lt;="&amp;DATE(2026,11,14))</f>
        <v>0</v>
      </c>
      <c r="IF127">
        <f>COUNTIFS('DRAFT 2'!$D:$D,$B127,'DRAFT 2'!$A:$A,"&gt;="&amp;DATE(2026,11,15),'DRAFT 2'!$A:$A,"&lt;="&amp;DATE(2026,11,21))</f>
        <v>0</v>
      </c>
      <c r="IG127">
        <f>COUNTIFS('DRAFT 2'!$D:$D,$B127,'DRAFT 2'!$A:$A,"&gt;="&amp;DATE(2026,11,22),'DRAFT 2'!$A:$A,"&lt;"&amp;DATE(2026,IF(11=12,11+1,11+1),1))</f>
        <v>0</v>
      </c>
      <c r="IH127">
        <f t="shared" si="54"/>
        <v>0</v>
      </c>
      <c r="IR127">
        <f>IFERROR(LOOKUP(2,1/('DRAFT 2'!$D:$D=$B127)*('DRAFT 2'!$A:$A&gt;=DATE(2026,12,1))*('DRAFT 2'!$A:$A&lt;DATE(2026,IF(12=12,12+1,12+1),1)),'DRAFT 2'!$A:$A),"")</f>
        <v>0</v>
      </c>
      <c r="IS127">
        <f>COUNTIFS('DRAFT 2'!$D:$D,$B127,'DRAFT 2'!$A:$A,"&gt;="&amp;DATE(2026,12,1),'DRAFT 2'!$A:$A,"&lt;="&amp;DATE(2026,12,7))</f>
        <v>0</v>
      </c>
      <c r="IT127">
        <f>COUNTIFS('DRAFT 2'!$D:$D,$B127,'DRAFT 2'!$A:$A,"&gt;="&amp;DATE(2026,12,8),'DRAFT 2'!$A:$A,"&lt;="&amp;DATE(2026,12,14))</f>
        <v>0</v>
      </c>
      <c r="IU127">
        <f>COUNTIFS('DRAFT 2'!$D:$D,$B127,'DRAFT 2'!$A:$A,"&gt;="&amp;DATE(2026,12,15),'DRAFT 2'!$A:$A,"&lt;="&amp;DATE(2026,12,21))</f>
        <v>0</v>
      </c>
      <c r="IV127">
        <f>COUNTIFS('DRAFT 2'!$D:$D,$B127,'DRAFT 2'!$A:$A,"&gt;="&amp;DATE(2026,12,22),'DRAFT 2'!$A:$A,"&lt;"&amp;DATE(2026,IF(12=12,12+1,12+1),1))</f>
        <v>0</v>
      </c>
      <c r="IW127">
        <f t="shared" si="55"/>
        <v>0</v>
      </c>
    </row>
    <row r="128" spans="1:257" x14ac:dyDescent="0.3">
      <c r="A128" t="str">
        <f>IFERROR(INDEX('DRAFT 1'!$A:$A,MATCH($B128,'DRAFT 1'!$B:$B,0)),"")</f>
        <v/>
      </c>
      <c r="C128" t="str">
        <f>IFERROR(INDEX('DRAFT 1'!$C:$C,MATCH($B128,'DRAFT 1'!$B:$B,0)),"")</f>
        <v/>
      </c>
      <c r="D128" t="str">
        <f>IFERROR(INDEX('DRAFT 1'!$D:$D,MATCH($B128,'DRAFT 1'!$B:$B,0)),"")</f>
        <v/>
      </c>
      <c r="E128" t="str">
        <f>IFERROR(INDEX('DRAFT 1'!$E:$E,MATCH($B128,'DRAFT 1'!$B:$B,0)),"")</f>
        <v/>
      </c>
      <c r="F128" t="str">
        <f>IFERROR(INDEX('DRAFT 1'!$F:$F,MATCH($B128,'DRAFT 1'!$B:$B,0)),"")</f>
        <v/>
      </c>
      <c r="G128" t="str">
        <f>IFERROR(INDEX('DRAFT 1'!$G:$G,MATCH($B128,'DRAFT 1'!$B:$B,0)),"")</f>
        <v/>
      </c>
      <c r="H128" t="str">
        <f>IFERROR(INDEX('DRAFT 1'!$H:$H,MATCH($B128,'DRAFT 1'!$B:$B,0)),"")</f>
        <v/>
      </c>
      <c r="I128" t="str">
        <f>IFERROR(INDEX('DRAFT 1'!$I:$I,MATCH($B128,'DRAFT 1'!$B:$B,0)),"")</f>
        <v/>
      </c>
      <c r="K128" t="str">
        <f>IFERROR(INDEX('DRAFT 1'!$AL:$AL,MATCH($B128,'DRAFT 1'!$B:$B,0)),"")</f>
        <v/>
      </c>
      <c r="L128" t="str">
        <f>IFERROR(INDEX('DRAFT 1'!$J:$J,MATCH($B128,'DRAFT 1'!$B:$B,0)),"")</f>
        <v/>
      </c>
      <c r="M128" t="str">
        <f>IFERROR(INDEX('DRAFT 1'!$K:$K,MATCH($B128,'DRAFT 1'!$B:$B,0)),"")</f>
        <v/>
      </c>
      <c r="P128" t="str">
        <f>IFERROR(INDEX('DRAFT 1'!$L:$L,MATCH($B128,'DRAFT 1'!$B:$B,0)),"")</f>
        <v/>
      </c>
      <c r="Q128" t="str">
        <f>IFERROR(INDEX('DRAFT 1'!$M:$M,MATCH($B128,'DRAFT 1'!$B:$B,0)),"")</f>
        <v/>
      </c>
      <c r="R128" t="str">
        <f>IFERROR(INDEX('DRAFT 1'!$N:$N,MATCH($B128,'DRAFT 1'!$B:$B,0)),"")</f>
        <v/>
      </c>
      <c r="S128" t="str">
        <f>IFERROR(INDEX('DRAFT 1'!$O:$O,MATCH($B128,'DRAFT 1'!$B:$B,0)),"")</f>
        <v/>
      </c>
      <c r="T128" t="str">
        <f>IFERROR(INDEX('DRAFT 1'!$P:$P,MATCH($B128,'DRAFT 1'!$B:$B,0)),"")</f>
        <v/>
      </c>
      <c r="U128" t="str">
        <f>IFERROR(INDEX('DRAFT 1'!$Q:$Q,MATCH($B128,'DRAFT 1'!$B:$B,0)),"")</f>
        <v/>
      </c>
      <c r="V128" t="str">
        <f>IFERROR(INDEX('DRAFT 1'!$R:$R,MATCH($B128,'DRAFT 1'!$B:$B,0)),"")</f>
        <v/>
      </c>
      <c r="W128" t="str">
        <f>IFERROR(INDEX('DRAFT 1'!$S:$S,MATCH($B128,'DRAFT 1'!$B:$B,0)),"")</f>
        <v/>
      </c>
      <c r="X128" t="str">
        <f>IFERROR(INDEX('DRAFT 1'!$T:$T,MATCH($B128,'DRAFT 1'!$B:$B,0)),"")</f>
        <v/>
      </c>
      <c r="Z128" t="str">
        <f>IFERROR(INDEX('DRAFT 1'!$U:$U,MATCH($B128,'DRAFT 1'!$B:$B,0)),"")</f>
        <v/>
      </c>
      <c r="AA128" t="str">
        <f>IFERROR(INDEX('DRAFT 1'!$V:$V,MATCH($B128,'DRAFT 1'!$B:$B,0)),"")</f>
        <v/>
      </c>
      <c r="AB128" t="str">
        <f>IFERROR(INDEX('DRAFT 1'!$W:$W,MATCH($B128,'DRAFT 1'!$B:$B,0)),"")</f>
        <v/>
      </c>
      <c r="AC128" t="str">
        <f>IFERROR(INDEX('DRAFT 1'!$X:$X,MATCH($B128,'DRAFT 1'!$B:$B,0)),"")</f>
        <v/>
      </c>
      <c r="AD128" t="str">
        <f>IFERROR(INDEX('DRAFT 1'!$Y:$Y,MATCH($B128,'DRAFT 1'!$B:$B,0)),"")</f>
        <v/>
      </c>
      <c r="AE128" t="str">
        <f>IFERROR(INDEX('DRAFT 1'!$Z:$Z,MATCH($B128,'DRAFT 1'!$B:$B,0)),"")</f>
        <v/>
      </c>
      <c r="AF128" t="str">
        <f>IFERROR(INDEX('DRAFT 1'!$AA:$AA,MATCH($B128,'DRAFT 1'!$B:$B,0)),"")</f>
        <v/>
      </c>
      <c r="AG128" t="str">
        <f>IFERROR(INDEX('DRAFT 1'!$AB:$AB,MATCH($B128,'DRAFT 1'!$B:$B,0)),"")</f>
        <v/>
      </c>
      <c r="AH128" t="str">
        <f>IFERROR(INDEX('DRAFT 1'!$AC:$AC,MATCH($B128,'DRAFT 1'!$B:$B,0)),"")</f>
        <v/>
      </c>
      <c r="AI128" t="str">
        <f>IFERROR(INDEX('DRAFT 1'!$AD:$AD,MATCH($B128,'DRAFT 1'!$B:$B,0)),"")</f>
        <v/>
      </c>
      <c r="AJ128" t="str">
        <f>IFERROR(INDEX('DRAFT 1'!$AE:$AE,MATCH($B128,'DRAFT 1'!$B:$B,0)),"")</f>
        <v/>
      </c>
      <c r="AK128" t="str">
        <f>IFERROR(INDEX('DRAFT 1'!$AG:$AG,MATCH($B128,'DRAFT 1'!$B:$B,0)),"")</f>
        <v/>
      </c>
      <c r="AL128" t="str">
        <f>IFERROR(INDEX('DRAFT 1'!$AH:$AH,MATCH($B128,'DRAFT 1'!$B:$B,0)),"")</f>
        <v/>
      </c>
      <c r="AM128" t="str">
        <f>IFERROR(INDEX('DRAFT 1'!$AI:$AI,MATCH($B128,'DRAFT 1'!$B:$B,0)),"")</f>
        <v/>
      </c>
      <c r="AN128" t="str">
        <f>IFERROR(INDEX('DRAFT 1'!$AJ:$AJ,MATCH($B128,'DRAFT 1'!$B:$B,0)),"")</f>
        <v/>
      </c>
      <c r="AO128">
        <f t="shared" si="42"/>
        <v>0</v>
      </c>
      <c r="AP128" t="str">
        <f>IFERROR(INDEX('DRAFT 1'!$AK:$AK,MATCH($B128,'DRAFT 1'!$B:$B,0)),"")</f>
        <v/>
      </c>
      <c r="AR128">
        <f>IFERROR(LOOKUP(2,1/('DRAFT 2'!$D:$D=$B128),'DRAFT 2'!$I:$I),"")</f>
        <v>0</v>
      </c>
      <c r="AS128">
        <f>IFERROR(LOOKUP(2,1/('DRAFT 2'!$D:$D=$B128),'DRAFT 2'!$T:$T),"")</f>
        <v>0</v>
      </c>
      <c r="AT128">
        <f>IFERROR(LOOKUP(2,1/('DRAFT 2'!$D:$D=$B128),'DRAFT 2'!$A:$A),"")</f>
        <v>0</v>
      </c>
      <c r="AU128">
        <f>IFERROR(LOOKUP(2,1/('DRAFT 2'!$D:$D=$B128),'DRAFT 2'!$R:$R),"")</f>
        <v>0</v>
      </c>
      <c r="AV128">
        <f>IFERROR(LOOKUP(2,1/('DRAFT 2'!$D:$D=$B128),'DRAFT 2'!$S:$S),"")</f>
        <v>0</v>
      </c>
      <c r="AX128">
        <f>IFERROR(LOOKUP(2,1/('DRAFT 2'!$D:$D=$B128),'DRAFT 2'!$M:$M),"")</f>
        <v>0</v>
      </c>
      <c r="AY128">
        <f>IFERROR(LOOKUP(2,1/('DRAFT 2'!$D:$D=$B128),'DRAFT 2'!$K:$K),"")</f>
        <v>0</v>
      </c>
      <c r="BG128">
        <f>IFERROR(LOOKUP(2,1/('DRAFT 2'!$D:$D=$B128),'DRAFT 2'!$U:$U),"")</f>
        <v>0</v>
      </c>
      <c r="BH128">
        <f>IFERROR(LOOKUP(2,1/('DRAFT 2'!$D:$D=$B128),'DRAFT 2'!$V:$V),"")</f>
        <v>0</v>
      </c>
      <c r="CE128" t="str">
        <f t="shared" si="43"/>
        <v/>
      </c>
      <c r="CF128">
        <f>IFERROR(LOOKUP(2,1/('DRAFT 2'!$D:$D=$B128)*('DRAFT 2'!$A:$A&gt;=DATE(2026,1,1))*('DRAFT 2'!$A:$A&lt;DATE(2026,IF(1=12,1+1,1+1),1)),'DRAFT 2'!$A:$A),"")</f>
        <v>0</v>
      </c>
      <c r="CG128">
        <f>COUNTIFS('DRAFT 2'!$D:$D,$B128,'DRAFT 2'!$A:$A,"&gt;="&amp;DATE(2026,1,1),'DRAFT 2'!$A:$A,"&lt;="&amp;DATE(2026,1,7))</f>
        <v>0</v>
      </c>
      <c r="CH128">
        <f>COUNTIFS('DRAFT 2'!$D:$D,$B128,'DRAFT 2'!$A:$A,"&gt;="&amp;DATE(2026,1,8),'DRAFT 2'!$A:$A,"&lt;="&amp;DATE(2026,1,14))</f>
        <v>0</v>
      </c>
      <c r="CI128">
        <f>COUNTIFS('DRAFT 2'!$D:$D,$B128,'DRAFT 2'!$A:$A,"&gt;="&amp;DATE(2026,1,15),'DRAFT 2'!$A:$A,"&lt;="&amp;DATE(2026,1,21))</f>
        <v>0</v>
      </c>
      <c r="CJ128">
        <f>COUNTIFS('DRAFT 2'!$D:$D,$B128,'DRAFT 2'!$A:$A,"&gt;="&amp;DATE(2026,1,22),'DRAFT 2'!$A:$A,"&lt;"&amp;DATE(2026,IF(1=12,1+1,1+1),1))</f>
        <v>0</v>
      </c>
      <c r="CK128">
        <f t="shared" si="44"/>
        <v>0</v>
      </c>
      <c r="CT128">
        <v>0</v>
      </c>
      <c r="CU128">
        <f>IFERROR(LOOKUP(2,1/('DRAFT 2'!$D:$D=$B128)*('DRAFT 2'!$A:$A&gt;=DATE(2026,2,1))*('DRAFT 2'!$A:$A&lt;DATE(2026,IF(2=12,2+1,2+1),1)),'DRAFT 2'!$A:$A),"")</f>
        <v>0</v>
      </c>
      <c r="CV128">
        <f>COUNTIFS('DRAFT 2'!$D:$D,$B128,'DRAFT 2'!$A:$A,"&gt;="&amp;DATE(2026,2,1),'DRAFT 2'!$A:$A,"&lt;="&amp;DATE(2026,2,7))</f>
        <v>0</v>
      </c>
      <c r="CW128">
        <f>COUNTIFS('DRAFT 2'!$D:$D,$B128,'DRAFT 2'!$A:$A,"&gt;="&amp;DATE(2026,2,8),'DRAFT 2'!$A:$A,"&lt;="&amp;DATE(2026,2,14))</f>
        <v>0</v>
      </c>
      <c r="CX128">
        <f>COUNTIFS('DRAFT 2'!$D:$D,$B128,'DRAFT 2'!$A:$A,"&gt;="&amp;DATE(2026,2,15),'DRAFT 2'!$A:$A,"&lt;="&amp;DATE(2026,2,21))</f>
        <v>0</v>
      </c>
      <c r="CY128">
        <f>COUNTIFS('DRAFT 2'!$D:$D,$B128,'DRAFT 2'!$A:$A,"&gt;="&amp;DATE(2026,2,22),'DRAFT 2'!$A:$A,"&lt;"&amp;DATE(2026,IF(2=12,2+1,2+1),1))</f>
        <v>0</v>
      </c>
      <c r="CZ128">
        <f t="shared" si="45"/>
        <v>0</v>
      </c>
      <c r="DJ128">
        <f>IFERROR(LOOKUP(2,1/('DRAFT 2'!$D:$D=$B128)*('DRAFT 2'!$A:$A&gt;=DATE(2026,3,1))*('DRAFT 2'!$A:$A&lt;DATE(2026,IF(3=12,3+1,3+1),1)),'DRAFT 2'!$A:$A),"")</f>
        <v>0</v>
      </c>
      <c r="DK128">
        <f>COUNTIFS('DRAFT 2'!$D:$D,$B128,'DRAFT 2'!$A:$A,"&gt;="&amp;DATE(2026,3,1),'DRAFT 2'!$A:$A,"&lt;="&amp;DATE(2026,3,7))</f>
        <v>0</v>
      </c>
      <c r="DL128">
        <f>COUNTIFS('DRAFT 2'!$D:$D,$B128,'DRAFT 2'!$A:$A,"&gt;="&amp;DATE(2026,3,8),'DRAFT 2'!$A:$A,"&lt;="&amp;DATE(2026,3,14))</f>
        <v>0</v>
      </c>
      <c r="DM128">
        <f>COUNTIFS('DRAFT 2'!$D:$D,$B128,'DRAFT 2'!$A:$A,"&gt;="&amp;DATE(2026,3,15),'DRAFT 2'!$A:$A,"&lt;="&amp;DATE(2026,3,21))</f>
        <v>0</v>
      </c>
      <c r="DN128">
        <f>COUNTIFS('DRAFT 2'!$D:$D,$B128,'DRAFT 2'!$A:$A,"&gt;="&amp;DATE(2026,3,22),'DRAFT 2'!$A:$A,"&lt;"&amp;DATE(2026,IF(3=12,3+1,3+1),1))</f>
        <v>0</v>
      </c>
      <c r="DO128">
        <f t="shared" si="46"/>
        <v>0</v>
      </c>
      <c r="DZ128">
        <f>IFERROR(LOOKUP(2,1/('DRAFT 2'!$D:$D=$B128)*('DRAFT 2'!$A:$A&gt;=DATE(2026,4,1))*('DRAFT 2'!$A:$A&lt;DATE(2026,IF(4=12,4+1,4+1),1)),'DRAFT 2'!$A:$A),"")</f>
        <v>0</v>
      </c>
      <c r="EA128">
        <f>COUNTIFS('DRAFT 2'!$D:$D,$B128,'DRAFT 2'!$A:$A,"&gt;="&amp;DATE(2026,4,1),'DRAFT 2'!$A:$A,"&lt;="&amp;DATE(2026,4,7))</f>
        <v>0</v>
      </c>
      <c r="EB128">
        <f>COUNTIFS('DRAFT 2'!$D:$D,$B128,'DRAFT 2'!$A:$A,"&gt;="&amp;DATE(2026,4,8),'DRAFT 2'!$A:$A,"&lt;="&amp;DATE(2026,4,14))</f>
        <v>0</v>
      </c>
      <c r="EC128">
        <f>COUNTIFS('DRAFT 2'!$D:$D,$B128,'DRAFT 2'!$A:$A,"&gt;="&amp;DATE(2026,4,15),'DRAFT 2'!$A:$A,"&lt;="&amp;DATE(2026,4,21))</f>
        <v>0</v>
      </c>
      <c r="ED128">
        <f>COUNTIFS('DRAFT 2'!$D:$D,$B128,'DRAFT 2'!$A:$A,"&gt;="&amp;DATE(2026,4,22),'DRAFT 2'!$A:$A,"&lt;"&amp;DATE(2026,IF(4=12,4+1,4+1),1))</f>
        <v>0</v>
      </c>
      <c r="EE128">
        <f t="shared" si="47"/>
        <v>0</v>
      </c>
      <c r="EO128">
        <f>IFERROR(LOOKUP(2,1/('DRAFT 2'!$D:$D=$B128)*('DRAFT 2'!$A:$A&gt;=DATE(2026,5,1))*('DRAFT 2'!$A:$A&lt;DATE(2026,IF(5=12,5+1,5+1),1)),'DRAFT 2'!$A:$A),"")</f>
        <v>0</v>
      </c>
      <c r="EP128">
        <f>COUNTIFS('DRAFT 2'!$D:$D,$B128,'DRAFT 2'!$A:$A,"&gt;="&amp;DATE(2026,5,1),'DRAFT 2'!$A:$A,"&lt;="&amp;DATE(2026,5,7))</f>
        <v>0</v>
      </c>
      <c r="EQ128">
        <f>COUNTIFS('DRAFT 2'!$D:$D,$B128,'DRAFT 2'!$A:$A,"&gt;="&amp;DATE(2026,5,8),'DRAFT 2'!$A:$A,"&lt;="&amp;DATE(2026,5,14))</f>
        <v>0</v>
      </c>
      <c r="ER128">
        <f>COUNTIFS('DRAFT 2'!$D:$D,$B128,'DRAFT 2'!$A:$A,"&gt;="&amp;DATE(2026,5,15),'DRAFT 2'!$A:$A,"&lt;="&amp;DATE(2026,5,21))</f>
        <v>0</v>
      </c>
      <c r="ES128">
        <f>COUNTIFS('DRAFT 2'!$D:$D,$B128,'DRAFT 2'!$A:$A,"&gt;="&amp;DATE(2026,5,22),'DRAFT 2'!$A:$A,"&lt;"&amp;DATE(2026,IF(5=12,5+1,5+1),1))</f>
        <v>0</v>
      </c>
      <c r="ET128">
        <f t="shared" si="48"/>
        <v>0</v>
      </c>
      <c r="FD128">
        <f>IFERROR(LOOKUP(2,1/('DRAFT 2'!$D:$D=$B128)*('DRAFT 2'!$A:$A&gt;=DATE(2026,6,1))*('DRAFT 2'!$A:$A&lt;DATE(2026,IF(6=12,6+1,6+1),1)),'DRAFT 2'!$A:$A),"")</f>
        <v>0</v>
      </c>
      <c r="FE128">
        <f>COUNTIFS('DRAFT 2'!$D:$D,$B128,'DRAFT 2'!$A:$A,"&gt;="&amp;DATE(2026,6,1),'DRAFT 2'!$A:$A,"&lt;="&amp;DATE(2026,6,7))</f>
        <v>0</v>
      </c>
      <c r="FF128">
        <f>COUNTIFS('DRAFT 2'!$D:$D,$B128,'DRAFT 2'!$A:$A,"&gt;="&amp;DATE(2026,6,8),'DRAFT 2'!$A:$A,"&lt;="&amp;DATE(2026,6,14))</f>
        <v>0</v>
      </c>
      <c r="FG128">
        <f>COUNTIFS('DRAFT 2'!$D:$D,$B128,'DRAFT 2'!$A:$A,"&gt;="&amp;DATE(2026,6,15),'DRAFT 2'!$A:$A,"&lt;="&amp;DATE(2026,6,21))</f>
        <v>0</v>
      </c>
      <c r="FH128">
        <f>COUNTIFS('DRAFT 2'!$D:$D,$B128,'DRAFT 2'!$A:$A,"&gt;="&amp;DATE(2026,6,22),'DRAFT 2'!$A:$A,"&lt;"&amp;DATE(2026,IF(6=12,6+1,6+1),1))</f>
        <v>0</v>
      </c>
      <c r="FI128">
        <f t="shared" si="49"/>
        <v>0</v>
      </c>
      <c r="FT128">
        <f>IFERROR(LOOKUP(2,1/('DRAFT 2'!$D:$D=$B128)*('DRAFT 2'!$A:$A&gt;=DATE(2026,7,1))*('DRAFT 2'!$A:$A&lt;DATE(2026,IF(7=12,7+1,7+1),1)),'DRAFT 2'!$A:$A),"")</f>
        <v>0</v>
      </c>
      <c r="FU128">
        <f>COUNTIFS('DRAFT 2'!$D:$D,$B128,'DRAFT 2'!$A:$A,"&gt;="&amp;DATE(2026,7,1),'DRAFT 2'!$A:$A,"&lt;="&amp;DATE(2026,7,7))</f>
        <v>0</v>
      </c>
      <c r="FV128">
        <f>COUNTIFS('DRAFT 2'!$D:$D,$B128,'DRAFT 2'!$A:$A,"&gt;="&amp;DATE(2026,7,8),'DRAFT 2'!$A:$A,"&lt;="&amp;DATE(2026,7,14))</f>
        <v>0</v>
      </c>
      <c r="FW128">
        <f>COUNTIFS('DRAFT 2'!$D:$D,$B128,'DRAFT 2'!$A:$A,"&gt;="&amp;DATE(2026,7,15),'DRAFT 2'!$A:$A,"&lt;="&amp;DATE(2026,7,21))</f>
        <v>0</v>
      </c>
      <c r="FX128">
        <f>COUNTIFS('DRAFT 2'!$D:$D,$B128,'DRAFT 2'!$A:$A,"&gt;="&amp;DATE(2026,7,22),'DRAFT 2'!$A:$A,"&lt;"&amp;DATE(2026,IF(7=12,7+1,7+1),1))</f>
        <v>0</v>
      </c>
      <c r="FY128">
        <f t="shared" si="50"/>
        <v>0</v>
      </c>
      <c r="GI128">
        <f>IFERROR(LOOKUP(2,1/('DRAFT 2'!$D:$D=$B128)*('DRAFT 2'!$A:$A&gt;=DATE(2026,8,1))*('DRAFT 2'!$A:$A&lt;DATE(2026,IF(8=12,8+1,8+1),1)),'DRAFT 2'!$A:$A),"")</f>
        <v>0</v>
      </c>
      <c r="GJ128">
        <f>COUNTIFS('DRAFT 2'!$D:$D,$B128,'DRAFT 2'!$A:$A,"&gt;="&amp;DATE(2026,8,1),'DRAFT 2'!$A:$A,"&lt;="&amp;DATE(2026,8,7))</f>
        <v>0</v>
      </c>
      <c r="GK128">
        <f>COUNTIFS('DRAFT 2'!$D:$D,$B128,'DRAFT 2'!$A:$A,"&gt;="&amp;DATE(2026,8,8),'DRAFT 2'!$A:$A,"&lt;="&amp;DATE(2026,8,14))</f>
        <v>0</v>
      </c>
      <c r="GL128">
        <f>COUNTIFS('DRAFT 2'!$D:$D,$B128,'DRAFT 2'!$A:$A,"&gt;="&amp;DATE(2026,8,15),'DRAFT 2'!$A:$A,"&lt;="&amp;DATE(2026,8,21))</f>
        <v>0</v>
      </c>
      <c r="GM128">
        <f>COUNTIFS('DRAFT 2'!$D:$D,$B128,'DRAFT 2'!$A:$A,"&gt;="&amp;DATE(2026,8,22),'DRAFT 2'!$A:$A,"&lt;"&amp;DATE(2026,IF(8=12,8+1,8+1),1))</f>
        <v>0</v>
      </c>
      <c r="GN128">
        <f t="shared" si="51"/>
        <v>0</v>
      </c>
      <c r="GX128">
        <f>IFERROR(LOOKUP(2,1/('DRAFT 2'!$D:$D=$B128)*('DRAFT 2'!$A:$A&gt;=DATE(2026,9,1))*('DRAFT 2'!$A:$A&lt;DATE(2026,IF(9=12,9+1,9+1),1)),'DRAFT 2'!$A:$A),"")</f>
        <v>0</v>
      </c>
      <c r="GY128">
        <f>COUNTIFS('DRAFT 2'!$D:$D,$B128,'DRAFT 2'!$A:$A,"&gt;="&amp;DATE(2026,9,1),'DRAFT 2'!$A:$A,"&lt;="&amp;DATE(2026,9,7))</f>
        <v>0</v>
      </c>
      <c r="GZ128">
        <f>COUNTIFS('DRAFT 2'!$D:$D,$B128,'DRAFT 2'!$A:$A,"&gt;="&amp;DATE(2026,9,8),'DRAFT 2'!$A:$A,"&lt;="&amp;DATE(2026,9,14))</f>
        <v>0</v>
      </c>
      <c r="HA128">
        <f>COUNTIFS('DRAFT 2'!$D:$D,$B128,'DRAFT 2'!$A:$A,"&gt;="&amp;DATE(2026,9,15),'DRAFT 2'!$A:$A,"&lt;="&amp;DATE(2026,9,21))</f>
        <v>0</v>
      </c>
      <c r="HB128">
        <f>COUNTIFS('DRAFT 2'!$D:$D,$B128,'DRAFT 2'!$A:$A,"&gt;="&amp;DATE(2026,9,22),'DRAFT 2'!$A:$A,"&lt;"&amp;DATE(2026,IF(9=12,9+1,9+1),1))</f>
        <v>0</v>
      </c>
      <c r="HC128">
        <f t="shared" si="52"/>
        <v>0</v>
      </c>
      <c r="HN128">
        <f>IFERROR(LOOKUP(2,1/('DRAFT 2'!$D:$D=$B128)*('DRAFT 2'!$A:$A&gt;=DATE(2026,10,1))*('DRAFT 2'!$A:$A&lt;DATE(2026,IF(10=12,10+1,10+1),1)),'DRAFT 2'!$A:$A),"")</f>
        <v>0</v>
      </c>
      <c r="HO128">
        <f>COUNTIFS('DRAFT 2'!$D:$D,$B128,'DRAFT 2'!$A:$A,"&gt;="&amp;DATE(2026,10,1),'DRAFT 2'!$A:$A,"&lt;="&amp;DATE(2026,10,7))</f>
        <v>0</v>
      </c>
      <c r="HP128">
        <f>COUNTIFS('DRAFT 2'!$D:$D,$B128,'DRAFT 2'!$A:$A,"&gt;="&amp;DATE(2026,10,8),'DRAFT 2'!$A:$A,"&lt;="&amp;DATE(2026,10,14))</f>
        <v>0</v>
      </c>
      <c r="HQ128">
        <f>COUNTIFS('DRAFT 2'!$D:$D,$B128,'DRAFT 2'!$A:$A,"&gt;="&amp;DATE(2026,10,15),'DRAFT 2'!$A:$A,"&lt;="&amp;DATE(2026,10,21))</f>
        <v>0</v>
      </c>
      <c r="HR128">
        <f>COUNTIFS('DRAFT 2'!$D:$D,$B128,'DRAFT 2'!$A:$A,"&gt;="&amp;DATE(2026,10,22),'DRAFT 2'!$A:$A,"&lt;"&amp;DATE(2026,IF(10=12,10+1,10+1),1))</f>
        <v>0</v>
      </c>
      <c r="HS128">
        <f t="shared" si="53"/>
        <v>0</v>
      </c>
      <c r="IC128">
        <f>IFERROR(LOOKUP(2,1/('DRAFT 2'!$D:$D=$B128)*('DRAFT 2'!$A:$A&gt;=DATE(2026,11,1))*('DRAFT 2'!$A:$A&lt;DATE(2026,IF(11=12,11+1,11+1),1)),'DRAFT 2'!$A:$A),"")</f>
        <v>0</v>
      </c>
      <c r="ID128">
        <f>COUNTIFS('DRAFT 2'!$D:$D,$B128,'DRAFT 2'!$A:$A,"&gt;="&amp;DATE(2026,11,1),'DRAFT 2'!$A:$A,"&lt;="&amp;DATE(2026,11,7))</f>
        <v>0</v>
      </c>
      <c r="IE128">
        <f>COUNTIFS('DRAFT 2'!$D:$D,$B128,'DRAFT 2'!$A:$A,"&gt;="&amp;DATE(2026,11,8),'DRAFT 2'!$A:$A,"&lt;="&amp;DATE(2026,11,14))</f>
        <v>0</v>
      </c>
      <c r="IF128">
        <f>COUNTIFS('DRAFT 2'!$D:$D,$B128,'DRAFT 2'!$A:$A,"&gt;="&amp;DATE(2026,11,15),'DRAFT 2'!$A:$A,"&lt;="&amp;DATE(2026,11,21))</f>
        <v>0</v>
      </c>
      <c r="IG128">
        <f>COUNTIFS('DRAFT 2'!$D:$D,$B128,'DRAFT 2'!$A:$A,"&gt;="&amp;DATE(2026,11,22),'DRAFT 2'!$A:$A,"&lt;"&amp;DATE(2026,IF(11=12,11+1,11+1),1))</f>
        <v>0</v>
      </c>
      <c r="IH128">
        <f t="shared" si="54"/>
        <v>0</v>
      </c>
      <c r="IR128">
        <f>IFERROR(LOOKUP(2,1/('DRAFT 2'!$D:$D=$B128)*('DRAFT 2'!$A:$A&gt;=DATE(2026,12,1))*('DRAFT 2'!$A:$A&lt;DATE(2026,IF(12=12,12+1,12+1),1)),'DRAFT 2'!$A:$A),"")</f>
        <v>0</v>
      </c>
      <c r="IS128">
        <f>COUNTIFS('DRAFT 2'!$D:$D,$B128,'DRAFT 2'!$A:$A,"&gt;="&amp;DATE(2026,12,1),'DRAFT 2'!$A:$A,"&lt;="&amp;DATE(2026,12,7))</f>
        <v>0</v>
      </c>
      <c r="IT128">
        <f>COUNTIFS('DRAFT 2'!$D:$D,$B128,'DRAFT 2'!$A:$A,"&gt;="&amp;DATE(2026,12,8),'DRAFT 2'!$A:$A,"&lt;="&amp;DATE(2026,12,14))</f>
        <v>0</v>
      </c>
      <c r="IU128">
        <f>COUNTIFS('DRAFT 2'!$D:$D,$B128,'DRAFT 2'!$A:$A,"&gt;="&amp;DATE(2026,12,15),'DRAFT 2'!$A:$A,"&lt;="&amp;DATE(2026,12,21))</f>
        <v>0</v>
      </c>
      <c r="IV128">
        <f>COUNTIFS('DRAFT 2'!$D:$D,$B128,'DRAFT 2'!$A:$A,"&gt;="&amp;DATE(2026,12,22),'DRAFT 2'!$A:$A,"&lt;"&amp;DATE(2026,IF(12=12,12+1,12+1),1))</f>
        <v>0</v>
      </c>
      <c r="IW128">
        <f t="shared" si="55"/>
        <v>0</v>
      </c>
    </row>
    <row r="129" spans="1:257" x14ac:dyDescent="0.3">
      <c r="A129" t="str">
        <f>IFERROR(INDEX('DRAFT 1'!$A:$A,MATCH($B129,'DRAFT 1'!$B:$B,0)),"")</f>
        <v/>
      </c>
      <c r="C129" t="str">
        <f>IFERROR(INDEX('DRAFT 1'!$C:$C,MATCH($B129,'DRAFT 1'!$B:$B,0)),"")</f>
        <v/>
      </c>
      <c r="D129" t="str">
        <f>IFERROR(INDEX('DRAFT 1'!$D:$D,MATCH($B129,'DRAFT 1'!$B:$B,0)),"")</f>
        <v/>
      </c>
      <c r="E129" t="str">
        <f>IFERROR(INDEX('DRAFT 1'!$E:$E,MATCH($B129,'DRAFT 1'!$B:$B,0)),"")</f>
        <v/>
      </c>
      <c r="F129" t="str">
        <f>IFERROR(INDEX('DRAFT 1'!$F:$F,MATCH($B129,'DRAFT 1'!$B:$B,0)),"")</f>
        <v/>
      </c>
      <c r="G129" t="str">
        <f>IFERROR(INDEX('DRAFT 1'!$G:$G,MATCH($B129,'DRAFT 1'!$B:$B,0)),"")</f>
        <v/>
      </c>
      <c r="H129" t="str">
        <f>IFERROR(INDEX('DRAFT 1'!$H:$H,MATCH($B129,'DRAFT 1'!$B:$B,0)),"")</f>
        <v/>
      </c>
      <c r="I129" t="str">
        <f>IFERROR(INDEX('DRAFT 1'!$I:$I,MATCH($B129,'DRAFT 1'!$B:$B,0)),"")</f>
        <v/>
      </c>
      <c r="K129" t="str">
        <f>IFERROR(INDEX('DRAFT 1'!$AL:$AL,MATCH($B129,'DRAFT 1'!$B:$B,0)),"")</f>
        <v/>
      </c>
      <c r="L129" t="str">
        <f>IFERROR(INDEX('DRAFT 1'!$J:$J,MATCH($B129,'DRAFT 1'!$B:$B,0)),"")</f>
        <v/>
      </c>
      <c r="M129" t="str">
        <f>IFERROR(INDEX('DRAFT 1'!$K:$K,MATCH($B129,'DRAFT 1'!$B:$B,0)),"")</f>
        <v/>
      </c>
      <c r="P129" t="str">
        <f>IFERROR(INDEX('DRAFT 1'!$L:$L,MATCH($B129,'DRAFT 1'!$B:$B,0)),"")</f>
        <v/>
      </c>
      <c r="Q129" t="str">
        <f>IFERROR(INDEX('DRAFT 1'!$M:$M,MATCH($B129,'DRAFT 1'!$B:$B,0)),"")</f>
        <v/>
      </c>
      <c r="R129" t="str">
        <f>IFERROR(INDEX('DRAFT 1'!$N:$N,MATCH($B129,'DRAFT 1'!$B:$B,0)),"")</f>
        <v/>
      </c>
      <c r="S129" t="str">
        <f>IFERROR(INDEX('DRAFT 1'!$O:$O,MATCH($B129,'DRAFT 1'!$B:$B,0)),"")</f>
        <v/>
      </c>
      <c r="T129" t="str">
        <f>IFERROR(INDEX('DRAFT 1'!$P:$P,MATCH($B129,'DRAFT 1'!$B:$B,0)),"")</f>
        <v/>
      </c>
      <c r="U129" t="str">
        <f>IFERROR(INDEX('DRAFT 1'!$Q:$Q,MATCH($B129,'DRAFT 1'!$B:$B,0)),"")</f>
        <v/>
      </c>
      <c r="V129" t="str">
        <f>IFERROR(INDEX('DRAFT 1'!$R:$R,MATCH($B129,'DRAFT 1'!$B:$B,0)),"")</f>
        <v/>
      </c>
      <c r="W129" t="str">
        <f>IFERROR(INDEX('DRAFT 1'!$S:$S,MATCH($B129,'DRAFT 1'!$B:$B,0)),"")</f>
        <v/>
      </c>
      <c r="X129" t="str">
        <f>IFERROR(INDEX('DRAFT 1'!$T:$T,MATCH($B129,'DRAFT 1'!$B:$B,0)),"")</f>
        <v/>
      </c>
      <c r="Z129" t="str">
        <f>IFERROR(INDEX('DRAFT 1'!$U:$U,MATCH($B129,'DRAFT 1'!$B:$B,0)),"")</f>
        <v/>
      </c>
      <c r="AA129" t="str">
        <f>IFERROR(INDEX('DRAFT 1'!$V:$V,MATCH($B129,'DRAFT 1'!$B:$B,0)),"")</f>
        <v/>
      </c>
      <c r="AB129" t="str">
        <f>IFERROR(INDEX('DRAFT 1'!$W:$W,MATCH($B129,'DRAFT 1'!$B:$B,0)),"")</f>
        <v/>
      </c>
      <c r="AC129" t="str">
        <f>IFERROR(INDEX('DRAFT 1'!$X:$X,MATCH($B129,'DRAFT 1'!$B:$B,0)),"")</f>
        <v/>
      </c>
      <c r="AD129" t="str">
        <f>IFERROR(INDEX('DRAFT 1'!$Y:$Y,MATCH($B129,'DRAFT 1'!$B:$B,0)),"")</f>
        <v/>
      </c>
      <c r="AE129" t="str">
        <f>IFERROR(INDEX('DRAFT 1'!$Z:$Z,MATCH($B129,'DRAFT 1'!$B:$B,0)),"")</f>
        <v/>
      </c>
      <c r="AF129" t="str">
        <f>IFERROR(INDEX('DRAFT 1'!$AA:$AA,MATCH($B129,'DRAFT 1'!$B:$B,0)),"")</f>
        <v/>
      </c>
      <c r="AG129" t="str">
        <f>IFERROR(INDEX('DRAFT 1'!$AB:$AB,MATCH($B129,'DRAFT 1'!$B:$B,0)),"")</f>
        <v/>
      </c>
      <c r="AH129" t="str">
        <f>IFERROR(INDEX('DRAFT 1'!$AC:$AC,MATCH($B129,'DRAFT 1'!$B:$B,0)),"")</f>
        <v/>
      </c>
      <c r="AI129" t="str">
        <f>IFERROR(INDEX('DRAFT 1'!$AD:$AD,MATCH($B129,'DRAFT 1'!$B:$B,0)),"")</f>
        <v/>
      </c>
      <c r="AJ129" t="str">
        <f>IFERROR(INDEX('DRAFT 1'!$AE:$AE,MATCH($B129,'DRAFT 1'!$B:$B,0)),"")</f>
        <v/>
      </c>
      <c r="AK129" t="str">
        <f>IFERROR(INDEX('DRAFT 1'!$AG:$AG,MATCH($B129,'DRAFT 1'!$B:$B,0)),"")</f>
        <v/>
      </c>
      <c r="AL129" t="str">
        <f>IFERROR(INDEX('DRAFT 1'!$AH:$AH,MATCH($B129,'DRAFT 1'!$B:$B,0)),"")</f>
        <v/>
      </c>
      <c r="AM129" t="str">
        <f>IFERROR(INDEX('DRAFT 1'!$AI:$AI,MATCH($B129,'DRAFT 1'!$B:$B,0)),"")</f>
        <v/>
      </c>
      <c r="AN129" t="str">
        <f>IFERROR(INDEX('DRAFT 1'!$AJ:$AJ,MATCH($B129,'DRAFT 1'!$B:$B,0)),"")</f>
        <v/>
      </c>
      <c r="AO129">
        <f t="shared" si="42"/>
        <v>0</v>
      </c>
      <c r="AP129" t="str">
        <f>IFERROR(INDEX('DRAFT 1'!$AK:$AK,MATCH($B129,'DRAFT 1'!$B:$B,0)),"")</f>
        <v/>
      </c>
      <c r="AR129">
        <f>IFERROR(LOOKUP(2,1/('DRAFT 2'!$D:$D=$B129),'DRAFT 2'!$I:$I),"")</f>
        <v>0</v>
      </c>
      <c r="AS129">
        <f>IFERROR(LOOKUP(2,1/('DRAFT 2'!$D:$D=$B129),'DRAFT 2'!$T:$T),"")</f>
        <v>0</v>
      </c>
      <c r="AT129">
        <f>IFERROR(LOOKUP(2,1/('DRAFT 2'!$D:$D=$B129),'DRAFT 2'!$A:$A),"")</f>
        <v>0</v>
      </c>
      <c r="AU129">
        <f>IFERROR(LOOKUP(2,1/('DRAFT 2'!$D:$D=$B129),'DRAFT 2'!$R:$R),"")</f>
        <v>0</v>
      </c>
      <c r="AV129">
        <f>IFERROR(LOOKUP(2,1/('DRAFT 2'!$D:$D=$B129),'DRAFT 2'!$S:$S),"")</f>
        <v>0</v>
      </c>
      <c r="AX129">
        <f>IFERROR(LOOKUP(2,1/('DRAFT 2'!$D:$D=$B129),'DRAFT 2'!$M:$M),"")</f>
        <v>0</v>
      </c>
      <c r="AY129">
        <f>IFERROR(LOOKUP(2,1/('DRAFT 2'!$D:$D=$B129),'DRAFT 2'!$K:$K),"")</f>
        <v>0</v>
      </c>
      <c r="BG129">
        <f>IFERROR(LOOKUP(2,1/('DRAFT 2'!$D:$D=$B129),'DRAFT 2'!$U:$U),"")</f>
        <v>0</v>
      </c>
      <c r="BH129">
        <f>IFERROR(LOOKUP(2,1/('DRAFT 2'!$D:$D=$B129),'DRAFT 2'!$V:$V),"")</f>
        <v>0</v>
      </c>
      <c r="CE129" t="str">
        <f t="shared" si="43"/>
        <v/>
      </c>
      <c r="CF129">
        <f>IFERROR(LOOKUP(2,1/('DRAFT 2'!$D:$D=$B129)*('DRAFT 2'!$A:$A&gt;=DATE(2026,1,1))*('DRAFT 2'!$A:$A&lt;DATE(2026,IF(1=12,1+1,1+1),1)),'DRAFT 2'!$A:$A),"")</f>
        <v>0</v>
      </c>
      <c r="CG129">
        <f>COUNTIFS('DRAFT 2'!$D:$D,$B129,'DRAFT 2'!$A:$A,"&gt;="&amp;DATE(2026,1,1),'DRAFT 2'!$A:$A,"&lt;="&amp;DATE(2026,1,7))</f>
        <v>0</v>
      </c>
      <c r="CH129">
        <f>COUNTIFS('DRAFT 2'!$D:$D,$B129,'DRAFT 2'!$A:$A,"&gt;="&amp;DATE(2026,1,8),'DRAFT 2'!$A:$A,"&lt;="&amp;DATE(2026,1,14))</f>
        <v>0</v>
      </c>
      <c r="CI129">
        <f>COUNTIFS('DRAFT 2'!$D:$D,$B129,'DRAFT 2'!$A:$A,"&gt;="&amp;DATE(2026,1,15),'DRAFT 2'!$A:$A,"&lt;="&amp;DATE(2026,1,21))</f>
        <v>0</v>
      </c>
      <c r="CJ129">
        <f>COUNTIFS('DRAFT 2'!$D:$D,$B129,'DRAFT 2'!$A:$A,"&gt;="&amp;DATE(2026,1,22),'DRAFT 2'!$A:$A,"&lt;"&amp;DATE(2026,IF(1=12,1+1,1+1),1))</f>
        <v>0</v>
      </c>
      <c r="CK129">
        <f t="shared" si="44"/>
        <v>0</v>
      </c>
      <c r="CT129">
        <v>0</v>
      </c>
      <c r="CU129">
        <f>IFERROR(LOOKUP(2,1/('DRAFT 2'!$D:$D=$B129)*('DRAFT 2'!$A:$A&gt;=DATE(2026,2,1))*('DRAFT 2'!$A:$A&lt;DATE(2026,IF(2=12,2+1,2+1),1)),'DRAFT 2'!$A:$A),"")</f>
        <v>0</v>
      </c>
      <c r="CV129">
        <f>COUNTIFS('DRAFT 2'!$D:$D,$B129,'DRAFT 2'!$A:$A,"&gt;="&amp;DATE(2026,2,1),'DRAFT 2'!$A:$A,"&lt;="&amp;DATE(2026,2,7))</f>
        <v>0</v>
      </c>
      <c r="CW129">
        <f>COUNTIFS('DRAFT 2'!$D:$D,$B129,'DRAFT 2'!$A:$A,"&gt;="&amp;DATE(2026,2,8),'DRAFT 2'!$A:$A,"&lt;="&amp;DATE(2026,2,14))</f>
        <v>0</v>
      </c>
      <c r="CX129">
        <f>COUNTIFS('DRAFT 2'!$D:$D,$B129,'DRAFT 2'!$A:$A,"&gt;="&amp;DATE(2026,2,15),'DRAFT 2'!$A:$A,"&lt;="&amp;DATE(2026,2,21))</f>
        <v>0</v>
      </c>
      <c r="CY129">
        <f>COUNTIFS('DRAFT 2'!$D:$D,$B129,'DRAFT 2'!$A:$A,"&gt;="&amp;DATE(2026,2,22),'DRAFT 2'!$A:$A,"&lt;"&amp;DATE(2026,IF(2=12,2+1,2+1),1))</f>
        <v>0</v>
      </c>
      <c r="CZ129">
        <f t="shared" si="45"/>
        <v>0</v>
      </c>
      <c r="DJ129">
        <f>IFERROR(LOOKUP(2,1/('DRAFT 2'!$D:$D=$B129)*('DRAFT 2'!$A:$A&gt;=DATE(2026,3,1))*('DRAFT 2'!$A:$A&lt;DATE(2026,IF(3=12,3+1,3+1),1)),'DRAFT 2'!$A:$A),"")</f>
        <v>0</v>
      </c>
      <c r="DK129">
        <f>COUNTIFS('DRAFT 2'!$D:$D,$B129,'DRAFT 2'!$A:$A,"&gt;="&amp;DATE(2026,3,1),'DRAFT 2'!$A:$A,"&lt;="&amp;DATE(2026,3,7))</f>
        <v>0</v>
      </c>
      <c r="DL129">
        <f>COUNTIFS('DRAFT 2'!$D:$D,$B129,'DRAFT 2'!$A:$A,"&gt;="&amp;DATE(2026,3,8),'DRAFT 2'!$A:$A,"&lt;="&amp;DATE(2026,3,14))</f>
        <v>0</v>
      </c>
      <c r="DM129">
        <f>COUNTIFS('DRAFT 2'!$D:$D,$B129,'DRAFT 2'!$A:$A,"&gt;="&amp;DATE(2026,3,15),'DRAFT 2'!$A:$A,"&lt;="&amp;DATE(2026,3,21))</f>
        <v>0</v>
      </c>
      <c r="DN129">
        <f>COUNTIFS('DRAFT 2'!$D:$D,$B129,'DRAFT 2'!$A:$A,"&gt;="&amp;DATE(2026,3,22),'DRAFT 2'!$A:$A,"&lt;"&amp;DATE(2026,IF(3=12,3+1,3+1),1))</f>
        <v>0</v>
      </c>
      <c r="DO129">
        <f t="shared" si="46"/>
        <v>0</v>
      </c>
      <c r="DZ129">
        <f>IFERROR(LOOKUP(2,1/('DRAFT 2'!$D:$D=$B129)*('DRAFT 2'!$A:$A&gt;=DATE(2026,4,1))*('DRAFT 2'!$A:$A&lt;DATE(2026,IF(4=12,4+1,4+1),1)),'DRAFT 2'!$A:$A),"")</f>
        <v>0</v>
      </c>
      <c r="EA129">
        <f>COUNTIFS('DRAFT 2'!$D:$D,$B129,'DRAFT 2'!$A:$A,"&gt;="&amp;DATE(2026,4,1),'DRAFT 2'!$A:$A,"&lt;="&amp;DATE(2026,4,7))</f>
        <v>0</v>
      </c>
      <c r="EB129">
        <f>COUNTIFS('DRAFT 2'!$D:$D,$B129,'DRAFT 2'!$A:$A,"&gt;="&amp;DATE(2026,4,8),'DRAFT 2'!$A:$A,"&lt;="&amp;DATE(2026,4,14))</f>
        <v>0</v>
      </c>
      <c r="EC129">
        <f>COUNTIFS('DRAFT 2'!$D:$D,$B129,'DRAFT 2'!$A:$A,"&gt;="&amp;DATE(2026,4,15),'DRAFT 2'!$A:$A,"&lt;="&amp;DATE(2026,4,21))</f>
        <v>0</v>
      </c>
      <c r="ED129">
        <f>COUNTIFS('DRAFT 2'!$D:$D,$B129,'DRAFT 2'!$A:$A,"&gt;="&amp;DATE(2026,4,22),'DRAFT 2'!$A:$A,"&lt;"&amp;DATE(2026,IF(4=12,4+1,4+1),1))</f>
        <v>0</v>
      </c>
      <c r="EE129">
        <f t="shared" si="47"/>
        <v>0</v>
      </c>
      <c r="EO129">
        <f>IFERROR(LOOKUP(2,1/('DRAFT 2'!$D:$D=$B129)*('DRAFT 2'!$A:$A&gt;=DATE(2026,5,1))*('DRAFT 2'!$A:$A&lt;DATE(2026,IF(5=12,5+1,5+1),1)),'DRAFT 2'!$A:$A),"")</f>
        <v>0</v>
      </c>
      <c r="EP129">
        <f>COUNTIFS('DRAFT 2'!$D:$D,$B129,'DRAFT 2'!$A:$A,"&gt;="&amp;DATE(2026,5,1),'DRAFT 2'!$A:$A,"&lt;="&amp;DATE(2026,5,7))</f>
        <v>0</v>
      </c>
      <c r="EQ129">
        <f>COUNTIFS('DRAFT 2'!$D:$D,$B129,'DRAFT 2'!$A:$A,"&gt;="&amp;DATE(2026,5,8),'DRAFT 2'!$A:$A,"&lt;="&amp;DATE(2026,5,14))</f>
        <v>0</v>
      </c>
      <c r="ER129">
        <f>COUNTIFS('DRAFT 2'!$D:$D,$B129,'DRAFT 2'!$A:$A,"&gt;="&amp;DATE(2026,5,15),'DRAFT 2'!$A:$A,"&lt;="&amp;DATE(2026,5,21))</f>
        <v>0</v>
      </c>
      <c r="ES129">
        <f>COUNTIFS('DRAFT 2'!$D:$D,$B129,'DRAFT 2'!$A:$A,"&gt;="&amp;DATE(2026,5,22),'DRAFT 2'!$A:$A,"&lt;"&amp;DATE(2026,IF(5=12,5+1,5+1),1))</f>
        <v>0</v>
      </c>
      <c r="ET129">
        <f t="shared" si="48"/>
        <v>0</v>
      </c>
      <c r="FD129">
        <f>IFERROR(LOOKUP(2,1/('DRAFT 2'!$D:$D=$B129)*('DRAFT 2'!$A:$A&gt;=DATE(2026,6,1))*('DRAFT 2'!$A:$A&lt;DATE(2026,IF(6=12,6+1,6+1),1)),'DRAFT 2'!$A:$A),"")</f>
        <v>0</v>
      </c>
      <c r="FE129">
        <f>COUNTIFS('DRAFT 2'!$D:$D,$B129,'DRAFT 2'!$A:$A,"&gt;="&amp;DATE(2026,6,1),'DRAFT 2'!$A:$A,"&lt;="&amp;DATE(2026,6,7))</f>
        <v>0</v>
      </c>
      <c r="FF129">
        <f>COUNTIFS('DRAFT 2'!$D:$D,$B129,'DRAFT 2'!$A:$A,"&gt;="&amp;DATE(2026,6,8),'DRAFT 2'!$A:$A,"&lt;="&amp;DATE(2026,6,14))</f>
        <v>0</v>
      </c>
      <c r="FG129">
        <f>COUNTIFS('DRAFT 2'!$D:$D,$B129,'DRAFT 2'!$A:$A,"&gt;="&amp;DATE(2026,6,15),'DRAFT 2'!$A:$A,"&lt;="&amp;DATE(2026,6,21))</f>
        <v>0</v>
      </c>
      <c r="FH129">
        <f>COUNTIFS('DRAFT 2'!$D:$D,$B129,'DRAFT 2'!$A:$A,"&gt;="&amp;DATE(2026,6,22),'DRAFT 2'!$A:$A,"&lt;"&amp;DATE(2026,IF(6=12,6+1,6+1),1))</f>
        <v>0</v>
      </c>
      <c r="FI129">
        <f t="shared" si="49"/>
        <v>0</v>
      </c>
      <c r="FT129">
        <f>IFERROR(LOOKUP(2,1/('DRAFT 2'!$D:$D=$B129)*('DRAFT 2'!$A:$A&gt;=DATE(2026,7,1))*('DRAFT 2'!$A:$A&lt;DATE(2026,IF(7=12,7+1,7+1),1)),'DRAFT 2'!$A:$A),"")</f>
        <v>0</v>
      </c>
      <c r="FU129">
        <f>COUNTIFS('DRAFT 2'!$D:$D,$B129,'DRAFT 2'!$A:$A,"&gt;="&amp;DATE(2026,7,1),'DRAFT 2'!$A:$A,"&lt;="&amp;DATE(2026,7,7))</f>
        <v>0</v>
      </c>
      <c r="FV129">
        <f>COUNTIFS('DRAFT 2'!$D:$D,$B129,'DRAFT 2'!$A:$A,"&gt;="&amp;DATE(2026,7,8),'DRAFT 2'!$A:$A,"&lt;="&amp;DATE(2026,7,14))</f>
        <v>0</v>
      </c>
      <c r="FW129">
        <f>COUNTIFS('DRAFT 2'!$D:$D,$B129,'DRAFT 2'!$A:$A,"&gt;="&amp;DATE(2026,7,15),'DRAFT 2'!$A:$A,"&lt;="&amp;DATE(2026,7,21))</f>
        <v>0</v>
      </c>
      <c r="FX129">
        <f>COUNTIFS('DRAFT 2'!$D:$D,$B129,'DRAFT 2'!$A:$A,"&gt;="&amp;DATE(2026,7,22),'DRAFT 2'!$A:$A,"&lt;"&amp;DATE(2026,IF(7=12,7+1,7+1),1))</f>
        <v>0</v>
      </c>
      <c r="FY129">
        <f t="shared" si="50"/>
        <v>0</v>
      </c>
      <c r="GI129">
        <f>IFERROR(LOOKUP(2,1/('DRAFT 2'!$D:$D=$B129)*('DRAFT 2'!$A:$A&gt;=DATE(2026,8,1))*('DRAFT 2'!$A:$A&lt;DATE(2026,IF(8=12,8+1,8+1),1)),'DRAFT 2'!$A:$A),"")</f>
        <v>0</v>
      </c>
      <c r="GJ129">
        <f>COUNTIFS('DRAFT 2'!$D:$D,$B129,'DRAFT 2'!$A:$A,"&gt;="&amp;DATE(2026,8,1),'DRAFT 2'!$A:$A,"&lt;="&amp;DATE(2026,8,7))</f>
        <v>0</v>
      </c>
      <c r="GK129">
        <f>COUNTIFS('DRAFT 2'!$D:$D,$B129,'DRAFT 2'!$A:$A,"&gt;="&amp;DATE(2026,8,8),'DRAFT 2'!$A:$A,"&lt;="&amp;DATE(2026,8,14))</f>
        <v>0</v>
      </c>
      <c r="GL129">
        <f>COUNTIFS('DRAFT 2'!$D:$D,$B129,'DRAFT 2'!$A:$A,"&gt;="&amp;DATE(2026,8,15),'DRAFT 2'!$A:$A,"&lt;="&amp;DATE(2026,8,21))</f>
        <v>0</v>
      </c>
      <c r="GM129">
        <f>COUNTIFS('DRAFT 2'!$D:$D,$B129,'DRAFT 2'!$A:$A,"&gt;="&amp;DATE(2026,8,22),'DRAFT 2'!$A:$A,"&lt;"&amp;DATE(2026,IF(8=12,8+1,8+1),1))</f>
        <v>0</v>
      </c>
      <c r="GN129">
        <f t="shared" si="51"/>
        <v>0</v>
      </c>
      <c r="GX129">
        <f>IFERROR(LOOKUP(2,1/('DRAFT 2'!$D:$D=$B129)*('DRAFT 2'!$A:$A&gt;=DATE(2026,9,1))*('DRAFT 2'!$A:$A&lt;DATE(2026,IF(9=12,9+1,9+1),1)),'DRAFT 2'!$A:$A),"")</f>
        <v>0</v>
      </c>
      <c r="GY129">
        <f>COUNTIFS('DRAFT 2'!$D:$D,$B129,'DRAFT 2'!$A:$A,"&gt;="&amp;DATE(2026,9,1),'DRAFT 2'!$A:$A,"&lt;="&amp;DATE(2026,9,7))</f>
        <v>0</v>
      </c>
      <c r="GZ129">
        <f>COUNTIFS('DRAFT 2'!$D:$D,$B129,'DRAFT 2'!$A:$A,"&gt;="&amp;DATE(2026,9,8),'DRAFT 2'!$A:$A,"&lt;="&amp;DATE(2026,9,14))</f>
        <v>0</v>
      </c>
      <c r="HA129">
        <f>COUNTIFS('DRAFT 2'!$D:$D,$B129,'DRAFT 2'!$A:$A,"&gt;="&amp;DATE(2026,9,15),'DRAFT 2'!$A:$A,"&lt;="&amp;DATE(2026,9,21))</f>
        <v>0</v>
      </c>
      <c r="HB129">
        <f>COUNTIFS('DRAFT 2'!$D:$D,$B129,'DRAFT 2'!$A:$A,"&gt;="&amp;DATE(2026,9,22),'DRAFT 2'!$A:$A,"&lt;"&amp;DATE(2026,IF(9=12,9+1,9+1),1))</f>
        <v>0</v>
      </c>
      <c r="HC129">
        <f t="shared" si="52"/>
        <v>0</v>
      </c>
      <c r="HN129">
        <f>IFERROR(LOOKUP(2,1/('DRAFT 2'!$D:$D=$B129)*('DRAFT 2'!$A:$A&gt;=DATE(2026,10,1))*('DRAFT 2'!$A:$A&lt;DATE(2026,IF(10=12,10+1,10+1),1)),'DRAFT 2'!$A:$A),"")</f>
        <v>0</v>
      </c>
      <c r="HO129">
        <f>COUNTIFS('DRAFT 2'!$D:$D,$B129,'DRAFT 2'!$A:$A,"&gt;="&amp;DATE(2026,10,1),'DRAFT 2'!$A:$A,"&lt;="&amp;DATE(2026,10,7))</f>
        <v>0</v>
      </c>
      <c r="HP129">
        <f>COUNTIFS('DRAFT 2'!$D:$D,$B129,'DRAFT 2'!$A:$A,"&gt;="&amp;DATE(2026,10,8),'DRAFT 2'!$A:$A,"&lt;="&amp;DATE(2026,10,14))</f>
        <v>0</v>
      </c>
      <c r="HQ129">
        <f>COUNTIFS('DRAFT 2'!$D:$D,$B129,'DRAFT 2'!$A:$A,"&gt;="&amp;DATE(2026,10,15),'DRAFT 2'!$A:$A,"&lt;="&amp;DATE(2026,10,21))</f>
        <v>0</v>
      </c>
      <c r="HR129">
        <f>COUNTIFS('DRAFT 2'!$D:$D,$B129,'DRAFT 2'!$A:$A,"&gt;="&amp;DATE(2026,10,22),'DRAFT 2'!$A:$A,"&lt;"&amp;DATE(2026,IF(10=12,10+1,10+1),1))</f>
        <v>0</v>
      </c>
      <c r="HS129">
        <f t="shared" si="53"/>
        <v>0</v>
      </c>
      <c r="IC129">
        <f>IFERROR(LOOKUP(2,1/('DRAFT 2'!$D:$D=$B129)*('DRAFT 2'!$A:$A&gt;=DATE(2026,11,1))*('DRAFT 2'!$A:$A&lt;DATE(2026,IF(11=12,11+1,11+1),1)),'DRAFT 2'!$A:$A),"")</f>
        <v>0</v>
      </c>
      <c r="ID129">
        <f>COUNTIFS('DRAFT 2'!$D:$D,$B129,'DRAFT 2'!$A:$A,"&gt;="&amp;DATE(2026,11,1),'DRAFT 2'!$A:$A,"&lt;="&amp;DATE(2026,11,7))</f>
        <v>0</v>
      </c>
      <c r="IE129">
        <f>COUNTIFS('DRAFT 2'!$D:$D,$B129,'DRAFT 2'!$A:$A,"&gt;="&amp;DATE(2026,11,8),'DRAFT 2'!$A:$A,"&lt;="&amp;DATE(2026,11,14))</f>
        <v>0</v>
      </c>
      <c r="IF129">
        <f>COUNTIFS('DRAFT 2'!$D:$D,$B129,'DRAFT 2'!$A:$A,"&gt;="&amp;DATE(2026,11,15),'DRAFT 2'!$A:$A,"&lt;="&amp;DATE(2026,11,21))</f>
        <v>0</v>
      </c>
      <c r="IG129">
        <f>COUNTIFS('DRAFT 2'!$D:$D,$B129,'DRAFT 2'!$A:$A,"&gt;="&amp;DATE(2026,11,22),'DRAFT 2'!$A:$A,"&lt;"&amp;DATE(2026,IF(11=12,11+1,11+1),1))</f>
        <v>0</v>
      </c>
      <c r="IH129">
        <f t="shared" si="54"/>
        <v>0</v>
      </c>
      <c r="IR129">
        <f>IFERROR(LOOKUP(2,1/('DRAFT 2'!$D:$D=$B129)*('DRAFT 2'!$A:$A&gt;=DATE(2026,12,1))*('DRAFT 2'!$A:$A&lt;DATE(2026,IF(12=12,12+1,12+1),1)),'DRAFT 2'!$A:$A),"")</f>
        <v>0</v>
      </c>
      <c r="IS129">
        <f>COUNTIFS('DRAFT 2'!$D:$D,$B129,'DRAFT 2'!$A:$A,"&gt;="&amp;DATE(2026,12,1),'DRAFT 2'!$A:$A,"&lt;="&amp;DATE(2026,12,7))</f>
        <v>0</v>
      </c>
      <c r="IT129">
        <f>COUNTIFS('DRAFT 2'!$D:$D,$B129,'DRAFT 2'!$A:$A,"&gt;="&amp;DATE(2026,12,8),'DRAFT 2'!$A:$A,"&lt;="&amp;DATE(2026,12,14))</f>
        <v>0</v>
      </c>
      <c r="IU129">
        <f>COUNTIFS('DRAFT 2'!$D:$D,$B129,'DRAFT 2'!$A:$A,"&gt;="&amp;DATE(2026,12,15),'DRAFT 2'!$A:$A,"&lt;="&amp;DATE(2026,12,21))</f>
        <v>0</v>
      </c>
      <c r="IV129">
        <f>COUNTIFS('DRAFT 2'!$D:$D,$B129,'DRAFT 2'!$A:$A,"&gt;="&amp;DATE(2026,12,22),'DRAFT 2'!$A:$A,"&lt;"&amp;DATE(2026,IF(12=12,12+1,12+1),1))</f>
        <v>0</v>
      </c>
      <c r="IW129">
        <f t="shared" si="55"/>
        <v>0</v>
      </c>
    </row>
    <row r="130" spans="1:257" x14ac:dyDescent="0.3">
      <c r="A130" t="str">
        <f>IFERROR(INDEX('DRAFT 1'!$A:$A,MATCH($B130,'DRAFT 1'!$B:$B,0)),"")</f>
        <v/>
      </c>
      <c r="C130" t="str">
        <f>IFERROR(INDEX('DRAFT 1'!$C:$C,MATCH($B130,'DRAFT 1'!$B:$B,0)),"")</f>
        <v/>
      </c>
      <c r="D130" t="str">
        <f>IFERROR(INDEX('DRAFT 1'!$D:$D,MATCH($B130,'DRAFT 1'!$B:$B,0)),"")</f>
        <v/>
      </c>
      <c r="E130" t="str">
        <f>IFERROR(INDEX('DRAFT 1'!$E:$E,MATCH($B130,'DRAFT 1'!$B:$B,0)),"")</f>
        <v/>
      </c>
      <c r="F130" t="str">
        <f>IFERROR(INDEX('DRAFT 1'!$F:$F,MATCH($B130,'DRAFT 1'!$B:$B,0)),"")</f>
        <v/>
      </c>
      <c r="G130" t="str">
        <f>IFERROR(INDEX('DRAFT 1'!$G:$G,MATCH($B130,'DRAFT 1'!$B:$B,0)),"")</f>
        <v/>
      </c>
      <c r="H130" t="str">
        <f>IFERROR(INDEX('DRAFT 1'!$H:$H,MATCH($B130,'DRAFT 1'!$B:$B,0)),"")</f>
        <v/>
      </c>
      <c r="I130" t="str">
        <f>IFERROR(INDEX('DRAFT 1'!$I:$I,MATCH($B130,'DRAFT 1'!$B:$B,0)),"")</f>
        <v/>
      </c>
      <c r="K130" t="str">
        <f>IFERROR(INDEX('DRAFT 1'!$AL:$AL,MATCH($B130,'DRAFT 1'!$B:$B,0)),"")</f>
        <v/>
      </c>
      <c r="L130" t="str">
        <f>IFERROR(INDEX('DRAFT 1'!$J:$J,MATCH($B130,'DRAFT 1'!$B:$B,0)),"")</f>
        <v/>
      </c>
      <c r="M130" t="str">
        <f>IFERROR(INDEX('DRAFT 1'!$K:$K,MATCH($B130,'DRAFT 1'!$B:$B,0)),"")</f>
        <v/>
      </c>
      <c r="P130" t="str">
        <f>IFERROR(INDEX('DRAFT 1'!$L:$L,MATCH($B130,'DRAFT 1'!$B:$B,0)),"")</f>
        <v/>
      </c>
      <c r="Q130" t="str">
        <f>IFERROR(INDEX('DRAFT 1'!$M:$M,MATCH($B130,'DRAFT 1'!$B:$B,0)),"")</f>
        <v/>
      </c>
      <c r="R130" t="str">
        <f>IFERROR(INDEX('DRAFT 1'!$N:$N,MATCH($B130,'DRAFT 1'!$B:$B,0)),"")</f>
        <v/>
      </c>
      <c r="S130" t="str">
        <f>IFERROR(INDEX('DRAFT 1'!$O:$O,MATCH($B130,'DRAFT 1'!$B:$B,0)),"")</f>
        <v/>
      </c>
      <c r="T130" t="str">
        <f>IFERROR(INDEX('DRAFT 1'!$P:$P,MATCH($B130,'DRAFT 1'!$B:$B,0)),"")</f>
        <v/>
      </c>
      <c r="U130" t="str">
        <f>IFERROR(INDEX('DRAFT 1'!$Q:$Q,MATCH($B130,'DRAFT 1'!$B:$B,0)),"")</f>
        <v/>
      </c>
      <c r="V130" t="str">
        <f>IFERROR(INDEX('DRAFT 1'!$R:$R,MATCH($B130,'DRAFT 1'!$B:$B,0)),"")</f>
        <v/>
      </c>
      <c r="W130" t="str">
        <f>IFERROR(INDEX('DRAFT 1'!$S:$S,MATCH($B130,'DRAFT 1'!$B:$B,0)),"")</f>
        <v/>
      </c>
      <c r="X130" t="str">
        <f>IFERROR(INDEX('DRAFT 1'!$T:$T,MATCH($B130,'DRAFT 1'!$B:$B,0)),"")</f>
        <v/>
      </c>
      <c r="Z130" t="str">
        <f>IFERROR(INDEX('DRAFT 1'!$U:$U,MATCH($B130,'DRAFT 1'!$B:$B,0)),"")</f>
        <v/>
      </c>
      <c r="AA130" t="str">
        <f>IFERROR(INDEX('DRAFT 1'!$V:$V,MATCH($B130,'DRAFT 1'!$B:$B,0)),"")</f>
        <v/>
      </c>
      <c r="AB130" t="str">
        <f>IFERROR(INDEX('DRAFT 1'!$W:$W,MATCH($B130,'DRAFT 1'!$B:$B,0)),"")</f>
        <v/>
      </c>
      <c r="AC130" t="str">
        <f>IFERROR(INDEX('DRAFT 1'!$X:$X,MATCH($B130,'DRAFT 1'!$B:$B,0)),"")</f>
        <v/>
      </c>
      <c r="AD130" t="str">
        <f>IFERROR(INDEX('DRAFT 1'!$Y:$Y,MATCH($B130,'DRAFT 1'!$B:$B,0)),"")</f>
        <v/>
      </c>
      <c r="AE130" t="str">
        <f>IFERROR(INDEX('DRAFT 1'!$Z:$Z,MATCH($B130,'DRAFT 1'!$B:$B,0)),"")</f>
        <v/>
      </c>
      <c r="AF130" t="str">
        <f>IFERROR(INDEX('DRAFT 1'!$AA:$AA,MATCH($B130,'DRAFT 1'!$B:$B,0)),"")</f>
        <v/>
      </c>
      <c r="AG130" t="str">
        <f>IFERROR(INDEX('DRAFT 1'!$AB:$AB,MATCH($B130,'DRAFT 1'!$B:$B,0)),"")</f>
        <v/>
      </c>
      <c r="AH130" t="str">
        <f>IFERROR(INDEX('DRAFT 1'!$AC:$AC,MATCH($B130,'DRAFT 1'!$B:$B,0)),"")</f>
        <v/>
      </c>
      <c r="AI130" t="str">
        <f>IFERROR(INDEX('DRAFT 1'!$AD:$AD,MATCH($B130,'DRAFT 1'!$B:$B,0)),"")</f>
        <v/>
      </c>
      <c r="AJ130" t="str">
        <f>IFERROR(INDEX('DRAFT 1'!$AE:$AE,MATCH($B130,'DRAFT 1'!$B:$B,0)),"")</f>
        <v/>
      </c>
      <c r="AK130" t="str">
        <f>IFERROR(INDEX('DRAFT 1'!$AG:$AG,MATCH($B130,'DRAFT 1'!$B:$B,0)),"")</f>
        <v/>
      </c>
      <c r="AL130" t="str">
        <f>IFERROR(INDEX('DRAFT 1'!$AH:$AH,MATCH($B130,'DRAFT 1'!$B:$B,0)),"")</f>
        <v/>
      </c>
      <c r="AM130" t="str">
        <f>IFERROR(INDEX('DRAFT 1'!$AI:$AI,MATCH($B130,'DRAFT 1'!$B:$B,0)),"")</f>
        <v/>
      </c>
      <c r="AN130" t="str">
        <f>IFERROR(INDEX('DRAFT 1'!$AJ:$AJ,MATCH($B130,'DRAFT 1'!$B:$B,0)),"")</f>
        <v/>
      </c>
      <c r="AO130">
        <f t="shared" si="42"/>
        <v>0</v>
      </c>
      <c r="AP130" t="str">
        <f>IFERROR(INDEX('DRAFT 1'!$AK:$AK,MATCH($B130,'DRAFT 1'!$B:$B,0)),"")</f>
        <v/>
      </c>
      <c r="AR130">
        <f>IFERROR(LOOKUP(2,1/('DRAFT 2'!$D:$D=$B130),'DRAFT 2'!$I:$I),"")</f>
        <v>0</v>
      </c>
      <c r="AS130">
        <f>IFERROR(LOOKUP(2,1/('DRAFT 2'!$D:$D=$B130),'DRAFT 2'!$T:$T),"")</f>
        <v>0</v>
      </c>
      <c r="AT130">
        <f>IFERROR(LOOKUP(2,1/('DRAFT 2'!$D:$D=$B130),'DRAFT 2'!$A:$A),"")</f>
        <v>0</v>
      </c>
      <c r="AU130">
        <f>IFERROR(LOOKUP(2,1/('DRAFT 2'!$D:$D=$B130),'DRAFT 2'!$R:$R),"")</f>
        <v>0</v>
      </c>
      <c r="AV130">
        <f>IFERROR(LOOKUP(2,1/('DRAFT 2'!$D:$D=$B130),'DRAFT 2'!$S:$S),"")</f>
        <v>0</v>
      </c>
      <c r="AX130">
        <f>IFERROR(LOOKUP(2,1/('DRAFT 2'!$D:$D=$B130),'DRAFT 2'!$M:$M),"")</f>
        <v>0</v>
      </c>
      <c r="AY130">
        <f>IFERROR(LOOKUP(2,1/('DRAFT 2'!$D:$D=$B130),'DRAFT 2'!$K:$K),"")</f>
        <v>0</v>
      </c>
      <c r="BG130">
        <f>IFERROR(LOOKUP(2,1/('DRAFT 2'!$D:$D=$B130),'DRAFT 2'!$U:$U),"")</f>
        <v>0</v>
      </c>
      <c r="BH130">
        <f>IFERROR(LOOKUP(2,1/('DRAFT 2'!$D:$D=$B130),'DRAFT 2'!$V:$V),"")</f>
        <v>0</v>
      </c>
      <c r="CE130" t="str">
        <f t="shared" si="43"/>
        <v/>
      </c>
      <c r="CF130">
        <f>IFERROR(LOOKUP(2,1/('DRAFT 2'!$D:$D=$B130)*('DRAFT 2'!$A:$A&gt;=DATE(2026,1,1))*('DRAFT 2'!$A:$A&lt;DATE(2026,IF(1=12,1+1,1+1),1)),'DRAFT 2'!$A:$A),"")</f>
        <v>0</v>
      </c>
      <c r="CG130">
        <f>COUNTIFS('DRAFT 2'!$D:$D,$B130,'DRAFT 2'!$A:$A,"&gt;="&amp;DATE(2026,1,1),'DRAFT 2'!$A:$A,"&lt;="&amp;DATE(2026,1,7))</f>
        <v>0</v>
      </c>
      <c r="CH130">
        <f>COUNTIFS('DRAFT 2'!$D:$D,$B130,'DRAFT 2'!$A:$A,"&gt;="&amp;DATE(2026,1,8),'DRAFT 2'!$A:$A,"&lt;="&amp;DATE(2026,1,14))</f>
        <v>0</v>
      </c>
      <c r="CI130">
        <f>COUNTIFS('DRAFT 2'!$D:$D,$B130,'DRAFT 2'!$A:$A,"&gt;="&amp;DATE(2026,1,15),'DRAFT 2'!$A:$A,"&lt;="&amp;DATE(2026,1,21))</f>
        <v>0</v>
      </c>
      <c r="CJ130">
        <f>COUNTIFS('DRAFT 2'!$D:$D,$B130,'DRAFT 2'!$A:$A,"&gt;="&amp;DATE(2026,1,22),'DRAFT 2'!$A:$A,"&lt;"&amp;DATE(2026,IF(1=12,1+1,1+1),1))</f>
        <v>0</v>
      </c>
      <c r="CK130">
        <f t="shared" si="44"/>
        <v>0</v>
      </c>
      <c r="CT130">
        <v>0</v>
      </c>
      <c r="CU130">
        <f>IFERROR(LOOKUP(2,1/('DRAFT 2'!$D:$D=$B130)*('DRAFT 2'!$A:$A&gt;=DATE(2026,2,1))*('DRAFT 2'!$A:$A&lt;DATE(2026,IF(2=12,2+1,2+1),1)),'DRAFT 2'!$A:$A),"")</f>
        <v>0</v>
      </c>
      <c r="CV130">
        <f>COUNTIFS('DRAFT 2'!$D:$D,$B130,'DRAFT 2'!$A:$A,"&gt;="&amp;DATE(2026,2,1),'DRAFT 2'!$A:$A,"&lt;="&amp;DATE(2026,2,7))</f>
        <v>0</v>
      </c>
      <c r="CW130">
        <f>COUNTIFS('DRAFT 2'!$D:$D,$B130,'DRAFT 2'!$A:$A,"&gt;="&amp;DATE(2026,2,8),'DRAFT 2'!$A:$A,"&lt;="&amp;DATE(2026,2,14))</f>
        <v>0</v>
      </c>
      <c r="CX130">
        <f>COUNTIFS('DRAFT 2'!$D:$D,$B130,'DRAFT 2'!$A:$A,"&gt;="&amp;DATE(2026,2,15),'DRAFT 2'!$A:$A,"&lt;="&amp;DATE(2026,2,21))</f>
        <v>0</v>
      </c>
      <c r="CY130">
        <f>COUNTIFS('DRAFT 2'!$D:$D,$B130,'DRAFT 2'!$A:$A,"&gt;="&amp;DATE(2026,2,22),'DRAFT 2'!$A:$A,"&lt;"&amp;DATE(2026,IF(2=12,2+1,2+1),1))</f>
        <v>0</v>
      </c>
      <c r="CZ130">
        <f t="shared" si="45"/>
        <v>0</v>
      </c>
      <c r="DJ130">
        <f>IFERROR(LOOKUP(2,1/('DRAFT 2'!$D:$D=$B130)*('DRAFT 2'!$A:$A&gt;=DATE(2026,3,1))*('DRAFT 2'!$A:$A&lt;DATE(2026,IF(3=12,3+1,3+1),1)),'DRAFT 2'!$A:$A),"")</f>
        <v>0</v>
      </c>
      <c r="DK130">
        <f>COUNTIFS('DRAFT 2'!$D:$D,$B130,'DRAFT 2'!$A:$A,"&gt;="&amp;DATE(2026,3,1),'DRAFT 2'!$A:$A,"&lt;="&amp;DATE(2026,3,7))</f>
        <v>0</v>
      </c>
      <c r="DL130">
        <f>COUNTIFS('DRAFT 2'!$D:$D,$B130,'DRAFT 2'!$A:$A,"&gt;="&amp;DATE(2026,3,8),'DRAFT 2'!$A:$A,"&lt;="&amp;DATE(2026,3,14))</f>
        <v>0</v>
      </c>
      <c r="DM130">
        <f>COUNTIFS('DRAFT 2'!$D:$D,$B130,'DRAFT 2'!$A:$A,"&gt;="&amp;DATE(2026,3,15),'DRAFT 2'!$A:$A,"&lt;="&amp;DATE(2026,3,21))</f>
        <v>0</v>
      </c>
      <c r="DN130">
        <f>COUNTIFS('DRAFT 2'!$D:$D,$B130,'DRAFT 2'!$A:$A,"&gt;="&amp;DATE(2026,3,22),'DRAFT 2'!$A:$A,"&lt;"&amp;DATE(2026,IF(3=12,3+1,3+1),1))</f>
        <v>0</v>
      </c>
      <c r="DO130">
        <f t="shared" si="46"/>
        <v>0</v>
      </c>
      <c r="DZ130">
        <f>IFERROR(LOOKUP(2,1/('DRAFT 2'!$D:$D=$B130)*('DRAFT 2'!$A:$A&gt;=DATE(2026,4,1))*('DRAFT 2'!$A:$A&lt;DATE(2026,IF(4=12,4+1,4+1),1)),'DRAFT 2'!$A:$A),"")</f>
        <v>0</v>
      </c>
      <c r="EA130">
        <f>COUNTIFS('DRAFT 2'!$D:$D,$B130,'DRAFT 2'!$A:$A,"&gt;="&amp;DATE(2026,4,1),'DRAFT 2'!$A:$A,"&lt;="&amp;DATE(2026,4,7))</f>
        <v>0</v>
      </c>
      <c r="EB130">
        <f>COUNTIFS('DRAFT 2'!$D:$D,$B130,'DRAFT 2'!$A:$A,"&gt;="&amp;DATE(2026,4,8),'DRAFT 2'!$A:$A,"&lt;="&amp;DATE(2026,4,14))</f>
        <v>0</v>
      </c>
      <c r="EC130">
        <f>COUNTIFS('DRAFT 2'!$D:$D,$B130,'DRAFT 2'!$A:$A,"&gt;="&amp;DATE(2026,4,15),'DRAFT 2'!$A:$A,"&lt;="&amp;DATE(2026,4,21))</f>
        <v>0</v>
      </c>
      <c r="ED130">
        <f>COUNTIFS('DRAFT 2'!$D:$D,$B130,'DRAFT 2'!$A:$A,"&gt;="&amp;DATE(2026,4,22),'DRAFT 2'!$A:$A,"&lt;"&amp;DATE(2026,IF(4=12,4+1,4+1),1))</f>
        <v>0</v>
      </c>
      <c r="EE130">
        <f t="shared" si="47"/>
        <v>0</v>
      </c>
      <c r="EO130">
        <f>IFERROR(LOOKUP(2,1/('DRAFT 2'!$D:$D=$B130)*('DRAFT 2'!$A:$A&gt;=DATE(2026,5,1))*('DRAFT 2'!$A:$A&lt;DATE(2026,IF(5=12,5+1,5+1),1)),'DRAFT 2'!$A:$A),"")</f>
        <v>0</v>
      </c>
      <c r="EP130">
        <f>COUNTIFS('DRAFT 2'!$D:$D,$B130,'DRAFT 2'!$A:$A,"&gt;="&amp;DATE(2026,5,1),'DRAFT 2'!$A:$A,"&lt;="&amp;DATE(2026,5,7))</f>
        <v>0</v>
      </c>
      <c r="EQ130">
        <f>COUNTIFS('DRAFT 2'!$D:$D,$B130,'DRAFT 2'!$A:$A,"&gt;="&amp;DATE(2026,5,8),'DRAFT 2'!$A:$A,"&lt;="&amp;DATE(2026,5,14))</f>
        <v>0</v>
      </c>
      <c r="ER130">
        <f>COUNTIFS('DRAFT 2'!$D:$D,$B130,'DRAFT 2'!$A:$A,"&gt;="&amp;DATE(2026,5,15),'DRAFT 2'!$A:$A,"&lt;="&amp;DATE(2026,5,21))</f>
        <v>0</v>
      </c>
      <c r="ES130">
        <f>COUNTIFS('DRAFT 2'!$D:$D,$B130,'DRAFT 2'!$A:$A,"&gt;="&amp;DATE(2026,5,22),'DRAFT 2'!$A:$A,"&lt;"&amp;DATE(2026,IF(5=12,5+1,5+1),1))</f>
        <v>0</v>
      </c>
      <c r="ET130">
        <f t="shared" si="48"/>
        <v>0</v>
      </c>
      <c r="FD130">
        <f>IFERROR(LOOKUP(2,1/('DRAFT 2'!$D:$D=$B130)*('DRAFT 2'!$A:$A&gt;=DATE(2026,6,1))*('DRAFT 2'!$A:$A&lt;DATE(2026,IF(6=12,6+1,6+1),1)),'DRAFT 2'!$A:$A),"")</f>
        <v>0</v>
      </c>
      <c r="FE130">
        <f>COUNTIFS('DRAFT 2'!$D:$D,$B130,'DRAFT 2'!$A:$A,"&gt;="&amp;DATE(2026,6,1),'DRAFT 2'!$A:$A,"&lt;="&amp;DATE(2026,6,7))</f>
        <v>0</v>
      </c>
      <c r="FF130">
        <f>COUNTIFS('DRAFT 2'!$D:$D,$B130,'DRAFT 2'!$A:$A,"&gt;="&amp;DATE(2026,6,8),'DRAFT 2'!$A:$A,"&lt;="&amp;DATE(2026,6,14))</f>
        <v>0</v>
      </c>
      <c r="FG130">
        <f>COUNTIFS('DRAFT 2'!$D:$D,$B130,'DRAFT 2'!$A:$A,"&gt;="&amp;DATE(2026,6,15),'DRAFT 2'!$A:$A,"&lt;="&amp;DATE(2026,6,21))</f>
        <v>0</v>
      </c>
      <c r="FH130">
        <f>COUNTIFS('DRAFT 2'!$D:$D,$B130,'DRAFT 2'!$A:$A,"&gt;="&amp;DATE(2026,6,22),'DRAFT 2'!$A:$A,"&lt;"&amp;DATE(2026,IF(6=12,6+1,6+1),1))</f>
        <v>0</v>
      </c>
      <c r="FI130">
        <f t="shared" si="49"/>
        <v>0</v>
      </c>
      <c r="FT130">
        <f>IFERROR(LOOKUP(2,1/('DRAFT 2'!$D:$D=$B130)*('DRAFT 2'!$A:$A&gt;=DATE(2026,7,1))*('DRAFT 2'!$A:$A&lt;DATE(2026,IF(7=12,7+1,7+1),1)),'DRAFT 2'!$A:$A),"")</f>
        <v>0</v>
      </c>
      <c r="FU130">
        <f>COUNTIFS('DRAFT 2'!$D:$D,$B130,'DRAFT 2'!$A:$A,"&gt;="&amp;DATE(2026,7,1),'DRAFT 2'!$A:$A,"&lt;="&amp;DATE(2026,7,7))</f>
        <v>0</v>
      </c>
      <c r="FV130">
        <f>COUNTIFS('DRAFT 2'!$D:$D,$B130,'DRAFT 2'!$A:$A,"&gt;="&amp;DATE(2026,7,8),'DRAFT 2'!$A:$A,"&lt;="&amp;DATE(2026,7,14))</f>
        <v>0</v>
      </c>
      <c r="FW130">
        <f>COUNTIFS('DRAFT 2'!$D:$D,$B130,'DRAFT 2'!$A:$A,"&gt;="&amp;DATE(2026,7,15),'DRAFT 2'!$A:$A,"&lt;="&amp;DATE(2026,7,21))</f>
        <v>0</v>
      </c>
      <c r="FX130">
        <f>COUNTIFS('DRAFT 2'!$D:$D,$B130,'DRAFT 2'!$A:$A,"&gt;="&amp;DATE(2026,7,22),'DRAFT 2'!$A:$A,"&lt;"&amp;DATE(2026,IF(7=12,7+1,7+1),1))</f>
        <v>0</v>
      </c>
      <c r="FY130">
        <f t="shared" si="50"/>
        <v>0</v>
      </c>
      <c r="GI130">
        <f>IFERROR(LOOKUP(2,1/('DRAFT 2'!$D:$D=$B130)*('DRAFT 2'!$A:$A&gt;=DATE(2026,8,1))*('DRAFT 2'!$A:$A&lt;DATE(2026,IF(8=12,8+1,8+1),1)),'DRAFT 2'!$A:$A),"")</f>
        <v>0</v>
      </c>
      <c r="GJ130">
        <f>COUNTIFS('DRAFT 2'!$D:$D,$B130,'DRAFT 2'!$A:$A,"&gt;="&amp;DATE(2026,8,1),'DRAFT 2'!$A:$A,"&lt;="&amp;DATE(2026,8,7))</f>
        <v>0</v>
      </c>
      <c r="GK130">
        <f>COUNTIFS('DRAFT 2'!$D:$D,$B130,'DRAFT 2'!$A:$A,"&gt;="&amp;DATE(2026,8,8),'DRAFT 2'!$A:$A,"&lt;="&amp;DATE(2026,8,14))</f>
        <v>0</v>
      </c>
      <c r="GL130">
        <f>COUNTIFS('DRAFT 2'!$D:$D,$B130,'DRAFT 2'!$A:$A,"&gt;="&amp;DATE(2026,8,15),'DRAFT 2'!$A:$A,"&lt;="&amp;DATE(2026,8,21))</f>
        <v>0</v>
      </c>
      <c r="GM130">
        <f>COUNTIFS('DRAFT 2'!$D:$D,$B130,'DRAFT 2'!$A:$A,"&gt;="&amp;DATE(2026,8,22),'DRAFT 2'!$A:$A,"&lt;"&amp;DATE(2026,IF(8=12,8+1,8+1),1))</f>
        <v>0</v>
      </c>
      <c r="GN130">
        <f t="shared" si="51"/>
        <v>0</v>
      </c>
      <c r="GX130">
        <f>IFERROR(LOOKUP(2,1/('DRAFT 2'!$D:$D=$B130)*('DRAFT 2'!$A:$A&gt;=DATE(2026,9,1))*('DRAFT 2'!$A:$A&lt;DATE(2026,IF(9=12,9+1,9+1),1)),'DRAFT 2'!$A:$A),"")</f>
        <v>0</v>
      </c>
      <c r="GY130">
        <f>COUNTIFS('DRAFT 2'!$D:$D,$B130,'DRAFT 2'!$A:$A,"&gt;="&amp;DATE(2026,9,1),'DRAFT 2'!$A:$A,"&lt;="&amp;DATE(2026,9,7))</f>
        <v>0</v>
      </c>
      <c r="GZ130">
        <f>COUNTIFS('DRAFT 2'!$D:$D,$B130,'DRAFT 2'!$A:$A,"&gt;="&amp;DATE(2026,9,8),'DRAFT 2'!$A:$A,"&lt;="&amp;DATE(2026,9,14))</f>
        <v>0</v>
      </c>
      <c r="HA130">
        <f>COUNTIFS('DRAFT 2'!$D:$D,$B130,'DRAFT 2'!$A:$A,"&gt;="&amp;DATE(2026,9,15),'DRAFT 2'!$A:$A,"&lt;="&amp;DATE(2026,9,21))</f>
        <v>0</v>
      </c>
      <c r="HB130">
        <f>COUNTIFS('DRAFT 2'!$D:$D,$B130,'DRAFT 2'!$A:$A,"&gt;="&amp;DATE(2026,9,22),'DRAFT 2'!$A:$A,"&lt;"&amp;DATE(2026,IF(9=12,9+1,9+1),1))</f>
        <v>0</v>
      </c>
      <c r="HC130">
        <f t="shared" si="52"/>
        <v>0</v>
      </c>
      <c r="HN130">
        <f>IFERROR(LOOKUP(2,1/('DRAFT 2'!$D:$D=$B130)*('DRAFT 2'!$A:$A&gt;=DATE(2026,10,1))*('DRAFT 2'!$A:$A&lt;DATE(2026,IF(10=12,10+1,10+1),1)),'DRAFT 2'!$A:$A),"")</f>
        <v>0</v>
      </c>
      <c r="HO130">
        <f>COUNTIFS('DRAFT 2'!$D:$D,$B130,'DRAFT 2'!$A:$A,"&gt;="&amp;DATE(2026,10,1),'DRAFT 2'!$A:$A,"&lt;="&amp;DATE(2026,10,7))</f>
        <v>0</v>
      </c>
      <c r="HP130">
        <f>COUNTIFS('DRAFT 2'!$D:$D,$B130,'DRAFT 2'!$A:$A,"&gt;="&amp;DATE(2026,10,8),'DRAFT 2'!$A:$A,"&lt;="&amp;DATE(2026,10,14))</f>
        <v>0</v>
      </c>
      <c r="HQ130">
        <f>COUNTIFS('DRAFT 2'!$D:$D,$B130,'DRAFT 2'!$A:$A,"&gt;="&amp;DATE(2026,10,15),'DRAFT 2'!$A:$A,"&lt;="&amp;DATE(2026,10,21))</f>
        <v>0</v>
      </c>
      <c r="HR130">
        <f>COUNTIFS('DRAFT 2'!$D:$D,$B130,'DRAFT 2'!$A:$A,"&gt;="&amp;DATE(2026,10,22),'DRAFT 2'!$A:$A,"&lt;"&amp;DATE(2026,IF(10=12,10+1,10+1),1))</f>
        <v>0</v>
      </c>
      <c r="HS130">
        <f t="shared" si="53"/>
        <v>0</v>
      </c>
      <c r="IC130">
        <f>IFERROR(LOOKUP(2,1/('DRAFT 2'!$D:$D=$B130)*('DRAFT 2'!$A:$A&gt;=DATE(2026,11,1))*('DRAFT 2'!$A:$A&lt;DATE(2026,IF(11=12,11+1,11+1),1)),'DRAFT 2'!$A:$A),"")</f>
        <v>0</v>
      </c>
      <c r="ID130">
        <f>COUNTIFS('DRAFT 2'!$D:$D,$B130,'DRAFT 2'!$A:$A,"&gt;="&amp;DATE(2026,11,1),'DRAFT 2'!$A:$A,"&lt;="&amp;DATE(2026,11,7))</f>
        <v>0</v>
      </c>
      <c r="IE130">
        <f>COUNTIFS('DRAFT 2'!$D:$D,$B130,'DRAFT 2'!$A:$A,"&gt;="&amp;DATE(2026,11,8),'DRAFT 2'!$A:$A,"&lt;="&amp;DATE(2026,11,14))</f>
        <v>0</v>
      </c>
      <c r="IF130">
        <f>COUNTIFS('DRAFT 2'!$D:$D,$B130,'DRAFT 2'!$A:$A,"&gt;="&amp;DATE(2026,11,15),'DRAFT 2'!$A:$A,"&lt;="&amp;DATE(2026,11,21))</f>
        <v>0</v>
      </c>
      <c r="IG130">
        <f>COUNTIFS('DRAFT 2'!$D:$D,$B130,'DRAFT 2'!$A:$A,"&gt;="&amp;DATE(2026,11,22),'DRAFT 2'!$A:$A,"&lt;"&amp;DATE(2026,IF(11=12,11+1,11+1),1))</f>
        <v>0</v>
      </c>
      <c r="IH130">
        <f t="shared" si="54"/>
        <v>0</v>
      </c>
      <c r="IR130">
        <f>IFERROR(LOOKUP(2,1/('DRAFT 2'!$D:$D=$B130)*('DRAFT 2'!$A:$A&gt;=DATE(2026,12,1))*('DRAFT 2'!$A:$A&lt;DATE(2026,IF(12=12,12+1,12+1),1)),'DRAFT 2'!$A:$A),"")</f>
        <v>0</v>
      </c>
      <c r="IS130">
        <f>COUNTIFS('DRAFT 2'!$D:$D,$B130,'DRAFT 2'!$A:$A,"&gt;="&amp;DATE(2026,12,1),'DRAFT 2'!$A:$A,"&lt;="&amp;DATE(2026,12,7))</f>
        <v>0</v>
      </c>
      <c r="IT130">
        <f>COUNTIFS('DRAFT 2'!$D:$D,$B130,'DRAFT 2'!$A:$A,"&gt;="&amp;DATE(2026,12,8),'DRAFT 2'!$A:$A,"&lt;="&amp;DATE(2026,12,14))</f>
        <v>0</v>
      </c>
      <c r="IU130">
        <f>COUNTIFS('DRAFT 2'!$D:$D,$B130,'DRAFT 2'!$A:$A,"&gt;="&amp;DATE(2026,12,15),'DRAFT 2'!$A:$A,"&lt;="&amp;DATE(2026,12,21))</f>
        <v>0</v>
      </c>
      <c r="IV130">
        <f>COUNTIFS('DRAFT 2'!$D:$D,$B130,'DRAFT 2'!$A:$A,"&gt;="&amp;DATE(2026,12,22),'DRAFT 2'!$A:$A,"&lt;"&amp;DATE(2026,IF(12=12,12+1,12+1),1))</f>
        <v>0</v>
      </c>
      <c r="IW130">
        <f t="shared" si="55"/>
        <v>0</v>
      </c>
    </row>
    <row r="131" spans="1:257" x14ac:dyDescent="0.3">
      <c r="A131" t="str">
        <f>IFERROR(INDEX('DRAFT 1'!$A:$A,MATCH($B131,'DRAFT 1'!$B:$B,0)),"")</f>
        <v/>
      </c>
      <c r="C131" t="str">
        <f>IFERROR(INDEX('DRAFT 1'!$C:$C,MATCH($B131,'DRAFT 1'!$B:$B,0)),"")</f>
        <v/>
      </c>
      <c r="D131" t="str">
        <f>IFERROR(INDEX('DRAFT 1'!$D:$D,MATCH($B131,'DRAFT 1'!$B:$B,0)),"")</f>
        <v/>
      </c>
      <c r="E131" t="str">
        <f>IFERROR(INDEX('DRAFT 1'!$E:$E,MATCH($B131,'DRAFT 1'!$B:$B,0)),"")</f>
        <v/>
      </c>
      <c r="F131" t="str">
        <f>IFERROR(INDEX('DRAFT 1'!$F:$F,MATCH($B131,'DRAFT 1'!$B:$B,0)),"")</f>
        <v/>
      </c>
      <c r="G131" t="str">
        <f>IFERROR(INDEX('DRAFT 1'!$G:$G,MATCH($B131,'DRAFT 1'!$B:$B,0)),"")</f>
        <v/>
      </c>
      <c r="H131" t="str">
        <f>IFERROR(INDEX('DRAFT 1'!$H:$H,MATCH($B131,'DRAFT 1'!$B:$B,0)),"")</f>
        <v/>
      </c>
      <c r="I131" t="str">
        <f>IFERROR(INDEX('DRAFT 1'!$I:$I,MATCH($B131,'DRAFT 1'!$B:$B,0)),"")</f>
        <v/>
      </c>
      <c r="K131" t="str">
        <f>IFERROR(INDEX('DRAFT 1'!$AL:$AL,MATCH($B131,'DRAFT 1'!$B:$B,0)),"")</f>
        <v/>
      </c>
      <c r="L131" t="str">
        <f>IFERROR(INDEX('DRAFT 1'!$J:$J,MATCH($B131,'DRAFT 1'!$B:$B,0)),"")</f>
        <v/>
      </c>
      <c r="M131" t="str">
        <f>IFERROR(INDEX('DRAFT 1'!$K:$K,MATCH($B131,'DRAFT 1'!$B:$B,0)),"")</f>
        <v/>
      </c>
      <c r="P131" t="str">
        <f>IFERROR(INDEX('DRAFT 1'!$L:$L,MATCH($B131,'DRAFT 1'!$B:$B,0)),"")</f>
        <v/>
      </c>
      <c r="Q131" t="str">
        <f>IFERROR(INDEX('DRAFT 1'!$M:$M,MATCH($B131,'DRAFT 1'!$B:$B,0)),"")</f>
        <v/>
      </c>
      <c r="R131" t="str">
        <f>IFERROR(INDEX('DRAFT 1'!$N:$N,MATCH($B131,'DRAFT 1'!$B:$B,0)),"")</f>
        <v/>
      </c>
      <c r="S131" t="str">
        <f>IFERROR(INDEX('DRAFT 1'!$O:$O,MATCH($B131,'DRAFT 1'!$B:$B,0)),"")</f>
        <v/>
      </c>
      <c r="T131" t="str">
        <f>IFERROR(INDEX('DRAFT 1'!$P:$P,MATCH($B131,'DRAFT 1'!$B:$B,0)),"")</f>
        <v/>
      </c>
      <c r="U131" t="str">
        <f>IFERROR(INDEX('DRAFT 1'!$Q:$Q,MATCH($B131,'DRAFT 1'!$B:$B,0)),"")</f>
        <v/>
      </c>
      <c r="V131" t="str">
        <f>IFERROR(INDEX('DRAFT 1'!$R:$R,MATCH($B131,'DRAFT 1'!$B:$B,0)),"")</f>
        <v/>
      </c>
      <c r="W131" t="str">
        <f>IFERROR(INDEX('DRAFT 1'!$S:$S,MATCH($B131,'DRAFT 1'!$B:$B,0)),"")</f>
        <v/>
      </c>
      <c r="X131" t="str">
        <f>IFERROR(INDEX('DRAFT 1'!$T:$T,MATCH($B131,'DRAFT 1'!$B:$B,0)),"")</f>
        <v/>
      </c>
      <c r="Z131" t="str">
        <f>IFERROR(INDEX('DRAFT 1'!$U:$U,MATCH($B131,'DRAFT 1'!$B:$B,0)),"")</f>
        <v/>
      </c>
      <c r="AA131" t="str">
        <f>IFERROR(INDEX('DRAFT 1'!$V:$V,MATCH($B131,'DRAFT 1'!$B:$B,0)),"")</f>
        <v/>
      </c>
      <c r="AB131" t="str">
        <f>IFERROR(INDEX('DRAFT 1'!$W:$W,MATCH($B131,'DRAFT 1'!$B:$B,0)),"")</f>
        <v/>
      </c>
      <c r="AC131" t="str">
        <f>IFERROR(INDEX('DRAFT 1'!$X:$X,MATCH($B131,'DRAFT 1'!$B:$B,0)),"")</f>
        <v/>
      </c>
      <c r="AD131" t="str">
        <f>IFERROR(INDEX('DRAFT 1'!$Y:$Y,MATCH($B131,'DRAFT 1'!$B:$B,0)),"")</f>
        <v/>
      </c>
      <c r="AE131" t="str">
        <f>IFERROR(INDEX('DRAFT 1'!$Z:$Z,MATCH($B131,'DRAFT 1'!$B:$B,0)),"")</f>
        <v/>
      </c>
      <c r="AF131" t="str">
        <f>IFERROR(INDEX('DRAFT 1'!$AA:$AA,MATCH($B131,'DRAFT 1'!$B:$B,0)),"")</f>
        <v/>
      </c>
      <c r="AG131" t="str">
        <f>IFERROR(INDEX('DRAFT 1'!$AB:$AB,MATCH($B131,'DRAFT 1'!$B:$B,0)),"")</f>
        <v/>
      </c>
      <c r="AH131" t="str">
        <f>IFERROR(INDEX('DRAFT 1'!$AC:$AC,MATCH($B131,'DRAFT 1'!$B:$B,0)),"")</f>
        <v/>
      </c>
      <c r="AI131" t="str">
        <f>IFERROR(INDEX('DRAFT 1'!$AD:$AD,MATCH($B131,'DRAFT 1'!$B:$B,0)),"")</f>
        <v/>
      </c>
      <c r="AJ131" t="str">
        <f>IFERROR(INDEX('DRAFT 1'!$AE:$AE,MATCH($B131,'DRAFT 1'!$B:$B,0)),"")</f>
        <v/>
      </c>
      <c r="AK131" t="str">
        <f>IFERROR(INDEX('DRAFT 1'!$AG:$AG,MATCH($B131,'DRAFT 1'!$B:$B,0)),"")</f>
        <v/>
      </c>
      <c r="AL131" t="str">
        <f>IFERROR(INDEX('DRAFT 1'!$AH:$AH,MATCH($B131,'DRAFT 1'!$B:$B,0)),"")</f>
        <v/>
      </c>
      <c r="AM131" t="str">
        <f>IFERROR(INDEX('DRAFT 1'!$AI:$AI,MATCH($B131,'DRAFT 1'!$B:$B,0)),"")</f>
        <v/>
      </c>
      <c r="AN131" t="str">
        <f>IFERROR(INDEX('DRAFT 1'!$AJ:$AJ,MATCH($B131,'DRAFT 1'!$B:$B,0)),"")</f>
        <v/>
      </c>
      <c r="AO131">
        <f t="shared" si="42"/>
        <v>0</v>
      </c>
      <c r="AP131" t="str">
        <f>IFERROR(INDEX('DRAFT 1'!$AK:$AK,MATCH($B131,'DRAFT 1'!$B:$B,0)),"")</f>
        <v/>
      </c>
      <c r="AR131">
        <f>IFERROR(LOOKUP(2,1/('DRAFT 2'!$D:$D=$B131),'DRAFT 2'!$I:$I),"")</f>
        <v>0</v>
      </c>
      <c r="AS131">
        <f>IFERROR(LOOKUP(2,1/('DRAFT 2'!$D:$D=$B131),'DRAFT 2'!$T:$T),"")</f>
        <v>0</v>
      </c>
      <c r="AT131">
        <f>IFERROR(LOOKUP(2,1/('DRAFT 2'!$D:$D=$B131),'DRAFT 2'!$A:$A),"")</f>
        <v>0</v>
      </c>
      <c r="AU131">
        <f>IFERROR(LOOKUP(2,1/('DRAFT 2'!$D:$D=$B131),'DRAFT 2'!$R:$R),"")</f>
        <v>0</v>
      </c>
      <c r="AV131">
        <f>IFERROR(LOOKUP(2,1/('DRAFT 2'!$D:$D=$B131),'DRAFT 2'!$S:$S),"")</f>
        <v>0</v>
      </c>
      <c r="AX131">
        <f>IFERROR(LOOKUP(2,1/('DRAFT 2'!$D:$D=$B131),'DRAFT 2'!$M:$M),"")</f>
        <v>0</v>
      </c>
      <c r="AY131">
        <f>IFERROR(LOOKUP(2,1/('DRAFT 2'!$D:$D=$B131),'DRAFT 2'!$K:$K),"")</f>
        <v>0</v>
      </c>
      <c r="BG131">
        <f>IFERROR(LOOKUP(2,1/('DRAFT 2'!$D:$D=$B131),'DRAFT 2'!$U:$U),"")</f>
        <v>0</v>
      </c>
      <c r="BH131">
        <f>IFERROR(LOOKUP(2,1/('DRAFT 2'!$D:$D=$B131),'DRAFT 2'!$V:$V),"")</f>
        <v>0</v>
      </c>
      <c r="CE131" t="str">
        <f t="shared" si="43"/>
        <v/>
      </c>
      <c r="CF131">
        <f>IFERROR(LOOKUP(2,1/('DRAFT 2'!$D:$D=$B131)*('DRAFT 2'!$A:$A&gt;=DATE(2026,1,1))*('DRAFT 2'!$A:$A&lt;DATE(2026,IF(1=12,1+1,1+1),1)),'DRAFT 2'!$A:$A),"")</f>
        <v>0</v>
      </c>
      <c r="CG131">
        <f>COUNTIFS('DRAFT 2'!$D:$D,$B131,'DRAFT 2'!$A:$A,"&gt;="&amp;DATE(2026,1,1),'DRAFT 2'!$A:$A,"&lt;="&amp;DATE(2026,1,7))</f>
        <v>0</v>
      </c>
      <c r="CH131">
        <f>COUNTIFS('DRAFT 2'!$D:$D,$B131,'DRAFT 2'!$A:$A,"&gt;="&amp;DATE(2026,1,8),'DRAFT 2'!$A:$A,"&lt;="&amp;DATE(2026,1,14))</f>
        <v>0</v>
      </c>
      <c r="CI131">
        <f>COUNTIFS('DRAFT 2'!$D:$D,$B131,'DRAFT 2'!$A:$A,"&gt;="&amp;DATE(2026,1,15),'DRAFT 2'!$A:$A,"&lt;="&amp;DATE(2026,1,21))</f>
        <v>0</v>
      </c>
      <c r="CJ131">
        <f>COUNTIFS('DRAFT 2'!$D:$D,$B131,'DRAFT 2'!$A:$A,"&gt;="&amp;DATE(2026,1,22),'DRAFT 2'!$A:$A,"&lt;"&amp;DATE(2026,IF(1=12,1+1,1+1),1))</f>
        <v>0</v>
      </c>
      <c r="CK131">
        <f t="shared" si="44"/>
        <v>0</v>
      </c>
      <c r="CT131">
        <v>0</v>
      </c>
      <c r="CU131">
        <f>IFERROR(LOOKUP(2,1/('DRAFT 2'!$D:$D=$B131)*('DRAFT 2'!$A:$A&gt;=DATE(2026,2,1))*('DRAFT 2'!$A:$A&lt;DATE(2026,IF(2=12,2+1,2+1),1)),'DRAFT 2'!$A:$A),"")</f>
        <v>0</v>
      </c>
      <c r="CV131">
        <f>COUNTIFS('DRAFT 2'!$D:$D,$B131,'DRAFT 2'!$A:$A,"&gt;="&amp;DATE(2026,2,1),'DRAFT 2'!$A:$A,"&lt;="&amp;DATE(2026,2,7))</f>
        <v>0</v>
      </c>
      <c r="CW131">
        <f>COUNTIFS('DRAFT 2'!$D:$D,$B131,'DRAFT 2'!$A:$A,"&gt;="&amp;DATE(2026,2,8),'DRAFT 2'!$A:$A,"&lt;="&amp;DATE(2026,2,14))</f>
        <v>0</v>
      </c>
      <c r="CX131">
        <f>COUNTIFS('DRAFT 2'!$D:$D,$B131,'DRAFT 2'!$A:$A,"&gt;="&amp;DATE(2026,2,15),'DRAFT 2'!$A:$A,"&lt;="&amp;DATE(2026,2,21))</f>
        <v>0</v>
      </c>
      <c r="CY131">
        <f>COUNTIFS('DRAFT 2'!$D:$D,$B131,'DRAFT 2'!$A:$A,"&gt;="&amp;DATE(2026,2,22),'DRAFT 2'!$A:$A,"&lt;"&amp;DATE(2026,IF(2=12,2+1,2+1),1))</f>
        <v>0</v>
      </c>
      <c r="CZ131">
        <f t="shared" si="45"/>
        <v>0</v>
      </c>
      <c r="DJ131">
        <f>IFERROR(LOOKUP(2,1/('DRAFT 2'!$D:$D=$B131)*('DRAFT 2'!$A:$A&gt;=DATE(2026,3,1))*('DRAFT 2'!$A:$A&lt;DATE(2026,IF(3=12,3+1,3+1),1)),'DRAFT 2'!$A:$A),"")</f>
        <v>0</v>
      </c>
      <c r="DK131">
        <f>COUNTIFS('DRAFT 2'!$D:$D,$B131,'DRAFT 2'!$A:$A,"&gt;="&amp;DATE(2026,3,1),'DRAFT 2'!$A:$A,"&lt;="&amp;DATE(2026,3,7))</f>
        <v>0</v>
      </c>
      <c r="DL131">
        <f>COUNTIFS('DRAFT 2'!$D:$D,$B131,'DRAFT 2'!$A:$A,"&gt;="&amp;DATE(2026,3,8),'DRAFT 2'!$A:$A,"&lt;="&amp;DATE(2026,3,14))</f>
        <v>0</v>
      </c>
      <c r="DM131">
        <f>COUNTIFS('DRAFT 2'!$D:$D,$B131,'DRAFT 2'!$A:$A,"&gt;="&amp;DATE(2026,3,15),'DRAFT 2'!$A:$A,"&lt;="&amp;DATE(2026,3,21))</f>
        <v>0</v>
      </c>
      <c r="DN131">
        <f>COUNTIFS('DRAFT 2'!$D:$D,$B131,'DRAFT 2'!$A:$A,"&gt;="&amp;DATE(2026,3,22),'DRAFT 2'!$A:$A,"&lt;"&amp;DATE(2026,IF(3=12,3+1,3+1),1))</f>
        <v>0</v>
      </c>
      <c r="DO131">
        <f t="shared" si="46"/>
        <v>0</v>
      </c>
      <c r="DZ131">
        <f>IFERROR(LOOKUP(2,1/('DRAFT 2'!$D:$D=$B131)*('DRAFT 2'!$A:$A&gt;=DATE(2026,4,1))*('DRAFT 2'!$A:$A&lt;DATE(2026,IF(4=12,4+1,4+1),1)),'DRAFT 2'!$A:$A),"")</f>
        <v>0</v>
      </c>
      <c r="EA131">
        <f>COUNTIFS('DRAFT 2'!$D:$D,$B131,'DRAFT 2'!$A:$A,"&gt;="&amp;DATE(2026,4,1),'DRAFT 2'!$A:$A,"&lt;="&amp;DATE(2026,4,7))</f>
        <v>0</v>
      </c>
      <c r="EB131">
        <f>COUNTIFS('DRAFT 2'!$D:$D,$B131,'DRAFT 2'!$A:$A,"&gt;="&amp;DATE(2026,4,8),'DRAFT 2'!$A:$A,"&lt;="&amp;DATE(2026,4,14))</f>
        <v>0</v>
      </c>
      <c r="EC131">
        <f>COUNTIFS('DRAFT 2'!$D:$D,$B131,'DRAFT 2'!$A:$A,"&gt;="&amp;DATE(2026,4,15),'DRAFT 2'!$A:$A,"&lt;="&amp;DATE(2026,4,21))</f>
        <v>0</v>
      </c>
      <c r="ED131">
        <f>COUNTIFS('DRAFT 2'!$D:$D,$B131,'DRAFT 2'!$A:$A,"&gt;="&amp;DATE(2026,4,22),'DRAFT 2'!$A:$A,"&lt;"&amp;DATE(2026,IF(4=12,4+1,4+1),1))</f>
        <v>0</v>
      </c>
      <c r="EE131">
        <f t="shared" si="47"/>
        <v>0</v>
      </c>
      <c r="EO131">
        <f>IFERROR(LOOKUP(2,1/('DRAFT 2'!$D:$D=$B131)*('DRAFT 2'!$A:$A&gt;=DATE(2026,5,1))*('DRAFT 2'!$A:$A&lt;DATE(2026,IF(5=12,5+1,5+1),1)),'DRAFT 2'!$A:$A),"")</f>
        <v>0</v>
      </c>
      <c r="EP131">
        <f>COUNTIFS('DRAFT 2'!$D:$D,$B131,'DRAFT 2'!$A:$A,"&gt;="&amp;DATE(2026,5,1),'DRAFT 2'!$A:$A,"&lt;="&amp;DATE(2026,5,7))</f>
        <v>0</v>
      </c>
      <c r="EQ131">
        <f>COUNTIFS('DRAFT 2'!$D:$D,$B131,'DRAFT 2'!$A:$A,"&gt;="&amp;DATE(2026,5,8),'DRAFT 2'!$A:$A,"&lt;="&amp;DATE(2026,5,14))</f>
        <v>0</v>
      </c>
      <c r="ER131">
        <f>COUNTIFS('DRAFT 2'!$D:$D,$B131,'DRAFT 2'!$A:$A,"&gt;="&amp;DATE(2026,5,15),'DRAFT 2'!$A:$A,"&lt;="&amp;DATE(2026,5,21))</f>
        <v>0</v>
      </c>
      <c r="ES131">
        <f>COUNTIFS('DRAFT 2'!$D:$D,$B131,'DRAFT 2'!$A:$A,"&gt;="&amp;DATE(2026,5,22),'DRAFT 2'!$A:$A,"&lt;"&amp;DATE(2026,IF(5=12,5+1,5+1),1))</f>
        <v>0</v>
      </c>
      <c r="ET131">
        <f t="shared" si="48"/>
        <v>0</v>
      </c>
      <c r="FD131">
        <f>IFERROR(LOOKUP(2,1/('DRAFT 2'!$D:$D=$B131)*('DRAFT 2'!$A:$A&gt;=DATE(2026,6,1))*('DRAFT 2'!$A:$A&lt;DATE(2026,IF(6=12,6+1,6+1),1)),'DRAFT 2'!$A:$A),"")</f>
        <v>0</v>
      </c>
      <c r="FE131">
        <f>COUNTIFS('DRAFT 2'!$D:$D,$B131,'DRAFT 2'!$A:$A,"&gt;="&amp;DATE(2026,6,1),'DRAFT 2'!$A:$A,"&lt;="&amp;DATE(2026,6,7))</f>
        <v>0</v>
      </c>
      <c r="FF131">
        <f>COUNTIFS('DRAFT 2'!$D:$D,$B131,'DRAFT 2'!$A:$A,"&gt;="&amp;DATE(2026,6,8),'DRAFT 2'!$A:$A,"&lt;="&amp;DATE(2026,6,14))</f>
        <v>0</v>
      </c>
      <c r="FG131">
        <f>COUNTIFS('DRAFT 2'!$D:$D,$B131,'DRAFT 2'!$A:$A,"&gt;="&amp;DATE(2026,6,15),'DRAFT 2'!$A:$A,"&lt;="&amp;DATE(2026,6,21))</f>
        <v>0</v>
      </c>
      <c r="FH131">
        <f>COUNTIFS('DRAFT 2'!$D:$D,$B131,'DRAFT 2'!$A:$A,"&gt;="&amp;DATE(2026,6,22),'DRAFT 2'!$A:$A,"&lt;"&amp;DATE(2026,IF(6=12,6+1,6+1),1))</f>
        <v>0</v>
      </c>
      <c r="FI131">
        <f t="shared" si="49"/>
        <v>0</v>
      </c>
      <c r="FT131">
        <f>IFERROR(LOOKUP(2,1/('DRAFT 2'!$D:$D=$B131)*('DRAFT 2'!$A:$A&gt;=DATE(2026,7,1))*('DRAFT 2'!$A:$A&lt;DATE(2026,IF(7=12,7+1,7+1),1)),'DRAFT 2'!$A:$A),"")</f>
        <v>0</v>
      </c>
      <c r="FU131">
        <f>COUNTIFS('DRAFT 2'!$D:$D,$B131,'DRAFT 2'!$A:$A,"&gt;="&amp;DATE(2026,7,1),'DRAFT 2'!$A:$A,"&lt;="&amp;DATE(2026,7,7))</f>
        <v>0</v>
      </c>
      <c r="FV131">
        <f>COUNTIFS('DRAFT 2'!$D:$D,$B131,'DRAFT 2'!$A:$A,"&gt;="&amp;DATE(2026,7,8),'DRAFT 2'!$A:$A,"&lt;="&amp;DATE(2026,7,14))</f>
        <v>0</v>
      </c>
      <c r="FW131">
        <f>COUNTIFS('DRAFT 2'!$D:$D,$B131,'DRAFT 2'!$A:$A,"&gt;="&amp;DATE(2026,7,15),'DRAFT 2'!$A:$A,"&lt;="&amp;DATE(2026,7,21))</f>
        <v>0</v>
      </c>
      <c r="FX131">
        <f>COUNTIFS('DRAFT 2'!$D:$D,$B131,'DRAFT 2'!$A:$A,"&gt;="&amp;DATE(2026,7,22),'DRAFT 2'!$A:$A,"&lt;"&amp;DATE(2026,IF(7=12,7+1,7+1),1))</f>
        <v>0</v>
      </c>
      <c r="FY131">
        <f t="shared" si="50"/>
        <v>0</v>
      </c>
      <c r="GI131">
        <f>IFERROR(LOOKUP(2,1/('DRAFT 2'!$D:$D=$B131)*('DRAFT 2'!$A:$A&gt;=DATE(2026,8,1))*('DRAFT 2'!$A:$A&lt;DATE(2026,IF(8=12,8+1,8+1),1)),'DRAFT 2'!$A:$A),"")</f>
        <v>0</v>
      </c>
      <c r="GJ131">
        <f>COUNTIFS('DRAFT 2'!$D:$D,$B131,'DRAFT 2'!$A:$A,"&gt;="&amp;DATE(2026,8,1),'DRAFT 2'!$A:$A,"&lt;="&amp;DATE(2026,8,7))</f>
        <v>0</v>
      </c>
      <c r="GK131">
        <f>COUNTIFS('DRAFT 2'!$D:$D,$B131,'DRAFT 2'!$A:$A,"&gt;="&amp;DATE(2026,8,8),'DRAFT 2'!$A:$A,"&lt;="&amp;DATE(2026,8,14))</f>
        <v>0</v>
      </c>
      <c r="GL131">
        <f>COUNTIFS('DRAFT 2'!$D:$D,$B131,'DRAFT 2'!$A:$A,"&gt;="&amp;DATE(2026,8,15),'DRAFT 2'!$A:$A,"&lt;="&amp;DATE(2026,8,21))</f>
        <v>0</v>
      </c>
      <c r="GM131">
        <f>COUNTIFS('DRAFT 2'!$D:$D,$B131,'DRAFT 2'!$A:$A,"&gt;="&amp;DATE(2026,8,22),'DRAFT 2'!$A:$A,"&lt;"&amp;DATE(2026,IF(8=12,8+1,8+1),1))</f>
        <v>0</v>
      </c>
      <c r="GN131">
        <f t="shared" si="51"/>
        <v>0</v>
      </c>
      <c r="GX131">
        <f>IFERROR(LOOKUP(2,1/('DRAFT 2'!$D:$D=$B131)*('DRAFT 2'!$A:$A&gt;=DATE(2026,9,1))*('DRAFT 2'!$A:$A&lt;DATE(2026,IF(9=12,9+1,9+1),1)),'DRAFT 2'!$A:$A),"")</f>
        <v>0</v>
      </c>
      <c r="GY131">
        <f>COUNTIFS('DRAFT 2'!$D:$D,$B131,'DRAFT 2'!$A:$A,"&gt;="&amp;DATE(2026,9,1),'DRAFT 2'!$A:$A,"&lt;="&amp;DATE(2026,9,7))</f>
        <v>0</v>
      </c>
      <c r="GZ131">
        <f>COUNTIFS('DRAFT 2'!$D:$D,$B131,'DRAFT 2'!$A:$A,"&gt;="&amp;DATE(2026,9,8),'DRAFT 2'!$A:$A,"&lt;="&amp;DATE(2026,9,14))</f>
        <v>0</v>
      </c>
      <c r="HA131">
        <f>COUNTIFS('DRAFT 2'!$D:$D,$B131,'DRAFT 2'!$A:$A,"&gt;="&amp;DATE(2026,9,15),'DRAFT 2'!$A:$A,"&lt;="&amp;DATE(2026,9,21))</f>
        <v>0</v>
      </c>
      <c r="HB131">
        <f>COUNTIFS('DRAFT 2'!$D:$D,$B131,'DRAFT 2'!$A:$A,"&gt;="&amp;DATE(2026,9,22),'DRAFT 2'!$A:$A,"&lt;"&amp;DATE(2026,IF(9=12,9+1,9+1),1))</f>
        <v>0</v>
      </c>
      <c r="HC131">
        <f t="shared" si="52"/>
        <v>0</v>
      </c>
      <c r="HN131">
        <f>IFERROR(LOOKUP(2,1/('DRAFT 2'!$D:$D=$B131)*('DRAFT 2'!$A:$A&gt;=DATE(2026,10,1))*('DRAFT 2'!$A:$A&lt;DATE(2026,IF(10=12,10+1,10+1),1)),'DRAFT 2'!$A:$A),"")</f>
        <v>0</v>
      </c>
      <c r="HO131">
        <f>COUNTIFS('DRAFT 2'!$D:$D,$B131,'DRAFT 2'!$A:$A,"&gt;="&amp;DATE(2026,10,1),'DRAFT 2'!$A:$A,"&lt;="&amp;DATE(2026,10,7))</f>
        <v>0</v>
      </c>
      <c r="HP131">
        <f>COUNTIFS('DRAFT 2'!$D:$D,$B131,'DRAFT 2'!$A:$A,"&gt;="&amp;DATE(2026,10,8),'DRAFT 2'!$A:$A,"&lt;="&amp;DATE(2026,10,14))</f>
        <v>0</v>
      </c>
      <c r="HQ131">
        <f>COUNTIFS('DRAFT 2'!$D:$D,$B131,'DRAFT 2'!$A:$A,"&gt;="&amp;DATE(2026,10,15),'DRAFT 2'!$A:$A,"&lt;="&amp;DATE(2026,10,21))</f>
        <v>0</v>
      </c>
      <c r="HR131">
        <f>COUNTIFS('DRAFT 2'!$D:$D,$B131,'DRAFT 2'!$A:$A,"&gt;="&amp;DATE(2026,10,22),'DRAFT 2'!$A:$A,"&lt;"&amp;DATE(2026,IF(10=12,10+1,10+1),1))</f>
        <v>0</v>
      </c>
      <c r="HS131">
        <f t="shared" si="53"/>
        <v>0</v>
      </c>
      <c r="IC131">
        <f>IFERROR(LOOKUP(2,1/('DRAFT 2'!$D:$D=$B131)*('DRAFT 2'!$A:$A&gt;=DATE(2026,11,1))*('DRAFT 2'!$A:$A&lt;DATE(2026,IF(11=12,11+1,11+1),1)),'DRAFT 2'!$A:$A),"")</f>
        <v>0</v>
      </c>
      <c r="ID131">
        <f>COUNTIFS('DRAFT 2'!$D:$D,$B131,'DRAFT 2'!$A:$A,"&gt;="&amp;DATE(2026,11,1),'DRAFT 2'!$A:$A,"&lt;="&amp;DATE(2026,11,7))</f>
        <v>0</v>
      </c>
      <c r="IE131">
        <f>COUNTIFS('DRAFT 2'!$D:$D,$B131,'DRAFT 2'!$A:$A,"&gt;="&amp;DATE(2026,11,8),'DRAFT 2'!$A:$A,"&lt;="&amp;DATE(2026,11,14))</f>
        <v>0</v>
      </c>
      <c r="IF131">
        <f>COUNTIFS('DRAFT 2'!$D:$D,$B131,'DRAFT 2'!$A:$A,"&gt;="&amp;DATE(2026,11,15),'DRAFT 2'!$A:$A,"&lt;="&amp;DATE(2026,11,21))</f>
        <v>0</v>
      </c>
      <c r="IG131">
        <f>COUNTIFS('DRAFT 2'!$D:$D,$B131,'DRAFT 2'!$A:$A,"&gt;="&amp;DATE(2026,11,22),'DRAFT 2'!$A:$A,"&lt;"&amp;DATE(2026,IF(11=12,11+1,11+1),1))</f>
        <v>0</v>
      </c>
      <c r="IH131">
        <f t="shared" si="54"/>
        <v>0</v>
      </c>
      <c r="IR131">
        <f>IFERROR(LOOKUP(2,1/('DRAFT 2'!$D:$D=$B131)*('DRAFT 2'!$A:$A&gt;=DATE(2026,12,1))*('DRAFT 2'!$A:$A&lt;DATE(2026,IF(12=12,12+1,12+1),1)),'DRAFT 2'!$A:$A),"")</f>
        <v>0</v>
      </c>
      <c r="IS131">
        <f>COUNTIFS('DRAFT 2'!$D:$D,$B131,'DRAFT 2'!$A:$A,"&gt;="&amp;DATE(2026,12,1),'DRAFT 2'!$A:$A,"&lt;="&amp;DATE(2026,12,7))</f>
        <v>0</v>
      </c>
      <c r="IT131">
        <f>COUNTIFS('DRAFT 2'!$D:$D,$B131,'DRAFT 2'!$A:$A,"&gt;="&amp;DATE(2026,12,8),'DRAFT 2'!$A:$A,"&lt;="&amp;DATE(2026,12,14))</f>
        <v>0</v>
      </c>
      <c r="IU131">
        <f>COUNTIFS('DRAFT 2'!$D:$D,$B131,'DRAFT 2'!$A:$A,"&gt;="&amp;DATE(2026,12,15),'DRAFT 2'!$A:$A,"&lt;="&amp;DATE(2026,12,21))</f>
        <v>0</v>
      </c>
      <c r="IV131">
        <f>COUNTIFS('DRAFT 2'!$D:$D,$B131,'DRAFT 2'!$A:$A,"&gt;="&amp;DATE(2026,12,22),'DRAFT 2'!$A:$A,"&lt;"&amp;DATE(2026,IF(12=12,12+1,12+1),1))</f>
        <v>0</v>
      </c>
      <c r="IW131">
        <f t="shared" si="55"/>
        <v>0</v>
      </c>
    </row>
    <row r="132" spans="1:257" x14ac:dyDescent="0.3">
      <c r="A132" t="str">
        <f>IFERROR(INDEX('DRAFT 1'!$A:$A,MATCH($B132,'DRAFT 1'!$B:$B,0)),"")</f>
        <v/>
      </c>
      <c r="C132" t="str">
        <f>IFERROR(INDEX('DRAFT 1'!$C:$C,MATCH($B132,'DRAFT 1'!$B:$B,0)),"")</f>
        <v/>
      </c>
      <c r="D132" t="str">
        <f>IFERROR(INDEX('DRAFT 1'!$D:$D,MATCH($B132,'DRAFT 1'!$B:$B,0)),"")</f>
        <v/>
      </c>
      <c r="E132" t="str">
        <f>IFERROR(INDEX('DRAFT 1'!$E:$E,MATCH($B132,'DRAFT 1'!$B:$B,0)),"")</f>
        <v/>
      </c>
      <c r="F132" t="str">
        <f>IFERROR(INDEX('DRAFT 1'!$F:$F,MATCH($B132,'DRAFT 1'!$B:$B,0)),"")</f>
        <v/>
      </c>
      <c r="G132" t="str">
        <f>IFERROR(INDEX('DRAFT 1'!$G:$G,MATCH($B132,'DRAFT 1'!$B:$B,0)),"")</f>
        <v/>
      </c>
      <c r="H132" t="str">
        <f>IFERROR(INDEX('DRAFT 1'!$H:$H,MATCH($B132,'DRAFT 1'!$B:$B,0)),"")</f>
        <v/>
      </c>
      <c r="I132" t="str">
        <f>IFERROR(INDEX('DRAFT 1'!$I:$I,MATCH($B132,'DRAFT 1'!$B:$B,0)),"")</f>
        <v/>
      </c>
      <c r="K132" t="str">
        <f>IFERROR(INDEX('DRAFT 1'!$AL:$AL,MATCH($B132,'DRAFT 1'!$B:$B,0)),"")</f>
        <v/>
      </c>
      <c r="L132" t="str">
        <f>IFERROR(INDEX('DRAFT 1'!$J:$J,MATCH($B132,'DRAFT 1'!$B:$B,0)),"")</f>
        <v/>
      </c>
      <c r="M132" t="str">
        <f>IFERROR(INDEX('DRAFT 1'!$K:$K,MATCH($B132,'DRAFT 1'!$B:$B,0)),"")</f>
        <v/>
      </c>
      <c r="P132" t="str">
        <f>IFERROR(INDEX('DRAFT 1'!$L:$L,MATCH($B132,'DRAFT 1'!$B:$B,0)),"")</f>
        <v/>
      </c>
      <c r="Q132" t="str">
        <f>IFERROR(INDEX('DRAFT 1'!$M:$M,MATCH($B132,'DRAFT 1'!$B:$B,0)),"")</f>
        <v/>
      </c>
      <c r="R132" t="str">
        <f>IFERROR(INDEX('DRAFT 1'!$N:$N,MATCH($B132,'DRAFT 1'!$B:$B,0)),"")</f>
        <v/>
      </c>
      <c r="S132" t="str">
        <f>IFERROR(INDEX('DRAFT 1'!$O:$O,MATCH($B132,'DRAFT 1'!$B:$B,0)),"")</f>
        <v/>
      </c>
      <c r="T132" t="str">
        <f>IFERROR(INDEX('DRAFT 1'!$P:$P,MATCH($B132,'DRAFT 1'!$B:$B,0)),"")</f>
        <v/>
      </c>
      <c r="U132" t="str">
        <f>IFERROR(INDEX('DRAFT 1'!$Q:$Q,MATCH($B132,'DRAFT 1'!$B:$B,0)),"")</f>
        <v/>
      </c>
      <c r="V132" t="str">
        <f>IFERROR(INDEX('DRAFT 1'!$R:$R,MATCH($B132,'DRAFT 1'!$B:$B,0)),"")</f>
        <v/>
      </c>
      <c r="W132" t="str">
        <f>IFERROR(INDEX('DRAFT 1'!$S:$S,MATCH($B132,'DRAFT 1'!$B:$B,0)),"")</f>
        <v/>
      </c>
      <c r="X132" t="str">
        <f>IFERROR(INDEX('DRAFT 1'!$T:$T,MATCH($B132,'DRAFT 1'!$B:$B,0)),"")</f>
        <v/>
      </c>
      <c r="Z132" t="str">
        <f>IFERROR(INDEX('DRAFT 1'!$U:$U,MATCH($B132,'DRAFT 1'!$B:$B,0)),"")</f>
        <v/>
      </c>
      <c r="AA132" t="str">
        <f>IFERROR(INDEX('DRAFT 1'!$V:$V,MATCH($B132,'DRAFT 1'!$B:$B,0)),"")</f>
        <v/>
      </c>
      <c r="AB132" t="str">
        <f>IFERROR(INDEX('DRAFT 1'!$W:$W,MATCH($B132,'DRAFT 1'!$B:$B,0)),"")</f>
        <v/>
      </c>
      <c r="AC132" t="str">
        <f>IFERROR(INDEX('DRAFT 1'!$X:$X,MATCH($B132,'DRAFT 1'!$B:$B,0)),"")</f>
        <v/>
      </c>
      <c r="AD132" t="str">
        <f>IFERROR(INDEX('DRAFT 1'!$Y:$Y,MATCH($B132,'DRAFT 1'!$B:$B,0)),"")</f>
        <v/>
      </c>
      <c r="AE132" t="str">
        <f>IFERROR(INDEX('DRAFT 1'!$Z:$Z,MATCH($B132,'DRAFT 1'!$B:$B,0)),"")</f>
        <v/>
      </c>
      <c r="AF132" t="str">
        <f>IFERROR(INDEX('DRAFT 1'!$AA:$AA,MATCH($B132,'DRAFT 1'!$B:$B,0)),"")</f>
        <v/>
      </c>
      <c r="AG132" t="str">
        <f>IFERROR(INDEX('DRAFT 1'!$AB:$AB,MATCH($B132,'DRAFT 1'!$B:$B,0)),"")</f>
        <v/>
      </c>
      <c r="AH132" t="str">
        <f>IFERROR(INDEX('DRAFT 1'!$AC:$AC,MATCH($B132,'DRAFT 1'!$B:$B,0)),"")</f>
        <v/>
      </c>
      <c r="AI132" t="str">
        <f>IFERROR(INDEX('DRAFT 1'!$AD:$AD,MATCH($B132,'DRAFT 1'!$B:$B,0)),"")</f>
        <v/>
      </c>
      <c r="AJ132" t="str">
        <f>IFERROR(INDEX('DRAFT 1'!$AE:$AE,MATCH($B132,'DRAFT 1'!$B:$B,0)),"")</f>
        <v/>
      </c>
      <c r="AK132" t="str">
        <f>IFERROR(INDEX('DRAFT 1'!$AG:$AG,MATCH($B132,'DRAFT 1'!$B:$B,0)),"")</f>
        <v/>
      </c>
      <c r="AL132" t="str">
        <f>IFERROR(INDEX('DRAFT 1'!$AH:$AH,MATCH($B132,'DRAFT 1'!$B:$B,0)),"")</f>
        <v/>
      </c>
      <c r="AM132" t="str">
        <f>IFERROR(INDEX('DRAFT 1'!$AI:$AI,MATCH($B132,'DRAFT 1'!$B:$B,0)),"")</f>
        <v/>
      </c>
      <c r="AN132" t="str">
        <f>IFERROR(INDEX('DRAFT 1'!$AJ:$AJ,MATCH($B132,'DRAFT 1'!$B:$B,0)),"")</f>
        <v/>
      </c>
      <c r="AO132">
        <f t="shared" ref="AO132:AO163" si="56">IFERROR(Y132/AN132,0)</f>
        <v>0</v>
      </c>
      <c r="AP132" t="str">
        <f>IFERROR(INDEX('DRAFT 1'!$AK:$AK,MATCH($B132,'DRAFT 1'!$B:$B,0)),"")</f>
        <v/>
      </c>
      <c r="AR132">
        <f>IFERROR(LOOKUP(2,1/('DRAFT 2'!$D:$D=$B132),'DRAFT 2'!$I:$I),"")</f>
        <v>0</v>
      </c>
      <c r="AS132">
        <f>IFERROR(LOOKUP(2,1/('DRAFT 2'!$D:$D=$B132),'DRAFT 2'!$T:$T),"")</f>
        <v>0</v>
      </c>
      <c r="AT132">
        <f>IFERROR(LOOKUP(2,1/('DRAFT 2'!$D:$D=$B132),'DRAFT 2'!$A:$A),"")</f>
        <v>0</v>
      </c>
      <c r="AU132">
        <f>IFERROR(LOOKUP(2,1/('DRAFT 2'!$D:$D=$B132),'DRAFT 2'!$R:$R),"")</f>
        <v>0</v>
      </c>
      <c r="AV132">
        <f>IFERROR(LOOKUP(2,1/('DRAFT 2'!$D:$D=$B132),'DRAFT 2'!$S:$S),"")</f>
        <v>0</v>
      </c>
      <c r="AX132">
        <f>IFERROR(LOOKUP(2,1/('DRAFT 2'!$D:$D=$B132),'DRAFT 2'!$M:$M),"")</f>
        <v>0</v>
      </c>
      <c r="AY132">
        <f>IFERROR(LOOKUP(2,1/('DRAFT 2'!$D:$D=$B132),'DRAFT 2'!$K:$K),"")</f>
        <v>0</v>
      </c>
      <c r="BG132">
        <f>IFERROR(LOOKUP(2,1/('DRAFT 2'!$D:$D=$B132),'DRAFT 2'!$U:$U),"")</f>
        <v>0</v>
      </c>
      <c r="BH132">
        <f>IFERROR(LOOKUP(2,1/('DRAFT 2'!$D:$D=$B132),'DRAFT 2'!$V:$V),"")</f>
        <v>0</v>
      </c>
      <c r="CE132" t="str">
        <f t="shared" ref="CE132:CE163" si="57">IFERROR(AJ132,0)</f>
        <v/>
      </c>
      <c r="CF132">
        <f>IFERROR(LOOKUP(2,1/('DRAFT 2'!$D:$D=$B132)*('DRAFT 2'!$A:$A&gt;=DATE(2026,1,1))*('DRAFT 2'!$A:$A&lt;DATE(2026,IF(1=12,1+1,1+1),1)),'DRAFT 2'!$A:$A),"")</f>
        <v>0</v>
      </c>
      <c r="CG132">
        <f>COUNTIFS('DRAFT 2'!$D:$D,$B132,'DRAFT 2'!$A:$A,"&gt;="&amp;DATE(2026,1,1),'DRAFT 2'!$A:$A,"&lt;="&amp;DATE(2026,1,7))</f>
        <v>0</v>
      </c>
      <c r="CH132">
        <f>COUNTIFS('DRAFT 2'!$D:$D,$B132,'DRAFT 2'!$A:$A,"&gt;="&amp;DATE(2026,1,8),'DRAFT 2'!$A:$A,"&lt;="&amp;DATE(2026,1,14))</f>
        <v>0</v>
      </c>
      <c r="CI132">
        <f>COUNTIFS('DRAFT 2'!$D:$D,$B132,'DRAFT 2'!$A:$A,"&gt;="&amp;DATE(2026,1,15),'DRAFT 2'!$A:$A,"&lt;="&amp;DATE(2026,1,21))</f>
        <v>0</v>
      </c>
      <c r="CJ132">
        <f>COUNTIFS('DRAFT 2'!$D:$D,$B132,'DRAFT 2'!$A:$A,"&gt;="&amp;DATE(2026,1,22),'DRAFT 2'!$A:$A,"&lt;"&amp;DATE(2026,IF(1=12,1+1,1+1),1))</f>
        <v>0</v>
      </c>
      <c r="CK132">
        <f t="shared" ref="CK132:CK163" si="58">SUM(CG132:CJ132)</f>
        <v>0</v>
      </c>
      <c r="CT132">
        <v>0</v>
      </c>
      <c r="CU132">
        <f>IFERROR(LOOKUP(2,1/('DRAFT 2'!$D:$D=$B132)*('DRAFT 2'!$A:$A&gt;=DATE(2026,2,1))*('DRAFT 2'!$A:$A&lt;DATE(2026,IF(2=12,2+1,2+1),1)),'DRAFT 2'!$A:$A),"")</f>
        <v>0</v>
      </c>
      <c r="CV132">
        <f>COUNTIFS('DRAFT 2'!$D:$D,$B132,'DRAFT 2'!$A:$A,"&gt;="&amp;DATE(2026,2,1),'DRAFT 2'!$A:$A,"&lt;="&amp;DATE(2026,2,7))</f>
        <v>0</v>
      </c>
      <c r="CW132">
        <f>COUNTIFS('DRAFT 2'!$D:$D,$B132,'DRAFT 2'!$A:$A,"&gt;="&amp;DATE(2026,2,8),'DRAFT 2'!$A:$A,"&lt;="&amp;DATE(2026,2,14))</f>
        <v>0</v>
      </c>
      <c r="CX132">
        <f>COUNTIFS('DRAFT 2'!$D:$D,$B132,'DRAFT 2'!$A:$A,"&gt;="&amp;DATE(2026,2,15),'DRAFT 2'!$A:$A,"&lt;="&amp;DATE(2026,2,21))</f>
        <v>0</v>
      </c>
      <c r="CY132">
        <f>COUNTIFS('DRAFT 2'!$D:$D,$B132,'DRAFT 2'!$A:$A,"&gt;="&amp;DATE(2026,2,22),'DRAFT 2'!$A:$A,"&lt;"&amp;DATE(2026,IF(2=12,2+1,2+1),1))</f>
        <v>0</v>
      </c>
      <c r="CZ132">
        <f t="shared" ref="CZ132:CZ163" si="59">SUM(CV132:CY132)</f>
        <v>0</v>
      </c>
      <c r="DJ132">
        <f>IFERROR(LOOKUP(2,1/('DRAFT 2'!$D:$D=$B132)*('DRAFT 2'!$A:$A&gt;=DATE(2026,3,1))*('DRAFT 2'!$A:$A&lt;DATE(2026,IF(3=12,3+1,3+1),1)),'DRAFT 2'!$A:$A),"")</f>
        <v>0</v>
      </c>
      <c r="DK132">
        <f>COUNTIFS('DRAFT 2'!$D:$D,$B132,'DRAFT 2'!$A:$A,"&gt;="&amp;DATE(2026,3,1),'DRAFT 2'!$A:$A,"&lt;="&amp;DATE(2026,3,7))</f>
        <v>0</v>
      </c>
      <c r="DL132">
        <f>COUNTIFS('DRAFT 2'!$D:$D,$B132,'DRAFT 2'!$A:$A,"&gt;="&amp;DATE(2026,3,8),'DRAFT 2'!$A:$A,"&lt;="&amp;DATE(2026,3,14))</f>
        <v>0</v>
      </c>
      <c r="DM132">
        <f>COUNTIFS('DRAFT 2'!$D:$D,$B132,'DRAFT 2'!$A:$A,"&gt;="&amp;DATE(2026,3,15),'DRAFT 2'!$A:$A,"&lt;="&amp;DATE(2026,3,21))</f>
        <v>0</v>
      </c>
      <c r="DN132">
        <f>COUNTIFS('DRAFT 2'!$D:$D,$B132,'DRAFT 2'!$A:$A,"&gt;="&amp;DATE(2026,3,22),'DRAFT 2'!$A:$A,"&lt;"&amp;DATE(2026,IF(3=12,3+1,3+1),1))</f>
        <v>0</v>
      </c>
      <c r="DO132">
        <f t="shared" ref="DO132:DO163" si="60">SUM(DK132:DN132)</f>
        <v>0</v>
      </c>
      <c r="DZ132">
        <f>IFERROR(LOOKUP(2,1/('DRAFT 2'!$D:$D=$B132)*('DRAFT 2'!$A:$A&gt;=DATE(2026,4,1))*('DRAFT 2'!$A:$A&lt;DATE(2026,IF(4=12,4+1,4+1),1)),'DRAFT 2'!$A:$A),"")</f>
        <v>0</v>
      </c>
      <c r="EA132">
        <f>COUNTIFS('DRAFT 2'!$D:$D,$B132,'DRAFT 2'!$A:$A,"&gt;="&amp;DATE(2026,4,1),'DRAFT 2'!$A:$A,"&lt;="&amp;DATE(2026,4,7))</f>
        <v>0</v>
      </c>
      <c r="EB132">
        <f>COUNTIFS('DRAFT 2'!$D:$D,$B132,'DRAFT 2'!$A:$A,"&gt;="&amp;DATE(2026,4,8),'DRAFT 2'!$A:$A,"&lt;="&amp;DATE(2026,4,14))</f>
        <v>0</v>
      </c>
      <c r="EC132">
        <f>COUNTIFS('DRAFT 2'!$D:$D,$B132,'DRAFT 2'!$A:$A,"&gt;="&amp;DATE(2026,4,15),'DRAFT 2'!$A:$A,"&lt;="&amp;DATE(2026,4,21))</f>
        <v>0</v>
      </c>
      <c r="ED132">
        <f>COUNTIFS('DRAFT 2'!$D:$D,$B132,'DRAFT 2'!$A:$A,"&gt;="&amp;DATE(2026,4,22),'DRAFT 2'!$A:$A,"&lt;"&amp;DATE(2026,IF(4=12,4+1,4+1),1))</f>
        <v>0</v>
      </c>
      <c r="EE132">
        <f t="shared" ref="EE132:EE163" si="61">SUM(EA132:ED132)</f>
        <v>0</v>
      </c>
      <c r="EO132">
        <f>IFERROR(LOOKUP(2,1/('DRAFT 2'!$D:$D=$B132)*('DRAFT 2'!$A:$A&gt;=DATE(2026,5,1))*('DRAFT 2'!$A:$A&lt;DATE(2026,IF(5=12,5+1,5+1),1)),'DRAFT 2'!$A:$A),"")</f>
        <v>0</v>
      </c>
      <c r="EP132">
        <f>COUNTIFS('DRAFT 2'!$D:$D,$B132,'DRAFT 2'!$A:$A,"&gt;="&amp;DATE(2026,5,1),'DRAFT 2'!$A:$A,"&lt;="&amp;DATE(2026,5,7))</f>
        <v>0</v>
      </c>
      <c r="EQ132">
        <f>COUNTIFS('DRAFT 2'!$D:$D,$B132,'DRAFT 2'!$A:$A,"&gt;="&amp;DATE(2026,5,8),'DRAFT 2'!$A:$A,"&lt;="&amp;DATE(2026,5,14))</f>
        <v>0</v>
      </c>
      <c r="ER132">
        <f>COUNTIFS('DRAFT 2'!$D:$D,$B132,'DRAFT 2'!$A:$A,"&gt;="&amp;DATE(2026,5,15),'DRAFT 2'!$A:$A,"&lt;="&amp;DATE(2026,5,21))</f>
        <v>0</v>
      </c>
      <c r="ES132">
        <f>COUNTIFS('DRAFT 2'!$D:$D,$B132,'DRAFT 2'!$A:$A,"&gt;="&amp;DATE(2026,5,22),'DRAFT 2'!$A:$A,"&lt;"&amp;DATE(2026,IF(5=12,5+1,5+1),1))</f>
        <v>0</v>
      </c>
      <c r="ET132">
        <f t="shared" ref="ET132:ET163" si="62">SUM(EP132:ES132)</f>
        <v>0</v>
      </c>
      <c r="FD132">
        <f>IFERROR(LOOKUP(2,1/('DRAFT 2'!$D:$D=$B132)*('DRAFT 2'!$A:$A&gt;=DATE(2026,6,1))*('DRAFT 2'!$A:$A&lt;DATE(2026,IF(6=12,6+1,6+1),1)),'DRAFT 2'!$A:$A),"")</f>
        <v>0</v>
      </c>
      <c r="FE132">
        <f>COUNTIFS('DRAFT 2'!$D:$D,$B132,'DRAFT 2'!$A:$A,"&gt;="&amp;DATE(2026,6,1),'DRAFT 2'!$A:$A,"&lt;="&amp;DATE(2026,6,7))</f>
        <v>0</v>
      </c>
      <c r="FF132">
        <f>COUNTIFS('DRAFT 2'!$D:$D,$B132,'DRAFT 2'!$A:$A,"&gt;="&amp;DATE(2026,6,8),'DRAFT 2'!$A:$A,"&lt;="&amp;DATE(2026,6,14))</f>
        <v>0</v>
      </c>
      <c r="FG132">
        <f>COUNTIFS('DRAFT 2'!$D:$D,$B132,'DRAFT 2'!$A:$A,"&gt;="&amp;DATE(2026,6,15),'DRAFT 2'!$A:$A,"&lt;="&amp;DATE(2026,6,21))</f>
        <v>0</v>
      </c>
      <c r="FH132">
        <f>COUNTIFS('DRAFT 2'!$D:$D,$B132,'DRAFT 2'!$A:$A,"&gt;="&amp;DATE(2026,6,22),'DRAFT 2'!$A:$A,"&lt;"&amp;DATE(2026,IF(6=12,6+1,6+1),1))</f>
        <v>0</v>
      </c>
      <c r="FI132">
        <f t="shared" ref="FI132:FI163" si="63">SUM(FE132:FH132)</f>
        <v>0</v>
      </c>
      <c r="FT132">
        <f>IFERROR(LOOKUP(2,1/('DRAFT 2'!$D:$D=$B132)*('DRAFT 2'!$A:$A&gt;=DATE(2026,7,1))*('DRAFT 2'!$A:$A&lt;DATE(2026,IF(7=12,7+1,7+1),1)),'DRAFT 2'!$A:$A),"")</f>
        <v>0</v>
      </c>
      <c r="FU132">
        <f>COUNTIFS('DRAFT 2'!$D:$D,$B132,'DRAFT 2'!$A:$A,"&gt;="&amp;DATE(2026,7,1),'DRAFT 2'!$A:$A,"&lt;="&amp;DATE(2026,7,7))</f>
        <v>0</v>
      </c>
      <c r="FV132">
        <f>COUNTIFS('DRAFT 2'!$D:$D,$B132,'DRAFT 2'!$A:$A,"&gt;="&amp;DATE(2026,7,8),'DRAFT 2'!$A:$A,"&lt;="&amp;DATE(2026,7,14))</f>
        <v>0</v>
      </c>
      <c r="FW132">
        <f>COUNTIFS('DRAFT 2'!$D:$D,$B132,'DRAFT 2'!$A:$A,"&gt;="&amp;DATE(2026,7,15),'DRAFT 2'!$A:$A,"&lt;="&amp;DATE(2026,7,21))</f>
        <v>0</v>
      </c>
      <c r="FX132">
        <f>COUNTIFS('DRAFT 2'!$D:$D,$B132,'DRAFT 2'!$A:$A,"&gt;="&amp;DATE(2026,7,22),'DRAFT 2'!$A:$A,"&lt;"&amp;DATE(2026,IF(7=12,7+1,7+1),1))</f>
        <v>0</v>
      </c>
      <c r="FY132">
        <f t="shared" ref="FY132:FY163" si="64">SUM(FU132:FX132)</f>
        <v>0</v>
      </c>
      <c r="GI132">
        <f>IFERROR(LOOKUP(2,1/('DRAFT 2'!$D:$D=$B132)*('DRAFT 2'!$A:$A&gt;=DATE(2026,8,1))*('DRAFT 2'!$A:$A&lt;DATE(2026,IF(8=12,8+1,8+1),1)),'DRAFT 2'!$A:$A),"")</f>
        <v>0</v>
      </c>
      <c r="GJ132">
        <f>COUNTIFS('DRAFT 2'!$D:$D,$B132,'DRAFT 2'!$A:$A,"&gt;="&amp;DATE(2026,8,1),'DRAFT 2'!$A:$A,"&lt;="&amp;DATE(2026,8,7))</f>
        <v>0</v>
      </c>
      <c r="GK132">
        <f>COUNTIFS('DRAFT 2'!$D:$D,$B132,'DRAFT 2'!$A:$A,"&gt;="&amp;DATE(2026,8,8),'DRAFT 2'!$A:$A,"&lt;="&amp;DATE(2026,8,14))</f>
        <v>0</v>
      </c>
      <c r="GL132">
        <f>COUNTIFS('DRAFT 2'!$D:$D,$B132,'DRAFT 2'!$A:$A,"&gt;="&amp;DATE(2026,8,15),'DRAFT 2'!$A:$A,"&lt;="&amp;DATE(2026,8,21))</f>
        <v>0</v>
      </c>
      <c r="GM132">
        <f>COUNTIFS('DRAFT 2'!$D:$D,$B132,'DRAFT 2'!$A:$A,"&gt;="&amp;DATE(2026,8,22),'DRAFT 2'!$A:$A,"&lt;"&amp;DATE(2026,IF(8=12,8+1,8+1),1))</f>
        <v>0</v>
      </c>
      <c r="GN132">
        <f t="shared" ref="GN132:GN163" si="65">SUM(GJ132:GM132)</f>
        <v>0</v>
      </c>
      <c r="GX132">
        <f>IFERROR(LOOKUP(2,1/('DRAFT 2'!$D:$D=$B132)*('DRAFT 2'!$A:$A&gt;=DATE(2026,9,1))*('DRAFT 2'!$A:$A&lt;DATE(2026,IF(9=12,9+1,9+1),1)),'DRAFT 2'!$A:$A),"")</f>
        <v>0</v>
      </c>
      <c r="GY132">
        <f>COUNTIFS('DRAFT 2'!$D:$D,$B132,'DRAFT 2'!$A:$A,"&gt;="&amp;DATE(2026,9,1),'DRAFT 2'!$A:$A,"&lt;="&amp;DATE(2026,9,7))</f>
        <v>0</v>
      </c>
      <c r="GZ132">
        <f>COUNTIFS('DRAFT 2'!$D:$D,$B132,'DRAFT 2'!$A:$A,"&gt;="&amp;DATE(2026,9,8),'DRAFT 2'!$A:$A,"&lt;="&amp;DATE(2026,9,14))</f>
        <v>0</v>
      </c>
      <c r="HA132">
        <f>COUNTIFS('DRAFT 2'!$D:$D,$B132,'DRAFT 2'!$A:$A,"&gt;="&amp;DATE(2026,9,15),'DRAFT 2'!$A:$A,"&lt;="&amp;DATE(2026,9,21))</f>
        <v>0</v>
      </c>
      <c r="HB132">
        <f>COUNTIFS('DRAFT 2'!$D:$D,$B132,'DRAFT 2'!$A:$A,"&gt;="&amp;DATE(2026,9,22),'DRAFT 2'!$A:$A,"&lt;"&amp;DATE(2026,IF(9=12,9+1,9+1),1))</f>
        <v>0</v>
      </c>
      <c r="HC132">
        <f t="shared" ref="HC132:HC163" si="66">SUM(GY132:HB132)</f>
        <v>0</v>
      </c>
      <c r="HN132">
        <f>IFERROR(LOOKUP(2,1/('DRAFT 2'!$D:$D=$B132)*('DRAFT 2'!$A:$A&gt;=DATE(2026,10,1))*('DRAFT 2'!$A:$A&lt;DATE(2026,IF(10=12,10+1,10+1),1)),'DRAFT 2'!$A:$A),"")</f>
        <v>0</v>
      </c>
      <c r="HO132">
        <f>COUNTIFS('DRAFT 2'!$D:$D,$B132,'DRAFT 2'!$A:$A,"&gt;="&amp;DATE(2026,10,1),'DRAFT 2'!$A:$A,"&lt;="&amp;DATE(2026,10,7))</f>
        <v>0</v>
      </c>
      <c r="HP132">
        <f>COUNTIFS('DRAFT 2'!$D:$D,$B132,'DRAFT 2'!$A:$A,"&gt;="&amp;DATE(2026,10,8),'DRAFT 2'!$A:$A,"&lt;="&amp;DATE(2026,10,14))</f>
        <v>0</v>
      </c>
      <c r="HQ132">
        <f>COUNTIFS('DRAFT 2'!$D:$D,$B132,'DRAFT 2'!$A:$A,"&gt;="&amp;DATE(2026,10,15),'DRAFT 2'!$A:$A,"&lt;="&amp;DATE(2026,10,21))</f>
        <v>0</v>
      </c>
      <c r="HR132">
        <f>COUNTIFS('DRAFT 2'!$D:$D,$B132,'DRAFT 2'!$A:$A,"&gt;="&amp;DATE(2026,10,22),'DRAFT 2'!$A:$A,"&lt;"&amp;DATE(2026,IF(10=12,10+1,10+1),1))</f>
        <v>0</v>
      </c>
      <c r="HS132">
        <f t="shared" ref="HS132:HS163" si="67">SUM(HO132:HR132)</f>
        <v>0</v>
      </c>
      <c r="IC132">
        <f>IFERROR(LOOKUP(2,1/('DRAFT 2'!$D:$D=$B132)*('DRAFT 2'!$A:$A&gt;=DATE(2026,11,1))*('DRAFT 2'!$A:$A&lt;DATE(2026,IF(11=12,11+1,11+1),1)),'DRAFT 2'!$A:$A),"")</f>
        <v>0</v>
      </c>
      <c r="ID132">
        <f>COUNTIFS('DRAFT 2'!$D:$D,$B132,'DRAFT 2'!$A:$A,"&gt;="&amp;DATE(2026,11,1),'DRAFT 2'!$A:$A,"&lt;="&amp;DATE(2026,11,7))</f>
        <v>0</v>
      </c>
      <c r="IE132">
        <f>COUNTIFS('DRAFT 2'!$D:$D,$B132,'DRAFT 2'!$A:$A,"&gt;="&amp;DATE(2026,11,8),'DRAFT 2'!$A:$A,"&lt;="&amp;DATE(2026,11,14))</f>
        <v>0</v>
      </c>
      <c r="IF132">
        <f>COUNTIFS('DRAFT 2'!$D:$D,$B132,'DRAFT 2'!$A:$A,"&gt;="&amp;DATE(2026,11,15),'DRAFT 2'!$A:$A,"&lt;="&amp;DATE(2026,11,21))</f>
        <v>0</v>
      </c>
      <c r="IG132">
        <f>COUNTIFS('DRAFT 2'!$D:$D,$B132,'DRAFT 2'!$A:$A,"&gt;="&amp;DATE(2026,11,22),'DRAFT 2'!$A:$A,"&lt;"&amp;DATE(2026,IF(11=12,11+1,11+1),1))</f>
        <v>0</v>
      </c>
      <c r="IH132">
        <f t="shared" ref="IH132:IH163" si="68">SUM(ID132:IG132)</f>
        <v>0</v>
      </c>
      <c r="IR132">
        <f>IFERROR(LOOKUP(2,1/('DRAFT 2'!$D:$D=$B132)*('DRAFT 2'!$A:$A&gt;=DATE(2026,12,1))*('DRAFT 2'!$A:$A&lt;DATE(2026,IF(12=12,12+1,12+1),1)),'DRAFT 2'!$A:$A),"")</f>
        <v>0</v>
      </c>
      <c r="IS132">
        <f>COUNTIFS('DRAFT 2'!$D:$D,$B132,'DRAFT 2'!$A:$A,"&gt;="&amp;DATE(2026,12,1),'DRAFT 2'!$A:$A,"&lt;="&amp;DATE(2026,12,7))</f>
        <v>0</v>
      </c>
      <c r="IT132">
        <f>COUNTIFS('DRAFT 2'!$D:$D,$B132,'DRAFT 2'!$A:$A,"&gt;="&amp;DATE(2026,12,8),'DRAFT 2'!$A:$A,"&lt;="&amp;DATE(2026,12,14))</f>
        <v>0</v>
      </c>
      <c r="IU132">
        <f>COUNTIFS('DRAFT 2'!$D:$D,$B132,'DRAFT 2'!$A:$A,"&gt;="&amp;DATE(2026,12,15),'DRAFT 2'!$A:$A,"&lt;="&amp;DATE(2026,12,21))</f>
        <v>0</v>
      </c>
      <c r="IV132">
        <f>COUNTIFS('DRAFT 2'!$D:$D,$B132,'DRAFT 2'!$A:$A,"&gt;="&amp;DATE(2026,12,22),'DRAFT 2'!$A:$A,"&lt;"&amp;DATE(2026,IF(12=12,12+1,12+1),1))</f>
        <v>0</v>
      </c>
      <c r="IW132">
        <f t="shared" ref="IW132:IW163" si="69">SUM(IS132:IV132)</f>
        <v>0</v>
      </c>
    </row>
    <row r="133" spans="1:257" x14ac:dyDescent="0.3">
      <c r="A133" t="str">
        <f>IFERROR(INDEX('DRAFT 1'!$A:$A,MATCH($B133,'DRAFT 1'!$B:$B,0)),"")</f>
        <v/>
      </c>
      <c r="C133" t="str">
        <f>IFERROR(INDEX('DRAFT 1'!$C:$C,MATCH($B133,'DRAFT 1'!$B:$B,0)),"")</f>
        <v/>
      </c>
      <c r="D133" t="str">
        <f>IFERROR(INDEX('DRAFT 1'!$D:$D,MATCH($B133,'DRAFT 1'!$B:$B,0)),"")</f>
        <v/>
      </c>
      <c r="E133" t="str">
        <f>IFERROR(INDEX('DRAFT 1'!$E:$E,MATCH($B133,'DRAFT 1'!$B:$B,0)),"")</f>
        <v/>
      </c>
      <c r="F133" t="str">
        <f>IFERROR(INDEX('DRAFT 1'!$F:$F,MATCH($B133,'DRAFT 1'!$B:$B,0)),"")</f>
        <v/>
      </c>
      <c r="G133" t="str">
        <f>IFERROR(INDEX('DRAFT 1'!$G:$G,MATCH($B133,'DRAFT 1'!$B:$B,0)),"")</f>
        <v/>
      </c>
      <c r="H133" t="str">
        <f>IFERROR(INDEX('DRAFT 1'!$H:$H,MATCH($B133,'DRAFT 1'!$B:$B,0)),"")</f>
        <v/>
      </c>
      <c r="I133" t="str">
        <f>IFERROR(INDEX('DRAFT 1'!$I:$I,MATCH($B133,'DRAFT 1'!$B:$B,0)),"")</f>
        <v/>
      </c>
      <c r="K133" t="str">
        <f>IFERROR(INDEX('DRAFT 1'!$AL:$AL,MATCH($B133,'DRAFT 1'!$B:$B,0)),"")</f>
        <v/>
      </c>
      <c r="L133" t="str">
        <f>IFERROR(INDEX('DRAFT 1'!$J:$J,MATCH($B133,'DRAFT 1'!$B:$B,0)),"")</f>
        <v/>
      </c>
      <c r="M133" t="str">
        <f>IFERROR(INDEX('DRAFT 1'!$K:$K,MATCH($B133,'DRAFT 1'!$B:$B,0)),"")</f>
        <v/>
      </c>
      <c r="P133" t="str">
        <f>IFERROR(INDEX('DRAFT 1'!$L:$L,MATCH($B133,'DRAFT 1'!$B:$B,0)),"")</f>
        <v/>
      </c>
      <c r="Q133" t="str">
        <f>IFERROR(INDEX('DRAFT 1'!$M:$M,MATCH($B133,'DRAFT 1'!$B:$B,0)),"")</f>
        <v/>
      </c>
      <c r="R133" t="str">
        <f>IFERROR(INDEX('DRAFT 1'!$N:$N,MATCH($B133,'DRAFT 1'!$B:$B,0)),"")</f>
        <v/>
      </c>
      <c r="S133" t="str">
        <f>IFERROR(INDEX('DRAFT 1'!$O:$O,MATCH($B133,'DRAFT 1'!$B:$B,0)),"")</f>
        <v/>
      </c>
      <c r="T133" t="str">
        <f>IFERROR(INDEX('DRAFT 1'!$P:$P,MATCH($B133,'DRAFT 1'!$B:$B,0)),"")</f>
        <v/>
      </c>
      <c r="U133" t="str">
        <f>IFERROR(INDEX('DRAFT 1'!$Q:$Q,MATCH($B133,'DRAFT 1'!$B:$B,0)),"")</f>
        <v/>
      </c>
      <c r="V133" t="str">
        <f>IFERROR(INDEX('DRAFT 1'!$R:$R,MATCH($B133,'DRAFT 1'!$B:$B,0)),"")</f>
        <v/>
      </c>
      <c r="W133" t="str">
        <f>IFERROR(INDEX('DRAFT 1'!$S:$S,MATCH($B133,'DRAFT 1'!$B:$B,0)),"")</f>
        <v/>
      </c>
      <c r="X133" t="str">
        <f>IFERROR(INDEX('DRAFT 1'!$T:$T,MATCH($B133,'DRAFT 1'!$B:$B,0)),"")</f>
        <v/>
      </c>
      <c r="Z133" t="str">
        <f>IFERROR(INDEX('DRAFT 1'!$U:$U,MATCH($B133,'DRAFT 1'!$B:$B,0)),"")</f>
        <v/>
      </c>
      <c r="AA133" t="str">
        <f>IFERROR(INDEX('DRAFT 1'!$V:$V,MATCH($B133,'DRAFT 1'!$B:$B,0)),"")</f>
        <v/>
      </c>
      <c r="AB133" t="str">
        <f>IFERROR(INDEX('DRAFT 1'!$W:$W,MATCH($B133,'DRAFT 1'!$B:$B,0)),"")</f>
        <v/>
      </c>
      <c r="AC133" t="str">
        <f>IFERROR(INDEX('DRAFT 1'!$X:$X,MATCH($B133,'DRAFT 1'!$B:$B,0)),"")</f>
        <v/>
      </c>
      <c r="AD133" t="str">
        <f>IFERROR(INDEX('DRAFT 1'!$Y:$Y,MATCH($B133,'DRAFT 1'!$B:$B,0)),"")</f>
        <v/>
      </c>
      <c r="AE133" t="str">
        <f>IFERROR(INDEX('DRAFT 1'!$Z:$Z,MATCH($B133,'DRAFT 1'!$B:$B,0)),"")</f>
        <v/>
      </c>
      <c r="AF133" t="str">
        <f>IFERROR(INDEX('DRAFT 1'!$AA:$AA,MATCH($B133,'DRAFT 1'!$B:$B,0)),"")</f>
        <v/>
      </c>
      <c r="AG133" t="str">
        <f>IFERROR(INDEX('DRAFT 1'!$AB:$AB,MATCH($B133,'DRAFT 1'!$B:$B,0)),"")</f>
        <v/>
      </c>
      <c r="AH133" t="str">
        <f>IFERROR(INDEX('DRAFT 1'!$AC:$AC,MATCH($B133,'DRAFT 1'!$B:$B,0)),"")</f>
        <v/>
      </c>
      <c r="AI133" t="str">
        <f>IFERROR(INDEX('DRAFT 1'!$AD:$AD,MATCH($B133,'DRAFT 1'!$B:$B,0)),"")</f>
        <v/>
      </c>
      <c r="AJ133" t="str">
        <f>IFERROR(INDEX('DRAFT 1'!$AE:$AE,MATCH($B133,'DRAFT 1'!$B:$B,0)),"")</f>
        <v/>
      </c>
      <c r="AK133" t="str">
        <f>IFERROR(INDEX('DRAFT 1'!$AG:$AG,MATCH($B133,'DRAFT 1'!$B:$B,0)),"")</f>
        <v/>
      </c>
      <c r="AL133" t="str">
        <f>IFERROR(INDEX('DRAFT 1'!$AH:$AH,MATCH($B133,'DRAFT 1'!$B:$B,0)),"")</f>
        <v/>
      </c>
      <c r="AM133" t="str">
        <f>IFERROR(INDEX('DRAFT 1'!$AI:$AI,MATCH($B133,'DRAFT 1'!$B:$B,0)),"")</f>
        <v/>
      </c>
      <c r="AN133" t="str">
        <f>IFERROR(INDEX('DRAFT 1'!$AJ:$AJ,MATCH($B133,'DRAFT 1'!$B:$B,0)),"")</f>
        <v/>
      </c>
      <c r="AO133">
        <f t="shared" si="56"/>
        <v>0</v>
      </c>
      <c r="AP133" t="str">
        <f>IFERROR(INDEX('DRAFT 1'!$AK:$AK,MATCH($B133,'DRAFT 1'!$B:$B,0)),"")</f>
        <v/>
      </c>
      <c r="AR133">
        <f>IFERROR(LOOKUP(2,1/('DRAFT 2'!$D:$D=$B133),'DRAFT 2'!$I:$I),"")</f>
        <v>0</v>
      </c>
      <c r="AS133">
        <f>IFERROR(LOOKUP(2,1/('DRAFT 2'!$D:$D=$B133),'DRAFT 2'!$T:$T),"")</f>
        <v>0</v>
      </c>
      <c r="AT133">
        <f>IFERROR(LOOKUP(2,1/('DRAFT 2'!$D:$D=$B133),'DRAFT 2'!$A:$A),"")</f>
        <v>0</v>
      </c>
      <c r="AU133">
        <f>IFERROR(LOOKUP(2,1/('DRAFT 2'!$D:$D=$B133),'DRAFT 2'!$R:$R),"")</f>
        <v>0</v>
      </c>
      <c r="AV133">
        <f>IFERROR(LOOKUP(2,1/('DRAFT 2'!$D:$D=$B133),'DRAFT 2'!$S:$S),"")</f>
        <v>0</v>
      </c>
      <c r="AX133">
        <f>IFERROR(LOOKUP(2,1/('DRAFT 2'!$D:$D=$B133),'DRAFT 2'!$M:$M),"")</f>
        <v>0</v>
      </c>
      <c r="AY133">
        <f>IFERROR(LOOKUP(2,1/('DRAFT 2'!$D:$D=$B133),'DRAFT 2'!$K:$K),"")</f>
        <v>0</v>
      </c>
      <c r="BG133">
        <f>IFERROR(LOOKUP(2,1/('DRAFT 2'!$D:$D=$B133),'DRAFT 2'!$U:$U),"")</f>
        <v>0</v>
      </c>
      <c r="BH133">
        <f>IFERROR(LOOKUP(2,1/('DRAFT 2'!$D:$D=$B133),'DRAFT 2'!$V:$V),"")</f>
        <v>0</v>
      </c>
      <c r="CE133" t="str">
        <f t="shared" si="57"/>
        <v/>
      </c>
      <c r="CF133">
        <f>IFERROR(LOOKUP(2,1/('DRAFT 2'!$D:$D=$B133)*('DRAFT 2'!$A:$A&gt;=DATE(2026,1,1))*('DRAFT 2'!$A:$A&lt;DATE(2026,IF(1=12,1+1,1+1),1)),'DRAFT 2'!$A:$A),"")</f>
        <v>0</v>
      </c>
      <c r="CG133">
        <f>COUNTIFS('DRAFT 2'!$D:$D,$B133,'DRAFT 2'!$A:$A,"&gt;="&amp;DATE(2026,1,1),'DRAFT 2'!$A:$A,"&lt;="&amp;DATE(2026,1,7))</f>
        <v>0</v>
      </c>
      <c r="CH133">
        <f>COUNTIFS('DRAFT 2'!$D:$D,$B133,'DRAFT 2'!$A:$A,"&gt;="&amp;DATE(2026,1,8),'DRAFT 2'!$A:$A,"&lt;="&amp;DATE(2026,1,14))</f>
        <v>0</v>
      </c>
      <c r="CI133">
        <f>COUNTIFS('DRAFT 2'!$D:$D,$B133,'DRAFT 2'!$A:$A,"&gt;="&amp;DATE(2026,1,15),'DRAFT 2'!$A:$A,"&lt;="&amp;DATE(2026,1,21))</f>
        <v>0</v>
      </c>
      <c r="CJ133">
        <f>COUNTIFS('DRAFT 2'!$D:$D,$B133,'DRAFT 2'!$A:$A,"&gt;="&amp;DATE(2026,1,22),'DRAFT 2'!$A:$A,"&lt;"&amp;DATE(2026,IF(1=12,1+1,1+1),1))</f>
        <v>0</v>
      </c>
      <c r="CK133">
        <f t="shared" si="58"/>
        <v>0</v>
      </c>
      <c r="CT133">
        <v>0</v>
      </c>
      <c r="CU133">
        <f>IFERROR(LOOKUP(2,1/('DRAFT 2'!$D:$D=$B133)*('DRAFT 2'!$A:$A&gt;=DATE(2026,2,1))*('DRAFT 2'!$A:$A&lt;DATE(2026,IF(2=12,2+1,2+1),1)),'DRAFT 2'!$A:$A),"")</f>
        <v>0</v>
      </c>
      <c r="CV133">
        <f>COUNTIFS('DRAFT 2'!$D:$D,$B133,'DRAFT 2'!$A:$A,"&gt;="&amp;DATE(2026,2,1),'DRAFT 2'!$A:$A,"&lt;="&amp;DATE(2026,2,7))</f>
        <v>0</v>
      </c>
      <c r="CW133">
        <f>COUNTIFS('DRAFT 2'!$D:$D,$B133,'DRAFT 2'!$A:$A,"&gt;="&amp;DATE(2026,2,8),'DRAFT 2'!$A:$A,"&lt;="&amp;DATE(2026,2,14))</f>
        <v>0</v>
      </c>
      <c r="CX133">
        <f>COUNTIFS('DRAFT 2'!$D:$D,$B133,'DRAFT 2'!$A:$A,"&gt;="&amp;DATE(2026,2,15),'DRAFT 2'!$A:$A,"&lt;="&amp;DATE(2026,2,21))</f>
        <v>0</v>
      </c>
      <c r="CY133">
        <f>COUNTIFS('DRAFT 2'!$D:$D,$B133,'DRAFT 2'!$A:$A,"&gt;="&amp;DATE(2026,2,22),'DRAFT 2'!$A:$A,"&lt;"&amp;DATE(2026,IF(2=12,2+1,2+1),1))</f>
        <v>0</v>
      </c>
      <c r="CZ133">
        <f t="shared" si="59"/>
        <v>0</v>
      </c>
      <c r="DJ133">
        <f>IFERROR(LOOKUP(2,1/('DRAFT 2'!$D:$D=$B133)*('DRAFT 2'!$A:$A&gt;=DATE(2026,3,1))*('DRAFT 2'!$A:$A&lt;DATE(2026,IF(3=12,3+1,3+1),1)),'DRAFT 2'!$A:$A),"")</f>
        <v>0</v>
      </c>
      <c r="DK133">
        <f>COUNTIFS('DRAFT 2'!$D:$D,$B133,'DRAFT 2'!$A:$A,"&gt;="&amp;DATE(2026,3,1),'DRAFT 2'!$A:$A,"&lt;="&amp;DATE(2026,3,7))</f>
        <v>0</v>
      </c>
      <c r="DL133">
        <f>COUNTIFS('DRAFT 2'!$D:$D,$B133,'DRAFT 2'!$A:$A,"&gt;="&amp;DATE(2026,3,8),'DRAFT 2'!$A:$A,"&lt;="&amp;DATE(2026,3,14))</f>
        <v>0</v>
      </c>
      <c r="DM133">
        <f>COUNTIFS('DRAFT 2'!$D:$D,$B133,'DRAFT 2'!$A:$A,"&gt;="&amp;DATE(2026,3,15),'DRAFT 2'!$A:$A,"&lt;="&amp;DATE(2026,3,21))</f>
        <v>0</v>
      </c>
      <c r="DN133">
        <f>COUNTIFS('DRAFT 2'!$D:$D,$B133,'DRAFT 2'!$A:$A,"&gt;="&amp;DATE(2026,3,22),'DRAFT 2'!$A:$A,"&lt;"&amp;DATE(2026,IF(3=12,3+1,3+1),1))</f>
        <v>0</v>
      </c>
      <c r="DO133">
        <f t="shared" si="60"/>
        <v>0</v>
      </c>
      <c r="DZ133">
        <f>IFERROR(LOOKUP(2,1/('DRAFT 2'!$D:$D=$B133)*('DRAFT 2'!$A:$A&gt;=DATE(2026,4,1))*('DRAFT 2'!$A:$A&lt;DATE(2026,IF(4=12,4+1,4+1),1)),'DRAFT 2'!$A:$A),"")</f>
        <v>0</v>
      </c>
      <c r="EA133">
        <f>COUNTIFS('DRAFT 2'!$D:$D,$B133,'DRAFT 2'!$A:$A,"&gt;="&amp;DATE(2026,4,1),'DRAFT 2'!$A:$A,"&lt;="&amp;DATE(2026,4,7))</f>
        <v>0</v>
      </c>
      <c r="EB133">
        <f>COUNTIFS('DRAFT 2'!$D:$D,$B133,'DRAFT 2'!$A:$A,"&gt;="&amp;DATE(2026,4,8),'DRAFT 2'!$A:$A,"&lt;="&amp;DATE(2026,4,14))</f>
        <v>0</v>
      </c>
      <c r="EC133">
        <f>COUNTIFS('DRAFT 2'!$D:$D,$B133,'DRAFT 2'!$A:$A,"&gt;="&amp;DATE(2026,4,15),'DRAFT 2'!$A:$A,"&lt;="&amp;DATE(2026,4,21))</f>
        <v>0</v>
      </c>
      <c r="ED133">
        <f>COUNTIFS('DRAFT 2'!$D:$D,$B133,'DRAFT 2'!$A:$A,"&gt;="&amp;DATE(2026,4,22),'DRAFT 2'!$A:$A,"&lt;"&amp;DATE(2026,IF(4=12,4+1,4+1),1))</f>
        <v>0</v>
      </c>
      <c r="EE133">
        <f t="shared" si="61"/>
        <v>0</v>
      </c>
      <c r="EO133">
        <f>IFERROR(LOOKUP(2,1/('DRAFT 2'!$D:$D=$B133)*('DRAFT 2'!$A:$A&gt;=DATE(2026,5,1))*('DRAFT 2'!$A:$A&lt;DATE(2026,IF(5=12,5+1,5+1),1)),'DRAFT 2'!$A:$A),"")</f>
        <v>0</v>
      </c>
      <c r="EP133">
        <f>COUNTIFS('DRAFT 2'!$D:$D,$B133,'DRAFT 2'!$A:$A,"&gt;="&amp;DATE(2026,5,1),'DRAFT 2'!$A:$A,"&lt;="&amp;DATE(2026,5,7))</f>
        <v>0</v>
      </c>
      <c r="EQ133">
        <f>COUNTIFS('DRAFT 2'!$D:$D,$B133,'DRAFT 2'!$A:$A,"&gt;="&amp;DATE(2026,5,8),'DRAFT 2'!$A:$A,"&lt;="&amp;DATE(2026,5,14))</f>
        <v>0</v>
      </c>
      <c r="ER133">
        <f>COUNTIFS('DRAFT 2'!$D:$D,$B133,'DRAFT 2'!$A:$A,"&gt;="&amp;DATE(2026,5,15),'DRAFT 2'!$A:$A,"&lt;="&amp;DATE(2026,5,21))</f>
        <v>0</v>
      </c>
      <c r="ES133">
        <f>COUNTIFS('DRAFT 2'!$D:$D,$B133,'DRAFT 2'!$A:$A,"&gt;="&amp;DATE(2026,5,22),'DRAFT 2'!$A:$A,"&lt;"&amp;DATE(2026,IF(5=12,5+1,5+1),1))</f>
        <v>0</v>
      </c>
      <c r="ET133">
        <f t="shared" si="62"/>
        <v>0</v>
      </c>
      <c r="FD133">
        <f>IFERROR(LOOKUP(2,1/('DRAFT 2'!$D:$D=$B133)*('DRAFT 2'!$A:$A&gt;=DATE(2026,6,1))*('DRAFT 2'!$A:$A&lt;DATE(2026,IF(6=12,6+1,6+1),1)),'DRAFT 2'!$A:$A),"")</f>
        <v>0</v>
      </c>
      <c r="FE133">
        <f>COUNTIFS('DRAFT 2'!$D:$D,$B133,'DRAFT 2'!$A:$A,"&gt;="&amp;DATE(2026,6,1),'DRAFT 2'!$A:$A,"&lt;="&amp;DATE(2026,6,7))</f>
        <v>0</v>
      </c>
      <c r="FF133">
        <f>COUNTIFS('DRAFT 2'!$D:$D,$B133,'DRAFT 2'!$A:$A,"&gt;="&amp;DATE(2026,6,8),'DRAFT 2'!$A:$A,"&lt;="&amp;DATE(2026,6,14))</f>
        <v>0</v>
      </c>
      <c r="FG133">
        <f>COUNTIFS('DRAFT 2'!$D:$D,$B133,'DRAFT 2'!$A:$A,"&gt;="&amp;DATE(2026,6,15),'DRAFT 2'!$A:$A,"&lt;="&amp;DATE(2026,6,21))</f>
        <v>0</v>
      </c>
      <c r="FH133">
        <f>COUNTIFS('DRAFT 2'!$D:$D,$B133,'DRAFT 2'!$A:$A,"&gt;="&amp;DATE(2026,6,22),'DRAFT 2'!$A:$A,"&lt;"&amp;DATE(2026,IF(6=12,6+1,6+1),1))</f>
        <v>0</v>
      </c>
      <c r="FI133">
        <f t="shared" si="63"/>
        <v>0</v>
      </c>
      <c r="FT133">
        <f>IFERROR(LOOKUP(2,1/('DRAFT 2'!$D:$D=$B133)*('DRAFT 2'!$A:$A&gt;=DATE(2026,7,1))*('DRAFT 2'!$A:$A&lt;DATE(2026,IF(7=12,7+1,7+1),1)),'DRAFT 2'!$A:$A),"")</f>
        <v>0</v>
      </c>
      <c r="FU133">
        <f>COUNTIFS('DRAFT 2'!$D:$D,$B133,'DRAFT 2'!$A:$A,"&gt;="&amp;DATE(2026,7,1),'DRAFT 2'!$A:$A,"&lt;="&amp;DATE(2026,7,7))</f>
        <v>0</v>
      </c>
      <c r="FV133">
        <f>COUNTIFS('DRAFT 2'!$D:$D,$B133,'DRAFT 2'!$A:$A,"&gt;="&amp;DATE(2026,7,8),'DRAFT 2'!$A:$A,"&lt;="&amp;DATE(2026,7,14))</f>
        <v>0</v>
      </c>
      <c r="FW133">
        <f>COUNTIFS('DRAFT 2'!$D:$D,$B133,'DRAFT 2'!$A:$A,"&gt;="&amp;DATE(2026,7,15),'DRAFT 2'!$A:$A,"&lt;="&amp;DATE(2026,7,21))</f>
        <v>0</v>
      </c>
      <c r="FX133">
        <f>COUNTIFS('DRAFT 2'!$D:$D,$B133,'DRAFT 2'!$A:$A,"&gt;="&amp;DATE(2026,7,22),'DRAFT 2'!$A:$A,"&lt;"&amp;DATE(2026,IF(7=12,7+1,7+1),1))</f>
        <v>0</v>
      </c>
      <c r="FY133">
        <f t="shared" si="64"/>
        <v>0</v>
      </c>
      <c r="GI133">
        <f>IFERROR(LOOKUP(2,1/('DRAFT 2'!$D:$D=$B133)*('DRAFT 2'!$A:$A&gt;=DATE(2026,8,1))*('DRAFT 2'!$A:$A&lt;DATE(2026,IF(8=12,8+1,8+1),1)),'DRAFT 2'!$A:$A),"")</f>
        <v>0</v>
      </c>
      <c r="GJ133">
        <f>COUNTIFS('DRAFT 2'!$D:$D,$B133,'DRAFT 2'!$A:$A,"&gt;="&amp;DATE(2026,8,1),'DRAFT 2'!$A:$A,"&lt;="&amp;DATE(2026,8,7))</f>
        <v>0</v>
      </c>
      <c r="GK133">
        <f>COUNTIFS('DRAFT 2'!$D:$D,$B133,'DRAFT 2'!$A:$A,"&gt;="&amp;DATE(2026,8,8),'DRAFT 2'!$A:$A,"&lt;="&amp;DATE(2026,8,14))</f>
        <v>0</v>
      </c>
      <c r="GL133">
        <f>COUNTIFS('DRAFT 2'!$D:$D,$B133,'DRAFT 2'!$A:$A,"&gt;="&amp;DATE(2026,8,15),'DRAFT 2'!$A:$A,"&lt;="&amp;DATE(2026,8,21))</f>
        <v>0</v>
      </c>
      <c r="GM133">
        <f>COUNTIFS('DRAFT 2'!$D:$D,$B133,'DRAFT 2'!$A:$A,"&gt;="&amp;DATE(2026,8,22),'DRAFT 2'!$A:$A,"&lt;"&amp;DATE(2026,IF(8=12,8+1,8+1),1))</f>
        <v>0</v>
      </c>
      <c r="GN133">
        <f t="shared" si="65"/>
        <v>0</v>
      </c>
      <c r="GX133">
        <f>IFERROR(LOOKUP(2,1/('DRAFT 2'!$D:$D=$B133)*('DRAFT 2'!$A:$A&gt;=DATE(2026,9,1))*('DRAFT 2'!$A:$A&lt;DATE(2026,IF(9=12,9+1,9+1),1)),'DRAFT 2'!$A:$A),"")</f>
        <v>0</v>
      </c>
      <c r="GY133">
        <f>COUNTIFS('DRAFT 2'!$D:$D,$B133,'DRAFT 2'!$A:$A,"&gt;="&amp;DATE(2026,9,1),'DRAFT 2'!$A:$A,"&lt;="&amp;DATE(2026,9,7))</f>
        <v>0</v>
      </c>
      <c r="GZ133">
        <f>COUNTIFS('DRAFT 2'!$D:$D,$B133,'DRAFT 2'!$A:$A,"&gt;="&amp;DATE(2026,9,8),'DRAFT 2'!$A:$A,"&lt;="&amp;DATE(2026,9,14))</f>
        <v>0</v>
      </c>
      <c r="HA133">
        <f>COUNTIFS('DRAFT 2'!$D:$D,$B133,'DRAFT 2'!$A:$A,"&gt;="&amp;DATE(2026,9,15),'DRAFT 2'!$A:$A,"&lt;="&amp;DATE(2026,9,21))</f>
        <v>0</v>
      </c>
      <c r="HB133">
        <f>COUNTIFS('DRAFT 2'!$D:$D,$B133,'DRAFT 2'!$A:$A,"&gt;="&amp;DATE(2026,9,22),'DRAFT 2'!$A:$A,"&lt;"&amp;DATE(2026,IF(9=12,9+1,9+1),1))</f>
        <v>0</v>
      </c>
      <c r="HC133">
        <f t="shared" si="66"/>
        <v>0</v>
      </c>
      <c r="HN133">
        <f>IFERROR(LOOKUP(2,1/('DRAFT 2'!$D:$D=$B133)*('DRAFT 2'!$A:$A&gt;=DATE(2026,10,1))*('DRAFT 2'!$A:$A&lt;DATE(2026,IF(10=12,10+1,10+1),1)),'DRAFT 2'!$A:$A),"")</f>
        <v>0</v>
      </c>
      <c r="HO133">
        <f>COUNTIFS('DRAFT 2'!$D:$D,$B133,'DRAFT 2'!$A:$A,"&gt;="&amp;DATE(2026,10,1),'DRAFT 2'!$A:$A,"&lt;="&amp;DATE(2026,10,7))</f>
        <v>0</v>
      </c>
      <c r="HP133">
        <f>COUNTIFS('DRAFT 2'!$D:$D,$B133,'DRAFT 2'!$A:$A,"&gt;="&amp;DATE(2026,10,8),'DRAFT 2'!$A:$A,"&lt;="&amp;DATE(2026,10,14))</f>
        <v>0</v>
      </c>
      <c r="HQ133">
        <f>COUNTIFS('DRAFT 2'!$D:$D,$B133,'DRAFT 2'!$A:$A,"&gt;="&amp;DATE(2026,10,15),'DRAFT 2'!$A:$A,"&lt;="&amp;DATE(2026,10,21))</f>
        <v>0</v>
      </c>
      <c r="HR133">
        <f>COUNTIFS('DRAFT 2'!$D:$D,$B133,'DRAFT 2'!$A:$A,"&gt;="&amp;DATE(2026,10,22),'DRAFT 2'!$A:$A,"&lt;"&amp;DATE(2026,IF(10=12,10+1,10+1),1))</f>
        <v>0</v>
      </c>
      <c r="HS133">
        <f t="shared" si="67"/>
        <v>0</v>
      </c>
      <c r="IC133">
        <f>IFERROR(LOOKUP(2,1/('DRAFT 2'!$D:$D=$B133)*('DRAFT 2'!$A:$A&gt;=DATE(2026,11,1))*('DRAFT 2'!$A:$A&lt;DATE(2026,IF(11=12,11+1,11+1),1)),'DRAFT 2'!$A:$A),"")</f>
        <v>0</v>
      </c>
      <c r="ID133">
        <f>COUNTIFS('DRAFT 2'!$D:$D,$B133,'DRAFT 2'!$A:$A,"&gt;="&amp;DATE(2026,11,1),'DRAFT 2'!$A:$A,"&lt;="&amp;DATE(2026,11,7))</f>
        <v>0</v>
      </c>
      <c r="IE133">
        <f>COUNTIFS('DRAFT 2'!$D:$D,$B133,'DRAFT 2'!$A:$A,"&gt;="&amp;DATE(2026,11,8),'DRAFT 2'!$A:$A,"&lt;="&amp;DATE(2026,11,14))</f>
        <v>0</v>
      </c>
      <c r="IF133">
        <f>COUNTIFS('DRAFT 2'!$D:$D,$B133,'DRAFT 2'!$A:$A,"&gt;="&amp;DATE(2026,11,15),'DRAFT 2'!$A:$A,"&lt;="&amp;DATE(2026,11,21))</f>
        <v>0</v>
      </c>
      <c r="IG133">
        <f>COUNTIFS('DRAFT 2'!$D:$D,$B133,'DRAFT 2'!$A:$A,"&gt;="&amp;DATE(2026,11,22),'DRAFT 2'!$A:$A,"&lt;"&amp;DATE(2026,IF(11=12,11+1,11+1),1))</f>
        <v>0</v>
      </c>
      <c r="IH133">
        <f t="shared" si="68"/>
        <v>0</v>
      </c>
      <c r="IR133">
        <f>IFERROR(LOOKUP(2,1/('DRAFT 2'!$D:$D=$B133)*('DRAFT 2'!$A:$A&gt;=DATE(2026,12,1))*('DRAFT 2'!$A:$A&lt;DATE(2026,IF(12=12,12+1,12+1),1)),'DRAFT 2'!$A:$A),"")</f>
        <v>0</v>
      </c>
      <c r="IS133">
        <f>COUNTIFS('DRAFT 2'!$D:$D,$B133,'DRAFT 2'!$A:$A,"&gt;="&amp;DATE(2026,12,1),'DRAFT 2'!$A:$A,"&lt;="&amp;DATE(2026,12,7))</f>
        <v>0</v>
      </c>
      <c r="IT133">
        <f>COUNTIFS('DRAFT 2'!$D:$D,$B133,'DRAFT 2'!$A:$A,"&gt;="&amp;DATE(2026,12,8),'DRAFT 2'!$A:$A,"&lt;="&amp;DATE(2026,12,14))</f>
        <v>0</v>
      </c>
      <c r="IU133">
        <f>COUNTIFS('DRAFT 2'!$D:$D,$B133,'DRAFT 2'!$A:$A,"&gt;="&amp;DATE(2026,12,15),'DRAFT 2'!$A:$A,"&lt;="&amp;DATE(2026,12,21))</f>
        <v>0</v>
      </c>
      <c r="IV133">
        <f>COUNTIFS('DRAFT 2'!$D:$D,$B133,'DRAFT 2'!$A:$A,"&gt;="&amp;DATE(2026,12,22),'DRAFT 2'!$A:$A,"&lt;"&amp;DATE(2026,IF(12=12,12+1,12+1),1))</f>
        <v>0</v>
      </c>
      <c r="IW133">
        <f t="shared" si="69"/>
        <v>0</v>
      </c>
    </row>
    <row r="134" spans="1:257" x14ac:dyDescent="0.3">
      <c r="A134" t="str">
        <f>IFERROR(INDEX('DRAFT 1'!$A:$A,MATCH($B134,'DRAFT 1'!$B:$B,0)),"")</f>
        <v/>
      </c>
      <c r="C134" t="str">
        <f>IFERROR(INDEX('DRAFT 1'!$C:$C,MATCH($B134,'DRAFT 1'!$B:$B,0)),"")</f>
        <v/>
      </c>
      <c r="D134" t="str">
        <f>IFERROR(INDEX('DRAFT 1'!$D:$D,MATCH($B134,'DRAFT 1'!$B:$B,0)),"")</f>
        <v/>
      </c>
      <c r="E134" t="str">
        <f>IFERROR(INDEX('DRAFT 1'!$E:$E,MATCH($B134,'DRAFT 1'!$B:$B,0)),"")</f>
        <v/>
      </c>
      <c r="F134" t="str">
        <f>IFERROR(INDEX('DRAFT 1'!$F:$F,MATCH($B134,'DRAFT 1'!$B:$B,0)),"")</f>
        <v/>
      </c>
      <c r="G134" t="str">
        <f>IFERROR(INDEX('DRAFT 1'!$G:$G,MATCH($B134,'DRAFT 1'!$B:$B,0)),"")</f>
        <v/>
      </c>
      <c r="H134" t="str">
        <f>IFERROR(INDEX('DRAFT 1'!$H:$H,MATCH($B134,'DRAFT 1'!$B:$B,0)),"")</f>
        <v/>
      </c>
      <c r="I134" t="str">
        <f>IFERROR(INDEX('DRAFT 1'!$I:$I,MATCH($B134,'DRAFT 1'!$B:$B,0)),"")</f>
        <v/>
      </c>
      <c r="K134" t="str">
        <f>IFERROR(INDEX('DRAFT 1'!$AL:$AL,MATCH($B134,'DRAFT 1'!$B:$B,0)),"")</f>
        <v/>
      </c>
      <c r="L134" t="str">
        <f>IFERROR(INDEX('DRAFT 1'!$J:$J,MATCH($B134,'DRAFT 1'!$B:$B,0)),"")</f>
        <v/>
      </c>
      <c r="M134" t="str">
        <f>IFERROR(INDEX('DRAFT 1'!$K:$K,MATCH($B134,'DRAFT 1'!$B:$B,0)),"")</f>
        <v/>
      </c>
      <c r="P134" t="str">
        <f>IFERROR(INDEX('DRAFT 1'!$L:$L,MATCH($B134,'DRAFT 1'!$B:$B,0)),"")</f>
        <v/>
      </c>
      <c r="Q134" t="str">
        <f>IFERROR(INDEX('DRAFT 1'!$M:$M,MATCH($B134,'DRAFT 1'!$B:$B,0)),"")</f>
        <v/>
      </c>
      <c r="R134" t="str">
        <f>IFERROR(INDEX('DRAFT 1'!$N:$N,MATCH($B134,'DRAFT 1'!$B:$B,0)),"")</f>
        <v/>
      </c>
      <c r="S134" t="str">
        <f>IFERROR(INDEX('DRAFT 1'!$O:$O,MATCH($B134,'DRAFT 1'!$B:$B,0)),"")</f>
        <v/>
      </c>
      <c r="T134" t="str">
        <f>IFERROR(INDEX('DRAFT 1'!$P:$P,MATCH($B134,'DRAFT 1'!$B:$B,0)),"")</f>
        <v/>
      </c>
      <c r="U134" t="str">
        <f>IFERROR(INDEX('DRAFT 1'!$Q:$Q,MATCH($B134,'DRAFT 1'!$B:$B,0)),"")</f>
        <v/>
      </c>
      <c r="V134" t="str">
        <f>IFERROR(INDEX('DRAFT 1'!$R:$R,MATCH($B134,'DRAFT 1'!$B:$B,0)),"")</f>
        <v/>
      </c>
      <c r="W134" t="str">
        <f>IFERROR(INDEX('DRAFT 1'!$S:$S,MATCH($B134,'DRAFT 1'!$B:$B,0)),"")</f>
        <v/>
      </c>
      <c r="X134" t="str">
        <f>IFERROR(INDEX('DRAFT 1'!$T:$T,MATCH($B134,'DRAFT 1'!$B:$B,0)),"")</f>
        <v/>
      </c>
      <c r="Z134" t="str">
        <f>IFERROR(INDEX('DRAFT 1'!$U:$U,MATCH($B134,'DRAFT 1'!$B:$B,0)),"")</f>
        <v/>
      </c>
      <c r="AA134" t="str">
        <f>IFERROR(INDEX('DRAFT 1'!$V:$V,MATCH($B134,'DRAFT 1'!$B:$B,0)),"")</f>
        <v/>
      </c>
      <c r="AB134" t="str">
        <f>IFERROR(INDEX('DRAFT 1'!$W:$W,MATCH($B134,'DRAFT 1'!$B:$B,0)),"")</f>
        <v/>
      </c>
      <c r="AC134" t="str">
        <f>IFERROR(INDEX('DRAFT 1'!$X:$X,MATCH($B134,'DRAFT 1'!$B:$B,0)),"")</f>
        <v/>
      </c>
      <c r="AD134" t="str">
        <f>IFERROR(INDEX('DRAFT 1'!$Y:$Y,MATCH($B134,'DRAFT 1'!$B:$B,0)),"")</f>
        <v/>
      </c>
      <c r="AE134" t="str">
        <f>IFERROR(INDEX('DRAFT 1'!$Z:$Z,MATCH($B134,'DRAFT 1'!$B:$B,0)),"")</f>
        <v/>
      </c>
      <c r="AF134" t="str">
        <f>IFERROR(INDEX('DRAFT 1'!$AA:$AA,MATCH($B134,'DRAFT 1'!$B:$B,0)),"")</f>
        <v/>
      </c>
      <c r="AG134" t="str">
        <f>IFERROR(INDEX('DRAFT 1'!$AB:$AB,MATCH($B134,'DRAFT 1'!$B:$B,0)),"")</f>
        <v/>
      </c>
      <c r="AH134" t="str">
        <f>IFERROR(INDEX('DRAFT 1'!$AC:$AC,MATCH($B134,'DRAFT 1'!$B:$B,0)),"")</f>
        <v/>
      </c>
      <c r="AI134" t="str">
        <f>IFERROR(INDEX('DRAFT 1'!$AD:$AD,MATCH($B134,'DRAFT 1'!$B:$B,0)),"")</f>
        <v/>
      </c>
      <c r="AJ134" t="str">
        <f>IFERROR(INDEX('DRAFT 1'!$AE:$AE,MATCH($B134,'DRAFT 1'!$B:$B,0)),"")</f>
        <v/>
      </c>
      <c r="AK134" t="str">
        <f>IFERROR(INDEX('DRAFT 1'!$AG:$AG,MATCH($B134,'DRAFT 1'!$B:$B,0)),"")</f>
        <v/>
      </c>
      <c r="AL134" t="str">
        <f>IFERROR(INDEX('DRAFT 1'!$AH:$AH,MATCH($B134,'DRAFT 1'!$B:$B,0)),"")</f>
        <v/>
      </c>
      <c r="AM134" t="str">
        <f>IFERROR(INDEX('DRAFT 1'!$AI:$AI,MATCH($B134,'DRAFT 1'!$B:$B,0)),"")</f>
        <v/>
      </c>
      <c r="AN134" t="str">
        <f>IFERROR(INDEX('DRAFT 1'!$AJ:$AJ,MATCH($B134,'DRAFT 1'!$B:$B,0)),"")</f>
        <v/>
      </c>
      <c r="AO134">
        <f t="shared" si="56"/>
        <v>0</v>
      </c>
      <c r="AP134" t="str">
        <f>IFERROR(INDEX('DRAFT 1'!$AK:$AK,MATCH($B134,'DRAFT 1'!$B:$B,0)),"")</f>
        <v/>
      </c>
      <c r="AR134">
        <f>IFERROR(LOOKUP(2,1/('DRAFT 2'!$D:$D=$B134),'DRAFT 2'!$I:$I),"")</f>
        <v>0</v>
      </c>
      <c r="AS134">
        <f>IFERROR(LOOKUP(2,1/('DRAFT 2'!$D:$D=$B134),'DRAFT 2'!$T:$T),"")</f>
        <v>0</v>
      </c>
      <c r="AT134">
        <f>IFERROR(LOOKUP(2,1/('DRAFT 2'!$D:$D=$B134),'DRAFT 2'!$A:$A),"")</f>
        <v>0</v>
      </c>
      <c r="AU134">
        <f>IFERROR(LOOKUP(2,1/('DRAFT 2'!$D:$D=$B134),'DRAFT 2'!$R:$R),"")</f>
        <v>0</v>
      </c>
      <c r="AV134">
        <f>IFERROR(LOOKUP(2,1/('DRAFT 2'!$D:$D=$B134),'DRAFT 2'!$S:$S),"")</f>
        <v>0</v>
      </c>
      <c r="AX134">
        <f>IFERROR(LOOKUP(2,1/('DRAFT 2'!$D:$D=$B134),'DRAFT 2'!$M:$M),"")</f>
        <v>0</v>
      </c>
      <c r="AY134">
        <f>IFERROR(LOOKUP(2,1/('DRAFT 2'!$D:$D=$B134),'DRAFT 2'!$K:$K),"")</f>
        <v>0</v>
      </c>
      <c r="BG134">
        <f>IFERROR(LOOKUP(2,1/('DRAFT 2'!$D:$D=$B134),'DRAFT 2'!$U:$U),"")</f>
        <v>0</v>
      </c>
      <c r="BH134">
        <f>IFERROR(LOOKUP(2,1/('DRAFT 2'!$D:$D=$B134),'DRAFT 2'!$V:$V),"")</f>
        <v>0</v>
      </c>
      <c r="CE134" t="str">
        <f t="shared" si="57"/>
        <v/>
      </c>
      <c r="CF134">
        <f>IFERROR(LOOKUP(2,1/('DRAFT 2'!$D:$D=$B134)*('DRAFT 2'!$A:$A&gt;=DATE(2026,1,1))*('DRAFT 2'!$A:$A&lt;DATE(2026,IF(1=12,1+1,1+1),1)),'DRAFT 2'!$A:$A),"")</f>
        <v>0</v>
      </c>
      <c r="CG134">
        <f>COUNTIFS('DRAFT 2'!$D:$D,$B134,'DRAFT 2'!$A:$A,"&gt;="&amp;DATE(2026,1,1),'DRAFT 2'!$A:$A,"&lt;="&amp;DATE(2026,1,7))</f>
        <v>0</v>
      </c>
      <c r="CH134">
        <f>COUNTIFS('DRAFT 2'!$D:$D,$B134,'DRAFT 2'!$A:$A,"&gt;="&amp;DATE(2026,1,8),'DRAFT 2'!$A:$A,"&lt;="&amp;DATE(2026,1,14))</f>
        <v>0</v>
      </c>
      <c r="CI134">
        <f>COUNTIFS('DRAFT 2'!$D:$D,$B134,'DRAFT 2'!$A:$A,"&gt;="&amp;DATE(2026,1,15),'DRAFT 2'!$A:$A,"&lt;="&amp;DATE(2026,1,21))</f>
        <v>0</v>
      </c>
      <c r="CJ134">
        <f>COUNTIFS('DRAFT 2'!$D:$D,$B134,'DRAFT 2'!$A:$A,"&gt;="&amp;DATE(2026,1,22),'DRAFT 2'!$A:$A,"&lt;"&amp;DATE(2026,IF(1=12,1+1,1+1),1))</f>
        <v>0</v>
      </c>
      <c r="CK134">
        <f t="shared" si="58"/>
        <v>0</v>
      </c>
      <c r="CT134">
        <v>0</v>
      </c>
      <c r="CU134">
        <f>IFERROR(LOOKUP(2,1/('DRAFT 2'!$D:$D=$B134)*('DRAFT 2'!$A:$A&gt;=DATE(2026,2,1))*('DRAFT 2'!$A:$A&lt;DATE(2026,IF(2=12,2+1,2+1),1)),'DRAFT 2'!$A:$A),"")</f>
        <v>0</v>
      </c>
      <c r="CV134">
        <f>COUNTIFS('DRAFT 2'!$D:$D,$B134,'DRAFT 2'!$A:$A,"&gt;="&amp;DATE(2026,2,1),'DRAFT 2'!$A:$A,"&lt;="&amp;DATE(2026,2,7))</f>
        <v>0</v>
      </c>
      <c r="CW134">
        <f>COUNTIFS('DRAFT 2'!$D:$D,$B134,'DRAFT 2'!$A:$A,"&gt;="&amp;DATE(2026,2,8),'DRAFT 2'!$A:$A,"&lt;="&amp;DATE(2026,2,14))</f>
        <v>0</v>
      </c>
      <c r="CX134">
        <f>COUNTIFS('DRAFT 2'!$D:$D,$B134,'DRAFT 2'!$A:$A,"&gt;="&amp;DATE(2026,2,15),'DRAFT 2'!$A:$A,"&lt;="&amp;DATE(2026,2,21))</f>
        <v>0</v>
      </c>
      <c r="CY134">
        <f>COUNTIFS('DRAFT 2'!$D:$D,$B134,'DRAFT 2'!$A:$A,"&gt;="&amp;DATE(2026,2,22),'DRAFT 2'!$A:$A,"&lt;"&amp;DATE(2026,IF(2=12,2+1,2+1),1))</f>
        <v>0</v>
      </c>
      <c r="CZ134">
        <f t="shared" si="59"/>
        <v>0</v>
      </c>
      <c r="DJ134">
        <f>IFERROR(LOOKUP(2,1/('DRAFT 2'!$D:$D=$B134)*('DRAFT 2'!$A:$A&gt;=DATE(2026,3,1))*('DRAFT 2'!$A:$A&lt;DATE(2026,IF(3=12,3+1,3+1),1)),'DRAFT 2'!$A:$A),"")</f>
        <v>0</v>
      </c>
      <c r="DK134">
        <f>COUNTIFS('DRAFT 2'!$D:$D,$B134,'DRAFT 2'!$A:$A,"&gt;="&amp;DATE(2026,3,1),'DRAFT 2'!$A:$A,"&lt;="&amp;DATE(2026,3,7))</f>
        <v>0</v>
      </c>
      <c r="DL134">
        <f>COUNTIFS('DRAFT 2'!$D:$D,$B134,'DRAFT 2'!$A:$A,"&gt;="&amp;DATE(2026,3,8),'DRAFT 2'!$A:$A,"&lt;="&amp;DATE(2026,3,14))</f>
        <v>0</v>
      </c>
      <c r="DM134">
        <f>COUNTIFS('DRAFT 2'!$D:$D,$B134,'DRAFT 2'!$A:$A,"&gt;="&amp;DATE(2026,3,15),'DRAFT 2'!$A:$A,"&lt;="&amp;DATE(2026,3,21))</f>
        <v>0</v>
      </c>
      <c r="DN134">
        <f>COUNTIFS('DRAFT 2'!$D:$D,$B134,'DRAFT 2'!$A:$A,"&gt;="&amp;DATE(2026,3,22),'DRAFT 2'!$A:$A,"&lt;"&amp;DATE(2026,IF(3=12,3+1,3+1),1))</f>
        <v>0</v>
      </c>
      <c r="DO134">
        <f t="shared" si="60"/>
        <v>0</v>
      </c>
      <c r="DZ134">
        <f>IFERROR(LOOKUP(2,1/('DRAFT 2'!$D:$D=$B134)*('DRAFT 2'!$A:$A&gt;=DATE(2026,4,1))*('DRAFT 2'!$A:$A&lt;DATE(2026,IF(4=12,4+1,4+1),1)),'DRAFT 2'!$A:$A),"")</f>
        <v>0</v>
      </c>
      <c r="EA134">
        <f>COUNTIFS('DRAFT 2'!$D:$D,$B134,'DRAFT 2'!$A:$A,"&gt;="&amp;DATE(2026,4,1),'DRAFT 2'!$A:$A,"&lt;="&amp;DATE(2026,4,7))</f>
        <v>0</v>
      </c>
      <c r="EB134">
        <f>COUNTIFS('DRAFT 2'!$D:$D,$B134,'DRAFT 2'!$A:$A,"&gt;="&amp;DATE(2026,4,8),'DRAFT 2'!$A:$A,"&lt;="&amp;DATE(2026,4,14))</f>
        <v>0</v>
      </c>
      <c r="EC134">
        <f>COUNTIFS('DRAFT 2'!$D:$D,$B134,'DRAFT 2'!$A:$A,"&gt;="&amp;DATE(2026,4,15),'DRAFT 2'!$A:$A,"&lt;="&amp;DATE(2026,4,21))</f>
        <v>0</v>
      </c>
      <c r="ED134">
        <f>COUNTIFS('DRAFT 2'!$D:$D,$B134,'DRAFT 2'!$A:$A,"&gt;="&amp;DATE(2026,4,22),'DRAFT 2'!$A:$A,"&lt;"&amp;DATE(2026,IF(4=12,4+1,4+1),1))</f>
        <v>0</v>
      </c>
      <c r="EE134">
        <f t="shared" si="61"/>
        <v>0</v>
      </c>
      <c r="EO134">
        <f>IFERROR(LOOKUP(2,1/('DRAFT 2'!$D:$D=$B134)*('DRAFT 2'!$A:$A&gt;=DATE(2026,5,1))*('DRAFT 2'!$A:$A&lt;DATE(2026,IF(5=12,5+1,5+1),1)),'DRAFT 2'!$A:$A),"")</f>
        <v>0</v>
      </c>
      <c r="EP134">
        <f>COUNTIFS('DRAFT 2'!$D:$D,$B134,'DRAFT 2'!$A:$A,"&gt;="&amp;DATE(2026,5,1),'DRAFT 2'!$A:$A,"&lt;="&amp;DATE(2026,5,7))</f>
        <v>0</v>
      </c>
      <c r="EQ134">
        <f>COUNTIFS('DRAFT 2'!$D:$D,$B134,'DRAFT 2'!$A:$A,"&gt;="&amp;DATE(2026,5,8),'DRAFT 2'!$A:$A,"&lt;="&amp;DATE(2026,5,14))</f>
        <v>0</v>
      </c>
      <c r="ER134">
        <f>COUNTIFS('DRAFT 2'!$D:$D,$B134,'DRAFT 2'!$A:$A,"&gt;="&amp;DATE(2026,5,15),'DRAFT 2'!$A:$A,"&lt;="&amp;DATE(2026,5,21))</f>
        <v>0</v>
      </c>
      <c r="ES134">
        <f>COUNTIFS('DRAFT 2'!$D:$D,$B134,'DRAFT 2'!$A:$A,"&gt;="&amp;DATE(2026,5,22),'DRAFT 2'!$A:$A,"&lt;"&amp;DATE(2026,IF(5=12,5+1,5+1),1))</f>
        <v>0</v>
      </c>
      <c r="ET134">
        <f t="shared" si="62"/>
        <v>0</v>
      </c>
      <c r="FD134">
        <f>IFERROR(LOOKUP(2,1/('DRAFT 2'!$D:$D=$B134)*('DRAFT 2'!$A:$A&gt;=DATE(2026,6,1))*('DRAFT 2'!$A:$A&lt;DATE(2026,IF(6=12,6+1,6+1),1)),'DRAFT 2'!$A:$A),"")</f>
        <v>0</v>
      </c>
      <c r="FE134">
        <f>COUNTIFS('DRAFT 2'!$D:$D,$B134,'DRAFT 2'!$A:$A,"&gt;="&amp;DATE(2026,6,1),'DRAFT 2'!$A:$A,"&lt;="&amp;DATE(2026,6,7))</f>
        <v>0</v>
      </c>
      <c r="FF134">
        <f>COUNTIFS('DRAFT 2'!$D:$D,$B134,'DRAFT 2'!$A:$A,"&gt;="&amp;DATE(2026,6,8),'DRAFT 2'!$A:$A,"&lt;="&amp;DATE(2026,6,14))</f>
        <v>0</v>
      </c>
      <c r="FG134">
        <f>COUNTIFS('DRAFT 2'!$D:$D,$B134,'DRAFT 2'!$A:$A,"&gt;="&amp;DATE(2026,6,15),'DRAFT 2'!$A:$A,"&lt;="&amp;DATE(2026,6,21))</f>
        <v>0</v>
      </c>
      <c r="FH134">
        <f>COUNTIFS('DRAFT 2'!$D:$D,$B134,'DRAFT 2'!$A:$A,"&gt;="&amp;DATE(2026,6,22),'DRAFT 2'!$A:$A,"&lt;"&amp;DATE(2026,IF(6=12,6+1,6+1),1))</f>
        <v>0</v>
      </c>
      <c r="FI134">
        <f t="shared" si="63"/>
        <v>0</v>
      </c>
      <c r="FT134">
        <f>IFERROR(LOOKUP(2,1/('DRAFT 2'!$D:$D=$B134)*('DRAFT 2'!$A:$A&gt;=DATE(2026,7,1))*('DRAFT 2'!$A:$A&lt;DATE(2026,IF(7=12,7+1,7+1),1)),'DRAFT 2'!$A:$A),"")</f>
        <v>0</v>
      </c>
      <c r="FU134">
        <f>COUNTIFS('DRAFT 2'!$D:$D,$B134,'DRAFT 2'!$A:$A,"&gt;="&amp;DATE(2026,7,1),'DRAFT 2'!$A:$A,"&lt;="&amp;DATE(2026,7,7))</f>
        <v>0</v>
      </c>
      <c r="FV134">
        <f>COUNTIFS('DRAFT 2'!$D:$D,$B134,'DRAFT 2'!$A:$A,"&gt;="&amp;DATE(2026,7,8),'DRAFT 2'!$A:$A,"&lt;="&amp;DATE(2026,7,14))</f>
        <v>0</v>
      </c>
      <c r="FW134">
        <f>COUNTIFS('DRAFT 2'!$D:$D,$B134,'DRAFT 2'!$A:$A,"&gt;="&amp;DATE(2026,7,15),'DRAFT 2'!$A:$A,"&lt;="&amp;DATE(2026,7,21))</f>
        <v>0</v>
      </c>
      <c r="FX134">
        <f>COUNTIFS('DRAFT 2'!$D:$D,$B134,'DRAFT 2'!$A:$A,"&gt;="&amp;DATE(2026,7,22),'DRAFT 2'!$A:$A,"&lt;"&amp;DATE(2026,IF(7=12,7+1,7+1),1))</f>
        <v>0</v>
      </c>
      <c r="FY134">
        <f t="shared" si="64"/>
        <v>0</v>
      </c>
      <c r="GI134">
        <f>IFERROR(LOOKUP(2,1/('DRAFT 2'!$D:$D=$B134)*('DRAFT 2'!$A:$A&gt;=DATE(2026,8,1))*('DRAFT 2'!$A:$A&lt;DATE(2026,IF(8=12,8+1,8+1),1)),'DRAFT 2'!$A:$A),"")</f>
        <v>0</v>
      </c>
      <c r="GJ134">
        <f>COUNTIFS('DRAFT 2'!$D:$D,$B134,'DRAFT 2'!$A:$A,"&gt;="&amp;DATE(2026,8,1),'DRAFT 2'!$A:$A,"&lt;="&amp;DATE(2026,8,7))</f>
        <v>0</v>
      </c>
      <c r="GK134">
        <f>COUNTIFS('DRAFT 2'!$D:$D,$B134,'DRAFT 2'!$A:$A,"&gt;="&amp;DATE(2026,8,8),'DRAFT 2'!$A:$A,"&lt;="&amp;DATE(2026,8,14))</f>
        <v>0</v>
      </c>
      <c r="GL134">
        <f>COUNTIFS('DRAFT 2'!$D:$D,$B134,'DRAFT 2'!$A:$A,"&gt;="&amp;DATE(2026,8,15),'DRAFT 2'!$A:$A,"&lt;="&amp;DATE(2026,8,21))</f>
        <v>0</v>
      </c>
      <c r="GM134">
        <f>COUNTIFS('DRAFT 2'!$D:$D,$B134,'DRAFT 2'!$A:$A,"&gt;="&amp;DATE(2026,8,22),'DRAFT 2'!$A:$A,"&lt;"&amp;DATE(2026,IF(8=12,8+1,8+1),1))</f>
        <v>0</v>
      </c>
      <c r="GN134">
        <f t="shared" si="65"/>
        <v>0</v>
      </c>
      <c r="GX134">
        <f>IFERROR(LOOKUP(2,1/('DRAFT 2'!$D:$D=$B134)*('DRAFT 2'!$A:$A&gt;=DATE(2026,9,1))*('DRAFT 2'!$A:$A&lt;DATE(2026,IF(9=12,9+1,9+1),1)),'DRAFT 2'!$A:$A),"")</f>
        <v>0</v>
      </c>
      <c r="GY134">
        <f>COUNTIFS('DRAFT 2'!$D:$D,$B134,'DRAFT 2'!$A:$A,"&gt;="&amp;DATE(2026,9,1),'DRAFT 2'!$A:$A,"&lt;="&amp;DATE(2026,9,7))</f>
        <v>0</v>
      </c>
      <c r="GZ134">
        <f>COUNTIFS('DRAFT 2'!$D:$D,$B134,'DRAFT 2'!$A:$A,"&gt;="&amp;DATE(2026,9,8),'DRAFT 2'!$A:$A,"&lt;="&amp;DATE(2026,9,14))</f>
        <v>0</v>
      </c>
      <c r="HA134">
        <f>COUNTIFS('DRAFT 2'!$D:$D,$B134,'DRAFT 2'!$A:$A,"&gt;="&amp;DATE(2026,9,15),'DRAFT 2'!$A:$A,"&lt;="&amp;DATE(2026,9,21))</f>
        <v>0</v>
      </c>
      <c r="HB134">
        <f>COUNTIFS('DRAFT 2'!$D:$D,$B134,'DRAFT 2'!$A:$A,"&gt;="&amp;DATE(2026,9,22),'DRAFT 2'!$A:$A,"&lt;"&amp;DATE(2026,IF(9=12,9+1,9+1),1))</f>
        <v>0</v>
      </c>
      <c r="HC134">
        <f t="shared" si="66"/>
        <v>0</v>
      </c>
      <c r="HN134">
        <f>IFERROR(LOOKUP(2,1/('DRAFT 2'!$D:$D=$B134)*('DRAFT 2'!$A:$A&gt;=DATE(2026,10,1))*('DRAFT 2'!$A:$A&lt;DATE(2026,IF(10=12,10+1,10+1),1)),'DRAFT 2'!$A:$A),"")</f>
        <v>0</v>
      </c>
      <c r="HO134">
        <f>COUNTIFS('DRAFT 2'!$D:$D,$B134,'DRAFT 2'!$A:$A,"&gt;="&amp;DATE(2026,10,1),'DRAFT 2'!$A:$A,"&lt;="&amp;DATE(2026,10,7))</f>
        <v>0</v>
      </c>
      <c r="HP134">
        <f>COUNTIFS('DRAFT 2'!$D:$D,$B134,'DRAFT 2'!$A:$A,"&gt;="&amp;DATE(2026,10,8),'DRAFT 2'!$A:$A,"&lt;="&amp;DATE(2026,10,14))</f>
        <v>0</v>
      </c>
      <c r="HQ134">
        <f>COUNTIFS('DRAFT 2'!$D:$D,$B134,'DRAFT 2'!$A:$A,"&gt;="&amp;DATE(2026,10,15),'DRAFT 2'!$A:$A,"&lt;="&amp;DATE(2026,10,21))</f>
        <v>0</v>
      </c>
      <c r="HR134">
        <f>COUNTIFS('DRAFT 2'!$D:$D,$B134,'DRAFT 2'!$A:$A,"&gt;="&amp;DATE(2026,10,22),'DRAFT 2'!$A:$A,"&lt;"&amp;DATE(2026,IF(10=12,10+1,10+1),1))</f>
        <v>0</v>
      </c>
      <c r="HS134">
        <f t="shared" si="67"/>
        <v>0</v>
      </c>
      <c r="IC134">
        <f>IFERROR(LOOKUP(2,1/('DRAFT 2'!$D:$D=$B134)*('DRAFT 2'!$A:$A&gt;=DATE(2026,11,1))*('DRAFT 2'!$A:$A&lt;DATE(2026,IF(11=12,11+1,11+1),1)),'DRAFT 2'!$A:$A),"")</f>
        <v>0</v>
      </c>
      <c r="ID134">
        <f>COUNTIFS('DRAFT 2'!$D:$D,$B134,'DRAFT 2'!$A:$A,"&gt;="&amp;DATE(2026,11,1),'DRAFT 2'!$A:$A,"&lt;="&amp;DATE(2026,11,7))</f>
        <v>0</v>
      </c>
      <c r="IE134">
        <f>COUNTIFS('DRAFT 2'!$D:$D,$B134,'DRAFT 2'!$A:$A,"&gt;="&amp;DATE(2026,11,8),'DRAFT 2'!$A:$A,"&lt;="&amp;DATE(2026,11,14))</f>
        <v>0</v>
      </c>
      <c r="IF134">
        <f>COUNTIFS('DRAFT 2'!$D:$D,$B134,'DRAFT 2'!$A:$A,"&gt;="&amp;DATE(2026,11,15),'DRAFT 2'!$A:$A,"&lt;="&amp;DATE(2026,11,21))</f>
        <v>0</v>
      </c>
      <c r="IG134">
        <f>COUNTIFS('DRAFT 2'!$D:$D,$B134,'DRAFT 2'!$A:$A,"&gt;="&amp;DATE(2026,11,22),'DRAFT 2'!$A:$A,"&lt;"&amp;DATE(2026,IF(11=12,11+1,11+1),1))</f>
        <v>0</v>
      </c>
      <c r="IH134">
        <f t="shared" si="68"/>
        <v>0</v>
      </c>
      <c r="IR134">
        <f>IFERROR(LOOKUP(2,1/('DRAFT 2'!$D:$D=$B134)*('DRAFT 2'!$A:$A&gt;=DATE(2026,12,1))*('DRAFT 2'!$A:$A&lt;DATE(2026,IF(12=12,12+1,12+1),1)),'DRAFT 2'!$A:$A),"")</f>
        <v>0</v>
      </c>
      <c r="IS134">
        <f>COUNTIFS('DRAFT 2'!$D:$D,$B134,'DRAFT 2'!$A:$A,"&gt;="&amp;DATE(2026,12,1),'DRAFT 2'!$A:$A,"&lt;="&amp;DATE(2026,12,7))</f>
        <v>0</v>
      </c>
      <c r="IT134">
        <f>COUNTIFS('DRAFT 2'!$D:$D,$B134,'DRAFT 2'!$A:$A,"&gt;="&amp;DATE(2026,12,8),'DRAFT 2'!$A:$A,"&lt;="&amp;DATE(2026,12,14))</f>
        <v>0</v>
      </c>
      <c r="IU134">
        <f>COUNTIFS('DRAFT 2'!$D:$D,$B134,'DRAFT 2'!$A:$A,"&gt;="&amp;DATE(2026,12,15),'DRAFT 2'!$A:$A,"&lt;="&amp;DATE(2026,12,21))</f>
        <v>0</v>
      </c>
      <c r="IV134">
        <f>COUNTIFS('DRAFT 2'!$D:$D,$B134,'DRAFT 2'!$A:$A,"&gt;="&amp;DATE(2026,12,22),'DRAFT 2'!$A:$A,"&lt;"&amp;DATE(2026,IF(12=12,12+1,12+1),1))</f>
        <v>0</v>
      </c>
      <c r="IW134">
        <f t="shared" si="69"/>
        <v>0</v>
      </c>
    </row>
    <row r="135" spans="1:257" x14ac:dyDescent="0.3">
      <c r="A135" t="str">
        <f>IFERROR(INDEX('DRAFT 1'!$A:$A,MATCH($B135,'DRAFT 1'!$B:$B,0)),"")</f>
        <v/>
      </c>
      <c r="C135" t="str">
        <f>IFERROR(INDEX('DRAFT 1'!$C:$C,MATCH($B135,'DRAFT 1'!$B:$B,0)),"")</f>
        <v/>
      </c>
      <c r="D135" t="str">
        <f>IFERROR(INDEX('DRAFT 1'!$D:$D,MATCH($B135,'DRAFT 1'!$B:$B,0)),"")</f>
        <v/>
      </c>
      <c r="E135" t="str">
        <f>IFERROR(INDEX('DRAFT 1'!$E:$E,MATCH($B135,'DRAFT 1'!$B:$B,0)),"")</f>
        <v/>
      </c>
      <c r="F135" t="str">
        <f>IFERROR(INDEX('DRAFT 1'!$F:$F,MATCH($B135,'DRAFT 1'!$B:$B,0)),"")</f>
        <v/>
      </c>
      <c r="G135" t="str">
        <f>IFERROR(INDEX('DRAFT 1'!$G:$G,MATCH($B135,'DRAFT 1'!$B:$B,0)),"")</f>
        <v/>
      </c>
      <c r="H135" t="str">
        <f>IFERROR(INDEX('DRAFT 1'!$H:$H,MATCH($B135,'DRAFT 1'!$B:$B,0)),"")</f>
        <v/>
      </c>
      <c r="I135" t="str">
        <f>IFERROR(INDEX('DRAFT 1'!$I:$I,MATCH($B135,'DRAFT 1'!$B:$B,0)),"")</f>
        <v/>
      </c>
      <c r="K135" t="str">
        <f>IFERROR(INDEX('DRAFT 1'!$AL:$AL,MATCH($B135,'DRAFT 1'!$B:$B,0)),"")</f>
        <v/>
      </c>
      <c r="L135" t="str">
        <f>IFERROR(INDEX('DRAFT 1'!$J:$J,MATCH($B135,'DRAFT 1'!$B:$B,0)),"")</f>
        <v/>
      </c>
      <c r="M135" t="str">
        <f>IFERROR(INDEX('DRAFT 1'!$K:$K,MATCH($B135,'DRAFT 1'!$B:$B,0)),"")</f>
        <v/>
      </c>
      <c r="P135" t="str">
        <f>IFERROR(INDEX('DRAFT 1'!$L:$L,MATCH($B135,'DRAFT 1'!$B:$B,0)),"")</f>
        <v/>
      </c>
      <c r="Q135" t="str">
        <f>IFERROR(INDEX('DRAFT 1'!$M:$M,MATCH($B135,'DRAFT 1'!$B:$B,0)),"")</f>
        <v/>
      </c>
      <c r="R135" t="str">
        <f>IFERROR(INDEX('DRAFT 1'!$N:$N,MATCH($B135,'DRAFT 1'!$B:$B,0)),"")</f>
        <v/>
      </c>
      <c r="S135" t="str">
        <f>IFERROR(INDEX('DRAFT 1'!$O:$O,MATCH($B135,'DRAFT 1'!$B:$B,0)),"")</f>
        <v/>
      </c>
      <c r="T135" t="str">
        <f>IFERROR(INDEX('DRAFT 1'!$P:$P,MATCH($B135,'DRAFT 1'!$B:$B,0)),"")</f>
        <v/>
      </c>
      <c r="U135" t="str">
        <f>IFERROR(INDEX('DRAFT 1'!$Q:$Q,MATCH($B135,'DRAFT 1'!$B:$B,0)),"")</f>
        <v/>
      </c>
      <c r="V135" t="str">
        <f>IFERROR(INDEX('DRAFT 1'!$R:$R,MATCH($B135,'DRAFT 1'!$B:$B,0)),"")</f>
        <v/>
      </c>
      <c r="W135" t="str">
        <f>IFERROR(INDEX('DRAFT 1'!$S:$S,MATCH($B135,'DRAFT 1'!$B:$B,0)),"")</f>
        <v/>
      </c>
      <c r="X135" t="str">
        <f>IFERROR(INDEX('DRAFT 1'!$T:$T,MATCH($B135,'DRAFT 1'!$B:$B,0)),"")</f>
        <v/>
      </c>
      <c r="Z135" t="str">
        <f>IFERROR(INDEX('DRAFT 1'!$U:$U,MATCH($B135,'DRAFT 1'!$B:$B,0)),"")</f>
        <v/>
      </c>
      <c r="AA135" t="str">
        <f>IFERROR(INDEX('DRAFT 1'!$V:$V,MATCH($B135,'DRAFT 1'!$B:$B,0)),"")</f>
        <v/>
      </c>
      <c r="AB135" t="str">
        <f>IFERROR(INDEX('DRAFT 1'!$W:$W,MATCH($B135,'DRAFT 1'!$B:$B,0)),"")</f>
        <v/>
      </c>
      <c r="AC135" t="str">
        <f>IFERROR(INDEX('DRAFT 1'!$X:$X,MATCH($B135,'DRAFT 1'!$B:$B,0)),"")</f>
        <v/>
      </c>
      <c r="AD135" t="str">
        <f>IFERROR(INDEX('DRAFT 1'!$Y:$Y,MATCH($B135,'DRAFT 1'!$B:$B,0)),"")</f>
        <v/>
      </c>
      <c r="AE135" t="str">
        <f>IFERROR(INDEX('DRAFT 1'!$Z:$Z,MATCH($B135,'DRAFT 1'!$B:$B,0)),"")</f>
        <v/>
      </c>
      <c r="AF135" t="str">
        <f>IFERROR(INDEX('DRAFT 1'!$AA:$AA,MATCH($B135,'DRAFT 1'!$B:$B,0)),"")</f>
        <v/>
      </c>
      <c r="AG135" t="str">
        <f>IFERROR(INDEX('DRAFT 1'!$AB:$AB,MATCH($B135,'DRAFT 1'!$B:$B,0)),"")</f>
        <v/>
      </c>
      <c r="AH135" t="str">
        <f>IFERROR(INDEX('DRAFT 1'!$AC:$AC,MATCH($B135,'DRAFT 1'!$B:$B,0)),"")</f>
        <v/>
      </c>
      <c r="AI135" t="str">
        <f>IFERROR(INDEX('DRAFT 1'!$AD:$AD,MATCH($B135,'DRAFT 1'!$B:$B,0)),"")</f>
        <v/>
      </c>
      <c r="AJ135" t="str">
        <f>IFERROR(INDEX('DRAFT 1'!$AE:$AE,MATCH($B135,'DRAFT 1'!$B:$B,0)),"")</f>
        <v/>
      </c>
      <c r="AK135" t="str">
        <f>IFERROR(INDEX('DRAFT 1'!$AG:$AG,MATCH($B135,'DRAFT 1'!$B:$B,0)),"")</f>
        <v/>
      </c>
      <c r="AL135" t="str">
        <f>IFERROR(INDEX('DRAFT 1'!$AH:$AH,MATCH($B135,'DRAFT 1'!$B:$B,0)),"")</f>
        <v/>
      </c>
      <c r="AM135" t="str">
        <f>IFERROR(INDEX('DRAFT 1'!$AI:$AI,MATCH($B135,'DRAFT 1'!$B:$B,0)),"")</f>
        <v/>
      </c>
      <c r="AN135" t="str">
        <f>IFERROR(INDEX('DRAFT 1'!$AJ:$AJ,MATCH($B135,'DRAFT 1'!$B:$B,0)),"")</f>
        <v/>
      </c>
      <c r="AO135">
        <f t="shared" si="56"/>
        <v>0</v>
      </c>
      <c r="AP135" t="str">
        <f>IFERROR(INDEX('DRAFT 1'!$AK:$AK,MATCH($B135,'DRAFT 1'!$B:$B,0)),"")</f>
        <v/>
      </c>
      <c r="AR135">
        <f>IFERROR(LOOKUP(2,1/('DRAFT 2'!$D:$D=$B135),'DRAFT 2'!$I:$I),"")</f>
        <v>0</v>
      </c>
      <c r="AS135">
        <f>IFERROR(LOOKUP(2,1/('DRAFT 2'!$D:$D=$B135),'DRAFT 2'!$T:$T),"")</f>
        <v>0</v>
      </c>
      <c r="AT135">
        <f>IFERROR(LOOKUP(2,1/('DRAFT 2'!$D:$D=$B135),'DRAFT 2'!$A:$A),"")</f>
        <v>0</v>
      </c>
      <c r="AU135">
        <f>IFERROR(LOOKUP(2,1/('DRAFT 2'!$D:$D=$B135),'DRAFT 2'!$R:$R),"")</f>
        <v>0</v>
      </c>
      <c r="AV135">
        <f>IFERROR(LOOKUP(2,1/('DRAFT 2'!$D:$D=$B135),'DRAFT 2'!$S:$S),"")</f>
        <v>0</v>
      </c>
      <c r="AX135">
        <f>IFERROR(LOOKUP(2,1/('DRAFT 2'!$D:$D=$B135),'DRAFT 2'!$M:$M),"")</f>
        <v>0</v>
      </c>
      <c r="AY135">
        <f>IFERROR(LOOKUP(2,1/('DRAFT 2'!$D:$D=$B135),'DRAFT 2'!$K:$K),"")</f>
        <v>0</v>
      </c>
      <c r="BG135">
        <f>IFERROR(LOOKUP(2,1/('DRAFT 2'!$D:$D=$B135),'DRAFT 2'!$U:$U),"")</f>
        <v>0</v>
      </c>
      <c r="BH135">
        <f>IFERROR(LOOKUP(2,1/('DRAFT 2'!$D:$D=$B135),'DRAFT 2'!$V:$V),"")</f>
        <v>0</v>
      </c>
      <c r="CE135" t="str">
        <f t="shared" si="57"/>
        <v/>
      </c>
      <c r="CF135">
        <f>IFERROR(LOOKUP(2,1/('DRAFT 2'!$D:$D=$B135)*('DRAFT 2'!$A:$A&gt;=DATE(2026,1,1))*('DRAFT 2'!$A:$A&lt;DATE(2026,IF(1=12,1+1,1+1),1)),'DRAFT 2'!$A:$A),"")</f>
        <v>0</v>
      </c>
      <c r="CG135">
        <f>COUNTIFS('DRAFT 2'!$D:$D,$B135,'DRAFT 2'!$A:$A,"&gt;="&amp;DATE(2026,1,1),'DRAFT 2'!$A:$A,"&lt;="&amp;DATE(2026,1,7))</f>
        <v>0</v>
      </c>
      <c r="CH135">
        <f>COUNTIFS('DRAFT 2'!$D:$D,$B135,'DRAFT 2'!$A:$A,"&gt;="&amp;DATE(2026,1,8),'DRAFT 2'!$A:$A,"&lt;="&amp;DATE(2026,1,14))</f>
        <v>0</v>
      </c>
      <c r="CI135">
        <f>COUNTIFS('DRAFT 2'!$D:$D,$B135,'DRAFT 2'!$A:$A,"&gt;="&amp;DATE(2026,1,15),'DRAFT 2'!$A:$A,"&lt;="&amp;DATE(2026,1,21))</f>
        <v>0</v>
      </c>
      <c r="CJ135">
        <f>COUNTIFS('DRAFT 2'!$D:$D,$B135,'DRAFT 2'!$A:$A,"&gt;="&amp;DATE(2026,1,22),'DRAFT 2'!$A:$A,"&lt;"&amp;DATE(2026,IF(1=12,1+1,1+1),1))</f>
        <v>0</v>
      </c>
      <c r="CK135">
        <f t="shared" si="58"/>
        <v>0</v>
      </c>
      <c r="CT135">
        <v>0</v>
      </c>
      <c r="CU135">
        <f>IFERROR(LOOKUP(2,1/('DRAFT 2'!$D:$D=$B135)*('DRAFT 2'!$A:$A&gt;=DATE(2026,2,1))*('DRAFT 2'!$A:$A&lt;DATE(2026,IF(2=12,2+1,2+1),1)),'DRAFT 2'!$A:$A),"")</f>
        <v>0</v>
      </c>
      <c r="CV135">
        <f>COUNTIFS('DRAFT 2'!$D:$D,$B135,'DRAFT 2'!$A:$A,"&gt;="&amp;DATE(2026,2,1),'DRAFT 2'!$A:$A,"&lt;="&amp;DATE(2026,2,7))</f>
        <v>0</v>
      </c>
      <c r="CW135">
        <f>COUNTIFS('DRAFT 2'!$D:$D,$B135,'DRAFT 2'!$A:$A,"&gt;="&amp;DATE(2026,2,8),'DRAFT 2'!$A:$A,"&lt;="&amp;DATE(2026,2,14))</f>
        <v>0</v>
      </c>
      <c r="CX135">
        <f>COUNTIFS('DRAFT 2'!$D:$D,$B135,'DRAFT 2'!$A:$A,"&gt;="&amp;DATE(2026,2,15),'DRAFT 2'!$A:$A,"&lt;="&amp;DATE(2026,2,21))</f>
        <v>0</v>
      </c>
      <c r="CY135">
        <f>COUNTIFS('DRAFT 2'!$D:$D,$B135,'DRAFT 2'!$A:$A,"&gt;="&amp;DATE(2026,2,22),'DRAFT 2'!$A:$A,"&lt;"&amp;DATE(2026,IF(2=12,2+1,2+1),1))</f>
        <v>0</v>
      </c>
      <c r="CZ135">
        <f t="shared" si="59"/>
        <v>0</v>
      </c>
      <c r="DJ135">
        <f>IFERROR(LOOKUP(2,1/('DRAFT 2'!$D:$D=$B135)*('DRAFT 2'!$A:$A&gt;=DATE(2026,3,1))*('DRAFT 2'!$A:$A&lt;DATE(2026,IF(3=12,3+1,3+1),1)),'DRAFT 2'!$A:$A),"")</f>
        <v>0</v>
      </c>
      <c r="DK135">
        <f>COUNTIFS('DRAFT 2'!$D:$D,$B135,'DRAFT 2'!$A:$A,"&gt;="&amp;DATE(2026,3,1),'DRAFT 2'!$A:$A,"&lt;="&amp;DATE(2026,3,7))</f>
        <v>0</v>
      </c>
      <c r="DL135">
        <f>COUNTIFS('DRAFT 2'!$D:$D,$B135,'DRAFT 2'!$A:$A,"&gt;="&amp;DATE(2026,3,8),'DRAFT 2'!$A:$A,"&lt;="&amp;DATE(2026,3,14))</f>
        <v>0</v>
      </c>
      <c r="DM135">
        <f>COUNTIFS('DRAFT 2'!$D:$D,$B135,'DRAFT 2'!$A:$A,"&gt;="&amp;DATE(2026,3,15),'DRAFT 2'!$A:$A,"&lt;="&amp;DATE(2026,3,21))</f>
        <v>0</v>
      </c>
      <c r="DN135">
        <f>COUNTIFS('DRAFT 2'!$D:$D,$B135,'DRAFT 2'!$A:$A,"&gt;="&amp;DATE(2026,3,22),'DRAFT 2'!$A:$A,"&lt;"&amp;DATE(2026,IF(3=12,3+1,3+1),1))</f>
        <v>0</v>
      </c>
      <c r="DO135">
        <f t="shared" si="60"/>
        <v>0</v>
      </c>
      <c r="DZ135">
        <f>IFERROR(LOOKUP(2,1/('DRAFT 2'!$D:$D=$B135)*('DRAFT 2'!$A:$A&gt;=DATE(2026,4,1))*('DRAFT 2'!$A:$A&lt;DATE(2026,IF(4=12,4+1,4+1),1)),'DRAFT 2'!$A:$A),"")</f>
        <v>0</v>
      </c>
      <c r="EA135">
        <f>COUNTIFS('DRAFT 2'!$D:$D,$B135,'DRAFT 2'!$A:$A,"&gt;="&amp;DATE(2026,4,1),'DRAFT 2'!$A:$A,"&lt;="&amp;DATE(2026,4,7))</f>
        <v>0</v>
      </c>
      <c r="EB135">
        <f>COUNTIFS('DRAFT 2'!$D:$D,$B135,'DRAFT 2'!$A:$A,"&gt;="&amp;DATE(2026,4,8),'DRAFT 2'!$A:$A,"&lt;="&amp;DATE(2026,4,14))</f>
        <v>0</v>
      </c>
      <c r="EC135">
        <f>COUNTIFS('DRAFT 2'!$D:$D,$B135,'DRAFT 2'!$A:$A,"&gt;="&amp;DATE(2026,4,15),'DRAFT 2'!$A:$A,"&lt;="&amp;DATE(2026,4,21))</f>
        <v>0</v>
      </c>
      <c r="ED135">
        <f>COUNTIFS('DRAFT 2'!$D:$D,$B135,'DRAFT 2'!$A:$A,"&gt;="&amp;DATE(2026,4,22),'DRAFT 2'!$A:$A,"&lt;"&amp;DATE(2026,IF(4=12,4+1,4+1),1))</f>
        <v>0</v>
      </c>
      <c r="EE135">
        <f t="shared" si="61"/>
        <v>0</v>
      </c>
      <c r="EO135">
        <f>IFERROR(LOOKUP(2,1/('DRAFT 2'!$D:$D=$B135)*('DRAFT 2'!$A:$A&gt;=DATE(2026,5,1))*('DRAFT 2'!$A:$A&lt;DATE(2026,IF(5=12,5+1,5+1),1)),'DRAFT 2'!$A:$A),"")</f>
        <v>0</v>
      </c>
      <c r="EP135">
        <f>COUNTIFS('DRAFT 2'!$D:$D,$B135,'DRAFT 2'!$A:$A,"&gt;="&amp;DATE(2026,5,1),'DRAFT 2'!$A:$A,"&lt;="&amp;DATE(2026,5,7))</f>
        <v>0</v>
      </c>
      <c r="EQ135">
        <f>COUNTIFS('DRAFT 2'!$D:$D,$B135,'DRAFT 2'!$A:$A,"&gt;="&amp;DATE(2026,5,8),'DRAFT 2'!$A:$A,"&lt;="&amp;DATE(2026,5,14))</f>
        <v>0</v>
      </c>
      <c r="ER135">
        <f>COUNTIFS('DRAFT 2'!$D:$D,$B135,'DRAFT 2'!$A:$A,"&gt;="&amp;DATE(2026,5,15),'DRAFT 2'!$A:$A,"&lt;="&amp;DATE(2026,5,21))</f>
        <v>0</v>
      </c>
      <c r="ES135">
        <f>COUNTIFS('DRAFT 2'!$D:$D,$B135,'DRAFT 2'!$A:$A,"&gt;="&amp;DATE(2026,5,22),'DRAFT 2'!$A:$A,"&lt;"&amp;DATE(2026,IF(5=12,5+1,5+1),1))</f>
        <v>0</v>
      </c>
      <c r="ET135">
        <f t="shared" si="62"/>
        <v>0</v>
      </c>
      <c r="FD135">
        <f>IFERROR(LOOKUP(2,1/('DRAFT 2'!$D:$D=$B135)*('DRAFT 2'!$A:$A&gt;=DATE(2026,6,1))*('DRAFT 2'!$A:$A&lt;DATE(2026,IF(6=12,6+1,6+1),1)),'DRAFT 2'!$A:$A),"")</f>
        <v>0</v>
      </c>
      <c r="FE135">
        <f>COUNTIFS('DRAFT 2'!$D:$D,$B135,'DRAFT 2'!$A:$A,"&gt;="&amp;DATE(2026,6,1),'DRAFT 2'!$A:$A,"&lt;="&amp;DATE(2026,6,7))</f>
        <v>0</v>
      </c>
      <c r="FF135">
        <f>COUNTIFS('DRAFT 2'!$D:$D,$B135,'DRAFT 2'!$A:$A,"&gt;="&amp;DATE(2026,6,8),'DRAFT 2'!$A:$A,"&lt;="&amp;DATE(2026,6,14))</f>
        <v>0</v>
      </c>
      <c r="FG135">
        <f>COUNTIFS('DRAFT 2'!$D:$D,$B135,'DRAFT 2'!$A:$A,"&gt;="&amp;DATE(2026,6,15),'DRAFT 2'!$A:$A,"&lt;="&amp;DATE(2026,6,21))</f>
        <v>0</v>
      </c>
      <c r="FH135">
        <f>COUNTIFS('DRAFT 2'!$D:$D,$B135,'DRAFT 2'!$A:$A,"&gt;="&amp;DATE(2026,6,22),'DRAFT 2'!$A:$A,"&lt;"&amp;DATE(2026,IF(6=12,6+1,6+1),1))</f>
        <v>0</v>
      </c>
      <c r="FI135">
        <f t="shared" si="63"/>
        <v>0</v>
      </c>
      <c r="FT135">
        <f>IFERROR(LOOKUP(2,1/('DRAFT 2'!$D:$D=$B135)*('DRAFT 2'!$A:$A&gt;=DATE(2026,7,1))*('DRAFT 2'!$A:$A&lt;DATE(2026,IF(7=12,7+1,7+1),1)),'DRAFT 2'!$A:$A),"")</f>
        <v>0</v>
      </c>
      <c r="FU135">
        <f>COUNTIFS('DRAFT 2'!$D:$D,$B135,'DRAFT 2'!$A:$A,"&gt;="&amp;DATE(2026,7,1),'DRAFT 2'!$A:$A,"&lt;="&amp;DATE(2026,7,7))</f>
        <v>0</v>
      </c>
      <c r="FV135">
        <f>COUNTIFS('DRAFT 2'!$D:$D,$B135,'DRAFT 2'!$A:$A,"&gt;="&amp;DATE(2026,7,8),'DRAFT 2'!$A:$A,"&lt;="&amp;DATE(2026,7,14))</f>
        <v>0</v>
      </c>
      <c r="FW135">
        <f>COUNTIFS('DRAFT 2'!$D:$D,$B135,'DRAFT 2'!$A:$A,"&gt;="&amp;DATE(2026,7,15),'DRAFT 2'!$A:$A,"&lt;="&amp;DATE(2026,7,21))</f>
        <v>0</v>
      </c>
      <c r="FX135">
        <f>COUNTIFS('DRAFT 2'!$D:$D,$B135,'DRAFT 2'!$A:$A,"&gt;="&amp;DATE(2026,7,22),'DRAFT 2'!$A:$A,"&lt;"&amp;DATE(2026,IF(7=12,7+1,7+1),1))</f>
        <v>0</v>
      </c>
      <c r="FY135">
        <f t="shared" si="64"/>
        <v>0</v>
      </c>
      <c r="GI135">
        <f>IFERROR(LOOKUP(2,1/('DRAFT 2'!$D:$D=$B135)*('DRAFT 2'!$A:$A&gt;=DATE(2026,8,1))*('DRAFT 2'!$A:$A&lt;DATE(2026,IF(8=12,8+1,8+1),1)),'DRAFT 2'!$A:$A),"")</f>
        <v>0</v>
      </c>
      <c r="GJ135">
        <f>COUNTIFS('DRAFT 2'!$D:$D,$B135,'DRAFT 2'!$A:$A,"&gt;="&amp;DATE(2026,8,1),'DRAFT 2'!$A:$A,"&lt;="&amp;DATE(2026,8,7))</f>
        <v>0</v>
      </c>
      <c r="GK135">
        <f>COUNTIFS('DRAFT 2'!$D:$D,$B135,'DRAFT 2'!$A:$A,"&gt;="&amp;DATE(2026,8,8),'DRAFT 2'!$A:$A,"&lt;="&amp;DATE(2026,8,14))</f>
        <v>0</v>
      </c>
      <c r="GL135">
        <f>COUNTIFS('DRAFT 2'!$D:$D,$B135,'DRAFT 2'!$A:$A,"&gt;="&amp;DATE(2026,8,15),'DRAFT 2'!$A:$A,"&lt;="&amp;DATE(2026,8,21))</f>
        <v>0</v>
      </c>
      <c r="GM135">
        <f>COUNTIFS('DRAFT 2'!$D:$D,$B135,'DRAFT 2'!$A:$A,"&gt;="&amp;DATE(2026,8,22),'DRAFT 2'!$A:$A,"&lt;"&amp;DATE(2026,IF(8=12,8+1,8+1),1))</f>
        <v>0</v>
      </c>
      <c r="GN135">
        <f t="shared" si="65"/>
        <v>0</v>
      </c>
      <c r="GX135">
        <f>IFERROR(LOOKUP(2,1/('DRAFT 2'!$D:$D=$B135)*('DRAFT 2'!$A:$A&gt;=DATE(2026,9,1))*('DRAFT 2'!$A:$A&lt;DATE(2026,IF(9=12,9+1,9+1),1)),'DRAFT 2'!$A:$A),"")</f>
        <v>0</v>
      </c>
      <c r="GY135">
        <f>COUNTIFS('DRAFT 2'!$D:$D,$B135,'DRAFT 2'!$A:$A,"&gt;="&amp;DATE(2026,9,1),'DRAFT 2'!$A:$A,"&lt;="&amp;DATE(2026,9,7))</f>
        <v>0</v>
      </c>
      <c r="GZ135">
        <f>COUNTIFS('DRAFT 2'!$D:$D,$B135,'DRAFT 2'!$A:$A,"&gt;="&amp;DATE(2026,9,8),'DRAFT 2'!$A:$A,"&lt;="&amp;DATE(2026,9,14))</f>
        <v>0</v>
      </c>
      <c r="HA135">
        <f>COUNTIFS('DRAFT 2'!$D:$D,$B135,'DRAFT 2'!$A:$A,"&gt;="&amp;DATE(2026,9,15),'DRAFT 2'!$A:$A,"&lt;="&amp;DATE(2026,9,21))</f>
        <v>0</v>
      </c>
      <c r="HB135">
        <f>COUNTIFS('DRAFT 2'!$D:$D,$B135,'DRAFT 2'!$A:$A,"&gt;="&amp;DATE(2026,9,22),'DRAFT 2'!$A:$A,"&lt;"&amp;DATE(2026,IF(9=12,9+1,9+1),1))</f>
        <v>0</v>
      </c>
      <c r="HC135">
        <f t="shared" si="66"/>
        <v>0</v>
      </c>
      <c r="HN135">
        <f>IFERROR(LOOKUP(2,1/('DRAFT 2'!$D:$D=$B135)*('DRAFT 2'!$A:$A&gt;=DATE(2026,10,1))*('DRAFT 2'!$A:$A&lt;DATE(2026,IF(10=12,10+1,10+1),1)),'DRAFT 2'!$A:$A),"")</f>
        <v>0</v>
      </c>
      <c r="HO135">
        <f>COUNTIFS('DRAFT 2'!$D:$D,$B135,'DRAFT 2'!$A:$A,"&gt;="&amp;DATE(2026,10,1),'DRAFT 2'!$A:$A,"&lt;="&amp;DATE(2026,10,7))</f>
        <v>0</v>
      </c>
      <c r="HP135">
        <f>COUNTIFS('DRAFT 2'!$D:$D,$B135,'DRAFT 2'!$A:$A,"&gt;="&amp;DATE(2026,10,8),'DRAFT 2'!$A:$A,"&lt;="&amp;DATE(2026,10,14))</f>
        <v>0</v>
      </c>
      <c r="HQ135">
        <f>COUNTIFS('DRAFT 2'!$D:$D,$B135,'DRAFT 2'!$A:$A,"&gt;="&amp;DATE(2026,10,15),'DRAFT 2'!$A:$A,"&lt;="&amp;DATE(2026,10,21))</f>
        <v>0</v>
      </c>
      <c r="HR135">
        <f>COUNTIFS('DRAFT 2'!$D:$D,$B135,'DRAFT 2'!$A:$A,"&gt;="&amp;DATE(2026,10,22),'DRAFT 2'!$A:$A,"&lt;"&amp;DATE(2026,IF(10=12,10+1,10+1),1))</f>
        <v>0</v>
      </c>
      <c r="HS135">
        <f t="shared" si="67"/>
        <v>0</v>
      </c>
      <c r="IC135">
        <f>IFERROR(LOOKUP(2,1/('DRAFT 2'!$D:$D=$B135)*('DRAFT 2'!$A:$A&gt;=DATE(2026,11,1))*('DRAFT 2'!$A:$A&lt;DATE(2026,IF(11=12,11+1,11+1),1)),'DRAFT 2'!$A:$A),"")</f>
        <v>0</v>
      </c>
      <c r="ID135">
        <f>COUNTIFS('DRAFT 2'!$D:$D,$B135,'DRAFT 2'!$A:$A,"&gt;="&amp;DATE(2026,11,1),'DRAFT 2'!$A:$A,"&lt;="&amp;DATE(2026,11,7))</f>
        <v>0</v>
      </c>
      <c r="IE135">
        <f>COUNTIFS('DRAFT 2'!$D:$D,$B135,'DRAFT 2'!$A:$A,"&gt;="&amp;DATE(2026,11,8),'DRAFT 2'!$A:$A,"&lt;="&amp;DATE(2026,11,14))</f>
        <v>0</v>
      </c>
      <c r="IF135">
        <f>COUNTIFS('DRAFT 2'!$D:$D,$B135,'DRAFT 2'!$A:$A,"&gt;="&amp;DATE(2026,11,15),'DRAFT 2'!$A:$A,"&lt;="&amp;DATE(2026,11,21))</f>
        <v>0</v>
      </c>
      <c r="IG135">
        <f>COUNTIFS('DRAFT 2'!$D:$D,$B135,'DRAFT 2'!$A:$A,"&gt;="&amp;DATE(2026,11,22),'DRAFT 2'!$A:$A,"&lt;"&amp;DATE(2026,IF(11=12,11+1,11+1),1))</f>
        <v>0</v>
      </c>
      <c r="IH135">
        <f t="shared" si="68"/>
        <v>0</v>
      </c>
      <c r="IR135">
        <f>IFERROR(LOOKUP(2,1/('DRAFT 2'!$D:$D=$B135)*('DRAFT 2'!$A:$A&gt;=DATE(2026,12,1))*('DRAFT 2'!$A:$A&lt;DATE(2026,IF(12=12,12+1,12+1),1)),'DRAFT 2'!$A:$A),"")</f>
        <v>0</v>
      </c>
      <c r="IS135">
        <f>COUNTIFS('DRAFT 2'!$D:$D,$B135,'DRAFT 2'!$A:$A,"&gt;="&amp;DATE(2026,12,1),'DRAFT 2'!$A:$A,"&lt;="&amp;DATE(2026,12,7))</f>
        <v>0</v>
      </c>
      <c r="IT135">
        <f>COUNTIFS('DRAFT 2'!$D:$D,$B135,'DRAFT 2'!$A:$A,"&gt;="&amp;DATE(2026,12,8),'DRAFT 2'!$A:$A,"&lt;="&amp;DATE(2026,12,14))</f>
        <v>0</v>
      </c>
      <c r="IU135">
        <f>COUNTIFS('DRAFT 2'!$D:$D,$B135,'DRAFT 2'!$A:$A,"&gt;="&amp;DATE(2026,12,15),'DRAFT 2'!$A:$A,"&lt;="&amp;DATE(2026,12,21))</f>
        <v>0</v>
      </c>
      <c r="IV135">
        <f>COUNTIFS('DRAFT 2'!$D:$D,$B135,'DRAFT 2'!$A:$A,"&gt;="&amp;DATE(2026,12,22),'DRAFT 2'!$A:$A,"&lt;"&amp;DATE(2026,IF(12=12,12+1,12+1),1))</f>
        <v>0</v>
      </c>
      <c r="IW135">
        <f t="shared" si="69"/>
        <v>0</v>
      </c>
    </row>
    <row r="136" spans="1:257" x14ac:dyDescent="0.3">
      <c r="A136" t="str">
        <f>IFERROR(INDEX('DRAFT 1'!$A:$A,MATCH($B136,'DRAFT 1'!$B:$B,0)),"")</f>
        <v/>
      </c>
      <c r="C136" t="str">
        <f>IFERROR(INDEX('DRAFT 1'!$C:$C,MATCH($B136,'DRAFT 1'!$B:$B,0)),"")</f>
        <v/>
      </c>
      <c r="D136" t="str">
        <f>IFERROR(INDEX('DRAFT 1'!$D:$D,MATCH($B136,'DRAFT 1'!$B:$B,0)),"")</f>
        <v/>
      </c>
      <c r="E136" t="str">
        <f>IFERROR(INDEX('DRAFT 1'!$E:$E,MATCH($B136,'DRAFT 1'!$B:$B,0)),"")</f>
        <v/>
      </c>
      <c r="F136" t="str">
        <f>IFERROR(INDEX('DRAFT 1'!$F:$F,MATCH($B136,'DRAFT 1'!$B:$B,0)),"")</f>
        <v/>
      </c>
      <c r="G136" t="str">
        <f>IFERROR(INDEX('DRAFT 1'!$G:$G,MATCH($B136,'DRAFT 1'!$B:$B,0)),"")</f>
        <v/>
      </c>
      <c r="H136" t="str">
        <f>IFERROR(INDEX('DRAFT 1'!$H:$H,MATCH($B136,'DRAFT 1'!$B:$B,0)),"")</f>
        <v/>
      </c>
      <c r="I136" t="str">
        <f>IFERROR(INDEX('DRAFT 1'!$I:$I,MATCH($B136,'DRAFT 1'!$B:$B,0)),"")</f>
        <v/>
      </c>
      <c r="K136" t="str">
        <f>IFERROR(INDEX('DRAFT 1'!$AL:$AL,MATCH($B136,'DRAFT 1'!$B:$B,0)),"")</f>
        <v/>
      </c>
      <c r="L136" t="str">
        <f>IFERROR(INDEX('DRAFT 1'!$J:$J,MATCH($B136,'DRAFT 1'!$B:$B,0)),"")</f>
        <v/>
      </c>
      <c r="M136" t="str">
        <f>IFERROR(INDEX('DRAFT 1'!$K:$K,MATCH($B136,'DRAFT 1'!$B:$B,0)),"")</f>
        <v/>
      </c>
      <c r="P136" t="str">
        <f>IFERROR(INDEX('DRAFT 1'!$L:$L,MATCH($B136,'DRAFT 1'!$B:$B,0)),"")</f>
        <v/>
      </c>
      <c r="Q136" t="str">
        <f>IFERROR(INDEX('DRAFT 1'!$M:$M,MATCH($B136,'DRAFT 1'!$B:$B,0)),"")</f>
        <v/>
      </c>
      <c r="R136" t="str">
        <f>IFERROR(INDEX('DRAFT 1'!$N:$N,MATCH($B136,'DRAFT 1'!$B:$B,0)),"")</f>
        <v/>
      </c>
      <c r="S136" t="str">
        <f>IFERROR(INDEX('DRAFT 1'!$O:$O,MATCH($B136,'DRAFT 1'!$B:$B,0)),"")</f>
        <v/>
      </c>
      <c r="T136" t="str">
        <f>IFERROR(INDEX('DRAFT 1'!$P:$P,MATCH($B136,'DRAFT 1'!$B:$B,0)),"")</f>
        <v/>
      </c>
      <c r="U136" t="str">
        <f>IFERROR(INDEX('DRAFT 1'!$Q:$Q,MATCH($B136,'DRAFT 1'!$B:$B,0)),"")</f>
        <v/>
      </c>
      <c r="V136" t="str">
        <f>IFERROR(INDEX('DRAFT 1'!$R:$R,MATCH($B136,'DRAFT 1'!$B:$B,0)),"")</f>
        <v/>
      </c>
      <c r="W136" t="str">
        <f>IFERROR(INDEX('DRAFT 1'!$S:$S,MATCH($B136,'DRAFT 1'!$B:$B,0)),"")</f>
        <v/>
      </c>
      <c r="X136" t="str">
        <f>IFERROR(INDEX('DRAFT 1'!$T:$T,MATCH($B136,'DRAFT 1'!$B:$B,0)),"")</f>
        <v/>
      </c>
      <c r="Z136" t="str">
        <f>IFERROR(INDEX('DRAFT 1'!$U:$U,MATCH($B136,'DRAFT 1'!$B:$B,0)),"")</f>
        <v/>
      </c>
      <c r="AA136" t="str">
        <f>IFERROR(INDEX('DRAFT 1'!$V:$V,MATCH($B136,'DRAFT 1'!$B:$B,0)),"")</f>
        <v/>
      </c>
      <c r="AB136" t="str">
        <f>IFERROR(INDEX('DRAFT 1'!$W:$W,MATCH($B136,'DRAFT 1'!$B:$B,0)),"")</f>
        <v/>
      </c>
      <c r="AC136" t="str">
        <f>IFERROR(INDEX('DRAFT 1'!$X:$X,MATCH($B136,'DRAFT 1'!$B:$B,0)),"")</f>
        <v/>
      </c>
      <c r="AD136" t="str">
        <f>IFERROR(INDEX('DRAFT 1'!$Y:$Y,MATCH($B136,'DRAFT 1'!$B:$B,0)),"")</f>
        <v/>
      </c>
      <c r="AE136" t="str">
        <f>IFERROR(INDEX('DRAFT 1'!$Z:$Z,MATCH($B136,'DRAFT 1'!$B:$B,0)),"")</f>
        <v/>
      </c>
      <c r="AF136" t="str">
        <f>IFERROR(INDEX('DRAFT 1'!$AA:$AA,MATCH($B136,'DRAFT 1'!$B:$B,0)),"")</f>
        <v/>
      </c>
      <c r="AG136" t="str">
        <f>IFERROR(INDEX('DRAFT 1'!$AB:$AB,MATCH($B136,'DRAFT 1'!$B:$B,0)),"")</f>
        <v/>
      </c>
      <c r="AH136" t="str">
        <f>IFERROR(INDEX('DRAFT 1'!$AC:$AC,MATCH($B136,'DRAFT 1'!$B:$B,0)),"")</f>
        <v/>
      </c>
      <c r="AI136" t="str">
        <f>IFERROR(INDEX('DRAFT 1'!$AD:$AD,MATCH($B136,'DRAFT 1'!$B:$B,0)),"")</f>
        <v/>
      </c>
      <c r="AJ136" t="str">
        <f>IFERROR(INDEX('DRAFT 1'!$AE:$AE,MATCH($B136,'DRAFT 1'!$B:$B,0)),"")</f>
        <v/>
      </c>
      <c r="AK136" t="str">
        <f>IFERROR(INDEX('DRAFT 1'!$AG:$AG,MATCH($B136,'DRAFT 1'!$B:$B,0)),"")</f>
        <v/>
      </c>
      <c r="AL136" t="str">
        <f>IFERROR(INDEX('DRAFT 1'!$AH:$AH,MATCH($B136,'DRAFT 1'!$B:$B,0)),"")</f>
        <v/>
      </c>
      <c r="AM136" t="str">
        <f>IFERROR(INDEX('DRAFT 1'!$AI:$AI,MATCH($B136,'DRAFT 1'!$B:$B,0)),"")</f>
        <v/>
      </c>
      <c r="AN136" t="str">
        <f>IFERROR(INDEX('DRAFT 1'!$AJ:$AJ,MATCH($B136,'DRAFT 1'!$B:$B,0)),"")</f>
        <v/>
      </c>
      <c r="AO136">
        <f t="shared" si="56"/>
        <v>0</v>
      </c>
      <c r="AP136" t="str">
        <f>IFERROR(INDEX('DRAFT 1'!$AK:$AK,MATCH($B136,'DRAFT 1'!$B:$B,0)),"")</f>
        <v/>
      </c>
      <c r="AR136">
        <f>IFERROR(LOOKUP(2,1/('DRAFT 2'!$D:$D=$B136),'DRAFT 2'!$I:$I),"")</f>
        <v>0</v>
      </c>
      <c r="AS136">
        <f>IFERROR(LOOKUP(2,1/('DRAFT 2'!$D:$D=$B136),'DRAFT 2'!$T:$T),"")</f>
        <v>0</v>
      </c>
      <c r="AT136">
        <f>IFERROR(LOOKUP(2,1/('DRAFT 2'!$D:$D=$B136),'DRAFT 2'!$A:$A),"")</f>
        <v>0</v>
      </c>
      <c r="AU136">
        <f>IFERROR(LOOKUP(2,1/('DRAFT 2'!$D:$D=$B136),'DRAFT 2'!$R:$R),"")</f>
        <v>0</v>
      </c>
      <c r="AV136">
        <f>IFERROR(LOOKUP(2,1/('DRAFT 2'!$D:$D=$B136),'DRAFT 2'!$S:$S),"")</f>
        <v>0</v>
      </c>
      <c r="AX136">
        <f>IFERROR(LOOKUP(2,1/('DRAFT 2'!$D:$D=$B136),'DRAFT 2'!$M:$M),"")</f>
        <v>0</v>
      </c>
      <c r="AY136">
        <f>IFERROR(LOOKUP(2,1/('DRAFT 2'!$D:$D=$B136),'DRAFT 2'!$K:$K),"")</f>
        <v>0</v>
      </c>
      <c r="BG136">
        <f>IFERROR(LOOKUP(2,1/('DRAFT 2'!$D:$D=$B136),'DRAFT 2'!$U:$U),"")</f>
        <v>0</v>
      </c>
      <c r="BH136">
        <f>IFERROR(LOOKUP(2,1/('DRAFT 2'!$D:$D=$B136),'DRAFT 2'!$V:$V),"")</f>
        <v>0</v>
      </c>
      <c r="CE136" t="str">
        <f t="shared" si="57"/>
        <v/>
      </c>
      <c r="CF136">
        <f>IFERROR(LOOKUP(2,1/('DRAFT 2'!$D:$D=$B136)*('DRAFT 2'!$A:$A&gt;=DATE(2026,1,1))*('DRAFT 2'!$A:$A&lt;DATE(2026,IF(1=12,1+1,1+1),1)),'DRAFT 2'!$A:$A),"")</f>
        <v>0</v>
      </c>
      <c r="CG136">
        <f>COUNTIFS('DRAFT 2'!$D:$D,$B136,'DRAFT 2'!$A:$A,"&gt;="&amp;DATE(2026,1,1),'DRAFT 2'!$A:$A,"&lt;="&amp;DATE(2026,1,7))</f>
        <v>0</v>
      </c>
      <c r="CH136">
        <f>COUNTIFS('DRAFT 2'!$D:$D,$B136,'DRAFT 2'!$A:$A,"&gt;="&amp;DATE(2026,1,8),'DRAFT 2'!$A:$A,"&lt;="&amp;DATE(2026,1,14))</f>
        <v>0</v>
      </c>
      <c r="CI136">
        <f>COUNTIFS('DRAFT 2'!$D:$D,$B136,'DRAFT 2'!$A:$A,"&gt;="&amp;DATE(2026,1,15),'DRAFT 2'!$A:$A,"&lt;="&amp;DATE(2026,1,21))</f>
        <v>0</v>
      </c>
      <c r="CJ136">
        <f>COUNTIFS('DRAFT 2'!$D:$D,$B136,'DRAFT 2'!$A:$A,"&gt;="&amp;DATE(2026,1,22),'DRAFT 2'!$A:$A,"&lt;"&amp;DATE(2026,IF(1=12,1+1,1+1),1))</f>
        <v>0</v>
      </c>
      <c r="CK136">
        <f t="shared" si="58"/>
        <v>0</v>
      </c>
      <c r="CT136">
        <v>0</v>
      </c>
      <c r="CU136">
        <f>IFERROR(LOOKUP(2,1/('DRAFT 2'!$D:$D=$B136)*('DRAFT 2'!$A:$A&gt;=DATE(2026,2,1))*('DRAFT 2'!$A:$A&lt;DATE(2026,IF(2=12,2+1,2+1),1)),'DRAFT 2'!$A:$A),"")</f>
        <v>0</v>
      </c>
      <c r="CV136">
        <f>COUNTIFS('DRAFT 2'!$D:$D,$B136,'DRAFT 2'!$A:$A,"&gt;="&amp;DATE(2026,2,1),'DRAFT 2'!$A:$A,"&lt;="&amp;DATE(2026,2,7))</f>
        <v>0</v>
      </c>
      <c r="CW136">
        <f>COUNTIFS('DRAFT 2'!$D:$D,$B136,'DRAFT 2'!$A:$A,"&gt;="&amp;DATE(2026,2,8),'DRAFT 2'!$A:$A,"&lt;="&amp;DATE(2026,2,14))</f>
        <v>0</v>
      </c>
      <c r="CX136">
        <f>COUNTIFS('DRAFT 2'!$D:$D,$B136,'DRAFT 2'!$A:$A,"&gt;="&amp;DATE(2026,2,15),'DRAFT 2'!$A:$A,"&lt;="&amp;DATE(2026,2,21))</f>
        <v>0</v>
      </c>
      <c r="CY136">
        <f>COUNTIFS('DRAFT 2'!$D:$D,$B136,'DRAFT 2'!$A:$A,"&gt;="&amp;DATE(2026,2,22),'DRAFT 2'!$A:$A,"&lt;"&amp;DATE(2026,IF(2=12,2+1,2+1),1))</f>
        <v>0</v>
      </c>
      <c r="CZ136">
        <f t="shared" si="59"/>
        <v>0</v>
      </c>
      <c r="DJ136">
        <f>IFERROR(LOOKUP(2,1/('DRAFT 2'!$D:$D=$B136)*('DRAFT 2'!$A:$A&gt;=DATE(2026,3,1))*('DRAFT 2'!$A:$A&lt;DATE(2026,IF(3=12,3+1,3+1),1)),'DRAFT 2'!$A:$A),"")</f>
        <v>0</v>
      </c>
      <c r="DK136">
        <f>COUNTIFS('DRAFT 2'!$D:$D,$B136,'DRAFT 2'!$A:$A,"&gt;="&amp;DATE(2026,3,1),'DRAFT 2'!$A:$A,"&lt;="&amp;DATE(2026,3,7))</f>
        <v>0</v>
      </c>
      <c r="DL136">
        <f>COUNTIFS('DRAFT 2'!$D:$D,$B136,'DRAFT 2'!$A:$A,"&gt;="&amp;DATE(2026,3,8),'DRAFT 2'!$A:$A,"&lt;="&amp;DATE(2026,3,14))</f>
        <v>0</v>
      </c>
      <c r="DM136">
        <f>COUNTIFS('DRAFT 2'!$D:$D,$B136,'DRAFT 2'!$A:$A,"&gt;="&amp;DATE(2026,3,15),'DRAFT 2'!$A:$A,"&lt;="&amp;DATE(2026,3,21))</f>
        <v>0</v>
      </c>
      <c r="DN136">
        <f>COUNTIFS('DRAFT 2'!$D:$D,$B136,'DRAFT 2'!$A:$A,"&gt;="&amp;DATE(2026,3,22),'DRAFT 2'!$A:$A,"&lt;"&amp;DATE(2026,IF(3=12,3+1,3+1),1))</f>
        <v>0</v>
      </c>
      <c r="DO136">
        <f t="shared" si="60"/>
        <v>0</v>
      </c>
      <c r="DZ136">
        <f>IFERROR(LOOKUP(2,1/('DRAFT 2'!$D:$D=$B136)*('DRAFT 2'!$A:$A&gt;=DATE(2026,4,1))*('DRAFT 2'!$A:$A&lt;DATE(2026,IF(4=12,4+1,4+1),1)),'DRAFT 2'!$A:$A),"")</f>
        <v>0</v>
      </c>
      <c r="EA136">
        <f>COUNTIFS('DRAFT 2'!$D:$D,$B136,'DRAFT 2'!$A:$A,"&gt;="&amp;DATE(2026,4,1),'DRAFT 2'!$A:$A,"&lt;="&amp;DATE(2026,4,7))</f>
        <v>0</v>
      </c>
      <c r="EB136">
        <f>COUNTIFS('DRAFT 2'!$D:$D,$B136,'DRAFT 2'!$A:$A,"&gt;="&amp;DATE(2026,4,8),'DRAFT 2'!$A:$A,"&lt;="&amp;DATE(2026,4,14))</f>
        <v>0</v>
      </c>
      <c r="EC136">
        <f>COUNTIFS('DRAFT 2'!$D:$D,$B136,'DRAFT 2'!$A:$A,"&gt;="&amp;DATE(2026,4,15),'DRAFT 2'!$A:$A,"&lt;="&amp;DATE(2026,4,21))</f>
        <v>0</v>
      </c>
      <c r="ED136">
        <f>COUNTIFS('DRAFT 2'!$D:$D,$B136,'DRAFT 2'!$A:$A,"&gt;="&amp;DATE(2026,4,22),'DRAFT 2'!$A:$A,"&lt;"&amp;DATE(2026,IF(4=12,4+1,4+1),1))</f>
        <v>0</v>
      </c>
      <c r="EE136">
        <f t="shared" si="61"/>
        <v>0</v>
      </c>
      <c r="EO136">
        <f>IFERROR(LOOKUP(2,1/('DRAFT 2'!$D:$D=$B136)*('DRAFT 2'!$A:$A&gt;=DATE(2026,5,1))*('DRAFT 2'!$A:$A&lt;DATE(2026,IF(5=12,5+1,5+1),1)),'DRAFT 2'!$A:$A),"")</f>
        <v>0</v>
      </c>
      <c r="EP136">
        <f>COUNTIFS('DRAFT 2'!$D:$D,$B136,'DRAFT 2'!$A:$A,"&gt;="&amp;DATE(2026,5,1),'DRAFT 2'!$A:$A,"&lt;="&amp;DATE(2026,5,7))</f>
        <v>0</v>
      </c>
      <c r="EQ136">
        <f>COUNTIFS('DRAFT 2'!$D:$D,$B136,'DRAFT 2'!$A:$A,"&gt;="&amp;DATE(2026,5,8),'DRAFT 2'!$A:$A,"&lt;="&amp;DATE(2026,5,14))</f>
        <v>0</v>
      </c>
      <c r="ER136">
        <f>COUNTIFS('DRAFT 2'!$D:$D,$B136,'DRAFT 2'!$A:$A,"&gt;="&amp;DATE(2026,5,15),'DRAFT 2'!$A:$A,"&lt;="&amp;DATE(2026,5,21))</f>
        <v>0</v>
      </c>
      <c r="ES136">
        <f>COUNTIFS('DRAFT 2'!$D:$D,$B136,'DRAFT 2'!$A:$A,"&gt;="&amp;DATE(2026,5,22),'DRAFT 2'!$A:$A,"&lt;"&amp;DATE(2026,IF(5=12,5+1,5+1),1))</f>
        <v>0</v>
      </c>
      <c r="ET136">
        <f t="shared" si="62"/>
        <v>0</v>
      </c>
      <c r="FD136">
        <f>IFERROR(LOOKUP(2,1/('DRAFT 2'!$D:$D=$B136)*('DRAFT 2'!$A:$A&gt;=DATE(2026,6,1))*('DRAFT 2'!$A:$A&lt;DATE(2026,IF(6=12,6+1,6+1),1)),'DRAFT 2'!$A:$A),"")</f>
        <v>0</v>
      </c>
      <c r="FE136">
        <f>COUNTIFS('DRAFT 2'!$D:$D,$B136,'DRAFT 2'!$A:$A,"&gt;="&amp;DATE(2026,6,1),'DRAFT 2'!$A:$A,"&lt;="&amp;DATE(2026,6,7))</f>
        <v>0</v>
      </c>
      <c r="FF136">
        <f>COUNTIFS('DRAFT 2'!$D:$D,$B136,'DRAFT 2'!$A:$A,"&gt;="&amp;DATE(2026,6,8),'DRAFT 2'!$A:$A,"&lt;="&amp;DATE(2026,6,14))</f>
        <v>0</v>
      </c>
      <c r="FG136">
        <f>COUNTIFS('DRAFT 2'!$D:$D,$B136,'DRAFT 2'!$A:$A,"&gt;="&amp;DATE(2026,6,15),'DRAFT 2'!$A:$A,"&lt;="&amp;DATE(2026,6,21))</f>
        <v>0</v>
      </c>
      <c r="FH136">
        <f>COUNTIFS('DRAFT 2'!$D:$D,$B136,'DRAFT 2'!$A:$A,"&gt;="&amp;DATE(2026,6,22),'DRAFT 2'!$A:$A,"&lt;"&amp;DATE(2026,IF(6=12,6+1,6+1),1))</f>
        <v>0</v>
      </c>
      <c r="FI136">
        <f t="shared" si="63"/>
        <v>0</v>
      </c>
      <c r="FT136">
        <f>IFERROR(LOOKUP(2,1/('DRAFT 2'!$D:$D=$B136)*('DRAFT 2'!$A:$A&gt;=DATE(2026,7,1))*('DRAFT 2'!$A:$A&lt;DATE(2026,IF(7=12,7+1,7+1),1)),'DRAFT 2'!$A:$A),"")</f>
        <v>0</v>
      </c>
      <c r="FU136">
        <f>COUNTIFS('DRAFT 2'!$D:$D,$B136,'DRAFT 2'!$A:$A,"&gt;="&amp;DATE(2026,7,1),'DRAFT 2'!$A:$A,"&lt;="&amp;DATE(2026,7,7))</f>
        <v>0</v>
      </c>
      <c r="FV136">
        <f>COUNTIFS('DRAFT 2'!$D:$D,$B136,'DRAFT 2'!$A:$A,"&gt;="&amp;DATE(2026,7,8),'DRAFT 2'!$A:$A,"&lt;="&amp;DATE(2026,7,14))</f>
        <v>0</v>
      </c>
      <c r="FW136">
        <f>COUNTIFS('DRAFT 2'!$D:$D,$B136,'DRAFT 2'!$A:$A,"&gt;="&amp;DATE(2026,7,15),'DRAFT 2'!$A:$A,"&lt;="&amp;DATE(2026,7,21))</f>
        <v>0</v>
      </c>
      <c r="FX136">
        <f>COUNTIFS('DRAFT 2'!$D:$D,$B136,'DRAFT 2'!$A:$A,"&gt;="&amp;DATE(2026,7,22),'DRAFT 2'!$A:$A,"&lt;"&amp;DATE(2026,IF(7=12,7+1,7+1),1))</f>
        <v>0</v>
      </c>
      <c r="FY136">
        <f t="shared" si="64"/>
        <v>0</v>
      </c>
      <c r="GI136">
        <f>IFERROR(LOOKUP(2,1/('DRAFT 2'!$D:$D=$B136)*('DRAFT 2'!$A:$A&gt;=DATE(2026,8,1))*('DRAFT 2'!$A:$A&lt;DATE(2026,IF(8=12,8+1,8+1),1)),'DRAFT 2'!$A:$A),"")</f>
        <v>0</v>
      </c>
      <c r="GJ136">
        <f>COUNTIFS('DRAFT 2'!$D:$D,$B136,'DRAFT 2'!$A:$A,"&gt;="&amp;DATE(2026,8,1),'DRAFT 2'!$A:$A,"&lt;="&amp;DATE(2026,8,7))</f>
        <v>0</v>
      </c>
      <c r="GK136">
        <f>COUNTIFS('DRAFT 2'!$D:$D,$B136,'DRAFT 2'!$A:$A,"&gt;="&amp;DATE(2026,8,8),'DRAFT 2'!$A:$A,"&lt;="&amp;DATE(2026,8,14))</f>
        <v>0</v>
      </c>
      <c r="GL136">
        <f>COUNTIFS('DRAFT 2'!$D:$D,$B136,'DRAFT 2'!$A:$A,"&gt;="&amp;DATE(2026,8,15),'DRAFT 2'!$A:$A,"&lt;="&amp;DATE(2026,8,21))</f>
        <v>0</v>
      </c>
      <c r="GM136">
        <f>COUNTIFS('DRAFT 2'!$D:$D,$B136,'DRAFT 2'!$A:$A,"&gt;="&amp;DATE(2026,8,22),'DRAFT 2'!$A:$A,"&lt;"&amp;DATE(2026,IF(8=12,8+1,8+1),1))</f>
        <v>0</v>
      </c>
      <c r="GN136">
        <f t="shared" si="65"/>
        <v>0</v>
      </c>
      <c r="GX136">
        <f>IFERROR(LOOKUP(2,1/('DRAFT 2'!$D:$D=$B136)*('DRAFT 2'!$A:$A&gt;=DATE(2026,9,1))*('DRAFT 2'!$A:$A&lt;DATE(2026,IF(9=12,9+1,9+1),1)),'DRAFT 2'!$A:$A),"")</f>
        <v>0</v>
      </c>
      <c r="GY136">
        <f>COUNTIFS('DRAFT 2'!$D:$D,$B136,'DRAFT 2'!$A:$A,"&gt;="&amp;DATE(2026,9,1),'DRAFT 2'!$A:$A,"&lt;="&amp;DATE(2026,9,7))</f>
        <v>0</v>
      </c>
      <c r="GZ136">
        <f>COUNTIFS('DRAFT 2'!$D:$D,$B136,'DRAFT 2'!$A:$A,"&gt;="&amp;DATE(2026,9,8),'DRAFT 2'!$A:$A,"&lt;="&amp;DATE(2026,9,14))</f>
        <v>0</v>
      </c>
      <c r="HA136">
        <f>COUNTIFS('DRAFT 2'!$D:$D,$B136,'DRAFT 2'!$A:$A,"&gt;="&amp;DATE(2026,9,15),'DRAFT 2'!$A:$A,"&lt;="&amp;DATE(2026,9,21))</f>
        <v>0</v>
      </c>
      <c r="HB136">
        <f>COUNTIFS('DRAFT 2'!$D:$D,$B136,'DRAFT 2'!$A:$A,"&gt;="&amp;DATE(2026,9,22),'DRAFT 2'!$A:$A,"&lt;"&amp;DATE(2026,IF(9=12,9+1,9+1),1))</f>
        <v>0</v>
      </c>
      <c r="HC136">
        <f t="shared" si="66"/>
        <v>0</v>
      </c>
      <c r="HN136">
        <f>IFERROR(LOOKUP(2,1/('DRAFT 2'!$D:$D=$B136)*('DRAFT 2'!$A:$A&gt;=DATE(2026,10,1))*('DRAFT 2'!$A:$A&lt;DATE(2026,IF(10=12,10+1,10+1),1)),'DRAFT 2'!$A:$A),"")</f>
        <v>0</v>
      </c>
      <c r="HO136">
        <f>COUNTIFS('DRAFT 2'!$D:$D,$B136,'DRAFT 2'!$A:$A,"&gt;="&amp;DATE(2026,10,1),'DRAFT 2'!$A:$A,"&lt;="&amp;DATE(2026,10,7))</f>
        <v>0</v>
      </c>
      <c r="HP136">
        <f>COUNTIFS('DRAFT 2'!$D:$D,$B136,'DRAFT 2'!$A:$A,"&gt;="&amp;DATE(2026,10,8),'DRAFT 2'!$A:$A,"&lt;="&amp;DATE(2026,10,14))</f>
        <v>0</v>
      </c>
      <c r="HQ136">
        <f>COUNTIFS('DRAFT 2'!$D:$D,$B136,'DRAFT 2'!$A:$A,"&gt;="&amp;DATE(2026,10,15),'DRAFT 2'!$A:$A,"&lt;="&amp;DATE(2026,10,21))</f>
        <v>0</v>
      </c>
      <c r="HR136">
        <f>COUNTIFS('DRAFT 2'!$D:$D,$B136,'DRAFT 2'!$A:$A,"&gt;="&amp;DATE(2026,10,22),'DRAFT 2'!$A:$A,"&lt;"&amp;DATE(2026,IF(10=12,10+1,10+1),1))</f>
        <v>0</v>
      </c>
      <c r="HS136">
        <f t="shared" si="67"/>
        <v>0</v>
      </c>
      <c r="IC136">
        <f>IFERROR(LOOKUP(2,1/('DRAFT 2'!$D:$D=$B136)*('DRAFT 2'!$A:$A&gt;=DATE(2026,11,1))*('DRAFT 2'!$A:$A&lt;DATE(2026,IF(11=12,11+1,11+1),1)),'DRAFT 2'!$A:$A),"")</f>
        <v>0</v>
      </c>
      <c r="ID136">
        <f>COUNTIFS('DRAFT 2'!$D:$D,$B136,'DRAFT 2'!$A:$A,"&gt;="&amp;DATE(2026,11,1),'DRAFT 2'!$A:$A,"&lt;="&amp;DATE(2026,11,7))</f>
        <v>0</v>
      </c>
      <c r="IE136">
        <f>COUNTIFS('DRAFT 2'!$D:$D,$B136,'DRAFT 2'!$A:$A,"&gt;="&amp;DATE(2026,11,8),'DRAFT 2'!$A:$A,"&lt;="&amp;DATE(2026,11,14))</f>
        <v>0</v>
      </c>
      <c r="IF136">
        <f>COUNTIFS('DRAFT 2'!$D:$D,$B136,'DRAFT 2'!$A:$A,"&gt;="&amp;DATE(2026,11,15),'DRAFT 2'!$A:$A,"&lt;="&amp;DATE(2026,11,21))</f>
        <v>0</v>
      </c>
      <c r="IG136">
        <f>COUNTIFS('DRAFT 2'!$D:$D,$B136,'DRAFT 2'!$A:$A,"&gt;="&amp;DATE(2026,11,22),'DRAFT 2'!$A:$A,"&lt;"&amp;DATE(2026,IF(11=12,11+1,11+1),1))</f>
        <v>0</v>
      </c>
      <c r="IH136">
        <f t="shared" si="68"/>
        <v>0</v>
      </c>
      <c r="IR136">
        <f>IFERROR(LOOKUP(2,1/('DRAFT 2'!$D:$D=$B136)*('DRAFT 2'!$A:$A&gt;=DATE(2026,12,1))*('DRAFT 2'!$A:$A&lt;DATE(2026,IF(12=12,12+1,12+1),1)),'DRAFT 2'!$A:$A),"")</f>
        <v>0</v>
      </c>
      <c r="IS136">
        <f>COUNTIFS('DRAFT 2'!$D:$D,$B136,'DRAFT 2'!$A:$A,"&gt;="&amp;DATE(2026,12,1),'DRAFT 2'!$A:$A,"&lt;="&amp;DATE(2026,12,7))</f>
        <v>0</v>
      </c>
      <c r="IT136">
        <f>COUNTIFS('DRAFT 2'!$D:$D,$B136,'DRAFT 2'!$A:$A,"&gt;="&amp;DATE(2026,12,8),'DRAFT 2'!$A:$A,"&lt;="&amp;DATE(2026,12,14))</f>
        <v>0</v>
      </c>
      <c r="IU136">
        <f>COUNTIFS('DRAFT 2'!$D:$D,$B136,'DRAFT 2'!$A:$A,"&gt;="&amp;DATE(2026,12,15),'DRAFT 2'!$A:$A,"&lt;="&amp;DATE(2026,12,21))</f>
        <v>0</v>
      </c>
      <c r="IV136">
        <f>COUNTIFS('DRAFT 2'!$D:$D,$B136,'DRAFT 2'!$A:$A,"&gt;="&amp;DATE(2026,12,22),'DRAFT 2'!$A:$A,"&lt;"&amp;DATE(2026,IF(12=12,12+1,12+1),1))</f>
        <v>0</v>
      </c>
      <c r="IW136">
        <f t="shared" si="69"/>
        <v>0</v>
      </c>
    </row>
    <row r="137" spans="1:257" x14ac:dyDescent="0.3">
      <c r="A137" t="str">
        <f>IFERROR(INDEX('DRAFT 1'!$A:$A,MATCH($B137,'DRAFT 1'!$B:$B,0)),"")</f>
        <v/>
      </c>
      <c r="C137" t="str">
        <f>IFERROR(INDEX('DRAFT 1'!$C:$C,MATCH($B137,'DRAFT 1'!$B:$B,0)),"")</f>
        <v/>
      </c>
      <c r="D137" t="str">
        <f>IFERROR(INDEX('DRAFT 1'!$D:$D,MATCH($B137,'DRAFT 1'!$B:$B,0)),"")</f>
        <v/>
      </c>
      <c r="E137" t="str">
        <f>IFERROR(INDEX('DRAFT 1'!$E:$E,MATCH($B137,'DRAFT 1'!$B:$B,0)),"")</f>
        <v/>
      </c>
      <c r="F137" t="str">
        <f>IFERROR(INDEX('DRAFT 1'!$F:$F,MATCH($B137,'DRAFT 1'!$B:$B,0)),"")</f>
        <v/>
      </c>
      <c r="G137" t="str">
        <f>IFERROR(INDEX('DRAFT 1'!$G:$G,MATCH($B137,'DRAFT 1'!$B:$B,0)),"")</f>
        <v/>
      </c>
      <c r="H137" t="str">
        <f>IFERROR(INDEX('DRAFT 1'!$H:$H,MATCH($B137,'DRAFT 1'!$B:$B,0)),"")</f>
        <v/>
      </c>
      <c r="I137" t="str">
        <f>IFERROR(INDEX('DRAFT 1'!$I:$I,MATCH($B137,'DRAFT 1'!$B:$B,0)),"")</f>
        <v/>
      </c>
      <c r="K137" t="str">
        <f>IFERROR(INDEX('DRAFT 1'!$AL:$AL,MATCH($B137,'DRAFT 1'!$B:$B,0)),"")</f>
        <v/>
      </c>
      <c r="L137" t="str">
        <f>IFERROR(INDEX('DRAFT 1'!$J:$J,MATCH($B137,'DRAFT 1'!$B:$B,0)),"")</f>
        <v/>
      </c>
      <c r="M137" t="str">
        <f>IFERROR(INDEX('DRAFT 1'!$K:$K,MATCH($B137,'DRAFT 1'!$B:$B,0)),"")</f>
        <v/>
      </c>
      <c r="P137" t="str">
        <f>IFERROR(INDEX('DRAFT 1'!$L:$L,MATCH($B137,'DRAFT 1'!$B:$B,0)),"")</f>
        <v/>
      </c>
      <c r="Q137" t="str">
        <f>IFERROR(INDEX('DRAFT 1'!$M:$M,MATCH($B137,'DRAFT 1'!$B:$B,0)),"")</f>
        <v/>
      </c>
      <c r="R137" t="str">
        <f>IFERROR(INDEX('DRAFT 1'!$N:$N,MATCH($B137,'DRAFT 1'!$B:$B,0)),"")</f>
        <v/>
      </c>
      <c r="S137" t="str">
        <f>IFERROR(INDEX('DRAFT 1'!$O:$O,MATCH($B137,'DRAFT 1'!$B:$B,0)),"")</f>
        <v/>
      </c>
      <c r="T137" t="str">
        <f>IFERROR(INDEX('DRAFT 1'!$P:$P,MATCH($B137,'DRAFT 1'!$B:$B,0)),"")</f>
        <v/>
      </c>
      <c r="U137" t="str">
        <f>IFERROR(INDEX('DRAFT 1'!$Q:$Q,MATCH($B137,'DRAFT 1'!$B:$B,0)),"")</f>
        <v/>
      </c>
      <c r="V137" t="str">
        <f>IFERROR(INDEX('DRAFT 1'!$R:$R,MATCH($B137,'DRAFT 1'!$B:$B,0)),"")</f>
        <v/>
      </c>
      <c r="W137" t="str">
        <f>IFERROR(INDEX('DRAFT 1'!$S:$S,MATCH($B137,'DRAFT 1'!$B:$B,0)),"")</f>
        <v/>
      </c>
      <c r="X137" t="str">
        <f>IFERROR(INDEX('DRAFT 1'!$T:$T,MATCH($B137,'DRAFT 1'!$B:$B,0)),"")</f>
        <v/>
      </c>
      <c r="Z137" t="str">
        <f>IFERROR(INDEX('DRAFT 1'!$U:$U,MATCH($B137,'DRAFT 1'!$B:$B,0)),"")</f>
        <v/>
      </c>
      <c r="AA137" t="str">
        <f>IFERROR(INDEX('DRAFT 1'!$V:$V,MATCH($B137,'DRAFT 1'!$B:$B,0)),"")</f>
        <v/>
      </c>
      <c r="AB137" t="str">
        <f>IFERROR(INDEX('DRAFT 1'!$W:$W,MATCH($B137,'DRAFT 1'!$B:$B,0)),"")</f>
        <v/>
      </c>
      <c r="AC137" t="str">
        <f>IFERROR(INDEX('DRAFT 1'!$X:$X,MATCH($B137,'DRAFT 1'!$B:$B,0)),"")</f>
        <v/>
      </c>
      <c r="AD137" t="str">
        <f>IFERROR(INDEX('DRAFT 1'!$Y:$Y,MATCH($B137,'DRAFT 1'!$B:$B,0)),"")</f>
        <v/>
      </c>
      <c r="AE137" t="str">
        <f>IFERROR(INDEX('DRAFT 1'!$Z:$Z,MATCH($B137,'DRAFT 1'!$B:$B,0)),"")</f>
        <v/>
      </c>
      <c r="AF137" t="str">
        <f>IFERROR(INDEX('DRAFT 1'!$AA:$AA,MATCH($B137,'DRAFT 1'!$B:$B,0)),"")</f>
        <v/>
      </c>
      <c r="AG137" t="str">
        <f>IFERROR(INDEX('DRAFT 1'!$AB:$AB,MATCH($B137,'DRAFT 1'!$B:$B,0)),"")</f>
        <v/>
      </c>
      <c r="AH137" t="str">
        <f>IFERROR(INDEX('DRAFT 1'!$AC:$AC,MATCH($B137,'DRAFT 1'!$B:$B,0)),"")</f>
        <v/>
      </c>
      <c r="AI137" t="str">
        <f>IFERROR(INDEX('DRAFT 1'!$AD:$AD,MATCH($B137,'DRAFT 1'!$B:$B,0)),"")</f>
        <v/>
      </c>
      <c r="AJ137" t="str">
        <f>IFERROR(INDEX('DRAFT 1'!$AE:$AE,MATCH($B137,'DRAFT 1'!$B:$B,0)),"")</f>
        <v/>
      </c>
      <c r="AK137" t="str">
        <f>IFERROR(INDEX('DRAFT 1'!$AG:$AG,MATCH($B137,'DRAFT 1'!$B:$B,0)),"")</f>
        <v/>
      </c>
      <c r="AL137" t="str">
        <f>IFERROR(INDEX('DRAFT 1'!$AH:$AH,MATCH($B137,'DRAFT 1'!$B:$B,0)),"")</f>
        <v/>
      </c>
      <c r="AM137" t="str">
        <f>IFERROR(INDEX('DRAFT 1'!$AI:$AI,MATCH($B137,'DRAFT 1'!$B:$B,0)),"")</f>
        <v/>
      </c>
      <c r="AN137" t="str">
        <f>IFERROR(INDEX('DRAFT 1'!$AJ:$AJ,MATCH($B137,'DRAFT 1'!$B:$B,0)),"")</f>
        <v/>
      </c>
      <c r="AO137">
        <f t="shared" si="56"/>
        <v>0</v>
      </c>
      <c r="AP137" t="str">
        <f>IFERROR(INDEX('DRAFT 1'!$AK:$AK,MATCH($B137,'DRAFT 1'!$B:$B,0)),"")</f>
        <v/>
      </c>
      <c r="AR137">
        <f>IFERROR(LOOKUP(2,1/('DRAFT 2'!$D:$D=$B137),'DRAFT 2'!$I:$I),"")</f>
        <v>0</v>
      </c>
      <c r="AS137">
        <f>IFERROR(LOOKUP(2,1/('DRAFT 2'!$D:$D=$B137),'DRAFT 2'!$T:$T),"")</f>
        <v>0</v>
      </c>
      <c r="AT137">
        <f>IFERROR(LOOKUP(2,1/('DRAFT 2'!$D:$D=$B137),'DRAFT 2'!$A:$A),"")</f>
        <v>0</v>
      </c>
      <c r="AU137">
        <f>IFERROR(LOOKUP(2,1/('DRAFT 2'!$D:$D=$B137),'DRAFT 2'!$R:$R),"")</f>
        <v>0</v>
      </c>
      <c r="AV137">
        <f>IFERROR(LOOKUP(2,1/('DRAFT 2'!$D:$D=$B137),'DRAFT 2'!$S:$S),"")</f>
        <v>0</v>
      </c>
      <c r="AX137">
        <f>IFERROR(LOOKUP(2,1/('DRAFT 2'!$D:$D=$B137),'DRAFT 2'!$M:$M),"")</f>
        <v>0</v>
      </c>
      <c r="AY137">
        <f>IFERROR(LOOKUP(2,1/('DRAFT 2'!$D:$D=$B137),'DRAFT 2'!$K:$K),"")</f>
        <v>0</v>
      </c>
      <c r="BG137">
        <f>IFERROR(LOOKUP(2,1/('DRAFT 2'!$D:$D=$B137),'DRAFT 2'!$U:$U),"")</f>
        <v>0</v>
      </c>
      <c r="BH137">
        <f>IFERROR(LOOKUP(2,1/('DRAFT 2'!$D:$D=$B137),'DRAFT 2'!$V:$V),"")</f>
        <v>0</v>
      </c>
      <c r="CE137" t="str">
        <f t="shared" si="57"/>
        <v/>
      </c>
      <c r="CF137">
        <f>IFERROR(LOOKUP(2,1/('DRAFT 2'!$D:$D=$B137)*('DRAFT 2'!$A:$A&gt;=DATE(2026,1,1))*('DRAFT 2'!$A:$A&lt;DATE(2026,IF(1=12,1+1,1+1),1)),'DRAFT 2'!$A:$A),"")</f>
        <v>0</v>
      </c>
      <c r="CG137">
        <f>COUNTIFS('DRAFT 2'!$D:$D,$B137,'DRAFT 2'!$A:$A,"&gt;="&amp;DATE(2026,1,1),'DRAFT 2'!$A:$A,"&lt;="&amp;DATE(2026,1,7))</f>
        <v>0</v>
      </c>
      <c r="CH137">
        <f>COUNTIFS('DRAFT 2'!$D:$D,$B137,'DRAFT 2'!$A:$A,"&gt;="&amp;DATE(2026,1,8),'DRAFT 2'!$A:$A,"&lt;="&amp;DATE(2026,1,14))</f>
        <v>0</v>
      </c>
      <c r="CI137">
        <f>COUNTIFS('DRAFT 2'!$D:$D,$B137,'DRAFT 2'!$A:$A,"&gt;="&amp;DATE(2026,1,15),'DRAFT 2'!$A:$A,"&lt;="&amp;DATE(2026,1,21))</f>
        <v>0</v>
      </c>
      <c r="CJ137">
        <f>COUNTIFS('DRAFT 2'!$D:$D,$B137,'DRAFT 2'!$A:$A,"&gt;="&amp;DATE(2026,1,22),'DRAFT 2'!$A:$A,"&lt;"&amp;DATE(2026,IF(1=12,1+1,1+1),1))</f>
        <v>0</v>
      </c>
      <c r="CK137">
        <f t="shared" si="58"/>
        <v>0</v>
      </c>
      <c r="CT137">
        <v>0</v>
      </c>
      <c r="CU137">
        <f>IFERROR(LOOKUP(2,1/('DRAFT 2'!$D:$D=$B137)*('DRAFT 2'!$A:$A&gt;=DATE(2026,2,1))*('DRAFT 2'!$A:$A&lt;DATE(2026,IF(2=12,2+1,2+1),1)),'DRAFT 2'!$A:$A),"")</f>
        <v>0</v>
      </c>
      <c r="CV137">
        <f>COUNTIFS('DRAFT 2'!$D:$D,$B137,'DRAFT 2'!$A:$A,"&gt;="&amp;DATE(2026,2,1),'DRAFT 2'!$A:$A,"&lt;="&amp;DATE(2026,2,7))</f>
        <v>0</v>
      </c>
      <c r="CW137">
        <f>COUNTIFS('DRAFT 2'!$D:$D,$B137,'DRAFT 2'!$A:$A,"&gt;="&amp;DATE(2026,2,8),'DRAFT 2'!$A:$A,"&lt;="&amp;DATE(2026,2,14))</f>
        <v>0</v>
      </c>
      <c r="CX137">
        <f>COUNTIFS('DRAFT 2'!$D:$D,$B137,'DRAFT 2'!$A:$A,"&gt;="&amp;DATE(2026,2,15),'DRAFT 2'!$A:$A,"&lt;="&amp;DATE(2026,2,21))</f>
        <v>0</v>
      </c>
      <c r="CY137">
        <f>COUNTIFS('DRAFT 2'!$D:$D,$B137,'DRAFT 2'!$A:$A,"&gt;="&amp;DATE(2026,2,22),'DRAFT 2'!$A:$A,"&lt;"&amp;DATE(2026,IF(2=12,2+1,2+1),1))</f>
        <v>0</v>
      </c>
      <c r="CZ137">
        <f t="shared" si="59"/>
        <v>0</v>
      </c>
      <c r="DJ137">
        <f>IFERROR(LOOKUP(2,1/('DRAFT 2'!$D:$D=$B137)*('DRAFT 2'!$A:$A&gt;=DATE(2026,3,1))*('DRAFT 2'!$A:$A&lt;DATE(2026,IF(3=12,3+1,3+1),1)),'DRAFT 2'!$A:$A),"")</f>
        <v>0</v>
      </c>
      <c r="DK137">
        <f>COUNTIFS('DRAFT 2'!$D:$D,$B137,'DRAFT 2'!$A:$A,"&gt;="&amp;DATE(2026,3,1),'DRAFT 2'!$A:$A,"&lt;="&amp;DATE(2026,3,7))</f>
        <v>0</v>
      </c>
      <c r="DL137">
        <f>COUNTIFS('DRAFT 2'!$D:$D,$B137,'DRAFT 2'!$A:$A,"&gt;="&amp;DATE(2026,3,8),'DRAFT 2'!$A:$A,"&lt;="&amp;DATE(2026,3,14))</f>
        <v>0</v>
      </c>
      <c r="DM137">
        <f>COUNTIFS('DRAFT 2'!$D:$D,$B137,'DRAFT 2'!$A:$A,"&gt;="&amp;DATE(2026,3,15),'DRAFT 2'!$A:$A,"&lt;="&amp;DATE(2026,3,21))</f>
        <v>0</v>
      </c>
      <c r="DN137">
        <f>COUNTIFS('DRAFT 2'!$D:$D,$B137,'DRAFT 2'!$A:$A,"&gt;="&amp;DATE(2026,3,22),'DRAFT 2'!$A:$A,"&lt;"&amp;DATE(2026,IF(3=12,3+1,3+1),1))</f>
        <v>0</v>
      </c>
      <c r="DO137">
        <f t="shared" si="60"/>
        <v>0</v>
      </c>
      <c r="DZ137">
        <f>IFERROR(LOOKUP(2,1/('DRAFT 2'!$D:$D=$B137)*('DRAFT 2'!$A:$A&gt;=DATE(2026,4,1))*('DRAFT 2'!$A:$A&lt;DATE(2026,IF(4=12,4+1,4+1),1)),'DRAFT 2'!$A:$A),"")</f>
        <v>0</v>
      </c>
      <c r="EA137">
        <f>COUNTIFS('DRAFT 2'!$D:$D,$B137,'DRAFT 2'!$A:$A,"&gt;="&amp;DATE(2026,4,1),'DRAFT 2'!$A:$A,"&lt;="&amp;DATE(2026,4,7))</f>
        <v>0</v>
      </c>
      <c r="EB137">
        <f>COUNTIFS('DRAFT 2'!$D:$D,$B137,'DRAFT 2'!$A:$A,"&gt;="&amp;DATE(2026,4,8),'DRAFT 2'!$A:$A,"&lt;="&amp;DATE(2026,4,14))</f>
        <v>0</v>
      </c>
      <c r="EC137">
        <f>COUNTIFS('DRAFT 2'!$D:$D,$B137,'DRAFT 2'!$A:$A,"&gt;="&amp;DATE(2026,4,15),'DRAFT 2'!$A:$A,"&lt;="&amp;DATE(2026,4,21))</f>
        <v>0</v>
      </c>
      <c r="ED137">
        <f>COUNTIFS('DRAFT 2'!$D:$D,$B137,'DRAFT 2'!$A:$A,"&gt;="&amp;DATE(2026,4,22),'DRAFT 2'!$A:$A,"&lt;"&amp;DATE(2026,IF(4=12,4+1,4+1),1))</f>
        <v>0</v>
      </c>
      <c r="EE137">
        <f t="shared" si="61"/>
        <v>0</v>
      </c>
      <c r="EO137">
        <f>IFERROR(LOOKUP(2,1/('DRAFT 2'!$D:$D=$B137)*('DRAFT 2'!$A:$A&gt;=DATE(2026,5,1))*('DRAFT 2'!$A:$A&lt;DATE(2026,IF(5=12,5+1,5+1),1)),'DRAFT 2'!$A:$A),"")</f>
        <v>0</v>
      </c>
      <c r="EP137">
        <f>COUNTIFS('DRAFT 2'!$D:$D,$B137,'DRAFT 2'!$A:$A,"&gt;="&amp;DATE(2026,5,1),'DRAFT 2'!$A:$A,"&lt;="&amp;DATE(2026,5,7))</f>
        <v>0</v>
      </c>
      <c r="EQ137">
        <f>COUNTIFS('DRAFT 2'!$D:$D,$B137,'DRAFT 2'!$A:$A,"&gt;="&amp;DATE(2026,5,8),'DRAFT 2'!$A:$A,"&lt;="&amp;DATE(2026,5,14))</f>
        <v>0</v>
      </c>
      <c r="ER137">
        <f>COUNTIFS('DRAFT 2'!$D:$D,$B137,'DRAFT 2'!$A:$A,"&gt;="&amp;DATE(2026,5,15),'DRAFT 2'!$A:$A,"&lt;="&amp;DATE(2026,5,21))</f>
        <v>0</v>
      </c>
      <c r="ES137">
        <f>COUNTIFS('DRAFT 2'!$D:$D,$B137,'DRAFT 2'!$A:$A,"&gt;="&amp;DATE(2026,5,22),'DRAFT 2'!$A:$A,"&lt;"&amp;DATE(2026,IF(5=12,5+1,5+1),1))</f>
        <v>0</v>
      </c>
      <c r="ET137">
        <f t="shared" si="62"/>
        <v>0</v>
      </c>
      <c r="FD137">
        <f>IFERROR(LOOKUP(2,1/('DRAFT 2'!$D:$D=$B137)*('DRAFT 2'!$A:$A&gt;=DATE(2026,6,1))*('DRAFT 2'!$A:$A&lt;DATE(2026,IF(6=12,6+1,6+1),1)),'DRAFT 2'!$A:$A),"")</f>
        <v>0</v>
      </c>
      <c r="FE137">
        <f>COUNTIFS('DRAFT 2'!$D:$D,$B137,'DRAFT 2'!$A:$A,"&gt;="&amp;DATE(2026,6,1),'DRAFT 2'!$A:$A,"&lt;="&amp;DATE(2026,6,7))</f>
        <v>0</v>
      </c>
      <c r="FF137">
        <f>COUNTIFS('DRAFT 2'!$D:$D,$B137,'DRAFT 2'!$A:$A,"&gt;="&amp;DATE(2026,6,8),'DRAFT 2'!$A:$A,"&lt;="&amp;DATE(2026,6,14))</f>
        <v>0</v>
      </c>
      <c r="FG137">
        <f>COUNTIFS('DRAFT 2'!$D:$D,$B137,'DRAFT 2'!$A:$A,"&gt;="&amp;DATE(2026,6,15),'DRAFT 2'!$A:$A,"&lt;="&amp;DATE(2026,6,21))</f>
        <v>0</v>
      </c>
      <c r="FH137">
        <f>COUNTIFS('DRAFT 2'!$D:$D,$B137,'DRAFT 2'!$A:$A,"&gt;="&amp;DATE(2026,6,22),'DRAFT 2'!$A:$A,"&lt;"&amp;DATE(2026,IF(6=12,6+1,6+1),1))</f>
        <v>0</v>
      </c>
      <c r="FI137">
        <f t="shared" si="63"/>
        <v>0</v>
      </c>
      <c r="FT137">
        <f>IFERROR(LOOKUP(2,1/('DRAFT 2'!$D:$D=$B137)*('DRAFT 2'!$A:$A&gt;=DATE(2026,7,1))*('DRAFT 2'!$A:$A&lt;DATE(2026,IF(7=12,7+1,7+1),1)),'DRAFT 2'!$A:$A),"")</f>
        <v>0</v>
      </c>
      <c r="FU137">
        <f>COUNTIFS('DRAFT 2'!$D:$D,$B137,'DRAFT 2'!$A:$A,"&gt;="&amp;DATE(2026,7,1),'DRAFT 2'!$A:$A,"&lt;="&amp;DATE(2026,7,7))</f>
        <v>0</v>
      </c>
      <c r="FV137">
        <f>COUNTIFS('DRAFT 2'!$D:$D,$B137,'DRAFT 2'!$A:$A,"&gt;="&amp;DATE(2026,7,8),'DRAFT 2'!$A:$A,"&lt;="&amp;DATE(2026,7,14))</f>
        <v>0</v>
      </c>
      <c r="FW137">
        <f>COUNTIFS('DRAFT 2'!$D:$D,$B137,'DRAFT 2'!$A:$A,"&gt;="&amp;DATE(2026,7,15),'DRAFT 2'!$A:$A,"&lt;="&amp;DATE(2026,7,21))</f>
        <v>0</v>
      </c>
      <c r="FX137">
        <f>COUNTIFS('DRAFT 2'!$D:$D,$B137,'DRAFT 2'!$A:$A,"&gt;="&amp;DATE(2026,7,22),'DRAFT 2'!$A:$A,"&lt;"&amp;DATE(2026,IF(7=12,7+1,7+1),1))</f>
        <v>0</v>
      </c>
      <c r="FY137">
        <f t="shared" si="64"/>
        <v>0</v>
      </c>
      <c r="GI137">
        <f>IFERROR(LOOKUP(2,1/('DRAFT 2'!$D:$D=$B137)*('DRAFT 2'!$A:$A&gt;=DATE(2026,8,1))*('DRAFT 2'!$A:$A&lt;DATE(2026,IF(8=12,8+1,8+1),1)),'DRAFT 2'!$A:$A),"")</f>
        <v>0</v>
      </c>
      <c r="GJ137">
        <f>COUNTIFS('DRAFT 2'!$D:$D,$B137,'DRAFT 2'!$A:$A,"&gt;="&amp;DATE(2026,8,1),'DRAFT 2'!$A:$A,"&lt;="&amp;DATE(2026,8,7))</f>
        <v>0</v>
      </c>
      <c r="GK137">
        <f>COUNTIFS('DRAFT 2'!$D:$D,$B137,'DRAFT 2'!$A:$A,"&gt;="&amp;DATE(2026,8,8),'DRAFT 2'!$A:$A,"&lt;="&amp;DATE(2026,8,14))</f>
        <v>0</v>
      </c>
      <c r="GL137">
        <f>COUNTIFS('DRAFT 2'!$D:$D,$B137,'DRAFT 2'!$A:$A,"&gt;="&amp;DATE(2026,8,15),'DRAFT 2'!$A:$A,"&lt;="&amp;DATE(2026,8,21))</f>
        <v>0</v>
      </c>
      <c r="GM137">
        <f>COUNTIFS('DRAFT 2'!$D:$D,$B137,'DRAFT 2'!$A:$A,"&gt;="&amp;DATE(2026,8,22),'DRAFT 2'!$A:$A,"&lt;"&amp;DATE(2026,IF(8=12,8+1,8+1),1))</f>
        <v>0</v>
      </c>
      <c r="GN137">
        <f t="shared" si="65"/>
        <v>0</v>
      </c>
      <c r="GX137">
        <f>IFERROR(LOOKUP(2,1/('DRAFT 2'!$D:$D=$B137)*('DRAFT 2'!$A:$A&gt;=DATE(2026,9,1))*('DRAFT 2'!$A:$A&lt;DATE(2026,IF(9=12,9+1,9+1),1)),'DRAFT 2'!$A:$A),"")</f>
        <v>0</v>
      </c>
      <c r="GY137">
        <f>COUNTIFS('DRAFT 2'!$D:$D,$B137,'DRAFT 2'!$A:$A,"&gt;="&amp;DATE(2026,9,1),'DRAFT 2'!$A:$A,"&lt;="&amp;DATE(2026,9,7))</f>
        <v>0</v>
      </c>
      <c r="GZ137">
        <f>COUNTIFS('DRAFT 2'!$D:$D,$B137,'DRAFT 2'!$A:$A,"&gt;="&amp;DATE(2026,9,8),'DRAFT 2'!$A:$A,"&lt;="&amp;DATE(2026,9,14))</f>
        <v>0</v>
      </c>
      <c r="HA137">
        <f>COUNTIFS('DRAFT 2'!$D:$D,$B137,'DRAFT 2'!$A:$A,"&gt;="&amp;DATE(2026,9,15),'DRAFT 2'!$A:$A,"&lt;="&amp;DATE(2026,9,21))</f>
        <v>0</v>
      </c>
      <c r="HB137">
        <f>COUNTIFS('DRAFT 2'!$D:$D,$B137,'DRAFT 2'!$A:$A,"&gt;="&amp;DATE(2026,9,22),'DRAFT 2'!$A:$A,"&lt;"&amp;DATE(2026,IF(9=12,9+1,9+1),1))</f>
        <v>0</v>
      </c>
      <c r="HC137">
        <f t="shared" si="66"/>
        <v>0</v>
      </c>
      <c r="HN137">
        <f>IFERROR(LOOKUP(2,1/('DRAFT 2'!$D:$D=$B137)*('DRAFT 2'!$A:$A&gt;=DATE(2026,10,1))*('DRAFT 2'!$A:$A&lt;DATE(2026,IF(10=12,10+1,10+1),1)),'DRAFT 2'!$A:$A),"")</f>
        <v>0</v>
      </c>
      <c r="HO137">
        <f>COUNTIFS('DRAFT 2'!$D:$D,$B137,'DRAFT 2'!$A:$A,"&gt;="&amp;DATE(2026,10,1),'DRAFT 2'!$A:$A,"&lt;="&amp;DATE(2026,10,7))</f>
        <v>0</v>
      </c>
      <c r="HP137">
        <f>COUNTIFS('DRAFT 2'!$D:$D,$B137,'DRAFT 2'!$A:$A,"&gt;="&amp;DATE(2026,10,8),'DRAFT 2'!$A:$A,"&lt;="&amp;DATE(2026,10,14))</f>
        <v>0</v>
      </c>
      <c r="HQ137">
        <f>COUNTIFS('DRAFT 2'!$D:$D,$B137,'DRAFT 2'!$A:$A,"&gt;="&amp;DATE(2026,10,15),'DRAFT 2'!$A:$A,"&lt;="&amp;DATE(2026,10,21))</f>
        <v>0</v>
      </c>
      <c r="HR137">
        <f>COUNTIFS('DRAFT 2'!$D:$D,$B137,'DRAFT 2'!$A:$A,"&gt;="&amp;DATE(2026,10,22),'DRAFT 2'!$A:$A,"&lt;"&amp;DATE(2026,IF(10=12,10+1,10+1),1))</f>
        <v>0</v>
      </c>
      <c r="HS137">
        <f t="shared" si="67"/>
        <v>0</v>
      </c>
      <c r="IC137">
        <f>IFERROR(LOOKUP(2,1/('DRAFT 2'!$D:$D=$B137)*('DRAFT 2'!$A:$A&gt;=DATE(2026,11,1))*('DRAFT 2'!$A:$A&lt;DATE(2026,IF(11=12,11+1,11+1),1)),'DRAFT 2'!$A:$A),"")</f>
        <v>0</v>
      </c>
      <c r="ID137">
        <f>COUNTIFS('DRAFT 2'!$D:$D,$B137,'DRAFT 2'!$A:$A,"&gt;="&amp;DATE(2026,11,1),'DRAFT 2'!$A:$A,"&lt;="&amp;DATE(2026,11,7))</f>
        <v>0</v>
      </c>
      <c r="IE137">
        <f>COUNTIFS('DRAFT 2'!$D:$D,$B137,'DRAFT 2'!$A:$A,"&gt;="&amp;DATE(2026,11,8),'DRAFT 2'!$A:$A,"&lt;="&amp;DATE(2026,11,14))</f>
        <v>0</v>
      </c>
      <c r="IF137">
        <f>COUNTIFS('DRAFT 2'!$D:$D,$B137,'DRAFT 2'!$A:$A,"&gt;="&amp;DATE(2026,11,15),'DRAFT 2'!$A:$A,"&lt;="&amp;DATE(2026,11,21))</f>
        <v>0</v>
      </c>
      <c r="IG137">
        <f>COUNTIFS('DRAFT 2'!$D:$D,$B137,'DRAFT 2'!$A:$A,"&gt;="&amp;DATE(2026,11,22),'DRAFT 2'!$A:$A,"&lt;"&amp;DATE(2026,IF(11=12,11+1,11+1),1))</f>
        <v>0</v>
      </c>
      <c r="IH137">
        <f t="shared" si="68"/>
        <v>0</v>
      </c>
      <c r="IR137">
        <f>IFERROR(LOOKUP(2,1/('DRAFT 2'!$D:$D=$B137)*('DRAFT 2'!$A:$A&gt;=DATE(2026,12,1))*('DRAFT 2'!$A:$A&lt;DATE(2026,IF(12=12,12+1,12+1),1)),'DRAFT 2'!$A:$A),"")</f>
        <v>0</v>
      </c>
      <c r="IS137">
        <f>COUNTIFS('DRAFT 2'!$D:$D,$B137,'DRAFT 2'!$A:$A,"&gt;="&amp;DATE(2026,12,1),'DRAFT 2'!$A:$A,"&lt;="&amp;DATE(2026,12,7))</f>
        <v>0</v>
      </c>
      <c r="IT137">
        <f>COUNTIFS('DRAFT 2'!$D:$D,$B137,'DRAFT 2'!$A:$A,"&gt;="&amp;DATE(2026,12,8),'DRAFT 2'!$A:$A,"&lt;="&amp;DATE(2026,12,14))</f>
        <v>0</v>
      </c>
      <c r="IU137">
        <f>COUNTIFS('DRAFT 2'!$D:$D,$B137,'DRAFT 2'!$A:$A,"&gt;="&amp;DATE(2026,12,15),'DRAFT 2'!$A:$A,"&lt;="&amp;DATE(2026,12,21))</f>
        <v>0</v>
      </c>
      <c r="IV137">
        <f>COUNTIFS('DRAFT 2'!$D:$D,$B137,'DRAFT 2'!$A:$A,"&gt;="&amp;DATE(2026,12,22),'DRAFT 2'!$A:$A,"&lt;"&amp;DATE(2026,IF(12=12,12+1,12+1),1))</f>
        <v>0</v>
      </c>
      <c r="IW137">
        <f t="shared" si="69"/>
        <v>0</v>
      </c>
    </row>
    <row r="138" spans="1:257" x14ac:dyDescent="0.3">
      <c r="A138" t="str">
        <f>IFERROR(INDEX('DRAFT 1'!$A:$A,MATCH($B138,'DRAFT 1'!$B:$B,0)),"")</f>
        <v/>
      </c>
      <c r="C138" t="str">
        <f>IFERROR(INDEX('DRAFT 1'!$C:$C,MATCH($B138,'DRAFT 1'!$B:$B,0)),"")</f>
        <v/>
      </c>
      <c r="D138" t="str">
        <f>IFERROR(INDEX('DRAFT 1'!$D:$D,MATCH($B138,'DRAFT 1'!$B:$B,0)),"")</f>
        <v/>
      </c>
      <c r="E138" t="str">
        <f>IFERROR(INDEX('DRAFT 1'!$E:$E,MATCH($B138,'DRAFT 1'!$B:$B,0)),"")</f>
        <v/>
      </c>
      <c r="F138" t="str">
        <f>IFERROR(INDEX('DRAFT 1'!$F:$F,MATCH($B138,'DRAFT 1'!$B:$B,0)),"")</f>
        <v/>
      </c>
      <c r="G138" t="str">
        <f>IFERROR(INDEX('DRAFT 1'!$G:$G,MATCH($B138,'DRAFT 1'!$B:$B,0)),"")</f>
        <v/>
      </c>
      <c r="H138" t="str">
        <f>IFERROR(INDEX('DRAFT 1'!$H:$H,MATCH($B138,'DRAFT 1'!$B:$B,0)),"")</f>
        <v/>
      </c>
      <c r="I138" t="str">
        <f>IFERROR(INDEX('DRAFT 1'!$I:$I,MATCH($B138,'DRAFT 1'!$B:$B,0)),"")</f>
        <v/>
      </c>
      <c r="K138" t="str">
        <f>IFERROR(INDEX('DRAFT 1'!$AL:$AL,MATCH($B138,'DRAFT 1'!$B:$B,0)),"")</f>
        <v/>
      </c>
      <c r="L138" t="str">
        <f>IFERROR(INDEX('DRAFT 1'!$J:$J,MATCH($B138,'DRAFT 1'!$B:$B,0)),"")</f>
        <v/>
      </c>
      <c r="M138" t="str">
        <f>IFERROR(INDEX('DRAFT 1'!$K:$K,MATCH($B138,'DRAFT 1'!$B:$B,0)),"")</f>
        <v/>
      </c>
      <c r="P138" t="str">
        <f>IFERROR(INDEX('DRAFT 1'!$L:$L,MATCH($B138,'DRAFT 1'!$B:$B,0)),"")</f>
        <v/>
      </c>
      <c r="Q138" t="str">
        <f>IFERROR(INDEX('DRAFT 1'!$M:$M,MATCH($B138,'DRAFT 1'!$B:$B,0)),"")</f>
        <v/>
      </c>
      <c r="R138" t="str">
        <f>IFERROR(INDEX('DRAFT 1'!$N:$N,MATCH($B138,'DRAFT 1'!$B:$B,0)),"")</f>
        <v/>
      </c>
      <c r="S138" t="str">
        <f>IFERROR(INDEX('DRAFT 1'!$O:$O,MATCH($B138,'DRAFT 1'!$B:$B,0)),"")</f>
        <v/>
      </c>
      <c r="T138" t="str">
        <f>IFERROR(INDEX('DRAFT 1'!$P:$P,MATCH($B138,'DRAFT 1'!$B:$B,0)),"")</f>
        <v/>
      </c>
      <c r="U138" t="str">
        <f>IFERROR(INDEX('DRAFT 1'!$Q:$Q,MATCH($B138,'DRAFT 1'!$B:$B,0)),"")</f>
        <v/>
      </c>
      <c r="V138" t="str">
        <f>IFERROR(INDEX('DRAFT 1'!$R:$R,MATCH($B138,'DRAFT 1'!$B:$B,0)),"")</f>
        <v/>
      </c>
      <c r="W138" t="str">
        <f>IFERROR(INDEX('DRAFT 1'!$S:$S,MATCH($B138,'DRAFT 1'!$B:$B,0)),"")</f>
        <v/>
      </c>
      <c r="X138" t="str">
        <f>IFERROR(INDEX('DRAFT 1'!$T:$T,MATCH($B138,'DRAFT 1'!$B:$B,0)),"")</f>
        <v/>
      </c>
      <c r="Z138" t="str">
        <f>IFERROR(INDEX('DRAFT 1'!$U:$U,MATCH($B138,'DRAFT 1'!$B:$B,0)),"")</f>
        <v/>
      </c>
      <c r="AA138" t="str">
        <f>IFERROR(INDEX('DRAFT 1'!$V:$V,MATCH($B138,'DRAFT 1'!$B:$B,0)),"")</f>
        <v/>
      </c>
      <c r="AB138" t="str">
        <f>IFERROR(INDEX('DRAFT 1'!$W:$W,MATCH($B138,'DRAFT 1'!$B:$B,0)),"")</f>
        <v/>
      </c>
      <c r="AC138" t="str">
        <f>IFERROR(INDEX('DRAFT 1'!$X:$X,MATCH($B138,'DRAFT 1'!$B:$B,0)),"")</f>
        <v/>
      </c>
      <c r="AD138" t="str">
        <f>IFERROR(INDEX('DRAFT 1'!$Y:$Y,MATCH($B138,'DRAFT 1'!$B:$B,0)),"")</f>
        <v/>
      </c>
      <c r="AE138" t="str">
        <f>IFERROR(INDEX('DRAFT 1'!$Z:$Z,MATCH($B138,'DRAFT 1'!$B:$B,0)),"")</f>
        <v/>
      </c>
      <c r="AF138" t="str">
        <f>IFERROR(INDEX('DRAFT 1'!$AA:$AA,MATCH($B138,'DRAFT 1'!$B:$B,0)),"")</f>
        <v/>
      </c>
      <c r="AG138" t="str">
        <f>IFERROR(INDEX('DRAFT 1'!$AB:$AB,MATCH($B138,'DRAFT 1'!$B:$B,0)),"")</f>
        <v/>
      </c>
      <c r="AH138" t="str">
        <f>IFERROR(INDEX('DRAFT 1'!$AC:$AC,MATCH($B138,'DRAFT 1'!$B:$B,0)),"")</f>
        <v/>
      </c>
      <c r="AI138" t="str">
        <f>IFERROR(INDEX('DRAFT 1'!$AD:$AD,MATCH($B138,'DRAFT 1'!$B:$B,0)),"")</f>
        <v/>
      </c>
      <c r="AJ138" t="str">
        <f>IFERROR(INDEX('DRAFT 1'!$AE:$AE,MATCH($B138,'DRAFT 1'!$B:$B,0)),"")</f>
        <v/>
      </c>
      <c r="AK138" t="str">
        <f>IFERROR(INDEX('DRAFT 1'!$AG:$AG,MATCH($B138,'DRAFT 1'!$B:$B,0)),"")</f>
        <v/>
      </c>
      <c r="AL138" t="str">
        <f>IFERROR(INDEX('DRAFT 1'!$AH:$AH,MATCH($B138,'DRAFT 1'!$B:$B,0)),"")</f>
        <v/>
      </c>
      <c r="AM138" t="str">
        <f>IFERROR(INDEX('DRAFT 1'!$AI:$AI,MATCH($B138,'DRAFT 1'!$B:$B,0)),"")</f>
        <v/>
      </c>
      <c r="AN138" t="str">
        <f>IFERROR(INDEX('DRAFT 1'!$AJ:$AJ,MATCH($B138,'DRAFT 1'!$B:$B,0)),"")</f>
        <v/>
      </c>
      <c r="AO138">
        <f t="shared" si="56"/>
        <v>0</v>
      </c>
      <c r="AP138" t="str">
        <f>IFERROR(INDEX('DRAFT 1'!$AK:$AK,MATCH($B138,'DRAFT 1'!$B:$B,0)),"")</f>
        <v/>
      </c>
      <c r="AR138">
        <f>IFERROR(LOOKUP(2,1/('DRAFT 2'!$D:$D=$B138),'DRAFT 2'!$I:$I),"")</f>
        <v>0</v>
      </c>
      <c r="AS138">
        <f>IFERROR(LOOKUP(2,1/('DRAFT 2'!$D:$D=$B138),'DRAFT 2'!$T:$T),"")</f>
        <v>0</v>
      </c>
      <c r="AT138">
        <f>IFERROR(LOOKUP(2,1/('DRAFT 2'!$D:$D=$B138),'DRAFT 2'!$A:$A),"")</f>
        <v>0</v>
      </c>
      <c r="AU138">
        <f>IFERROR(LOOKUP(2,1/('DRAFT 2'!$D:$D=$B138),'DRAFT 2'!$R:$R),"")</f>
        <v>0</v>
      </c>
      <c r="AV138">
        <f>IFERROR(LOOKUP(2,1/('DRAFT 2'!$D:$D=$B138),'DRAFT 2'!$S:$S),"")</f>
        <v>0</v>
      </c>
      <c r="AX138">
        <f>IFERROR(LOOKUP(2,1/('DRAFT 2'!$D:$D=$B138),'DRAFT 2'!$M:$M),"")</f>
        <v>0</v>
      </c>
      <c r="AY138">
        <f>IFERROR(LOOKUP(2,1/('DRAFT 2'!$D:$D=$B138),'DRAFT 2'!$K:$K),"")</f>
        <v>0</v>
      </c>
      <c r="BG138">
        <f>IFERROR(LOOKUP(2,1/('DRAFT 2'!$D:$D=$B138),'DRAFT 2'!$U:$U),"")</f>
        <v>0</v>
      </c>
      <c r="BH138">
        <f>IFERROR(LOOKUP(2,1/('DRAFT 2'!$D:$D=$B138),'DRAFT 2'!$V:$V),"")</f>
        <v>0</v>
      </c>
      <c r="CE138" t="str">
        <f t="shared" si="57"/>
        <v/>
      </c>
      <c r="CF138">
        <f>IFERROR(LOOKUP(2,1/('DRAFT 2'!$D:$D=$B138)*('DRAFT 2'!$A:$A&gt;=DATE(2026,1,1))*('DRAFT 2'!$A:$A&lt;DATE(2026,IF(1=12,1+1,1+1),1)),'DRAFT 2'!$A:$A),"")</f>
        <v>0</v>
      </c>
      <c r="CG138">
        <f>COUNTIFS('DRAFT 2'!$D:$D,$B138,'DRAFT 2'!$A:$A,"&gt;="&amp;DATE(2026,1,1),'DRAFT 2'!$A:$A,"&lt;="&amp;DATE(2026,1,7))</f>
        <v>0</v>
      </c>
      <c r="CH138">
        <f>COUNTIFS('DRAFT 2'!$D:$D,$B138,'DRAFT 2'!$A:$A,"&gt;="&amp;DATE(2026,1,8),'DRAFT 2'!$A:$A,"&lt;="&amp;DATE(2026,1,14))</f>
        <v>0</v>
      </c>
      <c r="CI138">
        <f>COUNTIFS('DRAFT 2'!$D:$D,$B138,'DRAFT 2'!$A:$A,"&gt;="&amp;DATE(2026,1,15),'DRAFT 2'!$A:$A,"&lt;="&amp;DATE(2026,1,21))</f>
        <v>0</v>
      </c>
      <c r="CJ138">
        <f>COUNTIFS('DRAFT 2'!$D:$D,$B138,'DRAFT 2'!$A:$A,"&gt;="&amp;DATE(2026,1,22),'DRAFT 2'!$A:$A,"&lt;"&amp;DATE(2026,IF(1=12,1+1,1+1),1))</f>
        <v>0</v>
      </c>
      <c r="CK138">
        <f t="shared" si="58"/>
        <v>0</v>
      </c>
      <c r="CT138">
        <v>0</v>
      </c>
      <c r="CU138">
        <f>IFERROR(LOOKUP(2,1/('DRAFT 2'!$D:$D=$B138)*('DRAFT 2'!$A:$A&gt;=DATE(2026,2,1))*('DRAFT 2'!$A:$A&lt;DATE(2026,IF(2=12,2+1,2+1),1)),'DRAFT 2'!$A:$A),"")</f>
        <v>0</v>
      </c>
      <c r="CV138">
        <f>COUNTIFS('DRAFT 2'!$D:$D,$B138,'DRAFT 2'!$A:$A,"&gt;="&amp;DATE(2026,2,1),'DRAFT 2'!$A:$A,"&lt;="&amp;DATE(2026,2,7))</f>
        <v>0</v>
      </c>
      <c r="CW138">
        <f>COUNTIFS('DRAFT 2'!$D:$D,$B138,'DRAFT 2'!$A:$A,"&gt;="&amp;DATE(2026,2,8),'DRAFT 2'!$A:$A,"&lt;="&amp;DATE(2026,2,14))</f>
        <v>0</v>
      </c>
      <c r="CX138">
        <f>COUNTIFS('DRAFT 2'!$D:$D,$B138,'DRAFT 2'!$A:$A,"&gt;="&amp;DATE(2026,2,15),'DRAFT 2'!$A:$A,"&lt;="&amp;DATE(2026,2,21))</f>
        <v>0</v>
      </c>
      <c r="CY138">
        <f>COUNTIFS('DRAFT 2'!$D:$D,$B138,'DRAFT 2'!$A:$A,"&gt;="&amp;DATE(2026,2,22),'DRAFT 2'!$A:$A,"&lt;"&amp;DATE(2026,IF(2=12,2+1,2+1),1))</f>
        <v>0</v>
      </c>
      <c r="CZ138">
        <f t="shared" si="59"/>
        <v>0</v>
      </c>
      <c r="DJ138">
        <f>IFERROR(LOOKUP(2,1/('DRAFT 2'!$D:$D=$B138)*('DRAFT 2'!$A:$A&gt;=DATE(2026,3,1))*('DRAFT 2'!$A:$A&lt;DATE(2026,IF(3=12,3+1,3+1),1)),'DRAFT 2'!$A:$A),"")</f>
        <v>0</v>
      </c>
      <c r="DK138">
        <f>COUNTIFS('DRAFT 2'!$D:$D,$B138,'DRAFT 2'!$A:$A,"&gt;="&amp;DATE(2026,3,1),'DRAFT 2'!$A:$A,"&lt;="&amp;DATE(2026,3,7))</f>
        <v>0</v>
      </c>
      <c r="DL138">
        <f>COUNTIFS('DRAFT 2'!$D:$D,$B138,'DRAFT 2'!$A:$A,"&gt;="&amp;DATE(2026,3,8),'DRAFT 2'!$A:$A,"&lt;="&amp;DATE(2026,3,14))</f>
        <v>0</v>
      </c>
      <c r="DM138">
        <f>COUNTIFS('DRAFT 2'!$D:$D,$B138,'DRAFT 2'!$A:$A,"&gt;="&amp;DATE(2026,3,15),'DRAFT 2'!$A:$A,"&lt;="&amp;DATE(2026,3,21))</f>
        <v>0</v>
      </c>
      <c r="DN138">
        <f>COUNTIFS('DRAFT 2'!$D:$D,$B138,'DRAFT 2'!$A:$A,"&gt;="&amp;DATE(2026,3,22),'DRAFT 2'!$A:$A,"&lt;"&amp;DATE(2026,IF(3=12,3+1,3+1),1))</f>
        <v>0</v>
      </c>
      <c r="DO138">
        <f t="shared" si="60"/>
        <v>0</v>
      </c>
      <c r="DZ138">
        <f>IFERROR(LOOKUP(2,1/('DRAFT 2'!$D:$D=$B138)*('DRAFT 2'!$A:$A&gt;=DATE(2026,4,1))*('DRAFT 2'!$A:$A&lt;DATE(2026,IF(4=12,4+1,4+1),1)),'DRAFT 2'!$A:$A),"")</f>
        <v>0</v>
      </c>
      <c r="EA138">
        <f>COUNTIFS('DRAFT 2'!$D:$D,$B138,'DRAFT 2'!$A:$A,"&gt;="&amp;DATE(2026,4,1),'DRAFT 2'!$A:$A,"&lt;="&amp;DATE(2026,4,7))</f>
        <v>0</v>
      </c>
      <c r="EB138">
        <f>COUNTIFS('DRAFT 2'!$D:$D,$B138,'DRAFT 2'!$A:$A,"&gt;="&amp;DATE(2026,4,8),'DRAFT 2'!$A:$A,"&lt;="&amp;DATE(2026,4,14))</f>
        <v>0</v>
      </c>
      <c r="EC138">
        <f>COUNTIFS('DRAFT 2'!$D:$D,$B138,'DRAFT 2'!$A:$A,"&gt;="&amp;DATE(2026,4,15),'DRAFT 2'!$A:$A,"&lt;="&amp;DATE(2026,4,21))</f>
        <v>0</v>
      </c>
      <c r="ED138">
        <f>COUNTIFS('DRAFT 2'!$D:$D,$B138,'DRAFT 2'!$A:$A,"&gt;="&amp;DATE(2026,4,22),'DRAFT 2'!$A:$A,"&lt;"&amp;DATE(2026,IF(4=12,4+1,4+1),1))</f>
        <v>0</v>
      </c>
      <c r="EE138">
        <f t="shared" si="61"/>
        <v>0</v>
      </c>
      <c r="EO138">
        <f>IFERROR(LOOKUP(2,1/('DRAFT 2'!$D:$D=$B138)*('DRAFT 2'!$A:$A&gt;=DATE(2026,5,1))*('DRAFT 2'!$A:$A&lt;DATE(2026,IF(5=12,5+1,5+1),1)),'DRAFT 2'!$A:$A),"")</f>
        <v>0</v>
      </c>
      <c r="EP138">
        <f>COUNTIFS('DRAFT 2'!$D:$D,$B138,'DRAFT 2'!$A:$A,"&gt;="&amp;DATE(2026,5,1),'DRAFT 2'!$A:$A,"&lt;="&amp;DATE(2026,5,7))</f>
        <v>0</v>
      </c>
      <c r="EQ138">
        <f>COUNTIFS('DRAFT 2'!$D:$D,$B138,'DRAFT 2'!$A:$A,"&gt;="&amp;DATE(2026,5,8),'DRAFT 2'!$A:$A,"&lt;="&amp;DATE(2026,5,14))</f>
        <v>0</v>
      </c>
      <c r="ER138">
        <f>COUNTIFS('DRAFT 2'!$D:$D,$B138,'DRAFT 2'!$A:$A,"&gt;="&amp;DATE(2026,5,15),'DRAFT 2'!$A:$A,"&lt;="&amp;DATE(2026,5,21))</f>
        <v>0</v>
      </c>
      <c r="ES138">
        <f>COUNTIFS('DRAFT 2'!$D:$D,$B138,'DRAFT 2'!$A:$A,"&gt;="&amp;DATE(2026,5,22),'DRAFT 2'!$A:$A,"&lt;"&amp;DATE(2026,IF(5=12,5+1,5+1),1))</f>
        <v>0</v>
      </c>
      <c r="ET138">
        <f t="shared" si="62"/>
        <v>0</v>
      </c>
      <c r="FD138">
        <f>IFERROR(LOOKUP(2,1/('DRAFT 2'!$D:$D=$B138)*('DRAFT 2'!$A:$A&gt;=DATE(2026,6,1))*('DRAFT 2'!$A:$A&lt;DATE(2026,IF(6=12,6+1,6+1),1)),'DRAFT 2'!$A:$A),"")</f>
        <v>0</v>
      </c>
      <c r="FE138">
        <f>COUNTIFS('DRAFT 2'!$D:$D,$B138,'DRAFT 2'!$A:$A,"&gt;="&amp;DATE(2026,6,1),'DRAFT 2'!$A:$A,"&lt;="&amp;DATE(2026,6,7))</f>
        <v>0</v>
      </c>
      <c r="FF138">
        <f>COUNTIFS('DRAFT 2'!$D:$D,$B138,'DRAFT 2'!$A:$A,"&gt;="&amp;DATE(2026,6,8),'DRAFT 2'!$A:$A,"&lt;="&amp;DATE(2026,6,14))</f>
        <v>0</v>
      </c>
      <c r="FG138">
        <f>COUNTIFS('DRAFT 2'!$D:$D,$B138,'DRAFT 2'!$A:$A,"&gt;="&amp;DATE(2026,6,15),'DRAFT 2'!$A:$A,"&lt;="&amp;DATE(2026,6,21))</f>
        <v>0</v>
      </c>
      <c r="FH138">
        <f>COUNTIFS('DRAFT 2'!$D:$D,$B138,'DRAFT 2'!$A:$A,"&gt;="&amp;DATE(2026,6,22),'DRAFT 2'!$A:$A,"&lt;"&amp;DATE(2026,IF(6=12,6+1,6+1),1))</f>
        <v>0</v>
      </c>
      <c r="FI138">
        <f t="shared" si="63"/>
        <v>0</v>
      </c>
      <c r="FT138">
        <f>IFERROR(LOOKUP(2,1/('DRAFT 2'!$D:$D=$B138)*('DRAFT 2'!$A:$A&gt;=DATE(2026,7,1))*('DRAFT 2'!$A:$A&lt;DATE(2026,IF(7=12,7+1,7+1),1)),'DRAFT 2'!$A:$A),"")</f>
        <v>0</v>
      </c>
      <c r="FU138">
        <f>COUNTIFS('DRAFT 2'!$D:$D,$B138,'DRAFT 2'!$A:$A,"&gt;="&amp;DATE(2026,7,1),'DRAFT 2'!$A:$A,"&lt;="&amp;DATE(2026,7,7))</f>
        <v>0</v>
      </c>
      <c r="FV138">
        <f>COUNTIFS('DRAFT 2'!$D:$D,$B138,'DRAFT 2'!$A:$A,"&gt;="&amp;DATE(2026,7,8),'DRAFT 2'!$A:$A,"&lt;="&amp;DATE(2026,7,14))</f>
        <v>0</v>
      </c>
      <c r="FW138">
        <f>COUNTIFS('DRAFT 2'!$D:$D,$B138,'DRAFT 2'!$A:$A,"&gt;="&amp;DATE(2026,7,15),'DRAFT 2'!$A:$A,"&lt;="&amp;DATE(2026,7,21))</f>
        <v>0</v>
      </c>
      <c r="FX138">
        <f>COUNTIFS('DRAFT 2'!$D:$D,$B138,'DRAFT 2'!$A:$A,"&gt;="&amp;DATE(2026,7,22),'DRAFT 2'!$A:$A,"&lt;"&amp;DATE(2026,IF(7=12,7+1,7+1),1))</f>
        <v>0</v>
      </c>
      <c r="FY138">
        <f t="shared" si="64"/>
        <v>0</v>
      </c>
      <c r="GI138">
        <f>IFERROR(LOOKUP(2,1/('DRAFT 2'!$D:$D=$B138)*('DRAFT 2'!$A:$A&gt;=DATE(2026,8,1))*('DRAFT 2'!$A:$A&lt;DATE(2026,IF(8=12,8+1,8+1),1)),'DRAFT 2'!$A:$A),"")</f>
        <v>0</v>
      </c>
      <c r="GJ138">
        <f>COUNTIFS('DRAFT 2'!$D:$D,$B138,'DRAFT 2'!$A:$A,"&gt;="&amp;DATE(2026,8,1),'DRAFT 2'!$A:$A,"&lt;="&amp;DATE(2026,8,7))</f>
        <v>0</v>
      </c>
      <c r="GK138">
        <f>COUNTIFS('DRAFT 2'!$D:$D,$B138,'DRAFT 2'!$A:$A,"&gt;="&amp;DATE(2026,8,8),'DRAFT 2'!$A:$A,"&lt;="&amp;DATE(2026,8,14))</f>
        <v>0</v>
      </c>
      <c r="GL138">
        <f>COUNTIFS('DRAFT 2'!$D:$D,$B138,'DRAFT 2'!$A:$A,"&gt;="&amp;DATE(2026,8,15),'DRAFT 2'!$A:$A,"&lt;="&amp;DATE(2026,8,21))</f>
        <v>0</v>
      </c>
      <c r="GM138">
        <f>COUNTIFS('DRAFT 2'!$D:$D,$B138,'DRAFT 2'!$A:$A,"&gt;="&amp;DATE(2026,8,22),'DRAFT 2'!$A:$A,"&lt;"&amp;DATE(2026,IF(8=12,8+1,8+1),1))</f>
        <v>0</v>
      </c>
      <c r="GN138">
        <f t="shared" si="65"/>
        <v>0</v>
      </c>
      <c r="GX138">
        <f>IFERROR(LOOKUP(2,1/('DRAFT 2'!$D:$D=$B138)*('DRAFT 2'!$A:$A&gt;=DATE(2026,9,1))*('DRAFT 2'!$A:$A&lt;DATE(2026,IF(9=12,9+1,9+1),1)),'DRAFT 2'!$A:$A),"")</f>
        <v>0</v>
      </c>
      <c r="GY138">
        <f>COUNTIFS('DRAFT 2'!$D:$D,$B138,'DRAFT 2'!$A:$A,"&gt;="&amp;DATE(2026,9,1),'DRAFT 2'!$A:$A,"&lt;="&amp;DATE(2026,9,7))</f>
        <v>0</v>
      </c>
      <c r="GZ138">
        <f>COUNTIFS('DRAFT 2'!$D:$D,$B138,'DRAFT 2'!$A:$A,"&gt;="&amp;DATE(2026,9,8),'DRAFT 2'!$A:$A,"&lt;="&amp;DATE(2026,9,14))</f>
        <v>0</v>
      </c>
      <c r="HA138">
        <f>COUNTIFS('DRAFT 2'!$D:$D,$B138,'DRAFT 2'!$A:$A,"&gt;="&amp;DATE(2026,9,15),'DRAFT 2'!$A:$A,"&lt;="&amp;DATE(2026,9,21))</f>
        <v>0</v>
      </c>
      <c r="HB138">
        <f>COUNTIFS('DRAFT 2'!$D:$D,$B138,'DRAFT 2'!$A:$A,"&gt;="&amp;DATE(2026,9,22),'DRAFT 2'!$A:$A,"&lt;"&amp;DATE(2026,IF(9=12,9+1,9+1),1))</f>
        <v>0</v>
      </c>
      <c r="HC138">
        <f t="shared" si="66"/>
        <v>0</v>
      </c>
      <c r="HN138">
        <f>IFERROR(LOOKUP(2,1/('DRAFT 2'!$D:$D=$B138)*('DRAFT 2'!$A:$A&gt;=DATE(2026,10,1))*('DRAFT 2'!$A:$A&lt;DATE(2026,IF(10=12,10+1,10+1),1)),'DRAFT 2'!$A:$A),"")</f>
        <v>0</v>
      </c>
      <c r="HO138">
        <f>COUNTIFS('DRAFT 2'!$D:$D,$B138,'DRAFT 2'!$A:$A,"&gt;="&amp;DATE(2026,10,1),'DRAFT 2'!$A:$A,"&lt;="&amp;DATE(2026,10,7))</f>
        <v>0</v>
      </c>
      <c r="HP138">
        <f>COUNTIFS('DRAFT 2'!$D:$D,$B138,'DRAFT 2'!$A:$A,"&gt;="&amp;DATE(2026,10,8),'DRAFT 2'!$A:$A,"&lt;="&amp;DATE(2026,10,14))</f>
        <v>0</v>
      </c>
      <c r="HQ138">
        <f>COUNTIFS('DRAFT 2'!$D:$D,$B138,'DRAFT 2'!$A:$A,"&gt;="&amp;DATE(2026,10,15),'DRAFT 2'!$A:$A,"&lt;="&amp;DATE(2026,10,21))</f>
        <v>0</v>
      </c>
      <c r="HR138">
        <f>COUNTIFS('DRAFT 2'!$D:$D,$B138,'DRAFT 2'!$A:$A,"&gt;="&amp;DATE(2026,10,22),'DRAFT 2'!$A:$A,"&lt;"&amp;DATE(2026,IF(10=12,10+1,10+1),1))</f>
        <v>0</v>
      </c>
      <c r="HS138">
        <f t="shared" si="67"/>
        <v>0</v>
      </c>
      <c r="IC138">
        <f>IFERROR(LOOKUP(2,1/('DRAFT 2'!$D:$D=$B138)*('DRAFT 2'!$A:$A&gt;=DATE(2026,11,1))*('DRAFT 2'!$A:$A&lt;DATE(2026,IF(11=12,11+1,11+1),1)),'DRAFT 2'!$A:$A),"")</f>
        <v>0</v>
      </c>
      <c r="ID138">
        <f>COUNTIFS('DRAFT 2'!$D:$D,$B138,'DRAFT 2'!$A:$A,"&gt;="&amp;DATE(2026,11,1),'DRAFT 2'!$A:$A,"&lt;="&amp;DATE(2026,11,7))</f>
        <v>0</v>
      </c>
      <c r="IE138">
        <f>COUNTIFS('DRAFT 2'!$D:$D,$B138,'DRAFT 2'!$A:$A,"&gt;="&amp;DATE(2026,11,8),'DRAFT 2'!$A:$A,"&lt;="&amp;DATE(2026,11,14))</f>
        <v>0</v>
      </c>
      <c r="IF138">
        <f>COUNTIFS('DRAFT 2'!$D:$D,$B138,'DRAFT 2'!$A:$A,"&gt;="&amp;DATE(2026,11,15),'DRAFT 2'!$A:$A,"&lt;="&amp;DATE(2026,11,21))</f>
        <v>0</v>
      </c>
      <c r="IG138">
        <f>COUNTIFS('DRAFT 2'!$D:$D,$B138,'DRAFT 2'!$A:$A,"&gt;="&amp;DATE(2026,11,22),'DRAFT 2'!$A:$A,"&lt;"&amp;DATE(2026,IF(11=12,11+1,11+1),1))</f>
        <v>0</v>
      </c>
      <c r="IH138">
        <f t="shared" si="68"/>
        <v>0</v>
      </c>
      <c r="IR138">
        <f>IFERROR(LOOKUP(2,1/('DRAFT 2'!$D:$D=$B138)*('DRAFT 2'!$A:$A&gt;=DATE(2026,12,1))*('DRAFT 2'!$A:$A&lt;DATE(2026,IF(12=12,12+1,12+1),1)),'DRAFT 2'!$A:$A),"")</f>
        <v>0</v>
      </c>
      <c r="IS138">
        <f>COUNTIFS('DRAFT 2'!$D:$D,$B138,'DRAFT 2'!$A:$A,"&gt;="&amp;DATE(2026,12,1),'DRAFT 2'!$A:$A,"&lt;="&amp;DATE(2026,12,7))</f>
        <v>0</v>
      </c>
      <c r="IT138">
        <f>COUNTIFS('DRAFT 2'!$D:$D,$B138,'DRAFT 2'!$A:$A,"&gt;="&amp;DATE(2026,12,8),'DRAFT 2'!$A:$A,"&lt;="&amp;DATE(2026,12,14))</f>
        <v>0</v>
      </c>
      <c r="IU138">
        <f>COUNTIFS('DRAFT 2'!$D:$D,$B138,'DRAFT 2'!$A:$A,"&gt;="&amp;DATE(2026,12,15),'DRAFT 2'!$A:$A,"&lt;="&amp;DATE(2026,12,21))</f>
        <v>0</v>
      </c>
      <c r="IV138">
        <f>COUNTIFS('DRAFT 2'!$D:$D,$B138,'DRAFT 2'!$A:$A,"&gt;="&amp;DATE(2026,12,22),'DRAFT 2'!$A:$A,"&lt;"&amp;DATE(2026,IF(12=12,12+1,12+1),1))</f>
        <v>0</v>
      </c>
      <c r="IW138">
        <f t="shared" si="69"/>
        <v>0</v>
      </c>
    </row>
    <row r="139" spans="1:257" x14ac:dyDescent="0.3">
      <c r="A139" t="str">
        <f>IFERROR(INDEX('DRAFT 1'!$A:$A,MATCH($B139,'DRAFT 1'!$B:$B,0)),"")</f>
        <v/>
      </c>
      <c r="C139" t="str">
        <f>IFERROR(INDEX('DRAFT 1'!$C:$C,MATCH($B139,'DRAFT 1'!$B:$B,0)),"")</f>
        <v/>
      </c>
      <c r="D139" t="str">
        <f>IFERROR(INDEX('DRAFT 1'!$D:$D,MATCH($B139,'DRAFT 1'!$B:$B,0)),"")</f>
        <v/>
      </c>
      <c r="E139" t="str">
        <f>IFERROR(INDEX('DRAFT 1'!$E:$E,MATCH($B139,'DRAFT 1'!$B:$B,0)),"")</f>
        <v/>
      </c>
      <c r="F139" t="str">
        <f>IFERROR(INDEX('DRAFT 1'!$F:$F,MATCH($B139,'DRAFT 1'!$B:$B,0)),"")</f>
        <v/>
      </c>
      <c r="G139" t="str">
        <f>IFERROR(INDEX('DRAFT 1'!$G:$G,MATCH($B139,'DRAFT 1'!$B:$B,0)),"")</f>
        <v/>
      </c>
      <c r="H139" t="str">
        <f>IFERROR(INDEX('DRAFT 1'!$H:$H,MATCH($B139,'DRAFT 1'!$B:$B,0)),"")</f>
        <v/>
      </c>
      <c r="I139" t="str">
        <f>IFERROR(INDEX('DRAFT 1'!$I:$I,MATCH($B139,'DRAFT 1'!$B:$B,0)),"")</f>
        <v/>
      </c>
      <c r="K139" t="str">
        <f>IFERROR(INDEX('DRAFT 1'!$AL:$AL,MATCH($B139,'DRAFT 1'!$B:$B,0)),"")</f>
        <v/>
      </c>
      <c r="L139" t="str">
        <f>IFERROR(INDEX('DRAFT 1'!$J:$J,MATCH($B139,'DRAFT 1'!$B:$B,0)),"")</f>
        <v/>
      </c>
      <c r="M139" t="str">
        <f>IFERROR(INDEX('DRAFT 1'!$K:$K,MATCH($B139,'DRAFT 1'!$B:$B,0)),"")</f>
        <v/>
      </c>
      <c r="P139" t="str">
        <f>IFERROR(INDEX('DRAFT 1'!$L:$L,MATCH($B139,'DRAFT 1'!$B:$B,0)),"")</f>
        <v/>
      </c>
      <c r="Q139" t="str">
        <f>IFERROR(INDEX('DRAFT 1'!$M:$M,MATCH($B139,'DRAFT 1'!$B:$B,0)),"")</f>
        <v/>
      </c>
      <c r="R139" t="str">
        <f>IFERROR(INDEX('DRAFT 1'!$N:$N,MATCH($B139,'DRAFT 1'!$B:$B,0)),"")</f>
        <v/>
      </c>
      <c r="S139" t="str">
        <f>IFERROR(INDEX('DRAFT 1'!$O:$O,MATCH($B139,'DRAFT 1'!$B:$B,0)),"")</f>
        <v/>
      </c>
      <c r="T139" t="str">
        <f>IFERROR(INDEX('DRAFT 1'!$P:$P,MATCH($B139,'DRAFT 1'!$B:$B,0)),"")</f>
        <v/>
      </c>
      <c r="U139" t="str">
        <f>IFERROR(INDEX('DRAFT 1'!$Q:$Q,MATCH($B139,'DRAFT 1'!$B:$B,0)),"")</f>
        <v/>
      </c>
      <c r="V139" t="str">
        <f>IFERROR(INDEX('DRAFT 1'!$R:$R,MATCH($B139,'DRAFT 1'!$B:$B,0)),"")</f>
        <v/>
      </c>
      <c r="W139" t="str">
        <f>IFERROR(INDEX('DRAFT 1'!$S:$S,MATCH($B139,'DRAFT 1'!$B:$B,0)),"")</f>
        <v/>
      </c>
      <c r="X139" t="str">
        <f>IFERROR(INDEX('DRAFT 1'!$T:$T,MATCH($B139,'DRAFT 1'!$B:$B,0)),"")</f>
        <v/>
      </c>
      <c r="Z139" t="str">
        <f>IFERROR(INDEX('DRAFT 1'!$U:$U,MATCH($B139,'DRAFT 1'!$B:$B,0)),"")</f>
        <v/>
      </c>
      <c r="AA139" t="str">
        <f>IFERROR(INDEX('DRAFT 1'!$V:$V,MATCH($B139,'DRAFT 1'!$B:$B,0)),"")</f>
        <v/>
      </c>
      <c r="AB139" t="str">
        <f>IFERROR(INDEX('DRAFT 1'!$W:$W,MATCH($B139,'DRAFT 1'!$B:$B,0)),"")</f>
        <v/>
      </c>
      <c r="AC139" t="str">
        <f>IFERROR(INDEX('DRAFT 1'!$X:$X,MATCH($B139,'DRAFT 1'!$B:$B,0)),"")</f>
        <v/>
      </c>
      <c r="AD139" t="str">
        <f>IFERROR(INDEX('DRAFT 1'!$Y:$Y,MATCH($B139,'DRAFT 1'!$B:$B,0)),"")</f>
        <v/>
      </c>
      <c r="AE139" t="str">
        <f>IFERROR(INDEX('DRAFT 1'!$Z:$Z,MATCH($B139,'DRAFT 1'!$B:$B,0)),"")</f>
        <v/>
      </c>
      <c r="AF139" t="str">
        <f>IFERROR(INDEX('DRAFT 1'!$AA:$AA,MATCH($B139,'DRAFT 1'!$B:$B,0)),"")</f>
        <v/>
      </c>
      <c r="AG139" t="str">
        <f>IFERROR(INDEX('DRAFT 1'!$AB:$AB,MATCH($B139,'DRAFT 1'!$B:$B,0)),"")</f>
        <v/>
      </c>
      <c r="AH139" t="str">
        <f>IFERROR(INDEX('DRAFT 1'!$AC:$AC,MATCH($B139,'DRAFT 1'!$B:$B,0)),"")</f>
        <v/>
      </c>
      <c r="AI139" t="str">
        <f>IFERROR(INDEX('DRAFT 1'!$AD:$AD,MATCH($B139,'DRAFT 1'!$B:$B,0)),"")</f>
        <v/>
      </c>
      <c r="AJ139" t="str">
        <f>IFERROR(INDEX('DRAFT 1'!$AE:$AE,MATCH($B139,'DRAFT 1'!$B:$B,0)),"")</f>
        <v/>
      </c>
      <c r="AK139" t="str">
        <f>IFERROR(INDEX('DRAFT 1'!$AG:$AG,MATCH($B139,'DRAFT 1'!$B:$B,0)),"")</f>
        <v/>
      </c>
      <c r="AL139" t="str">
        <f>IFERROR(INDEX('DRAFT 1'!$AH:$AH,MATCH($B139,'DRAFT 1'!$B:$B,0)),"")</f>
        <v/>
      </c>
      <c r="AM139" t="str">
        <f>IFERROR(INDEX('DRAFT 1'!$AI:$AI,MATCH($B139,'DRAFT 1'!$B:$B,0)),"")</f>
        <v/>
      </c>
      <c r="AN139" t="str">
        <f>IFERROR(INDEX('DRAFT 1'!$AJ:$AJ,MATCH($B139,'DRAFT 1'!$B:$B,0)),"")</f>
        <v/>
      </c>
      <c r="AO139">
        <f t="shared" si="56"/>
        <v>0</v>
      </c>
      <c r="AP139" t="str">
        <f>IFERROR(INDEX('DRAFT 1'!$AK:$AK,MATCH($B139,'DRAFT 1'!$B:$B,0)),"")</f>
        <v/>
      </c>
      <c r="AR139">
        <f>IFERROR(LOOKUP(2,1/('DRAFT 2'!$D:$D=$B139),'DRAFT 2'!$I:$I),"")</f>
        <v>0</v>
      </c>
      <c r="AS139">
        <f>IFERROR(LOOKUP(2,1/('DRAFT 2'!$D:$D=$B139),'DRAFT 2'!$T:$T),"")</f>
        <v>0</v>
      </c>
      <c r="AT139">
        <f>IFERROR(LOOKUP(2,1/('DRAFT 2'!$D:$D=$B139),'DRAFT 2'!$A:$A),"")</f>
        <v>0</v>
      </c>
      <c r="AU139">
        <f>IFERROR(LOOKUP(2,1/('DRAFT 2'!$D:$D=$B139),'DRAFT 2'!$R:$R),"")</f>
        <v>0</v>
      </c>
      <c r="AV139">
        <f>IFERROR(LOOKUP(2,1/('DRAFT 2'!$D:$D=$B139),'DRAFT 2'!$S:$S),"")</f>
        <v>0</v>
      </c>
      <c r="AX139">
        <f>IFERROR(LOOKUP(2,1/('DRAFT 2'!$D:$D=$B139),'DRAFT 2'!$M:$M),"")</f>
        <v>0</v>
      </c>
      <c r="AY139">
        <f>IFERROR(LOOKUP(2,1/('DRAFT 2'!$D:$D=$B139),'DRAFT 2'!$K:$K),"")</f>
        <v>0</v>
      </c>
      <c r="BG139">
        <f>IFERROR(LOOKUP(2,1/('DRAFT 2'!$D:$D=$B139),'DRAFT 2'!$U:$U),"")</f>
        <v>0</v>
      </c>
      <c r="BH139">
        <f>IFERROR(LOOKUP(2,1/('DRAFT 2'!$D:$D=$B139),'DRAFT 2'!$V:$V),"")</f>
        <v>0</v>
      </c>
      <c r="CE139" t="str">
        <f t="shared" si="57"/>
        <v/>
      </c>
      <c r="CF139">
        <f>IFERROR(LOOKUP(2,1/('DRAFT 2'!$D:$D=$B139)*('DRAFT 2'!$A:$A&gt;=DATE(2026,1,1))*('DRAFT 2'!$A:$A&lt;DATE(2026,IF(1=12,1+1,1+1),1)),'DRAFT 2'!$A:$A),"")</f>
        <v>0</v>
      </c>
      <c r="CG139">
        <f>COUNTIFS('DRAFT 2'!$D:$D,$B139,'DRAFT 2'!$A:$A,"&gt;="&amp;DATE(2026,1,1),'DRAFT 2'!$A:$A,"&lt;="&amp;DATE(2026,1,7))</f>
        <v>0</v>
      </c>
      <c r="CH139">
        <f>COUNTIFS('DRAFT 2'!$D:$D,$B139,'DRAFT 2'!$A:$A,"&gt;="&amp;DATE(2026,1,8),'DRAFT 2'!$A:$A,"&lt;="&amp;DATE(2026,1,14))</f>
        <v>0</v>
      </c>
      <c r="CI139">
        <f>COUNTIFS('DRAFT 2'!$D:$D,$B139,'DRAFT 2'!$A:$A,"&gt;="&amp;DATE(2026,1,15),'DRAFT 2'!$A:$A,"&lt;="&amp;DATE(2026,1,21))</f>
        <v>0</v>
      </c>
      <c r="CJ139">
        <f>COUNTIFS('DRAFT 2'!$D:$D,$B139,'DRAFT 2'!$A:$A,"&gt;="&amp;DATE(2026,1,22),'DRAFT 2'!$A:$A,"&lt;"&amp;DATE(2026,IF(1=12,1+1,1+1),1))</f>
        <v>0</v>
      </c>
      <c r="CK139">
        <f t="shared" si="58"/>
        <v>0</v>
      </c>
      <c r="CT139">
        <v>0</v>
      </c>
      <c r="CU139">
        <f>IFERROR(LOOKUP(2,1/('DRAFT 2'!$D:$D=$B139)*('DRAFT 2'!$A:$A&gt;=DATE(2026,2,1))*('DRAFT 2'!$A:$A&lt;DATE(2026,IF(2=12,2+1,2+1),1)),'DRAFT 2'!$A:$A),"")</f>
        <v>0</v>
      </c>
      <c r="CV139">
        <f>COUNTIFS('DRAFT 2'!$D:$D,$B139,'DRAFT 2'!$A:$A,"&gt;="&amp;DATE(2026,2,1),'DRAFT 2'!$A:$A,"&lt;="&amp;DATE(2026,2,7))</f>
        <v>0</v>
      </c>
      <c r="CW139">
        <f>COUNTIFS('DRAFT 2'!$D:$D,$B139,'DRAFT 2'!$A:$A,"&gt;="&amp;DATE(2026,2,8),'DRAFT 2'!$A:$A,"&lt;="&amp;DATE(2026,2,14))</f>
        <v>0</v>
      </c>
      <c r="CX139">
        <f>COUNTIFS('DRAFT 2'!$D:$D,$B139,'DRAFT 2'!$A:$A,"&gt;="&amp;DATE(2026,2,15),'DRAFT 2'!$A:$A,"&lt;="&amp;DATE(2026,2,21))</f>
        <v>0</v>
      </c>
      <c r="CY139">
        <f>COUNTIFS('DRAFT 2'!$D:$D,$B139,'DRAFT 2'!$A:$A,"&gt;="&amp;DATE(2026,2,22),'DRAFT 2'!$A:$A,"&lt;"&amp;DATE(2026,IF(2=12,2+1,2+1),1))</f>
        <v>0</v>
      </c>
      <c r="CZ139">
        <f t="shared" si="59"/>
        <v>0</v>
      </c>
      <c r="DJ139">
        <f>IFERROR(LOOKUP(2,1/('DRAFT 2'!$D:$D=$B139)*('DRAFT 2'!$A:$A&gt;=DATE(2026,3,1))*('DRAFT 2'!$A:$A&lt;DATE(2026,IF(3=12,3+1,3+1),1)),'DRAFT 2'!$A:$A),"")</f>
        <v>0</v>
      </c>
      <c r="DK139">
        <f>COUNTIFS('DRAFT 2'!$D:$D,$B139,'DRAFT 2'!$A:$A,"&gt;="&amp;DATE(2026,3,1),'DRAFT 2'!$A:$A,"&lt;="&amp;DATE(2026,3,7))</f>
        <v>0</v>
      </c>
      <c r="DL139">
        <f>COUNTIFS('DRAFT 2'!$D:$D,$B139,'DRAFT 2'!$A:$A,"&gt;="&amp;DATE(2026,3,8),'DRAFT 2'!$A:$A,"&lt;="&amp;DATE(2026,3,14))</f>
        <v>0</v>
      </c>
      <c r="DM139">
        <f>COUNTIFS('DRAFT 2'!$D:$D,$B139,'DRAFT 2'!$A:$A,"&gt;="&amp;DATE(2026,3,15),'DRAFT 2'!$A:$A,"&lt;="&amp;DATE(2026,3,21))</f>
        <v>0</v>
      </c>
      <c r="DN139">
        <f>COUNTIFS('DRAFT 2'!$D:$D,$B139,'DRAFT 2'!$A:$A,"&gt;="&amp;DATE(2026,3,22),'DRAFT 2'!$A:$A,"&lt;"&amp;DATE(2026,IF(3=12,3+1,3+1),1))</f>
        <v>0</v>
      </c>
      <c r="DO139">
        <f t="shared" si="60"/>
        <v>0</v>
      </c>
      <c r="DZ139">
        <f>IFERROR(LOOKUP(2,1/('DRAFT 2'!$D:$D=$B139)*('DRAFT 2'!$A:$A&gt;=DATE(2026,4,1))*('DRAFT 2'!$A:$A&lt;DATE(2026,IF(4=12,4+1,4+1),1)),'DRAFT 2'!$A:$A),"")</f>
        <v>0</v>
      </c>
      <c r="EA139">
        <f>COUNTIFS('DRAFT 2'!$D:$D,$B139,'DRAFT 2'!$A:$A,"&gt;="&amp;DATE(2026,4,1),'DRAFT 2'!$A:$A,"&lt;="&amp;DATE(2026,4,7))</f>
        <v>0</v>
      </c>
      <c r="EB139">
        <f>COUNTIFS('DRAFT 2'!$D:$D,$B139,'DRAFT 2'!$A:$A,"&gt;="&amp;DATE(2026,4,8),'DRAFT 2'!$A:$A,"&lt;="&amp;DATE(2026,4,14))</f>
        <v>0</v>
      </c>
      <c r="EC139">
        <f>COUNTIFS('DRAFT 2'!$D:$D,$B139,'DRAFT 2'!$A:$A,"&gt;="&amp;DATE(2026,4,15),'DRAFT 2'!$A:$A,"&lt;="&amp;DATE(2026,4,21))</f>
        <v>0</v>
      </c>
      <c r="ED139">
        <f>COUNTIFS('DRAFT 2'!$D:$D,$B139,'DRAFT 2'!$A:$A,"&gt;="&amp;DATE(2026,4,22),'DRAFT 2'!$A:$A,"&lt;"&amp;DATE(2026,IF(4=12,4+1,4+1),1))</f>
        <v>0</v>
      </c>
      <c r="EE139">
        <f t="shared" si="61"/>
        <v>0</v>
      </c>
      <c r="EO139">
        <f>IFERROR(LOOKUP(2,1/('DRAFT 2'!$D:$D=$B139)*('DRAFT 2'!$A:$A&gt;=DATE(2026,5,1))*('DRAFT 2'!$A:$A&lt;DATE(2026,IF(5=12,5+1,5+1),1)),'DRAFT 2'!$A:$A),"")</f>
        <v>0</v>
      </c>
      <c r="EP139">
        <f>COUNTIFS('DRAFT 2'!$D:$D,$B139,'DRAFT 2'!$A:$A,"&gt;="&amp;DATE(2026,5,1),'DRAFT 2'!$A:$A,"&lt;="&amp;DATE(2026,5,7))</f>
        <v>0</v>
      </c>
      <c r="EQ139">
        <f>COUNTIFS('DRAFT 2'!$D:$D,$B139,'DRAFT 2'!$A:$A,"&gt;="&amp;DATE(2026,5,8),'DRAFT 2'!$A:$A,"&lt;="&amp;DATE(2026,5,14))</f>
        <v>0</v>
      </c>
      <c r="ER139">
        <f>COUNTIFS('DRAFT 2'!$D:$D,$B139,'DRAFT 2'!$A:$A,"&gt;="&amp;DATE(2026,5,15),'DRAFT 2'!$A:$A,"&lt;="&amp;DATE(2026,5,21))</f>
        <v>0</v>
      </c>
      <c r="ES139">
        <f>COUNTIFS('DRAFT 2'!$D:$D,$B139,'DRAFT 2'!$A:$A,"&gt;="&amp;DATE(2026,5,22),'DRAFT 2'!$A:$A,"&lt;"&amp;DATE(2026,IF(5=12,5+1,5+1),1))</f>
        <v>0</v>
      </c>
      <c r="ET139">
        <f t="shared" si="62"/>
        <v>0</v>
      </c>
      <c r="FD139">
        <f>IFERROR(LOOKUP(2,1/('DRAFT 2'!$D:$D=$B139)*('DRAFT 2'!$A:$A&gt;=DATE(2026,6,1))*('DRAFT 2'!$A:$A&lt;DATE(2026,IF(6=12,6+1,6+1),1)),'DRAFT 2'!$A:$A),"")</f>
        <v>0</v>
      </c>
      <c r="FE139">
        <f>COUNTIFS('DRAFT 2'!$D:$D,$B139,'DRAFT 2'!$A:$A,"&gt;="&amp;DATE(2026,6,1),'DRAFT 2'!$A:$A,"&lt;="&amp;DATE(2026,6,7))</f>
        <v>0</v>
      </c>
      <c r="FF139">
        <f>COUNTIFS('DRAFT 2'!$D:$D,$B139,'DRAFT 2'!$A:$A,"&gt;="&amp;DATE(2026,6,8),'DRAFT 2'!$A:$A,"&lt;="&amp;DATE(2026,6,14))</f>
        <v>0</v>
      </c>
      <c r="FG139">
        <f>COUNTIFS('DRAFT 2'!$D:$D,$B139,'DRAFT 2'!$A:$A,"&gt;="&amp;DATE(2026,6,15),'DRAFT 2'!$A:$A,"&lt;="&amp;DATE(2026,6,21))</f>
        <v>0</v>
      </c>
      <c r="FH139">
        <f>COUNTIFS('DRAFT 2'!$D:$D,$B139,'DRAFT 2'!$A:$A,"&gt;="&amp;DATE(2026,6,22),'DRAFT 2'!$A:$A,"&lt;"&amp;DATE(2026,IF(6=12,6+1,6+1),1))</f>
        <v>0</v>
      </c>
      <c r="FI139">
        <f t="shared" si="63"/>
        <v>0</v>
      </c>
      <c r="FT139">
        <f>IFERROR(LOOKUP(2,1/('DRAFT 2'!$D:$D=$B139)*('DRAFT 2'!$A:$A&gt;=DATE(2026,7,1))*('DRAFT 2'!$A:$A&lt;DATE(2026,IF(7=12,7+1,7+1),1)),'DRAFT 2'!$A:$A),"")</f>
        <v>0</v>
      </c>
      <c r="FU139">
        <f>COUNTIFS('DRAFT 2'!$D:$D,$B139,'DRAFT 2'!$A:$A,"&gt;="&amp;DATE(2026,7,1),'DRAFT 2'!$A:$A,"&lt;="&amp;DATE(2026,7,7))</f>
        <v>0</v>
      </c>
      <c r="FV139">
        <f>COUNTIFS('DRAFT 2'!$D:$D,$B139,'DRAFT 2'!$A:$A,"&gt;="&amp;DATE(2026,7,8),'DRAFT 2'!$A:$A,"&lt;="&amp;DATE(2026,7,14))</f>
        <v>0</v>
      </c>
      <c r="FW139">
        <f>COUNTIFS('DRAFT 2'!$D:$D,$B139,'DRAFT 2'!$A:$A,"&gt;="&amp;DATE(2026,7,15),'DRAFT 2'!$A:$A,"&lt;="&amp;DATE(2026,7,21))</f>
        <v>0</v>
      </c>
      <c r="FX139">
        <f>COUNTIFS('DRAFT 2'!$D:$D,$B139,'DRAFT 2'!$A:$A,"&gt;="&amp;DATE(2026,7,22),'DRAFT 2'!$A:$A,"&lt;"&amp;DATE(2026,IF(7=12,7+1,7+1),1))</f>
        <v>0</v>
      </c>
      <c r="FY139">
        <f t="shared" si="64"/>
        <v>0</v>
      </c>
      <c r="GI139">
        <f>IFERROR(LOOKUP(2,1/('DRAFT 2'!$D:$D=$B139)*('DRAFT 2'!$A:$A&gt;=DATE(2026,8,1))*('DRAFT 2'!$A:$A&lt;DATE(2026,IF(8=12,8+1,8+1),1)),'DRAFT 2'!$A:$A),"")</f>
        <v>0</v>
      </c>
      <c r="GJ139">
        <f>COUNTIFS('DRAFT 2'!$D:$D,$B139,'DRAFT 2'!$A:$A,"&gt;="&amp;DATE(2026,8,1),'DRAFT 2'!$A:$A,"&lt;="&amp;DATE(2026,8,7))</f>
        <v>0</v>
      </c>
      <c r="GK139">
        <f>COUNTIFS('DRAFT 2'!$D:$D,$B139,'DRAFT 2'!$A:$A,"&gt;="&amp;DATE(2026,8,8),'DRAFT 2'!$A:$A,"&lt;="&amp;DATE(2026,8,14))</f>
        <v>0</v>
      </c>
      <c r="GL139">
        <f>COUNTIFS('DRAFT 2'!$D:$D,$B139,'DRAFT 2'!$A:$A,"&gt;="&amp;DATE(2026,8,15),'DRAFT 2'!$A:$A,"&lt;="&amp;DATE(2026,8,21))</f>
        <v>0</v>
      </c>
      <c r="GM139">
        <f>COUNTIFS('DRAFT 2'!$D:$D,$B139,'DRAFT 2'!$A:$A,"&gt;="&amp;DATE(2026,8,22),'DRAFT 2'!$A:$A,"&lt;"&amp;DATE(2026,IF(8=12,8+1,8+1),1))</f>
        <v>0</v>
      </c>
      <c r="GN139">
        <f t="shared" si="65"/>
        <v>0</v>
      </c>
      <c r="GX139">
        <f>IFERROR(LOOKUP(2,1/('DRAFT 2'!$D:$D=$B139)*('DRAFT 2'!$A:$A&gt;=DATE(2026,9,1))*('DRAFT 2'!$A:$A&lt;DATE(2026,IF(9=12,9+1,9+1),1)),'DRAFT 2'!$A:$A),"")</f>
        <v>0</v>
      </c>
      <c r="GY139">
        <f>COUNTIFS('DRAFT 2'!$D:$D,$B139,'DRAFT 2'!$A:$A,"&gt;="&amp;DATE(2026,9,1),'DRAFT 2'!$A:$A,"&lt;="&amp;DATE(2026,9,7))</f>
        <v>0</v>
      </c>
      <c r="GZ139">
        <f>COUNTIFS('DRAFT 2'!$D:$D,$B139,'DRAFT 2'!$A:$A,"&gt;="&amp;DATE(2026,9,8),'DRAFT 2'!$A:$A,"&lt;="&amp;DATE(2026,9,14))</f>
        <v>0</v>
      </c>
      <c r="HA139">
        <f>COUNTIFS('DRAFT 2'!$D:$D,$B139,'DRAFT 2'!$A:$A,"&gt;="&amp;DATE(2026,9,15),'DRAFT 2'!$A:$A,"&lt;="&amp;DATE(2026,9,21))</f>
        <v>0</v>
      </c>
      <c r="HB139">
        <f>COUNTIFS('DRAFT 2'!$D:$D,$B139,'DRAFT 2'!$A:$A,"&gt;="&amp;DATE(2026,9,22),'DRAFT 2'!$A:$A,"&lt;"&amp;DATE(2026,IF(9=12,9+1,9+1),1))</f>
        <v>0</v>
      </c>
      <c r="HC139">
        <f t="shared" si="66"/>
        <v>0</v>
      </c>
      <c r="HN139">
        <f>IFERROR(LOOKUP(2,1/('DRAFT 2'!$D:$D=$B139)*('DRAFT 2'!$A:$A&gt;=DATE(2026,10,1))*('DRAFT 2'!$A:$A&lt;DATE(2026,IF(10=12,10+1,10+1),1)),'DRAFT 2'!$A:$A),"")</f>
        <v>0</v>
      </c>
      <c r="HO139">
        <f>COUNTIFS('DRAFT 2'!$D:$D,$B139,'DRAFT 2'!$A:$A,"&gt;="&amp;DATE(2026,10,1),'DRAFT 2'!$A:$A,"&lt;="&amp;DATE(2026,10,7))</f>
        <v>0</v>
      </c>
      <c r="HP139">
        <f>COUNTIFS('DRAFT 2'!$D:$D,$B139,'DRAFT 2'!$A:$A,"&gt;="&amp;DATE(2026,10,8),'DRAFT 2'!$A:$A,"&lt;="&amp;DATE(2026,10,14))</f>
        <v>0</v>
      </c>
      <c r="HQ139">
        <f>COUNTIFS('DRAFT 2'!$D:$D,$B139,'DRAFT 2'!$A:$A,"&gt;="&amp;DATE(2026,10,15),'DRAFT 2'!$A:$A,"&lt;="&amp;DATE(2026,10,21))</f>
        <v>0</v>
      </c>
      <c r="HR139">
        <f>COUNTIFS('DRAFT 2'!$D:$D,$B139,'DRAFT 2'!$A:$A,"&gt;="&amp;DATE(2026,10,22),'DRAFT 2'!$A:$A,"&lt;"&amp;DATE(2026,IF(10=12,10+1,10+1),1))</f>
        <v>0</v>
      </c>
      <c r="HS139">
        <f t="shared" si="67"/>
        <v>0</v>
      </c>
      <c r="IC139">
        <f>IFERROR(LOOKUP(2,1/('DRAFT 2'!$D:$D=$B139)*('DRAFT 2'!$A:$A&gt;=DATE(2026,11,1))*('DRAFT 2'!$A:$A&lt;DATE(2026,IF(11=12,11+1,11+1),1)),'DRAFT 2'!$A:$A),"")</f>
        <v>0</v>
      </c>
      <c r="ID139">
        <f>COUNTIFS('DRAFT 2'!$D:$D,$B139,'DRAFT 2'!$A:$A,"&gt;="&amp;DATE(2026,11,1),'DRAFT 2'!$A:$A,"&lt;="&amp;DATE(2026,11,7))</f>
        <v>0</v>
      </c>
      <c r="IE139">
        <f>COUNTIFS('DRAFT 2'!$D:$D,$B139,'DRAFT 2'!$A:$A,"&gt;="&amp;DATE(2026,11,8),'DRAFT 2'!$A:$A,"&lt;="&amp;DATE(2026,11,14))</f>
        <v>0</v>
      </c>
      <c r="IF139">
        <f>COUNTIFS('DRAFT 2'!$D:$D,$B139,'DRAFT 2'!$A:$A,"&gt;="&amp;DATE(2026,11,15),'DRAFT 2'!$A:$A,"&lt;="&amp;DATE(2026,11,21))</f>
        <v>0</v>
      </c>
      <c r="IG139">
        <f>COUNTIFS('DRAFT 2'!$D:$D,$B139,'DRAFT 2'!$A:$A,"&gt;="&amp;DATE(2026,11,22),'DRAFT 2'!$A:$A,"&lt;"&amp;DATE(2026,IF(11=12,11+1,11+1),1))</f>
        <v>0</v>
      </c>
      <c r="IH139">
        <f t="shared" si="68"/>
        <v>0</v>
      </c>
      <c r="IR139">
        <f>IFERROR(LOOKUP(2,1/('DRAFT 2'!$D:$D=$B139)*('DRAFT 2'!$A:$A&gt;=DATE(2026,12,1))*('DRAFT 2'!$A:$A&lt;DATE(2026,IF(12=12,12+1,12+1),1)),'DRAFT 2'!$A:$A),"")</f>
        <v>0</v>
      </c>
      <c r="IS139">
        <f>COUNTIFS('DRAFT 2'!$D:$D,$B139,'DRAFT 2'!$A:$A,"&gt;="&amp;DATE(2026,12,1),'DRAFT 2'!$A:$A,"&lt;="&amp;DATE(2026,12,7))</f>
        <v>0</v>
      </c>
      <c r="IT139">
        <f>COUNTIFS('DRAFT 2'!$D:$D,$B139,'DRAFT 2'!$A:$A,"&gt;="&amp;DATE(2026,12,8),'DRAFT 2'!$A:$A,"&lt;="&amp;DATE(2026,12,14))</f>
        <v>0</v>
      </c>
      <c r="IU139">
        <f>COUNTIFS('DRAFT 2'!$D:$D,$B139,'DRAFT 2'!$A:$A,"&gt;="&amp;DATE(2026,12,15),'DRAFT 2'!$A:$A,"&lt;="&amp;DATE(2026,12,21))</f>
        <v>0</v>
      </c>
      <c r="IV139">
        <f>COUNTIFS('DRAFT 2'!$D:$D,$B139,'DRAFT 2'!$A:$A,"&gt;="&amp;DATE(2026,12,22),'DRAFT 2'!$A:$A,"&lt;"&amp;DATE(2026,IF(12=12,12+1,12+1),1))</f>
        <v>0</v>
      </c>
      <c r="IW139">
        <f t="shared" si="69"/>
        <v>0</v>
      </c>
    </row>
    <row r="140" spans="1:257" x14ac:dyDescent="0.3">
      <c r="A140" t="str">
        <f>IFERROR(INDEX('DRAFT 1'!$A:$A,MATCH($B140,'DRAFT 1'!$B:$B,0)),"")</f>
        <v/>
      </c>
      <c r="C140" t="str">
        <f>IFERROR(INDEX('DRAFT 1'!$C:$C,MATCH($B140,'DRAFT 1'!$B:$B,0)),"")</f>
        <v/>
      </c>
      <c r="D140" t="str">
        <f>IFERROR(INDEX('DRAFT 1'!$D:$D,MATCH($B140,'DRAFT 1'!$B:$B,0)),"")</f>
        <v/>
      </c>
      <c r="E140" t="str">
        <f>IFERROR(INDEX('DRAFT 1'!$E:$E,MATCH($B140,'DRAFT 1'!$B:$B,0)),"")</f>
        <v/>
      </c>
      <c r="F140" t="str">
        <f>IFERROR(INDEX('DRAFT 1'!$F:$F,MATCH($B140,'DRAFT 1'!$B:$B,0)),"")</f>
        <v/>
      </c>
      <c r="G140" t="str">
        <f>IFERROR(INDEX('DRAFT 1'!$G:$G,MATCH($B140,'DRAFT 1'!$B:$B,0)),"")</f>
        <v/>
      </c>
      <c r="H140" t="str">
        <f>IFERROR(INDEX('DRAFT 1'!$H:$H,MATCH($B140,'DRAFT 1'!$B:$B,0)),"")</f>
        <v/>
      </c>
      <c r="I140" t="str">
        <f>IFERROR(INDEX('DRAFT 1'!$I:$I,MATCH($B140,'DRAFT 1'!$B:$B,0)),"")</f>
        <v/>
      </c>
      <c r="K140" t="str">
        <f>IFERROR(INDEX('DRAFT 1'!$AL:$AL,MATCH($B140,'DRAFT 1'!$B:$B,0)),"")</f>
        <v/>
      </c>
      <c r="L140" t="str">
        <f>IFERROR(INDEX('DRAFT 1'!$J:$J,MATCH($B140,'DRAFT 1'!$B:$B,0)),"")</f>
        <v/>
      </c>
      <c r="M140" t="str">
        <f>IFERROR(INDEX('DRAFT 1'!$K:$K,MATCH($B140,'DRAFT 1'!$B:$B,0)),"")</f>
        <v/>
      </c>
      <c r="P140" t="str">
        <f>IFERROR(INDEX('DRAFT 1'!$L:$L,MATCH($B140,'DRAFT 1'!$B:$B,0)),"")</f>
        <v/>
      </c>
      <c r="Q140" t="str">
        <f>IFERROR(INDEX('DRAFT 1'!$M:$M,MATCH($B140,'DRAFT 1'!$B:$B,0)),"")</f>
        <v/>
      </c>
      <c r="R140" t="str">
        <f>IFERROR(INDEX('DRAFT 1'!$N:$N,MATCH($B140,'DRAFT 1'!$B:$B,0)),"")</f>
        <v/>
      </c>
      <c r="S140" t="str">
        <f>IFERROR(INDEX('DRAFT 1'!$O:$O,MATCH($B140,'DRAFT 1'!$B:$B,0)),"")</f>
        <v/>
      </c>
      <c r="T140" t="str">
        <f>IFERROR(INDEX('DRAFT 1'!$P:$P,MATCH($B140,'DRAFT 1'!$B:$B,0)),"")</f>
        <v/>
      </c>
      <c r="U140" t="str">
        <f>IFERROR(INDEX('DRAFT 1'!$Q:$Q,MATCH($B140,'DRAFT 1'!$B:$B,0)),"")</f>
        <v/>
      </c>
      <c r="V140" t="str">
        <f>IFERROR(INDEX('DRAFT 1'!$R:$R,MATCH($B140,'DRAFT 1'!$B:$B,0)),"")</f>
        <v/>
      </c>
      <c r="W140" t="str">
        <f>IFERROR(INDEX('DRAFT 1'!$S:$S,MATCH($B140,'DRAFT 1'!$B:$B,0)),"")</f>
        <v/>
      </c>
      <c r="X140" t="str">
        <f>IFERROR(INDEX('DRAFT 1'!$T:$T,MATCH($B140,'DRAFT 1'!$B:$B,0)),"")</f>
        <v/>
      </c>
      <c r="Z140" t="str">
        <f>IFERROR(INDEX('DRAFT 1'!$U:$U,MATCH($B140,'DRAFT 1'!$B:$B,0)),"")</f>
        <v/>
      </c>
      <c r="AA140" t="str">
        <f>IFERROR(INDEX('DRAFT 1'!$V:$V,MATCH($B140,'DRAFT 1'!$B:$B,0)),"")</f>
        <v/>
      </c>
      <c r="AB140" t="str">
        <f>IFERROR(INDEX('DRAFT 1'!$W:$W,MATCH($B140,'DRAFT 1'!$B:$B,0)),"")</f>
        <v/>
      </c>
      <c r="AC140" t="str">
        <f>IFERROR(INDEX('DRAFT 1'!$X:$X,MATCH($B140,'DRAFT 1'!$B:$B,0)),"")</f>
        <v/>
      </c>
      <c r="AD140" t="str">
        <f>IFERROR(INDEX('DRAFT 1'!$Y:$Y,MATCH($B140,'DRAFT 1'!$B:$B,0)),"")</f>
        <v/>
      </c>
      <c r="AE140" t="str">
        <f>IFERROR(INDEX('DRAFT 1'!$Z:$Z,MATCH($B140,'DRAFT 1'!$B:$B,0)),"")</f>
        <v/>
      </c>
      <c r="AF140" t="str">
        <f>IFERROR(INDEX('DRAFT 1'!$AA:$AA,MATCH($B140,'DRAFT 1'!$B:$B,0)),"")</f>
        <v/>
      </c>
      <c r="AG140" t="str">
        <f>IFERROR(INDEX('DRAFT 1'!$AB:$AB,MATCH($B140,'DRAFT 1'!$B:$B,0)),"")</f>
        <v/>
      </c>
      <c r="AH140" t="str">
        <f>IFERROR(INDEX('DRAFT 1'!$AC:$AC,MATCH($B140,'DRAFT 1'!$B:$B,0)),"")</f>
        <v/>
      </c>
      <c r="AI140" t="str">
        <f>IFERROR(INDEX('DRAFT 1'!$AD:$AD,MATCH($B140,'DRAFT 1'!$B:$B,0)),"")</f>
        <v/>
      </c>
      <c r="AJ140" t="str">
        <f>IFERROR(INDEX('DRAFT 1'!$AE:$AE,MATCH($B140,'DRAFT 1'!$B:$B,0)),"")</f>
        <v/>
      </c>
      <c r="AK140" t="str">
        <f>IFERROR(INDEX('DRAFT 1'!$AG:$AG,MATCH($B140,'DRAFT 1'!$B:$B,0)),"")</f>
        <v/>
      </c>
      <c r="AL140" t="str">
        <f>IFERROR(INDEX('DRAFT 1'!$AH:$AH,MATCH($B140,'DRAFT 1'!$B:$B,0)),"")</f>
        <v/>
      </c>
      <c r="AM140" t="str">
        <f>IFERROR(INDEX('DRAFT 1'!$AI:$AI,MATCH($B140,'DRAFT 1'!$B:$B,0)),"")</f>
        <v/>
      </c>
      <c r="AN140" t="str">
        <f>IFERROR(INDEX('DRAFT 1'!$AJ:$AJ,MATCH($B140,'DRAFT 1'!$B:$B,0)),"")</f>
        <v/>
      </c>
      <c r="AO140">
        <f t="shared" si="56"/>
        <v>0</v>
      </c>
      <c r="AP140" t="str">
        <f>IFERROR(INDEX('DRAFT 1'!$AK:$AK,MATCH($B140,'DRAFT 1'!$B:$B,0)),"")</f>
        <v/>
      </c>
      <c r="AR140">
        <f>IFERROR(LOOKUP(2,1/('DRAFT 2'!$D:$D=$B140),'DRAFT 2'!$I:$I),"")</f>
        <v>0</v>
      </c>
      <c r="AS140">
        <f>IFERROR(LOOKUP(2,1/('DRAFT 2'!$D:$D=$B140),'DRAFT 2'!$T:$T),"")</f>
        <v>0</v>
      </c>
      <c r="AT140">
        <f>IFERROR(LOOKUP(2,1/('DRAFT 2'!$D:$D=$B140),'DRAFT 2'!$A:$A),"")</f>
        <v>0</v>
      </c>
      <c r="AU140">
        <f>IFERROR(LOOKUP(2,1/('DRAFT 2'!$D:$D=$B140),'DRAFT 2'!$R:$R),"")</f>
        <v>0</v>
      </c>
      <c r="AV140">
        <f>IFERROR(LOOKUP(2,1/('DRAFT 2'!$D:$D=$B140),'DRAFT 2'!$S:$S),"")</f>
        <v>0</v>
      </c>
      <c r="AX140">
        <f>IFERROR(LOOKUP(2,1/('DRAFT 2'!$D:$D=$B140),'DRAFT 2'!$M:$M),"")</f>
        <v>0</v>
      </c>
      <c r="AY140">
        <f>IFERROR(LOOKUP(2,1/('DRAFT 2'!$D:$D=$B140),'DRAFT 2'!$K:$K),"")</f>
        <v>0</v>
      </c>
      <c r="BG140">
        <f>IFERROR(LOOKUP(2,1/('DRAFT 2'!$D:$D=$B140),'DRAFT 2'!$U:$U),"")</f>
        <v>0</v>
      </c>
      <c r="BH140">
        <f>IFERROR(LOOKUP(2,1/('DRAFT 2'!$D:$D=$B140),'DRAFT 2'!$V:$V),"")</f>
        <v>0</v>
      </c>
      <c r="CE140" t="str">
        <f t="shared" si="57"/>
        <v/>
      </c>
      <c r="CF140">
        <f>IFERROR(LOOKUP(2,1/('DRAFT 2'!$D:$D=$B140)*('DRAFT 2'!$A:$A&gt;=DATE(2026,1,1))*('DRAFT 2'!$A:$A&lt;DATE(2026,IF(1=12,1+1,1+1),1)),'DRAFT 2'!$A:$A),"")</f>
        <v>0</v>
      </c>
      <c r="CG140">
        <f>COUNTIFS('DRAFT 2'!$D:$D,$B140,'DRAFT 2'!$A:$A,"&gt;="&amp;DATE(2026,1,1),'DRAFT 2'!$A:$A,"&lt;="&amp;DATE(2026,1,7))</f>
        <v>0</v>
      </c>
      <c r="CH140">
        <f>COUNTIFS('DRAFT 2'!$D:$D,$B140,'DRAFT 2'!$A:$A,"&gt;="&amp;DATE(2026,1,8),'DRAFT 2'!$A:$A,"&lt;="&amp;DATE(2026,1,14))</f>
        <v>0</v>
      </c>
      <c r="CI140">
        <f>COUNTIFS('DRAFT 2'!$D:$D,$B140,'DRAFT 2'!$A:$A,"&gt;="&amp;DATE(2026,1,15),'DRAFT 2'!$A:$A,"&lt;="&amp;DATE(2026,1,21))</f>
        <v>0</v>
      </c>
      <c r="CJ140">
        <f>COUNTIFS('DRAFT 2'!$D:$D,$B140,'DRAFT 2'!$A:$A,"&gt;="&amp;DATE(2026,1,22),'DRAFT 2'!$A:$A,"&lt;"&amp;DATE(2026,IF(1=12,1+1,1+1),1))</f>
        <v>0</v>
      </c>
      <c r="CK140">
        <f t="shared" si="58"/>
        <v>0</v>
      </c>
      <c r="CT140">
        <v>0</v>
      </c>
      <c r="CU140">
        <f>IFERROR(LOOKUP(2,1/('DRAFT 2'!$D:$D=$B140)*('DRAFT 2'!$A:$A&gt;=DATE(2026,2,1))*('DRAFT 2'!$A:$A&lt;DATE(2026,IF(2=12,2+1,2+1),1)),'DRAFT 2'!$A:$A),"")</f>
        <v>0</v>
      </c>
      <c r="CV140">
        <f>COUNTIFS('DRAFT 2'!$D:$D,$B140,'DRAFT 2'!$A:$A,"&gt;="&amp;DATE(2026,2,1),'DRAFT 2'!$A:$A,"&lt;="&amp;DATE(2026,2,7))</f>
        <v>0</v>
      </c>
      <c r="CW140">
        <f>COUNTIFS('DRAFT 2'!$D:$D,$B140,'DRAFT 2'!$A:$A,"&gt;="&amp;DATE(2026,2,8),'DRAFT 2'!$A:$A,"&lt;="&amp;DATE(2026,2,14))</f>
        <v>0</v>
      </c>
      <c r="CX140">
        <f>COUNTIFS('DRAFT 2'!$D:$D,$B140,'DRAFT 2'!$A:$A,"&gt;="&amp;DATE(2026,2,15),'DRAFT 2'!$A:$A,"&lt;="&amp;DATE(2026,2,21))</f>
        <v>0</v>
      </c>
      <c r="CY140">
        <f>COUNTIFS('DRAFT 2'!$D:$D,$B140,'DRAFT 2'!$A:$A,"&gt;="&amp;DATE(2026,2,22),'DRAFT 2'!$A:$A,"&lt;"&amp;DATE(2026,IF(2=12,2+1,2+1),1))</f>
        <v>0</v>
      </c>
      <c r="CZ140">
        <f t="shared" si="59"/>
        <v>0</v>
      </c>
      <c r="DJ140">
        <f>IFERROR(LOOKUP(2,1/('DRAFT 2'!$D:$D=$B140)*('DRAFT 2'!$A:$A&gt;=DATE(2026,3,1))*('DRAFT 2'!$A:$A&lt;DATE(2026,IF(3=12,3+1,3+1),1)),'DRAFT 2'!$A:$A),"")</f>
        <v>0</v>
      </c>
      <c r="DK140">
        <f>COUNTIFS('DRAFT 2'!$D:$D,$B140,'DRAFT 2'!$A:$A,"&gt;="&amp;DATE(2026,3,1),'DRAFT 2'!$A:$A,"&lt;="&amp;DATE(2026,3,7))</f>
        <v>0</v>
      </c>
      <c r="DL140">
        <f>COUNTIFS('DRAFT 2'!$D:$D,$B140,'DRAFT 2'!$A:$A,"&gt;="&amp;DATE(2026,3,8),'DRAFT 2'!$A:$A,"&lt;="&amp;DATE(2026,3,14))</f>
        <v>0</v>
      </c>
      <c r="DM140">
        <f>COUNTIFS('DRAFT 2'!$D:$D,$B140,'DRAFT 2'!$A:$A,"&gt;="&amp;DATE(2026,3,15),'DRAFT 2'!$A:$A,"&lt;="&amp;DATE(2026,3,21))</f>
        <v>0</v>
      </c>
      <c r="DN140">
        <f>COUNTIFS('DRAFT 2'!$D:$D,$B140,'DRAFT 2'!$A:$A,"&gt;="&amp;DATE(2026,3,22),'DRAFT 2'!$A:$A,"&lt;"&amp;DATE(2026,IF(3=12,3+1,3+1),1))</f>
        <v>0</v>
      </c>
      <c r="DO140">
        <f t="shared" si="60"/>
        <v>0</v>
      </c>
      <c r="DZ140">
        <f>IFERROR(LOOKUP(2,1/('DRAFT 2'!$D:$D=$B140)*('DRAFT 2'!$A:$A&gt;=DATE(2026,4,1))*('DRAFT 2'!$A:$A&lt;DATE(2026,IF(4=12,4+1,4+1),1)),'DRAFT 2'!$A:$A),"")</f>
        <v>0</v>
      </c>
      <c r="EA140">
        <f>COUNTIFS('DRAFT 2'!$D:$D,$B140,'DRAFT 2'!$A:$A,"&gt;="&amp;DATE(2026,4,1),'DRAFT 2'!$A:$A,"&lt;="&amp;DATE(2026,4,7))</f>
        <v>0</v>
      </c>
      <c r="EB140">
        <f>COUNTIFS('DRAFT 2'!$D:$D,$B140,'DRAFT 2'!$A:$A,"&gt;="&amp;DATE(2026,4,8),'DRAFT 2'!$A:$A,"&lt;="&amp;DATE(2026,4,14))</f>
        <v>0</v>
      </c>
      <c r="EC140">
        <f>COUNTIFS('DRAFT 2'!$D:$D,$B140,'DRAFT 2'!$A:$A,"&gt;="&amp;DATE(2026,4,15),'DRAFT 2'!$A:$A,"&lt;="&amp;DATE(2026,4,21))</f>
        <v>0</v>
      </c>
      <c r="ED140">
        <f>COUNTIFS('DRAFT 2'!$D:$D,$B140,'DRAFT 2'!$A:$A,"&gt;="&amp;DATE(2026,4,22),'DRAFT 2'!$A:$A,"&lt;"&amp;DATE(2026,IF(4=12,4+1,4+1),1))</f>
        <v>0</v>
      </c>
      <c r="EE140">
        <f t="shared" si="61"/>
        <v>0</v>
      </c>
      <c r="EO140">
        <f>IFERROR(LOOKUP(2,1/('DRAFT 2'!$D:$D=$B140)*('DRAFT 2'!$A:$A&gt;=DATE(2026,5,1))*('DRAFT 2'!$A:$A&lt;DATE(2026,IF(5=12,5+1,5+1),1)),'DRAFT 2'!$A:$A),"")</f>
        <v>0</v>
      </c>
      <c r="EP140">
        <f>COUNTIFS('DRAFT 2'!$D:$D,$B140,'DRAFT 2'!$A:$A,"&gt;="&amp;DATE(2026,5,1),'DRAFT 2'!$A:$A,"&lt;="&amp;DATE(2026,5,7))</f>
        <v>0</v>
      </c>
      <c r="EQ140">
        <f>COUNTIFS('DRAFT 2'!$D:$D,$B140,'DRAFT 2'!$A:$A,"&gt;="&amp;DATE(2026,5,8),'DRAFT 2'!$A:$A,"&lt;="&amp;DATE(2026,5,14))</f>
        <v>0</v>
      </c>
      <c r="ER140">
        <f>COUNTIFS('DRAFT 2'!$D:$D,$B140,'DRAFT 2'!$A:$A,"&gt;="&amp;DATE(2026,5,15),'DRAFT 2'!$A:$A,"&lt;="&amp;DATE(2026,5,21))</f>
        <v>0</v>
      </c>
      <c r="ES140">
        <f>COUNTIFS('DRAFT 2'!$D:$D,$B140,'DRAFT 2'!$A:$A,"&gt;="&amp;DATE(2026,5,22),'DRAFT 2'!$A:$A,"&lt;"&amp;DATE(2026,IF(5=12,5+1,5+1),1))</f>
        <v>0</v>
      </c>
      <c r="ET140">
        <f t="shared" si="62"/>
        <v>0</v>
      </c>
      <c r="FD140">
        <f>IFERROR(LOOKUP(2,1/('DRAFT 2'!$D:$D=$B140)*('DRAFT 2'!$A:$A&gt;=DATE(2026,6,1))*('DRAFT 2'!$A:$A&lt;DATE(2026,IF(6=12,6+1,6+1),1)),'DRAFT 2'!$A:$A),"")</f>
        <v>0</v>
      </c>
      <c r="FE140">
        <f>COUNTIFS('DRAFT 2'!$D:$D,$B140,'DRAFT 2'!$A:$A,"&gt;="&amp;DATE(2026,6,1),'DRAFT 2'!$A:$A,"&lt;="&amp;DATE(2026,6,7))</f>
        <v>0</v>
      </c>
      <c r="FF140">
        <f>COUNTIFS('DRAFT 2'!$D:$D,$B140,'DRAFT 2'!$A:$A,"&gt;="&amp;DATE(2026,6,8),'DRAFT 2'!$A:$A,"&lt;="&amp;DATE(2026,6,14))</f>
        <v>0</v>
      </c>
      <c r="FG140">
        <f>COUNTIFS('DRAFT 2'!$D:$D,$B140,'DRAFT 2'!$A:$A,"&gt;="&amp;DATE(2026,6,15),'DRAFT 2'!$A:$A,"&lt;="&amp;DATE(2026,6,21))</f>
        <v>0</v>
      </c>
      <c r="FH140">
        <f>COUNTIFS('DRAFT 2'!$D:$D,$B140,'DRAFT 2'!$A:$A,"&gt;="&amp;DATE(2026,6,22),'DRAFT 2'!$A:$A,"&lt;"&amp;DATE(2026,IF(6=12,6+1,6+1),1))</f>
        <v>0</v>
      </c>
      <c r="FI140">
        <f t="shared" si="63"/>
        <v>0</v>
      </c>
      <c r="FT140">
        <f>IFERROR(LOOKUP(2,1/('DRAFT 2'!$D:$D=$B140)*('DRAFT 2'!$A:$A&gt;=DATE(2026,7,1))*('DRAFT 2'!$A:$A&lt;DATE(2026,IF(7=12,7+1,7+1),1)),'DRAFT 2'!$A:$A),"")</f>
        <v>0</v>
      </c>
      <c r="FU140">
        <f>COUNTIFS('DRAFT 2'!$D:$D,$B140,'DRAFT 2'!$A:$A,"&gt;="&amp;DATE(2026,7,1),'DRAFT 2'!$A:$A,"&lt;="&amp;DATE(2026,7,7))</f>
        <v>0</v>
      </c>
      <c r="FV140">
        <f>COUNTIFS('DRAFT 2'!$D:$D,$B140,'DRAFT 2'!$A:$A,"&gt;="&amp;DATE(2026,7,8),'DRAFT 2'!$A:$A,"&lt;="&amp;DATE(2026,7,14))</f>
        <v>0</v>
      </c>
      <c r="FW140">
        <f>COUNTIFS('DRAFT 2'!$D:$D,$B140,'DRAFT 2'!$A:$A,"&gt;="&amp;DATE(2026,7,15),'DRAFT 2'!$A:$A,"&lt;="&amp;DATE(2026,7,21))</f>
        <v>0</v>
      </c>
      <c r="FX140">
        <f>COUNTIFS('DRAFT 2'!$D:$D,$B140,'DRAFT 2'!$A:$A,"&gt;="&amp;DATE(2026,7,22),'DRAFT 2'!$A:$A,"&lt;"&amp;DATE(2026,IF(7=12,7+1,7+1),1))</f>
        <v>0</v>
      </c>
      <c r="FY140">
        <f t="shared" si="64"/>
        <v>0</v>
      </c>
      <c r="GI140">
        <f>IFERROR(LOOKUP(2,1/('DRAFT 2'!$D:$D=$B140)*('DRAFT 2'!$A:$A&gt;=DATE(2026,8,1))*('DRAFT 2'!$A:$A&lt;DATE(2026,IF(8=12,8+1,8+1),1)),'DRAFT 2'!$A:$A),"")</f>
        <v>0</v>
      </c>
      <c r="GJ140">
        <f>COUNTIFS('DRAFT 2'!$D:$D,$B140,'DRAFT 2'!$A:$A,"&gt;="&amp;DATE(2026,8,1),'DRAFT 2'!$A:$A,"&lt;="&amp;DATE(2026,8,7))</f>
        <v>0</v>
      </c>
      <c r="GK140">
        <f>COUNTIFS('DRAFT 2'!$D:$D,$B140,'DRAFT 2'!$A:$A,"&gt;="&amp;DATE(2026,8,8),'DRAFT 2'!$A:$A,"&lt;="&amp;DATE(2026,8,14))</f>
        <v>0</v>
      </c>
      <c r="GL140">
        <f>COUNTIFS('DRAFT 2'!$D:$D,$B140,'DRAFT 2'!$A:$A,"&gt;="&amp;DATE(2026,8,15),'DRAFT 2'!$A:$A,"&lt;="&amp;DATE(2026,8,21))</f>
        <v>0</v>
      </c>
      <c r="GM140">
        <f>COUNTIFS('DRAFT 2'!$D:$D,$B140,'DRAFT 2'!$A:$A,"&gt;="&amp;DATE(2026,8,22),'DRAFT 2'!$A:$A,"&lt;"&amp;DATE(2026,IF(8=12,8+1,8+1),1))</f>
        <v>0</v>
      </c>
      <c r="GN140">
        <f t="shared" si="65"/>
        <v>0</v>
      </c>
      <c r="GX140">
        <f>IFERROR(LOOKUP(2,1/('DRAFT 2'!$D:$D=$B140)*('DRAFT 2'!$A:$A&gt;=DATE(2026,9,1))*('DRAFT 2'!$A:$A&lt;DATE(2026,IF(9=12,9+1,9+1),1)),'DRAFT 2'!$A:$A),"")</f>
        <v>0</v>
      </c>
      <c r="GY140">
        <f>COUNTIFS('DRAFT 2'!$D:$D,$B140,'DRAFT 2'!$A:$A,"&gt;="&amp;DATE(2026,9,1),'DRAFT 2'!$A:$A,"&lt;="&amp;DATE(2026,9,7))</f>
        <v>0</v>
      </c>
      <c r="GZ140">
        <f>COUNTIFS('DRAFT 2'!$D:$D,$B140,'DRAFT 2'!$A:$A,"&gt;="&amp;DATE(2026,9,8),'DRAFT 2'!$A:$A,"&lt;="&amp;DATE(2026,9,14))</f>
        <v>0</v>
      </c>
      <c r="HA140">
        <f>COUNTIFS('DRAFT 2'!$D:$D,$B140,'DRAFT 2'!$A:$A,"&gt;="&amp;DATE(2026,9,15),'DRAFT 2'!$A:$A,"&lt;="&amp;DATE(2026,9,21))</f>
        <v>0</v>
      </c>
      <c r="HB140">
        <f>COUNTIFS('DRAFT 2'!$D:$D,$B140,'DRAFT 2'!$A:$A,"&gt;="&amp;DATE(2026,9,22),'DRAFT 2'!$A:$A,"&lt;"&amp;DATE(2026,IF(9=12,9+1,9+1),1))</f>
        <v>0</v>
      </c>
      <c r="HC140">
        <f t="shared" si="66"/>
        <v>0</v>
      </c>
      <c r="HN140">
        <f>IFERROR(LOOKUP(2,1/('DRAFT 2'!$D:$D=$B140)*('DRAFT 2'!$A:$A&gt;=DATE(2026,10,1))*('DRAFT 2'!$A:$A&lt;DATE(2026,IF(10=12,10+1,10+1),1)),'DRAFT 2'!$A:$A),"")</f>
        <v>0</v>
      </c>
      <c r="HO140">
        <f>COUNTIFS('DRAFT 2'!$D:$D,$B140,'DRAFT 2'!$A:$A,"&gt;="&amp;DATE(2026,10,1),'DRAFT 2'!$A:$A,"&lt;="&amp;DATE(2026,10,7))</f>
        <v>0</v>
      </c>
      <c r="HP140">
        <f>COUNTIFS('DRAFT 2'!$D:$D,$B140,'DRAFT 2'!$A:$A,"&gt;="&amp;DATE(2026,10,8),'DRAFT 2'!$A:$A,"&lt;="&amp;DATE(2026,10,14))</f>
        <v>0</v>
      </c>
      <c r="HQ140">
        <f>COUNTIFS('DRAFT 2'!$D:$D,$B140,'DRAFT 2'!$A:$A,"&gt;="&amp;DATE(2026,10,15),'DRAFT 2'!$A:$A,"&lt;="&amp;DATE(2026,10,21))</f>
        <v>0</v>
      </c>
      <c r="HR140">
        <f>COUNTIFS('DRAFT 2'!$D:$D,$B140,'DRAFT 2'!$A:$A,"&gt;="&amp;DATE(2026,10,22),'DRAFT 2'!$A:$A,"&lt;"&amp;DATE(2026,IF(10=12,10+1,10+1),1))</f>
        <v>0</v>
      </c>
      <c r="HS140">
        <f t="shared" si="67"/>
        <v>0</v>
      </c>
      <c r="IC140">
        <f>IFERROR(LOOKUP(2,1/('DRAFT 2'!$D:$D=$B140)*('DRAFT 2'!$A:$A&gt;=DATE(2026,11,1))*('DRAFT 2'!$A:$A&lt;DATE(2026,IF(11=12,11+1,11+1),1)),'DRAFT 2'!$A:$A),"")</f>
        <v>0</v>
      </c>
      <c r="ID140">
        <f>COUNTIFS('DRAFT 2'!$D:$D,$B140,'DRAFT 2'!$A:$A,"&gt;="&amp;DATE(2026,11,1),'DRAFT 2'!$A:$A,"&lt;="&amp;DATE(2026,11,7))</f>
        <v>0</v>
      </c>
      <c r="IE140">
        <f>COUNTIFS('DRAFT 2'!$D:$D,$B140,'DRAFT 2'!$A:$A,"&gt;="&amp;DATE(2026,11,8),'DRAFT 2'!$A:$A,"&lt;="&amp;DATE(2026,11,14))</f>
        <v>0</v>
      </c>
      <c r="IF140">
        <f>COUNTIFS('DRAFT 2'!$D:$D,$B140,'DRAFT 2'!$A:$A,"&gt;="&amp;DATE(2026,11,15),'DRAFT 2'!$A:$A,"&lt;="&amp;DATE(2026,11,21))</f>
        <v>0</v>
      </c>
      <c r="IG140">
        <f>COUNTIFS('DRAFT 2'!$D:$D,$B140,'DRAFT 2'!$A:$A,"&gt;="&amp;DATE(2026,11,22),'DRAFT 2'!$A:$A,"&lt;"&amp;DATE(2026,IF(11=12,11+1,11+1),1))</f>
        <v>0</v>
      </c>
      <c r="IH140">
        <f t="shared" si="68"/>
        <v>0</v>
      </c>
      <c r="IR140">
        <f>IFERROR(LOOKUP(2,1/('DRAFT 2'!$D:$D=$B140)*('DRAFT 2'!$A:$A&gt;=DATE(2026,12,1))*('DRAFT 2'!$A:$A&lt;DATE(2026,IF(12=12,12+1,12+1),1)),'DRAFT 2'!$A:$A),"")</f>
        <v>0</v>
      </c>
      <c r="IS140">
        <f>COUNTIFS('DRAFT 2'!$D:$D,$B140,'DRAFT 2'!$A:$A,"&gt;="&amp;DATE(2026,12,1),'DRAFT 2'!$A:$A,"&lt;="&amp;DATE(2026,12,7))</f>
        <v>0</v>
      </c>
      <c r="IT140">
        <f>COUNTIFS('DRAFT 2'!$D:$D,$B140,'DRAFT 2'!$A:$A,"&gt;="&amp;DATE(2026,12,8),'DRAFT 2'!$A:$A,"&lt;="&amp;DATE(2026,12,14))</f>
        <v>0</v>
      </c>
      <c r="IU140">
        <f>COUNTIFS('DRAFT 2'!$D:$D,$B140,'DRAFT 2'!$A:$A,"&gt;="&amp;DATE(2026,12,15),'DRAFT 2'!$A:$A,"&lt;="&amp;DATE(2026,12,21))</f>
        <v>0</v>
      </c>
      <c r="IV140">
        <f>COUNTIFS('DRAFT 2'!$D:$D,$B140,'DRAFT 2'!$A:$A,"&gt;="&amp;DATE(2026,12,22),'DRAFT 2'!$A:$A,"&lt;"&amp;DATE(2026,IF(12=12,12+1,12+1),1))</f>
        <v>0</v>
      </c>
      <c r="IW140">
        <f t="shared" si="69"/>
        <v>0</v>
      </c>
    </row>
    <row r="141" spans="1:257" x14ac:dyDescent="0.3">
      <c r="A141" t="str">
        <f>IFERROR(INDEX('DRAFT 1'!$A:$A,MATCH($B141,'DRAFT 1'!$B:$B,0)),"")</f>
        <v/>
      </c>
      <c r="C141" t="str">
        <f>IFERROR(INDEX('DRAFT 1'!$C:$C,MATCH($B141,'DRAFT 1'!$B:$B,0)),"")</f>
        <v/>
      </c>
      <c r="D141" t="str">
        <f>IFERROR(INDEX('DRAFT 1'!$D:$D,MATCH($B141,'DRAFT 1'!$B:$B,0)),"")</f>
        <v/>
      </c>
      <c r="E141" t="str">
        <f>IFERROR(INDEX('DRAFT 1'!$E:$E,MATCH($B141,'DRAFT 1'!$B:$B,0)),"")</f>
        <v/>
      </c>
      <c r="F141" t="str">
        <f>IFERROR(INDEX('DRAFT 1'!$F:$F,MATCH($B141,'DRAFT 1'!$B:$B,0)),"")</f>
        <v/>
      </c>
      <c r="G141" t="str">
        <f>IFERROR(INDEX('DRAFT 1'!$G:$G,MATCH($B141,'DRAFT 1'!$B:$B,0)),"")</f>
        <v/>
      </c>
      <c r="H141" t="str">
        <f>IFERROR(INDEX('DRAFT 1'!$H:$H,MATCH($B141,'DRAFT 1'!$B:$B,0)),"")</f>
        <v/>
      </c>
      <c r="I141" t="str">
        <f>IFERROR(INDEX('DRAFT 1'!$I:$I,MATCH($B141,'DRAFT 1'!$B:$B,0)),"")</f>
        <v/>
      </c>
      <c r="K141" t="str">
        <f>IFERROR(INDEX('DRAFT 1'!$AL:$AL,MATCH($B141,'DRAFT 1'!$B:$B,0)),"")</f>
        <v/>
      </c>
      <c r="L141" t="str">
        <f>IFERROR(INDEX('DRAFT 1'!$J:$J,MATCH($B141,'DRAFT 1'!$B:$B,0)),"")</f>
        <v/>
      </c>
      <c r="M141" t="str">
        <f>IFERROR(INDEX('DRAFT 1'!$K:$K,MATCH($B141,'DRAFT 1'!$B:$B,0)),"")</f>
        <v/>
      </c>
      <c r="P141" t="str">
        <f>IFERROR(INDEX('DRAFT 1'!$L:$L,MATCH($B141,'DRAFT 1'!$B:$B,0)),"")</f>
        <v/>
      </c>
      <c r="Q141" t="str">
        <f>IFERROR(INDEX('DRAFT 1'!$M:$M,MATCH($B141,'DRAFT 1'!$B:$B,0)),"")</f>
        <v/>
      </c>
      <c r="R141" t="str">
        <f>IFERROR(INDEX('DRAFT 1'!$N:$N,MATCH($B141,'DRAFT 1'!$B:$B,0)),"")</f>
        <v/>
      </c>
      <c r="S141" t="str">
        <f>IFERROR(INDEX('DRAFT 1'!$O:$O,MATCH($B141,'DRAFT 1'!$B:$B,0)),"")</f>
        <v/>
      </c>
      <c r="T141" t="str">
        <f>IFERROR(INDEX('DRAFT 1'!$P:$P,MATCH($B141,'DRAFT 1'!$B:$B,0)),"")</f>
        <v/>
      </c>
      <c r="U141" t="str">
        <f>IFERROR(INDEX('DRAFT 1'!$Q:$Q,MATCH($B141,'DRAFT 1'!$B:$B,0)),"")</f>
        <v/>
      </c>
      <c r="V141" t="str">
        <f>IFERROR(INDEX('DRAFT 1'!$R:$R,MATCH($B141,'DRAFT 1'!$B:$B,0)),"")</f>
        <v/>
      </c>
      <c r="W141" t="str">
        <f>IFERROR(INDEX('DRAFT 1'!$S:$S,MATCH($B141,'DRAFT 1'!$B:$B,0)),"")</f>
        <v/>
      </c>
      <c r="X141" t="str">
        <f>IFERROR(INDEX('DRAFT 1'!$T:$T,MATCH($B141,'DRAFT 1'!$B:$B,0)),"")</f>
        <v/>
      </c>
      <c r="Z141" t="str">
        <f>IFERROR(INDEX('DRAFT 1'!$U:$U,MATCH($B141,'DRAFT 1'!$B:$B,0)),"")</f>
        <v/>
      </c>
      <c r="AA141" t="str">
        <f>IFERROR(INDEX('DRAFT 1'!$V:$V,MATCH($B141,'DRAFT 1'!$B:$B,0)),"")</f>
        <v/>
      </c>
      <c r="AB141" t="str">
        <f>IFERROR(INDEX('DRAFT 1'!$W:$W,MATCH($B141,'DRAFT 1'!$B:$B,0)),"")</f>
        <v/>
      </c>
      <c r="AC141" t="str">
        <f>IFERROR(INDEX('DRAFT 1'!$X:$X,MATCH($B141,'DRAFT 1'!$B:$B,0)),"")</f>
        <v/>
      </c>
      <c r="AD141" t="str">
        <f>IFERROR(INDEX('DRAFT 1'!$Y:$Y,MATCH($B141,'DRAFT 1'!$B:$B,0)),"")</f>
        <v/>
      </c>
      <c r="AE141" t="str">
        <f>IFERROR(INDEX('DRAFT 1'!$Z:$Z,MATCH($B141,'DRAFT 1'!$B:$B,0)),"")</f>
        <v/>
      </c>
      <c r="AF141" t="str">
        <f>IFERROR(INDEX('DRAFT 1'!$AA:$AA,MATCH($B141,'DRAFT 1'!$B:$B,0)),"")</f>
        <v/>
      </c>
      <c r="AG141" t="str">
        <f>IFERROR(INDEX('DRAFT 1'!$AB:$AB,MATCH($B141,'DRAFT 1'!$B:$B,0)),"")</f>
        <v/>
      </c>
      <c r="AH141" t="str">
        <f>IFERROR(INDEX('DRAFT 1'!$AC:$AC,MATCH($B141,'DRAFT 1'!$B:$B,0)),"")</f>
        <v/>
      </c>
      <c r="AI141" t="str">
        <f>IFERROR(INDEX('DRAFT 1'!$AD:$AD,MATCH($B141,'DRAFT 1'!$B:$B,0)),"")</f>
        <v/>
      </c>
      <c r="AJ141" t="str">
        <f>IFERROR(INDEX('DRAFT 1'!$AE:$AE,MATCH($B141,'DRAFT 1'!$B:$B,0)),"")</f>
        <v/>
      </c>
      <c r="AK141" t="str">
        <f>IFERROR(INDEX('DRAFT 1'!$AG:$AG,MATCH($B141,'DRAFT 1'!$B:$B,0)),"")</f>
        <v/>
      </c>
      <c r="AL141" t="str">
        <f>IFERROR(INDEX('DRAFT 1'!$AH:$AH,MATCH($B141,'DRAFT 1'!$B:$B,0)),"")</f>
        <v/>
      </c>
      <c r="AM141" t="str">
        <f>IFERROR(INDEX('DRAFT 1'!$AI:$AI,MATCH($B141,'DRAFT 1'!$B:$B,0)),"")</f>
        <v/>
      </c>
      <c r="AN141" t="str">
        <f>IFERROR(INDEX('DRAFT 1'!$AJ:$AJ,MATCH($B141,'DRAFT 1'!$B:$B,0)),"")</f>
        <v/>
      </c>
      <c r="AO141">
        <f t="shared" si="56"/>
        <v>0</v>
      </c>
      <c r="AP141" t="str">
        <f>IFERROR(INDEX('DRAFT 1'!$AK:$AK,MATCH($B141,'DRAFT 1'!$B:$B,0)),"")</f>
        <v/>
      </c>
      <c r="AR141">
        <f>IFERROR(LOOKUP(2,1/('DRAFT 2'!$D:$D=$B141),'DRAFT 2'!$I:$I),"")</f>
        <v>0</v>
      </c>
      <c r="AS141">
        <f>IFERROR(LOOKUP(2,1/('DRAFT 2'!$D:$D=$B141),'DRAFT 2'!$T:$T),"")</f>
        <v>0</v>
      </c>
      <c r="AT141">
        <f>IFERROR(LOOKUP(2,1/('DRAFT 2'!$D:$D=$B141),'DRAFT 2'!$A:$A),"")</f>
        <v>0</v>
      </c>
      <c r="AU141">
        <f>IFERROR(LOOKUP(2,1/('DRAFT 2'!$D:$D=$B141),'DRAFT 2'!$R:$R),"")</f>
        <v>0</v>
      </c>
      <c r="AV141">
        <f>IFERROR(LOOKUP(2,1/('DRAFT 2'!$D:$D=$B141),'DRAFT 2'!$S:$S),"")</f>
        <v>0</v>
      </c>
      <c r="AX141">
        <f>IFERROR(LOOKUP(2,1/('DRAFT 2'!$D:$D=$B141),'DRAFT 2'!$M:$M),"")</f>
        <v>0</v>
      </c>
      <c r="AY141">
        <f>IFERROR(LOOKUP(2,1/('DRAFT 2'!$D:$D=$B141),'DRAFT 2'!$K:$K),"")</f>
        <v>0</v>
      </c>
      <c r="BG141">
        <f>IFERROR(LOOKUP(2,1/('DRAFT 2'!$D:$D=$B141),'DRAFT 2'!$U:$U),"")</f>
        <v>0</v>
      </c>
      <c r="BH141">
        <f>IFERROR(LOOKUP(2,1/('DRAFT 2'!$D:$D=$B141),'DRAFT 2'!$V:$V),"")</f>
        <v>0</v>
      </c>
      <c r="CE141" t="str">
        <f t="shared" si="57"/>
        <v/>
      </c>
      <c r="CF141">
        <f>IFERROR(LOOKUP(2,1/('DRAFT 2'!$D:$D=$B141)*('DRAFT 2'!$A:$A&gt;=DATE(2026,1,1))*('DRAFT 2'!$A:$A&lt;DATE(2026,IF(1=12,1+1,1+1),1)),'DRAFT 2'!$A:$A),"")</f>
        <v>0</v>
      </c>
      <c r="CG141">
        <f>COUNTIFS('DRAFT 2'!$D:$D,$B141,'DRAFT 2'!$A:$A,"&gt;="&amp;DATE(2026,1,1),'DRAFT 2'!$A:$A,"&lt;="&amp;DATE(2026,1,7))</f>
        <v>0</v>
      </c>
      <c r="CH141">
        <f>COUNTIFS('DRAFT 2'!$D:$D,$B141,'DRAFT 2'!$A:$A,"&gt;="&amp;DATE(2026,1,8),'DRAFT 2'!$A:$A,"&lt;="&amp;DATE(2026,1,14))</f>
        <v>0</v>
      </c>
      <c r="CI141">
        <f>COUNTIFS('DRAFT 2'!$D:$D,$B141,'DRAFT 2'!$A:$A,"&gt;="&amp;DATE(2026,1,15),'DRAFT 2'!$A:$A,"&lt;="&amp;DATE(2026,1,21))</f>
        <v>0</v>
      </c>
      <c r="CJ141">
        <f>COUNTIFS('DRAFT 2'!$D:$D,$B141,'DRAFT 2'!$A:$A,"&gt;="&amp;DATE(2026,1,22),'DRAFT 2'!$A:$A,"&lt;"&amp;DATE(2026,IF(1=12,1+1,1+1),1))</f>
        <v>0</v>
      </c>
      <c r="CK141">
        <f t="shared" si="58"/>
        <v>0</v>
      </c>
      <c r="CT141">
        <v>0</v>
      </c>
      <c r="CU141">
        <f>IFERROR(LOOKUP(2,1/('DRAFT 2'!$D:$D=$B141)*('DRAFT 2'!$A:$A&gt;=DATE(2026,2,1))*('DRAFT 2'!$A:$A&lt;DATE(2026,IF(2=12,2+1,2+1),1)),'DRAFT 2'!$A:$A),"")</f>
        <v>0</v>
      </c>
      <c r="CV141">
        <f>COUNTIFS('DRAFT 2'!$D:$D,$B141,'DRAFT 2'!$A:$A,"&gt;="&amp;DATE(2026,2,1),'DRAFT 2'!$A:$A,"&lt;="&amp;DATE(2026,2,7))</f>
        <v>0</v>
      </c>
      <c r="CW141">
        <f>COUNTIFS('DRAFT 2'!$D:$D,$B141,'DRAFT 2'!$A:$A,"&gt;="&amp;DATE(2026,2,8),'DRAFT 2'!$A:$A,"&lt;="&amp;DATE(2026,2,14))</f>
        <v>0</v>
      </c>
      <c r="CX141">
        <f>COUNTIFS('DRAFT 2'!$D:$D,$B141,'DRAFT 2'!$A:$A,"&gt;="&amp;DATE(2026,2,15),'DRAFT 2'!$A:$A,"&lt;="&amp;DATE(2026,2,21))</f>
        <v>0</v>
      </c>
      <c r="CY141">
        <f>COUNTIFS('DRAFT 2'!$D:$D,$B141,'DRAFT 2'!$A:$A,"&gt;="&amp;DATE(2026,2,22),'DRAFT 2'!$A:$A,"&lt;"&amp;DATE(2026,IF(2=12,2+1,2+1),1))</f>
        <v>0</v>
      </c>
      <c r="CZ141">
        <f t="shared" si="59"/>
        <v>0</v>
      </c>
      <c r="DJ141">
        <f>IFERROR(LOOKUP(2,1/('DRAFT 2'!$D:$D=$B141)*('DRAFT 2'!$A:$A&gt;=DATE(2026,3,1))*('DRAFT 2'!$A:$A&lt;DATE(2026,IF(3=12,3+1,3+1),1)),'DRAFT 2'!$A:$A),"")</f>
        <v>0</v>
      </c>
      <c r="DK141">
        <f>COUNTIFS('DRAFT 2'!$D:$D,$B141,'DRAFT 2'!$A:$A,"&gt;="&amp;DATE(2026,3,1),'DRAFT 2'!$A:$A,"&lt;="&amp;DATE(2026,3,7))</f>
        <v>0</v>
      </c>
      <c r="DL141">
        <f>COUNTIFS('DRAFT 2'!$D:$D,$B141,'DRAFT 2'!$A:$A,"&gt;="&amp;DATE(2026,3,8),'DRAFT 2'!$A:$A,"&lt;="&amp;DATE(2026,3,14))</f>
        <v>0</v>
      </c>
      <c r="DM141">
        <f>COUNTIFS('DRAFT 2'!$D:$D,$B141,'DRAFT 2'!$A:$A,"&gt;="&amp;DATE(2026,3,15),'DRAFT 2'!$A:$A,"&lt;="&amp;DATE(2026,3,21))</f>
        <v>0</v>
      </c>
      <c r="DN141">
        <f>COUNTIFS('DRAFT 2'!$D:$D,$B141,'DRAFT 2'!$A:$A,"&gt;="&amp;DATE(2026,3,22),'DRAFT 2'!$A:$A,"&lt;"&amp;DATE(2026,IF(3=12,3+1,3+1),1))</f>
        <v>0</v>
      </c>
      <c r="DO141">
        <f t="shared" si="60"/>
        <v>0</v>
      </c>
      <c r="DZ141">
        <f>IFERROR(LOOKUP(2,1/('DRAFT 2'!$D:$D=$B141)*('DRAFT 2'!$A:$A&gt;=DATE(2026,4,1))*('DRAFT 2'!$A:$A&lt;DATE(2026,IF(4=12,4+1,4+1),1)),'DRAFT 2'!$A:$A),"")</f>
        <v>0</v>
      </c>
      <c r="EA141">
        <f>COUNTIFS('DRAFT 2'!$D:$D,$B141,'DRAFT 2'!$A:$A,"&gt;="&amp;DATE(2026,4,1),'DRAFT 2'!$A:$A,"&lt;="&amp;DATE(2026,4,7))</f>
        <v>0</v>
      </c>
      <c r="EB141">
        <f>COUNTIFS('DRAFT 2'!$D:$D,$B141,'DRAFT 2'!$A:$A,"&gt;="&amp;DATE(2026,4,8),'DRAFT 2'!$A:$A,"&lt;="&amp;DATE(2026,4,14))</f>
        <v>0</v>
      </c>
      <c r="EC141">
        <f>COUNTIFS('DRAFT 2'!$D:$D,$B141,'DRAFT 2'!$A:$A,"&gt;="&amp;DATE(2026,4,15),'DRAFT 2'!$A:$A,"&lt;="&amp;DATE(2026,4,21))</f>
        <v>0</v>
      </c>
      <c r="ED141">
        <f>COUNTIFS('DRAFT 2'!$D:$D,$B141,'DRAFT 2'!$A:$A,"&gt;="&amp;DATE(2026,4,22),'DRAFT 2'!$A:$A,"&lt;"&amp;DATE(2026,IF(4=12,4+1,4+1),1))</f>
        <v>0</v>
      </c>
      <c r="EE141">
        <f t="shared" si="61"/>
        <v>0</v>
      </c>
      <c r="EO141">
        <f>IFERROR(LOOKUP(2,1/('DRAFT 2'!$D:$D=$B141)*('DRAFT 2'!$A:$A&gt;=DATE(2026,5,1))*('DRAFT 2'!$A:$A&lt;DATE(2026,IF(5=12,5+1,5+1),1)),'DRAFT 2'!$A:$A),"")</f>
        <v>0</v>
      </c>
      <c r="EP141">
        <f>COUNTIFS('DRAFT 2'!$D:$D,$B141,'DRAFT 2'!$A:$A,"&gt;="&amp;DATE(2026,5,1),'DRAFT 2'!$A:$A,"&lt;="&amp;DATE(2026,5,7))</f>
        <v>0</v>
      </c>
      <c r="EQ141">
        <f>COUNTIFS('DRAFT 2'!$D:$D,$B141,'DRAFT 2'!$A:$A,"&gt;="&amp;DATE(2026,5,8),'DRAFT 2'!$A:$A,"&lt;="&amp;DATE(2026,5,14))</f>
        <v>0</v>
      </c>
      <c r="ER141">
        <f>COUNTIFS('DRAFT 2'!$D:$D,$B141,'DRAFT 2'!$A:$A,"&gt;="&amp;DATE(2026,5,15),'DRAFT 2'!$A:$A,"&lt;="&amp;DATE(2026,5,21))</f>
        <v>0</v>
      </c>
      <c r="ES141">
        <f>COUNTIFS('DRAFT 2'!$D:$D,$B141,'DRAFT 2'!$A:$A,"&gt;="&amp;DATE(2026,5,22),'DRAFT 2'!$A:$A,"&lt;"&amp;DATE(2026,IF(5=12,5+1,5+1),1))</f>
        <v>0</v>
      </c>
      <c r="ET141">
        <f t="shared" si="62"/>
        <v>0</v>
      </c>
      <c r="FD141">
        <f>IFERROR(LOOKUP(2,1/('DRAFT 2'!$D:$D=$B141)*('DRAFT 2'!$A:$A&gt;=DATE(2026,6,1))*('DRAFT 2'!$A:$A&lt;DATE(2026,IF(6=12,6+1,6+1),1)),'DRAFT 2'!$A:$A),"")</f>
        <v>0</v>
      </c>
      <c r="FE141">
        <f>COUNTIFS('DRAFT 2'!$D:$D,$B141,'DRAFT 2'!$A:$A,"&gt;="&amp;DATE(2026,6,1),'DRAFT 2'!$A:$A,"&lt;="&amp;DATE(2026,6,7))</f>
        <v>0</v>
      </c>
      <c r="FF141">
        <f>COUNTIFS('DRAFT 2'!$D:$D,$B141,'DRAFT 2'!$A:$A,"&gt;="&amp;DATE(2026,6,8),'DRAFT 2'!$A:$A,"&lt;="&amp;DATE(2026,6,14))</f>
        <v>0</v>
      </c>
      <c r="FG141">
        <f>COUNTIFS('DRAFT 2'!$D:$D,$B141,'DRAFT 2'!$A:$A,"&gt;="&amp;DATE(2026,6,15),'DRAFT 2'!$A:$A,"&lt;="&amp;DATE(2026,6,21))</f>
        <v>0</v>
      </c>
      <c r="FH141">
        <f>COUNTIFS('DRAFT 2'!$D:$D,$B141,'DRAFT 2'!$A:$A,"&gt;="&amp;DATE(2026,6,22),'DRAFT 2'!$A:$A,"&lt;"&amp;DATE(2026,IF(6=12,6+1,6+1),1))</f>
        <v>0</v>
      </c>
      <c r="FI141">
        <f t="shared" si="63"/>
        <v>0</v>
      </c>
      <c r="FT141">
        <f>IFERROR(LOOKUP(2,1/('DRAFT 2'!$D:$D=$B141)*('DRAFT 2'!$A:$A&gt;=DATE(2026,7,1))*('DRAFT 2'!$A:$A&lt;DATE(2026,IF(7=12,7+1,7+1),1)),'DRAFT 2'!$A:$A),"")</f>
        <v>0</v>
      </c>
      <c r="FU141">
        <f>COUNTIFS('DRAFT 2'!$D:$D,$B141,'DRAFT 2'!$A:$A,"&gt;="&amp;DATE(2026,7,1),'DRAFT 2'!$A:$A,"&lt;="&amp;DATE(2026,7,7))</f>
        <v>0</v>
      </c>
      <c r="FV141">
        <f>COUNTIFS('DRAFT 2'!$D:$D,$B141,'DRAFT 2'!$A:$A,"&gt;="&amp;DATE(2026,7,8),'DRAFT 2'!$A:$A,"&lt;="&amp;DATE(2026,7,14))</f>
        <v>0</v>
      </c>
      <c r="FW141">
        <f>COUNTIFS('DRAFT 2'!$D:$D,$B141,'DRAFT 2'!$A:$A,"&gt;="&amp;DATE(2026,7,15),'DRAFT 2'!$A:$A,"&lt;="&amp;DATE(2026,7,21))</f>
        <v>0</v>
      </c>
      <c r="FX141">
        <f>COUNTIFS('DRAFT 2'!$D:$D,$B141,'DRAFT 2'!$A:$A,"&gt;="&amp;DATE(2026,7,22),'DRAFT 2'!$A:$A,"&lt;"&amp;DATE(2026,IF(7=12,7+1,7+1),1))</f>
        <v>0</v>
      </c>
      <c r="FY141">
        <f t="shared" si="64"/>
        <v>0</v>
      </c>
      <c r="GI141">
        <f>IFERROR(LOOKUP(2,1/('DRAFT 2'!$D:$D=$B141)*('DRAFT 2'!$A:$A&gt;=DATE(2026,8,1))*('DRAFT 2'!$A:$A&lt;DATE(2026,IF(8=12,8+1,8+1),1)),'DRAFT 2'!$A:$A),"")</f>
        <v>0</v>
      </c>
      <c r="GJ141">
        <f>COUNTIFS('DRAFT 2'!$D:$D,$B141,'DRAFT 2'!$A:$A,"&gt;="&amp;DATE(2026,8,1),'DRAFT 2'!$A:$A,"&lt;="&amp;DATE(2026,8,7))</f>
        <v>0</v>
      </c>
      <c r="GK141">
        <f>COUNTIFS('DRAFT 2'!$D:$D,$B141,'DRAFT 2'!$A:$A,"&gt;="&amp;DATE(2026,8,8),'DRAFT 2'!$A:$A,"&lt;="&amp;DATE(2026,8,14))</f>
        <v>0</v>
      </c>
      <c r="GL141">
        <f>COUNTIFS('DRAFT 2'!$D:$D,$B141,'DRAFT 2'!$A:$A,"&gt;="&amp;DATE(2026,8,15),'DRAFT 2'!$A:$A,"&lt;="&amp;DATE(2026,8,21))</f>
        <v>0</v>
      </c>
      <c r="GM141">
        <f>COUNTIFS('DRAFT 2'!$D:$D,$B141,'DRAFT 2'!$A:$A,"&gt;="&amp;DATE(2026,8,22),'DRAFT 2'!$A:$A,"&lt;"&amp;DATE(2026,IF(8=12,8+1,8+1),1))</f>
        <v>0</v>
      </c>
      <c r="GN141">
        <f t="shared" si="65"/>
        <v>0</v>
      </c>
      <c r="GX141">
        <f>IFERROR(LOOKUP(2,1/('DRAFT 2'!$D:$D=$B141)*('DRAFT 2'!$A:$A&gt;=DATE(2026,9,1))*('DRAFT 2'!$A:$A&lt;DATE(2026,IF(9=12,9+1,9+1),1)),'DRAFT 2'!$A:$A),"")</f>
        <v>0</v>
      </c>
      <c r="GY141">
        <f>COUNTIFS('DRAFT 2'!$D:$D,$B141,'DRAFT 2'!$A:$A,"&gt;="&amp;DATE(2026,9,1),'DRAFT 2'!$A:$A,"&lt;="&amp;DATE(2026,9,7))</f>
        <v>0</v>
      </c>
      <c r="GZ141">
        <f>COUNTIFS('DRAFT 2'!$D:$D,$B141,'DRAFT 2'!$A:$A,"&gt;="&amp;DATE(2026,9,8),'DRAFT 2'!$A:$A,"&lt;="&amp;DATE(2026,9,14))</f>
        <v>0</v>
      </c>
      <c r="HA141">
        <f>COUNTIFS('DRAFT 2'!$D:$D,$B141,'DRAFT 2'!$A:$A,"&gt;="&amp;DATE(2026,9,15),'DRAFT 2'!$A:$A,"&lt;="&amp;DATE(2026,9,21))</f>
        <v>0</v>
      </c>
      <c r="HB141">
        <f>COUNTIFS('DRAFT 2'!$D:$D,$B141,'DRAFT 2'!$A:$A,"&gt;="&amp;DATE(2026,9,22),'DRAFT 2'!$A:$A,"&lt;"&amp;DATE(2026,IF(9=12,9+1,9+1),1))</f>
        <v>0</v>
      </c>
      <c r="HC141">
        <f t="shared" si="66"/>
        <v>0</v>
      </c>
      <c r="HN141">
        <f>IFERROR(LOOKUP(2,1/('DRAFT 2'!$D:$D=$B141)*('DRAFT 2'!$A:$A&gt;=DATE(2026,10,1))*('DRAFT 2'!$A:$A&lt;DATE(2026,IF(10=12,10+1,10+1),1)),'DRAFT 2'!$A:$A),"")</f>
        <v>0</v>
      </c>
      <c r="HO141">
        <f>COUNTIFS('DRAFT 2'!$D:$D,$B141,'DRAFT 2'!$A:$A,"&gt;="&amp;DATE(2026,10,1),'DRAFT 2'!$A:$A,"&lt;="&amp;DATE(2026,10,7))</f>
        <v>0</v>
      </c>
      <c r="HP141">
        <f>COUNTIFS('DRAFT 2'!$D:$D,$B141,'DRAFT 2'!$A:$A,"&gt;="&amp;DATE(2026,10,8),'DRAFT 2'!$A:$A,"&lt;="&amp;DATE(2026,10,14))</f>
        <v>0</v>
      </c>
      <c r="HQ141">
        <f>COUNTIFS('DRAFT 2'!$D:$D,$B141,'DRAFT 2'!$A:$A,"&gt;="&amp;DATE(2026,10,15),'DRAFT 2'!$A:$A,"&lt;="&amp;DATE(2026,10,21))</f>
        <v>0</v>
      </c>
      <c r="HR141">
        <f>COUNTIFS('DRAFT 2'!$D:$D,$B141,'DRAFT 2'!$A:$A,"&gt;="&amp;DATE(2026,10,22),'DRAFT 2'!$A:$A,"&lt;"&amp;DATE(2026,IF(10=12,10+1,10+1),1))</f>
        <v>0</v>
      </c>
      <c r="HS141">
        <f t="shared" si="67"/>
        <v>0</v>
      </c>
      <c r="IC141">
        <f>IFERROR(LOOKUP(2,1/('DRAFT 2'!$D:$D=$B141)*('DRAFT 2'!$A:$A&gt;=DATE(2026,11,1))*('DRAFT 2'!$A:$A&lt;DATE(2026,IF(11=12,11+1,11+1),1)),'DRAFT 2'!$A:$A),"")</f>
        <v>0</v>
      </c>
      <c r="ID141">
        <f>COUNTIFS('DRAFT 2'!$D:$D,$B141,'DRAFT 2'!$A:$A,"&gt;="&amp;DATE(2026,11,1),'DRAFT 2'!$A:$A,"&lt;="&amp;DATE(2026,11,7))</f>
        <v>0</v>
      </c>
      <c r="IE141">
        <f>COUNTIFS('DRAFT 2'!$D:$D,$B141,'DRAFT 2'!$A:$A,"&gt;="&amp;DATE(2026,11,8),'DRAFT 2'!$A:$A,"&lt;="&amp;DATE(2026,11,14))</f>
        <v>0</v>
      </c>
      <c r="IF141">
        <f>COUNTIFS('DRAFT 2'!$D:$D,$B141,'DRAFT 2'!$A:$A,"&gt;="&amp;DATE(2026,11,15),'DRAFT 2'!$A:$A,"&lt;="&amp;DATE(2026,11,21))</f>
        <v>0</v>
      </c>
      <c r="IG141">
        <f>COUNTIFS('DRAFT 2'!$D:$D,$B141,'DRAFT 2'!$A:$A,"&gt;="&amp;DATE(2026,11,22),'DRAFT 2'!$A:$A,"&lt;"&amp;DATE(2026,IF(11=12,11+1,11+1),1))</f>
        <v>0</v>
      </c>
      <c r="IH141">
        <f t="shared" si="68"/>
        <v>0</v>
      </c>
      <c r="IR141">
        <f>IFERROR(LOOKUP(2,1/('DRAFT 2'!$D:$D=$B141)*('DRAFT 2'!$A:$A&gt;=DATE(2026,12,1))*('DRAFT 2'!$A:$A&lt;DATE(2026,IF(12=12,12+1,12+1),1)),'DRAFT 2'!$A:$A),"")</f>
        <v>0</v>
      </c>
      <c r="IS141">
        <f>COUNTIFS('DRAFT 2'!$D:$D,$B141,'DRAFT 2'!$A:$A,"&gt;="&amp;DATE(2026,12,1),'DRAFT 2'!$A:$A,"&lt;="&amp;DATE(2026,12,7))</f>
        <v>0</v>
      </c>
      <c r="IT141">
        <f>COUNTIFS('DRAFT 2'!$D:$D,$B141,'DRAFT 2'!$A:$A,"&gt;="&amp;DATE(2026,12,8),'DRAFT 2'!$A:$A,"&lt;="&amp;DATE(2026,12,14))</f>
        <v>0</v>
      </c>
      <c r="IU141">
        <f>COUNTIFS('DRAFT 2'!$D:$D,$B141,'DRAFT 2'!$A:$A,"&gt;="&amp;DATE(2026,12,15),'DRAFT 2'!$A:$A,"&lt;="&amp;DATE(2026,12,21))</f>
        <v>0</v>
      </c>
      <c r="IV141">
        <f>COUNTIFS('DRAFT 2'!$D:$D,$B141,'DRAFT 2'!$A:$A,"&gt;="&amp;DATE(2026,12,22),'DRAFT 2'!$A:$A,"&lt;"&amp;DATE(2026,IF(12=12,12+1,12+1),1))</f>
        <v>0</v>
      </c>
      <c r="IW141">
        <f t="shared" si="69"/>
        <v>0</v>
      </c>
    </row>
    <row r="142" spans="1:257" x14ac:dyDescent="0.3">
      <c r="A142" t="str">
        <f>IFERROR(INDEX('DRAFT 1'!$A:$A,MATCH($B142,'DRAFT 1'!$B:$B,0)),"")</f>
        <v/>
      </c>
      <c r="C142" t="str">
        <f>IFERROR(INDEX('DRAFT 1'!$C:$C,MATCH($B142,'DRAFT 1'!$B:$B,0)),"")</f>
        <v/>
      </c>
      <c r="D142" t="str">
        <f>IFERROR(INDEX('DRAFT 1'!$D:$D,MATCH($B142,'DRAFT 1'!$B:$B,0)),"")</f>
        <v/>
      </c>
      <c r="E142" t="str">
        <f>IFERROR(INDEX('DRAFT 1'!$E:$E,MATCH($B142,'DRAFT 1'!$B:$B,0)),"")</f>
        <v/>
      </c>
      <c r="F142" t="str">
        <f>IFERROR(INDEX('DRAFT 1'!$F:$F,MATCH($B142,'DRAFT 1'!$B:$B,0)),"")</f>
        <v/>
      </c>
      <c r="G142" t="str">
        <f>IFERROR(INDEX('DRAFT 1'!$G:$G,MATCH($B142,'DRAFT 1'!$B:$B,0)),"")</f>
        <v/>
      </c>
      <c r="H142" t="str">
        <f>IFERROR(INDEX('DRAFT 1'!$H:$H,MATCH($B142,'DRAFT 1'!$B:$B,0)),"")</f>
        <v/>
      </c>
      <c r="I142" t="str">
        <f>IFERROR(INDEX('DRAFT 1'!$I:$I,MATCH($B142,'DRAFT 1'!$B:$B,0)),"")</f>
        <v/>
      </c>
      <c r="K142" t="str">
        <f>IFERROR(INDEX('DRAFT 1'!$AL:$AL,MATCH($B142,'DRAFT 1'!$B:$B,0)),"")</f>
        <v/>
      </c>
      <c r="L142" t="str">
        <f>IFERROR(INDEX('DRAFT 1'!$J:$J,MATCH($B142,'DRAFT 1'!$B:$B,0)),"")</f>
        <v/>
      </c>
      <c r="M142" t="str">
        <f>IFERROR(INDEX('DRAFT 1'!$K:$K,MATCH($B142,'DRAFT 1'!$B:$B,0)),"")</f>
        <v/>
      </c>
      <c r="P142" t="str">
        <f>IFERROR(INDEX('DRAFT 1'!$L:$L,MATCH($B142,'DRAFT 1'!$B:$B,0)),"")</f>
        <v/>
      </c>
      <c r="Q142" t="str">
        <f>IFERROR(INDEX('DRAFT 1'!$M:$M,MATCH($B142,'DRAFT 1'!$B:$B,0)),"")</f>
        <v/>
      </c>
      <c r="R142" t="str">
        <f>IFERROR(INDEX('DRAFT 1'!$N:$N,MATCH($B142,'DRAFT 1'!$B:$B,0)),"")</f>
        <v/>
      </c>
      <c r="S142" t="str">
        <f>IFERROR(INDEX('DRAFT 1'!$O:$O,MATCH($B142,'DRAFT 1'!$B:$B,0)),"")</f>
        <v/>
      </c>
      <c r="T142" t="str">
        <f>IFERROR(INDEX('DRAFT 1'!$P:$P,MATCH($B142,'DRAFT 1'!$B:$B,0)),"")</f>
        <v/>
      </c>
      <c r="U142" t="str">
        <f>IFERROR(INDEX('DRAFT 1'!$Q:$Q,MATCH($B142,'DRAFT 1'!$B:$B,0)),"")</f>
        <v/>
      </c>
      <c r="V142" t="str">
        <f>IFERROR(INDEX('DRAFT 1'!$R:$R,MATCH($B142,'DRAFT 1'!$B:$B,0)),"")</f>
        <v/>
      </c>
      <c r="W142" t="str">
        <f>IFERROR(INDEX('DRAFT 1'!$S:$S,MATCH($B142,'DRAFT 1'!$B:$B,0)),"")</f>
        <v/>
      </c>
      <c r="X142" t="str">
        <f>IFERROR(INDEX('DRAFT 1'!$T:$T,MATCH($B142,'DRAFT 1'!$B:$B,0)),"")</f>
        <v/>
      </c>
      <c r="Z142" t="str">
        <f>IFERROR(INDEX('DRAFT 1'!$U:$U,MATCH($B142,'DRAFT 1'!$B:$B,0)),"")</f>
        <v/>
      </c>
      <c r="AA142" t="str">
        <f>IFERROR(INDEX('DRAFT 1'!$V:$V,MATCH($B142,'DRAFT 1'!$B:$B,0)),"")</f>
        <v/>
      </c>
      <c r="AB142" t="str">
        <f>IFERROR(INDEX('DRAFT 1'!$W:$W,MATCH($B142,'DRAFT 1'!$B:$B,0)),"")</f>
        <v/>
      </c>
      <c r="AC142" t="str">
        <f>IFERROR(INDEX('DRAFT 1'!$X:$X,MATCH($B142,'DRAFT 1'!$B:$B,0)),"")</f>
        <v/>
      </c>
      <c r="AD142" t="str">
        <f>IFERROR(INDEX('DRAFT 1'!$Y:$Y,MATCH($B142,'DRAFT 1'!$B:$B,0)),"")</f>
        <v/>
      </c>
      <c r="AE142" t="str">
        <f>IFERROR(INDEX('DRAFT 1'!$Z:$Z,MATCH($B142,'DRAFT 1'!$B:$B,0)),"")</f>
        <v/>
      </c>
      <c r="AF142" t="str">
        <f>IFERROR(INDEX('DRAFT 1'!$AA:$AA,MATCH($B142,'DRAFT 1'!$B:$B,0)),"")</f>
        <v/>
      </c>
      <c r="AG142" t="str">
        <f>IFERROR(INDEX('DRAFT 1'!$AB:$AB,MATCH($B142,'DRAFT 1'!$B:$B,0)),"")</f>
        <v/>
      </c>
      <c r="AH142" t="str">
        <f>IFERROR(INDEX('DRAFT 1'!$AC:$AC,MATCH($B142,'DRAFT 1'!$B:$B,0)),"")</f>
        <v/>
      </c>
      <c r="AI142" t="str">
        <f>IFERROR(INDEX('DRAFT 1'!$AD:$AD,MATCH($B142,'DRAFT 1'!$B:$B,0)),"")</f>
        <v/>
      </c>
      <c r="AJ142" t="str">
        <f>IFERROR(INDEX('DRAFT 1'!$AE:$AE,MATCH($B142,'DRAFT 1'!$B:$B,0)),"")</f>
        <v/>
      </c>
      <c r="AK142" t="str">
        <f>IFERROR(INDEX('DRAFT 1'!$AG:$AG,MATCH($B142,'DRAFT 1'!$B:$B,0)),"")</f>
        <v/>
      </c>
      <c r="AL142" t="str">
        <f>IFERROR(INDEX('DRAFT 1'!$AH:$AH,MATCH($B142,'DRAFT 1'!$B:$B,0)),"")</f>
        <v/>
      </c>
      <c r="AM142" t="str">
        <f>IFERROR(INDEX('DRAFT 1'!$AI:$AI,MATCH($B142,'DRAFT 1'!$B:$B,0)),"")</f>
        <v/>
      </c>
      <c r="AN142" t="str">
        <f>IFERROR(INDEX('DRAFT 1'!$AJ:$AJ,MATCH($B142,'DRAFT 1'!$B:$B,0)),"")</f>
        <v/>
      </c>
      <c r="AO142">
        <f t="shared" si="56"/>
        <v>0</v>
      </c>
      <c r="AP142" t="str">
        <f>IFERROR(INDEX('DRAFT 1'!$AK:$AK,MATCH($B142,'DRAFT 1'!$B:$B,0)),"")</f>
        <v/>
      </c>
      <c r="AR142">
        <f>IFERROR(LOOKUP(2,1/('DRAFT 2'!$D:$D=$B142),'DRAFT 2'!$I:$I),"")</f>
        <v>0</v>
      </c>
      <c r="AS142">
        <f>IFERROR(LOOKUP(2,1/('DRAFT 2'!$D:$D=$B142),'DRAFT 2'!$T:$T),"")</f>
        <v>0</v>
      </c>
      <c r="AT142">
        <f>IFERROR(LOOKUP(2,1/('DRAFT 2'!$D:$D=$B142),'DRAFT 2'!$A:$A),"")</f>
        <v>0</v>
      </c>
      <c r="AU142">
        <f>IFERROR(LOOKUP(2,1/('DRAFT 2'!$D:$D=$B142),'DRAFT 2'!$R:$R),"")</f>
        <v>0</v>
      </c>
      <c r="AV142">
        <f>IFERROR(LOOKUP(2,1/('DRAFT 2'!$D:$D=$B142),'DRAFT 2'!$S:$S),"")</f>
        <v>0</v>
      </c>
      <c r="AX142">
        <f>IFERROR(LOOKUP(2,1/('DRAFT 2'!$D:$D=$B142),'DRAFT 2'!$M:$M),"")</f>
        <v>0</v>
      </c>
      <c r="AY142">
        <f>IFERROR(LOOKUP(2,1/('DRAFT 2'!$D:$D=$B142),'DRAFT 2'!$K:$K),"")</f>
        <v>0</v>
      </c>
      <c r="BG142">
        <f>IFERROR(LOOKUP(2,1/('DRAFT 2'!$D:$D=$B142),'DRAFT 2'!$U:$U),"")</f>
        <v>0</v>
      </c>
      <c r="BH142">
        <f>IFERROR(LOOKUP(2,1/('DRAFT 2'!$D:$D=$B142),'DRAFT 2'!$V:$V),"")</f>
        <v>0</v>
      </c>
      <c r="CE142" t="str">
        <f t="shared" si="57"/>
        <v/>
      </c>
      <c r="CF142">
        <f>IFERROR(LOOKUP(2,1/('DRAFT 2'!$D:$D=$B142)*('DRAFT 2'!$A:$A&gt;=DATE(2026,1,1))*('DRAFT 2'!$A:$A&lt;DATE(2026,IF(1=12,1+1,1+1),1)),'DRAFT 2'!$A:$A),"")</f>
        <v>0</v>
      </c>
      <c r="CG142">
        <f>COUNTIFS('DRAFT 2'!$D:$D,$B142,'DRAFT 2'!$A:$A,"&gt;="&amp;DATE(2026,1,1),'DRAFT 2'!$A:$A,"&lt;="&amp;DATE(2026,1,7))</f>
        <v>0</v>
      </c>
      <c r="CH142">
        <f>COUNTIFS('DRAFT 2'!$D:$D,$B142,'DRAFT 2'!$A:$A,"&gt;="&amp;DATE(2026,1,8),'DRAFT 2'!$A:$A,"&lt;="&amp;DATE(2026,1,14))</f>
        <v>0</v>
      </c>
      <c r="CI142">
        <f>COUNTIFS('DRAFT 2'!$D:$D,$B142,'DRAFT 2'!$A:$A,"&gt;="&amp;DATE(2026,1,15),'DRAFT 2'!$A:$A,"&lt;="&amp;DATE(2026,1,21))</f>
        <v>0</v>
      </c>
      <c r="CJ142">
        <f>COUNTIFS('DRAFT 2'!$D:$D,$B142,'DRAFT 2'!$A:$A,"&gt;="&amp;DATE(2026,1,22),'DRAFT 2'!$A:$A,"&lt;"&amp;DATE(2026,IF(1=12,1+1,1+1),1))</f>
        <v>0</v>
      </c>
      <c r="CK142">
        <f t="shared" si="58"/>
        <v>0</v>
      </c>
      <c r="CT142">
        <v>0</v>
      </c>
      <c r="CU142">
        <f>IFERROR(LOOKUP(2,1/('DRAFT 2'!$D:$D=$B142)*('DRAFT 2'!$A:$A&gt;=DATE(2026,2,1))*('DRAFT 2'!$A:$A&lt;DATE(2026,IF(2=12,2+1,2+1),1)),'DRAFT 2'!$A:$A),"")</f>
        <v>0</v>
      </c>
      <c r="CV142">
        <f>COUNTIFS('DRAFT 2'!$D:$D,$B142,'DRAFT 2'!$A:$A,"&gt;="&amp;DATE(2026,2,1),'DRAFT 2'!$A:$A,"&lt;="&amp;DATE(2026,2,7))</f>
        <v>0</v>
      </c>
      <c r="CW142">
        <f>COUNTIFS('DRAFT 2'!$D:$D,$B142,'DRAFT 2'!$A:$A,"&gt;="&amp;DATE(2026,2,8),'DRAFT 2'!$A:$A,"&lt;="&amp;DATE(2026,2,14))</f>
        <v>0</v>
      </c>
      <c r="CX142">
        <f>COUNTIFS('DRAFT 2'!$D:$D,$B142,'DRAFT 2'!$A:$A,"&gt;="&amp;DATE(2026,2,15),'DRAFT 2'!$A:$A,"&lt;="&amp;DATE(2026,2,21))</f>
        <v>0</v>
      </c>
      <c r="CY142">
        <f>COUNTIFS('DRAFT 2'!$D:$D,$B142,'DRAFT 2'!$A:$A,"&gt;="&amp;DATE(2026,2,22),'DRAFT 2'!$A:$A,"&lt;"&amp;DATE(2026,IF(2=12,2+1,2+1),1))</f>
        <v>0</v>
      </c>
      <c r="CZ142">
        <f t="shared" si="59"/>
        <v>0</v>
      </c>
      <c r="DJ142">
        <f>IFERROR(LOOKUP(2,1/('DRAFT 2'!$D:$D=$B142)*('DRAFT 2'!$A:$A&gt;=DATE(2026,3,1))*('DRAFT 2'!$A:$A&lt;DATE(2026,IF(3=12,3+1,3+1),1)),'DRAFT 2'!$A:$A),"")</f>
        <v>0</v>
      </c>
      <c r="DK142">
        <f>COUNTIFS('DRAFT 2'!$D:$D,$B142,'DRAFT 2'!$A:$A,"&gt;="&amp;DATE(2026,3,1),'DRAFT 2'!$A:$A,"&lt;="&amp;DATE(2026,3,7))</f>
        <v>0</v>
      </c>
      <c r="DL142">
        <f>COUNTIFS('DRAFT 2'!$D:$D,$B142,'DRAFT 2'!$A:$A,"&gt;="&amp;DATE(2026,3,8),'DRAFT 2'!$A:$A,"&lt;="&amp;DATE(2026,3,14))</f>
        <v>0</v>
      </c>
      <c r="DM142">
        <f>COUNTIFS('DRAFT 2'!$D:$D,$B142,'DRAFT 2'!$A:$A,"&gt;="&amp;DATE(2026,3,15),'DRAFT 2'!$A:$A,"&lt;="&amp;DATE(2026,3,21))</f>
        <v>0</v>
      </c>
      <c r="DN142">
        <f>COUNTIFS('DRAFT 2'!$D:$D,$B142,'DRAFT 2'!$A:$A,"&gt;="&amp;DATE(2026,3,22),'DRAFT 2'!$A:$A,"&lt;"&amp;DATE(2026,IF(3=12,3+1,3+1),1))</f>
        <v>0</v>
      </c>
      <c r="DO142">
        <f t="shared" si="60"/>
        <v>0</v>
      </c>
      <c r="DZ142">
        <f>IFERROR(LOOKUP(2,1/('DRAFT 2'!$D:$D=$B142)*('DRAFT 2'!$A:$A&gt;=DATE(2026,4,1))*('DRAFT 2'!$A:$A&lt;DATE(2026,IF(4=12,4+1,4+1),1)),'DRAFT 2'!$A:$A),"")</f>
        <v>0</v>
      </c>
      <c r="EA142">
        <f>COUNTIFS('DRAFT 2'!$D:$D,$B142,'DRAFT 2'!$A:$A,"&gt;="&amp;DATE(2026,4,1),'DRAFT 2'!$A:$A,"&lt;="&amp;DATE(2026,4,7))</f>
        <v>0</v>
      </c>
      <c r="EB142">
        <f>COUNTIFS('DRAFT 2'!$D:$D,$B142,'DRAFT 2'!$A:$A,"&gt;="&amp;DATE(2026,4,8),'DRAFT 2'!$A:$A,"&lt;="&amp;DATE(2026,4,14))</f>
        <v>0</v>
      </c>
      <c r="EC142">
        <f>COUNTIFS('DRAFT 2'!$D:$D,$B142,'DRAFT 2'!$A:$A,"&gt;="&amp;DATE(2026,4,15),'DRAFT 2'!$A:$A,"&lt;="&amp;DATE(2026,4,21))</f>
        <v>0</v>
      </c>
      <c r="ED142">
        <f>COUNTIFS('DRAFT 2'!$D:$D,$B142,'DRAFT 2'!$A:$A,"&gt;="&amp;DATE(2026,4,22),'DRAFT 2'!$A:$A,"&lt;"&amp;DATE(2026,IF(4=12,4+1,4+1),1))</f>
        <v>0</v>
      </c>
      <c r="EE142">
        <f t="shared" si="61"/>
        <v>0</v>
      </c>
      <c r="EO142">
        <f>IFERROR(LOOKUP(2,1/('DRAFT 2'!$D:$D=$B142)*('DRAFT 2'!$A:$A&gt;=DATE(2026,5,1))*('DRAFT 2'!$A:$A&lt;DATE(2026,IF(5=12,5+1,5+1),1)),'DRAFT 2'!$A:$A),"")</f>
        <v>0</v>
      </c>
      <c r="EP142">
        <f>COUNTIFS('DRAFT 2'!$D:$D,$B142,'DRAFT 2'!$A:$A,"&gt;="&amp;DATE(2026,5,1),'DRAFT 2'!$A:$A,"&lt;="&amp;DATE(2026,5,7))</f>
        <v>0</v>
      </c>
      <c r="EQ142">
        <f>COUNTIFS('DRAFT 2'!$D:$D,$B142,'DRAFT 2'!$A:$A,"&gt;="&amp;DATE(2026,5,8),'DRAFT 2'!$A:$A,"&lt;="&amp;DATE(2026,5,14))</f>
        <v>0</v>
      </c>
      <c r="ER142">
        <f>COUNTIFS('DRAFT 2'!$D:$D,$B142,'DRAFT 2'!$A:$A,"&gt;="&amp;DATE(2026,5,15),'DRAFT 2'!$A:$A,"&lt;="&amp;DATE(2026,5,21))</f>
        <v>0</v>
      </c>
      <c r="ES142">
        <f>COUNTIFS('DRAFT 2'!$D:$D,$B142,'DRAFT 2'!$A:$A,"&gt;="&amp;DATE(2026,5,22),'DRAFT 2'!$A:$A,"&lt;"&amp;DATE(2026,IF(5=12,5+1,5+1),1))</f>
        <v>0</v>
      </c>
      <c r="ET142">
        <f t="shared" si="62"/>
        <v>0</v>
      </c>
      <c r="FD142">
        <f>IFERROR(LOOKUP(2,1/('DRAFT 2'!$D:$D=$B142)*('DRAFT 2'!$A:$A&gt;=DATE(2026,6,1))*('DRAFT 2'!$A:$A&lt;DATE(2026,IF(6=12,6+1,6+1),1)),'DRAFT 2'!$A:$A),"")</f>
        <v>0</v>
      </c>
      <c r="FE142">
        <f>COUNTIFS('DRAFT 2'!$D:$D,$B142,'DRAFT 2'!$A:$A,"&gt;="&amp;DATE(2026,6,1),'DRAFT 2'!$A:$A,"&lt;="&amp;DATE(2026,6,7))</f>
        <v>0</v>
      </c>
      <c r="FF142">
        <f>COUNTIFS('DRAFT 2'!$D:$D,$B142,'DRAFT 2'!$A:$A,"&gt;="&amp;DATE(2026,6,8),'DRAFT 2'!$A:$A,"&lt;="&amp;DATE(2026,6,14))</f>
        <v>0</v>
      </c>
      <c r="FG142">
        <f>COUNTIFS('DRAFT 2'!$D:$D,$B142,'DRAFT 2'!$A:$A,"&gt;="&amp;DATE(2026,6,15),'DRAFT 2'!$A:$A,"&lt;="&amp;DATE(2026,6,21))</f>
        <v>0</v>
      </c>
      <c r="FH142">
        <f>COUNTIFS('DRAFT 2'!$D:$D,$B142,'DRAFT 2'!$A:$A,"&gt;="&amp;DATE(2026,6,22),'DRAFT 2'!$A:$A,"&lt;"&amp;DATE(2026,IF(6=12,6+1,6+1),1))</f>
        <v>0</v>
      </c>
      <c r="FI142">
        <f t="shared" si="63"/>
        <v>0</v>
      </c>
      <c r="FT142">
        <f>IFERROR(LOOKUP(2,1/('DRAFT 2'!$D:$D=$B142)*('DRAFT 2'!$A:$A&gt;=DATE(2026,7,1))*('DRAFT 2'!$A:$A&lt;DATE(2026,IF(7=12,7+1,7+1),1)),'DRAFT 2'!$A:$A),"")</f>
        <v>0</v>
      </c>
      <c r="FU142">
        <f>COUNTIFS('DRAFT 2'!$D:$D,$B142,'DRAFT 2'!$A:$A,"&gt;="&amp;DATE(2026,7,1),'DRAFT 2'!$A:$A,"&lt;="&amp;DATE(2026,7,7))</f>
        <v>0</v>
      </c>
      <c r="FV142">
        <f>COUNTIFS('DRAFT 2'!$D:$D,$B142,'DRAFT 2'!$A:$A,"&gt;="&amp;DATE(2026,7,8),'DRAFT 2'!$A:$A,"&lt;="&amp;DATE(2026,7,14))</f>
        <v>0</v>
      </c>
      <c r="FW142">
        <f>COUNTIFS('DRAFT 2'!$D:$D,$B142,'DRAFT 2'!$A:$A,"&gt;="&amp;DATE(2026,7,15),'DRAFT 2'!$A:$A,"&lt;="&amp;DATE(2026,7,21))</f>
        <v>0</v>
      </c>
      <c r="FX142">
        <f>COUNTIFS('DRAFT 2'!$D:$D,$B142,'DRAFT 2'!$A:$A,"&gt;="&amp;DATE(2026,7,22),'DRAFT 2'!$A:$A,"&lt;"&amp;DATE(2026,IF(7=12,7+1,7+1),1))</f>
        <v>0</v>
      </c>
      <c r="FY142">
        <f t="shared" si="64"/>
        <v>0</v>
      </c>
      <c r="GI142">
        <f>IFERROR(LOOKUP(2,1/('DRAFT 2'!$D:$D=$B142)*('DRAFT 2'!$A:$A&gt;=DATE(2026,8,1))*('DRAFT 2'!$A:$A&lt;DATE(2026,IF(8=12,8+1,8+1),1)),'DRAFT 2'!$A:$A),"")</f>
        <v>0</v>
      </c>
      <c r="GJ142">
        <f>COUNTIFS('DRAFT 2'!$D:$D,$B142,'DRAFT 2'!$A:$A,"&gt;="&amp;DATE(2026,8,1),'DRAFT 2'!$A:$A,"&lt;="&amp;DATE(2026,8,7))</f>
        <v>0</v>
      </c>
      <c r="GK142">
        <f>COUNTIFS('DRAFT 2'!$D:$D,$B142,'DRAFT 2'!$A:$A,"&gt;="&amp;DATE(2026,8,8),'DRAFT 2'!$A:$A,"&lt;="&amp;DATE(2026,8,14))</f>
        <v>0</v>
      </c>
      <c r="GL142">
        <f>COUNTIFS('DRAFT 2'!$D:$D,$B142,'DRAFT 2'!$A:$A,"&gt;="&amp;DATE(2026,8,15),'DRAFT 2'!$A:$A,"&lt;="&amp;DATE(2026,8,21))</f>
        <v>0</v>
      </c>
      <c r="GM142">
        <f>COUNTIFS('DRAFT 2'!$D:$D,$B142,'DRAFT 2'!$A:$A,"&gt;="&amp;DATE(2026,8,22),'DRAFT 2'!$A:$A,"&lt;"&amp;DATE(2026,IF(8=12,8+1,8+1),1))</f>
        <v>0</v>
      </c>
      <c r="GN142">
        <f t="shared" si="65"/>
        <v>0</v>
      </c>
      <c r="GX142">
        <f>IFERROR(LOOKUP(2,1/('DRAFT 2'!$D:$D=$B142)*('DRAFT 2'!$A:$A&gt;=DATE(2026,9,1))*('DRAFT 2'!$A:$A&lt;DATE(2026,IF(9=12,9+1,9+1),1)),'DRAFT 2'!$A:$A),"")</f>
        <v>0</v>
      </c>
      <c r="GY142">
        <f>COUNTIFS('DRAFT 2'!$D:$D,$B142,'DRAFT 2'!$A:$A,"&gt;="&amp;DATE(2026,9,1),'DRAFT 2'!$A:$A,"&lt;="&amp;DATE(2026,9,7))</f>
        <v>0</v>
      </c>
      <c r="GZ142">
        <f>COUNTIFS('DRAFT 2'!$D:$D,$B142,'DRAFT 2'!$A:$A,"&gt;="&amp;DATE(2026,9,8),'DRAFT 2'!$A:$A,"&lt;="&amp;DATE(2026,9,14))</f>
        <v>0</v>
      </c>
      <c r="HA142">
        <f>COUNTIFS('DRAFT 2'!$D:$D,$B142,'DRAFT 2'!$A:$A,"&gt;="&amp;DATE(2026,9,15),'DRAFT 2'!$A:$A,"&lt;="&amp;DATE(2026,9,21))</f>
        <v>0</v>
      </c>
      <c r="HB142">
        <f>COUNTIFS('DRAFT 2'!$D:$D,$B142,'DRAFT 2'!$A:$A,"&gt;="&amp;DATE(2026,9,22),'DRAFT 2'!$A:$A,"&lt;"&amp;DATE(2026,IF(9=12,9+1,9+1),1))</f>
        <v>0</v>
      </c>
      <c r="HC142">
        <f t="shared" si="66"/>
        <v>0</v>
      </c>
      <c r="HN142">
        <f>IFERROR(LOOKUP(2,1/('DRAFT 2'!$D:$D=$B142)*('DRAFT 2'!$A:$A&gt;=DATE(2026,10,1))*('DRAFT 2'!$A:$A&lt;DATE(2026,IF(10=12,10+1,10+1),1)),'DRAFT 2'!$A:$A),"")</f>
        <v>0</v>
      </c>
      <c r="HO142">
        <f>COUNTIFS('DRAFT 2'!$D:$D,$B142,'DRAFT 2'!$A:$A,"&gt;="&amp;DATE(2026,10,1),'DRAFT 2'!$A:$A,"&lt;="&amp;DATE(2026,10,7))</f>
        <v>0</v>
      </c>
      <c r="HP142">
        <f>COUNTIFS('DRAFT 2'!$D:$D,$B142,'DRAFT 2'!$A:$A,"&gt;="&amp;DATE(2026,10,8),'DRAFT 2'!$A:$A,"&lt;="&amp;DATE(2026,10,14))</f>
        <v>0</v>
      </c>
      <c r="HQ142">
        <f>COUNTIFS('DRAFT 2'!$D:$D,$B142,'DRAFT 2'!$A:$A,"&gt;="&amp;DATE(2026,10,15),'DRAFT 2'!$A:$A,"&lt;="&amp;DATE(2026,10,21))</f>
        <v>0</v>
      </c>
      <c r="HR142">
        <f>COUNTIFS('DRAFT 2'!$D:$D,$B142,'DRAFT 2'!$A:$A,"&gt;="&amp;DATE(2026,10,22),'DRAFT 2'!$A:$A,"&lt;"&amp;DATE(2026,IF(10=12,10+1,10+1),1))</f>
        <v>0</v>
      </c>
      <c r="HS142">
        <f t="shared" si="67"/>
        <v>0</v>
      </c>
      <c r="IC142">
        <f>IFERROR(LOOKUP(2,1/('DRAFT 2'!$D:$D=$B142)*('DRAFT 2'!$A:$A&gt;=DATE(2026,11,1))*('DRAFT 2'!$A:$A&lt;DATE(2026,IF(11=12,11+1,11+1),1)),'DRAFT 2'!$A:$A),"")</f>
        <v>0</v>
      </c>
      <c r="ID142">
        <f>COUNTIFS('DRAFT 2'!$D:$D,$B142,'DRAFT 2'!$A:$A,"&gt;="&amp;DATE(2026,11,1),'DRAFT 2'!$A:$A,"&lt;="&amp;DATE(2026,11,7))</f>
        <v>0</v>
      </c>
      <c r="IE142">
        <f>COUNTIFS('DRAFT 2'!$D:$D,$B142,'DRAFT 2'!$A:$A,"&gt;="&amp;DATE(2026,11,8),'DRAFT 2'!$A:$A,"&lt;="&amp;DATE(2026,11,14))</f>
        <v>0</v>
      </c>
      <c r="IF142">
        <f>COUNTIFS('DRAFT 2'!$D:$D,$B142,'DRAFT 2'!$A:$A,"&gt;="&amp;DATE(2026,11,15),'DRAFT 2'!$A:$A,"&lt;="&amp;DATE(2026,11,21))</f>
        <v>0</v>
      </c>
      <c r="IG142">
        <f>COUNTIFS('DRAFT 2'!$D:$D,$B142,'DRAFT 2'!$A:$A,"&gt;="&amp;DATE(2026,11,22),'DRAFT 2'!$A:$A,"&lt;"&amp;DATE(2026,IF(11=12,11+1,11+1),1))</f>
        <v>0</v>
      </c>
      <c r="IH142">
        <f t="shared" si="68"/>
        <v>0</v>
      </c>
      <c r="IR142">
        <f>IFERROR(LOOKUP(2,1/('DRAFT 2'!$D:$D=$B142)*('DRAFT 2'!$A:$A&gt;=DATE(2026,12,1))*('DRAFT 2'!$A:$A&lt;DATE(2026,IF(12=12,12+1,12+1),1)),'DRAFT 2'!$A:$A),"")</f>
        <v>0</v>
      </c>
      <c r="IS142">
        <f>COUNTIFS('DRAFT 2'!$D:$D,$B142,'DRAFT 2'!$A:$A,"&gt;="&amp;DATE(2026,12,1),'DRAFT 2'!$A:$A,"&lt;="&amp;DATE(2026,12,7))</f>
        <v>0</v>
      </c>
      <c r="IT142">
        <f>COUNTIFS('DRAFT 2'!$D:$D,$B142,'DRAFT 2'!$A:$A,"&gt;="&amp;DATE(2026,12,8),'DRAFT 2'!$A:$A,"&lt;="&amp;DATE(2026,12,14))</f>
        <v>0</v>
      </c>
      <c r="IU142">
        <f>COUNTIFS('DRAFT 2'!$D:$D,$B142,'DRAFT 2'!$A:$A,"&gt;="&amp;DATE(2026,12,15),'DRAFT 2'!$A:$A,"&lt;="&amp;DATE(2026,12,21))</f>
        <v>0</v>
      </c>
      <c r="IV142">
        <f>COUNTIFS('DRAFT 2'!$D:$D,$B142,'DRAFT 2'!$A:$A,"&gt;="&amp;DATE(2026,12,22),'DRAFT 2'!$A:$A,"&lt;"&amp;DATE(2026,IF(12=12,12+1,12+1),1))</f>
        <v>0</v>
      </c>
      <c r="IW142">
        <f t="shared" si="69"/>
        <v>0</v>
      </c>
    </row>
    <row r="143" spans="1:257" x14ac:dyDescent="0.3">
      <c r="A143" t="str">
        <f>IFERROR(INDEX('DRAFT 1'!$A:$A,MATCH($B143,'DRAFT 1'!$B:$B,0)),"")</f>
        <v/>
      </c>
      <c r="C143" t="str">
        <f>IFERROR(INDEX('DRAFT 1'!$C:$C,MATCH($B143,'DRAFT 1'!$B:$B,0)),"")</f>
        <v/>
      </c>
      <c r="D143" t="str">
        <f>IFERROR(INDEX('DRAFT 1'!$D:$D,MATCH($B143,'DRAFT 1'!$B:$B,0)),"")</f>
        <v/>
      </c>
      <c r="E143" t="str">
        <f>IFERROR(INDEX('DRAFT 1'!$E:$E,MATCH($B143,'DRAFT 1'!$B:$B,0)),"")</f>
        <v/>
      </c>
      <c r="F143" t="str">
        <f>IFERROR(INDEX('DRAFT 1'!$F:$F,MATCH($B143,'DRAFT 1'!$B:$B,0)),"")</f>
        <v/>
      </c>
      <c r="G143" t="str">
        <f>IFERROR(INDEX('DRAFT 1'!$G:$G,MATCH($B143,'DRAFT 1'!$B:$B,0)),"")</f>
        <v/>
      </c>
      <c r="H143" t="str">
        <f>IFERROR(INDEX('DRAFT 1'!$H:$H,MATCH($B143,'DRAFT 1'!$B:$B,0)),"")</f>
        <v/>
      </c>
      <c r="I143" t="str">
        <f>IFERROR(INDEX('DRAFT 1'!$I:$I,MATCH($B143,'DRAFT 1'!$B:$B,0)),"")</f>
        <v/>
      </c>
      <c r="K143" t="str">
        <f>IFERROR(INDEX('DRAFT 1'!$AL:$AL,MATCH($B143,'DRAFT 1'!$B:$B,0)),"")</f>
        <v/>
      </c>
      <c r="L143" t="str">
        <f>IFERROR(INDEX('DRAFT 1'!$J:$J,MATCH($B143,'DRAFT 1'!$B:$B,0)),"")</f>
        <v/>
      </c>
      <c r="M143" t="str">
        <f>IFERROR(INDEX('DRAFT 1'!$K:$K,MATCH($B143,'DRAFT 1'!$B:$B,0)),"")</f>
        <v/>
      </c>
      <c r="P143" t="str">
        <f>IFERROR(INDEX('DRAFT 1'!$L:$L,MATCH($B143,'DRAFT 1'!$B:$B,0)),"")</f>
        <v/>
      </c>
      <c r="Q143" t="str">
        <f>IFERROR(INDEX('DRAFT 1'!$M:$M,MATCH($B143,'DRAFT 1'!$B:$B,0)),"")</f>
        <v/>
      </c>
      <c r="R143" t="str">
        <f>IFERROR(INDEX('DRAFT 1'!$N:$N,MATCH($B143,'DRAFT 1'!$B:$B,0)),"")</f>
        <v/>
      </c>
      <c r="S143" t="str">
        <f>IFERROR(INDEX('DRAFT 1'!$O:$O,MATCH($B143,'DRAFT 1'!$B:$B,0)),"")</f>
        <v/>
      </c>
      <c r="T143" t="str">
        <f>IFERROR(INDEX('DRAFT 1'!$P:$P,MATCH($B143,'DRAFT 1'!$B:$B,0)),"")</f>
        <v/>
      </c>
      <c r="U143" t="str">
        <f>IFERROR(INDEX('DRAFT 1'!$Q:$Q,MATCH($B143,'DRAFT 1'!$B:$B,0)),"")</f>
        <v/>
      </c>
      <c r="V143" t="str">
        <f>IFERROR(INDEX('DRAFT 1'!$R:$R,MATCH($B143,'DRAFT 1'!$B:$B,0)),"")</f>
        <v/>
      </c>
      <c r="W143" t="str">
        <f>IFERROR(INDEX('DRAFT 1'!$S:$S,MATCH($B143,'DRAFT 1'!$B:$B,0)),"")</f>
        <v/>
      </c>
      <c r="X143" t="str">
        <f>IFERROR(INDEX('DRAFT 1'!$T:$T,MATCH($B143,'DRAFT 1'!$B:$B,0)),"")</f>
        <v/>
      </c>
      <c r="Z143" t="str">
        <f>IFERROR(INDEX('DRAFT 1'!$U:$U,MATCH($B143,'DRAFT 1'!$B:$B,0)),"")</f>
        <v/>
      </c>
      <c r="AA143" t="str">
        <f>IFERROR(INDEX('DRAFT 1'!$V:$V,MATCH($B143,'DRAFT 1'!$B:$B,0)),"")</f>
        <v/>
      </c>
      <c r="AB143" t="str">
        <f>IFERROR(INDEX('DRAFT 1'!$W:$W,MATCH($B143,'DRAFT 1'!$B:$B,0)),"")</f>
        <v/>
      </c>
      <c r="AC143" t="str">
        <f>IFERROR(INDEX('DRAFT 1'!$X:$X,MATCH($B143,'DRAFT 1'!$B:$B,0)),"")</f>
        <v/>
      </c>
      <c r="AD143" t="str">
        <f>IFERROR(INDEX('DRAFT 1'!$Y:$Y,MATCH($B143,'DRAFT 1'!$B:$B,0)),"")</f>
        <v/>
      </c>
      <c r="AE143" t="str">
        <f>IFERROR(INDEX('DRAFT 1'!$Z:$Z,MATCH($B143,'DRAFT 1'!$B:$B,0)),"")</f>
        <v/>
      </c>
      <c r="AF143" t="str">
        <f>IFERROR(INDEX('DRAFT 1'!$AA:$AA,MATCH($B143,'DRAFT 1'!$B:$B,0)),"")</f>
        <v/>
      </c>
      <c r="AG143" t="str">
        <f>IFERROR(INDEX('DRAFT 1'!$AB:$AB,MATCH($B143,'DRAFT 1'!$B:$B,0)),"")</f>
        <v/>
      </c>
      <c r="AH143" t="str">
        <f>IFERROR(INDEX('DRAFT 1'!$AC:$AC,MATCH($B143,'DRAFT 1'!$B:$B,0)),"")</f>
        <v/>
      </c>
      <c r="AI143" t="str">
        <f>IFERROR(INDEX('DRAFT 1'!$AD:$AD,MATCH($B143,'DRAFT 1'!$B:$B,0)),"")</f>
        <v/>
      </c>
      <c r="AJ143" t="str">
        <f>IFERROR(INDEX('DRAFT 1'!$AE:$AE,MATCH($B143,'DRAFT 1'!$B:$B,0)),"")</f>
        <v/>
      </c>
      <c r="AK143" t="str">
        <f>IFERROR(INDEX('DRAFT 1'!$AG:$AG,MATCH($B143,'DRAFT 1'!$B:$B,0)),"")</f>
        <v/>
      </c>
      <c r="AL143" t="str">
        <f>IFERROR(INDEX('DRAFT 1'!$AH:$AH,MATCH($B143,'DRAFT 1'!$B:$B,0)),"")</f>
        <v/>
      </c>
      <c r="AM143" t="str">
        <f>IFERROR(INDEX('DRAFT 1'!$AI:$AI,MATCH($B143,'DRAFT 1'!$B:$B,0)),"")</f>
        <v/>
      </c>
      <c r="AN143" t="str">
        <f>IFERROR(INDEX('DRAFT 1'!$AJ:$AJ,MATCH($B143,'DRAFT 1'!$B:$B,0)),"")</f>
        <v/>
      </c>
      <c r="AO143">
        <f t="shared" si="56"/>
        <v>0</v>
      </c>
      <c r="AP143" t="str">
        <f>IFERROR(INDEX('DRAFT 1'!$AK:$AK,MATCH($B143,'DRAFT 1'!$B:$B,0)),"")</f>
        <v/>
      </c>
      <c r="AR143">
        <f>IFERROR(LOOKUP(2,1/('DRAFT 2'!$D:$D=$B143),'DRAFT 2'!$I:$I),"")</f>
        <v>0</v>
      </c>
      <c r="AS143">
        <f>IFERROR(LOOKUP(2,1/('DRAFT 2'!$D:$D=$B143),'DRAFT 2'!$T:$T),"")</f>
        <v>0</v>
      </c>
      <c r="AT143">
        <f>IFERROR(LOOKUP(2,1/('DRAFT 2'!$D:$D=$B143),'DRAFT 2'!$A:$A),"")</f>
        <v>0</v>
      </c>
      <c r="AU143">
        <f>IFERROR(LOOKUP(2,1/('DRAFT 2'!$D:$D=$B143),'DRAFT 2'!$R:$R),"")</f>
        <v>0</v>
      </c>
      <c r="AV143">
        <f>IFERROR(LOOKUP(2,1/('DRAFT 2'!$D:$D=$B143),'DRAFT 2'!$S:$S),"")</f>
        <v>0</v>
      </c>
      <c r="AX143">
        <f>IFERROR(LOOKUP(2,1/('DRAFT 2'!$D:$D=$B143),'DRAFT 2'!$M:$M),"")</f>
        <v>0</v>
      </c>
      <c r="AY143">
        <f>IFERROR(LOOKUP(2,1/('DRAFT 2'!$D:$D=$B143),'DRAFT 2'!$K:$K),"")</f>
        <v>0</v>
      </c>
      <c r="BG143">
        <f>IFERROR(LOOKUP(2,1/('DRAFT 2'!$D:$D=$B143),'DRAFT 2'!$U:$U),"")</f>
        <v>0</v>
      </c>
      <c r="BH143">
        <f>IFERROR(LOOKUP(2,1/('DRAFT 2'!$D:$D=$B143),'DRAFT 2'!$V:$V),"")</f>
        <v>0</v>
      </c>
      <c r="CE143" t="str">
        <f t="shared" si="57"/>
        <v/>
      </c>
      <c r="CF143">
        <f>IFERROR(LOOKUP(2,1/('DRAFT 2'!$D:$D=$B143)*('DRAFT 2'!$A:$A&gt;=DATE(2026,1,1))*('DRAFT 2'!$A:$A&lt;DATE(2026,IF(1=12,1+1,1+1),1)),'DRAFT 2'!$A:$A),"")</f>
        <v>0</v>
      </c>
      <c r="CG143">
        <f>COUNTIFS('DRAFT 2'!$D:$D,$B143,'DRAFT 2'!$A:$A,"&gt;="&amp;DATE(2026,1,1),'DRAFT 2'!$A:$A,"&lt;="&amp;DATE(2026,1,7))</f>
        <v>0</v>
      </c>
      <c r="CH143">
        <f>COUNTIFS('DRAFT 2'!$D:$D,$B143,'DRAFT 2'!$A:$A,"&gt;="&amp;DATE(2026,1,8),'DRAFT 2'!$A:$A,"&lt;="&amp;DATE(2026,1,14))</f>
        <v>0</v>
      </c>
      <c r="CI143">
        <f>COUNTIFS('DRAFT 2'!$D:$D,$B143,'DRAFT 2'!$A:$A,"&gt;="&amp;DATE(2026,1,15),'DRAFT 2'!$A:$A,"&lt;="&amp;DATE(2026,1,21))</f>
        <v>0</v>
      </c>
      <c r="CJ143">
        <f>COUNTIFS('DRAFT 2'!$D:$D,$B143,'DRAFT 2'!$A:$A,"&gt;="&amp;DATE(2026,1,22),'DRAFT 2'!$A:$A,"&lt;"&amp;DATE(2026,IF(1=12,1+1,1+1),1))</f>
        <v>0</v>
      </c>
      <c r="CK143">
        <f t="shared" si="58"/>
        <v>0</v>
      </c>
      <c r="CT143">
        <v>0</v>
      </c>
      <c r="CU143">
        <f>IFERROR(LOOKUP(2,1/('DRAFT 2'!$D:$D=$B143)*('DRAFT 2'!$A:$A&gt;=DATE(2026,2,1))*('DRAFT 2'!$A:$A&lt;DATE(2026,IF(2=12,2+1,2+1),1)),'DRAFT 2'!$A:$A),"")</f>
        <v>0</v>
      </c>
      <c r="CV143">
        <f>COUNTIFS('DRAFT 2'!$D:$D,$B143,'DRAFT 2'!$A:$A,"&gt;="&amp;DATE(2026,2,1),'DRAFT 2'!$A:$A,"&lt;="&amp;DATE(2026,2,7))</f>
        <v>0</v>
      </c>
      <c r="CW143">
        <f>COUNTIFS('DRAFT 2'!$D:$D,$B143,'DRAFT 2'!$A:$A,"&gt;="&amp;DATE(2026,2,8),'DRAFT 2'!$A:$A,"&lt;="&amp;DATE(2026,2,14))</f>
        <v>0</v>
      </c>
      <c r="CX143">
        <f>COUNTIFS('DRAFT 2'!$D:$D,$B143,'DRAFT 2'!$A:$A,"&gt;="&amp;DATE(2026,2,15),'DRAFT 2'!$A:$A,"&lt;="&amp;DATE(2026,2,21))</f>
        <v>0</v>
      </c>
      <c r="CY143">
        <f>COUNTIFS('DRAFT 2'!$D:$D,$B143,'DRAFT 2'!$A:$A,"&gt;="&amp;DATE(2026,2,22),'DRAFT 2'!$A:$A,"&lt;"&amp;DATE(2026,IF(2=12,2+1,2+1),1))</f>
        <v>0</v>
      </c>
      <c r="CZ143">
        <f t="shared" si="59"/>
        <v>0</v>
      </c>
      <c r="DJ143">
        <f>IFERROR(LOOKUP(2,1/('DRAFT 2'!$D:$D=$B143)*('DRAFT 2'!$A:$A&gt;=DATE(2026,3,1))*('DRAFT 2'!$A:$A&lt;DATE(2026,IF(3=12,3+1,3+1),1)),'DRAFT 2'!$A:$A),"")</f>
        <v>0</v>
      </c>
      <c r="DK143">
        <f>COUNTIFS('DRAFT 2'!$D:$D,$B143,'DRAFT 2'!$A:$A,"&gt;="&amp;DATE(2026,3,1),'DRAFT 2'!$A:$A,"&lt;="&amp;DATE(2026,3,7))</f>
        <v>0</v>
      </c>
      <c r="DL143">
        <f>COUNTIFS('DRAFT 2'!$D:$D,$B143,'DRAFT 2'!$A:$A,"&gt;="&amp;DATE(2026,3,8),'DRAFT 2'!$A:$A,"&lt;="&amp;DATE(2026,3,14))</f>
        <v>0</v>
      </c>
      <c r="DM143">
        <f>COUNTIFS('DRAFT 2'!$D:$D,$B143,'DRAFT 2'!$A:$A,"&gt;="&amp;DATE(2026,3,15),'DRAFT 2'!$A:$A,"&lt;="&amp;DATE(2026,3,21))</f>
        <v>0</v>
      </c>
      <c r="DN143">
        <f>COUNTIFS('DRAFT 2'!$D:$D,$B143,'DRAFT 2'!$A:$A,"&gt;="&amp;DATE(2026,3,22),'DRAFT 2'!$A:$A,"&lt;"&amp;DATE(2026,IF(3=12,3+1,3+1),1))</f>
        <v>0</v>
      </c>
      <c r="DO143">
        <f t="shared" si="60"/>
        <v>0</v>
      </c>
      <c r="DZ143">
        <f>IFERROR(LOOKUP(2,1/('DRAFT 2'!$D:$D=$B143)*('DRAFT 2'!$A:$A&gt;=DATE(2026,4,1))*('DRAFT 2'!$A:$A&lt;DATE(2026,IF(4=12,4+1,4+1),1)),'DRAFT 2'!$A:$A),"")</f>
        <v>0</v>
      </c>
      <c r="EA143">
        <f>COUNTIFS('DRAFT 2'!$D:$D,$B143,'DRAFT 2'!$A:$A,"&gt;="&amp;DATE(2026,4,1),'DRAFT 2'!$A:$A,"&lt;="&amp;DATE(2026,4,7))</f>
        <v>0</v>
      </c>
      <c r="EB143">
        <f>COUNTIFS('DRAFT 2'!$D:$D,$B143,'DRAFT 2'!$A:$A,"&gt;="&amp;DATE(2026,4,8),'DRAFT 2'!$A:$A,"&lt;="&amp;DATE(2026,4,14))</f>
        <v>0</v>
      </c>
      <c r="EC143">
        <f>COUNTIFS('DRAFT 2'!$D:$D,$B143,'DRAFT 2'!$A:$A,"&gt;="&amp;DATE(2026,4,15),'DRAFT 2'!$A:$A,"&lt;="&amp;DATE(2026,4,21))</f>
        <v>0</v>
      </c>
      <c r="ED143">
        <f>COUNTIFS('DRAFT 2'!$D:$D,$B143,'DRAFT 2'!$A:$A,"&gt;="&amp;DATE(2026,4,22),'DRAFT 2'!$A:$A,"&lt;"&amp;DATE(2026,IF(4=12,4+1,4+1),1))</f>
        <v>0</v>
      </c>
      <c r="EE143">
        <f t="shared" si="61"/>
        <v>0</v>
      </c>
      <c r="EO143">
        <f>IFERROR(LOOKUP(2,1/('DRAFT 2'!$D:$D=$B143)*('DRAFT 2'!$A:$A&gt;=DATE(2026,5,1))*('DRAFT 2'!$A:$A&lt;DATE(2026,IF(5=12,5+1,5+1),1)),'DRAFT 2'!$A:$A),"")</f>
        <v>0</v>
      </c>
      <c r="EP143">
        <f>COUNTIFS('DRAFT 2'!$D:$D,$B143,'DRAFT 2'!$A:$A,"&gt;="&amp;DATE(2026,5,1),'DRAFT 2'!$A:$A,"&lt;="&amp;DATE(2026,5,7))</f>
        <v>0</v>
      </c>
      <c r="EQ143">
        <f>COUNTIFS('DRAFT 2'!$D:$D,$B143,'DRAFT 2'!$A:$A,"&gt;="&amp;DATE(2026,5,8),'DRAFT 2'!$A:$A,"&lt;="&amp;DATE(2026,5,14))</f>
        <v>0</v>
      </c>
      <c r="ER143">
        <f>COUNTIFS('DRAFT 2'!$D:$D,$B143,'DRAFT 2'!$A:$A,"&gt;="&amp;DATE(2026,5,15),'DRAFT 2'!$A:$A,"&lt;="&amp;DATE(2026,5,21))</f>
        <v>0</v>
      </c>
      <c r="ES143">
        <f>COUNTIFS('DRAFT 2'!$D:$D,$B143,'DRAFT 2'!$A:$A,"&gt;="&amp;DATE(2026,5,22),'DRAFT 2'!$A:$A,"&lt;"&amp;DATE(2026,IF(5=12,5+1,5+1),1))</f>
        <v>0</v>
      </c>
      <c r="ET143">
        <f t="shared" si="62"/>
        <v>0</v>
      </c>
      <c r="FD143">
        <f>IFERROR(LOOKUP(2,1/('DRAFT 2'!$D:$D=$B143)*('DRAFT 2'!$A:$A&gt;=DATE(2026,6,1))*('DRAFT 2'!$A:$A&lt;DATE(2026,IF(6=12,6+1,6+1),1)),'DRAFT 2'!$A:$A),"")</f>
        <v>0</v>
      </c>
      <c r="FE143">
        <f>COUNTIFS('DRAFT 2'!$D:$D,$B143,'DRAFT 2'!$A:$A,"&gt;="&amp;DATE(2026,6,1),'DRAFT 2'!$A:$A,"&lt;="&amp;DATE(2026,6,7))</f>
        <v>0</v>
      </c>
      <c r="FF143">
        <f>COUNTIFS('DRAFT 2'!$D:$D,$B143,'DRAFT 2'!$A:$A,"&gt;="&amp;DATE(2026,6,8),'DRAFT 2'!$A:$A,"&lt;="&amp;DATE(2026,6,14))</f>
        <v>0</v>
      </c>
      <c r="FG143">
        <f>COUNTIFS('DRAFT 2'!$D:$D,$B143,'DRAFT 2'!$A:$A,"&gt;="&amp;DATE(2026,6,15),'DRAFT 2'!$A:$A,"&lt;="&amp;DATE(2026,6,21))</f>
        <v>0</v>
      </c>
      <c r="FH143">
        <f>COUNTIFS('DRAFT 2'!$D:$D,$B143,'DRAFT 2'!$A:$A,"&gt;="&amp;DATE(2026,6,22),'DRAFT 2'!$A:$A,"&lt;"&amp;DATE(2026,IF(6=12,6+1,6+1),1))</f>
        <v>0</v>
      </c>
      <c r="FI143">
        <f t="shared" si="63"/>
        <v>0</v>
      </c>
      <c r="FT143">
        <f>IFERROR(LOOKUP(2,1/('DRAFT 2'!$D:$D=$B143)*('DRAFT 2'!$A:$A&gt;=DATE(2026,7,1))*('DRAFT 2'!$A:$A&lt;DATE(2026,IF(7=12,7+1,7+1),1)),'DRAFT 2'!$A:$A),"")</f>
        <v>0</v>
      </c>
      <c r="FU143">
        <f>COUNTIFS('DRAFT 2'!$D:$D,$B143,'DRAFT 2'!$A:$A,"&gt;="&amp;DATE(2026,7,1),'DRAFT 2'!$A:$A,"&lt;="&amp;DATE(2026,7,7))</f>
        <v>0</v>
      </c>
      <c r="FV143">
        <f>COUNTIFS('DRAFT 2'!$D:$D,$B143,'DRAFT 2'!$A:$A,"&gt;="&amp;DATE(2026,7,8),'DRAFT 2'!$A:$A,"&lt;="&amp;DATE(2026,7,14))</f>
        <v>0</v>
      </c>
      <c r="FW143">
        <f>COUNTIFS('DRAFT 2'!$D:$D,$B143,'DRAFT 2'!$A:$A,"&gt;="&amp;DATE(2026,7,15),'DRAFT 2'!$A:$A,"&lt;="&amp;DATE(2026,7,21))</f>
        <v>0</v>
      </c>
      <c r="FX143">
        <f>COUNTIFS('DRAFT 2'!$D:$D,$B143,'DRAFT 2'!$A:$A,"&gt;="&amp;DATE(2026,7,22),'DRAFT 2'!$A:$A,"&lt;"&amp;DATE(2026,IF(7=12,7+1,7+1),1))</f>
        <v>0</v>
      </c>
      <c r="FY143">
        <f t="shared" si="64"/>
        <v>0</v>
      </c>
      <c r="GI143">
        <f>IFERROR(LOOKUP(2,1/('DRAFT 2'!$D:$D=$B143)*('DRAFT 2'!$A:$A&gt;=DATE(2026,8,1))*('DRAFT 2'!$A:$A&lt;DATE(2026,IF(8=12,8+1,8+1),1)),'DRAFT 2'!$A:$A),"")</f>
        <v>0</v>
      </c>
      <c r="GJ143">
        <f>COUNTIFS('DRAFT 2'!$D:$D,$B143,'DRAFT 2'!$A:$A,"&gt;="&amp;DATE(2026,8,1),'DRAFT 2'!$A:$A,"&lt;="&amp;DATE(2026,8,7))</f>
        <v>0</v>
      </c>
      <c r="GK143">
        <f>COUNTIFS('DRAFT 2'!$D:$D,$B143,'DRAFT 2'!$A:$A,"&gt;="&amp;DATE(2026,8,8),'DRAFT 2'!$A:$A,"&lt;="&amp;DATE(2026,8,14))</f>
        <v>0</v>
      </c>
      <c r="GL143">
        <f>COUNTIFS('DRAFT 2'!$D:$D,$B143,'DRAFT 2'!$A:$A,"&gt;="&amp;DATE(2026,8,15),'DRAFT 2'!$A:$A,"&lt;="&amp;DATE(2026,8,21))</f>
        <v>0</v>
      </c>
      <c r="GM143">
        <f>COUNTIFS('DRAFT 2'!$D:$D,$B143,'DRAFT 2'!$A:$A,"&gt;="&amp;DATE(2026,8,22),'DRAFT 2'!$A:$A,"&lt;"&amp;DATE(2026,IF(8=12,8+1,8+1),1))</f>
        <v>0</v>
      </c>
      <c r="GN143">
        <f t="shared" si="65"/>
        <v>0</v>
      </c>
      <c r="GX143">
        <f>IFERROR(LOOKUP(2,1/('DRAFT 2'!$D:$D=$B143)*('DRAFT 2'!$A:$A&gt;=DATE(2026,9,1))*('DRAFT 2'!$A:$A&lt;DATE(2026,IF(9=12,9+1,9+1),1)),'DRAFT 2'!$A:$A),"")</f>
        <v>0</v>
      </c>
      <c r="GY143">
        <f>COUNTIFS('DRAFT 2'!$D:$D,$B143,'DRAFT 2'!$A:$A,"&gt;="&amp;DATE(2026,9,1),'DRAFT 2'!$A:$A,"&lt;="&amp;DATE(2026,9,7))</f>
        <v>0</v>
      </c>
      <c r="GZ143">
        <f>COUNTIFS('DRAFT 2'!$D:$D,$B143,'DRAFT 2'!$A:$A,"&gt;="&amp;DATE(2026,9,8),'DRAFT 2'!$A:$A,"&lt;="&amp;DATE(2026,9,14))</f>
        <v>0</v>
      </c>
      <c r="HA143">
        <f>COUNTIFS('DRAFT 2'!$D:$D,$B143,'DRAFT 2'!$A:$A,"&gt;="&amp;DATE(2026,9,15),'DRAFT 2'!$A:$A,"&lt;="&amp;DATE(2026,9,21))</f>
        <v>0</v>
      </c>
      <c r="HB143">
        <f>COUNTIFS('DRAFT 2'!$D:$D,$B143,'DRAFT 2'!$A:$A,"&gt;="&amp;DATE(2026,9,22),'DRAFT 2'!$A:$A,"&lt;"&amp;DATE(2026,IF(9=12,9+1,9+1),1))</f>
        <v>0</v>
      </c>
      <c r="HC143">
        <f t="shared" si="66"/>
        <v>0</v>
      </c>
      <c r="HN143">
        <f>IFERROR(LOOKUP(2,1/('DRAFT 2'!$D:$D=$B143)*('DRAFT 2'!$A:$A&gt;=DATE(2026,10,1))*('DRAFT 2'!$A:$A&lt;DATE(2026,IF(10=12,10+1,10+1),1)),'DRAFT 2'!$A:$A),"")</f>
        <v>0</v>
      </c>
      <c r="HO143">
        <f>COUNTIFS('DRAFT 2'!$D:$D,$B143,'DRAFT 2'!$A:$A,"&gt;="&amp;DATE(2026,10,1),'DRAFT 2'!$A:$A,"&lt;="&amp;DATE(2026,10,7))</f>
        <v>0</v>
      </c>
      <c r="HP143">
        <f>COUNTIFS('DRAFT 2'!$D:$D,$B143,'DRAFT 2'!$A:$A,"&gt;="&amp;DATE(2026,10,8),'DRAFT 2'!$A:$A,"&lt;="&amp;DATE(2026,10,14))</f>
        <v>0</v>
      </c>
      <c r="HQ143">
        <f>COUNTIFS('DRAFT 2'!$D:$D,$B143,'DRAFT 2'!$A:$A,"&gt;="&amp;DATE(2026,10,15),'DRAFT 2'!$A:$A,"&lt;="&amp;DATE(2026,10,21))</f>
        <v>0</v>
      </c>
      <c r="HR143">
        <f>COUNTIFS('DRAFT 2'!$D:$D,$B143,'DRAFT 2'!$A:$A,"&gt;="&amp;DATE(2026,10,22),'DRAFT 2'!$A:$A,"&lt;"&amp;DATE(2026,IF(10=12,10+1,10+1),1))</f>
        <v>0</v>
      </c>
      <c r="HS143">
        <f t="shared" si="67"/>
        <v>0</v>
      </c>
      <c r="IC143">
        <f>IFERROR(LOOKUP(2,1/('DRAFT 2'!$D:$D=$B143)*('DRAFT 2'!$A:$A&gt;=DATE(2026,11,1))*('DRAFT 2'!$A:$A&lt;DATE(2026,IF(11=12,11+1,11+1),1)),'DRAFT 2'!$A:$A),"")</f>
        <v>0</v>
      </c>
      <c r="ID143">
        <f>COUNTIFS('DRAFT 2'!$D:$D,$B143,'DRAFT 2'!$A:$A,"&gt;="&amp;DATE(2026,11,1),'DRAFT 2'!$A:$A,"&lt;="&amp;DATE(2026,11,7))</f>
        <v>0</v>
      </c>
      <c r="IE143">
        <f>COUNTIFS('DRAFT 2'!$D:$D,$B143,'DRAFT 2'!$A:$A,"&gt;="&amp;DATE(2026,11,8),'DRAFT 2'!$A:$A,"&lt;="&amp;DATE(2026,11,14))</f>
        <v>0</v>
      </c>
      <c r="IF143">
        <f>COUNTIFS('DRAFT 2'!$D:$D,$B143,'DRAFT 2'!$A:$A,"&gt;="&amp;DATE(2026,11,15),'DRAFT 2'!$A:$A,"&lt;="&amp;DATE(2026,11,21))</f>
        <v>0</v>
      </c>
      <c r="IG143">
        <f>COUNTIFS('DRAFT 2'!$D:$D,$B143,'DRAFT 2'!$A:$A,"&gt;="&amp;DATE(2026,11,22),'DRAFT 2'!$A:$A,"&lt;"&amp;DATE(2026,IF(11=12,11+1,11+1),1))</f>
        <v>0</v>
      </c>
      <c r="IH143">
        <f t="shared" si="68"/>
        <v>0</v>
      </c>
      <c r="IR143">
        <f>IFERROR(LOOKUP(2,1/('DRAFT 2'!$D:$D=$B143)*('DRAFT 2'!$A:$A&gt;=DATE(2026,12,1))*('DRAFT 2'!$A:$A&lt;DATE(2026,IF(12=12,12+1,12+1),1)),'DRAFT 2'!$A:$A),"")</f>
        <v>0</v>
      </c>
      <c r="IS143">
        <f>COUNTIFS('DRAFT 2'!$D:$D,$B143,'DRAFT 2'!$A:$A,"&gt;="&amp;DATE(2026,12,1),'DRAFT 2'!$A:$A,"&lt;="&amp;DATE(2026,12,7))</f>
        <v>0</v>
      </c>
      <c r="IT143">
        <f>COUNTIFS('DRAFT 2'!$D:$D,$B143,'DRAFT 2'!$A:$A,"&gt;="&amp;DATE(2026,12,8),'DRAFT 2'!$A:$A,"&lt;="&amp;DATE(2026,12,14))</f>
        <v>0</v>
      </c>
      <c r="IU143">
        <f>COUNTIFS('DRAFT 2'!$D:$D,$B143,'DRAFT 2'!$A:$A,"&gt;="&amp;DATE(2026,12,15),'DRAFT 2'!$A:$A,"&lt;="&amp;DATE(2026,12,21))</f>
        <v>0</v>
      </c>
      <c r="IV143">
        <f>COUNTIFS('DRAFT 2'!$D:$D,$B143,'DRAFT 2'!$A:$A,"&gt;="&amp;DATE(2026,12,22),'DRAFT 2'!$A:$A,"&lt;"&amp;DATE(2026,IF(12=12,12+1,12+1),1))</f>
        <v>0</v>
      </c>
      <c r="IW143">
        <f t="shared" si="69"/>
        <v>0</v>
      </c>
    </row>
    <row r="144" spans="1:257" x14ac:dyDescent="0.3">
      <c r="A144" t="str">
        <f>IFERROR(INDEX('DRAFT 1'!$A:$A,MATCH($B144,'DRAFT 1'!$B:$B,0)),"")</f>
        <v/>
      </c>
      <c r="C144" t="str">
        <f>IFERROR(INDEX('DRAFT 1'!$C:$C,MATCH($B144,'DRAFT 1'!$B:$B,0)),"")</f>
        <v/>
      </c>
      <c r="D144" t="str">
        <f>IFERROR(INDEX('DRAFT 1'!$D:$D,MATCH($B144,'DRAFT 1'!$B:$B,0)),"")</f>
        <v/>
      </c>
      <c r="E144" t="str">
        <f>IFERROR(INDEX('DRAFT 1'!$E:$E,MATCH($B144,'DRAFT 1'!$B:$B,0)),"")</f>
        <v/>
      </c>
      <c r="F144" t="str">
        <f>IFERROR(INDEX('DRAFT 1'!$F:$F,MATCH($B144,'DRAFT 1'!$B:$B,0)),"")</f>
        <v/>
      </c>
      <c r="G144" t="str">
        <f>IFERROR(INDEX('DRAFT 1'!$G:$G,MATCH($B144,'DRAFT 1'!$B:$B,0)),"")</f>
        <v/>
      </c>
      <c r="H144" t="str">
        <f>IFERROR(INDEX('DRAFT 1'!$H:$H,MATCH($B144,'DRAFT 1'!$B:$B,0)),"")</f>
        <v/>
      </c>
      <c r="I144" t="str">
        <f>IFERROR(INDEX('DRAFT 1'!$I:$I,MATCH($B144,'DRAFT 1'!$B:$B,0)),"")</f>
        <v/>
      </c>
      <c r="K144" t="str">
        <f>IFERROR(INDEX('DRAFT 1'!$AL:$AL,MATCH($B144,'DRAFT 1'!$B:$B,0)),"")</f>
        <v/>
      </c>
      <c r="L144" t="str">
        <f>IFERROR(INDEX('DRAFT 1'!$J:$J,MATCH($B144,'DRAFT 1'!$B:$B,0)),"")</f>
        <v/>
      </c>
      <c r="M144" t="str">
        <f>IFERROR(INDEX('DRAFT 1'!$K:$K,MATCH($B144,'DRAFT 1'!$B:$B,0)),"")</f>
        <v/>
      </c>
      <c r="P144" t="str">
        <f>IFERROR(INDEX('DRAFT 1'!$L:$L,MATCH($B144,'DRAFT 1'!$B:$B,0)),"")</f>
        <v/>
      </c>
      <c r="Q144" t="str">
        <f>IFERROR(INDEX('DRAFT 1'!$M:$M,MATCH($B144,'DRAFT 1'!$B:$B,0)),"")</f>
        <v/>
      </c>
      <c r="R144" t="str">
        <f>IFERROR(INDEX('DRAFT 1'!$N:$N,MATCH($B144,'DRAFT 1'!$B:$B,0)),"")</f>
        <v/>
      </c>
      <c r="S144" t="str">
        <f>IFERROR(INDEX('DRAFT 1'!$O:$O,MATCH($B144,'DRAFT 1'!$B:$B,0)),"")</f>
        <v/>
      </c>
      <c r="T144" t="str">
        <f>IFERROR(INDEX('DRAFT 1'!$P:$P,MATCH($B144,'DRAFT 1'!$B:$B,0)),"")</f>
        <v/>
      </c>
      <c r="U144" t="str">
        <f>IFERROR(INDEX('DRAFT 1'!$Q:$Q,MATCH($B144,'DRAFT 1'!$B:$B,0)),"")</f>
        <v/>
      </c>
      <c r="V144" t="str">
        <f>IFERROR(INDEX('DRAFT 1'!$R:$R,MATCH($B144,'DRAFT 1'!$B:$B,0)),"")</f>
        <v/>
      </c>
      <c r="W144" t="str">
        <f>IFERROR(INDEX('DRAFT 1'!$S:$S,MATCH($B144,'DRAFT 1'!$B:$B,0)),"")</f>
        <v/>
      </c>
      <c r="X144" t="str">
        <f>IFERROR(INDEX('DRAFT 1'!$T:$T,MATCH($B144,'DRAFT 1'!$B:$B,0)),"")</f>
        <v/>
      </c>
      <c r="Z144" t="str">
        <f>IFERROR(INDEX('DRAFT 1'!$U:$U,MATCH($B144,'DRAFT 1'!$B:$B,0)),"")</f>
        <v/>
      </c>
      <c r="AA144" t="str">
        <f>IFERROR(INDEX('DRAFT 1'!$V:$V,MATCH($B144,'DRAFT 1'!$B:$B,0)),"")</f>
        <v/>
      </c>
      <c r="AB144" t="str">
        <f>IFERROR(INDEX('DRAFT 1'!$W:$W,MATCH($B144,'DRAFT 1'!$B:$B,0)),"")</f>
        <v/>
      </c>
      <c r="AC144" t="str">
        <f>IFERROR(INDEX('DRAFT 1'!$X:$X,MATCH($B144,'DRAFT 1'!$B:$B,0)),"")</f>
        <v/>
      </c>
      <c r="AD144" t="str">
        <f>IFERROR(INDEX('DRAFT 1'!$Y:$Y,MATCH($B144,'DRAFT 1'!$B:$B,0)),"")</f>
        <v/>
      </c>
      <c r="AE144" t="str">
        <f>IFERROR(INDEX('DRAFT 1'!$Z:$Z,MATCH($B144,'DRAFT 1'!$B:$B,0)),"")</f>
        <v/>
      </c>
      <c r="AF144" t="str">
        <f>IFERROR(INDEX('DRAFT 1'!$AA:$AA,MATCH($B144,'DRAFT 1'!$B:$B,0)),"")</f>
        <v/>
      </c>
      <c r="AG144" t="str">
        <f>IFERROR(INDEX('DRAFT 1'!$AB:$AB,MATCH($B144,'DRAFT 1'!$B:$B,0)),"")</f>
        <v/>
      </c>
      <c r="AH144" t="str">
        <f>IFERROR(INDEX('DRAFT 1'!$AC:$AC,MATCH($B144,'DRAFT 1'!$B:$B,0)),"")</f>
        <v/>
      </c>
      <c r="AI144" t="str">
        <f>IFERROR(INDEX('DRAFT 1'!$AD:$AD,MATCH($B144,'DRAFT 1'!$B:$B,0)),"")</f>
        <v/>
      </c>
      <c r="AJ144" t="str">
        <f>IFERROR(INDEX('DRAFT 1'!$AE:$AE,MATCH($B144,'DRAFT 1'!$B:$B,0)),"")</f>
        <v/>
      </c>
      <c r="AK144" t="str">
        <f>IFERROR(INDEX('DRAFT 1'!$AG:$AG,MATCH($B144,'DRAFT 1'!$B:$B,0)),"")</f>
        <v/>
      </c>
      <c r="AL144" t="str">
        <f>IFERROR(INDEX('DRAFT 1'!$AH:$AH,MATCH($B144,'DRAFT 1'!$B:$B,0)),"")</f>
        <v/>
      </c>
      <c r="AM144" t="str">
        <f>IFERROR(INDEX('DRAFT 1'!$AI:$AI,MATCH($B144,'DRAFT 1'!$B:$B,0)),"")</f>
        <v/>
      </c>
      <c r="AN144" t="str">
        <f>IFERROR(INDEX('DRAFT 1'!$AJ:$AJ,MATCH($B144,'DRAFT 1'!$B:$B,0)),"")</f>
        <v/>
      </c>
      <c r="AO144">
        <f t="shared" si="56"/>
        <v>0</v>
      </c>
      <c r="AP144" t="str">
        <f>IFERROR(INDEX('DRAFT 1'!$AK:$AK,MATCH($B144,'DRAFT 1'!$B:$B,0)),"")</f>
        <v/>
      </c>
      <c r="AR144">
        <f>IFERROR(LOOKUP(2,1/('DRAFT 2'!$D:$D=$B144),'DRAFT 2'!$I:$I),"")</f>
        <v>0</v>
      </c>
      <c r="AS144">
        <f>IFERROR(LOOKUP(2,1/('DRAFT 2'!$D:$D=$B144),'DRAFT 2'!$T:$T),"")</f>
        <v>0</v>
      </c>
      <c r="AT144">
        <f>IFERROR(LOOKUP(2,1/('DRAFT 2'!$D:$D=$B144),'DRAFT 2'!$A:$A),"")</f>
        <v>0</v>
      </c>
      <c r="AU144">
        <f>IFERROR(LOOKUP(2,1/('DRAFT 2'!$D:$D=$B144),'DRAFT 2'!$R:$R),"")</f>
        <v>0</v>
      </c>
      <c r="AV144">
        <f>IFERROR(LOOKUP(2,1/('DRAFT 2'!$D:$D=$B144),'DRAFT 2'!$S:$S),"")</f>
        <v>0</v>
      </c>
      <c r="AX144">
        <f>IFERROR(LOOKUP(2,1/('DRAFT 2'!$D:$D=$B144),'DRAFT 2'!$M:$M),"")</f>
        <v>0</v>
      </c>
      <c r="AY144">
        <f>IFERROR(LOOKUP(2,1/('DRAFT 2'!$D:$D=$B144),'DRAFT 2'!$K:$K),"")</f>
        <v>0</v>
      </c>
      <c r="BG144">
        <f>IFERROR(LOOKUP(2,1/('DRAFT 2'!$D:$D=$B144),'DRAFT 2'!$U:$U),"")</f>
        <v>0</v>
      </c>
      <c r="BH144">
        <f>IFERROR(LOOKUP(2,1/('DRAFT 2'!$D:$D=$B144),'DRAFT 2'!$V:$V),"")</f>
        <v>0</v>
      </c>
      <c r="CE144" t="str">
        <f t="shared" si="57"/>
        <v/>
      </c>
      <c r="CF144">
        <f>IFERROR(LOOKUP(2,1/('DRAFT 2'!$D:$D=$B144)*('DRAFT 2'!$A:$A&gt;=DATE(2026,1,1))*('DRAFT 2'!$A:$A&lt;DATE(2026,IF(1=12,1+1,1+1),1)),'DRAFT 2'!$A:$A),"")</f>
        <v>0</v>
      </c>
      <c r="CG144">
        <f>COUNTIFS('DRAFT 2'!$D:$D,$B144,'DRAFT 2'!$A:$A,"&gt;="&amp;DATE(2026,1,1),'DRAFT 2'!$A:$A,"&lt;="&amp;DATE(2026,1,7))</f>
        <v>0</v>
      </c>
      <c r="CH144">
        <f>COUNTIFS('DRAFT 2'!$D:$D,$B144,'DRAFT 2'!$A:$A,"&gt;="&amp;DATE(2026,1,8),'DRAFT 2'!$A:$A,"&lt;="&amp;DATE(2026,1,14))</f>
        <v>0</v>
      </c>
      <c r="CI144">
        <f>COUNTIFS('DRAFT 2'!$D:$D,$B144,'DRAFT 2'!$A:$A,"&gt;="&amp;DATE(2026,1,15),'DRAFT 2'!$A:$A,"&lt;="&amp;DATE(2026,1,21))</f>
        <v>0</v>
      </c>
      <c r="CJ144">
        <f>COUNTIFS('DRAFT 2'!$D:$D,$B144,'DRAFT 2'!$A:$A,"&gt;="&amp;DATE(2026,1,22),'DRAFT 2'!$A:$A,"&lt;"&amp;DATE(2026,IF(1=12,1+1,1+1),1))</f>
        <v>0</v>
      </c>
      <c r="CK144">
        <f t="shared" si="58"/>
        <v>0</v>
      </c>
      <c r="CT144">
        <v>0</v>
      </c>
      <c r="CU144">
        <f>IFERROR(LOOKUP(2,1/('DRAFT 2'!$D:$D=$B144)*('DRAFT 2'!$A:$A&gt;=DATE(2026,2,1))*('DRAFT 2'!$A:$A&lt;DATE(2026,IF(2=12,2+1,2+1),1)),'DRAFT 2'!$A:$A),"")</f>
        <v>0</v>
      </c>
      <c r="CV144">
        <f>COUNTIFS('DRAFT 2'!$D:$D,$B144,'DRAFT 2'!$A:$A,"&gt;="&amp;DATE(2026,2,1),'DRAFT 2'!$A:$A,"&lt;="&amp;DATE(2026,2,7))</f>
        <v>0</v>
      </c>
      <c r="CW144">
        <f>COUNTIFS('DRAFT 2'!$D:$D,$B144,'DRAFT 2'!$A:$A,"&gt;="&amp;DATE(2026,2,8),'DRAFT 2'!$A:$A,"&lt;="&amp;DATE(2026,2,14))</f>
        <v>0</v>
      </c>
      <c r="CX144">
        <f>COUNTIFS('DRAFT 2'!$D:$D,$B144,'DRAFT 2'!$A:$A,"&gt;="&amp;DATE(2026,2,15),'DRAFT 2'!$A:$A,"&lt;="&amp;DATE(2026,2,21))</f>
        <v>0</v>
      </c>
      <c r="CY144">
        <f>COUNTIFS('DRAFT 2'!$D:$D,$B144,'DRAFT 2'!$A:$A,"&gt;="&amp;DATE(2026,2,22),'DRAFT 2'!$A:$A,"&lt;"&amp;DATE(2026,IF(2=12,2+1,2+1),1))</f>
        <v>0</v>
      </c>
      <c r="CZ144">
        <f t="shared" si="59"/>
        <v>0</v>
      </c>
      <c r="DJ144">
        <f>IFERROR(LOOKUP(2,1/('DRAFT 2'!$D:$D=$B144)*('DRAFT 2'!$A:$A&gt;=DATE(2026,3,1))*('DRAFT 2'!$A:$A&lt;DATE(2026,IF(3=12,3+1,3+1),1)),'DRAFT 2'!$A:$A),"")</f>
        <v>0</v>
      </c>
      <c r="DK144">
        <f>COUNTIFS('DRAFT 2'!$D:$D,$B144,'DRAFT 2'!$A:$A,"&gt;="&amp;DATE(2026,3,1),'DRAFT 2'!$A:$A,"&lt;="&amp;DATE(2026,3,7))</f>
        <v>0</v>
      </c>
      <c r="DL144">
        <f>COUNTIFS('DRAFT 2'!$D:$D,$B144,'DRAFT 2'!$A:$A,"&gt;="&amp;DATE(2026,3,8),'DRAFT 2'!$A:$A,"&lt;="&amp;DATE(2026,3,14))</f>
        <v>0</v>
      </c>
      <c r="DM144">
        <f>COUNTIFS('DRAFT 2'!$D:$D,$B144,'DRAFT 2'!$A:$A,"&gt;="&amp;DATE(2026,3,15),'DRAFT 2'!$A:$A,"&lt;="&amp;DATE(2026,3,21))</f>
        <v>0</v>
      </c>
      <c r="DN144">
        <f>COUNTIFS('DRAFT 2'!$D:$D,$B144,'DRAFT 2'!$A:$A,"&gt;="&amp;DATE(2026,3,22),'DRAFT 2'!$A:$A,"&lt;"&amp;DATE(2026,IF(3=12,3+1,3+1),1))</f>
        <v>0</v>
      </c>
      <c r="DO144">
        <f t="shared" si="60"/>
        <v>0</v>
      </c>
      <c r="DZ144">
        <f>IFERROR(LOOKUP(2,1/('DRAFT 2'!$D:$D=$B144)*('DRAFT 2'!$A:$A&gt;=DATE(2026,4,1))*('DRAFT 2'!$A:$A&lt;DATE(2026,IF(4=12,4+1,4+1),1)),'DRAFT 2'!$A:$A),"")</f>
        <v>0</v>
      </c>
      <c r="EA144">
        <f>COUNTIFS('DRAFT 2'!$D:$D,$B144,'DRAFT 2'!$A:$A,"&gt;="&amp;DATE(2026,4,1),'DRAFT 2'!$A:$A,"&lt;="&amp;DATE(2026,4,7))</f>
        <v>0</v>
      </c>
      <c r="EB144">
        <f>COUNTIFS('DRAFT 2'!$D:$D,$B144,'DRAFT 2'!$A:$A,"&gt;="&amp;DATE(2026,4,8),'DRAFT 2'!$A:$A,"&lt;="&amp;DATE(2026,4,14))</f>
        <v>0</v>
      </c>
      <c r="EC144">
        <f>COUNTIFS('DRAFT 2'!$D:$D,$B144,'DRAFT 2'!$A:$A,"&gt;="&amp;DATE(2026,4,15),'DRAFT 2'!$A:$A,"&lt;="&amp;DATE(2026,4,21))</f>
        <v>0</v>
      </c>
      <c r="ED144">
        <f>COUNTIFS('DRAFT 2'!$D:$D,$B144,'DRAFT 2'!$A:$A,"&gt;="&amp;DATE(2026,4,22),'DRAFT 2'!$A:$A,"&lt;"&amp;DATE(2026,IF(4=12,4+1,4+1),1))</f>
        <v>0</v>
      </c>
      <c r="EE144">
        <f t="shared" si="61"/>
        <v>0</v>
      </c>
      <c r="EO144">
        <f>IFERROR(LOOKUP(2,1/('DRAFT 2'!$D:$D=$B144)*('DRAFT 2'!$A:$A&gt;=DATE(2026,5,1))*('DRAFT 2'!$A:$A&lt;DATE(2026,IF(5=12,5+1,5+1),1)),'DRAFT 2'!$A:$A),"")</f>
        <v>0</v>
      </c>
      <c r="EP144">
        <f>COUNTIFS('DRAFT 2'!$D:$D,$B144,'DRAFT 2'!$A:$A,"&gt;="&amp;DATE(2026,5,1),'DRAFT 2'!$A:$A,"&lt;="&amp;DATE(2026,5,7))</f>
        <v>0</v>
      </c>
      <c r="EQ144">
        <f>COUNTIFS('DRAFT 2'!$D:$D,$B144,'DRAFT 2'!$A:$A,"&gt;="&amp;DATE(2026,5,8),'DRAFT 2'!$A:$A,"&lt;="&amp;DATE(2026,5,14))</f>
        <v>0</v>
      </c>
      <c r="ER144">
        <f>COUNTIFS('DRAFT 2'!$D:$D,$B144,'DRAFT 2'!$A:$A,"&gt;="&amp;DATE(2026,5,15),'DRAFT 2'!$A:$A,"&lt;="&amp;DATE(2026,5,21))</f>
        <v>0</v>
      </c>
      <c r="ES144">
        <f>COUNTIFS('DRAFT 2'!$D:$D,$B144,'DRAFT 2'!$A:$A,"&gt;="&amp;DATE(2026,5,22),'DRAFT 2'!$A:$A,"&lt;"&amp;DATE(2026,IF(5=12,5+1,5+1),1))</f>
        <v>0</v>
      </c>
      <c r="ET144">
        <f t="shared" si="62"/>
        <v>0</v>
      </c>
      <c r="FD144">
        <f>IFERROR(LOOKUP(2,1/('DRAFT 2'!$D:$D=$B144)*('DRAFT 2'!$A:$A&gt;=DATE(2026,6,1))*('DRAFT 2'!$A:$A&lt;DATE(2026,IF(6=12,6+1,6+1),1)),'DRAFT 2'!$A:$A),"")</f>
        <v>0</v>
      </c>
      <c r="FE144">
        <f>COUNTIFS('DRAFT 2'!$D:$D,$B144,'DRAFT 2'!$A:$A,"&gt;="&amp;DATE(2026,6,1),'DRAFT 2'!$A:$A,"&lt;="&amp;DATE(2026,6,7))</f>
        <v>0</v>
      </c>
      <c r="FF144">
        <f>COUNTIFS('DRAFT 2'!$D:$D,$B144,'DRAFT 2'!$A:$A,"&gt;="&amp;DATE(2026,6,8),'DRAFT 2'!$A:$A,"&lt;="&amp;DATE(2026,6,14))</f>
        <v>0</v>
      </c>
      <c r="FG144">
        <f>COUNTIFS('DRAFT 2'!$D:$D,$B144,'DRAFT 2'!$A:$A,"&gt;="&amp;DATE(2026,6,15),'DRAFT 2'!$A:$A,"&lt;="&amp;DATE(2026,6,21))</f>
        <v>0</v>
      </c>
      <c r="FH144">
        <f>COUNTIFS('DRAFT 2'!$D:$D,$B144,'DRAFT 2'!$A:$A,"&gt;="&amp;DATE(2026,6,22),'DRAFT 2'!$A:$A,"&lt;"&amp;DATE(2026,IF(6=12,6+1,6+1),1))</f>
        <v>0</v>
      </c>
      <c r="FI144">
        <f t="shared" si="63"/>
        <v>0</v>
      </c>
      <c r="FT144">
        <f>IFERROR(LOOKUP(2,1/('DRAFT 2'!$D:$D=$B144)*('DRAFT 2'!$A:$A&gt;=DATE(2026,7,1))*('DRAFT 2'!$A:$A&lt;DATE(2026,IF(7=12,7+1,7+1),1)),'DRAFT 2'!$A:$A),"")</f>
        <v>0</v>
      </c>
      <c r="FU144">
        <f>COUNTIFS('DRAFT 2'!$D:$D,$B144,'DRAFT 2'!$A:$A,"&gt;="&amp;DATE(2026,7,1),'DRAFT 2'!$A:$A,"&lt;="&amp;DATE(2026,7,7))</f>
        <v>0</v>
      </c>
      <c r="FV144">
        <f>COUNTIFS('DRAFT 2'!$D:$D,$B144,'DRAFT 2'!$A:$A,"&gt;="&amp;DATE(2026,7,8),'DRAFT 2'!$A:$A,"&lt;="&amp;DATE(2026,7,14))</f>
        <v>0</v>
      </c>
      <c r="FW144">
        <f>COUNTIFS('DRAFT 2'!$D:$D,$B144,'DRAFT 2'!$A:$A,"&gt;="&amp;DATE(2026,7,15),'DRAFT 2'!$A:$A,"&lt;="&amp;DATE(2026,7,21))</f>
        <v>0</v>
      </c>
      <c r="FX144">
        <f>COUNTIFS('DRAFT 2'!$D:$D,$B144,'DRAFT 2'!$A:$A,"&gt;="&amp;DATE(2026,7,22),'DRAFT 2'!$A:$A,"&lt;"&amp;DATE(2026,IF(7=12,7+1,7+1),1))</f>
        <v>0</v>
      </c>
      <c r="FY144">
        <f t="shared" si="64"/>
        <v>0</v>
      </c>
      <c r="GI144">
        <f>IFERROR(LOOKUP(2,1/('DRAFT 2'!$D:$D=$B144)*('DRAFT 2'!$A:$A&gt;=DATE(2026,8,1))*('DRAFT 2'!$A:$A&lt;DATE(2026,IF(8=12,8+1,8+1),1)),'DRAFT 2'!$A:$A),"")</f>
        <v>0</v>
      </c>
      <c r="GJ144">
        <f>COUNTIFS('DRAFT 2'!$D:$D,$B144,'DRAFT 2'!$A:$A,"&gt;="&amp;DATE(2026,8,1),'DRAFT 2'!$A:$A,"&lt;="&amp;DATE(2026,8,7))</f>
        <v>0</v>
      </c>
      <c r="GK144">
        <f>COUNTIFS('DRAFT 2'!$D:$D,$B144,'DRAFT 2'!$A:$A,"&gt;="&amp;DATE(2026,8,8),'DRAFT 2'!$A:$A,"&lt;="&amp;DATE(2026,8,14))</f>
        <v>0</v>
      </c>
      <c r="GL144">
        <f>COUNTIFS('DRAFT 2'!$D:$D,$B144,'DRAFT 2'!$A:$A,"&gt;="&amp;DATE(2026,8,15),'DRAFT 2'!$A:$A,"&lt;="&amp;DATE(2026,8,21))</f>
        <v>0</v>
      </c>
      <c r="GM144">
        <f>COUNTIFS('DRAFT 2'!$D:$D,$B144,'DRAFT 2'!$A:$A,"&gt;="&amp;DATE(2026,8,22),'DRAFT 2'!$A:$A,"&lt;"&amp;DATE(2026,IF(8=12,8+1,8+1),1))</f>
        <v>0</v>
      </c>
      <c r="GN144">
        <f t="shared" si="65"/>
        <v>0</v>
      </c>
      <c r="GX144">
        <f>IFERROR(LOOKUP(2,1/('DRAFT 2'!$D:$D=$B144)*('DRAFT 2'!$A:$A&gt;=DATE(2026,9,1))*('DRAFT 2'!$A:$A&lt;DATE(2026,IF(9=12,9+1,9+1),1)),'DRAFT 2'!$A:$A),"")</f>
        <v>0</v>
      </c>
      <c r="GY144">
        <f>COUNTIFS('DRAFT 2'!$D:$D,$B144,'DRAFT 2'!$A:$A,"&gt;="&amp;DATE(2026,9,1),'DRAFT 2'!$A:$A,"&lt;="&amp;DATE(2026,9,7))</f>
        <v>0</v>
      </c>
      <c r="GZ144">
        <f>COUNTIFS('DRAFT 2'!$D:$D,$B144,'DRAFT 2'!$A:$A,"&gt;="&amp;DATE(2026,9,8),'DRAFT 2'!$A:$A,"&lt;="&amp;DATE(2026,9,14))</f>
        <v>0</v>
      </c>
      <c r="HA144">
        <f>COUNTIFS('DRAFT 2'!$D:$D,$B144,'DRAFT 2'!$A:$A,"&gt;="&amp;DATE(2026,9,15),'DRAFT 2'!$A:$A,"&lt;="&amp;DATE(2026,9,21))</f>
        <v>0</v>
      </c>
      <c r="HB144">
        <f>COUNTIFS('DRAFT 2'!$D:$D,$B144,'DRAFT 2'!$A:$A,"&gt;="&amp;DATE(2026,9,22),'DRAFT 2'!$A:$A,"&lt;"&amp;DATE(2026,IF(9=12,9+1,9+1),1))</f>
        <v>0</v>
      </c>
      <c r="HC144">
        <f t="shared" si="66"/>
        <v>0</v>
      </c>
      <c r="HN144">
        <f>IFERROR(LOOKUP(2,1/('DRAFT 2'!$D:$D=$B144)*('DRAFT 2'!$A:$A&gt;=DATE(2026,10,1))*('DRAFT 2'!$A:$A&lt;DATE(2026,IF(10=12,10+1,10+1),1)),'DRAFT 2'!$A:$A),"")</f>
        <v>0</v>
      </c>
      <c r="HO144">
        <f>COUNTIFS('DRAFT 2'!$D:$D,$B144,'DRAFT 2'!$A:$A,"&gt;="&amp;DATE(2026,10,1),'DRAFT 2'!$A:$A,"&lt;="&amp;DATE(2026,10,7))</f>
        <v>0</v>
      </c>
      <c r="HP144">
        <f>COUNTIFS('DRAFT 2'!$D:$D,$B144,'DRAFT 2'!$A:$A,"&gt;="&amp;DATE(2026,10,8),'DRAFT 2'!$A:$A,"&lt;="&amp;DATE(2026,10,14))</f>
        <v>0</v>
      </c>
      <c r="HQ144">
        <f>COUNTIFS('DRAFT 2'!$D:$D,$B144,'DRAFT 2'!$A:$A,"&gt;="&amp;DATE(2026,10,15),'DRAFT 2'!$A:$A,"&lt;="&amp;DATE(2026,10,21))</f>
        <v>0</v>
      </c>
      <c r="HR144">
        <f>COUNTIFS('DRAFT 2'!$D:$D,$B144,'DRAFT 2'!$A:$A,"&gt;="&amp;DATE(2026,10,22),'DRAFT 2'!$A:$A,"&lt;"&amp;DATE(2026,IF(10=12,10+1,10+1),1))</f>
        <v>0</v>
      </c>
      <c r="HS144">
        <f t="shared" si="67"/>
        <v>0</v>
      </c>
      <c r="IC144">
        <f>IFERROR(LOOKUP(2,1/('DRAFT 2'!$D:$D=$B144)*('DRAFT 2'!$A:$A&gt;=DATE(2026,11,1))*('DRAFT 2'!$A:$A&lt;DATE(2026,IF(11=12,11+1,11+1),1)),'DRAFT 2'!$A:$A),"")</f>
        <v>0</v>
      </c>
      <c r="ID144">
        <f>COUNTIFS('DRAFT 2'!$D:$D,$B144,'DRAFT 2'!$A:$A,"&gt;="&amp;DATE(2026,11,1),'DRAFT 2'!$A:$A,"&lt;="&amp;DATE(2026,11,7))</f>
        <v>0</v>
      </c>
      <c r="IE144">
        <f>COUNTIFS('DRAFT 2'!$D:$D,$B144,'DRAFT 2'!$A:$A,"&gt;="&amp;DATE(2026,11,8),'DRAFT 2'!$A:$A,"&lt;="&amp;DATE(2026,11,14))</f>
        <v>0</v>
      </c>
      <c r="IF144">
        <f>COUNTIFS('DRAFT 2'!$D:$D,$B144,'DRAFT 2'!$A:$A,"&gt;="&amp;DATE(2026,11,15),'DRAFT 2'!$A:$A,"&lt;="&amp;DATE(2026,11,21))</f>
        <v>0</v>
      </c>
      <c r="IG144">
        <f>COUNTIFS('DRAFT 2'!$D:$D,$B144,'DRAFT 2'!$A:$A,"&gt;="&amp;DATE(2026,11,22),'DRAFT 2'!$A:$A,"&lt;"&amp;DATE(2026,IF(11=12,11+1,11+1),1))</f>
        <v>0</v>
      </c>
      <c r="IH144">
        <f t="shared" si="68"/>
        <v>0</v>
      </c>
      <c r="IR144">
        <f>IFERROR(LOOKUP(2,1/('DRAFT 2'!$D:$D=$B144)*('DRAFT 2'!$A:$A&gt;=DATE(2026,12,1))*('DRAFT 2'!$A:$A&lt;DATE(2026,IF(12=12,12+1,12+1),1)),'DRAFT 2'!$A:$A),"")</f>
        <v>0</v>
      </c>
      <c r="IS144">
        <f>COUNTIFS('DRAFT 2'!$D:$D,$B144,'DRAFT 2'!$A:$A,"&gt;="&amp;DATE(2026,12,1),'DRAFT 2'!$A:$A,"&lt;="&amp;DATE(2026,12,7))</f>
        <v>0</v>
      </c>
      <c r="IT144">
        <f>COUNTIFS('DRAFT 2'!$D:$D,$B144,'DRAFT 2'!$A:$A,"&gt;="&amp;DATE(2026,12,8),'DRAFT 2'!$A:$A,"&lt;="&amp;DATE(2026,12,14))</f>
        <v>0</v>
      </c>
      <c r="IU144">
        <f>COUNTIFS('DRAFT 2'!$D:$D,$B144,'DRAFT 2'!$A:$A,"&gt;="&amp;DATE(2026,12,15),'DRAFT 2'!$A:$A,"&lt;="&amp;DATE(2026,12,21))</f>
        <v>0</v>
      </c>
      <c r="IV144">
        <f>COUNTIFS('DRAFT 2'!$D:$D,$B144,'DRAFT 2'!$A:$A,"&gt;="&amp;DATE(2026,12,22),'DRAFT 2'!$A:$A,"&lt;"&amp;DATE(2026,IF(12=12,12+1,12+1),1))</f>
        <v>0</v>
      </c>
      <c r="IW144">
        <f t="shared" si="69"/>
        <v>0</v>
      </c>
    </row>
    <row r="145" spans="1:257" x14ac:dyDescent="0.3">
      <c r="A145" t="str">
        <f>IFERROR(INDEX('DRAFT 1'!$A:$A,MATCH($B145,'DRAFT 1'!$B:$B,0)),"")</f>
        <v/>
      </c>
      <c r="C145" t="str">
        <f>IFERROR(INDEX('DRAFT 1'!$C:$C,MATCH($B145,'DRAFT 1'!$B:$B,0)),"")</f>
        <v/>
      </c>
      <c r="D145" t="str">
        <f>IFERROR(INDEX('DRAFT 1'!$D:$D,MATCH($B145,'DRAFT 1'!$B:$B,0)),"")</f>
        <v/>
      </c>
      <c r="E145" t="str">
        <f>IFERROR(INDEX('DRAFT 1'!$E:$E,MATCH($B145,'DRAFT 1'!$B:$B,0)),"")</f>
        <v/>
      </c>
      <c r="F145" t="str">
        <f>IFERROR(INDEX('DRAFT 1'!$F:$F,MATCH($B145,'DRAFT 1'!$B:$B,0)),"")</f>
        <v/>
      </c>
      <c r="G145" t="str">
        <f>IFERROR(INDEX('DRAFT 1'!$G:$G,MATCH($B145,'DRAFT 1'!$B:$B,0)),"")</f>
        <v/>
      </c>
      <c r="H145" t="str">
        <f>IFERROR(INDEX('DRAFT 1'!$H:$H,MATCH($B145,'DRAFT 1'!$B:$B,0)),"")</f>
        <v/>
      </c>
      <c r="I145" t="str">
        <f>IFERROR(INDEX('DRAFT 1'!$I:$I,MATCH($B145,'DRAFT 1'!$B:$B,0)),"")</f>
        <v/>
      </c>
      <c r="K145" t="str">
        <f>IFERROR(INDEX('DRAFT 1'!$AL:$AL,MATCH($B145,'DRAFT 1'!$B:$B,0)),"")</f>
        <v/>
      </c>
      <c r="L145" t="str">
        <f>IFERROR(INDEX('DRAFT 1'!$J:$J,MATCH($B145,'DRAFT 1'!$B:$B,0)),"")</f>
        <v/>
      </c>
      <c r="M145" t="str">
        <f>IFERROR(INDEX('DRAFT 1'!$K:$K,MATCH($B145,'DRAFT 1'!$B:$B,0)),"")</f>
        <v/>
      </c>
      <c r="P145" t="str">
        <f>IFERROR(INDEX('DRAFT 1'!$L:$L,MATCH($B145,'DRAFT 1'!$B:$B,0)),"")</f>
        <v/>
      </c>
      <c r="Q145" t="str">
        <f>IFERROR(INDEX('DRAFT 1'!$M:$M,MATCH($B145,'DRAFT 1'!$B:$B,0)),"")</f>
        <v/>
      </c>
      <c r="R145" t="str">
        <f>IFERROR(INDEX('DRAFT 1'!$N:$N,MATCH($B145,'DRAFT 1'!$B:$B,0)),"")</f>
        <v/>
      </c>
      <c r="S145" t="str">
        <f>IFERROR(INDEX('DRAFT 1'!$O:$O,MATCH($B145,'DRAFT 1'!$B:$B,0)),"")</f>
        <v/>
      </c>
      <c r="T145" t="str">
        <f>IFERROR(INDEX('DRAFT 1'!$P:$P,MATCH($B145,'DRAFT 1'!$B:$B,0)),"")</f>
        <v/>
      </c>
      <c r="U145" t="str">
        <f>IFERROR(INDEX('DRAFT 1'!$Q:$Q,MATCH($B145,'DRAFT 1'!$B:$B,0)),"")</f>
        <v/>
      </c>
      <c r="V145" t="str">
        <f>IFERROR(INDEX('DRAFT 1'!$R:$R,MATCH($B145,'DRAFT 1'!$B:$B,0)),"")</f>
        <v/>
      </c>
      <c r="W145" t="str">
        <f>IFERROR(INDEX('DRAFT 1'!$S:$S,MATCH($B145,'DRAFT 1'!$B:$B,0)),"")</f>
        <v/>
      </c>
      <c r="X145" t="str">
        <f>IFERROR(INDEX('DRAFT 1'!$T:$T,MATCH($B145,'DRAFT 1'!$B:$B,0)),"")</f>
        <v/>
      </c>
      <c r="Z145" t="str">
        <f>IFERROR(INDEX('DRAFT 1'!$U:$U,MATCH($B145,'DRAFT 1'!$B:$B,0)),"")</f>
        <v/>
      </c>
      <c r="AA145" t="str">
        <f>IFERROR(INDEX('DRAFT 1'!$V:$V,MATCH($B145,'DRAFT 1'!$B:$B,0)),"")</f>
        <v/>
      </c>
      <c r="AB145" t="str">
        <f>IFERROR(INDEX('DRAFT 1'!$W:$W,MATCH($B145,'DRAFT 1'!$B:$B,0)),"")</f>
        <v/>
      </c>
      <c r="AC145" t="str">
        <f>IFERROR(INDEX('DRAFT 1'!$X:$X,MATCH($B145,'DRAFT 1'!$B:$B,0)),"")</f>
        <v/>
      </c>
      <c r="AD145" t="str">
        <f>IFERROR(INDEX('DRAFT 1'!$Y:$Y,MATCH($B145,'DRAFT 1'!$B:$B,0)),"")</f>
        <v/>
      </c>
      <c r="AE145" t="str">
        <f>IFERROR(INDEX('DRAFT 1'!$Z:$Z,MATCH($B145,'DRAFT 1'!$B:$B,0)),"")</f>
        <v/>
      </c>
      <c r="AF145" t="str">
        <f>IFERROR(INDEX('DRAFT 1'!$AA:$AA,MATCH($B145,'DRAFT 1'!$B:$B,0)),"")</f>
        <v/>
      </c>
      <c r="AG145" t="str">
        <f>IFERROR(INDEX('DRAFT 1'!$AB:$AB,MATCH($B145,'DRAFT 1'!$B:$B,0)),"")</f>
        <v/>
      </c>
      <c r="AH145" t="str">
        <f>IFERROR(INDEX('DRAFT 1'!$AC:$AC,MATCH($B145,'DRAFT 1'!$B:$B,0)),"")</f>
        <v/>
      </c>
      <c r="AI145" t="str">
        <f>IFERROR(INDEX('DRAFT 1'!$AD:$AD,MATCH($B145,'DRAFT 1'!$B:$B,0)),"")</f>
        <v/>
      </c>
      <c r="AJ145" t="str">
        <f>IFERROR(INDEX('DRAFT 1'!$AE:$AE,MATCH($B145,'DRAFT 1'!$B:$B,0)),"")</f>
        <v/>
      </c>
      <c r="AK145" t="str">
        <f>IFERROR(INDEX('DRAFT 1'!$AG:$AG,MATCH($B145,'DRAFT 1'!$B:$B,0)),"")</f>
        <v/>
      </c>
      <c r="AL145" t="str">
        <f>IFERROR(INDEX('DRAFT 1'!$AH:$AH,MATCH($B145,'DRAFT 1'!$B:$B,0)),"")</f>
        <v/>
      </c>
      <c r="AM145" t="str">
        <f>IFERROR(INDEX('DRAFT 1'!$AI:$AI,MATCH($B145,'DRAFT 1'!$B:$B,0)),"")</f>
        <v/>
      </c>
      <c r="AN145" t="str">
        <f>IFERROR(INDEX('DRAFT 1'!$AJ:$AJ,MATCH($B145,'DRAFT 1'!$B:$B,0)),"")</f>
        <v/>
      </c>
      <c r="AO145">
        <f t="shared" si="56"/>
        <v>0</v>
      </c>
      <c r="AP145" t="str">
        <f>IFERROR(INDEX('DRAFT 1'!$AK:$AK,MATCH($B145,'DRAFT 1'!$B:$B,0)),"")</f>
        <v/>
      </c>
      <c r="AR145">
        <f>IFERROR(LOOKUP(2,1/('DRAFT 2'!$D:$D=$B145),'DRAFT 2'!$I:$I),"")</f>
        <v>0</v>
      </c>
      <c r="AS145">
        <f>IFERROR(LOOKUP(2,1/('DRAFT 2'!$D:$D=$B145),'DRAFT 2'!$T:$T),"")</f>
        <v>0</v>
      </c>
      <c r="AT145">
        <f>IFERROR(LOOKUP(2,1/('DRAFT 2'!$D:$D=$B145),'DRAFT 2'!$A:$A),"")</f>
        <v>0</v>
      </c>
      <c r="AU145">
        <f>IFERROR(LOOKUP(2,1/('DRAFT 2'!$D:$D=$B145),'DRAFT 2'!$R:$R),"")</f>
        <v>0</v>
      </c>
      <c r="AV145">
        <f>IFERROR(LOOKUP(2,1/('DRAFT 2'!$D:$D=$B145),'DRAFT 2'!$S:$S),"")</f>
        <v>0</v>
      </c>
      <c r="AX145">
        <f>IFERROR(LOOKUP(2,1/('DRAFT 2'!$D:$D=$B145),'DRAFT 2'!$M:$M),"")</f>
        <v>0</v>
      </c>
      <c r="AY145">
        <f>IFERROR(LOOKUP(2,1/('DRAFT 2'!$D:$D=$B145),'DRAFT 2'!$K:$K),"")</f>
        <v>0</v>
      </c>
      <c r="BG145">
        <f>IFERROR(LOOKUP(2,1/('DRAFT 2'!$D:$D=$B145),'DRAFT 2'!$U:$U),"")</f>
        <v>0</v>
      </c>
      <c r="BH145">
        <f>IFERROR(LOOKUP(2,1/('DRAFT 2'!$D:$D=$B145),'DRAFT 2'!$V:$V),"")</f>
        <v>0</v>
      </c>
      <c r="CE145" t="str">
        <f t="shared" si="57"/>
        <v/>
      </c>
      <c r="CF145">
        <f>IFERROR(LOOKUP(2,1/('DRAFT 2'!$D:$D=$B145)*('DRAFT 2'!$A:$A&gt;=DATE(2026,1,1))*('DRAFT 2'!$A:$A&lt;DATE(2026,IF(1=12,1+1,1+1),1)),'DRAFT 2'!$A:$A),"")</f>
        <v>0</v>
      </c>
      <c r="CG145">
        <f>COUNTIFS('DRAFT 2'!$D:$D,$B145,'DRAFT 2'!$A:$A,"&gt;="&amp;DATE(2026,1,1),'DRAFT 2'!$A:$A,"&lt;="&amp;DATE(2026,1,7))</f>
        <v>0</v>
      </c>
      <c r="CH145">
        <f>COUNTIFS('DRAFT 2'!$D:$D,$B145,'DRAFT 2'!$A:$A,"&gt;="&amp;DATE(2026,1,8),'DRAFT 2'!$A:$A,"&lt;="&amp;DATE(2026,1,14))</f>
        <v>0</v>
      </c>
      <c r="CI145">
        <f>COUNTIFS('DRAFT 2'!$D:$D,$B145,'DRAFT 2'!$A:$A,"&gt;="&amp;DATE(2026,1,15),'DRAFT 2'!$A:$A,"&lt;="&amp;DATE(2026,1,21))</f>
        <v>0</v>
      </c>
      <c r="CJ145">
        <f>COUNTIFS('DRAFT 2'!$D:$D,$B145,'DRAFT 2'!$A:$A,"&gt;="&amp;DATE(2026,1,22),'DRAFT 2'!$A:$A,"&lt;"&amp;DATE(2026,IF(1=12,1+1,1+1),1))</f>
        <v>0</v>
      </c>
      <c r="CK145">
        <f t="shared" si="58"/>
        <v>0</v>
      </c>
      <c r="CT145">
        <v>0</v>
      </c>
      <c r="CU145">
        <f>IFERROR(LOOKUP(2,1/('DRAFT 2'!$D:$D=$B145)*('DRAFT 2'!$A:$A&gt;=DATE(2026,2,1))*('DRAFT 2'!$A:$A&lt;DATE(2026,IF(2=12,2+1,2+1),1)),'DRAFT 2'!$A:$A),"")</f>
        <v>0</v>
      </c>
      <c r="CV145">
        <f>COUNTIFS('DRAFT 2'!$D:$D,$B145,'DRAFT 2'!$A:$A,"&gt;="&amp;DATE(2026,2,1),'DRAFT 2'!$A:$A,"&lt;="&amp;DATE(2026,2,7))</f>
        <v>0</v>
      </c>
      <c r="CW145">
        <f>COUNTIFS('DRAFT 2'!$D:$D,$B145,'DRAFT 2'!$A:$A,"&gt;="&amp;DATE(2026,2,8),'DRAFT 2'!$A:$A,"&lt;="&amp;DATE(2026,2,14))</f>
        <v>0</v>
      </c>
      <c r="CX145">
        <f>COUNTIFS('DRAFT 2'!$D:$D,$B145,'DRAFT 2'!$A:$A,"&gt;="&amp;DATE(2026,2,15),'DRAFT 2'!$A:$A,"&lt;="&amp;DATE(2026,2,21))</f>
        <v>0</v>
      </c>
      <c r="CY145">
        <f>COUNTIFS('DRAFT 2'!$D:$D,$B145,'DRAFT 2'!$A:$A,"&gt;="&amp;DATE(2026,2,22),'DRAFT 2'!$A:$A,"&lt;"&amp;DATE(2026,IF(2=12,2+1,2+1),1))</f>
        <v>0</v>
      </c>
      <c r="CZ145">
        <f t="shared" si="59"/>
        <v>0</v>
      </c>
      <c r="DJ145">
        <f>IFERROR(LOOKUP(2,1/('DRAFT 2'!$D:$D=$B145)*('DRAFT 2'!$A:$A&gt;=DATE(2026,3,1))*('DRAFT 2'!$A:$A&lt;DATE(2026,IF(3=12,3+1,3+1),1)),'DRAFT 2'!$A:$A),"")</f>
        <v>0</v>
      </c>
      <c r="DK145">
        <f>COUNTIFS('DRAFT 2'!$D:$D,$B145,'DRAFT 2'!$A:$A,"&gt;="&amp;DATE(2026,3,1),'DRAFT 2'!$A:$A,"&lt;="&amp;DATE(2026,3,7))</f>
        <v>0</v>
      </c>
      <c r="DL145">
        <f>COUNTIFS('DRAFT 2'!$D:$D,$B145,'DRAFT 2'!$A:$A,"&gt;="&amp;DATE(2026,3,8),'DRAFT 2'!$A:$A,"&lt;="&amp;DATE(2026,3,14))</f>
        <v>0</v>
      </c>
      <c r="DM145">
        <f>COUNTIFS('DRAFT 2'!$D:$D,$B145,'DRAFT 2'!$A:$A,"&gt;="&amp;DATE(2026,3,15),'DRAFT 2'!$A:$A,"&lt;="&amp;DATE(2026,3,21))</f>
        <v>0</v>
      </c>
      <c r="DN145">
        <f>COUNTIFS('DRAFT 2'!$D:$D,$B145,'DRAFT 2'!$A:$A,"&gt;="&amp;DATE(2026,3,22),'DRAFT 2'!$A:$A,"&lt;"&amp;DATE(2026,IF(3=12,3+1,3+1),1))</f>
        <v>0</v>
      </c>
      <c r="DO145">
        <f t="shared" si="60"/>
        <v>0</v>
      </c>
      <c r="DZ145">
        <f>IFERROR(LOOKUP(2,1/('DRAFT 2'!$D:$D=$B145)*('DRAFT 2'!$A:$A&gt;=DATE(2026,4,1))*('DRAFT 2'!$A:$A&lt;DATE(2026,IF(4=12,4+1,4+1),1)),'DRAFT 2'!$A:$A),"")</f>
        <v>0</v>
      </c>
      <c r="EA145">
        <f>COUNTIFS('DRAFT 2'!$D:$D,$B145,'DRAFT 2'!$A:$A,"&gt;="&amp;DATE(2026,4,1),'DRAFT 2'!$A:$A,"&lt;="&amp;DATE(2026,4,7))</f>
        <v>0</v>
      </c>
      <c r="EB145">
        <f>COUNTIFS('DRAFT 2'!$D:$D,$B145,'DRAFT 2'!$A:$A,"&gt;="&amp;DATE(2026,4,8),'DRAFT 2'!$A:$A,"&lt;="&amp;DATE(2026,4,14))</f>
        <v>0</v>
      </c>
      <c r="EC145">
        <f>COUNTIFS('DRAFT 2'!$D:$D,$B145,'DRAFT 2'!$A:$A,"&gt;="&amp;DATE(2026,4,15),'DRAFT 2'!$A:$A,"&lt;="&amp;DATE(2026,4,21))</f>
        <v>0</v>
      </c>
      <c r="ED145">
        <f>COUNTIFS('DRAFT 2'!$D:$D,$B145,'DRAFT 2'!$A:$A,"&gt;="&amp;DATE(2026,4,22),'DRAFT 2'!$A:$A,"&lt;"&amp;DATE(2026,IF(4=12,4+1,4+1),1))</f>
        <v>0</v>
      </c>
      <c r="EE145">
        <f t="shared" si="61"/>
        <v>0</v>
      </c>
      <c r="EO145">
        <f>IFERROR(LOOKUP(2,1/('DRAFT 2'!$D:$D=$B145)*('DRAFT 2'!$A:$A&gt;=DATE(2026,5,1))*('DRAFT 2'!$A:$A&lt;DATE(2026,IF(5=12,5+1,5+1),1)),'DRAFT 2'!$A:$A),"")</f>
        <v>0</v>
      </c>
      <c r="EP145">
        <f>COUNTIFS('DRAFT 2'!$D:$D,$B145,'DRAFT 2'!$A:$A,"&gt;="&amp;DATE(2026,5,1),'DRAFT 2'!$A:$A,"&lt;="&amp;DATE(2026,5,7))</f>
        <v>0</v>
      </c>
      <c r="EQ145">
        <f>COUNTIFS('DRAFT 2'!$D:$D,$B145,'DRAFT 2'!$A:$A,"&gt;="&amp;DATE(2026,5,8),'DRAFT 2'!$A:$A,"&lt;="&amp;DATE(2026,5,14))</f>
        <v>0</v>
      </c>
      <c r="ER145">
        <f>COUNTIFS('DRAFT 2'!$D:$D,$B145,'DRAFT 2'!$A:$A,"&gt;="&amp;DATE(2026,5,15),'DRAFT 2'!$A:$A,"&lt;="&amp;DATE(2026,5,21))</f>
        <v>0</v>
      </c>
      <c r="ES145">
        <f>COUNTIFS('DRAFT 2'!$D:$D,$B145,'DRAFT 2'!$A:$A,"&gt;="&amp;DATE(2026,5,22),'DRAFT 2'!$A:$A,"&lt;"&amp;DATE(2026,IF(5=12,5+1,5+1),1))</f>
        <v>0</v>
      </c>
      <c r="ET145">
        <f t="shared" si="62"/>
        <v>0</v>
      </c>
      <c r="FD145">
        <f>IFERROR(LOOKUP(2,1/('DRAFT 2'!$D:$D=$B145)*('DRAFT 2'!$A:$A&gt;=DATE(2026,6,1))*('DRAFT 2'!$A:$A&lt;DATE(2026,IF(6=12,6+1,6+1),1)),'DRAFT 2'!$A:$A),"")</f>
        <v>0</v>
      </c>
      <c r="FE145">
        <f>COUNTIFS('DRAFT 2'!$D:$D,$B145,'DRAFT 2'!$A:$A,"&gt;="&amp;DATE(2026,6,1),'DRAFT 2'!$A:$A,"&lt;="&amp;DATE(2026,6,7))</f>
        <v>0</v>
      </c>
      <c r="FF145">
        <f>COUNTIFS('DRAFT 2'!$D:$D,$B145,'DRAFT 2'!$A:$A,"&gt;="&amp;DATE(2026,6,8),'DRAFT 2'!$A:$A,"&lt;="&amp;DATE(2026,6,14))</f>
        <v>0</v>
      </c>
      <c r="FG145">
        <f>COUNTIFS('DRAFT 2'!$D:$D,$B145,'DRAFT 2'!$A:$A,"&gt;="&amp;DATE(2026,6,15),'DRAFT 2'!$A:$A,"&lt;="&amp;DATE(2026,6,21))</f>
        <v>0</v>
      </c>
      <c r="FH145">
        <f>COUNTIFS('DRAFT 2'!$D:$D,$B145,'DRAFT 2'!$A:$A,"&gt;="&amp;DATE(2026,6,22),'DRAFT 2'!$A:$A,"&lt;"&amp;DATE(2026,IF(6=12,6+1,6+1),1))</f>
        <v>0</v>
      </c>
      <c r="FI145">
        <f t="shared" si="63"/>
        <v>0</v>
      </c>
      <c r="FT145">
        <f>IFERROR(LOOKUP(2,1/('DRAFT 2'!$D:$D=$B145)*('DRAFT 2'!$A:$A&gt;=DATE(2026,7,1))*('DRAFT 2'!$A:$A&lt;DATE(2026,IF(7=12,7+1,7+1),1)),'DRAFT 2'!$A:$A),"")</f>
        <v>0</v>
      </c>
      <c r="FU145">
        <f>COUNTIFS('DRAFT 2'!$D:$D,$B145,'DRAFT 2'!$A:$A,"&gt;="&amp;DATE(2026,7,1),'DRAFT 2'!$A:$A,"&lt;="&amp;DATE(2026,7,7))</f>
        <v>0</v>
      </c>
      <c r="FV145">
        <f>COUNTIFS('DRAFT 2'!$D:$D,$B145,'DRAFT 2'!$A:$A,"&gt;="&amp;DATE(2026,7,8),'DRAFT 2'!$A:$A,"&lt;="&amp;DATE(2026,7,14))</f>
        <v>0</v>
      </c>
      <c r="FW145">
        <f>COUNTIFS('DRAFT 2'!$D:$D,$B145,'DRAFT 2'!$A:$A,"&gt;="&amp;DATE(2026,7,15),'DRAFT 2'!$A:$A,"&lt;="&amp;DATE(2026,7,21))</f>
        <v>0</v>
      </c>
      <c r="FX145">
        <f>COUNTIFS('DRAFT 2'!$D:$D,$B145,'DRAFT 2'!$A:$A,"&gt;="&amp;DATE(2026,7,22),'DRAFT 2'!$A:$A,"&lt;"&amp;DATE(2026,IF(7=12,7+1,7+1),1))</f>
        <v>0</v>
      </c>
      <c r="FY145">
        <f t="shared" si="64"/>
        <v>0</v>
      </c>
      <c r="GI145">
        <f>IFERROR(LOOKUP(2,1/('DRAFT 2'!$D:$D=$B145)*('DRAFT 2'!$A:$A&gt;=DATE(2026,8,1))*('DRAFT 2'!$A:$A&lt;DATE(2026,IF(8=12,8+1,8+1),1)),'DRAFT 2'!$A:$A),"")</f>
        <v>0</v>
      </c>
      <c r="GJ145">
        <f>COUNTIFS('DRAFT 2'!$D:$D,$B145,'DRAFT 2'!$A:$A,"&gt;="&amp;DATE(2026,8,1),'DRAFT 2'!$A:$A,"&lt;="&amp;DATE(2026,8,7))</f>
        <v>0</v>
      </c>
      <c r="GK145">
        <f>COUNTIFS('DRAFT 2'!$D:$D,$B145,'DRAFT 2'!$A:$A,"&gt;="&amp;DATE(2026,8,8),'DRAFT 2'!$A:$A,"&lt;="&amp;DATE(2026,8,14))</f>
        <v>0</v>
      </c>
      <c r="GL145">
        <f>COUNTIFS('DRAFT 2'!$D:$D,$B145,'DRAFT 2'!$A:$A,"&gt;="&amp;DATE(2026,8,15),'DRAFT 2'!$A:$A,"&lt;="&amp;DATE(2026,8,21))</f>
        <v>0</v>
      </c>
      <c r="GM145">
        <f>COUNTIFS('DRAFT 2'!$D:$D,$B145,'DRAFT 2'!$A:$A,"&gt;="&amp;DATE(2026,8,22),'DRAFT 2'!$A:$A,"&lt;"&amp;DATE(2026,IF(8=12,8+1,8+1),1))</f>
        <v>0</v>
      </c>
      <c r="GN145">
        <f t="shared" si="65"/>
        <v>0</v>
      </c>
      <c r="GX145">
        <f>IFERROR(LOOKUP(2,1/('DRAFT 2'!$D:$D=$B145)*('DRAFT 2'!$A:$A&gt;=DATE(2026,9,1))*('DRAFT 2'!$A:$A&lt;DATE(2026,IF(9=12,9+1,9+1),1)),'DRAFT 2'!$A:$A),"")</f>
        <v>0</v>
      </c>
      <c r="GY145">
        <f>COUNTIFS('DRAFT 2'!$D:$D,$B145,'DRAFT 2'!$A:$A,"&gt;="&amp;DATE(2026,9,1),'DRAFT 2'!$A:$A,"&lt;="&amp;DATE(2026,9,7))</f>
        <v>0</v>
      </c>
      <c r="GZ145">
        <f>COUNTIFS('DRAFT 2'!$D:$D,$B145,'DRAFT 2'!$A:$A,"&gt;="&amp;DATE(2026,9,8),'DRAFT 2'!$A:$A,"&lt;="&amp;DATE(2026,9,14))</f>
        <v>0</v>
      </c>
      <c r="HA145">
        <f>COUNTIFS('DRAFT 2'!$D:$D,$B145,'DRAFT 2'!$A:$A,"&gt;="&amp;DATE(2026,9,15),'DRAFT 2'!$A:$A,"&lt;="&amp;DATE(2026,9,21))</f>
        <v>0</v>
      </c>
      <c r="HB145">
        <f>COUNTIFS('DRAFT 2'!$D:$D,$B145,'DRAFT 2'!$A:$A,"&gt;="&amp;DATE(2026,9,22),'DRAFT 2'!$A:$A,"&lt;"&amp;DATE(2026,IF(9=12,9+1,9+1),1))</f>
        <v>0</v>
      </c>
      <c r="HC145">
        <f t="shared" si="66"/>
        <v>0</v>
      </c>
      <c r="HN145">
        <f>IFERROR(LOOKUP(2,1/('DRAFT 2'!$D:$D=$B145)*('DRAFT 2'!$A:$A&gt;=DATE(2026,10,1))*('DRAFT 2'!$A:$A&lt;DATE(2026,IF(10=12,10+1,10+1),1)),'DRAFT 2'!$A:$A),"")</f>
        <v>0</v>
      </c>
      <c r="HO145">
        <f>COUNTIFS('DRAFT 2'!$D:$D,$B145,'DRAFT 2'!$A:$A,"&gt;="&amp;DATE(2026,10,1),'DRAFT 2'!$A:$A,"&lt;="&amp;DATE(2026,10,7))</f>
        <v>0</v>
      </c>
      <c r="HP145">
        <f>COUNTIFS('DRAFT 2'!$D:$D,$B145,'DRAFT 2'!$A:$A,"&gt;="&amp;DATE(2026,10,8),'DRAFT 2'!$A:$A,"&lt;="&amp;DATE(2026,10,14))</f>
        <v>0</v>
      </c>
      <c r="HQ145">
        <f>COUNTIFS('DRAFT 2'!$D:$D,$B145,'DRAFT 2'!$A:$A,"&gt;="&amp;DATE(2026,10,15),'DRAFT 2'!$A:$A,"&lt;="&amp;DATE(2026,10,21))</f>
        <v>0</v>
      </c>
      <c r="HR145">
        <f>COUNTIFS('DRAFT 2'!$D:$D,$B145,'DRAFT 2'!$A:$A,"&gt;="&amp;DATE(2026,10,22),'DRAFT 2'!$A:$A,"&lt;"&amp;DATE(2026,IF(10=12,10+1,10+1),1))</f>
        <v>0</v>
      </c>
      <c r="HS145">
        <f t="shared" si="67"/>
        <v>0</v>
      </c>
      <c r="IC145">
        <f>IFERROR(LOOKUP(2,1/('DRAFT 2'!$D:$D=$B145)*('DRAFT 2'!$A:$A&gt;=DATE(2026,11,1))*('DRAFT 2'!$A:$A&lt;DATE(2026,IF(11=12,11+1,11+1),1)),'DRAFT 2'!$A:$A),"")</f>
        <v>0</v>
      </c>
      <c r="ID145">
        <f>COUNTIFS('DRAFT 2'!$D:$D,$B145,'DRAFT 2'!$A:$A,"&gt;="&amp;DATE(2026,11,1),'DRAFT 2'!$A:$A,"&lt;="&amp;DATE(2026,11,7))</f>
        <v>0</v>
      </c>
      <c r="IE145">
        <f>COUNTIFS('DRAFT 2'!$D:$D,$B145,'DRAFT 2'!$A:$A,"&gt;="&amp;DATE(2026,11,8),'DRAFT 2'!$A:$A,"&lt;="&amp;DATE(2026,11,14))</f>
        <v>0</v>
      </c>
      <c r="IF145">
        <f>COUNTIFS('DRAFT 2'!$D:$D,$B145,'DRAFT 2'!$A:$A,"&gt;="&amp;DATE(2026,11,15),'DRAFT 2'!$A:$A,"&lt;="&amp;DATE(2026,11,21))</f>
        <v>0</v>
      </c>
      <c r="IG145">
        <f>COUNTIFS('DRAFT 2'!$D:$D,$B145,'DRAFT 2'!$A:$A,"&gt;="&amp;DATE(2026,11,22),'DRAFT 2'!$A:$A,"&lt;"&amp;DATE(2026,IF(11=12,11+1,11+1),1))</f>
        <v>0</v>
      </c>
      <c r="IH145">
        <f t="shared" si="68"/>
        <v>0</v>
      </c>
      <c r="IR145">
        <f>IFERROR(LOOKUP(2,1/('DRAFT 2'!$D:$D=$B145)*('DRAFT 2'!$A:$A&gt;=DATE(2026,12,1))*('DRAFT 2'!$A:$A&lt;DATE(2026,IF(12=12,12+1,12+1),1)),'DRAFT 2'!$A:$A),"")</f>
        <v>0</v>
      </c>
      <c r="IS145">
        <f>COUNTIFS('DRAFT 2'!$D:$D,$B145,'DRAFT 2'!$A:$A,"&gt;="&amp;DATE(2026,12,1),'DRAFT 2'!$A:$A,"&lt;="&amp;DATE(2026,12,7))</f>
        <v>0</v>
      </c>
      <c r="IT145">
        <f>COUNTIFS('DRAFT 2'!$D:$D,$B145,'DRAFT 2'!$A:$A,"&gt;="&amp;DATE(2026,12,8),'DRAFT 2'!$A:$A,"&lt;="&amp;DATE(2026,12,14))</f>
        <v>0</v>
      </c>
      <c r="IU145">
        <f>COUNTIFS('DRAFT 2'!$D:$D,$B145,'DRAFT 2'!$A:$A,"&gt;="&amp;DATE(2026,12,15),'DRAFT 2'!$A:$A,"&lt;="&amp;DATE(2026,12,21))</f>
        <v>0</v>
      </c>
      <c r="IV145">
        <f>COUNTIFS('DRAFT 2'!$D:$D,$B145,'DRAFT 2'!$A:$A,"&gt;="&amp;DATE(2026,12,22),'DRAFT 2'!$A:$A,"&lt;"&amp;DATE(2026,IF(12=12,12+1,12+1),1))</f>
        <v>0</v>
      </c>
      <c r="IW145">
        <f t="shared" si="69"/>
        <v>0</v>
      </c>
    </row>
    <row r="146" spans="1:257" x14ac:dyDescent="0.3">
      <c r="A146" t="str">
        <f>IFERROR(INDEX('DRAFT 1'!$A:$A,MATCH($B146,'DRAFT 1'!$B:$B,0)),"")</f>
        <v/>
      </c>
      <c r="C146" t="str">
        <f>IFERROR(INDEX('DRAFT 1'!$C:$C,MATCH($B146,'DRAFT 1'!$B:$B,0)),"")</f>
        <v/>
      </c>
      <c r="D146" t="str">
        <f>IFERROR(INDEX('DRAFT 1'!$D:$D,MATCH($B146,'DRAFT 1'!$B:$B,0)),"")</f>
        <v/>
      </c>
      <c r="E146" t="str">
        <f>IFERROR(INDEX('DRAFT 1'!$E:$E,MATCH($B146,'DRAFT 1'!$B:$B,0)),"")</f>
        <v/>
      </c>
      <c r="F146" t="str">
        <f>IFERROR(INDEX('DRAFT 1'!$F:$F,MATCH($B146,'DRAFT 1'!$B:$B,0)),"")</f>
        <v/>
      </c>
      <c r="G146" t="str">
        <f>IFERROR(INDEX('DRAFT 1'!$G:$G,MATCH($B146,'DRAFT 1'!$B:$B,0)),"")</f>
        <v/>
      </c>
      <c r="H146" t="str">
        <f>IFERROR(INDEX('DRAFT 1'!$H:$H,MATCH($B146,'DRAFT 1'!$B:$B,0)),"")</f>
        <v/>
      </c>
      <c r="I146" t="str">
        <f>IFERROR(INDEX('DRAFT 1'!$I:$I,MATCH($B146,'DRAFT 1'!$B:$B,0)),"")</f>
        <v/>
      </c>
      <c r="K146" t="str">
        <f>IFERROR(INDEX('DRAFT 1'!$AL:$AL,MATCH($B146,'DRAFT 1'!$B:$B,0)),"")</f>
        <v/>
      </c>
      <c r="L146" t="str">
        <f>IFERROR(INDEX('DRAFT 1'!$J:$J,MATCH($B146,'DRAFT 1'!$B:$B,0)),"")</f>
        <v/>
      </c>
      <c r="M146" t="str">
        <f>IFERROR(INDEX('DRAFT 1'!$K:$K,MATCH($B146,'DRAFT 1'!$B:$B,0)),"")</f>
        <v/>
      </c>
      <c r="P146" t="str">
        <f>IFERROR(INDEX('DRAFT 1'!$L:$L,MATCH($B146,'DRAFT 1'!$B:$B,0)),"")</f>
        <v/>
      </c>
      <c r="Q146" t="str">
        <f>IFERROR(INDEX('DRAFT 1'!$M:$M,MATCH($B146,'DRAFT 1'!$B:$B,0)),"")</f>
        <v/>
      </c>
      <c r="R146" t="str">
        <f>IFERROR(INDEX('DRAFT 1'!$N:$N,MATCH($B146,'DRAFT 1'!$B:$B,0)),"")</f>
        <v/>
      </c>
      <c r="S146" t="str">
        <f>IFERROR(INDEX('DRAFT 1'!$O:$O,MATCH($B146,'DRAFT 1'!$B:$B,0)),"")</f>
        <v/>
      </c>
      <c r="T146" t="str">
        <f>IFERROR(INDEX('DRAFT 1'!$P:$P,MATCH($B146,'DRAFT 1'!$B:$B,0)),"")</f>
        <v/>
      </c>
      <c r="U146" t="str">
        <f>IFERROR(INDEX('DRAFT 1'!$Q:$Q,MATCH($B146,'DRAFT 1'!$B:$B,0)),"")</f>
        <v/>
      </c>
      <c r="V146" t="str">
        <f>IFERROR(INDEX('DRAFT 1'!$R:$R,MATCH($B146,'DRAFT 1'!$B:$B,0)),"")</f>
        <v/>
      </c>
      <c r="W146" t="str">
        <f>IFERROR(INDEX('DRAFT 1'!$S:$S,MATCH($B146,'DRAFT 1'!$B:$B,0)),"")</f>
        <v/>
      </c>
      <c r="X146" t="str">
        <f>IFERROR(INDEX('DRAFT 1'!$T:$T,MATCH($B146,'DRAFT 1'!$B:$B,0)),"")</f>
        <v/>
      </c>
      <c r="Z146" t="str">
        <f>IFERROR(INDEX('DRAFT 1'!$U:$U,MATCH($B146,'DRAFT 1'!$B:$B,0)),"")</f>
        <v/>
      </c>
      <c r="AA146" t="str">
        <f>IFERROR(INDEX('DRAFT 1'!$V:$V,MATCH($B146,'DRAFT 1'!$B:$B,0)),"")</f>
        <v/>
      </c>
      <c r="AB146" t="str">
        <f>IFERROR(INDEX('DRAFT 1'!$W:$W,MATCH($B146,'DRAFT 1'!$B:$B,0)),"")</f>
        <v/>
      </c>
      <c r="AC146" t="str">
        <f>IFERROR(INDEX('DRAFT 1'!$X:$X,MATCH($B146,'DRAFT 1'!$B:$B,0)),"")</f>
        <v/>
      </c>
      <c r="AD146" t="str">
        <f>IFERROR(INDEX('DRAFT 1'!$Y:$Y,MATCH($B146,'DRAFT 1'!$B:$B,0)),"")</f>
        <v/>
      </c>
      <c r="AE146" t="str">
        <f>IFERROR(INDEX('DRAFT 1'!$Z:$Z,MATCH($B146,'DRAFT 1'!$B:$B,0)),"")</f>
        <v/>
      </c>
      <c r="AF146" t="str">
        <f>IFERROR(INDEX('DRAFT 1'!$AA:$AA,MATCH($B146,'DRAFT 1'!$B:$B,0)),"")</f>
        <v/>
      </c>
      <c r="AG146" t="str">
        <f>IFERROR(INDEX('DRAFT 1'!$AB:$AB,MATCH($B146,'DRAFT 1'!$B:$B,0)),"")</f>
        <v/>
      </c>
      <c r="AH146" t="str">
        <f>IFERROR(INDEX('DRAFT 1'!$AC:$AC,MATCH($B146,'DRAFT 1'!$B:$B,0)),"")</f>
        <v/>
      </c>
      <c r="AI146" t="str">
        <f>IFERROR(INDEX('DRAFT 1'!$AD:$AD,MATCH($B146,'DRAFT 1'!$B:$B,0)),"")</f>
        <v/>
      </c>
      <c r="AJ146" t="str">
        <f>IFERROR(INDEX('DRAFT 1'!$AE:$AE,MATCH($B146,'DRAFT 1'!$B:$B,0)),"")</f>
        <v/>
      </c>
      <c r="AK146" t="str">
        <f>IFERROR(INDEX('DRAFT 1'!$AG:$AG,MATCH($B146,'DRAFT 1'!$B:$B,0)),"")</f>
        <v/>
      </c>
      <c r="AL146" t="str">
        <f>IFERROR(INDEX('DRAFT 1'!$AH:$AH,MATCH($B146,'DRAFT 1'!$B:$B,0)),"")</f>
        <v/>
      </c>
      <c r="AM146" t="str">
        <f>IFERROR(INDEX('DRAFT 1'!$AI:$AI,MATCH($B146,'DRAFT 1'!$B:$B,0)),"")</f>
        <v/>
      </c>
      <c r="AN146" t="str">
        <f>IFERROR(INDEX('DRAFT 1'!$AJ:$AJ,MATCH($B146,'DRAFT 1'!$B:$B,0)),"")</f>
        <v/>
      </c>
      <c r="AO146">
        <f t="shared" si="56"/>
        <v>0</v>
      </c>
      <c r="AP146" t="str">
        <f>IFERROR(INDEX('DRAFT 1'!$AK:$AK,MATCH($B146,'DRAFT 1'!$B:$B,0)),"")</f>
        <v/>
      </c>
      <c r="AR146">
        <f>IFERROR(LOOKUP(2,1/('DRAFT 2'!$D:$D=$B146),'DRAFT 2'!$I:$I),"")</f>
        <v>0</v>
      </c>
      <c r="AS146">
        <f>IFERROR(LOOKUP(2,1/('DRAFT 2'!$D:$D=$B146),'DRAFT 2'!$T:$T),"")</f>
        <v>0</v>
      </c>
      <c r="AT146">
        <f>IFERROR(LOOKUP(2,1/('DRAFT 2'!$D:$D=$B146),'DRAFT 2'!$A:$A),"")</f>
        <v>0</v>
      </c>
      <c r="AU146">
        <f>IFERROR(LOOKUP(2,1/('DRAFT 2'!$D:$D=$B146),'DRAFT 2'!$R:$R),"")</f>
        <v>0</v>
      </c>
      <c r="AV146">
        <f>IFERROR(LOOKUP(2,1/('DRAFT 2'!$D:$D=$B146),'DRAFT 2'!$S:$S),"")</f>
        <v>0</v>
      </c>
      <c r="AX146">
        <f>IFERROR(LOOKUP(2,1/('DRAFT 2'!$D:$D=$B146),'DRAFT 2'!$M:$M),"")</f>
        <v>0</v>
      </c>
      <c r="AY146">
        <f>IFERROR(LOOKUP(2,1/('DRAFT 2'!$D:$D=$B146),'DRAFT 2'!$K:$K),"")</f>
        <v>0</v>
      </c>
      <c r="BG146">
        <f>IFERROR(LOOKUP(2,1/('DRAFT 2'!$D:$D=$B146),'DRAFT 2'!$U:$U),"")</f>
        <v>0</v>
      </c>
      <c r="BH146">
        <f>IFERROR(LOOKUP(2,1/('DRAFT 2'!$D:$D=$B146),'DRAFT 2'!$V:$V),"")</f>
        <v>0</v>
      </c>
      <c r="CE146" t="str">
        <f t="shared" si="57"/>
        <v/>
      </c>
      <c r="CF146">
        <f>IFERROR(LOOKUP(2,1/('DRAFT 2'!$D:$D=$B146)*('DRAFT 2'!$A:$A&gt;=DATE(2026,1,1))*('DRAFT 2'!$A:$A&lt;DATE(2026,IF(1=12,1+1,1+1),1)),'DRAFT 2'!$A:$A),"")</f>
        <v>0</v>
      </c>
      <c r="CG146">
        <f>COUNTIFS('DRAFT 2'!$D:$D,$B146,'DRAFT 2'!$A:$A,"&gt;="&amp;DATE(2026,1,1),'DRAFT 2'!$A:$A,"&lt;="&amp;DATE(2026,1,7))</f>
        <v>0</v>
      </c>
      <c r="CH146">
        <f>COUNTIFS('DRAFT 2'!$D:$D,$B146,'DRAFT 2'!$A:$A,"&gt;="&amp;DATE(2026,1,8),'DRAFT 2'!$A:$A,"&lt;="&amp;DATE(2026,1,14))</f>
        <v>0</v>
      </c>
      <c r="CI146">
        <f>COUNTIFS('DRAFT 2'!$D:$D,$B146,'DRAFT 2'!$A:$A,"&gt;="&amp;DATE(2026,1,15),'DRAFT 2'!$A:$A,"&lt;="&amp;DATE(2026,1,21))</f>
        <v>0</v>
      </c>
      <c r="CJ146">
        <f>COUNTIFS('DRAFT 2'!$D:$D,$B146,'DRAFT 2'!$A:$A,"&gt;="&amp;DATE(2026,1,22),'DRAFT 2'!$A:$A,"&lt;"&amp;DATE(2026,IF(1=12,1+1,1+1),1))</f>
        <v>0</v>
      </c>
      <c r="CK146">
        <f t="shared" si="58"/>
        <v>0</v>
      </c>
      <c r="CT146">
        <v>0</v>
      </c>
      <c r="CU146">
        <f>IFERROR(LOOKUP(2,1/('DRAFT 2'!$D:$D=$B146)*('DRAFT 2'!$A:$A&gt;=DATE(2026,2,1))*('DRAFT 2'!$A:$A&lt;DATE(2026,IF(2=12,2+1,2+1),1)),'DRAFT 2'!$A:$A),"")</f>
        <v>0</v>
      </c>
      <c r="CV146">
        <f>COUNTIFS('DRAFT 2'!$D:$D,$B146,'DRAFT 2'!$A:$A,"&gt;="&amp;DATE(2026,2,1),'DRAFT 2'!$A:$A,"&lt;="&amp;DATE(2026,2,7))</f>
        <v>0</v>
      </c>
      <c r="CW146">
        <f>COUNTIFS('DRAFT 2'!$D:$D,$B146,'DRAFT 2'!$A:$A,"&gt;="&amp;DATE(2026,2,8),'DRAFT 2'!$A:$A,"&lt;="&amp;DATE(2026,2,14))</f>
        <v>0</v>
      </c>
      <c r="CX146">
        <f>COUNTIFS('DRAFT 2'!$D:$D,$B146,'DRAFT 2'!$A:$A,"&gt;="&amp;DATE(2026,2,15),'DRAFT 2'!$A:$A,"&lt;="&amp;DATE(2026,2,21))</f>
        <v>0</v>
      </c>
      <c r="CY146">
        <f>COUNTIFS('DRAFT 2'!$D:$D,$B146,'DRAFT 2'!$A:$A,"&gt;="&amp;DATE(2026,2,22),'DRAFT 2'!$A:$A,"&lt;"&amp;DATE(2026,IF(2=12,2+1,2+1),1))</f>
        <v>0</v>
      </c>
      <c r="CZ146">
        <f t="shared" si="59"/>
        <v>0</v>
      </c>
      <c r="DJ146">
        <f>IFERROR(LOOKUP(2,1/('DRAFT 2'!$D:$D=$B146)*('DRAFT 2'!$A:$A&gt;=DATE(2026,3,1))*('DRAFT 2'!$A:$A&lt;DATE(2026,IF(3=12,3+1,3+1),1)),'DRAFT 2'!$A:$A),"")</f>
        <v>0</v>
      </c>
      <c r="DK146">
        <f>COUNTIFS('DRAFT 2'!$D:$D,$B146,'DRAFT 2'!$A:$A,"&gt;="&amp;DATE(2026,3,1),'DRAFT 2'!$A:$A,"&lt;="&amp;DATE(2026,3,7))</f>
        <v>0</v>
      </c>
      <c r="DL146">
        <f>COUNTIFS('DRAFT 2'!$D:$D,$B146,'DRAFT 2'!$A:$A,"&gt;="&amp;DATE(2026,3,8),'DRAFT 2'!$A:$A,"&lt;="&amp;DATE(2026,3,14))</f>
        <v>0</v>
      </c>
      <c r="DM146">
        <f>COUNTIFS('DRAFT 2'!$D:$D,$B146,'DRAFT 2'!$A:$A,"&gt;="&amp;DATE(2026,3,15),'DRAFT 2'!$A:$A,"&lt;="&amp;DATE(2026,3,21))</f>
        <v>0</v>
      </c>
      <c r="DN146">
        <f>COUNTIFS('DRAFT 2'!$D:$D,$B146,'DRAFT 2'!$A:$A,"&gt;="&amp;DATE(2026,3,22),'DRAFT 2'!$A:$A,"&lt;"&amp;DATE(2026,IF(3=12,3+1,3+1),1))</f>
        <v>0</v>
      </c>
      <c r="DO146">
        <f t="shared" si="60"/>
        <v>0</v>
      </c>
      <c r="DZ146">
        <f>IFERROR(LOOKUP(2,1/('DRAFT 2'!$D:$D=$B146)*('DRAFT 2'!$A:$A&gt;=DATE(2026,4,1))*('DRAFT 2'!$A:$A&lt;DATE(2026,IF(4=12,4+1,4+1),1)),'DRAFT 2'!$A:$A),"")</f>
        <v>0</v>
      </c>
      <c r="EA146">
        <f>COUNTIFS('DRAFT 2'!$D:$D,$B146,'DRAFT 2'!$A:$A,"&gt;="&amp;DATE(2026,4,1),'DRAFT 2'!$A:$A,"&lt;="&amp;DATE(2026,4,7))</f>
        <v>0</v>
      </c>
      <c r="EB146">
        <f>COUNTIFS('DRAFT 2'!$D:$D,$B146,'DRAFT 2'!$A:$A,"&gt;="&amp;DATE(2026,4,8),'DRAFT 2'!$A:$A,"&lt;="&amp;DATE(2026,4,14))</f>
        <v>0</v>
      </c>
      <c r="EC146">
        <f>COUNTIFS('DRAFT 2'!$D:$D,$B146,'DRAFT 2'!$A:$A,"&gt;="&amp;DATE(2026,4,15),'DRAFT 2'!$A:$A,"&lt;="&amp;DATE(2026,4,21))</f>
        <v>0</v>
      </c>
      <c r="ED146">
        <f>COUNTIFS('DRAFT 2'!$D:$D,$B146,'DRAFT 2'!$A:$A,"&gt;="&amp;DATE(2026,4,22),'DRAFT 2'!$A:$A,"&lt;"&amp;DATE(2026,IF(4=12,4+1,4+1),1))</f>
        <v>0</v>
      </c>
      <c r="EE146">
        <f t="shared" si="61"/>
        <v>0</v>
      </c>
      <c r="EO146">
        <f>IFERROR(LOOKUP(2,1/('DRAFT 2'!$D:$D=$B146)*('DRAFT 2'!$A:$A&gt;=DATE(2026,5,1))*('DRAFT 2'!$A:$A&lt;DATE(2026,IF(5=12,5+1,5+1),1)),'DRAFT 2'!$A:$A),"")</f>
        <v>0</v>
      </c>
      <c r="EP146">
        <f>COUNTIFS('DRAFT 2'!$D:$D,$B146,'DRAFT 2'!$A:$A,"&gt;="&amp;DATE(2026,5,1),'DRAFT 2'!$A:$A,"&lt;="&amp;DATE(2026,5,7))</f>
        <v>0</v>
      </c>
      <c r="EQ146">
        <f>COUNTIFS('DRAFT 2'!$D:$D,$B146,'DRAFT 2'!$A:$A,"&gt;="&amp;DATE(2026,5,8),'DRAFT 2'!$A:$A,"&lt;="&amp;DATE(2026,5,14))</f>
        <v>0</v>
      </c>
      <c r="ER146">
        <f>COUNTIFS('DRAFT 2'!$D:$D,$B146,'DRAFT 2'!$A:$A,"&gt;="&amp;DATE(2026,5,15),'DRAFT 2'!$A:$A,"&lt;="&amp;DATE(2026,5,21))</f>
        <v>0</v>
      </c>
      <c r="ES146">
        <f>COUNTIFS('DRAFT 2'!$D:$D,$B146,'DRAFT 2'!$A:$A,"&gt;="&amp;DATE(2026,5,22),'DRAFT 2'!$A:$A,"&lt;"&amp;DATE(2026,IF(5=12,5+1,5+1),1))</f>
        <v>0</v>
      </c>
      <c r="ET146">
        <f t="shared" si="62"/>
        <v>0</v>
      </c>
      <c r="FD146">
        <f>IFERROR(LOOKUP(2,1/('DRAFT 2'!$D:$D=$B146)*('DRAFT 2'!$A:$A&gt;=DATE(2026,6,1))*('DRAFT 2'!$A:$A&lt;DATE(2026,IF(6=12,6+1,6+1),1)),'DRAFT 2'!$A:$A),"")</f>
        <v>0</v>
      </c>
      <c r="FE146">
        <f>COUNTIFS('DRAFT 2'!$D:$D,$B146,'DRAFT 2'!$A:$A,"&gt;="&amp;DATE(2026,6,1),'DRAFT 2'!$A:$A,"&lt;="&amp;DATE(2026,6,7))</f>
        <v>0</v>
      </c>
      <c r="FF146">
        <f>COUNTIFS('DRAFT 2'!$D:$D,$B146,'DRAFT 2'!$A:$A,"&gt;="&amp;DATE(2026,6,8),'DRAFT 2'!$A:$A,"&lt;="&amp;DATE(2026,6,14))</f>
        <v>0</v>
      </c>
      <c r="FG146">
        <f>COUNTIFS('DRAFT 2'!$D:$D,$B146,'DRAFT 2'!$A:$A,"&gt;="&amp;DATE(2026,6,15),'DRAFT 2'!$A:$A,"&lt;="&amp;DATE(2026,6,21))</f>
        <v>0</v>
      </c>
      <c r="FH146">
        <f>COUNTIFS('DRAFT 2'!$D:$D,$B146,'DRAFT 2'!$A:$A,"&gt;="&amp;DATE(2026,6,22),'DRAFT 2'!$A:$A,"&lt;"&amp;DATE(2026,IF(6=12,6+1,6+1),1))</f>
        <v>0</v>
      </c>
      <c r="FI146">
        <f t="shared" si="63"/>
        <v>0</v>
      </c>
      <c r="FT146">
        <f>IFERROR(LOOKUP(2,1/('DRAFT 2'!$D:$D=$B146)*('DRAFT 2'!$A:$A&gt;=DATE(2026,7,1))*('DRAFT 2'!$A:$A&lt;DATE(2026,IF(7=12,7+1,7+1),1)),'DRAFT 2'!$A:$A),"")</f>
        <v>0</v>
      </c>
      <c r="FU146">
        <f>COUNTIFS('DRAFT 2'!$D:$D,$B146,'DRAFT 2'!$A:$A,"&gt;="&amp;DATE(2026,7,1),'DRAFT 2'!$A:$A,"&lt;="&amp;DATE(2026,7,7))</f>
        <v>0</v>
      </c>
      <c r="FV146">
        <f>COUNTIFS('DRAFT 2'!$D:$D,$B146,'DRAFT 2'!$A:$A,"&gt;="&amp;DATE(2026,7,8),'DRAFT 2'!$A:$A,"&lt;="&amp;DATE(2026,7,14))</f>
        <v>0</v>
      </c>
      <c r="FW146">
        <f>COUNTIFS('DRAFT 2'!$D:$D,$B146,'DRAFT 2'!$A:$A,"&gt;="&amp;DATE(2026,7,15),'DRAFT 2'!$A:$A,"&lt;="&amp;DATE(2026,7,21))</f>
        <v>0</v>
      </c>
      <c r="FX146">
        <f>COUNTIFS('DRAFT 2'!$D:$D,$B146,'DRAFT 2'!$A:$A,"&gt;="&amp;DATE(2026,7,22),'DRAFT 2'!$A:$A,"&lt;"&amp;DATE(2026,IF(7=12,7+1,7+1),1))</f>
        <v>0</v>
      </c>
      <c r="FY146">
        <f t="shared" si="64"/>
        <v>0</v>
      </c>
      <c r="GI146">
        <f>IFERROR(LOOKUP(2,1/('DRAFT 2'!$D:$D=$B146)*('DRAFT 2'!$A:$A&gt;=DATE(2026,8,1))*('DRAFT 2'!$A:$A&lt;DATE(2026,IF(8=12,8+1,8+1),1)),'DRAFT 2'!$A:$A),"")</f>
        <v>0</v>
      </c>
      <c r="GJ146">
        <f>COUNTIFS('DRAFT 2'!$D:$D,$B146,'DRAFT 2'!$A:$A,"&gt;="&amp;DATE(2026,8,1),'DRAFT 2'!$A:$A,"&lt;="&amp;DATE(2026,8,7))</f>
        <v>0</v>
      </c>
      <c r="GK146">
        <f>COUNTIFS('DRAFT 2'!$D:$D,$B146,'DRAFT 2'!$A:$A,"&gt;="&amp;DATE(2026,8,8),'DRAFT 2'!$A:$A,"&lt;="&amp;DATE(2026,8,14))</f>
        <v>0</v>
      </c>
      <c r="GL146">
        <f>COUNTIFS('DRAFT 2'!$D:$D,$B146,'DRAFT 2'!$A:$A,"&gt;="&amp;DATE(2026,8,15),'DRAFT 2'!$A:$A,"&lt;="&amp;DATE(2026,8,21))</f>
        <v>0</v>
      </c>
      <c r="GM146">
        <f>COUNTIFS('DRAFT 2'!$D:$D,$B146,'DRAFT 2'!$A:$A,"&gt;="&amp;DATE(2026,8,22),'DRAFT 2'!$A:$A,"&lt;"&amp;DATE(2026,IF(8=12,8+1,8+1),1))</f>
        <v>0</v>
      </c>
      <c r="GN146">
        <f t="shared" si="65"/>
        <v>0</v>
      </c>
      <c r="GX146">
        <f>IFERROR(LOOKUP(2,1/('DRAFT 2'!$D:$D=$B146)*('DRAFT 2'!$A:$A&gt;=DATE(2026,9,1))*('DRAFT 2'!$A:$A&lt;DATE(2026,IF(9=12,9+1,9+1),1)),'DRAFT 2'!$A:$A),"")</f>
        <v>0</v>
      </c>
      <c r="GY146">
        <f>COUNTIFS('DRAFT 2'!$D:$D,$B146,'DRAFT 2'!$A:$A,"&gt;="&amp;DATE(2026,9,1),'DRAFT 2'!$A:$A,"&lt;="&amp;DATE(2026,9,7))</f>
        <v>0</v>
      </c>
      <c r="GZ146">
        <f>COUNTIFS('DRAFT 2'!$D:$D,$B146,'DRAFT 2'!$A:$A,"&gt;="&amp;DATE(2026,9,8),'DRAFT 2'!$A:$A,"&lt;="&amp;DATE(2026,9,14))</f>
        <v>0</v>
      </c>
      <c r="HA146">
        <f>COUNTIFS('DRAFT 2'!$D:$D,$B146,'DRAFT 2'!$A:$A,"&gt;="&amp;DATE(2026,9,15),'DRAFT 2'!$A:$A,"&lt;="&amp;DATE(2026,9,21))</f>
        <v>0</v>
      </c>
      <c r="HB146">
        <f>COUNTIFS('DRAFT 2'!$D:$D,$B146,'DRAFT 2'!$A:$A,"&gt;="&amp;DATE(2026,9,22),'DRAFT 2'!$A:$A,"&lt;"&amp;DATE(2026,IF(9=12,9+1,9+1),1))</f>
        <v>0</v>
      </c>
      <c r="HC146">
        <f t="shared" si="66"/>
        <v>0</v>
      </c>
      <c r="HN146">
        <f>IFERROR(LOOKUP(2,1/('DRAFT 2'!$D:$D=$B146)*('DRAFT 2'!$A:$A&gt;=DATE(2026,10,1))*('DRAFT 2'!$A:$A&lt;DATE(2026,IF(10=12,10+1,10+1),1)),'DRAFT 2'!$A:$A),"")</f>
        <v>0</v>
      </c>
      <c r="HO146">
        <f>COUNTIFS('DRAFT 2'!$D:$D,$B146,'DRAFT 2'!$A:$A,"&gt;="&amp;DATE(2026,10,1),'DRAFT 2'!$A:$A,"&lt;="&amp;DATE(2026,10,7))</f>
        <v>0</v>
      </c>
      <c r="HP146">
        <f>COUNTIFS('DRAFT 2'!$D:$D,$B146,'DRAFT 2'!$A:$A,"&gt;="&amp;DATE(2026,10,8),'DRAFT 2'!$A:$A,"&lt;="&amp;DATE(2026,10,14))</f>
        <v>0</v>
      </c>
      <c r="HQ146">
        <f>COUNTIFS('DRAFT 2'!$D:$D,$B146,'DRAFT 2'!$A:$A,"&gt;="&amp;DATE(2026,10,15),'DRAFT 2'!$A:$A,"&lt;="&amp;DATE(2026,10,21))</f>
        <v>0</v>
      </c>
      <c r="HR146">
        <f>COUNTIFS('DRAFT 2'!$D:$D,$B146,'DRAFT 2'!$A:$A,"&gt;="&amp;DATE(2026,10,22),'DRAFT 2'!$A:$A,"&lt;"&amp;DATE(2026,IF(10=12,10+1,10+1),1))</f>
        <v>0</v>
      </c>
      <c r="HS146">
        <f t="shared" si="67"/>
        <v>0</v>
      </c>
      <c r="IC146">
        <f>IFERROR(LOOKUP(2,1/('DRAFT 2'!$D:$D=$B146)*('DRAFT 2'!$A:$A&gt;=DATE(2026,11,1))*('DRAFT 2'!$A:$A&lt;DATE(2026,IF(11=12,11+1,11+1),1)),'DRAFT 2'!$A:$A),"")</f>
        <v>0</v>
      </c>
      <c r="ID146">
        <f>COUNTIFS('DRAFT 2'!$D:$D,$B146,'DRAFT 2'!$A:$A,"&gt;="&amp;DATE(2026,11,1),'DRAFT 2'!$A:$A,"&lt;="&amp;DATE(2026,11,7))</f>
        <v>0</v>
      </c>
      <c r="IE146">
        <f>COUNTIFS('DRAFT 2'!$D:$D,$B146,'DRAFT 2'!$A:$A,"&gt;="&amp;DATE(2026,11,8),'DRAFT 2'!$A:$A,"&lt;="&amp;DATE(2026,11,14))</f>
        <v>0</v>
      </c>
      <c r="IF146">
        <f>COUNTIFS('DRAFT 2'!$D:$D,$B146,'DRAFT 2'!$A:$A,"&gt;="&amp;DATE(2026,11,15),'DRAFT 2'!$A:$A,"&lt;="&amp;DATE(2026,11,21))</f>
        <v>0</v>
      </c>
      <c r="IG146">
        <f>COUNTIFS('DRAFT 2'!$D:$D,$B146,'DRAFT 2'!$A:$A,"&gt;="&amp;DATE(2026,11,22),'DRAFT 2'!$A:$A,"&lt;"&amp;DATE(2026,IF(11=12,11+1,11+1),1))</f>
        <v>0</v>
      </c>
      <c r="IH146">
        <f t="shared" si="68"/>
        <v>0</v>
      </c>
      <c r="IR146">
        <f>IFERROR(LOOKUP(2,1/('DRAFT 2'!$D:$D=$B146)*('DRAFT 2'!$A:$A&gt;=DATE(2026,12,1))*('DRAFT 2'!$A:$A&lt;DATE(2026,IF(12=12,12+1,12+1),1)),'DRAFT 2'!$A:$A),"")</f>
        <v>0</v>
      </c>
      <c r="IS146">
        <f>COUNTIFS('DRAFT 2'!$D:$D,$B146,'DRAFT 2'!$A:$A,"&gt;="&amp;DATE(2026,12,1),'DRAFT 2'!$A:$A,"&lt;="&amp;DATE(2026,12,7))</f>
        <v>0</v>
      </c>
      <c r="IT146">
        <f>COUNTIFS('DRAFT 2'!$D:$D,$B146,'DRAFT 2'!$A:$A,"&gt;="&amp;DATE(2026,12,8),'DRAFT 2'!$A:$A,"&lt;="&amp;DATE(2026,12,14))</f>
        <v>0</v>
      </c>
      <c r="IU146">
        <f>COUNTIFS('DRAFT 2'!$D:$D,$B146,'DRAFT 2'!$A:$A,"&gt;="&amp;DATE(2026,12,15),'DRAFT 2'!$A:$A,"&lt;="&amp;DATE(2026,12,21))</f>
        <v>0</v>
      </c>
      <c r="IV146">
        <f>COUNTIFS('DRAFT 2'!$D:$D,$B146,'DRAFT 2'!$A:$A,"&gt;="&amp;DATE(2026,12,22),'DRAFT 2'!$A:$A,"&lt;"&amp;DATE(2026,IF(12=12,12+1,12+1),1))</f>
        <v>0</v>
      </c>
      <c r="IW146">
        <f t="shared" si="69"/>
        <v>0</v>
      </c>
    </row>
    <row r="147" spans="1:257" x14ac:dyDescent="0.3">
      <c r="A147" t="str">
        <f>IFERROR(INDEX('DRAFT 1'!$A:$A,MATCH($B147,'DRAFT 1'!$B:$B,0)),"")</f>
        <v/>
      </c>
      <c r="C147" t="str">
        <f>IFERROR(INDEX('DRAFT 1'!$C:$C,MATCH($B147,'DRAFT 1'!$B:$B,0)),"")</f>
        <v/>
      </c>
      <c r="D147" t="str">
        <f>IFERROR(INDEX('DRAFT 1'!$D:$D,MATCH($B147,'DRAFT 1'!$B:$B,0)),"")</f>
        <v/>
      </c>
      <c r="E147" t="str">
        <f>IFERROR(INDEX('DRAFT 1'!$E:$E,MATCH($B147,'DRAFT 1'!$B:$B,0)),"")</f>
        <v/>
      </c>
      <c r="F147" t="str">
        <f>IFERROR(INDEX('DRAFT 1'!$F:$F,MATCH($B147,'DRAFT 1'!$B:$B,0)),"")</f>
        <v/>
      </c>
      <c r="G147" t="str">
        <f>IFERROR(INDEX('DRAFT 1'!$G:$G,MATCH($B147,'DRAFT 1'!$B:$B,0)),"")</f>
        <v/>
      </c>
      <c r="H147" t="str">
        <f>IFERROR(INDEX('DRAFT 1'!$H:$H,MATCH($B147,'DRAFT 1'!$B:$B,0)),"")</f>
        <v/>
      </c>
      <c r="I147" t="str">
        <f>IFERROR(INDEX('DRAFT 1'!$I:$I,MATCH($B147,'DRAFT 1'!$B:$B,0)),"")</f>
        <v/>
      </c>
      <c r="K147" t="str">
        <f>IFERROR(INDEX('DRAFT 1'!$AL:$AL,MATCH($B147,'DRAFT 1'!$B:$B,0)),"")</f>
        <v/>
      </c>
      <c r="L147" t="str">
        <f>IFERROR(INDEX('DRAFT 1'!$J:$J,MATCH($B147,'DRAFT 1'!$B:$B,0)),"")</f>
        <v/>
      </c>
      <c r="M147" t="str">
        <f>IFERROR(INDEX('DRAFT 1'!$K:$K,MATCH($B147,'DRAFT 1'!$B:$B,0)),"")</f>
        <v/>
      </c>
      <c r="P147" t="str">
        <f>IFERROR(INDEX('DRAFT 1'!$L:$L,MATCH($B147,'DRAFT 1'!$B:$B,0)),"")</f>
        <v/>
      </c>
      <c r="Q147" t="str">
        <f>IFERROR(INDEX('DRAFT 1'!$M:$M,MATCH($B147,'DRAFT 1'!$B:$B,0)),"")</f>
        <v/>
      </c>
      <c r="R147" t="str">
        <f>IFERROR(INDEX('DRAFT 1'!$N:$N,MATCH($B147,'DRAFT 1'!$B:$B,0)),"")</f>
        <v/>
      </c>
      <c r="S147" t="str">
        <f>IFERROR(INDEX('DRAFT 1'!$O:$O,MATCH($B147,'DRAFT 1'!$B:$B,0)),"")</f>
        <v/>
      </c>
      <c r="T147" t="str">
        <f>IFERROR(INDEX('DRAFT 1'!$P:$P,MATCH($B147,'DRAFT 1'!$B:$B,0)),"")</f>
        <v/>
      </c>
      <c r="U147" t="str">
        <f>IFERROR(INDEX('DRAFT 1'!$Q:$Q,MATCH($B147,'DRAFT 1'!$B:$B,0)),"")</f>
        <v/>
      </c>
      <c r="V147" t="str">
        <f>IFERROR(INDEX('DRAFT 1'!$R:$R,MATCH($B147,'DRAFT 1'!$B:$B,0)),"")</f>
        <v/>
      </c>
      <c r="W147" t="str">
        <f>IFERROR(INDEX('DRAFT 1'!$S:$S,MATCH($B147,'DRAFT 1'!$B:$B,0)),"")</f>
        <v/>
      </c>
      <c r="X147" t="str">
        <f>IFERROR(INDEX('DRAFT 1'!$T:$T,MATCH($B147,'DRAFT 1'!$B:$B,0)),"")</f>
        <v/>
      </c>
      <c r="Z147" t="str">
        <f>IFERROR(INDEX('DRAFT 1'!$U:$U,MATCH($B147,'DRAFT 1'!$B:$B,0)),"")</f>
        <v/>
      </c>
      <c r="AA147" t="str">
        <f>IFERROR(INDEX('DRAFT 1'!$V:$V,MATCH($B147,'DRAFT 1'!$B:$B,0)),"")</f>
        <v/>
      </c>
      <c r="AB147" t="str">
        <f>IFERROR(INDEX('DRAFT 1'!$W:$W,MATCH($B147,'DRAFT 1'!$B:$B,0)),"")</f>
        <v/>
      </c>
      <c r="AC147" t="str">
        <f>IFERROR(INDEX('DRAFT 1'!$X:$X,MATCH($B147,'DRAFT 1'!$B:$B,0)),"")</f>
        <v/>
      </c>
      <c r="AD147" t="str">
        <f>IFERROR(INDEX('DRAFT 1'!$Y:$Y,MATCH($B147,'DRAFT 1'!$B:$B,0)),"")</f>
        <v/>
      </c>
      <c r="AE147" t="str">
        <f>IFERROR(INDEX('DRAFT 1'!$Z:$Z,MATCH($B147,'DRAFT 1'!$B:$B,0)),"")</f>
        <v/>
      </c>
      <c r="AF147" t="str">
        <f>IFERROR(INDEX('DRAFT 1'!$AA:$AA,MATCH($B147,'DRAFT 1'!$B:$B,0)),"")</f>
        <v/>
      </c>
      <c r="AG147" t="str">
        <f>IFERROR(INDEX('DRAFT 1'!$AB:$AB,MATCH($B147,'DRAFT 1'!$B:$B,0)),"")</f>
        <v/>
      </c>
      <c r="AH147" t="str">
        <f>IFERROR(INDEX('DRAFT 1'!$AC:$AC,MATCH($B147,'DRAFT 1'!$B:$B,0)),"")</f>
        <v/>
      </c>
      <c r="AI147" t="str">
        <f>IFERROR(INDEX('DRAFT 1'!$AD:$AD,MATCH($B147,'DRAFT 1'!$B:$B,0)),"")</f>
        <v/>
      </c>
      <c r="AJ147" t="str">
        <f>IFERROR(INDEX('DRAFT 1'!$AE:$AE,MATCH($B147,'DRAFT 1'!$B:$B,0)),"")</f>
        <v/>
      </c>
      <c r="AK147" t="str">
        <f>IFERROR(INDEX('DRAFT 1'!$AG:$AG,MATCH($B147,'DRAFT 1'!$B:$B,0)),"")</f>
        <v/>
      </c>
      <c r="AL147" t="str">
        <f>IFERROR(INDEX('DRAFT 1'!$AH:$AH,MATCH($B147,'DRAFT 1'!$B:$B,0)),"")</f>
        <v/>
      </c>
      <c r="AM147" t="str">
        <f>IFERROR(INDEX('DRAFT 1'!$AI:$AI,MATCH($B147,'DRAFT 1'!$B:$B,0)),"")</f>
        <v/>
      </c>
      <c r="AN147" t="str">
        <f>IFERROR(INDEX('DRAFT 1'!$AJ:$AJ,MATCH($B147,'DRAFT 1'!$B:$B,0)),"")</f>
        <v/>
      </c>
      <c r="AO147">
        <f t="shared" si="56"/>
        <v>0</v>
      </c>
      <c r="AP147" t="str">
        <f>IFERROR(INDEX('DRAFT 1'!$AK:$AK,MATCH($B147,'DRAFT 1'!$B:$B,0)),"")</f>
        <v/>
      </c>
      <c r="AR147">
        <f>IFERROR(LOOKUP(2,1/('DRAFT 2'!$D:$D=$B147),'DRAFT 2'!$I:$I),"")</f>
        <v>0</v>
      </c>
      <c r="AS147">
        <f>IFERROR(LOOKUP(2,1/('DRAFT 2'!$D:$D=$B147),'DRAFT 2'!$T:$T),"")</f>
        <v>0</v>
      </c>
      <c r="AT147">
        <f>IFERROR(LOOKUP(2,1/('DRAFT 2'!$D:$D=$B147),'DRAFT 2'!$A:$A),"")</f>
        <v>0</v>
      </c>
      <c r="AU147">
        <f>IFERROR(LOOKUP(2,1/('DRAFT 2'!$D:$D=$B147),'DRAFT 2'!$R:$R),"")</f>
        <v>0</v>
      </c>
      <c r="AV147">
        <f>IFERROR(LOOKUP(2,1/('DRAFT 2'!$D:$D=$B147),'DRAFT 2'!$S:$S),"")</f>
        <v>0</v>
      </c>
      <c r="AX147">
        <f>IFERROR(LOOKUP(2,1/('DRAFT 2'!$D:$D=$B147),'DRAFT 2'!$M:$M),"")</f>
        <v>0</v>
      </c>
      <c r="AY147">
        <f>IFERROR(LOOKUP(2,1/('DRAFT 2'!$D:$D=$B147),'DRAFT 2'!$K:$K),"")</f>
        <v>0</v>
      </c>
      <c r="BG147">
        <f>IFERROR(LOOKUP(2,1/('DRAFT 2'!$D:$D=$B147),'DRAFT 2'!$U:$U),"")</f>
        <v>0</v>
      </c>
      <c r="BH147">
        <f>IFERROR(LOOKUP(2,1/('DRAFT 2'!$D:$D=$B147),'DRAFT 2'!$V:$V),"")</f>
        <v>0</v>
      </c>
      <c r="CE147" t="str">
        <f t="shared" si="57"/>
        <v/>
      </c>
      <c r="CF147">
        <f>IFERROR(LOOKUP(2,1/('DRAFT 2'!$D:$D=$B147)*('DRAFT 2'!$A:$A&gt;=DATE(2026,1,1))*('DRAFT 2'!$A:$A&lt;DATE(2026,IF(1=12,1+1,1+1),1)),'DRAFT 2'!$A:$A),"")</f>
        <v>0</v>
      </c>
      <c r="CG147">
        <f>COUNTIFS('DRAFT 2'!$D:$D,$B147,'DRAFT 2'!$A:$A,"&gt;="&amp;DATE(2026,1,1),'DRAFT 2'!$A:$A,"&lt;="&amp;DATE(2026,1,7))</f>
        <v>0</v>
      </c>
      <c r="CH147">
        <f>COUNTIFS('DRAFT 2'!$D:$D,$B147,'DRAFT 2'!$A:$A,"&gt;="&amp;DATE(2026,1,8),'DRAFT 2'!$A:$A,"&lt;="&amp;DATE(2026,1,14))</f>
        <v>0</v>
      </c>
      <c r="CI147">
        <f>COUNTIFS('DRAFT 2'!$D:$D,$B147,'DRAFT 2'!$A:$A,"&gt;="&amp;DATE(2026,1,15),'DRAFT 2'!$A:$A,"&lt;="&amp;DATE(2026,1,21))</f>
        <v>0</v>
      </c>
      <c r="CJ147">
        <f>COUNTIFS('DRAFT 2'!$D:$D,$B147,'DRAFT 2'!$A:$A,"&gt;="&amp;DATE(2026,1,22),'DRAFT 2'!$A:$A,"&lt;"&amp;DATE(2026,IF(1=12,1+1,1+1),1))</f>
        <v>0</v>
      </c>
      <c r="CK147">
        <f t="shared" si="58"/>
        <v>0</v>
      </c>
      <c r="CT147">
        <v>0</v>
      </c>
      <c r="CU147">
        <f>IFERROR(LOOKUP(2,1/('DRAFT 2'!$D:$D=$B147)*('DRAFT 2'!$A:$A&gt;=DATE(2026,2,1))*('DRAFT 2'!$A:$A&lt;DATE(2026,IF(2=12,2+1,2+1),1)),'DRAFT 2'!$A:$A),"")</f>
        <v>0</v>
      </c>
      <c r="CV147">
        <f>COUNTIFS('DRAFT 2'!$D:$D,$B147,'DRAFT 2'!$A:$A,"&gt;="&amp;DATE(2026,2,1),'DRAFT 2'!$A:$A,"&lt;="&amp;DATE(2026,2,7))</f>
        <v>0</v>
      </c>
      <c r="CW147">
        <f>COUNTIFS('DRAFT 2'!$D:$D,$B147,'DRAFT 2'!$A:$A,"&gt;="&amp;DATE(2026,2,8),'DRAFT 2'!$A:$A,"&lt;="&amp;DATE(2026,2,14))</f>
        <v>0</v>
      </c>
      <c r="CX147">
        <f>COUNTIFS('DRAFT 2'!$D:$D,$B147,'DRAFT 2'!$A:$A,"&gt;="&amp;DATE(2026,2,15),'DRAFT 2'!$A:$A,"&lt;="&amp;DATE(2026,2,21))</f>
        <v>0</v>
      </c>
      <c r="CY147">
        <f>COUNTIFS('DRAFT 2'!$D:$D,$B147,'DRAFT 2'!$A:$A,"&gt;="&amp;DATE(2026,2,22),'DRAFT 2'!$A:$A,"&lt;"&amp;DATE(2026,IF(2=12,2+1,2+1),1))</f>
        <v>0</v>
      </c>
      <c r="CZ147">
        <f t="shared" si="59"/>
        <v>0</v>
      </c>
      <c r="DJ147">
        <f>IFERROR(LOOKUP(2,1/('DRAFT 2'!$D:$D=$B147)*('DRAFT 2'!$A:$A&gt;=DATE(2026,3,1))*('DRAFT 2'!$A:$A&lt;DATE(2026,IF(3=12,3+1,3+1),1)),'DRAFT 2'!$A:$A),"")</f>
        <v>0</v>
      </c>
      <c r="DK147">
        <f>COUNTIFS('DRAFT 2'!$D:$D,$B147,'DRAFT 2'!$A:$A,"&gt;="&amp;DATE(2026,3,1),'DRAFT 2'!$A:$A,"&lt;="&amp;DATE(2026,3,7))</f>
        <v>0</v>
      </c>
      <c r="DL147">
        <f>COUNTIFS('DRAFT 2'!$D:$D,$B147,'DRAFT 2'!$A:$A,"&gt;="&amp;DATE(2026,3,8),'DRAFT 2'!$A:$A,"&lt;="&amp;DATE(2026,3,14))</f>
        <v>0</v>
      </c>
      <c r="DM147">
        <f>COUNTIFS('DRAFT 2'!$D:$D,$B147,'DRAFT 2'!$A:$A,"&gt;="&amp;DATE(2026,3,15),'DRAFT 2'!$A:$A,"&lt;="&amp;DATE(2026,3,21))</f>
        <v>0</v>
      </c>
      <c r="DN147">
        <f>COUNTIFS('DRAFT 2'!$D:$D,$B147,'DRAFT 2'!$A:$A,"&gt;="&amp;DATE(2026,3,22),'DRAFT 2'!$A:$A,"&lt;"&amp;DATE(2026,IF(3=12,3+1,3+1),1))</f>
        <v>0</v>
      </c>
      <c r="DO147">
        <f t="shared" si="60"/>
        <v>0</v>
      </c>
      <c r="DZ147">
        <f>IFERROR(LOOKUP(2,1/('DRAFT 2'!$D:$D=$B147)*('DRAFT 2'!$A:$A&gt;=DATE(2026,4,1))*('DRAFT 2'!$A:$A&lt;DATE(2026,IF(4=12,4+1,4+1),1)),'DRAFT 2'!$A:$A),"")</f>
        <v>0</v>
      </c>
      <c r="EA147">
        <f>COUNTIFS('DRAFT 2'!$D:$D,$B147,'DRAFT 2'!$A:$A,"&gt;="&amp;DATE(2026,4,1),'DRAFT 2'!$A:$A,"&lt;="&amp;DATE(2026,4,7))</f>
        <v>0</v>
      </c>
      <c r="EB147">
        <f>COUNTIFS('DRAFT 2'!$D:$D,$B147,'DRAFT 2'!$A:$A,"&gt;="&amp;DATE(2026,4,8),'DRAFT 2'!$A:$A,"&lt;="&amp;DATE(2026,4,14))</f>
        <v>0</v>
      </c>
      <c r="EC147">
        <f>COUNTIFS('DRAFT 2'!$D:$D,$B147,'DRAFT 2'!$A:$A,"&gt;="&amp;DATE(2026,4,15),'DRAFT 2'!$A:$A,"&lt;="&amp;DATE(2026,4,21))</f>
        <v>0</v>
      </c>
      <c r="ED147">
        <f>COUNTIFS('DRAFT 2'!$D:$D,$B147,'DRAFT 2'!$A:$A,"&gt;="&amp;DATE(2026,4,22),'DRAFT 2'!$A:$A,"&lt;"&amp;DATE(2026,IF(4=12,4+1,4+1),1))</f>
        <v>0</v>
      </c>
      <c r="EE147">
        <f t="shared" si="61"/>
        <v>0</v>
      </c>
      <c r="EO147">
        <f>IFERROR(LOOKUP(2,1/('DRAFT 2'!$D:$D=$B147)*('DRAFT 2'!$A:$A&gt;=DATE(2026,5,1))*('DRAFT 2'!$A:$A&lt;DATE(2026,IF(5=12,5+1,5+1),1)),'DRAFT 2'!$A:$A),"")</f>
        <v>0</v>
      </c>
      <c r="EP147">
        <f>COUNTIFS('DRAFT 2'!$D:$D,$B147,'DRAFT 2'!$A:$A,"&gt;="&amp;DATE(2026,5,1),'DRAFT 2'!$A:$A,"&lt;="&amp;DATE(2026,5,7))</f>
        <v>0</v>
      </c>
      <c r="EQ147">
        <f>COUNTIFS('DRAFT 2'!$D:$D,$B147,'DRAFT 2'!$A:$A,"&gt;="&amp;DATE(2026,5,8),'DRAFT 2'!$A:$A,"&lt;="&amp;DATE(2026,5,14))</f>
        <v>0</v>
      </c>
      <c r="ER147">
        <f>COUNTIFS('DRAFT 2'!$D:$D,$B147,'DRAFT 2'!$A:$A,"&gt;="&amp;DATE(2026,5,15),'DRAFT 2'!$A:$A,"&lt;="&amp;DATE(2026,5,21))</f>
        <v>0</v>
      </c>
      <c r="ES147">
        <f>COUNTIFS('DRAFT 2'!$D:$D,$B147,'DRAFT 2'!$A:$A,"&gt;="&amp;DATE(2026,5,22),'DRAFT 2'!$A:$A,"&lt;"&amp;DATE(2026,IF(5=12,5+1,5+1),1))</f>
        <v>0</v>
      </c>
      <c r="ET147">
        <f t="shared" si="62"/>
        <v>0</v>
      </c>
      <c r="FD147">
        <f>IFERROR(LOOKUP(2,1/('DRAFT 2'!$D:$D=$B147)*('DRAFT 2'!$A:$A&gt;=DATE(2026,6,1))*('DRAFT 2'!$A:$A&lt;DATE(2026,IF(6=12,6+1,6+1),1)),'DRAFT 2'!$A:$A),"")</f>
        <v>0</v>
      </c>
      <c r="FE147">
        <f>COUNTIFS('DRAFT 2'!$D:$D,$B147,'DRAFT 2'!$A:$A,"&gt;="&amp;DATE(2026,6,1),'DRAFT 2'!$A:$A,"&lt;="&amp;DATE(2026,6,7))</f>
        <v>0</v>
      </c>
      <c r="FF147">
        <f>COUNTIFS('DRAFT 2'!$D:$D,$B147,'DRAFT 2'!$A:$A,"&gt;="&amp;DATE(2026,6,8),'DRAFT 2'!$A:$A,"&lt;="&amp;DATE(2026,6,14))</f>
        <v>0</v>
      </c>
      <c r="FG147">
        <f>COUNTIFS('DRAFT 2'!$D:$D,$B147,'DRAFT 2'!$A:$A,"&gt;="&amp;DATE(2026,6,15),'DRAFT 2'!$A:$A,"&lt;="&amp;DATE(2026,6,21))</f>
        <v>0</v>
      </c>
      <c r="FH147">
        <f>COUNTIFS('DRAFT 2'!$D:$D,$B147,'DRAFT 2'!$A:$A,"&gt;="&amp;DATE(2026,6,22),'DRAFT 2'!$A:$A,"&lt;"&amp;DATE(2026,IF(6=12,6+1,6+1),1))</f>
        <v>0</v>
      </c>
      <c r="FI147">
        <f t="shared" si="63"/>
        <v>0</v>
      </c>
      <c r="FT147">
        <f>IFERROR(LOOKUP(2,1/('DRAFT 2'!$D:$D=$B147)*('DRAFT 2'!$A:$A&gt;=DATE(2026,7,1))*('DRAFT 2'!$A:$A&lt;DATE(2026,IF(7=12,7+1,7+1),1)),'DRAFT 2'!$A:$A),"")</f>
        <v>0</v>
      </c>
      <c r="FU147">
        <f>COUNTIFS('DRAFT 2'!$D:$D,$B147,'DRAFT 2'!$A:$A,"&gt;="&amp;DATE(2026,7,1),'DRAFT 2'!$A:$A,"&lt;="&amp;DATE(2026,7,7))</f>
        <v>0</v>
      </c>
      <c r="FV147">
        <f>COUNTIFS('DRAFT 2'!$D:$D,$B147,'DRAFT 2'!$A:$A,"&gt;="&amp;DATE(2026,7,8),'DRAFT 2'!$A:$A,"&lt;="&amp;DATE(2026,7,14))</f>
        <v>0</v>
      </c>
      <c r="FW147">
        <f>COUNTIFS('DRAFT 2'!$D:$D,$B147,'DRAFT 2'!$A:$A,"&gt;="&amp;DATE(2026,7,15),'DRAFT 2'!$A:$A,"&lt;="&amp;DATE(2026,7,21))</f>
        <v>0</v>
      </c>
      <c r="FX147">
        <f>COUNTIFS('DRAFT 2'!$D:$D,$B147,'DRAFT 2'!$A:$A,"&gt;="&amp;DATE(2026,7,22),'DRAFT 2'!$A:$A,"&lt;"&amp;DATE(2026,IF(7=12,7+1,7+1),1))</f>
        <v>0</v>
      </c>
      <c r="FY147">
        <f t="shared" si="64"/>
        <v>0</v>
      </c>
      <c r="GI147">
        <f>IFERROR(LOOKUP(2,1/('DRAFT 2'!$D:$D=$B147)*('DRAFT 2'!$A:$A&gt;=DATE(2026,8,1))*('DRAFT 2'!$A:$A&lt;DATE(2026,IF(8=12,8+1,8+1),1)),'DRAFT 2'!$A:$A),"")</f>
        <v>0</v>
      </c>
      <c r="GJ147">
        <f>COUNTIFS('DRAFT 2'!$D:$D,$B147,'DRAFT 2'!$A:$A,"&gt;="&amp;DATE(2026,8,1),'DRAFT 2'!$A:$A,"&lt;="&amp;DATE(2026,8,7))</f>
        <v>0</v>
      </c>
      <c r="GK147">
        <f>COUNTIFS('DRAFT 2'!$D:$D,$B147,'DRAFT 2'!$A:$A,"&gt;="&amp;DATE(2026,8,8),'DRAFT 2'!$A:$A,"&lt;="&amp;DATE(2026,8,14))</f>
        <v>0</v>
      </c>
      <c r="GL147">
        <f>COUNTIFS('DRAFT 2'!$D:$D,$B147,'DRAFT 2'!$A:$A,"&gt;="&amp;DATE(2026,8,15),'DRAFT 2'!$A:$A,"&lt;="&amp;DATE(2026,8,21))</f>
        <v>0</v>
      </c>
      <c r="GM147">
        <f>COUNTIFS('DRAFT 2'!$D:$D,$B147,'DRAFT 2'!$A:$A,"&gt;="&amp;DATE(2026,8,22),'DRAFT 2'!$A:$A,"&lt;"&amp;DATE(2026,IF(8=12,8+1,8+1),1))</f>
        <v>0</v>
      </c>
      <c r="GN147">
        <f t="shared" si="65"/>
        <v>0</v>
      </c>
      <c r="GX147">
        <f>IFERROR(LOOKUP(2,1/('DRAFT 2'!$D:$D=$B147)*('DRAFT 2'!$A:$A&gt;=DATE(2026,9,1))*('DRAFT 2'!$A:$A&lt;DATE(2026,IF(9=12,9+1,9+1),1)),'DRAFT 2'!$A:$A),"")</f>
        <v>0</v>
      </c>
      <c r="GY147">
        <f>COUNTIFS('DRAFT 2'!$D:$D,$B147,'DRAFT 2'!$A:$A,"&gt;="&amp;DATE(2026,9,1),'DRAFT 2'!$A:$A,"&lt;="&amp;DATE(2026,9,7))</f>
        <v>0</v>
      </c>
      <c r="GZ147">
        <f>COUNTIFS('DRAFT 2'!$D:$D,$B147,'DRAFT 2'!$A:$A,"&gt;="&amp;DATE(2026,9,8),'DRAFT 2'!$A:$A,"&lt;="&amp;DATE(2026,9,14))</f>
        <v>0</v>
      </c>
      <c r="HA147">
        <f>COUNTIFS('DRAFT 2'!$D:$D,$B147,'DRAFT 2'!$A:$A,"&gt;="&amp;DATE(2026,9,15),'DRAFT 2'!$A:$A,"&lt;="&amp;DATE(2026,9,21))</f>
        <v>0</v>
      </c>
      <c r="HB147">
        <f>COUNTIFS('DRAFT 2'!$D:$D,$B147,'DRAFT 2'!$A:$A,"&gt;="&amp;DATE(2026,9,22),'DRAFT 2'!$A:$A,"&lt;"&amp;DATE(2026,IF(9=12,9+1,9+1),1))</f>
        <v>0</v>
      </c>
      <c r="HC147">
        <f t="shared" si="66"/>
        <v>0</v>
      </c>
      <c r="HN147">
        <f>IFERROR(LOOKUP(2,1/('DRAFT 2'!$D:$D=$B147)*('DRAFT 2'!$A:$A&gt;=DATE(2026,10,1))*('DRAFT 2'!$A:$A&lt;DATE(2026,IF(10=12,10+1,10+1),1)),'DRAFT 2'!$A:$A),"")</f>
        <v>0</v>
      </c>
      <c r="HO147">
        <f>COUNTIFS('DRAFT 2'!$D:$D,$B147,'DRAFT 2'!$A:$A,"&gt;="&amp;DATE(2026,10,1),'DRAFT 2'!$A:$A,"&lt;="&amp;DATE(2026,10,7))</f>
        <v>0</v>
      </c>
      <c r="HP147">
        <f>COUNTIFS('DRAFT 2'!$D:$D,$B147,'DRAFT 2'!$A:$A,"&gt;="&amp;DATE(2026,10,8),'DRAFT 2'!$A:$A,"&lt;="&amp;DATE(2026,10,14))</f>
        <v>0</v>
      </c>
      <c r="HQ147">
        <f>COUNTIFS('DRAFT 2'!$D:$D,$B147,'DRAFT 2'!$A:$A,"&gt;="&amp;DATE(2026,10,15),'DRAFT 2'!$A:$A,"&lt;="&amp;DATE(2026,10,21))</f>
        <v>0</v>
      </c>
      <c r="HR147">
        <f>COUNTIFS('DRAFT 2'!$D:$D,$B147,'DRAFT 2'!$A:$A,"&gt;="&amp;DATE(2026,10,22),'DRAFT 2'!$A:$A,"&lt;"&amp;DATE(2026,IF(10=12,10+1,10+1),1))</f>
        <v>0</v>
      </c>
      <c r="HS147">
        <f t="shared" si="67"/>
        <v>0</v>
      </c>
      <c r="IC147">
        <f>IFERROR(LOOKUP(2,1/('DRAFT 2'!$D:$D=$B147)*('DRAFT 2'!$A:$A&gt;=DATE(2026,11,1))*('DRAFT 2'!$A:$A&lt;DATE(2026,IF(11=12,11+1,11+1),1)),'DRAFT 2'!$A:$A),"")</f>
        <v>0</v>
      </c>
      <c r="ID147">
        <f>COUNTIFS('DRAFT 2'!$D:$D,$B147,'DRAFT 2'!$A:$A,"&gt;="&amp;DATE(2026,11,1),'DRAFT 2'!$A:$A,"&lt;="&amp;DATE(2026,11,7))</f>
        <v>0</v>
      </c>
      <c r="IE147">
        <f>COUNTIFS('DRAFT 2'!$D:$D,$B147,'DRAFT 2'!$A:$A,"&gt;="&amp;DATE(2026,11,8),'DRAFT 2'!$A:$A,"&lt;="&amp;DATE(2026,11,14))</f>
        <v>0</v>
      </c>
      <c r="IF147">
        <f>COUNTIFS('DRAFT 2'!$D:$D,$B147,'DRAFT 2'!$A:$A,"&gt;="&amp;DATE(2026,11,15),'DRAFT 2'!$A:$A,"&lt;="&amp;DATE(2026,11,21))</f>
        <v>0</v>
      </c>
      <c r="IG147">
        <f>COUNTIFS('DRAFT 2'!$D:$D,$B147,'DRAFT 2'!$A:$A,"&gt;="&amp;DATE(2026,11,22),'DRAFT 2'!$A:$A,"&lt;"&amp;DATE(2026,IF(11=12,11+1,11+1),1))</f>
        <v>0</v>
      </c>
      <c r="IH147">
        <f t="shared" si="68"/>
        <v>0</v>
      </c>
      <c r="IR147">
        <f>IFERROR(LOOKUP(2,1/('DRAFT 2'!$D:$D=$B147)*('DRAFT 2'!$A:$A&gt;=DATE(2026,12,1))*('DRAFT 2'!$A:$A&lt;DATE(2026,IF(12=12,12+1,12+1),1)),'DRAFT 2'!$A:$A),"")</f>
        <v>0</v>
      </c>
      <c r="IS147">
        <f>COUNTIFS('DRAFT 2'!$D:$D,$B147,'DRAFT 2'!$A:$A,"&gt;="&amp;DATE(2026,12,1),'DRAFT 2'!$A:$A,"&lt;="&amp;DATE(2026,12,7))</f>
        <v>0</v>
      </c>
      <c r="IT147">
        <f>COUNTIFS('DRAFT 2'!$D:$D,$B147,'DRAFT 2'!$A:$A,"&gt;="&amp;DATE(2026,12,8),'DRAFT 2'!$A:$A,"&lt;="&amp;DATE(2026,12,14))</f>
        <v>0</v>
      </c>
      <c r="IU147">
        <f>COUNTIFS('DRAFT 2'!$D:$D,$B147,'DRAFT 2'!$A:$A,"&gt;="&amp;DATE(2026,12,15),'DRAFT 2'!$A:$A,"&lt;="&amp;DATE(2026,12,21))</f>
        <v>0</v>
      </c>
      <c r="IV147">
        <f>COUNTIFS('DRAFT 2'!$D:$D,$B147,'DRAFT 2'!$A:$A,"&gt;="&amp;DATE(2026,12,22),'DRAFT 2'!$A:$A,"&lt;"&amp;DATE(2026,IF(12=12,12+1,12+1),1))</f>
        <v>0</v>
      </c>
      <c r="IW147">
        <f t="shared" si="69"/>
        <v>0</v>
      </c>
    </row>
    <row r="148" spans="1:257" x14ac:dyDescent="0.3">
      <c r="A148" t="str">
        <f>IFERROR(INDEX('DRAFT 1'!$A:$A,MATCH($B148,'DRAFT 1'!$B:$B,0)),"")</f>
        <v/>
      </c>
      <c r="C148" t="str">
        <f>IFERROR(INDEX('DRAFT 1'!$C:$C,MATCH($B148,'DRAFT 1'!$B:$B,0)),"")</f>
        <v/>
      </c>
      <c r="D148" t="str">
        <f>IFERROR(INDEX('DRAFT 1'!$D:$D,MATCH($B148,'DRAFT 1'!$B:$B,0)),"")</f>
        <v/>
      </c>
      <c r="E148" t="str">
        <f>IFERROR(INDEX('DRAFT 1'!$E:$E,MATCH($B148,'DRAFT 1'!$B:$B,0)),"")</f>
        <v/>
      </c>
      <c r="F148" t="str">
        <f>IFERROR(INDEX('DRAFT 1'!$F:$F,MATCH($B148,'DRAFT 1'!$B:$B,0)),"")</f>
        <v/>
      </c>
      <c r="G148" t="str">
        <f>IFERROR(INDEX('DRAFT 1'!$G:$G,MATCH($B148,'DRAFT 1'!$B:$B,0)),"")</f>
        <v/>
      </c>
      <c r="H148" t="str">
        <f>IFERROR(INDEX('DRAFT 1'!$H:$H,MATCH($B148,'DRAFT 1'!$B:$B,0)),"")</f>
        <v/>
      </c>
      <c r="I148" t="str">
        <f>IFERROR(INDEX('DRAFT 1'!$I:$I,MATCH($B148,'DRAFT 1'!$B:$B,0)),"")</f>
        <v/>
      </c>
      <c r="K148" t="str">
        <f>IFERROR(INDEX('DRAFT 1'!$AL:$AL,MATCH($B148,'DRAFT 1'!$B:$B,0)),"")</f>
        <v/>
      </c>
      <c r="L148" t="str">
        <f>IFERROR(INDEX('DRAFT 1'!$J:$J,MATCH($B148,'DRAFT 1'!$B:$B,0)),"")</f>
        <v/>
      </c>
      <c r="M148" t="str">
        <f>IFERROR(INDEX('DRAFT 1'!$K:$K,MATCH($B148,'DRAFT 1'!$B:$B,0)),"")</f>
        <v/>
      </c>
      <c r="P148" t="str">
        <f>IFERROR(INDEX('DRAFT 1'!$L:$L,MATCH($B148,'DRAFT 1'!$B:$B,0)),"")</f>
        <v/>
      </c>
      <c r="Q148" t="str">
        <f>IFERROR(INDEX('DRAFT 1'!$M:$M,MATCH($B148,'DRAFT 1'!$B:$B,0)),"")</f>
        <v/>
      </c>
      <c r="R148" t="str">
        <f>IFERROR(INDEX('DRAFT 1'!$N:$N,MATCH($B148,'DRAFT 1'!$B:$B,0)),"")</f>
        <v/>
      </c>
      <c r="S148" t="str">
        <f>IFERROR(INDEX('DRAFT 1'!$O:$O,MATCH($B148,'DRAFT 1'!$B:$B,0)),"")</f>
        <v/>
      </c>
      <c r="T148" t="str">
        <f>IFERROR(INDEX('DRAFT 1'!$P:$P,MATCH($B148,'DRAFT 1'!$B:$B,0)),"")</f>
        <v/>
      </c>
      <c r="U148" t="str">
        <f>IFERROR(INDEX('DRAFT 1'!$Q:$Q,MATCH($B148,'DRAFT 1'!$B:$B,0)),"")</f>
        <v/>
      </c>
      <c r="V148" t="str">
        <f>IFERROR(INDEX('DRAFT 1'!$R:$R,MATCH($B148,'DRAFT 1'!$B:$B,0)),"")</f>
        <v/>
      </c>
      <c r="W148" t="str">
        <f>IFERROR(INDEX('DRAFT 1'!$S:$S,MATCH($B148,'DRAFT 1'!$B:$B,0)),"")</f>
        <v/>
      </c>
      <c r="X148" t="str">
        <f>IFERROR(INDEX('DRAFT 1'!$T:$T,MATCH($B148,'DRAFT 1'!$B:$B,0)),"")</f>
        <v/>
      </c>
      <c r="Z148" t="str">
        <f>IFERROR(INDEX('DRAFT 1'!$U:$U,MATCH($B148,'DRAFT 1'!$B:$B,0)),"")</f>
        <v/>
      </c>
      <c r="AA148" t="str">
        <f>IFERROR(INDEX('DRAFT 1'!$V:$V,MATCH($B148,'DRAFT 1'!$B:$B,0)),"")</f>
        <v/>
      </c>
      <c r="AB148" t="str">
        <f>IFERROR(INDEX('DRAFT 1'!$W:$W,MATCH($B148,'DRAFT 1'!$B:$B,0)),"")</f>
        <v/>
      </c>
      <c r="AC148" t="str">
        <f>IFERROR(INDEX('DRAFT 1'!$X:$X,MATCH($B148,'DRAFT 1'!$B:$B,0)),"")</f>
        <v/>
      </c>
      <c r="AD148" t="str">
        <f>IFERROR(INDEX('DRAFT 1'!$Y:$Y,MATCH($B148,'DRAFT 1'!$B:$B,0)),"")</f>
        <v/>
      </c>
      <c r="AE148" t="str">
        <f>IFERROR(INDEX('DRAFT 1'!$Z:$Z,MATCH($B148,'DRAFT 1'!$B:$B,0)),"")</f>
        <v/>
      </c>
      <c r="AF148" t="str">
        <f>IFERROR(INDEX('DRAFT 1'!$AA:$AA,MATCH($B148,'DRAFT 1'!$B:$B,0)),"")</f>
        <v/>
      </c>
      <c r="AG148" t="str">
        <f>IFERROR(INDEX('DRAFT 1'!$AB:$AB,MATCH($B148,'DRAFT 1'!$B:$B,0)),"")</f>
        <v/>
      </c>
      <c r="AH148" t="str">
        <f>IFERROR(INDEX('DRAFT 1'!$AC:$AC,MATCH($B148,'DRAFT 1'!$B:$B,0)),"")</f>
        <v/>
      </c>
      <c r="AI148" t="str">
        <f>IFERROR(INDEX('DRAFT 1'!$AD:$AD,MATCH($B148,'DRAFT 1'!$B:$B,0)),"")</f>
        <v/>
      </c>
      <c r="AJ148" t="str">
        <f>IFERROR(INDEX('DRAFT 1'!$AE:$AE,MATCH($B148,'DRAFT 1'!$B:$B,0)),"")</f>
        <v/>
      </c>
      <c r="AK148" t="str">
        <f>IFERROR(INDEX('DRAFT 1'!$AG:$AG,MATCH($B148,'DRAFT 1'!$B:$B,0)),"")</f>
        <v/>
      </c>
      <c r="AL148" t="str">
        <f>IFERROR(INDEX('DRAFT 1'!$AH:$AH,MATCH($B148,'DRAFT 1'!$B:$B,0)),"")</f>
        <v/>
      </c>
      <c r="AM148" t="str">
        <f>IFERROR(INDEX('DRAFT 1'!$AI:$AI,MATCH($B148,'DRAFT 1'!$B:$B,0)),"")</f>
        <v/>
      </c>
      <c r="AN148" t="str">
        <f>IFERROR(INDEX('DRAFT 1'!$AJ:$AJ,MATCH($B148,'DRAFT 1'!$B:$B,0)),"")</f>
        <v/>
      </c>
      <c r="AO148">
        <f t="shared" si="56"/>
        <v>0</v>
      </c>
      <c r="AP148" t="str">
        <f>IFERROR(INDEX('DRAFT 1'!$AK:$AK,MATCH($B148,'DRAFT 1'!$B:$B,0)),"")</f>
        <v/>
      </c>
      <c r="AR148">
        <f>IFERROR(LOOKUP(2,1/('DRAFT 2'!$D:$D=$B148),'DRAFT 2'!$I:$I),"")</f>
        <v>0</v>
      </c>
      <c r="AS148">
        <f>IFERROR(LOOKUP(2,1/('DRAFT 2'!$D:$D=$B148),'DRAFT 2'!$T:$T),"")</f>
        <v>0</v>
      </c>
      <c r="AT148">
        <f>IFERROR(LOOKUP(2,1/('DRAFT 2'!$D:$D=$B148),'DRAFT 2'!$A:$A),"")</f>
        <v>0</v>
      </c>
      <c r="AU148">
        <f>IFERROR(LOOKUP(2,1/('DRAFT 2'!$D:$D=$B148),'DRAFT 2'!$R:$R),"")</f>
        <v>0</v>
      </c>
      <c r="AV148">
        <f>IFERROR(LOOKUP(2,1/('DRAFT 2'!$D:$D=$B148),'DRAFT 2'!$S:$S),"")</f>
        <v>0</v>
      </c>
      <c r="AX148">
        <f>IFERROR(LOOKUP(2,1/('DRAFT 2'!$D:$D=$B148),'DRAFT 2'!$M:$M),"")</f>
        <v>0</v>
      </c>
      <c r="AY148">
        <f>IFERROR(LOOKUP(2,1/('DRAFT 2'!$D:$D=$B148),'DRAFT 2'!$K:$K),"")</f>
        <v>0</v>
      </c>
      <c r="BG148">
        <f>IFERROR(LOOKUP(2,1/('DRAFT 2'!$D:$D=$B148),'DRAFT 2'!$U:$U),"")</f>
        <v>0</v>
      </c>
      <c r="BH148">
        <f>IFERROR(LOOKUP(2,1/('DRAFT 2'!$D:$D=$B148),'DRAFT 2'!$V:$V),"")</f>
        <v>0</v>
      </c>
      <c r="CE148" t="str">
        <f t="shared" si="57"/>
        <v/>
      </c>
      <c r="CF148">
        <f>IFERROR(LOOKUP(2,1/('DRAFT 2'!$D:$D=$B148)*('DRAFT 2'!$A:$A&gt;=DATE(2026,1,1))*('DRAFT 2'!$A:$A&lt;DATE(2026,IF(1=12,1+1,1+1),1)),'DRAFT 2'!$A:$A),"")</f>
        <v>0</v>
      </c>
      <c r="CG148">
        <f>COUNTIFS('DRAFT 2'!$D:$D,$B148,'DRAFT 2'!$A:$A,"&gt;="&amp;DATE(2026,1,1),'DRAFT 2'!$A:$A,"&lt;="&amp;DATE(2026,1,7))</f>
        <v>0</v>
      </c>
      <c r="CH148">
        <f>COUNTIFS('DRAFT 2'!$D:$D,$B148,'DRAFT 2'!$A:$A,"&gt;="&amp;DATE(2026,1,8),'DRAFT 2'!$A:$A,"&lt;="&amp;DATE(2026,1,14))</f>
        <v>0</v>
      </c>
      <c r="CI148">
        <f>COUNTIFS('DRAFT 2'!$D:$D,$B148,'DRAFT 2'!$A:$A,"&gt;="&amp;DATE(2026,1,15),'DRAFT 2'!$A:$A,"&lt;="&amp;DATE(2026,1,21))</f>
        <v>0</v>
      </c>
      <c r="CJ148">
        <f>COUNTIFS('DRAFT 2'!$D:$D,$B148,'DRAFT 2'!$A:$A,"&gt;="&amp;DATE(2026,1,22),'DRAFT 2'!$A:$A,"&lt;"&amp;DATE(2026,IF(1=12,1+1,1+1),1))</f>
        <v>0</v>
      </c>
      <c r="CK148">
        <f t="shared" si="58"/>
        <v>0</v>
      </c>
      <c r="CT148">
        <v>0</v>
      </c>
      <c r="CU148">
        <f>IFERROR(LOOKUP(2,1/('DRAFT 2'!$D:$D=$B148)*('DRAFT 2'!$A:$A&gt;=DATE(2026,2,1))*('DRAFT 2'!$A:$A&lt;DATE(2026,IF(2=12,2+1,2+1),1)),'DRAFT 2'!$A:$A),"")</f>
        <v>0</v>
      </c>
      <c r="CV148">
        <f>COUNTIFS('DRAFT 2'!$D:$D,$B148,'DRAFT 2'!$A:$A,"&gt;="&amp;DATE(2026,2,1),'DRAFT 2'!$A:$A,"&lt;="&amp;DATE(2026,2,7))</f>
        <v>0</v>
      </c>
      <c r="CW148">
        <f>COUNTIFS('DRAFT 2'!$D:$D,$B148,'DRAFT 2'!$A:$A,"&gt;="&amp;DATE(2026,2,8),'DRAFT 2'!$A:$A,"&lt;="&amp;DATE(2026,2,14))</f>
        <v>0</v>
      </c>
      <c r="CX148">
        <f>COUNTIFS('DRAFT 2'!$D:$D,$B148,'DRAFT 2'!$A:$A,"&gt;="&amp;DATE(2026,2,15),'DRAFT 2'!$A:$A,"&lt;="&amp;DATE(2026,2,21))</f>
        <v>0</v>
      </c>
      <c r="CY148">
        <f>COUNTIFS('DRAFT 2'!$D:$D,$B148,'DRAFT 2'!$A:$A,"&gt;="&amp;DATE(2026,2,22),'DRAFT 2'!$A:$A,"&lt;"&amp;DATE(2026,IF(2=12,2+1,2+1),1))</f>
        <v>0</v>
      </c>
      <c r="CZ148">
        <f t="shared" si="59"/>
        <v>0</v>
      </c>
      <c r="DJ148">
        <f>IFERROR(LOOKUP(2,1/('DRAFT 2'!$D:$D=$B148)*('DRAFT 2'!$A:$A&gt;=DATE(2026,3,1))*('DRAFT 2'!$A:$A&lt;DATE(2026,IF(3=12,3+1,3+1),1)),'DRAFT 2'!$A:$A),"")</f>
        <v>0</v>
      </c>
      <c r="DK148">
        <f>COUNTIFS('DRAFT 2'!$D:$D,$B148,'DRAFT 2'!$A:$A,"&gt;="&amp;DATE(2026,3,1),'DRAFT 2'!$A:$A,"&lt;="&amp;DATE(2026,3,7))</f>
        <v>0</v>
      </c>
      <c r="DL148">
        <f>COUNTIFS('DRAFT 2'!$D:$D,$B148,'DRAFT 2'!$A:$A,"&gt;="&amp;DATE(2026,3,8),'DRAFT 2'!$A:$A,"&lt;="&amp;DATE(2026,3,14))</f>
        <v>0</v>
      </c>
      <c r="DM148">
        <f>COUNTIFS('DRAFT 2'!$D:$D,$B148,'DRAFT 2'!$A:$A,"&gt;="&amp;DATE(2026,3,15),'DRAFT 2'!$A:$A,"&lt;="&amp;DATE(2026,3,21))</f>
        <v>0</v>
      </c>
      <c r="DN148">
        <f>COUNTIFS('DRAFT 2'!$D:$D,$B148,'DRAFT 2'!$A:$A,"&gt;="&amp;DATE(2026,3,22),'DRAFT 2'!$A:$A,"&lt;"&amp;DATE(2026,IF(3=12,3+1,3+1),1))</f>
        <v>0</v>
      </c>
      <c r="DO148">
        <f t="shared" si="60"/>
        <v>0</v>
      </c>
      <c r="DZ148">
        <f>IFERROR(LOOKUP(2,1/('DRAFT 2'!$D:$D=$B148)*('DRAFT 2'!$A:$A&gt;=DATE(2026,4,1))*('DRAFT 2'!$A:$A&lt;DATE(2026,IF(4=12,4+1,4+1),1)),'DRAFT 2'!$A:$A),"")</f>
        <v>0</v>
      </c>
      <c r="EA148">
        <f>COUNTIFS('DRAFT 2'!$D:$D,$B148,'DRAFT 2'!$A:$A,"&gt;="&amp;DATE(2026,4,1),'DRAFT 2'!$A:$A,"&lt;="&amp;DATE(2026,4,7))</f>
        <v>0</v>
      </c>
      <c r="EB148">
        <f>COUNTIFS('DRAFT 2'!$D:$D,$B148,'DRAFT 2'!$A:$A,"&gt;="&amp;DATE(2026,4,8),'DRAFT 2'!$A:$A,"&lt;="&amp;DATE(2026,4,14))</f>
        <v>0</v>
      </c>
      <c r="EC148">
        <f>COUNTIFS('DRAFT 2'!$D:$D,$B148,'DRAFT 2'!$A:$A,"&gt;="&amp;DATE(2026,4,15),'DRAFT 2'!$A:$A,"&lt;="&amp;DATE(2026,4,21))</f>
        <v>0</v>
      </c>
      <c r="ED148">
        <f>COUNTIFS('DRAFT 2'!$D:$D,$B148,'DRAFT 2'!$A:$A,"&gt;="&amp;DATE(2026,4,22),'DRAFT 2'!$A:$A,"&lt;"&amp;DATE(2026,IF(4=12,4+1,4+1),1))</f>
        <v>0</v>
      </c>
      <c r="EE148">
        <f t="shared" si="61"/>
        <v>0</v>
      </c>
      <c r="EO148">
        <f>IFERROR(LOOKUP(2,1/('DRAFT 2'!$D:$D=$B148)*('DRAFT 2'!$A:$A&gt;=DATE(2026,5,1))*('DRAFT 2'!$A:$A&lt;DATE(2026,IF(5=12,5+1,5+1),1)),'DRAFT 2'!$A:$A),"")</f>
        <v>0</v>
      </c>
      <c r="EP148">
        <f>COUNTIFS('DRAFT 2'!$D:$D,$B148,'DRAFT 2'!$A:$A,"&gt;="&amp;DATE(2026,5,1),'DRAFT 2'!$A:$A,"&lt;="&amp;DATE(2026,5,7))</f>
        <v>0</v>
      </c>
      <c r="EQ148">
        <f>COUNTIFS('DRAFT 2'!$D:$D,$B148,'DRAFT 2'!$A:$A,"&gt;="&amp;DATE(2026,5,8),'DRAFT 2'!$A:$A,"&lt;="&amp;DATE(2026,5,14))</f>
        <v>0</v>
      </c>
      <c r="ER148">
        <f>COUNTIFS('DRAFT 2'!$D:$D,$B148,'DRAFT 2'!$A:$A,"&gt;="&amp;DATE(2026,5,15),'DRAFT 2'!$A:$A,"&lt;="&amp;DATE(2026,5,21))</f>
        <v>0</v>
      </c>
      <c r="ES148">
        <f>COUNTIFS('DRAFT 2'!$D:$D,$B148,'DRAFT 2'!$A:$A,"&gt;="&amp;DATE(2026,5,22),'DRAFT 2'!$A:$A,"&lt;"&amp;DATE(2026,IF(5=12,5+1,5+1),1))</f>
        <v>0</v>
      </c>
      <c r="ET148">
        <f t="shared" si="62"/>
        <v>0</v>
      </c>
      <c r="FD148">
        <f>IFERROR(LOOKUP(2,1/('DRAFT 2'!$D:$D=$B148)*('DRAFT 2'!$A:$A&gt;=DATE(2026,6,1))*('DRAFT 2'!$A:$A&lt;DATE(2026,IF(6=12,6+1,6+1),1)),'DRAFT 2'!$A:$A),"")</f>
        <v>0</v>
      </c>
      <c r="FE148">
        <f>COUNTIFS('DRAFT 2'!$D:$D,$B148,'DRAFT 2'!$A:$A,"&gt;="&amp;DATE(2026,6,1),'DRAFT 2'!$A:$A,"&lt;="&amp;DATE(2026,6,7))</f>
        <v>0</v>
      </c>
      <c r="FF148">
        <f>COUNTIFS('DRAFT 2'!$D:$D,$B148,'DRAFT 2'!$A:$A,"&gt;="&amp;DATE(2026,6,8),'DRAFT 2'!$A:$A,"&lt;="&amp;DATE(2026,6,14))</f>
        <v>0</v>
      </c>
      <c r="FG148">
        <f>COUNTIFS('DRAFT 2'!$D:$D,$B148,'DRAFT 2'!$A:$A,"&gt;="&amp;DATE(2026,6,15),'DRAFT 2'!$A:$A,"&lt;="&amp;DATE(2026,6,21))</f>
        <v>0</v>
      </c>
      <c r="FH148">
        <f>COUNTIFS('DRAFT 2'!$D:$D,$B148,'DRAFT 2'!$A:$A,"&gt;="&amp;DATE(2026,6,22),'DRAFT 2'!$A:$A,"&lt;"&amp;DATE(2026,IF(6=12,6+1,6+1),1))</f>
        <v>0</v>
      </c>
      <c r="FI148">
        <f t="shared" si="63"/>
        <v>0</v>
      </c>
      <c r="FT148">
        <f>IFERROR(LOOKUP(2,1/('DRAFT 2'!$D:$D=$B148)*('DRAFT 2'!$A:$A&gt;=DATE(2026,7,1))*('DRAFT 2'!$A:$A&lt;DATE(2026,IF(7=12,7+1,7+1),1)),'DRAFT 2'!$A:$A),"")</f>
        <v>0</v>
      </c>
      <c r="FU148">
        <f>COUNTIFS('DRAFT 2'!$D:$D,$B148,'DRAFT 2'!$A:$A,"&gt;="&amp;DATE(2026,7,1),'DRAFT 2'!$A:$A,"&lt;="&amp;DATE(2026,7,7))</f>
        <v>0</v>
      </c>
      <c r="FV148">
        <f>COUNTIFS('DRAFT 2'!$D:$D,$B148,'DRAFT 2'!$A:$A,"&gt;="&amp;DATE(2026,7,8),'DRAFT 2'!$A:$A,"&lt;="&amp;DATE(2026,7,14))</f>
        <v>0</v>
      </c>
      <c r="FW148">
        <f>COUNTIFS('DRAFT 2'!$D:$D,$B148,'DRAFT 2'!$A:$A,"&gt;="&amp;DATE(2026,7,15),'DRAFT 2'!$A:$A,"&lt;="&amp;DATE(2026,7,21))</f>
        <v>0</v>
      </c>
      <c r="FX148">
        <f>COUNTIFS('DRAFT 2'!$D:$D,$B148,'DRAFT 2'!$A:$A,"&gt;="&amp;DATE(2026,7,22),'DRAFT 2'!$A:$A,"&lt;"&amp;DATE(2026,IF(7=12,7+1,7+1),1))</f>
        <v>0</v>
      </c>
      <c r="FY148">
        <f t="shared" si="64"/>
        <v>0</v>
      </c>
      <c r="GI148">
        <f>IFERROR(LOOKUP(2,1/('DRAFT 2'!$D:$D=$B148)*('DRAFT 2'!$A:$A&gt;=DATE(2026,8,1))*('DRAFT 2'!$A:$A&lt;DATE(2026,IF(8=12,8+1,8+1),1)),'DRAFT 2'!$A:$A),"")</f>
        <v>0</v>
      </c>
      <c r="GJ148">
        <f>COUNTIFS('DRAFT 2'!$D:$D,$B148,'DRAFT 2'!$A:$A,"&gt;="&amp;DATE(2026,8,1),'DRAFT 2'!$A:$A,"&lt;="&amp;DATE(2026,8,7))</f>
        <v>0</v>
      </c>
      <c r="GK148">
        <f>COUNTIFS('DRAFT 2'!$D:$D,$B148,'DRAFT 2'!$A:$A,"&gt;="&amp;DATE(2026,8,8),'DRAFT 2'!$A:$A,"&lt;="&amp;DATE(2026,8,14))</f>
        <v>0</v>
      </c>
      <c r="GL148">
        <f>COUNTIFS('DRAFT 2'!$D:$D,$B148,'DRAFT 2'!$A:$A,"&gt;="&amp;DATE(2026,8,15),'DRAFT 2'!$A:$A,"&lt;="&amp;DATE(2026,8,21))</f>
        <v>0</v>
      </c>
      <c r="GM148">
        <f>COUNTIFS('DRAFT 2'!$D:$D,$B148,'DRAFT 2'!$A:$A,"&gt;="&amp;DATE(2026,8,22),'DRAFT 2'!$A:$A,"&lt;"&amp;DATE(2026,IF(8=12,8+1,8+1),1))</f>
        <v>0</v>
      </c>
      <c r="GN148">
        <f t="shared" si="65"/>
        <v>0</v>
      </c>
      <c r="GX148">
        <f>IFERROR(LOOKUP(2,1/('DRAFT 2'!$D:$D=$B148)*('DRAFT 2'!$A:$A&gt;=DATE(2026,9,1))*('DRAFT 2'!$A:$A&lt;DATE(2026,IF(9=12,9+1,9+1),1)),'DRAFT 2'!$A:$A),"")</f>
        <v>0</v>
      </c>
      <c r="GY148">
        <f>COUNTIFS('DRAFT 2'!$D:$D,$B148,'DRAFT 2'!$A:$A,"&gt;="&amp;DATE(2026,9,1),'DRAFT 2'!$A:$A,"&lt;="&amp;DATE(2026,9,7))</f>
        <v>0</v>
      </c>
      <c r="GZ148">
        <f>COUNTIFS('DRAFT 2'!$D:$D,$B148,'DRAFT 2'!$A:$A,"&gt;="&amp;DATE(2026,9,8),'DRAFT 2'!$A:$A,"&lt;="&amp;DATE(2026,9,14))</f>
        <v>0</v>
      </c>
      <c r="HA148">
        <f>COUNTIFS('DRAFT 2'!$D:$D,$B148,'DRAFT 2'!$A:$A,"&gt;="&amp;DATE(2026,9,15),'DRAFT 2'!$A:$A,"&lt;="&amp;DATE(2026,9,21))</f>
        <v>0</v>
      </c>
      <c r="HB148">
        <f>COUNTIFS('DRAFT 2'!$D:$D,$B148,'DRAFT 2'!$A:$A,"&gt;="&amp;DATE(2026,9,22),'DRAFT 2'!$A:$A,"&lt;"&amp;DATE(2026,IF(9=12,9+1,9+1),1))</f>
        <v>0</v>
      </c>
      <c r="HC148">
        <f t="shared" si="66"/>
        <v>0</v>
      </c>
      <c r="HN148">
        <f>IFERROR(LOOKUP(2,1/('DRAFT 2'!$D:$D=$B148)*('DRAFT 2'!$A:$A&gt;=DATE(2026,10,1))*('DRAFT 2'!$A:$A&lt;DATE(2026,IF(10=12,10+1,10+1),1)),'DRAFT 2'!$A:$A),"")</f>
        <v>0</v>
      </c>
      <c r="HO148">
        <f>COUNTIFS('DRAFT 2'!$D:$D,$B148,'DRAFT 2'!$A:$A,"&gt;="&amp;DATE(2026,10,1),'DRAFT 2'!$A:$A,"&lt;="&amp;DATE(2026,10,7))</f>
        <v>0</v>
      </c>
      <c r="HP148">
        <f>COUNTIFS('DRAFT 2'!$D:$D,$B148,'DRAFT 2'!$A:$A,"&gt;="&amp;DATE(2026,10,8),'DRAFT 2'!$A:$A,"&lt;="&amp;DATE(2026,10,14))</f>
        <v>0</v>
      </c>
      <c r="HQ148">
        <f>COUNTIFS('DRAFT 2'!$D:$D,$B148,'DRAFT 2'!$A:$A,"&gt;="&amp;DATE(2026,10,15),'DRAFT 2'!$A:$A,"&lt;="&amp;DATE(2026,10,21))</f>
        <v>0</v>
      </c>
      <c r="HR148">
        <f>COUNTIFS('DRAFT 2'!$D:$D,$B148,'DRAFT 2'!$A:$A,"&gt;="&amp;DATE(2026,10,22),'DRAFT 2'!$A:$A,"&lt;"&amp;DATE(2026,IF(10=12,10+1,10+1),1))</f>
        <v>0</v>
      </c>
      <c r="HS148">
        <f t="shared" si="67"/>
        <v>0</v>
      </c>
      <c r="IC148">
        <f>IFERROR(LOOKUP(2,1/('DRAFT 2'!$D:$D=$B148)*('DRAFT 2'!$A:$A&gt;=DATE(2026,11,1))*('DRAFT 2'!$A:$A&lt;DATE(2026,IF(11=12,11+1,11+1),1)),'DRAFT 2'!$A:$A),"")</f>
        <v>0</v>
      </c>
      <c r="ID148">
        <f>COUNTIFS('DRAFT 2'!$D:$D,$B148,'DRAFT 2'!$A:$A,"&gt;="&amp;DATE(2026,11,1),'DRAFT 2'!$A:$A,"&lt;="&amp;DATE(2026,11,7))</f>
        <v>0</v>
      </c>
      <c r="IE148">
        <f>COUNTIFS('DRAFT 2'!$D:$D,$B148,'DRAFT 2'!$A:$A,"&gt;="&amp;DATE(2026,11,8),'DRAFT 2'!$A:$A,"&lt;="&amp;DATE(2026,11,14))</f>
        <v>0</v>
      </c>
      <c r="IF148">
        <f>COUNTIFS('DRAFT 2'!$D:$D,$B148,'DRAFT 2'!$A:$A,"&gt;="&amp;DATE(2026,11,15),'DRAFT 2'!$A:$A,"&lt;="&amp;DATE(2026,11,21))</f>
        <v>0</v>
      </c>
      <c r="IG148">
        <f>COUNTIFS('DRAFT 2'!$D:$D,$B148,'DRAFT 2'!$A:$A,"&gt;="&amp;DATE(2026,11,22),'DRAFT 2'!$A:$A,"&lt;"&amp;DATE(2026,IF(11=12,11+1,11+1),1))</f>
        <v>0</v>
      </c>
      <c r="IH148">
        <f t="shared" si="68"/>
        <v>0</v>
      </c>
      <c r="IR148">
        <f>IFERROR(LOOKUP(2,1/('DRAFT 2'!$D:$D=$B148)*('DRAFT 2'!$A:$A&gt;=DATE(2026,12,1))*('DRAFT 2'!$A:$A&lt;DATE(2026,IF(12=12,12+1,12+1),1)),'DRAFT 2'!$A:$A),"")</f>
        <v>0</v>
      </c>
      <c r="IS148">
        <f>COUNTIFS('DRAFT 2'!$D:$D,$B148,'DRAFT 2'!$A:$A,"&gt;="&amp;DATE(2026,12,1),'DRAFT 2'!$A:$A,"&lt;="&amp;DATE(2026,12,7))</f>
        <v>0</v>
      </c>
      <c r="IT148">
        <f>COUNTIFS('DRAFT 2'!$D:$D,$B148,'DRAFT 2'!$A:$A,"&gt;="&amp;DATE(2026,12,8),'DRAFT 2'!$A:$A,"&lt;="&amp;DATE(2026,12,14))</f>
        <v>0</v>
      </c>
      <c r="IU148">
        <f>COUNTIFS('DRAFT 2'!$D:$D,$B148,'DRAFT 2'!$A:$A,"&gt;="&amp;DATE(2026,12,15),'DRAFT 2'!$A:$A,"&lt;="&amp;DATE(2026,12,21))</f>
        <v>0</v>
      </c>
      <c r="IV148">
        <f>COUNTIFS('DRAFT 2'!$D:$D,$B148,'DRAFT 2'!$A:$A,"&gt;="&amp;DATE(2026,12,22),'DRAFT 2'!$A:$A,"&lt;"&amp;DATE(2026,IF(12=12,12+1,12+1),1))</f>
        <v>0</v>
      </c>
      <c r="IW148">
        <f t="shared" si="69"/>
        <v>0</v>
      </c>
    </row>
    <row r="149" spans="1:257" x14ac:dyDescent="0.3">
      <c r="A149" t="str">
        <f>IFERROR(INDEX('DRAFT 1'!$A:$A,MATCH($B149,'DRAFT 1'!$B:$B,0)),"")</f>
        <v/>
      </c>
      <c r="C149" t="str">
        <f>IFERROR(INDEX('DRAFT 1'!$C:$C,MATCH($B149,'DRAFT 1'!$B:$B,0)),"")</f>
        <v/>
      </c>
      <c r="D149" t="str">
        <f>IFERROR(INDEX('DRAFT 1'!$D:$D,MATCH($B149,'DRAFT 1'!$B:$B,0)),"")</f>
        <v/>
      </c>
      <c r="E149" t="str">
        <f>IFERROR(INDEX('DRAFT 1'!$E:$E,MATCH($B149,'DRAFT 1'!$B:$B,0)),"")</f>
        <v/>
      </c>
      <c r="F149" t="str">
        <f>IFERROR(INDEX('DRAFT 1'!$F:$F,MATCH($B149,'DRAFT 1'!$B:$B,0)),"")</f>
        <v/>
      </c>
      <c r="G149" t="str">
        <f>IFERROR(INDEX('DRAFT 1'!$G:$G,MATCH($B149,'DRAFT 1'!$B:$B,0)),"")</f>
        <v/>
      </c>
      <c r="H149" t="str">
        <f>IFERROR(INDEX('DRAFT 1'!$H:$H,MATCH($B149,'DRAFT 1'!$B:$B,0)),"")</f>
        <v/>
      </c>
      <c r="I149" t="str">
        <f>IFERROR(INDEX('DRAFT 1'!$I:$I,MATCH($B149,'DRAFT 1'!$B:$B,0)),"")</f>
        <v/>
      </c>
      <c r="K149" t="str">
        <f>IFERROR(INDEX('DRAFT 1'!$AL:$AL,MATCH($B149,'DRAFT 1'!$B:$B,0)),"")</f>
        <v/>
      </c>
      <c r="L149" t="str">
        <f>IFERROR(INDEX('DRAFT 1'!$J:$J,MATCH($B149,'DRAFT 1'!$B:$B,0)),"")</f>
        <v/>
      </c>
      <c r="M149" t="str">
        <f>IFERROR(INDEX('DRAFT 1'!$K:$K,MATCH($B149,'DRAFT 1'!$B:$B,0)),"")</f>
        <v/>
      </c>
      <c r="P149" t="str">
        <f>IFERROR(INDEX('DRAFT 1'!$L:$L,MATCH($B149,'DRAFT 1'!$B:$B,0)),"")</f>
        <v/>
      </c>
      <c r="Q149" t="str">
        <f>IFERROR(INDEX('DRAFT 1'!$M:$M,MATCH($B149,'DRAFT 1'!$B:$B,0)),"")</f>
        <v/>
      </c>
      <c r="R149" t="str">
        <f>IFERROR(INDEX('DRAFT 1'!$N:$N,MATCH($B149,'DRAFT 1'!$B:$B,0)),"")</f>
        <v/>
      </c>
      <c r="S149" t="str">
        <f>IFERROR(INDEX('DRAFT 1'!$O:$O,MATCH($B149,'DRAFT 1'!$B:$B,0)),"")</f>
        <v/>
      </c>
      <c r="T149" t="str">
        <f>IFERROR(INDEX('DRAFT 1'!$P:$P,MATCH($B149,'DRAFT 1'!$B:$B,0)),"")</f>
        <v/>
      </c>
      <c r="U149" t="str">
        <f>IFERROR(INDEX('DRAFT 1'!$Q:$Q,MATCH($B149,'DRAFT 1'!$B:$B,0)),"")</f>
        <v/>
      </c>
      <c r="V149" t="str">
        <f>IFERROR(INDEX('DRAFT 1'!$R:$R,MATCH($B149,'DRAFT 1'!$B:$B,0)),"")</f>
        <v/>
      </c>
      <c r="W149" t="str">
        <f>IFERROR(INDEX('DRAFT 1'!$S:$S,MATCH($B149,'DRAFT 1'!$B:$B,0)),"")</f>
        <v/>
      </c>
      <c r="X149" t="str">
        <f>IFERROR(INDEX('DRAFT 1'!$T:$T,MATCH($B149,'DRAFT 1'!$B:$B,0)),"")</f>
        <v/>
      </c>
      <c r="Z149" t="str">
        <f>IFERROR(INDEX('DRAFT 1'!$U:$U,MATCH($B149,'DRAFT 1'!$B:$B,0)),"")</f>
        <v/>
      </c>
      <c r="AA149" t="str">
        <f>IFERROR(INDEX('DRAFT 1'!$V:$V,MATCH($B149,'DRAFT 1'!$B:$B,0)),"")</f>
        <v/>
      </c>
      <c r="AB149" t="str">
        <f>IFERROR(INDEX('DRAFT 1'!$W:$W,MATCH($B149,'DRAFT 1'!$B:$B,0)),"")</f>
        <v/>
      </c>
      <c r="AC149" t="str">
        <f>IFERROR(INDEX('DRAFT 1'!$X:$X,MATCH($B149,'DRAFT 1'!$B:$B,0)),"")</f>
        <v/>
      </c>
      <c r="AD149" t="str">
        <f>IFERROR(INDEX('DRAFT 1'!$Y:$Y,MATCH($B149,'DRAFT 1'!$B:$B,0)),"")</f>
        <v/>
      </c>
      <c r="AE149" t="str">
        <f>IFERROR(INDEX('DRAFT 1'!$Z:$Z,MATCH($B149,'DRAFT 1'!$B:$B,0)),"")</f>
        <v/>
      </c>
      <c r="AF149" t="str">
        <f>IFERROR(INDEX('DRAFT 1'!$AA:$AA,MATCH($B149,'DRAFT 1'!$B:$B,0)),"")</f>
        <v/>
      </c>
      <c r="AG149" t="str">
        <f>IFERROR(INDEX('DRAFT 1'!$AB:$AB,MATCH($B149,'DRAFT 1'!$B:$B,0)),"")</f>
        <v/>
      </c>
      <c r="AH149" t="str">
        <f>IFERROR(INDEX('DRAFT 1'!$AC:$AC,MATCH($B149,'DRAFT 1'!$B:$B,0)),"")</f>
        <v/>
      </c>
      <c r="AI149" t="str">
        <f>IFERROR(INDEX('DRAFT 1'!$AD:$AD,MATCH($B149,'DRAFT 1'!$B:$B,0)),"")</f>
        <v/>
      </c>
      <c r="AJ149" t="str">
        <f>IFERROR(INDEX('DRAFT 1'!$AE:$AE,MATCH($B149,'DRAFT 1'!$B:$B,0)),"")</f>
        <v/>
      </c>
      <c r="AK149" t="str">
        <f>IFERROR(INDEX('DRAFT 1'!$AG:$AG,MATCH($B149,'DRAFT 1'!$B:$B,0)),"")</f>
        <v/>
      </c>
      <c r="AL149" t="str">
        <f>IFERROR(INDEX('DRAFT 1'!$AH:$AH,MATCH($B149,'DRAFT 1'!$B:$B,0)),"")</f>
        <v/>
      </c>
      <c r="AM149" t="str">
        <f>IFERROR(INDEX('DRAFT 1'!$AI:$AI,MATCH($B149,'DRAFT 1'!$B:$B,0)),"")</f>
        <v/>
      </c>
      <c r="AN149" t="str">
        <f>IFERROR(INDEX('DRAFT 1'!$AJ:$AJ,MATCH($B149,'DRAFT 1'!$B:$B,0)),"")</f>
        <v/>
      </c>
      <c r="AO149">
        <f t="shared" si="56"/>
        <v>0</v>
      </c>
      <c r="AP149" t="str">
        <f>IFERROR(INDEX('DRAFT 1'!$AK:$AK,MATCH($B149,'DRAFT 1'!$B:$B,0)),"")</f>
        <v/>
      </c>
      <c r="AR149">
        <f>IFERROR(LOOKUP(2,1/('DRAFT 2'!$D:$D=$B149),'DRAFT 2'!$I:$I),"")</f>
        <v>0</v>
      </c>
      <c r="AS149">
        <f>IFERROR(LOOKUP(2,1/('DRAFT 2'!$D:$D=$B149),'DRAFT 2'!$T:$T),"")</f>
        <v>0</v>
      </c>
      <c r="AT149">
        <f>IFERROR(LOOKUP(2,1/('DRAFT 2'!$D:$D=$B149),'DRAFT 2'!$A:$A),"")</f>
        <v>0</v>
      </c>
      <c r="AU149">
        <f>IFERROR(LOOKUP(2,1/('DRAFT 2'!$D:$D=$B149),'DRAFT 2'!$R:$R),"")</f>
        <v>0</v>
      </c>
      <c r="AV149">
        <f>IFERROR(LOOKUP(2,1/('DRAFT 2'!$D:$D=$B149),'DRAFT 2'!$S:$S),"")</f>
        <v>0</v>
      </c>
      <c r="AX149">
        <f>IFERROR(LOOKUP(2,1/('DRAFT 2'!$D:$D=$B149),'DRAFT 2'!$M:$M),"")</f>
        <v>0</v>
      </c>
      <c r="AY149">
        <f>IFERROR(LOOKUP(2,1/('DRAFT 2'!$D:$D=$B149),'DRAFT 2'!$K:$K),"")</f>
        <v>0</v>
      </c>
      <c r="BG149">
        <f>IFERROR(LOOKUP(2,1/('DRAFT 2'!$D:$D=$B149),'DRAFT 2'!$U:$U),"")</f>
        <v>0</v>
      </c>
      <c r="BH149">
        <f>IFERROR(LOOKUP(2,1/('DRAFT 2'!$D:$D=$B149),'DRAFT 2'!$V:$V),"")</f>
        <v>0</v>
      </c>
      <c r="CE149" t="str">
        <f t="shared" si="57"/>
        <v/>
      </c>
      <c r="CF149">
        <f>IFERROR(LOOKUP(2,1/('DRAFT 2'!$D:$D=$B149)*('DRAFT 2'!$A:$A&gt;=DATE(2026,1,1))*('DRAFT 2'!$A:$A&lt;DATE(2026,IF(1=12,1+1,1+1),1)),'DRAFT 2'!$A:$A),"")</f>
        <v>0</v>
      </c>
      <c r="CG149">
        <f>COUNTIFS('DRAFT 2'!$D:$D,$B149,'DRAFT 2'!$A:$A,"&gt;="&amp;DATE(2026,1,1),'DRAFT 2'!$A:$A,"&lt;="&amp;DATE(2026,1,7))</f>
        <v>0</v>
      </c>
      <c r="CH149">
        <f>COUNTIFS('DRAFT 2'!$D:$D,$B149,'DRAFT 2'!$A:$A,"&gt;="&amp;DATE(2026,1,8),'DRAFT 2'!$A:$A,"&lt;="&amp;DATE(2026,1,14))</f>
        <v>0</v>
      </c>
      <c r="CI149">
        <f>COUNTIFS('DRAFT 2'!$D:$D,$B149,'DRAFT 2'!$A:$A,"&gt;="&amp;DATE(2026,1,15),'DRAFT 2'!$A:$A,"&lt;="&amp;DATE(2026,1,21))</f>
        <v>0</v>
      </c>
      <c r="CJ149">
        <f>COUNTIFS('DRAFT 2'!$D:$D,$B149,'DRAFT 2'!$A:$A,"&gt;="&amp;DATE(2026,1,22),'DRAFT 2'!$A:$A,"&lt;"&amp;DATE(2026,IF(1=12,1+1,1+1),1))</f>
        <v>0</v>
      </c>
      <c r="CK149">
        <f t="shared" si="58"/>
        <v>0</v>
      </c>
      <c r="CT149">
        <v>0</v>
      </c>
      <c r="CU149">
        <f>IFERROR(LOOKUP(2,1/('DRAFT 2'!$D:$D=$B149)*('DRAFT 2'!$A:$A&gt;=DATE(2026,2,1))*('DRAFT 2'!$A:$A&lt;DATE(2026,IF(2=12,2+1,2+1),1)),'DRAFT 2'!$A:$A),"")</f>
        <v>0</v>
      </c>
      <c r="CV149">
        <f>COUNTIFS('DRAFT 2'!$D:$D,$B149,'DRAFT 2'!$A:$A,"&gt;="&amp;DATE(2026,2,1),'DRAFT 2'!$A:$A,"&lt;="&amp;DATE(2026,2,7))</f>
        <v>0</v>
      </c>
      <c r="CW149">
        <f>COUNTIFS('DRAFT 2'!$D:$D,$B149,'DRAFT 2'!$A:$A,"&gt;="&amp;DATE(2026,2,8),'DRAFT 2'!$A:$A,"&lt;="&amp;DATE(2026,2,14))</f>
        <v>0</v>
      </c>
      <c r="CX149">
        <f>COUNTIFS('DRAFT 2'!$D:$D,$B149,'DRAFT 2'!$A:$A,"&gt;="&amp;DATE(2026,2,15),'DRAFT 2'!$A:$A,"&lt;="&amp;DATE(2026,2,21))</f>
        <v>0</v>
      </c>
      <c r="CY149">
        <f>COUNTIFS('DRAFT 2'!$D:$D,$B149,'DRAFT 2'!$A:$A,"&gt;="&amp;DATE(2026,2,22),'DRAFT 2'!$A:$A,"&lt;"&amp;DATE(2026,IF(2=12,2+1,2+1),1))</f>
        <v>0</v>
      </c>
      <c r="CZ149">
        <f t="shared" si="59"/>
        <v>0</v>
      </c>
      <c r="DJ149">
        <f>IFERROR(LOOKUP(2,1/('DRAFT 2'!$D:$D=$B149)*('DRAFT 2'!$A:$A&gt;=DATE(2026,3,1))*('DRAFT 2'!$A:$A&lt;DATE(2026,IF(3=12,3+1,3+1),1)),'DRAFT 2'!$A:$A),"")</f>
        <v>0</v>
      </c>
      <c r="DK149">
        <f>COUNTIFS('DRAFT 2'!$D:$D,$B149,'DRAFT 2'!$A:$A,"&gt;="&amp;DATE(2026,3,1),'DRAFT 2'!$A:$A,"&lt;="&amp;DATE(2026,3,7))</f>
        <v>0</v>
      </c>
      <c r="DL149">
        <f>COUNTIFS('DRAFT 2'!$D:$D,$B149,'DRAFT 2'!$A:$A,"&gt;="&amp;DATE(2026,3,8),'DRAFT 2'!$A:$A,"&lt;="&amp;DATE(2026,3,14))</f>
        <v>0</v>
      </c>
      <c r="DM149">
        <f>COUNTIFS('DRAFT 2'!$D:$D,$B149,'DRAFT 2'!$A:$A,"&gt;="&amp;DATE(2026,3,15),'DRAFT 2'!$A:$A,"&lt;="&amp;DATE(2026,3,21))</f>
        <v>0</v>
      </c>
      <c r="DN149">
        <f>COUNTIFS('DRAFT 2'!$D:$D,$B149,'DRAFT 2'!$A:$A,"&gt;="&amp;DATE(2026,3,22),'DRAFT 2'!$A:$A,"&lt;"&amp;DATE(2026,IF(3=12,3+1,3+1),1))</f>
        <v>0</v>
      </c>
      <c r="DO149">
        <f t="shared" si="60"/>
        <v>0</v>
      </c>
      <c r="DZ149">
        <f>IFERROR(LOOKUP(2,1/('DRAFT 2'!$D:$D=$B149)*('DRAFT 2'!$A:$A&gt;=DATE(2026,4,1))*('DRAFT 2'!$A:$A&lt;DATE(2026,IF(4=12,4+1,4+1),1)),'DRAFT 2'!$A:$A),"")</f>
        <v>0</v>
      </c>
      <c r="EA149">
        <f>COUNTIFS('DRAFT 2'!$D:$D,$B149,'DRAFT 2'!$A:$A,"&gt;="&amp;DATE(2026,4,1),'DRAFT 2'!$A:$A,"&lt;="&amp;DATE(2026,4,7))</f>
        <v>0</v>
      </c>
      <c r="EB149">
        <f>COUNTIFS('DRAFT 2'!$D:$D,$B149,'DRAFT 2'!$A:$A,"&gt;="&amp;DATE(2026,4,8),'DRAFT 2'!$A:$A,"&lt;="&amp;DATE(2026,4,14))</f>
        <v>0</v>
      </c>
      <c r="EC149">
        <f>COUNTIFS('DRAFT 2'!$D:$D,$B149,'DRAFT 2'!$A:$A,"&gt;="&amp;DATE(2026,4,15),'DRAFT 2'!$A:$A,"&lt;="&amp;DATE(2026,4,21))</f>
        <v>0</v>
      </c>
      <c r="ED149">
        <f>COUNTIFS('DRAFT 2'!$D:$D,$B149,'DRAFT 2'!$A:$A,"&gt;="&amp;DATE(2026,4,22),'DRAFT 2'!$A:$A,"&lt;"&amp;DATE(2026,IF(4=12,4+1,4+1),1))</f>
        <v>0</v>
      </c>
      <c r="EE149">
        <f t="shared" si="61"/>
        <v>0</v>
      </c>
      <c r="EO149">
        <f>IFERROR(LOOKUP(2,1/('DRAFT 2'!$D:$D=$B149)*('DRAFT 2'!$A:$A&gt;=DATE(2026,5,1))*('DRAFT 2'!$A:$A&lt;DATE(2026,IF(5=12,5+1,5+1),1)),'DRAFT 2'!$A:$A),"")</f>
        <v>0</v>
      </c>
      <c r="EP149">
        <f>COUNTIFS('DRAFT 2'!$D:$D,$B149,'DRAFT 2'!$A:$A,"&gt;="&amp;DATE(2026,5,1),'DRAFT 2'!$A:$A,"&lt;="&amp;DATE(2026,5,7))</f>
        <v>0</v>
      </c>
      <c r="EQ149">
        <f>COUNTIFS('DRAFT 2'!$D:$D,$B149,'DRAFT 2'!$A:$A,"&gt;="&amp;DATE(2026,5,8),'DRAFT 2'!$A:$A,"&lt;="&amp;DATE(2026,5,14))</f>
        <v>0</v>
      </c>
      <c r="ER149">
        <f>COUNTIFS('DRAFT 2'!$D:$D,$B149,'DRAFT 2'!$A:$A,"&gt;="&amp;DATE(2026,5,15),'DRAFT 2'!$A:$A,"&lt;="&amp;DATE(2026,5,21))</f>
        <v>0</v>
      </c>
      <c r="ES149">
        <f>COUNTIFS('DRAFT 2'!$D:$D,$B149,'DRAFT 2'!$A:$A,"&gt;="&amp;DATE(2026,5,22),'DRAFT 2'!$A:$A,"&lt;"&amp;DATE(2026,IF(5=12,5+1,5+1),1))</f>
        <v>0</v>
      </c>
      <c r="ET149">
        <f t="shared" si="62"/>
        <v>0</v>
      </c>
      <c r="FD149">
        <f>IFERROR(LOOKUP(2,1/('DRAFT 2'!$D:$D=$B149)*('DRAFT 2'!$A:$A&gt;=DATE(2026,6,1))*('DRAFT 2'!$A:$A&lt;DATE(2026,IF(6=12,6+1,6+1),1)),'DRAFT 2'!$A:$A),"")</f>
        <v>0</v>
      </c>
      <c r="FE149">
        <f>COUNTIFS('DRAFT 2'!$D:$D,$B149,'DRAFT 2'!$A:$A,"&gt;="&amp;DATE(2026,6,1),'DRAFT 2'!$A:$A,"&lt;="&amp;DATE(2026,6,7))</f>
        <v>0</v>
      </c>
      <c r="FF149">
        <f>COUNTIFS('DRAFT 2'!$D:$D,$B149,'DRAFT 2'!$A:$A,"&gt;="&amp;DATE(2026,6,8),'DRAFT 2'!$A:$A,"&lt;="&amp;DATE(2026,6,14))</f>
        <v>0</v>
      </c>
      <c r="FG149">
        <f>COUNTIFS('DRAFT 2'!$D:$D,$B149,'DRAFT 2'!$A:$A,"&gt;="&amp;DATE(2026,6,15),'DRAFT 2'!$A:$A,"&lt;="&amp;DATE(2026,6,21))</f>
        <v>0</v>
      </c>
      <c r="FH149">
        <f>COUNTIFS('DRAFT 2'!$D:$D,$B149,'DRAFT 2'!$A:$A,"&gt;="&amp;DATE(2026,6,22),'DRAFT 2'!$A:$A,"&lt;"&amp;DATE(2026,IF(6=12,6+1,6+1),1))</f>
        <v>0</v>
      </c>
      <c r="FI149">
        <f t="shared" si="63"/>
        <v>0</v>
      </c>
      <c r="FT149">
        <f>IFERROR(LOOKUP(2,1/('DRAFT 2'!$D:$D=$B149)*('DRAFT 2'!$A:$A&gt;=DATE(2026,7,1))*('DRAFT 2'!$A:$A&lt;DATE(2026,IF(7=12,7+1,7+1),1)),'DRAFT 2'!$A:$A),"")</f>
        <v>0</v>
      </c>
      <c r="FU149">
        <f>COUNTIFS('DRAFT 2'!$D:$D,$B149,'DRAFT 2'!$A:$A,"&gt;="&amp;DATE(2026,7,1),'DRAFT 2'!$A:$A,"&lt;="&amp;DATE(2026,7,7))</f>
        <v>0</v>
      </c>
      <c r="FV149">
        <f>COUNTIFS('DRAFT 2'!$D:$D,$B149,'DRAFT 2'!$A:$A,"&gt;="&amp;DATE(2026,7,8),'DRAFT 2'!$A:$A,"&lt;="&amp;DATE(2026,7,14))</f>
        <v>0</v>
      </c>
      <c r="FW149">
        <f>COUNTIFS('DRAFT 2'!$D:$D,$B149,'DRAFT 2'!$A:$A,"&gt;="&amp;DATE(2026,7,15),'DRAFT 2'!$A:$A,"&lt;="&amp;DATE(2026,7,21))</f>
        <v>0</v>
      </c>
      <c r="FX149">
        <f>COUNTIFS('DRAFT 2'!$D:$D,$B149,'DRAFT 2'!$A:$A,"&gt;="&amp;DATE(2026,7,22),'DRAFT 2'!$A:$A,"&lt;"&amp;DATE(2026,IF(7=12,7+1,7+1),1))</f>
        <v>0</v>
      </c>
      <c r="FY149">
        <f t="shared" si="64"/>
        <v>0</v>
      </c>
      <c r="GI149">
        <f>IFERROR(LOOKUP(2,1/('DRAFT 2'!$D:$D=$B149)*('DRAFT 2'!$A:$A&gt;=DATE(2026,8,1))*('DRAFT 2'!$A:$A&lt;DATE(2026,IF(8=12,8+1,8+1),1)),'DRAFT 2'!$A:$A),"")</f>
        <v>0</v>
      </c>
      <c r="GJ149">
        <f>COUNTIFS('DRAFT 2'!$D:$D,$B149,'DRAFT 2'!$A:$A,"&gt;="&amp;DATE(2026,8,1),'DRAFT 2'!$A:$A,"&lt;="&amp;DATE(2026,8,7))</f>
        <v>0</v>
      </c>
      <c r="GK149">
        <f>COUNTIFS('DRAFT 2'!$D:$D,$B149,'DRAFT 2'!$A:$A,"&gt;="&amp;DATE(2026,8,8),'DRAFT 2'!$A:$A,"&lt;="&amp;DATE(2026,8,14))</f>
        <v>0</v>
      </c>
      <c r="GL149">
        <f>COUNTIFS('DRAFT 2'!$D:$D,$B149,'DRAFT 2'!$A:$A,"&gt;="&amp;DATE(2026,8,15),'DRAFT 2'!$A:$A,"&lt;="&amp;DATE(2026,8,21))</f>
        <v>0</v>
      </c>
      <c r="GM149">
        <f>COUNTIFS('DRAFT 2'!$D:$D,$B149,'DRAFT 2'!$A:$A,"&gt;="&amp;DATE(2026,8,22),'DRAFT 2'!$A:$A,"&lt;"&amp;DATE(2026,IF(8=12,8+1,8+1),1))</f>
        <v>0</v>
      </c>
      <c r="GN149">
        <f t="shared" si="65"/>
        <v>0</v>
      </c>
      <c r="GX149">
        <f>IFERROR(LOOKUP(2,1/('DRAFT 2'!$D:$D=$B149)*('DRAFT 2'!$A:$A&gt;=DATE(2026,9,1))*('DRAFT 2'!$A:$A&lt;DATE(2026,IF(9=12,9+1,9+1),1)),'DRAFT 2'!$A:$A),"")</f>
        <v>0</v>
      </c>
      <c r="GY149">
        <f>COUNTIFS('DRAFT 2'!$D:$D,$B149,'DRAFT 2'!$A:$A,"&gt;="&amp;DATE(2026,9,1),'DRAFT 2'!$A:$A,"&lt;="&amp;DATE(2026,9,7))</f>
        <v>0</v>
      </c>
      <c r="GZ149">
        <f>COUNTIFS('DRAFT 2'!$D:$D,$B149,'DRAFT 2'!$A:$A,"&gt;="&amp;DATE(2026,9,8),'DRAFT 2'!$A:$A,"&lt;="&amp;DATE(2026,9,14))</f>
        <v>0</v>
      </c>
      <c r="HA149">
        <f>COUNTIFS('DRAFT 2'!$D:$D,$B149,'DRAFT 2'!$A:$A,"&gt;="&amp;DATE(2026,9,15),'DRAFT 2'!$A:$A,"&lt;="&amp;DATE(2026,9,21))</f>
        <v>0</v>
      </c>
      <c r="HB149">
        <f>COUNTIFS('DRAFT 2'!$D:$D,$B149,'DRAFT 2'!$A:$A,"&gt;="&amp;DATE(2026,9,22),'DRAFT 2'!$A:$A,"&lt;"&amp;DATE(2026,IF(9=12,9+1,9+1),1))</f>
        <v>0</v>
      </c>
      <c r="HC149">
        <f t="shared" si="66"/>
        <v>0</v>
      </c>
      <c r="HN149">
        <f>IFERROR(LOOKUP(2,1/('DRAFT 2'!$D:$D=$B149)*('DRAFT 2'!$A:$A&gt;=DATE(2026,10,1))*('DRAFT 2'!$A:$A&lt;DATE(2026,IF(10=12,10+1,10+1),1)),'DRAFT 2'!$A:$A),"")</f>
        <v>0</v>
      </c>
      <c r="HO149">
        <f>COUNTIFS('DRAFT 2'!$D:$D,$B149,'DRAFT 2'!$A:$A,"&gt;="&amp;DATE(2026,10,1),'DRAFT 2'!$A:$A,"&lt;="&amp;DATE(2026,10,7))</f>
        <v>0</v>
      </c>
      <c r="HP149">
        <f>COUNTIFS('DRAFT 2'!$D:$D,$B149,'DRAFT 2'!$A:$A,"&gt;="&amp;DATE(2026,10,8),'DRAFT 2'!$A:$A,"&lt;="&amp;DATE(2026,10,14))</f>
        <v>0</v>
      </c>
      <c r="HQ149">
        <f>COUNTIFS('DRAFT 2'!$D:$D,$B149,'DRAFT 2'!$A:$A,"&gt;="&amp;DATE(2026,10,15),'DRAFT 2'!$A:$A,"&lt;="&amp;DATE(2026,10,21))</f>
        <v>0</v>
      </c>
      <c r="HR149">
        <f>COUNTIFS('DRAFT 2'!$D:$D,$B149,'DRAFT 2'!$A:$A,"&gt;="&amp;DATE(2026,10,22),'DRAFT 2'!$A:$A,"&lt;"&amp;DATE(2026,IF(10=12,10+1,10+1),1))</f>
        <v>0</v>
      </c>
      <c r="HS149">
        <f t="shared" si="67"/>
        <v>0</v>
      </c>
      <c r="IC149">
        <f>IFERROR(LOOKUP(2,1/('DRAFT 2'!$D:$D=$B149)*('DRAFT 2'!$A:$A&gt;=DATE(2026,11,1))*('DRAFT 2'!$A:$A&lt;DATE(2026,IF(11=12,11+1,11+1),1)),'DRAFT 2'!$A:$A),"")</f>
        <v>0</v>
      </c>
      <c r="ID149">
        <f>COUNTIFS('DRAFT 2'!$D:$D,$B149,'DRAFT 2'!$A:$A,"&gt;="&amp;DATE(2026,11,1),'DRAFT 2'!$A:$A,"&lt;="&amp;DATE(2026,11,7))</f>
        <v>0</v>
      </c>
      <c r="IE149">
        <f>COUNTIFS('DRAFT 2'!$D:$D,$B149,'DRAFT 2'!$A:$A,"&gt;="&amp;DATE(2026,11,8),'DRAFT 2'!$A:$A,"&lt;="&amp;DATE(2026,11,14))</f>
        <v>0</v>
      </c>
      <c r="IF149">
        <f>COUNTIFS('DRAFT 2'!$D:$D,$B149,'DRAFT 2'!$A:$A,"&gt;="&amp;DATE(2026,11,15),'DRAFT 2'!$A:$A,"&lt;="&amp;DATE(2026,11,21))</f>
        <v>0</v>
      </c>
      <c r="IG149">
        <f>COUNTIFS('DRAFT 2'!$D:$D,$B149,'DRAFT 2'!$A:$A,"&gt;="&amp;DATE(2026,11,22),'DRAFT 2'!$A:$A,"&lt;"&amp;DATE(2026,IF(11=12,11+1,11+1),1))</f>
        <v>0</v>
      </c>
      <c r="IH149">
        <f t="shared" si="68"/>
        <v>0</v>
      </c>
      <c r="IR149">
        <f>IFERROR(LOOKUP(2,1/('DRAFT 2'!$D:$D=$B149)*('DRAFT 2'!$A:$A&gt;=DATE(2026,12,1))*('DRAFT 2'!$A:$A&lt;DATE(2026,IF(12=12,12+1,12+1),1)),'DRAFT 2'!$A:$A),"")</f>
        <v>0</v>
      </c>
      <c r="IS149">
        <f>COUNTIFS('DRAFT 2'!$D:$D,$B149,'DRAFT 2'!$A:$A,"&gt;="&amp;DATE(2026,12,1),'DRAFT 2'!$A:$A,"&lt;="&amp;DATE(2026,12,7))</f>
        <v>0</v>
      </c>
      <c r="IT149">
        <f>COUNTIFS('DRAFT 2'!$D:$D,$B149,'DRAFT 2'!$A:$A,"&gt;="&amp;DATE(2026,12,8),'DRAFT 2'!$A:$A,"&lt;="&amp;DATE(2026,12,14))</f>
        <v>0</v>
      </c>
      <c r="IU149">
        <f>COUNTIFS('DRAFT 2'!$D:$D,$B149,'DRAFT 2'!$A:$A,"&gt;="&amp;DATE(2026,12,15),'DRAFT 2'!$A:$A,"&lt;="&amp;DATE(2026,12,21))</f>
        <v>0</v>
      </c>
      <c r="IV149">
        <f>COUNTIFS('DRAFT 2'!$D:$D,$B149,'DRAFT 2'!$A:$A,"&gt;="&amp;DATE(2026,12,22),'DRAFT 2'!$A:$A,"&lt;"&amp;DATE(2026,IF(12=12,12+1,12+1),1))</f>
        <v>0</v>
      </c>
      <c r="IW149">
        <f t="shared" si="69"/>
        <v>0</v>
      </c>
    </row>
    <row r="150" spans="1:257" x14ac:dyDescent="0.3">
      <c r="A150" t="str">
        <f>IFERROR(INDEX('DRAFT 1'!$A:$A,MATCH($B150,'DRAFT 1'!$B:$B,0)),"")</f>
        <v/>
      </c>
      <c r="C150" t="str">
        <f>IFERROR(INDEX('DRAFT 1'!$C:$C,MATCH($B150,'DRAFT 1'!$B:$B,0)),"")</f>
        <v/>
      </c>
      <c r="D150" t="str">
        <f>IFERROR(INDEX('DRAFT 1'!$D:$D,MATCH($B150,'DRAFT 1'!$B:$B,0)),"")</f>
        <v/>
      </c>
      <c r="E150" t="str">
        <f>IFERROR(INDEX('DRAFT 1'!$E:$E,MATCH($B150,'DRAFT 1'!$B:$B,0)),"")</f>
        <v/>
      </c>
      <c r="F150" t="str">
        <f>IFERROR(INDEX('DRAFT 1'!$F:$F,MATCH($B150,'DRAFT 1'!$B:$B,0)),"")</f>
        <v/>
      </c>
      <c r="G150" t="str">
        <f>IFERROR(INDEX('DRAFT 1'!$G:$G,MATCH($B150,'DRAFT 1'!$B:$B,0)),"")</f>
        <v/>
      </c>
      <c r="H150" t="str">
        <f>IFERROR(INDEX('DRAFT 1'!$H:$H,MATCH($B150,'DRAFT 1'!$B:$B,0)),"")</f>
        <v/>
      </c>
      <c r="I150" t="str">
        <f>IFERROR(INDEX('DRAFT 1'!$I:$I,MATCH($B150,'DRAFT 1'!$B:$B,0)),"")</f>
        <v/>
      </c>
      <c r="K150" t="str">
        <f>IFERROR(INDEX('DRAFT 1'!$AL:$AL,MATCH($B150,'DRAFT 1'!$B:$B,0)),"")</f>
        <v/>
      </c>
      <c r="L150" t="str">
        <f>IFERROR(INDEX('DRAFT 1'!$J:$J,MATCH($B150,'DRAFT 1'!$B:$B,0)),"")</f>
        <v/>
      </c>
      <c r="M150" t="str">
        <f>IFERROR(INDEX('DRAFT 1'!$K:$K,MATCH($B150,'DRAFT 1'!$B:$B,0)),"")</f>
        <v/>
      </c>
      <c r="P150" t="str">
        <f>IFERROR(INDEX('DRAFT 1'!$L:$L,MATCH($B150,'DRAFT 1'!$B:$B,0)),"")</f>
        <v/>
      </c>
      <c r="Q150" t="str">
        <f>IFERROR(INDEX('DRAFT 1'!$M:$M,MATCH($B150,'DRAFT 1'!$B:$B,0)),"")</f>
        <v/>
      </c>
      <c r="R150" t="str">
        <f>IFERROR(INDEX('DRAFT 1'!$N:$N,MATCH($B150,'DRAFT 1'!$B:$B,0)),"")</f>
        <v/>
      </c>
      <c r="S150" t="str">
        <f>IFERROR(INDEX('DRAFT 1'!$O:$O,MATCH($B150,'DRAFT 1'!$B:$B,0)),"")</f>
        <v/>
      </c>
      <c r="T150" t="str">
        <f>IFERROR(INDEX('DRAFT 1'!$P:$P,MATCH($B150,'DRAFT 1'!$B:$B,0)),"")</f>
        <v/>
      </c>
      <c r="U150" t="str">
        <f>IFERROR(INDEX('DRAFT 1'!$Q:$Q,MATCH($B150,'DRAFT 1'!$B:$B,0)),"")</f>
        <v/>
      </c>
      <c r="V150" t="str">
        <f>IFERROR(INDEX('DRAFT 1'!$R:$R,MATCH($B150,'DRAFT 1'!$B:$B,0)),"")</f>
        <v/>
      </c>
      <c r="W150" t="str">
        <f>IFERROR(INDEX('DRAFT 1'!$S:$S,MATCH($B150,'DRAFT 1'!$B:$B,0)),"")</f>
        <v/>
      </c>
      <c r="X150" t="str">
        <f>IFERROR(INDEX('DRAFT 1'!$T:$T,MATCH($B150,'DRAFT 1'!$B:$B,0)),"")</f>
        <v/>
      </c>
      <c r="Z150" t="str">
        <f>IFERROR(INDEX('DRAFT 1'!$U:$U,MATCH($B150,'DRAFT 1'!$B:$B,0)),"")</f>
        <v/>
      </c>
      <c r="AA150" t="str">
        <f>IFERROR(INDEX('DRAFT 1'!$V:$V,MATCH($B150,'DRAFT 1'!$B:$B,0)),"")</f>
        <v/>
      </c>
      <c r="AB150" t="str">
        <f>IFERROR(INDEX('DRAFT 1'!$W:$W,MATCH($B150,'DRAFT 1'!$B:$B,0)),"")</f>
        <v/>
      </c>
      <c r="AC150" t="str">
        <f>IFERROR(INDEX('DRAFT 1'!$X:$X,MATCH($B150,'DRAFT 1'!$B:$B,0)),"")</f>
        <v/>
      </c>
      <c r="AD150" t="str">
        <f>IFERROR(INDEX('DRAFT 1'!$Y:$Y,MATCH($B150,'DRAFT 1'!$B:$B,0)),"")</f>
        <v/>
      </c>
      <c r="AE150" t="str">
        <f>IFERROR(INDEX('DRAFT 1'!$Z:$Z,MATCH($B150,'DRAFT 1'!$B:$B,0)),"")</f>
        <v/>
      </c>
      <c r="AF150" t="str">
        <f>IFERROR(INDEX('DRAFT 1'!$AA:$AA,MATCH($B150,'DRAFT 1'!$B:$B,0)),"")</f>
        <v/>
      </c>
      <c r="AG150" t="str">
        <f>IFERROR(INDEX('DRAFT 1'!$AB:$AB,MATCH($B150,'DRAFT 1'!$B:$B,0)),"")</f>
        <v/>
      </c>
      <c r="AH150" t="str">
        <f>IFERROR(INDEX('DRAFT 1'!$AC:$AC,MATCH($B150,'DRAFT 1'!$B:$B,0)),"")</f>
        <v/>
      </c>
      <c r="AI150" t="str">
        <f>IFERROR(INDEX('DRAFT 1'!$AD:$AD,MATCH($B150,'DRAFT 1'!$B:$B,0)),"")</f>
        <v/>
      </c>
      <c r="AJ150" t="str">
        <f>IFERROR(INDEX('DRAFT 1'!$AE:$AE,MATCH($B150,'DRAFT 1'!$B:$B,0)),"")</f>
        <v/>
      </c>
      <c r="AK150" t="str">
        <f>IFERROR(INDEX('DRAFT 1'!$AG:$AG,MATCH($B150,'DRAFT 1'!$B:$B,0)),"")</f>
        <v/>
      </c>
      <c r="AL150" t="str">
        <f>IFERROR(INDEX('DRAFT 1'!$AH:$AH,MATCH($B150,'DRAFT 1'!$B:$B,0)),"")</f>
        <v/>
      </c>
      <c r="AM150" t="str">
        <f>IFERROR(INDEX('DRAFT 1'!$AI:$AI,MATCH($B150,'DRAFT 1'!$B:$B,0)),"")</f>
        <v/>
      </c>
      <c r="AN150" t="str">
        <f>IFERROR(INDEX('DRAFT 1'!$AJ:$AJ,MATCH($B150,'DRAFT 1'!$B:$B,0)),"")</f>
        <v/>
      </c>
      <c r="AO150">
        <f t="shared" si="56"/>
        <v>0</v>
      </c>
      <c r="AP150" t="str">
        <f>IFERROR(INDEX('DRAFT 1'!$AK:$AK,MATCH($B150,'DRAFT 1'!$B:$B,0)),"")</f>
        <v/>
      </c>
      <c r="AR150">
        <f>IFERROR(LOOKUP(2,1/('DRAFT 2'!$D:$D=$B150),'DRAFT 2'!$I:$I),"")</f>
        <v>0</v>
      </c>
      <c r="AS150">
        <f>IFERROR(LOOKUP(2,1/('DRAFT 2'!$D:$D=$B150),'DRAFT 2'!$T:$T),"")</f>
        <v>0</v>
      </c>
      <c r="AT150">
        <f>IFERROR(LOOKUP(2,1/('DRAFT 2'!$D:$D=$B150),'DRAFT 2'!$A:$A),"")</f>
        <v>0</v>
      </c>
      <c r="AU150">
        <f>IFERROR(LOOKUP(2,1/('DRAFT 2'!$D:$D=$B150),'DRAFT 2'!$R:$R),"")</f>
        <v>0</v>
      </c>
      <c r="AV150">
        <f>IFERROR(LOOKUP(2,1/('DRAFT 2'!$D:$D=$B150),'DRAFT 2'!$S:$S),"")</f>
        <v>0</v>
      </c>
      <c r="AX150">
        <f>IFERROR(LOOKUP(2,1/('DRAFT 2'!$D:$D=$B150),'DRAFT 2'!$M:$M),"")</f>
        <v>0</v>
      </c>
      <c r="AY150">
        <f>IFERROR(LOOKUP(2,1/('DRAFT 2'!$D:$D=$B150),'DRAFT 2'!$K:$K),"")</f>
        <v>0</v>
      </c>
      <c r="BG150">
        <f>IFERROR(LOOKUP(2,1/('DRAFT 2'!$D:$D=$B150),'DRAFT 2'!$U:$U),"")</f>
        <v>0</v>
      </c>
      <c r="BH150">
        <f>IFERROR(LOOKUP(2,1/('DRAFT 2'!$D:$D=$B150),'DRAFT 2'!$V:$V),"")</f>
        <v>0</v>
      </c>
      <c r="CE150" t="str">
        <f t="shared" si="57"/>
        <v/>
      </c>
      <c r="CF150">
        <f>IFERROR(LOOKUP(2,1/('DRAFT 2'!$D:$D=$B150)*('DRAFT 2'!$A:$A&gt;=DATE(2026,1,1))*('DRAFT 2'!$A:$A&lt;DATE(2026,IF(1=12,1+1,1+1),1)),'DRAFT 2'!$A:$A),"")</f>
        <v>0</v>
      </c>
      <c r="CG150">
        <f>COUNTIFS('DRAFT 2'!$D:$D,$B150,'DRAFT 2'!$A:$A,"&gt;="&amp;DATE(2026,1,1),'DRAFT 2'!$A:$A,"&lt;="&amp;DATE(2026,1,7))</f>
        <v>0</v>
      </c>
      <c r="CH150">
        <f>COUNTIFS('DRAFT 2'!$D:$D,$B150,'DRAFT 2'!$A:$A,"&gt;="&amp;DATE(2026,1,8),'DRAFT 2'!$A:$A,"&lt;="&amp;DATE(2026,1,14))</f>
        <v>0</v>
      </c>
      <c r="CI150">
        <f>COUNTIFS('DRAFT 2'!$D:$D,$B150,'DRAFT 2'!$A:$A,"&gt;="&amp;DATE(2026,1,15),'DRAFT 2'!$A:$A,"&lt;="&amp;DATE(2026,1,21))</f>
        <v>0</v>
      </c>
      <c r="CJ150">
        <f>COUNTIFS('DRAFT 2'!$D:$D,$B150,'DRAFT 2'!$A:$A,"&gt;="&amp;DATE(2026,1,22),'DRAFT 2'!$A:$A,"&lt;"&amp;DATE(2026,IF(1=12,1+1,1+1),1))</f>
        <v>0</v>
      </c>
      <c r="CK150">
        <f t="shared" si="58"/>
        <v>0</v>
      </c>
      <c r="CT150">
        <v>0</v>
      </c>
      <c r="CU150">
        <f>IFERROR(LOOKUP(2,1/('DRAFT 2'!$D:$D=$B150)*('DRAFT 2'!$A:$A&gt;=DATE(2026,2,1))*('DRAFT 2'!$A:$A&lt;DATE(2026,IF(2=12,2+1,2+1),1)),'DRAFT 2'!$A:$A),"")</f>
        <v>0</v>
      </c>
      <c r="CV150">
        <f>COUNTIFS('DRAFT 2'!$D:$D,$B150,'DRAFT 2'!$A:$A,"&gt;="&amp;DATE(2026,2,1),'DRAFT 2'!$A:$A,"&lt;="&amp;DATE(2026,2,7))</f>
        <v>0</v>
      </c>
      <c r="CW150">
        <f>COUNTIFS('DRAFT 2'!$D:$D,$B150,'DRAFT 2'!$A:$A,"&gt;="&amp;DATE(2026,2,8),'DRAFT 2'!$A:$A,"&lt;="&amp;DATE(2026,2,14))</f>
        <v>0</v>
      </c>
      <c r="CX150">
        <f>COUNTIFS('DRAFT 2'!$D:$D,$B150,'DRAFT 2'!$A:$A,"&gt;="&amp;DATE(2026,2,15),'DRAFT 2'!$A:$A,"&lt;="&amp;DATE(2026,2,21))</f>
        <v>0</v>
      </c>
      <c r="CY150">
        <f>COUNTIFS('DRAFT 2'!$D:$D,$B150,'DRAFT 2'!$A:$A,"&gt;="&amp;DATE(2026,2,22),'DRAFT 2'!$A:$A,"&lt;"&amp;DATE(2026,IF(2=12,2+1,2+1),1))</f>
        <v>0</v>
      </c>
      <c r="CZ150">
        <f t="shared" si="59"/>
        <v>0</v>
      </c>
      <c r="DJ150">
        <f>IFERROR(LOOKUP(2,1/('DRAFT 2'!$D:$D=$B150)*('DRAFT 2'!$A:$A&gt;=DATE(2026,3,1))*('DRAFT 2'!$A:$A&lt;DATE(2026,IF(3=12,3+1,3+1),1)),'DRAFT 2'!$A:$A),"")</f>
        <v>0</v>
      </c>
      <c r="DK150">
        <f>COUNTIFS('DRAFT 2'!$D:$D,$B150,'DRAFT 2'!$A:$A,"&gt;="&amp;DATE(2026,3,1),'DRAFT 2'!$A:$A,"&lt;="&amp;DATE(2026,3,7))</f>
        <v>0</v>
      </c>
      <c r="DL150">
        <f>COUNTIFS('DRAFT 2'!$D:$D,$B150,'DRAFT 2'!$A:$A,"&gt;="&amp;DATE(2026,3,8),'DRAFT 2'!$A:$A,"&lt;="&amp;DATE(2026,3,14))</f>
        <v>0</v>
      </c>
      <c r="DM150">
        <f>COUNTIFS('DRAFT 2'!$D:$D,$B150,'DRAFT 2'!$A:$A,"&gt;="&amp;DATE(2026,3,15),'DRAFT 2'!$A:$A,"&lt;="&amp;DATE(2026,3,21))</f>
        <v>0</v>
      </c>
      <c r="DN150">
        <f>COUNTIFS('DRAFT 2'!$D:$D,$B150,'DRAFT 2'!$A:$A,"&gt;="&amp;DATE(2026,3,22),'DRAFT 2'!$A:$A,"&lt;"&amp;DATE(2026,IF(3=12,3+1,3+1),1))</f>
        <v>0</v>
      </c>
      <c r="DO150">
        <f t="shared" si="60"/>
        <v>0</v>
      </c>
      <c r="DZ150">
        <f>IFERROR(LOOKUP(2,1/('DRAFT 2'!$D:$D=$B150)*('DRAFT 2'!$A:$A&gt;=DATE(2026,4,1))*('DRAFT 2'!$A:$A&lt;DATE(2026,IF(4=12,4+1,4+1),1)),'DRAFT 2'!$A:$A),"")</f>
        <v>0</v>
      </c>
      <c r="EA150">
        <f>COUNTIFS('DRAFT 2'!$D:$D,$B150,'DRAFT 2'!$A:$A,"&gt;="&amp;DATE(2026,4,1),'DRAFT 2'!$A:$A,"&lt;="&amp;DATE(2026,4,7))</f>
        <v>0</v>
      </c>
      <c r="EB150">
        <f>COUNTIFS('DRAFT 2'!$D:$D,$B150,'DRAFT 2'!$A:$A,"&gt;="&amp;DATE(2026,4,8),'DRAFT 2'!$A:$A,"&lt;="&amp;DATE(2026,4,14))</f>
        <v>0</v>
      </c>
      <c r="EC150">
        <f>COUNTIFS('DRAFT 2'!$D:$D,$B150,'DRAFT 2'!$A:$A,"&gt;="&amp;DATE(2026,4,15),'DRAFT 2'!$A:$A,"&lt;="&amp;DATE(2026,4,21))</f>
        <v>0</v>
      </c>
      <c r="ED150">
        <f>COUNTIFS('DRAFT 2'!$D:$D,$B150,'DRAFT 2'!$A:$A,"&gt;="&amp;DATE(2026,4,22),'DRAFT 2'!$A:$A,"&lt;"&amp;DATE(2026,IF(4=12,4+1,4+1),1))</f>
        <v>0</v>
      </c>
      <c r="EE150">
        <f t="shared" si="61"/>
        <v>0</v>
      </c>
      <c r="EO150">
        <f>IFERROR(LOOKUP(2,1/('DRAFT 2'!$D:$D=$B150)*('DRAFT 2'!$A:$A&gt;=DATE(2026,5,1))*('DRAFT 2'!$A:$A&lt;DATE(2026,IF(5=12,5+1,5+1),1)),'DRAFT 2'!$A:$A),"")</f>
        <v>0</v>
      </c>
      <c r="EP150">
        <f>COUNTIFS('DRAFT 2'!$D:$D,$B150,'DRAFT 2'!$A:$A,"&gt;="&amp;DATE(2026,5,1),'DRAFT 2'!$A:$A,"&lt;="&amp;DATE(2026,5,7))</f>
        <v>0</v>
      </c>
      <c r="EQ150">
        <f>COUNTIFS('DRAFT 2'!$D:$D,$B150,'DRAFT 2'!$A:$A,"&gt;="&amp;DATE(2026,5,8),'DRAFT 2'!$A:$A,"&lt;="&amp;DATE(2026,5,14))</f>
        <v>0</v>
      </c>
      <c r="ER150">
        <f>COUNTIFS('DRAFT 2'!$D:$D,$B150,'DRAFT 2'!$A:$A,"&gt;="&amp;DATE(2026,5,15),'DRAFT 2'!$A:$A,"&lt;="&amp;DATE(2026,5,21))</f>
        <v>0</v>
      </c>
      <c r="ES150">
        <f>COUNTIFS('DRAFT 2'!$D:$D,$B150,'DRAFT 2'!$A:$A,"&gt;="&amp;DATE(2026,5,22),'DRAFT 2'!$A:$A,"&lt;"&amp;DATE(2026,IF(5=12,5+1,5+1),1))</f>
        <v>0</v>
      </c>
      <c r="ET150">
        <f t="shared" si="62"/>
        <v>0</v>
      </c>
      <c r="FD150">
        <f>IFERROR(LOOKUP(2,1/('DRAFT 2'!$D:$D=$B150)*('DRAFT 2'!$A:$A&gt;=DATE(2026,6,1))*('DRAFT 2'!$A:$A&lt;DATE(2026,IF(6=12,6+1,6+1),1)),'DRAFT 2'!$A:$A),"")</f>
        <v>0</v>
      </c>
      <c r="FE150">
        <f>COUNTIFS('DRAFT 2'!$D:$D,$B150,'DRAFT 2'!$A:$A,"&gt;="&amp;DATE(2026,6,1),'DRAFT 2'!$A:$A,"&lt;="&amp;DATE(2026,6,7))</f>
        <v>0</v>
      </c>
      <c r="FF150">
        <f>COUNTIFS('DRAFT 2'!$D:$D,$B150,'DRAFT 2'!$A:$A,"&gt;="&amp;DATE(2026,6,8),'DRAFT 2'!$A:$A,"&lt;="&amp;DATE(2026,6,14))</f>
        <v>0</v>
      </c>
      <c r="FG150">
        <f>COUNTIFS('DRAFT 2'!$D:$D,$B150,'DRAFT 2'!$A:$A,"&gt;="&amp;DATE(2026,6,15),'DRAFT 2'!$A:$A,"&lt;="&amp;DATE(2026,6,21))</f>
        <v>0</v>
      </c>
      <c r="FH150">
        <f>COUNTIFS('DRAFT 2'!$D:$D,$B150,'DRAFT 2'!$A:$A,"&gt;="&amp;DATE(2026,6,22),'DRAFT 2'!$A:$A,"&lt;"&amp;DATE(2026,IF(6=12,6+1,6+1),1))</f>
        <v>0</v>
      </c>
      <c r="FI150">
        <f t="shared" si="63"/>
        <v>0</v>
      </c>
      <c r="FT150">
        <f>IFERROR(LOOKUP(2,1/('DRAFT 2'!$D:$D=$B150)*('DRAFT 2'!$A:$A&gt;=DATE(2026,7,1))*('DRAFT 2'!$A:$A&lt;DATE(2026,IF(7=12,7+1,7+1),1)),'DRAFT 2'!$A:$A),"")</f>
        <v>0</v>
      </c>
      <c r="FU150">
        <f>COUNTIFS('DRAFT 2'!$D:$D,$B150,'DRAFT 2'!$A:$A,"&gt;="&amp;DATE(2026,7,1),'DRAFT 2'!$A:$A,"&lt;="&amp;DATE(2026,7,7))</f>
        <v>0</v>
      </c>
      <c r="FV150">
        <f>COUNTIFS('DRAFT 2'!$D:$D,$B150,'DRAFT 2'!$A:$A,"&gt;="&amp;DATE(2026,7,8),'DRAFT 2'!$A:$A,"&lt;="&amp;DATE(2026,7,14))</f>
        <v>0</v>
      </c>
      <c r="FW150">
        <f>COUNTIFS('DRAFT 2'!$D:$D,$B150,'DRAFT 2'!$A:$A,"&gt;="&amp;DATE(2026,7,15),'DRAFT 2'!$A:$A,"&lt;="&amp;DATE(2026,7,21))</f>
        <v>0</v>
      </c>
      <c r="FX150">
        <f>COUNTIFS('DRAFT 2'!$D:$D,$B150,'DRAFT 2'!$A:$A,"&gt;="&amp;DATE(2026,7,22),'DRAFT 2'!$A:$A,"&lt;"&amp;DATE(2026,IF(7=12,7+1,7+1),1))</f>
        <v>0</v>
      </c>
      <c r="FY150">
        <f t="shared" si="64"/>
        <v>0</v>
      </c>
      <c r="GI150">
        <f>IFERROR(LOOKUP(2,1/('DRAFT 2'!$D:$D=$B150)*('DRAFT 2'!$A:$A&gt;=DATE(2026,8,1))*('DRAFT 2'!$A:$A&lt;DATE(2026,IF(8=12,8+1,8+1),1)),'DRAFT 2'!$A:$A),"")</f>
        <v>0</v>
      </c>
      <c r="GJ150">
        <f>COUNTIFS('DRAFT 2'!$D:$D,$B150,'DRAFT 2'!$A:$A,"&gt;="&amp;DATE(2026,8,1),'DRAFT 2'!$A:$A,"&lt;="&amp;DATE(2026,8,7))</f>
        <v>0</v>
      </c>
      <c r="GK150">
        <f>COUNTIFS('DRAFT 2'!$D:$D,$B150,'DRAFT 2'!$A:$A,"&gt;="&amp;DATE(2026,8,8),'DRAFT 2'!$A:$A,"&lt;="&amp;DATE(2026,8,14))</f>
        <v>0</v>
      </c>
      <c r="GL150">
        <f>COUNTIFS('DRAFT 2'!$D:$D,$B150,'DRAFT 2'!$A:$A,"&gt;="&amp;DATE(2026,8,15),'DRAFT 2'!$A:$A,"&lt;="&amp;DATE(2026,8,21))</f>
        <v>0</v>
      </c>
      <c r="GM150">
        <f>COUNTIFS('DRAFT 2'!$D:$D,$B150,'DRAFT 2'!$A:$A,"&gt;="&amp;DATE(2026,8,22),'DRAFT 2'!$A:$A,"&lt;"&amp;DATE(2026,IF(8=12,8+1,8+1),1))</f>
        <v>0</v>
      </c>
      <c r="GN150">
        <f t="shared" si="65"/>
        <v>0</v>
      </c>
      <c r="GX150">
        <f>IFERROR(LOOKUP(2,1/('DRAFT 2'!$D:$D=$B150)*('DRAFT 2'!$A:$A&gt;=DATE(2026,9,1))*('DRAFT 2'!$A:$A&lt;DATE(2026,IF(9=12,9+1,9+1),1)),'DRAFT 2'!$A:$A),"")</f>
        <v>0</v>
      </c>
      <c r="GY150">
        <f>COUNTIFS('DRAFT 2'!$D:$D,$B150,'DRAFT 2'!$A:$A,"&gt;="&amp;DATE(2026,9,1),'DRAFT 2'!$A:$A,"&lt;="&amp;DATE(2026,9,7))</f>
        <v>0</v>
      </c>
      <c r="GZ150">
        <f>COUNTIFS('DRAFT 2'!$D:$D,$B150,'DRAFT 2'!$A:$A,"&gt;="&amp;DATE(2026,9,8),'DRAFT 2'!$A:$A,"&lt;="&amp;DATE(2026,9,14))</f>
        <v>0</v>
      </c>
      <c r="HA150">
        <f>COUNTIFS('DRAFT 2'!$D:$D,$B150,'DRAFT 2'!$A:$A,"&gt;="&amp;DATE(2026,9,15),'DRAFT 2'!$A:$A,"&lt;="&amp;DATE(2026,9,21))</f>
        <v>0</v>
      </c>
      <c r="HB150">
        <f>COUNTIFS('DRAFT 2'!$D:$D,$B150,'DRAFT 2'!$A:$A,"&gt;="&amp;DATE(2026,9,22),'DRAFT 2'!$A:$A,"&lt;"&amp;DATE(2026,IF(9=12,9+1,9+1),1))</f>
        <v>0</v>
      </c>
      <c r="HC150">
        <f t="shared" si="66"/>
        <v>0</v>
      </c>
      <c r="HN150">
        <f>IFERROR(LOOKUP(2,1/('DRAFT 2'!$D:$D=$B150)*('DRAFT 2'!$A:$A&gt;=DATE(2026,10,1))*('DRAFT 2'!$A:$A&lt;DATE(2026,IF(10=12,10+1,10+1),1)),'DRAFT 2'!$A:$A),"")</f>
        <v>0</v>
      </c>
      <c r="HO150">
        <f>COUNTIFS('DRAFT 2'!$D:$D,$B150,'DRAFT 2'!$A:$A,"&gt;="&amp;DATE(2026,10,1),'DRAFT 2'!$A:$A,"&lt;="&amp;DATE(2026,10,7))</f>
        <v>0</v>
      </c>
      <c r="HP150">
        <f>COUNTIFS('DRAFT 2'!$D:$D,$B150,'DRAFT 2'!$A:$A,"&gt;="&amp;DATE(2026,10,8),'DRAFT 2'!$A:$A,"&lt;="&amp;DATE(2026,10,14))</f>
        <v>0</v>
      </c>
      <c r="HQ150">
        <f>COUNTIFS('DRAFT 2'!$D:$D,$B150,'DRAFT 2'!$A:$A,"&gt;="&amp;DATE(2026,10,15),'DRAFT 2'!$A:$A,"&lt;="&amp;DATE(2026,10,21))</f>
        <v>0</v>
      </c>
      <c r="HR150">
        <f>COUNTIFS('DRAFT 2'!$D:$D,$B150,'DRAFT 2'!$A:$A,"&gt;="&amp;DATE(2026,10,22),'DRAFT 2'!$A:$A,"&lt;"&amp;DATE(2026,IF(10=12,10+1,10+1),1))</f>
        <v>0</v>
      </c>
      <c r="HS150">
        <f t="shared" si="67"/>
        <v>0</v>
      </c>
      <c r="IC150">
        <f>IFERROR(LOOKUP(2,1/('DRAFT 2'!$D:$D=$B150)*('DRAFT 2'!$A:$A&gt;=DATE(2026,11,1))*('DRAFT 2'!$A:$A&lt;DATE(2026,IF(11=12,11+1,11+1),1)),'DRAFT 2'!$A:$A),"")</f>
        <v>0</v>
      </c>
      <c r="ID150">
        <f>COUNTIFS('DRAFT 2'!$D:$D,$B150,'DRAFT 2'!$A:$A,"&gt;="&amp;DATE(2026,11,1),'DRAFT 2'!$A:$A,"&lt;="&amp;DATE(2026,11,7))</f>
        <v>0</v>
      </c>
      <c r="IE150">
        <f>COUNTIFS('DRAFT 2'!$D:$D,$B150,'DRAFT 2'!$A:$A,"&gt;="&amp;DATE(2026,11,8),'DRAFT 2'!$A:$A,"&lt;="&amp;DATE(2026,11,14))</f>
        <v>0</v>
      </c>
      <c r="IF150">
        <f>COUNTIFS('DRAFT 2'!$D:$D,$B150,'DRAFT 2'!$A:$A,"&gt;="&amp;DATE(2026,11,15),'DRAFT 2'!$A:$A,"&lt;="&amp;DATE(2026,11,21))</f>
        <v>0</v>
      </c>
      <c r="IG150">
        <f>COUNTIFS('DRAFT 2'!$D:$D,$B150,'DRAFT 2'!$A:$A,"&gt;="&amp;DATE(2026,11,22),'DRAFT 2'!$A:$A,"&lt;"&amp;DATE(2026,IF(11=12,11+1,11+1),1))</f>
        <v>0</v>
      </c>
      <c r="IH150">
        <f t="shared" si="68"/>
        <v>0</v>
      </c>
      <c r="IR150">
        <f>IFERROR(LOOKUP(2,1/('DRAFT 2'!$D:$D=$B150)*('DRAFT 2'!$A:$A&gt;=DATE(2026,12,1))*('DRAFT 2'!$A:$A&lt;DATE(2026,IF(12=12,12+1,12+1),1)),'DRAFT 2'!$A:$A),"")</f>
        <v>0</v>
      </c>
      <c r="IS150">
        <f>COUNTIFS('DRAFT 2'!$D:$D,$B150,'DRAFT 2'!$A:$A,"&gt;="&amp;DATE(2026,12,1),'DRAFT 2'!$A:$A,"&lt;="&amp;DATE(2026,12,7))</f>
        <v>0</v>
      </c>
      <c r="IT150">
        <f>COUNTIFS('DRAFT 2'!$D:$D,$B150,'DRAFT 2'!$A:$A,"&gt;="&amp;DATE(2026,12,8),'DRAFT 2'!$A:$A,"&lt;="&amp;DATE(2026,12,14))</f>
        <v>0</v>
      </c>
      <c r="IU150">
        <f>COUNTIFS('DRAFT 2'!$D:$D,$B150,'DRAFT 2'!$A:$A,"&gt;="&amp;DATE(2026,12,15),'DRAFT 2'!$A:$A,"&lt;="&amp;DATE(2026,12,21))</f>
        <v>0</v>
      </c>
      <c r="IV150">
        <f>COUNTIFS('DRAFT 2'!$D:$D,$B150,'DRAFT 2'!$A:$A,"&gt;="&amp;DATE(2026,12,22),'DRAFT 2'!$A:$A,"&lt;"&amp;DATE(2026,IF(12=12,12+1,12+1),1))</f>
        <v>0</v>
      </c>
      <c r="IW150">
        <f t="shared" si="69"/>
        <v>0</v>
      </c>
    </row>
    <row r="151" spans="1:257" x14ac:dyDescent="0.3">
      <c r="A151" t="str">
        <f>IFERROR(INDEX('DRAFT 1'!$A:$A,MATCH($B151,'DRAFT 1'!$B:$B,0)),"")</f>
        <v/>
      </c>
      <c r="C151" t="str">
        <f>IFERROR(INDEX('DRAFT 1'!$C:$C,MATCH($B151,'DRAFT 1'!$B:$B,0)),"")</f>
        <v/>
      </c>
      <c r="D151" t="str">
        <f>IFERROR(INDEX('DRAFT 1'!$D:$D,MATCH($B151,'DRAFT 1'!$B:$B,0)),"")</f>
        <v/>
      </c>
      <c r="E151" t="str">
        <f>IFERROR(INDEX('DRAFT 1'!$E:$E,MATCH($B151,'DRAFT 1'!$B:$B,0)),"")</f>
        <v/>
      </c>
      <c r="F151" t="str">
        <f>IFERROR(INDEX('DRAFT 1'!$F:$F,MATCH($B151,'DRAFT 1'!$B:$B,0)),"")</f>
        <v/>
      </c>
      <c r="G151" t="str">
        <f>IFERROR(INDEX('DRAFT 1'!$G:$G,MATCH($B151,'DRAFT 1'!$B:$B,0)),"")</f>
        <v/>
      </c>
      <c r="H151" t="str">
        <f>IFERROR(INDEX('DRAFT 1'!$H:$H,MATCH($B151,'DRAFT 1'!$B:$B,0)),"")</f>
        <v/>
      </c>
      <c r="I151" t="str">
        <f>IFERROR(INDEX('DRAFT 1'!$I:$I,MATCH($B151,'DRAFT 1'!$B:$B,0)),"")</f>
        <v/>
      </c>
      <c r="K151" t="str">
        <f>IFERROR(INDEX('DRAFT 1'!$AL:$AL,MATCH($B151,'DRAFT 1'!$B:$B,0)),"")</f>
        <v/>
      </c>
      <c r="L151" t="str">
        <f>IFERROR(INDEX('DRAFT 1'!$J:$J,MATCH($B151,'DRAFT 1'!$B:$B,0)),"")</f>
        <v/>
      </c>
      <c r="M151" t="str">
        <f>IFERROR(INDEX('DRAFT 1'!$K:$K,MATCH($B151,'DRAFT 1'!$B:$B,0)),"")</f>
        <v/>
      </c>
      <c r="P151" t="str">
        <f>IFERROR(INDEX('DRAFT 1'!$L:$L,MATCH($B151,'DRAFT 1'!$B:$B,0)),"")</f>
        <v/>
      </c>
      <c r="Q151" t="str">
        <f>IFERROR(INDEX('DRAFT 1'!$M:$M,MATCH($B151,'DRAFT 1'!$B:$B,0)),"")</f>
        <v/>
      </c>
      <c r="R151" t="str">
        <f>IFERROR(INDEX('DRAFT 1'!$N:$N,MATCH($B151,'DRAFT 1'!$B:$B,0)),"")</f>
        <v/>
      </c>
      <c r="S151" t="str">
        <f>IFERROR(INDEX('DRAFT 1'!$O:$O,MATCH($B151,'DRAFT 1'!$B:$B,0)),"")</f>
        <v/>
      </c>
      <c r="T151" t="str">
        <f>IFERROR(INDEX('DRAFT 1'!$P:$P,MATCH($B151,'DRAFT 1'!$B:$B,0)),"")</f>
        <v/>
      </c>
      <c r="U151" t="str">
        <f>IFERROR(INDEX('DRAFT 1'!$Q:$Q,MATCH($B151,'DRAFT 1'!$B:$B,0)),"")</f>
        <v/>
      </c>
      <c r="V151" t="str">
        <f>IFERROR(INDEX('DRAFT 1'!$R:$R,MATCH($B151,'DRAFT 1'!$B:$B,0)),"")</f>
        <v/>
      </c>
      <c r="W151" t="str">
        <f>IFERROR(INDEX('DRAFT 1'!$S:$S,MATCH($B151,'DRAFT 1'!$B:$B,0)),"")</f>
        <v/>
      </c>
      <c r="X151" t="str">
        <f>IFERROR(INDEX('DRAFT 1'!$T:$T,MATCH($B151,'DRAFT 1'!$B:$B,0)),"")</f>
        <v/>
      </c>
      <c r="Z151" t="str">
        <f>IFERROR(INDEX('DRAFT 1'!$U:$U,MATCH($B151,'DRAFT 1'!$B:$B,0)),"")</f>
        <v/>
      </c>
      <c r="AA151" t="str">
        <f>IFERROR(INDEX('DRAFT 1'!$V:$V,MATCH($B151,'DRAFT 1'!$B:$B,0)),"")</f>
        <v/>
      </c>
      <c r="AB151" t="str">
        <f>IFERROR(INDEX('DRAFT 1'!$W:$W,MATCH($B151,'DRAFT 1'!$B:$B,0)),"")</f>
        <v/>
      </c>
      <c r="AC151" t="str">
        <f>IFERROR(INDEX('DRAFT 1'!$X:$X,MATCH($B151,'DRAFT 1'!$B:$B,0)),"")</f>
        <v/>
      </c>
      <c r="AD151" t="str">
        <f>IFERROR(INDEX('DRAFT 1'!$Y:$Y,MATCH($B151,'DRAFT 1'!$B:$B,0)),"")</f>
        <v/>
      </c>
      <c r="AE151" t="str">
        <f>IFERROR(INDEX('DRAFT 1'!$Z:$Z,MATCH($B151,'DRAFT 1'!$B:$B,0)),"")</f>
        <v/>
      </c>
      <c r="AF151" t="str">
        <f>IFERROR(INDEX('DRAFT 1'!$AA:$AA,MATCH($B151,'DRAFT 1'!$B:$B,0)),"")</f>
        <v/>
      </c>
      <c r="AG151" t="str">
        <f>IFERROR(INDEX('DRAFT 1'!$AB:$AB,MATCH($B151,'DRAFT 1'!$B:$B,0)),"")</f>
        <v/>
      </c>
      <c r="AH151" t="str">
        <f>IFERROR(INDEX('DRAFT 1'!$AC:$AC,MATCH($B151,'DRAFT 1'!$B:$B,0)),"")</f>
        <v/>
      </c>
      <c r="AI151" t="str">
        <f>IFERROR(INDEX('DRAFT 1'!$AD:$AD,MATCH($B151,'DRAFT 1'!$B:$B,0)),"")</f>
        <v/>
      </c>
      <c r="AJ151" t="str">
        <f>IFERROR(INDEX('DRAFT 1'!$AE:$AE,MATCH($B151,'DRAFT 1'!$B:$B,0)),"")</f>
        <v/>
      </c>
      <c r="AK151" t="str">
        <f>IFERROR(INDEX('DRAFT 1'!$AG:$AG,MATCH($B151,'DRAFT 1'!$B:$B,0)),"")</f>
        <v/>
      </c>
      <c r="AL151" t="str">
        <f>IFERROR(INDEX('DRAFT 1'!$AH:$AH,MATCH($B151,'DRAFT 1'!$B:$B,0)),"")</f>
        <v/>
      </c>
      <c r="AM151" t="str">
        <f>IFERROR(INDEX('DRAFT 1'!$AI:$AI,MATCH($B151,'DRAFT 1'!$B:$B,0)),"")</f>
        <v/>
      </c>
      <c r="AN151" t="str">
        <f>IFERROR(INDEX('DRAFT 1'!$AJ:$AJ,MATCH($B151,'DRAFT 1'!$B:$B,0)),"")</f>
        <v/>
      </c>
      <c r="AO151">
        <f t="shared" si="56"/>
        <v>0</v>
      </c>
      <c r="AP151" t="str">
        <f>IFERROR(INDEX('DRAFT 1'!$AK:$AK,MATCH($B151,'DRAFT 1'!$B:$B,0)),"")</f>
        <v/>
      </c>
      <c r="AR151">
        <f>IFERROR(LOOKUP(2,1/('DRAFT 2'!$D:$D=$B151),'DRAFT 2'!$I:$I),"")</f>
        <v>0</v>
      </c>
      <c r="AS151">
        <f>IFERROR(LOOKUP(2,1/('DRAFT 2'!$D:$D=$B151),'DRAFT 2'!$T:$T),"")</f>
        <v>0</v>
      </c>
      <c r="AT151">
        <f>IFERROR(LOOKUP(2,1/('DRAFT 2'!$D:$D=$B151),'DRAFT 2'!$A:$A),"")</f>
        <v>0</v>
      </c>
      <c r="AU151">
        <f>IFERROR(LOOKUP(2,1/('DRAFT 2'!$D:$D=$B151),'DRAFT 2'!$R:$R),"")</f>
        <v>0</v>
      </c>
      <c r="AV151">
        <f>IFERROR(LOOKUP(2,1/('DRAFT 2'!$D:$D=$B151),'DRAFT 2'!$S:$S),"")</f>
        <v>0</v>
      </c>
      <c r="AX151">
        <f>IFERROR(LOOKUP(2,1/('DRAFT 2'!$D:$D=$B151),'DRAFT 2'!$M:$M),"")</f>
        <v>0</v>
      </c>
      <c r="AY151">
        <f>IFERROR(LOOKUP(2,1/('DRAFT 2'!$D:$D=$B151),'DRAFT 2'!$K:$K),"")</f>
        <v>0</v>
      </c>
      <c r="BG151">
        <f>IFERROR(LOOKUP(2,1/('DRAFT 2'!$D:$D=$B151),'DRAFT 2'!$U:$U),"")</f>
        <v>0</v>
      </c>
      <c r="BH151">
        <f>IFERROR(LOOKUP(2,1/('DRAFT 2'!$D:$D=$B151),'DRAFT 2'!$V:$V),"")</f>
        <v>0</v>
      </c>
      <c r="CE151" t="str">
        <f t="shared" si="57"/>
        <v/>
      </c>
      <c r="CF151">
        <f>IFERROR(LOOKUP(2,1/('DRAFT 2'!$D:$D=$B151)*('DRAFT 2'!$A:$A&gt;=DATE(2026,1,1))*('DRAFT 2'!$A:$A&lt;DATE(2026,IF(1=12,1+1,1+1),1)),'DRAFT 2'!$A:$A),"")</f>
        <v>0</v>
      </c>
      <c r="CG151">
        <f>COUNTIFS('DRAFT 2'!$D:$D,$B151,'DRAFT 2'!$A:$A,"&gt;="&amp;DATE(2026,1,1),'DRAFT 2'!$A:$A,"&lt;="&amp;DATE(2026,1,7))</f>
        <v>0</v>
      </c>
      <c r="CH151">
        <f>COUNTIFS('DRAFT 2'!$D:$D,$B151,'DRAFT 2'!$A:$A,"&gt;="&amp;DATE(2026,1,8),'DRAFT 2'!$A:$A,"&lt;="&amp;DATE(2026,1,14))</f>
        <v>0</v>
      </c>
      <c r="CI151">
        <f>COUNTIFS('DRAFT 2'!$D:$D,$B151,'DRAFT 2'!$A:$A,"&gt;="&amp;DATE(2026,1,15),'DRAFT 2'!$A:$A,"&lt;="&amp;DATE(2026,1,21))</f>
        <v>0</v>
      </c>
      <c r="CJ151">
        <f>COUNTIFS('DRAFT 2'!$D:$D,$B151,'DRAFT 2'!$A:$A,"&gt;="&amp;DATE(2026,1,22),'DRAFT 2'!$A:$A,"&lt;"&amp;DATE(2026,IF(1=12,1+1,1+1),1))</f>
        <v>0</v>
      </c>
      <c r="CK151">
        <f t="shared" si="58"/>
        <v>0</v>
      </c>
      <c r="CT151">
        <v>0</v>
      </c>
      <c r="CU151">
        <f>IFERROR(LOOKUP(2,1/('DRAFT 2'!$D:$D=$B151)*('DRAFT 2'!$A:$A&gt;=DATE(2026,2,1))*('DRAFT 2'!$A:$A&lt;DATE(2026,IF(2=12,2+1,2+1),1)),'DRAFT 2'!$A:$A),"")</f>
        <v>0</v>
      </c>
      <c r="CV151">
        <f>COUNTIFS('DRAFT 2'!$D:$D,$B151,'DRAFT 2'!$A:$A,"&gt;="&amp;DATE(2026,2,1),'DRAFT 2'!$A:$A,"&lt;="&amp;DATE(2026,2,7))</f>
        <v>0</v>
      </c>
      <c r="CW151">
        <f>COUNTIFS('DRAFT 2'!$D:$D,$B151,'DRAFT 2'!$A:$A,"&gt;="&amp;DATE(2026,2,8),'DRAFT 2'!$A:$A,"&lt;="&amp;DATE(2026,2,14))</f>
        <v>0</v>
      </c>
      <c r="CX151">
        <f>COUNTIFS('DRAFT 2'!$D:$D,$B151,'DRAFT 2'!$A:$A,"&gt;="&amp;DATE(2026,2,15),'DRAFT 2'!$A:$A,"&lt;="&amp;DATE(2026,2,21))</f>
        <v>0</v>
      </c>
      <c r="CY151">
        <f>COUNTIFS('DRAFT 2'!$D:$D,$B151,'DRAFT 2'!$A:$A,"&gt;="&amp;DATE(2026,2,22),'DRAFT 2'!$A:$A,"&lt;"&amp;DATE(2026,IF(2=12,2+1,2+1),1))</f>
        <v>0</v>
      </c>
      <c r="CZ151">
        <f t="shared" si="59"/>
        <v>0</v>
      </c>
      <c r="DJ151">
        <f>IFERROR(LOOKUP(2,1/('DRAFT 2'!$D:$D=$B151)*('DRAFT 2'!$A:$A&gt;=DATE(2026,3,1))*('DRAFT 2'!$A:$A&lt;DATE(2026,IF(3=12,3+1,3+1),1)),'DRAFT 2'!$A:$A),"")</f>
        <v>0</v>
      </c>
      <c r="DK151">
        <f>COUNTIFS('DRAFT 2'!$D:$D,$B151,'DRAFT 2'!$A:$A,"&gt;="&amp;DATE(2026,3,1),'DRAFT 2'!$A:$A,"&lt;="&amp;DATE(2026,3,7))</f>
        <v>0</v>
      </c>
      <c r="DL151">
        <f>COUNTIFS('DRAFT 2'!$D:$D,$B151,'DRAFT 2'!$A:$A,"&gt;="&amp;DATE(2026,3,8),'DRAFT 2'!$A:$A,"&lt;="&amp;DATE(2026,3,14))</f>
        <v>0</v>
      </c>
      <c r="DM151">
        <f>COUNTIFS('DRAFT 2'!$D:$D,$B151,'DRAFT 2'!$A:$A,"&gt;="&amp;DATE(2026,3,15),'DRAFT 2'!$A:$A,"&lt;="&amp;DATE(2026,3,21))</f>
        <v>0</v>
      </c>
      <c r="DN151">
        <f>COUNTIFS('DRAFT 2'!$D:$D,$B151,'DRAFT 2'!$A:$A,"&gt;="&amp;DATE(2026,3,22),'DRAFT 2'!$A:$A,"&lt;"&amp;DATE(2026,IF(3=12,3+1,3+1),1))</f>
        <v>0</v>
      </c>
      <c r="DO151">
        <f t="shared" si="60"/>
        <v>0</v>
      </c>
      <c r="DZ151">
        <f>IFERROR(LOOKUP(2,1/('DRAFT 2'!$D:$D=$B151)*('DRAFT 2'!$A:$A&gt;=DATE(2026,4,1))*('DRAFT 2'!$A:$A&lt;DATE(2026,IF(4=12,4+1,4+1),1)),'DRAFT 2'!$A:$A),"")</f>
        <v>0</v>
      </c>
      <c r="EA151">
        <f>COUNTIFS('DRAFT 2'!$D:$D,$B151,'DRAFT 2'!$A:$A,"&gt;="&amp;DATE(2026,4,1),'DRAFT 2'!$A:$A,"&lt;="&amp;DATE(2026,4,7))</f>
        <v>0</v>
      </c>
      <c r="EB151">
        <f>COUNTIFS('DRAFT 2'!$D:$D,$B151,'DRAFT 2'!$A:$A,"&gt;="&amp;DATE(2026,4,8),'DRAFT 2'!$A:$A,"&lt;="&amp;DATE(2026,4,14))</f>
        <v>0</v>
      </c>
      <c r="EC151">
        <f>COUNTIFS('DRAFT 2'!$D:$D,$B151,'DRAFT 2'!$A:$A,"&gt;="&amp;DATE(2026,4,15),'DRAFT 2'!$A:$A,"&lt;="&amp;DATE(2026,4,21))</f>
        <v>0</v>
      </c>
      <c r="ED151">
        <f>COUNTIFS('DRAFT 2'!$D:$D,$B151,'DRAFT 2'!$A:$A,"&gt;="&amp;DATE(2026,4,22),'DRAFT 2'!$A:$A,"&lt;"&amp;DATE(2026,IF(4=12,4+1,4+1),1))</f>
        <v>0</v>
      </c>
      <c r="EE151">
        <f t="shared" si="61"/>
        <v>0</v>
      </c>
      <c r="EO151">
        <f>IFERROR(LOOKUP(2,1/('DRAFT 2'!$D:$D=$B151)*('DRAFT 2'!$A:$A&gt;=DATE(2026,5,1))*('DRAFT 2'!$A:$A&lt;DATE(2026,IF(5=12,5+1,5+1),1)),'DRAFT 2'!$A:$A),"")</f>
        <v>0</v>
      </c>
      <c r="EP151">
        <f>COUNTIFS('DRAFT 2'!$D:$D,$B151,'DRAFT 2'!$A:$A,"&gt;="&amp;DATE(2026,5,1),'DRAFT 2'!$A:$A,"&lt;="&amp;DATE(2026,5,7))</f>
        <v>0</v>
      </c>
      <c r="EQ151">
        <f>COUNTIFS('DRAFT 2'!$D:$D,$B151,'DRAFT 2'!$A:$A,"&gt;="&amp;DATE(2026,5,8),'DRAFT 2'!$A:$A,"&lt;="&amp;DATE(2026,5,14))</f>
        <v>0</v>
      </c>
      <c r="ER151">
        <f>COUNTIFS('DRAFT 2'!$D:$D,$B151,'DRAFT 2'!$A:$A,"&gt;="&amp;DATE(2026,5,15),'DRAFT 2'!$A:$A,"&lt;="&amp;DATE(2026,5,21))</f>
        <v>0</v>
      </c>
      <c r="ES151">
        <f>COUNTIFS('DRAFT 2'!$D:$D,$B151,'DRAFT 2'!$A:$A,"&gt;="&amp;DATE(2026,5,22),'DRAFT 2'!$A:$A,"&lt;"&amp;DATE(2026,IF(5=12,5+1,5+1),1))</f>
        <v>0</v>
      </c>
      <c r="ET151">
        <f t="shared" si="62"/>
        <v>0</v>
      </c>
      <c r="FD151">
        <f>IFERROR(LOOKUP(2,1/('DRAFT 2'!$D:$D=$B151)*('DRAFT 2'!$A:$A&gt;=DATE(2026,6,1))*('DRAFT 2'!$A:$A&lt;DATE(2026,IF(6=12,6+1,6+1),1)),'DRAFT 2'!$A:$A),"")</f>
        <v>0</v>
      </c>
      <c r="FE151">
        <f>COUNTIFS('DRAFT 2'!$D:$D,$B151,'DRAFT 2'!$A:$A,"&gt;="&amp;DATE(2026,6,1),'DRAFT 2'!$A:$A,"&lt;="&amp;DATE(2026,6,7))</f>
        <v>0</v>
      </c>
      <c r="FF151">
        <f>COUNTIFS('DRAFT 2'!$D:$D,$B151,'DRAFT 2'!$A:$A,"&gt;="&amp;DATE(2026,6,8),'DRAFT 2'!$A:$A,"&lt;="&amp;DATE(2026,6,14))</f>
        <v>0</v>
      </c>
      <c r="FG151">
        <f>COUNTIFS('DRAFT 2'!$D:$D,$B151,'DRAFT 2'!$A:$A,"&gt;="&amp;DATE(2026,6,15),'DRAFT 2'!$A:$A,"&lt;="&amp;DATE(2026,6,21))</f>
        <v>0</v>
      </c>
      <c r="FH151">
        <f>COUNTIFS('DRAFT 2'!$D:$D,$B151,'DRAFT 2'!$A:$A,"&gt;="&amp;DATE(2026,6,22),'DRAFT 2'!$A:$A,"&lt;"&amp;DATE(2026,IF(6=12,6+1,6+1),1))</f>
        <v>0</v>
      </c>
      <c r="FI151">
        <f t="shared" si="63"/>
        <v>0</v>
      </c>
      <c r="FT151">
        <f>IFERROR(LOOKUP(2,1/('DRAFT 2'!$D:$D=$B151)*('DRAFT 2'!$A:$A&gt;=DATE(2026,7,1))*('DRAFT 2'!$A:$A&lt;DATE(2026,IF(7=12,7+1,7+1),1)),'DRAFT 2'!$A:$A),"")</f>
        <v>0</v>
      </c>
      <c r="FU151">
        <f>COUNTIFS('DRAFT 2'!$D:$D,$B151,'DRAFT 2'!$A:$A,"&gt;="&amp;DATE(2026,7,1),'DRAFT 2'!$A:$A,"&lt;="&amp;DATE(2026,7,7))</f>
        <v>0</v>
      </c>
      <c r="FV151">
        <f>COUNTIFS('DRAFT 2'!$D:$D,$B151,'DRAFT 2'!$A:$A,"&gt;="&amp;DATE(2026,7,8),'DRAFT 2'!$A:$A,"&lt;="&amp;DATE(2026,7,14))</f>
        <v>0</v>
      </c>
      <c r="FW151">
        <f>COUNTIFS('DRAFT 2'!$D:$D,$B151,'DRAFT 2'!$A:$A,"&gt;="&amp;DATE(2026,7,15),'DRAFT 2'!$A:$A,"&lt;="&amp;DATE(2026,7,21))</f>
        <v>0</v>
      </c>
      <c r="FX151">
        <f>COUNTIFS('DRAFT 2'!$D:$D,$B151,'DRAFT 2'!$A:$A,"&gt;="&amp;DATE(2026,7,22),'DRAFT 2'!$A:$A,"&lt;"&amp;DATE(2026,IF(7=12,7+1,7+1),1))</f>
        <v>0</v>
      </c>
      <c r="FY151">
        <f t="shared" si="64"/>
        <v>0</v>
      </c>
      <c r="GI151">
        <f>IFERROR(LOOKUP(2,1/('DRAFT 2'!$D:$D=$B151)*('DRAFT 2'!$A:$A&gt;=DATE(2026,8,1))*('DRAFT 2'!$A:$A&lt;DATE(2026,IF(8=12,8+1,8+1),1)),'DRAFT 2'!$A:$A),"")</f>
        <v>0</v>
      </c>
      <c r="GJ151">
        <f>COUNTIFS('DRAFT 2'!$D:$D,$B151,'DRAFT 2'!$A:$A,"&gt;="&amp;DATE(2026,8,1),'DRAFT 2'!$A:$A,"&lt;="&amp;DATE(2026,8,7))</f>
        <v>0</v>
      </c>
      <c r="GK151">
        <f>COUNTIFS('DRAFT 2'!$D:$D,$B151,'DRAFT 2'!$A:$A,"&gt;="&amp;DATE(2026,8,8),'DRAFT 2'!$A:$A,"&lt;="&amp;DATE(2026,8,14))</f>
        <v>0</v>
      </c>
      <c r="GL151">
        <f>COUNTIFS('DRAFT 2'!$D:$D,$B151,'DRAFT 2'!$A:$A,"&gt;="&amp;DATE(2026,8,15),'DRAFT 2'!$A:$A,"&lt;="&amp;DATE(2026,8,21))</f>
        <v>0</v>
      </c>
      <c r="GM151">
        <f>COUNTIFS('DRAFT 2'!$D:$D,$B151,'DRAFT 2'!$A:$A,"&gt;="&amp;DATE(2026,8,22),'DRAFT 2'!$A:$A,"&lt;"&amp;DATE(2026,IF(8=12,8+1,8+1),1))</f>
        <v>0</v>
      </c>
      <c r="GN151">
        <f t="shared" si="65"/>
        <v>0</v>
      </c>
      <c r="GX151">
        <f>IFERROR(LOOKUP(2,1/('DRAFT 2'!$D:$D=$B151)*('DRAFT 2'!$A:$A&gt;=DATE(2026,9,1))*('DRAFT 2'!$A:$A&lt;DATE(2026,IF(9=12,9+1,9+1),1)),'DRAFT 2'!$A:$A),"")</f>
        <v>0</v>
      </c>
      <c r="GY151">
        <f>COUNTIFS('DRAFT 2'!$D:$D,$B151,'DRAFT 2'!$A:$A,"&gt;="&amp;DATE(2026,9,1),'DRAFT 2'!$A:$A,"&lt;="&amp;DATE(2026,9,7))</f>
        <v>0</v>
      </c>
      <c r="GZ151">
        <f>COUNTIFS('DRAFT 2'!$D:$D,$B151,'DRAFT 2'!$A:$A,"&gt;="&amp;DATE(2026,9,8),'DRAFT 2'!$A:$A,"&lt;="&amp;DATE(2026,9,14))</f>
        <v>0</v>
      </c>
      <c r="HA151">
        <f>COUNTIFS('DRAFT 2'!$D:$D,$B151,'DRAFT 2'!$A:$A,"&gt;="&amp;DATE(2026,9,15),'DRAFT 2'!$A:$A,"&lt;="&amp;DATE(2026,9,21))</f>
        <v>0</v>
      </c>
      <c r="HB151">
        <f>COUNTIFS('DRAFT 2'!$D:$D,$B151,'DRAFT 2'!$A:$A,"&gt;="&amp;DATE(2026,9,22),'DRAFT 2'!$A:$A,"&lt;"&amp;DATE(2026,IF(9=12,9+1,9+1),1))</f>
        <v>0</v>
      </c>
      <c r="HC151">
        <f t="shared" si="66"/>
        <v>0</v>
      </c>
      <c r="HN151">
        <f>IFERROR(LOOKUP(2,1/('DRAFT 2'!$D:$D=$B151)*('DRAFT 2'!$A:$A&gt;=DATE(2026,10,1))*('DRAFT 2'!$A:$A&lt;DATE(2026,IF(10=12,10+1,10+1),1)),'DRAFT 2'!$A:$A),"")</f>
        <v>0</v>
      </c>
      <c r="HO151">
        <f>COUNTIFS('DRAFT 2'!$D:$D,$B151,'DRAFT 2'!$A:$A,"&gt;="&amp;DATE(2026,10,1),'DRAFT 2'!$A:$A,"&lt;="&amp;DATE(2026,10,7))</f>
        <v>0</v>
      </c>
      <c r="HP151">
        <f>COUNTIFS('DRAFT 2'!$D:$D,$B151,'DRAFT 2'!$A:$A,"&gt;="&amp;DATE(2026,10,8),'DRAFT 2'!$A:$A,"&lt;="&amp;DATE(2026,10,14))</f>
        <v>0</v>
      </c>
      <c r="HQ151">
        <f>COUNTIFS('DRAFT 2'!$D:$D,$B151,'DRAFT 2'!$A:$A,"&gt;="&amp;DATE(2026,10,15),'DRAFT 2'!$A:$A,"&lt;="&amp;DATE(2026,10,21))</f>
        <v>0</v>
      </c>
      <c r="HR151">
        <f>COUNTIFS('DRAFT 2'!$D:$D,$B151,'DRAFT 2'!$A:$A,"&gt;="&amp;DATE(2026,10,22),'DRAFT 2'!$A:$A,"&lt;"&amp;DATE(2026,IF(10=12,10+1,10+1),1))</f>
        <v>0</v>
      </c>
      <c r="HS151">
        <f t="shared" si="67"/>
        <v>0</v>
      </c>
      <c r="IC151">
        <f>IFERROR(LOOKUP(2,1/('DRAFT 2'!$D:$D=$B151)*('DRAFT 2'!$A:$A&gt;=DATE(2026,11,1))*('DRAFT 2'!$A:$A&lt;DATE(2026,IF(11=12,11+1,11+1),1)),'DRAFT 2'!$A:$A),"")</f>
        <v>0</v>
      </c>
      <c r="ID151">
        <f>COUNTIFS('DRAFT 2'!$D:$D,$B151,'DRAFT 2'!$A:$A,"&gt;="&amp;DATE(2026,11,1),'DRAFT 2'!$A:$A,"&lt;="&amp;DATE(2026,11,7))</f>
        <v>0</v>
      </c>
      <c r="IE151">
        <f>COUNTIFS('DRAFT 2'!$D:$D,$B151,'DRAFT 2'!$A:$A,"&gt;="&amp;DATE(2026,11,8),'DRAFT 2'!$A:$A,"&lt;="&amp;DATE(2026,11,14))</f>
        <v>0</v>
      </c>
      <c r="IF151">
        <f>COUNTIFS('DRAFT 2'!$D:$D,$B151,'DRAFT 2'!$A:$A,"&gt;="&amp;DATE(2026,11,15),'DRAFT 2'!$A:$A,"&lt;="&amp;DATE(2026,11,21))</f>
        <v>0</v>
      </c>
      <c r="IG151">
        <f>COUNTIFS('DRAFT 2'!$D:$D,$B151,'DRAFT 2'!$A:$A,"&gt;="&amp;DATE(2026,11,22),'DRAFT 2'!$A:$A,"&lt;"&amp;DATE(2026,IF(11=12,11+1,11+1),1))</f>
        <v>0</v>
      </c>
      <c r="IH151">
        <f t="shared" si="68"/>
        <v>0</v>
      </c>
      <c r="IR151">
        <f>IFERROR(LOOKUP(2,1/('DRAFT 2'!$D:$D=$B151)*('DRAFT 2'!$A:$A&gt;=DATE(2026,12,1))*('DRAFT 2'!$A:$A&lt;DATE(2026,IF(12=12,12+1,12+1),1)),'DRAFT 2'!$A:$A),"")</f>
        <v>0</v>
      </c>
      <c r="IS151">
        <f>COUNTIFS('DRAFT 2'!$D:$D,$B151,'DRAFT 2'!$A:$A,"&gt;="&amp;DATE(2026,12,1),'DRAFT 2'!$A:$A,"&lt;="&amp;DATE(2026,12,7))</f>
        <v>0</v>
      </c>
      <c r="IT151">
        <f>COUNTIFS('DRAFT 2'!$D:$D,$B151,'DRAFT 2'!$A:$A,"&gt;="&amp;DATE(2026,12,8),'DRAFT 2'!$A:$A,"&lt;="&amp;DATE(2026,12,14))</f>
        <v>0</v>
      </c>
      <c r="IU151">
        <f>COUNTIFS('DRAFT 2'!$D:$D,$B151,'DRAFT 2'!$A:$A,"&gt;="&amp;DATE(2026,12,15),'DRAFT 2'!$A:$A,"&lt;="&amp;DATE(2026,12,21))</f>
        <v>0</v>
      </c>
      <c r="IV151">
        <f>COUNTIFS('DRAFT 2'!$D:$D,$B151,'DRAFT 2'!$A:$A,"&gt;="&amp;DATE(2026,12,22),'DRAFT 2'!$A:$A,"&lt;"&amp;DATE(2026,IF(12=12,12+1,12+1),1))</f>
        <v>0</v>
      </c>
      <c r="IW151">
        <f t="shared" si="69"/>
        <v>0</v>
      </c>
    </row>
    <row r="152" spans="1:257" x14ac:dyDescent="0.3">
      <c r="A152" t="str">
        <f>IFERROR(INDEX('DRAFT 1'!$A:$A,MATCH($B152,'DRAFT 1'!$B:$B,0)),"")</f>
        <v/>
      </c>
      <c r="C152" t="str">
        <f>IFERROR(INDEX('DRAFT 1'!$C:$C,MATCH($B152,'DRAFT 1'!$B:$B,0)),"")</f>
        <v/>
      </c>
      <c r="D152" t="str">
        <f>IFERROR(INDEX('DRAFT 1'!$D:$D,MATCH($B152,'DRAFT 1'!$B:$B,0)),"")</f>
        <v/>
      </c>
      <c r="E152" t="str">
        <f>IFERROR(INDEX('DRAFT 1'!$E:$E,MATCH($B152,'DRAFT 1'!$B:$B,0)),"")</f>
        <v/>
      </c>
      <c r="F152" t="str">
        <f>IFERROR(INDEX('DRAFT 1'!$F:$F,MATCH($B152,'DRAFT 1'!$B:$B,0)),"")</f>
        <v/>
      </c>
      <c r="G152" t="str">
        <f>IFERROR(INDEX('DRAFT 1'!$G:$G,MATCH($B152,'DRAFT 1'!$B:$B,0)),"")</f>
        <v/>
      </c>
      <c r="H152" t="str">
        <f>IFERROR(INDEX('DRAFT 1'!$H:$H,MATCH($B152,'DRAFT 1'!$B:$B,0)),"")</f>
        <v/>
      </c>
      <c r="I152" t="str">
        <f>IFERROR(INDEX('DRAFT 1'!$I:$I,MATCH($B152,'DRAFT 1'!$B:$B,0)),"")</f>
        <v/>
      </c>
      <c r="K152" t="str">
        <f>IFERROR(INDEX('DRAFT 1'!$AL:$AL,MATCH($B152,'DRAFT 1'!$B:$B,0)),"")</f>
        <v/>
      </c>
      <c r="L152" t="str">
        <f>IFERROR(INDEX('DRAFT 1'!$J:$J,MATCH($B152,'DRAFT 1'!$B:$B,0)),"")</f>
        <v/>
      </c>
      <c r="M152" t="str">
        <f>IFERROR(INDEX('DRAFT 1'!$K:$K,MATCH($B152,'DRAFT 1'!$B:$B,0)),"")</f>
        <v/>
      </c>
      <c r="P152" t="str">
        <f>IFERROR(INDEX('DRAFT 1'!$L:$L,MATCH($B152,'DRAFT 1'!$B:$B,0)),"")</f>
        <v/>
      </c>
      <c r="Q152" t="str">
        <f>IFERROR(INDEX('DRAFT 1'!$M:$M,MATCH($B152,'DRAFT 1'!$B:$B,0)),"")</f>
        <v/>
      </c>
      <c r="R152" t="str">
        <f>IFERROR(INDEX('DRAFT 1'!$N:$N,MATCH($B152,'DRAFT 1'!$B:$B,0)),"")</f>
        <v/>
      </c>
      <c r="S152" t="str">
        <f>IFERROR(INDEX('DRAFT 1'!$O:$O,MATCH($B152,'DRAFT 1'!$B:$B,0)),"")</f>
        <v/>
      </c>
      <c r="T152" t="str">
        <f>IFERROR(INDEX('DRAFT 1'!$P:$P,MATCH($B152,'DRAFT 1'!$B:$B,0)),"")</f>
        <v/>
      </c>
      <c r="U152" t="str">
        <f>IFERROR(INDEX('DRAFT 1'!$Q:$Q,MATCH($B152,'DRAFT 1'!$B:$B,0)),"")</f>
        <v/>
      </c>
      <c r="V152" t="str">
        <f>IFERROR(INDEX('DRAFT 1'!$R:$R,MATCH($B152,'DRAFT 1'!$B:$B,0)),"")</f>
        <v/>
      </c>
      <c r="W152" t="str">
        <f>IFERROR(INDEX('DRAFT 1'!$S:$S,MATCH($B152,'DRAFT 1'!$B:$B,0)),"")</f>
        <v/>
      </c>
      <c r="X152" t="str">
        <f>IFERROR(INDEX('DRAFT 1'!$T:$T,MATCH($B152,'DRAFT 1'!$B:$B,0)),"")</f>
        <v/>
      </c>
      <c r="Z152" t="str">
        <f>IFERROR(INDEX('DRAFT 1'!$U:$U,MATCH($B152,'DRAFT 1'!$B:$B,0)),"")</f>
        <v/>
      </c>
      <c r="AA152" t="str">
        <f>IFERROR(INDEX('DRAFT 1'!$V:$V,MATCH($B152,'DRAFT 1'!$B:$B,0)),"")</f>
        <v/>
      </c>
      <c r="AB152" t="str">
        <f>IFERROR(INDEX('DRAFT 1'!$W:$W,MATCH($B152,'DRAFT 1'!$B:$B,0)),"")</f>
        <v/>
      </c>
      <c r="AC152" t="str">
        <f>IFERROR(INDEX('DRAFT 1'!$X:$X,MATCH($B152,'DRAFT 1'!$B:$B,0)),"")</f>
        <v/>
      </c>
      <c r="AD152" t="str">
        <f>IFERROR(INDEX('DRAFT 1'!$Y:$Y,MATCH($B152,'DRAFT 1'!$B:$B,0)),"")</f>
        <v/>
      </c>
      <c r="AE152" t="str">
        <f>IFERROR(INDEX('DRAFT 1'!$Z:$Z,MATCH($B152,'DRAFT 1'!$B:$B,0)),"")</f>
        <v/>
      </c>
      <c r="AF152" t="str">
        <f>IFERROR(INDEX('DRAFT 1'!$AA:$AA,MATCH($B152,'DRAFT 1'!$B:$B,0)),"")</f>
        <v/>
      </c>
      <c r="AG152" t="str">
        <f>IFERROR(INDEX('DRAFT 1'!$AB:$AB,MATCH($B152,'DRAFT 1'!$B:$B,0)),"")</f>
        <v/>
      </c>
      <c r="AH152" t="str">
        <f>IFERROR(INDEX('DRAFT 1'!$AC:$AC,MATCH($B152,'DRAFT 1'!$B:$B,0)),"")</f>
        <v/>
      </c>
      <c r="AI152" t="str">
        <f>IFERROR(INDEX('DRAFT 1'!$AD:$AD,MATCH($B152,'DRAFT 1'!$B:$B,0)),"")</f>
        <v/>
      </c>
      <c r="AJ152" t="str">
        <f>IFERROR(INDEX('DRAFT 1'!$AE:$AE,MATCH($B152,'DRAFT 1'!$B:$B,0)),"")</f>
        <v/>
      </c>
      <c r="AK152" t="str">
        <f>IFERROR(INDEX('DRAFT 1'!$AG:$AG,MATCH($B152,'DRAFT 1'!$B:$B,0)),"")</f>
        <v/>
      </c>
      <c r="AL152" t="str">
        <f>IFERROR(INDEX('DRAFT 1'!$AH:$AH,MATCH($B152,'DRAFT 1'!$B:$B,0)),"")</f>
        <v/>
      </c>
      <c r="AM152" t="str">
        <f>IFERROR(INDEX('DRAFT 1'!$AI:$AI,MATCH($B152,'DRAFT 1'!$B:$B,0)),"")</f>
        <v/>
      </c>
      <c r="AN152" t="str">
        <f>IFERROR(INDEX('DRAFT 1'!$AJ:$AJ,MATCH($B152,'DRAFT 1'!$B:$B,0)),"")</f>
        <v/>
      </c>
      <c r="AO152">
        <f t="shared" si="56"/>
        <v>0</v>
      </c>
      <c r="AP152" t="str">
        <f>IFERROR(INDEX('DRAFT 1'!$AK:$AK,MATCH($B152,'DRAFT 1'!$B:$B,0)),"")</f>
        <v/>
      </c>
      <c r="AR152">
        <f>IFERROR(LOOKUP(2,1/('DRAFT 2'!$D:$D=$B152),'DRAFT 2'!$I:$I),"")</f>
        <v>0</v>
      </c>
      <c r="AS152">
        <f>IFERROR(LOOKUP(2,1/('DRAFT 2'!$D:$D=$B152),'DRAFT 2'!$T:$T),"")</f>
        <v>0</v>
      </c>
      <c r="AT152">
        <f>IFERROR(LOOKUP(2,1/('DRAFT 2'!$D:$D=$B152),'DRAFT 2'!$A:$A),"")</f>
        <v>0</v>
      </c>
      <c r="AU152">
        <f>IFERROR(LOOKUP(2,1/('DRAFT 2'!$D:$D=$B152),'DRAFT 2'!$R:$R),"")</f>
        <v>0</v>
      </c>
      <c r="AV152">
        <f>IFERROR(LOOKUP(2,1/('DRAFT 2'!$D:$D=$B152),'DRAFT 2'!$S:$S),"")</f>
        <v>0</v>
      </c>
      <c r="AX152">
        <f>IFERROR(LOOKUP(2,1/('DRAFT 2'!$D:$D=$B152),'DRAFT 2'!$M:$M),"")</f>
        <v>0</v>
      </c>
      <c r="AY152">
        <f>IFERROR(LOOKUP(2,1/('DRAFT 2'!$D:$D=$B152),'DRAFT 2'!$K:$K),"")</f>
        <v>0</v>
      </c>
      <c r="BG152">
        <f>IFERROR(LOOKUP(2,1/('DRAFT 2'!$D:$D=$B152),'DRAFT 2'!$U:$U),"")</f>
        <v>0</v>
      </c>
      <c r="BH152">
        <f>IFERROR(LOOKUP(2,1/('DRAFT 2'!$D:$D=$B152),'DRAFT 2'!$V:$V),"")</f>
        <v>0</v>
      </c>
      <c r="CE152" t="str">
        <f t="shared" si="57"/>
        <v/>
      </c>
      <c r="CF152">
        <f>IFERROR(LOOKUP(2,1/('DRAFT 2'!$D:$D=$B152)*('DRAFT 2'!$A:$A&gt;=DATE(2026,1,1))*('DRAFT 2'!$A:$A&lt;DATE(2026,IF(1=12,1+1,1+1),1)),'DRAFT 2'!$A:$A),"")</f>
        <v>0</v>
      </c>
      <c r="CG152">
        <f>COUNTIFS('DRAFT 2'!$D:$D,$B152,'DRAFT 2'!$A:$A,"&gt;="&amp;DATE(2026,1,1),'DRAFT 2'!$A:$A,"&lt;="&amp;DATE(2026,1,7))</f>
        <v>0</v>
      </c>
      <c r="CH152">
        <f>COUNTIFS('DRAFT 2'!$D:$D,$B152,'DRAFT 2'!$A:$A,"&gt;="&amp;DATE(2026,1,8),'DRAFT 2'!$A:$A,"&lt;="&amp;DATE(2026,1,14))</f>
        <v>0</v>
      </c>
      <c r="CI152">
        <f>COUNTIFS('DRAFT 2'!$D:$D,$B152,'DRAFT 2'!$A:$A,"&gt;="&amp;DATE(2026,1,15),'DRAFT 2'!$A:$A,"&lt;="&amp;DATE(2026,1,21))</f>
        <v>0</v>
      </c>
      <c r="CJ152">
        <f>COUNTIFS('DRAFT 2'!$D:$D,$B152,'DRAFT 2'!$A:$A,"&gt;="&amp;DATE(2026,1,22),'DRAFT 2'!$A:$A,"&lt;"&amp;DATE(2026,IF(1=12,1+1,1+1),1))</f>
        <v>0</v>
      </c>
      <c r="CK152">
        <f t="shared" si="58"/>
        <v>0</v>
      </c>
      <c r="CT152">
        <v>0</v>
      </c>
      <c r="CU152">
        <f>IFERROR(LOOKUP(2,1/('DRAFT 2'!$D:$D=$B152)*('DRAFT 2'!$A:$A&gt;=DATE(2026,2,1))*('DRAFT 2'!$A:$A&lt;DATE(2026,IF(2=12,2+1,2+1),1)),'DRAFT 2'!$A:$A),"")</f>
        <v>0</v>
      </c>
      <c r="CV152">
        <f>COUNTIFS('DRAFT 2'!$D:$D,$B152,'DRAFT 2'!$A:$A,"&gt;="&amp;DATE(2026,2,1),'DRAFT 2'!$A:$A,"&lt;="&amp;DATE(2026,2,7))</f>
        <v>0</v>
      </c>
      <c r="CW152">
        <f>COUNTIFS('DRAFT 2'!$D:$D,$B152,'DRAFT 2'!$A:$A,"&gt;="&amp;DATE(2026,2,8),'DRAFT 2'!$A:$A,"&lt;="&amp;DATE(2026,2,14))</f>
        <v>0</v>
      </c>
      <c r="CX152">
        <f>COUNTIFS('DRAFT 2'!$D:$D,$B152,'DRAFT 2'!$A:$A,"&gt;="&amp;DATE(2026,2,15),'DRAFT 2'!$A:$A,"&lt;="&amp;DATE(2026,2,21))</f>
        <v>0</v>
      </c>
      <c r="CY152">
        <f>COUNTIFS('DRAFT 2'!$D:$D,$B152,'DRAFT 2'!$A:$A,"&gt;="&amp;DATE(2026,2,22),'DRAFT 2'!$A:$A,"&lt;"&amp;DATE(2026,IF(2=12,2+1,2+1),1))</f>
        <v>0</v>
      </c>
      <c r="CZ152">
        <f t="shared" si="59"/>
        <v>0</v>
      </c>
      <c r="DJ152">
        <f>IFERROR(LOOKUP(2,1/('DRAFT 2'!$D:$D=$B152)*('DRAFT 2'!$A:$A&gt;=DATE(2026,3,1))*('DRAFT 2'!$A:$A&lt;DATE(2026,IF(3=12,3+1,3+1),1)),'DRAFT 2'!$A:$A),"")</f>
        <v>0</v>
      </c>
      <c r="DK152">
        <f>COUNTIFS('DRAFT 2'!$D:$D,$B152,'DRAFT 2'!$A:$A,"&gt;="&amp;DATE(2026,3,1),'DRAFT 2'!$A:$A,"&lt;="&amp;DATE(2026,3,7))</f>
        <v>0</v>
      </c>
      <c r="DL152">
        <f>COUNTIFS('DRAFT 2'!$D:$D,$B152,'DRAFT 2'!$A:$A,"&gt;="&amp;DATE(2026,3,8),'DRAFT 2'!$A:$A,"&lt;="&amp;DATE(2026,3,14))</f>
        <v>0</v>
      </c>
      <c r="DM152">
        <f>COUNTIFS('DRAFT 2'!$D:$D,$B152,'DRAFT 2'!$A:$A,"&gt;="&amp;DATE(2026,3,15),'DRAFT 2'!$A:$A,"&lt;="&amp;DATE(2026,3,21))</f>
        <v>0</v>
      </c>
      <c r="DN152">
        <f>COUNTIFS('DRAFT 2'!$D:$D,$B152,'DRAFT 2'!$A:$A,"&gt;="&amp;DATE(2026,3,22),'DRAFT 2'!$A:$A,"&lt;"&amp;DATE(2026,IF(3=12,3+1,3+1),1))</f>
        <v>0</v>
      </c>
      <c r="DO152">
        <f t="shared" si="60"/>
        <v>0</v>
      </c>
      <c r="DZ152">
        <f>IFERROR(LOOKUP(2,1/('DRAFT 2'!$D:$D=$B152)*('DRAFT 2'!$A:$A&gt;=DATE(2026,4,1))*('DRAFT 2'!$A:$A&lt;DATE(2026,IF(4=12,4+1,4+1),1)),'DRAFT 2'!$A:$A),"")</f>
        <v>0</v>
      </c>
      <c r="EA152">
        <f>COUNTIFS('DRAFT 2'!$D:$D,$B152,'DRAFT 2'!$A:$A,"&gt;="&amp;DATE(2026,4,1),'DRAFT 2'!$A:$A,"&lt;="&amp;DATE(2026,4,7))</f>
        <v>0</v>
      </c>
      <c r="EB152">
        <f>COUNTIFS('DRAFT 2'!$D:$D,$B152,'DRAFT 2'!$A:$A,"&gt;="&amp;DATE(2026,4,8),'DRAFT 2'!$A:$A,"&lt;="&amp;DATE(2026,4,14))</f>
        <v>0</v>
      </c>
      <c r="EC152">
        <f>COUNTIFS('DRAFT 2'!$D:$D,$B152,'DRAFT 2'!$A:$A,"&gt;="&amp;DATE(2026,4,15),'DRAFT 2'!$A:$A,"&lt;="&amp;DATE(2026,4,21))</f>
        <v>0</v>
      </c>
      <c r="ED152">
        <f>COUNTIFS('DRAFT 2'!$D:$D,$B152,'DRAFT 2'!$A:$A,"&gt;="&amp;DATE(2026,4,22),'DRAFT 2'!$A:$A,"&lt;"&amp;DATE(2026,IF(4=12,4+1,4+1),1))</f>
        <v>0</v>
      </c>
      <c r="EE152">
        <f t="shared" si="61"/>
        <v>0</v>
      </c>
      <c r="EO152">
        <f>IFERROR(LOOKUP(2,1/('DRAFT 2'!$D:$D=$B152)*('DRAFT 2'!$A:$A&gt;=DATE(2026,5,1))*('DRAFT 2'!$A:$A&lt;DATE(2026,IF(5=12,5+1,5+1),1)),'DRAFT 2'!$A:$A),"")</f>
        <v>0</v>
      </c>
      <c r="EP152">
        <f>COUNTIFS('DRAFT 2'!$D:$D,$B152,'DRAFT 2'!$A:$A,"&gt;="&amp;DATE(2026,5,1),'DRAFT 2'!$A:$A,"&lt;="&amp;DATE(2026,5,7))</f>
        <v>0</v>
      </c>
      <c r="EQ152">
        <f>COUNTIFS('DRAFT 2'!$D:$D,$B152,'DRAFT 2'!$A:$A,"&gt;="&amp;DATE(2026,5,8),'DRAFT 2'!$A:$A,"&lt;="&amp;DATE(2026,5,14))</f>
        <v>0</v>
      </c>
      <c r="ER152">
        <f>COUNTIFS('DRAFT 2'!$D:$D,$B152,'DRAFT 2'!$A:$A,"&gt;="&amp;DATE(2026,5,15),'DRAFT 2'!$A:$A,"&lt;="&amp;DATE(2026,5,21))</f>
        <v>0</v>
      </c>
      <c r="ES152">
        <f>COUNTIFS('DRAFT 2'!$D:$D,$B152,'DRAFT 2'!$A:$A,"&gt;="&amp;DATE(2026,5,22),'DRAFT 2'!$A:$A,"&lt;"&amp;DATE(2026,IF(5=12,5+1,5+1),1))</f>
        <v>0</v>
      </c>
      <c r="ET152">
        <f t="shared" si="62"/>
        <v>0</v>
      </c>
      <c r="FD152">
        <f>IFERROR(LOOKUP(2,1/('DRAFT 2'!$D:$D=$B152)*('DRAFT 2'!$A:$A&gt;=DATE(2026,6,1))*('DRAFT 2'!$A:$A&lt;DATE(2026,IF(6=12,6+1,6+1),1)),'DRAFT 2'!$A:$A),"")</f>
        <v>0</v>
      </c>
      <c r="FE152">
        <f>COUNTIFS('DRAFT 2'!$D:$D,$B152,'DRAFT 2'!$A:$A,"&gt;="&amp;DATE(2026,6,1),'DRAFT 2'!$A:$A,"&lt;="&amp;DATE(2026,6,7))</f>
        <v>0</v>
      </c>
      <c r="FF152">
        <f>COUNTIFS('DRAFT 2'!$D:$D,$B152,'DRAFT 2'!$A:$A,"&gt;="&amp;DATE(2026,6,8),'DRAFT 2'!$A:$A,"&lt;="&amp;DATE(2026,6,14))</f>
        <v>0</v>
      </c>
      <c r="FG152">
        <f>COUNTIFS('DRAFT 2'!$D:$D,$B152,'DRAFT 2'!$A:$A,"&gt;="&amp;DATE(2026,6,15),'DRAFT 2'!$A:$A,"&lt;="&amp;DATE(2026,6,21))</f>
        <v>0</v>
      </c>
      <c r="FH152">
        <f>COUNTIFS('DRAFT 2'!$D:$D,$B152,'DRAFT 2'!$A:$A,"&gt;="&amp;DATE(2026,6,22),'DRAFT 2'!$A:$A,"&lt;"&amp;DATE(2026,IF(6=12,6+1,6+1),1))</f>
        <v>0</v>
      </c>
      <c r="FI152">
        <f t="shared" si="63"/>
        <v>0</v>
      </c>
      <c r="FT152">
        <f>IFERROR(LOOKUP(2,1/('DRAFT 2'!$D:$D=$B152)*('DRAFT 2'!$A:$A&gt;=DATE(2026,7,1))*('DRAFT 2'!$A:$A&lt;DATE(2026,IF(7=12,7+1,7+1),1)),'DRAFT 2'!$A:$A),"")</f>
        <v>0</v>
      </c>
      <c r="FU152">
        <f>COUNTIFS('DRAFT 2'!$D:$D,$B152,'DRAFT 2'!$A:$A,"&gt;="&amp;DATE(2026,7,1),'DRAFT 2'!$A:$A,"&lt;="&amp;DATE(2026,7,7))</f>
        <v>0</v>
      </c>
      <c r="FV152">
        <f>COUNTIFS('DRAFT 2'!$D:$D,$B152,'DRAFT 2'!$A:$A,"&gt;="&amp;DATE(2026,7,8),'DRAFT 2'!$A:$A,"&lt;="&amp;DATE(2026,7,14))</f>
        <v>0</v>
      </c>
      <c r="FW152">
        <f>COUNTIFS('DRAFT 2'!$D:$D,$B152,'DRAFT 2'!$A:$A,"&gt;="&amp;DATE(2026,7,15),'DRAFT 2'!$A:$A,"&lt;="&amp;DATE(2026,7,21))</f>
        <v>0</v>
      </c>
      <c r="FX152">
        <f>COUNTIFS('DRAFT 2'!$D:$D,$B152,'DRAFT 2'!$A:$A,"&gt;="&amp;DATE(2026,7,22),'DRAFT 2'!$A:$A,"&lt;"&amp;DATE(2026,IF(7=12,7+1,7+1),1))</f>
        <v>0</v>
      </c>
      <c r="FY152">
        <f t="shared" si="64"/>
        <v>0</v>
      </c>
      <c r="GI152">
        <f>IFERROR(LOOKUP(2,1/('DRAFT 2'!$D:$D=$B152)*('DRAFT 2'!$A:$A&gt;=DATE(2026,8,1))*('DRAFT 2'!$A:$A&lt;DATE(2026,IF(8=12,8+1,8+1),1)),'DRAFT 2'!$A:$A),"")</f>
        <v>0</v>
      </c>
      <c r="GJ152">
        <f>COUNTIFS('DRAFT 2'!$D:$D,$B152,'DRAFT 2'!$A:$A,"&gt;="&amp;DATE(2026,8,1),'DRAFT 2'!$A:$A,"&lt;="&amp;DATE(2026,8,7))</f>
        <v>0</v>
      </c>
      <c r="GK152">
        <f>COUNTIFS('DRAFT 2'!$D:$D,$B152,'DRAFT 2'!$A:$A,"&gt;="&amp;DATE(2026,8,8),'DRAFT 2'!$A:$A,"&lt;="&amp;DATE(2026,8,14))</f>
        <v>0</v>
      </c>
      <c r="GL152">
        <f>COUNTIFS('DRAFT 2'!$D:$D,$B152,'DRAFT 2'!$A:$A,"&gt;="&amp;DATE(2026,8,15),'DRAFT 2'!$A:$A,"&lt;="&amp;DATE(2026,8,21))</f>
        <v>0</v>
      </c>
      <c r="GM152">
        <f>COUNTIFS('DRAFT 2'!$D:$D,$B152,'DRAFT 2'!$A:$A,"&gt;="&amp;DATE(2026,8,22),'DRAFT 2'!$A:$A,"&lt;"&amp;DATE(2026,IF(8=12,8+1,8+1),1))</f>
        <v>0</v>
      </c>
      <c r="GN152">
        <f t="shared" si="65"/>
        <v>0</v>
      </c>
      <c r="GX152">
        <f>IFERROR(LOOKUP(2,1/('DRAFT 2'!$D:$D=$B152)*('DRAFT 2'!$A:$A&gt;=DATE(2026,9,1))*('DRAFT 2'!$A:$A&lt;DATE(2026,IF(9=12,9+1,9+1),1)),'DRAFT 2'!$A:$A),"")</f>
        <v>0</v>
      </c>
      <c r="GY152">
        <f>COUNTIFS('DRAFT 2'!$D:$D,$B152,'DRAFT 2'!$A:$A,"&gt;="&amp;DATE(2026,9,1),'DRAFT 2'!$A:$A,"&lt;="&amp;DATE(2026,9,7))</f>
        <v>0</v>
      </c>
      <c r="GZ152">
        <f>COUNTIFS('DRAFT 2'!$D:$D,$B152,'DRAFT 2'!$A:$A,"&gt;="&amp;DATE(2026,9,8),'DRAFT 2'!$A:$A,"&lt;="&amp;DATE(2026,9,14))</f>
        <v>0</v>
      </c>
      <c r="HA152">
        <f>COUNTIFS('DRAFT 2'!$D:$D,$B152,'DRAFT 2'!$A:$A,"&gt;="&amp;DATE(2026,9,15),'DRAFT 2'!$A:$A,"&lt;="&amp;DATE(2026,9,21))</f>
        <v>0</v>
      </c>
      <c r="HB152">
        <f>COUNTIFS('DRAFT 2'!$D:$D,$B152,'DRAFT 2'!$A:$A,"&gt;="&amp;DATE(2026,9,22),'DRAFT 2'!$A:$A,"&lt;"&amp;DATE(2026,IF(9=12,9+1,9+1),1))</f>
        <v>0</v>
      </c>
      <c r="HC152">
        <f t="shared" si="66"/>
        <v>0</v>
      </c>
      <c r="HN152">
        <f>IFERROR(LOOKUP(2,1/('DRAFT 2'!$D:$D=$B152)*('DRAFT 2'!$A:$A&gt;=DATE(2026,10,1))*('DRAFT 2'!$A:$A&lt;DATE(2026,IF(10=12,10+1,10+1),1)),'DRAFT 2'!$A:$A),"")</f>
        <v>0</v>
      </c>
      <c r="HO152">
        <f>COUNTIFS('DRAFT 2'!$D:$D,$B152,'DRAFT 2'!$A:$A,"&gt;="&amp;DATE(2026,10,1),'DRAFT 2'!$A:$A,"&lt;="&amp;DATE(2026,10,7))</f>
        <v>0</v>
      </c>
      <c r="HP152">
        <f>COUNTIFS('DRAFT 2'!$D:$D,$B152,'DRAFT 2'!$A:$A,"&gt;="&amp;DATE(2026,10,8),'DRAFT 2'!$A:$A,"&lt;="&amp;DATE(2026,10,14))</f>
        <v>0</v>
      </c>
      <c r="HQ152">
        <f>COUNTIFS('DRAFT 2'!$D:$D,$B152,'DRAFT 2'!$A:$A,"&gt;="&amp;DATE(2026,10,15),'DRAFT 2'!$A:$A,"&lt;="&amp;DATE(2026,10,21))</f>
        <v>0</v>
      </c>
      <c r="HR152">
        <f>COUNTIFS('DRAFT 2'!$D:$D,$B152,'DRAFT 2'!$A:$A,"&gt;="&amp;DATE(2026,10,22),'DRAFT 2'!$A:$A,"&lt;"&amp;DATE(2026,IF(10=12,10+1,10+1),1))</f>
        <v>0</v>
      </c>
      <c r="HS152">
        <f t="shared" si="67"/>
        <v>0</v>
      </c>
      <c r="IC152">
        <f>IFERROR(LOOKUP(2,1/('DRAFT 2'!$D:$D=$B152)*('DRAFT 2'!$A:$A&gt;=DATE(2026,11,1))*('DRAFT 2'!$A:$A&lt;DATE(2026,IF(11=12,11+1,11+1),1)),'DRAFT 2'!$A:$A),"")</f>
        <v>0</v>
      </c>
      <c r="ID152">
        <f>COUNTIFS('DRAFT 2'!$D:$D,$B152,'DRAFT 2'!$A:$A,"&gt;="&amp;DATE(2026,11,1),'DRAFT 2'!$A:$A,"&lt;="&amp;DATE(2026,11,7))</f>
        <v>0</v>
      </c>
      <c r="IE152">
        <f>COUNTIFS('DRAFT 2'!$D:$D,$B152,'DRAFT 2'!$A:$A,"&gt;="&amp;DATE(2026,11,8),'DRAFT 2'!$A:$A,"&lt;="&amp;DATE(2026,11,14))</f>
        <v>0</v>
      </c>
      <c r="IF152">
        <f>COUNTIFS('DRAFT 2'!$D:$D,$B152,'DRAFT 2'!$A:$A,"&gt;="&amp;DATE(2026,11,15),'DRAFT 2'!$A:$A,"&lt;="&amp;DATE(2026,11,21))</f>
        <v>0</v>
      </c>
      <c r="IG152">
        <f>COUNTIFS('DRAFT 2'!$D:$D,$B152,'DRAFT 2'!$A:$A,"&gt;="&amp;DATE(2026,11,22),'DRAFT 2'!$A:$A,"&lt;"&amp;DATE(2026,IF(11=12,11+1,11+1),1))</f>
        <v>0</v>
      </c>
      <c r="IH152">
        <f t="shared" si="68"/>
        <v>0</v>
      </c>
      <c r="IR152">
        <f>IFERROR(LOOKUP(2,1/('DRAFT 2'!$D:$D=$B152)*('DRAFT 2'!$A:$A&gt;=DATE(2026,12,1))*('DRAFT 2'!$A:$A&lt;DATE(2026,IF(12=12,12+1,12+1),1)),'DRAFT 2'!$A:$A),"")</f>
        <v>0</v>
      </c>
      <c r="IS152">
        <f>COUNTIFS('DRAFT 2'!$D:$D,$B152,'DRAFT 2'!$A:$A,"&gt;="&amp;DATE(2026,12,1),'DRAFT 2'!$A:$A,"&lt;="&amp;DATE(2026,12,7))</f>
        <v>0</v>
      </c>
      <c r="IT152">
        <f>COUNTIFS('DRAFT 2'!$D:$D,$B152,'DRAFT 2'!$A:$A,"&gt;="&amp;DATE(2026,12,8),'DRAFT 2'!$A:$A,"&lt;="&amp;DATE(2026,12,14))</f>
        <v>0</v>
      </c>
      <c r="IU152">
        <f>COUNTIFS('DRAFT 2'!$D:$D,$B152,'DRAFT 2'!$A:$A,"&gt;="&amp;DATE(2026,12,15),'DRAFT 2'!$A:$A,"&lt;="&amp;DATE(2026,12,21))</f>
        <v>0</v>
      </c>
      <c r="IV152">
        <f>COUNTIFS('DRAFT 2'!$D:$D,$B152,'DRAFT 2'!$A:$A,"&gt;="&amp;DATE(2026,12,22),'DRAFT 2'!$A:$A,"&lt;"&amp;DATE(2026,IF(12=12,12+1,12+1),1))</f>
        <v>0</v>
      </c>
      <c r="IW152">
        <f t="shared" si="69"/>
        <v>0</v>
      </c>
    </row>
    <row r="153" spans="1:257" x14ac:dyDescent="0.3">
      <c r="A153" t="str">
        <f>IFERROR(INDEX('DRAFT 1'!$A:$A,MATCH($B153,'DRAFT 1'!$B:$B,0)),"")</f>
        <v/>
      </c>
      <c r="C153" t="str">
        <f>IFERROR(INDEX('DRAFT 1'!$C:$C,MATCH($B153,'DRAFT 1'!$B:$B,0)),"")</f>
        <v/>
      </c>
      <c r="D153" t="str">
        <f>IFERROR(INDEX('DRAFT 1'!$D:$D,MATCH($B153,'DRAFT 1'!$B:$B,0)),"")</f>
        <v/>
      </c>
      <c r="E153" t="str">
        <f>IFERROR(INDEX('DRAFT 1'!$E:$E,MATCH($B153,'DRAFT 1'!$B:$B,0)),"")</f>
        <v/>
      </c>
      <c r="F153" t="str">
        <f>IFERROR(INDEX('DRAFT 1'!$F:$F,MATCH($B153,'DRAFT 1'!$B:$B,0)),"")</f>
        <v/>
      </c>
      <c r="G153" t="str">
        <f>IFERROR(INDEX('DRAFT 1'!$G:$G,MATCH($B153,'DRAFT 1'!$B:$B,0)),"")</f>
        <v/>
      </c>
      <c r="H153" t="str">
        <f>IFERROR(INDEX('DRAFT 1'!$H:$H,MATCH($B153,'DRAFT 1'!$B:$B,0)),"")</f>
        <v/>
      </c>
      <c r="I153" t="str">
        <f>IFERROR(INDEX('DRAFT 1'!$I:$I,MATCH($B153,'DRAFT 1'!$B:$B,0)),"")</f>
        <v/>
      </c>
      <c r="K153" t="str">
        <f>IFERROR(INDEX('DRAFT 1'!$AL:$AL,MATCH($B153,'DRAFT 1'!$B:$B,0)),"")</f>
        <v/>
      </c>
      <c r="L153" t="str">
        <f>IFERROR(INDEX('DRAFT 1'!$J:$J,MATCH($B153,'DRAFT 1'!$B:$B,0)),"")</f>
        <v/>
      </c>
      <c r="M153" t="str">
        <f>IFERROR(INDEX('DRAFT 1'!$K:$K,MATCH($B153,'DRAFT 1'!$B:$B,0)),"")</f>
        <v/>
      </c>
      <c r="P153" t="str">
        <f>IFERROR(INDEX('DRAFT 1'!$L:$L,MATCH($B153,'DRAFT 1'!$B:$B,0)),"")</f>
        <v/>
      </c>
      <c r="Q153" t="str">
        <f>IFERROR(INDEX('DRAFT 1'!$M:$M,MATCH($B153,'DRAFT 1'!$B:$B,0)),"")</f>
        <v/>
      </c>
      <c r="R153" t="str">
        <f>IFERROR(INDEX('DRAFT 1'!$N:$N,MATCH($B153,'DRAFT 1'!$B:$B,0)),"")</f>
        <v/>
      </c>
      <c r="S153" t="str">
        <f>IFERROR(INDEX('DRAFT 1'!$O:$O,MATCH($B153,'DRAFT 1'!$B:$B,0)),"")</f>
        <v/>
      </c>
      <c r="T153" t="str">
        <f>IFERROR(INDEX('DRAFT 1'!$P:$P,MATCH($B153,'DRAFT 1'!$B:$B,0)),"")</f>
        <v/>
      </c>
      <c r="U153" t="str">
        <f>IFERROR(INDEX('DRAFT 1'!$Q:$Q,MATCH($B153,'DRAFT 1'!$B:$B,0)),"")</f>
        <v/>
      </c>
      <c r="V153" t="str">
        <f>IFERROR(INDEX('DRAFT 1'!$R:$R,MATCH($B153,'DRAFT 1'!$B:$B,0)),"")</f>
        <v/>
      </c>
      <c r="W153" t="str">
        <f>IFERROR(INDEX('DRAFT 1'!$S:$S,MATCH($B153,'DRAFT 1'!$B:$B,0)),"")</f>
        <v/>
      </c>
      <c r="X153" t="str">
        <f>IFERROR(INDEX('DRAFT 1'!$T:$T,MATCH($B153,'DRAFT 1'!$B:$B,0)),"")</f>
        <v/>
      </c>
      <c r="Z153" t="str">
        <f>IFERROR(INDEX('DRAFT 1'!$U:$U,MATCH($B153,'DRAFT 1'!$B:$B,0)),"")</f>
        <v/>
      </c>
      <c r="AA153" t="str">
        <f>IFERROR(INDEX('DRAFT 1'!$V:$V,MATCH($B153,'DRAFT 1'!$B:$B,0)),"")</f>
        <v/>
      </c>
      <c r="AB153" t="str">
        <f>IFERROR(INDEX('DRAFT 1'!$W:$W,MATCH($B153,'DRAFT 1'!$B:$B,0)),"")</f>
        <v/>
      </c>
      <c r="AC153" t="str">
        <f>IFERROR(INDEX('DRAFT 1'!$X:$X,MATCH($B153,'DRAFT 1'!$B:$B,0)),"")</f>
        <v/>
      </c>
      <c r="AD153" t="str">
        <f>IFERROR(INDEX('DRAFT 1'!$Y:$Y,MATCH($B153,'DRAFT 1'!$B:$B,0)),"")</f>
        <v/>
      </c>
      <c r="AE153" t="str">
        <f>IFERROR(INDEX('DRAFT 1'!$Z:$Z,MATCH($B153,'DRAFT 1'!$B:$B,0)),"")</f>
        <v/>
      </c>
      <c r="AF153" t="str">
        <f>IFERROR(INDEX('DRAFT 1'!$AA:$AA,MATCH($B153,'DRAFT 1'!$B:$B,0)),"")</f>
        <v/>
      </c>
      <c r="AG153" t="str">
        <f>IFERROR(INDEX('DRAFT 1'!$AB:$AB,MATCH($B153,'DRAFT 1'!$B:$B,0)),"")</f>
        <v/>
      </c>
      <c r="AH153" t="str">
        <f>IFERROR(INDEX('DRAFT 1'!$AC:$AC,MATCH($B153,'DRAFT 1'!$B:$B,0)),"")</f>
        <v/>
      </c>
      <c r="AI153" t="str">
        <f>IFERROR(INDEX('DRAFT 1'!$AD:$AD,MATCH($B153,'DRAFT 1'!$B:$B,0)),"")</f>
        <v/>
      </c>
      <c r="AJ153" t="str">
        <f>IFERROR(INDEX('DRAFT 1'!$AE:$AE,MATCH($B153,'DRAFT 1'!$B:$B,0)),"")</f>
        <v/>
      </c>
      <c r="AK153" t="str">
        <f>IFERROR(INDEX('DRAFT 1'!$AG:$AG,MATCH($B153,'DRAFT 1'!$B:$B,0)),"")</f>
        <v/>
      </c>
      <c r="AL153" t="str">
        <f>IFERROR(INDEX('DRAFT 1'!$AH:$AH,MATCH($B153,'DRAFT 1'!$B:$B,0)),"")</f>
        <v/>
      </c>
      <c r="AM153" t="str">
        <f>IFERROR(INDEX('DRAFT 1'!$AI:$AI,MATCH($B153,'DRAFT 1'!$B:$B,0)),"")</f>
        <v/>
      </c>
      <c r="AN153" t="str">
        <f>IFERROR(INDEX('DRAFT 1'!$AJ:$AJ,MATCH($B153,'DRAFT 1'!$B:$B,0)),"")</f>
        <v/>
      </c>
      <c r="AO153">
        <f t="shared" si="56"/>
        <v>0</v>
      </c>
      <c r="AP153" t="str">
        <f>IFERROR(INDEX('DRAFT 1'!$AK:$AK,MATCH($B153,'DRAFT 1'!$B:$B,0)),"")</f>
        <v/>
      </c>
      <c r="AR153">
        <f>IFERROR(LOOKUP(2,1/('DRAFT 2'!$D:$D=$B153),'DRAFT 2'!$I:$I),"")</f>
        <v>0</v>
      </c>
      <c r="AS153">
        <f>IFERROR(LOOKUP(2,1/('DRAFT 2'!$D:$D=$B153),'DRAFT 2'!$T:$T),"")</f>
        <v>0</v>
      </c>
      <c r="AT153">
        <f>IFERROR(LOOKUP(2,1/('DRAFT 2'!$D:$D=$B153),'DRAFT 2'!$A:$A),"")</f>
        <v>0</v>
      </c>
      <c r="AU153">
        <f>IFERROR(LOOKUP(2,1/('DRAFT 2'!$D:$D=$B153),'DRAFT 2'!$R:$R),"")</f>
        <v>0</v>
      </c>
      <c r="AV153">
        <f>IFERROR(LOOKUP(2,1/('DRAFT 2'!$D:$D=$B153),'DRAFT 2'!$S:$S),"")</f>
        <v>0</v>
      </c>
      <c r="AX153">
        <f>IFERROR(LOOKUP(2,1/('DRAFT 2'!$D:$D=$B153),'DRAFT 2'!$M:$M),"")</f>
        <v>0</v>
      </c>
      <c r="AY153">
        <f>IFERROR(LOOKUP(2,1/('DRAFT 2'!$D:$D=$B153),'DRAFT 2'!$K:$K),"")</f>
        <v>0</v>
      </c>
      <c r="BG153">
        <f>IFERROR(LOOKUP(2,1/('DRAFT 2'!$D:$D=$B153),'DRAFT 2'!$U:$U),"")</f>
        <v>0</v>
      </c>
      <c r="BH153">
        <f>IFERROR(LOOKUP(2,1/('DRAFT 2'!$D:$D=$B153),'DRAFT 2'!$V:$V),"")</f>
        <v>0</v>
      </c>
      <c r="CE153" t="str">
        <f t="shared" si="57"/>
        <v/>
      </c>
      <c r="CF153">
        <f>IFERROR(LOOKUP(2,1/('DRAFT 2'!$D:$D=$B153)*('DRAFT 2'!$A:$A&gt;=DATE(2026,1,1))*('DRAFT 2'!$A:$A&lt;DATE(2026,IF(1=12,1+1,1+1),1)),'DRAFT 2'!$A:$A),"")</f>
        <v>0</v>
      </c>
      <c r="CG153">
        <f>COUNTIFS('DRAFT 2'!$D:$D,$B153,'DRAFT 2'!$A:$A,"&gt;="&amp;DATE(2026,1,1),'DRAFT 2'!$A:$A,"&lt;="&amp;DATE(2026,1,7))</f>
        <v>0</v>
      </c>
      <c r="CH153">
        <f>COUNTIFS('DRAFT 2'!$D:$D,$B153,'DRAFT 2'!$A:$A,"&gt;="&amp;DATE(2026,1,8),'DRAFT 2'!$A:$A,"&lt;="&amp;DATE(2026,1,14))</f>
        <v>0</v>
      </c>
      <c r="CI153">
        <f>COUNTIFS('DRAFT 2'!$D:$D,$B153,'DRAFT 2'!$A:$A,"&gt;="&amp;DATE(2026,1,15),'DRAFT 2'!$A:$A,"&lt;="&amp;DATE(2026,1,21))</f>
        <v>0</v>
      </c>
      <c r="CJ153">
        <f>COUNTIFS('DRAFT 2'!$D:$D,$B153,'DRAFT 2'!$A:$A,"&gt;="&amp;DATE(2026,1,22),'DRAFT 2'!$A:$A,"&lt;"&amp;DATE(2026,IF(1=12,1+1,1+1),1))</f>
        <v>0</v>
      </c>
      <c r="CK153">
        <f t="shared" si="58"/>
        <v>0</v>
      </c>
      <c r="CT153">
        <v>0</v>
      </c>
      <c r="CU153">
        <f>IFERROR(LOOKUP(2,1/('DRAFT 2'!$D:$D=$B153)*('DRAFT 2'!$A:$A&gt;=DATE(2026,2,1))*('DRAFT 2'!$A:$A&lt;DATE(2026,IF(2=12,2+1,2+1),1)),'DRAFT 2'!$A:$A),"")</f>
        <v>0</v>
      </c>
      <c r="CV153">
        <f>COUNTIFS('DRAFT 2'!$D:$D,$B153,'DRAFT 2'!$A:$A,"&gt;="&amp;DATE(2026,2,1),'DRAFT 2'!$A:$A,"&lt;="&amp;DATE(2026,2,7))</f>
        <v>0</v>
      </c>
      <c r="CW153">
        <f>COUNTIFS('DRAFT 2'!$D:$D,$B153,'DRAFT 2'!$A:$A,"&gt;="&amp;DATE(2026,2,8),'DRAFT 2'!$A:$A,"&lt;="&amp;DATE(2026,2,14))</f>
        <v>0</v>
      </c>
      <c r="CX153">
        <f>COUNTIFS('DRAFT 2'!$D:$D,$B153,'DRAFT 2'!$A:$A,"&gt;="&amp;DATE(2026,2,15),'DRAFT 2'!$A:$A,"&lt;="&amp;DATE(2026,2,21))</f>
        <v>0</v>
      </c>
      <c r="CY153">
        <f>COUNTIFS('DRAFT 2'!$D:$D,$B153,'DRAFT 2'!$A:$A,"&gt;="&amp;DATE(2026,2,22),'DRAFT 2'!$A:$A,"&lt;"&amp;DATE(2026,IF(2=12,2+1,2+1),1))</f>
        <v>0</v>
      </c>
      <c r="CZ153">
        <f t="shared" si="59"/>
        <v>0</v>
      </c>
      <c r="DJ153">
        <f>IFERROR(LOOKUP(2,1/('DRAFT 2'!$D:$D=$B153)*('DRAFT 2'!$A:$A&gt;=DATE(2026,3,1))*('DRAFT 2'!$A:$A&lt;DATE(2026,IF(3=12,3+1,3+1),1)),'DRAFT 2'!$A:$A),"")</f>
        <v>0</v>
      </c>
      <c r="DK153">
        <f>COUNTIFS('DRAFT 2'!$D:$D,$B153,'DRAFT 2'!$A:$A,"&gt;="&amp;DATE(2026,3,1),'DRAFT 2'!$A:$A,"&lt;="&amp;DATE(2026,3,7))</f>
        <v>0</v>
      </c>
      <c r="DL153">
        <f>COUNTIFS('DRAFT 2'!$D:$D,$B153,'DRAFT 2'!$A:$A,"&gt;="&amp;DATE(2026,3,8),'DRAFT 2'!$A:$A,"&lt;="&amp;DATE(2026,3,14))</f>
        <v>0</v>
      </c>
      <c r="DM153">
        <f>COUNTIFS('DRAFT 2'!$D:$D,$B153,'DRAFT 2'!$A:$A,"&gt;="&amp;DATE(2026,3,15),'DRAFT 2'!$A:$A,"&lt;="&amp;DATE(2026,3,21))</f>
        <v>0</v>
      </c>
      <c r="DN153">
        <f>COUNTIFS('DRAFT 2'!$D:$D,$B153,'DRAFT 2'!$A:$A,"&gt;="&amp;DATE(2026,3,22),'DRAFT 2'!$A:$A,"&lt;"&amp;DATE(2026,IF(3=12,3+1,3+1),1))</f>
        <v>0</v>
      </c>
      <c r="DO153">
        <f t="shared" si="60"/>
        <v>0</v>
      </c>
      <c r="DZ153">
        <f>IFERROR(LOOKUP(2,1/('DRAFT 2'!$D:$D=$B153)*('DRAFT 2'!$A:$A&gt;=DATE(2026,4,1))*('DRAFT 2'!$A:$A&lt;DATE(2026,IF(4=12,4+1,4+1),1)),'DRAFT 2'!$A:$A),"")</f>
        <v>0</v>
      </c>
      <c r="EA153">
        <f>COUNTIFS('DRAFT 2'!$D:$D,$B153,'DRAFT 2'!$A:$A,"&gt;="&amp;DATE(2026,4,1),'DRAFT 2'!$A:$A,"&lt;="&amp;DATE(2026,4,7))</f>
        <v>0</v>
      </c>
      <c r="EB153">
        <f>COUNTIFS('DRAFT 2'!$D:$D,$B153,'DRAFT 2'!$A:$A,"&gt;="&amp;DATE(2026,4,8),'DRAFT 2'!$A:$A,"&lt;="&amp;DATE(2026,4,14))</f>
        <v>0</v>
      </c>
      <c r="EC153">
        <f>COUNTIFS('DRAFT 2'!$D:$D,$B153,'DRAFT 2'!$A:$A,"&gt;="&amp;DATE(2026,4,15),'DRAFT 2'!$A:$A,"&lt;="&amp;DATE(2026,4,21))</f>
        <v>0</v>
      </c>
      <c r="ED153">
        <f>COUNTIFS('DRAFT 2'!$D:$D,$B153,'DRAFT 2'!$A:$A,"&gt;="&amp;DATE(2026,4,22),'DRAFT 2'!$A:$A,"&lt;"&amp;DATE(2026,IF(4=12,4+1,4+1),1))</f>
        <v>0</v>
      </c>
      <c r="EE153">
        <f t="shared" si="61"/>
        <v>0</v>
      </c>
      <c r="EO153">
        <f>IFERROR(LOOKUP(2,1/('DRAFT 2'!$D:$D=$B153)*('DRAFT 2'!$A:$A&gt;=DATE(2026,5,1))*('DRAFT 2'!$A:$A&lt;DATE(2026,IF(5=12,5+1,5+1),1)),'DRAFT 2'!$A:$A),"")</f>
        <v>0</v>
      </c>
      <c r="EP153">
        <f>COUNTIFS('DRAFT 2'!$D:$D,$B153,'DRAFT 2'!$A:$A,"&gt;="&amp;DATE(2026,5,1),'DRAFT 2'!$A:$A,"&lt;="&amp;DATE(2026,5,7))</f>
        <v>0</v>
      </c>
      <c r="EQ153">
        <f>COUNTIFS('DRAFT 2'!$D:$D,$B153,'DRAFT 2'!$A:$A,"&gt;="&amp;DATE(2026,5,8),'DRAFT 2'!$A:$A,"&lt;="&amp;DATE(2026,5,14))</f>
        <v>0</v>
      </c>
      <c r="ER153">
        <f>COUNTIFS('DRAFT 2'!$D:$D,$B153,'DRAFT 2'!$A:$A,"&gt;="&amp;DATE(2026,5,15),'DRAFT 2'!$A:$A,"&lt;="&amp;DATE(2026,5,21))</f>
        <v>0</v>
      </c>
      <c r="ES153">
        <f>COUNTIFS('DRAFT 2'!$D:$D,$B153,'DRAFT 2'!$A:$A,"&gt;="&amp;DATE(2026,5,22),'DRAFT 2'!$A:$A,"&lt;"&amp;DATE(2026,IF(5=12,5+1,5+1),1))</f>
        <v>0</v>
      </c>
      <c r="ET153">
        <f t="shared" si="62"/>
        <v>0</v>
      </c>
      <c r="FD153">
        <f>IFERROR(LOOKUP(2,1/('DRAFT 2'!$D:$D=$B153)*('DRAFT 2'!$A:$A&gt;=DATE(2026,6,1))*('DRAFT 2'!$A:$A&lt;DATE(2026,IF(6=12,6+1,6+1),1)),'DRAFT 2'!$A:$A),"")</f>
        <v>0</v>
      </c>
      <c r="FE153">
        <f>COUNTIFS('DRAFT 2'!$D:$D,$B153,'DRAFT 2'!$A:$A,"&gt;="&amp;DATE(2026,6,1),'DRAFT 2'!$A:$A,"&lt;="&amp;DATE(2026,6,7))</f>
        <v>0</v>
      </c>
      <c r="FF153">
        <f>COUNTIFS('DRAFT 2'!$D:$D,$B153,'DRAFT 2'!$A:$A,"&gt;="&amp;DATE(2026,6,8),'DRAFT 2'!$A:$A,"&lt;="&amp;DATE(2026,6,14))</f>
        <v>0</v>
      </c>
      <c r="FG153">
        <f>COUNTIFS('DRAFT 2'!$D:$D,$B153,'DRAFT 2'!$A:$A,"&gt;="&amp;DATE(2026,6,15),'DRAFT 2'!$A:$A,"&lt;="&amp;DATE(2026,6,21))</f>
        <v>0</v>
      </c>
      <c r="FH153">
        <f>COUNTIFS('DRAFT 2'!$D:$D,$B153,'DRAFT 2'!$A:$A,"&gt;="&amp;DATE(2026,6,22),'DRAFT 2'!$A:$A,"&lt;"&amp;DATE(2026,IF(6=12,6+1,6+1),1))</f>
        <v>0</v>
      </c>
      <c r="FI153">
        <f t="shared" si="63"/>
        <v>0</v>
      </c>
      <c r="FT153">
        <f>IFERROR(LOOKUP(2,1/('DRAFT 2'!$D:$D=$B153)*('DRAFT 2'!$A:$A&gt;=DATE(2026,7,1))*('DRAFT 2'!$A:$A&lt;DATE(2026,IF(7=12,7+1,7+1),1)),'DRAFT 2'!$A:$A),"")</f>
        <v>0</v>
      </c>
      <c r="FU153">
        <f>COUNTIFS('DRAFT 2'!$D:$D,$B153,'DRAFT 2'!$A:$A,"&gt;="&amp;DATE(2026,7,1),'DRAFT 2'!$A:$A,"&lt;="&amp;DATE(2026,7,7))</f>
        <v>0</v>
      </c>
      <c r="FV153">
        <f>COUNTIFS('DRAFT 2'!$D:$D,$B153,'DRAFT 2'!$A:$A,"&gt;="&amp;DATE(2026,7,8),'DRAFT 2'!$A:$A,"&lt;="&amp;DATE(2026,7,14))</f>
        <v>0</v>
      </c>
      <c r="FW153">
        <f>COUNTIFS('DRAFT 2'!$D:$D,$B153,'DRAFT 2'!$A:$A,"&gt;="&amp;DATE(2026,7,15),'DRAFT 2'!$A:$A,"&lt;="&amp;DATE(2026,7,21))</f>
        <v>0</v>
      </c>
      <c r="FX153">
        <f>COUNTIFS('DRAFT 2'!$D:$D,$B153,'DRAFT 2'!$A:$A,"&gt;="&amp;DATE(2026,7,22),'DRAFT 2'!$A:$A,"&lt;"&amp;DATE(2026,IF(7=12,7+1,7+1),1))</f>
        <v>0</v>
      </c>
      <c r="FY153">
        <f t="shared" si="64"/>
        <v>0</v>
      </c>
      <c r="GI153">
        <f>IFERROR(LOOKUP(2,1/('DRAFT 2'!$D:$D=$B153)*('DRAFT 2'!$A:$A&gt;=DATE(2026,8,1))*('DRAFT 2'!$A:$A&lt;DATE(2026,IF(8=12,8+1,8+1),1)),'DRAFT 2'!$A:$A),"")</f>
        <v>0</v>
      </c>
      <c r="GJ153">
        <f>COUNTIFS('DRAFT 2'!$D:$D,$B153,'DRAFT 2'!$A:$A,"&gt;="&amp;DATE(2026,8,1),'DRAFT 2'!$A:$A,"&lt;="&amp;DATE(2026,8,7))</f>
        <v>0</v>
      </c>
      <c r="GK153">
        <f>COUNTIFS('DRAFT 2'!$D:$D,$B153,'DRAFT 2'!$A:$A,"&gt;="&amp;DATE(2026,8,8),'DRAFT 2'!$A:$A,"&lt;="&amp;DATE(2026,8,14))</f>
        <v>0</v>
      </c>
      <c r="GL153">
        <f>COUNTIFS('DRAFT 2'!$D:$D,$B153,'DRAFT 2'!$A:$A,"&gt;="&amp;DATE(2026,8,15),'DRAFT 2'!$A:$A,"&lt;="&amp;DATE(2026,8,21))</f>
        <v>0</v>
      </c>
      <c r="GM153">
        <f>COUNTIFS('DRAFT 2'!$D:$D,$B153,'DRAFT 2'!$A:$A,"&gt;="&amp;DATE(2026,8,22),'DRAFT 2'!$A:$A,"&lt;"&amp;DATE(2026,IF(8=12,8+1,8+1),1))</f>
        <v>0</v>
      </c>
      <c r="GN153">
        <f t="shared" si="65"/>
        <v>0</v>
      </c>
      <c r="GX153">
        <f>IFERROR(LOOKUP(2,1/('DRAFT 2'!$D:$D=$B153)*('DRAFT 2'!$A:$A&gt;=DATE(2026,9,1))*('DRAFT 2'!$A:$A&lt;DATE(2026,IF(9=12,9+1,9+1),1)),'DRAFT 2'!$A:$A),"")</f>
        <v>0</v>
      </c>
      <c r="GY153">
        <f>COUNTIFS('DRAFT 2'!$D:$D,$B153,'DRAFT 2'!$A:$A,"&gt;="&amp;DATE(2026,9,1),'DRAFT 2'!$A:$A,"&lt;="&amp;DATE(2026,9,7))</f>
        <v>0</v>
      </c>
      <c r="GZ153">
        <f>COUNTIFS('DRAFT 2'!$D:$D,$B153,'DRAFT 2'!$A:$A,"&gt;="&amp;DATE(2026,9,8),'DRAFT 2'!$A:$A,"&lt;="&amp;DATE(2026,9,14))</f>
        <v>0</v>
      </c>
      <c r="HA153">
        <f>COUNTIFS('DRAFT 2'!$D:$D,$B153,'DRAFT 2'!$A:$A,"&gt;="&amp;DATE(2026,9,15),'DRAFT 2'!$A:$A,"&lt;="&amp;DATE(2026,9,21))</f>
        <v>0</v>
      </c>
      <c r="HB153">
        <f>COUNTIFS('DRAFT 2'!$D:$D,$B153,'DRAFT 2'!$A:$A,"&gt;="&amp;DATE(2026,9,22),'DRAFT 2'!$A:$A,"&lt;"&amp;DATE(2026,IF(9=12,9+1,9+1),1))</f>
        <v>0</v>
      </c>
      <c r="HC153">
        <f t="shared" si="66"/>
        <v>0</v>
      </c>
      <c r="HN153">
        <f>IFERROR(LOOKUP(2,1/('DRAFT 2'!$D:$D=$B153)*('DRAFT 2'!$A:$A&gt;=DATE(2026,10,1))*('DRAFT 2'!$A:$A&lt;DATE(2026,IF(10=12,10+1,10+1),1)),'DRAFT 2'!$A:$A),"")</f>
        <v>0</v>
      </c>
      <c r="HO153">
        <f>COUNTIFS('DRAFT 2'!$D:$D,$B153,'DRAFT 2'!$A:$A,"&gt;="&amp;DATE(2026,10,1),'DRAFT 2'!$A:$A,"&lt;="&amp;DATE(2026,10,7))</f>
        <v>0</v>
      </c>
      <c r="HP153">
        <f>COUNTIFS('DRAFT 2'!$D:$D,$B153,'DRAFT 2'!$A:$A,"&gt;="&amp;DATE(2026,10,8),'DRAFT 2'!$A:$A,"&lt;="&amp;DATE(2026,10,14))</f>
        <v>0</v>
      </c>
      <c r="HQ153">
        <f>COUNTIFS('DRAFT 2'!$D:$D,$B153,'DRAFT 2'!$A:$A,"&gt;="&amp;DATE(2026,10,15),'DRAFT 2'!$A:$A,"&lt;="&amp;DATE(2026,10,21))</f>
        <v>0</v>
      </c>
      <c r="HR153">
        <f>COUNTIFS('DRAFT 2'!$D:$D,$B153,'DRAFT 2'!$A:$A,"&gt;="&amp;DATE(2026,10,22),'DRAFT 2'!$A:$A,"&lt;"&amp;DATE(2026,IF(10=12,10+1,10+1),1))</f>
        <v>0</v>
      </c>
      <c r="HS153">
        <f t="shared" si="67"/>
        <v>0</v>
      </c>
      <c r="IC153">
        <f>IFERROR(LOOKUP(2,1/('DRAFT 2'!$D:$D=$B153)*('DRAFT 2'!$A:$A&gt;=DATE(2026,11,1))*('DRAFT 2'!$A:$A&lt;DATE(2026,IF(11=12,11+1,11+1),1)),'DRAFT 2'!$A:$A),"")</f>
        <v>0</v>
      </c>
      <c r="ID153">
        <f>COUNTIFS('DRAFT 2'!$D:$D,$B153,'DRAFT 2'!$A:$A,"&gt;="&amp;DATE(2026,11,1),'DRAFT 2'!$A:$A,"&lt;="&amp;DATE(2026,11,7))</f>
        <v>0</v>
      </c>
      <c r="IE153">
        <f>COUNTIFS('DRAFT 2'!$D:$D,$B153,'DRAFT 2'!$A:$A,"&gt;="&amp;DATE(2026,11,8),'DRAFT 2'!$A:$A,"&lt;="&amp;DATE(2026,11,14))</f>
        <v>0</v>
      </c>
      <c r="IF153">
        <f>COUNTIFS('DRAFT 2'!$D:$D,$B153,'DRAFT 2'!$A:$A,"&gt;="&amp;DATE(2026,11,15),'DRAFT 2'!$A:$A,"&lt;="&amp;DATE(2026,11,21))</f>
        <v>0</v>
      </c>
      <c r="IG153">
        <f>COUNTIFS('DRAFT 2'!$D:$D,$B153,'DRAFT 2'!$A:$A,"&gt;="&amp;DATE(2026,11,22),'DRAFT 2'!$A:$A,"&lt;"&amp;DATE(2026,IF(11=12,11+1,11+1),1))</f>
        <v>0</v>
      </c>
      <c r="IH153">
        <f t="shared" si="68"/>
        <v>0</v>
      </c>
      <c r="IR153">
        <f>IFERROR(LOOKUP(2,1/('DRAFT 2'!$D:$D=$B153)*('DRAFT 2'!$A:$A&gt;=DATE(2026,12,1))*('DRAFT 2'!$A:$A&lt;DATE(2026,IF(12=12,12+1,12+1),1)),'DRAFT 2'!$A:$A),"")</f>
        <v>0</v>
      </c>
      <c r="IS153">
        <f>COUNTIFS('DRAFT 2'!$D:$D,$B153,'DRAFT 2'!$A:$A,"&gt;="&amp;DATE(2026,12,1),'DRAFT 2'!$A:$A,"&lt;="&amp;DATE(2026,12,7))</f>
        <v>0</v>
      </c>
      <c r="IT153">
        <f>COUNTIFS('DRAFT 2'!$D:$D,$B153,'DRAFT 2'!$A:$A,"&gt;="&amp;DATE(2026,12,8),'DRAFT 2'!$A:$A,"&lt;="&amp;DATE(2026,12,14))</f>
        <v>0</v>
      </c>
      <c r="IU153">
        <f>COUNTIFS('DRAFT 2'!$D:$D,$B153,'DRAFT 2'!$A:$A,"&gt;="&amp;DATE(2026,12,15),'DRAFT 2'!$A:$A,"&lt;="&amp;DATE(2026,12,21))</f>
        <v>0</v>
      </c>
      <c r="IV153">
        <f>COUNTIFS('DRAFT 2'!$D:$D,$B153,'DRAFT 2'!$A:$A,"&gt;="&amp;DATE(2026,12,22),'DRAFT 2'!$A:$A,"&lt;"&amp;DATE(2026,IF(12=12,12+1,12+1),1))</f>
        <v>0</v>
      </c>
      <c r="IW153">
        <f t="shared" si="69"/>
        <v>0</v>
      </c>
    </row>
    <row r="154" spans="1:257" x14ac:dyDescent="0.3">
      <c r="A154" t="str">
        <f>IFERROR(INDEX('DRAFT 1'!$A:$A,MATCH($B154,'DRAFT 1'!$B:$B,0)),"")</f>
        <v/>
      </c>
      <c r="C154" t="str">
        <f>IFERROR(INDEX('DRAFT 1'!$C:$C,MATCH($B154,'DRAFT 1'!$B:$B,0)),"")</f>
        <v/>
      </c>
      <c r="D154" t="str">
        <f>IFERROR(INDEX('DRAFT 1'!$D:$D,MATCH($B154,'DRAFT 1'!$B:$B,0)),"")</f>
        <v/>
      </c>
      <c r="E154" t="str">
        <f>IFERROR(INDEX('DRAFT 1'!$E:$E,MATCH($B154,'DRAFT 1'!$B:$B,0)),"")</f>
        <v/>
      </c>
      <c r="F154" t="str">
        <f>IFERROR(INDEX('DRAFT 1'!$F:$F,MATCH($B154,'DRAFT 1'!$B:$B,0)),"")</f>
        <v/>
      </c>
      <c r="G154" t="str">
        <f>IFERROR(INDEX('DRAFT 1'!$G:$G,MATCH($B154,'DRAFT 1'!$B:$B,0)),"")</f>
        <v/>
      </c>
      <c r="H154" t="str">
        <f>IFERROR(INDEX('DRAFT 1'!$H:$H,MATCH($B154,'DRAFT 1'!$B:$B,0)),"")</f>
        <v/>
      </c>
      <c r="I154" t="str">
        <f>IFERROR(INDEX('DRAFT 1'!$I:$I,MATCH($B154,'DRAFT 1'!$B:$B,0)),"")</f>
        <v/>
      </c>
      <c r="K154" t="str">
        <f>IFERROR(INDEX('DRAFT 1'!$AL:$AL,MATCH($B154,'DRAFT 1'!$B:$B,0)),"")</f>
        <v/>
      </c>
      <c r="L154" t="str">
        <f>IFERROR(INDEX('DRAFT 1'!$J:$J,MATCH($B154,'DRAFT 1'!$B:$B,0)),"")</f>
        <v/>
      </c>
      <c r="M154" t="str">
        <f>IFERROR(INDEX('DRAFT 1'!$K:$K,MATCH($B154,'DRAFT 1'!$B:$B,0)),"")</f>
        <v/>
      </c>
      <c r="P154" t="str">
        <f>IFERROR(INDEX('DRAFT 1'!$L:$L,MATCH($B154,'DRAFT 1'!$B:$B,0)),"")</f>
        <v/>
      </c>
      <c r="Q154" t="str">
        <f>IFERROR(INDEX('DRAFT 1'!$M:$M,MATCH($B154,'DRAFT 1'!$B:$B,0)),"")</f>
        <v/>
      </c>
      <c r="R154" t="str">
        <f>IFERROR(INDEX('DRAFT 1'!$N:$N,MATCH($B154,'DRAFT 1'!$B:$B,0)),"")</f>
        <v/>
      </c>
      <c r="S154" t="str">
        <f>IFERROR(INDEX('DRAFT 1'!$O:$O,MATCH($B154,'DRAFT 1'!$B:$B,0)),"")</f>
        <v/>
      </c>
      <c r="T154" t="str">
        <f>IFERROR(INDEX('DRAFT 1'!$P:$P,MATCH($B154,'DRAFT 1'!$B:$B,0)),"")</f>
        <v/>
      </c>
      <c r="U154" t="str">
        <f>IFERROR(INDEX('DRAFT 1'!$Q:$Q,MATCH($B154,'DRAFT 1'!$B:$B,0)),"")</f>
        <v/>
      </c>
      <c r="V154" t="str">
        <f>IFERROR(INDEX('DRAFT 1'!$R:$R,MATCH($B154,'DRAFT 1'!$B:$B,0)),"")</f>
        <v/>
      </c>
      <c r="W154" t="str">
        <f>IFERROR(INDEX('DRAFT 1'!$S:$S,MATCH($B154,'DRAFT 1'!$B:$B,0)),"")</f>
        <v/>
      </c>
      <c r="X154" t="str">
        <f>IFERROR(INDEX('DRAFT 1'!$T:$T,MATCH($B154,'DRAFT 1'!$B:$B,0)),"")</f>
        <v/>
      </c>
      <c r="Z154" t="str">
        <f>IFERROR(INDEX('DRAFT 1'!$U:$U,MATCH($B154,'DRAFT 1'!$B:$B,0)),"")</f>
        <v/>
      </c>
      <c r="AA154" t="str">
        <f>IFERROR(INDEX('DRAFT 1'!$V:$V,MATCH($B154,'DRAFT 1'!$B:$B,0)),"")</f>
        <v/>
      </c>
      <c r="AB154" t="str">
        <f>IFERROR(INDEX('DRAFT 1'!$W:$W,MATCH($B154,'DRAFT 1'!$B:$B,0)),"")</f>
        <v/>
      </c>
      <c r="AC154" t="str">
        <f>IFERROR(INDEX('DRAFT 1'!$X:$X,MATCH($B154,'DRAFT 1'!$B:$B,0)),"")</f>
        <v/>
      </c>
      <c r="AD154" t="str">
        <f>IFERROR(INDEX('DRAFT 1'!$Y:$Y,MATCH($B154,'DRAFT 1'!$B:$B,0)),"")</f>
        <v/>
      </c>
      <c r="AE154" t="str">
        <f>IFERROR(INDEX('DRAFT 1'!$Z:$Z,MATCH($B154,'DRAFT 1'!$B:$B,0)),"")</f>
        <v/>
      </c>
      <c r="AF154" t="str">
        <f>IFERROR(INDEX('DRAFT 1'!$AA:$AA,MATCH($B154,'DRAFT 1'!$B:$B,0)),"")</f>
        <v/>
      </c>
      <c r="AG154" t="str">
        <f>IFERROR(INDEX('DRAFT 1'!$AB:$AB,MATCH($B154,'DRAFT 1'!$B:$B,0)),"")</f>
        <v/>
      </c>
      <c r="AH154" t="str">
        <f>IFERROR(INDEX('DRAFT 1'!$AC:$AC,MATCH($B154,'DRAFT 1'!$B:$B,0)),"")</f>
        <v/>
      </c>
      <c r="AI154" t="str">
        <f>IFERROR(INDEX('DRAFT 1'!$AD:$AD,MATCH($B154,'DRAFT 1'!$B:$B,0)),"")</f>
        <v/>
      </c>
      <c r="AJ154" t="str">
        <f>IFERROR(INDEX('DRAFT 1'!$AE:$AE,MATCH($B154,'DRAFT 1'!$B:$B,0)),"")</f>
        <v/>
      </c>
      <c r="AK154" t="str">
        <f>IFERROR(INDEX('DRAFT 1'!$AG:$AG,MATCH($B154,'DRAFT 1'!$B:$B,0)),"")</f>
        <v/>
      </c>
      <c r="AL154" t="str">
        <f>IFERROR(INDEX('DRAFT 1'!$AH:$AH,MATCH($B154,'DRAFT 1'!$B:$B,0)),"")</f>
        <v/>
      </c>
      <c r="AM154" t="str">
        <f>IFERROR(INDEX('DRAFT 1'!$AI:$AI,MATCH($B154,'DRAFT 1'!$B:$B,0)),"")</f>
        <v/>
      </c>
      <c r="AN154" t="str">
        <f>IFERROR(INDEX('DRAFT 1'!$AJ:$AJ,MATCH($B154,'DRAFT 1'!$B:$B,0)),"")</f>
        <v/>
      </c>
      <c r="AO154">
        <f t="shared" si="56"/>
        <v>0</v>
      </c>
      <c r="AP154" t="str">
        <f>IFERROR(INDEX('DRAFT 1'!$AK:$AK,MATCH($B154,'DRAFT 1'!$B:$B,0)),"")</f>
        <v/>
      </c>
      <c r="AR154">
        <f>IFERROR(LOOKUP(2,1/('DRAFT 2'!$D:$D=$B154),'DRAFT 2'!$I:$I),"")</f>
        <v>0</v>
      </c>
      <c r="AS154">
        <f>IFERROR(LOOKUP(2,1/('DRAFT 2'!$D:$D=$B154),'DRAFT 2'!$T:$T),"")</f>
        <v>0</v>
      </c>
      <c r="AT154">
        <f>IFERROR(LOOKUP(2,1/('DRAFT 2'!$D:$D=$B154),'DRAFT 2'!$A:$A),"")</f>
        <v>0</v>
      </c>
      <c r="AU154">
        <f>IFERROR(LOOKUP(2,1/('DRAFT 2'!$D:$D=$B154),'DRAFT 2'!$R:$R),"")</f>
        <v>0</v>
      </c>
      <c r="AV154">
        <f>IFERROR(LOOKUP(2,1/('DRAFT 2'!$D:$D=$B154),'DRAFT 2'!$S:$S),"")</f>
        <v>0</v>
      </c>
      <c r="AX154">
        <f>IFERROR(LOOKUP(2,1/('DRAFT 2'!$D:$D=$B154),'DRAFT 2'!$M:$M),"")</f>
        <v>0</v>
      </c>
      <c r="AY154">
        <f>IFERROR(LOOKUP(2,1/('DRAFT 2'!$D:$D=$B154),'DRAFT 2'!$K:$K),"")</f>
        <v>0</v>
      </c>
      <c r="BG154">
        <f>IFERROR(LOOKUP(2,1/('DRAFT 2'!$D:$D=$B154),'DRAFT 2'!$U:$U),"")</f>
        <v>0</v>
      </c>
      <c r="BH154">
        <f>IFERROR(LOOKUP(2,1/('DRAFT 2'!$D:$D=$B154),'DRAFT 2'!$V:$V),"")</f>
        <v>0</v>
      </c>
      <c r="CE154" t="str">
        <f t="shared" si="57"/>
        <v/>
      </c>
      <c r="CF154">
        <f>IFERROR(LOOKUP(2,1/('DRAFT 2'!$D:$D=$B154)*('DRAFT 2'!$A:$A&gt;=DATE(2026,1,1))*('DRAFT 2'!$A:$A&lt;DATE(2026,IF(1=12,1+1,1+1),1)),'DRAFT 2'!$A:$A),"")</f>
        <v>0</v>
      </c>
      <c r="CG154">
        <f>COUNTIFS('DRAFT 2'!$D:$D,$B154,'DRAFT 2'!$A:$A,"&gt;="&amp;DATE(2026,1,1),'DRAFT 2'!$A:$A,"&lt;="&amp;DATE(2026,1,7))</f>
        <v>0</v>
      </c>
      <c r="CH154">
        <f>COUNTIFS('DRAFT 2'!$D:$D,$B154,'DRAFT 2'!$A:$A,"&gt;="&amp;DATE(2026,1,8),'DRAFT 2'!$A:$A,"&lt;="&amp;DATE(2026,1,14))</f>
        <v>0</v>
      </c>
      <c r="CI154">
        <f>COUNTIFS('DRAFT 2'!$D:$D,$B154,'DRAFT 2'!$A:$A,"&gt;="&amp;DATE(2026,1,15),'DRAFT 2'!$A:$A,"&lt;="&amp;DATE(2026,1,21))</f>
        <v>0</v>
      </c>
      <c r="CJ154">
        <f>COUNTIFS('DRAFT 2'!$D:$D,$B154,'DRAFT 2'!$A:$A,"&gt;="&amp;DATE(2026,1,22),'DRAFT 2'!$A:$A,"&lt;"&amp;DATE(2026,IF(1=12,1+1,1+1),1))</f>
        <v>0</v>
      </c>
      <c r="CK154">
        <f t="shared" si="58"/>
        <v>0</v>
      </c>
      <c r="CT154">
        <v>0</v>
      </c>
      <c r="CU154">
        <f>IFERROR(LOOKUP(2,1/('DRAFT 2'!$D:$D=$B154)*('DRAFT 2'!$A:$A&gt;=DATE(2026,2,1))*('DRAFT 2'!$A:$A&lt;DATE(2026,IF(2=12,2+1,2+1),1)),'DRAFT 2'!$A:$A),"")</f>
        <v>0</v>
      </c>
      <c r="CV154">
        <f>COUNTIFS('DRAFT 2'!$D:$D,$B154,'DRAFT 2'!$A:$A,"&gt;="&amp;DATE(2026,2,1),'DRAFT 2'!$A:$A,"&lt;="&amp;DATE(2026,2,7))</f>
        <v>0</v>
      </c>
      <c r="CW154">
        <f>COUNTIFS('DRAFT 2'!$D:$D,$B154,'DRAFT 2'!$A:$A,"&gt;="&amp;DATE(2026,2,8),'DRAFT 2'!$A:$A,"&lt;="&amp;DATE(2026,2,14))</f>
        <v>0</v>
      </c>
      <c r="CX154">
        <f>COUNTIFS('DRAFT 2'!$D:$D,$B154,'DRAFT 2'!$A:$A,"&gt;="&amp;DATE(2026,2,15),'DRAFT 2'!$A:$A,"&lt;="&amp;DATE(2026,2,21))</f>
        <v>0</v>
      </c>
      <c r="CY154">
        <f>COUNTIFS('DRAFT 2'!$D:$D,$B154,'DRAFT 2'!$A:$A,"&gt;="&amp;DATE(2026,2,22),'DRAFT 2'!$A:$A,"&lt;"&amp;DATE(2026,IF(2=12,2+1,2+1),1))</f>
        <v>0</v>
      </c>
      <c r="CZ154">
        <f t="shared" si="59"/>
        <v>0</v>
      </c>
      <c r="DJ154">
        <f>IFERROR(LOOKUP(2,1/('DRAFT 2'!$D:$D=$B154)*('DRAFT 2'!$A:$A&gt;=DATE(2026,3,1))*('DRAFT 2'!$A:$A&lt;DATE(2026,IF(3=12,3+1,3+1),1)),'DRAFT 2'!$A:$A),"")</f>
        <v>0</v>
      </c>
      <c r="DK154">
        <f>COUNTIFS('DRAFT 2'!$D:$D,$B154,'DRAFT 2'!$A:$A,"&gt;="&amp;DATE(2026,3,1),'DRAFT 2'!$A:$A,"&lt;="&amp;DATE(2026,3,7))</f>
        <v>0</v>
      </c>
      <c r="DL154">
        <f>COUNTIFS('DRAFT 2'!$D:$D,$B154,'DRAFT 2'!$A:$A,"&gt;="&amp;DATE(2026,3,8),'DRAFT 2'!$A:$A,"&lt;="&amp;DATE(2026,3,14))</f>
        <v>0</v>
      </c>
      <c r="DM154">
        <f>COUNTIFS('DRAFT 2'!$D:$D,$B154,'DRAFT 2'!$A:$A,"&gt;="&amp;DATE(2026,3,15),'DRAFT 2'!$A:$A,"&lt;="&amp;DATE(2026,3,21))</f>
        <v>0</v>
      </c>
      <c r="DN154">
        <f>COUNTIFS('DRAFT 2'!$D:$D,$B154,'DRAFT 2'!$A:$A,"&gt;="&amp;DATE(2026,3,22),'DRAFT 2'!$A:$A,"&lt;"&amp;DATE(2026,IF(3=12,3+1,3+1),1))</f>
        <v>0</v>
      </c>
      <c r="DO154">
        <f t="shared" si="60"/>
        <v>0</v>
      </c>
      <c r="DZ154">
        <f>IFERROR(LOOKUP(2,1/('DRAFT 2'!$D:$D=$B154)*('DRAFT 2'!$A:$A&gt;=DATE(2026,4,1))*('DRAFT 2'!$A:$A&lt;DATE(2026,IF(4=12,4+1,4+1),1)),'DRAFT 2'!$A:$A),"")</f>
        <v>0</v>
      </c>
      <c r="EA154">
        <f>COUNTIFS('DRAFT 2'!$D:$D,$B154,'DRAFT 2'!$A:$A,"&gt;="&amp;DATE(2026,4,1),'DRAFT 2'!$A:$A,"&lt;="&amp;DATE(2026,4,7))</f>
        <v>0</v>
      </c>
      <c r="EB154">
        <f>COUNTIFS('DRAFT 2'!$D:$D,$B154,'DRAFT 2'!$A:$A,"&gt;="&amp;DATE(2026,4,8),'DRAFT 2'!$A:$A,"&lt;="&amp;DATE(2026,4,14))</f>
        <v>0</v>
      </c>
      <c r="EC154">
        <f>COUNTIFS('DRAFT 2'!$D:$D,$B154,'DRAFT 2'!$A:$A,"&gt;="&amp;DATE(2026,4,15),'DRAFT 2'!$A:$A,"&lt;="&amp;DATE(2026,4,21))</f>
        <v>0</v>
      </c>
      <c r="ED154">
        <f>COUNTIFS('DRAFT 2'!$D:$D,$B154,'DRAFT 2'!$A:$A,"&gt;="&amp;DATE(2026,4,22),'DRAFT 2'!$A:$A,"&lt;"&amp;DATE(2026,IF(4=12,4+1,4+1),1))</f>
        <v>0</v>
      </c>
      <c r="EE154">
        <f t="shared" si="61"/>
        <v>0</v>
      </c>
      <c r="EO154">
        <f>IFERROR(LOOKUP(2,1/('DRAFT 2'!$D:$D=$B154)*('DRAFT 2'!$A:$A&gt;=DATE(2026,5,1))*('DRAFT 2'!$A:$A&lt;DATE(2026,IF(5=12,5+1,5+1),1)),'DRAFT 2'!$A:$A),"")</f>
        <v>0</v>
      </c>
      <c r="EP154">
        <f>COUNTIFS('DRAFT 2'!$D:$D,$B154,'DRAFT 2'!$A:$A,"&gt;="&amp;DATE(2026,5,1),'DRAFT 2'!$A:$A,"&lt;="&amp;DATE(2026,5,7))</f>
        <v>0</v>
      </c>
      <c r="EQ154">
        <f>COUNTIFS('DRAFT 2'!$D:$D,$B154,'DRAFT 2'!$A:$A,"&gt;="&amp;DATE(2026,5,8),'DRAFT 2'!$A:$A,"&lt;="&amp;DATE(2026,5,14))</f>
        <v>0</v>
      </c>
      <c r="ER154">
        <f>COUNTIFS('DRAFT 2'!$D:$D,$B154,'DRAFT 2'!$A:$A,"&gt;="&amp;DATE(2026,5,15),'DRAFT 2'!$A:$A,"&lt;="&amp;DATE(2026,5,21))</f>
        <v>0</v>
      </c>
      <c r="ES154">
        <f>COUNTIFS('DRAFT 2'!$D:$D,$B154,'DRAFT 2'!$A:$A,"&gt;="&amp;DATE(2026,5,22),'DRAFT 2'!$A:$A,"&lt;"&amp;DATE(2026,IF(5=12,5+1,5+1),1))</f>
        <v>0</v>
      </c>
      <c r="ET154">
        <f t="shared" si="62"/>
        <v>0</v>
      </c>
      <c r="FD154">
        <f>IFERROR(LOOKUP(2,1/('DRAFT 2'!$D:$D=$B154)*('DRAFT 2'!$A:$A&gt;=DATE(2026,6,1))*('DRAFT 2'!$A:$A&lt;DATE(2026,IF(6=12,6+1,6+1),1)),'DRAFT 2'!$A:$A),"")</f>
        <v>0</v>
      </c>
      <c r="FE154">
        <f>COUNTIFS('DRAFT 2'!$D:$D,$B154,'DRAFT 2'!$A:$A,"&gt;="&amp;DATE(2026,6,1),'DRAFT 2'!$A:$A,"&lt;="&amp;DATE(2026,6,7))</f>
        <v>0</v>
      </c>
      <c r="FF154">
        <f>COUNTIFS('DRAFT 2'!$D:$D,$B154,'DRAFT 2'!$A:$A,"&gt;="&amp;DATE(2026,6,8),'DRAFT 2'!$A:$A,"&lt;="&amp;DATE(2026,6,14))</f>
        <v>0</v>
      </c>
      <c r="FG154">
        <f>COUNTIFS('DRAFT 2'!$D:$D,$B154,'DRAFT 2'!$A:$A,"&gt;="&amp;DATE(2026,6,15),'DRAFT 2'!$A:$A,"&lt;="&amp;DATE(2026,6,21))</f>
        <v>0</v>
      </c>
      <c r="FH154">
        <f>COUNTIFS('DRAFT 2'!$D:$D,$B154,'DRAFT 2'!$A:$A,"&gt;="&amp;DATE(2026,6,22),'DRAFT 2'!$A:$A,"&lt;"&amp;DATE(2026,IF(6=12,6+1,6+1),1))</f>
        <v>0</v>
      </c>
      <c r="FI154">
        <f t="shared" si="63"/>
        <v>0</v>
      </c>
      <c r="FT154">
        <f>IFERROR(LOOKUP(2,1/('DRAFT 2'!$D:$D=$B154)*('DRAFT 2'!$A:$A&gt;=DATE(2026,7,1))*('DRAFT 2'!$A:$A&lt;DATE(2026,IF(7=12,7+1,7+1),1)),'DRAFT 2'!$A:$A),"")</f>
        <v>0</v>
      </c>
      <c r="FU154">
        <f>COUNTIFS('DRAFT 2'!$D:$D,$B154,'DRAFT 2'!$A:$A,"&gt;="&amp;DATE(2026,7,1),'DRAFT 2'!$A:$A,"&lt;="&amp;DATE(2026,7,7))</f>
        <v>0</v>
      </c>
      <c r="FV154">
        <f>COUNTIFS('DRAFT 2'!$D:$D,$B154,'DRAFT 2'!$A:$A,"&gt;="&amp;DATE(2026,7,8),'DRAFT 2'!$A:$A,"&lt;="&amp;DATE(2026,7,14))</f>
        <v>0</v>
      </c>
      <c r="FW154">
        <f>COUNTIFS('DRAFT 2'!$D:$D,$B154,'DRAFT 2'!$A:$A,"&gt;="&amp;DATE(2026,7,15),'DRAFT 2'!$A:$A,"&lt;="&amp;DATE(2026,7,21))</f>
        <v>0</v>
      </c>
      <c r="FX154">
        <f>COUNTIFS('DRAFT 2'!$D:$D,$B154,'DRAFT 2'!$A:$A,"&gt;="&amp;DATE(2026,7,22),'DRAFT 2'!$A:$A,"&lt;"&amp;DATE(2026,IF(7=12,7+1,7+1),1))</f>
        <v>0</v>
      </c>
      <c r="FY154">
        <f t="shared" si="64"/>
        <v>0</v>
      </c>
      <c r="GI154">
        <f>IFERROR(LOOKUP(2,1/('DRAFT 2'!$D:$D=$B154)*('DRAFT 2'!$A:$A&gt;=DATE(2026,8,1))*('DRAFT 2'!$A:$A&lt;DATE(2026,IF(8=12,8+1,8+1),1)),'DRAFT 2'!$A:$A),"")</f>
        <v>0</v>
      </c>
      <c r="GJ154">
        <f>COUNTIFS('DRAFT 2'!$D:$D,$B154,'DRAFT 2'!$A:$A,"&gt;="&amp;DATE(2026,8,1),'DRAFT 2'!$A:$A,"&lt;="&amp;DATE(2026,8,7))</f>
        <v>0</v>
      </c>
      <c r="GK154">
        <f>COUNTIFS('DRAFT 2'!$D:$D,$B154,'DRAFT 2'!$A:$A,"&gt;="&amp;DATE(2026,8,8),'DRAFT 2'!$A:$A,"&lt;="&amp;DATE(2026,8,14))</f>
        <v>0</v>
      </c>
      <c r="GL154">
        <f>COUNTIFS('DRAFT 2'!$D:$D,$B154,'DRAFT 2'!$A:$A,"&gt;="&amp;DATE(2026,8,15),'DRAFT 2'!$A:$A,"&lt;="&amp;DATE(2026,8,21))</f>
        <v>0</v>
      </c>
      <c r="GM154">
        <f>COUNTIFS('DRAFT 2'!$D:$D,$B154,'DRAFT 2'!$A:$A,"&gt;="&amp;DATE(2026,8,22),'DRAFT 2'!$A:$A,"&lt;"&amp;DATE(2026,IF(8=12,8+1,8+1),1))</f>
        <v>0</v>
      </c>
      <c r="GN154">
        <f t="shared" si="65"/>
        <v>0</v>
      </c>
      <c r="GX154">
        <f>IFERROR(LOOKUP(2,1/('DRAFT 2'!$D:$D=$B154)*('DRAFT 2'!$A:$A&gt;=DATE(2026,9,1))*('DRAFT 2'!$A:$A&lt;DATE(2026,IF(9=12,9+1,9+1),1)),'DRAFT 2'!$A:$A),"")</f>
        <v>0</v>
      </c>
      <c r="GY154">
        <f>COUNTIFS('DRAFT 2'!$D:$D,$B154,'DRAFT 2'!$A:$A,"&gt;="&amp;DATE(2026,9,1),'DRAFT 2'!$A:$A,"&lt;="&amp;DATE(2026,9,7))</f>
        <v>0</v>
      </c>
      <c r="GZ154">
        <f>COUNTIFS('DRAFT 2'!$D:$D,$B154,'DRAFT 2'!$A:$A,"&gt;="&amp;DATE(2026,9,8),'DRAFT 2'!$A:$A,"&lt;="&amp;DATE(2026,9,14))</f>
        <v>0</v>
      </c>
      <c r="HA154">
        <f>COUNTIFS('DRAFT 2'!$D:$D,$B154,'DRAFT 2'!$A:$A,"&gt;="&amp;DATE(2026,9,15),'DRAFT 2'!$A:$A,"&lt;="&amp;DATE(2026,9,21))</f>
        <v>0</v>
      </c>
      <c r="HB154">
        <f>COUNTIFS('DRAFT 2'!$D:$D,$B154,'DRAFT 2'!$A:$A,"&gt;="&amp;DATE(2026,9,22),'DRAFT 2'!$A:$A,"&lt;"&amp;DATE(2026,IF(9=12,9+1,9+1),1))</f>
        <v>0</v>
      </c>
      <c r="HC154">
        <f t="shared" si="66"/>
        <v>0</v>
      </c>
      <c r="HN154">
        <f>IFERROR(LOOKUP(2,1/('DRAFT 2'!$D:$D=$B154)*('DRAFT 2'!$A:$A&gt;=DATE(2026,10,1))*('DRAFT 2'!$A:$A&lt;DATE(2026,IF(10=12,10+1,10+1),1)),'DRAFT 2'!$A:$A),"")</f>
        <v>0</v>
      </c>
      <c r="HO154">
        <f>COUNTIFS('DRAFT 2'!$D:$D,$B154,'DRAFT 2'!$A:$A,"&gt;="&amp;DATE(2026,10,1),'DRAFT 2'!$A:$A,"&lt;="&amp;DATE(2026,10,7))</f>
        <v>0</v>
      </c>
      <c r="HP154">
        <f>COUNTIFS('DRAFT 2'!$D:$D,$B154,'DRAFT 2'!$A:$A,"&gt;="&amp;DATE(2026,10,8),'DRAFT 2'!$A:$A,"&lt;="&amp;DATE(2026,10,14))</f>
        <v>0</v>
      </c>
      <c r="HQ154">
        <f>COUNTIFS('DRAFT 2'!$D:$D,$B154,'DRAFT 2'!$A:$A,"&gt;="&amp;DATE(2026,10,15),'DRAFT 2'!$A:$A,"&lt;="&amp;DATE(2026,10,21))</f>
        <v>0</v>
      </c>
      <c r="HR154">
        <f>COUNTIFS('DRAFT 2'!$D:$D,$B154,'DRAFT 2'!$A:$A,"&gt;="&amp;DATE(2026,10,22),'DRAFT 2'!$A:$A,"&lt;"&amp;DATE(2026,IF(10=12,10+1,10+1),1))</f>
        <v>0</v>
      </c>
      <c r="HS154">
        <f t="shared" si="67"/>
        <v>0</v>
      </c>
      <c r="IC154">
        <f>IFERROR(LOOKUP(2,1/('DRAFT 2'!$D:$D=$B154)*('DRAFT 2'!$A:$A&gt;=DATE(2026,11,1))*('DRAFT 2'!$A:$A&lt;DATE(2026,IF(11=12,11+1,11+1),1)),'DRAFT 2'!$A:$A),"")</f>
        <v>0</v>
      </c>
      <c r="ID154">
        <f>COUNTIFS('DRAFT 2'!$D:$D,$B154,'DRAFT 2'!$A:$A,"&gt;="&amp;DATE(2026,11,1),'DRAFT 2'!$A:$A,"&lt;="&amp;DATE(2026,11,7))</f>
        <v>0</v>
      </c>
      <c r="IE154">
        <f>COUNTIFS('DRAFT 2'!$D:$D,$B154,'DRAFT 2'!$A:$A,"&gt;="&amp;DATE(2026,11,8),'DRAFT 2'!$A:$A,"&lt;="&amp;DATE(2026,11,14))</f>
        <v>0</v>
      </c>
      <c r="IF154">
        <f>COUNTIFS('DRAFT 2'!$D:$D,$B154,'DRAFT 2'!$A:$A,"&gt;="&amp;DATE(2026,11,15),'DRAFT 2'!$A:$A,"&lt;="&amp;DATE(2026,11,21))</f>
        <v>0</v>
      </c>
      <c r="IG154">
        <f>COUNTIFS('DRAFT 2'!$D:$D,$B154,'DRAFT 2'!$A:$A,"&gt;="&amp;DATE(2026,11,22),'DRAFT 2'!$A:$A,"&lt;"&amp;DATE(2026,IF(11=12,11+1,11+1),1))</f>
        <v>0</v>
      </c>
      <c r="IH154">
        <f t="shared" si="68"/>
        <v>0</v>
      </c>
      <c r="IR154">
        <f>IFERROR(LOOKUP(2,1/('DRAFT 2'!$D:$D=$B154)*('DRAFT 2'!$A:$A&gt;=DATE(2026,12,1))*('DRAFT 2'!$A:$A&lt;DATE(2026,IF(12=12,12+1,12+1),1)),'DRAFT 2'!$A:$A),"")</f>
        <v>0</v>
      </c>
      <c r="IS154">
        <f>COUNTIFS('DRAFT 2'!$D:$D,$B154,'DRAFT 2'!$A:$A,"&gt;="&amp;DATE(2026,12,1),'DRAFT 2'!$A:$A,"&lt;="&amp;DATE(2026,12,7))</f>
        <v>0</v>
      </c>
      <c r="IT154">
        <f>COUNTIFS('DRAFT 2'!$D:$D,$B154,'DRAFT 2'!$A:$A,"&gt;="&amp;DATE(2026,12,8),'DRAFT 2'!$A:$A,"&lt;="&amp;DATE(2026,12,14))</f>
        <v>0</v>
      </c>
      <c r="IU154">
        <f>COUNTIFS('DRAFT 2'!$D:$D,$B154,'DRAFT 2'!$A:$A,"&gt;="&amp;DATE(2026,12,15),'DRAFT 2'!$A:$A,"&lt;="&amp;DATE(2026,12,21))</f>
        <v>0</v>
      </c>
      <c r="IV154">
        <f>COUNTIFS('DRAFT 2'!$D:$D,$B154,'DRAFT 2'!$A:$A,"&gt;="&amp;DATE(2026,12,22),'DRAFT 2'!$A:$A,"&lt;"&amp;DATE(2026,IF(12=12,12+1,12+1),1))</f>
        <v>0</v>
      </c>
      <c r="IW154">
        <f t="shared" si="69"/>
        <v>0</v>
      </c>
    </row>
    <row r="155" spans="1:257" x14ac:dyDescent="0.3">
      <c r="A155" t="str">
        <f>IFERROR(INDEX('DRAFT 1'!$A:$A,MATCH($B155,'DRAFT 1'!$B:$B,0)),"")</f>
        <v/>
      </c>
      <c r="C155" t="str">
        <f>IFERROR(INDEX('DRAFT 1'!$C:$C,MATCH($B155,'DRAFT 1'!$B:$B,0)),"")</f>
        <v/>
      </c>
      <c r="D155" t="str">
        <f>IFERROR(INDEX('DRAFT 1'!$D:$D,MATCH($B155,'DRAFT 1'!$B:$B,0)),"")</f>
        <v/>
      </c>
      <c r="E155" t="str">
        <f>IFERROR(INDEX('DRAFT 1'!$E:$E,MATCH($B155,'DRAFT 1'!$B:$B,0)),"")</f>
        <v/>
      </c>
      <c r="F155" t="str">
        <f>IFERROR(INDEX('DRAFT 1'!$F:$F,MATCH($B155,'DRAFT 1'!$B:$B,0)),"")</f>
        <v/>
      </c>
      <c r="G155" t="str">
        <f>IFERROR(INDEX('DRAFT 1'!$G:$G,MATCH($B155,'DRAFT 1'!$B:$B,0)),"")</f>
        <v/>
      </c>
      <c r="H155" t="str">
        <f>IFERROR(INDEX('DRAFT 1'!$H:$H,MATCH($B155,'DRAFT 1'!$B:$B,0)),"")</f>
        <v/>
      </c>
      <c r="I155" t="str">
        <f>IFERROR(INDEX('DRAFT 1'!$I:$I,MATCH($B155,'DRAFT 1'!$B:$B,0)),"")</f>
        <v/>
      </c>
      <c r="K155" t="str">
        <f>IFERROR(INDEX('DRAFT 1'!$AL:$AL,MATCH($B155,'DRAFT 1'!$B:$B,0)),"")</f>
        <v/>
      </c>
      <c r="L155" t="str">
        <f>IFERROR(INDEX('DRAFT 1'!$J:$J,MATCH($B155,'DRAFT 1'!$B:$B,0)),"")</f>
        <v/>
      </c>
      <c r="M155" t="str">
        <f>IFERROR(INDEX('DRAFT 1'!$K:$K,MATCH($B155,'DRAFT 1'!$B:$B,0)),"")</f>
        <v/>
      </c>
      <c r="P155" t="str">
        <f>IFERROR(INDEX('DRAFT 1'!$L:$L,MATCH($B155,'DRAFT 1'!$B:$B,0)),"")</f>
        <v/>
      </c>
      <c r="Q155" t="str">
        <f>IFERROR(INDEX('DRAFT 1'!$M:$M,MATCH($B155,'DRAFT 1'!$B:$B,0)),"")</f>
        <v/>
      </c>
      <c r="R155" t="str">
        <f>IFERROR(INDEX('DRAFT 1'!$N:$N,MATCH($B155,'DRAFT 1'!$B:$B,0)),"")</f>
        <v/>
      </c>
      <c r="S155" t="str">
        <f>IFERROR(INDEX('DRAFT 1'!$O:$O,MATCH($B155,'DRAFT 1'!$B:$B,0)),"")</f>
        <v/>
      </c>
      <c r="T155" t="str">
        <f>IFERROR(INDEX('DRAFT 1'!$P:$P,MATCH($B155,'DRAFT 1'!$B:$B,0)),"")</f>
        <v/>
      </c>
      <c r="U155" t="str">
        <f>IFERROR(INDEX('DRAFT 1'!$Q:$Q,MATCH($B155,'DRAFT 1'!$B:$B,0)),"")</f>
        <v/>
      </c>
      <c r="V155" t="str">
        <f>IFERROR(INDEX('DRAFT 1'!$R:$R,MATCH($B155,'DRAFT 1'!$B:$B,0)),"")</f>
        <v/>
      </c>
      <c r="W155" t="str">
        <f>IFERROR(INDEX('DRAFT 1'!$S:$S,MATCH($B155,'DRAFT 1'!$B:$B,0)),"")</f>
        <v/>
      </c>
      <c r="X155" t="str">
        <f>IFERROR(INDEX('DRAFT 1'!$T:$T,MATCH($B155,'DRAFT 1'!$B:$B,0)),"")</f>
        <v/>
      </c>
      <c r="Z155" t="str">
        <f>IFERROR(INDEX('DRAFT 1'!$U:$U,MATCH($B155,'DRAFT 1'!$B:$B,0)),"")</f>
        <v/>
      </c>
      <c r="AA155" t="str">
        <f>IFERROR(INDEX('DRAFT 1'!$V:$V,MATCH($B155,'DRAFT 1'!$B:$B,0)),"")</f>
        <v/>
      </c>
      <c r="AB155" t="str">
        <f>IFERROR(INDEX('DRAFT 1'!$W:$W,MATCH($B155,'DRAFT 1'!$B:$B,0)),"")</f>
        <v/>
      </c>
      <c r="AC155" t="str">
        <f>IFERROR(INDEX('DRAFT 1'!$X:$X,MATCH($B155,'DRAFT 1'!$B:$B,0)),"")</f>
        <v/>
      </c>
      <c r="AD155" t="str">
        <f>IFERROR(INDEX('DRAFT 1'!$Y:$Y,MATCH($B155,'DRAFT 1'!$B:$B,0)),"")</f>
        <v/>
      </c>
      <c r="AE155" t="str">
        <f>IFERROR(INDEX('DRAFT 1'!$Z:$Z,MATCH($B155,'DRAFT 1'!$B:$B,0)),"")</f>
        <v/>
      </c>
      <c r="AF155" t="str">
        <f>IFERROR(INDEX('DRAFT 1'!$AA:$AA,MATCH($B155,'DRAFT 1'!$B:$B,0)),"")</f>
        <v/>
      </c>
      <c r="AG155" t="str">
        <f>IFERROR(INDEX('DRAFT 1'!$AB:$AB,MATCH($B155,'DRAFT 1'!$B:$B,0)),"")</f>
        <v/>
      </c>
      <c r="AH155" t="str">
        <f>IFERROR(INDEX('DRAFT 1'!$AC:$AC,MATCH($B155,'DRAFT 1'!$B:$B,0)),"")</f>
        <v/>
      </c>
      <c r="AI155" t="str">
        <f>IFERROR(INDEX('DRAFT 1'!$AD:$AD,MATCH($B155,'DRAFT 1'!$B:$B,0)),"")</f>
        <v/>
      </c>
      <c r="AJ155" t="str">
        <f>IFERROR(INDEX('DRAFT 1'!$AE:$AE,MATCH($B155,'DRAFT 1'!$B:$B,0)),"")</f>
        <v/>
      </c>
      <c r="AK155" t="str">
        <f>IFERROR(INDEX('DRAFT 1'!$AG:$AG,MATCH($B155,'DRAFT 1'!$B:$B,0)),"")</f>
        <v/>
      </c>
      <c r="AL155" t="str">
        <f>IFERROR(INDEX('DRAFT 1'!$AH:$AH,MATCH($B155,'DRAFT 1'!$B:$B,0)),"")</f>
        <v/>
      </c>
      <c r="AM155" t="str">
        <f>IFERROR(INDEX('DRAFT 1'!$AI:$AI,MATCH($B155,'DRAFT 1'!$B:$B,0)),"")</f>
        <v/>
      </c>
      <c r="AN155" t="str">
        <f>IFERROR(INDEX('DRAFT 1'!$AJ:$AJ,MATCH($B155,'DRAFT 1'!$B:$B,0)),"")</f>
        <v/>
      </c>
      <c r="AO155">
        <f t="shared" si="56"/>
        <v>0</v>
      </c>
      <c r="AP155" t="str">
        <f>IFERROR(INDEX('DRAFT 1'!$AK:$AK,MATCH($B155,'DRAFT 1'!$B:$B,0)),"")</f>
        <v/>
      </c>
      <c r="AR155">
        <f>IFERROR(LOOKUP(2,1/('DRAFT 2'!$D:$D=$B155),'DRAFT 2'!$I:$I),"")</f>
        <v>0</v>
      </c>
      <c r="AS155">
        <f>IFERROR(LOOKUP(2,1/('DRAFT 2'!$D:$D=$B155),'DRAFT 2'!$T:$T),"")</f>
        <v>0</v>
      </c>
      <c r="AT155">
        <f>IFERROR(LOOKUP(2,1/('DRAFT 2'!$D:$D=$B155),'DRAFT 2'!$A:$A),"")</f>
        <v>0</v>
      </c>
      <c r="AU155">
        <f>IFERROR(LOOKUP(2,1/('DRAFT 2'!$D:$D=$B155),'DRAFT 2'!$R:$R),"")</f>
        <v>0</v>
      </c>
      <c r="AV155">
        <f>IFERROR(LOOKUP(2,1/('DRAFT 2'!$D:$D=$B155),'DRAFT 2'!$S:$S),"")</f>
        <v>0</v>
      </c>
      <c r="AX155">
        <f>IFERROR(LOOKUP(2,1/('DRAFT 2'!$D:$D=$B155),'DRAFT 2'!$M:$M),"")</f>
        <v>0</v>
      </c>
      <c r="AY155">
        <f>IFERROR(LOOKUP(2,1/('DRAFT 2'!$D:$D=$B155),'DRAFT 2'!$K:$K),"")</f>
        <v>0</v>
      </c>
      <c r="BG155">
        <f>IFERROR(LOOKUP(2,1/('DRAFT 2'!$D:$D=$B155),'DRAFT 2'!$U:$U),"")</f>
        <v>0</v>
      </c>
      <c r="BH155">
        <f>IFERROR(LOOKUP(2,1/('DRAFT 2'!$D:$D=$B155),'DRAFT 2'!$V:$V),"")</f>
        <v>0</v>
      </c>
      <c r="CE155" t="str">
        <f t="shared" si="57"/>
        <v/>
      </c>
      <c r="CF155">
        <f>IFERROR(LOOKUP(2,1/('DRAFT 2'!$D:$D=$B155)*('DRAFT 2'!$A:$A&gt;=DATE(2026,1,1))*('DRAFT 2'!$A:$A&lt;DATE(2026,IF(1=12,1+1,1+1),1)),'DRAFT 2'!$A:$A),"")</f>
        <v>0</v>
      </c>
      <c r="CG155">
        <f>COUNTIFS('DRAFT 2'!$D:$D,$B155,'DRAFT 2'!$A:$A,"&gt;="&amp;DATE(2026,1,1),'DRAFT 2'!$A:$A,"&lt;="&amp;DATE(2026,1,7))</f>
        <v>0</v>
      </c>
      <c r="CH155">
        <f>COUNTIFS('DRAFT 2'!$D:$D,$B155,'DRAFT 2'!$A:$A,"&gt;="&amp;DATE(2026,1,8),'DRAFT 2'!$A:$A,"&lt;="&amp;DATE(2026,1,14))</f>
        <v>0</v>
      </c>
      <c r="CI155">
        <f>COUNTIFS('DRAFT 2'!$D:$D,$B155,'DRAFT 2'!$A:$A,"&gt;="&amp;DATE(2026,1,15),'DRAFT 2'!$A:$A,"&lt;="&amp;DATE(2026,1,21))</f>
        <v>0</v>
      </c>
      <c r="CJ155">
        <f>COUNTIFS('DRAFT 2'!$D:$D,$B155,'DRAFT 2'!$A:$A,"&gt;="&amp;DATE(2026,1,22),'DRAFT 2'!$A:$A,"&lt;"&amp;DATE(2026,IF(1=12,1+1,1+1),1))</f>
        <v>0</v>
      </c>
      <c r="CK155">
        <f t="shared" si="58"/>
        <v>0</v>
      </c>
      <c r="CT155">
        <v>0</v>
      </c>
      <c r="CU155">
        <f>IFERROR(LOOKUP(2,1/('DRAFT 2'!$D:$D=$B155)*('DRAFT 2'!$A:$A&gt;=DATE(2026,2,1))*('DRAFT 2'!$A:$A&lt;DATE(2026,IF(2=12,2+1,2+1),1)),'DRAFT 2'!$A:$A),"")</f>
        <v>0</v>
      </c>
      <c r="CV155">
        <f>COUNTIFS('DRAFT 2'!$D:$D,$B155,'DRAFT 2'!$A:$A,"&gt;="&amp;DATE(2026,2,1),'DRAFT 2'!$A:$A,"&lt;="&amp;DATE(2026,2,7))</f>
        <v>0</v>
      </c>
      <c r="CW155">
        <f>COUNTIFS('DRAFT 2'!$D:$D,$B155,'DRAFT 2'!$A:$A,"&gt;="&amp;DATE(2026,2,8),'DRAFT 2'!$A:$A,"&lt;="&amp;DATE(2026,2,14))</f>
        <v>0</v>
      </c>
      <c r="CX155">
        <f>COUNTIFS('DRAFT 2'!$D:$D,$B155,'DRAFT 2'!$A:$A,"&gt;="&amp;DATE(2026,2,15),'DRAFT 2'!$A:$A,"&lt;="&amp;DATE(2026,2,21))</f>
        <v>0</v>
      </c>
      <c r="CY155">
        <f>COUNTIFS('DRAFT 2'!$D:$D,$B155,'DRAFT 2'!$A:$A,"&gt;="&amp;DATE(2026,2,22),'DRAFT 2'!$A:$A,"&lt;"&amp;DATE(2026,IF(2=12,2+1,2+1),1))</f>
        <v>0</v>
      </c>
      <c r="CZ155">
        <f t="shared" si="59"/>
        <v>0</v>
      </c>
      <c r="DJ155">
        <f>IFERROR(LOOKUP(2,1/('DRAFT 2'!$D:$D=$B155)*('DRAFT 2'!$A:$A&gt;=DATE(2026,3,1))*('DRAFT 2'!$A:$A&lt;DATE(2026,IF(3=12,3+1,3+1),1)),'DRAFT 2'!$A:$A),"")</f>
        <v>0</v>
      </c>
      <c r="DK155">
        <f>COUNTIFS('DRAFT 2'!$D:$D,$B155,'DRAFT 2'!$A:$A,"&gt;="&amp;DATE(2026,3,1),'DRAFT 2'!$A:$A,"&lt;="&amp;DATE(2026,3,7))</f>
        <v>0</v>
      </c>
      <c r="DL155">
        <f>COUNTIFS('DRAFT 2'!$D:$D,$B155,'DRAFT 2'!$A:$A,"&gt;="&amp;DATE(2026,3,8),'DRAFT 2'!$A:$A,"&lt;="&amp;DATE(2026,3,14))</f>
        <v>0</v>
      </c>
      <c r="DM155">
        <f>COUNTIFS('DRAFT 2'!$D:$D,$B155,'DRAFT 2'!$A:$A,"&gt;="&amp;DATE(2026,3,15),'DRAFT 2'!$A:$A,"&lt;="&amp;DATE(2026,3,21))</f>
        <v>0</v>
      </c>
      <c r="DN155">
        <f>COUNTIFS('DRAFT 2'!$D:$D,$B155,'DRAFT 2'!$A:$A,"&gt;="&amp;DATE(2026,3,22),'DRAFT 2'!$A:$A,"&lt;"&amp;DATE(2026,IF(3=12,3+1,3+1),1))</f>
        <v>0</v>
      </c>
      <c r="DO155">
        <f t="shared" si="60"/>
        <v>0</v>
      </c>
      <c r="DZ155">
        <f>IFERROR(LOOKUP(2,1/('DRAFT 2'!$D:$D=$B155)*('DRAFT 2'!$A:$A&gt;=DATE(2026,4,1))*('DRAFT 2'!$A:$A&lt;DATE(2026,IF(4=12,4+1,4+1),1)),'DRAFT 2'!$A:$A),"")</f>
        <v>0</v>
      </c>
      <c r="EA155">
        <f>COUNTIFS('DRAFT 2'!$D:$D,$B155,'DRAFT 2'!$A:$A,"&gt;="&amp;DATE(2026,4,1),'DRAFT 2'!$A:$A,"&lt;="&amp;DATE(2026,4,7))</f>
        <v>0</v>
      </c>
      <c r="EB155">
        <f>COUNTIFS('DRAFT 2'!$D:$D,$B155,'DRAFT 2'!$A:$A,"&gt;="&amp;DATE(2026,4,8),'DRAFT 2'!$A:$A,"&lt;="&amp;DATE(2026,4,14))</f>
        <v>0</v>
      </c>
      <c r="EC155">
        <f>COUNTIFS('DRAFT 2'!$D:$D,$B155,'DRAFT 2'!$A:$A,"&gt;="&amp;DATE(2026,4,15),'DRAFT 2'!$A:$A,"&lt;="&amp;DATE(2026,4,21))</f>
        <v>0</v>
      </c>
      <c r="ED155">
        <f>COUNTIFS('DRAFT 2'!$D:$D,$B155,'DRAFT 2'!$A:$A,"&gt;="&amp;DATE(2026,4,22),'DRAFT 2'!$A:$A,"&lt;"&amp;DATE(2026,IF(4=12,4+1,4+1),1))</f>
        <v>0</v>
      </c>
      <c r="EE155">
        <f t="shared" si="61"/>
        <v>0</v>
      </c>
      <c r="EO155">
        <f>IFERROR(LOOKUP(2,1/('DRAFT 2'!$D:$D=$B155)*('DRAFT 2'!$A:$A&gt;=DATE(2026,5,1))*('DRAFT 2'!$A:$A&lt;DATE(2026,IF(5=12,5+1,5+1),1)),'DRAFT 2'!$A:$A),"")</f>
        <v>0</v>
      </c>
      <c r="EP155">
        <f>COUNTIFS('DRAFT 2'!$D:$D,$B155,'DRAFT 2'!$A:$A,"&gt;="&amp;DATE(2026,5,1),'DRAFT 2'!$A:$A,"&lt;="&amp;DATE(2026,5,7))</f>
        <v>0</v>
      </c>
      <c r="EQ155">
        <f>COUNTIFS('DRAFT 2'!$D:$D,$B155,'DRAFT 2'!$A:$A,"&gt;="&amp;DATE(2026,5,8),'DRAFT 2'!$A:$A,"&lt;="&amp;DATE(2026,5,14))</f>
        <v>0</v>
      </c>
      <c r="ER155">
        <f>COUNTIFS('DRAFT 2'!$D:$D,$B155,'DRAFT 2'!$A:$A,"&gt;="&amp;DATE(2026,5,15),'DRAFT 2'!$A:$A,"&lt;="&amp;DATE(2026,5,21))</f>
        <v>0</v>
      </c>
      <c r="ES155">
        <f>COUNTIFS('DRAFT 2'!$D:$D,$B155,'DRAFT 2'!$A:$A,"&gt;="&amp;DATE(2026,5,22),'DRAFT 2'!$A:$A,"&lt;"&amp;DATE(2026,IF(5=12,5+1,5+1),1))</f>
        <v>0</v>
      </c>
      <c r="ET155">
        <f t="shared" si="62"/>
        <v>0</v>
      </c>
      <c r="FD155">
        <f>IFERROR(LOOKUP(2,1/('DRAFT 2'!$D:$D=$B155)*('DRAFT 2'!$A:$A&gt;=DATE(2026,6,1))*('DRAFT 2'!$A:$A&lt;DATE(2026,IF(6=12,6+1,6+1),1)),'DRAFT 2'!$A:$A),"")</f>
        <v>0</v>
      </c>
      <c r="FE155">
        <f>COUNTIFS('DRAFT 2'!$D:$D,$B155,'DRAFT 2'!$A:$A,"&gt;="&amp;DATE(2026,6,1),'DRAFT 2'!$A:$A,"&lt;="&amp;DATE(2026,6,7))</f>
        <v>0</v>
      </c>
      <c r="FF155">
        <f>COUNTIFS('DRAFT 2'!$D:$D,$B155,'DRAFT 2'!$A:$A,"&gt;="&amp;DATE(2026,6,8),'DRAFT 2'!$A:$A,"&lt;="&amp;DATE(2026,6,14))</f>
        <v>0</v>
      </c>
      <c r="FG155">
        <f>COUNTIFS('DRAFT 2'!$D:$D,$B155,'DRAFT 2'!$A:$A,"&gt;="&amp;DATE(2026,6,15),'DRAFT 2'!$A:$A,"&lt;="&amp;DATE(2026,6,21))</f>
        <v>0</v>
      </c>
      <c r="FH155">
        <f>COUNTIFS('DRAFT 2'!$D:$D,$B155,'DRAFT 2'!$A:$A,"&gt;="&amp;DATE(2026,6,22),'DRAFT 2'!$A:$A,"&lt;"&amp;DATE(2026,IF(6=12,6+1,6+1),1))</f>
        <v>0</v>
      </c>
      <c r="FI155">
        <f t="shared" si="63"/>
        <v>0</v>
      </c>
      <c r="FT155">
        <f>IFERROR(LOOKUP(2,1/('DRAFT 2'!$D:$D=$B155)*('DRAFT 2'!$A:$A&gt;=DATE(2026,7,1))*('DRAFT 2'!$A:$A&lt;DATE(2026,IF(7=12,7+1,7+1),1)),'DRAFT 2'!$A:$A),"")</f>
        <v>0</v>
      </c>
      <c r="FU155">
        <f>COUNTIFS('DRAFT 2'!$D:$D,$B155,'DRAFT 2'!$A:$A,"&gt;="&amp;DATE(2026,7,1),'DRAFT 2'!$A:$A,"&lt;="&amp;DATE(2026,7,7))</f>
        <v>0</v>
      </c>
      <c r="FV155">
        <f>COUNTIFS('DRAFT 2'!$D:$D,$B155,'DRAFT 2'!$A:$A,"&gt;="&amp;DATE(2026,7,8),'DRAFT 2'!$A:$A,"&lt;="&amp;DATE(2026,7,14))</f>
        <v>0</v>
      </c>
      <c r="FW155">
        <f>COUNTIFS('DRAFT 2'!$D:$D,$B155,'DRAFT 2'!$A:$A,"&gt;="&amp;DATE(2026,7,15),'DRAFT 2'!$A:$A,"&lt;="&amp;DATE(2026,7,21))</f>
        <v>0</v>
      </c>
      <c r="FX155">
        <f>COUNTIFS('DRAFT 2'!$D:$D,$B155,'DRAFT 2'!$A:$A,"&gt;="&amp;DATE(2026,7,22),'DRAFT 2'!$A:$A,"&lt;"&amp;DATE(2026,IF(7=12,7+1,7+1),1))</f>
        <v>0</v>
      </c>
      <c r="FY155">
        <f t="shared" si="64"/>
        <v>0</v>
      </c>
      <c r="GI155">
        <f>IFERROR(LOOKUP(2,1/('DRAFT 2'!$D:$D=$B155)*('DRAFT 2'!$A:$A&gt;=DATE(2026,8,1))*('DRAFT 2'!$A:$A&lt;DATE(2026,IF(8=12,8+1,8+1),1)),'DRAFT 2'!$A:$A),"")</f>
        <v>0</v>
      </c>
      <c r="GJ155">
        <f>COUNTIFS('DRAFT 2'!$D:$D,$B155,'DRAFT 2'!$A:$A,"&gt;="&amp;DATE(2026,8,1),'DRAFT 2'!$A:$A,"&lt;="&amp;DATE(2026,8,7))</f>
        <v>0</v>
      </c>
      <c r="GK155">
        <f>COUNTIFS('DRAFT 2'!$D:$D,$B155,'DRAFT 2'!$A:$A,"&gt;="&amp;DATE(2026,8,8),'DRAFT 2'!$A:$A,"&lt;="&amp;DATE(2026,8,14))</f>
        <v>0</v>
      </c>
      <c r="GL155">
        <f>COUNTIFS('DRAFT 2'!$D:$D,$B155,'DRAFT 2'!$A:$A,"&gt;="&amp;DATE(2026,8,15),'DRAFT 2'!$A:$A,"&lt;="&amp;DATE(2026,8,21))</f>
        <v>0</v>
      </c>
      <c r="GM155">
        <f>COUNTIFS('DRAFT 2'!$D:$D,$B155,'DRAFT 2'!$A:$A,"&gt;="&amp;DATE(2026,8,22),'DRAFT 2'!$A:$A,"&lt;"&amp;DATE(2026,IF(8=12,8+1,8+1),1))</f>
        <v>0</v>
      </c>
      <c r="GN155">
        <f t="shared" si="65"/>
        <v>0</v>
      </c>
      <c r="GX155">
        <f>IFERROR(LOOKUP(2,1/('DRAFT 2'!$D:$D=$B155)*('DRAFT 2'!$A:$A&gt;=DATE(2026,9,1))*('DRAFT 2'!$A:$A&lt;DATE(2026,IF(9=12,9+1,9+1),1)),'DRAFT 2'!$A:$A),"")</f>
        <v>0</v>
      </c>
      <c r="GY155">
        <f>COUNTIFS('DRAFT 2'!$D:$D,$B155,'DRAFT 2'!$A:$A,"&gt;="&amp;DATE(2026,9,1),'DRAFT 2'!$A:$A,"&lt;="&amp;DATE(2026,9,7))</f>
        <v>0</v>
      </c>
      <c r="GZ155">
        <f>COUNTIFS('DRAFT 2'!$D:$D,$B155,'DRAFT 2'!$A:$A,"&gt;="&amp;DATE(2026,9,8),'DRAFT 2'!$A:$A,"&lt;="&amp;DATE(2026,9,14))</f>
        <v>0</v>
      </c>
      <c r="HA155">
        <f>COUNTIFS('DRAFT 2'!$D:$D,$B155,'DRAFT 2'!$A:$A,"&gt;="&amp;DATE(2026,9,15),'DRAFT 2'!$A:$A,"&lt;="&amp;DATE(2026,9,21))</f>
        <v>0</v>
      </c>
      <c r="HB155">
        <f>COUNTIFS('DRAFT 2'!$D:$D,$B155,'DRAFT 2'!$A:$A,"&gt;="&amp;DATE(2026,9,22),'DRAFT 2'!$A:$A,"&lt;"&amp;DATE(2026,IF(9=12,9+1,9+1),1))</f>
        <v>0</v>
      </c>
      <c r="HC155">
        <f t="shared" si="66"/>
        <v>0</v>
      </c>
      <c r="HN155">
        <f>IFERROR(LOOKUP(2,1/('DRAFT 2'!$D:$D=$B155)*('DRAFT 2'!$A:$A&gt;=DATE(2026,10,1))*('DRAFT 2'!$A:$A&lt;DATE(2026,IF(10=12,10+1,10+1),1)),'DRAFT 2'!$A:$A),"")</f>
        <v>0</v>
      </c>
      <c r="HO155">
        <f>COUNTIFS('DRAFT 2'!$D:$D,$B155,'DRAFT 2'!$A:$A,"&gt;="&amp;DATE(2026,10,1),'DRAFT 2'!$A:$A,"&lt;="&amp;DATE(2026,10,7))</f>
        <v>0</v>
      </c>
      <c r="HP155">
        <f>COUNTIFS('DRAFT 2'!$D:$D,$B155,'DRAFT 2'!$A:$A,"&gt;="&amp;DATE(2026,10,8),'DRAFT 2'!$A:$A,"&lt;="&amp;DATE(2026,10,14))</f>
        <v>0</v>
      </c>
      <c r="HQ155">
        <f>COUNTIFS('DRAFT 2'!$D:$D,$B155,'DRAFT 2'!$A:$A,"&gt;="&amp;DATE(2026,10,15),'DRAFT 2'!$A:$A,"&lt;="&amp;DATE(2026,10,21))</f>
        <v>0</v>
      </c>
      <c r="HR155">
        <f>COUNTIFS('DRAFT 2'!$D:$D,$B155,'DRAFT 2'!$A:$A,"&gt;="&amp;DATE(2026,10,22),'DRAFT 2'!$A:$A,"&lt;"&amp;DATE(2026,IF(10=12,10+1,10+1),1))</f>
        <v>0</v>
      </c>
      <c r="HS155">
        <f t="shared" si="67"/>
        <v>0</v>
      </c>
      <c r="IC155">
        <f>IFERROR(LOOKUP(2,1/('DRAFT 2'!$D:$D=$B155)*('DRAFT 2'!$A:$A&gt;=DATE(2026,11,1))*('DRAFT 2'!$A:$A&lt;DATE(2026,IF(11=12,11+1,11+1),1)),'DRAFT 2'!$A:$A),"")</f>
        <v>0</v>
      </c>
      <c r="ID155">
        <f>COUNTIFS('DRAFT 2'!$D:$D,$B155,'DRAFT 2'!$A:$A,"&gt;="&amp;DATE(2026,11,1),'DRAFT 2'!$A:$A,"&lt;="&amp;DATE(2026,11,7))</f>
        <v>0</v>
      </c>
      <c r="IE155">
        <f>COUNTIFS('DRAFT 2'!$D:$D,$B155,'DRAFT 2'!$A:$A,"&gt;="&amp;DATE(2026,11,8),'DRAFT 2'!$A:$A,"&lt;="&amp;DATE(2026,11,14))</f>
        <v>0</v>
      </c>
      <c r="IF155">
        <f>COUNTIFS('DRAFT 2'!$D:$D,$B155,'DRAFT 2'!$A:$A,"&gt;="&amp;DATE(2026,11,15),'DRAFT 2'!$A:$A,"&lt;="&amp;DATE(2026,11,21))</f>
        <v>0</v>
      </c>
      <c r="IG155">
        <f>COUNTIFS('DRAFT 2'!$D:$D,$B155,'DRAFT 2'!$A:$A,"&gt;="&amp;DATE(2026,11,22),'DRAFT 2'!$A:$A,"&lt;"&amp;DATE(2026,IF(11=12,11+1,11+1),1))</f>
        <v>0</v>
      </c>
      <c r="IH155">
        <f t="shared" si="68"/>
        <v>0</v>
      </c>
      <c r="IR155">
        <f>IFERROR(LOOKUP(2,1/('DRAFT 2'!$D:$D=$B155)*('DRAFT 2'!$A:$A&gt;=DATE(2026,12,1))*('DRAFT 2'!$A:$A&lt;DATE(2026,IF(12=12,12+1,12+1),1)),'DRAFT 2'!$A:$A),"")</f>
        <v>0</v>
      </c>
      <c r="IS155">
        <f>COUNTIFS('DRAFT 2'!$D:$D,$B155,'DRAFT 2'!$A:$A,"&gt;="&amp;DATE(2026,12,1),'DRAFT 2'!$A:$A,"&lt;="&amp;DATE(2026,12,7))</f>
        <v>0</v>
      </c>
      <c r="IT155">
        <f>COUNTIFS('DRAFT 2'!$D:$D,$B155,'DRAFT 2'!$A:$A,"&gt;="&amp;DATE(2026,12,8),'DRAFT 2'!$A:$A,"&lt;="&amp;DATE(2026,12,14))</f>
        <v>0</v>
      </c>
      <c r="IU155">
        <f>COUNTIFS('DRAFT 2'!$D:$D,$B155,'DRAFT 2'!$A:$A,"&gt;="&amp;DATE(2026,12,15),'DRAFT 2'!$A:$A,"&lt;="&amp;DATE(2026,12,21))</f>
        <v>0</v>
      </c>
      <c r="IV155">
        <f>COUNTIFS('DRAFT 2'!$D:$D,$B155,'DRAFT 2'!$A:$A,"&gt;="&amp;DATE(2026,12,22),'DRAFT 2'!$A:$A,"&lt;"&amp;DATE(2026,IF(12=12,12+1,12+1),1))</f>
        <v>0</v>
      </c>
      <c r="IW155">
        <f t="shared" si="69"/>
        <v>0</v>
      </c>
    </row>
    <row r="156" spans="1:257" x14ac:dyDescent="0.3">
      <c r="A156" t="str">
        <f>IFERROR(INDEX('DRAFT 1'!$A:$A,MATCH($B156,'DRAFT 1'!$B:$B,0)),"")</f>
        <v/>
      </c>
      <c r="C156" t="str">
        <f>IFERROR(INDEX('DRAFT 1'!$C:$C,MATCH($B156,'DRAFT 1'!$B:$B,0)),"")</f>
        <v/>
      </c>
      <c r="D156" t="str">
        <f>IFERROR(INDEX('DRAFT 1'!$D:$D,MATCH($B156,'DRAFT 1'!$B:$B,0)),"")</f>
        <v/>
      </c>
      <c r="E156" t="str">
        <f>IFERROR(INDEX('DRAFT 1'!$E:$E,MATCH($B156,'DRAFT 1'!$B:$B,0)),"")</f>
        <v/>
      </c>
      <c r="F156" t="str">
        <f>IFERROR(INDEX('DRAFT 1'!$F:$F,MATCH($B156,'DRAFT 1'!$B:$B,0)),"")</f>
        <v/>
      </c>
      <c r="G156" t="str">
        <f>IFERROR(INDEX('DRAFT 1'!$G:$G,MATCH($B156,'DRAFT 1'!$B:$B,0)),"")</f>
        <v/>
      </c>
      <c r="H156" t="str">
        <f>IFERROR(INDEX('DRAFT 1'!$H:$H,MATCH($B156,'DRAFT 1'!$B:$B,0)),"")</f>
        <v/>
      </c>
      <c r="I156" t="str">
        <f>IFERROR(INDEX('DRAFT 1'!$I:$I,MATCH($B156,'DRAFT 1'!$B:$B,0)),"")</f>
        <v/>
      </c>
      <c r="K156" t="str">
        <f>IFERROR(INDEX('DRAFT 1'!$AL:$AL,MATCH($B156,'DRAFT 1'!$B:$B,0)),"")</f>
        <v/>
      </c>
      <c r="L156" t="str">
        <f>IFERROR(INDEX('DRAFT 1'!$J:$J,MATCH($B156,'DRAFT 1'!$B:$B,0)),"")</f>
        <v/>
      </c>
      <c r="M156" t="str">
        <f>IFERROR(INDEX('DRAFT 1'!$K:$K,MATCH($B156,'DRAFT 1'!$B:$B,0)),"")</f>
        <v/>
      </c>
      <c r="P156" t="str">
        <f>IFERROR(INDEX('DRAFT 1'!$L:$L,MATCH($B156,'DRAFT 1'!$B:$B,0)),"")</f>
        <v/>
      </c>
      <c r="Q156" t="str">
        <f>IFERROR(INDEX('DRAFT 1'!$M:$M,MATCH($B156,'DRAFT 1'!$B:$B,0)),"")</f>
        <v/>
      </c>
      <c r="R156" t="str">
        <f>IFERROR(INDEX('DRAFT 1'!$N:$N,MATCH($B156,'DRAFT 1'!$B:$B,0)),"")</f>
        <v/>
      </c>
      <c r="S156" t="str">
        <f>IFERROR(INDEX('DRAFT 1'!$O:$O,MATCH($B156,'DRAFT 1'!$B:$B,0)),"")</f>
        <v/>
      </c>
      <c r="T156" t="str">
        <f>IFERROR(INDEX('DRAFT 1'!$P:$P,MATCH($B156,'DRAFT 1'!$B:$B,0)),"")</f>
        <v/>
      </c>
      <c r="U156" t="str">
        <f>IFERROR(INDEX('DRAFT 1'!$Q:$Q,MATCH($B156,'DRAFT 1'!$B:$B,0)),"")</f>
        <v/>
      </c>
      <c r="V156" t="str">
        <f>IFERROR(INDEX('DRAFT 1'!$R:$R,MATCH($B156,'DRAFT 1'!$B:$B,0)),"")</f>
        <v/>
      </c>
      <c r="W156" t="str">
        <f>IFERROR(INDEX('DRAFT 1'!$S:$S,MATCH($B156,'DRAFT 1'!$B:$B,0)),"")</f>
        <v/>
      </c>
      <c r="X156" t="str">
        <f>IFERROR(INDEX('DRAFT 1'!$T:$T,MATCH($B156,'DRAFT 1'!$B:$B,0)),"")</f>
        <v/>
      </c>
      <c r="Z156" t="str">
        <f>IFERROR(INDEX('DRAFT 1'!$U:$U,MATCH($B156,'DRAFT 1'!$B:$B,0)),"")</f>
        <v/>
      </c>
      <c r="AA156" t="str">
        <f>IFERROR(INDEX('DRAFT 1'!$V:$V,MATCH($B156,'DRAFT 1'!$B:$B,0)),"")</f>
        <v/>
      </c>
      <c r="AB156" t="str">
        <f>IFERROR(INDEX('DRAFT 1'!$W:$W,MATCH($B156,'DRAFT 1'!$B:$B,0)),"")</f>
        <v/>
      </c>
      <c r="AC156" t="str">
        <f>IFERROR(INDEX('DRAFT 1'!$X:$X,MATCH($B156,'DRAFT 1'!$B:$B,0)),"")</f>
        <v/>
      </c>
      <c r="AD156" t="str">
        <f>IFERROR(INDEX('DRAFT 1'!$Y:$Y,MATCH($B156,'DRAFT 1'!$B:$B,0)),"")</f>
        <v/>
      </c>
      <c r="AE156" t="str">
        <f>IFERROR(INDEX('DRAFT 1'!$Z:$Z,MATCH($B156,'DRAFT 1'!$B:$B,0)),"")</f>
        <v/>
      </c>
      <c r="AF156" t="str">
        <f>IFERROR(INDEX('DRAFT 1'!$AA:$AA,MATCH($B156,'DRAFT 1'!$B:$B,0)),"")</f>
        <v/>
      </c>
      <c r="AG156" t="str">
        <f>IFERROR(INDEX('DRAFT 1'!$AB:$AB,MATCH($B156,'DRAFT 1'!$B:$B,0)),"")</f>
        <v/>
      </c>
      <c r="AH156" t="str">
        <f>IFERROR(INDEX('DRAFT 1'!$AC:$AC,MATCH($B156,'DRAFT 1'!$B:$B,0)),"")</f>
        <v/>
      </c>
      <c r="AI156" t="str">
        <f>IFERROR(INDEX('DRAFT 1'!$AD:$AD,MATCH($B156,'DRAFT 1'!$B:$B,0)),"")</f>
        <v/>
      </c>
      <c r="AJ156" t="str">
        <f>IFERROR(INDEX('DRAFT 1'!$AE:$AE,MATCH($B156,'DRAFT 1'!$B:$B,0)),"")</f>
        <v/>
      </c>
      <c r="AK156" t="str">
        <f>IFERROR(INDEX('DRAFT 1'!$AG:$AG,MATCH($B156,'DRAFT 1'!$B:$B,0)),"")</f>
        <v/>
      </c>
      <c r="AL156" t="str">
        <f>IFERROR(INDEX('DRAFT 1'!$AH:$AH,MATCH($B156,'DRAFT 1'!$B:$B,0)),"")</f>
        <v/>
      </c>
      <c r="AM156" t="str">
        <f>IFERROR(INDEX('DRAFT 1'!$AI:$AI,MATCH($B156,'DRAFT 1'!$B:$B,0)),"")</f>
        <v/>
      </c>
      <c r="AN156" t="str">
        <f>IFERROR(INDEX('DRAFT 1'!$AJ:$AJ,MATCH($B156,'DRAFT 1'!$B:$B,0)),"")</f>
        <v/>
      </c>
      <c r="AO156">
        <f t="shared" si="56"/>
        <v>0</v>
      </c>
      <c r="AP156" t="str">
        <f>IFERROR(INDEX('DRAFT 1'!$AK:$AK,MATCH($B156,'DRAFT 1'!$B:$B,0)),"")</f>
        <v/>
      </c>
      <c r="AR156">
        <f>IFERROR(LOOKUP(2,1/('DRAFT 2'!$D:$D=$B156),'DRAFT 2'!$I:$I),"")</f>
        <v>0</v>
      </c>
      <c r="AS156">
        <f>IFERROR(LOOKUP(2,1/('DRAFT 2'!$D:$D=$B156),'DRAFT 2'!$T:$T),"")</f>
        <v>0</v>
      </c>
      <c r="AT156">
        <f>IFERROR(LOOKUP(2,1/('DRAFT 2'!$D:$D=$B156),'DRAFT 2'!$A:$A),"")</f>
        <v>0</v>
      </c>
      <c r="AU156">
        <f>IFERROR(LOOKUP(2,1/('DRAFT 2'!$D:$D=$B156),'DRAFT 2'!$R:$R),"")</f>
        <v>0</v>
      </c>
      <c r="AV156">
        <f>IFERROR(LOOKUP(2,1/('DRAFT 2'!$D:$D=$B156),'DRAFT 2'!$S:$S),"")</f>
        <v>0</v>
      </c>
      <c r="AX156">
        <f>IFERROR(LOOKUP(2,1/('DRAFT 2'!$D:$D=$B156),'DRAFT 2'!$M:$M),"")</f>
        <v>0</v>
      </c>
      <c r="AY156">
        <f>IFERROR(LOOKUP(2,1/('DRAFT 2'!$D:$D=$B156),'DRAFT 2'!$K:$K),"")</f>
        <v>0</v>
      </c>
      <c r="BG156">
        <f>IFERROR(LOOKUP(2,1/('DRAFT 2'!$D:$D=$B156),'DRAFT 2'!$U:$U),"")</f>
        <v>0</v>
      </c>
      <c r="BH156">
        <f>IFERROR(LOOKUP(2,1/('DRAFT 2'!$D:$D=$B156),'DRAFT 2'!$V:$V),"")</f>
        <v>0</v>
      </c>
      <c r="CE156" t="str">
        <f t="shared" si="57"/>
        <v/>
      </c>
      <c r="CF156">
        <f>IFERROR(LOOKUP(2,1/('DRAFT 2'!$D:$D=$B156)*('DRAFT 2'!$A:$A&gt;=DATE(2026,1,1))*('DRAFT 2'!$A:$A&lt;DATE(2026,IF(1=12,1+1,1+1),1)),'DRAFT 2'!$A:$A),"")</f>
        <v>0</v>
      </c>
      <c r="CG156">
        <f>COUNTIFS('DRAFT 2'!$D:$D,$B156,'DRAFT 2'!$A:$A,"&gt;="&amp;DATE(2026,1,1),'DRAFT 2'!$A:$A,"&lt;="&amp;DATE(2026,1,7))</f>
        <v>0</v>
      </c>
      <c r="CH156">
        <f>COUNTIFS('DRAFT 2'!$D:$D,$B156,'DRAFT 2'!$A:$A,"&gt;="&amp;DATE(2026,1,8),'DRAFT 2'!$A:$A,"&lt;="&amp;DATE(2026,1,14))</f>
        <v>0</v>
      </c>
      <c r="CI156">
        <f>COUNTIFS('DRAFT 2'!$D:$D,$B156,'DRAFT 2'!$A:$A,"&gt;="&amp;DATE(2026,1,15),'DRAFT 2'!$A:$A,"&lt;="&amp;DATE(2026,1,21))</f>
        <v>0</v>
      </c>
      <c r="CJ156">
        <f>COUNTIFS('DRAFT 2'!$D:$D,$B156,'DRAFT 2'!$A:$A,"&gt;="&amp;DATE(2026,1,22),'DRAFT 2'!$A:$A,"&lt;"&amp;DATE(2026,IF(1=12,1+1,1+1),1))</f>
        <v>0</v>
      </c>
      <c r="CK156">
        <f t="shared" si="58"/>
        <v>0</v>
      </c>
      <c r="CT156">
        <v>0</v>
      </c>
      <c r="CU156">
        <f>IFERROR(LOOKUP(2,1/('DRAFT 2'!$D:$D=$B156)*('DRAFT 2'!$A:$A&gt;=DATE(2026,2,1))*('DRAFT 2'!$A:$A&lt;DATE(2026,IF(2=12,2+1,2+1),1)),'DRAFT 2'!$A:$A),"")</f>
        <v>0</v>
      </c>
      <c r="CV156">
        <f>COUNTIFS('DRAFT 2'!$D:$D,$B156,'DRAFT 2'!$A:$A,"&gt;="&amp;DATE(2026,2,1),'DRAFT 2'!$A:$A,"&lt;="&amp;DATE(2026,2,7))</f>
        <v>0</v>
      </c>
      <c r="CW156">
        <f>COUNTIFS('DRAFT 2'!$D:$D,$B156,'DRAFT 2'!$A:$A,"&gt;="&amp;DATE(2026,2,8),'DRAFT 2'!$A:$A,"&lt;="&amp;DATE(2026,2,14))</f>
        <v>0</v>
      </c>
      <c r="CX156">
        <f>COUNTIFS('DRAFT 2'!$D:$D,$B156,'DRAFT 2'!$A:$A,"&gt;="&amp;DATE(2026,2,15),'DRAFT 2'!$A:$A,"&lt;="&amp;DATE(2026,2,21))</f>
        <v>0</v>
      </c>
      <c r="CY156">
        <f>COUNTIFS('DRAFT 2'!$D:$D,$B156,'DRAFT 2'!$A:$A,"&gt;="&amp;DATE(2026,2,22),'DRAFT 2'!$A:$A,"&lt;"&amp;DATE(2026,IF(2=12,2+1,2+1),1))</f>
        <v>0</v>
      </c>
      <c r="CZ156">
        <f t="shared" si="59"/>
        <v>0</v>
      </c>
      <c r="DJ156">
        <f>IFERROR(LOOKUP(2,1/('DRAFT 2'!$D:$D=$B156)*('DRAFT 2'!$A:$A&gt;=DATE(2026,3,1))*('DRAFT 2'!$A:$A&lt;DATE(2026,IF(3=12,3+1,3+1),1)),'DRAFT 2'!$A:$A),"")</f>
        <v>0</v>
      </c>
      <c r="DK156">
        <f>COUNTIFS('DRAFT 2'!$D:$D,$B156,'DRAFT 2'!$A:$A,"&gt;="&amp;DATE(2026,3,1),'DRAFT 2'!$A:$A,"&lt;="&amp;DATE(2026,3,7))</f>
        <v>0</v>
      </c>
      <c r="DL156">
        <f>COUNTIFS('DRAFT 2'!$D:$D,$B156,'DRAFT 2'!$A:$A,"&gt;="&amp;DATE(2026,3,8),'DRAFT 2'!$A:$A,"&lt;="&amp;DATE(2026,3,14))</f>
        <v>0</v>
      </c>
      <c r="DM156">
        <f>COUNTIFS('DRAFT 2'!$D:$D,$B156,'DRAFT 2'!$A:$A,"&gt;="&amp;DATE(2026,3,15),'DRAFT 2'!$A:$A,"&lt;="&amp;DATE(2026,3,21))</f>
        <v>0</v>
      </c>
      <c r="DN156">
        <f>COUNTIFS('DRAFT 2'!$D:$D,$B156,'DRAFT 2'!$A:$A,"&gt;="&amp;DATE(2026,3,22),'DRAFT 2'!$A:$A,"&lt;"&amp;DATE(2026,IF(3=12,3+1,3+1),1))</f>
        <v>0</v>
      </c>
      <c r="DO156">
        <f t="shared" si="60"/>
        <v>0</v>
      </c>
      <c r="DZ156">
        <f>IFERROR(LOOKUP(2,1/('DRAFT 2'!$D:$D=$B156)*('DRAFT 2'!$A:$A&gt;=DATE(2026,4,1))*('DRAFT 2'!$A:$A&lt;DATE(2026,IF(4=12,4+1,4+1),1)),'DRAFT 2'!$A:$A),"")</f>
        <v>0</v>
      </c>
      <c r="EA156">
        <f>COUNTIFS('DRAFT 2'!$D:$D,$B156,'DRAFT 2'!$A:$A,"&gt;="&amp;DATE(2026,4,1),'DRAFT 2'!$A:$A,"&lt;="&amp;DATE(2026,4,7))</f>
        <v>0</v>
      </c>
      <c r="EB156">
        <f>COUNTIFS('DRAFT 2'!$D:$D,$B156,'DRAFT 2'!$A:$A,"&gt;="&amp;DATE(2026,4,8),'DRAFT 2'!$A:$A,"&lt;="&amp;DATE(2026,4,14))</f>
        <v>0</v>
      </c>
      <c r="EC156">
        <f>COUNTIFS('DRAFT 2'!$D:$D,$B156,'DRAFT 2'!$A:$A,"&gt;="&amp;DATE(2026,4,15),'DRAFT 2'!$A:$A,"&lt;="&amp;DATE(2026,4,21))</f>
        <v>0</v>
      </c>
      <c r="ED156">
        <f>COUNTIFS('DRAFT 2'!$D:$D,$B156,'DRAFT 2'!$A:$A,"&gt;="&amp;DATE(2026,4,22),'DRAFT 2'!$A:$A,"&lt;"&amp;DATE(2026,IF(4=12,4+1,4+1),1))</f>
        <v>0</v>
      </c>
      <c r="EE156">
        <f t="shared" si="61"/>
        <v>0</v>
      </c>
      <c r="EO156">
        <f>IFERROR(LOOKUP(2,1/('DRAFT 2'!$D:$D=$B156)*('DRAFT 2'!$A:$A&gt;=DATE(2026,5,1))*('DRAFT 2'!$A:$A&lt;DATE(2026,IF(5=12,5+1,5+1),1)),'DRAFT 2'!$A:$A),"")</f>
        <v>0</v>
      </c>
      <c r="EP156">
        <f>COUNTIFS('DRAFT 2'!$D:$D,$B156,'DRAFT 2'!$A:$A,"&gt;="&amp;DATE(2026,5,1),'DRAFT 2'!$A:$A,"&lt;="&amp;DATE(2026,5,7))</f>
        <v>0</v>
      </c>
      <c r="EQ156">
        <f>COUNTIFS('DRAFT 2'!$D:$D,$B156,'DRAFT 2'!$A:$A,"&gt;="&amp;DATE(2026,5,8),'DRAFT 2'!$A:$A,"&lt;="&amp;DATE(2026,5,14))</f>
        <v>0</v>
      </c>
      <c r="ER156">
        <f>COUNTIFS('DRAFT 2'!$D:$D,$B156,'DRAFT 2'!$A:$A,"&gt;="&amp;DATE(2026,5,15),'DRAFT 2'!$A:$A,"&lt;="&amp;DATE(2026,5,21))</f>
        <v>0</v>
      </c>
      <c r="ES156">
        <f>COUNTIFS('DRAFT 2'!$D:$D,$B156,'DRAFT 2'!$A:$A,"&gt;="&amp;DATE(2026,5,22),'DRAFT 2'!$A:$A,"&lt;"&amp;DATE(2026,IF(5=12,5+1,5+1),1))</f>
        <v>0</v>
      </c>
      <c r="ET156">
        <f t="shared" si="62"/>
        <v>0</v>
      </c>
      <c r="FD156">
        <f>IFERROR(LOOKUP(2,1/('DRAFT 2'!$D:$D=$B156)*('DRAFT 2'!$A:$A&gt;=DATE(2026,6,1))*('DRAFT 2'!$A:$A&lt;DATE(2026,IF(6=12,6+1,6+1),1)),'DRAFT 2'!$A:$A),"")</f>
        <v>0</v>
      </c>
      <c r="FE156">
        <f>COUNTIFS('DRAFT 2'!$D:$D,$B156,'DRAFT 2'!$A:$A,"&gt;="&amp;DATE(2026,6,1),'DRAFT 2'!$A:$A,"&lt;="&amp;DATE(2026,6,7))</f>
        <v>0</v>
      </c>
      <c r="FF156">
        <f>COUNTIFS('DRAFT 2'!$D:$D,$B156,'DRAFT 2'!$A:$A,"&gt;="&amp;DATE(2026,6,8),'DRAFT 2'!$A:$A,"&lt;="&amp;DATE(2026,6,14))</f>
        <v>0</v>
      </c>
      <c r="FG156">
        <f>COUNTIFS('DRAFT 2'!$D:$D,$B156,'DRAFT 2'!$A:$A,"&gt;="&amp;DATE(2026,6,15),'DRAFT 2'!$A:$A,"&lt;="&amp;DATE(2026,6,21))</f>
        <v>0</v>
      </c>
      <c r="FH156">
        <f>COUNTIFS('DRAFT 2'!$D:$D,$B156,'DRAFT 2'!$A:$A,"&gt;="&amp;DATE(2026,6,22),'DRAFT 2'!$A:$A,"&lt;"&amp;DATE(2026,IF(6=12,6+1,6+1),1))</f>
        <v>0</v>
      </c>
      <c r="FI156">
        <f t="shared" si="63"/>
        <v>0</v>
      </c>
      <c r="FT156">
        <f>IFERROR(LOOKUP(2,1/('DRAFT 2'!$D:$D=$B156)*('DRAFT 2'!$A:$A&gt;=DATE(2026,7,1))*('DRAFT 2'!$A:$A&lt;DATE(2026,IF(7=12,7+1,7+1),1)),'DRAFT 2'!$A:$A),"")</f>
        <v>0</v>
      </c>
      <c r="FU156">
        <f>COUNTIFS('DRAFT 2'!$D:$D,$B156,'DRAFT 2'!$A:$A,"&gt;="&amp;DATE(2026,7,1),'DRAFT 2'!$A:$A,"&lt;="&amp;DATE(2026,7,7))</f>
        <v>0</v>
      </c>
      <c r="FV156">
        <f>COUNTIFS('DRAFT 2'!$D:$D,$B156,'DRAFT 2'!$A:$A,"&gt;="&amp;DATE(2026,7,8),'DRAFT 2'!$A:$A,"&lt;="&amp;DATE(2026,7,14))</f>
        <v>0</v>
      </c>
      <c r="FW156">
        <f>COUNTIFS('DRAFT 2'!$D:$D,$B156,'DRAFT 2'!$A:$A,"&gt;="&amp;DATE(2026,7,15),'DRAFT 2'!$A:$A,"&lt;="&amp;DATE(2026,7,21))</f>
        <v>0</v>
      </c>
      <c r="FX156">
        <f>COUNTIFS('DRAFT 2'!$D:$D,$B156,'DRAFT 2'!$A:$A,"&gt;="&amp;DATE(2026,7,22),'DRAFT 2'!$A:$A,"&lt;"&amp;DATE(2026,IF(7=12,7+1,7+1),1))</f>
        <v>0</v>
      </c>
      <c r="FY156">
        <f t="shared" si="64"/>
        <v>0</v>
      </c>
      <c r="GI156">
        <f>IFERROR(LOOKUP(2,1/('DRAFT 2'!$D:$D=$B156)*('DRAFT 2'!$A:$A&gt;=DATE(2026,8,1))*('DRAFT 2'!$A:$A&lt;DATE(2026,IF(8=12,8+1,8+1),1)),'DRAFT 2'!$A:$A),"")</f>
        <v>0</v>
      </c>
      <c r="GJ156">
        <f>COUNTIFS('DRAFT 2'!$D:$D,$B156,'DRAFT 2'!$A:$A,"&gt;="&amp;DATE(2026,8,1),'DRAFT 2'!$A:$A,"&lt;="&amp;DATE(2026,8,7))</f>
        <v>0</v>
      </c>
      <c r="GK156">
        <f>COUNTIFS('DRAFT 2'!$D:$D,$B156,'DRAFT 2'!$A:$A,"&gt;="&amp;DATE(2026,8,8),'DRAFT 2'!$A:$A,"&lt;="&amp;DATE(2026,8,14))</f>
        <v>0</v>
      </c>
      <c r="GL156">
        <f>COUNTIFS('DRAFT 2'!$D:$D,$B156,'DRAFT 2'!$A:$A,"&gt;="&amp;DATE(2026,8,15),'DRAFT 2'!$A:$A,"&lt;="&amp;DATE(2026,8,21))</f>
        <v>0</v>
      </c>
      <c r="GM156">
        <f>COUNTIFS('DRAFT 2'!$D:$D,$B156,'DRAFT 2'!$A:$A,"&gt;="&amp;DATE(2026,8,22),'DRAFT 2'!$A:$A,"&lt;"&amp;DATE(2026,IF(8=12,8+1,8+1),1))</f>
        <v>0</v>
      </c>
      <c r="GN156">
        <f t="shared" si="65"/>
        <v>0</v>
      </c>
      <c r="GX156">
        <f>IFERROR(LOOKUP(2,1/('DRAFT 2'!$D:$D=$B156)*('DRAFT 2'!$A:$A&gt;=DATE(2026,9,1))*('DRAFT 2'!$A:$A&lt;DATE(2026,IF(9=12,9+1,9+1),1)),'DRAFT 2'!$A:$A),"")</f>
        <v>0</v>
      </c>
      <c r="GY156">
        <f>COUNTIFS('DRAFT 2'!$D:$D,$B156,'DRAFT 2'!$A:$A,"&gt;="&amp;DATE(2026,9,1),'DRAFT 2'!$A:$A,"&lt;="&amp;DATE(2026,9,7))</f>
        <v>0</v>
      </c>
      <c r="GZ156">
        <f>COUNTIFS('DRAFT 2'!$D:$D,$B156,'DRAFT 2'!$A:$A,"&gt;="&amp;DATE(2026,9,8),'DRAFT 2'!$A:$A,"&lt;="&amp;DATE(2026,9,14))</f>
        <v>0</v>
      </c>
      <c r="HA156">
        <f>COUNTIFS('DRAFT 2'!$D:$D,$B156,'DRAFT 2'!$A:$A,"&gt;="&amp;DATE(2026,9,15),'DRAFT 2'!$A:$A,"&lt;="&amp;DATE(2026,9,21))</f>
        <v>0</v>
      </c>
      <c r="HB156">
        <f>COUNTIFS('DRAFT 2'!$D:$D,$B156,'DRAFT 2'!$A:$A,"&gt;="&amp;DATE(2026,9,22),'DRAFT 2'!$A:$A,"&lt;"&amp;DATE(2026,IF(9=12,9+1,9+1),1))</f>
        <v>0</v>
      </c>
      <c r="HC156">
        <f t="shared" si="66"/>
        <v>0</v>
      </c>
      <c r="HN156">
        <f>IFERROR(LOOKUP(2,1/('DRAFT 2'!$D:$D=$B156)*('DRAFT 2'!$A:$A&gt;=DATE(2026,10,1))*('DRAFT 2'!$A:$A&lt;DATE(2026,IF(10=12,10+1,10+1),1)),'DRAFT 2'!$A:$A),"")</f>
        <v>0</v>
      </c>
      <c r="HO156">
        <f>COUNTIFS('DRAFT 2'!$D:$D,$B156,'DRAFT 2'!$A:$A,"&gt;="&amp;DATE(2026,10,1),'DRAFT 2'!$A:$A,"&lt;="&amp;DATE(2026,10,7))</f>
        <v>0</v>
      </c>
      <c r="HP156">
        <f>COUNTIFS('DRAFT 2'!$D:$D,$B156,'DRAFT 2'!$A:$A,"&gt;="&amp;DATE(2026,10,8),'DRAFT 2'!$A:$A,"&lt;="&amp;DATE(2026,10,14))</f>
        <v>0</v>
      </c>
      <c r="HQ156">
        <f>COUNTIFS('DRAFT 2'!$D:$D,$B156,'DRAFT 2'!$A:$A,"&gt;="&amp;DATE(2026,10,15),'DRAFT 2'!$A:$A,"&lt;="&amp;DATE(2026,10,21))</f>
        <v>0</v>
      </c>
      <c r="HR156">
        <f>COUNTIFS('DRAFT 2'!$D:$D,$B156,'DRAFT 2'!$A:$A,"&gt;="&amp;DATE(2026,10,22),'DRAFT 2'!$A:$A,"&lt;"&amp;DATE(2026,IF(10=12,10+1,10+1),1))</f>
        <v>0</v>
      </c>
      <c r="HS156">
        <f t="shared" si="67"/>
        <v>0</v>
      </c>
      <c r="IC156">
        <f>IFERROR(LOOKUP(2,1/('DRAFT 2'!$D:$D=$B156)*('DRAFT 2'!$A:$A&gt;=DATE(2026,11,1))*('DRAFT 2'!$A:$A&lt;DATE(2026,IF(11=12,11+1,11+1),1)),'DRAFT 2'!$A:$A),"")</f>
        <v>0</v>
      </c>
      <c r="ID156">
        <f>COUNTIFS('DRAFT 2'!$D:$D,$B156,'DRAFT 2'!$A:$A,"&gt;="&amp;DATE(2026,11,1),'DRAFT 2'!$A:$A,"&lt;="&amp;DATE(2026,11,7))</f>
        <v>0</v>
      </c>
      <c r="IE156">
        <f>COUNTIFS('DRAFT 2'!$D:$D,$B156,'DRAFT 2'!$A:$A,"&gt;="&amp;DATE(2026,11,8),'DRAFT 2'!$A:$A,"&lt;="&amp;DATE(2026,11,14))</f>
        <v>0</v>
      </c>
      <c r="IF156">
        <f>COUNTIFS('DRAFT 2'!$D:$D,$B156,'DRAFT 2'!$A:$A,"&gt;="&amp;DATE(2026,11,15),'DRAFT 2'!$A:$A,"&lt;="&amp;DATE(2026,11,21))</f>
        <v>0</v>
      </c>
      <c r="IG156">
        <f>COUNTIFS('DRAFT 2'!$D:$D,$B156,'DRAFT 2'!$A:$A,"&gt;="&amp;DATE(2026,11,22),'DRAFT 2'!$A:$A,"&lt;"&amp;DATE(2026,IF(11=12,11+1,11+1),1))</f>
        <v>0</v>
      </c>
      <c r="IH156">
        <f t="shared" si="68"/>
        <v>0</v>
      </c>
      <c r="IR156">
        <f>IFERROR(LOOKUP(2,1/('DRAFT 2'!$D:$D=$B156)*('DRAFT 2'!$A:$A&gt;=DATE(2026,12,1))*('DRAFT 2'!$A:$A&lt;DATE(2026,IF(12=12,12+1,12+1),1)),'DRAFT 2'!$A:$A),"")</f>
        <v>0</v>
      </c>
      <c r="IS156">
        <f>COUNTIFS('DRAFT 2'!$D:$D,$B156,'DRAFT 2'!$A:$A,"&gt;="&amp;DATE(2026,12,1),'DRAFT 2'!$A:$A,"&lt;="&amp;DATE(2026,12,7))</f>
        <v>0</v>
      </c>
      <c r="IT156">
        <f>COUNTIFS('DRAFT 2'!$D:$D,$B156,'DRAFT 2'!$A:$A,"&gt;="&amp;DATE(2026,12,8),'DRAFT 2'!$A:$A,"&lt;="&amp;DATE(2026,12,14))</f>
        <v>0</v>
      </c>
      <c r="IU156">
        <f>COUNTIFS('DRAFT 2'!$D:$D,$B156,'DRAFT 2'!$A:$A,"&gt;="&amp;DATE(2026,12,15),'DRAFT 2'!$A:$A,"&lt;="&amp;DATE(2026,12,21))</f>
        <v>0</v>
      </c>
      <c r="IV156">
        <f>COUNTIFS('DRAFT 2'!$D:$D,$B156,'DRAFT 2'!$A:$A,"&gt;="&amp;DATE(2026,12,22),'DRAFT 2'!$A:$A,"&lt;"&amp;DATE(2026,IF(12=12,12+1,12+1),1))</f>
        <v>0</v>
      </c>
      <c r="IW156">
        <f t="shared" si="69"/>
        <v>0</v>
      </c>
    </row>
    <row r="157" spans="1:257" x14ac:dyDescent="0.3">
      <c r="A157" t="str">
        <f>IFERROR(INDEX('DRAFT 1'!$A:$A,MATCH($B157,'DRAFT 1'!$B:$B,0)),"")</f>
        <v/>
      </c>
      <c r="C157" t="str">
        <f>IFERROR(INDEX('DRAFT 1'!$C:$C,MATCH($B157,'DRAFT 1'!$B:$B,0)),"")</f>
        <v/>
      </c>
      <c r="D157" t="str">
        <f>IFERROR(INDEX('DRAFT 1'!$D:$D,MATCH($B157,'DRAFT 1'!$B:$B,0)),"")</f>
        <v/>
      </c>
      <c r="E157" t="str">
        <f>IFERROR(INDEX('DRAFT 1'!$E:$E,MATCH($B157,'DRAFT 1'!$B:$B,0)),"")</f>
        <v/>
      </c>
      <c r="F157" t="str">
        <f>IFERROR(INDEX('DRAFT 1'!$F:$F,MATCH($B157,'DRAFT 1'!$B:$B,0)),"")</f>
        <v/>
      </c>
      <c r="G157" t="str">
        <f>IFERROR(INDEX('DRAFT 1'!$G:$G,MATCH($B157,'DRAFT 1'!$B:$B,0)),"")</f>
        <v/>
      </c>
      <c r="H157" t="str">
        <f>IFERROR(INDEX('DRAFT 1'!$H:$H,MATCH($B157,'DRAFT 1'!$B:$B,0)),"")</f>
        <v/>
      </c>
      <c r="I157" t="str">
        <f>IFERROR(INDEX('DRAFT 1'!$I:$I,MATCH($B157,'DRAFT 1'!$B:$B,0)),"")</f>
        <v/>
      </c>
      <c r="K157" t="str">
        <f>IFERROR(INDEX('DRAFT 1'!$AL:$AL,MATCH($B157,'DRAFT 1'!$B:$B,0)),"")</f>
        <v/>
      </c>
      <c r="L157" t="str">
        <f>IFERROR(INDEX('DRAFT 1'!$J:$J,MATCH($B157,'DRAFT 1'!$B:$B,0)),"")</f>
        <v/>
      </c>
      <c r="M157" t="str">
        <f>IFERROR(INDEX('DRAFT 1'!$K:$K,MATCH($B157,'DRAFT 1'!$B:$B,0)),"")</f>
        <v/>
      </c>
      <c r="P157" t="str">
        <f>IFERROR(INDEX('DRAFT 1'!$L:$L,MATCH($B157,'DRAFT 1'!$B:$B,0)),"")</f>
        <v/>
      </c>
      <c r="Q157" t="str">
        <f>IFERROR(INDEX('DRAFT 1'!$M:$M,MATCH($B157,'DRAFT 1'!$B:$B,0)),"")</f>
        <v/>
      </c>
      <c r="R157" t="str">
        <f>IFERROR(INDEX('DRAFT 1'!$N:$N,MATCH($B157,'DRAFT 1'!$B:$B,0)),"")</f>
        <v/>
      </c>
      <c r="S157" t="str">
        <f>IFERROR(INDEX('DRAFT 1'!$O:$O,MATCH($B157,'DRAFT 1'!$B:$B,0)),"")</f>
        <v/>
      </c>
      <c r="T157" t="str">
        <f>IFERROR(INDEX('DRAFT 1'!$P:$P,MATCH($B157,'DRAFT 1'!$B:$B,0)),"")</f>
        <v/>
      </c>
      <c r="U157" t="str">
        <f>IFERROR(INDEX('DRAFT 1'!$Q:$Q,MATCH($B157,'DRAFT 1'!$B:$B,0)),"")</f>
        <v/>
      </c>
      <c r="V157" t="str">
        <f>IFERROR(INDEX('DRAFT 1'!$R:$R,MATCH($B157,'DRAFT 1'!$B:$B,0)),"")</f>
        <v/>
      </c>
      <c r="W157" t="str">
        <f>IFERROR(INDEX('DRAFT 1'!$S:$S,MATCH($B157,'DRAFT 1'!$B:$B,0)),"")</f>
        <v/>
      </c>
      <c r="X157" t="str">
        <f>IFERROR(INDEX('DRAFT 1'!$T:$T,MATCH($B157,'DRAFT 1'!$B:$B,0)),"")</f>
        <v/>
      </c>
      <c r="Z157" t="str">
        <f>IFERROR(INDEX('DRAFT 1'!$U:$U,MATCH($B157,'DRAFT 1'!$B:$B,0)),"")</f>
        <v/>
      </c>
      <c r="AA157" t="str">
        <f>IFERROR(INDEX('DRAFT 1'!$V:$V,MATCH($B157,'DRAFT 1'!$B:$B,0)),"")</f>
        <v/>
      </c>
      <c r="AB157" t="str">
        <f>IFERROR(INDEX('DRAFT 1'!$W:$W,MATCH($B157,'DRAFT 1'!$B:$B,0)),"")</f>
        <v/>
      </c>
      <c r="AC157" t="str">
        <f>IFERROR(INDEX('DRAFT 1'!$X:$X,MATCH($B157,'DRAFT 1'!$B:$B,0)),"")</f>
        <v/>
      </c>
      <c r="AD157" t="str">
        <f>IFERROR(INDEX('DRAFT 1'!$Y:$Y,MATCH($B157,'DRAFT 1'!$B:$B,0)),"")</f>
        <v/>
      </c>
      <c r="AE157" t="str">
        <f>IFERROR(INDEX('DRAFT 1'!$Z:$Z,MATCH($B157,'DRAFT 1'!$B:$B,0)),"")</f>
        <v/>
      </c>
      <c r="AF157" t="str">
        <f>IFERROR(INDEX('DRAFT 1'!$AA:$AA,MATCH($B157,'DRAFT 1'!$B:$B,0)),"")</f>
        <v/>
      </c>
      <c r="AG157" t="str">
        <f>IFERROR(INDEX('DRAFT 1'!$AB:$AB,MATCH($B157,'DRAFT 1'!$B:$B,0)),"")</f>
        <v/>
      </c>
      <c r="AH157" t="str">
        <f>IFERROR(INDEX('DRAFT 1'!$AC:$AC,MATCH($B157,'DRAFT 1'!$B:$B,0)),"")</f>
        <v/>
      </c>
      <c r="AI157" t="str">
        <f>IFERROR(INDEX('DRAFT 1'!$AD:$AD,MATCH($B157,'DRAFT 1'!$B:$B,0)),"")</f>
        <v/>
      </c>
      <c r="AJ157" t="str">
        <f>IFERROR(INDEX('DRAFT 1'!$AE:$AE,MATCH($B157,'DRAFT 1'!$B:$B,0)),"")</f>
        <v/>
      </c>
      <c r="AK157" t="str">
        <f>IFERROR(INDEX('DRAFT 1'!$AG:$AG,MATCH($B157,'DRAFT 1'!$B:$B,0)),"")</f>
        <v/>
      </c>
      <c r="AL157" t="str">
        <f>IFERROR(INDEX('DRAFT 1'!$AH:$AH,MATCH($B157,'DRAFT 1'!$B:$B,0)),"")</f>
        <v/>
      </c>
      <c r="AM157" t="str">
        <f>IFERROR(INDEX('DRAFT 1'!$AI:$AI,MATCH($B157,'DRAFT 1'!$B:$B,0)),"")</f>
        <v/>
      </c>
      <c r="AN157" t="str">
        <f>IFERROR(INDEX('DRAFT 1'!$AJ:$AJ,MATCH($B157,'DRAFT 1'!$B:$B,0)),"")</f>
        <v/>
      </c>
      <c r="AO157">
        <f t="shared" si="56"/>
        <v>0</v>
      </c>
      <c r="AP157" t="str">
        <f>IFERROR(INDEX('DRAFT 1'!$AK:$AK,MATCH($B157,'DRAFT 1'!$B:$B,0)),"")</f>
        <v/>
      </c>
      <c r="AR157">
        <f>IFERROR(LOOKUP(2,1/('DRAFT 2'!$D:$D=$B157),'DRAFT 2'!$I:$I),"")</f>
        <v>0</v>
      </c>
      <c r="AS157">
        <f>IFERROR(LOOKUP(2,1/('DRAFT 2'!$D:$D=$B157),'DRAFT 2'!$T:$T),"")</f>
        <v>0</v>
      </c>
      <c r="AT157">
        <f>IFERROR(LOOKUP(2,1/('DRAFT 2'!$D:$D=$B157),'DRAFT 2'!$A:$A),"")</f>
        <v>0</v>
      </c>
      <c r="AU157">
        <f>IFERROR(LOOKUP(2,1/('DRAFT 2'!$D:$D=$B157),'DRAFT 2'!$R:$R),"")</f>
        <v>0</v>
      </c>
      <c r="AV157">
        <f>IFERROR(LOOKUP(2,1/('DRAFT 2'!$D:$D=$B157),'DRAFT 2'!$S:$S),"")</f>
        <v>0</v>
      </c>
      <c r="AX157">
        <f>IFERROR(LOOKUP(2,1/('DRAFT 2'!$D:$D=$B157),'DRAFT 2'!$M:$M),"")</f>
        <v>0</v>
      </c>
      <c r="AY157">
        <f>IFERROR(LOOKUP(2,1/('DRAFT 2'!$D:$D=$B157),'DRAFT 2'!$K:$K),"")</f>
        <v>0</v>
      </c>
      <c r="BG157">
        <f>IFERROR(LOOKUP(2,1/('DRAFT 2'!$D:$D=$B157),'DRAFT 2'!$U:$U),"")</f>
        <v>0</v>
      </c>
      <c r="BH157">
        <f>IFERROR(LOOKUP(2,1/('DRAFT 2'!$D:$D=$B157),'DRAFT 2'!$V:$V),"")</f>
        <v>0</v>
      </c>
      <c r="CE157" t="str">
        <f t="shared" si="57"/>
        <v/>
      </c>
      <c r="CF157">
        <f>IFERROR(LOOKUP(2,1/('DRAFT 2'!$D:$D=$B157)*('DRAFT 2'!$A:$A&gt;=DATE(2026,1,1))*('DRAFT 2'!$A:$A&lt;DATE(2026,IF(1=12,1+1,1+1),1)),'DRAFT 2'!$A:$A),"")</f>
        <v>0</v>
      </c>
      <c r="CG157">
        <f>COUNTIFS('DRAFT 2'!$D:$D,$B157,'DRAFT 2'!$A:$A,"&gt;="&amp;DATE(2026,1,1),'DRAFT 2'!$A:$A,"&lt;="&amp;DATE(2026,1,7))</f>
        <v>0</v>
      </c>
      <c r="CH157">
        <f>COUNTIFS('DRAFT 2'!$D:$D,$B157,'DRAFT 2'!$A:$A,"&gt;="&amp;DATE(2026,1,8),'DRAFT 2'!$A:$A,"&lt;="&amp;DATE(2026,1,14))</f>
        <v>0</v>
      </c>
      <c r="CI157">
        <f>COUNTIFS('DRAFT 2'!$D:$D,$B157,'DRAFT 2'!$A:$A,"&gt;="&amp;DATE(2026,1,15),'DRAFT 2'!$A:$A,"&lt;="&amp;DATE(2026,1,21))</f>
        <v>0</v>
      </c>
      <c r="CJ157">
        <f>COUNTIFS('DRAFT 2'!$D:$D,$B157,'DRAFT 2'!$A:$A,"&gt;="&amp;DATE(2026,1,22),'DRAFT 2'!$A:$A,"&lt;"&amp;DATE(2026,IF(1=12,1+1,1+1),1))</f>
        <v>0</v>
      </c>
      <c r="CK157">
        <f t="shared" si="58"/>
        <v>0</v>
      </c>
      <c r="CT157">
        <v>0</v>
      </c>
      <c r="CU157">
        <f>IFERROR(LOOKUP(2,1/('DRAFT 2'!$D:$D=$B157)*('DRAFT 2'!$A:$A&gt;=DATE(2026,2,1))*('DRAFT 2'!$A:$A&lt;DATE(2026,IF(2=12,2+1,2+1),1)),'DRAFT 2'!$A:$A),"")</f>
        <v>0</v>
      </c>
      <c r="CV157">
        <f>COUNTIFS('DRAFT 2'!$D:$D,$B157,'DRAFT 2'!$A:$A,"&gt;="&amp;DATE(2026,2,1),'DRAFT 2'!$A:$A,"&lt;="&amp;DATE(2026,2,7))</f>
        <v>0</v>
      </c>
      <c r="CW157">
        <f>COUNTIFS('DRAFT 2'!$D:$D,$B157,'DRAFT 2'!$A:$A,"&gt;="&amp;DATE(2026,2,8),'DRAFT 2'!$A:$A,"&lt;="&amp;DATE(2026,2,14))</f>
        <v>0</v>
      </c>
      <c r="CX157">
        <f>COUNTIFS('DRAFT 2'!$D:$D,$B157,'DRAFT 2'!$A:$A,"&gt;="&amp;DATE(2026,2,15),'DRAFT 2'!$A:$A,"&lt;="&amp;DATE(2026,2,21))</f>
        <v>0</v>
      </c>
      <c r="CY157">
        <f>COUNTIFS('DRAFT 2'!$D:$D,$B157,'DRAFT 2'!$A:$A,"&gt;="&amp;DATE(2026,2,22),'DRAFT 2'!$A:$A,"&lt;"&amp;DATE(2026,IF(2=12,2+1,2+1),1))</f>
        <v>0</v>
      </c>
      <c r="CZ157">
        <f t="shared" si="59"/>
        <v>0</v>
      </c>
      <c r="DJ157">
        <f>IFERROR(LOOKUP(2,1/('DRAFT 2'!$D:$D=$B157)*('DRAFT 2'!$A:$A&gt;=DATE(2026,3,1))*('DRAFT 2'!$A:$A&lt;DATE(2026,IF(3=12,3+1,3+1),1)),'DRAFT 2'!$A:$A),"")</f>
        <v>0</v>
      </c>
      <c r="DK157">
        <f>COUNTIFS('DRAFT 2'!$D:$D,$B157,'DRAFT 2'!$A:$A,"&gt;="&amp;DATE(2026,3,1),'DRAFT 2'!$A:$A,"&lt;="&amp;DATE(2026,3,7))</f>
        <v>0</v>
      </c>
      <c r="DL157">
        <f>COUNTIFS('DRAFT 2'!$D:$D,$B157,'DRAFT 2'!$A:$A,"&gt;="&amp;DATE(2026,3,8),'DRAFT 2'!$A:$A,"&lt;="&amp;DATE(2026,3,14))</f>
        <v>0</v>
      </c>
      <c r="DM157">
        <f>COUNTIFS('DRAFT 2'!$D:$D,$B157,'DRAFT 2'!$A:$A,"&gt;="&amp;DATE(2026,3,15),'DRAFT 2'!$A:$A,"&lt;="&amp;DATE(2026,3,21))</f>
        <v>0</v>
      </c>
      <c r="DN157">
        <f>COUNTIFS('DRAFT 2'!$D:$D,$B157,'DRAFT 2'!$A:$A,"&gt;="&amp;DATE(2026,3,22),'DRAFT 2'!$A:$A,"&lt;"&amp;DATE(2026,IF(3=12,3+1,3+1),1))</f>
        <v>0</v>
      </c>
      <c r="DO157">
        <f t="shared" si="60"/>
        <v>0</v>
      </c>
      <c r="DZ157">
        <f>IFERROR(LOOKUP(2,1/('DRAFT 2'!$D:$D=$B157)*('DRAFT 2'!$A:$A&gt;=DATE(2026,4,1))*('DRAFT 2'!$A:$A&lt;DATE(2026,IF(4=12,4+1,4+1),1)),'DRAFT 2'!$A:$A),"")</f>
        <v>0</v>
      </c>
      <c r="EA157">
        <f>COUNTIFS('DRAFT 2'!$D:$D,$B157,'DRAFT 2'!$A:$A,"&gt;="&amp;DATE(2026,4,1),'DRAFT 2'!$A:$A,"&lt;="&amp;DATE(2026,4,7))</f>
        <v>0</v>
      </c>
      <c r="EB157">
        <f>COUNTIFS('DRAFT 2'!$D:$D,$B157,'DRAFT 2'!$A:$A,"&gt;="&amp;DATE(2026,4,8),'DRAFT 2'!$A:$A,"&lt;="&amp;DATE(2026,4,14))</f>
        <v>0</v>
      </c>
      <c r="EC157">
        <f>COUNTIFS('DRAFT 2'!$D:$D,$B157,'DRAFT 2'!$A:$A,"&gt;="&amp;DATE(2026,4,15),'DRAFT 2'!$A:$A,"&lt;="&amp;DATE(2026,4,21))</f>
        <v>0</v>
      </c>
      <c r="ED157">
        <f>COUNTIFS('DRAFT 2'!$D:$D,$B157,'DRAFT 2'!$A:$A,"&gt;="&amp;DATE(2026,4,22),'DRAFT 2'!$A:$A,"&lt;"&amp;DATE(2026,IF(4=12,4+1,4+1),1))</f>
        <v>0</v>
      </c>
      <c r="EE157">
        <f t="shared" si="61"/>
        <v>0</v>
      </c>
      <c r="EO157">
        <f>IFERROR(LOOKUP(2,1/('DRAFT 2'!$D:$D=$B157)*('DRAFT 2'!$A:$A&gt;=DATE(2026,5,1))*('DRAFT 2'!$A:$A&lt;DATE(2026,IF(5=12,5+1,5+1),1)),'DRAFT 2'!$A:$A),"")</f>
        <v>0</v>
      </c>
      <c r="EP157">
        <f>COUNTIFS('DRAFT 2'!$D:$D,$B157,'DRAFT 2'!$A:$A,"&gt;="&amp;DATE(2026,5,1),'DRAFT 2'!$A:$A,"&lt;="&amp;DATE(2026,5,7))</f>
        <v>0</v>
      </c>
      <c r="EQ157">
        <f>COUNTIFS('DRAFT 2'!$D:$D,$B157,'DRAFT 2'!$A:$A,"&gt;="&amp;DATE(2026,5,8),'DRAFT 2'!$A:$A,"&lt;="&amp;DATE(2026,5,14))</f>
        <v>0</v>
      </c>
      <c r="ER157">
        <f>COUNTIFS('DRAFT 2'!$D:$D,$B157,'DRAFT 2'!$A:$A,"&gt;="&amp;DATE(2026,5,15),'DRAFT 2'!$A:$A,"&lt;="&amp;DATE(2026,5,21))</f>
        <v>0</v>
      </c>
      <c r="ES157">
        <f>COUNTIFS('DRAFT 2'!$D:$D,$B157,'DRAFT 2'!$A:$A,"&gt;="&amp;DATE(2026,5,22),'DRAFT 2'!$A:$A,"&lt;"&amp;DATE(2026,IF(5=12,5+1,5+1),1))</f>
        <v>0</v>
      </c>
      <c r="ET157">
        <f t="shared" si="62"/>
        <v>0</v>
      </c>
      <c r="FD157">
        <f>IFERROR(LOOKUP(2,1/('DRAFT 2'!$D:$D=$B157)*('DRAFT 2'!$A:$A&gt;=DATE(2026,6,1))*('DRAFT 2'!$A:$A&lt;DATE(2026,IF(6=12,6+1,6+1),1)),'DRAFT 2'!$A:$A),"")</f>
        <v>0</v>
      </c>
      <c r="FE157">
        <f>COUNTIFS('DRAFT 2'!$D:$D,$B157,'DRAFT 2'!$A:$A,"&gt;="&amp;DATE(2026,6,1),'DRAFT 2'!$A:$A,"&lt;="&amp;DATE(2026,6,7))</f>
        <v>0</v>
      </c>
      <c r="FF157">
        <f>COUNTIFS('DRAFT 2'!$D:$D,$B157,'DRAFT 2'!$A:$A,"&gt;="&amp;DATE(2026,6,8),'DRAFT 2'!$A:$A,"&lt;="&amp;DATE(2026,6,14))</f>
        <v>0</v>
      </c>
      <c r="FG157">
        <f>COUNTIFS('DRAFT 2'!$D:$D,$B157,'DRAFT 2'!$A:$A,"&gt;="&amp;DATE(2026,6,15),'DRAFT 2'!$A:$A,"&lt;="&amp;DATE(2026,6,21))</f>
        <v>0</v>
      </c>
      <c r="FH157">
        <f>COUNTIFS('DRAFT 2'!$D:$D,$B157,'DRAFT 2'!$A:$A,"&gt;="&amp;DATE(2026,6,22),'DRAFT 2'!$A:$A,"&lt;"&amp;DATE(2026,IF(6=12,6+1,6+1),1))</f>
        <v>0</v>
      </c>
      <c r="FI157">
        <f t="shared" si="63"/>
        <v>0</v>
      </c>
      <c r="FT157">
        <f>IFERROR(LOOKUP(2,1/('DRAFT 2'!$D:$D=$B157)*('DRAFT 2'!$A:$A&gt;=DATE(2026,7,1))*('DRAFT 2'!$A:$A&lt;DATE(2026,IF(7=12,7+1,7+1),1)),'DRAFT 2'!$A:$A),"")</f>
        <v>0</v>
      </c>
      <c r="FU157">
        <f>COUNTIFS('DRAFT 2'!$D:$D,$B157,'DRAFT 2'!$A:$A,"&gt;="&amp;DATE(2026,7,1),'DRAFT 2'!$A:$A,"&lt;="&amp;DATE(2026,7,7))</f>
        <v>0</v>
      </c>
      <c r="FV157">
        <f>COUNTIFS('DRAFT 2'!$D:$D,$B157,'DRAFT 2'!$A:$A,"&gt;="&amp;DATE(2026,7,8),'DRAFT 2'!$A:$A,"&lt;="&amp;DATE(2026,7,14))</f>
        <v>0</v>
      </c>
      <c r="FW157">
        <f>COUNTIFS('DRAFT 2'!$D:$D,$B157,'DRAFT 2'!$A:$A,"&gt;="&amp;DATE(2026,7,15),'DRAFT 2'!$A:$A,"&lt;="&amp;DATE(2026,7,21))</f>
        <v>0</v>
      </c>
      <c r="FX157">
        <f>COUNTIFS('DRAFT 2'!$D:$D,$B157,'DRAFT 2'!$A:$A,"&gt;="&amp;DATE(2026,7,22),'DRAFT 2'!$A:$A,"&lt;"&amp;DATE(2026,IF(7=12,7+1,7+1),1))</f>
        <v>0</v>
      </c>
      <c r="FY157">
        <f t="shared" si="64"/>
        <v>0</v>
      </c>
      <c r="GI157">
        <f>IFERROR(LOOKUP(2,1/('DRAFT 2'!$D:$D=$B157)*('DRAFT 2'!$A:$A&gt;=DATE(2026,8,1))*('DRAFT 2'!$A:$A&lt;DATE(2026,IF(8=12,8+1,8+1),1)),'DRAFT 2'!$A:$A),"")</f>
        <v>0</v>
      </c>
      <c r="GJ157">
        <f>COUNTIFS('DRAFT 2'!$D:$D,$B157,'DRAFT 2'!$A:$A,"&gt;="&amp;DATE(2026,8,1),'DRAFT 2'!$A:$A,"&lt;="&amp;DATE(2026,8,7))</f>
        <v>0</v>
      </c>
      <c r="GK157">
        <f>COUNTIFS('DRAFT 2'!$D:$D,$B157,'DRAFT 2'!$A:$A,"&gt;="&amp;DATE(2026,8,8),'DRAFT 2'!$A:$A,"&lt;="&amp;DATE(2026,8,14))</f>
        <v>0</v>
      </c>
      <c r="GL157">
        <f>COUNTIFS('DRAFT 2'!$D:$D,$B157,'DRAFT 2'!$A:$A,"&gt;="&amp;DATE(2026,8,15),'DRAFT 2'!$A:$A,"&lt;="&amp;DATE(2026,8,21))</f>
        <v>0</v>
      </c>
      <c r="GM157">
        <f>COUNTIFS('DRAFT 2'!$D:$D,$B157,'DRAFT 2'!$A:$A,"&gt;="&amp;DATE(2026,8,22),'DRAFT 2'!$A:$A,"&lt;"&amp;DATE(2026,IF(8=12,8+1,8+1),1))</f>
        <v>0</v>
      </c>
      <c r="GN157">
        <f t="shared" si="65"/>
        <v>0</v>
      </c>
      <c r="GX157">
        <f>IFERROR(LOOKUP(2,1/('DRAFT 2'!$D:$D=$B157)*('DRAFT 2'!$A:$A&gt;=DATE(2026,9,1))*('DRAFT 2'!$A:$A&lt;DATE(2026,IF(9=12,9+1,9+1),1)),'DRAFT 2'!$A:$A),"")</f>
        <v>0</v>
      </c>
      <c r="GY157">
        <f>COUNTIFS('DRAFT 2'!$D:$D,$B157,'DRAFT 2'!$A:$A,"&gt;="&amp;DATE(2026,9,1),'DRAFT 2'!$A:$A,"&lt;="&amp;DATE(2026,9,7))</f>
        <v>0</v>
      </c>
      <c r="GZ157">
        <f>COUNTIFS('DRAFT 2'!$D:$D,$B157,'DRAFT 2'!$A:$A,"&gt;="&amp;DATE(2026,9,8),'DRAFT 2'!$A:$A,"&lt;="&amp;DATE(2026,9,14))</f>
        <v>0</v>
      </c>
      <c r="HA157">
        <f>COUNTIFS('DRAFT 2'!$D:$D,$B157,'DRAFT 2'!$A:$A,"&gt;="&amp;DATE(2026,9,15),'DRAFT 2'!$A:$A,"&lt;="&amp;DATE(2026,9,21))</f>
        <v>0</v>
      </c>
      <c r="HB157">
        <f>COUNTIFS('DRAFT 2'!$D:$D,$B157,'DRAFT 2'!$A:$A,"&gt;="&amp;DATE(2026,9,22),'DRAFT 2'!$A:$A,"&lt;"&amp;DATE(2026,IF(9=12,9+1,9+1),1))</f>
        <v>0</v>
      </c>
      <c r="HC157">
        <f t="shared" si="66"/>
        <v>0</v>
      </c>
      <c r="HN157">
        <f>IFERROR(LOOKUP(2,1/('DRAFT 2'!$D:$D=$B157)*('DRAFT 2'!$A:$A&gt;=DATE(2026,10,1))*('DRAFT 2'!$A:$A&lt;DATE(2026,IF(10=12,10+1,10+1),1)),'DRAFT 2'!$A:$A),"")</f>
        <v>0</v>
      </c>
      <c r="HO157">
        <f>COUNTIFS('DRAFT 2'!$D:$D,$B157,'DRAFT 2'!$A:$A,"&gt;="&amp;DATE(2026,10,1),'DRAFT 2'!$A:$A,"&lt;="&amp;DATE(2026,10,7))</f>
        <v>0</v>
      </c>
      <c r="HP157">
        <f>COUNTIFS('DRAFT 2'!$D:$D,$B157,'DRAFT 2'!$A:$A,"&gt;="&amp;DATE(2026,10,8),'DRAFT 2'!$A:$A,"&lt;="&amp;DATE(2026,10,14))</f>
        <v>0</v>
      </c>
      <c r="HQ157">
        <f>COUNTIFS('DRAFT 2'!$D:$D,$B157,'DRAFT 2'!$A:$A,"&gt;="&amp;DATE(2026,10,15),'DRAFT 2'!$A:$A,"&lt;="&amp;DATE(2026,10,21))</f>
        <v>0</v>
      </c>
      <c r="HR157">
        <f>COUNTIFS('DRAFT 2'!$D:$D,$B157,'DRAFT 2'!$A:$A,"&gt;="&amp;DATE(2026,10,22),'DRAFT 2'!$A:$A,"&lt;"&amp;DATE(2026,IF(10=12,10+1,10+1),1))</f>
        <v>0</v>
      </c>
      <c r="HS157">
        <f t="shared" si="67"/>
        <v>0</v>
      </c>
      <c r="IC157">
        <f>IFERROR(LOOKUP(2,1/('DRAFT 2'!$D:$D=$B157)*('DRAFT 2'!$A:$A&gt;=DATE(2026,11,1))*('DRAFT 2'!$A:$A&lt;DATE(2026,IF(11=12,11+1,11+1),1)),'DRAFT 2'!$A:$A),"")</f>
        <v>0</v>
      </c>
      <c r="ID157">
        <f>COUNTIFS('DRAFT 2'!$D:$D,$B157,'DRAFT 2'!$A:$A,"&gt;="&amp;DATE(2026,11,1),'DRAFT 2'!$A:$A,"&lt;="&amp;DATE(2026,11,7))</f>
        <v>0</v>
      </c>
      <c r="IE157">
        <f>COUNTIFS('DRAFT 2'!$D:$D,$B157,'DRAFT 2'!$A:$A,"&gt;="&amp;DATE(2026,11,8),'DRAFT 2'!$A:$A,"&lt;="&amp;DATE(2026,11,14))</f>
        <v>0</v>
      </c>
      <c r="IF157">
        <f>COUNTIFS('DRAFT 2'!$D:$D,$B157,'DRAFT 2'!$A:$A,"&gt;="&amp;DATE(2026,11,15),'DRAFT 2'!$A:$A,"&lt;="&amp;DATE(2026,11,21))</f>
        <v>0</v>
      </c>
      <c r="IG157">
        <f>COUNTIFS('DRAFT 2'!$D:$D,$B157,'DRAFT 2'!$A:$A,"&gt;="&amp;DATE(2026,11,22),'DRAFT 2'!$A:$A,"&lt;"&amp;DATE(2026,IF(11=12,11+1,11+1),1))</f>
        <v>0</v>
      </c>
      <c r="IH157">
        <f t="shared" si="68"/>
        <v>0</v>
      </c>
      <c r="IR157">
        <f>IFERROR(LOOKUP(2,1/('DRAFT 2'!$D:$D=$B157)*('DRAFT 2'!$A:$A&gt;=DATE(2026,12,1))*('DRAFT 2'!$A:$A&lt;DATE(2026,IF(12=12,12+1,12+1),1)),'DRAFT 2'!$A:$A),"")</f>
        <v>0</v>
      </c>
      <c r="IS157">
        <f>COUNTIFS('DRAFT 2'!$D:$D,$B157,'DRAFT 2'!$A:$A,"&gt;="&amp;DATE(2026,12,1),'DRAFT 2'!$A:$A,"&lt;="&amp;DATE(2026,12,7))</f>
        <v>0</v>
      </c>
      <c r="IT157">
        <f>COUNTIFS('DRAFT 2'!$D:$D,$B157,'DRAFT 2'!$A:$A,"&gt;="&amp;DATE(2026,12,8),'DRAFT 2'!$A:$A,"&lt;="&amp;DATE(2026,12,14))</f>
        <v>0</v>
      </c>
      <c r="IU157">
        <f>COUNTIFS('DRAFT 2'!$D:$D,$B157,'DRAFT 2'!$A:$A,"&gt;="&amp;DATE(2026,12,15),'DRAFT 2'!$A:$A,"&lt;="&amp;DATE(2026,12,21))</f>
        <v>0</v>
      </c>
      <c r="IV157">
        <f>COUNTIFS('DRAFT 2'!$D:$D,$B157,'DRAFT 2'!$A:$A,"&gt;="&amp;DATE(2026,12,22),'DRAFT 2'!$A:$A,"&lt;"&amp;DATE(2026,IF(12=12,12+1,12+1),1))</f>
        <v>0</v>
      </c>
      <c r="IW157">
        <f t="shared" si="69"/>
        <v>0</v>
      </c>
    </row>
    <row r="158" spans="1:257" x14ac:dyDescent="0.3">
      <c r="A158" t="str">
        <f>IFERROR(INDEX('DRAFT 1'!$A:$A,MATCH($B158,'DRAFT 1'!$B:$B,0)),"")</f>
        <v/>
      </c>
      <c r="C158" t="str">
        <f>IFERROR(INDEX('DRAFT 1'!$C:$C,MATCH($B158,'DRAFT 1'!$B:$B,0)),"")</f>
        <v/>
      </c>
      <c r="D158" t="str">
        <f>IFERROR(INDEX('DRAFT 1'!$D:$D,MATCH($B158,'DRAFT 1'!$B:$B,0)),"")</f>
        <v/>
      </c>
      <c r="E158" t="str">
        <f>IFERROR(INDEX('DRAFT 1'!$E:$E,MATCH($B158,'DRAFT 1'!$B:$B,0)),"")</f>
        <v/>
      </c>
      <c r="F158" t="str">
        <f>IFERROR(INDEX('DRAFT 1'!$F:$F,MATCH($B158,'DRAFT 1'!$B:$B,0)),"")</f>
        <v/>
      </c>
      <c r="G158" t="str">
        <f>IFERROR(INDEX('DRAFT 1'!$G:$G,MATCH($B158,'DRAFT 1'!$B:$B,0)),"")</f>
        <v/>
      </c>
      <c r="H158" t="str">
        <f>IFERROR(INDEX('DRAFT 1'!$H:$H,MATCH($B158,'DRAFT 1'!$B:$B,0)),"")</f>
        <v/>
      </c>
      <c r="I158" t="str">
        <f>IFERROR(INDEX('DRAFT 1'!$I:$I,MATCH($B158,'DRAFT 1'!$B:$B,0)),"")</f>
        <v/>
      </c>
      <c r="K158" t="str">
        <f>IFERROR(INDEX('DRAFT 1'!$AL:$AL,MATCH($B158,'DRAFT 1'!$B:$B,0)),"")</f>
        <v/>
      </c>
      <c r="L158" t="str">
        <f>IFERROR(INDEX('DRAFT 1'!$J:$J,MATCH($B158,'DRAFT 1'!$B:$B,0)),"")</f>
        <v/>
      </c>
      <c r="M158" t="str">
        <f>IFERROR(INDEX('DRAFT 1'!$K:$K,MATCH($B158,'DRAFT 1'!$B:$B,0)),"")</f>
        <v/>
      </c>
      <c r="P158" t="str">
        <f>IFERROR(INDEX('DRAFT 1'!$L:$L,MATCH($B158,'DRAFT 1'!$B:$B,0)),"")</f>
        <v/>
      </c>
      <c r="Q158" t="str">
        <f>IFERROR(INDEX('DRAFT 1'!$M:$M,MATCH($B158,'DRAFT 1'!$B:$B,0)),"")</f>
        <v/>
      </c>
      <c r="R158" t="str">
        <f>IFERROR(INDEX('DRAFT 1'!$N:$N,MATCH($B158,'DRAFT 1'!$B:$B,0)),"")</f>
        <v/>
      </c>
      <c r="S158" t="str">
        <f>IFERROR(INDEX('DRAFT 1'!$O:$O,MATCH($B158,'DRAFT 1'!$B:$B,0)),"")</f>
        <v/>
      </c>
      <c r="T158" t="str">
        <f>IFERROR(INDEX('DRAFT 1'!$P:$P,MATCH($B158,'DRAFT 1'!$B:$B,0)),"")</f>
        <v/>
      </c>
      <c r="U158" t="str">
        <f>IFERROR(INDEX('DRAFT 1'!$Q:$Q,MATCH($B158,'DRAFT 1'!$B:$B,0)),"")</f>
        <v/>
      </c>
      <c r="V158" t="str">
        <f>IFERROR(INDEX('DRAFT 1'!$R:$R,MATCH($B158,'DRAFT 1'!$B:$B,0)),"")</f>
        <v/>
      </c>
      <c r="W158" t="str">
        <f>IFERROR(INDEX('DRAFT 1'!$S:$S,MATCH($B158,'DRAFT 1'!$B:$B,0)),"")</f>
        <v/>
      </c>
      <c r="X158" t="str">
        <f>IFERROR(INDEX('DRAFT 1'!$T:$T,MATCH($B158,'DRAFT 1'!$B:$B,0)),"")</f>
        <v/>
      </c>
      <c r="Z158" t="str">
        <f>IFERROR(INDEX('DRAFT 1'!$U:$U,MATCH($B158,'DRAFT 1'!$B:$B,0)),"")</f>
        <v/>
      </c>
      <c r="AA158" t="str">
        <f>IFERROR(INDEX('DRAFT 1'!$V:$V,MATCH($B158,'DRAFT 1'!$B:$B,0)),"")</f>
        <v/>
      </c>
      <c r="AB158" t="str">
        <f>IFERROR(INDEX('DRAFT 1'!$W:$W,MATCH($B158,'DRAFT 1'!$B:$B,0)),"")</f>
        <v/>
      </c>
      <c r="AC158" t="str">
        <f>IFERROR(INDEX('DRAFT 1'!$X:$X,MATCH($B158,'DRAFT 1'!$B:$B,0)),"")</f>
        <v/>
      </c>
      <c r="AD158" t="str">
        <f>IFERROR(INDEX('DRAFT 1'!$Y:$Y,MATCH($B158,'DRAFT 1'!$B:$B,0)),"")</f>
        <v/>
      </c>
      <c r="AE158" t="str">
        <f>IFERROR(INDEX('DRAFT 1'!$Z:$Z,MATCH($B158,'DRAFT 1'!$B:$B,0)),"")</f>
        <v/>
      </c>
      <c r="AF158" t="str">
        <f>IFERROR(INDEX('DRAFT 1'!$AA:$AA,MATCH($B158,'DRAFT 1'!$B:$B,0)),"")</f>
        <v/>
      </c>
      <c r="AG158" t="str">
        <f>IFERROR(INDEX('DRAFT 1'!$AB:$AB,MATCH($B158,'DRAFT 1'!$B:$B,0)),"")</f>
        <v/>
      </c>
      <c r="AH158" t="str">
        <f>IFERROR(INDEX('DRAFT 1'!$AC:$AC,MATCH($B158,'DRAFT 1'!$B:$B,0)),"")</f>
        <v/>
      </c>
      <c r="AI158" t="str">
        <f>IFERROR(INDEX('DRAFT 1'!$AD:$AD,MATCH($B158,'DRAFT 1'!$B:$B,0)),"")</f>
        <v/>
      </c>
      <c r="AJ158" t="str">
        <f>IFERROR(INDEX('DRAFT 1'!$AE:$AE,MATCH($B158,'DRAFT 1'!$B:$B,0)),"")</f>
        <v/>
      </c>
      <c r="AK158" t="str">
        <f>IFERROR(INDEX('DRAFT 1'!$AG:$AG,MATCH($B158,'DRAFT 1'!$B:$B,0)),"")</f>
        <v/>
      </c>
      <c r="AL158" t="str">
        <f>IFERROR(INDEX('DRAFT 1'!$AH:$AH,MATCH($B158,'DRAFT 1'!$B:$B,0)),"")</f>
        <v/>
      </c>
      <c r="AM158" t="str">
        <f>IFERROR(INDEX('DRAFT 1'!$AI:$AI,MATCH($B158,'DRAFT 1'!$B:$B,0)),"")</f>
        <v/>
      </c>
      <c r="AN158" t="str">
        <f>IFERROR(INDEX('DRAFT 1'!$AJ:$AJ,MATCH($B158,'DRAFT 1'!$B:$B,0)),"")</f>
        <v/>
      </c>
      <c r="AO158">
        <f t="shared" si="56"/>
        <v>0</v>
      </c>
      <c r="AP158" t="str">
        <f>IFERROR(INDEX('DRAFT 1'!$AK:$AK,MATCH($B158,'DRAFT 1'!$B:$B,0)),"")</f>
        <v/>
      </c>
      <c r="AR158">
        <f>IFERROR(LOOKUP(2,1/('DRAFT 2'!$D:$D=$B158),'DRAFT 2'!$I:$I),"")</f>
        <v>0</v>
      </c>
      <c r="AS158">
        <f>IFERROR(LOOKUP(2,1/('DRAFT 2'!$D:$D=$B158),'DRAFT 2'!$T:$T),"")</f>
        <v>0</v>
      </c>
      <c r="AT158">
        <f>IFERROR(LOOKUP(2,1/('DRAFT 2'!$D:$D=$B158),'DRAFT 2'!$A:$A),"")</f>
        <v>0</v>
      </c>
      <c r="AU158">
        <f>IFERROR(LOOKUP(2,1/('DRAFT 2'!$D:$D=$B158),'DRAFT 2'!$R:$R),"")</f>
        <v>0</v>
      </c>
      <c r="AV158">
        <f>IFERROR(LOOKUP(2,1/('DRAFT 2'!$D:$D=$B158),'DRAFT 2'!$S:$S),"")</f>
        <v>0</v>
      </c>
      <c r="AX158">
        <f>IFERROR(LOOKUP(2,1/('DRAFT 2'!$D:$D=$B158),'DRAFT 2'!$M:$M),"")</f>
        <v>0</v>
      </c>
      <c r="AY158">
        <f>IFERROR(LOOKUP(2,1/('DRAFT 2'!$D:$D=$B158),'DRAFT 2'!$K:$K),"")</f>
        <v>0</v>
      </c>
      <c r="BG158">
        <f>IFERROR(LOOKUP(2,1/('DRAFT 2'!$D:$D=$B158),'DRAFT 2'!$U:$U),"")</f>
        <v>0</v>
      </c>
      <c r="BH158">
        <f>IFERROR(LOOKUP(2,1/('DRAFT 2'!$D:$D=$B158),'DRAFT 2'!$V:$V),"")</f>
        <v>0</v>
      </c>
      <c r="CE158" t="str">
        <f t="shared" si="57"/>
        <v/>
      </c>
      <c r="CF158">
        <f>IFERROR(LOOKUP(2,1/('DRAFT 2'!$D:$D=$B158)*('DRAFT 2'!$A:$A&gt;=DATE(2026,1,1))*('DRAFT 2'!$A:$A&lt;DATE(2026,IF(1=12,1+1,1+1),1)),'DRAFT 2'!$A:$A),"")</f>
        <v>0</v>
      </c>
      <c r="CG158">
        <f>COUNTIFS('DRAFT 2'!$D:$D,$B158,'DRAFT 2'!$A:$A,"&gt;="&amp;DATE(2026,1,1),'DRAFT 2'!$A:$A,"&lt;="&amp;DATE(2026,1,7))</f>
        <v>0</v>
      </c>
      <c r="CH158">
        <f>COUNTIFS('DRAFT 2'!$D:$D,$B158,'DRAFT 2'!$A:$A,"&gt;="&amp;DATE(2026,1,8),'DRAFT 2'!$A:$A,"&lt;="&amp;DATE(2026,1,14))</f>
        <v>0</v>
      </c>
      <c r="CI158">
        <f>COUNTIFS('DRAFT 2'!$D:$D,$B158,'DRAFT 2'!$A:$A,"&gt;="&amp;DATE(2026,1,15),'DRAFT 2'!$A:$A,"&lt;="&amp;DATE(2026,1,21))</f>
        <v>0</v>
      </c>
      <c r="CJ158">
        <f>COUNTIFS('DRAFT 2'!$D:$D,$B158,'DRAFT 2'!$A:$A,"&gt;="&amp;DATE(2026,1,22),'DRAFT 2'!$A:$A,"&lt;"&amp;DATE(2026,IF(1=12,1+1,1+1),1))</f>
        <v>0</v>
      </c>
      <c r="CK158">
        <f t="shared" si="58"/>
        <v>0</v>
      </c>
      <c r="CT158">
        <v>0</v>
      </c>
      <c r="CU158">
        <f>IFERROR(LOOKUP(2,1/('DRAFT 2'!$D:$D=$B158)*('DRAFT 2'!$A:$A&gt;=DATE(2026,2,1))*('DRAFT 2'!$A:$A&lt;DATE(2026,IF(2=12,2+1,2+1),1)),'DRAFT 2'!$A:$A),"")</f>
        <v>0</v>
      </c>
      <c r="CV158">
        <f>COUNTIFS('DRAFT 2'!$D:$D,$B158,'DRAFT 2'!$A:$A,"&gt;="&amp;DATE(2026,2,1),'DRAFT 2'!$A:$A,"&lt;="&amp;DATE(2026,2,7))</f>
        <v>0</v>
      </c>
      <c r="CW158">
        <f>COUNTIFS('DRAFT 2'!$D:$D,$B158,'DRAFT 2'!$A:$A,"&gt;="&amp;DATE(2026,2,8),'DRAFT 2'!$A:$A,"&lt;="&amp;DATE(2026,2,14))</f>
        <v>0</v>
      </c>
      <c r="CX158">
        <f>COUNTIFS('DRAFT 2'!$D:$D,$B158,'DRAFT 2'!$A:$A,"&gt;="&amp;DATE(2026,2,15),'DRAFT 2'!$A:$A,"&lt;="&amp;DATE(2026,2,21))</f>
        <v>0</v>
      </c>
      <c r="CY158">
        <f>COUNTIFS('DRAFT 2'!$D:$D,$B158,'DRAFT 2'!$A:$A,"&gt;="&amp;DATE(2026,2,22),'DRAFT 2'!$A:$A,"&lt;"&amp;DATE(2026,IF(2=12,2+1,2+1),1))</f>
        <v>0</v>
      </c>
      <c r="CZ158">
        <f t="shared" si="59"/>
        <v>0</v>
      </c>
      <c r="DJ158">
        <f>IFERROR(LOOKUP(2,1/('DRAFT 2'!$D:$D=$B158)*('DRAFT 2'!$A:$A&gt;=DATE(2026,3,1))*('DRAFT 2'!$A:$A&lt;DATE(2026,IF(3=12,3+1,3+1),1)),'DRAFT 2'!$A:$A),"")</f>
        <v>0</v>
      </c>
      <c r="DK158">
        <f>COUNTIFS('DRAFT 2'!$D:$D,$B158,'DRAFT 2'!$A:$A,"&gt;="&amp;DATE(2026,3,1),'DRAFT 2'!$A:$A,"&lt;="&amp;DATE(2026,3,7))</f>
        <v>0</v>
      </c>
      <c r="DL158">
        <f>COUNTIFS('DRAFT 2'!$D:$D,$B158,'DRAFT 2'!$A:$A,"&gt;="&amp;DATE(2026,3,8),'DRAFT 2'!$A:$A,"&lt;="&amp;DATE(2026,3,14))</f>
        <v>0</v>
      </c>
      <c r="DM158">
        <f>COUNTIFS('DRAFT 2'!$D:$D,$B158,'DRAFT 2'!$A:$A,"&gt;="&amp;DATE(2026,3,15),'DRAFT 2'!$A:$A,"&lt;="&amp;DATE(2026,3,21))</f>
        <v>0</v>
      </c>
      <c r="DN158">
        <f>COUNTIFS('DRAFT 2'!$D:$D,$B158,'DRAFT 2'!$A:$A,"&gt;="&amp;DATE(2026,3,22),'DRAFT 2'!$A:$A,"&lt;"&amp;DATE(2026,IF(3=12,3+1,3+1),1))</f>
        <v>0</v>
      </c>
      <c r="DO158">
        <f t="shared" si="60"/>
        <v>0</v>
      </c>
      <c r="DZ158">
        <f>IFERROR(LOOKUP(2,1/('DRAFT 2'!$D:$D=$B158)*('DRAFT 2'!$A:$A&gt;=DATE(2026,4,1))*('DRAFT 2'!$A:$A&lt;DATE(2026,IF(4=12,4+1,4+1),1)),'DRAFT 2'!$A:$A),"")</f>
        <v>0</v>
      </c>
      <c r="EA158">
        <f>COUNTIFS('DRAFT 2'!$D:$D,$B158,'DRAFT 2'!$A:$A,"&gt;="&amp;DATE(2026,4,1),'DRAFT 2'!$A:$A,"&lt;="&amp;DATE(2026,4,7))</f>
        <v>0</v>
      </c>
      <c r="EB158">
        <f>COUNTIFS('DRAFT 2'!$D:$D,$B158,'DRAFT 2'!$A:$A,"&gt;="&amp;DATE(2026,4,8),'DRAFT 2'!$A:$A,"&lt;="&amp;DATE(2026,4,14))</f>
        <v>0</v>
      </c>
      <c r="EC158">
        <f>COUNTIFS('DRAFT 2'!$D:$D,$B158,'DRAFT 2'!$A:$A,"&gt;="&amp;DATE(2026,4,15),'DRAFT 2'!$A:$A,"&lt;="&amp;DATE(2026,4,21))</f>
        <v>0</v>
      </c>
      <c r="ED158">
        <f>COUNTIFS('DRAFT 2'!$D:$D,$B158,'DRAFT 2'!$A:$A,"&gt;="&amp;DATE(2026,4,22),'DRAFT 2'!$A:$A,"&lt;"&amp;DATE(2026,IF(4=12,4+1,4+1),1))</f>
        <v>0</v>
      </c>
      <c r="EE158">
        <f t="shared" si="61"/>
        <v>0</v>
      </c>
      <c r="EO158">
        <f>IFERROR(LOOKUP(2,1/('DRAFT 2'!$D:$D=$B158)*('DRAFT 2'!$A:$A&gt;=DATE(2026,5,1))*('DRAFT 2'!$A:$A&lt;DATE(2026,IF(5=12,5+1,5+1),1)),'DRAFT 2'!$A:$A),"")</f>
        <v>0</v>
      </c>
      <c r="EP158">
        <f>COUNTIFS('DRAFT 2'!$D:$D,$B158,'DRAFT 2'!$A:$A,"&gt;="&amp;DATE(2026,5,1),'DRAFT 2'!$A:$A,"&lt;="&amp;DATE(2026,5,7))</f>
        <v>0</v>
      </c>
      <c r="EQ158">
        <f>COUNTIFS('DRAFT 2'!$D:$D,$B158,'DRAFT 2'!$A:$A,"&gt;="&amp;DATE(2026,5,8),'DRAFT 2'!$A:$A,"&lt;="&amp;DATE(2026,5,14))</f>
        <v>0</v>
      </c>
      <c r="ER158">
        <f>COUNTIFS('DRAFT 2'!$D:$D,$B158,'DRAFT 2'!$A:$A,"&gt;="&amp;DATE(2026,5,15),'DRAFT 2'!$A:$A,"&lt;="&amp;DATE(2026,5,21))</f>
        <v>0</v>
      </c>
      <c r="ES158">
        <f>COUNTIFS('DRAFT 2'!$D:$D,$B158,'DRAFT 2'!$A:$A,"&gt;="&amp;DATE(2026,5,22),'DRAFT 2'!$A:$A,"&lt;"&amp;DATE(2026,IF(5=12,5+1,5+1),1))</f>
        <v>0</v>
      </c>
      <c r="ET158">
        <f t="shared" si="62"/>
        <v>0</v>
      </c>
      <c r="FD158">
        <f>IFERROR(LOOKUP(2,1/('DRAFT 2'!$D:$D=$B158)*('DRAFT 2'!$A:$A&gt;=DATE(2026,6,1))*('DRAFT 2'!$A:$A&lt;DATE(2026,IF(6=12,6+1,6+1),1)),'DRAFT 2'!$A:$A),"")</f>
        <v>0</v>
      </c>
      <c r="FE158">
        <f>COUNTIFS('DRAFT 2'!$D:$D,$B158,'DRAFT 2'!$A:$A,"&gt;="&amp;DATE(2026,6,1),'DRAFT 2'!$A:$A,"&lt;="&amp;DATE(2026,6,7))</f>
        <v>0</v>
      </c>
      <c r="FF158">
        <f>COUNTIFS('DRAFT 2'!$D:$D,$B158,'DRAFT 2'!$A:$A,"&gt;="&amp;DATE(2026,6,8),'DRAFT 2'!$A:$A,"&lt;="&amp;DATE(2026,6,14))</f>
        <v>0</v>
      </c>
      <c r="FG158">
        <f>COUNTIFS('DRAFT 2'!$D:$D,$B158,'DRAFT 2'!$A:$A,"&gt;="&amp;DATE(2026,6,15),'DRAFT 2'!$A:$A,"&lt;="&amp;DATE(2026,6,21))</f>
        <v>0</v>
      </c>
      <c r="FH158">
        <f>COUNTIFS('DRAFT 2'!$D:$D,$B158,'DRAFT 2'!$A:$A,"&gt;="&amp;DATE(2026,6,22),'DRAFT 2'!$A:$A,"&lt;"&amp;DATE(2026,IF(6=12,6+1,6+1),1))</f>
        <v>0</v>
      </c>
      <c r="FI158">
        <f t="shared" si="63"/>
        <v>0</v>
      </c>
      <c r="FT158">
        <f>IFERROR(LOOKUP(2,1/('DRAFT 2'!$D:$D=$B158)*('DRAFT 2'!$A:$A&gt;=DATE(2026,7,1))*('DRAFT 2'!$A:$A&lt;DATE(2026,IF(7=12,7+1,7+1),1)),'DRAFT 2'!$A:$A),"")</f>
        <v>0</v>
      </c>
      <c r="FU158">
        <f>COUNTIFS('DRAFT 2'!$D:$D,$B158,'DRAFT 2'!$A:$A,"&gt;="&amp;DATE(2026,7,1),'DRAFT 2'!$A:$A,"&lt;="&amp;DATE(2026,7,7))</f>
        <v>0</v>
      </c>
      <c r="FV158">
        <f>COUNTIFS('DRAFT 2'!$D:$D,$B158,'DRAFT 2'!$A:$A,"&gt;="&amp;DATE(2026,7,8),'DRAFT 2'!$A:$A,"&lt;="&amp;DATE(2026,7,14))</f>
        <v>0</v>
      </c>
      <c r="FW158">
        <f>COUNTIFS('DRAFT 2'!$D:$D,$B158,'DRAFT 2'!$A:$A,"&gt;="&amp;DATE(2026,7,15),'DRAFT 2'!$A:$A,"&lt;="&amp;DATE(2026,7,21))</f>
        <v>0</v>
      </c>
      <c r="FX158">
        <f>COUNTIFS('DRAFT 2'!$D:$D,$B158,'DRAFT 2'!$A:$A,"&gt;="&amp;DATE(2026,7,22),'DRAFT 2'!$A:$A,"&lt;"&amp;DATE(2026,IF(7=12,7+1,7+1),1))</f>
        <v>0</v>
      </c>
      <c r="FY158">
        <f t="shared" si="64"/>
        <v>0</v>
      </c>
      <c r="GI158">
        <f>IFERROR(LOOKUP(2,1/('DRAFT 2'!$D:$D=$B158)*('DRAFT 2'!$A:$A&gt;=DATE(2026,8,1))*('DRAFT 2'!$A:$A&lt;DATE(2026,IF(8=12,8+1,8+1),1)),'DRAFT 2'!$A:$A),"")</f>
        <v>0</v>
      </c>
      <c r="GJ158">
        <f>COUNTIFS('DRAFT 2'!$D:$D,$B158,'DRAFT 2'!$A:$A,"&gt;="&amp;DATE(2026,8,1),'DRAFT 2'!$A:$A,"&lt;="&amp;DATE(2026,8,7))</f>
        <v>0</v>
      </c>
      <c r="GK158">
        <f>COUNTIFS('DRAFT 2'!$D:$D,$B158,'DRAFT 2'!$A:$A,"&gt;="&amp;DATE(2026,8,8),'DRAFT 2'!$A:$A,"&lt;="&amp;DATE(2026,8,14))</f>
        <v>0</v>
      </c>
      <c r="GL158">
        <f>COUNTIFS('DRAFT 2'!$D:$D,$B158,'DRAFT 2'!$A:$A,"&gt;="&amp;DATE(2026,8,15),'DRAFT 2'!$A:$A,"&lt;="&amp;DATE(2026,8,21))</f>
        <v>0</v>
      </c>
      <c r="GM158">
        <f>COUNTIFS('DRAFT 2'!$D:$D,$B158,'DRAFT 2'!$A:$A,"&gt;="&amp;DATE(2026,8,22),'DRAFT 2'!$A:$A,"&lt;"&amp;DATE(2026,IF(8=12,8+1,8+1),1))</f>
        <v>0</v>
      </c>
      <c r="GN158">
        <f t="shared" si="65"/>
        <v>0</v>
      </c>
      <c r="GX158">
        <f>IFERROR(LOOKUP(2,1/('DRAFT 2'!$D:$D=$B158)*('DRAFT 2'!$A:$A&gt;=DATE(2026,9,1))*('DRAFT 2'!$A:$A&lt;DATE(2026,IF(9=12,9+1,9+1),1)),'DRAFT 2'!$A:$A),"")</f>
        <v>0</v>
      </c>
      <c r="GY158">
        <f>COUNTIFS('DRAFT 2'!$D:$D,$B158,'DRAFT 2'!$A:$A,"&gt;="&amp;DATE(2026,9,1),'DRAFT 2'!$A:$A,"&lt;="&amp;DATE(2026,9,7))</f>
        <v>0</v>
      </c>
      <c r="GZ158">
        <f>COUNTIFS('DRAFT 2'!$D:$D,$B158,'DRAFT 2'!$A:$A,"&gt;="&amp;DATE(2026,9,8),'DRAFT 2'!$A:$A,"&lt;="&amp;DATE(2026,9,14))</f>
        <v>0</v>
      </c>
      <c r="HA158">
        <f>COUNTIFS('DRAFT 2'!$D:$D,$B158,'DRAFT 2'!$A:$A,"&gt;="&amp;DATE(2026,9,15),'DRAFT 2'!$A:$A,"&lt;="&amp;DATE(2026,9,21))</f>
        <v>0</v>
      </c>
      <c r="HB158">
        <f>COUNTIFS('DRAFT 2'!$D:$D,$B158,'DRAFT 2'!$A:$A,"&gt;="&amp;DATE(2026,9,22),'DRAFT 2'!$A:$A,"&lt;"&amp;DATE(2026,IF(9=12,9+1,9+1),1))</f>
        <v>0</v>
      </c>
      <c r="HC158">
        <f t="shared" si="66"/>
        <v>0</v>
      </c>
      <c r="HN158">
        <f>IFERROR(LOOKUP(2,1/('DRAFT 2'!$D:$D=$B158)*('DRAFT 2'!$A:$A&gt;=DATE(2026,10,1))*('DRAFT 2'!$A:$A&lt;DATE(2026,IF(10=12,10+1,10+1),1)),'DRAFT 2'!$A:$A),"")</f>
        <v>0</v>
      </c>
      <c r="HO158">
        <f>COUNTIFS('DRAFT 2'!$D:$D,$B158,'DRAFT 2'!$A:$A,"&gt;="&amp;DATE(2026,10,1),'DRAFT 2'!$A:$A,"&lt;="&amp;DATE(2026,10,7))</f>
        <v>0</v>
      </c>
      <c r="HP158">
        <f>COUNTIFS('DRAFT 2'!$D:$D,$B158,'DRAFT 2'!$A:$A,"&gt;="&amp;DATE(2026,10,8),'DRAFT 2'!$A:$A,"&lt;="&amp;DATE(2026,10,14))</f>
        <v>0</v>
      </c>
      <c r="HQ158">
        <f>COUNTIFS('DRAFT 2'!$D:$D,$B158,'DRAFT 2'!$A:$A,"&gt;="&amp;DATE(2026,10,15),'DRAFT 2'!$A:$A,"&lt;="&amp;DATE(2026,10,21))</f>
        <v>0</v>
      </c>
      <c r="HR158">
        <f>COUNTIFS('DRAFT 2'!$D:$D,$B158,'DRAFT 2'!$A:$A,"&gt;="&amp;DATE(2026,10,22),'DRAFT 2'!$A:$A,"&lt;"&amp;DATE(2026,IF(10=12,10+1,10+1),1))</f>
        <v>0</v>
      </c>
      <c r="HS158">
        <f t="shared" si="67"/>
        <v>0</v>
      </c>
      <c r="IC158">
        <f>IFERROR(LOOKUP(2,1/('DRAFT 2'!$D:$D=$B158)*('DRAFT 2'!$A:$A&gt;=DATE(2026,11,1))*('DRAFT 2'!$A:$A&lt;DATE(2026,IF(11=12,11+1,11+1),1)),'DRAFT 2'!$A:$A),"")</f>
        <v>0</v>
      </c>
      <c r="ID158">
        <f>COUNTIFS('DRAFT 2'!$D:$D,$B158,'DRAFT 2'!$A:$A,"&gt;="&amp;DATE(2026,11,1),'DRAFT 2'!$A:$A,"&lt;="&amp;DATE(2026,11,7))</f>
        <v>0</v>
      </c>
      <c r="IE158">
        <f>COUNTIFS('DRAFT 2'!$D:$D,$B158,'DRAFT 2'!$A:$A,"&gt;="&amp;DATE(2026,11,8),'DRAFT 2'!$A:$A,"&lt;="&amp;DATE(2026,11,14))</f>
        <v>0</v>
      </c>
      <c r="IF158">
        <f>COUNTIFS('DRAFT 2'!$D:$D,$B158,'DRAFT 2'!$A:$A,"&gt;="&amp;DATE(2026,11,15),'DRAFT 2'!$A:$A,"&lt;="&amp;DATE(2026,11,21))</f>
        <v>0</v>
      </c>
      <c r="IG158">
        <f>COUNTIFS('DRAFT 2'!$D:$D,$B158,'DRAFT 2'!$A:$A,"&gt;="&amp;DATE(2026,11,22),'DRAFT 2'!$A:$A,"&lt;"&amp;DATE(2026,IF(11=12,11+1,11+1),1))</f>
        <v>0</v>
      </c>
      <c r="IH158">
        <f t="shared" si="68"/>
        <v>0</v>
      </c>
      <c r="IR158">
        <f>IFERROR(LOOKUP(2,1/('DRAFT 2'!$D:$D=$B158)*('DRAFT 2'!$A:$A&gt;=DATE(2026,12,1))*('DRAFT 2'!$A:$A&lt;DATE(2026,IF(12=12,12+1,12+1),1)),'DRAFT 2'!$A:$A),"")</f>
        <v>0</v>
      </c>
      <c r="IS158">
        <f>COUNTIFS('DRAFT 2'!$D:$D,$B158,'DRAFT 2'!$A:$A,"&gt;="&amp;DATE(2026,12,1),'DRAFT 2'!$A:$A,"&lt;="&amp;DATE(2026,12,7))</f>
        <v>0</v>
      </c>
      <c r="IT158">
        <f>COUNTIFS('DRAFT 2'!$D:$D,$B158,'DRAFT 2'!$A:$A,"&gt;="&amp;DATE(2026,12,8),'DRAFT 2'!$A:$A,"&lt;="&amp;DATE(2026,12,14))</f>
        <v>0</v>
      </c>
      <c r="IU158">
        <f>COUNTIFS('DRAFT 2'!$D:$D,$B158,'DRAFT 2'!$A:$A,"&gt;="&amp;DATE(2026,12,15),'DRAFT 2'!$A:$A,"&lt;="&amp;DATE(2026,12,21))</f>
        <v>0</v>
      </c>
      <c r="IV158">
        <f>COUNTIFS('DRAFT 2'!$D:$D,$B158,'DRAFT 2'!$A:$A,"&gt;="&amp;DATE(2026,12,22),'DRAFT 2'!$A:$A,"&lt;"&amp;DATE(2026,IF(12=12,12+1,12+1),1))</f>
        <v>0</v>
      </c>
      <c r="IW158">
        <f t="shared" si="69"/>
        <v>0</v>
      </c>
    </row>
    <row r="159" spans="1:257" x14ac:dyDescent="0.3">
      <c r="A159" t="str">
        <f>IFERROR(INDEX('DRAFT 1'!$A:$A,MATCH($B159,'DRAFT 1'!$B:$B,0)),"")</f>
        <v/>
      </c>
      <c r="C159" t="str">
        <f>IFERROR(INDEX('DRAFT 1'!$C:$C,MATCH($B159,'DRAFT 1'!$B:$B,0)),"")</f>
        <v/>
      </c>
      <c r="D159" t="str">
        <f>IFERROR(INDEX('DRAFT 1'!$D:$D,MATCH($B159,'DRAFT 1'!$B:$B,0)),"")</f>
        <v/>
      </c>
      <c r="E159" t="str">
        <f>IFERROR(INDEX('DRAFT 1'!$E:$E,MATCH($B159,'DRAFT 1'!$B:$B,0)),"")</f>
        <v/>
      </c>
      <c r="F159" t="str">
        <f>IFERROR(INDEX('DRAFT 1'!$F:$F,MATCH($B159,'DRAFT 1'!$B:$B,0)),"")</f>
        <v/>
      </c>
      <c r="G159" t="str">
        <f>IFERROR(INDEX('DRAFT 1'!$G:$G,MATCH($B159,'DRAFT 1'!$B:$B,0)),"")</f>
        <v/>
      </c>
      <c r="H159" t="str">
        <f>IFERROR(INDEX('DRAFT 1'!$H:$H,MATCH($B159,'DRAFT 1'!$B:$B,0)),"")</f>
        <v/>
      </c>
      <c r="I159" t="str">
        <f>IFERROR(INDEX('DRAFT 1'!$I:$I,MATCH($B159,'DRAFT 1'!$B:$B,0)),"")</f>
        <v/>
      </c>
      <c r="K159" t="str">
        <f>IFERROR(INDEX('DRAFT 1'!$AL:$AL,MATCH($B159,'DRAFT 1'!$B:$B,0)),"")</f>
        <v/>
      </c>
      <c r="L159" t="str">
        <f>IFERROR(INDEX('DRAFT 1'!$J:$J,MATCH($B159,'DRAFT 1'!$B:$B,0)),"")</f>
        <v/>
      </c>
      <c r="M159" t="str">
        <f>IFERROR(INDEX('DRAFT 1'!$K:$K,MATCH($B159,'DRAFT 1'!$B:$B,0)),"")</f>
        <v/>
      </c>
      <c r="P159" t="str">
        <f>IFERROR(INDEX('DRAFT 1'!$L:$L,MATCH($B159,'DRAFT 1'!$B:$B,0)),"")</f>
        <v/>
      </c>
      <c r="Q159" t="str">
        <f>IFERROR(INDEX('DRAFT 1'!$M:$M,MATCH($B159,'DRAFT 1'!$B:$B,0)),"")</f>
        <v/>
      </c>
      <c r="R159" t="str">
        <f>IFERROR(INDEX('DRAFT 1'!$N:$N,MATCH($B159,'DRAFT 1'!$B:$B,0)),"")</f>
        <v/>
      </c>
      <c r="S159" t="str">
        <f>IFERROR(INDEX('DRAFT 1'!$O:$O,MATCH($B159,'DRAFT 1'!$B:$B,0)),"")</f>
        <v/>
      </c>
      <c r="T159" t="str">
        <f>IFERROR(INDEX('DRAFT 1'!$P:$P,MATCH($B159,'DRAFT 1'!$B:$B,0)),"")</f>
        <v/>
      </c>
      <c r="U159" t="str">
        <f>IFERROR(INDEX('DRAFT 1'!$Q:$Q,MATCH($B159,'DRAFT 1'!$B:$B,0)),"")</f>
        <v/>
      </c>
      <c r="V159" t="str">
        <f>IFERROR(INDEX('DRAFT 1'!$R:$R,MATCH($B159,'DRAFT 1'!$B:$B,0)),"")</f>
        <v/>
      </c>
      <c r="W159" t="str">
        <f>IFERROR(INDEX('DRAFT 1'!$S:$S,MATCH($B159,'DRAFT 1'!$B:$B,0)),"")</f>
        <v/>
      </c>
      <c r="X159" t="str">
        <f>IFERROR(INDEX('DRAFT 1'!$T:$T,MATCH($B159,'DRAFT 1'!$B:$B,0)),"")</f>
        <v/>
      </c>
      <c r="Z159" t="str">
        <f>IFERROR(INDEX('DRAFT 1'!$U:$U,MATCH($B159,'DRAFT 1'!$B:$B,0)),"")</f>
        <v/>
      </c>
      <c r="AA159" t="str">
        <f>IFERROR(INDEX('DRAFT 1'!$V:$V,MATCH($B159,'DRAFT 1'!$B:$B,0)),"")</f>
        <v/>
      </c>
      <c r="AB159" t="str">
        <f>IFERROR(INDEX('DRAFT 1'!$W:$W,MATCH($B159,'DRAFT 1'!$B:$B,0)),"")</f>
        <v/>
      </c>
      <c r="AC159" t="str">
        <f>IFERROR(INDEX('DRAFT 1'!$X:$X,MATCH($B159,'DRAFT 1'!$B:$B,0)),"")</f>
        <v/>
      </c>
      <c r="AD159" t="str">
        <f>IFERROR(INDEX('DRAFT 1'!$Y:$Y,MATCH($B159,'DRAFT 1'!$B:$B,0)),"")</f>
        <v/>
      </c>
      <c r="AE159" t="str">
        <f>IFERROR(INDEX('DRAFT 1'!$Z:$Z,MATCH($B159,'DRAFT 1'!$B:$B,0)),"")</f>
        <v/>
      </c>
      <c r="AF159" t="str">
        <f>IFERROR(INDEX('DRAFT 1'!$AA:$AA,MATCH($B159,'DRAFT 1'!$B:$B,0)),"")</f>
        <v/>
      </c>
      <c r="AG159" t="str">
        <f>IFERROR(INDEX('DRAFT 1'!$AB:$AB,MATCH($B159,'DRAFT 1'!$B:$B,0)),"")</f>
        <v/>
      </c>
      <c r="AH159" t="str">
        <f>IFERROR(INDEX('DRAFT 1'!$AC:$AC,MATCH($B159,'DRAFT 1'!$B:$B,0)),"")</f>
        <v/>
      </c>
      <c r="AI159" t="str">
        <f>IFERROR(INDEX('DRAFT 1'!$AD:$AD,MATCH($B159,'DRAFT 1'!$B:$B,0)),"")</f>
        <v/>
      </c>
      <c r="AJ159" t="str">
        <f>IFERROR(INDEX('DRAFT 1'!$AE:$AE,MATCH($B159,'DRAFT 1'!$B:$B,0)),"")</f>
        <v/>
      </c>
      <c r="AK159" t="str">
        <f>IFERROR(INDEX('DRAFT 1'!$AG:$AG,MATCH($B159,'DRAFT 1'!$B:$B,0)),"")</f>
        <v/>
      </c>
      <c r="AL159" t="str">
        <f>IFERROR(INDEX('DRAFT 1'!$AH:$AH,MATCH($B159,'DRAFT 1'!$B:$B,0)),"")</f>
        <v/>
      </c>
      <c r="AM159" t="str">
        <f>IFERROR(INDEX('DRAFT 1'!$AI:$AI,MATCH($B159,'DRAFT 1'!$B:$B,0)),"")</f>
        <v/>
      </c>
      <c r="AN159" t="str">
        <f>IFERROR(INDEX('DRAFT 1'!$AJ:$AJ,MATCH($B159,'DRAFT 1'!$B:$B,0)),"")</f>
        <v/>
      </c>
      <c r="AO159">
        <f t="shared" si="56"/>
        <v>0</v>
      </c>
      <c r="AP159" t="str">
        <f>IFERROR(INDEX('DRAFT 1'!$AK:$AK,MATCH($B159,'DRAFT 1'!$B:$B,0)),"")</f>
        <v/>
      </c>
      <c r="AR159">
        <f>IFERROR(LOOKUP(2,1/('DRAFT 2'!$D:$D=$B159),'DRAFT 2'!$I:$I),"")</f>
        <v>0</v>
      </c>
      <c r="AS159">
        <f>IFERROR(LOOKUP(2,1/('DRAFT 2'!$D:$D=$B159),'DRAFT 2'!$T:$T),"")</f>
        <v>0</v>
      </c>
      <c r="AT159">
        <f>IFERROR(LOOKUP(2,1/('DRAFT 2'!$D:$D=$B159),'DRAFT 2'!$A:$A),"")</f>
        <v>0</v>
      </c>
      <c r="AU159">
        <f>IFERROR(LOOKUP(2,1/('DRAFT 2'!$D:$D=$B159),'DRAFT 2'!$R:$R),"")</f>
        <v>0</v>
      </c>
      <c r="AV159">
        <f>IFERROR(LOOKUP(2,1/('DRAFT 2'!$D:$D=$B159),'DRAFT 2'!$S:$S),"")</f>
        <v>0</v>
      </c>
      <c r="AX159">
        <f>IFERROR(LOOKUP(2,1/('DRAFT 2'!$D:$D=$B159),'DRAFT 2'!$M:$M),"")</f>
        <v>0</v>
      </c>
      <c r="AY159">
        <f>IFERROR(LOOKUP(2,1/('DRAFT 2'!$D:$D=$B159),'DRAFT 2'!$K:$K),"")</f>
        <v>0</v>
      </c>
      <c r="BG159">
        <f>IFERROR(LOOKUP(2,1/('DRAFT 2'!$D:$D=$B159),'DRAFT 2'!$U:$U),"")</f>
        <v>0</v>
      </c>
      <c r="BH159">
        <f>IFERROR(LOOKUP(2,1/('DRAFT 2'!$D:$D=$B159),'DRAFT 2'!$V:$V),"")</f>
        <v>0</v>
      </c>
      <c r="CE159" t="str">
        <f t="shared" si="57"/>
        <v/>
      </c>
      <c r="CF159">
        <f>IFERROR(LOOKUP(2,1/('DRAFT 2'!$D:$D=$B159)*('DRAFT 2'!$A:$A&gt;=DATE(2026,1,1))*('DRAFT 2'!$A:$A&lt;DATE(2026,IF(1=12,1+1,1+1),1)),'DRAFT 2'!$A:$A),"")</f>
        <v>0</v>
      </c>
      <c r="CG159">
        <f>COUNTIFS('DRAFT 2'!$D:$D,$B159,'DRAFT 2'!$A:$A,"&gt;="&amp;DATE(2026,1,1),'DRAFT 2'!$A:$A,"&lt;="&amp;DATE(2026,1,7))</f>
        <v>0</v>
      </c>
      <c r="CH159">
        <f>COUNTIFS('DRAFT 2'!$D:$D,$B159,'DRAFT 2'!$A:$A,"&gt;="&amp;DATE(2026,1,8),'DRAFT 2'!$A:$A,"&lt;="&amp;DATE(2026,1,14))</f>
        <v>0</v>
      </c>
      <c r="CI159">
        <f>COUNTIFS('DRAFT 2'!$D:$D,$B159,'DRAFT 2'!$A:$A,"&gt;="&amp;DATE(2026,1,15),'DRAFT 2'!$A:$A,"&lt;="&amp;DATE(2026,1,21))</f>
        <v>0</v>
      </c>
      <c r="CJ159">
        <f>COUNTIFS('DRAFT 2'!$D:$D,$B159,'DRAFT 2'!$A:$A,"&gt;="&amp;DATE(2026,1,22),'DRAFT 2'!$A:$A,"&lt;"&amp;DATE(2026,IF(1=12,1+1,1+1),1))</f>
        <v>0</v>
      </c>
      <c r="CK159">
        <f t="shared" si="58"/>
        <v>0</v>
      </c>
      <c r="CT159">
        <v>0</v>
      </c>
      <c r="CU159">
        <f>IFERROR(LOOKUP(2,1/('DRAFT 2'!$D:$D=$B159)*('DRAFT 2'!$A:$A&gt;=DATE(2026,2,1))*('DRAFT 2'!$A:$A&lt;DATE(2026,IF(2=12,2+1,2+1),1)),'DRAFT 2'!$A:$A),"")</f>
        <v>0</v>
      </c>
      <c r="CV159">
        <f>COUNTIFS('DRAFT 2'!$D:$D,$B159,'DRAFT 2'!$A:$A,"&gt;="&amp;DATE(2026,2,1),'DRAFT 2'!$A:$A,"&lt;="&amp;DATE(2026,2,7))</f>
        <v>0</v>
      </c>
      <c r="CW159">
        <f>COUNTIFS('DRAFT 2'!$D:$D,$B159,'DRAFT 2'!$A:$A,"&gt;="&amp;DATE(2026,2,8),'DRAFT 2'!$A:$A,"&lt;="&amp;DATE(2026,2,14))</f>
        <v>0</v>
      </c>
      <c r="CX159">
        <f>COUNTIFS('DRAFT 2'!$D:$D,$B159,'DRAFT 2'!$A:$A,"&gt;="&amp;DATE(2026,2,15),'DRAFT 2'!$A:$A,"&lt;="&amp;DATE(2026,2,21))</f>
        <v>0</v>
      </c>
      <c r="CY159">
        <f>COUNTIFS('DRAFT 2'!$D:$D,$B159,'DRAFT 2'!$A:$A,"&gt;="&amp;DATE(2026,2,22),'DRAFT 2'!$A:$A,"&lt;"&amp;DATE(2026,IF(2=12,2+1,2+1),1))</f>
        <v>0</v>
      </c>
      <c r="CZ159">
        <f t="shared" si="59"/>
        <v>0</v>
      </c>
      <c r="DJ159">
        <f>IFERROR(LOOKUP(2,1/('DRAFT 2'!$D:$D=$B159)*('DRAFT 2'!$A:$A&gt;=DATE(2026,3,1))*('DRAFT 2'!$A:$A&lt;DATE(2026,IF(3=12,3+1,3+1),1)),'DRAFT 2'!$A:$A),"")</f>
        <v>0</v>
      </c>
      <c r="DK159">
        <f>COUNTIFS('DRAFT 2'!$D:$D,$B159,'DRAFT 2'!$A:$A,"&gt;="&amp;DATE(2026,3,1),'DRAFT 2'!$A:$A,"&lt;="&amp;DATE(2026,3,7))</f>
        <v>0</v>
      </c>
      <c r="DL159">
        <f>COUNTIFS('DRAFT 2'!$D:$D,$B159,'DRAFT 2'!$A:$A,"&gt;="&amp;DATE(2026,3,8),'DRAFT 2'!$A:$A,"&lt;="&amp;DATE(2026,3,14))</f>
        <v>0</v>
      </c>
      <c r="DM159">
        <f>COUNTIFS('DRAFT 2'!$D:$D,$B159,'DRAFT 2'!$A:$A,"&gt;="&amp;DATE(2026,3,15),'DRAFT 2'!$A:$A,"&lt;="&amp;DATE(2026,3,21))</f>
        <v>0</v>
      </c>
      <c r="DN159">
        <f>COUNTIFS('DRAFT 2'!$D:$D,$B159,'DRAFT 2'!$A:$A,"&gt;="&amp;DATE(2026,3,22),'DRAFT 2'!$A:$A,"&lt;"&amp;DATE(2026,IF(3=12,3+1,3+1),1))</f>
        <v>0</v>
      </c>
      <c r="DO159">
        <f t="shared" si="60"/>
        <v>0</v>
      </c>
      <c r="DZ159">
        <f>IFERROR(LOOKUP(2,1/('DRAFT 2'!$D:$D=$B159)*('DRAFT 2'!$A:$A&gt;=DATE(2026,4,1))*('DRAFT 2'!$A:$A&lt;DATE(2026,IF(4=12,4+1,4+1),1)),'DRAFT 2'!$A:$A),"")</f>
        <v>0</v>
      </c>
      <c r="EA159">
        <f>COUNTIFS('DRAFT 2'!$D:$D,$B159,'DRAFT 2'!$A:$A,"&gt;="&amp;DATE(2026,4,1),'DRAFT 2'!$A:$A,"&lt;="&amp;DATE(2026,4,7))</f>
        <v>0</v>
      </c>
      <c r="EB159">
        <f>COUNTIFS('DRAFT 2'!$D:$D,$B159,'DRAFT 2'!$A:$A,"&gt;="&amp;DATE(2026,4,8),'DRAFT 2'!$A:$A,"&lt;="&amp;DATE(2026,4,14))</f>
        <v>0</v>
      </c>
      <c r="EC159">
        <f>COUNTIFS('DRAFT 2'!$D:$D,$B159,'DRAFT 2'!$A:$A,"&gt;="&amp;DATE(2026,4,15),'DRAFT 2'!$A:$A,"&lt;="&amp;DATE(2026,4,21))</f>
        <v>0</v>
      </c>
      <c r="ED159">
        <f>COUNTIFS('DRAFT 2'!$D:$D,$B159,'DRAFT 2'!$A:$A,"&gt;="&amp;DATE(2026,4,22),'DRAFT 2'!$A:$A,"&lt;"&amp;DATE(2026,IF(4=12,4+1,4+1),1))</f>
        <v>0</v>
      </c>
      <c r="EE159">
        <f t="shared" si="61"/>
        <v>0</v>
      </c>
      <c r="EO159">
        <f>IFERROR(LOOKUP(2,1/('DRAFT 2'!$D:$D=$B159)*('DRAFT 2'!$A:$A&gt;=DATE(2026,5,1))*('DRAFT 2'!$A:$A&lt;DATE(2026,IF(5=12,5+1,5+1),1)),'DRAFT 2'!$A:$A),"")</f>
        <v>0</v>
      </c>
      <c r="EP159">
        <f>COUNTIFS('DRAFT 2'!$D:$D,$B159,'DRAFT 2'!$A:$A,"&gt;="&amp;DATE(2026,5,1),'DRAFT 2'!$A:$A,"&lt;="&amp;DATE(2026,5,7))</f>
        <v>0</v>
      </c>
      <c r="EQ159">
        <f>COUNTIFS('DRAFT 2'!$D:$D,$B159,'DRAFT 2'!$A:$A,"&gt;="&amp;DATE(2026,5,8),'DRAFT 2'!$A:$A,"&lt;="&amp;DATE(2026,5,14))</f>
        <v>0</v>
      </c>
      <c r="ER159">
        <f>COUNTIFS('DRAFT 2'!$D:$D,$B159,'DRAFT 2'!$A:$A,"&gt;="&amp;DATE(2026,5,15),'DRAFT 2'!$A:$A,"&lt;="&amp;DATE(2026,5,21))</f>
        <v>0</v>
      </c>
      <c r="ES159">
        <f>COUNTIFS('DRAFT 2'!$D:$D,$B159,'DRAFT 2'!$A:$A,"&gt;="&amp;DATE(2026,5,22),'DRAFT 2'!$A:$A,"&lt;"&amp;DATE(2026,IF(5=12,5+1,5+1),1))</f>
        <v>0</v>
      </c>
      <c r="ET159">
        <f t="shared" si="62"/>
        <v>0</v>
      </c>
      <c r="FD159">
        <f>IFERROR(LOOKUP(2,1/('DRAFT 2'!$D:$D=$B159)*('DRAFT 2'!$A:$A&gt;=DATE(2026,6,1))*('DRAFT 2'!$A:$A&lt;DATE(2026,IF(6=12,6+1,6+1),1)),'DRAFT 2'!$A:$A),"")</f>
        <v>0</v>
      </c>
      <c r="FE159">
        <f>COUNTIFS('DRAFT 2'!$D:$D,$B159,'DRAFT 2'!$A:$A,"&gt;="&amp;DATE(2026,6,1),'DRAFT 2'!$A:$A,"&lt;="&amp;DATE(2026,6,7))</f>
        <v>0</v>
      </c>
      <c r="FF159">
        <f>COUNTIFS('DRAFT 2'!$D:$D,$B159,'DRAFT 2'!$A:$A,"&gt;="&amp;DATE(2026,6,8),'DRAFT 2'!$A:$A,"&lt;="&amp;DATE(2026,6,14))</f>
        <v>0</v>
      </c>
      <c r="FG159">
        <f>COUNTIFS('DRAFT 2'!$D:$D,$B159,'DRAFT 2'!$A:$A,"&gt;="&amp;DATE(2026,6,15),'DRAFT 2'!$A:$A,"&lt;="&amp;DATE(2026,6,21))</f>
        <v>0</v>
      </c>
      <c r="FH159">
        <f>COUNTIFS('DRAFT 2'!$D:$D,$B159,'DRAFT 2'!$A:$A,"&gt;="&amp;DATE(2026,6,22),'DRAFT 2'!$A:$A,"&lt;"&amp;DATE(2026,IF(6=12,6+1,6+1),1))</f>
        <v>0</v>
      </c>
      <c r="FI159">
        <f t="shared" si="63"/>
        <v>0</v>
      </c>
      <c r="FT159">
        <f>IFERROR(LOOKUP(2,1/('DRAFT 2'!$D:$D=$B159)*('DRAFT 2'!$A:$A&gt;=DATE(2026,7,1))*('DRAFT 2'!$A:$A&lt;DATE(2026,IF(7=12,7+1,7+1),1)),'DRAFT 2'!$A:$A),"")</f>
        <v>0</v>
      </c>
      <c r="FU159">
        <f>COUNTIFS('DRAFT 2'!$D:$D,$B159,'DRAFT 2'!$A:$A,"&gt;="&amp;DATE(2026,7,1),'DRAFT 2'!$A:$A,"&lt;="&amp;DATE(2026,7,7))</f>
        <v>0</v>
      </c>
      <c r="FV159">
        <f>COUNTIFS('DRAFT 2'!$D:$D,$B159,'DRAFT 2'!$A:$A,"&gt;="&amp;DATE(2026,7,8),'DRAFT 2'!$A:$A,"&lt;="&amp;DATE(2026,7,14))</f>
        <v>0</v>
      </c>
      <c r="FW159">
        <f>COUNTIFS('DRAFT 2'!$D:$D,$B159,'DRAFT 2'!$A:$A,"&gt;="&amp;DATE(2026,7,15),'DRAFT 2'!$A:$A,"&lt;="&amp;DATE(2026,7,21))</f>
        <v>0</v>
      </c>
      <c r="FX159">
        <f>COUNTIFS('DRAFT 2'!$D:$D,$B159,'DRAFT 2'!$A:$A,"&gt;="&amp;DATE(2026,7,22),'DRAFT 2'!$A:$A,"&lt;"&amp;DATE(2026,IF(7=12,7+1,7+1),1))</f>
        <v>0</v>
      </c>
      <c r="FY159">
        <f t="shared" si="64"/>
        <v>0</v>
      </c>
      <c r="GI159">
        <f>IFERROR(LOOKUP(2,1/('DRAFT 2'!$D:$D=$B159)*('DRAFT 2'!$A:$A&gt;=DATE(2026,8,1))*('DRAFT 2'!$A:$A&lt;DATE(2026,IF(8=12,8+1,8+1),1)),'DRAFT 2'!$A:$A),"")</f>
        <v>0</v>
      </c>
      <c r="GJ159">
        <f>COUNTIFS('DRAFT 2'!$D:$D,$B159,'DRAFT 2'!$A:$A,"&gt;="&amp;DATE(2026,8,1),'DRAFT 2'!$A:$A,"&lt;="&amp;DATE(2026,8,7))</f>
        <v>0</v>
      </c>
      <c r="GK159">
        <f>COUNTIFS('DRAFT 2'!$D:$D,$B159,'DRAFT 2'!$A:$A,"&gt;="&amp;DATE(2026,8,8),'DRAFT 2'!$A:$A,"&lt;="&amp;DATE(2026,8,14))</f>
        <v>0</v>
      </c>
      <c r="GL159">
        <f>COUNTIFS('DRAFT 2'!$D:$D,$B159,'DRAFT 2'!$A:$A,"&gt;="&amp;DATE(2026,8,15),'DRAFT 2'!$A:$A,"&lt;="&amp;DATE(2026,8,21))</f>
        <v>0</v>
      </c>
      <c r="GM159">
        <f>COUNTIFS('DRAFT 2'!$D:$D,$B159,'DRAFT 2'!$A:$A,"&gt;="&amp;DATE(2026,8,22),'DRAFT 2'!$A:$A,"&lt;"&amp;DATE(2026,IF(8=12,8+1,8+1),1))</f>
        <v>0</v>
      </c>
      <c r="GN159">
        <f t="shared" si="65"/>
        <v>0</v>
      </c>
      <c r="GX159">
        <f>IFERROR(LOOKUP(2,1/('DRAFT 2'!$D:$D=$B159)*('DRAFT 2'!$A:$A&gt;=DATE(2026,9,1))*('DRAFT 2'!$A:$A&lt;DATE(2026,IF(9=12,9+1,9+1),1)),'DRAFT 2'!$A:$A),"")</f>
        <v>0</v>
      </c>
      <c r="GY159">
        <f>COUNTIFS('DRAFT 2'!$D:$D,$B159,'DRAFT 2'!$A:$A,"&gt;="&amp;DATE(2026,9,1),'DRAFT 2'!$A:$A,"&lt;="&amp;DATE(2026,9,7))</f>
        <v>0</v>
      </c>
      <c r="GZ159">
        <f>COUNTIFS('DRAFT 2'!$D:$D,$B159,'DRAFT 2'!$A:$A,"&gt;="&amp;DATE(2026,9,8),'DRAFT 2'!$A:$A,"&lt;="&amp;DATE(2026,9,14))</f>
        <v>0</v>
      </c>
      <c r="HA159">
        <f>COUNTIFS('DRAFT 2'!$D:$D,$B159,'DRAFT 2'!$A:$A,"&gt;="&amp;DATE(2026,9,15),'DRAFT 2'!$A:$A,"&lt;="&amp;DATE(2026,9,21))</f>
        <v>0</v>
      </c>
      <c r="HB159">
        <f>COUNTIFS('DRAFT 2'!$D:$D,$B159,'DRAFT 2'!$A:$A,"&gt;="&amp;DATE(2026,9,22),'DRAFT 2'!$A:$A,"&lt;"&amp;DATE(2026,IF(9=12,9+1,9+1),1))</f>
        <v>0</v>
      </c>
      <c r="HC159">
        <f t="shared" si="66"/>
        <v>0</v>
      </c>
      <c r="HN159">
        <f>IFERROR(LOOKUP(2,1/('DRAFT 2'!$D:$D=$B159)*('DRAFT 2'!$A:$A&gt;=DATE(2026,10,1))*('DRAFT 2'!$A:$A&lt;DATE(2026,IF(10=12,10+1,10+1),1)),'DRAFT 2'!$A:$A),"")</f>
        <v>0</v>
      </c>
      <c r="HO159">
        <f>COUNTIFS('DRAFT 2'!$D:$D,$B159,'DRAFT 2'!$A:$A,"&gt;="&amp;DATE(2026,10,1),'DRAFT 2'!$A:$A,"&lt;="&amp;DATE(2026,10,7))</f>
        <v>0</v>
      </c>
      <c r="HP159">
        <f>COUNTIFS('DRAFT 2'!$D:$D,$B159,'DRAFT 2'!$A:$A,"&gt;="&amp;DATE(2026,10,8),'DRAFT 2'!$A:$A,"&lt;="&amp;DATE(2026,10,14))</f>
        <v>0</v>
      </c>
      <c r="HQ159">
        <f>COUNTIFS('DRAFT 2'!$D:$D,$B159,'DRAFT 2'!$A:$A,"&gt;="&amp;DATE(2026,10,15),'DRAFT 2'!$A:$A,"&lt;="&amp;DATE(2026,10,21))</f>
        <v>0</v>
      </c>
      <c r="HR159">
        <f>COUNTIFS('DRAFT 2'!$D:$D,$B159,'DRAFT 2'!$A:$A,"&gt;="&amp;DATE(2026,10,22),'DRAFT 2'!$A:$A,"&lt;"&amp;DATE(2026,IF(10=12,10+1,10+1),1))</f>
        <v>0</v>
      </c>
      <c r="HS159">
        <f t="shared" si="67"/>
        <v>0</v>
      </c>
      <c r="IC159">
        <f>IFERROR(LOOKUP(2,1/('DRAFT 2'!$D:$D=$B159)*('DRAFT 2'!$A:$A&gt;=DATE(2026,11,1))*('DRAFT 2'!$A:$A&lt;DATE(2026,IF(11=12,11+1,11+1),1)),'DRAFT 2'!$A:$A),"")</f>
        <v>0</v>
      </c>
      <c r="ID159">
        <f>COUNTIFS('DRAFT 2'!$D:$D,$B159,'DRAFT 2'!$A:$A,"&gt;="&amp;DATE(2026,11,1),'DRAFT 2'!$A:$A,"&lt;="&amp;DATE(2026,11,7))</f>
        <v>0</v>
      </c>
      <c r="IE159">
        <f>COUNTIFS('DRAFT 2'!$D:$D,$B159,'DRAFT 2'!$A:$A,"&gt;="&amp;DATE(2026,11,8),'DRAFT 2'!$A:$A,"&lt;="&amp;DATE(2026,11,14))</f>
        <v>0</v>
      </c>
      <c r="IF159">
        <f>COUNTIFS('DRAFT 2'!$D:$D,$B159,'DRAFT 2'!$A:$A,"&gt;="&amp;DATE(2026,11,15),'DRAFT 2'!$A:$A,"&lt;="&amp;DATE(2026,11,21))</f>
        <v>0</v>
      </c>
      <c r="IG159">
        <f>COUNTIFS('DRAFT 2'!$D:$D,$B159,'DRAFT 2'!$A:$A,"&gt;="&amp;DATE(2026,11,22),'DRAFT 2'!$A:$A,"&lt;"&amp;DATE(2026,IF(11=12,11+1,11+1),1))</f>
        <v>0</v>
      </c>
      <c r="IH159">
        <f t="shared" si="68"/>
        <v>0</v>
      </c>
      <c r="IR159">
        <f>IFERROR(LOOKUP(2,1/('DRAFT 2'!$D:$D=$B159)*('DRAFT 2'!$A:$A&gt;=DATE(2026,12,1))*('DRAFT 2'!$A:$A&lt;DATE(2026,IF(12=12,12+1,12+1),1)),'DRAFT 2'!$A:$A),"")</f>
        <v>0</v>
      </c>
      <c r="IS159">
        <f>COUNTIFS('DRAFT 2'!$D:$D,$B159,'DRAFT 2'!$A:$A,"&gt;="&amp;DATE(2026,12,1),'DRAFT 2'!$A:$A,"&lt;="&amp;DATE(2026,12,7))</f>
        <v>0</v>
      </c>
      <c r="IT159">
        <f>COUNTIFS('DRAFT 2'!$D:$D,$B159,'DRAFT 2'!$A:$A,"&gt;="&amp;DATE(2026,12,8),'DRAFT 2'!$A:$A,"&lt;="&amp;DATE(2026,12,14))</f>
        <v>0</v>
      </c>
      <c r="IU159">
        <f>COUNTIFS('DRAFT 2'!$D:$D,$B159,'DRAFT 2'!$A:$A,"&gt;="&amp;DATE(2026,12,15),'DRAFT 2'!$A:$A,"&lt;="&amp;DATE(2026,12,21))</f>
        <v>0</v>
      </c>
      <c r="IV159">
        <f>COUNTIFS('DRAFT 2'!$D:$D,$B159,'DRAFT 2'!$A:$A,"&gt;="&amp;DATE(2026,12,22),'DRAFT 2'!$A:$A,"&lt;"&amp;DATE(2026,IF(12=12,12+1,12+1),1))</f>
        <v>0</v>
      </c>
      <c r="IW159">
        <f t="shared" si="69"/>
        <v>0</v>
      </c>
    </row>
    <row r="160" spans="1:257" x14ac:dyDescent="0.3">
      <c r="A160" t="str">
        <f>IFERROR(INDEX('DRAFT 1'!$A:$A,MATCH($B160,'DRAFT 1'!$B:$B,0)),"")</f>
        <v/>
      </c>
      <c r="C160" t="str">
        <f>IFERROR(INDEX('DRAFT 1'!$C:$C,MATCH($B160,'DRAFT 1'!$B:$B,0)),"")</f>
        <v/>
      </c>
      <c r="D160" t="str">
        <f>IFERROR(INDEX('DRAFT 1'!$D:$D,MATCH($B160,'DRAFT 1'!$B:$B,0)),"")</f>
        <v/>
      </c>
      <c r="E160" t="str">
        <f>IFERROR(INDEX('DRAFT 1'!$E:$E,MATCH($B160,'DRAFT 1'!$B:$B,0)),"")</f>
        <v/>
      </c>
      <c r="F160" t="str">
        <f>IFERROR(INDEX('DRAFT 1'!$F:$F,MATCH($B160,'DRAFT 1'!$B:$B,0)),"")</f>
        <v/>
      </c>
      <c r="G160" t="str">
        <f>IFERROR(INDEX('DRAFT 1'!$G:$G,MATCH($B160,'DRAFT 1'!$B:$B,0)),"")</f>
        <v/>
      </c>
      <c r="H160" t="str">
        <f>IFERROR(INDEX('DRAFT 1'!$H:$H,MATCH($B160,'DRAFT 1'!$B:$B,0)),"")</f>
        <v/>
      </c>
      <c r="I160" t="str">
        <f>IFERROR(INDEX('DRAFT 1'!$I:$I,MATCH($B160,'DRAFT 1'!$B:$B,0)),"")</f>
        <v/>
      </c>
      <c r="K160" t="str">
        <f>IFERROR(INDEX('DRAFT 1'!$AL:$AL,MATCH($B160,'DRAFT 1'!$B:$B,0)),"")</f>
        <v/>
      </c>
      <c r="L160" t="str">
        <f>IFERROR(INDEX('DRAFT 1'!$J:$J,MATCH($B160,'DRAFT 1'!$B:$B,0)),"")</f>
        <v/>
      </c>
      <c r="M160" t="str">
        <f>IFERROR(INDEX('DRAFT 1'!$K:$K,MATCH($B160,'DRAFT 1'!$B:$B,0)),"")</f>
        <v/>
      </c>
      <c r="P160" t="str">
        <f>IFERROR(INDEX('DRAFT 1'!$L:$L,MATCH($B160,'DRAFT 1'!$B:$B,0)),"")</f>
        <v/>
      </c>
      <c r="Q160" t="str">
        <f>IFERROR(INDEX('DRAFT 1'!$M:$M,MATCH($B160,'DRAFT 1'!$B:$B,0)),"")</f>
        <v/>
      </c>
      <c r="R160" t="str">
        <f>IFERROR(INDEX('DRAFT 1'!$N:$N,MATCH($B160,'DRAFT 1'!$B:$B,0)),"")</f>
        <v/>
      </c>
      <c r="S160" t="str">
        <f>IFERROR(INDEX('DRAFT 1'!$O:$O,MATCH($B160,'DRAFT 1'!$B:$B,0)),"")</f>
        <v/>
      </c>
      <c r="T160" t="str">
        <f>IFERROR(INDEX('DRAFT 1'!$P:$P,MATCH($B160,'DRAFT 1'!$B:$B,0)),"")</f>
        <v/>
      </c>
      <c r="U160" t="str">
        <f>IFERROR(INDEX('DRAFT 1'!$Q:$Q,MATCH($B160,'DRAFT 1'!$B:$B,0)),"")</f>
        <v/>
      </c>
      <c r="V160" t="str">
        <f>IFERROR(INDEX('DRAFT 1'!$R:$R,MATCH($B160,'DRAFT 1'!$B:$B,0)),"")</f>
        <v/>
      </c>
      <c r="W160" t="str">
        <f>IFERROR(INDEX('DRAFT 1'!$S:$S,MATCH($B160,'DRAFT 1'!$B:$B,0)),"")</f>
        <v/>
      </c>
      <c r="X160" t="str">
        <f>IFERROR(INDEX('DRAFT 1'!$T:$T,MATCH($B160,'DRAFT 1'!$B:$B,0)),"")</f>
        <v/>
      </c>
      <c r="Z160" t="str">
        <f>IFERROR(INDEX('DRAFT 1'!$U:$U,MATCH($B160,'DRAFT 1'!$B:$B,0)),"")</f>
        <v/>
      </c>
      <c r="AA160" t="str">
        <f>IFERROR(INDEX('DRAFT 1'!$V:$V,MATCH($B160,'DRAFT 1'!$B:$B,0)),"")</f>
        <v/>
      </c>
      <c r="AB160" t="str">
        <f>IFERROR(INDEX('DRAFT 1'!$W:$W,MATCH($B160,'DRAFT 1'!$B:$B,0)),"")</f>
        <v/>
      </c>
      <c r="AC160" t="str">
        <f>IFERROR(INDEX('DRAFT 1'!$X:$X,MATCH($B160,'DRAFT 1'!$B:$B,0)),"")</f>
        <v/>
      </c>
      <c r="AD160" t="str">
        <f>IFERROR(INDEX('DRAFT 1'!$Y:$Y,MATCH($B160,'DRAFT 1'!$B:$B,0)),"")</f>
        <v/>
      </c>
      <c r="AE160" t="str">
        <f>IFERROR(INDEX('DRAFT 1'!$Z:$Z,MATCH($B160,'DRAFT 1'!$B:$B,0)),"")</f>
        <v/>
      </c>
      <c r="AF160" t="str">
        <f>IFERROR(INDEX('DRAFT 1'!$AA:$AA,MATCH($B160,'DRAFT 1'!$B:$B,0)),"")</f>
        <v/>
      </c>
      <c r="AG160" t="str">
        <f>IFERROR(INDEX('DRAFT 1'!$AB:$AB,MATCH($B160,'DRAFT 1'!$B:$B,0)),"")</f>
        <v/>
      </c>
      <c r="AH160" t="str">
        <f>IFERROR(INDEX('DRAFT 1'!$AC:$AC,MATCH($B160,'DRAFT 1'!$B:$B,0)),"")</f>
        <v/>
      </c>
      <c r="AI160" t="str">
        <f>IFERROR(INDEX('DRAFT 1'!$AD:$AD,MATCH($B160,'DRAFT 1'!$B:$B,0)),"")</f>
        <v/>
      </c>
      <c r="AJ160" t="str">
        <f>IFERROR(INDEX('DRAFT 1'!$AE:$AE,MATCH($B160,'DRAFT 1'!$B:$B,0)),"")</f>
        <v/>
      </c>
      <c r="AK160" t="str">
        <f>IFERROR(INDEX('DRAFT 1'!$AG:$AG,MATCH($B160,'DRAFT 1'!$B:$B,0)),"")</f>
        <v/>
      </c>
      <c r="AL160" t="str">
        <f>IFERROR(INDEX('DRAFT 1'!$AH:$AH,MATCH($B160,'DRAFT 1'!$B:$B,0)),"")</f>
        <v/>
      </c>
      <c r="AM160" t="str">
        <f>IFERROR(INDEX('DRAFT 1'!$AI:$AI,MATCH($B160,'DRAFT 1'!$B:$B,0)),"")</f>
        <v/>
      </c>
      <c r="AN160" t="str">
        <f>IFERROR(INDEX('DRAFT 1'!$AJ:$AJ,MATCH($B160,'DRAFT 1'!$B:$B,0)),"")</f>
        <v/>
      </c>
      <c r="AO160">
        <f t="shared" si="56"/>
        <v>0</v>
      </c>
      <c r="AP160" t="str">
        <f>IFERROR(INDEX('DRAFT 1'!$AK:$AK,MATCH($B160,'DRAFT 1'!$B:$B,0)),"")</f>
        <v/>
      </c>
      <c r="AR160">
        <f>IFERROR(LOOKUP(2,1/('DRAFT 2'!$D:$D=$B160),'DRAFT 2'!$I:$I),"")</f>
        <v>0</v>
      </c>
      <c r="AS160">
        <f>IFERROR(LOOKUP(2,1/('DRAFT 2'!$D:$D=$B160),'DRAFT 2'!$T:$T),"")</f>
        <v>0</v>
      </c>
      <c r="AT160">
        <f>IFERROR(LOOKUP(2,1/('DRAFT 2'!$D:$D=$B160),'DRAFT 2'!$A:$A),"")</f>
        <v>0</v>
      </c>
      <c r="AU160">
        <f>IFERROR(LOOKUP(2,1/('DRAFT 2'!$D:$D=$B160),'DRAFT 2'!$R:$R),"")</f>
        <v>0</v>
      </c>
      <c r="AV160">
        <f>IFERROR(LOOKUP(2,1/('DRAFT 2'!$D:$D=$B160),'DRAFT 2'!$S:$S),"")</f>
        <v>0</v>
      </c>
      <c r="AX160">
        <f>IFERROR(LOOKUP(2,1/('DRAFT 2'!$D:$D=$B160),'DRAFT 2'!$M:$M),"")</f>
        <v>0</v>
      </c>
      <c r="AY160">
        <f>IFERROR(LOOKUP(2,1/('DRAFT 2'!$D:$D=$B160),'DRAFT 2'!$K:$K),"")</f>
        <v>0</v>
      </c>
      <c r="BG160">
        <f>IFERROR(LOOKUP(2,1/('DRAFT 2'!$D:$D=$B160),'DRAFT 2'!$U:$U),"")</f>
        <v>0</v>
      </c>
      <c r="BH160">
        <f>IFERROR(LOOKUP(2,1/('DRAFT 2'!$D:$D=$B160),'DRAFT 2'!$V:$V),"")</f>
        <v>0</v>
      </c>
      <c r="CE160" t="str">
        <f t="shared" si="57"/>
        <v/>
      </c>
      <c r="CF160">
        <f>IFERROR(LOOKUP(2,1/('DRAFT 2'!$D:$D=$B160)*('DRAFT 2'!$A:$A&gt;=DATE(2026,1,1))*('DRAFT 2'!$A:$A&lt;DATE(2026,IF(1=12,1+1,1+1),1)),'DRAFT 2'!$A:$A),"")</f>
        <v>0</v>
      </c>
      <c r="CG160">
        <f>COUNTIFS('DRAFT 2'!$D:$D,$B160,'DRAFT 2'!$A:$A,"&gt;="&amp;DATE(2026,1,1),'DRAFT 2'!$A:$A,"&lt;="&amp;DATE(2026,1,7))</f>
        <v>0</v>
      </c>
      <c r="CH160">
        <f>COUNTIFS('DRAFT 2'!$D:$D,$B160,'DRAFT 2'!$A:$A,"&gt;="&amp;DATE(2026,1,8),'DRAFT 2'!$A:$A,"&lt;="&amp;DATE(2026,1,14))</f>
        <v>0</v>
      </c>
      <c r="CI160">
        <f>COUNTIFS('DRAFT 2'!$D:$D,$B160,'DRAFT 2'!$A:$A,"&gt;="&amp;DATE(2026,1,15),'DRAFT 2'!$A:$A,"&lt;="&amp;DATE(2026,1,21))</f>
        <v>0</v>
      </c>
      <c r="CJ160">
        <f>COUNTIFS('DRAFT 2'!$D:$D,$B160,'DRAFT 2'!$A:$A,"&gt;="&amp;DATE(2026,1,22),'DRAFT 2'!$A:$A,"&lt;"&amp;DATE(2026,IF(1=12,1+1,1+1),1))</f>
        <v>0</v>
      </c>
      <c r="CK160">
        <f t="shared" si="58"/>
        <v>0</v>
      </c>
      <c r="CT160">
        <v>0</v>
      </c>
      <c r="CU160">
        <f>IFERROR(LOOKUP(2,1/('DRAFT 2'!$D:$D=$B160)*('DRAFT 2'!$A:$A&gt;=DATE(2026,2,1))*('DRAFT 2'!$A:$A&lt;DATE(2026,IF(2=12,2+1,2+1),1)),'DRAFT 2'!$A:$A),"")</f>
        <v>0</v>
      </c>
      <c r="CV160">
        <f>COUNTIFS('DRAFT 2'!$D:$D,$B160,'DRAFT 2'!$A:$A,"&gt;="&amp;DATE(2026,2,1),'DRAFT 2'!$A:$A,"&lt;="&amp;DATE(2026,2,7))</f>
        <v>0</v>
      </c>
      <c r="CW160">
        <f>COUNTIFS('DRAFT 2'!$D:$D,$B160,'DRAFT 2'!$A:$A,"&gt;="&amp;DATE(2026,2,8),'DRAFT 2'!$A:$A,"&lt;="&amp;DATE(2026,2,14))</f>
        <v>0</v>
      </c>
      <c r="CX160">
        <f>COUNTIFS('DRAFT 2'!$D:$D,$B160,'DRAFT 2'!$A:$A,"&gt;="&amp;DATE(2026,2,15),'DRAFT 2'!$A:$A,"&lt;="&amp;DATE(2026,2,21))</f>
        <v>0</v>
      </c>
      <c r="CY160">
        <f>COUNTIFS('DRAFT 2'!$D:$D,$B160,'DRAFT 2'!$A:$A,"&gt;="&amp;DATE(2026,2,22),'DRAFT 2'!$A:$A,"&lt;"&amp;DATE(2026,IF(2=12,2+1,2+1),1))</f>
        <v>0</v>
      </c>
      <c r="CZ160">
        <f t="shared" si="59"/>
        <v>0</v>
      </c>
      <c r="DJ160">
        <f>IFERROR(LOOKUP(2,1/('DRAFT 2'!$D:$D=$B160)*('DRAFT 2'!$A:$A&gt;=DATE(2026,3,1))*('DRAFT 2'!$A:$A&lt;DATE(2026,IF(3=12,3+1,3+1),1)),'DRAFT 2'!$A:$A),"")</f>
        <v>0</v>
      </c>
      <c r="DK160">
        <f>COUNTIFS('DRAFT 2'!$D:$D,$B160,'DRAFT 2'!$A:$A,"&gt;="&amp;DATE(2026,3,1),'DRAFT 2'!$A:$A,"&lt;="&amp;DATE(2026,3,7))</f>
        <v>0</v>
      </c>
      <c r="DL160">
        <f>COUNTIFS('DRAFT 2'!$D:$D,$B160,'DRAFT 2'!$A:$A,"&gt;="&amp;DATE(2026,3,8),'DRAFT 2'!$A:$A,"&lt;="&amp;DATE(2026,3,14))</f>
        <v>0</v>
      </c>
      <c r="DM160">
        <f>COUNTIFS('DRAFT 2'!$D:$D,$B160,'DRAFT 2'!$A:$A,"&gt;="&amp;DATE(2026,3,15),'DRAFT 2'!$A:$A,"&lt;="&amp;DATE(2026,3,21))</f>
        <v>0</v>
      </c>
      <c r="DN160">
        <f>COUNTIFS('DRAFT 2'!$D:$D,$B160,'DRAFT 2'!$A:$A,"&gt;="&amp;DATE(2026,3,22),'DRAFT 2'!$A:$A,"&lt;"&amp;DATE(2026,IF(3=12,3+1,3+1),1))</f>
        <v>0</v>
      </c>
      <c r="DO160">
        <f t="shared" si="60"/>
        <v>0</v>
      </c>
      <c r="DZ160">
        <f>IFERROR(LOOKUP(2,1/('DRAFT 2'!$D:$D=$B160)*('DRAFT 2'!$A:$A&gt;=DATE(2026,4,1))*('DRAFT 2'!$A:$A&lt;DATE(2026,IF(4=12,4+1,4+1),1)),'DRAFT 2'!$A:$A),"")</f>
        <v>0</v>
      </c>
      <c r="EA160">
        <f>COUNTIFS('DRAFT 2'!$D:$D,$B160,'DRAFT 2'!$A:$A,"&gt;="&amp;DATE(2026,4,1),'DRAFT 2'!$A:$A,"&lt;="&amp;DATE(2026,4,7))</f>
        <v>0</v>
      </c>
      <c r="EB160">
        <f>COUNTIFS('DRAFT 2'!$D:$D,$B160,'DRAFT 2'!$A:$A,"&gt;="&amp;DATE(2026,4,8),'DRAFT 2'!$A:$A,"&lt;="&amp;DATE(2026,4,14))</f>
        <v>0</v>
      </c>
      <c r="EC160">
        <f>COUNTIFS('DRAFT 2'!$D:$D,$B160,'DRAFT 2'!$A:$A,"&gt;="&amp;DATE(2026,4,15),'DRAFT 2'!$A:$A,"&lt;="&amp;DATE(2026,4,21))</f>
        <v>0</v>
      </c>
      <c r="ED160">
        <f>COUNTIFS('DRAFT 2'!$D:$D,$B160,'DRAFT 2'!$A:$A,"&gt;="&amp;DATE(2026,4,22),'DRAFT 2'!$A:$A,"&lt;"&amp;DATE(2026,IF(4=12,4+1,4+1),1))</f>
        <v>0</v>
      </c>
      <c r="EE160">
        <f t="shared" si="61"/>
        <v>0</v>
      </c>
      <c r="EO160">
        <f>IFERROR(LOOKUP(2,1/('DRAFT 2'!$D:$D=$B160)*('DRAFT 2'!$A:$A&gt;=DATE(2026,5,1))*('DRAFT 2'!$A:$A&lt;DATE(2026,IF(5=12,5+1,5+1),1)),'DRAFT 2'!$A:$A),"")</f>
        <v>0</v>
      </c>
      <c r="EP160">
        <f>COUNTIFS('DRAFT 2'!$D:$D,$B160,'DRAFT 2'!$A:$A,"&gt;="&amp;DATE(2026,5,1),'DRAFT 2'!$A:$A,"&lt;="&amp;DATE(2026,5,7))</f>
        <v>0</v>
      </c>
      <c r="EQ160">
        <f>COUNTIFS('DRAFT 2'!$D:$D,$B160,'DRAFT 2'!$A:$A,"&gt;="&amp;DATE(2026,5,8),'DRAFT 2'!$A:$A,"&lt;="&amp;DATE(2026,5,14))</f>
        <v>0</v>
      </c>
      <c r="ER160">
        <f>COUNTIFS('DRAFT 2'!$D:$D,$B160,'DRAFT 2'!$A:$A,"&gt;="&amp;DATE(2026,5,15),'DRAFT 2'!$A:$A,"&lt;="&amp;DATE(2026,5,21))</f>
        <v>0</v>
      </c>
      <c r="ES160">
        <f>COUNTIFS('DRAFT 2'!$D:$D,$B160,'DRAFT 2'!$A:$A,"&gt;="&amp;DATE(2026,5,22),'DRAFT 2'!$A:$A,"&lt;"&amp;DATE(2026,IF(5=12,5+1,5+1),1))</f>
        <v>0</v>
      </c>
      <c r="ET160">
        <f t="shared" si="62"/>
        <v>0</v>
      </c>
      <c r="FD160">
        <f>IFERROR(LOOKUP(2,1/('DRAFT 2'!$D:$D=$B160)*('DRAFT 2'!$A:$A&gt;=DATE(2026,6,1))*('DRAFT 2'!$A:$A&lt;DATE(2026,IF(6=12,6+1,6+1),1)),'DRAFT 2'!$A:$A),"")</f>
        <v>0</v>
      </c>
      <c r="FE160">
        <f>COUNTIFS('DRAFT 2'!$D:$D,$B160,'DRAFT 2'!$A:$A,"&gt;="&amp;DATE(2026,6,1),'DRAFT 2'!$A:$A,"&lt;="&amp;DATE(2026,6,7))</f>
        <v>0</v>
      </c>
      <c r="FF160">
        <f>COUNTIFS('DRAFT 2'!$D:$D,$B160,'DRAFT 2'!$A:$A,"&gt;="&amp;DATE(2026,6,8),'DRAFT 2'!$A:$A,"&lt;="&amp;DATE(2026,6,14))</f>
        <v>0</v>
      </c>
      <c r="FG160">
        <f>COUNTIFS('DRAFT 2'!$D:$D,$B160,'DRAFT 2'!$A:$A,"&gt;="&amp;DATE(2026,6,15),'DRAFT 2'!$A:$A,"&lt;="&amp;DATE(2026,6,21))</f>
        <v>0</v>
      </c>
      <c r="FH160">
        <f>COUNTIFS('DRAFT 2'!$D:$D,$B160,'DRAFT 2'!$A:$A,"&gt;="&amp;DATE(2026,6,22),'DRAFT 2'!$A:$A,"&lt;"&amp;DATE(2026,IF(6=12,6+1,6+1),1))</f>
        <v>0</v>
      </c>
      <c r="FI160">
        <f t="shared" si="63"/>
        <v>0</v>
      </c>
      <c r="FT160">
        <f>IFERROR(LOOKUP(2,1/('DRAFT 2'!$D:$D=$B160)*('DRAFT 2'!$A:$A&gt;=DATE(2026,7,1))*('DRAFT 2'!$A:$A&lt;DATE(2026,IF(7=12,7+1,7+1),1)),'DRAFT 2'!$A:$A),"")</f>
        <v>0</v>
      </c>
      <c r="FU160">
        <f>COUNTIFS('DRAFT 2'!$D:$D,$B160,'DRAFT 2'!$A:$A,"&gt;="&amp;DATE(2026,7,1),'DRAFT 2'!$A:$A,"&lt;="&amp;DATE(2026,7,7))</f>
        <v>0</v>
      </c>
      <c r="FV160">
        <f>COUNTIFS('DRAFT 2'!$D:$D,$B160,'DRAFT 2'!$A:$A,"&gt;="&amp;DATE(2026,7,8),'DRAFT 2'!$A:$A,"&lt;="&amp;DATE(2026,7,14))</f>
        <v>0</v>
      </c>
      <c r="FW160">
        <f>COUNTIFS('DRAFT 2'!$D:$D,$B160,'DRAFT 2'!$A:$A,"&gt;="&amp;DATE(2026,7,15),'DRAFT 2'!$A:$A,"&lt;="&amp;DATE(2026,7,21))</f>
        <v>0</v>
      </c>
      <c r="FX160">
        <f>COUNTIFS('DRAFT 2'!$D:$D,$B160,'DRAFT 2'!$A:$A,"&gt;="&amp;DATE(2026,7,22),'DRAFT 2'!$A:$A,"&lt;"&amp;DATE(2026,IF(7=12,7+1,7+1),1))</f>
        <v>0</v>
      </c>
      <c r="FY160">
        <f t="shared" si="64"/>
        <v>0</v>
      </c>
      <c r="GI160">
        <f>IFERROR(LOOKUP(2,1/('DRAFT 2'!$D:$D=$B160)*('DRAFT 2'!$A:$A&gt;=DATE(2026,8,1))*('DRAFT 2'!$A:$A&lt;DATE(2026,IF(8=12,8+1,8+1),1)),'DRAFT 2'!$A:$A),"")</f>
        <v>0</v>
      </c>
      <c r="GJ160">
        <f>COUNTIFS('DRAFT 2'!$D:$D,$B160,'DRAFT 2'!$A:$A,"&gt;="&amp;DATE(2026,8,1),'DRAFT 2'!$A:$A,"&lt;="&amp;DATE(2026,8,7))</f>
        <v>0</v>
      </c>
      <c r="GK160">
        <f>COUNTIFS('DRAFT 2'!$D:$D,$B160,'DRAFT 2'!$A:$A,"&gt;="&amp;DATE(2026,8,8),'DRAFT 2'!$A:$A,"&lt;="&amp;DATE(2026,8,14))</f>
        <v>0</v>
      </c>
      <c r="GL160">
        <f>COUNTIFS('DRAFT 2'!$D:$D,$B160,'DRAFT 2'!$A:$A,"&gt;="&amp;DATE(2026,8,15),'DRAFT 2'!$A:$A,"&lt;="&amp;DATE(2026,8,21))</f>
        <v>0</v>
      </c>
      <c r="GM160">
        <f>COUNTIFS('DRAFT 2'!$D:$D,$B160,'DRAFT 2'!$A:$A,"&gt;="&amp;DATE(2026,8,22),'DRAFT 2'!$A:$A,"&lt;"&amp;DATE(2026,IF(8=12,8+1,8+1),1))</f>
        <v>0</v>
      </c>
      <c r="GN160">
        <f t="shared" si="65"/>
        <v>0</v>
      </c>
      <c r="GX160">
        <f>IFERROR(LOOKUP(2,1/('DRAFT 2'!$D:$D=$B160)*('DRAFT 2'!$A:$A&gt;=DATE(2026,9,1))*('DRAFT 2'!$A:$A&lt;DATE(2026,IF(9=12,9+1,9+1),1)),'DRAFT 2'!$A:$A),"")</f>
        <v>0</v>
      </c>
      <c r="GY160">
        <f>COUNTIFS('DRAFT 2'!$D:$D,$B160,'DRAFT 2'!$A:$A,"&gt;="&amp;DATE(2026,9,1),'DRAFT 2'!$A:$A,"&lt;="&amp;DATE(2026,9,7))</f>
        <v>0</v>
      </c>
      <c r="GZ160">
        <f>COUNTIFS('DRAFT 2'!$D:$D,$B160,'DRAFT 2'!$A:$A,"&gt;="&amp;DATE(2026,9,8),'DRAFT 2'!$A:$A,"&lt;="&amp;DATE(2026,9,14))</f>
        <v>0</v>
      </c>
      <c r="HA160">
        <f>COUNTIFS('DRAFT 2'!$D:$D,$B160,'DRAFT 2'!$A:$A,"&gt;="&amp;DATE(2026,9,15),'DRAFT 2'!$A:$A,"&lt;="&amp;DATE(2026,9,21))</f>
        <v>0</v>
      </c>
      <c r="HB160">
        <f>COUNTIFS('DRAFT 2'!$D:$D,$B160,'DRAFT 2'!$A:$A,"&gt;="&amp;DATE(2026,9,22),'DRAFT 2'!$A:$A,"&lt;"&amp;DATE(2026,IF(9=12,9+1,9+1),1))</f>
        <v>0</v>
      </c>
      <c r="HC160">
        <f t="shared" si="66"/>
        <v>0</v>
      </c>
      <c r="HN160">
        <f>IFERROR(LOOKUP(2,1/('DRAFT 2'!$D:$D=$B160)*('DRAFT 2'!$A:$A&gt;=DATE(2026,10,1))*('DRAFT 2'!$A:$A&lt;DATE(2026,IF(10=12,10+1,10+1),1)),'DRAFT 2'!$A:$A),"")</f>
        <v>0</v>
      </c>
      <c r="HO160">
        <f>COUNTIFS('DRAFT 2'!$D:$D,$B160,'DRAFT 2'!$A:$A,"&gt;="&amp;DATE(2026,10,1),'DRAFT 2'!$A:$A,"&lt;="&amp;DATE(2026,10,7))</f>
        <v>0</v>
      </c>
      <c r="HP160">
        <f>COUNTIFS('DRAFT 2'!$D:$D,$B160,'DRAFT 2'!$A:$A,"&gt;="&amp;DATE(2026,10,8),'DRAFT 2'!$A:$A,"&lt;="&amp;DATE(2026,10,14))</f>
        <v>0</v>
      </c>
      <c r="HQ160">
        <f>COUNTIFS('DRAFT 2'!$D:$D,$B160,'DRAFT 2'!$A:$A,"&gt;="&amp;DATE(2026,10,15),'DRAFT 2'!$A:$A,"&lt;="&amp;DATE(2026,10,21))</f>
        <v>0</v>
      </c>
      <c r="HR160">
        <f>COUNTIFS('DRAFT 2'!$D:$D,$B160,'DRAFT 2'!$A:$A,"&gt;="&amp;DATE(2026,10,22),'DRAFT 2'!$A:$A,"&lt;"&amp;DATE(2026,IF(10=12,10+1,10+1),1))</f>
        <v>0</v>
      </c>
      <c r="HS160">
        <f t="shared" si="67"/>
        <v>0</v>
      </c>
      <c r="IC160">
        <f>IFERROR(LOOKUP(2,1/('DRAFT 2'!$D:$D=$B160)*('DRAFT 2'!$A:$A&gt;=DATE(2026,11,1))*('DRAFT 2'!$A:$A&lt;DATE(2026,IF(11=12,11+1,11+1),1)),'DRAFT 2'!$A:$A),"")</f>
        <v>0</v>
      </c>
      <c r="ID160">
        <f>COUNTIFS('DRAFT 2'!$D:$D,$B160,'DRAFT 2'!$A:$A,"&gt;="&amp;DATE(2026,11,1),'DRAFT 2'!$A:$A,"&lt;="&amp;DATE(2026,11,7))</f>
        <v>0</v>
      </c>
      <c r="IE160">
        <f>COUNTIFS('DRAFT 2'!$D:$D,$B160,'DRAFT 2'!$A:$A,"&gt;="&amp;DATE(2026,11,8),'DRAFT 2'!$A:$A,"&lt;="&amp;DATE(2026,11,14))</f>
        <v>0</v>
      </c>
      <c r="IF160">
        <f>COUNTIFS('DRAFT 2'!$D:$D,$B160,'DRAFT 2'!$A:$A,"&gt;="&amp;DATE(2026,11,15),'DRAFT 2'!$A:$A,"&lt;="&amp;DATE(2026,11,21))</f>
        <v>0</v>
      </c>
      <c r="IG160">
        <f>COUNTIFS('DRAFT 2'!$D:$D,$B160,'DRAFT 2'!$A:$A,"&gt;="&amp;DATE(2026,11,22),'DRAFT 2'!$A:$A,"&lt;"&amp;DATE(2026,IF(11=12,11+1,11+1),1))</f>
        <v>0</v>
      </c>
      <c r="IH160">
        <f t="shared" si="68"/>
        <v>0</v>
      </c>
      <c r="IR160">
        <f>IFERROR(LOOKUP(2,1/('DRAFT 2'!$D:$D=$B160)*('DRAFT 2'!$A:$A&gt;=DATE(2026,12,1))*('DRAFT 2'!$A:$A&lt;DATE(2026,IF(12=12,12+1,12+1),1)),'DRAFT 2'!$A:$A),"")</f>
        <v>0</v>
      </c>
      <c r="IS160">
        <f>COUNTIFS('DRAFT 2'!$D:$D,$B160,'DRAFT 2'!$A:$A,"&gt;="&amp;DATE(2026,12,1),'DRAFT 2'!$A:$A,"&lt;="&amp;DATE(2026,12,7))</f>
        <v>0</v>
      </c>
      <c r="IT160">
        <f>COUNTIFS('DRAFT 2'!$D:$D,$B160,'DRAFT 2'!$A:$A,"&gt;="&amp;DATE(2026,12,8),'DRAFT 2'!$A:$A,"&lt;="&amp;DATE(2026,12,14))</f>
        <v>0</v>
      </c>
      <c r="IU160">
        <f>COUNTIFS('DRAFT 2'!$D:$D,$B160,'DRAFT 2'!$A:$A,"&gt;="&amp;DATE(2026,12,15),'DRAFT 2'!$A:$A,"&lt;="&amp;DATE(2026,12,21))</f>
        <v>0</v>
      </c>
      <c r="IV160">
        <f>COUNTIFS('DRAFT 2'!$D:$D,$B160,'DRAFT 2'!$A:$A,"&gt;="&amp;DATE(2026,12,22),'DRAFT 2'!$A:$A,"&lt;"&amp;DATE(2026,IF(12=12,12+1,12+1),1))</f>
        <v>0</v>
      </c>
      <c r="IW160">
        <f t="shared" si="69"/>
        <v>0</v>
      </c>
    </row>
    <row r="161" spans="1:257" x14ac:dyDescent="0.3">
      <c r="A161" t="str">
        <f>IFERROR(INDEX('DRAFT 1'!$A:$A,MATCH($B161,'DRAFT 1'!$B:$B,0)),"")</f>
        <v/>
      </c>
      <c r="C161" t="str">
        <f>IFERROR(INDEX('DRAFT 1'!$C:$C,MATCH($B161,'DRAFT 1'!$B:$B,0)),"")</f>
        <v/>
      </c>
      <c r="D161" t="str">
        <f>IFERROR(INDEX('DRAFT 1'!$D:$D,MATCH($B161,'DRAFT 1'!$B:$B,0)),"")</f>
        <v/>
      </c>
      <c r="E161" t="str">
        <f>IFERROR(INDEX('DRAFT 1'!$E:$E,MATCH($B161,'DRAFT 1'!$B:$B,0)),"")</f>
        <v/>
      </c>
      <c r="F161" t="str">
        <f>IFERROR(INDEX('DRAFT 1'!$F:$F,MATCH($B161,'DRAFT 1'!$B:$B,0)),"")</f>
        <v/>
      </c>
      <c r="G161" t="str">
        <f>IFERROR(INDEX('DRAFT 1'!$G:$G,MATCH($B161,'DRAFT 1'!$B:$B,0)),"")</f>
        <v/>
      </c>
      <c r="H161" t="str">
        <f>IFERROR(INDEX('DRAFT 1'!$H:$H,MATCH($B161,'DRAFT 1'!$B:$B,0)),"")</f>
        <v/>
      </c>
      <c r="I161" t="str">
        <f>IFERROR(INDEX('DRAFT 1'!$I:$I,MATCH($B161,'DRAFT 1'!$B:$B,0)),"")</f>
        <v/>
      </c>
      <c r="K161" t="str">
        <f>IFERROR(INDEX('DRAFT 1'!$AL:$AL,MATCH($B161,'DRAFT 1'!$B:$B,0)),"")</f>
        <v/>
      </c>
      <c r="L161" t="str">
        <f>IFERROR(INDEX('DRAFT 1'!$J:$J,MATCH($B161,'DRAFT 1'!$B:$B,0)),"")</f>
        <v/>
      </c>
      <c r="M161" t="str">
        <f>IFERROR(INDEX('DRAFT 1'!$K:$K,MATCH($B161,'DRAFT 1'!$B:$B,0)),"")</f>
        <v/>
      </c>
      <c r="P161" t="str">
        <f>IFERROR(INDEX('DRAFT 1'!$L:$L,MATCH($B161,'DRAFT 1'!$B:$B,0)),"")</f>
        <v/>
      </c>
      <c r="Q161" t="str">
        <f>IFERROR(INDEX('DRAFT 1'!$M:$M,MATCH($B161,'DRAFT 1'!$B:$B,0)),"")</f>
        <v/>
      </c>
      <c r="R161" t="str">
        <f>IFERROR(INDEX('DRAFT 1'!$N:$N,MATCH($B161,'DRAFT 1'!$B:$B,0)),"")</f>
        <v/>
      </c>
      <c r="S161" t="str">
        <f>IFERROR(INDEX('DRAFT 1'!$O:$O,MATCH($B161,'DRAFT 1'!$B:$B,0)),"")</f>
        <v/>
      </c>
      <c r="T161" t="str">
        <f>IFERROR(INDEX('DRAFT 1'!$P:$P,MATCH($B161,'DRAFT 1'!$B:$B,0)),"")</f>
        <v/>
      </c>
      <c r="U161" t="str">
        <f>IFERROR(INDEX('DRAFT 1'!$Q:$Q,MATCH($B161,'DRAFT 1'!$B:$B,0)),"")</f>
        <v/>
      </c>
      <c r="V161" t="str">
        <f>IFERROR(INDEX('DRAFT 1'!$R:$R,MATCH($B161,'DRAFT 1'!$B:$B,0)),"")</f>
        <v/>
      </c>
      <c r="W161" t="str">
        <f>IFERROR(INDEX('DRAFT 1'!$S:$S,MATCH($B161,'DRAFT 1'!$B:$B,0)),"")</f>
        <v/>
      </c>
      <c r="X161" t="str">
        <f>IFERROR(INDEX('DRAFT 1'!$T:$T,MATCH($B161,'DRAFT 1'!$B:$B,0)),"")</f>
        <v/>
      </c>
      <c r="Z161" t="str">
        <f>IFERROR(INDEX('DRAFT 1'!$U:$U,MATCH($B161,'DRAFT 1'!$B:$B,0)),"")</f>
        <v/>
      </c>
      <c r="AA161" t="str">
        <f>IFERROR(INDEX('DRAFT 1'!$V:$V,MATCH($B161,'DRAFT 1'!$B:$B,0)),"")</f>
        <v/>
      </c>
      <c r="AB161" t="str">
        <f>IFERROR(INDEX('DRAFT 1'!$W:$W,MATCH($B161,'DRAFT 1'!$B:$B,0)),"")</f>
        <v/>
      </c>
      <c r="AC161" t="str">
        <f>IFERROR(INDEX('DRAFT 1'!$X:$X,MATCH($B161,'DRAFT 1'!$B:$B,0)),"")</f>
        <v/>
      </c>
      <c r="AD161" t="str">
        <f>IFERROR(INDEX('DRAFT 1'!$Y:$Y,MATCH($B161,'DRAFT 1'!$B:$B,0)),"")</f>
        <v/>
      </c>
      <c r="AE161" t="str">
        <f>IFERROR(INDEX('DRAFT 1'!$Z:$Z,MATCH($B161,'DRAFT 1'!$B:$B,0)),"")</f>
        <v/>
      </c>
      <c r="AF161" t="str">
        <f>IFERROR(INDEX('DRAFT 1'!$AA:$AA,MATCH($B161,'DRAFT 1'!$B:$B,0)),"")</f>
        <v/>
      </c>
      <c r="AG161" t="str">
        <f>IFERROR(INDEX('DRAFT 1'!$AB:$AB,MATCH($B161,'DRAFT 1'!$B:$B,0)),"")</f>
        <v/>
      </c>
      <c r="AH161" t="str">
        <f>IFERROR(INDEX('DRAFT 1'!$AC:$AC,MATCH($B161,'DRAFT 1'!$B:$B,0)),"")</f>
        <v/>
      </c>
      <c r="AI161" t="str">
        <f>IFERROR(INDEX('DRAFT 1'!$AD:$AD,MATCH($B161,'DRAFT 1'!$B:$B,0)),"")</f>
        <v/>
      </c>
      <c r="AJ161" t="str">
        <f>IFERROR(INDEX('DRAFT 1'!$AE:$AE,MATCH($B161,'DRAFT 1'!$B:$B,0)),"")</f>
        <v/>
      </c>
      <c r="AK161" t="str">
        <f>IFERROR(INDEX('DRAFT 1'!$AG:$AG,MATCH($B161,'DRAFT 1'!$B:$B,0)),"")</f>
        <v/>
      </c>
      <c r="AL161" t="str">
        <f>IFERROR(INDEX('DRAFT 1'!$AH:$AH,MATCH($B161,'DRAFT 1'!$B:$B,0)),"")</f>
        <v/>
      </c>
      <c r="AM161" t="str">
        <f>IFERROR(INDEX('DRAFT 1'!$AI:$AI,MATCH($B161,'DRAFT 1'!$B:$B,0)),"")</f>
        <v/>
      </c>
      <c r="AN161" t="str">
        <f>IFERROR(INDEX('DRAFT 1'!$AJ:$AJ,MATCH($B161,'DRAFT 1'!$B:$B,0)),"")</f>
        <v/>
      </c>
      <c r="AO161">
        <f t="shared" si="56"/>
        <v>0</v>
      </c>
      <c r="AP161" t="str">
        <f>IFERROR(INDEX('DRAFT 1'!$AK:$AK,MATCH($B161,'DRAFT 1'!$B:$B,0)),"")</f>
        <v/>
      </c>
      <c r="AR161">
        <f>IFERROR(LOOKUP(2,1/('DRAFT 2'!$D:$D=$B161),'DRAFT 2'!$I:$I),"")</f>
        <v>0</v>
      </c>
      <c r="AS161">
        <f>IFERROR(LOOKUP(2,1/('DRAFT 2'!$D:$D=$B161),'DRAFT 2'!$T:$T),"")</f>
        <v>0</v>
      </c>
      <c r="AT161">
        <f>IFERROR(LOOKUP(2,1/('DRAFT 2'!$D:$D=$B161),'DRAFT 2'!$A:$A),"")</f>
        <v>0</v>
      </c>
      <c r="AU161">
        <f>IFERROR(LOOKUP(2,1/('DRAFT 2'!$D:$D=$B161),'DRAFT 2'!$R:$R),"")</f>
        <v>0</v>
      </c>
      <c r="AV161">
        <f>IFERROR(LOOKUP(2,1/('DRAFT 2'!$D:$D=$B161),'DRAFT 2'!$S:$S),"")</f>
        <v>0</v>
      </c>
      <c r="AX161">
        <f>IFERROR(LOOKUP(2,1/('DRAFT 2'!$D:$D=$B161),'DRAFT 2'!$M:$M),"")</f>
        <v>0</v>
      </c>
      <c r="AY161">
        <f>IFERROR(LOOKUP(2,1/('DRAFT 2'!$D:$D=$B161),'DRAFT 2'!$K:$K),"")</f>
        <v>0</v>
      </c>
      <c r="BG161">
        <f>IFERROR(LOOKUP(2,1/('DRAFT 2'!$D:$D=$B161),'DRAFT 2'!$U:$U),"")</f>
        <v>0</v>
      </c>
      <c r="BH161">
        <f>IFERROR(LOOKUP(2,1/('DRAFT 2'!$D:$D=$B161),'DRAFT 2'!$V:$V),"")</f>
        <v>0</v>
      </c>
      <c r="CE161" t="str">
        <f t="shared" si="57"/>
        <v/>
      </c>
      <c r="CF161">
        <f>IFERROR(LOOKUP(2,1/('DRAFT 2'!$D:$D=$B161)*('DRAFT 2'!$A:$A&gt;=DATE(2026,1,1))*('DRAFT 2'!$A:$A&lt;DATE(2026,IF(1=12,1+1,1+1),1)),'DRAFT 2'!$A:$A),"")</f>
        <v>0</v>
      </c>
      <c r="CG161">
        <f>COUNTIFS('DRAFT 2'!$D:$D,$B161,'DRAFT 2'!$A:$A,"&gt;="&amp;DATE(2026,1,1),'DRAFT 2'!$A:$A,"&lt;="&amp;DATE(2026,1,7))</f>
        <v>0</v>
      </c>
      <c r="CH161">
        <f>COUNTIFS('DRAFT 2'!$D:$D,$B161,'DRAFT 2'!$A:$A,"&gt;="&amp;DATE(2026,1,8),'DRAFT 2'!$A:$A,"&lt;="&amp;DATE(2026,1,14))</f>
        <v>0</v>
      </c>
      <c r="CI161">
        <f>COUNTIFS('DRAFT 2'!$D:$D,$B161,'DRAFT 2'!$A:$A,"&gt;="&amp;DATE(2026,1,15),'DRAFT 2'!$A:$A,"&lt;="&amp;DATE(2026,1,21))</f>
        <v>0</v>
      </c>
      <c r="CJ161">
        <f>COUNTIFS('DRAFT 2'!$D:$D,$B161,'DRAFT 2'!$A:$A,"&gt;="&amp;DATE(2026,1,22),'DRAFT 2'!$A:$A,"&lt;"&amp;DATE(2026,IF(1=12,1+1,1+1),1))</f>
        <v>0</v>
      </c>
      <c r="CK161">
        <f t="shared" si="58"/>
        <v>0</v>
      </c>
      <c r="CT161">
        <v>0</v>
      </c>
      <c r="CU161">
        <f>IFERROR(LOOKUP(2,1/('DRAFT 2'!$D:$D=$B161)*('DRAFT 2'!$A:$A&gt;=DATE(2026,2,1))*('DRAFT 2'!$A:$A&lt;DATE(2026,IF(2=12,2+1,2+1),1)),'DRAFT 2'!$A:$A),"")</f>
        <v>0</v>
      </c>
      <c r="CV161">
        <f>COUNTIFS('DRAFT 2'!$D:$D,$B161,'DRAFT 2'!$A:$A,"&gt;="&amp;DATE(2026,2,1),'DRAFT 2'!$A:$A,"&lt;="&amp;DATE(2026,2,7))</f>
        <v>0</v>
      </c>
      <c r="CW161">
        <f>COUNTIFS('DRAFT 2'!$D:$D,$B161,'DRAFT 2'!$A:$A,"&gt;="&amp;DATE(2026,2,8),'DRAFT 2'!$A:$A,"&lt;="&amp;DATE(2026,2,14))</f>
        <v>0</v>
      </c>
      <c r="CX161">
        <f>COUNTIFS('DRAFT 2'!$D:$D,$B161,'DRAFT 2'!$A:$A,"&gt;="&amp;DATE(2026,2,15),'DRAFT 2'!$A:$A,"&lt;="&amp;DATE(2026,2,21))</f>
        <v>0</v>
      </c>
      <c r="CY161">
        <f>COUNTIFS('DRAFT 2'!$D:$D,$B161,'DRAFT 2'!$A:$A,"&gt;="&amp;DATE(2026,2,22),'DRAFT 2'!$A:$A,"&lt;"&amp;DATE(2026,IF(2=12,2+1,2+1),1))</f>
        <v>0</v>
      </c>
      <c r="CZ161">
        <f t="shared" si="59"/>
        <v>0</v>
      </c>
      <c r="DJ161">
        <f>IFERROR(LOOKUP(2,1/('DRAFT 2'!$D:$D=$B161)*('DRAFT 2'!$A:$A&gt;=DATE(2026,3,1))*('DRAFT 2'!$A:$A&lt;DATE(2026,IF(3=12,3+1,3+1),1)),'DRAFT 2'!$A:$A),"")</f>
        <v>0</v>
      </c>
      <c r="DK161">
        <f>COUNTIFS('DRAFT 2'!$D:$D,$B161,'DRAFT 2'!$A:$A,"&gt;="&amp;DATE(2026,3,1),'DRAFT 2'!$A:$A,"&lt;="&amp;DATE(2026,3,7))</f>
        <v>0</v>
      </c>
      <c r="DL161">
        <f>COUNTIFS('DRAFT 2'!$D:$D,$B161,'DRAFT 2'!$A:$A,"&gt;="&amp;DATE(2026,3,8),'DRAFT 2'!$A:$A,"&lt;="&amp;DATE(2026,3,14))</f>
        <v>0</v>
      </c>
      <c r="DM161">
        <f>COUNTIFS('DRAFT 2'!$D:$D,$B161,'DRAFT 2'!$A:$A,"&gt;="&amp;DATE(2026,3,15),'DRAFT 2'!$A:$A,"&lt;="&amp;DATE(2026,3,21))</f>
        <v>0</v>
      </c>
      <c r="DN161">
        <f>COUNTIFS('DRAFT 2'!$D:$D,$B161,'DRAFT 2'!$A:$A,"&gt;="&amp;DATE(2026,3,22),'DRAFT 2'!$A:$A,"&lt;"&amp;DATE(2026,IF(3=12,3+1,3+1),1))</f>
        <v>0</v>
      </c>
      <c r="DO161">
        <f t="shared" si="60"/>
        <v>0</v>
      </c>
      <c r="DZ161">
        <f>IFERROR(LOOKUP(2,1/('DRAFT 2'!$D:$D=$B161)*('DRAFT 2'!$A:$A&gt;=DATE(2026,4,1))*('DRAFT 2'!$A:$A&lt;DATE(2026,IF(4=12,4+1,4+1),1)),'DRAFT 2'!$A:$A),"")</f>
        <v>0</v>
      </c>
      <c r="EA161">
        <f>COUNTIFS('DRAFT 2'!$D:$D,$B161,'DRAFT 2'!$A:$A,"&gt;="&amp;DATE(2026,4,1),'DRAFT 2'!$A:$A,"&lt;="&amp;DATE(2026,4,7))</f>
        <v>0</v>
      </c>
      <c r="EB161">
        <f>COUNTIFS('DRAFT 2'!$D:$D,$B161,'DRAFT 2'!$A:$A,"&gt;="&amp;DATE(2026,4,8),'DRAFT 2'!$A:$A,"&lt;="&amp;DATE(2026,4,14))</f>
        <v>0</v>
      </c>
      <c r="EC161">
        <f>COUNTIFS('DRAFT 2'!$D:$D,$B161,'DRAFT 2'!$A:$A,"&gt;="&amp;DATE(2026,4,15),'DRAFT 2'!$A:$A,"&lt;="&amp;DATE(2026,4,21))</f>
        <v>0</v>
      </c>
      <c r="ED161">
        <f>COUNTIFS('DRAFT 2'!$D:$D,$B161,'DRAFT 2'!$A:$A,"&gt;="&amp;DATE(2026,4,22),'DRAFT 2'!$A:$A,"&lt;"&amp;DATE(2026,IF(4=12,4+1,4+1),1))</f>
        <v>0</v>
      </c>
      <c r="EE161">
        <f t="shared" si="61"/>
        <v>0</v>
      </c>
      <c r="EO161">
        <f>IFERROR(LOOKUP(2,1/('DRAFT 2'!$D:$D=$B161)*('DRAFT 2'!$A:$A&gt;=DATE(2026,5,1))*('DRAFT 2'!$A:$A&lt;DATE(2026,IF(5=12,5+1,5+1),1)),'DRAFT 2'!$A:$A),"")</f>
        <v>0</v>
      </c>
      <c r="EP161">
        <f>COUNTIFS('DRAFT 2'!$D:$D,$B161,'DRAFT 2'!$A:$A,"&gt;="&amp;DATE(2026,5,1),'DRAFT 2'!$A:$A,"&lt;="&amp;DATE(2026,5,7))</f>
        <v>0</v>
      </c>
      <c r="EQ161">
        <f>COUNTIFS('DRAFT 2'!$D:$D,$B161,'DRAFT 2'!$A:$A,"&gt;="&amp;DATE(2026,5,8),'DRAFT 2'!$A:$A,"&lt;="&amp;DATE(2026,5,14))</f>
        <v>0</v>
      </c>
      <c r="ER161">
        <f>COUNTIFS('DRAFT 2'!$D:$D,$B161,'DRAFT 2'!$A:$A,"&gt;="&amp;DATE(2026,5,15),'DRAFT 2'!$A:$A,"&lt;="&amp;DATE(2026,5,21))</f>
        <v>0</v>
      </c>
      <c r="ES161">
        <f>COUNTIFS('DRAFT 2'!$D:$D,$B161,'DRAFT 2'!$A:$A,"&gt;="&amp;DATE(2026,5,22),'DRAFT 2'!$A:$A,"&lt;"&amp;DATE(2026,IF(5=12,5+1,5+1),1))</f>
        <v>0</v>
      </c>
      <c r="ET161">
        <f t="shared" si="62"/>
        <v>0</v>
      </c>
      <c r="FD161">
        <f>IFERROR(LOOKUP(2,1/('DRAFT 2'!$D:$D=$B161)*('DRAFT 2'!$A:$A&gt;=DATE(2026,6,1))*('DRAFT 2'!$A:$A&lt;DATE(2026,IF(6=12,6+1,6+1),1)),'DRAFT 2'!$A:$A),"")</f>
        <v>0</v>
      </c>
      <c r="FE161">
        <f>COUNTIFS('DRAFT 2'!$D:$D,$B161,'DRAFT 2'!$A:$A,"&gt;="&amp;DATE(2026,6,1),'DRAFT 2'!$A:$A,"&lt;="&amp;DATE(2026,6,7))</f>
        <v>0</v>
      </c>
      <c r="FF161">
        <f>COUNTIFS('DRAFT 2'!$D:$D,$B161,'DRAFT 2'!$A:$A,"&gt;="&amp;DATE(2026,6,8),'DRAFT 2'!$A:$A,"&lt;="&amp;DATE(2026,6,14))</f>
        <v>0</v>
      </c>
      <c r="FG161">
        <f>COUNTIFS('DRAFT 2'!$D:$D,$B161,'DRAFT 2'!$A:$A,"&gt;="&amp;DATE(2026,6,15),'DRAFT 2'!$A:$A,"&lt;="&amp;DATE(2026,6,21))</f>
        <v>0</v>
      </c>
      <c r="FH161">
        <f>COUNTIFS('DRAFT 2'!$D:$D,$B161,'DRAFT 2'!$A:$A,"&gt;="&amp;DATE(2026,6,22),'DRAFT 2'!$A:$A,"&lt;"&amp;DATE(2026,IF(6=12,6+1,6+1),1))</f>
        <v>0</v>
      </c>
      <c r="FI161">
        <f t="shared" si="63"/>
        <v>0</v>
      </c>
      <c r="FT161">
        <f>IFERROR(LOOKUP(2,1/('DRAFT 2'!$D:$D=$B161)*('DRAFT 2'!$A:$A&gt;=DATE(2026,7,1))*('DRAFT 2'!$A:$A&lt;DATE(2026,IF(7=12,7+1,7+1),1)),'DRAFT 2'!$A:$A),"")</f>
        <v>0</v>
      </c>
      <c r="FU161">
        <f>COUNTIFS('DRAFT 2'!$D:$D,$B161,'DRAFT 2'!$A:$A,"&gt;="&amp;DATE(2026,7,1),'DRAFT 2'!$A:$A,"&lt;="&amp;DATE(2026,7,7))</f>
        <v>0</v>
      </c>
      <c r="FV161">
        <f>COUNTIFS('DRAFT 2'!$D:$D,$B161,'DRAFT 2'!$A:$A,"&gt;="&amp;DATE(2026,7,8),'DRAFT 2'!$A:$A,"&lt;="&amp;DATE(2026,7,14))</f>
        <v>0</v>
      </c>
      <c r="FW161">
        <f>COUNTIFS('DRAFT 2'!$D:$D,$B161,'DRAFT 2'!$A:$A,"&gt;="&amp;DATE(2026,7,15),'DRAFT 2'!$A:$A,"&lt;="&amp;DATE(2026,7,21))</f>
        <v>0</v>
      </c>
      <c r="FX161">
        <f>COUNTIFS('DRAFT 2'!$D:$D,$B161,'DRAFT 2'!$A:$A,"&gt;="&amp;DATE(2026,7,22),'DRAFT 2'!$A:$A,"&lt;"&amp;DATE(2026,IF(7=12,7+1,7+1),1))</f>
        <v>0</v>
      </c>
      <c r="FY161">
        <f t="shared" si="64"/>
        <v>0</v>
      </c>
      <c r="GI161">
        <f>IFERROR(LOOKUP(2,1/('DRAFT 2'!$D:$D=$B161)*('DRAFT 2'!$A:$A&gt;=DATE(2026,8,1))*('DRAFT 2'!$A:$A&lt;DATE(2026,IF(8=12,8+1,8+1),1)),'DRAFT 2'!$A:$A),"")</f>
        <v>0</v>
      </c>
      <c r="GJ161">
        <f>COUNTIFS('DRAFT 2'!$D:$D,$B161,'DRAFT 2'!$A:$A,"&gt;="&amp;DATE(2026,8,1),'DRAFT 2'!$A:$A,"&lt;="&amp;DATE(2026,8,7))</f>
        <v>0</v>
      </c>
      <c r="GK161">
        <f>COUNTIFS('DRAFT 2'!$D:$D,$B161,'DRAFT 2'!$A:$A,"&gt;="&amp;DATE(2026,8,8),'DRAFT 2'!$A:$A,"&lt;="&amp;DATE(2026,8,14))</f>
        <v>0</v>
      </c>
      <c r="GL161">
        <f>COUNTIFS('DRAFT 2'!$D:$D,$B161,'DRAFT 2'!$A:$A,"&gt;="&amp;DATE(2026,8,15),'DRAFT 2'!$A:$A,"&lt;="&amp;DATE(2026,8,21))</f>
        <v>0</v>
      </c>
      <c r="GM161">
        <f>COUNTIFS('DRAFT 2'!$D:$D,$B161,'DRAFT 2'!$A:$A,"&gt;="&amp;DATE(2026,8,22),'DRAFT 2'!$A:$A,"&lt;"&amp;DATE(2026,IF(8=12,8+1,8+1),1))</f>
        <v>0</v>
      </c>
      <c r="GN161">
        <f t="shared" si="65"/>
        <v>0</v>
      </c>
      <c r="GX161">
        <f>IFERROR(LOOKUP(2,1/('DRAFT 2'!$D:$D=$B161)*('DRAFT 2'!$A:$A&gt;=DATE(2026,9,1))*('DRAFT 2'!$A:$A&lt;DATE(2026,IF(9=12,9+1,9+1),1)),'DRAFT 2'!$A:$A),"")</f>
        <v>0</v>
      </c>
      <c r="GY161">
        <f>COUNTIFS('DRAFT 2'!$D:$D,$B161,'DRAFT 2'!$A:$A,"&gt;="&amp;DATE(2026,9,1),'DRAFT 2'!$A:$A,"&lt;="&amp;DATE(2026,9,7))</f>
        <v>0</v>
      </c>
      <c r="GZ161">
        <f>COUNTIFS('DRAFT 2'!$D:$D,$B161,'DRAFT 2'!$A:$A,"&gt;="&amp;DATE(2026,9,8),'DRAFT 2'!$A:$A,"&lt;="&amp;DATE(2026,9,14))</f>
        <v>0</v>
      </c>
      <c r="HA161">
        <f>COUNTIFS('DRAFT 2'!$D:$D,$B161,'DRAFT 2'!$A:$A,"&gt;="&amp;DATE(2026,9,15),'DRAFT 2'!$A:$A,"&lt;="&amp;DATE(2026,9,21))</f>
        <v>0</v>
      </c>
      <c r="HB161">
        <f>COUNTIFS('DRAFT 2'!$D:$D,$B161,'DRAFT 2'!$A:$A,"&gt;="&amp;DATE(2026,9,22),'DRAFT 2'!$A:$A,"&lt;"&amp;DATE(2026,IF(9=12,9+1,9+1),1))</f>
        <v>0</v>
      </c>
      <c r="HC161">
        <f t="shared" si="66"/>
        <v>0</v>
      </c>
      <c r="HN161">
        <f>IFERROR(LOOKUP(2,1/('DRAFT 2'!$D:$D=$B161)*('DRAFT 2'!$A:$A&gt;=DATE(2026,10,1))*('DRAFT 2'!$A:$A&lt;DATE(2026,IF(10=12,10+1,10+1),1)),'DRAFT 2'!$A:$A),"")</f>
        <v>0</v>
      </c>
      <c r="HO161">
        <f>COUNTIFS('DRAFT 2'!$D:$D,$B161,'DRAFT 2'!$A:$A,"&gt;="&amp;DATE(2026,10,1),'DRAFT 2'!$A:$A,"&lt;="&amp;DATE(2026,10,7))</f>
        <v>0</v>
      </c>
      <c r="HP161">
        <f>COUNTIFS('DRAFT 2'!$D:$D,$B161,'DRAFT 2'!$A:$A,"&gt;="&amp;DATE(2026,10,8),'DRAFT 2'!$A:$A,"&lt;="&amp;DATE(2026,10,14))</f>
        <v>0</v>
      </c>
      <c r="HQ161">
        <f>COUNTIFS('DRAFT 2'!$D:$D,$B161,'DRAFT 2'!$A:$A,"&gt;="&amp;DATE(2026,10,15),'DRAFT 2'!$A:$A,"&lt;="&amp;DATE(2026,10,21))</f>
        <v>0</v>
      </c>
      <c r="HR161">
        <f>COUNTIFS('DRAFT 2'!$D:$D,$B161,'DRAFT 2'!$A:$A,"&gt;="&amp;DATE(2026,10,22),'DRAFT 2'!$A:$A,"&lt;"&amp;DATE(2026,IF(10=12,10+1,10+1),1))</f>
        <v>0</v>
      </c>
      <c r="HS161">
        <f t="shared" si="67"/>
        <v>0</v>
      </c>
      <c r="IC161">
        <f>IFERROR(LOOKUP(2,1/('DRAFT 2'!$D:$D=$B161)*('DRAFT 2'!$A:$A&gt;=DATE(2026,11,1))*('DRAFT 2'!$A:$A&lt;DATE(2026,IF(11=12,11+1,11+1),1)),'DRAFT 2'!$A:$A),"")</f>
        <v>0</v>
      </c>
      <c r="ID161">
        <f>COUNTIFS('DRAFT 2'!$D:$D,$B161,'DRAFT 2'!$A:$A,"&gt;="&amp;DATE(2026,11,1),'DRAFT 2'!$A:$A,"&lt;="&amp;DATE(2026,11,7))</f>
        <v>0</v>
      </c>
      <c r="IE161">
        <f>COUNTIFS('DRAFT 2'!$D:$D,$B161,'DRAFT 2'!$A:$A,"&gt;="&amp;DATE(2026,11,8),'DRAFT 2'!$A:$A,"&lt;="&amp;DATE(2026,11,14))</f>
        <v>0</v>
      </c>
      <c r="IF161">
        <f>COUNTIFS('DRAFT 2'!$D:$D,$B161,'DRAFT 2'!$A:$A,"&gt;="&amp;DATE(2026,11,15),'DRAFT 2'!$A:$A,"&lt;="&amp;DATE(2026,11,21))</f>
        <v>0</v>
      </c>
      <c r="IG161">
        <f>COUNTIFS('DRAFT 2'!$D:$D,$B161,'DRAFT 2'!$A:$A,"&gt;="&amp;DATE(2026,11,22),'DRAFT 2'!$A:$A,"&lt;"&amp;DATE(2026,IF(11=12,11+1,11+1),1))</f>
        <v>0</v>
      </c>
      <c r="IH161">
        <f t="shared" si="68"/>
        <v>0</v>
      </c>
      <c r="IR161">
        <f>IFERROR(LOOKUP(2,1/('DRAFT 2'!$D:$D=$B161)*('DRAFT 2'!$A:$A&gt;=DATE(2026,12,1))*('DRAFT 2'!$A:$A&lt;DATE(2026,IF(12=12,12+1,12+1),1)),'DRAFT 2'!$A:$A),"")</f>
        <v>0</v>
      </c>
      <c r="IS161">
        <f>COUNTIFS('DRAFT 2'!$D:$D,$B161,'DRAFT 2'!$A:$A,"&gt;="&amp;DATE(2026,12,1),'DRAFT 2'!$A:$A,"&lt;="&amp;DATE(2026,12,7))</f>
        <v>0</v>
      </c>
      <c r="IT161">
        <f>COUNTIFS('DRAFT 2'!$D:$D,$B161,'DRAFT 2'!$A:$A,"&gt;="&amp;DATE(2026,12,8),'DRAFT 2'!$A:$A,"&lt;="&amp;DATE(2026,12,14))</f>
        <v>0</v>
      </c>
      <c r="IU161">
        <f>COUNTIFS('DRAFT 2'!$D:$D,$B161,'DRAFT 2'!$A:$A,"&gt;="&amp;DATE(2026,12,15),'DRAFT 2'!$A:$A,"&lt;="&amp;DATE(2026,12,21))</f>
        <v>0</v>
      </c>
      <c r="IV161">
        <f>COUNTIFS('DRAFT 2'!$D:$D,$B161,'DRAFT 2'!$A:$A,"&gt;="&amp;DATE(2026,12,22),'DRAFT 2'!$A:$A,"&lt;"&amp;DATE(2026,IF(12=12,12+1,12+1),1))</f>
        <v>0</v>
      </c>
      <c r="IW161">
        <f t="shared" si="69"/>
        <v>0</v>
      </c>
    </row>
    <row r="162" spans="1:257" x14ac:dyDescent="0.3">
      <c r="A162" t="str">
        <f>IFERROR(INDEX('DRAFT 1'!$A:$A,MATCH($B162,'DRAFT 1'!$B:$B,0)),"")</f>
        <v/>
      </c>
      <c r="C162" t="str">
        <f>IFERROR(INDEX('DRAFT 1'!$C:$C,MATCH($B162,'DRAFT 1'!$B:$B,0)),"")</f>
        <v/>
      </c>
      <c r="D162" t="str">
        <f>IFERROR(INDEX('DRAFT 1'!$D:$D,MATCH($B162,'DRAFT 1'!$B:$B,0)),"")</f>
        <v/>
      </c>
      <c r="E162" t="str">
        <f>IFERROR(INDEX('DRAFT 1'!$E:$E,MATCH($B162,'DRAFT 1'!$B:$B,0)),"")</f>
        <v/>
      </c>
      <c r="F162" t="str">
        <f>IFERROR(INDEX('DRAFT 1'!$F:$F,MATCH($B162,'DRAFT 1'!$B:$B,0)),"")</f>
        <v/>
      </c>
      <c r="G162" t="str">
        <f>IFERROR(INDEX('DRAFT 1'!$G:$G,MATCH($B162,'DRAFT 1'!$B:$B,0)),"")</f>
        <v/>
      </c>
      <c r="H162" t="str">
        <f>IFERROR(INDEX('DRAFT 1'!$H:$H,MATCH($B162,'DRAFT 1'!$B:$B,0)),"")</f>
        <v/>
      </c>
      <c r="I162" t="str">
        <f>IFERROR(INDEX('DRAFT 1'!$I:$I,MATCH($B162,'DRAFT 1'!$B:$B,0)),"")</f>
        <v/>
      </c>
      <c r="K162" t="str">
        <f>IFERROR(INDEX('DRAFT 1'!$AL:$AL,MATCH($B162,'DRAFT 1'!$B:$B,0)),"")</f>
        <v/>
      </c>
      <c r="L162" t="str">
        <f>IFERROR(INDEX('DRAFT 1'!$J:$J,MATCH($B162,'DRAFT 1'!$B:$B,0)),"")</f>
        <v/>
      </c>
      <c r="M162" t="str">
        <f>IFERROR(INDEX('DRAFT 1'!$K:$K,MATCH($B162,'DRAFT 1'!$B:$B,0)),"")</f>
        <v/>
      </c>
      <c r="P162" t="str">
        <f>IFERROR(INDEX('DRAFT 1'!$L:$L,MATCH($B162,'DRAFT 1'!$B:$B,0)),"")</f>
        <v/>
      </c>
      <c r="Q162" t="str">
        <f>IFERROR(INDEX('DRAFT 1'!$M:$M,MATCH($B162,'DRAFT 1'!$B:$B,0)),"")</f>
        <v/>
      </c>
      <c r="R162" t="str">
        <f>IFERROR(INDEX('DRAFT 1'!$N:$N,MATCH($B162,'DRAFT 1'!$B:$B,0)),"")</f>
        <v/>
      </c>
      <c r="S162" t="str">
        <f>IFERROR(INDEX('DRAFT 1'!$O:$O,MATCH($B162,'DRAFT 1'!$B:$B,0)),"")</f>
        <v/>
      </c>
      <c r="T162" t="str">
        <f>IFERROR(INDEX('DRAFT 1'!$P:$P,MATCH($B162,'DRAFT 1'!$B:$B,0)),"")</f>
        <v/>
      </c>
      <c r="U162" t="str">
        <f>IFERROR(INDEX('DRAFT 1'!$Q:$Q,MATCH($B162,'DRAFT 1'!$B:$B,0)),"")</f>
        <v/>
      </c>
      <c r="V162" t="str">
        <f>IFERROR(INDEX('DRAFT 1'!$R:$R,MATCH($B162,'DRAFT 1'!$B:$B,0)),"")</f>
        <v/>
      </c>
      <c r="W162" t="str">
        <f>IFERROR(INDEX('DRAFT 1'!$S:$S,MATCH($B162,'DRAFT 1'!$B:$B,0)),"")</f>
        <v/>
      </c>
      <c r="X162" t="str">
        <f>IFERROR(INDEX('DRAFT 1'!$T:$T,MATCH($B162,'DRAFT 1'!$B:$B,0)),"")</f>
        <v/>
      </c>
      <c r="Z162" t="str">
        <f>IFERROR(INDEX('DRAFT 1'!$U:$U,MATCH($B162,'DRAFT 1'!$B:$B,0)),"")</f>
        <v/>
      </c>
      <c r="AA162" t="str">
        <f>IFERROR(INDEX('DRAFT 1'!$V:$V,MATCH($B162,'DRAFT 1'!$B:$B,0)),"")</f>
        <v/>
      </c>
      <c r="AB162" t="str">
        <f>IFERROR(INDEX('DRAFT 1'!$W:$W,MATCH($B162,'DRAFT 1'!$B:$B,0)),"")</f>
        <v/>
      </c>
      <c r="AC162" t="str">
        <f>IFERROR(INDEX('DRAFT 1'!$X:$X,MATCH($B162,'DRAFT 1'!$B:$B,0)),"")</f>
        <v/>
      </c>
      <c r="AD162" t="str">
        <f>IFERROR(INDEX('DRAFT 1'!$Y:$Y,MATCH($B162,'DRAFT 1'!$B:$B,0)),"")</f>
        <v/>
      </c>
      <c r="AE162" t="str">
        <f>IFERROR(INDEX('DRAFT 1'!$Z:$Z,MATCH($B162,'DRAFT 1'!$B:$B,0)),"")</f>
        <v/>
      </c>
      <c r="AF162" t="str">
        <f>IFERROR(INDEX('DRAFT 1'!$AA:$AA,MATCH($B162,'DRAFT 1'!$B:$B,0)),"")</f>
        <v/>
      </c>
      <c r="AG162" t="str">
        <f>IFERROR(INDEX('DRAFT 1'!$AB:$AB,MATCH($B162,'DRAFT 1'!$B:$B,0)),"")</f>
        <v/>
      </c>
      <c r="AH162" t="str">
        <f>IFERROR(INDEX('DRAFT 1'!$AC:$AC,MATCH($B162,'DRAFT 1'!$B:$B,0)),"")</f>
        <v/>
      </c>
      <c r="AI162" t="str">
        <f>IFERROR(INDEX('DRAFT 1'!$AD:$AD,MATCH($B162,'DRAFT 1'!$B:$B,0)),"")</f>
        <v/>
      </c>
      <c r="AJ162" t="str">
        <f>IFERROR(INDEX('DRAFT 1'!$AE:$AE,MATCH($B162,'DRAFT 1'!$B:$B,0)),"")</f>
        <v/>
      </c>
      <c r="AK162" t="str">
        <f>IFERROR(INDEX('DRAFT 1'!$AG:$AG,MATCH($B162,'DRAFT 1'!$B:$B,0)),"")</f>
        <v/>
      </c>
      <c r="AL162" t="str">
        <f>IFERROR(INDEX('DRAFT 1'!$AH:$AH,MATCH($B162,'DRAFT 1'!$B:$B,0)),"")</f>
        <v/>
      </c>
      <c r="AM162" t="str">
        <f>IFERROR(INDEX('DRAFT 1'!$AI:$AI,MATCH($B162,'DRAFT 1'!$B:$B,0)),"")</f>
        <v/>
      </c>
      <c r="AN162" t="str">
        <f>IFERROR(INDEX('DRAFT 1'!$AJ:$AJ,MATCH($B162,'DRAFT 1'!$B:$B,0)),"")</f>
        <v/>
      </c>
      <c r="AO162">
        <f t="shared" si="56"/>
        <v>0</v>
      </c>
      <c r="AP162" t="str">
        <f>IFERROR(INDEX('DRAFT 1'!$AK:$AK,MATCH($B162,'DRAFT 1'!$B:$B,0)),"")</f>
        <v/>
      </c>
      <c r="AR162">
        <f>IFERROR(LOOKUP(2,1/('DRAFT 2'!$D:$D=$B162),'DRAFT 2'!$I:$I),"")</f>
        <v>0</v>
      </c>
      <c r="AS162">
        <f>IFERROR(LOOKUP(2,1/('DRAFT 2'!$D:$D=$B162),'DRAFT 2'!$T:$T),"")</f>
        <v>0</v>
      </c>
      <c r="AT162">
        <f>IFERROR(LOOKUP(2,1/('DRAFT 2'!$D:$D=$B162),'DRAFT 2'!$A:$A),"")</f>
        <v>0</v>
      </c>
      <c r="AU162">
        <f>IFERROR(LOOKUP(2,1/('DRAFT 2'!$D:$D=$B162),'DRAFT 2'!$R:$R),"")</f>
        <v>0</v>
      </c>
      <c r="AV162">
        <f>IFERROR(LOOKUP(2,1/('DRAFT 2'!$D:$D=$B162),'DRAFT 2'!$S:$S),"")</f>
        <v>0</v>
      </c>
      <c r="AX162">
        <f>IFERROR(LOOKUP(2,1/('DRAFT 2'!$D:$D=$B162),'DRAFT 2'!$M:$M),"")</f>
        <v>0</v>
      </c>
      <c r="AY162">
        <f>IFERROR(LOOKUP(2,1/('DRAFT 2'!$D:$D=$B162),'DRAFT 2'!$K:$K),"")</f>
        <v>0</v>
      </c>
      <c r="BG162">
        <f>IFERROR(LOOKUP(2,1/('DRAFT 2'!$D:$D=$B162),'DRAFT 2'!$U:$U),"")</f>
        <v>0</v>
      </c>
      <c r="BH162">
        <f>IFERROR(LOOKUP(2,1/('DRAFT 2'!$D:$D=$B162),'DRAFT 2'!$V:$V),"")</f>
        <v>0</v>
      </c>
      <c r="CE162" t="str">
        <f t="shared" si="57"/>
        <v/>
      </c>
      <c r="CF162">
        <f>IFERROR(LOOKUP(2,1/('DRAFT 2'!$D:$D=$B162)*('DRAFT 2'!$A:$A&gt;=DATE(2026,1,1))*('DRAFT 2'!$A:$A&lt;DATE(2026,IF(1=12,1+1,1+1),1)),'DRAFT 2'!$A:$A),"")</f>
        <v>0</v>
      </c>
      <c r="CG162">
        <f>COUNTIFS('DRAFT 2'!$D:$D,$B162,'DRAFT 2'!$A:$A,"&gt;="&amp;DATE(2026,1,1),'DRAFT 2'!$A:$A,"&lt;="&amp;DATE(2026,1,7))</f>
        <v>0</v>
      </c>
      <c r="CH162">
        <f>COUNTIFS('DRAFT 2'!$D:$D,$B162,'DRAFT 2'!$A:$A,"&gt;="&amp;DATE(2026,1,8),'DRAFT 2'!$A:$A,"&lt;="&amp;DATE(2026,1,14))</f>
        <v>0</v>
      </c>
      <c r="CI162">
        <f>COUNTIFS('DRAFT 2'!$D:$D,$B162,'DRAFT 2'!$A:$A,"&gt;="&amp;DATE(2026,1,15),'DRAFT 2'!$A:$A,"&lt;="&amp;DATE(2026,1,21))</f>
        <v>0</v>
      </c>
      <c r="CJ162">
        <f>COUNTIFS('DRAFT 2'!$D:$D,$B162,'DRAFT 2'!$A:$A,"&gt;="&amp;DATE(2026,1,22),'DRAFT 2'!$A:$A,"&lt;"&amp;DATE(2026,IF(1=12,1+1,1+1),1))</f>
        <v>0</v>
      </c>
      <c r="CK162">
        <f t="shared" si="58"/>
        <v>0</v>
      </c>
      <c r="CT162">
        <v>0</v>
      </c>
      <c r="CU162">
        <f>IFERROR(LOOKUP(2,1/('DRAFT 2'!$D:$D=$B162)*('DRAFT 2'!$A:$A&gt;=DATE(2026,2,1))*('DRAFT 2'!$A:$A&lt;DATE(2026,IF(2=12,2+1,2+1),1)),'DRAFT 2'!$A:$A),"")</f>
        <v>0</v>
      </c>
      <c r="CV162">
        <f>COUNTIFS('DRAFT 2'!$D:$D,$B162,'DRAFT 2'!$A:$A,"&gt;="&amp;DATE(2026,2,1),'DRAFT 2'!$A:$A,"&lt;="&amp;DATE(2026,2,7))</f>
        <v>0</v>
      </c>
      <c r="CW162">
        <f>COUNTIFS('DRAFT 2'!$D:$D,$B162,'DRAFT 2'!$A:$A,"&gt;="&amp;DATE(2026,2,8),'DRAFT 2'!$A:$A,"&lt;="&amp;DATE(2026,2,14))</f>
        <v>0</v>
      </c>
      <c r="CX162">
        <f>COUNTIFS('DRAFT 2'!$D:$D,$B162,'DRAFT 2'!$A:$A,"&gt;="&amp;DATE(2026,2,15),'DRAFT 2'!$A:$A,"&lt;="&amp;DATE(2026,2,21))</f>
        <v>0</v>
      </c>
      <c r="CY162">
        <f>COUNTIFS('DRAFT 2'!$D:$D,$B162,'DRAFT 2'!$A:$A,"&gt;="&amp;DATE(2026,2,22),'DRAFT 2'!$A:$A,"&lt;"&amp;DATE(2026,IF(2=12,2+1,2+1),1))</f>
        <v>0</v>
      </c>
      <c r="CZ162">
        <f t="shared" si="59"/>
        <v>0</v>
      </c>
      <c r="DJ162">
        <f>IFERROR(LOOKUP(2,1/('DRAFT 2'!$D:$D=$B162)*('DRAFT 2'!$A:$A&gt;=DATE(2026,3,1))*('DRAFT 2'!$A:$A&lt;DATE(2026,IF(3=12,3+1,3+1),1)),'DRAFT 2'!$A:$A),"")</f>
        <v>0</v>
      </c>
      <c r="DK162">
        <f>COUNTIFS('DRAFT 2'!$D:$D,$B162,'DRAFT 2'!$A:$A,"&gt;="&amp;DATE(2026,3,1),'DRAFT 2'!$A:$A,"&lt;="&amp;DATE(2026,3,7))</f>
        <v>0</v>
      </c>
      <c r="DL162">
        <f>COUNTIFS('DRAFT 2'!$D:$D,$B162,'DRAFT 2'!$A:$A,"&gt;="&amp;DATE(2026,3,8),'DRAFT 2'!$A:$A,"&lt;="&amp;DATE(2026,3,14))</f>
        <v>0</v>
      </c>
      <c r="DM162">
        <f>COUNTIFS('DRAFT 2'!$D:$D,$B162,'DRAFT 2'!$A:$A,"&gt;="&amp;DATE(2026,3,15),'DRAFT 2'!$A:$A,"&lt;="&amp;DATE(2026,3,21))</f>
        <v>0</v>
      </c>
      <c r="DN162">
        <f>COUNTIFS('DRAFT 2'!$D:$D,$B162,'DRAFT 2'!$A:$A,"&gt;="&amp;DATE(2026,3,22),'DRAFT 2'!$A:$A,"&lt;"&amp;DATE(2026,IF(3=12,3+1,3+1),1))</f>
        <v>0</v>
      </c>
      <c r="DO162">
        <f t="shared" si="60"/>
        <v>0</v>
      </c>
      <c r="DZ162">
        <f>IFERROR(LOOKUP(2,1/('DRAFT 2'!$D:$D=$B162)*('DRAFT 2'!$A:$A&gt;=DATE(2026,4,1))*('DRAFT 2'!$A:$A&lt;DATE(2026,IF(4=12,4+1,4+1),1)),'DRAFT 2'!$A:$A),"")</f>
        <v>0</v>
      </c>
      <c r="EA162">
        <f>COUNTIFS('DRAFT 2'!$D:$D,$B162,'DRAFT 2'!$A:$A,"&gt;="&amp;DATE(2026,4,1),'DRAFT 2'!$A:$A,"&lt;="&amp;DATE(2026,4,7))</f>
        <v>0</v>
      </c>
      <c r="EB162">
        <f>COUNTIFS('DRAFT 2'!$D:$D,$B162,'DRAFT 2'!$A:$A,"&gt;="&amp;DATE(2026,4,8),'DRAFT 2'!$A:$A,"&lt;="&amp;DATE(2026,4,14))</f>
        <v>0</v>
      </c>
      <c r="EC162">
        <f>COUNTIFS('DRAFT 2'!$D:$D,$B162,'DRAFT 2'!$A:$A,"&gt;="&amp;DATE(2026,4,15),'DRAFT 2'!$A:$A,"&lt;="&amp;DATE(2026,4,21))</f>
        <v>0</v>
      </c>
      <c r="ED162">
        <f>COUNTIFS('DRAFT 2'!$D:$D,$B162,'DRAFT 2'!$A:$A,"&gt;="&amp;DATE(2026,4,22),'DRAFT 2'!$A:$A,"&lt;"&amp;DATE(2026,IF(4=12,4+1,4+1),1))</f>
        <v>0</v>
      </c>
      <c r="EE162">
        <f t="shared" si="61"/>
        <v>0</v>
      </c>
      <c r="EO162">
        <f>IFERROR(LOOKUP(2,1/('DRAFT 2'!$D:$D=$B162)*('DRAFT 2'!$A:$A&gt;=DATE(2026,5,1))*('DRAFT 2'!$A:$A&lt;DATE(2026,IF(5=12,5+1,5+1),1)),'DRAFT 2'!$A:$A),"")</f>
        <v>0</v>
      </c>
      <c r="EP162">
        <f>COUNTIFS('DRAFT 2'!$D:$D,$B162,'DRAFT 2'!$A:$A,"&gt;="&amp;DATE(2026,5,1),'DRAFT 2'!$A:$A,"&lt;="&amp;DATE(2026,5,7))</f>
        <v>0</v>
      </c>
      <c r="EQ162">
        <f>COUNTIFS('DRAFT 2'!$D:$D,$B162,'DRAFT 2'!$A:$A,"&gt;="&amp;DATE(2026,5,8),'DRAFT 2'!$A:$A,"&lt;="&amp;DATE(2026,5,14))</f>
        <v>0</v>
      </c>
      <c r="ER162">
        <f>COUNTIFS('DRAFT 2'!$D:$D,$B162,'DRAFT 2'!$A:$A,"&gt;="&amp;DATE(2026,5,15),'DRAFT 2'!$A:$A,"&lt;="&amp;DATE(2026,5,21))</f>
        <v>0</v>
      </c>
      <c r="ES162">
        <f>COUNTIFS('DRAFT 2'!$D:$D,$B162,'DRAFT 2'!$A:$A,"&gt;="&amp;DATE(2026,5,22),'DRAFT 2'!$A:$A,"&lt;"&amp;DATE(2026,IF(5=12,5+1,5+1),1))</f>
        <v>0</v>
      </c>
      <c r="ET162">
        <f t="shared" si="62"/>
        <v>0</v>
      </c>
      <c r="FD162">
        <f>IFERROR(LOOKUP(2,1/('DRAFT 2'!$D:$D=$B162)*('DRAFT 2'!$A:$A&gt;=DATE(2026,6,1))*('DRAFT 2'!$A:$A&lt;DATE(2026,IF(6=12,6+1,6+1),1)),'DRAFT 2'!$A:$A),"")</f>
        <v>0</v>
      </c>
      <c r="FE162">
        <f>COUNTIFS('DRAFT 2'!$D:$D,$B162,'DRAFT 2'!$A:$A,"&gt;="&amp;DATE(2026,6,1),'DRAFT 2'!$A:$A,"&lt;="&amp;DATE(2026,6,7))</f>
        <v>0</v>
      </c>
      <c r="FF162">
        <f>COUNTIFS('DRAFT 2'!$D:$D,$B162,'DRAFT 2'!$A:$A,"&gt;="&amp;DATE(2026,6,8),'DRAFT 2'!$A:$A,"&lt;="&amp;DATE(2026,6,14))</f>
        <v>0</v>
      </c>
      <c r="FG162">
        <f>COUNTIFS('DRAFT 2'!$D:$D,$B162,'DRAFT 2'!$A:$A,"&gt;="&amp;DATE(2026,6,15),'DRAFT 2'!$A:$A,"&lt;="&amp;DATE(2026,6,21))</f>
        <v>0</v>
      </c>
      <c r="FH162">
        <f>COUNTIFS('DRAFT 2'!$D:$D,$B162,'DRAFT 2'!$A:$A,"&gt;="&amp;DATE(2026,6,22),'DRAFT 2'!$A:$A,"&lt;"&amp;DATE(2026,IF(6=12,6+1,6+1),1))</f>
        <v>0</v>
      </c>
      <c r="FI162">
        <f t="shared" si="63"/>
        <v>0</v>
      </c>
      <c r="FT162">
        <f>IFERROR(LOOKUP(2,1/('DRAFT 2'!$D:$D=$B162)*('DRAFT 2'!$A:$A&gt;=DATE(2026,7,1))*('DRAFT 2'!$A:$A&lt;DATE(2026,IF(7=12,7+1,7+1),1)),'DRAFT 2'!$A:$A),"")</f>
        <v>0</v>
      </c>
      <c r="FU162">
        <f>COUNTIFS('DRAFT 2'!$D:$D,$B162,'DRAFT 2'!$A:$A,"&gt;="&amp;DATE(2026,7,1),'DRAFT 2'!$A:$A,"&lt;="&amp;DATE(2026,7,7))</f>
        <v>0</v>
      </c>
      <c r="FV162">
        <f>COUNTIFS('DRAFT 2'!$D:$D,$B162,'DRAFT 2'!$A:$A,"&gt;="&amp;DATE(2026,7,8),'DRAFT 2'!$A:$A,"&lt;="&amp;DATE(2026,7,14))</f>
        <v>0</v>
      </c>
      <c r="FW162">
        <f>COUNTIFS('DRAFT 2'!$D:$D,$B162,'DRAFT 2'!$A:$A,"&gt;="&amp;DATE(2026,7,15),'DRAFT 2'!$A:$A,"&lt;="&amp;DATE(2026,7,21))</f>
        <v>0</v>
      </c>
      <c r="FX162">
        <f>COUNTIFS('DRAFT 2'!$D:$D,$B162,'DRAFT 2'!$A:$A,"&gt;="&amp;DATE(2026,7,22),'DRAFT 2'!$A:$A,"&lt;"&amp;DATE(2026,IF(7=12,7+1,7+1),1))</f>
        <v>0</v>
      </c>
      <c r="FY162">
        <f t="shared" si="64"/>
        <v>0</v>
      </c>
      <c r="GI162">
        <f>IFERROR(LOOKUP(2,1/('DRAFT 2'!$D:$D=$B162)*('DRAFT 2'!$A:$A&gt;=DATE(2026,8,1))*('DRAFT 2'!$A:$A&lt;DATE(2026,IF(8=12,8+1,8+1),1)),'DRAFT 2'!$A:$A),"")</f>
        <v>0</v>
      </c>
      <c r="GJ162">
        <f>COUNTIFS('DRAFT 2'!$D:$D,$B162,'DRAFT 2'!$A:$A,"&gt;="&amp;DATE(2026,8,1),'DRAFT 2'!$A:$A,"&lt;="&amp;DATE(2026,8,7))</f>
        <v>0</v>
      </c>
      <c r="GK162">
        <f>COUNTIFS('DRAFT 2'!$D:$D,$B162,'DRAFT 2'!$A:$A,"&gt;="&amp;DATE(2026,8,8),'DRAFT 2'!$A:$A,"&lt;="&amp;DATE(2026,8,14))</f>
        <v>0</v>
      </c>
      <c r="GL162">
        <f>COUNTIFS('DRAFT 2'!$D:$D,$B162,'DRAFT 2'!$A:$A,"&gt;="&amp;DATE(2026,8,15),'DRAFT 2'!$A:$A,"&lt;="&amp;DATE(2026,8,21))</f>
        <v>0</v>
      </c>
      <c r="GM162">
        <f>COUNTIFS('DRAFT 2'!$D:$D,$B162,'DRAFT 2'!$A:$A,"&gt;="&amp;DATE(2026,8,22),'DRAFT 2'!$A:$A,"&lt;"&amp;DATE(2026,IF(8=12,8+1,8+1),1))</f>
        <v>0</v>
      </c>
      <c r="GN162">
        <f t="shared" si="65"/>
        <v>0</v>
      </c>
      <c r="GX162">
        <f>IFERROR(LOOKUP(2,1/('DRAFT 2'!$D:$D=$B162)*('DRAFT 2'!$A:$A&gt;=DATE(2026,9,1))*('DRAFT 2'!$A:$A&lt;DATE(2026,IF(9=12,9+1,9+1),1)),'DRAFT 2'!$A:$A),"")</f>
        <v>0</v>
      </c>
      <c r="GY162">
        <f>COUNTIFS('DRAFT 2'!$D:$D,$B162,'DRAFT 2'!$A:$A,"&gt;="&amp;DATE(2026,9,1),'DRAFT 2'!$A:$A,"&lt;="&amp;DATE(2026,9,7))</f>
        <v>0</v>
      </c>
      <c r="GZ162">
        <f>COUNTIFS('DRAFT 2'!$D:$D,$B162,'DRAFT 2'!$A:$A,"&gt;="&amp;DATE(2026,9,8),'DRAFT 2'!$A:$A,"&lt;="&amp;DATE(2026,9,14))</f>
        <v>0</v>
      </c>
      <c r="HA162">
        <f>COUNTIFS('DRAFT 2'!$D:$D,$B162,'DRAFT 2'!$A:$A,"&gt;="&amp;DATE(2026,9,15),'DRAFT 2'!$A:$A,"&lt;="&amp;DATE(2026,9,21))</f>
        <v>0</v>
      </c>
      <c r="HB162">
        <f>COUNTIFS('DRAFT 2'!$D:$D,$B162,'DRAFT 2'!$A:$A,"&gt;="&amp;DATE(2026,9,22),'DRAFT 2'!$A:$A,"&lt;"&amp;DATE(2026,IF(9=12,9+1,9+1),1))</f>
        <v>0</v>
      </c>
      <c r="HC162">
        <f t="shared" si="66"/>
        <v>0</v>
      </c>
      <c r="HN162">
        <f>IFERROR(LOOKUP(2,1/('DRAFT 2'!$D:$D=$B162)*('DRAFT 2'!$A:$A&gt;=DATE(2026,10,1))*('DRAFT 2'!$A:$A&lt;DATE(2026,IF(10=12,10+1,10+1),1)),'DRAFT 2'!$A:$A),"")</f>
        <v>0</v>
      </c>
      <c r="HO162">
        <f>COUNTIFS('DRAFT 2'!$D:$D,$B162,'DRAFT 2'!$A:$A,"&gt;="&amp;DATE(2026,10,1),'DRAFT 2'!$A:$A,"&lt;="&amp;DATE(2026,10,7))</f>
        <v>0</v>
      </c>
      <c r="HP162">
        <f>COUNTIFS('DRAFT 2'!$D:$D,$B162,'DRAFT 2'!$A:$A,"&gt;="&amp;DATE(2026,10,8),'DRAFT 2'!$A:$A,"&lt;="&amp;DATE(2026,10,14))</f>
        <v>0</v>
      </c>
      <c r="HQ162">
        <f>COUNTIFS('DRAFT 2'!$D:$D,$B162,'DRAFT 2'!$A:$A,"&gt;="&amp;DATE(2026,10,15),'DRAFT 2'!$A:$A,"&lt;="&amp;DATE(2026,10,21))</f>
        <v>0</v>
      </c>
      <c r="HR162">
        <f>COUNTIFS('DRAFT 2'!$D:$D,$B162,'DRAFT 2'!$A:$A,"&gt;="&amp;DATE(2026,10,22),'DRAFT 2'!$A:$A,"&lt;"&amp;DATE(2026,IF(10=12,10+1,10+1),1))</f>
        <v>0</v>
      </c>
      <c r="HS162">
        <f t="shared" si="67"/>
        <v>0</v>
      </c>
      <c r="IC162">
        <f>IFERROR(LOOKUP(2,1/('DRAFT 2'!$D:$D=$B162)*('DRAFT 2'!$A:$A&gt;=DATE(2026,11,1))*('DRAFT 2'!$A:$A&lt;DATE(2026,IF(11=12,11+1,11+1),1)),'DRAFT 2'!$A:$A),"")</f>
        <v>0</v>
      </c>
      <c r="ID162">
        <f>COUNTIFS('DRAFT 2'!$D:$D,$B162,'DRAFT 2'!$A:$A,"&gt;="&amp;DATE(2026,11,1),'DRAFT 2'!$A:$A,"&lt;="&amp;DATE(2026,11,7))</f>
        <v>0</v>
      </c>
      <c r="IE162">
        <f>COUNTIFS('DRAFT 2'!$D:$D,$B162,'DRAFT 2'!$A:$A,"&gt;="&amp;DATE(2026,11,8),'DRAFT 2'!$A:$A,"&lt;="&amp;DATE(2026,11,14))</f>
        <v>0</v>
      </c>
      <c r="IF162">
        <f>COUNTIFS('DRAFT 2'!$D:$D,$B162,'DRAFT 2'!$A:$A,"&gt;="&amp;DATE(2026,11,15),'DRAFT 2'!$A:$A,"&lt;="&amp;DATE(2026,11,21))</f>
        <v>0</v>
      </c>
      <c r="IG162">
        <f>COUNTIFS('DRAFT 2'!$D:$D,$B162,'DRAFT 2'!$A:$A,"&gt;="&amp;DATE(2026,11,22),'DRAFT 2'!$A:$A,"&lt;"&amp;DATE(2026,IF(11=12,11+1,11+1),1))</f>
        <v>0</v>
      </c>
      <c r="IH162">
        <f t="shared" si="68"/>
        <v>0</v>
      </c>
      <c r="IR162">
        <f>IFERROR(LOOKUP(2,1/('DRAFT 2'!$D:$D=$B162)*('DRAFT 2'!$A:$A&gt;=DATE(2026,12,1))*('DRAFT 2'!$A:$A&lt;DATE(2026,IF(12=12,12+1,12+1),1)),'DRAFT 2'!$A:$A),"")</f>
        <v>0</v>
      </c>
      <c r="IS162">
        <f>COUNTIFS('DRAFT 2'!$D:$D,$B162,'DRAFT 2'!$A:$A,"&gt;="&amp;DATE(2026,12,1),'DRAFT 2'!$A:$A,"&lt;="&amp;DATE(2026,12,7))</f>
        <v>0</v>
      </c>
      <c r="IT162">
        <f>COUNTIFS('DRAFT 2'!$D:$D,$B162,'DRAFT 2'!$A:$A,"&gt;="&amp;DATE(2026,12,8),'DRAFT 2'!$A:$A,"&lt;="&amp;DATE(2026,12,14))</f>
        <v>0</v>
      </c>
      <c r="IU162">
        <f>COUNTIFS('DRAFT 2'!$D:$D,$B162,'DRAFT 2'!$A:$A,"&gt;="&amp;DATE(2026,12,15),'DRAFT 2'!$A:$A,"&lt;="&amp;DATE(2026,12,21))</f>
        <v>0</v>
      </c>
      <c r="IV162">
        <f>COUNTIFS('DRAFT 2'!$D:$D,$B162,'DRAFT 2'!$A:$A,"&gt;="&amp;DATE(2026,12,22),'DRAFT 2'!$A:$A,"&lt;"&amp;DATE(2026,IF(12=12,12+1,12+1),1))</f>
        <v>0</v>
      </c>
      <c r="IW162">
        <f t="shared" si="69"/>
        <v>0</v>
      </c>
    </row>
    <row r="163" spans="1:257" x14ac:dyDescent="0.3">
      <c r="A163" t="str">
        <f>IFERROR(INDEX('DRAFT 1'!$A:$A,MATCH($B163,'DRAFT 1'!$B:$B,0)),"")</f>
        <v/>
      </c>
      <c r="C163" t="str">
        <f>IFERROR(INDEX('DRAFT 1'!$C:$C,MATCH($B163,'DRAFT 1'!$B:$B,0)),"")</f>
        <v/>
      </c>
      <c r="D163" t="str">
        <f>IFERROR(INDEX('DRAFT 1'!$D:$D,MATCH($B163,'DRAFT 1'!$B:$B,0)),"")</f>
        <v/>
      </c>
      <c r="E163" t="str">
        <f>IFERROR(INDEX('DRAFT 1'!$E:$E,MATCH($B163,'DRAFT 1'!$B:$B,0)),"")</f>
        <v/>
      </c>
      <c r="F163" t="str">
        <f>IFERROR(INDEX('DRAFT 1'!$F:$F,MATCH($B163,'DRAFT 1'!$B:$B,0)),"")</f>
        <v/>
      </c>
      <c r="G163" t="str">
        <f>IFERROR(INDEX('DRAFT 1'!$G:$G,MATCH($B163,'DRAFT 1'!$B:$B,0)),"")</f>
        <v/>
      </c>
      <c r="H163" t="str">
        <f>IFERROR(INDEX('DRAFT 1'!$H:$H,MATCH($B163,'DRAFT 1'!$B:$B,0)),"")</f>
        <v/>
      </c>
      <c r="I163" t="str">
        <f>IFERROR(INDEX('DRAFT 1'!$I:$I,MATCH($B163,'DRAFT 1'!$B:$B,0)),"")</f>
        <v/>
      </c>
      <c r="K163" t="str">
        <f>IFERROR(INDEX('DRAFT 1'!$AL:$AL,MATCH($B163,'DRAFT 1'!$B:$B,0)),"")</f>
        <v/>
      </c>
      <c r="L163" t="str">
        <f>IFERROR(INDEX('DRAFT 1'!$J:$J,MATCH($B163,'DRAFT 1'!$B:$B,0)),"")</f>
        <v/>
      </c>
      <c r="M163" t="str">
        <f>IFERROR(INDEX('DRAFT 1'!$K:$K,MATCH($B163,'DRAFT 1'!$B:$B,0)),"")</f>
        <v/>
      </c>
      <c r="P163" t="str">
        <f>IFERROR(INDEX('DRAFT 1'!$L:$L,MATCH($B163,'DRAFT 1'!$B:$B,0)),"")</f>
        <v/>
      </c>
      <c r="Q163" t="str">
        <f>IFERROR(INDEX('DRAFT 1'!$M:$M,MATCH($B163,'DRAFT 1'!$B:$B,0)),"")</f>
        <v/>
      </c>
      <c r="R163" t="str">
        <f>IFERROR(INDEX('DRAFT 1'!$N:$N,MATCH($B163,'DRAFT 1'!$B:$B,0)),"")</f>
        <v/>
      </c>
      <c r="S163" t="str">
        <f>IFERROR(INDEX('DRAFT 1'!$O:$O,MATCH($B163,'DRAFT 1'!$B:$B,0)),"")</f>
        <v/>
      </c>
      <c r="T163" t="str">
        <f>IFERROR(INDEX('DRAFT 1'!$P:$P,MATCH($B163,'DRAFT 1'!$B:$B,0)),"")</f>
        <v/>
      </c>
      <c r="U163" t="str">
        <f>IFERROR(INDEX('DRAFT 1'!$Q:$Q,MATCH($B163,'DRAFT 1'!$B:$B,0)),"")</f>
        <v/>
      </c>
      <c r="V163" t="str">
        <f>IFERROR(INDEX('DRAFT 1'!$R:$R,MATCH($B163,'DRAFT 1'!$B:$B,0)),"")</f>
        <v/>
      </c>
      <c r="W163" t="str">
        <f>IFERROR(INDEX('DRAFT 1'!$S:$S,MATCH($B163,'DRAFT 1'!$B:$B,0)),"")</f>
        <v/>
      </c>
      <c r="X163" t="str">
        <f>IFERROR(INDEX('DRAFT 1'!$T:$T,MATCH($B163,'DRAFT 1'!$B:$B,0)),"")</f>
        <v/>
      </c>
      <c r="Z163" t="str">
        <f>IFERROR(INDEX('DRAFT 1'!$U:$U,MATCH($B163,'DRAFT 1'!$B:$B,0)),"")</f>
        <v/>
      </c>
      <c r="AA163" t="str">
        <f>IFERROR(INDEX('DRAFT 1'!$V:$V,MATCH($B163,'DRAFT 1'!$B:$B,0)),"")</f>
        <v/>
      </c>
      <c r="AB163" t="str">
        <f>IFERROR(INDEX('DRAFT 1'!$W:$W,MATCH($B163,'DRAFT 1'!$B:$B,0)),"")</f>
        <v/>
      </c>
      <c r="AC163" t="str">
        <f>IFERROR(INDEX('DRAFT 1'!$X:$X,MATCH($B163,'DRAFT 1'!$B:$B,0)),"")</f>
        <v/>
      </c>
      <c r="AD163" t="str">
        <f>IFERROR(INDEX('DRAFT 1'!$Y:$Y,MATCH($B163,'DRAFT 1'!$B:$B,0)),"")</f>
        <v/>
      </c>
      <c r="AE163" t="str">
        <f>IFERROR(INDEX('DRAFT 1'!$Z:$Z,MATCH($B163,'DRAFT 1'!$B:$B,0)),"")</f>
        <v/>
      </c>
      <c r="AF163" t="str">
        <f>IFERROR(INDEX('DRAFT 1'!$AA:$AA,MATCH($B163,'DRAFT 1'!$B:$B,0)),"")</f>
        <v/>
      </c>
      <c r="AG163" t="str">
        <f>IFERROR(INDEX('DRAFT 1'!$AB:$AB,MATCH($B163,'DRAFT 1'!$B:$B,0)),"")</f>
        <v/>
      </c>
      <c r="AH163" t="str">
        <f>IFERROR(INDEX('DRAFT 1'!$AC:$AC,MATCH($B163,'DRAFT 1'!$B:$B,0)),"")</f>
        <v/>
      </c>
      <c r="AI163" t="str">
        <f>IFERROR(INDEX('DRAFT 1'!$AD:$AD,MATCH($B163,'DRAFT 1'!$B:$B,0)),"")</f>
        <v/>
      </c>
      <c r="AJ163" t="str">
        <f>IFERROR(INDEX('DRAFT 1'!$AE:$AE,MATCH($B163,'DRAFT 1'!$B:$B,0)),"")</f>
        <v/>
      </c>
      <c r="AK163" t="str">
        <f>IFERROR(INDEX('DRAFT 1'!$AG:$AG,MATCH($B163,'DRAFT 1'!$B:$B,0)),"")</f>
        <v/>
      </c>
      <c r="AL163" t="str">
        <f>IFERROR(INDEX('DRAFT 1'!$AH:$AH,MATCH($B163,'DRAFT 1'!$B:$B,0)),"")</f>
        <v/>
      </c>
      <c r="AM163" t="str">
        <f>IFERROR(INDEX('DRAFT 1'!$AI:$AI,MATCH($B163,'DRAFT 1'!$B:$B,0)),"")</f>
        <v/>
      </c>
      <c r="AN163" t="str">
        <f>IFERROR(INDEX('DRAFT 1'!$AJ:$AJ,MATCH($B163,'DRAFT 1'!$B:$B,0)),"")</f>
        <v/>
      </c>
      <c r="AO163">
        <f t="shared" si="56"/>
        <v>0</v>
      </c>
      <c r="AP163" t="str">
        <f>IFERROR(INDEX('DRAFT 1'!$AK:$AK,MATCH($B163,'DRAFT 1'!$B:$B,0)),"")</f>
        <v/>
      </c>
      <c r="AR163">
        <f>IFERROR(LOOKUP(2,1/('DRAFT 2'!$D:$D=$B163),'DRAFT 2'!$I:$I),"")</f>
        <v>0</v>
      </c>
      <c r="AS163">
        <f>IFERROR(LOOKUP(2,1/('DRAFT 2'!$D:$D=$B163),'DRAFT 2'!$T:$T),"")</f>
        <v>0</v>
      </c>
      <c r="AT163">
        <f>IFERROR(LOOKUP(2,1/('DRAFT 2'!$D:$D=$B163),'DRAFT 2'!$A:$A),"")</f>
        <v>0</v>
      </c>
      <c r="AU163">
        <f>IFERROR(LOOKUP(2,1/('DRAFT 2'!$D:$D=$B163),'DRAFT 2'!$R:$R),"")</f>
        <v>0</v>
      </c>
      <c r="AV163">
        <f>IFERROR(LOOKUP(2,1/('DRAFT 2'!$D:$D=$B163),'DRAFT 2'!$S:$S),"")</f>
        <v>0</v>
      </c>
      <c r="AX163">
        <f>IFERROR(LOOKUP(2,1/('DRAFT 2'!$D:$D=$B163),'DRAFT 2'!$M:$M),"")</f>
        <v>0</v>
      </c>
      <c r="AY163">
        <f>IFERROR(LOOKUP(2,1/('DRAFT 2'!$D:$D=$B163),'DRAFT 2'!$K:$K),"")</f>
        <v>0</v>
      </c>
      <c r="BG163">
        <f>IFERROR(LOOKUP(2,1/('DRAFT 2'!$D:$D=$B163),'DRAFT 2'!$U:$U),"")</f>
        <v>0</v>
      </c>
      <c r="BH163">
        <f>IFERROR(LOOKUP(2,1/('DRAFT 2'!$D:$D=$B163),'DRAFT 2'!$V:$V),"")</f>
        <v>0</v>
      </c>
      <c r="CE163" t="str">
        <f t="shared" si="57"/>
        <v/>
      </c>
      <c r="CF163">
        <f>IFERROR(LOOKUP(2,1/('DRAFT 2'!$D:$D=$B163)*('DRAFT 2'!$A:$A&gt;=DATE(2026,1,1))*('DRAFT 2'!$A:$A&lt;DATE(2026,IF(1=12,1+1,1+1),1)),'DRAFT 2'!$A:$A),"")</f>
        <v>0</v>
      </c>
      <c r="CG163">
        <f>COUNTIFS('DRAFT 2'!$D:$D,$B163,'DRAFT 2'!$A:$A,"&gt;="&amp;DATE(2026,1,1),'DRAFT 2'!$A:$A,"&lt;="&amp;DATE(2026,1,7))</f>
        <v>0</v>
      </c>
      <c r="CH163">
        <f>COUNTIFS('DRAFT 2'!$D:$D,$B163,'DRAFT 2'!$A:$A,"&gt;="&amp;DATE(2026,1,8),'DRAFT 2'!$A:$A,"&lt;="&amp;DATE(2026,1,14))</f>
        <v>0</v>
      </c>
      <c r="CI163">
        <f>COUNTIFS('DRAFT 2'!$D:$D,$B163,'DRAFT 2'!$A:$A,"&gt;="&amp;DATE(2026,1,15),'DRAFT 2'!$A:$A,"&lt;="&amp;DATE(2026,1,21))</f>
        <v>0</v>
      </c>
      <c r="CJ163">
        <f>COUNTIFS('DRAFT 2'!$D:$D,$B163,'DRAFT 2'!$A:$A,"&gt;="&amp;DATE(2026,1,22),'DRAFT 2'!$A:$A,"&lt;"&amp;DATE(2026,IF(1=12,1+1,1+1),1))</f>
        <v>0</v>
      </c>
      <c r="CK163">
        <f t="shared" si="58"/>
        <v>0</v>
      </c>
      <c r="CT163">
        <v>0</v>
      </c>
      <c r="CU163">
        <f>IFERROR(LOOKUP(2,1/('DRAFT 2'!$D:$D=$B163)*('DRAFT 2'!$A:$A&gt;=DATE(2026,2,1))*('DRAFT 2'!$A:$A&lt;DATE(2026,IF(2=12,2+1,2+1),1)),'DRAFT 2'!$A:$A),"")</f>
        <v>0</v>
      </c>
      <c r="CV163">
        <f>COUNTIFS('DRAFT 2'!$D:$D,$B163,'DRAFT 2'!$A:$A,"&gt;="&amp;DATE(2026,2,1),'DRAFT 2'!$A:$A,"&lt;="&amp;DATE(2026,2,7))</f>
        <v>0</v>
      </c>
      <c r="CW163">
        <f>COUNTIFS('DRAFT 2'!$D:$D,$B163,'DRAFT 2'!$A:$A,"&gt;="&amp;DATE(2026,2,8),'DRAFT 2'!$A:$A,"&lt;="&amp;DATE(2026,2,14))</f>
        <v>0</v>
      </c>
      <c r="CX163">
        <f>COUNTIFS('DRAFT 2'!$D:$D,$B163,'DRAFT 2'!$A:$A,"&gt;="&amp;DATE(2026,2,15),'DRAFT 2'!$A:$A,"&lt;="&amp;DATE(2026,2,21))</f>
        <v>0</v>
      </c>
      <c r="CY163">
        <f>COUNTIFS('DRAFT 2'!$D:$D,$B163,'DRAFT 2'!$A:$A,"&gt;="&amp;DATE(2026,2,22),'DRAFT 2'!$A:$A,"&lt;"&amp;DATE(2026,IF(2=12,2+1,2+1),1))</f>
        <v>0</v>
      </c>
      <c r="CZ163">
        <f t="shared" si="59"/>
        <v>0</v>
      </c>
      <c r="DJ163">
        <f>IFERROR(LOOKUP(2,1/('DRAFT 2'!$D:$D=$B163)*('DRAFT 2'!$A:$A&gt;=DATE(2026,3,1))*('DRAFT 2'!$A:$A&lt;DATE(2026,IF(3=12,3+1,3+1),1)),'DRAFT 2'!$A:$A),"")</f>
        <v>0</v>
      </c>
      <c r="DK163">
        <f>COUNTIFS('DRAFT 2'!$D:$D,$B163,'DRAFT 2'!$A:$A,"&gt;="&amp;DATE(2026,3,1),'DRAFT 2'!$A:$A,"&lt;="&amp;DATE(2026,3,7))</f>
        <v>0</v>
      </c>
      <c r="DL163">
        <f>COUNTIFS('DRAFT 2'!$D:$D,$B163,'DRAFT 2'!$A:$A,"&gt;="&amp;DATE(2026,3,8),'DRAFT 2'!$A:$A,"&lt;="&amp;DATE(2026,3,14))</f>
        <v>0</v>
      </c>
      <c r="DM163">
        <f>COUNTIFS('DRAFT 2'!$D:$D,$B163,'DRAFT 2'!$A:$A,"&gt;="&amp;DATE(2026,3,15),'DRAFT 2'!$A:$A,"&lt;="&amp;DATE(2026,3,21))</f>
        <v>0</v>
      </c>
      <c r="DN163">
        <f>COUNTIFS('DRAFT 2'!$D:$D,$B163,'DRAFT 2'!$A:$A,"&gt;="&amp;DATE(2026,3,22),'DRAFT 2'!$A:$A,"&lt;"&amp;DATE(2026,IF(3=12,3+1,3+1),1))</f>
        <v>0</v>
      </c>
      <c r="DO163">
        <f t="shared" si="60"/>
        <v>0</v>
      </c>
      <c r="DZ163">
        <f>IFERROR(LOOKUP(2,1/('DRAFT 2'!$D:$D=$B163)*('DRAFT 2'!$A:$A&gt;=DATE(2026,4,1))*('DRAFT 2'!$A:$A&lt;DATE(2026,IF(4=12,4+1,4+1),1)),'DRAFT 2'!$A:$A),"")</f>
        <v>0</v>
      </c>
      <c r="EA163">
        <f>COUNTIFS('DRAFT 2'!$D:$D,$B163,'DRAFT 2'!$A:$A,"&gt;="&amp;DATE(2026,4,1),'DRAFT 2'!$A:$A,"&lt;="&amp;DATE(2026,4,7))</f>
        <v>0</v>
      </c>
      <c r="EB163">
        <f>COUNTIFS('DRAFT 2'!$D:$D,$B163,'DRAFT 2'!$A:$A,"&gt;="&amp;DATE(2026,4,8),'DRAFT 2'!$A:$A,"&lt;="&amp;DATE(2026,4,14))</f>
        <v>0</v>
      </c>
      <c r="EC163">
        <f>COUNTIFS('DRAFT 2'!$D:$D,$B163,'DRAFT 2'!$A:$A,"&gt;="&amp;DATE(2026,4,15),'DRAFT 2'!$A:$A,"&lt;="&amp;DATE(2026,4,21))</f>
        <v>0</v>
      </c>
      <c r="ED163">
        <f>COUNTIFS('DRAFT 2'!$D:$D,$B163,'DRAFT 2'!$A:$A,"&gt;="&amp;DATE(2026,4,22),'DRAFT 2'!$A:$A,"&lt;"&amp;DATE(2026,IF(4=12,4+1,4+1),1))</f>
        <v>0</v>
      </c>
      <c r="EE163">
        <f t="shared" si="61"/>
        <v>0</v>
      </c>
      <c r="EO163">
        <f>IFERROR(LOOKUP(2,1/('DRAFT 2'!$D:$D=$B163)*('DRAFT 2'!$A:$A&gt;=DATE(2026,5,1))*('DRAFT 2'!$A:$A&lt;DATE(2026,IF(5=12,5+1,5+1),1)),'DRAFT 2'!$A:$A),"")</f>
        <v>0</v>
      </c>
      <c r="EP163">
        <f>COUNTIFS('DRAFT 2'!$D:$D,$B163,'DRAFT 2'!$A:$A,"&gt;="&amp;DATE(2026,5,1),'DRAFT 2'!$A:$A,"&lt;="&amp;DATE(2026,5,7))</f>
        <v>0</v>
      </c>
      <c r="EQ163">
        <f>COUNTIFS('DRAFT 2'!$D:$D,$B163,'DRAFT 2'!$A:$A,"&gt;="&amp;DATE(2026,5,8),'DRAFT 2'!$A:$A,"&lt;="&amp;DATE(2026,5,14))</f>
        <v>0</v>
      </c>
      <c r="ER163">
        <f>COUNTIFS('DRAFT 2'!$D:$D,$B163,'DRAFT 2'!$A:$A,"&gt;="&amp;DATE(2026,5,15),'DRAFT 2'!$A:$A,"&lt;="&amp;DATE(2026,5,21))</f>
        <v>0</v>
      </c>
      <c r="ES163">
        <f>COUNTIFS('DRAFT 2'!$D:$D,$B163,'DRAFT 2'!$A:$A,"&gt;="&amp;DATE(2026,5,22),'DRAFT 2'!$A:$A,"&lt;"&amp;DATE(2026,IF(5=12,5+1,5+1),1))</f>
        <v>0</v>
      </c>
      <c r="ET163">
        <f t="shared" si="62"/>
        <v>0</v>
      </c>
      <c r="FD163">
        <f>IFERROR(LOOKUP(2,1/('DRAFT 2'!$D:$D=$B163)*('DRAFT 2'!$A:$A&gt;=DATE(2026,6,1))*('DRAFT 2'!$A:$A&lt;DATE(2026,IF(6=12,6+1,6+1),1)),'DRAFT 2'!$A:$A),"")</f>
        <v>0</v>
      </c>
      <c r="FE163">
        <f>COUNTIFS('DRAFT 2'!$D:$D,$B163,'DRAFT 2'!$A:$A,"&gt;="&amp;DATE(2026,6,1),'DRAFT 2'!$A:$A,"&lt;="&amp;DATE(2026,6,7))</f>
        <v>0</v>
      </c>
      <c r="FF163">
        <f>COUNTIFS('DRAFT 2'!$D:$D,$B163,'DRAFT 2'!$A:$A,"&gt;="&amp;DATE(2026,6,8),'DRAFT 2'!$A:$A,"&lt;="&amp;DATE(2026,6,14))</f>
        <v>0</v>
      </c>
      <c r="FG163">
        <f>COUNTIFS('DRAFT 2'!$D:$D,$B163,'DRAFT 2'!$A:$A,"&gt;="&amp;DATE(2026,6,15),'DRAFT 2'!$A:$A,"&lt;="&amp;DATE(2026,6,21))</f>
        <v>0</v>
      </c>
      <c r="FH163">
        <f>COUNTIFS('DRAFT 2'!$D:$D,$B163,'DRAFT 2'!$A:$A,"&gt;="&amp;DATE(2026,6,22),'DRAFT 2'!$A:$A,"&lt;"&amp;DATE(2026,IF(6=12,6+1,6+1),1))</f>
        <v>0</v>
      </c>
      <c r="FI163">
        <f t="shared" si="63"/>
        <v>0</v>
      </c>
      <c r="FT163">
        <f>IFERROR(LOOKUP(2,1/('DRAFT 2'!$D:$D=$B163)*('DRAFT 2'!$A:$A&gt;=DATE(2026,7,1))*('DRAFT 2'!$A:$A&lt;DATE(2026,IF(7=12,7+1,7+1),1)),'DRAFT 2'!$A:$A),"")</f>
        <v>0</v>
      </c>
      <c r="FU163">
        <f>COUNTIFS('DRAFT 2'!$D:$D,$B163,'DRAFT 2'!$A:$A,"&gt;="&amp;DATE(2026,7,1),'DRAFT 2'!$A:$A,"&lt;="&amp;DATE(2026,7,7))</f>
        <v>0</v>
      </c>
      <c r="FV163">
        <f>COUNTIFS('DRAFT 2'!$D:$D,$B163,'DRAFT 2'!$A:$A,"&gt;="&amp;DATE(2026,7,8),'DRAFT 2'!$A:$A,"&lt;="&amp;DATE(2026,7,14))</f>
        <v>0</v>
      </c>
      <c r="FW163">
        <f>COUNTIFS('DRAFT 2'!$D:$D,$B163,'DRAFT 2'!$A:$A,"&gt;="&amp;DATE(2026,7,15),'DRAFT 2'!$A:$A,"&lt;="&amp;DATE(2026,7,21))</f>
        <v>0</v>
      </c>
      <c r="FX163">
        <f>COUNTIFS('DRAFT 2'!$D:$D,$B163,'DRAFT 2'!$A:$A,"&gt;="&amp;DATE(2026,7,22),'DRAFT 2'!$A:$A,"&lt;"&amp;DATE(2026,IF(7=12,7+1,7+1),1))</f>
        <v>0</v>
      </c>
      <c r="FY163">
        <f t="shared" si="64"/>
        <v>0</v>
      </c>
      <c r="GI163">
        <f>IFERROR(LOOKUP(2,1/('DRAFT 2'!$D:$D=$B163)*('DRAFT 2'!$A:$A&gt;=DATE(2026,8,1))*('DRAFT 2'!$A:$A&lt;DATE(2026,IF(8=12,8+1,8+1),1)),'DRAFT 2'!$A:$A),"")</f>
        <v>0</v>
      </c>
      <c r="GJ163">
        <f>COUNTIFS('DRAFT 2'!$D:$D,$B163,'DRAFT 2'!$A:$A,"&gt;="&amp;DATE(2026,8,1),'DRAFT 2'!$A:$A,"&lt;="&amp;DATE(2026,8,7))</f>
        <v>0</v>
      </c>
      <c r="GK163">
        <f>COUNTIFS('DRAFT 2'!$D:$D,$B163,'DRAFT 2'!$A:$A,"&gt;="&amp;DATE(2026,8,8),'DRAFT 2'!$A:$A,"&lt;="&amp;DATE(2026,8,14))</f>
        <v>0</v>
      </c>
      <c r="GL163">
        <f>COUNTIFS('DRAFT 2'!$D:$D,$B163,'DRAFT 2'!$A:$A,"&gt;="&amp;DATE(2026,8,15),'DRAFT 2'!$A:$A,"&lt;="&amp;DATE(2026,8,21))</f>
        <v>0</v>
      </c>
      <c r="GM163">
        <f>COUNTIFS('DRAFT 2'!$D:$D,$B163,'DRAFT 2'!$A:$A,"&gt;="&amp;DATE(2026,8,22),'DRAFT 2'!$A:$A,"&lt;"&amp;DATE(2026,IF(8=12,8+1,8+1),1))</f>
        <v>0</v>
      </c>
      <c r="GN163">
        <f t="shared" si="65"/>
        <v>0</v>
      </c>
      <c r="GX163">
        <f>IFERROR(LOOKUP(2,1/('DRAFT 2'!$D:$D=$B163)*('DRAFT 2'!$A:$A&gt;=DATE(2026,9,1))*('DRAFT 2'!$A:$A&lt;DATE(2026,IF(9=12,9+1,9+1),1)),'DRAFT 2'!$A:$A),"")</f>
        <v>0</v>
      </c>
      <c r="GY163">
        <f>COUNTIFS('DRAFT 2'!$D:$D,$B163,'DRAFT 2'!$A:$A,"&gt;="&amp;DATE(2026,9,1),'DRAFT 2'!$A:$A,"&lt;="&amp;DATE(2026,9,7))</f>
        <v>0</v>
      </c>
      <c r="GZ163">
        <f>COUNTIFS('DRAFT 2'!$D:$D,$B163,'DRAFT 2'!$A:$A,"&gt;="&amp;DATE(2026,9,8),'DRAFT 2'!$A:$A,"&lt;="&amp;DATE(2026,9,14))</f>
        <v>0</v>
      </c>
      <c r="HA163">
        <f>COUNTIFS('DRAFT 2'!$D:$D,$B163,'DRAFT 2'!$A:$A,"&gt;="&amp;DATE(2026,9,15),'DRAFT 2'!$A:$A,"&lt;="&amp;DATE(2026,9,21))</f>
        <v>0</v>
      </c>
      <c r="HB163">
        <f>COUNTIFS('DRAFT 2'!$D:$D,$B163,'DRAFT 2'!$A:$A,"&gt;="&amp;DATE(2026,9,22),'DRAFT 2'!$A:$A,"&lt;"&amp;DATE(2026,IF(9=12,9+1,9+1),1))</f>
        <v>0</v>
      </c>
      <c r="HC163">
        <f t="shared" si="66"/>
        <v>0</v>
      </c>
      <c r="HN163">
        <f>IFERROR(LOOKUP(2,1/('DRAFT 2'!$D:$D=$B163)*('DRAFT 2'!$A:$A&gt;=DATE(2026,10,1))*('DRAFT 2'!$A:$A&lt;DATE(2026,IF(10=12,10+1,10+1),1)),'DRAFT 2'!$A:$A),"")</f>
        <v>0</v>
      </c>
      <c r="HO163">
        <f>COUNTIFS('DRAFT 2'!$D:$D,$B163,'DRAFT 2'!$A:$A,"&gt;="&amp;DATE(2026,10,1),'DRAFT 2'!$A:$A,"&lt;="&amp;DATE(2026,10,7))</f>
        <v>0</v>
      </c>
      <c r="HP163">
        <f>COUNTIFS('DRAFT 2'!$D:$D,$B163,'DRAFT 2'!$A:$A,"&gt;="&amp;DATE(2026,10,8),'DRAFT 2'!$A:$A,"&lt;="&amp;DATE(2026,10,14))</f>
        <v>0</v>
      </c>
      <c r="HQ163">
        <f>COUNTIFS('DRAFT 2'!$D:$D,$B163,'DRAFT 2'!$A:$A,"&gt;="&amp;DATE(2026,10,15),'DRAFT 2'!$A:$A,"&lt;="&amp;DATE(2026,10,21))</f>
        <v>0</v>
      </c>
      <c r="HR163">
        <f>COUNTIFS('DRAFT 2'!$D:$D,$B163,'DRAFT 2'!$A:$A,"&gt;="&amp;DATE(2026,10,22),'DRAFT 2'!$A:$A,"&lt;"&amp;DATE(2026,IF(10=12,10+1,10+1),1))</f>
        <v>0</v>
      </c>
      <c r="HS163">
        <f t="shared" si="67"/>
        <v>0</v>
      </c>
      <c r="IC163">
        <f>IFERROR(LOOKUP(2,1/('DRAFT 2'!$D:$D=$B163)*('DRAFT 2'!$A:$A&gt;=DATE(2026,11,1))*('DRAFT 2'!$A:$A&lt;DATE(2026,IF(11=12,11+1,11+1),1)),'DRAFT 2'!$A:$A),"")</f>
        <v>0</v>
      </c>
      <c r="ID163">
        <f>COUNTIFS('DRAFT 2'!$D:$D,$B163,'DRAFT 2'!$A:$A,"&gt;="&amp;DATE(2026,11,1),'DRAFT 2'!$A:$A,"&lt;="&amp;DATE(2026,11,7))</f>
        <v>0</v>
      </c>
      <c r="IE163">
        <f>COUNTIFS('DRAFT 2'!$D:$D,$B163,'DRAFT 2'!$A:$A,"&gt;="&amp;DATE(2026,11,8),'DRAFT 2'!$A:$A,"&lt;="&amp;DATE(2026,11,14))</f>
        <v>0</v>
      </c>
      <c r="IF163">
        <f>COUNTIFS('DRAFT 2'!$D:$D,$B163,'DRAFT 2'!$A:$A,"&gt;="&amp;DATE(2026,11,15),'DRAFT 2'!$A:$A,"&lt;="&amp;DATE(2026,11,21))</f>
        <v>0</v>
      </c>
      <c r="IG163">
        <f>COUNTIFS('DRAFT 2'!$D:$D,$B163,'DRAFT 2'!$A:$A,"&gt;="&amp;DATE(2026,11,22),'DRAFT 2'!$A:$A,"&lt;"&amp;DATE(2026,IF(11=12,11+1,11+1),1))</f>
        <v>0</v>
      </c>
      <c r="IH163">
        <f t="shared" si="68"/>
        <v>0</v>
      </c>
      <c r="IR163">
        <f>IFERROR(LOOKUP(2,1/('DRAFT 2'!$D:$D=$B163)*('DRAFT 2'!$A:$A&gt;=DATE(2026,12,1))*('DRAFT 2'!$A:$A&lt;DATE(2026,IF(12=12,12+1,12+1),1)),'DRAFT 2'!$A:$A),"")</f>
        <v>0</v>
      </c>
      <c r="IS163">
        <f>COUNTIFS('DRAFT 2'!$D:$D,$B163,'DRAFT 2'!$A:$A,"&gt;="&amp;DATE(2026,12,1),'DRAFT 2'!$A:$A,"&lt;="&amp;DATE(2026,12,7))</f>
        <v>0</v>
      </c>
      <c r="IT163">
        <f>COUNTIFS('DRAFT 2'!$D:$D,$B163,'DRAFT 2'!$A:$A,"&gt;="&amp;DATE(2026,12,8),'DRAFT 2'!$A:$A,"&lt;="&amp;DATE(2026,12,14))</f>
        <v>0</v>
      </c>
      <c r="IU163">
        <f>COUNTIFS('DRAFT 2'!$D:$D,$B163,'DRAFT 2'!$A:$A,"&gt;="&amp;DATE(2026,12,15),'DRAFT 2'!$A:$A,"&lt;="&amp;DATE(2026,12,21))</f>
        <v>0</v>
      </c>
      <c r="IV163">
        <f>COUNTIFS('DRAFT 2'!$D:$D,$B163,'DRAFT 2'!$A:$A,"&gt;="&amp;DATE(2026,12,22),'DRAFT 2'!$A:$A,"&lt;"&amp;DATE(2026,IF(12=12,12+1,12+1),1))</f>
        <v>0</v>
      </c>
      <c r="IW163">
        <f t="shared" si="69"/>
        <v>0</v>
      </c>
    </row>
    <row r="164" spans="1:257" x14ac:dyDescent="0.3">
      <c r="A164" t="str">
        <f>IFERROR(INDEX('DRAFT 1'!$A:$A,MATCH($B164,'DRAFT 1'!$B:$B,0)),"")</f>
        <v/>
      </c>
      <c r="C164" t="str">
        <f>IFERROR(INDEX('DRAFT 1'!$C:$C,MATCH($B164,'DRAFT 1'!$B:$B,0)),"")</f>
        <v/>
      </c>
      <c r="D164" t="str">
        <f>IFERROR(INDEX('DRAFT 1'!$D:$D,MATCH($B164,'DRAFT 1'!$B:$B,0)),"")</f>
        <v/>
      </c>
      <c r="E164" t="str">
        <f>IFERROR(INDEX('DRAFT 1'!$E:$E,MATCH($B164,'DRAFT 1'!$B:$B,0)),"")</f>
        <v/>
      </c>
      <c r="F164" t="str">
        <f>IFERROR(INDEX('DRAFT 1'!$F:$F,MATCH($B164,'DRAFT 1'!$B:$B,0)),"")</f>
        <v/>
      </c>
      <c r="G164" t="str">
        <f>IFERROR(INDEX('DRAFT 1'!$G:$G,MATCH($B164,'DRAFT 1'!$B:$B,0)),"")</f>
        <v/>
      </c>
      <c r="H164" t="str">
        <f>IFERROR(INDEX('DRAFT 1'!$H:$H,MATCH($B164,'DRAFT 1'!$B:$B,0)),"")</f>
        <v/>
      </c>
      <c r="I164" t="str">
        <f>IFERROR(INDEX('DRAFT 1'!$I:$I,MATCH($B164,'DRAFT 1'!$B:$B,0)),"")</f>
        <v/>
      </c>
      <c r="K164" t="str">
        <f>IFERROR(INDEX('DRAFT 1'!$AL:$AL,MATCH($B164,'DRAFT 1'!$B:$B,0)),"")</f>
        <v/>
      </c>
      <c r="L164" t="str">
        <f>IFERROR(INDEX('DRAFT 1'!$J:$J,MATCH($B164,'DRAFT 1'!$B:$B,0)),"")</f>
        <v/>
      </c>
      <c r="M164" t="str">
        <f>IFERROR(INDEX('DRAFT 1'!$K:$K,MATCH($B164,'DRAFT 1'!$B:$B,0)),"")</f>
        <v/>
      </c>
      <c r="P164" t="str">
        <f>IFERROR(INDEX('DRAFT 1'!$L:$L,MATCH($B164,'DRAFT 1'!$B:$B,0)),"")</f>
        <v/>
      </c>
      <c r="Q164" t="str">
        <f>IFERROR(INDEX('DRAFT 1'!$M:$M,MATCH($B164,'DRAFT 1'!$B:$B,0)),"")</f>
        <v/>
      </c>
      <c r="R164" t="str">
        <f>IFERROR(INDEX('DRAFT 1'!$N:$N,MATCH($B164,'DRAFT 1'!$B:$B,0)),"")</f>
        <v/>
      </c>
      <c r="S164" t="str">
        <f>IFERROR(INDEX('DRAFT 1'!$O:$O,MATCH($B164,'DRAFT 1'!$B:$B,0)),"")</f>
        <v/>
      </c>
      <c r="T164" t="str">
        <f>IFERROR(INDEX('DRAFT 1'!$P:$P,MATCH($B164,'DRAFT 1'!$B:$B,0)),"")</f>
        <v/>
      </c>
      <c r="U164" t="str">
        <f>IFERROR(INDEX('DRAFT 1'!$Q:$Q,MATCH($B164,'DRAFT 1'!$B:$B,0)),"")</f>
        <v/>
      </c>
      <c r="V164" t="str">
        <f>IFERROR(INDEX('DRAFT 1'!$R:$R,MATCH($B164,'DRAFT 1'!$B:$B,0)),"")</f>
        <v/>
      </c>
      <c r="W164" t="str">
        <f>IFERROR(INDEX('DRAFT 1'!$S:$S,MATCH($B164,'DRAFT 1'!$B:$B,0)),"")</f>
        <v/>
      </c>
      <c r="X164" t="str">
        <f>IFERROR(INDEX('DRAFT 1'!$T:$T,MATCH($B164,'DRAFT 1'!$B:$B,0)),"")</f>
        <v/>
      </c>
      <c r="Z164" t="str">
        <f>IFERROR(INDEX('DRAFT 1'!$U:$U,MATCH($B164,'DRAFT 1'!$B:$B,0)),"")</f>
        <v/>
      </c>
      <c r="AA164" t="str">
        <f>IFERROR(INDEX('DRAFT 1'!$V:$V,MATCH($B164,'DRAFT 1'!$B:$B,0)),"")</f>
        <v/>
      </c>
      <c r="AB164" t="str">
        <f>IFERROR(INDEX('DRAFT 1'!$W:$W,MATCH($B164,'DRAFT 1'!$B:$B,0)),"")</f>
        <v/>
      </c>
      <c r="AC164" t="str">
        <f>IFERROR(INDEX('DRAFT 1'!$X:$X,MATCH($B164,'DRAFT 1'!$B:$B,0)),"")</f>
        <v/>
      </c>
      <c r="AD164" t="str">
        <f>IFERROR(INDEX('DRAFT 1'!$Y:$Y,MATCH($B164,'DRAFT 1'!$B:$B,0)),"")</f>
        <v/>
      </c>
      <c r="AE164" t="str">
        <f>IFERROR(INDEX('DRAFT 1'!$Z:$Z,MATCH($B164,'DRAFT 1'!$B:$B,0)),"")</f>
        <v/>
      </c>
      <c r="AF164" t="str">
        <f>IFERROR(INDEX('DRAFT 1'!$AA:$AA,MATCH($B164,'DRAFT 1'!$B:$B,0)),"")</f>
        <v/>
      </c>
      <c r="AG164" t="str">
        <f>IFERROR(INDEX('DRAFT 1'!$AB:$AB,MATCH($B164,'DRAFT 1'!$B:$B,0)),"")</f>
        <v/>
      </c>
      <c r="AH164" t="str">
        <f>IFERROR(INDEX('DRAFT 1'!$AC:$AC,MATCH($B164,'DRAFT 1'!$B:$B,0)),"")</f>
        <v/>
      </c>
      <c r="AI164" t="str">
        <f>IFERROR(INDEX('DRAFT 1'!$AD:$AD,MATCH($B164,'DRAFT 1'!$B:$B,0)),"")</f>
        <v/>
      </c>
      <c r="AJ164" t="str">
        <f>IFERROR(INDEX('DRAFT 1'!$AE:$AE,MATCH($B164,'DRAFT 1'!$B:$B,0)),"")</f>
        <v/>
      </c>
      <c r="AK164" t="str">
        <f>IFERROR(INDEX('DRAFT 1'!$AG:$AG,MATCH($B164,'DRAFT 1'!$B:$B,0)),"")</f>
        <v/>
      </c>
      <c r="AL164" t="str">
        <f>IFERROR(INDEX('DRAFT 1'!$AH:$AH,MATCH($B164,'DRAFT 1'!$B:$B,0)),"")</f>
        <v/>
      </c>
      <c r="AM164" t="str">
        <f>IFERROR(INDEX('DRAFT 1'!$AI:$AI,MATCH($B164,'DRAFT 1'!$B:$B,0)),"")</f>
        <v/>
      </c>
      <c r="AN164" t="str">
        <f>IFERROR(INDEX('DRAFT 1'!$AJ:$AJ,MATCH($B164,'DRAFT 1'!$B:$B,0)),"")</f>
        <v/>
      </c>
      <c r="AO164">
        <f t="shared" ref="AO164:AO195" si="70">IFERROR(Y164/AN164,0)</f>
        <v>0</v>
      </c>
      <c r="AP164" t="str">
        <f>IFERROR(INDEX('DRAFT 1'!$AK:$AK,MATCH($B164,'DRAFT 1'!$B:$B,0)),"")</f>
        <v/>
      </c>
      <c r="AR164">
        <f>IFERROR(LOOKUP(2,1/('DRAFT 2'!$D:$D=$B164),'DRAFT 2'!$I:$I),"")</f>
        <v>0</v>
      </c>
      <c r="AS164">
        <f>IFERROR(LOOKUP(2,1/('DRAFT 2'!$D:$D=$B164),'DRAFT 2'!$T:$T),"")</f>
        <v>0</v>
      </c>
      <c r="AT164">
        <f>IFERROR(LOOKUP(2,1/('DRAFT 2'!$D:$D=$B164),'DRAFT 2'!$A:$A),"")</f>
        <v>0</v>
      </c>
      <c r="AU164">
        <f>IFERROR(LOOKUP(2,1/('DRAFT 2'!$D:$D=$B164),'DRAFT 2'!$R:$R),"")</f>
        <v>0</v>
      </c>
      <c r="AV164">
        <f>IFERROR(LOOKUP(2,1/('DRAFT 2'!$D:$D=$B164),'DRAFT 2'!$S:$S),"")</f>
        <v>0</v>
      </c>
      <c r="AX164">
        <f>IFERROR(LOOKUP(2,1/('DRAFT 2'!$D:$D=$B164),'DRAFT 2'!$M:$M),"")</f>
        <v>0</v>
      </c>
      <c r="AY164">
        <f>IFERROR(LOOKUP(2,1/('DRAFT 2'!$D:$D=$B164),'DRAFT 2'!$K:$K),"")</f>
        <v>0</v>
      </c>
      <c r="BG164">
        <f>IFERROR(LOOKUP(2,1/('DRAFT 2'!$D:$D=$B164),'DRAFT 2'!$U:$U),"")</f>
        <v>0</v>
      </c>
      <c r="BH164">
        <f>IFERROR(LOOKUP(2,1/('DRAFT 2'!$D:$D=$B164),'DRAFT 2'!$V:$V),"")</f>
        <v>0</v>
      </c>
      <c r="CE164" t="str">
        <f t="shared" ref="CE164:CE200" si="71">IFERROR(AJ164,0)</f>
        <v/>
      </c>
      <c r="CF164">
        <f>IFERROR(LOOKUP(2,1/('DRAFT 2'!$D:$D=$B164)*('DRAFT 2'!$A:$A&gt;=DATE(2026,1,1))*('DRAFT 2'!$A:$A&lt;DATE(2026,IF(1=12,1+1,1+1),1)),'DRAFT 2'!$A:$A),"")</f>
        <v>0</v>
      </c>
      <c r="CG164">
        <f>COUNTIFS('DRAFT 2'!$D:$D,$B164,'DRAFT 2'!$A:$A,"&gt;="&amp;DATE(2026,1,1),'DRAFT 2'!$A:$A,"&lt;="&amp;DATE(2026,1,7))</f>
        <v>0</v>
      </c>
      <c r="CH164">
        <f>COUNTIFS('DRAFT 2'!$D:$D,$B164,'DRAFT 2'!$A:$A,"&gt;="&amp;DATE(2026,1,8),'DRAFT 2'!$A:$A,"&lt;="&amp;DATE(2026,1,14))</f>
        <v>0</v>
      </c>
      <c r="CI164">
        <f>COUNTIFS('DRAFT 2'!$D:$D,$B164,'DRAFT 2'!$A:$A,"&gt;="&amp;DATE(2026,1,15),'DRAFT 2'!$A:$A,"&lt;="&amp;DATE(2026,1,21))</f>
        <v>0</v>
      </c>
      <c r="CJ164">
        <f>COUNTIFS('DRAFT 2'!$D:$D,$B164,'DRAFT 2'!$A:$A,"&gt;="&amp;DATE(2026,1,22),'DRAFT 2'!$A:$A,"&lt;"&amp;DATE(2026,IF(1=12,1+1,1+1),1))</f>
        <v>0</v>
      </c>
      <c r="CK164">
        <f t="shared" ref="CK164:CK195" si="72">SUM(CG164:CJ164)</f>
        <v>0</v>
      </c>
      <c r="CT164">
        <v>0</v>
      </c>
      <c r="CU164">
        <f>IFERROR(LOOKUP(2,1/('DRAFT 2'!$D:$D=$B164)*('DRAFT 2'!$A:$A&gt;=DATE(2026,2,1))*('DRAFT 2'!$A:$A&lt;DATE(2026,IF(2=12,2+1,2+1),1)),'DRAFT 2'!$A:$A),"")</f>
        <v>0</v>
      </c>
      <c r="CV164">
        <f>COUNTIFS('DRAFT 2'!$D:$D,$B164,'DRAFT 2'!$A:$A,"&gt;="&amp;DATE(2026,2,1),'DRAFT 2'!$A:$A,"&lt;="&amp;DATE(2026,2,7))</f>
        <v>0</v>
      </c>
      <c r="CW164">
        <f>COUNTIFS('DRAFT 2'!$D:$D,$B164,'DRAFT 2'!$A:$A,"&gt;="&amp;DATE(2026,2,8),'DRAFT 2'!$A:$A,"&lt;="&amp;DATE(2026,2,14))</f>
        <v>0</v>
      </c>
      <c r="CX164">
        <f>COUNTIFS('DRAFT 2'!$D:$D,$B164,'DRAFT 2'!$A:$A,"&gt;="&amp;DATE(2026,2,15),'DRAFT 2'!$A:$A,"&lt;="&amp;DATE(2026,2,21))</f>
        <v>0</v>
      </c>
      <c r="CY164">
        <f>COUNTIFS('DRAFT 2'!$D:$D,$B164,'DRAFT 2'!$A:$A,"&gt;="&amp;DATE(2026,2,22),'DRAFT 2'!$A:$A,"&lt;"&amp;DATE(2026,IF(2=12,2+1,2+1),1))</f>
        <v>0</v>
      </c>
      <c r="CZ164">
        <f t="shared" ref="CZ164:CZ195" si="73">SUM(CV164:CY164)</f>
        <v>0</v>
      </c>
      <c r="DJ164">
        <f>IFERROR(LOOKUP(2,1/('DRAFT 2'!$D:$D=$B164)*('DRAFT 2'!$A:$A&gt;=DATE(2026,3,1))*('DRAFT 2'!$A:$A&lt;DATE(2026,IF(3=12,3+1,3+1),1)),'DRAFT 2'!$A:$A),"")</f>
        <v>0</v>
      </c>
      <c r="DK164">
        <f>COUNTIFS('DRAFT 2'!$D:$D,$B164,'DRAFT 2'!$A:$A,"&gt;="&amp;DATE(2026,3,1),'DRAFT 2'!$A:$A,"&lt;="&amp;DATE(2026,3,7))</f>
        <v>0</v>
      </c>
      <c r="DL164">
        <f>COUNTIFS('DRAFT 2'!$D:$D,$B164,'DRAFT 2'!$A:$A,"&gt;="&amp;DATE(2026,3,8),'DRAFT 2'!$A:$A,"&lt;="&amp;DATE(2026,3,14))</f>
        <v>0</v>
      </c>
      <c r="DM164">
        <f>COUNTIFS('DRAFT 2'!$D:$D,$B164,'DRAFT 2'!$A:$A,"&gt;="&amp;DATE(2026,3,15),'DRAFT 2'!$A:$A,"&lt;="&amp;DATE(2026,3,21))</f>
        <v>0</v>
      </c>
      <c r="DN164">
        <f>COUNTIFS('DRAFT 2'!$D:$D,$B164,'DRAFT 2'!$A:$A,"&gt;="&amp;DATE(2026,3,22),'DRAFT 2'!$A:$A,"&lt;"&amp;DATE(2026,IF(3=12,3+1,3+1),1))</f>
        <v>0</v>
      </c>
      <c r="DO164">
        <f t="shared" ref="DO164:DO195" si="74">SUM(DK164:DN164)</f>
        <v>0</v>
      </c>
      <c r="DZ164">
        <f>IFERROR(LOOKUP(2,1/('DRAFT 2'!$D:$D=$B164)*('DRAFT 2'!$A:$A&gt;=DATE(2026,4,1))*('DRAFT 2'!$A:$A&lt;DATE(2026,IF(4=12,4+1,4+1),1)),'DRAFT 2'!$A:$A),"")</f>
        <v>0</v>
      </c>
      <c r="EA164">
        <f>COUNTIFS('DRAFT 2'!$D:$D,$B164,'DRAFT 2'!$A:$A,"&gt;="&amp;DATE(2026,4,1),'DRAFT 2'!$A:$A,"&lt;="&amp;DATE(2026,4,7))</f>
        <v>0</v>
      </c>
      <c r="EB164">
        <f>COUNTIFS('DRAFT 2'!$D:$D,$B164,'DRAFT 2'!$A:$A,"&gt;="&amp;DATE(2026,4,8),'DRAFT 2'!$A:$A,"&lt;="&amp;DATE(2026,4,14))</f>
        <v>0</v>
      </c>
      <c r="EC164">
        <f>COUNTIFS('DRAFT 2'!$D:$D,$B164,'DRAFT 2'!$A:$A,"&gt;="&amp;DATE(2026,4,15),'DRAFT 2'!$A:$A,"&lt;="&amp;DATE(2026,4,21))</f>
        <v>0</v>
      </c>
      <c r="ED164">
        <f>COUNTIFS('DRAFT 2'!$D:$D,$B164,'DRAFT 2'!$A:$A,"&gt;="&amp;DATE(2026,4,22),'DRAFT 2'!$A:$A,"&lt;"&amp;DATE(2026,IF(4=12,4+1,4+1),1))</f>
        <v>0</v>
      </c>
      <c r="EE164">
        <f t="shared" ref="EE164:EE195" si="75">SUM(EA164:ED164)</f>
        <v>0</v>
      </c>
      <c r="EO164">
        <f>IFERROR(LOOKUP(2,1/('DRAFT 2'!$D:$D=$B164)*('DRAFT 2'!$A:$A&gt;=DATE(2026,5,1))*('DRAFT 2'!$A:$A&lt;DATE(2026,IF(5=12,5+1,5+1),1)),'DRAFT 2'!$A:$A),"")</f>
        <v>0</v>
      </c>
      <c r="EP164">
        <f>COUNTIFS('DRAFT 2'!$D:$D,$B164,'DRAFT 2'!$A:$A,"&gt;="&amp;DATE(2026,5,1),'DRAFT 2'!$A:$A,"&lt;="&amp;DATE(2026,5,7))</f>
        <v>0</v>
      </c>
      <c r="EQ164">
        <f>COUNTIFS('DRAFT 2'!$D:$D,$B164,'DRAFT 2'!$A:$A,"&gt;="&amp;DATE(2026,5,8),'DRAFT 2'!$A:$A,"&lt;="&amp;DATE(2026,5,14))</f>
        <v>0</v>
      </c>
      <c r="ER164">
        <f>COUNTIFS('DRAFT 2'!$D:$D,$B164,'DRAFT 2'!$A:$A,"&gt;="&amp;DATE(2026,5,15),'DRAFT 2'!$A:$A,"&lt;="&amp;DATE(2026,5,21))</f>
        <v>0</v>
      </c>
      <c r="ES164">
        <f>COUNTIFS('DRAFT 2'!$D:$D,$B164,'DRAFT 2'!$A:$A,"&gt;="&amp;DATE(2026,5,22),'DRAFT 2'!$A:$A,"&lt;"&amp;DATE(2026,IF(5=12,5+1,5+1),1))</f>
        <v>0</v>
      </c>
      <c r="ET164">
        <f t="shared" ref="ET164:ET195" si="76">SUM(EP164:ES164)</f>
        <v>0</v>
      </c>
      <c r="FD164">
        <f>IFERROR(LOOKUP(2,1/('DRAFT 2'!$D:$D=$B164)*('DRAFT 2'!$A:$A&gt;=DATE(2026,6,1))*('DRAFT 2'!$A:$A&lt;DATE(2026,IF(6=12,6+1,6+1),1)),'DRAFT 2'!$A:$A),"")</f>
        <v>0</v>
      </c>
      <c r="FE164">
        <f>COUNTIFS('DRAFT 2'!$D:$D,$B164,'DRAFT 2'!$A:$A,"&gt;="&amp;DATE(2026,6,1),'DRAFT 2'!$A:$A,"&lt;="&amp;DATE(2026,6,7))</f>
        <v>0</v>
      </c>
      <c r="FF164">
        <f>COUNTIFS('DRAFT 2'!$D:$D,$B164,'DRAFT 2'!$A:$A,"&gt;="&amp;DATE(2026,6,8),'DRAFT 2'!$A:$A,"&lt;="&amp;DATE(2026,6,14))</f>
        <v>0</v>
      </c>
      <c r="FG164">
        <f>COUNTIFS('DRAFT 2'!$D:$D,$B164,'DRAFT 2'!$A:$A,"&gt;="&amp;DATE(2026,6,15),'DRAFT 2'!$A:$A,"&lt;="&amp;DATE(2026,6,21))</f>
        <v>0</v>
      </c>
      <c r="FH164">
        <f>COUNTIFS('DRAFT 2'!$D:$D,$B164,'DRAFT 2'!$A:$A,"&gt;="&amp;DATE(2026,6,22),'DRAFT 2'!$A:$A,"&lt;"&amp;DATE(2026,IF(6=12,6+1,6+1),1))</f>
        <v>0</v>
      </c>
      <c r="FI164">
        <f t="shared" ref="FI164:FI195" si="77">SUM(FE164:FH164)</f>
        <v>0</v>
      </c>
      <c r="FT164">
        <f>IFERROR(LOOKUP(2,1/('DRAFT 2'!$D:$D=$B164)*('DRAFT 2'!$A:$A&gt;=DATE(2026,7,1))*('DRAFT 2'!$A:$A&lt;DATE(2026,IF(7=12,7+1,7+1),1)),'DRAFT 2'!$A:$A),"")</f>
        <v>0</v>
      </c>
      <c r="FU164">
        <f>COUNTIFS('DRAFT 2'!$D:$D,$B164,'DRAFT 2'!$A:$A,"&gt;="&amp;DATE(2026,7,1),'DRAFT 2'!$A:$A,"&lt;="&amp;DATE(2026,7,7))</f>
        <v>0</v>
      </c>
      <c r="FV164">
        <f>COUNTIFS('DRAFT 2'!$D:$D,$B164,'DRAFT 2'!$A:$A,"&gt;="&amp;DATE(2026,7,8),'DRAFT 2'!$A:$A,"&lt;="&amp;DATE(2026,7,14))</f>
        <v>0</v>
      </c>
      <c r="FW164">
        <f>COUNTIFS('DRAFT 2'!$D:$D,$B164,'DRAFT 2'!$A:$A,"&gt;="&amp;DATE(2026,7,15),'DRAFT 2'!$A:$A,"&lt;="&amp;DATE(2026,7,21))</f>
        <v>0</v>
      </c>
      <c r="FX164">
        <f>COUNTIFS('DRAFT 2'!$D:$D,$B164,'DRAFT 2'!$A:$A,"&gt;="&amp;DATE(2026,7,22),'DRAFT 2'!$A:$A,"&lt;"&amp;DATE(2026,IF(7=12,7+1,7+1),1))</f>
        <v>0</v>
      </c>
      <c r="FY164">
        <f t="shared" ref="FY164:FY195" si="78">SUM(FU164:FX164)</f>
        <v>0</v>
      </c>
      <c r="GI164">
        <f>IFERROR(LOOKUP(2,1/('DRAFT 2'!$D:$D=$B164)*('DRAFT 2'!$A:$A&gt;=DATE(2026,8,1))*('DRAFT 2'!$A:$A&lt;DATE(2026,IF(8=12,8+1,8+1),1)),'DRAFT 2'!$A:$A),"")</f>
        <v>0</v>
      </c>
      <c r="GJ164">
        <f>COUNTIFS('DRAFT 2'!$D:$D,$B164,'DRAFT 2'!$A:$A,"&gt;="&amp;DATE(2026,8,1),'DRAFT 2'!$A:$A,"&lt;="&amp;DATE(2026,8,7))</f>
        <v>0</v>
      </c>
      <c r="GK164">
        <f>COUNTIFS('DRAFT 2'!$D:$D,$B164,'DRAFT 2'!$A:$A,"&gt;="&amp;DATE(2026,8,8),'DRAFT 2'!$A:$A,"&lt;="&amp;DATE(2026,8,14))</f>
        <v>0</v>
      </c>
      <c r="GL164">
        <f>COUNTIFS('DRAFT 2'!$D:$D,$B164,'DRAFT 2'!$A:$A,"&gt;="&amp;DATE(2026,8,15),'DRAFT 2'!$A:$A,"&lt;="&amp;DATE(2026,8,21))</f>
        <v>0</v>
      </c>
      <c r="GM164">
        <f>COUNTIFS('DRAFT 2'!$D:$D,$B164,'DRAFT 2'!$A:$A,"&gt;="&amp;DATE(2026,8,22),'DRAFT 2'!$A:$A,"&lt;"&amp;DATE(2026,IF(8=12,8+1,8+1),1))</f>
        <v>0</v>
      </c>
      <c r="GN164">
        <f t="shared" ref="GN164:GN195" si="79">SUM(GJ164:GM164)</f>
        <v>0</v>
      </c>
      <c r="GX164">
        <f>IFERROR(LOOKUP(2,1/('DRAFT 2'!$D:$D=$B164)*('DRAFT 2'!$A:$A&gt;=DATE(2026,9,1))*('DRAFT 2'!$A:$A&lt;DATE(2026,IF(9=12,9+1,9+1),1)),'DRAFT 2'!$A:$A),"")</f>
        <v>0</v>
      </c>
      <c r="GY164">
        <f>COUNTIFS('DRAFT 2'!$D:$D,$B164,'DRAFT 2'!$A:$A,"&gt;="&amp;DATE(2026,9,1),'DRAFT 2'!$A:$A,"&lt;="&amp;DATE(2026,9,7))</f>
        <v>0</v>
      </c>
      <c r="GZ164">
        <f>COUNTIFS('DRAFT 2'!$D:$D,$B164,'DRAFT 2'!$A:$A,"&gt;="&amp;DATE(2026,9,8),'DRAFT 2'!$A:$A,"&lt;="&amp;DATE(2026,9,14))</f>
        <v>0</v>
      </c>
      <c r="HA164">
        <f>COUNTIFS('DRAFT 2'!$D:$D,$B164,'DRAFT 2'!$A:$A,"&gt;="&amp;DATE(2026,9,15),'DRAFT 2'!$A:$A,"&lt;="&amp;DATE(2026,9,21))</f>
        <v>0</v>
      </c>
      <c r="HB164">
        <f>COUNTIFS('DRAFT 2'!$D:$D,$B164,'DRAFT 2'!$A:$A,"&gt;="&amp;DATE(2026,9,22),'DRAFT 2'!$A:$A,"&lt;"&amp;DATE(2026,IF(9=12,9+1,9+1),1))</f>
        <v>0</v>
      </c>
      <c r="HC164">
        <f t="shared" ref="HC164:HC195" si="80">SUM(GY164:HB164)</f>
        <v>0</v>
      </c>
      <c r="HN164">
        <f>IFERROR(LOOKUP(2,1/('DRAFT 2'!$D:$D=$B164)*('DRAFT 2'!$A:$A&gt;=DATE(2026,10,1))*('DRAFT 2'!$A:$A&lt;DATE(2026,IF(10=12,10+1,10+1),1)),'DRAFT 2'!$A:$A),"")</f>
        <v>0</v>
      </c>
      <c r="HO164">
        <f>COUNTIFS('DRAFT 2'!$D:$D,$B164,'DRAFT 2'!$A:$A,"&gt;="&amp;DATE(2026,10,1),'DRAFT 2'!$A:$A,"&lt;="&amp;DATE(2026,10,7))</f>
        <v>0</v>
      </c>
      <c r="HP164">
        <f>COUNTIFS('DRAFT 2'!$D:$D,$B164,'DRAFT 2'!$A:$A,"&gt;="&amp;DATE(2026,10,8),'DRAFT 2'!$A:$A,"&lt;="&amp;DATE(2026,10,14))</f>
        <v>0</v>
      </c>
      <c r="HQ164">
        <f>COUNTIFS('DRAFT 2'!$D:$D,$B164,'DRAFT 2'!$A:$A,"&gt;="&amp;DATE(2026,10,15),'DRAFT 2'!$A:$A,"&lt;="&amp;DATE(2026,10,21))</f>
        <v>0</v>
      </c>
      <c r="HR164">
        <f>COUNTIFS('DRAFT 2'!$D:$D,$B164,'DRAFT 2'!$A:$A,"&gt;="&amp;DATE(2026,10,22),'DRAFT 2'!$A:$A,"&lt;"&amp;DATE(2026,IF(10=12,10+1,10+1),1))</f>
        <v>0</v>
      </c>
      <c r="HS164">
        <f t="shared" ref="HS164:HS195" si="81">SUM(HO164:HR164)</f>
        <v>0</v>
      </c>
      <c r="IC164">
        <f>IFERROR(LOOKUP(2,1/('DRAFT 2'!$D:$D=$B164)*('DRAFT 2'!$A:$A&gt;=DATE(2026,11,1))*('DRAFT 2'!$A:$A&lt;DATE(2026,IF(11=12,11+1,11+1),1)),'DRAFT 2'!$A:$A),"")</f>
        <v>0</v>
      </c>
      <c r="ID164">
        <f>COUNTIFS('DRAFT 2'!$D:$D,$B164,'DRAFT 2'!$A:$A,"&gt;="&amp;DATE(2026,11,1),'DRAFT 2'!$A:$A,"&lt;="&amp;DATE(2026,11,7))</f>
        <v>0</v>
      </c>
      <c r="IE164">
        <f>COUNTIFS('DRAFT 2'!$D:$D,$B164,'DRAFT 2'!$A:$A,"&gt;="&amp;DATE(2026,11,8),'DRAFT 2'!$A:$A,"&lt;="&amp;DATE(2026,11,14))</f>
        <v>0</v>
      </c>
      <c r="IF164">
        <f>COUNTIFS('DRAFT 2'!$D:$D,$B164,'DRAFT 2'!$A:$A,"&gt;="&amp;DATE(2026,11,15),'DRAFT 2'!$A:$A,"&lt;="&amp;DATE(2026,11,21))</f>
        <v>0</v>
      </c>
      <c r="IG164">
        <f>COUNTIFS('DRAFT 2'!$D:$D,$B164,'DRAFT 2'!$A:$A,"&gt;="&amp;DATE(2026,11,22),'DRAFT 2'!$A:$A,"&lt;"&amp;DATE(2026,IF(11=12,11+1,11+1),1))</f>
        <v>0</v>
      </c>
      <c r="IH164">
        <f t="shared" ref="IH164:IH195" si="82">SUM(ID164:IG164)</f>
        <v>0</v>
      </c>
      <c r="IR164">
        <f>IFERROR(LOOKUP(2,1/('DRAFT 2'!$D:$D=$B164)*('DRAFT 2'!$A:$A&gt;=DATE(2026,12,1))*('DRAFT 2'!$A:$A&lt;DATE(2026,IF(12=12,12+1,12+1),1)),'DRAFT 2'!$A:$A),"")</f>
        <v>0</v>
      </c>
      <c r="IS164">
        <f>COUNTIFS('DRAFT 2'!$D:$D,$B164,'DRAFT 2'!$A:$A,"&gt;="&amp;DATE(2026,12,1),'DRAFT 2'!$A:$A,"&lt;="&amp;DATE(2026,12,7))</f>
        <v>0</v>
      </c>
      <c r="IT164">
        <f>COUNTIFS('DRAFT 2'!$D:$D,$B164,'DRAFT 2'!$A:$A,"&gt;="&amp;DATE(2026,12,8),'DRAFT 2'!$A:$A,"&lt;="&amp;DATE(2026,12,14))</f>
        <v>0</v>
      </c>
      <c r="IU164">
        <f>COUNTIFS('DRAFT 2'!$D:$D,$B164,'DRAFT 2'!$A:$A,"&gt;="&amp;DATE(2026,12,15),'DRAFT 2'!$A:$A,"&lt;="&amp;DATE(2026,12,21))</f>
        <v>0</v>
      </c>
      <c r="IV164">
        <f>COUNTIFS('DRAFT 2'!$D:$D,$B164,'DRAFT 2'!$A:$A,"&gt;="&amp;DATE(2026,12,22),'DRAFT 2'!$A:$A,"&lt;"&amp;DATE(2026,IF(12=12,12+1,12+1),1))</f>
        <v>0</v>
      </c>
      <c r="IW164">
        <f t="shared" ref="IW164:IW195" si="83">SUM(IS164:IV164)</f>
        <v>0</v>
      </c>
    </row>
    <row r="165" spans="1:257" x14ac:dyDescent="0.3">
      <c r="A165" t="str">
        <f>IFERROR(INDEX('DRAFT 1'!$A:$A,MATCH($B165,'DRAFT 1'!$B:$B,0)),"")</f>
        <v/>
      </c>
      <c r="C165" t="str">
        <f>IFERROR(INDEX('DRAFT 1'!$C:$C,MATCH($B165,'DRAFT 1'!$B:$B,0)),"")</f>
        <v/>
      </c>
      <c r="D165" t="str">
        <f>IFERROR(INDEX('DRAFT 1'!$D:$D,MATCH($B165,'DRAFT 1'!$B:$B,0)),"")</f>
        <v/>
      </c>
      <c r="E165" t="str">
        <f>IFERROR(INDEX('DRAFT 1'!$E:$E,MATCH($B165,'DRAFT 1'!$B:$B,0)),"")</f>
        <v/>
      </c>
      <c r="F165" t="str">
        <f>IFERROR(INDEX('DRAFT 1'!$F:$F,MATCH($B165,'DRAFT 1'!$B:$B,0)),"")</f>
        <v/>
      </c>
      <c r="G165" t="str">
        <f>IFERROR(INDEX('DRAFT 1'!$G:$G,MATCH($B165,'DRAFT 1'!$B:$B,0)),"")</f>
        <v/>
      </c>
      <c r="H165" t="str">
        <f>IFERROR(INDEX('DRAFT 1'!$H:$H,MATCH($B165,'DRAFT 1'!$B:$B,0)),"")</f>
        <v/>
      </c>
      <c r="I165" t="str">
        <f>IFERROR(INDEX('DRAFT 1'!$I:$I,MATCH($B165,'DRAFT 1'!$B:$B,0)),"")</f>
        <v/>
      </c>
      <c r="K165" t="str">
        <f>IFERROR(INDEX('DRAFT 1'!$AL:$AL,MATCH($B165,'DRAFT 1'!$B:$B,0)),"")</f>
        <v/>
      </c>
      <c r="L165" t="str">
        <f>IFERROR(INDEX('DRAFT 1'!$J:$J,MATCH($B165,'DRAFT 1'!$B:$B,0)),"")</f>
        <v/>
      </c>
      <c r="M165" t="str">
        <f>IFERROR(INDEX('DRAFT 1'!$K:$K,MATCH($B165,'DRAFT 1'!$B:$B,0)),"")</f>
        <v/>
      </c>
      <c r="P165" t="str">
        <f>IFERROR(INDEX('DRAFT 1'!$L:$L,MATCH($B165,'DRAFT 1'!$B:$B,0)),"")</f>
        <v/>
      </c>
      <c r="Q165" t="str">
        <f>IFERROR(INDEX('DRAFT 1'!$M:$M,MATCH($B165,'DRAFT 1'!$B:$B,0)),"")</f>
        <v/>
      </c>
      <c r="R165" t="str">
        <f>IFERROR(INDEX('DRAFT 1'!$N:$N,MATCH($B165,'DRAFT 1'!$B:$B,0)),"")</f>
        <v/>
      </c>
      <c r="S165" t="str">
        <f>IFERROR(INDEX('DRAFT 1'!$O:$O,MATCH($B165,'DRAFT 1'!$B:$B,0)),"")</f>
        <v/>
      </c>
      <c r="T165" t="str">
        <f>IFERROR(INDEX('DRAFT 1'!$P:$P,MATCH($B165,'DRAFT 1'!$B:$B,0)),"")</f>
        <v/>
      </c>
      <c r="U165" t="str">
        <f>IFERROR(INDEX('DRAFT 1'!$Q:$Q,MATCH($B165,'DRAFT 1'!$B:$B,0)),"")</f>
        <v/>
      </c>
      <c r="V165" t="str">
        <f>IFERROR(INDEX('DRAFT 1'!$R:$R,MATCH($B165,'DRAFT 1'!$B:$B,0)),"")</f>
        <v/>
      </c>
      <c r="W165" t="str">
        <f>IFERROR(INDEX('DRAFT 1'!$S:$S,MATCH($B165,'DRAFT 1'!$B:$B,0)),"")</f>
        <v/>
      </c>
      <c r="X165" t="str">
        <f>IFERROR(INDEX('DRAFT 1'!$T:$T,MATCH($B165,'DRAFT 1'!$B:$B,0)),"")</f>
        <v/>
      </c>
      <c r="Z165" t="str">
        <f>IFERROR(INDEX('DRAFT 1'!$U:$U,MATCH($B165,'DRAFT 1'!$B:$B,0)),"")</f>
        <v/>
      </c>
      <c r="AA165" t="str">
        <f>IFERROR(INDEX('DRAFT 1'!$V:$V,MATCH($B165,'DRAFT 1'!$B:$B,0)),"")</f>
        <v/>
      </c>
      <c r="AB165" t="str">
        <f>IFERROR(INDEX('DRAFT 1'!$W:$W,MATCH($B165,'DRAFT 1'!$B:$B,0)),"")</f>
        <v/>
      </c>
      <c r="AC165" t="str">
        <f>IFERROR(INDEX('DRAFT 1'!$X:$X,MATCH($B165,'DRAFT 1'!$B:$B,0)),"")</f>
        <v/>
      </c>
      <c r="AD165" t="str">
        <f>IFERROR(INDEX('DRAFT 1'!$Y:$Y,MATCH($B165,'DRAFT 1'!$B:$B,0)),"")</f>
        <v/>
      </c>
      <c r="AE165" t="str">
        <f>IFERROR(INDEX('DRAFT 1'!$Z:$Z,MATCH($B165,'DRAFT 1'!$B:$B,0)),"")</f>
        <v/>
      </c>
      <c r="AF165" t="str">
        <f>IFERROR(INDEX('DRAFT 1'!$AA:$AA,MATCH($B165,'DRAFT 1'!$B:$B,0)),"")</f>
        <v/>
      </c>
      <c r="AG165" t="str">
        <f>IFERROR(INDEX('DRAFT 1'!$AB:$AB,MATCH($B165,'DRAFT 1'!$B:$B,0)),"")</f>
        <v/>
      </c>
      <c r="AH165" t="str">
        <f>IFERROR(INDEX('DRAFT 1'!$AC:$AC,MATCH($B165,'DRAFT 1'!$B:$B,0)),"")</f>
        <v/>
      </c>
      <c r="AI165" t="str">
        <f>IFERROR(INDEX('DRAFT 1'!$AD:$AD,MATCH($B165,'DRAFT 1'!$B:$B,0)),"")</f>
        <v/>
      </c>
      <c r="AJ165" t="str">
        <f>IFERROR(INDEX('DRAFT 1'!$AE:$AE,MATCH($B165,'DRAFT 1'!$B:$B,0)),"")</f>
        <v/>
      </c>
      <c r="AK165" t="str">
        <f>IFERROR(INDEX('DRAFT 1'!$AG:$AG,MATCH($B165,'DRAFT 1'!$B:$B,0)),"")</f>
        <v/>
      </c>
      <c r="AL165" t="str">
        <f>IFERROR(INDEX('DRAFT 1'!$AH:$AH,MATCH($B165,'DRAFT 1'!$B:$B,0)),"")</f>
        <v/>
      </c>
      <c r="AM165" t="str">
        <f>IFERROR(INDEX('DRAFT 1'!$AI:$AI,MATCH($B165,'DRAFT 1'!$B:$B,0)),"")</f>
        <v/>
      </c>
      <c r="AN165" t="str">
        <f>IFERROR(INDEX('DRAFT 1'!$AJ:$AJ,MATCH($B165,'DRAFT 1'!$B:$B,0)),"")</f>
        <v/>
      </c>
      <c r="AO165">
        <f t="shared" si="70"/>
        <v>0</v>
      </c>
      <c r="AP165" t="str">
        <f>IFERROR(INDEX('DRAFT 1'!$AK:$AK,MATCH($B165,'DRAFT 1'!$B:$B,0)),"")</f>
        <v/>
      </c>
      <c r="AR165">
        <f>IFERROR(LOOKUP(2,1/('DRAFT 2'!$D:$D=$B165),'DRAFT 2'!$I:$I),"")</f>
        <v>0</v>
      </c>
      <c r="AS165">
        <f>IFERROR(LOOKUP(2,1/('DRAFT 2'!$D:$D=$B165),'DRAFT 2'!$T:$T),"")</f>
        <v>0</v>
      </c>
      <c r="AT165">
        <f>IFERROR(LOOKUP(2,1/('DRAFT 2'!$D:$D=$B165),'DRAFT 2'!$A:$A),"")</f>
        <v>0</v>
      </c>
      <c r="AU165">
        <f>IFERROR(LOOKUP(2,1/('DRAFT 2'!$D:$D=$B165),'DRAFT 2'!$R:$R),"")</f>
        <v>0</v>
      </c>
      <c r="AV165">
        <f>IFERROR(LOOKUP(2,1/('DRAFT 2'!$D:$D=$B165),'DRAFT 2'!$S:$S),"")</f>
        <v>0</v>
      </c>
      <c r="AX165">
        <f>IFERROR(LOOKUP(2,1/('DRAFT 2'!$D:$D=$B165),'DRAFT 2'!$M:$M),"")</f>
        <v>0</v>
      </c>
      <c r="AY165">
        <f>IFERROR(LOOKUP(2,1/('DRAFT 2'!$D:$D=$B165),'DRAFT 2'!$K:$K),"")</f>
        <v>0</v>
      </c>
      <c r="BG165">
        <f>IFERROR(LOOKUP(2,1/('DRAFT 2'!$D:$D=$B165),'DRAFT 2'!$U:$U),"")</f>
        <v>0</v>
      </c>
      <c r="BH165">
        <f>IFERROR(LOOKUP(2,1/('DRAFT 2'!$D:$D=$B165),'DRAFT 2'!$V:$V),"")</f>
        <v>0</v>
      </c>
      <c r="CE165" t="str">
        <f t="shared" si="71"/>
        <v/>
      </c>
      <c r="CF165">
        <f>IFERROR(LOOKUP(2,1/('DRAFT 2'!$D:$D=$B165)*('DRAFT 2'!$A:$A&gt;=DATE(2026,1,1))*('DRAFT 2'!$A:$A&lt;DATE(2026,IF(1=12,1+1,1+1),1)),'DRAFT 2'!$A:$A),"")</f>
        <v>0</v>
      </c>
      <c r="CG165">
        <f>COUNTIFS('DRAFT 2'!$D:$D,$B165,'DRAFT 2'!$A:$A,"&gt;="&amp;DATE(2026,1,1),'DRAFT 2'!$A:$A,"&lt;="&amp;DATE(2026,1,7))</f>
        <v>0</v>
      </c>
      <c r="CH165">
        <f>COUNTIFS('DRAFT 2'!$D:$D,$B165,'DRAFT 2'!$A:$A,"&gt;="&amp;DATE(2026,1,8),'DRAFT 2'!$A:$A,"&lt;="&amp;DATE(2026,1,14))</f>
        <v>0</v>
      </c>
      <c r="CI165">
        <f>COUNTIFS('DRAFT 2'!$D:$D,$B165,'DRAFT 2'!$A:$A,"&gt;="&amp;DATE(2026,1,15),'DRAFT 2'!$A:$A,"&lt;="&amp;DATE(2026,1,21))</f>
        <v>0</v>
      </c>
      <c r="CJ165">
        <f>COUNTIFS('DRAFT 2'!$D:$D,$B165,'DRAFT 2'!$A:$A,"&gt;="&amp;DATE(2026,1,22),'DRAFT 2'!$A:$A,"&lt;"&amp;DATE(2026,IF(1=12,1+1,1+1),1))</f>
        <v>0</v>
      </c>
      <c r="CK165">
        <f t="shared" si="72"/>
        <v>0</v>
      </c>
      <c r="CT165">
        <v>0</v>
      </c>
      <c r="CU165">
        <f>IFERROR(LOOKUP(2,1/('DRAFT 2'!$D:$D=$B165)*('DRAFT 2'!$A:$A&gt;=DATE(2026,2,1))*('DRAFT 2'!$A:$A&lt;DATE(2026,IF(2=12,2+1,2+1),1)),'DRAFT 2'!$A:$A),"")</f>
        <v>0</v>
      </c>
      <c r="CV165">
        <f>COUNTIFS('DRAFT 2'!$D:$D,$B165,'DRAFT 2'!$A:$A,"&gt;="&amp;DATE(2026,2,1),'DRAFT 2'!$A:$A,"&lt;="&amp;DATE(2026,2,7))</f>
        <v>0</v>
      </c>
      <c r="CW165">
        <f>COUNTIFS('DRAFT 2'!$D:$D,$B165,'DRAFT 2'!$A:$A,"&gt;="&amp;DATE(2026,2,8),'DRAFT 2'!$A:$A,"&lt;="&amp;DATE(2026,2,14))</f>
        <v>0</v>
      </c>
      <c r="CX165">
        <f>COUNTIFS('DRAFT 2'!$D:$D,$B165,'DRAFT 2'!$A:$A,"&gt;="&amp;DATE(2026,2,15),'DRAFT 2'!$A:$A,"&lt;="&amp;DATE(2026,2,21))</f>
        <v>0</v>
      </c>
      <c r="CY165">
        <f>COUNTIFS('DRAFT 2'!$D:$D,$B165,'DRAFT 2'!$A:$A,"&gt;="&amp;DATE(2026,2,22),'DRAFT 2'!$A:$A,"&lt;"&amp;DATE(2026,IF(2=12,2+1,2+1),1))</f>
        <v>0</v>
      </c>
      <c r="CZ165">
        <f t="shared" si="73"/>
        <v>0</v>
      </c>
      <c r="DJ165">
        <f>IFERROR(LOOKUP(2,1/('DRAFT 2'!$D:$D=$B165)*('DRAFT 2'!$A:$A&gt;=DATE(2026,3,1))*('DRAFT 2'!$A:$A&lt;DATE(2026,IF(3=12,3+1,3+1),1)),'DRAFT 2'!$A:$A),"")</f>
        <v>0</v>
      </c>
      <c r="DK165">
        <f>COUNTIFS('DRAFT 2'!$D:$D,$B165,'DRAFT 2'!$A:$A,"&gt;="&amp;DATE(2026,3,1),'DRAFT 2'!$A:$A,"&lt;="&amp;DATE(2026,3,7))</f>
        <v>0</v>
      </c>
      <c r="DL165">
        <f>COUNTIFS('DRAFT 2'!$D:$D,$B165,'DRAFT 2'!$A:$A,"&gt;="&amp;DATE(2026,3,8),'DRAFT 2'!$A:$A,"&lt;="&amp;DATE(2026,3,14))</f>
        <v>0</v>
      </c>
      <c r="DM165">
        <f>COUNTIFS('DRAFT 2'!$D:$D,$B165,'DRAFT 2'!$A:$A,"&gt;="&amp;DATE(2026,3,15),'DRAFT 2'!$A:$A,"&lt;="&amp;DATE(2026,3,21))</f>
        <v>0</v>
      </c>
      <c r="DN165">
        <f>COUNTIFS('DRAFT 2'!$D:$D,$B165,'DRAFT 2'!$A:$A,"&gt;="&amp;DATE(2026,3,22),'DRAFT 2'!$A:$A,"&lt;"&amp;DATE(2026,IF(3=12,3+1,3+1),1))</f>
        <v>0</v>
      </c>
      <c r="DO165">
        <f t="shared" si="74"/>
        <v>0</v>
      </c>
      <c r="DZ165">
        <f>IFERROR(LOOKUP(2,1/('DRAFT 2'!$D:$D=$B165)*('DRAFT 2'!$A:$A&gt;=DATE(2026,4,1))*('DRAFT 2'!$A:$A&lt;DATE(2026,IF(4=12,4+1,4+1),1)),'DRAFT 2'!$A:$A),"")</f>
        <v>0</v>
      </c>
      <c r="EA165">
        <f>COUNTIFS('DRAFT 2'!$D:$D,$B165,'DRAFT 2'!$A:$A,"&gt;="&amp;DATE(2026,4,1),'DRAFT 2'!$A:$A,"&lt;="&amp;DATE(2026,4,7))</f>
        <v>0</v>
      </c>
      <c r="EB165">
        <f>COUNTIFS('DRAFT 2'!$D:$D,$B165,'DRAFT 2'!$A:$A,"&gt;="&amp;DATE(2026,4,8),'DRAFT 2'!$A:$A,"&lt;="&amp;DATE(2026,4,14))</f>
        <v>0</v>
      </c>
      <c r="EC165">
        <f>COUNTIFS('DRAFT 2'!$D:$D,$B165,'DRAFT 2'!$A:$A,"&gt;="&amp;DATE(2026,4,15),'DRAFT 2'!$A:$A,"&lt;="&amp;DATE(2026,4,21))</f>
        <v>0</v>
      </c>
      <c r="ED165">
        <f>COUNTIFS('DRAFT 2'!$D:$D,$B165,'DRAFT 2'!$A:$A,"&gt;="&amp;DATE(2026,4,22),'DRAFT 2'!$A:$A,"&lt;"&amp;DATE(2026,IF(4=12,4+1,4+1),1))</f>
        <v>0</v>
      </c>
      <c r="EE165">
        <f t="shared" si="75"/>
        <v>0</v>
      </c>
      <c r="EO165">
        <f>IFERROR(LOOKUP(2,1/('DRAFT 2'!$D:$D=$B165)*('DRAFT 2'!$A:$A&gt;=DATE(2026,5,1))*('DRAFT 2'!$A:$A&lt;DATE(2026,IF(5=12,5+1,5+1),1)),'DRAFT 2'!$A:$A),"")</f>
        <v>0</v>
      </c>
      <c r="EP165">
        <f>COUNTIFS('DRAFT 2'!$D:$D,$B165,'DRAFT 2'!$A:$A,"&gt;="&amp;DATE(2026,5,1),'DRAFT 2'!$A:$A,"&lt;="&amp;DATE(2026,5,7))</f>
        <v>0</v>
      </c>
      <c r="EQ165">
        <f>COUNTIFS('DRAFT 2'!$D:$D,$B165,'DRAFT 2'!$A:$A,"&gt;="&amp;DATE(2026,5,8),'DRAFT 2'!$A:$A,"&lt;="&amp;DATE(2026,5,14))</f>
        <v>0</v>
      </c>
      <c r="ER165">
        <f>COUNTIFS('DRAFT 2'!$D:$D,$B165,'DRAFT 2'!$A:$A,"&gt;="&amp;DATE(2026,5,15),'DRAFT 2'!$A:$A,"&lt;="&amp;DATE(2026,5,21))</f>
        <v>0</v>
      </c>
      <c r="ES165">
        <f>COUNTIFS('DRAFT 2'!$D:$D,$B165,'DRAFT 2'!$A:$A,"&gt;="&amp;DATE(2026,5,22),'DRAFT 2'!$A:$A,"&lt;"&amp;DATE(2026,IF(5=12,5+1,5+1),1))</f>
        <v>0</v>
      </c>
      <c r="ET165">
        <f t="shared" si="76"/>
        <v>0</v>
      </c>
      <c r="FD165">
        <f>IFERROR(LOOKUP(2,1/('DRAFT 2'!$D:$D=$B165)*('DRAFT 2'!$A:$A&gt;=DATE(2026,6,1))*('DRAFT 2'!$A:$A&lt;DATE(2026,IF(6=12,6+1,6+1),1)),'DRAFT 2'!$A:$A),"")</f>
        <v>0</v>
      </c>
      <c r="FE165">
        <f>COUNTIFS('DRAFT 2'!$D:$D,$B165,'DRAFT 2'!$A:$A,"&gt;="&amp;DATE(2026,6,1),'DRAFT 2'!$A:$A,"&lt;="&amp;DATE(2026,6,7))</f>
        <v>0</v>
      </c>
      <c r="FF165">
        <f>COUNTIFS('DRAFT 2'!$D:$D,$B165,'DRAFT 2'!$A:$A,"&gt;="&amp;DATE(2026,6,8),'DRAFT 2'!$A:$A,"&lt;="&amp;DATE(2026,6,14))</f>
        <v>0</v>
      </c>
      <c r="FG165">
        <f>COUNTIFS('DRAFT 2'!$D:$D,$B165,'DRAFT 2'!$A:$A,"&gt;="&amp;DATE(2026,6,15),'DRAFT 2'!$A:$A,"&lt;="&amp;DATE(2026,6,21))</f>
        <v>0</v>
      </c>
      <c r="FH165">
        <f>COUNTIFS('DRAFT 2'!$D:$D,$B165,'DRAFT 2'!$A:$A,"&gt;="&amp;DATE(2026,6,22),'DRAFT 2'!$A:$A,"&lt;"&amp;DATE(2026,IF(6=12,6+1,6+1),1))</f>
        <v>0</v>
      </c>
      <c r="FI165">
        <f t="shared" si="77"/>
        <v>0</v>
      </c>
      <c r="FT165">
        <f>IFERROR(LOOKUP(2,1/('DRAFT 2'!$D:$D=$B165)*('DRAFT 2'!$A:$A&gt;=DATE(2026,7,1))*('DRAFT 2'!$A:$A&lt;DATE(2026,IF(7=12,7+1,7+1),1)),'DRAFT 2'!$A:$A),"")</f>
        <v>0</v>
      </c>
      <c r="FU165">
        <f>COUNTIFS('DRAFT 2'!$D:$D,$B165,'DRAFT 2'!$A:$A,"&gt;="&amp;DATE(2026,7,1),'DRAFT 2'!$A:$A,"&lt;="&amp;DATE(2026,7,7))</f>
        <v>0</v>
      </c>
      <c r="FV165">
        <f>COUNTIFS('DRAFT 2'!$D:$D,$B165,'DRAFT 2'!$A:$A,"&gt;="&amp;DATE(2026,7,8),'DRAFT 2'!$A:$A,"&lt;="&amp;DATE(2026,7,14))</f>
        <v>0</v>
      </c>
      <c r="FW165">
        <f>COUNTIFS('DRAFT 2'!$D:$D,$B165,'DRAFT 2'!$A:$A,"&gt;="&amp;DATE(2026,7,15),'DRAFT 2'!$A:$A,"&lt;="&amp;DATE(2026,7,21))</f>
        <v>0</v>
      </c>
      <c r="FX165">
        <f>COUNTIFS('DRAFT 2'!$D:$D,$B165,'DRAFT 2'!$A:$A,"&gt;="&amp;DATE(2026,7,22),'DRAFT 2'!$A:$A,"&lt;"&amp;DATE(2026,IF(7=12,7+1,7+1),1))</f>
        <v>0</v>
      </c>
      <c r="FY165">
        <f t="shared" si="78"/>
        <v>0</v>
      </c>
      <c r="GI165">
        <f>IFERROR(LOOKUP(2,1/('DRAFT 2'!$D:$D=$B165)*('DRAFT 2'!$A:$A&gt;=DATE(2026,8,1))*('DRAFT 2'!$A:$A&lt;DATE(2026,IF(8=12,8+1,8+1),1)),'DRAFT 2'!$A:$A),"")</f>
        <v>0</v>
      </c>
      <c r="GJ165">
        <f>COUNTIFS('DRAFT 2'!$D:$D,$B165,'DRAFT 2'!$A:$A,"&gt;="&amp;DATE(2026,8,1),'DRAFT 2'!$A:$A,"&lt;="&amp;DATE(2026,8,7))</f>
        <v>0</v>
      </c>
      <c r="GK165">
        <f>COUNTIFS('DRAFT 2'!$D:$D,$B165,'DRAFT 2'!$A:$A,"&gt;="&amp;DATE(2026,8,8),'DRAFT 2'!$A:$A,"&lt;="&amp;DATE(2026,8,14))</f>
        <v>0</v>
      </c>
      <c r="GL165">
        <f>COUNTIFS('DRAFT 2'!$D:$D,$B165,'DRAFT 2'!$A:$A,"&gt;="&amp;DATE(2026,8,15),'DRAFT 2'!$A:$A,"&lt;="&amp;DATE(2026,8,21))</f>
        <v>0</v>
      </c>
      <c r="GM165">
        <f>COUNTIFS('DRAFT 2'!$D:$D,$B165,'DRAFT 2'!$A:$A,"&gt;="&amp;DATE(2026,8,22),'DRAFT 2'!$A:$A,"&lt;"&amp;DATE(2026,IF(8=12,8+1,8+1),1))</f>
        <v>0</v>
      </c>
      <c r="GN165">
        <f t="shared" si="79"/>
        <v>0</v>
      </c>
      <c r="GX165">
        <f>IFERROR(LOOKUP(2,1/('DRAFT 2'!$D:$D=$B165)*('DRAFT 2'!$A:$A&gt;=DATE(2026,9,1))*('DRAFT 2'!$A:$A&lt;DATE(2026,IF(9=12,9+1,9+1),1)),'DRAFT 2'!$A:$A),"")</f>
        <v>0</v>
      </c>
      <c r="GY165">
        <f>COUNTIFS('DRAFT 2'!$D:$D,$B165,'DRAFT 2'!$A:$A,"&gt;="&amp;DATE(2026,9,1),'DRAFT 2'!$A:$A,"&lt;="&amp;DATE(2026,9,7))</f>
        <v>0</v>
      </c>
      <c r="GZ165">
        <f>COUNTIFS('DRAFT 2'!$D:$D,$B165,'DRAFT 2'!$A:$A,"&gt;="&amp;DATE(2026,9,8),'DRAFT 2'!$A:$A,"&lt;="&amp;DATE(2026,9,14))</f>
        <v>0</v>
      </c>
      <c r="HA165">
        <f>COUNTIFS('DRAFT 2'!$D:$D,$B165,'DRAFT 2'!$A:$A,"&gt;="&amp;DATE(2026,9,15),'DRAFT 2'!$A:$A,"&lt;="&amp;DATE(2026,9,21))</f>
        <v>0</v>
      </c>
      <c r="HB165">
        <f>COUNTIFS('DRAFT 2'!$D:$D,$B165,'DRAFT 2'!$A:$A,"&gt;="&amp;DATE(2026,9,22),'DRAFT 2'!$A:$A,"&lt;"&amp;DATE(2026,IF(9=12,9+1,9+1),1))</f>
        <v>0</v>
      </c>
      <c r="HC165">
        <f t="shared" si="80"/>
        <v>0</v>
      </c>
      <c r="HN165">
        <f>IFERROR(LOOKUP(2,1/('DRAFT 2'!$D:$D=$B165)*('DRAFT 2'!$A:$A&gt;=DATE(2026,10,1))*('DRAFT 2'!$A:$A&lt;DATE(2026,IF(10=12,10+1,10+1),1)),'DRAFT 2'!$A:$A),"")</f>
        <v>0</v>
      </c>
      <c r="HO165">
        <f>COUNTIFS('DRAFT 2'!$D:$D,$B165,'DRAFT 2'!$A:$A,"&gt;="&amp;DATE(2026,10,1),'DRAFT 2'!$A:$A,"&lt;="&amp;DATE(2026,10,7))</f>
        <v>0</v>
      </c>
      <c r="HP165">
        <f>COUNTIFS('DRAFT 2'!$D:$D,$B165,'DRAFT 2'!$A:$A,"&gt;="&amp;DATE(2026,10,8),'DRAFT 2'!$A:$A,"&lt;="&amp;DATE(2026,10,14))</f>
        <v>0</v>
      </c>
      <c r="HQ165">
        <f>COUNTIFS('DRAFT 2'!$D:$D,$B165,'DRAFT 2'!$A:$A,"&gt;="&amp;DATE(2026,10,15),'DRAFT 2'!$A:$A,"&lt;="&amp;DATE(2026,10,21))</f>
        <v>0</v>
      </c>
      <c r="HR165">
        <f>COUNTIFS('DRAFT 2'!$D:$D,$B165,'DRAFT 2'!$A:$A,"&gt;="&amp;DATE(2026,10,22),'DRAFT 2'!$A:$A,"&lt;"&amp;DATE(2026,IF(10=12,10+1,10+1),1))</f>
        <v>0</v>
      </c>
      <c r="HS165">
        <f t="shared" si="81"/>
        <v>0</v>
      </c>
      <c r="IC165">
        <f>IFERROR(LOOKUP(2,1/('DRAFT 2'!$D:$D=$B165)*('DRAFT 2'!$A:$A&gt;=DATE(2026,11,1))*('DRAFT 2'!$A:$A&lt;DATE(2026,IF(11=12,11+1,11+1),1)),'DRAFT 2'!$A:$A),"")</f>
        <v>0</v>
      </c>
      <c r="ID165">
        <f>COUNTIFS('DRAFT 2'!$D:$D,$B165,'DRAFT 2'!$A:$A,"&gt;="&amp;DATE(2026,11,1),'DRAFT 2'!$A:$A,"&lt;="&amp;DATE(2026,11,7))</f>
        <v>0</v>
      </c>
      <c r="IE165">
        <f>COUNTIFS('DRAFT 2'!$D:$D,$B165,'DRAFT 2'!$A:$A,"&gt;="&amp;DATE(2026,11,8),'DRAFT 2'!$A:$A,"&lt;="&amp;DATE(2026,11,14))</f>
        <v>0</v>
      </c>
      <c r="IF165">
        <f>COUNTIFS('DRAFT 2'!$D:$D,$B165,'DRAFT 2'!$A:$A,"&gt;="&amp;DATE(2026,11,15),'DRAFT 2'!$A:$A,"&lt;="&amp;DATE(2026,11,21))</f>
        <v>0</v>
      </c>
      <c r="IG165">
        <f>COUNTIFS('DRAFT 2'!$D:$D,$B165,'DRAFT 2'!$A:$A,"&gt;="&amp;DATE(2026,11,22),'DRAFT 2'!$A:$A,"&lt;"&amp;DATE(2026,IF(11=12,11+1,11+1),1))</f>
        <v>0</v>
      </c>
      <c r="IH165">
        <f t="shared" si="82"/>
        <v>0</v>
      </c>
      <c r="IR165">
        <f>IFERROR(LOOKUP(2,1/('DRAFT 2'!$D:$D=$B165)*('DRAFT 2'!$A:$A&gt;=DATE(2026,12,1))*('DRAFT 2'!$A:$A&lt;DATE(2026,IF(12=12,12+1,12+1),1)),'DRAFT 2'!$A:$A),"")</f>
        <v>0</v>
      </c>
      <c r="IS165">
        <f>COUNTIFS('DRAFT 2'!$D:$D,$B165,'DRAFT 2'!$A:$A,"&gt;="&amp;DATE(2026,12,1),'DRAFT 2'!$A:$A,"&lt;="&amp;DATE(2026,12,7))</f>
        <v>0</v>
      </c>
      <c r="IT165">
        <f>COUNTIFS('DRAFT 2'!$D:$D,$B165,'DRAFT 2'!$A:$A,"&gt;="&amp;DATE(2026,12,8),'DRAFT 2'!$A:$A,"&lt;="&amp;DATE(2026,12,14))</f>
        <v>0</v>
      </c>
      <c r="IU165">
        <f>COUNTIFS('DRAFT 2'!$D:$D,$B165,'DRAFT 2'!$A:$A,"&gt;="&amp;DATE(2026,12,15),'DRAFT 2'!$A:$A,"&lt;="&amp;DATE(2026,12,21))</f>
        <v>0</v>
      </c>
      <c r="IV165">
        <f>COUNTIFS('DRAFT 2'!$D:$D,$B165,'DRAFT 2'!$A:$A,"&gt;="&amp;DATE(2026,12,22),'DRAFT 2'!$A:$A,"&lt;"&amp;DATE(2026,IF(12=12,12+1,12+1),1))</f>
        <v>0</v>
      </c>
      <c r="IW165">
        <f t="shared" si="83"/>
        <v>0</v>
      </c>
    </row>
    <row r="166" spans="1:257" x14ac:dyDescent="0.3">
      <c r="A166" t="str">
        <f>IFERROR(INDEX('DRAFT 1'!$A:$A,MATCH($B166,'DRAFT 1'!$B:$B,0)),"")</f>
        <v/>
      </c>
      <c r="C166" t="str">
        <f>IFERROR(INDEX('DRAFT 1'!$C:$C,MATCH($B166,'DRAFT 1'!$B:$B,0)),"")</f>
        <v/>
      </c>
      <c r="D166" t="str">
        <f>IFERROR(INDEX('DRAFT 1'!$D:$D,MATCH($B166,'DRAFT 1'!$B:$B,0)),"")</f>
        <v/>
      </c>
      <c r="E166" t="str">
        <f>IFERROR(INDEX('DRAFT 1'!$E:$E,MATCH($B166,'DRAFT 1'!$B:$B,0)),"")</f>
        <v/>
      </c>
      <c r="F166" t="str">
        <f>IFERROR(INDEX('DRAFT 1'!$F:$F,MATCH($B166,'DRAFT 1'!$B:$B,0)),"")</f>
        <v/>
      </c>
      <c r="G166" t="str">
        <f>IFERROR(INDEX('DRAFT 1'!$G:$G,MATCH($B166,'DRAFT 1'!$B:$B,0)),"")</f>
        <v/>
      </c>
      <c r="H166" t="str">
        <f>IFERROR(INDEX('DRAFT 1'!$H:$H,MATCH($B166,'DRAFT 1'!$B:$B,0)),"")</f>
        <v/>
      </c>
      <c r="I166" t="str">
        <f>IFERROR(INDEX('DRAFT 1'!$I:$I,MATCH($B166,'DRAFT 1'!$B:$B,0)),"")</f>
        <v/>
      </c>
      <c r="K166" t="str">
        <f>IFERROR(INDEX('DRAFT 1'!$AL:$AL,MATCH($B166,'DRAFT 1'!$B:$B,0)),"")</f>
        <v/>
      </c>
      <c r="L166" t="str">
        <f>IFERROR(INDEX('DRAFT 1'!$J:$J,MATCH($B166,'DRAFT 1'!$B:$B,0)),"")</f>
        <v/>
      </c>
      <c r="M166" t="str">
        <f>IFERROR(INDEX('DRAFT 1'!$K:$K,MATCH($B166,'DRAFT 1'!$B:$B,0)),"")</f>
        <v/>
      </c>
      <c r="P166" t="str">
        <f>IFERROR(INDEX('DRAFT 1'!$L:$L,MATCH($B166,'DRAFT 1'!$B:$B,0)),"")</f>
        <v/>
      </c>
      <c r="Q166" t="str">
        <f>IFERROR(INDEX('DRAFT 1'!$M:$M,MATCH($B166,'DRAFT 1'!$B:$B,0)),"")</f>
        <v/>
      </c>
      <c r="R166" t="str">
        <f>IFERROR(INDEX('DRAFT 1'!$N:$N,MATCH($B166,'DRAFT 1'!$B:$B,0)),"")</f>
        <v/>
      </c>
      <c r="S166" t="str">
        <f>IFERROR(INDEX('DRAFT 1'!$O:$O,MATCH($B166,'DRAFT 1'!$B:$B,0)),"")</f>
        <v/>
      </c>
      <c r="T166" t="str">
        <f>IFERROR(INDEX('DRAFT 1'!$P:$P,MATCH($B166,'DRAFT 1'!$B:$B,0)),"")</f>
        <v/>
      </c>
      <c r="U166" t="str">
        <f>IFERROR(INDEX('DRAFT 1'!$Q:$Q,MATCH($B166,'DRAFT 1'!$B:$B,0)),"")</f>
        <v/>
      </c>
      <c r="V166" t="str">
        <f>IFERROR(INDEX('DRAFT 1'!$R:$R,MATCH($B166,'DRAFT 1'!$B:$B,0)),"")</f>
        <v/>
      </c>
      <c r="W166" t="str">
        <f>IFERROR(INDEX('DRAFT 1'!$S:$S,MATCH($B166,'DRAFT 1'!$B:$B,0)),"")</f>
        <v/>
      </c>
      <c r="X166" t="str">
        <f>IFERROR(INDEX('DRAFT 1'!$T:$T,MATCH($B166,'DRAFT 1'!$B:$B,0)),"")</f>
        <v/>
      </c>
      <c r="Z166" t="str">
        <f>IFERROR(INDEX('DRAFT 1'!$U:$U,MATCH($B166,'DRAFT 1'!$B:$B,0)),"")</f>
        <v/>
      </c>
      <c r="AA166" t="str">
        <f>IFERROR(INDEX('DRAFT 1'!$V:$V,MATCH($B166,'DRAFT 1'!$B:$B,0)),"")</f>
        <v/>
      </c>
      <c r="AB166" t="str">
        <f>IFERROR(INDEX('DRAFT 1'!$W:$W,MATCH($B166,'DRAFT 1'!$B:$B,0)),"")</f>
        <v/>
      </c>
      <c r="AC166" t="str">
        <f>IFERROR(INDEX('DRAFT 1'!$X:$X,MATCH($B166,'DRAFT 1'!$B:$B,0)),"")</f>
        <v/>
      </c>
      <c r="AD166" t="str">
        <f>IFERROR(INDEX('DRAFT 1'!$Y:$Y,MATCH($B166,'DRAFT 1'!$B:$B,0)),"")</f>
        <v/>
      </c>
      <c r="AE166" t="str">
        <f>IFERROR(INDEX('DRAFT 1'!$Z:$Z,MATCH($B166,'DRAFT 1'!$B:$B,0)),"")</f>
        <v/>
      </c>
      <c r="AF166" t="str">
        <f>IFERROR(INDEX('DRAFT 1'!$AA:$AA,MATCH($B166,'DRAFT 1'!$B:$B,0)),"")</f>
        <v/>
      </c>
      <c r="AG166" t="str">
        <f>IFERROR(INDEX('DRAFT 1'!$AB:$AB,MATCH($B166,'DRAFT 1'!$B:$B,0)),"")</f>
        <v/>
      </c>
      <c r="AH166" t="str">
        <f>IFERROR(INDEX('DRAFT 1'!$AC:$AC,MATCH($B166,'DRAFT 1'!$B:$B,0)),"")</f>
        <v/>
      </c>
      <c r="AI166" t="str">
        <f>IFERROR(INDEX('DRAFT 1'!$AD:$AD,MATCH($B166,'DRAFT 1'!$B:$B,0)),"")</f>
        <v/>
      </c>
      <c r="AJ166" t="str">
        <f>IFERROR(INDEX('DRAFT 1'!$AE:$AE,MATCH($B166,'DRAFT 1'!$B:$B,0)),"")</f>
        <v/>
      </c>
      <c r="AK166" t="str">
        <f>IFERROR(INDEX('DRAFT 1'!$AG:$AG,MATCH($B166,'DRAFT 1'!$B:$B,0)),"")</f>
        <v/>
      </c>
      <c r="AL166" t="str">
        <f>IFERROR(INDEX('DRAFT 1'!$AH:$AH,MATCH($B166,'DRAFT 1'!$B:$B,0)),"")</f>
        <v/>
      </c>
      <c r="AM166" t="str">
        <f>IFERROR(INDEX('DRAFT 1'!$AI:$AI,MATCH($B166,'DRAFT 1'!$B:$B,0)),"")</f>
        <v/>
      </c>
      <c r="AN166" t="str">
        <f>IFERROR(INDEX('DRAFT 1'!$AJ:$AJ,MATCH($B166,'DRAFT 1'!$B:$B,0)),"")</f>
        <v/>
      </c>
      <c r="AO166">
        <f t="shared" si="70"/>
        <v>0</v>
      </c>
      <c r="AP166" t="str">
        <f>IFERROR(INDEX('DRAFT 1'!$AK:$AK,MATCH($B166,'DRAFT 1'!$B:$B,0)),"")</f>
        <v/>
      </c>
      <c r="AR166">
        <f>IFERROR(LOOKUP(2,1/('DRAFT 2'!$D:$D=$B166),'DRAFT 2'!$I:$I),"")</f>
        <v>0</v>
      </c>
      <c r="AS166">
        <f>IFERROR(LOOKUP(2,1/('DRAFT 2'!$D:$D=$B166),'DRAFT 2'!$T:$T),"")</f>
        <v>0</v>
      </c>
      <c r="AT166">
        <f>IFERROR(LOOKUP(2,1/('DRAFT 2'!$D:$D=$B166),'DRAFT 2'!$A:$A),"")</f>
        <v>0</v>
      </c>
      <c r="AU166">
        <f>IFERROR(LOOKUP(2,1/('DRAFT 2'!$D:$D=$B166),'DRAFT 2'!$R:$R),"")</f>
        <v>0</v>
      </c>
      <c r="AV166">
        <f>IFERROR(LOOKUP(2,1/('DRAFT 2'!$D:$D=$B166),'DRAFT 2'!$S:$S),"")</f>
        <v>0</v>
      </c>
      <c r="AX166">
        <f>IFERROR(LOOKUP(2,1/('DRAFT 2'!$D:$D=$B166),'DRAFT 2'!$M:$M),"")</f>
        <v>0</v>
      </c>
      <c r="AY166">
        <f>IFERROR(LOOKUP(2,1/('DRAFT 2'!$D:$D=$B166),'DRAFT 2'!$K:$K),"")</f>
        <v>0</v>
      </c>
      <c r="BG166">
        <f>IFERROR(LOOKUP(2,1/('DRAFT 2'!$D:$D=$B166),'DRAFT 2'!$U:$U),"")</f>
        <v>0</v>
      </c>
      <c r="BH166">
        <f>IFERROR(LOOKUP(2,1/('DRAFT 2'!$D:$D=$B166),'DRAFT 2'!$V:$V),"")</f>
        <v>0</v>
      </c>
      <c r="CE166" t="str">
        <f t="shared" si="71"/>
        <v/>
      </c>
      <c r="CF166">
        <f>IFERROR(LOOKUP(2,1/('DRAFT 2'!$D:$D=$B166)*('DRAFT 2'!$A:$A&gt;=DATE(2026,1,1))*('DRAFT 2'!$A:$A&lt;DATE(2026,IF(1=12,1+1,1+1),1)),'DRAFT 2'!$A:$A),"")</f>
        <v>0</v>
      </c>
      <c r="CG166">
        <f>COUNTIFS('DRAFT 2'!$D:$D,$B166,'DRAFT 2'!$A:$A,"&gt;="&amp;DATE(2026,1,1),'DRAFT 2'!$A:$A,"&lt;="&amp;DATE(2026,1,7))</f>
        <v>0</v>
      </c>
      <c r="CH166">
        <f>COUNTIFS('DRAFT 2'!$D:$D,$B166,'DRAFT 2'!$A:$A,"&gt;="&amp;DATE(2026,1,8),'DRAFT 2'!$A:$A,"&lt;="&amp;DATE(2026,1,14))</f>
        <v>0</v>
      </c>
      <c r="CI166">
        <f>COUNTIFS('DRAFT 2'!$D:$D,$B166,'DRAFT 2'!$A:$A,"&gt;="&amp;DATE(2026,1,15),'DRAFT 2'!$A:$A,"&lt;="&amp;DATE(2026,1,21))</f>
        <v>0</v>
      </c>
      <c r="CJ166">
        <f>COUNTIFS('DRAFT 2'!$D:$D,$B166,'DRAFT 2'!$A:$A,"&gt;="&amp;DATE(2026,1,22),'DRAFT 2'!$A:$A,"&lt;"&amp;DATE(2026,IF(1=12,1+1,1+1),1))</f>
        <v>0</v>
      </c>
      <c r="CK166">
        <f t="shared" si="72"/>
        <v>0</v>
      </c>
      <c r="CT166">
        <v>0</v>
      </c>
      <c r="CU166">
        <f>IFERROR(LOOKUP(2,1/('DRAFT 2'!$D:$D=$B166)*('DRAFT 2'!$A:$A&gt;=DATE(2026,2,1))*('DRAFT 2'!$A:$A&lt;DATE(2026,IF(2=12,2+1,2+1),1)),'DRAFT 2'!$A:$A),"")</f>
        <v>0</v>
      </c>
      <c r="CV166">
        <f>COUNTIFS('DRAFT 2'!$D:$D,$B166,'DRAFT 2'!$A:$A,"&gt;="&amp;DATE(2026,2,1),'DRAFT 2'!$A:$A,"&lt;="&amp;DATE(2026,2,7))</f>
        <v>0</v>
      </c>
      <c r="CW166">
        <f>COUNTIFS('DRAFT 2'!$D:$D,$B166,'DRAFT 2'!$A:$A,"&gt;="&amp;DATE(2026,2,8),'DRAFT 2'!$A:$A,"&lt;="&amp;DATE(2026,2,14))</f>
        <v>0</v>
      </c>
      <c r="CX166">
        <f>COUNTIFS('DRAFT 2'!$D:$D,$B166,'DRAFT 2'!$A:$A,"&gt;="&amp;DATE(2026,2,15),'DRAFT 2'!$A:$A,"&lt;="&amp;DATE(2026,2,21))</f>
        <v>0</v>
      </c>
      <c r="CY166">
        <f>COUNTIFS('DRAFT 2'!$D:$D,$B166,'DRAFT 2'!$A:$A,"&gt;="&amp;DATE(2026,2,22),'DRAFT 2'!$A:$A,"&lt;"&amp;DATE(2026,IF(2=12,2+1,2+1),1))</f>
        <v>0</v>
      </c>
      <c r="CZ166">
        <f t="shared" si="73"/>
        <v>0</v>
      </c>
      <c r="DJ166">
        <f>IFERROR(LOOKUP(2,1/('DRAFT 2'!$D:$D=$B166)*('DRAFT 2'!$A:$A&gt;=DATE(2026,3,1))*('DRAFT 2'!$A:$A&lt;DATE(2026,IF(3=12,3+1,3+1),1)),'DRAFT 2'!$A:$A),"")</f>
        <v>0</v>
      </c>
      <c r="DK166">
        <f>COUNTIFS('DRAFT 2'!$D:$D,$B166,'DRAFT 2'!$A:$A,"&gt;="&amp;DATE(2026,3,1),'DRAFT 2'!$A:$A,"&lt;="&amp;DATE(2026,3,7))</f>
        <v>0</v>
      </c>
      <c r="DL166">
        <f>COUNTIFS('DRAFT 2'!$D:$D,$B166,'DRAFT 2'!$A:$A,"&gt;="&amp;DATE(2026,3,8),'DRAFT 2'!$A:$A,"&lt;="&amp;DATE(2026,3,14))</f>
        <v>0</v>
      </c>
      <c r="DM166">
        <f>COUNTIFS('DRAFT 2'!$D:$D,$B166,'DRAFT 2'!$A:$A,"&gt;="&amp;DATE(2026,3,15),'DRAFT 2'!$A:$A,"&lt;="&amp;DATE(2026,3,21))</f>
        <v>0</v>
      </c>
      <c r="DN166">
        <f>COUNTIFS('DRAFT 2'!$D:$D,$B166,'DRAFT 2'!$A:$A,"&gt;="&amp;DATE(2026,3,22),'DRAFT 2'!$A:$A,"&lt;"&amp;DATE(2026,IF(3=12,3+1,3+1),1))</f>
        <v>0</v>
      </c>
      <c r="DO166">
        <f t="shared" si="74"/>
        <v>0</v>
      </c>
      <c r="DZ166">
        <f>IFERROR(LOOKUP(2,1/('DRAFT 2'!$D:$D=$B166)*('DRAFT 2'!$A:$A&gt;=DATE(2026,4,1))*('DRAFT 2'!$A:$A&lt;DATE(2026,IF(4=12,4+1,4+1),1)),'DRAFT 2'!$A:$A),"")</f>
        <v>0</v>
      </c>
      <c r="EA166">
        <f>COUNTIFS('DRAFT 2'!$D:$D,$B166,'DRAFT 2'!$A:$A,"&gt;="&amp;DATE(2026,4,1),'DRAFT 2'!$A:$A,"&lt;="&amp;DATE(2026,4,7))</f>
        <v>0</v>
      </c>
      <c r="EB166">
        <f>COUNTIFS('DRAFT 2'!$D:$D,$B166,'DRAFT 2'!$A:$A,"&gt;="&amp;DATE(2026,4,8),'DRAFT 2'!$A:$A,"&lt;="&amp;DATE(2026,4,14))</f>
        <v>0</v>
      </c>
      <c r="EC166">
        <f>COUNTIFS('DRAFT 2'!$D:$D,$B166,'DRAFT 2'!$A:$A,"&gt;="&amp;DATE(2026,4,15),'DRAFT 2'!$A:$A,"&lt;="&amp;DATE(2026,4,21))</f>
        <v>0</v>
      </c>
      <c r="ED166">
        <f>COUNTIFS('DRAFT 2'!$D:$D,$B166,'DRAFT 2'!$A:$A,"&gt;="&amp;DATE(2026,4,22),'DRAFT 2'!$A:$A,"&lt;"&amp;DATE(2026,IF(4=12,4+1,4+1),1))</f>
        <v>0</v>
      </c>
      <c r="EE166">
        <f t="shared" si="75"/>
        <v>0</v>
      </c>
      <c r="EO166">
        <f>IFERROR(LOOKUP(2,1/('DRAFT 2'!$D:$D=$B166)*('DRAFT 2'!$A:$A&gt;=DATE(2026,5,1))*('DRAFT 2'!$A:$A&lt;DATE(2026,IF(5=12,5+1,5+1),1)),'DRAFT 2'!$A:$A),"")</f>
        <v>0</v>
      </c>
      <c r="EP166">
        <f>COUNTIFS('DRAFT 2'!$D:$D,$B166,'DRAFT 2'!$A:$A,"&gt;="&amp;DATE(2026,5,1),'DRAFT 2'!$A:$A,"&lt;="&amp;DATE(2026,5,7))</f>
        <v>0</v>
      </c>
      <c r="EQ166">
        <f>COUNTIFS('DRAFT 2'!$D:$D,$B166,'DRAFT 2'!$A:$A,"&gt;="&amp;DATE(2026,5,8),'DRAFT 2'!$A:$A,"&lt;="&amp;DATE(2026,5,14))</f>
        <v>0</v>
      </c>
      <c r="ER166">
        <f>COUNTIFS('DRAFT 2'!$D:$D,$B166,'DRAFT 2'!$A:$A,"&gt;="&amp;DATE(2026,5,15),'DRAFT 2'!$A:$A,"&lt;="&amp;DATE(2026,5,21))</f>
        <v>0</v>
      </c>
      <c r="ES166">
        <f>COUNTIFS('DRAFT 2'!$D:$D,$B166,'DRAFT 2'!$A:$A,"&gt;="&amp;DATE(2026,5,22),'DRAFT 2'!$A:$A,"&lt;"&amp;DATE(2026,IF(5=12,5+1,5+1),1))</f>
        <v>0</v>
      </c>
      <c r="ET166">
        <f t="shared" si="76"/>
        <v>0</v>
      </c>
      <c r="FD166">
        <f>IFERROR(LOOKUP(2,1/('DRAFT 2'!$D:$D=$B166)*('DRAFT 2'!$A:$A&gt;=DATE(2026,6,1))*('DRAFT 2'!$A:$A&lt;DATE(2026,IF(6=12,6+1,6+1),1)),'DRAFT 2'!$A:$A),"")</f>
        <v>0</v>
      </c>
      <c r="FE166">
        <f>COUNTIFS('DRAFT 2'!$D:$D,$B166,'DRAFT 2'!$A:$A,"&gt;="&amp;DATE(2026,6,1),'DRAFT 2'!$A:$A,"&lt;="&amp;DATE(2026,6,7))</f>
        <v>0</v>
      </c>
      <c r="FF166">
        <f>COUNTIFS('DRAFT 2'!$D:$D,$B166,'DRAFT 2'!$A:$A,"&gt;="&amp;DATE(2026,6,8),'DRAFT 2'!$A:$A,"&lt;="&amp;DATE(2026,6,14))</f>
        <v>0</v>
      </c>
      <c r="FG166">
        <f>COUNTIFS('DRAFT 2'!$D:$D,$B166,'DRAFT 2'!$A:$A,"&gt;="&amp;DATE(2026,6,15),'DRAFT 2'!$A:$A,"&lt;="&amp;DATE(2026,6,21))</f>
        <v>0</v>
      </c>
      <c r="FH166">
        <f>COUNTIFS('DRAFT 2'!$D:$D,$B166,'DRAFT 2'!$A:$A,"&gt;="&amp;DATE(2026,6,22),'DRAFT 2'!$A:$A,"&lt;"&amp;DATE(2026,IF(6=12,6+1,6+1),1))</f>
        <v>0</v>
      </c>
      <c r="FI166">
        <f t="shared" si="77"/>
        <v>0</v>
      </c>
      <c r="FT166">
        <f>IFERROR(LOOKUP(2,1/('DRAFT 2'!$D:$D=$B166)*('DRAFT 2'!$A:$A&gt;=DATE(2026,7,1))*('DRAFT 2'!$A:$A&lt;DATE(2026,IF(7=12,7+1,7+1),1)),'DRAFT 2'!$A:$A),"")</f>
        <v>0</v>
      </c>
      <c r="FU166">
        <f>COUNTIFS('DRAFT 2'!$D:$D,$B166,'DRAFT 2'!$A:$A,"&gt;="&amp;DATE(2026,7,1),'DRAFT 2'!$A:$A,"&lt;="&amp;DATE(2026,7,7))</f>
        <v>0</v>
      </c>
      <c r="FV166">
        <f>COUNTIFS('DRAFT 2'!$D:$D,$B166,'DRAFT 2'!$A:$A,"&gt;="&amp;DATE(2026,7,8),'DRAFT 2'!$A:$A,"&lt;="&amp;DATE(2026,7,14))</f>
        <v>0</v>
      </c>
      <c r="FW166">
        <f>COUNTIFS('DRAFT 2'!$D:$D,$B166,'DRAFT 2'!$A:$A,"&gt;="&amp;DATE(2026,7,15),'DRAFT 2'!$A:$A,"&lt;="&amp;DATE(2026,7,21))</f>
        <v>0</v>
      </c>
      <c r="FX166">
        <f>COUNTIFS('DRAFT 2'!$D:$D,$B166,'DRAFT 2'!$A:$A,"&gt;="&amp;DATE(2026,7,22),'DRAFT 2'!$A:$A,"&lt;"&amp;DATE(2026,IF(7=12,7+1,7+1),1))</f>
        <v>0</v>
      </c>
      <c r="FY166">
        <f t="shared" si="78"/>
        <v>0</v>
      </c>
      <c r="GI166">
        <f>IFERROR(LOOKUP(2,1/('DRAFT 2'!$D:$D=$B166)*('DRAFT 2'!$A:$A&gt;=DATE(2026,8,1))*('DRAFT 2'!$A:$A&lt;DATE(2026,IF(8=12,8+1,8+1),1)),'DRAFT 2'!$A:$A),"")</f>
        <v>0</v>
      </c>
      <c r="GJ166">
        <f>COUNTIFS('DRAFT 2'!$D:$D,$B166,'DRAFT 2'!$A:$A,"&gt;="&amp;DATE(2026,8,1),'DRAFT 2'!$A:$A,"&lt;="&amp;DATE(2026,8,7))</f>
        <v>0</v>
      </c>
      <c r="GK166">
        <f>COUNTIFS('DRAFT 2'!$D:$D,$B166,'DRAFT 2'!$A:$A,"&gt;="&amp;DATE(2026,8,8),'DRAFT 2'!$A:$A,"&lt;="&amp;DATE(2026,8,14))</f>
        <v>0</v>
      </c>
      <c r="GL166">
        <f>COUNTIFS('DRAFT 2'!$D:$D,$B166,'DRAFT 2'!$A:$A,"&gt;="&amp;DATE(2026,8,15),'DRAFT 2'!$A:$A,"&lt;="&amp;DATE(2026,8,21))</f>
        <v>0</v>
      </c>
      <c r="GM166">
        <f>COUNTIFS('DRAFT 2'!$D:$D,$B166,'DRAFT 2'!$A:$A,"&gt;="&amp;DATE(2026,8,22),'DRAFT 2'!$A:$A,"&lt;"&amp;DATE(2026,IF(8=12,8+1,8+1),1))</f>
        <v>0</v>
      </c>
      <c r="GN166">
        <f t="shared" si="79"/>
        <v>0</v>
      </c>
      <c r="GX166">
        <f>IFERROR(LOOKUP(2,1/('DRAFT 2'!$D:$D=$B166)*('DRAFT 2'!$A:$A&gt;=DATE(2026,9,1))*('DRAFT 2'!$A:$A&lt;DATE(2026,IF(9=12,9+1,9+1),1)),'DRAFT 2'!$A:$A),"")</f>
        <v>0</v>
      </c>
      <c r="GY166">
        <f>COUNTIFS('DRAFT 2'!$D:$D,$B166,'DRAFT 2'!$A:$A,"&gt;="&amp;DATE(2026,9,1),'DRAFT 2'!$A:$A,"&lt;="&amp;DATE(2026,9,7))</f>
        <v>0</v>
      </c>
      <c r="GZ166">
        <f>COUNTIFS('DRAFT 2'!$D:$D,$B166,'DRAFT 2'!$A:$A,"&gt;="&amp;DATE(2026,9,8),'DRAFT 2'!$A:$A,"&lt;="&amp;DATE(2026,9,14))</f>
        <v>0</v>
      </c>
      <c r="HA166">
        <f>COUNTIFS('DRAFT 2'!$D:$D,$B166,'DRAFT 2'!$A:$A,"&gt;="&amp;DATE(2026,9,15),'DRAFT 2'!$A:$A,"&lt;="&amp;DATE(2026,9,21))</f>
        <v>0</v>
      </c>
      <c r="HB166">
        <f>COUNTIFS('DRAFT 2'!$D:$D,$B166,'DRAFT 2'!$A:$A,"&gt;="&amp;DATE(2026,9,22),'DRAFT 2'!$A:$A,"&lt;"&amp;DATE(2026,IF(9=12,9+1,9+1),1))</f>
        <v>0</v>
      </c>
      <c r="HC166">
        <f t="shared" si="80"/>
        <v>0</v>
      </c>
      <c r="HN166">
        <f>IFERROR(LOOKUP(2,1/('DRAFT 2'!$D:$D=$B166)*('DRAFT 2'!$A:$A&gt;=DATE(2026,10,1))*('DRAFT 2'!$A:$A&lt;DATE(2026,IF(10=12,10+1,10+1),1)),'DRAFT 2'!$A:$A),"")</f>
        <v>0</v>
      </c>
      <c r="HO166">
        <f>COUNTIFS('DRAFT 2'!$D:$D,$B166,'DRAFT 2'!$A:$A,"&gt;="&amp;DATE(2026,10,1),'DRAFT 2'!$A:$A,"&lt;="&amp;DATE(2026,10,7))</f>
        <v>0</v>
      </c>
      <c r="HP166">
        <f>COUNTIFS('DRAFT 2'!$D:$D,$B166,'DRAFT 2'!$A:$A,"&gt;="&amp;DATE(2026,10,8),'DRAFT 2'!$A:$A,"&lt;="&amp;DATE(2026,10,14))</f>
        <v>0</v>
      </c>
      <c r="HQ166">
        <f>COUNTIFS('DRAFT 2'!$D:$D,$B166,'DRAFT 2'!$A:$A,"&gt;="&amp;DATE(2026,10,15),'DRAFT 2'!$A:$A,"&lt;="&amp;DATE(2026,10,21))</f>
        <v>0</v>
      </c>
      <c r="HR166">
        <f>COUNTIFS('DRAFT 2'!$D:$D,$B166,'DRAFT 2'!$A:$A,"&gt;="&amp;DATE(2026,10,22),'DRAFT 2'!$A:$A,"&lt;"&amp;DATE(2026,IF(10=12,10+1,10+1),1))</f>
        <v>0</v>
      </c>
      <c r="HS166">
        <f t="shared" si="81"/>
        <v>0</v>
      </c>
      <c r="IC166">
        <f>IFERROR(LOOKUP(2,1/('DRAFT 2'!$D:$D=$B166)*('DRAFT 2'!$A:$A&gt;=DATE(2026,11,1))*('DRAFT 2'!$A:$A&lt;DATE(2026,IF(11=12,11+1,11+1),1)),'DRAFT 2'!$A:$A),"")</f>
        <v>0</v>
      </c>
      <c r="ID166">
        <f>COUNTIFS('DRAFT 2'!$D:$D,$B166,'DRAFT 2'!$A:$A,"&gt;="&amp;DATE(2026,11,1),'DRAFT 2'!$A:$A,"&lt;="&amp;DATE(2026,11,7))</f>
        <v>0</v>
      </c>
      <c r="IE166">
        <f>COUNTIFS('DRAFT 2'!$D:$D,$B166,'DRAFT 2'!$A:$A,"&gt;="&amp;DATE(2026,11,8),'DRAFT 2'!$A:$A,"&lt;="&amp;DATE(2026,11,14))</f>
        <v>0</v>
      </c>
      <c r="IF166">
        <f>COUNTIFS('DRAFT 2'!$D:$D,$B166,'DRAFT 2'!$A:$A,"&gt;="&amp;DATE(2026,11,15),'DRAFT 2'!$A:$A,"&lt;="&amp;DATE(2026,11,21))</f>
        <v>0</v>
      </c>
      <c r="IG166">
        <f>COUNTIFS('DRAFT 2'!$D:$D,$B166,'DRAFT 2'!$A:$A,"&gt;="&amp;DATE(2026,11,22),'DRAFT 2'!$A:$A,"&lt;"&amp;DATE(2026,IF(11=12,11+1,11+1),1))</f>
        <v>0</v>
      </c>
      <c r="IH166">
        <f t="shared" si="82"/>
        <v>0</v>
      </c>
      <c r="IR166">
        <f>IFERROR(LOOKUP(2,1/('DRAFT 2'!$D:$D=$B166)*('DRAFT 2'!$A:$A&gt;=DATE(2026,12,1))*('DRAFT 2'!$A:$A&lt;DATE(2026,IF(12=12,12+1,12+1),1)),'DRAFT 2'!$A:$A),"")</f>
        <v>0</v>
      </c>
      <c r="IS166">
        <f>COUNTIFS('DRAFT 2'!$D:$D,$B166,'DRAFT 2'!$A:$A,"&gt;="&amp;DATE(2026,12,1),'DRAFT 2'!$A:$A,"&lt;="&amp;DATE(2026,12,7))</f>
        <v>0</v>
      </c>
      <c r="IT166">
        <f>COUNTIFS('DRAFT 2'!$D:$D,$B166,'DRAFT 2'!$A:$A,"&gt;="&amp;DATE(2026,12,8),'DRAFT 2'!$A:$A,"&lt;="&amp;DATE(2026,12,14))</f>
        <v>0</v>
      </c>
      <c r="IU166">
        <f>COUNTIFS('DRAFT 2'!$D:$D,$B166,'DRAFT 2'!$A:$A,"&gt;="&amp;DATE(2026,12,15),'DRAFT 2'!$A:$A,"&lt;="&amp;DATE(2026,12,21))</f>
        <v>0</v>
      </c>
      <c r="IV166">
        <f>COUNTIFS('DRAFT 2'!$D:$D,$B166,'DRAFT 2'!$A:$A,"&gt;="&amp;DATE(2026,12,22),'DRAFT 2'!$A:$A,"&lt;"&amp;DATE(2026,IF(12=12,12+1,12+1),1))</f>
        <v>0</v>
      </c>
      <c r="IW166">
        <f t="shared" si="83"/>
        <v>0</v>
      </c>
    </row>
    <row r="167" spans="1:257" x14ac:dyDescent="0.3">
      <c r="A167" t="str">
        <f>IFERROR(INDEX('DRAFT 1'!$A:$A,MATCH($B167,'DRAFT 1'!$B:$B,0)),"")</f>
        <v/>
      </c>
      <c r="C167" t="str">
        <f>IFERROR(INDEX('DRAFT 1'!$C:$C,MATCH($B167,'DRAFT 1'!$B:$B,0)),"")</f>
        <v/>
      </c>
      <c r="D167" t="str">
        <f>IFERROR(INDEX('DRAFT 1'!$D:$D,MATCH($B167,'DRAFT 1'!$B:$B,0)),"")</f>
        <v/>
      </c>
      <c r="E167" t="str">
        <f>IFERROR(INDEX('DRAFT 1'!$E:$E,MATCH($B167,'DRAFT 1'!$B:$B,0)),"")</f>
        <v/>
      </c>
      <c r="F167" t="str">
        <f>IFERROR(INDEX('DRAFT 1'!$F:$F,MATCH($B167,'DRAFT 1'!$B:$B,0)),"")</f>
        <v/>
      </c>
      <c r="G167" t="str">
        <f>IFERROR(INDEX('DRAFT 1'!$G:$G,MATCH($B167,'DRAFT 1'!$B:$B,0)),"")</f>
        <v/>
      </c>
      <c r="H167" t="str">
        <f>IFERROR(INDEX('DRAFT 1'!$H:$H,MATCH($B167,'DRAFT 1'!$B:$B,0)),"")</f>
        <v/>
      </c>
      <c r="I167" t="str">
        <f>IFERROR(INDEX('DRAFT 1'!$I:$I,MATCH($B167,'DRAFT 1'!$B:$B,0)),"")</f>
        <v/>
      </c>
      <c r="K167" t="str">
        <f>IFERROR(INDEX('DRAFT 1'!$AL:$AL,MATCH($B167,'DRAFT 1'!$B:$B,0)),"")</f>
        <v/>
      </c>
      <c r="L167" t="str">
        <f>IFERROR(INDEX('DRAFT 1'!$J:$J,MATCH($B167,'DRAFT 1'!$B:$B,0)),"")</f>
        <v/>
      </c>
      <c r="M167" t="str">
        <f>IFERROR(INDEX('DRAFT 1'!$K:$K,MATCH($B167,'DRAFT 1'!$B:$B,0)),"")</f>
        <v/>
      </c>
      <c r="P167" t="str">
        <f>IFERROR(INDEX('DRAFT 1'!$L:$L,MATCH($B167,'DRAFT 1'!$B:$B,0)),"")</f>
        <v/>
      </c>
      <c r="Q167" t="str">
        <f>IFERROR(INDEX('DRAFT 1'!$M:$M,MATCH($B167,'DRAFT 1'!$B:$B,0)),"")</f>
        <v/>
      </c>
      <c r="R167" t="str">
        <f>IFERROR(INDEX('DRAFT 1'!$N:$N,MATCH($B167,'DRAFT 1'!$B:$B,0)),"")</f>
        <v/>
      </c>
      <c r="S167" t="str">
        <f>IFERROR(INDEX('DRAFT 1'!$O:$O,MATCH($B167,'DRAFT 1'!$B:$B,0)),"")</f>
        <v/>
      </c>
      <c r="T167" t="str">
        <f>IFERROR(INDEX('DRAFT 1'!$P:$P,MATCH($B167,'DRAFT 1'!$B:$B,0)),"")</f>
        <v/>
      </c>
      <c r="U167" t="str">
        <f>IFERROR(INDEX('DRAFT 1'!$Q:$Q,MATCH($B167,'DRAFT 1'!$B:$B,0)),"")</f>
        <v/>
      </c>
      <c r="V167" t="str">
        <f>IFERROR(INDEX('DRAFT 1'!$R:$R,MATCH($B167,'DRAFT 1'!$B:$B,0)),"")</f>
        <v/>
      </c>
      <c r="W167" t="str">
        <f>IFERROR(INDEX('DRAFT 1'!$S:$S,MATCH($B167,'DRAFT 1'!$B:$B,0)),"")</f>
        <v/>
      </c>
      <c r="X167" t="str">
        <f>IFERROR(INDEX('DRAFT 1'!$T:$T,MATCH($B167,'DRAFT 1'!$B:$B,0)),"")</f>
        <v/>
      </c>
      <c r="Z167" t="str">
        <f>IFERROR(INDEX('DRAFT 1'!$U:$U,MATCH($B167,'DRAFT 1'!$B:$B,0)),"")</f>
        <v/>
      </c>
      <c r="AA167" t="str">
        <f>IFERROR(INDEX('DRAFT 1'!$V:$V,MATCH($B167,'DRAFT 1'!$B:$B,0)),"")</f>
        <v/>
      </c>
      <c r="AB167" t="str">
        <f>IFERROR(INDEX('DRAFT 1'!$W:$W,MATCH($B167,'DRAFT 1'!$B:$B,0)),"")</f>
        <v/>
      </c>
      <c r="AC167" t="str">
        <f>IFERROR(INDEX('DRAFT 1'!$X:$X,MATCH($B167,'DRAFT 1'!$B:$B,0)),"")</f>
        <v/>
      </c>
      <c r="AD167" t="str">
        <f>IFERROR(INDEX('DRAFT 1'!$Y:$Y,MATCH($B167,'DRAFT 1'!$B:$B,0)),"")</f>
        <v/>
      </c>
      <c r="AE167" t="str">
        <f>IFERROR(INDEX('DRAFT 1'!$Z:$Z,MATCH($B167,'DRAFT 1'!$B:$B,0)),"")</f>
        <v/>
      </c>
      <c r="AF167" t="str">
        <f>IFERROR(INDEX('DRAFT 1'!$AA:$AA,MATCH($B167,'DRAFT 1'!$B:$B,0)),"")</f>
        <v/>
      </c>
      <c r="AG167" t="str">
        <f>IFERROR(INDEX('DRAFT 1'!$AB:$AB,MATCH($B167,'DRAFT 1'!$B:$B,0)),"")</f>
        <v/>
      </c>
      <c r="AH167" t="str">
        <f>IFERROR(INDEX('DRAFT 1'!$AC:$AC,MATCH($B167,'DRAFT 1'!$B:$B,0)),"")</f>
        <v/>
      </c>
      <c r="AI167" t="str">
        <f>IFERROR(INDEX('DRAFT 1'!$AD:$AD,MATCH($B167,'DRAFT 1'!$B:$B,0)),"")</f>
        <v/>
      </c>
      <c r="AJ167" t="str">
        <f>IFERROR(INDEX('DRAFT 1'!$AE:$AE,MATCH($B167,'DRAFT 1'!$B:$B,0)),"")</f>
        <v/>
      </c>
      <c r="AK167" t="str">
        <f>IFERROR(INDEX('DRAFT 1'!$AG:$AG,MATCH($B167,'DRAFT 1'!$B:$B,0)),"")</f>
        <v/>
      </c>
      <c r="AL167" t="str">
        <f>IFERROR(INDEX('DRAFT 1'!$AH:$AH,MATCH($B167,'DRAFT 1'!$B:$B,0)),"")</f>
        <v/>
      </c>
      <c r="AM167" t="str">
        <f>IFERROR(INDEX('DRAFT 1'!$AI:$AI,MATCH($B167,'DRAFT 1'!$B:$B,0)),"")</f>
        <v/>
      </c>
      <c r="AN167" t="str">
        <f>IFERROR(INDEX('DRAFT 1'!$AJ:$AJ,MATCH($B167,'DRAFT 1'!$B:$B,0)),"")</f>
        <v/>
      </c>
      <c r="AO167">
        <f t="shared" si="70"/>
        <v>0</v>
      </c>
      <c r="AP167" t="str">
        <f>IFERROR(INDEX('DRAFT 1'!$AK:$AK,MATCH($B167,'DRAFT 1'!$B:$B,0)),"")</f>
        <v/>
      </c>
      <c r="AR167">
        <f>IFERROR(LOOKUP(2,1/('DRAFT 2'!$D:$D=$B167),'DRAFT 2'!$I:$I),"")</f>
        <v>0</v>
      </c>
      <c r="AS167">
        <f>IFERROR(LOOKUP(2,1/('DRAFT 2'!$D:$D=$B167),'DRAFT 2'!$T:$T),"")</f>
        <v>0</v>
      </c>
      <c r="AT167">
        <f>IFERROR(LOOKUP(2,1/('DRAFT 2'!$D:$D=$B167),'DRAFT 2'!$A:$A),"")</f>
        <v>0</v>
      </c>
      <c r="AU167">
        <f>IFERROR(LOOKUP(2,1/('DRAFT 2'!$D:$D=$B167),'DRAFT 2'!$R:$R),"")</f>
        <v>0</v>
      </c>
      <c r="AV167">
        <f>IFERROR(LOOKUP(2,1/('DRAFT 2'!$D:$D=$B167),'DRAFT 2'!$S:$S),"")</f>
        <v>0</v>
      </c>
      <c r="AX167">
        <f>IFERROR(LOOKUP(2,1/('DRAFT 2'!$D:$D=$B167),'DRAFT 2'!$M:$M),"")</f>
        <v>0</v>
      </c>
      <c r="AY167">
        <f>IFERROR(LOOKUP(2,1/('DRAFT 2'!$D:$D=$B167),'DRAFT 2'!$K:$K),"")</f>
        <v>0</v>
      </c>
      <c r="BG167">
        <f>IFERROR(LOOKUP(2,1/('DRAFT 2'!$D:$D=$B167),'DRAFT 2'!$U:$U),"")</f>
        <v>0</v>
      </c>
      <c r="BH167">
        <f>IFERROR(LOOKUP(2,1/('DRAFT 2'!$D:$D=$B167),'DRAFT 2'!$V:$V),"")</f>
        <v>0</v>
      </c>
      <c r="CE167" t="str">
        <f t="shared" si="71"/>
        <v/>
      </c>
      <c r="CF167">
        <f>IFERROR(LOOKUP(2,1/('DRAFT 2'!$D:$D=$B167)*('DRAFT 2'!$A:$A&gt;=DATE(2026,1,1))*('DRAFT 2'!$A:$A&lt;DATE(2026,IF(1=12,1+1,1+1),1)),'DRAFT 2'!$A:$A),"")</f>
        <v>0</v>
      </c>
      <c r="CG167">
        <f>COUNTIFS('DRAFT 2'!$D:$D,$B167,'DRAFT 2'!$A:$A,"&gt;="&amp;DATE(2026,1,1),'DRAFT 2'!$A:$A,"&lt;="&amp;DATE(2026,1,7))</f>
        <v>0</v>
      </c>
      <c r="CH167">
        <f>COUNTIFS('DRAFT 2'!$D:$D,$B167,'DRAFT 2'!$A:$A,"&gt;="&amp;DATE(2026,1,8),'DRAFT 2'!$A:$A,"&lt;="&amp;DATE(2026,1,14))</f>
        <v>0</v>
      </c>
      <c r="CI167">
        <f>COUNTIFS('DRAFT 2'!$D:$D,$B167,'DRAFT 2'!$A:$A,"&gt;="&amp;DATE(2026,1,15),'DRAFT 2'!$A:$A,"&lt;="&amp;DATE(2026,1,21))</f>
        <v>0</v>
      </c>
      <c r="CJ167">
        <f>COUNTIFS('DRAFT 2'!$D:$D,$B167,'DRAFT 2'!$A:$A,"&gt;="&amp;DATE(2026,1,22),'DRAFT 2'!$A:$A,"&lt;"&amp;DATE(2026,IF(1=12,1+1,1+1),1))</f>
        <v>0</v>
      </c>
      <c r="CK167">
        <f t="shared" si="72"/>
        <v>0</v>
      </c>
      <c r="CT167">
        <v>0</v>
      </c>
      <c r="CU167">
        <f>IFERROR(LOOKUP(2,1/('DRAFT 2'!$D:$D=$B167)*('DRAFT 2'!$A:$A&gt;=DATE(2026,2,1))*('DRAFT 2'!$A:$A&lt;DATE(2026,IF(2=12,2+1,2+1),1)),'DRAFT 2'!$A:$A),"")</f>
        <v>0</v>
      </c>
      <c r="CV167">
        <f>COUNTIFS('DRAFT 2'!$D:$D,$B167,'DRAFT 2'!$A:$A,"&gt;="&amp;DATE(2026,2,1),'DRAFT 2'!$A:$A,"&lt;="&amp;DATE(2026,2,7))</f>
        <v>0</v>
      </c>
      <c r="CW167">
        <f>COUNTIFS('DRAFT 2'!$D:$D,$B167,'DRAFT 2'!$A:$A,"&gt;="&amp;DATE(2026,2,8),'DRAFT 2'!$A:$A,"&lt;="&amp;DATE(2026,2,14))</f>
        <v>0</v>
      </c>
      <c r="CX167">
        <f>COUNTIFS('DRAFT 2'!$D:$D,$B167,'DRAFT 2'!$A:$A,"&gt;="&amp;DATE(2026,2,15),'DRAFT 2'!$A:$A,"&lt;="&amp;DATE(2026,2,21))</f>
        <v>0</v>
      </c>
      <c r="CY167">
        <f>COUNTIFS('DRAFT 2'!$D:$D,$B167,'DRAFT 2'!$A:$A,"&gt;="&amp;DATE(2026,2,22),'DRAFT 2'!$A:$A,"&lt;"&amp;DATE(2026,IF(2=12,2+1,2+1),1))</f>
        <v>0</v>
      </c>
      <c r="CZ167">
        <f t="shared" si="73"/>
        <v>0</v>
      </c>
      <c r="DJ167">
        <f>IFERROR(LOOKUP(2,1/('DRAFT 2'!$D:$D=$B167)*('DRAFT 2'!$A:$A&gt;=DATE(2026,3,1))*('DRAFT 2'!$A:$A&lt;DATE(2026,IF(3=12,3+1,3+1),1)),'DRAFT 2'!$A:$A),"")</f>
        <v>0</v>
      </c>
      <c r="DK167">
        <f>COUNTIFS('DRAFT 2'!$D:$D,$B167,'DRAFT 2'!$A:$A,"&gt;="&amp;DATE(2026,3,1),'DRAFT 2'!$A:$A,"&lt;="&amp;DATE(2026,3,7))</f>
        <v>0</v>
      </c>
      <c r="DL167">
        <f>COUNTIFS('DRAFT 2'!$D:$D,$B167,'DRAFT 2'!$A:$A,"&gt;="&amp;DATE(2026,3,8),'DRAFT 2'!$A:$A,"&lt;="&amp;DATE(2026,3,14))</f>
        <v>0</v>
      </c>
      <c r="DM167">
        <f>COUNTIFS('DRAFT 2'!$D:$D,$B167,'DRAFT 2'!$A:$A,"&gt;="&amp;DATE(2026,3,15),'DRAFT 2'!$A:$A,"&lt;="&amp;DATE(2026,3,21))</f>
        <v>0</v>
      </c>
      <c r="DN167">
        <f>COUNTIFS('DRAFT 2'!$D:$D,$B167,'DRAFT 2'!$A:$A,"&gt;="&amp;DATE(2026,3,22),'DRAFT 2'!$A:$A,"&lt;"&amp;DATE(2026,IF(3=12,3+1,3+1),1))</f>
        <v>0</v>
      </c>
      <c r="DO167">
        <f t="shared" si="74"/>
        <v>0</v>
      </c>
      <c r="DZ167">
        <f>IFERROR(LOOKUP(2,1/('DRAFT 2'!$D:$D=$B167)*('DRAFT 2'!$A:$A&gt;=DATE(2026,4,1))*('DRAFT 2'!$A:$A&lt;DATE(2026,IF(4=12,4+1,4+1),1)),'DRAFT 2'!$A:$A),"")</f>
        <v>0</v>
      </c>
      <c r="EA167">
        <f>COUNTIFS('DRAFT 2'!$D:$D,$B167,'DRAFT 2'!$A:$A,"&gt;="&amp;DATE(2026,4,1),'DRAFT 2'!$A:$A,"&lt;="&amp;DATE(2026,4,7))</f>
        <v>0</v>
      </c>
      <c r="EB167">
        <f>COUNTIFS('DRAFT 2'!$D:$D,$B167,'DRAFT 2'!$A:$A,"&gt;="&amp;DATE(2026,4,8),'DRAFT 2'!$A:$A,"&lt;="&amp;DATE(2026,4,14))</f>
        <v>0</v>
      </c>
      <c r="EC167">
        <f>COUNTIFS('DRAFT 2'!$D:$D,$B167,'DRAFT 2'!$A:$A,"&gt;="&amp;DATE(2026,4,15),'DRAFT 2'!$A:$A,"&lt;="&amp;DATE(2026,4,21))</f>
        <v>0</v>
      </c>
      <c r="ED167">
        <f>COUNTIFS('DRAFT 2'!$D:$D,$B167,'DRAFT 2'!$A:$A,"&gt;="&amp;DATE(2026,4,22),'DRAFT 2'!$A:$A,"&lt;"&amp;DATE(2026,IF(4=12,4+1,4+1),1))</f>
        <v>0</v>
      </c>
      <c r="EE167">
        <f t="shared" si="75"/>
        <v>0</v>
      </c>
      <c r="EO167">
        <f>IFERROR(LOOKUP(2,1/('DRAFT 2'!$D:$D=$B167)*('DRAFT 2'!$A:$A&gt;=DATE(2026,5,1))*('DRAFT 2'!$A:$A&lt;DATE(2026,IF(5=12,5+1,5+1),1)),'DRAFT 2'!$A:$A),"")</f>
        <v>0</v>
      </c>
      <c r="EP167">
        <f>COUNTIFS('DRAFT 2'!$D:$D,$B167,'DRAFT 2'!$A:$A,"&gt;="&amp;DATE(2026,5,1),'DRAFT 2'!$A:$A,"&lt;="&amp;DATE(2026,5,7))</f>
        <v>0</v>
      </c>
      <c r="EQ167">
        <f>COUNTIFS('DRAFT 2'!$D:$D,$B167,'DRAFT 2'!$A:$A,"&gt;="&amp;DATE(2026,5,8),'DRAFT 2'!$A:$A,"&lt;="&amp;DATE(2026,5,14))</f>
        <v>0</v>
      </c>
      <c r="ER167">
        <f>COUNTIFS('DRAFT 2'!$D:$D,$B167,'DRAFT 2'!$A:$A,"&gt;="&amp;DATE(2026,5,15),'DRAFT 2'!$A:$A,"&lt;="&amp;DATE(2026,5,21))</f>
        <v>0</v>
      </c>
      <c r="ES167">
        <f>COUNTIFS('DRAFT 2'!$D:$D,$B167,'DRAFT 2'!$A:$A,"&gt;="&amp;DATE(2026,5,22),'DRAFT 2'!$A:$A,"&lt;"&amp;DATE(2026,IF(5=12,5+1,5+1),1))</f>
        <v>0</v>
      </c>
      <c r="ET167">
        <f t="shared" si="76"/>
        <v>0</v>
      </c>
      <c r="FD167">
        <f>IFERROR(LOOKUP(2,1/('DRAFT 2'!$D:$D=$B167)*('DRAFT 2'!$A:$A&gt;=DATE(2026,6,1))*('DRAFT 2'!$A:$A&lt;DATE(2026,IF(6=12,6+1,6+1),1)),'DRAFT 2'!$A:$A),"")</f>
        <v>0</v>
      </c>
      <c r="FE167">
        <f>COUNTIFS('DRAFT 2'!$D:$D,$B167,'DRAFT 2'!$A:$A,"&gt;="&amp;DATE(2026,6,1),'DRAFT 2'!$A:$A,"&lt;="&amp;DATE(2026,6,7))</f>
        <v>0</v>
      </c>
      <c r="FF167">
        <f>COUNTIFS('DRAFT 2'!$D:$D,$B167,'DRAFT 2'!$A:$A,"&gt;="&amp;DATE(2026,6,8),'DRAFT 2'!$A:$A,"&lt;="&amp;DATE(2026,6,14))</f>
        <v>0</v>
      </c>
      <c r="FG167">
        <f>COUNTIFS('DRAFT 2'!$D:$D,$B167,'DRAFT 2'!$A:$A,"&gt;="&amp;DATE(2026,6,15),'DRAFT 2'!$A:$A,"&lt;="&amp;DATE(2026,6,21))</f>
        <v>0</v>
      </c>
      <c r="FH167">
        <f>COUNTIFS('DRAFT 2'!$D:$D,$B167,'DRAFT 2'!$A:$A,"&gt;="&amp;DATE(2026,6,22),'DRAFT 2'!$A:$A,"&lt;"&amp;DATE(2026,IF(6=12,6+1,6+1),1))</f>
        <v>0</v>
      </c>
      <c r="FI167">
        <f t="shared" si="77"/>
        <v>0</v>
      </c>
      <c r="FT167">
        <f>IFERROR(LOOKUP(2,1/('DRAFT 2'!$D:$D=$B167)*('DRAFT 2'!$A:$A&gt;=DATE(2026,7,1))*('DRAFT 2'!$A:$A&lt;DATE(2026,IF(7=12,7+1,7+1),1)),'DRAFT 2'!$A:$A),"")</f>
        <v>0</v>
      </c>
      <c r="FU167">
        <f>COUNTIFS('DRAFT 2'!$D:$D,$B167,'DRAFT 2'!$A:$A,"&gt;="&amp;DATE(2026,7,1),'DRAFT 2'!$A:$A,"&lt;="&amp;DATE(2026,7,7))</f>
        <v>0</v>
      </c>
      <c r="FV167">
        <f>COUNTIFS('DRAFT 2'!$D:$D,$B167,'DRAFT 2'!$A:$A,"&gt;="&amp;DATE(2026,7,8),'DRAFT 2'!$A:$A,"&lt;="&amp;DATE(2026,7,14))</f>
        <v>0</v>
      </c>
      <c r="FW167">
        <f>COUNTIFS('DRAFT 2'!$D:$D,$B167,'DRAFT 2'!$A:$A,"&gt;="&amp;DATE(2026,7,15),'DRAFT 2'!$A:$A,"&lt;="&amp;DATE(2026,7,21))</f>
        <v>0</v>
      </c>
      <c r="FX167">
        <f>COUNTIFS('DRAFT 2'!$D:$D,$B167,'DRAFT 2'!$A:$A,"&gt;="&amp;DATE(2026,7,22),'DRAFT 2'!$A:$A,"&lt;"&amp;DATE(2026,IF(7=12,7+1,7+1),1))</f>
        <v>0</v>
      </c>
      <c r="FY167">
        <f t="shared" si="78"/>
        <v>0</v>
      </c>
      <c r="GI167">
        <f>IFERROR(LOOKUP(2,1/('DRAFT 2'!$D:$D=$B167)*('DRAFT 2'!$A:$A&gt;=DATE(2026,8,1))*('DRAFT 2'!$A:$A&lt;DATE(2026,IF(8=12,8+1,8+1),1)),'DRAFT 2'!$A:$A),"")</f>
        <v>0</v>
      </c>
      <c r="GJ167">
        <f>COUNTIFS('DRAFT 2'!$D:$D,$B167,'DRAFT 2'!$A:$A,"&gt;="&amp;DATE(2026,8,1),'DRAFT 2'!$A:$A,"&lt;="&amp;DATE(2026,8,7))</f>
        <v>0</v>
      </c>
      <c r="GK167">
        <f>COUNTIFS('DRAFT 2'!$D:$D,$B167,'DRAFT 2'!$A:$A,"&gt;="&amp;DATE(2026,8,8),'DRAFT 2'!$A:$A,"&lt;="&amp;DATE(2026,8,14))</f>
        <v>0</v>
      </c>
      <c r="GL167">
        <f>COUNTIFS('DRAFT 2'!$D:$D,$B167,'DRAFT 2'!$A:$A,"&gt;="&amp;DATE(2026,8,15),'DRAFT 2'!$A:$A,"&lt;="&amp;DATE(2026,8,21))</f>
        <v>0</v>
      </c>
      <c r="GM167">
        <f>COUNTIFS('DRAFT 2'!$D:$D,$B167,'DRAFT 2'!$A:$A,"&gt;="&amp;DATE(2026,8,22),'DRAFT 2'!$A:$A,"&lt;"&amp;DATE(2026,IF(8=12,8+1,8+1),1))</f>
        <v>0</v>
      </c>
      <c r="GN167">
        <f t="shared" si="79"/>
        <v>0</v>
      </c>
      <c r="GX167">
        <f>IFERROR(LOOKUP(2,1/('DRAFT 2'!$D:$D=$B167)*('DRAFT 2'!$A:$A&gt;=DATE(2026,9,1))*('DRAFT 2'!$A:$A&lt;DATE(2026,IF(9=12,9+1,9+1),1)),'DRAFT 2'!$A:$A),"")</f>
        <v>0</v>
      </c>
      <c r="GY167">
        <f>COUNTIFS('DRAFT 2'!$D:$D,$B167,'DRAFT 2'!$A:$A,"&gt;="&amp;DATE(2026,9,1),'DRAFT 2'!$A:$A,"&lt;="&amp;DATE(2026,9,7))</f>
        <v>0</v>
      </c>
      <c r="GZ167">
        <f>COUNTIFS('DRAFT 2'!$D:$D,$B167,'DRAFT 2'!$A:$A,"&gt;="&amp;DATE(2026,9,8),'DRAFT 2'!$A:$A,"&lt;="&amp;DATE(2026,9,14))</f>
        <v>0</v>
      </c>
      <c r="HA167">
        <f>COUNTIFS('DRAFT 2'!$D:$D,$B167,'DRAFT 2'!$A:$A,"&gt;="&amp;DATE(2026,9,15),'DRAFT 2'!$A:$A,"&lt;="&amp;DATE(2026,9,21))</f>
        <v>0</v>
      </c>
      <c r="HB167">
        <f>COUNTIFS('DRAFT 2'!$D:$D,$B167,'DRAFT 2'!$A:$A,"&gt;="&amp;DATE(2026,9,22),'DRAFT 2'!$A:$A,"&lt;"&amp;DATE(2026,IF(9=12,9+1,9+1),1))</f>
        <v>0</v>
      </c>
      <c r="HC167">
        <f t="shared" si="80"/>
        <v>0</v>
      </c>
      <c r="HN167">
        <f>IFERROR(LOOKUP(2,1/('DRAFT 2'!$D:$D=$B167)*('DRAFT 2'!$A:$A&gt;=DATE(2026,10,1))*('DRAFT 2'!$A:$A&lt;DATE(2026,IF(10=12,10+1,10+1),1)),'DRAFT 2'!$A:$A),"")</f>
        <v>0</v>
      </c>
      <c r="HO167">
        <f>COUNTIFS('DRAFT 2'!$D:$D,$B167,'DRAFT 2'!$A:$A,"&gt;="&amp;DATE(2026,10,1),'DRAFT 2'!$A:$A,"&lt;="&amp;DATE(2026,10,7))</f>
        <v>0</v>
      </c>
      <c r="HP167">
        <f>COUNTIFS('DRAFT 2'!$D:$D,$B167,'DRAFT 2'!$A:$A,"&gt;="&amp;DATE(2026,10,8),'DRAFT 2'!$A:$A,"&lt;="&amp;DATE(2026,10,14))</f>
        <v>0</v>
      </c>
      <c r="HQ167">
        <f>COUNTIFS('DRAFT 2'!$D:$D,$B167,'DRAFT 2'!$A:$A,"&gt;="&amp;DATE(2026,10,15),'DRAFT 2'!$A:$A,"&lt;="&amp;DATE(2026,10,21))</f>
        <v>0</v>
      </c>
      <c r="HR167">
        <f>COUNTIFS('DRAFT 2'!$D:$D,$B167,'DRAFT 2'!$A:$A,"&gt;="&amp;DATE(2026,10,22),'DRAFT 2'!$A:$A,"&lt;"&amp;DATE(2026,IF(10=12,10+1,10+1),1))</f>
        <v>0</v>
      </c>
      <c r="HS167">
        <f t="shared" si="81"/>
        <v>0</v>
      </c>
      <c r="IC167">
        <f>IFERROR(LOOKUP(2,1/('DRAFT 2'!$D:$D=$B167)*('DRAFT 2'!$A:$A&gt;=DATE(2026,11,1))*('DRAFT 2'!$A:$A&lt;DATE(2026,IF(11=12,11+1,11+1),1)),'DRAFT 2'!$A:$A),"")</f>
        <v>0</v>
      </c>
      <c r="ID167">
        <f>COUNTIFS('DRAFT 2'!$D:$D,$B167,'DRAFT 2'!$A:$A,"&gt;="&amp;DATE(2026,11,1),'DRAFT 2'!$A:$A,"&lt;="&amp;DATE(2026,11,7))</f>
        <v>0</v>
      </c>
      <c r="IE167">
        <f>COUNTIFS('DRAFT 2'!$D:$D,$B167,'DRAFT 2'!$A:$A,"&gt;="&amp;DATE(2026,11,8),'DRAFT 2'!$A:$A,"&lt;="&amp;DATE(2026,11,14))</f>
        <v>0</v>
      </c>
      <c r="IF167">
        <f>COUNTIFS('DRAFT 2'!$D:$D,$B167,'DRAFT 2'!$A:$A,"&gt;="&amp;DATE(2026,11,15),'DRAFT 2'!$A:$A,"&lt;="&amp;DATE(2026,11,21))</f>
        <v>0</v>
      </c>
      <c r="IG167">
        <f>COUNTIFS('DRAFT 2'!$D:$D,$B167,'DRAFT 2'!$A:$A,"&gt;="&amp;DATE(2026,11,22),'DRAFT 2'!$A:$A,"&lt;"&amp;DATE(2026,IF(11=12,11+1,11+1),1))</f>
        <v>0</v>
      </c>
      <c r="IH167">
        <f t="shared" si="82"/>
        <v>0</v>
      </c>
      <c r="IR167">
        <f>IFERROR(LOOKUP(2,1/('DRAFT 2'!$D:$D=$B167)*('DRAFT 2'!$A:$A&gt;=DATE(2026,12,1))*('DRAFT 2'!$A:$A&lt;DATE(2026,IF(12=12,12+1,12+1),1)),'DRAFT 2'!$A:$A),"")</f>
        <v>0</v>
      </c>
      <c r="IS167">
        <f>COUNTIFS('DRAFT 2'!$D:$D,$B167,'DRAFT 2'!$A:$A,"&gt;="&amp;DATE(2026,12,1),'DRAFT 2'!$A:$A,"&lt;="&amp;DATE(2026,12,7))</f>
        <v>0</v>
      </c>
      <c r="IT167">
        <f>COUNTIFS('DRAFT 2'!$D:$D,$B167,'DRAFT 2'!$A:$A,"&gt;="&amp;DATE(2026,12,8),'DRAFT 2'!$A:$A,"&lt;="&amp;DATE(2026,12,14))</f>
        <v>0</v>
      </c>
      <c r="IU167">
        <f>COUNTIFS('DRAFT 2'!$D:$D,$B167,'DRAFT 2'!$A:$A,"&gt;="&amp;DATE(2026,12,15),'DRAFT 2'!$A:$A,"&lt;="&amp;DATE(2026,12,21))</f>
        <v>0</v>
      </c>
      <c r="IV167">
        <f>COUNTIFS('DRAFT 2'!$D:$D,$B167,'DRAFT 2'!$A:$A,"&gt;="&amp;DATE(2026,12,22),'DRAFT 2'!$A:$A,"&lt;"&amp;DATE(2026,IF(12=12,12+1,12+1),1))</f>
        <v>0</v>
      </c>
      <c r="IW167">
        <f t="shared" si="83"/>
        <v>0</v>
      </c>
    </row>
    <row r="168" spans="1:257" x14ac:dyDescent="0.3">
      <c r="A168" t="str">
        <f>IFERROR(INDEX('DRAFT 1'!$A:$A,MATCH($B168,'DRAFT 1'!$B:$B,0)),"")</f>
        <v/>
      </c>
      <c r="C168" t="str">
        <f>IFERROR(INDEX('DRAFT 1'!$C:$C,MATCH($B168,'DRAFT 1'!$B:$B,0)),"")</f>
        <v/>
      </c>
      <c r="D168" t="str">
        <f>IFERROR(INDEX('DRAFT 1'!$D:$D,MATCH($B168,'DRAFT 1'!$B:$B,0)),"")</f>
        <v/>
      </c>
      <c r="E168" t="str">
        <f>IFERROR(INDEX('DRAFT 1'!$E:$E,MATCH($B168,'DRAFT 1'!$B:$B,0)),"")</f>
        <v/>
      </c>
      <c r="F168" t="str">
        <f>IFERROR(INDEX('DRAFT 1'!$F:$F,MATCH($B168,'DRAFT 1'!$B:$B,0)),"")</f>
        <v/>
      </c>
      <c r="G168" t="str">
        <f>IFERROR(INDEX('DRAFT 1'!$G:$G,MATCH($B168,'DRAFT 1'!$B:$B,0)),"")</f>
        <v/>
      </c>
      <c r="H168" t="str">
        <f>IFERROR(INDEX('DRAFT 1'!$H:$H,MATCH($B168,'DRAFT 1'!$B:$B,0)),"")</f>
        <v/>
      </c>
      <c r="I168" t="str">
        <f>IFERROR(INDEX('DRAFT 1'!$I:$I,MATCH($B168,'DRAFT 1'!$B:$B,0)),"")</f>
        <v/>
      </c>
      <c r="K168" t="str">
        <f>IFERROR(INDEX('DRAFT 1'!$AL:$AL,MATCH($B168,'DRAFT 1'!$B:$B,0)),"")</f>
        <v/>
      </c>
      <c r="L168" t="str">
        <f>IFERROR(INDEX('DRAFT 1'!$J:$J,MATCH($B168,'DRAFT 1'!$B:$B,0)),"")</f>
        <v/>
      </c>
      <c r="M168" t="str">
        <f>IFERROR(INDEX('DRAFT 1'!$K:$K,MATCH($B168,'DRAFT 1'!$B:$B,0)),"")</f>
        <v/>
      </c>
      <c r="P168" t="str">
        <f>IFERROR(INDEX('DRAFT 1'!$L:$L,MATCH($B168,'DRAFT 1'!$B:$B,0)),"")</f>
        <v/>
      </c>
      <c r="Q168" t="str">
        <f>IFERROR(INDEX('DRAFT 1'!$M:$M,MATCH($B168,'DRAFT 1'!$B:$B,0)),"")</f>
        <v/>
      </c>
      <c r="R168" t="str">
        <f>IFERROR(INDEX('DRAFT 1'!$N:$N,MATCH($B168,'DRAFT 1'!$B:$B,0)),"")</f>
        <v/>
      </c>
      <c r="S168" t="str">
        <f>IFERROR(INDEX('DRAFT 1'!$O:$O,MATCH($B168,'DRAFT 1'!$B:$B,0)),"")</f>
        <v/>
      </c>
      <c r="T168" t="str">
        <f>IFERROR(INDEX('DRAFT 1'!$P:$P,MATCH($B168,'DRAFT 1'!$B:$B,0)),"")</f>
        <v/>
      </c>
      <c r="U168" t="str">
        <f>IFERROR(INDEX('DRAFT 1'!$Q:$Q,MATCH($B168,'DRAFT 1'!$B:$B,0)),"")</f>
        <v/>
      </c>
      <c r="V168" t="str">
        <f>IFERROR(INDEX('DRAFT 1'!$R:$R,MATCH($B168,'DRAFT 1'!$B:$B,0)),"")</f>
        <v/>
      </c>
      <c r="W168" t="str">
        <f>IFERROR(INDEX('DRAFT 1'!$S:$S,MATCH($B168,'DRAFT 1'!$B:$B,0)),"")</f>
        <v/>
      </c>
      <c r="X168" t="str">
        <f>IFERROR(INDEX('DRAFT 1'!$T:$T,MATCH($B168,'DRAFT 1'!$B:$B,0)),"")</f>
        <v/>
      </c>
      <c r="Z168" t="str">
        <f>IFERROR(INDEX('DRAFT 1'!$U:$U,MATCH($B168,'DRAFT 1'!$B:$B,0)),"")</f>
        <v/>
      </c>
      <c r="AA168" t="str">
        <f>IFERROR(INDEX('DRAFT 1'!$V:$V,MATCH($B168,'DRAFT 1'!$B:$B,0)),"")</f>
        <v/>
      </c>
      <c r="AB168" t="str">
        <f>IFERROR(INDEX('DRAFT 1'!$W:$W,MATCH($B168,'DRAFT 1'!$B:$B,0)),"")</f>
        <v/>
      </c>
      <c r="AC168" t="str">
        <f>IFERROR(INDEX('DRAFT 1'!$X:$X,MATCH($B168,'DRAFT 1'!$B:$B,0)),"")</f>
        <v/>
      </c>
      <c r="AD168" t="str">
        <f>IFERROR(INDEX('DRAFT 1'!$Y:$Y,MATCH($B168,'DRAFT 1'!$B:$B,0)),"")</f>
        <v/>
      </c>
      <c r="AE168" t="str">
        <f>IFERROR(INDEX('DRAFT 1'!$Z:$Z,MATCH($B168,'DRAFT 1'!$B:$B,0)),"")</f>
        <v/>
      </c>
      <c r="AF168" t="str">
        <f>IFERROR(INDEX('DRAFT 1'!$AA:$AA,MATCH($B168,'DRAFT 1'!$B:$B,0)),"")</f>
        <v/>
      </c>
      <c r="AG168" t="str">
        <f>IFERROR(INDEX('DRAFT 1'!$AB:$AB,MATCH($B168,'DRAFT 1'!$B:$B,0)),"")</f>
        <v/>
      </c>
      <c r="AH168" t="str">
        <f>IFERROR(INDEX('DRAFT 1'!$AC:$AC,MATCH($B168,'DRAFT 1'!$B:$B,0)),"")</f>
        <v/>
      </c>
      <c r="AI168" t="str">
        <f>IFERROR(INDEX('DRAFT 1'!$AD:$AD,MATCH($B168,'DRAFT 1'!$B:$B,0)),"")</f>
        <v/>
      </c>
      <c r="AJ168" t="str">
        <f>IFERROR(INDEX('DRAFT 1'!$AE:$AE,MATCH($B168,'DRAFT 1'!$B:$B,0)),"")</f>
        <v/>
      </c>
      <c r="AK168" t="str">
        <f>IFERROR(INDEX('DRAFT 1'!$AG:$AG,MATCH($B168,'DRAFT 1'!$B:$B,0)),"")</f>
        <v/>
      </c>
      <c r="AL168" t="str">
        <f>IFERROR(INDEX('DRAFT 1'!$AH:$AH,MATCH($B168,'DRAFT 1'!$B:$B,0)),"")</f>
        <v/>
      </c>
      <c r="AM168" t="str">
        <f>IFERROR(INDEX('DRAFT 1'!$AI:$AI,MATCH($B168,'DRAFT 1'!$B:$B,0)),"")</f>
        <v/>
      </c>
      <c r="AN168" t="str">
        <f>IFERROR(INDEX('DRAFT 1'!$AJ:$AJ,MATCH($B168,'DRAFT 1'!$B:$B,0)),"")</f>
        <v/>
      </c>
      <c r="AO168">
        <f t="shared" si="70"/>
        <v>0</v>
      </c>
      <c r="AP168" t="str">
        <f>IFERROR(INDEX('DRAFT 1'!$AK:$AK,MATCH($B168,'DRAFT 1'!$B:$B,0)),"")</f>
        <v/>
      </c>
      <c r="AR168">
        <f>IFERROR(LOOKUP(2,1/('DRAFT 2'!$D:$D=$B168),'DRAFT 2'!$I:$I),"")</f>
        <v>0</v>
      </c>
      <c r="AS168">
        <f>IFERROR(LOOKUP(2,1/('DRAFT 2'!$D:$D=$B168),'DRAFT 2'!$T:$T),"")</f>
        <v>0</v>
      </c>
      <c r="AT168">
        <f>IFERROR(LOOKUP(2,1/('DRAFT 2'!$D:$D=$B168),'DRAFT 2'!$A:$A),"")</f>
        <v>0</v>
      </c>
      <c r="AU168">
        <f>IFERROR(LOOKUP(2,1/('DRAFT 2'!$D:$D=$B168),'DRAFT 2'!$R:$R),"")</f>
        <v>0</v>
      </c>
      <c r="AV168">
        <f>IFERROR(LOOKUP(2,1/('DRAFT 2'!$D:$D=$B168),'DRAFT 2'!$S:$S),"")</f>
        <v>0</v>
      </c>
      <c r="AX168">
        <f>IFERROR(LOOKUP(2,1/('DRAFT 2'!$D:$D=$B168),'DRAFT 2'!$M:$M),"")</f>
        <v>0</v>
      </c>
      <c r="AY168">
        <f>IFERROR(LOOKUP(2,1/('DRAFT 2'!$D:$D=$B168),'DRAFT 2'!$K:$K),"")</f>
        <v>0</v>
      </c>
      <c r="BG168">
        <f>IFERROR(LOOKUP(2,1/('DRAFT 2'!$D:$D=$B168),'DRAFT 2'!$U:$U),"")</f>
        <v>0</v>
      </c>
      <c r="BH168">
        <f>IFERROR(LOOKUP(2,1/('DRAFT 2'!$D:$D=$B168),'DRAFT 2'!$V:$V),"")</f>
        <v>0</v>
      </c>
      <c r="CE168" t="str">
        <f t="shared" si="71"/>
        <v/>
      </c>
      <c r="CF168">
        <f>IFERROR(LOOKUP(2,1/('DRAFT 2'!$D:$D=$B168)*('DRAFT 2'!$A:$A&gt;=DATE(2026,1,1))*('DRAFT 2'!$A:$A&lt;DATE(2026,IF(1=12,1+1,1+1),1)),'DRAFT 2'!$A:$A),"")</f>
        <v>0</v>
      </c>
      <c r="CG168">
        <f>COUNTIFS('DRAFT 2'!$D:$D,$B168,'DRAFT 2'!$A:$A,"&gt;="&amp;DATE(2026,1,1),'DRAFT 2'!$A:$A,"&lt;="&amp;DATE(2026,1,7))</f>
        <v>0</v>
      </c>
      <c r="CH168">
        <f>COUNTIFS('DRAFT 2'!$D:$D,$B168,'DRAFT 2'!$A:$A,"&gt;="&amp;DATE(2026,1,8),'DRAFT 2'!$A:$A,"&lt;="&amp;DATE(2026,1,14))</f>
        <v>0</v>
      </c>
      <c r="CI168">
        <f>COUNTIFS('DRAFT 2'!$D:$D,$B168,'DRAFT 2'!$A:$A,"&gt;="&amp;DATE(2026,1,15),'DRAFT 2'!$A:$A,"&lt;="&amp;DATE(2026,1,21))</f>
        <v>0</v>
      </c>
      <c r="CJ168">
        <f>COUNTIFS('DRAFT 2'!$D:$D,$B168,'DRAFT 2'!$A:$A,"&gt;="&amp;DATE(2026,1,22),'DRAFT 2'!$A:$A,"&lt;"&amp;DATE(2026,IF(1=12,1+1,1+1),1))</f>
        <v>0</v>
      </c>
      <c r="CK168">
        <f t="shared" si="72"/>
        <v>0</v>
      </c>
      <c r="CT168">
        <v>0</v>
      </c>
      <c r="CU168">
        <f>IFERROR(LOOKUP(2,1/('DRAFT 2'!$D:$D=$B168)*('DRAFT 2'!$A:$A&gt;=DATE(2026,2,1))*('DRAFT 2'!$A:$A&lt;DATE(2026,IF(2=12,2+1,2+1),1)),'DRAFT 2'!$A:$A),"")</f>
        <v>0</v>
      </c>
      <c r="CV168">
        <f>COUNTIFS('DRAFT 2'!$D:$D,$B168,'DRAFT 2'!$A:$A,"&gt;="&amp;DATE(2026,2,1),'DRAFT 2'!$A:$A,"&lt;="&amp;DATE(2026,2,7))</f>
        <v>0</v>
      </c>
      <c r="CW168">
        <f>COUNTIFS('DRAFT 2'!$D:$D,$B168,'DRAFT 2'!$A:$A,"&gt;="&amp;DATE(2026,2,8),'DRAFT 2'!$A:$A,"&lt;="&amp;DATE(2026,2,14))</f>
        <v>0</v>
      </c>
      <c r="CX168">
        <f>COUNTIFS('DRAFT 2'!$D:$D,$B168,'DRAFT 2'!$A:$A,"&gt;="&amp;DATE(2026,2,15),'DRAFT 2'!$A:$A,"&lt;="&amp;DATE(2026,2,21))</f>
        <v>0</v>
      </c>
      <c r="CY168">
        <f>COUNTIFS('DRAFT 2'!$D:$D,$B168,'DRAFT 2'!$A:$A,"&gt;="&amp;DATE(2026,2,22),'DRAFT 2'!$A:$A,"&lt;"&amp;DATE(2026,IF(2=12,2+1,2+1),1))</f>
        <v>0</v>
      </c>
      <c r="CZ168">
        <f t="shared" si="73"/>
        <v>0</v>
      </c>
      <c r="DJ168">
        <f>IFERROR(LOOKUP(2,1/('DRAFT 2'!$D:$D=$B168)*('DRAFT 2'!$A:$A&gt;=DATE(2026,3,1))*('DRAFT 2'!$A:$A&lt;DATE(2026,IF(3=12,3+1,3+1),1)),'DRAFT 2'!$A:$A),"")</f>
        <v>0</v>
      </c>
      <c r="DK168">
        <f>COUNTIFS('DRAFT 2'!$D:$D,$B168,'DRAFT 2'!$A:$A,"&gt;="&amp;DATE(2026,3,1),'DRAFT 2'!$A:$A,"&lt;="&amp;DATE(2026,3,7))</f>
        <v>0</v>
      </c>
      <c r="DL168">
        <f>COUNTIFS('DRAFT 2'!$D:$D,$B168,'DRAFT 2'!$A:$A,"&gt;="&amp;DATE(2026,3,8),'DRAFT 2'!$A:$A,"&lt;="&amp;DATE(2026,3,14))</f>
        <v>0</v>
      </c>
      <c r="DM168">
        <f>COUNTIFS('DRAFT 2'!$D:$D,$B168,'DRAFT 2'!$A:$A,"&gt;="&amp;DATE(2026,3,15),'DRAFT 2'!$A:$A,"&lt;="&amp;DATE(2026,3,21))</f>
        <v>0</v>
      </c>
      <c r="DN168">
        <f>COUNTIFS('DRAFT 2'!$D:$D,$B168,'DRAFT 2'!$A:$A,"&gt;="&amp;DATE(2026,3,22),'DRAFT 2'!$A:$A,"&lt;"&amp;DATE(2026,IF(3=12,3+1,3+1),1))</f>
        <v>0</v>
      </c>
      <c r="DO168">
        <f t="shared" si="74"/>
        <v>0</v>
      </c>
      <c r="DZ168">
        <f>IFERROR(LOOKUP(2,1/('DRAFT 2'!$D:$D=$B168)*('DRAFT 2'!$A:$A&gt;=DATE(2026,4,1))*('DRAFT 2'!$A:$A&lt;DATE(2026,IF(4=12,4+1,4+1),1)),'DRAFT 2'!$A:$A),"")</f>
        <v>0</v>
      </c>
      <c r="EA168">
        <f>COUNTIFS('DRAFT 2'!$D:$D,$B168,'DRAFT 2'!$A:$A,"&gt;="&amp;DATE(2026,4,1),'DRAFT 2'!$A:$A,"&lt;="&amp;DATE(2026,4,7))</f>
        <v>0</v>
      </c>
      <c r="EB168">
        <f>COUNTIFS('DRAFT 2'!$D:$D,$B168,'DRAFT 2'!$A:$A,"&gt;="&amp;DATE(2026,4,8),'DRAFT 2'!$A:$A,"&lt;="&amp;DATE(2026,4,14))</f>
        <v>0</v>
      </c>
      <c r="EC168">
        <f>COUNTIFS('DRAFT 2'!$D:$D,$B168,'DRAFT 2'!$A:$A,"&gt;="&amp;DATE(2026,4,15),'DRAFT 2'!$A:$A,"&lt;="&amp;DATE(2026,4,21))</f>
        <v>0</v>
      </c>
      <c r="ED168">
        <f>COUNTIFS('DRAFT 2'!$D:$D,$B168,'DRAFT 2'!$A:$A,"&gt;="&amp;DATE(2026,4,22),'DRAFT 2'!$A:$A,"&lt;"&amp;DATE(2026,IF(4=12,4+1,4+1),1))</f>
        <v>0</v>
      </c>
      <c r="EE168">
        <f t="shared" si="75"/>
        <v>0</v>
      </c>
      <c r="EO168">
        <f>IFERROR(LOOKUP(2,1/('DRAFT 2'!$D:$D=$B168)*('DRAFT 2'!$A:$A&gt;=DATE(2026,5,1))*('DRAFT 2'!$A:$A&lt;DATE(2026,IF(5=12,5+1,5+1),1)),'DRAFT 2'!$A:$A),"")</f>
        <v>0</v>
      </c>
      <c r="EP168">
        <f>COUNTIFS('DRAFT 2'!$D:$D,$B168,'DRAFT 2'!$A:$A,"&gt;="&amp;DATE(2026,5,1),'DRAFT 2'!$A:$A,"&lt;="&amp;DATE(2026,5,7))</f>
        <v>0</v>
      </c>
      <c r="EQ168">
        <f>COUNTIFS('DRAFT 2'!$D:$D,$B168,'DRAFT 2'!$A:$A,"&gt;="&amp;DATE(2026,5,8),'DRAFT 2'!$A:$A,"&lt;="&amp;DATE(2026,5,14))</f>
        <v>0</v>
      </c>
      <c r="ER168">
        <f>COUNTIFS('DRAFT 2'!$D:$D,$B168,'DRAFT 2'!$A:$A,"&gt;="&amp;DATE(2026,5,15),'DRAFT 2'!$A:$A,"&lt;="&amp;DATE(2026,5,21))</f>
        <v>0</v>
      </c>
      <c r="ES168">
        <f>COUNTIFS('DRAFT 2'!$D:$D,$B168,'DRAFT 2'!$A:$A,"&gt;="&amp;DATE(2026,5,22),'DRAFT 2'!$A:$A,"&lt;"&amp;DATE(2026,IF(5=12,5+1,5+1),1))</f>
        <v>0</v>
      </c>
      <c r="ET168">
        <f t="shared" si="76"/>
        <v>0</v>
      </c>
      <c r="FD168">
        <f>IFERROR(LOOKUP(2,1/('DRAFT 2'!$D:$D=$B168)*('DRAFT 2'!$A:$A&gt;=DATE(2026,6,1))*('DRAFT 2'!$A:$A&lt;DATE(2026,IF(6=12,6+1,6+1),1)),'DRAFT 2'!$A:$A),"")</f>
        <v>0</v>
      </c>
      <c r="FE168">
        <f>COUNTIFS('DRAFT 2'!$D:$D,$B168,'DRAFT 2'!$A:$A,"&gt;="&amp;DATE(2026,6,1),'DRAFT 2'!$A:$A,"&lt;="&amp;DATE(2026,6,7))</f>
        <v>0</v>
      </c>
      <c r="FF168">
        <f>COUNTIFS('DRAFT 2'!$D:$D,$B168,'DRAFT 2'!$A:$A,"&gt;="&amp;DATE(2026,6,8),'DRAFT 2'!$A:$A,"&lt;="&amp;DATE(2026,6,14))</f>
        <v>0</v>
      </c>
      <c r="FG168">
        <f>COUNTIFS('DRAFT 2'!$D:$D,$B168,'DRAFT 2'!$A:$A,"&gt;="&amp;DATE(2026,6,15),'DRAFT 2'!$A:$A,"&lt;="&amp;DATE(2026,6,21))</f>
        <v>0</v>
      </c>
      <c r="FH168">
        <f>COUNTIFS('DRAFT 2'!$D:$D,$B168,'DRAFT 2'!$A:$A,"&gt;="&amp;DATE(2026,6,22),'DRAFT 2'!$A:$A,"&lt;"&amp;DATE(2026,IF(6=12,6+1,6+1),1))</f>
        <v>0</v>
      </c>
      <c r="FI168">
        <f t="shared" si="77"/>
        <v>0</v>
      </c>
      <c r="FT168">
        <f>IFERROR(LOOKUP(2,1/('DRAFT 2'!$D:$D=$B168)*('DRAFT 2'!$A:$A&gt;=DATE(2026,7,1))*('DRAFT 2'!$A:$A&lt;DATE(2026,IF(7=12,7+1,7+1),1)),'DRAFT 2'!$A:$A),"")</f>
        <v>0</v>
      </c>
      <c r="FU168">
        <f>COUNTIFS('DRAFT 2'!$D:$D,$B168,'DRAFT 2'!$A:$A,"&gt;="&amp;DATE(2026,7,1),'DRAFT 2'!$A:$A,"&lt;="&amp;DATE(2026,7,7))</f>
        <v>0</v>
      </c>
      <c r="FV168">
        <f>COUNTIFS('DRAFT 2'!$D:$D,$B168,'DRAFT 2'!$A:$A,"&gt;="&amp;DATE(2026,7,8),'DRAFT 2'!$A:$A,"&lt;="&amp;DATE(2026,7,14))</f>
        <v>0</v>
      </c>
      <c r="FW168">
        <f>COUNTIFS('DRAFT 2'!$D:$D,$B168,'DRAFT 2'!$A:$A,"&gt;="&amp;DATE(2026,7,15),'DRAFT 2'!$A:$A,"&lt;="&amp;DATE(2026,7,21))</f>
        <v>0</v>
      </c>
      <c r="FX168">
        <f>COUNTIFS('DRAFT 2'!$D:$D,$B168,'DRAFT 2'!$A:$A,"&gt;="&amp;DATE(2026,7,22),'DRAFT 2'!$A:$A,"&lt;"&amp;DATE(2026,IF(7=12,7+1,7+1),1))</f>
        <v>0</v>
      </c>
      <c r="FY168">
        <f t="shared" si="78"/>
        <v>0</v>
      </c>
      <c r="GI168">
        <f>IFERROR(LOOKUP(2,1/('DRAFT 2'!$D:$D=$B168)*('DRAFT 2'!$A:$A&gt;=DATE(2026,8,1))*('DRAFT 2'!$A:$A&lt;DATE(2026,IF(8=12,8+1,8+1),1)),'DRAFT 2'!$A:$A),"")</f>
        <v>0</v>
      </c>
      <c r="GJ168">
        <f>COUNTIFS('DRAFT 2'!$D:$D,$B168,'DRAFT 2'!$A:$A,"&gt;="&amp;DATE(2026,8,1),'DRAFT 2'!$A:$A,"&lt;="&amp;DATE(2026,8,7))</f>
        <v>0</v>
      </c>
      <c r="GK168">
        <f>COUNTIFS('DRAFT 2'!$D:$D,$B168,'DRAFT 2'!$A:$A,"&gt;="&amp;DATE(2026,8,8),'DRAFT 2'!$A:$A,"&lt;="&amp;DATE(2026,8,14))</f>
        <v>0</v>
      </c>
      <c r="GL168">
        <f>COUNTIFS('DRAFT 2'!$D:$D,$B168,'DRAFT 2'!$A:$A,"&gt;="&amp;DATE(2026,8,15),'DRAFT 2'!$A:$A,"&lt;="&amp;DATE(2026,8,21))</f>
        <v>0</v>
      </c>
      <c r="GM168">
        <f>COUNTIFS('DRAFT 2'!$D:$D,$B168,'DRAFT 2'!$A:$A,"&gt;="&amp;DATE(2026,8,22),'DRAFT 2'!$A:$A,"&lt;"&amp;DATE(2026,IF(8=12,8+1,8+1),1))</f>
        <v>0</v>
      </c>
      <c r="GN168">
        <f t="shared" si="79"/>
        <v>0</v>
      </c>
      <c r="GX168">
        <f>IFERROR(LOOKUP(2,1/('DRAFT 2'!$D:$D=$B168)*('DRAFT 2'!$A:$A&gt;=DATE(2026,9,1))*('DRAFT 2'!$A:$A&lt;DATE(2026,IF(9=12,9+1,9+1),1)),'DRAFT 2'!$A:$A),"")</f>
        <v>0</v>
      </c>
      <c r="GY168">
        <f>COUNTIFS('DRAFT 2'!$D:$D,$B168,'DRAFT 2'!$A:$A,"&gt;="&amp;DATE(2026,9,1),'DRAFT 2'!$A:$A,"&lt;="&amp;DATE(2026,9,7))</f>
        <v>0</v>
      </c>
      <c r="GZ168">
        <f>COUNTIFS('DRAFT 2'!$D:$D,$B168,'DRAFT 2'!$A:$A,"&gt;="&amp;DATE(2026,9,8),'DRAFT 2'!$A:$A,"&lt;="&amp;DATE(2026,9,14))</f>
        <v>0</v>
      </c>
      <c r="HA168">
        <f>COUNTIFS('DRAFT 2'!$D:$D,$B168,'DRAFT 2'!$A:$A,"&gt;="&amp;DATE(2026,9,15),'DRAFT 2'!$A:$A,"&lt;="&amp;DATE(2026,9,21))</f>
        <v>0</v>
      </c>
      <c r="HB168">
        <f>COUNTIFS('DRAFT 2'!$D:$D,$B168,'DRAFT 2'!$A:$A,"&gt;="&amp;DATE(2026,9,22),'DRAFT 2'!$A:$A,"&lt;"&amp;DATE(2026,IF(9=12,9+1,9+1),1))</f>
        <v>0</v>
      </c>
      <c r="HC168">
        <f t="shared" si="80"/>
        <v>0</v>
      </c>
      <c r="HN168">
        <f>IFERROR(LOOKUP(2,1/('DRAFT 2'!$D:$D=$B168)*('DRAFT 2'!$A:$A&gt;=DATE(2026,10,1))*('DRAFT 2'!$A:$A&lt;DATE(2026,IF(10=12,10+1,10+1),1)),'DRAFT 2'!$A:$A),"")</f>
        <v>0</v>
      </c>
      <c r="HO168">
        <f>COUNTIFS('DRAFT 2'!$D:$D,$B168,'DRAFT 2'!$A:$A,"&gt;="&amp;DATE(2026,10,1),'DRAFT 2'!$A:$A,"&lt;="&amp;DATE(2026,10,7))</f>
        <v>0</v>
      </c>
      <c r="HP168">
        <f>COUNTIFS('DRAFT 2'!$D:$D,$B168,'DRAFT 2'!$A:$A,"&gt;="&amp;DATE(2026,10,8),'DRAFT 2'!$A:$A,"&lt;="&amp;DATE(2026,10,14))</f>
        <v>0</v>
      </c>
      <c r="HQ168">
        <f>COUNTIFS('DRAFT 2'!$D:$D,$B168,'DRAFT 2'!$A:$A,"&gt;="&amp;DATE(2026,10,15),'DRAFT 2'!$A:$A,"&lt;="&amp;DATE(2026,10,21))</f>
        <v>0</v>
      </c>
      <c r="HR168">
        <f>COUNTIFS('DRAFT 2'!$D:$D,$B168,'DRAFT 2'!$A:$A,"&gt;="&amp;DATE(2026,10,22),'DRAFT 2'!$A:$A,"&lt;"&amp;DATE(2026,IF(10=12,10+1,10+1),1))</f>
        <v>0</v>
      </c>
      <c r="HS168">
        <f t="shared" si="81"/>
        <v>0</v>
      </c>
      <c r="IC168">
        <f>IFERROR(LOOKUP(2,1/('DRAFT 2'!$D:$D=$B168)*('DRAFT 2'!$A:$A&gt;=DATE(2026,11,1))*('DRAFT 2'!$A:$A&lt;DATE(2026,IF(11=12,11+1,11+1),1)),'DRAFT 2'!$A:$A),"")</f>
        <v>0</v>
      </c>
      <c r="ID168">
        <f>COUNTIFS('DRAFT 2'!$D:$D,$B168,'DRAFT 2'!$A:$A,"&gt;="&amp;DATE(2026,11,1),'DRAFT 2'!$A:$A,"&lt;="&amp;DATE(2026,11,7))</f>
        <v>0</v>
      </c>
      <c r="IE168">
        <f>COUNTIFS('DRAFT 2'!$D:$D,$B168,'DRAFT 2'!$A:$A,"&gt;="&amp;DATE(2026,11,8),'DRAFT 2'!$A:$A,"&lt;="&amp;DATE(2026,11,14))</f>
        <v>0</v>
      </c>
      <c r="IF168">
        <f>COUNTIFS('DRAFT 2'!$D:$D,$B168,'DRAFT 2'!$A:$A,"&gt;="&amp;DATE(2026,11,15),'DRAFT 2'!$A:$A,"&lt;="&amp;DATE(2026,11,21))</f>
        <v>0</v>
      </c>
      <c r="IG168">
        <f>COUNTIFS('DRAFT 2'!$D:$D,$B168,'DRAFT 2'!$A:$A,"&gt;="&amp;DATE(2026,11,22),'DRAFT 2'!$A:$A,"&lt;"&amp;DATE(2026,IF(11=12,11+1,11+1),1))</f>
        <v>0</v>
      </c>
      <c r="IH168">
        <f t="shared" si="82"/>
        <v>0</v>
      </c>
      <c r="IR168">
        <f>IFERROR(LOOKUP(2,1/('DRAFT 2'!$D:$D=$B168)*('DRAFT 2'!$A:$A&gt;=DATE(2026,12,1))*('DRAFT 2'!$A:$A&lt;DATE(2026,IF(12=12,12+1,12+1),1)),'DRAFT 2'!$A:$A),"")</f>
        <v>0</v>
      </c>
      <c r="IS168">
        <f>COUNTIFS('DRAFT 2'!$D:$D,$B168,'DRAFT 2'!$A:$A,"&gt;="&amp;DATE(2026,12,1),'DRAFT 2'!$A:$A,"&lt;="&amp;DATE(2026,12,7))</f>
        <v>0</v>
      </c>
      <c r="IT168">
        <f>COUNTIFS('DRAFT 2'!$D:$D,$B168,'DRAFT 2'!$A:$A,"&gt;="&amp;DATE(2026,12,8),'DRAFT 2'!$A:$A,"&lt;="&amp;DATE(2026,12,14))</f>
        <v>0</v>
      </c>
      <c r="IU168">
        <f>COUNTIFS('DRAFT 2'!$D:$D,$B168,'DRAFT 2'!$A:$A,"&gt;="&amp;DATE(2026,12,15),'DRAFT 2'!$A:$A,"&lt;="&amp;DATE(2026,12,21))</f>
        <v>0</v>
      </c>
      <c r="IV168">
        <f>COUNTIFS('DRAFT 2'!$D:$D,$B168,'DRAFT 2'!$A:$A,"&gt;="&amp;DATE(2026,12,22),'DRAFT 2'!$A:$A,"&lt;"&amp;DATE(2026,IF(12=12,12+1,12+1),1))</f>
        <v>0</v>
      </c>
      <c r="IW168">
        <f t="shared" si="83"/>
        <v>0</v>
      </c>
    </row>
    <row r="169" spans="1:257" x14ac:dyDescent="0.3">
      <c r="A169" t="str">
        <f>IFERROR(INDEX('DRAFT 1'!$A:$A,MATCH($B169,'DRAFT 1'!$B:$B,0)),"")</f>
        <v/>
      </c>
      <c r="C169" t="str">
        <f>IFERROR(INDEX('DRAFT 1'!$C:$C,MATCH($B169,'DRAFT 1'!$B:$B,0)),"")</f>
        <v/>
      </c>
      <c r="D169" t="str">
        <f>IFERROR(INDEX('DRAFT 1'!$D:$D,MATCH($B169,'DRAFT 1'!$B:$B,0)),"")</f>
        <v/>
      </c>
      <c r="E169" t="str">
        <f>IFERROR(INDEX('DRAFT 1'!$E:$E,MATCH($B169,'DRAFT 1'!$B:$B,0)),"")</f>
        <v/>
      </c>
      <c r="F169" t="str">
        <f>IFERROR(INDEX('DRAFT 1'!$F:$F,MATCH($B169,'DRAFT 1'!$B:$B,0)),"")</f>
        <v/>
      </c>
      <c r="G169" t="str">
        <f>IFERROR(INDEX('DRAFT 1'!$G:$G,MATCH($B169,'DRAFT 1'!$B:$B,0)),"")</f>
        <v/>
      </c>
      <c r="H169" t="str">
        <f>IFERROR(INDEX('DRAFT 1'!$H:$H,MATCH($B169,'DRAFT 1'!$B:$B,0)),"")</f>
        <v/>
      </c>
      <c r="I169" t="str">
        <f>IFERROR(INDEX('DRAFT 1'!$I:$I,MATCH($B169,'DRAFT 1'!$B:$B,0)),"")</f>
        <v/>
      </c>
      <c r="K169" t="str">
        <f>IFERROR(INDEX('DRAFT 1'!$AL:$AL,MATCH($B169,'DRAFT 1'!$B:$B,0)),"")</f>
        <v/>
      </c>
      <c r="L169" t="str">
        <f>IFERROR(INDEX('DRAFT 1'!$J:$J,MATCH($B169,'DRAFT 1'!$B:$B,0)),"")</f>
        <v/>
      </c>
      <c r="M169" t="str">
        <f>IFERROR(INDEX('DRAFT 1'!$K:$K,MATCH($B169,'DRAFT 1'!$B:$B,0)),"")</f>
        <v/>
      </c>
      <c r="P169" t="str">
        <f>IFERROR(INDEX('DRAFT 1'!$L:$L,MATCH($B169,'DRAFT 1'!$B:$B,0)),"")</f>
        <v/>
      </c>
      <c r="Q169" t="str">
        <f>IFERROR(INDEX('DRAFT 1'!$M:$M,MATCH($B169,'DRAFT 1'!$B:$B,0)),"")</f>
        <v/>
      </c>
      <c r="R169" t="str">
        <f>IFERROR(INDEX('DRAFT 1'!$N:$N,MATCH($B169,'DRAFT 1'!$B:$B,0)),"")</f>
        <v/>
      </c>
      <c r="S169" t="str">
        <f>IFERROR(INDEX('DRAFT 1'!$O:$O,MATCH($B169,'DRAFT 1'!$B:$B,0)),"")</f>
        <v/>
      </c>
      <c r="T169" t="str">
        <f>IFERROR(INDEX('DRAFT 1'!$P:$P,MATCH($B169,'DRAFT 1'!$B:$B,0)),"")</f>
        <v/>
      </c>
      <c r="U169" t="str">
        <f>IFERROR(INDEX('DRAFT 1'!$Q:$Q,MATCH($B169,'DRAFT 1'!$B:$B,0)),"")</f>
        <v/>
      </c>
      <c r="V169" t="str">
        <f>IFERROR(INDEX('DRAFT 1'!$R:$R,MATCH($B169,'DRAFT 1'!$B:$B,0)),"")</f>
        <v/>
      </c>
      <c r="W169" t="str">
        <f>IFERROR(INDEX('DRAFT 1'!$S:$S,MATCH($B169,'DRAFT 1'!$B:$B,0)),"")</f>
        <v/>
      </c>
      <c r="X169" t="str">
        <f>IFERROR(INDEX('DRAFT 1'!$T:$T,MATCH($B169,'DRAFT 1'!$B:$B,0)),"")</f>
        <v/>
      </c>
      <c r="Z169" t="str">
        <f>IFERROR(INDEX('DRAFT 1'!$U:$U,MATCH($B169,'DRAFT 1'!$B:$B,0)),"")</f>
        <v/>
      </c>
      <c r="AA169" t="str">
        <f>IFERROR(INDEX('DRAFT 1'!$V:$V,MATCH($B169,'DRAFT 1'!$B:$B,0)),"")</f>
        <v/>
      </c>
      <c r="AB169" t="str">
        <f>IFERROR(INDEX('DRAFT 1'!$W:$W,MATCH($B169,'DRAFT 1'!$B:$B,0)),"")</f>
        <v/>
      </c>
      <c r="AC169" t="str">
        <f>IFERROR(INDEX('DRAFT 1'!$X:$X,MATCH($B169,'DRAFT 1'!$B:$B,0)),"")</f>
        <v/>
      </c>
      <c r="AD169" t="str">
        <f>IFERROR(INDEX('DRAFT 1'!$Y:$Y,MATCH($B169,'DRAFT 1'!$B:$B,0)),"")</f>
        <v/>
      </c>
      <c r="AE169" t="str">
        <f>IFERROR(INDEX('DRAFT 1'!$Z:$Z,MATCH($B169,'DRAFT 1'!$B:$B,0)),"")</f>
        <v/>
      </c>
      <c r="AF169" t="str">
        <f>IFERROR(INDEX('DRAFT 1'!$AA:$AA,MATCH($B169,'DRAFT 1'!$B:$B,0)),"")</f>
        <v/>
      </c>
      <c r="AG169" t="str">
        <f>IFERROR(INDEX('DRAFT 1'!$AB:$AB,MATCH($B169,'DRAFT 1'!$B:$B,0)),"")</f>
        <v/>
      </c>
      <c r="AH169" t="str">
        <f>IFERROR(INDEX('DRAFT 1'!$AC:$AC,MATCH($B169,'DRAFT 1'!$B:$B,0)),"")</f>
        <v/>
      </c>
      <c r="AI169" t="str">
        <f>IFERROR(INDEX('DRAFT 1'!$AD:$AD,MATCH($B169,'DRAFT 1'!$B:$B,0)),"")</f>
        <v/>
      </c>
      <c r="AJ169" t="str">
        <f>IFERROR(INDEX('DRAFT 1'!$AE:$AE,MATCH($B169,'DRAFT 1'!$B:$B,0)),"")</f>
        <v/>
      </c>
      <c r="AK169" t="str">
        <f>IFERROR(INDEX('DRAFT 1'!$AG:$AG,MATCH($B169,'DRAFT 1'!$B:$B,0)),"")</f>
        <v/>
      </c>
      <c r="AL169" t="str">
        <f>IFERROR(INDEX('DRAFT 1'!$AH:$AH,MATCH($B169,'DRAFT 1'!$B:$B,0)),"")</f>
        <v/>
      </c>
      <c r="AM169" t="str">
        <f>IFERROR(INDEX('DRAFT 1'!$AI:$AI,MATCH($B169,'DRAFT 1'!$B:$B,0)),"")</f>
        <v/>
      </c>
      <c r="AN169" t="str">
        <f>IFERROR(INDEX('DRAFT 1'!$AJ:$AJ,MATCH($B169,'DRAFT 1'!$B:$B,0)),"")</f>
        <v/>
      </c>
      <c r="AO169">
        <f t="shared" si="70"/>
        <v>0</v>
      </c>
      <c r="AP169" t="str">
        <f>IFERROR(INDEX('DRAFT 1'!$AK:$AK,MATCH($B169,'DRAFT 1'!$B:$B,0)),"")</f>
        <v/>
      </c>
      <c r="AR169">
        <f>IFERROR(LOOKUP(2,1/('DRAFT 2'!$D:$D=$B169),'DRAFT 2'!$I:$I),"")</f>
        <v>0</v>
      </c>
      <c r="AS169">
        <f>IFERROR(LOOKUP(2,1/('DRAFT 2'!$D:$D=$B169),'DRAFT 2'!$T:$T),"")</f>
        <v>0</v>
      </c>
      <c r="AT169">
        <f>IFERROR(LOOKUP(2,1/('DRAFT 2'!$D:$D=$B169),'DRAFT 2'!$A:$A),"")</f>
        <v>0</v>
      </c>
      <c r="AU169">
        <f>IFERROR(LOOKUP(2,1/('DRAFT 2'!$D:$D=$B169),'DRAFT 2'!$R:$R),"")</f>
        <v>0</v>
      </c>
      <c r="AV169">
        <f>IFERROR(LOOKUP(2,1/('DRAFT 2'!$D:$D=$B169),'DRAFT 2'!$S:$S),"")</f>
        <v>0</v>
      </c>
      <c r="AX169">
        <f>IFERROR(LOOKUP(2,1/('DRAFT 2'!$D:$D=$B169),'DRAFT 2'!$M:$M),"")</f>
        <v>0</v>
      </c>
      <c r="AY169">
        <f>IFERROR(LOOKUP(2,1/('DRAFT 2'!$D:$D=$B169),'DRAFT 2'!$K:$K),"")</f>
        <v>0</v>
      </c>
      <c r="BG169">
        <f>IFERROR(LOOKUP(2,1/('DRAFT 2'!$D:$D=$B169),'DRAFT 2'!$U:$U),"")</f>
        <v>0</v>
      </c>
      <c r="BH169">
        <f>IFERROR(LOOKUP(2,1/('DRAFT 2'!$D:$D=$B169),'DRAFT 2'!$V:$V),"")</f>
        <v>0</v>
      </c>
      <c r="CE169" t="str">
        <f t="shared" si="71"/>
        <v/>
      </c>
      <c r="CF169">
        <f>IFERROR(LOOKUP(2,1/('DRAFT 2'!$D:$D=$B169)*('DRAFT 2'!$A:$A&gt;=DATE(2026,1,1))*('DRAFT 2'!$A:$A&lt;DATE(2026,IF(1=12,1+1,1+1),1)),'DRAFT 2'!$A:$A),"")</f>
        <v>0</v>
      </c>
      <c r="CG169">
        <f>COUNTIFS('DRAFT 2'!$D:$D,$B169,'DRAFT 2'!$A:$A,"&gt;="&amp;DATE(2026,1,1),'DRAFT 2'!$A:$A,"&lt;="&amp;DATE(2026,1,7))</f>
        <v>0</v>
      </c>
      <c r="CH169">
        <f>COUNTIFS('DRAFT 2'!$D:$D,$B169,'DRAFT 2'!$A:$A,"&gt;="&amp;DATE(2026,1,8),'DRAFT 2'!$A:$A,"&lt;="&amp;DATE(2026,1,14))</f>
        <v>0</v>
      </c>
      <c r="CI169">
        <f>COUNTIFS('DRAFT 2'!$D:$D,$B169,'DRAFT 2'!$A:$A,"&gt;="&amp;DATE(2026,1,15),'DRAFT 2'!$A:$A,"&lt;="&amp;DATE(2026,1,21))</f>
        <v>0</v>
      </c>
      <c r="CJ169">
        <f>COUNTIFS('DRAFT 2'!$D:$D,$B169,'DRAFT 2'!$A:$A,"&gt;="&amp;DATE(2026,1,22),'DRAFT 2'!$A:$A,"&lt;"&amp;DATE(2026,IF(1=12,1+1,1+1),1))</f>
        <v>0</v>
      </c>
      <c r="CK169">
        <f t="shared" si="72"/>
        <v>0</v>
      </c>
      <c r="CT169">
        <v>0</v>
      </c>
      <c r="CU169">
        <f>IFERROR(LOOKUP(2,1/('DRAFT 2'!$D:$D=$B169)*('DRAFT 2'!$A:$A&gt;=DATE(2026,2,1))*('DRAFT 2'!$A:$A&lt;DATE(2026,IF(2=12,2+1,2+1),1)),'DRAFT 2'!$A:$A),"")</f>
        <v>0</v>
      </c>
      <c r="CV169">
        <f>COUNTIFS('DRAFT 2'!$D:$D,$B169,'DRAFT 2'!$A:$A,"&gt;="&amp;DATE(2026,2,1),'DRAFT 2'!$A:$A,"&lt;="&amp;DATE(2026,2,7))</f>
        <v>0</v>
      </c>
      <c r="CW169">
        <f>COUNTIFS('DRAFT 2'!$D:$D,$B169,'DRAFT 2'!$A:$A,"&gt;="&amp;DATE(2026,2,8),'DRAFT 2'!$A:$A,"&lt;="&amp;DATE(2026,2,14))</f>
        <v>0</v>
      </c>
      <c r="CX169">
        <f>COUNTIFS('DRAFT 2'!$D:$D,$B169,'DRAFT 2'!$A:$A,"&gt;="&amp;DATE(2026,2,15),'DRAFT 2'!$A:$A,"&lt;="&amp;DATE(2026,2,21))</f>
        <v>0</v>
      </c>
      <c r="CY169">
        <f>COUNTIFS('DRAFT 2'!$D:$D,$B169,'DRAFT 2'!$A:$A,"&gt;="&amp;DATE(2026,2,22),'DRAFT 2'!$A:$A,"&lt;"&amp;DATE(2026,IF(2=12,2+1,2+1),1))</f>
        <v>0</v>
      </c>
      <c r="CZ169">
        <f t="shared" si="73"/>
        <v>0</v>
      </c>
      <c r="DJ169">
        <f>IFERROR(LOOKUP(2,1/('DRAFT 2'!$D:$D=$B169)*('DRAFT 2'!$A:$A&gt;=DATE(2026,3,1))*('DRAFT 2'!$A:$A&lt;DATE(2026,IF(3=12,3+1,3+1),1)),'DRAFT 2'!$A:$A),"")</f>
        <v>0</v>
      </c>
      <c r="DK169">
        <f>COUNTIFS('DRAFT 2'!$D:$D,$B169,'DRAFT 2'!$A:$A,"&gt;="&amp;DATE(2026,3,1),'DRAFT 2'!$A:$A,"&lt;="&amp;DATE(2026,3,7))</f>
        <v>0</v>
      </c>
      <c r="DL169">
        <f>COUNTIFS('DRAFT 2'!$D:$D,$B169,'DRAFT 2'!$A:$A,"&gt;="&amp;DATE(2026,3,8),'DRAFT 2'!$A:$A,"&lt;="&amp;DATE(2026,3,14))</f>
        <v>0</v>
      </c>
      <c r="DM169">
        <f>COUNTIFS('DRAFT 2'!$D:$D,$B169,'DRAFT 2'!$A:$A,"&gt;="&amp;DATE(2026,3,15),'DRAFT 2'!$A:$A,"&lt;="&amp;DATE(2026,3,21))</f>
        <v>0</v>
      </c>
      <c r="DN169">
        <f>COUNTIFS('DRAFT 2'!$D:$D,$B169,'DRAFT 2'!$A:$A,"&gt;="&amp;DATE(2026,3,22),'DRAFT 2'!$A:$A,"&lt;"&amp;DATE(2026,IF(3=12,3+1,3+1),1))</f>
        <v>0</v>
      </c>
      <c r="DO169">
        <f t="shared" si="74"/>
        <v>0</v>
      </c>
      <c r="DZ169">
        <f>IFERROR(LOOKUP(2,1/('DRAFT 2'!$D:$D=$B169)*('DRAFT 2'!$A:$A&gt;=DATE(2026,4,1))*('DRAFT 2'!$A:$A&lt;DATE(2026,IF(4=12,4+1,4+1),1)),'DRAFT 2'!$A:$A),"")</f>
        <v>0</v>
      </c>
      <c r="EA169">
        <f>COUNTIFS('DRAFT 2'!$D:$D,$B169,'DRAFT 2'!$A:$A,"&gt;="&amp;DATE(2026,4,1),'DRAFT 2'!$A:$A,"&lt;="&amp;DATE(2026,4,7))</f>
        <v>0</v>
      </c>
      <c r="EB169">
        <f>COUNTIFS('DRAFT 2'!$D:$D,$B169,'DRAFT 2'!$A:$A,"&gt;="&amp;DATE(2026,4,8),'DRAFT 2'!$A:$A,"&lt;="&amp;DATE(2026,4,14))</f>
        <v>0</v>
      </c>
      <c r="EC169">
        <f>COUNTIFS('DRAFT 2'!$D:$D,$B169,'DRAFT 2'!$A:$A,"&gt;="&amp;DATE(2026,4,15),'DRAFT 2'!$A:$A,"&lt;="&amp;DATE(2026,4,21))</f>
        <v>0</v>
      </c>
      <c r="ED169">
        <f>COUNTIFS('DRAFT 2'!$D:$D,$B169,'DRAFT 2'!$A:$A,"&gt;="&amp;DATE(2026,4,22),'DRAFT 2'!$A:$A,"&lt;"&amp;DATE(2026,IF(4=12,4+1,4+1),1))</f>
        <v>0</v>
      </c>
      <c r="EE169">
        <f t="shared" si="75"/>
        <v>0</v>
      </c>
      <c r="EO169">
        <f>IFERROR(LOOKUP(2,1/('DRAFT 2'!$D:$D=$B169)*('DRAFT 2'!$A:$A&gt;=DATE(2026,5,1))*('DRAFT 2'!$A:$A&lt;DATE(2026,IF(5=12,5+1,5+1),1)),'DRAFT 2'!$A:$A),"")</f>
        <v>0</v>
      </c>
      <c r="EP169">
        <f>COUNTIFS('DRAFT 2'!$D:$D,$B169,'DRAFT 2'!$A:$A,"&gt;="&amp;DATE(2026,5,1),'DRAFT 2'!$A:$A,"&lt;="&amp;DATE(2026,5,7))</f>
        <v>0</v>
      </c>
      <c r="EQ169">
        <f>COUNTIFS('DRAFT 2'!$D:$D,$B169,'DRAFT 2'!$A:$A,"&gt;="&amp;DATE(2026,5,8),'DRAFT 2'!$A:$A,"&lt;="&amp;DATE(2026,5,14))</f>
        <v>0</v>
      </c>
      <c r="ER169">
        <f>COUNTIFS('DRAFT 2'!$D:$D,$B169,'DRAFT 2'!$A:$A,"&gt;="&amp;DATE(2026,5,15),'DRAFT 2'!$A:$A,"&lt;="&amp;DATE(2026,5,21))</f>
        <v>0</v>
      </c>
      <c r="ES169">
        <f>COUNTIFS('DRAFT 2'!$D:$D,$B169,'DRAFT 2'!$A:$A,"&gt;="&amp;DATE(2026,5,22),'DRAFT 2'!$A:$A,"&lt;"&amp;DATE(2026,IF(5=12,5+1,5+1),1))</f>
        <v>0</v>
      </c>
      <c r="ET169">
        <f t="shared" si="76"/>
        <v>0</v>
      </c>
      <c r="FD169">
        <f>IFERROR(LOOKUP(2,1/('DRAFT 2'!$D:$D=$B169)*('DRAFT 2'!$A:$A&gt;=DATE(2026,6,1))*('DRAFT 2'!$A:$A&lt;DATE(2026,IF(6=12,6+1,6+1),1)),'DRAFT 2'!$A:$A),"")</f>
        <v>0</v>
      </c>
      <c r="FE169">
        <f>COUNTIFS('DRAFT 2'!$D:$D,$B169,'DRAFT 2'!$A:$A,"&gt;="&amp;DATE(2026,6,1),'DRAFT 2'!$A:$A,"&lt;="&amp;DATE(2026,6,7))</f>
        <v>0</v>
      </c>
      <c r="FF169">
        <f>COUNTIFS('DRAFT 2'!$D:$D,$B169,'DRAFT 2'!$A:$A,"&gt;="&amp;DATE(2026,6,8),'DRAFT 2'!$A:$A,"&lt;="&amp;DATE(2026,6,14))</f>
        <v>0</v>
      </c>
      <c r="FG169">
        <f>COUNTIFS('DRAFT 2'!$D:$D,$B169,'DRAFT 2'!$A:$A,"&gt;="&amp;DATE(2026,6,15),'DRAFT 2'!$A:$A,"&lt;="&amp;DATE(2026,6,21))</f>
        <v>0</v>
      </c>
      <c r="FH169">
        <f>COUNTIFS('DRAFT 2'!$D:$D,$B169,'DRAFT 2'!$A:$A,"&gt;="&amp;DATE(2026,6,22),'DRAFT 2'!$A:$A,"&lt;"&amp;DATE(2026,IF(6=12,6+1,6+1),1))</f>
        <v>0</v>
      </c>
      <c r="FI169">
        <f t="shared" si="77"/>
        <v>0</v>
      </c>
      <c r="FT169">
        <f>IFERROR(LOOKUP(2,1/('DRAFT 2'!$D:$D=$B169)*('DRAFT 2'!$A:$A&gt;=DATE(2026,7,1))*('DRAFT 2'!$A:$A&lt;DATE(2026,IF(7=12,7+1,7+1),1)),'DRAFT 2'!$A:$A),"")</f>
        <v>0</v>
      </c>
      <c r="FU169">
        <f>COUNTIFS('DRAFT 2'!$D:$D,$B169,'DRAFT 2'!$A:$A,"&gt;="&amp;DATE(2026,7,1),'DRAFT 2'!$A:$A,"&lt;="&amp;DATE(2026,7,7))</f>
        <v>0</v>
      </c>
      <c r="FV169">
        <f>COUNTIFS('DRAFT 2'!$D:$D,$B169,'DRAFT 2'!$A:$A,"&gt;="&amp;DATE(2026,7,8),'DRAFT 2'!$A:$A,"&lt;="&amp;DATE(2026,7,14))</f>
        <v>0</v>
      </c>
      <c r="FW169">
        <f>COUNTIFS('DRAFT 2'!$D:$D,$B169,'DRAFT 2'!$A:$A,"&gt;="&amp;DATE(2026,7,15),'DRAFT 2'!$A:$A,"&lt;="&amp;DATE(2026,7,21))</f>
        <v>0</v>
      </c>
      <c r="FX169">
        <f>COUNTIFS('DRAFT 2'!$D:$D,$B169,'DRAFT 2'!$A:$A,"&gt;="&amp;DATE(2026,7,22),'DRAFT 2'!$A:$A,"&lt;"&amp;DATE(2026,IF(7=12,7+1,7+1),1))</f>
        <v>0</v>
      </c>
      <c r="FY169">
        <f t="shared" si="78"/>
        <v>0</v>
      </c>
      <c r="GI169">
        <f>IFERROR(LOOKUP(2,1/('DRAFT 2'!$D:$D=$B169)*('DRAFT 2'!$A:$A&gt;=DATE(2026,8,1))*('DRAFT 2'!$A:$A&lt;DATE(2026,IF(8=12,8+1,8+1),1)),'DRAFT 2'!$A:$A),"")</f>
        <v>0</v>
      </c>
      <c r="GJ169">
        <f>COUNTIFS('DRAFT 2'!$D:$D,$B169,'DRAFT 2'!$A:$A,"&gt;="&amp;DATE(2026,8,1),'DRAFT 2'!$A:$A,"&lt;="&amp;DATE(2026,8,7))</f>
        <v>0</v>
      </c>
      <c r="GK169">
        <f>COUNTIFS('DRAFT 2'!$D:$D,$B169,'DRAFT 2'!$A:$A,"&gt;="&amp;DATE(2026,8,8),'DRAFT 2'!$A:$A,"&lt;="&amp;DATE(2026,8,14))</f>
        <v>0</v>
      </c>
      <c r="GL169">
        <f>COUNTIFS('DRAFT 2'!$D:$D,$B169,'DRAFT 2'!$A:$A,"&gt;="&amp;DATE(2026,8,15),'DRAFT 2'!$A:$A,"&lt;="&amp;DATE(2026,8,21))</f>
        <v>0</v>
      </c>
      <c r="GM169">
        <f>COUNTIFS('DRAFT 2'!$D:$D,$B169,'DRAFT 2'!$A:$A,"&gt;="&amp;DATE(2026,8,22),'DRAFT 2'!$A:$A,"&lt;"&amp;DATE(2026,IF(8=12,8+1,8+1),1))</f>
        <v>0</v>
      </c>
      <c r="GN169">
        <f t="shared" si="79"/>
        <v>0</v>
      </c>
      <c r="GX169">
        <f>IFERROR(LOOKUP(2,1/('DRAFT 2'!$D:$D=$B169)*('DRAFT 2'!$A:$A&gt;=DATE(2026,9,1))*('DRAFT 2'!$A:$A&lt;DATE(2026,IF(9=12,9+1,9+1),1)),'DRAFT 2'!$A:$A),"")</f>
        <v>0</v>
      </c>
      <c r="GY169">
        <f>COUNTIFS('DRAFT 2'!$D:$D,$B169,'DRAFT 2'!$A:$A,"&gt;="&amp;DATE(2026,9,1),'DRAFT 2'!$A:$A,"&lt;="&amp;DATE(2026,9,7))</f>
        <v>0</v>
      </c>
      <c r="GZ169">
        <f>COUNTIFS('DRAFT 2'!$D:$D,$B169,'DRAFT 2'!$A:$A,"&gt;="&amp;DATE(2026,9,8),'DRAFT 2'!$A:$A,"&lt;="&amp;DATE(2026,9,14))</f>
        <v>0</v>
      </c>
      <c r="HA169">
        <f>COUNTIFS('DRAFT 2'!$D:$D,$B169,'DRAFT 2'!$A:$A,"&gt;="&amp;DATE(2026,9,15),'DRAFT 2'!$A:$A,"&lt;="&amp;DATE(2026,9,21))</f>
        <v>0</v>
      </c>
      <c r="HB169">
        <f>COUNTIFS('DRAFT 2'!$D:$D,$B169,'DRAFT 2'!$A:$A,"&gt;="&amp;DATE(2026,9,22),'DRAFT 2'!$A:$A,"&lt;"&amp;DATE(2026,IF(9=12,9+1,9+1),1))</f>
        <v>0</v>
      </c>
      <c r="HC169">
        <f t="shared" si="80"/>
        <v>0</v>
      </c>
      <c r="HN169">
        <f>IFERROR(LOOKUP(2,1/('DRAFT 2'!$D:$D=$B169)*('DRAFT 2'!$A:$A&gt;=DATE(2026,10,1))*('DRAFT 2'!$A:$A&lt;DATE(2026,IF(10=12,10+1,10+1),1)),'DRAFT 2'!$A:$A),"")</f>
        <v>0</v>
      </c>
      <c r="HO169">
        <f>COUNTIFS('DRAFT 2'!$D:$D,$B169,'DRAFT 2'!$A:$A,"&gt;="&amp;DATE(2026,10,1),'DRAFT 2'!$A:$A,"&lt;="&amp;DATE(2026,10,7))</f>
        <v>0</v>
      </c>
      <c r="HP169">
        <f>COUNTIFS('DRAFT 2'!$D:$D,$B169,'DRAFT 2'!$A:$A,"&gt;="&amp;DATE(2026,10,8),'DRAFT 2'!$A:$A,"&lt;="&amp;DATE(2026,10,14))</f>
        <v>0</v>
      </c>
      <c r="HQ169">
        <f>COUNTIFS('DRAFT 2'!$D:$D,$B169,'DRAFT 2'!$A:$A,"&gt;="&amp;DATE(2026,10,15),'DRAFT 2'!$A:$A,"&lt;="&amp;DATE(2026,10,21))</f>
        <v>0</v>
      </c>
      <c r="HR169">
        <f>COUNTIFS('DRAFT 2'!$D:$D,$B169,'DRAFT 2'!$A:$A,"&gt;="&amp;DATE(2026,10,22),'DRAFT 2'!$A:$A,"&lt;"&amp;DATE(2026,IF(10=12,10+1,10+1),1))</f>
        <v>0</v>
      </c>
      <c r="HS169">
        <f t="shared" si="81"/>
        <v>0</v>
      </c>
      <c r="IC169">
        <f>IFERROR(LOOKUP(2,1/('DRAFT 2'!$D:$D=$B169)*('DRAFT 2'!$A:$A&gt;=DATE(2026,11,1))*('DRAFT 2'!$A:$A&lt;DATE(2026,IF(11=12,11+1,11+1),1)),'DRAFT 2'!$A:$A),"")</f>
        <v>0</v>
      </c>
      <c r="ID169">
        <f>COUNTIFS('DRAFT 2'!$D:$D,$B169,'DRAFT 2'!$A:$A,"&gt;="&amp;DATE(2026,11,1),'DRAFT 2'!$A:$A,"&lt;="&amp;DATE(2026,11,7))</f>
        <v>0</v>
      </c>
      <c r="IE169">
        <f>COUNTIFS('DRAFT 2'!$D:$D,$B169,'DRAFT 2'!$A:$A,"&gt;="&amp;DATE(2026,11,8),'DRAFT 2'!$A:$A,"&lt;="&amp;DATE(2026,11,14))</f>
        <v>0</v>
      </c>
      <c r="IF169">
        <f>COUNTIFS('DRAFT 2'!$D:$D,$B169,'DRAFT 2'!$A:$A,"&gt;="&amp;DATE(2026,11,15),'DRAFT 2'!$A:$A,"&lt;="&amp;DATE(2026,11,21))</f>
        <v>0</v>
      </c>
      <c r="IG169">
        <f>COUNTIFS('DRAFT 2'!$D:$D,$B169,'DRAFT 2'!$A:$A,"&gt;="&amp;DATE(2026,11,22),'DRAFT 2'!$A:$A,"&lt;"&amp;DATE(2026,IF(11=12,11+1,11+1),1))</f>
        <v>0</v>
      </c>
      <c r="IH169">
        <f t="shared" si="82"/>
        <v>0</v>
      </c>
      <c r="IR169">
        <f>IFERROR(LOOKUP(2,1/('DRAFT 2'!$D:$D=$B169)*('DRAFT 2'!$A:$A&gt;=DATE(2026,12,1))*('DRAFT 2'!$A:$A&lt;DATE(2026,IF(12=12,12+1,12+1),1)),'DRAFT 2'!$A:$A),"")</f>
        <v>0</v>
      </c>
      <c r="IS169">
        <f>COUNTIFS('DRAFT 2'!$D:$D,$B169,'DRAFT 2'!$A:$A,"&gt;="&amp;DATE(2026,12,1),'DRAFT 2'!$A:$A,"&lt;="&amp;DATE(2026,12,7))</f>
        <v>0</v>
      </c>
      <c r="IT169">
        <f>COUNTIFS('DRAFT 2'!$D:$D,$B169,'DRAFT 2'!$A:$A,"&gt;="&amp;DATE(2026,12,8),'DRAFT 2'!$A:$A,"&lt;="&amp;DATE(2026,12,14))</f>
        <v>0</v>
      </c>
      <c r="IU169">
        <f>COUNTIFS('DRAFT 2'!$D:$D,$B169,'DRAFT 2'!$A:$A,"&gt;="&amp;DATE(2026,12,15),'DRAFT 2'!$A:$A,"&lt;="&amp;DATE(2026,12,21))</f>
        <v>0</v>
      </c>
      <c r="IV169">
        <f>COUNTIFS('DRAFT 2'!$D:$D,$B169,'DRAFT 2'!$A:$A,"&gt;="&amp;DATE(2026,12,22),'DRAFT 2'!$A:$A,"&lt;"&amp;DATE(2026,IF(12=12,12+1,12+1),1))</f>
        <v>0</v>
      </c>
      <c r="IW169">
        <f t="shared" si="83"/>
        <v>0</v>
      </c>
    </row>
    <row r="170" spans="1:257" x14ac:dyDescent="0.3">
      <c r="A170" t="str">
        <f>IFERROR(INDEX('DRAFT 1'!$A:$A,MATCH($B170,'DRAFT 1'!$B:$B,0)),"")</f>
        <v/>
      </c>
      <c r="C170" t="str">
        <f>IFERROR(INDEX('DRAFT 1'!$C:$C,MATCH($B170,'DRAFT 1'!$B:$B,0)),"")</f>
        <v/>
      </c>
      <c r="D170" t="str">
        <f>IFERROR(INDEX('DRAFT 1'!$D:$D,MATCH($B170,'DRAFT 1'!$B:$B,0)),"")</f>
        <v/>
      </c>
      <c r="E170" t="str">
        <f>IFERROR(INDEX('DRAFT 1'!$E:$E,MATCH($B170,'DRAFT 1'!$B:$B,0)),"")</f>
        <v/>
      </c>
      <c r="F170" t="str">
        <f>IFERROR(INDEX('DRAFT 1'!$F:$F,MATCH($B170,'DRAFT 1'!$B:$B,0)),"")</f>
        <v/>
      </c>
      <c r="G170" t="str">
        <f>IFERROR(INDEX('DRAFT 1'!$G:$G,MATCH($B170,'DRAFT 1'!$B:$B,0)),"")</f>
        <v/>
      </c>
      <c r="H170" t="str">
        <f>IFERROR(INDEX('DRAFT 1'!$H:$H,MATCH($B170,'DRAFT 1'!$B:$B,0)),"")</f>
        <v/>
      </c>
      <c r="I170" t="str">
        <f>IFERROR(INDEX('DRAFT 1'!$I:$I,MATCH($B170,'DRAFT 1'!$B:$B,0)),"")</f>
        <v/>
      </c>
      <c r="K170" t="str">
        <f>IFERROR(INDEX('DRAFT 1'!$AL:$AL,MATCH($B170,'DRAFT 1'!$B:$B,0)),"")</f>
        <v/>
      </c>
      <c r="L170" t="str">
        <f>IFERROR(INDEX('DRAFT 1'!$J:$J,MATCH($B170,'DRAFT 1'!$B:$B,0)),"")</f>
        <v/>
      </c>
      <c r="M170" t="str">
        <f>IFERROR(INDEX('DRAFT 1'!$K:$K,MATCH($B170,'DRAFT 1'!$B:$B,0)),"")</f>
        <v/>
      </c>
      <c r="P170" t="str">
        <f>IFERROR(INDEX('DRAFT 1'!$L:$L,MATCH($B170,'DRAFT 1'!$B:$B,0)),"")</f>
        <v/>
      </c>
      <c r="Q170" t="str">
        <f>IFERROR(INDEX('DRAFT 1'!$M:$M,MATCH($B170,'DRAFT 1'!$B:$B,0)),"")</f>
        <v/>
      </c>
      <c r="R170" t="str">
        <f>IFERROR(INDEX('DRAFT 1'!$N:$N,MATCH($B170,'DRAFT 1'!$B:$B,0)),"")</f>
        <v/>
      </c>
      <c r="S170" t="str">
        <f>IFERROR(INDEX('DRAFT 1'!$O:$O,MATCH($B170,'DRAFT 1'!$B:$B,0)),"")</f>
        <v/>
      </c>
      <c r="T170" t="str">
        <f>IFERROR(INDEX('DRAFT 1'!$P:$P,MATCH($B170,'DRAFT 1'!$B:$B,0)),"")</f>
        <v/>
      </c>
      <c r="U170" t="str">
        <f>IFERROR(INDEX('DRAFT 1'!$Q:$Q,MATCH($B170,'DRAFT 1'!$B:$B,0)),"")</f>
        <v/>
      </c>
      <c r="V170" t="str">
        <f>IFERROR(INDEX('DRAFT 1'!$R:$R,MATCH($B170,'DRAFT 1'!$B:$B,0)),"")</f>
        <v/>
      </c>
      <c r="W170" t="str">
        <f>IFERROR(INDEX('DRAFT 1'!$S:$S,MATCH($B170,'DRAFT 1'!$B:$B,0)),"")</f>
        <v/>
      </c>
      <c r="X170" t="str">
        <f>IFERROR(INDEX('DRAFT 1'!$T:$T,MATCH($B170,'DRAFT 1'!$B:$B,0)),"")</f>
        <v/>
      </c>
      <c r="Z170" t="str">
        <f>IFERROR(INDEX('DRAFT 1'!$U:$U,MATCH($B170,'DRAFT 1'!$B:$B,0)),"")</f>
        <v/>
      </c>
      <c r="AA170" t="str">
        <f>IFERROR(INDEX('DRAFT 1'!$V:$V,MATCH($B170,'DRAFT 1'!$B:$B,0)),"")</f>
        <v/>
      </c>
      <c r="AB170" t="str">
        <f>IFERROR(INDEX('DRAFT 1'!$W:$W,MATCH($B170,'DRAFT 1'!$B:$B,0)),"")</f>
        <v/>
      </c>
      <c r="AC170" t="str">
        <f>IFERROR(INDEX('DRAFT 1'!$X:$X,MATCH($B170,'DRAFT 1'!$B:$B,0)),"")</f>
        <v/>
      </c>
      <c r="AD170" t="str">
        <f>IFERROR(INDEX('DRAFT 1'!$Y:$Y,MATCH($B170,'DRAFT 1'!$B:$B,0)),"")</f>
        <v/>
      </c>
      <c r="AE170" t="str">
        <f>IFERROR(INDEX('DRAFT 1'!$Z:$Z,MATCH($B170,'DRAFT 1'!$B:$B,0)),"")</f>
        <v/>
      </c>
      <c r="AF170" t="str">
        <f>IFERROR(INDEX('DRAFT 1'!$AA:$AA,MATCH($B170,'DRAFT 1'!$B:$B,0)),"")</f>
        <v/>
      </c>
      <c r="AG170" t="str">
        <f>IFERROR(INDEX('DRAFT 1'!$AB:$AB,MATCH($B170,'DRAFT 1'!$B:$B,0)),"")</f>
        <v/>
      </c>
      <c r="AH170" t="str">
        <f>IFERROR(INDEX('DRAFT 1'!$AC:$AC,MATCH($B170,'DRAFT 1'!$B:$B,0)),"")</f>
        <v/>
      </c>
      <c r="AI170" t="str">
        <f>IFERROR(INDEX('DRAFT 1'!$AD:$AD,MATCH($B170,'DRAFT 1'!$B:$B,0)),"")</f>
        <v/>
      </c>
      <c r="AJ170" t="str">
        <f>IFERROR(INDEX('DRAFT 1'!$AE:$AE,MATCH($B170,'DRAFT 1'!$B:$B,0)),"")</f>
        <v/>
      </c>
      <c r="AK170" t="str">
        <f>IFERROR(INDEX('DRAFT 1'!$AG:$AG,MATCH($B170,'DRAFT 1'!$B:$B,0)),"")</f>
        <v/>
      </c>
      <c r="AL170" t="str">
        <f>IFERROR(INDEX('DRAFT 1'!$AH:$AH,MATCH($B170,'DRAFT 1'!$B:$B,0)),"")</f>
        <v/>
      </c>
      <c r="AM170" t="str">
        <f>IFERROR(INDEX('DRAFT 1'!$AI:$AI,MATCH($B170,'DRAFT 1'!$B:$B,0)),"")</f>
        <v/>
      </c>
      <c r="AN170" t="str">
        <f>IFERROR(INDEX('DRAFT 1'!$AJ:$AJ,MATCH($B170,'DRAFT 1'!$B:$B,0)),"")</f>
        <v/>
      </c>
      <c r="AO170">
        <f t="shared" si="70"/>
        <v>0</v>
      </c>
      <c r="AP170" t="str">
        <f>IFERROR(INDEX('DRAFT 1'!$AK:$AK,MATCH($B170,'DRAFT 1'!$B:$B,0)),"")</f>
        <v/>
      </c>
      <c r="AR170">
        <f>IFERROR(LOOKUP(2,1/('DRAFT 2'!$D:$D=$B170),'DRAFT 2'!$I:$I),"")</f>
        <v>0</v>
      </c>
      <c r="AS170">
        <f>IFERROR(LOOKUP(2,1/('DRAFT 2'!$D:$D=$B170),'DRAFT 2'!$T:$T),"")</f>
        <v>0</v>
      </c>
      <c r="AT170">
        <f>IFERROR(LOOKUP(2,1/('DRAFT 2'!$D:$D=$B170),'DRAFT 2'!$A:$A),"")</f>
        <v>0</v>
      </c>
      <c r="AU170">
        <f>IFERROR(LOOKUP(2,1/('DRAFT 2'!$D:$D=$B170),'DRAFT 2'!$R:$R),"")</f>
        <v>0</v>
      </c>
      <c r="AV170">
        <f>IFERROR(LOOKUP(2,1/('DRAFT 2'!$D:$D=$B170),'DRAFT 2'!$S:$S),"")</f>
        <v>0</v>
      </c>
      <c r="AX170">
        <f>IFERROR(LOOKUP(2,1/('DRAFT 2'!$D:$D=$B170),'DRAFT 2'!$M:$M),"")</f>
        <v>0</v>
      </c>
      <c r="AY170">
        <f>IFERROR(LOOKUP(2,1/('DRAFT 2'!$D:$D=$B170),'DRAFT 2'!$K:$K),"")</f>
        <v>0</v>
      </c>
      <c r="BG170">
        <f>IFERROR(LOOKUP(2,1/('DRAFT 2'!$D:$D=$B170),'DRAFT 2'!$U:$U),"")</f>
        <v>0</v>
      </c>
      <c r="BH170">
        <f>IFERROR(LOOKUP(2,1/('DRAFT 2'!$D:$D=$B170),'DRAFT 2'!$V:$V),"")</f>
        <v>0</v>
      </c>
      <c r="CE170" t="str">
        <f t="shared" si="71"/>
        <v/>
      </c>
      <c r="CF170">
        <f>IFERROR(LOOKUP(2,1/('DRAFT 2'!$D:$D=$B170)*('DRAFT 2'!$A:$A&gt;=DATE(2026,1,1))*('DRAFT 2'!$A:$A&lt;DATE(2026,IF(1=12,1+1,1+1),1)),'DRAFT 2'!$A:$A),"")</f>
        <v>0</v>
      </c>
      <c r="CG170">
        <f>COUNTIFS('DRAFT 2'!$D:$D,$B170,'DRAFT 2'!$A:$A,"&gt;="&amp;DATE(2026,1,1),'DRAFT 2'!$A:$A,"&lt;="&amp;DATE(2026,1,7))</f>
        <v>0</v>
      </c>
      <c r="CH170">
        <f>COUNTIFS('DRAFT 2'!$D:$D,$B170,'DRAFT 2'!$A:$A,"&gt;="&amp;DATE(2026,1,8),'DRAFT 2'!$A:$A,"&lt;="&amp;DATE(2026,1,14))</f>
        <v>0</v>
      </c>
      <c r="CI170">
        <f>COUNTIFS('DRAFT 2'!$D:$D,$B170,'DRAFT 2'!$A:$A,"&gt;="&amp;DATE(2026,1,15),'DRAFT 2'!$A:$A,"&lt;="&amp;DATE(2026,1,21))</f>
        <v>0</v>
      </c>
      <c r="CJ170">
        <f>COUNTIFS('DRAFT 2'!$D:$D,$B170,'DRAFT 2'!$A:$A,"&gt;="&amp;DATE(2026,1,22),'DRAFT 2'!$A:$A,"&lt;"&amp;DATE(2026,IF(1=12,1+1,1+1),1))</f>
        <v>0</v>
      </c>
      <c r="CK170">
        <f t="shared" si="72"/>
        <v>0</v>
      </c>
      <c r="CT170">
        <v>0</v>
      </c>
      <c r="CU170">
        <f>IFERROR(LOOKUP(2,1/('DRAFT 2'!$D:$D=$B170)*('DRAFT 2'!$A:$A&gt;=DATE(2026,2,1))*('DRAFT 2'!$A:$A&lt;DATE(2026,IF(2=12,2+1,2+1),1)),'DRAFT 2'!$A:$A),"")</f>
        <v>0</v>
      </c>
      <c r="CV170">
        <f>COUNTIFS('DRAFT 2'!$D:$D,$B170,'DRAFT 2'!$A:$A,"&gt;="&amp;DATE(2026,2,1),'DRAFT 2'!$A:$A,"&lt;="&amp;DATE(2026,2,7))</f>
        <v>0</v>
      </c>
      <c r="CW170">
        <f>COUNTIFS('DRAFT 2'!$D:$D,$B170,'DRAFT 2'!$A:$A,"&gt;="&amp;DATE(2026,2,8),'DRAFT 2'!$A:$A,"&lt;="&amp;DATE(2026,2,14))</f>
        <v>0</v>
      </c>
      <c r="CX170">
        <f>COUNTIFS('DRAFT 2'!$D:$D,$B170,'DRAFT 2'!$A:$A,"&gt;="&amp;DATE(2026,2,15),'DRAFT 2'!$A:$A,"&lt;="&amp;DATE(2026,2,21))</f>
        <v>0</v>
      </c>
      <c r="CY170">
        <f>COUNTIFS('DRAFT 2'!$D:$D,$B170,'DRAFT 2'!$A:$A,"&gt;="&amp;DATE(2026,2,22),'DRAFT 2'!$A:$A,"&lt;"&amp;DATE(2026,IF(2=12,2+1,2+1),1))</f>
        <v>0</v>
      </c>
      <c r="CZ170">
        <f t="shared" si="73"/>
        <v>0</v>
      </c>
      <c r="DJ170">
        <f>IFERROR(LOOKUP(2,1/('DRAFT 2'!$D:$D=$B170)*('DRAFT 2'!$A:$A&gt;=DATE(2026,3,1))*('DRAFT 2'!$A:$A&lt;DATE(2026,IF(3=12,3+1,3+1),1)),'DRAFT 2'!$A:$A),"")</f>
        <v>0</v>
      </c>
      <c r="DK170">
        <f>COUNTIFS('DRAFT 2'!$D:$D,$B170,'DRAFT 2'!$A:$A,"&gt;="&amp;DATE(2026,3,1),'DRAFT 2'!$A:$A,"&lt;="&amp;DATE(2026,3,7))</f>
        <v>0</v>
      </c>
      <c r="DL170">
        <f>COUNTIFS('DRAFT 2'!$D:$D,$B170,'DRAFT 2'!$A:$A,"&gt;="&amp;DATE(2026,3,8),'DRAFT 2'!$A:$A,"&lt;="&amp;DATE(2026,3,14))</f>
        <v>0</v>
      </c>
      <c r="DM170">
        <f>COUNTIFS('DRAFT 2'!$D:$D,$B170,'DRAFT 2'!$A:$A,"&gt;="&amp;DATE(2026,3,15),'DRAFT 2'!$A:$A,"&lt;="&amp;DATE(2026,3,21))</f>
        <v>0</v>
      </c>
      <c r="DN170">
        <f>COUNTIFS('DRAFT 2'!$D:$D,$B170,'DRAFT 2'!$A:$A,"&gt;="&amp;DATE(2026,3,22),'DRAFT 2'!$A:$A,"&lt;"&amp;DATE(2026,IF(3=12,3+1,3+1),1))</f>
        <v>0</v>
      </c>
      <c r="DO170">
        <f t="shared" si="74"/>
        <v>0</v>
      </c>
      <c r="DZ170">
        <f>IFERROR(LOOKUP(2,1/('DRAFT 2'!$D:$D=$B170)*('DRAFT 2'!$A:$A&gt;=DATE(2026,4,1))*('DRAFT 2'!$A:$A&lt;DATE(2026,IF(4=12,4+1,4+1),1)),'DRAFT 2'!$A:$A),"")</f>
        <v>0</v>
      </c>
      <c r="EA170">
        <f>COUNTIFS('DRAFT 2'!$D:$D,$B170,'DRAFT 2'!$A:$A,"&gt;="&amp;DATE(2026,4,1),'DRAFT 2'!$A:$A,"&lt;="&amp;DATE(2026,4,7))</f>
        <v>0</v>
      </c>
      <c r="EB170">
        <f>COUNTIFS('DRAFT 2'!$D:$D,$B170,'DRAFT 2'!$A:$A,"&gt;="&amp;DATE(2026,4,8),'DRAFT 2'!$A:$A,"&lt;="&amp;DATE(2026,4,14))</f>
        <v>0</v>
      </c>
      <c r="EC170">
        <f>COUNTIFS('DRAFT 2'!$D:$D,$B170,'DRAFT 2'!$A:$A,"&gt;="&amp;DATE(2026,4,15),'DRAFT 2'!$A:$A,"&lt;="&amp;DATE(2026,4,21))</f>
        <v>0</v>
      </c>
      <c r="ED170">
        <f>COUNTIFS('DRAFT 2'!$D:$D,$B170,'DRAFT 2'!$A:$A,"&gt;="&amp;DATE(2026,4,22),'DRAFT 2'!$A:$A,"&lt;"&amp;DATE(2026,IF(4=12,4+1,4+1),1))</f>
        <v>0</v>
      </c>
      <c r="EE170">
        <f t="shared" si="75"/>
        <v>0</v>
      </c>
      <c r="EO170">
        <f>IFERROR(LOOKUP(2,1/('DRAFT 2'!$D:$D=$B170)*('DRAFT 2'!$A:$A&gt;=DATE(2026,5,1))*('DRAFT 2'!$A:$A&lt;DATE(2026,IF(5=12,5+1,5+1),1)),'DRAFT 2'!$A:$A),"")</f>
        <v>0</v>
      </c>
      <c r="EP170">
        <f>COUNTIFS('DRAFT 2'!$D:$D,$B170,'DRAFT 2'!$A:$A,"&gt;="&amp;DATE(2026,5,1),'DRAFT 2'!$A:$A,"&lt;="&amp;DATE(2026,5,7))</f>
        <v>0</v>
      </c>
      <c r="EQ170">
        <f>COUNTIFS('DRAFT 2'!$D:$D,$B170,'DRAFT 2'!$A:$A,"&gt;="&amp;DATE(2026,5,8),'DRAFT 2'!$A:$A,"&lt;="&amp;DATE(2026,5,14))</f>
        <v>0</v>
      </c>
      <c r="ER170">
        <f>COUNTIFS('DRAFT 2'!$D:$D,$B170,'DRAFT 2'!$A:$A,"&gt;="&amp;DATE(2026,5,15),'DRAFT 2'!$A:$A,"&lt;="&amp;DATE(2026,5,21))</f>
        <v>0</v>
      </c>
      <c r="ES170">
        <f>COUNTIFS('DRAFT 2'!$D:$D,$B170,'DRAFT 2'!$A:$A,"&gt;="&amp;DATE(2026,5,22),'DRAFT 2'!$A:$A,"&lt;"&amp;DATE(2026,IF(5=12,5+1,5+1),1))</f>
        <v>0</v>
      </c>
      <c r="ET170">
        <f t="shared" si="76"/>
        <v>0</v>
      </c>
      <c r="FD170">
        <f>IFERROR(LOOKUP(2,1/('DRAFT 2'!$D:$D=$B170)*('DRAFT 2'!$A:$A&gt;=DATE(2026,6,1))*('DRAFT 2'!$A:$A&lt;DATE(2026,IF(6=12,6+1,6+1),1)),'DRAFT 2'!$A:$A),"")</f>
        <v>0</v>
      </c>
      <c r="FE170">
        <f>COUNTIFS('DRAFT 2'!$D:$D,$B170,'DRAFT 2'!$A:$A,"&gt;="&amp;DATE(2026,6,1),'DRAFT 2'!$A:$A,"&lt;="&amp;DATE(2026,6,7))</f>
        <v>0</v>
      </c>
      <c r="FF170">
        <f>COUNTIFS('DRAFT 2'!$D:$D,$B170,'DRAFT 2'!$A:$A,"&gt;="&amp;DATE(2026,6,8),'DRAFT 2'!$A:$A,"&lt;="&amp;DATE(2026,6,14))</f>
        <v>0</v>
      </c>
      <c r="FG170">
        <f>COUNTIFS('DRAFT 2'!$D:$D,$B170,'DRAFT 2'!$A:$A,"&gt;="&amp;DATE(2026,6,15),'DRAFT 2'!$A:$A,"&lt;="&amp;DATE(2026,6,21))</f>
        <v>0</v>
      </c>
      <c r="FH170">
        <f>COUNTIFS('DRAFT 2'!$D:$D,$B170,'DRAFT 2'!$A:$A,"&gt;="&amp;DATE(2026,6,22),'DRAFT 2'!$A:$A,"&lt;"&amp;DATE(2026,IF(6=12,6+1,6+1),1))</f>
        <v>0</v>
      </c>
      <c r="FI170">
        <f t="shared" si="77"/>
        <v>0</v>
      </c>
      <c r="FT170">
        <f>IFERROR(LOOKUP(2,1/('DRAFT 2'!$D:$D=$B170)*('DRAFT 2'!$A:$A&gt;=DATE(2026,7,1))*('DRAFT 2'!$A:$A&lt;DATE(2026,IF(7=12,7+1,7+1),1)),'DRAFT 2'!$A:$A),"")</f>
        <v>0</v>
      </c>
      <c r="FU170">
        <f>COUNTIFS('DRAFT 2'!$D:$D,$B170,'DRAFT 2'!$A:$A,"&gt;="&amp;DATE(2026,7,1),'DRAFT 2'!$A:$A,"&lt;="&amp;DATE(2026,7,7))</f>
        <v>0</v>
      </c>
      <c r="FV170">
        <f>COUNTIFS('DRAFT 2'!$D:$D,$B170,'DRAFT 2'!$A:$A,"&gt;="&amp;DATE(2026,7,8),'DRAFT 2'!$A:$A,"&lt;="&amp;DATE(2026,7,14))</f>
        <v>0</v>
      </c>
      <c r="FW170">
        <f>COUNTIFS('DRAFT 2'!$D:$D,$B170,'DRAFT 2'!$A:$A,"&gt;="&amp;DATE(2026,7,15),'DRAFT 2'!$A:$A,"&lt;="&amp;DATE(2026,7,21))</f>
        <v>0</v>
      </c>
      <c r="FX170">
        <f>COUNTIFS('DRAFT 2'!$D:$D,$B170,'DRAFT 2'!$A:$A,"&gt;="&amp;DATE(2026,7,22),'DRAFT 2'!$A:$A,"&lt;"&amp;DATE(2026,IF(7=12,7+1,7+1),1))</f>
        <v>0</v>
      </c>
      <c r="FY170">
        <f t="shared" si="78"/>
        <v>0</v>
      </c>
      <c r="GI170">
        <f>IFERROR(LOOKUP(2,1/('DRAFT 2'!$D:$D=$B170)*('DRAFT 2'!$A:$A&gt;=DATE(2026,8,1))*('DRAFT 2'!$A:$A&lt;DATE(2026,IF(8=12,8+1,8+1),1)),'DRAFT 2'!$A:$A),"")</f>
        <v>0</v>
      </c>
      <c r="GJ170">
        <f>COUNTIFS('DRAFT 2'!$D:$D,$B170,'DRAFT 2'!$A:$A,"&gt;="&amp;DATE(2026,8,1),'DRAFT 2'!$A:$A,"&lt;="&amp;DATE(2026,8,7))</f>
        <v>0</v>
      </c>
      <c r="GK170">
        <f>COUNTIFS('DRAFT 2'!$D:$D,$B170,'DRAFT 2'!$A:$A,"&gt;="&amp;DATE(2026,8,8),'DRAFT 2'!$A:$A,"&lt;="&amp;DATE(2026,8,14))</f>
        <v>0</v>
      </c>
      <c r="GL170">
        <f>COUNTIFS('DRAFT 2'!$D:$D,$B170,'DRAFT 2'!$A:$A,"&gt;="&amp;DATE(2026,8,15),'DRAFT 2'!$A:$A,"&lt;="&amp;DATE(2026,8,21))</f>
        <v>0</v>
      </c>
      <c r="GM170">
        <f>COUNTIFS('DRAFT 2'!$D:$D,$B170,'DRAFT 2'!$A:$A,"&gt;="&amp;DATE(2026,8,22),'DRAFT 2'!$A:$A,"&lt;"&amp;DATE(2026,IF(8=12,8+1,8+1),1))</f>
        <v>0</v>
      </c>
      <c r="GN170">
        <f t="shared" si="79"/>
        <v>0</v>
      </c>
      <c r="GX170">
        <f>IFERROR(LOOKUP(2,1/('DRAFT 2'!$D:$D=$B170)*('DRAFT 2'!$A:$A&gt;=DATE(2026,9,1))*('DRAFT 2'!$A:$A&lt;DATE(2026,IF(9=12,9+1,9+1),1)),'DRAFT 2'!$A:$A),"")</f>
        <v>0</v>
      </c>
      <c r="GY170">
        <f>COUNTIFS('DRAFT 2'!$D:$D,$B170,'DRAFT 2'!$A:$A,"&gt;="&amp;DATE(2026,9,1),'DRAFT 2'!$A:$A,"&lt;="&amp;DATE(2026,9,7))</f>
        <v>0</v>
      </c>
      <c r="GZ170">
        <f>COUNTIFS('DRAFT 2'!$D:$D,$B170,'DRAFT 2'!$A:$A,"&gt;="&amp;DATE(2026,9,8),'DRAFT 2'!$A:$A,"&lt;="&amp;DATE(2026,9,14))</f>
        <v>0</v>
      </c>
      <c r="HA170">
        <f>COUNTIFS('DRAFT 2'!$D:$D,$B170,'DRAFT 2'!$A:$A,"&gt;="&amp;DATE(2026,9,15),'DRAFT 2'!$A:$A,"&lt;="&amp;DATE(2026,9,21))</f>
        <v>0</v>
      </c>
      <c r="HB170">
        <f>COUNTIFS('DRAFT 2'!$D:$D,$B170,'DRAFT 2'!$A:$A,"&gt;="&amp;DATE(2026,9,22),'DRAFT 2'!$A:$A,"&lt;"&amp;DATE(2026,IF(9=12,9+1,9+1),1))</f>
        <v>0</v>
      </c>
      <c r="HC170">
        <f t="shared" si="80"/>
        <v>0</v>
      </c>
      <c r="HN170">
        <f>IFERROR(LOOKUP(2,1/('DRAFT 2'!$D:$D=$B170)*('DRAFT 2'!$A:$A&gt;=DATE(2026,10,1))*('DRAFT 2'!$A:$A&lt;DATE(2026,IF(10=12,10+1,10+1),1)),'DRAFT 2'!$A:$A),"")</f>
        <v>0</v>
      </c>
      <c r="HO170">
        <f>COUNTIFS('DRAFT 2'!$D:$D,$B170,'DRAFT 2'!$A:$A,"&gt;="&amp;DATE(2026,10,1),'DRAFT 2'!$A:$A,"&lt;="&amp;DATE(2026,10,7))</f>
        <v>0</v>
      </c>
      <c r="HP170">
        <f>COUNTIFS('DRAFT 2'!$D:$D,$B170,'DRAFT 2'!$A:$A,"&gt;="&amp;DATE(2026,10,8),'DRAFT 2'!$A:$A,"&lt;="&amp;DATE(2026,10,14))</f>
        <v>0</v>
      </c>
      <c r="HQ170">
        <f>COUNTIFS('DRAFT 2'!$D:$D,$B170,'DRAFT 2'!$A:$A,"&gt;="&amp;DATE(2026,10,15),'DRAFT 2'!$A:$A,"&lt;="&amp;DATE(2026,10,21))</f>
        <v>0</v>
      </c>
      <c r="HR170">
        <f>COUNTIFS('DRAFT 2'!$D:$D,$B170,'DRAFT 2'!$A:$A,"&gt;="&amp;DATE(2026,10,22),'DRAFT 2'!$A:$A,"&lt;"&amp;DATE(2026,IF(10=12,10+1,10+1),1))</f>
        <v>0</v>
      </c>
      <c r="HS170">
        <f t="shared" si="81"/>
        <v>0</v>
      </c>
      <c r="IC170">
        <f>IFERROR(LOOKUP(2,1/('DRAFT 2'!$D:$D=$B170)*('DRAFT 2'!$A:$A&gt;=DATE(2026,11,1))*('DRAFT 2'!$A:$A&lt;DATE(2026,IF(11=12,11+1,11+1),1)),'DRAFT 2'!$A:$A),"")</f>
        <v>0</v>
      </c>
      <c r="ID170">
        <f>COUNTIFS('DRAFT 2'!$D:$D,$B170,'DRAFT 2'!$A:$A,"&gt;="&amp;DATE(2026,11,1),'DRAFT 2'!$A:$A,"&lt;="&amp;DATE(2026,11,7))</f>
        <v>0</v>
      </c>
      <c r="IE170">
        <f>COUNTIFS('DRAFT 2'!$D:$D,$B170,'DRAFT 2'!$A:$A,"&gt;="&amp;DATE(2026,11,8),'DRAFT 2'!$A:$A,"&lt;="&amp;DATE(2026,11,14))</f>
        <v>0</v>
      </c>
      <c r="IF170">
        <f>COUNTIFS('DRAFT 2'!$D:$D,$B170,'DRAFT 2'!$A:$A,"&gt;="&amp;DATE(2026,11,15),'DRAFT 2'!$A:$A,"&lt;="&amp;DATE(2026,11,21))</f>
        <v>0</v>
      </c>
      <c r="IG170">
        <f>COUNTIFS('DRAFT 2'!$D:$D,$B170,'DRAFT 2'!$A:$A,"&gt;="&amp;DATE(2026,11,22),'DRAFT 2'!$A:$A,"&lt;"&amp;DATE(2026,IF(11=12,11+1,11+1),1))</f>
        <v>0</v>
      </c>
      <c r="IH170">
        <f t="shared" si="82"/>
        <v>0</v>
      </c>
      <c r="IR170">
        <f>IFERROR(LOOKUP(2,1/('DRAFT 2'!$D:$D=$B170)*('DRAFT 2'!$A:$A&gt;=DATE(2026,12,1))*('DRAFT 2'!$A:$A&lt;DATE(2026,IF(12=12,12+1,12+1),1)),'DRAFT 2'!$A:$A),"")</f>
        <v>0</v>
      </c>
      <c r="IS170">
        <f>COUNTIFS('DRAFT 2'!$D:$D,$B170,'DRAFT 2'!$A:$A,"&gt;="&amp;DATE(2026,12,1),'DRAFT 2'!$A:$A,"&lt;="&amp;DATE(2026,12,7))</f>
        <v>0</v>
      </c>
      <c r="IT170">
        <f>COUNTIFS('DRAFT 2'!$D:$D,$B170,'DRAFT 2'!$A:$A,"&gt;="&amp;DATE(2026,12,8),'DRAFT 2'!$A:$A,"&lt;="&amp;DATE(2026,12,14))</f>
        <v>0</v>
      </c>
      <c r="IU170">
        <f>COUNTIFS('DRAFT 2'!$D:$D,$B170,'DRAFT 2'!$A:$A,"&gt;="&amp;DATE(2026,12,15),'DRAFT 2'!$A:$A,"&lt;="&amp;DATE(2026,12,21))</f>
        <v>0</v>
      </c>
      <c r="IV170">
        <f>COUNTIFS('DRAFT 2'!$D:$D,$B170,'DRAFT 2'!$A:$A,"&gt;="&amp;DATE(2026,12,22),'DRAFT 2'!$A:$A,"&lt;"&amp;DATE(2026,IF(12=12,12+1,12+1),1))</f>
        <v>0</v>
      </c>
      <c r="IW170">
        <f t="shared" si="83"/>
        <v>0</v>
      </c>
    </row>
    <row r="171" spans="1:257" x14ac:dyDescent="0.3">
      <c r="A171" t="str">
        <f>IFERROR(INDEX('DRAFT 1'!$A:$A,MATCH($B171,'DRAFT 1'!$B:$B,0)),"")</f>
        <v/>
      </c>
      <c r="C171" t="str">
        <f>IFERROR(INDEX('DRAFT 1'!$C:$C,MATCH($B171,'DRAFT 1'!$B:$B,0)),"")</f>
        <v/>
      </c>
      <c r="D171" t="str">
        <f>IFERROR(INDEX('DRAFT 1'!$D:$D,MATCH($B171,'DRAFT 1'!$B:$B,0)),"")</f>
        <v/>
      </c>
      <c r="E171" t="str">
        <f>IFERROR(INDEX('DRAFT 1'!$E:$E,MATCH($B171,'DRAFT 1'!$B:$B,0)),"")</f>
        <v/>
      </c>
      <c r="F171" t="str">
        <f>IFERROR(INDEX('DRAFT 1'!$F:$F,MATCH($B171,'DRAFT 1'!$B:$B,0)),"")</f>
        <v/>
      </c>
      <c r="G171" t="str">
        <f>IFERROR(INDEX('DRAFT 1'!$G:$G,MATCH($B171,'DRAFT 1'!$B:$B,0)),"")</f>
        <v/>
      </c>
      <c r="H171" t="str">
        <f>IFERROR(INDEX('DRAFT 1'!$H:$H,MATCH($B171,'DRAFT 1'!$B:$B,0)),"")</f>
        <v/>
      </c>
      <c r="I171" t="str">
        <f>IFERROR(INDEX('DRAFT 1'!$I:$I,MATCH($B171,'DRAFT 1'!$B:$B,0)),"")</f>
        <v/>
      </c>
      <c r="K171" t="str">
        <f>IFERROR(INDEX('DRAFT 1'!$AL:$AL,MATCH($B171,'DRAFT 1'!$B:$B,0)),"")</f>
        <v/>
      </c>
      <c r="L171" t="str">
        <f>IFERROR(INDEX('DRAFT 1'!$J:$J,MATCH($B171,'DRAFT 1'!$B:$B,0)),"")</f>
        <v/>
      </c>
      <c r="M171" t="str">
        <f>IFERROR(INDEX('DRAFT 1'!$K:$K,MATCH($B171,'DRAFT 1'!$B:$B,0)),"")</f>
        <v/>
      </c>
      <c r="P171" t="str">
        <f>IFERROR(INDEX('DRAFT 1'!$L:$L,MATCH($B171,'DRAFT 1'!$B:$B,0)),"")</f>
        <v/>
      </c>
      <c r="Q171" t="str">
        <f>IFERROR(INDEX('DRAFT 1'!$M:$M,MATCH($B171,'DRAFT 1'!$B:$B,0)),"")</f>
        <v/>
      </c>
      <c r="R171" t="str">
        <f>IFERROR(INDEX('DRAFT 1'!$N:$N,MATCH($B171,'DRAFT 1'!$B:$B,0)),"")</f>
        <v/>
      </c>
      <c r="S171" t="str">
        <f>IFERROR(INDEX('DRAFT 1'!$O:$O,MATCH($B171,'DRAFT 1'!$B:$B,0)),"")</f>
        <v/>
      </c>
      <c r="T171" t="str">
        <f>IFERROR(INDEX('DRAFT 1'!$P:$P,MATCH($B171,'DRAFT 1'!$B:$B,0)),"")</f>
        <v/>
      </c>
      <c r="U171" t="str">
        <f>IFERROR(INDEX('DRAFT 1'!$Q:$Q,MATCH($B171,'DRAFT 1'!$B:$B,0)),"")</f>
        <v/>
      </c>
      <c r="V171" t="str">
        <f>IFERROR(INDEX('DRAFT 1'!$R:$R,MATCH($B171,'DRAFT 1'!$B:$B,0)),"")</f>
        <v/>
      </c>
      <c r="W171" t="str">
        <f>IFERROR(INDEX('DRAFT 1'!$S:$S,MATCH($B171,'DRAFT 1'!$B:$B,0)),"")</f>
        <v/>
      </c>
      <c r="X171" t="str">
        <f>IFERROR(INDEX('DRAFT 1'!$T:$T,MATCH($B171,'DRAFT 1'!$B:$B,0)),"")</f>
        <v/>
      </c>
      <c r="Z171" t="str">
        <f>IFERROR(INDEX('DRAFT 1'!$U:$U,MATCH($B171,'DRAFT 1'!$B:$B,0)),"")</f>
        <v/>
      </c>
      <c r="AA171" t="str">
        <f>IFERROR(INDEX('DRAFT 1'!$V:$V,MATCH($B171,'DRAFT 1'!$B:$B,0)),"")</f>
        <v/>
      </c>
      <c r="AB171" t="str">
        <f>IFERROR(INDEX('DRAFT 1'!$W:$W,MATCH($B171,'DRAFT 1'!$B:$B,0)),"")</f>
        <v/>
      </c>
      <c r="AC171" t="str">
        <f>IFERROR(INDEX('DRAFT 1'!$X:$X,MATCH($B171,'DRAFT 1'!$B:$B,0)),"")</f>
        <v/>
      </c>
      <c r="AD171" t="str">
        <f>IFERROR(INDEX('DRAFT 1'!$Y:$Y,MATCH($B171,'DRAFT 1'!$B:$B,0)),"")</f>
        <v/>
      </c>
      <c r="AE171" t="str">
        <f>IFERROR(INDEX('DRAFT 1'!$Z:$Z,MATCH($B171,'DRAFT 1'!$B:$B,0)),"")</f>
        <v/>
      </c>
      <c r="AF171" t="str">
        <f>IFERROR(INDEX('DRAFT 1'!$AA:$AA,MATCH($B171,'DRAFT 1'!$B:$B,0)),"")</f>
        <v/>
      </c>
      <c r="AG171" t="str">
        <f>IFERROR(INDEX('DRAFT 1'!$AB:$AB,MATCH($B171,'DRAFT 1'!$B:$B,0)),"")</f>
        <v/>
      </c>
      <c r="AH171" t="str">
        <f>IFERROR(INDEX('DRAFT 1'!$AC:$AC,MATCH($B171,'DRAFT 1'!$B:$B,0)),"")</f>
        <v/>
      </c>
      <c r="AI171" t="str">
        <f>IFERROR(INDEX('DRAFT 1'!$AD:$AD,MATCH($B171,'DRAFT 1'!$B:$B,0)),"")</f>
        <v/>
      </c>
      <c r="AJ171" t="str">
        <f>IFERROR(INDEX('DRAFT 1'!$AE:$AE,MATCH($B171,'DRAFT 1'!$B:$B,0)),"")</f>
        <v/>
      </c>
      <c r="AK171" t="str">
        <f>IFERROR(INDEX('DRAFT 1'!$AG:$AG,MATCH($B171,'DRAFT 1'!$B:$B,0)),"")</f>
        <v/>
      </c>
      <c r="AL171" t="str">
        <f>IFERROR(INDEX('DRAFT 1'!$AH:$AH,MATCH($B171,'DRAFT 1'!$B:$B,0)),"")</f>
        <v/>
      </c>
      <c r="AM171" t="str">
        <f>IFERROR(INDEX('DRAFT 1'!$AI:$AI,MATCH($B171,'DRAFT 1'!$B:$B,0)),"")</f>
        <v/>
      </c>
      <c r="AN171" t="str">
        <f>IFERROR(INDEX('DRAFT 1'!$AJ:$AJ,MATCH($B171,'DRAFT 1'!$B:$B,0)),"")</f>
        <v/>
      </c>
      <c r="AO171">
        <f t="shared" si="70"/>
        <v>0</v>
      </c>
      <c r="AP171" t="str">
        <f>IFERROR(INDEX('DRAFT 1'!$AK:$AK,MATCH($B171,'DRAFT 1'!$B:$B,0)),"")</f>
        <v/>
      </c>
      <c r="AR171">
        <f>IFERROR(LOOKUP(2,1/('DRAFT 2'!$D:$D=$B171),'DRAFT 2'!$I:$I),"")</f>
        <v>0</v>
      </c>
      <c r="AS171">
        <f>IFERROR(LOOKUP(2,1/('DRAFT 2'!$D:$D=$B171),'DRAFT 2'!$T:$T),"")</f>
        <v>0</v>
      </c>
      <c r="AT171">
        <f>IFERROR(LOOKUP(2,1/('DRAFT 2'!$D:$D=$B171),'DRAFT 2'!$A:$A),"")</f>
        <v>0</v>
      </c>
      <c r="AU171">
        <f>IFERROR(LOOKUP(2,1/('DRAFT 2'!$D:$D=$B171),'DRAFT 2'!$R:$R),"")</f>
        <v>0</v>
      </c>
      <c r="AV171">
        <f>IFERROR(LOOKUP(2,1/('DRAFT 2'!$D:$D=$B171),'DRAFT 2'!$S:$S),"")</f>
        <v>0</v>
      </c>
      <c r="AX171">
        <f>IFERROR(LOOKUP(2,1/('DRAFT 2'!$D:$D=$B171),'DRAFT 2'!$M:$M),"")</f>
        <v>0</v>
      </c>
      <c r="AY171">
        <f>IFERROR(LOOKUP(2,1/('DRAFT 2'!$D:$D=$B171),'DRAFT 2'!$K:$K),"")</f>
        <v>0</v>
      </c>
      <c r="BG171">
        <f>IFERROR(LOOKUP(2,1/('DRAFT 2'!$D:$D=$B171),'DRAFT 2'!$U:$U),"")</f>
        <v>0</v>
      </c>
      <c r="BH171">
        <f>IFERROR(LOOKUP(2,1/('DRAFT 2'!$D:$D=$B171),'DRAFT 2'!$V:$V),"")</f>
        <v>0</v>
      </c>
      <c r="CE171" t="str">
        <f t="shared" si="71"/>
        <v/>
      </c>
      <c r="CF171">
        <f>IFERROR(LOOKUP(2,1/('DRAFT 2'!$D:$D=$B171)*('DRAFT 2'!$A:$A&gt;=DATE(2026,1,1))*('DRAFT 2'!$A:$A&lt;DATE(2026,IF(1=12,1+1,1+1),1)),'DRAFT 2'!$A:$A),"")</f>
        <v>0</v>
      </c>
      <c r="CG171">
        <f>COUNTIFS('DRAFT 2'!$D:$D,$B171,'DRAFT 2'!$A:$A,"&gt;="&amp;DATE(2026,1,1),'DRAFT 2'!$A:$A,"&lt;="&amp;DATE(2026,1,7))</f>
        <v>0</v>
      </c>
      <c r="CH171">
        <f>COUNTIFS('DRAFT 2'!$D:$D,$B171,'DRAFT 2'!$A:$A,"&gt;="&amp;DATE(2026,1,8),'DRAFT 2'!$A:$A,"&lt;="&amp;DATE(2026,1,14))</f>
        <v>0</v>
      </c>
      <c r="CI171">
        <f>COUNTIFS('DRAFT 2'!$D:$D,$B171,'DRAFT 2'!$A:$A,"&gt;="&amp;DATE(2026,1,15),'DRAFT 2'!$A:$A,"&lt;="&amp;DATE(2026,1,21))</f>
        <v>0</v>
      </c>
      <c r="CJ171">
        <f>COUNTIFS('DRAFT 2'!$D:$D,$B171,'DRAFT 2'!$A:$A,"&gt;="&amp;DATE(2026,1,22),'DRAFT 2'!$A:$A,"&lt;"&amp;DATE(2026,IF(1=12,1+1,1+1),1))</f>
        <v>0</v>
      </c>
      <c r="CK171">
        <f t="shared" si="72"/>
        <v>0</v>
      </c>
      <c r="CT171">
        <v>0</v>
      </c>
      <c r="CU171">
        <f>IFERROR(LOOKUP(2,1/('DRAFT 2'!$D:$D=$B171)*('DRAFT 2'!$A:$A&gt;=DATE(2026,2,1))*('DRAFT 2'!$A:$A&lt;DATE(2026,IF(2=12,2+1,2+1),1)),'DRAFT 2'!$A:$A),"")</f>
        <v>0</v>
      </c>
      <c r="CV171">
        <f>COUNTIFS('DRAFT 2'!$D:$D,$B171,'DRAFT 2'!$A:$A,"&gt;="&amp;DATE(2026,2,1),'DRAFT 2'!$A:$A,"&lt;="&amp;DATE(2026,2,7))</f>
        <v>0</v>
      </c>
      <c r="CW171">
        <f>COUNTIFS('DRAFT 2'!$D:$D,$B171,'DRAFT 2'!$A:$A,"&gt;="&amp;DATE(2026,2,8),'DRAFT 2'!$A:$A,"&lt;="&amp;DATE(2026,2,14))</f>
        <v>0</v>
      </c>
      <c r="CX171">
        <f>COUNTIFS('DRAFT 2'!$D:$D,$B171,'DRAFT 2'!$A:$A,"&gt;="&amp;DATE(2026,2,15),'DRAFT 2'!$A:$A,"&lt;="&amp;DATE(2026,2,21))</f>
        <v>0</v>
      </c>
      <c r="CY171">
        <f>COUNTIFS('DRAFT 2'!$D:$D,$B171,'DRAFT 2'!$A:$A,"&gt;="&amp;DATE(2026,2,22),'DRAFT 2'!$A:$A,"&lt;"&amp;DATE(2026,IF(2=12,2+1,2+1),1))</f>
        <v>0</v>
      </c>
      <c r="CZ171">
        <f t="shared" si="73"/>
        <v>0</v>
      </c>
      <c r="DJ171">
        <f>IFERROR(LOOKUP(2,1/('DRAFT 2'!$D:$D=$B171)*('DRAFT 2'!$A:$A&gt;=DATE(2026,3,1))*('DRAFT 2'!$A:$A&lt;DATE(2026,IF(3=12,3+1,3+1),1)),'DRAFT 2'!$A:$A),"")</f>
        <v>0</v>
      </c>
      <c r="DK171">
        <f>COUNTIFS('DRAFT 2'!$D:$D,$B171,'DRAFT 2'!$A:$A,"&gt;="&amp;DATE(2026,3,1),'DRAFT 2'!$A:$A,"&lt;="&amp;DATE(2026,3,7))</f>
        <v>0</v>
      </c>
      <c r="DL171">
        <f>COUNTIFS('DRAFT 2'!$D:$D,$B171,'DRAFT 2'!$A:$A,"&gt;="&amp;DATE(2026,3,8),'DRAFT 2'!$A:$A,"&lt;="&amp;DATE(2026,3,14))</f>
        <v>0</v>
      </c>
      <c r="DM171">
        <f>COUNTIFS('DRAFT 2'!$D:$D,$B171,'DRAFT 2'!$A:$A,"&gt;="&amp;DATE(2026,3,15),'DRAFT 2'!$A:$A,"&lt;="&amp;DATE(2026,3,21))</f>
        <v>0</v>
      </c>
      <c r="DN171">
        <f>COUNTIFS('DRAFT 2'!$D:$D,$B171,'DRAFT 2'!$A:$A,"&gt;="&amp;DATE(2026,3,22),'DRAFT 2'!$A:$A,"&lt;"&amp;DATE(2026,IF(3=12,3+1,3+1),1))</f>
        <v>0</v>
      </c>
      <c r="DO171">
        <f t="shared" si="74"/>
        <v>0</v>
      </c>
      <c r="DZ171">
        <f>IFERROR(LOOKUP(2,1/('DRAFT 2'!$D:$D=$B171)*('DRAFT 2'!$A:$A&gt;=DATE(2026,4,1))*('DRAFT 2'!$A:$A&lt;DATE(2026,IF(4=12,4+1,4+1),1)),'DRAFT 2'!$A:$A),"")</f>
        <v>0</v>
      </c>
      <c r="EA171">
        <f>COUNTIFS('DRAFT 2'!$D:$D,$B171,'DRAFT 2'!$A:$A,"&gt;="&amp;DATE(2026,4,1),'DRAFT 2'!$A:$A,"&lt;="&amp;DATE(2026,4,7))</f>
        <v>0</v>
      </c>
      <c r="EB171">
        <f>COUNTIFS('DRAFT 2'!$D:$D,$B171,'DRAFT 2'!$A:$A,"&gt;="&amp;DATE(2026,4,8),'DRAFT 2'!$A:$A,"&lt;="&amp;DATE(2026,4,14))</f>
        <v>0</v>
      </c>
      <c r="EC171">
        <f>COUNTIFS('DRAFT 2'!$D:$D,$B171,'DRAFT 2'!$A:$A,"&gt;="&amp;DATE(2026,4,15),'DRAFT 2'!$A:$A,"&lt;="&amp;DATE(2026,4,21))</f>
        <v>0</v>
      </c>
      <c r="ED171">
        <f>COUNTIFS('DRAFT 2'!$D:$D,$B171,'DRAFT 2'!$A:$A,"&gt;="&amp;DATE(2026,4,22),'DRAFT 2'!$A:$A,"&lt;"&amp;DATE(2026,IF(4=12,4+1,4+1),1))</f>
        <v>0</v>
      </c>
      <c r="EE171">
        <f t="shared" si="75"/>
        <v>0</v>
      </c>
      <c r="EO171">
        <f>IFERROR(LOOKUP(2,1/('DRAFT 2'!$D:$D=$B171)*('DRAFT 2'!$A:$A&gt;=DATE(2026,5,1))*('DRAFT 2'!$A:$A&lt;DATE(2026,IF(5=12,5+1,5+1),1)),'DRAFT 2'!$A:$A),"")</f>
        <v>0</v>
      </c>
      <c r="EP171">
        <f>COUNTIFS('DRAFT 2'!$D:$D,$B171,'DRAFT 2'!$A:$A,"&gt;="&amp;DATE(2026,5,1),'DRAFT 2'!$A:$A,"&lt;="&amp;DATE(2026,5,7))</f>
        <v>0</v>
      </c>
      <c r="EQ171">
        <f>COUNTIFS('DRAFT 2'!$D:$D,$B171,'DRAFT 2'!$A:$A,"&gt;="&amp;DATE(2026,5,8),'DRAFT 2'!$A:$A,"&lt;="&amp;DATE(2026,5,14))</f>
        <v>0</v>
      </c>
      <c r="ER171">
        <f>COUNTIFS('DRAFT 2'!$D:$D,$B171,'DRAFT 2'!$A:$A,"&gt;="&amp;DATE(2026,5,15),'DRAFT 2'!$A:$A,"&lt;="&amp;DATE(2026,5,21))</f>
        <v>0</v>
      </c>
      <c r="ES171">
        <f>COUNTIFS('DRAFT 2'!$D:$D,$B171,'DRAFT 2'!$A:$A,"&gt;="&amp;DATE(2026,5,22),'DRAFT 2'!$A:$A,"&lt;"&amp;DATE(2026,IF(5=12,5+1,5+1),1))</f>
        <v>0</v>
      </c>
      <c r="ET171">
        <f t="shared" si="76"/>
        <v>0</v>
      </c>
      <c r="FD171">
        <f>IFERROR(LOOKUP(2,1/('DRAFT 2'!$D:$D=$B171)*('DRAFT 2'!$A:$A&gt;=DATE(2026,6,1))*('DRAFT 2'!$A:$A&lt;DATE(2026,IF(6=12,6+1,6+1),1)),'DRAFT 2'!$A:$A),"")</f>
        <v>0</v>
      </c>
      <c r="FE171">
        <f>COUNTIFS('DRAFT 2'!$D:$D,$B171,'DRAFT 2'!$A:$A,"&gt;="&amp;DATE(2026,6,1),'DRAFT 2'!$A:$A,"&lt;="&amp;DATE(2026,6,7))</f>
        <v>0</v>
      </c>
      <c r="FF171">
        <f>COUNTIFS('DRAFT 2'!$D:$D,$B171,'DRAFT 2'!$A:$A,"&gt;="&amp;DATE(2026,6,8),'DRAFT 2'!$A:$A,"&lt;="&amp;DATE(2026,6,14))</f>
        <v>0</v>
      </c>
      <c r="FG171">
        <f>COUNTIFS('DRAFT 2'!$D:$D,$B171,'DRAFT 2'!$A:$A,"&gt;="&amp;DATE(2026,6,15),'DRAFT 2'!$A:$A,"&lt;="&amp;DATE(2026,6,21))</f>
        <v>0</v>
      </c>
      <c r="FH171">
        <f>COUNTIFS('DRAFT 2'!$D:$D,$B171,'DRAFT 2'!$A:$A,"&gt;="&amp;DATE(2026,6,22),'DRAFT 2'!$A:$A,"&lt;"&amp;DATE(2026,IF(6=12,6+1,6+1),1))</f>
        <v>0</v>
      </c>
      <c r="FI171">
        <f t="shared" si="77"/>
        <v>0</v>
      </c>
      <c r="FT171">
        <f>IFERROR(LOOKUP(2,1/('DRAFT 2'!$D:$D=$B171)*('DRAFT 2'!$A:$A&gt;=DATE(2026,7,1))*('DRAFT 2'!$A:$A&lt;DATE(2026,IF(7=12,7+1,7+1),1)),'DRAFT 2'!$A:$A),"")</f>
        <v>0</v>
      </c>
      <c r="FU171">
        <f>COUNTIFS('DRAFT 2'!$D:$D,$B171,'DRAFT 2'!$A:$A,"&gt;="&amp;DATE(2026,7,1),'DRAFT 2'!$A:$A,"&lt;="&amp;DATE(2026,7,7))</f>
        <v>0</v>
      </c>
      <c r="FV171">
        <f>COUNTIFS('DRAFT 2'!$D:$D,$B171,'DRAFT 2'!$A:$A,"&gt;="&amp;DATE(2026,7,8),'DRAFT 2'!$A:$A,"&lt;="&amp;DATE(2026,7,14))</f>
        <v>0</v>
      </c>
      <c r="FW171">
        <f>COUNTIFS('DRAFT 2'!$D:$D,$B171,'DRAFT 2'!$A:$A,"&gt;="&amp;DATE(2026,7,15),'DRAFT 2'!$A:$A,"&lt;="&amp;DATE(2026,7,21))</f>
        <v>0</v>
      </c>
      <c r="FX171">
        <f>COUNTIFS('DRAFT 2'!$D:$D,$B171,'DRAFT 2'!$A:$A,"&gt;="&amp;DATE(2026,7,22),'DRAFT 2'!$A:$A,"&lt;"&amp;DATE(2026,IF(7=12,7+1,7+1),1))</f>
        <v>0</v>
      </c>
      <c r="FY171">
        <f t="shared" si="78"/>
        <v>0</v>
      </c>
      <c r="GI171">
        <f>IFERROR(LOOKUP(2,1/('DRAFT 2'!$D:$D=$B171)*('DRAFT 2'!$A:$A&gt;=DATE(2026,8,1))*('DRAFT 2'!$A:$A&lt;DATE(2026,IF(8=12,8+1,8+1),1)),'DRAFT 2'!$A:$A),"")</f>
        <v>0</v>
      </c>
      <c r="GJ171">
        <f>COUNTIFS('DRAFT 2'!$D:$D,$B171,'DRAFT 2'!$A:$A,"&gt;="&amp;DATE(2026,8,1),'DRAFT 2'!$A:$A,"&lt;="&amp;DATE(2026,8,7))</f>
        <v>0</v>
      </c>
      <c r="GK171">
        <f>COUNTIFS('DRAFT 2'!$D:$D,$B171,'DRAFT 2'!$A:$A,"&gt;="&amp;DATE(2026,8,8),'DRAFT 2'!$A:$A,"&lt;="&amp;DATE(2026,8,14))</f>
        <v>0</v>
      </c>
      <c r="GL171">
        <f>COUNTIFS('DRAFT 2'!$D:$D,$B171,'DRAFT 2'!$A:$A,"&gt;="&amp;DATE(2026,8,15),'DRAFT 2'!$A:$A,"&lt;="&amp;DATE(2026,8,21))</f>
        <v>0</v>
      </c>
      <c r="GM171">
        <f>COUNTIFS('DRAFT 2'!$D:$D,$B171,'DRAFT 2'!$A:$A,"&gt;="&amp;DATE(2026,8,22),'DRAFT 2'!$A:$A,"&lt;"&amp;DATE(2026,IF(8=12,8+1,8+1),1))</f>
        <v>0</v>
      </c>
      <c r="GN171">
        <f t="shared" si="79"/>
        <v>0</v>
      </c>
      <c r="GX171">
        <f>IFERROR(LOOKUP(2,1/('DRAFT 2'!$D:$D=$B171)*('DRAFT 2'!$A:$A&gt;=DATE(2026,9,1))*('DRAFT 2'!$A:$A&lt;DATE(2026,IF(9=12,9+1,9+1),1)),'DRAFT 2'!$A:$A),"")</f>
        <v>0</v>
      </c>
      <c r="GY171">
        <f>COUNTIFS('DRAFT 2'!$D:$D,$B171,'DRAFT 2'!$A:$A,"&gt;="&amp;DATE(2026,9,1),'DRAFT 2'!$A:$A,"&lt;="&amp;DATE(2026,9,7))</f>
        <v>0</v>
      </c>
      <c r="GZ171">
        <f>COUNTIFS('DRAFT 2'!$D:$D,$B171,'DRAFT 2'!$A:$A,"&gt;="&amp;DATE(2026,9,8),'DRAFT 2'!$A:$A,"&lt;="&amp;DATE(2026,9,14))</f>
        <v>0</v>
      </c>
      <c r="HA171">
        <f>COUNTIFS('DRAFT 2'!$D:$D,$B171,'DRAFT 2'!$A:$A,"&gt;="&amp;DATE(2026,9,15),'DRAFT 2'!$A:$A,"&lt;="&amp;DATE(2026,9,21))</f>
        <v>0</v>
      </c>
      <c r="HB171">
        <f>COUNTIFS('DRAFT 2'!$D:$D,$B171,'DRAFT 2'!$A:$A,"&gt;="&amp;DATE(2026,9,22),'DRAFT 2'!$A:$A,"&lt;"&amp;DATE(2026,IF(9=12,9+1,9+1),1))</f>
        <v>0</v>
      </c>
      <c r="HC171">
        <f t="shared" si="80"/>
        <v>0</v>
      </c>
      <c r="HN171">
        <f>IFERROR(LOOKUP(2,1/('DRAFT 2'!$D:$D=$B171)*('DRAFT 2'!$A:$A&gt;=DATE(2026,10,1))*('DRAFT 2'!$A:$A&lt;DATE(2026,IF(10=12,10+1,10+1),1)),'DRAFT 2'!$A:$A),"")</f>
        <v>0</v>
      </c>
      <c r="HO171">
        <f>COUNTIFS('DRAFT 2'!$D:$D,$B171,'DRAFT 2'!$A:$A,"&gt;="&amp;DATE(2026,10,1),'DRAFT 2'!$A:$A,"&lt;="&amp;DATE(2026,10,7))</f>
        <v>0</v>
      </c>
      <c r="HP171">
        <f>COUNTIFS('DRAFT 2'!$D:$D,$B171,'DRAFT 2'!$A:$A,"&gt;="&amp;DATE(2026,10,8),'DRAFT 2'!$A:$A,"&lt;="&amp;DATE(2026,10,14))</f>
        <v>0</v>
      </c>
      <c r="HQ171">
        <f>COUNTIFS('DRAFT 2'!$D:$D,$B171,'DRAFT 2'!$A:$A,"&gt;="&amp;DATE(2026,10,15),'DRAFT 2'!$A:$A,"&lt;="&amp;DATE(2026,10,21))</f>
        <v>0</v>
      </c>
      <c r="HR171">
        <f>COUNTIFS('DRAFT 2'!$D:$D,$B171,'DRAFT 2'!$A:$A,"&gt;="&amp;DATE(2026,10,22),'DRAFT 2'!$A:$A,"&lt;"&amp;DATE(2026,IF(10=12,10+1,10+1),1))</f>
        <v>0</v>
      </c>
      <c r="HS171">
        <f t="shared" si="81"/>
        <v>0</v>
      </c>
      <c r="IC171">
        <f>IFERROR(LOOKUP(2,1/('DRAFT 2'!$D:$D=$B171)*('DRAFT 2'!$A:$A&gt;=DATE(2026,11,1))*('DRAFT 2'!$A:$A&lt;DATE(2026,IF(11=12,11+1,11+1),1)),'DRAFT 2'!$A:$A),"")</f>
        <v>0</v>
      </c>
      <c r="ID171">
        <f>COUNTIFS('DRAFT 2'!$D:$D,$B171,'DRAFT 2'!$A:$A,"&gt;="&amp;DATE(2026,11,1),'DRAFT 2'!$A:$A,"&lt;="&amp;DATE(2026,11,7))</f>
        <v>0</v>
      </c>
      <c r="IE171">
        <f>COUNTIFS('DRAFT 2'!$D:$D,$B171,'DRAFT 2'!$A:$A,"&gt;="&amp;DATE(2026,11,8),'DRAFT 2'!$A:$A,"&lt;="&amp;DATE(2026,11,14))</f>
        <v>0</v>
      </c>
      <c r="IF171">
        <f>COUNTIFS('DRAFT 2'!$D:$D,$B171,'DRAFT 2'!$A:$A,"&gt;="&amp;DATE(2026,11,15),'DRAFT 2'!$A:$A,"&lt;="&amp;DATE(2026,11,21))</f>
        <v>0</v>
      </c>
      <c r="IG171">
        <f>COUNTIFS('DRAFT 2'!$D:$D,$B171,'DRAFT 2'!$A:$A,"&gt;="&amp;DATE(2026,11,22),'DRAFT 2'!$A:$A,"&lt;"&amp;DATE(2026,IF(11=12,11+1,11+1),1))</f>
        <v>0</v>
      </c>
      <c r="IH171">
        <f t="shared" si="82"/>
        <v>0</v>
      </c>
      <c r="IR171">
        <f>IFERROR(LOOKUP(2,1/('DRAFT 2'!$D:$D=$B171)*('DRAFT 2'!$A:$A&gt;=DATE(2026,12,1))*('DRAFT 2'!$A:$A&lt;DATE(2026,IF(12=12,12+1,12+1),1)),'DRAFT 2'!$A:$A),"")</f>
        <v>0</v>
      </c>
      <c r="IS171">
        <f>COUNTIFS('DRAFT 2'!$D:$D,$B171,'DRAFT 2'!$A:$A,"&gt;="&amp;DATE(2026,12,1),'DRAFT 2'!$A:$A,"&lt;="&amp;DATE(2026,12,7))</f>
        <v>0</v>
      </c>
      <c r="IT171">
        <f>COUNTIFS('DRAFT 2'!$D:$D,$B171,'DRAFT 2'!$A:$A,"&gt;="&amp;DATE(2026,12,8),'DRAFT 2'!$A:$A,"&lt;="&amp;DATE(2026,12,14))</f>
        <v>0</v>
      </c>
      <c r="IU171">
        <f>COUNTIFS('DRAFT 2'!$D:$D,$B171,'DRAFT 2'!$A:$A,"&gt;="&amp;DATE(2026,12,15),'DRAFT 2'!$A:$A,"&lt;="&amp;DATE(2026,12,21))</f>
        <v>0</v>
      </c>
      <c r="IV171">
        <f>COUNTIFS('DRAFT 2'!$D:$D,$B171,'DRAFT 2'!$A:$A,"&gt;="&amp;DATE(2026,12,22),'DRAFT 2'!$A:$A,"&lt;"&amp;DATE(2026,IF(12=12,12+1,12+1),1))</f>
        <v>0</v>
      </c>
      <c r="IW171">
        <f t="shared" si="83"/>
        <v>0</v>
      </c>
    </row>
    <row r="172" spans="1:257" x14ac:dyDescent="0.3">
      <c r="A172" t="str">
        <f>IFERROR(INDEX('DRAFT 1'!$A:$A,MATCH($B172,'DRAFT 1'!$B:$B,0)),"")</f>
        <v/>
      </c>
      <c r="C172" t="str">
        <f>IFERROR(INDEX('DRAFT 1'!$C:$C,MATCH($B172,'DRAFT 1'!$B:$B,0)),"")</f>
        <v/>
      </c>
      <c r="D172" t="str">
        <f>IFERROR(INDEX('DRAFT 1'!$D:$D,MATCH($B172,'DRAFT 1'!$B:$B,0)),"")</f>
        <v/>
      </c>
      <c r="E172" t="str">
        <f>IFERROR(INDEX('DRAFT 1'!$E:$E,MATCH($B172,'DRAFT 1'!$B:$B,0)),"")</f>
        <v/>
      </c>
      <c r="F172" t="str">
        <f>IFERROR(INDEX('DRAFT 1'!$F:$F,MATCH($B172,'DRAFT 1'!$B:$B,0)),"")</f>
        <v/>
      </c>
      <c r="G172" t="str">
        <f>IFERROR(INDEX('DRAFT 1'!$G:$G,MATCH($B172,'DRAFT 1'!$B:$B,0)),"")</f>
        <v/>
      </c>
      <c r="H172" t="str">
        <f>IFERROR(INDEX('DRAFT 1'!$H:$H,MATCH($B172,'DRAFT 1'!$B:$B,0)),"")</f>
        <v/>
      </c>
      <c r="I172" t="str">
        <f>IFERROR(INDEX('DRAFT 1'!$I:$I,MATCH($B172,'DRAFT 1'!$B:$B,0)),"")</f>
        <v/>
      </c>
      <c r="K172" t="str">
        <f>IFERROR(INDEX('DRAFT 1'!$AL:$AL,MATCH($B172,'DRAFT 1'!$B:$B,0)),"")</f>
        <v/>
      </c>
      <c r="L172" t="str">
        <f>IFERROR(INDEX('DRAFT 1'!$J:$J,MATCH($B172,'DRAFT 1'!$B:$B,0)),"")</f>
        <v/>
      </c>
      <c r="M172" t="str">
        <f>IFERROR(INDEX('DRAFT 1'!$K:$K,MATCH($B172,'DRAFT 1'!$B:$B,0)),"")</f>
        <v/>
      </c>
      <c r="P172" t="str">
        <f>IFERROR(INDEX('DRAFT 1'!$L:$L,MATCH($B172,'DRAFT 1'!$B:$B,0)),"")</f>
        <v/>
      </c>
      <c r="Q172" t="str">
        <f>IFERROR(INDEX('DRAFT 1'!$M:$M,MATCH($B172,'DRAFT 1'!$B:$B,0)),"")</f>
        <v/>
      </c>
      <c r="R172" t="str">
        <f>IFERROR(INDEX('DRAFT 1'!$N:$N,MATCH($B172,'DRAFT 1'!$B:$B,0)),"")</f>
        <v/>
      </c>
      <c r="S172" t="str">
        <f>IFERROR(INDEX('DRAFT 1'!$O:$O,MATCH($B172,'DRAFT 1'!$B:$B,0)),"")</f>
        <v/>
      </c>
      <c r="T172" t="str">
        <f>IFERROR(INDEX('DRAFT 1'!$P:$P,MATCH($B172,'DRAFT 1'!$B:$B,0)),"")</f>
        <v/>
      </c>
      <c r="U172" t="str">
        <f>IFERROR(INDEX('DRAFT 1'!$Q:$Q,MATCH($B172,'DRAFT 1'!$B:$B,0)),"")</f>
        <v/>
      </c>
      <c r="V172" t="str">
        <f>IFERROR(INDEX('DRAFT 1'!$R:$R,MATCH($B172,'DRAFT 1'!$B:$B,0)),"")</f>
        <v/>
      </c>
      <c r="W172" t="str">
        <f>IFERROR(INDEX('DRAFT 1'!$S:$S,MATCH($B172,'DRAFT 1'!$B:$B,0)),"")</f>
        <v/>
      </c>
      <c r="X172" t="str">
        <f>IFERROR(INDEX('DRAFT 1'!$T:$T,MATCH($B172,'DRAFT 1'!$B:$B,0)),"")</f>
        <v/>
      </c>
      <c r="Z172" t="str">
        <f>IFERROR(INDEX('DRAFT 1'!$U:$U,MATCH($B172,'DRAFT 1'!$B:$B,0)),"")</f>
        <v/>
      </c>
      <c r="AA172" t="str">
        <f>IFERROR(INDEX('DRAFT 1'!$V:$V,MATCH($B172,'DRAFT 1'!$B:$B,0)),"")</f>
        <v/>
      </c>
      <c r="AB172" t="str">
        <f>IFERROR(INDEX('DRAFT 1'!$W:$W,MATCH($B172,'DRAFT 1'!$B:$B,0)),"")</f>
        <v/>
      </c>
      <c r="AC172" t="str">
        <f>IFERROR(INDEX('DRAFT 1'!$X:$X,MATCH($B172,'DRAFT 1'!$B:$B,0)),"")</f>
        <v/>
      </c>
      <c r="AD172" t="str">
        <f>IFERROR(INDEX('DRAFT 1'!$Y:$Y,MATCH($B172,'DRAFT 1'!$B:$B,0)),"")</f>
        <v/>
      </c>
      <c r="AE172" t="str">
        <f>IFERROR(INDEX('DRAFT 1'!$Z:$Z,MATCH($B172,'DRAFT 1'!$B:$B,0)),"")</f>
        <v/>
      </c>
      <c r="AF172" t="str">
        <f>IFERROR(INDEX('DRAFT 1'!$AA:$AA,MATCH($B172,'DRAFT 1'!$B:$B,0)),"")</f>
        <v/>
      </c>
      <c r="AG172" t="str">
        <f>IFERROR(INDEX('DRAFT 1'!$AB:$AB,MATCH($B172,'DRAFT 1'!$B:$B,0)),"")</f>
        <v/>
      </c>
      <c r="AH172" t="str">
        <f>IFERROR(INDEX('DRAFT 1'!$AC:$AC,MATCH($B172,'DRAFT 1'!$B:$B,0)),"")</f>
        <v/>
      </c>
      <c r="AI172" t="str">
        <f>IFERROR(INDEX('DRAFT 1'!$AD:$AD,MATCH($B172,'DRAFT 1'!$B:$B,0)),"")</f>
        <v/>
      </c>
      <c r="AJ172" t="str">
        <f>IFERROR(INDEX('DRAFT 1'!$AE:$AE,MATCH($B172,'DRAFT 1'!$B:$B,0)),"")</f>
        <v/>
      </c>
      <c r="AK172" t="str">
        <f>IFERROR(INDEX('DRAFT 1'!$AG:$AG,MATCH($B172,'DRAFT 1'!$B:$B,0)),"")</f>
        <v/>
      </c>
      <c r="AL172" t="str">
        <f>IFERROR(INDEX('DRAFT 1'!$AH:$AH,MATCH($B172,'DRAFT 1'!$B:$B,0)),"")</f>
        <v/>
      </c>
      <c r="AM172" t="str">
        <f>IFERROR(INDEX('DRAFT 1'!$AI:$AI,MATCH($B172,'DRAFT 1'!$B:$B,0)),"")</f>
        <v/>
      </c>
      <c r="AN172" t="str">
        <f>IFERROR(INDEX('DRAFT 1'!$AJ:$AJ,MATCH($B172,'DRAFT 1'!$B:$B,0)),"")</f>
        <v/>
      </c>
      <c r="AO172">
        <f t="shared" si="70"/>
        <v>0</v>
      </c>
      <c r="AP172" t="str">
        <f>IFERROR(INDEX('DRAFT 1'!$AK:$AK,MATCH($B172,'DRAFT 1'!$B:$B,0)),"")</f>
        <v/>
      </c>
      <c r="AR172">
        <f>IFERROR(LOOKUP(2,1/('DRAFT 2'!$D:$D=$B172),'DRAFT 2'!$I:$I),"")</f>
        <v>0</v>
      </c>
      <c r="AS172">
        <f>IFERROR(LOOKUP(2,1/('DRAFT 2'!$D:$D=$B172),'DRAFT 2'!$T:$T),"")</f>
        <v>0</v>
      </c>
      <c r="AT172">
        <f>IFERROR(LOOKUP(2,1/('DRAFT 2'!$D:$D=$B172),'DRAFT 2'!$A:$A),"")</f>
        <v>0</v>
      </c>
      <c r="AU172">
        <f>IFERROR(LOOKUP(2,1/('DRAFT 2'!$D:$D=$B172),'DRAFT 2'!$R:$R),"")</f>
        <v>0</v>
      </c>
      <c r="AV172">
        <f>IFERROR(LOOKUP(2,1/('DRAFT 2'!$D:$D=$B172),'DRAFT 2'!$S:$S),"")</f>
        <v>0</v>
      </c>
      <c r="AX172">
        <f>IFERROR(LOOKUP(2,1/('DRAFT 2'!$D:$D=$B172),'DRAFT 2'!$M:$M),"")</f>
        <v>0</v>
      </c>
      <c r="AY172">
        <f>IFERROR(LOOKUP(2,1/('DRAFT 2'!$D:$D=$B172),'DRAFT 2'!$K:$K),"")</f>
        <v>0</v>
      </c>
      <c r="BG172">
        <f>IFERROR(LOOKUP(2,1/('DRAFT 2'!$D:$D=$B172),'DRAFT 2'!$U:$U),"")</f>
        <v>0</v>
      </c>
      <c r="BH172">
        <f>IFERROR(LOOKUP(2,1/('DRAFT 2'!$D:$D=$B172),'DRAFT 2'!$V:$V),"")</f>
        <v>0</v>
      </c>
      <c r="CE172" t="str">
        <f t="shared" si="71"/>
        <v/>
      </c>
      <c r="CF172">
        <f>IFERROR(LOOKUP(2,1/('DRAFT 2'!$D:$D=$B172)*('DRAFT 2'!$A:$A&gt;=DATE(2026,1,1))*('DRAFT 2'!$A:$A&lt;DATE(2026,IF(1=12,1+1,1+1),1)),'DRAFT 2'!$A:$A),"")</f>
        <v>0</v>
      </c>
      <c r="CG172">
        <f>COUNTIFS('DRAFT 2'!$D:$D,$B172,'DRAFT 2'!$A:$A,"&gt;="&amp;DATE(2026,1,1),'DRAFT 2'!$A:$A,"&lt;="&amp;DATE(2026,1,7))</f>
        <v>0</v>
      </c>
      <c r="CH172">
        <f>COUNTIFS('DRAFT 2'!$D:$D,$B172,'DRAFT 2'!$A:$A,"&gt;="&amp;DATE(2026,1,8),'DRAFT 2'!$A:$A,"&lt;="&amp;DATE(2026,1,14))</f>
        <v>0</v>
      </c>
      <c r="CI172">
        <f>COUNTIFS('DRAFT 2'!$D:$D,$B172,'DRAFT 2'!$A:$A,"&gt;="&amp;DATE(2026,1,15),'DRAFT 2'!$A:$A,"&lt;="&amp;DATE(2026,1,21))</f>
        <v>0</v>
      </c>
      <c r="CJ172">
        <f>COUNTIFS('DRAFT 2'!$D:$D,$B172,'DRAFT 2'!$A:$A,"&gt;="&amp;DATE(2026,1,22),'DRAFT 2'!$A:$A,"&lt;"&amp;DATE(2026,IF(1=12,1+1,1+1),1))</f>
        <v>0</v>
      </c>
      <c r="CK172">
        <f t="shared" si="72"/>
        <v>0</v>
      </c>
      <c r="CT172">
        <v>0</v>
      </c>
      <c r="CU172">
        <f>IFERROR(LOOKUP(2,1/('DRAFT 2'!$D:$D=$B172)*('DRAFT 2'!$A:$A&gt;=DATE(2026,2,1))*('DRAFT 2'!$A:$A&lt;DATE(2026,IF(2=12,2+1,2+1),1)),'DRAFT 2'!$A:$A),"")</f>
        <v>0</v>
      </c>
      <c r="CV172">
        <f>COUNTIFS('DRAFT 2'!$D:$D,$B172,'DRAFT 2'!$A:$A,"&gt;="&amp;DATE(2026,2,1),'DRAFT 2'!$A:$A,"&lt;="&amp;DATE(2026,2,7))</f>
        <v>0</v>
      </c>
      <c r="CW172">
        <f>COUNTIFS('DRAFT 2'!$D:$D,$B172,'DRAFT 2'!$A:$A,"&gt;="&amp;DATE(2026,2,8),'DRAFT 2'!$A:$A,"&lt;="&amp;DATE(2026,2,14))</f>
        <v>0</v>
      </c>
      <c r="CX172">
        <f>COUNTIFS('DRAFT 2'!$D:$D,$B172,'DRAFT 2'!$A:$A,"&gt;="&amp;DATE(2026,2,15),'DRAFT 2'!$A:$A,"&lt;="&amp;DATE(2026,2,21))</f>
        <v>0</v>
      </c>
      <c r="CY172">
        <f>COUNTIFS('DRAFT 2'!$D:$D,$B172,'DRAFT 2'!$A:$A,"&gt;="&amp;DATE(2026,2,22),'DRAFT 2'!$A:$A,"&lt;"&amp;DATE(2026,IF(2=12,2+1,2+1),1))</f>
        <v>0</v>
      </c>
      <c r="CZ172">
        <f t="shared" si="73"/>
        <v>0</v>
      </c>
      <c r="DJ172">
        <f>IFERROR(LOOKUP(2,1/('DRAFT 2'!$D:$D=$B172)*('DRAFT 2'!$A:$A&gt;=DATE(2026,3,1))*('DRAFT 2'!$A:$A&lt;DATE(2026,IF(3=12,3+1,3+1),1)),'DRAFT 2'!$A:$A),"")</f>
        <v>0</v>
      </c>
      <c r="DK172">
        <f>COUNTIFS('DRAFT 2'!$D:$D,$B172,'DRAFT 2'!$A:$A,"&gt;="&amp;DATE(2026,3,1),'DRAFT 2'!$A:$A,"&lt;="&amp;DATE(2026,3,7))</f>
        <v>0</v>
      </c>
      <c r="DL172">
        <f>COUNTIFS('DRAFT 2'!$D:$D,$B172,'DRAFT 2'!$A:$A,"&gt;="&amp;DATE(2026,3,8),'DRAFT 2'!$A:$A,"&lt;="&amp;DATE(2026,3,14))</f>
        <v>0</v>
      </c>
      <c r="DM172">
        <f>COUNTIFS('DRAFT 2'!$D:$D,$B172,'DRAFT 2'!$A:$A,"&gt;="&amp;DATE(2026,3,15),'DRAFT 2'!$A:$A,"&lt;="&amp;DATE(2026,3,21))</f>
        <v>0</v>
      </c>
      <c r="DN172">
        <f>COUNTIFS('DRAFT 2'!$D:$D,$B172,'DRAFT 2'!$A:$A,"&gt;="&amp;DATE(2026,3,22),'DRAFT 2'!$A:$A,"&lt;"&amp;DATE(2026,IF(3=12,3+1,3+1),1))</f>
        <v>0</v>
      </c>
      <c r="DO172">
        <f t="shared" si="74"/>
        <v>0</v>
      </c>
      <c r="DZ172">
        <f>IFERROR(LOOKUP(2,1/('DRAFT 2'!$D:$D=$B172)*('DRAFT 2'!$A:$A&gt;=DATE(2026,4,1))*('DRAFT 2'!$A:$A&lt;DATE(2026,IF(4=12,4+1,4+1),1)),'DRAFT 2'!$A:$A),"")</f>
        <v>0</v>
      </c>
      <c r="EA172">
        <f>COUNTIFS('DRAFT 2'!$D:$D,$B172,'DRAFT 2'!$A:$A,"&gt;="&amp;DATE(2026,4,1),'DRAFT 2'!$A:$A,"&lt;="&amp;DATE(2026,4,7))</f>
        <v>0</v>
      </c>
      <c r="EB172">
        <f>COUNTIFS('DRAFT 2'!$D:$D,$B172,'DRAFT 2'!$A:$A,"&gt;="&amp;DATE(2026,4,8),'DRAFT 2'!$A:$A,"&lt;="&amp;DATE(2026,4,14))</f>
        <v>0</v>
      </c>
      <c r="EC172">
        <f>COUNTIFS('DRAFT 2'!$D:$D,$B172,'DRAFT 2'!$A:$A,"&gt;="&amp;DATE(2026,4,15),'DRAFT 2'!$A:$A,"&lt;="&amp;DATE(2026,4,21))</f>
        <v>0</v>
      </c>
      <c r="ED172">
        <f>COUNTIFS('DRAFT 2'!$D:$D,$B172,'DRAFT 2'!$A:$A,"&gt;="&amp;DATE(2026,4,22),'DRAFT 2'!$A:$A,"&lt;"&amp;DATE(2026,IF(4=12,4+1,4+1),1))</f>
        <v>0</v>
      </c>
      <c r="EE172">
        <f t="shared" si="75"/>
        <v>0</v>
      </c>
      <c r="EO172">
        <f>IFERROR(LOOKUP(2,1/('DRAFT 2'!$D:$D=$B172)*('DRAFT 2'!$A:$A&gt;=DATE(2026,5,1))*('DRAFT 2'!$A:$A&lt;DATE(2026,IF(5=12,5+1,5+1),1)),'DRAFT 2'!$A:$A),"")</f>
        <v>0</v>
      </c>
      <c r="EP172">
        <f>COUNTIFS('DRAFT 2'!$D:$D,$B172,'DRAFT 2'!$A:$A,"&gt;="&amp;DATE(2026,5,1),'DRAFT 2'!$A:$A,"&lt;="&amp;DATE(2026,5,7))</f>
        <v>0</v>
      </c>
      <c r="EQ172">
        <f>COUNTIFS('DRAFT 2'!$D:$D,$B172,'DRAFT 2'!$A:$A,"&gt;="&amp;DATE(2026,5,8),'DRAFT 2'!$A:$A,"&lt;="&amp;DATE(2026,5,14))</f>
        <v>0</v>
      </c>
      <c r="ER172">
        <f>COUNTIFS('DRAFT 2'!$D:$D,$B172,'DRAFT 2'!$A:$A,"&gt;="&amp;DATE(2026,5,15),'DRAFT 2'!$A:$A,"&lt;="&amp;DATE(2026,5,21))</f>
        <v>0</v>
      </c>
      <c r="ES172">
        <f>COUNTIFS('DRAFT 2'!$D:$D,$B172,'DRAFT 2'!$A:$A,"&gt;="&amp;DATE(2026,5,22),'DRAFT 2'!$A:$A,"&lt;"&amp;DATE(2026,IF(5=12,5+1,5+1),1))</f>
        <v>0</v>
      </c>
      <c r="ET172">
        <f t="shared" si="76"/>
        <v>0</v>
      </c>
      <c r="FD172">
        <f>IFERROR(LOOKUP(2,1/('DRAFT 2'!$D:$D=$B172)*('DRAFT 2'!$A:$A&gt;=DATE(2026,6,1))*('DRAFT 2'!$A:$A&lt;DATE(2026,IF(6=12,6+1,6+1),1)),'DRAFT 2'!$A:$A),"")</f>
        <v>0</v>
      </c>
      <c r="FE172">
        <f>COUNTIFS('DRAFT 2'!$D:$D,$B172,'DRAFT 2'!$A:$A,"&gt;="&amp;DATE(2026,6,1),'DRAFT 2'!$A:$A,"&lt;="&amp;DATE(2026,6,7))</f>
        <v>0</v>
      </c>
      <c r="FF172">
        <f>COUNTIFS('DRAFT 2'!$D:$D,$B172,'DRAFT 2'!$A:$A,"&gt;="&amp;DATE(2026,6,8),'DRAFT 2'!$A:$A,"&lt;="&amp;DATE(2026,6,14))</f>
        <v>0</v>
      </c>
      <c r="FG172">
        <f>COUNTIFS('DRAFT 2'!$D:$D,$B172,'DRAFT 2'!$A:$A,"&gt;="&amp;DATE(2026,6,15),'DRAFT 2'!$A:$A,"&lt;="&amp;DATE(2026,6,21))</f>
        <v>0</v>
      </c>
      <c r="FH172">
        <f>COUNTIFS('DRAFT 2'!$D:$D,$B172,'DRAFT 2'!$A:$A,"&gt;="&amp;DATE(2026,6,22),'DRAFT 2'!$A:$A,"&lt;"&amp;DATE(2026,IF(6=12,6+1,6+1),1))</f>
        <v>0</v>
      </c>
      <c r="FI172">
        <f t="shared" si="77"/>
        <v>0</v>
      </c>
      <c r="FT172">
        <f>IFERROR(LOOKUP(2,1/('DRAFT 2'!$D:$D=$B172)*('DRAFT 2'!$A:$A&gt;=DATE(2026,7,1))*('DRAFT 2'!$A:$A&lt;DATE(2026,IF(7=12,7+1,7+1),1)),'DRAFT 2'!$A:$A),"")</f>
        <v>0</v>
      </c>
      <c r="FU172">
        <f>COUNTIFS('DRAFT 2'!$D:$D,$B172,'DRAFT 2'!$A:$A,"&gt;="&amp;DATE(2026,7,1),'DRAFT 2'!$A:$A,"&lt;="&amp;DATE(2026,7,7))</f>
        <v>0</v>
      </c>
      <c r="FV172">
        <f>COUNTIFS('DRAFT 2'!$D:$D,$B172,'DRAFT 2'!$A:$A,"&gt;="&amp;DATE(2026,7,8),'DRAFT 2'!$A:$A,"&lt;="&amp;DATE(2026,7,14))</f>
        <v>0</v>
      </c>
      <c r="FW172">
        <f>COUNTIFS('DRAFT 2'!$D:$D,$B172,'DRAFT 2'!$A:$A,"&gt;="&amp;DATE(2026,7,15),'DRAFT 2'!$A:$A,"&lt;="&amp;DATE(2026,7,21))</f>
        <v>0</v>
      </c>
      <c r="FX172">
        <f>COUNTIFS('DRAFT 2'!$D:$D,$B172,'DRAFT 2'!$A:$A,"&gt;="&amp;DATE(2026,7,22),'DRAFT 2'!$A:$A,"&lt;"&amp;DATE(2026,IF(7=12,7+1,7+1),1))</f>
        <v>0</v>
      </c>
      <c r="FY172">
        <f t="shared" si="78"/>
        <v>0</v>
      </c>
      <c r="GI172">
        <f>IFERROR(LOOKUP(2,1/('DRAFT 2'!$D:$D=$B172)*('DRAFT 2'!$A:$A&gt;=DATE(2026,8,1))*('DRAFT 2'!$A:$A&lt;DATE(2026,IF(8=12,8+1,8+1),1)),'DRAFT 2'!$A:$A),"")</f>
        <v>0</v>
      </c>
      <c r="GJ172">
        <f>COUNTIFS('DRAFT 2'!$D:$D,$B172,'DRAFT 2'!$A:$A,"&gt;="&amp;DATE(2026,8,1),'DRAFT 2'!$A:$A,"&lt;="&amp;DATE(2026,8,7))</f>
        <v>0</v>
      </c>
      <c r="GK172">
        <f>COUNTIFS('DRAFT 2'!$D:$D,$B172,'DRAFT 2'!$A:$A,"&gt;="&amp;DATE(2026,8,8),'DRAFT 2'!$A:$A,"&lt;="&amp;DATE(2026,8,14))</f>
        <v>0</v>
      </c>
      <c r="GL172">
        <f>COUNTIFS('DRAFT 2'!$D:$D,$B172,'DRAFT 2'!$A:$A,"&gt;="&amp;DATE(2026,8,15),'DRAFT 2'!$A:$A,"&lt;="&amp;DATE(2026,8,21))</f>
        <v>0</v>
      </c>
      <c r="GM172">
        <f>COUNTIFS('DRAFT 2'!$D:$D,$B172,'DRAFT 2'!$A:$A,"&gt;="&amp;DATE(2026,8,22),'DRAFT 2'!$A:$A,"&lt;"&amp;DATE(2026,IF(8=12,8+1,8+1),1))</f>
        <v>0</v>
      </c>
      <c r="GN172">
        <f t="shared" si="79"/>
        <v>0</v>
      </c>
      <c r="GX172">
        <f>IFERROR(LOOKUP(2,1/('DRAFT 2'!$D:$D=$B172)*('DRAFT 2'!$A:$A&gt;=DATE(2026,9,1))*('DRAFT 2'!$A:$A&lt;DATE(2026,IF(9=12,9+1,9+1),1)),'DRAFT 2'!$A:$A),"")</f>
        <v>0</v>
      </c>
      <c r="GY172">
        <f>COUNTIFS('DRAFT 2'!$D:$D,$B172,'DRAFT 2'!$A:$A,"&gt;="&amp;DATE(2026,9,1),'DRAFT 2'!$A:$A,"&lt;="&amp;DATE(2026,9,7))</f>
        <v>0</v>
      </c>
      <c r="GZ172">
        <f>COUNTIFS('DRAFT 2'!$D:$D,$B172,'DRAFT 2'!$A:$A,"&gt;="&amp;DATE(2026,9,8),'DRAFT 2'!$A:$A,"&lt;="&amp;DATE(2026,9,14))</f>
        <v>0</v>
      </c>
      <c r="HA172">
        <f>COUNTIFS('DRAFT 2'!$D:$D,$B172,'DRAFT 2'!$A:$A,"&gt;="&amp;DATE(2026,9,15),'DRAFT 2'!$A:$A,"&lt;="&amp;DATE(2026,9,21))</f>
        <v>0</v>
      </c>
      <c r="HB172">
        <f>COUNTIFS('DRAFT 2'!$D:$D,$B172,'DRAFT 2'!$A:$A,"&gt;="&amp;DATE(2026,9,22),'DRAFT 2'!$A:$A,"&lt;"&amp;DATE(2026,IF(9=12,9+1,9+1),1))</f>
        <v>0</v>
      </c>
      <c r="HC172">
        <f t="shared" si="80"/>
        <v>0</v>
      </c>
      <c r="HN172">
        <f>IFERROR(LOOKUP(2,1/('DRAFT 2'!$D:$D=$B172)*('DRAFT 2'!$A:$A&gt;=DATE(2026,10,1))*('DRAFT 2'!$A:$A&lt;DATE(2026,IF(10=12,10+1,10+1),1)),'DRAFT 2'!$A:$A),"")</f>
        <v>0</v>
      </c>
      <c r="HO172">
        <f>COUNTIFS('DRAFT 2'!$D:$D,$B172,'DRAFT 2'!$A:$A,"&gt;="&amp;DATE(2026,10,1),'DRAFT 2'!$A:$A,"&lt;="&amp;DATE(2026,10,7))</f>
        <v>0</v>
      </c>
      <c r="HP172">
        <f>COUNTIFS('DRAFT 2'!$D:$D,$B172,'DRAFT 2'!$A:$A,"&gt;="&amp;DATE(2026,10,8),'DRAFT 2'!$A:$A,"&lt;="&amp;DATE(2026,10,14))</f>
        <v>0</v>
      </c>
      <c r="HQ172">
        <f>COUNTIFS('DRAFT 2'!$D:$D,$B172,'DRAFT 2'!$A:$A,"&gt;="&amp;DATE(2026,10,15),'DRAFT 2'!$A:$A,"&lt;="&amp;DATE(2026,10,21))</f>
        <v>0</v>
      </c>
      <c r="HR172">
        <f>COUNTIFS('DRAFT 2'!$D:$D,$B172,'DRAFT 2'!$A:$A,"&gt;="&amp;DATE(2026,10,22),'DRAFT 2'!$A:$A,"&lt;"&amp;DATE(2026,IF(10=12,10+1,10+1),1))</f>
        <v>0</v>
      </c>
      <c r="HS172">
        <f t="shared" si="81"/>
        <v>0</v>
      </c>
      <c r="IC172">
        <f>IFERROR(LOOKUP(2,1/('DRAFT 2'!$D:$D=$B172)*('DRAFT 2'!$A:$A&gt;=DATE(2026,11,1))*('DRAFT 2'!$A:$A&lt;DATE(2026,IF(11=12,11+1,11+1),1)),'DRAFT 2'!$A:$A),"")</f>
        <v>0</v>
      </c>
      <c r="ID172">
        <f>COUNTIFS('DRAFT 2'!$D:$D,$B172,'DRAFT 2'!$A:$A,"&gt;="&amp;DATE(2026,11,1),'DRAFT 2'!$A:$A,"&lt;="&amp;DATE(2026,11,7))</f>
        <v>0</v>
      </c>
      <c r="IE172">
        <f>COUNTIFS('DRAFT 2'!$D:$D,$B172,'DRAFT 2'!$A:$A,"&gt;="&amp;DATE(2026,11,8),'DRAFT 2'!$A:$A,"&lt;="&amp;DATE(2026,11,14))</f>
        <v>0</v>
      </c>
      <c r="IF172">
        <f>COUNTIFS('DRAFT 2'!$D:$D,$B172,'DRAFT 2'!$A:$A,"&gt;="&amp;DATE(2026,11,15),'DRAFT 2'!$A:$A,"&lt;="&amp;DATE(2026,11,21))</f>
        <v>0</v>
      </c>
      <c r="IG172">
        <f>COUNTIFS('DRAFT 2'!$D:$D,$B172,'DRAFT 2'!$A:$A,"&gt;="&amp;DATE(2026,11,22),'DRAFT 2'!$A:$A,"&lt;"&amp;DATE(2026,IF(11=12,11+1,11+1),1))</f>
        <v>0</v>
      </c>
      <c r="IH172">
        <f t="shared" si="82"/>
        <v>0</v>
      </c>
      <c r="IR172">
        <f>IFERROR(LOOKUP(2,1/('DRAFT 2'!$D:$D=$B172)*('DRAFT 2'!$A:$A&gt;=DATE(2026,12,1))*('DRAFT 2'!$A:$A&lt;DATE(2026,IF(12=12,12+1,12+1),1)),'DRAFT 2'!$A:$A),"")</f>
        <v>0</v>
      </c>
      <c r="IS172">
        <f>COUNTIFS('DRAFT 2'!$D:$D,$B172,'DRAFT 2'!$A:$A,"&gt;="&amp;DATE(2026,12,1),'DRAFT 2'!$A:$A,"&lt;="&amp;DATE(2026,12,7))</f>
        <v>0</v>
      </c>
      <c r="IT172">
        <f>COUNTIFS('DRAFT 2'!$D:$D,$B172,'DRAFT 2'!$A:$A,"&gt;="&amp;DATE(2026,12,8),'DRAFT 2'!$A:$A,"&lt;="&amp;DATE(2026,12,14))</f>
        <v>0</v>
      </c>
      <c r="IU172">
        <f>COUNTIFS('DRAFT 2'!$D:$D,$B172,'DRAFT 2'!$A:$A,"&gt;="&amp;DATE(2026,12,15),'DRAFT 2'!$A:$A,"&lt;="&amp;DATE(2026,12,21))</f>
        <v>0</v>
      </c>
      <c r="IV172">
        <f>COUNTIFS('DRAFT 2'!$D:$D,$B172,'DRAFT 2'!$A:$A,"&gt;="&amp;DATE(2026,12,22),'DRAFT 2'!$A:$A,"&lt;"&amp;DATE(2026,IF(12=12,12+1,12+1),1))</f>
        <v>0</v>
      </c>
      <c r="IW172">
        <f t="shared" si="83"/>
        <v>0</v>
      </c>
    </row>
    <row r="173" spans="1:257" x14ac:dyDescent="0.3">
      <c r="A173" t="str">
        <f>IFERROR(INDEX('DRAFT 1'!$A:$A,MATCH($B173,'DRAFT 1'!$B:$B,0)),"")</f>
        <v/>
      </c>
      <c r="C173" t="str">
        <f>IFERROR(INDEX('DRAFT 1'!$C:$C,MATCH($B173,'DRAFT 1'!$B:$B,0)),"")</f>
        <v/>
      </c>
      <c r="D173" t="str">
        <f>IFERROR(INDEX('DRAFT 1'!$D:$D,MATCH($B173,'DRAFT 1'!$B:$B,0)),"")</f>
        <v/>
      </c>
      <c r="E173" t="str">
        <f>IFERROR(INDEX('DRAFT 1'!$E:$E,MATCH($B173,'DRAFT 1'!$B:$B,0)),"")</f>
        <v/>
      </c>
      <c r="F173" t="str">
        <f>IFERROR(INDEX('DRAFT 1'!$F:$F,MATCH($B173,'DRAFT 1'!$B:$B,0)),"")</f>
        <v/>
      </c>
      <c r="G173" t="str">
        <f>IFERROR(INDEX('DRAFT 1'!$G:$G,MATCH($B173,'DRAFT 1'!$B:$B,0)),"")</f>
        <v/>
      </c>
      <c r="H173" t="str">
        <f>IFERROR(INDEX('DRAFT 1'!$H:$H,MATCH($B173,'DRAFT 1'!$B:$B,0)),"")</f>
        <v/>
      </c>
      <c r="I173" t="str">
        <f>IFERROR(INDEX('DRAFT 1'!$I:$I,MATCH($B173,'DRAFT 1'!$B:$B,0)),"")</f>
        <v/>
      </c>
      <c r="K173" t="str">
        <f>IFERROR(INDEX('DRAFT 1'!$AL:$AL,MATCH($B173,'DRAFT 1'!$B:$B,0)),"")</f>
        <v/>
      </c>
      <c r="L173" t="str">
        <f>IFERROR(INDEX('DRAFT 1'!$J:$J,MATCH($B173,'DRAFT 1'!$B:$B,0)),"")</f>
        <v/>
      </c>
      <c r="M173" t="str">
        <f>IFERROR(INDEX('DRAFT 1'!$K:$K,MATCH($B173,'DRAFT 1'!$B:$B,0)),"")</f>
        <v/>
      </c>
      <c r="P173" t="str">
        <f>IFERROR(INDEX('DRAFT 1'!$L:$L,MATCH($B173,'DRAFT 1'!$B:$B,0)),"")</f>
        <v/>
      </c>
      <c r="Q173" t="str">
        <f>IFERROR(INDEX('DRAFT 1'!$M:$M,MATCH($B173,'DRAFT 1'!$B:$B,0)),"")</f>
        <v/>
      </c>
      <c r="R173" t="str">
        <f>IFERROR(INDEX('DRAFT 1'!$N:$N,MATCH($B173,'DRAFT 1'!$B:$B,0)),"")</f>
        <v/>
      </c>
      <c r="S173" t="str">
        <f>IFERROR(INDEX('DRAFT 1'!$O:$O,MATCH($B173,'DRAFT 1'!$B:$B,0)),"")</f>
        <v/>
      </c>
      <c r="T173" t="str">
        <f>IFERROR(INDEX('DRAFT 1'!$P:$P,MATCH($B173,'DRAFT 1'!$B:$B,0)),"")</f>
        <v/>
      </c>
      <c r="U173" t="str">
        <f>IFERROR(INDEX('DRAFT 1'!$Q:$Q,MATCH($B173,'DRAFT 1'!$B:$B,0)),"")</f>
        <v/>
      </c>
      <c r="V173" t="str">
        <f>IFERROR(INDEX('DRAFT 1'!$R:$R,MATCH($B173,'DRAFT 1'!$B:$B,0)),"")</f>
        <v/>
      </c>
      <c r="W173" t="str">
        <f>IFERROR(INDEX('DRAFT 1'!$S:$S,MATCH($B173,'DRAFT 1'!$B:$B,0)),"")</f>
        <v/>
      </c>
      <c r="X173" t="str">
        <f>IFERROR(INDEX('DRAFT 1'!$T:$T,MATCH($B173,'DRAFT 1'!$B:$B,0)),"")</f>
        <v/>
      </c>
      <c r="Z173" t="str">
        <f>IFERROR(INDEX('DRAFT 1'!$U:$U,MATCH($B173,'DRAFT 1'!$B:$B,0)),"")</f>
        <v/>
      </c>
      <c r="AA173" t="str">
        <f>IFERROR(INDEX('DRAFT 1'!$V:$V,MATCH($B173,'DRAFT 1'!$B:$B,0)),"")</f>
        <v/>
      </c>
      <c r="AB173" t="str">
        <f>IFERROR(INDEX('DRAFT 1'!$W:$W,MATCH($B173,'DRAFT 1'!$B:$B,0)),"")</f>
        <v/>
      </c>
      <c r="AC173" t="str">
        <f>IFERROR(INDEX('DRAFT 1'!$X:$X,MATCH($B173,'DRAFT 1'!$B:$B,0)),"")</f>
        <v/>
      </c>
      <c r="AD173" t="str">
        <f>IFERROR(INDEX('DRAFT 1'!$Y:$Y,MATCH($B173,'DRAFT 1'!$B:$B,0)),"")</f>
        <v/>
      </c>
      <c r="AE173" t="str">
        <f>IFERROR(INDEX('DRAFT 1'!$Z:$Z,MATCH($B173,'DRAFT 1'!$B:$B,0)),"")</f>
        <v/>
      </c>
      <c r="AF173" t="str">
        <f>IFERROR(INDEX('DRAFT 1'!$AA:$AA,MATCH($B173,'DRAFT 1'!$B:$B,0)),"")</f>
        <v/>
      </c>
      <c r="AG173" t="str">
        <f>IFERROR(INDEX('DRAFT 1'!$AB:$AB,MATCH($B173,'DRAFT 1'!$B:$B,0)),"")</f>
        <v/>
      </c>
      <c r="AH173" t="str">
        <f>IFERROR(INDEX('DRAFT 1'!$AC:$AC,MATCH($B173,'DRAFT 1'!$B:$B,0)),"")</f>
        <v/>
      </c>
      <c r="AI173" t="str">
        <f>IFERROR(INDEX('DRAFT 1'!$AD:$AD,MATCH($B173,'DRAFT 1'!$B:$B,0)),"")</f>
        <v/>
      </c>
      <c r="AJ173" t="str">
        <f>IFERROR(INDEX('DRAFT 1'!$AE:$AE,MATCH($B173,'DRAFT 1'!$B:$B,0)),"")</f>
        <v/>
      </c>
      <c r="AK173" t="str">
        <f>IFERROR(INDEX('DRAFT 1'!$AG:$AG,MATCH($B173,'DRAFT 1'!$B:$B,0)),"")</f>
        <v/>
      </c>
      <c r="AL173" t="str">
        <f>IFERROR(INDEX('DRAFT 1'!$AH:$AH,MATCH($B173,'DRAFT 1'!$B:$B,0)),"")</f>
        <v/>
      </c>
      <c r="AM173" t="str">
        <f>IFERROR(INDEX('DRAFT 1'!$AI:$AI,MATCH($B173,'DRAFT 1'!$B:$B,0)),"")</f>
        <v/>
      </c>
      <c r="AN173" t="str">
        <f>IFERROR(INDEX('DRAFT 1'!$AJ:$AJ,MATCH($B173,'DRAFT 1'!$B:$B,0)),"")</f>
        <v/>
      </c>
      <c r="AO173">
        <f t="shared" si="70"/>
        <v>0</v>
      </c>
      <c r="AP173" t="str">
        <f>IFERROR(INDEX('DRAFT 1'!$AK:$AK,MATCH($B173,'DRAFT 1'!$B:$B,0)),"")</f>
        <v/>
      </c>
      <c r="AR173">
        <f>IFERROR(LOOKUP(2,1/('DRAFT 2'!$D:$D=$B173),'DRAFT 2'!$I:$I),"")</f>
        <v>0</v>
      </c>
      <c r="AS173">
        <f>IFERROR(LOOKUP(2,1/('DRAFT 2'!$D:$D=$B173),'DRAFT 2'!$T:$T),"")</f>
        <v>0</v>
      </c>
      <c r="AT173">
        <f>IFERROR(LOOKUP(2,1/('DRAFT 2'!$D:$D=$B173),'DRAFT 2'!$A:$A),"")</f>
        <v>0</v>
      </c>
      <c r="AU173">
        <f>IFERROR(LOOKUP(2,1/('DRAFT 2'!$D:$D=$B173),'DRAFT 2'!$R:$R),"")</f>
        <v>0</v>
      </c>
      <c r="AV173">
        <f>IFERROR(LOOKUP(2,1/('DRAFT 2'!$D:$D=$B173),'DRAFT 2'!$S:$S),"")</f>
        <v>0</v>
      </c>
      <c r="AX173">
        <f>IFERROR(LOOKUP(2,1/('DRAFT 2'!$D:$D=$B173),'DRAFT 2'!$M:$M),"")</f>
        <v>0</v>
      </c>
      <c r="AY173">
        <f>IFERROR(LOOKUP(2,1/('DRAFT 2'!$D:$D=$B173),'DRAFT 2'!$K:$K),"")</f>
        <v>0</v>
      </c>
      <c r="BG173">
        <f>IFERROR(LOOKUP(2,1/('DRAFT 2'!$D:$D=$B173),'DRAFT 2'!$U:$U),"")</f>
        <v>0</v>
      </c>
      <c r="BH173">
        <f>IFERROR(LOOKUP(2,1/('DRAFT 2'!$D:$D=$B173),'DRAFT 2'!$V:$V),"")</f>
        <v>0</v>
      </c>
      <c r="CE173" t="str">
        <f t="shared" si="71"/>
        <v/>
      </c>
      <c r="CF173">
        <f>IFERROR(LOOKUP(2,1/('DRAFT 2'!$D:$D=$B173)*('DRAFT 2'!$A:$A&gt;=DATE(2026,1,1))*('DRAFT 2'!$A:$A&lt;DATE(2026,IF(1=12,1+1,1+1),1)),'DRAFT 2'!$A:$A),"")</f>
        <v>0</v>
      </c>
      <c r="CG173">
        <f>COUNTIFS('DRAFT 2'!$D:$D,$B173,'DRAFT 2'!$A:$A,"&gt;="&amp;DATE(2026,1,1),'DRAFT 2'!$A:$A,"&lt;="&amp;DATE(2026,1,7))</f>
        <v>0</v>
      </c>
      <c r="CH173">
        <f>COUNTIFS('DRAFT 2'!$D:$D,$B173,'DRAFT 2'!$A:$A,"&gt;="&amp;DATE(2026,1,8),'DRAFT 2'!$A:$A,"&lt;="&amp;DATE(2026,1,14))</f>
        <v>0</v>
      </c>
      <c r="CI173">
        <f>COUNTIFS('DRAFT 2'!$D:$D,$B173,'DRAFT 2'!$A:$A,"&gt;="&amp;DATE(2026,1,15),'DRAFT 2'!$A:$A,"&lt;="&amp;DATE(2026,1,21))</f>
        <v>0</v>
      </c>
      <c r="CJ173">
        <f>COUNTIFS('DRAFT 2'!$D:$D,$B173,'DRAFT 2'!$A:$A,"&gt;="&amp;DATE(2026,1,22),'DRAFT 2'!$A:$A,"&lt;"&amp;DATE(2026,IF(1=12,1+1,1+1),1))</f>
        <v>0</v>
      </c>
      <c r="CK173">
        <f t="shared" si="72"/>
        <v>0</v>
      </c>
      <c r="CT173">
        <v>0</v>
      </c>
      <c r="CU173">
        <f>IFERROR(LOOKUP(2,1/('DRAFT 2'!$D:$D=$B173)*('DRAFT 2'!$A:$A&gt;=DATE(2026,2,1))*('DRAFT 2'!$A:$A&lt;DATE(2026,IF(2=12,2+1,2+1),1)),'DRAFT 2'!$A:$A),"")</f>
        <v>0</v>
      </c>
      <c r="CV173">
        <f>COUNTIFS('DRAFT 2'!$D:$D,$B173,'DRAFT 2'!$A:$A,"&gt;="&amp;DATE(2026,2,1),'DRAFT 2'!$A:$A,"&lt;="&amp;DATE(2026,2,7))</f>
        <v>0</v>
      </c>
      <c r="CW173">
        <f>COUNTIFS('DRAFT 2'!$D:$D,$B173,'DRAFT 2'!$A:$A,"&gt;="&amp;DATE(2026,2,8),'DRAFT 2'!$A:$A,"&lt;="&amp;DATE(2026,2,14))</f>
        <v>0</v>
      </c>
      <c r="CX173">
        <f>COUNTIFS('DRAFT 2'!$D:$D,$B173,'DRAFT 2'!$A:$A,"&gt;="&amp;DATE(2026,2,15),'DRAFT 2'!$A:$A,"&lt;="&amp;DATE(2026,2,21))</f>
        <v>0</v>
      </c>
      <c r="CY173">
        <f>COUNTIFS('DRAFT 2'!$D:$D,$B173,'DRAFT 2'!$A:$A,"&gt;="&amp;DATE(2026,2,22),'DRAFT 2'!$A:$A,"&lt;"&amp;DATE(2026,IF(2=12,2+1,2+1),1))</f>
        <v>0</v>
      </c>
      <c r="CZ173">
        <f t="shared" si="73"/>
        <v>0</v>
      </c>
      <c r="DJ173">
        <f>IFERROR(LOOKUP(2,1/('DRAFT 2'!$D:$D=$B173)*('DRAFT 2'!$A:$A&gt;=DATE(2026,3,1))*('DRAFT 2'!$A:$A&lt;DATE(2026,IF(3=12,3+1,3+1),1)),'DRAFT 2'!$A:$A),"")</f>
        <v>0</v>
      </c>
      <c r="DK173">
        <f>COUNTIFS('DRAFT 2'!$D:$D,$B173,'DRAFT 2'!$A:$A,"&gt;="&amp;DATE(2026,3,1),'DRAFT 2'!$A:$A,"&lt;="&amp;DATE(2026,3,7))</f>
        <v>0</v>
      </c>
      <c r="DL173">
        <f>COUNTIFS('DRAFT 2'!$D:$D,$B173,'DRAFT 2'!$A:$A,"&gt;="&amp;DATE(2026,3,8),'DRAFT 2'!$A:$A,"&lt;="&amp;DATE(2026,3,14))</f>
        <v>0</v>
      </c>
      <c r="DM173">
        <f>COUNTIFS('DRAFT 2'!$D:$D,$B173,'DRAFT 2'!$A:$A,"&gt;="&amp;DATE(2026,3,15),'DRAFT 2'!$A:$A,"&lt;="&amp;DATE(2026,3,21))</f>
        <v>0</v>
      </c>
      <c r="DN173">
        <f>COUNTIFS('DRAFT 2'!$D:$D,$B173,'DRAFT 2'!$A:$A,"&gt;="&amp;DATE(2026,3,22),'DRAFT 2'!$A:$A,"&lt;"&amp;DATE(2026,IF(3=12,3+1,3+1),1))</f>
        <v>0</v>
      </c>
      <c r="DO173">
        <f t="shared" si="74"/>
        <v>0</v>
      </c>
      <c r="DZ173">
        <f>IFERROR(LOOKUP(2,1/('DRAFT 2'!$D:$D=$B173)*('DRAFT 2'!$A:$A&gt;=DATE(2026,4,1))*('DRAFT 2'!$A:$A&lt;DATE(2026,IF(4=12,4+1,4+1),1)),'DRAFT 2'!$A:$A),"")</f>
        <v>0</v>
      </c>
      <c r="EA173">
        <f>COUNTIFS('DRAFT 2'!$D:$D,$B173,'DRAFT 2'!$A:$A,"&gt;="&amp;DATE(2026,4,1),'DRAFT 2'!$A:$A,"&lt;="&amp;DATE(2026,4,7))</f>
        <v>0</v>
      </c>
      <c r="EB173">
        <f>COUNTIFS('DRAFT 2'!$D:$D,$B173,'DRAFT 2'!$A:$A,"&gt;="&amp;DATE(2026,4,8),'DRAFT 2'!$A:$A,"&lt;="&amp;DATE(2026,4,14))</f>
        <v>0</v>
      </c>
      <c r="EC173">
        <f>COUNTIFS('DRAFT 2'!$D:$D,$B173,'DRAFT 2'!$A:$A,"&gt;="&amp;DATE(2026,4,15),'DRAFT 2'!$A:$A,"&lt;="&amp;DATE(2026,4,21))</f>
        <v>0</v>
      </c>
      <c r="ED173">
        <f>COUNTIFS('DRAFT 2'!$D:$D,$B173,'DRAFT 2'!$A:$A,"&gt;="&amp;DATE(2026,4,22),'DRAFT 2'!$A:$A,"&lt;"&amp;DATE(2026,IF(4=12,4+1,4+1),1))</f>
        <v>0</v>
      </c>
      <c r="EE173">
        <f t="shared" si="75"/>
        <v>0</v>
      </c>
      <c r="EO173">
        <f>IFERROR(LOOKUP(2,1/('DRAFT 2'!$D:$D=$B173)*('DRAFT 2'!$A:$A&gt;=DATE(2026,5,1))*('DRAFT 2'!$A:$A&lt;DATE(2026,IF(5=12,5+1,5+1),1)),'DRAFT 2'!$A:$A),"")</f>
        <v>0</v>
      </c>
      <c r="EP173">
        <f>COUNTIFS('DRAFT 2'!$D:$D,$B173,'DRAFT 2'!$A:$A,"&gt;="&amp;DATE(2026,5,1),'DRAFT 2'!$A:$A,"&lt;="&amp;DATE(2026,5,7))</f>
        <v>0</v>
      </c>
      <c r="EQ173">
        <f>COUNTIFS('DRAFT 2'!$D:$D,$B173,'DRAFT 2'!$A:$A,"&gt;="&amp;DATE(2026,5,8),'DRAFT 2'!$A:$A,"&lt;="&amp;DATE(2026,5,14))</f>
        <v>0</v>
      </c>
      <c r="ER173">
        <f>COUNTIFS('DRAFT 2'!$D:$D,$B173,'DRAFT 2'!$A:$A,"&gt;="&amp;DATE(2026,5,15),'DRAFT 2'!$A:$A,"&lt;="&amp;DATE(2026,5,21))</f>
        <v>0</v>
      </c>
      <c r="ES173">
        <f>COUNTIFS('DRAFT 2'!$D:$D,$B173,'DRAFT 2'!$A:$A,"&gt;="&amp;DATE(2026,5,22),'DRAFT 2'!$A:$A,"&lt;"&amp;DATE(2026,IF(5=12,5+1,5+1),1))</f>
        <v>0</v>
      </c>
      <c r="ET173">
        <f t="shared" si="76"/>
        <v>0</v>
      </c>
      <c r="FD173">
        <f>IFERROR(LOOKUP(2,1/('DRAFT 2'!$D:$D=$B173)*('DRAFT 2'!$A:$A&gt;=DATE(2026,6,1))*('DRAFT 2'!$A:$A&lt;DATE(2026,IF(6=12,6+1,6+1),1)),'DRAFT 2'!$A:$A),"")</f>
        <v>0</v>
      </c>
      <c r="FE173">
        <f>COUNTIFS('DRAFT 2'!$D:$D,$B173,'DRAFT 2'!$A:$A,"&gt;="&amp;DATE(2026,6,1),'DRAFT 2'!$A:$A,"&lt;="&amp;DATE(2026,6,7))</f>
        <v>0</v>
      </c>
      <c r="FF173">
        <f>COUNTIFS('DRAFT 2'!$D:$D,$B173,'DRAFT 2'!$A:$A,"&gt;="&amp;DATE(2026,6,8),'DRAFT 2'!$A:$A,"&lt;="&amp;DATE(2026,6,14))</f>
        <v>0</v>
      </c>
      <c r="FG173">
        <f>COUNTIFS('DRAFT 2'!$D:$D,$B173,'DRAFT 2'!$A:$A,"&gt;="&amp;DATE(2026,6,15),'DRAFT 2'!$A:$A,"&lt;="&amp;DATE(2026,6,21))</f>
        <v>0</v>
      </c>
      <c r="FH173">
        <f>COUNTIFS('DRAFT 2'!$D:$D,$B173,'DRAFT 2'!$A:$A,"&gt;="&amp;DATE(2026,6,22),'DRAFT 2'!$A:$A,"&lt;"&amp;DATE(2026,IF(6=12,6+1,6+1),1))</f>
        <v>0</v>
      </c>
      <c r="FI173">
        <f t="shared" si="77"/>
        <v>0</v>
      </c>
      <c r="FT173">
        <f>IFERROR(LOOKUP(2,1/('DRAFT 2'!$D:$D=$B173)*('DRAFT 2'!$A:$A&gt;=DATE(2026,7,1))*('DRAFT 2'!$A:$A&lt;DATE(2026,IF(7=12,7+1,7+1),1)),'DRAFT 2'!$A:$A),"")</f>
        <v>0</v>
      </c>
      <c r="FU173">
        <f>COUNTIFS('DRAFT 2'!$D:$D,$B173,'DRAFT 2'!$A:$A,"&gt;="&amp;DATE(2026,7,1),'DRAFT 2'!$A:$A,"&lt;="&amp;DATE(2026,7,7))</f>
        <v>0</v>
      </c>
      <c r="FV173">
        <f>COUNTIFS('DRAFT 2'!$D:$D,$B173,'DRAFT 2'!$A:$A,"&gt;="&amp;DATE(2026,7,8),'DRAFT 2'!$A:$A,"&lt;="&amp;DATE(2026,7,14))</f>
        <v>0</v>
      </c>
      <c r="FW173">
        <f>COUNTIFS('DRAFT 2'!$D:$D,$B173,'DRAFT 2'!$A:$A,"&gt;="&amp;DATE(2026,7,15),'DRAFT 2'!$A:$A,"&lt;="&amp;DATE(2026,7,21))</f>
        <v>0</v>
      </c>
      <c r="FX173">
        <f>COUNTIFS('DRAFT 2'!$D:$D,$B173,'DRAFT 2'!$A:$A,"&gt;="&amp;DATE(2026,7,22),'DRAFT 2'!$A:$A,"&lt;"&amp;DATE(2026,IF(7=12,7+1,7+1),1))</f>
        <v>0</v>
      </c>
      <c r="FY173">
        <f t="shared" si="78"/>
        <v>0</v>
      </c>
      <c r="GI173">
        <f>IFERROR(LOOKUP(2,1/('DRAFT 2'!$D:$D=$B173)*('DRAFT 2'!$A:$A&gt;=DATE(2026,8,1))*('DRAFT 2'!$A:$A&lt;DATE(2026,IF(8=12,8+1,8+1),1)),'DRAFT 2'!$A:$A),"")</f>
        <v>0</v>
      </c>
      <c r="GJ173">
        <f>COUNTIFS('DRAFT 2'!$D:$D,$B173,'DRAFT 2'!$A:$A,"&gt;="&amp;DATE(2026,8,1),'DRAFT 2'!$A:$A,"&lt;="&amp;DATE(2026,8,7))</f>
        <v>0</v>
      </c>
      <c r="GK173">
        <f>COUNTIFS('DRAFT 2'!$D:$D,$B173,'DRAFT 2'!$A:$A,"&gt;="&amp;DATE(2026,8,8),'DRAFT 2'!$A:$A,"&lt;="&amp;DATE(2026,8,14))</f>
        <v>0</v>
      </c>
      <c r="GL173">
        <f>COUNTIFS('DRAFT 2'!$D:$D,$B173,'DRAFT 2'!$A:$A,"&gt;="&amp;DATE(2026,8,15),'DRAFT 2'!$A:$A,"&lt;="&amp;DATE(2026,8,21))</f>
        <v>0</v>
      </c>
      <c r="GM173">
        <f>COUNTIFS('DRAFT 2'!$D:$D,$B173,'DRAFT 2'!$A:$A,"&gt;="&amp;DATE(2026,8,22),'DRAFT 2'!$A:$A,"&lt;"&amp;DATE(2026,IF(8=12,8+1,8+1),1))</f>
        <v>0</v>
      </c>
      <c r="GN173">
        <f t="shared" si="79"/>
        <v>0</v>
      </c>
      <c r="GX173">
        <f>IFERROR(LOOKUP(2,1/('DRAFT 2'!$D:$D=$B173)*('DRAFT 2'!$A:$A&gt;=DATE(2026,9,1))*('DRAFT 2'!$A:$A&lt;DATE(2026,IF(9=12,9+1,9+1),1)),'DRAFT 2'!$A:$A),"")</f>
        <v>0</v>
      </c>
      <c r="GY173">
        <f>COUNTIFS('DRAFT 2'!$D:$D,$B173,'DRAFT 2'!$A:$A,"&gt;="&amp;DATE(2026,9,1),'DRAFT 2'!$A:$A,"&lt;="&amp;DATE(2026,9,7))</f>
        <v>0</v>
      </c>
      <c r="GZ173">
        <f>COUNTIFS('DRAFT 2'!$D:$D,$B173,'DRAFT 2'!$A:$A,"&gt;="&amp;DATE(2026,9,8),'DRAFT 2'!$A:$A,"&lt;="&amp;DATE(2026,9,14))</f>
        <v>0</v>
      </c>
      <c r="HA173">
        <f>COUNTIFS('DRAFT 2'!$D:$D,$B173,'DRAFT 2'!$A:$A,"&gt;="&amp;DATE(2026,9,15),'DRAFT 2'!$A:$A,"&lt;="&amp;DATE(2026,9,21))</f>
        <v>0</v>
      </c>
      <c r="HB173">
        <f>COUNTIFS('DRAFT 2'!$D:$D,$B173,'DRAFT 2'!$A:$A,"&gt;="&amp;DATE(2026,9,22),'DRAFT 2'!$A:$A,"&lt;"&amp;DATE(2026,IF(9=12,9+1,9+1),1))</f>
        <v>0</v>
      </c>
      <c r="HC173">
        <f t="shared" si="80"/>
        <v>0</v>
      </c>
      <c r="HN173">
        <f>IFERROR(LOOKUP(2,1/('DRAFT 2'!$D:$D=$B173)*('DRAFT 2'!$A:$A&gt;=DATE(2026,10,1))*('DRAFT 2'!$A:$A&lt;DATE(2026,IF(10=12,10+1,10+1),1)),'DRAFT 2'!$A:$A),"")</f>
        <v>0</v>
      </c>
      <c r="HO173">
        <f>COUNTIFS('DRAFT 2'!$D:$D,$B173,'DRAFT 2'!$A:$A,"&gt;="&amp;DATE(2026,10,1),'DRAFT 2'!$A:$A,"&lt;="&amp;DATE(2026,10,7))</f>
        <v>0</v>
      </c>
      <c r="HP173">
        <f>COUNTIFS('DRAFT 2'!$D:$D,$B173,'DRAFT 2'!$A:$A,"&gt;="&amp;DATE(2026,10,8),'DRAFT 2'!$A:$A,"&lt;="&amp;DATE(2026,10,14))</f>
        <v>0</v>
      </c>
      <c r="HQ173">
        <f>COUNTIFS('DRAFT 2'!$D:$D,$B173,'DRAFT 2'!$A:$A,"&gt;="&amp;DATE(2026,10,15),'DRAFT 2'!$A:$A,"&lt;="&amp;DATE(2026,10,21))</f>
        <v>0</v>
      </c>
      <c r="HR173">
        <f>COUNTIFS('DRAFT 2'!$D:$D,$B173,'DRAFT 2'!$A:$A,"&gt;="&amp;DATE(2026,10,22),'DRAFT 2'!$A:$A,"&lt;"&amp;DATE(2026,IF(10=12,10+1,10+1),1))</f>
        <v>0</v>
      </c>
      <c r="HS173">
        <f t="shared" si="81"/>
        <v>0</v>
      </c>
      <c r="IC173">
        <f>IFERROR(LOOKUP(2,1/('DRAFT 2'!$D:$D=$B173)*('DRAFT 2'!$A:$A&gt;=DATE(2026,11,1))*('DRAFT 2'!$A:$A&lt;DATE(2026,IF(11=12,11+1,11+1),1)),'DRAFT 2'!$A:$A),"")</f>
        <v>0</v>
      </c>
      <c r="ID173">
        <f>COUNTIFS('DRAFT 2'!$D:$D,$B173,'DRAFT 2'!$A:$A,"&gt;="&amp;DATE(2026,11,1),'DRAFT 2'!$A:$A,"&lt;="&amp;DATE(2026,11,7))</f>
        <v>0</v>
      </c>
      <c r="IE173">
        <f>COUNTIFS('DRAFT 2'!$D:$D,$B173,'DRAFT 2'!$A:$A,"&gt;="&amp;DATE(2026,11,8),'DRAFT 2'!$A:$A,"&lt;="&amp;DATE(2026,11,14))</f>
        <v>0</v>
      </c>
      <c r="IF173">
        <f>COUNTIFS('DRAFT 2'!$D:$D,$B173,'DRAFT 2'!$A:$A,"&gt;="&amp;DATE(2026,11,15),'DRAFT 2'!$A:$A,"&lt;="&amp;DATE(2026,11,21))</f>
        <v>0</v>
      </c>
      <c r="IG173">
        <f>COUNTIFS('DRAFT 2'!$D:$D,$B173,'DRAFT 2'!$A:$A,"&gt;="&amp;DATE(2026,11,22),'DRAFT 2'!$A:$A,"&lt;"&amp;DATE(2026,IF(11=12,11+1,11+1),1))</f>
        <v>0</v>
      </c>
      <c r="IH173">
        <f t="shared" si="82"/>
        <v>0</v>
      </c>
      <c r="IR173">
        <f>IFERROR(LOOKUP(2,1/('DRAFT 2'!$D:$D=$B173)*('DRAFT 2'!$A:$A&gt;=DATE(2026,12,1))*('DRAFT 2'!$A:$A&lt;DATE(2026,IF(12=12,12+1,12+1),1)),'DRAFT 2'!$A:$A),"")</f>
        <v>0</v>
      </c>
      <c r="IS173">
        <f>COUNTIFS('DRAFT 2'!$D:$D,$B173,'DRAFT 2'!$A:$A,"&gt;="&amp;DATE(2026,12,1),'DRAFT 2'!$A:$A,"&lt;="&amp;DATE(2026,12,7))</f>
        <v>0</v>
      </c>
      <c r="IT173">
        <f>COUNTIFS('DRAFT 2'!$D:$D,$B173,'DRAFT 2'!$A:$A,"&gt;="&amp;DATE(2026,12,8),'DRAFT 2'!$A:$A,"&lt;="&amp;DATE(2026,12,14))</f>
        <v>0</v>
      </c>
      <c r="IU173">
        <f>COUNTIFS('DRAFT 2'!$D:$D,$B173,'DRAFT 2'!$A:$A,"&gt;="&amp;DATE(2026,12,15),'DRAFT 2'!$A:$A,"&lt;="&amp;DATE(2026,12,21))</f>
        <v>0</v>
      </c>
      <c r="IV173">
        <f>COUNTIFS('DRAFT 2'!$D:$D,$B173,'DRAFT 2'!$A:$A,"&gt;="&amp;DATE(2026,12,22),'DRAFT 2'!$A:$A,"&lt;"&amp;DATE(2026,IF(12=12,12+1,12+1),1))</f>
        <v>0</v>
      </c>
      <c r="IW173">
        <f t="shared" si="83"/>
        <v>0</v>
      </c>
    </row>
    <row r="174" spans="1:257" x14ac:dyDescent="0.3">
      <c r="A174" t="str">
        <f>IFERROR(INDEX('DRAFT 1'!$A:$A,MATCH($B174,'DRAFT 1'!$B:$B,0)),"")</f>
        <v/>
      </c>
      <c r="C174" t="str">
        <f>IFERROR(INDEX('DRAFT 1'!$C:$C,MATCH($B174,'DRAFT 1'!$B:$B,0)),"")</f>
        <v/>
      </c>
      <c r="D174" t="str">
        <f>IFERROR(INDEX('DRAFT 1'!$D:$D,MATCH($B174,'DRAFT 1'!$B:$B,0)),"")</f>
        <v/>
      </c>
      <c r="E174" t="str">
        <f>IFERROR(INDEX('DRAFT 1'!$E:$E,MATCH($B174,'DRAFT 1'!$B:$B,0)),"")</f>
        <v/>
      </c>
      <c r="F174" t="str">
        <f>IFERROR(INDEX('DRAFT 1'!$F:$F,MATCH($B174,'DRAFT 1'!$B:$B,0)),"")</f>
        <v/>
      </c>
      <c r="G174" t="str">
        <f>IFERROR(INDEX('DRAFT 1'!$G:$G,MATCH($B174,'DRAFT 1'!$B:$B,0)),"")</f>
        <v/>
      </c>
      <c r="H174" t="str">
        <f>IFERROR(INDEX('DRAFT 1'!$H:$H,MATCH($B174,'DRAFT 1'!$B:$B,0)),"")</f>
        <v/>
      </c>
      <c r="I174" t="str">
        <f>IFERROR(INDEX('DRAFT 1'!$I:$I,MATCH($B174,'DRAFT 1'!$B:$B,0)),"")</f>
        <v/>
      </c>
      <c r="K174" t="str">
        <f>IFERROR(INDEX('DRAFT 1'!$AL:$AL,MATCH($B174,'DRAFT 1'!$B:$B,0)),"")</f>
        <v/>
      </c>
      <c r="L174" t="str">
        <f>IFERROR(INDEX('DRAFT 1'!$J:$J,MATCH($B174,'DRAFT 1'!$B:$B,0)),"")</f>
        <v/>
      </c>
      <c r="M174" t="str">
        <f>IFERROR(INDEX('DRAFT 1'!$K:$K,MATCH($B174,'DRAFT 1'!$B:$B,0)),"")</f>
        <v/>
      </c>
      <c r="P174" t="str">
        <f>IFERROR(INDEX('DRAFT 1'!$L:$L,MATCH($B174,'DRAFT 1'!$B:$B,0)),"")</f>
        <v/>
      </c>
      <c r="Q174" t="str">
        <f>IFERROR(INDEX('DRAFT 1'!$M:$M,MATCH($B174,'DRAFT 1'!$B:$B,0)),"")</f>
        <v/>
      </c>
      <c r="R174" t="str">
        <f>IFERROR(INDEX('DRAFT 1'!$N:$N,MATCH($B174,'DRAFT 1'!$B:$B,0)),"")</f>
        <v/>
      </c>
      <c r="S174" t="str">
        <f>IFERROR(INDEX('DRAFT 1'!$O:$O,MATCH($B174,'DRAFT 1'!$B:$B,0)),"")</f>
        <v/>
      </c>
      <c r="T174" t="str">
        <f>IFERROR(INDEX('DRAFT 1'!$P:$P,MATCH($B174,'DRAFT 1'!$B:$B,0)),"")</f>
        <v/>
      </c>
      <c r="U174" t="str">
        <f>IFERROR(INDEX('DRAFT 1'!$Q:$Q,MATCH($B174,'DRAFT 1'!$B:$B,0)),"")</f>
        <v/>
      </c>
      <c r="V174" t="str">
        <f>IFERROR(INDEX('DRAFT 1'!$R:$R,MATCH($B174,'DRAFT 1'!$B:$B,0)),"")</f>
        <v/>
      </c>
      <c r="W174" t="str">
        <f>IFERROR(INDEX('DRAFT 1'!$S:$S,MATCH($B174,'DRAFT 1'!$B:$B,0)),"")</f>
        <v/>
      </c>
      <c r="X174" t="str">
        <f>IFERROR(INDEX('DRAFT 1'!$T:$T,MATCH($B174,'DRAFT 1'!$B:$B,0)),"")</f>
        <v/>
      </c>
      <c r="Z174" t="str">
        <f>IFERROR(INDEX('DRAFT 1'!$U:$U,MATCH($B174,'DRAFT 1'!$B:$B,0)),"")</f>
        <v/>
      </c>
      <c r="AA174" t="str">
        <f>IFERROR(INDEX('DRAFT 1'!$V:$V,MATCH($B174,'DRAFT 1'!$B:$B,0)),"")</f>
        <v/>
      </c>
      <c r="AB174" t="str">
        <f>IFERROR(INDEX('DRAFT 1'!$W:$W,MATCH($B174,'DRAFT 1'!$B:$B,0)),"")</f>
        <v/>
      </c>
      <c r="AC174" t="str">
        <f>IFERROR(INDEX('DRAFT 1'!$X:$X,MATCH($B174,'DRAFT 1'!$B:$B,0)),"")</f>
        <v/>
      </c>
      <c r="AD174" t="str">
        <f>IFERROR(INDEX('DRAFT 1'!$Y:$Y,MATCH($B174,'DRAFT 1'!$B:$B,0)),"")</f>
        <v/>
      </c>
      <c r="AE174" t="str">
        <f>IFERROR(INDEX('DRAFT 1'!$Z:$Z,MATCH($B174,'DRAFT 1'!$B:$B,0)),"")</f>
        <v/>
      </c>
      <c r="AF174" t="str">
        <f>IFERROR(INDEX('DRAFT 1'!$AA:$AA,MATCH($B174,'DRAFT 1'!$B:$B,0)),"")</f>
        <v/>
      </c>
      <c r="AG174" t="str">
        <f>IFERROR(INDEX('DRAFT 1'!$AB:$AB,MATCH($B174,'DRAFT 1'!$B:$B,0)),"")</f>
        <v/>
      </c>
      <c r="AH174" t="str">
        <f>IFERROR(INDEX('DRAFT 1'!$AC:$AC,MATCH($B174,'DRAFT 1'!$B:$B,0)),"")</f>
        <v/>
      </c>
      <c r="AI174" t="str">
        <f>IFERROR(INDEX('DRAFT 1'!$AD:$AD,MATCH($B174,'DRAFT 1'!$B:$B,0)),"")</f>
        <v/>
      </c>
      <c r="AJ174" t="str">
        <f>IFERROR(INDEX('DRAFT 1'!$AE:$AE,MATCH($B174,'DRAFT 1'!$B:$B,0)),"")</f>
        <v/>
      </c>
      <c r="AK174" t="str">
        <f>IFERROR(INDEX('DRAFT 1'!$AG:$AG,MATCH($B174,'DRAFT 1'!$B:$B,0)),"")</f>
        <v/>
      </c>
      <c r="AL174" t="str">
        <f>IFERROR(INDEX('DRAFT 1'!$AH:$AH,MATCH($B174,'DRAFT 1'!$B:$B,0)),"")</f>
        <v/>
      </c>
      <c r="AM174" t="str">
        <f>IFERROR(INDEX('DRAFT 1'!$AI:$AI,MATCH($B174,'DRAFT 1'!$B:$B,0)),"")</f>
        <v/>
      </c>
      <c r="AN174" t="str">
        <f>IFERROR(INDEX('DRAFT 1'!$AJ:$AJ,MATCH($B174,'DRAFT 1'!$B:$B,0)),"")</f>
        <v/>
      </c>
      <c r="AO174">
        <f t="shared" si="70"/>
        <v>0</v>
      </c>
      <c r="AP174" t="str">
        <f>IFERROR(INDEX('DRAFT 1'!$AK:$AK,MATCH($B174,'DRAFT 1'!$B:$B,0)),"")</f>
        <v/>
      </c>
      <c r="AR174">
        <f>IFERROR(LOOKUP(2,1/('DRAFT 2'!$D:$D=$B174),'DRAFT 2'!$I:$I),"")</f>
        <v>0</v>
      </c>
      <c r="AS174">
        <f>IFERROR(LOOKUP(2,1/('DRAFT 2'!$D:$D=$B174),'DRAFT 2'!$T:$T),"")</f>
        <v>0</v>
      </c>
      <c r="AT174">
        <f>IFERROR(LOOKUP(2,1/('DRAFT 2'!$D:$D=$B174),'DRAFT 2'!$A:$A),"")</f>
        <v>0</v>
      </c>
      <c r="AU174">
        <f>IFERROR(LOOKUP(2,1/('DRAFT 2'!$D:$D=$B174),'DRAFT 2'!$R:$R),"")</f>
        <v>0</v>
      </c>
      <c r="AV174">
        <f>IFERROR(LOOKUP(2,1/('DRAFT 2'!$D:$D=$B174),'DRAFT 2'!$S:$S),"")</f>
        <v>0</v>
      </c>
      <c r="AX174">
        <f>IFERROR(LOOKUP(2,1/('DRAFT 2'!$D:$D=$B174),'DRAFT 2'!$M:$M),"")</f>
        <v>0</v>
      </c>
      <c r="AY174">
        <f>IFERROR(LOOKUP(2,1/('DRAFT 2'!$D:$D=$B174),'DRAFT 2'!$K:$K),"")</f>
        <v>0</v>
      </c>
      <c r="BG174">
        <f>IFERROR(LOOKUP(2,1/('DRAFT 2'!$D:$D=$B174),'DRAFT 2'!$U:$U),"")</f>
        <v>0</v>
      </c>
      <c r="BH174">
        <f>IFERROR(LOOKUP(2,1/('DRAFT 2'!$D:$D=$B174),'DRAFT 2'!$V:$V),"")</f>
        <v>0</v>
      </c>
      <c r="CE174" t="str">
        <f t="shared" si="71"/>
        <v/>
      </c>
      <c r="CF174">
        <f>IFERROR(LOOKUP(2,1/('DRAFT 2'!$D:$D=$B174)*('DRAFT 2'!$A:$A&gt;=DATE(2026,1,1))*('DRAFT 2'!$A:$A&lt;DATE(2026,IF(1=12,1+1,1+1),1)),'DRAFT 2'!$A:$A),"")</f>
        <v>0</v>
      </c>
      <c r="CG174">
        <f>COUNTIFS('DRAFT 2'!$D:$D,$B174,'DRAFT 2'!$A:$A,"&gt;="&amp;DATE(2026,1,1),'DRAFT 2'!$A:$A,"&lt;="&amp;DATE(2026,1,7))</f>
        <v>0</v>
      </c>
      <c r="CH174">
        <f>COUNTIFS('DRAFT 2'!$D:$D,$B174,'DRAFT 2'!$A:$A,"&gt;="&amp;DATE(2026,1,8),'DRAFT 2'!$A:$A,"&lt;="&amp;DATE(2026,1,14))</f>
        <v>0</v>
      </c>
      <c r="CI174">
        <f>COUNTIFS('DRAFT 2'!$D:$D,$B174,'DRAFT 2'!$A:$A,"&gt;="&amp;DATE(2026,1,15),'DRAFT 2'!$A:$A,"&lt;="&amp;DATE(2026,1,21))</f>
        <v>0</v>
      </c>
      <c r="CJ174">
        <f>COUNTIFS('DRAFT 2'!$D:$D,$B174,'DRAFT 2'!$A:$A,"&gt;="&amp;DATE(2026,1,22),'DRAFT 2'!$A:$A,"&lt;"&amp;DATE(2026,IF(1=12,1+1,1+1),1))</f>
        <v>0</v>
      </c>
      <c r="CK174">
        <f t="shared" si="72"/>
        <v>0</v>
      </c>
      <c r="CT174">
        <v>0</v>
      </c>
      <c r="CU174">
        <f>IFERROR(LOOKUP(2,1/('DRAFT 2'!$D:$D=$B174)*('DRAFT 2'!$A:$A&gt;=DATE(2026,2,1))*('DRAFT 2'!$A:$A&lt;DATE(2026,IF(2=12,2+1,2+1),1)),'DRAFT 2'!$A:$A),"")</f>
        <v>0</v>
      </c>
      <c r="CV174">
        <f>COUNTIFS('DRAFT 2'!$D:$D,$B174,'DRAFT 2'!$A:$A,"&gt;="&amp;DATE(2026,2,1),'DRAFT 2'!$A:$A,"&lt;="&amp;DATE(2026,2,7))</f>
        <v>0</v>
      </c>
      <c r="CW174">
        <f>COUNTIFS('DRAFT 2'!$D:$D,$B174,'DRAFT 2'!$A:$A,"&gt;="&amp;DATE(2026,2,8),'DRAFT 2'!$A:$A,"&lt;="&amp;DATE(2026,2,14))</f>
        <v>0</v>
      </c>
      <c r="CX174">
        <f>COUNTIFS('DRAFT 2'!$D:$D,$B174,'DRAFT 2'!$A:$A,"&gt;="&amp;DATE(2026,2,15),'DRAFT 2'!$A:$A,"&lt;="&amp;DATE(2026,2,21))</f>
        <v>0</v>
      </c>
      <c r="CY174">
        <f>COUNTIFS('DRAFT 2'!$D:$D,$B174,'DRAFT 2'!$A:$A,"&gt;="&amp;DATE(2026,2,22),'DRAFT 2'!$A:$A,"&lt;"&amp;DATE(2026,IF(2=12,2+1,2+1),1))</f>
        <v>0</v>
      </c>
      <c r="CZ174">
        <f t="shared" si="73"/>
        <v>0</v>
      </c>
      <c r="DJ174">
        <f>IFERROR(LOOKUP(2,1/('DRAFT 2'!$D:$D=$B174)*('DRAFT 2'!$A:$A&gt;=DATE(2026,3,1))*('DRAFT 2'!$A:$A&lt;DATE(2026,IF(3=12,3+1,3+1),1)),'DRAFT 2'!$A:$A),"")</f>
        <v>0</v>
      </c>
      <c r="DK174">
        <f>COUNTIFS('DRAFT 2'!$D:$D,$B174,'DRAFT 2'!$A:$A,"&gt;="&amp;DATE(2026,3,1),'DRAFT 2'!$A:$A,"&lt;="&amp;DATE(2026,3,7))</f>
        <v>0</v>
      </c>
      <c r="DL174">
        <f>COUNTIFS('DRAFT 2'!$D:$D,$B174,'DRAFT 2'!$A:$A,"&gt;="&amp;DATE(2026,3,8),'DRAFT 2'!$A:$A,"&lt;="&amp;DATE(2026,3,14))</f>
        <v>0</v>
      </c>
      <c r="DM174">
        <f>COUNTIFS('DRAFT 2'!$D:$D,$B174,'DRAFT 2'!$A:$A,"&gt;="&amp;DATE(2026,3,15),'DRAFT 2'!$A:$A,"&lt;="&amp;DATE(2026,3,21))</f>
        <v>0</v>
      </c>
      <c r="DN174">
        <f>COUNTIFS('DRAFT 2'!$D:$D,$B174,'DRAFT 2'!$A:$A,"&gt;="&amp;DATE(2026,3,22),'DRAFT 2'!$A:$A,"&lt;"&amp;DATE(2026,IF(3=12,3+1,3+1),1))</f>
        <v>0</v>
      </c>
      <c r="DO174">
        <f t="shared" si="74"/>
        <v>0</v>
      </c>
      <c r="DZ174">
        <f>IFERROR(LOOKUP(2,1/('DRAFT 2'!$D:$D=$B174)*('DRAFT 2'!$A:$A&gt;=DATE(2026,4,1))*('DRAFT 2'!$A:$A&lt;DATE(2026,IF(4=12,4+1,4+1),1)),'DRAFT 2'!$A:$A),"")</f>
        <v>0</v>
      </c>
      <c r="EA174">
        <f>COUNTIFS('DRAFT 2'!$D:$D,$B174,'DRAFT 2'!$A:$A,"&gt;="&amp;DATE(2026,4,1),'DRAFT 2'!$A:$A,"&lt;="&amp;DATE(2026,4,7))</f>
        <v>0</v>
      </c>
      <c r="EB174">
        <f>COUNTIFS('DRAFT 2'!$D:$D,$B174,'DRAFT 2'!$A:$A,"&gt;="&amp;DATE(2026,4,8),'DRAFT 2'!$A:$A,"&lt;="&amp;DATE(2026,4,14))</f>
        <v>0</v>
      </c>
      <c r="EC174">
        <f>COUNTIFS('DRAFT 2'!$D:$D,$B174,'DRAFT 2'!$A:$A,"&gt;="&amp;DATE(2026,4,15),'DRAFT 2'!$A:$A,"&lt;="&amp;DATE(2026,4,21))</f>
        <v>0</v>
      </c>
      <c r="ED174">
        <f>COUNTIFS('DRAFT 2'!$D:$D,$B174,'DRAFT 2'!$A:$A,"&gt;="&amp;DATE(2026,4,22),'DRAFT 2'!$A:$A,"&lt;"&amp;DATE(2026,IF(4=12,4+1,4+1),1))</f>
        <v>0</v>
      </c>
      <c r="EE174">
        <f t="shared" si="75"/>
        <v>0</v>
      </c>
      <c r="EO174">
        <f>IFERROR(LOOKUP(2,1/('DRAFT 2'!$D:$D=$B174)*('DRAFT 2'!$A:$A&gt;=DATE(2026,5,1))*('DRAFT 2'!$A:$A&lt;DATE(2026,IF(5=12,5+1,5+1),1)),'DRAFT 2'!$A:$A),"")</f>
        <v>0</v>
      </c>
      <c r="EP174">
        <f>COUNTIFS('DRAFT 2'!$D:$D,$B174,'DRAFT 2'!$A:$A,"&gt;="&amp;DATE(2026,5,1),'DRAFT 2'!$A:$A,"&lt;="&amp;DATE(2026,5,7))</f>
        <v>0</v>
      </c>
      <c r="EQ174">
        <f>COUNTIFS('DRAFT 2'!$D:$D,$B174,'DRAFT 2'!$A:$A,"&gt;="&amp;DATE(2026,5,8),'DRAFT 2'!$A:$A,"&lt;="&amp;DATE(2026,5,14))</f>
        <v>0</v>
      </c>
      <c r="ER174">
        <f>COUNTIFS('DRAFT 2'!$D:$D,$B174,'DRAFT 2'!$A:$A,"&gt;="&amp;DATE(2026,5,15),'DRAFT 2'!$A:$A,"&lt;="&amp;DATE(2026,5,21))</f>
        <v>0</v>
      </c>
      <c r="ES174">
        <f>COUNTIFS('DRAFT 2'!$D:$D,$B174,'DRAFT 2'!$A:$A,"&gt;="&amp;DATE(2026,5,22),'DRAFT 2'!$A:$A,"&lt;"&amp;DATE(2026,IF(5=12,5+1,5+1),1))</f>
        <v>0</v>
      </c>
      <c r="ET174">
        <f t="shared" si="76"/>
        <v>0</v>
      </c>
      <c r="FD174">
        <f>IFERROR(LOOKUP(2,1/('DRAFT 2'!$D:$D=$B174)*('DRAFT 2'!$A:$A&gt;=DATE(2026,6,1))*('DRAFT 2'!$A:$A&lt;DATE(2026,IF(6=12,6+1,6+1),1)),'DRAFT 2'!$A:$A),"")</f>
        <v>0</v>
      </c>
      <c r="FE174">
        <f>COUNTIFS('DRAFT 2'!$D:$D,$B174,'DRAFT 2'!$A:$A,"&gt;="&amp;DATE(2026,6,1),'DRAFT 2'!$A:$A,"&lt;="&amp;DATE(2026,6,7))</f>
        <v>0</v>
      </c>
      <c r="FF174">
        <f>COUNTIFS('DRAFT 2'!$D:$D,$B174,'DRAFT 2'!$A:$A,"&gt;="&amp;DATE(2026,6,8),'DRAFT 2'!$A:$A,"&lt;="&amp;DATE(2026,6,14))</f>
        <v>0</v>
      </c>
      <c r="FG174">
        <f>COUNTIFS('DRAFT 2'!$D:$D,$B174,'DRAFT 2'!$A:$A,"&gt;="&amp;DATE(2026,6,15),'DRAFT 2'!$A:$A,"&lt;="&amp;DATE(2026,6,21))</f>
        <v>0</v>
      </c>
      <c r="FH174">
        <f>COUNTIFS('DRAFT 2'!$D:$D,$B174,'DRAFT 2'!$A:$A,"&gt;="&amp;DATE(2026,6,22),'DRAFT 2'!$A:$A,"&lt;"&amp;DATE(2026,IF(6=12,6+1,6+1),1))</f>
        <v>0</v>
      </c>
      <c r="FI174">
        <f t="shared" si="77"/>
        <v>0</v>
      </c>
      <c r="FT174">
        <f>IFERROR(LOOKUP(2,1/('DRAFT 2'!$D:$D=$B174)*('DRAFT 2'!$A:$A&gt;=DATE(2026,7,1))*('DRAFT 2'!$A:$A&lt;DATE(2026,IF(7=12,7+1,7+1),1)),'DRAFT 2'!$A:$A),"")</f>
        <v>0</v>
      </c>
      <c r="FU174">
        <f>COUNTIFS('DRAFT 2'!$D:$D,$B174,'DRAFT 2'!$A:$A,"&gt;="&amp;DATE(2026,7,1),'DRAFT 2'!$A:$A,"&lt;="&amp;DATE(2026,7,7))</f>
        <v>0</v>
      </c>
      <c r="FV174">
        <f>COUNTIFS('DRAFT 2'!$D:$D,$B174,'DRAFT 2'!$A:$A,"&gt;="&amp;DATE(2026,7,8),'DRAFT 2'!$A:$A,"&lt;="&amp;DATE(2026,7,14))</f>
        <v>0</v>
      </c>
      <c r="FW174">
        <f>COUNTIFS('DRAFT 2'!$D:$D,$B174,'DRAFT 2'!$A:$A,"&gt;="&amp;DATE(2026,7,15),'DRAFT 2'!$A:$A,"&lt;="&amp;DATE(2026,7,21))</f>
        <v>0</v>
      </c>
      <c r="FX174">
        <f>COUNTIFS('DRAFT 2'!$D:$D,$B174,'DRAFT 2'!$A:$A,"&gt;="&amp;DATE(2026,7,22),'DRAFT 2'!$A:$A,"&lt;"&amp;DATE(2026,IF(7=12,7+1,7+1),1))</f>
        <v>0</v>
      </c>
      <c r="FY174">
        <f t="shared" si="78"/>
        <v>0</v>
      </c>
      <c r="GI174">
        <f>IFERROR(LOOKUP(2,1/('DRAFT 2'!$D:$D=$B174)*('DRAFT 2'!$A:$A&gt;=DATE(2026,8,1))*('DRAFT 2'!$A:$A&lt;DATE(2026,IF(8=12,8+1,8+1),1)),'DRAFT 2'!$A:$A),"")</f>
        <v>0</v>
      </c>
      <c r="GJ174">
        <f>COUNTIFS('DRAFT 2'!$D:$D,$B174,'DRAFT 2'!$A:$A,"&gt;="&amp;DATE(2026,8,1),'DRAFT 2'!$A:$A,"&lt;="&amp;DATE(2026,8,7))</f>
        <v>0</v>
      </c>
      <c r="GK174">
        <f>COUNTIFS('DRAFT 2'!$D:$D,$B174,'DRAFT 2'!$A:$A,"&gt;="&amp;DATE(2026,8,8),'DRAFT 2'!$A:$A,"&lt;="&amp;DATE(2026,8,14))</f>
        <v>0</v>
      </c>
      <c r="GL174">
        <f>COUNTIFS('DRAFT 2'!$D:$D,$B174,'DRAFT 2'!$A:$A,"&gt;="&amp;DATE(2026,8,15),'DRAFT 2'!$A:$A,"&lt;="&amp;DATE(2026,8,21))</f>
        <v>0</v>
      </c>
      <c r="GM174">
        <f>COUNTIFS('DRAFT 2'!$D:$D,$B174,'DRAFT 2'!$A:$A,"&gt;="&amp;DATE(2026,8,22),'DRAFT 2'!$A:$A,"&lt;"&amp;DATE(2026,IF(8=12,8+1,8+1),1))</f>
        <v>0</v>
      </c>
      <c r="GN174">
        <f t="shared" si="79"/>
        <v>0</v>
      </c>
      <c r="GX174">
        <f>IFERROR(LOOKUP(2,1/('DRAFT 2'!$D:$D=$B174)*('DRAFT 2'!$A:$A&gt;=DATE(2026,9,1))*('DRAFT 2'!$A:$A&lt;DATE(2026,IF(9=12,9+1,9+1),1)),'DRAFT 2'!$A:$A),"")</f>
        <v>0</v>
      </c>
      <c r="GY174">
        <f>COUNTIFS('DRAFT 2'!$D:$D,$B174,'DRAFT 2'!$A:$A,"&gt;="&amp;DATE(2026,9,1),'DRAFT 2'!$A:$A,"&lt;="&amp;DATE(2026,9,7))</f>
        <v>0</v>
      </c>
      <c r="GZ174">
        <f>COUNTIFS('DRAFT 2'!$D:$D,$B174,'DRAFT 2'!$A:$A,"&gt;="&amp;DATE(2026,9,8),'DRAFT 2'!$A:$A,"&lt;="&amp;DATE(2026,9,14))</f>
        <v>0</v>
      </c>
      <c r="HA174">
        <f>COUNTIFS('DRAFT 2'!$D:$D,$B174,'DRAFT 2'!$A:$A,"&gt;="&amp;DATE(2026,9,15),'DRAFT 2'!$A:$A,"&lt;="&amp;DATE(2026,9,21))</f>
        <v>0</v>
      </c>
      <c r="HB174">
        <f>COUNTIFS('DRAFT 2'!$D:$D,$B174,'DRAFT 2'!$A:$A,"&gt;="&amp;DATE(2026,9,22),'DRAFT 2'!$A:$A,"&lt;"&amp;DATE(2026,IF(9=12,9+1,9+1),1))</f>
        <v>0</v>
      </c>
      <c r="HC174">
        <f t="shared" si="80"/>
        <v>0</v>
      </c>
      <c r="HN174">
        <f>IFERROR(LOOKUP(2,1/('DRAFT 2'!$D:$D=$B174)*('DRAFT 2'!$A:$A&gt;=DATE(2026,10,1))*('DRAFT 2'!$A:$A&lt;DATE(2026,IF(10=12,10+1,10+1),1)),'DRAFT 2'!$A:$A),"")</f>
        <v>0</v>
      </c>
      <c r="HO174">
        <f>COUNTIFS('DRAFT 2'!$D:$D,$B174,'DRAFT 2'!$A:$A,"&gt;="&amp;DATE(2026,10,1),'DRAFT 2'!$A:$A,"&lt;="&amp;DATE(2026,10,7))</f>
        <v>0</v>
      </c>
      <c r="HP174">
        <f>COUNTIFS('DRAFT 2'!$D:$D,$B174,'DRAFT 2'!$A:$A,"&gt;="&amp;DATE(2026,10,8),'DRAFT 2'!$A:$A,"&lt;="&amp;DATE(2026,10,14))</f>
        <v>0</v>
      </c>
      <c r="HQ174">
        <f>COUNTIFS('DRAFT 2'!$D:$D,$B174,'DRAFT 2'!$A:$A,"&gt;="&amp;DATE(2026,10,15),'DRAFT 2'!$A:$A,"&lt;="&amp;DATE(2026,10,21))</f>
        <v>0</v>
      </c>
      <c r="HR174">
        <f>COUNTIFS('DRAFT 2'!$D:$D,$B174,'DRAFT 2'!$A:$A,"&gt;="&amp;DATE(2026,10,22),'DRAFT 2'!$A:$A,"&lt;"&amp;DATE(2026,IF(10=12,10+1,10+1),1))</f>
        <v>0</v>
      </c>
      <c r="HS174">
        <f t="shared" si="81"/>
        <v>0</v>
      </c>
      <c r="IC174">
        <f>IFERROR(LOOKUP(2,1/('DRAFT 2'!$D:$D=$B174)*('DRAFT 2'!$A:$A&gt;=DATE(2026,11,1))*('DRAFT 2'!$A:$A&lt;DATE(2026,IF(11=12,11+1,11+1),1)),'DRAFT 2'!$A:$A),"")</f>
        <v>0</v>
      </c>
      <c r="ID174">
        <f>COUNTIFS('DRAFT 2'!$D:$D,$B174,'DRAFT 2'!$A:$A,"&gt;="&amp;DATE(2026,11,1),'DRAFT 2'!$A:$A,"&lt;="&amp;DATE(2026,11,7))</f>
        <v>0</v>
      </c>
      <c r="IE174">
        <f>COUNTIFS('DRAFT 2'!$D:$D,$B174,'DRAFT 2'!$A:$A,"&gt;="&amp;DATE(2026,11,8),'DRAFT 2'!$A:$A,"&lt;="&amp;DATE(2026,11,14))</f>
        <v>0</v>
      </c>
      <c r="IF174">
        <f>COUNTIFS('DRAFT 2'!$D:$D,$B174,'DRAFT 2'!$A:$A,"&gt;="&amp;DATE(2026,11,15),'DRAFT 2'!$A:$A,"&lt;="&amp;DATE(2026,11,21))</f>
        <v>0</v>
      </c>
      <c r="IG174">
        <f>COUNTIFS('DRAFT 2'!$D:$D,$B174,'DRAFT 2'!$A:$A,"&gt;="&amp;DATE(2026,11,22),'DRAFT 2'!$A:$A,"&lt;"&amp;DATE(2026,IF(11=12,11+1,11+1),1))</f>
        <v>0</v>
      </c>
      <c r="IH174">
        <f t="shared" si="82"/>
        <v>0</v>
      </c>
      <c r="IR174">
        <f>IFERROR(LOOKUP(2,1/('DRAFT 2'!$D:$D=$B174)*('DRAFT 2'!$A:$A&gt;=DATE(2026,12,1))*('DRAFT 2'!$A:$A&lt;DATE(2026,IF(12=12,12+1,12+1),1)),'DRAFT 2'!$A:$A),"")</f>
        <v>0</v>
      </c>
      <c r="IS174">
        <f>COUNTIFS('DRAFT 2'!$D:$D,$B174,'DRAFT 2'!$A:$A,"&gt;="&amp;DATE(2026,12,1),'DRAFT 2'!$A:$A,"&lt;="&amp;DATE(2026,12,7))</f>
        <v>0</v>
      </c>
      <c r="IT174">
        <f>COUNTIFS('DRAFT 2'!$D:$D,$B174,'DRAFT 2'!$A:$A,"&gt;="&amp;DATE(2026,12,8),'DRAFT 2'!$A:$A,"&lt;="&amp;DATE(2026,12,14))</f>
        <v>0</v>
      </c>
      <c r="IU174">
        <f>COUNTIFS('DRAFT 2'!$D:$D,$B174,'DRAFT 2'!$A:$A,"&gt;="&amp;DATE(2026,12,15),'DRAFT 2'!$A:$A,"&lt;="&amp;DATE(2026,12,21))</f>
        <v>0</v>
      </c>
      <c r="IV174">
        <f>COUNTIFS('DRAFT 2'!$D:$D,$B174,'DRAFT 2'!$A:$A,"&gt;="&amp;DATE(2026,12,22),'DRAFT 2'!$A:$A,"&lt;"&amp;DATE(2026,IF(12=12,12+1,12+1),1))</f>
        <v>0</v>
      </c>
      <c r="IW174">
        <f t="shared" si="83"/>
        <v>0</v>
      </c>
    </row>
    <row r="175" spans="1:257" x14ac:dyDescent="0.3">
      <c r="A175" t="str">
        <f>IFERROR(INDEX('DRAFT 1'!$A:$A,MATCH($B175,'DRAFT 1'!$B:$B,0)),"")</f>
        <v/>
      </c>
      <c r="C175" t="str">
        <f>IFERROR(INDEX('DRAFT 1'!$C:$C,MATCH($B175,'DRAFT 1'!$B:$B,0)),"")</f>
        <v/>
      </c>
      <c r="D175" t="str">
        <f>IFERROR(INDEX('DRAFT 1'!$D:$D,MATCH($B175,'DRAFT 1'!$B:$B,0)),"")</f>
        <v/>
      </c>
      <c r="E175" t="str">
        <f>IFERROR(INDEX('DRAFT 1'!$E:$E,MATCH($B175,'DRAFT 1'!$B:$B,0)),"")</f>
        <v/>
      </c>
      <c r="F175" t="str">
        <f>IFERROR(INDEX('DRAFT 1'!$F:$F,MATCH($B175,'DRAFT 1'!$B:$B,0)),"")</f>
        <v/>
      </c>
      <c r="G175" t="str">
        <f>IFERROR(INDEX('DRAFT 1'!$G:$G,MATCH($B175,'DRAFT 1'!$B:$B,0)),"")</f>
        <v/>
      </c>
      <c r="H175" t="str">
        <f>IFERROR(INDEX('DRAFT 1'!$H:$H,MATCH($B175,'DRAFT 1'!$B:$B,0)),"")</f>
        <v/>
      </c>
      <c r="I175" t="str">
        <f>IFERROR(INDEX('DRAFT 1'!$I:$I,MATCH($B175,'DRAFT 1'!$B:$B,0)),"")</f>
        <v/>
      </c>
      <c r="K175" t="str">
        <f>IFERROR(INDEX('DRAFT 1'!$AL:$AL,MATCH($B175,'DRAFT 1'!$B:$B,0)),"")</f>
        <v/>
      </c>
      <c r="L175" t="str">
        <f>IFERROR(INDEX('DRAFT 1'!$J:$J,MATCH($B175,'DRAFT 1'!$B:$B,0)),"")</f>
        <v/>
      </c>
      <c r="M175" t="str">
        <f>IFERROR(INDEX('DRAFT 1'!$K:$K,MATCH($B175,'DRAFT 1'!$B:$B,0)),"")</f>
        <v/>
      </c>
      <c r="P175" t="str">
        <f>IFERROR(INDEX('DRAFT 1'!$L:$L,MATCH($B175,'DRAFT 1'!$B:$B,0)),"")</f>
        <v/>
      </c>
      <c r="Q175" t="str">
        <f>IFERROR(INDEX('DRAFT 1'!$M:$M,MATCH($B175,'DRAFT 1'!$B:$B,0)),"")</f>
        <v/>
      </c>
      <c r="R175" t="str">
        <f>IFERROR(INDEX('DRAFT 1'!$N:$N,MATCH($B175,'DRAFT 1'!$B:$B,0)),"")</f>
        <v/>
      </c>
      <c r="S175" t="str">
        <f>IFERROR(INDEX('DRAFT 1'!$O:$O,MATCH($B175,'DRAFT 1'!$B:$B,0)),"")</f>
        <v/>
      </c>
      <c r="T175" t="str">
        <f>IFERROR(INDEX('DRAFT 1'!$P:$P,MATCH($B175,'DRAFT 1'!$B:$B,0)),"")</f>
        <v/>
      </c>
      <c r="U175" t="str">
        <f>IFERROR(INDEX('DRAFT 1'!$Q:$Q,MATCH($B175,'DRAFT 1'!$B:$B,0)),"")</f>
        <v/>
      </c>
      <c r="V175" t="str">
        <f>IFERROR(INDEX('DRAFT 1'!$R:$R,MATCH($B175,'DRAFT 1'!$B:$B,0)),"")</f>
        <v/>
      </c>
      <c r="W175" t="str">
        <f>IFERROR(INDEX('DRAFT 1'!$S:$S,MATCH($B175,'DRAFT 1'!$B:$B,0)),"")</f>
        <v/>
      </c>
      <c r="X175" t="str">
        <f>IFERROR(INDEX('DRAFT 1'!$T:$T,MATCH($B175,'DRAFT 1'!$B:$B,0)),"")</f>
        <v/>
      </c>
      <c r="Z175" t="str">
        <f>IFERROR(INDEX('DRAFT 1'!$U:$U,MATCH($B175,'DRAFT 1'!$B:$B,0)),"")</f>
        <v/>
      </c>
      <c r="AA175" t="str">
        <f>IFERROR(INDEX('DRAFT 1'!$V:$V,MATCH($B175,'DRAFT 1'!$B:$B,0)),"")</f>
        <v/>
      </c>
      <c r="AB175" t="str">
        <f>IFERROR(INDEX('DRAFT 1'!$W:$W,MATCH($B175,'DRAFT 1'!$B:$B,0)),"")</f>
        <v/>
      </c>
      <c r="AC175" t="str">
        <f>IFERROR(INDEX('DRAFT 1'!$X:$X,MATCH($B175,'DRAFT 1'!$B:$B,0)),"")</f>
        <v/>
      </c>
      <c r="AD175" t="str">
        <f>IFERROR(INDEX('DRAFT 1'!$Y:$Y,MATCH($B175,'DRAFT 1'!$B:$B,0)),"")</f>
        <v/>
      </c>
      <c r="AE175" t="str">
        <f>IFERROR(INDEX('DRAFT 1'!$Z:$Z,MATCH($B175,'DRAFT 1'!$B:$B,0)),"")</f>
        <v/>
      </c>
      <c r="AF175" t="str">
        <f>IFERROR(INDEX('DRAFT 1'!$AA:$AA,MATCH($B175,'DRAFT 1'!$B:$B,0)),"")</f>
        <v/>
      </c>
      <c r="AG175" t="str">
        <f>IFERROR(INDEX('DRAFT 1'!$AB:$AB,MATCH($B175,'DRAFT 1'!$B:$B,0)),"")</f>
        <v/>
      </c>
      <c r="AH175" t="str">
        <f>IFERROR(INDEX('DRAFT 1'!$AC:$AC,MATCH($B175,'DRAFT 1'!$B:$B,0)),"")</f>
        <v/>
      </c>
      <c r="AI175" t="str">
        <f>IFERROR(INDEX('DRAFT 1'!$AD:$AD,MATCH($B175,'DRAFT 1'!$B:$B,0)),"")</f>
        <v/>
      </c>
      <c r="AJ175" t="str">
        <f>IFERROR(INDEX('DRAFT 1'!$AE:$AE,MATCH($B175,'DRAFT 1'!$B:$B,0)),"")</f>
        <v/>
      </c>
      <c r="AK175" t="str">
        <f>IFERROR(INDEX('DRAFT 1'!$AG:$AG,MATCH($B175,'DRAFT 1'!$B:$B,0)),"")</f>
        <v/>
      </c>
      <c r="AL175" t="str">
        <f>IFERROR(INDEX('DRAFT 1'!$AH:$AH,MATCH($B175,'DRAFT 1'!$B:$B,0)),"")</f>
        <v/>
      </c>
      <c r="AM175" t="str">
        <f>IFERROR(INDEX('DRAFT 1'!$AI:$AI,MATCH($B175,'DRAFT 1'!$B:$B,0)),"")</f>
        <v/>
      </c>
      <c r="AN175" t="str">
        <f>IFERROR(INDEX('DRAFT 1'!$AJ:$AJ,MATCH($B175,'DRAFT 1'!$B:$B,0)),"")</f>
        <v/>
      </c>
      <c r="AO175">
        <f t="shared" si="70"/>
        <v>0</v>
      </c>
      <c r="AP175" t="str">
        <f>IFERROR(INDEX('DRAFT 1'!$AK:$AK,MATCH($B175,'DRAFT 1'!$B:$B,0)),"")</f>
        <v/>
      </c>
      <c r="AR175">
        <f>IFERROR(LOOKUP(2,1/('DRAFT 2'!$D:$D=$B175),'DRAFT 2'!$I:$I),"")</f>
        <v>0</v>
      </c>
      <c r="AS175">
        <f>IFERROR(LOOKUP(2,1/('DRAFT 2'!$D:$D=$B175),'DRAFT 2'!$T:$T),"")</f>
        <v>0</v>
      </c>
      <c r="AT175">
        <f>IFERROR(LOOKUP(2,1/('DRAFT 2'!$D:$D=$B175),'DRAFT 2'!$A:$A),"")</f>
        <v>0</v>
      </c>
      <c r="AU175">
        <f>IFERROR(LOOKUP(2,1/('DRAFT 2'!$D:$D=$B175),'DRAFT 2'!$R:$R),"")</f>
        <v>0</v>
      </c>
      <c r="AV175">
        <f>IFERROR(LOOKUP(2,1/('DRAFT 2'!$D:$D=$B175),'DRAFT 2'!$S:$S),"")</f>
        <v>0</v>
      </c>
      <c r="AX175">
        <f>IFERROR(LOOKUP(2,1/('DRAFT 2'!$D:$D=$B175),'DRAFT 2'!$M:$M),"")</f>
        <v>0</v>
      </c>
      <c r="AY175">
        <f>IFERROR(LOOKUP(2,1/('DRAFT 2'!$D:$D=$B175),'DRAFT 2'!$K:$K),"")</f>
        <v>0</v>
      </c>
      <c r="BG175">
        <f>IFERROR(LOOKUP(2,1/('DRAFT 2'!$D:$D=$B175),'DRAFT 2'!$U:$U),"")</f>
        <v>0</v>
      </c>
      <c r="BH175">
        <f>IFERROR(LOOKUP(2,1/('DRAFT 2'!$D:$D=$B175),'DRAFT 2'!$V:$V),"")</f>
        <v>0</v>
      </c>
      <c r="CE175" t="str">
        <f t="shared" si="71"/>
        <v/>
      </c>
      <c r="CF175">
        <f>IFERROR(LOOKUP(2,1/('DRAFT 2'!$D:$D=$B175)*('DRAFT 2'!$A:$A&gt;=DATE(2026,1,1))*('DRAFT 2'!$A:$A&lt;DATE(2026,IF(1=12,1+1,1+1),1)),'DRAFT 2'!$A:$A),"")</f>
        <v>0</v>
      </c>
      <c r="CG175">
        <f>COUNTIFS('DRAFT 2'!$D:$D,$B175,'DRAFT 2'!$A:$A,"&gt;="&amp;DATE(2026,1,1),'DRAFT 2'!$A:$A,"&lt;="&amp;DATE(2026,1,7))</f>
        <v>0</v>
      </c>
      <c r="CH175">
        <f>COUNTIFS('DRAFT 2'!$D:$D,$B175,'DRAFT 2'!$A:$A,"&gt;="&amp;DATE(2026,1,8),'DRAFT 2'!$A:$A,"&lt;="&amp;DATE(2026,1,14))</f>
        <v>0</v>
      </c>
      <c r="CI175">
        <f>COUNTIFS('DRAFT 2'!$D:$D,$B175,'DRAFT 2'!$A:$A,"&gt;="&amp;DATE(2026,1,15),'DRAFT 2'!$A:$A,"&lt;="&amp;DATE(2026,1,21))</f>
        <v>0</v>
      </c>
      <c r="CJ175">
        <f>COUNTIFS('DRAFT 2'!$D:$D,$B175,'DRAFT 2'!$A:$A,"&gt;="&amp;DATE(2026,1,22),'DRAFT 2'!$A:$A,"&lt;"&amp;DATE(2026,IF(1=12,1+1,1+1),1))</f>
        <v>0</v>
      </c>
      <c r="CK175">
        <f t="shared" si="72"/>
        <v>0</v>
      </c>
      <c r="CT175">
        <v>0</v>
      </c>
      <c r="CU175">
        <f>IFERROR(LOOKUP(2,1/('DRAFT 2'!$D:$D=$B175)*('DRAFT 2'!$A:$A&gt;=DATE(2026,2,1))*('DRAFT 2'!$A:$A&lt;DATE(2026,IF(2=12,2+1,2+1),1)),'DRAFT 2'!$A:$A),"")</f>
        <v>0</v>
      </c>
      <c r="CV175">
        <f>COUNTIFS('DRAFT 2'!$D:$D,$B175,'DRAFT 2'!$A:$A,"&gt;="&amp;DATE(2026,2,1),'DRAFT 2'!$A:$A,"&lt;="&amp;DATE(2026,2,7))</f>
        <v>0</v>
      </c>
      <c r="CW175">
        <f>COUNTIFS('DRAFT 2'!$D:$D,$B175,'DRAFT 2'!$A:$A,"&gt;="&amp;DATE(2026,2,8),'DRAFT 2'!$A:$A,"&lt;="&amp;DATE(2026,2,14))</f>
        <v>0</v>
      </c>
      <c r="CX175">
        <f>COUNTIFS('DRAFT 2'!$D:$D,$B175,'DRAFT 2'!$A:$A,"&gt;="&amp;DATE(2026,2,15),'DRAFT 2'!$A:$A,"&lt;="&amp;DATE(2026,2,21))</f>
        <v>0</v>
      </c>
      <c r="CY175">
        <f>COUNTIFS('DRAFT 2'!$D:$D,$B175,'DRAFT 2'!$A:$A,"&gt;="&amp;DATE(2026,2,22),'DRAFT 2'!$A:$A,"&lt;"&amp;DATE(2026,IF(2=12,2+1,2+1),1))</f>
        <v>0</v>
      </c>
      <c r="CZ175">
        <f t="shared" si="73"/>
        <v>0</v>
      </c>
      <c r="DJ175">
        <f>IFERROR(LOOKUP(2,1/('DRAFT 2'!$D:$D=$B175)*('DRAFT 2'!$A:$A&gt;=DATE(2026,3,1))*('DRAFT 2'!$A:$A&lt;DATE(2026,IF(3=12,3+1,3+1),1)),'DRAFT 2'!$A:$A),"")</f>
        <v>0</v>
      </c>
      <c r="DK175">
        <f>COUNTIFS('DRAFT 2'!$D:$D,$B175,'DRAFT 2'!$A:$A,"&gt;="&amp;DATE(2026,3,1),'DRAFT 2'!$A:$A,"&lt;="&amp;DATE(2026,3,7))</f>
        <v>0</v>
      </c>
      <c r="DL175">
        <f>COUNTIFS('DRAFT 2'!$D:$D,$B175,'DRAFT 2'!$A:$A,"&gt;="&amp;DATE(2026,3,8),'DRAFT 2'!$A:$A,"&lt;="&amp;DATE(2026,3,14))</f>
        <v>0</v>
      </c>
      <c r="DM175">
        <f>COUNTIFS('DRAFT 2'!$D:$D,$B175,'DRAFT 2'!$A:$A,"&gt;="&amp;DATE(2026,3,15),'DRAFT 2'!$A:$A,"&lt;="&amp;DATE(2026,3,21))</f>
        <v>0</v>
      </c>
      <c r="DN175">
        <f>COUNTIFS('DRAFT 2'!$D:$D,$B175,'DRAFT 2'!$A:$A,"&gt;="&amp;DATE(2026,3,22),'DRAFT 2'!$A:$A,"&lt;"&amp;DATE(2026,IF(3=12,3+1,3+1),1))</f>
        <v>0</v>
      </c>
      <c r="DO175">
        <f t="shared" si="74"/>
        <v>0</v>
      </c>
      <c r="DZ175">
        <f>IFERROR(LOOKUP(2,1/('DRAFT 2'!$D:$D=$B175)*('DRAFT 2'!$A:$A&gt;=DATE(2026,4,1))*('DRAFT 2'!$A:$A&lt;DATE(2026,IF(4=12,4+1,4+1),1)),'DRAFT 2'!$A:$A),"")</f>
        <v>0</v>
      </c>
      <c r="EA175">
        <f>COUNTIFS('DRAFT 2'!$D:$D,$B175,'DRAFT 2'!$A:$A,"&gt;="&amp;DATE(2026,4,1),'DRAFT 2'!$A:$A,"&lt;="&amp;DATE(2026,4,7))</f>
        <v>0</v>
      </c>
      <c r="EB175">
        <f>COUNTIFS('DRAFT 2'!$D:$D,$B175,'DRAFT 2'!$A:$A,"&gt;="&amp;DATE(2026,4,8),'DRAFT 2'!$A:$A,"&lt;="&amp;DATE(2026,4,14))</f>
        <v>0</v>
      </c>
      <c r="EC175">
        <f>COUNTIFS('DRAFT 2'!$D:$D,$B175,'DRAFT 2'!$A:$A,"&gt;="&amp;DATE(2026,4,15),'DRAFT 2'!$A:$A,"&lt;="&amp;DATE(2026,4,21))</f>
        <v>0</v>
      </c>
      <c r="ED175">
        <f>COUNTIFS('DRAFT 2'!$D:$D,$B175,'DRAFT 2'!$A:$A,"&gt;="&amp;DATE(2026,4,22),'DRAFT 2'!$A:$A,"&lt;"&amp;DATE(2026,IF(4=12,4+1,4+1),1))</f>
        <v>0</v>
      </c>
      <c r="EE175">
        <f t="shared" si="75"/>
        <v>0</v>
      </c>
      <c r="EO175">
        <f>IFERROR(LOOKUP(2,1/('DRAFT 2'!$D:$D=$B175)*('DRAFT 2'!$A:$A&gt;=DATE(2026,5,1))*('DRAFT 2'!$A:$A&lt;DATE(2026,IF(5=12,5+1,5+1),1)),'DRAFT 2'!$A:$A),"")</f>
        <v>0</v>
      </c>
      <c r="EP175">
        <f>COUNTIFS('DRAFT 2'!$D:$D,$B175,'DRAFT 2'!$A:$A,"&gt;="&amp;DATE(2026,5,1),'DRAFT 2'!$A:$A,"&lt;="&amp;DATE(2026,5,7))</f>
        <v>0</v>
      </c>
      <c r="EQ175">
        <f>COUNTIFS('DRAFT 2'!$D:$D,$B175,'DRAFT 2'!$A:$A,"&gt;="&amp;DATE(2026,5,8),'DRAFT 2'!$A:$A,"&lt;="&amp;DATE(2026,5,14))</f>
        <v>0</v>
      </c>
      <c r="ER175">
        <f>COUNTIFS('DRAFT 2'!$D:$D,$B175,'DRAFT 2'!$A:$A,"&gt;="&amp;DATE(2026,5,15),'DRAFT 2'!$A:$A,"&lt;="&amp;DATE(2026,5,21))</f>
        <v>0</v>
      </c>
      <c r="ES175">
        <f>COUNTIFS('DRAFT 2'!$D:$D,$B175,'DRAFT 2'!$A:$A,"&gt;="&amp;DATE(2026,5,22),'DRAFT 2'!$A:$A,"&lt;"&amp;DATE(2026,IF(5=12,5+1,5+1),1))</f>
        <v>0</v>
      </c>
      <c r="ET175">
        <f t="shared" si="76"/>
        <v>0</v>
      </c>
      <c r="FD175">
        <f>IFERROR(LOOKUP(2,1/('DRAFT 2'!$D:$D=$B175)*('DRAFT 2'!$A:$A&gt;=DATE(2026,6,1))*('DRAFT 2'!$A:$A&lt;DATE(2026,IF(6=12,6+1,6+1),1)),'DRAFT 2'!$A:$A),"")</f>
        <v>0</v>
      </c>
      <c r="FE175">
        <f>COUNTIFS('DRAFT 2'!$D:$D,$B175,'DRAFT 2'!$A:$A,"&gt;="&amp;DATE(2026,6,1),'DRAFT 2'!$A:$A,"&lt;="&amp;DATE(2026,6,7))</f>
        <v>0</v>
      </c>
      <c r="FF175">
        <f>COUNTIFS('DRAFT 2'!$D:$D,$B175,'DRAFT 2'!$A:$A,"&gt;="&amp;DATE(2026,6,8),'DRAFT 2'!$A:$A,"&lt;="&amp;DATE(2026,6,14))</f>
        <v>0</v>
      </c>
      <c r="FG175">
        <f>COUNTIFS('DRAFT 2'!$D:$D,$B175,'DRAFT 2'!$A:$A,"&gt;="&amp;DATE(2026,6,15),'DRAFT 2'!$A:$A,"&lt;="&amp;DATE(2026,6,21))</f>
        <v>0</v>
      </c>
      <c r="FH175">
        <f>COUNTIFS('DRAFT 2'!$D:$D,$B175,'DRAFT 2'!$A:$A,"&gt;="&amp;DATE(2026,6,22),'DRAFT 2'!$A:$A,"&lt;"&amp;DATE(2026,IF(6=12,6+1,6+1),1))</f>
        <v>0</v>
      </c>
      <c r="FI175">
        <f t="shared" si="77"/>
        <v>0</v>
      </c>
      <c r="FT175">
        <f>IFERROR(LOOKUP(2,1/('DRAFT 2'!$D:$D=$B175)*('DRAFT 2'!$A:$A&gt;=DATE(2026,7,1))*('DRAFT 2'!$A:$A&lt;DATE(2026,IF(7=12,7+1,7+1),1)),'DRAFT 2'!$A:$A),"")</f>
        <v>0</v>
      </c>
      <c r="FU175">
        <f>COUNTIFS('DRAFT 2'!$D:$D,$B175,'DRAFT 2'!$A:$A,"&gt;="&amp;DATE(2026,7,1),'DRAFT 2'!$A:$A,"&lt;="&amp;DATE(2026,7,7))</f>
        <v>0</v>
      </c>
      <c r="FV175">
        <f>COUNTIFS('DRAFT 2'!$D:$D,$B175,'DRAFT 2'!$A:$A,"&gt;="&amp;DATE(2026,7,8),'DRAFT 2'!$A:$A,"&lt;="&amp;DATE(2026,7,14))</f>
        <v>0</v>
      </c>
      <c r="FW175">
        <f>COUNTIFS('DRAFT 2'!$D:$D,$B175,'DRAFT 2'!$A:$A,"&gt;="&amp;DATE(2026,7,15),'DRAFT 2'!$A:$A,"&lt;="&amp;DATE(2026,7,21))</f>
        <v>0</v>
      </c>
      <c r="FX175">
        <f>COUNTIFS('DRAFT 2'!$D:$D,$B175,'DRAFT 2'!$A:$A,"&gt;="&amp;DATE(2026,7,22),'DRAFT 2'!$A:$A,"&lt;"&amp;DATE(2026,IF(7=12,7+1,7+1),1))</f>
        <v>0</v>
      </c>
      <c r="FY175">
        <f t="shared" si="78"/>
        <v>0</v>
      </c>
      <c r="GI175">
        <f>IFERROR(LOOKUP(2,1/('DRAFT 2'!$D:$D=$B175)*('DRAFT 2'!$A:$A&gt;=DATE(2026,8,1))*('DRAFT 2'!$A:$A&lt;DATE(2026,IF(8=12,8+1,8+1),1)),'DRAFT 2'!$A:$A),"")</f>
        <v>0</v>
      </c>
      <c r="GJ175">
        <f>COUNTIFS('DRAFT 2'!$D:$D,$B175,'DRAFT 2'!$A:$A,"&gt;="&amp;DATE(2026,8,1),'DRAFT 2'!$A:$A,"&lt;="&amp;DATE(2026,8,7))</f>
        <v>0</v>
      </c>
      <c r="GK175">
        <f>COUNTIFS('DRAFT 2'!$D:$D,$B175,'DRAFT 2'!$A:$A,"&gt;="&amp;DATE(2026,8,8),'DRAFT 2'!$A:$A,"&lt;="&amp;DATE(2026,8,14))</f>
        <v>0</v>
      </c>
      <c r="GL175">
        <f>COUNTIFS('DRAFT 2'!$D:$D,$B175,'DRAFT 2'!$A:$A,"&gt;="&amp;DATE(2026,8,15),'DRAFT 2'!$A:$A,"&lt;="&amp;DATE(2026,8,21))</f>
        <v>0</v>
      </c>
      <c r="GM175">
        <f>COUNTIFS('DRAFT 2'!$D:$D,$B175,'DRAFT 2'!$A:$A,"&gt;="&amp;DATE(2026,8,22),'DRAFT 2'!$A:$A,"&lt;"&amp;DATE(2026,IF(8=12,8+1,8+1),1))</f>
        <v>0</v>
      </c>
      <c r="GN175">
        <f t="shared" si="79"/>
        <v>0</v>
      </c>
      <c r="GX175">
        <f>IFERROR(LOOKUP(2,1/('DRAFT 2'!$D:$D=$B175)*('DRAFT 2'!$A:$A&gt;=DATE(2026,9,1))*('DRAFT 2'!$A:$A&lt;DATE(2026,IF(9=12,9+1,9+1),1)),'DRAFT 2'!$A:$A),"")</f>
        <v>0</v>
      </c>
      <c r="GY175">
        <f>COUNTIFS('DRAFT 2'!$D:$D,$B175,'DRAFT 2'!$A:$A,"&gt;="&amp;DATE(2026,9,1),'DRAFT 2'!$A:$A,"&lt;="&amp;DATE(2026,9,7))</f>
        <v>0</v>
      </c>
      <c r="GZ175">
        <f>COUNTIFS('DRAFT 2'!$D:$D,$B175,'DRAFT 2'!$A:$A,"&gt;="&amp;DATE(2026,9,8),'DRAFT 2'!$A:$A,"&lt;="&amp;DATE(2026,9,14))</f>
        <v>0</v>
      </c>
      <c r="HA175">
        <f>COUNTIFS('DRAFT 2'!$D:$D,$B175,'DRAFT 2'!$A:$A,"&gt;="&amp;DATE(2026,9,15),'DRAFT 2'!$A:$A,"&lt;="&amp;DATE(2026,9,21))</f>
        <v>0</v>
      </c>
      <c r="HB175">
        <f>COUNTIFS('DRAFT 2'!$D:$D,$B175,'DRAFT 2'!$A:$A,"&gt;="&amp;DATE(2026,9,22),'DRAFT 2'!$A:$A,"&lt;"&amp;DATE(2026,IF(9=12,9+1,9+1),1))</f>
        <v>0</v>
      </c>
      <c r="HC175">
        <f t="shared" si="80"/>
        <v>0</v>
      </c>
      <c r="HN175">
        <f>IFERROR(LOOKUP(2,1/('DRAFT 2'!$D:$D=$B175)*('DRAFT 2'!$A:$A&gt;=DATE(2026,10,1))*('DRAFT 2'!$A:$A&lt;DATE(2026,IF(10=12,10+1,10+1),1)),'DRAFT 2'!$A:$A),"")</f>
        <v>0</v>
      </c>
      <c r="HO175">
        <f>COUNTIFS('DRAFT 2'!$D:$D,$B175,'DRAFT 2'!$A:$A,"&gt;="&amp;DATE(2026,10,1),'DRAFT 2'!$A:$A,"&lt;="&amp;DATE(2026,10,7))</f>
        <v>0</v>
      </c>
      <c r="HP175">
        <f>COUNTIFS('DRAFT 2'!$D:$D,$B175,'DRAFT 2'!$A:$A,"&gt;="&amp;DATE(2026,10,8),'DRAFT 2'!$A:$A,"&lt;="&amp;DATE(2026,10,14))</f>
        <v>0</v>
      </c>
      <c r="HQ175">
        <f>COUNTIFS('DRAFT 2'!$D:$D,$B175,'DRAFT 2'!$A:$A,"&gt;="&amp;DATE(2026,10,15),'DRAFT 2'!$A:$A,"&lt;="&amp;DATE(2026,10,21))</f>
        <v>0</v>
      </c>
      <c r="HR175">
        <f>COUNTIFS('DRAFT 2'!$D:$D,$B175,'DRAFT 2'!$A:$A,"&gt;="&amp;DATE(2026,10,22),'DRAFT 2'!$A:$A,"&lt;"&amp;DATE(2026,IF(10=12,10+1,10+1),1))</f>
        <v>0</v>
      </c>
      <c r="HS175">
        <f t="shared" si="81"/>
        <v>0</v>
      </c>
      <c r="IC175">
        <f>IFERROR(LOOKUP(2,1/('DRAFT 2'!$D:$D=$B175)*('DRAFT 2'!$A:$A&gt;=DATE(2026,11,1))*('DRAFT 2'!$A:$A&lt;DATE(2026,IF(11=12,11+1,11+1),1)),'DRAFT 2'!$A:$A),"")</f>
        <v>0</v>
      </c>
      <c r="ID175">
        <f>COUNTIFS('DRAFT 2'!$D:$D,$B175,'DRAFT 2'!$A:$A,"&gt;="&amp;DATE(2026,11,1),'DRAFT 2'!$A:$A,"&lt;="&amp;DATE(2026,11,7))</f>
        <v>0</v>
      </c>
      <c r="IE175">
        <f>COUNTIFS('DRAFT 2'!$D:$D,$B175,'DRAFT 2'!$A:$A,"&gt;="&amp;DATE(2026,11,8),'DRAFT 2'!$A:$A,"&lt;="&amp;DATE(2026,11,14))</f>
        <v>0</v>
      </c>
      <c r="IF175">
        <f>COUNTIFS('DRAFT 2'!$D:$D,$B175,'DRAFT 2'!$A:$A,"&gt;="&amp;DATE(2026,11,15),'DRAFT 2'!$A:$A,"&lt;="&amp;DATE(2026,11,21))</f>
        <v>0</v>
      </c>
      <c r="IG175">
        <f>COUNTIFS('DRAFT 2'!$D:$D,$B175,'DRAFT 2'!$A:$A,"&gt;="&amp;DATE(2026,11,22),'DRAFT 2'!$A:$A,"&lt;"&amp;DATE(2026,IF(11=12,11+1,11+1),1))</f>
        <v>0</v>
      </c>
      <c r="IH175">
        <f t="shared" si="82"/>
        <v>0</v>
      </c>
      <c r="IR175">
        <f>IFERROR(LOOKUP(2,1/('DRAFT 2'!$D:$D=$B175)*('DRAFT 2'!$A:$A&gt;=DATE(2026,12,1))*('DRAFT 2'!$A:$A&lt;DATE(2026,IF(12=12,12+1,12+1),1)),'DRAFT 2'!$A:$A),"")</f>
        <v>0</v>
      </c>
      <c r="IS175">
        <f>COUNTIFS('DRAFT 2'!$D:$D,$B175,'DRAFT 2'!$A:$A,"&gt;="&amp;DATE(2026,12,1),'DRAFT 2'!$A:$A,"&lt;="&amp;DATE(2026,12,7))</f>
        <v>0</v>
      </c>
      <c r="IT175">
        <f>COUNTIFS('DRAFT 2'!$D:$D,$B175,'DRAFT 2'!$A:$A,"&gt;="&amp;DATE(2026,12,8),'DRAFT 2'!$A:$A,"&lt;="&amp;DATE(2026,12,14))</f>
        <v>0</v>
      </c>
      <c r="IU175">
        <f>COUNTIFS('DRAFT 2'!$D:$D,$B175,'DRAFT 2'!$A:$A,"&gt;="&amp;DATE(2026,12,15),'DRAFT 2'!$A:$A,"&lt;="&amp;DATE(2026,12,21))</f>
        <v>0</v>
      </c>
      <c r="IV175">
        <f>COUNTIFS('DRAFT 2'!$D:$D,$B175,'DRAFT 2'!$A:$A,"&gt;="&amp;DATE(2026,12,22),'DRAFT 2'!$A:$A,"&lt;"&amp;DATE(2026,IF(12=12,12+1,12+1),1))</f>
        <v>0</v>
      </c>
      <c r="IW175">
        <f t="shared" si="83"/>
        <v>0</v>
      </c>
    </row>
    <row r="176" spans="1:257" x14ac:dyDescent="0.3">
      <c r="A176" t="str">
        <f>IFERROR(INDEX('DRAFT 1'!$A:$A,MATCH($B176,'DRAFT 1'!$B:$B,0)),"")</f>
        <v/>
      </c>
      <c r="C176" t="str">
        <f>IFERROR(INDEX('DRAFT 1'!$C:$C,MATCH($B176,'DRAFT 1'!$B:$B,0)),"")</f>
        <v/>
      </c>
      <c r="D176" t="str">
        <f>IFERROR(INDEX('DRAFT 1'!$D:$D,MATCH($B176,'DRAFT 1'!$B:$B,0)),"")</f>
        <v/>
      </c>
      <c r="E176" t="str">
        <f>IFERROR(INDEX('DRAFT 1'!$E:$E,MATCH($B176,'DRAFT 1'!$B:$B,0)),"")</f>
        <v/>
      </c>
      <c r="F176" t="str">
        <f>IFERROR(INDEX('DRAFT 1'!$F:$F,MATCH($B176,'DRAFT 1'!$B:$B,0)),"")</f>
        <v/>
      </c>
      <c r="G176" t="str">
        <f>IFERROR(INDEX('DRAFT 1'!$G:$G,MATCH($B176,'DRAFT 1'!$B:$B,0)),"")</f>
        <v/>
      </c>
      <c r="H176" t="str">
        <f>IFERROR(INDEX('DRAFT 1'!$H:$H,MATCH($B176,'DRAFT 1'!$B:$B,0)),"")</f>
        <v/>
      </c>
      <c r="I176" t="str">
        <f>IFERROR(INDEX('DRAFT 1'!$I:$I,MATCH($B176,'DRAFT 1'!$B:$B,0)),"")</f>
        <v/>
      </c>
      <c r="K176" t="str">
        <f>IFERROR(INDEX('DRAFT 1'!$AL:$AL,MATCH($B176,'DRAFT 1'!$B:$B,0)),"")</f>
        <v/>
      </c>
      <c r="L176" t="str">
        <f>IFERROR(INDEX('DRAFT 1'!$J:$J,MATCH($B176,'DRAFT 1'!$B:$B,0)),"")</f>
        <v/>
      </c>
      <c r="M176" t="str">
        <f>IFERROR(INDEX('DRAFT 1'!$K:$K,MATCH($B176,'DRAFT 1'!$B:$B,0)),"")</f>
        <v/>
      </c>
      <c r="P176" t="str">
        <f>IFERROR(INDEX('DRAFT 1'!$L:$L,MATCH($B176,'DRAFT 1'!$B:$B,0)),"")</f>
        <v/>
      </c>
      <c r="Q176" t="str">
        <f>IFERROR(INDEX('DRAFT 1'!$M:$M,MATCH($B176,'DRAFT 1'!$B:$B,0)),"")</f>
        <v/>
      </c>
      <c r="R176" t="str">
        <f>IFERROR(INDEX('DRAFT 1'!$N:$N,MATCH($B176,'DRAFT 1'!$B:$B,0)),"")</f>
        <v/>
      </c>
      <c r="S176" t="str">
        <f>IFERROR(INDEX('DRAFT 1'!$O:$O,MATCH($B176,'DRAFT 1'!$B:$B,0)),"")</f>
        <v/>
      </c>
      <c r="T176" t="str">
        <f>IFERROR(INDEX('DRAFT 1'!$P:$P,MATCH($B176,'DRAFT 1'!$B:$B,0)),"")</f>
        <v/>
      </c>
      <c r="U176" t="str">
        <f>IFERROR(INDEX('DRAFT 1'!$Q:$Q,MATCH($B176,'DRAFT 1'!$B:$B,0)),"")</f>
        <v/>
      </c>
      <c r="V176" t="str">
        <f>IFERROR(INDEX('DRAFT 1'!$R:$R,MATCH($B176,'DRAFT 1'!$B:$B,0)),"")</f>
        <v/>
      </c>
      <c r="W176" t="str">
        <f>IFERROR(INDEX('DRAFT 1'!$S:$S,MATCH($B176,'DRAFT 1'!$B:$B,0)),"")</f>
        <v/>
      </c>
      <c r="X176" t="str">
        <f>IFERROR(INDEX('DRAFT 1'!$T:$T,MATCH($B176,'DRAFT 1'!$B:$B,0)),"")</f>
        <v/>
      </c>
      <c r="Z176" t="str">
        <f>IFERROR(INDEX('DRAFT 1'!$U:$U,MATCH($B176,'DRAFT 1'!$B:$B,0)),"")</f>
        <v/>
      </c>
      <c r="AA176" t="str">
        <f>IFERROR(INDEX('DRAFT 1'!$V:$V,MATCH($B176,'DRAFT 1'!$B:$B,0)),"")</f>
        <v/>
      </c>
      <c r="AB176" t="str">
        <f>IFERROR(INDEX('DRAFT 1'!$W:$W,MATCH($B176,'DRAFT 1'!$B:$B,0)),"")</f>
        <v/>
      </c>
      <c r="AC176" t="str">
        <f>IFERROR(INDEX('DRAFT 1'!$X:$X,MATCH($B176,'DRAFT 1'!$B:$B,0)),"")</f>
        <v/>
      </c>
      <c r="AD176" t="str">
        <f>IFERROR(INDEX('DRAFT 1'!$Y:$Y,MATCH($B176,'DRAFT 1'!$B:$B,0)),"")</f>
        <v/>
      </c>
      <c r="AE176" t="str">
        <f>IFERROR(INDEX('DRAFT 1'!$Z:$Z,MATCH($B176,'DRAFT 1'!$B:$B,0)),"")</f>
        <v/>
      </c>
      <c r="AF176" t="str">
        <f>IFERROR(INDEX('DRAFT 1'!$AA:$AA,MATCH($B176,'DRAFT 1'!$B:$B,0)),"")</f>
        <v/>
      </c>
      <c r="AG176" t="str">
        <f>IFERROR(INDEX('DRAFT 1'!$AB:$AB,MATCH($B176,'DRAFT 1'!$B:$B,0)),"")</f>
        <v/>
      </c>
      <c r="AH176" t="str">
        <f>IFERROR(INDEX('DRAFT 1'!$AC:$AC,MATCH($B176,'DRAFT 1'!$B:$B,0)),"")</f>
        <v/>
      </c>
      <c r="AI176" t="str">
        <f>IFERROR(INDEX('DRAFT 1'!$AD:$AD,MATCH($B176,'DRAFT 1'!$B:$B,0)),"")</f>
        <v/>
      </c>
      <c r="AJ176" t="str">
        <f>IFERROR(INDEX('DRAFT 1'!$AE:$AE,MATCH($B176,'DRAFT 1'!$B:$B,0)),"")</f>
        <v/>
      </c>
      <c r="AK176" t="str">
        <f>IFERROR(INDEX('DRAFT 1'!$AG:$AG,MATCH($B176,'DRAFT 1'!$B:$B,0)),"")</f>
        <v/>
      </c>
      <c r="AL176" t="str">
        <f>IFERROR(INDEX('DRAFT 1'!$AH:$AH,MATCH($B176,'DRAFT 1'!$B:$B,0)),"")</f>
        <v/>
      </c>
      <c r="AM176" t="str">
        <f>IFERROR(INDEX('DRAFT 1'!$AI:$AI,MATCH($B176,'DRAFT 1'!$B:$B,0)),"")</f>
        <v/>
      </c>
      <c r="AN176" t="str">
        <f>IFERROR(INDEX('DRAFT 1'!$AJ:$AJ,MATCH($B176,'DRAFT 1'!$B:$B,0)),"")</f>
        <v/>
      </c>
      <c r="AO176">
        <f t="shared" si="70"/>
        <v>0</v>
      </c>
      <c r="AP176" t="str">
        <f>IFERROR(INDEX('DRAFT 1'!$AK:$AK,MATCH($B176,'DRAFT 1'!$B:$B,0)),"")</f>
        <v/>
      </c>
      <c r="AR176">
        <f>IFERROR(LOOKUP(2,1/('DRAFT 2'!$D:$D=$B176),'DRAFT 2'!$I:$I),"")</f>
        <v>0</v>
      </c>
      <c r="AS176">
        <f>IFERROR(LOOKUP(2,1/('DRAFT 2'!$D:$D=$B176),'DRAFT 2'!$T:$T),"")</f>
        <v>0</v>
      </c>
      <c r="AT176">
        <f>IFERROR(LOOKUP(2,1/('DRAFT 2'!$D:$D=$B176),'DRAFT 2'!$A:$A),"")</f>
        <v>0</v>
      </c>
      <c r="AU176">
        <f>IFERROR(LOOKUP(2,1/('DRAFT 2'!$D:$D=$B176),'DRAFT 2'!$R:$R),"")</f>
        <v>0</v>
      </c>
      <c r="AV176">
        <f>IFERROR(LOOKUP(2,1/('DRAFT 2'!$D:$D=$B176),'DRAFT 2'!$S:$S),"")</f>
        <v>0</v>
      </c>
      <c r="AX176">
        <f>IFERROR(LOOKUP(2,1/('DRAFT 2'!$D:$D=$B176),'DRAFT 2'!$M:$M),"")</f>
        <v>0</v>
      </c>
      <c r="AY176">
        <f>IFERROR(LOOKUP(2,1/('DRAFT 2'!$D:$D=$B176),'DRAFT 2'!$K:$K),"")</f>
        <v>0</v>
      </c>
      <c r="BG176">
        <f>IFERROR(LOOKUP(2,1/('DRAFT 2'!$D:$D=$B176),'DRAFT 2'!$U:$U),"")</f>
        <v>0</v>
      </c>
      <c r="BH176">
        <f>IFERROR(LOOKUP(2,1/('DRAFT 2'!$D:$D=$B176),'DRAFT 2'!$V:$V),"")</f>
        <v>0</v>
      </c>
      <c r="CE176" t="str">
        <f t="shared" si="71"/>
        <v/>
      </c>
      <c r="CF176">
        <f>IFERROR(LOOKUP(2,1/('DRAFT 2'!$D:$D=$B176)*('DRAFT 2'!$A:$A&gt;=DATE(2026,1,1))*('DRAFT 2'!$A:$A&lt;DATE(2026,IF(1=12,1+1,1+1),1)),'DRAFT 2'!$A:$A),"")</f>
        <v>0</v>
      </c>
      <c r="CG176">
        <f>COUNTIFS('DRAFT 2'!$D:$D,$B176,'DRAFT 2'!$A:$A,"&gt;="&amp;DATE(2026,1,1),'DRAFT 2'!$A:$A,"&lt;="&amp;DATE(2026,1,7))</f>
        <v>0</v>
      </c>
      <c r="CH176">
        <f>COUNTIFS('DRAFT 2'!$D:$D,$B176,'DRAFT 2'!$A:$A,"&gt;="&amp;DATE(2026,1,8),'DRAFT 2'!$A:$A,"&lt;="&amp;DATE(2026,1,14))</f>
        <v>0</v>
      </c>
      <c r="CI176">
        <f>COUNTIFS('DRAFT 2'!$D:$D,$B176,'DRAFT 2'!$A:$A,"&gt;="&amp;DATE(2026,1,15),'DRAFT 2'!$A:$A,"&lt;="&amp;DATE(2026,1,21))</f>
        <v>0</v>
      </c>
      <c r="CJ176">
        <f>COUNTIFS('DRAFT 2'!$D:$D,$B176,'DRAFT 2'!$A:$A,"&gt;="&amp;DATE(2026,1,22),'DRAFT 2'!$A:$A,"&lt;"&amp;DATE(2026,IF(1=12,1+1,1+1),1))</f>
        <v>0</v>
      </c>
      <c r="CK176">
        <f t="shared" si="72"/>
        <v>0</v>
      </c>
      <c r="CT176">
        <v>0</v>
      </c>
      <c r="CU176">
        <f>IFERROR(LOOKUP(2,1/('DRAFT 2'!$D:$D=$B176)*('DRAFT 2'!$A:$A&gt;=DATE(2026,2,1))*('DRAFT 2'!$A:$A&lt;DATE(2026,IF(2=12,2+1,2+1),1)),'DRAFT 2'!$A:$A),"")</f>
        <v>0</v>
      </c>
      <c r="CV176">
        <f>COUNTIFS('DRAFT 2'!$D:$D,$B176,'DRAFT 2'!$A:$A,"&gt;="&amp;DATE(2026,2,1),'DRAFT 2'!$A:$A,"&lt;="&amp;DATE(2026,2,7))</f>
        <v>0</v>
      </c>
      <c r="CW176">
        <f>COUNTIFS('DRAFT 2'!$D:$D,$B176,'DRAFT 2'!$A:$A,"&gt;="&amp;DATE(2026,2,8),'DRAFT 2'!$A:$A,"&lt;="&amp;DATE(2026,2,14))</f>
        <v>0</v>
      </c>
      <c r="CX176">
        <f>COUNTIFS('DRAFT 2'!$D:$D,$B176,'DRAFT 2'!$A:$A,"&gt;="&amp;DATE(2026,2,15),'DRAFT 2'!$A:$A,"&lt;="&amp;DATE(2026,2,21))</f>
        <v>0</v>
      </c>
      <c r="CY176">
        <f>COUNTIFS('DRAFT 2'!$D:$D,$B176,'DRAFT 2'!$A:$A,"&gt;="&amp;DATE(2026,2,22),'DRAFT 2'!$A:$A,"&lt;"&amp;DATE(2026,IF(2=12,2+1,2+1),1))</f>
        <v>0</v>
      </c>
      <c r="CZ176">
        <f t="shared" si="73"/>
        <v>0</v>
      </c>
      <c r="DJ176">
        <f>IFERROR(LOOKUP(2,1/('DRAFT 2'!$D:$D=$B176)*('DRAFT 2'!$A:$A&gt;=DATE(2026,3,1))*('DRAFT 2'!$A:$A&lt;DATE(2026,IF(3=12,3+1,3+1),1)),'DRAFT 2'!$A:$A),"")</f>
        <v>0</v>
      </c>
      <c r="DK176">
        <f>COUNTIFS('DRAFT 2'!$D:$D,$B176,'DRAFT 2'!$A:$A,"&gt;="&amp;DATE(2026,3,1),'DRAFT 2'!$A:$A,"&lt;="&amp;DATE(2026,3,7))</f>
        <v>0</v>
      </c>
      <c r="DL176">
        <f>COUNTIFS('DRAFT 2'!$D:$D,$B176,'DRAFT 2'!$A:$A,"&gt;="&amp;DATE(2026,3,8),'DRAFT 2'!$A:$A,"&lt;="&amp;DATE(2026,3,14))</f>
        <v>0</v>
      </c>
      <c r="DM176">
        <f>COUNTIFS('DRAFT 2'!$D:$D,$B176,'DRAFT 2'!$A:$A,"&gt;="&amp;DATE(2026,3,15),'DRAFT 2'!$A:$A,"&lt;="&amp;DATE(2026,3,21))</f>
        <v>0</v>
      </c>
      <c r="DN176">
        <f>COUNTIFS('DRAFT 2'!$D:$D,$B176,'DRAFT 2'!$A:$A,"&gt;="&amp;DATE(2026,3,22),'DRAFT 2'!$A:$A,"&lt;"&amp;DATE(2026,IF(3=12,3+1,3+1),1))</f>
        <v>0</v>
      </c>
      <c r="DO176">
        <f t="shared" si="74"/>
        <v>0</v>
      </c>
      <c r="DZ176">
        <f>IFERROR(LOOKUP(2,1/('DRAFT 2'!$D:$D=$B176)*('DRAFT 2'!$A:$A&gt;=DATE(2026,4,1))*('DRAFT 2'!$A:$A&lt;DATE(2026,IF(4=12,4+1,4+1),1)),'DRAFT 2'!$A:$A),"")</f>
        <v>0</v>
      </c>
      <c r="EA176">
        <f>COUNTIFS('DRAFT 2'!$D:$D,$B176,'DRAFT 2'!$A:$A,"&gt;="&amp;DATE(2026,4,1),'DRAFT 2'!$A:$A,"&lt;="&amp;DATE(2026,4,7))</f>
        <v>0</v>
      </c>
      <c r="EB176">
        <f>COUNTIFS('DRAFT 2'!$D:$D,$B176,'DRAFT 2'!$A:$A,"&gt;="&amp;DATE(2026,4,8),'DRAFT 2'!$A:$A,"&lt;="&amp;DATE(2026,4,14))</f>
        <v>0</v>
      </c>
      <c r="EC176">
        <f>COUNTIFS('DRAFT 2'!$D:$D,$B176,'DRAFT 2'!$A:$A,"&gt;="&amp;DATE(2026,4,15),'DRAFT 2'!$A:$A,"&lt;="&amp;DATE(2026,4,21))</f>
        <v>0</v>
      </c>
      <c r="ED176">
        <f>COUNTIFS('DRAFT 2'!$D:$D,$B176,'DRAFT 2'!$A:$A,"&gt;="&amp;DATE(2026,4,22),'DRAFT 2'!$A:$A,"&lt;"&amp;DATE(2026,IF(4=12,4+1,4+1),1))</f>
        <v>0</v>
      </c>
      <c r="EE176">
        <f t="shared" si="75"/>
        <v>0</v>
      </c>
      <c r="EO176">
        <f>IFERROR(LOOKUP(2,1/('DRAFT 2'!$D:$D=$B176)*('DRAFT 2'!$A:$A&gt;=DATE(2026,5,1))*('DRAFT 2'!$A:$A&lt;DATE(2026,IF(5=12,5+1,5+1),1)),'DRAFT 2'!$A:$A),"")</f>
        <v>0</v>
      </c>
      <c r="EP176">
        <f>COUNTIFS('DRAFT 2'!$D:$D,$B176,'DRAFT 2'!$A:$A,"&gt;="&amp;DATE(2026,5,1),'DRAFT 2'!$A:$A,"&lt;="&amp;DATE(2026,5,7))</f>
        <v>0</v>
      </c>
      <c r="EQ176">
        <f>COUNTIFS('DRAFT 2'!$D:$D,$B176,'DRAFT 2'!$A:$A,"&gt;="&amp;DATE(2026,5,8),'DRAFT 2'!$A:$A,"&lt;="&amp;DATE(2026,5,14))</f>
        <v>0</v>
      </c>
      <c r="ER176">
        <f>COUNTIFS('DRAFT 2'!$D:$D,$B176,'DRAFT 2'!$A:$A,"&gt;="&amp;DATE(2026,5,15),'DRAFT 2'!$A:$A,"&lt;="&amp;DATE(2026,5,21))</f>
        <v>0</v>
      </c>
      <c r="ES176">
        <f>COUNTIFS('DRAFT 2'!$D:$D,$B176,'DRAFT 2'!$A:$A,"&gt;="&amp;DATE(2026,5,22),'DRAFT 2'!$A:$A,"&lt;"&amp;DATE(2026,IF(5=12,5+1,5+1),1))</f>
        <v>0</v>
      </c>
      <c r="ET176">
        <f t="shared" si="76"/>
        <v>0</v>
      </c>
      <c r="FD176">
        <f>IFERROR(LOOKUP(2,1/('DRAFT 2'!$D:$D=$B176)*('DRAFT 2'!$A:$A&gt;=DATE(2026,6,1))*('DRAFT 2'!$A:$A&lt;DATE(2026,IF(6=12,6+1,6+1),1)),'DRAFT 2'!$A:$A),"")</f>
        <v>0</v>
      </c>
      <c r="FE176">
        <f>COUNTIFS('DRAFT 2'!$D:$D,$B176,'DRAFT 2'!$A:$A,"&gt;="&amp;DATE(2026,6,1),'DRAFT 2'!$A:$A,"&lt;="&amp;DATE(2026,6,7))</f>
        <v>0</v>
      </c>
      <c r="FF176">
        <f>COUNTIFS('DRAFT 2'!$D:$D,$B176,'DRAFT 2'!$A:$A,"&gt;="&amp;DATE(2026,6,8),'DRAFT 2'!$A:$A,"&lt;="&amp;DATE(2026,6,14))</f>
        <v>0</v>
      </c>
      <c r="FG176">
        <f>COUNTIFS('DRAFT 2'!$D:$D,$B176,'DRAFT 2'!$A:$A,"&gt;="&amp;DATE(2026,6,15),'DRAFT 2'!$A:$A,"&lt;="&amp;DATE(2026,6,21))</f>
        <v>0</v>
      </c>
      <c r="FH176">
        <f>COUNTIFS('DRAFT 2'!$D:$D,$B176,'DRAFT 2'!$A:$A,"&gt;="&amp;DATE(2026,6,22),'DRAFT 2'!$A:$A,"&lt;"&amp;DATE(2026,IF(6=12,6+1,6+1),1))</f>
        <v>0</v>
      </c>
      <c r="FI176">
        <f t="shared" si="77"/>
        <v>0</v>
      </c>
      <c r="FT176">
        <f>IFERROR(LOOKUP(2,1/('DRAFT 2'!$D:$D=$B176)*('DRAFT 2'!$A:$A&gt;=DATE(2026,7,1))*('DRAFT 2'!$A:$A&lt;DATE(2026,IF(7=12,7+1,7+1),1)),'DRAFT 2'!$A:$A),"")</f>
        <v>0</v>
      </c>
      <c r="FU176">
        <f>COUNTIFS('DRAFT 2'!$D:$D,$B176,'DRAFT 2'!$A:$A,"&gt;="&amp;DATE(2026,7,1),'DRAFT 2'!$A:$A,"&lt;="&amp;DATE(2026,7,7))</f>
        <v>0</v>
      </c>
      <c r="FV176">
        <f>COUNTIFS('DRAFT 2'!$D:$D,$B176,'DRAFT 2'!$A:$A,"&gt;="&amp;DATE(2026,7,8),'DRAFT 2'!$A:$A,"&lt;="&amp;DATE(2026,7,14))</f>
        <v>0</v>
      </c>
      <c r="FW176">
        <f>COUNTIFS('DRAFT 2'!$D:$D,$B176,'DRAFT 2'!$A:$A,"&gt;="&amp;DATE(2026,7,15),'DRAFT 2'!$A:$A,"&lt;="&amp;DATE(2026,7,21))</f>
        <v>0</v>
      </c>
      <c r="FX176">
        <f>COUNTIFS('DRAFT 2'!$D:$D,$B176,'DRAFT 2'!$A:$A,"&gt;="&amp;DATE(2026,7,22),'DRAFT 2'!$A:$A,"&lt;"&amp;DATE(2026,IF(7=12,7+1,7+1),1))</f>
        <v>0</v>
      </c>
      <c r="FY176">
        <f t="shared" si="78"/>
        <v>0</v>
      </c>
      <c r="GI176">
        <f>IFERROR(LOOKUP(2,1/('DRAFT 2'!$D:$D=$B176)*('DRAFT 2'!$A:$A&gt;=DATE(2026,8,1))*('DRAFT 2'!$A:$A&lt;DATE(2026,IF(8=12,8+1,8+1),1)),'DRAFT 2'!$A:$A),"")</f>
        <v>0</v>
      </c>
      <c r="GJ176">
        <f>COUNTIFS('DRAFT 2'!$D:$D,$B176,'DRAFT 2'!$A:$A,"&gt;="&amp;DATE(2026,8,1),'DRAFT 2'!$A:$A,"&lt;="&amp;DATE(2026,8,7))</f>
        <v>0</v>
      </c>
      <c r="GK176">
        <f>COUNTIFS('DRAFT 2'!$D:$D,$B176,'DRAFT 2'!$A:$A,"&gt;="&amp;DATE(2026,8,8),'DRAFT 2'!$A:$A,"&lt;="&amp;DATE(2026,8,14))</f>
        <v>0</v>
      </c>
      <c r="GL176">
        <f>COUNTIFS('DRAFT 2'!$D:$D,$B176,'DRAFT 2'!$A:$A,"&gt;="&amp;DATE(2026,8,15),'DRAFT 2'!$A:$A,"&lt;="&amp;DATE(2026,8,21))</f>
        <v>0</v>
      </c>
      <c r="GM176">
        <f>COUNTIFS('DRAFT 2'!$D:$D,$B176,'DRAFT 2'!$A:$A,"&gt;="&amp;DATE(2026,8,22),'DRAFT 2'!$A:$A,"&lt;"&amp;DATE(2026,IF(8=12,8+1,8+1),1))</f>
        <v>0</v>
      </c>
      <c r="GN176">
        <f t="shared" si="79"/>
        <v>0</v>
      </c>
      <c r="GX176">
        <f>IFERROR(LOOKUP(2,1/('DRAFT 2'!$D:$D=$B176)*('DRAFT 2'!$A:$A&gt;=DATE(2026,9,1))*('DRAFT 2'!$A:$A&lt;DATE(2026,IF(9=12,9+1,9+1),1)),'DRAFT 2'!$A:$A),"")</f>
        <v>0</v>
      </c>
      <c r="GY176">
        <f>COUNTIFS('DRAFT 2'!$D:$D,$B176,'DRAFT 2'!$A:$A,"&gt;="&amp;DATE(2026,9,1),'DRAFT 2'!$A:$A,"&lt;="&amp;DATE(2026,9,7))</f>
        <v>0</v>
      </c>
      <c r="GZ176">
        <f>COUNTIFS('DRAFT 2'!$D:$D,$B176,'DRAFT 2'!$A:$A,"&gt;="&amp;DATE(2026,9,8),'DRAFT 2'!$A:$A,"&lt;="&amp;DATE(2026,9,14))</f>
        <v>0</v>
      </c>
      <c r="HA176">
        <f>COUNTIFS('DRAFT 2'!$D:$D,$B176,'DRAFT 2'!$A:$A,"&gt;="&amp;DATE(2026,9,15),'DRAFT 2'!$A:$A,"&lt;="&amp;DATE(2026,9,21))</f>
        <v>0</v>
      </c>
      <c r="HB176">
        <f>COUNTIFS('DRAFT 2'!$D:$D,$B176,'DRAFT 2'!$A:$A,"&gt;="&amp;DATE(2026,9,22),'DRAFT 2'!$A:$A,"&lt;"&amp;DATE(2026,IF(9=12,9+1,9+1),1))</f>
        <v>0</v>
      </c>
      <c r="HC176">
        <f t="shared" si="80"/>
        <v>0</v>
      </c>
      <c r="HN176">
        <f>IFERROR(LOOKUP(2,1/('DRAFT 2'!$D:$D=$B176)*('DRAFT 2'!$A:$A&gt;=DATE(2026,10,1))*('DRAFT 2'!$A:$A&lt;DATE(2026,IF(10=12,10+1,10+1),1)),'DRAFT 2'!$A:$A),"")</f>
        <v>0</v>
      </c>
      <c r="HO176">
        <f>COUNTIFS('DRAFT 2'!$D:$D,$B176,'DRAFT 2'!$A:$A,"&gt;="&amp;DATE(2026,10,1),'DRAFT 2'!$A:$A,"&lt;="&amp;DATE(2026,10,7))</f>
        <v>0</v>
      </c>
      <c r="HP176">
        <f>COUNTIFS('DRAFT 2'!$D:$D,$B176,'DRAFT 2'!$A:$A,"&gt;="&amp;DATE(2026,10,8),'DRAFT 2'!$A:$A,"&lt;="&amp;DATE(2026,10,14))</f>
        <v>0</v>
      </c>
      <c r="HQ176">
        <f>COUNTIFS('DRAFT 2'!$D:$D,$B176,'DRAFT 2'!$A:$A,"&gt;="&amp;DATE(2026,10,15),'DRAFT 2'!$A:$A,"&lt;="&amp;DATE(2026,10,21))</f>
        <v>0</v>
      </c>
      <c r="HR176">
        <f>COUNTIFS('DRAFT 2'!$D:$D,$B176,'DRAFT 2'!$A:$A,"&gt;="&amp;DATE(2026,10,22),'DRAFT 2'!$A:$A,"&lt;"&amp;DATE(2026,IF(10=12,10+1,10+1),1))</f>
        <v>0</v>
      </c>
      <c r="HS176">
        <f t="shared" si="81"/>
        <v>0</v>
      </c>
      <c r="IC176">
        <f>IFERROR(LOOKUP(2,1/('DRAFT 2'!$D:$D=$B176)*('DRAFT 2'!$A:$A&gt;=DATE(2026,11,1))*('DRAFT 2'!$A:$A&lt;DATE(2026,IF(11=12,11+1,11+1),1)),'DRAFT 2'!$A:$A),"")</f>
        <v>0</v>
      </c>
      <c r="ID176">
        <f>COUNTIFS('DRAFT 2'!$D:$D,$B176,'DRAFT 2'!$A:$A,"&gt;="&amp;DATE(2026,11,1),'DRAFT 2'!$A:$A,"&lt;="&amp;DATE(2026,11,7))</f>
        <v>0</v>
      </c>
      <c r="IE176">
        <f>COUNTIFS('DRAFT 2'!$D:$D,$B176,'DRAFT 2'!$A:$A,"&gt;="&amp;DATE(2026,11,8),'DRAFT 2'!$A:$A,"&lt;="&amp;DATE(2026,11,14))</f>
        <v>0</v>
      </c>
      <c r="IF176">
        <f>COUNTIFS('DRAFT 2'!$D:$D,$B176,'DRAFT 2'!$A:$A,"&gt;="&amp;DATE(2026,11,15),'DRAFT 2'!$A:$A,"&lt;="&amp;DATE(2026,11,21))</f>
        <v>0</v>
      </c>
      <c r="IG176">
        <f>COUNTIFS('DRAFT 2'!$D:$D,$B176,'DRAFT 2'!$A:$A,"&gt;="&amp;DATE(2026,11,22),'DRAFT 2'!$A:$A,"&lt;"&amp;DATE(2026,IF(11=12,11+1,11+1),1))</f>
        <v>0</v>
      </c>
      <c r="IH176">
        <f t="shared" si="82"/>
        <v>0</v>
      </c>
      <c r="IR176">
        <f>IFERROR(LOOKUP(2,1/('DRAFT 2'!$D:$D=$B176)*('DRAFT 2'!$A:$A&gt;=DATE(2026,12,1))*('DRAFT 2'!$A:$A&lt;DATE(2026,IF(12=12,12+1,12+1),1)),'DRAFT 2'!$A:$A),"")</f>
        <v>0</v>
      </c>
      <c r="IS176">
        <f>COUNTIFS('DRAFT 2'!$D:$D,$B176,'DRAFT 2'!$A:$A,"&gt;="&amp;DATE(2026,12,1),'DRAFT 2'!$A:$A,"&lt;="&amp;DATE(2026,12,7))</f>
        <v>0</v>
      </c>
      <c r="IT176">
        <f>COUNTIFS('DRAFT 2'!$D:$D,$B176,'DRAFT 2'!$A:$A,"&gt;="&amp;DATE(2026,12,8),'DRAFT 2'!$A:$A,"&lt;="&amp;DATE(2026,12,14))</f>
        <v>0</v>
      </c>
      <c r="IU176">
        <f>COUNTIFS('DRAFT 2'!$D:$D,$B176,'DRAFT 2'!$A:$A,"&gt;="&amp;DATE(2026,12,15),'DRAFT 2'!$A:$A,"&lt;="&amp;DATE(2026,12,21))</f>
        <v>0</v>
      </c>
      <c r="IV176">
        <f>COUNTIFS('DRAFT 2'!$D:$D,$B176,'DRAFT 2'!$A:$A,"&gt;="&amp;DATE(2026,12,22),'DRAFT 2'!$A:$A,"&lt;"&amp;DATE(2026,IF(12=12,12+1,12+1),1))</f>
        <v>0</v>
      </c>
      <c r="IW176">
        <f t="shared" si="83"/>
        <v>0</v>
      </c>
    </row>
    <row r="177" spans="1:257" x14ac:dyDescent="0.3">
      <c r="A177" t="str">
        <f>IFERROR(INDEX('DRAFT 1'!$A:$A,MATCH($B177,'DRAFT 1'!$B:$B,0)),"")</f>
        <v/>
      </c>
      <c r="C177" t="str">
        <f>IFERROR(INDEX('DRAFT 1'!$C:$C,MATCH($B177,'DRAFT 1'!$B:$B,0)),"")</f>
        <v/>
      </c>
      <c r="D177" t="str">
        <f>IFERROR(INDEX('DRAFT 1'!$D:$D,MATCH($B177,'DRAFT 1'!$B:$B,0)),"")</f>
        <v/>
      </c>
      <c r="E177" t="str">
        <f>IFERROR(INDEX('DRAFT 1'!$E:$E,MATCH($B177,'DRAFT 1'!$B:$B,0)),"")</f>
        <v/>
      </c>
      <c r="F177" t="str">
        <f>IFERROR(INDEX('DRAFT 1'!$F:$F,MATCH($B177,'DRAFT 1'!$B:$B,0)),"")</f>
        <v/>
      </c>
      <c r="G177" t="str">
        <f>IFERROR(INDEX('DRAFT 1'!$G:$G,MATCH($B177,'DRAFT 1'!$B:$B,0)),"")</f>
        <v/>
      </c>
      <c r="H177" t="str">
        <f>IFERROR(INDEX('DRAFT 1'!$H:$H,MATCH($B177,'DRAFT 1'!$B:$B,0)),"")</f>
        <v/>
      </c>
      <c r="I177" t="str">
        <f>IFERROR(INDEX('DRAFT 1'!$I:$I,MATCH($B177,'DRAFT 1'!$B:$B,0)),"")</f>
        <v/>
      </c>
      <c r="K177" t="str">
        <f>IFERROR(INDEX('DRAFT 1'!$AL:$AL,MATCH($B177,'DRAFT 1'!$B:$B,0)),"")</f>
        <v/>
      </c>
      <c r="L177" t="str">
        <f>IFERROR(INDEX('DRAFT 1'!$J:$J,MATCH($B177,'DRAFT 1'!$B:$B,0)),"")</f>
        <v/>
      </c>
      <c r="M177" t="str">
        <f>IFERROR(INDEX('DRAFT 1'!$K:$K,MATCH($B177,'DRAFT 1'!$B:$B,0)),"")</f>
        <v/>
      </c>
      <c r="P177" t="str">
        <f>IFERROR(INDEX('DRAFT 1'!$L:$L,MATCH($B177,'DRAFT 1'!$B:$B,0)),"")</f>
        <v/>
      </c>
      <c r="Q177" t="str">
        <f>IFERROR(INDEX('DRAFT 1'!$M:$M,MATCH($B177,'DRAFT 1'!$B:$B,0)),"")</f>
        <v/>
      </c>
      <c r="R177" t="str">
        <f>IFERROR(INDEX('DRAFT 1'!$N:$N,MATCH($B177,'DRAFT 1'!$B:$B,0)),"")</f>
        <v/>
      </c>
      <c r="S177" t="str">
        <f>IFERROR(INDEX('DRAFT 1'!$O:$O,MATCH($B177,'DRAFT 1'!$B:$B,0)),"")</f>
        <v/>
      </c>
      <c r="T177" t="str">
        <f>IFERROR(INDEX('DRAFT 1'!$P:$P,MATCH($B177,'DRAFT 1'!$B:$B,0)),"")</f>
        <v/>
      </c>
      <c r="U177" t="str">
        <f>IFERROR(INDEX('DRAFT 1'!$Q:$Q,MATCH($B177,'DRAFT 1'!$B:$B,0)),"")</f>
        <v/>
      </c>
      <c r="V177" t="str">
        <f>IFERROR(INDEX('DRAFT 1'!$R:$R,MATCH($B177,'DRAFT 1'!$B:$B,0)),"")</f>
        <v/>
      </c>
      <c r="W177" t="str">
        <f>IFERROR(INDEX('DRAFT 1'!$S:$S,MATCH($B177,'DRAFT 1'!$B:$B,0)),"")</f>
        <v/>
      </c>
      <c r="X177" t="str">
        <f>IFERROR(INDEX('DRAFT 1'!$T:$T,MATCH($B177,'DRAFT 1'!$B:$B,0)),"")</f>
        <v/>
      </c>
      <c r="Z177" t="str">
        <f>IFERROR(INDEX('DRAFT 1'!$U:$U,MATCH($B177,'DRAFT 1'!$B:$B,0)),"")</f>
        <v/>
      </c>
      <c r="AA177" t="str">
        <f>IFERROR(INDEX('DRAFT 1'!$V:$V,MATCH($B177,'DRAFT 1'!$B:$B,0)),"")</f>
        <v/>
      </c>
      <c r="AB177" t="str">
        <f>IFERROR(INDEX('DRAFT 1'!$W:$W,MATCH($B177,'DRAFT 1'!$B:$B,0)),"")</f>
        <v/>
      </c>
      <c r="AC177" t="str">
        <f>IFERROR(INDEX('DRAFT 1'!$X:$X,MATCH($B177,'DRAFT 1'!$B:$B,0)),"")</f>
        <v/>
      </c>
      <c r="AD177" t="str">
        <f>IFERROR(INDEX('DRAFT 1'!$Y:$Y,MATCH($B177,'DRAFT 1'!$B:$B,0)),"")</f>
        <v/>
      </c>
      <c r="AE177" t="str">
        <f>IFERROR(INDEX('DRAFT 1'!$Z:$Z,MATCH($B177,'DRAFT 1'!$B:$B,0)),"")</f>
        <v/>
      </c>
      <c r="AF177" t="str">
        <f>IFERROR(INDEX('DRAFT 1'!$AA:$AA,MATCH($B177,'DRAFT 1'!$B:$B,0)),"")</f>
        <v/>
      </c>
      <c r="AG177" t="str">
        <f>IFERROR(INDEX('DRAFT 1'!$AB:$AB,MATCH($B177,'DRAFT 1'!$B:$B,0)),"")</f>
        <v/>
      </c>
      <c r="AH177" t="str">
        <f>IFERROR(INDEX('DRAFT 1'!$AC:$AC,MATCH($B177,'DRAFT 1'!$B:$B,0)),"")</f>
        <v/>
      </c>
      <c r="AI177" t="str">
        <f>IFERROR(INDEX('DRAFT 1'!$AD:$AD,MATCH($B177,'DRAFT 1'!$B:$B,0)),"")</f>
        <v/>
      </c>
      <c r="AJ177" t="str">
        <f>IFERROR(INDEX('DRAFT 1'!$AE:$AE,MATCH($B177,'DRAFT 1'!$B:$B,0)),"")</f>
        <v/>
      </c>
      <c r="AK177" t="str">
        <f>IFERROR(INDEX('DRAFT 1'!$AG:$AG,MATCH($B177,'DRAFT 1'!$B:$B,0)),"")</f>
        <v/>
      </c>
      <c r="AL177" t="str">
        <f>IFERROR(INDEX('DRAFT 1'!$AH:$AH,MATCH($B177,'DRAFT 1'!$B:$B,0)),"")</f>
        <v/>
      </c>
      <c r="AM177" t="str">
        <f>IFERROR(INDEX('DRAFT 1'!$AI:$AI,MATCH($B177,'DRAFT 1'!$B:$B,0)),"")</f>
        <v/>
      </c>
      <c r="AN177" t="str">
        <f>IFERROR(INDEX('DRAFT 1'!$AJ:$AJ,MATCH($B177,'DRAFT 1'!$B:$B,0)),"")</f>
        <v/>
      </c>
      <c r="AO177">
        <f t="shared" si="70"/>
        <v>0</v>
      </c>
      <c r="AP177" t="str">
        <f>IFERROR(INDEX('DRAFT 1'!$AK:$AK,MATCH($B177,'DRAFT 1'!$B:$B,0)),"")</f>
        <v/>
      </c>
      <c r="AR177">
        <f>IFERROR(LOOKUP(2,1/('DRAFT 2'!$D:$D=$B177),'DRAFT 2'!$I:$I),"")</f>
        <v>0</v>
      </c>
      <c r="AS177">
        <f>IFERROR(LOOKUP(2,1/('DRAFT 2'!$D:$D=$B177),'DRAFT 2'!$T:$T),"")</f>
        <v>0</v>
      </c>
      <c r="AT177">
        <f>IFERROR(LOOKUP(2,1/('DRAFT 2'!$D:$D=$B177),'DRAFT 2'!$A:$A),"")</f>
        <v>0</v>
      </c>
      <c r="AU177">
        <f>IFERROR(LOOKUP(2,1/('DRAFT 2'!$D:$D=$B177),'DRAFT 2'!$R:$R),"")</f>
        <v>0</v>
      </c>
      <c r="AV177">
        <f>IFERROR(LOOKUP(2,1/('DRAFT 2'!$D:$D=$B177),'DRAFT 2'!$S:$S),"")</f>
        <v>0</v>
      </c>
      <c r="AX177">
        <f>IFERROR(LOOKUP(2,1/('DRAFT 2'!$D:$D=$B177),'DRAFT 2'!$M:$M),"")</f>
        <v>0</v>
      </c>
      <c r="AY177">
        <f>IFERROR(LOOKUP(2,1/('DRAFT 2'!$D:$D=$B177),'DRAFT 2'!$K:$K),"")</f>
        <v>0</v>
      </c>
      <c r="BG177">
        <f>IFERROR(LOOKUP(2,1/('DRAFT 2'!$D:$D=$B177),'DRAFT 2'!$U:$U),"")</f>
        <v>0</v>
      </c>
      <c r="BH177">
        <f>IFERROR(LOOKUP(2,1/('DRAFT 2'!$D:$D=$B177),'DRAFT 2'!$V:$V),"")</f>
        <v>0</v>
      </c>
      <c r="CE177" t="str">
        <f t="shared" si="71"/>
        <v/>
      </c>
      <c r="CF177">
        <f>IFERROR(LOOKUP(2,1/('DRAFT 2'!$D:$D=$B177)*('DRAFT 2'!$A:$A&gt;=DATE(2026,1,1))*('DRAFT 2'!$A:$A&lt;DATE(2026,IF(1=12,1+1,1+1),1)),'DRAFT 2'!$A:$A),"")</f>
        <v>0</v>
      </c>
      <c r="CG177">
        <f>COUNTIFS('DRAFT 2'!$D:$D,$B177,'DRAFT 2'!$A:$A,"&gt;="&amp;DATE(2026,1,1),'DRAFT 2'!$A:$A,"&lt;="&amp;DATE(2026,1,7))</f>
        <v>0</v>
      </c>
      <c r="CH177">
        <f>COUNTIFS('DRAFT 2'!$D:$D,$B177,'DRAFT 2'!$A:$A,"&gt;="&amp;DATE(2026,1,8),'DRAFT 2'!$A:$A,"&lt;="&amp;DATE(2026,1,14))</f>
        <v>0</v>
      </c>
      <c r="CI177">
        <f>COUNTIFS('DRAFT 2'!$D:$D,$B177,'DRAFT 2'!$A:$A,"&gt;="&amp;DATE(2026,1,15),'DRAFT 2'!$A:$A,"&lt;="&amp;DATE(2026,1,21))</f>
        <v>0</v>
      </c>
      <c r="CJ177">
        <f>COUNTIFS('DRAFT 2'!$D:$D,$B177,'DRAFT 2'!$A:$A,"&gt;="&amp;DATE(2026,1,22),'DRAFT 2'!$A:$A,"&lt;"&amp;DATE(2026,IF(1=12,1+1,1+1),1))</f>
        <v>0</v>
      </c>
      <c r="CK177">
        <f t="shared" si="72"/>
        <v>0</v>
      </c>
      <c r="CT177">
        <v>0</v>
      </c>
      <c r="CU177">
        <f>IFERROR(LOOKUP(2,1/('DRAFT 2'!$D:$D=$B177)*('DRAFT 2'!$A:$A&gt;=DATE(2026,2,1))*('DRAFT 2'!$A:$A&lt;DATE(2026,IF(2=12,2+1,2+1),1)),'DRAFT 2'!$A:$A),"")</f>
        <v>0</v>
      </c>
      <c r="CV177">
        <f>COUNTIFS('DRAFT 2'!$D:$D,$B177,'DRAFT 2'!$A:$A,"&gt;="&amp;DATE(2026,2,1),'DRAFT 2'!$A:$A,"&lt;="&amp;DATE(2026,2,7))</f>
        <v>0</v>
      </c>
      <c r="CW177">
        <f>COUNTIFS('DRAFT 2'!$D:$D,$B177,'DRAFT 2'!$A:$A,"&gt;="&amp;DATE(2026,2,8),'DRAFT 2'!$A:$A,"&lt;="&amp;DATE(2026,2,14))</f>
        <v>0</v>
      </c>
      <c r="CX177">
        <f>COUNTIFS('DRAFT 2'!$D:$D,$B177,'DRAFT 2'!$A:$A,"&gt;="&amp;DATE(2026,2,15),'DRAFT 2'!$A:$A,"&lt;="&amp;DATE(2026,2,21))</f>
        <v>0</v>
      </c>
      <c r="CY177">
        <f>COUNTIFS('DRAFT 2'!$D:$D,$B177,'DRAFT 2'!$A:$A,"&gt;="&amp;DATE(2026,2,22),'DRAFT 2'!$A:$A,"&lt;"&amp;DATE(2026,IF(2=12,2+1,2+1),1))</f>
        <v>0</v>
      </c>
      <c r="CZ177">
        <f t="shared" si="73"/>
        <v>0</v>
      </c>
      <c r="DJ177">
        <f>IFERROR(LOOKUP(2,1/('DRAFT 2'!$D:$D=$B177)*('DRAFT 2'!$A:$A&gt;=DATE(2026,3,1))*('DRAFT 2'!$A:$A&lt;DATE(2026,IF(3=12,3+1,3+1),1)),'DRAFT 2'!$A:$A),"")</f>
        <v>0</v>
      </c>
      <c r="DK177">
        <f>COUNTIFS('DRAFT 2'!$D:$D,$B177,'DRAFT 2'!$A:$A,"&gt;="&amp;DATE(2026,3,1),'DRAFT 2'!$A:$A,"&lt;="&amp;DATE(2026,3,7))</f>
        <v>0</v>
      </c>
      <c r="DL177">
        <f>COUNTIFS('DRAFT 2'!$D:$D,$B177,'DRAFT 2'!$A:$A,"&gt;="&amp;DATE(2026,3,8),'DRAFT 2'!$A:$A,"&lt;="&amp;DATE(2026,3,14))</f>
        <v>0</v>
      </c>
      <c r="DM177">
        <f>COUNTIFS('DRAFT 2'!$D:$D,$B177,'DRAFT 2'!$A:$A,"&gt;="&amp;DATE(2026,3,15),'DRAFT 2'!$A:$A,"&lt;="&amp;DATE(2026,3,21))</f>
        <v>0</v>
      </c>
      <c r="DN177">
        <f>COUNTIFS('DRAFT 2'!$D:$D,$B177,'DRAFT 2'!$A:$A,"&gt;="&amp;DATE(2026,3,22),'DRAFT 2'!$A:$A,"&lt;"&amp;DATE(2026,IF(3=12,3+1,3+1),1))</f>
        <v>0</v>
      </c>
      <c r="DO177">
        <f t="shared" si="74"/>
        <v>0</v>
      </c>
      <c r="DZ177">
        <f>IFERROR(LOOKUP(2,1/('DRAFT 2'!$D:$D=$B177)*('DRAFT 2'!$A:$A&gt;=DATE(2026,4,1))*('DRAFT 2'!$A:$A&lt;DATE(2026,IF(4=12,4+1,4+1),1)),'DRAFT 2'!$A:$A),"")</f>
        <v>0</v>
      </c>
      <c r="EA177">
        <f>COUNTIFS('DRAFT 2'!$D:$D,$B177,'DRAFT 2'!$A:$A,"&gt;="&amp;DATE(2026,4,1),'DRAFT 2'!$A:$A,"&lt;="&amp;DATE(2026,4,7))</f>
        <v>0</v>
      </c>
      <c r="EB177">
        <f>COUNTIFS('DRAFT 2'!$D:$D,$B177,'DRAFT 2'!$A:$A,"&gt;="&amp;DATE(2026,4,8),'DRAFT 2'!$A:$A,"&lt;="&amp;DATE(2026,4,14))</f>
        <v>0</v>
      </c>
      <c r="EC177">
        <f>COUNTIFS('DRAFT 2'!$D:$D,$B177,'DRAFT 2'!$A:$A,"&gt;="&amp;DATE(2026,4,15),'DRAFT 2'!$A:$A,"&lt;="&amp;DATE(2026,4,21))</f>
        <v>0</v>
      </c>
      <c r="ED177">
        <f>COUNTIFS('DRAFT 2'!$D:$D,$B177,'DRAFT 2'!$A:$A,"&gt;="&amp;DATE(2026,4,22),'DRAFT 2'!$A:$A,"&lt;"&amp;DATE(2026,IF(4=12,4+1,4+1),1))</f>
        <v>0</v>
      </c>
      <c r="EE177">
        <f t="shared" si="75"/>
        <v>0</v>
      </c>
      <c r="EO177">
        <f>IFERROR(LOOKUP(2,1/('DRAFT 2'!$D:$D=$B177)*('DRAFT 2'!$A:$A&gt;=DATE(2026,5,1))*('DRAFT 2'!$A:$A&lt;DATE(2026,IF(5=12,5+1,5+1),1)),'DRAFT 2'!$A:$A),"")</f>
        <v>0</v>
      </c>
      <c r="EP177">
        <f>COUNTIFS('DRAFT 2'!$D:$D,$B177,'DRAFT 2'!$A:$A,"&gt;="&amp;DATE(2026,5,1),'DRAFT 2'!$A:$A,"&lt;="&amp;DATE(2026,5,7))</f>
        <v>0</v>
      </c>
      <c r="EQ177">
        <f>COUNTIFS('DRAFT 2'!$D:$D,$B177,'DRAFT 2'!$A:$A,"&gt;="&amp;DATE(2026,5,8),'DRAFT 2'!$A:$A,"&lt;="&amp;DATE(2026,5,14))</f>
        <v>0</v>
      </c>
      <c r="ER177">
        <f>COUNTIFS('DRAFT 2'!$D:$D,$B177,'DRAFT 2'!$A:$A,"&gt;="&amp;DATE(2026,5,15),'DRAFT 2'!$A:$A,"&lt;="&amp;DATE(2026,5,21))</f>
        <v>0</v>
      </c>
      <c r="ES177">
        <f>COUNTIFS('DRAFT 2'!$D:$D,$B177,'DRAFT 2'!$A:$A,"&gt;="&amp;DATE(2026,5,22),'DRAFT 2'!$A:$A,"&lt;"&amp;DATE(2026,IF(5=12,5+1,5+1),1))</f>
        <v>0</v>
      </c>
      <c r="ET177">
        <f t="shared" si="76"/>
        <v>0</v>
      </c>
      <c r="FD177">
        <f>IFERROR(LOOKUP(2,1/('DRAFT 2'!$D:$D=$B177)*('DRAFT 2'!$A:$A&gt;=DATE(2026,6,1))*('DRAFT 2'!$A:$A&lt;DATE(2026,IF(6=12,6+1,6+1),1)),'DRAFT 2'!$A:$A),"")</f>
        <v>0</v>
      </c>
      <c r="FE177">
        <f>COUNTIFS('DRAFT 2'!$D:$D,$B177,'DRAFT 2'!$A:$A,"&gt;="&amp;DATE(2026,6,1),'DRAFT 2'!$A:$A,"&lt;="&amp;DATE(2026,6,7))</f>
        <v>0</v>
      </c>
      <c r="FF177">
        <f>COUNTIFS('DRAFT 2'!$D:$D,$B177,'DRAFT 2'!$A:$A,"&gt;="&amp;DATE(2026,6,8),'DRAFT 2'!$A:$A,"&lt;="&amp;DATE(2026,6,14))</f>
        <v>0</v>
      </c>
      <c r="FG177">
        <f>COUNTIFS('DRAFT 2'!$D:$D,$B177,'DRAFT 2'!$A:$A,"&gt;="&amp;DATE(2026,6,15),'DRAFT 2'!$A:$A,"&lt;="&amp;DATE(2026,6,21))</f>
        <v>0</v>
      </c>
      <c r="FH177">
        <f>COUNTIFS('DRAFT 2'!$D:$D,$B177,'DRAFT 2'!$A:$A,"&gt;="&amp;DATE(2026,6,22),'DRAFT 2'!$A:$A,"&lt;"&amp;DATE(2026,IF(6=12,6+1,6+1),1))</f>
        <v>0</v>
      </c>
      <c r="FI177">
        <f t="shared" si="77"/>
        <v>0</v>
      </c>
      <c r="FT177">
        <f>IFERROR(LOOKUP(2,1/('DRAFT 2'!$D:$D=$B177)*('DRAFT 2'!$A:$A&gt;=DATE(2026,7,1))*('DRAFT 2'!$A:$A&lt;DATE(2026,IF(7=12,7+1,7+1),1)),'DRAFT 2'!$A:$A),"")</f>
        <v>0</v>
      </c>
      <c r="FU177">
        <f>COUNTIFS('DRAFT 2'!$D:$D,$B177,'DRAFT 2'!$A:$A,"&gt;="&amp;DATE(2026,7,1),'DRAFT 2'!$A:$A,"&lt;="&amp;DATE(2026,7,7))</f>
        <v>0</v>
      </c>
      <c r="FV177">
        <f>COUNTIFS('DRAFT 2'!$D:$D,$B177,'DRAFT 2'!$A:$A,"&gt;="&amp;DATE(2026,7,8),'DRAFT 2'!$A:$A,"&lt;="&amp;DATE(2026,7,14))</f>
        <v>0</v>
      </c>
      <c r="FW177">
        <f>COUNTIFS('DRAFT 2'!$D:$D,$B177,'DRAFT 2'!$A:$A,"&gt;="&amp;DATE(2026,7,15),'DRAFT 2'!$A:$A,"&lt;="&amp;DATE(2026,7,21))</f>
        <v>0</v>
      </c>
      <c r="FX177">
        <f>COUNTIFS('DRAFT 2'!$D:$D,$B177,'DRAFT 2'!$A:$A,"&gt;="&amp;DATE(2026,7,22),'DRAFT 2'!$A:$A,"&lt;"&amp;DATE(2026,IF(7=12,7+1,7+1),1))</f>
        <v>0</v>
      </c>
      <c r="FY177">
        <f t="shared" si="78"/>
        <v>0</v>
      </c>
      <c r="GI177">
        <f>IFERROR(LOOKUP(2,1/('DRAFT 2'!$D:$D=$B177)*('DRAFT 2'!$A:$A&gt;=DATE(2026,8,1))*('DRAFT 2'!$A:$A&lt;DATE(2026,IF(8=12,8+1,8+1),1)),'DRAFT 2'!$A:$A),"")</f>
        <v>0</v>
      </c>
      <c r="GJ177">
        <f>COUNTIFS('DRAFT 2'!$D:$D,$B177,'DRAFT 2'!$A:$A,"&gt;="&amp;DATE(2026,8,1),'DRAFT 2'!$A:$A,"&lt;="&amp;DATE(2026,8,7))</f>
        <v>0</v>
      </c>
      <c r="GK177">
        <f>COUNTIFS('DRAFT 2'!$D:$D,$B177,'DRAFT 2'!$A:$A,"&gt;="&amp;DATE(2026,8,8),'DRAFT 2'!$A:$A,"&lt;="&amp;DATE(2026,8,14))</f>
        <v>0</v>
      </c>
      <c r="GL177">
        <f>COUNTIFS('DRAFT 2'!$D:$D,$B177,'DRAFT 2'!$A:$A,"&gt;="&amp;DATE(2026,8,15),'DRAFT 2'!$A:$A,"&lt;="&amp;DATE(2026,8,21))</f>
        <v>0</v>
      </c>
      <c r="GM177">
        <f>COUNTIFS('DRAFT 2'!$D:$D,$B177,'DRAFT 2'!$A:$A,"&gt;="&amp;DATE(2026,8,22),'DRAFT 2'!$A:$A,"&lt;"&amp;DATE(2026,IF(8=12,8+1,8+1),1))</f>
        <v>0</v>
      </c>
      <c r="GN177">
        <f t="shared" si="79"/>
        <v>0</v>
      </c>
      <c r="GX177">
        <f>IFERROR(LOOKUP(2,1/('DRAFT 2'!$D:$D=$B177)*('DRAFT 2'!$A:$A&gt;=DATE(2026,9,1))*('DRAFT 2'!$A:$A&lt;DATE(2026,IF(9=12,9+1,9+1),1)),'DRAFT 2'!$A:$A),"")</f>
        <v>0</v>
      </c>
      <c r="GY177">
        <f>COUNTIFS('DRAFT 2'!$D:$D,$B177,'DRAFT 2'!$A:$A,"&gt;="&amp;DATE(2026,9,1),'DRAFT 2'!$A:$A,"&lt;="&amp;DATE(2026,9,7))</f>
        <v>0</v>
      </c>
      <c r="GZ177">
        <f>COUNTIFS('DRAFT 2'!$D:$D,$B177,'DRAFT 2'!$A:$A,"&gt;="&amp;DATE(2026,9,8),'DRAFT 2'!$A:$A,"&lt;="&amp;DATE(2026,9,14))</f>
        <v>0</v>
      </c>
      <c r="HA177">
        <f>COUNTIFS('DRAFT 2'!$D:$D,$B177,'DRAFT 2'!$A:$A,"&gt;="&amp;DATE(2026,9,15),'DRAFT 2'!$A:$A,"&lt;="&amp;DATE(2026,9,21))</f>
        <v>0</v>
      </c>
      <c r="HB177">
        <f>COUNTIFS('DRAFT 2'!$D:$D,$B177,'DRAFT 2'!$A:$A,"&gt;="&amp;DATE(2026,9,22),'DRAFT 2'!$A:$A,"&lt;"&amp;DATE(2026,IF(9=12,9+1,9+1),1))</f>
        <v>0</v>
      </c>
      <c r="HC177">
        <f t="shared" si="80"/>
        <v>0</v>
      </c>
      <c r="HN177">
        <f>IFERROR(LOOKUP(2,1/('DRAFT 2'!$D:$D=$B177)*('DRAFT 2'!$A:$A&gt;=DATE(2026,10,1))*('DRAFT 2'!$A:$A&lt;DATE(2026,IF(10=12,10+1,10+1),1)),'DRAFT 2'!$A:$A),"")</f>
        <v>0</v>
      </c>
      <c r="HO177">
        <f>COUNTIFS('DRAFT 2'!$D:$D,$B177,'DRAFT 2'!$A:$A,"&gt;="&amp;DATE(2026,10,1),'DRAFT 2'!$A:$A,"&lt;="&amp;DATE(2026,10,7))</f>
        <v>0</v>
      </c>
      <c r="HP177">
        <f>COUNTIFS('DRAFT 2'!$D:$D,$B177,'DRAFT 2'!$A:$A,"&gt;="&amp;DATE(2026,10,8),'DRAFT 2'!$A:$A,"&lt;="&amp;DATE(2026,10,14))</f>
        <v>0</v>
      </c>
      <c r="HQ177">
        <f>COUNTIFS('DRAFT 2'!$D:$D,$B177,'DRAFT 2'!$A:$A,"&gt;="&amp;DATE(2026,10,15),'DRAFT 2'!$A:$A,"&lt;="&amp;DATE(2026,10,21))</f>
        <v>0</v>
      </c>
      <c r="HR177">
        <f>COUNTIFS('DRAFT 2'!$D:$D,$B177,'DRAFT 2'!$A:$A,"&gt;="&amp;DATE(2026,10,22),'DRAFT 2'!$A:$A,"&lt;"&amp;DATE(2026,IF(10=12,10+1,10+1),1))</f>
        <v>0</v>
      </c>
      <c r="HS177">
        <f t="shared" si="81"/>
        <v>0</v>
      </c>
      <c r="IC177">
        <f>IFERROR(LOOKUP(2,1/('DRAFT 2'!$D:$D=$B177)*('DRAFT 2'!$A:$A&gt;=DATE(2026,11,1))*('DRAFT 2'!$A:$A&lt;DATE(2026,IF(11=12,11+1,11+1),1)),'DRAFT 2'!$A:$A),"")</f>
        <v>0</v>
      </c>
      <c r="ID177">
        <f>COUNTIFS('DRAFT 2'!$D:$D,$B177,'DRAFT 2'!$A:$A,"&gt;="&amp;DATE(2026,11,1),'DRAFT 2'!$A:$A,"&lt;="&amp;DATE(2026,11,7))</f>
        <v>0</v>
      </c>
      <c r="IE177">
        <f>COUNTIFS('DRAFT 2'!$D:$D,$B177,'DRAFT 2'!$A:$A,"&gt;="&amp;DATE(2026,11,8),'DRAFT 2'!$A:$A,"&lt;="&amp;DATE(2026,11,14))</f>
        <v>0</v>
      </c>
      <c r="IF177">
        <f>COUNTIFS('DRAFT 2'!$D:$D,$B177,'DRAFT 2'!$A:$A,"&gt;="&amp;DATE(2026,11,15),'DRAFT 2'!$A:$A,"&lt;="&amp;DATE(2026,11,21))</f>
        <v>0</v>
      </c>
      <c r="IG177">
        <f>COUNTIFS('DRAFT 2'!$D:$D,$B177,'DRAFT 2'!$A:$A,"&gt;="&amp;DATE(2026,11,22),'DRAFT 2'!$A:$A,"&lt;"&amp;DATE(2026,IF(11=12,11+1,11+1),1))</f>
        <v>0</v>
      </c>
      <c r="IH177">
        <f t="shared" si="82"/>
        <v>0</v>
      </c>
      <c r="IR177">
        <f>IFERROR(LOOKUP(2,1/('DRAFT 2'!$D:$D=$B177)*('DRAFT 2'!$A:$A&gt;=DATE(2026,12,1))*('DRAFT 2'!$A:$A&lt;DATE(2026,IF(12=12,12+1,12+1),1)),'DRAFT 2'!$A:$A),"")</f>
        <v>0</v>
      </c>
      <c r="IS177">
        <f>COUNTIFS('DRAFT 2'!$D:$D,$B177,'DRAFT 2'!$A:$A,"&gt;="&amp;DATE(2026,12,1),'DRAFT 2'!$A:$A,"&lt;="&amp;DATE(2026,12,7))</f>
        <v>0</v>
      </c>
      <c r="IT177">
        <f>COUNTIFS('DRAFT 2'!$D:$D,$B177,'DRAFT 2'!$A:$A,"&gt;="&amp;DATE(2026,12,8),'DRAFT 2'!$A:$A,"&lt;="&amp;DATE(2026,12,14))</f>
        <v>0</v>
      </c>
      <c r="IU177">
        <f>COUNTIFS('DRAFT 2'!$D:$D,$B177,'DRAFT 2'!$A:$A,"&gt;="&amp;DATE(2026,12,15),'DRAFT 2'!$A:$A,"&lt;="&amp;DATE(2026,12,21))</f>
        <v>0</v>
      </c>
      <c r="IV177">
        <f>COUNTIFS('DRAFT 2'!$D:$D,$B177,'DRAFT 2'!$A:$A,"&gt;="&amp;DATE(2026,12,22),'DRAFT 2'!$A:$A,"&lt;"&amp;DATE(2026,IF(12=12,12+1,12+1),1))</f>
        <v>0</v>
      </c>
      <c r="IW177">
        <f t="shared" si="83"/>
        <v>0</v>
      </c>
    </row>
    <row r="178" spans="1:257" x14ac:dyDescent="0.3">
      <c r="A178" t="str">
        <f>IFERROR(INDEX('DRAFT 1'!$A:$A,MATCH($B178,'DRAFT 1'!$B:$B,0)),"")</f>
        <v/>
      </c>
      <c r="C178" t="str">
        <f>IFERROR(INDEX('DRAFT 1'!$C:$C,MATCH($B178,'DRAFT 1'!$B:$B,0)),"")</f>
        <v/>
      </c>
      <c r="D178" t="str">
        <f>IFERROR(INDEX('DRAFT 1'!$D:$D,MATCH($B178,'DRAFT 1'!$B:$B,0)),"")</f>
        <v/>
      </c>
      <c r="E178" t="str">
        <f>IFERROR(INDEX('DRAFT 1'!$E:$E,MATCH($B178,'DRAFT 1'!$B:$B,0)),"")</f>
        <v/>
      </c>
      <c r="F178" t="str">
        <f>IFERROR(INDEX('DRAFT 1'!$F:$F,MATCH($B178,'DRAFT 1'!$B:$B,0)),"")</f>
        <v/>
      </c>
      <c r="G178" t="str">
        <f>IFERROR(INDEX('DRAFT 1'!$G:$G,MATCH($B178,'DRAFT 1'!$B:$B,0)),"")</f>
        <v/>
      </c>
      <c r="H178" t="str">
        <f>IFERROR(INDEX('DRAFT 1'!$H:$H,MATCH($B178,'DRAFT 1'!$B:$B,0)),"")</f>
        <v/>
      </c>
      <c r="I178" t="str">
        <f>IFERROR(INDEX('DRAFT 1'!$I:$I,MATCH($B178,'DRAFT 1'!$B:$B,0)),"")</f>
        <v/>
      </c>
      <c r="K178" t="str">
        <f>IFERROR(INDEX('DRAFT 1'!$AL:$AL,MATCH($B178,'DRAFT 1'!$B:$B,0)),"")</f>
        <v/>
      </c>
      <c r="L178" t="str">
        <f>IFERROR(INDEX('DRAFT 1'!$J:$J,MATCH($B178,'DRAFT 1'!$B:$B,0)),"")</f>
        <v/>
      </c>
      <c r="M178" t="str">
        <f>IFERROR(INDEX('DRAFT 1'!$K:$K,MATCH($B178,'DRAFT 1'!$B:$B,0)),"")</f>
        <v/>
      </c>
      <c r="P178" t="str">
        <f>IFERROR(INDEX('DRAFT 1'!$L:$L,MATCH($B178,'DRAFT 1'!$B:$B,0)),"")</f>
        <v/>
      </c>
      <c r="Q178" t="str">
        <f>IFERROR(INDEX('DRAFT 1'!$M:$M,MATCH($B178,'DRAFT 1'!$B:$B,0)),"")</f>
        <v/>
      </c>
      <c r="R178" t="str">
        <f>IFERROR(INDEX('DRAFT 1'!$N:$N,MATCH($B178,'DRAFT 1'!$B:$B,0)),"")</f>
        <v/>
      </c>
      <c r="S178" t="str">
        <f>IFERROR(INDEX('DRAFT 1'!$O:$O,MATCH($B178,'DRAFT 1'!$B:$B,0)),"")</f>
        <v/>
      </c>
      <c r="T178" t="str">
        <f>IFERROR(INDEX('DRAFT 1'!$P:$P,MATCH($B178,'DRAFT 1'!$B:$B,0)),"")</f>
        <v/>
      </c>
      <c r="U178" t="str">
        <f>IFERROR(INDEX('DRAFT 1'!$Q:$Q,MATCH($B178,'DRAFT 1'!$B:$B,0)),"")</f>
        <v/>
      </c>
      <c r="V178" t="str">
        <f>IFERROR(INDEX('DRAFT 1'!$R:$R,MATCH($B178,'DRAFT 1'!$B:$B,0)),"")</f>
        <v/>
      </c>
      <c r="W178" t="str">
        <f>IFERROR(INDEX('DRAFT 1'!$S:$S,MATCH($B178,'DRAFT 1'!$B:$B,0)),"")</f>
        <v/>
      </c>
      <c r="X178" t="str">
        <f>IFERROR(INDEX('DRAFT 1'!$T:$T,MATCH($B178,'DRAFT 1'!$B:$B,0)),"")</f>
        <v/>
      </c>
      <c r="Z178" t="str">
        <f>IFERROR(INDEX('DRAFT 1'!$U:$U,MATCH($B178,'DRAFT 1'!$B:$B,0)),"")</f>
        <v/>
      </c>
      <c r="AA178" t="str">
        <f>IFERROR(INDEX('DRAFT 1'!$V:$V,MATCH($B178,'DRAFT 1'!$B:$B,0)),"")</f>
        <v/>
      </c>
      <c r="AB178" t="str">
        <f>IFERROR(INDEX('DRAFT 1'!$W:$W,MATCH($B178,'DRAFT 1'!$B:$B,0)),"")</f>
        <v/>
      </c>
      <c r="AC178" t="str">
        <f>IFERROR(INDEX('DRAFT 1'!$X:$X,MATCH($B178,'DRAFT 1'!$B:$B,0)),"")</f>
        <v/>
      </c>
      <c r="AD178" t="str">
        <f>IFERROR(INDEX('DRAFT 1'!$Y:$Y,MATCH($B178,'DRAFT 1'!$B:$B,0)),"")</f>
        <v/>
      </c>
      <c r="AE178" t="str">
        <f>IFERROR(INDEX('DRAFT 1'!$Z:$Z,MATCH($B178,'DRAFT 1'!$B:$B,0)),"")</f>
        <v/>
      </c>
      <c r="AF178" t="str">
        <f>IFERROR(INDEX('DRAFT 1'!$AA:$AA,MATCH($B178,'DRAFT 1'!$B:$B,0)),"")</f>
        <v/>
      </c>
      <c r="AG178" t="str">
        <f>IFERROR(INDEX('DRAFT 1'!$AB:$AB,MATCH($B178,'DRAFT 1'!$B:$B,0)),"")</f>
        <v/>
      </c>
      <c r="AH178" t="str">
        <f>IFERROR(INDEX('DRAFT 1'!$AC:$AC,MATCH($B178,'DRAFT 1'!$B:$B,0)),"")</f>
        <v/>
      </c>
      <c r="AI178" t="str">
        <f>IFERROR(INDEX('DRAFT 1'!$AD:$AD,MATCH($B178,'DRAFT 1'!$B:$B,0)),"")</f>
        <v/>
      </c>
      <c r="AJ178" t="str">
        <f>IFERROR(INDEX('DRAFT 1'!$AE:$AE,MATCH($B178,'DRAFT 1'!$B:$B,0)),"")</f>
        <v/>
      </c>
      <c r="AK178" t="str">
        <f>IFERROR(INDEX('DRAFT 1'!$AG:$AG,MATCH($B178,'DRAFT 1'!$B:$B,0)),"")</f>
        <v/>
      </c>
      <c r="AL178" t="str">
        <f>IFERROR(INDEX('DRAFT 1'!$AH:$AH,MATCH($B178,'DRAFT 1'!$B:$B,0)),"")</f>
        <v/>
      </c>
      <c r="AM178" t="str">
        <f>IFERROR(INDEX('DRAFT 1'!$AI:$AI,MATCH($B178,'DRAFT 1'!$B:$B,0)),"")</f>
        <v/>
      </c>
      <c r="AN178" t="str">
        <f>IFERROR(INDEX('DRAFT 1'!$AJ:$AJ,MATCH($B178,'DRAFT 1'!$B:$B,0)),"")</f>
        <v/>
      </c>
      <c r="AO178">
        <f t="shared" si="70"/>
        <v>0</v>
      </c>
      <c r="AP178" t="str">
        <f>IFERROR(INDEX('DRAFT 1'!$AK:$AK,MATCH($B178,'DRAFT 1'!$B:$B,0)),"")</f>
        <v/>
      </c>
      <c r="AR178">
        <f>IFERROR(LOOKUP(2,1/('DRAFT 2'!$D:$D=$B178),'DRAFT 2'!$I:$I),"")</f>
        <v>0</v>
      </c>
      <c r="AS178">
        <f>IFERROR(LOOKUP(2,1/('DRAFT 2'!$D:$D=$B178),'DRAFT 2'!$T:$T),"")</f>
        <v>0</v>
      </c>
      <c r="AT178">
        <f>IFERROR(LOOKUP(2,1/('DRAFT 2'!$D:$D=$B178),'DRAFT 2'!$A:$A),"")</f>
        <v>0</v>
      </c>
      <c r="AU178">
        <f>IFERROR(LOOKUP(2,1/('DRAFT 2'!$D:$D=$B178),'DRAFT 2'!$R:$R),"")</f>
        <v>0</v>
      </c>
      <c r="AV178">
        <f>IFERROR(LOOKUP(2,1/('DRAFT 2'!$D:$D=$B178),'DRAFT 2'!$S:$S),"")</f>
        <v>0</v>
      </c>
      <c r="AX178">
        <f>IFERROR(LOOKUP(2,1/('DRAFT 2'!$D:$D=$B178),'DRAFT 2'!$M:$M),"")</f>
        <v>0</v>
      </c>
      <c r="AY178">
        <f>IFERROR(LOOKUP(2,1/('DRAFT 2'!$D:$D=$B178),'DRAFT 2'!$K:$K),"")</f>
        <v>0</v>
      </c>
      <c r="BG178">
        <f>IFERROR(LOOKUP(2,1/('DRAFT 2'!$D:$D=$B178),'DRAFT 2'!$U:$U),"")</f>
        <v>0</v>
      </c>
      <c r="BH178">
        <f>IFERROR(LOOKUP(2,1/('DRAFT 2'!$D:$D=$B178),'DRAFT 2'!$V:$V),"")</f>
        <v>0</v>
      </c>
      <c r="CE178" t="str">
        <f t="shared" si="71"/>
        <v/>
      </c>
      <c r="CF178">
        <f>IFERROR(LOOKUP(2,1/('DRAFT 2'!$D:$D=$B178)*('DRAFT 2'!$A:$A&gt;=DATE(2026,1,1))*('DRAFT 2'!$A:$A&lt;DATE(2026,IF(1=12,1+1,1+1),1)),'DRAFT 2'!$A:$A),"")</f>
        <v>0</v>
      </c>
      <c r="CG178">
        <f>COUNTIFS('DRAFT 2'!$D:$D,$B178,'DRAFT 2'!$A:$A,"&gt;="&amp;DATE(2026,1,1),'DRAFT 2'!$A:$A,"&lt;="&amp;DATE(2026,1,7))</f>
        <v>0</v>
      </c>
      <c r="CH178">
        <f>COUNTIFS('DRAFT 2'!$D:$D,$B178,'DRAFT 2'!$A:$A,"&gt;="&amp;DATE(2026,1,8),'DRAFT 2'!$A:$A,"&lt;="&amp;DATE(2026,1,14))</f>
        <v>0</v>
      </c>
      <c r="CI178">
        <f>COUNTIFS('DRAFT 2'!$D:$D,$B178,'DRAFT 2'!$A:$A,"&gt;="&amp;DATE(2026,1,15),'DRAFT 2'!$A:$A,"&lt;="&amp;DATE(2026,1,21))</f>
        <v>0</v>
      </c>
      <c r="CJ178">
        <f>COUNTIFS('DRAFT 2'!$D:$D,$B178,'DRAFT 2'!$A:$A,"&gt;="&amp;DATE(2026,1,22),'DRAFT 2'!$A:$A,"&lt;"&amp;DATE(2026,IF(1=12,1+1,1+1),1))</f>
        <v>0</v>
      </c>
      <c r="CK178">
        <f t="shared" si="72"/>
        <v>0</v>
      </c>
      <c r="CT178">
        <v>0</v>
      </c>
      <c r="CU178">
        <f>IFERROR(LOOKUP(2,1/('DRAFT 2'!$D:$D=$B178)*('DRAFT 2'!$A:$A&gt;=DATE(2026,2,1))*('DRAFT 2'!$A:$A&lt;DATE(2026,IF(2=12,2+1,2+1),1)),'DRAFT 2'!$A:$A),"")</f>
        <v>0</v>
      </c>
      <c r="CV178">
        <f>COUNTIFS('DRAFT 2'!$D:$D,$B178,'DRAFT 2'!$A:$A,"&gt;="&amp;DATE(2026,2,1),'DRAFT 2'!$A:$A,"&lt;="&amp;DATE(2026,2,7))</f>
        <v>0</v>
      </c>
      <c r="CW178">
        <f>COUNTIFS('DRAFT 2'!$D:$D,$B178,'DRAFT 2'!$A:$A,"&gt;="&amp;DATE(2026,2,8),'DRAFT 2'!$A:$A,"&lt;="&amp;DATE(2026,2,14))</f>
        <v>0</v>
      </c>
      <c r="CX178">
        <f>COUNTIFS('DRAFT 2'!$D:$D,$B178,'DRAFT 2'!$A:$A,"&gt;="&amp;DATE(2026,2,15),'DRAFT 2'!$A:$A,"&lt;="&amp;DATE(2026,2,21))</f>
        <v>0</v>
      </c>
      <c r="CY178">
        <f>COUNTIFS('DRAFT 2'!$D:$D,$B178,'DRAFT 2'!$A:$A,"&gt;="&amp;DATE(2026,2,22),'DRAFT 2'!$A:$A,"&lt;"&amp;DATE(2026,IF(2=12,2+1,2+1),1))</f>
        <v>0</v>
      </c>
      <c r="CZ178">
        <f t="shared" si="73"/>
        <v>0</v>
      </c>
      <c r="DJ178">
        <f>IFERROR(LOOKUP(2,1/('DRAFT 2'!$D:$D=$B178)*('DRAFT 2'!$A:$A&gt;=DATE(2026,3,1))*('DRAFT 2'!$A:$A&lt;DATE(2026,IF(3=12,3+1,3+1),1)),'DRAFT 2'!$A:$A),"")</f>
        <v>0</v>
      </c>
      <c r="DK178">
        <f>COUNTIFS('DRAFT 2'!$D:$D,$B178,'DRAFT 2'!$A:$A,"&gt;="&amp;DATE(2026,3,1),'DRAFT 2'!$A:$A,"&lt;="&amp;DATE(2026,3,7))</f>
        <v>0</v>
      </c>
      <c r="DL178">
        <f>COUNTIFS('DRAFT 2'!$D:$D,$B178,'DRAFT 2'!$A:$A,"&gt;="&amp;DATE(2026,3,8),'DRAFT 2'!$A:$A,"&lt;="&amp;DATE(2026,3,14))</f>
        <v>0</v>
      </c>
      <c r="DM178">
        <f>COUNTIFS('DRAFT 2'!$D:$D,$B178,'DRAFT 2'!$A:$A,"&gt;="&amp;DATE(2026,3,15),'DRAFT 2'!$A:$A,"&lt;="&amp;DATE(2026,3,21))</f>
        <v>0</v>
      </c>
      <c r="DN178">
        <f>COUNTIFS('DRAFT 2'!$D:$D,$B178,'DRAFT 2'!$A:$A,"&gt;="&amp;DATE(2026,3,22),'DRAFT 2'!$A:$A,"&lt;"&amp;DATE(2026,IF(3=12,3+1,3+1),1))</f>
        <v>0</v>
      </c>
      <c r="DO178">
        <f t="shared" si="74"/>
        <v>0</v>
      </c>
      <c r="DZ178">
        <f>IFERROR(LOOKUP(2,1/('DRAFT 2'!$D:$D=$B178)*('DRAFT 2'!$A:$A&gt;=DATE(2026,4,1))*('DRAFT 2'!$A:$A&lt;DATE(2026,IF(4=12,4+1,4+1),1)),'DRAFT 2'!$A:$A),"")</f>
        <v>0</v>
      </c>
      <c r="EA178">
        <f>COUNTIFS('DRAFT 2'!$D:$D,$B178,'DRAFT 2'!$A:$A,"&gt;="&amp;DATE(2026,4,1),'DRAFT 2'!$A:$A,"&lt;="&amp;DATE(2026,4,7))</f>
        <v>0</v>
      </c>
      <c r="EB178">
        <f>COUNTIFS('DRAFT 2'!$D:$D,$B178,'DRAFT 2'!$A:$A,"&gt;="&amp;DATE(2026,4,8),'DRAFT 2'!$A:$A,"&lt;="&amp;DATE(2026,4,14))</f>
        <v>0</v>
      </c>
      <c r="EC178">
        <f>COUNTIFS('DRAFT 2'!$D:$D,$B178,'DRAFT 2'!$A:$A,"&gt;="&amp;DATE(2026,4,15),'DRAFT 2'!$A:$A,"&lt;="&amp;DATE(2026,4,21))</f>
        <v>0</v>
      </c>
      <c r="ED178">
        <f>COUNTIFS('DRAFT 2'!$D:$D,$B178,'DRAFT 2'!$A:$A,"&gt;="&amp;DATE(2026,4,22),'DRAFT 2'!$A:$A,"&lt;"&amp;DATE(2026,IF(4=12,4+1,4+1),1))</f>
        <v>0</v>
      </c>
      <c r="EE178">
        <f t="shared" si="75"/>
        <v>0</v>
      </c>
      <c r="EO178">
        <f>IFERROR(LOOKUP(2,1/('DRAFT 2'!$D:$D=$B178)*('DRAFT 2'!$A:$A&gt;=DATE(2026,5,1))*('DRAFT 2'!$A:$A&lt;DATE(2026,IF(5=12,5+1,5+1),1)),'DRAFT 2'!$A:$A),"")</f>
        <v>0</v>
      </c>
      <c r="EP178">
        <f>COUNTIFS('DRAFT 2'!$D:$D,$B178,'DRAFT 2'!$A:$A,"&gt;="&amp;DATE(2026,5,1),'DRAFT 2'!$A:$A,"&lt;="&amp;DATE(2026,5,7))</f>
        <v>0</v>
      </c>
      <c r="EQ178">
        <f>COUNTIFS('DRAFT 2'!$D:$D,$B178,'DRAFT 2'!$A:$A,"&gt;="&amp;DATE(2026,5,8),'DRAFT 2'!$A:$A,"&lt;="&amp;DATE(2026,5,14))</f>
        <v>0</v>
      </c>
      <c r="ER178">
        <f>COUNTIFS('DRAFT 2'!$D:$D,$B178,'DRAFT 2'!$A:$A,"&gt;="&amp;DATE(2026,5,15),'DRAFT 2'!$A:$A,"&lt;="&amp;DATE(2026,5,21))</f>
        <v>0</v>
      </c>
      <c r="ES178">
        <f>COUNTIFS('DRAFT 2'!$D:$D,$B178,'DRAFT 2'!$A:$A,"&gt;="&amp;DATE(2026,5,22),'DRAFT 2'!$A:$A,"&lt;"&amp;DATE(2026,IF(5=12,5+1,5+1),1))</f>
        <v>0</v>
      </c>
      <c r="ET178">
        <f t="shared" si="76"/>
        <v>0</v>
      </c>
      <c r="FD178">
        <f>IFERROR(LOOKUP(2,1/('DRAFT 2'!$D:$D=$B178)*('DRAFT 2'!$A:$A&gt;=DATE(2026,6,1))*('DRAFT 2'!$A:$A&lt;DATE(2026,IF(6=12,6+1,6+1),1)),'DRAFT 2'!$A:$A),"")</f>
        <v>0</v>
      </c>
      <c r="FE178">
        <f>COUNTIFS('DRAFT 2'!$D:$D,$B178,'DRAFT 2'!$A:$A,"&gt;="&amp;DATE(2026,6,1),'DRAFT 2'!$A:$A,"&lt;="&amp;DATE(2026,6,7))</f>
        <v>0</v>
      </c>
      <c r="FF178">
        <f>COUNTIFS('DRAFT 2'!$D:$D,$B178,'DRAFT 2'!$A:$A,"&gt;="&amp;DATE(2026,6,8),'DRAFT 2'!$A:$A,"&lt;="&amp;DATE(2026,6,14))</f>
        <v>0</v>
      </c>
      <c r="FG178">
        <f>COUNTIFS('DRAFT 2'!$D:$D,$B178,'DRAFT 2'!$A:$A,"&gt;="&amp;DATE(2026,6,15),'DRAFT 2'!$A:$A,"&lt;="&amp;DATE(2026,6,21))</f>
        <v>0</v>
      </c>
      <c r="FH178">
        <f>COUNTIFS('DRAFT 2'!$D:$D,$B178,'DRAFT 2'!$A:$A,"&gt;="&amp;DATE(2026,6,22),'DRAFT 2'!$A:$A,"&lt;"&amp;DATE(2026,IF(6=12,6+1,6+1),1))</f>
        <v>0</v>
      </c>
      <c r="FI178">
        <f t="shared" si="77"/>
        <v>0</v>
      </c>
      <c r="FT178">
        <f>IFERROR(LOOKUP(2,1/('DRAFT 2'!$D:$D=$B178)*('DRAFT 2'!$A:$A&gt;=DATE(2026,7,1))*('DRAFT 2'!$A:$A&lt;DATE(2026,IF(7=12,7+1,7+1),1)),'DRAFT 2'!$A:$A),"")</f>
        <v>0</v>
      </c>
      <c r="FU178">
        <f>COUNTIFS('DRAFT 2'!$D:$D,$B178,'DRAFT 2'!$A:$A,"&gt;="&amp;DATE(2026,7,1),'DRAFT 2'!$A:$A,"&lt;="&amp;DATE(2026,7,7))</f>
        <v>0</v>
      </c>
      <c r="FV178">
        <f>COUNTIFS('DRAFT 2'!$D:$D,$B178,'DRAFT 2'!$A:$A,"&gt;="&amp;DATE(2026,7,8),'DRAFT 2'!$A:$A,"&lt;="&amp;DATE(2026,7,14))</f>
        <v>0</v>
      </c>
      <c r="FW178">
        <f>COUNTIFS('DRAFT 2'!$D:$D,$B178,'DRAFT 2'!$A:$A,"&gt;="&amp;DATE(2026,7,15),'DRAFT 2'!$A:$A,"&lt;="&amp;DATE(2026,7,21))</f>
        <v>0</v>
      </c>
      <c r="FX178">
        <f>COUNTIFS('DRAFT 2'!$D:$D,$B178,'DRAFT 2'!$A:$A,"&gt;="&amp;DATE(2026,7,22),'DRAFT 2'!$A:$A,"&lt;"&amp;DATE(2026,IF(7=12,7+1,7+1),1))</f>
        <v>0</v>
      </c>
      <c r="FY178">
        <f t="shared" si="78"/>
        <v>0</v>
      </c>
      <c r="GI178">
        <f>IFERROR(LOOKUP(2,1/('DRAFT 2'!$D:$D=$B178)*('DRAFT 2'!$A:$A&gt;=DATE(2026,8,1))*('DRAFT 2'!$A:$A&lt;DATE(2026,IF(8=12,8+1,8+1),1)),'DRAFT 2'!$A:$A),"")</f>
        <v>0</v>
      </c>
      <c r="GJ178">
        <f>COUNTIFS('DRAFT 2'!$D:$D,$B178,'DRAFT 2'!$A:$A,"&gt;="&amp;DATE(2026,8,1),'DRAFT 2'!$A:$A,"&lt;="&amp;DATE(2026,8,7))</f>
        <v>0</v>
      </c>
      <c r="GK178">
        <f>COUNTIFS('DRAFT 2'!$D:$D,$B178,'DRAFT 2'!$A:$A,"&gt;="&amp;DATE(2026,8,8),'DRAFT 2'!$A:$A,"&lt;="&amp;DATE(2026,8,14))</f>
        <v>0</v>
      </c>
      <c r="GL178">
        <f>COUNTIFS('DRAFT 2'!$D:$D,$B178,'DRAFT 2'!$A:$A,"&gt;="&amp;DATE(2026,8,15),'DRAFT 2'!$A:$A,"&lt;="&amp;DATE(2026,8,21))</f>
        <v>0</v>
      </c>
      <c r="GM178">
        <f>COUNTIFS('DRAFT 2'!$D:$D,$B178,'DRAFT 2'!$A:$A,"&gt;="&amp;DATE(2026,8,22),'DRAFT 2'!$A:$A,"&lt;"&amp;DATE(2026,IF(8=12,8+1,8+1),1))</f>
        <v>0</v>
      </c>
      <c r="GN178">
        <f t="shared" si="79"/>
        <v>0</v>
      </c>
      <c r="GX178">
        <f>IFERROR(LOOKUP(2,1/('DRAFT 2'!$D:$D=$B178)*('DRAFT 2'!$A:$A&gt;=DATE(2026,9,1))*('DRAFT 2'!$A:$A&lt;DATE(2026,IF(9=12,9+1,9+1),1)),'DRAFT 2'!$A:$A),"")</f>
        <v>0</v>
      </c>
      <c r="GY178">
        <f>COUNTIFS('DRAFT 2'!$D:$D,$B178,'DRAFT 2'!$A:$A,"&gt;="&amp;DATE(2026,9,1),'DRAFT 2'!$A:$A,"&lt;="&amp;DATE(2026,9,7))</f>
        <v>0</v>
      </c>
      <c r="GZ178">
        <f>COUNTIFS('DRAFT 2'!$D:$D,$B178,'DRAFT 2'!$A:$A,"&gt;="&amp;DATE(2026,9,8),'DRAFT 2'!$A:$A,"&lt;="&amp;DATE(2026,9,14))</f>
        <v>0</v>
      </c>
      <c r="HA178">
        <f>COUNTIFS('DRAFT 2'!$D:$D,$B178,'DRAFT 2'!$A:$A,"&gt;="&amp;DATE(2026,9,15),'DRAFT 2'!$A:$A,"&lt;="&amp;DATE(2026,9,21))</f>
        <v>0</v>
      </c>
      <c r="HB178">
        <f>COUNTIFS('DRAFT 2'!$D:$D,$B178,'DRAFT 2'!$A:$A,"&gt;="&amp;DATE(2026,9,22),'DRAFT 2'!$A:$A,"&lt;"&amp;DATE(2026,IF(9=12,9+1,9+1),1))</f>
        <v>0</v>
      </c>
      <c r="HC178">
        <f t="shared" si="80"/>
        <v>0</v>
      </c>
      <c r="HN178">
        <f>IFERROR(LOOKUP(2,1/('DRAFT 2'!$D:$D=$B178)*('DRAFT 2'!$A:$A&gt;=DATE(2026,10,1))*('DRAFT 2'!$A:$A&lt;DATE(2026,IF(10=12,10+1,10+1),1)),'DRAFT 2'!$A:$A),"")</f>
        <v>0</v>
      </c>
      <c r="HO178">
        <f>COUNTIFS('DRAFT 2'!$D:$D,$B178,'DRAFT 2'!$A:$A,"&gt;="&amp;DATE(2026,10,1),'DRAFT 2'!$A:$A,"&lt;="&amp;DATE(2026,10,7))</f>
        <v>0</v>
      </c>
      <c r="HP178">
        <f>COUNTIFS('DRAFT 2'!$D:$D,$B178,'DRAFT 2'!$A:$A,"&gt;="&amp;DATE(2026,10,8),'DRAFT 2'!$A:$A,"&lt;="&amp;DATE(2026,10,14))</f>
        <v>0</v>
      </c>
      <c r="HQ178">
        <f>COUNTIFS('DRAFT 2'!$D:$D,$B178,'DRAFT 2'!$A:$A,"&gt;="&amp;DATE(2026,10,15),'DRAFT 2'!$A:$A,"&lt;="&amp;DATE(2026,10,21))</f>
        <v>0</v>
      </c>
      <c r="HR178">
        <f>COUNTIFS('DRAFT 2'!$D:$D,$B178,'DRAFT 2'!$A:$A,"&gt;="&amp;DATE(2026,10,22),'DRAFT 2'!$A:$A,"&lt;"&amp;DATE(2026,IF(10=12,10+1,10+1),1))</f>
        <v>0</v>
      </c>
      <c r="HS178">
        <f t="shared" si="81"/>
        <v>0</v>
      </c>
      <c r="IC178">
        <f>IFERROR(LOOKUP(2,1/('DRAFT 2'!$D:$D=$B178)*('DRAFT 2'!$A:$A&gt;=DATE(2026,11,1))*('DRAFT 2'!$A:$A&lt;DATE(2026,IF(11=12,11+1,11+1),1)),'DRAFT 2'!$A:$A),"")</f>
        <v>0</v>
      </c>
      <c r="ID178">
        <f>COUNTIFS('DRAFT 2'!$D:$D,$B178,'DRAFT 2'!$A:$A,"&gt;="&amp;DATE(2026,11,1),'DRAFT 2'!$A:$A,"&lt;="&amp;DATE(2026,11,7))</f>
        <v>0</v>
      </c>
      <c r="IE178">
        <f>COUNTIFS('DRAFT 2'!$D:$D,$B178,'DRAFT 2'!$A:$A,"&gt;="&amp;DATE(2026,11,8),'DRAFT 2'!$A:$A,"&lt;="&amp;DATE(2026,11,14))</f>
        <v>0</v>
      </c>
      <c r="IF178">
        <f>COUNTIFS('DRAFT 2'!$D:$D,$B178,'DRAFT 2'!$A:$A,"&gt;="&amp;DATE(2026,11,15),'DRAFT 2'!$A:$A,"&lt;="&amp;DATE(2026,11,21))</f>
        <v>0</v>
      </c>
      <c r="IG178">
        <f>COUNTIFS('DRAFT 2'!$D:$D,$B178,'DRAFT 2'!$A:$A,"&gt;="&amp;DATE(2026,11,22),'DRAFT 2'!$A:$A,"&lt;"&amp;DATE(2026,IF(11=12,11+1,11+1),1))</f>
        <v>0</v>
      </c>
      <c r="IH178">
        <f t="shared" si="82"/>
        <v>0</v>
      </c>
      <c r="IR178">
        <f>IFERROR(LOOKUP(2,1/('DRAFT 2'!$D:$D=$B178)*('DRAFT 2'!$A:$A&gt;=DATE(2026,12,1))*('DRAFT 2'!$A:$A&lt;DATE(2026,IF(12=12,12+1,12+1),1)),'DRAFT 2'!$A:$A),"")</f>
        <v>0</v>
      </c>
      <c r="IS178">
        <f>COUNTIFS('DRAFT 2'!$D:$D,$B178,'DRAFT 2'!$A:$A,"&gt;="&amp;DATE(2026,12,1),'DRAFT 2'!$A:$A,"&lt;="&amp;DATE(2026,12,7))</f>
        <v>0</v>
      </c>
      <c r="IT178">
        <f>COUNTIFS('DRAFT 2'!$D:$D,$B178,'DRAFT 2'!$A:$A,"&gt;="&amp;DATE(2026,12,8),'DRAFT 2'!$A:$A,"&lt;="&amp;DATE(2026,12,14))</f>
        <v>0</v>
      </c>
      <c r="IU178">
        <f>COUNTIFS('DRAFT 2'!$D:$D,$B178,'DRAFT 2'!$A:$A,"&gt;="&amp;DATE(2026,12,15),'DRAFT 2'!$A:$A,"&lt;="&amp;DATE(2026,12,21))</f>
        <v>0</v>
      </c>
      <c r="IV178">
        <f>COUNTIFS('DRAFT 2'!$D:$D,$B178,'DRAFT 2'!$A:$A,"&gt;="&amp;DATE(2026,12,22),'DRAFT 2'!$A:$A,"&lt;"&amp;DATE(2026,IF(12=12,12+1,12+1),1))</f>
        <v>0</v>
      </c>
      <c r="IW178">
        <f t="shared" si="83"/>
        <v>0</v>
      </c>
    </row>
    <row r="179" spans="1:257" x14ac:dyDescent="0.3">
      <c r="A179" t="str">
        <f>IFERROR(INDEX('DRAFT 1'!$A:$A,MATCH($B179,'DRAFT 1'!$B:$B,0)),"")</f>
        <v/>
      </c>
      <c r="C179" t="str">
        <f>IFERROR(INDEX('DRAFT 1'!$C:$C,MATCH($B179,'DRAFT 1'!$B:$B,0)),"")</f>
        <v/>
      </c>
      <c r="D179" t="str">
        <f>IFERROR(INDEX('DRAFT 1'!$D:$D,MATCH($B179,'DRAFT 1'!$B:$B,0)),"")</f>
        <v/>
      </c>
      <c r="E179" t="str">
        <f>IFERROR(INDEX('DRAFT 1'!$E:$E,MATCH($B179,'DRAFT 1'!$B:$B,0)),"")</f>
        <v/>
      </c>
      <c r="F179" t="str">
        <f>IFERROR(INDEX('DRAFT 1'!$F:$F,MATCH($B179,'DRAFT 1'!$B:$B,0)),"")</f>
        <v/>
      </c>
      <c r="G179" t="str">
        <f>IFERROR(INDEX('DRAFT 1'!$G:$G,MATCH($B179,'DRAFT 1'!$B:$B,0)),"")</f>
        <v/>
      </c>
      <c r="H179" t="str">
        <f>IFERROR(INDEX('DRAFT 1'!$H:$H,MATCH($B179,'DRAFT 1'!$B:$B,0)),"")</f>
        <v/>
      </c>
      <c r="I179" t="str">
        <f>IFERROR(INDEX('DRAFT 1'!$I:$I,MATCH($B179,'DRAFT 1'!$B:$B,0)),"")</f>
        <v/>
      </c>
      <c r="K179" t="str">
        <f>IFERROR(INDEX('DRAFT 1'!$AL:$AL,MATCH($B179,'DRAFT 1'!$B:$B,0)),"")</f>
        <v/>
      </c>
      <c r="L179" t="str">
        <f>IFERROR(INDEX('DRAFT 1'!$J:$J,MATCH($B179,'DRAFT 1'!$B:$B,0)),"")</f>
        <v/>
      </c>
      <c r="M179" t="str">
        <f>IFERROR(INDEX('DRAFT 1'!$K:$K,MATCH($B179,'DRAFT 1'!$B:$B,0)),"")</f>
        <v/>
      </c>
      <c r="P179" t="str">
        <f>IFERROR(INDEX('DRAFT 1'!$L:$L,MATCH($B179,'DRAFT 1'!$B:$B,0)),"")</f>
        <v/>
      </c>
      <c r="Q179" t="str">
        <f>IFERROR(INDEX('DRAFT 1'!$M:$M,MATCH($B179,'DRAFT 1'!$B:$B,0)),"")</f>
        <v/>
      </c>
      <c r="R179" t="str">
        <f>IFERROR(INDEX('DRAFT 1'!$N:$N,MATCH($B179,'DRAFT 1'!$B:$B,0)),"")</f>
        <v/>
      </c>
      <c r="S179" t="str">
        <f>IFERROR(INDEX('DRAFT 1'!$O:$O,MATCH($B179,'DRAFT 1'!$B:$B,0)),"")</f>
        <v/>
      </c>
      <c r="T179" t="str">
        <f>IFERROR(INDEX('DRAFT 1'!$P:$P,MATCH($B179,'DRAFT 1'!$B:$B,0)),"")</f>
        <v/>
      </c>
      <c r="U179" t="str">
        <f>IFERROR(INDEX('DRAFT 1'!$Q:$Q,MATCH($B179,'DRAFT 1'!$B:$B,0)),"")</f>
        <v/>
      </c>
      <c r="V179" t="str">
        <f>IFERROR(INDEX('DRAFT 1'!$R:$R,MATCH($B179,'DRAFT 1'!$B:$B,0)),"")</f>
        <v/>
      </c>
      <c r="W179" t="str">
        <f>IFERROR(INDEX('DRAFT 1'!$S:$S,MATCH($B179,'DRAFT 1'!$B:$B,0)),"")</f>
        <v/>
      </c>
      <c r="X179" t="str">
        <f>IFERROR(INDEX('DRAFT 1'!$T:$T,MATCH($B179,'DRAFT 1'!$B:$B,0)),"")</f>
        <v/>
      </c>
      <c r="Z179" t="str">
        <f>IFERROR(INDEX('DRAFT 1'!$U:$U,MATCH($B179,'DRAFT 1'!$B:$B,0)),"")</f>
        <v/>
      </c>
      <c r="AA179" t="str">
        <f>IFERROR(INDEX('DRAFT 1'!$V:$V,MATCH($B179,'DRAFT 1'!$B:$B,0)),"")</f>
        <v/>
      </c>
      <c r="AB179" t="str">
        <f>IFERROR(INDEX('DRAFT 1'!$W:$W,MATCH($B179,'DRAFT 1'!$B:$B,0)),"")</f>
        <v/>
      </c>
      <c r="AC179" t="str">
        <f>IFERROR(INDEX('DRAFT 1'!$X:$X,MATCH($B179,'DRAFT 1'!$B:$B,0)),"")</f>
        <v/>
      </c>
      <c r="AD179" t="str">
        <f>IFERROR(INDEX('DRAFT 1'!$Y:$Y,MATCH($B179,'DRAFT 1'!$B:$B,0)),"")</f>
        <v/>
      </c>
      <c r="AE179" t="str">
        <f>IFERROR(INDEX('DRAFT 1'!$Z:$Z,MATCH($B179,'DRAFT 1'!$B:$B,0)),"")</f>
        <v/>
      </c>
      <c r="AF179" t="str">
        <f>IFERROR(INDEX('DRAFT 1'!$AA:$AA,MATCH($B179,'DRAFT 1'!$B:$B,0)),"")</f>
        <v/>
      </c>
      <c r="AG179" t="str">
        <f>IFERROR(INDEX('DRAFT 1'!$AB:$AB,MATCH($B179,'DRAFT 1'!$B:$B,0)),"")</f>
        <v/>
      </c>
      <c r="AH179" t="str">
        <f>IFERROR(INDEX('DRAFT 1'!$AC:$AC,MATCH($B179,'DRAFT 1'!$B:$B,0)),"")</f>
        <v/>
      </c>
      <c r="AI179" t="str">
        <f>IFERROR(INDEX('DRAFT 1'!$AD:$AD,MATCH($B179,'DRAFT 1'!$B:$B,0)),"")</f>
        <v/>
      </c>
      <c r="AJ179" t="str">
        <f>IFERROR(INDEX('DRAFT 1'!$AE:$AE,MATCH($B179,'DRAFT 1'!$B:$B,0)),"")</f>
        <v/>
      </c>
      <c r="AK179" t="str">
        <f>IFERROR(INDEX('DRAFT 1'!$AG:$AG,MATCH($B179,'DRAFT 1'!$B:$B,0)),"")</f>
        <v/>
      </c>
      <c r="AL179" t="str">
        <f>IFERROR(INDEX('DRAFT 1'!$AH:$AH,MATCH($B179,'DRAFT 1'!$B:$B,0)),"")</f>
        <v/>
      </c>
      <c r="AM179" t="str">
        <f>IFERROR(INDEX('DRAFT 1'!$AI:$AI,MATCH($B179,'DRAFT 1'!$B:$B,0)),"")</f>
        <v/>
      </c>
      <c r="AN179" t="str">
        <f>IFERROR(INDEX('DRAFT 1'!$AJ:$AJ,MATCH($B179,'DRAFT 1'!$B:$B,0)),"")</f>
        <v/>
      </c>
      <c r="AO179">
        <f t="shared" si="70"/>
        <v>0</v>
      </c>
      <c r="AP179" t="str">
        <f>IFERROR(INDEX('DRAFT 1'!$AK:$AK,MATCH($B179,'DRAFT 1'!$B:$B,0)),"")</f>
        <v/>
      </c>
      <c r="AR179">
        <f>IFERROR(LOOKUP(2,1/('DRAFT 2'!$D:$D=$B179),'DRAFT 2'!$I:$I),"")</f>
        <v>0</v>
      </c>
      <c r="AS179">
        <f>IFERROR(LOOKUP(2,1/('DRAFT 2'!$D:$D=$B179),'DRAFT 2'!$T:$T),"")</f>
        <v>0</v>
      </c>
      <c r="AT179">
        <f>IFERROR(LOOKUP(2,1/('DRAFT 2'!$D:$D=$B179),'DRAFT 2'!$A:$A),"")</f>
        <v>0</v>
      </c>
      <c r="AU179">
        <f>IFERROR(LOOKUP(2,1/('DRAFT 2'!$D:$D=$B179),'DRAFT 2'!$R:$R),"")</f>
        <v>0</v>
      </c>
      <c r="AV179">
        <f>IFERROR(LOOKUP(2,1/('DRAFT 2'!$D:$D=$B179),'DRAFT 2'!$S:$S),"")</f>
        <v>0</v>
      </c>
      <c r="AX179">
        <f>IFERROR(LOOKUP(2,1/('DRAFT 2'!$D:$D=$B179),'DRAFT 2'!$M:$M),"")</f>
        <v>0</v>
      </c>
      <c r="AY179">
        <f>IFERROR(LOOKUP(2,1/('DRAFT 2'!$D:$D=$B179),'DRAFT 2'!$K:$K),"")</f>
        <v>0</v>
      </c>
      <c r="BG179">
        <f>IFERROR(LOOKUP(2,1/('DRAFT 2'!$D:$D=$B179),'DRAFT 2'!$U:$U),"")</f>
        <v>0</v>
      </c>
      <c r="BH179">
        <f>IFERROR(LOOKUP(2,1/('DRAFT 2'!$D:$D=$B179),'DRAFT 2'!$V:$V),"")</f>
        <v>0</v>
      </c>
      <c r="CE179" t="str">
        <f t="shared" si="71"/>
        <v/>
      </c>
      <c r="CF179">
        <f>IFERROR(LOOKUP(2,1/('DRAFT 2'!$D:$D=$B179)*('DRAFT 2'!$A:$A&gt;=DATE(2026,1,1))*('DRAFT 2'!$A:$A&lt;DATE(2026,IF(1=12,1+1,1+1),1)),'DRAFT 2'!$A:$A),"")</f>
        <v>0</v>
      </c>
      <c r="CG179">
        <f>COUNTIFS('DRAFT 2'!$D:$D,$B179,'DRAFT 2'!$A:$A,"&gt;="&amp;DATE(2026,1,1),'DRAFT 2'!$A:$A,"&lt;="&amp;DATE(2026,1,7))</f>
        <v>0</v>
      </c>
      <c r="CH179">
        <f>COUNTIFS('DRAFT 2'!$D:$D,$B179,'DRAFT 2'!$A:$A,"&gt;="&amp;DATE(2026,1,8),'DRAFT 2'!$A:$A,"&lt;="&amp;DATE(2026,1,14))</f>
        <v>0</v>
      </c>
      <c r="CI179">
        <f>COUNTIFS('DRAFT 2'!$D:$D,$B179,'DRAFT 2'!$A:$A,"&gt;="&amp;DATE(2026,1,15),'DRAFT 2'!$A:$A,"&lt;="&amp;DATE(2026,1,21))</f>
        <v>0</v>
      </c>
      <c r="CJ179">
        <f>COUNTIFS('DRAFT 2'!$D:$D,$B179,'DRAFT 2'!$A:$A,"&gt;="&amp;DATE(2026,1,22),'DRAFT 2'!$A:$A,"&lt;"&amp;DATE(2026,IF(1=12,1+1,1+1),1))</f>
        <v>0</v>
      </c>
      <c r="CK179">
        <f t="shared" si="72"/>
        <v>0</v>
      </c>
      <c r="CT179">
        <v>0</v>
      </c>
      <c r="CU179">
        <f>IFERROR(LOOKUP(2,1/('DRAFT 2'!$D:$D=$B179)*('DRAFT 2'!$A:$A&gt;=DATE(2026,2,1))*('DRAFT 2'!$A:$A&lt;DATE(2026,IF(2=12,2+1,2+1),1)),'DRAFT 2'!$A:$A),"")</f>
        <v>0</v>
      </c>
      <c r="CV179">
        <f>COUNTIFS('DRAFT 2'!$D:$D,$B179,'DRAFT 2'!$A:$A,"&gt;="&amp;DATE(2026,2,1),'DRAFT 2'!$A:$A,"&lt;="&amp;DATE(2026,2,7))</f>
        <v>0</v>
      </c>
      <c r="CW179">
        <f>COUNTIFS('DRAFT 2'!$D:$D,$B179,'DRAFT 2'!$A:$A,"&gt;="&amp;DATE(2026,2,8),'DRAFT 2'!$A:$A,"&lt;="&amp;DATE(2026,2,14))</f>
        <v>0</v>
      </c>
      <c r="CX179">
        <f>COUNTIFS('DRAFT 2'!$D:$D,$B179,'DRAFT 2'!$A:$A,"&gt;="&amp;DATE(2026,2,15),'DRAFT 2'!$A:$A,"&lt;="&amp;DATE(2026,2,21))</f>
        <v>0</v>
      </c>
      <c r="CY179">
        <f>COUNTIFS('DRAFT 2'!$D:$D,$B179,'DRAFT 2'!$A:$A,"&gt;="&amp;DATE(2026,2,22),'DRAFT 2'!$A:$A,"&lt;"&amp;DATE(2026,IF(2=12,2+1,2+1),1))</f>
        <v>0</v>
      </c>
      <c r="CZ179">
        <f t="shared" si="73"/>
        <v>0</v>
      </c>
      <c r="DJ179">
        <f>IFERROR(LOOKUP(2,1/('DRAFT 2'!$D:$D=$B179)*('DRAFT 2'!$A:$A&gt;=DATE(2026,3,1))*('DRAFT 2'!$A:$A&lt;DATE(2026,IF(3=12,3+1,3+1),1)),'DRAFT 2'!$A:$A),"")</f>
        <v>0</v>
      </c>
      <c r="DK179">
        <f>COUNTIFS('DRAFT 2'!$D:$D,$B179,'DRAFT 2'!$A:$A,"&gt;="&amp;DATE(2026,3,1),'DRAFT 2'!$A:$A,"&lt;="&amp;DATE(2026,3,7))</f>
        <v>0</v>
      </c>
      <c r="DL179">
        <f>COUNTIFS('DRAFT 2'!$D:$D,$B179,'DRAFT 2'!$A:$A,"&gt;="&amp;DATE(2026,3,8),'DRAFT 2'!$A:$A,"&lt;="&amp;DATE(2026,3,14))</f>
        <v>0</v>
      </c>
      <c r="DM179">
        <f>COUNTIFS('DRAFT 2'!$D:$D,$B179,'DRAFT 2'!$A:$A,"&gt;="&amp;DATE(2026,3,15),'DRAFT 2'!$A:$A,"&lt;="&amp;DATE(2026,3,21))</f>
        <v>0</v>
      </c>
      <c r="DN179">
        <f>COUNTIFS('DRAFT 2'!$D:$D,$B179,'DRAFT 2'!$A:$A,"&gt;="&amp;DATE(2026,3,22),'DRAFT 2'!$A:$A,"&lt;"&amp;DATE(2026,IF(3=12,3+1,3+1),1))</f>
        <v>0</v>
      </c>
      <c r="DO179">
        <f t="shared" si="74"/>
        <v>0</v>
      </c>
      <c r="DZ179">
        <f>IFERROR(LOOKUP(2,1/('DRAFT 2'!$D:$D=$B179)*('DRAFT 2'!$A:$A&gt;=DATE(2026,4,1))*('DRAFT 2'!$A:$A&lt;DATE(2026,IF(4=12,4+1,4+1),1)),'DRAFT 2'!$A:$A),"")</f>
        <v>0</v>
      </c>
      <c r="EA179">
        <f>COUNTIFS('DRAFT 2'!$D:$D,$B179,'DRAFT 2'!$A:$A,"&gt;="&amp;DATE(2026,4,1),'DRAFT 2'!$A:$A,"&lt;="&amp;DATE(2026,4,7))</f>
        <v>0</v>
      </c>
      <c r="EB179">
        <f>COUNTIFS('DRAFT 2'!$D:$D,$B179,'DRAFT 2'!$A:$A,"&gt;="&amp;DATE(2026,4,8),'DRAFT 2'!$A:$A,"&lt;="&amp;DATE(2026,4,14))</f>
        <v>0</v>
      </c>
      <c r="EC179">
        <f>COUNTIFS('DRAFT 2'!$D:$D,$B179,'DRAFT 2'!$A:$A,"&gt;="&amp;DATE(2026,4,15),'DRAFT 2'!$A:$A,"&lt;="&amp;DATE(2026,4,21))</f>
        <v>0</v>
      </c>
      <c r="ED179">
        <f>COUNTIFS('DRAFT 2'!$D:$D,$B179,'DRAFT 2'!$A:$A,"&gt;="&amp;DATE(2026,4,22),'DRAFT 2'!$A:$A,"&lt;"&amp;DATE(2026,IF(4=12,4+1,4+1),1))</f>
        <v>0</v>
      </c>
      <c r="EE179">
        <f t="shared" si="75"/>
        <v>0</v>
      </c>
      <c r="EO179">
        <f>IFERROR(LOOKUP(2,1/('DRAFT 2'!$D:$D=$B179)*('DRAFT 2'!$A:$A&gt;=DATE(2026,5,1))*('DRAFT 2'!$A:$A&lt;DATE(2026,IF(5=12,5+1,5+1),1)),'DRAFT 2'!$A:$A),"")</f>
        <v>0</v>
      </c>
      <c r="EP179">
        <f>COUNTIFS('DRAFT 2'!$D:$D,$B179,'DRAFT 2'!$A:$A,"&gt;="&amp;DATE(2026,5,1),'DRAFT 2'!$A:$A,"&lt;="&amp;DATE(2026,5,7))</f>
        <v>0</v>
      </c>
      <c r="EQ179">
        <f>COUNTIFS('DRAFT 2'!$D:$D,$B179,'DRAFT 2'!$A:$A,"&gt;="&amp;DATE(2026,5,8),'DRAFT 2'!$A:$A,"&lt;="&amp;DATE(2026,5,14))</f>
        <v>0</v>
      </c>
      <c r="ER179">
        <f>COUNTIFS('DRAFT 2'!$D:$D,$B179,'DRAFT 2'!$A:$A,"&gt;="&amp;DATE(2026,5,15),'DRAFT 2'!$A:$A,"&lt;="&amp;DATE(2026,5,21))</f>
        <v>0</v>
      </c>
      <c r="ES179">
        <f>COUNTIFS('DRAFT 2'!$D:$D,$B179,'DRAFT 2'!$A:$A,"&gt;="&amp;DATE(2026,5,22),'DRAFT 2'!$A:$A,"&lt;"&amp;DATE(2026,IF(5=12,5+1,5+1),1))</f>
        <v>0</v>
      </c>
      <c r="ET179">
        <f t="shared" si="76"/>
        <v>0</v>
      </c>
      <c r="FD179">
        <f>IFERROR(LOOKUP(2,1/('DRAFT 2'!$D:$D=$B179)*('DRAFT 2'!$A:$A&gt;=DATE(2026,6,1))*('DRAFT 2'!$A:$A&lt;DATE(2026,IF(6=12,6+1,6+1),1)),'DRAFT 2'!$A:$A),"")</f>
        <v>0</v>
      </c>
      <c r="FE179">
        <f>COUNTIFS('DRAFT 2'!$D:$D,$B179,'DRAFT 2'!$A:$A,"&gt;="&amp;DATE(2026,6,1),'DRAFT 2'!$A:$A,"&lt;="&amp;DATE(2026,6,7))</f>
        <v>0</v>
      </c>
      <c r="FF179">
        <f>COUNTIFS('DRAFT 2'!$D:$D,$B179,'DRAFT 2'!$A:$A,"&gt;="&amp;DATE(2026,6,8),'DRAFT 2'!$A:$A,"&lt;="&amp;DATE(2026,6,14))</f>
        <v>0</v>
      </c>
      <c r="FG179">
        <f>COUNTIFS('DRAFT 2'!$D:$D,$B179,'DRAFT 2'!$A:$A,"&gt;="&amp;DATE(2026,6,15),'DRAFT 2'!$A:$A,"&lt;="&amp;DATE(2026,6,21))</f>
        <v>0</v>
      </c>
      <c r="FH179">
        <f>COUNTIFS('DRAFT 2'!$D:$D,$B179,'DRAFT 2'!$A:$A,"&gt;="&amp;DATE(2026,6,22),'DRAFT 2'!$A:$A,"&lt;"&amp;DATE(2026,IF(6=12,6+1,6+1),1))</f>
        <v>0</v>
      </c>
      <c r="FI179">
        <f t="shared" si="77"/>
        <v>0</v>
      </c>
      <c r="FT179">
        <f>IFERROR(LOOKUP(2,1/('DRAFT 2'!$D:$D=$B179)*('DRAFT 2'!$A:$A&gt;=DATE(2026,7,1))*('DRAFT 2'!$A:$A&lt;DATE(2026,IF(7=12,7+1,7+1),1)),'DRAFT 2'!$A:$A),"")</f>
        <v>0</v>
      </c>
      <c r="FU179">
        <f>COUNTIFS('DRAFT 2'!$D:$D,$B179,'DRAFT 2'!$A:$A,"&gt;="&amp;DATE(2026,7,1),'DRAFT 2'!$A:$A,"&lt;="&amp;DATE(2026,7,7))</f>
        <v>0</v>
      </c>
      <c r="FV179">
        <f>COUNTIFS('DRAFT 2'!$D:$D,$B179,'DRAFT 2'!$A:$A,"&gt;="&amp;DATE(2026,7,8),'DRAFT 2'!$A:$A,"&lt;="&amp;DATE(2026,7,14))</f>
        <v>0</v>
      </c>
      <c r="FW179">
        <f>COUNTIFS('DRAFT 2'!$D:$D,$B179,'DRAFT 2'!$A:$A,"&gt;="&amp;DATE(2026,7,15),'DRAFT 2'!$A:$A,"&lt;="&amp;DATE(2026,7,21))</f>
        <v>0</v>
      </c>
      <c r="FX179">
        <f>COUNTIFS('DRAFT 2'!$D:$D,$B179,'DRAFT 2'!$A:$A,"&gt;="&amp;DATE(2026,7,22),'DRAFT 2'!$A:$A,"&lt;"&amp;DATE(2026,IF(7=12,7+1,7+1),1))</f>
        <v>0</v>
      </c>
      <c r="FY179">
        <f t="shared" si="78"/>
        <v>0</v>
      </c>
      <c r="GI179">
        <f>IFERROR(LOOKUP(2,1/('DRAFT 2'!$D:$D=$B179)*('DRAFT 2'!$A:$A&gt;=DATE(2026,8,1))*('DRAFT 2'!$A:$A&lt;DATE(2026,IF(8=12,8+1,8+1),1)),'DRAFT 2'!$A:$A),"")</f>
        <v>0</v>
      </c>
      <c r="GJ179">
        <f>COUNTIFS('DRAFT 2'!$D:$D,$B179,'DRAFT 2'!$A:$A,"&gt;="&amp;DATE(2026,8,1),'DRAFT 2'!$A:$A,"&lt;="&amp;DATE(2026,8,7))</f>
        <v>0</v>
      </c>
      <c r="GK179">
        <f>COUNTIFS('DRAFT 2'!$D:$D,$B179,'DRAFT 2'!$A:$A,"&gt;="&amp;DATE(2026,8,8),'DRAFT 2'!$A:$A,"&lt;="&amp;DATE(2026,8,14))</f>
        <v>0</v>
      </c>
      <c r="GL179">
        <f>COUNTIFS('DRAFT 2'!$D:$D,$B179,'DRAFT 2'!$A:$A,"&gt;="&amp;DATE(2026,8,15),'DRAFT 2'!$A:$A,"&lt;="&amp;DATE(2026,8,21))</f>
        <v>0</v>
      </c>
      <c r="GM179">
        <f>COUNTIFS('DRAFT 2'!$D:$D,$B179,'DRAFT 2'!$A:$A,"&gt;="&amp;DATE(2026,8,22),'DRAFT 2'!$A:$A,"&lt;"&amp;DATE(2026,IF(8=12,8+1,8+1),1))</f>
        <v>0</v>
      </c>
      <c r="GN179">
        <f t="shared" si="79"/>
        <v>0</v>
      </c>
      <c r="GX179">
        <f>IFERROR(LOOKUP(2,1/('DRAFT 2'!$D:$D=$B179)*('DRAFT 2'!$A:$A&gt;=DATE(2026,9,1))*('DRAFT 2'!$A:$A&lt;DATE(2026,IF(9=12,9+1,9+1),1)),'DRAFT 2'!$A:$A),"")</f>
        <v>0</v>
      </c>
      <c r="GY179">
        <f>COUNTIFS('DRAFT 2'!$D:$D,$B179,'DRAFT 2'!$A:$A,"&gt;="&amp;DATE(2026,9,1),'DRAFT 2'!$A:$A,"&lt;="&amp;DATE(2026,9,7))</f>
        <v>0</v>
      </c>
      <c r="GZ179">
        <f>COUNTIFS('DRAFT 2'!$D:$D,$B179,'DRAFT 2'!$A:$A,"&gt;="&amp;DATE(2026,9,8),'DRAFT 2'!$A:$A,"&lt;="&amp;DATE(2026,9,14))</f>
        <v>0</v>
      </c>
      <c r="HA179">
        <f>COUNTIFS('DRAFT 2'!$D:$D,$B179,'DRAFT 2'!$A:$A,"&gt;="&amp;DATE(2026,9,15),'DRAFT 2'!$A:$A,"&lt;="&amp;DATE(2026,9,21))</f>
        <v>0</v>
      </c>
      <c r="HB179">
        <f>COUNTIFS('DRAFT 2'!$D:$D,$B179,'DRAFT 2'!$A:$A,"&gt;="&amp;DATE(2026,9,22),'DRAFT 2'!$A:$A,"&lt;"&amp;DATE(2026,IF(9=12,9+1,9+1),1))</f>
        <v>0</v>
      </c>
      <c r="HC179">
        <f t="shared" si="80"/>
        <v>0</v>
      </c>
      <c r="HN179">
        <f>IFERROR(LOOKUP(2,1/('DRAFT 2'!$D:$D=$B179)*('DRAFT 2'!$A:$A&gt;=DATE(2026,10,1))*('DRAFT 2'!$A:$A&lt;DATE(2026,IF(10=12,10+1,10+1),1)),'DRAFT 2'!$A:$A),"")</f>
        <v>0</v>
      </c>
      <c r="HO179">
        <f>COUNTIFS('DRAFT 2'!$D:$D,$B179,'DRAFT 2'!$A:$A,"&gt;="&amp;DATE(2026,10,1),'DRAFT 2'!$A:$A,"&lt;="&amp;DATE(2026,10,7))</f>
        <v>0</v>
      </c>
      <c r="HP179">
        <f>COUNTIFS('DRAFT 2'!$D:$D,$B179,'DRAFT 2'!$A:$A,"&gt;="&amp;DATE(2026,10,8),'DRAFT 2'!$A:$A,"&lt;="&amp;DATE(2026,10,14))</f>
        <v>0</v>
      </c>
      <c r="HQ179">
        <f>COUNTIFS('DRAFT 2'!$D:$D,$B179,'DRAFT 2'!$A:$A,"&gt;="&amp;DATE(2026,10,15),'DRAFT 2'!$A:$A,"&lt;="&amp;DATE(2026,10,21))</f>
        <v>0</v>
      </c>
      <c r="HR179">
        <f>COUNTIFS('DRAFT 2'!$D:$D,$B179,'DRAFT 2'!$A:$A,"&gt;="&amp;DATE(2026,10,22),'DRAFT 2'!$A:$A,"&lt;"&amp;DATE(2026,IF(10=12,10+1,10+1),1))</f>
        <v>0</v>
      </c>
      <c r="HS179">
        <f t="shared" si="81"/>
        <v>0</v>
      </c>
      <c r="IC179">
        <f>IFERROR(LOOKUP(2,1/('DRAFT 2'!$D:$D=$B179)*('DRAFT 2'!$A:$A&gt;=DATE(2026,11,1))*('DRAFT 2'!$A:$A&lt;DATE(2026,IF(11=12,11+1,11+1),1)),'DRAFT 2'!$A:$A),"")</f>
        <v>0</v>
      </c>
      <c r="ID179">
        <f>COUNTIFS('DRAFT 2'!$D:$D,$B179,'DRAFT 2'!$A:$A,"&gt;="&amp;DATE(2026,11,1),'DRAFT 2'!$A:$A,"&lt;="&amp;DATE(2026,11,7))</f>
        <v>0</v>
      </c>
      <c r="IE179">
        <f>COUNTIFS('DRAFT 2'!$D:$D,$B179,'DRAFT 2'!$A:$A,"&gt;="&amp;DATE(2026,11,8),'DRAFT 2'!$A:$A,"&lt;="&amp;DATE(2026,11,14))</f>
        <v>0</v>
      </c>
      <c r="IF179">
        <f>COUNTIFS('DRAFT 2'!$D:$D,$B179,'DRAFT 2'!$A:$A,"&gt;="&amp;DATE(2026,11,15),'DRAFT 2'!$A:$A,"&lt;="&amp;DATE(2026,11,21))</f>
        <v>0</v>
      </c>
      <c r="IG179">
        <f>COUNTIFS('DRAFT 2'!$D:$D,$B179,'DRAFT 2'!$A:$A,"&gt;="&amp;DATE(2026,11,22),'DRAFT 2'!$A:$A,"&lt;"&amp;DATE(2026,IF(11=12,11+1,11+1),1))</f>
        <v>0</v>
      </c>
      <c r="IH179">
        <f t="shared" si="82"/>
        <v>0</v>
      </c>
      <c r="IR179">
        <f>IFERROR(LOOKUP(2,1/('DRAFT 2'!$D:$D=$B179)*('DRAFT 2'!$A:$A&gt;=DATE(2026,12,1))*('DRAFT 2'!$A:$A&lt;DATE(2026,IF(12=12,12+1,12+1),1)),'DRAFT 2'!$A:$A),"")</f>
        <v>0</v>
      </c>
      <c r="IS179">
        <f>COUNTIFS('DRAFT 2'!$D:$D,$B179,'DRAFT 2'!$A:$A,"&gt;="&amp;DATE(2026,12,1),'DRAFT 2'!$A:$A,"&lt;="&amp;DATE(2026,12,7))</f>
        <v>0</v>
      </c>
      <c r="IT179">
        <f>COUNTIFS('DRAFT 2'!$D:$D,$B179,'DRAFT 2'!$A:$A,"&gt;="&amp;DATE(2026,12,8),'DRAFT 2'!$A:$A,"&lt;="&amp;DATE(2026,12,14))</f>
        <v>0</v>
      </c>
      <c r="IU179">
        <f>COUNTIFS('DRAFT 2'!$D:$D,$B179,'DRAFT 2'!$A:$A,"&gt;="&amp;DATE(2026,12,15),'DRAFT 2'!$A:$A,"&lt;="&amp;DATE(2026,12,21))</f>
        <v>0</v>
      </c>
      <c r="IV179">
        <f>COUNTIFS('DRAFT 2'!$D:$D,$B179,'DRAFT 2'!$A:$A,"&gt;="&amp;DATE(2026,12,22),'DRAFT 2'!$A:$A,"&lt;"&amp;DATE(2026,IF(12=12,12+1,12+1),1))</f>
        <v>0</v>
      </c>
      <c r="IW179">
        <f t="shared" si="83"/>
        <v>0</v>
      </c>
    </row>
    <row r="180" spans="1:257" x14ac:dyDescent="0.3">
      <c r="A180" t="str">
        <f>IFERROR(INDEX('DRAFT 1'!$A:$A,MATCH($B180,'DRAFT 1'!$B:$B,0)),"")</f>
        <v/>
      </c>
      <c r="C180" t="str">
        <f>IFERROR(INDEX('DRAFT 1'!$C:$C,MATCH($B180,'DRAFT 1'!$B:$B,0)),"")</f>
        <v/>
      </c>
      <c r="D180" t="str">
        <f>IFERROR(INDEX('DRAFT 1'!$D:$D,MATCH($B180,'DRAFT 1'!$B:$B,0)),"")</f>
        <v/>
      </c>
      <c r="E180" t="str">
        <f>IFERROR(INDEX('DRAFT 1'!$E:$E,MATCH($B180,'DRAFT 1'!$B:$B,0)),"")</f>
        <v/>
      </c>
      <c r="F180" t="str">
        <f>IFERROR(INDEX('DRAFT 1'!$F:$F,MATCH($B180,'DRAFT 1'!$B:$B,0)),"")</f>
        <v/>
      </c>
      <c r="G180" t="str">
        <f>IFERROR(INDEX('DRAFT 1'!$G:$G,MATCH($B180,'DRAFT 1'!$B:$B,0)),"")</f>
        <v/>
      </c>
      <c r="H180" t="str">
        <f>IFERROR(INDEX('DRAFT 1'!$H:$H,MATCH($B180,'DRAFT 1'!$B:$B,0)),"")</f>
        <v/>
      </c>
      <c r="I180" t="str">
        <f>IFERROR(INDEX('DRAFT 1'!$I:$I,MATCH($B180,'DRAFT 1'!$B:$B,0)),"")</f>
        <v/>
      </c>
      <c r="K180" t="str">
        <f>IFERROR(INDEX('DRAFT 1'!$AL:$AL,MATCH($B180,'DRAFT 1'!$B:$B,0)),"")</f>
        <v/>
      </c>
      <c r="L180" t="str">
        <f>IFERROR(INDEX('DRAFT 1'!$J:$J,MATCH($B180,'DRAFT 1'!$B:$B,0)),"")</f>
        <v/>
      </c>
      <c r="M180" t="str">
        <f>IFERROR(INDEX('DRAFT 1'!$K:$K,MATCH($B180,'DRAFT 1'!$B:$B,0)),"")</f>
        <v/>
      </c>
      <c r="P180" t="str">
        <f>IFERROR(INDEX('DRAFT 1'!$L:$L,MATCH($B180,'DRAFT 1'!$B:$B,0)),"")</f>
        <v/>
      </c>
      <c r="Q180" t="str">
        <f>IFERROR(INDEX('DRAFT 1'!$M:$M,MATCH($B180,'DRAFT 1'!$B:$B,0)),"")</f>
        <v/>
      </c>
      <c r="R180" t="str">
        <f>IFERROR(INDEX('DRAFT 1'!$N:$N,MATCH($B180,'DRAFT 1'!$B:$B,0)),"")</f>
        <v/>
      </c>
      <c r="S180" t="str">
        <f>IFERROR(INDEX('DRAFT 1'!$O:$O,MATCH($B180,'DRAFT 1'!$B:$B,0)),"")</f>
        <v/>
      </c>
      <c r="T180" t="str">
        <f>IFERROR(INDEX('DRAFT 1'!$P:$P,MATCH($B180,'DRAFT 1'!$B:$B,0)),"")</f>
        <v/>
      </c>
      <c r="U180" t="str">
        <f>IFERROR(INDEX('DRAFT 1'!$Q:$Q,MATCH($B180,'DRAFT 1'!$B:$B,0)),"")</f>
        <v/>
      </c>
      <c r="V180" t="str">
        <f>IFERROR(INDEX('DRAFT 1'!$R:$R,MATCH($B180,'DRAFT 1'!$B:$B,0)),"")</f>
        <v/>
      </c>
      <c r="W180" t="str">
        <f>IFERROR(INDEX('DRAFT 1'!$S:$S,MATCH($B180,'DRAFT 1'!$B:$B,0)),"")</f>
        <v/>
      </c>
      <c r="X180" t="str">
        <f>IFERROR(INDEX('DRAFT 1'!$T:$T,MATCH($B180,'DRAFT 1'!$B:$B,0)),"")</f>
        <v/>
      </c>
      <c r="Z180" t="str">
        <f>IFERROR(INDEX('DRAFT 1'!$U:$U,MATCH($B180,'DRAFT 1'!$B:$B,0)),"")</f>
        <v/>
      </c>
      <c r="AA180" t="str">
        <f>IFERROR(INDEX('DRAFT 1'!$V:$V,MATCH($B180,'DRAFT 1'!$B:$B,0)),"")</f>
        <v/>
      </c>
      <c r="AB180" t="str">
        <f>IFERROR(INDEX('DRAFT 1'!$W:$W,MATCH($B180,'DRAFT 1'!$B:$B,0)),"")</f>
        <v/>
      </c>
      <c r="AC180" t="str">
        <f>IFERROR(INDEX('DRAFT 1'!$X:$X,MATCH($B180,'DRAFT 1'!$B:$B,0)),"")</f>
        <v/>
      </c>
      <c r="AD180" t="str">
        <f>IFERROR(INDEX('DRAFT 1'!$Y:$Y,MATCH($B180,'DRAFT 1'!$B:$B,0)),"")</f>
        <v/>
      </c>
      <c r="AE180" t="str">
        <f>IFERROR(INDEX('DRAFT 1'!$Z:$Z,MATCH($B180,'DRAFT 1'!$B:$B,0)),"")</f>
        <v/>
      </c>
      <c r="AF180" t="str">
        <f>IFERROR(INDEX('DRAFT 1'!$AA:$AA,MATCH($B180,'DRAFT 1'!$B:$B,0)),"")</f>
        <v/>
      </c>
      <c r="AG180" t="str">
        <f>IFERROR(INDEX('DRAFT 1'!$AB:$AB,MATCH($B180,'DRAFT 1'!$B:$B,0)),"")</f>
        <v/>
      </c>
      <c r="AH180" t="str">
        <f>IFERROR(INDEX('DRAFT 1'!$AC:$AC,MATCH($B180,'DRAFT 1'!$B:$B,0)),"")</f>
        <v/>
      </c>
      <c r="AI180" t="str">
        <f>IFERROR(INDEX('DRAFT 1'!$AD:$AD,MATCH($B180,'DRAFT 1'!$B:$B,0)),"")</f>
        <v/>
      </c>
      <c r="AJ180" t="str">
        <f>IFERROR(INDEX('DRAFT 1'!$AE:$AE,MATCH($B180,'DRAFT 1'!$B:$B,0)),"")</f>
        <v/>
      </c>
      <c r="AK180" t="str">
        <f>IFERROR(INDEX('DRAFT 1'!$AG:$AG,MATCH($B180,'DRAFT 1'!$B:$B,0)),"")</f>
        <v/>
      </c>
      <c r="AL180" t="str">
        <f>IFERROR(INDEX('DRAFT 1'!$AH:$AH,MATCH($B180,'DRAFT 1'!$B:$B,0)),"")</f>
        <v/>
      </c>
      <c r="AM180" t="str">
        <f>IFERROR(INDEX('DRAFT 1'!$AI:$AI,MATCH($B180,'DRAFT 1'!$B:$B,0)),"")</f>
        <v/>
      </c>
      <c r="AN180" t="str">
        <f>IFERROR(INDEX('DRAFT 1'!$AJ:$AJ,MATCH($B180,'DRAFT 1'!$B:$B,0)),"")</f>
        <v/>
      </c>
      <c r="AO180">
        <f t="shared" si="70"/>
        <v>0</v>
      </c>
      <c r="AP180" t="str">
        <f>IFERROR(INDEX('DRAFT 1'!$AK:$AK,MATCH($B180,'DRAFT 1'!$B:$B,0)),"")</f>
        <v/>
      </c>
      <c r="AR180">
        <f>IFERROR(LOOKUP(2,1/('DRAFT 2'!$D:$D=$B180),'DRAFT 2'!$I:$I),"")</f>
        <v>0</v>
      </c>
      <c r="AS180">
        <f>IFERROR(LOOKUP(2,1/('DRAFT 2'!$D:$D=$B180),'DRAFT 2'!$T:$T),"")</f>
        <v>0</v>
      </c>
      <c r="AT180">
        <f>IFERROR(LOOKUP(2,1/('DRAFT 2'!$D:$D=$B180),'DRAFT 2'!$A:$A),"")</f>
        <v>0</v>
      </c>
      <c r="AU180">
        <f>IFERROR(LOOKUP(2,1/('DRAFT 2'!$D:$D=$B180),'DRAFT 2'!$R:$R),"")</f>
        <v>0</v>
      </c>
      <c r="AV180">
        <f>IFERROR(LOOKUP(2,1/('DRAFT 2'!$D:$D=$B180),'DRAFT 2'!$S:$S),"")</f>
        <v>0</v>
      </c>
      <c r="AX180">
        <f>IFERROR(LOOKUP(2,1/('DRAFT 2'!$D:$D=$B180),'DRAFT 2'!$M:$M),"")</f>
        <v>0</v>
      </c>
      <c r="AY180">
        <f>IFERROR(LOOKUP(2,1/('DRAFT 2'!$D:$D=$B180),'DRAFT 2'!$K:$K),"")</f>
        <v>0</v>
      </c>
      <c r="BG180">
        <f>IFERROR(LOOKUP(2,1/('DRAFT 2'!$D:$D=$B180),'DRAFT 2'!$U:$U),"")</f>
        <v>0</v>
      </c>
      <c r="BH180">
        <f>IFERROR(LOOKUP(2,1/('DRAFT 2'!$D:$D=$B180),'DRAFT 2'!$V:$V),"")</f>
        <v>0</v>
      </c>
      <c r="CE180" t="str">
        <f t="shared" si="71"/>
        <v/>
      </c>
      <c r="CF180">
        <f>IFERROR(LOOKUP(2,1/('DRAFT 2'!$D:$D=$B180)*('DRAFT 2'!$A:$A&gt;=DATE(2026,1,1))*('DRAFT 2'!$A:$A&lt;DATE(2026,IF(1=12,1+1,1+1),1)),'DRAFT 2'!$A:$A),"")</f>
        <v>0</v>
      </c>
      <c r="CG180">
        <f>COUNTIFS('DRAFT 2'!$D:$D,$B180,'DRAFT 2'!$A:$A,"&gt;="&amp;DATE(2026,1,1),'DRAFT 2'!$A:$A,"&lt;="&amp;DATE(2026,1,7))</f>
        <v>0</v>
      </c>
      <c r="CH180">
        <f>COUNTIFS('DRAFT 2'!$D:$D,$B180,'DRAFT 2'!$A:$A,"&gt;="&amp;DATE(2026,1,8),'DRAFT 2'!$A:$A,"&lt;="&amp;DATE(2026,1,14))</f>
        <v>0</v>
      </c>
      <c r="CI180">
        <f>COUNTIFS('DRAFT 2'!$D:$D,$B180,'DRAFT 2'!$A:$A,"&gt;="&amp;DATE(2026,1,15),'DRAFT 2'!$A:$A,"&lt;="&amp;DATE(2026,1,21))</f>
        <v>0</v>
      </c>
      <c r="CJ180">
        <f>COUNTIFS('DRAFT 2'!$D:$D,$B180,'DRAFT 2'!$A:$A,"&gt;="&amp;DATE(2026,1,22),'DRAFT 2'!$A:$A,"&lt;"&amp;DATE(2026,IF(1=12,1+1,1+1),1))</f>
        <v>0</v>
      </c>
      <c r="CK180">
        <f t="shared" si="72"/>
        <v>0</v>
      </c>
      <c r="CT180">
        <v>0</v>
      </c>
      <c r="CU180">
        <f>IFERROR(LOOKUP(2,1/('DRAFT 2'!$D:$D=$B180)*('DRAFT 2'!$A:$A&gt;=DATE(2026,2,1))*('DRAFT 2'!$A:$A&lt;DATE(2026,IF(2=12,2+1,2+1),1)),'DRAFT 2'!$A:$A),"")</f>
        <v>0</v>
      </c>
      <c r="CV180">
        <f>COUNTIFS('DRAFT 2'!$D:$D,$B180,'DRAFT 2'!$A:$A,"&gt;="&amp;DATE(2026,2,1),'DRAFT 2'!$A:$A,"&lt;="&amp;DATE(2026,2,7))</f>
        <v>0</v>
      </c>
      <c r="CW180">
        <f>COUNTIFS('DRAFT 2'!$D:$D,$B180,'DRAFT 2'!$A:$A,"&gt;="&amp;DATE(2026,2,8),'DRAFT 2'!$A:$A,"&lt;="&amp;DATE(2026,2,14))</f>
        <v>0</v>
      </c>
      <c r="CX180">
        <f>COUNTIFS('DRAFT 2'!$D:$D,$B180,'DRAFT 2'!$A:$A,"&gt;="&amp;DATE(2026,2,15),'DRAFT 2'!$A:$A,"&lt;="&amp;DATE(2026,2,21))</f>
        <v>0</v>
      </c>
      <c r="CY180">
        <f>COUNTIFS('DRAFT 2'!$D:$D,$B180,'DRAFT 2'!$A:$A,"&gt;="&amp;DATE(2026,2,22),'DRAFT 2'!$A:$A,"&lt;"&amp;DATE(2026,IF(2=12,2+1,2+1),1))</f>
        <v>0</v>
      </c>
      <c r="CZ180">
        <f t="shared" si="73"/>
        <v>0</v>
      </c>
      <c r="DJ180">
        <f>IFERROR(LOOKUP(2,1/('DRAFT 2'!$D:$D=$B180)*('DRAFT 2'!$A:$A&gt;=DATE(2026,3,1))*('DRAFT 2'!$A:$A&lt;DATE(2026,IF(3=12,3+1,3+1),1)),'DRAFT 2'!$A:$A),"")</f>
        <v>0</v>
      </c>
      <c r="DK180">
        <f>COUNTIFS('DRAFT 2'!$D:$D,$B180,'DRAFT 2'!$A:$A,"&gt;="&amp;DATE(2026,3,1),'DRAFT 2'!$A:$A,"&lt;="&amp;DATE(2026,3,7))</f>
        <v>0</v>
      </c>
      <c r="DL180">
        <f>COUNTIFS('DRAFT 2'!$D:$D,$B180,'DRAFT 2'!$A:$A,"&gt;="&amp;DATE(2026,3,8),'DRAFT 2'!$A:$A,"&lt;="&amp;DATE(2026,3,14))</f>
        <v>0</v>
      </c>
      <c r="DM180">
        <f>COUNTIFS('DRAFT 2'!$D:$D,$B180,'DRAFT 2'!$A:$A,"&gt;="&amp;DATE(2026,3,15),'DRAFT 2'!$A:$A,"&lt;="&amp;DATE(2026,3,21))</f>
        <v>0</v>
      </c>
      <c r="DN180">
        <f>COUNTIFS('DRAFT 2'!$D:$D,$B180,'DRAFT 2'!$A:$A,"&gt;="&amp;DATE(2026,3,22),'DRAFT 2'!$A:$A,"&lt;"&amp;DATE(2026,IF(3=12,3+1,3+1),1))</f>
        <v>0</v>
      </c>
      <c r="DO180">
        <f t="shared" si="74"/>
        <v>0</v>
      </c>
      <c r="DZ180">
        <f>IFERROR(LOOKUP(2,1/('DRAFT 2'!$D:$D=$B180)*('DRAFT 2'!$A:$A&gt;=DATE(2026,4,1))*('DRAFT 2'!$A:$A&lt;DATE(2026,IF(4=12,4+1,4+1),1)),'DRAFT 2'!$A:$A),"")</f>
        <v>0</v>
      </c>
      <c r="EA180">
        <f>COUNTIFS('DRAFT 2'!$D:$D,$B180,'DRAFT 2'!$A:$A,"&gt;="&amp;DATE(2026,4,1),'DRAFT 2'!$A:$A,"&lt;="&amp;DATE(2026,4,7))</f>
        <v>0</v>
      </c>
      <c r="EB180">
        <f>COUNTIFS('DRAFT 2'!$D:$D,$B180,'DRAFT 2'!$A:$A,"&gt;="&amp;DATE(2026,4,8),'DRAFT 2'!$A:$A,"&lt;="&amp;DATE(2026,4,14))</f>
        <v>0</v>
      </c>
      <c r="EC180">
        <f>COUNTIFS('DRAFT 2'!$D:$D,$B180,'DRAFT 2'!$A:$A,"&gt;="&amp;DATE(2026,4,15),'DRAFT 2'!$A:$A,"&lt;="&amp;DATE(2026,4,21))</f>
        <v>0</v>
      </c>
      <c r="ED180">
        <f>COUNTIFS('DRAFT 2'!$D:$D,$B180,'DRAFT 2'!$A:$A,"&gt;="&amp;DATE(2026,4,22),'DRAFT 2'!$A:$A,"&lt;"&amp;DATE(2026,IF(4=12,4+1,4+1),1))</f>
        <v>0</v>
      </c>
      <c r="EE180">
        <f t="shared" si="75"/>
        <v>0</v>
      </c>
      <c r="EO180">
        <f>IFERROR(LOOKUP(2,1/('DRAFT 2'!$D:$D=$B180)*('DRAFT 2'!$A:$A&gt;=DATE(2026,5,1))*('DRAFT 2'!$A:$A&lt;DATE(2026,IF(5=12,5+1,5+1),1)),'DRAFT 2'!$A:$A),"")</f>
        <v>0</v>
      </c>
      <c r="EP180">
        <f>COUNTIFS('DRAFT 2'!$D:$D,$B180,'DRAFT 2'!$A:$A,"&gt;="&amp;DATE(2026,5,1),'DRAFT 2'!$A:$A,"&lt;="&amp;DATE(2026,5,7))</f>
        <v>0</v>
      </c>
      <c r="EQ180">
        <f>COUNTIFS('DRAFT 2'!$D:$D,$B180,'DRAFT 2'!$A:$A,"&gt;="&amp;DATE(2026,5,8),'DRAFT 2'!$A:$A,"&lt;="&amp;DATE(2026,5,14))</f>
        <v>0</v>
      </c>
      <c r="ER180">
        <f>COUNTIFS('DRAFT 2'!$D:$D,$B180,'DRAFT 2'!$A:$A,"&gt;="&amp;DATE(2026,5,15),'DRAFT 2'!$A:$A,"&lt;="&amp;DATE(2026,5,21))</f>
        <v>0</v>
      </c>
      <c r="ES180">
        <f>COUNTIFS('DRAFT 2'!$D:$D,$B180,'DRAFT 2'!$A:$A,"&gt;="&amp;DATE(2026,5,22),'DRAFT 2'!$A:$A,"&lt;"&amp;DATE(2026,IF(5=12,5+1,5+1),1))</f>
        <v>0</v>
      </c>
      <c r="ET180">
        <f t="shared" si="76"/>
        <v>0</v>
      </c>
      <c r="FD180">
        <f>IFERROR(LOOKUP(2,1/('DRAFT 2'!$D:$D=$B180)*('DRAFT 2'!$A:$A&gt;=DATE(2026,6,1))*('DRAFT 2'!$A:$A&lt;DATE(2026,IF(6=12,6+1,6+1),1)),'DRAFT 2'!$A:$A),"")</f>
        <v>0</v>
      </c>
      <c r="FE180">
        <f>COUNTIFS('DRAFT 2'!$D:$D,$B180,'DRAFT 2'!$A:$A,"&gt;="&amp;DATE(2026,6,1),'DRAFT 2'!$A:$A,"&lt;="&amp;DATE(2026,6,7))</f>
        <v>0</v>
      </c>
      <c r="FF180">
        <f>COUNTIFS('DRAFT 2'!$D:$D,$B180,'DRAFT 2'!$A:$A,"&gt;="&amp;DATE(2026,6,8),'DRAFT 2'!$A:$A,"&lt;="&amp;DATE(2026,6,14))</f>
        <v>0</v>
      </c>
      <c r="FG180">
        <f>COUNTIFS('DRAFT 2'!$D:$D,$B180,'DRAFT 2'!$A:$A,"&gt;="&amp;DATE(2026,6,15),'DRAFT 2'!$A:$A,"&lt;="&amp;DATE(2026,6,21))</f>
        <v>0</v>
      </c>
      <c r="FH180">
        <f>COUNTIFS('DRAFT 2'!$D:$D,$B180,'DRAFT 2'!$A:$A,"&gt;="&amp;DATE(2026,6,22),'DRAFT 2'!$A:$A,"&lt;"&amp;DATE(2026,IF(6=12,6+1,6+1),1))</f>
        <v>0</v>
      </c>
      <c r="FI180">
        <f t="shared" si="77"/>
        <v>0</v>
      </c>
      <c r="FT180">
        <f>IFERROR(LOOKUP(2,1/('DRAFT 2'!$D:$D=$B180)*('DRAFT 2'!$A:$A&gt;=DATE(2026,7,1))*('DRAFT 2'!$A:$A&lt;DATE(2026,IF(7=12,7+1,7+1),1)),'DRAFT 2'!$A:$A),"")</f>
        <v>0</v>
      </c>
      <c r="FU180">
        <f>COUNTIFS('DRAFT 2'!$D:$D,$B180,'DRAFT 2'!$A:$A,"&gt;="&amp;DATE(2026,7,1),'DRAFT 2'!$A:$A,"&lt;="&amp;DATE(2026,7,7))</f>
        <v>0</v>
      </c>
      <c r="FV180">
        <f>COUNTIFS('DRAFT 2'!$D:$D,$B180,'DRAFT 2'!$A:$A,"&gt;="&amp;DATE(2026,7,8),'DRAFT 2'!$A:$A,"&lt;="&amp;DATE(2026,7,14))</f>
        <v>0</v>
      </c>
      <c r="FW180">
        <f>COUNTIFS('DRAFT 2'!$D:$D,$B180,'DRAFT 2'!$A:$A,"&gt;="&amp;DATE(2026,7,15),'DRAFT 2'!$A:$A,"&lt;="&amp;DATE(2026,7,21))</f>
        <v>0</v>
      </c>
      <c r="FX180">
        <f>COUNTIFS('DRAFT 2'!$D:$D,$B180,'DRAFT 2'!$A:$A,"&gt;="&amp;DATE(2026,7,22),'DRAFT 2'!$A:$A,"&lt;"&amp;DATE(2026,IF(7=12,7+1,7+1),1))</f>
        <v>0</v>
      </c>
      <c r="FY180">
        <f t="shared" si="78"/>
        <v>0</v>
      </c>
      <c r="GI180">
        <f>IFERROR(LOOKUP(2,1/('DRAFT 2'!$D:$D=$B180)*('DRAFT 2'!$A:$A&gt;=DATE(2026,8,1))*('DRAFT 2'!$A:$A&lt;DATE(2026,IF(8=12,8+1,8+1),1)),'DRAFT 2'!$A:$A),"")</f>
        <v>0</v>
      </c>
      <c r="GJ180">
        <f>COUNTIFS('DRAFT 2'!$D:$D,$B180,'DRAFT 2'!$A:$A,"&gt;="&amp;DATE(2026,8,1),'DRAFT 2'!$A:$A,"&lt;="&amp;DATE(2026,8,7))</f>
        <v>0</v>
      </c>
      <c r="GK180">
        <f>COUNTIFS('DRAFT 2'!$D:$D,$B180,'DRAFT 2'!$A:$A,"&gt;="&amp;DATE(2026,8,8),'DRAFT 2'!$A:$A,"&lt;="&amp;DATE(2026,8,14))</f>
        <v>0</v>
      </c>
      <c r="GL180">
        <f>COUNTIFS('DRAFT 2'!$D:$D,$B180,'DRAFT 2'!$A:$A,"&gt;="&amp;DATE(2026,8,15),'DRAFT 2'!$A:$A,"&lt;="&amp;DATE(2026,8,21))</f>
        <v>0</v>
      </c>
      <c r="GM180">
        <f>COUNTIFS('DRAFT 2'!$D:$D,$B180,'DRAFT 2'!$A:$A,"&gt;="&amp;DATE(2026,8,22),'DRAFT 2'!$A:$A,"&lt;"&amp;DATE(2026,IF(8=12,8+1,8+1),1))</f>
        <v>0</v>
      </c>
      <c r="GN180">
        <f t="shared" si="79"/>
        <v>0</v>
      </c>
      <c r="GX180">
        <f>IFERROR(LOOKUP(2,1/('DRAFT 2'!$D:$D=$B180)*('DRAFT 2'!$A:$A&gt;=DATE(2026,9,1))*('DRAFT 2'!$A:$A&lt;DATE(2026,IF(9=12,9+1,9+1),1)),'DRAFT 2'!$A:$A),"")</f>
        <v>0</v>
      </c>
      <c r="GY180">
        <f>COUNTIFS('DRAFT 2'!$D:$D,$B180,'DRAFT 2'!$A:$A,"&gt;="&amp;DATE(2026,9,1),'DRAFT 2'!$A:$A,"&lt;="&amp;DATE(2026,9,7))</f>
        <v>0</v>
      </c>
      <c r="GZ180">
        <f>COUNTIFS('DRAFT 2'!$D:$D,$B180,'DRAFT 2'!$A:$A,"&gt;="&amp;DATE(2026,9,8),'DRAFT 2'!$A:$A,"&lt;="&amp;DATE(2026,9,14))</f>
        <v>0</v>
      </c>
      <c r="HA180">
        <f>COUNTIFS('DRAFT 2'!$D:$D,$B180,'DRAFT 2'!$A:$A,"&gt;="&amp;DATE(2026,9,15),'DRAFT 2'!$A:$A,"&lt;="&amp;DATE(2026,9,21))</f>
        <v>0</v>
      </c>
      <c r="HB180">
        <f>COUNTIFS('DRAFT 2'!$D:$D,$B180,'DRAFT 2'!$A:$A,"&gt;="&amp;DATE(2026,9,22),'DRAFT 2'!$A:$A,"&lt;"&amp;DATE(2026,IF(9=12,9+1,9+1),1))</f>
        <v>0</v>
      </c>
      <c r="HC180">
        <f t="shared" si="80"/>
        <v>0</v>
      </c>
      <c r="HN180">
        <f>IFERROR(LOOKUP(2,1/('DRAFT 2'!$D:$D=$B180)*('DRAFT 2'!$A:$A&gt;=DATE(2026,10,1))*('DRAFT 2'!$A:$A&lt;DATE(2026,IF(10=12,10+1,10+1),1)),'DRAFT 2'!$A:$A),"")</f>
        <v>0</v>
      </c>
      <c r="HO180">
        <f>COUNTIFS('DRAFT 2'!$D:$D,$B180,'DRAFT 2'!$A:$A,"&gt;="&amp;DATE(2026,10,1),'DRAFT 2'!$A:$A,"&lt;="&amp;DATE(2026,10,7))</f>
        <v>0</v>
      </c>
      <c r="HP180">
        <f>COUNTIFS('DRAFT 2'!$D:$D,$B180,'DRAFT 2'!$A:$A,"&gt;="&amp;DATE(2026,10,8),'DRAFT 2'!$A:$A,"&lt;="&amp;DATE(2026,10,14))</f>
        <v>0</v>
      </c>
      <c r="HQ180">
        <f>COUNTIFS('DRAFT 2'!$D:$D,$B180,'DRAFT 2'!$A:$A,"&gt;="&amp;DATE(2026,10,15),'DRAFT 2'!$A:$A,"&lt;="&amp;DATE(2026,10,21))</f>
        <v>0</v>
      </c>
      <c r="HR180">
        <f>COUNTIFS('DRAFT 2'!$D:$D,$B180,'DRAFT 2'!$A:$A,"&gt;="&amp;DATE(2026,10,22),'DRAFT 2'!$A:$A,"&lt;"&amp;DATE(2026,IF(10=12,10+1,10+1),1))</f>
        <v>0</v>
      </c>
      <c r="HS180">
        <f t="shared" si="81"/>
        <v>0</v>
      </c>
      <c r="IC180">
        <f>IFERROR(LOOKUP(2,1/('DRAFT 2'!$D:$D=$B180)*('DRAFT 2'!$A:$A&gt;=DATE(2026,11,1))*('DRAFT 2'!$A:$A&lt;DATE(2026,IF(11=12,11+1,11+1),1)),'DRAFT 2'!$A:$A),"")</f>
        <v>0</v>
      </c>
      <c r="ID180">
        <f>COUNTIFS('DRAFT 2'!$D:$D,$B180,'DRAFT 2'!$A:$A,"&gt;="&amp;DATE(2026,11,1),'DRAFT 2'!$A:$A,"&lt;="&amp;DATE(2026,11,7))</f>
        <v>0</v>
      </c>
      <c r="IE180">
        <f>COUNTIFS('DRAFT 2'!$D:$D,$B180,'DRAFT 2'!$A:$A,"&gt;="&amp;DATE(2026,11,8),'DRAFT 2'!$A:$A,"&lt;="&amp;DATE(2026,11,14))</f>
        <v>0</v>
      </c>
      <c r="IF180">
        <f>COUNTIFS('DRAFT 2'!$D:$D,$B180,'DRAFT 2'!$A:$A,"&gt;="&amp;DATE(2026,11,15),'DRAFT 2'!$A:$A,"&lt;="&amp;DATE(2026,11,21))</f>
        <v>0</v>
      </c>
      <c r="IG180">
        <f>COUNTIFS('DRAFT 2'!$D:$D,$B180,'DRAFT 2'!$A:$A,"&gt;="&amp;DATE(2026,11,22),'DRAFT 2'!$A:$A,"&lt;"&amp;DATE(2026,IF(11=12,11+1,11+1),1))</f>
        <v>0</v>
      </c>
      <c r="IH180">
        <f t="shared" si="82"/>
        <v>0</v>
      </c>
      <c r="IR180">
        <f>IFERROR(LOOKUP(2,1/('DRAFT 2'!$D:$D=$B180)*('DRAFT 2'!$A:$A&gt;=DATE(2026,12,1))*('DRAFT 2'!$A:$A&lt;DATE(2026,IF(12=12,12+1,12+1),1)),'DRAFT 2'!$A:$A),"")</f>
        <v>0</v>
      </c>
      <c r="IS180">
        <f>COUNTIFS('DRAFT 2'!$D:$D,$B180,'DRAFT 2'!$A:$A,"&gt;="&amp;DATE(2026,12,1),'DRAFT 2'!$A:$A,"&lt;="&amp;DATE(2026,12,7))</f>
        <v>0</v>
      </c>
      <c r="IT180">
        <f>COUNTIFS('DRAFT 2'!$D:$D,$B180,'DRAFT 2'!$A:$A,"&gt;="&amp;DATE(2026,12,8),'DRAFT 2'!$A:$A,"&lt;="&amp;DATE(2026,12,14))</f>
        <v>0</v>
      </c>
      <c r="IU180">
        <f>COUNTIFS('DRAFT 2'!$D:$D,$B180,'DRAFT 2'!$A:$A,"&gt;="&amp;DATE(2026,12,15),'DRAFT 2'!$A:$A,"&lt;="&amp;DATE(2026,12,21))</f>
        <v>0</v>
      </c>
      <c r="IV180">
        <f>COUNTIFS('DRAFT 2'!$D:$D,$B180,'DRAFT 2'!$A:$A,"&gt;="&amp;DATE(2026,12,22),'DRAFT 2'!$A:$A,"&lt;"&amp;DATE(2026,IF(12=12,12+1,12+1),1))</f>
        <v>0</v>
      </c>
      <c r="IW180">
        <f t="shared" si="83"/>
        <v>0</v>
      </c>
    </row>
    <row r="181" spans="1:257" x14ac:dyDescent="0.3">
      <c r="A181" t="str">
        <f>IFERROR(INDEX('DRAFT 1'!$A:$A,MATCH($B181,'DRAFT 1'!$B:$B,0)),"")</f>
        <v/>
      </c>
      <c r="C181" t="str">
        <f>IFERROR(INDEX('DRAFT 1'!$C:$C,MATCH($B181,'DRAFT 1'!$B:$B,0)),"")</f>
        <v/>
      </c>
      <c r="D181" t="str">
        <f>IFERROR(INDEX('DRAFT 1'!$D:$D,MATCH($B181,'DRAFT 1'!$B:$B,0)),"")</f>
        <v/>
      </c>
      <c r="E181" t="str">
        <f>IFERROR(INDEX('DRAFT 1'!$E:$E,MATCH($B181,'DRAFT 1'!$B:$B,0)),"")</f>
        <v/>
      </c>
      <c r="F181" t="str">
        <f>IFERROR(INDEX('DRAFT 1'!$F:$F,MATCH($B181,'DRAFT 1'!$B:$B,0)),"")</f>
        <v/>
      </c>
      <c r="G181" t="str">
        <f>IFERROR(INDEX('DRAFT 1'!$G:$G,MATCH($B181,'DRAFT 1'!$B:$B,0)),"")</f>
        <v/>
      </c>
      <c r="H181" t="str">
        <f>IFERROR(INDEX('DRAFT 1'!$H:$H,MATCH($B181,'DRAFT 1'!$B:$B,0)),"")</f>
        <v/>
      </c>
      <c r="I181" t="str">
        <f>IFERROR(INDEX('DRAFT 1'!$I:$I,MATCH($B181,'DRAFT 1'!$B:$B,0)),"")</f>
        <v/>
      </c>
      <c r="K181" t="str">
        <f>IFERROR(INDEX('DRAFT 1'!$AL:$AL,MATCH($B181,'DRAFT 1'!$B:$B,0)),"")</f>
        <v/>
      </c>
      <c r="L181" t="str">
        <f>IFERROR(INDEX('DRAFT 1'!$J:$J,MATCH($B181,'DRAFT 1'!$B:$B,0)),"")</f>
        <v/>
      </c>
      <c r="M181" t="str">
        <f>IFERROR(INDEX('DRAFT 1'!$K:$K,MATCH($B181,'DRAFT 1'!$B:$B,0)),"")</f>
        <v/>
      </c>
      <c r="P181" t="str">
        <f>IFERROR(INDEX('DRAFT 1'!$L:$L,MATCH($B181,'DRAFT 1'!$B:$B,0)),"")</f>
        <v/>
      </c>
      <c r="Q181" t="str">
        <f>IFERROR(INDEX('DRAFT 1'!$M:$M,MATCH($B181,'DRAFT 1'!$B:$B,0)),"")</f>
        <v/>
      </c>
      <c r="R181" t="str">
        <f>IFERROR(INDEX('DRAFT 1'!$N:$N,MATCH($B181,'DRAFT 1'!$B:$B,0)),"")</f>
        <v/>
      </c>
      <c r="S181" t="str">
        <f>IFERROR(INDEX('DRAFT 1'!$O:$O,MATCH($B181,'DRAFT 1'!$B:$B,0)),"")</f>
        <v/>
      </c>
      <c r="T181" t="str">
        <f>IFERROR(INDEX('DRAFT 1'!$P:$P,MATCH($B181,'DRAFT 1'!$B:$B,0)),"")</f>
        <v/>
      </c>
      <c r="U181" t="str">
        <f>IFERROR(INDEX('DRAFT 1'!$Q:$Q,MATCH($B181,'DRAFT 1'!$B:$B,0)),"")</f>
        <v/>
      </c>
      <c r="V181" t="str">
        <f>IFERROR(INDEX('DRAFT 1'!$R:$R,MATCH($B181,'DRAFT 1'!$B:$B,0)),"")</f>
        <v/>
      </c>
      <c r="W181" t="str">
        <f>IFERROR(INDEX('DRAFT 1'!$S:$S,MATCH($B181,'DRAFT 1'!$B:$B,0)),"")</f>
        <v/>
      </c>
      <c r="X181" t="str">
        <f>IFERROR(INDEX('DRAFT 1'!$T:$T,MATCH($B181,'DRAFT 1'!$B:$B,0)),"")</f>
        <v/>
      </c>
      <c r="Z181" t="str">
        <f>IFERROR(INDEX('DRAFT 1'!$U:$U,MATCH($B181,'DRAFT 1'!$B:$B,0)),"")</f>
        <v/>
      </c>
      <c r="AA181" t="str">
        <f>IFERROR(INDEX('DRAFT 1'!$V:$V,MATCH($B181,'DRAFT 1'!$B:$B,0)),"")</f>
        <v/>
      </c>
      <c r="AB181" t="str">
        <f>IFERROR(INDEX('DRAFT 1'!$W:$W,MATCH($B181,'DRAFT 1'!$B:$B,0)),"")</f>
        <v/>
      </c>
      <c r="AC181" t="str">
        <f>IFERROR(INDEX('DRAFT 1'!$X:$X,MATCH($B181,'DRAFT 1'!$B:$B,0)),"")</f>
        <v/>
      </c>
      <c r="AD181" t="str">
        <f>IFERROR(INDEX('DRAFT 1'!$Y:$Y,MATCH($B181,'DRAFT 1'!$B:$B,0)),"")</f>
        <v/>
      </c>
      <c r="AE181" t="str">
        <f>IFERROR(INDEX('DRAFT 1'!$Z:$Z,MATCH($B181,'DRAFT 1'!$B:$B,0)),"")</f>
        <v/>
      </c>
      <c r="AF181" t="str">
        <f>IFERROR(INDEX('DRAFT 1'!$AA:$AA,MATCH($B181,'DRAFT 1'!$B:$B,0)),"")</f>
        <v/>
      </c>
      <c r="AG181" t="str">
        <f>IFERROR(INDEX('DRAFT 1'!$AB:$AB,MATCH($B181,'DRAFT 1'!$B:$B,0)),"")</f>
        <v/>
      </c>
      <c r="AH181" t="str">
        <f>IFERROR(INDEX('DRAFT 1'!$AC:$AC,MATCH($B181,'DRAFT 1'!$B:$B,0)),"")</f>
        <v/>
      </c>
      <c r="AI181" t="str">
        <f>IFERROR(INDEX('DRAFT 1'!$AD:$AD,MATCH($B181,'DRAFT 1'!$B:$B,0)),"")</f>
        <v/>
      </c>
      <c r="AJ181" t="str">
        <f>IFERROR(INDEX('DRAFT 1'!$AE:$AE,MATCH($B181,'DRAFT 1'!$B:$B,0)),"")</f>
        <v/>
      </c>
      <c r="AK181" t="str">
        <f>IFERROR(INDEX('DRAFT 1'!$AG:$AG,MATCH($B181,'DRAFT 1'!$B:$B,0)),"")</f>
        <v/>
      </c>
      <c r="AL181" t="str">
        <f>IFERROR(INDEX('DRAFT 1'!$AH:$AH,MATCH($B181,'DRAFT 1'!$B:$B,0)),"")</f>
        <v/>
      </c>
      <c r="AM181" t="str">
        <f>IFERROR(INDEX('DRAFT 1'!$AI:$AI,MATCH($B181,'DRAFT 1'!$B:$B,0)),"")</f>
        <v/>
      </c>
      <c r="AN181" t="str">
        <f>IFERROR(INDEX('DRAFT 1'!$AJ:$AJ,MATCH($B181,'DRAFT 1'!$B:$B,0)),"")</f>
        <v/>
      </c>
      <c r="AO181">
        <f t="shared" si="70"/>
        <v>0</v>
      </c>
      <c r="AP181" t="str">
        <f>IFERROR(INDEX('DRAFT 1'!$AK:$AK,MATCH($B181,'DRAFT 1'!$B:$B,0)),"")</f>
        <v/>
      </c>
      <c r="AR181">
        <f>IFERROR(LOOKUP(2,1/('DRAFT 2'!$D:$D=$B181),'DRAFT 2'!$I:$I),"")</f>
        <v>0</v>
      </c>
      <c r="AS181">
        <f>IFERROR(LOOKUP(2,1/('DRAFT 2'!$D:$D=$B181),'DRAFT 2'!$T:$T),"")</f>
        <v>0</v>
      </c>
      <c r="AT181">
        <f>IFERROR(LOOKUP(2,1/('DRAFT 2'!$D:$D=$B181),'DRAFT 2'!$A:$A),"")</f>
        <v>0</v>
      </c>
      <c r="AU181">
        <f>IFERROR(LOOKUP(2,1/('DRAFT 2'!$D:$D=$B181),'DRAFT 2'!$R:$R),"")</f>
        <v>0</v>
      </c>
      <c r="AV181">
        <f>IFERROR(LOOKUP(2,1/('DRAFT 2'!$D:$D=$B181),'DRAFT 2'!$S:$S),"")</f>
        <v>0</v>
      </c>
      <c r="AX181">
        <f>IFERROR(LOOKUP(2,1/('DRAFT 2'!$D:$D=$B181),'DRAFT 2'!$M:$M),"")</f>
        <v>0</v>
      </c>
      <c r="AY181">
        <f>IFERROR(LOOKUP(2,1/('DRAFT 2'!$D:$D=$B181),'DRAFT 2'!$K:$K),"")</f>
        <v>0</v>
      </c>
      <c r="BG181">
        <f>IFERROR(LOOKUP(2,1/('DRAFT 2'!$D:$D=$B181),'DRAFT 2'!$U:$U),"")</f>
        <v>0</v>
      </c>
      <c r="BH181">
        <f>IFERROR(LOOKUP(2,1/('DRAFT 2'!$D:$D=$B181),'DRAFT 2'!$V:$V),"")</f>
        <v>0</v>
      </c>
      <c r="CE181" t="str">
        <f t="shared" si="71"/>
        <v/>
      </c>
      <c r="CF181">
        <f>IFERROR(LOOKUP(2,1/('DRAFT 2'!$D:$D=$B181)*('DRAFT 2'!$A:$A&gt;=DATE(2026,1,1))*('DRAFT 2'!$A:$A&lt;DATE(2026,IF(1=12,1+1,1+1),1)),'DRAFT 2'!$A:$A),"")</f>
        <v>0</v>
      </c>
      <c r="CG181">
        <f>COUNTIFS('DRAFT 2'!$D:$D,$B181,'DRAFT 2'!$A:$A,"&gt;="&amp;DATE(2026,1,1),'DRAFT 2'!$A:$A,"&lt;="&amp;DATE(2026,1,7))</f>
        <v>0</v>
      </c>
      <c r="CH181">
        <f>COUNTIFS('DRAFT 2'!$D:$D,$B181,'DRAFT 2'!$A:$A,"&gt;="&amp;DATE(2026,1,8),'DRAFT 2'!$A:$A,"&lt;="&amp;DATE(2026,1,14))</f>
        <v>0</v>
      </c>
      <c r="CI181">
        <f>COUNTIFS('DRAFT 2'!$D:$D,$B181,'DRAFT 2'!$A:$A,"&gt;="&amp;DATE(2026,1,15),'DRAFT 2'!$A:$A,"&lt;="&amp;DATE(2026,1,21))</f>
        <v>0</v>
      </c>
      <c r="CJ181">
        <f>COUNTIFS('DRAFT 2'!$D:$D,$B181,'DRAFT 2'!$A:$A,"&gt;="&amp;DATE(2026,1,22),'DRAFT 2'!$A:$A,"&lt;"&amp;DATE(2026,IF(1=12,1+1,1+1),1))</f>
        <v>0</v>
      </c>
      <c r="CK181">
        <f t="shared" si="72"/>
        <v>0</v>
      </c>
      <c r="CT181">
        <v>0</v>
      </c>
      <c r="CU181">
        <f>IFERROR(LOOKUP(2,1/('DRAFT 2'!$D:$D=$B181)*('DRAFT 2'!$A:$A&gt;=DATE(2026,2,1))*('DRAFT 2'!$A:$A&lt;DATE(2026,IF(2=12,2+1,2+1),1)),'DRAFT 2'!$A:$A),"")</f>
        <v>0</v>
      </c>
      <c r="CV181">
        <f>COUNTIFS('DRAFT 2'!$D:$D,$B181,'DRAFT 2'!$A:$A,"&gt;="&amp;DATE(2026,2,1),'DRAFT 2'!$A:$A,"&lt;="&amp;DATE(2026,2,7))</f>
        <v>0</v>
      </c>
      <c r="CW181">
        <f>COUNTIFS('DRAFT 2'!$D:$D,$B181,'DRAFT 2'!$A:$A,"&gt;="&amp;DATE(2026,2,8),'DRAFT 2'!$A:$A,"&lt;="&amp;DATE(2026,2,14))</f>
        <v>0</v>
      </c>
      <c r="CX181">
        <f>COUNTIFS('DRAFT 2'!$D:$D,$B181,'DRAFT 2'!$A:$A,"&gt;="&amp;DATE(2026,2,15),'DRAFT 2'!$A:$A,"&lt;="&amp;DATE(2026,2,21))</f>
        <v>0</v>
      </c>
      <c r="CY181">
        <f>COUNTIFS('DRAFT 2'!$D:$D,$B181,'DRAFT 2'!$A:$A,"&gt;="&amp;DATE(2026,2,22),'DRAFT 2'!$A:$A,"&lt;"&amp;DATE(2026,IF(2=12,2+1,2+1),1))</f>
        <v>0</v>
      </c>
      <c r="CZ181">
        <f t="shared" si="73"/>
        <v>0</v>
      </c>
      <c r="DJ181">
        <f>IFERROR(LOOKUP(2,1/('DRAFT 2'!$D:$D=$B181)*('DRAFT 2'!$A:$A&gt;=DATE(2026,3,1))*('DRAFT 2'!$A:$A&lt;DATE(2026,IF(3=12,3+1,3+1),1)),'DRAFT 2'!$A:$A),"")</f>
        <v>0</v>
      </c>
      <c r="DK181">
        <f>COUNTIFS('DRAFT 2'!$D:$D,$B181,'DRAFT 2'!$A:$A,"&gt;="&amp;DATE(2026,3,1),'DRAFT 2'!$A:$A,"&lt;="&amp;DATE(2026,3,7))</f>
        <v>0</v>
      </c>
      <c r="DL181">
        <f>COUNTIFS('DRAFT 2'!$D:$D,$B181,'DRAFT 2'!$A:$A,"&gt;="&amp;DATE(2026,3,8),'DRAFT 2'!$A:$A,"&lt;="&amp;DATE(2026,3,14))</f>
        <v>0</v>
      </c>
      <c r="DM181">
        <f>COUNTIFS('DRAFT 2'!$D:$D,$B181,'DRAFT 2'!$A:$A,"&gt;="&amp;DATE(2026,3,15),'DRAFT 2'!$A:$A,"&lt;="&amp;DATE(2026,3,21))</f>
        <v>0</v>
      </c>
      <c r="DN181">
        <f>COUNTIFS('DRAFT 2'!$D:$D,$B181,'DRAFT 2'!$A:$A,"&gt;="&amp;DATE(2026,3,22),'DRAFT 2'!$A:$A,"&lt;"&amp;DATE(2026,IF(3=12,3+1,3+1),1))</f>
        <v>0</v>
      </c>
      <c r="DO181">
        <f t="shared" si="74"/>
        <v>0</v>
      </c>
      <c r="DZ181">
        <f>IFERROR(LOOKUP(2,1/('DRAFT 2'!$D:$D=$B181)*('DRAFT 2'!$A:$A&gt;=DATE(2026,4,1))*('DRAFT 2'!$A:$A&lt;DATE(2026,IF(4=12,4+1,4+1),1)),'DRAFT 2'!$A:$A),"")</f>
        <v>0</v>
      </c>
      <c r="EA181">
        <f>COUNTIFS('DRAFT 2'!$D:$D,$B181,'DRAFT 2'!$A:$A,"&gt;="&amp;DATE(2026,4,1),'DRAFT 2'!$A:$A,"&lt;="&amp;DATE(2026,4,7))</f>
        <v>0</v>
      </c>
      <c r="EB181">
        <f>COUNTIFS('DRAFT 2'!$D:$D,$B181,'DRAFT 2'!$A:$A,"&gt;="&amp;DATE(2026,4,8),'DRAFT 2'!$A:$A,"&lt;="&amp;DATE(2026,4,14))</f>
        <v>0</v>
      </c>
      <c r="EC181">
        <f>COUNTIFS('DRAFT 2'!$D:$D,$B181,'DRAFT 2'!$A:$A,"&gt;="&amp;DATE(2026,4,15),'DRAFT 2'!$A:$A,"&lt;="&amp;DATE(2026,4,21))</f>
        <v>0</v>
      </c>
      <c r="ED181">
        <f>COUNTIFS('DRAFT 2'!$D:$D,$B181,'DRAFT 2'!$A:$A,"&gt;="&amp;DATE(2026,4,22),'DRAFT 2'!$A:$A,"&lt;"&amp;DATE(2026,IF(4=12,4+1,4+1),1))</f>
        <v>0</v>
      </c>
      <c r="EE181">
        <f t="shared" si="75"/>
        <v>0</v>
      </c>
      <c r="EO181">
        <f>IFERROR(LOOKUP(2,1/('DRAFT 2'!$D:$D=$B181)*('DRAFT 2'!$A:$A&gt;=DATE(2026,5,1))*('DRAFT 2'!$A:$A&lt;DATE(2026,IF(5=12,5+1,5+1),1)),'DRAFT 2'!$A:$A),"")</f>
        <v>0</v>
      </c>
      <c r="EP181">
        <f>COUNTIFS('DRAFT 2'!$D:$D,$B181,'DRAFT 2'!$A:$A,"&gt;="&amp;DATE(2026,5,1),'DRAFT 2'!$A:$A,"&lt;="&amp;DATE(2026,5,7))</f>
        <v>0</v>
      </c>
      <c r="EQ181">
        <f>COUNTIFS('DRAFT 2'!$D:$D,$B181,'DRAFT 2'!$A:$A,"&gt;="&amp;DATE(2026,5,8),'DRAFT 2'!$A:$A,"&lt;="&amp;DATE(2026,5,14))</f>
        <v>0</v>
      </c>
      <c r="ER181">
        <f>COUNTIFS('DRAFT 2'!$D:$D,$B181,'DRAFT 2'!$A:$A,"&gt;="&amp;DATE(2026,5,15),'DRAFT 2'!$A:$A,"&lt;="&amp;DATE(2026,5,21))</f>
        <v>0</v>
      </c>
      <c r="ES181">
        <f>COUNTIFS('DRAFT 2'!$D:$D,$B181,'DRAFT 2'!$A:$A,"&gt;="&amp;DATE(2026,5,22),'DRAFT 2'!$A:$A,"&lt;"&amp;DATE(2026,IF(5=12,5+1,5+1),1))</f>
        <v>0</v>
      </c>
      <c r="ET181">
        <f t="shared" si="76"/>
        <v>0</v>
      </c>
      <c r="FD181">
        <f>IFERROR(LOOKUP(2,1/('DRAFT 2'!$D:$D=$B181)*('DRAFT 2'!$A:$A&gt;=DATE(2026,6,1))*('DRAFT 2'!$A:$A&lt;DATE(2026,IF(6=12,6+1,6+1),1)),'DRAFT 2'!$A:$A),"")</f>
        <v>0</v>
      </c>
      <c r="FE181">
        <f>COUNTIFS('DRAFT 2'!$D:$D,$B181,'DRAFT 2'!$A:$A,"&gt;="&amp;DATE(2026,6,1),'DRAFT 2'!$A:$A,"&lt;="&amp;DATE(2026,6,7))</f>
        <v>0</v>
      </c>
      <c r="FF181">
        <f>COUNTIFS('DRAFT 2'!$D:$D,$B181,'DRAFT 2'!$A:$A,"&gt;="&amp;DATE(2026,6,8),'DRAFT 2'!$A:$A,"&lt;="&amp;DATE(2026,6,14))</f>
        <v>0</v>
      </c>
      <c r="FG181">
        <f>COUNTIFS('DRAFT 2'!$D:$D,$B181,'DRAFT 2'!$A:$A,"&gt;="&amp;DATE(2026,6,15),'DRAFT 2'!$A:$A,"&lt;="&amp;DATE(2026,6,21))</f>
        <v>0</v>
      </c>
      <c r="FH181">
        <f>COUNTIFS('DRAFT 2'!$D:$D,$B181,'DRAFT 2'!$A:$A,"&gt;="&amp;DATE(2026,6,22),'DRAFT 2'!$A:$A,"&lt;"&amp;DATE(2026,IF(6=12,6+1,6+1),1))</f>
        <v>0</v>
      </c>
      <c r="FI181">
        <f t="shared" si="77"/>
        <v>0</v>
      </c>
      <c r="FT181">
        <f>IFERROR(LOOKUP(2,1/('DRAFT 2'!$D:$D=$B181)*('DRAFT 2'!$A:$A&gt;=DATE(2026,7,1))*('DRAFT 2'!$A:$A&lt;DATE(2026,IF(7=12,7+1,7+1),1)),'DRAFT 2'!$A:$A),"")</f>
        <v>0</v>
      </c>
      <c r="FU181">
        <f>COUNTIFS('DRAFT 2'!$D:$D,$B181,'DRAFT 2'!$A:$A,"&gt;="&amp;DATE(2026,7,1),'DRAFT 2'!$A:$A,"&lt;="&amp;DATE(2026,7,7))</f>
        <v>0</v>
      </c>
      <c r="FV181">
        <f>COUNTIFS('DRAFT 2'!$D:$D,$B181,'DRAFT 2'!$A:$A,"&gt;="&amp;DATE(2026,7,8),'DRAFT 2'!$A:$A,"&lt;="&amp;DATE(2026,7,14))</f>
        <v>0</v>
      </c>
      <c r="FW181">
        <f>COUNTIFS('DRAFT 2'!$D:$D,$B181,'DRAFT 2'!$A:$A,"&gt;="&amp;DATE(2026,7,15),'DRAFT 2'!$A:$A,"&lt;="&amp;DATE(2026,7,21))</f>
        <v>0</v>
      </c>
      <c r="FX181">
        <f>COUNTIFS('DRAFT 2'!$D:$D,$B181,'DRAFT 2'!$A:$A,"&gt;="&amp;DATE(2026,7,22),'DRAFT 2'!$A:$A,"&lt;"&amp;DATE(2026,IF(7=12,7+1,7+1),1))</f>
        <v>0</v>
      </c>
      <c r="FY181">
        <f t="shared" si="78"/>
        <v>0</v>
      </c>
      <c r="GI181">
        <f>IFERROR(LOOKUP(2,1/('DRAFT 2'!$D:$D=$B181)*('DRAFT 2'!$A:$A&gt;=DATE(2026,8,1))*('DRAFT 2'!$A:$A&lt;DATE(2026,IF(8=12,8+1,8+1),1)),'DRAFT 2'!$A:$A),"")</f>
        <v>0</v>
      </c>
      <c r="GJ181">
        <f>COUNTIFS('DRAFT 2'!$D:$D,$B181,'DRAFT 2'!$A:$A,"&gt;="&amp;DATE(2026,8,1),'DRAFT 2'!$A:$A,"&lt;="&amp;DATE(2026,8,7))</f>
        <v>0</v>
      </c>
      <c r="GK181">
        <f>COUNTIFS('DRAFT 2'!$D:$D,$B181,'DRAFT 2'!$A:$A,"&gt;="&amp;DATE(2026,8,8),'DRAFT 2'!$A:$A,"&lt;="&amp;DATE(2026,8,14))</f>
        <v>0</v>
      </c>
      <c r="GL181">
        <f>COUNTIFS('DRAFT 2'!$D:$D,$B181,'DRAFT 2'!$A:$A,"&gt;="&amp;DATE(2026,8,15),'DRAFT 2'!$A:$A,"&lt;="&amp;DATE(2026,8,21))</f>
        <v>0</v>
      </c>
      <c r="GM181">
        <f>COUNTIFS('DRAFT 2'!$D:$D,$B181,'DRAFT 2'!$A:$A,"&gt;="&amp;DATE(2026,8,22),'DRAFT 2'!$A:$A,"&lt;"&amp;DATE(2026,IF(8=12,8+1,8+1),1))</f>
        <v>0</v>
      </c>
      <c r="GN181">
        <f t="shared" si="79"/>
        <v>0</v>
      </c>
      <c r="GX181">
        <f>IFERROR(LOOKUP(2,1/('DRAFT 2'!$D:$D=$B181)*('DRAFT 2'!$A:$A&gt;=DATE(2026,9,1))*('DRAFT 2'!$A:$A&lt;DATE(2026,IF(9=12,9+1,9+1),1)),'DRAFT 2'!$A:$A),"")</f>
        <v>0</v>
      </c>
      <c r="GY181">
        <f>COUNTIFS('DRAFT 2'!$D:$D,$B181,'DRAFT 2'!$A:$A,"&gt;="&amp;DATE(2026,9,1),'DRAFT 2'!$A:$A,"&lt;="&amp;DATE(2026,9,7))</f>
        <v>0</v>
      </c>
      <c r="GZ181">
        <f>COUNTIFS('DRAFT 2'!$D:$D,$B181,'DRAFT 2'!$A:$A,"&gt;="&amp;DATE(2026,9,8),'DRAFT 2'!$A:$A,"&lt;="&amp;DATE(2026,9,14))</f>
        <v>0</v>
      </c>
      <c r="HA181">
        <f>COUNTIFS('DRAFT 2'!$D:$D,$B181,'DRAFT 2'!$A:$A,"&gt;="&amp;DATE(2026,9,15),'DRAFT 2'!$A:$A,"&lt;="&amp;DATE(2026,9,21))</f>
        <v>0</v>
      </c>
      <c r="HB181">
        <f>COUNTIFS('DRAFT 2'!$D:$D,$B181,'DRAFT 2'!$A:$A,"&gt;="&amp;DATE(2026,9,22),'DRAFT 2'!$A:$A,"&lt;"&amp;DATE(2026,IF(9=12,9+1,9+1),1))</f>
        <v>0</v>
      </c>
      <c r="HC181">
        <f t="shared" si="80"/>
        <v>0</v>
      </c>
      <c r="HN181">
        <f>IFERROR(LOOKUP(2,1/('DRAFT 2'!$D:$D=$B181)*('DRAFT 2'!$A:$A&gt;=DATE(2026,10,1))*('DRAFT 2'!$A:$A&lt;DATE(2026,IF(10=12,10+1,10+1),1)),'DRAFT 2'!$A:$A),"")</f>
        <v>0</v>
      </c>
      <c r="HO181">
        <f>COUNTIFS('DRAFT 2'!$D:$D,$B181,'DRAFT 2'!$A:$A,"&gt;="&amp;DATE(2026,10,1),'DRAFT 2'!$A:$A,"&lt;="&amp;DATE(2026,10,7))</f>
        <v>0</v>
      </c>
      <c r="HP181">
        <f>COUNTIFS('DRAFT 2'!$D:$D,$B181,'DRAFT 2'!$A:$A,"&gt;="&amp;DATE(2026,10,8),'DRAFT 2'!$A:$A,"&lt;="&amp;DATE(2026,10,14))</f>
        <v>0</v>
      </c>
      <c r="HQ181">
        <f>COUNTIFS('DRAFT 2'!$D:$D,$B181,'DRAFT 2'!$A:$A,"&gt;="&amp;DATE(2026,10,15),'DRAFT 2'!$A:$A,"&lt;="&amp;DATE(2026,10,21))</f>
        <v>0</v>
      </c>
      <c r="HR181">
        <f>COUNTIFS('DRAFT 2'!$D:$D,$B181,'DRAFT 2'!$A:$A,"&gt;="&amp;DATE(2026,10,22),'DRAFT 2'!$A:$A,"&lt;"&amp;DATE(2026,IF(10=12,10+1,10+1),1))</f>
        <v>0</v>
      </c>
      <c r="HS181">
        <f t="shared" si="81"/>
        <v>0</v>
      </c>
      <c r="IC181">
        <f>IFERROR(LOOKUP(2,1/('DRAFT 2'!$D:$D=$B181)*('DRAFT 2'!$A:$A&gt;=DATE(2026,11,1))*('DRAFT 2'!$A:$A&lt;DATE(2026,IF(11=12,11+1,11+1),1)),'DRAFT 2'!$A:$A),"")</f>
        <v>0</v>
      </c>
      <c r="ID181">
        <f>COUNTIFS('DRAFT 2'!$D:$D,$B181,'DRAFT 2'!$A:$A,"&gt;="&amp;DATE(2026,11,1),'DRAFT 2'!$A:$A,"&lt;="&amp;DATE(2026,11,7))</f>
        <v>0</v>
      </c>
      <c r="IE181">
        <f>COUNTIFS('DRAFT 2'!$D:$D,$B181,'DRAFT 2'!$A:$A,"&gt;="&amp;DATE(2026,11,8),'DRAFT 2'!$A:$A,"&lt;="&amp;DATE(2026,11,14))</f>
        <v>0</v>
      </c>
      <c r="IF181">
        <f>COUNTIFS('DRAFT 2'!$D:$D,$B181,'DRAFT 2'!$A:$A,"&gt;="&amp;DATE(2026,11,15),'DRAFT 2'!$A:$A,"&lt;="&amp;DATE(2026,11,21))</f>
        <v>0</v>
      </c>
      <c r="IG181">
        <f>COUNTIFS('DRAFT 2'!$D:$D,$B181,'DRAFT 2'!$A:$A,"&gt;="&amp;DATE(2026,11,22),'DRAFT 2'!$A:$A,"&lt;"&amp;DATE(2026,IF(11=12,11+1,11+1),1))</f>
        <v>0</v>
      </c>
      <c r="IH181">
        <f t="shared" si="82"/>
        <v>0</v>
      </c>
      <c r="IR181">
        <f>IFERROR(LOOKUP(2,1/('DRAFT 2'!$D:$D=$B181)*('DRAFT 2'!$A:$A&gt;=DATE(2026,12,1))*('DRAFT 2'!$A:$A&lt;DATE(2026,IF(12=12,12+1,12+1),1)),'DRAFT 2'!$A:$A),"")</f>
        <v>0</v>
      </c>
      <c r="IS181">
        <f>COUNTIFS('DRAFT 2'!$D:$D,$B181,'DRAFT 2'!$A:$A,"&gt;="&amp;DATE(2026,12,1),'DRAFT 2'!$A:$A,"&lt;="&amp;DATE(2026,12,7))</f>
        <v>0</v>
      </c>
      <c r="IT181">
        <f>COUNTIFS('DRAFT 2'!$D:$D,$B181,'DRAFT 2'!$A:$A,"&gt;="&amp;DATE(2026,12,8),'DRAFT 2'!$A:$A,"&lt;="&amp;DATE(2026,12,14))</f>
        <v>0</v>
      </c>
      <c r="IU181">
        <f>COUNTIFS('DRAFT 2'!$D:$D,$B181,'DRAFT 2'!$A:$A,"&gt;="&amp;DATE(2026,12,15),'DRAFT 2'!$A:$A,"&lt;="&amp;DATE(2026,12,21))</f>
        <v>0</v>
      </c>
      <c r="IV181">
        <f>COUNTIFS('DRAFT 2'!$D:$D,$B181,'DRAFT 2'!$A:$A,"&gt;="&amp;DATE(2026,12,22),'DRAFT 2'!$A:$A,"&lt;"&amp;DATE(2026,IF(12=12,12+1,12+1),1))</f>
        <v>0</v>
      </c>
      <c r="IW181">
        <f t="shared" si="83"/>
        <v>0</v>
      </c>
    </row>
    <row r="182" spans="1:257" x14ac:dyDescent="0.3">
      <c r="A182" t="str">
        <f>IFERROR(INDEX('DRAFT 1'!$A:$A,MATCH($B182,'DRAFT 1'!$B:$B,0)),"")</f>
        <v/>
      </c>
      <c r="C182" t="str">
        <f>IFERROR(INDEX('DRAFT 1'!$C:$C,MATCH($B182,'DRAFT 1'!$B:$B,0)),"")</f>
        <v/>
      </c>
      <c r="D182" t="str">
        <f>IFERROR(INDEX('DRAFT 1'!$D:$D,MATCH($B182,'DRAFT 1'!$B:$B,0)),"")</f>
        <v/>
      </c>
      <c r="E182" t="str">
        <f>IFERROR(INDEX('DRAFT 1'!$E:$E,MATCH($B182,'DRAFT 1'!$B:$B,0)),"")</f>
        <v/>
      </c>
      <c r="F182" t="str">
        <f>IFERROR(INDEX('DRAFT 1'!$F:$F,MATCH($B182,'DRAFT 1'!$B:$B,0)),"")</f>
        <v/>
      </c>
      <c r="G182" t="str">
        <f>IFERROR(INDEX('DRAFT 1'!$G:$G,MATCH($B182,'DRAFT 1'!$B:$B,0)),"")</f>
        <v/>
      </c>
      <c r="H182" t="str">
        <f>IFERROR(INDEX('DRAFT 1'!$H:$H,MATCH($B182,'DRAFT 1'!$B:$B,0)),"")</f>
        <v/>
      </c>
      <c r="I182" t="str">
        <f>IFERROR(INDEX('DRAFT 1'!$I:$I,MATCH($B182,'DRAFT 1'!$B:$B,0)),"")</f>
        <v/>
      </c>
      <c r="K182" t="str">
        <f>IFERROR(INDEX('DRAFT 1'!$AL:$AL,MATCH($B182,'DRAFT 1'!$B:$B,0)),"")</f>
        <v/>
      </c>
      <c r="L182" t="str">
        <f>IFERROR(INDEX('DRAFT 1'!$J:$J,MATCH($B182,'DRAFT 1'!$B:$B,0)),"")</f>
        <v/>
      </c>
      <c r="M182" t="str">
        <f>IFERROR(INDEX('DRAFT 1'!$K:$K,MATCH($B182,'DRAFT 1'!$B:$B,0)),"")</f>
        <v/>
      </c>
      <c r="P182" t="str">
        <f>IFERROR(INDEX('DRAFT 1'!$L:$L,MATCH($B182,'DRAFT 1'!$B:$B,0)),"")</f>
        <v/>
      </c>
      <c r="Q182" t="str">
        <f>IFERROR(INDEX('DRAFT 1'!$M:$M,MATCH($B182,'DRAFT 1'!$B:$B,0)),"")</f>
        <v/>
      </c>
      <c r="R182" t="str">
        <f>IFERROR(INDEX('DRAFT 1'!$N:$N,MATCH($B182,'DRAFT 1'!$B:$B,0)),"")</f>
        <v/>
      </c>
      <c r="S182" t="str">
        <f>IFERROR(INDEX('DRAFT 1'!$O:$O,MATCH($B182,'DRAFT 1'!$B:$B,0)),"")</f>
        <v/>
      </c>
      <c r="T182" t="str">
        <f>IFERROR(INDEX('DRAFT 1'!$P:$P,MATCH($B182,'DRAFT 1'!$B:$B,0)),"")</f>
        <v/>
      </c>
      <c r="U182" t="str">
        <f>IFERROR(INDEX('DRAFT 1'!$Q:$Q,MATCH($B182,'DRAFT 1'!$B:$B,0)),"")</f>
        <v/>
      </c>
      <c r="V182" t="str">
        <f>IFERROR(INDEX('DRAFT 1'!$R:$R,MATCH($B182,'DRAFT 1'!$B:$B,0)),"")</f>
        <v/>
      </c>
      <c r="W182" t="str">
        <f>IFERROR(INDEX('DRAFT 1'!$S:$S,MATCH($B182,'DRAFT 1'!$B:$B,0)),"")</f>
        <v/>
      </c>
      <c r="X182" t="str">
        <f>IFERROR(INDEX('DRAFT 1'!$T:$T,MATCH($B182,'DRAFT 1'!$B:$B,0)),"")</f>
        <v/>
      </c>
      <c r="Z182" t="str">
        <f>IFERROR(INDEX('DRAFT 1'!$U:$U,MATCH($B182,'DRAFT 1'!$B:$B,0)),"")</f>
        <v/>
      </c>
      <c r="AA182" t="str">
        <f>IFERROR(INDEX('DRAFT 1'!$V:$V,MATCH($B182,'DRAFT 1'!$B:$B,0)),"")</f>
        <v/>
      </c>
      <c r="AB182" t="str">
        <f>IFERROR(INDEX('DRAFT 1'!$W:$W,MATCH($B182,'DRAFT 1'!$B:$B,0)),"")</f>
        <v/>
      </c>
      <c r="AC182" t="str">
        <f>IFERROR(INDEX('DRAFT 1'!$X:$X,MATCH($B182,'DRAFT 1'!$B:$B,0)),"")</f>
        <v/>
      </c>
      <c r="AD182" t="str">
        <f>IFERROR(INDEX('DRAFT 1'!$Y:$Y,MATCH($B182,'DRAFT 1'!$B:$B,0)),"")</f>
        <v/>
      </c>
      <c r="AE182" t="str">
        <f>IFERROR(INDEX('DRAFT 1'!$Z:$Z,MATCH($B182,'DRAFT 1'!$B:$B,0)),"")</f>
        <v/>
      </c>
      <c r="AF182" t="str">
        <f>IFERROR(INDEX('DRAFT 1'!$AA:$AA,MATCH($B182,'DRAFT 1'!$B:$B,0)),"")</f>
        <v/>
      </c>
      <c r="AG182" t="str">
        <f>IFERROR(INDEX('DRAFT 1'!$AB:$AB,MATCH($B182,'DRAFT 1'!$B:$B,0)),"")</f>
        <v/>
      </c>
      <c r="AH182" t="str">
        <f>IFERROR(INDEX('DRAFT 1'!$AC:$AC,MATCH($B182,'DRAFT 1'!$B:$B,0)),"")</f>
        <v/>
      </c>
      <c r="AI182" t="str">
        <f>IFERROR(INDEX('DRAFT 1'!$AD:$AD,MATCH($B182,'DRAFT 1'!$B:$B,0)),"")</f>
        <v/>
      </c>
      <c r="AJ182" t="str">
        <f>IFERROR(INDEX('DRAFT 1'!$AE:$AE,MATCH($B182,'DRAFT 1'!$B:$B,0)),"")</f>
        <v/>
      </c>
      <c r="AK182" t="str">
        <f>IFERROR(INDEX('DRAFT 1'!$AG:$AG,MATCH($B182,'DRAFT 1'!$B:$B,0)),"")</f>
        <v/>
      </c>
      <c r="AL182" t="str">
        <f>IFERROR(INDEX('DRAFT 1'!$AH:$AH,MATCH($B182,'DRAFT 1'!$B:$B,0)),"")</f>
        <v/>
      </c>
      <c r="AM182" t="str">
        <f>IFERROR(INDEX('DRAFT 1'!$AI:$AI,MATCH($B182,'DRAFT 1'!$B:$B,0)),"")</f>
        <v/>
      </c>
      <c r="AN182" t="str">
        <f>IFERROR(INDEX('DRAFT 1'!$AJ:$AJ,MATCH($B182,'DRAFT 1'!$B:$B,0)),"")</f>
        <v/>
      </c>
      <c r="AO182">
        <f t="shared" si="70"/>
        <v>0</v>
      </c>
      <c r="AP182" t="str">
        <f>IFERROR(INDEX('DRAFT 1'!$AK:$AK,MATCH($B182,'DRAFT 1'!$B:$B,0)),"")</f>
        <v/>
      </c>
      <c r="AR182">
        <f>IFERROR(LOOKUP(2,1/('DRAFT 2'!$D:$D=$B182),'DRAFT 2'!$I:$I),"")</f>
        <v>0</v>
      </c>
      <c r="AS182">
        <f>IFERROR(LOOKUP(2,1/('DRAFT 2'!$D:$D=$B182),'DRAFT 2'!$T:$T),"")</f>
        <v>0</v>
      </c>
      <c r="AT182">
        <f>IFERROR(LOOKUP(2,1/('DRAFT 2'!$D:$D=$B182),'DRAFT 2'!$A:$A),"")</f>
        <v>0</v>
      </c>
      <c r="AU182">
        <f>IFERROR(LOOKUP(2,1/('DRAFT 2'!$D:$D=$B182),'DRAFT 2'!$R:$R),"")</f>
        <v>0</v>
      </c>
      <c r="AV182">
        <f>IFERROR(LOOKUP(2,1/('DRAFT 2'!$D:$D=$B182),'DRAFT 2'!$S:$S),"")</f>
        <v>0</v>
      </c>
      <c r="AX182">
        <f>IFERROR(LOOKUP(2,1/('DRAFT 2'!$D:$D=$B182),'DRAFT 2'!$M:$M),"")</f>
        <v>0</v>
      </c>
      <c r="AY182">
        <f>IFERROR(LOOKUP(2,1/('DRAFT 2'!$D:$D=$B182),'DRAFT 2'!$K:$K),"")</f>
        <v>0</v>
      </c>
      <c r="BG182">
        <f>IFERROR(LOOKUP(2,1/('DRAFT 2'!$D:$D=$B182),'DRAFT 2'!$U:$U),"")</f>
        <v>0</v>
      </c>
      <c r="BH182">
        <f>IFERROR(LOOKUP(2,1/('DRAFT 2'!$D:$D=$B182),'DRAFT 2'!$V:$V),"")</f>
        <v>0</v>
      </c>
      <c r="CE182" t="str">
        <f t="shared" si="71"/>
        <v/>
      </c>
      <c r="CF182">
        <f>IFERROR(LOOKUP(2,1/('DRAFT 2'!$D:$D=$B182)*('DRAFT 2'!$A:$A&gt;=DATE(2026,1,1))*('DRAFT 2'!$A:$A&lt;DATE(2026,IF(1=12,1+1,1+1),1)),'DRAFT 2'!$A:$A),"")</f>
        <v>0</v>
      </c>
      <c r="CG182">
        <f>COUNTIFS('DRAFT 2'!$D:$D,$B182,'DRAFT 2'!$A:$A,"&gt;="&amp;DATE(2026,1,1),'DRAFT 2'!$A:$A,"&lt;="&amp;DATE(2026,1,7))</f>
        <v>0</v>
      </c>
      <c r="CH182">
        <f>COUNTIFS('DRAFT 2'!$D:$D,$B182,'DRAFT 2'!$A:$A,"&gt;="&amp;DATE(2026,1,8),'DRAFT 2'!$A:$A,"&lt;="&amp;DATE(2026,1,14))</f>
        <v>0</v>
      </c>
      <c r="CI182">
        <f>COUNTIFS('DRAFT 2'!$D:$D,$B182,'DRAFT 2'!$A:$A,"&gt;="&amp;DATE(2026,1,15),'DRAFT 2'!$A:$A,"&lt;="&amp;DATE(2026,1,21))</f>
        <v>0</v>
      </c>
      <c r="CJ182">
        <f>COUNTIFS('DRAFT 2'!$D:$D,$B182,'DRAFT 2'!$A:$A,"&gt;="&amp;DATE(2026,1,22),'DRAFT 2'!$A:$A,"&lt;"&amp;DATE(2026,IF(1=12,1+1,1+1),1))</f>
        <v>0</v>
      </c>
      <c r="CK182">
        <f t="shared" si="72"/>
        <v>0</v>
      </c>
      <c r="CT182">
        <v>0</v>
      </c>
      <c r="CU182">
        <f>IFERROR(LOOKUP(2,1/('DRAFT 2'!$D:$D=$B182)*('DRAFT 2'!$A:$A&gt;=DATE(2026,2,1))*('DRAFT 2'!$A:$A&lt;DATE(2026,IF(2=12,2+1,2+1),1)),'DRAFT 2'!$A:$A),"")</f>
        <v>0</v>
      </c>
      <c r="CV182">
        <f>COUNTIFS('DRAFT 2'!$D:$D,$B182,'DRAFT 2'!$A:$A,"&gt;="&amp;DATE(2026,2,1),'DRAFT 2'!$A:$A,"&lt;="&amp;DATE(2026,2,7))</f>
        <v>0</v>
      </c>
      <c r="CW182">
        <f>COUNTIFS('DRAFT 2'!$D:$D,$B182,'DRAFT 2'!$A:$A,"&gt;="&amp;DATE(2026,2,8),'DRAFT 2'!$A:$A,"&lt;="&amp;DATE(2026,2,14))</f>
        <v>0</v>
      </c>
      <c r="CX182">
        <f>COUNTIFS('DRAFT 2'!$D:$D,$B182,'DRAFT 2'!$A:$A,"&gt;="&amp;DATE(2026,2,15),'DRAFT 2'!$A:$A,"&lt;="&amp;DATE(2026,2,21))</f>
        <v>0</v>
      </c>
      <c r="CY182">
        <f>COUNTIFS('DRAFT 2'!$D:$D,$B182,'DRAFT 2'!$A:$A,"&gt;="&amp;DATE(2026,2,22),'DRAFT 2'!$A:$A,"&lt;"&amp;DATE(2026,IF(2=12,2+1,2+1),1))</f>
        <v>0</v>
      </c>
      <c r="CZ182">
        <f t="shared" si="73"/>
        <v>0</v>
      </c>
      <c r="DJ182">
        <f>IFERROR(LOOKUP(2,1/('DRAFT 2'!$D:$D=$B182)*('DRAFT 2'!$A:$A&gt;=DATE(2026,3,1))*('DRAFT 2'!$A:$A&lt;DATE(2026,IF(3=12,3+1,3+1),1)),'DRAFT 2'!$A:$A),"")</f>
        <v>0</v>
      </c>
      <c r="DK182">
        <f>COUNTIFS('DRAFT 2'!$D:$D,$B182,'DRAFT 2'!$A:$A,"&gt;="&amp;DATE(2026,3,1),'DRAFT 2'!$A:$A,"&lt;="&amp;DATE(2026,3,7))</f>
        <v>0</v>
      </c>
      <c r="DL182">
        <f>COUNTIFS('DRAFT 2'!$D:$D,$B182,'DRAFT 2'!$A:$A,"&gt;="&amp;DATE(2026,3,8),'DRAFT 2'!$A:$A,"&lt;="&amp;DATE(2026,3,14))</f>
        <v>0</v>
      </c>
      <c r="DM182">
        <f>COUNTIFS('DRAFT 2'!$D:$D,$B182,'DRAFT 2'!$A:$A,"&gt;="&amp;DATE(2026,3,15),'DRAFT 2'!$A:$A,"&lt;="&amp;DATE(2026,3,21))</f>
        <v>0</v>
      </c>
      <c r="DN182">
        <f>COUNTIFS('DRAFT 2'!$D:$D,$B182,'DRAFT 2'!$A:$A,"&gt;="&amp;DATE(2026,3,22),'DRAFT 2'!$A:$A,"&lt;"&amp;DATE(2026,IF(3=12,3+1,3+1),1))</f>
        <v>0</v>
      </c>
      <c r="DO182">
        <f t="shared" si="74"/>
        <v>0</v>
      </c>
      <c r="DZ182">
        <f>IFERROR(LOOKUP(2,1/('DRAFT 2'!$D:$D=$B182)*('DRAFT 2'!$A:$A&gt;=DATE(2026,4,1))*('DRAFT 2'!$A:$A&lt;DATE(2026,IF(4=12,4+1,4+1),1)),'DRAFT 2'!$A:$A),"")</f>
        <v>0</v>
      </c>
      <c r="EA182">
        <f>COUNTIFS('DRAFT 2'!$D:$D,$B182,'DRAFT 2'!$A:$A,"&gt;="&amp;DATE(2026,4,1),'DRAFT 2'!$A:$A,"&lt;="&amp;DATE(2026,4,7))</f>
        <v>0</v>
      </c>
      <c r="EB182">
        <f>COUNTIFS('DRAFT 2'!$D:$D,$B182,'DRAFT 2'!$A:$A,"&gt;="&amp;DATE(2026,4,8),'DRAFT 2'!$A:$A,"&lt;="&amp;DATE(2026,4,14))</f>
        <v>0</v>
      </c>
      <c r="EC182">
        <f>COUNTIFS('DRAFT 2'!$D:$D,$B182,'DRAFT 2'!$A:$A,"&gt;="&amp;DATE(2026,4,15),'DRAFT 2'!$A:$A,"&lt;="&amp;DATE(2026,4,21))</f>
        <v>0</v>
      </c>
      <c r="ED182">
        <f>COUNTIFS('DRAFT 2'!$D:$D,$B182,'DRAFT 2'!$A:$A,"&gt;="&amp;DATE(2026,4,22),'DRAFT 2'!$A:$A,"&lt;"&amp;DATE(2026,IF(4=12,4+1,4+1),1))</f>
        <v>0</v>
      </c>
      <c r="EE182">
        <f t="shared" si="75"/>
        <v>0</v>
      </c>
      <c r="EO182">
        <f>IFERROR(LOOKUP(2,1/('DRAFT 2'!$D:$D=$B182)*('DRAFT 2'!$A:$A&gt;=DATE(2026,5,1))*('DRAFT 2'!$A:$A&lt;DATE(2026,IF(5=12,5+1,5+1),1)),'DRAFT 2'!$A:$A),"")</f>
        <v>0</v>
      </c>
      <c r="EP182">
        <f>COUNTIFS('DRAFT 2'!$D:$D,$B182,'DRAFT 2'!$A:$A,"&gt;="&amp;DATE(2026,5,1),'DRAFT 2'!$A:$A,"&lt;="&amp;DATE(2026,5,7))</f>
        <v>0</v>
      </c>
      <c r="EQ182">
        <f>COUNTIFS('DRAFT 2'!$D:$D,$B182,'DRAFT 2'!$A:$A,"&gt;="&amp;DATE(2026,5,8),'DRAFT 2'!$A:$A,"&lt;="&amp;DATE(2026,5,14))</f>
        <v>0</v>
      </c>
      <c r="ER182">
        <f>COUNTIFS('DRAFT 2'!$D:$D,$B182,'DRAFT 2'!$A:$A,"&gt;="&amp;DATE(2026,5,15),'DRAFT 2'!$A:$A,"&lt;="&amp;DATE(2026,5,21))</f>
        <v>0</v>
      </c>
      <c r="ES182">
        <f>COUNTIFS('DRAFT 2'!$D:$D,$B182,'DRAFT 2'!$A:$A,"&gt;="&amp;DATE(2026,5,22),'DRAFT 2'!$A:$A,"&lt;"&amp;DATE(2026,IF(5=12,5+1,5+1),1))</f>
        <v>0</v>
      </c>
      <c r="ET182">
        <f t="shared" si="76"/>
        <v>0</v>
      </c>
      <c r="FD182">
        <f>IFERROR(LOOKUP(2,1/('DRAFT 2'!$D:$D=$B182)*('DRAFT 2'!$A:$A&gt;=DATE(2026,6,1))*('DRAFT 2'!$A:$A&lt;DATE(2026,IF(6=12,6+1,6+1),1)),'DRAFT 2'!$A:$A),"")</f>
        <v>0</v>
      </c>
      <c r="FE182">
        <f>COUNTIFS('DRAFT 2'!$D:$D,$B182,'DRAFT 2'!$A:$A,"&gt;="&amp;DATE(2026,6,1),'DRAFT 2'!$A:$A,"&lt;="&amp;DATE(2026,6,7))</f>
        <v>0</v>
      </c>
      <c r="FF182">
        <f>COUNTIFS('DRAFT 2'!$D:$D,$B182,'DRAFT 2'!$A:$A,"&gt;="&amp;DATE(2026,6,8),'DRAFT 2'!$A:$A,"&lt;="&amp;DATE(2026,6,14))</f>
        <v>0</v>
      </c>
      <c r="FG182">
        <f>COUNTIFS('DRAFT 2'!$D:$D,$B182,'DRAFT 2'!$A:$A,"&gt;="&amp;DATE(2026,6,15),'DRAFT 2'!$A:$A,"&lt;="&amp;DATE(2026,6,21))</f>
        <v>0</v>
      </c>
      <c r="FH182">
        <f>COUNTIFS('DRAFT 2'!$D:$D,$B182,'DRAFT 2'!$A:$A,"&gt;="&amp;DATE(2026,6,22),'DRAFT 2'!$A:$A,"&lt;"&amp;DATE(2026,IF(6=12,6+1,6+1),1))</f>
        <v>0</v>
      </c>
      <c r="FI182">
        <f t="shared" si="77"/>
        <v>0</v>
      </c>
      <c r="FT182">
        <f>IFERROR(LOOKUP(2,1/('DRAFT 2'!$D:$D=$B182)*('DRAFT 2'!$A:$A&gt;=DATE(2026,7,1))*('DRAFT 2'!$A:$A&lt;DATE(2026,IF(7=12,7+1,7+1),1)),'DRAFT 2'!$A:$A),"")</f>
        <v>0</v>
      </c>
      <c r="FU182">
        <f>COUNTIFS('DRAFT 2'!$D:$D,$B182,'DRAFT 2'!$A:$A,"&gt;="&amp;DATE(2026,7,1),'DRAFT 2'!$A:$A,"&lt;="&amp;DATE(2026,7,7))</f>
        <v>0</v>
      </c>
      <c r="FV182">
        <f>COUNTIFS('DRAFT 2'!$D:$D,$B182,'DRAFT 2'!$A:$A,"&gt;="&amp;DATE(2026,7,8),'DRAFT 2'!$A:$A,"&lt;="&amp;DATE(2026,7,14))</f>
        <v>0</v>
      </c>
      <c r="FW182">
        <f>COUNTIFS('DRAFT 2'!$D:$D,$B182,'DRAFT 2'!$A:$A,"&gt;="&amp;DATE(2026,7,15),'DRAFT 2'!$A:$A,"&lt;="&amp;DATE(2026,7,21))</f>
        <v>0</v>
      </c>
      <c r="FX182">
        <f>COUNTIFS('DRAFT 2'!$D:$D,$B182,'DRAFT 2'!$A:$A,"&gt;="&amp;DATE(2026,7,22),'DRAFT 2'!$A:$A,"&lt;"&amp;DATE(2026,IF(7=12,7+1,7+1),1))</f>
        <v>0</v>
      </c>
      <c r="FY182">
        <f t="shared" si="78"/>
        <v>0</v>
      </c>
      <c r="GI182">
        <f>IFERROR(LOOKUP(2,1/('DRAFT 2'!$D:$D=$B182)*('DRAFT 2'!$A:$A&gt;=DATE(2026,8,1))*('DRAFT 2'!$A:$A&lt;DATE(2026,IF(8=12,8+1,8+1),1)),'DRAFT 2'!$A:$A),"")</f>
        <v>0</v>
      </c>
      <c r="GJ182">
        <f>COUNTIFS('DRAFT 2'!$D:$D,$B182,'DRAFT 2'!$A:$A,"&gt;="&amp;DATE(2026,8,1),'DRAFT 2'!$A:$A,"&lt;="&amp;DATE(2026,8,7))</f>
        <v>0</v>
      </c>
      <c r="GK182">
        <f>COUNTIFS('DRAFT 2'!$D:$D,$B182,'DRAFT 2'!$A:$A,"&gt;="&amp;DATE(2026,8,8),'DRAFT 2'!$A:$A,"&lt;="&amp;DATE(2026,8,14))</f>
        <v>0</v>
      </c>
      <c r="GL182">
        <f>COUNTIFS('DRAFT 2'!$D:$D,$B182,'DRAFT 2'!$A:$A,"&gt;="&amp;DATE(2026,8,15),'DRAFT 2'!$A:$A,"&lt;="&amp;DATE(2026,8,21))</f>
        <v>0</v>
      </c>
      <c r="GM182">
        <f>COUNTIFS('DRAFT 2'!$D:$D,$B182,'DRAFT 2'!$A:$A,"&gt;="&amp;DATE(2026,8,22),'DRAFT 2'!$A:$A,"&lt;"&amp;DATE(2026,IF(8=12,8+1,8+1),1))</f>
        <v>0</v>
      </c>
      <c r="GN182">
        <f t="shared" si="79"/>
        <v>0</v>
      </c>
      <c r="GX182">
        <f>IFERROR(LOOKUP(2,1/('DRAFT 2'!$D:$D=$B182)*('DRAFT 2'!$A:$A&gt;=DATE(2026,9,1))*('DRAFT 2'!$A:$A&lt;DATE(2026,IF(9=12,9+1,9+1),1)),'DRAFT 2'!$A:$A),"")</f>
        <v>0</v>
      </c>
      <c r="GY182">
        <f>COUNTIFS('DRAFT 2'!$D:$D,$B182,'DRAFT 2'!$A:$A,"&gt;="&amp;DATE(2026,9,1),'DRAFT 2'!$A:$A,"&lt;="&amp;DATE(2026,9,7))</f>
        <v>0</v>
      </c>
      <c r="GZ182">
        <f>COUNTIFS('DRAFT 2'!$D:$D,$B182,'DRAFT 2'!$A:$A,"&gt;="&amp;DATE(2026,9,8),'DRAFT 2'!$A:$A,"&lt;="&amp;DATE(2026,9,14))</f>
        <v>0</v>
      </c>
      <c r="HA182">
        <f>COUNTIFS('DRAFT 2'!$D:$D,$B182,'DRAFT 2'!$A:$A,"&gt;="&amp;DATE(2026,9,15),'DRAFT 2'!$A:$A,"&lt;="&amp;DATE(2026,9,21))</f>
        <v>0</v>
      </c>
      <c r="HB182">
        <f>COUNTIFS('DRAFT 2'!$D:$D,$B182,'DRAFT 2'!$A:$A,"&gt;="&amp;DATE(2026,9,22),'DRAFT 2'!$A:$A,"&lt;"&amp;DATE(2026,IF(9=12,9+1,9+1),1))</f>
        <v>0</v>
      </c>
      <c r="HC182">
        <f t="shared" si="80"/>
        <v>0</v>
      </c>
      <c r="HN182">
        <f>IFERROR(LOOKUP(2,1/('DRAFT 2'!$D:$D=$B182)*('DRAFT 2'!$A:$A&gt;=DATE(2026,10,1))*('DRAFT 2'!$A:$A&lt;DATE(2026,IF(10=12,10+1,10+1),1)),'DRAFT 2'!$A:$A),"")</f>
        <v>0</v>
      </c>
      <c r="HO182">
        <f>COUNTIFS('DRAFT 2'!$D:$D,$B182,'DRAFT 2'!$A:$A,"&gt;="&amp;DATE(2026,10,1),'DRAFT 2'!$A:$A,"&lt;="&amp;DATE(2026,10,7))</f>
        <v>0</v>
      </c>
      <c r="HP182">
        <f>COUNTIFS('DRAFT 2'!$D:$D,$B182,'DRAFT 2'!$A:$A,"&gt;="&amp;DATE(2026,10,8),'DRAFT 2'!$A:$A,"&lt;="&amp;DATE(2026,10,14))</f>
        <v>0</v>
      </c>
      <c r="HQ182">
        <f>COUNTIFS('DRAFT 2'!$D:$D,$B182,'DRAFT 2'!$A:$A,"&gt;="&amp;DATE(2026,10,15),'DRAFT 2'!$A:$A,"&lt;="&amp;DATE(2026,10,21))</f>
        <v>0</v>
      </c>
      <c r="HR182">
        <f>COUNTIFS('DRAFT 2'!$D:$D,$B182,'DRAFT 2'!$A:$A,"&gt;="&amp;DATE(2026,10,22),'DRAFT 2'!$A:$A,"&lt;"&amp;DATE(2026,IF(10=12,10+1,10+1),1))</f>
        <v>0</v>
      </c>
      <c r="HS182">
        <f t="shared" si="81"/>
        <v>0</v>
      </c>
      <c r="IC182">
        <f>IFERROR(LOOKUP(2,1/('DRAFT 2'!$D:$D=$B182)*('DRAFT 2'!$A:$A&gt;=DATE(2026,11,1))*('DRAFT 2'!$A:$A&lt;DATE(2026,IF(11=12,11+1,11+1),1)),'DRAFT 2'!$A:$A),"")</f>
        <v>0</v>
      </c>
      <c r="ID182">
        <f>COUNTIFS('DRAFT 2'!$D:$D,$B182,'DRAFT 2'!$A:$A,"&gt;="&amp;DATE(2026,11,1),'DRAFT 2'!$A:$A,"&lt;="&amp;DATE(2026,11,7))</f>
        <v>0</v>
      </c>
      <c r="IE182">
        <f>COUNTIFS('DRAFT 2'!$D:$D,$B182,'DRAFT 2'!$A:$A,"&gt;="&amp;DATE(2026,11,8),'DRAFT 2'!$A:$A,"&lt;="&amp;DATE(2026,11,14))</f>
        <v>0</v>
      </c>
      <c r="IF182">
        <f>COUNTIFS('DRAFT 2'!$D:$D,$B182,'DRAFT 2'!$A:$A,"&gt;="&amp;DATE(2026,11,15),'DRAFT 2'!$A:$A,"&lt;="&amp;DATE(2026,11,21))</f>
        <v>0</v>
      </c>
      <c r="IG182">
        <f>COUNTIFS('DRAFT 2'!$D:$D,$B182,'DRAFT 2'!$A:$A,"&gt;="&amp;DATE(2026,11,22),'DRAFT 2'!$A:$A,"&lt;"&amp;DATE(2026,IF(11=12,11+1,11+1),1))</f>
        <v>0</v>
      </c>
      <c r="IH182">
        <f t="shared" si="82"/>
        <v>0</v>
      </c>
      <c r="IR182">
        <f>IFERROR(LOOKUP(2,1/('DRAFT 2'!$D:$D=$B182)*('DRAFT 2'!$A:$A&gt;=DATE(2026,12,1))*('DRAFT 2'!$A:$A&lt;DATE(2026,IF(12=12,12+1,12+1),1)),'DRAFT 2'!$A:$A),"")</f>
        <v>0</v>
      </c>
      <c r="IS182">
        <f>COUNTIFS('DRAFT 2'!$D:$D,$B182,'DRAFT 2'!$A:$A,"&gt;="&amp;DATE(2026,12,1),'DRAFT 2'!$A:$A,"&lt;="&amp;DATE(2026,12,7))</f>
        <v>0</v>
      </c>
      <c r="IT182">
        <f>COUNTIFS('DRAFT 2'!$D:$D,$B182,'DRAFT 2'!$A:$A,"&gt;="&amp;DATE(2026,12,8),'DRAFT 2'!$A:$A,"&lt;="&amp;DATE(2026,12,14))</f>
        <v>0</v>
      </c>
      <c r="IU182">
        <f>COUNTIFS('DRAFT 2'!$D:$D,$B182,'DRAFT 2'!$A:$A,"&gt;="&amp;DATE(2026,12,15),'DRAFT 2'!$A:$A,"&lt;="&amp;DATE(2026,12,21))</f>
        <v>0</v>
      </c>
      <c r="IV182">
        <f>COUNTIFS('DRAFT 2'!$D:$D,$B182,'DRAFT 2'!$A:$A,"&gt;="&amp;DATE(2026,12,22),'DRAFT 2'!$A:$A,"&lt;"&amp;DATE(2026,IF(12=12,12+1,12+1),1))</f>
        <v>0</v>
      </c>
      <c r="IW182">
        <f t="shared" si="83"/>
        <v>0</v>
      </c>
    </row>
    <row r="183" spans="1:257" x14ac:dyDescent="0.3">
      <c r="A183" t="str">
        <f>IFERROR(INDEX('DRAFT 1'!$A:$A,MATCH($B183,'DRAFT 1'!$B:$B,0)),"")</f>
        <v/>
      </c>
      <c r="C183" t="str">
        <f>IFERROR(INDEX('DRAFT 1'!$C:$C,MATCH($B183,'DRAFT 1'!$B:$B,0)),"")</f>
        <v/>
      </c>
      <c r="D183" t="str">
        <f>IFERROR(INDEX('DRAFT 1'!$D:$D,MATCH($B183,'DRAFT 1'!$B:$B,0)),"")</f>
        <v/>
      </c>
      <c r="E183" t="str">
        <f>IFERROR(INDEX('DRAFT 1'!$E:$E,MATCH($B183,'DRAFT 1'!$B:$B,0)),"")</f>
        <v/>
      </c>
      <c r="F183" t="str">
        <f>IFERROR(INDEX('DRAFT 1'!$F:$F,MATCH($B183,'DRAFT 1'!$B:$B,0)),"")</f>
        <v/>
      </c>
      <c r="G183" t="str">
        <f>IFERROR(INDEX('DRAFT 1'!$G:$G,MATCH($B183,'DRAFT 1'!$B:$B,0)),"")</f>
        <v/>
      </c>
      <c r="H183" t="str">
        <f>IFERROR(INDEX('DRAFT 1'!$H:$H,MATCH($B183,'DRAFT 1'!$B:$B,0)),"")</f>
        <v/>
      </c>
      <c r="I183" t="str">
        <f>IFERROR(INDEX('DRAFT 1'!$I:$I,MATCH($B183,'DRAFT 1'!$B:$B,0)),"")</f>
        <v/>
      </c>
      <c r="K183" t="str">
        <f>IFERROR(INDEX('DRAFT 1'!$AL:$AL,MATCH($B183,'DRAFT 1'!$B:$B,0)),"")</f>
        <v/>
      </c>
      <c r="L183" t="str">
        <f>IFERROR(INDEX('DRAFT 1'!$J:$J,MATCH($B183,'DRAFT 1'!$B:$B,0)),"")</f>
        <v/>
      </c>
      <c r="M183" t="str">
        <f>IFERROR(INDEX('DRAFT 1'!$K:$K,MATCH($B183,'DRAFT 1'!$B:$B,0)),"")</f>
        <v/>
      </c>
      <c r="P183" t="str">
        <f>IFERROR(INDEX('DRAFT 1'!$L:$L,MATCH($B183,'DRAFT 1'!$B:$B,0)),"")</f>
        <v/>
      </c>
      <c r="Q183" t="str">
        <f>IFERROR(INDEX('DRAFT 1'!$M:$M,MATCH($B183,'DRAFT 1'!$B:$B,0)),"")</f>
        <v/>
      </c>
      <c r="R183" t="str">
        <f>IFERROR(INDEX('DRAFT 1'!$N:$N,MATCH($B183,'DRAFT 1'!$B:$B,0)),"")</f>
        <v/>
      </c>
      <c r="S183" t="str">
        <f>IFERROR(INDEX('DRAFT 1'!$O:$O,MATCH($B183,'DRAFT 1'!$B:$B,0)),"")</f>
        <v/>
      </c>
      <c r="T183" t="str">
        <f>IFERROR(INDEX('DRAFT 1'!$P:$P,MATCH($B183,'DRAFT 1'!$B:$B,0)),"")</f>
        <v/>
      </c>
      <c r="U183" t="str">
        <f>IFERROR(INDEX('DRAFT 1'!$Q:$Q,MATCH($B183,'DRAFT 1'!$B:$B,0)),"")</f>
        <v/>
      </c>
      <c r="V183" t="str">
        <f>IFERROR(INDEX('DRAFT 1'!$R:$R,MATCH($B183,'DRAFT 1'!$B:$B,0)),"")</f>
        <v/>
      </c>
      <c r="W183" t="str">
        <f>IFERROR(INDEX('DRAFT 1'!$S:$S,MATCH($B183,'DRAFT 1'!$B:$B,0)),"")</f>
        <v/>
      </c>
      <c r="X183" t="str">
        <f>IFERROR(INDEX('DRAFT 1'!$T:$T,MATCH($B183,'DRAFT 1'!$B:$B,0)),"")</f>
        <v/>
      </c>
      <c r="Z183" t="str">
        <f>IFERROR(INDEX('DRAFT 1'!$U:$U,MATCH($B183,'DRAFT 1'!$B:$B,0)),"")</f>
        <v/>
      </c>
      <c r="AA183" t="str">
        <f>IFERROR(INDEX('DRAFT 1'!$V:$V,MATCH($B183,'DRAFT 1'!$B:$B,0)),"")</f>
        <v/>
      </c>
      <c r="AB183" t="str">
        <f>IFERROR(INDEX('DRAFT 1'!$W:$W,MATCH($B183,'DRAFT 1'!$B:$B,0)),"")</f>
        <v/>
      </c>
      <c r="AC183" t="str">
        <f>IFERROR(INDEX('DRAFT 1'!$X:$X,MATCH($B183,'DRAFT 1'!$B:$B,0)),"")</f>
        <v/>
      </c>
      <c r="AD183" t="str">
        <f>IFERROR(INDEX('DRAFT 1'!$Y:$Y,MATCH($B183,'DRAFT 1'!$B:$B,0)),"")</f>
        <v/>
      </c>
      <c r="AE183" t="str">
        <f>IFERROR(INDEX('DRAFT 1'!$Z:$Z,MATCH($B183,'DRAFT 1'!$B:$B,0)),"")</f>
        <v/>
      </c>
      <c r="AF183" t="str">
        <f>IFERROR(INDEX('DRAFT 1'!$AA:$AA,MATCH($B183,'DRAFT 1'!$B:$B,0)),"")</f>
        <v/>
      </c>
      <c r="AG183" t="str">
        <f>IFERROR(INDEX('DRAFT 1'!$AB:$AB,MATCH($B183,'DRAFT 1'!$B:$B,0)),"")</f>
        <v/>
      </c>
      <c r="AH183" t="str">
        <f>IFERROR(INDEX('DRAFT 1'!$AC:$AC,MATCH($B183,'DRAFT 1'!$B:$B,0)),"")</f>
        <v/>
      </c>
      <c r="AI183" t="str">
        <f>IFERROR(INDEX('DRAFT 1'!$AD:$AD,MATCH($B183,'DRAFT 1'!$B:$B,0)),"")</f>
        <v/>
      </c>
      <c r="AJ183" t="str">
        <f>IFERROR(INDEX('DRAFT 1'!$AE:$AE,MATCH($B183,'DRAFT 1'!$B:$B,0)),"")</f>
        <v/>
      </c>
      <c r="AK183" t="str">
        <f>IFERROR(INDEX('DRAFT 1'!$AG:$AG,MATCH($B183,'DRAFT 1'!$B:$B,0)),"")</f>
        <v/>
      </c>
      <c r="AL183" t="str">
        <f>IFERROR(INDEX('DRAFT 1'!$AH:$AH,MATCH($B183,'DRAFT 1'!$B:$B,0)),"")</f>
        <v/>
      </c>
      <c r="AM183" t="str">
        <f>IFERROR(INDEX('DRAFT 1'!$AI:$AI,MATCH($B183,'DRAFT 1'!$B:$B,0)),"")</f>
        <v/>
      </c>
      <c r="AN183" t="str">
        <f>IFERROR(INDEX('DRAFT 1'!$AJ:$AJ,MATCH($B183,'DRAFT 1'!$B:$B,0)),"")</f>
        <v/>
      </c>
      <c r="AO183">
        <f t="shared" si="70"/>
        <v>0</v>
      </c>
      <c r="AP183" t="str">
        <f>IFERROR(INDEX('DRAFT 1'!$AK:$AK,MATCH($B183,'DRAFT 1'!$B:$B,0)),"")</f>
        <v/>
      </c>
      <c r="AR183">
        <f>IFERROR(LOOKUP(2,1/('DRAFT 2'!$D:$D=$B183),'DRAFT 2'!$I:$I),"")</f>
        <v>0</v>
      </c>
      <c r="AS183">
        <f>IFERROR(LOOKUP(2,1/('DRAFT 2'!$D:$D=$B183),'DRAFT 2'!$T:$T),"")</f>
        <v>0</v>
      </c>
      <c r="AT183">
        <f>IFERROR(LOOKUP(2,1/('DRAFT 2'!$D:$D=$B183),'DRAFT 2'!$A:$A),"")</f>
        <v>0</v>
      </c>
      <c r="AU183">
        <f>IFERROR(LOOKUP(2,1/('DRAFT 2'!$D:$D=$B183),'DRAFT 2'!$R:$R),"")</f>
        <v>0</v>
      </c>
      <c r="AV183">
        <f>IFERROR(LOOKUP(2,1/('DRAFT 2'!$D:$D=$B183),'DRAFT 2'!$S:$S),"")</f>
        <v>0</v>
      </c>
      <c r="AX183">
        <f>IFERROR(LOOKUP(2,1/('DRAFT 2'!$D:$D=$B183),'DRAFT 2'!$M:$M),"")</f>
        <v>0</v>
      </c>
      <c r="AY183">
        <f>IFERROR(LOOKUP(2,1/('DRAFT 2'!$D:$D=$B183),'DRAFT 2'!$K:$K),"")</f>
        <v>0</v>
      </c>
      <c r="BG183">
        <f>IFERROR(LOOKUP(2,1/('DRAFT 2'!$D:$D=$B183),'DRAFT 2'!$U:$U),"")</f>
        <v>0</v>
      </c>
      <c r="BH183">
        <f>IFERROR(LOOKUP(2,1/('DRAFT 2'!$D:$D=$B183),'DRAFT 2'!$V:$V),"")</f>
        <v>0</v>
      </c>
      <c r="CE183" t="str">
        <f t="shared" si="71"/>
        <v/>
      </c>
      <c r="CF183">
        <f>IFERROR(LOOKUP(2,1/('DRAFT 2'!$D:$D=$B183)*('DRAFT 2'!$A:$A&gt;=DATE(2026,1,1))*('DRAFT 2'!$A:$A&lt;DATE(2026,IF(1=12,1+1,1+1),1)),'DRAFT 2'!$A:$A),"")</f>
        <v>0</v>
      </c>
      <c r="CG183">
        <f>COUNTIFS('DRAFT 2'!$D:$D,$B183,'DRAFT 2'!$A:$A,"&gt;="&amp;DATE(2026,1,1),'DRAFT 2'!$A:$A,"&lt;="&amp;DATE(2026,1,7))</f>
        <v>0</v>
      </c>
      <c r="CH183">
        <f>COUNTIFS('DRAFT 2'!$D:$D,$B183,'DRAFT 2'!$A:$A,"&gt;="&amp;DATE(2026,1,8),'DRAFT 2'!$A:$A,"&lt;="&amp;DATE(2026,1,14))</f>
        <v>0</v>
      </c>
      <c r="CI183">
        <f>COUNTIFS('DRAFT 2'!$D:$D,$B183,'DRAFT 2'!$A:$A,"&gt;="&amp;DATE(2026,1,15),'DRAFT 2'!$A:$A,"&lt;="&amp;DATE(2026,1,21))</f>
        <v>0</v>
      </c>
      <c r="CJ183">
        <f>COUNTIFS('DRAFT 2'!$D:$D,$B183,'DRAFT 2'!$A:$A,"&gt;="&amp;DATE(2026,1,22),'DRAFT 2'!$A:$A,"&lt;"&amp;DATE(2026,IF(1=12,1+1,1+1),1))</f>
        <v>0</v>
      </c>
      <c r="CK183">
        <f t="shared" si="72"/>
        <v>0</v>
      </c>
      <c r="CT183">
        <v>0</v>
      </c>
      <c r="CU183">
        <f>IFERROR(LOOKUP(2,1/('DRAFT 2'!$D:$D=$B183)*('DRAFT 2'!$A:$A&gt;=DATE(2026,2,1))*('DRAFT 2'!$A:$A&lt;DATE(2026,IF(2=12,2+1,2+1),1)),'DRAFT 2'!$A:$A),"")</f>
        <v>0</v>
      </c>
      <c r="CV183">
        <f>COUNTIFS('DRAFT 2'!$D:$D,$B183,'DRAFT 2'!$A:$A,"&gt;="&amp;DATE(2026,2,1),'DRAFT 2'!$A:$A,"&lt;="&amp;DATE(2026,2,7))</f>
        <v>0</v>
      </c>
      <c r="CW183">
        <f>COUNTIFS('DRAFT 2'!$D:$D,$B183,'DRAFT 2'!$A:$A,"&gt;="&amp;DATE(2026,2,8),'DRAFT 2'!$A:$A,"&lt;="&amp;DATE(2026,2,14))</f>
        <v>0</v>
      </c>
      <c r="CX183">
        <f>COUNTIFS('DRAFT 2'!$D:$D,$B183,'DRAFT 2'!$A:$A,"&gt;="&amp;DATE(2026,2,15),'DRAFT 2'!$A:$A,"&lt;="&amp;DATE(2026,2,21))</f>
        <v>0</v>
      </c>
      <c r="CY183">
        <f>COUNTIFS('DRAFT 2'!$D:$D,$B183,'DRAFT 2'!$A:$A,"&gt;="&amp;DATE(2026,2,22),'DRAFT 2'!$A:$A,"&lt;"&amp;DATE(2026,IF(2=12,2+1,2+1),1))</f>
        <v>0</v>
      </c>
      <c r="CZ183">
        <f t="shared" si="73"/>
        <v>0</v>
      </c>
      <c r="DJ183">
        <f>IFERROR(LOOKUP(2,1/('DRAFT 2'!$D:$D=$B183)*('DRAFT 2'!$A:$A&gt;=DATE(2026,3,1))*('DRAFT 2'!$A:$A&lt;DATE(2026,IF(3=12,3+1,3+1),1)),'DRAFT 2'!$A:$A),"")</f>
        <v>0</v>
      </c>
      <c r="DK183">
        <f>COUNTIFS('DRAFT 2'!$D:$D,$B183,'DRAFT 2'!$A:$A,"&gt;="&amp;DATE(2026,3,1),'DRAFT 2'!$A:$A,"&lt;="&amp;DATE(2026,3,7))</f>
        <v>0</v>
      </c>
      <c r="DL183">
        <f>COUNTIFS('DRAFT 2'!$D:$D,$B183,'DRAFT 2'!$A:$A,"&gt;="&amp;DATE(2026,3,8),'DRAFT 2'!$A:$A,"&lt;="&amp;DATE(2026,3,14))</f>
        <v>0</v>
      </c>
      <c r="DM183">
        <f>COUNTIFS('DRAFT 2'!$D:$D,$B183,'DRAFT 2'!$A:$A,"&gt;="&amp;DATE(2026,3,15),'DRAFT 2'!$A:$A,"&lt;="&amp;DATE(2026,3,21))</f>
        <v>0</v>
      </c>
      <c r="DN183">
        <f>COUNTIFS('DRAFT 2'!$D:$D,$B183,'DRAFT 2'!$A:$A,"&gt;="&amp;DATE(2026,3,22),'DRAFT 2'!$A:$A,"&lt;"&amp;DATE(2026,IF(3=12,3+1,3+1),1))</f>
        <v>0</v>
      </c>
      <c r="DO183">
        <f t="shared" si="74"/>
        <v>0</v>
      </c>
      <c r="DZ183">
        <f>IFERROR(LOOKUP(2,1/('DRAFT 2'!$D:$D=$B183)*('DRAFT 2'!$A:$A&gt;=DATE(2026,4,1))*('DRAFT 2'!$A:$A&lt;DATE(2026,IF(4=12,4+1,4+1),1)),'DRAFT 2'!$A:$A),"")</f>
        <v>0</v>
      </c>
      <c r="EA183">
        <f>COUNTIFS('DRAFT 2'!$D:$D,$B183,'DRAFT 2'!$A:$A,"&gt;="&amp;DATE(2026,4,1),'DRAFT 2'!$A:$A,"&lt;="&amp;DATE(2026,4,7))</f>
        <v>0</v>
      </c>
      <c r="EB183">
        <f>COUNTIFS('DRAFT 2'!$D:$D,$B183,'DRAFT 2'!$A:$A,"&gt;="&amp;DATE(2026,4,8),'DRAFT 2'!$A:$A,"&lt;="&amp;DATE(2026,4,14))</f>
        <v>0</v>
      </c>
      <c r="EC183">
        <f>COUNTIFS('DRAFT 2'!$D:$D,$B183,'DRAFT 2'!$A:$A,"&gt;="&amp;DATE(2026,4,15),'DRAFT 2'!$A:$A,"&lt;="&amp;DATE(2026,4,21))</f>
        <v>0</v>
      </c>
      <c r="ED183">
        <f>COUNTIFS('DRAFT 2'!$D:$D,$B183,'DRAFT 2'!$A:$A,"&gt;="&amp;DATE(2026,4,22),'DRAFT 2'!$A:$A,"&lt;"&amp;DATE(2026,IF(4=12,4+1,4+1),1))</f>
        <v>0</v>
      </c>
      <c r="EE183">
        <f t="shared" si="75"/>
        <v>0</v>
      </c>
      <c r="EO183">
        <f>IFERROR(LOOKUP(2,1/('DRAFT 2'!$D:$D=$B183)*('DRAFT 2'!$A:$A&gt;=DATE(2026,5,1))*('DRAFT 2'!$A:$A&lt;DATE(2026,IF(5=12,5+1,5+1),1)),'DRAFT 2'!$A:$A),"")</f>
        <v>0</v>
      </c>
      <c r="EP183">
        <f>COUNTIFS('DRAFT 2'!$D:$D,$B183,'DRAFT 2'!$A:$A,"&gt;="&amp;DATE(2026,5,1),'DRAFT 2'!$A:$A,"&lt;="&amp;DATE(2026,5,7))</f>
        <v>0</v>
      </c>
      <c r="EQ183">
        <f>COUNTIFS('DRAFT 2'!$D:$D,$B183,'DRAFT 2'!$A:$A,"&gt;="&amp;DATE(2026,5,8),'DRAFT 2'!$A:$A,"&lt;="&amp;DATE(2026,5,14))</f>
        <v>0</v>
      </c>
      <c r="ER183">
        <f>COUNTIFS('DRAFT 2'!$D:$D,$B183,'DRAFT 2'!$A:$A,"&gt;="&amp;DATE(2026,5,15),'DRAFT 2'!$A:$A,"&lt;="&amp;DATE(2026,5,21))</f>
        <v>0</v>
      </c>
      <c r="ES183">
        <f>COUNTIFS('DRAFT 2'!$D:$D,$B183,'DRAFT 2'!$A:$A,"&gt;="&amp;DATE(2026,5,22),'DRAFT 2'!$A:$A,"&lt;"&amp;DATE(2026,IF(5=12,5+1,5+1),1))</f>
        <v>0</v>
      </c>
      <c r="ET183">
        <f t="shared" si="76"/>
        <v>0</v>
      </c>
      <c r="FD183">
        <f>IFERROR(LOOKUP(2,1/('DRAFT 2'!$D:$D=$B183)*('DRAFT 2'!$A:$A&gt;=DATE(2026,6,1))*('DRAFT 2'!$A:$A&lt;DATE(2026,IF(6=12,6+1,6+1),1)),'DRAFT 2'!$A:$A),"")</f>
        <v>0</v>
      </c>
      <c r="FE183">
        <f>COUNTIFS('DRAFT 2'!$D:$D,$B183,'DRAFT 2'!$A:$A,"&gt;="&amp;DATE(2026,6,1),'DRAFT 2'!$A:$A,"&lt;="&amp;DATE(2026,6,7))</f>
        <v>0</v>
      </c>
      <c r="FF183">
        <f>COUNTIFS('DRAFT 2'!$D:$D,$B183,'DRAFT 2'!$A:$A,"&gt;="&amp;DATE(2026,6,8),'DRAFT 2'!$A:$A,"&lt;="&amp;DATE(2026,6,14))</f>
        <v>0</v>
      </c>
      <c r="FG183">
        <f>COUNTIFS('DRAFT 2'!$D:$D,$B183,'DRAFT 2'!$A:$A,"&gt;="&amp;DATE(2026,6,15),'DRAFT 2'!$A:$A,"&lt;="&amp;DATE(2026,6,21))</f>
        <v>0</v>
      </c>
      <c r="FH183">
        <f>COUNTIFS('DRAFT 2'!$D:$D,$B183,'DRAFT 2'!$A:$A,"&gt;="&amp;DATE(2026,6,22),'DRAFT 2'!$A:$A,"&lt;"&amp;DATE(2026,IF(6=12,6+1,6+1),1))</f>
        <v>0</v>
      </c>
      <c r="FI183">
        <f t="shared" si="77"/>
        <v>0</v>
      </c>
      <c r="FT183">
        <f>IFERROR(LOOKUP(2,1/('DRAFT 2'!$D:$D=$B183)*('DRAFT 2'!$A:$A&gt;=DATE(2026,7,1))*('DRAFT 2'!$A:$A&lt;DATE(2026,IF(7=12,7+1,7+1),1)),'DRAFT 2'!$A:$A),"")</f>
        <v>0</v>
      </c>
      <c r="FU183">
        <f>COUNTIFS('DRAFT 2'!$D:$D,$B183,'DRAFT 2'!$A:$A,"&gt;="&amp;DATE(2026,7,1),'DRAFT 2'!$A:$A,"&lt;="&amp;DATE(2026,7,7))</f>
        <v>0</v>
      </c>
      <c r="FV183">
        <f>COUNTIFS('DRAFT 2'!$D:$D,$B183,'DRAFT 2'!$A:$A,"&gt;="&amp;DATE(2026,7,8),'DRAFT 2'!$A:$A,"&lt;="&amp;DATE(2026,7,14))</f>
        <v>0</v>
      </c>
      <c r="FW183">
        <f>COUNTIFS('DRAFT 2'!$D:$D,$B183,'DRAFT 2'!$A:$A,"&gt;="&amp;DATE(2026,7,15),'DRAFT 2'!$A:$A,"&lt;="&amp;DATE(2026,7,21))</f>
        <v>0</v>
      </c>
      <c r="FX183">
        <f>COUNTIFS('DRAFT 2'!$D:$D,$B183,'DRAFT 2'!$A:$A,"&gt;="&amp;DATE(2026,7,22),'DRAFT 2'!$A:$A,"&lt;"&amp;DATE(2026,IF(7=12,7+1,7+1),1))</f>
        <v>0</v>
      </c>
      <c r="FY183">
        <f t="shared" si="78"/>
        <v>0</v>
      </c>
      <c r="GI183">
        <f>IFERROR(LOOKUP(2,1/('DRAFT 2'!$D:$D=$B183)*('DRAFT 2'!$A:$A&gt;=DATE(2026,8,1))*('DRAFT 2'!$A:$A&lt;DATE(2026,IF(8=12,8+1,8+1),1)),'DRAFT 2'!$A:$A),"")</f>
        <v>0</v>
      </c>
      <c r="GJ183">
        <f>COUNTIFS('DRAFT 2'!$D:$D,$B183,'DRAFT 2'!$A:$A,"&gt;="&amp;DATE(2026,8,1),'DRAFT 2'!$A:$A,"&lt;="&amp;DATE(2026,8,7))</f>
        <v>0</v>
      </c>
      <c r="GK183">
        <f>COUNTIFS('DRAFT 2'!$D:$D,$B183,'DRAFT 2'!$A:$A,"&gt;="&amp;DATE(2026,8,8),'DRAFT 2'!$A:$A,"&lt;="&amp;DATE(2026,8,14))</f>
        <v>0</v>
      </c>
      <c r="GL183">
        <f>COUNTIFS('DRAFT 2'!$D:$D,$B183,'DRAFT 2'!$A:$A,"&gt;="&amp;DATE(2026,8,15),'DRAFT 2'!$A:$A,"&lt;="&amp;DATE(2026,8,21))</f>
        <v>0</v>
      </c>
      <c r="GM183">
        <f>COUNTIFS('DRAFT 2'!$D:$D,$B183,'DRAFT 2'!$A:$A,"&gt;="&amp;DATE(2026,8,22),'DRAFT 2'!$A:$A,"&lt;"&amp;DATE(2026,IF(8=12,8+1,8+1),1))</f>
        <v>0</v>
      </c>
      <c r="GN183">
        <f t="shared" si="79"/>
        <v>0</v>
      </c>
      <c r="GX183">
        <f>IFERROR(LOOKUP(2,1/('DRAFT 2'!$D:$D=$B183)*('DRAFT 2'!$A:$A&gt;=DATE(2026,9,1))*('DRAFT 2'!$A:$A&lt;DATE(2026,IF(9=12,9+1,9+1),1)),'DRAFT 2'!$A:$A),"")</f>
        <v>0</v>
      </c>
      <c r="GY183">
        <f>COUNTIFS('DRAFT 2'!$D:$D,$B183,'DRAFT 2'!$A:$A,"&gt;="&amp;DATE(2026,9,1),'DRAFT 2'!$A:$A,"&lt;="&amp;DATE(2026,9,7))</f>
        <v>0</v>
      </c>
      <c r="GZ183">
        <f>COUNTIFS('DRAFT 2'!$D:$D,$B183,'DRAFT 2'!$A:$A,"&gt;="&amp;DATE(2026,9,8),'DRAFT 2'!$A:$A,"&lt;="&amp;DATE(2026,9,14))</f>
        <v>0</v>
      </c>
      <c r="HA183">
        <f>COUNTIFS('DRAFT 2'!$D:$D,$B183,'DRAFT 2'!$A:$A,"&gt;="&amp;DATE(2026,9,15),'DRAFT 2'!$A:$A,"&lt;="&amp;DATE(2026,9,21))</f>
        <v>0</v>
      </c>
      <c r="HB183">
        <f>COUNTIFS('DRAFT 2'!$D:$D,$B183,'DRAFT 2'!$A:$A,"&gt;="&amp;DATE(2026,9,22),'DRAFT 2'!$A:$A,"&lt;"&amp;DATE(2026,IF(9=12,9+1,9+1),1))</f>
        <v>0</v>
      </c>
      <c r="HC183">
        <f t="shared" si="80"/>
        <v>0</v>
      </c>
      <c r="HN183">
        <f>IFERROR(LOOKUP(2,1/('DRAFT 2'!$D:$D=$B183)*('DRAFT 2'!$A:$A&gt;=DATE(2026,10,1))*('DRAFT 2'!$A:$A&lt;DATE(2026,IF(10=12,10+1,10+1),1)),'DRAFT 2'!$A:$A),"")</f>
        <v>0</v>
      </c>
      <c r="HO183">
        <f>COUNTIFS('DRAFT 2'!$D:$D,$B183,'DRAFT 2'!$A:$A,"&gt;="&amp;DATE(2026,10,1),'DRAFT 2'!$A:$A,"&lt;="&amp;DATE(2026,10,7))</f>
        <v>0</v>
      </c>
      <c r="HP183">
        <f>COUNTIFS('DRAFT 2'!$D:$D,$B183,'DRAFT 2'!$A:$A,"&gt;="&amp;DATE(2026,10,8),'DRAFT 2'!$A:$A,"&lt;="&amp;DATE(2026,10,14))</f>
        <v>0</v>
      </c>
      <c r="HQ183">
        <f>COUNTIFS('DRAFT 2'!$D:$D,$B183,'DRAFT 2'!$A:$A,"&gt;="&amp;DATE(2026,10,15),'DRAFT 2'!$A:$A,"&lt;="&amp;DATE(2026,10,21))</f>
        <v>0</v>
      </c>
      <c r="HR183">
        <f>COUNTIFS('DRAFT 2'!$D:$D,$B183,'DRAFT 2'!$A:$A,"&gt;="&amp;DATE(2026,10,22),'DRAFT 2'!$A:$A,"&lt;"&amp;DATE(2026,IF(10=12,10+1,10+1),1))</f>
        <v>0</v>
      </c>
      <c r="HS183">
        <f t="shared" si="81"/>
        <v>0</v>
      </c>
      <c r="IC183">
        <f>IFERROR(LOOKUP(2,1/('DRAFT 2'!$D:$D=$B183)*('DRAFT 2'!$A:$A&gt;=DATE(2026,11,1))*('DRAFT 2'!$A:$A&lt;DATE(2026,IF(11=12,11+1,11+1),1)),'DRAFT 2'!$A:$A),"")</f>
        <v>0</v>
      </c>
      <c r="ID183">
        <f>COUNTIFS('DRAFT 2'!$D:$D,$B183,'DRAFT 2'!$A:$A,"&gt;="&amp;DATE(2026,11,1),'DRAFT 2'!$A:$A,"&lt;="&amp;DATE(2026,11,7))</f>
        <v>0</v>
      </c>
      <c r="IE183">
        <f>COUNTIFS('DRAFT 2'!$D:$D,$B183,'DRAFT 2'!$A:$A,"&gt;="&amp;DATE(2026,11,8),'DRAFT 2'!$A:$A,"&lt;="&amp;DATE(2026,11,14))</f>
        <v>0</v>
      </c>
      <c r="IF183">
        <f>COUNTIFS('DRAFT 2'!$D:$D,$B183,'DRAFT 2'!$A:$A,"&gt;="&amp;DATE(2026,11,15),'DRAFT 2'!$A:$A,"&lt;="&amp;DATE(2026,11,21))</f>
        <v>0</v>
      </c>
      <c r="IG183">
        <f>COUNTIFS('DRAFT 2'!$D:$D,$B183,'DRAFT 2'!$A:$A,"&gt;="&amp;DATE(2026,11,22),'DRAFT 2'!$A:$A,"&lt;"&amp;DATE(2026,IF(11=12,11+1,11+1),1))</f>
        <v>0</v>
      </c>
      <c r="IH183">
        <f t="shared" si="82"/>
        <v>0</v>
      </c>
      <c r="IR183">
        <f>IFERROR(LOOKUP(2,1/('DRAFT 2'!$D:$D=$B183)*('DRAFT 2'!$A:$A&gt;=DATE(2026,12,1))*('DRAFT 2'!$A:$A&lt;DATE(2026,IF(12=12,12+1,12+1),1)),'DRAFT 2'!$A:$A),"")</f>
        <v>0</v>
      </c>
      <c r="IS183">
        <f>COUNTIFS('DRAFT 2'!$D:$D,$B183,'DRAFT 2'!$A:$A,"&gt;="&amp;DATE(2026,12,1),'DRAFT 2'!$A:$A,"&lt;="&amp;DATE(2026,12,7))</f>
        <v>0</v>
      </c>
      <c r="IT183">
        <f>COUNTIFS('DRAFT 2'!$D:$D,$B183,'DRAFT 2'!$A:$A,"&gt;="&amp;DATE(2026,12,8),'DRAFT 2'!$A:$A,"&lt;="&amp;DATE(2026,12,14))</f>
        <v>0</v>
      </c>
      <c r="IU183">
        <f>COUNTIFS('DRAFT 2'!$D:$D,$B183,'DRAFT 2'!$A:$A,"&gt;="&amp;DATE(2026,12,15),'DRAFT 2'!$A:$A,"&lt;="&amp;DATE(2026,12,21))</f>
        <v>0</v>
      </c>
      <c r="IV183">
        <f>COUNTIFS('DRAFT 2'!$D:$D,$B183,'DRAFT 2'!$A:$A,"&gt;="&amp;DATE(2026,12,22),'DRAFT 2'!$A:$A,"&lt;"&amp;DATE(2026,IF(12=12,12+1,12+1),1))</f>
        <v>0</v>
      </c>
      <c r="IW183">
        <f t="shared" si="83"/>
        <v>0</v>
      </c>
    </row>
    <row r="184" spans="1:257" x14ac:dyDescent="0.3">
      <c r="A184" t="str">
        <f>IFERROR(INDEX('DRAFT 1'!$A:$A,MATCH($B184,'DRAFT 1'!$B:$B,0)),"")</f>
        <v/>
      </c>
      <c r="C184" t="str">
        <f>IFERROR(INDEX('DRAFT 1'!$C:$C,MATCH($B184,'DRAFT 1'!$B:$B,0)),"")</f>
        <v/>
      </c>
      <c r="D184" t="str">
        <f>IFERROR(INDEX('DRAFT 1'!$D:$D,MATCH($B184,'DRAFT 1'!$B:$B,0)),"")</f>
        <v/>
      </c>
      <c r="E184" t="str">
        <f>IFERROR(INDEX('DRAFT 1'!$E:$E,MATCH($B184,'DRAFT 1'!$B:$B,0)),"")</f>
        <v/>
      </c>
      <c r="F184" t="str">
        <f>IFERROR(INDEX('DRAFT 1'!$F:$F,MATCH($B184,'DRAFT 1'!$B:$B,0)),"")</f>
        <v/>
      </c>
      <c r="G184" t="str">
        <f>IFERROR(INDEX('DRAFT 1'!$G:$G,MATCH($B184,'DRAFT 1'!$B:$B,0)),"")</f>
        <v/>
      </c>
      <c r="H184" t="str">
        <f>IFERROR(INDEX('DRAFT 1'!$H:$H,MATCH($B184,'DRAFT 1'!$B:$B,0)),"")</f>
        <v/>
      </c>
      <c r="I184" t="str">
        <f>IFERROR(INDEX('DRAFT 1'!$I:$I,MATCH($B184,'DRAFT 1'!$B:$B,0)),"")</f>
        <v/>
      </c>
      <c r="K184" t="str">
        <f>IFERROR(INDEX('DRAFT 1'!$AL:$AL,MATCH($B184,'DRAFT 1'!$B:$B,0)),"")</f>
        <v/>
      </c>
      <c r="L184" t="str">
        <f>IFERROR(INDEX('DRAFT 1'!$J:$J,MATCH($B184,'DRAFT 1'!$B:$B,0)),"")</f>
        <v/>
      </c>
      <c r="M184" t="str">
        <f>IFERROR(INDEX('DRAFT 1'!$K:$K,MATCH($B184,'DRAFT 1'!$B:$B,0)),"")</f>
        <v/>
      </c>
      <c r="P184" t="str">
        <f>IFERROR(INDEX('DRAFT 1'!$L:$L,MATCH($B184,'DRAFT 1'!$B:$B,0)),"")</f>
        <v/>
      </c>
      <c r="Q184" t="str">
        <f>IFERROR(INDEX('DRAFT 1'!$M:$M,MATCH($B184,'DRAFT 1'!$B:$B,0)),"")</f>
        <v/>
      </c>
      <c r="R184" t="str">
        <f>IFERROR(INDEX('DRAFT 1'!$N:$N,MATCH($B184,'DRAFT 1'!$B:$B,0)),"")</f>
        <v/>
      </c>
      <c r="S184" t="str">
        <f>IFERROR(INDEX('DRAFT 1'!$O:$O,MATCH($B184,'DRAFT 1'!$B:$B,0)),"")</f>
        <v/>
      </c>
      <c r="T184" t="str">
        <f>IFERROR(INDEX('DRAFT 1'!$P:$P,MATCH($B184,'DRAFT 1'!$B:$B,0)),"")</f>
        <v/>
      </c>
      <c r="U184" t="str">
        <f>IFERROR(INDEX('DRAFT 1'!$Q:$Q,MATCH($B184,'DRAFT 1'!$B:$B,0)),"")</f>
        <v/>
      </c>
      <c r="V184" t="str">
        <f>IFERROR(INDEX('DRAFT 1'!$R:$R,MATCH($B184,'DRAFT 1'!$B:$B,0)),"")</f>
        <v/>
      </c>
      <c r="W184" t="str">
        <f>IFERROR(INDEX('DRAFT 1'!$S:$S,MATCH($B184,'DRAFT 1'!$B:$B,0)),"")</f>
        <v/>
      </c>
      <c r="X184" t="str">
        <f>IFERROR(INDEX('DRAFT 1'!$T:$T,MATCH($B184,'DRAFT 1'!$B:$B,0)),"")</f>
        <v/>
      </c>
      <c r="Z184" t="str">
        <f>IFERROR(INDEX('DRAFT 1'!$U:$U,MATCH($B184,'DRAFT 1'!$B:$B,0)),"")</f>
        <v/>
      </c>
      <c r="AA184" t="str">
        <f>IFERROR(INDEX('DRAFT 1'!$V:$V,MATCH($B184,'DRAFT 1'!$B:$B,0)),"")</f>
        <v/>
      </c>
      <c r="AB184" t="str">
        <f>IFERROR(INDEX('DRAFT 1'!$W:$W,MATCH($B184,'DRAFT 1'!$B:$B,0)),"")</f>
        <v/>
      </c>
      <c r="AC184" t="str">
        <f>IFERROR(INDEX('DRAFT 1'!$X:$X,MATCH($B184,'DRAFT 1'!$B:$B,0)),"")</f>
        <v/>
      </c>
      <c r="AD184" t="str">
        <f>IFERROR(INDEX('DRAFT 1'!$Y:$Y,MATCH($B184,'DRAFT 1'!$B:$B,0)),"")</f>
        <v/>
      </c>
      <c r="AE184" t="str">
        <f>IFERROR(INDEX('DRAFT 1'!$Z:$Z,MATCH($B184,'DRAFT 1'!$B:$B,0)),"")</f>
        <v/>
      </c>
      <c r="AF184" t="str">
        <f>IFERROR(INDEX('DRAFT 1'!$AA:$AA,MATCH($B184,'DRAFT 1'!$B:$B,0)),"")</f>
        <v/>
      </c>
      <c r="AG184" t="str">
        <f>IFERROR(INDEX('DRAFT 1'!$AB:$AB,MATCH($B184,'DRAFT 1'!$B:$B,0)),"")</f>
        <v/>
      </c>
      <c r="AH184" t="str">
        <f>IFERROR(INDEX('DRAFT 1'!$AC:$AC,MATCH($B184,'DRAFT 1'!$B:$B,0)),"")</f>
        <v/>
      </c>
      <c r="AI184" t="str">
        <f>IFERROR(INDEX('DRAFT 1'!$AD:$AD,MATCH($B184,'DRAFT 1'!$B:$B,0)),"")</f>
        <v/>
      </c>
      <c r="AJ184" t="str">
        <f>IFERROR(INDEX('DRAFT 1'!$AE:$AE,MATCH($B184,'DRAFT 1'!$B:$B,0)),"")</f>
        <v/>
      </c>
      <c r="AK184" t="str">
        <f>IFERROR(INDEX('DRAFT 1'!$AG:$AG,MATCH($B184,'DRAFT 1'!$B:$B,0)),"")</f>
        <v/>
      </c>
      <c r="AL184" t="str">
        <f>IFERROR(INDEX('DRAFT 1'!$AH:$AH,MATCH($B184,'DRAFT 1'!$B:$B,0)),"")</f>
        <v/>
      </c>
      <c r="AM184" t="str">
        <f>IFERROR(INDEX('DRAFT 1'!$AI:$AI,MATCH($B184,'DRAFT 1'!$B:$B,0)),"")</f>
        <v/>
      </c>
      <c r="AN184" t="str">
        <f>IFERROR(INDEX('DRAFT 1'!$AJ:$AJ,MATCH($B184,'DRAFT 1'!$B:$B,0)),"")</f>
        <v/>
      </c>
      <c r="AO184">
        <f t="shared" si="70"/>
        <v>0</v>
      </c>
      <c r="AP184" t="str">
        <f>IFERROR(INDEX('DRAFT 1'!$AK:$AK,MATCH($B184,'DRAFT 1'!$B:$B,0)),"")</f>
        <v/>
      </c>
      <c r="AR184">
        <f>IFERROR(LOOKUP(2,1/('DRAFT 2'!$D:$D=$B184),'DRAFT 2'!$I:$I),"")</f>
        <v>0</v>
      </c>
      <c r="AS184">
        <f>IFERROR(LOOKUP(2,1/('DRAFT 2'!$D:$D=$B184),'DRAFT 2'!$T:$T),"")</f>
        <v>0</v>
      </c>
      <c r="AT184">
        <f>IFERROR(LOOKUP(2,1/('DRAFT 2'!$D:$D=$B184),'DRAFT 2'!$A:$A),"")</f>
        <v>0</v>
      </c>
      <c r="AU184">
        <f>IFERROR(LOOKUP(2,1/('DRAFT 2'!$D:$D=$B184),'DRAFT 2'!$R:$R),"")</f>
        <v>0</v>
      </c>
      <c r="AV184">
        <f>IFERROR(LOOKUP(2,1/('DRAFT 2'!$D:$D=$B184),'DRAFT 2'!$S:$S),"")</f>
        <v>0</v>
      </c>
      <c r="AX184">
        <f>IFERROR(LOOKUP(2,1/('DRAFT 2'!$D:$D=$B184),'DRAFT 2'!$M:$M),"")</f>
        <v>0</v>
      </c>
      <c r="AY184">
        <f>IFERROR(LOOKUP(2,1/('DRAFT 2'!$D:$D=$B184),'DRAFT 2'!$K:$K),"")</f>
        <v>0</v>
      </c>
      <c r="BG184">
        <f>IFERROR(LOOKUP(2,1/('DRAFT 2'!$D:$D=$B184),'DRAFT 2'!$U:$U),"")</f>
        <v>0</v>
      </c>
      <c r="BH184">
        <f>IFERROR(LOOKUP(2,1/('DRAFT 2'!$D:$D=$B184),'DRAFT 2'!$V:$V),"")</f>
        <v>0</v>
      </c>
      <c r="CE184" t="str">
        <f t="shared" si="71"/>
        <v/>
      </c>
      <c r="CF184">
        <f>IFERROR(LOOKUP(2,1/('DRAFT 2'!$D:$D=$B184)*('DRAFT 2'!$A:$A&gt;=DATE(2026,1,1))*('DRAFT 2'!$A:$A&lt;DATE(2026,IF(1=12,1+1,1+1),1)),'DRAFT 2'!$A:$A),"")</f>
        <v>0</v>
      </c>
      <c r="CG184">
        <f>COUNTIFS('DRAFT 2'!$D:$D,$B184,'DRAFT 2'!$A:$A,"&gt;="&amp;DATE(2026,1,1),'DRAFT 2'!$A:$A,"&lt;="&amp;DATE(2026,1,7))</f>
        <v>0</v>
      </c>
      <c r="CH184">
        <f>COUNTIFS('DRAFT 2'!$D:$D,$B184,'DRAFT 2'!$A:$A,"&gt;="&amp;DATE(2026,1,8),'DRAFT 2'!$A:$A,"&lt;="&amp;DATE(2026,1,14))</f>
        <v>0</v>
      </c>
      <c r="CI184">
        <f>COUNTIFS('DRAFT 2'!$D:$D,$B184,'DRAFT 2'!$A:$A,"&gt;="&amp;DATE(2026,1,15),'DRAFT 2'!$A:$A,"&lt;="&amp;DATE(2026,1,21))</f>
        <v>0</v>
      </c>
      <c r="CJ184">
        <f>COUNTIFS('DRAFT 2'!$D:$D,$B184,'DRAFT 2'!$A:$A,"&gt;="&amp;DATE(2026,1,22),'DRAFT 2'!$A:$A,"&lt;"&amp;DATE(2026,IF(1=12,1+1,1+1),1))</f>
        <v>0</v>
      </c>
      <c r="CK184">
        <f t="shared" si="72"/>
        <v>0</v>
      </c>
      <c r="CT184">
        <v>0</v>
      </c>
      <c r="CU184">
        <f>IFERROR(LOOKUP(2,1/('DRAFT 2'!$D:$D=$B184)*('DRAFT 2'!$A:$A&gt;=DATE(2026,2,1))*('DRAFT 2'!$A:$A&lt;DATE(2026,IF(2=12,2+1,2+1),1)),'DRAFT 2'!$A:$A),"")</f>
        <v>0</v>
      </c>
      <c r="CV184">
        <f>COUNTIFS('DRAFT 2'!$D:$D,$B184,'DRAFT 2'!$A:$A,"&gt;="&amp;DATE(2026,2,1),'DRAFT 2'!$A:$A,"&lt;="&amp;DATE(2026,2,7))</f>
        <v>0</v>
      </c>
      <c r="CW184">
        <f>COUNTIFS('DRAFT 2'!$D:$D,$B184,'DRAFT 2'!$A:$A,"&gt;="&amp;DATE(2026,2,8),'DRAFT 2'!$A:$A,"&lt;="&amp;DATE(2026,2,14))</f>
        <v>0</v>
      </c>
      <c r="CX184">
        <f>COUNTIFS('DRAFT 2'!$D:$D,$B184,'DRAFT 2'!$A:$A,"&gt;="&amp;DATE(2026,2,15),'DRAFT 2'!$A:$A,"&lt;="&amp;DATE(2026,2,21))</f>
        <v>0</v>
      </c>
      <c r="CY184">
        <f>COUNTIFS('DRAFT 2'!$D:$D,$B184,'DRAFT 2'!$A:$A,"&gt;="&amp;DATE(2026,2,22),'DRAFT 2'!$A:$A,"&lt;"&amp;DATE(2026,IF(2=12,2+1,2+1),1))</f>
        <v>0</v>
      </c>
      <c r="CZ184">
        <f t="shared" si="73"/>
        <v>0</v>
      </c>
      <c r="DJ184">
        <f>IFERROR(LOOKUP(2,1/('DRAFT 2'!$D:$D=$B184)*('DRAFT 2'!$A:$A&gt;=DATE(2026,3,1))*('DRAFT 2'!$A:$A&lt;DATE(2026,IF(3=12,3+1,3+1),1)),'DRAFT 2'!$A:$A),"")</f>
        <v>0</v>
      </c>
      <c r="DK184">
        <f>COUNTIFS('DRAFT 2'!$D:$D,$B184,'DRAFT 2'!$A:$A,"&gt;="&amp;DATE(2026,3,1),'DRAFT 2'!$A:$A,"&lt;="&amp;DATE(2026,3,7))</f>
        <v>0</v>
      </c>
      <c r="DL184">
        <f>COUNTIFS('DRAFT 2'!$D:$D,$B184,'DRAFT 2'!$A:$A,"&gt;="&amp;DATE(2026,3,8),'DRAFT 2'!$A:$A,"&lt;="&amp;DATE(2026,3,14))</f>
        <v>0</v>
      </c>
      <c r="DM184">
        <f>COUNTIFS('DRAFT 2'!$D:$D,$B184,'DRAFT 2'!$A:$A,"&gt;="&amp;DATE(2026,3,15),'DRAFT 2'!$A:$A,"&lt;="&amp;DATE(2026,3,21))</f>
        <v>0</v>
      </c>
      <c r="DN184">
        <f>COUNTIFS('DRAFT 2'!$D:$D,$B184,'DRAFT 2'!$A:$A,"&gt;="&amp;DATE(2026,3,22),'DRAFT 2'!$A:$A,"&lt;"&amp;DATE(2026,IF(3=12,3+1,3+1),1))</f>
        <v>0</v>
      </c>
      <c r="DO184">
        <f t="shared" si="74"/>
        <v>0</v>
      </c>
      <c r="DZ184">
        <f>IFERROR(LOOKUP(2,1/('DRAFT 2'!$D:$D=$B184)*('DRAFT 2'!$A:$A&gt;=DATE(2026,4,1))*('DRAFT 2'!$A:$A&lt;DATE(2026,IF(4=12,4+1,4+1),1)),'DRAFT 2'!$A:$A),"")</f>
        <v>0</v>
      </c>
      <c r="EA184">
        <f>COUNTIFS('DRAFT 2'!$D:$D,$B184,'DRAFT 2'!$A:$A,"&gt;="&amp;DATE(2026,4,1),'DRAFT 2'!$A:$A,"&lt;="&amp;DATE(2026,4,7))</f>
        <v>0</v>
      </c>
      <c r="EB184">
        <f>COUNTIFS('DRAFT 2'!$D:$D,$B184,'DRAFT 2'!$A:$A,"&gt;="&amp;DATE(2026,4,8),'DRAFT 2'!$A:$A,"&lt;="&amp;DATE(2026,4,14))</f>
        <v>0</v>
      </c>
      <c r="EC184">
        <f>COUNTIFS('DRAFT 2'!$D:$D,$B184,'DRAFT 2'!$A:$A,"&gt;="&amp;DATE(2026,4,15),'DRAFT 2'!$A:$A,"&lt;="&amp;DATE(2026,4,21))</f>
        <v>0</v>
      </c>
      <c r="ED184">
        <f>COUNTIFS('DRAFT 2'!$D:$D,$B184,'DRAFT 2'!$A:$A,"&gt;="&amp;DATE(2026,4,22),'DRAFT 2'!$A:$A,"&lt;"&amp;DATE(2026,IF(4=12,4+1,4+1),1))</f>
        <v>0</v>
      </c>
      <c r="EE184">
        <f t="shared" si="75"/>
        <v>0</v>
      </c>
      <c r="EO184">
        <f>IFERROR(LOOKUP(2,1/('DRAFT 2'!$D:$D=$B184)*('DRAFT 2'!$A:$A&gt;=DATE(2026,5,1))*('DRAFT 2'!$A:$A&lt;DATE(2026,IF(5=12,5+1,5+1),1)),'DRAFT 2'!$A:$A),"")</f>
        <v>0</v>
      </c>
      <c r="EP184">
        <f>COUNTIFS('DRAFT 2'!$D:$D,$B184,'DRAFT 2'!$A:$A,"&gt;="&amp;DATE(2026,5,1),'DRAFT 2'!$A:$A,"&lt;="&amp;DATE(2026,5,7))</f>
        <v>0</v>
      </c>
      <c r="EQ184">
        <f>COUNTIFS('DRAFT 2'!$D:$D,$B184,'DRAFT 2'!$A:$A,"&gt;="&amp;DATE(2026,5,8),'DRAFT 2'!$A:$A,"&lt;="&amp;DATE(2026,5,14))</f>
        <v>0</v>
      </c>
      <c r="ER184">
        <f>COUNTIFS('DRAFT 2'!$D:$D,$B184,'DRAFT 2'!$A:$A,"&gt;="&amp;DATE(2026,5,15),'DRAFT 2'!$A:$A,"&lt;="&amp;DATE(2026,5,21))</f>
        <v>0</v>
      </c>
      <c r="ES184">
        <f>COUNTIFS('DRAFT 2'!$D:$D,$B184,'DRAFT 2'!$A:$A,"&gt;="&amp;DATE(2026,5,22),'DRAFT 2'!$A:$A,"&lt;"&amp;DATE(2026,IF(5=12,5+1,5+1),1))</f>
        <v>0</v>
      </c>
      <c r="ET184">
        <f t="shared" si="76"/>
        <v>0</v>
      </c>
      <c r="FD184">
        <f>IFERROR(LOOKUP(2,1/('DRAFT 2'!$D:$D=$B184)*('DRAFT 2'!$A:$A&gt;=DATE(2026,6,1))*('DRAFT 2'!$A:$A&lt;DATE(2026,IF(6=12,6+1,6+1),1)),'DRAFT 2'!$A:$A),"")</f>
        <v>0</v>
      </c>
      <c r="FE184">
        <f>COUNTIFS('DRAFT 2'!$D:$D,$B184,'DRAFT 2'!$A:$A,"&gt;="&amp;DATE(2026,6,1),'DRAFT 2'!$A:$A,"&lt;="&amp;DATE(2026,6,7))</f>
        <v>0</v>
      </c>
      <c r="FF184">
        <f>COUNTIFS('DRAFT 2'!$D:$D,$B184,'DRAFT 2'!$A:$A,"&gt;="&amp;DATE(2026,6,8),'DRAFT 2'!$A:$A,"&lt;="&amp;DATE(2026,6,14))</f>
        <v>0</v>
      </c>
      <c r="FG184">
        <f>COUNTIFS('DRAFT 2'!$D:$D,$B184,'DRAFT 2'!$A:$A,"&gt;="&amp;DATE(2026,6,15),'DRAFT 2'!$A:$A,"&lt;="&amp;DATE(2026,6,21))</f>
        <v>0</v>
      </c>
      <c r="FH184">
        <f>COUNTIFS('DRAFT 2'!$D:$D,$B184,'DRAFT 2'!$A:$A,"&gt;="&amp;DATE(2026,6,22),'DRAFT 2'!$A:$A,"&lt;"&amp;DATE(2026,IF(6=12,6+1,6+1),1))</f>
        <v>0</v>
      </c>
      <c r="FI184">
        <f t="shared" si="77"/>
        <v>0</v>
      </c>
      <c r="FT184">
        <f>IFERROR(LOOKUP(2,1/('DRAFT 2'!$D:$D=$B184)*('DRAFT 2'!$A:$A&gt;=DATE(2026,7,1))*('DRAFT 2'!$A:$A&lt;DATE(2026,IF(7=12,7+1,7+1),1)),'DRAFT 2'!$A:$A),"")</f>
        <v>0</v>
      </c>
      <c r="FU184">
        <f>COUNTIFS('DRAFT 2'!$D:$D,$B184,'DRAFT 2'!$A:$A,"&gt;="&amp;DATE(2026,7,1),'DRAFT 2'!$A:$A,"&lt;="&amp;DATE(2026,7,7))</f>
        <v>0</v>
      </c>
      <c r="FV184">
        <f>COUNTIFS('DRAFT 2'!$D:$D,$B184,'DRAFT 2'!$A:$A,"&gt;="&amp;DATE(2026,7,8),'DRAFT 2'!$A:$A,"&lt;="&amp;DATE(2026,7,14))</f>
        <v>0</v>
      </c>
      <c r="FW184">
        <f>COUNTIFS('DRAFT 2'!$D:$D,$B184,'DRAFT 2'!$A:$A,"&gt;="&amp;DATE(2026,7,15),'DRAFT 2'!$A:$A,"&lt;="&amp;DATE(2026,7,21))</f>
        <v>0</v>
      </c>
      <c r="FX184">
        <f>COUNTIFS('DRAFT 2'!$D:$D,$B184,'DRAFT 2'!$A:$A,"&gt;="&amp;DATE(2026,7,22),'DRAFT 2'!$A:$A,"&lt;"&amp;DATE(2026,IF(7=12,7+1,7+1),1))</f>
        <v>0</v>
      </c>
      <c r="FY184">
        <f t="shared" si="78"/>
        <v>0</v>
      </c>
      <c r="GI184">
        <f>IFERROR(LOOKUP(2,1/('DRAFT 2'!$D:$D=$B184)*('DRAFT 2'!$A:$A&gt;=DATE(2026,8,1))*('DRAFT 2'!$A:$A&lt;DATE(2026,IF(8=12,8+1,8+1),1)),'DRAFT 2'!$A:$A),"")</f>
        <v>0</v>
      </c>
      <c r="GJ184">
        <f>COUNTIFS('DRAFT 2'!$D:$D,$B184,'DRAFT 2'!$A:$A,"&gt;="&amp;DATE(2026,8,1),'DRAFT 2'!$A:$A,"&lt;="&amp;DATE(2026,8,7))</f>
        <v>0</v>
      </c>
      <c r="GK184">
        <f>COUNTIFS('DRAFT 2'!$D:$D,$B184,'DRAFT 2'!$A:$A,"&gt;="&amp;DATE(2026,8,8),'DRAFT 2'!$A:$A,"&lt;="&amp;DATE(2026,8,14))</f>
        <v>0</v>
      </c>
      <c r="GL184">
        <f>COUNTIFS('DRAFT 2'!$D:$D,$B184,'DRAFT 2'!$A:$A,"&gt;="&amp;DATE(2026,8,15),'DRAFT 2'!$A:$A,"&lt;="&amp;DATE(2026,8,21))</f>
        <v>0</v>
      </c>
      <c r="GM184">
        <f>COUNTIFS('DRAFT 2'!$D:$D,$B184,'DRAFT 2'!$A:$A,"&gt;="&amp;DATE(2026,8,22),'DRAFT 2'!$A:$A,"&lt;"&amp;DATE(2026,IF(8=12,8+1,8+1),1))</f>
        <v>0</v>
      </c>
      <c r="GN184">
        <f t="shared" si="79"/>
        <v>0</v>
      </c>
      <c r="GX184">
        <f>IFERROR(LOOKUP(2,1/('DRAFT 2'!$D:$D=$B184)*('DRAFT 2'!$A:$A&gt;=DATE(2026,9,1))*('DRAFT 2'!$A:$A&lt;DATE(2026,IF(9=12,9+1,9+1),1)),'DRAFT 2'!$A:$A),"")</f>
        <v>0</v>
      </c>
      <c r="GY184">
        <f>COUNTIFS('DRAFT 2'!$D:$D,$B184,'DRAFT 2'!$A:$A,"&gt;="&amp;DATE(2026,9,1),'DRAFT 2'!$A:$A,"&lt;="&amp;DATE(2026,9,7))</f>
        <v>0</v>
      </c>
      <c r="GZ184">
        <f>COUNTIFS('DRAFT 2'!$D:$D,$B184,'DRAFT 2'!$A:$A,"&gt;="&amp;DATE(2026,9,8),'DRAFT 2'!$A:$A,"&lt;="&amp;DATE(2026,9,14))</f>
        <v>0</v>
      </c>
      <c r="HA184">
        <f>COUNTIFS('DRAFT 2'!$D:$D,$B184,'DRAFT 2'!$A:$A,"&gt;="&amp;DATE(2026,9,15),'DRAFT 2'!$A:$A,"&lt;="&amp;DATE(2026,9,21))</f>
        <v>0</v>
      </c>
      <c r="HB184">
        <f>COUNTIFS('DRAFT 2'!$D:$D,$B184,'DRAFT 2'!$A:$A,"&gt;="&amp;DATE(2026,9,22),'DRAFT 2'!$A:$A,"&lt;"&amp;DATE(2026,IF(9=12,9+1,9+1),1))</f>
        <v>0</v>
      </c>
      <c r="HC184">
        <f t="shared" si="80"/>
        <v>0</v>
      </c>
      <c r="HN184">
        <f>IFERROR(LOOKUP(2,1/('DRAFT 2'!$D:$D=$B184)*('DRAFT 2'!$A:$A&gt;=DATE(2026,10,1))*('DRAFT 2'!$A:$A&lt;DATE(2026,IF(10=12,10+1,10+1),1)),'DRAFT 2'!$A:$A),"")</f>
        <v>0</v>
      </c>
      <c r="HO184">
        <f>COUNTIFS('DRAFT 2'!$D:$D,$B184,'DRAFT 2'!$A:$A,"&gt;="&amp;DATE(2026,10,1),'DRAFT 2'!$A:$A,"&lt;="&amp;DATE(2026,10,7))</f>
        <v>0</v>
      </c>
      <c r="HP184">
        <f>COUNTIFS('DRAFT 2'!$D:$D,$B184,'DRAFT 2'!$A:$A,"&gt;="&amp;DATE(2026,10,8),'DRAFT 2'!$A:$A,"&lt;="&amp;DATE(2026,10,14))</f>
        <v>0</v>
      </c>
      <c r="HQ184">
        <f>COUNTIFS('DRAFT 2'!$D:$D,$B184,'DRAFT 2'!$A:$A,"&gt;="&amp;DATE(2026,10,15),'DRAFT 2'!$A:$A,"&lt;="&amp;DATE(2026,10,21))</f>
        <v>0</v>
      </c>
      <c r="HR184">
        <f>COUNTIFS('DRAFT 2'!$D:$D,$B184,'DRAFT 2'!$A:$A,"&gt;="&amp;DATE(2026,10,22),'DRAFT 2'!$A:$A,"&lt;"&amp;DATE(2026,IF(10=12,10+1,10+1),1))</f>
        <v>0</v>
      </c>
      <c r="HS184">
        <f t="shared" si="81"/>
        <v>0</v>
      </c>
      <c r="IC184">
        <f>IFERROR(LOOKUP(2,1/('DRAFT 2'!$D:$D=$B184)*('DRAFT 2'!$A:$A&gt;=DATE(2026,11,1))*('DRAFT 2'!$A:$A&lt;DATE(2026,IF(11=12,11+1,11+1),1)),'DRAFT 2'!$A:$A),"")</f>
        <v>0</v>
      </c>
      <c r="ID184">
        <f>COUNTIFS('DRAFT 2'!$D:$D,$B184,'DRAFT 2'!$A:$A,"&gt;="&amp;DATE(2026,11,1),'DRAFT 2'!$A:$A,"&lt;="&amp;DATE(2026,11,7))</f>
        <v>0</v>
      </c>
      <c r="IE184">
        <f>COUNTIFS('DRAFT 2'!$D:$D,$B184,'DRAFT 2'!$A:$A,"&gt;="&amp;DATE(2026,11,8),'DRAFT 2'!$A:$A,"&lt;="&amp;DATE(2026,11,14))</f>
        <v>0</v>
      </c>
      <c r="IF184">
        <f>COUNTIFS('DRAFT 2'!$D:$D,$B184,'DRAFT 2'!$A:$A,"&gt;="&amp;DATE(2026,11,15),'DRAFT 2'!$A:$A,"&lt;="&amp;DATE(2026,11,21))</f>
        <v>0</v>
      </c>
      <c r="IG184">
        <f>COUNTIFS('DRAFT 2'!$D:$D,$B184,'DRAFT 2'!$A:$A,"&gt;="&amp;DATE(2026,11,22),'DRAFT 2'!$A:$A,"&lt;"&amp;DATE(2026,IF(11=12,11+1,11+1),1))</f>
        <v>0</v>
      </c>
      <c r="IH184">
        <f t="shared" si="82"/>
        <v>0</v>
      </c>
      <c r="IR184">
        <f>IFERROR(LOOKUP(2,1/('DRAFT 2'!$D:$D=$B184)*('DRAFT 2'!$A:$A&gt;=DATE(2026,12,1))*('DRAFT 2'!$A:$A&lt;DATE(2026,IF(12=12,12+1,12+1),1)),'DRAFT 2'!$A:$A),"")</f>
        <v>0</v>
      </c>
      <c r="IS184">
        <f>COUNTIFS('DRAFT 2'!$D:$D,$B184,'DRAFT 2'!$A:$A,"&gt;="&amp;DATE(2026,12,1),'DRAFT 2'!$A:$A,"&lt;="&amp;DATE(2026,12,7))</f>
        <v>0</v>
      </c>
      <c r="IT184">
        <f>COUNTIFS('DRAFT 2'!$D:$D,$B184,'DRAFT 2'!$A:$A,"&gt;="&amp;DATE(2026,12,8),'DRAFT 2'!$A:$A,"&lt;="&amp;DATE(2026,12,14))</f>
        <v>0</v>
      </c>
      <c r="IU184">
        <f>COUNTIFS('DRAFT 2'!$D:$D,$B184,'DRAFT 2'!$A:$A,"&gt;="&amp;DATE(2026,12,15),'DRAFT 2'!$A:$A,"&lt;="&amp;DATE(2026,12,21))</f>
        <v>0</v>
      </c>
      <c r="IV184">
        <f>COUNTIFS('DRAFT 2'!$D:$D,$B184,'DRAFT 2'!$A:$A,"&gt;="&amp;DATE(2026,12,22),'DRAFT 2'!$A:$A,"&lt;"&amp;DATE(2026,IF(12=12,12+1,12+1),1))</f>
        <v>0</v>
      </c>
      <c r="IW184">
        <f t="shared" si="83"/>
        <v>0</v>
      </c>
    </row>
    <row r="185" spans="1:257" x14ac:dyDescent="0.3">
      <c r="A185" t="str">
        <f>IFERROR(INDEX('DRAFT 1'!$A:$A,MATCH($B185,'DRAFT 1'!$B:$B,0)),"")</f>
        <v/>
      </c>
      <c r="C185" t="str">
        <f>IFERROR(INDEX('DRAFT 1'!$C:$C,MATCH($B185,'DRAFT 1'!$B:$B,0)),"")</f>
        <v/>
      </c>
      <c r="D185" t="str">
        <f>IFERROR(INDEX('DRAFT 1'!$D:$D,MATCH($B185,'DRAFT 1'!$B:$B,0)),"")</f>
        <v/>
      </c>
      <c r="E185" t="str">
        <f>IFERROR(INDEX('DRAFT 1'!$E:$E,MATCH($B185,'DRAFT 1'!$B:$B,0)),"")</f>
        <v/>
      </c>
      <c r="F185" t="str">
        <f>IFERROR(INDEX('DRAFT 1'!$F:$F,MATCH($B185,'DRAFT 1'!$B:$B,0)),"")</f>
        <v/>
      </c>
      <c r="G185" t="str">
        <f>IFERROR(INDEX('DRAFT 1'!$G:$G,MATCH($B185,'DRAFT 1'!$B:$B,0)),"")</f>
        <v/>
      </c>
      <c r="H185" t="str">
        <f>IFERROR(INDEX('DRAFT 1'!$H:$H,MATCH($B185,'DRAFT 1'!$B:$B,0)),"")</f>
        <v/>
      </c>
      <c r="I185" t="str">
        <f>IFERROR(INDEX('DRAFT 1'!$I:$I,MATCH($B185,'DRAFT 1'!$B:$B,0)),"")</f>
        <v/>
      </c>
      <c r="K185" t="str">
        <f>IFERROR(INDEX('DRAFT 1'!$AL:$AL,MATCH($B185,'DRAFT 1'!$B:$B,0)),"")</f>
        <v/>
      </c>
      <c r="L185" t="str">
        <f>IFERROR(INDEX('DRAFT 1'!$J:$J,MATCH($B185,'DRAFT 1'!$B:$B,0)),"")</f>
        <v/>
      </c>
      <c r="M185" t="str">
        <f>IFERROR(INDEX('DRAFT 1'!$K:$K,MATCH($B185,'DRAFT 1'!$B:$B,0)),"")</f>
        <v/>
      </c>
      <c r="P185" t="str">
        <f>IFERROR(INDEX('DRAFT 1'!$L:$L,MATCH($B185,'DRAFT 1'!$B:$B,0)),"")</f>
        <v/>
      </c>
      <c r="Q185" t="str">
        <f>IFERROR(INDEX('DRAFT 1'!$M:$M,MATCH($B185,'DRAFT 1'!$B:$B,0)),"")</f>
        <v/>
      </c>
      <c r="R185" t="str">
        <f>IFERROR(INDEX('DRAFT 1'!$N:$N,MATCH($B185,'DRAFT 1'!$B:$B,0)),"")</f>
        <v/>
      </c>
      <c r="S185" t="str">
        <f>IFERROR(INDEX('DRAFT 1'!$O:$O,MATCH($B185,'DRAFT 1'!$B:$B,0)),"")</f>
        <v/>
      </c>
      <c r="T185" t="str">
        <f>IFERROR(INDEX('DRAFT 1'!$P:$P,MATCH($B185,'DRAFT 1'!$B:$B,0)),"")</f>
        <v/>
      </c>
      <c r="U185" t="str">
        <f>IFERROR(INDEX('DRAFT 1'!$Q:$Q,MATCH($B185,'DRAFT 1'!$B:$B,0)),"")</f>
        <v/>
      </c>
      <c r="V185" t="str">
        <f>IFERROR(INDEX('DRAFT 1'!$R:$R,MATCH($B185,'DRAFT 1'!$B:$B,0)),"")</f>
        <v/>
      </c>
      <c r="W185" t="str">
        <f>IFERROR(INDEX('DRAFT 1'!$S:$S,MATCH($B185,'DRAFT 1'!$B:$B,0)),"")</f>
        <v/>
      </c>
      <c r="X185" t="str">
        <f>IFERROR(INDEX('DRAFT 1'!$T:$T,MATCH($B185,'DRAFT 1'!$B:$B,0)),"")</f>
        <v/>
      </c>
      <c r="Z185" t="str">
        <f>IFERROR(INDEX('DRAFT 1'!$U:$U,MATCH($B185,'DRAFT 1'!$B:$B,0)),"")</f>
        <v/>
      </c>
      <c r="AA185" t="str">
        <f>IFERROR(INDEX('DRAFT 1'!$V:$V,MATCH($B185,'DRAFT 1'!$B:$B,0)),"")</f>
        <v/>
      </c>
      <c r="AB185" t="str">
        <f>IFERROR(INDEX('DRAFT 1'!$W:$W,MATCH($B185,'DRAFT 1'!$B:$B,0)),"")</f>
        <v/>
      </c>
      <c r="AC185" t="str">
        <f>IFERROR(INDEX('DRAFT 1'!$X:$X,MATCH($B185,'DRAFT 1'!$B:$B,0)),"")</f>
        <v/>
      </c>
      <c r="AD185" t="str">
        <f>IFERROR(INDEX('DRAFT 1'!$Y:$Y,MATCH($B185,'DRAFT 1'!$B:$B,0)),"")</f>
        <v/>
      </c>
      <c r="AE185" t="str">
        <f>IFERROR(INDEX('DRAFT 1'!$Z:$Z,MATCH($B185,'DRAFT 1'!$B:$B,0)),"")</f>
        <v/>
      </c>
      <c r="AF185" t="str">
        <f>IFERROR(INDEX('DRAFT 1'!$AA:$AA,MATCH($B185,'DRAFT 1'!$B:$B,0)),"")</f>
        <v/>
      </c>
      <c r="AG185" t="str">
        <f>IFERROR(INDEX('DRAFT 1'!$AB:$AB,MATCH($B185,'DRAFT 1'!$B:$B,0)),"")</f>
        <v/>
      </c>
      <c r="AH185" t="str">
        <f>IFERROR(INDEX('DRAFT 1'!$AC:$AC,MATCH($B185,'DRAFT 1'!$B:$B,0)),"")</f>
        <v/>
      </c>
      <c r="AI185" t="str">
        <f>IFERROR(INDEX('DRAFT 1'!$AD:$AD,MATCH($B185,'DRAFT 1'!$B:$B,0)),"")</f>
        <v/>
      </c>
      <c r="AJ185" t="str">
        <f>IFERROR(INDEX('DRAFT 1'!$AE:$AE,MATCH($B185,'DRAFT 1'!$B:$B,0)),"")</f>
        <v/>
      </c>
      <c r="AK185" t="str">
        <f>IFERROR(INDEX('DRAFT 1'!$AG:$AG,MATCH($B185,'DRAFT 1'!$B:$B,0)),"")</f>
        <v/>
      </c>
      <c r="AL185" t="str">
        <f>IFERROR(INDEX('DRAFT 1'!$AH:$AH,MATCH($B185,'DRAFT 1'!$B:$B,0)),"")</f>
        <v/>
      </c>
      <c r="AM185" t="str">
        <f>IFERROR(INDEX('DRAFT 1'!$AI:$AI,MATCH($B185,'DRAFT 1'!$B:$B,0)),"")</f>
        <v/>
      </c>
      <c r="AN185" t="str">
        <f>IFERROR(INDEX('DRAFT 1'!$AJ:$AJ,MATCH($B185,'DRAFT 1'!$B:$B,0)),"")</f>
        <v/>
      </c>
      <c r="AO185">
        <f t="shared" si="70"/>
        <v>0</v>
      </c>
      <c r="AP185" t="str">
        <f>IFERROR(INDEX('DRAFT 1'!$AK:$AK,MATCH($B185,'DRAFT 1'!$B:$B,0)),"")</f>
        <v/>
      </c>
      <c r="AR185">
        <f>IFERROR(LOOKUP(2,1/('DRAFT 2'!$D:$D=$B185),'DRAFT 2'!$I:$I),"")</f>
        <v>0</v>
      </c>
      <c r="AS185">
        <f>IFERROR(LOOKUP(2,1/('DRAFT 2'!$D:$D=$B185),'DRAFT 2'!$T:$T),"")</f>
        <v>0</v>
      </c>
      <c r="AT185">
        <f>IFERROR(LOOKUP(2,1/('DRAFT 2'!$D:$D=$B185),'DRAFT 2'!$A:$A),"")</f>
        <v>0</v>
      </c>
      <c r="AU185">
        <f>IFERROR(LOOKUP(2,1/('DRAFT 2'!$D:$D=$B185),'DRAFT 2'!$R:$R),"")</f>
        <v>0</v>
      </c>
      <c r="AV185">
        <f>IFERROR(LOOKUP(2,1/('DRAFT 2'!$D:$D=$B185),'DRAFT 2'!$S:$S),"")</f>
        <v>0</v>
      </c>
      <c r="AX185">
        <f>IFERROR(LOOKUP(2,1/('DRAFT 2'!$D:$D=$B185),'DRAFT 2'!$M:$M),"")</f>
        <v>0</v>
      </c>
      <c r="AY185">
        <f>IFERROR(LOOKUP(2,1/('DRAFT 2'!$D:$D=$B185),'DRAFT 2'!$K:$K),"")</f>
        <v>0</v>
      </c>
      <c r="BG185">
        <f>IFERROR(LOOKUP(2,1/('DRAFT 2'!$D:$D=$B185),'DRAFT 2'!$U:$U),"")</f>
        <v>0</v>
      </c>
      <c r="BH185">
        <f>IFERROR(LOOKUP(2,1/('DRAFT 2'!$D:$D=$B185),'DRAFT 2'!$V:$V),"")</f>
        <v>0</v>
      </c>
      <c r="CE185" t="str">
        <f t="shared" si="71"/>
        <v/>
      </c>
      <c r="CF185">
        <f>IFERROR(LOOKUP(2,1/('DRAFT 2'!$D:$D=$B185)*('DRAFT 2'!$A:$A&gt;=DATE(2026,1,1))*('DRAFT 2'!$A:$A&lt;DATE(2026,IF(1=12,1+1,1+1),1)),'DRAFT 2'!$A:$A),"")</f>
        <v>0</v>
      </c>
      <c r="CG185">
        <f>COUNTIFS('DRAFT 2'!$D:$D,$B185,'DRAFT 2'!$A:$A,"&gt;="&amp;DATE(2026,1,1),'DRAFT 2'!$A:$A,"&lt;="&amp;DATE(2026,1,7))</f>
        <v>0</v>
      </c>
      <c r="CH185">
        <f>COUNTIFS('DRAFT 2'!$D:$D,$B185,'DRAFT 2'!$A:$A,"&gt;="&amp;DATE(2026,1,8),'DRAFT 2'!$A:$A,"&lt;="&amp;DATE(2026,1,14))</f>
        <v>0</v>
      </c>
      <c r="CI185">
        <f>COUNTIFS('DRAFT 2'!$D:$D,$B185,'DRAFT 2'!$A:$A,"&gt;="&amp;DATE(2026,1,15),'DRAFT 2'!$A:$A,"&lt;="&amp;DATE(2026,1,21))</f>
        <v>0</v>
      </c>
      <c r="CJ185">
        <f>COUNTIFS('DRAFT 2'!$D:$D,$B185,'DRAFT 2'!$A:$A,"&gt;="&amp;DATE(2026,1,22),'DRAFT 2'!$A:$A,"&lt;"&amp;DATE(2026,IF(1=12,1+1,1+1),1))</f>
        <v>0</v>
      </c>
      <c r="CK185">
        <f t="shared" si="72"/>
        <v>0</v>
      </c>
      <c r="CT185">
        <v>0</v>
      </c>
      <c r="CU185">
        <f>IFERROR(LOOKUP(2,1/('DRAFT 2'!$D:$D=$B185)*('DRAFT 2'!$A:$A&gt;=DATE(2026,2,1))*('DRAFT 2'!$A:$A&lt;DATE(2026,IF(2=12,2+1,2+1),1)),'DRAFT 2'!$A:$A),"")</f>
        <v>0</v>
      </c>
      <c r="CV185">
        <f>COUNTIFS('DRAFT 2'!$D:$D,$B185,'DRAFT 2'!$A:$A,"&gt;="&amp;DATE(2026,2,1),'DRAFT 2'!$A:$A,"&lt;="&amp;DATE(2026,2,7))</f>
        <v>0</v>
      </c>
      <c r="CW185">
        <f>COUNTIFS('DRAFT 2'!$D:$D,$B185,'DRAFT 2'!$A:$A,"&gt;="&amp;DATE(2026,2,8),'DRAFT 2'!$A:$A,"&lt;="&amp;DATE(2026,2,14))</f>
        <v>0</v>
      </c>
      <c r="CX185">
        <f>COUNTIFS('DRAFT 2'!$D:$D,$B185,'DRAFT 2'!$A:$A,"&gt;="&amp;DATE(2026,2,15),'DRAFT 2'!$A:$A,"&lt;="&amp;DATE(2026,2,21))</f>
        <v>0</v>
      </c>
      <c r="CY185">
        <f>COUNTIFS('DRAFT 2'!$D:$D,$B185,'DRAFT 2'!$A:$A,"&gt;="&amp;DATE(2026,2,22),'DRAFT 2'!$A:$A,"&lt;"&amp;DATE(2026,IF(2=12,2+1,2+1),1))</f>
        <v>0</v>
      </c>
      <c r="CZ185">
        <f t="shared" si="73"/>
        <v>0</v>
      </c>
      <c r="DJ185">
        <f>IFERROR(LOOKUP(2,1/('DRAFT 2'!$D:$D=$B185)*('DRAFT 2'!$A:$A&gt;=DATE(2026,3,1))*('DRAFT 2'!$A:$A&lt;DATE(2026,IF(3=12,3+1,3+1),1)),'DRAFT 2'!$A:$A),"")</f>
        <v>0</v>
      </c>
      <c r="DK185">
        <f>COUNTIFS('DRAFT 2'!$D:$D,$B185,'DRAFT 2'!$A:$A,"&gt;="&amp;DATE(2026,3,1),'DRAFT 2'!$A:$A,"&lt;="&amp;DATE(2026,3,7))</f>
        <v>0</v>
      </c>
      <c r="DL185">
        <f>COUNTIFS('DRAFT 2'!$D:$D,$B185,'DRAFT 2'!$A:$A,"&gt;="&amp;DATE(2026,3,8),'DRAFT 2'!$A:$A,"&lt;="&amp;DATE(2026,3,14))</f>
        <v>0</v>
      </c>
      <c r="DM185">
        <f>COUNTIFS('DRAFT 2'!$D:$D,$B185,'DRAFT 2'!$A:$A,"&gt;="&amp;DATE(2026,3,15),'DRAFT 2'!$A:$A,"&lt;="&amp;DATE(2026,3,21))</f>
        <v>0</v>
      </c>
      <c r="DN185">
        <f>COUNTIFS('DRAFT 2'!$D:$D,$B185,'DRAFT 2'!$A:$A,"&gt;="&amp;DATE(2026,3,22),'DRAFT 2'!$A:$A,"&lt;"&amp;DATE(2026,IF(3=12,3+1,3+1),1))</f>
        <v>0</v>
      </c>
      <c r="DO185">
        <f t="shared" si="74"/>
        <v>0</v>
      </c>
      <c r="DZ185">
        <f>IFERROR(LOOKUP(2,1/('DRAFT 2'!$D:$D=$B185)*('DRAFT 2'!$A:$A&gt;=DATE(2026,4,1))*('DRAFT 2'!$A:$A&lt;DATE(2026,IF(4=12,4+1,4+1),1)),'DRAFT 2'!$A:$A),"")</f>
        <v>0</v>
      </c>
      <c r="EA185">
        <f>COUNTIFS('DRAFT 2'!$D:$D,$B185,'DRAFT 2'!$A:$A,"&gt;="&amp;DATE(2026,4,1),'DRAFT 2'!$A:$A,"&lt;="&amp;DATE(2026,4,7))</f>
        <v>0</v>
      </c>
      <c r="EB185">
        <f>COUNTIFS('DRAFT 2'!$D:$D,$B185,'DRAFT 2'!$A:$A,"&gt;="&amp;DATE(2026,4,8),'DRAFT 2'!$A:$A,"&lt;="&amp;DATE(2026,4,14))</f>
        <v>0</v>
      </c>
      <c r="EC185">
        <f>COUNTIFS('DRAFT 2'!$D:$D,$B185,'DRAFT 2'!$A:$A,"&gt;="&amp;DATE(2026,4,15),'DRAFT 2'!$A:$A,"&lt;="&amp;DATE(2026,4,21))</f>
        <v>0</v>
      </c>
      <c r="ED185">
        <f>COUNTIFS('DRAFT 2'!$D:$D,$B185,'DRAFT 2'!$A:$A,"&gt;="&amp;DATE(2026,4,22),'DRAFT 2'!$A:$A,"&lt;"&amp;DATE(2026,IF(4=12,4+1,4+1),1))</f>
        <v>0</v>
      </c>
      <c r="EE185">
        <f t="shared" si="75"/>
        <v>0</v>
      </c>
      <c r="EO185">
        <f>IFERROR(LOOKUP(2,1/('DRAFT 2'!$D:$D=$B185)*('DRAFT 2'!$A:$A&gt;=DATE(2026,5,1))*('DRAFT 2'!$A:$A&lt;DATE(2026,IF(5=12,5+1,5+1),1)),'DRAFT 2'!$A:$A),"")</f>
        <v>0</v>
      </c>
      <c r="EP185">
        <f>COUNTIFS('DRAFT 2'!$D:$D,$B185,'DRAFT 2'!$A:$A,"&gt;="&amp;DATE(2026,5,1),'DRAFT 2'!$A:$A,"&lt;="&amp;DATE(2026,5,7))</f>
        <v>0</v>
      </c>
      <c r="EQ185">
        <f>COUNTIFS('DRAFT 2'!$D:$D,$B185,'DRAFT 2'!$A:$A,"&gt;="&amp;DATE(2026,5,8),'DRAFT 2'!$A:$A,"&lt;="&amp;DATE(2026,5,14))</f>
        <v>0</v>
      </c>
      <c r="ER185">
        <f>COUNTIFS('DRAFT 2'!$D:$D,$B185,'DRAFT 2'!$A:$A,"&gt;="&amp;DATE(2026,5,15),'DRAFT 2'!$A:$A,"&lt;="&amp;DATE(2026,5,21))</f>
        <v>0</v>
      </c>
      <c r="ES185">
        <f>COUNTIFS('DRAFT 2'!$D:$D,$B185,'DRAFT 2'!$A:$A,"&gt;="&amp;DATE(2026,5,22),'DRAFT 2'!$A:$A,"&lt;"&amp;DATE(2026,IF(5=12,5+1,5+1),1))</f>
        <v>0</v>
      </c>
      <c r="ET185">
        <f t="shared" si="76"/>
        <v>0</v>
      </c>
      <c r="FD185">
        <f>IFERROR(LOOKUP(2,1/('DRAFT 2'!$D:$D=$B185)*('DRAFT 2'!$A:$A&gt;=DATE(2026,6,1))*('DRAFT 2'!$A:$A&lt;DATE(2026,IF(6=12,6+1,6+1),1)),'DRAFT 2'!$A:$A),"")</f>
        <v>0</v>
      </c>
      <c r="FE185">
        <f>COUNTIFS('DRAFT 2'!$D:$D,$B185,'DRAFT 2'!$A:$A,"&gt;="&amp;DATE(2026,6,1),'DRAFT 2'!$A:$A,"&lt;="&amp;DATE(2026,6,7))</f>
        <v>0</v>
      </c>
      <c r="FF185">
        <f>COUNTIFS('DRAFT 2'!$D:$D,$B185,'DRAFT 2'!$A:$A,"&gt;="&amp;DATE(2026,6,8),'DRAFT 2'!$A:$A,"&lt;="&amp;DATE(2026,6,14))</f>
        <v>0</v>
      </c>
      <c r="FG185">
        <f>COUNTIFS('DRAFT 2'!$D:$D,$B185,'DRAFT 2'!$A:$A,"&gt;="&amp;DATE(2026,6,15),'DRAFT 2'!$A:$A,"&lt;="&amp;DATE(2026,6,21))</f>
        <v>0</v>
      </c>
      <c r="FH185">
        <f>COUNTIFS('DRAFT 2'!$D:$D,$B185,'DRAFT 2'!$A:$A,"&gt;="&amp;DATE(2026,6,22),'DRAFT 2'!$A:$A,"&lt;"&amp;DATE(2026,IF(6=12,6+1,6+1),1))</f>
        <v>0</v>
      </c>
      <c r="FI185">
        <f t="shared" si="77"/>
        <v>0</v>
      </c>
      <c r="FT185">
        <f>IFERROR(LOOKUP(2,1/('DRAFT 2'!$D:$D=$B185)*('DRAFT 2'!$A:$A&gt;=DATE(2026,7,1))*('DRAFT 2'!$A:$A&lt;DATE(2026,IF(7=12,7+1,7+1),1)),'DRAFT 2'!$A:$A),"")</f>
        <v>0</v>
      </c>
      <c r="FU185">
        <f>COUNTIFS('DRAFT 2'!$D:$D,$B185,'DRAFT 2'!$A:$A,"&gt;="&amp;DATE(2026,7,1),'DRAFT 2'!$A:$A,"&lt;="&amp;DATE(2026,7,7))</f>
        <v>0</v>
      </c>
      <c r="FV185">
        <f>COUNTIFS('DRAFT 2'!$D:$D,$B185,'DRAFT 2'!$A:$A,"&gt;="&amp;DATE(2026,7,8),'DRAFT 2'!$A:$A,"&lt;="&amp;DATE(2026,7,14))</f>
        <v>0</v>
      </c>
      <c r="FW185">
        <f>COUNTIFS('DRAFT 2'!$D:$D,$B185,'DRAFT 2'!$A:$A,"&gt;="&amp;DATE(2026,7,15),'DRAFT 2'!$A:$A,"&lt;="&amp;DATE(2026,7,21))</f>
        <v>0</v>
      </c>
      <c r="FX185">
        <f>COUNTIFS('DRAFT 2'!$D:$D,$B185,'DRAFT 2'!$A:$A,"&gt;="&amp;DATE(2026,7,22),'DRAFT 2'!$A:$A,"&lt;"&amp;DATE(2026,IF(7=12,7+1,7+1),1))</f>
        <v>0</v>
      </c>
      <c r="FY185">
        <f t="shared" si="78"/>
        <v>0</v>
      </c>
      <c r="GI185">
        <f>IFERROR(LOOKUP(2,1/('DRAFT 2'!$D:$D=$B185)*('DRAFT 2'!$A:$A&gt;=DATE(2026,8,1))*('DRAFT 2'!$A:$A&lt;DATE(2026,IF(8=12,8+1,8+1),1)),'DRAFT 2'!$A:$A),"")</f>
        <v>0</v>
      </c>
      <c r="GJ185">
        <f>COUNTIFS('DRAFT 2'!$D:$D,$B185,'DRAFT 2'!$A:$A,"&gt;="&amp;DATE(2026,8,1),'DRAFT 2'!$A:$A,"&lt;="&amp;DATE(2026,8,7))</f>
        <v>0</v>
      </c>
      <c r="GK185">
        <f>COUNTIFS('DRAFT 2'!$D:$D,$B185,'DRAFT 2'!$A:$A,"&gt;="&amp;DATE(2026,8,8),'DRAFT 2'!$A:$A,"&lt;="&amp;DATE(2026,8,14))</f>
        <v>0</v>
      </c>
      <c r="GL185">
        <f>COUNTIFS('DRAFT 2'!$D:$D,$B185,'DRAFT 2'!$A:$A,"&gt;="&amp;DATE(2026,8,15),'DRAFT 2'!$A:$A,"&lt;="&amp;DATE(2026,8,21))</f>
        <v>0</v>
      </c>
      <c r="GM185">
        <f>COUNTIFS('DRAFT 2'!$D:$D,$B185,'DRAFT 2'!$A:$A,"&gt;="&amp;DATE(2026,8,22),'DRAFT 2'!$A:$A,"&lt;"&amp;DATE(2026,IF(8=12,8+1,8+1),1))</f>
        <v>0</v>
      </c>
      <c r="GN185">
        <f t="shared" si="79"/>
        <v>0</v>
      </c>
      <c r="GX185">
        <f>IFERROR(LOOKUP(2,1/('DRAFT 2'!$D:$D=$B185)*('DRAFT 2'!$A:$A&gt;=DATE(2026,9,1))*('DRAFT 2'!$A:$A&lt;DATE(2026,IF(9=12,9+1,9+1),1)),'DRAFT 2'!$A:$A),"")</f>
        <v>0</v>
      </c>
      <c r="GY185">
        <f>COUNTIFS('DRAFT 2'!$D:$D,$B185,'DRAFT 2'!$A:$A,"&gt;="&amp;DATE(2026,9,1),'DRAFT 2'!$A:$A,"&lt;="&amp;DATE(2026,9,7))</f>
        <v>0</v>
      </c>
      <c r="GZ185">
        <f>COUNTIFS('DRAFT 2'!$D:$D,$B185,'DRAFT 2'!$A:$A,"&gt;="&amp;DATE(2026,9,8),'DRAFT 2'!$A:$A,"&lt;="&amp;DATE(2026,9,14))</f>
        <v>0</v>
      </c>
      <c r="HA185">
        <f>COUNTIFS('DRAFT 2'!$D:$D,$B185,'DRAFT 2'!$A:$A,"&gt;="&amp;DATE(2026,9,15),'DRAFT 2'!$A:$A,"&lt;="&amp;DATE(2026,9,21))</f>
        <v>0</v>
      </c>
      <c r="HB185">
        <f>COUNTIFS('DRAFT 2'!$D:$D,$B185,'DRAFT 2'!$A:$A,"&gt;="&amp;DATE(2026,9,22),'DRAFT 2'!$A:$A,"&lt;"&amp;DATE(2026,IF(9=12,9+1,9+1),1))</f>
        <v>0</v>
      </c>
      <c r="HC185">
        <f t="shared" si="80"/>
        <v>0</v>
      </c>
      <c r="HN185">
        <f>IFERROR(LOOKUP(2,1/('DRAFT 2'!$D:$D=$B185)*('DRAFT 2'!$A:$A&gt;=DATE(2026,10,1))*('DRAFT 2'!$A:$A&lt;DATE(2026,IF(10=12,10+1,10+1),1)),'DRAFT 2'!$A:$A),"")</f>
        <v>0</v>
      </c>
      <c r="HO185">
        <f>COUNTIFS('DRAFT 2'!$D:$D,$B185,'DRAFT 2'!$A:$A,"&gt;="&amp;DATE(2026,10,1),'DRAFT 2'!$A:$A,"&lt;="&amp;DATE(2026,10,7))</f>
        <v>0</v>
      </c>
      <c r="HP185">
        <f>COUNTIFS('DRAFT 2'!$D:$D,$B185,'DRAFT 2'!$A:$A,"&gt;="&amp;DATE(2026,10,8),'DRAFT 2'!$A:$A,"&lt;="&amp;DATE(2026,10,14))</f>
        <v>0</v>
      </c>
      <c r="HQ185">
        <f>COUNTIFS('DRAFT 2'!$D:$D,$B185,'DRAFT 2'!$A:$A,"&gt;="&amp;DATE(2026,10,15),'DRAFT 2'!$A:$A,"&lt;="&amp;DATE(2026,10,21))</f>
        <v>0</v>
      </c>
      <c r="HR185">
        <f>COUNTIFS('DRAFT 2'!$D:$D,$B185,'DRAFT 2'!$A:$A,"&gt;="&amp;DATE(2026,10,22),'DRAFT 2'!$A:$A,"&lt;"&amp;DATE(2026,IF(10=12,10+1,10+1),1))</f>
        <v>0</v>
      </c>
      <c r="HS185">
        <f t="shared" si="81"/>
        <v>0</v>
      </c>
      <c r="IC185">
        <f>IFERROR(LOOKUP(2,1/('DRAFT 2'!$D:$D=$B185)*('DRAFT 2'!$A:$A&gt;=DATE(2026,11,1))*('DRAFT 2'!$A:$A&lt;DATE(2026,IF(11=12,11+1,11+1),1)),'DRAFT 2'!$A:$A),"")</f>
        <v>0</v>
      </c>
      <c r="ID185">
        <f>COUNTIFS('DRAFT 2'!$D:$D,$B185,'DRAFT 2'!$A:$A,"&gt;="&amp;DATE(2026,11,1),'DRAFT 2'!$A:$A,"&lt;="&amp;DATE(2026,11,7))</f>
        <v>0</v>
      </c>
      <c r="IE185">
        <f>COUNTIFS('DRAFT 2'!$D:$D,$B185,'DRAFT 2'!$A:$A,"&gt;="&amp;DATE(2026,11,8),'DRAFT 2'!$A:$A,"&lt;="&amp;DATE(2026,11,14))</f>
        <v>0</v>
      </c>
      <c r="IF185">
        <f>COUNTIFS('DRAFT 2'!$D:$D,$B185,'DRAFT 2'!$A:$A,"&gt;="&amp;DATE(2026,11,15),'DRAFT 2'!$A:$A,"&lt;="&amp;DATE(2026,11,21))</f>
        <v>0</v>
      </c>
      <c r="IG185">
        <f>COUNTIFS('DRAFT 2'!$D:$D,$B185,'DRAFT 2'!$A:$A,"&gt;="&amp;DATE(2026,11,22),'DRAFT 2'!$A:$A,"&lt;"&amp;DATE(2026,IF(11=12,11+1,11+1),1))</f>
        <v>0</v>
      </c>
      <c r="IH185">
        <f t="shared" si="82"/>
        <v>0</v>
      </c>
      <c r="IR185">
        <f>IFERROR(LOOKUP(2,1/('DRAFT 2'!$D:$D=$B185)*('DRAFT 2'!$A:$A&gt;=DATE(2026,12,1))*('DRAFT 2'!$A:$A&lt;DATE(2026,IF(12=12,12+1,12+1),1)),'DRAFT 2'!$A:$A),"")</f>
        <v>0</v>
      </c>
      <c r="IS185">
        <f>COUNTIFS('DRAFT 2'!$D:$D,$B185,'DRAFT 2'!$A:$A,"&gt;="&amp;DATE(2026,12,1),'DRAFT 2'!$A:$A,"&lt;="&amp;DATE(2026,12,7))</f>
        <v>0</v>
      </c>
      <c r="IT185">
        <f>COUNTIFS('DRAFT 2'!$D:$D,$B185,'DRAFT 2'!$A:$A,"&gt;="&amp;DATE(2026,12,8),'DRAFT 2'!$A:$A,"&lt;="&amp;DATE(2026,12,14))</f>
        <v>0</v>
      </c>
      <c r="IU185">
        <f>COUNTIFS('DRAFT 2'!$D:$D,$B185,'DRAFT 2'!$A:$A,"&gt;="&amp;DATE(2026,12,15),'DRAFT 2'!$A:$A,"&lt;="&amp;DATE(2026,12,21))</f>
        <v>0</v>
      </c>
      <c r="IV185">
        <f>COUNTIFS('DRAFT 2'!$D:$D,$B185,'DRAFT 2'!$A:$A,"&gt;="&amp;DATE(2026,12,22),'DRAFT 2'!$A:$A,"&lt;"&amp;DATE(2026,IF(12=12,12+1,12+1),1))</f>
        <v>0</v>
      </c>
      <c r="IW185">
        <f t="shared" si="83"/>
        <v>0</v>
      </c>
    </row>
    <row r="186" spans="1:257" x14ac:dyDescent="0.3">
      <c r="A186" t="str">
        <f>IFERROR(INDEX('DRAFT 1'!$A:$A,MATCH($B186,'DRAFT 1'!$B:$B,0)),"")</f>
        <v/>
      </c>
      <c r="C186" t="str">
        <f>IFERROR(INDEX('DRAFT 1'!$C:$C,MATCH($B186,'DRAFT 1'!$B:$B,0)),"")</f>
        <v/>
      </c>
      <c r="D186" t="str">
        <f>IFERROR(INDEX('DRAFT 1'!$D:$D,MATCH($B186,'DRAFT 1'!$B:$B,0)),"")</f>
        <v/>
      </c>
      <c r="E186" t="str">
        <f>IFERROR(INDEX('DRAFT 1'!$E:$E,MATCH($B186,'DRAFT 1'!$B:$B,0)),"")</f>
        <v/>
      </c>
      <c r="F186" t="str">
        <f>IFERROR(INDEX('DRAFT 1'!$F:$F,MATCH($B186,'DRAFT 1'!$B:$B,0)),"")</f>
        <v/>
      </c>
      <c r="G186" t="str">
        <f>IFERROR(INDEX('DRAFT 1'!$G:$G,MATCH($B186,'DRAFT 1'!$B:$B,0)),"")</f>
        <v/>
      </c>
      <c r="H186" t="str">
        <f>IFERROR(INDEX('DRAFT 1'!$H:$H,MATCH($B186,'DRAFT 1'!$B:$B,0)),"")</f>
        <v/>
      </c>
      <c r="I186" t="str">
        <f>IFERROR(INDEX('DRAFT 1'!$I:$I,MATCH($B186,'DRAFT 1'!$B:$B,0)),"")</f>
        <v/>
      </c>
      <c r="K186" t="str">
        <f>IFERROR(INDEX('DRAFT 1'!$AL:$AL,MATCH($B186,'DRAFT 1'!$B:$B,0)),"")</f>
        <v/>
      </c>
      <c r="L186" t="str">
        <f>IFERROR(INDEX('DRAFT 1'!$J:$J,MATCH($B186,'DRAFT 1'!$B:$B,0)),"")</f>
        <v/>
      </c>
      <c r="M186" t="str">
        <f>IFERROR(INDEX('DRAFT 1'!$K:$K,MATCH($B186,'DRAFT 1'!$B:$B,0)),"")</f>
        <v/>
      </c>
      <c r="P186" t="str">
        <f>IFERROR(INDEX('DRAFT 1'!$L:$L,MATCH($B186,'DRAFT 1'!$B:$B,0)),"")</f>
        <v/>
      </c>
      <c r="Q186" t="str">
        <f>IFERROR(INDEX('DRAFT 1'!$M:$M,MATCH($B186,'DRAFT 1'!$B:$B,0)),"")</f>
        <v/>
      </c>
      <c r="R186" t="str">
        <f>IFERROR(INDEX('DRAFT 1'!$N:$N,MATCH($B186,'DRAFT 1'!$B:$B,0)),"")</f>
        <v/>
      </c>
      <c r="S186" t="str">
        <f>IFERROR(INDEX('DRAFT 1'!$O:$O,MATCH($B186,'DRAFT 1'!$B:$B,0)),"")</f>
        <v/>
      </c>
      <c r="T186" t="str">
        <f>IFERROR(INDEX('DRAFT 1'!$P:$P,MATCH($B186,'DRAFT 1'!$B:$B,0)),"")</f>
        <v/>
      </c>
      <c r="U186" t="str">
        <f>IFERROR(INDEX('DRAFT 1'!$Q:$Q,MATCH($B186,'DRAFT 1'!$B:$B,0)),"")</f>
        <v/>
      </c>
      <c r="V186" t="str">
        <f>IFERROR(INDEX('DRAFT 1'!$R:$R,MATCH($B186,'DRAFT 1'!$B:$B,0)),"")</f>
        <v/>
      </c>
      <c r="W186" t="str">
        <f>IFERROR(INDEX('DRAFT 1'!$S:$S,MATCH($B186,'DRAFT 1'!$B:$B,0)),"")</f>
        <v/>
      </c>
      <c r="X186" t="str">
        <f>IFERROR(INDEX('DRAFT 1'!$T:$T,MATCH($B186,'DRAFT 1'!$B:$B,0)),"")</f>
        <v/>
      </c>
      <c r="Z186" t="str">
        <f>IFERROR(INDEX('DRAFT 1'!$U:$U,MATCH($B186,'DRAFT 1'!$B:$B,0)),"")</f>
        <v/>
      </c>
      <c r="AA186" t="str">
        <f>IFERROR(INDEX('DRAFT 1'!$V:$V,MATCH($B186,'DRAFT 1'!$B:$B,0)),"")</f>
        <v/>
      </c>
      <c r="AB186" t="str">
        <f>IFERROR(INDEX('DRAFT 1'!$W:$W,MATCH($B186,'DRAFT 1'!$B:$B,0)),"")</f>
        <v/>
      </c>
      <c r="AC186" t="str">
        <f>IFERROR(INDEX('DRAFT 1'!$X:$X,MATCH($B186,'DRAFT 1'!$B:$B,0)),"")</f>
        <v/>
      </c>
      <c r="AD186" t="str">
        <f>IFERROR(INDEX('DRAFT 1'!$Y:$Y,MATCH($B186,'DRAFT 1'!$B:$B,0)),"")</f>
        <v/>
      </c>
      <c r="AE186" t="str">
        <f>IFERROR(INDEX('DRAFT 1'!$Z:$Z,MATCH($B186,'DRAFT 1'!$B:$B,0)),"")</f>
        <v/>
      </c>
      <c r="AF186" t="str">
        <f>IFERROR(INDEX('DRAFT 1'!$AA:$AA,MATCH($B186,'DRAFT 1'!$B:$B,0)),"")</f>
        <v/>
      </c>
      <c r="AG186" t="str">
        <f>IFERROR(INDEX('DRAFT 1'!$AB:$AB,MATCH($B186,'DRAFT 1'!$B:$B,0)),"")</f>
        <v/>
      </c>
      <c r="AH186" t="str">
        <f>IFERROR(INDEX('DRAFT 1'!$AC:$AC,MATCH($B186,'DRAFT 1'!$B:$B,0)),"")</f>
        <v/>
      </c>
      <c r="AI186" t="str">
        <f>IFERROR(INDEX('DRAFT 1'!$AD:$AD,MATCH($B186,'DRAFT 1'!$B:$B,0)),"")</f>
        <v/>
      </c>
      <c r="AJ186" t="str">
        <f>IFERROR(INDEX('DRAFT 1'!$AE:$AE,MATCH($B186,'DRAFT 1'!$B:$B,0)),"")</f>
        <v/>
      </c>
      <c r="AK186" t="str">
        <f>IFERROR(INDEX('DRAFT 1'!$AG:$AG,MATCH($B186,'DRAFT 1'!$B:$B,0)),"")</f>
        <v/>
      </c>
      <c r="AL186" t="str">
        <f>IFERROR(INDEX('DRAFT 1'!$AH:$AH,MATCH($B186,'DRAFT 1'!$B:$B,0)),"")</f>
        <v/>
      </c>
      <c r="AM186" t="str">
        <f>IFERROR(INDEX('DRAFT 1'!$AI:$AI,MATCH($B186,'DRAFT 1'!$B:$B,0)),"")</f>
        <v/>
      </c>
      <c r="AN186" t="str">
        <f>IFERROR(INDEX('DRAFT 1'!$AJ:$AJ,MATCH($B186,'DRAFT 1'!$B:$B,0)),"")</f>
        <v/>
      </c>
      <c r="AO186">
        <f t="shared" si="70"/>
        <v>0</v>
      </c>
      <c r="AP186" t="str">
        <f>IFERROR(INDEX('DRAFT 1'!$AK:$AK,MATCH($B186,'DRAFT 1'!$B:$B,0)),"")</f>
        <v/>
      </c>
      <c r="AR186">
        <f>IFERROR(LOOKUP(2,1/('DRAFT 2'!$D:$D=$B186),'DRAFT 2'!$I:$I),"")</f>
        <v>0</v>
      </c>
      <c r="AS186">
        <f>IFERROR(LOOKUP(2,1/('DRAFT 2'!$D:$D=$B186),'DRAFT 2'!$T:$T),"")</f>
        <v>0</v>
      </c>
      <c r="AT186">
        <f>IFERROR(LOOKUP(2,1/('DRAFT 2'!$D:$D=$B186),'DRAFT 2'!$A:$A),"")</f>
        <v>0</v>
      </c>
      <c r="AU186">
        <f>IFERROR(LOOKUP(2,1/('DRAFT 2'!$D:$D=$B186),'DRAFT 2'!$R:$R),"")</f>
        <v>0</v>
      </c>
      <c r="AV186">
        <f>IFERROR(LOOKUP(2,1/('DRAFT 2'!$D:$D=$B186),'DRAFT 2'!$S:$S),"")</f>
        <v>0</v>
      </c>
      <c r="AX186">
        <f>IFERROR(LOOKUP(2,1/('DRAFT 2'!$D:$D=$B186),'DRAFT 2'!$M:$M),"")</f>
        <v>0</v>
      </c>
      <c r="AY186">
        <f>IFERROR(LOOKUP(2,1/('DRAFT 2'!$D:$D=$B186),'DRAFT 2'!$K:$K),"")</f>
        <v>0</v>
      </c>
      <c r="BG186">
        <f>IFERROR(LOOKUP(2,1/('DRAFT 2'!$D:$D=$B186),'DRAFT 2'!$U:$U),"")</f>
        <v>0</v>
      </c>
      <c r="BH186">
        <f>IFERROR(LOOKUP(2,1/('DRAFT 2'!$D:$D=$B186),'DRAFT 2'!$V:$V),"")</f>
        <v>0</v>
      </c>
      <c r="CE186" t="str">
        <f t="shared" si="71"/>
        <v/>
      </c>
      <c r="CF186">
        <f>IFERROR(LOOKUP(2,1/('DRAFT 2'!$D:$D=$B186)*('DRAFT 2'!$A:$A&gt;=DATE(2026,1,1))*('DRAFT 2'!$A:$A&lt;DATE(2026,IF(1=12,1+1,1+1),1)),'DRAFT 2'!$A:$A),"")</f>
        <v>0</v>
      </c>
      <c r="CG186">
        <f>COUNTIFS('DRAFT 2'!$D:$D,$B186,'DRAFT 2'!$A:$A,"&gt;="&amp;DATE(2026,1,1),'DRAFT 2'!$A:$A,"&lt;="&amp;DATE(2026,1,7))</f>
        <v>0</v>
      </c>
      <c r="CH186">
        <f>COUNTIFS('DRAFT 2'!$D:$D,$B186,'DRAFT 2'!$A:$A,"&gt;="&amp;DATE(2026,1,8),'DRAFT 2'!$A:$A,"&lt;="&amp;DATE(2026,1,14))</f>
        <v>0</v>
      </c>
      <c r="CI186">
        <f>COUNTIFS('DRAFT 2'!$D:$D,$B186,'DRAFT 2'!$A:$A,"&gt;="&amp;DATE(2026,1,15),'DRAFT 2'!$A:$A,"&lt;="&amp;DATE(2026,1,21))</f>
        <v>0</v>
      </c>
      <c r="CJ186">
        <f>COUNTIFS('DRAFT 2'!$D:$D,$B186,'DRAFT 2'!$A:$A,"&gt;="&amp;DATE(2026,1,22),'DRAFT 2'!$A:$A,"&lt;"&amp;DATE(2026,IF(1=12,1+1,1+1),1))</f>
        <v>0</v>
      </c>
      <c r="CK186">
        <f t="shared" si="72"/>
        <v>0</v>
      </c>
      <c r="CT186">
        <v>0</v>
      </c>
      <c r="CU186">
        <f>IFERROR(LOOKUP(2,1/('DRAFT 2'!$D:$D=$B186)*('DRAFT 2'!$A:$A&gt;=DATE(2026,2,1))*('DRAFT 2'!$A:$A&lt;DATE(2026,IF(2=12,2+1,2+1),1)),'DRAFT 2'!$A:$A),"")</f>
        <v>0</v>
      </c>
      <c r="CV186">
        <f>COUNTIFS('DRAFT 2'!$D:$D,$B186,'DRAFT 2'!$A:$A,"&gt;="&amp;DATE(2026,2,1),'DRAFT 2'!$A:$A,"&lt;="&amp;DATE(2026,2,7))</f>
        <v>0</v>
      </c>
      <c r="CW186">
        <f>COUNTIFS('DRAFT 2'!$D:$D,$B186,'DRAFT 2'!$A:$A,"&gt;="&amp;DATE(2026,2,8),'DRAFT 2'!$A:$A,"&lt;="&amp;DATE(2026,2,14))</f>
        <v>0</v>
      </c>
      <c r="CX186">
        <f>COUNTIFS('DRAFT 2'!$D:$D,$B186,'DRAFT 2'!$A:$A,"&gt;="&amp;DATE(2026,2,15),'DRAFT 2'!$A:$A,"&lt;="&amp;DATE(2026,2,21))</f>
        <v>0</v>
      </c>
      <c r="CY186">
        <f>COUNTIFS('DRAFT 2'!$D:$D,$B186,'DRAFT 2'!$A:$A,"&gt;="&amp;DATE(2026,2,22),'DRAFT 2'!$A:$A,"&lt;"&amp;DATE(2026,IF(2=12,2+1,2+1),1))</f>
        <v>0</v>
      </c>
      <c r="CZ186">
        <f t="shared" si="73"/>
        <v>0</v>
      </c>
      <c r="DJ186">
        <f>IFERROR(LOOKUP(2,1/('DRAFT 2'!$D:$D=$B186)*('DRAFT 2'!$A:$A&gt;=DATE(2026,3,1))*('DRAFT 2'!$A:$A&lt;DATE(2026,IF(3=12,3+1,3+1),1)),'DRAFT 2'!$A:$A),"")</f>
        <v>0</v>
      </c>
      <c r="DK186">
        <f>COUNTIFS('DRAFT 2'!$D:$D,$B186,'DRAFT 2'!$A:$A,"&gt;="&amp;DATE(2026,3,1),'DRAFT 2'!$A:$A,"&lt;="&amp;DATE(2026,3,7))</f>
        <v>0</v>
      </c>
      <c r="DL186">
        <f>COUNTIFS('DRAFT 2'!$D:$D,$B186,'DRAFT 2'!$A:$A,"&gt;="&amp;DATE(2026,3,8),'DRAFT 2'!$A:$A,"&lt;="&amp;DATE(2026,3,14))</f>
        <v>0</v>
      </c>
      <c r="DM186">
        <f>COUNTIFS('DRAFT 2'!$D:$D,$B186,'DRAFT 2'!$A:$A,"&gt;="&amp;DATE(2026,3,15),'DRAFT 2'!$A:$A,"&lt;="&amp;DATE(2026,3,21))</f>
        <v>0</v>
      </c>
      <c r="DN186">
        <f>COUNTIFS('DRAFT 2'!$D:$D,$B186,'DRAFT 2'!$A:$A,"&gt;="&amp;DATE(2026,3,22),'DRAFT 2'!$A:$A,"&lt;"&amp;DATE(2026,IF(3=12,3+1,3+1),1))</f>
        <v>0</v>
      </c>
      <c r="DO186">
        <f t="shared" si="74"/>
        <v>0</v>
      </c>
      <c r="DZ186">
        <f>IFERROR(LOOKUP(2,1/('DRAFT 2'!$D:$D=$B186)*('DRAFT 2'!$A:$A&gt;=DATE(2026,4,1))*('DRAFT 2'!$A:$A&lt;DATE(2026,IF(4=12,4+1,4+1),1)),'DRAFT 2'!$A:$A),"")</f>
        <v>0</v>
      </c>
      <c r="EA186">
        <f>COUNTIFS('DRAFT 2'!$D:$D,$B186,'DRAFT 2'!$A:$A,"&gt;="&amp;DATE(2026,4,1),'DRAFT 2'!$A:$A,"&lt;="&amp;DATE(2026,4,7))</f>
        <v>0</v>
      </c>
      <c r="EB186">
        <f>COUNTIFS('DRAFT 2'!$D:$D,$B186,'DRAFT 2'!$A:$A,"&gt;="&amp;DATE(2026,4,8),'DRAFT 2'!$A:$A,"&lt;="&amp;DATE(2026,4,14))</f>
        <v>0</v>
      </c>
      <c r="EC186">
        <f>COUNTIFS('DRAFT 2'!$D:$D,$B186,'DRAFT 2'!$A:$A,"&gt;="&amp;DATE(2026,4,15),'DRAFT 2'!$A:$A,"&lt;="&amp;DATE(2026,4,21))</f>
        <v>0</v>
      </c>
      <c r="ED186">
        <f>COUNTIFS('DRAFT 2'!$D:$D,$B186,'DRAFT 2'!$A:$A,"&gt;="&amp;DATE(2026,4,22),'DRAFT 2'!$A:$A,"&lt;"&amp;DATE(2026,IF(4=12,4+1,4+1),1))</f>
        <v>0</v>
      </c>
      <c r="EE186">
        <f t="shared" si="75"/>
        <v>0</v>
      </c>
      <c r="EO186">
        <f>IFERROR(LOOKUP(2,1/('DRAFT 2'!$D:$D=$B186)*('DRAFT 2'!$A:$A&gt;=DATE(2026,5,1))*('DRAFT 2'!$A:$A&lt;DATE(2026,IF(5=12,5+1,5+1),1)),'DRAFT 2'!$A:$A),"")</f>
        <v>0</v>
      </c>
      <c r="EP186">
        <f>COUNTIFS('DRAFT 2'!$D:$D,$B186,'DRAFT 2'!$A:$A,"&gt;="&amp;DATE(2026,5,1),'DRAFT 2'!$A:$A,"&lt;="&amp;DATE(2026,5,7))</f>
        <v>0</v>
      </c>
      <c r="EQ186">
        <f>COUNTIFS('DRAFT 2'!$D:$D,$B186,'DRAFT 2'!$A:$A,"&gt;="&amp;DATE(2026,5,8),'DRAFT 2'!$A:$A,"&lt;="&amp;DATE(2026,5,14))</f>
        <v>0</v>
      </c>
      <c r="ER186">
        <f>COUNTIFS('DRAFT 2'!$D:$D,$B186,'DRAFT 2'!$A:$A,"&gt;="&amp;DATE(2026,5,15),'DRAFT 2'!$A:$A,"&lt;="&amp;DATE(2026,5,21))</f>
        <v>0</v>
      </c>
      <c r="ES186">
        <f>COUNTIFS('DRAFT 2'!$D:$D,$B186,'DRAFT 2'!$A:$A,"&gt;="&amp;DATE(2026,5,22),'DRAFT 2'!$A:$A,"&lt;"&amp;DATE(2026,IF(5=12,5+1,5+1),1))</f>
        <v>0</v>
      </c>
      <c r="ET186">
        <f t="shared" si="76"/>
        <v>0</v>
      </c>
      <c r="FD186">
        <f>IFERROR(LOOKUP(2,1/('DRAFT 2'!$D:$D=$B186)*('DRAFT 2'!$A:$A&gt;=DATE(2026,6,1))*('DRAFT 2'!$A:$A&lt;DATE(2026,IF(6=12,6+1,6+1),1)),'DRAFT 2'!$A:$A),"")</f>
        <v>0</v>
      </c>
      <c r="FE186">
        <f>COUNTIFS('DRAFT 2'!$D:$D,$B186,'DRAFT 2'!$A:$A,"&gt;="&amp;DATE(2026,6,1),'DRAFT 2'!$A:$A,"&lt;="&amp;DATE(2026,6,7))</f>
        <v>0</v>
      </c>
      <c r="FF186">
        <f>COUNTIFS('DRAFT 2'!$D:$D,$B186,'DRAFT 2'!$A:$A,"&gt;="&amp;DATE(2026,6,8),'DRAFT 2'!$A:$A,"&lt;="&amp;DATE(2026,6,14))</f>
        <v>0</v>
      </c>
      <c r="FG186">
        <f>COUNTIFS('DRAFT 2'!$D:$D,$B186,'DRAFT 2'!$A:$A,"&gt;="&amp;DATE(2026,6,15),'DRAFT 2'!$A:$A,"&lt;="&amp;DATE(2026,6,21))</f>
        <v>0</v>
      </c>
      <c r="FH186">
        <f>COUNTIFS('DRAFT 2'!$D:$D,$B186,'DRAFT 2'!$A:$A,"&gt;="&amp;DATE(2026,6,22),'DRAFT 2'!$A:$A,"&lt;"&amp;DATE(2026,IF(6=12,6+1,6+1),1))</f>
        <v>0</v>
      </c>
      <c r="FI186">
        <f t="shared" si="77"/>
        <v>0</v>
      </c>
      <c r="FT186">
        <f>IFERROR(LOOKUP(2,1/('DRAFT 2'!$D:$D=$B186)*('DRAFT 2'!$A:$A&gt;=DATE(2026,7,1))*('DRAFT 2'!$A:$A&lt;DATE(2026,IF(7=12,7+1,7+1),1)),'DRAFT 2'!$A:$A),"")</f>
        <v>0</v>
      </c>
      <c r="FU186">
        <f>COUNTIFS('DRAFT 2'!$D:$D,$B186,'DRAFT 2'!$A:$A,"&gt;="&amp;DATE(2026,7,1),'DRAFT 2'!$A:$A,"&lt;="&amp;DATE(2026,7,7))</f>
        <v>0</v>
      </c>
      <c r="FV186">
        <f>COUNTIFS('DRAFT 2'!$D:$D,$B186,'DRAFT 2'!$A:$A,"&gt;="&amp;DATE(2026,7,8),'DRAFT 2'!$A:$A,"&lt;="&amp;DATE(2026,7,14))</f>
        <v>0</v>
      </c>
      <c r="FW186">
        <f>COUNTIFS('DRAFT 2'!$D:$D,$B186,'DRAFT 2'!$A:$A,"&gt;="&amp;DATE(2026,7,15),'DRAFT 2'!$A:$A,"&lt;="&amp;DATE(2026,7,21))</f>
        <v>0</v>
      </c>
      <c r="FX186">
        <f>COUNTIFS('DRAFT 2'!$D:$D,$B186,'DRAFT 2'!$A:$A,"&gt;="&amp;DATE(2026,7,22),'DRAFT 2'!$A:$A,"&lt;"&amp;DATE(2026,IF(7=12,7+1,7+1),1))</f>
        <v>0</v>
      </c>
      <c r="FY186">
        <f t="shared" si="78"/>
        <v>0</v>
      </c>
      <c r="GI186">
        <f>IFERROR(LOOKUP(2,1/('DRAFT 2'!$D:$D=$B186)*('DRAFT 2'!$A:$A&gt;=DATE(2026,8,1))*('DRAFT 2'!$A:$A&lt;DATE(2026,IF(8=12,8+1,8+1),1)),'DRAFT 2'!$A:$A),"")</f>
        <v>0</v>
      </c>
      <c r="GJ186">
        <f>COUNTIFS('DRAFT 2'!$D:$D,$B186,'DRAFT 2'!$A:$A,"&gt;="&amp;DATE(2026,8,1),'DRAFT 2'!$A:$A,"&lt;="&amp;DATE(2026,8,7))</f>
        <v>0</v>
      </c>
      <c r="GK186">
        <f>COUNTIFS('DRAFT 2'!$D:$D,$B186,'DRAFT 2'!$A:$A,"&gt;="&amp;DATE(2026,8,8),'DRAFT 2'!$A:$A,"&lt;="&amp;DATE(2026,8,14))</f>
        <v>0</v>
      </c>
      <c r="GL186">
        <f>COUNTIFS('DRAFT 2'!$D:$D,$B186,'DRAFT 2'!$A:$A,"&gt;="&amp;DATE(2026,8,15),'DRAFT 2'!$A:$A,"&lt;="&amp;DATE(2026,8,21))</f>
        <v>0</v>
      </c>
      <c r="GM186">
        <f>COUNTIFS('DRAFT 2'!$D:$D,$B186,'DRAFT 2'!$A:$A,"&gt;="&amp;DATE(2026,8,22),'DRAFT 2'!$A:$A,"&lt;"&amp;DATE(2026,IF(8=12,8+1,8+1),1))</f>
        <v>0</v>
      </c>
      <c r="GN186">
        <f t="shared" si="79"/>
        <v>0</v>
      </c>
      <c r="GX186">
        <f>IFERROR(LOOKUP(2,1/('DRAFT 2'!$D:$D=$B186)*('DRAFT 2'!$A:$A&gt;=DATE(2026,9,1))*('DRAFT 2'!$A:$A&lt;DATE(2026,IF(9=12,9+1,9+1),1)),'DRAFT 2'!$A:$A),"")</f>
        <v>0</v>
      </c>
      <c r="GY186">
        <f>COUNTIFS('DRAFT 2'!$D:$D,$B186,'DRAFT 2'!$A:$A,"&gt;="&amp;DATE(2026,9,1),'DRAFT 2'!$A:$A,"&lt;="&amp;DATE(2026,9,7))</f>
        <v>0</v>
      </c>
      <c r="GZ186">
        <f>COUNTIFS('DRAFT 2'!$D:$D,$B186,'DRAFT 2'!$A:$A,"&gt;="&amp;DATE(2026,9,8),'DRAFT 2'!$A:$A,"&lt;="&amp;DATE(2026,9,14))</f>
        <v>0</v>
      </c>
      <c r="HA186">
        <f>COUNTIFS('DRAFT 2'!$D:$D,$B186,'DRAFT 2'!$A:$A,"&gt;="&amp;DATE(2026,9,15),'DRAFT 2'!$A:$A,"&lt;="&amp;DATE(2026,9,21))</f>
        <v>0</v>
      </c>
      <c r="HB186">
        <f>COUNTIFS('DRAFT 2'!$D:$D,$B186,'DRAFT 2'!$A:$A,"&gt;="&amp;DATE(2026,9,22),'DRAFT 2'!$A:$A,"&lt;"&amp;DATE(2026,IF(9=12,9+1,9+1),1))</f>
        <v>0</v>
      </c>
      <c r="HC186">
        <f t="shared" si="80"/>
        <v>0</v>
      </c>
      <c r="HN186">
        <f>IFERROR(LOOKUP(2,1/('DRAFT 2'!$D:$D=$B186)*('DRAFT 2'!$A:$A&gt;=DATE(2026,10,1))*('DRAFT 2'!$A:$A&lt;DATE(2026,IF(10=12,10+1,10+1),1)),'DRAFT 2'!$A:$A),"")</f>
        <v>0</v>
      </c>
      <c r="HO186">
        <f>COUNTIFS('DRAFT 2'!$D:$D,$B186,'DRAFT 2'!$A:$A,"&gt;="&amp;DATE(2026,10,1),'DRAFT 2'!$A:$A,"&lt;="&amp;DATE(2026,10,7))</f>
        <v>0</v>
      </c>
      <c r="HP186">
        <f>COUNTIFS('DRAFT 2'!$D:$D,$B186,'DRAFT 2'!$A:$A,"&gt;="&amp;DATE(2026,10,8),'DRAFT 2'!$A:$A,"&lt;="&amp;DATE(2026,10,14))</f>
        <v>0</v>
      </c>
      <c r="HQ186">
        <f>COUNTIFS('DRAFT 2'!$D:$D,$B186,'DRAFT 2'!$A:$A,"&gt;="&amp;DATE(2026,10,15),'DRAFT 2'!$A:$A,"&lt;="&amp;DATE(2026,10,21))</f>
        <v>0</v>
      </c>
      <c r="HR186">
        <f>COUNTIFS('DRAFT 2'!$D:$D,$B186,'DRAFT 2'!$A:$A,"&gt;="&amp;DATE(2026,10,22),'DRAFT 2'!$A:$A,"&lt;"&amp;DATE(2026,IF(10=12,10+1,10+1),1))</f>
        <v>0</v>
      </c>
      <c r="HS186">
        <f t="shared" si="81"/>
        <v>0</v>
      </c>
      <c r="IC186">
        <f>IFERROR(LOOKUP(2,1/('DRAFT 2'!$D:$D=$B186)*('DRAFT 2'!$A:$A&gt;=DATE(2026,11,1))*('DRAFT 2'!$A:$A&lt;DATE(2026,IF(11=12,11+1,11+1),1)),'DRAFT 2'!$A:$A),"")</f>
        <v>0</v>
      </c>
      <c r="ID186">
        <f>COUNTIFS('DRAFT 2'!$D:$D,$B186,'DRAFT 2'!$A:$A,"&gt;="&amp;DATE(2026,11,1),'DRAFT 2'!$A:$A,"&lt;="&amp;DATE(2026,11,7))</f>
        <v>0</v>
      </c>
      <c r="IE186">
        <f>COUNTIFS('DRAFT 2'!$D:$D,$B186,'DRAFT 2'!$A:$A,"&gt;="&amp;DATE(2026,11,8),'DRAFT 2'!$A:$A,"&lt;="&amp;DATE(2026,11,14))</f>
        <v>0</v>
      </c>
      <c r="IF186">
        <f>COUNTIFS('DRAFT 2'!$D:$D,$B186,'DRAFT 2'!$A:$A,"&gt;="&amp;DATE(2026,11,15),'DRAFT 2'!$A:$A,"&lt;="&amp;DATE(2026,11,21))</f>
        <v>0</v>
      </c>
      <c r="IG186">
        <f>COUNTIFS('DRAFT 2'!$D:$D,$B186,'DRAFT 2'!$A:$A,"&gt;="&amp;DATE(2026,11,22),'DRAFT 2'!$A:$A,"&lt;"&amp;DATE(2026,IF(11=12,11+1,11+1),1))</f>
        <v>0</v>
      </c>
      <c r="IH186">
        <f t="shared" si="82"/>
        <v>0</v>
      </c>
      <c r="IR186">
        <f>IFERROR(LOOKUP(2,1/('DRAFT 2'!$D:$D=$B186)*('DRAFT 2'!$A:$A&gt;=DATE(2026,12,1))*('DRAFT 2'!$A:$A&lt;DATE(2026,IF(12=12,12+1,12+1),1)),'DRAFT 2'!$A:$A),"")</f>
        <v>0</v>
      </c>
      <c r="IS186">
        <f>COUNTIFS('DRAFT 2'!$D:$D,$B186,'DRAFT 2'!$A:$A,"&gt;="&amp;DATE(2026,12,1),'DRAFT 2'!$A:$A,"&lt;="&amp;DATE(2026,12,7))</f>
        <v>0</v>
      </c>
      <c r="IT186">
        <f>COUNTIFS('DRAFT 2'!$D:$D,$B186,'DRAFT 2'!$A:$A,"&gt;="&amp;DATE(2026,12,8),'DRAFT 2'!$A:$A,"&lt;="&amp;DATE(2026,12,14))</f>
        <v>0</v>
      </c>
      <c r="IU186">
        <f>COUNTIFS('DRAFT 2'!$D:$D,$B186,'DRAFT 2'!$A:$A,"&gt;="&amp;DATE(2026,12,15),'DRAFT 2'!$A:$A,"&lt;="&amp;DATE(2026,12,21))</f>
        <v>0</v>
      </c>
      <c r="IV186">
        <f>COUNTIFS('DRAFT 2'!$D:$D,$B186,'DRAFT 2'!$A:$A,"&gt;="&amp;DATE(2026,12,22),'DRAFT 2'!$A:$A,"&lt;"&amp;DATE(2026,IF(12=12,12+1,12+1),1))</f>
        <v>0</v>
      </c>
      <c r="IW186">
        <f t="shared" si="83"/>
        <v>0</v>
      </c>
    </row>
    <row r="187" spans="1:257" x14ac:dyDescent="0.3">
      <c r="A187" t="str">
        <f>IFERROR(INDEX('DRAFT 1'!$A:$A,MATCH($B187,'DRAFT 1'!$B:$B,0)),"")</f>
        <v/>
      </c>
      <c r="C187" t="str">
        <f>IFERROR(INDEX('DRAFT 1'!$C:$C,MATCH($B187,'DRAFT 1'!$B:$B,0)),"")</f>
        <v/>
      </c>
      <c r="D187" t="str">
        <f>IFERROR(INDEX('DRAFT 1'!$D:$D,MATCH($B187,'DRAFT 1'!$B:$B,0)),"")</f>
        <v/>
      </c>
      <c r="E187" t="str">
        <f>IFERROR(INDEX('DRAFT 1'!$E:$E,MATCH($B187,'DRAFT 1'!$B:$B,0)),"")</f>
        <v/>
      </c>
      <c r="F187" t="str">
        <f>IFERROR(INDEX('DRAFT 1'!$F:$F,MATCH($B187,'DRAFT 1'!$B:$B,0)),"")</f>
        <v/>
      </c>
      <c r="G187" t="str">
        <f>IFERROR(INDEX('DRAFT 1'!$G:$G,MATCH($B187,'DRAFT 1'!$B:$B,0)),"")</f>
        <v/>
      </c>
      <c r="H187" t="str">
        <f>IFERROR(INDEX('DRAFT 1'!$H:$H,MATCH($B187,'DRAFT 1'!$B:$B,0)),"")</f>
        <v/>
      </c>
      <c r="I187" t="str">
        <f>IFERROR(INDEX('DRAFT 1'!$I:$I,MATCH($B187,'DRAFT 1'!$B:$B,0)),"")</f>
        <v/>
      </c>
      <c r="K187" t="str">
        <f>IFERROR(INDEX('DRAFT 1'!$AL:$AL,MATCH($B187,'DRAFT 1'!$B:$B,0)),"")</f>
        <v/>
      </c>
      <c r="L187" t="str">
        <f>IFERROR(INDEX('DRAFT 1'!$J:$J,MATCH($B187,'DRAFT 1'!$B:$B,0)),"")</f>
        <v/>
      </c>
      <c r="M187" t="str">
        <f>IFERROR(INDEX('DRAFT 1'!$K:$K,MATCH($B187,'DRAFT 1'!$B:$B,0)),"")</f>
        <v/>
      </c>
      <c r="P187" t="str">
        <f>IFERROR(INDEX('DRAFT 1'!$L:$L,MATCH($B187,'DRAFT 1'!$B:$B,0)),"")</f>
        <v/>
      </c>
      <c r="Q187" t="str">
        <f>IFERROR(INDEX('DRAFT 1'!$M:$M,MATCH($B187,'DRAFT 1'!$B:$B,0)),"")</f>
        <v/>
      </c>
      <c r="R187" t="str">
        <f>IFERROR(INDEX('DRAFT 1'!$N:$N,MATCH($B187,'DRAFT 1'!$B:$B,0)),"")</f>
        <v/>
      </c>
      <c r="S187" t="str">
        <f>IFERROR(INDEX('DRAFT 1'!$O:$O,MATCH($B187,'DRAFT 1'!$B:$B,0)),"")</f>
        <v/>
      </c>
      <c r="T187" t="str">
        <f>IFERROR(INDEX('DRAFT 1'!$P:$P,MATCH($B187,'DRAFT 1'!$B:$B,0)),"")</f>
        <v/>
      </c>
      <c r="U187" t="str">
        <f>IFERROR(INDEX('DRAFT 1'!$Q:$Q,MATCH($B187,'DRAFT 1'!$B:$B,0)),"")</f>
        <v/>
      </c>
      <c r="V187" t="str">
        <f>IFERROR(INDEX('DRAFT 1'!$R:$R,MATCH($B187,'DRAFT 1'!$B:$B,0)),"")</f>
        <v/>
      </c>
      <c r="W187" t="str">
        <f>IFERROR(INDEX('DRAFT 1'!$S:$S,MATCH($B187,'DRAFT 1'!$B:$B,0)),"")</f>
        <v/>
      </c>
      <c r="X187" t="str">
        <f>IFERROR(INDEX('DRAFT 1'!$T:$T,MATCH($B187,'DRAFT 1'!$B:$B,0)),"")</f>
        <v/>
      </c>
      <c r="Z187" t="str">
        <f>IFERROR(INDEX('DRAFT 1'!$U:$U,MATCH($B187,'DRAFT 1'!$B:$B,0)),"")</f>
        <v/>
      </c>
      <c r="AA187" t="str">
        <f>IFERROR(INDEX('DRAFT 1'!$V:$V,MATCH($B187,'DRAFT 1'!$B:$B,0)),"")</f>
        <v/>
      </c>
      <c r="AB187" t="str">
        <f>IFERROR(INDEX('DRAFT 1'!$W:$W,MATCH($B187,'DRAFT 1'!$B:$B,0)),"")</f>
        <v/>
      </c>
      <c r="AC187" t="str">
        <f>IFERROR(INDEX('DRAFT 1'!$X:$X,MATCH($B187,'DRAFT 1'!$B:$B,0)),"")</f>
        <v/>
      </c>
      <c r="AD187" t="str">
        <f>IFERROR(INDEX('DRAFT 1'!$Y:$Y,MATCH($B187,'DRAFT 1'!$B:$B,0)),"")</f>
        <v/>
      </c>
      <c r="AE187" t="str">
        <f>IFERROR(INDEX('DRAFT 1'!$Z:$Z,MATCH($B187,'DRAFT 1'!$B:$B,0)),"")</f>
        <v/>
      </c>
      <c r="AF187" t="str">
        <f>IFERROR(INDEX('DRAFT 1'!$AA:$AA,MATCH($B187,'DRAFT 1'!$B:$B,0)),"")</f>
        <v/>
      </c>
      <c r="AG187" t="str">
        <f>IFERROR(INDEX('DRAFT 1'!$AB:$AB,MATCH($B187,'DRAFT 1'!$B:$B,0)),"")</f>
        <v/>
      </c>
      <c r="AH187" t="str">
        <f>IFERROR(INDEX('DRAFT 1'!$AC:$AC,MATCH($B187,'DRAFT 1'!$B:$B,0)),"")</f>
        <v/>
      </c>
      <c r="AI187" t="str">
        <f>IFERROR(INDEX('DRAFT 1'!$AD:$AD,MATCH($B187,'DRAFT 1'!$B:$B,0)),"")</f>
        <v/>
      </c>
      <c r="AJ187" t="str">
        <f>IFERROR(INDEX('DRAFT 1'!$AE:$AE,MATCH($B187,'DRAFT 1'!$B:$B,0)),"")</f>
        <v/>
      </c>
      <c r="AK187" t="str">
        <f>IFERROR(INDEX('DRAFT 1'!$AG:$AG,MATCH($B187,'DRAFT 1'!$B:$B,0)),"")</f>
        <v/>
      </c>
      <c r="AL187" t="str">
        <f>IFERROR(INDEX('DRAFT 1'!$AH:$AH,MATCH($B187,'DRAFT 1'!$B:$B,0)),"")</f>
        <v/>
      </c>
      <c r="AM187" t="str">
        <f>IFERROR(INDEX('DRAFT 1'!$AI:$AI,MATCH($B187,'DRAFT 1'!$B:$B,0)),"")</f>
        <v/>
      </c>
      <c r="AN187" t="str">
        <f>IFERROR(INDEX('DRAFT 1'!$AJ:$AJ,MATCH($B187,'DRAFT 1'!$B:$B,0)),"")</f>
        <v/>
      </c>
      <c r="AO187">
        <f t="shared" si="70"/>
        <v>0</v>
      </c>
      <c r="AP187" t="str">
        <f>IFERROR(INDEX('DRAFT 1'!$AK:$AK,MATCH($B187,'DRAFT 1'!$B:$B,0)),"")</f>
        <v/>
      </c>
      <c r="AR187">
        <f>IFERROR(LOOKUP(2,1/('DRAFT 2'!$D:$D=$B187),'DRAFT 2'!$I:$I),"")</f>
        <v>0</v>
      </c>
      <c r="AS187">
        <f>IFERROR(LOOKUP(2,1/('DRAFT 2'!$D:$D=$B187),'DRAFT 2'!$T:$T),"")</f>
        <v>0</v>
      </c>
      <c r="AT187">
        <f>IFERROR(LOOKUP(2,1/('DRAFT 2'!$D:$D=$B187),'DRAFT 2'!$A:$A),"")</f>
        <v>0</v>
      </c>
      <c r="AU187">
        <f>IFERROR(LOOKUP(2,1/('DRAFT 2'!$D:$D=$B187),'DRAFT 2'!$R:$R),"")</f>
        <v>0</v>
      </c>
      <c r="AV187">
        <f>IFERROR(LOOKUP(2,1/('DRAFT 2'!$D:$D=$B187),'DRAFT 2'!$S:$S),"")</f>
        <v>0</v>
      </c>
      <c r="AX187">
        <f>IFERROR(LOOKUP(2,1/('DRAFT 2'!$D:$D=$B187),'DRAFT 2'!$M:$M),"")</f>
        <v>0</v>
      </c>
      <c r="AY187">
        <f>IFERROR(LOOKUP(2,1/('DRAFT 2'!$D:$D=$B187),'DRAFT 2'!$K:$K),"")</f>
        <v>0</v>
      </c>
      <c r="BG187">
        <f>IFERROR(LOOKUP(2,1/('DRAFT 2'!$D:$D=$B187),'DRAFT 2'!$U:$U),"")</f>
        <v>0</v>
      </c>
      <c r="BH187">
        <f>IFERROR(LOOKUP(2,1/('DRAFT 2'!$D:$D=$B187),'DRAFT 2'!$V:$V),"")</f>
        <v>0</v>
      </c>
      <c r="CE187" t="str">
        <f t="shared" si="71"/>
        <v/>
      </c>
      <c r="CF187">
        <f>IFERROR(LOOKUP(2,1/('DRAFT 2'!$D:$D=$B187)*('DRAFT 2'!$A:$A&gt;=DATE(2026,1,1))*('DRAFT 2'!$A:$A&lt;DATE(2026,IF(1=12,1+1,1+1),1)),'DRAFT 2'!$A:$A),"")</f>
        <v>0</v>
      </c>
      <c r="CG187">
        <f>COUNTIFS('DRAFT 2'!$D:$D,$B187,'DRAFT 2'!$A:$A,"&gt;="&amp;DATE(2026,1,1),'DRAFT 2'!$A:$A,"&lt;="&amp;DATE(2026,1,7))</f>
        <v>0</v>
      </c>
      <c r="CH187">
        <f>COUNTIFS('DRAFT 2'!$D:$D,$B187,'DRAFT 2'!$A:$A,"&gt;="&amp;DATE(2026,1,8),'DRAFT 2'!$A:$A,"&lt;="&amp;DATE(2026,1,14))</f>
        <v>0</v>
      </c>
      <c r="CI187">
        <f>COUNTIFS('DRAFT 2'!$D:$D,$B187,'DRAFT 2'!$A:$A,"&gt;="&amp;DATE(2026,1,15),'DRAFT 2'!$A:$A,"&lt;="&amp;DATE(2026,1,21))</f>
        <v>0</v>
      </c>
      <c r="CJ187">
        <f>COUNTIFS('DRAFT 2'!$D:$D,$B187,'DRAFT 2'!$A:$A,"&gt;="&amp;DATE(2026,1,22),'DRAFT 2'!$A:$A,"&lt;"&amp;DATE(2026,IF(1=12,1+1,1+1),1))</f>
        <v>0</v>
      </c>
      <c r="CK187">
        <f t="shared" si="72"/>
        <v>0</v>
      </c>
      <c r="CT187">
        <v>0</v>
      </c>
      <c r="CU187">
        <f>IFERROR(LOOKUP(2,1/('DRAFT 2'!$D:$D=$B187)*('DRAFT 2'!$A:$A&gt;=DATE(2026,2,1))*('DRAFT 2'!$A:$A&lt;DATE(2026,IF(2=12,2+1,2+1),1)),'DRAFT 2'!$A:$A),"")</f>
        <v>0</v>
      </c>
      <c r="CV187">
        <f>COUNTIFS('DRAFT 2'!$D:$D,$B187,'DRAFT 2'!$A:$A,"&gt;="&amp;DATE(2026,2,1),'DRAFT 2'!$A:$A,"&lt;="&amp;DATE(2026,2,7))</f>
        <v>0</v>
      </c>
      <c r="CW187">
        <f>COUNTIFS('DRAFT 2'!$D:$D,$B187,'DRAFT 2'!$A:$A,"&gt;="&amp;DATE(2026,2,8),'DRAFT 2'!$A:$A,"&lt;="&amp;DATE(2026,2,14))</f>
        <v>0</v>
      </c>
      <c r="CX187">
        <f>COUNTIFS('DRAFT 2'!$D:$D,$B187,'DRAFT 2'!$A:$A,"&gt;="&amp;DATE(2026,2,15),'DRAFT 2'!$A:$A,"&lt;="&amp;DATE(2026,2,21))</f>
        <v>0</v>
      </c>
      <c r="CY187">
        <f>COUNTIFS('DRAFT 2'!$D:$D,$B187,'DRAFT 2'!$A:$A,"&gt;="&amp;DATE(2026,2,22),'DRAFT 2'!$A:$A,"&lt;"&amp;DATE(2026,IF(2=12,2+1,2+1),1))</f>
        <v>0</v>
      </c>
      <c r="CZ187">
        <f t="shared" si="73"/>
        <v>0</v>
      </c>
      <c r="DJ187">
        <f>IFERROR(LOOKUP(2,1/('DRAFT 2'!$D:$D=$B187)*('DRAFT 2'!$A:$A&gt;=DATE(2026,3,1))*('DRAFT 2'!$A:$A&lt;DATE(2026,IF(3=12,3+1,3+1),1)),'DRAFT 2'!$A:$A),"")</f>
        <v>0</v>
      </c>
      <c r="DK187">
        <f>COUNTIFS('DRAFT 2'!$D:$D,$B187,'DRAFT 2'!$A:$A,"&gt;="&amp;DATE(2026,3,1),'DRAFT 2'!$A:$A,"&lt;="&amp;DATE(2026,3,7))</f>
        <v>0</v>
      </c>
      <c r="DL187">
        <f>COUNTIFS('DRAFT 2'!$D:$D,$B187,'DRAFT 2'!$A:$A,"&gt;="&amp;DATE(2026,3,8),'DRAFT 2'!$A:$A,"&lt;="&amp;DATE(2026,3,14))</f>
        <v>0</v>
      </c>
      <c r="DM187">
        <f>COUNTIFS('DRAFT 2'!$D:$D,$B187,'DRAFT 2'!$A:$A,"&gt;="&amp;DATE(2026,3,15),'DRAFT 2'!$A:$A,"&lt;="&amp;DATE(2026,3,21))</f>
        <v>0</v>
      </c>
      <c r="DN187">
        <f>COUNTIFS('DRAFT 2'!$D:$D,$B187,'DRAFT 2'!$A:$A,"&gt;="&amp;DATE(2026,3,22),'DRAFT 2'!$A:$A,"&lt;"&amp;DATE(2026,IF(3=12,3+1,3+1),1))</f>
        <v>0</v>
      </c>
      <c r="DO187">
        <f t="shared" si="74"/>
        <v>0</v>
      </c>
      <c r="DZ187">
        <f>IFERROR(LOOKUP(2,1/('DRAFT 2'!$D:$D=$B187)*('DRAFT 2'!$A:$A&gt;=DATE(2026,4,1))*('DRAFT 2'!$A:$A&lt;DATE(2026,IF(4=12,4+1,4+1),1)),'DRAFT 2'!$A:$A),"")</f>
        <v>0</v>
      </c>
      <c r="EA187">
        <f>COUNTIFS('DRAFT 2'!$D:$D,$B187,'DRAFT 2'!$A:$A,"&gt;="&amp;DATE(2026,4,1),'DRAFT 2'!$A:$A,"&lt;="&amp;DATE(2026,4,7))</f>
        <v>0</v>
      </c>
      <c r="EB187">
        <f>COUNTIFS('DRAFT 2'!$D:$D,$B187,'DRAFT 2'!$A:$A,"&gt;="&amp;DATE(2026,4,8),'DRAFT 2'!$A:$A,"&lt;="&amp;DATE(2026,4,14))</f>
        <v>0</v>
      </c>
      <c r="EC187">
        <f>COUNTIFS('DRAFT 2'!$D:$D,$B187,'DRAFT 2'!$A:$A,"&gt;="&amp;DATE(2026,4,15),'DRAFT 2'!$A:$A,"&lt;="&amp;DATE(2026,4,21))</f>
        <v>0</v>
      </c>
      <c r="ED187">
        <f>COUNTIFS('DRAFT 2'!$D:$D,$B187,'DRAFT 2'!$A:$A,"&gt;="&amp;DATE(2026,4,22),'DRAFT 2'!$A:$A,"&lt;"&amp;DATE(2026,IF(4=12,4+1,4+1),1))</f>
        <v>0</v>
      </c>
      <c r="EE187">
        <f t="shared" si="75"/>
        <v>0</v>
      </c>
      <c r="EO187">
        <f>IFERROR(LOOKUP(2,1/('DRAFT 2'!$D:$D=$B187)*('DRAFT 2'!$A:$A&gt;=DATE(2026,5,1))*('DRAFT 2'!$A:$A&lt;DATE(2026,IF(5=12,5+1,5+1),1)),'DRAFT 2'!$A:$A),"")</f>
        <v>0</v>
      </c>
      <c r="EP187">
        <f>COUNTIFS('DRAFT 2'!$D:$D,$B187,'DRAFT 2'!$A:$A,"&gt;="&amp;DATE(2026,5,1),'DRAFT 2'!$A:$A,"&lt;="&amp;DATE(2026,5,7))</f>
        <v>0</v>
      </c>
      <c r="EQ187">
        <f>COUNTIFS('DRAFT 2'!$D:$D,$B187,'DRAFT 2'!$A:$A,"&gt;="&amp;DATE(2026,5,8),'DRAFT 2'!$A:$A,"&lt;="&amp;DATE(2026,5,14))</f>
        <v>0</v>
      </c>
      <c r="ER187">
        <f>COUNTIFS('DRAFT 2'!$D:$D,$B187,'DRAFT 2'!$A:$A,"&gt;="&amp;DATE(2026,5,15),'DRAFT 2'!$A:$A,"&lt;="&amp;DATE(2026,5,21))</f>
        <v>0</v>
      </c>
      <c r="ES187">
        <f>COUNTIFS('DRAFT 2'!$D:$D,$B187,'DRAFT 2'!$A:$A,"&gt;="&amp;DATE(2026,5,22),'DRAFT 2'!$A:$A,"&lt;"&amp;DATE(2026,IF(5=12,5+1,5+1),1))</f>
        <v>0</v>
      </c>
      <c r="ET187">
        <f t="shared" si="76"/>
        <v>0</v>
      </c>
      <c r="FD187">
        <f>IFERROR(LOOKUP(2,1/('DRAFT 2'!$D:$D=$B187)*('DRAFT 2'!$A:$A&gt;=DATE(2026,6,1))*('DRAFT 2'!$A:$A&lt;DATE(2026,IF(6=12,6+1,6+1),1)),'DRAFT 2'!$A:$A),"")</f>
        <v>0</v>
      </c>
      <c r="FE187">
        <f>COUNTIFS('DRAFT 2'!$D:$D,$B187,'DRAFT 2'!$A:$A,"&gt;="&amp;DATE(2026,6,1),'DRAFT 2'!$A:$A,"&lt;="&amp;DATE(2026,6,7))</f>
        <v>0</v>
      </c>
      <c r="FF187">
        <f>COUNTIFS('DRAFT 2'!$D:$D,$B187,'DRAFT 2'!$A:$A,"&gt;="&amp;DATE(2026,6,8),'DRAFT 2'!$A:$A,"&lt;="&amp;DATE(2026,6,14))</f>
        <v>0</v>
      </c>
      <c r="FG187">
        <f>COUNTIFS('DRAFT 2'!$D:$D,$B187,'DRAFT 2'!$A:$A,"&gt;="&amp;DATE(2026,6,15),'DRAFT 2'!$A:$A,"&lt;="&amp;DATE(2026,6,21))</f>
        <v>0</v>
      </c>
      <c r="FH187">
        <f>COUNTIFS('DRAFT 2'!$D:$D,$B187,'DRAFT 2'!$A:$A,"&gt;="&amp;DATE(2026,6,22),'DRAFT 2'!$A:$A,"&lt;"&amp;DATE(2026,IF(6=12,6+1,6+1),1))</f>
        <v>0</v>
      </c>
      <c r="FI187">
        <f t="shared" si="77"/>
        <v>0</v>
      </c>
      <c r="FT187">
        <f>IFERROR(LOOKUP(2,1/('DRAFT 2'!$D:$D=$B187)*('DRAFT 2'!$A:$A&gt;=DATE(2026,7,1))*('DRAFT 2'!$A:$A&lt;DATE(2026,IF(7=12,7+1,7+1),1)),'DRAFT 2'!$A:$A),"")</f>
        <v>0</v>
      </c>
      <c r="FU187">
        <f>COUNTIFS('DRAFT 2'!$D:$D,$B187,'DRAFT 2'!$A:$A,"&gt;="&amp;DATE(2026,7,1),'DRAFT 2'!$A:$A,"&lt;="&amp;DATE(2026,7,7))</f>
        <v>0</v>
      </c>
      <c r="FV187">
        <f>COUNTIFS('DRAFT 2'!$D:$D,$B187,'DRAFT 2'!$A:$A,"&gt;="&amp;DATE(2026,7,8),'DRAFT 2'!$A:$A,"&lt;="&amp;DATE(2026,7,14))</f>
        <v>0</v>
      </c>
      <c r="FW187">
        <f>COUNTIFS('DRAFT 2'!$D:$D,$B187,'DRAFT 2'!$A:$A,"&gt;="&amp;DATE(2026,7,15),'DRAFT 2'!$A:$A,"&lt;="&amp;DATE(2026,7,21))</f>
        <v>0</v>
      </c>
      <c r="FX187">
        <f>COUNTIFS('DRAFT 2'!$D:$D,$B187,'DRAFT 2'!$A:$A,"&gt;="&amp;DATE(2026,7,22),'DRAFT 2'!$A:$A,"&lt;"&amp;DATE(2026,IF(7=12,7+1,7+1),1))</f>
        <v>0</v>
      </c>
      <c r="FY187">
        <f t="shared" si="78"/>
        <v>0</v>
      </c>
      <c r="GI187">
        <f>IFERROR(LOOKUP(2,1/('DRAFT 2'!$D:$D=$B187)*('DRAFT 2'!$A:$A&gt;=DATE(2026,8,1))*('DRAFT 2'!$A:$A&lt;DATE(2026,IF(8=12,8+1,8+1),1)),'DRAFT 2'!$A:$A),"")</f>
        <v>0</v>
      </c>
      <c r="GJ187">
        <f>COUNTIFS('DRAFT 2'!$D:$D,$B187,'DRAFT 2'!$A:$A,"&gt;="&amp;DATE(2026,8,1),'DRAFT 2'!$A:$A,"&lt;="&amp;DATE(2026,8,7))</f>
        <v>0</v>
      </c>
      <c r="GK187">
        <f>COUNTIFS('DRAFT 2'!$D:$D,$B187,'DRAFT 2'!$A:$A,"&gt;="&amp;DATE(2026,8,8),'DRAFT 2'!$A:$A,"&lt;="&amp;DATE(2026,8,14))</f>
        <v>0</v>
      </c>
      <c r="GL187">
        <f>COUNTIFS('DRAFT 2'!$D:$D,$B187,'DRAFT 2'!$A:$A,"&gt;="&amp;DATE(2026,8,15),'DRAFT 2'!$A:$A,"&lt;="&amp;DATE(2026,8,21))</f>
        <v>0</v>
      </c>
      <c r="GM187">
        <f>COUNTIFS('DRAFT 2'!$D:$D,$B187,'DRAFT 2'!$A:$A,"&gt;="&amp;DATE(2026,8,22),'DRAFT 2'!$A:$A,"&lt;"&amp;DATE(2026,IF(8=12,8+1,8+1),1))</f>
        <v>0</v>
      </c>
      <c r="GN187">
        <f t="shared" si="79"/>
        <v>0</v>
      </c>
      <c r="GX187">
        <f>IFERROR(LOOKUP(2,1/('DRAFT 2'!$D:$D=$B187)*('DRAFT 2'!$A:$A&gt;=DATE(2026,9,1))*('DRAFT 2'!$A:$A&lt;DATE(2026,IF(9=12,9+1,9+1),1)),'DRAFT 2'!$A:$A),"")</f>
        <v>0</v>
      </c>
      <c r="GY187">
        <f>COUNTIFS('DRAFT 2'!$D:$D,$B187,'DRAFT 2'!$A:$A,"&gt;="&amp;DATE(2026,9,1),'DRAFT 2'!$A:$A,"&lt;="&amp;DATE(2026,9,7))</f>
        <v>0</v>
      </c>
      <c r="GZ187">
        <f>COUNTIFS('DRAFT 2'!$D:$D,$B187,'DRAFT 2'!$A:$A,"&gt;="&amp;DATE(2026,9,8),'DRAFT 2'!$A:$A,"&lt;="&amp;DATE(2026,9,14))</f>
        <v>0</v>
      </c>
      <c r="HA187">
        <f>COUNTIFS('DRAFT 2'!$D:$D,$B187,'DRAFT 2'!$A:$A,"&gt;="&amp;DATE(2026,9,15),'DRAFT 2'!$A:$A,"&lt;="&amp;DATE(2026,9,21))</f>
        <v>0</v>
      </c>
      <c r="HB187">
        <f>COUNTIFS('DRAFT 2'!$D:$D,$B187,'DRAFT 2'!$A:$A,"&gt;="&amp;DATE(2026,9,22),'DRAFT 2'!$A:$A,"&lt;"&amp;DATE(2026,IF(9=12,9+1,9+1),1))</f>
        <v>0</v>
      </c>
      <c r="HC187">
        <f t="shared" si="80"/>
        <v>0</v>
      </c>
      <c r="HN187">
        <f>IFERROR(LOOKUP(2,1/('DRAFT 2'!$D:$D=$B187)*('DRAFT 2'!$A:$A&gt;=DATE(2026,10,1))*('DRAFT 2'!$A:$A&lt;DATE(2026,IF(10=12,10+1,10+1),1)),'DRAFT 2'!$A:$A),"")</f>
        <v>0</v>
      </c>
      <c r="HO187">
        <f>COUNTIFS('DRAFT 2'!$D:$D,$B187,'DRAFT 2'!$A:$A,"&gt;="&amp;DATE(2026,10,1),'DRAFT 2'!$A:$A,"&lt;="&amp;DATE(2026,10,7))</f>
        <v>0</v>
      </c>
      <c r="HP187">
        <f>COUNTIFS('DRAFT 2'!$D:$D,$B187,'DRAFT 2'!$A:$A,"&gt;="&amp;DATE(2026,10,8),'DRAFT 2'!$A:$A,"&lt;="&amp;DATE(2026,10,14))</f>
        <v>0</v>
      </c>
      <c r="HQ187">
        <f>COUNTIFS('DRAFT 2'!$D:$D,$B187,'DRAFT 2'!$A:$A,"&gt;="&amp;DATE(2026,10,15),'DRAFT 2'!$A:$A,"&lt;="&amp;DATE(2026,10,21))</f>
        <v>0</v>
      </c>
      <c r="HR187">
        <f>COUNTIFS('DRAFT 2'!$D:$D,$B187,'DRAFT 2'!$A:$A,"&gt;="&amp;DATE(2026,10,22),'DRAFT 2'!$A:$A,"&lt;"&amp;DATE(2026,IF(10=12,10+1,10+1),1))</f>
        <v>0</v>
      </c>
      <c r="HS187">
        <f t="shared" si="81"/>
        <v>0</v>
      </c>
      <c r="IC187">
        <f>IFERROR(LOOKUP(2,1/('DRAFT 2'!$D:$D=$B187)*('DRAFT 2'!$A:$A&gt;=DATE(2026,11,1))*('DRAFT 2'!$A:$A&lt;DATE(2026,IF(11=12,11+1,11+1),1)),'DRAFT 2'!$A:$A),"")</f>
        <v>0</v>
      </c>
      <c r="ID187">
        <f>COUNTIFS('DRAFT 2'!$D:$D,$B187,'DRAFT 2'!$A:$A,"&gt;="&amp;DATE(2026,11,1),'DRAFT 2'!$A:$A,"&lt;="&amp;DATE(2026,11,7))</f>
        <v>0</v>
      </c>
      <c r="IE187">
        <f>COUNTIFS('DRAFT 2'!$D:$D,$B187,'DRAFT 2'!$A:$A,"&gt;="&amp;DATE(2026,11,8),'DRAFT 2'!$A:$A,"&lt;="&amp;DATE(2026,11,14))</f>
        <v>0</v>
      </c>
      <c r="IF187">
        <f>COUNTIFS('DRAFT 2'!$D:$D,$B187,'DRAFT 2'!$A:$A,"&gt;="&amp;DATE(2026,11,15),'DRAFT 2'!$A:$A,"&lt;="&amp;DATE(2026,11,21))</f>
        <v>0</v>
      </c>
      <c r="IG187">
        <f>COUNTIFS('DRAFT 2'!$D:$D,$B187,'DRAFT 2'!$A:$A,"&gt;="&amp;DATE(2026,11,22),'DRAFT 2'!$A:$A,"&lt;"&amp;DATE(2026,IF(11=12,11+1,11+1),1))</f>
        <v>0</v>
      </c>
      <c r="IH187">
        <f t="shared" si="82"/>
        <v>0</v>
      </c>
      <c r="IR187">
        <f>IFERROR(LOOKUP(2,1/('DRAFT 2'!$D:$D=$B187)*('DRAFT 2'!$A:$A&gt;=DATE(2026,12,1))*('DRAFT 2'!$A:$A&lt;DATE(2026,IF(12=12,12+1,12+1),1)),'DRAFT 2'!$A:$A),"")</f>
        <v>0</v>
      </c>
      <c r="IS187">
        <f>COUNTIFS('DRAFT 2'!$D:$D,$B187,'DRAFT 2'!$A:$A,"&gt;="&amp;DATE(2026,12,1),'DRAFT 2'!$A:$A,"&lt;="&amp;DATE(2026,12,7))</f>
        <v>0</v>
      </c>
      <c r="IT187">
        <f>COUNTIFS('DRAFT 2'!$D:$D,$B187,'DRAFT 2'!$A:$A,"&gt;="&amp;DATE(2026,12,8),'DRAFT 2'!$A:$A,"&lt;="&amp;DATE(2026,12,14))</f>
        <v>0</v>
      </c>
      <c r="IU187">
        <f>COUNTIFS('DRAFT 2'!$D:$D,$B187,'DRAFT 2'!$A:$A,"&gt;="&amp;DATE(2026,12,15),'DRAFT 2'!$A:$A,"&lt;="&amp;DATE(2026,12,21))</f>
        <v>0</v>
      </c>
      <c r="IV187">
        <f>COUNTIFS('DRAFT 2'!$D:$D,$B187,'DRAFT 2'!$A:$A,"&gt;="&amp;DATE(2026,12,22),'DRAFT 2'!$A:$A,"&lt;"&amp;DATE(2026,IF(12=12,12+1,12+1),1))</f>
        <v>0</v>
      </c>
      <c r="IW187">
        <f t="shared" si="83"/>
        <v>0</v>
      </c>
    </row>
    <row r="188" spans="1:257" x14ac:dyDescent="0.3">
      <c r="A188" t="str">
        <f>IFERROR(INDEX('DRAFT 1'!$A:$A,MATCH($B188,'DRAFT 1'!$B:$B,0)),"")</f>
        <v/>
      </c>
      <c r="C188" t="str">
        <f>IFERROR(INDEX('DRAFT 1'!$C:$C,MATCH($B188,'DRAFT 1'!$B:$B,0)),"")</f>
        <v/>
      </c>
      <c r="D188" t="str">
        <f>IFERROR(INDEX('DRAFT 1'!$D:$D,MATCH($B188,'DRAFT 1'!$B:$B,0)),"")</f>
        <v/>
      </c>
      <c r="E188" t="str">
        <f>IFERROR(INDEX('DRAFT 1'!$E:$E,MATCH($B188,'DRAFT 1'!$B:$B,0)),"")</f>
        <v/>
      </c>
      <c r="F188" t="str">
        <f>IFERROR(INDEX('DRAFT 1'!$F:$F,MATCH($B188,'DRAFT 1'!$B:$B,0)),"")</f>
        <v/>
      </c>
      <c r="G188" t="str">
        <f>IFERROR(INDEX('DRAFT 1'!$G:$G,MATCH($B188,'DRAFT 1'!$B:$B,0)),"")</f>
        <v/>
      </c>
      <c r="H188" t="str">
        <f>IFERROR(INDEX('DRAFT 1'!$H:$H,MATCH($B188,'DRAFT 1'!$B:$B,0)),"")</f>
        <v/>
      </c>
      <c r="I188" t="str">
        <f>IFERROR(INDEX('DRAFT 1'!$I:$I,MATCH($B188,'DRAFT 1'!$B:$B,0)),"")</f>
        <v/>
      </c>
      <c r="K188" t="str">
        <f>IFERROR(INDEX('DRAFT 1'!$AL:$AL,MATCH($B188,'DRAFT 1'!$B:$B,0)),"")</f>
        <v/>
      </c>
      <c r="L188" t="str">
        <f>IFERROR(INDEX('DRAFT 1'!$J:$J,MATCH($B188,'DRAFT 1'!$B:$B,0)),"")</f>
        <v/>
      </c>
      <c r="M188" t="str">
        <f>IFERROR(INDEX('DRAFT 1'!$K:$K,MATCH($B188,'DRAFT 1'!$B:$B,0)),"")</f>
        <v/>
      </c>
      <c r="P188" t="str">
        <f>IFERROR(INDEX('DRAFT 1'!$L:$L,MATCH($B188,'DRAFT 1'!$B:$B,0)),"")</f>
        <v/>
      </c>
      <c r="Q188" t="str">
        <f>IFERROR(INDEX('DRAFT 1'!$M:$M,MATCH($B188,'DRAFT 1'!$B:$B,0)),"")</f>
        <v/>
      </c>
      <c r="R188" t="str">
        <f>IFERROR(INDEX('DRAFT 1'!$N:$N,MATCH($B188,'DRAFT 1'!$B:$B,0)),"")</f>
        <v/>
      </c>
      <c r="S188" t="str">
        <f>IFERROR(INDEX('DRAFT 1'!$O:$O,MATCH($B188,'DRAFT 1'!$B:$B,0)),"")</f>
        <v/>
      </c>
      <c r="T188" t="str">
        <f>IFERROR(INDEX('DRAFT 1'!$P:$P,MATCH($B188,'DRAFT 1'!$B:$B,0)),"")</f>
        <v/>
      </c>
      <c r="U188" t="str">
        <f>IFERROR(INDEX('DRAFT 1'!$Q:$Q,MATCH($B188,'DRAFT 1'!$B:$B,0)),"")</f>
        <v/>
      </c>
      <c r="V188" t="str">
        <f>IFERROR(INDEX('DRAFT 1'!$R:$R,MATCH($B188,'DRAFT 1'!$B:$B,0)),"")</f>
        <v/>
      </c>
      <c r="W188" t="str">
        <f>IFERROR(INDEX('DRAFT 1'!$S:$S,MATCH($B188,'DRAFT 1'!$B:$B,0)),"")</f>
        <v/>
      </c>
      <c r="X188" t="str">
        <f>IFERROR(INDEX('DRAFT 1'!$T:$T,MATCH($B188,'DRAFT 1'!$B:$B,0)),"")</f>
        <v/>
      </c>
      <c r="Z188" t="str">
        <f>IFERROR(INDEX('DRAFT 1'!$U:$U,MATCH($B188,'DRAFT 1'!$B:$B,0)),"")</f>
        <v/>
      </c>
      <c r="AA188" t="str">
        <f>IFERROR(INDEX('DRAFT 1'!$V:$V,MATCH($B188,'DRAFT 1'!$B:$B,0)),"")</f>
        <v/>
      </c>
      <c r="AB188" t="str">
        <f>IFERROR(INDEX('DRAFT 1'!$W:$W,MATCH($B188,'DRAFT 1'!$B:$B,0)),"")</f>
        <v/>
      </c>
      <c r="AC188" t="str">
        <f>IFERROR(INDEX('DRAFT 1'!$X:$X,MATCH($B188,'DRAFT 1'!$B:$B,0)),"")</f>
        <v/>
      </c>
      <c r="AD188" t="str">
        <f>IFERROR(INDEX('DRAFT 1'!$Y:$Y,MATCH($B188,'DRAFT 1'!$B:$B,0)),"")</f>
        <v/>
      </c>
      <c r="AE188" t="str">
        <f>IFERROR(INDEX('DRAFT 1'!$Z:$Z,MATCH($B188,'DRAFT 1'!$B:$B,0)),"")</f>
        <v/>
      </c>
      <c r="AF188" t="str">
        <f>IFERROR(INDEX('DRAFT 1'!$AA:$AA,MATCH($B188,'DRAFT 1'!$B:$B,0)),"")</f>
        <v/>
      </c>
      <c r="AG188" t="str">
        <f>IFERROR(INDEX('DRAFT 1'!$AB:$AB,MATCH($B188,'DRAFT 1'!$B:$B,0)),"")</f>
        <v/>
      </c>
      <c r="AH188" t="str">
        <f>IFERROR(INDEX('DRAFT 1'!$AC:$AC,MATCH($B188,'DRAFT 1'!$B:$B,0)),"")</f>
        <v/>
      </c>
      <c r="AI188" t="str">
        <f>IFERROR(INDEX('DRAFT 1'!$AD:$AD,MATCH($B188,'DRAFT 1'!$B:$B,0)),"")</f>
        <v/>
      </c>
      <c r="AJ188" t="str">
        <f>IFERROR(INDEX('DRAFT 1'!$AE:$AE,MATCH($B188,'DRAFT 1'!$B:$B,0)),"")</f>
        <v/>
      </c>
      <c r="AK188" t="str">
        <f>IFERROR(INDEX('DRAFT 1'!$AG:$AG,MATCH($B188,'DRAFT 1'!$B:$B,0)),"")</f>
        <v/>
      </c>
      <c r="AL188" t="str">
        <f>IFERROR(INDEX('DRAFT 1'!$AH:$AH,MATCH($B188,'DRAFT 1'!$B:$B,0)),"")</f>
        <v/>
      </c>
      <c r="AM188" t="str">
        <f>IFERROR(INDEX('DRAFT 1'!$AI:$AI,MATCH($B188,'DRAFT 1'!$B:$B,0)),"")</f>
        <v/>
      </c>
      <c r="AN188" t="str">
        <f>IFERROR(INDEX('DRAFT 1'!$AJ:$AJ,MATCH($B188,'DRAFT 1'!$B:$B,0)),"")</f>
        <v/>
      </c>
      <c r="AO188">
        <f t="shared" si="70"/>
        <v>0</v>
      </c>
      <c r="AP188" t="str">
        <f>IFERROR(INDEX('DRAFT 1'!$AK:$AK,MATCH($B188,'DRAFT 1'!$B:$B,0)),"")</f>
        <v/>
      </c>
      <c r="AR188">
        <f>IFERROR(LOOKUP(2,1/('DRAFT 2'!$D:$D=$B188),'DRAFT 2'!$I:$I),"")</f>
        <v>0</v>
      </c>
      <c r="AS188">
        <f>IFERROR(LOOKUP(2,1/('DRAFT 2'!$D:$D=$B188),'DRAFT 2'!$T:$T),"")</f>
        <v>0</v>
      </c>
      <c r="AT188">
        <f>IFERROR(LOOKUP(2,1/('DRAFT 2'!$D:$D=$B188),'DRAFT 2'!$A:$A),"")</f>
        <v>0</v>
      </c>
      <c r="AU188">
        <f>IFERROR(LOOKUP(2,1/('DRAFT 2'!$D:$D=$B188),'DRAFT 2'!$R:$R),"")</f>
        <v>0</v>
      </c>
      <c r="AV188">
        <f>IFERROR(LOOKUP(2,1/('DRAFT 2'!$D:$D=$B188),'DRAFT 2'!$S:$S),"")</f>
        <v>0</v>
      </c>
      <c r="AX188">
        <f>IFERROR(LOOKUP(2,1/('DRAFT 2'!$D:$D=$B188),'DRAFT 2'!$M:$M),"")</f>
        <v>0</v>
      </c>
      <c r="AY188">
        <f>IFERROR(LOOKUP(2,1/('DRAFT 2'!$D:$D=$B188),'DRAFT 2'!$K:$K),"")</f>
        <v>0</v>
      </c>
      <c r="BG188">
        <f>IFERROR(LOOKUP(2,1/('DRAFT 2'!$D:$D=$B188),'DRAFT 2'!$U:$U),"")</f>
        <v>0</v>
      </c>
      <c r="BH188">
        <f>IFERROR(LOOKUP(2,1/('DRAFT 2'!$D:$D=$B188),'DRAFT 2'!$V:$V),"")</f>
        <v>0</v>
      </c>
      <c r="CE188" t="str">
        <f t="shared" si="71"/>
        <v/>
      </c>
      <c r="CF188">
        <f>IFERROR(LOOKUP(2,1/('DRAFT 2'!$D:$D=$B188)*('DRAFT 2'!$A:$A&gt;=DATE(2026,1,1))*('DRAFT 2'!$A:$A&lt;DATE(2026,IF(1=12,1+1,1+1),1)),'DRAFT 2'!$A:$A),"")</f>
        <v>0</v>
      </c>
      <c r="CG188">
        <f>COUNTIFS('DRAFT 2'!$D:$D,$B188,'DRAFT 2'!$A:$A,"&gt;="&amp;DATE(2026,1,1),'DRAFT 2'!$A:$A,"&lt;="&amp;DATE(2026,1,7))</f>
        <v>0</v>
      </c>
      <c r="CH188">
        <f>COUNTIFS('DRAFT 2'!$D:$D,$B188,'DRAFT 2'!$A:$A,"&gt;="&amp;DATE(2026,1,8),'DRAFT 2'!$A:$A,"&lt;="&amp;DATE(2026,1,14))</f>
        <v>0</v>
      </c>
      <c r="CI188">
        <f>COUNTIFS('DRAFT 2'!$D:$D,$B188,'DRAFT 2'!$A:$A,"&gt;="&amp;DATE(2026,1,15),'DRAFT 2'!$A:$A,"&lt;="&amp;DATE(2026,1,21))</f>
        <v>0</v>
      </c>
      <c r="CJ188">
        <f>COUNTIFS('DRAFT 2'!$D:$D,$B188,'DRAFT 2'!$A:$A,"&gt;="&amp;DATE(2026,1,22),'DRAFT 2'!$A:$A,"&lt;"&amp;DATE(2026,IF(1=12,1+1,1+1),1))</f>
        <v>0</v>
      </c>
      <c r="CK188">
        <f t="shared" si="72"/>
        <v>0</v>
      </c>
      <c r="CT188">
        <v>0</v>
      </c>
      <c r="CU188">
        <f>IFERROR(LOOKUP(2,1/('DRAFT 2'!$D:$D=$B188)*('DRAFT 2'!$A:$A&gt;=DATE(2026,2,1))*('DRAFT 2'!$A:$A&lt;DATE(2026,IF(2=12,2+1,2+1),1)),'DRAFT 2'!$A:$A),"")</f>
        <v>0</v>
      </c>
      <c r="CV188">
        <f>COUNTIFS('DRAFT 2'!$D:$D,$B188,'DRAFT 2'!$A:$A,"&gt;="&amp;DATE(2026,2,1),'DRAFT 2'!$A:$A,"&lt;="&amp;DATE(2026,2,7))</f>
        <v>0</v>
      </c>
      <c r="CW188">
        <f>COUNTIFS('DRAFT 2'!$D:$D,$B188,'DRAFT 2'!$A:$A,"&gt;="&amp;DATE(2026,2,8),'DRAFT 2'!$A:$A,"&lt;="&amp;DATE(2026,2,14))</f>
        <v>0</v>
      </c>
      <c r="CX188">
        <f>COUNTIFS('DRAFT 2'!$D:$D,$B188,'DRAFT 2'!$A:$A,"&gt;="&amp;DATE(2026,2,15),'DRAFT 2'!$A:$A,"&lt;="&amp;DATE(2026,2,21))</f>
        <v>0</v>
      </c>
      <c r="CY188">
        <f>COUNTIFS('DRAFT 2'!$D:$D,$B188,'DRAFT 2'!$A:$A,"&gt;="&amp;DATE(2026,2,22),'DRAFT 2'!$A:$A,"&lt;"&amp;DATE(2026,IF(2=12,2+1,2+1),1))</f>
        <v>0</v>
      </c>
      <c r="CZ188">
        <f t="shared" si="73"/>
        <v>0</v>
      </c>
      <c r="DJ188">
        <f>IFERROR(LOOKUP(2,1/('DRAFT 2'!$D:$D=$B188)*('DRAFT 2'!$A:$A&gt;=DATE(2026,3,1))*('DRAFT 2'!$A:$A&lt;DATE(2026,IF(3=12,3+1,3+1),1)),'DRAFT 2'!$A:$A),"")</f>
        <v>0</v>
      </c>
      <c r="DK188">
        <f>COUNTIFS('DRAFT 2'!$D:$D,$B188,'DRAFT 2'!$A:$A,"&gt;="&amp;DATE(2026,3,1),'DRAFT 2'!$A:$A,"&lt;="&amp;DATE(2026,3,7))</f>
        <v>0</v>
      </c>
      <c r="DL188">
        <f>COUNTIFS('DRAFT 2'!$D:$D,$B188,'DRAFT 2'!$A:$A,"&gt;="&amp;DATE(2026,3,8),'DRAFT 2'!$A:$A,"&lt;="&amp;DATE(2026,3,14))</f>
        <v>0</v>
      </c>
      <c r="DM188">
        <f>COUNTIFS('DRAFT 2'!$D:$D,$B188,'DRAFT 2'!$A:$A,"&gt;="&amp;DATE(2026,3,15),'DRAFT 2'!$A:$A,"&lt;="&amp;DATE(2026,3,21))</f>
        <v>0</v>
      </c>
      <c r="DN188">
        <f>COUNTIFS('DRAFT 2'!$D:$D,$B188,'DRAFT 2'!$A:$A,"&gt;="&amp;DATE(2026,3,22),'DRAFT 2'!$A:$A,"&lt;"&amp;DATE(2026,IF(3=12,3+1,3+1),1))</f>
        <v>0</v>
      </c>
      <c r="DO188">
        <f t="shared" si="74"/>
        <v>0</v>
      </c>
      <c r="DZ188">
        <f>IFERROR(LOOKUP(2,1/('DRAFT 2'!$D:$D=$B188)*('DRAFT 2'!$A:$A&gt;=DATE(2026,4,1))*('DRAFT 2'!$A:$A&lt;DATE(2026,IF(4=12,4+1,4+1),1)),'DRAFT 2'!$A:$A),"")</f>
        <v>0</v>
      </c>
      <c r="EA188">
        <f>COUNTIFS('DRAFT 2'!$D:$D,$B188,'DRAFT 2'!$A:$A,"&gt;="&amp;DATE(2026,4,1),'DRAFT 2'!$A:$A,"&lt;="&amp;DATE(2026,4,7))</f>
        <v>0</v>
      </c>
      <c r="EB188">
        <f>COUNTIFS('DRAFT 2'!$D:$D,$B188,'DRAFT 2'!$A:$A,"&gt;="&amp;DATE(2026,4,8),'DRAFT 2'!$A:$A,"&lt;="&amp;DATE(2026,4,14))</f>
        <v>0</v>
      </c>
      <c r="EC188">
        <f>COUNTIFS('DRAFT 2'!$D:$D,$B188,'DRAFT 2'!$A:$A,"&gt;="&amp;DATE(2026,4,15),'DRAFT 2'!$A:$A,"&lt;="&amp;DATE(2026,4,21))</f>
        <v>0</v>
      </c>
      <c r="ED188">
        <f>COUNTIFS('DRAFT 2'!$D:$D,$B188,'DRAFT 2'!$A:$A,"&gt;="&amp;DATE(2026,4,22),'DRAFT 2'!$A:$A,"&lt;"&amp;DATE(2026,IF(4=12,4+1,4+1),1))</f>
        <v>0</v>
      </c>
      <c r="EE188">
        <f t="shared" si="75"/>
        <v>0</v>
      </c>
      <c r="EO188">
        <f>IFERROR(LOOKUP(2,1/('DRAFT 2'!$D:$D=$B188)*('DRAFT 2'!$A:$A&gt;=DATE(2026,5,1))*('DRAFT 2'!$A:$A&lt;DATE(2026,IF(5=12,5+1,5+1),1)),'DRAFT 2'!$A:$A),"")</f>
        <v>0</v>
      </c>
      <c r="EP188">
        <f>COUNTIFS('DRAFT 2'!$D:$D,$B188,'DRAFT 2'!$A:$A,"&gt;="&amp;DATE(2026,5,1),'DRAFT 2'!$A:$A,"&lt;="&amp;DATE(2026,5,7))</f>
        <v>0</v>
      </c>
      <c r="EQ188">
        <f>COUNTIFS('DRAFT 2'!$D:$D,$B188,'DRAFT 2'!$A:$A,"&gt;="&amp;DATE(2026,5,8),'DRAFT 2'!$A:$A,"&lt;="&amp;DATE(2026,5,14))</f>
        <v>0</v>
      </c>
      <c r="ER188">
        <f>COUNTIFS('DRAFT 2'!$D:$D,$B188,'DRAFT 2'!$A:$A,"&gt;="&amp;DATE(2026,5,15),'DRAFT 2'!$A:$A,"&lt;="&amp;DATE(2026,5,21))</f>
        <v>0</v>
      </c>
      <c r="ES188">
        <f>COUNTIFS('DRAFT 2'!$D:$D,$B188,'DRAFT 2'!$A:$A,"&gt;="&amp;DATE(2026,5,22),'DRAFT 2'!$A:$A,"&lt;"&amp;DATE(2026,IF(5=12,5+1,5+1),1))</f>
        <v>0</v>
      </c>
      <c r="ET188">
        <f t="shared" si="76"/>
        <v>0</v>
      </c>
      <c r="FD188">
        <f>IFERROR(LOOKUP(2,1/('DRAFT 2'!$D:$D=$B188)*('DRAFT 2'!$A:$A&gt;=DATE(2026,6,1))*('DRAFT 2'!$A:$A&lt;DATE(2026,IF(6=12,6+1,6+1),1)),'DRAFT 2'!$A:$A),"")</f>
        <v>0</v>
      </c>
      <c r="FE188">
        <f>COUNTIFS('DRAFT 2'!$D:$D,$B188,'DRAFT 2'!$A:$A,"&gt;="&amp;DATE(2026,6,1),'DRAFT 2'!$A:$A,"&lt;="&amp;DATE(2026,6,7))</f>
        <v>0</v>
      </c>
      <c r="FF188">
        <f>COUNTIFS('DRAFT 2'!$D:$D,$B188,'DRAFT 2'!$A:$A,"&gt;="&amp;DATE(2026,6,8),'DRAFT 2'!$A:$A,"&lt;="&amp;DATE(2026,6,14))</f>
        <v>0</v>
      </c>
      <c r="FG188">
        <f>COUNTIFS('DRAFT 2'!$D:$D,$B188,'DRAFT 2'!$A:$A,"&gt;="&amp;DATE(2026,6,15),'DRAFT 2'!$A:$A,"&lt;="&amp;DATE(2026,6,21))</f>
        <v>0</v>
      </c>
      <c r="FH188">
        <f>COUNTIFS('DRAFT 2'!$D:$D,$B188,'DRAFT 2'!$A:$A,"&gt;="&amp;DATE(2026,6,22),'DRAFT 2'!$A:$A,"&lt;"&amp;DATE(2026,IF(6=12,6+1,6+1),1))</f>
        <v>0</v>
      </c>
      <c r="FI188">
        <f t="shared" si="77"/>
        <v>0</v>
      </c>
      <c r="FT188">
        <f>IFERROR(LOOKUP(2,1/('DRAFT 2'!$D:$D=$B188)*('DRAFT 2'!$A:$A&gt;=DATE(2026,7,1))*('DRAFT 2'!$A:$A&lt;DATE(2026,IF(7=12,7+1,7+1),1)),'DRAFT 2'!$A:$A),"")</f>
        <v>0</v>
      </c>
      <c r="FU188">
        <f>COUNTIFS('DRAFT 2'!$D:$D,$B188,'DRAFT 2'!$A:$A,"&gt;="&amp;DATE(2026,7,1),'DRAFT 2'!$A:$A,"&lt;="&amp;DATE(2026,7,7))</f>
        <v>0</v>
      </c>
      <c r="FV188">
        <f>COUNTIFS('DRAFT 2'!$D:$D,$B188,'DRAFT 2'!$A:$A,"&gt;="&amp;DATE(2026,7,8),'DRAFT 2'!$A:$A,"&lt;="&amp;DATE(2026,7,14))</f>
        <v>0</v>
      </c>
      <c r="FW188">
        <f>COUNTIFS('DRAFT 2'!$D:$D,$B188,'DRAFT 2'!$A:$A,"&gt;="&amp;DATE(2026,7,15),'DRAFT 2'!$A:$A,"&lt;="&amp;DATE(2026,7,21))</f>
        <v>0</v>
      </c>
      <c r="FX188">
        <f>COUNTIFS('DRAFT 2'!$D:$D,$B188,'DRAFT 2'!$A:$A,"&gt;="&amp;DATE(2026,7,22),'DRAFT 2'!$A:$A,"&lt;"&amp;DATE(2026,IF(7=12,7+1,7+1),1))</f>
        <v>0</v>
      </c>
      <c r="FY188">
        <f t="shared" si="78"/>
        <v>0</v>
      </c>
      <c r="GI188">
        <f>IFERROR(LOOKUP(2,1/('DRAFT 2'!$D:$D=$B188)*('DRAFT 2'!$A:$A&gt;=DATE(2026,8,1))*('DRAFT 2'!$A:$A&lt;DATE(2026,IF(8=12,8+1,8+1),1)),'DRAFT 2'!$A:$A),"")</f>
        <v>0</v>
      </c>
      <c r="GJ188">
        <f>COUNTIFS('DRAFT 2'!$D:$D,$B188,'DRAFT 2'!$A:$A,"&gt;="&amp;DATE(2026,8,1),'DRAFT 2'!$A:$A,"&lt;="&amp;DATE(2026,8,7))</f>
        <v>0</v>
      </c>
      <c r="GK188">
        <f>COUNTIFS('DRAFT 2'!$D:$D,$B188,'DRAFT 2'!$A:$A,"&gt;="&amp;DATE(2026,8,8),'DRAFT 2'!$A:$A,"&lt;="&amp;DATE(2026,8,14))</f>
        <v>0</v>
      </c>
      <c r="GL188">
        <f>COUNTIFS('DRAFT 2'!$D:$D,$B188,'DRAFT 2'!$A:$A,"&gt;="&amp;DATE(2026,8,15),'DRAFT 2'!$A:$A,"&lt;="&amp;DATE(2026,8,21))</f>
        <v>0</v>
      </c>
      <c r="GM188">
        <f>COUNTIFS('DRAFT 2'!$D:$D,$B188,'DRAFT 2'!$A:$A,"&gt;="&amp;DATE(2026,8,22),'DRAFT 2'!$A:$A,"&lt;"&amp;DATE(2026,IF(8=12,8+1,8+1),1))</f>
        <v>0</v>
      </c>
      <c r="GN188">
        <f t="shared" si="79"/>
        <v>0</v>
      </c>
      <c r="GX188">
        <f>IFERROR(LOOKUP(2,1/('DRAFT 2'!$D:$D=$B188)*('DRAFT 2'!$A:$A&gt;=DATE(2026,9,1))*('DRAFT 2'!$A:$A&lt;DATE(2026,IF(9=12,9+1,9+1),1)),'DRAFT 2'!$A:$A),"")</f>
        <v>0</v>
      </c>
      <c r="GY188">
        <f>COUNTIFS('DRAFT 2'!$D:$D,$B188,'DRAFT 2'!$A:$A,"&gt;="&amp;DATE(2026,9,1),'DRAFT 2'!$A:$A,"&lt;="&amp;DATE(2026,9,7))</f>
        <v>0</v>
      </c>
      <c r="GZ188">
        <f>COUNTIFS('DRAFT 2'!$D:$D,$B188,'DRAFT 2'!$A:$A,"&gt;="&amp;DATE(2026,9,8),'DRAFT 2'!$A:$A,"&lt;="&amp;DATE(2026,9,14))</f>
        <v>0</v>
      </c>
      <c r="HA188">
        <f>COUNTIFS('DRAFT 2'!$D:$D,$B188,'DRAFT 2'!$A:$A,"&gt;="&amp;DATE(2026,9,15),'DRAFT 2'!$A:$A,"&lt;="&amp;DATE(2026,9,21))</f>
        <v>0</v>
      </c>
      <c r="HB188">
        <f>COUNTIFS('DRAFT 2'!$D:$D,$B188,'DRAFT 2'!$A:$A,"&gt;="&amp;DATE(2026,9,22),'DRAFT 2'!$A:$A,"&lt;"&amp;DATE(2026,IF(9=12,9+1,9+1),1))</f>
        <v>0</v>
      </c>
      <c r="HC188">
        <f t="shared" si="80"/>
        <v>0</v>
      </c>
      <c r="HN188">
        <f>IFERROR(LOOKUP(2,1/('DRAFT 2'!$D:$D=$B188)*('DRAFT 2'!$A:$A&gt;=DATE(2026,10,1))*('DRAFT 2'!$A:$A&lt;DATE(2026,IF(10=12,10+1,10+1),1)),'DRAFT 2'!$A:$A),"")</f>
        <v>0</v>
      </c>
      <c r="HO188">
        <f>COUNTIFS('DRAFT 2'!$D:$D,$B188,'DRAFT 2'!$A:$A,"&gt;="&amp;DATE(2026,10,1),'DRAFT 2'!$A:$A,"&lt;="&amp;DATE(2026,10,7))</f>
        <v>0</v>
      </c>
      <c r="HP188">
        <f>COUNTIFS('DRAFT 2'!$D:$D,$B188,'DRAFT 2'!$A:$A,"&gt;="&amp;DATE(2026,10,8),'DRAFT 2'!$A:$A,"&lt;="&amp;DATE(2026,10,14))</f>
        <v>0</v>
      </c>
      <c r="HQ188">
        <f>COUNTIFS('DRAFT 2'!$D:$D,$B188,'DRAFT 2'!$A:$A,"&gt;="&amp;DATE(2026,10,15),'DRAFT 2'!$A:$A,"&lt;="&amp;DATE(2026,10,21))</f>
        <v>0</v>
      </c>
      <c r="HR188">
        <f>COUNTIFS('DRAFT 2'!$D:$D,$B188,'DRAFT 2'!$A:$A,"&gt;="&amp;DATE(2026,10,22),'DRAFT 2'!$A:$A,"&lt;"&amp;DATE(2026,IF(10=12,10+1,10+1),1))</f>
        <v>0</v>
      </c>
      <c r="HS188">
        <f t="shared" si="81"/>
        <v>0</v>
      </c>
      <c r="IC188">
        <f>IFERROR(LOOKUP(2,1/('DRAFT 2'!$D:$D=$B188)*('DRAFT 2'!$A:$A&gt;=DATE(2026,11,1))*('DRAFT 2'!$A:$A&lt;DATE(2026,IF(11=12,11+1,11+1),1)),'DRAFT 2'!$A:$A),"")</f>
        <v>0</v>
      </c>
      <c r="ID188">
        <f>COUNTIFS('DRAFT 2'!$D:$D,$B188,'DRAFT 2'!$A:$A,"&gt;="&amp;DATE(2026,11,1),'DRAFT 2'!$A:$A,"&lt;="&amp;DATE(2026,11,7))</f>
        <v>0</v>
      </c>
      <c r="IE188">
        <f>COUNTIFS('DRAFT 2'!$D:$D,$B188,'DRAFT 2'!$A:$A,"&gt;="&amp;DATE(2026,11,8),'DRAFT 2'!$A:$A,"&lt;="&amp;DATE(2026,11,14))</f>
        <v>0</v>
      </c>
      <c r="IF188">
        <f>COUNTIFS('DRAFT 2'!$D:$D,$B188,'DRAFT 2'!$A:$A,"&gt;="&amp;DATE(2026,11,15),'DRAFT 2'!$A:$A,"&lt;="&amp;DATE(2026,11,21))</f>
        <v>0</v>
      </c>
      <c r="IG188">
        <f>COUNTIFS('DRAFT 2'!$D:$D,$B188,'DRAFT 2'!$A:$A,"&gt;="&amp;DATE(2026,11,22),'DRAFT 2'!$A:$A,"&lt;"&amp;DATE(2026,IF(11=12,11+1,11+1),1))</f>
        <v>0</v>
      </c>
      <c r="IH188">
        <f t="shared" si="82"/>
        <v>0</v>
      </c>
      <c r="IR188">
        <f>IFERROR(LOOKUP(2,1/('DRAFT 2'!$D:$D=$B188)*('DRAFT 2'!$A:$A&gt;=DATE(2026,12,1))*('DRAFT 2'!$A:$A&lt;DATE(2026,IF(12=12,12+1,12+1),1)),'DRAFT 2'!$A:$A),"")</f>
        <v>0</v>
      </c>
      <c r="IS188">
        <f>COUNTIFS('DRAFT 2'!$D:$D,$B188,'DRAFT 2'!$A:$A,"&gt;="&amp;DATE(2026,12,1),'DRAFT 2'!$A:$A,"&lt;="&amp;DATE(2026,12,7))</f>
        <v>0</v>
      </c>
      <c r="IT188">
        <f>COUNTIFS('DRAFT 2'!$D:$D,$B188,'DRAFT 2'!$A:$A,"&gt;="&amp;DATE(2026,12,8),'DRAFT 2'!$A:$A,"&lt;="&amp;DATE(2026,12,14))</f>
        <v>0</v>
      </c>
      <c r="IU188">
        <f>COUNTIFS('DRAFT 2'!$D:$D,$B188,'DRAFT 2'!$A:$A,"&gt;="&amp;DATE(2026,12,15),'DRAFT 2'!$A:$A,"&lt;="&amp;DATE(2026,12,21))</f>
        <v>0</v>
      </c>
      <c r="IV188">
        <f>COUNTIFS('DRAFT 2'!$D:$D,$B188,'DRAFT 2'!$A:$A,"&gt;="&amp;DATE(2026,12,22),'DRAFT 2'!$A:$A,"&lt;"&amp;DATE(2026,IF(12=12,12+1,12+1),1))</f>
        <v>0</v>
      </c>
      <c r="IW188">
        <f t="shared" si="83"/>
        <v>0</v>
      </c>
    </row>
    <row r="189" spans="1:257" x14ac:dyDescent="0.3">
      <c r="A189" t="str">
        <f>IFERROR(INDEX('DRAFT 1'!$A:$A,MATCH($B189,'DRAFT 1'!$B:$B,0)),"")</f>
        <v/>
      </c>
      <c r="C189" t="str">
        <f>IFERROR(INDEX('DRAFT 1'!$C:$C,MATCH($B189,'DRAFT 1'!$B:$B,0)),"")</f>
        <v/>
      </c>
      <c r="D189" t="str">
        <f>IFERROR(INDEX('DRAFT 1'!$D:$D,MATCH($B189,'DRAFT 1'!$B:$B,0)),"")</f>
        <v/>
      </c>
      <c r="E189" t="str">
        <f>IFERROR(INDEX('DRAFT 1'!$E:$E,MATCH($B189,'DRAFT 1'!$B:$B,0)),"")</f>
        <v/>
      </c>
      <c r="F189" t="str">
        <f>IFERROR(INDEX('DRAFT 1'!$F:$F,MATCH($B189,'DRAFT 1'!$B:$B,0)),"")</f>
        <v/>
      </c>
      <c r="G189" t="str">
        <f>IFERROR(INDEX('DRAFT 1'!$G:$G,MATCH($B189,'DRAFT 1'!$B:$B,0)),"")</f>
        <v/>
      </c>
      <c r="H189" t="str">
        <f>IFERROR(INDEX('DRAFT 1'!$H:$H,MATCH($B189,'DRAFT 1'!$B:$B,0)),"")</f>
        <v/>
      </c>
      <c r="I189" t="str">
        <f>IFERROR(INDEX('DRAFT 1'!$I:$I,MATCH($B189,'DRAFT 1'!$B:$B,0)),"")</f>
        <v/>
      </c>
      <c r="K189" t="str">
        <f>IFERROR(INDEX('DRAFT 1'!$AL:$AL,MATCH($B189,'DRAFT 1'!$B:$B,0)),"")</f>
        <v/>
      </c>
      <c r="L189" t="str">
        <f>IFERROR(INDEX('DRAFT 1'!$J:$J,MATCH($B189,'DRAFT 1'!$B:$B,0)),"")</f>
        <v/>
      </c>
      <c r="M189" t="str">
        <f>IFERROR(INDEX('DRAFT 1'!$K:$K,MATCH($B189,'DRAFT 1'!$B:$B,0)),"")</f>
        <v/>
      </c>
      <c r="P189" t="str">
        <f>IFERROR(INDEX('DRAFT 1'!$L:$L,MATCH($B189,'DRAFT 1'!$B:$B,0)),"")</f>
        <v/>
      </c>
      <c r="Q189" t="str">
        <f>IFERROR(INDEX('DRAFT 1'!$M:$M,MATCH($B189,'DRAFT 1'!$B:$B,0)),"")</f>
        <v/>
      </c>
      <c r="R189" t="str">
        <f>IFERROR(INDEX('DRAFT 1'!$N:$N,MATCH($B189,'DRAFT 1'!$B:$B,0)),"")</f>
        <v/>
      </c>
      <c r="S189" t="str">
        <f>IFERROR(INDEX('DRAFT 1'!$O:$O,MATCH($B189,'DRAFT 1'!$B:$B,0)),"")</f>
        <v/>
      </c>
      <c r="T189" t="str">
        <f>IFERROR(INDEX('DRAFT 1'!$P:$P,MATCH($B189,'DRAFT 1'!$B:$B,0)),"")</f>
        <v/>
      </c>
      <c r="U189" t="str">
        <f>IFERROR(INDEX('DRAFT 1'!$Q:$Q,MATCH($B189,'DRAFT 1'!$B:$B,0)),"")</f>
        <v/>
      </c>
      <c r="V189" t="str">
        <f>IFERROR(INDEX('DRAFT 1'!$R:$R,MATCH($B189,'DRAFT 1'!$B:$B,0)),"")</f>
        <v/>
      </c>
      <c r="W189" t="str">
        <f>IFERROR(INDEX('DRAFT 1'!$S:$S,MATCH($B189,'DRAFT 1'!$B:$B,0)),"")</f>
        <v/>
      </c>
      <c r="X189" t="str">
        <f>IFERROR(INDEX('DRAFT 1'!$T:$T,MATCH($B189,'DRAFT 1'!$B:$B,0)),"")</f>
        <v/>
      </c>
      <c r="Z189" t="str">
        <f>IFERROR(INDEX('DRAFT 1'!$U:$U,MATCH($B189,'DRAFT 1'!$B:$B,0)),"")</f>
        <v/>
      </c>
      <c r="AA189" t="str">
        <f>IFERROR(INDEX('DRAFT 1'!$V:$V,MATCH($B189,'DRAFT 1'!$B:$B,0)),"")</f>
        <v/>
      </c>
      <c r="AB189" t="str">
        <f>IFERROR(INDEX('DRAFT 1'!$W:$W,MATCH($B189,'DRAFT 1'!$B:$B,0)),"")</f>
        <v/>
      </c>
      <c r="AC189" t="str">
        <f>IFERROR(INDEX('DRAFT 1'!$X:$X,MATCH($B189,'DRAFT 1'!$B:$B,0)),"")</f>
        <v/>
      </c>
      <c r="AD189" t="str">
        <f>IFERROR(INDEX('DRAFT 1'!$Y:$Y,MATCH($B189,'DRAFT 1'!$B:$B,0)),"")</f>
        <v/>
      </c>
      <c r="AE189" t="str">
        <f>IFERROR(INDEX('DRAFT 1'!$Z:$Z,MATCH($B189,'DRAFT 1'!$B:$B,0)),"")</f>
        <v/>
      </c>
      <c r="AF189" t="str">
        <f>IFERROR(INDEX('DRAFT 1'!$AA:$AA,MATCH($B189,'DRAFT 1'!$B:$B,0)),"")</f>
        <v/>
      </c>
      <c r="AG189" t="str">
        <f>IFERROR(INDEX('DRAFT 1'!$AB:$AB,MATCH($B189,'DRAFT 1'!$B:$B,0)),"")</f>
        <v/>
      </c>
      <c r="AH189" t="str">
        <f>IFERROR(INDEX('DRAFT 1'!$AC:$AC,MATCH($B189,'DRAFT 1'!$B:$B,0)),"")</f>
        <v/>
      </c>
      <c r="AI189" t="str">
        <f>IFERROR(INDEX('DRAFT 1'!$AD:$AD,MATCH($B189,'DRAFT 1'!$B:$B,0)),"")</f>
        <v/>
      </c>
      <c r="AJ189" t="str">
        <f>IFERROR(INDEX('DRAFT 1'!$AE:$AE,MATCH($B189,'DRAFT 1'!$B:$B,0)),"")</f>
        <v/>
      </c>
      <c r="AK189" t="str">
        <f>IFERROR(INDEX('DRAFT 1'!$AG:$AG,MATCH($B189,'DRAFT 1'!$B:$B,0)),"")</f>
        <v/>
      </c>
      <c r="AL189" t="str">
        <f>IFERROR(INDEX('DRAFT 1'!$AH:$AH,MATCH($B189,'DRAFT 1'!$B:$B,0)),"")</f>
        <v/>
      </c>
      <c r="AM189" t="str">
        <f>IFERROR(INDEX('DRAFT 1'!$AI:$AI,MATCH($B189,'DRAFT 1'!$B:$B,0)),"")</f>
        <v/>
      </c>
      <c r="AN189" t="str">
        <f>IFERROR(INDEX('DRAFT 1'!$AJ:$AJ,MATCH($B189,'DRAFT 1'!$B:$B,0)),"")</f>
        <v/>
      </c>
      <c r="AO189">
        <f t="shared" si="70"/>
        <v>0</v>
      </c>
      <c r="AP189" t="str">
        <f>IFERROR(INDEX('DRAFT 1'!$AK:$AK,MATCH($B189,'DRAFT 1'!$B:$B,0)),"")</f>
        <v/>
      </c>
      <c r="AR189">
        <f>IFERROR(LOOKUP(2,1/('DRAFT 2'!$D:$D=$B189),'DRAFT 2'!$I:$I),"")</f>
        <v>0</v>
      </c>
      <c r="AS189">
        <f>IFERROR(LOOKUP(2,1/('DRAFT 2'!$D:$D=$B189),'DRAFT 2'!$T:$T),"")</f>
        <v>0</v>
      </c>
      <c r="AT189">
        <f>IFERROR(LOOKUP(2,1/('DRAFT 2'!$D:$D=$B189),'DRAFT 2'!$A:$A),"")</f>
        <v>0</v>
      </c>
      <c r="AU189">
        <f>IFERROR(LOOKUP(2,1/('DRAFT 2'!$D:$D=$B189),'DRAFT 2'!$R:$R),"")</f>
        <v>0</v>
      </c>
      <c r="AV189">
        <f>IFERROR(LOOKUP(2,1/('DRAFT 2'!$D:$D=$B189),'DRAFT 2'!$S:$S),"")</f>
        <v>0</v>
      </c>
      <c r="AX189">
        <f>IFERROR(LOOKUP(2,1/('DRAFT 2'!$D:$D=$B189),'DRAFT 2'!$M:$M),"")</f>
        <v>0</v>
      </c>
      <c r="AY189">
        <f>IFERROR(LOOKUP(2,1/('DRAFT 2'!$D:$D=$B189),'DRAFT 2'!$K:$K),"")</f>
        <v>0</v>
      </c>
      <c r="BG189">
        <f>IFERROR(LOOKUP(2,1/('DRAFT 2'!$D:$D=$B189),'DRAFT 2'!$U:$U),"")</f>
        <v>0</v>
      </c>
      <c r="BH189">
        <f>IFERROR(LOOKUP(2,1/('DRAFT 2'!$D:$D=$B189),'DRAFT 2'!$V:$V),"")</f>
        <v>0</v>
      </c>
      <c r="CE189" t="str">
        <f t="shared" si="71"/>
        <v/>
      </c>
      <c r="CF189">
        <f>IFERROR(LOOKUP(2,1/('DRAFT 2'!$D:$D=$B189)*('DRAFT 2'!$A:$A&gt;=DATE(2026,1,1))*('DRAFT 2'!$A:$A&lt;DATE(2026,IF(1=12,1+1,1+1),1)),'DRAFT 2'!$A:$A),"")</f>
        <v>0</v>
      </c>
      <c r="CG189">
        <f>COUNTIFS('DRAFT 2'!$D:$D,$B189,'DRAFT 2'!$A:$A,"&gt;="&amp;DATE(2026,1,1),'DRAFT 2'!$A:$A,"&lt;="&amp;DATE(2026,1,7))</f>
        <v>0</v>
      </c>
      <c r="CH189">
        <f>COUNTIFS('DRAFT 2'!$D:$D,$B189,'DRAFT 2'!$A:$A,"&gt;="&amp;DATE(2026,1,8),'DRAFT 2'!$A:$A,"&lt;="&amp;DATE(2026,1,14))</f>
        <v>0</v>
      </c>
      <c r="CI189">
        <f>COUNTIFS('DRAFT 2'!$D:$D,$B189,'DRAFT 2'!$A:$A,"&gt;="&amp;DATE(2026,1,15),'DRAFT 2'!$A:$A,"&lt;="&amp;DATE(2026,1,21))</f>
        <v>0</v>
      </c>
      <c r="CJ189">
        <f>COUNTIFS('DRAFT 2'!$D:$D,$B189,'DRAFT 2'!$A:$A,"&gt;="&amp;DATE(2026,1,22),'DRAFT 2'!$A:$A,"&lt;"&amp;DATE(2026,IF(1=12,1+1,1+1),1))</f>
        <v>0</v>
      </c>
      <c r="CK189">
        <f t="shared" si="72"/>
        <v>0</v>
      </c>
      <c r="CT189">
        <v>0</v>
      </c>
      <c r="CU189">
        <f>IFERROR(LOOKUP(2,1/('DRAFT 2'!$D:$D=$B189)*('DRAFT 2'!$A:$A&gt;=DATE(2026,2,1))*('DRAFT 2'!$A:$A&lt;DATE(2026,IF(2=12,2+1,2+1),1)),'DRAFT 2'!$A:$A),"")</f>
        <v>0</v>
      </c>
      <c r="CV189">
        <f>COUNTIFS('DRAFT 2'!$D:$D,$B189,'DRAFT 2'!$A:$A,"&gt;="&amp;DATE(2026,2,1),'DRAFT 2'!$A:$A,"&lt;="&amp;DATE(2026,2,7))</f>
        <v>0</v>
      </c>
      <c r="CW189">
        <f>COUNTIFS('DRAFT 2'!$D:$D,$B189,'DRAFT 2'!$A:$A,"&gt;="&amp;DATE(2026,2,8),'DRAFT 2'!$A:$A,"&lt;="&amp;DATE(2026,2,14))</f>
        <v>0</v>
      </c>
      <c r="CX189">
        <f>COUNTIFS('DRAFT 2'!$D:$D,$B189,'DRAFT 2'!$A:$A,"&gt;="&amp;DATE(2026,2,15),'DRAFT 2'!$A:$A,"&lt;="&amp;DATE(2026,2,21))</f>
        <v>0</v>
      </c>
      <c r="CY189">
        <f>COUNTIFS('DRAFT 2'!$D:$D,$B189,'DRAFT 2'!$A:$A,"&gt;="&amp;DATE(2026,2,22),'DRAFT 2'!$A:$A,"&lt;"&amp;DATE(2026,IF(2=12,2+1,2+1),1))</f>
        <v>0</v>
      </c>
      <c r="CZ189">
        <f t="shared" si="73"/>
        <v>0</v>
      </c>
      <c r="DJ189">
        <f>IFERROR(LOOKUP(2,1/('DRAFT 2'!$D:$D=$B189)*('DRAFT 2'!$A:$A&gt;=DATE(2026,3,1))*('DRAFT 2'!$A:$A&lt;DATE(2026,IF(3=12,3+1,3+1),1)),'DRAFT 2'!$A:$A),"")</f>
        <v>0</v>
      </c>
      <c r="DK189">
        <f>COUNTIFS('DRAFT 2'!$D:$D,$B189,'DRAFT 2'!$A:$A,"&gt;="&amp;DATE(2026,3,1),'DRAFT 2'!$A:$A,"&lt;="&amp;DATE(2026,3,7))</f>
        <v>0</v>
      </c>
      <c r="DL189">
        <f>COUNTIFS('DRAFT 2'!$D:$D,$B189,'DRAFT 2'!$A:$A,"&gt;="&amp;DATE(2026,3,8),'DRAFT 2'!$A:$A,"&lt;="&amp;DATE(2026,3,14))</f>
        <v>0</v>
      </c>
      <c r="DM189">
        <f>COUNTIFS('DRAFT 2'!$D:$D,$B189,'DRAFT 2'!$A:$A,"&gt;="&amp;DATE(2026,3,15),'DRAFT 2'!$A:$A,"&lt;="&amp;DATE(2026,3,21))</f>
        <v>0</v>
      </c>
      <c r="DN189">
        <f>COUNTIFS('DRAFT 2'!$D:$D,$B189,'DRAFT 2'!$A:$A,"&gt;="&amp;DATE(2026,3,22),'DRAFT 2'!$A:$A,"&lt;"&amp;DATE(2026,IF(3=12,3+1,3+1),1))</f>
        <v>0</v>
      </c>
      <c r="DO189">
        <f t="shared" si="74"/>
        <v>0</v>
      </c>
      <c r="DZ189">
        <f>IFERROR(LOOKUP(2,1/('DRAFT 2'!$D:$D=$B189)*('DRAFT 2'!$A:$A&gt;=DATE(2026,4,1))*('DRAFT 2'!$A:$A&lt;DATE(2026,IF(4=12,4+1,4+1),1)),'DRAFT 2'!$A:$A),"")</f>
        <v>0</v>
      </c>
      <c r="EA189">
        <f>COUNTIFS('DRAFT 2'!$D:$D,$B189,'DRAFT 2'!$A:$A,"&gt;="&amp;DATE(2026,4,1),'DRAFT 2'!$A:$A,"&lt;="&amp;DATE(2026,4,7))</f>
        <v>0</v>
      </c>
      <c r="EB189">
        <f>COUNTIFS('DRAFT 2'!$D:$D,$B189,'DRAFT 2'!$A:$A,"&gt;="&amp;DATE(2026,4,8),'DRAFT 2'!$A:$A,"&lt;="&amp;DATE(2026,4,14))</f>
        <v>0</v>
      </c>
      <c r="EC189">
        <f>COUNTIFS('DRAFT 2'!$D:$D,$B189,'DRAFT 2'!$A:$A,"&gt;="&amp;DATE(2026,4,15),'DRAFT 2'!$A:$A,"&lt;="&amp;DATE(2026,4,21))</f>
        <v>0</v>
      </c>
      <c r="ED189">
        <f>COUNTIFS('DRAFT 2'!$D:$D,$B189,'DRAFT 2'!$A:$A,"&gt;="&amp;DATE(2026,4,22),'DRAFT 2'!$A:$A,"&lt;"&amp;DATE(2026,IF(4=12,4+1,4+1),1))</f>
        <v>0</v>
      </c>
      <c r="EE189">
        <f t="shared" si="75"/>
        <v>0</v>
      </c>
      <c r="EO189">
        <f>IFERROR(LOOKUP(2,1/('DRAFT 2'!$D:$D=$B189)*('DRAFT 2'!$A:$A&gt;=DATE(2026,5,1))*('DRAFT 2'!$A:$A&lt;DATE(2026,IF(5=12,5+1,5+1),1)),'DRAFT 2'!$A:$A),"")</f>
        <v>0</v>
      </c>
      <c r="EP189">
        <f>COUNTIFS('DRAFT 2'!$D:$D,$B189,'DRAFT 2'!$A:$A,"&gt;="&amp;DATE(2026,5,1),'DRAFT 2'!$A:$A,"&lt;="&amp;DATE(2026,5,7))</f>
        <v>0</v>
      </c>
      <c r="EQ189">
        <f>COUNTIFS('DRAFT 2'!$D:$D,$B189,'DRAFT 2'!$A:$A,"&gt;="&amp;DATE(2026,5,8),'DRAFT 2'!$A:$A,"&lt;="&amp;DATE(2026,5,14))</f>
        <v>0</v>
      </c>
      <c r="ER189">
        <f>COUNTIFS('DRAFT 2'!$D:$D,$B189,'DRAFT 2'!$A:$A,"&gt;="&amp;DATE(2026,5,15),'DRAFT 2'!$A:$A,"&lt;="&amp;DATE(2026,5,21))</f>
        <v>0</v>
      </c>
      <c r="ES189">
        <f>COUNTIFS('DRAFT 2'!$D:$D,$B189,'DRAFT 2'!$A:$A,"&gt;="&amp;DATE(2026,5,22),'DRAFT 2'!$A:$A,"&lt;"&amp;DATE(2026,IF(5=12,5+1,5+1),1))</f>
        <v>0</v>
      </c>
      <c r="ET189">
        <f t="shared" si="76"/>
        <v>0</v>
      </c>
      <c r="FD189">
        <f>IFERROR(LOOKUP(2,1/('DRAFT 2'!$D:$D=$B189)*('DRAFT 2'!$A:$A&gt;=DATE(2026,6,1))*('DRAFT 2'!$A:$A&lt;DATE(2026,IF(6=12,6+1,6+1),1)),'DRAFT 2'!$A:$A),"")</f>
        <v>0</v>
      </c>
      <c r="FE189">
        <f>COUNTIFS('DRAFT 2'!$D:$D,$B189,'DRAFT 2'!$A:$A,"&gt;="&amp;DATE(2026,6,1),'DRAFT 2'!$A:$A,"&lt;="&amp;DATE(2026,6,7))</f>
        <v>0</v>
      </c>
      <c r="FF189">
        <f>COUNTIFS('DRAFT 2'!$D:$D,$B189,'DRAFT 2'!$A:$A,"&gt;="&amp;DATE(2026,6,8),'DRAFT 2'!$A:$A,"&lt;="&amp;DATE(2026,6,14))</f>
        <v>0</v>
      </c>
      <c r="FG189">
        <f>COUNTIFS('DRAFT 2'!$D:$D,$B189,'DRAFT 2'!$A:$A,"&gt;="&amp;DATE(2026,6,15),'DRAFT 2'!$A:$A,"&lt;="&amp;DATE(2026,6,21))</f>
        <v>0</v>
      </c>
      <c r="FH189">
        <f>COUNTIFS('DRAFT 2'!$D:$D,$B189,'DRAFT 2'!$A:$A,"&gt;="&amp;DATE(2026,6,22),'DRAFT 2'!$A:$A,"&lt;"&amp;DATE(2026,IF(6=12,6+1,6+1),1))</f>
        <v>0</v>
      </c>
      <c r="FI189">
        <f t="shared" si="77"/>
        <v>0</v>
      </c>
      <c r="FT189">
        <f>IFERROR(LOOKUP(2,1/('DRAFT 2'!$D:$D=$B189)*('DRAFT 2'!$A:$A&gt;=DATE(2026,7,1))*('DRAFT 2'!$A:$A&lt;DATE(2026,IF(7=12,7+1,7+1),1)),'DRAFT 2'!$A:$A),"")</f>
        <v>0</v>
      </c>
      <c r="FU189">
        <f>COUNTIFS('DRAFT 2'!$D:$D,$B189,'DRAFT 2'!$A:$A,"&gt;="&amp;DATE(2026,7,1),'DRAFT 2'!$A:$A,"&lt;="&amp;DATE(2026,7,7))</f>
        <v>0</v>
      </c>
      <c r="FV189">
        <f>COUNTIFS('DRAFT 2'!$D:$D,$B189,'DRAFT 2'!$A:$A,"&gt;="&amp;DATE(2026,7,8),'DRAFT 2'!$A:$A,"&lt;="&amp;DATE(2026,7,14))</f>
        <v>0</v>
      </c>
      <c r="FW189">
        <f>COUNTIFS('DRAFT 2'!$D:$D,$B189,'DRAFT 2'!$A:$A,"&gt;="&amp;DATE(2026,7,15),'DRAFT 2'!$A:$A,"&lt;="&amp;DATE(2026,7,21))</f>
        <v>0</v>
      </c>
      <c r="FX189">
        <f>COUNTIFS('DRAFT 2'!$D:$D,$B189,'DRAFT 2'!$A:$A,"&gt;="&amp;DATE(2026,7,22),'DRAFT 2'!$A:$A,"&lt;"&amp;DATE(2026,IF(7=12,7+1,7+1),1))</f>
        <v>0</v>
      </c>
      <c r="FY189">
        <f t="shared" si="78"/>
        <v>0</v>
      </c>
      <c r="GI189">
        <f>IFERROR(LOOKUP(2,1/('DRAFT 2'!$D:$D=$B189)*('DRAFT 2'!$A:$A&gt;=DATE(2026,8,1))*('DRAFT 2'!$A:$A&lt;DATE(2026,IF(8=12,8+1,8+1),1)),'DRAFT 2'!$A:$A),"")</f>
        <v>0</v>
      </c>
      <c r="GJ189">
        <f>COUNTIFS('DRAFT 2'!$D:$D,$B189,'DRAFT 2'!$A:$A,"&gt;="&amp;DATE(2026,8,1),'DRAFT 2'!$A:$A,"&lt;="&amp;DATE(2026,8,7))</f>
        <v>0</v>
      </c>
      <c r="GK189">
        <f>COUNTIFS('DRAFT 2'!$D:$D,$B189,'DRAFT 2'!$A:$A,"&gt;="&amp;DATE(2026,8,8),'DRAFT 2'!$A:$A,"&lt;="&amp;DATE(2026,8,14))</f>
        <v>0</v>
      </c>
      <c r="GL189">
        <f>COUNTIFS('DRAFT 2'!$D:$D,$B189,'DRAFT 2'!$A:$A,"&gt;="&amp;DATE(2026,8,15),'DRAFT 2'!$A:$A,"&lt;="&amp;DATE(2026,8,21))</f>
        <v>0</v>
      </c>
      <c r="GM189">
        <f>COUNTIFS('DRAFT 2'!$D:$D,$B189,'DRAFT 2'!$A:$A,"&gt;="&amp;DATE(2026,8,22),'DRAFT 2'!$A:$A,"&lt;"&amp;DATE(2026,IF(8=12,8+1,8+1),1))</f>
        <v>0</v>
      </c>
      <c r="GN189">
        <f t="shared" si="79"/>
        <v>0</v>
      </c>
      <c r="GX189">
        <f>IFERROR(LOOKUP(2,1/('DRAFT 2'!$D:$D=$B189)*('DRAFT 2'!$A:$A&gt;=DATE(2026,9,1))*('DRAFT 2'!$A:$A&lt;DATE(2026,IF(9=12,9+1,9+1),1)),'DRAFT 2'!$A:$A),"")</f>
        <v>0</v>
      </c>
      <c r="GY189">
        <f>COUNTIFS('DRAFT 2'!$D:$D,$B189,'DRAFT 2'!$A:$A,"&gt;="&amp;DATE(2026,9,1),'DRAFT 2'!$A:$A,"&lt;="&amp;DATE(2026,9,7))</f>
        <v>0</v>
      </c>
      <c r="GZ189">
        <f>COUNTIFS('DRAFT 2'!$D:$D,$B189,'DRAFT 2'!$A:$A,"&gt;="&amp;DATE(2026,9,8),'DRAFT 2'!$A:$A,"&lt;="&amp;DATE(2026,9,14))</f>
        <v>0</v>
      </c>
      <c r="HA189">
        <f>COUNTIFS('DRAFT 2'!$D:$D,$B189,'DRAFT 2'!$A:$A,"&gt;="&amp;DATE(2026,9,15),'DRAFT 2'!$A:$A,"&lt;="&amp;DATE(2026,9,21))</f>
        <v>0</v>
      </c>
      <c r="HB189">
        <f>COUNTIFS('DRAFT 2'!$D:$D,$B189,'DRAFT 2'!$A:$A,"&gt;="&amp;DATE(2026,9,22),'DRAFT 2'!$A:$A,"&lt;"&amp;DATE(2026,IF(9=12,9+1,9+1),1))</f>
        <v>0</v>
      </c>
      <c r="HC189">
        <f t="shared" si="80"/>
        <v>0</v>
      </c>
      <c r="HN189">
        <f>IFERROR(LOOKUP(2,1/('DRAFT 2'!$D:$D=$B189)*('DRAFT 2'!$A:$A&gt;=DATE(2026,10,1))*('DRAFT 2'!$A:$A&lt;DATE(2026,IF(10=12,10+1,10+1),1)),'DRAFT 2'!$A:$A),"")</f>
        <v>0</v>
      </c>
      <c r="HO189">
        <f>COUNTIFS('DRAFT 2'!$D:$D,$B189,'DRAFT 2'!$A:$A,"&gt;="&amp;DATE(2026,10,1),'DRAFT 2'!$A:$A,"&lt;="&amp;DATE(2026,10,7))</f>
        <v>0</v>
      </c>
      <c r="HP189">
        <f>COUNTIFS('DRAFT 2'!$D:$D,$B189,'DRAFT 2'!$A:$A,"&gt;="&amp;DATE(2026,10,8),'DRAFT 2'!$A:$A,"&lt;="&amp;DATE(2026,10,14))</f>
        <v>0</v>
      </c>
      <c r="HQ189">
        <f>COUNTIFS('DRAFT 2'!$D:$D,$B189,'DRAFT 2'!$A:$A,"&gt;="&amp;DATE(2026,10,15),'DRAFT 2'!$A:$A,"&lt;="&amp;DATE(2026,10,21))</f>
        <v>0</v>
      </c>
      <c r="HR189">
        <f>COUNTIFS('DRAFT 2'!$D:$D,$B189,'DRAFT 2'!$A:$A,"&gt;="&amp;DATE(2026,10,22),'DRAFT 2'!$A:$A,"&lt;"&amp;DATE(2026,IF(10=12,10+1,10+1),1))</f>
        <v>0</v>
      </c>
      <c r="HS189">
        <f t="shared" si="81"/>
        <v>0</v>
      </c>
      <c r="IC189">
        <f>IFERROR(LOOKUP(2,1/('DRAFT 2'!$D:$D=$B189)*('DRAFT 2'!$A:$A&gt;=DATE(2026,11,1))*('DRAFT 2'!$A:$A&lt;DATE(2026,IF(11=12,11+1,11+1),1)),'DRAFT 2'!$A:$A),"")</f>
        <v>0</v>
      </c>
      <c r="ID189">
        <f>COUNTIFS('DRAFT 2'!$D:$D,$B189,'DRAFT 2'!$A:$A,"&gt;="&amp;DATE(2026,11,1),'DRAFT 2'!$A:$A,"&lt;="&amp;DATE(2026,11,7))</f>
        <v>0</v>
      </c>
      <c r="IE189">
        <f>COUNTIFS('DRAFT 2'!$D:$D,$B189,'DRAFT 2'!$A:$A,"&gt;="&amp;DATE(2026,11,8),'DRAFT 2'!$A:$A,"&lt;="&amp;DATE(2026,11,14))</f>
        <v>0</v>
      </c>
      <c r="IF189">
        <f>COUNTIFS('DRAFT 2'!$D:$D,$B189,'DRAFT 2'!$A:$A,"&gt;="&amp;DATE(2026,11,15),'DRAFT 2'!$A:$A,"&lt;="&amp;DATE(2026,11,21))</f>
        <v>0</v>
      </c>
      <c r="IG189">
        <f>COUNTIFS('DRAFT 2'!$D:$D,$B189,'DRAFT 2'!$A:$A,"&gt;="&amp;DATE(2026,11,22),'DRAFT 2'!$A:$A,"&lt;"&amp;DATE(2026,IF(11=12,11+1,11+1),1))</f>
        <v>0</v>
      </c>
      <c r="IH189">
        <f t="shared" si="82"/>
        <v>0</v>
      </c>
      <c r="IR189">
        <f>IFERROR(LOOKUP(2,1/('DRAFT 2'!$D:$D=$B189)*('DRAFT 2'!$A:$A&gt;=DATE(2026,12,1))*('DRAFT 2'!$A:$A&lt;DATE(2026,IF(12=12,12+1,12+1),1)),'DRAFT 2'!$A:$A),"")</f>
        <v>0</v>
      </c>
      <c r="IS189">
        <f>COUNTIFS('DRAFT 2'!$D:$D,$B189,'DRAFT 2'!$A:$A,"&gt;="&amp;DATE(2026,12,1),'DRAFT 2'!$A:$A,"&lt;="&amp;DATE(2026,12,7))</f>
        <v>0</v>
      </c>
      <c r="IT189">
        <f>COUNTIFS('DRAFT 2'!$D:$D,$B189,'DRAFT 2'!$A:$A,"&gt;="&amp;DATE(2026,12,8),'DRAFT 2'!$A:$A,"&lt;="&amp;DATE(2026,12,14))</f>
        <v>0</v>
      </c>
      <c r="IU189">
        <f>COUNTIFS('DRAFT 2'!$D:$D,$B189,'DRAFT 2'!$A:$A,"&gt;="&amp;DATE(2026,12,15),'DRAFT 2'!$A:$A,"&lt;="&amp;DATE(2026,12,21))</f>
        <v>0</v>
      </c>
      <c r="IV189">
        <f>COUNTIFS('DRAFT 2'!$D:$D,$B189,'DRAFT 2'!$A:$A,"&gt;="&amp;DATE(2026,12,22),'DRAFT 2'!$A:$A,"&lt;"&amp;DATE(2026,IF(12=12,12+1,12+1),1))</f>
        <v>0</v>
      </c>
      <c r="IW189">
        <f t="shared" si="83"/>
        <v>0</v>
      </c>
    </row>
    <row r="190" spans="1:257" x14ac:dyDescent="0.3">
      <c r="A190" t="str">
        <f>IFERROR(INDEX('DRAFT 1'!$A:$A,MATCH($B190,'DRAFT 1'!$B:$B,0)),"")</f>
        <v/>
      </c>
      <c r="C190" t="str">
        <f>IFERROR(INDEX('DRAFT 1'!$C:$C,MATCH($B190,'DRAFT 1'!$B:$B,0)),"")</f>
        <v/>
      </c>
      <c r="D190" t="str">
        <f>IFERROR(INDEX('DRAFT 1'!$D:$D,MATCH($B190,'DRAFT 1'!$B:$B,0)),"")</f>
        <v/>
      </c>
      <c r="E190" t="str">
        <f>IFERROR(INDEX('DRAFT 1'!$E:$E,MATCH($B190,'DRAFT 1'!$B:$B,0)),"")</f>
        <v/>
      </c>
      <c r="F190" t="str">
        <f>IFERROR(INDEX('DRAFT 1'!$F:$F,MATCH($B190,'DRAFT 1'!$B:$B,0)),"")</f>
        <v/>
      </c>
      <c r="G190" t="str">
        <f>IFERROR(INDEX('DRAFT 1'!$G:$G,MATCH($B190,'DRAFT 1'!$B:$B,0)),"")</f>
        <v/>
      </c>
      <c r="H190" t="str">
        <f>IFERROR(INDEX('DRAFT 1'!$H:$H,MATCH($B190,'DRAFT 1'!$B:$B,0)),"")</f>
        <v/>
      </c>
      <c r="I190" t="str">
        <f>IFERROR(INDEX('DRAFT 1'!$I:$I,MATCH($B190,'DRAFT 1'!$B:$B,0)),"")</f>
        <v/>
      </c>
      <c r="K190" t="str">
        <f>IFERROR(INDEX('DRAFT 1'!$AL:$AL,MATCH($B190,'DRAFT 1'!$B:$B,0)),"")</f>
        <v/>
      </c>
      <c r="L190" t="str">
        <f>IFERROR(INDEX('DRAFT 1'!$J:$J,MATCH($B190,'DRAFT 1'!$B:$B,0)),"")</f>
        <v/>
      </c>
      <c r="M190" t="str">
        <f>IFERROR(INDEX('DRAFT 1'!$K:$K,MATCH($B190,'DRAFT 1'!$B:$B,0)),"")</f>
        <v/>
      </c>
      <c r="P190" t="str">
        <f>IFERROR(INDEX('DRAFT 1'!$L:$L,MATCH($B190,'DRAFT 1'!$B:$B,0)),"")</f>
        <v/>
      </c>
      <c r="Q190" t="str">
        <f>IFERROR(INDEX('DRAFT 1'!$M:$M,MATCH($B190,'DRAFT 1'!$B:$B,0)),"")</f>
        <v/>
      </c>
      <c r="R190" t="str">
        <f>IFERROR(INDEX('DRAFT 1'!$N:$N,MATCH($B190,'DRAFT 1'!$B:$B,0)),"")</f>
        <v/>
      </c>
      <c r="S190" t="str">
        <f>IFERROR(INDEX('DRAFT 1'!$O:$O,MATCH($B190,'DRAFT 1'!$B:$B,0)),"")</f>
        <v/>
      </c>
      <c r="T190" t="str">
        <f>IFERROR(INDEX('DRAFT 1'!$P:$P,MATCH($B190,'DRAFT 1'!$B:$B,0)),"")</f>
        <v/>
      </c>
      <c r="U190" t="str">
        <f>IFERROR(INDEX('DRAFT 1'!$Q:$Q,MATCH($B190,'DRAFT 1'!$B:$B,0)),"")</f>
        <v/>
      </c>
      <c r="V190" t="str">
        <f>IFERROR(INDEX('DRAFT 1'!$R:$R,MATCH($B190,'DRAFT 1'!$B:$B,0)),"")</f>
        <v/>
      </c>
      <c r="W190" t="str">
        <f>IFERROR(INDEX('DRAFT 1'!$S:$S,MATCH($B190,'DRAFT 1'!$B:$B,0)),"")</f>
        <v/>
      </c>
      <c r="X190" t="str">
        <f>IFERROR(INDEX('DRAFT 1'!$T:$T,MATCH($B190,'DRAFT 1'!$B:$B,0)),"")</f>
        <v/>
      </c>
      <c r="Z190" t="str">
        <f>IFERROR(INDEX('DRAFT 1'!$U:$U,MATCH($B190,'DRAFT 1'!$B:$B,0)),"")</f>
        <v/>
      </c>
      <c r="AA190" t="str">
        <f>IFERROR(INDEX('DRAFT 1'!$V:$V,MATCH($B190,'DRAFT 1'!$B:$B,0)),"")</f>
        <v/>
      </c>
      <c r="AB190" t="str">
        <f>IFERROR(INDEX('DRAFT 1'!$W:$W,MATCH($B190,'DRAFT 1'!$B:$B,0)),"")</f>
        <v/>
      </c>
      <c r="AC190" t="str">
        <f>IFERROR(INDEX('DRAFT 1'!$X:$X,MATCH($B190,'DRAFT 1'!$B:$B,0)),"")</f>
        <v/>
      </c>
      <c r="AD190" t="str">
        <f>IFERROR(INDEX('DRAFT 1'!$Y:$Y,MATCH($B190,'DRAFT 1'!$B:$B,0)),"")</f>
        <v/>
      </c>
      <c r="AE190" t="str">
        <f>IFERROR(INDEX('DRAFT 1'!$Z:$Z,MATCH($B190,'DRAFT 1'!$B:$B,0)),"")</f>
        <v/>
      </c>
      <c r="AF190" t="str">
        <f>IFERROR(INDEX('DRAFT 1'!$AA:$AA,MATCH($B190,'DRAFT 1'!$B:$B,0)),"")</f>
        <v/>
      </c>
      <c r="AG190" t="str">
        <f>IFERROR(INDEX('DRAFT 1'!$AB:$AB,MATCH($B190,'DRAFT 1'!$B:$B,0)),"")</f>
        <v/>
      </c>
      <c r="AH190" t="str">
        <f>IFERROR(INDEX('DRAFT 1'!$AC:$AC,MATCH($B190,'DRAFT 1'!$B:$B,0)),"")</f>
        <v/>
      </c>
      <c r="AI190" t="str">
        <f>IFERROR(INDEX('DRAFT 1'!$AD:$AD,MATCH($B190,'DRAFT 1'!$B:$B,0)),"")</f>
        <v/>
      </c>
      <c r="AJ190" t="str">
        <f>IFERROR(INDEX('DRAFT 1'!$AE:$AE,MATCH($B190,'DRAFT 1'!$B:$B,0)),"")</f>
        <v/>
      </c>
      <c r="AK190" t="str">
        <f>IFERROR(INDEX('DRAFT 1'!$AG:$AG,MATCH($B190,'DRAFT 1'!$B:$B,0)),"")</f>
        <v/>
      </c>
      <c r="AL190" t="str">
        <f>IFERROR(INDEX('DRAFT 1'!$AH:$AH,MATCH($B190,'DRAFT 1'!$B:$B,0)),"")</f>
        <v/>
      </c>
      <c r="AM190" t="str">
        <f>IFERROR(INDEX('DRAFT 1'!$AI:$AI,MATCH($B190,'DRAFT 1'!$B:$B,0)),"")</f>
        <v/>
      </c>
      <c r="AN190" t="str">
        <f>IFERROR(INDEX('DRAFT 1'!$AJ:$AJ,MATCH($B190,'DRAFT 1'!$B:$B,0)),"")</f>
        <v/>
      </c>
      <c r="AO190">
        <f t="shared" si="70"/>
        <v>0</v>
      </c>
      <c r="AP190" t="str">
        <f>IFERROR(INDEX('DRAFT 1'!$AK:$AK,MATCH($B190,'DRAFT 1'!$B:$B,0)),"")</f>
        <v/>
      </c>
      <c r="AR190">
        <f>IFERROR(LOOKUP(2,1/('DRAFT 2'!$D:$D=$B190),'DRAFT 2'!$I:$I),"")</f>
        <v>0</v>
      </c>
      <c r="AS190">
        <f>IFERROR(LOOKUP(2,1/('DRAFT 2'!$D:$D=$B190),'DRAFT 2'!$T:$T),"")</f>
        <v>0</v>
      </c>
      <c r="AT190">
        <f>IFERROR(LOOKUP(2,1/('DRAFT 2'!$D:$D=$B190),'DRAFT 2'!$A:$A),"")</f>
        <v>0</v>
      </c>
      <c r="AU190">
        <f>IFERROR(LOOKUP(2,1/('DRAFT 2'!$D:$D=$B190),'DRAFT 2'!$R:$R),"")</f>
        <v>0</v>
      </c>
      <c r="AV190">
        <f>IFERROR(LOOKUP(2,1/('DRAFT 2'!$D:$D=$B190),'DRAFT 2'!$S:$S),"")</f>
        <v>0</v>
      </c>
      <c r="AX190">
        <f>IFERROR(LOOKUP(2,1/('DRAFT 2'!$D:$D=$B190),'DRAFT 2'!$M:$M),"")</f>
        <v>0</v>
      </c>
      <c r="AY190">
        <f>IFERROR(LOOKUP(2,1/('DRAFT 2'!$D:$D=$B190),'DRAFT 2'!$K:$K),"")</f>
        <v>0</v>
      </c>
      <c r="BG190">
        <f>IFERROR(LOOKUP(2,1/('DRAFT 2'!$D:$D=$B190),'DRAFT 2'!$U:$U),"")</f>
        <v>0</v>
      </c>
      <c r="BH190">
        <f>IFERROR(LOOKUP(2,1/('DRAFT 2'!$D:$D=$B190),'DRAFT 2'!$V:$V),"")</f>
        <v>0</v>
      </c>
      <c r="CE190" t="str">
        <f t="shared" si="71"/>
        <v/>
      </c>
      <c r="CF190">
        <f>IFERROR(LOOKUP(2,1/('DRAFT 2'!$D:$D=$B190)*('DRAFT 2'!$A:$A&gt;=DATE(2026,1,1))*('DRAFT 2'!$A:$A&lt;DATE(2026,IF(1=12,1+1,1+1),1)),'DRAFT 2'!$A:$A),"")</f>
        <v>0</v>
      </c>
      <c r="CG190">
        <f>COUNTIFS('DRAFT 2'!$D:$D,$B190,'DRAFT 2'!$A:$A,"&gt;="&amp;DATE(2026,1,1),'DRAFT 2'!$A:$A,"&lt;="&amp;DATE(2026,1,7))</f>
        <v>0</v>
      </c>
      <c r="CH190">
        <f>COUNTIFS('DRAFT 2'!$D:$D,$B190,'DRAFT 2'!$A:$A,"&gt;="&amp;DATE(2026,1,8),'DRAFT 2'!$A:$A,"&lt;="&amp;DATE(2026,1,14))</f>
        <v>0</v>
      </c>
      <c r="CI190">
        <f>COUNTIFS('DRAFT 2'!$D:$D,$B190,'DRAFT 2'!$A:$A,"&gt;="&amp;DATE(2026,1,15),'DRAFT 2'!$A:$A,"&lt;="&amp;DATE(2026,1,21))</f>
        <v>0</v>
      </c>
      <c r="CJ190">
        <f>COUNTIFS('DRAFT 2'!$D:$D,$B190,'DRAFT 2'!$A:$A,"&gt;="&amp;DATE(2026,1,22),'DRAFT 2'!$A:$A,"&lt;"&amp;DATE(2026,IF(1=12,1+1,1+1),1))</f>
        <v>0</v>
      </c>
      <c r="CK190">
        <f t="shared" si="72"/>
        <v>0</v>
      </c>
      <c r="CT190">
        <v>0</v>
      </c>
      <c r="CU190">
        <f>IFERROR(LOOKUP(2,1/('DRAFT 2'!$D:$D=$B190)*('DRAFT 2'!$A:$A&gt;=DATE(2026,2,1))*('DRAFT 2'!$A:$A&lt;DATE(2026,IF(2=12,2+1,2+1),1)),'DRAFT 2'!$A:$A),"")</f>
        <v>0</v>
      </c>
      <c r="CV190">
        <f>COUNTIFS('DRAFT 2'!$D:$D,$B190,'DRAFT 2'!$A:$A,"&gt;="&amp;DATE(2026,2,1),'DRAFT 2'!$A:$A,"&lt;="&amp;DATE(2026,2,7))</f>
        <v>0</v>
      </c>
      <c r="CW190">
        <f>COUNTIFS('DRAFT 2'!$D:$D,$B190,'DRAFT 2'!$A:$A,"&gt;="&amp;DATE(2026,2,8),'DRAFT 2'!$A:$A,"&lt;="&amp;DATE(2026,2,14))</f>
        <v>0</v>
      </c>
      <c r="CX190">
        <f>COUNTIFS('DRAFT 2'!$D:$D,$B190,'DRAFT 2'!$A:$A,"&gt;="&amp;DATE(2026,2,15),'DRAFT 2'!$A:$A,"&lt;="&amp;DATE(2026,2,21))</f>
        <v>0</v>
      </c>
      <c r="CY190">
        <f>COUNTIFS('DRAFT 2'!$D:$D,$B190,'DRAFT 2'!$A:$A,"&gt;="&amp;DATE(2026,2,22),'DRAFT 2'!$A:$A,"&lt;"&amp;DATE(2026,IF(2=12,2+1,2+1),1))</f>
        <v>0</v>
      </c>
      <c r="CZ190">
        <f t="shared" si="73"/>
        <v>0</v>
      </c>
      <c r="DJ190">
        <f>IFERROR(LOOKUP(2,1/('DRAFT 2'!$D:$D=$B190)*('DRAFT 2'!$A:$A&gt;=DATE(2026,3,1))*('DRAFT 2'!$A:$A&lt;DATE(2026,IF(3=12,3+1,3+1),1)),'DRAFT 2'!$A:$A),"")</f>
        <v>0</v>
      </c>
      <c r="DK190">
        <f>COUNTIFS('DRAFT 2'!$D:$D,$B190,'DRAFT 2'!$A:$A,"&gt;="&amp;DATE(2026,3,1),'DRAFT 2'!$A:$A,"&lt;="&amp;DATE(2026,3,7))</f>
        <v>0</v>
      </c>
      <c r="DL190">
        <f>COUNTIFS('DRAFT 2'!$D:$D,$B190,'DRAFT 2'!$A:$A,"&gt;="&amp;DATE(2026,3,8),'DRAFT 2'!$A:$A,"&lt;="&amp;DATE(2026,3,14))</f>
        <v>0</v>
      </c>
      <c r="DM190">
        <f>COUNTIFS('DRAFT 2'!$D:$D,$B190,'DRAFT 2'!$A:$A,"&gt;="&amp;DATE(2026,3,15),'DRAFT 2'!$A:$A,"&lt;="&amp;DATE(2026,3,21))</f>
        <v>0</v>
      </c>
      <c r="DN190">
        <f>COUNTIFS('DRAFT 2'!$D:$D,$B190,'DRAFT 2'!$A:$A,"&gt;="&amp;DATE(2026,3,22),'DRAFT 2'!$A:$A,"&lt;"&amp;DATE(2026,IF(3=12,3+1,3+1),1))</f>
        <v>0</v>
      </c>
      <c r="DO190">
        <f t="shared" si="74"/>
        <v>0</v>
      </c>
      <c r="DZ190">
        <f>IFERROR(LOOKUP(2,1/('DRAFT 2'!$D:$D=$B190)*('DRAFT 2'!$A:$A&gt;=DATE(2026,4,1))*('DRAFT 2'!$A:$A&lt;DATE(2026,IF(4=12,4+1,4+1),1)),'DRAFT 2'!$A:$A),"")</f>
        <v>0</v>
      </c>
      <c r="EA190">
        <f>COUNTIFS('DRAFT 2'!$D:$D,$B190,'DRAFT 2'!$A:$A,"&gt;="&amp;DATE(2026,4,1),'DRAFT 2'!$A:$A,"&lt;="&amp;DATE(2026,4,7))</f>
        <v>0</v>
      </c>
      <c r="EB190">
        <f>COUNTIFS('DRAFT 2'!$D:$D,$B190,'DRAFT 2'!$A:$A,"&gt;="&amp;DATE(2026,4,8),'DRAFT 2'!$A:$A,"&lt;="&amp;DATE(2026,4,14))</f>
        <v>0</v>
      </c>
      <c r="EC190">
        <f>COUNTIFS('DRAFT 2'!$D:$D,$B190,'DRAFT 2'!$A:$A,"&gt;="&amp;DATE(2026,4,15),'DRAFT 2'!$A:$A,"&lt;="&amp;DATE(2026,4,21))</f>
        <v>0</v>
      </c>
      <c r="ED190">
        <f>COUNTIFS('DRAFT 2'!$D:$D,$B190,'DRAFT 2'!$A:$A,"&gt;="&amp;DATE(2026,4,22),'DRAFT 2'!$A:$A,"&lt;"&amp;DATE(2026,IF(4=12,4+1,4+1),1))</f>
        <v>0</v>
      </c>
      <c r="EE190">
        <f t="shared" si="75"/>
        <v>0</v>
      </c>
      <c r="EO190">
        <f>IFERROR(LOOKUP(2,1/('DRAFT 2'!$D:$D=$B190)*('DRAFT 2'!$A:$A&gt;=DATE(2026,5,1))*('DRAFT 2'!$A:$A&lt;DATE(2026,IF(5=12,5+1,5+1),1)),'DRAFT 2'!$A:$A),"")</f>
        <v>0</v>
      </c>
      <c r="EP190">
        <f>COUNTIFS('DRAFT 2'!$D:$D,$B190,'DRAFT 2'!$A:$A,"&gt;="&amp;DATE(2026,5,1),'DRAFT 2'!$A:$A,"&lt;="&amp;DATE(2026,5,7))</f>
        <v>0</v>
      </c>
      <c r="EQ190">
        <f>COUNTIFS('DRAFT 2'!$D:$D,$B190,'DRAFT 2'!$A:$A,"&gt;="&amp;DATE(2026,5,8),'DRAFT 2'!$A:$A,"&lt;="&amp;DATE(2026,5,14))</f>
        <v>0</v>
      </c>
      <c r="ER190">
        <f>COUNTIFS('DRAFT 2'!$D:$D,$B190,'DRAFT 2'!$A:$A,"&gt;="&amp;DATE(2026,5,15),'DRAFT 2'!$A:$A,"&lt;="&amp;DATE(2026,5,21))</f>
        <v>0</v>
      </c>
      <c r="ES190">
        <f>COUNTIFS('DRAFT 2'!$D:$D,$B190,'DRAFT 2'!$A:$A,"&gt;="&amp;DATE(2026,5,22),'DRAFT 2'!$A:$A,"&lt;"&amp;DATE(2026,IF(5=12,5+1,5+1),1))</f>
        <v>0</v>
      </c>
      <c r="ET190">
        <f t="shared" si="76"/>
        <v>0</v>
      </c>
      <c r="FD190">
        <f>IFERROR(LOOKUP(2,1/('DRAFT 2'!$D:$D=$B190)*('DRAFT 2'!$A:$A&gt;=DATE(2026,6,1))*('DRAFT 2'!$A:$A&lt;DATE(2026,IF(6=12,6+1,6+1),1)),'DRAFT 2'!$A:$A),"")</f>
        <v>0</v>
      </c>
      <c r="FE190">
        <f>COUNTIFS('DRAFT 2'!$D:$D,$B190,'DRAFT 2'!$A:$A,"&gt;="&amp;DATE(2026,6,1),'DRAFT 2'!$A:$A,"&lt;="&amp;DATE(2026,6,7))</f>
        <v>0</v>
      </c>
      <c r="FF190">
        <f>COUNTIFS('DRAFT 2'!$D:$D,$B190,'DRAFT 2'!$A:$A,"&gt;="&amp;DATE(2026,6,8),'DRAFT 2'!$A:$A,"&lt;="&amp;DATE(2026,6,14))</f>
        <v>0</v>
      </c>
      <c r="FG190">
        <f>COUNTIFS('DRAFT 2'!$D:$D,$B190,'DRAFT 2'!$A:$A,"&gt;="&amp;DATE(2026,6,15),'DRAFT 2'!$A:$A,"&lt;="&amp;DATE(2026,6,21))</f>
        <v>0</v>
      </c>
      <c r="FH190">
        <f>COUNTIFS('DRAFT 2'!$D:$D,$B190,'DRAFT 2'!$A:$A,"&gt;="&amp;DATE(2026,6,22),'DRAFT 2'!$A:$A,"&lt;"&amp;DATE(2026,IF(6=12,6+1,6+1),1))</f>
        <v>0</v>
      </c>
      <c r="FI190">
        <f t="shared" si="77"/>
        <v>0</v>
      </c>
      <c r="FT190">
        <f>IFERROR(LOOKUP(2,1/('DRAFT 2'!$D:$D=$B190)*('DRAFT 2'!$A:$A&gt;=DATE(2026,7,1))*('DRAFT 2'!$A:$A&lt;DATE(2026,IF(7=12,7+1,7+1),1)),'DRAFT 2'!$A:$A),"")</f>
        <v>0</v>
      </c>
      <c r="FU190">
        <f>COUNTIFS('DRAFT 2'!$D:$D,$B190,'DRAFT 2'!$A:$A,"&gt;="&amp;DATE(2026,7,1),'DRAFT 2'!$A:$A,"&lt;="&amp;DATE(2026,7,7))</f>
        <v>0</v>
      </c>
      <c r="FV190">
        <f>COUNTIFS('DRAFT 2'!$D:$D,$B190,'DRAFT 2'!$A:$A,"&gt;="&amp;DATE(2026,7,8),'DRAFT 2'!$A:$A,"&lt;="&amp;DATE(2026,7,14))</f>
        <v>0</v>
      </c>
      <c r="FW190">
        <f>COUNTIFS('DRAFT 2'!$D:$D,$B190,'DRAFT 2'!$A:$A,"&gt;="&amp;DATE(2026,7,15),'DRAFT 2'!$A:$A,"&lt;="&amp;DATE(2026,7,21))</f>
        <v>0</v>
      </c>
      <c r="FX190">
        <f>COUNTIFS('DRAFT 2'!$D:$D,$B190,'DRAFT 2'!$A:$A,"&gt;="&amp;DATE(2026,7,22),'DRAFT 2'!$A:$A,"&lt;"&amp;DATE(2026,IF(7=12,7+1,7+1),1))</f>
        <v>0</v>
      </c>
      <c r="FY190">
        <f t="shared" si="78"/>
        <v>0</v>
      </c>
      <c r="GI190">
        <f>IFERROR(LOOKUP(2,1/('DRAFT 2'!$D:$D=$B190)*('DRAFT 2'!$A:$A&gt;=DATE(2026,8,1))*('DRAFT 2'!$A:$A&lt;DATE(2026,IF(8=12,8+1,8+1),1)),'DRAFT 2'!$A:$A),"")</f>
        <v>0</v>
      </c>
      <c r="GJ190">
        <f>COUNTIFS('DRAFT 2'!$D:$D,$B190,'DRAFT 2'!$A:$A,"&gt;="&amp;DATE(2026,8,1),'DRAFT 2'!$A:$A,"&lt;="&amp;DATE(2026,8,7))</f>
        <v>0</v>
      </c>
      <c r="GK190">
        <f>COUNTIFS('DRAFT 2'!$D:$D,$B190,'DRAFT 2'!$A:$A,"&gt;="&amp;DATE(2026,8,8),'DRAFT 2'!$A:$A,"&lt;="&amp;DATE(2026,8,14))</f>
        <v>0</v>
      </c>
      <c r="GL190">
        <f>COUNTIFS('DRAFT 2'!$D:$D,$B190,'DRAFT 2'!$A:$A,"&gt;="&amp;DATE(2026,8,15),'DRAFT 2'!$A:$A,"&lt;="&amp;DATE(2026,8,21))</f>
        <v>0</v>
      </c>
      <c r="GM190">
        <f>COUNTIFS('DRAFT 2'!$D:$D,$B190,'DRAFT 2'!$A:$A,"&gt;="&amp;DATE(2026,8,22),'DRAFT 2'!$A:$A,"&lt;"&amp;DATE(2026,IF(8=12,8+1,8+1),1))</f>
        <v>0</v>
      </c>
      <c r="GN190">
        <f t="shared" si="79"/>
        <v>0</v>
      </c>
      <c r="GX190">
        <f>IFERROR(LOOKUP(2,1/('DRAFT 2'!$D:$D=$B190)*('DRAFT 2'!$A:$A&gt;=DATE(2026,9,1))*('DRAFT 2'!$A:$A&lt;DATE(2026,IF(9=12,9+1,9+1),1)),'DRAFT 2'!$A:$A),"")</f>
        <v>0</v>
      </c>
      <c r="GY190">
        <f>COUNTIFS('DRAFT 2'!$D:$D,$B190,'DRAFT 2'!$A:$A,"&gt;="&amp;DATE(2026,9,1),'DRAFT 2'!$A:$A,"&lt;="&amp;DATE(2026,9,7))</f>
        <v>0</v>
      </c>
      <c r="GZ190">
        <f>COUNTIFS('DRAFT 2'!$D:$D,$B190,'DRAFT 2'!$A:$A,"&gt;="&amp;DATE(2026,9,8),'DRAFT 2'!$A:$A,"&lt;="&amp;DATE(2026,9,14))</f>
        <v>0</v>
      </c>
      <c r="HA190">
        <f>COUNTIFS('DRAFT 2'!$D:$D,$B190,'DRAFT 2'!$A:$A,"&gt;="&amp;DATE(2026,9,15),'DRAFT 2'!$A:$A,"&lt;="&amp;DATE(2026,9,21))</f>
        <v>0</v>
      </c>
      <c r="HB190">
        <f>COUNTIFS('DRAFT 2'!$D:$D,$B190,'DRAFT 2'!$A:$A,"&gt;="&amp;DATE(2026,9,22),'DRAFT 2'!$A:$A,"&lt;"&amp;DATE(2026,IF(9=12,9+1,9+1),1))</f>
        <v>0</v>
      </c>
      <c r="HC190">
        <f t="shared" si="80"/>
        <v>0</v>
      </c>
      <c r="HN190">
        <f>IFERROR(LOOKUP(2,1/('DRAFT 2'!$D:$D=$B190)*('DRAFT 2'!$A:$A&gt;=DATE(2026,10,1))*('DRAFT 2'!$A:$A&lt;DATE(2026,IF(10=12,10+1,10+1),1)),'DRAFT 2'!$A:$A),"")</f>
        <v>0</v>
      </c>
      <c r="HO190">
        <f>COUNTIFS('DRAFT 2'!$D:$D,$B190,'DRAFT 2'!$A:$A,"&gt;="&amp;DATE(2026,10,1),'DRAFT 2'!$A:$A,"&lt;="&amp;DATE(2026,10,7))</f>
        <v>0</v>
      </c>
      <c r="HP190">
        <f>COUNTIFS('DRAFT 2'!$D:$D,$B190,'DRAFT 2'!$A:$A,"&gt;="&amp;DATE(2026,10,8),'DRAFT 2'!$A:$A,"&lt;="&amp;DATE(2026,10,14))</f>
        <v>0</v>
      </c>
      <c r="HQ190">
        <f>COUNTIFS('DRAFT 2'!$D:$D,$B190,'DRAFT 2'!$A:$A,"&gt;="&amp;DATE(2026,10,15),'DRAFT 2'!$A:$A,"&lt;="&amp;DATE(2026,10,21))</f>
        <v>0</v>
      </c>
      <c r="HR190">
        <f>COUNTIFS('DRAFT 2'!$D:$D,$B190,'DRAFT 2'!$A:$A,"&gt;="&amp;DATE(2026,10,22),'DRAFT 2'!$A:$A,"&lt;"&amp;DATE(2026,IF(10=12,10+1,10+1),1))</f>
        <v>0</v>
      </c>
      <c r="HS190">
        <f t="shared" si="81"/>
        <v>0</v>
      </c>
      <c r="IC190">
        <f>IFERROR(LOOKUP(2,1/('DRAFT 2'!$D:$D=$B190)*('DRAFT 2'!$A:$A&gt;=DATE(2026,11,1))*('DRAFT 2'!$A:$A&lt;DATE(2026,IF(11=12,11+1,11+1),1)),'DRAFT 2'!$A:$A),"")</f>
        <v>0</v>
      </c>
      <c r="ID190">
        <f>COUNTIFS('DRAFT 2'!$D:$D,$B190,'DRAFT 2'!$A:$A,"&gt;="&amp;DATE(2026,11,1),'DRAFT 2'!$A:$A,"&lt;="&amp;DATE(2026,11,7))</f>
        <v>0</v>
      </c>
      <c r="IE190">
        <f>COUNTIFS('DRAFT 2'!$D:$D,$B190,'DRAFT 2'!$A:$A,"&gt;="&amp;DATE(2026,11,8),'DRAFT 2'!$A:$A,"&lt;="&amp;DATE(2026,11,14))</f>
        <v>0</v>
      </c>
      <c r="IF190">
        <f>COUNTIFS('DRAFT 2'!$D:$D,$B190,'DRAFT 2'!$A:$A,"&gt;="&amp;DATE(2026,11,15),'DRAFT 2'!$A:$A,"&lt;="&amp;DATE(2026,11,21))</f>
        <v>0</v>
      </c>
      <c r="IG190">
        <f>COUNTIFS('DRAFT 2'!$D:$D,$B190,'DRAFT 2'!$A:$A,"&gt;="&amp;DATE(2026,11,22),'DRAFT 2'!$A:$A,"&lt;"&amp;DATE(2026,IF(11=12,11+1,11+1),1))</f>
        <v>0</v>
      </c>
      <c r="IH190">
        <f t="shared" si="82"/>
        <v>0</v>
      </c>
      <c r="IR190">
        <f>IFERROR(LOOKUP(2,1/('DRAFT 2'!$D:$D=$B190)*('DRAFT 2'!$A:$A&gt;=DATE(2026,12,1))*('DRAFT 2'!$A:$A&lt;DATE(2026,IF(12=12,12+1,12+1),1)),'DRAFT 2'!$A:$A),"")</f>
        <v>0</v>
      </c>
      <c r="IS190">
        <f>COUNTIFS('DRAFT 2'!$D:$D,$B190,'DRAFT 2'!$A:$A,"&gt;="&amp;DATE(2026,12,1),'DRAFT 2'!$A:$A,"&lt;="&amp;DATE(2026,12,7))</f>
        <v>0</v>
      </c>
      <c r="IT190">
        <f>COUNTIFS('DRAFT 2'!$D:$D,$B190,'DRAFT 2'!$A:$A,"&gt;="&amp;DATE(2026,12,8),'DRAFT 2'!$A:$A,"&lt;="&amp;DATE(2026,12,14))</f>
        <v>0</v>
      </c>
      <c r="IU190">
        <f>COUNTIFS('DRAFT 2'!$D:$D,$B190,'DRAFT 2'!$A:$A,"&gt;="&amp;DATE(2026,12,15),'DRAFT 2'!$A:$A,"&lt;="&amp;DATE(2026,12,21))</f>
        <v>0</v>
      </c>
      <c r="IV190">
        <f>COUNTIFS('DRAFT 2'!$D:$D,$B190,'DRAFT 2'!$A:$A,"&gt;="&amp;DATE(2026,12,22),'DRAFT 2'!$A:$A,"&lt;"&amp;DATE(2026,IF(12=12,12+1,12+1),1))</f>
        <v>0</v>
      </c>
      <c r="IW190">
        <f t="shared" si="83"/>
        <v>0</v>
      </c>
    </row>
    <row r="191" spans="1:257" x14ac:dyDescent="0.3">
      <c r="A191" t="str">
        <f>IFERROR(INDEX('DRAFT 1'!$A:$A,MATCH($B191,'DRAFT 1'!$B:$B,0)),"")</f>
        <v/>
      </c>
      <c r="C191" t="str">
        <f>IFERROR(INDEX('DRAFT 1'!$C:$C,MATCH($B191,'DRAFT 1'!$B:$B,0)),"")</f>
        <v/>
      </c>
      <c r="D191" t="str">
        <f>IFERROR(INDEX('DRAFT 1'!$D:$D,MATCH($B191,'DRAFT 1'!$B:$B,0)),"")</f>
        <v/>
      </c>
      <c r="E191" t="str">
        <f>IFERROR(INDEX('DRAFT 1'!$E:$E,MATCH($B191,'DRAFT 1'!$B:$B,0)),"")</f>
        <v/>
      </c>
      <c r="F191" t="str">
        <f>IFERROR(INDEX('DRAFT 1'!$F:$F,MATCH($B191,'DRAFT 1'!$B:$B,0)),"")</f>
        <v/>
      </c>
      <c r="G191" t="str">
        <f>IFERROR(INDEX('DRAFT 1'!$G:$G,MATCH($B191,'DRAFT 1'!$B:$B,0)),"")</f>
        <v/>
      </c>
      <c r="H191" t="str">
        <f>IFERROR(INDEX('DRAFT 1'!$H:$H,MATCH($B191,'DRAFT 1'!$B:$B,0)),"")</f>
        <v/>
      </c>
      <c r="I191" t="str">
        <f>IFERROR(INDEX('DRAFT 1'!$I:$I,MATCH($B191,'DRAFT 1'!$B:$B,0)),"")</f>
        <v/>
      </c>
      <c r="K191" t="str">
        <f>IFERROR(INDEX('DRAFT 1'!$AL:$AL,MATCH($B191,'DRAFT 1'!$B:$B,0)),"")</f>
        <v/>
      </c>
      <c r="L191" t="str">
        <f>IFERROR(INDEX('DRAFT 1'!$J:$J,MATCH($B191,'DRAFT 1'!$B:$B,0)),"")</f>
        <v/>
      </c>
      <c r="M191" t="str">
        <f>IFERROR(INDEX('DRAFT 1'!$K:$K,MATCH($B191,'DRAFT 1'!$B:$B,0)),"")</f>
        <v/>
      </c>
      <c r="P191" t="str">
        <f>IFERROR(INDEX('DRAFT 1'!$L:$L,MATCH($B191,'DRAFT 1'!$B:$B,0)),"")</f>
        <v/>
      </c>
      <c r="Q191" t="str">
        <f>IFERROR(INDEX('DRAFT 1'!$M:$M,MATCH($B191,'DRAFT 1'!$B:$B,0)),"")</f>
        <v/>
      </c>
      <c r="R191" t="str">
        <f>IFERROR(INDEX('DRAFT 1'!$N:$N,MATCH($B191,'DRAFT 1'!$B:$B,0)),"")</f>
        <v/>
      </c>
      <c r="S191" t="str">
        <f>IFERROR(INDEX('DRAFT 1'!$O:$O,MATCH($B191,'DRAFT 1'!$B:$B,0)),"")</f>
        <v/>
      </c>
      <c r="T191" t="str">
        <f>IFERROR(INDEX('DRAFT 1'!$P:$P,MATCH($B191,'DRAFT 1'!$B:$B,0)),"")</f>
        <v/>
      </c>
      <c r="U191" t="str">
        <f>IFERROR(INDEX('DRAFT 1'!$Q:$Q,MATCH($B191,'DRAFT 1'!$B:$B,0)),"")</f>
        <v/>
      </c>
      <c r="V191" t="str">
        <f>IFERROR(INDEX('DRAFT 1'!$R:$R,MATCH($B191,'DRAFT 1'!$B:$B,0)),"")</f>
        <v/>
      </c>
      <c r="W191" t="str">
        <f>IFERROR(INDEX('DRAFT 1'!$S:$S,MATCH($B191,'DRAFT 1'!$B:$B,0)),"")</f>
        <v/>
      </c>
      <c r="X191" t="str">
        <f>IFERROR(INDEX('DRAFT 1'!$T:$T,MATCH($B191,'DRAFT 1'!$B:$B,0)),"")</f>
        <v/>
      </c>
      <c r="Z191" t="str">
        <f>IFERROR(INDEX('DRAFT 1'!$U:$U,MATCH($B191,'DRAFT 1'!$B:$B,0)),"")</f>
        <v/>
      </c>
      <c r="AA191" t="str">
        <f>IFERROR(INDEX('DRAFT 1'!$V:$V,MATCH($B191,'DRAFT 1'!$B:$B,0)),"")</f>
        <v/>
      </c>
      <c r="AB191" t="str">
        <f>IFERROR(INDEX('DRAFT 1'!$W:$W,MATCH($B191,'DRAFT 1'!$B:$B,0)),"")</f>
        <v/>
      </c>
      <c r="AC191" t="str">
        <f>IFERROR(INDEX('DRAFT 1'!$X:$X,MATCH($B191,'DRAFT 1'!$B:$B,0)),"")</f>
        <v/>
      </c>
      <c r="AD191" t="str">
        <f>IFERROR(INDEX('DRAFT 1'!$Y:$Y,MATCH($B191,'DRAFT 1'!$B:$B,0)),"")</f>
        <v/>
      </c>
      <c r="AE191" t="str">
        <f>IFERROR(INDEX('DRAFT 1'!$Z:$Z,MATCH($B191,'DRAFT 1'!$B:$B,0)),"")</f>
        <v/>
      </c>
      <c r="AF191" t="str">
        <f>IFERROR(INDEX('DRAFT 1'!$AA:$AA,MATCH($B191,'DRAFT 1'!$B:$B,0)),"")</f>
        <v/>
      </c>
      <c r="AG191" t="str">
        <f>IFERROR(INDEX('DRAFT 1'!$AB:$AB,MATCH($B191,'DRAFT 1'!$B:$B,0)),"")</f>
        <v/>
      </c>
      <c r="AH191" t="str">
        <f>IFERROR(INDEX('DRAFT 1'!$AC:$AC,MATCH($B191,'DRAFT 1'!$B:$B,0)),"")</f>
        <v/>
      </c>
      <c r="AI191" t="str">
        <f>IFERROR(INDEX('DRAFT 1'!$AD:$AD,MATCH($B191,'DRAFT 1'!$B:$B,0)),"")</f>
        <v/>
      </c>
      <c r="AJ191" t="str">
        <f>IFERROR(INDEX('DRAFT 1'!$AE:$AE,MATCH($B191,'DRAFT 1'!$B:$B,0)),"")</f>
        <v/>
      </c>
      <c r="AK191" t="str">
        <f>IFERROR(INDEX('DRAFT 1'!$AG:$AG,MATCH($B191,'DRAFT 1'!$B:$B,0)),"")</f>
        <v/>
      </c>
      <c r="AL191" t="str">
        <f>IFERROR(INDEX('DRAFT 1'!$AH:$AH,MATCH($B191,'DRAFT 1'!$B:$B,0)),"")</f>
        <v/>
      </c>
      <c r="AM191" t="str">
        <f>IFERROR(INDEX('DRAFT 1'!$AI:$AI,MATCH($B191,'DRAFT 1'!$B:$B,0)),"")</f>
        <v/>
      </c>
      <c r="AN191" t="str">
        <f>IFERROR(INDEX('DRAFT 1'!$AJ:$AJ,MATCH($B191,'DRAFT 1'!$B:$B,0)),"")</f>
        <v/>
      </c>
      <c r="AO191">
        <f t="shared" si="70"/>
        <v>0</v>
      </c>
      <c r="AP191" t="str">
        <f>IFERROR(INDEX('DRAFT 1'!$AK:$AK,MATCH($B191,'DRAFT 1'!$B:$B,0)),"")</f>
        <v/>
      </c>
      <c r="AR191">
        <f>IFERROR(LOOKUP(2,1/('DRAFT 2'!$D:$D=$B191),'DRAFT 2'!$I:$I),"")</f>
        <v>0</v>
      </c>
      <c r="AS191">
        <f>IFERROR(LOOKUP(2,1/('DRAFT 2'!$D:$D=$B191),'DRAFT 2'!$T:$T),"")</f>
        <v>0</v>
      </c>
      <c r="AT191">
        <f>IFERROR(LOOKUP(2,1/('DRAFT 2'!$D:$D=$B191),'DRAFT 2'!$A:$A),"")</f>
        <v>0</v>
      </c>
      <c r="AU191">
        <f>IFERROR(LOOKUP(2,1/('DRAFT 2'!$D:$D=$B191),'DRAFT 2'!$R:$R),"")</f>
        <v>0</v>
      </c>
      <c r="AV191">
        <f>IFERROR(LOOKUP(2,1/('DRAFT 2'!$D:$D=$B191),'DRAFT 2'!$S:$S),"")</f>
        <v>0</v>
      </c>
      <c r="AX191">
        <f>IFERROR(LOOKUP(2,1/('DRAFT 2'!$D:$D=$B191),'DRAFT 2'!$M:$M),"")</f>
        <v>0</v>
      </c>
      <c r="AY191">
        <f>IFERROR(LOOKUP(2,1/('DRAFT 2'!$D:$D=$B191),'DRAFT 2'!$K:$K),"")</f>
        <v>0</v>
      </c>
      <c r="BG191">
        <f>IFERROR(LOOKUP(2,1/('DRAFT 2'!$D:$D=$B191),'DRAFT 2'!$U:$U),"")</f>
        <v>0</v>
      </c>
      <c r="BH191">
        <f>IFERROR(LOOKUP(2,1/('DRAFT 2'!$D:$D=$B191),'DRAFT 2'!$V:$V),"")</f>
        <v>0</v>
      </c>
      <c r="CE191" t="str">
        <f t="shared" si="71"/>
        <v/>
      </c>
      <c r="CF191">
        <f>IFERROR(LOOKUP(2,1/('DRAFT 2'!$D:$D=$B191)*('DRAFT 2'!$A:$A&gt;=DATE(2026,1,1))*('DRAFT 2'!$A:$A&lt;DATE(2026,IF(1=12,1+1,1+1),1)),'DRAFT 2'!$A:$A),"")</f>
        <v>0</v>
      </c>
      <c r="CG191">
        <f>COUNTIFS('DRAFT 2'!$D:$D,$B191,'DRAFT 2'!$A:$A,"&gt;="&amp;DATE(2026,1,1),'DRAFT 2'!$A:$A,"&lt;="&amp;DATE(2026,1,7))</f>
        <v>0</v>
      </c>
      <c r="CH191">
        <f>COUNTIFS('DRAFT 2'!$D:$D,$B191,'DRAFT 2'!$A:$A,"&gt;="&amp;DATE(2026,1,8),'DRAFT 2'!$A:$A,"&lt;="&amp;DATE(2026,1,14))</f>
        <v>0</v>
      </c>
      <c r="CI191">
        <f>COUNTIFS('DRAFT 2'!$D:$D,$B191,'DRAFT 2'!$A:$A,"&gt;="&amp;DATE(2026,1,15),'DRAFT 2'!$A:$A,"&lt;="&amp;DATE(2026,1,21))</f>
        <v>0</v>
      </c>
      <c r="CJ191">
        <f>COUNTIFS('DRAFT 2'!$D:$D,$B191,'DRAFT 2'!$A:$A,"&gt;="&amp;DATE(2026,1,22),'DRAFT 2'!$A:$A,"&lt;"&amp;DATE(2026,IF(1=12,1+1,1+1),1))</f>
        <v>0</v>
      </c>
      <c r="CK191">
        <f t="shared" si="72"/>
        <v>0</v>
      </c>
      <c r="CT191">
        <v>0</v>
      </c>
      <c r="CU191">
        <f>IFERROR(LOOKUP(2,1/('DRAFT 2'!$D:$D=$B191)*('DRAFT 2'!$A:$A&gt;=DATE(2026,2,1))*('DRAFT 2'!$A:$A&lt;DATE(2026,IF(2=12,2+1,2+1),1)),'DRAFT 2'!$A:$A),"")</f>
        <v>0</v>
      </c>
      <c r="CV191">
        <f>COUNTIFS('DRAFT 2'!$D:$D,$B191,'DRAFT 2'!$A:$A,"&gt;="&amp;DATE(2026,2,1),'DRAFT 2'!$A:$A,"&lt;="&amp;DATE(2026,2,7))</f>
        <v>0</v>
      </c>
      <c r="CW191">
        <f>COUNTIFS('DRAFT 2'!$D:$D,$B191,'DRAFT 2'!$A:$A,"&gt;="&amp;DATE(2026,2,8),'DRAFT 2'!$A:$A,"&lt;="&amp;DATE(2026,2,14))</f>
        <v>0</v>
      </c>
      <c r="CX191">
        <f>COUNTIFS('DRAFT 2'!$D:$D,$B191,'DRAFT 2'!$A:$A,"&gt;="&amp;DATE(2026,2,15),'DRAFT 2'!$A:$A,"&lt;="&amp;DATE(2026,2,21))</f>
        <v>0</v>
      </c>
      <c r="CY191">
        <f>COUNTIFS('DRAFT 2'!$D:$D,$B191,'DRAFT 2'!$A:$A,"&gt;="&amp;DATE(2026,2,22),'DRAFT 2'!$A:$A,"&lt;"&amp;DATE(2026,IF(2=12,2+1,2+1),1))</f>
        <v>0</v>
      </c>
      <c r="CZ191">
        <f t="shared" si="73"/>
        <v>0</v>
      </c>
      <c r="DJ191">
        <f>IFERROR(LOOKUP(2,1/('DRAFT 2'!$D:$D=$B191)*('DRAFT 2'!$A:$A&gt;=DATE(2026,3,1))*('DRAFT 2'!$A:$A&lt;DATE(2026,IF(3=12,3+1,3+1),1)),'DRAFT 2'!$A:$A),"")</f>
        <v>0</v>
      </c>
      <c r="DK191">
        <f>COUNTIFS('DRAFT 2'!$D:$D,$B191,'DRAFT 2'!$A:$A,"&gt;="&amp;DATE(2026,3,1),'DRAFT 2'!$A:$A,"&lt;="&amp;DATE(2026,3,7))</f>
        <v>0</v>
      </c>
      <c r="DL191">
        <f>COUNTIFS('DRAFT 2'!$D:$D,$B191,'DRAFT 2'!$A:$A,"&gt;="&amp;DATE(2026,3,8),'DRAFT 2'!$A:$A,"&lt;="&amp;DATE(2026,3,14))</f>
        <v>0</v>
      </c>
      <c r="DM191">
        <f>COUNTIFS('DRAFT 2'!$D:$D,$B191,'DRAFT 2'!$A:$A,"&gt;="&amp;DATE(2026,3,15),'DRAFT 2'!$A:$A,"&lt;="&amp;DATE(2026,3,21))</f>
        <v>0</v>
      </c>
      <c r="DN191">
        <f>COUNTIFS('DRAFT 2'!$D:$D,$B191,'DRAFT 2'!$A:$A,"&gt;="&amp;DATE(2026,3,22),'DRAFT 2'!$A:$A,"&lt;"&amp;DATE(2026,IF(3=12,3+1,3+1),1))</f>
        <v>0</v>
      </c>
      <c r="DO191">
        <f t="shared" si="74"/>
        <v>0</v>
      </c>
      <c r="DZ191">
        <f>IFERROR(LOOKUP(2,1/('DRAFT 2'!$D:$D=$B191)*('DRAFT 2'!$A:$A&gt;=DATE(2026,4,1))*('DRAFT 2'!$A:$A&lt;DATE(2026,IF(4=12,4+1,4+1),1)),'DRAFT 2'!$A:$A),"")</f>
        <v>0</v>
      </c>
      <c r="EA191">
        <f>COUNTIFS('DRAFT 2'!$D:$D,$B191,'DRAFT 2'!$A:$A,"&gt;="&amp;DATE(2026,4,1),'DRAFT 2'!$A:$A,"&lt;="&amp;DATE(2026,4,7))</f>
        <v>0</v>
      </c>
      <c r="EB191">
        <f>COUNTIFS('DRAFT 2'!$D:$D,$B191,'DRAFT 2'!$A:$A,"&gt;="&amp;DATE(2026,4,8),'DRAFT 2'!$A:$A,"&lt;="&amp;DATE(2026,4,14))</f>
        <v>0</v>
      </c>
      <c r="EC191">
        <f>COUNTIFS('DRAFT 2'!$D:$D,$B191,'DRAFT 2'!$A:$A,"&gt;="&amp;DATE(2026,4,15),'DRAFT 2'!$A:$A,"&lt;="&amp;DATE(2026,4,21))</f>
        <v>0</v>
      </c>
      <c r="ED191">
        <f>COUNTIFS('DRAFT 2'!$D:$D,$B191,'DRAFT 2'!$A:$A,"&gt;="&amp;DATE(2026,4,22),'DRAFT 2'!$A:$A,"&lt;"&amp;DATE(2026,IF(4=12,4+1,4+1),1))</f>
        <v>0</v>
      </c>
      <c r="EE191">
        <f t="shared" si="75"/>
        <v>0</v>
      </c>
      <c r="EO191">
        <f>IFERROR(LOOKUP(2,1/('DRAFT 2'!$D:$D=$B191)*('DRAFT 2'!$A:$A&gt;=DATE(2026,5,1))*('DRAFT 2'!$A:$A&lt;DATE(2026,IF(5=12,5+1,5+1),1)),'DRAFT 2'!$A:$A),"")</f>
        <v>0</v>
      </c>
      <c r="EP191">
        <f>COUNTIFS('DRAFT 2'!$D:$D,$B191,'DRAFT 2'!$A:$A,"&gt;="&amp;DATE(2026,5,1),'DRAFT 2'!$A:$A,"&lt;="&amp;DATE(2026,5,7))</f>
        <v>0</v>
      </c>
      <c r="EQ191">
        <f>COUNTIFS('DRAFT 2'!$D:$D,$B191,'DRAFT 2'!$A:$A,"&gt;="&amp;DATE(2026,5,8),'DRAFT 2'!$A:$A,"&lt;="&amp;DATE(2026,5,14))</f>
        <v>0</v>
      </c>
      <c r="ER191">
        <f>COUNTIFS('DRAFT 2'!$D:$D,$B191,'DRAFT 2'!$A:$A,"&gt;="&amp;DATE(2026,5,15),'DRAFT 2'!$A:$A,"&lt;="&amp;DATE(2026,5,21))</f>
        <v>0</v>
      </c>
      <c r="ES191">
        <f>COUNTIFS('DRAFT 2'!$D:$D,$B191,'DRAFT 2'!$A:$A,"&gt;="&amp;DATE(2026,5,22),'DRAFT 2'!$A:$A,"&lt;"&amp;DATE(2026,IF(5=12,5+1,5+1),1))</f>
        <v>0</v>
      </c>
      <c r="ET191">
        <f t="shared" si="76"/>
        <v>0</v>
      </c>
      <c r="FD191">
        <f>IFERROR(LOOKUP(2,1/('DRAFT 2'!$D:$D=$B191)*('DRAFT 2'!$A:$A&gt;=DATE(2026,6,1))*('DRAFT 2'!$A:$A&lt;DATE(2026,IF(6=12,6+1,6+1),1)),'DRAFT 2'!$A:$A),"")</f>
        <v>0</v>
      </c>
      <c r="FE191">
        <f>COUNTIFS('DRAFT 2'!$D:$D,$B191,'DRAFT 2'!$A:$A,"&gt;="&amp;DATE(2026,6,1),'DRAFT 2'!$A:$A,"&lt;="&amp;DATE(2026,6,7))</f>
        <v>0</v>
      </c>
      <c r="FF191">
        <f>COUNTIFS('DRAFT 2'!$D:$D,$B191,'DRAFT 2'!$A:$A,"&gt;="&amp;DATE(2026,6,8),'DRAFT 2'!$A:$A,"&lt;="&amp;DATE(2026,6,14))</f>
        <v>0</v>
      </c>
      <c r="FG191">
        <f>COUNTIFS('DRAFT 2'!$D:$D,$B191,'DRAFT 2'!$A:$A,"&gt;="&amp;DATE(2026,6,15),'DRAFT 2'!$A:$A,"&lt;="&amp;DATE(2026,6,21))</f>
        <v>0</v>
      </c>
      <c r="FH191">
        <f>COUNTIFS('DRAFT 2'!$D:$D,$B191,'DRAFT 2'!$A:$A,"&gt;="&amp;DATE(2026,6,22),'DRAFT 2'!$A:$A,"&lt;"&amp;DATE(2026,IF(6=12,6+1,6+1),1))</f>
        <v>0</v>
      </c>
      <c r="FI191">
        <f t="shared" si="77"/>
        <v>0</v>
      </c>
      <c r="FT191">
        <f>IFERROR(LOOKUP(2,1/('DRAFT 2'!$D:$D=$B191)*('DRAFT 2'!$A:$A&gt;=DATE(2026,7,1))*('DRAFT 2'!$A:$A&lt;DATE(2026,IF(7=12,7+1,7+1),1)),'DRAFT 2'!$A:$A),"")</f>
        <v>0</v>
      </c>
      <c r="FU191">
        <f>COUNTIFS('DRAFT 2'!$D:$D,$B191,'DRAFT 2'!$A:$A,"&gt;="&amp;DATE(2026,7,1),'DRAFT 2'!$A:$A,"&lt;="&amp;DATE(2026,7,7))</f>
        <v>0</v>
      </c>
      <c r="FV191">
        <f>COUNTIFS('DRAFT 2'!$D:$D,$B191,'DRAFT 2'!$A:$A,"&gt;="&amp;DATE(2026,7,8),'DRAFT 2'!$A:$A,"&lt;="&amp;DATE(2026,7,14))</f>
        <v>0</v>
      </c>
      <c r="FW191">
        <f>COUNTIFS('DRAFT 2'!$D:$D,$B191,'DRAFT 2'!$A:$A,"&gt;="&amp;DATE(2026,7,15),'DRAFT 2'!$A:$A,"&lt;="&amp;DATE(2026,7,21))</f>
        <v>0</v>
      </c>
      <c r="FX191">
        <f>COUNTIFS('DRAFT 2'!$D:$D,$B191,'DRAFT 2'!$A:$A,"&gt;="&amp;DATE(2026,7,22),'DRAFT 2'!$A:$A,"&lt;"&amp;DATE(2026,IF(7=12,7+1,7+1),1))</f>
        <v>0</v>
      </c>
      <c r="FY191">
        <f t="shared" si="78"/>
        <v>0</v>
      </c>
      <c r="GI191">
        <f>IFERROR(LOOKUP(2,1/('DRAFT 2'!$D:$D=$B191)*('DRAFT 2'!$A:$A&gt;=DATE(2026,8,1))*('DRAFT 2'!$A:$A&lt;DATE(2026,IF(8=12,8+1,8+1),1)),'DRAFT 2'!$A:$A),"")</f>
        <v>0</v>
      </c>
      <c r="GJ191">
        <f>COUNTIFS('DRAFT 2'!$D:$D,$B191,'DRAFT 2'!$A:$A,"&gt;="&amp;DATE(2026,8,1),'DRAFT 2'!$A:$A,"&lt;="&amp;DATE(2026,8,7))</f>
        <v>0</v>
      </c>
      <c r="GK191">
        <f>COUNTIFS('DRAFT 2'!$D:$D,$B191,'DRAFT 2'!$A:$A,"&gt;="&amp;DATE(2026,8,8),'DRAFT 2'!$A:$A,"&lt;="&amp;DATE(2026,8,14))</f>
        <v>0</v>
      </c>
      <c r="GL191">
        <f>COUNTIFS('DRAFT 2'!$D:$D,$B191,'DRAFT 2'!$A:$A,"&gt;="&amp;DATE(2026,8,15),'DRAFT 2'!$A:$A,"&lt;="&amp;DATE(2026,8,21))</f>
        <v>0</v>
      </c>
      <c r="GM191">
        <f>COUNTIFS('DRAFT 2'!$D:$D,$B191,'DRAFT 2'!$A:$A,"&gt;="&amp;DATE(2026,8,22),'DRAFT 2'!$A:$A,"&lt;"&amp;DATE(2026,IF(8=12,8+1,8+1),1))</f>
        <v>0</v>
      </c>
      <c r="GN191">
        <f t="shared" si="79"/>
        <v>0</v>
      </c>
      <c r="GX191">
        <f>IFERROR(LOOKUP(2,1/('DRAFT 2'!$D:$D=$B191)*('DRAFT 2'!$A:$A&gt;=DATE(2026,9,1))*('DRAFT 2'!$A:$A&lt;DATE(2026,IF(9=12,9+1,9+1),1)),'DRAFT 2'!$A:$A),"")</f>
        <v>0</v>
      </c>
      <c r="GY191">
        <f>COUNTIFS('DRAFT 2'!$D:$D,$B191,'DRAFT 2'!$A:$A,"&gt;="&amp;DATE(2026,9,1),'DRAFT 2'!$A:$A,"&lt;="&amp;DATE(2026,9,7))</f>
        <v>0</v>
      </c>
      <c r="GZ191">
        <f>COUNTIFS('DRAFT 2'!$D:$D,$B191,'DRAFT 2'!$A:$A,"&gt;="&amp;DATE(2026,9,8),'DRAFT 2'!$A:$A,"&lt;="&amp;DATE(2026,9,14))</f>
        <v>0</v>
      </c>
      <c r="HA191">
        <f>COUNTIFS('DRAFT 2'!$D:$D,$B191,'DRAFT 2'!$A:$A,"&gt;="&amp;DATE(2026,9,15),'DRAFT 2'!$A:$A,"&lt;="&amp;DATE(2026,9,21))</f>
        <v>0</v>
      </c>
      <c r="HB191">
        <f>COUNTIFS('DRAFT 2'!$D:$D,$B191,'DRAFT 2'!$A:$A,"&gt;="&amp;DATE(2026,9,22),'DRAFT 2'!$A:$A,"&lt;"&amp;DATE(2026,IF(9=12,9+1,9+1),1))</f>
        <v>0</v>
      </c>
      <c r="HC191">
        <f t="shared" si="80"/>
        <v>0</v>
      </c>
      <c r="HN191">
        <f>IFERROR(LOOKUP(2,1/('DRAFT 2'!$D:$D=$B191)*('DRAFT 2'!$A:$A&gt;=DATE(2026,10,1))*('DRAFT 2'!$A:$A&lt;DATE(2026,IF(10=12,10+1,10+1),1)),'DRAFT 2'!$A:$A),"")</f>
        <v>0</v>
      </c>
      <c r="HO191">
        <f>COUNTIFS('DRAFT 2'!$D:$D,$B191,'DRAFT 2'!$A:$A,"&gt;="&amp;DATE(2026,10,1),'DRAFT 2'!$A:$A,"&lt;="&amp;DATE(2026,10,7))</f>
        <v>0</v>
      </c>
      <c r="HP191">
        <f>COUNTIFS('DRAFT 2'!$D:$D,$B191,'DRAFT 2'!$A:$A,"&gt;="&amp;DATE(2026,10,8),'DRAFT 2'!$A:$A,"&lt;="&amp;DATE(2026,10,14))</f>
        <v>0</v>
      </c>
      <c r="HQ191">
        <f>COUNTIFS('DRAFT 2'!$D:$D,$B191,'DRAFT 2'!$A:$A,"&gt;="&amp;DATE(2026,10,15),'DRAFT 2'!$A:$A,"&lt;="&amp;DATE(2026,10,21))</f>
        <v>0</v>
      </c>
      <c r="HR191">
        <f>COUNTIFS('DRAFT 2'!$D:$D,$B191,'DRAFT 2'!$A:$A,"&gt;="&amp;DATE(2026,10,22),'DRAFT 2'!$A:$A,"&lt;"&amp;DATE(2026,IF(10=12,10+1,10+1),1))</f>
        <v>0</v>
      </c>
      <c r="HS191">
        <f t="shared" si="81"/>
        <v>0</v>
      </c>
      <c r="IC191">
        <f>IFERROR(LOOKUP(2,1/('DRAFT 2'!$D:$D=$B191)*('DRAFT 2'!$A:$A&gt;=DATE(2026,11,1))*('DRAFT 2'!$A:$A&lt;DATE(2026,IF(11=12,11+1,11+1),1)),'DRAFT 2'!$A:$A),"")</f>
        <v>0</v>
      </c>
      <c r="ID191">
        <f>COUNTIFS('DRAFT 2'!$D:$D,$B191,'DRAFT 2'!$A:$A,"&gt;="&amp;DATE(2026,11,1),'DRAFT 2'!$A:$A,"&lt;="&amp;DATE(2026,11,7))</f>
        <v>0</v>
      </c>
      <c r="IE191">
        <f>COUNTIFS('DRAFT 2'!$D:$D,$B191,'DRAFT 2'!$A:$A,"&gt;="&amp;DATE(2026,11,8),'DRAFT 2'!$A:$A,"&lt;="&amp;DATE(2026,11,14))</f>
        <v>0</v>
      </c>
      <c r="IF191">
        <f>COUNTIFS('DRAFT 2'!$D:$D,$B191,'DRAFT 2'!$A:$A,"&gt;="&amp;DATE(2026,11,15),'DRAFT 2'!$A:$A,"&lt;="&amp;DATE(2026,11,21))</f>
        <v>0</v>
      </c>
      <c r="IG191">
        <f>COUNTIFS('DRAFT 2'!$D:$D,$B191,'DRAFT 2'!$A:$A,"&gt;="&amp;DATE(2026,11,22),'DRAFT 2'!$A:$A,"&lt;"&amp;DATE(2026,IF(11=12,11+1,11+1),1))</f>
        <v>0</v>
      </c>
      <c r="IH191">
        <f t="shared" si="82"/>
        <v>0</v>
      </c>
      <c r="IR191">
        <f>IFERROR(LOOKUP(2,1/('DRAFT 2'!$D:$D=$B191)*('DRAFT 2'!$A:$A&gt;=DATE(2026,12,1))*('DRAFT 2'!$A:$A&lt;DATE(2026,IF(12=12,12+1,12+1),1)),'DRAFT 2'!$A:$A),"")</f>
        <v>0</v>
      </c>
      <c r="IS191">
        <f>COUNTIFS('DRAFT 2'!$D:$D,$B191,'DRAFT 2'!$A:$A,"&gt;="&amp;DATE(2026,12,1),'DRAFT 2'!$A:$A,"&lt;="&amp;DATE(2026,12,7))</f>
        <v>0</v>
      </c>
      <c r="IT191">
        <f>COUNTIFS('DRAFT 2'!$D:$D,$B191,'DRAFT 2'!$A:$A,"&gt;="&amp;DATE(2026,12,8),'DRAFT 2'!$A:$A,"&lt;="&amp;DATE(2026,12,14))</f>
        <v>0</v>
      </c>
      <c r="IU191">
        <f>COUNTIFS('DRAFT 2'!$D:$D,$B191,'DRAFT 2'!$A:$A,"&gt;="&amp;DATE(2026,12,15),'DRAFT 2'!$A:$A,"&lt;="&amp;DATE(2026,12,21))</f>
        <v>0</v>
      </c>
      <c r="IV191">
        <f>COUNTIFS('DRAFT 2'!$D:$D,$B191,'DRAFT 2'!$A:$A,"&gt;="&amp;DATE(2026,12,22),'DRAFT 2'!$A:$A,"&lt;"&amp;DATE(2026,IF(12=12,12+1,12+1),1))</f>
        <v>0</v>
      </c>
      <c r="IW191">
        <f t="shared" si="83"/>
        <v>0</v>
      </c>
    </row>
    <row r="192" spans="1:257" x14ac:dyDescent="0.3">
      <c r="A192" t="str">
        <f>IFERROR(INDEX('DRAFT 1'!$A:$A,MATCH($B192,'DRAFT 1'!$B:$B,0)),"")</f>
        <v/>
      </c>
      <c r="C192" t="str">
        <f>IFERROR(INDEX('DRAFT 1'!$C:$C,MATCH($B192,'DRAFT 1'!$B:$B,0)),"")</f>
        <v/>
      </c>
      <c r="D192" t="str">
        <f>IFERROR(INDEX('DRAFT 1'!$D:$D,MATCH($B192,'DRAFT 1'!$B:$B,0)),"")</f>
        <v/>
      </c>
      <c r="E192" t="str">
        <f>IFERROR(INDEX('DRAFT 1'!$E:$E,MATCH($B192,'DRAFT 1'!$B:$B,0)),"")</f>
        <v/>
      </c>
      <c r="F192" t="str">
        <f>IFERROR(INDEX('DRAFT 1'!$F:$F,MATCH($B192,'DRAFT 1'!$B:$B,0)),"")</f>
        <v/>
      </c>
      <c r="G192" t="str">
        <f>IFERROR(INDEX('DRAFT 1'!$G:$G,MATCH($B192,'DRAFT 1'!$B:$B,0)),"")</f>
        <v/>
      </c>
      <c r="H192" t="str">
        <f>IFERROR(INDEX('DRAFT 1'!$H:$H,MATCH($B192,'DRAFT 1'!$B:$B,0)),"")</f>
        <v/>
      </c>
      <c r="I192" t="str">
        <f>IFERROR(INDEX('DRAFT 1'!$I:$I,MATCH($B192,'DRAFT 1'!$B:$B,0)),"")</f>
        <v/>
      </c>
      <c r="K192" t="str">
        <f>IFERROR(INDEX('DRAFT 1'!$AL:$AL,MATCH($B192,'DRAFT 1'!$B:$B,0)),"")</f>
        <v/>
      </c>
      <c r="L192" t="str">
        <f>IFERROR(INDEX('DRAFT 1'!$J:$J,MATCH($B192,'DRAFT 1'!$B:$B,0)),"")</f>
        <v/>
      </c>
      <c r="M192" t="str">
        <f>IFERROR(INDEX('DRAFT 1'!$K:$K,MATCH($B192,'DRAFT 1'!$B:$B,0)),"")</f>
        <v/>
      </c>
      <c r="P192" t="str">
        <f>IFERROR(INDEX('DRAFT 1'!$L:$L,MATCH($B192,'DRAFT 1'!$B:$B,0)),"")</f>
        <v/>
      </c>
      <c r="Q192" t="str">
        <f>IFERROR(INDEX('DRAFT 1'!$M:$M,MATCH($B192,'DRAFT 1'!$B:$B,0)),"")</f>
        <v/>
      </c>
      <c r="R192" t="str">
        <f>IFERROR(INDEX('DRAFT 1'!$N:$N,MATCH($B192,'DRAFT 1'!$B:$B,0)),"")</f>
        <v/>
      </c>
      <c r="S192" t="str">
        <f>IFERROR(INDEX('DRAFT 1'!$O:$O,MATCH($B192,'DRAFT 1'!$B:$B,0)),"")</f>
        <v/>
      </c>
      <c r="T192" t="str">
        <f>IFERROR(INDEX('DRAFT 1'!$P:$P,MATCH($B192,'DRAFT 1'!$B:$B,0)),"")</f>
        <v/>
      </c>
      <c r="U192" t="str">
        <f>IFERROR(INDEX('DRAFT 1'!$Q:$Q,MATCH($B192,'DRAFT 1'!$B:$B,0)),"")</f>
        <v/>
      </c>
      <c r="V192" t="str">
        <f>IFERROR(INDEX('DRAFT 1'!$R:$R,MATCH($B192,'DRAFT 1'!$B:$B,0)),"")</f>
        <v/>
      </c>
      <c r="W192" t="str">
        <f>IFERROR(INDEX('DRAFT 1'!$S:$S,MATCH($B192,'DRAFT 1'!$B:$B,0)),"")</f>
        <v/>
      </c>
      <c r="X192" t="str">
        <f>IFERROR(INDEX('DRAFT 1'!$T:$T,MATCH($B192,'DRAFT 1'!$B:$B,0)),"")</f>
        <v/>
      </c>
      <c r="Z192" t="str">
        <f>IFERROR(INDEX('DRAFT 1'!$U:$U,MATCH($B192,'DRAFT 1'!$B:$B,0)),"")</f>
        <v/>
      </c>
      <c r="AA192" t="str">
        <f>IFERROR(INDEX('DRAFT 1'!$V:$V,MATCH($B192,'DRAFT 1'!$B:$B,0)),"")</f>
        <v/>
      </c>
      <c r="AB192" t="str">
        <f>IFERROR(INDEX('DRAFT 1'!$W:$W,MATCH($B192,'DRAFT 1'!$B:$B,0)),"")</f>
        <v/>
      </c>
      <c r="AC192" t="str">
        <f>IFERROR(INDEX('DRAFT 1'!$X:$X,MATCH($B192,'DRAFT 1'!$B:$B,0)),"")</f>
        <v/>
      </c>
      <c r="AD192" t="str">
        <f>IFERROR(INDEX('DRAFT 1'!$Y:$Y,MATCH($B192,'DRAFT 1'!$B:$B,0)),"")</f>
        <v/>
      </c>
      <c r="AE192" t="str">
        <f>IFERROR(INDEX('DRAFT 1'!$Z:$Z,MATCH($B192,'DRAFT 1'!$B:$B,0)),"")</f>
        <v/>
      </c>
      <c r="AF192" t="str">
        <f>IFERROR(INDEX('DRAFT 1'!$AA:$AA,MATCH($B192,'DRAFT 1'!$B:$B,0)),"")</f>
        <v/>
      </c>
      <c r="AG192" t="str">
        <f>IFERROR(INDEX('DRAFT 1'!$AB:$AB,MATCH($B192,'DRAFT 1'!$B:$B,0)),"")</f>
        <v/>
      </c>
      <c r="AH192" t="str">
        <f>IFERROR(INDEX('DRAFT 1'!$AC:$AC,MATCH($B192,'DRAFT 1'!$B:$B,0)),"")</f>
        <v/>
      </c>
      <c r="AI192" t="str">
        <f>IFERROR(INDEX('DRAFT 1'!$AD:$AD,MATCH($B192,'DRAFT 1'!$B:$B,0)),"")</f>
        <v/>
      </c>
      <c r="AJ192" t="str">
        <f>IFERROR(INDEX('DRAFT 1'!$AE:$AE,MATCH($B192,'DRAFT 1'!$B:$B,0)),"")</f>
        <v/>
      </c>
      <c r="AK192" t="str">
        <f>IFERROR(INDEX('DRAFT 1'!$AG:$AG,MATCH($B192,'DRAFT 1'!$B:$B,0)),"")</f>
        <v/>
      </c>
      <c r="AL192" t="str">
        <f>IFERROR(INDEX('DRAFT 1'!$AH:$AH,MATCH($B192,'DRAFT 1'!$B:$B,0)),"")</f>
        <v/>
      </c>
      <c r="AM192" t="str">
        <f>IFERROR(INDEX('DRAFT 1'!$AI:$AI,MATCH($B192,'DRAFT 1'!$B:$B,0)),"")</f>
        <v/>
      </c>
      <c r="AN192" t="str">
        <f>IFERROR(INDEX('DRAFT 1'!$AJ:$AJ,MATCH($B192,'DRAFT 1'!$B:$B,0)),"")</f>
        <v/>
      </c>
      <c r="AO192">
        <f t="shared" si="70"/>
        <v>0</v>
      </c>
      <c r="AP192" t="str">
        <f>IFERROR(INDEX('DRAFT 1'!$AK:$AK,MATCH($B192,'DRAFT 1'!$B:$B,0)),"")</f>
        <v/>
      </c>
      <c r="AR192">
        <f>IFERROR(LOOKUP(2,1/('DRAFT 2'!$D:$D=$B192),'DRAFT 2'!$I:$I),"")</f>
        <v>0</v>
      </c>
      <c r="AS192">
        <f>IFERROR(LOOKUP(2,1/('DRAFT 2'!$D:$D=$B192),'DRAFT 2'!$T:$T),"")</f>
        <v>0</v>
      </c>
      <c r="AT192">
        <f>IFERROR(LOOKUP(2,1/('DRAFT 2'!$D:$D=$B192),'DRAFT 2'!$A:$A),"")</f>
        <v>0</v>
      </c>
      <c r="AU192">
        <f>IFERROR(LOOKUP(2,1/('DRAFT 2'!$D:$D=$B192),'DRAFT 2'!$R:$R),"")</f>
        <v>0</v>
      </c>
      <c r="AV192">
        <f>IFERROR(LOOKUP(2,1/('DRAFT 2'!$D:$D=$B192),'DRAFT 2'!$S:$S),"")</f>
        <v>0</v>
      </c>
      <c r="AX192">
        <f>IFERROR(LOOKUP(2,1/('DRAFT 2'!$D:$D=$B192),'DRAFT 2'!$M:$M),"")</f>
        <v>0</v>
      </c>
      <c r="AY192">
        <f>IFERROR(LOOKUP(2,1/('DRAFT 2'!$D:$D=$B192),'DRAFT 2'!$K:$K),"")</f>
        <v>0</v>
      </c>
      <c r="BG192">
        <f>IFERROR(LOOKUP(2,1/('DRAFT 2'!$D:$D=$B192),'DRAFT 2'!$U:$U),"")</f>
        <v>0</v>
      </c>
      <c r="BH192">
        <f>IFERROR(LOOKUP(2,1/('DRAFT 2'!$D:$D=$B192),'DRAFT 2'!$V:$V),"")</f>
        <v>0</v>
      </c>
      <c r="CE192" t="str">
        <f t="shared" si="71"/>
        <v/>
      </c>
      <c r="CF192">
        <f>IFERROR(LOOKUP(2,1/('DRAFT 2'!$D:$D=$B192)*('DRAFT 2'!$A:$A&gt;=DATE(2026,1,1))*('DRAFT 2'!$A:$A&lt;DATE(2026,IF(1=12,1+1,1+1),1)),'DRAFT 2'!$A:$A),"")</f>
        <v>0</v>
      </c>
      <c r="CG192">
        <f>COUNTIFS('DRAFT 2'!$D:$D,$B192,'DRAFT 2'!$A:$A,"&gt;="&amp;DATE(2026,1,1),'DRAFT 2'!$A:$A,"&lt;="&amp;DATE(2026,1,7))</f>
        <v>0</v>
      </c>
      <c r="CH192">
        <f>COUNTIFS('DRAFT 2'!$D:$D,$B192,'DRAFT 2'!$A:$A,"&gt;="&amp;DATE(2026,1,8),'DRAFT 2'!$A:$A,"&lt;="&amp;DATE(2026,1,14))</f>
        <v>0</v>
      </c>
      <c r="CI192">
        <f>COUNTIFS('DRAFT 2'!$D:$D,$B192,'DRAFT 2'!$A:$A,"&gt;="&amp;DATE(2026,1,15),'DRAFT 2'!$A:$A,"&lt;="&amp;DATE(2026,1,21))</f>
        <v>0</v>
      </c>
      <c r="CJ192">
        <f>COUNTIFS('DRAFT 2'!$D:$D,$B192,'DRAFT 2'!$A:$A,"&gt;="&amp;DATE(2026,1,22),'DRAFT 2'!$A:$A,"&lt;"&amp;DATE(2026,IF(1=12,1+1,1+1),1))</f>
        <v>0</v>
      </c>
      <c r="CK192">
        <f t="shared" si="72"/>
        <v>0</v>
      </c>
      <c r="CT192">
        <v>0</v>
      </c>
      <c r="CU192">
        <f>IFERROR(LOOKUP(2,1/('DRAFT 2'!$D:$D=$B192)*('DRAFT 2'!$A:$A&gt;=DATE(2026,2,1))*('DRAFT 2'!$A:$A&lt;DATE(2026,IF(2=12,2+1,2+1),1)),'DRAFT 2'!$A:$A),"")</f>
        <v>0</v>
      </c>
      <c r="CV192">
        <f>COUNTIFS('DRAFT 2'!$D:$D,$B192,'DRAFT 2'!$A:$A,"&gt;="&amp;DATE(2026,2,1),'DRAFT 2'!$A:$A,"&lt;="&amp;DATE(2026,2,7))</f>
        <v>0</v>
      </c>
      <c r="CW192">
        <f>COUNTIFS('DRAFT 2'!$D:$D,$B192,'DRAFT 2'!$A:$A,"&gt;="&amp;DATE(2026,2,8),'DRAFT 2'!$A:$A,"&lt;="&amp;DATE(2026,2,14))</f>
        <v>0</v>
      </c>
      <c r="CX192">
        <f>COUNTIFS('DRAFT 2'!$D:$D,$B192,'DRAFT 2'!$A:$A,"&gt;="&amp;DATE(2026,2,15),'DRAFT 2'!$A:$A,"&lt;="&amp;DATE(2026,2,21))</f>
        <v>0</v>
      </c>
      <c r="CY192">
        <f>COUNTIFS('DRAFT 2'!$D:$D,$B192,'DRAFT 2'!$A:$A,"&gt;="&amp;DATE(2026,2,22),'DRAFT 2'!$A:$A,"&lt;"&amp;DATE(2026,IF(2=12,2+1,2+1),1))</f>
        <v>0</v>
      </c>
      <c r="CZ192">
        <f t="shared" si="73"/>
        <v>0</v>
      </c>
      <c r="DJ192">
        <f>IFERROR(LOOKUP(2,1/('DRAFT 2'!$D:$D=$B192)*('DRAFT 2'!$A:$A&gt;=DATE(2026,3,1))*('DRAFT 2'!$A:$A&lt;DATE(2026,IF(3=12,3+1,3+1),1)),'DRAFT 2'!$A:$A),"")</f>
        <v>0</v>
      </c>
      <c r="DK192">
        <f>COUNTIFS('DRAFT 2'!$D:$D,$B192,'DRAFT 2'!$A:$A,"&gt;="&amp;DATE(2026,3,1),'DRAFT 2'!$A:$A,"&lt;="&amp;DATE(2026,3,7))</f>
        <v>0</v>
      </c>
      <c r="DL192">
        <f>COUNTIFS('DRAFT 2'!$D:$D,$B192,'DRAFT 2'!$A:$A,"&gt;="&amp;DATE(2026,3,8),'DRAFT 2'!$A:$A,"&lt;="&amp;DATE(2026,3,14))</f>
        <v>0</v>
      </c>
      <c r="DM192">
        <f>COUNTIFS('DRAFT 2'!$D:$D,$B192,'DRAFT 2'!$A:$A,"&gt;="&amp;DATE(2026,3,15),'DRAFT 2'!$A:$A,"&lt;="&amp;DATE(2026,3,21))</f>
        <v>0</v>
      </c>
      <c r="DN192">
        <f>COUNTIFS('DRAFT 2'!$D:$D,$B192,'DRAFT 2'!$A:$A,"&gt;="&amp;DATE(2026,3,22),'DRAFT 2'!$A:$A,"&lt;"&amp;DATE(2026,IF(3=12,3+1,3+1),1))</f>
        <v>0</v>
      </c>
      <c r="DO192">
        <f t="shared" si="74"/>
        <v>0</v>
      </c>
      <c r="DZ192">
        <f>IFERROR(LOOKUP(2,1/('DRAFT 2'!$D:$D=$B192)*('DRAFT 2'!$A:$A&gt;=DATE(2026,4,1))*('DRAFT 2'!$A:$A&lt;DATE(2026,IF(4=12,4+1,4+1),1)),'DRAFT 2'!$A:$A),"")</f>
        <v>0</v>
      </c>
      <c r="EA192">
        <f>COUNTIFS('DRAFT 2'!$D:$D,$B192,'DRAFT 2'!$A:$A,"&gt;="&amp;DATE(2026,4,1),'DRAFT 2'!$A:$A,"&lt;="&amp;DATE(2026,4,7))</f>
        <v>0</v>
      </c>
      <c r="EB192">
        <f>COUNTIFS('DRAFT 2'!$D:$D,$B192,'DRAFT 2'!$A:$A,"&gt;="&amp;DATE(2026,4,8),'DRAFT 2'!$A:$A,"&lt;="&amp;DATE(2026,4,14))</f>
        <v>0</v>
      </c>
      <c r="EC192">
        <f>COUNTIFS('DRAFT 2'!$D:$D,$B192,'DRAFT 2'!$A:$A,"&gt;="&amp;DATE(2026,4,15),'DRAFT 2'!$A:$A,"&lt;="&amp;DATE(2026,4,21))</f>
        <v>0</v>
      </c>
      <c r="ED192">
        <f>COUNTIFS('DRAFT 2'!$D:$D,$B192,'DRAFT 2'!$A:$A,"&gt;="&amp;DATE(2026,4,22),'DRAFT 2'!$A:$A,"&lt;"&amp;DATE(2026,IF(4=12,4+1,4+1),1))</f>
        <v>0</v>
      </c>
      <c r="EE192">
        <f t="shared" si="75"/>
        <v>0</v>
      </c>
      <c r="EO192">
        <f>IFERROR(LOOKUP(2,1/('DRAFT 2'!$D:$D=$B192)*('DRAFT 2'!$A:$A&gt;=DATE(2026,5,1))*('DRAFT 2'!$A:$A&lt;DATE(2026,IF(5=12,5+1,5+1),1)),'DRAFT 2'!$A:$A),"")</f>
        <v>0</v>
      </c>
      <c r="EP192">
        <f>COUNTIFS('DRAFT 2'!$D:$D,$B192,'DRAFT 2'!$A:$A,"&gt;="&amp;DATE(2026,5,1),'DRAFT 2'!$A:$A,"&lt;="&amp;DATE(2026,5,7))</f>
        <v>0</v>
      </c>
      <c r="EQ192">
        <f>COUNTIFS('DRAFT 2'!$D:$D,$B192,'DRAFT 2'!$A:$A,"&gt;="&amp;DATE(2026,5,8),'DRAFT 2'!$A:$A,"&lt;="&amp;DATE(2026,5,14))</f>
        <v>0</v>
      </c>
      <c r="ER192">
        <f>COUNTIFS('DRAFT 2'!$D:$D,$B192,'DRAFT 2'!$A:$A,"&gt;="&amp;DATE(2026,5,15),'DRAFT 2'!$A:$A,"&lt;="&amp;DATE(2026,5,21))</f>
        <v>0</v>
      </c>
      <c r="ES192">
        <f>COUNTIFS('DRAFT 2'!$D:$D,$B192,'DRAFT 2'!$A:$A,"&gt;="&amp;DATE(2026,5,22),'DRAFT 2'!$A:$A,"&lt;"&amp;DATE(2026,IF(5=12,5+1,5+1),1))</f>
        <v>0</v>
      </c>
      <c r="ET192">
        <f t="shared" si="76"/>
        <v>0</v>
      </c>
      <c r="FD192">
        <f>IFERROR(LOOKUP(2,1/('DRAFT 2'!$D:$D=$B192)*('DRAFT 2'!$A:$A&gt;=DATE(2026,6,1))*('DRAFT 2'!$A:$A&lt;DATE(2026,IF(6=12,6+1,6+1),1)),'DRAFT 2'!$A:$A),"")</f>
        <v>0</v>
      </c>
      <c r="FE192">
        <f>COUNTIFS('DRAFT 2'!$D:$D,$B192,'DRAFT 2'!$A:$A,"&gt;="&amp;DATE(2026,6,1),'DRAFT 2'!$A:$A,"&lt;="&amp;DATE(2026,6,7))</f>
        <v>0</v>
      </c>
      <c r="FF192">
        <f>COUNTIFS('DRAFT 2'!$D:$D,$B192,'DRAFT 2'!$A:$A,"&gt;="&amp;DATE(2026,6,8),'DRAFT 2'!$A:$A,"&lt;="&amp;DATE(2026,6,14))</f>
        <v>0</v>
      </c>
      <c r="FG192">
        <f>COUNTIFS('DRAFT 2'!$D:$D,$B192,'DRAFT 2'!$A:$A,"&gt;="&amp;DATE(2026,6,15),'DRAFT 2'!$A:$A,"&lt;="&amp;DATE(2026,6,21))</f>
        <v>0</v>
      </c>
      <c r="FH192">
        <f>COUNTIFS('DRAFT 2'!$D:$D,$B192,'DRAFT 2'!$A:$A,"&gt;="&amp;DATE(2026,6,22),'DRAFT 2'!$A:$A,"&lt;"&amp;DATE(2026,IF(6=12,6+1,6+1),1))</f>
        <v>0</v>
      </c>
      <c r="FI192">
        <f t="shared" si="77"/>
        <v>0</v>
      </c>
      <c r="FT192">
        <f>IFERROR(LOOKUP(2,1/('DRAFT 2'!$D:$D=$B192)*('DRAFT 2'!$A:$A&gt;=DATE(2026,7,1))*('DRAFT 2'!$A:$A&lt;DATE(2026,IF(7=12,7+1,7+1),1)),'DRAFT 2'!$A:$A),"")</f>
        <v>0</v>
      </c>
      <c r="FU192">
        <f>COUNTIFS('DRAFT 2'!$D:$D,$B192,'DRAFT 2'!$A:$A,"&gt;="&amp;DATE(2026,7,1),'DRAFT 2'!$A:$A,"&lt;="&amp;DATE(2026,7,7))</f>
        <v>0</v>
      </c>
      <c r="FV192">
        <f>COUNTIFS('DRAFT 2'!$D:$D,$B192,'DRAFT 2'!$A:$A,"&gt;="&amp;DATE(2026,7,8),'DRAFT 2'!$A:$A,"&lt;="&amp;DATE(2026,7,14))</f>
        <v>0</v>
      </c>
      <c r="FW192">
        <f>COUNTIFS('DRAFT 2'!$D:$D,$B192,'DRAFT 2'!$A:$A,"&gt;="&amp;DATE(2026,7,15),'DRAFT 2'!$A:$A,"&lt;="&amp;DATE(2026,7,21))</f>
        <v>0</v>
      </c>
      <c r="FX192">
        <f>COUNTIFS('DRAFT 2'!$D:$D,$B192,'DRAFT 2'!$A:$A,"&gt;="&amp;DATE(2026,7,22),'DRAFT 2'!$A:$A,"&lt;"&amp;DATE(2026,IF(7=12,7+1,7+1),1))</f>
        <v>0</v>
      </c>
      <c r="FY192">
        <f t="shared" si="78"/>
        <v>0</v>
      </c>
      <c r="GI192">
        <f>IFERROR(LOOKUP(2,1/('DRAFT 2'!$D:$D=$B192)*('DRAFT 2'!$A:$A&gt;=DATE(2026,8,1))*('DRAFT 2'!$A:$A&lt;DATE(2026,IF(8=12,8+1,8+1),1)),'DRAFT 2'!$A:$A),"")</f>
        <v>0</v>
      </c>
      <c r="GJ192">
        <f>COUNTIFS('DRAFT 2'!$D:$D,$B192,'DRAFT 2'!$A:$A,"&gt;="&amp;DATE(2026,8,1),'DRAFT 2'!$A:$A,"&lt;="&amp;DATE(2026,8,7))</f>
        <v>0</v>
      </c>
      <c r="GK192">
        <f>COUNTIFS('DRAFT 2'!$D:$D,$B192,'DRAFT 2'!$A:$A,"&gt;="&amp;DATE(2026,8,8),'DRAFT 2'!$A:$A,"&lt;="&amp;DATE(2026,8,14))</f>
        <v>0</v>
      </c>
      <c r="GL192">
        <f>COUNTIFS('DRAFT 2'!$D:$D,$B192,'DRAFT 2'!$A:$A,"&gt;="&amp;DATE(2026,8,15),'DRAFT 2'!$A:$A,"&lt;="&amp;DATE(2026,8,21))</f>
        <v>0</v>
      </c>
      <c r="GM192">
        <f>COUNTIFS('DRAFT 2'!$D:$D,$B192,'DRAFT 2'!$A:$A,"&gt;="&amp;DATE(2026,8,22),'DRAFT 2'!$A:$A,"&lt;"&amp;DATE(2026,IF(8=12,8+1,8+1),1))</f>
        <v>0</v>
      </c>
      <c r="GN192">
        <f t="shared" si="79"/>
        <v>0</v>
      </c>
      <c r="GX192">
        <f>IFERROR(LOOKUP(2,1/('DRAFT 2'!$D:$D=$B192)*('DRAFT 2'!$A:$A&gt;=DATE(2026,9,1))*('DRAFT 2'!$A:$A&lt;DATE(2026,IF(9=12,9+1,9+1),1)),'DRAFT 2'!$A:$A),"")</f>
        <v>0</v>
      </c>
      <c r="GY192">
        <f>COUNTIFS('DRAFT 2'!$D:$D,$B192,'DRAFT 2'!$A:$A,"&gt;="&amp;DATE(2026,9,1),'DRAFT 2'!$A:$A,"&lt;="&amp;DATE(2026,9,7))</f>
        <v>0</v>
      </c>
      <c r="GZ192">
        <f>COUNTIFS('DRAFT 2'!$D:$D,$B192,'DRAFT 2'!$A:$A,"&gt;="&amp;DATE(2026,9,8),'DRAFT 2'!$A:$A,"&lt;="&amp;DATE(2026,9,14))</f>
        <v>0</v>
      </c>
      <c r="HA192">
        <f>COUNTIFS('DRAFT 2'!$D:$D,$B192,'DRAFT 2'!$A:$A,"&gt;="&amp;DATE(2026,9,15),'DRAFT 2'!$A:$A,"&lt;="&amp;DATE(2026,9,21))</f>
        <v>0</v>
      </c>
      <c r="HB192">
        <f>COUNTIFS('DRAFT 2'!$D:$D,$B192,'DRAFT 2'!$A:$A,"&gt;="&amp;DATE(2026,9,22),'DRAFT 2'!$A:$A,"&lt;"&amp;DATE(2026,IF(9=12,9+1,9+1),1))</f>
        <v>0</v>
      </c>
      <c r="HC192">
        <f t="shared" si="80"/>
        <v>0</v>
      </c>
      <c r="HN192">
        <f>IFERROR(LOOKUP(2,1/('DRAFT 2'!$D:$D=$B192)*('DRAFT 2'!$A:$A&gt;=DATE(2026,10,1))*('DRAFT 2'!$A:$A&lt;DATE(2026,IF(10=12,10+1,10+1),1)),'DRAFT 2'!$A:$A),"")</f>
        <v>0</v>
      </c>
      <c r="HO192">
        <f>COUNTIFS('DRAFT 2'!$D:$D,$B192,'DRAFT 2'!$A:$A,"&gt;="&amp;DATE(2026,10,1),'DRAFT 2'!$A:$A,"&lt;="&amp;DATE(2026,10,7))</f>
        <v>0</v>
      </c>
      <c r="HP192">
        <f>COUNTIFS('DRAFT 2'!$D:$D,$B192,'DRAFT 2'!$A:$A,"&gt;="&amp;DATE(2026,10,8),'DRAFT 2'!$A:$A,"&lt;="&amp;DATE(2026,10,14))</f>
        <v>0</v>
      </c>
      <c r="HQ192">
        <f>COUNTIFS('DRAFT 2'!$D:$D,$B192,'DRAFT 2'!$A:$A,"&gt;="&amp;DATE(2026,10,15),'DRAFT 2'!$A:$A,"&lt;="&amp;DATE(2026,10,21))</f>
        <v>0</v>
      </c>
      <c r="HR192">
        <f>COUNTIFS('DRAFT 2'!$D:$D,$B192,'DRAFT 2'!$A:$A,"&gt;="&amp;DATE(2026,10,22),'DRAFT 2'!$A:$A,"&lt;"&amp;DATE(2026,IF(10=12,10+1,10+1),1))</f>
        <v>0</v>
      </c>
      <c r="HS192">
        <f t="shared" si="81"/>
        <v>0</v>
      </c>
      <c r="IC192">
        <f>IFERROR(LOOKUP(2,1/('DRAFT 2'!$D:$D=$B192)*('DRAFT 2'!$A:$A&gt;=DATE(2026,11,1))*('DRAFT 2'!$A:$A&lt;DATE(2026,IF(11=12,11+1,11+1),1)),'DRAFT 2'!$A:$A),"")</f>
        <v>0</v>
      </c>
      <c r="ID192">
        <f>COUNTIFS('DRAFT 2'!$D:$D,$B192,'DRAFT 2'!$A:$A,"&gt;="&amp;DATE(2026,11,1),'DRAFT 2'!$A:$A,"&lt;="&amp;DATE(2026,11,7))</f>
        <v>0</v>
      </c>
      <c r="IE192">
        <f>COUNTIFS('DRAFT 2'!$D:$D,$B192,'DRAFT 2'!$A:$A,"&gt;="&amp;DATE(2026,11,8),'DRAFT 2'!$A:$A,"&lt;="&amp;DATE(2026,11,14))</f>
        <v>0</v>
      </c>
      <c r="IF192">
        <f>COUNTIFS('DRAFT 2'!$D:$D,$B192,'DRAFT 2'!$A:$A,"&gt;="&amp;DATE(2026,11,15),'DRAFT 2'!$A:$A,"&lt;="&amp;DATE(2026,11,21))</f>
        <v>0</v>
      </c>
      <c r="IG192">
        <f>COUNTIFS('DRAFT 2'!$D:$D,$B192,'DRAFT 2'!$A:$A,"&gt;="&amp;DATE(2026,11,22),'DRAFT 2'!$A:$A,"&lt;"&amp;DATE(2026,IF(11=12,11+1,11+1),1))</f>
        <v>0</v>
      </c>
      <c r="IH192">
        <f t="shared" si="82"/>
        <v>0</v>
      </c>
      <c r="IR192">
        <f>IFERROR(LOOKUP(2,1/('DRAFT 2'!$D:$D=$B192)*('DRAFT 2'!$A:$A&gt;=DATE(2026,12,1))*('DRAFT 2'!$A:$A&lt;DATE(2026,IF(12=12,12+1,12+1),1)),'DRAFT 2'!$A:$A),"")</f>
        <v>0</v>
      </c>
      <c r="IS192">
        <f>COUNTIFS('DRAFT 2'!$D:$D,$B192,'DRAFT 2'!$A:$A,"&gt;="&amp;DATE(2026,12,1),'DRAFT 2'!$A:$A,"&lt;="&amp;DATE(2026,12,7))</f>
        <v>0</v>
      </c>
      <c r="IT192">
        <f>COUNTIFS('DRAFT 2'!$D:$D,$B192,'DRAFT 2'!$A:$A,"&gt;="&amp;DATE(2026,12,8),'DRAFT 2'!$A:$A,"&lt;="&amp;DATE(2026,12,14))</f>
        <v>0</v>
      </c>
      <c r="IU192">
        <f>COUNTIFS('DRAFT 2'!$D:$D,$B192,'DRAFT 2'!$A:$A,"&gt;="&amp;DATE(2026,12,15),'DRAFT 2'!$A:$A,"&lt;="&amp;DATE(2026,12,21))</f>
        <v>0</v>
      </c>
      <c r="IV192">
        <f>COUNTIFS('DRAFT 2'!$D:$D,$B192,'DRAFT 2'!$A:$A,"&gt;="&amp;DATE(2026,12,22),'DRAFT 2'!$A:$A,"&lt;"&amp;DATE(2026,IF(12=12,12+1,12+1),1))</f>
        <v>0</v>
      </c>
      <c r="IW192">
        <f t="shared" si="83"/>
        <v>0</v>
      </c>
    </row>
    <row r="193" spans="1:257" x14ac:dyDescent="0.3">
      <c r="A193" t="str">
        <f>IFERROR(INDEX('DRAFT 1'!$A:$A,MATCH($B193,'DRAFT 1'!$B:$B,0)),"")</f>
        <v/>
      </c>
      <c r="C193" t="str">
        <f>IFERROR(INDEX('DRAFT 1'!$C:$C,MATCH($B193,'DRAFT 1'!$B:$B,0)),"")</f>
        <v/>
      </c>
      <c r="D193" t="str">
        <f>IFERROR(INDEX('DRAFT 1'!$D:$D,MATCH($B193,'DRAFT 1'!$B:$B,0)),"")</f>
        <v/>
      </c>
      <c r="E193" t="str">
        <f>IFERROR(INDEX('DRAFT 1'!$E:$E,MATCH($B193,'DRAFT 1'!$B:$B,0)),"")</f>
        <v/>
      </c>
      <c r="F193" t="str">
        <f>IFERROR(INDEX('DRAFT 1'!$F:$F,MATCH($B193,'DRAFT 1'!$B:$B,0)),"")</f>
        <v/>
      </c>
      <c r="G193" t="str">
        <f>IFERROR(INDEX('DRAFT 1'!$G:$G,MATCH($B193,'DRAFT 1'!$B:$B,0)),"")</f>
        <v/>
      </c>
      <c r="H193" t="str">
        <f>IFERROR(INDEX('DRAFT 1'!$H:$H,MATCH($B193,'DRAFT 1'!$B:$B,0)),"")</f>
        <v/>
      </c>
      <c r="I193" t="str">
        <f>IFERROR(INDEX('DRAFT 1'!$I:$I,MATCH($B193,'DRAFT 1'!$B:$B,0)),"")</f>
        <v/>
      </c>
      <c r="K193" t="str">
        <f>IFERROR(INDEX('DRAFT 1'!$AL:$AL,MATCH($B193,'DRAFT 1'!$B:$B,0)),"")</f>
        <v/>
      </c>
      <c r="L193" t="str">
        <f>IFERROR(INDEX('DRAFT 1'!$J:$J,MATCH($B193,'DRAFT 1'!$B:$B,0)),"")</f>
        <v/>
      </c>
      <c r="M193" t="str">
        <f>IFERROR(INDEX('DRAFT 1'!$K:$K,MATCH($B193,'DRAFT 1'!$B:$B,0)),"")</f>
        <v/>
      </c>
      <c r="P193" t="str">
        <f>IFERROR(INDEX('DRAFT 1'!$L:$L,MATCH($B193,'DRAFT 1'!$B:$B,0)),"")</f>
        <v/>
      </c>
      <c r="Q193" t="str">
        <f>IFERROR(INDEX('DRAFT 1'!$M:$M,MATCH($B193,'DRAFT 1'!$B:$B,0)),"")</f>
        <v/>
      </c>
      <c r="R193" t="str">
        <f>IFERROR(INDEX('DRAFT 1'!$N:$N,MATCH($B193,'DRAFT 1'!$B:$B,0)),"")</f>
        <v/>
      </c>
      <c r="S193" t="str">
        <f>IFERROR(INDEX('DRAFT 1'!$O:$O,MATCH($B193,'DRAFT 1'!$B:$B,0)),"")</f>
        <v/>
      </c>
      <c r="T193" t="str">
        <f>IFERROR(INDEX('DRAFT 1'!$P:$P,MATCH($B193,'DRAFT 1'!$B:$B,0)),"")</f>
        <v/>
      </c>
      <c r="U193" t="str">
        <f>IFERROR(INDEX('DRAFT 1'!$Q:$Q,MATCH($B193,'DRAFT 1'!$B:$B,0)),"")</f>
        <v/>
      </c>
      <c r="V193" t="str">
        <f>IFERROR(INDEX('DRAFT 1'!$R:$R,MATCH($B193,'DRAFT 1'!$B:$B,0)),"")</f>
        <v/>
      </c>
      <c r="W193" t="str">
        <f>IFERROR(INDEX('DRAFT 1'!$S:$S,MATCH($B193,'DRAFT 1'!$B:$B,0)),"")</f>
        <v/>
      </c>
      <c r="X193" t="str">
        <f>IFERROR(INDEX('DRAFT 1'!$T:$T,MATCH($B193,'DRAFT 1'!$B:$B,0)),"")</f>
        <v/>
      </c>
      <c r="Z193" t="str">
        <f>IFERROR(INDEX('DRAFT 1'!$U:$U,MATCH($B193,'DRAFT 1'!$B:$B,0)),"")</f>
        <v/>
      </c>
      <c r="AA193" t="str">
        <f>IFERROR(INDEX('DRAFT 1'!$V:$V,MATCH($B193,'DRAFT 1'!$B:$B,0)),"")</f>
        <v/>
      </c>
      <c r="AB193" t="str">
        <f>IFERROR(INDEX('DRAFT 1'!$W:$W,MATCH($B193,'DRAFT 1'!$B:$B,0)),"")</f>
        <v/>
      </c>
      <c r="AC193" t="str">
        <f>IFERROR(INDEX('DRAFT 1'!$X:$X,MATCH($B193,'DRAFT 1'!$B:$B,0)),"")</f>
        <v/>
      </c>
      <c r="AD193" t="str">
        <f>IFERROR(INDEX('DRAFT 1'!$Y:$Y,MATCH($B193,'DRAFT 1'!$B:$B,0)),"")</f>
        <v/>
      </c>
      <c r="AE193" t="str">
        <f>IFERROR(INDEX('DRAFT 1'!$Z:$Z,MATCH($B193,'DRAFT 1'!$B:$B,0)),"")</f>
        <v/>
      </c>
      <c r="AF193" t="str">
        <f>IFERROR(INDEX('DRAFT 1'!$AA:$AA,MATCH($B193,'DRAFT 1'!$B:$B,0)),"")</f>
        <v/>
      </c>
      <c r="AG193" t="str">
        <f>IFERROR(INDEX('DRAFT 1'!$AB:$AB,MATCH($B193,'DRAFT 1'!$B:$B,0)),"")</f>
        <v/>
      </c>
      <c r="AH193" t="str">
        <f>IFERROR(INDEX('DRAFT 1'!$AC:$AC,MATCH($B193,'DRAFT 1'!$B:$B,0)),"")</f>
        <v/>
      </c>
      <c r="AI193" t="str">
        <f>IFERROR(INDEX('DRAFT 1'!$AD:$AD,MATCH($B193,'DRAFT 1'!$B:$B,0)),"")</f>
        <v/>
      </c>
      <c r="AJ193" t="str">
        <f>IFERROR(INDEX('DRAFT 1'!$AE:$AE,MATCH($B193,'DRAFT 1'!$B:$B,0)),"")</f>
        <v/>
      </c>
      <c r="AK193" t="str">
        <f>IFERROR(INDEX('DRAFT 1'!$AG:$AG,MATCH($B193,'DRAFT 1'!$B:$B,0)),"")</f>
        <v/>
      </c>
      <c r="AL193" t="str">
        <f>IFERROR(INDEX('DRAFT 1'!$AH:$AH,MATCH($B193,'DRAFT 1'!$B:$B,0)),"")</f>
        <v/>
      </c>
      <c r="AM193" t="str">
        <f>IFERROR(INDEX('DRAFT 1'!$AI:$AI,MATCH($B193,'DRAFT 1'!$B:$B,0)),"")</f>
        <v/>
      </c>
      <c r="AN193" t="str">
        <f>IFERROR(INDEX('DRAFT 1'!$AJ:$AJ,MATCH($B193,'DRAFT 1'!$B:$B,0)),"")</f>
        <v/>
      </c>
      <c r="AO193">
        <f t="shared" si="70"/>
        <v>0</v>
      </c>
      <c r="AP193" t="str">
        <f>IFERROR(INDEX('DRAFT 1'!$AK:$AK,MATCH($B193,'DRAFT 1'!$B:$B,0)),"")</f>
        <v/>
      </c>
      <c r="AR193">
        <f>IFERROR(LOOKUP(2,1/('DRAFT 2'!$D:$D=$B193),'DRAFT 2'!$I:$I),"")</f>
        <v>0</v>
      </c>
      <c r="AS193">
        <f>IFERROR(LOOKUP(2,1/('DRAFT 2'!$D:$D=$B193),'DRAFT 2'!$T:$T),"")</f>
        <v>0</v>
      </c>
      <c r="AT193">
        <f>IFERROR(LOOKUP(2,1/('DRAFT 2'!$D:$D=$B193),'DRAFT 2'!$A:$A),"")</f>
        <v>0</v>
      </c>
      <c r="AU193">
        <f>IFERROR(LOOKUP(2,1/('DRAFT 2'!$D:$D=$B193),'DRAFT 2'!$R:$R),"")</f>
        <v>0</v>
      </c>
      <c r="AV193">
        <f>IFERROR(LOOKUP(2,1/('DRAFT 2'!$D:$D=$B193),'DRAFT 2'!$S:$S),"")</f>
        <v>0</v>
      </c>
      <c r="AX193">
        <f>IFERROR(LOOKUP(2,1/('DRAFT 2'!$D:$D=$B193),'DRAFT 2'!$M:$M),"")</f>
        <v>0</v>
      </c>
      <c r="AY193">
        <f>IFERROR(LOOKUP(2,1/('DRAFT 2'!$D:$D=$B193),'DRAFT 2'!$K:$K),"")</f>
        <v>0</v>
      </c>
      <c r="BG193">
        <f>IFERROR(LOOKUP(2,1/('DRAFT 2'!$D:$D=$B193),'DRAFT 2'!$U:$U),"")</f>
        <v>0</v>
      </c>
      <c r="BH193">
        <f>IFERROR(LOOKUP(2,1/('DRAFT 2'!$D:$D=$B193),'DRAFT 2'!$V:$V),"")</f>
        <v>0</v>
      </c>
      <c r="CE193" t="str">
        <f t="shared" si="71"/>
        <v/>
      </c>
      <c r="CF193">
        <f>IFERROR(LOOKUP(2,1/('DRAFT 2'!$D:$D=$B193)*('DRAFT 2'!$A:$A&gt;=DATE(2026,1,1))*('DRAFT 2'!$A:$A&lt;DATE(2026,IF(1=12,1+1,1+1),1)),'DRAFT 2'!$A:$A),"")</f>
        <v>0</v>
      </c>
      <c r="CG193">
        <f>COUNTIFS('DRAFT 2'!$D:$D,$B193,'DRAFT 2'!$A:$A,"&gt;="&amp;DATE(2026,1,1),'DRAFT 2'!$A:$A,"&lt;="&amp;DATE(2026,1,7))</f>
        <v>0</v>
      </c>
      <c r="CH193">
        <f>COUNTIFS('DRAFT 2'!$D:$D,$B193,'DRAFT 2'!$A:$A,"&gt;="&amp;DATE(2026,1,8),'DRAFT 2'!$A:$A,"&lt;="&amp;DATE(2026,1,14))</f>
        <v>0</v>
      </c>
      <c r="CI193">
        <f>COUNTIFS('DRAFT 2'!$D:$D,$B193,'DRAFT 2'!$A:$A,"&gt;="&amp;DATE(2026,1,15),'DRAFT 2'!$A:$A,"&lt;="&amp;DATE(2026,1,21))</f>
        <v>0</v>
      </c>
      <c r="CJ193">
        <f>COUNTIFS('DRAFT 2'!$D:$D,$B193,'DRAFT 2'!$A:$A,"&gt;="&amp;DATE(2026,1,22),'DRAFT 2'!$A:$A,"&lt;"&amp;DATE(2026,IF(1=12,1+1,1+1),1))</f>
        <v>0</v>
      </c>
      <c r="CK193">
        <f t="shared" si="72"/>
        <v>0</v>
      </c>
      <c r="CT193">
        <v>0</v>
      </c>
      <c r="CU193">
        <f>IFERROR(LOOKUP(2,1/('DRAFT 2'!$D:$D=$B193)*('DRAFT 2'!$A:$A&gt;=DATE(2026,2,1))*('DRAFT 2'!$A:$A&lt;DATE(2026,IF(2=12,2+1,2+1),1)),'DRAFT 2'!$A:$A),"")</f>
        <v>0</v>
      </c>
      <c r="CV193">
        <f>COUNTIFS('DRAFT 2'!$D:$D,$B193,'DRAFT 2'!$A:$A,"&gt;="&amp;DATE(2026,2,1),'DRAFT 2'!$A:$A,"&lt;="&amp;DATE(2026,2,7))</f>
        <v>0</v>
      </c>
      <c r="CW193">
        <f>COUNTIFS('DRAFT 2'!$D:$D,$B193,'DRAFT 2'!$A:$A,"&gt;="&amp;DATE(2026,2,8),'DRAFT 2'!$A:$A,"&lt;="&amp;DATE(2026,2,14))</f>
        <v>0</v>
      </c>
      <c r="CX193">
        <f>COUNTIFS('DRAFT 2'!$D:$D,$B193,'DRAFT 2'!$A:$A,"&gt;="&amp;DATE(2026,2,15),'DRAFT 2'!$A:$A,"&lt;="&amp;DATE(2026,2,21))</f>
        <v>0</v>
      </c>
      <c r="CY193">
        <f>COUNTIFS('DRAFT 2'!$D:$D,$B193,'DRAFT 2'!$A:$A,"&gt;="&amp;DATE(2026,2,22),'DRAFT 2'!$A:$A,"&lt;"&amp;DATE(2026,IF(2=12,2+1,2+1),1))</f>
        <v>0</v>
      </c>
      <c r="CZ193">
        <f t="shared" si="73"/>
        <v>0</v>
      </c>
      <c r="DJ193">
        <f>IFERROR(LOOKUP(2,1/('DRAFT 2'!$D:$D=$B193)*('DRAFT 2'!$A:$A&gt;=DATE(2026,3,1))*('DRAFT 2'!$A:$A&lt;DATE(2026,IF(3=12,3+1,3+1),1)),'DRAFT 2'!$A:$A),"")</f>
        <v>0</v>
      </c>
      <c r="DK193">
        <f>COUNTIFS('DRAFT 2'!$D:$D,$B193,'DRAFT 2'!$A:$A,"&gt;="&amp;DATE(2026,3,1),'DRAFT 2'!$A:$A,"&lt;="&amp;DATE(2026,3,7))</f>
        <v>0</v>
      </c>
      <c r="DL193">
        <f>COUNTIFS('DRAFT 2'!$D:$D,$B193,'DRAFT 2'!$A:$A,"&gt;="&amp;DATE(2026,3,8),'DRAFT 2'!$A:$A,"&lt;="&amp;DATE(2026,3,14))</f>
        <v>0</v>
      </c>
      <c r="DM193">
        <f>COUNTIFS('DRAFT 2'!$D:$D,$B193,'DRAFT 2'!$A:$A,"&gt;="&amp;DATE(2026,3,15),'DRAFT 2'!$A:$A,"&lt;="&amp;DATE(2026,3,21))</f>
        <v>0</v>
      </c>
      <c r="DN193">
        <f>COUNTIFS('DRAFT 2'!$D:$D,$B193,'DRAFT 2'!$A:$A,"&gt;="&amp;DATE(2026,3,22),'DRAFT 2'!$A:$A,"&lt;"&amp;DATE(2026,IF(3=12,3+1,3+1),1))</f>
        <v>0</v>
      </c>
      <c r="DO193">
        <f t="shared" si="74"/>
        <v>0</v>
      </c>
      <c r="DZ193">
        <f>IFERROR(LOOKUP(2,1/('DRAFT 2'!$D:$D=$B193)*('DRAFT 2'!$A:$A&gt;=DATE(2026,4,1))*('DRAFT 2'!$A:$A&lt;DATE(2026,IF(4=12,4+1,4+1),1)),'DRAFT 2'!$A:$A),"")</f>
        <v>0</v>
      </c>
      <c r="EA193">
        <f>COUNTIFS('DRAFT 2'!$D:$D,$B193,'DRAFT 2'!$A:$A,"&gt;="&amp;DATE(2026,4,1),'DRAFT 2'!$A:$A,"&lt;="&amp;DATE(2026,4,7))</f>
        <v>0</v>
      </c>
      <c r="EB193">
        <f>COUNTIFS('DRAFT 2'!$D:$D,$B193,'DRAFT 2'!$A:$A,"&gt;="&amp;DATE(2026,4,8),'DRAFT 2'!$A:$A,"&lt;="&amp;DATE(2026,4,14))</f>
        <v>0</v>
      </c>
      <c r="EC193">
        <f>COUNTIFS('DRAFT 2'!$D:$D,$B193,'DRAFT 2'!$A:$A,"&gt;="&amp;DATE(2026,4,15),'DRAFT 2'!$A:$A,"&lt;="&amp;DATE(2026,4,21))</f>
        <v>0</v>
      </c>
      <c r="ED193">
        <f>COUNTIFS('DRAFT 2'!$D:$D,$B193,'DRAFT 2'!$A:$A,"&gt;="&amp;DATE(2026,4,22),'DRAFT 2'!$A:$A,"&lt;"&amp;DATE(2026,IF(4=12,4+1,4+1),1))</f>
        <v>0</v>
      </c>
      <c r="EE193">
        <f t="shared" si="75"/>
        <v>0</v>
      </c>
      <c r="EO193">
        <f>IFERROR(LOOKUP(2,1/('DRAFT 2'!$D:$D=$B193)*('DRAFT 2'!$A:$A&gt;=DATE(2026,5,1))*('DRAFT 2'!$A:$A&lt;DATE(2026,IF(5=12,5+1,5+1),1)),'DRAFT 2'!$A:$A),"")</f>
        <v>0</v>
      </c>
      <c r="EP193">
        <f>COUNTIFS('DRAFT 2'!$D:$D,$B193,'DRAFT 2'!$A:$A,"&gt;="&amp;DATE(2026,5,1),'DRAFT 2'!$A:$A,"&lt;="&amp;DATE(2026,5,7))</f>
        <v>0</v>
      </c>
      <c r="EQ193">
        <f>COUNTIFS('DRAFT 2'!$D:$D,$B193,'DRAFT 2'!$A:$A,"&gt;="&amp;DATE(2026,5,8),'DRAFT 2'!$A:$A,"&lt;="&amp;DATE(2026,5,14))</f>
        <v>0</v>
      </c>
      <c r="ER193">
        <f>COUNTIFS('DRAFT 2'!$D:$D,$B193,'DRAFT 2'!$A:$A,"&gt;="&amp;DATE(2026,5,15),'DRAFT 2'!$A:$A,"&lt;="&amp;DATE(2026,5,21))</f>
        <v>0</v>
      </c>
      <c r="ES193">
        <f>COUNTIFS('DRAFT 2'!$D:$D,$B193,'DRAFT 2'!$A:$A,"&gt;="&amp;DATE(2026,5,22),'DRAFT 2'!$A:$A,"&lt;"&amp;DATE(2026,IF(5=12,5+1,5+1),1))</f>
        <v>0</v>
      </c>
      <c r="ET193">
        <f t="shared" si="76"/>
        <v>0</v>
      </c>
      <c r="FD193">
        <f>IFERROR(LOOKUP(2,1/('DRAFT 2'!$D:$D=$B193)*('DRAFT 2'!$A:$A&gt;=DATE(2026,6,1))*('DRAFT 2'!$A:$A&lt;DATE(2026,IF(6=12,6+1,6+1),1)),'DRAFT 2'!$A:$A),"")</f>
        <v>0</v>
      </c>
      <c r="FE193">
        <f>COUNTIFS('DRAFT 2'!$D:$D,$B193,'DRAFT 2'!$A:$A,"&gt;="&amp;DATE(2026,6,1),'DRAFT 2'!$A:$A,"&lt;="&amp;DATE(2026,6,7))</f>
        <v>0</v>
      </c>
      <c r="FF193">
        <f>COUNTIFS('DRAFT 2'!$D:$D,$B193,'DRAFT 2'!$A:$A,"&gt;="&amp;DATE(2026,6,8),'DRAFT 2'!$A:$A,"&lt;="&amp;DATE(2026,6,14))</f>
        <v>0</v>
      </c>
      <c r="FG193">
        <f>COUNTIFS('DRAFT 2'!$D:$D,$B193,'DRAFT 2'!$A:$A,"&gt;="&amp;DATE(2026,6,15),'DRAFT 2'!$A:$A,"&lt;="&amp;DATE(2026,6,21))</f>
        <v>0</v>
      </c>
      <c r="FH193">
        <f>COUNTIFS('DRAFT 2'!$D:$D,$B193,'DRAFT 2'!$A:$A,"&gt;="&amp;DATE(2026,6,22),'DRAFT 2'!$A:$A,"&lt;"&amp;DATE(2026,IF(6=12,6+1,6+1),1))</f>
        <v>0</v>
      </c>
      <c r="FI193">
        <f t="shared" si="77"/>
        <v>0</v>
      </c>
      <c r="FT193">
        <f>IFERROR(LOOKUP(2,1/('DRAFT 2'!$D:$D=$B193)*('DRAFT 2'!$A:$A&gt;=DATE(2026,7,1))*('DRAFT 2'!$A:$A&lt;DATE(2026,IF(7=12,7+1,7+1),1)),'DRAFT 2'!$A:$A),"")</f>
        <v>0</v>
      </c>
      <c r="FU193">
        <f>COUNTIFS('DRAFT 2'!$D:$D,$B193,'DRAFT 2'!$A:$A,"&gt;="&amp;DATE(2026,7,1),'DRAFT 2'!$A:$A,"&lt;="&amp;DATE(2026,7,7))</f>
        <v>0</v>
      </c>
      <c r="FV193">
        <f>COUNTIFS('DRAFT 2'!$D:$D,$B193,'DRAFT 2'!$A:$A,"&gt;="&amp;DATE(2026,7,8),'DRAFT 2'!$A:$A,"&lt;="&amp;DATE(2026,7,14))</f>
        <v>0</v>
      </c>
      <c r="FW193">
        <f>COUNTIFS('DRAFT 2'!$D:$D,$B193,'DRAFT 2'!$A:$A,"&gt;="&amp;DATE(2026,7,15),'DRAFT 2'!$A:$A,"&lt;="&amp;DATE(2026,7,21))</f>
        <v>0</v>
      </c>
      <c r="FX193">
        <f>COUNTIFS('DRAFT 2'!$D:$D,$B193,'DRAFT 2'!$A:$A,"&gt;="&amp;DATE(2026,7,22),'DRAFT 2'!$A:$A,"&lt;"&amp;DATE(2026,IF(7=12,7+1,7+1),1))</f>
        <v>0</v>
      </c>
      <c r="FY193">
        <f t="shared" si="78"/>
        <v>0</v>
      </c>
      <c r="GI193">
        <f>IFERROR(LOOKUP(2,1/('DRAFT 2'!$D:$D=$B193)*('DRAFT 2'!$A:$A&gt;=DATE(2026,8,1))*('DRAFT 2'!$A:$A&lt;DATE(2026,IF(8=12,8+1,8+1),1)),'DRAFT 2'!$A:$A),"")</f>
        <v>0</v>
      </c>
      <c r="GJ193">
        <f>COUNTIFS('DRAFT 2'!$D:$D,$B193,'DRAFT 2'!$A:$A,"&gt;="&amp;DATE(2026,8,1),'DRAFT 2'!$A:$A,"&lt;="&amp;DATE(2026,8,7))</f>
        <v>0</v>
      </c>
      <c r="GK193">
        <f>COUNTIFS('DRAFT 2'!$D:$D,$B193,'DRAFT 2'!$A:$A,"&gt;="&amp;DATE(2026,8,8),'DRAFT 2'!$A:$A,"&lt;="&amp;DATE(2026,8,14))</f>
        <v>0</v>
      </c>
      <c r="GL193">
        <f>COUNTIFS('DRAFT 2'!$D:$D,$B193,'DRAFT 2'!$A:$A,"&gt;="&amp;DATE(2026,8,15),'DRAFT 2'!$A:$A,"&lt;="&amp;DATE(2026,8,21))</f>
        <v>0</v>
      </c>
      <c r="GM193">
        <f>COUNTIFS('DRAFT 2'!$D:$D,$B193,'DRAFT 2'!$A:$A,"&gt;="&amp;DATE(2026,8,22),'DRAFT 2'!$A:$A,"&lt;"&amp;DATE(2026,IF(8=12,8+1,8+1),1))</f>
        <v>0</v>
      </c>
      <c r="GN193">
        <f t="shared" si="79"/>
        <v>0</v>
      </c>
      <c r="GX193">
        <f>IFERROR(LOOKUP(2,1/('DRAFT 2'!$D:$D=$B193)*('DRAFT 2'!$A:$A&gt;=DATE(2026,9,1))*('DRAFT 2'!$A:$A&lt;DATE(2026,IF(9=12,9+1,9+1),1)),'DRAFT 2'!$A:$A),"")</f>
        <v>0</v>
      </c>
      <c r="GY193">
        <f>COUNTIFS('DRAFT 2'!$D:$D,$B193,'DRAFT 2'!$A:$A,"&gt;="&amp;DATE(2026,9,1),'DRAFT 2'!$A:$A,"&lt;="&amp;DATE(2026,9,7))</f>
        <v>0</v>
      </c>
      <c r="GZ193">
        <f>COUNTIFS('DRAFT 2'!$D:$D,$B193,'DRAFT 2'!$A:$A,"&gt;="&amp;DATE(2026,9,8),'DRAFT 2'!$A:$A,"&lt;="&amp;DATE(2026,9,14))</f>
        <v>0</v>
      </c>
      <c r="HA193">
        <f>COUNTIFS('DRAFT 2'!$D:$D,$B193,'DRAFT 2'!$A:$A,"&gt;="&amp;DATE(2026,9,15),'DRAFT 2'!$A:$A,"&lt;="&amp;DATE(2026,9,21))</f>
        <v>0</v>
      </c>
      <c r="HB193">
        <f>COUNTIFS('DRAFT 2'!$D:$D,$B193,'DRAFT 2'!$A:$A,"&gt;="&amp;DATE(2026,9,22),'DRAFT 2'!$A:$A,"&lt;"&amp;DATE(2026,IF(9=12,9+1,9+1),1))</f>
        <v>0</v>
      </c>
      <c r="HC193">
        <f t="shared" si="80"/>
        <v>0</v>
      </c>
      <c r="HN193">
        <f>IFERROR(LOOKUP(2,1/('DRAFT 2'!$D:$D=$B193)*('DRAFT 2'!$A:$A&gt;=DATE(2026,10,1))*('DRAFT 2'!$A:$A&lt;DATE(2026,IF(10=12,10+1,10+1),1)),'DRAFT 2'!$A:$A),"")</f>
        <v>0</v>
      </c>
      <c r="HO193">
        <f>COUNTIFS('DRAFT 2'!$D:$D,$B193,'DRAFT 2'!$A:$A,"&gt;="&amp;DATE(2026,10,1),'DRAFT 2'!$A:$A,"&lt;="&amp;DATE(2026,10,7))</f>
        <v>0</v>
      </c>
      <c r="HP193">
        <f>COUNTIFS('DRAFT 2'!$D:$D,$B193,'DRAFT 2'!$A:$A,"&gt;="&amp;DATE(2026,10,8),'DRAFT 2'!$A:$A,"&lt;="&amp;DATE(2026,10,14))</f>
        <v>0</v>
      </c>
      <c r="HQ193">
        <f>COUNTIFS('DRAFT 2'!$D:$D,$B193,'DRAFT 2'!$A:$A,"&gt;="&amp;DATE(2026,10,15),'DRAFT 2'!$A:$A,"&lt;="&amp;DATE(2026,10,21))</f>
        <v>0</v>
      </c>
      <c r="HR193">
        <f>COUNTIFS('DRAFT 2'!$D:$D,$B193,'DRAFT 2'!$A:$A,"&gt;="&amp;DATE(2026,10,22),'DRAFT 2'!$A:$A,"&lt;"&amp;DATE(2026,IF(10=12,10+1,10+1),1))</f>
        <v>0</v>
      </c>
      <c r="HS193">
        <f t="shared" si="81"/>
        <v>0</v>
      </c>
      <c r="IC193">
        <f>IFERROR(LOOKUP(2,1/('DRAFT 2'!$D:$D=$B193)*('DRAFT 2'!$A:$A&gt;=DATE(2026,11,1))*('DRAFT 2'!$A:$A&lt;DATE(2026,IF(11=12,11+1,11+1),1)),'DRAFT 2'!$A:$A),"")</f>
        <v>0</v>
      </c>
      <c r="ID193">
        <f>COUNTIFS('DRAFT 2'!$D:$D,$B193,'DRAFT 2'!$A:$A,"&gt;="&amp;DATE(2026,11,1),'DRAFT 2'!$A:$A,"&lt;="&amp;DATE(2026,11,7))</f>
        <v>0</v>
      </c>
      <c r="IE193">
        <f>COUNTIFS('DRAFT 2'!$D:$D,$B193,'DRAFT 2'!$A:$A,"&gt;="&amp;DATE(2026,11,8),'DRAFT 2'!$A:$A,"&lt;="&amp;DATE(2026,11,14))</f>
        <v>0</v>
      </c>
      <c r="IF193">
        <f>COUNTIFS('DRAFT 2'!$D:$D,$B193,'DRAFT 2'!$A:$A,"&gt;="&amp;DATE(2026,11,15),'DRAFT 2'!$A:$A,"&lt;="&amp;DATE(2026,11,21))</f>
        <v>0</v>
      </c>
      <c r="IG193">
        <f>COUNTIFS('DRAFT 2'!$D:$D,$B193,'DRAFT 2'!$A:$A,"&gt;="&amp;DATE(2026,11,22),'DRAFT 2'!$A:$A,"&lt;"&amp;DATE(2026,IF(11=12,11+1,11+1),1))</f>
        <v>0</v>
      </c>
      <c r="IH193">
        <f t="shared" si="82"/>
        <v>0</v>
      </c>
      <c r="IR193">
        <f>IFERROR(LOOKUP(2,1/('DRAFT 2'!$D:$D=$B193)*('DRAFT 2'!$A:$A&gt;=DATE(2026,12,1))*('DRAFT 2'!$A:$A&lt;DATE(2026,IF(12=12,12+1,12+1),1)),'DRAFT 2'!$A:$A),"")</f>
        <v>0</v>
      </c>
      <c r="IS193">
        <f>COUNTIFS('DRAFT 2'!$D:$D,$B193,'DRAFT 2'!$A:$A,"&gt;="&amp;DATE(2026,12,1),'DRAFT 2'!$A:$A,"&lt;="&amp;DATE(2026,12,7))</f>
        <v>0</v>
      </c>
      <c r="IT193">
        <f>COUNTIFS('DRAFT 2'!$D:$D,$B193,'DRAFT 2'!$A:$A,"&gt;="&amp;DATE(2026,12,8),'DRAFT 2'!$A:$A,"&lt;="&amp;DATE(2026,12,14))</f>
        <v>0</v>
      </c>
      <c r="IU193">
        <f>COUNTIFS('DRAFT 2'!$D:$D,$B193,'DRAFT 2'!$A:$A,"&gt;="&amp;DATE(2026,12,15),'DRAFT 2'!$A:$A,"&lt;="&amp;DATE(2026,12,21))</f>
        <v>0</v>
      </c>
      <c r="IV193">
        <f>COUNTIFS('DRAFT 2'!$D:$D,$B193,'DRAFT 2'!$A:$A,"&gt;="&amp;DATE(2026,12,22),'DRAFT 2'!$A:$A,"&lt;"&amp;DATE(2026,IF(12=12,12+1,12+1),1))</f>
        <v>0</v>
      </c>
      <c r="IW193">
        <f t="shared" si="83"/>
        <v>0</v>
      </c>
    </row>
    <row r="194" spans="1:257" x14ac:dyDescent="0.3">
      <c r="A194" t="str">
        <f>IFERROR(INDEX('DRAFT 1'!$A:$A,MATCH($B194,'DRAFT 1'!$B:$B,0)),"")</f>
        <v/>
      </c>
      <c r="C194" t="str">
        <f>IFERROR(INDEX('DRAFT 1'!$C:$C,MATCH($B194,'DRAFT 1'!$B:$B,0)),"")</f>
        <v/>
      </c>
      <c r="D194" t="str">
        <f>IFERROR(INDEX('DRAFT 1'!$D:$D,MATCH($B194,'DRAFT 1'!$B:$B,0)),"")</f>
        <v/>
      </c>
      <c r="E194" t="str">
        <f>IFERROR(INDEX('DRAFT 1'!$E:$E,MATCH($B194,'DRAFT 1'!$B:$B,0)),"")</f>
        <v/>
      </c>
      <c r="F194" t="str">
        <f>IFERROR(INDEX('DRAFT 1'!$F:$F,MATCH($B194,'DRAFT 1'!$B:$B,0)),"")</f>
        <v/>
      </c>
      <c r="G194" t="str">
        <f>IFERROR(INDEX('DRAFT 1'!$G:$G,MATCH($B194,'DRAFT 1'!$B:$B,0)),"")</f>
        <v/>
      </c>
      <c r="H194" t="str">
        <f>IFERROR(INDEX('DRAFT 1'!$H:$H,MATCH($B194,'DRAFT 1'!$B:$B,0)),"")</f>
        <v/>
      </c>
      <c r="I194" t="str">
        <f>IFERROR(INDEX('DRAFT 1'!$I:$I,MATCH($B194,'DRAFT 1'!$B:$B,0)),"")</f>
        <v/>
      </c>
      <c r="K194" t="str">
        <f>IFERROR(INDEX('DRAFT 1'!$AL:$AL,MATCH($B194,'DRAFT 1'!$B:$B,0)),"")</f>
        <v/>
      </c>
      <c r="L194" t="str">
        <f>IFERROR(INDEX('DRAFT 1'!$J:$J,MATCH($B194,'DRAFT 1'!$B:$B,0)),"")</f>
        <v/>
      </c>
      <c r="M194" t="str">
        <f>IFERROR(INDEX('DRAFT 1'!$K:$K,MATCH($B194,'DRAFT 1'!$B:$B,0)),"")</f>
        <v/>
      </c>
      <c r="P194" t="str">
        <f>IFERROR(INDEX('DRAFT 1'!$L:$L,MATCH($B194,'DRAFT 1'!$B:$B,0)),"")</f>
        <v/>
      </c>
      <c r="Q194" t="str">
        <f>IFERROR(INDEX('DRAFT 1'!$M:$M,MATCH($B194,'DRAFT 1'!$B:$B,0)),"")</f>
        <v/>
      </c>
      <c r="R194" t="str">
        <f>IFERROR(INDEX('DRAFT 1'!$N:$N,MATCH($B194,'DRAFT 1'!$B:$B,0)),"")</f>
        <v/>
      </c>
      <c r="S194" t="str">
        <f>IFERROR(INDEX('DRAFT 1'!$O:$O,MATCH($B194,'DRAFT 1'!$B:$B,0)),"")</f>
        <v/>
      </c>
      <c r="T194" t="str">
        <f>IFERROR(INDEX('DRAFT 1'!$P:$P,MATCH($B194,'DRAFT 1'!$B:$B,0)),"")</f>
        <v/>
      </c>
      <c r="U194" t="str">
        <f>IFERROR(INDEX('DRAFT 1'!$Q:$Q,MATCH($B194,'DRAFT 1'!$B:$B,0)),"")</f>
        <v/>
      </c>
      <c r="V194" t="str">
        <f>IFERROR(INDEX('DRAFT 1'!$R:$R,MATCH($B194,'DRAFT 1'!$B:$B,0)),"")</f>
        <v/>
      </c>
      <c r="W194" t="str">
        <f>IFERROR(INDEX('DRAFT 1'!$S:$S,MATCH($B194,'DRAFT 1'!$B:$B,0)),"")</f>
        <v/>
      </c>
      <c r="X194" t="str">
        <f>IFERROR(INDEX('DRAFT 1'!$T:$T,MATCH($B194,'DRAFT 1'!$B:$B,0)),"")</f>
        <v/>
      </c>
      <c r="Z194" t="str">
        <f>IFERROR(INDEX('DRAFT 1'!$U:$U,MATCH($B194,'DRAFT 1'!$B:$B,0)),"")</f>
        <v/>
      </c>
      <c r="AA194" t="str">
        <f>IFERROR(INDEX('DRAFT 1'!$V:$V,MATCH($B194,'DRAFT 1'!$B:$B,0)),"")</f>
        <v/>
      </c>
      <c r="AB194" t="str">
        <f>IFERROR(INDEX('DRAFT 1'!$W:$W,MATCH($B194,'DRAFT 1'!$B:$B,0)),"")</f>
        <v/>
      </c>
      <c r="AC194" t="str">
        <f>IFERROR(INDEX('DRAFT 1'!$X:$X,MATCH($B194,'DRAFT 1'!$B:$B,0)),"")</f>
        <v/>
      </c>
      <c r="AD194" t="str">
        <f>IFERROR(INDEX('DRAFT 1'!$Y:$Y,MATCH($B194,'DRAFT 1'!$B:$B,0)),"")</f>
        <v/>
      </c>
      <c r="AE194" t="str">
        <f>IFERROR(INDEX('DRAFT 1'!$Z:$Z,MATCH($B194,'DRAFT 1'!$B:$B,0)),"")</f>
        <v/>
      </c>
      <c r="AF194" t="str">
        <f>IFERROR(INDEX('DRAFT 1'!$AA:$AA,MATCH($B194,'DRAFT 1'!$B:$B,0)),"")</f>
        <v/>
      </c>
      <c r="AG194" t="str">
        <f>IFERROR(INDEX('DRAFT 1'!$AB:$AB,MATCH($B194,'DRAFT 1'!$B:$B,0)),"")</f>
        <v/>
      </c>
      <c r="AH194" t="str">
        <f>IFERROR(INDEX('DRAFT 1'!$AC:$AC,MATCH($B194,'DRAFT 1'!$B:$B,0)),"")</f>
        <v/>
      </c>
      <c r="AI194" t="str">
        <f>IFERROR(INDEX('DRAFT 1'!$AD:$AD,MATCH($B194,'DRAFT 1'!$B:$B,0)),"")</f>
        <v/>
      </c>
      <c r="AJ194" t="str">
        <f>IFERROR(INDEX('DRAFT 1'!$AE:$AE,MATCH($B194,'DRAFT 1'!$B:$B,0)),"")</f>
        <v/>
      </c>
      <c r="AK194" t="str">
        <f>IFERROR(INDEX('DRAFT 1'!$AG:$AG,MATCH($B194,'DRAFT 1'!$B:$B,0)),"")</f>
        <v/>
      </c>
      <c r="AL194" t="str">
        <f>IFERROR(INDEX('DRAFT 1'!$AH:$AH,MATCH($B194,'DRAFT 1'!$B:$B,0)),"")</f>
        <v/>
      </c>
      <c r="AM194" t="str">
        <f>IFERROR(INDEX('DRAFT 1'!$AI:$AI,MATCH($B194,'DRAFT 1'!$B:$B,0)),"")</f>
        <v/>
      </c>
      <c r="AN194" t="str">
        <f>IFERROR(INDEX('DRAFT 1'!$AJ:$AJ,MATCH($B194,'DRAFT 1'!$B:$B,0)),"")</f>
        <v/>
      </c>
      <c r="AO194">
        <f t="shared" si="70"/>
        <v>0</v>
      </c>
      <c r="AP194" t="str">
        <f>IFERROR(INDEX('DRAFT 1'!$AK:$AK,MATCH($B194,'DRAFT 1'!$B:$B,0)),"")</f>
        <v/>
      </c>
      <c r="AR194">
        <f>IFERROR(LOOKUP(2,1/('DRAFT 2'!$D:$D=$B194),'DRAFT 2'!$I:$I),"")</f>
        <v>0</v>
      </c>
      <c r="AS194">
        <f>IFERROR(LOOKUP(2,1/('DRAFT 2'!$D:$D=$B194),'DRAFT 2'!$T:$T),"")</f>
        <v>0</v>
      </c>
      <c r="AT194">
        <f>IFERROR(LOOKUP(2,1/('DRAFT 2'!$D:$D=$B194),'DRAFT 2'!$A:$A),"")</f>
        <v>0</v>
      </c>
      <c r="AU194">
        <f>IFERROR(LOOKUP(2,1/('DRAFT 2'!$D:$D=$B194),'DRAFT 2'!$R:$R),"")</f>
        <v>0</v>
      </c>
      <c r="AV194">
        <f>IFERROR(LOOKUP(2,1/('DRAFT 2'!$D:$D=$B194),'DRAFT 2'!$S:$S),"")</f>
        <v>0</v>
      </c>
      <c r="AX194">
        <f>IFERROR(LOOKUP(2,1/('DRAFT 2'!$D:$D=$B194),'DRAFT 2'!$M:$M),"")</f>
        <v>0</v>
      </c>
      <c r="AY194">
        <f>IFERROR(LOOKUP(2,1/('DRAFT 2'!$D:$D=$B194),'DRAFT 2'!$K:$K),"")</f>
        <v>0</v>
      </c>
      <c r="BG194">
        <f>IFERROR(LOOKUP(2,1/('DRAFT 2'!$D:$D=$B194),'DRAFT 2'!$U:$U),"")</f>
        <v>0</v>
      </c>
      <c r="BH194">
        <f>IFERROR(LOOKUP(2,1/('DRAFT 2'!$D:$D=$B194),'DRAFT 2'!$V:$V),"")</f>
        <v>0</v>
      </c>
      <c r="CE194" t="str">
        <f t="shared" si="71"/>
        <v/>
      </c>
      <c r="CF194">
        <f>IFERROR(LOOKUP(2,1/('DRAFT 2'!$D:$D=$B194)*('DRAFT 2'!$A:$A&gt;=DATE(2026,1,1))*('DRAFT 2'!$A:$A&lt;DATE(2026,IF(1=12,1+1,1+1),1)),'DRAFT 2'!$A:$A),"")</f>
        <v>0</v>
      </c>
      <c r="CG194">
        <f>COUNTIFS('DRAFT 2'!$D:$D,$B194,'DRAFT 2'!$A:$A,"&gt;="&amp;DATE(2026,1,1),'DRAFT 2'!$A:$A,"&lt;="&amp;DATE(2026,1,7))</f>
        <v>0</v>
      </c>
      <c r="CH194">
        <f>COUNTIFS('DRAFT 2'!$D:$D,$B194,'DRAFT 2'!$A:$A,"&gt;="&amp;DATE(2026,1,8),'DRAFT 2'!$A:$A,"&lt;="&amp;DATE(2026,1,14))</f>
        <v>0</v>
      </c>
      <c r="CI194">
        <f>COUNTIFS('DRAFT 2'!$D:$D,$B194,'DRAFT 2'!$A:$A,"&gt;="&amp;DATE(2026,1,15),'DRAFT 2'!$A:$A,"&lt;="&amp;DATE(2026,1,21))</f>
        <v>0</v>
      </c>
      <c r="CJ194">
        <f>COUNTIFS('DRAFT 2'!$D:$D,$B194,'DRAFT 2'!$A:$A,"&gt;="&amp;DATE(2026,1,22),'DRAFT 2'!$A:$A,"&lt;"&amp;DATE(2026,IF(1=12,1+1,1+1),1))</f>
        <v>0</v>
      </c>
      <c r="CK194">
        <f t="shared" si="72"/>
        <v>0</v>
      </c>
      <c r="CT194">
        <v>0</v>
      </c>
      <c r="CU194">
        <f>IFERROR(LOOKUP(2,1/('DRAFT 2'!$D:$D=$B194)*('DRAFT 2'!$A:$A&gt;=DATE(2026,2,1))*('DRAFT 2'!$A:$A&lt;DATE(2026,IF(2=12,2+1,2+1),1)),'DRAFT 2'!$A:$A),"")</f>
        <v>0</v>
      </c>
      <c r="CV194">
        <f>COUNTIFS('DRAFT 2'!$D:$D,$B194,'DRAFT 2'!$A:$A,"&gt;="&amp;DATE(2026,2,1),'DRAFT 2'!$A:$A,"&lt;="&amp;DATE(2026,2,7))</f>
        <v>0</v>
      </c>
      <c r="CW194">
        <f>COUNTIFS('DRAFT 2'!$D:$D,$B194,'DRAFT 2'!$A:$A,"&gt;="&amp;DATE(2026,2,8),'DRAFT 2'!$A:$A,"&lt;="&amp;DATE(2026,2,14))</f>
        <v>0</v>
      </c>
      <c r="CX194">
        <f>COUNTIFS('DRAFT 2'!$D:$D,$B194,'DRAFT 2'!$A:$A,"&gt;="&amp;DATE(2026,2,15),'DRAFT 2'!$A:$A,"&lt;="&amp;DATE(2026,2,21))</f>
        <v>0</v>
      </c>
      <c r="CY194">
        <f>COUNTIFS('DRAFT 2'!$D:$D,$B194,'DRAFT 2'!$A:$A,"&gt;="&amp;DATE(2026,2,22),'DRAFT 2'!$A:$A,"&lt;"&amp;DATE(2026,IF(2=12,2+1,2+1),1))</f>
        <v>0</v>
      </c>
      <c r="CZ194">
        <f t="shared" si="73"/>
        <v>0</v>
      </c>
      <c r="DJ194">
        <f>IFERROR(LOOKUP(2,1/('DRAFT 2'!$D:$D=$B194)*('DRAFT 2'!$A:$A&gt;=DATE(2026,3,1))*('DRAFT 2'!$A:$A&lt;DATE(2026,IF(3=12,3+1,3+1),1)),'DRAFT 2'!$A:$A),"")</f>
        <v>0</v>
      </c>
      <c r="DK194">
        <f>COUNTIFS('DRAFT 2'!$D:$D,$B194,'DRAFT 2'!$A:$A,"&gt;="&amp;DATE(2026,3,1),'DRAFT 2'!$A:$A,"&lt;="&amp;DATE(2026,3,7))</f>
        <v>0</v>
      </c>
      <c r="DL194">
        <f>COUNTIFS('DRAFT 2'!$D:$D,$B194,'DRAFT 2'!$A:$A,"&gt;="&amp;DATE(2026,3,8),'DRAFT 2'!$A:$A,"&lt;="&amp;DATE(2026,3,14))</f>
        <v>0</v>
      </c>
      <c r="DM194">
        <f>COUNTIFS('DRAFT 2'!$D:$D,$B194,'DRAFT 2'!$A:$A,"&gt;="&amp;DATE(2026,3,15),'DRAFT 2'!$A:$A,"&lt;="&amp;DATE(2026,3,21))</f>
        <v>0</v>
      </c>
      <c r="DN194">
        <f>COUNTIFS('DRAFT 2'!$D:$D,$B194,'DRAFT 2'!$A:$A,"&gt;="&amp;DATE(2026,3,22),'DRAFT 2'!$A:$A,"&lt;"&amp;DATE(2026,IF(3=12,3+1,3+1),1))</f>
        <v>0</v>
      </c>
      <c r="DO194">
        <f t="shared" si="74"/>
        <v>0</v>
      </c>
      <c r="DZ194">
        <f>IFERROR(LOOKUP(2,1/('DRAFT 2'!$D:$D=$B194)*('DRAFT 2'!$A:$A&gt;=DATE(2026,4,1))*('DRAFT 2'!$A:$A&lt;DATE(2026,IF(4=12,4+1,4+1),1)),'DRAFT 2'!$A:$A),"")</f>
        <v>0</v>
      </c>
      <c r="EA194">
        <f>COUNTIFS('DRAFT 2'!$D:$D,$B194,'DRAFT 2'!$A:$A,"&gt;="&amp;DATE(2026,4,1),'DRAFT 2'!$A:$A,"&lt;="&amp;DATE(2026,4,7))</f>
        <v>0</v>
      </c>
      <c r="EB194">
        <f>COUNTIFS('DRAFT 2'!$D:$D,$B194,'DRAFT 2'!$A:$A,"&gt;="&amp;DATE(2026,4,8),'DRAFT 2'!$A:$A,"&lt;="&amp;DATE(2026,4,14))</f>
        <v>0</v>
      </c>
      <c r="EC194">
        <f>COUNTIFS('DRAFT 2'!$D:$D,$B194,'DRAFT 2'!$A:$A,"&gt;="&amp;DATE(2026,4,15),'DRAFT 2'!$A:$A,"&lt;="&amp;DATE(2026,4,21))</f>
        <v>0</v>
      </c>
      <c r="ED194">
        <f>COUNTIFS('DRAFT 2'!$D:$D,$B194,'DRAFT 2'!$A:$A,"&gt;="&amp;DATE(2026,4,22),'DRAFT 2'!$A:$A,"&lt;"&amp;DATE(2026,IF(4=12,4+1,4+1),1))</f>
        <v>0</v>
      </c>
      <c r="EE194">
        <f t="shared" si="75"/>
        <v>0</v>
      </c>
      <c r="EO194">
        <f>IFERROR(LOOKUP(2,1/('DRAFT 2'!$D:$D=$B194)*('DRAFT 2'!$A:$A&gt;=DATE(2026,5,1))*('DRAFT 2'!$A:$A&lt;DATE(2026,IF(5=12,5+1,5+1),1)),'DRAFT 2'!$A:$A),"")</f>
        <v>0</v>
      </c>
      <c r="EP194">
        <f>COUNTIFS('DRAFT 2'!$D:$D,$B194,'DRAFT 2'!$A:$A,"&gt;="&amp;DATE(2026,5,1),'DRAFT 2'!$A:$A,"&lt;="&amp;DATE(2026,5,7))</f>
        <v>0</v>
      </c>
      <c r="EQ194">
        <f>COUNTIFS('DRAFT 2'!$D:$D,$B194,'DRAFT 2'!$A:$A,"&gt;="&amp;DATE(2026,5,8),'DRAFT 2'!$A:$A,"&lt;="&amp;DATE(2026,5,14))</f>
        <v>0</v>
      </c>
      <c r="ER194">
        <f>COUNTIFS('DRAFT 2'!$D:$D,$B194,'DRAFT 2'!$A:$A,"&gt;="&amp;DATE(2026,5,15),'DRAFT 2'!$A:$A,"&lt;="&amp;DATE(2026,5,21))</f>
        <v>0</v>
      </c>
      <c r="ES194">
        <f>COUNTIFS('DRAFT 2'!$D:$D,$B194,'DRAFT 2'!$A:$A,"&gt;="&amp;DATE(2026,5,22),'DRAFT 2'!$A:$A,"&lt;"&amp;DATE(2026,IF(5=12,5+1,5+1),1))</f>
        <v>0</v>
      </c>
      <c r="ET194">
        <f t="shared" si="76"/>
        <v>0</v>
      </c>
      <c r="FD194">
        <f>IFERROR(LOOKUP(2,1/('DRAFT 2'!$D:$D=$B194)*('DRAFT 2'!$A:$A&gt;=DATE(2026,6,1))*('DRAFT 2'!$A:$A&lt;DATE(2026,IF(6=12,6+1,6+1),1)),'DRAFT 2'!$A:$A),"")</f>
        <v>0</v>
      </c>
      <c r="FE194">
        <f>COUNTIFS('DRAFT 2'!$D:$D,$B194,'DRAFT 2'!$A:$A,"&gt;="&amp;DATE(2026,6,1),'DRAFT 2'!$A:$A,"&lt;="&amp;DATE(2026,6,7))</f>
        <v>0</v>
      </c>
      <c r="FF194">
        <f>COUNTIFS('DRAFT 2'!$D:$D,$B194,'DRAFT 2'!$A:$A,"&gt;="&amp;DATE(2026,6,8),'DRAFT 2'!$A:$A,"&lt;="&amp;DATE(2026,6,14))</f>
        <v>0</v>
      </c>
      <c r="FG194">
        <f>COUNTIFS('DRAFT 2'!$D:$D,$B194,'DRAFT 2'!$A:$A,"&gt;="&amp;DATE(2026,6,15),'DRAFT 2'!$A:$A,"&lt;="&amp;DATE(2026,6,21))</f>
        <v>0</v>
      </c>
      <c r="FH194">
        <f>COUNTIFS('DRAFT 2'!$D:$D,$B194,'DRAFT 2'!$A:$A,"&gt;="&amp;DATE(2026,6,22),'DRAFT 2'!$A:$A,"&lt;"&amp;DATE(2026,IF(6=12,6+1,6+1),1))</f>
        <v>0</v>
      </c>
      <c r="FI194">
        <f t="shared" si="77"/>
        <v>0</v>
      </c>
      <c r="FT194">
        <f>IFERROR(LOOKUP(2,1/('DRAFT 2'!$D:$D=$B194)*('DRAFT 2'!$A:$A&gt;=DATE(2026,7,1))*('DRAFT 2'!$A:$A&lt;DATE(2026,IF(7=12,7+1,7+1),1)),'DRAFT 2'!$A:$A),"")</f>
        <v>0</v>
      </c>
      <c r="FU194">
        <f>COUNTIFS('DRAFT 2'!$D:$D,$B194,'DRAFT 2'!$A:$A,"&gt;="&amp;DATE(2026,7,1),'DRAFT 2'!$A:$A,"&lt;="&amp;DATE(2026,7,7))</f>
        <v>0</v>
      </c>
      <c r="FV194">
        <f>COUNTIFS('DRAFT 2'!$D:$D,$B194,'DRAFT 2'!$A:$A,"&gt;="&amp;DATE(2026,7,8),'DRAFT 2'!$A:$A,"&lt;="&amp;DATE(2026,7,14))</f>
        <v>0</v>
      </c>
      <c r="FW194">
        <f>COUNTIFS('DRAFT 2'!$D:$D,$B194,'DRAFT 2'!$A:$A,"&gt;="&amp;DATE(2026,7,15),'DRAFT 2'!$A:$A,"&lt;="&amp;DATE(2026,7,21))</f>
        <v>0</v>
      </c>
      <c r="FX194">
        <f>COUNTIFS('DRAFT 2'!$D:$D,$B194,'DRAFT 2'!$A:$A,"&gt;="&amp;DATE(2026,7,22),'DRAFT 2'!$A:$A,"&lt;"&amp;DATE(2026,IF(7=12,7+1,7+1),1))</f>
        <v>0</v>
      </c>
      <c r="FY194">
        <f t="shared" si="78"/>
        <v>0</v>
      </c>
      <c r="GI194">
        <f>IFERROR(LOOKUP(2,1/('DRAFT 2'!$D:$D=$B194)*('DRAFT 2'!$A:$A&gt;=DATE(2026,8,1))*('DRAFT 2'!$A:$A&lt;DATE(2026,IF(8=12,8+1,8+1),1)),'DRAFT 2'!$A:$A),"")</f>
        <v>0</v>
      </c>
      <c r="GJ194">
        <f>COUNTIFS('DRAFT 2'!$D:$D,$B194,'DRAFT 2'!$A:$A,"&gt;="&amp;DATE(2026,8,1),'DRAFT 2'!$A:$A,"&lt;="&amp;DATE(2026,8,7))</f>
        <v>0</v>
      </c>
      <c r="GK194">
        <f>COUNTIFS('DRAFT 2'!$D:$D,$B194,'DRAFT 2'!$A:$A,"&gt;="&amp;DATE(2026,8,8),'DRAFT 2'!$A:$A,"&lt;="&amp;DATE(2026,8,14))</f>
        <v>0</v>
      </c>
      <c r="GL194">
        <f>COUNTIFS('DRAFT 2'!$D:$D,$B194,'DRAFT 2'!$A:$A,"&gt;="&amp;DATE(2026,8,15),'DRAFT 2'!$A:$A,"&lt;="&amp;DATE(2026,8,21))</f>
        <v>0</v>
      </c>
      <c r="GM194">
        <f>COUNTIFS('DRAFT 2'!$D:$D,$B194,'DRAFT 2'!$A:$A,"&gt;="&amp;DATE(2026,8,22),'DRAFT 2'!$A:$A,"&lt;"&amp;DATE(2026,IF(8=12,8+1,8+1),1))</f>
        <v>0</v>
      </c>
      <c r="GN194">
        <f t="shared" si="79"/>
        <v>0</v>
      </c>
      <c r="GX194">
        <f>IFERROR(LOOKUP(2,1/('DRAFT 2'!$D:$D=$B194)*('DRAFT 2'!$A:$A&gt;=DATE(2026,9,1))*('DRAFT 2'!$A:$A&lt;DATE(2026,IF(9=12,9+1,9+1),1)),'DRAFT 2'!$A:$A),"")</f>
        <v>0</v>
      </c>
      <c r="GY194">
        <f>COUNTIFS('DRAFT 2'!$D:$D,$B194,'DRAFT 2'!$A:$A,"&gt;="&amp;DATE(2026,9,1),'DRAFT 2'!$A:$A,"&lt;="&amp;DATE(2026,9,7))</f>
        <v>0</v>
      </c>
      <c r="GZ194">
        <f>COUNTIFS('DRAFT 2'!$D:$D,$B194,'DRAFT 2'!$A:$A,"&gt;="&amp;DATE(2026,9,8),'DRAFT 2'!$A:$A,"&lt;="&amp;DATE(2026,9,14))</f>
        <v>0</v>
      </c>
      <c r="HA194">
        <f>COUNTIFS('DRAFT 2'!$D:$D,$B194,'DRAFT 2'!$A:$A,"&gt;="&amp;DATE(2026,9,15),'DRAFT 2'!$A:$A,"&lt;="&amp;DATE(2026,9,21))</f>
        <v>0</v>
      </c>
      <c r="HB194">
        <f>COUNTIFS('DRAFT 2'!$D:$D,$B194,'DRAFT 2'!$A:$A,"&gt;="&amp;DATE(2026,9,22),'DRAFT 2'!$A:$A,"&lt;"&amp;DATE(2026,IF(9=12,9+1,9+1),1))</f>
        <v>0</v>
      </c>
      <c r="HC194">
        <f t="shared" si="80"/>
        <v>0</v>
      </c>
      <c r="HN194">
        <f>IFERROR(LOOKUP(2,1/('DRAFT 2'!$D:$D=$B194)*('DRAFT 2'!$A:$A&gt;=DATE(2026,10,1))*('DRAFT 2'!$A:$A&lt;DATE(2026,IF(10=12,10+1,10+1),1)),'DRAFT 2'!$A:$A),"")</f>
        <v>0</v>
      </c>
      <c r="HO194">
        <f>COUNTIFS('DRAFT 2'!$D:$D,$B194,'DRAFT 2'!$A:$A,"&gt;="&amp;DATE(2026,10,1),'DRAFT 2'!$A:$A,"&lt;="&amp;DATE(2026,10,7))</f>
        <v>0</v>
      </c>
      <c r="HP194">
        <f>COUNTIFS('DRAFT 2'!$D:$D,$B194,'DRAFT 2'!$A:$A,"&gt;="&amp;DATE(2026,10,8),'DRAFT 2'!$A:$A,"&lt;="&amp;DATE(2026,10,14))</f>
        <v>0</v>
      </c>
      <c r="HQ194">
        <f>COUNTIFS('DRAFT 2'!$D:$D,$B194,'DRAFT 2'!$A:$A,"&gt;="&amp;DATE(2026,10,15),'DRAFT 2'!$A:$A,"&lt;="&amp;DATE(2026,10,21))</f>
        <v>0</v>
      </c>
      <c r="HR194">
        <f>COUNTIFS('DRAFT 2'!$D:$D,$B194,'DRAFT 2'!$A:$A,"&gt;="&amp;DATE(2026,10,22),'DRAFT 2'!$A:$A,"&lt;"&amp;DATE(2026,IF(10=12,10+1,10+1),1))</f>
        <v>0</v>
      </c>
      <c r="HS194">
        <f t="shared" si="81"/>
        <v>0</v>
      </c>
      <c r="IC194">
        <f>IFERROR(LOOKUP(2,1/('DRAFT 2'!$D:$D=$B194)*('DRAFT 2'!$A:$A&gt;=DATE(2026,11,1))*('DRAFT 2'!$A:$A&lt;DATE(2026,IF(11=12,11+1,11+1),1)),'DRAFT 2'!$A:$A),"")</f>
        <v>0</v>
      </c>
      <c r="ID194">
        <f>COUNTIFS('DRAFT 2'!$D:$D,$B194,'DRAFT 2'!$A:$A,"&gt;="&amp;DATE(2026,11,1),'DRAFT 2'!$A:$A,"&lt;="&amp;DATE(2026,11,7))</f>
        <v>0</v>
      </c>
      <c r="IE194">
        <f>COUNTIFS('DRAFT 2'!$D:$D,$B194,'DRAFT 2'!$A:$A,"&gt;="&amp;DATE(2026,11,8),'DRAFT 2'!$A:$A,"&lt;="&amp;DATE(2026,11,14))</f>
        <v>0</v>
      </c>
      <c r="IF194">
        <f>COUNTIFS('DRAFT 2'!$D:$D,$B194,'DRAFT 2'!$A:$A,"&gt;="&amp;DATE(2026,11,15),'DRAFT 2'!$A:$A,"&lt;="&amp;DATE(2026,11,21))</f>
        <v>0</v>
      </c>
      <c r="IG194">
        <f>COUNTIFS('DRAFT 2'!$D:$D,$B194,'DRAFT 2'!$A:$A,"&gt;="&amp;DATE(2026,11,22),'DRAFT 2'!$A:$A,"&lt;"&amp;DATE(2026,IF(11=12,11+1,11+1),1))</f>
        <v>0</v>
      </c>
      <c r="IH194">
        <f t="shared" si="82"/>
        <v>0</v>
      </c>
      <c r="IR194">
        <f>IFERROR(LOOKUP(2,1/('DRAFT 2'!$D:$D=$B194)*('DRAFT 2'!$A:$A&gt;=DATE(2026,12,1))*('DRAFT 2'!$A:$A&lt;DATE(2026,IF(12=12,12+1,12+1),1)),'DRAFT 2'!$A:$A),"")</f>
        <v>0</v>
      </c>
      <c r="IS194">
        <f>COUNTIFS('DRAFT 2'!$D:$D,$B194,'DRAFT 2'!$A:$A,"&gt;="&amp;DATE(2026,12,1),'DRAFT 2'!$A:$A,"&lt;="&amp;DATE(2026,12,7))</f>
        <v>0</v>
      </c>
      <c r="IT194">
        <f>COUNTIFS('DRAFT 2'!$D:$D,$B194,'DRAFT 2'!$A:$A,"&gt;="&amp;DATE(2026,12,8),'DRAFT 2'!$A:$A,"&lt;="&amp;DATE(2026,12,14))</f>
        <v>0</v>
      </c>
      <c r="IU194">
        <f>COUNTIFS('DRAFT 2'!$D:$D,$B194,'DRAFT 2'!$A:$A,"&gt;="&amp;DATE(2026,12,15),'DRAFT 2'!$A:$A,"&lt;="&amp;DATE(2026,12,21))</f>
        <v>0</v>
      </c>
      <c r="IV194">
        <f>COUNTIFS('DRAFT 2'!$D:$D,$B194,'DRAFT 2'!$A:$A,"&gt;="&amp;DATE(2026,12,22),'DRAFT 2'!$A:$A,"&lt;"&amp;DATE(2026,IF(12=12,12+1,12+1),1))</f>
        <v>0</v>
      </c>
      <c r="IW194">
        <f t="shared" si="83"/>
        <v>0</v>
      </c>
    </row>
    <row r="195" spans="1:257" x14ac:dyDescent="0.3">
      <c r="A195" t="str">
        <f>IFERROR(INDEX('DRAFT 1'!$A:$A,MATCH($B195,'DRAFT 1'!$B:$B,0)),"")</f>
        <v/>
      </c>
      <c r="C195" t="str">
        <f>IFERROR(INDEX('DRAFT 1'!$C:$C,MATCH($B195,'DRAFT 1'!$B:$B,0)),"")</f>
        <v/>
      </c>
      <c r="D195" t="str">
        <f>IFERROR(INDEX('DRAFT 1'!$D:$D,MATCH($B195,'DRAFT 1'!$B:$B,0)),"")</f>
        <v/>
      </c>
      <c r="E195" t="str">
        <f>IFERROR(INDEX('DRAFT 1'!$E:$E,MATCH($B195,'DRAFT 1'!$B:$B,0)),"")</f>
        <v/>
      </c>
      <c r="F195" t="str">
        <f>IFERROR(INDEX('DRAFT 1'!$F:$F,MATCH($B195,'DRAFT 1'!$B:$B,0)),"")</f>
        <v/>
      </c>
      <c r="G195" t="str">
        <f>IFERROR(INDEX('DRAFT 1'!$G:$G,MATCH($B195,'DRAFT 1'!$B:$B,0)),"")</f>
        <v/>
      </c>
      <c r="H195" t="str">
        <f>IFERROR(INDEX('DRAFT 1'!$H:$H,MATCH($B195,'DRAFT 1'!$B:$B,0)),"")</f>
        <v/>
      </c>
      <c r="I195" t="str">
        <f>IFERROR(INDEX('DRAFT 1'!$I:$I,MATCH($B195,'DRAFT 1'!$B:$B,0)),"")</f>
        <v/>
      </c>
      <c r="K195" t="str">
        <f>IFERROR(INDEX('DRAFT 1'!$AL:$AL,MATCH($B195,'DRAFT 1'!$B:$B,0)),"")</f>
        <v/>
      </c>
      <c r="L195" t="str">
        <f>IFERROR(INDEX('DRAFT 1'!$J:$J,MATCH($B195,'DRAFT 1'!$B:$B,0)),"")</f>
        <v/>
      </c>
      <c r="M195" t="str">
        <f>IFERROR(INDEX('DRAFT 1'!$K:$K,MATCH($B195,'DRAFT 1'!$B:$B,0)),"")</f>
        <v/>
      </c>
      <c r="P195" t="str">
        <f>IFERROR(INDEX('DRAFT 1'!$L:$L,MATCH($B195,'DRAFT 1'!$B:$B,0)),"")</f>
        <v/>
      </c>
      <c r="Q195" t="str">
        <f>IFERROR(INDEX('DRAFT 1'!$M:$M,MATCH($B195,'DRAFT 1'!$B:$B,0)),"")</f>
        <v/>
      </c>
      <c r="R195" t="str">
        <f>IFERROR(INDEX('DRAFT 1'!$N:$N,MATCH($B195,'DRAFT 1'!$B:$B,0)),"")</f>
        <v/>
      </c>
      <c r="S195" t="str">
        <f>IFERROR(INDEX('DRAFT 1'!$O:$O,MATCH($B195,'DRAFT 1'!$B:$B,0)),"")</f>
        <v/>
      </c>
      <c r="T195" t="str">
        <f>IFERROR(INDEX('DRAFT 1'!$P:$P,MATCH($B195,'DRAFT 1'!$B:$B,0)),"")</f>
        <v/>
      </c>
      <c r="U195" t="str">
        <f>IFERROR(INDEX('DRAFT 1'!$Q:$Q,MATCH($B195,'DRAFT 1'!$B:$B,0)),"")</f>
        <v/>
      </c>
      <c r="V195" t="str">
        <f>IFERROR(INDEX('DRAFT 1'!$R:$R,MATCH($B195,'DRAFT 1'!$B:$B,0)),"")</f>
        <v/>
      </c>
      <c r="W195" t="str">
        <f>IFERROR(INDEX('DRAFT 1'!$S:$S,MATCH($B195,'DRAFT 1'!$B:$B,0)),"")</f>
        <v/>
      </c>
      <c r="X195" t="str">
        <f>IFERROR(INDEX('DRAFT 1'!$T:$T,MATCH($B195,'DRAFT 1'!$B:$B,0)),"")</f>
        <v/>
      </c>
      <c r="Z195" t="str">
        <f>IFERROR(INDEX('DRAFT 1'!$U:$U,MATCH($B195,'DRAFT 1'!$B:$B,0)),"")</f>
        <v/>
      </c>
      <c r="AA195" t="str">
        <f>IFERROR(INDEX('DRAFT 1'!$V:$V,MATCH($B195,'DRAFT 1'!$B:$B,0)),"")</f>
        <v/>
      </c>
      <c r="AB195" t="str">
        <f>IFERROR(INDEX('DRAFT 1'!$W:$W,MATCH($B195,'DRAFT 1'!$B:$B,0)),"")</f>
        <v/>
      </c>
      <c r="AC195" t="str">
        <f>IFERROR(INDEX('DRAFT 1'!$X:$X,MATCH($B195,'DRAFT 1'!$B:$B,0)),"")</f>
        <v/>
      </c>
      <c r="AD195" t="str">
        <f>IFERROR(INDEX('DRAFT 1'!$Y:$Y,MATCH($B195,'DRAFT 1'!$B:$B,0)),"")</f>
        <v/>
      </c>
      <c r="AE195" t="str">
        <f>IFERROR(INDEX('DRAFT 1'!$Z:$Z,MATCH($B195,'DRAFT 1'!$B:$B,0)),"")</f>
        <v/>
      </c>
      <c r="AF195" t="str">
        <f>IFERROR(INDEX('DRAFT 1'!$AA:$AA,MATCH($B195,'DRAFT 1'!$B:$B,0)),"")</f>
        <v/>
      </c>
      <c r="AG195" t="str">
        <f>IFERROR(INDEX('DRAFT 1'!$AB:$AB,MATCH($B195,'DRAFT 1'!$B:$B,0)),"")</f>
        <v/>
      </c>
      <c r="AH195" t="str">
        <f>IFERROR(INDEX('DRAFT 1'!$AC:$AC,MATCH($B195,'DRAFT 1'!$B:$B,0)),"")</f>
        <v/>
      </c>
      <c r="AI195" t="str">
        <f>IFERROR(INDEX('DRAFT 1'!$AD:$AD,MATCH($B195,'DRAFT 1'!$B:$B,0)),"")</f>
        <v/>
      </c>
      <c r="AJ195" t="str">
        <f>IFERROR(INDEX('DRAFT 1'!$AE:$AE,MATCH($B195,'DRAFT 1'!$B:$B,0)),"")</f>
        <v/>
      </c>
      <c r="AK195" t="str">
        <f>IFERROR(INDEX('DRAFT 1'!$AG:$AG,MATCH($B195,'DRAFT 1'!$B:$B,0)),"")</f>
        <v/>
      </c>
      <c r="AL195" t="str">
        <f>IFERROR(INDEX('DRAFT 1'!$AH:$AH,MATCH($B195,'DRAFT 1'!$B:$B,0)),"")</f>
        <v/>
      </c>
      <c r="AM195" t="str">
        <f>IFERROR(INDEX('DRAFT 1'!$AI:$AI,MATCH($B195,'DRAFT 1'!$B:$B,0)),"")</f>
        <v/>
      </c>
      <c r="AN195" t="str">
        <f>IFERROR(INDEX('DRAFT 1'!$AJ:$AJ,MATCH($B195,'DRAFT 1'!$B:$B,0)),"")</f>
        <v/>
      </c>
      <c r="AO195">
        <f t="shared" si="70"/>
        <v>0</v>
      </c>
      <c r="AP195" t="str">
        <f>IFERROR(INDEX('DRAFT 1'!$AK:$AK,MATCH($B195,'DRAFT 1'!$B:$B,0)),"")</f>
        <v/>
      </c>
      <c r="AR195">
        <f>IFERROR(LOOKUP(2,1/('DRAFT 2'!$D:$D=$B195),'DRAFT 2'!$I:$I),"")</f>
        <v>0</v>
      </c>
      <c r="AS195">
        <f>IFERROR(LOOKUP(2,1/('DRAFT 2'!$D:$D=$B195),'DRAFT 2'!$T:$T),"")</f>
        <v>0</v>
      </c>
      <c r="AT195">
        <f>IFERROR(LOOKUP(2,1/('DRAFT 2'!$D:$D=$B195),'DRAFT 2'!$A:$A),"")</f>
        <v>0</v>
      </c>
      <c r="AU195">
        <f>IFERROR(LOOKUP(2,1/('DRAFT 2'!$D:$D=$B195),'DRAFT 2'!$R:$R),"")</f>
        <v>0</v>
      </c>
      <c r="AV195">
        <f>IFERROR(LOOKUP(2,1/('DRAFT 2'!$D:$D=$B195),'DRAFT 2'!$S:$S),"")</f>
        <v>0</v>
      </c>
      <c r="AX195">
        <f>IFERROR(LOOKUP(2,1/('DRAFT 2'!$D:$D=$B195),'DRAFT 2'!$M:$M),"")</f>
        <v>0</v>
      </c>
      <c r="AY195">
        <f>IFERROR(LOOKUP(2,1/('DRAFT 2'!$D:$D=$B195),'DRAFT 2'!$K:$K),"")</f>
        <v>0</v>
      </c>
      <c r="BG195">
        <f>IFERROR(LOOKUP(2,1/('DRAFT 2'!$D:$D=$B195),'DRAFT 2'!$U:$U),"")</f>
        <v>0</v>
      </c>
      <c r="BH195">
        <f>IFERROR(LOOKUP(2,1/('DRAFT 2'!$D:$D=$B195),'DRAFT 2'!$V:$V),"")</f>
        <v>0</v>
      </c>
      <c r="CE195" t="str">
        <f t="shared" si="71"/>
        <v/>
      </c>
      <c r="CF195">
        <f>IFERROR(LOOKUP(2,1/('DRAFT 2'!$D:$D=$B195)*('DRAFT 2'!$A:$A&gt;=DATE(2026,1,1))*('DRAFT 2'!$A:$A&lt;DATE(2026,IF(1=12,1+1,1+1),1)),'DRAFT 2'!$A:$A),"")</f>
        <v>0</v>
      </c>
      <c r="CG195">
        <f>COUNTIFS('DRAFT 2'!$D:$D,$B195,'DRAFT 2'!$A:$A,"&gt;="&amp;DATE(2026,1,1),'DRAFT 2'!$A:$A,"&lt;="&amp;DATE(2026,1,7))</f>
        <v>0</v>
      </c>
      <c r="CH195">
        <f>COUNTIFS('DRAFT 2'!$D:$D,$B195,'DRAFT 2'!$A:$A,"&gt;="&amp;DATE(2026,1,8),'DRAFT 2'!$A:$A,"&lt;="&amp;DATE(2026,1,14))</f>
        <v>0</v>
      </c>
      <c r="CI195">
        <f>COUNTIFS('DRAFT 2'!$D:$D,$B195,'DRAFT 2'!$A:$A,"&gt;="&amp;DATE(2026,1,15),'DRAFT 2'!$A:$A,"&lt;="&amp;DATE(2026,1,21))</f>
        <v>0</v>
      </c>
      <c r="CJ195">
        <f>COUNTIFS('DRAFT 2'!$D:$D,$B195,'DRAFT 2'!$A:$A,"&gt;="&amp;DATE(2026,1,22),'DRAFT 2'!$A:$A,"&lt;"&amp;DATE(2026,IF(1=12,1+1,1+1),1))</f>
        <v>0</v>
      </c>
      <c r="CK195">
        <f t="shared" si="72"/>
        <v>0</v>
      </c>
      <c r="CT195">
        <v>0</v>
      </c>
      <c r="CU195">
        <f>IFERROR(LOOKUP(2,1/('DRAFT 2'!$D:$D=$B195)*('DRAFT 2'!$A:$A&gt;=DATE(2026,2,1))*('DRAFT 2'!$A:$A&lt;DATE(2026,IF(2=12,2+1,2+1),1)),'DRAFT 2'!$A:$A),"")</f>
        <v>0</v>
      </c>
      <c r="CV195">
        <f>COUNTIFS('DRAFT 2'!$D:$D,$B195,'DRAFT 2'!$A:$A,"&gt;="&amp;DATE(2026,2,1),'DRAFT 2'!$A:$A,"&lt;="&amp;DATE(2026,2,7))</f>
        <v>0</v>
      </c>
      <c r="CW195">
        <f>COUNTIFS('DRAFT 2'!$D:$D,$B195,'DRAFT 2'!$A:$A,"&gt;="&amp;DATE(2026,2,8),'DRAFT 2'!$A:$A,"&lt;="&amp;DATE(2026,2,14))</f>
        <v>0</v>
      </c>
      <c r="CX195">
        <f>COUNTIFS('DRAFT 2'!$D:$D,$B195,'DRAFT 2'!$A:$A,"&gt;="&amp;DATE(2026,2,15),'DRAFT 2'!$A:$A,"&lt;="&amp;DATE(2026,2,21))</f>
        <v>0</v>
      </c>
      <c r="CY195">
        <f>COUNTIFS('DRAFT 2'!$D:$D,$B195,'DRAFT 2'!$A:$A,"&gt;="&amp;DATE(2026,2,22),'DRAFT 2'!$A:$A,"&lt;"&amp;DATE(2026,IF(2=12,2+1,2+1),1))</f>
        <v>0</v>
      </c>
      <c r="CZ195">
        <f t="shared" si="73"/>
        <v>0</v>
      </c>
      <c r="DJ195">
        <f>IFERROR(LOOKUP(2,1/('DRAFT 2'!$D:$D=$B195)*('DRAFT 2'!$A:$A&gt;=DATE(2026,3,1))*('DRAFT 2'!$A:$A&lt;DATE(2026,IF(3=12,3+1,3+1),1)),'DRAFT 2'!$A:$A),"")</f>
        <v>0</v>
      </c>
      <c r="DK195">
        <f>COUNTIFS('DRAFT 2'!$D:$D,$B195,'DRAFT 2'!$A:$A,"&gt;="&amp;DATE(2026,3,1),'DRAFT 2'!$A:$A,"&lt;="&amp;DATE(2026,3,7))</f>
        <v>0</v>
      </c>
      <c r="DL195">
        <f>COUNTIFS('DRAFT 2'!$D:$D,$B195,'DRAFT 2'!$A:$A,"&gt;="&amp;DATE(2026,3,8),'DRAFT 2'!$A:$A,"&lt;="&amp;DATE(2026,3,14))</f>
        <v>0</v>
      </c>
      <c r="DM195">
        <f>COUNTIFS('DRAFT 2'!$D:$D,$B195,'DRAFT 2'!$A:$A,"&gt;="&amp;DATE(2026,3,15),'DRAFT 2'!$A:$A,"&lt;="&amp;DATE(2026,3,21))</f>
        <v>0</v>
      </c>
      <c r="DN195">
        <f>COUNTIFS('DRAFT 2'!$D:$D,$B195,'DRAFT 2'!$A:$A,"&gt;="&amp;DATE(2026,3,22),'DRAFT 2'!$A:$A,"&lt;"&amp;DATE(2026,IF(3=12,3+1,3+1),1))</f>
        <v>0</v>
      </c>
      <c r="DO195">
        <f t="shared" si="74"/>
        <v>0</v>
      </c>
      <c r="DZ195">
        <f>IFERROR(LOOKUP(2,1/('DRAFT 2'!$D:$D=$B195)*('DRAFT 2'!$A:$A&gt;=DATE(2026,4,1))*('DRAFT 2'!$A:$A&lt;DATE(2026,IF(4=12,4+1,4+1),1)),'DRAFT 2'!$A:$A),"")</f>
        <v>0</v>
      </c>
      <c r="EA195">
        <f>COUNTIFS('DRAFT 2'!$D:$D,$B195,'DRAFT 2'!$A:$A,"&gt;="&amp;DATE(2026,4,1),'DRAFT 2'!$A:$A,"&lt;="&amp;DATE(2026,4,7))</f>
        <v>0</v>
      </c>
      <c r="EB195">
        <f>COUNTIFS('DRAFT 2'!$D:$D,$B195,'DRAFT 2'!$A:$A,"&gt;="&amp;DATE(2026,4,8),'DRAFT 2'!$A:$A,"&lt;="&amp;DATE(2026,4,14))</f>
        <v>0</v>
      </c>
      <c r="EC195">
        <f>COUNTIFS('DRAFT 2'!$D:$D,$B195,'DRAFT 2'!$A:$A,"&gt;="&amp;DATE(2026,4,15),'DRAFT 2'!$A:$A,"&lt;="&amp;DATE(2026,4,21))</f>
        <v>0</v>
      </c>
      <c r="ED195">
        <f>COUNTIFS('DRAFT 2'!$D:$D,$B195,'DRAFT 2'!$A:$A,"&gt;="&amp;DATE(2026,4,22),'DRAFT 2'!$A:$A,"&lt;"&amp;DATE(2026,IF(4=12,4+1,4+1),1))</f>
        <v>0</v>
      </c>
      <c r="EE195">
        <f t="shared" si="75"/>
        <v>0</v>
      </c>
      <c r="EO195">
        <f>IFERROR(LOOKUP(2,1/('DRAFT 2'!$D:$D=$B195)*('DRAFT 2'!$A:$A&gt;=DATE(2026,5,1))*('DRAFT 2'!$A:$A&lt;DATE(2026,IF(5=12,5+1,5+1),1)),'DRAFT 2'!$A:$A),"")</f>
        <v>0</v>
      </c>
      <c r="EP195">
        <f>COUNTIFS('DRAFT 2'!$D:$D,$B195,'DRAFT 2'!$A:$A,"&gt;="&amp;DATE(2026,5,1),'DRAFT 2'!$A:$A,"&lt;="&amp;DATE(2026,5,7))</f>
        <v>0</v>
      </c>
      <c r="EQ195">
        <f>COUNTIFS('DRAFT 2'!$D:$D,$B195,'DRAFT 2'!$A:$A,"&gt;="&amp;DATE(2026,5,8),'DRAFT 2'!$A:$A,"&lt;="&amp;DATE(2026,5,14))</f>
        <v>0</v>
      </c>
      <c r="ER195">
        <f>COUNTIFS('DRAFT 2'!$D:$D,$B195,'DRAFT 2'!$A:$A,"&gt;="&amp;DATE(2026,5,15),'DRAFT 2'!$A:$A,"&lt;="&amp;DATE(2026,5,21))</f>
        <v>0</v>
      </c>
      <c r="ES195">
        <f>COUNTIFS('DRAFT 2'!$D:$D,$B195,'DRAFT 2'!$A:$A,"&gt;="&amp;DATE(2026,5,22),'DRAFT 2'!$A:$A,"&lt;"&amp;DATE(2026,IF(5=12,5+1,5+1),1))</f>
        <v>0</v>
      </c>
      <c r="ET195">
        <f t="shared" si="76"/>
        <v>0</v>
      </c>
      <c r="FD195">
        <f>IFERROR(LOOKUP(2,1/('DRAFT 2'!$D:$D=$B195)*('DRAFT 2'!$A:$A&gt;=DATE(2026,6,1))*('DRAFT 2'!$A:$A&lt;DATE(2026,IF(6=12,6+1,6+1),1)),'DRAFT 2'!$A:$A),"")</f>
        <v>0</v>
      </c>
      <c r="FE195">
        <f>COUNTIFS('DRAFT 2'!$D:$D,$B195,'DRAFT 2'!$A:$A,"&gt;="&amp;DATE(2026,6,1),'DRAFT 2'!$A:$A,"&lt;="&amp;DATE(2026,6,7))</f>
        <v>0</v>
      </c>
      <c r="FF195">
        <f>COUNTIFS('DRAFT 2'!$D:$D,$B195,'DRAFT 2'!$A:$A,"&gt;="&amp;DATE(2026,6,8),'DRAFT 2'!$A:$A,"&lt;="&amp;DATE(2026,6,14))</f>
        <v>0</v>
      </c>
      <c r="FG195">
        <f>COUNTIFS('DRAFT 2'!$D:$D,$B195,'DRAFT 2'!$A:$A,"&gt;="&amp;DATE(2026,6,15),'DRAFT 2'!$A:$A,"&lt;="&amp;DATE(2026,6,21))</f>
        <v>0</v>
      </c>
      <c r="FH195">
        <f>COUNTIFS('DRAFT 2'!$D:$D,$B195,'DRAFT 2'!$A:$A,"&gt;="&amp;DATE(2026,6,22),'DRAFT 2'!$A:$A,"&lt;"&amp;DATE(2026,IF(6=12,6+1,6+1),1))</f>
        <v>0</v>
      </c>
      <c r="FI195">
        <f t="shared" si="77"/>
        <v>0</v>
      </c>
      <c r="FT195">
        <f>IFERROR(LOOKUP(2,1/('DRAFT 2'!$D:$D=$B195)*('DRAFT 2'!$A:$A&gt;=DATE(2026,7,1))*('DRAFT 2'!$A:$A&lt;DATE(2026,IF(7=12,7+1,7+1),1)),'DRAFT 2'!$A:$A),"")</f>
        <v>0</v>
      </c>
      <c r="FU195">
        <f>COUNTIFS('DRAFT 2'!$D:$D,$B195,'DRAFT 2'!$A:$A,"&gt;="&amp;DATE(2026,7,1),'DRAFT 2'!$A:$A,"&lt;="&amp;DATE(2026,7,7))</f>
        <v>0</v>
      </c>
      <c r="FV195">
        <f>COUNTIFS('DRAFT 2'!$D:$D,$B195,'DRAFT 2'!$A:$A,"&gt;="&amp;DATE(2026,7,8),'DRAFT 2'!$A:$A,"&lt;="&amp;DATE(2026,7,14))</f>
        <v>0</v>
      </c>
      <c r="FW195">
        <f>COUNTIFS('DRAFT 2'!$D:$D,$B195,'DRAFT 2'!$A:$A,"&gt;="&amp;DATE(2026,7,15),'DRAFT 2'!$A:$A,"&lt;="&amp;DATE(2026,7,21))</f>
        <v>0</v>
      </c>
      <c r="FX195">
        <f>COUNTIFS('DRAFT 2'!$D:$D,$B195,'DRAFT 2'!$A:$A,"&gt;="&amp;DATE(2026,7,22),'DRAFT 2'!$A:$A,"&lt;"&amp;DATE(2026,IF(7=12,7+1,7+1),1))</f>
        <v>0</v>
      </c>
      <c r="FY195">
        <f t="shared" si="78"/>
        <v>0</v>
      </c>
      <c r="GI195">
        <f>IFERROR(LOOKUP(2,1/('DRAFT 2'!$D:$D=$B195)*('DRAFT 2'!$A:$A&gt;=DATE(2026,8,1))*('DRAFT 2'!$A:$A&lt;DATE(2026,IF(8=12,8+1,8+1),1)),'DRAFT 2'!$A:$A),"")</f>
        <v>0</v>
      </c>
      <c r="GJ195">
        <f>COUNTIFS('DRAFT 2'!$D:$D,$B195,'DRAFT 2'!$A:$A,"&gt;="&amp;DATE(2026,8,1),'DRAFT 2'!$A:$A,"&lt;="&amp;DATE(2026,8,7))</f>
        <v>0</v>
      </c>
      <c r="GK195">
        <f>COUNTIFS('DRAFT 2'!$D:$D,$B195,'DRAFT 2'!$A:$A,"&gt;="&amp;DATE(2026,8,8),'DRAFT 2'!$A:$A,"&lt;="&amp;DATE(2026,8,14))</f>
        <v>0</v>
      </c>
      <c r="GL195">
        <f>COUNTIFS('DRAFT 2'!$D:$D,$B195,'DRAFT 2'!$A:$A,"&gt;="&amp;DATE(2026,8,15),'DRAFT 2'!$A:$A,"&lt;="&amp;DATE(2026,8,21))</f>
        <v>0</v>
      </c>
      <c r="GM195">
        <f>COUNTIFS('DRAFT 2'!$D:$D,$B195,'DRAFT 2'!$A:$A,"&gt;="&amp;DATE(2026,8,22),'DRAFT 2'!$A:$A,"&lt;"&amp;DATE(2026,IF(8=12,8+1,8+1),1))</f>
        <v>0</v>
      </c>
      <c r="GN195">
        <f t="shared" si="79"/>
        <v>0</v>
      </c>
      <c r="GX195">
        <f>IFERROR(LOOKUP(2,1/('DRAFT 2'!$D:$D=$B195)*('DRAFT 2'!$A:$A&gt;=DATE(2026,9,1))*('DRAFT 2'!$A:$A&lt;DATE(2026,IF(9=12,9+1,9+1),1)),'DRAFT 2'!$A:$A),"")</f>
        <v>0</v>
      </c>
      <c r="GY195">
        <f>COUNTIFS('DRAFT 2'!$D:$D,$B195,'DRAFT 2'!$A:$A,"&gt;="&amp;DATE(2026,9,1),'DRAFT 2'!$A:$A,"&lt;="&amp;DATE(2026,9,7))</f>
        <v>0</v>
      </c>
      <c r="GZ195">
        <f>COUNTIFS('DRAFT 2'!$D:$D,$B195,'DRAFT 2'!$A:$A,"&gt;="&amp;DATE(2026,9,8),'DRAFT 2'!$A:$A,"&lt;="&amp;DATE(2026,9,14))</f>
        <v>0</v>
      </c>
      <c r="HA195">
        <f>COUNTIFS('DRAFT 2'!$D:$D,$B195,'DRAFT 2'!$A:$A,"&gt;="&amp;DATE(2026,9,15),'DRAFT 2'!$A:$A,"&lt;="&amp;DATE(2026,9,21))</f>
        <v>0</v>
      </c>
      <c r="HB195">
        <f>COUNTIFS('DRAFT 2'!$D:$D,$B195,'DRAFT 2'!$A:$A,"&gt;="&amp;DATE(2026,9,22),'DRAFT 2'!$A:$A,"&lt;"&amp;DATE(2026,IF(9=12,9+1,9+1),1))</f>
        <v>0</v>
      </c>
      <c r="HC195">
        <f t="shared" si="80"/>
        <v>0</v>
      </c>
      <c r="HN195">
        <f>IFERROR(LOOKUP(2,1/('DRAFT 2'!$D:$D=$B195)*('DRAFT 2'!$A:$A&gt;=DATE(2026,10,1))*('DRAFT 2'!$A:$A&lt;DATE(2026,IF(10=12,10+1,10+1),1)),'DRAFT 2'!$A:$A),"")</f>
        <v>0</v>
      </c>
      <c r="HO195">
        <f>COUNTIFS('DRAFT 2'!$D:$D,$B195,'DRAFT 2'!$A:$A,"&gt;="&amp;DATE(2026,10,1),'DRAFT 2'!$A:$A,"&lt;="&amp;DATE(2026,10,7))</f>
        <v>0</v>
      </c>
      <c r="HP195">
        <f>COUNTIFS('DRAFT 2'!$D:$D,$B195,'DRAFT 2'!$A:$A,"&gt;="&amp;DATE(2026,10,8),'DRAFT 2'!$A:$A,"&lt;="&amp;DATE(2026,10,14))</f>
        <v>0</v>
      </c>
      <c r="HQ195">
        <f>COUNTIFS('DRAFT 2'!$D:$D,$B195,'DRAFT 2'!$A:$A,"&gt;="&amp;DATE(2026,10,15),'DRAFT 2'!$A:$A,"&lt;="&amp;DATE(2026,10,21))</f>
        <v>0</v>
      </c>
      <c r="HR195">
        <f>COUNTIFS('DRAFT 2'!$D:$D,$B195,'DRAFT 2'!$A:$A,"&gt;="&amp;DATE(2026,10,22),'DRAFT 2'!$A:$A,"&lt;"&amp;DATE(2026,IF(10=12,10+1,10+1),1))</f>
        <v>0</v>
      </c>
      <c r="HS195">
        <f t="shared" si="81"/>
        <v>0</v>
      </c>
      <c r="IC195">
        <f>IFERROR(LOOKUP(2,1/('DRAFT 2'!$D:$D=$B195)*('DRAFT 2'!$A:$A&gt;=DATE(2026,11,1))*('DRAFT 2'!$A:$A&lt;DATE(2026,IF(11=12,11+1,11+1),1)),'DRAFT 2'!$A:$A),"")</f>
        <v>0</v>
      </c>
      <c r="ID195">
        <f>COUNTIFS('DRAFT 2'!$D:$D,$B195,'DRAFT 2'!$A:$A,"&gt;="&amp;DATE(2026,11,1),'DRAFT 2'!$A:$A,"&lt;="&amp;DATE(2026,11,7))</f>
        <v>0</v>
      </c>
      <c r="IE195">
        <f>COUNTIFS('DRAFT 2'!$D:$D,$B195,'DRAFT 2'!$A:$A,"&gt;="&amp;DATE(2026,11,8),'DRAFT 2'!$A:$A,"&lt;="&amp;DATE(2026,11,14))</f>
        <v>0</v>
      </c>
      <c r="IF195">
        <f>COUNTIFS('DRAFT 2'!$D:$D,$B195,'DRAFT 2'!$A:$A,"&gt;="&amp;DATE(2026,11,15),'DRAFT 2'!$A:$A,"&lt;="&amp;DATE(2026,11,21))</f>
        <v>0</v>
      </c>
      <c r="IG195">
        <f>COUNTIFS('DRAFT 2'!$D:$D,$B195,'DRAFT 2'!$A:$A,"&gt;="&amp;DATE(2026,11,22),'DRAFT 2'!$A:$A,"&lt;"&amp;DATE(2026,IF(11=12,11+1,11+1),1))</f>
        <v>0</v>
      </c>
      <c r="IH195">
        <f t="shared" si="82"/>
        <v>0</v>
      </c>
      <c r="IR195">
        <f>IFERROR(LOOKUP(2,1/('DRAFT 2'!$D:$D=$B195)*('DRAFT 2'!$A:$A&gt;=DATE(2026,12,1))*('DRAFT 2'!$A:$A&lt;DATE(2026,IF(12=12,12+1,12+1),1)),'DRAFT 2'!$A:$A),"")</f>
        <v>0</v>
      </c>
      <c r="IS195">
        <f>COUNTIFS('DRAFT 2'!$D:$D,$B195,'DRAFT 2'!$A:$A,"&gt;="&amp;DATE(2026,12,1),'DRAFT 2'!$A:$A,"&lt;="&amp;DATE(2026,12,7))</f>
        <v>0</v>
      </c>
      <c r="IT195">
        <f>COUNTIFS('DRAFT 2'!$D:$D,$B195,'DRAFT 2'!$A:$A,"&gt;="&amp;DATE(2026,12,8),'DRAFT 2'!$A:$A,"&lt;="&amp;DATE(2026,12,14))</f>
        <v>0</v>
      </c>
      <c r="IU195">
        <f>COUNTIFS('DRAFT 2'!$D:$D,$B195,'DRAFT 2'!$A:$A,"&gt;="&amp;DATE(2026,12,15),'DRAFT 2'!$A:$A,"&lt;="&amp;DATE(2026,12,21))</f>
        <v>0</v>
      </c>
      <c r="IV195">
        <f>COUNTIFS('DRAFT 2'!$D:$D,$B195,'DRAFT 2'!$A:$A,"&gt;="&amp;DATE(2026,12,22),'DRAFT 2'!$A:$A,"&lt;"&amp;DATE(2026,IF(12=12,12+1,12+1),1))</f>
        <v>0</v>
      </c>
      <c r="IW195">
        <f t="shared" si="83"/>
        <v>0</v>
      </c>
    </row>
    <row r="196" spans="1:257" x14ac:dyDescent="0.3">
      <c r="A196" t="str">
        <f>IFERROR(INDEX('DRAFT 1'!$A:$A,MATCH($B196,'DRAFT 1'!$B:$B,0)),"")</f>
        <v/>
      </c>
      <c r="C196" t="str">
        <f>IFERROR(INDEX('DRAFT 1'!$C:$C,MATCH($B196,'DRAFT 1'!$B:$B,0)),"")</f>
        <v/>
      </c>
      <c r="D196" t="str">
        <f>IFERROR(INDEX('DRAFT 1'!$D:$D,MATCH($B196,'DRAFT 1'!$B:$B,0)),"")</f>
        <v/>
      </c>
      <c r="E196" t="str">
        <f>IFERROR(INDEX('DRAFT 1'!$E:$E,MATCH($B196,'DRAFT 1'!$B:$B,0)),"")</f>
        <v/>
      </c>
      <c r="F196" t="str">
        <f>IFERROR(INDEX('DRAFT 1'!$F:$F,MATCH($B196,'DRAFT 1'!$B:$B,0)),"")</f>
        <v/>
      </c>
      <c r="G196" t="str">
        <f>IFERROR(INDEX('DRAFT 1'!$G:$G,MATCH($B196,'DRAFT 1'!$B:$B,0)),"")</f>
        <v/>
      </c>
      <c r="H196" t="str">
        <f>IFERROR(INDEX('DRAFT 1'!$H:$H,MATCH($B196,'DRAFT 1'!$B:$B,0)),"")</f>
        <v/>
      </c>
      <c r="I196" t="str">
        <f>IFERROR(INDEX('DRAFT 1'!$I:$I,MATCH($B196,'DRAFT 1'!$B:$B,0)),"")</f>
        <v/>
      </c>
      <c r="K196" t="str">
        <f>IFERROR(INDEX('DRAFT 1'!$AL:$AL,MATCH($B196,'DRAFT 1'!$B:$B,0)),"")</f>
        <v/>
      </c>
      <c r="L196" t="str">
        <f>IFERROR(INDEX('DRAFT 1'!$J:$J,MATCH($B196,'DRAFT 1'!$B:$B,0)),"")</f>
        <v/>
      </c>
      <c r="M196" t="str">
        <f>IFERROR(INDEX('DRAFT 1'!$K:$K,MATCH($B196,'DRAFT 1'!$B:$B,0)),"")</f>
        <v/>
      </c>
      <c r="P196" t="str">
        <f>IFERROR(INDEX('DRAFT 1'!$L:$L,MATCH($B196,'DRAFT 1'!$B:$B,0)),"")</f>
        <v/>
      </c>
      <c r="Q196" t="str">
        <f>IFERROR(INDEX('DRAFT 1'!$M:$M,MATCH($B196,'DRAFT 1'!$B:$B,0)),"")</f>
        <v/>
      </c>
      <c r="R196" t="str">
        <f>IFERROR(INDEX('DRAFT 1'!$N:$N,MATCH($B196,'DRAFT 1'!$B:$B,0)),"")</f>
        <v/>
      </c>
      <c r="S196" t="str">
        <f>IFERROR(INDEX('DRAFT 1'!$O:$O,MATCH($B196,'DRAFT 1'!$B:$B,0)),"")</f>
        <v/>
      </c>
      <c r="T196" t="str">
        <f>IFERROR(INDEX('DRAFT 1'!$P:$P,MATCH($B196,'DRAFT 1'!$B:$B,0)),"")</f>
        <v/>
      </c>
      <c r="U196" t="str">
        <f>IFERROR(INDEX('DRAFT 1'!$Q:$Q,MATCH($B196,'DRAFT 1'!$B:$B,0)),"")</f>
        <v/>
      </c>
      <c r="V196" t="str">
        <f>IFERROR(INDEX('DRAFT 1'!$R:$R,MATCH($B196,'DRAFT 1'!$B:$B,0)),"")</f>
        <v/>
      </c>
      <c r="W196" t="str">
        <f>IFERROR(INDEX('DRAFT 1'!$S:$S,MATCH($B196,'DRAFT 1'!$B:$B,0)),"")</f>
        <v/>
      </c>
      <c r="X196" t="str">
        <f>IFERROR(INDEX('DRAFT 1'!$T:$T,MATCH($B196,'DRAFT 1'!$B:$B,0)),"")</f>
        <v/>
      </c>
      <c r="Z196" t="str">
        <f>IFERROR(INDEX('DRAFT 1'!$U:$U,MATCH($B196,'DRAFT 1'!$B:$B,0)),"")</f>
        <v/>
      </c>
      <c r="AA196" t="str">
        <f>IFERROR(INDEX('DRAFT 1'!$V:$V,MATCH($B196,'DRAFT 1'!$B:$B,0)),"")</f>
        <v/>
      </c>
      <c r="AB196" t="str">
        <f>IFERROR(INDEX('DRAFT 1'!$W:$W,MATCH($B196,'DRAFT 1'!$B:$B,0)),"")</f>
        <v/>
      </c>
      <c r="AC196" t="str">
        <f>IFERROR(INDEX('DRAFT 1'!$X:$X,MATCH($B196,'DRAFT 1'!$B:$B,0)),"")</f>
        <v/>
      </c>
      <c r="AD196" t="str">
        <f>IFERROR(INDEX('DRAFT 1'!$Y:$Y,MATCH($B196,'DRAFT 1'!$B:$B,0)),"")</f>
        <v/>
      </c>
      <c r="AE196" t="str">
        <f>IFERROR(INDEX('DRAFT 1'!$Z:$Z,MATCH($B196,'DRAFT 1'!$B:$B,0)),"")</f>
        <v/>
      </c>
      <c r="AF196" t="str">
        <f>IFERROR(INDEX('DRAFT 1'!$AA:$AA,MATCH($B196,'DRAFT 1'!$B:$B,0)),"")</f>
        <v/>
      </c>
      <c r="AG196" t="str">
        <f>IFERROR(INDEX('DRAFT 1'!$AB:$AB,MATCH($B196,'DRAFT 1'!$B:$B,0)),"")</f>
        <v/>
      </c>
      <c r="AH196" t="str">
        <f>IFERROR(INDEX('DRAFT 1'!$AC:$AC,MATCH($B196,'DRAFT 1'!$B:$B,0)),"")</f>
        <v/>
      </c>
      <c r="AI196" t="str">
        <f>IFERROR(INDEX('DRAFT 1'!$AD:$AD,MATCH($B196,'DRAFT 1'!$B:$B,0)),"")</f>
        <v/>
      </c>
      <c r="AJ196" t="str">
        <f>IFERROR(INDEX('DRAFT 1'!$AE:$AE,MATCH($B196,'DRAFT 1'!$B:$B,0)),"")</f>
        <v/>
      </c>
      <c r="AK196" t="str">
        <f>IFERROR(INDEX('DRAFT 1'!$AG:$AG,MATCH($B196,'DRAFT 1'!$B:$B,0)),"")</f>
        <v/>
      </c>
      <c r="AL196" t="str">
        <f>IFERROR(INDEX('DRAFT 1'!$AH:$AH,MATCH($B196,'DRAFT 1'!$B:$B,0)),"")</f>
        <v/>
      </c>
      <c r="AM196" t="str">
        <f>IFERROR(INDEX('DRAFT 1'!$AI:$AI,MATCH($B196,'DRAFT 1'!$B:$B,0)),"")</f>
        <v/>
      </c>
      <c r="AN196" t="str">
        <f>IFERROR(INDEX('DRAFT 1'!$AJ:$AJ,MATCH($B196,'DRAFT 1'!$B:$B,0)),"")</f>
        <v/>
      </c>
      <c r="AO196">
        <f t="shared" ref="AO196:AO227" si="84">IFERROR(Y196/AN196,0)</f>
        <v>0</v>
      </c>
      <c r="AP196" t="str">
        <f>IFERROR(INDEX('DRAFT 1'!$AK:$AK,MATCH($B196,'DRAFT 1'!$B:$B,0)),"")</f>
        <v/>
      </c>
      <c r="AR196">
        <f>IFERROR(LOOKUP(2,1/('DRAFT 2'!$D:$D=$B196),'DRAFT 2'!$I:$I),"")</f>
        <v>0</v>
      </c>
      <c r="AS196">
        <f>IFERROR(LOOKUP(2,1/('DRAFT 2'!$D:$D=$B196),'DRAFT 2'!$T:$T),"")</f>
        <v>0</v>
      </c>
      <c r="AT196">
        <f>IFERROR(LOOKUP(2,1/('DRAFT 2'!$D:$D=$B196),'DRAFT 2'!$A:$A),"")</f>
        <v>0</v>
      </c>
      <c r="AU196">
        <f>IFERROR(LOOKUP(2,1/('DRAFT 2'!$D:$D=$B196),'DRAFT 2'!$R:$R),"")</f>
        <v>0</v>
      </c>
      <c r="AV196">
        <f>IFERROR(LOOKUP(2,1/('DRAFT 2'!$D:$D=$B196),'DRAFT 2'!$S:$S),"")</f>
        <v>0</v>
      </c>
      <c r="AX196">
        <f>IFERROR(LOOKUP(2,1/('DRAFT 2'!$D:$D=$B196),'DRAFT 2'!$M:$M),"")</f>
        <v>0</v>
      </c>
      <c r="AY196">
        <f>IFERROR(LOOKUP(2,1/('DRAFT 2'!$D:$D=$B196),'DRAFT 2'!$K:$K),"")</f>
        <v>0</v>
      </c>
      <c r="BG196">
        <f>IFERROR(LOOKUP(2,1/('DRAFT 2'!$D:$D=$B196),'DRAFT 2'!$U:$U),"")</f>
        <v>0</v>
      </c>
      <c r="BH196">
        <f>IFERROR(LOOKUP(2,1/('DRAFT 2'!$D:$D=$B196),'DRAFT 2'!$V:$V),"")</f>
        <v>0</v>
      </c>
      <c r="CE196" t="str">
        <f t="shared" si="71"/>
        <v/>
      </c>
      <c r="CF196">
        <f>IFERROR(LOOKUP(2,1/('DRAFT 2'!$D:$D=$B196)*('DRAFT 2'!$A:$A&gt;=DATE(2026,1,1))*('DRAFT 2'!$A:$A&lt;DATE(2026,IF(1=12,1+1,1+1),1)),'DRAFT 2'!$A:$A),"")</f>
        <v>0</v>
      </c>
      <c r="CG196">
        <f>COUNTIFS('DRAFT 2'!$D:$D,$B196,'DRAFT 2'!$A:$A,"&gt;="&amp;DATE(2026,1,1),'DRAFT 2'!$A:$A,"&lt;="&amp;DATE(2026,1,7))</f>
        <v>0</v>
      </c>
      <c r="CH196">
        <f>COUNTIFS('DRAFT 2'!$D:$D,$B196,'DRAFT 2'!$A:$A,"&gt;="&amp;DATE(2026,1,8),'DRAFT 2'!$A:$A,"&lt;="&amp;DATE(2026,1,14))</f>
        <v>0</v>
      </c>
      <c r="CI196">
        <f>COUNTIFS('DRAFT 2'!$D:$D,$B196,'DRAFT 2'!$A:$A,"&gt;="&amp;DATE(2026,1,15),'DRAFT 2'!$A:$A,"&lt;="&amp;DATE(2026,1,21))</f>
        <v>0</v>
      </c>
      <c r="CJ196">
        <f>COUNTIFS('DRAFT 2'!$D:$D,$B196,'DRAFT 2'!$A:$A,"&gt;="&amp;DATE(2026,1,22),'DRAFT 2'!$A:$A,"&lt;"&amp;DATE(2026,IF(1=12,1+1,1+1),1))</f>
        <v>0</v>
      </c>
      <c r="CK196">
        <f t="shared" ref="CK196:CK227" si="85">SUM(CG196:CJ196)</f>
        <v>0</v>
      </c>
      <c r="CT196">
        <v>0</v>
      </c>
      <c r="CU196">
        <f>IFERROR(LOOKUP(2,1/('DRAFT 2'!$D:$D=$B196)*('DRAFT 2'!$A:$A&gt;=DATE(2026,2,1))*('DRAFT 2'!$A:$A&lt;DATE(2026,IF(2=12,2+1,2+1),1)),'DRAFT 2'!$A:$A),"")</f>
        <v>0</v>
      </c>
      <c r="CV196">
        <f>COUNTIFS('DRAFT 2'!$D:$D,$B196,'DRAFT 2'!$A:$A,"&gt;="&amp;DATE(2026,2,1),'DRAFT 2'!$A:$A,"&lt;="&amp;DATE(2026,2,7))</f>
        <v>0</v>
      </c>
      <c r="CW196">
        <f>COUNTIFS('DRAFT 2'!$D:$D,$B196,'DRAFT 2'!$A:$A,"&gt;="&amp;DATE(2026,2,8),'DRAFT 2'!$A:$A,"&lt;="&amp;DATE(2026,2,14))</f>
        <v>0</v>
      </c>
      <c r="CX196">
        <f>COUNTIFS('DRAFT 2'!$D:$D,$B196,'DRAFT 2'!$A:$A,"&gt;="&amp;DATE(2026,2,15),'DRAFT 2'!$A:$A,"&lt;="&amp;DATE(2026,2,21))</f>
        <v>0</v>
      </c>
      <c r="CY196">
        <f>COUNTIFS('DRAFT 2'!$D:$D,$B196,'DRAFT 2'!$A:$A,"&gt;="&amp;DATE(2026,2,22),'DRAFT 2'!$A:$A,"&lt;"&amp;DATE(2026,IF(2=12,2+1,2+1),1))</f>
        <v>0</v>
      </c>
      <c r="CZ196">
        <f t="shared" ref="CZ196:CZ227" si="86">SUM(CV196:CY196)</f>
        <v>0</v>
      </c>
      <c r="DJ196">
        <f>IFERROR(LOOKUP(2,1/('DRAFT 2'!$D:$D=$B196)*('DRAFT 2'!$A:$A&gt;=DATE(2026,3,1))*('DRAFT 2'!$A:$A&lt;DATE(2026,IF(3=12,3+1,3+1),1)),'DRAFT 2'!$A:$A),"")</f>
        <v>0</v>
      </c>
      <c r="DK196">
        <f>COUNTIFS('DRAFT 2'!$D:$D,$B196,'DRAFT 2'!$A:$A,"&gt;="&amp;DATE(2026,3,1),'DRAFT 2'!$A:$A,"&lt;="&amp;DATE(2026,3,7))</f>
        <v>0</v>
      </c>
      <c r="DL196">
        <f>COUNTIFS('DRAFT 2'!$D:$D,$B196,'DRAFT 2'!$A:$A,"&gt;="&amp;DATE(2026,3,8),'DRAFT 2'!$A:$A,"&lt;="&amp;DATE(2026,3,14))</f>
        <v>0</v>
      </c>
      <c r="DM196">
        <f>COUNTIFS('DRAFT 2'!$D:$D,$B196,'DRAFT 2'!$A:$A,"&gt;="&amp;DATE(2026,3,15),'DRAFT 2'!$A:$A,"&lt;="&amp;DATE(2026,3,21))</f>
        <v>0</v>
      </c>
      <c r="DN196">
        <f>COUNTIFS('DRAFT 2'!$D:$D,$B196,'DRAFT 2'!$A:$A,"&gt;="&amp;DATE(2026,3,22),'DRAFT 2'!$A:$A,"&lt;"&amp;DATE(2026,IF(3=12,3+1,3+1),1))</f>
        <v>0</v>
      </c>
      <c r="DO196">
        <f t="shared" ref="DO196:DO227" si="87">SUM(DK196:DN196)</f>
        <v>0</v>
      </c>
      <c r="DZ196">
        <f>IFERROR(LOOKUP(2,1/('DRAFT 2'!$D:$D=$B196)*('DRAFT 2'!$A:$A&gt;=DATE(2026,4,1))*('DRAFT 2'!$A:$A&lt;DATE(2026,IF(4=12,4+1,4+1),1)),'DRAFT 2'!$A:$A),"")</f>
        <v>0</v>
      </c>
      <c r="EA196">
        <f>COUNTIFS('DRAFT 2'!$D:$D,$B196,'DRAFT 2'!$A:$A,"&gt;="&amp;DATE(2026,4,1),'DRAFT 2'!$A:$A,"&lt;="&amp;DATE(2026,4,7))</f>
        <v>0</v>
      </c>
      <c r="EB196">
        <f>COUNTIFS('DRAFT 2'!$D:$D,$B196,'DRAFT 2'!$A:$A,"&gt;="&amp;DATE(2026,4,8),'DRAFT 2'!$A:$A,"&lt;="&amp;DATE(2026,4,14))</f>
        <v>0</v>
      </c>
      <c r="EC196">
        <f>COUNTIFS('DRAFT 2'!$D:$D,$B196,'DRAFT 2'!$A:$A,"&gt;="&amp;DATE(2026,4,15),'DRAFT 2'!$A:$A,"&lt;="&amp;DATE(2026,4,21))</f>
        <v>0</v>
      </c>
      <c r="ED196">
        <f>COUNTIFS('DRAFT 2'!$D:$D,$B196,'DRAFT 2'!$A:$A,"&gt;="&amp;DATE(2026,4,22),'DRAFT 2'!$A:$A,"&lt;"&amp;DATE(2026,IF(4=12,4+1,4+1),1))</f>
        <v>0</v>
      </c>
      <c r="EE196">
        <f t="shared" ref="EE196:EE227" si="88">SUM(EA196:ED196)</f>
        <v>0</v>
      </c>
      <c r="EO196">
        <f>IFERROR(LOOKUP(2,1/('DRAFT 2'!$D:$D=$B196)*('DRAFT 2'!$A:$A&gt;=DATE(2026,5,1))*('DRAFT 2'!$A:$A&lt;DATE(2026,IF(5=12,5+1,5+1),1)),'DRAFT 2'!$A:$A),"")</f>
        <v>0</v>
      </c>
      <c r="EP196">
        <f>COUNTIFS('DRAFT 2'!$D:$D,$B196,'DRAFT 2'!$A:$A,"&gt;="&amp;DATE(2026,5,1),'DRAFT 2'!$A:$A,"&lt;="&amp;DATE(2026,5,7))</f>
        <v>0</v>
      </c>
      <c r="EQ196">
        <f>COUNTIFS('DRAFT 2'!$D:$D,$B196,'DRAFT 2'!$A:$A,"&gt;="&amp;DATE(2026,5,8),'DRAFT 2'!$A:$A,"&lt;="&amp;DATE(2026,5,14))</f>
        <v>0</v>
      </c>
      <c r="ER196">
        <f>COUNTIFS('DRAFT 2'!$D:$D,$B196,'DRAFT 2'!$A:$A,"&gt;="&amp;DATE(2026,5,15),'DRAFT 2'!$A:$A,"&lt;="&amp;DATE(2026,5,21))</f>
        <v>0</v>
      </c>
      <c r="ES196">
        <f>COUNTIFS('DRAFT 2'!$D:$D,$B196,'DRAFT 2'!$A:$A,"&gt;="&amp;DATE(2026,5,22),'DRAFT 2'!$A:$A,"&lt;"&amp;DATE(2026,IF(5=12,5+1,5+1),1))</f>
        <v>0</v>
      </c>
      <c r="ET196">
        <f t="shared" ref="ET196:ET227" si="89">SUM(EP196:ES196)</f>
        <v>0</v>
      </c>
      <c r="FD196">
        <f>IFERROR(LOOKUP(2,1/('DRAFT 2'!$D:$D=$B196)*('DRAFT 2'!$A:$A&gt;=DATE(2026,6,1))*('DRAFT 2'!$A:$A&lt;DATE(2026,IF(6=12,6+1,6+1),1)),'DRAFT 2'!$A:$A),"")</f>
        <v>0</v>
      </c>
      <c r="FE196">
        <f>COUNTIFS('DRAFT 2'!$D:$D,$B196,'DRAFT 2'!$A:$A,"&gt;="&amp;DATE(2026,6,1),'DRAFT 2'!$A:$A,"&lt;="&amp;DATE(2026,6,7))</f>
        <v>0</v>
      </c>
      <c r="FF196">
        <f>COUNTIFS('DRAFT 2'!$D:$D,$B196,'DRAFT 2'!$A:$A,"&gt;="&amp;DATE(2026,6,8),'DRAFT 2'!$A:$A,"&lt;="&amp;DATE(2026,6,14))</f>
        <v>0</v>
      </c>
      <c r="FG196">
        <f>COUNTIFS('DRAFT 2'!$D:$D,$B196,'DRAFT 2'!$A:$A,"&gt;="&amp;DATE(2026,6,15),'DRAFT 2'!$A:$A,"&lt;="&amp;DATE(2026,6,21))</f>
        <v>0</v>
      </c>
      <c r="FH196">
        <f>COUNTIFS('DRAFT 2'!$D:$D,$B196,'DRAFT 2'!$A:$A,"&gt;="&amp;DATE(2026,6,22),'DRAFT 2'!$A:$A,"&lt;"&amp;DATE(2026,IF(6=12,6+1,6+1),1))</f>
        <v>0</v>
      </c>
      <c r="FI196">
        <f t="shared" ref="FI196:FI227" si="90">SUM(FE196:FH196)</f>
        <v>0</v>
      </c>
      <c r="FT196">
        <f>IFERROR(LOOKUP(2,1/('DRAFT 2'!$D:$D=$B196)*('DRAFT 2'!$A:$A&gt;=DATE(2026,7,1))*('DRAFT 2'!$A:$A&lt;DATE(2026,IF(7=12,7+1,7+1),1)),'DRAFT 2'!$A:$A),"")</f>
        <v>0</v>
      </c>
      <c r="FU196">
        <f>COUNTIFS('DRAFT 2'!$D:$D,$B196,'DRAFT 2'!$A:$A,"&gt;="&amp;DATE(2026,7,1),'DRAFT 2'!$A:$A,"&lt;="&amp;DATE(2026,7,7))</f>
        <v>0</v>
      </c>
      <c r="FV196">
        <f>COUNTIFS('DRAFT 2'!$D:$D,$B196,'DRAFT 2'!$A:$A,"&gt;="&amp;DATE(2026,7,8),'DRAFT 2'!$A:$A,"&lt;="&amp;DATE(2026,7,14))</f>
        <v>0</v>
      </c>
      <c r="FW196">
        <f>COUNTIFS('DRAFT 2'!$D:$D,$B196,'DRAFT 2'!$A:$A,"&gt;="&amp;DATE(2026,7,15),'DRAFT 2'!$A:$A,"&lt;="&amp;DATE(2026,7,21))</f>
        <v>0</v>
      </c>
      <c r="FX196">
        <f>COUNTIFS('DRAFT 2'!$D:$D,$B196,'DRAFT 2'!$A:$A,"&gt;="&amp;DATE(2026,7,22),'DRAFT 2'!$A:$A,"&lt;"&amp;DATE(2026,IF(7=12,7+1,7+1),1))</f>
        <v>0</v>
      </c>
      <c r="FY196">
        <f t="shared" ref="FY196:FY227" si="91">SUM(FU196:FX196)</f>
        <v>0</v>
      </c>
      <c r="GI196">
        <f>IFERROR(LOOKUP(2,1/('DRAFT 2'!$D:$D=$B196)*('DRAFT 2'!$A:$A&gt;=DATE(2026,8,1))*('DRAFT 2'!$A:$A&lt;DATE(2026,IF(8=12,8+1,8+1),1)),'DRAFT 2'!$A:$A),"")</f>
        <v>0</v>
      </c>
      <c r="GJ196">
        <f>COUNTIFS('DRAFT 2'!$D:$D,$B196,'DRAFT 2'!$A:$A,"&gt;="&amp;DATE(2026,8,1),'DRAFT 2'!$A:$A,"&lt;="&amp;DATE(2026,8,7))</f>
        <v>0</v>
      </c>
      <c r="GK196">
        <f>COUNTIFS('DRAFT 2'!$D:$D,$B196,'DRAFT 2'!$A:$A,"&gt;="&amp;DATE(2026,8,8),'DRAFT 2'!$A:$A,"&lt;="&amp;DATE(2026,8,14))</f>
        <v>0</v>
      </c>
      <c r="GL196">
        <f>COUNTIFS('DRAFT 2'!$D:$D,$B196,'DRAFT 2'!$A:$A,"&gt;="&amp;DATE(2026,8,15),'DRAFT 2'!$A:$A,"&lt;="&amp;DATE(2026,8,21))</f>
        <v>0</v>
      </c>
      <c r="GM196">
        <f>COUNTIFS('DRAFT 2'!$D:$D,$B196,'DRAFT 2'!$A:$A,"&gt;="&amp;DATE(2026,8,22),'DRAFT 2'!$A:$A,"&lt;"&amp;DATE(2026,IF(8=12,8+1,8+1),1))</f>
        <v>0</v>
      </c>
      <c r="GN196">
        <f t="shared" ref="GN196:GN227" si="92">SUM(GJ196:GM196)</f>
        <v>0</v>
      </c>
      <c r="GX196">
        <f>IFERROR(LOOKUP(2,1/('DRAFT 2'!$D:$D=$B196)*('DRAFT 2'!$A:$A&gt;=DATE(2026,9,1))*('DRAFT 2'!$A:$A&lt;DATE(2026,IF(9=12,9+1,9+1),1)),'DRAFT 2'!$A:$A),"")</f>
        <v>0</v>
      </c>
      <c r="GY196">
        <f>COUNTIFS('DRAFT 2'!$D:$D,$B196,'DRAFT 2'!$A:$A,"&gt;="&amp;DATE(2026,9,1),'DRAFT 2'!$A:$A,"&lt;="&amp;DATE(2026,9,7))</f>
        <v>0</v>
      </c>
      <c r="GZ196">
        <f>COUNTIFS('DRAFT 2'!$D:$D,$B196,'DRAFT 2'!$A:$A,"&gt;="&amp;DATE(2026,9,8),'DRAFT 2'!$A:$A,"&lt;="&amp;DATE(2026,9,14))</f>
        <v>0</v>
      </c>
      <c r="HA196">
        <f>COUNTIFS('DRAFT 2'!$D:$D,$B196,'DRAFT 2'!$A:$A,"&gt;="&amp;DATE(2026,9,15),'DRAFT 2'!$A:$A,"&lt;="&amp;DATE(2026,9,21))</f>
        <v>0</v>
      </c>
      <c r="HB196">
        <f>COUNTIFS('DRAFT 2'!$D:$D,$B196,'DRAFT 2'!$A:$A,"&gt;="&amp;DATE(2026,9,22),'DRAFT 2'!$A:$A,"&lt;"&amp;DATE(2026,IF(9=12,9+1,9+1),1))</f>
        <v>0</v>
      </c>
      <c r="HC196">
        <f t="shared" ref="HC196:HC227" si="93">SUM(GY196:HB196)</f>
        <v>0</v>
      </c>
      <c r="HN196">
        <f>IFERROR(LOOKUP(2,1/('DRAFT 2'!$D:$D=$B196)*('DRAFT 2'!$A:$A&gt;=DATE(2026,10,1))*('DRAFT 2'!$A:$A&lt;DATE(2026,IF(10=12,10+1,10+1),1)),'DRAFT 2'!$A:$A),"")</f>
        <v>0</v>
      </c>
      <c r="HO196">
        <f>COUNTIFS('DRAFT 2'!$D:$D,$B196,'DRAFT 2'!$A:$A,"&gt;="&amp;DATE(2026,10,1),'DRAFT 2'!$A:$A,"&lt;="&amp;DATE(2026,10,7))</f>
        <v>0</v>
      </c>
      <c r="HP196">
        <f>COUNTIFS('DRAFT 2'!$D:$D,$B196,'DRAFT 2'!$A:$A,"&gt;="&amp;DATE(2026,10,8),'DRAFT 2'!$A:$A,"&lt;="&amp;DATE(2026,10,14))</f>
        <v>0</v>
      </c>
      <c r="HQ196">
        <f>COUNTIFS('DRAFT 2'!$D:$D,$B196,'DRAFT 2'!$A:$A,"&gt;="&amp;DATE(2026,10,15),'DRAFT 2'!$A:$A,"&lt;="&amp;DATE(2026,10,21))</f>
        <v>0</v>
      </c>
      <c r="HR196">
        <f>COUNTIFS('DRAFT 2'!$D:$D,$B196,'DRAFT 2'!$A:$A,"&gt;="&amp;DATE(2026,10,22),'DRAFT 2'!$A:$A,"&lt;"&amp;DATE(2026,IF(10=12,10+1,10+1),1))</f>
        <v>0</v>
      </c>
      <c r="HS196">
        <f t="shared" ref="HS196:HS227" si="94">SUM(HO196:HR196)</f>
        <v>0</v>
      </c>
      <c r="IC196">
        <f>IFERROR(LOOKUP(2,1/('DRAFT 2'!$D:$D=$B196)*('DRAFT 2'!$A:$A&gt;=DATE(2026,11,1))*('DRAFT 2'!$A:$A&lt;DATE(2026,IF(11=12,11+1,11+1),1)),'DRAFT 2'!$A:$A),"")</f>
        <v>0</v>
      </c>
      <c r="ID196">
        <f>COUNTIFS('DRAFT 2'!$D:$D,$B196,'DRAFT 2'!$A:$A,"&gt;="&amp;DATE(2026,11,1),'DRAFT 2'!$A:$A,"&lt;="&amp;DATE(2026,11,7))</f>
        <v>0</v>
      </c>
      <c r="IE196">
        <f>COUNTIFS('DRAFT 2'!$D:$D,$B196,'DRAFT 2'!$A:$A,"&gt;="&amp;DATE(2026,11,8),'DRAFT 2'!$A:$A,"&lt;="&amp;DATE(2026,11,14))</f>
        <v>0</v>
      </c>
      <c r="IF196">
        <f>COUNTIFS('DRAFT 2'!$D:$D,$B196,'DRAFT 2'!$A:$A,"&gt;="&amp;DATE(2026,11,15),'DRAFT 2'!$A:$A,"&lt;="&amp;DATE(2026,11,21))</f>
        <v>0</v>
      </c>
      <c r="IG196">
        <f>COUNTIFS('DRAFT 2'!$D:$D,$B196,'DRAFT 2'!$A:$A,"&gt;="&amp;DATE(2026,11,22),'DRAFT 2'!$A:$A,"&lt;"&amp;DATE(2026,IF(11=12,11+1,11+1),1))</f>
        <v>0</v>
      </c>
      <c r="IH196">
        <f t="shared" ref="IH196:IH227" si="95">SUM(ID196:IG196)</f>
        <v>0</v>
      </c>
      <c r="IR196">
        <f>IFERROR(LOOKUP(2,1/('DRAFT 2'!$D:$D=$B196)*('DRAFT 2'!$A:$A&gt;=DATE(2026,12,1))*('DRAFT 2'!$A:$A&lt;DATE(2026,IF(12=12,12+1,12+1),1)),'DRAFT 2'!$A:$A),"")</f>
        <v>0</v>
      </c>
      <c r="IS196">
        <f>COUNTIFS('DRAFT 2'!$D:$D,$B196,'DRAFT 2'!$A:$A,"&gt;="&amp;DATE(2026,12,1),'DRAFT 2'!$A:$A,"&lt;="&amp;DATE(2026,12,7))</f>
        <v>0</v>
      </c>
      <c r="IT196">
        <f>COUNTIFS('DRAFT 2'!$D:$D,$B196,'DRAFT 2'!$A:$A,"&gt;="&amp;DATE(2026,12,8),'DRAFT 2'!$A:$A,"&lt;="&amp;DATE(2026,12,14))</f>
        <v>0</v>
      </c>
      <c r="IU196">
        <f>COUNTIFS('DRAFT 2'!$D:$D,$B196,'DRAFT 2'!$A:$A,"&gt;="&amp;DATE(2026,12,15),'DRAFT 2'!$A:$A,"&lt;="&amp;DATE(2026,12,21))</f>
        <v>0</v>
      </c>
      <c r="IV196">
        <f>COUNTIFS('DRAFT 2'!$D:$D,$B196,'DRAFT 2'!$A:$A,"&gt;="&amp;DATE(2026,12,22),'DRAFT 2'!$A:$A,"&lt;"&amp;DATE(2026,IF(12=12,12+1,12+1),1))</f>
        <v>0</v>
      </c>
      <c r="IW196">
        <f t="shared" ref="IW196:IW227" si="96">SUM(IS196:IV196)</f>
        <v>0</v>
      </c>
    </row>
    <row r="197" spans="1:257" x14ac:dyDescent="0.3">
      <c r="A197" t="str">
        <f>IFERROR(INDEX('DRAFT 1'!$A:$A,MATCH($B197,'DRAFT 1'!$B:$B,0)),"")</f>
        <v/>
      </c>
      <c r="C197" t="str">
        <f>IFERROR(INDEX('DRAFT 1'!$C:$C,MATCH($B197,'DRAFT 1'!$B:$B,0)),"")</f>
        <v/>
      </c>
      <c r="D197" t="str">
        <f>IFERROR(INDEX('DRAFT 1'!$D:$D,MATCH($B197,'DRAFT 1'!$B:$B,0)),"")</f>
        <v/>
      </c>
      <c r="E197" t="str">
        <f>IFERROR(INDEX('DRAFT 1'!$E:$E,MATCH($B197,'DRAFT 1'!$B:$B,0)),"")</f>
        <v/>
      </c>
      <c r="F197" t="str">
        <f>IFERROR(INDEX('DRAFT 1'!$F:$F,MATCH($B197,'DRAFT 1'!$B:$B,0)),"")</f>
        <v/>
      </c>
      <c r="G197" t="str">
        <f>IFERROR(INDEX('DRAFT 1'!$G:$G,MATCH($B197,'DRAFT 1'!$B:$B,0)),"")</f>
        <v/>
      </c>
      <c r="H197" t="str">
        <f>IFERROR(INDEX('DRAFT 1'!$H:$H,MATCH($B197,'DRAFT 1'!$B:$B,0)),"")</f>
        <v/>
      </c>
      <c r="I197" t="str">
        <f>IFERROR(INDEX('DRAFT 1'!$I:$I,MATCH($B197,'DRAFT 1'!$B:$B,0)),"")</f>
        <v/>
      </c>
      <c r="K197" t="str">
        <f>IFERROR(INDEX('DRAFT 1'!$AL:$AL,MATCH($B197,'DRAFT 1'!$B:$B,0)),"")</f>
        <v/>
      </c>
      <c r="L197" t="str">
        <f>IFERROR(INDEX('DRAFT 1'!$J:$J,MATCH($B197,'DRAFT 1'!$B:$B,0)),"")</f>
        <v/>
      </c>
      <c r="M197" t="str">
        <f>IFERROR(INDEX('DRAFT 1'!$K:$K,MATCH($B197,'DRAFT 1'!$B:$B,0)),"")</f>
        <v/>
      </c>
      <c r="P197" t="str">
        <f>IFERROR(INDEX('DRAFT 1'!$L:$L,MATCH($B197,'DRAFT 1'!$B:$B,0)),"")</f>
        <v/>
      </c>
      <c r="Q197" t="str">
        <f>IFERROR(INDEX('DRAFT 1'!$M:$M,MATCH($B197,'DRAFT 1'!$B:$B,0)),"")</f>
        <v/>
      </c>
      <c r="R197" t="str">
        <f>IFERROR(INDEX('DRAFT 1'!$N:$N,MATCH($B197,'DRAFT 1'!$B:$B,0)),"")</f>
        <v/>
      </c>
      <c r="S197" t="str">
        <f>IFERROR(INDEX('DRAFT 1'!$O:$O,MATCH($B197,'DRAFT 1'!$B:$B,0)),"")</f>
        <v/>
      </c>
      <c r="T197" t="str">
        <f>IFERROR(INDEX('DRAFT 1'!$P:$P,MATCH($B197,'DRAFT 1'!$B:$B,0)),"")</f>
        <v/>
      </c>
      <c r="U197" t="str">
        <f>IFERROR(INDEX('DRAFT 1'!$Q:$Q,MATCH($B197,'DRAFT 1'!$B:$B,0)),"")</f>
        <v/>
      </c>
      <c r="V197" t="str">
        <f>IFERROR(INDEX('DRAFT 1'!$R:$R,MATCH($B197,'DRAFT 1'!$B:$B,0)),"")</f>
        <v/>
      </c>
      <c r="W197" t="str">
        <f>IFERROR(INDEX('DRAFT 1'!$S:$S,MATCH($B197,'DRAFT 1'!$B:$B,0)),"")</f>
        <v/>
      </c>
      <c r="X197" t="str">
        <f>IFERROR(INDEX('DRAFT 1'!$T:$T,MATCH($B197,'DRAFT 1'!$B:$B,0)),"")</f>
        <v/>
      </c>
      <c r="Z197" t="str">
        <f>IFERROR(INDEX('DRAFT 1'!$U:$U,MATCH($B197,'DRAFT 1'!$B:$B,0)),"")</f>
        <v/>
      </c>
      <c r="AA197" t="str">
        <f>IFERROR(INDEX('DRAFT 1'!$V:$V,MATCH($B197,'DRAFT 1'!$B:$B,0)),"")</f>
        <v/>
      </c>
      <c r="AB197" t="str">
        <f>IFERROR(INDEX('DRAFT 1'!$W:$W,MATCH($B197,'DRAFT 1'!$B:$B,0)),"")</f>
        <v/>
      </c>
      <c r="AC197" t="str">
        <f>IFERROR(INDEX('DRAFT 1'!$X:$X,MATCH($B197,'DRAFT 1'!$B:$B,0)),"")</f>
        <v/>
      </c>
      <c r="AD197" t="str">
        <f>IFERROR(INDEX('DRAFT 1'!$Y:$Y,MATCH($B197,'DRAFT 1'!$B:$B,0)),"")</f>
        <v/>
      </c>
      <c r="AE197" t="str">
        <f>IFERROR(INDEX('DRAFT 1'!$Z:$Z,MATCH($B197,'DRAFT 1'!$B:$B,0)),"")</f>
        <v/>
      </c>
      <c r="AF197" t="str">
        <f>IFERROR(INDEX('DRAFT 1'!$AA:$AA,MATCH($B197,'DRAFT 1'!$B:$B,0)),"")</f>
        <v/>
      </c>
      <c r="AG197" t="str">
        <f>IFERROR(INDEX('DRAFT 1'!$AB:$AB,MATCH($B197,'DRAFT 1'!$B:$B,0)),"")</f>
        <v/>
      </c>
      <c r="AH197" t="str">
        <f>IFERROR(INDEX('DRAFT 1'!$AC:$AC,MATCH($B197,'DRAFT 1'!$B:$B,0)),"")</f>
        <v/>
      </c>
      <c r="AI197" t="str">
        <f>IFERROR(INDEX('DRAFT 1'!$AD:$AD,MATCH($B197,'DRAFT 1'!$B:$B,0)),"")</f>
        <v/>
      </c>
      <c r="AJ197" t="str">
        <f>IFERROR(INDEX('DRAFT 1'!$AE:$AE,MATCH($B197,'DRAFT 1'!$B:$B,0)),"")</f>
        <v/>
      </c>
      <c r="AK197" t="str">
        <f>IFERROR(INDEX('DRAFT 1'!$AG:$AG,MATCH($B197,'DRAFT 1'!$B:$B,0)),"")</f>
        <v/>
      </c>
      <c r="AL197" t="str">
        <f>IFERROR(INDEX('DRAFT 1'!$AH:$AH,MATCH($B197,'DRAFT 1'!$B:$B,0)),"")</f>
        <v/>
      </c>
      <c r="AM197" t="str">
        <f>IFERROR(INDEX('DRAFT 1'!$AI:$AI,MATCH($B197,'DRAFT 1'!$B:$B,0)),"")</f>
        <v/>
      </c>
      <c r="AN197" t="str">
        <f>IFERROR(INDEX('DRAFT 1'!$AJ:$AJ,MATCH($B197,'DRAFT 1'!$B:$B,0)),"")</f>
        <v/>
      </c>
      <c r="AO197">
        <f t="shared" si="84"/>
        <v>0</v>
      </c>
      <c r="AP197" t="str">
        <f>IFERROR(INDEX('DRAFT 1'!$AK:$AK,MATCH($B197,'DRAFT 1'!$B:$B,0)),"")</f>
        <v/>
      </c>
      <c r="AR197">
        <f>IFERROR(LOOKUP(2,1/('DRAFT 2'!$D:$D=$B197),'DRAFT 2'!$I:$I),"")</f>
        <v>0</v>
      </c>
      <c r="AS197">
        <f>IFERROR(LOOKUP(2,1/('DRAFT 2'!$D:$D=$B197),'DRAFT 2'!$T:$T),"")</f>
        <v>0</v>
      </c>
      <c r="AT197">
        <f>IFERROR(LOOKUP(2,1/('DRAFT 2'!$D:$D=$B197),'DRAFT 2'!$A:$A),"")</f>
        <v>0</v>
      </c>
      <c r="AU197">
        <f>IFERROR(LOOKUP(2,1/('DRAFT 2'!$D:$D=$B197),'DRAFT 2'!$R:$R),"")</f>
        <v>0</v>
      </c>
      <c r="AV197">
        <f>IFERROR(LOOKUP(2,1/('DRAFT 2'!$D:$D=$B197),'DRAFT 2'!$S:$S),"")</f>
        <v>0</v>
      </c>
      <c r="AX197">
        <f>IFERROR(LOOKUP(2,1/('DRAFT 2'!$D:$D=$B197),'DRAFT 2'!$M:$M),"")</f>
        <v>0</v>
      </c>
      <c r="AY197">
        <f>IFERROR(LOOKUP(2,1/('DRAFT 2'!$D:$D=$B197),'DRAFT 2'!$K:$K),"")</f>
        <v>0</v>
      </c>
      <c r="BG197">
        <f>IFERROR(LOOKUP(2,1/('DRAFT 2'!$D:$D=$B197),'DRAFT 2'!$U:$U),"")</f>
        <v>0</v>
      </c>
      <c r="BH197">
        <f>IFERROR(LOOKUP(2,1/('DRAFT 2'!$D:$D=$B197),'DRAFT 2'!$V:$V),"")</f>
        <v>0</v>
      </c>
      <c r="CE197" t="str">
        <f t="shared" si="71"/>
        <v/>
      </c>
      <c r="CF197">
        <f>IFERROR(LOOKUP(2,1/('DRAFT 2'!$D:$D=$B197)*('DRAFT 2'!$A:$A&gt;=DATE(2026,1,1))*('DRAFT 2'!$A:$A&lt;DATE(2026,IF(1=12,1+1,1+1),1)),'DRAFT 2'!$A:$A),"")</f>
        <v>0</v>
      </c>
      <c r="CG197">
        <f>COUNTIFS('DRAFT 2'!$D:$D,$B197,'DRAFT 2'!$A:$A,"&gt;="&amp;DATE(2026,1,1),'DRAFT 2'!$A:$A,"&lt;="&amp;DATE(2026,1,7))</f>
        <v>0</v>
      </c>
      <c r="CH197">
        <f>COUNTIFS('DRAFT 2'!$D:$D,$B197,'DRAFT 2'!$A:$A,"&gt;="&amp;DATE(2026,1,8),'DRAFT 2'!$A:$A,"&lt;="&amp;DATE(2026,1,14))</f>
        <v>0</v>
      </c>
      <c r="CI197">
        <f>COUNTIFS('DRAFT 2'!$D:$D,$B197,'DRAFT 2'!$A:$A,"&gt;="&amp;DATE(2026,1,15),'DRAFT 2'!$A:$A,"&lt;="&amp;DATE(2026,1,21))</f>
        <v>0</v>
      </c>
      <c r="CJ197">
        <f>COUNTIFS('DRAFT 2'!$D:$D,$B197,'DRAFT 2'!$A:$A,"&gt;="&amp;DATE(2026,1,22),'DRAFT 2'!$A:$A,"&lt;"&amp;DATE(2026,IF(1=12,1+1,1+1),1))</f>
        <v>0</v>
      </c>
      <c r="CK197">
        <f t="shared" si="85"/>
        <v>0</v>
      </c>
      <c r="CT197">
        <v>0</v>
      </c>
      <c r="CU197">
        <f>IFERROR(LOOKUP(2,1/('DRAFT 2'!$D:$D=$B197)*('DRAFT 2'!$A:$A&gt;=DATE(2026,2,1))*('DRAFT 2'!$A:$A&lt;DATE(2026,IF(2=12,2+1,2+1),1)),'DRAFT 2'!$A:$A),"")</f>
        <v>0</v>
      </c>
      <c r="CV197">
        <f>COUNTIFS('DRAFT 2'!$D:$D,$B197,'DRAFT 2'!$A:$A,"&gt;="&amp;DATE(2026,2,1),'DRAFT 2'!$A:$A,"&lt;="&amp;DATE(2026,2,7))</f>
        <v>0</v>
      </c>
      <c r="CW197">
        <f>COUNTIFS('DRAFT 2'!$D:$D,$B197,'DRAFT 2'!$A:$A,"&gt;="&amp;DATE(2026,2,8),'DRAFT 2'!$A:$A,"&lt;="&amp;DATE(2026,2,14))</f>
        <v>0</v>
      </c>
      <c r="CX197">
        <f>COUNTIFS('DRAFT 2'!$D:$D,$B197,'DRAFT 2'!$A:$A,"&gt;="&amp;DATE(2026,2,15),'DRAFT 2'!$A:$A,"&lt;="&amp;DATE(2026,2,21))</f>
        <v>0</v>
      </c>
      <c r="CY197">
        <f>COUNTIFS('DRAFT 2'!$D:$D,$B197,'DRAFT 2'!$A:$A,"&gt;="&amp;DATE(2026,2,22),'DRAFT 2'!$A:$A,"&lt;"&amp;DATE(2026,IF(2=12,2+1,2+1),1))</f>
        <v>0</v>
      </c>
      <c r="CZ197">
        <f t="shared" si="86"/>
        <v>0</v>
      </c>
      <c r="DJ197">
        <f>IFERROR(LOOKUP(2,1/('DRAFT 2'!$D:$D=$B197)*('DRAFT 2'!$A:$A&gt;=DATE(2026,3,1))*('DRAFT 2'!$A:$A&lt;DATE(2026,IF(3=12,3+1,3+1),1)),'DRAFT 2'!$A:$A),"")</f>
        <v>0</v>
      </c>
      <c r="DK197">
        <f>COUNTIFS('DRAFT 2'!$D:$D,$B197,'DRAFT 2'!$A:$A,"&gt;="&amp;DATE(2026,3,1),'DRAFT 2'!$A:$A,"&lt;="&amp;DATE(2026,3,7))</f>
        <v>0</v>
      </c>
      <c r="DL197">
        <f>COUNTIFS('DRAFT 2'!$D:$D,$B197,'DRAFT 2'!$A:$A,"&gt;="&amp;DATE(2026,3,8),'DRAFT 2'!$A:$A,"&lt;="&amp;DATE(2026,3,14))</f>
        <v>0</v>
      </c>
      <c r="DM197">
        <f>COUNTIFS('DRAFT 2'!$D:$D,$B197,'DRAFT 2'!$A:$A,"&gt;="&amp;DATE(2026,3,15),'DRAFT 2'!$A:$A,"&lt;="&amp;DATE(2026,3,21))</f>
        <v>0</v>
      </c>
      <c r="DN197">
        <f>COUNTIFS('DRAFT 2'!$D:$D,$B197,'DRAFT 2'!$A:$A,"&gt;="&amp;DATE(2026,3,22),'DRAFT 2'!$A:$A,"&lt;"&amp;DATE(2026,IF(3=12,3+1,3+1),1))</f>
        <v>0</v>
      </c>
      <c r="DO197">
        <f t="shared" si="87"/>
        <v>0</v>
      </c>
      <c r="DZ197">
        <f>IFERROR(LOOKUP(2,1/('DRAFT 2'!$D:$D=$B197)*('DRAFT 2'!$A:$A&gt;=DATE(2026,4,1))*('DRAFT 2'!$A:$A&lt;DATE(2026,IF(4=12,4+1,4+1),1)),'DRAFT 2'!$A:$A),"")</f>
        <v>0</v>
      </c>
      <c r="EA197">
        <f>COUNTIFS('DRAFT 2'!$D:$D,$B197,'DRAFT 2'!$A:$A,"&gt;="&amp;DATE(2026,4,1),'DRAFT 2'!$A:$A,"&lt;="&amp;DATE(2026,4,7))</f>
        <v>0</v>
      </c>
      <c r="EB197">
        <f>COUNTIFS('DRAFT 2'!$D:$D,$B197,'DRAFT 2'!$A:$A,"&gt;="&amp;DATE(2026,4,8),'DRAFT 2'!$A:$A,"&lt;="&amp;DATE(2026,4,14))</f>
        <v>0</v>
      </c>
      <c r="EC197">
        <f>COUNTIFS('DRAFT 2'!$D:$D,$B197,'DRAFT 2'!$A:$A,"&gt;="&amp;DATE(2026,4,15),'DRAFT 2'!$A:$A,"&lt;="&amp;DATE(2026,4,21))</f>
        <v>0</v>
      </c>
      <c r="ED197">
        <f>COUNTIFS('DRAFT 2'!$D:$D,$B197,'DRAFT 2'!$A:$A,"&gt;="&amp;DATE(2026,4,22),'DRAFT 2'!$A:$A,"&lt;"&amp;DATE(2026,IF(4=12,4+1,4+1),1))</f>
        <v>0</v>
      </c>
      <c r="EE197">
        <f t="shared" si="88"/>
        <v>0</v>
      </c>
      <c r="EO197">
        <f>IFERROR(LOOKUP(2,1/('DRAFT 2'!$D:$D=$B197)*('DRAFT 2'!$A:$A&gt;=DATE(2026,5,1))*('DRAFT 2'!$A:$A&lt;DATE(2026,IF(5=12,5+1,5+1),1)),'DRAFT 2'!$A:$A),"")</f>
        <v>0</v>
      </c>
      <c r="EP197">
        <f>COUNTIFS('DRAFT 2'!$D:$D,$B197,'DRAFT 2'!$A:$A,"&gt;="&amp;DATE(2026,5,1),'DRAFT 2'!$A:$A,"&lt;="&amp;DATE(2026,5,7))</f>
        <v>0</v>
      </c>
      <c r="EQ197">
        <f>COUNTIFS('DRAFT 2'!$D:$D,$B197,'DRAFT 2'!$A:$A,"&gt;="&amp;DATE(2026,5,8),'DRAFT 2'!$A:$A,"&lt;="&amp;DATE(2026,5,14))</f>
        <v>0</v>
      </c>
      <c r="ER197">
        <f>COUNTIFS('DRAFT 2'!$D:$D,$B197,'DRAFT 2'!$A:$A,"&gt;="&amp;DATE(2026,5,15),'DRAFT 2'!$A:$A,"&lt;="&amp;DATE(2026,5,21))</f>
        <v>0</v>
      </c>
      <c r="ES197">
        <f>COUNTIFS('DRAFT 2'!$D:$D,$B197,'DRAFT 2'!$A:$A,"&gt;="&amp;DATE(2026,5,22),'DRAFT 2'!$A:$A,"&lt;"&amp;DATE(2026,IF(5=12,5+1,5+1),1))</f>
        <v>0</v>
      </c>
      <c r="ET197">
        <f t="shared" si="89"/>
        <v>0</v>
      </c>
      <c r="FD197">
        <f>IFERROR(LOOKUP(2,1/('DRAFT 2'!$D:$D=$B197)*('DRAFT 2'!$A:$A&gt;=DATE(2026,6,1))*('DRAFT 2'!$A:$A&lt;DATE(2026,IF(6=12,6+1,6+1),1)),'DRAFT 2'!$A:$A),"")</f>
        <v>0</v>
      </c>
      <c r="FE197">
        <f>COUNTIFS('DRAFT 2'!$D:$D,$B197,'DRAFT 2'!$A:$A,"&gt;="&amp;DATE(2026,6,1),'DRAFT 2'!$A:$A,"&lt;="&amp;DATE(2026,6,7))</f>
        <v>0</v>
      </c>
      <c r="FF197">
        <f>COUNTIFS('DRAFT 2'!$D:$D,$B197,'DRAFT 2'!$A:$A,"&gt;="&amp;DATE(2026,6,8),'DRAFT 2'!$A:$A,"&lt;="&amp;DATE(2026,6,14))</f>
        <v>0</v>
      </c>
      <c r="FG197">
        <f>COUNTIFS('DRAFT 2'!$D:$D,$B197,'DRAFT 2'!$A:$A,"&gt;="&amp;DATE(2026,6,15),'DRAFT 2'!$A:$A,"&lt;="&amp;DATE(2026,6,21))</f>
        <v>0</v>
      </c>
      <c r="FH197">
        <f>COUNTIFS('DRAFT 2'!$D:$D,$B197,'DRAFT 2'!$A:$A,"&gt;="&amp;DATE(2026,6,22),'DRAFT 2'!$A:$A,"&lt;"&amp;DATE(2026,IF(6=12,6+1,6+1),1))</f>
        <v>0</v>
      </c>
      <c r="FI197">
        <f t="shared" si="90"/>
        <v>0</v>
      </c>
      <c r="FT197">
        <f>IFERROR(LOOKUP(2,1/('DRAFT 2'!$D:$D=$B197)*('DRAFT 2'!$A:$A&gt;=DATE(2026,7,1))*('DRAFT 2'!$A:$A&lt;DATE(2026,IF(7=12,7+1,7+1),1)),'DRAFT 2'!$A:$A),"")</f>
        <v>0</v>
      </c>
      <c r="FU197">
        <f>COUNTIFS('DRAFT 2'!$D:$D,$B197,'DRAFT 2'!$A:$A,"&gt;="&amp;DATE(2026,7,1),'DRAFT 2'!$A:$A,"&lt;="&amp;DATE(2026,7,7))</f>
        <v>0</v>
      </c>
      <c r="FV197">
        <f>COUNTIFS('DRAFT 2'!$D:$D,$B197,'DRAFT 2'!$A:$A,"&gt;="&amp;DATE(2026,7,8),'DRAFT 2'!$A:$A,"&lt;="&amp;DATE(2026,7,14))</f>
        <v>0</v>
      </c>
      <c r="FW197">
        <f>COUNTIFS('DRAFT 2'!$D:$D,$B197,'DRAFT 2'!$A:$A,"&gt;="&amp;DATE(2026,7,15),'DRAFT 2'!$A:$A,"&lt;="&amp;DATE(2026,7,21))</f>
        <v>0</v>
      </c>
      <c r="FX197">
        <f>COUNTIFS('DRAFT 2'!$D:$D,$B197,'DRAFT 2'!$A:$A,"&gt;="&amp;DATE(2026,7,22),'DRAFT 2'!$A:$A,"&lt;"&amp;DATE(2026,IF(7=12,7+1,7+1),1))</f>
        <v>0</v>
      </c>
      <c r="FY197">
        <f t="shared" si="91"/>
        <v>0</v>
      </c>
      <c r="GI197">
        <f>IFERROR(LOOKUP(2,1/('DRAFT 2'!$D:$D=$B197)*('DRAFT 2'!$A:$A&gt;=DATE(2026,8,1))*('DRAFT 2'!$A:$A&lt;DATE(2026,IF(8=12,8+1,8+1),1)),'DRAFT 2'!$A:$A),"")</f>
        <v>0</v>
      </c>
      <c r="GJ197">
        <f>COUNTIFS('DRAFT 2'!$D:$D,$B197,'DRAFT 2'!$A:$A,"&gt;="&amp;DATE(2026,8,1),'DRAFT 2'!$A:$A,"&lt;="&amp;DATE(2026,8,7))</f>
        <v>0</v>
      </c>
      <c r="GK197">
        <f>COUNTIFS('DRAFT 2'!$D:$D,$B197,'DRAFT 2'!$A:$A,"&gt;="&amp;DATE(2026,8,8),'DRAFT 2'!$A:$A,"&lt;="&amp;DATE(2026,8,14))</f>
        <v>0</v>
      </c>
      <c r="GL197">
        <f>COUNTIFS('DRAFT 2'!$D:$D,$B197,'DRAFT 2'!$A:$A,"&gt;="&amp;DATE(2026,8,15),'DRAFT 2'!$A:$A,"&lt;="&amp;DATE(2026,8,21))</f>
        <v>0</v>
      </c>
      <c r="GM197">
        <f>COUNTIFS('DRAFT 2'!$D:$D,$B197,'DRAFT 2'!$A:$A,"&gt;="&amp;DATE(2026,8,22),'DRAFT 2'!$A:$A,"&lt;"&amp;DATE(2026,IF(8=12,8+1,8+1),1))</f>
        <v>0</v>
      </c>
      <c r="GN197">
        <f t="shared" si="92"/>
        <v>0</v>
      </c>
      <c r="GX197">
        <f>IFERROR(LOOKUP(2,1/('DRAFT 2'!$D:$D=$B197)*('DRAFT 2'!$A:$A&gt;=DATE(2026,9,1))*('DRAFT 2'!$A:$A&lt;DATE(2026,IF(9=12,9+1,9+1),1)),'DRAFT 2'!$A:$A),"")</f>
        <v>0</v>
      </c>
      <c r="GY197">
        <f>COUNTIFS('DRAFT 2'!$D:$D,$B197,'DRAFT 2'!$A:$A,"&gt;="&amp;DATE(2026,9,1),'DRAFT 2'!$A:$A,"&lt;="&amp;DATE(2026,9,7))</f>
        <v>0</v>
      </c>
      <c r="GZ197">
        <f>COUNTIFS('DRAFT 2'!$D:$D,$B197,'DRAFT 2'!$A:$A,"&gt;="&amp;DATE(2026,9,8),'DRAFT 2'!$A:$A,"&lt;="&amp;DATE(2026,9,14))</f>
        <v>0</v>
      </c>
      <c r="HA197">
        <f>COUNTIFS('DRAFT 2'!$D:$D,$B197,'DRAFT 2'!$A:$A,"&gt;="&amp;DATE(2026,9,15),'DRAFT 2'!$A:$A,"&lt;="&amp;DATE(2026,9,21))</f>
        <v>0</v>
      </c>
      <c r="HB197">
        <f>COUNTIFS('DRAFT 2'!$D:$D,$B197,'DRAFT 2'!$A:$A,"&gt;="&amp;DATE(2026,9,22),'DRAFT 2'!$A:$A,"&lt;"&amp;DATE(2026,IF(9=12,9+1,9+1),1))</f>
        <v>0</v>
      </c>
      <c r="HC197">
        <f t="shared" si="93"/>
        <v>0</v>
      </c>
      <c r="HN197">
        <f>IFERROR(LOOKUP(2,1/('DRAFT 2'!$D:$D=$B197)*('DRAFT 2'!$A:$A&gt;=DATE(2026,10,1))*('DRAFT 2'!$A:$A&lt;DATE(2026,IF(10=12,10+1,10+1),1)),'DRAFT 2'!$A:$A),"")</f>
        <v>0</v>
      </c>
      <c r="HO197">
        <f>COUNTIFS('DRAFT 2'!$D:$D,$B197,'DRAFT 2'!$A:$A,"&gt;="&amp;DATE(2026,10,1),'DRAFT 2'!$A:$A,"&lt;="&amp;DATE(2026,10,7))</f>
        <v>0</v>
      </c>
      <c r="HP197">
        <f>COUNTIFS('DRAFT 2'!$D:$D,$B197,'DRAFT 2'!$A:$A,"&gt;="&amp;DATE(2026,10,8),'DRAFT 2'!$A:$A,"&lt;="&amp;DATE(2026,10,14))</f>
        <v>0</v>
      </c>
      <c r="HQ197">
        <f>COUNTIFS('DRAFT 2'!$D:$D,$B197,'DRAFT 2'!$A:$A,"&gt;="&amp;DATE(2026,10,15),'DRAFT 2'!$A:$A,"&lt;="&amp;DATE(2026,10,21))</f>
        <v>0</v>
      </c>
      <c r="HR197">
        <f>COUNTIFS('DRAFT 2'!$D:$D,$B197,'DRAFT 2'!$A:$A,"&gt;="&amp;DATE(2026,10,22),'DRAFT 2'!$A:$A,"&lt;"&amp;DATE(2026,IF(10=12,10+1,10+1),1))</f>
        <v>0</v>
      </c>
      <c r="HS197">
        <f t="shared" si="94"/>
        <v>0</v>
      </c>
      <c r="IC197">
        <f>IFERROR(LOOKUP(2,1/('DRAFT 2'!$D:$D=$B197)*('DRAFT 2'!$A:$A&gt;=DATE(2026,11,1))*('DRAFT 2'!$A:$A&lt;DATE(2026,IF(11=12,11+1,11+1),1)),'DRAFT 2'!$A:$A),"")</f>
        <v>0</v>
      </c>
      <c r="ID197">
        <f>COUNTIFS('DRAFT 2'!$D:$D,$B197,'DRAFT 2'!$A:$A,"&gt;="&amp;DATE(2026,11,1),'DRAFT 2'!$A:$A,"&lt;="&amp;DATE(2026,11,7))</f>
        <v>0</v>
      </c>
      <c r="IE197">
        <f>COUNTIFS('DRAFT 2'!$D:$D,$B197,'DRAFT 2'!$A:$A,"&gt;="&amp;DATE(2026,11,8),'DRAFT 2'!$A:$A,"&lt;="&amp;DATE(2026,11,14))</f>
        <v>0</v>
      </c>
      <c r="IF197">
        <f>COUNTIFS('DRAFT 2'!$D:$D,$B197,'DRAFT 2'!$A:$A,"&gt;="&amp;DATE(2026,11,15),'DRAFT 2'!$A:$A,"&lt;="&amp;DATE(2026,11,21))</f>
        <v>0</v>
      </c>
      <c r="IG197">
        <f>COUNTIFS('DRAFT 2'!$D:$D,$B197,'DRAFT 2'!$A:$A,"&gt;="&amp;DATE(2026,11,22),'DRAFT 2'!$A:$A,"&lt;"&amp;DATE(2026,IF(11=12,11+1,11+1),1))</f>
        <v>0</v>
      </c>
      <c r="IH197">
        <f t="shared" si="95"/>
        <v>0</v>
      </c>
      <c r="IR197">
        <f>IFERROR(LOOKUP(2,1/('DRAFT 2'!$D:$D=$B197)*('DRAFT 2'!$A:$A&gt;=DATE(2026,12,1))*('DRAFT 2'!$A:$A&lt;DATE(2026,IF(12=12,12+1,12+1),1)),'DRAFT 2'!$A:$A),"")</f>
        <v>0</v>
      </c>
      <c r="IS197">
        <f>COUNTIFS('DRAFT 2'!$D:$D,$B197,'DRAFT 2'!$A:$A,"&gt;="&amp;DATE(2026,12,1),'DRAFT 2'!$A:$A,"&lt;="&amp;DATE(2026,12,7))</f>
        <v>0</v>
      </c>
      <c r="IT197">
        <f>COUNTIFS('DRAFT 2'!$D:$D,$B197,'DRAFT 2'!$A:$A,"&gt;="&amp;DATE(2026,12,8),'DRAFT 2'!$A:$A,"&lt;="&amp;DATE(2026,12,14))</f>
        <v>0</v>
      </c>
      <c r="IU197">
        <f>COUNTIFS('DRAFT 2'!$D:$D,$B197,'DRAFT 2'!$A:$A,"&gt;="&amp;DATE(2026,12,15),'DRAFT 2'!$A:$A,"&lt;="&amp;DATE(2026,12,21))</f>
        <v>0</v>
      </c>
      <c r="IV197">
        <f>COUNTIFS('DRAFT 2'!$D:$D,$B197,'DRAFT 2'!$A:$A,"&gt;="&amp;DATE(2026,12,22),'DRAFT 2'!$A:$A,"&lt;"&amp;DATE(2026,IF(12=12,12+1,12+1),1))</f>
        <v>0</v>
      </c>
      <c r="IW197">
        <f t="shared" si="96"/>
        <v>0</v>
      </c>
    </row>
    <row r="198" spans="1:257" x14ac:dyDescent="0.3">
      <c r="A198" t="str">
        <f>IFERROR(INDEX('DRAFT 1'!$A:$A,MATCH($B198,'DRAFT 1'!$B:$B,0)),"")</f>
        <v/>
      </c>
      <c r="C198" t="str">
        <f>IFERROR(INDEX('DRAFT 1'!$C:$C,MATCH($B198,'DRAFT 1'!$B:$B,0)),"")</f>
        <v/>
      </c>
      <c r="D198" t="str">
        <f>IFERROR(INDEX('DRAFT 1'!$D:$D,MATCH($B198,'DRAFT 1'!$B:$B,0)),"")</f>
        <v/>
      </c>
      <c r="E198" t="str">
        <f>IFERROR(INDEX('DRAFT 1'!$E:$E,MATCH($B198,'DRAFT 1'!$B:$B,0)),"")</f>
        <v/>
      </c>
      <c r="F198" t="str">
        <f>IFERROR(INDEX('DRAFT 1'!$F:$F,MATCH($B198,'DRAFT 1'!$B:$B,0)),"")</f>
        <v/>
      </c>
      <c r="G198" t="str">
        <f>IFERROR(INDEX('DRAFT 1'!$G:$G,MATCH($B198,'DRAFT 1'!$B:$B,0)),"")</f>
        <v/>
      </c>
      <c r="H198" t="str">
        <f>IFERROR(INDEX('DRAFT 1'!$H:$H,MATCH($B198,'DRAFT 1'!$B:$B,0)),"")</f>
        <v/>
      </c>
      <c r="I198" t="str">
        <f>IFERROR(INDEX('DRAFT 1'!$I:$I,MATCH($B198,'DRAFT 1'!$B:$B,0)),"")</f>
        <v/>
      </c>
      <c r="K198" t="str">
        <f>IFERROR(INDEX('DRAFT 1'!$AL:$AL,MATCH($B198,'DRAFT 1'!$B:$B,0)),"")</f>
        <v/>
      </c>
      <c r="L198" t="str">
        <f>IFERROR(INDEX('DRAFT 1'!$J:$J,MATCH($B198,'DRAFT 1'!$B:$B,0)),"")</f>
        <v/>
      </c>
      <c r="M198" t="str">
        <f>IFERROR(INDEX('DRAFT 1'!$K:$K,MATCH($B198,'DRAFT 1'!$B:$B,0)),"")</f>
        <v/>
      </c>
      <c r="P198" t="str">
        <f>IFERROR(INDEX('DRAFT 1'!$L:$L,MATCH($B198,'DRAFT 1'!$B:$B,0)),"")</f>
        <v/>
      </c>
      <c r="Q198" t="str">
        <f>IFERROR(INDEX('DRAFT 1'!$M:$M,MATCH($B198,'DRAFT 1'!$B:$B,0)),"")</f>
        <v/>
      </c>
      <c r="R198" t="str">
        <f>IFERROR(INDEX('DRAFT 1'!$N:$N,MATCH($B198,'DRAFT 1'!$B:$B,0)),"")</f>
        <v/>
      </c>
      <c r="S198" t="str">
        <f>IFERROR(INDEX('DRAFT 1'!$O:$O,MATCH($B198,'DRAFT 1'!$B:$B,0)),"")</f>
        <v/>
      </c>
      <c r="T198" t="str">
        <f>IFERROR(INDEX('DRAFT 1'!$P:$P,MATCH($B198,'DRAFT 1'!$B:$B,0)),"")</f>
        <v/>
      </c>
      <c r="U198" t="str">
        <f>IFERROR(INDEX('DRAFT 1'!$Q:$Q,MATCH($B198,'DRAFT 1'!$B:$B,0)),"")</f>
        <v/>
      </c>
      <c r="V198" t="str">
        <f>IFERROR(INDEX('DRAFT 1'!$R:$R,MATCH($B198,'DRAFT 1'!$B:$B,0)),"")</f>
        <v/>
      </c>
      <c r="W198" t="str">
        <f>IFERROR(INDEX('DRAFT 1'!$S:$S,MATCH($B198,'DRAFT 1'!$B:$B,0)),"")</f>
        <v/>
      </c>
      <c r="X198" t="str">
        <f>IFERROR(INDEX('DRAFT 1'!$T:$T,MATCH($B198,'DRAFT 1'!$B:$B,0)),"")</f>
        <v/>
      </c>
      <c r="Z198" t="str">
        <f>IFERROR(INDEX('DRAFT 1'!$U:$U,MATCH($B198,'DRAFT 1'!$B:$B,0)),"")</f>
        <v/>
      </c>
      <c r="AA198" t="str">
        <f>IFERROR(INDEX('DRAFT 1'!$V:$V,MATCH($B198,'DRAFT 1'!$B:$B,0)),"")</f>
        <v/>
      </c>
      <c r="AB198" t="str">
        <f>IFERROR(INDEX('DRAFT 1'!$W:$W,MATCH($B198,'DRAFT 1'!$B:$B,0)),"")</f>
        <v/>
      </c>
      <c r="AC198" t="str">
        <f>IFERROR(INDEX('DRAFT 1'!$X:$X,MATCH($B198,'DRAFT 1'!$B:$B,0)),"")</f>
        <v/>
      </c>
      <c r="AD198" t="str">
        <f>IFERROR(INDEX('DRAFT 1'!$Y:$Y,MATCH($B198,'DRAFT 1'!$B:$B,0)),"")</f>
        <v/>
      </c>
      <c r="AE198" t="str">
        <f>IFERROR(INDEX('DRAFT 1'!$Z:$Z,MATCH($B198,'DRAFT 1'!$B:$B,0)),"")</f>
        <v/>
      </c>
      <c r="AF198" t="str">
        <f>IFERROR(INDEX('DRAFT 1'!$AA:$AA,MATCH($B198,'DRAFT 1'!$B:$B,0)),"")</f>
        <v/>
      </c>
      <c r="AG198" t="str">
        <f>IFERROR(INDEX('DRAFT 1'!$AB:$AB,MATCH($B198,'DRAFT 1'!$B:$B,0)),"")</f>
        <v/>
      </c>
      <c r="AH198" t="str">
        <f>IFERROR(INDEX('DRAFT 1'!$AC:$AC,MATCH($B198,'DRAFT 1'!$B:$B,0)),"")</f>
        <v/>
      </c>
      <c r="AI198" t="str">
        <f>IFERROR(INDEX('DRAFT 1'!$AD:$AD,MATCH($B198,'DRAFT 1'!$B:$B,0)),"")</f>
        <v/>
      </c>
      <c r="AJ198" t="str">
        <f>IFERROR(INDEX('DRAFT 1'!$AE:$AE,MATCH($B198,'DRAFT 1'!$B:$B,0)),"")</f>
        <v/>
      </c>
      <c r="AK198" t="str">
        <f>IFERROR(INDEX('DRAFT 1'!$AG:$AG,MATCH($B198,'DRAFT 1'!$B:$B,0)),"")</f>
        <v/>
      </c>
      <c r="AL198" t="str">
        <f>IFERROR(INDEX('DRAFT 1'!$AH:$AH,MATCH($B198,'DRAFT 1'!$B:$B,0)),"")</f>
        <v/>
      </c>
      <c r="AM198" t="str">
        <f>IFERROR(INDEX('DRAFT 1'!$AI:$AI,MATCH($B198,'DRAFT 1'!$B:$B,0)),"")</f>
        <v/>
      </c>
      <c r="AN198" t="str">
        <f>IFERROR(INDEX('DRAFT 1'!$AJ:$AJ,MATCH($B198,'DRAFT 1'!$B:$B,0)),"")</f>
        <v/>
      </c>
      <c r="AO198">
        <f t="shared" si="84"/>
        <v>0</v>
      </c>
      <c r="AP198" t="str">
        <f>IFERROR(INDEX('DRAFT 1'!$AK:$AK,MATCH($B198,'DRAFT 1'!$B:$B,0)),"")</f>
        <v/>
      </c>
      <c r="AR198">
        <f>IFERROR(LOOKUP(2,1/('DRAFT 2'!$D:$D=$B198),'DRAFT 2'!$I:$I),"")</f>
        <v>0</v>
      </c>
      <c r="AS198">
        <f>IFERROR(LOOKUP(2,1/('DRAFT 2'!$D:$D=$B198),'DRAFT 2'!$T:$T),"")</f>
        <v>0</v>
      </c>
      <c r="AT198">
        <f>IFERROR(LOOKUP(2,1/('DRAFT 2'!$D:$D=$B198),'DRAFT 2'!$A:$A),"")</f>
        <v>0</v>
      </c>
      <c r="AU198">
        <f>IFERROR(LOOKUP(2,1/('DRAFT 2'!$D:$D=$B198),'DRAFT 2'!$R:$R),"")</f>
        <v>0</v>
      </c>
      <c r="AV198">
        <f>IFERROR(LOOKUP(2,1/('DRAFT 2'!$D:$D=$B198),'DRAFT 2'!$S:$S),"")</f>
        <v>0</v>
      </c>
      <c r="AX198">
        <f>IFERROR(LOOKUP(2,1/('DRAFT 2'!$D:$D=$B198),'DRAFT 2'!$M:$M),"")</f>
        <v>0</v>
      </c>
      <c r="AY198">
        <f>IFERROR(LOOKUP(2,1/('DRAFT 2'!$D:$D=$B198),'DRAFT 2'!$K:$K),"")</f>
        <v>0</v>
      </c>
      <c r="BG198">
        <f>IFERROR(LOOKUP(2,1/('DRAFT 2'!$D:$D=$B198),'DRAFT 2'!$U:$U),"")</f>
        <v>0</v>
      </c>
      <c r="BH198">
        <f>IFERROR(LOOKUP(2,1/('DRAFT 2'!$D:$D=$B198),'DRAFT 2'!$V:$V),"")</f>
        <v>0</v>
      </c>
      <c r="CE198" t="str">
        <f t="shared" si="71"/>
        <v/>
      </c>
      <c r="CF198">
        <f>IFERROR(LOOKUP(2,1/('DRAFT 2'!$D:$D=$B198)*('DRAFT 2'!$A:$A&gt;=DATE(2026,1,1))*('DRAFT 2'!$A:$A&lt;DATE(2026,IF(1=12,1+1,1+1),1)),'DRAFT 2'!$A:$A),"")</f>
        <v>0</v>
      </c>
      <c r="CG198">
        <f>COUNTIFS('DRAFT 2'!$D:$D,$B198,'DRAFT 2'!$A:$A,"&gt;="&amp;DATE(2026,1,1),'DRAFT 2'!$A:$A,"&lt;="&amp;DATE(2026,1,7))</f>
        <v>0</v>
      </c>
      <c r="CH198">
        <f>COUNTIFS('DRAFT 2'!$D:$D,$B198,'DRAFT 2'!$A:$A,"&gt;="&amp;DATE(2026,1,8),'DRAFT 2'!$A:$A,"&lt;="&amp;DATE(2026,1,14))</f>
        <v>0</v>
      </c>
      <c r="CI198">
        <f>COUNTIFS('DRAFT 2'!$D:$D,$B198,'DRAFT 2'!$A:$A,"&gt;="&amp;DATE(2026,1,15),'DRAFT 2'!$A:$A,"&lt;="&amp;DATE(2026,1,21))</f>
        <v>0</v>
      </c>
      <c r="CJ198">
        <f>COUNTIFS('DRAFT 2'!$D:$D,$B198,'DRAFT 2'!$A:$A,"&gt;="&amp;DATE(2026,1,22),'DRAFT 2'!$A:$A,"&lt;"&amp;DATE(2026,IF(1=12,1+1,1+1),1))</f>
        <v>0</v>
      </c>
      <c r="CK198">
        <f t="shared" si="85"/>
        <v>0</v>
      </c>
      <c r="CT198">
        <v>0</v>
      </c>
      <c r="CU198">
        <f>IFERROR(LOOKUP(2,1/('DRAFT 2'!$D:$D=$B198)*('DRAFT 2'!$A:$A&gt;=DATE(2026,2,1))*('DRAFT 2'!$A:$A&lt;DATE(2026,IF(2=12,2+1,2+1),1)),'DRAFT 2'!$A:$A),"")</f>
        <v>0</v>
      </c>
      <c r="CV198">
        <f>COUNTIFS('DRAFT 2'!$D:$D,$B198,'DRAFT 2'!$A:$A,"&gt;="&amp;DATE(2026,2,1),'DRAFT 2'!$A:$A,"&lt;="&amp;DATE(2026,2,7))</f>
        <v>0</v>
      </c>
      <c r="CW198">
        <f>COUNTIFS('DRAFT 2'!$D:$D,$B198,'DRAFT 2'!$A:$A,"&gt;="&amp;DATE(2026,2,8),'DRAFT 2'!$A:$A,"&lt;="&amp;DATE(2026,2,14))</f>
        <v>0</v>
      </c>
      <c r="CX198">
        <f>COUNTIFS('DRAFT 2'!$D:$D,$B198,'DRAFT 2'!$A:$A,"&gt;="&amp;DATE(2026,2,15),'DRAFT 2'!$A:$A,"&lt;="&amp;DATE(2026,2,21))</f>
        <v>0</v>
      </c>
      <c r="CY198">
        <f>COUNTIFS('DRAFT 2'!$D:$D,$B198,'DRAFT 2'!$A:$A,"&gt;="&amp;DATE(2026,2,22),'DRAFT 2'!$A:$A,"&lt;"&amp;DATE(2026,IF(2=12,2+1,2+1),1))</f>
        <v>0</v>
      </c>
      <c r="CZ198">
        <f t="shared" si="86"/>
        <v>0</v>
      </c>
      <c r="DJ198">
        <f>IFERROR(LOOKUP(2,1/('DRAFT 2'!$D:$D=$B198)*('DRAFT 2'!$A:$A&gt;=DATE(2026,3,1))*('DRAFT 2'!$A:$A&lt;DATE(2026,IF(3=12,3+1,3+1),1)),'DRAFT 2'!$A:$A),"")</f>
        <v>0</v>
      </c>
      <c r="DK198">
        <f>COUNTIFS('DRAFT 2'!$D:$D,$B198,'DRAFT 2'!$A:$A,"&gt;="&amp;DATE(2026,3,1),'DRAFT 2'!$A:$A,"&lt;="&amp;DATE(2026,3,7))</f>
        <v>0</v>
      </c>
      <c r="DL198">
        <f>COUNTIFS('DRAFT 2'!$D:$D,$B198,'DRAFT 2'!$A:$A,"&gt;="&amp;DATE(2026,3,8),'DRAFT 2'!$A:$A,"&lt;="&amp;DATE(2026,3,14))</f>
        <v>0</v>
      </c>
      <c r="DM198">
        <f>COUNTIFS('DRAFT 2'!$D:$D,$B198,'DRAFT 2'!$A:$A,"&gt;="&amp;DATE(2026,3,15),'DRAFT 2'!$A:$A,"&lt;="&amp;DATE(2026,3,21))</f>
        <v>0</v>
      </c>
      <c r="DN198">
        <f>COUNTIFS('DRAFT 2'!$D:$D,$B198,'DRAFT 2'!$A:$A,"&gt;="&amp;DATE(2026,3,22),'DRAFT 2'!$A:$A,"&lt;"&amp;DATE(2026,IF(3=12,3+1,3+1),1))</f>
        <v>0</v>
      </c>
      <c r="DO198">
        <f t="shared" si="87"/>
        <v>0</v>
      </c>
      <c r="DZ198">
        <f>IFERROR(LOOKUP(2,1/('DRAFT 2'!$D:$D=$B198)*('DRAFT 2'!$A:$A&gt;=DATE(2026,4,1))*('DRAFT 2'!$A:$A&lt;DATE(2026,IF(4=12,4+1,4+1),1)),'DRAFT 2'!$A:$A),"")</f>
        <v>0</v>
      </c>
      <c r="EA198">
        <f>COUNTIFS('DRAFT 2'!$D:$D,$B198,'DRAFT 2'!$A:$A,"&gt;="&amp;DATE(2026,4,1),'DRAFT 2'!$A:$A,"&lt;="&amp;DATE(2026,4,7))</f>
        <v>0</v>
      </c>
      <c r="EB198">
        <f>COUNTIFS('DRAFT 2'!$D:$D,$B198,'DRAFT 2'!$A:$A,"&gt;="&amp;DATE(2026,4,8),'DRAFT 2'!$A:$A,"&lt;="&amp;DATE(2026,4,14))</f>
        <v>0</v>
      </c>
      <c r="EC198">
        <f>COUNTIFS('DRAFT 2'!$D:$D,$B198,'DRAFT 2'!$A:$A,"&gt;="&amp;DATE(2026,4,15),'DRAFT 2'!$A:$A,"&lt;="&amp;DATE(2026,4,21))</f>
        <v>0</v>
      </c>
      <c r="ED198">
        <f>COUNTIFS('DRAFT 2'!$D:$D,$B198,'DRAFT 2'!$A:$A,"&gt;="&amp;DATE(2026,4,22),'DRAFT 2'!$A:$A,"&lt;"&amp;DATE(2026,IF(4=12,4+1,4+1),1))</f>
        <v>0</v>
      </c>
      <c r="EE198">
        <f t="shared" si="88"/>
        <v>0</v>
      </c>
      <c r="EO198">
        <f>IFERROR(LOOKUP(2,1/('DRAFT 2'!$D:$D=$B198)*('DRAFT 2'!$A:$A&gt;=DATE(2026,5,1))*('DRAFT 2'!$A:$A&lt;DATE(2026,IF(5=12,5+1,5+1),1)),'DRAFT 2'!$A:$A),"")</f>
        <v>0</v>
      </c>
      <c r="EP198">
        <f>COUNTIFS('DRAFT 2'!$D:$D,$B198,'DRAFT 2'!$A:$A,"&gt;="&amp;DATE(2026,5,1),'DRAFT 2'!$A:$A,"&lt;="&amp;DATE(2026,5,7))</f>
        <v>0</v>
      </c>
      <c r="EQ198">
        <f>COUNTIFS('DRAFT 2'!$D:$D,$B198,'DRAFT 2'!$A:$A,"&gt;="&amp;DATE(2026,5,8),'DRAFT 2'!$A:$A,"&lt;="&amp;DATE(2026,5,14))</f>
        <v>0</v>
      </c>
      <c r="ER198">
        <f>COUNTIFS('DRAFT 2'!$D:$D,$B198,'DRAFT 2'!$A:$A,"&gt;="&amp;DATE(2026,5,15),'DRAFT 2'!$A:$A,"&lt;="&amp;DATE(2026,5,21))</f>
        <v>0</v>
      </c>
      <c r="ES198">
        <f>COUNTIFS('DRAFT 2'!$D:$D,$B198,'DRAFT 2'!$A:$A,"&gt;="&amp;DATE(2026,5,22),'DRAFT 2'!$A:$A,"&lt;"&amp;DATE(2026,IF(5=12,5+1,5+1),1))</f>
        <v>0</v>
      </c>
      <c r="ET198">
        <f t="shared" si="89"/>
        <v>0</v>
      </c>
      <c r="FD198">
        <f>IFERROR(LOOKUP(2,1/('DRAFT 2'!$D:$D=$B198)*('DRAFT 2'!$A:$A&gt;=DATE(2026,6,1))*('DRAFT 2'!$A:$A&lt;DATE(2026,IF(6=12,6+1,6+1),1)),'DRAFT 2'!$A:$A),"")</f>
        <v>0</v>
      </c>
      <c r="FE198">
        <f>COUNTIFS('DRAFT 2'!$D:$D,$B198,'DRAFT 2'!$A:$A,"&gt;="&amp;DATE(2026,6,1),'DRAFT 2'!$A:$A,"&lt;="&amp;DATE(2026,6,7))</f>
        <v>0</v>
      </c>
      <c r="FF198">
        <f>COUNTIFS('DRAFT 2'!$D:$D,$B198,'DRAFT 2'!$A:$A,"&gt;="&amp;DATE(2026,6,8),'DRAFT 2'!$A:$A,"&lt;="&amp;DATE(2026,6,14))</f>
        <v>0</v>
      </c>
      <c r="FG198">
        <f>COUNTIFS('DRAFT 2'!$D:$D,$B198,'DRAFT 2'!$A:$A,"&gt;="&amp;DATE(2026,6,15),'DRAFT 2'!$A:$A,"&lt;="&amp;DATE(2026,6,21))</f>
        <v>0</v>
      </c>
      <c r="FH198">
        <f>COUNTIFS('DRAFT 2'!$D:$D,$B198,'DRAFT 2'!$A:$A,"&gt;="&amp;DATE(2026,6,22),'DRAFT 2'!$A:$A,"&lt;"&amp;DATE(2026,IF(6=12,6+1,6+1),1))</f>
        <v>0</v>
      </c>
      <c r="FI198">
        <f t="shared" si="90"/>
        <v>0</v>
      </c>
      <c r="FT198">
        <f>IFERROR(LOOKUP(2,1/('DRAFT 2'!$D:$D=$B198)*('DRAFT 2'!$A:$A&gt;=DATE(2026,7,1))*('DRAFT 2'!$A:$A&lt;DATE(2026,IF(7=12,7+1,7+1),1)),'DRAFT 2'!$A:$A),"")</f>
        <v>0</v>
      </c>
      <c r="FU198">
        <f>COUNTIFS('DRAFT 2'!$D:$D,$B198,'DRAFT 2'!$A:$A,"&gt;="&amp;DATE(2026,7,1),'DRAFT 2'!$A:$A,"&lt;="&amp;DATE(2026,7,7))</f>
        <v>0</v>
      </c>
      <c r="FV198">
        <f>COUNTIFS('DRAFT 2'!$D:$D,$B198,'DRAFT 2'!$A:$A,"&gt;="&amp;DATE(2026,7,8),'DRAFT 2'!$A:$A,"&lt;="&amp;DATE(2026,7,14))</f>
        <v>0</v>
      </c>
      <c r="FW198">
        <f>COUNTIFS('DRAFT 2'!$D:$D,$B198,'DRAFT 2'!$A:$A,"&gt;="&amp;DATE(2026,7,15),'DRAFT 2'!$A:$A,"&lt;="&amp;DATE(2026,7,21))</f>
        <v>0</v>
      </c>
      <c r="FX198">
        <f>COUNTIFS('DRAFT 2'!$D:$D,$B198,'DRAFT 2'!$A:$A,"&gt;="&amp;DATE(2026,7,22),'DRAFT 2'!$A:$A,"&lt;"&amp;DATE(2026,IF(7=12,7+1,7+1),1))</f>
        <v>0</v>
      </c>
      <c r="FY198">
        <f t="shared" si="91"/>
        <v>0</v>
      </c>
      <c r="GI198">
        <f>IFERROR(LOOKUP(2,1/('DRAFT 2'!$D:$D=$B198)*('DRAFT 2'!$A:$A&gt;=DATE(2026,8,1))*('DRAFT 2'!$A:$A&lt;DATE(2026,IF(8=12,8+1,8+1),1)),'DRAFT 2'!$A:$A),"")</f>
        <v>0</v>
      </c>
      <c r="GJ198">
        <f>COUNTIFS('DRAFT 2'!$D:$D,$B198,'DRAFT 2'!$A:$A,"&gt;="&amp;DATE(2026,8,1),'DRAFT 2'!$A:$A,"&lt;="&amp;DATE(2026,8,7))</f>
        <v>0</v>
      </c>
      <c r="GK198">
        <f>COUNTIFS('DRAFT 2'!$D:$D,$B198,'DRAFT 2'!$A:$A,"&gt;="&amp;DATE(2026,8,8),'DRAFT 2'!$A:$A,"&lt;="&amp;DATE(2026,8,14))</f>
        <v>0</v>
      </c>
      <c r="GL198">
        <f>COUNTIFS('DRAFT 2'!$D:$D,$B198,'DRAFT 2'!$A:$A,"&gt;="&amp;DATE(2026,8,15),'DRAFT 2'!$A:$A,"&lt;="&amp;DATE(2026,8,21))</f>
        <v>0</v>
      </c>
      <c r="GM198">
        <f>COUNTIFS('DRAFT 2'!$D:$D,$B198,'DRAFT 2'!$A:$A,"&gt;="&amp;DATE(2026,8,22),'DRAFT 2'!$A:$A,"&lt;"&amp;DATE(2026,IF(8=12,8+1,8+1),1))</f>
        <v>0</v>
      </c>
      <c r="GN198">
        <f t="shared" si="92"/>
        <v>0</v>
      </c>
      <c r="GX198">
        <f>IFERROR(LOOKUP(2,1/('DRAFT 2'!$D:$D=$B198)*('DRAFT 2'!$A:$A&gt;=DATE(2026,9,1))*('DRAFT 2'!$A:$A&lt;DATE(2026,IF(9=12,9+1,9+1),1)),'DRAFT 2'!$A:$A),"")</f>
        <v>0</v>
      </c>
      <c r="GY198">
        <f>COUNTIFS('DRAFT 2'!$D:$D,$B198,'DRAFT 2'!$A:$A,"&gt;="&amp;DATE(2026,9,1),'DRAFT 2'!$A:$A,"&lt;="&amp;DATE(2026,9,7))</f>
        <v>0</v>
      </c>
      <c r="GZ198">
        <f>COUNTIFS('DRAFT 2'!$D:$D,$B198,'DRAFT 2'!$A:$A,"&gt;="&amp;DATE(2026,9,8),'DRAFT 2'!$A:$A,"&lt;="&amp;DATE(2026,9,14))</f>
        <v>0</v>
      </c>
      <c r="HA198">
        <f>COUNTIFS('DRAFT 2'!$D:$D,$B198,'DRAFT 2'!$A:$A,"&gt;="&amp;DATE(2026,9,15),'DRAFT 2'!$A:$A,"&lt;="&amp;DATE(2026,9,21))</f>
        <v>0</v>
      </c>
      <c r="HB198">
        <f>COUNTIFS('DRAFT 2'!$D:$D,$B198,'DRAFT 2'!$A:$A,"&gt;="&amp;DATE(2026,9,22),'DRAFT 2'!$A:$A,"&lt;"&amp;DATE(2026,IF(9=12,9+1,9+1),1))</f>
        <v>0</v>
      </c>
      <c r="HC198">
        <f t="shared" si="93"/>
        <v>0</v>
      </c>
      <c r="HN198">
        <f>IFERROR(LOOKUP(2,1/('DRAFT 2'!$D:$D=$B198)*('DRAFT 2'!$A:$A&gt;=DATE(2026,10,1))*('DRAFT 2'!$A:$A&lt;DATE(2026,IF(10=12,10+1,10+1),1)),'DRAFT 2'!$A:$A),"")</f>
        <v>0</v>
      </c>
      <c r="HO198">
        <f>COUNTIFS('DRAFT 2'!$D:$D,$B198,'DRAFT 2'!$A:$A,"&gt;="&amp;DATE(2026,10,1),'DRAFT 2'!$A:$A,"&lt;="&amp;DATE(2026,10,7))</f>
        <v>0</v>
      </c>
      <c r="HP198">
        <f>COUNTIFS('DRAFT 2'!$D:$D,$B198,'DRAFT 2'!$A:$A,"&gt;="&amp;DATE(2026,10,8),'DRAFT 2'!$A:$A,"&lt;="&amp;DATE(2026,10,14))</f>
        <v>0</v>
      </c>
      <c r="HQ198">
        <f>COUNTIFS('DRAFT 2'!$D:$D,$B198,'DRAFT 2'!$A:$A,"&gt;="&amp;DATE(2026,10,15),'DRAFT 2'!$A:$A,"&lt;="&amp;DATE(2026,10,21))</f>
        <v>0</v>
      </c>
      <c r="HR198">
        <f>COUNTIFS('DRAFT 2'!$D:$D,$B198,'DRAFT 2'!$A:$A,"&gt;="&amp;DATE(2026,10,22),'DRAFT 2'!$A:$A,"&lt;"&amp;DATE(2026,IF(10=12,10+1,10+1),1))</f>
        <v>0</v>
      </c>
      <c r="HS198">
        <f t="shared" si="94"/>
        <v>0</v>
      </c>
      <c r="IC198">
        <f>IFERROR(LOOKUP(2,1/('DRAFT 2'!$D:$D=$B198)*('DRAFT 2'!$A:$A&gt;=DATE(2026,11,1))*('DRAFT 2'!$A:$A&lt;DATE(2026,IF(11=12,11+1,11+1),1)),'DRAFT 2'!$A:$A),"")</f>
        <v>0</v>
      </c>
      <c r="ID198">
        <f>COUNTIFS('DRAFT 2'!$D:$D,$B198,'DRAFT 2'!$A:$A,"&gt;="&amp;DATE(2026,11,1),'DRAFT 2'!$A:$A,"&lt;="&amp;DATE(2026,11,7))</f>
        <v>0</v>
      </c>
      <c r="IE198">
        <f>COUNTIFS('DRAFT 2'!$D:$D,$B198,'DRAFT 2'!$A:$A,"&gt;="&amp;DATE(2026,11,8),'DRAFT 2'!$A:$A,"&lt;="&amp;DATE(2026,11,14))</f>
        <v>0</v>
      </c>
      <c r="IF198">
        <f>COUNTIFS('DRAFT 2'!$D:$D,$B198,'DRAFT 2'!$A:$A,"&gt;="&amp;DATE(2026,11,15),'DRAFT 2'!$A:$A,"&lt;="&amp;DATE(2026,11,21))</f>
        <v>0</v>
      </c>
      <c r="IG198">
        <f>COUNTIFS('DRAFT 2'!$D:$D,$B198,'DRAFT 2'!$A:$A,"&gt;="&amp;DATE(2026,11,22),'DRAFT 2'!$A:$A,"&lt;"&amp;DATE(2026,IF(11=12,11+1,11+1),1))</f>
        <v>0</v>
      </c>
      <c r="IH198">
        <f t="shared" si="95"/>
        <v>0</v>
      </c>
      <c r="IR198">
        <f>IFERROR(LOOKUP(2,1/('DRAFT 2'!$D:$D=$B198)*('DRAFT 2'!$A:$A&gt;=DATE(2026,12,1))*('DRAFT 2'!$A:$A&lt;DATE(2026,IF(12=12,12+1,12+1),1)),'DRAFT 2'!$A:$A),"")</f>
        <v>0</v>
      </c>
      <c r="IS198">
        <f>COUNTIFS('DRAFT 2'!$D:$D,$B198,'DRAFT 2'!$A:$A,"&gt;="&amp;DATE(2026,12,1),'DRAFT 2'!$A:$A,"&lt;="&amp;DATE(2026,12,7))</f>
        <v>0</v>
      </c>
      <c r="IT198">
        <f>COUNTIFS('DRAFT 2'!$D:$D,$B198,'DRAFT 2'!$A:$A,"&gt;="&amp;DATE(2026,12,8),'DRAFT 2'!$A:$A,"&lt;="&amp;DATE(2026,12,14))</f>
        <v>0</v>
      </c>
      <c r="IU198">
        <f>COUNTIFS('DRAFT 2'!$D:$D,$B198,'DRAFT 2'!$A:$A,"&gt;="&amp;DATE(2026,12,15),'DRAFT 2'!$A:$A,"&lt;="&amp;DATE(2026,12,21))</f>
        <v>0</v>
      </c>
      <c r="IV198">
        <f>COUNTIFS('DRAFT 2'!$D:$D,$B198,'DRAFT 2'!$A:$A,"&gt;="&amp;DATE(2026,12,22),'DRAFT 2'!$A:$A,"&lt;"&amp;DATE(2026,IF(12=12,12+1,12+1),1))</f>
        <v>0</v>
      </c>
      <c r="IW198">
        <f t="shared" si="96"/>
        <v>0</v>
      </c>
    </row>
    <row r="199" spans="1:257" x14ac:dyDescent="0.3">
      <c r="A199" t="str">
        <f>IFERROR(INDEX('DRAFT 1'!$A:$A,MATCH($B199,'DRAFT 1'!$B:$B,0)),"")</f>
        <v/>
      </c>
      <c r="C199" t="str">
        <f>IFERROR(INDEX('DRAFT 1'!$C:$C,MATCH($B199,'DRAFT 1'!$B:$B,0)),"")</f>
        <v/>
      </c>
      <c r="D199" t="str">
        <f>IFERROR(INDEX('DRAFT 1'!$D:$D,MATCH($B199,'DRAFT 1'!$B:$B,0)),"")</f>
        <v/>
      </c>
      <c r="E199" t="str">
        <f>IFERROR(INDEX('DRAFT 1'!$E:$E,MATCH($B199,'DRAFT 1'!$B:$B,0)),"")</f>
        <v/>
      </c>
      <c r="F199" t="str">
        <f>IFERROR(INDEX('DRAFT 1'!$F:$F,MATCH($B199,'DRAFT 1'!$B:$B,0)),"")</f>
        <v/>
      </c>
      <c r="G199" t="str">
        <f>IFERROR(INDEX('DRAFT 1'!$G:$G,MATCH($B199,'DRAFT 1'!$B:$B,0)),"")</f>
        <v/>
      </c>
      <c r="H199" t="str">
        <f>IFERROR(INDEX('DRAFT 1'!$H:$H,MATCH($B199,'DRAFT 1'!$B:$B,0)),"")</f>
        <v/>
      </c>
      <c r="I199" t="str">
        <f>IFERROR(INDEX('DRAFT 1'!$I:$I,MATCH($B199,'DRAFT 1'!$B:$B,0)),"")</f>
        <v/>
      </c>
      <c r="K199" t="str">
        <f>IFERROR(INDEX('DRAFT 1'!$AL:$AL,MATCH($B199,'DRAFT 1'!$B:$B,0)),"")</f>
        <v/>
      </c>
      <c r="L199" t="str">
        <f>IFERROR(INDEX('DRAFT 1'!$J:$J,MATCH($B199,'DRAFT 1'!$B:$B,0)),"")</f>
        <v/>
      </c>
      <c r="M199" t="str">
        <f>IFERROR(INDEX('DRAFT 1'!$K:$K,MATCH($B199,'DRAFT 1'!$B:$B,0)),"")</f>
        <v/>
      </c>
      <c r="P199" t="str">
        <f>IFERROR(INDEX('DRAFT 1'!$L:$L,MATCH($B199,'DRAFT 1'!$B:$B,0)),"")</f>
        <v/>
      </c>
      <c r="Q199" t="str">
        <f>IFERROR(INDEX('DRAFT 1'!$M:$M,MATCH($B199,'DRAFT 1'!$B:$B,0)),"")</f>
        <v/>
      </c>
      <c r="R199" t="str">
        <f>IFERROR(INDEX('DRAFT 1'!$N:$N,MATCH($B199,'DRAFT 1'!$B:$B,0)),"")</f>
        <v/>
      </c>
      <c r="S199" t="str">
        <f>IFERROR(INDEX('DRAFT 1'!$O:$O,MATCH($B199,'DRAFT 1'!$B:$B,0)),"")</f>
        <v/>
      </c>
      <c r="T199" t="str">
        <f>IFERROR(INDEX('DRAFT 1'!$P:$P,MATCH($B199,'DRAFT 1'!$B:$B,0)),"")</f>
        <v/>
      </c>
      <c r="U199" t="str">
        <f>IFERROR(INDEX('DRAFT 1'!$Q:$Q,MATCH($B199,'DRAFT 1'!$B:$B,0)),"")</f>
        <v/>
      </c>
      <c r="V199" t="str">
        <f>IFERROR(INDEX('DRAFT 1'!$R:$R,MATCH($B199,'DRAFT 1'!$B:$B,0)),"")</f>
        <v/>
      </c>
      <c r="W199" t="str">
        <f>IFERROR(INDEX('DRAFT 1'!$S:$S,MATCH($B199,'DRAFT 1'!$B:$B,0)),"")</f>
        <v/>
      </c>
      <c r="X199" t="str">
        <f>IFERROR(INDEX('DRAFT 1'!$T:$T,MATCH($B199,'DRAFT 1'!$B:$B,0)),"")</f>
        <v/>
      </c>
      <c r="Z199" t="str">
        <f>IFERROR(INDEX('DRAFT 1'!$U:$U,MATCH($B199,'DRAFT 1'!$B:$B,0)),"")</f>
        <v/>
      </c>
      <c r="AA199" t="str">
        <f>IFERROR(INDEX('DRAFT 1'!$V:$V,MATCH($B199,'DRAFT 1'!$B:$B,0)),"")</f>
        <v/>
      </c>
      <c r="AB199" t="str">
        <f>IFERROR(INDEX('DRAFT 1'!$W:$W,MATCH($B199,'DRAFT 1'!$B:$B,0)),"")</f>
        <v/>
      </c>
      <c r="AC199" t="str">
        <f>IFERROR(INDEX('DRAFT 1'!$X:$X,MATCH($B199,'DRAFT 1'!$B:$B,0)),"")</f>
        <v/>
      </c>
      <c r="AD199" t="str">
        <f>IFERROR(INDEX('DRAFT 1'!$Y:$Y,MATCH($B199,'DRAFT 1'!$B:$B,0)),"")</f>
        <v/>
      </c>
      <c r="AE199" t="str">
        <f>IFERROR(INDEX('DRAFT 1'!$Z:$Z,MATCH($B199,'DRAFT 1'!$B:$B,0)),"")</f>
        <v/>
      </c>
      <c r="AF199" t="str">
        <f>IFERROR(INDEX('DRAFT 1'!$AA:$AA,MATCH($B199,'DRAFT 1'!$B:$B,0)),"")</f>
        <v/>
      </c>
      <c r="AG199" t="str">
        <f>IFERROR(INDEX('DRAFT 1'!$AB:$AB,MATCH($B199,'DRAFT 1'!$B:$B,0)),"")</f>
        <v/>
      </c>
      <c r="AH199" t="str">
        <f>IFERROR(INDEX('DRAFT 1'!$AC:$AC,MATCH($B199,'DRAFT 1'!$B:$B,0)),"")</f>
        <v/>
      </c>
      <c r="AI199" t="str">
        <f>IFERROR(INDEX('DRAFT 1'!$AD:$AD,MATCH($B199,'DRAFT 1'!$B:$B,0)),"")</f>
        <v/>
      </c>
      <c r="AJ199" t="str">
        <f>IFERROR(INDEX('DRAFT 1'!$AE:$AE,MATCH($B199,'DRAFT 1'!$B:$B,0)),"")</f>
        <v/>
      </c>
      <c r="AK199" t="str">
        <f>IFERROR(INDEX('DRAFT 1'!$AG:$AG,MATCH($B199,'DRAFT 1'!$B:$B,0)),"")</f>
        <v/>
      </c>
      <c r="AL199" t="str">
        <f>IFERROR(INDEX('DRAFT 1'!$AH:$AH,MATCH($B199,'DRAFT 1'!$B:$B,0)),"")</f>
        <v/>
      </c>
      <c r="AM199" t="str">
        <f>IFERROR(INDEX('DRAFT 1'!$AI:$AI,MATCH($B199,'DRAFT 1'!$B:$B,0)),"")</f>
        <v/>
      </c>
      <c r="AN199" t="str">
        <f>IFERROR(INDEX('DRAFT 1'!$AJ:$AJ,MATCH($B199,'DRAFT 1'!$B:$B,0)),"")</f>
        <v/>
      </c>
      <c r="AO199">
        <f t="shared" si="84"/>
        <v>0</v>
      </c>
      <c r="AP199" t="str">
        <f>IFERROR(INDEX('DRAFT 1'!$AK:$AK,MATCH($B199,'DRAFT 1'!$B:$B,0)),"")</f>
        <v/>
      </c>
      <c r="AR199">
        <f>IFERROR(LOOKUP(2,1/('DRAFT 2'!$D:$D=$B199),'DRAFT 2'!$I:$I),"")</f>
        <v>0</v>
      </c>
      <c r="AS199">
        <f>IFERROR(LOOKUP(2,1/('DRAFT 2'!$D:$D=$B199),'DRAFT 2'!$T:$T),"")</f>
        <v>0</v>
      </c>
      <c r="AT199">
        <f>IFERROR(LOOKUP(2,1/('DRAFT 2'!$D:$D=$B199),'DRAFT 2'!$A:$A),"")</f>
        <v>0</v>
      </c>
      <c r="AU199">
        <f>IFERROR(LOOKUP(2,1/('DRAFT 2'!$D:$D=$B199),'DRAFT 2'!$R:$R),"")</f>
        <v>0</v>
      </c>
      <c r="AV199">
        <f>IFERROR(LOOKUP(2,1/('DRAFT 2'!$D:$D=$B199),'DRAFT 2'!$S:$S),"")</f>
        <v>0</v>
      </c>
      <c r="AX199">
        <f>IFERROR(LOOKUP(2,1/('DRAFT 2'!$D:$D=$B199),'DRAFT 2'!$M:$M),"")</f>
        <v>0</v>
      </c>
      <c r="AY199">
        <f>IFERROR(LOOKUP(2,1/('DRAFT 2'!$D:$D=$B199),'DRAFT 2'!$K:$K),"")</f>
        <v>0</v>
      </c>
      <c r="BG199">
        <f>IFERROR(LOOKUP(2,1/('DRAFT 2'!$D:$D=$B199),'DRAFT 2'!$U:$U),"")</f>
        <v>0</v>
      </c>
      <c r="BH199">
        <f>IFERROR(LOOKUP(2,1/('DRAFT 2'!$D:$D=$B199),'DRAFT 2'!$V:$V),"")</f>
        <v>0</v>
      </c>
      <c r="CE199" t="str">
        <f t="shared" si="71"/>
        <v/>
      </c>
      <c r="CF199">
        <f>IFERROR(LOOKUP(2,1/('DRAFT 2'!$D:$D=$B199)*('DRAFT 2'!$A:$A&gt;=DATE(2026,1,1))*('DRAFT 2'!$A:$A&lt;DATE(2026,IF(1=12,1+1,1+1),1)),'DRAFT 2'!$A:$A),"")</f>
        <v>0</v>
      </c>
      <c r="CG199">
        <f>COUNTIFS('DRAFT 2'!$D:$D,$B199,'DRAFT 2'!$A:$A,"&gt;="&amp;DATE(2026,1,1),'DRAFT 2'!$A:$A,"&lt;="&amp;DATE(2026,1,7))</f>
        <v>0</v>
      </c>
      <c r="CH199">
        <f>COUNTIFS('DRAFT 2'!$D:$D,$B199,'DRAFT 2'!$A:$A,"&gt;="&amp;DATE(2026,1,8),'DRAFT 2'!$A:$A,"&lt;="&amp;DATE(2026,1,14))</f>
        <v>0</v>
      </c>
      <c r="CI199">
        <f>COUNTIFS('DRAFT 2'!$D:$D,$B199,'DRAFT 2'!$A:$A,"&gt;="&amp;DATE(2026,1,15),'DRAFT 2'!$A:$A,"&lt;="&amp;DATE(2026,1,21))</f>
        <v>0</v>
      </c>
      <c r="CJ199">
        <f>COUNTIFS('DRAFT 2'!$D:$D,$B199,'DRAFT 2'!$A:$A,"&gt;="&amp;DATE(2026,1,22),'DRAFT 2'!$A:$A,"&lt;"&amp;DATE(2026,IF(1=12,1+1,1+1),1))</f>
        <v>0</v>
      </c>
      <c r="CK199">
        <f t="shared" si="85"/>
        <v>0</v>
      </c>
      <c r="CT199">
        <v>0</v>
      </c>
      <c r="CU199">
        <f>IFERROR(LOOKUP(2,1/('DRAFT 2'!$D:$D=$B199)*('DRAFT 2'!$A:$A&gt;=DATE(2026,2,1))*('DRAFT 2'!$A:$A&lt;DATE(2026,IF(2=12,2+1,2+1),1)),'DRAFT 2'!$A:$A),"")</f>
        <v>0</v>
      </c>
      <c r="CV199">
        <f>COUNTIFS('DRAFT 2'!$D:$D,$B199,'DRAFT 2'!$A:$A,"&gt;="&amp;DATE(2026,2,1),'DRAFT 2'!$A:$A,"&lt;="&amp;DATE(2026,2,7))</f>
        <v>0</v>
      </c>
      <c r="CW199">
        <f>COUNTIFS('DRAFT 2'!$D:$D,$B199,'DRAFT 2'!$A:$A,"&gt;="&amp;DATE(2026,2,8),'DRAFT 2'!$A:$A,"&lt;="&amp;DATE(2026,2,14))</f>
        <v>0</v>
      </c>
      <c r="CX199">
        <f>COUNTIFS('DRAFT 2'!$D:$D,$B199,'DRAFT 2'!$A:$A,"&gt;="&amp;DATE(2026,2,15),'DRAFT 2'!$A:$A,"&lt;="&amp;DATE(2026,2,21))</f>
        <v>0</v>
      </c>
      <c r="CY199">
        <f>COUNTIFS('DRAFT 2'!$D:$D,$B199,'DRAFT 2'!$A:$A,"&gt;="&amp;DATE(2026,2,22),'DRAFT 2'!$A:$A,"&lt;"&amp;DATE(2026,IF(2=12,2+1,2+1),1))</f>
        <v>0</v>
      </c>
      <c r="CZ199">
        <f t="shared" si="86"/>
        <v>0</v>
      </c>
      <c r="DJ199">
        <f>IFERROR(LOOKUP(2,1/('DRAFT 2'!$D:$D=$B199)*('DRAFT 2'!$A:$A&gt;=DATE(2026,3,1))*('DRAFT 2'!$A:$A&lt;DATE(2026,IF(3=12,3+1,3+1),1)),'DRAFT 2'!$A:$A),"")</f>
        <v>0</v>
      </c>
      <c r="DK199">
        <f>COUNTIFS('DRAFT 2'!$D:$D,$B199,'DRAFT 2'!$A:$A,"&gt;="&amp;DATE(2026,3,1),'DRAFT 2'!$A:$A,"&lt;="&amp;DATE(2026,3,7))</f>
        <v>0</v>
      </c>
      <c r="DL199">
        <f>COUNTIFS('DRAFT 2'!$D:$D,$B199,'DRAFT 2'!$A:$A,"&gt;="&amp;DATE(2026,3,8),'DRAFT 2'!$A:$A,"&lt;="&amp;DATE(2026,3,14))</f>
        <v>0</v>
      </c>
      <c r="DM199">
        <f>COUNTIFS('DRAFT 2'!$D:$D,$B199,'DRAFT 2'!$A:$A,"&gt;="&amp;DATE(2026,3,15),'DRAFT 2'!$A:$A,"&lt;="&amp;DATE(2026,3,21))</f>
        <v>0</v>
      </c>
      <c r="DN199">
        <f>COUNTIFS('DRAFT 2'!$D:$D,$B199,'DRAFT 2'!$A:$A,"&gt;="&amp;DATE(2026,3,22),'DRAFT 2'!$A:$A,"&lt;"&amp;DATE(2026,IF(3=12,3+1,3+1),1))</f>
        <v>0</v>
      </c>
      <c r="DO199">
        <f t="shared" si="87"/>
        <v>0</v>
      </c>
      <c r="DZ199">
        <f>IFERROR(LOOKUP(2,1/('DRAFT 2'!$D:$D=$B199)*('DRAFT 2'!$A:$A&gt;=DATE(2026,4,1))*('DRAFT 2'!$A:$A&lt;DATE(2026,IF(4=12,4+1,4+1),1)),'DRAFT 2'!$A:$A),"")</f>
        <v>0</v>
      </c>
      <c r="EA199">
        <f>COUNTIFS('DRAFT 2'!$D:$D,$B199,'DRAFT 2'!$A:$A,"&gt;="&amp;DATE(2026,4,1),'DRAFT 2'!$A:$A,"&lt;="&amp;DATE(2026,4,7))</f>
        <v>0</v>
      </c>
      <c r="EB199">
        <f>COUNTIFS('DRAFT 2'!$D:$D,$B199,'DRAFT 2'!$A:$A,"&gt;="&amp;DATE(2026,4,8),'DRAFT 2'!$A:$A,"&lt;="&amp;DATE(2026,4,14))</f>
        <v>0</v>
      </c>
      <c r="EC199">
        <f>COUNTIFS('DRAFT 2'!$D:$D,$B199,'DRAFT 2'!$A:$A,"&gt;="&amp;DATE(2026,4,15),'DRAFT 2'!$A:$A,"&lt;="&amp;DATE(2026,4,21))</f>
        <v>0</v>
      </c>
      <c r="ED199">
        <f>COUNTIFS('DRAFT 2'!$D:$D,$B199,'DRAFT 2'!$A:$A,"&gt;="&amp;DATE(2026,4,22),'DRAFT 2'!$A:$A,"&lt;"&amp;DATE(2026,IF(4=12,4+1,4+1),1))</f>
        <v>0</v>
      </c>
      <c r="EE199">
        <f t="shared" si="88"/>
        <v>0</v>
      </c>
      <c r="EO199">
        <f>IFERROR(LOOKUP(2,1/('DRAFT 2'!$D:$D=$B199)*('DRAFT 2'!$A:$A&gt;=DATE(2026,5,1))*('DRAFT 2'!$A:$A&lt;DATE(2026,IF(5=12,5+1,5+1),1)),'DRAFT 2'!$A:$A),"")</f>
        <v>0</v>
      </c>
      <c r="EP199">
        <f>COUNTIFS('DRAFT 2'!$D:$D,$B199,'DRAFT 2'!$A:$A,"&gt;="&amp;DATE(2026,5,1),'DRAFT 2'!$A:$A,"&lt;="&amp;DATE(2026,5,7))</f>
        <v>0</v>
      </c>
      <c r="EQ199">
        <f>COUNTIFS('DRAFT 2'!$D:$D,$B199,'DRAFT 2'!$A:$A,"&gt;="&amp;DATE(2026,5,8),'DRAFT 2'!$A:$A,"&lt;="&amp;DATE(2026,5,14))</f>
        <v>0</v>
      </c>
      <c r="ER199">
        <f>COUNTIFS('DRAFT 2'!$D:$D,$B199,'DRAFT 2'!$A:$A,"&gt;="&amp;DATE(2026,5,15),'DRAFT 2'!$A:$A,"&lt;="&amp;DATE(2026,5,21))</f>
        <v>0</v>
      </c>
      <c r="ES199">
        <f>COUNTIFS('DRAFT 2'!$D:$D,$B199,'DRAFT 2'!$A:$A,"&gt;="&amp;DATE(2026,5,22),'DRAFT 2'!$A:$A,"&lt;"&amp;DATE(2026,IF(5=12,5+1,5+1),1))</f>
        <v>0</v>
      </c>
      <c r="ET199">
        <f t="shared" si="89"/>
        <v>0</v>
      </c>
      <c r="FD199">
        <f>IFERROR(LOOKUP(2,1/('DRAFT 2'!$D:$D=$B199)*('DRAFT 2'!$A:$A&gt;=DATE(2026,6,1))*('DRAFT 2'!$A:$A&lt;DATE(2026,IF(6=12,6+1,6+1),1)),'DRAFT 2'!$A:$A),"")</f>
        <v>0</v>
      </c>
      <c r="FE199">
        <f>COUNTIFS('DRAFT 2'!$D:$D,$B199,'DRAFT 2'!$A:$A,"&gt;="&amp;DATE(2026,6,1),'DRAFT 2'!$A:$A,"&lt;="&amp;DATE(2026,6,7))</f>
        <v>0</v>
      </c>
      <c r="FF199">
        <f>COUNTIFS('DRAFT 2'!$D:$D,$B199,'DRAFT 2'!$A:$A,"&gt;="&amp;DATE(2026,6,8),'DRAFT 2'!$A:$A,"&lt;="&amp;DATE(2026,6,14))</f>
        <v>0</v>
      </c>
      <c r="FG199">
        <f>COUNTIFS('DRAFT 2'!$D:$D,$B199,'DRAFT 2'!$A:$A,"&gt;="&amp;DATE(2026,6,15),'DRAFT 2'!$A:$A,"&lt;="&amp;DATE(2026,6,21))</f>
        <v>0</v>
      </c>
      <c r="FH199">
        <f>COUNTIFS('DRAFT 2'!$D:$D,$B199,'DRAFT 2'!$A:$A,"&gt;="&amp;DATE(2026,6,22),'DRAFT 2'!$A:$A,"&lt;"&amp;DATE(2026,IF(6=12,6+1,6+1),1))</f>
        <v>0</v>
      </c>
      <c r="FI199">
        <f t="shared" si="90"/>
        <v>0</v>
      </c>
      <c r="FT199">
        <f>IFERROR(LOOKUP(2,1/('DRAFT 2'!$D:$D=$B199)*('DRAFT 2'!$A:$A&gt;=DATE(2026,7,1))*('DRAFT 2'!$A:$A&lt;DATE(2026,IF(7=12,7+1,7+1),1)),'DRAFT 2'!$A:$A),"")</f>
        <v>0</v>
      </c>
      <c r="FU199">
        <f>COUNTIFS('DRAFT 2'!$D:$D,$B199,'DRAFT 2'!$A:$A,"&gt;="&amp;DATE(2026,7,1),'DRAFT 2'!$A:$A,"&lt;="&amp;DATE(2026,7,7))</f>
        <v>0</v>
      </c>
      <c r="FV199">
        <f>COUNTIFS('DRAFT 2'!$D:$D,$B199,'DRAFT 2'!$A:$A,"&gt;="&amp;DATE(2026,7,8),'DRAFT 2'!$A:$A,"&lt;="&amp;DATE(2026,7,14))</f>
        <v>0</v>
      </c>
      <c r="FW199">
        <f>COUNTIFS('DRAFT 2'!$D:$D,$B199,'DRAFT 2'!$A:$A,"&gt;="&amp;DATE(2026,7,15),'DRAFT 2'!$A:$A,"&lt;="&amp;DATE(2026,7,21))</f>
        <v>0</v>
      </c>
      <c r="FX199">
        <f>COUNTIFS('DRAFT 2'!$D:$D,$B199,'DRAFT 2'!$A:$A,"&gt;="&amp;DATE(2026,7,22),'DRAFT 2'!$A:$A,"&lt;"&amp;DATE(2026,IF(7=12,7+1,7+1),1))</f>
        <v>0</v>
      </c>
      <c r="FY199">
        <f t="shared" si="91"/>
        <v>0</v>
      </c>
      <c r="GI199">
        <f>IFERROR(LOOKUP(2,1/('DRAFT 2'!$D:$D=$B199)*('DRAFT 2'!$A:$A&gt;=DATE(2026,8,1))*('DRAFT 2'!$A:$A&lt;DATE(2026,IF(8=12,8+1,8+1),1)),'DRAFT 2'!$A:$A),"")</f>
        <v>0</v>
      </c>
      <c r="GJ199">
        <f>COUNTIFS('DRAFT 2'!$D:$D,$B199,'DRAFT 2'!$A:$A,"&gt;="&amp;DATE(2026,8,1),'DRAFT 2'!$A:$A,"&lt;="&amp;DATE(2026,8,7))</f>
        <v>0</v>
      </c>
      <c r="GK199">
        <f>COUNTIFS('DRAFT 2'!$D:$D,$B199,'DRAFT 2'!$A:$A,"&gt;="&amp;DATE(2026,8,8),'DRAFT 2'!$A:$A,"&lt;="&amp;DATE(2026,8,14))</f>
        <v>0</v>
      </c>
      <c r="GL199">
        <f>COUNTIFS('DRAFT 2'!$D:$D,$B199,'DRAFT 2'!$A:$A,"&gt;="&amp;DATE(2026,8,15),'DRAFT 2'!$A:$A,"&lt;="&amp;DATE(2026,8,21))</f>
        <v>0</v>
      </c>
      <c r="GM199">
        <f>COUNTIFS('DRAFT 2'!$D:$D,$B199,'DRAFT 2'!$A:$A,"&gt;="&amp;DATE(2026,8,22),'DRAFT 2'!$A:$A,"&lt;"&amp;DATE(2026,IF(8=12,8+1,8+1),1))</f>
        <v>0</v>
      </c>
      <c r="GN199">
        <f t="shared" si="92"/>
        <v>0</v>
      </c>
      <c r="GX199">
        <f>IFERROR(LOOKUP(2,1/('DRAFT 2'!$D:$D=$B199)*('DRAFT 2'!$A:$A&gt;=DATE(2026,9,1))*('DRAFT 2'!$A:$A&lt;DATE(2026,IF(9=12,9+1,9+1),1)),'DRAFT 2'!$A:$A),"")</f>
        <v>0</v>
      </c>
      <c r="GY199">
        <f>COUNTIFS('DRAFT 2'!$D:$D,$B199,'DRAFT 2'!$A:$A,"&gt;="&amp;DATE(2026,9,1),'DRAFT 2'!$A:$A,"&lt;="&amp;DATE(2026,9,7))</f>
        <v>0</v>
      </c>
      <c r="GZ199">
        <f>COUNTIFS('DRAFT 2'!$D:$D,$B199,'DRAFT 2'!$A:$A,"&gt;="&amp;DATE(2026,9,8),'DRAFT 2'!$A:$A,"&lt;="&amp;DATE(2026,9,14))</f>
        <v>0</v>
      </c>
      <c r="HA199">
        <f>COUNTIFS('DRAFT 2'!$D:$D,$B199,'DRAFT 2'!$A:$A,"&gt;="&amp;DATE(2026,9,15),'DRAFT 2'!$A:$A,"&lt;="&amp;DATE(2026,9,21))</f>
        <v>0</v>
      </c>
      <c r="HB199">
        <f>COUNTIFS('DRAFT 2'!$D:$D,$B199,'DRAFT 2'!$A:$A,"&gt;="&amp;DATE(2026,9,22),'DRAFT 2'!$A:$A,"&lt;"&amp;DATE(2026,IF(9=12,9+1,9+1),1))</f>
        <v>0</v>
      </c>
      <c r="HC199">
        <f t="shared" si="93"/>
        <v>0</v>
      </c>
      <c r="HN199">
        <f>IFERROR(LOOKUP(2,1/('DRAFT 2'!$D:$D=$B199)*('DRAFT 2'!$A:$A&gt;=DATE(2026,10,1))*('DRAFT 2'!$A:$A&lt;DATE(2026,IF(10=12,10+1,10+1),1)),'DRAFT 2'!$A:$A),"")</f>
        <v>0</v>
      </c>
      <c r="HO199">
        <f>COUNTIFS('DRAFT 2'!$D:$D,$B199,'DRAFT 2'!$A:$A,"&gt;="&amp;DATE(2026,10,1),'DRAFT 2'!$A:$A,"&lt;="&amp;DATE(2026,10,7))</f>
        <v>0</v>
      </c>
      <c r="HP199">
        <f>COUNTIFS('DRAFT 2'!$D:$D,$B199,'DRAFT 2'!$A:$A,"&gt;="&amp;DATE(2026,10,8),'DRAFT 2'!$A:$A,"&lt;="&amp;DATE(2026,10,14))</f>
        <v>0</v>
      </c>
      <c r="HQ199">
        <f>COUNTIFS('DRAFT 2'!$D:$D,$B199,'DRAFT 2'!$A:$A,"&gt;="&amp;DATE(2026,10,15),'DRAFT 2'!$A:$A,"&lt;="&amp;DATE(2026,10,21))</f>
        <v>0</v>
      </c>
      <c r="HR199">
        <f>COUNTIFS('DRAFT 2'!$D:$D,$B199,'DRAFT 2'!$A:$A,"&gt;="&amp;DATE(2026,10,22),'DRAFT 2'!$A:$A,"&lt;"&amp;DATE(2026,IF(10=12,10+1,10+1),1))</f>
        <v>0</v>
      </c>
      <c r="HS199">
        <f t="shared" si="94"/>
        <v>0</v>
      </c>
      <c r="IC199">
        <f>IFERROR(LOOKUP(2,1/('DRAFT 2'!$D:$D=$B199)*('DRAFT 2'!$A:$A&gt;=DATE(2026,11,1))*('DRAFT 2'!$A:$A&lt;DATE(2026,IF(11=12,11+1,11+1),1)),'DRAFT 2'!$A:$A),"")</f>
        <v>0</v>
      </c>
      <c r="ID199">
        <f>COUNTIFS('DRAFT 2'!$D:$D,$B199,'DRAFT 2'!$A:$A,"&gt;="&amp;DATE(2026,11,1),'DRAFT 2'!$A:$A,"&lt;="&amp;DATE(2026,11,7))</f>
        <v>0</v>
      </c>
      <c r="IE199">
        <f>COUNTIFS('DRAFT 2'!$D:$D,$B199,'DRAFT 2'!$A:$A,"&gt;="&amp;DATE(2026,11,8),'DRAFT 2'!$A:$A,"&lt;="&amp;DATE(2026,11,14))</f>
        <v>0</v>
      </c>
      <c r="IF199">
        <f>COUNTIFS('DRAFT 2'!$D:$D,$B199,'DRAFT 2'!$A:$A,"&gt;="&amp;DATE(2026,11,15),'DRAFT 2'!$A:$A,"&lt;="&amp;DATE(2026,11,21))</f>
        <v>0</v>
      </c>
      <c r="IG199">
        <f>COUNTIFS('DRAFT 2'!$D:$D,$B199,'DRAFT 2'!$A:$A,"&gt;="&amp;DATE(2026,11,22),'DRAFT 2'!$A:$A,"&lt;"&amp;DATE(2026,IF(11=12,11+1,11+1),1))</f>
        <v>0</v>
      </c>
      <c r="IH199">
        <f t="shared" si="95"/>
        <v>0</v>
      </c>
      <c r="IR199">
        <f>IFERROR(LOOKUP(2,1/('DRAFT 2'!$D:$D=$B199)*('DRAFT 2'!$A:$A&gt;=DATE(2026,12,1))*('DRAFT 2'!$A:$A&lt;DATE(2026,IF(12=12,12+1,12+1),1)),'DRAFT 2'!$A:$A),"")</f>
        <v>0</v>
      </c>
      <c r="IS199">
        <f>COUNTIFS('DRAFT 2'!$D:$D,$B199,'DRAFT 2'!$A:$A,"&gt;="&amp;DATE(2026,12,1),'DRAFT 2'!$A:$A,"&lt;="&amp;DATE(2026,12,7))</f>
        <v>0</v>
      </c>
      <c r="IT199">
        <f>COUNTIFS('DRAFT 2'!$D:$D,$B199,'DRAFT 2'!$A:$A,"&gt;="&amp;DATE(2026,12,8),'DRAFT 2'!$A:$A,"&lt;="&amp;DATE(2026,12,14))</f>
        <v>0</v>
      </c>
      <c r="IU199">
        <f>COUNTIFS('DRAFT 2'!$D:$D,$B199,'DRAFT 2'!$A:$A,"&gt;="&amp;DATE(2026,12,15),'DRAFT 2'!$A:$A,"&lt;="&amp;DATE(2026,12,21))</f>
        <v>0</v>
      </c>
      <c r="IV199">
        <f>COUNTIFS('DRAFT 2'!$D:$D,$B199,'DRAFT 2'!$A:$A,"&gt;="&amp;DATE(2026,12,22),'DRAFT 2'!$A:$A,"&lt;"&amp;DATE(2026,IF(12=12,12+1,12+1),1))</f>
        <v>0</v>
      </c>
      <c r="IW199">
        <f t="shared" si="96"/>
        <v>0</v>
      </c>
    </row>
    <row r="200" spans="1:257" x14ac:dyDescent="0.3">
      <c r="A200" t="str">
        <f>IFERROR(INDEX('DRAFT 1'!$A:$A,MATCH($B200,'DRAFT 1'!$B:$B,0)),"")</f>
        <v/>
      </c>
      <c r="C200" t="str">
        <f>IFERROR(INDEX('DRAFT 1'!$C:$C,MATCH($B200,'DRAFT 1'!$B:$B,0)),"")</f>
        <v/>
      </c>
      <c r="D200" t="str">
        <f>IFERROR(INDEX('DRAFT 1'!$D:$D,MATCH($B200,'DRAFT 1'!$B:$B,0)),"")</f>
        <v/>
      </c>
      <c r="E200" t="str">
        <f>IFERROR(INDEX('DRAFT 1'!$E:$E,MATCH($B200,'DRAFT 1'!$B:$B,0)),"")</f>
        <v/>
      </c>
      <c r="F200" t="str">
        <f>IFERROR(INDEX('DRAFT 1'!$F:$F,MATCH($B200,'DRAFT 1'!$B:$B,0)),"")</f>
        <v/>
      </c>
      <c r="G200" t="str">
        <f>IFERROR(INDEX('DRAFT 1'!$G:$G,MATCH($B200,'DRAFT 1'!$B:$B,0)),"")</f>
        <v/>
      </c>
      <c r="H200" t="str">
        <f>IFERROR(INDEX('DRAFT 1'!$H:$H,MATCH($B200,'DRAFT 1'!$B:$B,0)),"")</f>
        <v/>
      </c>
      <c r="I200" t="str">
        <f>IFERROR(INDEX('DRAFT 1'!$I:$I,MATCH($B200,'DRAFT 1'!$B:$B,0)),"")</f>
        <v/>
      </c>
      <c r="K200" t="str">
        <f>IFERROR(INDEX('DRAFT 1'!$AL:$AL,MATCH($B200,'DRAFT 1'!$B:$B,0)),"")</f>
        <v/>
      </c>
      <c r="L200" t="str">
        <f>IFERROR(INDEX('DRAFT 1'!$J:$J,MATCH($B200,'DRAFT 1'!$B:$B,0)),"")</f>
        <v/>
      </c>
      <c r="M200" t="str">
        <f>IFERROR(INDEX('DRAFT 1'!$K:$K,MATCH($B200,'DRAFT 1'!$B:$B,0)),"")</f>
        <v/>
      </c>
      <c r="P200" t="str">
        <f>IFERROR(INDEX('DRAFT 1'!$L:$L,MATCH($B200,'DRAFT 1'!$B:$B,0)),"")</f>
        <v/>
      </c>
      <c r="Q200" t="str">
        <f>IFERROR(INDEX('DRAFT 1'!$M:$M,MATCH($B200,'DRAFT 1'!$B:$B,0)),"")</f>
        <v/>
      </c>
      <c r="R200" t="str">
        <f>IFERROR(INDEX('DRAFT 1'!$N:$N,MATCH($B200,'DRAFT 1'!$B:$B,0)),"")</f>
        <v/>
      </c>
      <c r="S200" t="str">
        <f>IFERROR(INDEX('DRAFT 1'!$O:$O,MATCH($B200,'DRAFT 1'!$B:$B,0)),"")</f>
        <v/>
      </c>
      <c r="T200" t="str">
        <f>IFERROR(INDEX('DRAFT 1'!$P:$P,MATCH($B200,'DRAFT 1'!$B:$B,0)),"")</f>
        <v/>
      </c>
      <c r="U200" t="str">
        <f>IFERROR(INDEX('DRAFT 1'!$Q:$Q,MATCH($B200,'DRAFT 1'!$B:$B,0)),"")</f>
        <v/>
      </c>
      <c r="V200" t="str">
        <f>IFERROR(INDEX('DRAFT 1'!$R:$R,MATCH($B200,'DRAFT 1'!$B:$B,0)),"")</f>
        <v/>
      </c>
      <c r="W200" t="str">
        <f>IFERROR(INDEX('DRAFT 1'!$S:$S,MATCH($B200,'DRAFT 1'!$B:$B,0)),"")</f>
        <v/>
      </c>
      <c r="X200" t="str">
        <f>IFERROR(INDEX('DRAFT 1'!$T:$T,MATCH($B200,'DRAFT 1'!$B:$B,0)),"")</f>
        <v/>
      </c>
      <c r="Z200" t="str">
        <f>IFERROR(INDEX('DRAFT 1'!$U:$U,MATCH($B200,'DRAFT 1'!$B:$B,0)),"")</f>
        <v/>
      </c>
      <c r="AA200" t="str">
        <f>IFERROR(INDEX('DRAFT 1'!$V:$V,MATCH($B200,'DRAFT 1'!$B:$B,0)),"")</f>
        <v/>
      </c>
      <c r="AB200" t="str">
        <f>IFERROR(INDEX('DRAFT 1'!$W:$W,MATCH($B200,'DRAFT 1'!$B:$B,0)),"")</f>
        <v/>
      </c>
      <c r="AC200" t="str">
        <f>IFERROR(INDEX('DRAFT 1'!$X:$X,MATCH($B200,'DRAFT 1'!$B:$B,0)),"")</f>
        <v/>
      </c>
      <c r="AD200" t="str">
        <f>IFERROR(INDEX('DRAFT 1'!$Y:$Y,MATCH($B200,'DRAFT 1'!$B:$B,0)),"")</f>
        <v/>
      </c>
      <c r="AE200" t="str">
        <f>IFERROR(INDEX('DRAFT 1'!$Z:$Z,MATCH($B200,'DRAFT 1'!$B:$B,0)),"")</f>
        <v/>
      </c>
      <c r="AF200" t="str">
        <f>IFERROR(INDEX('DRAFT 1'!$AA:$AA,MATCH($B200,'DRAFT 1'!$B:$B,0)),"")</f>
        <v/>
      </c>
      <c r="AG200" t="str">
        <f>IFERROR(INDEX('DRAFT 1'!$AB:$AB,MATCH($B200,'DRAFT 1'!$B:$B,0)),"")</f>
        <v/>
      </c>
      <c r="AH200" t="str">
        <f>IFERROR(INDEX('DRAFT 1'!$AC:$AC,MATCH($B200,'DRAFT 1'!$B:$B,0)),"")</f>
        <v/>
      </c>
      <c r="AI200" t="str">
        <f>IFERROR(INDEX('DRAFT 1'!$AD:$AD,MATCH($B200,'DRAFT 1'!$B:$B,0)),"")</f>
        <v/>
      </c>
      <c r="AJ200" t="str">
        <f>IFERROR(INDEX('DRAFT 1'!$AE:$AE,MATCH($B200,'DRAFT 1'!$B:$B,0)),"")</f>
        <v/>
      </c>
      <c r="AK200" t="str">
        <f>IFERROR(INDEX('DRAFT 1'!$AG:$AG,MATCH($B200,'DRAFT 1'!$B:$B,0)),"")</f>
        <v/>
      </c>
      <c r="AL200" t="str">
        <f>IFERROR(INDEX('DRAFT 1'!$AH:$AH,MATCH($B200,'DRAFT 1'!$B:$B,0)),"")</f>
        <v/>
      </c>
      <c r="AM200" t="str">
        <f>IFERROR(INDEX('DRAFT 1'!$AI:$AI,MATCH($B200,'DRAFT 1'!$B:$B,0)),"")</f>
        <v/>
      </c>
      <c r="AN200" t="str">
        <f>IFERROR(INDEX('DRAFT 1'!$AJ:$AJ,MATCH($B200,'DRAFT 1'!$B:$B,0)),"")</f>
        <v/>
      </c>
      <c r="AO200">
        <f t="shared" si="84"/>
        <v>0</v>
      </c>
      <c r="AP200" t="str">
        <f>IFERROR(INDEX('DRAFT 1'!$AK:$AK,MATCH($B200,'DRAFT 1'!$B:$B,0)),"")</f>
        <v/>
      </c>
      <c r="AR200">
        <f>IFERROR(LOOKUP(2,1/('DRAFT 2'!$D:$D=$B200),'DRAFT 2'!$I:$I),"")</f>
        <v>0</v>
      </c>
      <c r="AS200">
        <f>IFERROR(LOOKUP(2,1/('DRAFT 2'!$D:$D=$B200),'DRAFT 2'!$T:$T),"")</f>
        <v>0</v>
      </c>
      <c r="AT200">
        <f>IFERROR(LOOKUP(2,1/('DRAFT 2'!$D:$D=$B200),'DRAFT 2'!$A:$A),"")</f>
        <v>0</v>
      </c>
      <c r="AU200">
        <f>IFERROR(LOOKUP(2,1/('DRAFT 2'!$D:$D=$B200),'DRAFT 2'!$R:$R),"")</f>
        <v>0</v>
      </c>
      <c r="AV200">
        <f>IFERROR(LOOKUP(2,1/('DRAFT 2'!$D:$D=$B200),'DRAFT 2'!$S:$S),"")</f>
        <v>0</v>
      </c>
      <c r="AX200">
        <f>IFERROR(LOOKUP(2,1/('DRAFT 2'!$D:$D=$B200),'DRAFT 2'!$M:$M),"")</f>
        <v>0</v>
      </c>
      <c r="AY200">
        <f>IFERROR(LOOKUP(2,1/('DRAFT 2'!$D:$D=$B200),'DRAFT 2'!$K:$K),"")</f>
        <v>0</v>
      </c>
      <c r="BG200">
        <f>IFERROR(LOOKUP(2,1/('DRAFT 2'!$D:$D=$B200),'DRAFT 2'!$U:$U),"")</f>
        <v>0</v>
      </c>
      <c r="BH200">
        <f>IFERROR(LOOKUP(2,1/('DRAFT 2'!$D:$D=$B200),'DRAFT 2'!$V:$V),"")</f>
        <v>0</v>
      </c>
      <c r="CE200" t="str">
        <f t="shared" si="71"/>
        <v/>
      </c>
      <c r="CF200">
        <f>IFERROR(LOOKUP(2,1/('DRAFT 2'!$D:$D=$B200)*('DRAFT 2'!$A:$A&gt;=DATE(2026,1,1))*('DRAFT 2'!$A:$A&lt;DATE(2026,IF(1=12,1+1,1+1),1)),'DRAFT 2'!$A:$A),"")</f>
        <v>0</v>
      </c>
      <c r="CG200">
        <f>COUNTIFS('DRAFT 2'!$D:$D,$B200,'DRAFT 2'!$A:$A,"&gt;="&amp;DATE(2026,1,1),'DRAFT 2'!$A:$A,"&lt;="&amp;DATE(2026,1,7))</f>
        <v>0</v>
      </c>
      <c r="CH200">
        <f>COUNTIFS('DRAFT 2'!$D:$D,$B200,'DRAFT 2'!$A:$A,"&gt;="&amp;DATE(2026,1,8),'DRAFT 2'!$A:$A,"&lt;="&amp;DATE(2026,1,14))</f>
        <v>0</v>
      </c>
      <c r="CI200">
        <f>COUNTIFS('DRAFT 2'!$D:$D,$B200,'DRAFT 2'!$A:$A,"&gt;="&amp;DATE(2026,1,15),'DRAFT 2'!$A:$A,"&lt;="&amp;DATE(2026,1,21))</f>
        <v>0</v>
      </c>
      <c r="CJ200">
        <f>COUNTIFS('DRAFT 2'!$D:$D,$B200,'DRAFT 2'!$A:$A,"&gt;="&amp;DATE(2026,1,22),'DRAFT 2'!$A:$A,"&lt;"&amp;DATE(2026,IF(1=12,1+1,1+1),1))</f>
        <v>0</v>
      </c>
      <c r="CK200">
        <f t="shared" si="85"/>
        <v>0</v>
      </c>
      <c r="CT200">
        <v>0</v>
      </c>
      <c r="CU200">
        <f>IFERROR(LOOKUP(2,1/('DRAFT 2'!$D:$D=$B200)*('DRAFT 2'!$A:$A&gt;=DATE(2026,2,1))*('DRAFT 2'!$A:$A&lt;DATE(2026,IF(2=12,2+1,2+1),1)),'DRAFT 2'!$A:$A),"")</f>
        <v>0</v>
      </c>
      <c r="CV200">
        <f>COUNTIFS('DRAFT 2'!$D:$D,$B200,'DRAFT 2'!$A:$A,"&gt;="&amp;DATE(2026,2,1),'DRAFT 2'!$A:$A,"&lt;="&amp;DATE(2026,2,7))</f>
        <v>0</v>
      </c>
      <c r="CW200">
        <f>COUNTIFS('DRAFT 2'!$D:$D,$B200,'DRAFT 2'!$A:$A,"&gt;="&amp;DATE(2026,2,8),'DRAFT 2'!$A:$A,"&lt;="&amp;DATE(2026,2,14))</f>
        <v>0</v>
      </c>
      <c r="CX200">
        <f>COUNTIFS('DRAFT 2'!$D:$D,$B200,'DRAFT 2'!$A:$A,"&gt;="&amp;DATE(2026,2,15),'DRAFT 2'!$A:$A,"&lt;="&amp;DATE(2026,2,21))</f>
        <v>0</v>
      </c>
      <c r="CY200">
        <f>COUNTIFS('DRAFT 2'!$D:$D,$B200,'DRAFT 2'!$A:$A,"&gt;="&amp;DATE(2026,2,22),'DRAFT 2'!$A:$A,"&lt;"&amp;DATE(2026,IF(2=12,2+1,2+1),1))</f>
        <v>0</v>
      </c>
      <c r="CZ200">
        <f t="shared" si="86"/>
        <v>0</v>
      </c>
      <c r="DJ200">
        <f>IFERROR(LOOKUP(2,1/('DRAFT 2'!$D:$D=$B200)*('DRAFT 2'!$A:$A&gt;=DATE(2026,3,1))*('DRAFT 2'!$A:$A&lt;DATE(2026,IF(3=12,3+1,3+1),1)),'DRAFT 2'!$A:$A),"")</f>
        <v>0</v>
      </c>
      <c r="DK200">
        <f>COUNTIFS('DRAFT 2'!$D:$D,$B200,'DRAFT 2'!$A:$A,"&gt;="&amp;DATE(2026,3,1),'DRAFT 2'!$A:$A,"&lt;="&amp;DATE(2026,3,7))</f>
        <v>0</v>
      </c>
      <c r="DL200">
        <f>COUNTIFS('DRAFT 2'!$D:$D,$B200,'DRAFT 2'!$A:$A,"&gt;="&amp;DATE(2026,3,8),'DRAFT 2'!$A:$A,"&lt;="&amp;DATE(2026,3,14))</f>
        <v>0</v>
      </c>
      <c r="DM200">
        <f>COUNTIFS('DRAFT 2'!$D:$D,$B200,'DRAFT 2'!$A:$A,"&gt;="&amp;DATE(2026,3,15),'DRAFT 2'!$A:$A,"&lt;="&amp;DATE(2026,3,21))</f>
        <v>0</v>
      </c>
      <c r="DN200">
        <f>COUNTIFS('DRAFT 2'!$D:$D,$B200,'DRAFT 2'!$A:$A,"&gt;="&amp;DATE(2026,3,22),'DRAFT 2'!$A:$A,"&lt;"&amp;DATE(2026,IF(3=12,3+1,3+1),1))</f>
        <v>0</v>
      </c>
      <c r="DO200">
        <f t="shared" si="87"/>
        <v>0</v>
      </c>
      <c r="DZ200">
        <f>IFERROR(LOOKUP(2,1/('DRAFT 2'!$D:$D=$B200)*('DRAFT 2'!$A:$A&gt;=DATE(2026,4,1))*('DRAFT 2'!$A:$A&lt;DATE(2026,IF(4=12,4+1,4+1),1)),'DRAFT 2'!$A:$A),"")</f>
        <v>0</v>
      </c>
      <c r="EA200">
        <f>COUNTIFS('DRAFT 2'!$D:$D,$B200,'DRAFT 2'!$A:$A,"&gt;="&amp;DATE(2026,4,1),'DRAFT 2'!$A:$A,"&lt;="&amp;DATE(2026,4,7))</f>
        <v>0</v>
      </c>
      <c r="EB200">
        <f>COUNTIFS('DRAFT 2'!$D:$D,$B200,'DRAFT 2'!$A:$A,"&gt;="&amp;DATE(2026,4,8),'DRAFT 2'!$A:$A,"&lt;="&amp;DATE(2026,4,14))</f>
        <v>0</v>
      </c>
      <c r="EC200">
        <f>COUNTIFS('DRAFT 2'!$D:$D,$B200,'DRAFT 2'!$A:$A,"&gt;="&amp;DATE(2026,4,15),'DRAFT 2'!$A:$A,"&lt;="&amp;DATE(2026,4,21))</f>
        <v>0</v>
      </c>
      <c r="ED200">
        <f>COUNTIFS('DRAFT 2'!$D:$D,$B200,'DRAFT 2'!$A:$A,"&gt;="&amp;DATE(2026,4,22),'DRAFT 2'!$A:$A,"&lt;"&amp;DATE(2026,IF(4=12,4+1,4+1),1))</f>
        <v>0</v>
      </c>
      <c r="EE200">
        <f t="shared" si="88"/>
        <v>0</v>
      </c>
      <c r="EO200">
        <f>IFERROR(LOOKUP(2,1/('DRAFT 2'!$D:$D=$B200)*('DRAFT 2'!$A:$A&gt;=DATE(2026,5,1))*('DRAFT 2'!$A:$A&lt;DATE(2026,IF(5=12,5+1,5+1),1)),'DRAFT 2'!$A:$A),"")</f>
        <v>0</v>
      </c>
      <c r="EP200">
        <f>COUNTIFS('DRAFT 2'!$D:$D,$B200,'DRAFT 2'!$A:$A,"&gt;="&amp;DATE(2026,5,1),'DRAFT 2'!$A:$A,"&lt;="&amp;DATE(2026,5,7))</f>
        <v>0</v>
      </c>
      <c r="EQ200">
        <f>COUNTIFS('DRAFT 2'!$D:$D,$B200,'DRAFT 2'!$A:$A,"&gt;="&amp;DATE(2026,5,8),'DRAFT 2'!$A:$A,"&lt;="&amp;DATE(2026,5,14))</f>
        <v>0</v>
      </c>
      <c r="ER200">
        <f>COUNTIFS('DRAFT 2'!$D:$D,$B200,'DRAFT 2'!$A:$A,"&gt;="&amp;DATE(2026,5,15),'DRAFT 2'!$A:$A,"&lt;="&amp;DATE(2026,5,21))</f>
        <v>0</v>
      </c>
      <c r="ES200">
        <f>COUNTIFS('DRAFT 2'!$D:$D,$B200,'DRAFT 2'!$A:$A,"&gt;="&amp;DATE(2026,5,22),'DRAFT 2'!$A:$A,"&lt;"&amp;DATE(2026,IF(5=12,5+1,5+1),1))</f>
        <v>0</v>
      </c>
      <c r="ET200">
        <f t="shared" si="89"/>
        <v>0</v>
      </c>
      <c r="FD200">
        <f>IFERROR(LOOKUP(2,1/('DRAFT 2'!$D:$D=$B200)*('DRAFT 2'!$A:$A&gt;=DATE(2026,6,1))*('DRAFT 2'!$A:$A&lt;DATE(2026,IF(6=12,6+1,6+1),1)),'DRAFT 2'!$A:$A),"")</f>
        <v>0</v>
      </c>
      <c r="FE200">
        <f>COUNTIFS('DRAFT 2'!$D:$D,$B200,'DRAFT 2'!$A:$A,"&gt;="&amp;DATE(2026,6,1),'DRAFT 2'!$A:$A,"&lt;="&amp;DATE(2026,6,7))</f>
        <v>0</v>
      </c>
      <c r="FF200">
        <f>COUNTIFS('DRAFT 2'!$D:$D,$B200,'DRAFT 2'!$A:$A,"&gt;="&amp;DATE(2026,6,8),'DRAFT 2'!$A:$A,"&lt;="&amp;DATE(2026,6,14))</f>
        <v>0</v>
      </c>
      <c r="FG200">
        <f>COUNTIFS('DRAFT 2'!$D:$D,$B200,'DRAFT 2'!$A:$A,"&gt;="&amp;DATE(2026,6,15),'DRAFT 2'!$A:$A,"&lt;="&amp;DATE(2026,6,21))</f>
        <v>0</v>
      </c>
      <c r="FH200">
        <f>COUNTIFS('DRAFT 2'!$D:$D,$B200,'DRAFT 2'!$A:$A,"&gt;="&amp;DATE(2026,6,22),'DRAFT 2'!$A:$A,"&lt;"&amp;DATE(2026,IF(6=12,6+1,6+1),1))</f>
        <v>0</v>
      </c>
      <c r="FI200">
        <f t="shared" si="90"/>
        <v>0</v>
      </c>
      <c r="FT200">
        <f>IFERROR(LOOKUP(2,1/('DRAFT 2'!$D:$D=$B200)*('DRAFT 2'!$A:$A&gt;=DATE(2026,7,1))*('DRAFT 2'!$A:$A&lt;DATE(2026,IF(7=12,7+1,7+1),1)),'DRAFT 2'!$A:$A),"")</f>
        <v>0</v>
      </c>
      <c r="FU200">
        <f>COUNTIFS('DRAFT 2'!$D:$D,$B200,'DRAFT 2'!$A:$A,"&gt;="&amp;DATE(2026,7,1),'DRAFT 2'!$A:$A,"&lt;="&amp;DATE(2026,7,7))</f>
        <v>0</v>
      </c>
      <c r="FV200">
        <f>COUNTIFS('DRAFT 2'!$D:$D,$B200,'DRAFT 2'!$A:$A,"&gt;="&amp;DATE(2026,7,8),'DRAFT 2'!$A:$A,"&lt;="&amp;DATE(2026,7,14))</f>
        <v>0</v>
      </c>
      <c r="FW200">
        <f>COUNTIFS('DRAFT 2'!$D:$D,$B200,'DRAFT 2'!$A:$A,"&gt;="&amp;DATE(2026,7,15),'DRAFT 2'!$A:$A,"&lt;="&amp;DATE(2026,7,21))</f>
        <v>0</v>
      </c>
      <c r="FX200">
        <f>COUNTIFS('DRAFT 2'!$D:$D,$B200,'DRAFT 2'!$A:$A,"&gt;="&amp;DATE(2026,7,22),'DRAFT 2'!$A:$A,"&lt;"&amp;DATE(2026,IF(7=12,7+1,7+1),1))</f>
        <v>0</v>
      </c>
      <c r="FY200">
        <f t="shared" si="91"/>
        <v>0</v>
      </c>
      <c r="GI200">
        <f>IFERROR(LOOKUP(2,1/('DRAFT 2'!$D:$D=$B200)*('DRAFT 2'!$A:$A&gt;=DATE(2026,8,1))*('DRAFT 2'!$A:$A&lt;DATE(2026,IF(8=12,8+1,8+1),1)),'DRAFT 2'!$A:$A),"")</f>
        <v>0</v>
      </c>
      <c r="GJ200">
        <f>COUNTIFS('DRAFT 2'!$D:$D,$B200,'DRAFT 2'!$A:$A,"&gt;="&amp;DATE(2026,8,1),'DRAFT 2'!$A:$A,"&lt;="&amp;DATE(2026,8,7))</f>
        <v>0</v>
      </c>
      <c r="GK200">
        <f>COUNTIFS('DRAFT 2'!$D:$D,$B200,'DRAFT 2'!$A:$A,"&gt;="&amp;DATE(2026,8,8),'DRAFT 2'!$A:$A,"&lt;="&amp;DATE(2026,8,14))</f>
        <v>0</v>
      </c>
      <c r="GL200">
        <f>COUNTIFS('DRAFT 2'!$D:$D,$B200,'DRAFT 2'!$A:$A,"&gt;="&amp;DATE(2026,8,15),'DRAFT 2'!$A:$A,"&lt;="&amp;DATE(2026,8,21))</f>
        <v>0</v>
      </c>
      <c r="GM200">
        <f>COUNTIFS('DRAFT 2'!$D:$D,$B200,'DRAFT 2'!$A:$A,"&gt;="&amp;DATE(2026,8,22),'DRAFT 2'!$A:$A,"&lt;"&amp;DATE(2026,IF(8=12,8+1,8+1),1))</f>
        <v>0</v>
      </c>
      <c r="GN200">
        <f t="shared" si="92"/>
        <v>0</v>
      </c>
      <c r="GX200">
        <f>IFERROR(LOOKUP(2,1/('DRAFT 2'!$D:$D=$B200)*('DRAFT 2'!$A:$A&gt;=DATE(2026,9,1))*('DRAFT 2'!$A:$A&lt;DATE(2026,IF(9=12,9+1,9+1),1)),'DRAFT 2'!$A:$A),"")</f>
        <v>0</v>
      </c>
      <c r="GY200">
        <f>COUNTIFS('DRAFT 2'!$D:$D,$B200,'DRAFT 2'!$A:$A,"&gt;="&amp;DATE(2026,9,1),'DRAFT 2'!$A:$A,"&lt;="&amp;DATE(2026,9,7))</f>
        <v>0</v>
      </c>
      <c r="GZ200">
        <f>COUNTIFS('DRAFT 2'!$D:$D,$B200,'DRAFT 2'!$A:$A,"&gt;="&amp;DATE(2026,9,8),'DRAFT 2'!$A:$A,"&lt;="&amp;DATE(2026,9,14))</f>
        <v>0</v>
      </c>
      <c r="HA200">
        <f>COUNTIFS('DRAFT 2'!$D:$D,$B200,'DRAFT 2'!$A:$A,"&gt;="&amp;DATE(2026,9,15),'DRAFT 2'!$A:$A,"&lt;="&amp;DATE(2026,9,21))</f>
        <v>0</v>
      </c>
      <c r="HB200">
        <f>COUNTIFS('DRAFT 2'!$D:$D,$B200,'DRAFT 2'!$A:$A,"&gt;="&amp;DATE(2026,9,22),'DRAFT 2'!$A:$A,"&lt;"&amp;DATE(2026,IF(9=12,9+1,9+1),1))</f>
        <v>0</v>
      </c>
      <c r="HC200">
        <f t="shared" si="93"/>
        <v>0</v>
      </c>
      <c r="HN200">
        <f>IFERROR(LOOKUP(2,1/('DRAFT 2'!$D:$D=$B200)*('DRAFT 2'!$A:$A&gt;=DATE(2026,10,1))*('DRAFT 2'!$A:$A&lt;DATE(2026,IF(10=12,10+1,10+1),1)),'DRAFT 2'!$A:$A),"")</f>
        <v>0</v>
      </c>
      <c r="HO200">
        <f>COUNTIFS('DRAFT 2'!$D:$D,$B200,'DRAFT 2'!$A:$A,"&gt;="&amp;DATE(2026,10,1),'DRAFT 2'!$A:$A,"&lt;="&amp;DATE(2026,10,7))</f>
        <v>0</v>
      </c>
      <c r="HP200">
        <f>COUNTIFS('DRAFT 2'!$D:$D,$B200,'DRAFT 2'!$A:$A,"&gt;="&amp;DATE(2026,10,8),'DRAFT 2'!$A:$A,"&lt;="&amp;DATE(2026,10,14))</f>
        <v>0</v>
      </c>
      <c r="HQ200">
        <f>COUNTIFS('DRAFT 2'!$D:$D,$B200,'DRAFT 2'!$A:$A,"&gt;="&amp;DATE(2026,10,15),'DRAFT 2'!$A:$A,"&lt;="&amp;DATE(2026,10,21))</f>
        <v>0</v>
      </c>
      <c r="HR200">
        <f>COUNTIFS('DRAFT 2'!$D:$D,$B200,'DRAFT 2'!$A:$A,"&gt;="&amp;DATE(2026,10,22),'DRAFT 2'!$A:$A,"&lt;"&amp;DATE(2026,IF(10=12,10+1,10+1),1))</f>
        <v>0</v>
      </c>
      <c r="HS200">
        <f t="shared" si="94"/>
        <v>0</v>
      </c>
      <c r="IC200">
        <f>IFERROR(LOOKUP(2,1/('DRAFT 2'!$D:$D=$B200)*('DRAFT 2'!$A:$A&gt;=DATE(2026,11,1))*('DRAFT 2'!$A:$A&lt;DATE(2026,IF(11=12,11+1,11+1),1)),'DRAFT 2'!$A:$A),"")</f>
        <v>0</v>
      </c>
      <c r="ID200">
        <f>COUNTIFS('DRAFT 2'!$D:$D,$B200,'DRAFT 2'!$A:$A,"&gt;="&amp;DATE(2026,11,1),'DRAFT 2'!$A:$A,"&lt;="&amp;DATE(2026,11,7))</f>
        <v>0</v>
      </c>
      <c r="IE200">
        <f>COUNTIFS('DRAFT 2'!$D:$D,$B200,'DRAFT 2'!$A:$A,"&gt;="&amp;DATE(2026,11,8),'DRAFT 2'!$A:$A,"&lt;="&amp;DATE(2026,11,14))</f>
        <v>0</v>
      </c>
      <c r="IF200">
        <f>COUNTIFS('DRAFT 2'!$D:$D,$B200,'DRAFT 2'!$A:$A,"&gt;="&amp;DATE(2026,11,15),'DRAFT 2'!$A:$A,"&lt;="&amp;DATE(2026,11,21))</f>
        <v>0</v>
      </c>
      <c r="IG200">
        <f>COUNTIFS('DRAFT 2'!$D:$D,$B200,'DRAFT 2'!$A:$A,"&gt;="&amp;DATE(2026,11,22),'DRAFT 2'!$A:$A,"&lt;"&amp;DATE(2026,IF(11=12,11+1,11+1),1))</f>
        <v>0</v>
      </c>
      <c r="IH200">
        <f t="shared" si="95"/>
        <v>0</v>
      </c>
      <c r="IR200">
        <f>IFERROR(LOOKUP(2,1/('DRAFT 2'!$D:$D=$B200)*('DRAFT 2'!$A:$A&gt;=DATE(2026,12,1))*('DRAFT 2'!$A:$A&lt;DATE(2026,IF(12=12,12+1,12+1),1)),'DRAFT 2'!$A:$A),"")</f>
        <v>0</v>
      </c>
      <c r="IS200">
        <f>COUNTIFS('DRAFT 2'!$D:$D,$B200,'DRAFT 2'!$A:$A,"&gt;="&amp;DATE(2026,12,1),'DRAFT 2'!$A:$A,"&lt;="&amp;DATE(2026,12,7))</f>
        <v>0</v>
      </c>
      <c r="IT200">
        <f>COUNTIFS('DRAFT 2'!$D:$D,$B200,'DRAFT 2'!$A:$A,"&gt;="&amp;DATE(2026,12,8),'DRAFT 2'!$A:$A,"&lt;="&amp;DATE(2026,12,14))</f>
        <v>0</v>
      </c>
      <c r="IU200">
        <f>COUNTIFS('DRAFT 2'!$D:$D,$B200,'DRAFT 2'!$A:$A,"&gt;="&amp;DATE(2026,12,15),'DRAFT 2'!$A:$A,"&lt;="&amp;DATE(2026,12,21))</f>
        <v>0</v>
      </c>
      <c r="IV200">
        <f>COUNTIFS('DRAFT 2'!$D:$D,$B200,'DRAFT 2'!$A:$A,"&gt;="&amp;DATE(2026,12,22),'DRAFT 2'!$A:$A,"&lt;"&amp;DATE(2026,IF(12=12,12+1,12+1),1))</f>
        <v>0</v>
      </c>
      <c r="IW200">
        <f t="shared" si="96"/>
        <v>0</v>
      </c>
    </row>
  </sheetData>
  <mergeCells count="39">
    <mergeCell ref="A1:AQ1"/>
    <mergeCell ref="GO2:GQ2"/>
    <mergeCell ref="BZ2:CB2"/>
    <mergeCell ref="CL2:CN2"/>
    <mergeCell ref="DT2:DV2"/>
    <mergeCell ref="EF2:EH2"/>
    <mergeCell ref="DQ2:DS2"/>
    <mergeCell ref="FK2:FM2"/>
    <mergeCell ref="EF1:EK1"/>
    <mergeCell ref="FZ1:GE1"/>
    <mergeCell ref="AR1:BI1"/>
    <mergeCell ref="CL1:CQ1"/>
    <mergeCell ref="BW1:CB1"/>
    <mergeCell ref="DQ1:DV1"/>
    <mergeCell ref="EU2:EW2"/>
    <mergeCell ref="BJ1:BT1"/>
    <mergeCell ref="FZ2:GB2"/>
    <mergeCell ref="HH2:HJ2"/>
    <mergeCell ref="HE2:HG2"/>
    <mergeCell ref="DA2:DC2"/>
    <mergeCell ref="EX2:EZ2"/>
    <mergeCell ref="EU1:EZ1"/>
    <mergeCell ref="GO1:GT1"/>
    <mergeCell ref="GR2:GT2"/>
    <mergeCell ref="CO2:CQ2"/>
    <mergeCell ref="FK1:FP1"/>
    <mergeCell ref="GC2:GE2"/>
    <mergeCell ref="IL2:IN2"/>
    <mergeCell ref="BW2:BY2"/>
    <mergeCell ref="HE1:HJ1"/>
    <mergeCell ref="DD2:DF2"/>
    <mergeCell ref="DA1:DF1"/>
    <mergeCell ref="EI2:EK2"/>
    <mergeCell ref="HW2:HY2"/>
    <mergeCell ref="FN2:FP2"/>
    <mergeCell ref="HT1:HY1"/>
    <mergeCell ref="HT2:HV2"/>
    <mergeCell ref="II1:IN1"/>
    <mergeCell ref="II2:IK2"/>
  </mergeCells>
  <conditionalFormatting sqref="N4:N5000">
    <cfRule type="cellIs" dxfId="9" priority="2" operator="equal">
      <formula>"ATIVO"</formula>
    </cfRule>
    <cfRule type="cellIs" dxfId="8" priority="3" operator="equal">
      <formula>"EM RISCO"</formula>
    </cfRule>
    <cfRule type="cellIs" dxfId="7" priority="4" operator="equal">
      <formula>"INAT.REC"</formula>
    </cfRule>
    <cfRule type="cellIs" dxfId="6" priority="5" operator="equal">
      <formula>"INAT.ANT"</formula>
    </cfRule>
    <cfRule type="cellIs" dxfId="5" priority="6" operator="equal">
      <formula>"PROSPECT"</formula>
    </cfRule>
    <cfRule type="cellIs" dxfId="4" priority="7" operator="equal">
      <formula>"NOVO"</formula>
    </cfRule>
    <cfRule type="cellIs" dxfId="3" priority="8" operator="equal">
      <formula>"LEAD"</formula>
    </cfRule>
  </conditionalFormatting>
  <conditionalFormatting sqref="BA4:BA5000">
    <cfRule type="cellIs" dxfId="2" priority="9" operator="equal">
      <formula>"🔥 QUENTE"</formula>
    </cfRule>
    <cfRule type="cellIs" dxfId="1" priority="10" operator="equal">
      <formula>"⚡ MORNO"</formula>
    </cfRule>
    <cfRule type="cellIs" dxfId="0" priority="11" operator="equal">
      <formula>"❄️ FRIO"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LISTAS!#REF!</xm:f>
          </x14:formula1>
          <xm:sqref>AR4:AR5000 AV4:AV5000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AS500"/>
  <sheetViews>
    <sheetView workbookViewId="0">
      <pane ySplit="3" topLeftCell="A4" activePane="bottomLeft" state="frozen"/>
      <selection pane="bottomLeft" sqref="A1:AO1"/>
    </sheetView>
  </sheetViews>
  <sheetFormatPr defaultRowHeight="14.4" x14ac:dyDescent="0.3"/>
  <cols>
    <col min="1" max="1" width="25" customWidth="1"/>
    <col min="2" max="2" width="18" customWidth="1"/>
    <col min="3" max="3" width="25" customWidth="1"/>
    <col min="4" max="4" width="5" customWidth="1"/>
    <col min="5" max="5" width="18" customWidth="1"/>
    <col min="6" max="6" width="25" customWidth="1"/>
    <col min="7" max="7" width="16" customWidth="1"/>
    <col min="8" max="8" width="14" customWidth="1"/>
    <col min="9" max="10" width="18" customWidth="1"/>
    <col min="11" max="11" width="20" customWidth="1"/>
    <col min="12" max="12" width="14" customWidth="1"/>
    <col min="13" max="14" width="16" customWidth="1"/>
    <col min="15" max="15" width="14" customWidth="1"/>
    <col min="16" max="16" width="12" customWidth="1"/>
    <col min="17" max="20" width="14" customWidth="1"/>
    <col min="21" max="34" width="12" customWidth="1"/>
    <col min="35" max="35" width="10" customWidth="1"/>
    <col min="36" max="37" width="14" customWidth="1"/>
    <col min="38" max="38" width="30" customWidth="1"/>
    <col min="39" max="40" width="22" customWidth="1"/>
    <col min="41" max="41" width="35" customWidth="1"/>
  </cols>
  <sheetData>
    <row r="1" spans="1:45" ht="28.05" customHeight="1" x14ac:dyDescent="0.3">
      <c r="A1" s="101" t="s">
        <v>299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</row>
    <row r="2" spans="1:45" ht="22.05" customHeight="1" x14ac:dyDescent="0.3">
      <c r="A2" s="99" t="s">
        <v>300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99" t="s">
        <v>301</v>
      </c>
      <c r="M2" s="100"/>
      <c r="N2" s="100"/>
      <c r="O2" s="99" t="s">
        <v>302</v>
      </c>
      <c r="P2" s="100"/>
      <c r="Q2" s="100"/>
      <c r="R2" s="100"/>
      <c r="S2" s="100"/>
      <c r="T2" s="100"/>
      <c r="U2" s="99" t="s">
        <v>303</v>
      </c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99" t="s">
        <v>304</v>
      </c>
      <c r="AH2" s="100"/>
      <c r="AI2" s="100"/>
      <c r="AJ2" s="100"/>
      <c r="AK2" s="100"/>
      <c r="AL2" s="99" t="s">
        <v>305</v>
      </c>
      <c r="AM2" s="100"/>
      <c r="AN2" s="100"/>
      <c r="AO2" s="100"/>
      <c r="AR2" s="65" t="s">
        <v>306</v>
      </c>
    </row>
    <row r="3" spans="1:45" ht="28.05" customHeight="1" x14ac:dyDescent="0.3">
      <c r="A3" s="66" t="s">
        <v>201</v>
      </c>
      <c r="B3" s="66" t="s">
        <v>202</v>
      </c>
      <c r="C3" s="66" t="s">
        <v>203</v>
      </c>
      <c r="D3" s="66" t="s">
        <v>204</v>
      </c>
      <c r="E3" s="66" t="s">
        <v>205</v>
      </c>
      <c r="F3" s="66" t="s">
        <v>206</v>
      </c>
      <c r="G3" s="66" t="s">
        <v>207</v>
      </c>
      <c r="H3" s="66" t="s">
        <v>208</v>
      </c>
      <c r="I3" s="66" t="s">
        <v>209</v>
      </c>
      <c r="J3" s="66" t="s">
        <v>133</v>
      </c>
      <c r="K3" s="66" t="s">
        <v>211</v>
      </c>
      <c r="L3" s="66" t="s">
        <v>213</v>
      </c>
      <c r="M3" s="66" t="s">
        <v>214</v>
      </c>
      <c r="N3" s="66" t="s">
        <v>215</v>
      </c>
      <c r="O3" s="66" t="s">
        <v>307</v>
      </c>
      <c r="P3" s="66" t="s">
        <v>217</v>
      </c>
      <c r="Q3" s="66" t="s">
        <v>218</v>
      </c>
      <c r="R3" s="66" t="s">
        <v>219</v>
      </c>
      <c r="S3" s="66" t="s">
        <v>220</v>
      </c>
      <c r="T3" s="66" t="s">
        <v>221</v>
      </c>
      <c r="U3" s="66" t="s">
        <v>223</v>
      </c>
      <c r="V3" s="66" t="s">
        <v>224</v>
      </c>
      <c r="W3" s="66" t="s">
        <v>225</v>
      </c>
      <c r="X3" s="66" t="s">
        <v>226</v>
      </c>
      <c r="Y3" s="66" t="s">
        <v>227</v>
      </c>
      <c r="Z3" s="66" t="s">
        <v>228</v>
      </c>
      <c r="AA3" s="66" t="s">
        <v>229</v>
      </c>
      <c r="AB3" s="66" t="s">
        <v>230</v>
      </c>
      <c r="AC3" s="66" t="s">
        <v>231</v>
      </c>
      <c r="AD3" s="66" t="s">
        <v>232</v>
      </c>
      <c r="AE3" s="66" t="s">
        <v>233</v>
      </c>
      <c r="AF3" s="66" t="s">
        <v>308</v>
      </c>
      <c r="AG3" s="66" t="s">
        <v>234</v>
      </c>
      <c r="AH3" s="66" t="s">
        <v>235</v>
      </c>
      <c r="AI3" s="66" t="s">
        <v>236</v>
      </c>
      <c r="AJ3" s="66" t="s">
        <v>237</v>
      </c>
      <c r="AK3" s="66" t="s">
        <v>239</v>
      </c>
      <c r="AL3" s="66" t="s">
        <v>210</v>
      </c>
      <c r="AM3" s="66" t="s">
        <v>309</v>
      </c>
      <c r="AN3" s="66" t="s">
        <v>310</v>
      </c>
      <c r="AO3" s="66" t="s">
        <v>311</v>
      </c>
      <c r="AR3" s="67" t="s">
        <v>312</v>
      </c>
      <c r="AS3" s="68" t="s">
        <v>313</v>
      </c>
    </row>
    <row r="4" spans="1:45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R4" s="67" t="s">
        <v>314</v>
      </c>
      <c r="AS4" s="68" t="s">
        <v>313</v>
      </c>
    </row>
    <row r="5" spans="1:45" x14ac:dyDescent="0.3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R5" s="67" t="s">
        <v>315</v>
      </c>
      <c r="AS5" s="68" t="s">
        <v>316</v>
      </c>
    </row>
    <row r="6" spans="1:45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R6" s="67" t="s">
        <v>317</v>
      </c>
      <c r="AS6" s="68" t="s">
        <v>318</v>
      </c>
    </row>
    <row r="7" spans="1:45" x14ac:dyDescent="0.3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R7" s="67" t="s">
        <v>319</v>
      </c>
      <c r="AS7" s="68" t="s">
        <v>320</v>
      </c>
    </row>
    <row r="8" spans="1:45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R8" s="67" t="s">
        <v>321</v>
      </c>
      <c r="AS8" s="68" t="s">
        <v>322</v>
      </c>
    </row>
    <row r="9" spans="1:45" x14ac:dyDescent="0.3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</row>
    <row r="10" spans="1:45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</row>
    <row r="11" spans="1:45" x14ac:dyDescent="0.3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</row>
    <row r="12" spans="1:45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</row>
    <row r="13" spans="1:45" x14ac:dyDescent="0.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</row>
    <row r="14" spans="1:45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</row>
    <row r="15" spans="1:45" x14ac:dyDescent="0.3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5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</row>
    <row r="17" spans="1:41" x14ac:dyDescent="0.3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</row>
    <row r="18" spans="1:41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 spans="1:41" x14ac:dyDescent="0.3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</row>
    <row r="20" spans="1:4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 spans="1:41" x14ac:dyDescent="0.3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</row>
    <row r="22" spans="1:4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 spans="1:41" x14ac:dyDescent="0.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</row>
    <row r="24" spans="1:4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 spans="1:41" x14ac:dyDescent="0.3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</row>
    <row r="26" spans="1:41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 spans="1:41" x14ac:dyDescent="0.3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</row>
    <row r="28" spans="1:4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 spans="1:41" x14ac:dyDescent="0.3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</row>
    <row r="30" spans="1:41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 spans="1:41" x14ac:dyDescent="0.3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</row>
    <row r="32" spans="1:41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 spans="1:41" x14ac:dyDescent="0.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</row>
    <row r="34" spans="1:4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 spans="1:41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</row>
    <row r="36" spans="1:41" x14ac:dyDescent="0.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 spans="1:41" x14ac:dyDescent="0.3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</row>
    <row r="38" spans="1:4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 spans="1:41" x14ac:dyDescent="0.3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</row>
    <row r="40" spans="1:41" x14ac:dyDescent="0.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 spans="1:41" x14ac:dyDescent="0.3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</row>
    <row r="42" spans="1:41" x14ac:dyDescent="0.3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 spans="1:41" x14ac:dyDescent="0.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</row>
    <row r="44" spans="1:41" x14ac:dyDescent="0.3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 spans="1:41" x14ac:dyDescent="0.3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</row>
    <row r="46" spans="1:41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 spans="1:41" x14ac:dyDescent="0.3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</row>
    <row r="48" spans="1:41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 spans="1:41" x14ac:dyDescent="0.3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</row>
    <row r="50" spans="1:41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 spans="1:41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</row>
    <row r="52" spans="1:41" x14ac:dyDescent="0.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 spans="1:41" x14ac:dyDescent="0.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</row>
    <row r="54" spans="1:41" x14ac:dyDescent="0.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 spans="1:41" x14ac:dyDescent="0.3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</row>
    <row r="56" spans="1:41" x14ac:dyDescent="0.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 spans="1:41" x14ac:dyDescent="0.3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</row>
    <row r="58" spans="1:41" x14ac:dyDescent="0.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 spans="1:41" x14ac:dyDescent="0.3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</row>
    <row r="60" spans="1:41" x14ac:dyDescent="0.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 spans="1:41" x14ac:dyDescent="0.3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</row>
    <row r="62" spans="1:41" x14ac:dyDescent="0.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 spans="1:41" x14ac:dyDescent="0.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</row>
    <row r="64" spans="1:4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 spans="1:41" x14ac:dyDescent="0.3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</row>
    <row r="66" spans="1:41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 spans="1:41" x14ac:dyDescent="0.3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</row>
    <row r="68" spans="1:41" x14ac:dyDescent="0.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 spans="1:41" x14ac:dyDescent="0.3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</row>
    <row r="70" spans="1:41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 spans="1:41" x14ac:dyDescent="0.3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</row>
    <row r="72" spans="1:41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 spans="1:41" x14ac:dyDescent="0.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</row>
    <row r="74" spans="1:41" x14ac:dyDescent="0.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 spans="1:41" x14ac:dyDescent="0.3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</row>
    <row r="76" spans="1:41" x14ac:dyDescent="0.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 spans="1:41" x14ac:dyDescent="0.3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</row>
    <row r="78" spans="1:41" x14ac:dyDescent="0.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 spans="1:41" x14ac:dyDescent="0.3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</row>
    <row r="80" spans="1:41" x14ac:dyDescent="0.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 spans="1:41" x14ac:dyDescent="0.3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</row>
    <row r="82" spans="1:41" x14ac:dyDescent="0.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 spans="1:41" x14ac:dyDescent="0.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</row>
    <row r="84" spans="1:41" x14ac:dyDescent="0.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 spans="1:41" x14ac:dyDescent="0.3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</row>
    <row r="86" spans="1:41" x14ac:dyDescent="0.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 spans="1:41" x14ac:dyDescent="0.3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</row>
    <row r="88" spans="1:41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 spans="1:41" x14ac:dyDescent="0.3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</row>
    <row r="90" spans="1:41" x14ac:dyDescent="0.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 spans="1:41" x14ac:dyDescent="0.3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</row>
    <row r="92" spans="1:41" x14ac:dyDescent="0.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 spans="1:41" x14ac:dyDescent="0.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</row>
    <row r="94" spans="1:41" x14ac:dyDescent="0.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 spans="1:41" x14ac:dyDescent="0.3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</row>
    <row r="96" spans="1:41" x14ac:dyDescent="0.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 spans="1:41" x14ac:dyDescent="0.3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</row>
    <row r="98" spans="1:41" x14ac:dyDescent="0.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 spans="1:41" x14ac:dyDescent="0.3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</row>
    <row r="100" spans="1:41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 spans="1:41" x14ac:dyDescent="0.3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</row>
    <row r="102" spans="1:4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 spans="1:41" x14ac:dyDescent="0.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</row>
    <row r="104" spans="1:4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 spans="1:41" x14ac:dyDescent="0.3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</row>
    <row r="106" spans="1:4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 spans="1:41" x14ac:dyDescent="0.3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</row>
    <row r="108" spans="1:4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 spans="1:41" x14ac:dyDescent="0.3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</row>
    <row r="110" spans="1:4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 spans="1:41" x14ac:dyDescent="0.3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</row>
    <row r="112" spans="1:4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 spans="1:41" x14ac:dyDescent="0.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</row>
    <row r="114" spans="1:4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 spans="1:41" x14ac:dyDescent="0.3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</row>
    <row r="116" spans="1:4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 spans="1:41" x14ac:dyDescent="0.3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</row>
    <row r="118" spans="1:41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 spans="1:41" x14ac:dyDescent="0.3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</row>
    <row r="120" spans="1:41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 spans="1:41" x14ac:dyDescent="0.3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</row>
    <row r="122" spans="1:41" x14ac:dyDescent="0.3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 spans="1:41" x14ac:dyDescent="0.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</row>
    <row r="124" spans="1:41" x14ac:dyDescent="0.3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 spans="1:41" x14ac:dyDescent="0.3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</row>
    <row r="126" spans="1:41" x14ac:dyDescent="0.3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 spans="1:41" x14ac:dyDescent="0.3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</row>
    <row r="128" spans="1:41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 spans="1:41" x14ac:dyDescent="0.3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</row>
    <row r="130" spans="1:41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 spans="1:41" x14ac:dyDescent="0.3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</row>
    <row r="132" spans="1:41" x14ac:dyDescent="0.3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 spans="1:41" x14ac:dyDescent="0.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</row>
    <row r="134" spans="1:41" x14ac:dyDescent="0.3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 spans="1:41" x14ac:dyDescent="0.3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</row>
    <row r="136" spans="1:41" x14ac:dyDescent="0.3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 spans="1:41" x14ac:dyDescent="0.3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</row>
    <row r="138" spans="1:41" x14ac:dyDescent="0.3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 spans="1:41" x14ac:dyDescent="0.3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</row>
    <row r="140" spans="1:41" x14ac:dyDescent="0.3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 spans="1:41" x14ac:dyDescent="0.3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</row>
    <row r="142" spans="1:41" x14ac:dyDescent="0.3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 spans="1:41" x14ac:dyDescent="0.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</row>
    <row r="144" spans="1:41" x14ac:dyDescent="0.3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 spans="1:41" x14ac:dyDescent="0.3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</row>
    <row r="146" spans="1:41" x14ac:dyDescent="0.3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 spans="1:41" x14ac:dyDescent="0.3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</row>
    <row r="148" spans="1:41" x14ac:dyDescent="0.3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 spans="1:41" x14ac:dyDescent="0.3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</row>
    <row r="150" spans="1:41" x14ac:dyDescent="0.3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 spans="1:41" x14ac:dyDescent="0.3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</row>
    <row r="152" spans="1:41" x14ac:dyDescent="0.3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 spans="1:41" x14ac:dyDescent="0.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</row>
    <row r="154" spans="1:41" x14ac:dyDescent="0.3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 spans="1:41" x14ac:dyDescent="0.3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</row>
    <row r="156" spans="1:41" x14ac:dyDescent="0.3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 spans="1:41" x14ac:dyDescent="0.3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</row>
    <row r="158" spans="1:41" x14ac:dyDescent="0.3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 spans="1:41" x14ac:dyDescent="0.3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</row>
    <row r="160" spans="1:41" x14ac:dyDescent="0.3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 spans="1:41" x14ac:dyDescent="0.3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</row>
    <row r="162" spans="1:41" x14ac:dyDescent="0.3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 spans="1:41" x14ac:dyDescent="0.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</row>
    <row r="164" spans="1:41" x14ac:dyDescent="0.3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 spans="1:41" x14ac:dyDescent="0.3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</row>
    <row r="166" spans="1:41" x14ac:dyDescent="0.3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 spans="1:41" x14ac:dyDescent="0.3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</row>
    <row r="168" spans="1:41" x14ac:dyDescent="0.3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 spans="1:41" x14ac:dyDescent="0.3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</row>
    <row r="170" spans="1:41" x14ac:dyDescent="0.3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 spans="1:41" x14ac:dyDescent="0.3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</row>
    <row r="172" spans="1:41" x14ac:dyDescent="0.3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 spans="1:41" x14ac:dyDescent="0.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</row>
    <row r="174" spans="1:41" x14ac:dyDescent="0.3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 spans="1:41" x14ac:dyDescent="0.3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</row>
    <row r="176" spans="1:41" x14ac:dyDescent="0.3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 spans="1:41" x14ac:dyDescent="0.3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</row>
    <row r="178" spans="1:41" x14ac:dyDescent="0.3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 spans="1:41" x14ac:dyDescent="0.3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</row>
    <row r="180" spans="1:41" x14ac:dyDescent="0.3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 spans="1:41" x14ac:dyDescent="0.3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</row>
    <row r="182" spans="1:41" x14ac:dyDescent="0.3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 spans="1:41" x14ac:dyDescent="0.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</row>
    <row r="184" spans="1:41" x14ac:dyDescent="0.3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 spans="1:41" x14ac:dyDescent="0.3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</row>
    <row r="186" spans="1:41" x14ac:dyDescent="0.3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 spans="1:41" x14ac:dyDescent="0.3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</row>
    <row r="188" spans="1:41" x14ac:dyDescent="0.3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 spans="1:41" x14ac:dyDescent="0.3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</row>
    <row r="190" spans="1:41" x14ac:dyDescent="0.3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 spans="1:41" x14ac:dyDescent="0.3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</row>
    <row r="192" spans="1:41" x14ac:dyDescent="0.3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 spans="1:41" x14ac:dyDescent="0.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</row>
    <row r="194" spans="1:41" x14ac:dyDescent="0.3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 spans="1:41" x14ac:dyDescent="0.3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</row>
    <row r="196" spans="1:41" x14ac:dyDescent="0.3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 spans="1:41" x14ac:dyDescent="0.3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</row>
    <row r="198" spans="1:41" x14ac:dyDescent="0.3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 spans="1:41" x14ac:dyDescent="0.3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</row>
    <row r="200" spans="1:41" x14ac:dyDescent="0.3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 spans="1:41" x14ac:dyDescent="0.3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</row>
    <row r="202" spans="1:41" x14ac:dyDescent="0.3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 spans="1:41" x14ac:dyDescent="0.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</row>
    <row r="204" spans="1:41" x14ac:dyDescent="0.3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 spans="1:41" x14ac:dyDescent="0.3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</row>
    <row r="206" spans="1:41" x14ac:dyDescent="0.3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 spans="1:41" x14ac:dyDescent="0.3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</row>
    <row r="208" spans="1:41" x14ac:dyDescent="0.3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 spans="1:41" x14ac:dyDescent="0.3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</row>
    <row r="210" spans="1:41" x14ac:dyDescent="0.3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 spans="1:41" x14ac:dyDescent="0.3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</row>
    <row r="212" spans="1:41" x14ac:dyDescent="0.3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 spans="1:41" x14ac:dyDescent="0.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</row>
    <row r="214" spans="1:41" x14ac:dyDescent="0.3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 spans="1:41" x14ac:dyDescent="0.3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</row>
    <row r="216" spans="1:41" x14ac:dyDescent="0.3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 spans="1:41" x14ac:dyDescent="0.3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</row>
    <row r="218" spans="1:41" x14ac:dyDescent="0.3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 spans="1:41" x14ac:dyDescent="0.3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</row>
    <row r="220" spans="1:41" x14ac:dyDescent="0.3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 spans="1:41" x14ac:dyDescent="0.3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</row>
    <row r="222" spans="1:41" x14ac:dyDescent="0.3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 spans="1:41" x14ac:dyDescent="0.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</row>
    <row r="224" spans="1:41" x14ac:dyDescent="0.3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 spans="1:41" x14ac:dyDescent="0.3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</row>
    <row r="226" spans="1:41" x14ac:dyDescent="0.3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 spans="1:41" x14ac:dyDescent="0.3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</row>
    <row r="228" spans="1:41" x14ac:dyDescent="0.3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 spans="1:41" x14ac:dyDescent="0.3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</row>
    <row r="230" spans="1:41" x14ac:dyDescent="0.3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 spans="1:41" x14ac:dyDescent="0.3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</row>
    <row r="232" spans="1:41" x14ac:dyDescent="0.3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 spans="1:41" x14ac:dyDescent="0.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</row>
    <row r="234" spans="1:41" x14ac:dyDescent="0.3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 spans="1:41" x14ac:dyDescent="0.3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</row>
    <row r="236" spans="1:41" x14ac:dyDescent="0.3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 spans="1:41" x14ac:dyDescent="0.3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</row>
    <row r="238" spans="1:41" x14ac:dyDescent="0.3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 spans="1:41" x14ac:dyDescent="0.3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</row>
    <row r="240" spans="1:41" x14ac:dyDescent="0.3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 spans="1:41" x14ac:dyDescent="0.3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</row>
    <row r="242" spans="1:41" x14ac:dyDescent="0.3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 spans="1:41" x14ac:dyDescent="0.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</row>
    <row r="244" spans="1:41" x14ac:dyDescent="0.3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 spans="1:41" x14ac:dyDescent="0.3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</row>
    <row r="246" spans="1:41" x14ac:dyDescent="0.3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 spans="1:41" x14ac:dyDescent="0.3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</row>
    <row r="248" spans="1:41" x14ac:dyDescent="0.3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 spans="1:41" x14ac:dyDescent="0.3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</row>
    <row r="250" spans="1:41" x14ac:dyDescent="0.3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 spans="1:41" x14ac:dyDescent="0.3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</row>
    <row r="252" spans="1:41" x14ac:dyDescent="0.3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 spans="1:41" x14ac:dyDescent="0.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</row>
    <row r="254" spans="1:41" x14ac:dyDescent="0.3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 spans="1:41" x14ac:dyDescent="0.3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</row>
    <row r="256" spans="1:41" x14ac:dyDescent="0.3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 spans="1:41" x14ac:dyDescent="0.3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</row>
    <row r="258" spans="1:41" x14ac:dyDescent="0.3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 spans="1:41" x14ac:dyDescent="0.3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</row>
    <row r="260" spans="1:41" x14ac:dyDescent="0.3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 spans="1:41" x14ac:dyDescent="0.3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</row>
    <row r="262" spans="1:41" x14ac:dyDescent="0.3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 spans="1:41" x14ac:dyDescent="0.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</row>
    <row r="264" spans="1:41" x14ac:dyDescent="0.3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 spans="1:41" x14ac:dyDescent="0.3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</row>
    <row r="266" spans="1:41" x14ac:dyDescent="0.3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 spans="1:41" x14ac:dyDescent="0.3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</row>
    <row r="268" spans="1:41" x14ac:dyDescent="0.3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 spans="1:41" x14ac:dyDescent="0.3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</row>
    <row r="270" spans="1:41" x14ac:dyDescent="0.3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 spans="1:41" x14ac:dyDescent="0.3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</row>
    <row r="272" spans="1:41" x14ac:dyDescent="0.3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 spans="1:41" x14ac:dyDescent="0.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</row>
    <row r="274" spans="1:41" x14ac:dyDescent="0.3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 spans="1:41" x14ac:dyDescent="0.3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</row>
    <row r="276" spans="1:41" x14ac:dyDescent="0.3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 spans="1:41" x14ac:dyDescent="0.3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</row>
    <row r="278" spans="1:41" x14ac:dyDescent="0.3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 spans="1:41" x14ac:dyDescent="0.3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</row>
    <row r="280" spans="1:41" x14ac:dyDescent="0.3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 spans="1:41" x14ac:dyDescent="0.3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</row>
    <row r="282" spans="1:41" x14ac:dyDescent="0.3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 spans="1:41" x14ac:dyDescent="0.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</row>
    <row r="284" spans="1:41" x14ac:dyDescent="0.3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 spans="1:41" x14ac:dyDescent="0.3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</row>
    <row r="286" spans="1:41" x14ac:dyDescent="0.3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 spans="1:41" x14ac:dyDescent="0.3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</row>
    <row r="288" spans="1:41" x14ac:dyDescent="0.3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 spans="1:41" x14ac:dyDescent="0.3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</row>
    <row r="290" spans="1:41" x14ac:dyDescent="0.3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 spans="1:41" x14ac:dyDescent="0.3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</row>
    <row r="292" spans="1:41" x14ac:dyDescent="0.3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 spans="1:41" x14ac:dyDescent="0.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</row>
    <row r="294" spans="1:41" x14ac:dyDescent="0.3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 spans="1:41" x14ac:dyDescent="0.3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</row>
    <row r="296" spans="1:41" x14ac:dyDescent="0.3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 spans="1:41" x14ac:dyDescent="0.3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</row>
    <row r="298" spans="1:41" x14ac:dyDescent="0.3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 spans="1:41" x14ac:dyDescent="0.3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</row>
    <row r="300" spans="1:41" x14ac:dyDescent="0.3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 spans="1:41" x14ac:dyDescent="0.3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</row>
    <row r="302" spans="1:41" x14ac:dyDescent="0.3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 spans="1:41" x14ac:dyDescent="0.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</row>
    <row r="304" spans="1:41" x14ac:dyDescent="0.3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 spans="1:41" x14ac:dyDescent="0.3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</row>
    <row r="306" spans="1:41" x14ac:dyDescent="0.3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 spans="1:41" x14ac:dyDescent="0.3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</row>
    <row r="308" spans="1:41" x14ac:dyDescent="0.3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 spans="1:41" x14ac:dyDescent="0.3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</row>
    <row r="310" spans="1:41" x14ac:dyDescent="0.3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 spans="1:41" x14ac:dyDescent="0.3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</row>
    <row r="312" spans="1:41" x14ac:dyDescent="0.3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 spans="1:41" x14ac:dyDescent="0.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</row>
    <row r="314" spans="1:41" x14ac:dyDescent="0.3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 spans="1:41" x14ac:dyDescent="0.3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</row>
    <row r="316" spans="1:41" x14ac:dyDescent="0.3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 spans="1:41" x14ac:dyDescent="0.3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</row>
    <row r="318" spans="1:41" x14ac:dyDescent="0.3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 spans="1:41" x14ac:dyDescent="0.3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</row>
    <row r="320" spans="1:41" x14ac:dyDescent="0.3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 spans="1:41" x14ac:dyDescent="0.3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</row>
    <row r="322" spans="1:41" x14ac:dyDescent="0.3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 spans="1:41" x14ac:dyDescent="0.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</row>
    <row r="324" spans="1:41" x14ac:dyDescent="0.3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 spans="1:41" x14ac:dyDescent="0.3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</row>
    <row r="326" spans="1:41" x14ac:dyDescent="0.3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 spans="1:41" x14ac:dyDescent="0.3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</row>
    <row r="328" spans="1:41" x14ac:dyDescent="0.3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 spans="1:41" x14ac:dyDescent="0.3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</row>
    <row r="330" spans="1:41" x14ac:dyDescent="0.3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 spans="1:41" x14ac:dyDescent="0.3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</row>
    <row r="332" spans="1:41" x14ac:dyDescent="0.3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 spans="1:41" x14ac:dyDescent="0.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</row>
    <row r="334" spans="1:41" x14ac:dyDescent="0.3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 spans="1:41" x14ac:dyDescent="0.3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</row>
    <row r="336" spans="1:41" x14ac:dyDescent="0.3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 spans="1:41" x14ac:dyDescent="0.3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</row>
    <row r="338" spans="1:41" x14ac:dyDescent="0.3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 spans="1:41" x14ac:dyDescent="0.3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</row>
    <row r="340" spans="1:41" x14ac:dyDescent="0.3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 spans="1:41" x14ac:dyDescent="0.3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</row>
    <row r="342" spans="1:41" x14ac:dyDescent="0.3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 spans="1:41" x14ac:dyDescent="0.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</row>
    <row r="344" spans="1:41" x14ac:dyDescent="0.3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 spans="1:41" x14ac:dyDescent="0.3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</row>
    <row r="346" spans="1:41" x14ac:dyDescent="0.3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 spans="1:41" x14ac:dyDescent="0.3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</row>
    <row r="348" spans="1:41" x14ac:dyDescent="0.3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 spans="1:41" x14ac:dyDescent="0.3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</row>
    <row r="350" spans="1:41" x14ac:dyDescent="0.3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 spans="1:41" x14ac:dyDescent="0.3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</row>
    <row r="352" spans="1:41" x14ac:dyDescent="0.3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 spans="1:41" x14ac:dyDescent="0.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</row>
    <row r="354" spans="1:41" x14ac:dyDescent="0.3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 spans="1:41" x14ac:dyDescent="0.3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</row>
    <row r="356" spans="1:41" x14ac:dyDescent="0.3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 spans="1:41" x14ac:dyDescent="0.3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</row>
    <row r="358" spans="1:41" x14ac:dyDescent="0.3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 spans="1:41" x14ac:dyDescent="0.3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</row>
    <row r="360" spans="1:41" x14ac:dyDescent="0.3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 spans="1:41" x14ac:dyDescent="0.3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</row>
    <row r="362" spans="1:41" x14ac:dyDescent="0.3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 spans="1:41" x14ac:dyDescent="0.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</row>
    <row r="364" spans="1:41" x14ac:dyDescent="0.3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 spans="1:41" x14ac:dyDescent="0.3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</row>
    <row r="366" spans="1:41" x14ac:dyDescent="0.3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 spans="1:41" x14ac:dyDescent="0.3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</row>
    <row r="368" spans="1:41" x14ac:dyDescent="0.3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 spans="1:41" x14ac:dyDescent="0.3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</row>
    <row r="370" spans="1:41" x14ac:dyDescent="0.3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 spans="1:41" x14ac:dyDescent="0.3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</row>
    <row r="372" spans="1:41" x14ac:dyDescent="0.3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 spans="1:41" x14ac:dyDescent="0.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</row>
    <row r="374" spans="1:41" x14ac:dyDescent="0.3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 spans="1:41" x14ac:dyDescent="0.3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</row>
    <row r="376" spans="1:41" x14ac:dyDescent="0.3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 spans="1:41" x14ac:dyDescent="0.3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</row>
    <row r="378" spans="1:41" x14ac:dyDescent="0.3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 spans="1:41" x14ac:dyDescent="0.3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</row>
    <row r="380" spans="1:41" x14ac:dyDescent="0.3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 spans="1:41" x14ac:dyDescent="0.3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</row>
    <row r="382" spans="1:41" x14ac:dyDescent="0.3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 spans="1:41" x14ac:dyDescent="0.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</row>
    <row r="384" spans="1:41" x14ac:dyDescent="0.3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 spans="1:41" x14ac:dyDescent="0.3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</row>
    <row r="386" spans="1:41" x14ac:dyDescent="0.3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 spans="1:41" x14ac:dyDescent="0.3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</row>
    <row r="388" spans="1:41" x14ac:dyDescent="0.3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 spans="1:41" x14ac:dyDescent="0.3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</row>
    <row r="390" spans="1:41" x14ac:dyDescent="0.3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 spans="1:41" x14ac:dyDescent="0.3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</row>
    <row r="392" spans="1:41" x14ac:dyDescent="0.3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 spans="1:41" x14ac:dyDescent="0.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</row>
    <row r="394" spans="1:41" x14ac:dyDescent="0.3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 spans="1:41" x14ac:dyDescent="0.3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</row>
    <row r="396" spans="1:41" x14ac:dyDescent="0.3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 spans="1:41" x14ac:dyDescent="0.3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</row>
    <row r="398" spans="1:41" x14ac:dyDescent="0.3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 spans="1:41" x14ac:dyDescent="0.3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</row>
    <row r="400" spans="1:41" x14ac:dyDescent="0.3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 spans="1:41" x14ac:dyDescent="0.3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</row>
    <row r="402" spans="1:41" x14ac:dyDescent="0.3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 spans="1:41" x14ac:dyDescent="0.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</row>
    <row r="404" spans="1:41" x14ac:dyDescent="0.3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 spans="1:41" x14ac:dyDescent="0.3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</row>
    <row r="406" spans="1:41" x14ac:dyDescent="0.3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 spans="1:41" x14ac:dyDescent="0.3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</row>
    <row r="408" spans="1:41" x14ac:dyDescent="0.3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 spans="1:41" x14ac:dyDescent="0.3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</row>
    <row r="410" spans="1:41" x14ac:dyDescent="0.3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 spans="1:41" x14ac:dyDescent="0.3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</row>
    <row r="412" spans="1:41" x14ac:dyDescent="0.3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 spans="1:41" x14ac:dyDescent="0.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</row>
    <row r="414" spans="1:41" x14ac:dyDescent="0.3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 spans="1:41" x14ac:dyDescent="0.3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</row>
    <row r="416" spans="1:41" x14ac:dyDescent="0.3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 spans="1:41" x14ac:dyDescent="0.3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</row>
    <row r="418" spans="1:41" x14ac:dyDescent="0.3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 spans="1:41" x14ac:dyDescent="0.3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</row>
    <row r="420" spans="1:41" x14ac:dyDescent="0.3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 spans="1:41" x14ac:dyDescent="0.3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</row>
    <row r="422" spans="1:41" x14ac:dyDescent="0.3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 spans="1:41" x14ac:dyDescent="0.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</row>
    <row r="424" spans="1:41" x14ac:dyDescent="0.3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 spans="1:41" x14ac:dyDescent="0.3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</row>
    <row r="426" spans="1:41" x14ac:dyDescent="0.3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 spans="1:41" x14ac:dyDescent="0.3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</row>
    <row r="428" spans="1:41" x14ac:dyDescent="0.3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 spans="1:41" x14ac:dyDescent="0.3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</row>
    <row r="430" spans="1:41" x14ac:dyDescent="0.3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 spans="1:41" x14ac:dyDescent="0.3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</row>
    <row r="432" spans="1:41" x14ac:dyDescent="0.3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 spans="1:41" x14ac:dyDescent="0.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</row>
    <row r="434" spans="1:41" x14ac:dyDescent="0.3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 spans="1:41" x14ac:dyDescent="0.3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</row>
    <row r="436" spans="1:41" x14ac:dyDescent="0.3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 spans="1:41" x14ac:dyDescent="0.3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</row>
    <row r="438" spans="1:41" x14ac:dyDescent="0.3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 spans="1:41" x14ac:dyDescent="0.3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</row>
    <row r="440" spans="1:41" x14ac:dyDescent="0.3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 spans="1:41" x14ac:dyDescent="0.3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</row>
    <row r="442" spans="1:41" x14ac:dyDescent="0.3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 spans="1:41" x14ac:dyDescent="0.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</row>
    <row r="444" spans="1:41" x14ac:dyDescent="0.3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 spans="1:41" x14ac:dyDescent="0.3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</row>
    <row r="446" spans="1:41" x14ac:dyDescent="0.3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 spans="1:41" x14ac:dyDescent="0.3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</row>
    <row r="448" spans="1:41" x14ac:dyDescent="0.3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 spans="1:41" x14ac:dyDescent="0.3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</row>
    <row r="450" spans="1:41" x14ac:dyDescent="0.3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 spans="1:41" x14ac:dyDescent="0.3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</row>
    <row r="452" spans="1:41" x14ac:dyDescent="0.3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 spans="1:41" x14ac:dyDescent="0.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</row>
    <row r="454" spans="1:41" x14ac:dyDescent="0.3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 spans="1:41" x14ac:dyDescent="0.3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</row>
    <row r="456" spans="1:41" x14ac:dyDescent="0.3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 spans="1:41" x14ac:dyDescent="0.3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</row>
    <row r="458" spans="1:41" x14ac:dyDescent="0.3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 spans="1:41" x14ac:dyDescent="0.3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</row>
    <row r="460" spans="1:41" x14ac:dyDescent="0.3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 spans="1:41" x14ac:dyDescent="0.3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</row>
    <row r="462" spans="1:41" x14ac:dyDescent="0.3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 spans="1:41" x14ac:dyDescent="0.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</row>
    <row r="464" spans="1:41" x14ac:dyDescent="0.3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 spans="1:41" x14ac:dyDescent="0.3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</row>
    <row r="466" spans="1:41" x14ac:dyDescent="0.3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 spans="1:41" x14ac:dyDescent="0.3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</row>
    <row r="468" spans="1:41" x14ac:dyDescent="0.3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 spans="1:41" x14ac:dyDescent="0.3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</row>
    <row r="470" spans="1:41" x14ac:dyDescent="0.3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 spans="1:41" x14ac:dyDescent="0.3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</row>
    <row r="472" spans="1:41" x14ac:dyDescent="0.3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 spans="1:41" x14ac:dyDescent="0.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</row>
    <row r="474" spans="1:41" x14ac:dyDescent="0.3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 spans="1:41" x14ac:dyDescent="0.3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</row>
    <row r="476" spans="1:41" x14ac:dyDescent="0.3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 spans="1:41" x14ac:dyDescent="0.3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</row>
    <row r="478" spans="1:41" x14ac:dyDescent="0.3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 spans="1:41" x14ac:dyDescent="0.3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</row>
    <row r="480" spans="1:41" x14ac:dyDescent="0.3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 spans="1:41" x14ac:dyDescent="0.3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</row>
    <row r="482" spans="1:41" x14ac:dyDescent="0.3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 spans="1:41" x14ac:dyDescent="0.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</row>
    <row r="484" spans="1:41" x14ac:dyDescent="0.3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 spans="1:41" x14ac:dyDescent="0.3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</row>
    <row r="486" spans="1:41" x14ac:dyDescent="0.3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 spans="1:41" x14ac:dyDescent="0.3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</row>
    <row r="488" spans="1:41" x14ac:dyDescent="0.3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 spans="1:41" x14ac:dyDescent="0.3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</row>
    <row r="490" spans="1:41" x14ac:dyDescent="0.3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 spans="1:41" x14ac:dyDescent="0.3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</row>
    <row r="492" spans="1:41" x14ac:dyDescent="0.3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 spans="1:41" x14ac:dyDescent="0.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</row>
    <row r="494" spans="1:41" x14ac:dyDescent="0.3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 spans="1:41" x14ac:dyDescent="0.3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</row>
    <row r="496" spans="1:41" x14ac:dyDescent="0.3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 spans="1:41" x14ac:dyDescent="0.3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</row>
    <row r="498" spans="1:41" x14ac:dyDescent="0.3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 spans="1:41" x14ac:dyDescent="0.3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</row>
    <row r="500" spans="1:41" x14ac:dyDescent="0.3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</sheetData>
  <mergeCells count="7">
    <mergeCell ref="AL2:AO2"/>
    <mergeCell ref="U2:AF2"/>
    <mergeCell ref="A1:AO1"/>
    <mergeCell ref="A2:K2"/>
    <mergeCell ref="AG2:AK2"/>
    <mergeCell ref="L2:N2"/>
    <mergeCell ref="O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T100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8" customWidth="1"/>
    <col min="3" max="3" width="22" customWidth="1"/>
    <col min="4" max="4" width="18" customWidth="1"/>
    <col min="5" max="5" width="5" customWidth="1"/>
    <col min="6" max="6" width="16" customWidth="1"/>
    <col min="7" max="7" width="12" customWidth="1"/>
    <col min="8" max="9" width="10" customWidth="1"/>
    <col min="10" max="10" width="14" customWidth="1"/>
    <col min="11" max="11" width="10" customWidth="1"/>
    <col min="12" max="12" width="28" customWidth="1"/>
    <col min="13" max="13" width="22" customWidth="1"/>
    <col min="14" max="14" width="30" customWidth="1"/>
    <col min="15" max="15" width="12" customWidth="1"/>
    <col min="16" max="18" width="14" customWidth="1"/>
    <col min="19" max="19" width="10" customWidth="1"/>
    <col min="20" max="20" width="30" customWidth="1"/>
  </cols>
  <sheetData>
    <row r="1" spans="1:20" ht="23.25" customHeight="1" x14ac:dyDescent="0.3">
      <c r="A1" s="51" t="s">
        <v>323</v>
      </c>
      <c r="B1" s="51" t="s">
        <v>133</v>
      </c>
      <c r="C1" s="51" t="s">
        <v>201</v>
      </c>
      <c r="D1" s="51" t="s">
        <v>202</v>
      </c>
      <c r="E1" s="51" t="s">
        <v>204</v>
      </c>
      <c r="F1" s="51" t="s">
        <v>209</v>
      </c>
      <c r="G1" s="51" t="s">
        <v>68</v>
      </c>
      <c r="H1" s="52" t="s">
        <v>324</v>
      </c>
      <c r="I1" s="52" t="s">
        <v>325</v>
      </c>
      <c r="J1" s="52" t="s">
        <v>326</v>
      </c>
      <c r="K1" s="52" t="s">
        <v>327</v>
      </c>
      <c r="L1" s="53" t="s">
        <v>32</v>
      </c>
      <c r="M1" s="53" t="s">
        <v>1</v>
      </c>
      <c r="N1" s="53" t="s">
        <v>47</v>
      </c>
      <c r="O1" s="54" t="s">
        <v>328</v>
      </c>
      <c r="P1" s="54" t="s">
        <v>194</v>
      </c>
      <c r="Q1" s="55" t="s">
        <v>329</v>
      </c>
      <c r="R1" s="55" t="s">
        <v>89</v>
      </c>
      <c r="S1" s="55" t="s">
        <v>96</v>
      </c>
      <c r="T1" s="55" t="s">
        <v>330</v>
      </c>
    </row>
    <row r="2" spans="1:20" ht="15" customHeight="1" x14ac:dyDescent="0.3">
      <c r="A2" s="56">
        <v>46056</v>
      </c>
      <c r="B2" t="s">
        <v>135</v>
      </c>
      <c r="C2" t="s">
        <v>331</v>
      </c>
      <c r="D2" t="s">
        <v>282</v>
      </c>
      <c r="E2" t="s">
        <v>332</v>
      </c>
      <c r="F2" t="s">
        <v>298</v>
      </c>
      <c r="G2" t="s">
        <v>71</v>
      </c>
      <c r="H2" t="s">
        <v>146</v>
      </c>
      <c r="I2" t="s">
        <v>146</v>
      </c>
      <c r="J2" t="s">
        <v>146</v>
      </c>
      <c r="K2" t="s">
        <v>71</v>
      </c>
      <c r="L2" t="s">
        <v>39</v>
      </c>
      <c r="M2" t="s">
        <v>12</v>
      </c>
      <c r="N2" t="s">
        <v>66</v>
      </c>
      <c r="O2" s="57">
        <f>IF(M2="","",(IF(OR(M2="SUPORTE",M2="PERDA / FECHOU LOJA"),"SEM",A2+VLOOKUP(M2,REGRAS!$B$2:$C$13,2,FALSE()))))</f>
        <v>46101</v>
      </c>
      <c r="P2" t="s">
        <v>93</v>
      </c>
      <c r="Q2" t="s">
        <v>146</v>
      </c>
      <c r="R2" t="s">
        <v>92</v>
      </c>
      <c r="S2" t="s">
        <v>99</v>
      </c>
      <c r="T2" t="s">
        <v>333</v>
      </c>
    </row>
    <row r="3" spans="1:20" ht="15" customHeight="1" x14ac:dyDescent="0.3">
      <c r="A3" s="56">
        <v>46056</v>
      </c>
      <c r="B3" t="s">
        <v>137</v>
      </c>
      <c r="C3" t="s">
        <v>334</v>
      </c>
      <c r="D3" t="s">
        <v>285</v>
      </c>
      <c r="E3" t="s">
        <v>335</v>
      </c>
      <c r="F3" t="s">
        <v>289</v>
      </c>
      <c r="G3" t="s">
        <v>77</v>
      </c>
      <c r="H3" t="s">
        <v>146</v>
      </c>
      <c r="I3" t="s">
        <v>147</v>
      </c>
      <c r="J3" t="s">
        <v>149</v>
      </c>
      <c r="K3" t="s">
        <v>71</v>
      </c>
      <c r="L3" t="s">
        <v>41</v>
      </c>
      <c r="M3" t="s">
        <v>26</v>
      </c>
      <c r="N3" t="s">
        <v>64</v>
      </c>
      <c r="O3" s="57">
        <f>IF(M3="","",(IF(OR(M3="SUPORTE",M3="PERDA / FECHOU LOJA"),"SEM",A3+VLOOKUP(M3,REGRAS!$B$2:$C$13,2,FALSE()))))</f>
        <v>46057</v>
      </c>
      <c r="P3" t="s">
        <v>94</v>
      </c>
      <c r="Q3" t="s">
        <v>147</v>
      </c>
      <c r="R3" t="s">
        <v>95</v>
      </c>
      <c r="S3" t="s">
        <v>99</v>
      </c>
      <c r="T3" t="s">
        <v>336</v>
      </c>
    </row>
    <row r="4" spans="1:20" ht="15" customHeight="1" x14ac:dyDescent="0.3">
      <c r="A4" s="56">
        <v>46057</v>
      </c>
      <c r="B4" t="s">
        <v>139</v>
      </c>
      <c r="C4" t="s">
        <v>337</v>
      </c>
      <c r="D4" t="s">
        <v>288</v>
      </c>
      <c r="E4" t="s">
        <v>332</v>
      </c>
      <c r="F4" t="s">
        <v>295</v>
      </c>
      <c r="G4" t="s">
        <v>71</v>
      </c>
      <c r="H4" t="s">
        <v>146</v>
      </c>
      <c r="I4" t="s">
        <v>146</v>
      </c>
      <c r="J4" t="s">
        <v>146</v>
      </c>
      <c r="K4" t="s">
        <v>151</v>
      </c>
      <c r="L4" t="s">
        <v>35</v>
      </c>
      <c r="M4" t="s">
        <v>8</v>
      </c>
      <c r="N4" t="s">
        <v>66</v>
      </c>
      <c r="O4" s="57">
        <f>IF(M4="","",(IF(OR(M4="SUPORTE",M4="PERDA / FECHOU LOJA"),"SEM",A4+VLOOKUP(M4,REGRAS!$B$2:$C$13,2,FALSE()))))</f>
        <v>46058</v>
      </c>
      <c r="P4" t="s">
        <v>91</v>
      </c>
      <c r="Q4" t="s">
        <v>146</v>
      </c>
      <c r="R4" t="s">
        <v>91</v>
      </c>
      <c r="S4" t="s">
        <v>99</v>
      </c>
      <c r="T4" t="s">
        <v>338</v>
      </c>
    </row>
    <row r="5" spans="1:20" ht="15" customHeight="1" x14ac:dyDescent="0.3">
      <c r="A5" s="56">
        <v>46058</v>
      </c>
      <c r="B5" t="s">
        <v>141</v>
      </c>
      <c r="C5" t="s">
        <v>339</v>
      </c>
      <c r="D5" t="s">
        <v>291</v>
      </c>
      <c r="E5" t="s">
        <v>340</v>
      </c>
      <c r="F5" t="s">
        <v>283</v>
      </c>
      <c r="G5" t="s">
        <v>71</v>
      </c>
      <c r="H5" t="s">
        <v>147</v>
      </c>
      <c r="I5" t="s">
        <v>146</v>
      </c>
      <c r="J5" t="s">
        <v>146</v>
      </c>
      <c r="K5" t="s">
        <v>71</v>
      </c>
      <c r="L5" t="s">
        <v>43</v>
      </c>
      <c r="M5" t="s">
        <v>14</v>
      </c>
      <c r="N5" t="s">
        <v>49</v>
      </c>
      <c r="O5" s="57">
        <f>IF(M5="","",(IF(OR(M5="SUPORTE",M5="PERDA / FECHOU LOJA"),"SEM",A5+VLOOKUP(M5,REGRAS!$B$2:$C$13,2,FALSE()))))</f>
        <v>46065</v>
      </c>
      <c r="P5" t="s">
        <v>92</v>
      </c>
      <c r="Q5" t="s">
        <v>146</v>
      </c>
      <c r="R5" t="s">
        <v>92</v>
      </c>
      <c r="S5" t="s">
        <v>99</v>
      </c>
      <c r="T5" t="s">
        <v>341</v>
      </c>
    </row>
    <row r="6" spans="1:20" ht="15" customHeight="1" x14ac:dyDescent="0.3">
      <c r="A6" s="56">
        <v>46058</v>
      </c>
      <c r="B6" t="s">
        <v>135</v>
      </c>
      <c r="C6" t="s">
        <v>331</v>
      </c>
      <c r="D6" t="s">
        <v>282</v>
      </c>
      <c r="E6" t="s">
        <v>332</v>
      </c>
      <c r="F6" t="s">
        <v>298</v>
      </c>
      <c r="G6" t="s">
        <v>71</v>
      </c>
      <c r="H6" t="s">
        <v>146</v>
      </c>
      <c r="I6" t="s">
        <v>147</v>
      </c>
      <c r="J6" t="s">
        <v>149</v>
      </c>
      <c r="K6" t="s">
        <v>71</v>
      </c>
      <c r="L6" t="s">
        <v>37</v>
      </c>
      <c r="M6" t="s">
        <v>17</v>
      </c>
      <c r="N6" t="s">
        <v>66</v>
      </c>
      <c r="O6" s="57">
        <f>IF(M6="","",(IF(OR(M6="SUPORTE",M6="PERDA / FECHOU LOJA"),"SEM",A6+VLOOKUP(M6,REGRAS!$B$2:$C$13,2,FALSE()))))</f>
        <v>46065</v>
      </c>
      <c r="P6" t="s">
        <v>93</v>
      </c>
      <c r="Q6" t="s">
        <v>146</v>
      </c>
      <c r="R6" t="s">
        <v>93</v>
      </c>
      <c r="S6" t="s">
        <v>99</v>
      </c>
      <c r="T6" t="s">
        <v>342</v>
      </c>
    </row>
    <row r="7" spans="1:20" ht="15" customHeight="1" x14ac:dyDescent="0.3">
      <c r="A7" s="56">
        <v>46059</v>
      </c>
      <c r="B7" t="s">
        <v>137</v>
      </c>
      <c r="C7" t="s">
        <v>334</v>
      </c>
      <c r="D7" t="s">
        <v>285</v>
      </c>
      <c r="E7" t="s">
        <v>335</v>
      </c>
      <c r="F7" t="s">
        <v>289</v>
      </c>
      <c r="G7" t="s">
        <v>77</v>
      </c>
      <c r="H7" t="s">
        <v>147</v>
      </c>
      <c r="I7" t="s">
        <v>146</v>
      </c>
      <c r="J7" t="s">
        <v>147</v>
      </c>
      <c r="K7" t="s">
        <v>71</v>
      </c>
      <c r="L7" t="s">
        <v>41</v>
      </c>
      <c r="M7" t="s">
        <v>23</v>
      </c>
      <c r="N7" t="s">
        <v>64</v>
      </c>
      <c r="O7" s="57">
        <f>IF(M7="","",(IF(OR(M7="SUPORTE",M7="PERDA / FECHOU LOJA"),"SEM",A7+VLOOKUP(M7,REGRAS!$B$2:$C$13,2,FALSE()))))</f>
        <v>46060</v>
      </c>
      <c r="P7" t="s">
        <v>94</v>
      </c>
      <c r="Q7" t="s">
        <v>147</v>
      </c>
      <c r="R7" t="s">
        <v>95</v>
      </c>
      <c r="S7" t="s">
        <v>102</v>
      </c>
      <c r="T7" t="s">
        <v>343</v>
      </c>
    </row>
    <row r="8" spans="1:20" ht="15" customHeight="1" x14ac:dyDescent="0.3">
      <c r="A8" s="56">
        <v>46059</v>
      </c>
      <c r="B8" t="s">
        <v>139</v>
      </c>
      <c r="C8" t="s">
        <v>337</v>
      </c>
      <c r="D8" t="s">
        <v>288</v>
      </c>
      <c r="E8" t="s">
        <v>332</v>
      </c>
      <c r="F8" t="s">
        <v>295</v>
      </c>
      <c r="G8" t="s">
        <v>71</v>
      </c>
      <c r="H8" t="s">
        <v>146</v>
      </c>
      <c r="I8" t="s">
        <v>146</v>
      </c>
      <c r="J8" t="s">
        <v>146</v>
      </c>
      <c r="K8" t="s">
        <v>71</v>
      </c>
      <c r="L8" t="s">
        <v>35</v>
      </c>
      <c r="M8" t="s">
        <v>12</v>
      </c>
      <c r="N8" t="s">
        <v>66</v>
      </c>
      <c r="O8" s="57">
        <f>IF(M8="","",(IF(OR(M8="SUPORTE",M8="PERDA / FECHOU LOJA"),"SEM",A8+VLOOKUP(M8,REGRAS!$B$2:$C$13,2,FALSE()))))</f>
        <v>46104</v>
      </c>
      <c r="P8" t="s">
        <v>91</v>
      </c>
      <c r="Q8" t="s">
        <v>146</v>
      </c>
      <c r="R8" t="s">
        <v>91</v>
      </c>
      <c r="S8" t="s">
        <v>99</v>
      </c>
      <c r="T8" t="s">
        <v>344</v>
      </c>
    </row>
    <row r="9" spans="1:20" ht="15" customHeight="1" x14ac:dyDescent="0.3">
      <c r="A9" s="56">
        <v>46060</v>
      </c>
      <c r="B9" t="s">
        <v>135</v>
      </c>
      <c r="C9" t="s">
        <v>345</v>
      </c>
      <c r="D9" t="s">
        <v>294</v>
      </c>
      <c r="E9" t="s">
        <v>346</v>
      </c>
      <c r="G9" t="s">
        <v>85</v>
      </c>
      <c r="H9" t="s">
        <v>146</v>
      </c>
      <c r="I9" t="s">
        <v>147</v>
      </c>
      <c r="J9" t="s">
        <v>149</v>
      </c>
      <c r="K9" t="s">
        <v>71</v>
      </c>
      <c r="L9" t="s">
        <v>33</v>
      </c>
      <c r="M9" t="s">
        <v>5</v>
      </c>
      <c r="N9" t="s">
        <v>66</v>
      </c>
      <c r="O9" s="57">
        <f>IF(M9="","",(IF(OR(M9="SUPORTE",M9="PERDA / FECHOU LOJA"),"SEM",A9+VLOOKUP(M9,REGRAS!$B$2:$C$13,2,FALSE()))))</f>
        <v>46062</v>
      </c>
      <c r="P9" t="s">
        <v>33</v>
      </c>
      <c r="Q9" t="s">
        <v>147</v>
      </c>
      <c r="R9" t="s">
        <v>33</v>
      </c>
      <c r="S9" t="s">
        <v>99</v>
      </c>
      <c r="T9" t="s">
        <v>347</v>
      </c>
    </row>
    <row r="10" spans="1:20" ht="15" customHeight="1" x14ac:dyDescent="0.3"/>
    <row r="11" spans="1:20" ht="15" customHeight="1" x14ac:dyDescent="0.3"/>
    <row r="12" spans="1:20" ht="15" customHeight="1" x14ac:dyDescent="0.3"/>
    <row r="13" spans="1:20" ht="15" customHeight="1" x14ac:dyDescent="0.3"/>
    <row r="14" spans="1:20" ht="15" customHeight="1" x14ac:dyDescent="0.3"/>
    <row r="15" spans="1:20" ht="15" customHeight="1" x14ac:dyDescent="0.3"/>
    <row r="16" spans="1:20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</sheetData>
  <dataValidations count="7">
    <dataValidation type="list" allowBlank="1" sqref="Q2:Q1009 H2:I1009" xr:uid="{00000000-0002-0000-0300-000000000000}">
      <formula1>LISTA_SIM_NAO</formula1>
      <formula2>0</formula2>
    </dataValidation>
    <dataValidation type="list" allowBlank="1" sqref="J2:J1009" xr:uid="{00000000-0002-0000-0300-000002000000}">
      <formula1>LISTA_SIM_NAO_NA</formula1>
      <formula2>0</formula2>
    </dataValidation>
    <dataValidation type="list" allowBlank="1" sqref="K2:K1009" xr:uid="{00000000-0002-0000-0300-000003000000}">
      <formula1>LISTA_ATIVO_RECEPTIVO</formula1>
      <formula2>0</formula2>
    </dataValidation>
    <dataValidation type="list" allowBlank="1" sqref="L2:L1009" xr:uid="{00000000-0002-0000-0300-000004000000}">
      <formula1>LISTA_TIPO_CONTATO</formula1>
      <formula2>0</formula2>
    </dataValidation>
    <dataValidation type="list" allowBlank="1" sqref="M2:M1009" xr:uid="{00000000-0002-0000-0300-000005000000}">
      <formula1>LISTA_RESULTADO</formula1>
      <formula2>0</formula2>
    </dataValidation>
    <dataValidation type="list" allowBlank="1" sqref="N2:N1009" xr:uid="{00000000-0002-0000-0300-000006000000}">
      <formula1>LISTA_MOTIVO</formula1>
      <formula2>0</formula2>
    </dataValidation>
    <dataValidation type="list" allowBlank="1" sqref="P2:P1009" xr:uid="{00000000-0002-0000-0300-000007000000}">
      <formula1>LISTA_ACAO_FUTURA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X502"/>
  <sheetViews>
    <sheetView topLeftCell="R1" workbookViewId="0">
      <pane ySplit="2" topLeftCell="A3" activePane="bottomLeft" state="frozen"/>
      <selection pane="bottomLeft" activeCell="V7" sqref="V7"/>
    </sheetView>
  </sheetViews>
  <sheetFormatPr defaultRowHeight="14.4" x14ac:dyDescent="0.3"/>
  <cols>
    <col min="1" max="1" width="12" customWidth="1"/>
    <col min="2" max="2" width="18" customWidth="1"/>
    <col min="3" max="3" width="25" customWidth="1"/>
    <col min="4" max="4" width="18" customWidth="1"/>
    <col min="5" max="5" width="5" customWidth="1"/>
    <col min="6" max="6" width="18" customWidth="1"/>
    <col min="7" max="7" width="12" customWidth="1"/>
    <col min="8" max="8" width="14" customWidth="1"/>
    <col min="9" max="9" width="15" customWidth="1"/>
    <col min="10" max="10" width="14" customWidth="1"/>
    <col min="11" max="11" width="15" customWidth="1"/>
    <col min="12" max="12" width="12" customWidth="1"/>
    <col min="13" max="15" width="10" customWidth="1"/>
    <col min="16" max="16" width="14" customWidth="1"/>
    <col min="17" max="18" width="22" customWidth="1"/>
    <col min="19" max="19" width="30" customWidth="1"/>
    <col min="20" max="20" width="12" customWidth="1"/>
    <col min="21" max="21" width="25" customWidth="1"/>
    <col min="22" max="22" width="30" customWidth="1"/>
    <col min="23" max="23" width="14" customWidth="1"/>
    <col min="24" max="24" width="30" customWidth="1"/>
  </cols>
  <sheetData>
    <row r="1" spans="1:24" ht="28.05" customHeight="1" x14ac:dyDescent="0.3">
      <c r="A1" s="102" t="s">
        <v>348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spans="1:24" ht="28.05" customHeight="1" x14ac:dyDescent="0.3">
      <c r="A2" s="60" t="s">
        <v>323</v>
      </c>
      <c r="B2" s="60" t="s">
        <v>133</v>
      </c>
      <c r="C2" s="60" t="s">
        <v>201</v>
      </c>
      <c r="D2" s="60" t="s">
        <v>202</v>
      </c>
      <c r="E2" s="60" t="s">
        <v>204</v>
      </c>
      <c r="F2" s="60" t="s">
        <v>209</v>
      </c>
      <c r="G2" s="60" t="s">
        <v>68</v>
      </c>
      <c r="H2" s="60" t="s">
        <v>213</v>
      </c>
      <c r="I2" s="60" t="s">
        <v>241</v>
      </c>
      <c r="J2" s="60" t="s">
        <v>123</v>
      </c>
      <c r="K2" s="60" t="s">
        <v>89</v>
      </c>
      <c r="L2" s="60" t="s">
        <v>114</v>
      </c>
      <c r="M2" s="60" t="s">
        <v>96</v>
      </c>
      <c r="N2" s="61" t="s">
        <v>324</v>
      </c>
      <c r="O2" s="61" t="s">
        <v>325</v>
      </c>
      <c r="P2" s="61" t="s">
        <v>326</v>
      </c>
      <c r="Q2" s="61" t="s">
        <v>32</v>
      </c>
      <c r="R2" s="61" t="s">
        <v>1</v>
      </c>
      <c r="S2" s="61" t="s">
        <v>47</v>
      </c>
      <c r="T2" s="61" t="s">
        <v>328</v>
      </c>
      <c r="U2" s="61" t="s">
        <v>349</v>
      </c>
      <c r="V2" s="61" t="s">
        <v>253</v>
      </c>
      <c r="W2" s="61" t="s">
        <v>329</v>
      </c>
      <c r="X2" s="61" t="s">
        <v>350</v>
      </c>
    </row>
    <row r="3" spans="1:24" x14ac:dyDescent="0.3">
      <c r="A3" s="71">
        <v>46074</v>
      </c>
      <c r="B3" s="58" t="s">
        <v>135</v>
      </c>
      <c r="C3" s="58" t="s">
        <v>351</v>
      </c>
      <c r="D3" s="58" t="s">
        <v>352</v>
      </c>
      <c r="E3" s="58" t="s">
        <v>340</v>
      </c>
      <c r="F3" s="58" t="s">
        <v>296</v>
      </c>
      <c r="G3" s="58" t="s">
        <v>77</v>
      </c>
      <c r="H3" s="58">
        <v>62</v>
      </c>
      <c r="I3" s="58" t="str">
        <f>IF(R3="","",VLOOKUP(R3,REGRAS!$B$2:$D$13,3,FALSE()))</f>
        <v>FUNIL</v>
      </c>
      <c r="J3" s="58"/>
      <c r="K3" s="58" t="str">
        <f>IF(R3="","",IF(R3="VENDA / PEDIDO","RECOMPRA",IF(R3="SUPORTE","PÓS-VENDA",IF(OR(R3="FOLLOW UP 7",R3="FOLLOW UP 15"),"SALVAMENTO",IF(R3="PERDA / FECHOU LOJA","NUTRIÇÃO",IF(R3="RELACIONAMENTO","CS",IF(OR(R3="ORÇAMENTO",R3="CADASTRO"),"PROSPECÇÃO",IF(R3="EM ATENDIMENTO","EM ATENDIMENTO",IF(OR(R3="NÃO ATENDE",R3="NÃO RESPONDE",R3="RECUSOU LIGAÇÃO"),"RECUPERAÇÃO","")))))))))</f>
        <v>EM ATENDIMENTO</v>
      </c>
      <c r="L3" s="58" t="str">
        <f>IF(H3="","",IF(G3="PROSPECT","🟣",IF(G3="LEAD","🟣",IF(G3="NOVO","🟢",IF(H3&lt;=50,"🟢",IF(H3&lt;=90,"🟡","🔴"))))))</f>
        <v>🟡</v>
      </c>
      <c r="M3" s="58"/>
      <c r="N3" s="58" t="s">
        <v>146</v>
      </c>
      <c r="O3" s="58" t="s">
        <v>146</v>
      </c>
      <c r="P3" s="58" t="s">
        <v>146</v>
      </c>
      <c r="Q3" s="58" t="s">
        <v>33</v>
      </c>
      <c r="R3" s="58" t="s">
        <v>5</v>
      </c>
      <c r="S3" s="58"/>
      <c r="T3" s="71">
        <f>IF(R3="","",IF(OR(R3="SUPORTE",R3="PERDA / FECHOU LOJA"),"SEM",A3+VLOOKUP(R3,REGRAS!$B$2:$C$13,2,FALSE())))</f>
        <v>46076</v>
      </c>
      <c r="U3" s="58" t="str">
        <f>IF(R3="","",IF(R3="VENDA / PEDIDO","RECOMPRA",IF(R3="SUPORTE","PÓS-VENDA",IF(R3="RELACIONAMENTO","CS",IF(OR(R3="NÃO ATENDE",R3="NÃO RESPONDE",R3="RECUSOU LIGAÇÃO"),"REATIVAÇÃO",IF(R3="PERDA / FECHOU LOJA","NUTRIÇÃO",IF(OR(R3="FOLLOW UP 7",R3="FOLLOW UP 15"),"SALVAMENTO","PROSPECÇÃO")))))))</f>
        <v>PROSPECÇÃO</v>
      </c>
      <c r="V3" s="58"/>
      <c r="W3" s="58" t="s">
        <v>146</v>
      </c>
      <c r="X3" s="58"/>
    </row>
    <row r="4" spans="1:24" x14ac:dyDescent="0.3">
      <c r="A4" s="71">
        <v>46071</v>
      </c>
      <c r="B4" s="58" t="s">
        <v>137</v>
      </c>
      <c r="C4" s="58" t="s">
        <v>353</v>
      </c>
      <c r="D4" s="58" t="s">
        <v>354</v>
      </c>
      <c r="E4" s="58" t="s">
        <v>335</v>
      </c>
      <c r="F4" s="58" t="s">
        <v>295</v>
      </c>
      <c r="G4" s="58" t="s">
        <v>71</v>
      </c>
      <c r="H4" s="58">
        <v>26</v>
      </c>
      <c r="I4" s="58" t="str">
        <f>IF(R4="","",VLOOKUP(R4,REGRAS!$B$2:$D$13,3,FALSE()))</f>
        <v>FUNIL</v>
      </c>
      <c r="J4" s="58"/>
      <c r="K4" s="58" t="str">
        <f t="shared" ref="K4:K67" si="0">IF(R4="","",IF(R4="VENDA / PEDIDO","RECOMPRA",IF(R4="SUPORTE","PÓS-VENDA",IF(OR(R4="FOLLOW UP 7",R4="FOLLOW UP 15"),"SALVAMENTO",IF(R4="PERDA / FECHOU LOJA","NUTRIÇÃO",IF(R4="RELACIONAMENTO","CS",IF(OR(R4="ORÇAMENTO",R4="CADASTRO"),"PROSPECÇÃO",IF(R4="EM ATENDIMENTO","EM ATENDIMENTO",IF(OR(R4="NÃO ATENDE",R4="NÃO RESPONDE",R4="RECUSOU LIGAÇÃO"),"RECUPERAÇÃO","")))))))))</f>
        <v>PROSPECÇÃO</v>
      </c>
      <c r="L4" s="58" t="str">
        <f t="shared" ref="L4:L67" si="1">IF(H4="","",IF(G4="PROSPECT","🟣",IF(G4="LEAD","🟣",IF(G4="NOVO","🟢",IF(H4&lt;=50,"🟢",IF(H4&lt;=90,"🟡","🔴"))))))</f>
        <v>🟢</v>
      </c>
      <c r="M4" s="58"/>
      <c r="N4" s="58" t="s">
        <v>146</v>
      </c>
      <c r="O4" s="58" t="s">
        <v>146</v>
      </c>
      <c r="P4" s="58" t="s">
        <v>146</v>
      </c>
      <c r="Q4" s="58" t="s">
        <v>33</v>
      </c>
      <c r="R4" s="58" t="s">
        <v>10</v>
      </c>
      <c r="S4" s="58"/>
      <c r="T4" s="71">
        <f>IF(R4="","",IF(OR(R4="SUPORTE",R4="PERDA / FECHOU LOJA"),"SEM",A4+VLOOKUP(R4,REGRAS!$B$2:$C$13,2,FALSE())))</f>
        <v>46073</v>
      </c>
      <c r="U4" s="58" t="str">
        <f t="shared" ref="U4:U67" si="2">IF(R4="","",IF(R4="VENDA / PEDIDO","RECOMPRA",IF(R4="SUPORTE","PÓS-VENDA",IF(R4="RELACIONAMENTO","CS",IF(OR(R4="NÃO ATENDE",R4="NÃO RESPONDE",R4="RECUSOU LIGAÇÃO"),"REATIVAÇÃO",IF(R4="PERDA / FECHOU LOJA","NUTRIÇÃO",IF(OR(R4="FOLLOW UP 7",R4="FOLLOW UP 15"),"SALVAMENTO","PROSPECÇÃO")))))))</f>
        <v>PROSPECÇÃO</v>
      </c>
      <c r="V4" s="58"/>
      <c r="W4" s="58" t="s">
        <v>146</v>
      </c>
      <c r="X4" s="58"/>
    </row>
    <row r="5" spans="1:24" x14ac:dyDescent="0.3">
      <c r="A5" s="71">
        <v>46068</v>
      </c>
      <c r="B5" s="58" t="s">
        <v>137</v>
      </c>
      <c r="C5" s="58" t="s">
        <v>355</v>
      </c>
      <c r="D5" s="58" t="s">
        <v>356</v>
      </c>
      <c r="E5" s="58" t="s">
        <v>332</v>
      </c>
      <c r="F5" s="58" t="s">
        <v>283</v>
      </c>
      <c r="G5" s="58" t="s">
        <v>79</v>
      </c>
      <c r="H5" s="58">
        <v>288</v>
      </c>
      <c r="I5" s="58" t="str">
        <f>IF(R5="","",VLOOKUP(R5,REGRAS!$B$2:$D$13,3,FALSE()))</f>
        <v>FUNIL</v>
      </c>
      <c r="J5" s="58"/>
      <c r="K5" s="58" t="str">
        <f t="shared" si="0"/>
        <v>EM ATENDIMENTO</v>
      </c>
      <c r="L5" s="58" t="str">
        <f t="shared" si="1"/>
        <v>🔴</v>
      </c>
      <c r="M5" s="58"/>
      <c r="N5" s="58" t="s">
        <v>146</v>
      </c>
      <c r="O5" s="58" t="s">
        <v>146</v>
      </c>
      <c r="P5" s="58" t="s">
        <v>146</v>
      </c>
      <c r="Q5" s="58" t="s">
        <v>37</v>
      </c>
      <c r="R5" s="58" t="s">
        <v>5</v>
      </c>
      <c r="S5" s="58"/>
      <c r="T5" s="71">
        <f>IF(R5="","",IF(OR(R5="SUPORTE",R5="PERDA / FECHOU LOJA"),"SEM",A5+VLOOKUP(R5,REGRAS!$B$2:$C$13,2,FALSE())))</f>
        <v>46070</v>
      </c>
      <c r="U5" s="58" t="str">
        <f t="shared" si="2"/>
        <v>PROSPECÇÃO</v>
      </c>
      <c r="V5" s="58"/>
      <c r="W5" s="58" t="s">
        <v>146</v>
      </c>
      <c r="X5" s="58"/>
    </row>
    <row r="6" spans="1:24" x14ac:dyDescent="0.3">
      <c r="A6" s="71">
        <v>46065</v>
      </c>
      <c r="B6" s="58" t="s">
        <v>135</v>
      </c>
      <c r="C6" s="58" t="s">
        <v>357</v>
      </c>
      <c r="D6" s="58" t="s">
        <v>358</v>
      </c>
      <c r="E6" s="58" t="s">
        <v>335</v>
      </c>
      <c r="F6" s="58" t="s">
        <v>296</v>
      </c>
      <c r="G6" s="58" t="s">
        <v>71</v>
      </c>
      <c r="H6" s="58">
        <v>34</v>
      </c>
      <c r="I6" s="58" t="str">
        <f>IF(R6="","",VLOOKUP(R6,REGRAS!$B$2:$D$13,3,FALSE()))</f>
        <v>NÃO VENDA</v>
      </c>
      <c r="J6" s="58"/>
      <c r="K6" s="58" t="str">
        <f t="shared" si="0"/>
        <v>RECUPERAÇÃO</v>
      </c>
      <c r="L6" s="58" t="str">
        <f t="shared" si="1"/>
        <v>🟢</v>
      </c>
      <c r="M6" s="58"/>
      <c r="N6" s="58" t="s">
        <v>146</v>
      </c>
      <c r="O6" s="58" t="s">
        <v>147</v>
      </c>
      <c r="P6" s="58" t="s">
        <v>149</v>
      </c>
      <c r="Q6" s="58" t="s">
        <v>39</v>
      </c>
      <c r="R6" s="58" t="s">
        <v>23</v>
      </c>
      <c r="S6" s="58" t="s">
        <v>59</v>
      </c>
      <c r="T6" s="71">
        <f>IF(R6="","",IF(OR(R6="SUPORTE",R6="PERDA / FECHOU LOJA"),"SEM",A6+VLOOKUP(R6,REGRAS!$B$2:$C$13,2,FALSE())))</f>
        <v>46066</v>
      </c>
      <c r="U6" s="58" t="str">
        <f t="shared" si="2"/>
        <v>REATIVAÇÃO</v>
      </c>
      <c r="V6" s="58"/>
      <c r="W6" s="58" t="s">
        <v>147</v>
      </c>
      <c r="X6" s="58"/>
    </row>
    <row r="7" spans="1:24" x14ac:dyDescent="0.3">
      <c r="A7" s="71">
        <v>46078</v>
      </c>
      <c r="B7" s="58" t="s">
        <v>135</v>
      </c>
      <c r="C7" s="58" t="s">
        <v>359</v>
      </c>
      <c r="D7" s="58" t="s">
        <v>360</v>
      </c>
      <c r="E7" s="58" t="s">
        <v>361</v>
      </c>
      <c r="F7" s="58" t="s">
        <v>295</v>
      </c>
      <c r="G7" s="58" t="s">
        <v>79</v>
      </c>
      <c r="H7" s="58">
        <v>192</v>
      </c>
      <c r="I7" s="58" t="str">
        <f>IF(R7="","",VLOOKUP(R7,REGRAS!$B$2:$D$13,3,FALSE()))</f>
        <v>RELAC.</v>
      </c>
      <c r="J7" s="58"/>
      <c r="K7" s="58" t="str">
        <f t="shared" si="0"/>
        <v>PÓS-VENDA</v>
      </c>
      <c r="L7" s="58" t="str">
        <f t="shared" si="1"/>
        <v>🔴</v>
      </c>
      <c r="M7" s="58"/>
      <c r="N7" s="58" t="s">
        <v>146</v>
      </c>
      <c r="O7" s="58" t="s">
        <v>146</v>
      </c>
      <c r="P7" s="58" t="s">
        <v>147</v>
      </c>
      <c r="Q7" s="58" t="s">
        <v>43</v>
      </c>
      <c r="R7" s="58" t="s">
        <v>21</v>
      </c>
      <c r="S7" s="58"/>
      <c r="T7" s="71" t="str">
        <f>IF(R7="","",IF(OR(R7="SUPORTE",R7="PERDA / FECHOU LOJA"),"SEM",A7+VLOOKUP(R7,REGRAS!$B$2:$C$13,2,FALSE())))</f>
        <v>SEM</v>
      </c>
      <c r="U7" s="58" t="str">
        <f t="shared" si="2"/>
        <v>PÓS-VENDA</v>
      </c>
      <c r="V7" s="58"/>
      <c r="W7" s="58" t="s">
        <v>146</v>
      </c>
      <c r="X7" s="58"/>
    </row>
    <row r="8" spans="1:24" x14ac:dyDescent="0.3">
      <c r="A8" s="71">
        <v>46077</v>
      </c>
      <c r="B8" s="58" t="s">
        <v>137</v>
      </c>
      <c r="C8" s="58" t="s">
        <v>362</v>
      </c>
      <c r="D8" s="58" t="s">
        <v>363</v>
      </c>
      <c r="E8" s="58" t="s">
        <v>332</v>
      </c>
      <c r="F8" s="58" t="s">
        <v>283</v>
      </c>
      <c r="G8" s="58" t="s">
        <v>71</v>
      </c>
      <c r="H8" s="58">
        <v>45</v>
      </c>
      <c r="I8" s="58" t="str">
        <f>IF(R8="","",VLOOKUP(R8,REGRAS!$B$2:$D$13,3,FALSE()))</f>
        <v>FUNIL</v>
      </c>
      <c r="J8" s="58"/>
      <c r="K8" s="58" t="str">
        <f t="shared" si="0"/>
        <v>RECOMPRA</v>
      </c>
      <c r="L8" s="58" t="str">
        <f t="shared" si="1"/>
        <v>🟢</v>
      </c>
      <c r="M8" s="58"/>
      <c r="N8" s="58" t="s">
        <v>146</v>
      </c>
      <c r="O8" s="58" t="s">
        <v>146</v>
      </c>
      <c r="P8" s="58" t="s">
        <v>147</v>
      </c>
      <c r="Q8" s="58" t="s">
        <v>35</v>
      </c>
      <c r="R8" s="58" t="s">
        <v>12</v>
      </c>
      <c r="S8" s="58"/>
      <c r="T8" s="71">
        <f>IF(R8="","",IF(OR(R8="SUPORTE",R8="PERDA / FECHOU LOJA"),"SEM",A8+VLOOKUP(R8,REGRAS!$B$2:$C$13,2,FALSE())))</f>
        <v>46122</v>
      </c>
      <c r="U8" s="58" t="str">
        <f t="shared" si="2"/>
        <v>RECOMPRA</v>
      </c>
      <c r="V8" s="58"/>
      <c r="W8" s="58" t="s">
        <v>146</v>
      </c>
      <c r="X8" s="58"/>
    </row>
    <row r="9" spans="1:24" x14ac:dyDescent="0.3">
      <c r="A9" s="71">
        <v>46062</v>
      </c>
      <c r="B9" s="58" t="s">
        <v>141</v>
      </c>
      <c r="C9" s="58" t="s">
        <v>364</v>
      </c>
      <c r="D9" s="58" t="s">
        <v>365</v>
      </c>
      <c r="E9" s="58" t="s">
        <v>366</v>
      </c>
      <c r="F9" s="58" t="s">
        <v>295</v>
      </c>
      <c r="G9" s="58" t="s">
        <v>71</v>
      </c>
      <c r="H9" s="58">
        <v>5</v>
      </c>
      <c r="I9" s="58" t="str">
        <f>IF(R9="","",VLOOKUP(R9,REGRAS!$B$2:$D$13,3,FALSE()))</f>
        <v>RELAC.</v>
      </c>
      <c r="J9" s="58"/>
      <c r="K9" s="58" t="str">
        <f t="shared" si="0"/>
        <v>SALVAMENTO</v>
      </c>
      <c r="L9" s="58" t="str">
        <f t="shared" si="1"/>
        <v>🟢</v>
      </c>
      <c r="M9" s="58"/>
      <c r="N9" s="58" t="s">
        <v>146</v>
      </c>
      <c r="O9" s="58" t="s">
        <v>147</v>
      </c>
      <c r="P9" s="58" t="s">
        <v>149</v>
      </c>
      <c r="Q9" s="58" t="s">
        <v>45</v>
      </c>
      <c r="R9" s="58" t="s">
        <v>19</v>
      </c>
      <c r="S9" s="58" t="s">
        <v>49</v>
      </c>
      <c r="T9" s="71">
        <f>IF(R9="","",IF(OR(R9="SUPORTE",R9="PERDA / FECHOU LOJA"),"SEM",A9+VLOOKUP(R9,REGRAS!$B$2:$C$13,2,FALSE())))</f>
        <v>46077</v>
      </c>
      <c r="U9" s="58" t="str">
        <f t="shared" si="2"/>
        <v>SALVAMENTO</v>
      </c>
      <c r="V9" s="58"/>
      <c r="W9" s="58" t="s">
        <v>147</v>
      </c>
      <c r="X9" s="58"/>
    </row>
    <row r="10" spans="1:24" x14ac:dyDescent="0.3">
      <c r="A10" s="71">
        <v>46081</v>
      </c>
      <c r="B10" s="58" t="s">
        <v>139</v>
      </c>
      <c r="C10" s="58" t="s">
        <v>367</v>
      </c>
      <c r="D10" s="58" t="s">
        <v>368</v>
      </c>
      <c r="E10" s="58" t="s">
        <v>369</v>
      </c>
      <c r="F10" s="58" t="s">
        <v>292</v>
      </c>
      <c r="G10" s="58" t="s">
        <v>85</v>
      </c>
      <c r="H10" s="58"/>
      <c r="I10" s="58" t="str">
        <f>IF(R10="","",VLOOKUP(R10,REGRAS!$B$2:$D$13,3,FALSE()))</f>
        <v>RELAC.</v>
      </c>
      <c r="J10" s="58"/>
      <c r="K10" s="58" t="str">
        <f t="shared" si="0"/>
        <v>CS</v>
      </c>
      <c r="L10" s="58" t="str">
        <f t="shared" si="1"/>
        <v/>
      </c>
      <c r="M10" s="58"/>
      <c r="N10" s="58" t="s">
        <v>146</v>
      </c>
      <c r="O10" s="58" t="s">
        <v>146</v>
      </c>
      <c r="P10" s="58" t="s">
        <v>147</v>
      </c>
      <c r="Q10" s="58" t="s">
        <v>39</v>
      </c>
      <c r="R10" s="58" t="s">
        <v>14</v>
      </c>
      <c r="S10" s="58"/>
      <c r="T10" s="71">
        <f>IF(R10="","",IF(OR(R10="SUPORTE",R10="PERDA / FECHOU LOJA"),"SEM",A10+VLOOKUP(R10,REGRAS!$B$2:$C$13,2,FALSE())))</f>
        <v>46088</v>
      </c>
      <c r="U10" s="58" t="str">
        <f t="shared" si="2"/>
        <v>CS</v>
      </c>
      <c r="V10" s="58"/>
      <c r="W10" s="58" t="s">
        <v>147</v>
      </c>
      <c r="X10" s="58"/>
    </row>
    <row r="11" spans="1:24" x14ac:dyDescent="0.3">
      <c r="A11" s="71">
        <v>46061</v>
      </c>
      <c r="B11" s="58" t="s">
        <v>135</v>
      </c>
      <c r="C11" s="58" t="s">
        <v>370</v>
      </c>
      <c r="D11" s="58" t="s">
        <v>371</v>
      </c>
      <c r="E11" s="58" t="s">
        <v>340</v>
      </c>
      <c r="F11" s="58" t="s">
        <v>283</v>
      </c>
      <c r="G11" s="58" t="s">
        <v>74</v>
      </c>
      <c r="H11" s="58">
        <v>59</v>
      </c>
      <c r="I11" s="58" t="str">
        <f>IF(R11="","",VLOOKUP(R11,REGRAS!$B$2:$D$13,3,FALSE()))</f>
        <v>FUNIL</v>
      </c>
      <c r="J11" s="58"/>
      <c r="K11" s="58" t="str">
        <f t="shared" si="0"/>
        <v>PROSPECÇÃO</v>
      </c>
      <c r="L11" s="58" t="str">
        <f t="shared" si="1"/>
        <v>🟡</v>
      </c>
      <c r="M11" s="58"/>
      <c r="N11" s="58" t="s">
        <v>146</v>
      </c>
      <c r="O11" s="58" t="s">
        <v>147</v>
      </c>
      <c r="P11" s="58" t="s">
        <v>149</v>
      </c>
      <c r="Q11" s="58" t="s">
        <v>35</v>
      </c>
      <c r="R11" s="58" t="s">
        <v>10</v>
      </c>
      <c r="S11" s="58"/>
      <c r="T11" s="71">
        <f>IF(R11="","",IF(OR(R11="SUPORTE",R11="PERDA / FECHOU LOJA"),"SEM",A11+VLOOKUP(R11,REGRAS!$B$2:$C$13,2,FALSE())))</f>
        <v>46063</v>
      </c>
      <c r="U11" s="58" t="str">
        <f t="shared" si="2"/>
        <v>PROSPECÇÃO</v>
      </c>
      <c r="V11" s="58"/>
      <c r="W11" s="58" t="s">
        <v>147</v>
      </c>
      <c r="X11" s="58"/>
    </row>
    <row r="12" spans="1:24" x14ac:dyDescent="0.3">
      <c r="A12" s="71">
        <v>46078</v>
      </c>
      <c r="B12" s="58" t="s">
        <v>139</v>
      </c>
      <c r="C12" s="58" t="s">
        <v>372</v>
      </c>
      <c r="D12" s="58" t="s">
        <v>373</v>
      </c>
      <c r="E12" s="58" t="s">
        <v>361</v>
      </c>
      <c r="F12" s="58" t="s">
        <v>298</v>
      </c>
      <c r="G12" s="58" t="s">
        <v>71</v>
      </c>
      <c r="H12" s="58">
        <v>9</v>
      </c>
      <c r="I12" s="58" t="str">
        <f>IF(R12="","",VLOOKUP(R12,REGRAS!$B$2:$D$13,3,FALSE()))</f>
        <v>RELAC.</v>
      </c>
      <c r="J12" s="58"/>
      <c r="K12" s="58" t="str">
        <f t="shared" si="0"/>
        <v>SALVAMENTO</v>
      </c>
      <c r="L12" s="58" t="str">
        <f t="shared" si="1"/>
        <v>🟢</v>
      </c>
      <c r="M12" s="58"/>
      <c r="N12" s="58" t="s">
        <v>146</v>
      </c>
      <c r="O12" s="58" t="s">
        <v>146</v>
      </c>
      <c r="P12" s="58" t="s">
        <v>146</v>
      </c>
      <c r="Q12" s="58" t="s">
        <v>37</v>
      </c>
      <c r="R12" s="58" t="s">
        <v>17</v>
      </c>
      <c r="S12" s="58" t="s">
        <v>57</v>
      </c>
      <c r="T12" s="71">
        <f>IF(R12="","",IF(OR(R12="SUPORTE",R12="PERDA / FECHOU LOJA"),"SEM",A12+VLOOKUP(R12,REGRAS!$B$2:$C$13,2,FALSE())))</f>
        <v>46085</v>
      </c>
      <c r="U12" s="58" t="str">
        <f t="shared" si="2"/>
        <v>SALVAMENTO</v>
      </c>
      <c r="V12" s="58"/>
      <c r="W12" s="58" t="s">
        <v>146</v>
      </c>
      <c r="X12" s="58"/>
    </row>
    <row r="13" spans="1:24" x14ac:dyDescent="0.3">
      <c r="A13" s="71">
        <v>46055</v>
      </c>
      <c r="B13" s="58" t="s">
        <v>141</v>
      </c>
      <c r="C13" s="58" t="s">
        <v>374</v>
      </c>
      <c r="D13" s="58" t="s">
        <v>375</v>
      </c>
      <c r="E13" s="58" t="s">
        <v>376</v>
      </c>
      <c r="F13" s="58" t="s">
        <v>292</v>
      </c>
      <c r="G13" s="58" t="s">
        <v>82</v>
      </c>
      <c r="H13" s="58"/>
      <c r="I13" s="58" t="str">
        <f>IF(R13="","",VLOOKUP(R13,REGRAS!$B$2:$D$13,3,FALSE()))</f>
        <v>FUNIL</v>
      </c>
      <c r="J13" s="58"/>
      <c r="K13" s="58" t="str">
        <f t="shared" si="0"/>
        <v>PROSPECÇÃO</v>
      </c>
      <c r="L13" s="58" t="str">
        <f t="shared" si="1"/>
        <v/>
      </c>
      <c r="M13" s="58"/>
      <c r="N13" s="58" t="s">
        <v>146</v>
      </c>
      <c r="O13" s="58" t="s">
        <v>146</v>
      </c>
      <c r="P13" s="58" t="s">
        <v>146</v>
      </c>
      <c r="Q13" s="58" t="s">
        <v>39</v>
      </c>
      <c r="R13" s="58" t="s">
        <v>8</v>
      </c>
      <c r="S13" s="58"/>
      <c r="T13" s="71">
        <f>IF(R13="","",IF(OR(R13="SUPORTE",R13="PERDA / FECHOU LOJA"),"SEM",A13+VLOOKUP(R13,REGRAS!$B$2:$C$13,2,FALSE())))</f>
        <v>46056</v>
      </c>
      <c r="U13" s="58" t="str">
        <f t="shared" si="2"/>
        <v>PROSPECÇÃO</v>
      </c>
      <c r="V13" s="58"/>
      <c r="W13" s="58" t="s">
        <v>147</v>
      </c>
      <c r="X13" s="58"/>
    </row>
    <row r="14" spans="1:24" x14ac:dyDescent="0.3">
      <c r="A14" s="71">
        <v>46065</v>
      </c>
      <c r="B14" s="58" t="s">
        <v>137</v>
      </c>
      <c r="C14" s="58" t="s">
        <v>377</v>
      </c>
      <c r="D14" s="58" t="s">
        <v>378</v>
      </c>
      <c r="E14" s="58" t="s">
        <v>376</v>
      </c>
      <c r="F14" s="58" t="s">
        <v>295</v>
      </c>
      <c r="G14" s="58" t="s">
        <v>82</v>
      </c>
      <c r="H14" s="58"/>
      <c r="I14" s="58" t="str">
        <f>IF(R14="","",VLOOKUP(R14,REGRAS!$B$2:$D$13,3,FALSE()))</f>
        <v>FUNIL</v>
      </c>
      <c r="J14" s="58"/>
      <c r="K14" s="58" t="str">
        <f t="shared" si="0"/>
        <v>PROSPECÇÃO</v>
      </c>
      <c r="L14" s="58" t="str">
        <f t="shared" si="1"/>
        <v/>
      </c>
      <c r="M14" s="58"/>
      <c r="N14" s="58" t="s">
        <v>146</v>
      </c>
      <c r="O14" s="58" t="s">
        <v>146</v>
      </c>
      <c r="P14" s="58" t="s">
        <v>146</v>
      </c>
      <c r="Q14" s="58" t="s">
        <v>35</v>
      </c>
      <c r="R14" s="58" t="s">
        <v>8</v>
      </c>
      <c r="S14" s="58"/>
      <c r="T14" s="71">
        <f>IF(R14="","",IF(OR(R14="SUPORTE",R14="PERDA / FECHOU LOJA"),"SEM",A14+VLOOKUP(R14,REGRAS!$B$2:$C$13,2,FALSE())))</f>
        <v>46066</v>
      </c>
      <c r="U14" s="58" t="str">
        <f t="shared" si="2"/>
        <v>PROSPECÇÃO</v>
      </c>
      <c r="V14" s="58"/>
      <c r="W14" s="58" t="s">
        <v>146</v>
      </c>
      <c r="X14" s="58"/>
    </row>
    <row r="15" spans="1:24" x14ac:dyDescent="0.3">
      <c r="A15" s="71">
        <v>46056</v>
      </c>
      <c r="B15" s="58" t="s">
        <v>137</v>
      </c>
      <c r="C15" s="58" t="s">
        <v>379</v>
      </c>
      <c r="D15" s="58" t="s">
        <v>380</v>
      </c>
      <c r="E15" s="58" t="s">
        <v>381</v>
      </c>
      <c r="F15" s="58" t="s">
        <v>292</v>
      </c>
      <c r="G15" s="58" t="s">
        <v>71</v>
      </c>
      <c r="H15" s="58">
        <v>36</v>
      </c>
      <c r="I15" s="58" t="str">
        <f>IF(R15="","",VLOOKUP(R15,REGRAS!$B$2:$D$13,3,FALSE()))</f>
        <v>FUNIL</v>
      </c>
      <c r="J15" s="58"/>
      <c r="K15" s="58" t="str">
        <f t="shared" si="0"/>
        <v>EM ATENDIMENTO</v>
      </c>
      <c r="L15" s="58" t="str">
        <f t="shared" si="1"/>
        <v>🟢</v>
      </c>
      <c r="M15" s="58"/>
      <c r="N15" s="58" t="s">
        <v>147</v>
      </c>
      <c r="O15" s="58" t="s">
        <v>146</v>
      </c>
      <c r="P15" s="58" t="s">
        <v>146</v>
      </c>
      <c r="Q15" s="58" t="s">
        <v>39</v>
      </c>
      <c r="R15" s="58" t="s">
        <v>5</v>
      </c>
      <c r="S15" s="58"/>
      <c r="T15" s="71">
        <f>IF(R15="","",IF(OR(R15="SUPORTE",R15="PERDA / FECHOU LOJA"),"SEM",A15+VLOOKUP(R15,REGRAS!$B$2:$C$13,2,FALSE())))</f>
        <v>46058</v>
      </c>
      <c r="U15" s="58" t="str">
        <f t="shared" si="2"/>
        <v>PROSPECÇÃO</v>
      </c>
      <c r="V15" s="58"/>
      <c r="W15" s="58" t="s">
        <v>146</v>
      </c>
      <c r="X15" s="58"/>
    </row>
    <row r="16" spans="1:24" x14ac:dyDescent="0.3">
      <c r="A16" s="71">
        <v>46079</v>
      </c>
      <c r="B16" s="58" t="s">
        <v>141</v>
      </c>
      <c r="C16" s="58" t="s">
        <v>382</v>
      </c>
      <c r="D16" s="58" t="s">
        <v>383</v>
      </c>
      <c r="E16" s="58" t="s">
        <v>340</v>
      </c>
      <c r="F16" s="58" t="s">
        <v>289</v>
      </c>
      <c r="G16" s="58" t="s">
        <v>71</v>
      </c>
      <c r="H16" s="58">
        <v>8</v>
      </c>
      <c r="I16" s="58" t="str">
        <f>IF(R16="","",VLOOKUP(R16,REGRAS!$B$2:$D$13,3,FALSE()))</f>
        <v>RELAC.</v>
      </c>
      <c r="J16" s="58"/>
      <c r="K16" s="58" t="str">
        <f t="shared" si="0"/>
        <v>CS</v>
      </c>
      <c r="L16" s="58" t="str">
        <f t="shared" si="1"/>
        <v>🟢</v>
      </c>
      <c r="M16" s="58"/>
      <c r="N16" s="58" t="s">
        <v>147</v>
      </c>
      <c r="O16" s="58" t="s">
        <v>146</v>
      </c>
      <c r="P16" s="58" t="s">
        <v>147</v>
      </c>
      <c r="Q16" s="58" t="s">
        <v>39</v>
      </c>
      <c r="R16" s="58" t="s">
        <v>14</v>
      </c>
      <c r="S16" s="58"/>
      <c r="T16" s="71">
        <f>IF(R16="","",IF(OR(R16="SUPORTE",R16="PERDA / FECHOU LOJA"),"SEM",A16+VLOOKUP(R16,REGRAS!$B$2:$C$13,2,FALSE())))</f>
        <v>46086</v>
      </c>
      <c r="U16" s="58" t="str">
        <f t="shared" si="2"/>
        <v>CS</v>
      </c>
      <c r="V16" s="58"/>
      <c r="W16" s="58" t="s">
        <v>146</v>
      </c>
      <c r="X16" s="58"/>
    </row>
    <row r="17" spans="1:24" x14ac:dyDescent="0.3">
      <c r="A17" s="71">
        <v>46081</v>
      </c>
      <c r="B17" s="58" t="s">
        <v>137</v>
      </c>
      <c r="C17" s="58" t="s">
        <v>384</v>
      </c>
      <c r="D17" s="58" t="s">
        <v>385</v>
      </c>
      <c r="E17" s="58" t="s">
        <v>332</v>
      </c>
      <c r="F17" s="58" t="s">
        <v>292</v>
      </c>
      <c r="G17" s="58" t="s">
        <v>74</v>
      </c>
      <c r="H17" s="58">
        <v>60</v>
      </c>
      <c r="I17" s="58" t="str">
        <f>IF(R17="","",VLOOKUP(R17,REGRAS!$B$2:$D$13,3,FALSE()))</f>
        <v>FUNIL</v>
      </c>
      <c r="J17" s="58"/>
      <c r="K17" s="58" t="str">
        <f t="shared" si="0"/>
        <v>RECOMPRA</v>
      </c>
      <c r="L17" s="58" t="str">
        <f t="shared" si="1"/>
        <v>🟡</v>
      </c>
      <c r="M17" s="58"/>
      <c r="N17" s="58" t="s">
        <v>146</v>
      </c>
      <c r="O17" s="58" t="s">
        <v>146</v>
      </c>
      <c r="P17" s="58" t="s">
        <v>147</v>
      </c>
      <c r="Q17" s="58" t="s">
        <v>35</v>
      </c>
      <c r="R17" s="58" t="s">
        <v>12</v>
      </c>
      <c r="S17" s="58"/>
      <c r="T17" s="71">
        <f>IF(R17="","",IF(OR(R17="SUPORTE",R17="PERDA / FECHOU LOJA"),"SEM",A17+VLOOKUP(R17,REGRAS!$B$2:$C$13,2,FALSE())))</f>
        <v>46126</v>
      </c>
      <c r="U17" s="58" t="str">
        <f t="shared" si="2"/>
        <v>RECOMPRA</v>
      </c>
      <c r="V17" s="58"/>
      <c r="W17" s="58" t="s">
        <v>146</v>
      </c>
      <c r="X17" s="58"/>
    </row>
    <row r="18" spans="1:24" x14ac:dyDescent="0.3">
      <c r="A18" s="71">
        <v>46062</v>
      </c>
      <c r="B18" s="58" t="s">
        <v>135</v>
      </c>
      <c r="C18" s="58" t="s">
        <v>386</v>
      </c>
      <c r="D18" s="58" t="s">
        <v>387</v>
      </c>
      <c r="E18" s="58" t="s">
        <v>366</v>
      </c>
      <c r="F18" s="58" t="s">
        <v>292</v>
      </c>
      <c r="G18" s="58" t="s">
        <v>71</v>
      </c>
      <c r="H18" s="58">
        <v>34</v>
      </c>
      <c r="I18" s="58" t="str">
        <f>IF(R18="","",VLOOKUP(R18,REGRAS!$B$2:$D$13,3,FALSE()))</f>
        <v>NÃO VENDA</v>
      </c>
      <c r="J18" s="58"/>
      <c r="K18" s="58" t="str">
        <f t="shared" si="0"/>
        <v>RECUPERAÇÃO</v>
      </c>
      <c r="L18" s="58" t="str">
        <f t="shared" si="1"/>
        <v>🟢</v>
      </c>
      <c r="M18" s="58"/>
      <c r="N18" s="58" t="s">
        <v>146</v>
      </c>
      <c r="O18" s="58" t="s">
        <v>147</v>
      </c>
      <c r="P18" s="58" t="s">
        <v>149</v>
      </c>
      <c r="Q18" s="58" t="s">
        <v>41</v>
      </c>
      <c r="R18" s="58" t="s">
        <v>28</v>
      </c>
      <c r="S18" s="58" t="s">
        <v>55</v>
      </c>
      <c r="T18" s="71">
        <f>IF(R18="","",IF(OR(R18="SUPORTE",R18="PERDA / FECHOU LOJA"),"SEM",A18+VLOOKUP(R18,REGRAS!$B$2:$C$13,2,FALSE())))</f>
        <v>46064</v>
      </c>
      <c r="U18" s="58" t="str">
        <f t="shared" si="2"/>
        <v>REATIVAÇÃO</v>
      </c>
      <c r="V18" s="58"/>
      <c r="W18" s="58" t="s">
        <v>146</v>
      </c>
      <c r="X18" s="58"/>
    </row>
    <row r="19" spans="1:24" x14ac:dyDescent="0.3">
      <c r="A19" s="71">
        <v>46065</v>
      </c>
      <c r="B19" s="58" t="s">
        <v>141</v>
      </c>
      <c r="C19" s="58" t="s">
        <v>388</v>
      </c>
      <c r="D19" s="58" t="s">
        <v>389</v>
      </c>
      <c r="E19" s="58" t="s">
        <v>335</v>
      </c>
      <c r="F19" s="58" t="s">
        <v>292</v>
      </c>
      <c r="G19" s="58" t="s">
        <v>79</v>
      </c>
      <c r="H19" s="58">
        <v>93</v>
      </c>
      <c r="I19" s="58" t="str">
        <f>IF(R19="","",VLOOKUP(R19,REGRAS!$B$2:$D$13,3,FALSE()))</f>
        <v>NÃO VENDA</v>
      </c>
      <c r="J19" s="58"/>
      <c r="K19" s="58" t="str">
        <f t="shared" si="0"/>
        <v>RECUPERAÇÃO</v>
      </c>
      <c r="L19" s="58" t="str">
        <f t="shared" si="1"/>
        <v>🔴</v>
      </c>
      <c r="M19" s="58"/>
      <c r="N19" s="58" t="s">
        <v>147</v>
      </c>
      <c r="O19" s="58" t="s">
        <v>146</v>
      </c>
      <c r="P19" s="58" t="s">
        <v>147</v>
      </c>
      <c r="Q19" s="58" t="s">
        <v>41</v>
      </c>
      <c r="R19" s="58" t="s">
        <v>28</v>
      </c>
      <c r="S19" s="58" t="s">
        <v>51</v>
      </c>
      <c r="T19" s="71">
        <f>IF(R19="","",IF(OR(R19="SUPORTE",R19="PERDA / FECHOU LOJA"),"SEM",A19+VLOOKUP(R19,REGRAS!$B$2:$C$13,2,FALSE())))</f>
        <v>46067</v>
      </c>
      <c r="U19" s="58" t="str">
        <f t="shared" si="2"/>
        <v>REATIVAÇÃO</v>
      </c>
      <c r="V19" s="58"/>
      <c r="W19" s="58" t="s">
        <v>147</v>
      </c>
      <c r="X19" s="58"/>
    </row>
    <row r="20" spans="1:24" x14ac:dyDescent="0.3">
      <c r="A20" s="71">
        <v>46077</v>
      </c>
      <c r="B20" s="58" t="s">
        <v>137</v>
      </c>
      <c r="C20" s="58" t="s">
        <v>390</v>
      </c>
      <c r="D20" s="58" t="s">
        <v>391</v>
      </c>
      <c r="E20" s="58" t="s">
        <v>335</v>
      </c>
      <c r="F20" s="58" t="s">
        <v>292</v>
      </c>
      <c r="G20" s="58" t="s">
        <v>77</v>
      </c>
      <c r="H20" s="58">
        <v>69</v>
      </c>
      <c r="I20" s="58" t="str">
        <f>IF(R20="","",VLOOKUP(R20,REGRAS!$B$2:$D$13,3,FALSE()))</f>
        <v>FUNIL</v>
      </c>
      <c r="J20" s="58"/>
      <c r="K20" s="58" t="str">
        <f t="shared" si="0"/>
        <v>RECOMPRA</v>
      </c>
      <c r="L20" s="58" t="str">
        <f t="shared" si="1"/>
        <v>🟡</v>
      </c>
      <c r="M20" s="58"/>
      <c r="N20" s="58" t="s">
        <v>146</v>
      </c>
      <c r="O20" s="58" t="s">
        <v>146</v>
      </c>
      <c r="P20" s="58" t="s">
        <v>146</v>
      </c>
      <c r="Q20" s="58" t="s">
        <v>43</v>
      </c>
      <c r="R20" s="58" t="s">
        <v>12</v>
      </c>
      <c r="S20" s="58"/>
      <c r="T20" s="71">
        <f>IF(R20="","",IF(OR(R20="SUPORTE",R20="PERDA / FECHOU LOJA"),"SEM",A20+VLOOKUP(R20,REGRAS!$B$2:$C$13,2,FALSE())))</f>
        <v>46122</v>
      </c>
      <c r="U20" s="58" t="str">
        <f t="shared" si="2"/>
        <v>RECOMPRA</v>
      </c>
      <c r="V20" s="58"/>
      <c r="W20" s="58" t="s">
        <v>146</v>
      </c>
      <c r="X20" s="58"/>
    </row>
    <row r="21" spans="1:24" x14ac:dyDescent="0.3">
      <c r="A21" s="71">
        <v>46078</v>
      </c>
      <c r="B21" s="58" t="s">
        <v>135</v>
      </c>
      <c r="C21" s="58" t="s">
        <v>392</v>
      </c>
      <c r="D21" s="58" t="s">
        <v>393</v>
      </c>
      <c r="E21" s="58" t="s">
        <v>332</v>
      </c>
      <c r="F21" s="58" t="s">
        <v>283</v>
      </c>
      <c r="G21" s="58" t="s">
        <v>82</v>
      </c>
      <c r="H21" s="58"/>
      <c r="I21" s="58" t="str">
        <f>IF(R21="","",VLOOKUP(R21,REGRAS!$B$2:$D$13,3,FALSE()))</f>
        <v>RELAC.</v>
      </c>
      <c r="J21" s="58"/>
      <c r="K21" s="58" t="str">
        <f t="shared" si="0"/>
        <v>SALVAMENTO</v>
      </c>
      <c r="L21" s="58" t="str">
        <f t="shared" si="1"/>
        <v/>
      </c>
      <c r="M21" s="58"/>
      <c r="N21" s="58" t="s">
        <v>147</v>
      </c>
      <c r="O21" s="58" t="s">
        <v>147</v>
      </c>
      <c r="P21" s="58" t="s">
        <v>149</v>
      </c>
      <c r="Q21" s="58" t="s">
        <v>43</v>
      </c>
      <c r="R21" s="58" t="s">
        <v>19</v>
      </c>
      <c r="S21" s="58" t="s">
        <v>49</v>
      </c>
      <c r="T21" s="71">
        <f>IF(R21="","",IF(OR(R21="SUPORTE",R21="PERDA / FECHOU LOJA"),"SEM",A21+VLOOKUP(R21,REGRAS!$B$2:$C$13,2,FALSE())))</f>
        <v>46093</v>
      </c>
      <c r="U21" s="58" t="str">
        <f t="shared" si="2"/>
        <v>SALVAMENTO</v>
      </c>
      <c r="V21" s="58"/>
      <c r="W21" s="58" t="s">
        <v>146</v>
      </c>
      <c r="X21" s="58"/>
    </row>
    <row r="22" spans="1:24" x14ac:dyDescent="0.3">
      <c r="A22" s="71">
        <v>46063</v>
      </c>
      <c r="B22" s="58" t="s">
        <v>137</v>
      </c>
      <c r="C22" s="58" t="s">
        <v>394</v>
      </c>
      <c r="D22" s="58" t="s">
        <v>395</v>
      </c>
      <c r="E22" s="58" t="s">
        <v>346</v>
      </c>
      <c r="F22" s="58" t="s">
        <v>292</v>
      </c>
      <c r="G22" s="58" t="s">
        <v>74</v>
      </c>
      <c r="H22" s="58">
        <v>60</v>
      </c>
      <c r="I22" s="58" t="str">
        <f>IF(R22="","",VLOOKUP(R22,REGRAS!$B$2:$D$13,3,FALSE()))</f>
        <v>RELAC.</v>
      </c>
      <c r="J22" s="58"/>
      <c r="K22" s="58" t="str">
        <f t="shared" si="0"/>
        <v>SALVAMENTO</v>
      </c>
      <c r="L22" s="58" t="str">
        <f t="shared" si="1"/>
        <v>🟡</v>
      </c>
      <c r="M22" s="58"/>
      <c r="N22" s="58" t="s">
        <v>146</v>
      </c>
      <c r="O22" s="58" t="s">
        <v>146</v>
      </c>
      <c r="P22" s="58" t="s">
        <v>147</v>
      </c>
      <c r="Q22" s="58" t="s">
        <v>41</v>
      </c>
      <c r="R22" s="58" t="s">
        <v>17</v>
      </c>
      <c r="S22" s="58" t="s">
        <v>49</v>
      </c>
      <c r="T22" s="71">
        <f>IF(R22="","",IF(OR(R22="SUPORTE",R22="PERDA / FECHOU LOJA"),"SEM",A22+VLOOKUP(R22,REGRAS!$B$2:$C$13,2,FALSE())))</f>
        <v>46070</v>
      </c>
      <c r="U22" s="58" t="str">
        <f t="shared" si="2"/>
        <v>SALVAMENTO</v>
      </c>
      <c r="V22" s="58"/>
      <c r="W22" s="58" t="s">
        <v>146</v>
      </c>
      <c r="X22" s="58"/>
    </row>
    <row r="23" spans="1:24" x14ac:dyDescent="0.3">
      <c r="A23" s="71">
        <v>46059</v>
      </c>
      <c r="B23" s="58" t="s">
        <v>139</v>
      </c>
      <c r="C23" s="58" t="s">
        <v>396</v>
      </c>
      <c r="D23" s="58" t="s">
        <v>397</v>
      </c>
      <c r="E23" s="58" t="s">
        <v>332</v>
      </c>
      <c r="F23" s="58" t="s">
        <v>292</v>
      </c>
      <c r="G23" s="58" t="s">
        <v>74</v>
      </c>
      <c r="H23" s="58">
        <v>51</v>
      </c>
      <c r="I23" s="58" t="str">
        <f>IF(R23="","",VLOOKUP(R23,REGRAS!$B$2:$D$13,3,FALSE()))</f>
        <v>RELAC.</v>
      </c>
      <c r="J23" s="58"/>
      <c r="K23" s="58" t="str">
        <f t="shared" si="0"/>
        <v>CS</v>
      </c>
      <c r="L23" s="58" t="str">
        <f t="shared" si="1"/>
        <v>🟡</v>
      </c>
      <c r="M23" s="58"/>
      <c r="N23" s="58" t="s">
        <v>147</v>
      </c>
      <c r="O23" s="58" t="s">
        <v>147</v>
      </c>
      <c r="P23" s="58" t="s">
        <v>149</v>
      </c>
      <c r="Q23" s="58" t="s">
        <v>43</v>
      </c>
      <c r="R23" s="58" t="s">
        <v>14</v>
      </c>
      <c r="S23" s="58"/>
      <c r="T23" s="71">
        <f>IF(R23="","",IF(OR(R23="SUPORTE",R23="PERDA / FECHOU LOJA"),"SEM",A23+VLOOKUP(R23,REGRAS!$B$2:$C$13,2,FALSE())))</f>
        <v>46066</v>
      </c>
      <c r="U23" s="58" t="str">
        <f t="shared" si="2"/>
        <v>CS</v>
      </c>
      <c r="V23" s="58"/>
      <c r="W23" s="58" t="s">
        <v>146</v>
      </c>
      <c r="X23" s="58"/>
    </row>
    <row r="24" spans="1:24" x14ac:dyDescent="0.3">
      <c r="A24" s="71">
        <v>46079</v>
      </c>
      <c r="B24" s="58" t="s">
        <v>141</v>
      </c>
      <c r="C24" s="58" t="s">
        <v>398</v>
      </c>
      <c r="D24" s="58" t="s">
        <v>399</v>
      </c>
      <c r="E24" s="58" t="s">
        <v>361</v>
      </c>
      <c r="F24" s="58" t="s">
        <v>292</v>
      </c>
      <c r="G24" s="58" t="s">
        <v>71</v>
      </c>
      <c r="H24" s="58">
        <v>46</v>
      </c>
      <c r="I24" s="58" t="str">
        <f>IF(R24="","",VLOOKUP(R24,REGRAS!$B$2:$D$13,3,FALSE()))</f>
        <v>RELAC.</v>
      </c>
      <c r="J24" s="58"/>
      <c r="K24" s="58" t="str">
        <f t="shared" si="0"/>
        <v>SALVAMENTO</v>
      </c>
      <c r="L24" s="58" t="str">
        <f t="shared" si="1"/>
        <v>🟢</v>
      </c>
      <c r="M24" s="58"/>
      <c r="N24" s="58" t="s">
        <v>147</v>
      </c>
      <c r="O24" s="58" t="s">
        <v>146</v>
      </c>
      <c r="P24" s="58" t="s">
        <v>146</v>
      </c>
      <c r="Q24" s="58" t="s">
        <v>39</v>
      </c>
      <c r="R24" s="58" t="s">
        <v>19</v>
      </c>
      <c r="S24" s="58" t="s">
        <v>64</v>
      </c>
      <c r="T24" s="71">
        <f>IF(R24="","",IF(OR(R24="SUPORTE",R24="PERDA / FECHOU LOJA"),"SEM",A24+VLOOKUP(R24,REGRAS!$B$2:$C$13,2,FALSE())))</f>
        <v>46094</v>
      </c>
      <c r="U24" s="58" t="str">
        <f t="shared" si="2"/>
        <v>SALVAMENTO</v>
      </c>
      <c r="V24" s="58"/>
      <c r="W24" s="58" t="s">
        <v>146</v>
      </c>
      <c r="X24" s="58"/>
    </row>
    <row r="25" spans="1:24" x14ac:dyDescent="0.3">
      <c r="A25" s="71">
        <v>46072</v>
      </c>
      <c r="B25" s="58" t="s">
        <v>141</v>
      </c>
      <c r="C25" s="58" t="s">
        <v>400</v>
      </c>
      <c r="D25" s="58" t="s">
        <v>401</v>
      </c>
      <c r="E25" s="58" t="s">
        <v>376</v>
      </c>
      <c r="F25" s="58" t="s">
        <v>292</v>
      </c>
      <c r="G25" s="58" t="s">
        <v>71</v>
      </c>
      <c r="H25" s="58">
        <v>41</v>
      </c>
      <c r="I25" s="58" t="str">
        <f>IF(R25="","",VLOOKUP(R25,REGRAS!$B$2:$D$13,3,FALSE()))</f>
        <v>FUNIL</v>
      </c>
      <c r="J25" s="58"/>
      <c r="K25" s="58" t="str">
        <f t="shared" si="0"/>
        <v>EM ATENDIMENTO</v>
      </c>
      <c r="L25" s="58" t="str">
        <f t="shared" si="1"/>
        <v>🟢</v>
      </c>
      <c r="M25" s="58"/>
      <c r="N25" s="58" t="s">
        <v>146</v>
      </c>
      <c r="O25" s="58" t="s">
        <v>147</v>
      </c>
      <c r="P25" s="58" t="s">
        <v>149</v>
      </c>
      <c r="Q25" s="58" t="s">
        <v>35</v>
      </c>
      <c r="R25" s="58" t="s">
        <v>5</v>
      </c>
      <c r="S25" s="58"/>
      <c r="T25" s="71">
        <f>IF(R25="","",IF(OR(R25="SUPORTE",R25="PERDA / FECHOU LOJA"),"SEM",A25+VLOOKUP(R25,REGRAS!$B$2:$C$13,2,FALSE())))</f>
        <v>46074</v>
      </c>
      <c r="U25" s="58" t="str">
        <f t="shared" si="2"/>
        <v>PROSPECÇÃO</v>
      </c>
      <c r="V25" s="58"/>
      <c r="W25" s="58" t="s">
        <v>147</v>
      </c>
      <c r="X25" s="58"/>
    </row>
    <row r="26" spans="1:24" x14ac:dyDescent="0.3">
      <c r="A26" s="71">
        <v>46075</v>
      </c>
      <c r="B26" s="58" t="s">
        <v>139</v>
      </c>
      <c r="C26" s="58" t="s">
        <v>402</v>
      </c>
      <c r="D26" s="58" t="s">
        <v>403</v>
      </c>
      <c r="E26" s="58" t="s">
        <v>366</v>
      </c>
      <c r="F26" s="58" t="s">
        <v>292</v>
      </c>
      <c r="G26" s="58" t="s">
        <v>79</v>
      </c>
      <c r="H26" s="58">
        <v>167</v>
      </c>
      <c r="I26" s="58" t="str">
        <f>IF(R26="","",VLOOKUP(R26,REGRAS!$B$2:$D$13,3,FALSE()))</f>
        <v>RELAC.</v>
      </c>
      <c r="J26" s="58"/>
      <c r="K26" s="58" t="str">
        <f t="shared" si="0"/>
        <v>SALVAMENTO</v>
      </c>
      <c r="L26" s="58" t="str">
        <f t="shared" si="1"/>
        <v>🔴</v>
      </c>
      <c r="M26" s="58"/>
      <c r="N26" s="58" t="s">
        <v>146</v>
      </c>
      <c r="O26" s="58" t="s">
        <v>147</v>
      </c>
      <c r="P26" s="58" t="s">
        <v>149</v>
      </c>
      <c r="Q26" s="58" t="s">
        <v>39</v>
      </c>
      <c r="R26" s="58" t="s">
        <v>19</v>
      </c>
      <c r="S26" s="58" t="s">
        <v>57</v>
      </c>
      <c r="T26" s="71">
        <f>IF(R26="","",IF(OR(R26="SUPORTE",R26="PERDA / FECHOU LOJA"),"SEM",A26+VLOOKUP(R26,REGRAS!$B$2:$C$13,2,FALSE())))</f>
        <v>46090</v>
      </c>
      <c r="U26" s="58" t="str">
        <f t="shared" si="2"/>
        <v>SALVAMENTO</v>
      </c>
      <c r="V26" s="58"/>
      <c r="W26" s="58" t="s">
        <v>146</v>
      </c>
      <c r="X26" s="58"/>
    </row>
    <row r="27" spans="1:24" x14ac:dyDescent="0.3">
      <c r="A27" s="71">
        <v>46075</v>
      </c>
      <c r="B27" s="58" t="s">
        <v>141</v>
      </c>
      <c r="C27" s="58" t="s">
        <v>404</v>
      </c>
      <c r="D27" s="58" t="s">
        <v>405</v>
      </c>
      <c r="E27" s="58" t="s">
        <v>366</v>
      </c>
      <c r="F27" s="58" t="s">
        <v>289</v>
      </c>
      <c r="G27" s="58" t="s">
        <v>79</v>
      </c>
      <c r="H27" s="58">
        <v>246</v>
      </c>
      <c r="I27" s="58" t="str">
        <f>IF(R27="","",VLOOKUP(R27,REGRAS!$B$2:$D$13,3,FALSE()))</f>
        <v>NÃO VENDA</v>
      </c>
      <c r="J27" s="58"/>
      <c r="K27" s="58" t="str">
        <f t="shared" si="0"/>
        <v>RECUPERAÇÃO</v>
      </c>
      <c r="L27" s="58" t="str">
        <f t="shared" si="1"/>
        <v>🔴</v>
      </c>
      <c r="M27" s="58"/>
      <c r="N27" s="58" t="s">
        <v>146</v>
      </c>
      <c r="O27" s="58" t="s">
        <v>146</v>
      </c>
      <c r="P27" s="58" t="s">
        <v>146</v>
      </c>
      <c r="Q27" s="58" t="s">
        <v>41</v>
      </c>
      <c r="R27" s="58" t="s">
        <v>26</v>
      </c>
      <c r="S27" s="58" t="s">
        <v>64</v>
      </c>
      <c r="T27" s="71">
        <f>IF(R27="","",IF(OR(R27="SUPORTE",R27="PERDA / FECHOU LOJA"),"SEM",A27+VLOOKUP(R27,REGRAS!$B$2:$C$13,2,FALSE())))</f>
        <v>46076</v>
      </c>
      <c r="U27" s="58" t="str">
        <f t="shared" si="2"/>
        <v>REATIVAÇÃO</v>
      </c>
      <c r="V27" s="58"/>
      <c r="W27" s="58" t="s">
        <v>147</v>
      </c>
      <c r="X27" s="58"/>
    </row>
    <row r="28" spans="1:24" x14ac:dyDescent="0.3">
      <c r="A28" s="71">
        <v>46059</v>
      </c>
      <c r="B28" s="58" t="s">
        <v>139</v>
      </c>
      <c r="C28" s="58" t="s">
        <v>406</v>
      </c>
      <c r="D28" s="58" t="s">
        <v>407</v>
      </c>
      <c r="E28" s="58" t="s">
        <v>346</v>
      </c>
      <c r="F28" s="58" t="s">
        <v>292</v>
      </c>
      <c r="G28" s="58" t="s">
        <v>79</v>
      </c>
      <c r="H28" s="58">
        <v>148</v>
      </c>
      <c r="I28" s="58" t="str">
        <f>IF(R28="","",VLOOKUP(R28,REGRAS!$B$2:$D$13,3,FALSE()))</f>
        <v>RELAC.</v>
      </c>
      <c r="J28" s="58"/>
      <c r="K28" s="58" t="str">
        <f t="shared" si="0"/>
        <v>CS</v>
      </c>
      <c r="L28" s="58" t="str">
        <f t="shared" si="1"/>
        <v>🔴</v>
      </c>
      <c r="M28" s="58"/>
      <c r="N28" s="58" t="s">
        <v>146</v>
      </c>
      <c r="O28" s="58" t="s">
        <v>147</v>
      </c>
      <c r="P28" s="58" t="s">
        <v>149</v>
      </c>
      <c r="Q28" s="58" t="s">
        <v>43</v>
      </c>
      <c r="R28" s="58" t="s">
        <v>14</v>
      </c>
      <c r="S28" s="58"/>
      <c r="T28" s="71">
        <f>IF(R28="","",IF(OR(R28="SUPORTE",R28="PERDA / FECHOU LOJA"),"SEM",A28+VLOOKUP(R28,REGRAS!$B$2:$C$13,2,FALSE())))</f>
        <v>46066</v>
      </c>
      <c r="U28" s="58" t="str">
        <f t="shared" si="2"/>
        <v>CS</v>
      </c>
      <c r="V28" s="58"/>
      <c r="W28" s="58" t="s">
        <v>146</v>
      </c>
      <c r="X28" s="58"/>
    </row>
    <row r="29" spans="1:24" x14ac:dyDescent="0.3">
      <c r="A29" s="71">
        <v>46078</v>
      </c>
      <c r="B29" s="58" t="s">
        <v>135</v>
      </c>
      <c r="C29" s="58" t="s">
        <v>408</v>
      </c>
      <c r="D29" s="58" t="s">
        <v>409</v>
      </c>
      <c r="E29" s="58" t="s">
        <v>366</v>
      </c>
      <c r="F29" s="58" t="s">
        <v>283</v>
      </c>
      <c r="G29" s="58" t="s">
        <v>79</v>
      </c>
      <c r="H29" s="58">
        <v>283</v>
      </c>
      <c r="I29" s="58" t="str">
        <f>IF(R29="","",VLOOKUP(R29,REGRAS!$B$2:$D$13,3,FALSE()))</f>
        <v>NÃO VENDA</v>
      </c>
      <c r="J29" s="58"/>
      <c r="K29" s="58" t="str">
        <f t="shared" si="0"/>
        <v>RECUPERAÇÃO</v>
      </c>
      <c r="L29" s="58" t="str">
        <f t="shared" si="1"/>
        <v>🔴</v>
      </c>
      <c r="M29" s="58"/>
      <c r="N29" s="58" t="s">
        <v>147</v>
      </c>
      <c r="O29" s="58" t="s">
        <v>146</v>
      </c>
      <c r="P29" s="58" t="s">
        <v>147</v>
      </c>
      <c r="Q29" s="58" t="s">
        <v>43</v>
      </c>
      <c r="R29" s="58" t="s">
        <v>23</v>
      </c>
      <c r="S29" s="58" t="s">
        <v>59</v>
      </c>
      <c r="T29" s="71">
        <f>IF(R29="","",IF(OR(R29="SUPORTE",R29="PERDA / FECHOU LOJA"),"SEM",A29+VLOOKUP(R29,REGRAS!$B$2:$C$13,2,FALSE())))</f>
        <v>46079</v>
      </c>
      <c r="U29" s="58" t="str">
        <f t="shared" si="2"/>
        <v>REATIVAÇÃO</v>
      </c>
      <c r="V29" s="58"/>
      <c r="W29" s="58" t="s">
        <v>146</v>
      </c>
      <c r="X29" s="58"/>
    </row>
    <row r="30" spans="1:24" x14ac:dyDescent="0.3">
      <c r="A30" s="71">
        <v>46071</v>
      </c>
      <c r="B30" s="58" t="s">
        <v>135</v>
      </c>
      <c r="C30" s="58" t="s">
        <v>410</v>
      </c>
      <c r="D30" s="58" t="s">
        <v>411</v>
      </c>
      <c r="E30" s="58" t="s">
        <v>335</v>
      </c>
      <c r="F30" s="58" t="s">
        <v>292</v>
      </c>
      <c r="G30" s="58" t="s">
        <v>82</v>
      </c>
      <c r="H30" s="58"/>
      <c r="I30" s="58" t="str">
        <f>IF(R30="","",VLOOKUP(R30,REGRAS!$B$2:$D$13,3,FALSE()))</f>
        <v>RELAC.</v>
      </c>
      <c r="J30" s="58"/>
      <c r="K30" s="58" t="str">
        <f t="shared" si="0"/>
        <v>PÓS-VENDA</v>
      </c>
      <c r="L30" s="58" t="str">
        <f t="shared" si="1"/>
        <v/>
      </c>
      <c r="M30" s="58"/>
      <c r="N30" s="58" t="s">
        <v>146</v>
      </c>
      <c r="O30" s="58" t="s">
        <v>147</v>
      </c>
      <c r="P30" s="58" t="s">
        <v>149</v>
      </c>
      <c r="Q30" s="58" t="s">
        <v>39</v>
      </c>
      <c r="R30" s="58" t="s">
        <v>21</v>
      </c>
      <c r="S30" s="58"/>
      <c r="T30" s="71" t="str">
        <f>IF(R30="","",IF(OR(R30="SUPORTE",R30="PERDA / FECHOU LOJA"),"SEM",A30+VLOOKUP(R30,REGRAS!$B$2:$C$13,2,FALSE())))</f>
        <v>SEM</v>
      </c>
      <c r="U30" s="58" t="str">
        <f t="shared" si="2"/>
        <v>PÓS-VENDA</v>
      </c>
      <c r="V30" s="58"/>
      <c r="W30" s="58" t="s">
        <v>146</v>
      </c>
      <c r="X30" s="58"/>
    </row>
    <row r="31" spans="1:24" x14ac:dyDescent="0.3">
      <c r="A31" s="71">
        <v>46059</v>
      </c>
      <c r="B31" s="58" t="s">
        <v>139</v>
      </c>
      <c r="C31" s="58" t="s">
        <v>412</v>
      </c>
      <c r="D31" s="58" t="s">
        <v>413</v>
      </c>
      <c r="E31" s="58" t="s">
        <v>376</v>
      </c>
      <c r="F31" s="58" t="s">
        <v>289</v>
      </c>
      <c r="G31" s="58" t="s">
        <v>74</v>
      </c>
      <c r="H31" s="58">
        <v>55</v>
      </c>
      <c r="I31" s="58" t="str">
        <f>IF(R31="","",VLOOKUP(R31,REGRAS!$B$2:$D$13,3,FALSE()))</f>
        <v>FUNIL</v>
      </c>
      <c r="J31" s="58"/>
      <c r="K31" s="58" t="str">
        <f t="shared" si="0"/>
        <v>PROSPECÇÃO</v>
      </c>
      <c r="L31" s="58" t="str">
        <f t="shared" si="1"/>
        <v>🟡</v>
      </c>
      <c r="M31" s="58"/>
      <c r="N31" s="58" t="s">
        <v>147</v>
      </c>
      <c r="O31" s="58" t="s">
        <v>146</v>
      </c>
      <c r="P31" s="58" t="s">
        <v>146</v>
      </c>
      <c r="Q31" s="58" t="s">
        <v>35</v>
      </c>
      <c r="R31" s="58" t="s">
        <v>8</v>
      </c>
      <c r="S31" s="58"/>
      <c r="T31" s="71">
        <f>IF(R31="","",IF(OR(R31="SUPORTE",R31="PERDA / FECHOU LOJA"),"SEM",A31+VLOOKUP(R31,REGRAS!$B$2:$C$13,2,FALSE())))</f>
        <v>46060</v>
      </c>
      <c r="U31" s="58" t="str">
        <f t="shared" si="2"/>
        <v>PROSPECÇÃO</v>
      </c>
      <c r="V31" s="58"/>
      <c r="W31" s="58" t="s">
        <v>146</v>
      </c>
      <c r="X31" s="58"/>
    </row>
    <row r="32" spans="1:24" x14ac:dyDescent="0.3">
      <c r="A32" s="71">
        <v>46058</v>
      </c>
      <c r="B32" s="58" t="s">
        <v>139</v>
      </c>
      <c r="C32" s="58" t="s">
        <v>414</v>
      </c>
      <c r="D32" s="58" t="s">
        <v>415</v>
      </c>
      <c r="E32" s="58" t="s">
        <v>332</v>
      </c>
      <c r="F32" s="58" t="s">
        <v>292</v>
      </c>
      <c r="G32" s="58" t="s">
        <v>74</v>
      </c>
      <c r="H32" s="58">
        <v>60</v>
      </c>
      <c r="I32" s="58" t="str">
        <f>IF(R32="","",VLOOKUP(R32,REGRAS!$B$2:$D$13,3,FALSE()))</f>
        <v>NÃO VENDA</v>
      </c>
      <c r="J32" s="58"/>
      <c r="K32" s="58" t="str">
        <f t="shared" si="0"/>
        <v>NUTRIÇÃO</v>
      </c>
      <c r="L32" s="58" t="str">
        <f t="shared" si="1"/>
        <v>🟡</v>
      </c>
      <c r="M32" s="58"/>
      <c r="N32" s="58" t="s">
        <v>147</v>
      </c>
      <c r="O32" s="58" t="s">
        <v>147</v>
      </c>
      <c r="P32" s="58" t="s">
        <v>149</v>
      </c>
      <c r="Q32" s="58" t="s">
        <v>45</v>
      </c>
      <c r="R32" s="58" t="s">
        <v>30</v>
      </c>
      <c r="S32" s="58" t="s">
        <v>55</v>
      </c>
      <c r="T32" s="71" t="str">
        <f>IF(R32="","",IF(OR(R32="SUPORTE",R32="PERDA / FECHOU LOJA"),"SEM",A32+VLOOKUP(R32,REGRAS!$B$2:$C$13,2,FALSE())))</f>
        <v>SEM</v>
      </c>
      <c r="U32" s="58" t="str">
        <f t="shared" si="2"/>
        <v>NUTRIÇÃO</v>
      </c>
      <c r="V32" s="58"/>
      <c r="W32" s="58" t="s">
        <v>147</v>
      </c>
      <c r="X32" s="58"/>
    </row>
    <row r="33" spans="1:24" x14ac:dyDescent="0.3">
      <c r="A33" s="71">
        <v>46063</v>
      </c>
      <c r="B33" s="58" t="s">
        <v>141</v>
      </c>
      <c r="C33" s="58" t="s">
        <v>416</v>
      </c>
      <c r="D33" s="58" t="s">
        <v>417</v>
      </c>
      <c r="E33" s="58" t="s">
        <v>332</v>
      </c>
      <c r="F33" s="58" t="s">
        <v>286</v>
      </c>
      <c r="G33" s="58" t="s">
        <v>71</v>
      </c>
      <c r="H33" s="58">
        <v>26</v>
      </c>
      <c r="I33" s="58" t="str">
        <f>IF(R33="","",VLOOKUP(R33,REGRAS!$B$2:$D$13,3,FALSE()))</f>
        <v>FUNIL</v>
      </c>
      <c r="J33" s="58"/>
      <c r="K33" s="58" t="str">
        <f t="shared" si="0"/>
        <v>RECOMPRA</v>
      </c>
      <c r="L33" s="58" t="str">
        <f t="shared" si="1"/>
        <v>🟢</v>
      </c>
      <c r="M33" s="58"/>
      <c r="N33" s="58" t="s">
        <v>147</v>
      </c>
      <c r="O33" s="58" t="s">
        <v>147</v>
      </c>
      <c r="P33" s="58" t="s">
        <v>149</v>
      </c>
      <c r="Q33" s="58" t="s">
        <v>41</v>
      </c>
      <c r="R33" s="58" t="s">
        <v>12</v>
      </c>
      <c r="S33" s="58"/>
      <c r="T33" s="71">
        <f>IF(R33="","",IF(OR(R33="SUPORTE",R33="PERDA / FECHOU LOJA"),"SEM",A33+VLOOKUP(R33,REGRAS!$B$2:$C$13,2,FALSE())))</f>
        <v>46108</v>
      </c>
      <c r="U33" s="58" t="str">
        <f t="shared" si="2"/>
        <v>RECOMPRA</v>
      </c>
      <c r="V33" s="58"/>
      <c r="W33" s="58" t="s">
        <v>147</v>
      </c>
      <c r="X33" s="58"/>
    </row>
    <row r="34" spans="1:24" x14ac:dyDescent="0.3">
      <c r="A34" s="71">
        <v>46073</v>
      </c>
      <c r="B34" s="58" t="s">
        <v>137</v>
      </c>
      <c r="C34" s="58" t="s">
        <v>418</v>
      </c>
      <c r="D34" s="58" t="s">
        <v>419</v>
      </c>
      <c r="E34" s="58" t="s">
        <v>376</v>
      </c>
      <c r="F34" s="58" t="s">
        <v>292</v>
      </c>
      <c r="G34" s="58" t="s">
        <v>71</v>
      </c>
      <c r="H34" s="58">
        <v>21</v>
      </c>
      <c r="I34" s="58" t="str">
        <f>IF(R34="","",VLOOKUP(R34,REGRAS!$B$2:$D$13,3,FALSE()))</f>
        <v>FUNIL</v>
      </c>
      <c r="J34" s="58"/>
      <c r="K34" s="58" t="str">
        <f t="shared" si="0"/>
        <v>PROSPECÇÃO</v>
      </c>
      <c r="L34" s="58" t="str">
        <f t="shared" si="1"/>
        <v>🟢</v>
      </c>
      <c r="M34" s="58"/>
      <c r="N34" s="58" t="s">
        <v>146</v>
      </c>
      <c r="O34" s="58" t="s">
        <v>147</v>
      </c>
      <c r="P34" s="58" t="s">
        <v>149</v>
      </c>
      <c r="Q34" s="58" t="s">
        <v>39</v>
      </c>
      <c r="R34" s="58" t="s">
        <v>8</v>
      </c>
      <c r="S34" s="58"/>
      <c r="T34" s="71">
        <f>IF(R34="","",IF(OR(R34="SUPORTE",R34="PERDA / FECHOU LOJA"),"SEM",A34+VLOOKUP(R34,REGRAS!$B$2:$C$13,2,FALSE())))</f>
        <v>46074</v>
      </c>
      <c r="U34" s="58" t="str">
        <f t="shared" si="2"/>
        <v>PROSPECÇÃO</v>
      </c>
      <c r="V34" s="58"/>
      <c r="W34" s="58" t="s">
        <v>146</v>
      </c>
      <c r="X34" s="58"/>
    </row>
    <row r="35" spans="1:24" x14ac:dyDescent="0.3">
      <c r="A35" s="71">
        <v>46078</v>
      </c>
      <c r="B35" s="58" t="s">
        <v>141</v>
      </c>
      <c r="C35" s="58" t="s">
        <v>420</v>
      </c>
      <c r="D35" s="58" t="s">
        <v>421</v>
      </c>
      <c r="E35" s="58" t="s">
        <v>422</v>
      </c>
      <c r="F35" s="58" t="s">
        <v>295</v>
      </c>
      <c r="G35" s="58" t="s">
        <v>79</v>
      </c>
      <c r="H35" s="58">
        <v>290</v>
      </c>
      <c r="I35" s="58" t="str">
        <f>IF(R35="","",VLOOKUP(R35,REGRAS!$B$2:$D$13,3,FALSE()))</f>
        <v>NÃO VENDA</v>
      </c>
      <c r="J35" s="58"/>
      <c r="K35" s="58" t="str">
        <f t="shared" si="0"/>
        <v>NUTRIÇÃO</v>
      </c>
      <c r="L35" s="58" t="str">
        <f t="shared" si="1"/>
        <v>🔴</v>
      </c>
      <c r="M35" s="58"/>
      <c r="N35" s="58" t="s">
        <v>146</v>
      </c>
      <c r="O35" s="58" t="s">
        <v>146</v>
      </c>
      <c r="P35" s="58" t="s">
        <v>147</v>
      </c>
      <c r="Q35" s="58" t="s">
        <v>45</v>
      </c>
      <c r="R35" s="58" t="s">
        <v>30</v>
      </c>
      <c r="S35" s="58" t="s">
        <v>57</v>
      </c>
      <c r="T35" s="71" t="str">
        <f>IF(R35="","",IF(OR(R35="SUPORTE",R35="PERDA / FECHOU LOJA"),"SEM",A35+VLOOKUP(R35,REGRAS!$B$2:$C$13,2,FALSE())))</f>
        <v>SEM</v>
      </c>
      <c r="U35" s="58" t="str">
        <f t="shared" si="2"/>
        <v>NUTRIÇÃO</v>
      </c>
      <c r="V35" s="58"/>
      <c r="W35" s="58" t="s">
        <v>146</v>
      </c>
      <c r="X35" s="58"/>
    </row>
    <row r="36" spans="1:24" x14ac:dyDescent="0.3">
      <c r="A36" s="71">
        <v>46069</v>
      </c>
      <c r="B36" s="58" t="s">
        <v>139</v>
      </c>
      <c r="C36" s="58" t="s">
        <v>423</v>
      </c>
      <c r="D36" s="58" t="s">
        <v>424</v>
      </c>
      <c r="E36" s="58" t="s">
        <v>335</v>
      </c>
      <c r="F36" s="58" t="s">
        <v>292</v>
      </c>
      <c r="G36" s="58" t="s">
        <v>79</v>
      </c>
      <c r="H36" s="58">
        <v>290</v>
      </c>
      <c r="I36" s="58" t="str">
        <f>IF(R36="","",VLOOKUP(R36,REGRAS!$B$2:$D$13,3,FALSE()))</f>
        <v>FUNIL</v>
      </c>
      <c r="J36" s="58"/>
      <c r="K36" s="58" t="str">
        <f t="shared" si="0"/>
        <v>PROSPECÇÃO</v>
      </c>
      <c r="L36" s="58" t="str">
        <f t="shared" si="1"/>
        <v>🔴</v>
      </c>
      <c r="M36" s="58"/>
      <c r="N36" s="58" t="s">
        <v>146</v>
      </c>
      <c r="O36" s="58" t="s">
        <v>146</v>
      </c>
      <c r="P36" s="58" t="s">
        <v>146</v>
      </c>
      <c r="Q36" s="58" t="s">
        <v>43</v>
      </c>
      <c r="R36" s="58" t="s">
        <v>8</v>
      </c>
      <c r="S36" s="58"/>
      <c r="T36" s="71">
        <f>IF(R36="","",IF(OR(R36="SUPORTE",R36="PERDA / FECHOU LOJA"),"SEM",A36+VLOOKUP(R36,REGRAS!$B$2:$C$13,2,FALSE())))</f>
        <v>46070</v>
      </c>
      <c r="U36" s="58" t="str">
        <f t="shared" si="2"/>
        <v>PROSPECÇÃO</v>
      </c>
      <c r="V36" s="58"/>
      <c r="W36" s="58" t="s">
        <v>147</v>
      </c>
      <c r="X36" s="58"/>
    </row>
    <row r="37" spans="1:24" x14ac:dyDescent="0.3">
      <c r="A37" s="71">
        <v>46066</v>
      </c>
      <c r="B37" s="58" t="s">
        <v>137</v>
      </c>
      <c r="C37" s="58" t="s">
        <v>425</v>
      </c>
      <c r="D37" s="58" t="s">
        <v>426</v>
      </c>
      <c r="E37" s="58" t="s">
        <v>335</v>
      </c>
      <c r="F37" s="58" t="s">
        <v>295</v>
      </c>
      <c r="G37" s="58" t="s">
        <v>79</v>
      </c>
      <c r="H37" s="58">
        <v>297</v>
      </c>
      <c r="I37" s="58" t="str">
        <f>IF(R37="","",VLOOKUP(R37,REGRAS!$B$2:$D$13,3,FALSE()))</f>
        <v>RELAC.</v>
      </c>
      <c r="J37" s="58"/>
      <c r="K37" s="58" t="str">
        <f t="shared" si="0"/>
        <v>CS</v>
      </c>
      <c r="L37" s="58" t="str">
        <f t="shared" si="1"/>
        <v>🔴</v>
      </c>
      <c r="M37" s="58"/>
      <c r="N37" s="58" t="s">
        <v>147</v>
      </c>
      <c r="O37" s="58" t="s">
        <v>146</v>
      </c>
      <c r="P37" s="58" t="s">
        <v>146</v>
      </c>
      <c r="Q37" s="58" t="s">
        <v>33</v>
      </c>
      <c r="R37" s="58" t="s">
        <v>14</v>
      </c>
      <c r="S37" s="58"/>
      <c r="T37" s="71">
        <f>IF(R37="","",IF(OR(R37="SUPORTE",R37="PERDA / FECHOU LOJA"),"SEM",A37+VLOOKUP(R37,REGRAS!$B$2:$C$13,2,FALSE())))</f>
        <v>46073</v>
      </c>
      <c r="U37" s="58" t="str">
        <f t="shared" si="2"/>
        <v>CS</v>
      </c>
      <c r="V37" s="58"/>
      <c r="W37" s="58" t="s">
        <v>146</v>
      </c>
      <c r="X37" s="58"/>
    </row>
    <row r="38" spans="1:24" x14ac:dyDescent="0.3">
      <c r="A38" s="71">
        <v>46070</v>
      </c>
      <c r="B38" s="58" t="s">
        <v>139</v>
      </c>
      <c r="C38" s="58" t="s">
        <v>427</v>
      </c>
      <c r="D38" s="58" t="s">
        <v>428</v>
      </c>
      <c r="E38" s="58" t="s">
        <v>361</v>
      </c>
      <c r="F38" s="58" t="s">
        <v>298</v>
      </c>
      <c r="G38" s="58" t="s">
        <v>71</v>
      </c>
      <c r="H38" s="58">
        <v>16</v>
      </c>
      <c r="I38" s="58" t="str">
        <f>IF(R38="","",VLOOKUP(R38,REGRAS!$B$2:$D$13,3,FALSE()))</f>
        <v>RELAC.</v>
      </c>
      <c r="J38" s="58"/>
      <c r="K38" s="58" t="str">
        <f t="shared" si="0"/>
        <v>SALVAMENTO</v>
      </c>
      <c r="L38" s="58" t="str">
        <f t="shared" si="1"/>
        <v>🟢</v>
      </c>
      <c r="M38" s="58"/>
      <c r="N38" s="58" t="s">
        <v>146</v>
      </c>
      <c r="O38" s="58" t="s">
        <v>147</v>
      </c>
      <c r="P38" s="58" t="s">
        <v>149</v>
      </c>
      <c r="Q38" s="58" t="s">
        <v>41</v>
      </c>
      <c r="R38" s="58" t="s">
        <v>19</v>
      </c>
      <c r="S38" s="58" t="s">
        <v>57</v>
      </c>
      <c r="T38" s="71">
        <f>IF(R38="","",IF(OR(R38="SUPORTE",R38="PERDA / FECHOU LOJA"),"SEM",A38+VLOOKUP(R38,REGRAS!$B$2:$C$13,2,FALSE())))</f>
        <v>46085</v>
      </c>
      <c r="U38" s="58" t="str">
        <f t="shared" si="2"/>
        <v>SALVAMENTO</v>
      </c>
      <c r="V38" s="58"/>
      <c r="W38" s="58" t="s">
        <v>146</v>
      </c>
      <c r="X38" s="58"/>
    </row>
    <row r="39" spans="1:24" x14ac:dyDescent="0.3">
      <c r="A39" s="71">
        <v>46067</v>
      </c>
      <c r="B39" s="58" t="s">
        <v>141</v>
      </c>
      <c r="C39" s="58" t="s">
        <v>429</v>
      </c>
      <c r="D39" s="58" t="s">
        <v>430</v>
      </c>
      <c r="E39" s="58" t="s">
        <v>361</v>
      </c>
      <c r="F39" s="58" t="s">
        <v>289</v>
      </c>
      <c r="G39" s="58" t="s">
        <v>74</v>
      </c>
      <c r="H39" s="58">
        <v>60</v>
      </c>
      <c r="I39" s="58" t="str">
        <f>IF(R39="","",VLOOKUP(R39,REGRAS!$B$2:$D$13,3,FALSE()))</f>
        <v>NÃO VENDA</v>
      </c>
      <c r="J39" s="58"/>
      <c r="K39" s="58" t="str">
        <f t="shared" si="0"/>
        <v>RECUPERAÇÃO</v>
      </c>
      <c r="L39" s="58" t="str">
        <f t="shared" si="1"/>
        <v>🟡</v>
      </c>
      <c r="M39" s="58"/>
      <c r="N39" s="58" t="s">
        <v>146</v>
      </c>
      <c r="O39" s="58" t="s">
        <v>146</v>
      </c>
      <c r="P39" s="58" t="s">
        <v>146</v>
      </c>
      <c r="Q39" s="58" t="s">
        <v>41</v>
      </c>
      <c r="R39" s="58" t="s">
        <v>23</v>
      </c>
      <c r="S39" s="58" t="s">
        <v>51</v>
      </c>
      <c r="T39" s="71">
        <f>IF(R39="","",IF(OR(R39="SUPORTE",R39="PERDA / FECHOU LOJA"),"SEM",A39+VLOOKUP(R39,REGRAS!$B$2:$C$13,2,FALSE())))</f>
        <v>46068</v>
      </c>
      <c r="U39" s="58" t="str">
        <f t="shared" si="2"/>
        <v>REATIVAÇÃO</v>
      </c>
      <c r="V39" s="58"/>
      <c r="W39" s="58" t="s">
        <v>146</v>
      </c>
      <c r="X39" s="58"/>
    </row>
    <row r="40" spans="1:24" x14ac:dyDescent="0.3">
      <c r="A40" s="71">
        <v>46062</v>
      </c>
      <c r="B40" s="58" t="s">
        <v>141</v>
      </c>
      <c r="C40" s="58" t="s">
        <v>431</v>
      </c>
      <c r="D40" s="58" t="s">
        <v>432</v>
      </c>
      <c r="E40" s="58" t="s">
        <v>340</v>
      </c>
      <c r="F40" s="58" t="s">
        <v>298</v>
      </c>
      <c r="G40" s="58" t="s">
        <v>79</v>
      </c>
      <c r="H40" s="58">
        <v>267</v>
      </c>
      <c r="I40" s="58" t="str">
        <f>IF(R40="","",VLOOKUP(R40,REGRAS!$B$2:$D$13,3,FALSE()))</f>
        <v>RELAC.</v>
      </c>
      <c r="J40" s="58"/>
      <c r="K40" s="58" t="str">
        <f t="shared" si="0"/>
        <v>PÓS-VENDA</v>
      </c>
      <c r="L40" s="58" t="str">
        <f t="shared" si="1"/>
        <v>🔴</v>
      </c>
      <c r="M40" s="58"/>
      <c r="N40" s="58" t="s">
        <v>146</v>
      </c>
      <c r="O40" s="58" t="s">
        <v>146</v>
      </c>
      <c r="P40" s="58" t="s">
        <v>146</v>
      </c>
      <c r="Q40" s="58" t="s">
        <v>39</v>
      </c>
      <c r="R40" s="58" t="s">
        <v>21</v>
      </c>
      <c r="S40" s="58"/>
      <c r="T40" s="71" t="str">
        <f>IF(R40="","",IF(OR(R40="SUPORTE",R40="PERDA / FECHOU LOJA"),"SEM",A40+VLOOKUP(R40,REGRAS!$B$2:$C$13,2,FALSE())))</f>
        <v>SEM</v>
      </c>
      <c r="U40" s="58" t="str">
        <f t="shared" si="2"/>
        <v>PÓS-VENDA</v>
      </c>
      <c r="V40" s="58"/>
      <c r="W40" s="58" t="s">
        <v>146</v>
      </c>
      <c r="X40" s="58"/>
    </row>
    <row r="41" spans="1:24" x14ac:dyDescent="0.3">
      <c r="A41" s="71">
        <v>46061</v>
      </c>
      <c r="B41" s="58" t="s">
        <v>135</v>
      </c>
      <c r="C41" s="58" t="s">
        <v>433</v>
      </c>
      <c r="D41" s="58" t="s">
        <v>434</v>
      </c>
      <c r="E41" s="58" t="s">
        <v>422</v>
      </c>
      <c r="F41" s="58" t="s">
        <v>296</v>
      </c>
      <c r="G41" s="58" t="s">
        <v>74</v>
      </c>
      <c r="H41" s="58">
        <v>58</v>
      </c>
      <c r="I41" s="58" t="str">
        <f>IF(R41="","",VLOOKUP(R41,REGRAS!$B$2:$D$13,3,FALSE()))</f>
        <v>FUNIL</v>
      </c>
      <c r="J41" s="58"/>
      <c r="K41" s="58" t="str">
        <f t="shared" si="0"/>
        <v>PROSPECÇÃO</v>
      </c>
      <c r="L41" s="58" t="str">
        <f t="shared" si="1"/>
        <v>🟡</v>
      </c>
      <c r="M41" s="58"/>
      <c r="N41" s="58" t="s">
        <v>146</v>
      </c>
      <c r="O41" s="58" t="s">
        <v>146</v>
      </c>
      <c r="P41" s="58" t="s">
        <v>146</v>
      </c>
      <c r="Q41" s="58" t="s">
        <v>37</v>
      </c>
      <c r="R41" s="58" t="s">
        <v>8</v>
      </c>
      <c r="S41" s="58"/>
      <c r="T41" s="71">
        <f>IF(R41="","",IF(OR(R41="SUPORTE",R41="PERDA / FECHOU LOJA"),"SEM",A41+VLOOKUP(R41,REGRAS!$B$2:$C$13,2,FALSE())))</f>
        <v>46062</v>
      </c>
      <c r="U41" s="58" t="str">
        <f t="shared" si="2"/>
        <v>PROSPECÇÃO</v>
      </c>
      <c r="V41" s="58"/>
      <c r="W41" s="58" t="s">
        <v>146</v>
      </c>
      <c r="X41" s="58"/>
    </row>
    <row r="42" spans="1:24" x14ac:dyDescent="0.3">
      <c r="A42" s="71">
        <v>46078</v>
      </c>
      <c r="B42" s="58" t="s">
        <v>139</v>
      </c>
      <c r="C42" s="58" t="s">
        <v>435</v>
      </c>
      <c r="D42" s="58" t="s">
        <v>436</v>
      </c>
      <c r="E42" s="58" t="s">
        <v>335</v>
      </c>
      <c r="F42" s="58" t="s">
        <v>292</v>
      </c>
      <c r="G42" s="58" t="s">
        <v>82</v>
      </c>
      <c r="H42" s="58"/>
      <c r="I42" s="58" t="str">
        <f>IF(R42="","",VLOOKUP(R42,REGRAS!$B$2:$D$13,3,FALSE()))</f>
        <v>FUNIL</v>
      </c>
      <c r="J42" s="58"/>
      <c r="K42" s="58" t="str">
        <f t="shared" si="0"/>
        <v>RECOMPRA</v>
      </c>
      <c r="L42" s="58" t="str">
        <f t="shared" si="1"/>
        <v/>
      </c>
      <c r="M42" s="58"/>
      <c r="N42" s="58" t="s">
        <v>146</v>
      </c>
      <c r="O42" s="58" t="s">
        <v>147</v>
      </c>
      <c r="P42" s="58" t="s">
        <v>149</v>
      </c>
      <c r="Q42" s="58" t="s">
        <v>37</v>
      </c>
      <c r="R42" s="58" t="s">
        <v>12</v>
      </c>
      <c r="S42" s="58"/>
      <c r="T42" s="71">
        <f>IF(R42="","",IF(OR(R42="SUPORTE",R42="PERDA / FECHOU LOJA"),"SEM",A42+VLOOKUP(R42,REGRAS!$B$2:$C$13,2,FALSE())))</f>
        <v>46123</v>
      </c>
      <c r="U42" s="58" t="str">
        <f t="shared" si="2"/>
        <v>RECOMPRA</v>
      </c>
      <c r="V42" s="58"/>
      <c r="W42" s="58" t="s">
        <v>146</v>
      </c>
      <c r="X42" s="58"/>
    </row>
    <row r="43" spans="1:24" x14ac:dyDescent="0.3">
      <c r="A43" s="71">
        <v>46055</v>
      </c>
      <c r="B43" s="58" t="s">
        <v>141</v>
      </c>
      <c r="C43" s="58" t="s">
        <v>437</v>
      </c>
      <c r="D43" s="58" t="s">
        <v>438</v>
      </c>
      <c r="E43" s="58" t="s">
        <v>361</v>
      </c>
      <c r="F43" s="58" t="s">
        <v>296</v>
      </c>
      <c r="G43" s="58" t="s">
        <v>74</v>
      </c>
      <c r="H43" s="58">
        <v>58</v>
      </c>
      <c r="I43" s="58" t="str">
        <f>IF(R43="","",VLOOKUP(R43,REGRAS!$B$2:$D$13,3,FALSE()))</f>
        <v>RELAC.</v>
      </c>
      <c r="J43" s="58"/>
      <c r="K43" s="58" t="str">
        <f t="shared" si="0"/>
        <v>PÓS-VENDA</v>
      </c>
      <c r="L43" s="58" t="str">
        <f t="shared" si="1"/>
        <v>🟡</v>
      </c>
      <c r="M43" s="58"/>
      <c r="N43" s="58" t="s">
        <v>146</v>
      </c>
      <c r="O43" s="58" t="s">
        <v>147</v>
      </c>
      <c r="P43" s="58" t="s">
        <v>149</v>
      </c>
      <c r="Q43" s="58" t="s">
        <v>37</v>
      </c>
      <c r="R43" s="58" t="s">
        <v>21</v>
      </c>
      <c r="S43" s="58"/>
      <c r="T43" s="71" t="str">
        <f>IF(R43="","",IF(OR(R43="SUPORTE",R43="PERDA / FECHOU LOJA"),"SEM",A43+VLOOKUP(R43,REGRAS!$B$2:$C$13,2,FALSE())))</f>
        <v>SEM</v>
      </c>
      <c r="U43" s="58" t="str">
        <f t="shared" si="2"/>
        <v>PÓS-VENDA</v>
      </c>
      <c r="V43" s="58"/>
      <c r="W43" s="58" t="s">
        <v>146</v>
      </c>
      <c r="X43" s="58"/>
    </row>
    <row r="44" spans="1:24" x14ac:dyDescent="0.3">
      <c r="A44" s="71">
        <v>46056</v>
      </c>
      <c r="B44" s="58" t="s">
        <v>137</v>
      </c>
      <c r="C44" s="58" t="s">
        <v>439</v>
      </c>
      <c r="D44" s="58" t="s">
        <v>440</v>
      </c>
      <c r="E44" s="58" t="s">
        <v>346</v>
      </c>
      <c r="F44" s="58" t="s">
        <v>292</v>
      </c>
      <c r="G44" s="58" t="s">
        <v>71</v>
      </c>
      <c r="H44" s="58">
        <v>20</v>
      </c>
      <c r="I44" s="58" t="str">
        <f>IF(R44="","",VLOOKUP(R44,REGRAS!$B$2:$D$13,3,FALSE()))</f>
        <v>NÃO VENDA</v>
      </c>
      <c r="J44" s="58"/>
      <c r="K44" s="58" t="str">
        <f t="shared" si="0"/>
        <v>RECUPERAÇÃO</v>
      </c>
      <c r="L44" s="58" t="str">
        <f t="shared" si="1"/>
        <v>🟢</v>
      </c>
      <c r="M44" s="58"/>
      <c r="N44" s="58" t="s">
        <v>146</v>
      </c>
      <c r="O44" s="58" t="s">
        <v>147</v>
      </c>
      <c r="P44" s="58" t="s">
        <v>149</v>
      </c>
      <c r="Q44" s="58" t="s">
        <v>33</v>
      </c>
      <c r="R44" s="58" t="s">
        <v>26</v>
      </c>
      <c r="S44" s="58" t="s">
        <v>49</v>
      </c>
      <c r="T44" s="71">
        <f>IF(R44="","",IF(OR(R44="SUPORTE",R44="PERDA / FECHOU LOJA"),"SEM",A44+VLOOKUP(R44,REGRAS!$B$2:$C$13,2,FALSE())))</f>
        <v>46057</v>
      </c>
      <c r="U44" s="58" t="str">
        <f t="shared" si="2"/>
        <v>REATIVAÇÃO</v>
      </c>
      <c r="V44" s="58"/>
      <c r="W44" s="58" t="s">
        <v>146</v>
      </c>
      <c r="X44" s="58"/>
    </row>
    <row r="45" spans="1:24" x14ac:dyDescent="0.3">
      <c r="A45" s="71">
        <v>46068</v>
      </c>
      <c r="B45" s="58" t="s">
        <v>141</v>
      </c>
      <c r="C45" s="58" t="s">
        <v>441</v>
      </c>
      <c r="D45" s="58" t="s">
        <v>442</v>
      </c>
      <c r="E45" s="58" t="s">
        <v>369</v>
      </c>
      <c r="F45" s="58" t="s">
        <v>283</v>
      </c>
      <c r="G45" s="58" t="s">
        <v>79</v>
      </c>
      <c r="H45" s="58">
        <v>251</v>
      </c>
      <c r="I45" s="58" t="str">
        <f>IF(R45="","",VLOOKUP(R45,REGRAS!$B$2:$D$13,3,FALSE()))</f>
        <v>FUNIL</v>
      </c>
      <c r="J45" s="58"/>
      <c r="K45" s="58" t="str">
        <f t="shared" si="0"/>
        <v>RECOMPRA</v>
      </c>
      <c r="L45" s="58" t="str">
        <f t="shared" si="1"/>
        <v>🔴</v>
      </c>
      <c r="M45" s="58"/>
      <c r="N45" s="58" t="s">
        <v>146</v>
      </c>
      <c r="O45" s="58" t="s">
        <v>146</v>
      </c>
      <c r="P45" s="58" t="s">
        <v>146</v>
      </c>
      <c r="Q45" s="58" t="s">
        <v>35</v>
      </c>
      <c r="R45" s="58" t="s">
        <v>12</v>
      </c>
      <c r="S45" s="58"/>
      <c r="T45" s="71">
        <f>IF(R45="","",IF(OR(R45="SUPORTE",R45="PERDA / FECHOU LOJA"),"SEM",A45+VLOOKUP(R45,REGRAS!$B$2:$C$13,2,FALSE())))</f>
        <v>46113</v>
      </c>
      <c r="U45" s="58" t="str">
        <f t="shared" si="2"/>
        <v>RECOMPRA</v>
      </c>
      <c r="V45" s="58"/>
      <c r="W45" s="58" t="s">
        <v>146</v>
      </c>
      <c r="X45" s="58"/>
    </row>
    <row r="46" spans="1:24" x14ac:dyDescent="0.3">
      <c r="A46" s="71">
        <v>46068</v>
      </c>
      <c r="B46" s="58" t="s">
        <v>139</v>
      </c>
      <c r="C46" s="58" t="s">
        <v>443</v>
      </c>
      <c r="D46" s="58" t="s">
        <v>444</v>
      </c>
      <c r="E46" s="58" t="s">
        <v>361</v>
      </c>
      <c r="F46" s="58" t="s">
        <v>283</v>
      </c>
      <c r="G46" s="58" t="s">
        <v>71</v>
      </c>
      <c r="H46" s="58">
        <v>21</v>
      </c>
      <c r="I46" s="58" t="str">
        <f>IF(R46="","",VLOOKUP(R46,REGRAS!$B$2:$D$13,3,FALSE()))</f>
        <v>RELAC.</v>
      </c>
      <c r="J46" s="58"/>
      <c r="K46" s="58" t="str">
        <f t="shared" si="0"/>
        <v>PÓS-VENDA</v>
      </c>
      <c r="L46" s="58" t="str">
        <f t="shared" si="1"/>
        <v>🟢</v>
      </c>
      <c r="M46" s="58"/>
      <c r="N46" s="58" t="s">
        <v>146</v>
      </c>
      <c r="O46" s="58" t="s">
        <v>147</v>
      </c>
      <c r="P46" s="58" t="s">
        <v>149</v>
      </c>
      <c r="Q46" s="58" t="s">
        <v>43</v>
      </c>
      <c r="R46" s="58" t="s">
        <v>21</v>
      </c>
      <c r="S46" s="58"/>
      <c r="T46" s="71" t="str">
        <f>IF(R46="","",IF(OR(R46="SUPORTE",R46="PERDA / FECHOU LOJA"),"SEM",A46+VLOOKUP(R46,REGRAS!$B$2:$C$13,2,FALSE())))</f>
        <v>SEM</v>
      </c>
      <c r="U46" s="58" t="str">
        <f t="shared" si="2"/>
        <v>PÓS-VENDA</v>
      </c>
      <c r="V46" s="58"/>
      <c r="W46" s="58" t="s">
        <v>146</v>
      </c>
      <c r="X46" s="58"/>
    </row>
    <row r="47" spans="1:24" x14ac:dyDescent="0.3">
      <c r="A47" s="71">
        <v>46071</v>
      </c>
      <c r="B47" s="58" t="s">
        <v>135</v>
      </c>
      <c r="C47" s="58" t="s">
        <v>445</v>
      </c>
      <c r="D47" s="58" t="s">
        <v>446</v>
      </c>
      <c r="E47" s="58" t="s">
        <v>335</v>
      </c>
      <c r="F47" s="58" t="s">
        <v>292</v>
      </c>
      <c r="G47" s="58" t="s">
        <v>85</v>
      </c>
      <c r="H47" s="58"/>
      <c r="I47" s="58" t="str">
        <f>IF(R47="","",VLOOKUP(R47,REGRAS!$B$2:$D$13,3,FALSE()))</f>
        <v>RELAC.</v>
      </c>
      <c r="J47" s="58"/>
      <c r="K47" s="58" t="str">
        <f t="shared" si="0"/>
        <v>CS</v>
      </c>
      <c r="L47" s="58" t="str">
        <f t="shared" si="1"/>
        <v/>
      </c>
      <c r="M47" s="58"/>
      <c r="N47" s="58" t="s">
        <v>146</v>
      </c>
      <c r="O47" s="58" t="s">
        <v>146</v>
      </c>
      <c r="P47" s="58" t="s">
        <v>146</v>
      </c>
      <c r="Q47" s="58" t="s">
        <v>39</v>
      </c>
      <c r="R47" s="58" t="s">
        <v>14</v>
      </c>
      <c r="S47" s="58"/>
      <c r="T47" s="71">
        <f>IF(R47="","",IF(OR(R47="SUPORTE",R47="PERDA / FECHOU LOJA"),"SEM",A47+VLOOKUP(R47,REGRAS!$B$2:$C$13,2,FALSE())))</f>
        <v>46078</v>
      </c>
      <c r="U47" s="58" t="str">
        <f t="shared" si="2"/>
        <v>CS</v>
      </c>
      <c r="V47" s="58"/>
      <c r="W47" s="58" t="s">
        <v>146</v>
      </c>
      <c r="X47" s="58"/>
    </row>
    <row r="48" spans="1:24" x14ac:dyDescent="0.3">
      <c r="A48" s="71">
        <v>46068</v>
      </c>
      <c r="B48" s="58" t="s">
        <v>135</v>
      </c>
      <c r="C48" s="58" t="s">
        <v>447</v>
      </c>
      <c r="D48" s="58" t="s">
        <v>448</v>
      </c>
      <c r="E48" s="58" t="s">
        <v>332</v>
      </c>
      <c r="F48" s="58" t="s">
        <v>297</v>
      </c>
      <c r="G48" s="58" t="s">
        <v>82</v>
      </c>
      <c r="H48" s="58"/>
      <c r="I48" s="58" t="str">
        <f>IF(R48="","",VLOOKUP(R48,REGRAS!$B$2:$D$13,3,FALSE()))</f>
        <v>FUNIL</v>
      </c>
      <c r="J48" s="58"/>
      <c r="K48" s="58" t="str">
        <f t="shared" si="0"/>
        <v>RECOMPRA</v>
      </c>
      <c r="L48" s="58" t="str">
        <f t="shared" si="1"/>
        <v/>
      </c>
      <c r="M48" s="58"/>
      <c r="N48" s="58" t="s">
        <v>147</v>
      </c>
      <c r="O48" s="58" t="s">
        <v>147</v>
      </c>
      <c r="P48" s="58" t="s">
        <v>149</v>
      </c>
      <c r="Q48" s="58" t="s">
        <v>39</v>
      </c>
      <c r="R48" s="58" t="s">
        <v>12</v>
      </c>
      <c r="S48" s="58"/>
      <c r="T48" s="71">
        <f>IF(R48="","",IF(OR(R48="SUPORTE",R48="PERDA / FECHOU LOJA"),"SEM",A48+VLOOKUP(R48,REGRAS!$B$2:$C$13,2,FALSE())))</f>
        <v>46113</v>
      </c>
      <c r="U48" s="58" t="str">
        <f t="shared" si="2"/>
        <v>RECOMPRA</v>
      </c>
      <c r="V48" s="58"/>
      <c r="W48" s="58" t="s">
        <v>146</v>
      </c>
      <c r="X48" s="58"/>
    </row>
    <row r="49" spans="1:24" x14ac:dyDescent="0.3">
      <c r="A49" s="71">
        <v>46078</v>
      </c>
      <c r="B49" s="58" t="s">
        <v>141</v>
      </c>
      <c r="C49" s="58" t="s">
        <v>449</v>
      </c>
      <c r="D49" s="58" t="s">
        <v>450</v>
      </c>
      <c r="E49" s="58" t="s">
        <v>376</v>
      </c>
      <c r="F49" s="58" t="s">
        <v>292</v>
      </c>
      <c r="G49" s="58" t="s">
        <v>85</v>
      </c>
      <c r="H49" s="58"/>
      <c r="I49" s="58" t="str">
        <f>IF(R49="","",VLOOKUP(R49,REGRAS!$B$2:$D$13,3,FALSE()))</f>
        <v>RELAC.</v>
      </c>
      <c r="J49" s="58"/>
      <c r="K49" s="58" t="str">
        <f t="shared" si="0"/>
        <v>CS</v>
      </c>
      <c r="L49" s="58" t="str">
        <f t="shared" si="1"/>
        <v/>
      </c>
      <c r="M49" s="58"/>
      <c r="N49" s="58" t="s">
        <v>146</v>
      </c>
      <c r="O49" s="58" t="s">
        <v>146</v>
      </c>
      <c r="P49" s="58" t="s">
        <v>146</v>
      </c>
      <c r="Q49" s="58" t="s">
        <v>39</v>
      </c>
      <c r="R49" s="58" t="s">
        <v>14</v>
      </c>
      <c r="S49" s="58"/>
      <c r="T49" s="71">
        <f>IF(R49="","",IF(OR(R49="SUPORTE",R49="PERDA / FECHOU LOJA"),"SEM",A49+VLOOKUP(R49,REGRAS!$B$2:$C$13,2,FALSE())))</f>
        <v>46085</v>
      </c>
      <c r="U49" s="58" t="str">
        <f t="shared" si="2"/>
        <v>CS</v>
      </c>
      <c r="V49" s="58"/>
      <c r="W49" s="58" t="s">
        <v>146</v>
      </c>
      <c r="X49" s="58"/>
    </row>
    <row r="50" spans="1:24" x14ac:dyDescent="0.3">
      <c r="A50" s="71">
        <v>46069</v>
      </c>
      <c r="B50" s="58" t="s">
        <v>135</v>
      </c>
      <c r="C50" s="58" t="s">
        <v>451</v>
      </c>
      <c r="D50" s="58" t="s">
        <v>452</v>
      </c>
      <c r="E50" s="58" t="s">
        <v>366</v>
      </c>
      <c r="F50" s="58" t="s">
        <v>283</v>
      </c>
      <c r="G50" s="58" t="s">
        <v>79</v>
      </c>
      <c r="H50" s="58">
        <v>222</v>
      </c>
      <c r="I50" s="58" t="str">
        <f>IF(R50="","",VLOOKUP(R50,REGRAS!$B$2:$D$13,3,FALSE()))</f>
        <v>RELAC.</v>
      </c>
      <c r="J50" s="58"/>
      <c r="K50" s="58" t="str">
        <f t="shared" si="0"/>
        <v>CS</v>
      </c>
      <c r="L50" s="58" t="str">
        <f t="shared" si="1"/>
        <v>🔴</v>
      </c>
      <c r="M50" s="58"/>
      <c r="N50" s="58" t="s">
        <v>147</v>
      </c>
      <c r="O50" s="58" t="s">
        <v>147</v>
      </c>
      <c r="P50" s="58" t="s">
        <v>149</v>
      </c>
      <c r="Q50" s="58" t="s">
        <v>43</v>
      </c>
      <c r="R50" s="58" t="s">
        <v>14</v>
      </c>
      <c r="S50" s="58"/>
      <c r="T50" s="71">
        <f>IF(R50="","",IF(OR(R50="SUPORTE",R50="PERDA / FECHOU LOJA"),"SEM",A50+VLOOKUP(R50,REGRAS!$B$2:$C$13,2,FALSE())))</f>
        <v>46076</v>
      </c>
      <c r="U50" s="58" t="str">
        <f t="shared" si="2"/>
        <v>CS</v>
      </c>
      <c r="V50" s="58"/>
      <c r="W50" s="58" t="s">
        <v>146</v>
      </c>
      <c r="X50" s="58"/>
    </row>
    <row r="51" spans="1:24" x14ac:dyDescent="0.3">
      <c r="A51" s="71">
        <v>46070</v>
      </c>
      <c r="B51" s="58" t="s">
        <v>137</v>
      </c>
      <c r="C51" s="58" t="s">
        <v>453</v>
      </c>
      <c r="D51" s="58" t="s">
        <v>454</v>
      </c>
      <c r="E51" s="58" t="s">
        <v>376</v>
      </c>
      <c r="F51" s="58" t="s">
        <v>292</v>
      </c>
      <c r="G51" s="58" t="s">
        <v>74</v>
      </c>
      <c r="H51" s="58">
        <v>58</v>
      </c>
      <c r="I51" s="58" t="str">
        <f>IF(R51="","",VLOOKUP(R51,REGRAS!$B$2:$D$13,3,FALSE()))</f>
        <v>RELAC.</v>
      </c>
      <c r="J51" s="58"/>
      <c r="K51" s="58" t="str">
        <f t="shared" si="0"/>
        <v>CS</v>
      </c>
      <c r="L51" s="58" t="str">
        <f t="shared" si="1"/>
        <v>🟡</v>
      </c>
      <c r="M51" s="58"/>
      <c r="N51" s="58" t="s">
        <v>146</v>
      </c>
      <c r="O51" s="58" t="s">
        <v>146</v>
      </c>
      <c r="P51" s="58" t="s">
        <v>146</v>
      </c>
      <c r="Q51" s="58" t="s">
        <v>33</v>
      </c>
      <c r="R51" s="58" t="s">
        <v>14</v>
      </c>
      <c r="S51" s="58"/>
      <c r="T51" s="71">
        <f>IF(R51="","",IF(OR(R51="SUPORTE",R51="PERDA / FECHOU LOJA"),"SEM",A51+VLOOKUP(R51,REGRAS!$B$2:$C$13,2,FALSE())))</f>
        <v>46077</v>
      </c>
      <c r="U51" s="58" t="str">
        <f t="shared" si="2"/>
        <v>CS</v>
      </c>
      <c r="V51" s="58"/>
      <c r="W51" s="58" t="s">
        <v>146</v>
      </c>
      <c r="X51" s="58"/>
    </row>
    <row r="52" spans="1:24" x14ac:dyDescent="0.3">
      <c r="A52" s="71">
        <v>46071</v>
      </c>
      <c r="B52" s="58" t="s">
        <v>137</v>
      </c>
      <c r="C52" s="58" t="s">
        <v>455</v>
      </c>
      <c r="D52" s="58" t="s">
        <v>456</v>
      </c>
      <c r="E52" s="58" t="s">
        <v>381</v>
      </c>
      <c r="F52" s="58" t="s">
        <v>295</v>
      </c>
      <c r="G52" s="58" t="s">
        <v>79</v>
      </c>
      <c r="H52" s="58">
        <v>197</v>
      </c>
      <c r="I52" s="58" t="str">
        <f>IF(R52="","",VLOOKUP(R52,REGRAS!$B$2:$D$13,3,FALSE()))</f>
        <v>FUNIL</v>
      </c>
      <c r="J52" s="58"/>
      <c r="K52" s="58" t="str">
        <f t="shared" si="0"/>
        <v>PROSPECÇÃO</v>
      </c>
      <c r="L52" s="58" t="str">
        <f t="shared" si="1"/>
        <v>🔴</v>
      </c>
      <c r="M52" s="58"/>
      <c r="N52" s="58" t="s">
        <v>146</v>
      </c>
      <c r="O52" s="58" t="s">
        <v>147</v>
      </c>
      <c r="P52" s="58" t="s">
        <v>149</v>
      </c>
      <c r="Q52" s="58" t="s">
        <v>43</v>
      </c>
      <c r="R52" s="58" t="s">
        <v>8</v>
      </c>
      <c r="S52" s="58"/>
      <c r="T52" s="71">
        <f>IF(R52="","",IF(OR(R52="SUPORTE",R52="PERDA / FECHOU LOJA"),"SEM",A52+VLOOKUP(R52,REGRAS!$B$2:$C$13,2,FALSE())))</f>
        <v>46072</v>
      </c>
      <c r="U52" s="58" t="str">
        <f t="shared" si="2"/>
        <v>PROSPECÇÃO</v>
      </c>
      <c r="V52" s="58"/>
      <c r="W52" s="58" t="s">
        <v>146</v>
      </c>
      <c r="X52" s="58"/>
    </row>
    <row r="53" spans="1:24" x14ac:dyDescent="0.3">
      <c r="A53" s="71">
        <v>46073</v>
      </c>
      <c r="B53" s="58" t="s">
        <v>137</v>
      </c>
      <c r="C53" s="58" t="s">
        <v>457</v>
      </c>
      <c r="D53" s="58" t="s">
        <v>458</v>
      </c>
      <c r="E53" s="58" t="s">
        <v>381</v>
      </c>
      <c r="F53" s="58" t="s">
        <v>298</v>
      </c>
      <c r="G53" s="58" t="s">
        <v>82</v>
      </c>
      <c r="H53" s="58"/>
      <c r="I53" s="58" t="str">
        <f>IF(R53="","",VLOOKUP(R53,REGRAS!$B$2:$D$13,3,FALSE()))</f>
        <v>FUNIL</v>
      </c>
      <c r="J53" s="58"/>
      <c r="K53" s="58" t="str">
        <f t="shared" si="0"/>
        <v>PROSPECÇÃO</v>
      </c>
      <c r="L53" s="58" t="str">
        <f t="shared" si="1"/>
        <v/>
      </c>
      <c r="M53" s="58"/>
      <c r="N53" s="58" t="s">
        <v>146</v>
      </c>
      <c r="O53" s="58" t="s">
        <v>147</v>
      </c>
      <c r="P53" s="58" t="s">
        <v>149</v>
      </c>
      <c r="Q53" s="58" t="s">
        <v>37</v>
      </c>
      <c r="R53" s="58" t="s">
        <v>8</v>
      </c>
      <c r="S53" s="58"/>
      <c r="T53" s="71">
        <f>IF(R53="","",IF(OR(R53="SUPORTE",R53="PERDA / FECHOU LOJA"),"SEM",A53+VLOOKUP(R53,REGRAS!$B$2:$C$13,2,FALSE())))</f>
        <v>46074</v>
      </c>
      <c r="U53" s="58" t="str">
        <f t="shared" si="2"/>
        <v>PROSPECÇÃO</v>
      </c>
      <c r="V53" s="58"/>
      <c r="W53" s="58" t="s">
        <v>146</v>
      </c>
      <c r="X53" s="58"/>
    </row>
    <row r="54" spans="1:24" x14ac:dyDescent="0.3">
      <c r="A54" s="71">
        <v>46058</v>
      </c>
      <c r="B54" s="58" t="s">
        <v>137</v>
      </c>
      <c r="C54" s="58" t="s">
        <v>459</v>
      </c>
      <c r="D54" s="58" t="s">
        <v>460</v>
      </c>
      <c r="E54" s="58" t="s">
        <v>376</v>
      </c>
      <c r="F54" s="58" t="s">
        <v>295</v>
      </c>
      <c r="G54" s="58" t="s">
        <v>71</v>
      </c>
      <c r="H54" s="58">
        <v>49</v>
      </c>
      <c r="I54" s="58" t="str">
        <f>IF(R54="","",VLOOKUP(R54,REGRAS!$B$2:$D$13,3,FALSE()))</f>
        <v>FUNIL</v>
      </c>
      <c r="J54" s="58"/>
      <c r="K54" s="58" t="str">
        <f t="shared" si="0"/>
        <v>PROSPECÇÃO</v>
      </c>
      <c r="L54" s="58" t="str">
        <f t="shared" si="1"/>
        <v>🟢</v>
      </c>
      <c r="M54" s="58"/>
      <c r="N54" s="58" t="s">
        <v>147</v>
      </c>
      <c r="O54" s="58" t="s">
        <v>146</v>
      </c>
      <c r="P54" s="58" t="s">
        <v>146</v>
      </c>
      <c r="Q54" s="58" t="s">
        <v>35</v>
      </c>
      <c r="R54" s="58" t="s">
        <v>8</v>
      </c>
      <c r="S54" s="58"/>
      <c r="T54" s="71">
        <f>IF(R54="","",IF(OR(R54="SUPORTE",R54="PERDA / FECHOU LOJA"),"SEM",A54+VLOOKUP(R54,REGRAS!$B$2:$C$13,2,FALSE())))</f>
        <v>46059</v>
      </c>
      <c r="U54" s="58" t="str">
        <f t="shared" si="2"/>
        <v>PROSPECÇÃO</v>
      </c>
      <c r="V54" s="58"/>
      <c r="W54" s="58" t="s">
        <v>146</v>
      </c>
      <c r="X54" s="58"/>
    </row>
    <row r="55" spans="1:24" x14ac:dyDescent="0.3">
      <c r="A55" s="71">
        <v>46079</v>
      </c>
      <c r="B55" s="58" t="s">
        <v>137</v>
      </c>
      <c r="C55" s="58" t="s">
        <v>461</v>
      </c>
      <c r="D55" s="58" t="s">
        <v>462</v>
      </c>
      <c r="E55" s="58" t="s">
        <v>361</v>
      </c>
      <c r="F55" s="58" t="s">
        <v>292</v>
      </c>
      <c r="G55" s="58" t="s">
        <v>74</v>
      </c>
      <c r="H55" s="58">
        <v>59</v>
      </c>
      <c r="I55" s="58" t="str">
        <f>IF(R55="","",VLOOKUP(R55,REGRAS!$B$2:$D$13,3,FALSE()))</f>
        <v>RELAC.</v>
      </c>
      <c r="J55" s="58"/>
      <c r="K55" s="58" t="str">
        <f t="shared" si="0"/>
        <v>CS</v>
      </c>
      <c r="L55" s="58" t="str">
        <f t="shared" si="1"/>
        <v>🟡</v>
      </c>
      <c r="M55" s="58"/>
      <c r="N55" s="58" t="s">
        <v>146</v>
      </c>
      <c r="O55" s="58" t="s">
        <v>147</v>
      </c>
      <c r="P55" s="58" t="s">
        <v>149</v>
      </c>
      <c r="Q55" s="58" t="s">
        <v>43</v>
      </c>
      <c r="R55" s="58" t="s">
        <v>14</v>
      </c>
      <c r="S55" s="58"/>
      <c r="T55" s="71">
        <f>IF(R55="","",IF(OR(R55="SUPORTE",R55="PERDA / FECHOU LOJA"),"SEM",A55+VLOOKUP(R55,REGRAS!$B$2:$C$13,2,FALSE())))</f>
        <v>46086</v>
      </c>
      <c r="U55" s="58" t="str">
        <f t="shared" si="2"/>
        <v>CS</v>
      </c>
      <c r="V55" s="58"/>
      <c r="W55" s="58" t="s">
        <v>147</v>
      </c>
      <c r="X55" s="58"/>
    </row>
    <row r="56" spans="1:24" x14ac:dyDescent="0.3">
      <c r="A56" s="71">
        <v>46056</v>
      </c>
      <c r="B56" s="58" t="s">
        <v>137</v>
      </c>
      <c r="C56" s="58" t="s">
        <v>463</v>
      </c>
      <c r="D56" s="58" t="s">
        <v>464</v>
      </c>
      <c r="E56" s="58" t="s">
        <v>361</v>
      </c>
      <c r="F56" s="58" t="s">
        <v>292</v>
      </c>
      <c r="G56" s="58" t="s">
        <v>74</v>
      </c>
      <c r="H56" s="58">
        <v>56</v>
      </c>
      <c r="I56" s="58" t="str">
        <f>IF(R56="","",VLOOKUP(R56,REGRAS!$B$2:$D$13,3,FALSE()))</f>
        <v>NÃO VENDA</v>
      </c>
      <c r="J56" s="58"/>
      <c r="K56" s="58" t="str">
        <f t="shared" si="0"/>
        <v>NUTRIÇÃO</v>
      </c>
      <c r="L56" s="58" t="str">
        <f t="shared" si="1"/>
        <v>🟡</v>
      </c>
      <c r="M56" s="58"/>
      <c r="N56" s="58" t="s">
        <v>146</v>
      </c>
      <c r="O56" s="58" t="s">
        <v>147</v>
      </c>
      <c r="P56" s="58" t="s">
        <v>149</v>
      </c>
      <c r="Q56" s="58" t="s">
        <v>41</v>
      </c>
      <c r="R56" s="58" t="s">
        <v>30</v>
      </c>
      <c r="S56" s="58" t="s">
        <v>57</v>
      </c>
      <c r="T56" s="71" t="str">
        <f>IF(R56="","",IF(OR(R56="SUPORTE",R56="PERDA / FECHOU LOJA"),"SEM",A56+VLOOKUP(R56,REGRAS!$B$2:$C$13,2,FALSE())))</f>
        <v>SEM</v>
      </c>
      <c r="U56" s="58" t="str">
        <f t="shared" si="2"/>
        <v>NUTRIÇÃO</v>
      </c>
      <c r="V56" s="58"/>
      <c r="W56" s="58" t="s">
        <v>146</v>
      </c>
      <c r="X56" s="58"/>
    </row>
    <row r="57" spans="1:24" x14ac:dyDescent="0.3">
      <c r="A57" s="71">
        <v>46075</v>
      </c>
      <c r="B57" s="58" t="s">
        <v>141</v>
      </c>
      <c r="C57" s="58" t="s">
        <v>465</v>
      </c>
      <c r="D57" s="58" t="s">
        <v>466</v>
      </c>
      <c r="E57" s="58" t="s">
        <v>332</v>
      </c>
      <c r="F57" s="58" t="s">
        <v>295</v>
      </c>
      <c r="G57" s="58" t="s">
        <v>71</v>
      </c>
      <c r="H57" s="58">
        <v>25</v>
      </c>
      <c r="I57" s="58" t="str">
        <f>IF(R57="","",VLOOKUP(R57,REGRAS!$B$2:$D$13,3,FALSE()))</f>
        <v>RELAC.</v>
      </c>
      <c r="J57" s="58"/>
      <c r="K57" s="58" t="str">
        <f t="shared" si="0"/>
        <v>CS</v>
      </c>
      <c r="L57" s="58" t="str">
        <f t="shared" si="1"/>
        <v>🟢</v>
      </c>
      <c r="M57" s="58"/>
      <c r="N57" s="58" t="s">
        <v>146</v>
      </c>
      <c r="O57" s="58" t="s">
        <v>146</v>
      </c>
      <c r="P57" s="58" t="s">
        <v>146</v>
      </c>
      <c r="Q57" s="58" t="s">
        <v>43</v>
      </c>
      <c r="R57" s="58" t="s">
        <v>14</v>
      </c>
      <c r="S57" s="58"/>
      <c r="T57" s="71">
        <f>IF(R57="","",IF(OR(R57="SUPORTE",R57="PERDA / FECHOU LOJA"),"SEM",A57+VLOOKUP(R57,REGRAS!$B$2:$C$13,2,FALSE())))</f>
        <v>46082</v>
      </c>
      <c r="U57" s="58" t="str">
        <f t="shared" si="2"/>
        <v>CS</v>
      </c>
      <c r="V57" s="58"/>
      <c r="W57" s="58" t="s">
        <v>146</v>
      </c>
      <c r="X57" s="58"/>
    </row>
    <row r="58" spans="1:24" x14ac:dyDescent="0.3">
      <c r="A58" s="71">
        <v>46079</v>
      </c>
      <c r="B58" s="58" t="s">
        <v>135</v>
      </c>
      <c r="C58" s="58" t="s">
        <v>467</v>
      </c>
      <c r="D58" s="58" t="s">
        <v>468</v>
      </c>
      <c r="E58" s="58" t="s">
        <v>381</v>
      </c>
      <c r="F58" s="58" t="s">
        <v>283</v>
      </c>
      <c r="G58" s="58" t="s">
        <v>74</v>
      </c>
      <c r="H58" s="58">
        <v>55</v>
      </c>
      <c r="I58" s="58" t="str">
        <f>IF(R58="","",VLOOKUP(R58,REGRAS!$B$2:$D$13,3,FALSE()))</f>
        <v>RELAC.</v>
      </c>
      <c r="J58" s="58"/>
      <c r="K58" s="58" t="str">
        <f t="shared" si="0"/>
        <v>SALVAMENTO</v>
      </c>
      <c r="L58" s="58" t="str">
        <f t="shared" si="1"/>
        <v>🟡</v>
      </c>
      <c r="M58" s="58"/>
      <c r="N58" s="58" t="s">
        <v>147</v>
      </c>
      <c r="O58" s="58" t="s">
        <v>147</v>
      </c>
      <c r="P58" s="58" t="s">
        <v>149</v>
      </c>
      <c r="Q58" s="58" t="s">
        <v>39</v>
      </c>
      <c r="R58" s="58" t="s">
        <v>19</v>
      </c>
      <c r="S58" s="58" t="s">
        <v>51</v>
      </c>
      <c r="T58" s="71">
        <f>IF(R58="","",IF(OR(R58="SUPORTE",R58="PERDA / FECHOU LOJA"),"SEM",A58+VLOOKUP(R58,REGRAS!$B$2:$C$13,2,FALSE())))</f>
        <v>46094</v>
      </c>
      <c r="U58" s="58" t="str">
        <f t="shared" si="2"/>
        <v>SALVAMENTO</v>
      </c>
      <c r="V58" s="58"/>
      <c r="W58" s="58" t="s">
        <v>146</v>
      </c>
      <c r="X58" s="58"/>
    </row>
    <row r="59" spans="1:24" x14ac:dyDescent="0.3">
      <c r="A59" s="71">
        <v>46056</v>
      </c>
      <c r="B59" s="58" t="s">
        <v>137</v>
      </c>
      <c r="C59" s="58" t="s">
        <v>469</v>
      </c>
      <c r="D59" s="58" t="s">
        <v>470</v>
      </c>
      <c r="E59" s="58" t="s">
        <v>346</v>
      </c>
      <c r="F59" s="58" t="s">
        <v>289</v>
      </c>
      <c r="G59" s="58" t="s">
        <v>74</v>
      </c>
      <c r="H59" s="58">
        <v>58</v>
      </c>
      <c r="I59" s="58" t="str">
        <f>IF(R59="","",VLOOKUP(R59,REGRAS!$B$2:$D$13,3,FALSE()))</f>
        <v>FUNIL</v>
      </c>
      <c r="J59" s="58"/>
      <c r="K59" s="58" t="str">
        <f t="shared" si="0"/>
        <v>PROSPECÇÃO</v>
      </c>
      <c r="L59" s="58" t="str">
        <f t="shared" si="1"/>
        <v>🟡</v>
      </c>
      <c r="M59" s="58"/>
      <c r="N59" s="58" t="s">
        <v>146</v>
      </c>
      <c r="O59" s="58" t="s">
        <v>146</v>
      </c>
      <c r="P59" s="58" t="s">
        <v>147</v>
      </c>
      <c r="Q59" s="58" t="s">
        <v>33</v>
      </c>
      <c r="R59" s="58" t="s">
        <v>10</v>
      </c>
      <c r="S59" s="58"/>
      <c r="T59" s="71">
        <f>IF(R59="","",IF(OR(R59="SUPORTE",R59="PERDA / FECHOU LOJA"),"SEM",A59+VLOOKUP(R59,REGRAS!$B$2:$C$13,2,FALSE())))</f>
        <v>46058</v>
      </c>
      <c r="U59" s="58" t="str">
        <f t="shared" si="2"/>
        <v>PROSPECÇÃO</v>
      </c>
      <c r="V59" s="58"/>
      <c r="W59" s="58" t="s">
        <v>146</v>
      </c>
      <c r="X59" s="58"/>
    </row>
    <row r="60" spans="1:24" x14ac:dyDescent="0.3">
      <c r="A60" s="71">
        <v>46080</v>
      </c>
      <c r="B60" s="58" t="s">
        <v>139</v>
      </c>
      <c r="C60" s="58" t="s">
        <v>471</v>
      </c>
      <c r="D60" s="58" t="s">
        <v>472</v>
      </c>
      <c r="E60" s="58" t="s">
        <v>340</v>
      </c>
      <c r="F60" s="58" t="s">
        <v>292</v>
      </c>
      <c r="G60" s="58" t="s">
        <v>85</v>
      </c>
      <c r="H60" s="58"/>
      <c r="I60" s="58" t="str">
        <f>IF(R60="","",VLOOKUP(R60,REGRAS!$B$2:$D$13,3,FALSE()))</f>
        <v>RELAC.</v>
      </c>
      <c r="J60" s="58"/>
      <c r="K60" s="58" t="str">
        <f t="shared" si="0"/>
        <v>CS</v>
      </c>
      <c r="L60" s="58" t="str">
        <f t="shared" si="1"/>
        <v/>
      </c>
      <c r="M60" s="58"/>
      <c r="N60" s="58" t="s">
        <v>147</v>
      </c>
      <c r="O60" s="58" t="s">
        <v>146</v>
      </c>
      <c r="P60" s="58" t="s">
        <v>146</v>
      </c>
      <c r="Q60" s="58" t="s">
        <v>43</v>
      </c>
      <c r="R60" s="58" t="s">
        <v>14</v>
      </c>
      <c r="S60" s="58"/>
      <c r="T60" s="71">
        <f>IF(R60="","",IF(OR(R60="SUPORTE",R60="PERDA / FECHOU LOJA"),"SEM",A60+VLOOKUP(R60,REGRAS!$B$2:$C$13,2,FALSE())))</f>
        <v>46087</v>
      </c>
      <c r="U60" s="58" t="str">
        <f t="shared" si="2"/>
        <v>CS</v>
      </c>
      <c r="V60" s="58"/>
      <c r="W60" s="58" t="s">
        <v>146</v>
      </c>
      <c r="X60" s="58"/>
    </row>
    <row r="61" spans="1:24" x14ac:dyDescent="0.3">
      <c r="A61" s="71">
        <v>46078</v>
      </c>
      <c r="B61" s="58" t="s">
        <v>139</v>
      </c>
      <c r="C61" s="58" t="s">
        <v>473</v>
      </c>
      <c r="D61" s="58" t="s">
        <v>474</v>
      </c>
      <c r="E61" s="58" t="s">
        <v>346</v>
      </c>
      <c r="F61" s="58" t="s">
        <v>283</v>
      </c>
      <c r="G61" s="58" t="s">
        <v>74</v>
      </c>
      <c r="H61" s="58">
        <v>53</v>
      </c>
      <c r="I61" s="58" t="str">
        <f>IF(R61="","",VLOOKUP(R61,REGRAS!$B$2:$D$13,3,FALSE()))</f>
        <v>FUNIL</v>
      </c>
      <c r="J61" s="58"/>
      <c r="K61" s="58" t="str">
        <f t="shared" si="0"/>
        <v>PROSPECÇÃO</v>
      </c>
      <c r="L61" s="58" t="str">
        <f t="shared" si="1"/>
        <v>🟡</v>
      </c>
      <c r="M61" s="58"/>
      <c r="N61" s="58" t="s">
        <v>147</v>
      </c>
      <c r="O61" s="58" t="s">
        <v>146</v>
      </c>
      <c r="P61" s="58" t="s">
        <v>146</v>
      </c>
      <c r="Q61" s="58" t="s">
        <v>33</v>
      </c>
      <c r="R61" s="58" t="s">
        <v>8</v>
      </c>
      <c r="S61" s="58"/>
      <c r="T61" s="71">
        <f>IF(R61="","",IF(OR(R61="SUPORTE",R61="PERDA / FECHOU LOJA"),"SEM",A61+VLOOKUP(R61,REGRAS!$B$2:$C$13,2,FALSE())))</f>
        <v>46079</v>
      </c>
      <c r="U61" s="58" t="str">
        <f t="shared" si="2"/>
        <v>PROSPECÇÃO</v>
      </c>
      <c r="V61" s="58"/>
      <c r="W61" s="58" t="s">
        <v>146</v>
      </c>
      <c r="X61" s="58"/>
    </row>
    <row r="62" spans="1:24" x14ac:dyDescent="0.3">
      <c r="A62" s="71">
        <v>46065</v>
      </c>
      <c r="B62" s="58" t="s">
        <v>137</v>
      </c>
      <c r="C62" s="58" t="s">
        <v>475</v>
      </c>
      <c r="D62" s="58" t="s">
        <v>476</v>
      </c>
      <c r="E62" s="58" t="s">
        <v>346</v>
      </c>
      <c r="F62" s="58" t="s">
        <v>298</v>
      </c>
      <c r="G62" s="58" t="s">
        <v>71</v>
      </c>
      <c r="H62" s="58">
        <v>19</v>
      </c>
      <c r="I62" s="58" t="str">
        <f>IF(R62="","",VLOOKUP(R62,REGRAS!$B$2:$D$13,3,FALSE()))</f>
        <v>RELAC.</v>
      </c>
      <c r="J62" s="58"/>
      <c r="K62" s="58" t="str">
        <f t="shared" si="0"/>
        <v>PÓS-VENDA</v>
      </c>
      <c r="L62" s="58" t="str">
        <f t="shared" si="1"/>
        <v>🟢</v>
      </c>
      <c r="M62" s="58"/>
      <c r="N62" s="58" t="s">
        <v>147</v>
      </c>
      <c r="O62" s="58" t="s">
        <v>147</v>
      </c>
      <c r="P62" s="58" t="s">
        <v>149</v>
      </c>
      <c r="Q62" s="58" t="s">
        <v>43</v>
      </c>
      <c r="R62" s="58" t="s">
        <v>21</v>
      </c>
      <c r="S62" s="58"/>
      <c r="T62" s="71" t="str">
        <f>IF(R62="","",IF(OR(R62="SUPORTE",R62="PERDA / FECHOU LOJA"),"SEM",A62+VLOOKUP(R62,REGRAS!$B$2:$C$13,2,FALSE())))</f>
        <v>SEM</v>
      </c>
      <c r="U62" s="58" t="str">
        <f t="shared" si="2"/>
        <v>PÓS-VENDA</v>
      </c>
      <c r="V62" s="58"/>
      <c r="W62" s="58" t="s">
        <v>147</v>
      </c>
      <c r="X62" s="58"/>
    </row>
    <row r="63" spans="1:24" x14ac:dyDescent="0.3">
      <c r="A63" s="71">
        <v>46065</v>
      </c>
      <c r="B63" s="58" t="s">
        <v>135</v>
      </c>
      <c r="C63" s="58" t="s">
        <v>477</v>
      </c>
      <c r="D63" s="58" t="s">
        <v>478</v>
      </c>
      <c r="E63" s="58" t="s">
        <v>335</v>
      </c>
      <c r="F63" s="58" t="s">
        <v>297</v>
      </c>
      <c r="G63" s="58" t="s">
        <v>77</v>
      </c>
      <c r="H63" s="58">
        <v>87</v>
      </c>
      <c r="I63" s="58" t="str">
        <f>IF(R63="","",VLOOKUP(R63,REGRAS!$B$2:$D$13,3,FALSE()))</f>
        <v>NÃO VENDA</v>
      </c>
      <c r="J63" s="58"/>
      <c r="K63" s="58" t="str">
        <f t="shared" si="0"/>
        <v>RECUPERAÇÃO</v>
      </c>
      <c r="L63" s="58" t="str">
        <f t="shared" si="1"/>
        <v>🟡</v>
      </c>
      <c r="M63" s="58"/>
      <c r="N63" s="58" t="s">
        <v>146</v>
      </c>
      <c r="O63" s="58" t="s">
        <v>147</v>
      </c>
      <c r="P63" s="58" t="s">
        <v>149</v>
      </c>
      <c r="Q63" s="58" t="s">
        <v>41</v>
      </c>
      <c r="R63" s="58" t="s">
        <v>26</v>
      </c>
      <c r="S63" s="58" t="s">
        <v>57</v>
      </c>
      <c r="T63" s="71">
        <f>IF(R63="","",IF(OR(R63="SUPORTE",R63="PERDA / FECHOU LOJA"),"SEM",A63+VLOOKUP(R63,REGRAS!$B$2:$C$13,2,FALSE())))</f>
        <v>46066</v>
      </c>
      <c r="U63" s="58" t="str">
        <f t="shared" si="2"/>
        <v>REATIVAÇÃO</v>
      </c>
      <c r="V63" s="58"/>
      <c r="W63" s="58" t="s">
        <v>147</v>
      </c>
      <c r="X63" s="58"/>
    </row>
    <row r="64" spans="1:24" x14ac:dyDescent="0.3">
      <c r="A64" s="71">
        <v>46064</v>
      </c>
      <c r="B64" s="58" t="s">
        <v>141</v>
      </c>
      <c r="C64" s="58" t="s">
        <v>479</v>
      </c>
      <c r="D64" s="58" t="s">
        <v>480</v>
      </c>
      <c r="E64" s="58" t="s">
        <v>366</v>
      </c>
      <c r="F64" s="58" t="s">
        <v>286</v>
      </c>
      <c r="G64" s="58" t="s">
        <v>71</v>
      </c>
      <c r="H64" s="58">
        <v>7</v>
      </c>
      <c r="I64" s="58" t="str">
        <f>IF(R64="","",VLOOKUP(R64,REGRAS!$B$2:$D$13,3,FALSE()))</f>
        <v>RELAC.</v>
      </c>
      <c r="J64" s="58"/>
      <c r="K64" s="58" t="str">
        <f t="shared" si="0"/>
        <v>SALVAMENTO</v>
      </c>
      <c r="L64" s="58" t="str">
        <f t="shared" si="1"/>
        <v>🟢</v>
      </c>
      <c r="M64" s="58"/>
      <c r="N64" s="58" t="s">
        <v>146</v>
      </c>
      <c r="O64" s="58" t="s">
        <v>147</v>
      </c>
      <c r="P64" s="58" t="s">
        <v>149</v>
      </c>
      <c r="Q64" s="58" t="s">
        <v>37</v>
      </c>
      <c r="R64" s="58" t="s">
        <v>17</v>
      </c>
      <c r="S64" s="58" t="s">
        <v>49</v>
      </c>
      <c r="T64" s="71">
        <f>IF(R64="","",IF(OR(R64="SUPORTE",R64="PERDA / FECHOU LOJA"),"SEM",A64+VLOOKUP(R64,REGRAS!$B$2:$C$13,2,FALSE())))</f>
        <v>46071</v>
      </c>
      <c r="U64" s="58" t="str">
        <f t="shared" si="2"/>
        <v>SALVAMENTO</v>
      </c>
      <c r="V64" s="58"/>
      <c r="W64" s="58" t="s">
        <v>146</v>
      </c>
      <c r="X64" s="58"/>
    </row>
    <row r="65" spans="1:24" x14ac:dyDescent="0.3">
      <c r="A65" s="71">
        <v>46075</v>
      </c>
      <c r="B65" s="58" t="s">
        <v>141</v>
      </c>
      <c r="C65" s="58" t="s">
        <v>481</v>
      </c>
      <c r="D65" s="58" t="s">
        <v>482</v>
      </c>
      <c r="E65" s="58" t="s">
        <v>335</v>
      </c>
      <c r="F65" s="58" t="s">
        <v>292</v>
      </c>
      <c r="G65" s="58" t="s">
        <v>77</v>
      </c>
      <c r="H65" s="58">
        <v>69</v>
      </c>
      <c r="I65" s="58" t="str">
        <f>IF(R65="","",VLOOKUP(R65,REGRAS!$B$2:$D$13,3,FALSE()))</f>
        <v>FUNIL</v>
      </c>
      <c r="J65" s="58"/>
      <c r="K65" s="58" t="str">
        <f t="shared" si="0"/>
        <v>PROSPECÇÃO</v>
      </c>
      <c r="L65" s="58" t="str">
        <f t="shared" si="1"/>
        <v>🟡</v>
      </c>
      <c r="M65" s="58"/>
      <c r="N65" s="58" t="s">
        <v>146</v>
      </c>
      <c r="O65" s="58" t="s">
        <v>147</v>
      </c>
      <c r="P65" s="58" t="s">
        <v>149</v>
      </c>
      <c r="Q65" s="58" t="s">
        <v>33</v>
      </c>
      <c r="R65" s="58" t="s">
        <v>10</v>
      </c>
      <c r="S65" s="58"/>
      <c r="T65" s="71">
        <f>IF(R65="","",IF(OR(R65="SUPORTE",R65="PERDA / FECHOU LOJA"),"SEM",A65+VLOOKUP(R65,REGRAS!$B$2:$C$13,2,FALSE())))</f>
        <v>46077</v>
      </c>
      <c r="U65" s="58" t="str">
        <f t="shared" si="2"/>
        <v>PROSPECÇÃO</v>
      </c>
      <c r="V65" s="58"/>
      <c r="W65" s="58" t="s">
        <v>147</v>
      </c>
      <c r="X65" s="58"/>
    </row>
    <row r="66" spans="1:24" x14ac:dyDescent="0.3">
      <c r="A66" s="71">
        <v>46057</v>
      </c>
      <c r="B66" s="58" t="s">
        <v>141</v>
      </c>
      <c r="C66" s="58" t="s">
        <v>483</v>
      </c>
      <c r="D66" s="58" t="s">
        <v>484</v>
      </c>
      <c r="E66" s="58" t="s">
        <v>332</v>
      </c>
      <c r="F66" s="58" t="s">
        <v>283</v>
      </c>
      <c r="G66" s="58" t="s">
        <v>82</v>
      </c>
      <c r="H66" s="58"/>
      <c r="I66" s="58" t="str">
        <f>IF(R66="","",VLOOKUP(R66,REGRAS!$B$2:$D$13,3,FALSE()))</f>
        <v>RELAC.</v>
      </c>
      <c r="J66" s="58"/>
      <c r="K66" s="58" t="str">
        <f t="shared" si="0"/>
        <v>SALVAMENTO</v>
      </c>
      <c r="L66" s="58" t="str">
        <f t="shared" si="1"/>
        <v/>
      </c>
      <c r="M66" s="58"/>
      <c r="N66" s="58" t="s">
        <v>146</v>
      </c>
      <c r="O66" s="58" t="s">
        <v>147</v>
      </c>
      <c r="P66" s="58" t="s">
        <v>149</v>
      </c>
      <c r="Q66" s="58" t="s">
        <v>39</v>
      </c>
      <c r="R66" s="58" t="s">
        <v>19</v>
      </c>
      <c r="S66" s="58" t="s">
        <v>49</v>
      </c>
      <c r="T66" s="71">
        <f>IF(R66="","",IF(OR(R66="SUPORTE",R66="PERDA / FECHOU LOJA"),"SEM",A66+VLOOKUP(R66,REGRAS!$B$2:$C$13,2,FALSE())))</f>
        <v>46072</v>
      </c>
      <c r="U66" s="58" t="str">
        <f t="shared" si="2"/>
        <v>SALVAMENTO</v>
      </c>
      <c r="V66" s="58"/>
      <c r="W66" s="58" t="s">
        <v>147</v>
      </c>
      <c r="X66" s="58"/>
    </row>
    <row r="67" spans="1:24" x14ac:dyDescent="0.3">
      <c r="A67" s="71">
        <v>46061</v>
      </c>
      <c r="B67" s="58" t="s">
        <v>141</v>
      </c>
      <c r="C67" s="58" t="s">
        <v>485</v>
      </c>
      <c r="D67" s="58" t="s">
        <v>486</v>
      </c>
      <c r="E67" s="58" t="s">
        <v>335</v>
      </c>
      <c r="F67" s="58" t="s">
        <v>292</v>
      </c>
      <c r="G67" s="58" t="s">
        <v>71</v>
      </c>
      <c r="H67" s="58">
        <v>14</v>
      </c>
      <c r="I67" s="58" t="str">
        <f>IF(R67="","",VLOOKUP(R67,REGRAS!$B$2:$D$13,3,FALSE()))</f>
        <v>RELAC.</v>
      </c>
      <c r="J67" s="58"/>
      <c r="K67" s="58" t="str">
        <f t="shared" si="0"/>
        <v>PÓS-VENDA</v>
      </c>
      <c r="L67" s="58" t="str">
        <f t="shared" si="1"/>
        <v>🟢</v>
      </c>
      <c r="M67" s="58"/>
      <c r="N67" s="58" t="s">
        <v>146</v>
      </c>
      <c r="O67" s="58" t="s">
        <v>147</v>
      </c>
      <c r="P67" s="58" t="s">
        <v>149</v>
      </c>
      <c r="Q67" s="58" t="s">
        <v>43</v>
      </c>
      <c r="R67" s="58" t="s">
        <v>21</v>
      </c>
      <c r="S67" s="58"/>
      <c r="T67" s="71" t="str">
        <f>IF(R67="","",IF(OR(R67="SUPORTE",R67="PERDA / FECHOU LOJA"),"SEM",A67+VLOOKUP(R67,REGRAS!$B$2:$C$13,2,FALSE())))</f>
        <v>SEM</v>
      </c>
      <c r="U67" s="58" t="str">
        <f t="shared" si="2"/>
        <v>PÓS-VENDA</v>
      </c>
      <c r="V67" s="58"/>
      <c r="W67" s="58" t="s">
        <v>147</v>
      </c>
      <c r="X67" s="58"/>
    </row>
    <row r="68" spans="1:24" x14ac:dyDescent="0.3">
      <c r="A68" s="71">
        <v>46071</v>
      </c>
      <c r="B68" s="58" t="s">
        <v>135</v>
      </c>
      <c r="C68" s="58" t="s">
        <v>487</v>
      </c>
      <c r="D68" s="58" t="s">
        <v>488</v>
      </c>
      <c r="E68" s="58" t="s">
        <v>366</v>
      </c>
      <c r="F68" s="58" t="s">
        <v>292</v>
      </c>
      <c r="G68" s="58" t="s">
        <v>77</v>
      </c>
      <c r="H68" s="58">
        <v>61</v>
      </c>
      <c r="I68" s="58" t="str">
        <f>IF(R68="","",VLOOKUP(R68,REGRAS!$B$2:$D$13,3,FALSE()))</f>
        <v>FUNIL</v>
      </c>
      <c r="J68" s="58"/>
      <c r="K68" s="58" t="str">
        <f t="shared" ref="K68:K131" si="3">IF(R68="","",IF(R68="VENDA / PEDIDO","RECOMPRA",IF(R68="SUPORTE","PÓS-VENDA",IF(OR(R68="FOLLOW UP 7",R68="FOLLOW UP 15"),"SALVAMENTO",IF(R68="PERDA / FECHOU LOJA","NUTRIÇÃO",IF(R68="RELACIONAMENTO","CS",IF(OR(R68="ORÇAMENTO",R68="CADASTRO"),"PROSPECÇÃO",IF(R68="EM ATENDIMENTO","EM ATENDIMENTO",IF(OR(R68="NÃO ATENDE",R68="NÃO RESPONDE",R68="RECUSOU LIGAÇÃO"),"RECUPERAÇÃO","")))))))))</f>
        <v>EM ATENDIMENTO</v>
      </c>
      <c r="L68" s="58" t="str">
        <f t="shared" ref="L68:L131" si="4">IF(H68="","",IF(G68="PROSPECT","🟣",IF(G68="LEAD","🟣",IF(G68="NOVO","🟢",IF(H68&lt;=50,"🟢",IF(H68&lt;=90,"🟡","🔴"))))))</f>
        <v>🟡</v>
      </c>
      <c r="M68" s="58"/>
      <c r="N68" s="58" t="s">
        <v>147</v>
      </c>
      <c r="O68" s="58" t="s">
        <v>147</v>
      </c>
      <c r="P68" s="58" t="s">
        <v>149</v>
      </c>
      <c r="Q68" s="58" t="s">
        <v>35</v>
      </c>
      <c r="R68" s="58" t="s">
        <v>5</v>
      </c>
      <c r="S68" s="58"/>
      <c r="T68" s="71">
        <f>IF(R68="","",IF(OR(R68="SUPORTE",R68="PERDA / FECHOU LOJA"),"SEM",A68+VLOOKUP(R68,REGRAS!$B$2:$C$13,2,FALSE())))</f>
        <v>46073</v>
      </c>
      <c r="U68" s="58" t="str">
        <f t="shared" ref="U68:U131" si="5">IF(R68="","",IF(R68="VENDA / PEDIDO","RECOMPRA",IF(R68="SUPORTE","PÓS-VENDA",IF(R68="RELACIONAMENTO","CS",IF(OR(R68="NÃO ATENDE",R68="NÃO RESPONDE",R68="RECUSOU LIGAÇÃO"),"REATIVAÇÃO",IF(R68="PERDA / FECHOU LOJA","NUTRIÇÃO",IF(OR(R68="FOLLOW UP 7",R68="FOLLOW UP 15"),"SALVAMENTO","PROSPECÇÃO")))))))</f>
        <v>PROSPECÇÃO</v>
      </c>
      <c r="V68" s="58"/>
      <c r="W68" s="58" t="s">
        <v>147</v>
      </c>
      <c r="X68" s="58"/>
    </row>
    <row r="69" spans="1:24" x14ac:dyDescent="0.3">
      <c r="A69" s="71">
        <v>46069</v>
      </c>
      <c r="B69" s="58" t="s">
        <v>137</v>
      </c>
      <c r="C69" s="58" t="s">
        <v>489</v>
      </c>
      <c r="D69" s="58" t="s">
        <v>490</v>
      </c>
      <c r="E69" s="58" t="s">
        <v>369</v>
      </c>
      <c r="F69" s="58" t="s">
        <v>283</v>
      </c>
      <c r="G69" s="58" t="s">
        <v>79</v>
      </c>
      <c r="H69" s="58">
        <v>259</v>
      </c>
      <c r="I69" s="58" t="str">
        <f>IF(R69="","",VLOOKUP(R69,REGRAS!$B$2:$D$13,3,FALSE()))</f>
        <v>RELAC.</v>
      </c>
      <c r="J69" s="58"/>
      <c r="K69" s="58" t="str">
        <f t="shared" si="3"/>
        <v>CS</v>
      </c>
      <c r="L69" s="58" t="str">
        <f t="shared" si="4"/>
        <v>🔴</v>
      </c>
      <c r="M69" s="58"/>
      <c r="N69" s="58" t="s">
        <v>147</v>
      </c>
      <c r="O69" s="58" t="s">
        <v>146</v>
      </c>
      <c r="P69" s="58" t="s">
        <v>146</v>
      </c>
      <c r="Q69" s="58" t="s">
        <v>39</v>
      </c>
      <c r="R69" s="58" t="s">
        <v>14</v>
      </c>
      <c r="S69" s="58"/>
      <c r="T69" s="71">
        <f>IF(R69="","",IF(OR(R69="SUPORTE",R69="PERDA / FECHOU LOJA"),"SEM",A69+VLOOKUP(R69,REGRAS!$B$2:$C$13,2,FALSE())))</f>
        <v>46076</v>
      </c>
      <c r="U69" s="58" t="str">
        <f t="shared" si="5"/>
        <v>CS</v>
      </c>
      <c r="V69" s="58"/>
      <c r="W69" s="58" t="s">
        <v>146</v>
      </c>
      <c r="X69" s="58"/>
    </row>
    <row r="70" spans="1:24" x14ac:dyDescent="0.3">
      <c r="A70" s="71">
        <v>46075</v>
      </c>
      <c r="B70" s="58" t="s">
        <v>135</v>
      </c>
      <c r="C70" s="58" t="s">
        <v>491</v>
      </c>
      <c r="D70" s="58" t="s">
        <v>492</v>
      </c>
      <c r="E70" s="58" t="s">
        <v>332</v>
      </c>
      <c r="F70" s="58" t="s">
        <v>296</v>
      </c>
      <c r="G70" s="58" t="s">
        <v>77</v>
      </c>
      <c r="H70" s="58">
        <v>83</v>
      </c>
      <c r="I70" s="58" t="str">
        <f>IF(R70="","",VLOOKUP(R70,REGRAS!$B$2:$D$13,3,FALSE()))</f>
        <v>RELAC.</v>
      </c>
      <c r="J70" s="58"/>
      <c r="K70" s="58" t="str">
        <f t="shared" si="3"/>
        <v>PÓS-VENDA</v>
      </c>
      <c r="L70" s="58" t="str">
        <f t="shared" si="4"/>
        <v>🟡</v>
      </c>
      <c r="M70" s="58"/>
      <c r="N70" s="58" t="s">
        <v>146</v>
      </c>
      <c r="O70" s="58" t="s">
        <v>147</v>
      </c>
      <c r="P70" s="58" t="s">
        <v>149</v>
      </c>
      <c r="Q70" s="58" t="s">
        <v>37</v>
      </c>
      <c r="R70" s="58" t="s">
        <v>21</v>
      </c>
      <c r="S70" s="58"/>
      <c r="T70" s="71" t="str">
        <f>IF(R70="","",IF(OR(R70="SUPORTE",R70="PERDA / FECHOU LOJA"),"SEM",A70+VLOOKUP(R70,REGRAS!$B$2:$C$13,2,FALSE())))</f>
        <v>SEM</v>
      </c>
      <c r="U70" s="58" t="str">
        <f t="shared" si="5"/>
        <v>PÓS-VENDA</v>
      </c>
      <c r="V70" s="58"/>
      <c r="W70" s="58" t="s">
        <v>146</v>
      </c>
      <c r="X70" s="58"/>
    </row>
    <row r="71" spans="1:24" x14ac:dyDescent="0.3">
      <c r="A71" s="71">
        <v>46057</v>
      </c>
      <c r="B71" s="58" t="s">
        <v>141</v>
      </c>
      <c r="C71" s="58" t="s">
        <v>493</v>
      </c>
      <c r="D71" s="58" t="s">
        <v>494</v>
      </c>
      <c r="E71" s="58" t="s">
        <v>376</v>
      </c>
      <c r="F71" s="58" t="s">
        <v>292</v>
      </c>
      <c r="G71" s="58" t="s">
        <v>74</v>
      </c>
      <c r="H71" s="58">
        <v>58</v>
      </c>
      <c r="I71" s="58" t="str">
        <f>IF(R71="","",VLOOKUP(R71,REGRAS!$B$2:$D$13,3,FALSE()))</f>
        <v>RELAC.</v>
      </c>
      <c r="J71" s="58"/>
      <c r="K71" s="58" t="str">
        <f t="shared" si="3"/>
        <v>PÓS-VENDA</v>
      </c>
      <c r="L71" s="58" t="str">
        <f t="shared" si="4"/>
        <v>🟡</v>
      </c>
      <c r="M71" s="58"/>
      <c r="N71" s="58" t="s">
        <v>146</v>
      </c>
      <c r="O71" s="58" t="s">
        <v>146</v>
      </c>
      <c r="P71" s="58" t="s">
        <v>146</v>
      </c>
      <c r="Q71" s="58" t="s">
        <v>39</v>
      </c>
      <c r="R71" s="58" t="s">
        <v>21</v>
      </c>
      <c r="S71" s="58"/>
      <c r="T71" s="71" t="str">
        <f>IF(R71="","",IF(OR(R71="SUPORTE",R71="PERDA / FECHOU LOJA"),"SEM",A71+VLOOKUP(R71,REGRAS!$B$2:$C$13,2,FALSE())))</f>
        <v>SEM</v>
      </c>
      <c r="U71" s="58" t="str">
        <f t="shared" si="5"/>
        <v>PÓS-VENDA</v>
      </c>
      <c r="V71" s="58"/>
      <c r="W71" s="58" t="s">
        <v>147</v>
      </c>
      <c r="X71" s="58"/>
    </row>
    <row r="72" spans="1:24" x14ac:dyDescent="0.3">
      <c r="A72" s="71">
        <v>46075</v>
      </c>
      <c r="B72" s="58" t="s">
        <v>141</v>
      </c>
      <c r="C72" s="58" t="s">
        <v>495</v>
      </c>
      <c r="D72" s="58" t="s">
        <v>496</v>
      </c>
      <c r="E72" s="58" t="s">
        <v>346</v>
      </c>
      <c r="F72" s="58" t="s">
        <v>296</v>
      </c>
      <c r="G72" s="58" t="s">
        <v>77</v>
      </c>
      <c r="H72" s="58">
        <v>78</v>
      </c>
      <c r="I72" s="58" t="str">
        <f>IF(R72="","",VLOOKUP(R72,REGRAS!$B$2:$D$13,3,FALSE()))</f>
        <v>RELAC.</v>
      </c>
      <c r="J72" s="58"/>
      <c r="K72" s="58" t="str">
        <f t="shared" si="3"/>
        <v>SALVAMENTO</v>
      </c>
      <c r="L72" s="58" t="str">
        <f t="shared" si="4"/>
        <v>🟡</v>
      </c>
      <c r="M72" s="58"/>
      <c r="N72" s="58" t="s">
        <v>146</v>
      </c>
      <c r="O72" s="58" t="s">
        <v>147</v>
      </c>
      <c r="P72" s="58" t="s">
        <v>149</v>
      </c>
      <c r="Q72" s="58" t="s">
        <v>39</v>
      </c>
      <c r="R72" s="58" t="s">
        <v>19</v>
      </c>
      <c r="S72" s="58" t="s">
        <v>66</v>
      </c>
      <c r="T72" s="71">
        <f>IF(R72="","",IF(OR(R72="SUPORTE",R72="PERDA / FECHOU LOJA"),"SEM",A72+VLOOKUP(R72,REGRAS!$B$2:$C$13,2,FALSE())))</f>
        <v>46090</v>
      </c>
      <c r="U72" s="58" t="str">
        <f t="shared" si="5"/>
        <v>SALVAMENTO</v>
      </c>
      <c r="V72" s="58"/>
      <c r="W72" s="58" t="s">
        <v>146</v>
      </c>
      <c r="X72" s="58"/>
    </row>
    <row r="73" spans="1:24" x14ac:dyDescent="0.3">
      <c r="A73" s="71">
        <v>46077</v>
      </c>
      <c r="B73" s="58" t="s">
        <v>135</v>
      </c>
      <c r="C73" s="58" t="s">
        <v>497</v>
      </c>
      <c r="D73" s="58" t="s">
        <v>498</v>
      </c>
      <c r="E73" s="58" t="s">
        <v>332</v>
      </c>
      <c r="F73" s="58" t="s">
        <v>297</v>
      </c>
      <c r="G73" s="58" t="s">
        <v>71</v>
      </c>
      <c r="H73" s="58">
        <v>11</v>
      </c>
      <c r="I73" s="58" t="str">
        <f>IF(R73="","",VLOOKUP(R73,REGRAS!$B$2:$D$13,3,FALSE()))</f>
        <v>RELAC.</v>
      </c>
      <c r="J73" s="58"/>
      <c r="K73" s="58" t="str">
        <f t="shared" si="3"/>
        <v>SALVAMENTO</v>
      </c>
      <c r="L73" s="58" t="str">
        <f t="shared" si="4"/>
        <v>🟢</v>
      </c>
      <c r="M73" s="58"/>
      <c r="N73" s="58" t="s">
        <v>146</v>
      </c>
      <c r="O73" s="58" t="s">
        <v>146</v>
      </c>
      <c r="P73" s="58" t="s">
        <v>146</v>
      </c>
      <c r="Q73" s="58" t="s">
        <v>37</v>
      </c>
      <c r="R73" s="58" t="s">
        <v>17</v>
      </c>
      <c r="S73" s="58" t="s">
        <v>53</v>
      </c>
      <c r="T73" s="71">
        <f>IF(R73="","",IF(OR(R73="SUPORTE",R73="PERDA / FECHOU LOJA"),"SEM",A73+VLOOKUP(R73,REGRAS!$B$2:$C$13,2,FALSE())))</f>
        <v>46084</v>
      </c>
      <c r="U73" s="58" t="str">
        <f t="shared" si="5"/>
        <v>SALVAMENTO</v>
      </c>
      <c r="V73" s="58"/>
      <c r="W73" s="58" t="s">
        <v>146</v>
      </c>
      <c r="X73" s="58"/>
    </row>
    <row r="74" spans="1:24" x14ac:dyDescent="0.3">
      <c r="A74" s="71">
        <v>46078</v>
      </c>
      <c r="B74" s="58" t="s">
        <v>141</v>
      </c>
      <c r="C74" s="58" t="s">
        <v>499</v>
      </c>
      <c r="D74" s="58" t="s">
        <v>500</v>
      </c>
      <c r="E74" s="58" t="s">
        <v>346</v>
      </c>
      <c r="F74" s="58" t="s">
        <v>295</v>
      </c>
      <c r="G74" s="58" t="s">
        <v>71</v>
      </c>
      <c r="H74" s="58">
        <v>49</v>
      </c>
      <c r="I74" s="58" t="str">
        <f>IF(R74="","",VLOOKUP(R74,REGRAS!$B$2:$D$13,3,FALSE()))</f>
        <v>NÃO VENDA</v>
      </c>
      <c r="J74" s="58"/>
      <c r="K74" s="58" t="str">
        <f t="shared" si="3"/>
        <v>RECUPERAÇÃO</v>
      </c>
      <c r="L74" s="58" t="str">
        <f t="shared" si="4"/>
        <v>🟢</v>
      </c>
      <c r="M74" s="58"/>
      <c r="N74" s="58" t="s">
        <v>146</v>
      </c>
      <c r="O74" s="58" t="s">
        <v>146</v>
      </c>
      <c r="P74" s="58" t="s">
        <v>146</v>
      </c>
      <c r="Q74" s="58" t="s">
        <v>43</v>
      </c>
      <c r="R74" s="58" t="s">
        <v>26</v>
      </c>
      <c r="S74" s="58" t="s">
        <v>59</v>
      </c>
      <c r="T74" s="71">
        <f>IF(R74="","",IF(OR(R74="SUPORTE",R74="PERDA / FECHOU LOJA"),"SEM",A74+VLOOKUP(R74,REGRAS!$B$2:$C$13,2,FALSE())))</f>
        <v>46079</v>
      </c>
      <c r="U74" s="58" t="str">
        <f t="shared" si="5"/>
        <v>REATIVAÇÃO</v>
      </c>
      <c r="V74" s="58"/>
      <c r="W74" s="58" t="s">
        <v>146</v>
      </c>
      <c r="X74" s="58"/>
    </row>
    <row r="75" spans="1:24" x14ac:dyDescent="0.3">
      <c r="A75" s="71">
        <v>46077</v>
      </c>
      <c r="B75" s="58" t="s">
        <v>139</v>
      </c>
      <c r="C75" s="58" t="s">
        <v>501</v>
      </c>
      <c r="D75" s="58" t="s">
        <v>502</v>
      </c>
      <c r="E75" s="58" t="s">
        <v>366</v>
      </c>
      <c r="F75" s="58" t="s">
        <v>286</v>
      </c>
      <c r="G75" s="58" t="s">
        <v>79</v>
      </c>
      <c r="H75" s="58">
        <v>289</v>
      </c>
      <c r="I75" s="58" t="str">
        <f>IF(R75="","",VLOOKUP(R75,REGRAS!$B$2:$D$13,3,FALSE()))</f>
        <v>NÃO VENDA</v>
      </c>
      <c r="J75" s="58"/>
      <c r="K75" s="58" t="str">
        <f t="shared" si="3"/>
        <v>RECUPERAÇÃO</v>
      </c>
      <c r="L75" s="58" t="str">
        <f t="shared" si="4"/>
        <v>🔴</v>
      </c>
      <c r="M75" s="58"/>
      <c r="N75" s="58" t="s">
        <v>147</v>
      </c>
      <c r="O75" s="58" t="s">
        <v>146</v>
      </c>
      <c r="P75" s="58" t="s">
        <v>147</v>
      </c>
      <c r="Q75" s="58" t="s">
        <v>45</v>
      </c>
      <c r="R75" s="58" t="s">
        <v>26</v>
      </c>
      <c r="S75" s="58" t="s">
        <v>49</v>
      </c>
      <c r="T75" s="71">
        <f>IF(R75="","",IF(OR(R75="SUPORTE",R75="PERDA / FECHOU LOJA"),"SEM",A75+VLOOKUP(R75,REGRAS!$B$2:$C$13,2,FALSE())))</f>
        <v>46078</v>
      </c>
      <c r="U75" s="58" t="str">
        <f t="shared" si="5"/>
        <v>REATIVAÇÃO</v>
      </c>
      <c r="V75" s="58"/>
      <c r="W75" s="58" t="s">
        <v>146</v>
      </c>
      <c r="X75" s="58"/>
    </row>
    <row r="76" spans="1:24" x14ac:dyDescent="0.3">
      <c r="A76" s="71">
        <v>46068</v>
      </c>
      <c r="B76" s="58" t="s">
        <v>139</v>
      </c>
      <c r="C76" s="58" t="s">
        <v>503</v>
      </c>
      <c r="D76" s="58" t="s">
        <v>504</v>
      </c>
      <c r="E76" s="58" t="s">
        <v>332</v>
      </c>
      <c r="F76" s="58" t="s">
        <v>286</v>
      </c>
      <c r="G76" s="58" t="s">
        <v>71</v>
      </c>
      <c r="H76" s="58">
        <v>48</v>
      </c>
      <c r="I76" s="58" t="str">
        <f>IF(R76="","",VLOOKUP(R76,REGRAS!$B$2:$D$13,3,FALSE()))</f>
        <v>RELAC.</v>
      </c>
      <c r="J76" s="58"/>
      <c r="K76" s="58" t="str">
        <f t="shared" si="3"/>
        <v>CS</v>
      </c>
      <c r="L76" s="58" t="str">
        <f t="shared" si="4"/>
        <v>🟢</v>
      </c>
      <c r="M76" s="58"/>
      <c r="N76" s="58" t="s">
        <v>146</v>
      </c>
      <c r="O76" s="58" t="s">
        <v>146</v>
      </c>
      <c r="P76" s="58" t="s">
        <v>147</v>
      </c>
      <c r="Q76" s="58" t="s">
        <v>39</v>
      </c>
      <c r="R76" s="58" t="s">
        <v>14</v>
      </c>
      <c r="S76" s="58"/>
      <c r="T76" s="71">
        <f>IF(R76="","",IF(OR(R76="SUPORTE",R76="PERDA / FECHOU LOJA"),"SEM",A76+VLOOKUP(R76,REGRAS!$B$2:$C$13,2,FALSE())))</f>
        <v>46075</v>
      </c>
      <c r="U76" s="58" t="str">
        <f t="shared" si="5"/>
        <v>CS</v>
      </c>
      <c r="V76" s="58"/>
      <c r="W76" s="58" t="s">
        <v>146</v>
      </c>
      <c r="X76" s="58"/>
    </row>
    <row r="77" spans="1:24" x14ac:dyDescent="0.3">
      <c r="A77" s="71">
        <v>46060</v>
      </c>
      <c r="B77" s="58" t="s">
        <v>135</v>
      </c>
      <c r="C77" s="58" t="s">
        <v>505</v>
      </c>
      <c r="D77" s="58" t="s">
        <v>506</v>
      </c>
      <c r="E77" s="58" t="s">
        <v>332</v>
      </c>
      <c r="F77" s="58" t="s">
        <v>298</v>
      </c>
      <c r="G77" s="58" t="s">
        <v>74</v>
      </c>
      <c r="H77" s="58">
        <v>53</v>
      </c>
      <c r="I77" s="58" t="str">
        <f>IF(R77="","",VLOOKUP(R77,REGRAS!$B$2:$D$13,3,FALSE()))</f>
        <v>RELAC.</v>
      </c>
      <c r="J77" s="58"/>
      <c r="K77" s="58" t="str">
        <f t="shared" si="3"/>
        <v>PÓS-VENDA</v>
      </c>
      <c r="L77" s="58" t="str">
        <f t="shared" si="4"/>
        <v>🟡</v>
      </c>
      <c r="M77" s="58"/>
      <c r="N77" s="58" t="s">
        <v>146</v>
      </c>
      <c r="O77" s="58" t="s">
        <v>147</v>
      </c>
      <c r="P77" s="58" t="s">
        <v>149</v>
      </c>
      <c r="Q77" s="58" t="s">
        <v>39</v>
      </c>
      <c r="R77" s="58" t="s">
        <v>21</v>
      </c>
      <c r="S77" s="58"/>
      <c r="T77" s="71" t="str">
        <f>IF(R77="","",IF(OR(R77="SUPORTE",R77="PERDA / FECHOU LOJA"),"SEM",A77+VLOOKUP(R77,REGRAS!$B$2:$C$13,2,FALSE())))</f>
        <v>SEM</v>
      </c>
      <c r="U77" s="58" t="str">
        <f t="shared" si="5"/>
        <v>PÓS-VENDA</v>
      </c>
      <c r="V77" s="58"/>
      <c r="W77" s="58" t="s">
        <v>147</v>
      </c>
      <c r="X77" s="58"/>
    </row>
    <row r="78" spans="1:24" x14ac:dyDescent="0.3">
      <c r="A78" s="71">
        <v>46056</v>
      </c>
      <c r="B78" s="58" t="s">
        <v>137</v>
      </c>
      <c r="C78" s="58" t="s">
        <v>447</v>
      </c>
      <c r="D78" s="58" t="s">
        <v>507</v>
      </c>
      <c r="E78" s="58" t="s">
        <v>376</v>
      </c>
      <c r="F78" s="58" t="s">
        <v>286</v>
      </c>
      <c r="G78" s="58" t="s">
        <v>79</v>
      </c>
      <c r="H78" s="58">
        <v>165</v>
      </c>
      <c r="I78" s="58" t="str">
        <f>IF(R78="","",VLOOKUP(R78,REGRAS!$B$2:$D$13,3,FALSE()))</f>
        <v>FUNIL</v>
      </c>
      <c r="J78" s="58"/>
      <c r="K78" s="58" t="str">
        <f t="shared" si="3"/>
        <v>EM ATENDIMENTO</v>
      </c>
      <c r="L78" s="58" t="str">
        <f t="shared" si="4"/>
        <v>🔴</v>
      </c>
      <c r="M78" s="58"/>
      <c r="N78" s="58" t="s">
        <v>146</v>
      </c>
      <c r="O78" s="58" t="s">
        <v>147</v>
      </c>
      <c r="P78" s="58" t="s">
        <v>149</v>
      </c>
      <c r="Q78" s="58" t="s">
        <v>33</v>
      </c>
      <c r="R78" s="58" t="s">
        <v>5</v>
      </c>
      <c r="S78" s="58"/>
      <c r="T78" s="71">
        <f>IF(R78="","",IF(OR(R78="SUPORTE",R78="PERDA / FECHOU LOJA"),"SEM",A78+VLOOKUP(R78,REGRAS!$B$2:$C$13,2,FALSE())))</f>
        <v>46058</v>
      </c>
      <c r="U78" s="58" t="str">
        <f t="shared" si="5"/>
        <v>PROSPECÇÃO</v>
      </c>
      <c r="V78" s="58"/>
      <c r="W78" s="58" t="s">
        <v>146</v>
      </c>
      <c r="X78" s="58"/>
    </row>
    <row r="79" spans="1:24" x14ac:dyDescent="0.3">
      <c r="A79" s="71">
        <v>46080</v>
      </c>
      <c r="B79" s="58" t="s">
        <v>139</v>
      </c>
      <c r="C79" s="58" t="s">
        <v>508</v>
      </c>
      <c r="D79" s="58" t="s">
        <v>509</v>
      </c>
      <c r="E79" s="58" t="s">
        <v>335</v>
      </c>
      <c r="F79" s="58" t="s">
        <v>298</v>
      </c>
      <c r="G79" s="58" t="s">
        <v>74</v>
      </c>
      <c r="H79" s="58">
        <v>55</v>
      </c>
      <c r="I79" s="58" t="str">
        <f>IF(R79="","",VLOOKUP(R79,REGRAS!$B$2:$D$13,3,FALSE()))</f>
        <v>NÃO VENDA</v>
      </c>
      <c r="J79" s="58"/>
      <c r="K79" s="58" t="str">
        <f t="shared" si="3"/>
        <v>RECUPERAÇÃO</v>
      </c>
      <c r="L79" s="58" t="str">
        <f t="shared" si="4"/>
        <v>🟡</v>
      </c>
      <c r="M79" s="58"/>
      <c r="N79" s="58" t="s">
        <v>147</v>
      </c>
      <c r="O79" s="58" t="s">
        <v>146</v>
      </c>
      <c r="P79" s="58" t="s">
        <v>147</v>
      </c>
      <c r="Q79" s="58" t="s">
        <v>41</v>
      </c>
      <c r="R79" s="58" t="s">
        <v>23</v>
      </c>
      <c r="S79" s="58" t="s">
        <v>57</v>
      </c>
      <c r="T79" s="71">
        <f>IF(R79="","",IF(OR(R79="SUPORTE",R79="PERDA / FECHOU LOJA"),"SEM",A79+VLOOKUP(R79,REGRAS!$B$2:$C$13,2,FALSE())))</f>
        <v>46081</v>
      </c>
      <c r="U79" s="58" t="str">
        <f t="shared" si="5"/>
        <v>REATIVAÇÃO</v>
      </c>
      <c r="V79" s="58"/>
      <c r="W79" s="58" t="s">
        <v>146</v>
      </c>
      <c r="X79" s="58"/>
    </row>
    <row r="80" spans="1:24" x14ac:dyDescent="0.3">
      <c r="A80" s="71">
        <v>46078</v>
      </c>
      <c r="B80" s="58" t="s">
        <v>135</v>
      </c>
      <c r="C80" s="58" t="s">
        <v>510</v>
      </c>
      <c r="D80" s="58" t="s">
        <v>511</v>
      </c>
      <c r="E80" s="58" t="s">
        <v>335</v>
      </c>
      <c r="F80" s="58" t="s">
        <v>292</v>
      </c>
      <c r="G80" s="58" t="s">
        <v>79</v>
      </c>
      <c r="H80" s="58">
        <v>136</v>
      </c>
      <c r="I80" s="58" t="str">
        <f>IF(R80="","",VLOOKUP(R80,REGRAS!$B$2:$D$13,3,FALSE()))</f>
        <v>NÃO VENDA</v>
      </c>
      <c r="J80" s="58"/>
      <c r="K80" s="58" t="str">
        <f t="shared" si="3"/>
        <v>RECUPERAÇÃO</v>
      </c>
      <c r="L80" s="58" t="str">
        <f t="shared" si="4"/>
        <v>🔴</v>
      </c>
      <c r="M80" s="58"/>
      <c r="N80" s="58" t="s">
        <v>146</v>
      </c>
      <c r="O80" s="58" t="s">
        <v>147</v>
      </c>
      <c r="P80" s="58" t="s">
        <v>149</v>
      </c>
      <c r="Q80" s="58" t="s">
        <v>45</v>
      </c>
      <c r="R80" s="58" t="s">
        <v>26</v>
      </c>
      <c r="S80" s="58" t="s">
        <v>57</v>
      </c>
      <c r="T80" s="71">
        <f>IF(R80="","",IF(OR(R80="SUPORTE",R80="PERDA / FECHOU LOJA"),"SEM",A80+VLOOKUP(R80,REGRAS!$B$2:$C$13,2,FALSE())))</f>
        <v>46079</v>
      </c>
      <c r="U80" s="58" t="str">
        <f t="shared" si="5"/>
        <v>REATIVAÇÃO</v>
      </c>
      <c r="V80" s="58"/>
      <c r="W80" s="58" t="s">
        <v>147</v>
      </c>
      <c r="X80" s="58"/>
    </row>
    <row r="81" spans="1:24" x14ac:dyDescent="0.3">
      <c r="A81" s="71">
        <v>46072</v>
      </c>
      <c r="B81" s="58" t="s">
        <v>139</v>
      </c>
      <c r="C81" s="58" t="s">
        <v>512</v>
      </c>
      <c r="D81" s="58" t="s">
        <v>513</v>
      </c>
      <c r="E81" s="58" t="s">
        <v>376</v>
      </c>
      <c r="F81" s="58" t="s">
        <v>297</v>
      </c>
      <c r="G81" s="58" t="s">
        <v>79</v>
      </c>
      <c r="H81" s="58">
        <v>242</v>
      </c>
      <c r="I81" s="58" t="str">
        <f>IF(R81="","",VLOOKUP(R81,REGRAS!$B$2:$D$13,3,FALSE()))</f>
        <v>NÃO VENDA</v>
      </c>
      <c r="J81" s="58"/>
      <c r="K81" s="58" t="str">
        <f t="shared" si="3"/>
        <v>RECUPERAÇÃO</v>
      </c>
      <c r="L81" s="58" t="str">
        <f t="shared" si="4"/>
        <v>🔴</v>
      </c>
      <c r="M81" s="58"/>
      <c r="N81" s="58" t="s">
        <v>146</v>
      </c>
      <c r="O81" s="58" t="s">
        <v>147</v>
      </c>
      <c r="P81" s="58" t="s">
        <v>149</v>
      </c>
      <c r="Q81" s="58" t="s">
        <v>33</v>
      </c>
      <c r="R81" s="58" t="s">
        <v>23</v>
      </c>
      <c r="S81" s="58" t="s">
        <v>49</v>
      </c>
      <c r="T81" s="71">
        <f>IF(R81="","",IF(OR(R81="SUPORTE",R81="PERDA / FECHOU LOJA"),"SEM",A81+VLOOKUP(R81,REGRAS!$B$2:$C$13,2,FALSE())))</f>
        <v>46073</v>
      </c>
      <c r="U81" s="58" t="str">
        <f t="shared" si="5"/>
        <v>REATIVAÇÃO</v>
      </c>
      <c r="V81" s="58"/>
      <c r="W81" s="58" t="s">
        <v>147</v>
      </c>
      <c r="X81" s="58"/>
    </row>
    <row r="82" spans="1:24" x14ac:dyDescent="0.3">
      <c r="A82" s="71">
        <v>46056</v>
      </c>
      <c r="B82" s="58" t="s">
        <v>139</v>
      </c>
      <c r="C82" s="58" t="s">
        <v>514</v>
      </c>
      <c r="D82" s="58" t="s">
        <v>515</v>
      </c>
      <c r="E82" s="58" t="s">
        <v>335</v>
      </c>
      <c r="F82" s="58" t="s">
        <v>292</v>
      </c>
      <c r="G82" s="58" t="s">
        <v>82</v>
      </c>
      <c r="H82" s="58"/>
      <c r="I82" s="58" t="str">
        <f>IF(R82="","",VLOOKUP(R82,REGRAS!$B$2:$D$13,3,FALSE()))</f>
        <v>RELAC.</v>
      </c>
      <c r="J82" s="58"/>
      <c r="K82" s="58" t="str">
        <f t="shared" si="3"/>
        <v>PÓS-VENDA</v>
      </c>
      <c r="L82" s="58" t="str">
        <f t="shared" si="4"/>
        <v/>
      </c>
      <c r="M82" s="58"/>
      <c r="N82" s="58" t="s">
        <v>146</v>
      </c>
      <c r="O82" s="58" t="s">
        <v>146</v>
      </c>
      <c r="P82" s="58" t="s">
        <v>146</v>
      </c>
      <c r="Q82" s="58" t="s">
        <v>39</v>
      </c>
      <c r="R82" s="58" t="s">
        <v>21</v>
      </c>
      <c r="S82" s="58"/>
      <c r="T82" s="71" t="str">
        <f>IF(R82="","",IF(OR(R82="SUPORTE",R82="PERDA / FECHOU LOJA"),"SEM",A82+VLOOKUP(R82,REGRAS!$B$2:$C$13,2,FALSE())))</f>
        <v>SEM</v>
      </c>
      <c r="U82" s="58" t="str">
        <f t="shared" si="5"/>
        <v>PÓS-VENDA</v>
      </c>
      <c r="V82" s="58"/>
      <c r="W82" s="58" t="s">
        <v>146</v>
      </c>
      <c r="X82" s="58"/>
    </row>
    <row r="83" spans="1:24" x14ac:dyDescent="0.3">
      <c r="A83" s="71">
        <v>46055</v>
      </c>
      <c r="B83" s="58" t="s">
        <v>137</v>
      </c>
      <c r="C83" s="58" t="s">
        <v>516</v>
      </c>
      <c r="D83" s="58" t="s">
        <v>517</v>
      </c>
      <c r="E83" s="58" t="s">
        <v>332</v>
      </c>
      <c r="F83" s="58" t="s">
        <v>286</v>
      </c>
      <c r="G83" s="58" t="s">
        <v>74</v>
      </c>
      <c r="H83" s="58">
        <v>59</v>
      </c>
      <c r="I83" s="58" t="str">
        <f>IF(R83="","",VLOOKUP(R83,REGRAS!$B$2:$D$13,3,FALSE()))</f>
        <v>RELAC.</v>
      </c>
      <c r="J83" s="58"/>
      <c r="K83" s="58" t="str">
        <f t="shared" si="3"/>
        <v>CS</v>
      </c>
      <c r="L83" s="58" t="str">
        <f t="shared" si="4"/>
        <v>🟡</v>
      </c>
      <c r="M83" s="58"/>
      <c r="N83" s="58" t="s">
        <v>147</v>
      </c>
      <c r="O83" s="58" t="s">
        <v>146</v>
      </c>
      <c r="P83" s="58" t="s">
        <v>147</v>
      </c>
      <c r="Q83" s="58" t="s">
        <v>39</v>
      </c>
      <c r="R83" s="58" t="s">
        <v>14</v>
      </c>
      <c r="S83" s="58"/>
      <c r="T83" s="71">
        <f>IF(R83="","",IF(OR(R83="SUPORTE",R83="PERDA / FECHOU LOJA"),"SEM",A83+VLOOKUP(R83,REGRAS!$B$2:$C$13,2,FALSE())))</f>
        <v>46062</v>
      </c>
      <c r="U83" s="58" t="str">
        <f t="shared" si="5"/>
        <v>CS</v>
      </c>
      <c r="V83" s="58"/>
      <c r="W83" s="58" t="s">
        <v>147</v>
      </c>
      <c r="X83" s="58"/>
    </row>
    <row r="84" spans="1:24" x14ac:dyDescent="0.3">
      <c r="A84" s="71">
        <v>46055</v>
      </c>
      <c r="B84" s="58" t="s">
        <v>141</v>
      </c>
      <c r="C84" s="58" t="s">
        <v>518</v>
      </c>
      <c r="D84" s="58" t="s">
        <v>519</v>
      </c>
      <c r="E84" s="58" t="s">
        <v>366</v>
      </c>
      <c r="F84" s="58" t="s">
        <v>292</v>
      </c>
      <c r="G84" s="58" t="s">
        <v>85</v>
      </c>
      <c r="H84" s="58"/>
      <c r="I84" s="58" t="str">
        <f>IF(R84="","",VLOOKUP(R84,REGRAS!$B$2:$D$13,3,FALSE()))</f>
        <v>FUNIL</v>
      </c>
      <c r="J84" s="58"/>
      <c r="K84" s="58" t="str">
        <f t="shared" si="3"/>
        <v>RECOMPRA</v>
      </c>
      <c r="L84" s="58" t="str">
        <f t="shared" si="4"/>
        <v/>
      </c>
      <c r="M84" s="58"/>
      <c r="N84" s="58" t="s">
        <v>146</v>
      </c>
      <c r="O84" s="58" t="s">
        <v>147</v>
      </c>
      <c r="P84" s="58" t="s">
        <v>149</v>
      </c>
      <c r="Q84" s="58" t="s">
        <v>39</v>
      </c>
      <c r="R84" s="58" t="s">
        <v>12</v>
      </c>
      <c r="S84" s="58"/>
      <c r="T84" s="71">
        <f>IF(R84="","",IF(OR(R84="SUPORTE",R84="PERDA / FECHOU LOJA"),"SEM",A84+VLOOKUP(R84,REGRAS!$B$2:$C$13,2,FALSE())))</f>
        <v>46100</v>
      </c>
      <c r="U84" s="58" t="str">
        <f t="shared" si="5"/>
        <v>RECOMPRA</v>
      </c>
      <c r="V84" s="58"/>
      <c r="W84" s="58" t="s">
        <v>147</v>
      </c>
      <c r="X84" s="58"/>
    </row>
    <row r="85" spans="1:24" x14ac:dyDescent="0.3">
      <c r="A85" s="71">
        <v>46063</v>
      </c>
      <c r="B85" s="58" t="s">
        <v>141</v>
      </c>
      <c r="C85" s="58" t="s">
        <v>520</v>
      </c>
      <c r="D85" s="58" t="s">
        <v>521</v>
      </c>
      <c r="E85" s="58" t="s">
        <v>366</v>
      </c>
      <c r="F85" s="58" t="s">
        <v>292</v>
      </c>
      <c r="G85" s="58" t="s">
        <v>82</v>
      </c>
      <c r="H85" s="58"/>
      <c r="I85" s="58" t="str">
        <f>IF(R85="","",VLOOKUP(R85,REGRAS!$B$2:$D$13,3,FALSE()))</f>
        <v>NÃO VENDA</v>
      </c>
      <c r="J85" s="58"/>
      <c r="K85" s="58" t="str">
        <f t="shared" si="3"/>
        <v>NUTRIÇÃO</v>
      </c>
      <c r="L85" s="58" t="str">
        <f t="shared" si="4"/>
        <v/>
      </c>
      <c r="M85" s="58"/>
      <c r="N85" s="58" t="s">
        <v>147</v>
      </c>
      <c r="O85" s="58" t="s">
        <v>147</v>
      </c>
      <c r="P85" s="58" t="s">
        <v>149</v>
      </c>
      <c r="Q85" s="58" t="s">
        <v>41</v>
      </c>
      <c r="R85" s="58" t="s">
        <v>30</v>
      </c>
      <c r="S85" s="58" t="s">
        <v>55</v>
      </c>
      <c r="T85" s="71" t="str">
        <f>IF(R85="","",IF(OR(R85="SUPORTE",R85="PERDA / FECHOU LOJA"),"SEM",A85+VLOOKUP(R85,REGRAS!$B$2:$C$13,2,FALSE())))</f>
        <v>SEM</v>
      </c>
      <c r="U85" s="58" t="str">
        <f t="shared" si="5"/>
        <v>NUTRIÇÃO</v>
      </c>
      <c r="V85" s="58"/>
      <c r="W85" s="58" t="s">
        <v>146</v>
      </c>
      <c r="X85" s="58"/>
    </row>
    <row r="86" spans="1:24" x14ac:dyDescent="0.3">
      <c r="A86" s="71">
        <v>46067</v>
      </c>
      <c r="B86" s="58" t="s">
        <v>137</v>
      </c>
      <c r="C86" s="58" t="s">
        <v>522</v>
      </c>
      <c r="D86" s="58" t="s">
        <v>523</v>
      </c>
      <c r="E86" s="58" t="s">
        <v>332</v>
      </c>
      <c r="F86" s="58" t="s">
        <v>292</v>
      </c>
      <c r="G86" s="58" t="s">
        <v>71</v>
      </c>
      <c r="H86" s="58">
        <v>23</v>
      </c>
      <c r="I86" s="58" t="str">
        <f>IF(R86="","",VLOOKUP(R86,REGRAS!$B$2:$D$13,3,FALSE()))</f>
        <v>RELAC.</v>
      </c>
      <c r="J86" s="58"/>
      <c r="K86" s="58" t="str">
        <f t="shared" si="3"/>
        <v>CS</v>
      </c>
      <c r="L86" s="58" t="str">
        <f t="shared" si="4"/>
        <v>🟢</v>
      </c>
      <c r="M86" s="58"/>
      <c r="N86" s="58" t="s">
        <v>147</v>
      </c>
      <c r="O86" s="58" t="s">
        <v>147</v>
      </c>
      <c r="P86" s="58" t="s">
        <v>149</v>
      </c>
      <c r="Q86" s="58" t="s">
        <v>43</v>
      </c>
      <c r="R86" s="58" t="s">
        <v>14</v>
      </c>
      <c r="S86" s="58"/>
      <c r="T86" s="71">
        <f>IF(R86="","",IF(OR(R86="SUPORTE",R86="PERDA / FECHOU LOJA"),"SEM",A86+VLOOKUP(R86,REGRAS!$B$2:$C$13,2,FALSE())))</f>
        <v>46074</v>
      </c>
      <c r="U86" s="58" t="str">
        <f t="shared" si="5"/>
        <v>CS</v>
      </c>
      <c r="V86" s="58"/>
      <c r="W86" s="58" t="s">
        <v>147</v>
      </c>
      <c r="X86" s="58"/>
    </row>
    <row r="87" spans="1:24" x14ac:dyDescent="0.3">
      <c r="A87" s="71">
        <v>46055</v>
      </c>
      <c r="B87" s="58" t="s">
        <v>139</v>
      </c>
      <c r="C87" s="58" t="s">
        <v>524</v>
      </c>
      <c r="D87" s="58" t="s">
        <v>525</v>
      </c>
      <c r="E87" s="58" t="s">
        <v>346</v>
      </c>
      <c r="F87" s="58" t="s">
        <v>292</v>
      </c>
      <c r="G87" s="58" t="s">
        <v>82</v>
      </c>
      <c r="H87" s="58"/>
      <c r="I87" s="58" t="str">
        <f>IF(R87="","",VLOOKUP(R87,REGRAS!$B$2:$D$13,3,FALSE()))</f>
        <v>FUNIL</v>
      </c>
      <c r="J87" s="58"/>
      <c r="K87" s="58" t="str">
        <f t="shared" si="3"/>
        <v>PROSPECÇÃO</v>
      </c>
      <c r="L87" s="58" t="str">
        <f t="shared" si="4"/>
        <v/>
      </c>
      <c r="M87" s="58"/>
      <c r="N87" s="58" t="s">
        <v>146</v>
      </c>
      <c r="O87" s="58" t="s">
        <v>147</v>
      </c>
      <c r="P87" s="58" t="s">
        <v>149</v>
      </c>
      <c r="Q87" s="58" t="s">
        <v>35</v>
      </c>
      <c r="R87" s="58" t="s">
        <v>8</v>
      </c>
      <c r="S87" s="58"/>
      <c r="T87" s="71">
        <f>IF(R87="","",IF(OR(R87="SUPORTE",R87="PERDA / FECHOU LOJA"),"SEM",A87+VLOOKUP(R87,REGRAS!$B$2:$C$13,2,FALSE())))</f>
        <v>46056</v>
      </c>
      <c r="U87" s="58" t="str">
        <f t="shared" si="5"/>
        <v>PROSPECÇÃO</v>
      </c>
      <c r="V87" s="58"/>
      <c r="W87" s="58" t="s">
        <v>146</v>
      </c>
      <c r="X87" s="58"/>
    </row>
    <row r="88" spans="1:24" x14ac:dyDescent="0.3">
      <c r="A88" s="71">
        <v>46068</v>
      </c>
      <c r="B88" s="58" t="s">
        <v>139</v>
      </c>
      <c r="C88" s="58" t="s">
        <v>526</v>
      </c>
      <c r="D88" s="58" t="s">
        <v>527</v>
      </c>
      <c r="E88" s="58" t="s">
        <v>366</v>
      </c>
      <c r="F88" s="58" t="s">
        <v>292</v>
      </c>
      <c r="G88" s="58" t="s">
        <v>85</v>
      </c>
      <c r="H88" s="58"/>
      <c r="I88" s="58" t="str">
        <f>IF(R88="","",VLOOKUP(R88,REGRAS!$B$2:$D$13,3,FALSE()))</f>
        <v>FUNIL</v>
      </c>
      <c r="J88" s="58"/>
      <c r="K88" s="58" t="str">
        <f t="shared" si="3"/>
        <v>PROSPECÇÃO</v>
      </c>
      <c r="L88" s="58" t="str">
        <f t="shared" si="4"/>
        <v/>
      </c>
      <c r="M88" s="58"/>
      <c r="N88" s="58" t="s">
        <v>146</v>
      </c>
      <c r="O88" s="58" t="s">
        <v>147</v>
      </c>
      <c r="P88" s="58" t="s">
        <v>149</v>
      </c>
      <c r="Q88" s="58" t="s">
        <v>39</v>
      </c>
      <c r="R88" s="58" t="s">
        <v>8</v>
      </c>
      <c r="S88" s="58"/>
      <c r="T88" s="71">
        <f>IF(R88="","",IF(OR(R88="SUPORTE",R88="PERDA / FECHOU LOJA"),"SEM",A88+VLOOKUP(R88,REGRAS!$B$2:$C$13,2,FALSE())))</f>
        <v>46069</v>
      </c>
      <c r="U88" s="58" t="str">
        <f t="shared" si="5"/>
        <v>PROSPECÇÃO</v>
      </c>
      <c r="V88" s="58"/>
      <c r="W88" s="58" t="s">
        <v>147</v>
      </c>
      <c r="X88" s="58"/>
    </row>
    <row r="89" spans="1:24" x14ac:dyDescent="0.3">
      <c r="A89" s="71">
        <v>46080</v>
      </c>
      <c r="B89" s="58" t="s">
        <v>135</v>
      </c>
      <c r="C89" s="58" t="s">
        <v>528</v>
      </c>
      <c r="D89" s="58" t="s">
        <v>529</v>
      </c>
      <c r="E89" s="58" t="s">
        <v>335</v>
      </c>
      <c r="F89" s="58" t="s">
        <v>283</v>
      </c>
      <c r="G89" s="58" t="s">
        <v>82</v>
      </c>
      <c r="H89" s="58"/>
      <c r="I89" s="58" t="str">
        <f>IF(R89="","",VLOOKUP(R89,REGRAS!$B$2:$D$13,3,FALSE()))</f>
        <v>RELAC.</v>
      </c>
      <c r="J89" s="58"/>
      <c r="K89" s="58" t="str">
        <f t="shared" si="3"/>
        <v>CS</v>
      </c>
      <c r="L89" s="58" t="str">
        <f t="shared" si="4"/>
        <v/>
      </c>
      <c r="M89" s="58"/>
      <c r="N89" s="58" t="s">
        <v>147</v>
      </c>
      <c r="O89" s="58" t="s">
        <v>146</v>
      </c>
      <c r="P89" s="58" t="s">
        <v>147</v>
      </c>
      <c r="Q89" s="58" t="s">
        <v>43</v>
      </c>
      <c r="R89" s="58" t="s">
        <v>14</v>
      </c>
      <c r="S89" s="58"/>
      <c r="T89" s="71">
        <f>IF(R89="","",IF(OR(R89="SUPORTE",R89="PERDA / FECHOU LOJA"),"SEM",A89+VLOOKUP(R89,REGRAS!$B$2:$C$13,2,FALSE())))</f>
        <v>46087</v>
      </c>
      <c r="U89" s="58" t="str">
        <f t="shared" si="5"/>
        <v>CS</v>
      </c>
      <c r="V89" s="58"/>
      <c r="W89" s="58" t="s">
        <v>146</v>
      </c>
      <c r="X89" s="58"/>
    </row>
    <row r="90" spans="1:24" x14ac:dyDescent="0.3">
      <c r="A90" s="71">
        <v>46067</v>
      </c>
      <c r="B90" s="58" t="s">
        <v>135</v>
      </c>
      <c r="C90" s="58" t="s">
        <v>530</v>
      </c>
      <c r="D90" s="58" t="s">
        <v>531</v>
      </c>
      <c r="E90" s="58" t="s">
        <v>376</v>
      </c>
      <c r="F90" s="58" t="s">
        <v>289</v>
      </c>
      <c r="G90" s="58" t="s">
        <v>85</v>
      </c>
      <c r="H90" s="58"/>
      <c r="I90" s="58" t="str">
        <f>IF(R90="","",VLOOKUP(R90,REGRAS!$B$2:$D$13,3,FALSE()))</f>
        <v>FUNIL</v>
      </c>
      <c r="J90" s="58"/>
      <c r="K90" s="58" t="str">
        <f t="shared" si="3"/>
        <v>RECOMPRA</v>
      </c>
      <c r="L90" s="58" t="str">
        <f t="shared" si="4"/>
        <v/>
      </c>
      <c r="M90" s="58"/>
      <c r="N90" s="58" t="s">
        <v>147</v>
      </c>
      <c r="O90" s="58" t="s">
        <v>147</v>
      </c>
      <c r="P90" s="58" t="s">
        <v>149</v>
      </c>
      <c r="Q90" s="58" t="s">
        <v>39</v>
      </c>
      <c r="R90" s="58" t="s">
        <v>12</v>
      </c>
      <c r="S90" s="58"/>
      <c r="T90" s="71">
        <f>IF(R90="","",IF(OR(R90="SUPORTE",R90="PERDA / FECHOU LOJA"),"SEM",A90+VLOOKUP(R90,REGRAS!$B$2:$C$13,2,FALSE())))</f>
        <v>46112</v>
      </c>
      <c r="U90" s="58" t="str">
        <f t="shared" si="5"/>
        <v>RECOMPRA</v>
      </c>
      <c r="V90" s="58"/>
      <c r="W90" s="58" t="s">
        <v>146</v>
      </c>
      <c r="X90" s="58"/>
    </row>
    <row r="91" spans="1:24" x14ac:dyDescent="0.3">
      <c r="A91" s="71">
        <v>46079</v>
      </c>
      <c r="B91" s="58" t="s">
        <v>135</v>
      </c>
      <c r="C91" s="58" t="s">
        <v>532</v>
      </c>
      <c r="D91" s="58" t="s">
        <v>533</v>
      </c>
      <c r="E91" s="58" t="s">
        <v>376</v>
      </c>
      <c r="F91" s="58" t="s">
        <v>283</v>
      </c>
      <c r="G91" s="58" t="s">
        <v>71</v>
      </c>
      <c r="H91" s="58">
        <v>21</v>
      </c>
      <c r="I91" s="58" t="str">
        <f>IF(R91="","",VLOOKUP(R91,REGRAS!$B$2:$D$13,3,FALSE()))</f>
        <v>FUNIL</v>
      </c>
      <c r="J91" s="58"/>
      <c r="K91" s="58" t="str">
        <f t="shared" si="3"/>
        <v>EM ATENDIMENTO</v>
      </c>
      <c r="L91" s="58" t="str">
        <f t="shared" si="4"/>
        <v>🟢</v>
      </c>
      <c r="M91" s="58"/>
      <c r="N91" s="58" t="s">
        <v>147</v>
      </c>
      <c r="O91" s="58" t="s">
        <v>147</v>
      </c>
      <c r="P91" s="58" t="s">
        <v>149</v>
      </c>
      <c r="Q91" s="58" t="s">
        <v>35</v>
      </c>
      <c r="R91" s="58" t="s">
        <v>5</v>
      </c>
      <c r="S91" s="58"/>
      <c r="T91" s="71">
        <f>IF(R91="","",IF(OR(R91="SUPORTE",R91="PERDA / FECHOU LOJA"),"SEM",A91+VLOOKUP(R91,REGRAS!$B$2:$C$13,2,FALSE())))</f>
        <v>46081</v>
      </c>
      <c r="U91" s="58" t="str">
        <f t="shared" si="5"/>
        <v>PROSPECÇÃO</v>
      </c>
      <c r="V91" s="58"/>
      <c r="W91" s="58" t="s">
        <v>146</v>
      </c>
      <c r="X91" s="58"/>
    </row>
    <row r="92" spans="1:24" x14ac:dyDescent="0.3">
      <c r="A92" s="71">
        <v>46078</v>
      </c>
      <c r="B92" s="58" t="s">
        <v>135</v>
      </c>
      <c r="C92" s="58" t="s">
        <v>534</v>
      </c>
      <c r="D92" s="58" t="s">
        <v>535</v>
      </c>
      <c r="E92" s="58" t="s">
        <v>332</v>
      </c>
      <c r="F92" s="58" t="s">
        <v>292</v>
      </c>
      <c r="G92" s="58" t="s">
        <v>77</v>
      </c>
      <c r="H92" s="58">
        <v>61</v>
      </c>
      <c r="I92" s="58" t="str">
        <f>IF(R92="","",VLOOKUP(R92,REGRAS!$B$2:$D$13,3,FALSE()))</f>
        <v>NÃO VENDA</v>
      </c>
      <c r="J92" s="58"/>
      <c r="K92" s="58" t="str">
        <f t="shared" si="3"/>
        <v>RECUPERAÇÃO</v>
      </c>
      <c r="L92" s="58" t="str">
        <f t="shared" si="4"/>
        <v>🟡</v>
      </c>
      <c r="M92" s="58"/>
      <c r="N92" s="58" t="s">
        <v>147</v>
      </c>
      <c r="O92" s="58" t="s">
        <v>146</v>
      </c>
      <c r="P92" s="58" t="s">
        <v>146</v>
      </c>
      <c r="Q92" s="58" t="s">
        <v>41</v>
      </c>
      <c r="R92" s="58" t="s">
        <v>28</v>
      </c>
      <c r="S92" s="58" t="s">
        <v>51</v>
      </c>
      <c r="T92" s="71">
        <f>IF(R92="","",IF(OR(R92="SUPORTE",R92="PERDA / FECHOU LOJA"),"SEM",A92+VLOOKUP(R92,REGRAS!$B$2:$C$13,2,FALSE())))</f>
        <v>46080</v>
      </c>
      <c r="U92" s="58" t="str">
        <f t="shared" si="5"/>
        <v>REATIVAÇÃO</v>
      </c>
      <c r="V92" s="58"/>
      <c r="W92" s="58" t="s">
        <v>146</v>
      </c>
      <c r="X92" s="58"/>
    </row>
    <row r="93" spans="1:24" x14ac:dyDescent="0.3">
      <c r="A93" s="71">
        <v>46059</v>
      </c>
      <c r="B93" s="58" t="s">
        <v>139</v>
      </c>
      <c r="C93" s="58" t="s">
        <v>536</v>
      </c>
      <c r="D93" s="58" t="s">
        <v>537</v>
      </c>
      <c r="E93" s="58" t="s">
        <v>346</v>
      </c>
      <c r="F93" s="58" t="s">
        <v>298</v>
      </c>
      <c r="G93" s="58" t="s">
        <v>71</v>
      </c>
      <c r="H93" s="58">
        <v>35</v>
      </c>
      <c r="I93" s="58" t="str">
        <f>IF(R93="","",VLOOKUP(R93,REGRAS!$B$2:$D$13,3,FALSE()))</f>
        <v>FUNIL</v>
      </c>
      <c r="J93" s="58"/>
      <c r="K93" s="58" t="str">
        <f t="shared" si="3"/>
        <v>PROSPECÇÃO</v>
      </c>
      <c r="L93" s="58" t="str">
        <f t="shared" si="4"/>
        <v>🟢</v>
      </c>
      <c r="M93" s="58"/>
      <c r="N93" s="58" t="s">
        <v>146</v>
      </c>
      <c r="O93" s="58" t="s">
        <v>147</v>
      </c>
      <c r="P93" s="58" t="s">
        <v>149</v>
      </c>
      <c r="Q93" s="58" t="s">
        <v>33</v>
      </c>
      <c r="R93" s="58" t="s">
        <v>10</v>
      </c>
      <c r="S93" s="58"/>
      <c r="T93" s="71">
        <f>IF(R93="","",IF(OR(R93="SUPORTE",R93="PERDA / FECHOU LOJA"),"SEM",A93+VLOOKUP(R93,REGRAS!$B$2:$C$13,2,FALSE())))</f>
        <v>46061</v>
      </c>
      <c r="U93" s="58" t="str">
        <f t="shared" si="5"/>
        <v>PROSPECÇÃO</v>
      </c>
      <c r="V93" s="58"/>
      <c r="W93" s="58" t="s">
        <v>146</v>
      </c>
      <c r="X93" s="58"/>
    </row>
    <row r="94" spans="1:24" x14ac:dyDescent="0.3">
      <c r="A94" s="71">
        <v>46056</v>
      </c>
      <c r="B94" s="58" t="s">
        <v>135</v>
      </c>
      <c r="C94" s="58" t="s">
        <v>538</v>
      </c>
      <c r="D94" s="58" t="s">
        <v>539</v>
      </c>
      <c r="E94" s="58" t="s">
        <v>332</v>
      </c>
      <c r="F94" s="58" t="s">
        <v>296</v>
      </c>
      <c r="G94" s="58" t="s">
        <v>82</v>
      </c>
      <c r="H94" s="58"/>
      <c r="I94" s="58" t="str">
        <f>IF(R94="","",VLOOKUP(R94,REGRAS!$B$2:$D$13,3,FALSE()))</f>
        <v>NÃO VENDA</v>
      </c>
      <c r="J94" s="58"/>
      <c r="K94" s="58" t="str">
        <f t="shared" si="3"/>
        <v>RECUPERAÇÃO</v>
      </c>
      <c r="L94" s="58" t="str">
        <f t="shared" si="4"/>
        <v/>
      </c>
      <c r="M94" s="58"/>
      <c r="N94" s="58" t="s">
        <v>146</v>
      </c>
      <c r="O94" s="58" t="s">
        <v>147</v>
      </c>
      <c r="P94" s="58" t="s">
        <v>149</v>
      </c>
      <c r="Q94" s="58" t="s">
        <v>35</v>
      </c>
      <c r="R94" s="58" t="s">
        <v>23</v>
      </c>
      <c r="S94" s="58" t="s">
        <v>57</v>
      </c>
      <c r="T94" s="71">
        <f>IF(R94="","",IF(OR(R94="SUPORTE",R94="PERDA / FECHOU LOJA"),"SEM",A94+VLOOKUP(R94,REGRAS!$B$2:$C$13,2,FALSE())))</f>
        <v>46057</v>
      </c>
      <c r="U94" s="58" t="str">
        <f t="shared" si="5"/>
        <v>REATIVAÇÃO</v>
      </c>
      <c r="V94" s="58"/>
      <c r="W94" s="58" t="s">
        <v>147</v>
      </c>
      <c r="X94" s="58"/>
    </row>
    <row r="95" spans="1:24" x14ac:dyDescent="0.3">
      <c r="A95" s="71">
        <v>46056</v>
      </c>
      <c r="B95" s="58" t="s">
        <v>139</v>
      </c>
      <c r="C95" s="58" t="s">
        <v>540</v>
      </c>
      <c r="D95" s="58" t="s">
        <v>541</v>
      </c>
      <c r="E95" s="58" t="s">
        <v>366</v>
      </c>
      <c r="F95" s="58" t="s">
        <v>295</v>
      </c>
      <c r="G95" s="58" t="s">
        <v>74</v>
      </c>
      <c r="H95" s="58">
        <v>59</v>
      </c>
      <c r="I95" s="58" t="str">
        <f>IF(R95="","",VLOOKUP(R95,REGRAS!$B$2:$D$13,3,FALSE()))</f>
        <v>FUNIL</v>
      </c>
      <c r="J95" s="58"/>
      <c r="K95" s="58" t="str">
        <f t="shared" si="3"/>
        <v>RECOMPRA</v>
      </c>
      <c r="L95" s="58" t="str">
        <f t="shared" si="4"/>
        <v>🟡</v>
      </c>
      <c r="M95" s="58"/>
      <c r="N95" s="58" t="s">
        <v>146</v>
      </c>
      <c r="O95" s="58" t="s">
        <v>146</v>
      </c>
      <c r="P95" s="58" t="s">
        <v>147</v>
      </c>
      <c r="Q95" s="58" t="s">
        <v>39</v>
      </c>
      <c r="R95" s="58" t="s">
        <v>12</v>
      </c>
      <c r="S95" s="58"/>
      <c r="T95" s="71">
        <f>IF(R95="","",IF(OR(R95="SUPORTE",R95="PERDA / FECHOU LOJA"),"SEM",A95+VLOOKUP(R95,REGRAS!$B$2:$C$13,2,FALSE())))</f>
        <v>46101</v>
      </c>
      <c r="U95" s="58" t="str">
        <f t="shared" si="5"/>
        <v>RECOMPRA</v>
      </c>
      <c r="V95" s="58"/>
      <c r="W95" s="58" t="s">
        <v>146</v>
      </c>
      <c r="X95" s="58"/>
    </row>
    <row r="96" spans="1:24" x14ac:dyDescent="0.3">
      <c r="A96" s="71">
        <v>46074</v>
      </c>
      <c r="B96" s="58" t="s">
        <v>135</v>
      </c>
      <c r="C96" s="58" t="s">
        <v>542</v>
      </c>
      <c r="D96" s="58" t="s">
        <v>543</v>
      </c>
      <c r="E96" s="58" t="s">
        <v>366</v>
      </c>
      <c r="F96" s="58" t="s">
        <v>289</v>
      </c>
      <c r="G96" s="58" t="s">
        <v>79</v>
      </c>
      <c r="H96" s="58">
        <v>185</v>
      </c>
      <c r="I96" s="58" t="str">
        <f>IF(R96="","",VLOOKUP(R96,REGRAS!$B$2:$D$13,3,FALSE()))</f>
        <v>RELAC.</v>
      </c>
      <c r="J96" s="58"/>
      <c r="K96" s="58" t="str">
        <f t="shared" si="3"/>
        <v>SALVAMENTO</v>
      </c>
      <c r="L96" s="58" t="str">
        <f t="shared" si="4"/>
        <v>🔴</v>
      </c>
      <c r="M96" s="58"/>
      <c r="N96" s="58" t="s">
        <v>147</v>
      </c>
      <c r="O96" s="58" t="s">
        <v>147</v>
      </c>
      <c r="P96" s="58" t="s">
        <v>149</v>
      </c>
      <c r="Q96" s="58" t="s">
        <v>43</v>
      </c>
      <c r="R96" s="58" t="s">
        <v>19</v>
      </c>
      <c r="S96" s="58" t="s">
        <v>49</v>
      </c>
      <c r="T96" s="71">
        <f>IF(R96="","",IF(OR(R96="SUPORTE",R96="PERDA / FECHOU LOJA"),"SEM",A96+VLOOKUP(R96,REGRAS!$B$2:$C$13,2,FALSE())))</f>
        <v>46089</v>
      </c>
      <c r="U96" s="58" t="str">
        <f t="shared" si="5"/>
        <v>SALVAMENTO</v>
      </c>
      <c r="V96" s="58"/>
      <c r="W96" s="58" t="s">
        <v>146</v>
      </c>
      <c r="X96" s="58"/>
    </row>
    <row r="97" spans="1:24" x14ac:dyDescent="0.3">
      <c r="A97" s="71">
        <v>46080</v>
      </c>
      <c r="B97" s="58" t="s">
        <v>135</v>
      </c>
      <c r="C97" s="58" t="s">
        <v>544</v>
      </c>
      <c r="D97" s="58" t="s">
        <v>545</v>
      </c>
      <c r="E97" s="58" t="s">
        <v>376</v>
      </c>
      <c r="F97" s="58" t="s">
        <v>292</v>
      </c>
      <c r="G97" s="58" t="s">
        <v>71</v>
      </c>
      <c r="H97" s="58">
        <v>33</v>
      </c>
      <c r="I97" s="58" t="str">
        <f>IF(R97="","",VLOOKUP(R97,REGRAS!$B$2:$D$13,3,FALSE()))</f>
        <v>FUNIL</v>
      </c>
      <c r="J97" s="58"/>
      <c r="K97" s="58" t="str">
        <f t="shared" si="3"/>
        <v>EM ATENDIMENTO</v>
      </c>
      <c r="L97" s="58" t="str">
        <f t="shared" si="4"/>
        <v>🟢</v>
      </c>
      <c r="M97" s="58"/>
      <c r="N97" s="58" t="s">
        <v>147</v>
      </c>
      <c r="O97" s="58" t="s">
        <v>146</v>
      </c>
      <c r="P97" s="58" t="s">
        <v>147</v>
      </c>
      <c r="Q97" s="58" t="s">
        <v>37</v>
      </c>
      <c r="R97" s="58" t="s">
        <v>5</v>
      </c>
      <c r="S97" s="58"/>
      <c r="T97" s="71">
        <f>IF(R97="","",IF(OR(R97="SUPORTE",R97="PERDA / FECHOU LOJA"),"SEM",A97+VLOOKUP(R97,REGRAS!$B$2:$C$13,2,FALSE())))</f>
        <v>46082</v>
      </c>
      <c r="U97" s="58" t="str">
        <f t="shared" si="5"/>
        <v>PROSPECÇÃO</v>
      </c>
      <c r="V97" s="58"/>
      <c r="W97" s="58" t="s">
        <v>146</v>
      </c>
      <c r="X97" s="58"/>
    </row>
    <row r="98" spans="1:24" x14ac:dyDescent="0.3">
      <c r="A98" s="71">
        <v>46079</v>
      </c>
      <c r="B98" s="58" t="s">
        <v>141</v>
      </c>
      <c r="C98" s="58" t="s">
        <v>546</v>
      </c>
      <c r="D98" s="58" t="s">
        <v>547</v>
      </c>
      <c r="E98" s="58" t="s">
        <v>332</v>
      </c>
      <c r="F98" s="58" t="s">
        <v>283</v>
      </c>
      <c r="G98" s="58" t="s">
        <v>82</v>
      </c>
      <c r="H98" s="58"/>
      <c r="I98" s="58" t="str">
        <f>IF(R98="","",VLOOKUP(R98,REGRAS!$B$2:$D$13,3,FALSE()))</f>
        <v>NÃO VENDA</v>
      </c>
      <c r="J98" s="58"/>
      <c r="K98" s="58" t="str">
        <f t="shared" si="3"/>
        <v>RECUPERAÇÃO</v>
      </c>
      <c r="L98" s="58" t="str">
        <f t="shared" si="4"/>
        <v/>
      </c>
      <c r="M98" s="58"/>
      <c r="N98" s="58" t="s">
        <v>146</v>
      </c>
      <c r="O98" s="58" t="s">
        <v>146</v>
      </c>
      <c r="P98" s="58" t="s">
        <v>147</v>
      </c>
      <c r="Q98" s="58" t="s">
        <v>41</v>
      </c>
      <c r="R98" s="58" t="s">
        <v>26</v>
      </c>
      <c r="S98" s="58" t="s">
        <v>51</v>
      </c>
      <c r="T98" s="71">
        <f>IF(R98="","",IF(OR(R98="SUPORTE",R98="PERDA / FECHOU LOJA"),"SEM",A98+VLOOKUP(R98,REGRAS!$B$2:$C$13,2,FALSE())))</f>
        <v>46080</v>
      </c>
      <c r="U98" s="58" t="str">
        <f t="shared" si="5"/>
        <v>REATIVAÇÃO</v>
      </c>
      <c r="V98" s="58"/>
      <c r="W98" s="58" t="s">
        <v>147</v>
      </c>
      <c r="X98" s="58"/>
    </row>
    <row r="99" spans="1:24" x14ac:dyDescent="0.3">
      <c r="A99" s="71">
        <v>46055</v>
      </c>
      <c r="B99" s="58" t="s">
        <v>139</v>
      </c>
      <c r="C99" s="58" t="s">
        <v>548</v>
      </c>
      <c r="D99" s="58" t="s">
        <v>549</v>
      </c>
      <c r="E99" s="58" t="s">
        <v>332</v>
      </c>
      <c r="F99" s="58" t="s">
        <v>295</v>
      </c>
      <c r="G99" s="58" t="s">
        <v>71</v>
      </c>
      <c r="H99" s="58">
        <v>22</v>
      </c>
      <c r="I99" s="58" t="str">
        <f>IF(R99="","",VLOOKUP(R99,REGRAS!$B$2:$D$13,3,FALSE()))</f>
        <v>FUNIL</v>
      </c>
      <c r="J99" s="58"/>
      <c r="K99" s="58" t="str">
        <f t="shared" si="3"/>
        <v>EM ATENDIMENTO</v>
      </c>
      <c r="L99" s="58" t="str">
        <f t="shared" si="4"/>
        <v>🟢</v>
      </c>
      <c r="M99" s="58"/>
      <c r="N99" s="58" t="s">
        <v>147</v>
      </c>
      <c r="O99" s="58" t="s">
        <v>147</v>
      </c>
      <c r="P99" s="58" t="s">
        <v>149</v>
      </c>
      <c r="Q99" s="58" t="s">
        <v>35</v>
      </c>
      <c r="R99" s="58" t="s">
        <v>5</v>
      </c>
      <c r="S99" s="58"/>
      <c r="T99" s="71">
        <f>IF(R99="","",IF(OR(R99="SUPORTE",R99="PERDA / FECHOU LOJA"),"SEM",A99+VLOOKUP(R99,REGRAS!$B$2:$C$13,2,FALSE())))</f>
        <v>46057</v>
      </c>
      <c r="U99" s="58" t="str">
        <f t="shared" si="5"/>
        <v>PROSPECÇÃO</v>
      </c>
      <c r="V99" s="58"/>
      <c r="W99" s="58" t="s">
        <v>146</v>
      </c>
      <c r="X99" s="58"/>
    </row>
    <row r="100" spans="1:24" x14ac:dyDescent="0.3">
      <c r="A100" s="71">
        <v>46071</v>
      </c>
      <c r="B100" s="58" t="s">
        <v>135</v>
      </c>
      <c r="C100" s="58" t="s">
        <v>550</v>
      </c>
      <c r="D100" s="58" t="s">
        <v>551</v>
      </c>
      <c r="E100" s="58" t="s">
        <v>381</v>
      </c>
      <c r="F100" s="58" t="s">
        <v>298</v>
      </c>
      <c r="G100" s="58" t="s">
        <v>71</v>
      </c>
      <c r="H100" s="58">
        <v>9</v>
      </c>
      <c r="I100" s="58" t="str">
        <f>IF(R100="","",VLOOKUP(R100,REGRAS!$B$2:$D$13,3,FALSE()))</f>
        <v>FUNIL</v>
      </c>
      <c r="J100" s="58"/>
      <c r="K100" s="58" t="str">
        <f t="shared" si="3"/>
        <v>EM ATENDIMENTO</v>
      </c>
      <c r="L100" s="58" t="str">
        <f t="shared" si="4"/>
        <v>🟢</v>
      </c>
      <c r="M100" s="58"/>
      <c r="N100" s="58" t="s">
        <v>146</v>
      </c>
      <c r="O100" s="58" t="s">
        <v>146</v>
      </c>
      <c r="P100" s="58" t="s">
        <v>147</v>
      </c>
      <c r="Q100" s="58" t="s">
        <v>39</v>
      </c>
      <c r="R100" s="58" t="s">
        <v>5</v>
      </c>
      <c r="S100" s="58"/>
      <c r="T100" s="71">
        <f>IF(R100="","",IF(OR(R100="SUPORTE",R100="PERDA / FECHOU LOJA"),"SEM",A100+VLOOKUP(R100,REGRAS!$B$2:$C$13,2,FALSE())))</f>
        <v>46073</v>
      </c>
      <c r="U100" s="58" t="str">
        <f t="shared" si="5"/>
        <v>PROSPECÇÃO</v>
      </c>
      <c r="V100" s="58"/>
      <c r="W100" s="58" t="s">
        <v>147</v>
      </c>
      <c r="X100" s="58"/>
    </row>
    <row r="101" spans="1:24" x14ac:dyDescent="0.3">
      <c r="A101" s="71">
        <v>46064</v>
      </c>
      <c r="B101" s="58" t="s">
        <v>139</v>
      </c>
      <c r="C101" s="58" t="s">
        <v>552</v>
      </c>
      <c r="D101" s="58" t="s">
        <v>553</v>
      </c>
      <c r="E101" s="58" t="s">
        <v>335</v>
      </c>
      <c r="F101" s="58" t="s">
        <v>292</v>
      </c>
      <c r="G101" s="58" t="s">
        <v>77</v>
      </c>
      <c r="H101" s="58">
        <v>64</v>
      </c>
      <c r="I101" s="58" t="str">
        <f>IF(R101="","",VLOOKUP(R101,REGRAS!$B$2:$D$13,3,FALSE()))</f>
        <v>NÃO VENDA</v>
      </c>
      <c r="J101" s="58"/>
      <c r="K101" s="58" t="str">
        <f t="shared" si="3"/>
        <v>RECUPERAÇÃO</v>
      </c>
      <c r="L101" s="58" t="str">
        <f t="shared" si="4"/>
        <v>🟡</v>
      </c>
      <c r="M101" s="58"/>
      <c r="N101" s="58" t="s">
        <v>146</v>
      </c>
      <c r="O101" s="58" t="s">
        <v>147</v>
      </c>
      <c r="P101" s="58" t="s">
        <v>149</v>
      </c>
      <c r="Q101" s="58" t="s">
        <v>45</v>
      </c>
      <c r="R101" s="58" t="s">
        <v>28</v>
      </c>
      <c r="S101" s="58" t="s">
        <v>51</v>
      </c>
      <c r="T101" s="71">
        <f>IF(R101="","",IF(OR(R101="SUPORTE",R101="PERDA / FECHOU LOJA"),"SEM",A101+VLOOKUP(R101,REGRAS!$B$2:$C$13,2,FALSE())))</f>
        <v>46066</v>
      </c>
      <c r="U101" s="58" t="str">
        <f t="shared" si="5"/>
        <v>REATIVAÇÃO</v>
      </c>
      <c r="V101" s="58"/>
      <c r="W101" s="58" t="s">
        <v>146</v>
      </c>
      <c r="X101" s="58"/>
    </row>
    <row r="102" spans="1:24" x14ac:dyDescent="0.3">
      <c r="A102" s="71">
        <v>46068</v>
      </c>
      <c r="B102" s="58" t="s">
        <v>141</v>
      </c>
      <c r="C102" s="58" t="s">
        <v>554</v>
      </c>
      <c r="D102" s="58" t="s">
        <v>555</v>
      </c>
      <c r="E102" s="58" t="s">
        <v>422</v>
      </c>
      <c r="F102" s="58" t="s">
        <v>292</v>
      </c>
      <c r="G102" s="58" t="s">
        <v>77</v>
      </c>
      <c r="H102" s="58">
        <v>85</v>
      </c>
      <c r="I102" s="58" t="str">
        <f>IF(R102="","",VLOOKUP(R102,REGRAS!$B$2:$D$13,3,FALSE()))</f>
        <v>RELAC.</v>
      </c>
      <c r="J102" s="58"/>
      <c r="K102" s="58" t="str">
        <f t="shared" si="3"/>
        <v>SALVAMENTO</v>
      </c>
      <c r="L102" s="58" t="str">
        <f t="shared" si="4"/>
        <v>🟡</v>
      </c>
      <c r="M102" s="58"/>
      <c r="N102" s="58" t="s">
        <v>146</v>
      </c>
      <c r="O102" s="58" t="s">
        <v>146</v>
      </c>
      <c r="P102" s="58" t="s">
        <v>146</v>
      </c>
      <c r="Q102" s="58" t="s">
        <v>39</v>
      </c>
      <c r="R102" s="58" t="s">
        <v>17</v>
      </c>
      <c r="S102" s="58" t="s">
        <v>55</v>
      </c>
      <c r="T102" s="71">
        <f>IF(R102="","",IF(OR(R102="SUPORTE",R102="PERDA / FECHOU LOJA"),"SEM",A102+VLOOKUP(R102,REGRAS!$B$2:$C$13,2,FALSE())))</f>
        <v>46075</v>
      </c>
      <c r="U102" s="58" t="str">
        <f t="shared" si="5"/>
        <v>SALVAMENTO</v>
      </c>
      <c r="V102" s="58"/>
      <c r="W102" s="58" t="s">
        <v>146</v>
      </c>
      <c r="X102" s="58"/>
    </row>
    <row r="103" spans="1:24" x14ac:dyDescent="0.3">
      <c r="A103" s="71">
        <v>46058</v>
      </c>
      <c r="B103" s="58" t="s">
        <v>141</v>
      </c>
      <c r="C103" s="58" t="s">
        <v>556</v>
      </c>
      <c r="D103" s="58" t="s">
        <v>557</v>
      </c>
      <c r="E103" s="58" t="s">
        <v>376</v>
      </c>
      <c r="F103" s="58" t="s">
        <v>292</v>
      </c>
      <c r="G103" s="58" t="s">
        <v>82</v>
      </c>
      <c r="H103" s="58"/>
      <c r="I103" s="58" t="str">
        <f>IF(R103="","",VLOOKUP(R103,REGRAS!$B$2:$D$13,3,FALSE()))</f>
        <v>FUNIL</v>
      </c>
      <c r="J103" s="58"/>
      <c r="K103" s="58" t="str">
        <f t="shared" si="3"/>
        <v>PROSPECÇÃO</v>
      </c>
      <c r="L103" s="58" t="str">
        <f t="shared" si="4"/>
        <v/>
      </c>
      <c r="M103" s="58"/>
      <c r="N103" s="58" t="s">
        <v>146</v>
      </c>
      <c r="O103" s="58" t="s">
        <v>147</v>
      </c>
      <c r="P103" s="58" t="s">
        <v>149</v>
      </c>
      <c r="Q103" s="58" t="s">
        <v>39</v>
      </c>
      <c r="R103" s="58" t="s">
        <v>8</v>
      </c>
      <c r="S103" s="58"/>
      <c r="T103" s="71">
        <f>IF(R103="","",IF(OR(R103="SUPORTE",R103="PERDA / FECHOU LOJA"),"SEM",A103+VLOOKUP(R103,REGRAS!$B$2:$C$13,2,FALSE())))</f>
        <v>46059</v>
      </c>
      <c r="U103" s="58" t="str">
        <f t="shared" si="5"/>
        <v>PROSPECÇÃO</v>
      </c>
      <c r="V103" s="58"/>
      <c r="W103" s="58" t="s">
        <v>146</v>
      </c>
      <c r="X103" s="58"/>
    </row>
    <row r="104" spans="1:24" x14ac:dyDescent="0.3">
      <c r="A104" s="71">
        <v>46070</v>
      </c>
      <c r="B104" s="58" t="s">
        <v>141</v>
      </c>
      <c r="C104" s="58" t="s">
        <v>558</v>
      </c>
      <c r="D104" s="58" t="s">
        <v>559</v>
      </c>
      <c r="E104" s="58" t="s">
        <v>335</v>
      </c>
      <c r="F104" s="58" t="s">
        <v>296</v>
      </c>
      <c r="G104" s="58" t="s">
        <v>71</v>
      </c>
      <c r="H104" s="58">
        <v>46</v>
      </c>
      <c r="I104" s="58" t="str">
        <f>IF(R104="","",VLOOKUP(R104,REGRAS!$B$2:$D$13,3,FALSE()))</f>
        <v>RELAC.</v>
      </c>
      <c r="J104" s="58"/>
      <c r="K104" s="58" t="str">
        <f t="shared" si="3"/>
        <v>SALVAMENTO</v>
      </c>
      <c r="L104" s="58" t="str">
        <f t="shared" si="4"/>
        <v>🟢</v>
      </c>
      <c r="M104" s="58"/>
      <c r="N104" s="58" t="s">
        <v>146</v>
      </c>
      <c r="O104" s="58" t="s">
        <v>147</v>
      </c>
      <c r="P104" s="58" t="s">
        <v>149</v>
      </c>
      <c r="Q104" s="58" t="s">
        <v>35</v>
      </c>
      <c r="R104" s="58" t="s">
        <v>17</v>
      </c>
      <c r="S104" s="58" t="s">
        <v>59</v>
      </c>
      <c r="T104" s="71">
        <f>IF(R104="","",IF(OR(R104="SUPORTE",R104="PERDA / FECHOU LOJA"),"SEM",A104+VLOOKUP(R104,REGRAS!$B$2:$C$13,2,FALSE())))</f>
        <v>46077</v>
      </c>
      <c r="U104" s="58" t="str">
        <f t="shared" si="5"/>
        <v>SALVAMENTO</v>
      </c>
      <c r="V104" s="58"/>
      <c r="W104" s="58" t="s">
        <v>146</v>
      </c>
      <c r="X104" s="58"/>
    </row>
    <row r="105" spans="1:24" x14ac:dyDescent="0.3">
      <c r="A105" s="71">
        <v>46080</v>
      </c>
      <c r="B105" s="58" t="s">
        <v>141</v>
      </c>
      <c r="C105" s="58" t="s">
        <v>560</v>
      </c>
      <c r="D105" s="58" t="s">
        <v>561</v>
      </c>
      <c r="E105" s="58" t="s">
        <v>335</v>
      </c>
      <c r="F105" s="58" t="s">
        <v>292</v>
      </c>
      <c r="G105" s="58" t="s">
        <v>74</v>
      </c>
      <c r="H105" s="58">
        <v>51</v>
      </c>
      <c r="I105" s="58" t="str">
        <f>IF(R105="","",VLOOKUP(R105,REGRAS!$B$2:$D$13,3,FALSE()))</f>
        <v>RELAC.</v>
      </c>
      <c r="J105" s="58"/>
      <c r="K105" s="58" t="str">
        <f t="shared" si="3"/>
        <v>SALVAMENTO</v>
      </c>
      <c r="L105" s="58" t="str">
        <f t="shared" si="4"/>
        <v>🟡</v>
      </c>
      <c r="M105" s="58"/>
      <c r="N105" s="58" t="s">
        <v>146</v>
      </c>
      <c r="O105" s="58" t="s">
        <v>147</v>
      </c>
      <c r="P105" s="58" t="s">
        <v>149</v>
      </c>
      <c r="Q105" s="58" t="s">
        <v>39</v>
      </c>
      <c r="R105" s="58" t="s">
        <v>17</v>
      </c>
      <c r="S105" s="58" t="s">
        <v>55</v>
      </c>
      <c r="T105" s="71">
        <f>IF(R105="","",IF(OR(R105="SUPORTE",R105="PERDA / FECHOU LOJA"),"SEM",A105+VLOOKUP(R105,REGRAS!$B$2:$C$13,2,FALSE())))</f>
        <v>46087</v>
      </c>
      <c r="U105" s="58" t="str">
        <f t="shared" si="5"/>
        <v>SALVAMENTO</v>
      </c>
      <c r="V105" s="58"/>
      <c r="W105" s="58" t="s">
        <v>147</v>
      </c>
      <c r="X105" s="58"/>
    </row>
    <row r="106" spans="1:24" x14ac:dyDescent="0.3">
      <c r="A106" s="71">
        <v>46075</v>
      </c>
      <c r="B106" s="58" t="s">
        <v>137</v>
      </c>
      <c r="C106" s="58" t="s">
        <v>562</v>
      </c>
      <c r="D106" s="58" t="s">
        <v>563</v>
      </c>
      <c r="E106" s="58" t="s">
        <v>376</v>
      </c>
      <c r="F106" s="58" t="s">
        <v>289</v>
      </c>
      <c r="G106" s="58" t="s">
        <v>77</v>
      </c>
      <c r="H106" s="58">
        <v>71</v>
      </c>
      <c r="I106" s="58" t="str">
        <f>IF(R106="","",VLOOKUP(R106,REGRAS!$B$2:$D$13,3,FALSE()))</f>
        <v>RELAC.</v>
      </c>
      <c r="J106" s="58"/>
      <c r="K106" s="58" t="str">
        <f t="shared" si="3"/>
        <v>SALVAMENTO</v>
      </c>
      <c r="L106" s="58" t="str">
        <f t="shared" si="4"/>
        <v>🟡</v>
      </c>
      <c r="M106" s="58"/>
      <c r="N106" s="58" t="s">
        <v>147</v>
      </c>
      <c r="O106" s="58" t="s">
        <v>146</v>
      </c>
      <c r="P106" s="58" t="s">
        <v>146</v>
      </c>
      <c r="Q106" s="58" t="s">
        <v>43</v>
      </c>
      <c r="R106" s="58" t="s">
        <v>17</v>
      </c>
      <c r="S106" s="58" t="s">
        <v>61</v>
      </c>
      <c r="T106" s="71">
        <f>IF(R106="","",IF(OR(R106="SUPORTE",R106="PERDA / FECHOU LOJA"),"SEM",A106+VLOOKUP(R106,REGRAS!$B$2:$C$13,2,FALSE())))</f>
        <v>46082</v>
      </c>
      <c r="U106" s="58" t="str">
        <f t="shared" si="5"/>
        <v>SALVAMENTO</v>
      </c>
      <c r="V106" s="58"/>
      <c r="W106" s="58" t="s">
        <v>146</v>
      </c>
      <c r="X106" s="58"/>
    </row>
    <row r="107" spans="1:24" x14ac:dyDescent="0.3">
      <c r="A107" s="71">
        <v>46057</v>
      </c>
      <c r="B107" s="58" t="s">
        <v>135</v>
      </c>
      <c r="C107" s="58" t="s">
        <v>564</v>
      </c>
      <c r="D107" s="58" t="s">
        <v>565</v>
      </c>
      <c r="E107" s="58" t="s">
        <v>332</v>
      </c>
      <c r="F107" s="58" t="s">
        <v>292</v>
      </c>
      <c r="G107" s="58" t="s">
        <v>82</v>
      </c>
      <c r="H107" s="58"/>
      <c r="I107" s="58" t="str">
        <f>IF(R107="","",VLOOKUP(R107,REGRAS!$B$2:$D$13,3,FALSE()))</f>
        <v>NÃO VENDA</v>
      </c>
      <c r="J107" s="58"/>
      <c r="K107" s="58" t="str">
        <f t="shared" si="3"/>
        <v>RECUPERAÇÃO</v>
      </c>
      <c r="L107" s="58" t="str">
        <f t="shared" si="4"/>
        <v/>
      </c>
      <c r="M107" s="58"/>
      <c r="N107" s="58" t="s">
        <v>147</v>
      </c>
      <c r="O107" s="58" t="s">
        <v>147</v>
      </c>
      <c r="P107" s="58" t="s">
        <v>149</v>
      </c>
      <c r="Q107" s="58" t="s">
        <v>39</v>
      </c>
      <c r="R107" s="58" t="s">
        <v>23</v>
      </c>
      <c r="S107" s="58" t="s">
        <v>66</v>
      </c>
      <c r="T107" s="71">
        <f>IF(R107="","",IF(OR(R107="SUPORTE",R107="PERDA / FECHOU LOJA"),"SEM",A107+VLOOKUP(R107,REGRAS!$B$2:$C$13,2,FALSE())))</f>
        <v>46058</v>
      </c>
      <c r="U107" s="58" t="str">
        <f t="shared" si="5"/>
        <v>REATIVAÇÃO</v>
      </c>
      <c r="V107" s="58"/>
      <c r="W107" s="58" t="s">
        <v>147</v>
      </c>
      <c r="X107" s="58"/>
    </row>
    <row r="108" spans="1:24" x14ac:dyDescent="0.3">
      <c r="A108" s="71">
        <v>46060</v>
      </c>
      <c r="B108" s="58" t="s">
        <v>141</v>
      </c>
      <c r="C108" s="58" t="s">
        <v>566</v>
      </c>
      <c r="D108" s="58" t="s">
        <v>567</v>
      </c>
      <c r="E108" s="58" t="s">
        <v>332</v>
      </c>
      <c r="F108" s="58" t="s">
        <v>286</v>
      </c>
      <c r="G108" s="58" t="s">
        <v>74</v>
      </c>
      <c r="H108" s="58">
        <v>54</v>
      </c>
      <c r="I108" s="58" t="str">
        <f>IF(R108="","",VLOOKUP(R108,REGRAS!$B$2:$D$13,3,FALSE()))</f>
        <v>FUNIL</v>
      </c>
      <c r="J108" s="58"/>
      <c r="K108" s="58" t="str">
        <f t="shared" si="3"/>
        <v>PROSPECÇÃO</v>
      </c>
      <c r="L108" s="58" t="str">
        <f t="shared" si="4"/>
        <v>🟡</v>
      </c>
      <c r="M108" s="58"/>
      <c r="N108" s="58" t="s">
        <v>146</v>
      </c>
      <c r="O108" s="58" t="s">
        <v>147</v>
      </c>
      <c r="P108" s="58" t="s">
        <v>149</v>
      </c>
      <c r="Q108" s="58" t="s">
        <v>35</v>
      </c>
      <c r="R108" s="58" t="s">
        <v>8</v>
      </c>
      <c r="S108" s="58"/>
      <c r="T108" s="71">
        <f>IF(R108="","",IF(OR(R108="SUPORTE",R108="PERDA / FECHOU LOJA"),"SEM",A108+VLOOKUP(R108,REGRAS!$B$2:$C$13,2,FALSE())))</f>
        <v>46061</v>
      </c>
      <c r="U108" s="58" t="str">
        <f t="shared" si="5"/>
        <v>PROSPECÇÃO</v>
      </c>
      <c r="V108" s="58"/>
      <c r="W108" s="58" t="s">
        <v>147</v>
      </c>
      <c r="X108" s="58"/>
    </row>
    <row r="109" spans="1:24" x14ac:dyDescent="0.3">
      <c r="A109" s="71">
        <v>46074</v>
      </c>
      <c r="B109" s="58" t="s">
        <v>139</v>
      </c>
      <c r="C109" s="58" t="s">
        <v>568</v>
      </c>
      <c r="D109" s="58" t="s">
        <v>569</v>
      </c>
      <c r="E109" s="58" t="s">
        <v>361</v>
      </c>
      <c r="F109" s="58" t="s">
        <v>292</v>
      </c>
      <c r="G109" s="58" t="s">
        <v>79</v>
      </c>
      <c r="H109" s="58">
        <v>184</v>
      </c>
      <c r="I109" s="58" t="str">
        <f>IF(R109="","",VLOOKUP(R109,REGRAS!$B$2:$D$13,3,FALSE()))</f>
        <v>FUNIL</v>
      </c>
      <c r="J109" s="58"/>
      <c r="K109" s="58" t="str">
        <f t="shared" si="3"/>
        <v>EM ATENDIMENTO</v>
      </c>
      <c r="L109" s="58" t="str">
        <f t="shared" si="4"/>
        <v>🔴</v>
      </c>
      <c r="M109" s="58"/>
      <c r="N109" s="58" t="s">
        <v>146</v>
      </c>
      <c r="O109" s="58" t="s">
        <v>146</v>
      </c>
      <c r="P109" s="58" t="s">
        <v>146</v>
      </c>
      <c r="Q109" s="58" t="s">
        <v>33</v>
      </c>
      <c r="R109" s="58" t="s">
        <v>5</v>
      </c>
      <c r="S109" s="58"/>
      <c r="T109" s="71">
        <f>IF(R109="","",IF(OR(R109="SUPORTE",R109="PERDA / FECHOU LOJA"),"SEM",A109+VLOOKUP(R109,REGRAS!$B$2:$C$13,2,FALSE())))</f>
        <v>46076</v>
      </c>
      <c r="U109" s="58" t="str">
        <f t="shared" si="5"/>
        <v>PROSPECÇÃO</v>
      </c>
      <c r="V109" s="58"/>
      <c r="W109" s="58" t="s">
        <v>146</v>
      </c>
      <c r="X109" s="58"/>
    </row>
    <row r="110" spans="1:24" x14ac:dyDescent="0.3">
      <c r="A110" s="71">
        <v>46068</v>
      </c>
      <c r="B110" s="58" t="s">
        <v>141</v>
      </c>
      <c r="C110" s="58" t="s">
        <v>570</v>
      </c>
      <c r="D110" s="58" t="s">
        <v>571</v>
      </c>
      <c r="E110" s="58" t="s">
        <v>366</v>
      </c>
      <c r="F110" s="58" t="s">
        <v>292</v>
      </c>
      <c r="G110" s="58" t="s">
        <v>71</v>
      </c>
      <c r="H110" s="58">
        <v>28</v>
      </c>
      <c r="I110" s="58" t="str">
        <f>IF(R110="","",VLOOKUP(R110,REGRAS!$B$2:$D$13,3,FALSE()))</f>
        <v>RELAC.</v>
      </c>
      <c r="J110" s="58"/>
      <c r="K110" s="58" t="str">
        <f t="shared" si="3"/>
        <v>CS</v>
      </c>
      <c r="L110" s="58" t="str">
        <f t="shared" si="4"/>
        <v>🟢</v>
      </c>
      <c r="M110" s="58"/>
      <c r="N110" s="58" t="s">
        <v>146</v>
      </c>
      <c r="O110" s="58" t="s">
        <v>147</v>
      </c>
      <c r="P110" s="58" t="s">
        <v>149</v>
      </c>
      <c r="Q110" s="58" t="s">
        <v>43</v>
      </c>
      <c r="R110" s="58" t="s">
        <v>14</v>
      </c>
      <c r="S110" s="58"/>
      <c r="T110" s="71">
        <f>IF(R110="","",IF(OR(R110="SUPORTE",R110="PERDA / FECHOU LOJA"),"SEM",A110+VLOOKUP(R110,REGRAS!$B$2:$C$13,2,FALSE())))</f>
        <v>46075</v>
      </c>
      <c r="U110" s="58" t="str">
        <f t="shared" si="5"/>
        <v>CS</v>
      </c>
      <c r="V110" s="58"/>
      <c r="W110" s="58" t="s">
        <v>146</v>
      </c>
      <c r="X110" s="58"/>
    </row>
    <row r="111" spans="1:24" x14ac:dyDescent="0.3">
      <c r="A111" s="71">
        <v>46058</v>
      </c>
      <c r="B111" s="58" t="s">
        <v>139</v>
      </c>
      <c r="C111" s="58" t="s">
        <v>449</v>
      </c>
      <c r="D111" s="58" t="s">
        <v>572</v>
      </c>
      <c r="E111" s="58" t="s">
        <v>366</v>
      </c>
      <c r="F111" s="58" t="s">
        <v>296</v>
      </c>
      <c r="G111" s="58" t="s">
        <v>71</v>
      </c>
      <c r="H111" s="58">
        <v>44</v>
      </c>
      <c r="I111" s="58" t="str">
        <f>IF(R111="","",VLOOKUP(R111,REGRAS!$B$2:$D$13,3,FALSE()))</f>
        <v>NÃO VENDA</v>
      </c>
      <c r="J111" s="58"/>
      <c r="K111" s="58" t="str">
        <f t="shared" si="3"/>
        <v>RECUPERAÇÃO</v>
      </c>
      <c r="L111" s="58" t="str">
        <f t="shared" si="4"/>
        <v>🟢</v>
      </c>
      <c r="M111" s="58"/>
      <c r="N111" s="58" t="s">
        <v>146</v>
      </c>
      <c r="O111" s="58" t="s">
        <v>147</v>
      </c>
      <c r="P111" s="58" t="s">
        <v>149</v>
      </c>
      <c r="Q111" s="58" t="s">
        <v>41</v>
      </c>
      <c r="R111" s="58" t="s">
        <v>23</v>
      </c>
      <c r="S111" s="58" t="s">
        <v>57</v>
      </c>
      <c r="T111" s="71">
        <f>IF(R111="","",IF(OR(R111="SUPORTE",R111="PERDA / FECHOU LOJA"),"SEM",A111+VLOOKUP(R111,REGRAS!$B$2:$C$13,2,FALSE())))</f>
        <v>46059</v>
      </c>
      <c r="U111" s="58" t="str">
        <f t="shared" si="5"/>
        <v>REATIVAÇÃO</v>
      </c>
      <c r="V111" s="58"/>
      <c r="W111" s="58" t="s">
        <v>147</v>
      </c>
      <c r="X111" s="58"/>
    </row>
    <row r="112" spans="1:24" x14ac:dyDescent="0.3">
      <c r="A112" s="71">
        <v>46063</v>
      </c>
      <c r="B112" s="58" t="s">
        <v>137</v>
      </c>
      <c r="C112" s="58" t="s">
        <v>573</v>
      </c>
      <c r="D112" s="58" t="s">
        <v>574</v>
      </c>
      <c r="E112" s="58" t="s">
        <v>366</v>
      </c>
      <c r="F112" s="58" t="s">
        <v>292</v>
      </c>
      <c r="G112" s="58" t="s">
        <v>82</v>
      </c>
      <c r="H112" s="58"/>
      <c r="I112" s="58" t="str">
        <f>IF(R112="","",VLOOKUP(R112,REGRAS!$B$2:$D$13,3,FALSE()))</f>
        <v>NÃO VENDA</v>
      </c>
      <c r="J112" s="58"/>
      <c r="K112" s="58" t="str">
        <f t="shared" si="3"/>
        <v>RECUPERAÇÃO</v>
      </c>
      <c r="L112" s="58" t="str">
        <f t="shared" si="4"/>
        <v/>
      </c>
      <c r="M112" s="58"/>
      <c r="N112" s="58" t="s">
        <v>146</v>
      </c>
      <c r="O112" s="58" t="s">
        <v>147</v>
      </c>
      <c r="P112" s="58" t="s">
        <v>149</v>
      </c>
      <c r="Q112" s="58" t="s">
        <v>41</v>
      </c>
      <c r="R112" s="58" t="s">
        <v>28</v>
      </c>
      <c r="S112" s="58" t="s">
        <v>66</v>
      </c>
      <c r="T112" s="71">
        <f>IF(R112="","",IF(OR(R112="SUPORTE",R112="PERDA / FECHOU LOJA"),"SEM",A112+VLOOKUP(R112,REGRAS!$B$2:$C$13,2,FALSE())))</f>
        <v>46065</v>
      </c>
      <c r="U112" s="58" t="str">
        <f t="shared" si="5"/>
        <v>REATIVAÇÃO</v>
      </c>
      <c r="V112" s="58"/>
      <c r="W112" s="58" t="s">
        <v>146</v>
      </c>
      <c r="X112" s="58"/>
    </row>
    <row r="113" spans="1:24" x14ac:dyDescent="0.3">
      <c r="A113" s="71">
        <v>46061</v>
      </c>
      <c r="B113" s="58" t="s">
        <v>139</v>
      </c>
      <c r="C113" s="58" t="s">
        <v>575</v>
      </c>
      <c r="D113" s="58" t="s">
        <v>576</v>
      </c>
      <c r="E113" s="58" t="s">
        <v>346</v>
      </c>
      <c r="F113" s="58" t="s">
        <v>289</v>
      </c>
      <c r="G113" s="58" t="s">
        <v>77</v>
      </c>
      <c r="H113" s="58">
        <v>83</v>
      </c>
      <c r="I113" s="58" t="str">
        <f>IF(R113="","",VLOOKUP(R113,REGRAS!$B$2:$D$13,3,FALSE()))</f>
        <v>FUNIL</v>
      </c>
      <c r="J113" s="58"/>
      <c r="K113" s="58" t="str">
        <f t="shared" si="3"/>
        <v>EM ATENDIMENTO</v>
      </c>
      <c r="L113" s="58" t="str">
        <f t="shared" si="4"/>
        <v>🟡</v>
      </c>
      <c r="M113" s="58"/>
      <c r="N113" s="58" t="s">
        <v>146</v>
      </c>
      <c r="O113" s="58" t="s">
        <v>146</v>
      </c>
      <c r="P113" s="58" t="s">
        <v>147</v>
      </c>
      <c r="Q113" s="58" t="s">
        <v>33</v>
      </c>
      <c r="R113" s="58" t="s">
        <v>5</v>
      </c>
      <c r="S113" s="58"/>
      <c r="T113" s="71">
        <f>IF(R113="","",IF(OR(R113="SUPORTE",R113="PERDA / FECHOU LOJA"),"SEM",A113+VLOOKUP(R113,REGRAS!$B$2:$C$13,2,FALSE())))</f>
        <v>46063</v>
      </c>
      <c r="U113" s="58" t="str">
        <f t="shared" si="5"/>
        <v>PROSPECÇÃO</v>
      </c>
      <c r="V113" s="58"/>
      <c r="W113" s="58" t="s">
        <v>146</v>
      </c>
      <c r="X113" s="58"/>
    </row>
    <row r="114" spans="1:24" x14ac:dyDescent="0.3">
      <c r="A114" s="71">
        <v>46078</v>
      </c>
      <c r="B114" s="58" t="s">
        <v>139</v>
      </c>
      <c r="C114" s="58" t="s">
        <v>577</v>
      </c>
      <c r="D114" s="58" t="s">
        <v>578</v>
      </c>
      <c r="E114" s="58" t="s">
        <v>335</v>
      </c>
      <c r="F114" s="58" t="s">
        <v>292</v>
      </c>
      <c r="G114" s="58" t="s">
        <v>74</v>
      </c>
      <c r="H114" s="58">
        <v>57</v>
      </c>
      <c r="I114" s="58" t="str">
        <f>IF(R114="","",VLOOKUP(R114,REGRAS!$B$2:$D$13,3,FALSE()))</f>
        <v>FUNIL</v>
      </c>
      <c r="J114" s="58"/>
      <c r="K114" s="58" t="str">
        <f t="shared" si="3"/>
        <v>PROSPECÇÃO</v>
      </c>
      <c r="L114" s="58" t="str">
        <f t="shared" si="4"/>
        <v>🟡</v>
      </c>
      <c r="M114" s="58"/>
      <c r="N114" s="58" t="s">
        <v>147</v>
      </c>
      <c r="O114" s="58" t="s">
        <v>146</v>
      </c>
      <c r="P114" s="58" t="s">
        <v>146</v>
      </c>
      <c r="Q114" s="58" t="s">
        <v>37</v>
      </c>
      <c r="R114" s="58" t="s">
        <v>8</v>
      </c>
      <c r="S114" s="58"/>
      <c r="T114" s="71">
        <f>IF(R114="","",IF(OR(R114="SUPORTE",R114="PERDA / FECHOU LOJA"),"SEM",A114+VLOOKUP(R114,REGRAS!$B$2:$C$13,2,FALSE())))</f>
        <v>46079</v>
      </c>
      <c r="U114" s="58" t="str">
        <f t="shared" si="5"/>
        <v>PROSPECÇÃO</v>
      </c>
      <c r="V114" s="58"/>
      <c r="W114" s="58" t="s">
        <v>147</v>
      </c>
      <c r="X114" s="58"/>
    </row>
    <row r="115" spans="1:24" x14ac:dyDescent="0.3">
      <c r="A115" s="71">
        <v>46077</v>
      </c>
      <c r="B115" s="58" t="s">
        <v>139</v>
      </c>
      <c r="C115" s="58" t="s">
        <v>579</v>
      </c>
      <c r="D115" s="58" t="s">
        <v>580</v>
      </c>
      <c r="E115" s="58" t="s">
        <v>366</v>
      </c>
      <c r="F115" s="58" t="s">
        <v>292</v>
      </c>
      <c r="G115" s="58" t="s">
        <v>85</v>
      </c>
      <c r="H115" s="58"/>
      <c r="I115" s="58" t="str">
        <f>IF(R115="","",VLOOKUP(R115,REGRAS!$B$2:$D$13,3,FALSE()))</f>
        <v>RELAC.</v>
      </c>
      <c r="J115" s="58"/>
      <c r="K115" s="58" t="str">
        <f t="shared" si="3"/>
        <v>PÓS-VENDA</v>
      </c>
      <c r="L115" s="58" t="str">
        <f t="shared" si="4"/>
        <v/>
      </c>
      <c r="M115" s="58"/>
      <c r="N115" s="58" t="s">
        <v>146</v>
      </c>
      <c r="O115" s="58" t="s">
        <v>147</v>
      </c>
      <c r="P115" s="58" t="s">
        <v>149</v>
      </c>
      <c r="Q115" s="58" t="s">
        <v>43</v>
      </c>
      <c r="R115" s="58" t="s">
        <v>21</v>
      </c>
      <c r="S115" s="58"/>
      <c r="T115" s="71" t="str">
        <f>IF(R115="","",IF(OR(R115="SUPORTE",R115="PERDA / FECHOU LOJA"),"SEM",A115+VLOOKUP(R115,REGRAS!$B$2:$C$13,2,FALSE())))</f>
        <v>SEM</v>
      </c>
      <c r="U115" s="58" t="str">
        <f t="shared" si="5"/>
        <v>PÓS-VENDA</v>
      </c>
      <c r="V115" s="58"/>
      <c r="W115" s="58" t="s">
        <v>146</v>
      </c>
      <c r="X115" s="58"/>
    </row>
    <row r="116" spans="1:24" x14ac:dyDescent="0.3">
      <c r="A116" s="71">
        <v>46071</v>
      </c>
      <c r="B116" s="58" t="s">
        <v>141</v>
      </c>
      <c r="C116" s="58" t="s">
        <v>390</v>
      </c>
      <c r="D116" s="58" t="s">
        <v>581</v>
      </c>
      <c r="E116" s="58" t="s">
        <v>361</v>
      </c>
      <c r="F116" s="58" t="s">
        <v>286</v>
      </c>
      <c r="G116" s="58" t="s">
        <v>71</v>
      </c>
      <c r="H116" s="58">
        <v>14</v>
      </c>
      <c r="I116" s="58" t="str">
        <f>IF(R116="","",VLOOKUP(R116,REGRAS!$B$2:$D$13,3,FALSE()))</f>
        <v>FUNIL</v>
      </c>
      <c r="J116" s="58"/>
      <c r="K116" s="58" t="str">
        <f t="shared" si="3"/>
        <v>PROSPECÇÃO</v>
      </c>
      <c r="L116" s="58" t="str">
        <f t="shared" si="4"/>
        <v>🟢</v>
      </c>
      <c r="M116" s="58"/>
      <c r="N116" s="58" t="s">
        <v>147</v>
      </c>
      <c r="O116" s="58" t="s">
        <v>146</v>
      </c>
      <c r="P116" s="58" t="s">
        <v>146</v>
      </c>
      <c r="Q116" s="58" t="s">
        <v>37</v>
      </c>
      <c r="R116" s="58" t="s">
        <v>8</v>
      </c>
      <c r="S116" s="58"/>
      <c r="T116" s="71">
        <f>IF(R116="","",IF(OR(R116="SUPORTE",R116="PERDA / FECHOU LOJA"),"SEM",A116+VLOOKUP(R116,REGRAS!$B$2:$C$13,2,FALSE())))</f>
        <v>46072</v>
      </c>
      <c r="U116" s="58" t="str">
        <f t="shared" si="5"/>
        <v>PROSPECÇÃO</v>
      </c>
      <c r="V116" s="58"/>
      <c r="W116" s="58" t="s">
        <v>146</v>
      </c>
      <c r="X116" s="58"/>
    </row>
    <row r="117" spans="1:24" x14ac:dyDescent="0.3">
      <c r="A117" s="71">
        <v>46069</v>
      </c>
      <c r="B117" s="58" t="s">
        <v>135</v>
      </c>
      <c r="C117" s="58" t="s">
        <v>582</v>
      </c>
      <c r="D117" s="58" t="s">
        <v>583</v>
      </c>
      <c r="E117" s="58" t="s">
        <v>335</v>
      </c>
      <c r="F117" s="58" t="s">
        <v>296</v>
      </c>
      <c r="G117" s="58" t="s">
        <v>71</v>
      </c>
      <c r="H117" s="58">
        <v>47</v>
      </c>
      <c r="I117" s="58" t="str">
        <f>IF(R117="","",VLOOKUP(R117,REGRAS!$B$2:$D$13,3,FALSE()))</f>
        <v>RELAC.</v>
      </c>
      <c r="J117" s="58"/>
      <c r="K117" s="58" t="str">
        <f t="shared" si="3"/>
        <v>CS</v>
      </c>
      <c r="L117" s="58" t="str">
        <f t="shared" si="4"/>
        <v>🟢</v>
      </c>
      <c r="M117" s="58"/>
      <c r="N117" s="58" t="s">
        <v>146</v>
      </c>
      <c r="O117" s="58" t="s">
        <v>146</v>
      </c>
      <c r="P117" s="58" t="s">
        <v>146</v>
      </c>
      <c r="Q117" s="58" t="s">
        <v>43</v>
      </c>
      <c r="R117" s="58" t="s">
        <v>14</v>
      </c>
      <c r="S117" s="58"/>
      <c r="T117" s="71">
        <f>IF(R117="","",IF(OR(R117="SUPORTE",R117="PERDA / FECHOU LOJA"),"SEM",A117+VLOOKUP(R117,REGRAS!$B$2:$C$13,2,FALSE())))</f>
        <v>46076</v>
      </c>
      <c r="U117" s="58" t="str">
        <f t="shared" si="5"/>
        <v>CS</v>
      </c>
      <c r="V117" s="58"/>
      <c r="W117" s="58" t="s">
        <v>146</v>
      </c>
      <c r="X117" s="58"/>
    </row>
    <row r="118" spans="1:24" x14ac:dyDescent="0.3">
      <c r="A118" s="71">
        <v>46075</v>
      </c>
      <c r="B118" s="58" t="s">
        <v>141</v>
      </c>
      <c r="C118" s="58" t="s">
        <v>584</v>
      </c>
      <c r="D118" s="58" t="s">
        <v>585</v>
      </c>
      <c r="E118" s="58" t="s">
        <v>335</v>
      </c>
      <c r="F118" s="58" t="s">
        <v>292</v>
      </c>
      <c r="G118" s="58" t="s">
        <v>71</v>
      </c>
      <c r="H118" s="58">
        <v>23</v>
      </c>
      <c r="I118" s="58" t="str">
        <f>IF(R118="","",VLOOKUP(R118,REGRAS!$B$2:$D$13,3,FALSE()))</f>
        <v>RELAC.</v>
      </c>
      <c r="J118" s="58"/>
      <c r="K118" s="58" t="str">
        <f t="shared" si="3"/>
        <v>SALVAMENTO</v>
      </c>
      <c r="L118" s="58" t="str">
        <f t="shared" si="4"/>
        <v>🟢</v>
      </c>
      <c r="M118" s="58"/>
      <c r="N118" s="58" t="s">
        <v>146</v>
      </c>
      <c r="O118" s="58" t="s">
        <v>147</v>
      </c>
      <c r="P118" s="58" t="s">
        <v>149</v>
      </c>
      <c r="Q118" s="58" t="s">
        <v>41</v>
      </c>
      <c r="R118" s="58" t="s">
        <v>17</v>
      </c>
      <c r="S118" s="58" t="s">
        <v>57</v>
      </c>
      <c r="T118" s="71">
        <f>IF(R118="","",IF(OR(R118="SUPORTE",R118="PERDA / FECHOU LOJA"),"SEM",A118+VLOOKUP(R118,REGRAS!$B$2:$C$13,2,FALSE())))</f>
        <v>46082</v>
      </c>
      <c r="U118" s="58" t="str">
        <f t="shared" si="5"/>
        <v>SALVAMENTO</v>
      </c>
      <c r="V118" s="58"/>
      <c r="W118" s="58" t="s">
        <v>147</v>
      </c>
      <c r="X118" s="58"/>
    </row>
    <row r="119" spans="1:24" x14ac:dyDescent="0.3">
      <c r="A119" s="71">
        <v>46055</v>
      </c>
      <c r="B119" s="58" t="s">
        <v>141</v>
      </c>
      <c r="C119" s="58" t="s">
        <v>586</v>
      </c>
      <c r="D119" s="58" t="s">
        <v>587</v>
      </c>
      <c r="E119" s="58" t="s">
        <v>332</v>
      </c>
      <c r="F119" s="58" t="s">
        <v>292</v>
      </c>
      <c r="G119" s="58" t="s">
        <v>82</v>
      </c>
      <c r="H119" s="58"/>
      <c r="I119" s="58" t="str">
        <f>IF(R119="","",VLOOKUP(R119,REGRAS!$B$2:$D$13,3,FALSE()))</f>
        <v>FUNIL</v>
      </c>
      <c r="J119" s="58"/>
      <c r="K119" s="58" t="str">
        <f t="shared" si="3"/>
        <v>EM ATENDIMENTO</v>
      </c>
      <c r="L119" s="58" t="str">
        <f t="shared" si="4"/>
        <v/>
      </c>
      <c r="M119" s="58"/>
      <c r="N119" s="58" t="s">
        <v>146</v>
      </c>
      <c r="O119" s="58" t="s">
        <v>147</v>
      </c>
      <c r="P119" s="58" t="s">
        <v>149</v>
      </c>
      <c r="Q119" s="58" t="s">
        <v>37</v>
      </c>
      <c r="R119" s="58" t="s">
        <v>5</v>
      </c>
      <c r="S119" s="58"/>
      <c r="T119" s="71">
        <f>IF(R119="","",IF(OR(R119="SUPORTE",R119="PERDA / FECHOU LOJA"),"SEM",A119+VLOOKUP(R119,REGRAS!$B$2:$C$13,2,FALSE())))</f>
        <v>46057</v>
      </c>
      <c r="U119" s="58" t="str">
        <f t="shared" si="5"/>
        <v>PROSPECÇÃO</v>
      </c>
      <c r="V119" s="58"/>
      <c r="W119" s="58" t="s">
        <v>147</v>
      </c>
      <c r="X119" s="58"/>
    </row>
    <row r="120" spans="1:24" x14ac:dyDescent="0.3">
      <c r="A120" s="71">
        <v>46064</v>
      </c>
      <c r="B120" s="58" t="s">
        <v>135</v>
      </c>
      <c r="C120" s="58" t="s">
        <v>588</v>
      </c>
      <c r="D120" s="58" t="s">
        <v>589</v>
      </c>
      <c r="E120" s="58" t="s">
        <v>366</v>
      </c>
      <c r="F120" s="58" t="s">
        <v>292</v>
      </c>
      <c r="G120" s="58" t="s">
        <v>71</v>
      </c>
      <c r="H120" s="58">
        <v>34</v>
      </c>
      <c r="I120" s="58" t="str">
        <f>IF(R120="","",VLOOKUP(R120,REGRAS!$B$2:$D$13,3,FALSE()))</f>
        <v>FUNIL</v>
      </c>
      <c r="J120" s="58"/>
      <c r="K120" s="58" t="str">
        <f t="shared" si="3"/>
        <v>PROSPECÇÃO</v>
      </c>
      <c r="L120" s="58" t="str">
        <f t="shared" si="4"/>
        <v>🟢</v>
      </c>
      <c r="M120" s="58"/>
      <c r="N120" s="58" t="s">
        <v>146</v>
      </c>
      <c r="O120" s="58" t="s">
        <v>146</v>
      </c>
      <c r="P120" s="58" t="s">
        <v>146</v>
      </c>
      <c r="Q120" s="58" t="s">
        <v>41</v>
      </c>
      <c r="R120" s="58" t="s">
        <v>10</v>
      </c>
      <c r="S120" s="58"/>
      <c r="T120" s="71">
        <f>IF(R120="","",IF(OR(R120="SUPORTE",R120="PERDA / FECHOU LOJA"),"SEM",A120+VLOOKUP(R120,REGRAS!$B$2:$C$13,2,FALSE())))</f>
        <v>46066</v>
      </c>
      <c r="U120" s="58" t="str">
        <f t="shared" si="5"/>
        <v>PROSPECÇÃO</v>
      </c>
      <c r="V120" s="58"/>
      <c r="W120" s="58" t="s">
        <v>147</v>
      </c>
      <c r="X120" s="58"/>
    </row>
    <row r="121" spans="1:24" x14ac:dyDescent="0.3">
      <c r="A121" s="71">
        <v>46060</v>
      </c>
      <c r="B121" s="58" t="s">
        <v>135</v>
      </c>
      <c r="C121" s="58" t="s">
        <v>590</v>
      </c>
      <c r="D121" s="58" t="s">
        <v>591</v>
      </c>
      <c r="E121" s="58" t="s">
        <v>332</v>
      </c>
      <c r="F121" s="58" t="s">
        <v>292</v>
      </c>
      <c r="G121" s="58" t="s">
        <v>74</v>
      </c>
      <c r="H121" s="58">
        <v>54</v>
      </c>
      <c r="I121" s="58" t="str">
        <f>IF(R121="","",VLOOKUP(R121,REGRAS!$B$2:$D$13,3,FALSE()))</f>
        <v>FUNIL</v>
      </c>
      <c r="J121" s="58"/>
      <c r="K121" s="58" t="str">
        <f t="shared" si="3"/>
        <v>PROSPECÇÃO</v>
      </c>
      <c r="L121" s="58" t="str">
        <f t="shared" si="4"/>
        <v>🟡</v>
      </c>
      <c r="M121" s="58"/>
      <c r="N121" s="58" t="s">
        <v>146</v>
      </c>
      <c r="O121" s="58" t="s">
        <v>146</v>
      </c>
      <c r="P121" s="58" t="s">
        <v>146</v>
      </c>
      <c r="Q121" s="58" t="s">
        <v>33</v>
      </c>
      <c r="R121" s="58" t="s">
        <v>10</v>
      </c>
      <c r="S121" s="58"/>
      <c r="T121" s="71">
        <f>IF(R121="","",IF(OR(R121="SUPORTE",R121="PERDA / FECHOU LOJA"),"SEM",A121+VLOOKUP(R121,REGRAS!$B$2:$C$13,2,FALSE())))</f>
        <v>46062</v>
      </c>
      <c r="U121" s="58" t="str">
        <f t="shared" si="5"/>
        <v>PROSPECÇÃO</v>
      </c>
      <c r="V121" s="58"/>
      <c r="W121" s="58" t="s">
        <v>146</v>
      </c>
      <c r="X121" s="58"/>
    </row>
    <row r="122" spans="1:24" x14ac:dyDescent="0.3">
      <c r="A122" s="71">
        <v>46072</v>
      </c>
      <c r="B122" s="58" t="s">
        <v>135</v>
      </c>
      <c r="C122" s="58" t="s">
        <v>592</v>
      </c>
      <c r="D122" s="58" t="s">
        <v>593</v>
      </c>
      <c r="E122" s="58" t="s">
        <v>366</v>
      </c>
      <c r="F122" s="58" t="s">
        <v>286</v>
      </c>
      <c r="G122" s="58" t="s">
        <v>77</v>
      </c>
      <c r="H122" s="58">
        <v>89</v>
      </c>
      <c r="I122" s="58" t="str">
        <f>IF(R122="","",VLOOKUP(R122,REGRAS!$B$2:$D$13,3,FALSE()))</f>
        <v>FUNIL</v>
      </c>
      <c r="J122" s="58"/>
      <c r="K122" s="58" t="str">
        <f t="shared" si="3"/>
        <v>RECOMPRA</v>
      </c>
      <c r="L122" s="58" t="str">
        <f t="shared" si="4"/>
        <v>🟡</v>
      </c>
      <c r="M122" s="58"/>
      <c r="N122" s="58" t="s">
        <v>146</v>
      </c>
      <c r="O122" s="58" t="s">
        <v>147</v>
      </c>
      <c r="P122" s="58" t="s">
        <v>149</v>
      </c>
      <c r="Q122" s="58" t="s">
        <v>43</v>
      </c>
      <c r="R122" s="58" t="s">
        <v>12</v>
      </c>
      <c r="S122" s="58"/>
      <c r="T122" s="71">
        <f>IF(R122="","",IF(OR(R122="SUPORTE",R122="PERDA / FECHOU LOJA"),"SEM",A122+VLOOKUP(R122,REGRAS!$B$2:$C$13,2,FALSE())))</f>
        <v>46117</v>
      </c>
      <c r="U122" s="58" t="str">
        <f t="shared" si="5"/>
        <v>RECOMPRA</v>
      </c>
      <c r="V122" s="58"/>
      <c r="W122" s="58" t="s">
        <v>147</v>
      </c>
      <c r="X122" s="58"/>
    </row>
    <row r="123" spans="1:24" x14ac:dyDescent="0.3">
      <c r="A123" s="71">
        <v>46065</v>
      </c>
      <c r="B123" s="58" t="s">
        <v>139</v>
      </c>
      <c r="C123" s="58" t="s">
        <v>594</v>
      </c>
      <c r="D123" s="58" t="s">
        <v>595</v>
      </c>
      <c r="E123" s="58" t="s">
        <v>376</v>
      </c>
      <c r="F123" s="58" t="s">
        <v>296</v>
      </c>
      <c r="G123" s="58" t="s">
        <v>74</v>
      </c>
      <c r="H123" s="58">
        <v>59</v>
      </c>
      <c r="I123" s="58" t="str">
        <f>IF(R123="","",VLOOKUP(R123,REGRAS!$B$2:$D$13,3,FALSE()))</f>
        <v>FUNIL</v>
      </c>
      <c r="J123" s="58"/>
      <c r="K123" s="58" t="str">
        <f t="shared" si="3"/>
        <v>RECOMPRA</v>
      </c>
      <c r="L123" s="58" t="str">
        <f t="shared" si="4"/>
        <v>🟡</v>
      </c>
      <c r="M123" s="58"/>
      <c r="N123" s="58" t="s">
        <v>147</v>
      </c>
      <c r="O123" s="58" t="s">
        <v>147</v>
      </c>
      <c r="P123" s="58" t="s">
        <v>149</v>
      </c>
      <c r="Q123" s="58" t="s">
        <v>43</v>
      </c>
      <c r="R123" s="58" t="s">
        <v>12</v>
      </c>
      <c r="S123" s="58"/>
      <c r="T123" s="71">
        <f>IF(R123="","",IF(OR(R123="SUPORTE",R123="PERDA / FECHOU LOJA"),"SEM",A123+VLOOKUP(R123,REGRAS!$B$2:$C$13,2,FALSE())))</f>
        <v>46110</v>
      </c>
      <c r="U123" s="58" t="str">
        <f t="shared" si="5"/>
        <v>RECOMPRA</v>
      </c>
      <c r="V123" s="58"/>
      <c r="W123" s="58" t="s">
        <v>146</v>
      </c>
      <c r="X123" s="58"/>
    </row>
    <row r="124" spans="1:24" x14ac:dyDescent="0.3">
      <c r="A124" s="71">
        <v>46079</v>
      </c>
      <c r="B124" s="58" t="s">
        <v>135</v>
      </c>
      <c r="C124" s="58" t="s">
        <v>596</v>
      </c>
      <c r="D124" s="58" t="s">
        <v>597</v>
      </c>
      <c r="E124" s="58" t="s">
        <v>346</v>
      </c>
      <c r="F124" s="58" t="s">
        <v>292</v>
      </c>
      <c r="G124" s="58" t="s">
        <v>71</v>
      </c>
      <c r="H124" s="58">
        <v>39</v>
      </c>
      <c r="I124" s="58" t="str">
        <f>IF(R124="","",VLOOKUP(R124,REGRAS!$B$2:$D$13,3,FALSE()))</f>
        <v>FUNIL</v>
      </c>
      <c r="J124" s="58"/>
      <c r="K124" s="58" t="str">
        <f t="shared" si="3"/>
        <v>PROSPECÇÃO</v>
      </c>
      <c r="L124" s="58" t="str">
        <f t="shared" si="4"/>
        <v>🟢</v>
      </c>
      <c r="M124" s="58"/>
      <c r="N124" s="58" t="s">
        <v>146</v>
      </c>
      <c r="O124" s="58" t="s">
        <v>146</v>
      </c>
      <c r="P124" s="58" t="s">
        <v>146</v>
      </c>
      <c r="Q124" s="58" t="s">
        <v>33</v>
      </c>
      <c r="R124" s="58" t="s">
        <v>8</v>
      </c>
      <c r="S124" s="58"/>
      <c r="T124" s="71">
        <f>IF(R124="","",IF(OR(R124="SUPORTE",R124="PERDA / FECHOU LOJA"),"SEM",A124+VLOOKUP(R124,REGRAS!$B$2:$C$13,2,FALSE())))</f>
        <v>46080</v>
      </c>
      <c r="U124" s="58" t="str">
        <f t="shared" si="5"/>
        <v>PROSPECÇÃO</v>
      </c>
      <c r="V124" s="58"/>
      <c r="W124" s="58" t="s">
        <v>146</v>
      </c>
      <c r="X124" s="58"/>
    </row>
    <row r="125" spans="1:24" x14ac:dyDescent="0.3">
      <c r="A125" s="71">
        <v>46056</v>
      </c>
      <c r="B125" s="58" t="s">
        <v>141</v>
      </c>
      <c r="C125" s="58" t="s">
        <v>598</v>
      </c>
      <c r="D125" s="58" t="s">
        <v>599</v>
      </c>
      <c r="E125" s="58" t="s">
        <v>335</v>
      </c>
      <c r="F125" s="58" t="s">
        <v>296</v>
      </c>
      <c r="G125" s="58" t="s">
        <v>79</v>
      </c>
      <c r="H125" s="58">
        <v>169</v>
      </c>
      <c r="I125" s="58" t="str">
        <f>IF(R125="","",VLOOKUP(R125,REGRAS!$B$2:$D$13,3,FALSE()))</f>
        <v>NÃO VENDA</v>
      </c>
      <c r="J125" s="58"/>
      <c r="K125" s="58" t="str">
        <f t="shared" si="3"/>
        <v>RECUPERAÇÃO</v>
      </c>
      <c r="L125" s="58" t="str">
        <f t="shared" si="4"/>
        <v>🔴</v>
      </c>
      <c r="M125" s="58"/>
      <c r="N125" s="58" t="s">
        <v>147</v>
      </c>
      <c r="O125" s="58" t="s">
        <v>147</v>
      </c>
      <c r="P125" s="58" t="s">
        <v>149</v>
      </c>
      <c r="Q125" s="58" t="s">
        <v>41</v>
      </c>
      <c r="R125" s="58" t="s">
        <v>26</v>
      </c>
      <c r="S125" s="58" t="s">
        <v>57</v>
      </c>
      <c r="T125" s="71">
        <f>IF(R125="","",IF(OR(R125="SUPORTE",R125="PERDA / FECHOU LOJA"),"SEM",A125+VLOOKUP(R125,REGRAS!$B$2:$C$13,2,FALSE())))</f>
        <v>46057</v>
      </c>
      <c r="U125" s="58" t="str">
        <f t="shared" si="5"/>
        <v>REATIVAÇÃO</v>
      </c>
      <c r="V125" s="58"/>
      <c r="W125" s="58" t="s">
        <v>146</v>
      </c>
      <c r="X125" s="58"/>
    </row>
    <row r="126" spans="1:24" x14ac:dyDescent="0.3">
      <c r="A126" s="71">
        <v>46065</v>
      </c>
      <c r="B126" s="58" t="s">
        <v>139</v>
      </c>
      <c r="C126" s="58" t="s">
        <v>600</v>
      </c>
      <c r="D126" s="58" t="s">
        <v>601</v>
      </c>
      <c r="E126" s="58" t="s">
        <v>332</v>
      </c>
      <c r="F126" s="58" t="s">
        <v>283</v>
      </c>
      <c r="G126" s="58" t="s">
        <v>79</v>
      </c>
      <c r="H126" s="58">
        <v>277</v>
      </c>
      <c r="I126" s="58" t="str">
        <f>IF(R126="","",VLOOKUP(R126,REGRAS!$B$2:$D$13,3,FALSE()))</f>
        <v>NÃO VENDA</v>
      </c>
      <c r="J126" s="58"/>
      <c r="K126" s="58" t="str">
        <f t="shared" si="3"/>
        <v>RECUPERAÇÃO</v>
      </c>
      <c r="L126" s="58" t="str">
        <f t="shared" si="4"/>
        <v>🔴</v>
      </c>
      <c r="M126" s="58"/>
      <c r="N126" s="58" t="s">
        <v>147</v>
      </c>
      <c r="O126" s="58" t="s">
        <v>146</v>
      </c>
      <c r="P126" s="58" t="s">
        <v>147</v>
      </c>
      <c r="Q126" s="58" t="s">
        <v>41</v>
      </c>
      <c r="R126" s="58" t="s">
        <v>26</v>
      </c>
      <c r="S126" s="58" t="s">
        <v>64</v>
      </c>
      <c r="T126" s="71">
        <f>IF(R126="","",IF(OR(R126="SUPORTE",R126="PERDA / FECHOU LOJA"),"SEM",A126+VLOOKUP(R126,REGRAS!$B$2:$C$13,2,FALSE())))</f>
        <v>46066</v>
      </c>
      <c r="U126" s="58" t="str">
        <f t="shared" si="5"/>
        <v>REATIVAÇÃO</v>
      </c>
      <c r="V126" s="58"/>
      <c r="W126" s="58" t="s">
        <v>146</v>
      </c>
      <c r="X126" s="58"/>
    </row>
    <row r="127" spans="1:24" x14ac:dyDescent="0.3">
      <c r="A127" s="71">
        <v>46075</v>
      </c>
      <c r="B127" s="58" t="s">
        <v>141</v>
      </c>
      <c r="C127" s="58" t="s">
        <v>602</v>
      </c>
      <c r="D127" s="58" t="s">
        <v>603</v>
      </c>
      <c r="E127" s="58" t="s">
        <v>422</v>
      </c>
      <c r="F127" s="58" t="s">
        <v>286</v>
      </c>
      <c r="G127" s="58" t="s">
        <v>71</v>
      </c>
      <c r="H127" s="58">
        <v>19</v>
      </c>
      <c r="I127" s="58" t="str">
        <f>IF(R127="","",VLOOKUP(R127,REGRAS!$B$2:$D$13,3,FALSE()))</f>
        <v>FUNIL</v>
      </c>
      <c r="J127" s="58"/>
      <c r="K127" s="58" t="str">
        <f t="shared" si="3"/>
        <v>RECOMPRA</v>
      </c>
      <c r="L127" s="58" t="str">
        <f t="shared" si="4"/>
        <v>🟢</v>
      </c>
      <c r="M127" s="58"/>
      <c r="N127" s="58" t="s">
        <v>147</v>
      </c>
      <c r="O127" s="58" t="s">
        <v>147</v>
      </c>
      <c r="P127" s="58" t="s">
        <v>149</v>
      </c>
      <c r="Q127" s="58" t="s">
        <v>43</v>
      </c>
      <c r="R127" s="58" t="s">
        <v>12</v>
      </c>
      <c r="S127" s="58"/>
      <c r="T127" s="71">
        <f>IF(R127="","",IF(OR(R127="SUPORTE",R127="PERDA / FECHOU LOJA"),"SEM",A127+VLOOKUP(R127,REGRAS!$B$2:$C$13,2,FALSE())))</f>
        <v>46120</v>
      </c>
      <c r="U127" s="58" t="str">
        <f t="shared" si="5"/>
        <v>RECOMPRA</v>
      </c>
      <c r="V127" s="58"/>
      <c r="W127" s="58" t="s">
        <v>147</v>
      </c>
      <c r="X127" s="58"/>
    </row>
    <row r="128" spans="1:24" x14ac:dyDescent="0.3">
      <c r="A128" s="71">
        <v>46067</v>
      </c>
      <c r="B128" s="58" t="s">
        <v>137</v>
      </c>
      <c r="C128" s="58" t="s">
        <v>604</v>
      </c>
      <c r="D128" s="58" t="s">
        <v>605</v>
      </c>
      <c r="E128" s="58" t="s">
        <v>381</v>
      </c>
      <c r="F128" s="58" t="s">
        <v>292</v>
      </c>
      <c r="G128" s="58" t="s">
        <v>71</v>
      </c>
      <c r="H128" s="58">
        <v>47</v>
      </c>
      <c r="I128" s="58" t="str">
        <f>IF(R128="","",VLOOKUP(R128,REGRAS!$B$2:$D$13,3,FALSE()))</f>
        <v>RELAC.</v>
      </c>
      <c r="J128" s="58"/>
      <c r="K128" s="58" t="str">
        <f t="shared" si="3"/>
        <v>PÓS-VENDA</v>
      </c>
      <c r="L128" s="58" t="str">
        <f t="shared" si="4"/>
        <v>🟢</v>
      </c>
      <c r="M128" s="58"/>
      <c r="N128" s="58" t="s">
        <v>147</v>
      </c>
      <c r="O128" s="58" t="s">
        <v>146</v>
      </c>
      <c r="P128" s="58" t="s">
        <v>146</v>
      </c>
      <c r="Q128" s="58" t="s">
        <v>39</v>
      </c>
      <c r="R128" s="58" t="s">
        <v>21</v>
      </c>
      <c r="S128" s="58"/>
      <c r="T128" s="71" t="str">
        <f>IF(R128="","",IF(OR(R128="SUPORTE",R128="PERDA / FECHOU LOJA"),"SEM",A128+VLOOKUP(R128,REGRAS!$B$2:$C$13,2,FALSE())))</f>
        <v>SEM</v>
      </c>
      <c r="U128" s="58" t="str">
        <f t="shared" si="5"/>
        <v>PÓS-VENDA</v>
      </c>
      <c r="V128" s="58"/>
      <c r="W128" s="58" t="s">
        <v>146</v>
      </c>
      <c r="X128" s="58"/>
    </row>
    <row r="129" spans="1:24" x14ac:dyDescent="0.3">
      <c r="A129" s="71">
        <v>46055</v>
      </c>
      <c r="B129" s="58" t="s">
        <v>137</v>
      </c>
      <c r="C129" s="58" t="s">
        <v>606</v>
      </c>
      <c r="D129" s="58" t="s">
        <v>607</v>
      </c>
      <c r="E129" s="58" t="s">
        <v>332</v>
      </c>
      <c r="F129" s="58" t="s">
        <v>292</v>
      </c>
      <c r="G129" s="58" t="s">
        <v>71</v>
      </c>
      <c r="H129" s="58">
        <v>37</v>
      </c>
      <c r="I129" s="58" t="str">
        <f>IF(R129="","",VLOOKUP(R129,REGRAS!$B$2:$D$13,3,FALSE()))</f>
        <v>NÃO VENDA</v>
      </c>
      <c r="J129" s="58"/>
      <c r="K129" s="58" t="str">
        <f t="shared" si="3"/>
        <v>NUTRIÇÃO</v>
      </c>
      <c r="L129" s="58" t="str">
        <f t="shared" si="4"/>
        <v>🟢</v>
      </c>
      <c r="M129" s="58"/>
      <c r="N129" s="58" t="s">
        <v>147</v>
      </c>
      <c r="O129" s="58" t="s">
        <v>147</v>
      </c>
      <c r="P129" s="58" t="s">
        <v>149</v>
      </c>
      <c r="Q129" s="58" t="s">
        <v>45</v>
      </c>
      <c r="R129" s="58" t="s">
        <v>30</v>
      </c>
      <c r="S129" s="58" t="s">
        <v>57</v>
      </c>
      <c r="T129" s="71" t="str">
        <f>IF(R129="","",IF(OR(R129="SUPORTE",R129="PERDA / FECHOU LOJA"),"SEM",A129+VLOOKUP(R129,REGRAS!$B$2:$C$13,2,FALSE())))</f>
        <v>SEM</v>
      </c>
      <c r="U129" s="58" t="str">
        <f t="shared" si="5"/>
        <v>NUTRIÇÃO</v>
      </c>
      <c r="V129" s="58"/>
      <c r="W129" s="58" t="s">
        <v>147</v>
      </c>
      <c r="X129" s="58"/>
    </row>
    <row r="130" spans="1:24" x14ac:dyDescent="0.3">
      <c r="A130" s="71">
        <v>46080</v>
      </c>
      <c r="B130" s="58" t="s">
        <v>135</v>
      </c>
      <c r="C130" s="58" t="s">
        <v>608</v>
      </c>
      <c r="D130" s="58" t="s">
        <v>609</v>
      </c>
      <c r="E130" s="58" t="s">
        <v>366</v>
      </c>
      <c r="F130" s="58" t="s">
        <v>296</v>
      </c>
      <c r="G130" s="58" t="s">
        <v>77</v>
      </c>
      <c r="H130" s="58">
        <v>84</v>
      </c>
      <c r="I130" s="58" t="str">
        <f>IF(R130="","",VLOOKUP(R130,REGRAS!$B$2:$D$13,3,FALSE()))</f>
        <v>RELAC.</v>
      </c>
      <c r="J130" s="58"/>
      <c r="K130" s="58" t="str">
        <f t="shared" si="3"/>
        <v>PÓS-VENDA</v>
      </c>
      <c r="L130" s="58" t="str">
        <f t="shared" si="4"/>
        <v>🟡</v>
      </c>
      <c r="M130" s="58"/>
      <c r="N130" s="58" t="s">
        <v>146</v>
      </c>
      <c r="O130" s="58" t="s">
        <v>147</v>
      </c>
      <c r="P130" s="58" t="s">
        <v>149</v>
      </c>
      <c r="Q130" s="58" t="s">
        <v>43</v>
      </c>
      <c r="R130" s="58" t="s">
        <v>21</v>
      </c>
      <c r="S130" s="58"/>
      <c r="T130" s="71" t="str">
        <f>IF(R130="","",IF(OR(R130="SUPORTE",R130="PERDA / FECHOU LOJA"),"SEM",A130+VLOOKUP(R130,REGRAS!$B$2:$C$13,2,FALSE())))</f>
        <v>SEM</v>
      </c>
      <c r="U130" s="58" t="str">
        <f t="shared" si="5"/>
        <v>PÓS-VENDA</v>
      </c>
      <c r="V130" s="58"/>
      <c r="W130" s="58" t="s">
        <v>147</v>
      </c>
      <c r="X130" s="58"/>
    </row>
    <row r="131" spans="1:24" x14ac:dyDescent="0.3">
      <c r="A131" s="71">
        <v>46074</v>
      </c>
      <c r="B131" s="58" t="s">
        <v>139</v>
      </c>
      <c r="C131" s="58" t="s">
        <v>610</v>
      </c>
      <c r="D131" s="58" t="s">
        <v>611</v>
      </c>
      <c r="E131" s="58" t="s">
        <v>366</v>
      </c>
      <c r="F131" s="58" t="s">
        <v>292</v>
      </c>
      <c r="G131" s="58" t="s">
        <v>74</v>
      </c>
      <c r="H131" s="58">
        <v>54</v>
      </c>
      <c r="I131" s="58" t="str">
        <f>IF(R131="","",VLOOKUP(R131,REGRAS!$B$2:$D$13,3,FALSE()))</f>
        <v>NÃO VENDA</v>
      </c>
      <c r="J131" s="58"/>
      <c r="K131" s="58" t="str">
        <f t="shared" si="3"/>
        <v>RECUPERAÇÃO</v>
      </c>
      <c r="L131" s="58" t="str">
        <f t="shared" si="4"/>
        <v>🟡</v>
      </c>
      <c r="M131" s="58"/>
      <c r="N131" s="58" t="s">
        <v>147</v>
      </c>
      <c r="O131" s="58" t="s">
        <v>147</v>
      </c>
      <c r="P131" s="58" t="s">
        <v>149</v>
      </c>
      <c r="Q131" s="58" t="s">
        <v>37</v>
      </c>
      <c r="R131" s="58" t="s">
        <v>23</v>
      </c>
      <c r="S131" s="58" t="s">
        <v>57</v>
      </c>
      <c r="T131" s="71">
        <f>IF(R131="","",IF(OR(R131="SUPORTE",R131="PERDA / FECHOU LOJA"),"SEM",A131+VLOOKUP(R131,REGRAS!$B$2:$C$13,2,FALSE())))</f>
        <v>46075</v>
      </c>
      <c r="U131" s="58" t="str">
        <f t="shared" si="5"/>
        <v>REATIVAÇÃO</v>
      </c>
      <c r="V131" s="58"/>
      <c r="W131" s="58" t="s">
        <v>147</v>
      </c>
      <c r="X131" s="58"/>
    </row>
    <row r="132" spans="1:24" x14ac:dyDescent="0.3">
      <c r="A132" s="71">
        <v>46071</v>
      </c>
      <c r="B132" s="58" t="s">
        <v>137</v>
      </c>
      <c r="C132" s="58" t="s">
        <v>612</v>
      </c>
      <c r="D132" s="58" t="s">
        <v>613</v>
      </c>
      <c r="E132" s="58" t="s">
        <v>346</v>
      </c>
      <c r="F132" s="58" t="s">
        <v>283</v>
      </c>
      <c r="G132" s="58" t="s">
        <v>79</v>
      </c>
      <c r="H132" s="58">
        <v>139</v>
      </c>
      <c r="I132" s="58" t="str">
        <f>IF(R132="","",VLOOKUP(R132,REGRAS!$B$2:$D$13,3,FALSE()))</f>
        <v>FUNIL</v>
      </c>
      <c r="J132" s="58"/>
      <c r="K132" s="58" t="str">
        <f t="shared" ref="K132:K195" si="6">IF(R132="","",IF(R132="VENDA / PEDIDO","RECOMPRA",IF(R132="SUPORTE","PÓS-VENDA",IF(OR(R132="FOLLOW UP 7",R132="FOLLOW UP 15"),"SALVAMENTO",IF(R132="PERDA / FECHOU LOJA","NUTRIÇÃO",IF(R132="RELACIONAMENTO","CS",IF(OR(R132="ORÇAMENTO",R132="CADASTRO"),"PROSPECÇÃO",IF(R132="EM ATENDIMENTO","EM ATENDIMENTO",IF(OR(R132="NÃO ATENDE",R132="NÃO RESPONDE",R132="RECUSOU LIGAÇÃO"),"RECUPERAÇÃO","")))))))))</f>
        <v>PROSPECÇÃO</v>
      </c>
      <c r="L132" s="58" t="str">
        <f t="shared" ref="L132:L195" si="7">IF(H132="","",IF(G132="PROSPECT","🟣",IF(G132="LEAD","🟣",IF(G132="NOVO","🟢",IF(H132&lt;=50,"🟢",IF(H132&lt;=90,"🟡","🔴"))))))</f>
        <v>🔴</v>
      </c>
      <c r="M132" s="58"/>
      <c r="N132" s="58" t="s">
        <v>146</v>
      </c>
      <c r="O132" s="58" t="s">
        <v>146</v>
      </c>
      <c r="P132" s="58" t="s">
        <v>146</v>
      </c>
      <c r="Q132" s="58" t="s">
        <v>33</v>
      </c>
      <c r="R132" s="58" t="s">
        <v>10</v>
      </c>
      <c r="S132" s="58"/>
      <c r="T132" s="71">
        <f>IF(R132="","",IF(OR(R132="SUPORTE",R132="PERDA / FECHOU LOJA"),"SEM",A132+VLOOKUP(R132,REGRAS!$B$2:$C$13,2,FALSE())))</f>
        <v>46073</v>
      </c>
      <c r="U132" s="58" t="str">
        <f t="shared" ref="U132:U195" si="8">IF(R132="","",IF(R132="VENDA / PEDIDO","RECOMPRA",IF(R132="SUPORTE","PÓS-VENDA",IF(R132="RELACIONAMENTO","CS",IF(OR(R132="NÃO ATENDE",R132="NÃO RESPONDE",R132="RECUSOU LIGAÇÃO"),"REATIVAÇÃO",IF(R132="PERDA / FECHOU LOJA","NUTRIÇÃO",IF(OR(R132="FOLLOW UP 7",R132="FOLLOW UP 15"),"SALVAMENTO","PROSPECÇÃO")))))))</f>
        <v>PROSPECÇÃO</v>
      </c>
      <c r="V132" s="58"/>
      <c r="W132" s="58" t="s">
        <v>147</v>
      </c>
      <c r="X132" s="58"/>
    </row>
    <row r="133" spans="1:24" x14ac:dyDescent="0.3">
      <c r="A133" s="71">
        <v>46072</v>
      </c>
      <c r="B133" s="58" t="s">
        <v>139</v>
      </c>
      <c r="C133" s="58" t="s">
        <v>614</v>
      </c>
      <c r="D133" s="58" t="s">
        <v>615</v>
      </c>
      <c r="E133" s="58" t="s">
        <v>369</v>
      </c>
      <c r="F133" s="58" t="s">
        <v>283</v>
      </c>
      <c r="G133" s="58" t="s">
        <v>85</v>
      </c>
      <c r="H133" s="58"/>
      <c r="I133" s="58" t="str">
        <f>IF(R133="","",VLOOKUP(R133,REGRAS!$B$2:$D$13,3,FALSE()))</f>
        <v>NÃO VENDA</v>
      </c>
      <c r="J133" s="58"/>
      <c r="K133" s="58" t="str">
        <f t="shared" si="6"/>
        <v>NUTRIÇÃO</v>
      </c>
      <c r="L133" s="58" t="str">
        <f t="shared" si="7"/>
        <v/>
      </c>
      <c r="M133" s="58"/>
      <c r="N133" s="58" t="s">
        <v>147</v>
      </c>
      <c r="O133" s="58" t="s">
        <v>147</v>
      </c>
      <c r="P133" s="58" t="s">
        <v>149</v>
      </c>
      <c r="Q133" s="58" t="s">
        <v>45</v>
      </c>
      <c r="R133" s="58" t="s">
        <v>30</v>
      </c>
      <c r="S133" s="58" t="s">
        <v>49</v>
      </c>
      <c r="T133" s="71" t="str">
        <f>IF(R133="","",IF(OR(R133="SUPORTE",R133="PERDA / FECHOU LOJA"),"SEM",A133+VLOOKUP(R133,REGRAS!$B$2:$C$13,2,FALSE())))</f>
        <v>SEM</v>
      </c>
      <c r="U133" s="58" t="str">
        <f t="shared" si="8"/>
        <v>NUTRIÇÃO</v>
      </c>
      <c r="V133" s="58"/>
      <c r="W133" s="58" t="s">
        <v>146</v>
      </c>
      <c r="X133" s="58"/>
    </row>
    <row r="134" spans="1:24" x14ac:dyDescent="0.3">
      <c r="A134" s="71">
        <v>46060</v>
      </c>
      <c r="B134" s="58" t="s">
        <v>137</v>
      </c>
      <c r="C134" s="58" t="s">
        <v>616</v>
      </c>
      <c r="D134" s="58" t="s">
        <v>617</v>
      </c>
      <c r="E134" s="58" t="s">
        <v>376</v>
      </c>
      <c r="F134" s="58" t="s">
        <v>295</v>
      </c>
      <c r="G134" s="58" t="s">
        <v>71</v>
      </c>
      <c r="H134" s="58">
        <v>37</v>
      </c>
      <c r="I134" s="58" t="str">
        <f>IF(R134="","",VLOOKUP(R134,REGRAS!$B$2:$D$13,3,FALSE()))</f>
        <v>RELAC.</v>
      </c>
      <c r="J134" s="58"/>
      <c r="K134" s="58" t="str">
        <f t="shared" si="6"/>
        <v>SALVAMENTO</v>
      </c>
      <c r="L134" s="58" t="str">
        <f t="shared" si="7"/>
        <v>🟢</v>
      </c>
      <c r="M134" s="58"/>
      <c r="N134" s="58" t="s">
        <v>147</v>
      </c>
      <c r="O134" s="58" t="s">
        <v>147</v>
      </c>
      <c r="P134" s="58" t="s">
        <v>149</v>
      </c>
      <c r="Q134" s="58" t="s">
        <v>43</v>
      </c>
      <c r="R134" s="58" t="s">
        <v>19</v>
      </c>
      <c r="S134" s="58" t="s">
        <v>61</v>
      </c>
      <c r="T134" s="71">
        <f>IF(R134="","",IF(OR(R134="SUPORTE",R134="PERDA / FECHOU LOJA"),"SEM",A134+VLOOKUP(R134,REGRAS!$B$2:$C$13,2,FALSE())))</f>
        <v>46075</v>
      </c>
      <c r="U134" s="58" t="str">
        <f t="shared" si="8"/>
        <v>SALVAMENTO</v>
      </c>
      <c r="V134" s="58"/>
      <c r="W134" s="58" t="s">
        <v>146</v>
      </c>
      <c r="X134" s="58"/>
    </row>
    <row r="135" spans="1:24" x14ac:dyDescent="0.3">
      <c r="A135" s="71">
        <v>46060</v>
      </c>
      <c r="B135" s="58" t="s">
        <v>137</v>
      </c>
      <c r="C135" s="58" t="s">
        <v>618</v>
      </c>
      <c r="D135" s="58" t="s">
        <v>619</v>
      </c>
      <c r="E135" s="58" t="s">
        <v>366</v>
      </c>
      <c r="F135" s="58" t="s">
        <v>292</v>
      </c>
      <c r="G135" s="58" t="s">
        <v>77</v>
      </c>
      <c r="H135" s="58">
        <v>74</v>
      </c>
      <c r="I135" s="58" t="str">
        <f>IF(R135="","",VLOOKUP(R135,REGRAS!$B$2:$D$13,3,FALSE()))</f>
        <v>FUNIL</v>
      </c>
      <c r="J135" s="58"/>
      <c r="K135" s="58" t="str">
        <f t="shared" si="6"/>
        <v>PROSPECÇÃO</v>
      </c>
      <c r="L135" s="58" t="str">
        <f t="shared" si="7"/>
        <v>🟡</v>
      </c>
      <c r="M135" s="58"/>
      <c r="N135" s="58" t="s">
        <v>146</v>
      </c>
      <c r="O135" s="58" t="s">
        <v>147</v>
      </c>
      <c r="P135" s="58" t="s">
        <v>149</v>
      </c>
      <c r="Q135" s="58" t="s">
        <v>37</v>
      </c>
      <c r="R135" s="58" t="s">
        <v>8</v>
      </c>
      <c r="S135" s="58"/>
      <c r="T135" s="71">
        <f>IF(R135="","",IF(OR(R135="SUPORTE",R135="PERDA / FECHOU LOJA"),"SEM",A135+VLOOKUP(R135,REGRAS!$B$2:$C$13,2,FALSE())))</f>
        <v>46061</v>
      </c>
      <c r="U135" s="58" t="str">
        <f t="shared" si="8"/>
        <v>PROSPECÇÃO</v>
      </c>
      <c r="V135" s="58"/>
      <c r="W135" s="58" t="s">
        <v>146</v>
      </c>
      <c r="X135" s="58"/>
    </row>
    <row r="136" spans="1:24" x14ac:dyDescent="0.3">
      <c r="A136" s="71">
        <v>46071</v>
      </c>
      <c r="B136" s="58" t="s">
        <v>139</v>
      </c>
      <c r="C136" s="58" t="s">
        <v>620</v>
      </c>
      <c r="D136" s="58" t="s">
        <v>621</v>
      </c>
      <c r="E136" s="58" t="s">
        <v>332</v>
      </c>
      <c r="F136" s="58" t="s">
        <v>292</v>
      </c>
      <c r="G136" s="58" t="s">
        <v>71</v>
      </c>
      <c r="H136" s="58">
        <v>39</v>
      </c>
      <c r="I136" s="58" t="str">
        <f>IF(R136="","",VLOOKUP(R136,REGRAS!$B$2:$D$13,3,FALSE()))</f>
        <v>FUNIL</v>
      </c>
      <c r="J136" s="58"/>
      <c r="K136" s="58" t="str">
        <f t="shared" si="6"/>
        <v>EM ATENDIMENTO</v>
      </c>
      <c r="L136" s="58" t="str">
        <f t="shared" si="7"/>
        <v>🟢</v>
      </c>
      <c r="M136" s="58"/>
      <c r="N136" s="58" t="s">
        <v>146</v>
      </c>
      <c r="O136" s="58" t="s">
        <v>147</v>
      </c>
      <c r="P136" s="58" t="s">
        <v>149</v>
      </c>
      <c r="Q136" s="58" t="s">
        <v>39</v>
      </c>
      <c r="R136" s="58" t="s">
        <v>5</v>
      </c>
      <c r="S136" s="58"/>
      <c r="T136" s="71">
        <f>IF(R136="","",IF(OR(R136="SUPORTE",R136="PERDA / FECHOU LOJA"),"SEM",A136+VLOOKUP(R136,REGRAS!$B$2:$C$13,2,FALSE())))</f>
        <v>46073</v>
      </c>
      <c r="U136" s="58" t="str">
        <f t="shared" si="8"/>
        <v>PROSPECÇÃO</v>
      </c>
      <c r="V136" s="58"/>
      <c r="W136" s="58" t="s">
        <v>146</v>
      </c>
      <c r="X136" s="58"/>
    </row>
    <row r="137" spans="1:24" x14ac:dyDescent="0.3">
      <c r="A137" s="71">
        <v>46055</v>
      </c>
      <c r="B137" s="58" t="s">
        <v>141</v>
      </c>
      <c r="C137" s="58" t="s">
        <v>546</v>
      </c>
      <c r="D137" s="58" t="s">
        <v>622</v>
      </c>
      <c r="E137" s="58" t="s">
        <v>346</v>
      </c>
      <c r="F137" s="58" t="s">
        <v>289</v>
      </c>
      <c r="G137" s="58" t="s">
        <v>79</v>
      </c>
      <c r="H137" s="58">
        <v>93</v>
      </c>
      <c r="I137" s="58" t="str">
        <f>IF(R137="","",VLOOKUP(R137,REGRAS!$B$2:$D$13,3,FALSE()))</f>
        <v>FUNIL</v>
      </c>
      <c r="J137" s="58"/>
      <c r="K137" s="58" t="str">
        <f t="shared" si="6"/>
        <v>PROSPECÇÃO</v>
      </c>
      <c r="L137" s="58" t="str">
        <f t="shared" si="7"/>
        <v>🔴</v>
      </c>
      <c r="M137" s="58"/>
      <c r="N137" s="58" t="s">
        <v>146</v>
      </c>
      <c r="O137" s="58" t="s">
        <v>147</v>
      </c>
      <c r="P137" s="58" t="s">
        <v>149</v>
      </c>
      <c r="Q137" s="58" t="s">
        <v>35</v>
      </c>
      <c r="R137" s="58" t="s">
        <v>10</v>
      </c>
      <c r="S137" s="58"/>
      <c r="T137" s="71">
        <f>IF(R137="","",IF(OR(R137="SUPORTE",R137="PERDA / FECHOU LOJA"),"SEM",A137+VLOOKUP(R137,REGRAS!$B$2:$C$13,2,FALSE())))</f>
        <v>46057</v>
      </c>
      <c r="U137" s="58" t="str">
        <f t="shared" si="8"/>
        <v>PROSPECÇÃO</v>
      </c>
      <c r="V137" s="58"/>
      <c r="W137" s="58" t="s">
        <v>147</v>
      </c>
      <c r="X137" s="58"/>
    </row>
    <row r="138" spans="1:24" x14ac:dyDescent="0.3">
      <c r="A138" s="71">
        <v>46069</v>
      </c>
      <c r="B138" s="58" t="s">
        <v>139</v>
      </c>
      <c r="C138" s="58" t="s">
        <v>623</v>
      </c>
      <c r="D138" s="58" t="s">
        <v>624</v>
      </c>
      <c r="E138" s="58" t="s">
        <v>376</v>
      </c>
      <c r="F138" s="58" t="s">
        <v>295</v>
      </c>
      <c r="G138" s="58" t="s">
        <v>85</v>
      </c>
      <c r="H138" s="58"/>
      <c r="I138" s="58" t="str">
        <f>IF(R138="","",VLOOKUP(R138,REGRAS!$B$2:$D$13,3,FALSE()))</f>
        <v>NÃO VENDA</v>
      </c>
      <c r="J138" s="58"/>
      <c r="K138" s="58" t="str">
        <f t="shared" si="6"/>
        <v>RECUPERAÇÃO</v>
      </c>
      <c r="L138" s="58" t="str">
        <f t="shared" si="7"/>
        <v/>
      </c>
      <c r="M138" s="58"/>
      <c r="N138" s="58" t="s">
        <v>146</v>
      </c>
      <c r="O138" s="58" t="s">
        <v>147</v>
      </c>
      <c r="P138" s="58" t="s">
        <v>149</v>
      </c>
      <c r="Q138" s="58" t="s">
        <v>33</v>
      </c>
      <c r="R138" s="58" t="s">
        <v>26</v>
      </c>
      <c r="S138" s="58" t="s">
        <v>64</v>
      </c>
      <c r="T138" s="71">
        <f>IF(R138="","",IF(OR(R138="SUPORTE",R138="PERDA / FECHOU LOJA"),"SEM",A138+VLOOKUP(R138,REGRAS!$B$2:$C$13,2,FALSE())))</f>
        <v>46070</v>
      </c>
      <c r="U138" s="58" t="str">
        <f t="shared" si="8"/>
        <v>REATIVAÇÃO</v>
      </c>
      <c r="V138" s="58"/>
      <c r="W138" s="58" t="s">
        <v>146</v>
      </c>
      <c r="X138" s="58"/>
    </row>
    <row r="139" spans="1:24" x14ac:dyDescent="0.3">
      <c r="A139" s="71">
        <v>46057</v>
      </c>
      <c r="B139" s="58" t="s">
        <v>137</v>
      </c>
      <c r="C139" s="58" t="s">
        <v>625</v>
      </c>
      <c r="D139" s="58" t="s">
        <v>626</v>
      </c>
      <c r="E139" s="58" t="s">
        <v>346</v>
      </c>
      <c r="F139" s="58" t="s">
        <v>283</v>
      </c>
      <c r="G139" s="58" t="s">
        <v>85</v>
      </c>
      <c r="H139" s="58"/>
      <c r="I139" s="58" t="str">
        <f>IF(R139="","",VLOOKUP(R139,REGRAS!$B$2:$D$13,3,FALSE()))</f>
        <v>FUNIL</v>
      </c>
      <c r="J139" s="58"/>
      <c r="K139" s="58" t="str">
        <f t="shared" si="6"/>
        <v>PROSPECÇÃO</v>
      </c>
      <c r="L139" s="58" t="str">
        <f t="shared" si="7"/>
        <v/>
      </c>
      <c r="M139" s="58"/>
      <c r="N139" s="58" t="s">
        <v>146</v>
      </c>
      <c r="O139" s="58" t="s">
        <v>146</v>
      </c>
      <c r="P139" s="58" t="s">
        <v>147</v>
      </c>
      <c r="Q139" s="58" t="s">
        <v>39</v>
      </c>
      <c r="R139" s="58" t="s">
        <v>8</v>
      </c>
      <c r="S139" s="58"/>
      <c r="T139" s="71">
        <f>IF(R139="","",IF(OR(R139="SUPORTE",R139="PERDA / FECHOU LOJA"),"SEM",A139+VLOOKUP(R139,REGRAS!$B$2:$C$13,2,FALSE())))</f>
        <v>46058</v>
      </c>
      <c r="U139" s="58" t="str">
        <f t="shared" si="8"/>
        <v>PROSPECÇÃO</v>
      </c>
      <c r="V139" s="58"/>
      <c r="W139" s="58" t="s">
        <v>146</v>
      </c>
      <c r="X139" s="58"/>
    </row>
    <row r="140" spans="1:24" x14ac:dyDescent="0.3">
      <c r="A140" s="71">
        <v>46081</v>
      </c>
      <c r="B140" s="58" t="s">
        <v>139</v>
      </c>
      <c r="C140" s="58" t="s">
        <v>627</v>
      </c>
      <c r="D140" s="58" t="s">
        <v>628</v>
      </c>
      <c r="E140" s="58" t="s">
        <v>332</v>
      </c>
      <c r="F140" s="58" t="s">
        <v>283</v>
      </c>
      <c r="G140" s="58" t="s">
        <v>71</v>
      </c>
      <c r="H140" s="58">
        <v>36</v>
      </c>
      <c r="I140" s="58" t="str">
        <f>IF(R140="","",VLOOKUP(R140,REGRAS!$B$2:$D$13,3,FALSE()))</f>
        <v>RELAC.</v>
      </c>
      <c r="J140" s="58"/>
      <c r="K140" s="58" t="str">
        <f t="shared" si="6"/>
        <v>PÓS-VENDA</v>
      </c>
      <c r="L140" s="58" t="str">
        <f t="shared" si="7"/>
        <v>🟢</v>
      </c>
      <c r="M140" s="58"/>
      <c r="N140" s="58" t="s">
        <v>146</v>
      </c>
      <c r="O140" s="58" t="s">
        <v>147</v>
      </c>
      <c r="P140" s="58" t="s">
        <v>149</v>
      </c>
      <c r="Q140" s="58" t="s">
        <v>43</v>
      </c>
      <c r="R140" s="58" t="s">
        <v>21</v>
      </c>
      <c r="S140" s="58"/>
      <c r="T140" s="71" t="str">
        <f>IF(R140="","",IF(OR(R140="SUPORTE",R140="PERDA / FECHOU LOJA"),"SEM",A140+VLOOKUP(R140,REGRAS!$B$2:$C$13,2,FALSE())))</f>
        <v>SEM</v>
      </c>
      <c r="U140" s="58" t="str">
        <f t="shared" si="8"/>
        <v>PÓS-VENDA</v>
      </c>
      <c r="V140" s="58"/>
      <c r="W140" s="58" t="s">
        <v>147</v>
      </c>
      <c r="X140" s="58"/>
    </row>
    <row r="141" spans="1:24" x14ac:dyDescent="0.3">
      <c r="A141" s="71">
        <v>46070</v>
      </c>
      <c r="B141" s="58" t="s">
        <v>141</v>
      </c>
      <c r="C141" s="58" t="s">
        <v>629</v>
      </c>
      <c r="D141" s="58" t="s">
        <v>630</v>
      </c>
      <c r="E141" s="58" t="s">
        <v>381</v>
      </c>
      <c r="F141" s="58" t="s">
        <v>297</v>
      </c>
      <c r="G141" s="58" t="s">
        <v>71</v>
      </c>
      <c r="H141" s="58">
        <v>39</v>
      </c>
      <c r="I141" s="58" t="str">
        <f>IF(R141="","",VLOOKUP(R141,REGRAS!$B$2:$D$13,3,FALSE()))</f>
        <v>FUNIL</v>
      </c>
      <c r="J141" s="58"/>
      <c r="K141" s="58" t="str">
        <f t="shared" si="6"/>
        <v>RECOMPRA</v>
      </c>
      <c r="L141" s="58" t="str">
        <f t="shared" si="7"/>
        <v>🟢</v>
      </c>
      <c r="M141" s="58"/>
      <c r="N141" s="58" t="s">
        <v>147</v>
      </c>
      <c r="O141" s="58" t="s">
        <v>146</v>
      </c>
      <c r="P141" s="58" t="s">
        <v>147</v>
      </c>
      <c r="Q141" s="58" t="s">
        <v>39</v>
      </c>
      <c r="R141" s="58" t="s">
        <v>12</v>
      </c>
      <c r="S141" s="58"/>
      <c r="T141" s="71">
        <f>IF(R141="","",IF(OR(R141="SUPORTE",R141="PERDA / FECHOU LOJA"),"SEM",A141+VLOOKUP(R141,REGRAS!$B$2:$C$13,2,FALSE())))</f>
        <v>46115</v>
      </c>
      <c r="U141" s="58" t="str">
        <f t="shared" si="8"/>
        <v>RECOMPRA</v>
      </c>
      <c r="V141" s="58"/>
      <c r="W141" s="58" t="s">
        <v>146</v>
      </c>
      <c r="X141" s="58"/>
    </row>
    <row r="142" spans="1:24" x14ac:dyDescent="0.3">
      <c r="A142" s="71">
        <v>46078</v>
      </c>
      <c r="B142" s="58" t="s">
        <v>141</v>
      </c>
      <c r="C142" s="58" t="s">
        <v>631</v>
      </c>
      <c r="D142" s="58" t="s">
        <v>632</v>
      </c>
      <c r="E142" s="58" t="s">
        <v>346</v>
      </c>
      <c r="F142" s="58" t="s">
        <v>286</v>
      </c>
      <c r="G142" s="58" t="s">
        <v>82</v>
      </c>
      <c r="H142" s="58"/>
      <c r="I142" s="58" t="str">
        <f>IF(R142="","",VLOOKUP(R142,REGRAS!$B$2:$D$13,3,FALSE()))</f>
        <v>NÃO VENDA</v>
      </c>
      <c r="J142" s="58"/>
      <c r="K142" s="58" t="str">
        <f t="shared" si="6"/>
        <v>RECUPERAÇÃO</v>
      </c>
      <c r="L142" s="58" t="str">
        <f t="shared" si="7"/>
        <v/>
      </c>
      <c r="M142" s="58"/>
      <c r="N142" s="58" t="s">
        <v>146</v>
      </c>
      <c r="O142" s="58" t="s">
        <v>147</v>
      </c>
      <c r="P142" s="58" t="s">
        <v>149</v>
      </c>
      <c r="Q142" s="58" t="s">
        <v>37</v>
      </c>
      <c r="R142" s="58" t="s">
        <v>23</v>
      </c>
      <c r="S142" s="58" t="s">
        <v>59</v>
      </c>
      <c r="T142" s="71">
        <f>IF(R142="","",IF(OR(R142="SUPORTE",R142="PERDA / FECHOU LOJA"),"SEM",A142+VLOOKUP(R142,REGRAS!$B$2:$C$13,2,FALSE())))</f>
        <v>46079</v>
      </c>
      <c r="U142" s="58" t="str">
        <f t="shared" si="8"/>
        <v>REATIVAÇÃO</v>
      </c>
      <c r="V142" s="58"/>
      <c r="W142" s="58" t="s">
        <v>146</v>
      </c>
      <c r="X142" s="58"/>
    </row>
    <row r="143" spans="1:24" x14ac:dyDescent="0.3">
      <c r="A143" s="71">
        <v>46065</v>
      </c>
      <c r="B143" s="58" t="s">
        <v>135</v>
      </c>
      <c r="C143" s="58" t="s">
        <v>633</v>
      </c>
      <c r="D143" s="58" t="s">
        <v>634</v>
      </c>
      <c r="E143" s="58" t="s">
        <v>369</v>
      </c>
      <c r="F143" s="58" t="s">
        <v>295</v>
      </c>
      <c r="G143" s="58" t="s">
        <v>79</v>
      </c>
      <c r="H143" s="58">
        <v>291</v>
      </c>
      <c r="I143" s="58" t="str">
        <f>IF(R143="","",VLOOKUP(R143,REGRAS!$B$2:$D$13,3,FALSE()))</f>
        <v>NÃO VENDA</v>
      </c>
      <c r="J143" s="58"/>
      <c r="K143" s="58" t="str">
        <f t="shared" si="6"/>
        <v>RECUPERAÇÃO</v>
      </c>
      <c r="L143" s="58" t="str">
        <f t="shared" si="7"/>
        <v>🔴</v>
      </c>
      <c r="M143" s="58"/>
      <c r="N143" s="58" t="s">
        <v>146</v>
      </c>
      <c r="O143" s="58" t="s">
        <v>147</v>
      </c>
      <c r="P143" s="58" t="s">
        <v>149</v>
      </c>
      <c r="Q143" s="58" t="s">
        <v>45</v>
      </c>
      <c r="R143" s="58" t="s">
        <v>23</v>
      </c>
      <c r="S143" s="58" t="s">
        <v>53</v>
      </c>
      <c r="T143" s="71">
        <f>IF(R143="","",IF(OR(R143="SUPORTE",R143="PERDA / FECHOU LOJA"),"SEM",A143+VLOOKUP(R143,REGRAS!$B$2:$C$13,2,FALSE())))</f>
        <v>46066</v>
      </c>
      <c r="U143" s="58" t="str">
        <f t="shared" si="8"/>
        <v>REATIVAÇÃO</v>
      </c>
      <c r="V143" s="58"/>
      <c r="W143" s="58" t="s">
        <v>147</v>
      </c>
      <c r="X143" s="58"/>
    </row>
    <row r="144" spans="1:24" x14ac:dyDescent="0.3">
      <c r="A144" s="71">
        <v>46075</v>
      </c>
      <c r="B144" s="58" t="s">
        <v>137</v>
      </c>
      <c r="C144" s="58" t="s">
        <v>635</v>
      </c>
      <c r="D144" s="58" t="s">
        <v>636</v>
      </c>
      <c r="E144" s="58" t="s">
        <v>332</v>
      </c>
      <c r="F144" s="58" t="s">
        <v>292</v>
      </c>
      <c r="G144" s="58" t="s">
        <v>79</v>
      </c>
      <c r="H144" s="58">
        <v>280</v>
      </c>
      <c r="I144" s="58" t="str">
        <f>IF(R144="","",VLOOKUP(R144,REGRAS!$B$2:$D$13,3,FALSE()))</f>
        <v>RELAC.</v>
      </c>
      <c r="J144" s="58"/>
      <c r="K144" s="58" t="str">
        <f t="shared" si="6"/>
        <v>CS</v>
      </c>
      <c r="L144" s="58" t="str">
        <f t="shared" si="7"/>
        <v>🔴</v>
      </c>
      <c r="M144" s="58"/>
      <c r="N144" s="58" t="s">
        <v>146</v>
      </c>
      <c r="O144" s="58" t="s">
        <v>147</v>
      </c>
      <c r="P144" s="58" t="s">
        <v>149</v>
      </c>
      <c r="Q144" s="58" t="s">
        <v>39</v>
      </c>
      <c r="R144" s="58" t="s">
        <v>14</v>
      </c>
      <c r="S144" s="58"/>
      <c r="T144" s="71">
        <f>IF(R144="","",IF(OR(R144="SUPORTE",R144="PERDA / FECHOU LOJA"),"SEM",A144+VLOOKUP(R144,REGRAS!$B$2:$C$13,2,FALSE())))</f>
        <v>46082</v>
      </c>
      <c r="U144" s="58" t="str">
        <f t="shared" si="8"/>
        <v>CS</v>
      </c>
      <c r="V144" s="58"/>
      <c r="W144" s="58" t="s">
        <v>146</v>
      </c>
      <c r="X144" s="58"/>
    </row>
    <row r="145" spans="1:24" x14ac:dyDescent="0.3">
      <c r="A145" s="71">
        <v>46078</v>
      </c>
      <c r="B145" s="58" t="s">
        <v>135</v>
      </c>
      <c r="C145" s="58" t="s">
        <v>637</v>
      </c>
      <c r="D145" s="58" t="s">
        <v>638</v>
      </c>
      <c r="E145" s="58" t="s">
        <v>376</v>
      </c>
      <c r="F145" s="58" t="s">
        <v>283</v>
      </c>
      <c r="G145" s="58" t="s">
        <v>71</v>
      </c>
      <c r="H145" s="58">
        <v>40</v>
      </c>
      <c r="I145" s="58" t="str">
        <f>IF(R145="","",VLOOKUP(R145,REGRAS!$B$2:$D$13,3,FALSE()))</f>
        <v>NÃO VENDA</v>
      </c>
      <c r="J145" s="58"/>
      <c r="K145" s="58" t="str">
        <f t="shared" si="6"/>
        <v>RECUPERAÇÃO</v>
      </c>
      <c r="L145" s="58" t="str">
        <f t="shared" si="7"/>
        <v>🟢</v>
      </c>
      <c r="M145" s="58"/>
      <c r="N145" s="58" t="s">
        <v>146</v>
      </c>
      <c r="O145" s="58" t="s">
        <v>146</v>
      </c>
      <c r="P145" s="58" t="s">
        <v>146</v>
      </c>
      <c r="Q145" s="58" t="s">
        <v>33</v>
      </c>
      <c r="R145" s="58" t="s">
        <v>23</v>
      </c>
      <c r="S145" s="58" t="s">
        <v>51</v>
      </c>
      <c r="T145" s="71">
        <f>IF(R145="","",IF(OR(R145="SUPORTE",R145="PERDA / FECHOU LOJA"),"SEM",A145+VLOOKUP(R145,REGRAS!$B$2:$C$13,2,FALSE())))</f>
        <v>46079</v>
      </c>
      <c r="U145" s="58" t="str">
        <f t="shared" si="8"/>
        <v>REATIVAÇÃO</v>
      </c>
      <c r="V145" s="58"/>
      <c r="W145" s="58" t="s">
        <v>146</v>
      </c>
      <c r="X145" s="58"/>
    </row>
    <row r="146" spans="1:24" x14ac:dyDescent="0.3">
      <c r="A146" s="71">
        <v>46071</v>
      </c>
      <c r="B146" s="58" t="s">
        <v>141</v>
      </c>
      <c r="C146" s="58" t="s">
        <v>639</v>
      </c>
      <c r="D146" s="58" t="s">
        <v>640</v>
      </c>
      <c r="E146" s="58" t="s">
        <v>332</v>
      </c>
      <c r="F146" s="58" t="s">
        <v>295</v>
      </c>
      <c r="G146" s="58" t="s">
        <v>74</v>
      </c>
      <c r="H146" s="58">
        <v>52</v>
      </c>
      <c r="I146" s="58" t="str">
        <f>IF(R146="","",VLOOKUP(R146,REGRAS!$B$2:$D$13,3,FALSE()))</f>
        <v>FUNIL</v>
      </c>
      <c r="J146" s="58"/>
      <c r="K146" s="58" t="str">
        <f t="shared" si="6"/>
        <v>PROSPECÇÃO</v>
      </c>
      <c r="L146" s="58" t="str">
        <f t="shared" si="7"/>
        <v>🟡</v>
      </c>
      <c r="M146" s="58"/>
      <c r="N146" s="58" t="s">
        <v>146</v>
      </c>
      <c r="O146" s="58" t="s">
        <v>147</v>
      </c>
      <c r="P146" s="58" t="s">
        <v>149</v>
      </c>
      <c r="Q146" s="58" t="s">
        <v>35</v>
      </c>
      <c r="R146" s="58" t="s">
        <v>8</v>
      </c>
      <c r="S146" s="58"/>
      <c r="T146" s="71">
        <f>IF(R146="","",IF(OR(R146="SUPORTE",R146="PERDA / FECHOU LOJA"),"SEM",A146+VLOOKUP(R146,REGRAS!$B$2:$C$13,2,FALSE())))</f>
        <v>46072</v>
      </c>
      <c r="U146" s="58" t="str">
        <f t="shared" si="8"/>
        <v>PROSPECÇÃO</v>
      </c>
      <c r="V146" s="58"/>
      <c r="W146" s="58" t="s">
        <v>146</v>
      </c>
      <c r="X146" s="58"/>
    </row>
    <row r="147" spans="1:24" x14ac:dyDescent="0.3">
      <c r="A147" s="71">
        <v>46061</v>
      </c>
      <c r="B147" s="58" t="s">
        <v>139</v>
      </c>
      <c r="C147" s="58" t="s">
        <v>641</v>
      </c>
      <c r="D147" s="58" t="s">
        <v>642</v>
      </c>
      <c r="E147" s="58" t="s">
        <v>366</v>
      </c>
      <c r="F147" s="58" t="s">
        <v>292</v>
      </c>
      <c r="G147" s="58" t="s">
        <v>71</v>
      </c>
      <c r="H147" s="58">
        <v>44</v>
      </c>
      <c r="I147" s="58" t="str">
        <f>IF(R147="","",VLOOKUP(R147,REGRAS!$B$2:$D$13,3,FALSE()))</f>
        <v>FUNIL</v>
      </c>
      <c r="J147" s="58"/>
      <c r="K147" s="58" t="str">
        <f t="shared" si="6"/>
        <v>EM ATENDIMENTO</v>
      </c>
      <c r="L147" s="58" t="str">
        <f t="shared" si="7"/>
        <v>🟢</v>
      </c>
      <c r="M147" s="58"/>
      <c r="N147" s="58" t="s">
        <v>146</v>
      </c>
      <c r="O147" s="58" t="s">
        <v>146</v>
      </c>
      <c r="P147" s="58" t="s">
        <v>147</v>
      </c>
      <c r="Q147" s="58" t="s">
        <v>39</v>
      </c>
      <c r="R147" s="58" t="s">
        <v>5</v>
      </c>
      <c r="S147" s="58"/>
      <c r="T147" s="71">
        <f>IF(R147="","",IF(OR(R147="SUPORTE",R147="PERDA / FECHOU LOJA"),"SEM",A147+VLOOKUP(R147,REGRAS!$B$2:$C$13,2,FALSE())))</f>
        <v>46063</v>
      </c>
      <c r="U147" s="58" t="str">
        <f t="shared" si="8"/>
        <v>PROSPECÇÃO</v>
      </c>
      <c r="V147" s="58"/>
      <c r="W147" s="58" t="s">
        <v>147</v>
      </c>
      <c r="X147" s="58"/>
    </row>
    <row r="148" spans="1:24" x14ac:dyDescent="0.3">
      <c r="A148" s="71">
        <v>46073</v>
      </c>
      <c r="B148" s="58" t="s">
        <v>135</v>
      </c>
      <c r="C148" s="58" t="s">
        <v>643</v>
      </c>
      <c r="D148" s="58" t="s">
        <v>644</v>
      </c>
      <c r="E148" s="58" t="s">
        <v>369</v>
      </c>
      <c r="F148" s="58" t="s">
        <v>292</v>
      </c>
      <c r="G148" s="58" t="s">
        <v>71</v>
      </c>
      <c r="H148" s="58">
        <v>49</v>
      </c>
      <c r="I148" s="58" t="str">
        <f>IF(R148="","",VLOOKUP(R148,REGRAS!$B$2:$D$13,3,FALSE()))</f>
        <v>RELAC.</v>
      </c>
      <c r="J148" s="58"/>
      <c r="K148" s="58" t="str">
        <f t="shared" si="6"/>
        <v>SALVAMENTO</v>
      </c>
      <c r="L148" s="58" t="str">
        <f t="shared" si="7"/>
        <v>🟢</v>
      </c>
      <c r="M148" s="58"/>
      <c r="N148" s="58" t="s">
        <v>147</v>
      </c>
      <c r="O148" s="58" t="s">
        <v>146</v>
      </c>
      <c r="P148" s="58" t="s">
        <v>146</v>
      </c>
      <c r="Q148" s="58" t="s">
        <v>41</v>
      </c>
      <c r="R148" s="58" t="s">
        <v>19</v>
      </c>
      <c r="S148" s="58" t="s">
        <v>61</v>
      </c>
      <c r="T148" s="71">
        <f>IF(R148="","",IF(OR(R148="SUPORTE",R148="PERDA / FECHOU LOJA"),"SEM",A148+VLOOKUP(R148,REGRAS!$B$2:$C$13,2,FALSE())))</f>
        <v>46088</v>
      </c>
      <c r="U148" s="58" t="str">
        <f t="shared" si="8"/>
        <v>SALVAMENTO</v>
      </c>
      <c r="V148" s="58"/>
      <c r="W148" s="58" t="s">
        <v>146</v>
      </c>
      <c r="X148" s="58"/>
    </row>
    <row r="149" spans="1:24" x14ac:dyDescent="0.3">
      <c r="A149" s="71">
        <v>46072</v>
      </c>
      <c r="B149" s="58" t="s">
        <v>135</v>
      </c>
      <c r="C149" s="58" t="s">
        <v>645</v>
      </c>
      <c r="D149" s="58" t="s">
        <v>646</v>
      </c>
      <c r="E149" s="58" t="s">
        <v>369</v>
      </c>
      <c r="F149" s="58" t="s">
        <v>289</v>
      </c>
      <c r="G149" s="58" t="s">
        <v>79</v>
      </c>
      <c r="H149" s="58">
        <v>268</v>
      </c>
      <c r="I149" s="58" t="str">
        <f>IF(R149="","",VLOOKUP(R149,REGRAS!$B$2:$D$13,3,FALSE()))</f>
        <v>NÃO VENDA</v>
      </c>
      <c r="J149" s="58"/>
      <c r="K149" s="58" t="str">
        <f t="shared" si="6"/>
        <v>RECUPERAÇÃO</v>
      </c>
      <c r="L149" s="58" t="str">
        <f t="shared" si="7"/>
        <v>🔴</v>
      </c>
      <c r="M149" s="58"/>
      <c r="N149" s="58" t="s">
        <v>147</v>
      </c>
      <c r="O149" s="58" t="s">
        <v>147</v>
      </c>
      <c r="P149" s="58" t="s">
        <v>149</v>
      </c>
      <c r="Q149" s="58" t="s">
        <v>33</v>
      </c>
      <c r="R149" s="58" t="s">
        <v>26</v>
      </c>
      <c r="S149" s="58" t="s">
        <v>49</v>
      </c>
      <c r="T149" s="71">
        <f>IF(R149="","",IF(OR(R149="SUPORTE",R149="PERDA / FECHOU LOJA"),"SEM",A149+VLOOKUP(R149,REGRAS!$B$2:$C$13,2,FALSE())))</f>
        <v>46073</v>
      </c>
      <c r="U149" s="58" t="str">
        <f t="shared" si="8"/>
        <v>REATIVAÇÃO</v>
      </c>
      <c r="V149" s="58"/>
      <c r="W149" s="58" t="s">
        <v>146</v>
      </c>
      <c r="X149" s="58"/>
    </row>
    <row r="150" spans="1:24" x14ac:dyDescent="0.3">
      <c r="A150" s="71">
        <v>46062</v>
      </c>
      <c r="B150" s="58" t="s">
        <v>139</v>
      </c>
      <c r="C150" s="58" t="s">
        <v>647</v>
      </c>
      <c r="D150" s="58" t="s">
        <v>648</v>
      </c>
      <c r="E150" s="58" t="s">
        <v>376</v>
      </c>
      <c r="F150" s="58" t="s">
        <v>298</v>
      </c>
      <c r="G150" s="58" t="s">
        <v>85</v>
      </c>
      <c r="H150" s="58"/>
      <c r="I150" s="58" t="str">
        <f>IF(R150="","",VLOOKUP(R150,REGRAS!$B$2:$D$13,3,FALSE()))</f>
        <v>NÃO VENDA</v>
      </c>
      <c r="J150" s="58"/>
      <c r="K150" s="58" t="str">
        <f t="shared" si="6"/>
        <v>RECUPERAÇÃO</v>
      </c>
      <c r="L150" s="58" t="str">
        <f t="shared" si="7"/>
        <v/>
      </c>
      <c r="M150" s="58"/>
      <c r="N150" s="58" t="s">
        <v>147</v>
      </c>
      <c r="O150" s="58" t="s">
        <v>146</v>
      </c>
      <c r="P150" s="58" t="s">
        <v>147</v>
      </c>
      <c r="Q150" s="58" t="s">
        <v>41</v>
      </c>
      <c r="R150" s="58" t="s">
        <v>28</v>
      </c>
      <c r="S150" s="58" t="s">
        <v>57</v>
      </c>
      <c r="T150" s="71">
        <f>IF(R150="","",IF(OR(R150="SUPORTE",R150="PERDA / FECHOU LOJA"),"SEM",A150+VLOOKUP(R150,REGRAS!$B$2:$C$13,2,FALSE())))</f>
        <v>46064</v>
      </c>
      <c r="U150" s="58" t="str">
        <f t="shared" si="8"/>
        <v>REATIVAÇÃO</v>
      </c>
      <c r="V150" s="58"/>
      <c r="W150" s="58" t="s">
        <v>146</v>
      </c>
      <c r="X150" s="58"/>
    </row>
    <row r="151" spans="1:24" x14ac:dyDescent="0.3">
      <c r="A151" s="71">
        <v>46056</v>
      </c>
      <c r="B151" s="58" t="s">
        <v>135</v>
      </c>
      <c r="C151" s="58" t="s">
        <v>649</v>
      </c>
      <c r="D151" s="58" t="s">
        <v>650</v>
      </c>
      <c r="E151" s="58" t="s">
        <v>422</v>
      </c>
      <c r="F151" s="58" t="s">
        <v>297</v>
      </c>
      <c r="G151" s="58" t="s">
        <v>74</v>
      </c>
      <c r="H151" s="58">
        <v>56</v>
      </c>
      <c r="I151" s="58" t="str">
        <f>IF(R151="","",VLOOKUP(R151,REGRAS!$B$2:$D$13,3,FALSE()))</f>
        <v>NÃO VENDA</v>
      </c>
      <c r="J151" s="58"/>
      <c r="K151" s="58" t="str">
        <f t="shared" si="6"/>
        <v>RECUPERAÇÃO</v>
      </c>
      <c r="L151" s="58" t="str">
        <f t="shared" si="7"/>
        <v>🟡</v>
      </c>
      <c r="M151" s="58"/>
      <c r="N151" s="58" t="s">
        <v>146</v>
      </c>
      <c r="O151" s="58" t="s">
        <v>146</v>
      </c>
      <c r="P151" s="58" t="s">
        <v>146</v>
      </c>
      <c r="Q151" s="58" t="s">
        <v>45</v>
      </c>
      <c r="R151" s="58" t="s">
        <v>23</v>
      </c>
      <c r="S151" s="58" t="s">
        <v>55</v>
      </c>
      <c r="T151" s="71">
        <f>IF(R151="","",IF(OR(R151="SUPORTE",R151="PERDA / FECHOU LOJA"),"SEM",A151+VLOOKUP(R151,REGRAS!$B$2:$C$13,2,FALSE())))</f>
        <v>46057</v>
      </c>
      <c r="U151" s="58" t="str">
        <f t="shared" si="8"/>
        <v>REATIVAÇÃO</v>
      </c>
      <c r="V151" s="58"/>
      <c r="W151" s="58" t="s">
        <v>146</v>
      </c>
      <c r="X151" s="58"/>
    </row>
    <row r="152" spans="1:24" x14ac:dyDescent="0.3">
      <c r="A152" s="71">
        <v>46072</v>
      </c>
      <c r="B152" s="58" t="s">
        <v>135</v>
      </c>
      <c r="C152" s="58" t="s">
        <v>651</v>
      </c>
      <c r="D152" s="58" t="s">
        <v>652</v>
      </c>
      <c r="E152" s="58" t="s">
        <v>376</v>
      </c>
      <c r="F152" s="58" t="s">
        <v>295</v>
      </c>
      <c r="G152" s="58" t="s">
        <v>71</v>
      </c>
      <c r="H152" s="58">
        <v>11</v>
      </c>
      <c r="I152" s="58" t="str">
        <f>IF(R152="","",VLOOKUP(R152,REGRAS!$B$2:$D$13,3,FALSE()))</f>
        <v>RELAC.</v>
      </c>
      <c r="J152" s="58"/>
      <c r="K152" s="58" t="str">
        <f t="shared" si="6"/>
        <v>CS</v>
      </c>
      <c r="L152" s="58" t="str">
        <f t="shared" si="7"/>
        <v>🟢</v>
      </c>
      <c r="M152" s="58"/>
      <c r="N152" s="58" t="s">
        <v>146</v>
      </c>
      <c r="O152" s="58" t="s">
        <v>147</v>
      </c>
      <c r="P152" s="58" t="s">
        <v>149</v>
      </c>
      <c r="Q152" s="58" t="s">
        <v>37</v>
      </c>
      <c r="R152" s="58" t="s">
        <v>14</v>
      </c>
      <c r="S152" s="58"/>
      <c r="T152" s="71">
        <f>IF(R152="","",IF(OR(R152="SUPORTE",R152="PERDA / FECHOU LOJA"),"SEM",A152+VLOOKUP(R152,REGRAS!$B$2:$C$13,2,FALSE())))</f>
        <v>46079</v>
      </c>
      <c r="U152" s="58" t="str">
        <f t="shared" si="8"/>
        <v>CS</v>
      </c>
      <c r="V152" s="58"/>
      <c r="W152" s="58" t="s">
        <v>147</v>
      </c>
      <c r="X152" s="58"/>
    </row>
    <row r="153" spans="1:24" x14ac:dyDescent="0.3">
      <c r="A153" s="71">
        <v>46065</v>
      </c>
      <c r="B153" s="58" t="s">
        <v>135</v>
      </c>
      <c r="C153" s="58" t="s">
        <v>653</v>
      </c>
      <c r="D153" s="58" t="s">
        <v>654</v>
      </c>
      <c r="E153" s="58" t="s">
        <v>376</v>
      </c>
      <c r="F153" s="58" t="s">
        <v>297</v>
      </c>
      <c r="G153" s="58" t="s">
        <v>71</v>
      </c>
      <c r="H153" s="58">
        <v>24</v>
      </c>
      <c r="I153" s="58" t="str">
        <f>IF(R153="","",VLOOKUP(R153,REGRAS!$B$2:$D$13,3,FALSE()))</f>
        <v>NÃO VENDA</v>
      </c>
      <c r="J153" s="58"/>
      <c r="K153" s="58" t="str">
        <f t="shared" si="6"/>
        <v>RECUPERAÇÃO</v>
      </c>
      <c r="L153" s="58" t="str">
        <f t="shared" si="7"/>
        <v>🟢</v>
      </c>
      <c r="M153" s="58"/>
      <c r="N153" s="58" t="s">
        <v>146</v>
      </c>
      <c r="O153" s="58" t="s">
        <v>146</v>
      </c>
      <c r="P153" s="58" t="s">
        <v>146</v>
      </c>
      <c r="Q153" s="58" t="s">
        <v>33</v>
      </c>
      <c r="R153" s="58" t="s">
        <v>26</v>
      </c>
      <c r="S153" s="58" t="s">
        <v>62</v>
      </c>
      <c r="T153" s="71">
        <f>IF(R153="","",IF(OR(R153="SUPORTE",R153="PERDA / FECHOU LOJA"),"SEM",A153+VLOOKUP(R153,REGRAS!$B$2:$C$13,2,FALSE())))</f>
        <v>46066</v>
      </c>
      <c r="U153" s="58" t="str">
        <f t="shared" si="8"/>
        <v>REATIVAÇÃO</v>
      </c>
      <c r="V153" s="58"/>
      <c r="W153" s="58" t="s">
        <v>147</v>
      </c>
      <c r="X153" s="58"/>
    </row>
    <row r="154" spans="1:24" x14ac:dyDescent="0.3">
      <c r="A154" s="71">
        <v>46077</v>
      </c>
      <c r="B154" s="58" t="s">
        <v>135</v>
      </c>
      <c r="C154" s="58" t="s">
        <v>655</v>
      </c>
      <c r="D154" s="58" t="s">
        <v>656</v>
      </c>
      <c r="E154" s="58" t="s">
        <v>332</v>
      </c>
      <c r="F154" s="58" t="s">
        <v>286</v>
      </c>
      <c r="G154" s="58" t="s">
        <v>71</v>
      </c>
      <c r="H154" s="58">
        <v>45</v>
      </c>
      <c r="I154" s="58" t="str">
        <f>IF(R154="","",VLOOKUP(R154,REGRAS!$B$2:$D$13,3,FALSE()))</f>
        <v>NÃO VENDA</v>
      </c>
      <c r="J154" s="58"/>
      <c r="K154" s="58" t="str">
        <f t="shared" si="6"/>
        <v>RECUPERAÇÃO</v>
      </c>
      <c r="L154" s="58" t="str">
        <f t="shared" si="7"/>
        <v>🟢</v>
      </c>
      <c r="M154" s="58"/>
      <c r="N154" s="58" t="s">
        <v>147</v>
      </c>
      <c r="O154" s="58" t="s">
        <v>147</v>
      </c>
      <c r="P154" s="58" t="s">
        <v>149</v>
      </c>
      <c r="Q154" s="58" t="s">
        <v>41</v>
      </c>
      <c r="R154" s="58" t="s">
        <v>26</v>
      </c>
      <c r="S154" s="58" t="s">
        <v>53</v>
      </c>
      <c r="T154" s="71">
        <f>IF(R154="","",IF(OR(R154="SUPORTE",R154="PERDA / FECHOU LOJA"),"SEM",A154+VLOOKUP(R154,REGRAS!$B$2:$C$13,2,FALSE())))</f>
        <v>46078</v>
      </c>
      <c r="U154" s="58" t="str">
        <f t="shared" si="8"/>
        <v>REATIVAÇÃO</v>
      </c>
      <c r="V154" s="58"/>
      <c r="W154" s="58" t="s">
        <v>146</v>
      </c>
      <c r="X154" s="58"/>
    </row>
    <row r="155" spans="1:24" x14ac:dyDescent="0.3">
      <c r="A155" s="71">
        <v>46054</v>
      </c>
      <c r="B155" s="58" t="s">
        <v>139</v>
      </c>
      <c r="C155" s="58" t="s">
        <v>657</v>
      </c>
      <c r="D155" s="58" t="s">
        <v>658</v>
      </c>
      <c r="E155" s="58" t="s">
        <v>366</v>
      </c>
      <c r="F155" s="58" t="s">
        <v>289</v>
      </c>
      <c r="G155" s="58" t="s">
        <v>71</v>
      </c>
      <c r="H155" s="58">
        <v>47</v>
      </c>
      <c r="I155" s="58" t="str">
        <f>IF(R155="","",VLOOKUP(R155,REGRAS!$B$2:$D$13,3,FALSE()))</f>
        <v>RELAC.</v>
      </c>
      <c r="J155" s="58"/>
      <c r="K155" s="58" t="str">
        <f t="shared" si="6"/>
        <v>SALVAMENTO</v>
      </c>
      <c r="L155" s="58" t="str">
        <f t="shared" si="7"/>
        <v>🟢</v>
      </c>
      <c r="M155" s="58"/>
      <c r="N155" s="58" t="s">
        <v>146</v>
      </c>
      <c r="O155" s="58" t="s">
        <v>147</v>
      </c>
      <c r="P155" s="58" t="s">
        <v>149</v>
      </c>
      <c r="Q155" s="58" t="s">
        <v>43</v>
      </c>
      <c r="R155" s="58" t="s">
        <v>19</v>
      </c>
      <c r="S155" s="58" t="s">
        <v>57</v>
      </c>
      <c r="T155" s="71">
        <f>IF(R155="","",IF(OR(R155="SUPORTE",R155="PERDA / FECHOU LOJA"),"SEM",A155+VLOOKUP(R155,REGRAS!$B$2:$C$13,2,FALSE())))</f>
        <v>46069</v>
      </c>
      <c r="U155" s="58" t="str">
        <f t="shared" si="8"/>
        <v>SALVAMENTO</v>
      </c>
      <c r="V155" s="58"/>
      <c r="W155" s="58" t="s">
        <v>146</v>
      </c>
      <c r="X155" s="58"/>
    </row>
    <row r="156" spans="1:24" x14ac:dyDescent="0.3">
      <c r="A156" s="71">
        <v>46065</v>
      </c>
      <c r="B156" s="58" t="s">
        <v>137</v>
      </c>
      <c r="C156" s="58" t="s">
        <v>659</v>
      </c>
      <c r="D156" s="58" t="s">
        <v>660</v>
      </c>
      <c r="E156" s="58" t="s">
        <v>335</v>
      </c>
      <c r="F156" s="58" t="s">
        <v>297</v>
      </c>
      <c r="G156" s="58" t="s">
        <v>71</v>
      </c>
      <c r="H156" s="58">
        <v>20</v>
      </c>
      <c r="I156" s="58" t="str">
        <f>IF(R156="","",VLOOKUP(R156,REGRAS!$B$2:$D$13,3,FALSE()))</f>
        <v>FUNIL</v>
      </c>
      <c r="J156" s="58"/>
      <c r="K156" s="58" t="str">
        <f t="shared" si="6"/>
        <v>PROSPECÇÃO</v>
      </c>
      <c r="L156" s="58" t="str">
        <f t="shared" si="7"/>
        <v>🟢</v>
      </c>
      <c r="M156" s="58"/>
      <c r="N156" s="58" t="s">
        <v>146</v>
      </c>
      <c r="O156" s="58" t="s">
        <v>147</v>
      </c>
      <c r="P156" s="58" t="s">
        <v>149</v>
      </c>
      <c r="Q156" s="58" t="s">
        <v>37</v>
      </c>
      <c r="R156" s="58" t="s">
        <v>8</v>
      </c>
      <c r="S156" s="58"/>
      <c r="T156" s="71">
        <f>IF(R156="","",IF(OR(R156="SUPORTE",R156="PERDA / FECHOU LOJA"),"SEM",A156+VLOOKUP(R156,REGRAS!$B$2:$C$13,2,FALSE())))</f>
        <v>46066</v>
      </c>
      <c r="U156" s="58" t="str">
        <f t="shared" si="8"/>
        <v>PROSPECÇÃO</v>
      </c>
      <c r="V156" s="58"/>
      <c r="W156" s="58" t="s">
        <v>146</v>
      </c>
      <c r="X156" s="58"/>
    </row>
    <row r="157" spans="1:24" x14ac:dyDescent="0.3">
      <c r="A157" s="71">
        <v>46058</v>
      </c>
      <c r="B157" s="58" t="s">
        <v>137</v>
      </c>
      <c r="C157" s="58" t="s">
        <v>661</v>
      </c>
      <c r="D157" s="58" t="s">
        <v>662</v>
      </c>
      <c r="E157" s="58" t="s">
        <v>332</v>
      </c>
      <c r="F157" s="58" t="s">
        <v>295</v>
      </c>
      <c r="G157" s="58" t="s">
        <v>71</v>
      </c>
      <c r="H157" s="58">
        <v>33</v>
      </c>
      <c r="I157" s="58" t="str">
        <f>IF(R157="","",VLOOKUP(R157,REGRAS!$B$2:$D$13,3,FALSE()))</f>
        <v>FUNIL</v>
      </c>
      <c r="J157" s="58"/>
      <c r="K157" s="58" t="str">
        <f t="shared" si="6"/>
        <v>EM ATENDIMENTO</v>
      </c>
      <c r="L157" s="58" t="str">
        <f t="shared" si="7"/>
        <v>🟢</v>
      </c>
      <c r="M157" s="58"/>
      <c r="N157" s="58" t="s">
        <v>147</v>
      </c>
      <c r="O157" s="58" t="s">
        <v>147</v>
      </c>
      <c r="P157" s="58" t="s">
        <v>149</v>
      </c>
      <c r="Q157" s="58" t="s">
        <v>39</v>
      </c>
      <c r="R157" s="58" t="s">
        <v>5</v>
      </c>
      <c r="S157" s="58"/>
      <c r="T157" s="71">
        <f>IF(R157="","",IF(OR(R157="SUPORTE",R157="PERDA / FECHOU LOJA"),"SEM",A157+VLOOKUP(R157,REGRAS!$B$2:$C$13,2,FALSE())))</f>
        <v>46060</v>
      </c>
      <c r="U157" s="58" t="str">
        <f t="shared" si="8"/>
        <v>PROSPECÇÃO</v>
      </c>
      <c r="V157" s="58"/>
      <c r="W157" s="58" t="s">
        <v>146</v>
      </c>
      <c r="X157" s="58"/>
    </row>
    <row r="158" spans="1:24" x14ac:dyDescent="0.3">
      <c r="A158" s="71">
        <v>46066</v>
      </c>
      <c r="B158" s="58" t="s">
        <v>141</v>
      </c>
      <c r="C158" s="58" t="s">
        <v>663</v>
      </c>
      <c r="D158" s="58" t="s">
        <v>664</v>
      </c>
      <c r="E158" s="58" t="s">
        <v>340</v>
      </c>
      <c r="F158" s="58" t="s">
        <v>286</v>
      </c>
      <c r="G158" s="58" t="s">
        <v>71</v>
      </c>
      <c r="H158" s="58">
        <v>41</v>
      </c>
      <c r="I158" s="58" t="str">
        <f>IF(R158="","",VLOOKUP(R158,REGRAS!$B$2:$D$13,3,FALSE()))</f>
        <v>NÃO VENDA</v>
      </c>
      <c r="J158" s="58"/>
      <c r="K158" s="58" t="str">
        <f t="shared" si="6"/>
        <v>RECUPERAÇÃO</v>
      </c>
      <c r="L158" s="58" t="str">
        <f t="shared" si="7"/>
        <v>🟢</v>
      </c>
      <c r="M158" s="58"/>
      <c r="N158" s="58" t="s">
        <v>146</v>
      </c>
      <c r="O158" s="58" t="s">
        <v>146</v>
      </c>
      <c r="P158" s="58" t="s">
        <v>146</v>
      </c>
      <c r="Q158" s="58" t="s">
        <v>33</v>
      </c>
      <c r="R158" s="58" t="s">
        <v>26</v>
      </c>
      <c r="S158" s="58" t="s">
        <v>49</v>
      </c>
      <c r="T158" s="71">
        <f>IF(R158="","",IF(OR(R158="SUPORTE",R158="PERDA / FECHOU LOJA"),"SEM",A158+VLOOKUP(R158,REGRAS!$B$2:$C$13,2,FALSE())))</f>
        <v>46067</v>
      </c>
      <c r="U158" s="58" t="str">
        <f t="shared" si="8"/>
        <v>REATIVAÇÃO</v>
      </c>
      <c r="V158" s="58"/>
      <c r="W158" s="58" t="s">
        <v>146</v>
      </c>
      <c r="X158" s="58"/>
    </row>
    <row r="159" spans="1:24" x14ac:dyDescent="0.3">
      <c r="A159" s="71">
        <v>46077</v>
      </c>
      <c r="B159" s="58" t="s">
        <v>141</v>
      </c>
      <c r="C159" s="58" t="s">
        <v>665</v>
      </c>
      <c r="D159" s="58" t="s">
        <v>666</v>
      </c>
      <c r="E159" s="58" t="s">
        <v>340</v>
      </c>
      <c r="F159" s="58" t="s">
        <v>292</v>
      </c>
      <c r="G159" s="58" t="s">
        <v>74</v>
      </c>
      <c r="H159" s="58">
        <v>51</v>
      </c>
      <c r="I159" s="58" t="str">
        <f>IF(R159="","",VLOOKUP(R159,REGRAS!$B$2:$D$13,3,FALSE()))</f>
        <v>RELAC.</v>
      </c>
      <c r="J159" s="58"/>
      <c r="K159" s="58" t="str">
        <f t="shared" si="6"/>
        <v>SALVAMENTO</v>
      </c>
      <c r="L159" s="58" t="str">
        <f t="shared" si="7"/>
        <v>🟡</v>
      </c>
      <c r="M159" s="58"/>
      <c r="N159" s="58" t="s">
        <v>146</v>
      </c>
      <c r="O159" s="58" t="s">
        <v>146</v>
      </c>
      <c r="P159" s="58" t="s">
        <v>147</v>
      </c>
      <c r="Q159" s="58" t="s">
        <v>43</v>
      </c>
      <c r="R159" s="58" t="s">
        <v>17</v>
      </c>
      <c r="S159" s="58" t="s">
        <v>59</v>
      </c>
      <c r="T159" s="71">
        <f>IF(R159="","",IF(OR(R159="SUPORTE",R159="PERDA / FECHOU LOJA"),"SEM",A159+VLOOKUP(R159,REGRAS!$B$2:$C$13,2,FALSE())))</f>
        <v>46084</v>
      </c>
      <c r="U159" s="58" t="str">
        <f t="shared" si="8"/>
        <v>SALVAMENTO</v>
      </c>
      <c r="V159" s="58"/>
      <c r="W159" s="58" t="s">
        <v>146</v>
      </c>
      <c r="X159" s="58"/>
    </row>
    <row r="160" spans="1:24" x14ac:dyDescent="0.3">
      <c r="A160" s="71">
        <v>46081</v>
      </c>
      <c r="B160" s="58" t="s">
        <v>141</v>
      </c>
      <c r="C160" s="58" t="s">
        <v>667</v>
      </c>
      <c r="D160" s="58" t="s">
        <v>668</v>
      </c>
      <c r="E160" s="58" t="s">
        <v>361</v>
      </c>
      <c r="F160" s="58" t="s">
        <v>283</v>
      </c>
      <c r="G160" s="58" t="s">
        <v>82</v>
      </c>
      <c r="H160" s="58"/>
      <c r="I160" s="58" t="str">
        <f>IF(R160="","",VLOOKUP(R160,REGRAS!$B$2:$D$13,3,FALSE()))</f>
        <v>FUNIL</v>
      </c>
      <c r="J160" s="58"/>
      <c r="K160" s="58" t="str">
        <f t="shared" si="6"/>
        <v>RECOMPRA</v>
      </c>
      <c r="L160" s="58" t="str">
        <f t="shared" si="7"/>
        <v/>
      </c>
      <c r="M160" s="58"/>
      <c r="N160" s="58" t="s">
        <v>146</v>
      </c>
      <c r="O160" s="58" t="s">
        <v>147</v>
      </c>
      <c r="P160" s="58" t="s">
        <v>149</v>
      </c>
      <c r="Q160" s="58" t="s">
        <v>35</v>
      </c>
      <c r="R160" s="58" t="s">
        <v>12</v>
      </c>
      <c r="S160" s="58"/>
      <c r="T160" s="71">
        <f>IF(R160="","",IF(OR(R160="SUPORTE",R160="PERDA / FECHOU LOJA"),"SEM",A160+VLOOKUP(R160,REGRAS!$B$2:$C$13,2,FALSE())))</f>
        <v>46126</v>
      </c>
      <c r="U160" s="58" t="str">
        <f t="shared" si="8"/>
        <v>RECOMPRA</v>
      </c>
      <c r="V160" s="58"/>
      <c r="W160" s="58" t="s">
        <v>146</v>
      </c>
      <c r="X160" s="58"/>
    </row>
    <row r="161" spans="1:24" x14ac:dyDescent="0.3">
      <c r="A161" s="71">
        <v>46067</v>
      </c>
      <c r="B161" s="58" t="s">
        <v>135</v>
      </c>
      <c r="C161" s="58" t="s">
        <v>669</v>
      </c>
      <c r="D161" s="58" t="s">
        <v>670</v>
      </c>
      <c r="E161" s="58" t="s">
        <v>376</v>
      </c>
      <c r="F161" s="58" t="s">
        <v>296</v>
      </c>
      <c r="G161" s="58" t="s">
        <v>71</v>
      </c>
      <c r="H161" s="58">
        <v>50</v>
      </c>
      <c r="I161" s="58" t="str">
        <f>IF(R161="","",VLOOKUP(R161,REGRAS!$B$2:$D$13,3,FALSE()))</f>
        <v>RELAC.</v>
      </c>
      <c r="J161" s="58"/>
      <c r="K161" s="58" t="str">
        <f t="shared" si="6"/>
        <v>SALVAMENTO</v>
      </c>
      <c r="L161" s="58" t="str">
        <f t="shared" si="7"/>
        <v>🟢</v>
      </c>
      <c r="M161" s="58"/>
      <c r="N161" s="58" t="s">
        <v>147</v>
      </c>
      <c r="O161" s="58" t="s">
        <v>147</v>
      </c>
      <c r="P161" s="58" t="s">
        <v>149</v>
      </c>
      <c r="Q161" s="58" t="s">
        <v>37</v>
      </c>
      <c r="R161" s="58" t="s">
        <v>17</v>
      </c>
      <c r="S161" s="58" t="s">
        <v>64</v>
      </c>
      <c r="T161" s="71">
        <f>IF(R161="","",IF(OR(R161="SUPORTE",R161="PERDA / FECHOU LOJA"),"SEM",A161+VLOOKUP(R161,REGRAS!$B$2:$C$13,2,FALSE())))</f>
        <v>46074</v>
      </c>
      <c r="U161" s="58" t="str">
        <f t="shared" si="8"/>
        <v>SALVAMENTO</v>
      </c>
      <c r="V161" s="58"/>
      <c r="W161" s="58" t="s">
        <v>147</v>
      </c>
      <c r="X161" s="58"/>
    </row>
    <row r="162" spans="1:24" x14ac:dyDescent="0.3">
      <c r="A162" s="71">
        <v>46058</v>
      </c>
      <c r="B162" s="58" t="s">
        <v>141</v>
      </c>
      <c r="C162" s="58" t="s">
        <v>671</v>
      </c>
      <c r="D162" s="58" t="s">
        <v>672</v>
      </c>
      <c r="E162" s="58" t="s">
        <v>361</v>
      </c>
      <c r="F162" s="58" t="s">
        <v>289</v>
      </c>
      <c r="G162" s="58" t="s">
        <v>79</v>
      </c>
      <c r="H162" s="58">
        <v>154</v>
      </c>
      <c r="I162" s="58" t="str">
        <f>IF(R162="","",VLOOKUP(R162,REGRAS!$B$2:$D$13,3,FALSE()))</f>
        <v>RELAC.</v>
      </c>
      <c r="J162" s="58"/>
      <c r="K162" s="58" t="str">
        <f t="shared" si="6"/>
        <v>PÓS-VENDA</v>
      </c>
      <c r="L162" s="58" t="str">
        <f t="shared" si="7"/>
        <v>🔴</v>
      </c>
      <c r="M162" s="58"/>
      <c r="N162" s="58" t="s">
        <v>146</v>
      </c>
      <c r="O162" s="58" t="s">
        <v>147</v>
      </c>
      <c r="P162" s="58" t="s">
        <v>149</v>
      </c>
      <c r="Q162" s="58" t="s">
        <v>43</v>
      </c>
      <c r="R162" s="58" t="s">
        <v>21</v>
      </c>
      <c r="S162" s="58"/>
      <c r="T162" s="71" t="str">
        <f>IF(R162="","",IF(OR(R162="SUPORTE",R162="PERDA / FECHOU LOJA"),"SEM",A162+VLOOKUP(R162,REGRAS!$B$2:$C$13,2,FALSE())))</f>
        <v>SEM</v>
      </c>
      <c r="U162" s="58" t="str">
        <f t="shared" si="8"/>
        <v>PÓS-VENDA</v>
      </c>
      <c r="V162" s="58"/>
      <c r="W162" s="58" t="s">
        <v>146</v>
      </c>
      <c r="X162" s="58"/>
    </row>
    <row r="163" spans="1:24" x14ac:dyDescent="0.3">
      <c r="A163" s="71">
        <v>46067</v>
      </c>
      <c r="B163" s="58" t="s">
        <v>137</v>
      </c>
      <c r="C163" s="58" t="s">
        <v>673</v>
      </c>
      <c r="D163" s="58" t="s">
        <v>674</v>
      </c>
      <c r="E163" s="58" t="s">
        <v>381</v>
      </c>
      <c r="F163" s="58" t="s">
        <v>295</v>
      </c>
      <c r="G163" s="58" t="s">
        <v>85</v>
      </c>
      <c r="H163" s="58"/>
      <c r="I163" s="58" t="str">
        <f>IF(R163="","",VLOOKUP(R163,REGRAS!$B$2:$D$13,3,FALSE()))</f>
        <v>FUNIL</v>
      </c>
      <c r="J163" s="58"/>
      <c r="K163" s="58" t="str">
        <f t="shared" si="6"/>
        <v>EM ATENDIMENTO</v>
      </c>
      <c r="L163" s="58" t="str">
        <f t="shared" si="7"/>
        <v/>
      </c>
      <c r="M163" s="58"/>
      <c r="N163" s="58" t="s">
        <v>147</v>
      </c>
      <c r="O163" s="58" t="s">
        <v>147</v>
      </c>
      <c r="P163" s="58" t="s">
        <v>149</v>
      </c>
      <c r="Q163" s="58" t="s">
        <v>37</v>
      </c>
      <c r="R163" s="58" t="s">
        <v>5</v>
      </c>
      <c r="S163" s="58"/>
      <c r="T163" s="71">
        <f>IF(R163="","",IF(OR(R163="SUPORTE",R163="PERDA / FECHOU LOJA"),"SEM",A163+VLOOKUP(R163,REGRAS!$B$2:$C$13,2,FALSE())))</f>
        <v>46069</v>
      </c>
      <c r="U163" s="58" t="str">
        <f t="shared" si="8"/>
        <v>PROSPECÇÃO</v>
      </c>
      <c r="V163" s="58"/>
      <c r="W163" s="58" t="s">
        <v>147</v>
      </c>
      <c r="X163" s="58"/>
    </row>
    <row r="164" spans="1:24" x14ac:dyDescent="0.3">
      <c r="A164" s="71">
        <v>46068</v>
      </c>
      <c r="B164" s="58" t="s">
        <v>139</v>
      </c>
      <c r="C164" s="58" t="s">
        <v>675</v>
      </c>
      <c r="D164" s="58" t="s">
        <v>676</v>
      </c>
      <c r="E164" s="58" t="s">
        <v>376</v>
      </c>
      <c r="F164" s="58" t="s">
        <v>295</v>
      </c>
      <c r="G164" s="58" t="s">
        <v>71</v>
      </c>
      <c r="H164" s="58">
        <v>40</v>
      </c>
      <c r="I164" s="58" t="str">
        <f>IF(R164="","",VLOOKUP(R164,REGRAS!$B$2:$D$13,3,FALSE()))</f>
        <v>RELAC.</v>
      </c>
      <c r="J164" s="58"/>
      <c r="K164" s="58" t="str">
        <f t="shared" si="6"/>
        <v>SALVAMENTO</v>
      </c>
      <c r="L164" s="58" t="str">
        <f t="shared" si="7"/>
        <v>🟢</v>
      </c>
      <c r="M164" s="58"/>
      <c r="N164" s="58" t="s">
        <v>146</v>
      </c>
      <c r="O164" s="58" t="s">
        <v>146</v>
      </c>
      <c r="P164" s="58" t="s">
        <v>147</v>
      </c>
      <c r="Q164" s="58" t="s">
        <v>39</v>
      </c>
      <c r="R164" s="58" t="s">
        <v>17</v>
      </c>
      <c r="S164" s="58" t="s">
        <v>49</v>
      </c>
      <c r="T164" s="71">
        <f>IF(R164="","",IF(OR(R164="SUPORTE",R164="PERDA / FECHOU LOJA"),"SEM",A164+VLOOKUP(R164,REGRAS!$B$2:$C$13,2,FALSE())))</f>
        <v>46075</v>
      </c>
      <c r="U164" s="58" t="str">
        <f t="shared" si="8"/>
        <v>SALVAMENTO</v>
      </c>
      <c r="V164" s="58"/>
      <c r="W164" s="58" t="s">
        <v>146</v>
      </c>
      <c r="X164" s="58"/>
    </row>
    <row r="165" spans="1:24" x14ac:dyDescent="0.3">
      <c r="A165" s="71">
        <v>46079</v>
      </c>
      <c r="B165" s="58" t="s">
        <v>141</v>
      </c>
      <c r="C165" s="58" t="s">
        <v>677</v>
      </c>
      <c r="D165" s="58" t="s">
        <v>678</v>
      </c>
      <c r="E165" s="58" t="s">
        <v>332</v>
      </c>
      <c r="F165" s="58" t="s">
        <v>297</v>
      </c>
      <c r="G165" s="58" t="s">
        <v>71</v>
      </c>
      <c r="H165" s="58">
        <v>46</v>
      </c>
      <c r="I165" s="58" t="str">
        <f>IF(R165="","",VLOOKUP(R165,REGRAS!$B$2:$D$13,3,FALSE()))</f>
        <v>NÃO VENDA</v>
      </c>
      <c r="J165" s="58"/>
      <c r="K165" s="58" t="str">
        <f t="shared" si="6"/>
        <v>RECUPERAÇÃO</v>
      </c>
      <c r="L165" s="58" t="str">
        <f t="shared" si="7"/>
        <v>🟢</v>
      </c>
      <c r="M165" s="58"/>
      <c r="N165" s="58" t="s">
        <v>147</v>
      </c>
      <c r="O165" s="58" t="s">
        <v>146</v>
      </c>
      <c r="P165" s="58" t="s">
        <v>146</v>
      </c>
      <c r="Q165" s="58" t="s">
        <v>37</v>
      </c>
      <c r="R165" s="58" t="s">
        <v>26</v>
      </c>
      <c r="S165" s="58" t="s">
        <v>49</v>
      </c>
      <c r="T165" s="71">
        <f>IF(R165="","",IF(OR(R165="SUPORTE",R165="PERDA / FECHOU LOJA"),"SEM",A165+VLOOKUP(R165,REGRAS!$B$2:$C$13,2,FALSE())))</f>
        <v>46080</v>
      </c>
      <c r="U165" s="58" t="str">
        <f t="shared" si="8"/>
        <v>REATIVAÇÃO</v>
      </c>
      <c r="V165" s="58"/>
      <c r="W165" s="58" t="s">
        <v>147</v>
      </c>
      <c r="X165" s="58"/>
    </row>
    <row r="166" spans="1:24" x14ac:dyDescent="0.3">
      <c r="A166" s="71">
        <v>46074</v>
      </c>
      <c r="B166" s="58" t="s">
        <v>135</v>
      </c>
      <c r="C166" s="58" t="s">
        <v>679</v>
      </c>
      <c r="D166" s="58" t="s">
        <v>680</v>
      </c>
      <c r="E166" s="58" t="s">
        <v>335</v>
      </c>
      <c r="F166" s="58" t="s">
        <v>292</v>
      </c>
      <c r="G166" s="58" t="s">
        <v>71</v>
      </c>
      <c r="H166" s="58">
        <v>35</v>
      </c>
      <c r="I166" s="58" t="str">
        <f>IF(R166="","",VLOOKUP(R166,REGRAS!$B$2:$D$13,3,FALSE()))</f>
        <v>NÃO VENDA</v>
      </c>
      <c r="J166" s="58"/>
      <c r="K166" s="58" t="str">
        <f t="shared" si="6"/>
        <v>RECUPERAÇÃO</v>
      </c>
      <c r="L166" s="58" t="str">
        <f t="shared" si="7"/>
        <v>🟢</v>
      </c>
      <c r="M166" s="58"/>
      <c r="N166" s="58" t="s">
        <v>146</v>
      </c>
      <c r="O166" s="58" t="s">
        <v>146</v>
      </c>
      <c r="P166" s="58" t="s">
        <v>146</v>
      </c>
      <c r="Q166" s="58" t="s">
        <v>33</v>
      </c>
      <c r="R166" s="58" t="s">
        <v>23</v>
      </c>
      <c r="S166" s="58" t="s">
        <v>51</v>
      </c>
      <c r="T166" s="71">
        <f>IF(R166="","",IF(OR(R166="SUPORTE",R166="PERDA / FECHOU LOJA"),"SEM",A166+VLOOKUP(R166,REGRAS!$B$2:$C$13,2,FALSE())))</f>
        <v>46075</v>
      </c>
      <c r="U166" s="58" t="str">
        <f t="shared" si="8"/>
        <v>REATIVAÇÃO</v>
      </c>
      <c r="V166" s="58"/>
      <c r="W166" s="58" t="s">
        <v>146</v>
      </c>
      <c r="X166" s="58"/>
    </row>
    <row r="167" spans="1:24" x14ac:dyDescent="0.3">
      <c r="A167" s="71">
        <v>46081</v>
      </c>
      <c r="B167" s="58" t="s">
        <v>137</v>
      </c>
      <c r="C167" s="58" t="s">
        <v>681</v>
      </c>
      <c r="D167" s="58" t="s">
        <v>682</v>
      </c>
      <c r="E167" s="58" t="s">
        <v>332</v>
      </c>
      <c r="F167" s="58" t="s">
        <v>295</v>
      </c>
      <c r="G167" s="58" t="s">
        <v>71</v>
      </c>
      <c r="H167" s="58">
        <v>29</v>
      </c>
      <c r="I167" s="58" t="str">
        <f>IF(R167="","",VLOOKUP(R167,REGRAS!$B$2:$D$13,3,FALSE()))</f>
        <v>FUNIL</v>
      </c>
      <c r="J167" s="58"/>
      <c r="K167" s="58" t="str">
        <f t="shared" si="6"/>
        <v>RECOMPRA</v>
      </c>
      <c r="L167" s="58" t="str">
        <f t="shared" si="7"/>
        <v>🟢</v>
      </c>
      <c r="M167" s="58"/>
      <c r="N167" s="58" t="s">
        <v>146</v>
      </c>
      <c r="O167" s="58" t="s">
        <v>147</v>
      </c>
      <c r="P167" s="58" t="s">
        <v>149</v>
      </c>
      <c r="Q167" s="58" t="s">
        <v>43</v>
      </c>
      <c r="R167" s="58" t="s">
        <v>12</v>
      </c>
      <c r="S167" s="58"/>
      <c r="T167" s="71">
        <f>IF(R167="","",IF(OR(R167="SUPORTE",R167="PERDA / FECHOU LOJA"),"SEM",A167+VLOOKUP(R167,REGRAS!$B$2:$C$13,2,FALSE())))</f>
        <v>46126</v>
      </c>
      <c r="U167" s="58" t="str">
        <f t="shared" si="8"/>
        <v>RECOMPRA</v>
      </c>
      <c r="V167" s="58"/>
      <c r="W167" s="58" t="s">
        <v>146</v>
      </c>
      <c r="X167" s="58"/>
    </row>
    <row r="168" spans="1:24" x14ac:dyDescent="0.3">
      <c r="A168" s="71">
        <v>46070</v>
      </c>
      <c r="B168" s="58" t="s">
        <v>137</v>
      </c>
      <c r="C168" s="58" t="s">
        <v>683</v>
      </c>
      <c r="D168" s="58" t="s">
        <v>684</v>
      </c>
      <c r="E168" s="58" t="s">
        <v>340</v>
      </c>
      <c r="F168" s="58" t="s">
        <v>292</v>
      </c>
      <c r="G168" s="58" t="s">
        <v>77</v>
      </c>
      <c r="H168" s="58">
        <v>75</v>
      </c>
      <c r="I168" s="58" t="str">
        <f>IF(R168="","",VLOOKUP(R168,REGRAS!$B$2:$D$13,3,FALSE()))</f>
        <v>RELAC.</v>
      </c>
      <c r="J168" s="58"/>
      <c r="K168" s="58" t="str">
        <f t="shared" si="6"/>
        <v>CS</v>
      </c>
      <c r="L168" s="58" t="str">
        <f t="shared" si="7"/>
        <v>🟡</v>
      </c>
      <c r="M168" s="58"/>
      <c r="N168" s="58" t="s">
        <v>146</v>
      </c>
      <c r="O168" s="58" t="s">
        <v>147</v>
      </c>
      <c r="P168" s="58" t="s">
        <v>149</v>
      </c>
      <c r="Q168" s="58" t="s">
        <v>43</v>
      </c>
      <c r="R168" s="58" t="s">
        <v>14</v>
      </c>
      <c r="S168" s="58"/>
      <c r="T168" s="71">
        <f>IF(R168="","",IF(OR(R168="SUPORTE",R168="PERDA / FECHOU LOJA"),"SEM",A168+VLOOKUP(R168,REGRAS!$B$2:$C$13,2,FALSE())))</f>
        <v>46077</v>
      </c>
      <c r="U168" s="58" t="str">
        <f t="shared" si="8"/>
        <v>CS</v>
      </c>
      <c r="V168" s="58"/>
      <c r="W168" s="58" t="s">
        <v>146</v>
      </c>
      <c r="X168" s="58"/>
    </row>
    <row r="169" spans="1:24" x14ac:dyDescent="0.3">
      <c r="A169" s="71">
        <v>46066</v>
      </c>
      <c r="B169" s="58" t="s">
        <v>137</v>
      </c>
      <c r="C169" s="58" t="s">
        <v>685</v>
      </c>
      <c r="D169" s="58" t="s">
        <v>686</v>
      </c>
      <c r="E169" s="58" t="s">
        <v>335</v>
      </c>
      <c r="F169" s="58" t="s">
        <v>296</v>
      </c>
      <c r="G169" s="58" t="s">
        <v>77</v>
      </c>
      <c r="H169" s="58">
        <v>85</v>
      </c>
      <c r="I169" s="58" t="str">
        <f>IF(R169="","",VLOOKUP(R169,REGRAS!$B$2:$D$13,3,FALSE()))</f>
        <v>NÃO VENDA</v>
      </c>
      <c r="J169" s="58"/>
      <c r="K169" s="58" t="str">
        <f t="shared" si="6"/>
        <v>NUTRIÇÃO</v>
      </c>
      <c r="L169" s="58" t="str">
        <f t="shared" si="7"/>
        <v>🟡</v>
      </c>
      <c r="M169" s="58"/>
      <c r="N169" s="58" t="s">
        <v>147</v>
      </c>
      <c r="O169" s="58" t="s">
        <v>147</v>
      </c>
      <c r="P169" s="58" t="s">
        <v>149</v>
      </c>
      <c r="Q169" s="58" t="s">
        <v>45</v>
      </c>
      <c r="R169" s="58" t="s">
        <v>30</v>
      </c>
      <c r="S169" s="58" t="s">
        <v>49</v>
      </c>
      <c r="T169" s="71" t="str">
        <f>IF(R169="","",IF(OR(R169="SUPORTE",R169="PERDA / FECHOU LOJA"),"SEM",A169+VLOOKUP(R169,REGRAS!$B$2:$C$13,2,FALSE())))</f>
        <v>SEM</v>
      </c>
      <c r="U169" s="58" t="str">
        <f t="shared" si="8"/>
        <v>NUTRIÇÃO</v>
      </c>
      <c r="V169" s="58"/>
      <c r="W169" s="58" t="s">
        <v>146</v>
      </c>
      <c r="X169" s="58"/>
    </row>
    <row r="170" spans="1:24" x14ac:dyDescent="0.3">
      <c r="A170" s="71">
        <v>46060</v>
      </c>
      <c r="B170" s="58" t="s">
        <v>139</v>
      </c>
      <c r="C170" s="58" t="s">
        <v>687</v>
      </c>
      <c r="D170" s="58" t="s">
        <v>688</v>
      </c>
      <c r="E170" s="58" t="s">
        <v>366</v>
      </c>
      <c r="F170" s="58" t="s">
        <v>289</v>
      </c>
      <c r="G170" s="58" t="s">
        <v>79</v>
      </c>
      <c r="H170" s="58">
        <v>109</v>
      </c>
      <c r="I170" s="58" t="str">
        <f>IF(R170="","",VLOOKUP(R170,REGRAS!$B$2:$D$13,3,FALSE()))</f>
        <v>NÃO VENDA</v>
      </c>
      <c r="J170" s="58"/>
      <c r="K170" s="58" t="str">
        <f t="shared" si="6"/>
        <v>RECUPERAÇÃO</v>
      </c>
      <c r="L170" s="58" t="str">
        <f t="shared" si="7"/>
        <v>🔴</v>
      </c>
      <c r="M170" s="58"/>
      <c r="N170" s="58" t="s">
        <v>147</v>
      </c>
      <c r="O170" s="58" t="s">
        <v>147</v>
      </c>
      <c r="P170" s="58" t="s">
        <v>149</v>
      </c>
      <c r="Q170" s="58" t="s">
        <v>39</v>
      </c>
      <c r="R170" s="58" t="s">
        <v>23</v>
      </c>
      <c r="S170" s="58" t="s">
        <v>49</v>
      </c>
      <c r="T170" s="71">
        <f>IF(R170="","",IF(OR(R170="SUPORTE",R170="PERDA / FECHOU LOJA"),"SEM",A170+VLOOKUP(R170,REGRAS!$B$2:$C$13,2,FALSE())))</f>
        <v>46061</v>
      </c>
      <c r="U170" s="58" t="str">
        <f t="shared" si="8"/>
        <v>REATIVAÇÃO</v>
      </c>
      <c r="V170" s="58"/>
      <c r="W170" s="58" t="s">
        <v>147</v>
      </c>
      <c r="X170" s="58"/>
    </row>
    <row r="171" spans="1:24" x14ac:dyDescent="0.3">
      <c r="A171" s="71">
        <v>46072</v>
      </c>
      <c r="B171" s="58" t="s">
        <v>137</v>
      </c>
      <c r="C171" s="58" t="s">
        <v>689</v>
      </c>
      <c r="D171" s="58" t="s">
        <v>690</v>
      </c>
      <c r="E171" s="58" t="s">
        <v>335</v>
      </c>
      <c r="F171" s="58" t="s">
        <v>283</v>
      </c>
      <c r="G171" s="58" t="s">
        <v>71</v>
      </c>
      <c r="H171" s="58">
        <v>8</v>
      </c>
      <c r="I171" s="58" t="str">
        <f>IF(R171="","",VLOOKUP(R171,REGRAS!$B$2:$D$13,3,FALSE()))</f>
        <v>NÃO VENDA</v>
      </c>
      <c r="J171" s="58"/>
      <c r="K171" s="58" t="str">
        <f t="shared" si="6"/>
        <v>RECUPERAÇÃO</v>
      </c>
      <c r="L171" s="58" t="str">
        <f t="shared" si="7"/>
        <v>🟢</v>
      </c>
      <c r="M171" s="58"/>
      <c r="N171" s="58" t="s">
        <v>146</v>
      </c>
      <c r="O171" s="58" t="s">
        <v>147</v>
      </c>
      <c r="P171" s="58" t="s">
        <v>149</v>
      </c>
      <c r="Q171" s="58" t="s">
        <v>45</v>
      </c>
      <c r="R171" s="58" t="s">
        <v>23</v>
      </c>
      <c r="S171" s="58" t="s">
        <v>61</v>
      </c>
      <c r="T171" s="71">
        <f>IF(R171="","",IF(OR(R171="SUPORTE",R171="PERDA / FECHOU LOJA"),"SEM",A171+VLOOKUP(R171,REGRAS!$B$2:$C$13,2,FALSE())))</f>
        <v>46073</v>
      </c>
      <c r="U171" s="58" t="str">
        <f t="shared" si="8"/>
        <v>REATIVAÇÃO</v>
      </c>
      <c r="V171" s="58"/>
      <c r="W171" s="58" t="s">
        <v>146</v>
      </c>
      <c r="X171" s="58"/>
    </row>
    <row r="172" spans="1:24" x14ac:dyDescent="0.3">
      <c r="A172" s="71">
        <v>46066</v>
      </c>
      <c r="B172" s="58" t="s">
        <v>135</v>
      </c>
      <c r="C172" s="58" t="s">
        <v>691</v>
      </c>
      <c r="D172" s="58" t="s">
        <v>692</v>
      </c>
      <c r="E172" s="58" t="s">
        <v>332</v>
      </c>
      <c r="F172" s="58" t="s">
        <v>292</v>
      </c>
      <c r="G172" s="58" t="s">
        <v>85</v>
      </c>
      <c r="H172" s="58"/>
      <c r="I172" s="58" t="str">
        <f>IF(R172="","",VLOOKUP(R172,REGRAS!$B$2:$D$13,3,FALSE()))</f>
        <v>FUNIL</v>
      </c>
      <c r="J172" s="58"/>
      <c r="K172" s="58" t="str">
        <f t="shared" si="6"/>
        <v>PROSPECÇÃO</v>
      </c>
      <c r="L172" s="58" t="str">
        <f t="shared" si="7"/>
        <v/>
      </c>
      <c r="M172" s="58"/>
      <c r="N172" s="58" t="s">
        <v>146</v>
      </c>
      <c r="O172" s="58" t="s">
        <v>147</v>
      </c>
      <c r="P172" s="58" t="s">
        <v>149</v>
      </c>
      <c r="Q172" s="58" t="s">
        <v>35</v>
      </c>
      <c r="R172" s="58" t="s">
        <v>8</v>
      </c>
      <c r="S172" s="58"/>
      <c r="T172" s="71">
        <f>IF(R172="","",IF(OR(R172="SUPORTE",R172="PERDA / FECHOU LOJA"),"SEM",A172+VLOOKUP(R172,REGRAS!$B$2:$C$13,2,FALSE())))</f>
        <v>46067</v>
      </c>
      <c r="U172" s="58" t="str">
        <f t="shared" si="8"/>
        <v>PROSPECÇÃO</v>
      </c>
      <c r="V172" s="58"/>
      <c r="W172" s="58" t="s">
        <v>146</v>
      </c>
      <c r="X172" s="58"/>
    </row>
    <row r="173" spans="1:24" x14ac:dyDescent="0.3">
      <c r="A173" s="71">
        <v>46074</v>
      </c>
      <c r="B173" s="58" t="s">
        <v>135</v>
      </c>
      <c r="C173" s="58" t="s">
        <v>693</v>
      </c>
      <c r="D173" s="58" t="s">
        <v>694</v>
      </c>
      <c r="E173" s="58" t="s">
        <v>332</v>
      </c>
      <c r="F173" s="58" t="s">
        <v>296</v>
      </c>
      <c r="G173" s="58" t="s">
        <v>71</v>
      </c>
      <c r="H173" s="58">
        <v>47</v>
      </c>
      <c r="I173" s="58" t="str">
        <f>IF(R173="","",VLOOKUP(R173,REGRAS!$B$2:$D$13,3,FALSE()))</f>
        <v>FUNIL</v>
      </c>
      <c r="J173" s="58"/>
      <c r="K173" s="58" t="str">
        <f t="shared" si="6"/>
        <v>PROSPECÇÃO</v>
      </c>
      <c r="L173" s="58" t="str">
        <f t="shared" si="7"/>
        <v>🟢</v>
      </c>
      <c r="M173" s="58"/>
      <c r="N173" s="58" t="s">
        <v>146</v>
      </c>
      <c r="O173" s="58" t="s">
        <v>147</v>
      </c>
      <c r="P173" s="58" t="s">
        <v>149</v>
      </c>
      <c r="Q173" s="58" t="s">
        <v>41</v>
      </c>
      <c r="R173" s="58" t="s">
        <v>10</v>
      </c>
      <c r="S173" s="58"/>
      <c r="T173" s="71">
        <f>IF(R173="","",IF(OR(R173="SUPORTE",R173="PERDA / FECHOU LOJA"),"SEM",A173+VLOOKUP(R173,REGRAS!$B$2:$C$13,2,FALSE())))</f>
        <v>46076</v>
      </c>
      <c r="U173" s="58" t="str">
        <f t="shared" si="8"/>
        <v>PROSPECÇÃO</v>
      </c>
      <c r="V173" s="58"/>
      <c r="W173" s="58" t="s">
        <v>147</v>
      </c>
      <c r="X173" s="58"/>
    </row>
    <row r="174" spans="1:24" x14ac:dyDescent="0.3">
      <c r="A174" s="71">
        <v>46059</v>
      </c>
      <c r="B174" s="58" t="s">
        <v>137</v>
      </c>
      <c r="C174" s="58" t="s">
        <v>695</v>
      </c>
      <c r="D174" s="58" t="s">
        <v>696</v>
      </c>
      <c r="E174" s="58" t="s">
        <v>366</v>
      </c>
      <c r="F174" s="58" t="s">
        <v>292</v>
      </c>
      <c r="G174" s="58" t="s">
        <v>82</v>
      </c>
      <c r="H174" s="58"/>
      <c r="I174" s="58" t="str">
        <f>IF(R174="","",VLOOKUP(R174,REGRAS!$B$2:$D$13,3,FALSE()))</f>
        <v>FUNIL</v>
      </c>
      <c r="J174" s="58"/>
      <c r="K174" s="58" t="str">
        <f t="shared" si="6"/>
        <v>EM ATENDIMENTO</v>
      </c>
      <c r="L174" s="58" t="str">
        <f t="shared" si="7"/>
        <v/>
      </c>
      <c r="M174" s="58"/>
      <c r="N174" s="58" t="s">
        <v>147</v>
      </c>
      <c r="O174" s="58" t="s">
        <v>146</v>
      </c>
      <c r="P174" s="58" t="s">
        <v>146</v>
      </c>
      <c r="Q174" s="58" t="s">
        <v>41</v>
      </c>
      <c r="R174" s="58" t="s">
        <v>5</v>
      </c>
      <c r="S174" s="58"/>
      <c r="T174" s="71">
        <f>IF(R174="","",IF(OR(R174="SUPORTE",R174="PERDA / FECHOU LOJA"),"SEM",A174+VLOOKUP(R174,REGRAS!$B$2:$C$13,2,FALSE())))</f>
        <v>46061</v>
      </c>
      <c r="U174" s="58" t="str">
        <f t="shared" si="8"/>
        <v>PROSPECÇÃO</v>
      </c>
      <c r="V174" s="58"/>
      <c r="W174" s="58" t="s">
        <v>146</v>
      </c>
      <c r="X174" s="58"/>
    </row>
    <row r="175" spans="1:24" x14ac:dyDescent="0.3">
      <c r="A175" s="71">
        <v>46062</v>
      </c>
      <c r="B175" s="58" t="s">
        <v>139</v>
      </c>
      <c r="C175" s="58" t="s">
        <v>697</v>
      </c>
      <c r="D175" s="58" t="s">
        <v>698</v>
      </c>
      <c r="E175" s="58" t="s">
        <v>332</v>
      </c>
      <c r="F175" s="58" t="s">
        <v>292</v>
      </c>
      <c r="G175" s="58" t="s">
        <v>71</v>
      </c>
      <c r="H175" s="58">
        <v>15</v>
      </c>
      <c r="I175" s="58" t="str">
        <f>IF(R175="","",VLOOKUP(R175,REGRAS!$B$2:$D$13,3,FALSE()))</f>
        <v>FUNIL</v>
      </c>
      <c r="J175" s="58"/>
      <c r="K175" s="58" t="str">
        <f t="shared" si="6"/>
        <v>EM ATENDIMENTO</v>
      </c>
      <c r="L175" s="58" t="str">
        <f t="shared" si="7"/>
        <v>🟢</v>
      </c>
      <c r="M175" s="58"/>
      <c r="N175" s="58" t="s">
        <v>146</v>
      </c>
      <c r="O175" s="58" t="s">
        <v>147</v>
      </c>
      <c r="P175" s="58" t="s">
        <v>149</v>
      </c>
      <c r="Q175" s="58" t="s">
        <v>37</v>
      </c>
      <c r="R175" s="58" t="s">
        <v>5</v>
      </c>
      <c r="S175" s="58"/>
      <c r="T175" s="71">
        <f>IF(R175="","",IF(OR(R175="SUPORTE",R175="PERDA / FECHOU LOJA"),"SEM",A175+VLOOKUP(R175,REGRAS!$B$2:$C$13,2,FALSE())))</f>
        <v>46064</v>
      </c>
      <c r="U175" s="58" t="str">
        <f t="shared" si="8"/>
        <v>PROSPECÇÃO</v>
      </c>
      <c r="V175" s="58"/>
      <c r="W175" s="58" t="s">
        <v>146</v>
      </c>
      <c r="X175" s="58"/>
    </row>
    <row r="176" spans="1:24" x14ac:dyDescent="0.3">
      <c r="A176" s="71">
        <v>46070</v>
      </c>
      <c r="B176" s="58" t="s">
        <v>135</v>
      </c>
      <c r="C176" s="58" t="s">
        <v>699</v>
      </c>
      <c r="D176" s="58" t="s">
        <v>700</v>
      </c>
      <c r="E176" s="58" t="s">
        <v>332</v>
      </c>
      <c r="F176" s="58" t="s">
        <v>292</v>
      </c>
      <c r="G176" s="58" t="s">
        <v>71</v>
      </c>
      <c r="H176" s="58">
        <v>50</v>
      </c>
      <c r="I176" s="58" t="str">
        <f>IF(R176="","",VLOOKUP(R176,REGRAS!$B$2:$D$13,3,FALSE()))</f>
        <v>NÃO VENDA</v>
      </c>
      <c r="J176" s="58"/>
      <c r="K176" s="58" t="str">
        <f t="shared" si="6"/>
        <v>RECUPERAÇÃO</v>
      </c>
      <c r="L176" s="58" t="str">
        <f t="shared" si="7"/>
        <v>🟢</v>
      </c>
      <c r="M176" s="58"/>
      <c r="N176" s="58" t="s">
        <v>146</v>
      </c>
      <c r="O176" s="58" t="s">
        <v>146</v>
      </c>
      <c r="P176" s="58" t="s">
        <v>147</v>
      </c>
      <c r="Q176" s="58" t="s">
        <v>41</v>
      </c>
      <c r="R176" s="58" t="s">
        <v>26</v>
      </c>
      <c r="S176" s="58" t="s">
        <v>51</v>
      </c>
      <c r="T176" s="71">
        <f>IF(R176="","",IF(OR(R176="SUPORTE",R176="PERDA / FECHOU LOJA"),"SEM",A176+VLOOKUP(R176,REGRAS!$B$2:$C$13,2,FALSE())))</f>
        <v>46071</v>
      </c>
      <c r="U176" s="58" t="str">
        <f t="shared" si="8"/>
        <v>REATIVAÇÃO</v>
      </c>
      <c r="V176" s="58"/>
      <c r="W176" s="58" t="s">
        <v>146</v>
      </c>
      <c r="X176" s="58"/>
    </row>
    <row r="177" spans="1:24" x14ac:dyDescent="0.3">
      <c r="A177" s="71">
        <v>46065</v>
      </c>
      <c r="B177" s="58" t="s">
        <v>135</v>
      </c>
      <c r="C177" s="58" t="s">
        <v>701</v>
      </c>
      <c r="D177" s="58" t="s">
        <v>702</v>
      </c>
      <c r="E177" s="58" t="s">
        <v>332</v>
      </c>
      <c r="F177" s="58" t="s">
        <v>298</v>
      </c>
      <c r="G177" s="58" t="s">
        <v>71</v>
      </c>
      <c r="H177" s="58">
        <v>24</v>
      </c>
      <c r="I177" s="58" t="str">
        <f>IF(R177="","",VLOOKUP(R177,REGRAS!$B$2:$D$13,3,FALSE()))</f>
        <v>RELAC.</v>
      </c>
      <c r="J177" s="58"/>
      <c r="K177" s="58" t="str">
        <f t="shared" si="6"/>
        <v>SALVAMENTO</v>
      </c>
      <c r="L177" s="58" t="str">
        <f t="shared" si="7"/>
        <v>🟢</v>
      </c>
      <c r="M177" s="58"/>
      <c r="N177" s="58" t="s">
        <v>146</v>
      </c>
      <c r="O177" s="58" t="s">
        <v>146</v>
      </c>
      <c r="P177" s="58" t="s">
        <v>147</v>
      </c>
      <c r="Q177" s="58" t="s">
        <v>37</v>
      </c>
      <c r="R177" s="58" t="s">
        <v>17</v>
      </c>
      <c r="S177" s="58" t="s">
        <v>51</v>
      </c>
      <c r="T177" s="71">
        <f>IF(R177="","",IF(OR(R177="SUPORTE",R177="PERDA / FECHOU LOJA"),"SEM",A177+VLOOKUP(R177,REGRAS!$B$2:$C$13,2,FALSE())))</f>
        <v>46072</v>
      </c>
      <c r="U177" s="58" t="str">
        <f t="shared" si="8"/>
        <v>SALVAMENTO</v>
      </c>
      <c r="V177" s="58"/>
      <c r="W177" s="58" t="s">
        <v>146</v>
      </c>
      <c r="X177" s="58"/>
    </row>
    <row r="178" spans="1:24" x14ac:dyDescent="0.3">
      <c r="A178" s="71">
        <v>46068</v>
      </c>
      <c r="B178" s="58" t="s">
        <v>137</v>
      </c>
      <c r="C178" s="58" t="s">
        <v>703</v>
      </c>
      <c r="D178" s="58" t="s">
        <v>704</v>
      </c>
      <c r="E178" s="58" t="s">
        <v>332</v>
      </c>
      <c r="F178" s="58" t="s">
        <v>286</v>
      </c>
      <c r="G178" s="58" t="s">
        <v>71</v>
      </c>
      <c r="H178" s="58">
        <v>27</v>
      </c>
      <c r="I178" s="58" t="str">
        <f>IF(R178="","",VLOOKUP(R178,REGRAS!$B$2:$D$13,3,FALSE()))</f>
        <v>FUNIL</v>
      </c>
      <c r="J178" s="58"/>
      <c r="K178" s="58" t="str">
        <f t="shared" si="6"/>
        <v>PROSPECÇÃO</v>
      </c>
      <c r="L178" s="58" t="str">
        <f t="shared" si="7"/>
        <v>🟢</v>
      </c>
      <c r="M178" s="58"/>
      <c r="N178" s="58" t="s">
        <v>146</v>
      </c>
      <c r="O178" s="58" t="s">
        <v>146</v>
      </c>
      <c r="P178" s="58" t="s">
        <v>147</v>
      </c>
      <c r="Q178" s="58" t="s">
        <v>41</v>
      </c>
      <c r="R178" s="58" t="s">
        <v>8</v>
      </c>
      <c r="S178" s="58"/>
      <c r="T178" s="71">
        <f>IF(R178="","",IF(OR(R178="SUPORTE",R178="PERDA / FECHOU LOJA"),"SEM",A178+VLOOKUP(R178,REGRAS!$B$2:$C$13,2,FALSE())))</f>
        <v>46069</v>
      </c>
      <c r="U178" s="58" t="str">
        <f t="shared" si="8"/>
        <v>PROSPECÇÃO</v>
      </c>
      <c r="V178" s="58"/>
      <c r="W178" s="58" t="s">
        <v>146</v>
      </c>
      <c r="X178" s="58"/>
    </row>
    <row r="179" spans="1:24" x14ac:dyDescent="0.3">
      <c r="A179" s="71">
        <v>46077</v>
      </c>
      <c r="B179" s="58" t="s">
        <v>139</v>
      </c>
      <c r="C179" s="58" t="s">
        <v>705</v>
      </c>
      <c r="D179" s="58" t="s">
        <v>706</v>
      </c>
      <c r="E179" s="58" t="s">
        <v>422</v>
      </c>
      <c r="F179" s="58" t="s">
        <v>283</v>
      </c>
      <c r="G179" s="58" t="s">
        <v>71</v>
      </c>
      <c r="H179" s="58">
        <v>7</v>
      </c>
      <c r="I179" s="58" t="str">
        <f>IF(R179="","",VLOOKUP(R179,REGRAS!$B$2:$D$13,3,FALSE()))</f>
        <v>NÃO VENDA</v>
      </c>
      <c r="J179" s="58"/>
      <c r="K179" s="58" t="str">
        <f t="shared" si="6"/>
        <v>RECUPERAÇÃO</v>
      </c>
      <c r="L179" s="58" t="str">
        <f t="shared" si="7"/>
        <v>🟢</v>
      </c>
      <c r="M179" s="58"/>
      <c r="N179" s="58" t="s">
        <v>146</v>
      </c>
      <c r="O179" s="58" t="s">
        <v>147</v>
      </c>
      <c r="P179" s="58" t="s">
        <v>149</v>
      </c>
      <c r="Q179" s="58" t="s">
        <v>43</v>
      </c>
      <c r="R179" s="58" t="s">
        <v>23</v>
      </c>
      <c r="S179" s="58" t="s">
        <v>51</v>
      </c>
      <c r="T179" s="71">
        <f>IF(R179="","",IF(OR(R179="SUPORTE",R179="PERDA / FECHOU LOJA"),"SEM",A179+VLOOKUP(R179,REGRAS!$B$2:$C$13,2,FALSE())))</f>
        <v>46078</v>
      </c>
      <c r="U179" s="58" t="str">
        <f t="shared" si="8"/>
        <v>REATIVAÇÃO</v>
      </c>
      <c r="V179" s="58"/>
      <c r="W179" s="58" t="s">
        <v>147</v>
      </c>
      <c r="X179" s="58"/>
    </row>
    <row r="180" spans="1:24" x14ac:dyDescent="0.3">
      <c r="A180" s="71">
        <v>46056</v>
      </c>
      <c r="B180" s="58" t="s">
        <v>137</v>
      </c>
      <c r="C180" s="58" t="s">
        <v>707</v>
      </c>
      <c r="D180" s="58" t="s">
        <v>708</v>
      </c>
      <c r="E180" s="58" t="s">
        <v>335</v>
      </c>
      <c r="F180" s="58" t="s">
        <v>286</v>
      </c>
      <c r="G180" s="58" t="s">
        <v>85</v>
      </c>
      <c r="H180" s="58"/>
      <c r="I180" s="58" t="str">
        <f>IF(R180="","",VLOOKUP(R180,REGRAS!$B$2:$D$13,3,FALSE()))</f>
        <v>FUNIL</v>
      </c>
      <c r="J180" s="58"/>
      <c r="K180" s="58" t="str">
        <f t="shared" si="6"/>
        <v>PROSPECÇÃO</v>
      </c>
      <c r="L180" s="58" t="str">
        <f t="shared" si="7"/>
        <v/>
      </c>
      <c r="M180" s="58"/>
      <c r="N180" s="58" t="s">
        <v>146</v>
      </c>
      <c r="O180" s="58" t="s">
        <v>147</v>
      </c>
      <c r="P180" s="58" t="s">
        <v>149</v>
      </c>
      <c r="Q180" s="58" t="s">
        <v>35</v>
      </c>
      <c r="R180" s="58" t="s">
        <v>8</v>
      </c>
      <c r="S180" s="58"/>
      <c r="T180" s="71">
        <f>IF(R180="","",IF(OR(R180="SUPORTE",R180="PERDA / FECHOU LOJA"),"SEM",A180+VLOOKUP(R180,REGRAS!$B$2:$C$13,2,FALSE())))</f>
        <v>46057</v>
      </c>
      <c r="U180" s="58" t="str">
        <f t="shared" si="8"/>
        <v>PROSPECÇÃO</v>
      </c>
      <c r="V180" s="58"/>
      <c r="W180" s="58" t="s">
        <v>147</v>
      </c>
      <c r="X180" s="58"/>
    </row>
    <row r="181" spans="1:24" x14ac:dyDescent="0.3">
      <c r="A181" s="71">
        <v>46077</v>
      </c>
      <c r="B181" s="58" t="s">
        <v>135</v>
      </c>
      <c r="C181" s="58" t="s">
        <v>709</v>
      </c>
      <c r="D181" s="58" t="s">
        <v>710</v>
      </c>
      <c r="E181" s="58" t="s">
        <v>332</v>
      </c>
      <c r="F181" s="58" t="s">
        <v>283</v>
      </c>
      <c r="G181" s="58" t="s">
        <v>74</v>
      </c>
      <c r="H181" s="58">
        <v>56</v>
      </c>
      <c r="I181" s="58" t="str">
        <f>IF(R181="","",VLOOKUP(R181,REGRAS!$B$2:$D$13,3,FALSE()))</f>
        <v>RELAC.</v>
      </c>
      <c r="J181" s="58"/>
      <c r="K181" s="58" t="str">
        <f t="shared" si="6"/>
        <v>CS</v>
      </c>
      <c r="L181" s="58" t="str">
        <f t="shared" si="7"/>
        <v>🟡</v>
      </c>
      <c r="M181" s="58"/>
      <c r="N181" s="58" t="s">
        <v>147</v>
      </c>
      <c r="O181" s="58" t="s">
        <v>146</v>
      </c>
      <c r="P181" s="58" t="s">
        <v>146</v>
      </c>
      <c r="Q181" s="58" t="s">
        <v>39</v>
      </c>
      <c r="R181" s="58" t="s">
        <v>14</v>
      </c>
      <c r="S181" s="58"/>
      <c r="T181" s="71">
        <f>IF(R181="","",IF(OR(R181="SUPORTE",R181="PERDA / FECHOU LOJA"),"SEM",A181+VLOOKUP(R181,REGRAS!$B$2:$C$13,2,FALSE())))</f>
        <v>46084</v>
      </c>
      <c r="U181" s="58" t="str">
        <f t="shared" si="8"/>
        <v>CS</v>
      </c>
      <c r="V181" s="58"/>
      <c r="W181" s="58" t="s">
        <v>146</v>
      </c>
      <c r="X181" s="58"/>
    </row>
    <row r="182" spans="1:24" x14ac:dyDescent="0.3">
      <c r="A182" s="71">
        <v>46057</v>
      </c>
      <c r="B182" s="58" t="s">
        <v>135</v>
      </c>
      <c r="C182" s="58" t="s">
        <v>711</v>
      </c>
      <c r="D182" s="58" t="s">
        <v>712</v>
      </c>
      <c r="E182" s="58" t="s">
        <v>332</v>
      </c>
      <c r="F182" s="58" t="s">
        <v>292</v>
      </c>
      <c r="G182" s="58" t="s">
        <v>85</v>
      </c>
      <c r="H182" s="58"/>
      <c r="I182" s="58" t="str">
        <f>IF(R182="","",VLOOKUP(R182,REGRAS!$B$2:$D$13,3,FALSE()))</f>
        <v>FUNIL</v>
      </c>
      <c r="J182" s="58"/>
      <c r="K182" s="58" t="str">
        <f t="shared" si="6"/>
        <v>RECOMPRA</v>
      </c>
      <c r="L182" s="58" t="str">
        <f t="shared" si="7"/>
        <v/>
      </c>
      <c r="M182" s="58"/>
      <c r="N182" s="58" t="s">
        <v>146</v>
      </c>
      <c r="O182" s="58" t="s">
        <v>147</v>
      </c>
      <c r="P182" s="58" t="s">
        <v>149</v>
      </c>
      <c r="Q182" s="58" t="s">
        <v>39</v>
      </c>
      <c r="R182" s="58" t="s">
        <v>12</v>
      </c>
      <c r="S182" s="58"/>
      <c r="T182" s="71">
        <f>IF(R182="","",IF(OR(R182="SUPORTE",R182="PERDA / FECHOU LOJA"),"SEM",A182+VLOOKUP(R182,REGRAS!$B$2:$C$13,2,FALSE())))</f>
        <v>46102</v>
      </c>
      <c r="U182" s="58" t="str">
        <f t="shared" si="8"/>
        <v>RECOMPRA</v>
      </c>
      <c r="V182" s="58"/>
      <c r="W182" s="58" t="s">
        <v>146</v>
      </c>
      <c r="X182" s="58"/>
    </row>
    <row r="183" spans="1:24" x14ac:dyDescent="0.3">
      <c r="A183" s="71">
        <v>46066</v>
      </c>
      <c r="B183" s="58" t="s">
        <v>141</v>
      </c>
      <c r="C183" s="58" t="s">
        <v>713</v>
      </c>
      <c r="D183" s="58" t="s">
        <v>714</v>
      </c>
      <c r="E183" s="58" t="s">
        <v>346</v>
      </c>
      <c r="F183" s="58" t="s">
        <v>283</v>
      </c>
      <c r="G183" s="58" t="s">
        <v>71</v>
      </c>
      <c r="H183" s="58">
        <v>19</v>
      </c>
      <c r="I183" s="58" t="str">
        <f>IF(R183="","",VLOOKUP(R183,REGRAS!$B$2:$D$13,3,FALSE()))</f>
        <v>NÃO VENDA</v>
      </c>
      <c r="J183" s="58"/>
      <c r="K183" s="58" t="str">
        <f t="shared" si="6"/>
        <v>RECUPERAÇÃO</v>
      </c>
      <c r="L183" s="58" t="str">
        <f t="shared" si="7"/>
        <v>🟢</v>
      </c>
      <c r="M183" s="58"/>
      <c r="N183" s="58" t="s">
        <v>146</v>
      </c>
      <c r="O183" s="58" t="s">
        <v>147</v>
      </c>
      <c r="P183" s="58" t="s">
        <v>149</v>
      </c>
      <c r="Q183" s="58" t="s">
        <v>33</v>
      </c>
      <c r="R183" s="58" t="s">
        <v>26</v>
      </c>
      <c r="S183" s="58" t="s">
        <v>57</v>
      </c>
      <c r="T183" s="71">
        <f>IF(R183="","",IF(OR(R183="SUPORTE",R183="PERDA / FECHOU LOJA"),"SEM",A183+VLOOKUP(R183,REGRAS!$B$2:$C$13,2,FALSE())))</f>
        <v>46067</v>
      </c>
      <c r="U183" s="58" t="str">
        <f t="shared" si="8"/>
        <v>REATIVAÇÃO</v>
      </c>
      <c r="V183" s="58"/>
      <c r="W183" s="58" t="s">
        <v>146</v>
      </c>
      <c r="X183" s="58"/>
    </row>
    <row r="184" spans="1:24" x14ac:dyDescent="0.3">
      <c r="A184" s="71">
        <v>46062</v>
      </c>
      <c r="B184" s="58" t="s">
        <v>141</v>
      </c>
      <c r="C184" s="58" t="s">
        <v>715</v>
      </c>
      <c r="D184" s="58" t="s">
        <v>716</v>
      </c>
      <c r="E184" s="58" t="s">
        <v>332</v>
      </c>
      <c r="F184" s="58" t="s">
        <v>292</v>
      </c>
      <c r="G184" s="58" t="s">
        <v>82</v>
      </c>
      <c r="H184" s="58"/>
      <c r="I184" s="58" t="str">
        <f>IF(R184="","",VLOOKUP(R184,REGRAS!$B$2:$D$13,3,FALSE()))</f>
        <v>FUNIL</v>
      </c>
      <c r="J184" s="58"/>
      <c r="K184" s="58" t="str">
        <f t="shared" si="6"/>
        <v>RECOMPRA</v>
      </c>
      <c r="L184" s="58" t="str">
        <f t="shared" si="7"/>
        <v/>
      </c>
      <c r="M184" s="58"/>
      <c r="N184" s="58" t="s">
        <v>146</v>
      </c>
      <c r="O184" s="58" t="s">
        <v>147</v>
      </c>
      <c r="P184" s="58" t="s">
        <v>149</v>
      </c>
      <c r="Q184" s="58" t="s">
        <v>33</v>
      </c>
      <c r="R184" s="58" t="s">
        <v>12</v>
      </c>
      <c r="S184" s="58"/>
      <c r="T184" s="71">
        <f>IF(R184="","",IF(OR(R184="SUPORTE",R184="PERDA / FECHOU LOJA"),"SEM",A184+VLOOKUP(R184,REGRAS!$B$2:$C$13,2,FALSE())))</f>
        <v>46107</v>
      </c>
      <c r="U184" s="58" t="str">
        <f t="shared" si="8"/>
        <v>RECOMPRA</v>
      </c>
      <c r="V184" s="58"/>
      <c r="W184" s="58" t="s">
        <v>146</v>
      </c>
      <c r="X184" s="58"/>
    </row>
    <row r="185" spans="1:24" x14ac:dyDescent="0.3">
      <c r="A185" s="71">
        <v>46077</v>
      </c>
      <c r="B185" s="58" t="s">
        <v>137</v>
      </c>
      <c r="C185" s="58" t="s">
        <v>717</v>
      </c>
      <c r="D185" s="58" t="s">
        <v>718</v>
      </c>
      <c r="E185" s="58" t="s">
        <v>381</v>
      </c>
      <c r="F185" s="58" t="s">
        <v>295</v>
      </c>
      <c r="G185" s="58" t="s">
        <v>74</v>
      </c>
      <c r="H185" s="58">
        <v>53</v>
      </c>
      <c r="I185" s="58" t="str">
        <f>IF(R185="","",VLOOKUP(R185,REGRAS!$B$2:$D$13,3,FALSE()))</f>
        <v>NÃO VENDA</v>
      </c>
      <c r="J185" s="58"/>
      <c r="K185" s="58" t="str">
        <f t="shared" si="6"/>
        <v>RECUPERAÇÃO</v>
      </c>
      <c r="L185" s="58" t="str">
        <f t="shared" si="7"/>
        <v>🟡</v>
      </c>
      <c r="M185" s="58"/>
      <c r="N185" s="58" t="s">
        <v>146</v>
      </c>
      <c r="O185" s="58" t="s">
        <v>146</v>
      </c>
      <c r="P185" s="58" t="s">
        <v>146</v>
      </c>
      <c r="Q185" s="58" t="s">
        <v>33</v>
      </c>
      <c r="R185" s="58" t="s">
        <v>23</v>
      </c>
      <c r="S185" s="58" t="s">
        <v>57</v>
      </c>
      <c r="T185" s="71">
        <f>IF(R185="","",IF(OR(R185="SUPORTE",R185="PERDA / FECHOU LOJA"),"SEM",A185+VLOOKUP(R185,REGRAS!$B$2:$C$13,2,FALSE())))</f>
        <v>46078</v>
      </c>
      <c r="U185" s="58" t="str">
        <f t="shared" si="8"/>
        <v>REATIVAÇÃO</v>
      </c>
      <c r="V185" s="58"/>
      <c r="W185" s="58" t="s">
        <v>146</v>
      </c>
      <c r="X185" s="58"/>
    </row>
    <row r="186" spans="1:24" x14ac:dyDescent="0.3">
      <c r="A186" s="71">
        <v>46062</v>
      </c>
      <c r="B186" s="58" t="s">
        <v>137</v>
      </c>
      <c r="C186" s="58" t="s">
        <v>719</v>
      </c>
      <c r="D186" s="58" t="s">
        <v>720</v>
      </c>
      <c r="E186" s="58" t="s">
        <v>422</v>
      </c>
      <c r="F186" s="58" t="s">
        <v>296</v>
      </c>
      <c r="G186" s="58" t="s">
        <v>71</v>
      </c>
      <c r="H186" s="58">
        <v>29</v>
      </c>
      <c r="I186" s="58" t="str">
        <f>IF(R186="","",VLOOKUP(R186,REGRAS!$B$2:$D$13,3,FALSE()))</f>
        <v>RELAC.</v>
      </c>
      <c r="J186" s="58"/>
      <c r="K186" s="58" t="str">
        <f t="shared" si="6"/>
        <v>SALVAMENTO</v>
      </c>
      <c r="L186" s="58" t="str">
        <f t="shared" si="7"/>
        <v>🟢</v>
      </c>
      <c r="M186" s="58"/>
      <c r="N186" s="58" t="s">
        <v>146</v>
      </c>
      <c r="O186" s="58" t="s">
        <v>147</v>
      </c>
      <c r="P186" s="58" t="s">
        <v>149</v>
      </c>
      <c r="Q186" s="58" t="s">
        <v>43</v>
      </c>
      <c r="R186" s="58" t="s">
        <v>17</v>
      </c>
      <c r="S186" s="58" t="s">
        <v>64</v>
      </c>
      <c r="T186" s="71">
        <f>IF(R186="","",IF(OR(R186="SUPORTE",R186="PERDA / FECHOU LOJA"),"SEM",A186+VLOOKUP(R186,REGRAS!$B$2:$C$13,2,FALSE())))</f>
        <v>46069</v>
      </c>
      <c r="U186" s="58" t="str">
        <f t="shared" si="8"/>
        <v>SALVAMENTO</v>
      </c>
      <c r="V186" s="58"/>
      <c r="W186" s="58" t="s">
        <v>146</v>
      </c>
      <c r="X186" s="58"/>
    </row>
    <row r="187" spans="1:24" x14ac:dyDescent="0.3">
      <c r="A187" s="71">
        <v>46066</v>
      </c>
      <c r="B187" s="58" t="s">
        <v>135</v>
      </c>
      <c r="C187" s="58" t="s">
        <v>721</v>
      </c>
      <c r="D187" s="58" t="s">
        <v>722</v>
      </c>
      <c r="E187" s="58" t="s">
        <v>346</v>
      </c>
      <c r="F187" s="58" t="s">
        <v>298</v>
      </c>
      <c r="G187" s="58" t="s">
        <v>74</v>
      </c>
      <c r="H187" s="58">
        <v>60</v>
      </c>
      <c r="I187" s="58" t="str">
        <f>IF(R187="","",VLOOKUP(R187,REGRAS!$B$2:$D$13,3,FALSE()))</f>
        <v>RELAC.</v>
      </c>
      <c r="J187" s="58"/>
      <c r="K187" s="58" t="str">
        <f t="shared" si="6"/>
        <v>PÓS-VENDA</v>
      </c>
      <c r="L187" s="58" t="str">
        <f t="shared" si="7"/>
        <v>🟡</v>
      </c>
      <c r="M187" s="58"/>
      <c r="N187" s="58" t="s">
        <v>146</v>
      </c>
      <c r="O187" s="58" t="s">
        <v>147</v>
      </c>
      <c r="P187" s="58" t="s">
        <v>149</v>
      </c>
      <c r="Q187" s="58" t="s">
        <v>45</v>
      </c>
      <c r="R187" s="58" t="s">
        <v>21</v>
      </c>
      <c r="S187" s="58"/>
      <c r="T187" s="71" t="str">
        <f>IF(R187="","",IF(OR(R187="SUPORTE",R187="PERDA / FECHOU LOJA"),"SEM",A187+VLOOKUP(R187,REGRAS!$B$2:$C$13,2,FALSE())))</f>
        <v>SEM</v>
      </c>
      <c r="U187" s="58" t="str">
        <f t="shared" si="8"/>
        <v>PÓS-VENDA</v>
      </c>
      <c r="V187" s="58"/>
      <c r="W187" s="58" t="s">
        <v>146</v>
      </c>
      <c r="X187" s="58"/>
    </row>
    <row r="188" spans="1:24" x14ac:dyDescent="0.3">
      <c r="A188" s="71">
        <v>46080</v>
      </c>
      <c r="B188" s="58" t="s">
        <v>141</v>
      </c>
      <c r="C188" s="58" t="s">
        <v>723</v>
      </c>
      <c r="D188" s="58" t="s">
        <v>724</v>
      </c>
      <c r="E188" s="58" t="s">
        <v>381</v>
      </c>
      <c r="F188" s="58" t="s">
        <v>292</v>
      </c>
      <c r="G188" s="58" t="s">
        <v>71</v>
      </c>
      <c r="H188" s="58">
        <v>20</v>
      </c>
      <c r="I188" s="58" t="str">
        <f>IF(R188="","",VLOOKUP(R188,REGRAS!$B$2:$D$13,3,FALSE()))</f>
        <v>RELAC.</v>
      </c>
      <c r="J188" s="58"/>
      <c r="K188" s="58" t="str">
        <f t="shared" si="6"/>
        <v>PÓS-VENDA</v>
      </c>
      <c r="L188" s="58" t="str">
        <f t="shared" si="7"/>
        <v>🟢</v>
      </c>
      <c r="M188" s="58"/>
      <c r="N188" s="58" t="s">
        <v>146</v>
      </c>
      <c r="O188" s="58" t="s">
        <v>147</v>
      </c>
      <c r="P188" s="58" t="s">
        <v>149</v>
      </c>
      <c r="Q188" s="58" t="s">
        <v>39</v>
      </c>
      <c r="R188" s="58" t="s">
        <v>21</v>
      </c>
      <c r="S188" s="58"/>
      <c r="T188" s="71" t="str">
        <f>IF(R188="","",IF(OR(R188="SUPORTE",R188="PERDA / FECHOU LOJA"),"SEM",A188+VLOOKUP(R188,REGRAS!$B$2:$C$13,2,FALSE())))</f>
        <v>SEM</v>
      </c>
      <c r="U188" s="58" t="str">
        <f t="shared" si="8"/>
        <v>PÓS-VENDA</v>
      </c>
      <c r="V188" s="58"/>
      <c r="W188" s="58" t="s">
        <v>146</v>
      </c>
      <c r="X188" s="58"/>
    </row>
    <row r="189" spans="1:24" x14ac:dyDescent="0.3">
      <c r="A189" s="71">
        <v>46076</v>
      </c>
      <c r="B189" s="58" t="s">
        <v>137</v>
      </c>
      <c r="C189" s="58" t="s">
        <v>725</v>
      </c>
      <c r="D189" s="58" t="s">
        <v>726</v>
      </c>
      <c r="E189" s="58" t="s">
        <v>366</v>
      </c>
      <c r="F189" s="58" t="s">
        <v>298</v>
      </c>
      <c r="G189" s="58" t="s">
        <v>71</v>
      </c>
      <c r="H189" s="58">
        <v>19</v>
      </c>
      <c r="I189" s="58" t="str">
        <f>IF(R189="","",VLOOKUP(R189,REGRAS!$B$2:$D$13,3,FALSE()))</f>
        <v>FUNIL</v>
      </c>
      <c r="J189" s="58"/>
      <c r="K189" s="58" t="str">
        <f t="shared" si="6"/>
        <v>RECOMPRA</v>
      </c>
      <c r="L189" s="58" t="str">
        <f t="shared" si="7"/>
        <v>🟢</v>
      </c>
      <c r="M189" s="58"/>
      <c r="N189" s="58" t="s">
        <v>146</v>
      </c>
      <c r="O189" s="58" t="s">
        <v>146</v>
      </c>
      <c r="P189" s="58" t="s">
        <v>147</v>
      </c>
      <c r="Q189" s="58" t="s">
        <v>39</v>
      </c>
      <c r="R189" s="58" t="s">
        <v>12</v>
      </c>
      <c r="S189" s="58"/>
      <c r="T189" s="71">
        <f>IF(R189="","",IF(OR(R189="SUPORTE",R189="PERDA / FECHOU LOJA"),"SEM",A189+VLOOKUP(R189,REGRAS!$B$2:$C$13,2,FALSE())))</f>
        <v>46121</v>
      </c>
      <c r="U189" s="58" t="str">
        <f t="shared" si="8"/>
        <v>RECOMPRA</v>
      </c>
      <c r="V189" s="58"/>
      <c r="W189" s="58" t="s">
        <v>147</v>
      </c>
      <c r="X189" s="58"/>
    </row>
    <row r="190" spans="1:24" x14ac:dyDescent="0.3">
      <c r="A190" s="71">
        <v>46064</v>
      </c>
      <c r="B190" s="58" t="s">
        <v>139</v>
      </c>
      <c r="C190" s="58" t="s">
        <v>727</v>
      </c>
      <c r="D190" s="58" t="s">
        <v>728</v>
      </c>
      <c r="E190" s="58" t="s">
        <v>346</v>
      </c>
      <c r="F190" s="58" t="s">
        <v>292</v>
      </c>
      <c r="G190" s="58" t="s">
        <v>85</v>
      </c>
      <c r="H190" s="58"/>
      <c r="I190" s="58" t="str">
        <f>IF(R190="","",VLOOKUP(R190,REGRAS!$B$2:$D$13,3,FALSE()))</f>
        <v>FUNIL</v>
      </c>
      <c r="J190" s="58"/>
      <c r="K190" s="58" t="str">
        <f t="shared" si="6"/>
        <v>EM ATENDIMENTO</v>
      </c>
      <c r="L190" s="58" t="str">
        <f t="shared" si="7"/>
        <v/>
      </c>
      <c r="M190" s="58"/>
      <c r="N190" s="58" t="s">
        <v>146</v>
      </c>
      <c r="O190" s="58" t="s">
        <v>146</v>
      </c>
      <c r="P190" s="58" t="s">
        <v>146</v>
      </c>
      <c r="Q190" s="58" t="s">
        <v>39</v>
      </c>
      <c r="R190" s="58" t="s">
        <v>5</v>
      </c>
      <c r="S190" s="58"/>
      <c r="T190" s="71">
        <f>IF(R190="","",IF(OR(R190="SUPORTE",R190="PERDA / FECHOU LOJA"),"SEM",A190+VLOOKUP(R190,REGRAS!$B$2:$C$13,2,FALSE())))</f>
        <v>46066</v>
      </c>
      <c r="U190" s="58" t="str">
        <f t="shared" si="8"/>
        <v>PROSPECÇÃO</v>
      </c>
      <c r="V190" s="58"/>
      <c r="W190" s="58" t="s">
        <v>146</v>
      </c>
      <c r="X190" s="58"/>
    </row>
    <row r="191" spans="1:24" x14ac:dyDescent="0.3">
      <c r="A191" s="71">
        <v>46059</v>
      </c>
      <c r="B191" s="58" t="s">
        <v>139</v>
      </c>
      <c r="C191" s="58" t="s">
        <v>729</v>
      </c>
      <c r="D191" s="58" t="s">
        <v>730</v>
      </c>
      <c r="E191" s="58" t="s">
        <v>335</v>
      </c>
      <c r="F191" s="58" t="s">
        <v>292</v>
      </c>
      <c r="G191" s="58" t="s">
        <v>79</v>
      </c>
      <c r="H191" s="58">
        <v>148</v>
      </c>
      <c r="I191" s="58" t="str">
        <f>IF(R191="","",VLOOKUP(R191,REGRAS!$B$2:$D$13,3,FALSE()))</f>
        <v>NÃO VENDA</v>
      </c>
      <c r="J191" s="58"/>
      <c r="K191" s="58" t="str">
        <f t="shared" si="6"/>
        <v>NUTRIÇÃO</v>
      </c>
      <c r="L191" s="58" t="str">
        <f t="shared" si="7"/>
        <v>🔴</v>
      </c>
      <c r="M191" s="58"/>
      <c r="N191" s="58" t="s">
        <v>146</v>
      </c>
      <c r="O191" s="58" t="s">
        <v>147</v>
      </c>
      <c r="P191" s="58" t="s">
        <v>149</v>
      </c>
      <c r="Q191" s="58" t="s">
        <v>41</v>
      </c>
      <c r="R191" s="58" t="s">
        <v>30</v>
      </c>
      <c r="S191" s="58" t="s">
        <v>51</v>
      </c>
      <c r="T191" s="71" t="str">
        <f>IF(R191="","",IF(OR(R191="SUPORTE",R191="PERDA / FECHOU LOJA"),"SEM",A191+VLOOKUP(R191,REGRAS!$B$2:$C$13,2,FALSE())))</f>
        <v>SEM</v>
      </c>
      <c r="U191" s="58" t="str">
        <f t="shared" si="8"/>
        <v>NUTRIÇÃO</v>
      </c>
      <c r="V191" s="58"/>
      <c r="W191" s="58" t="s">
        <v>146</v>
      </c>
      <c r="X191" s="58"/>
    </row>
    <row r="192" spans="1:24" x14ac:dyDescent="0.3">
      <c r="A192" s="71">
        <v>46054</v>
      </c>
      <c r="B192" s="58" t="s">
        <v>141</v>
      </c>
      <c r="C192" s="58" t="s">
        <v>731</v>
      </c>
      <c r="D192" s="58" t="s">
        <v>732</v>
      </c>
      <c r="E192" s="58" t="s">
        <v>381</v>
      </c>
      <c r="F192" s="58" t="s">
        <v>292</v>
      </c>
      <c r="G192" s="58" t="s">
        <v>71</v>
      </c>
      <c r="H192" s="58">
        <v>41</v>
      </c>
      <c r="I192" s="58" t="str">
        <f>IF(R192="","",VLOOKUP(R192,REGRAS!$B$2:$D$13,3,FALSE()))</f>
        <v>FUNIL</v>
      </c>
      <c r="J192" s="58"/>
      <c r="K192" s="58" t="str">
        <f t="shared" si="6"/>
        <v>PROSPECÇÃO</v>
      </c>
      <c r="L192" s="58" t="str">
        <f t="shared" si="7"/>
        <v>🟢</v>
      </c>
      <c r="M192" s="58"/>
      <c r="N192" s="58" t="s">
        <v>146</v>
      </c>
      <c r="O192" s="58" t="s">
        <v>146</v>
      </c>
      <c r="P192" s="58" t="s">
        <v>146</v>
      </c>
      <c r="Q192" s="58" t="s">
        <v>33</v>
      </c>
      <c r="R192" s="58" t="s">
        <v>10</v>
      </c>
      <c r="S192" s="58"/>
      <c r="T192" s="71">
        <f>IF(R192="","",IF(OR(R192="SUPORTE",R192="PERDA / FECHOU LOJA"),"SEM",A192+VLOOKUP(R192,REGRAS!$B$2:$C$13,2,FALSE())))</f>
        <v>46056</v>
      </c>
      <c r="U192" s="58" t="str">
        <f t="shared" si="8"/>
        <v>PROSPECÇÃO</v>
      </c>
      <c r="V192" s="58"/>
      <c r="W192" s="58" t="s">
        <v>146</v>
      </c>
      <c r="X192" s="58"/>
    </row>
    <row r="193" spans="1:24" x14ac:dyDescent="0.3">
      <c r="A193" s="71">
        <v>46074</v>
      </c>
      <c r="B193" s="58" t="s">
        <v>141</v>
      </c>
      <c r="C193" s="58" t="s">
        <v>733</v>
      </c>
      <c r="D193" s="58" t="s">
        <v>734</v>
      </c>
      <c r="E193" s="58" t="s">
        <v>332</v>
      </c>
      <c r="F193" s="58" t="s">
        <v>289</v>
      </c>
      <c r="G193" s="58" t="s">
        <v>79</v>
      </c>
      <c r="H193" s="58">
        <v>180</v>
      </c>
      <c r="I193" s="58" t="str">
        <f>IF(R193="","",VLOOKUP(R193,REGRAS!$B$2:$D$13,3,FALSE()))</f>
        <v>FUNIL</v>
      </c>
      <c r="J193" s="58"/>
      <c r="K193" s="58" t="str">
        <f t="shared" si="6"/>
        <v>EM ATENDIMENTO</v>
      </c>
      <c r="L193" s="58" t="str">
        <f t="shared" si="7"/>
        <v>🔴</v>
      </c>
      <c r="M193" s="58"/>
      <c r="N193" s="58" t="s">
        <v>146</v>
      </c>
      <c r="O193" s="58" t="s">
        <v>146</v>
      </c>
      <c r="P193" s="58" t="s">
        <v>147</v>
      </c>
      <c r="Q193" s="58" t="s">
        <v>37</v>
      </c>
      <c r="R193" s="58" t="s">
        <v>5</v>
      </c>
      <c r="S193" s="58"/>
      <c r="T193" s="71">
        <f>IF(R193="","",IF(OR(R193="SUPORTE",R193="PERDA / FECHOU LOJA"),"SEM",A193+VLOOKUP(R193,REGRAS!$B$2:$C$13,2,FALSE())))</f>
        <v>46076</v>
      </c>
      <c r="U193" s="58" t="str">
        <f t="shared" si="8"/>
        <v>PROSPECÇÃO</v>
      </c>
      <c r="V193" s="58"/>
      <c r="W193" s="58" t="s">
        <v>147</v>
      </c>
      <c r="X193" s="58"/>
    </row>
    <row r="194" spans="1:24" x14ac:dyDescent="0.3">
      <c r="A194" s="71">
        <v>46067</v>
      </c>
      <c r="B194" s="58" t="s">
        <v>137</v>
      </c>
      <c r="C194" s="58" t="s">
        <v>735</v>
      </c>
      <c r="D194" s="58" t="s">
        <v>736</v>
      </c>
      <c r="E194" s="58" t="s">
        <v>335</v>
      </c>
      <c r="F194" s="58" t="s">
        <v>297</v>
      </c>
      <c r="G194" s="58" t="s">
        <v>71</v>
      </c>
      <c r="H194" s="58">
        <v>9</v>
      </c>
      <c r="I194" s="58" t="str">
        <f>IF(R194="","",VLOOKUP(R194,REGRAS!$B$2:$D$13,3,FALSE()))</f>
        <v>RELAC.</v>
      </c>
      <c r="J194" s="58"/>
      <c r="K194" s="58" t="str">
        <f t="shared" si="6"/>
        <v>CS</v>
      </c>
      <c r="L194" s="58" t="str">
        <f t="shared" si="7"/>
        <v>🟢</v>
      </c>
      <c r="M194" s="58"/>
      <c r="N194" s="58" t="s">
        <v>146</v>
      </c>
      <c r="O194" s="58" t="s">
        <v>146</v>
      </c>
      <c r="P194" s="58" t="s">
        <v>146</v>
      </c>
      <c r="Q194" s="58" t="s">
        <v>43</v>
      </c>
      <c r="R194" s="58" t="s">
        <v>14</v>
      </c>
      <c r="S194" s="58"/>
      <c r="T194" s="71">
        <f>IF(R194="","",IF(OR(R194="SUPORTE",R194="PERDA / FECHOU LOJA"),"SEM",A194+VLOOKUP(R194,REGRAS!$B$2:$C$13,2,FALSE())))</f>
        <v>46074</v>
      </c>
      <c r="U194" s="58" t="str">
        <f t="shared" si="8"/>
        <v>CS</v>
      </c>
      <c r="V194" s="58"/>
      <c r="W194" s="58" t="s">
        <v>146</v>
      </c>
      <c r="X194" s="58"/>
    </row>
    <row r="195" spans="1:24" x14ac:dyDescent="0.3">
      <c r="A195" s="71">
        <v>46066</v>
      </c>
      <c r="B195" s="58" t="s">
        <v>135</v>
      </c>
      <c r="C195" s="58" t="s">
        <v>552</v>
      </c>
      <c r="D195" s="58" t="s">
        <v>737</v>
      </c>
      <c r="E195" s="58" t="s">
        <v>376</v>
      </c>
      <c r="F195" s="58" t="s">
        <v>297</v>
      </c>
      <c r="G195" s="58" t="s">
        <v>77</v>
      </c>
      <c r="H195" s="58">
        <v>74</v>
      </c>
      <c r="I195" s="58" t="str">
        <f>IF(R195="","",VLOOKUP(R195,REGRAS!$B$2:$D$13,3,FALSE()))</f>
        <v>FUNIL</v>
      </c>
      <c r="J195" s="58"/>
      <c r="K195" s="58" t="str">
        <f t="shared" si="6"/>
        <v>EM ATENDIMENTO</v>
      </c>
      <c r="L195" s="58" t="str">
        <f t="shared" si="7"/>
        <v>🟡</v>
      </c>
      <c r="M195" s="58"/>
      <c r="N195" s="58" t="s">
        <v>146</v>
      </c>
      <c r="O195" s="58" t="s">
        <v>146</v>
      </c>
      <c r="P195" s="58" t="s">
        <v>147</v>
      </c>
      <c r="Q195" s="58" t="s">
        <v>35</v>
      </c>
      <c r="R195" s="58" t="s">
        <v>5</v>
      </c>
      <c r="S195" s="58"/>
      <c r="T195" s="71">
        <f>IF(R195="","",IF(OR(R195="SUPORTE",R195="PERDA / FECHOU LOJA"),"SEM",A195+VLOOKUP(R195,REGRAS!$B$2:$C$13,2,FALSE())))</f>
        <v>46068</v>
      </c>
      <c r="U195" s="58" t="str">
        <f t="shared" si="8"/>
        <v>PROSPECÇÃO</v>
      </c>
      <c r="V195" s="58"/>
      <c r="W195" s="58" t="s">
        <v>147</v>
      </c>
      <c r="X195" s="58"/>
    </row>
    <row r="196" spans="1:24" x14ac:dyDescent="0.3">
      <c r="A196" s="71">
        <v>46077</v>
      </c>
      <c r="B196" s="58" t="s">
        <v>137</v>
      </c>
      <c r="C196" s="58" t="s">
        <v>738</v>
      </c>
      <c r="D196" s="58" t="s">
        <v>739</v>
      </c>
      <c r="E196" s="58" t="s">
        <v>376</v>
      </c>
      <c r="F196" s="58" t="s">
        <v>298</v>
      </c>
      <c r="G196" s="58" t="s">
        <v>71</v>
      </c>
      <c r="H196" s="58">
        <v>5</v>
      </c>
      <c r="I196" s="58" t="str">
        <f>IF(R196="","",VLOOKUP(R196,REGRAS!$B$2:$D$13,3,FALSE()))</f>
        <v>FUNIL</v>
      </c>
      <c r="J196" s="58"/>
      <c r="K196" s="58" t="str">
        <f t="shared" ref="K196:K259" si="9">IF(R196="","",IF(R196="VENDA / PEDIDO","RECOMPRA",IF(R196="SUPORTE","PÓS-VENDA",IF(OR(R196="FOLLOW UP 7",R196="FOLLOW UP 15"),"SALVAMENTO",IF(R196="PERDA / FECHOU LOJA","NUTRIÇÃO",IF(R196="RELACIONAMENTO","CS",IF(OR(R196="ORÇAMENTO",R196="CADASTRO"),"PROSPECÇÃO",IF(R196="EM ATENDIMENTO","EM ATENDIMENTO",IF(OR(R196="NÃO ATENDE",R196="NÃO RESPONDE",R196="RECUSOU LIGAÇÃO"),"RECUPERAÇÃO","")))))))))</f>
        <v>PROSPECÇÃO</v>
      </c>
      <c r="L196" s="58" t="str">
        <f t="shared" ref="L196:L259" si="10">IF(H196="","",IF(G196="PROSPECT","🟣",IF(G196="LEAD","🟣",IF(G196="NOVO","🟢",IF(H196&lt;=50,"🟢",IF(H196&lt;=90,"🟡","🔴"))))))</f>
        <v>🟢</v>
      </c>
      <c r="M196" s="58"/>
      <c r="N196" s="58" t="s">
        <v>146</v>
      </c>
      <c r="O196" s="58" t="s">
        <v>147</v>
      </c>
      <c r="P196" s="58" t="s">
        <v>149</v>
      </c>
      <c r="Q196" s="58" t="s">
        <v>39</v>
      </c>
      <c r="R196" s="58" t="s">
        <v>8</v>
      </c>
      <c r="S196" s="58"/>
      <c r="T196" s="71">
        <f>IF(R196="","",IF(OR(R196="SUPORTE",R196="PERDA / FECHOU LOJA"),"SEM",A196+VLOOKUP(R196,REGRAS!$B$2:$C$13,2,FALSE())))</f>
        <v>46078</v>
      </c>
      <c r="U196" s="58" t="str">
        <f t="shared" ref="U196:U259" si="11">IF(R196="","",IF(R196="VENDA / PEDIDO","RECOMPRA",IF(R196="SUPORTE","PÓS-VENDA",IF(R196="RELACIONAMENTO","CS",IF(OR(R196="NÃO ATENDE",R196="NÃO RESPONDE",R196="RECUSOU LIGAÇÃO"),"REATIVAÇÃO",IF(R196="PERDA / FECHOU LOJA","NUTRIÇÃO",IF(OR(R196="FOLLOW UP 7",R196="FOLLOW UP 15"),"SALVAMENTO","PROSPECÇÃO")))))))</f>
        <v>PROSPECÇÃO</v>
      </c>
      <c r="V196" s="58"/>
      <c r="W196" s="58" t="s">
        <v>146</v>
      </c>
      <c r="X196" s="58"/>
    </row>
    <row r="197" spans="1:24" x14ac:dyDescent="0.3">
      <c r="A197" s="71">
        <v>46054</v>
      </c>
      <c r="B197" s="58" t="s">
        <v>135</v>
      </c>
      <c r="C197" s="58" t="s">
        <v>740</v>
      </c>
      <c r="D197" s="58" t="s">
        <v>741</v>
      </c>
      <c r="E197" s="58" t="s">
        <v>376</v>
      </c>
      <c r="F197" s="58" t="s">
        <v>292</v>
      </c>
      <c r="G197" s="58" t="s">
        <v>71</v>
      </c>
      <c r="H197" s="58">
        <v>46</v>
      </c>
      <c r="I197" s="58" t="str">
        <f>IF(R197="","",VLOOKUP(R197,REGRAS!$B$2:$D$13,3,FALSE()))</f>
        <v>FUNIL</v>
      </c>
      <c r="J197" s="58"/>
      <c r="K197" s="58" t="str">
        <f t="shared" si="9"/>
        <v>RECOMPRA</v>
      </c>
      <c r="L197" s="58" t="str">
        <f t="shared" si="10"/>
        <v>🟢</v>
      </c>
      <c r="M197" s="58"/>
      <c r="N197" s="58" t="s">
        <v>147</v>
      </c>
      <c r="O197" s="58" t="s">
        <v>146</v>
      </c>
      <c r="P197" s="58" t="s">
        <v>146</v>
      </c>
      <c r="Q197" s="58" t="s">
        <v>39</v>
      </c>
      <c r="R197" s="58" t="s">
        <v>12</v>
      </c>
      <c r="S197" s="58"/>
      <c r="T197" s="71">
        <f>IF(R197="","",IF(OR(R197="SUPORTE",R197="PERDA / FECHOU LOJA"),"SEM",A197+VLOOKUP(R197,REGRAS!$B$2:$C$13,2,FALSE())))</f>
        <v>46099</v>
      </c>
      <c r="U197" s="58" t="str">
        <f t="shared" si="11"/>
        <v>RECOMPRA</v>
      </c>
      <c r="V197" s="58"/>
      <c r="W197" s="58" t="s">
        <v>146</v>
      </c>
      <c r="X197" s="58"/>
    </row>
    <row r="198" spans="1:24" x14ac:dyDescent="0.3">
      <c r="A198" s="71">
        <v>46068</v>
      </c>
      <c r="B198" s="58" t="s">
        <v>135</v>
      </c>
      <c r="C198" s="58" t="s">
        <v>742</v>
      </c>
      <c r="D198" s="58" t="s">
        <v>743</v>
      </c>
      <c r="E198" s="58" t="s">
        <v>335</v>
      </c>
      <c r="F198" s="58" t="s">
        <v>292</v>
      </c>
      <c r="G198" s="58" t="s">
        <v>74</v>
      </c>
      <c r="H198" s="58">
        <v>60</v>
      </c>
      <c r="I198" s="58" t="str">
        <f>IF(R198="","",VLOOKUP(R198,REGRAS!$B$2:$D$13,3,FALSE()))</f>
        <v>FUNIL</v>
      </c>
      <c r="J198" s="58"/>
      <c r="K198" s="58" t="str">
        <f t="shared" si="9"/>
        <v>EM ATENDIMENTO</v>
      </c>
      <c r="L198" s="58" t="str">
        <f t="shared" si="10"/>
        <v>🟡</v>
      </c>
      <c r="M198" s="58"/>
      <c r="N198" s="58" t="s">
        <v>146</v>
      </c>
      <c r="O198" s="58" t="s">
        <v>147</v>
      </c>
      <c r="P198" s="58" t="s">
        <v>149</v>
      </c>
      <c r="Q198" s="58" t="s">
        <v>35</v>
      </c>
      <c r="R198" s="58" t="s">
        <v>5</v>
      </c>
      <c r="S198" s="58"/>
      <c r="T198" s="71">
        <f>IF(R198="","",IF(OR(R198="SUPORTE",R198="PERDA / FECHOU LOJA"),"SEM",A198+VLOOKUP(R198,REGRAS!$B$2:$C$13,2,FALSE())))</f>
        <v>46070</v>
      </c>
      <c r="U198" s="58" t="str">
        <f t="shared" si="11"/>
        <v>PROSPECÇÃO</v>
      </c>
      <c r="V198" s="58"/>
      <c r="W198" s="58" t="s">
        <v>147</v>
      </c>
      <c r="X198" s="58"/>
    </row>
    <row r="199" spans="1:24" x14ac:dyDescent="0.3">
      <c r="A199" s="71">
        <v>46075</v>
      </c>
      <c r="B199" s="58" t="s">
        <v>141</v>
      </c>
      <c r="C199" s="58" t="s">
        <v>744</v>
      </c>
      <c r="D199" s="58" t="s">
        <v>745</v>
      </c>
      <c r="E199" s="58" t="s">
        <v>381</v>
      </c>
      <c r="F199" s="58" t="s">
        <v>292</v>
      </c>
      <c r="G199" s="58" t="s">
        <v>77</v>
      </c>
      <c r="H199" s="58">
        <v>89</v>
      </c>
      <c r="I199" s="58" t="str">
        <f>IF(R199="","",VLOOKUP(R199,REGRAS!$B$2:$D$13,3,FALSE()))</f>
        <v>RELAC.</v>
      </c>
      <c r="J199" s="58"/>
      <c r="K199" s="58" t="str">
        <f t="shared" si="9"/>
        <v>SALVAMENTO</v>
      </c>
      <c r="L199" s="58" t="str">
        <f t="shared" si="10"/>
        <v>🟡</v>
      </c>
      <c r="M199" s="58"/>
      <c r="N199" s="58" t="s">
        <v>147</v>
      </c>
      <c r="O199" s="58" t="s">
        <v>146</v>
      </c>
      <c r="P199" s="58" t="s">
        <v>147</v>
      </c>
      <c r="Q199" s="58" t="s">
        <v>39</v>
      </c>
      <c r="R199" s="58" t="s">
        <v>17</v>
      </c>
      <c r="S199" s="58" t="s">
        <v>53</v>
      </c>
      <c r="T199" s="71">
        <f>IF(R199="","",IF(OR(R199="SUPORTE",R199="PERDA / FECHOU LOJA"),"SEM",A199+VLOOKUP(R199,REGRAS!$B$2:$C$13,2,FALSE())))</f>
        <v>46082</v>
      </c>
      <c r="U199" s="58" t="str">
        <f t="shared" si="11"/>
        <v>SALVAMENTO</v>
      </c>
      <c r="V199" s="58"/>
      <c r="W199" s="58" t="s">
        <v>147</v>
      </c>
      <c r="X199" s="58"/>
    </row>
    <row r="200" spans="1:24" x14ac:dyDescent="0.3">
      <c r="A200" s="71">
        <v>46059</v>
      </c>
      <c r="B200" s="58" t="s">
        <v>141</v>
      </c>
      <c r="C200" s="58" t="s">
        <v>746</v>
      </c>
      <c r="D200" s="58" t="s">
        <v>747</v>
      </c>
      <c r="E200" s="58" t="s">
        <v>422</v>
      </c>
      <c r="F200" s="58" t="s">
        <v>296</v>
      </c>
      <c r="G200" s="58" t="s">
        <v>82</v>
      </c>
      <c r="H200" s="58"/>
      <c r="I200" s="58" t="str">
        <f>IF(R200="","",VLOOKUP(R200,REGRAS!$B$2:$D$13,3,FALSE()))</f>
        <v>RELAC.</v>
      </c>
      <c r="J200" s="58"/>
      <c r="K200" s="58" t="str">
        <f t="shared" si="9"/>
        <v>CS</v>
      </c>
      <c r="L200" s="58" t="str">
        <f t="shared" si="10"/>
        <v/>
      </c>
      <c r="M200" s="58"/>
      <c r="N200" s="58" t="s">
        <v>147</v>
      </c>
      <c r="O200" s="58" t="s">
        <v>146</v>
      </c>
      <c r="P200" s="58" t="s">
        <v>146</v>
      </c>
      <c r="Q200" s="58" t="s">
        <v>37</v>
      </c>
      <c r="R200" s="58" t="s">
        <v>14</v>
      </c>
      <c r="S200" s="58"/>
      <c r="T200" s="71">
        <f>IF(R200="","",IF(OR(R200="SUPORTE",R200="PERDA / FECHOU LOJA"),"SEM",A200+VLOOKUP(R200,REGRAS!$B$2:$C$13,2,FALSE())))</f>
        <v>46066</v>
      </c>
      <c r="U200" s="58" t="str">
        <f t="shared" si="11"/>
        <v>CS</v>
      </c>
      <c r="V200" s="58"/>
      <c r="W200" s="58" t="s">
        <v>146</v>
      </c>
      <c r="X200" s="58"/>
    </row>
    <row r="201" spans="1:24" x14ac:dyDescent="0.3">
      <c r="A201" s="71">
        <v>46064</v>
      </c>
      <c r="B201" s="58" t="s">
        <v>141</v>
      </c>
      <c r="C201" s="58" t="s">
        <v>748</v>
      </c>
      <c r="D201" s="58" t="s">
        <v>749</v>
      </c>
      <c r="E201" s="58" t="s">
        <v>346</v>
      </c>
      <c r="F201" s="58" t="s">
        <v>283</v>
      </c>
      <c r="G201" s="58" t="s">
        <v>71</v>
      </c>
      <c r="H201" s="58">
        <v>41</v>
      </c>
      <c r="I201" s="58" t="str">
        <f>IF(R201="","",VLOOKUP(R201,REGRAS!$B$2:$D$13,3,FALSE()))</f>
        <v>RELAC.</v>
      </c>
      <c r="J201" s="58"/>
      <c r="K201" s="58" t="str">
        <f t="shared" si="9"/>
        <v>PÓS-VENDA</v>
      </c>
      <c r="L201" s="58" t="str">
        <f t="shared" si="10"/>
        <v>🟢</v>
      </c>
      <c r="M201" s="58"/>
      <c r="N201" s="58" t="s">
        <v>147</v>
      </c>
      <c r="O201" s="58" t="s">
        <v>147</v>
      </c>
      <c r="P201" s="58" t="s">
        <v>149</v>
      </c>
      <c r="Q201" s="58" t="s">
        <v>39</v>
      </c>
      <c r="R201" s="58" t="s">
        <v>21</v>
      </c>
      <c r="S201" s="58"/>
      <c r="T201" s="71" t="str">
        <f>IF(R201="","",IF(OR(R201="SUPORTE",R201="PERDA / FECHOU LOJA"),"SEM",A201+VLOOKUP(R201,REGRAS!$B$2:$C$13,2,FALSE())))</f>
        <v>SEM</v>
      </c>
      <c r="U201" s="58" t="str">
        <f t="shared" si="11"/>
        <v>PÓS-VENDA</v>
      </c>
      <c r="V201" s="58"/>
      <c r="W201" s="58" t="s">
        <v>146</v>
      </c>
      <c r="X201" s="58"/>
    </row>
    <row r="202" spans="1:24" x14ac:dyDescent="0.3">
      <c r="A202" s="71">
        <v>46057</v>
      </c>
      <c r="B202" s="58" t="s">
        <v>141</v>
      </c>
      <c r="C202" s="58" t="s">
        <v>750</v>
      </c>
      <c r="D202" s="58" t="s">
        <v>751</v>
      </c>
      <c r="E202" s="58" t="s">
        <v>335</v>
      </c>
      <c r="F202" s="58" t="s">
        <v>283</v>
      </c>
      <c r="G202" s="58" t="s">
        <v>71</v>
      </c>
      <c r="H202" s="58">
        <v>14</v>
      </c>
      <c r="I202" s="58" t="str">
        <f>IF(R202="","",VLOOKUP(R202,REGRAS!$B$2:$D$13,3,FALSE()))</f>
        <v>RELAC.</v>
      </c>
      <c r="J202" s="58"/>
      <c r="K202" s="58" t="str">
        <f t="shared" si="9"/>
        <v>SALVAMENTO</v>
      </c>
      <c r="L202" s="58" t="str">
        <f t="shared" si="10"/>
        <v>🟢</v>
      </c>
      <c r="M202" s="58"/>
      <c r="N202" s="58" t="s">
        <v>146</v>
      </c>
      <c r="O202" s="58" t="s">
        <v>146</v>
      </c>
      <c r="P202" s="58" t="s">
        <v>147</v>
      </c>
      <c r="Q202" s="58" t="s">
        <v>39</v>
      </c>
      <c r="R202" s="58" t="s">
        <v>19</v>
      </c>
      <c r="S202" s="58" t="s">
        <v>59</v>
      </c>
      <c r="T202" s="71">
        <f>IF(R202="","",IF(OR(R202="SUPORTE",R202="PERDA / FECHOU LOJA"),"SEM",A202+VLOOKUP(R202,REGRAS!$B$2:$C$13,2,FALSE())))</f>
        <v>46072</v>
      </c>
      <c r="U202" s="58" t="str">
        <f t="shared" si="11"/>
        <v>SALVAMENTO</v>
      </c>
      <c r="V202" s="58"/>
      <c r="W202" s="58" t="s">
        <v>146</v>
      </c>
      <c r="X202" s="58"/>
    </row>
    <row r="203" spans="1:24" x14ac:dyDescent="0.3">
      <c r="A203" s="71">
        <v>46069</v>
      </c>
      <c r="B203" s="58" t="s">
        <v>141</v>
      </c>
      <c r="C203" s="58" t="s">
        <v>752</v>
      </c>
      <c r="D203" s="58" t="s">
        <v>753</v>
      </c>
      <c r="E203" s="58" t="s">
        <v>366</v>
      </c>
      <c r="F203" s="58" t="s">
        <v>298</v>
      </c>
      <c r="G203" s="58" t="s">
        <v>79</v>
      </c>
      <c r="H203" s="58">
        <v>116</v>
      </c>
      <c r="I203" s="58" t="str">
        <f>IF(R203="","",VLOOKUP(R203,REGRAS!$B$2:$D$13,3,FALSE()))</f>
        <v>NÃO VENDA</v>
      </c>
      <c r="J203" s="58"/>
      <c r="K203" s="58" t="str">
        <f t="shared" si="9"/>
        <v>NUTRIÇÃO</v>
      </c>
      <c r="L203" s="58" t="str">
        <f t="shared" si="10"/>
        <v>🔴</v>
      </c>
      <c r="M203" s="58"/>
      <c r="N203" s="58" t="s">
        <v>146</v>
      </c>
      <c r="O203" s="58" t="s">
        <v>147</v>
      </c>
      <c r="P203" s="58" t="s">
        <v>149</v>
      </c>
      <c r="Q203" s="58" t="s">
        <v>45</v>
      </c>
      <c r="R203" s="58" t="s">
        <v>30</v>
      </c>
      <c r="S203" s="58" t="s">
        <v>61</v>
      </c>
      <c r="T203" s="71" t="str">
        <f>IF(R203="","",IF(OR(R203="SUPORTE",R203="PERDA / FECHOU LOJA"),"SEM",A203+VLOOKUP(R203,REGRAS!$B$2:$C$13,2,FALSE())))</f>
        <v>SEM</v>
      </c>
      <c r="U203" s="58" t="str">
        <f t="shared" si="11"/>
        <v>NUTRIÇÃO</v>
      </c>
      <c r="V203" s="58"/>
      <c r="W203" s="58" t="s">
        <v>146</v>
      </c>
      <c r="X203" s="58"/>
    </row>
    <row r="204" spans="1:24" x14ac:dyDescent="0.3">
      <c r="A204" s="71">
        <v>46077</v>
      </c>
      <c r="B204" s="58" t="s">
        <v>137</v>
      </c>
      <c r="C204" s="58" t="s">
        <v>754</v>
      </c>
      <c r="D204" s="58" t="s">
        <v>755</v>
      </c>
      <c r="E204" s="58" t="s">
        <v>340</v>
      </c>
      <c r="F204" s="58" t="s">
        <v>292</v>
      </c>
      <c r="G204" s="58" t="s">
        <v>82</v>
      </c>
      <c r="H204" s="58"/>
      <c r="I204" s="58" t="str">
        <f>IF(R204="","",VLOOKUP(R204,REGRAS!$B$2:$D$13,3,FALSE()))</f>
        <v>FUNIL</v>
      </c>
      <c r="J204" s="58"/>
      <c r="K204" s="58" t="str">
        <f t="shared" si="9"/>
        <v>RECOMPRA</v>
      </c>
      <c r="L204" s="58" t="str">
        <f t="shared" si="10"/>
        <v/>
      </c>
      <c r="M204" s="58"/>
      <c r="N204" s="58" t="s">
        <v>146</v>
      </c>
      <c r="O204" s="58" t="s">
        <v>147</v>
      </c>
      <c r="P204" s="58" t="s">
        <v>149</v>
      </c>
      <c r="Q204" s="58" t="s">
        <v>39</v>
      </c>
      <c r="R204" s="58" t="s">
        <v>12</v>
      </c>
      <c r="S204" s="58"/>
      <c r="T204" s="71">
        <f>IF(R204="","",IF(OR(R204="SUPORTE",R204="PERDA / FECHOU LOJA"),"SEM",A204+VLOOKUP(R204,REGRAS!$B$2:$C$13,2,FALSE())))</f>
        <v>46122</v>
      </c>
      <c r="U204" s="58" t="str">
        <f t="shared" si="11"/>
        <v>RECOMPRA</v>
      </c>
      <c r="V204" s="58"/>
      <c r="W204" s="58" t="s">
        <v>146</v>
      </c>
      <c r="X204" s="58"/>
    </row>
    <row r="205" spans="1:24" x14ac:dyDescent="0.3">
      <c r="A205" s="71">
        <v>46081</v>
      </c>
      <c r="B205" s="58" t="s">
        <v>137</v>
      </c>
      <c r="C205" s="58" t="s">
        <v>756</v>
      </c>
      <c r="D205" s="58" t="s">
        <v>757</v>
      </c>
      <c r="E205" s="58" t="s">
        <v>332</v>
      </c>
      <c r="F205" s="58" t="s">
        <v>298</v>
      </c>
      <c r="G205" s="58" t="s">
        <v>85</v>
      </c>
      <c r="H205" s="58"/>
      <c r="I205" s="58" t="str">
        <f>IF(R205="","",VLOOKUP(R205,REGRAS!$B$2:$D$13,3,FALSE()))</f>
        <v>NÃO VENDA</v>
      </c>
      <c r="J205" s="58"/>
      <c r="K205" s="58" t="str">
        <f t="shared" si="9"/>
        <v>RECUPERAÇÃO</v>
      </c>
      <c r="L205" s="58" t="str">
        <f t="shared" si="10"/>
        <v/>
      </c>
      <c r="M205" s="58"/>
      <c r="N205" s="58" t="s">
        <v>147</v>
      </c>
      <c r="O205" s="58" t="s">
        <v>147</v>
      </c>
      <c r="P205" s="58" t="s">
        <v>149</v>
      </c>
      <c r="Q205" s="58" t="s">
        <v>41</v>
      </c>
      <c r="R205" s="58" t="s">
        <v>23</v>
      </c>
      <c r="S205" s="58" t="s">
        <v>57</v>
      </c>
      <c r="T205" s="71">
        <f>IF(R205="","",IF(OR(R205="SUPORTE",R205="PERDA / FECHOU LOJA"),"SEM",A205+VLOOKUP(R205,REGRAS!$B$2:$C$13,2,FALSE())))</f>
        <v>46082</v>
      </c>
      <c r="U205" s="58" t="str">
        <f t="shared" si="11"/>
        <v>REATIVAÇÃO</v>
      </c>
      <c r="V205" s="58"/>
      <c r="W205" s="58" t="s">
        <v>146</v>
      </c>
      <c r="X205" s="58"/>
    </row>
    <row r="206" spans="1:24" x14ac:dyDescent="0.3">
      <c r="A206" s="71">
        <v>46054</v>
      </c>
      <c r="B206" s="58" t="s">
        <v>135</v>
      </c>
      <c r="C206" s="58" t="s">
        <v>641</v>
      </c>
      <c r="D206" s="58" t="s">
        <v>758</v>
      </c>
      <c r="E206" s="58" t="s">
        <v>335</v>
      </c>
      <c r="F206" s="58" t="s">
        <v>295</v>
      </c>
      <c r="G206" s="58" t="s">
        <v>82</v>
      </c>
      <c r="H206" s="58"/>
      <c r="I206" s="58" t="str">
        <f>IF(R206="","",VLOOKUP(R206,REGRAS!$B$2:$D$13,3,FALSE()))</f>
        <v>NÃO VENDA</v>
      </c>
      <c r="J206" s="58"/>
      <c r="K206" s="58" t="str">
        <f t="shared" si="9"/>
        <v>RECUPERAÇÃO</v>
      </c>
      <c r="L206" s="58" t="str">
        <f t="shared" si="10"/>
        <v/>
      </c>
      <c r="M206" s="58"/>
      <c r="N206" s="58" t="s">
        <v>146</v>
      </c>
      <c r="O206" s="58" t="s">
        <v>146</v>
      </c>
      <c r="P206" s="58" t="s">
        <v>146</v>
      </c>
      <c r="Q206" s="58" t="s">
        <v>37</v>
      </c>
      <c r="R206" s="58" t="s">
        <v>26</v>
      </c>
      <c r="S206" s="58" t="s">
        <v>64</v>
      </c>
      <c r="T206" s="71">
        <f>IF(R206="","",IF(OR(R206="SUPORTE",R206="PERDA / FECHOU LOJA"),"SEM",A206+VLOOKUP(R206,REGRAS!$B$2:$C$13,2,FALSE())))</f>
        <v>46055</v>
      </c>
      <c r="U206" s="58" t="str">
        <f t="shared" si="11"/>
        <v>REATIVAÇÃO</v>
      </c>
      <c r="V206" s="58"/>
      <c r="W206" s="58" t="s">
        <v>147</v>
      </c>
      <c r="X206" s="58"/>
    </row>
    <row r="207" spans="1:24" x14ac:dyDescent="0.3">
      <c r="A207" s="71">
        <v>46060</v>
      </c>
      <c r="B207" s="58" t="s">
        <v>141</v>
      </c>
      <c r="C207" s="58" t="s">
        <v>759</v>
      </c>
      <c r="D207" s="58" t="s">
        <v>760</v>
      </c>
      <c r="E207" s="58" t="s">
        <v>332</v>
      </c>
      <c r="F207" s="58" t="s">
        <v>292</v>
      </c>
      <c r="G207" s="58" t="s">
        <v>79</v>
      </c>
      <c r="H207" s="58">
        <v>93</v>
      </c>
      <c r="I207" s="58" t="str">
        <f>IF(R207="","",VLOOKUP(R207,REGRAS!$B$2:$D$13,3,FALSE()))</f>
        <v>FUNIL</v>
      </c>
      <c r="J207" s="58"/>
      <c r="K207" s="58" t="str">
        <f t="shared" si="9"/>
        <v>RECOMPRA</v>
      </c>
      <c r="L207" s="58" t="str">
        <f t="shared" si="10"/>
        <v>🔴</v>
      </c>
      <c r="M207" s="58"/>
      <c r="N207" s="58" t="s">
        <v>146</v>
      </c>
      <c r="O207" s="58" t="s">
        <v>147</v>
      </c>
      <c r="P207" s="58" t="s">
        <v>149</v>
      </c>
      <c r="Q207" s="58" t="s">
        <v>39</v>
      </c>
      <c r="R207" s="58" t="s">
        <v>12</v>
      </c>
      <c r="S207" s="58"/>
      <c r="T207" s="71">
        <f>IF(R207="","",IF(OR(R207="SUPORTE",R207="PERDA / FECHOU LOJA"),"SEM",A207+VLOOKUP(R207,REGRAS!$B$2:$C$13,2,FALSE())))</f>
        <v>46105</v>
      </c>
      <c r="U207" s="58" t="str">
        <f t="shared" si="11"/>
        <v>RECOMPRA</v>
      </c>
      <c r="V207" s="58"/>
      <c r="W207" s="58" t="s">
        <v>146</v>
      </c>
      <c r="X207" s="58"/>
    </row>
    <row r="208" spans="1:24" x14ac:dyDescent="0.3">
      <c r="A208" s="71">
        <v>46073</v>
      </c>
      <c r="B208" s="58" t="s">
        <v>141</v>
      </c>
      <c r="C208" s="58" t="s">
        <v>761</v>
      </c>
      <c r="D208" s="58" t="s">
        <v>762</v>
      </c>
      <c r="E208" s="58" t="s">
        <v>376</v>
      </c>
      <c r="F208" s="58" t="s">
        <v>289</v>
      </c>
      <c r="G208" s="58" t="s">
        <v>71</v>
      </c>
      <c r="H208" s="58">
        <v>38</v>
      </c>
      <c r="I208" s="58" t="str">
        <f>IF(R208="","",VLOOKUP(R208,REGRAS!$B$2:$D$13,3,FALSE()))</f>
        <v>RELAC.</v>
      </c>
      <c r="J208" s="58"/>
      <c r="K208" s="58" t="str">
        <f t="shared" si="9"/>
        <v>SALVAMENTO</v>
      </c>
      <c r="L208" s="58" t="str">
        <f t="shared" si="10"/>
        <v>🟢</v>
      </c>
      <c r="M208" s="58"/>
      <c r="N208" s="58" t="s">
        <v>146</v>
      </c>
      <c r="O208" s="58" t="s">
        <v>147</v>
      </c>
      <c r="P208" s="58" t="s">
        <v>149</v>
      </c>
      <c r="Q208" s="58" t="s">
        <v>43</v>
      </c>
      <c r="R208" s="58" t="s">
        <v>17</v>
      </c>
      <c r="S208" s="58" t="s">
        <v>59</v>
      </c>
      <c r="T208" s="71">
        <f>IF(R208="","",IF(OR(R208="SUPORTE",R208="PERDA / FECHOU LOJA"),"SEM",A208+VLOOKUP(R208,REGRAS!$B$2:$C$13,2,FALSE())))</f>
        <v>46080</v>
      </c>
      <c r="U208" s="58" t="str">
        <f t="shared" si="11"/>
        <v>SALVAMENTO</v>
      </c>
      <c r="V208" s="58"/>
      <c r="W208" s="58" t="s">
        <v>147</v>
      </c>
      <c r="X208" s="58"/>
    </row>
    <row r="209" spans="1:24" x14ac:dyDescent="0.3">
      <c r="A209" s="71">
        <v>46065</v>
      </c>
      <c r="B209" s="58" t="s">
        <v>137</v>
      </c>
      <c r="C209" s="58" t="s">
        <v>763</v>
      </c>
      <c r="D209" s="58" t="s">
        <v>764</v>
      </c>
      <c r="E209" s="58" t="s">
        <v>332</v>
      </c>
      <c r="F209" s="58" t="s">
        <v>292</v>
      </c>
      <c r="G209" s="58" t="s">
        <v>79</v>
      </c>
      <c r="H209" s="58">
        <v>161</v>
      </c>
      <c r="I209" s="58" t="str">
        <f>IF(R209="","",VLOOKUP(R209,REGRAS!$B$2:$D$13,3,FALSE()))</f>
        <v>NÃO VENDA</v>
      </c>
      <c r="J209" s="58"/>
      <c r="K209" s="58" t="str">
        <f t="shared" si="9"/>
        <v>RECUPERAÇÃO</v>
      </c>
      <c r="L209" s="58" t="str">
        <f t="shared" si="10"/>
        <v>🔴</v>
      </c>
      <c r="M209" s="58"/>
      <c r="N209" s="58" t="s">
        <v>147</v>
      </c>
      <c r="O209" s="58" t="s">
        <v>146</v>
      </c>
      <c r="P209" s="58" t="s">
        <v>146</v>
      </c>
      <c r="Q209" s="58" t="s">
        <v>37</v>
      </c>
      <c r="R209" s="58" t="s">
        <v>23</v>
      </c>
      <c r="S209" s="58" t="s">
        <v>61</v>
      </c>
      <c r="T209" s="71">
        <f>IF(R209="","",IF(OR(R209="SUPORTE",R209="PERDA / FECHOU LOJA"),"SEM",A209+VLOOKUP(R209,REGRAS!$B$2:$C$13,2,FALSE())))</f>
        <v>46066</v>
      </c>
      <c r="U209" s="58" t="str">
        <f t="shared" si="11"/>
        <v>REATIVAÇÃO</v>
      </c>
      <c r="V209" s="58"/>
      <c r="W209" s="58" t="s">
        <v>147</v>
      </c>
      <c r="X209" s="58"/>
    </row>
    <row r="210" spans="1:24" x14ac:dyDescent="0.3">
      <c r="A210" s="71">
        <v>46079</v>
      </c>
      <c r="B210" s="58" t="s">
        <v>141</v>
      </c>
      <c r="C210" s="58" t="s">
        <v>765</v>
      </c>
      <c r="D210" s="58" t="s">
        <v>766</v>
      </c>
      <c r="E210" s="58" t="s">
        <v>335</v>
      </c>
      <c r="F210" s="58" t="s">
        <v>292</v>
      </c>
      <c r="G210" s="58" t="s">
        <v>71</v>
      </c>
      <c r="H210" s="58">
        <v>31</v>
      </c>
      <c r="I210" s="58" t="str">
        <f>IF(R210="","",VLOOKUP(R210,REGRAS!$B$2:$D$13,3,FALSE()))</f>
        <v>RELAC.</v>
      </c>
      <c r="J210" s="58"/>
      <c r="K210" s="58" t="str">
        <f t="shared" si="9"/>
        <v>PÓS-VENDA</v>
      </c>
      <c r="L210" s="58" t="str">
        <f t="shared" si="10"/>
        <v>🟢</v>
      </c>
      <c r="M210" s="58"/>
      <c r="N210" s="58" t="s">
        <v>146</v>
      </c>
      <c r="O210" s="58" t="s">
        <v>147</v>
      </c>
      <c r="P210" s="58" t="s">
        <v>149</v>
      </c>
      <c r="Q210" s="58" t="s">
        <v>39</v>
      </c>
      <c r="R210" s="58" t="s">
        <v>21</v>
      </c>
      <c r="S210" s="58"/>
      <c r="T210" s="71" t="str">
        <f>IF(R210="","",IF(OR(R210="SUPORTE",R210="PERDA / FECHOU LOJA"),"SEM",A210+VLOOKUP(R210,REGRAS!$B$2:$C$13,2,FALSE())))</f>
        <v>SEM</v>
      </c>
      <c r="U210" s="58" t="str">
        <f t="shared" si="11"/>
        <v>PÓS-VENDA</v>
      </c>
      <c r="V210" s="58"/>
      <c r="W210" s="58" t="s">
        <v>147</v>
      </c>
      <c r="X210" s="58"/>
    </row>
    <row r="211" spans="1:24" x14ac:dyDescent="0.3">
      <c r="A211" s="71">
        <v>46064</v>
      </c>
      <c r="B211" s="58" t="s">
        <v>139</v>
      </c>
      <c r="C211" s="58" t="s">
        <v>767</v>
      </c>
      <c r="D211" s="58" t="s">
        <v>768</v>
      </c>
      <c r="E211" s="58" t="s">
        <v>366</v>
      </c>
      <c r="F211" s="58" t="s">
        <v>295</v>
      </c>
      <c r="G211" s="58" t="s">
        <v>71</v>
      </c>
      <c r="H211" s="58">
        <v>47</v>
      </c>
      <c r="I211" s="58" t="str">
        <f>IF(R211="","",VLOOKUP(R211,REGRAS!$B$2:$D$13,3,FALSE()))</f>
        <v>RELAC.</v>
      </c>
      <c r="J211" s="58"/>
      <c r="K211" s="58" t="str">
        <f t="shared" si="9"/>
        <v>CS</v>
      </c>
      <c r="L211" s="58" t="str">
        <f t="shared" si="10"/>
        <v>🟢</v>
      </c>
      <c r="M211" s="58"/>
      <c r="N211" s="58" t="s">
        <v>146</v>
      </c>
      <c r="O211" s="58" t="s">
        <v>146</v>
      </c>
      <c r="P211" s="58" t="s">
        <v>146</v>
      </c>
      <c r="Q211" s="58" t="s">
        <v>43</v>
      </c>
      <c r="R211" s="58" t="s">
        <v>14</v>
      </c>
      <c r="S211" s="58"/>
      <c r="T211" s="71">
        <f>IF(R211="","",IF(OR(R211="SUPORTE",R211="PERDA / FECHOU LOJA"),"SEM",A211+VLOOKUP(R211,REGRAS!$B$2:$C$13,2,FALSE())))</f>
        <v>46071</v>
      </c>
      <c r="U211" s="58" t="str">
        <f t="shared" si="11"/>
        <v>CS</v>
      </c>
      <c r="V211" s="58"/>
      <c r="W211" s="58" t="s">
        <v>147</v>
      </c>
      <c r="X211" s="58"/>
    </row>
    <row r="212" spans="1:24" x14ac:dyDescent="0.3">
      <c r="A212" s="71">
        <v>46078</v>
      </c>
      <c r="B212" s="58" t="s">
        <v>141</v>
      </c>
      <c r="C212" s="58" t="s">
        <v>769</v>
      </c>
      <c r="D212" s="58" t="s">
        <v>770</v>
      </c>
      <c r="E212" s="58" t="s">
        <v>376</v>
      </c>
      <c r="F212" s="58" t="s">
        <v>292</v>
      </c>
      <c r="G212" s="58" t="s">
        <v>74</v>
      </c>
      <c r="H212" s="58">
        <v>60</v>
      </c>
      <c r="I212" s="58" t="str">
        <f>IF(R212="","",VLOOKUP(R212,REGRAS!$B$2:$D$13,3,FALSE()))</f>
        <v>NÃO VENDA</v>
      </c>
      <c r="J212" s="58"/>
      <c r="K212" s="58" t="str">
        <f t="shared" si="9"/>
        <v>RECUPERAÇÃO</v>
      </c>
      <c r="L212" s="58" t="str">
        <f t="shared" si="10"/>
        <v>🟡</v>
      </c>
      <c r="M212" s="58"/>
      <c r="N212" s="58" t="s">
        <v>146</v>
      </c>
      <c r="O212" s="58" t="s">
        <v>147</v>
      </c>
      <c r="P212" s="58" t="s">
        <v>149</v>
      </c>
      <c r="Q212" s="58" t="s">
        <v>37</v>
      </c>
      <c r="R212" s="58" t="s">
        <v>26</v>
      </c>
      <c r="S212" s="58" t="s">
        <v>57</v>
      </c>
      <c r="T212" s="71">
        <f>IF(R212="","",IF(OR(R212="SUPORTE",R212="PERDA / FECHOU LOJA"),"SEM",A212+VLOOKUP(R212,REGRAS!$B$2:$C$13,2,FALSE())))</f>
        <v>46079</v>
      </c>
      <c r="U212" s="58" t="str">
        <f t="shared" si="11"/>
        <v>REATIVAÇÃO</v>
      </c>
      <c r="V212" s="58"/>
      <c r="W212" s="58" t="s">
        <v>147</v>
      </c>
      <c r="X212" s="58"/>
    </row>
    <row r="213" spans="1:24" x14ac:dyDescent="0.3">
      <c r="A213" s="71">
        <v>46056</v>
      </c>
      <c r="B213" s="58" t="s">
        <v>137</v>
      </c>
      <c r="C213" s="58" t="s">
        <v>771</v>
      </c>
      <c r="D213" s="58" t="s">
        <v>772</v>
      </c>
      <c r="E213" s="58" t="s">
        <v>366</v>
      </c>
      <c r="F213" s="58" t="s">
        <v>283</v>
      </c>
      <c r="G213" s="58" t="s">
        <v>82</v>
      </c>
      <c r="H213" s="58"/>
      <c r="I213" s="58" t="str">
        <f>IF(R213="","",VLOOKUP(R213,REGRAS!$B$2:$D$13,3,FALSE()))</f>
        <v>FUNIL</v>
      </c>
      <c r="J213" s="58"/>
      <c r="K213" s="58" t="str">
        <f t="shared" si="9"/>
        <v>EM ATENDIMENTO</v>
      </c>
      <c r="L213" s="58" t="str">
        <f t="shared" si="10"/>
        <v/>
      </c>
      <c r="M213" s="58"/>
      <c r="N213" s="58" t="s">
        <v>146</v>
      </c>
      <c r="O213" s="58" t="s">
        <v>147</v>
      </c>
      <c r="P213" s="58" t="s">
        <v>149</v>
      </c>
      <c r="Q213" s="58" t="s">
        <v>33</v>
      </c>
      <c r="R213" s="58" t="s">
        <v>5</v>
      </c>
      <c r="S213" s="58"/>
      <c r="T213" s="71">
        <f>IF(R213="","",IF(OR(R213="SUPORTE",R213="PERDA / FECHOU LOJA"),"SEM",A213+VLOOKUP(R213,REGRAS!$B$2:$C$13,2,FALSE())))</f>
        <v>46058</v>
      </c>
      <c r="U213" s="58" t="str">
        <f t="shared" si="11"/>
        <v>PROSPECÇÃO</v>
      </c>
      <c r="V213" s="58"/>
      <c r="W213" s="58" t="s">
        <v>147</v>
      </c>
      <c r="X213" s="58"/>
    </row>
    <row r="214" spans="1:24" x14ac:dyDescent="0.3">
      <c r="A214" s="71">
        <v>46068</v>
      </c>
      <c r="B214" s="58" t="s">
        <v>135</v>
      </c>
      <c r="C214" s="58" t="s">
        <v>467</v>
      </c>
      <c r="D214" s="58" t="s">
        <v>773</v>
      </c>
      <c r="E214" s="58" t="s">
        <v>335</v>
      </c>
      <c r="F214" s="58" t="s">
        <v>283</v>
      </c>
      <c r="G214" s="58" t="s">
        <v>71</v>
      </c>
      <c r="H214" s="58">
        <v>15</v>
      </c>
      <c r="I214" s="58" t="str">
        <f>IF(R214="","",VLOOKUP(R214,REGRAS!$B$2:$D$13,3,FALSE()))</f>
        <v>FUNIL</v>
      </c>
      <c r="J214" s="58"/>
      <c r="K214" s="58" t="str">
        <f t="shared" si="9"/>
        <v>RECOMPRA</v>
      </c>
      <c r="L214" s="58" t="str">
        <f t="shared" si="10"/>
        <v>🟢</v>
      </c>
      <c r="M214" s="58"/>
      <c r="N214" s="58" t="s">
        <v>147</v>
      </c>
      <c r="O214" s="58" t="s">
        <v>147</v>
      </c>
      <c r="P214" s="58" t="s">
        <v>149</v>
      </c>
      <c r="Q214" s="58" t="s">
        <v>39</v>
      </c>
      <c r="R214" s="58" t="s">
        <v>12</v>
      </c>
      <c r="S214" s="58"/>
      <c r="T214" s="71">
        <f>IF(R214="","",IF(OR(R214="SUPORTE",R214="PERDA / FECHOU LOJA"),"SEM",A214+VLOOKUP(R214,REGRAS!$B$2:$C$13,2,FALSE())))</f>
        <v>46113</v>
      </c>
      <c r="U214" s="58" t="str">
        <f t="shared" si="11"/>
        <v>RECOMPRA</v>
      </c>
      <c r="V214" s="58"/>
      <c r="W214" s="58" t="s">
        <v>146</v>
      </c>
      <c r="X214" s="58"/>
    </row>
    <row r="215" spans="1:24" x14ac:dyDescent="0.3">
      <c r="A215" s="71">
        <v>46067</v>
      </c>
      <c r="B215" s="58" t="s">
        <v>139</v>
      </c>
      <c r="C215" s="58" t="s">
        <v>590</v>
      </c>
      <c r="D215" s="58" t="s">
        <v>774</v>
      </c>
      <c r="E215" s="58" t="s">
        <v>332</v>
      </c>
      <c r="F215" s="58" t="s">
        <v>286</v>
      </c>
      <c r="G215" s="58" t="s">
        <v>71</v>
      </c>
      <c r="H215" s="58">
        <v>25</v>
      </c>
      <c r="I215" s="58" t="str">
        <f>IF(R215="","",VLOOKUP(R215,REGRAS!$B$2:$D$13,3,FALSE()))</f>
        <v>RELAC.</v>
      </c>
      <c r="J215" s="58"/>
      <c r="K215" s="58" t="str">
        <f t="shared" si="9"/>
        <v>SALVAMENTO</v>
      </c>
      <c r="L215" s="58" t="str">
        <f t="shared" si="10"/>
        <v>🟢</v>
      </c>
      <c r="M215" s="58"/>
      <c r="N215" s="58" t="s">
        <v>146</v>
      </c>
      <c r="O215" s="58" t="s">
        <v>146</v>
      </c>
      <c r="P215" s="58" t="s">
        <v>147</v>
      </c>
      <c r="Q215" s="58" t="s">
        <v>43</v>
      </c>
      <c r="R215" s="58" t="s">
        <v>19</v>
      </c>
      <c r="S215" s="58" t="s">
        <v>49</v>
      </c>
      <c r="T215" s="71">
        <f>IF(R215="","",IF(OR(R215="SUPORTE",R215="PERDA / FECHOU LOJA"),"SEM",A215+VLOOKUP(R215,REGRAS!$B$2:$C$13,2,FALSE())))</f>
        <v>46082</v>
      </c>
      <c r="U215" s="58" t="str">
        <f t="shared" si="11"/>
        <v>SALVAMENTO</v>
      </c>
      <c r="V215" s="58"/>
      <c r="W215" s="58" t="s">
        <v>147</v>
      </c>
      <c r="X215" s="58"/>
    </row>
    <row r="216" spans="1:24" x14ac:dyDescent="0.3">
      <c r="A216" s="71">
        <v>46063</v>
      </c>
      <c r="B216" s="58" t="s">
        <v>135</v>
      </c>
      <c r="C216" s="58" t="s">
        <v>775</v>
      </c>
      <c r="D216" s="58" t="s">
        <v>776</v>
      </c>
      <c r="E216" s="58" t="s">
        <v>366</v>
      </c>
      <c r="F216" s="58" t="s">
        <v>295</v>
      </c>
      <c r="G216" s="58" t="s">
        <v>79</v>
      </c>
      <c r="H216" s="58">
        <v>243</v>
      </c>
      <c r="I216" s="58" t="str">
        <f>IF(R216="","",VLOOKUP(R216,REGRAS!$B$2:$D$13,3,FALSE()))</f>
        <v>RELAC.</v>
      </c>
      <c r="J216" s="58"/>
      <c r="K216" s="58" t="str">
        <f t="shared" si="9"/>
        <v>CS</v>
      </c>
      <c r="L216" s="58" t="str">
        <f t="shared" si="10"/>
        <v>🔴</v>
      </c>
      <c r="M216" s="58"/>
      <c r="N216" s="58" t="s">
        <v>146</v>
      </c>
      <c r="O216" s="58" t="s">
        <v>146</v>
      </c>
      <c r="P216" s="58" t="s">
        <v>147</v>
      </c>
      <c r="Q216" s="58" t="s">
        <v>39</v>
      </c>
      <c r="R216" s="58" t="s">
        <v>14</v>
      </c>
      <c r="S216" s="58"/>
      <c r="T216" s="71">
        <f>IF(R216="","",IF(OR(R216="SUPORTE",R216="PERDA / FECHOU LOJA"),"SEM",A216+VLOOKUP(R216,REGRAS!$B$2:$C$13,2,FALSE())))</f>
        <v>46070</v>
      </c>
      <c r="U216" s="58" t="str">
        <f t="shared" si="11"/>
        <v>CS</v>
      </c>
      <c r="V216" s="58"/>
      <c r="W216" s="58" t="s">
        <v>146</v>
      </c>
      <c r="X216" s="58"/>
    </row>
    <row r="217" spans="1:24" x14ac:dyDescent="0.3">
      <c r="A217" s="71">
        <v>46078</v>
      </c>
      <c r="B217" s="58" t="s">
        <v>135</v>
      </c>
      <c r="C217" s="58" t="s">
        <v>777</v>
      </c>
      <c r="D217" s="58" t="s">
        <v>778</v>
      </c>
      <c r="E217" s="58" t="s">
        <v>340</v>
      </c>
      <c r="F217" s="58" t="s">
        <v>296</v>
      </c>
      <c r="G217" s="58" t="s">
        <v>71</v>
      </c>
      <c r="H217" s="58">
        <v>28</v>
      </c>
      <c r="I217" s="58" t="str">
        <f>IF(R217="","",VLOOKUP(R217,REGRAS!$B$2:$D$13,3,FALSE()))</f>
        <v>FUNIL</v>
      </c>
      <c r="J217" s="58"/>
      <c r="K217" s="58" t="str">
        <f t="shared" si="9"/>
        <v>RECOMPRA</v>
      </c>
      <c r="L217" s="58" t="str">
        <f t="shared" si="10"/>
        <v>🟢</v>
      </c>
      <c r="M217" s="58"/>
      <c r="N217" s="58" t="s">
        <v>146</v>
      </c>
      <c r="O217" s="58" t="s">
        <v>147</v>
      </c>
      <c r="P217" s="58" t="s">
        <v>149</v>
      </c>
      <c r="Q217" s="58" t="s">
        <v>41</v>
      </c>
      <c r="R217" s="58" t="s">
        <v>12</v>
      </c>
      <c r="S217" s="58"/>
      <c r="T217" s="71">
        <f>IF(R217="","",IF(OR(R217="SUPORTE",R217="PERDA / FECHOU LOJA"),"SEM",A217+VLOOKUP(R217,REGRAS!$B$2:$C$13,2,FALSE())))</f>
        <v>46123</v>
      </c>
      <c r="U217" s="58" t="str">
        <f t="shared" si="11"/>
        <v>RECOMPRA</v>
      </c>
      <c r="V217" s="58"/>
      <c r="W217" s="58" t="s">
        <v>147</v>
      </c>
      <c r="X217" s="58"/>
    </row>
    <row r="218" spans="1:24" x14ac:dyDescent="0.3">
      <c r="A218" s="71">
        <v>46073</v>
      </c>
      <c r="B218" s="58" t="s">
        <v>135</v>
      </c>
      <c r="C218" s="58" t="s">
        <v>779</v>
      </c>
      <c r="D218" s="58" t="s">
        <v>780</v>
      </c>
      <c r="E218" s="58" t="s">
        <v>335</v>
      </c>
      <c r="F218" s="58" t="s">
        <v>286</v>
      </c>
      <c r="G218" s="58" t="s">
        <v>74</v>
      </c>
      <c r="H218" s="58">
        <v>59</v>
      </c>
      <c r="I218" s="58" t="str">
        <f>IF(R218="","",VLOOKUP(R218,REGRAS!$B$2:$D$13,3,FALSE()))</f>
        <v>NÃO VENDA</v>
      </c>
      <c r="J218" s="58"/>
      <c r="K218" s="58" t="str">
        <f t="shared" si="9"/>
        <v>RECUPERAÇÃO</v>
      </c>
      <c r="L218" s="58" t="str">
        <f t="shared" si="10"/>
        <v>🟡</v>
      </c>
      <c r="M218" s="58"/>
      <c r="N218" s="58" t="s">
        <v>146</v>
      </c>
      <c r="O218" s="58" t="s">
        <v>147</v>
      </c>
      <c r="P218" s="58" t="s">
        <v>149</v>
      </c>
      <c r="Q218" s="58" t="s">
        <v>37</v>
      </c>
      <c r="R218" s="58" t="s">
        <v>23</v>
      </c>
      <c r="S218" s="58" t="s">
        <v>49</v>
      </c>
      <c r="T218" s="71">
        <f>IF(R218="","",IF(OR(R218="SUPORTE",R218="PERDA / FECHOU LOJA"),"SEM",A218+VLOOKUP(R218,REGRAS!$B$2:$C$13,2,FALSE())))</f>
        <v>46074</v>
      </c>
      <c r="U218" s="58" t="str">
        <f t="shared" si="11"/>
        <v>REATIVAÇÃO</v>
      </c>
      <c r="V218" s="58"/>
      <c r="W218" s="58" t="s">
        <v>146</v>
      </c>
      <c r="X218" s="58"/>
    </row>
    <row r="219" spans="1:24" x14ac:dyDescent="0.3">
      <c r="A219" s="71">
        <v>46057</v>
      </c>
      <c r="B219" s="58" t="s">
        <v>139</v>
      </c>
      <c r="C219" s="58" t="s">
        <v>570</v>
      </c>
      <c r="D219" s="58" t="s">
        <v>781</v>
      </c>
      <c r="E219" s="58" t="s">
        <v>376</v>
      </c>
      <c r="F219" s="58" t="s">
        <v>296</v>
      </c>
      <c r="G219" s="58" t="s">
        <v>71</v>
      </c>
      <c r="H219" s="58">
        <v>11</v>
      </c>
      <c r="I219" s="58" t="str">
        <f>IF(R219="","",VLOOKUP(R219,REGRAS!$B$2:$D$13,3,FALSE()))</f>
        <v>RELAC.</v>
      </c>
      <c r="J219" s="58"/>
      <c r="K219" s="58" t="str">
        <f t="shared" si="9"/>
        <v>SALVAMENTO</v>
      </c>
      <c r="L219" s="58" t="str">
        <f t="shared" si="10"/>
        <v>🟢</v>
      </c>
      <c r="M219" s="58"/>
      <c r="N219" s="58" t="s">
        <v>147</v>
      </c>
      <c r="O219" s="58" t="s">
        <v>147</v>
      </c>
      <c r="P219" s="58" t="s">
        <v>149</v>
      </c>
      <c r="Q219" s="58" t="s">
        <v>39</v>
      </c>
      <c r="R219" s="58" t="s">
        <v>17</v>
      </c>
      <c r="S219" s="58" t="s">
        <v>66</v>
      </c>
      <c r="T219" s="71">
        <f>IF(R219="","",IF(OR(R219="SUPORTE",R219="PERDA / FECHOU LOJA"),"SEM",A219+VLOOKUP(R219,REGRAS!$B$2:$C$13,2,FALSE())))</f>
        <v>46064</v>
      </c>
      <c r="U219" s="58" t="str">
        <f t="shared" si="11"/>
        <v>SALVAMENTO</v>
      </c>
      <c r="V219" s="58"/>
      <c r="W219" s="58" t="s">
        <v>146</v>
      </c>
      <c r="X219" s="58"/>
    </row>
    <row r="220" spans="1:24" x14ac:dyDescent="0.3">
      <c r="A220" s="71">
        <v>46067</v>
      </c>
      <c r="B220" s="58" t="s">
        <v>135</v>
      </c>
      <c r="C220" s="58" t="s">
        <v>782</v>
      </c>
      <c r="D220" s="58" t="s">
        <v>783</v>
      </c>
      <c r="E220" s="58" t="s">
        <v>332</v>
      </c>
      <c r="F220" s="58" t="s">
        <v>283</v>
      </c>
      <c r="G220" s="58" t="s">
        <v>71</v>
      </c>
      <c r="H220" s="58">
        <v>12</v>
      </c>
      <c r="I220" s="58" t="str">
        <f>IF(R220="","",VLOOKUP(R220,REGRAS!$B$2:$D$13,3,FALSE()))</f>
        <v>RELAC.</v>
      </c>
      <c r="J220" s="58"/>
      <c r="K220" s="58" t="str">
        <f t="shared" si="9"/>
        <v>PÓS-VENDA</v>
      </c>
      <c r="L220" s="58" t="str">
        <f t="shared" si="10"/>
        <v>🟢</v>
      </c>
      <c r="M220" s="58"/>
      <c r="N220" s="58" t="s">
        <v>146</v>
      </c>
      <c r="O220" s="58" t="s">
        <v>146</v>
      </c>
      <c r="P220" s="58" t="s">
        <v>146</v>
      </c>
      <c r="Q220" s="58" t="s">
        <v>43</v>
      </c>
      <c r="R220" s="58" t="s">
        <v>21</v>
      </c>
      <c r="S220" s="58"/>
      <c r="T220" s="71" t="str">
        <f>IF(R220="","",IF(OR(R220="SUPORTE",R220="PERDA / FECHOU LOJA"),"SEM",A220+VLOOKUP(R220,REGRAS!$B$2:$C$13,2,FALSE())))</f>
        <v>SEM</v>
      </c>
      <c r="U220" s="58" t="str">
        <f t="shared" si="11"/>
        <v>PÓS-VENDA</v>
      </c>
      <c r="V220" s="58"/>
      <c r="W220" s="58" t="s">
        <v>147</v>
      </c>
      <c r="X220" s="58"/>
    </row>
    <row r="221" spans="1:24" x14ac:dyDescent="0.3">
      <c r="A221" s="71">
        <v>46057</v>
      </c>
      <c r="B221" s="58" t="s">
        <v>141</v>
      </c>
      <c r="C221" s="58" t="s">
        <v>784</v>
      </c>
      <c r="D221" s="58" t="s">
        <v>785</v>
      </c>
      <c r="E221" s="58" t="s">
        <v>346</v>
      </c>
      <c r="F221" s="58" t="s">
        <v>292</v>
      </c>
      <c r="G221" s="58" t="s">
        <v>82</v>
      </c>
      <c r="H221" s="58"/>
      <c r="I221" s="58" t="str">
        <f>IF(R221="","",VLOOKUP(R221,REGRAS!$B$2:$D$13,3,FALSE()))</f>
        <v>RELAC.</v>
      </c>
      <c r="J221" s="58"/>
      <c r="K221" s="58" t="str">
        <f t="shared" si="9"/>
        <v>SALVAMENTO</v>
      </c>
      <c r="L221" s="58" t="str">
        <f t="shared" si="10"/>
        <v/>
      </c>
      <c r="M221" s="58"/>
      <c r="N221" s="58" t="s">
        <v>146</v>
      </c>
      <c r="O221" s="58" t="s">
        <v>146</v>
      </c>
      <c r="P221" s="58" t="s">
        <v>147</v>
      </c>
      <c r="Q221" s="58" t="s">
        <v>37</v>
      </c>
      <c r="R221" s="58" t="s">
        <v>19</v>
      </c>
      <c r="S221" s="58" t="s">
        <v>64</v>
      </c>
      <c r="T221" s="71">
        <f>IF(R221="","",IF(OR(R221="SUPORTE",R221="PERDA / FECHOU LOJA"),"SEM",A221+VLOOKUP(R221,REGRAS!$B$2:$C$13,2,FALSE())))</f>
        <v>46072</v>
      </c>
      <c r="U221" s="58" t="str">
        <f t="shared" si="11"/>
        <v>SALVAMENTO</v>
      </c>
      <c r="V221" s="58"/>
      <c r="W221" s="58" t="s">
        <v>146</v>
      </c>
      <c r="X221" s="58"/>
    </row>
    <row r="222" spans="1:24" x14ac:dyDescent="0.3">
      <c r="A222" s="71">
        <v>46058</v>
      </c>
      <c r="B222" s="58" t="s">
        <v>139</v>
      </c>
      <c r="C222" s="58" t="s">
        <v>786</v>
      </c>
      <c r="D222" s="58" t="s">
        <v>787</v>
      </c>
      <c r="E222" s="58" t="s">
        <v>366</v>
      </c>
      <c r="F222" s="58" t="s">
        <v>295</v>
      </c>
      <c r="G222" s="58" t="s">
        <v>71</v>
      </c>
      <c r="H222" s="58">
        <v>30</v>
      </c>
      <c r="I222" s="58" t="str">
        <f>IF(R222="","",VLOOKUP(R222,REGRAS!$B$2:$D$13,3,FALSE()))</f>
        <v>NÃO VENDA</v>
      </c>
      <c r="J222" s="58"/>
      <c r="K222" s="58" t="str">
        <f t="shared" si="9"/>
        <v>NUTRIÇÃO</v>
      </c>
      <c r="L222" s="58" t="str">
        <f t="shared" si="10"/>
        <v>🟢</v>
      </c>
      <c r="M222" s="58"/>
      <c r="N222" s="58" t="s">
        <v>146</v>
      </c>
      <c r="O222" s="58" t="s">
        <v>147</v>
      </c>
      <c r="P222" s="58" t="s">
        <v>149</v>
      </c>
      <c r="Q222" s="58" t="s">
        <v>45</v>
      </c>
      <c r="R222" s="58" t="s">
        <v>30</v>
      </c>
      <c r="S222" s="58" t="s">
        <v>61</v>
      </c>
      <c r="T222" s="71" t="str">
        <f>IF(R222="","",IF(OR(R222="SUPORTE",R222="PERDA / FECHOU LOJA"),"SEM",A222+VLOOKUP(R222,REGRAS!$B$2:$C$13,2,FALSE())))</f>
        <v>SEM</v>
      </c>
      <c r="U222" s="58" t="str">
        <f t="shared" si="11"/>
        <v>NUTRIÇÃO</v>
      </c>
      <c r="V222" s="58"/>
      <c r="W222" s="58" t="s">
        <v>146</v>
      </c>
      <c r="X222" s="58"/>
    </row>
    <row r="223" spans="1:24" x14ac:dyDescent="0.3">
      <c r="A223" s="71">
        <v>46079</v>
      </c>
      <c r="B223" s="58" t="s">
        <v>135</v>
      </c>
      <c r="C223" s="58" t="s">
        <v>788</v>
      </c>
      <c r="D223" s="58" t="s">
        <v>789</v>
      </c>
      <c r="E223" s="58" t="s">
        <v>381</v>
      </c>
      <c r="F223" s="58" t="s">
        <v>298</v>
      </c>
      <c r="G223" s="58" t="s">
        <v>77</v>
      </c>
      <c r="H223" s="58">
        <v>75</v>
      </c>
      <c r="I223" s="58" t="str">
        <f>IF(R223="","",VLOOKUP(R223,REGRAS!$B$2:$D$13,3,FALSE()))</f>
        <v>FUNIL</v>
      </c>
      <c r="J223" s="58"/>
      <c r="K223" s="58" t="str">
        <f t="shared" si="9"/>
        <v>PROSPECÇÃO</v>
      </c>
      <c r="L223" s="58" t="str">
        <f t="shared" si="10"/>
        <v>🟡</v>
      </c>
      <c r="M223" s="58"/>
      <c r="N223" s="58" t="s">
        <v>146</v>
      </c>
      <c r="O223" s="58" t="s">
        <v>146</v>
      </c>
      <c r="P223" s="58" t="s">
        <v>147</v>
      </c>
      <c r="Q223" s="58" t="s">
        <v>35</v>
      </c>
      <c r="R223" s="58" t="s">
        <v>8</v>
      </c>
      <c r="S223" s="58"/>
      <c r="T223" s="71">
        <f>IF(R223="","",IF(OR(R223="SUPORTE",R223="PERDA / FECHOU LOJA"),"SEM",A223+VLOOKUP(R223,REGRAS!$B$2:$C$13,2,FALSE())))</f>
        <v>46080</v>
      </c>
      <c r="U223" s="58" t="str">
        <f t="shared" si="11"/>
        <v>PROSPECÇÃO</v>
      </c>
      <c r="V223" s="58"/>
      <c r="W223" s="58" t="s">
        <v>147</v>
      </c>
      <c r="X223" s="58"/>
    </row>
    <row r="224" spans="1:24" x14ac:dyDescent="0.3">
      <c r="A224" s="71">
        <v>46058</v>
      </c>
      <c r="B224" s="58" t="s">
        <v>137</v>
      </c>
      <c r="C224" s="58" t="s">
        <v>790</v>
      </c>
      <c r="D224" s="58" t="s">
        <v>791</v>
      </c>
      <c r="E224" s="58" t="s">
        <v>335</v>
      </c>
      <c r="F224" s="58" t="s">
        <v>283</v>
      </c>
      <c r="G224" s="58" t="s">
        <v>82</v>
      </c>
      <c r="H224" s="58"/>
      <c r="I224" s="58" t="str">
        <f>IF(R224="","",VLOOKUP(R224,REGRAS!$B$2:$D$13,3,FALSE()))</f>
        <v>RELAC.</v>
      </c>
      <c r="J224" s="58"/>
      <c r="K224" s="58" t="str">
        <f t="shared" si="9"/>
        <v>PÓS-VENDA</v>
      </c>
      <c r="L224" s="58" t="str">
        <f t="shared" si="10"/>
        <v/>
      </c>
      <c r="M224" s="58"/>
      <c r="N224" s="58" t="s">
        <v>147</v>
      </c>
      <c r="O224" s="58" t="s">
        <v>146</v>
      </c>
      <c r="P224" s="58" t="s">
        <v>147</v>
      </c>
      <c r="Q224" s="58" t="s">
        <v>39</v>
      </c>
      <c r="R224" s="58" t="s">
        <v>21</v>
      </c>
      <c r="S224" s="58"/>
      <c r="T224" s="71" t="str">
        <f>IF(R224="","",IF(OR(R224="SUPORTE",R224="PERDA / FECHOU LOJA"),"SEM",A224+VLOOKUP(R224,REGRAS!$B$2:$C$13,2,FALSE())))</f>
        <v>SEM</v>
      </c>
      <c r="U224" s="58" t="str">
        <f t="shared" si="11"/>
        <v>PÓS-VENDA</v>
      </c>
      <c r="V224" s="58"/>
      <c r="W224" s="58" t="s">
        <v>147</v>
      </c>
      <c r="X224" s="58"/>
    </row>
    <row r="225" spans="1:24" x14ac:dyDescent="0.3">
      <c r="A225" s="71">
        <v>46070</v>
      </c>
      <c r="B225" s="58" t="s">
        <v>137</v>
      </c>
      <c r="C225" s="58" t="s">
        <v>792</v>
      </c>
      <c r="D225" s="58" t="s">
        <v>793</v>
      </c>
      <c r="E225" s="58" t="s">
        <v>366</v>
      </c>
      <c r="F225" s="58" t="s">
        <v>297</v>
      </c>
      <c r="G225" s="58" t="s">
        <v>74</v>
      </c>
      <c r="H225" s="58">
        <v>59</v>
      </c>
      <c r="I225" s="58" t="str">
        <f>IF(R225="","",VLOOKUP(R225,REGRAS!$B$2:$D$13,3,FALSE()))</f>
        <v>RELAC.</v>
      </c>
      <c r="J225" s="58"/>
      <c r="K225" s="58" t="str">
        <f t="shared" si="9"/>
        <v>PÓS-VENDA</v>
      </c>
      <c r="L225" s="58" t="str">
        <f t="shared" si="10"/>
        <v>🟡</v>
      </c>
      <c r="M225" s="58"/>
      <c r="N225" s="58" t="s">
        <v>146</v>
      </c>
      <c r="O225" s="58" t="s">
        <v>147</v>
      </c>
      <c r="P225" s="58" t="s">
        <v>149</v>
      </c>
      <c r="Q225" s="58" t="s">
        <v>43</v>
      </c>
      <c r="R225" s="58" t="s">
        <v>21</v>
      </c>
      <c r="S225" s="58"/>
      <c r="T225" s="71" t="str">
        <f>IF(R225="","",IF(OR(R225="SUPORTE",R225="PERDA / FECHOU LOJA"),"SEM",A225+VLOOKUP(R225,REGRAS!$B$2:$C$13,2,FALSE())))</f>
        <v>SEM</v>
      </c>
      <c r="U225" s="58" t="str">
        <f t="shared" si="11"/>
        <v>PÓS-VENDA</v>
      </c>
      <c r="V225" s="58"/>
      <c r="W225" s="58" t="s">
        <v>146</v>
      </c>
      <c r="X225" s="58"/>
    </row>
    <row r="226" spans="1:24" x14ac:dyDescent="0.3">
      <c r="A226" s="71">
        <v>46069</v>
      </c>
      <c r="B226" s="58" t="s">
        <v>141</v>
      </c>
      <c r="C226" s="58" t="s">
        <v>794</v>
      </c>
      <c r="D226" s="58" t="s">
        <v>795</v>
      </c>
      <c r="E226" s="58" t="s">
        <v>332</v>
      </c>
      <c r="F226" s="58" t="s">
        <v>289</v>
      </c>
      <c r="G226" s="58" t="s">
        <v>79</v>
      </c>
      <c r="H226" s="58">
        <v>194</v>
      </c>
      <c r="I226" s="58" t="str">
        <f>IF(R226="","",VLOOKUP(R226,REGRAS!$B$2:$D$13,3,FALSE()))</f>
        <v>RELAC.</v>
      </c>
      <c r="J226" s="58"/>
      <c r="K226" s="58" t="str">
        <f t="shared" si="9"/>
        <v>CS</v>
      </c>
      <c r="L226" s="58" t="str">
        <f t="shared" si="10"/>
        <v>🔴</v>
      </c>
      <c r="M226" s="58"/>
      <c r="N226" s="58" t="s">
        <v>146</v>
      </c>
      <c r="O226" s="58" t="s">
        <v>147</v>
      </c>
      <c r="P226" s="58" t="s">
        <v>149</v>
      </c>
      <c r="Q226" s="58" t="s">
        <v>43</v>
      </c>
      <c r="R226" s="58" t="s">
        <v>14</v>
      </c>
      <c r="S226" s="58"/>
      <c r="T226" s="71">
        <f>IF(R226="","",IF(OR(R226="SUPORTE",R226="PERDA / FECHOU LOJA"),"SEM",A226+VLOOKUP(R226,REGRAS!$B$2:$C$13,2,FALSE())))</f>
        <v>46076</v>
      </c>
      <c r="U226" s="58" t="str">
        <f t="shared" si="11"/>
        <v>CS</v>
      </c>
      <c r="V226" s="58"/>
      <c r="W226" s="58" t="s">
        <v>146</v>
      </c>
      <c r="X226" s="58"/>
    </row>
    <row r="227" spans="1:24" x14ac:dyDescent="0.3">
      <c r="A227" s="71">
        <v>46069</v>
      </c>
      <c r="B227" s="58" t="s">
        <v>137</v>
      </c>
      <c r="C227" s="58" t="s">
        <v>796</v>
      </c>
      <c r="D227" s="58" t="s">
        <v>797</v>
      </c>
      <c r="E227" s="58" t="s">
        <v>332</v>
      </c>
      <c r="F227" s="58" t="s">
        <v>296</v>
      </c>
      <c r="G227" s="58" t="s">
        <v>82</v>
      </c>
      <c r="H227" s="58"/>
      <c r="I227" s="58" t="str">
        <f>IF(R227="","",VLOOKUP(R227,REGRAS!$B$2:$D$13,3,FALSE()))</f>
        <v>FUNIL</v>
      </c>
      <c r="J227" s="58"/>
      <c r="K227" s="58" t="str">
        <f t="shared" si="9"/>
        <v>PROSPECÇÃO</v>
      </c>
      <c r="L227" s="58" t="str">
        <f t="shared" si="10"/>
        <v/>
      </c>
      <c r="M227" s="58"/>
      <c r="N227" s="58" t="s">
        <v>146</v>
      </c>
      <c r="O227" s="58" t="s">
        <v>147</v>
      </c>
      <c r="P227" s="58" t="s">
        <v>149</v>
      </c>
      <c r="Q227" s="58" t="s">
        <v>43</v>
      </c>
      <c r="R227" s="58" t="s">
        <v>8</v>
      </c>
      <c r="S227" s="58"/>
      <c r="T227" s="71">
        <f>IF(R227="","",IF(OR(R227="SUPORTE",R227="PERDA / FECHOU LOJA"),"SEM",A227+VLOOKUP(R227,REGRAS!$B$2:$C$13,2,FALSE())))</f>
        <v>46070</v>
      </c>
      <c r="U227" s="58" t="str">
        <f t="shared" si="11"/>
        <v>PROSPECÇÃO</v>
      </c>
      <c r="V227" s="58"/>
      <c r="W227" s="58" t="s">
        <v>146</v>
      </c>
      <c r="X227" s="58"/>
    </row>
    <row r="228" spans="1:24" x14ac:dyDescent="0.3">
      <c r="A228" s="71">
        <v>46074</v>
      </c>
      <c r="B228" s="58" t="s">
        <v>139</v>
      </c>
      <c r="C228" s="58" t="s">
        <v>798</v>
      </c>
      <c r="D228" s="58" t="s">
        <v>799</v>
      </c>
      <c r="E228" s="58" t="s">
        <v>335</v>
      </c>
      <c r="F228" s="58" t="s">
        <v>296</v>
      </c>
      <c r="G228" s="58" t="s">
        <v>74</v>
      </c>
      <c r="H228" s="58">
        <v>56</v>
      </c>
      <c r="I228" s="58" t="str">
        <f>IF(R228="","",VLOOKUP(R228,REGRAS!$B$2:$D$13,3,FALSE()))</f>
        <v>FUNIL</v>
      </c>
      <c r="J228" s="58"/>
      <c r="K228" s="58" t="str">
        <f t="shared" si="9"/>
        <v>EM ATENDIMENTO</v>
      </c>
      <c r="L228" s="58" t="str">
        <f t="shared" si="10"/>
        <v>🟡</v>
      </c>
      <c r="M228" s="58"/>
      <c r="N228" s="58" t="s">
        <v>147</v>
      </c>
      <c r="O228" s="58" t="s">
        <v>146</v>
      </c>
      <c r="P228" s="58" t="s">
        <v>146</v>
      </c>
      <c r="Q228" s="58" t="s">
        <v>41</v>
      </c>
      <c r="R228" s="58" t="s">
        <v>5</v>
      </c>
      <c r="S228" s="58"/>
      <c r="T228" s="71">
        <f>IF(R228="","",IF(OR(R228="SUPORTE",R228="PERDA / FECHOU LOJA"),"SEM",A228+VLOOKUP(R228,REGRAS!$B$2:$C$13,2,FALSE())))</f>
        <v>46076</v>
      </c>
      <c r="U228" s="58" t="str">
        <f t="shared" si="11"/>
        <v>PROSPECÇÃO</v>
      </c>
      <c r="V228" s="58"/>
      <c r="W228" s="58" t="s">
        <v>147</v>
      </c>
      <c r="X228" s="58"/>
    </row>
    <row r="229" spans="1:24" x14ac:dyDescent="0.3">
      <c r="A229" s="71">
        <v>46079</v>
      </c>
      <c r="B229" s="58" t="s">
        <v>135</v>
      </c>
      <c r="C229" s="58" t="s">
        <v>800</v>
      </c>
      <c r="D229" s="58" t="s">
        <v>801</v>
      </c>
      <c r="E229" s="58" t="s">
        <v>332</v>
      </c>
      <c r="F229" s="58" t="s">
        <v>292</v>
      </c>
      <c r="G229" s="58" t="s">
        <v>79</v>
      </c>
      <c r="H229" s="58">
        <v>118</v>
      </c>
      <c r="I229" s="58" t="str">
        <f>IF(R229="","",VLOOKUP(R229,REGRAS!$B$2:$D$13,3,FALSE()))</f>
        <v>FUNIL</v>
      </c>
      <c r="J229" s="58"/>
      <c r="K229" s="58" t="str">
        <f t="shared" si="9"/>
        <v>PROSPECÇÃO</v>
      </c>
      <c r="L229" s="58" t="str">
        <f t="shared" si="10"/>
        <v>🔴</v>
      </c>
      <c r="M229" s="58"/>
      <c r="N229" s="58" t="s">
        <v>146</v>
      </c>
      <c r="O229" s="58" t="s">
        <v>147</v>
      </c>
      <c r="P229" s="58" t="s">
        <v>149</v>
      </c>
      <c r="Q229" s="58" t="s">
        <v>37</v>
      </c>
      <c r="R229" s="58" t="s">
        <v>8</v>
      </c>
      <c r="S229" s="58"/>
      <c r="T229" s="71">
        <f>IF(R229="","",IF(OR(R229="SUPORTE",R229="PERDA / FECHOU LOJA"),"SEM",A229+VLOOKUP(R229,REGRAS!$B$2:$C$13,2,FALSE())))</f>
        <v>46080</v>
      </c>
      <c r="U229" s="58" t="str">
        <f t="shared" si="11"/>
        <v>PROSPECÇÃO</v>
      </c>
      <c r="V229" s="58"/>
      <c r="W229" s="58" t="s">
        <v>146</v>
      </c>
      <c r="X229" s="58"/>
    </row>
    <row r="230" spans="1:24" x14ac:dyDescent="0.3">
      <c r="A230" s="71">
        <v>46080</v>
      </c>
      <c r="B230" s="58" t="s">
        <v>141</v>
      </c>
      <c r="C230" s="58" t="s">
        <v>802</v>
      </c>
      <c r="D230" s="58" t="s">
        <v>803</v>
      </c>
      <c r="E230" s="58" t="s">
        <v>340</v>
      </c>
      <c r="F230" s="58" t="s">
        <v>298</v>
      </c>
      <c r="G230" s="58" t="s">
        <v>79</v>
      </c>
      <c r="H230" s="58">
        <v>220</v>
      </c>
      <c r="I230" s="58" t="str">
        <f>IF(R230="","",VLOOKUP(R230,REGRAS!$B$2:$D$13,3,FALSE()))</f>
        <v>FUNIL</v>
      </c>
      <c r="J230" s="58"/>
      <c r="K230" s="58" t="str">
        <f t="shared" si="9"/>
        <v>PROSPECÇÃO</v>
      </c>
      <c r="L230" s="58" t="str">
        <f t="shared" si="10"/>
        <v>🔴</v>
      </c>
      <c r="M230" s="58"/>
      <c r="N230" s="58" t="s">
        <v>146</v>
      </c>
      <c r="O230" s="58" t="s">
        <v>146</v>
      </c>
      <c r="P230" s="58" t="s">
        <v>147</v>
      </c>
      <c r="Q230" s="58" t="s">
        <v>33</v>
      </c>
      <c r="R230" s="58" t="s">
        <v>10</v>
      </c>
      <c r="S230" s="58"/>
      <c r="T230" s="71">
        <f>IF(R230="","",IF(OR(R230="SUPORTE",R230="PERDA / FECHOU LOJA"),"SEM",A230+VLOOKUP(R230,REGRAS!$B$2:$C$13,2,FALSE())))</f>
        <v>46082</v>
      </c>
      <c r="U230" s="58" t="str">
        <f t="shared" si="11"/>
        <v>PROSPECÇÃO</v>
      </c>
      <c r="V230" s="58"/>
      <c r="W230" s="58" t="s">
        <v>147</v>
      </c>
      <c r="X230" s="58"/>
    </row>
    <row r="231" spans="1:24" x14ac:dyDescent="0.3">
      <c r="A231" s="71">
        <v>46069</v>
      </c>
      <c r="B231" s="58" t="s">
        <v>141</v>
      </c>
      <c r="C231" s="58" t="s">
        <v>804</v>
      </c>
      <c r="D231" s="58" t="s">
        <v>805</v>
      </c>
      <c r="E231" s="58" t="s">
        <v>366</v>
      </c>
      <c r="F231" s="58" t="s">
        <v>296</v>
      </c>
      <c r="G231" s="58" t="s">
        <v>82</v>
      </c>
      <c r="H231" s="58"/>
      <c r="I231" s="58" t="str">
        <f>IF(R231="","",VLOOKUP(R231,REGRAS!$B$2:$D$13,3,FALSE()))</f>
        <v>RELAC.</v>
      </c>
      <c r="J231" s="58"/>
      <c r="K231" s="58" t="str">
        <f t="shared" si="9"/>
        <v>CS</v>
      </c>
      <c r="L231" s="58" t="str">
        <f t="shared" si="10"/>
        <v/>
      </c>
      <c r="M231" s="58"/>
      <c r="N231" s="58" t="s">
        <v>147</v>
      </c>
      <c r="O231" s="58" t="s">
        <v>147</v>
      </c>
      <c r="P231" s="58" t="s">
        <v>149</v>
      </c>
      <c r="Q231" s="58" t="s">
        <v>39</v>
      </c>
      <c r="R231" s="58" t="s">
        <v>14</v>
      </c>
      <c r="S231" s="58"/>
      <c r="T231" s="71">
        <f>IF(R231="","",IF(OR(R231="SUPORTE",R231="PERDA / FECHOU LOJA"),"SEM",A231+VLOOKUP(R231,REGRAS!$B$2:$C$13,2,FALSE())))</f>
        <v>46076</v>
      </c>
      <c r="U231" s="58" t="str">
        <f t="shared" si="11"/>
        <v>CS</v>
      </c>
      <c r="V231" s="58"/>
      <c r="W231" s="58" t="s">
        <v>147</v>
      </c>
      <c r="X231" s="58"/>
    </row>
    <row r="232" spans="1:24" x14ac:dyDescent="0.3">
      <c r="A232" s="71">
        <v>46062</v>
      </c>
      <c r="B232" s="58" t="s">
        <v>137</v>
      </c>
      <c r="C232" s="58" t="s">
        <v>806</v>
      </c>
      <c r="D232" s="58" t="s">
        <v>807</v>
      </c>
      <c r="E232" s="58" t="s">
        <v>335</v>
      </c>
      <c r="F232" s="58" t="s">
        <v>292</v>
      </c>
      <c r="G232" s="58" t="s">
        <v>77</v>
      </c>
      <c r="H232" s="58">
        <v>87</v>
      </c>
      <c r="I232" s="58" t="str">
        <f>IF(R232="","",VLOOKUP(R232,REGRAS!$B$2:$D$13,3,FALSE()))</f>
        <v>NÃO VENDA</v>
      </c>
      <c r="J232" s="58"/>
      <c r="K232" s="58" t="str">
        <f t="shared" si="9"/>
        <v>NUTRIÇÃO</v>
      </c>
      <c r="L232" s="58" t="str">
        <f t="shared" si="10"/>
        <v>🟡</v>
      </c>
      <c r="M232" s="58"/>
      <c r="N232" s="58" t="s">
        <v>147</v>
      </c>
      <c r="O232" s="58" t="s">
        <v>147</v>
      </c>
      <c r="P232" s="58" t="s">
        <v>149</v>
      </c>
      <c r="Q232" s="58" t="s">
        <v>41</v>
      </c>
      <c r="R232" s="58" t="s">
        <v>30</v>
      </c>
      <c r="S232" s="58" t="s">
        <v>57</v>
      </c>
      <c r="T232" s="71" t="str">
        <f>IF(R232="","",IF(OR(R232="SUPORTE",R232="PERDA / FECHOU LOJA"),"SEM",A232+VLOOKUP(R232,REGRAS!$B$2:$C$13,2,FALSE())))</f>
        <v>SEM</v>
      </c>
      <c r="U232" s="58" t="str">
        <f t="shared" si="11"/>
        <v>NUTRIÇÃO</v>
      </c>
      <c r="V232" s="58"/>
      <c r="W232" s="58" t="s">
        <v>146</v>
      </c>
      <c r="X232" s="58"/>
    </row>
    <row r="233" spans="1:24" x14ac:dyDescent="0.3">
      <c r="A233" s="71">
        <v>46073</v>
      </c>
      <c r="B233" s="58" t="s">
        <v>139</v>
      </c>
      <c r="C233" s="58" t="s">
        <v>808</v>
      </c>
      <c r="D233" s="58" t="s">
        <v>809</v>
      </c>
      <c r="E233" s="58" t="s">
        <v>376</v>
      </c>
      <c r="F233" s="58" t="s">
        <v>297</v>
      </c>
      <c r="G233" s="58" t="s">
        <v>79</v>
      </c>
      <c r="H233" s="58">
        <v>285</v>
      </c>
      <c r="I233" s="58" t="str">
        <f>IF(R233="","",VLOOKUP(R233,REGRAS!$B$2:$D$13,3,FALSE()))</f>
        <v>RELAC.</v>
      </c>
      <c r="J233" s="58"/>
      <c r="K233" s="58" t="str">
        <f t="shared" si="9"/>
        <v>SALVAMENTO</v>
      </c>
      <c r="L233" s="58" t="str">
        <f t="shared" si="10"/>
        <v>🔴</v>
      </c>
      <c r="M233" s="58"/>
      <c r="N233" s="58" t="s">
        <v>146</v>
      </c>
      <c r="O233" s="58" t="s">
        <v>147</v>
      </c>
      <c r="P233" s="58" t="s">
        <v>149</v>
      </c>
      <c r="Q233" s="58" t="s">
        <v>37</v>
      </c>
      <c r="R233" s="58" t="s">
        <v>17</v>
      </c>
      <c r="S233" s="58" t="s">
        <v>53</v>
      </c>
      <c r="T233" s="71">
        <f>IF(R233="","",IF(OR(R233="SUPORTE",R233="PERDA / FECHOU LOJA"),"SEM",A233+VLOOKUP(R233,REGRAS!$B$2:$C$13,2,FALSE())))</f>
        <v>46080</v>
      </c>
      <c r="U233" s="58" t="str">
        <f t="shared" si="11"/>
        <v>SALVAMENTO</v>
      </c>
      <c r="V233" s="58"/>
      <c r="W233" s="58" t="s">
        <v>147</v>
      </c>
      <c r="X233" s="58"/>
    </row>
    <row r="234" spans="1:24" x14ac:dyDescent="0.3">
      <c r="A234" s="71">
        <v>46080</v>
      </c>
      <c r="B234" s="58" t="s">
        <v>137</v>
      </c>
      <c r="C234" s="58" t="s">
        <v>810</v>
      </c>
      <c r="D234" s="58" t="s">
        <v>811</v>
      </c>
      <c r="E234" s="58" t="s">
        <v>332</v>
      </c>
      <c r="F234" s="58" t="s">
        <v>283</v>
      </c>
      <c r="G234" s="58" t="s">
        <v>71</v>
      </c>
      <c r="H234" s="58">
        <v>15</v>
      </c>
      <c r="I234" s="58" t="str">
        <f>IF(R234="","",VLOOKUP(R234,REGRAS!$B$2:$D$13,3,FALSE()))</f>
        <v>NÃO VENDA</v>
      </c>
      <c r="J234" s="58"/>
      <c r="K234" s="58" t="str">
        <f t="shared" si="9"/>
        <v>RECUPERAÇÃO</v>
      </c>
      <c r="L234" s="58" t="str">
        <f t="shared" si="10"/>
        <v>🟢</v>
      </c>
      <c r="M234" s="58"/>
      <c r="N234" s="58" t="s">
        <v>146</v>
      </c>
      <c r="O234" s="58" t="s">
        <v>146</v>
      </c>
      <c r="P234" s="58" t="s">
        <v>147</v>
      </c>
      <c r="Q234" s="58" t="s">
        <v>45</v>
      </c>
      <c r="R234" s="58" t="s">
        <v>26</v>
      </c>
      <c r="S234" s="58" t="s">
        <v>49</v>
      </c>
      <c r="T234" s="71">
        <f>IF(R234="","",IF(OR(R234="SUPORTE",R234="PERDA / FECHOU LOJA"),"SEM",A234+VLOOKUP(R234,REGRAS!$B$2:$C$13,2,FALSE())))</f>
        <v>46081</v>
      </c>
      <c r="U234" s="58" t="str">
        <f t="shared" si="11"/>
        <v>REATIVAÇÃO</v>
      </c>
      <c r="V234" s="58"/>
      <c r="W234" s="58" t="s">
        <v>146</v>
      </c>
      <c r="X234" s="58"/>
    </row>
    <row r="235" spans="1:24" x14ac:dyDescent="0.3">
      <c r="A235" s="71">
        <v>46065</v>
      </c>
      <c r="B235" s="58" t="s">
        <v>141</v>
      </c>
      <c r="C235" s="58" t="s">
        <v>812</v>
      </c>
      <c r="D235" s="58" t="s">
        <v>813</v>
      </c>
      <c r="E235" s="58" t="s">
        <v>335</v>
      </c>
      <c r="F235" s="58" t="s">
        <v>289</v>
      </c>
      <c r="G235" s="58" t="s">
        <v>79</v>
      </c>
      <c r="H235" s="58">
        <v>295</v>
      </c>
      <c r="I235" s="58" t="str">
        <f>IF(R235="","",VLOOKUP(R235,REGRAS!$B$2:$D$13,3,FALSE()))</f>
        <v>FUNIL</v>
      </c>
      <c r="J235" s="58"/>
      <c r="K235" s="58" t="str">
        <f t="shared" si="9"/>
        <v>PROSPECÇÃO</v>
      </c>
      <c r="L235" s="58" t="str">
        <f t="shared" si="10"/>
        <v>🔴</v>
      </c>
      <c r="M235" s="58"/>
      <c r="N235" s="58" t="s">
        <v>146</v>
      </c>
      <c r="O235" s="58" t="s">
        <v>146</v>
      </c>
      <c r="P235" s="58" t="s">
        <v>146</v>
      </c>
      <c r="Q235" s="58" t="s">
        <v>41</v>
      </c>
      <c r="R235" s="58" t="s">
        <v>8</v>
      </c>
      <c r="S235" s="58"/>
      <c r="T235" s="71">
        <f>IF(R235="","",IF(OR(R235="SUPORTE",R235="PERDA / FECHOU LOJA"),"SEM",A235+VLOOKUP(R235,REGRAS!$B$2:$C$13,2,FALSE())))</f>
        <v>46066</v>
      </c>
      <c r="U235" s="58" t="str">
        <f t="shared" si="11"/>
        <v>PROSPECÇÃO</v>
      </c>
      <c r="V235" s="58"/>
      <c r="W235" s="58" t="s">
        <v>147</v>
      </c>
      <c r="X235" s="58"/>
    </row>
    <row r="236" spans="1:24" x14ac:dyDescent="0.3">
      <c r="A236" s="71">
        <v>46075</v>
      </c>
      <c r="B236" s="58" t="s">
        <v>135</v>
      </c>
      <c r="C236" s="58" t="s">
        <v>814</v>
      </c>
      <c r="D236" s="58" t="s">
        <v>815</v>
      </c>
      <c r="E236" s="58" t="s">
        <v>361</v>
      </c>
      <c r="F236" s="58" t="s">
        <v>292</v>
      </c>
      <c r="G236" s="58" t="s">
        <v>74</v>
      </c>
      <c r="H236" s="58">
        <v>54</v>
      </c>
      <c r="I236" s="58" t="str">
        <f>IF(R236="","",VLOOKUP(R236,REGRAS!$B$2:$D$13,3,FALSE()))</f>
        <v>RELAC.</v>
      </c>
      <c r="J236" s="58"/>
      <c r="K236" s="58" t="str">
        <f t="shared" si="9"/>
        <v>PÓS-VENDA</v>
      </c>
      <c r="L236" s="58" t="str">
        <f t="shared" si="10"/>
        <v>🟡</v>
      </c>
      <c r="M236" s="58"/>
      <c r="N236" s="58" t="s">
        <v>146</v>
      </c>
      <c r="O236" s="58" t="s">
        <v>147</v>
      </c>
      <c r="P236" s="58" t="s">
        <v>149</v>
      </c>
      <c r="Q236" s="58" t="s">
        <v>43</v>
      </c>
      <c r="R236" s="58" t="s">
        <v>21</v>
      </c>
      <c r="S236" s="58"/>
      <c r="T236" s="71" t="str">
        <f>IF(R236="","",IF(OR(R236="SUPORTE",R236="PERDA / FECHOU LOJA"),"SEM",A236+VLOOKUP(R236,REGRAS!$B$2:$C$13,2,FALSE())))</f>
        <v>SEM</v>
      </c>
      <c r="U236" s="58" t="str">
        <f t="shared" si="11"/>
        <v>PÓS-VENDA</v>
      </c>
      <c r="V236" s="58"/>
      <c r="W236" s="58" t="s">
        <v>146</v>
      </c>
      <c r="X236" s="58"/>
    </row>
    <row r="237" spans="1:24" x14ac:dyDescent="0.3">
      <c r="A237" s="71">
        <v>46073</v>
      </c>
      <c r="B237" s="58" t="s">
        <v>135</v>
      </c>
      <c r="C237" s="58" t="s">
        <v>816</v>
      </c>
      <c r="D237" s="58" t="s">
        <v>817</v>
      </c>
      <c r="E237" s="58" t="s">
        <v>369</v>
      </c>
      <c r="F237" s="58" t="s">
        <v>292</v>
      </c>
      <c r="G237" s="58" t="s">
        <v>71</v>
      </c>
      <c r="H237" s="58">
        <v>7</v>
      </c>
      <c r="I237" s="58" t="str">
        <f>IF(R237="","",VLOOKUP(R237,REGRAS!$B$2:$D$13,3,FALSE()))</f>
        <v>RELAC.</v>
      </c>
      <c r="J237" s="58"/>
      <c r="K237" s="58" t="str">
        <f t="shared" si="9"/>
        <v>SALVAMENTO</v>
      </c>
      <c r="L237" s="58" t="str">
        <f t="shared" si="10"/>
        <v>🟢</v>
      </c>
      <c r="M237" s="58"/>
      <c r="N237" s="58" t="s">
        <v>146</v>
      </c>
      <c r="O237" s="58" t="s">
        <v>147</v>
      </c>
      <c r="P237" s="58" t="s">
        <v>149</v>
      </c>
      <c r="Q237" s="58" t="s">
        <v>39</v>
      </c>
      <c r="R237" s="58" t="s">
        <v>17</v>
      </c>
      <c r="S237" s="58" t="s">
        <v>51</v>
      </c>
      <c r="T237" s="71">
        <f>IF(R237="","",IF(OR(R237="SUPORTE",R237="PERDA / FECHOU LOJA"),"SEM",A237+VLOOKUP(R237,REGRAS!$B$2:$C$13,2,FALSE())))</f>
        <v>46080</v>
      </c>
      <c r="U237" s="58" t="str">
        <f t="shared" si="11"/>
        <v>SALVAMENTO</v>
      </c>
      <c r="V237" s="58"/>
      <c r="W237" s="58" t="s">
        <v>146</v>
      </c>
      <c r="X237" s="58"/>
    </row>
    <row r="238" spans="1:24" x14ac:dyDescent="0.3">
      <c r="A238" s="71">
        <v>46076</v>
      </c>
      <c r="B238" s="58" t="s">
        <v>141</v>
      </c>
      <c r="C238" s="58" t="s">
        <v>818</v>
      </c>
      <c r="D238" s="58" t="s">
        <v>819</v>
      </c>
      <c r="E238" s="58" t="s">
        <v>346</v>
      </c>
      <c r="F238" s="58" t="s">
        <v>296</v>
      </c>
      <c r="G238" s="58" t="s">
        <v>71</v>
      </c>
      <c r="H238" s="58">
        <v>50</v>
      </c>
      <c r="I238" s="58" t="str">
        <f>IF(R238="","",VLOOKUP(R238,REGRAS!$B$2:$D$13,3,FALSE()))</f>
        <v>FUNIL</v>
      </c>
      <c r="J238" s="58"/>
      <c r="K238" s="58" t="str">
        <f t="shared" si="9"/>
        <v>PROSPECÇÃO</v>
      </c>
      <c r="L238" s="58" t="str">
        <f t="shared" si="10"/>
        <v>🟢</v>
      </c>
      <c r="M238" s="58"/>
      <c r="N238" s="58" t="s">
        <v>146</v>
      </c>
      <c r="O238" s="58" t="s">
        <v>146</v>
      </c>
      <c r="P238" s="58" t="s">
        <v>146</v>
      </c>
      <c r="Q238" s="58" t="s">
        <v>37</v>
      </c>
      <c r="R238" s="58" t="s">
        <v>8</v>
      </c>
      <c r="S238" s="58"/>
      <c r="T238" s="71">
        <f>IF(R238="","",IF(OR(R238="SUPORTE",R238="PERDA / FECHOU LOJA"),"SEM",A238+VLOOKUP(R238,REGRAS!$B$2:$C$13,2,FALSE())))</f>
        <v>46077</v>
      </c>
      <c r="U238" s="58" t="str">
        <f t="shared" si="11"/>
        <v>PROSPECÇÃO</v>
      </c>
      <c r="V238" s="58"/>
      <c r="W238" s="58" t="s">
        <v>146</v>
      </c>
      <c r="X238" s="58"/>
    </row>
    <row r="239" spans="1:24" x14ac:dyDescent="0.3">
      <c r="A239" s="71">
        <v>46071</v>
      </c>
      <c r="B239" s="58" t="s">
        <v>137</v>
      </c>
      <c r="C239" s="58" t="s">
        <v>820</v>
      </c>
      <c r="D239" s="58" t="s">
        <v>821</v>
      </c>
      <c r="E239" s="58" t="s">
        <v>366</v>
      </c>
      <c r="F239" s="58" t="s">
        <v>292</v>
      </c>
      <c r="G239" s="58" t="s">
        <v>77</v>
      </c>
      <c r="H239" s="58">
        <v>76</v>
      </c>
      <c r="I239" s="58" t="str">
        <f>IF(R239="","",VLOOKUP(R239,REGRAS!$B$2:$D$13,3,FALSE()))</f>
        <v>RELAC.</v>
      </c>
      <c r="J239" s="58"/>
      <c r="K239" s="58" t="str">
        <f t="shared" si="9"/>
        <v>SALVAMENTO</v>
      </c>
      <c r="L239" s="58" t="str">
        <f t="shared" si="10"/>
        <v>🟡</v>
      </c>
      <c r="M239" s="58"/>
      <c r="N239" s="58" t="s">
        <v>147</v>
      </c>
      <c r="O239" s="58" t="s">
        <v>146</v>
      </c>
      <c r="P239" s="58" t="s">
        <v>147</v>
      </c>
      <c r="Q239" s="58" t="s">
        <v>45</v>
      </c>
      <c r="R239" s="58" t="s">
        <v>19</v>
      </c>
      <c r="S239" s="58" t="s">
        <v>53</v>
      </c>
      <c r="T239" s="71">
        <f>IF(R239="","",IF(OR(R239="SUPORTE",R239="PERDA / FECHOU LOJA"),"SEM",A239+VLOOKUP(R239,REGRAS!$B$2:$C$13,2,FALSE())))</f>
        <v>46086</v>
      </c>
      <c r="U239" s="58" t="str">
        <f t="shared" si="11"/>
        <v>SALVAMENTO</v>
      </c>
      <c r="V239" s="58"/>
      <c r="W239" s="58" t="s">
        <v>147</v>
      </c>
      <c r="X239" s="58"/>
    </row>
    <row r="240" spans="1:24" x14ac:dyDescent="0.3">
      <c r="A240" s="71">
        <v>46073</v>
      </c>
      <c r="B240" s="58" t="s">
        <v>141</v>
      </c>
      <c r="C240" s="58" t="s">
        <v>822</v>
      </c>
      <c r="D240" s="58" t="s">
        <v>823</v>
      </c>
      <c r="E240" s="58" t="s">
        <v>366</v>
      </c>
      <c r="F240" s="58" t="s">
        <v>292</v>
      </c>
      <c r="G240" s="58" t="s">
        <v>71</v>
      </c>
      <c r="H240" s="58">
        <v>38</v>
      </c>
      <c r="I240" s="58" t="str">
        <f>IF(R240="","",VLOOKUP(R240,REGRAS!$B$2:$D$13,3,FALSE()))</f>
        <v>RELAC.</v>
      </c>
      <c r="J240" s="58"/>
      <c r="K240" s="58" t="str">
        <f t="shared" si="9"/>
        <v>SALVAMENTO</v>
      </c>
      <c r="L240" s="58" t="str">
        <f t="shared" si="10"/>
        <v>🟢</v>
      </c>
      <c r="M240" s="58"/>
      <c r="N240" s="58" t="s">
        <v>147</v>
      </c>
      <c r="O240" s="58" t="s">
        <v>146</v>
      </c>
      <c r="P240" s="58" t="s">
        <v>146</v>
      </c>
      <c r="Q240" s="58" t="s">
        <v>43</v>
      </c>
      <c r="R240" s="58" t="s">
        <v>17</v>
      </c>
      <c r="S240" s="58" t="s">
        <v>64</v>
      </c>
      <c r="T240" s="71">
        <f>IF(R240="","",IF(OR(R240="SUPORTE",R240="PERDA / FECHOU LOJA"),"SEM",A240+VLOOKUP(R240,REGRAS!$B$2:$C$13,2,FALSE())))</f>
        <v>46080</v>
      </c>
      <c r="U240" s="58" t="str">
        <f t="shared" si="11"/>
        <v>SALVAMENTO</v>
      </c>
      <c r="V240" s="58"/>
      <c r="W240" s="58" t="s">
        <v>146</v>
      </c>
      <c r="X240" s="58"/>
    </row>
    <row r="241" spans="1:24" x14ac:dyDescent="0.3">
      <c r="A241" s="71">
        <v>46070</v>
      </c>
      <c r="B241" s="58" t="s">
        <v>135</v>
      </c>
      <c r="C241" s="58" t="s">
        <v>824</v>
      </c>
      <c r="D241" s="58" t="s">
        <v>825</v>
      </c>
      <c r="E241" s="58" t="s">
        <v>335</v>
      </c>
      <c r="F241" s="58" t="s">
        <v>292</v>
      </c>
      <c r="G241" s="58" t="s">
        <v>82</v>
      </c>
      <c r="H241" s="58"/>
      <c r="I241" s="58" t="str">
        <f>IF(R241="","",VLOOKUP(R241,REGRAS!$B$2:$D$13,3,FALSE()))</f>
        <v>FUNIL</v>
      </c>
      <c r="J241" s="58"/>
      <c r="K241" s="58" t="str">
        <f t="shared" si="9"/>
        <v>RECOMPRA</v>
      </c>
      <c r="L241" s="58" t="str">
        <f t="shared" si="10"/>
        <v/>
      </c>
      <c r="M241" s="58"/>
      <c r="N241" s="58" t="s">
        <v>146</v>
      </c>
      <c r="O241" s="58" t="s">
        <v>147</v>
      </c>
      <c r="P241" s="58" t="s">
        <v>149</v>
      </c>
      <c r="Q241" s="58" t="s">
        <v>39</v>
      </c>
      <c r="R241" s="58" t="s">
        <v>12</v>
      </c>
      <c r="S241" s="58"/>
      <c r="T241" s="71">
        <f>IF(R241="","",IF(OR(R241="SUPORTE",R241="PERDA / FECHOU LOJA"),"SEM",A241+VLOOKUP(R241,REGRAS!$B$2:$C$13,2,FALSE())))</f>
        <v>46115</v>
      </c>
      <c r="U241" s="58" t="str">
        <f t="shared" si="11"/>
        <v>RECOMPRA</v>
      </c>
      <c r="V241" s="58"/>
      <c r="W241" s="58" t="s">
        <v>147</v>
      </c>
      <c r="X241" s="58"/>
    </row>
    <row r="242" spans="1:24" x14ac:dyDescent="0.3">
      <c r="A242" s="71">
        <v>46078</v>
      </c>
      <c r="B242" s="58" t="s">
        <v>137</v>
      </c>
      <c r="C242" s="58" t="s">
        <v>826</v>
      </c>
      <c r="D242" s="58" t="s">
        <v>827</v>
      </c>
      <c r="E242" s="58" t="s">
        <v>332</v>
      </c>
      <c r="F242" s="58" t="s">
        <v>283</v>
      </c>
      <c r="G242" s="58" t="s">
        <v>71</v>
      </c>
      <c r="H242" s="58">
        <v>21</v>
      </c>
      <c r="I242" s="58" t="str">
        <f>IF(R242="","",VLOOKUP(R242,REGRAS!$B$2:$D$13,3,FALSE()))</f>
        <v>RELAC.</v>
      </c>
      <c r="J242" s="58"/>
      <c r="K242" s="58" t="str">
        <f t="shared" si="9"/>
        <v>SALVAMENTO</v>
      </c>
      <c r="L242" s="58" t="str">
        <f t="shared" si="10"/>
        <v>🟢</v>
      </c>
      <c r="M242" s="58"/>
      <c r="N242" s="58" t="s">
        <v>146</v>
      </c>
      <c r="O242" s="58" t="s">
        <v>146</v>
      </c>
      <c r="P242" s="58" t="s">
        <v>146</v>
      </c>
      <c r="Q242" s="58" t="s">
        <v>39</v>
      </c>
      <c r="R242" s="58" t="s">
        <v>17</v>
      </c>
      <c r="S242" s="58" t="s">
        <v>57</v>
      </c>
      <c r="T242" s="71">
        <f>IF(R242="","",IF(OR(R242="SUPORTE",R242="PERDA / FECHOU LOJA"),"SEM",A242+VLOOKUP(R242,REGRAS!$B$2:$C$13,2,FALSE())))</f>
        <v>46085</v>
      </c>
      <c r="U242" s="58" t="str">
        <f t="shared" si="11"/>
        <v>SALVAMENTO</v>
      </c>
      <c r="V242" s="58"/>
      <c r="W242" s="58" t="s">
        <v>146</v>
      </c>
      <c r="X242" s="58"/>
    </row>
    <row r="243" spans="1:24" x14ac:dyDescent="0.3">
      <c r="A243" s="71">
        <v>46054</v>
      </c>
      <c r="B243" s="58" t="s">
        <v>137</v>
      </c>
      <c r="C243" s="58" t="s">
        <v>828</v>
      </c>
      <c r="D243" s="58" t="s">
        <v>829</v>
      </c>
      <c r="E243" s="58" t="s">
        <v>332</v>
      </c>
      <c r="F243" s="58" t="s">
        <v>292</v>
      </c>
      <c r="G243" s="58" t="s">
        <v>74</v>
      </c>
      <c r="H243" s="58">
        <v>59</v>
      </c>
      <c r="I243" s="58" t="str">
        <f>IF(R243="","",VLOOKUP(R243,REGRAS!$B$2:$D$13,3,FALSE()))</f>
        <v>NÃO VENDA</v>
      </c>
      <c r="J243" s="58"/>
      <c r="K243" s="58" t="str">
        <f t="shared" si="9"/>
        <v>RECUPERAÇÃO</v>
      </c>
      <c r="L243" s="58" t="str">
        <f t="shared" si="10"/>
        <v>🟡</v>
      </c>
      <c r="M243" s="58"/>
      <c r="N243" s="58" t="s">
        <v>146</v>
      </c>
      <c r="O243" s="58" t="s">
        <v>146</v>
      </c>
      <c r="P243" s="58" t="s">
        <v>147</v>
      </c>
      <c r="Q243" s="58" t="s">
        <v>33</v>
      </c>
      <c r="R243" s="58" t="s">
        <v>26</v>
      </c>
      <c r="S243" s="58" t="s">
        <v>53</v>
      </c>
      <c r="T243" s="71">
        <f>IF(R243="","",IF(OR(R243="SUPORTE",R243="PERDA / FECHOU LOJA"),"SEM",A243+VLOOKUP(R243,REGRAS!$B$2:$C$13,2,FALSE())))</f>
        <v>46055</v>
      </c>
      <c r="U243" s="58" t="str">
        <f t="shared" si="11"/>
        <v>REATIVAÇÃO</v>
      </c>
      <c r="V243" s="58"/>
      <c r="W243" s="58" t="s">
        <v>146</v>
      </c>
      <c r="X243" s="58"/>
    </row>
    <row r="244" spans="1:24" x14ac:dyDescent="0.3">
      <c r="A244" s="71">
        <v>46075</v>
      </c>
      <c r="B244" s="58" t="s">
        <v>135</v>
      </c>
      <c r="C244" s="58" t="s">
        <v>830</v>
      </c>
      <c r="D244" s="58" t="s">
        <v>831</v>
      </c>
      <c r="E244" s="58" t="s">
        <v>366</v>
      </c>
      <c r="F244" s="58" t="s">
        <v>297</v>
      </c>
      <c r="G244" s="58" t="s">
        <v>71</v>
      </c>
      <c r="H244" s="58">
        <v>46</v>
      </c>
      <c r="I244" s="58" t="str">
        <f>IF(R244="","",VLOOKUP(R244,REGRAS!$B$2:$D$13,3,FALSE()))</f>
        <v>FUNIL</v>
      </c>
      <c r="J244" s="58"/>
      <c r="K244" s="58" t="str">
        <f t="shared" si="9"/>
        <v>EM ATENDIMENTO</v>
      </c>
      <c r="L244" s="58" t="str">
        <f t="shared" si="10"/>
        <v>🟢</v>
      </c>
      <c r="M244" s="58"/>
      <c r="N244" s="58" t="s">
        <v>146</v>
      </c>
      <c r="O244" s="58" t="s">
        <v>147</v>
      </c>
      <c r="P244" s="58" t="s">
        <v>149</v>
      </c>
      <c r="Q244" s="58" t="s">
        <v>39</v>
      </c>
      <c r="R244" s="58" t="s">
        <v>5</v>
      </c>
      <c r="S244" s="58"/>
      <c r="T244" s="71">
        <f>IF(R244="","",IF(OR(R244="SUPORTE",R244="PERDA / FECHOU LOJA"),"SEM",A244+VLOOKUP(R244,REGRAS!$B$2:$C$13,2,FALSE())))</f>
        <v>46077</v>
      </c>
      <c r="U244" s="58" t="str">
        <f t="shared" si="11"/>
        <v>PROSPECÇÃO</v>
      </c>
      <c r="V244" s="58"/>
      <c r="W244" s="58" t="s">
        <v>146</v>
      </c>
      <c r="X244" s="58"/>
    </row>
    <row r="245" spans="1:24" x14ac:dyDescent="0.3">
      <c r="A245" s="71">
        <v>46054</v>
      </c>
      <c r="B245" s="58" t="s">
        <v>137</v>
      </c>
      <c r="C245" s="58" t="s">
        <v>832</v>
      </c>
      <c r="D245" s="58" t="s">
        <v>833</v>
      </c>
      <c r="E245" s="58" t="s">
        <v>332</v>
      </c>
      <c r="F245" s="58" t="s">
        <v>292</v>
      </c>
      <c r="G245" s="58" t="s">
        <v>82</v>
      </c>
      <c r="H245" s="58"/>
      <c r="I245" s="58" t="str">
        <f>IF(R245="","",VLOOKUP(R245,REGRAS!$B$2:$D$13,3,FALSE()))</f>
        <v>FUNIL</v>
      </c>
      <c r="J245" s="58"/>
      <c r="K245" s="58" t="str">
        <f t="shared" si="9"/>
        <v>EM ATENDIMENTO</v>
      </c>
      <c r="L245" s="58" t="str">
        <f t="shared" si="10"/>
        <v/>
      </c>
      <c r="M245" s="58"/>
      <c r="N245" s="58" t="s">
        <v>146</v>
      </c>
      <c r="O245" s="58" t="s">
        <v>146</v>
      </c>
      <c r="P245" s="58" t="s">
        <v>146</v>
      </c>
      <c r="Q245" s="58" t="s">
        <v>33</v>
      </c>
      <c r="R245" s="58" t="s">
        <v>5</v>
      </c>
      <c r="S245" s="58"/>
      <c r="T245" s="71">
        <f>IF(R245="","",IF(OR(R245="SUPORTE",R245="PERDA / FECHOU LOJA"),"SEM",A245+VLOOKUP(R245,REGRAS!$B$2:$C$13,2,FALSE())))</f>
        <v>46056</v>
      </c>
      <c r="U245" s="58" t="str">
        <f t="shared" si="11"/>
        <v>PROSPECÇÃO</v>
      </c>
      <c r="V245" s="58"/>
      <c r="W245" s="58" t="s">
        <v>147</v>
      </c>
      <c r="X245" s="58"/>
    </row>
    <row r="246" spans="1:24" x14ac:dyDescent="0.3">
      <c r="A246" s="71">
        <v>46072</v>
      </c>
      <c r="B246" s="58" t="s">
        <v>141</v>
      </c>
      <c r="C246" s="58" t="s">
        <v>834</v>
      </c>
      <c r="D246" s="58" t="s">
        <v>835</v>
      </c>
      <c r="E246" s="58" t="s">
        <v>332</v>
      </c>
      <c r="F246" s="58" t="s">
        <v>283</v>
      </c>
      <c r="G246" s="58" t="s">
        <v>79</v>
      </c>
      <c r="H246" s="58">
        <v>215</v>
      </c>
      <c r="I246" s="58" t="str">
        <f>IF(R246="","",VLOOKUP(R246,REGRAS!$B$2:$D$13,3,FALSE()))</f>
        <v>NÃO VENDA</v>
      </c>
      <c r="J246" s="58"/>
      <c r="K246" s="58" t="str">
        <f t="shared" si="9"/>
        <v>RECUPERAÇÃO</v>
      </c>
      <c r="L246" s="58" t="str">
        <f t="shared" si="10"/>
        <v>🔴</v>
      </c>
      <c r="M246" s="58"/>
      <c r="N246" s="58" t="s">
        <v>146</v>
      </c>
      <c r="O246" s="58" t="s">
        <v>146</v>
      </c>
      <c r="P246" s="58" t="s">
        <v>146</v>
      </c>
      <c r="Q246" s="58" t="s">
        <v>45</v>
      </c>
      <c r="R246" s="58" t="s">
        <v>23</v>
      </c>
      <c r="S246" s="58" t="s">
        <v>49</v>
      </c>
      <c r="T246" s="71">
        <f>IF(R246="","",IF(OR(R246="SUPORTE",R246="PERDA / FECHOU LOJA"),"SEM",A246+VLOOKUP(R246,REGRAS!$B$2:$C$13,2,FALSE())))</f>
        <v>46073</v>
      </c>
      <c r="U246" s="58" t="str">
        <f t="shared" si="11"/>
        <v>REATIVAÇÃO</v>
      </c>
      <c r="V246" s="58"/>
      <c r="W246" s="58" t="s">
        <v>146</v>
      </c>
      <c r="X246" s="58"/>
    </row>
    <row r="247" spans="1:24" x14ac:dyDescent="0.3">
      <c r="A247" s="71">
        <v>46069</v>
      </c>
      <c r="B247" s="58" t="s">
        <v>137</v>
      </c>
      <c r="C247" s="58" t="s">
        <v>836</v>
      </c>
      <c r="D247" s="58" t="s">
        <v>837</v>
      </c>
      <c r="E247" s="58" t="s">
        <v>335</v>
      </c>
      <c r="F247" s="58" t="s">
        <v>292</v>
      </c>
      <c r="G247" s="58" t="s">
        <v>85</v>
      </c>
      <c r="H247" s="58"/>
      <c r="I247" s="58" t="str">
        <f>IF(R247="","",VLOOKUP(R247,REGRAS!$B$2:$D$13,3,FALSE()))</f>
        <v>FUNIL</v>
      </c>
      <c r="J247" s="58"/>
      <c r="K247" s="58" t="str">
        <f t="shared" si="9"/>
        <v>PROSPECÇÃO</v>
      </c>
      <c r="L247" s="58" t="str">
        <f t="shared" si="10"/>
        <v/>
      </c>
      <c r="M247" s="58"/>
      <c r="N247" s="58" t="s">
        <v>147</v>
      </c>
      <c r="O247" s="58" t="s">
        <v>147</v>
      </c>
      <c r="P247" s="58" t="s">
        <v>149</v>
      </c>
      <c r="Q247" s="58" t="s">
        <v>35</v>
      </c>
      <c r="R247" s="58" t="s">
        <v>8</v>
      </c>
      <c r="S247" s="58"/>
      <c r="T247" s="71">
        <f>IF(R247="","",IF(OR(R247="SUPORTE",R247="PERDA / FECHOU LOJA"),"SEM",A247+VLOOKUP(R247,REGRAS!$B$2:$C$13,2,FALSE())))</f>
        <v>46070</v>
      </c>
      <c r="U247" s="58" t="str">
        <f t="shared" si="11"/>
        <v>PROSPECÇÃO</v>
      </c>
      <c r="V247" s="58"/>
      <c r="W247" s="58" t="s">
        <v>146</v>
      </c>
      <c r="X247" s="58"/>
    </row>
    <row r="248" spans="1:24" x14ac:dyDescent="0.3">
      <c r="A248" s="71">
        <v>46062</v>
      </c>
      <c r="B248" s="58" t="s">
        <v>141</v>
      </c>
      <c r="C248" s="58" t="s">
        <v>838</v>
      </c>
      <c r="D248" s="58" t="s">
        <v>839</v>
      </c>
      <c r="E248" s="58" t="s">
        <v>366</v>
      </c>
      <c r="F248" s="58" t="s">
        <v>295</v>
      </c>
      <c r="G248" s="58" t="s">
        <v>77</v>
      </c>
      <c r="H248" s="58">
        <v>66</v>
      </c>
      <c r="I248" s="58" t="str">
        <f>IF(R248="","",VLOOKUP(R248,REGRAS!$B$2:$D$13,3,FALSE()))</f>
        <v>FUNIL</v>
      </c>
      <c r="J248" s="58"/>
      <c r="K248" s="58" t="str">
        <f t="shared" si="9"/>
        <v>EM ATENDIMENTO</v>
      </c>
      <c r="L248" s="58" t="str">
        <f t="shared" si="10"/>
        <v>🟡</v>
      </c>
      <c r="M248" s="58"/>
      <c r="N248" s="58" t="s">
        <v>146</v>
      </c>
      <c r="O248" s="58" t="s">
        <v>147</v>
      </c>
      <c r="P248" s="58" t="s">
        <v>149</v>
      </c>
      <c r="Q248" s="58" t="s">
        <v>41</v>
      </c>
      <c r="R248" s="58" t="s">
        <v>5</v>
      </c>
      <c r="S248" s="58"/>
      <c r="T248" s="71">
        <f>IF(R248="","",IF(OR(R248="SUPORTE",R248="PERDA / FECHOU LOJA"),"SEM",A248+VLOOKUP(R248,REGRAS!$B$2:$C$13,2,FALSE())))</f>
        <v>46064</v>
      </c>
      <c r="U248" s="58" t="str">
        <f t="shared" si="11"/>
        <v>PROSPECÇÃO</v>
      </c>
      <c r="V248" s="58"/>
      <c r="W248" s="58" t="s">
        <v>147</v>
      </c>
      <c r="X248" s="58"/>
    </row>
    <row r="249" spans="1:24" x14ac:dyDescent="0.3">
      <c r="A249" s="71">
        <v>46060</v>
      </c>
      <c r="B249" s="58" t="s">
        <v>135</v>
      </c>
      <c r="C249" s="58" t="s">
        <v>840</v>
      </c>
      <c r="D249" s="58" t="s">
        <v>841</v>
      </c>
      <c r="E249" s="58" t="s">
        <v>332</v>
      </c>
      <c r="F249" s="58" t="s">
        <v>296</v>
      </c>
      <c r="G249" s="58" t="s">
        <v>74</v>
      </c>
      <c r="H249" s="58">
        <v>60</v>
      </c>
      <c r="I249" s="58" t="str">
        <f>IF(R249="","",VLOOKUP(R249,REGRAS!$B$2:$D$13,3,FALSE()))</f>
        <v>FUNIL</v>
      </c>
      <c r="J249" s="58"/>
      <c r="K249" s="58" t="str">
        <f t="shared" si="9"/>
        <v>EM ATENDIMENTO</v>
      </c>
      <c r="L249" s="58" t="str">
        <f t="shared" si="10"/>
        <v>🟡</v>
      </c>
      <c r="M249" s="58"/>
      <c r="N249" s="58" t="s">
        <v>146</v>
      </c>
      <c r="O249" s="58" t="s">
        <v>147</v>
      </c>
      <c r="P249" s="58" t="s">
        <v>149</v>
      </c>
      <c r="Q249" s="58" t="s">
        <v>35</v>
      </c>
      <c r="R249" s="58" t="s">
        <v>5</v>
      </c>
      <c r="S249" s="58"/>
      <c r="T249" s="71">
        <f>IF(R249="","",IF(OR(R249="SUPORTE",R249="PERDA / FECHOU LOJA"),"SEM",A249+VLOOKUP(R249,REGRAS!$B$2:$C$13,2,FALSE())))</f>
        <v>46062</v>
      </c>
      <c r="U249" s="58" t="str">
        <f t="shared" si="11"/>
        <v>PROSPECÇÃO</v>
      </c>
      <c r="V249" s="58"/>
      <c r="W249" s="58" t="s">
        <v>146</v>
      </c>
      <c r="X249" s="58"/>
    </row>
    <row r="250" spans="1:24" x14ac:dyDescent="0.3">
      <c r="A250" s="71">
        <v>46074</v>
      </c>
      <c r="B250" s="58" t="s">
        <v>141</v>
      </c>
      <c r="C250" s="58" t="s">
        <v>651</v>
      </c>
      <c r="D250" s="58" t="s">
        <v>842</v>
      </c>
      <c r="E250" s="58" t="s">
        <v>376</v>
      </c>
      <c r="F250" s="58" t="s">
        <v>298</v>
      </c>
      <c r="G250" s="58" t="s">
        <v>74</v>
      </c>
      <c r="H250" s="58">
        <v>59</v>
      </c>
      <c r="I250" s="58" t="str">
        <f>IF(R250="","",VLOOKUP(R250,REGRAS!$B$2:$D$13,3,FALSE()))</f>
        <v>FUNIL</v>
      </c>
      <c r="J250" s="58"/>
      <c r="K250" s="58" t="str">
        <f t="shared" si="9"/>
        <v>EM ATENDIMENTO</v>
      </c>
      <c r="L250" s="58" t="str">
        <f t="shared" si="10"/>
        <v>🟡</v>
      </c>
      <c r="M250" s="58"/>
      <c r="N250" s="58" t="s">
        <v>147</v>
      </c>
      <c r="O250" s="58" t="s">
        <v>147</v>
      </c>
      <c r="P250" s="58" t="s">
        <v>149</v>
      </c>
      <c r="Q250" s="58" t="s">
        <v>33</v>
      </c>
      <c r="R250" s="58" t="s">
        <v>5</v>
      </c>
      <c r="S250" s="58"/>
      <c r="T250" s="71">
        <f>IF(R250="","",IF(OR(R250="SUPORTE",R250="PERDA / FECHOU LOJA"),"SEM",A250+VLOOKUP(R250,REGRAS!$B$2:$C$13,2,FALSE())))</f>
        <v>46076</v>
      </c>
      <c r="U250" s="58" t="str">
        <f t="shared" si="11"/>
        <v>PROSPECÇÃO</v>
      </c>
      <c r="V250" s="58"/>
      <c r="W250" s="58" t="s">
        <v>147</v>
      </c>
      <c r="X250" s="58"/>
    </row>
    <row r="251" spans="1:24" x14ac:dyDescent="0.3">
      <c r="A251" s="71">
        <v>46078</v>
      </c>
      <c r="B251" s="58" t="s">
        <v>137</v>
      </c>
      <c r="C251" s="58" t="s">
        <v>843</v>
      </c>
      <c r="D251" s="58" t="s">
        <v>844</v>
      </c>
      <c r="E251" s="58" t="s">
        <v>381</v>
      </c>
      <c r="F251" s="58" t="s">
        <v>283</v>
      </c>
      <c r="G251" s="58" t="s">
        <v>79</v>
      </c>
      <c r="H251" s="58">
        <v>150</v>
      </c>
      <c r="I251" s="58" t="str">
        <f>IF(R251="","",VLOOKUP(R251,REGRAS!$B$2:$D$13,3,FALSE()))</f>
        <v>FUNIL</v>
      </c>
      <c r="J251" s="58"/>
      <c r="K251" s="58" t="str">
        <f t="shared" si="9"/>
        <v>PROSPECÇÃO</v>
      </c>
      <c r="L251" s="58" t="str">
        <f t="shared" si="10"/>
        <v>🔴</v>
      </c>
      <c r="M251" s="58"/>
      <c r="N251" s="58" t="s">
        <v>146</v>
      </c>
      <c r="O251" s="58" t="s">
        <v>146</v>
      </c>
      <c r="P251" s="58" t="s">
        <v>147</v>
      </c>
      <c r="Q251" s="58" t="s">
        <v>33</v>
      </c>
      <c r="R251" s="58" t="s">
        <v>10</v>
      </c>
      <c r="S251" s="58"/>
      <c r="T251" s="71">
        <f>IF(R251="","",IF(OR(R251="SUPORTE",R251="PERDA / FECHOU LOJA"),"SEM",A251+VLOOKUP(R251,REGRAS!$B$2:$C$13,2,FALSE())))</f>
        <v>46080</v>
      </c>
      <c r="U251" s="58" t="str">
        <f t="shared" si="11"/>
        <v>PROSPECÇÃO</v>
      </c>
      <c r="V251" s="58"/>
      <c r="W251" s="58" t="s">
        <v>146</v>
      </c>
      <c r="X251" s="58"/>
    </row>
    <row r="252" spans="1:24" x14ac:dyDescent="0.3">
      <c r="A252" s="71">
        <v>46069</v>
      </c>
      <c r="B252" s="58" t="s">
        <v>141</v>
      </c>
      <c r="C252" s="58" t="s">
        <v>845</v>
      </c>
      <c r="D252" s="58" t="s">
        <v>846</v>
      </c>
      <c r="E252" s="58" t="s">
        <v>346</v>
      </c>
      <c r="F252" s="58" t="s">
        <v>292</v>
      </c>
      <c r="G252" s="58" t="s">
        <v>71</v>
      </c>
      <c r="H252" s="58">
        <v>39</v>
      </c>
      <c r="I252" s="58" t="str">
        <f>IF(R252="","",VLOOKUP(R252,REGRAS!$B$2:$D$13,3,FALSE()))</f>
        <v>RELAC.</v>
      </c>
      <c r="J252" s="58"/>
      <c r="K252" s="58" t="str">
        <f t="shared" si="9"/>
        <v>CS</v>
      </c>
      <c r="L252" s="58" t="str">
        <f t="shared" si="10"/>
        <v>🟢</v>
      </c>
      <c r="M252" s="58"/>
      <c r="N252" s="58" t="s">
        <v>146</v>
      </c>
      <c r="O252" s="58" t="s">
        <v>147</v>
      </c>
      <c r="P252" s="58" t="s">
        <v>149</v>
      </c>
      <c r="Q252" s="58" t="s">
        <v>39</v>
      </c>
      <c r="R252" s="58" t="s">
        <v>14</v>
      </c>
      <c r="S252" s="58"/>
      <c r="T252" s="71">
        <f>IF(R252="","",IF(OR(R252="SUPORTE",R252="PERDA / FECHOU LOJA"),"SEM",A252+VLOOKUP(R252,REGRAS!$B$2:$C$13,2,FALSE())))</f>
        <v>46076</v>
      </c>
      <c r="U252" s="58" t="str">
        <f t="shared" si="11"/>
        <v>CS</v>
      </c>
      <c r="V252" s="58"/>
      <c r="W252" s="58" t="s">
        <v>147</v>
      </c>
      <c r="X252" s="58"/>
    </row>
    <row r="253" spans="1:24" x14ac:dyDescent="0.3">
      <c r="A253" s="71">
        <v>46056</v>
      </c>
      <c r="B253" s="58" t="s">
        <v>137</v>
      </c>
      <c r="C253" s="58" t="s">
        <v>847</v>
      </c>
      <c r="D253" s="58" t="s">
        <v>848</v>
      </c>
      <c r="E253" s="58" t="s">
        <v>346</v>
      </c>
      <c r="F253" s="58" t="s">
        <v>292</v>
      </c>
      <c r="G253" s="58" t="s">
        <v>71</v>
      </c>
      <c r="H253" s="58">
        <v>13</v>
      </c>
      <c r="I253" s="58" t="str">
        <f>IF(R253="","",VLOOKUP(R253,REGRAS!$B$2:$D$13,3,FALSE()))</f>
        <v>FUNIL</v>
      </c>
      <c r="J253" s="58"/>
      <c r="K253" s="58" t="str">
        <f t="shared" si="9"/>
        <v>PROSPECÇÃO</v>
      </c>
      <c r="L253" s="58" t="str">
        <f t="shared" si="10"/>
        <v>🟢</v>
      </c>
      <c r="M253" s="58"/>
      <c r="N253" s="58" t="s">
        <v>146</v>
      </c>
      <c r="O253" s="58" t="s">
        <v>146</v>
      </c>
      <c r="P253" s="58" t="s">
        <v>146</v>
      </c>
      <c r="Q253" s="58" t="s">
        <v>39</v>
      </c>
      <c r="R253" s="58" t="s">
        <v>8</v>
      </c>
      <c r="S253" s="58"/>
      <c r="T253" s="71">
        <f>IF(R253="","",IF(OR(R253="SUPORTE",R253="PERDA / FECHOU LOJA"),"SEM",A253+VLOOKUP(R253,REGRAS!$B$2:$C$13,2,FALSE())))</f>
        <v>46057</v>
      </c>
      <c r="U253" s="58" t="str">
        <f t="shared" si="11"/>
        <v>PROSPECÇÃO</v>
      </c>
      <c r="V253" s="58"/>
      <c r="W253" s="58" t="s">
        <v>146</v>
      </c>
      <c r="X253" s="58"/>
    </row>
    <row r="254" spans="1:24" x14ac:dyDescent="0.3">
      <c r="A254" s="71">
        <v>46073</v>
      </c>
      <c r="B254" s="58" t="s">
        <v>139</v>
      </c>
      <c r="C254" s="58" t="s">
        <v>849</v>
      </c>
      <c r="D254" s="58" t="s">
        <v>850</v>
      </c>
      <c r="E254" s="58" t="s">
        <v>376</v>
      </c>
      <c r="F254" s="58" t="s">
        <v>298</v>
      </c>
      <c r="G254" s="58" t="s">
        <v>71</v>
      </c>
      <c r="H254" s="58">
        <v>15</v>
      </c>
      <c r="I254" s="58" t="str">
        <f>IF(R254="","",VLOOKUP(R254,REGRAS!$B$2:$D$13,3,FALSE()))</f>
        <v>NÃO VENDA</v>
      </c>
      <c r="J254" s="58"/>
      <c r="K254" s="58" t="str">
        <f t="shared" si="9"/>
        <v>RECUPERAÇÃO</v>
      </c>
      <c r="L254" s="58" t="str">
        <f t="shared" si="10"/>
        <v>🟢</v>
      </c>
      <c r="M254" s="58"/>
      <c r="N254" s="58" t="s">
        <v>146</v>
      </c>
      <c r="O254" s="58" t="s">
        <v>146</v>
      </c>
      <c r="P254" s="58" t="s">
        <v>147</v>
      </c>
      <c r="Q254" s="58" t="s">
        <v>41</v>
      </c>
      <c r="R254" s="58" t="s">
        <v>26</v>
      </c>
      <c r="S254" s="58" t="s">
        <v>49</v>
      </c>
      <c r="T254" s="71">
        <f>IF(R254="","",IF(OR(R254="SUPORTE",R254="PERDA / FECHOU LOJA"),"SEM",A254+VLOOKUP(R254,REGRAS!$B$2:$C$13,2,FALSE())))</f>
        <v>46074</v>
      </c>
      <c r="U254" s="58" t="str">
        <f t="shared" si="11"/>
        <v>REATIVAÇÃO</v>
      </c>
      <c r="V254" s="58"/>
      <c r="W254" s="58" t="s">
        <v>146</v>
      </c>
      <c r="X254" s="58"/>
    </row>
    <row r="255" spans="1:24" x14ac:dyDescent="0.3">
      <c r="A255" s="71">
        <v>46072</v>
      </c>
      <c r="B255" s="58" t="s">
        <v>135</v>
      </c>
      <c r="C255" s="58" t="s">
        <v>851</v>
      </c>
      <c r="D255" s="58" t="s">
        <v>852</v>
      </c>
      <c r="E255" s="58" t="s">
        <v>335</v>
      </c>
      <c r="F255" s="58" t="s">
        <v>292</v>
      </c>
      <c r="G255" s="58" t="s">
        <v>79</v>
      </c>
      <c r="H255" s="58">
        <v>163</v>
      </c>
      <c r="I255" s="58" t="str">
        <f>IF(R255="","",VLOOKUP(R255,REGRAS!$B$2:$D$13,3,FALSE()))</f>
        <v>NÃO VENDA</v>
      </c>
      <c r="J255" s="58"/>
      <c r="K255" s="58" t="str">
        <f t="shared" si="9"/>
        <v>NUTRIÇÃO</v>
      </c>
      <c r="L255" s="58" t="str">
        <f t="shared" si="10"/>
        <v>🔴</v>
      </c>
      <c r="M255" s="58"/>
      <c r="N255" s="58" t="s">
        <v>146</v>
      </c>
      <c r="O255" s="58" t="s">
        <v>147</v>
      </c>
      <c r="P255" s="58" t="s">
        <v>149</v>
      </c>
      <c r="Q255" s="58" t="s">
        <v>45</v>
      </c>
      <c r="R255" s="58" t="s">
        <v>30</v>
      </c>
      <c r="S255" s="58" t="s">
        <v>55</v>
      </c>
      <c r="T255" s="71" t="str">
        <f>IF(R255="","",IF(OR(R255="SUPORTE",R255="PERDA / FECHOU LOJA"),"SEM",A255+VLOOKUP(R255,REGRAS!$B$2:$C$13,2,FALSE())))</f>
        <v>SEM</v>
      </c>
      <c r="U255" s="58" t="str">
        <f t="shared" si="11"/>
        <v>NUTRIÇÃO</v>
      </c>
      <c r="V255" s="58"/>
      <c r="W255" s="58" t="s">
        <v>146</v>
      </c>
      <c r="X255" s="58"/>
    </row>
    <row r="256" spans="1:24" x14ac:dyDescent="0.3">
      <c r="A256" s="71">
        <v>46067</v>
      </c>
      <c r="B256" s="58" t="s">
        <v>139</v>
      </c>
      <c r="C256" s="58" t="s">
        <v>853</v>
      </c>
      <c r="D256" s="58" t="s">
        <v>854</v>
      </c>
      <c r="E256" s="58" t="s">
        <v>332</v>
      </c>
      <c r="F256" s="58" t="s">
        <v>297</v>
      </c>
      <c r="G256" s="58" t="s">
        <v>85</v>
      </c>
      <c r="H256" s="58"/>
      <c r="I256" s="58" t="str">
        <f>IF(R256="","",VLOOKUP(R256,REGRAS!$B$2:$D$13,3,FALSE()))</f>
        <v>FUNIL</v>
      </c>
      <c r="J256" s="58"/>
      <c r="K256" s="58" t="str">
        <f t="shared" si="9"/>
        <v>RECOMPRA</v>
      </c>
      <c r="L256" s="58" t="str">
        <f t="shared" si="10"/>
        <v/>
      </c>
      <c r="M256" s="58"/>
      <c r="N256" s="58" t="s">
        <v>146</v>
      </c>
      <c r="O256" s="58" t="s">
        <v>146</v>
      </c>
      <c r="P256" s="58" t="s">
        <v>146</v>
      </c>
      <c r="Q256" s="58" t="s">
        <v>39</v>
      </c>
      <c r="R256" s="58" t="s">
        <v>12</v>
      </c>
      <c r="S256" s="58"/>
      <c r="T256" s="71">
        <f>IF(R256="","",IF(OR(R256="SUPORTE",R256="PERDA / FECHOU LOJA"),"SEM",A256+VLOOKUP(R256,REGRAS!$B$2:$C$13,2,FALSE())))</f>
        <v>46112</v>
      </c>
      <c r="U256" s="58" t="str">
        <f t="shared" si="11"/>
        <v>RECOMPRA</v>
      </c>
      <c r="V256" s="58"/>
      <c r="W256" s="58" t="s">
        <v>146</v>
      </c>
      <c r="X256" s="58"/>
    </row>
    <row r="257" spans="1:24" x14ac:dyDescent="0.3">
      <c r="A257" s="71">
        <v>46070</v>
      </c>
      <c r="B257" s="58" t="s">
        <v>139</v>
      </c>
      <c r="C257" s="58" t="s">
        <v>855</v>
      </c>
      <c r="D257" s="58" t="s">
        <v>856</v>
      </c>
      <c r="E257" s="58" t="s">
        <v>361</v>
      </c>
      <c r="F257" s="58" t="s">
        <v>296</v>
      </c>
      <c r="G257" s="58" t="s">
        <v>79</v>
      </c>
      <c r="H257" s="58">
        <v>114</v>
      </c>
      <c r="I257" s="58" t="str">
        <f>IF(R257="","",VLOOKUP(R257,REGRAS!$B$2:$D$13,3,FALSE()))</f>
        <v>FUNIL</v>
      </c>
      <c r="J257" s="58"/>
      <c r="K257" s="58" t="str">
        <f t="shared" si="9"/>
        <v>RECOMPRA</v>
      </c>
      <c r="L257" s="58" t="str">
        <f t="shared" si="10"/>
        <v>🔴</v>
      </c>
      <c r="M257" s="58"/>
      <c r="N257" s="58" t="s">
        <v>146</v>
      </c>
      <c r="O257" s="58" t="s">
        <v>147</v>
      </c>
      <c r="P257" s="58" t="s">
        <v>149</v>
      </c>
      <c r="Q257" s="58" t="s">
        <v>39</v>
      </c>
      <c r="R257" s="58" t="s">
        <v>12</v>
      </c>
      <c r="S257" s="58"/>
      <c r="T257" s="71">
        <f>IF(R257="","",IF(OR(R257="SUPORTE",R257="PERDA / FECHOU LOJA"),"SEM",A257+VLOOKUP(R257,REGRAS!$B$2:$C$13,2,FALSE())))</f>
        <v>46115</v>
      </c>
      <c r="U257" s="58" t="str">
        <f t="shared" si="11"/>
        <v>RECOMPRA</v>
      </c>
      <c r="V257" s="58"/>
      <c r="W257" s="58" t="s">
        <v>147</v>
      </c>
      <c r="X257" s="58"/>
    </row>
    <row r="258" spans="1:24" x14ac:dyDescent="0.3">
      <c r="A258" s="71">
        <v>46078</v>
      </c>
      <c r="B258" s="58" t="s">
        <v>139</v>
      </c>
      <c r="C258" s="58" t="s">
        <v>857</v>
      </c>
      <c r="D258" s="58" t="s">
        <v>858</v>
      </c>
      <c r="E258" s="58" t="s">
        <v>376</v>
      </c>
      <c r="F258" s="58" t="s">
        <v>289</v>
      </c>
      <c r="G258" s="58" t="s">
        <v>82</v>
      </c>
      <c r="H258" s="58"/>
      <c r="I258" s="58" t="str">
        <f>IF(R258="","",VLOOKUP(R258,REGRAS!$B$2:$D$13,3,FALSE()))</f>
        <v>RELAC.</v>
      </c>
      <c r="J258" s="58"/>
      <c r="K258" s="58" t="str">
        <f t="shared" si="9"/>
        <v>SALVAMENTO</v>
      </c>
      <c r="L258" s="58" t="str">
        <f t="shared" si="10"/>
        <v/>
      </c>
      <c r="M258" s="58"/>
      <c r="N258" s="58" t="s">
        <v>146</v>
      </c>
      <c r="O258" s="58" t="s">
        <v>147</v>
      </c>
      <c r="P258" s="58" t="s">
        <v>149</v>
      </c>
      <c r="Q258" s="58" t="s">
        <v>43</v>
      </c>
      <c r="R258" s="58" t="s">
        <v>17</v>
      </c>
      <c r="S258" s="58" t="s">
        <v>61</v>
      </c>
      <c r="T258" s="71">
        <f>IF(R258="","",IF(OR(R258="SUPORTE",R258="PERDA / FECHOU LOJA"),"SEM",A258+VLOOKUP(R258,REGRAS!$B$2:$C$13,2,FALSE())))</f>
        <v>46085</v>
      </c>
      <c r="U258" s="58" t="str">
        <f t="shared" si="11"/>
        <v>SALVAMENTO</v>
      </c>
      <c r="V258" s="58"/>
      <c r="W258" s="58" t="s">
        <v>147</v>
      </c>
      <c r="X258" s="58"/>
    </row>
    <row r="259" spans="1:24" x14ac:dyDescent="0.3">
      <c r="A259" s="71">
        <v>46057</v>
      </c>
      <c r="B259" s="58" t="s">
        <v>137</v>
      </c>
      <c r="C259" s="58" t="s">
        <v>859</v>
      </c>
      <c r="D259" s="58" t="s">
        <v>860</v>
      </c>
      <c r="E259" s="58" t="s">
        <v>361</v>
      </c>
      <c r="F259" s="58" t="s">
        <v>286</v>
      </c>
      <c r="G259" s="58" t="s">
        <v>71</v>
      </c>
      <c r="H259" s="58">
        <v>50</v>
      </c>
      <c r="I259" s="58" t="str">
        <f>IF(R259="","",VLOOKUP(R259,REGRAS!$B$2:$D$13,3,FALSE()))</f>
        <v>FUNIL</v>
      </c>
      <c r="J259" s="58"/>
      <c r="K259" s="58" t="str">
        <f t="shared" si="9"/>
        <v>EM ATENDIMENTO</v>
      </c>
      <c r="L259" s="58" t="str">
        <f t="shared" si="10"/>
        <v>🟢</v>
      </c>
      <c r="M259" s="58"/>
      <c r="N259" s="58" t="s">
        <v>146</v>
      </c>
      <c r="O259" s="58" t="s">
        <v>147</v>
      </c>
      <c r="P259" s="58" t="s">
        <v>149</v>
      </c>
      <c r="Q259" s="58" t="s">
        <v>41</v>
      </c>
      <c r="R259" s="58" t="s">
        <v>5</v>
      </c>
      <c r="S259" s="58"/>
      <c r="T259" s="71">
        <f>IF(R259="","",IF(OR(R259="SUPORTE",R259="PERDA / FECHOU LOJA"),"SEM",A259+VLOOKUP(R259,REGRAS!$B$2:$C$13,2,FALSE())))</f>
        <v>46059</v>
      </c>
      <c r="U259" s="58" t="str">
        <f t="shared" si="11"/>
        <v>PROSPECÇÃO</v>
      </c>
      <c r="V259" s="58"/>
      <c r="W259" s="58" t="s">
        <v>146</v>
      </c>
      <c r="X259" s="58"/>
    </row>
    <row r="260" spans="1:24" x14ac:dyDescent="0.3">
      <c r="A260" s="71">
        <v>46060</v>
      </c>
      <c r="B260" s="58" t="s">
        <v>139</v>
      </c>
      <c r="C260" s="58" t="s">
        <v>861</v>
      </c>
      <c r="D260" s="58" t="s">
        <v>862</v>
      </c>
      <c r="E260" s="58" t="s">
        <v>335</v>
      </c>
      <c r="F260" s="58" t="s">
        <v>295</v>
      </c>
      <c r="G260" s="58" t="s">
        <v>77</v>
      </c>
      <c r="H260" s="58">
        <v>79</v>
      </c>
      <c r="I260" s="58" t="str">
        <f>IF(R260="","",VLOOKUP(R260,REGRAS!$B$2:$D$13,3,FALSE()))</f>
        <v>FUNIL</v>
      </c>
      <c r="J260" s="58"/>
      <c r="K260" s="58" t="str">
        <f t="shared" ref="K260:K323" si="12">IF(R260="","",IF(R260="VENDA / PEDIDO","RECOMPRA",IF(R260="SUPORTE","PÓS-VENDA",IF(OR(R260="FOLLOW UP 7",R260="FOLLOW UP 15"),"SALVAMENTO",IF(R260="PERDA / FECHOU LOJA","NUTRIÇÃO",IF(R260="RELACIONAMENTO","CS",IF(OR(R260="ORÇAMENTO",R260="CADASTRO"),"PROSPECÇÃO",IF(R260="EM ATENDIMENTO","EM ATENDIMENTO",IF(OR(R260="NÃO ATENDE",R260="NÃO RESPONDE",R260="RECUSOU LIGAÇÃO"),"RECUPERAÇÃO","")))))))))</f>
        <v>PROSPECÇÃO</v>
      </c>
      <c r="L260" s="58" t="str">
        <f t="shared" ref="L260:L323" si="13">IF(H260="","",IF(G260="PROSPECT","🟣",IF(G260="LEAD","🟣",IF(G260="NOVO","🟢",IF(H260&lt;=50,"🟢",IF(H260&lt;=90,"🟡","🔴"))))))</f>
        <v>🟡</v>
      </c>
      <c r="M260" s="58"/>
      <c r="N260" s="58" t="s">
        <v>146</v>
      </c>
      <c r="O260" s="58" t="s">
        <v>147</v>
      </c>
      <c r="P260" s="58" t="s">
        <v>149</v>
      </c>
      <c r="Q260" s="58" t="s">
        <v>37</v>
      </c>
      <c r="R260" s="58" t="s">
        <v>8</v>
      </c>
      <c r="S260" s="58"/>
      <c r="T260" s="71">
        <f>IF(R260="","",IF(OR(R260="SUPORTE",R260="PERDA / FECHOU LOJA"),"SEM",A260+VLOOKUP(R260,REGRAS!$B$2:$C$13,2,FALSE())))</f>
        <v>46061</v>
      </c>
      <c r="U260" s="58" t="str">
        <f t="shared" ref="U260:U323" si="14">IF(R260="","",IF(R260="VENDA / PEDIDO","RECOMPRA",IF(R260="SUPORTE","PÓS-VENDA",IF(R260="RELACIONAMENTO","CS",IF(OR(R260="NÃO ATENDE",R260="NÃO RESPONDE",R260="RECUSOU LIGAÇÃO"),"REATIVAÇÃO",IF(R260="PERDA / FECHOU LOJA","NUTRIÇÃO",IF(OR(R260="FOLLOW UP 7",R260="FOLLOW UP 15"),"SALVAMENTO","PROSPECÇÃO")))))))</f>
        <v>PROSPECÇÃO</v>
      </c>
      <c r="V260" s="58"/>
      <c r="W260" s="58" t="s">
        <v>146</v>
      </c>
      <c r="X260" s="58"/>
    </row>
    <row r="261" spans="1:24" x14ac:dyDescent="0.3">
      <c r="A261" s="71">
        <v>46079</v>
      </c>
      <c r="B261" s="58" t="s">
        <v>137</v>
      </c>
      <c r="C261" s="58" t="s">
        <v>863</v>
      </c>
      <c r="D261" s="58" t="s">
        <v>864</v>
      </c>
      <c r="E261" s="58" t="s">
        <v>335</v>
      </c>
      <c r="F261" s="58" t="s">
        <v>292</v>
      </c>
      <c r="G261" s="58" t="s">
        <v>74</v>
      </c>
      <c r="H261" s="58">
        <v>53</v>
      </c>
      <c r="I261" s="58" t="str">
        <f>IF(R261="","",VLOOKUP(R261,REGRAS!$B$2:$D$13,3,FALSE()))</f>
        <v>RELAC.</v>
      </c>
      <c r="J261" s="58"/>
      <c r="K261" s="58" t="str">
        <f t="shared" si="12"/>
        <v>PÓS-VENDA</v>
      </c>
      <c r="L261" s="58" t="str">
        <f t="shared" si="13"/>
        <v>🟡</v>
      </c>
      <c r="M261" s="58"/>
      <c r="N261" s="58" t="s">
        <v>147</v>
      </c>
      <c r="O261" s="58" t="s">
        <v>146</v>
      </c>
      <c r="P261" s="58" t="s">
        <v>147</v>
      </c>
      <c r="Q261" s="58" t="s">
        <v>43</v>
      </c>
      <c r="R261" s="58" t="s">
        <v>21</v>
      </c>
      <c r="S261" s="58"/>
      <c r="T261" s="71" t="str">
        <f>IF(R261="","",IF(OR(R261="SUPORTE",R261="PERDA / FECHOU LOJA"),"SEM",A261+VLOOKUP(R261,REGRAS!$B$2:$C$13,2,FALSE())))</f>
        <v>SEM</v>
      </c>
      <c r="U261" s="58" t="str">
        <f t="shared" si="14"/>
        <v>PÓS-VENDA</v>
      </c>
      <c r="V261" s="58"/>
      <c r="W261" s="58" t="s">
        <v>146</v>
      </c>
      <c r="X261" s="58"/>
    </row>
    <row r="262" spans="1:24" x14ac:dyDescent="0.3">
      <c r="A262" s="71">
        <v>46060</v>
      </c>
      <c r="B262" s="58" t="s">
        <v>137</v>
      </c>
      <c r="C262" s="58" t="s">
        <v>865</v>
      </c>
      <c r="D262" s="58" t="s">
        <v>866</v>
      </c>
      <c r="E262" s="58" t="s">
        <v>366</v>
      </c>
      <c r="F262" s="58" t="s">
        <v>297</v>
      </c>
      <c r="G262" s="58" t="s">
        <v>82</v>
      </c>
      <c r="H262" s="58"/>
      <c r="I262" s="58" t="str">
        <f>IF(R262="","",VLOOKUP(R262,REGRAS!$B$2:$D$13,3,FALSE()))</f>
        <v>RELAC.</v>
      </c>
      <c r="J262" s="58"/>
      <c r="K262" s="58" t="str">
        <f t="shared" si="12"/>
        <v>SALVAMENTO</v>
      </c>
      <c r="L262" s="58" t="str">
        <f t="shared" si="13"/>
        <v/>
      </c>
      <c r="M262" s="58"/>
      <c r="N262" s="58" t="s">
        <v>146</v>
      </c>
      <c r="O262" s="58" t="s">
        <v>146</v>
      </c>
      <c r="P262" s="58" t="s">
        <v>146</v>
      </c>
      <c r="Q262" s="58" t="s">
        <v>43</v>
      </c>
      <c r="R262" s="58" t="s">
        <v>19</v>
      </c>
      <c r="S262" s="58" t="s">
        <v>51</v>
      </c>
      <c r="T262" s="71">
        <f>IF(R262="","",IF(OR(R262="SUPORTE",R262="PERDA / FECHOU LOJA"),"SEM",A262+VLOOKUP(R262,REGRAS!$B$2:$C$13,2,FALSE())))</f>
        <v>46075</v>
      </c>
      <c r="U262" s="58" t="str">
        <f t="shared" si="14"/>
        <v>SALVAMENTO</v>
      </c>
      <c r="V262" s="58"/>
      <c r="W262" s="58" t="s">
        <v>146</v>
      </c>
      <c r="X262" s="58"/>
    </row>
    <row r="263" spans="1:24" x14ac:dyDescent="0.3">
      <c r="A263" s="71">
        <v>46077</v>
      </c>
      <c r="B263" s="58" t="s">
        <v>137</v>
      </c>
      <c r="C263" s="58" t="s">
        <v>867</v>
      </c>
      <c r="D263" s="58" t="s">
        <v>868</v>
      </c>
      <c r="E263" s="58" t="s">
        <v>369</v>
      </c>
      <c r="F263" s="58" t="s">
        <v>292</v>
      </c>
      <c r="G263" s="58" t="s">
        <v>79</v>
      </c>
      <c r="H263" s="58">
        <v>203</v>
      </c>
      <c r="I263" s="58" t="str">
        <f>IF(R263="","",VLOOKUP(R263,REGRAS!$B$2:$D$13,3,FALSE()))</f>
        <v>NÃO VENDA</v>
      </c>
      <c r="J263" s="58"/>
      <c r="K263" s="58" t="str">
        <f t="shared" si="12"/>
        <v>RECUPERAÇÃO</v>
      </c>
      <c r="L263" s="58" t="str">
        <f t="shared" si="13"/>
        <v>🔴</v>
      </c>
      <c r="M263" s="58"/>
      <c r="N263" s="58" t="s">
        <v>147</v>
      </c>
      <c r="O263" s="58" t="s">
        <v>147</v>
      </c>
      <c r="P263" s="58" t="s">
        <v>149</v>
      </c>
      <c r="Q263" s="58" t="s">
        <v>33</v>
      </c>
      <c r="R263" s="58" t="s">
        <v>28</v>
      </c>
      <c r="S263" s="58" t="s">
        <v>49</v>
      </c>
      <c r="T263" s="71">
        <f>IF(R263="","",IF(OR(R263="SUPORTE",R263="PERDA / FECHOU LOJA"),"SEM",A263+VLOOKUP(R263,REGRAS!$B$2:$C$13,2,FALSE())))</f>
        <v>46079</v>
      </c>
      <c r="U263" s="58" t="str">
        <f t="shared" si="14"/>
        <v>REATIVAÇÃO</v>
      </c>
      <c r="V263" s="58"/>
      <c r="W263" s="58" t="s">
        <v>147</v>
      </c>
      <c r="X263" s="58"/>
    </row>
    <row r="264" spans="1:24" x14ac:dyDescent="0.3">
      <c r="A264" s="71">
        <v>46070</v>
      </c>
      <c r="B264" s="58" t="s">
        <v>137</v>
      </c>
      <c r="C264" s="58" t="s">
        <v>869</v>
      </c>
      <c r="D264" s="58" t="s">
        <v>870</v>
      </c>
      <c r="E264" s="58" t="s">
        <v>335</v>
      </c>
      <c r="F264" s="58" t="s">
        <v>292</v>
      </c>
      <c r="G264" s="58" t="s">
        <v>71</v>
      </c>
      <c r="H264" s="58">
        <v>22</v>
      </c>
      <c r="I264" s="58" t="str">
        <f>IF(R264="","",VLOOKUP(R264,REGRAS!$B$2:$D$13,3,FALSE()))</f>
        <v>RELAC.</v>
      </c>
      <c r="J264" s="58"/>
      <c r="K264" s="58" t="str">
        <f t="shared" si="12"/>
        <v>SALVAMENTO</v>
      </c>
      <c r="L264" s="58" t="str">
        <f t="shared" si="13"/>
        <v>🟢</v>
      </c>
      <c r="M264" s="58"/>
      <c r="N264" s="58" t="s">
        <v>146</v>
      </c>
      <c r="O264" s="58" t="s">
        <v>147</v>
      </c>
      <c r="P264" s="58" t="s">
        <v>149</v>
      </c>
      <c r="Q264" s="58" t="s">
        <v>43</v>
      </c>
      <c r="R264" s="58" t="s">
        <v>17</v>
      </c>
      <c r="S264" s="58" t="s">
        <v>55</v>
      </c>
      <c r="T264" s="71">
        <f>IF(R264="","",IF(OR(R264="SUPORTE",R264="PERDA / FECHOU LOJA"),"SEM",A264+VLOOKUP(R264,REGRAS!$B$2:$C$13,2,FALSE())))</f>
        <v>46077</v>
      </c>
      <c r="U264" s="58" t="str">
        <f t="shared" si="14"/>
        <v>SALVAMENTO</v>
      </c>
      <c r="V264" s="58"/>
      <c r="W264" s="58" t="s">
        <v>147</v>
      </c>
      <c r="X264" s="58"/>
    </row>
    <row r="265" spans="1:24" x14ac:dyDescent="0.3">
      <c r="A265" s="71">
        <v>46056</v>
      </c>
      <c r="B265" s="58" t="s">
        <v>141</v>
      </c>
      <c r="C265" s="58" t="s">
        <v>871</v>
      </c>
      <c r="D265" s="58" t="s">
        <v>872</v>
      </c>
      <c r="E265" s="58" t="s">
        <v>332</v>
      </c>
      <c r="F265" s="58" t="s">
        <v>292</v>
      </c>
      <c r="G265" s="58" t="s">
        <v>74</v>
      </c>
      <c r="H265" s="58">
        <v>57</v>
      </c>
      <c r="I265" s="58" t="str">
        <f>IF(R265="","",VLOOKUP(R265,REGRAS!$B$2:$D$13,3,FALSE()))</f>
        <v>FUNIL</v>
      </c>
      <c r="J265" s="58"/>
      <c r="K265" s="58" t="str">
        <f t="shared" si="12"/>
        <v>PROSPECÇÃO</v>
      </c>
      <c r="L265" s="58" t="str">
        <f t="shared" si="13"/>
        <v>🟡</v>
      </c>
      <c r="M265" s="58"/>
      <c r="N265" s="58" t="s">
        <v>146</v>
      </c>
      <c r="O265" s="58" t="s">
        <v>146</v>
      </c>
      <c r="P265" s="58" t="s">
        <v>146</v>
      </c>
      <c r="Q265" s="58" t="s">
        <v>39</v>
      </c>
      <c r="R265" s="58" t="s">
        <v>8</v>
      </c>
      <c r="S265" s="58"/>
      <c r="T265" s="71">
        <f>IF(R265="","",IF(OR(R265="SUPORTE",R265="PERDA / FECHOU LOJA"),"SEM",A265+VLOOKUP(R265,REGRAS!$B$2:$C$13,2,FALSE())))</f>
        <v>46057</v>
      </c>
      <c r="U265" s="58" t="str">
        <f t="shared" si="14"/>
        <v>PROSPECÇÃO</v>
      </c>
      <c r="V265" s="58"/>
      <c r="W265" s="58" t="s">
        <v>146</v>
      </c>
      <c r="X265" s="58"/>
    </row>
    <row r="266" spans="1:24" x14ac:dyDescent="0.3">
      <c r="A266" s="71">
        <v>46057</v>
      </c>
      <c r="B266" s="58" t="s">
        <v>141</v>
      </c>
      <c r="C266" s="58" t="s">
        <v>873</v>
      </c>
      <c r="D266" s="58" t="s">
        <v>874</v>
      </c>
      <c r="E266" s="58" t="s">
        <v>335</v>
      </c>
      <c r="F266" s="58" t="s">
        <v>292</v>
      </c>
      <c r="G266" s="58" t="s">
        <v>79</v>
      </c>
      <c r="H266" s="58">
        <v>289</v>
      </c>
      <c r="I266" s="58" t="str">
        <f>IF(R266="","",VLOOKUP(R266,REGRAS!$B$2:$D$13,3,FALSE()))</f>
        <v>RELAC.</v>
      </c>
      <c r="J266" s="58"/>
      <c r="K266" s="58" t="str">
        <f t="shared" si="12"/>
        <v>CS</v>
      </c>
      <c r="L266" s="58" t="str">
        <f t="shared" si="13"/>
        <v>🔴</v>
      </c>
      <c r="M266" s="58"/>
      <c r="N266" s="58" t="s">
        <v>146</v>
      </c>
      <c r="O266" s="58" t="s">
        <v>146</v>
      </c>
      <c r="P266" s="58" t="s">
        <v>146</v>
      </c>
      <c r="Q266" s="58" t="s">
        <v>39</v>
      </c>
      <c r="R266" s="58" t="s">
        <v>14</v>
      </c>
      <c r="S266" s="58"/>
      <c r="T266" s="71">
        <f>IF(R266="","",IF(OR(R266="SUPORTE",R266="PERDA / FECHOU LOJA"),"SEM",A266+VLOOKUP(R266,REGRAS!$B$2:$C$13,2,FALSE())))</f>
        <v>46064</v>
      </c>
      <c r="U266" s="58" t="str">
        <f t="shared" si="14"/>
        <v>CS</v>
      </c>
      <c r="V266" s="58"/>
      <c r="W266" s="58" t="s">
        <v>146</v>
      </c>
      <c r="X266" s="58"/>
    </row>
    <row r="267" spans="1:24" x14ac:dyDescent="0.3">
      <c r="A267" s="71">
        <v>46074</v>
      </c>
      <c r="B267" s="58" t="s">
        <v>141</v>
      </c>
      <c r="C267" s="58" t="s">
        <v>759</v>
      </c>
      <c r="D267" s="58" t="s">
        <v>875</v>
      </c>
      <c r="E267" s="58" t="s">
        <v>369</v>
      </c>
      <c r="F267" s="58" t="s">
        <v>298</v>
      </c>
      <c r="G267" s="58" t="s">
        <v>71</v>
      </c>
      <c r="H267" s="58">
        <v>21</v>
      </c>
      <c r="I267" s="58" t="str">
        <f>IF(R267="","",VLOOKUP(R267,REGRAS!$B$2:$D$13,3,FALSE()))</f>
        <v>FUNIL</v>
      </c>
      <c r="J267" s="58"/>
      <c r="K267" s="58" t="str">
        <f t="shared" si="12"/>
        <v>EM ATENDIMENTO</v>
      </c>
      <c r="L267" s="58" t="str">
        <f t="shared" si="13"/>
        <v>🟢</v>
      </c>
      <c r="M267" s="58"/>
      <c r="N267" s="58" t="s">
        <v>146</v>
      </c>
      <c r="O267" s="58" t="s">
        <v>147</v>
      </c>
      <c r="P267" s="58" t="s">
        <v>149</v>
      </c>
      <c r="Q267" s="58" t="s">
        <v>35</v>
      </c>
      <c r="R267" s="58" t="s">
        <v>5</v>
      </c>
      <c r="S267" s="58"/>
      <c r="T267" s="71">
        <f>IF(R267="","",IF(OR(R267="SUPORTE",R267="PERDA / FECHOU LOJA"),"SEM",A267+VLOOKUP(R267,REGRAS!$B$2:$C$13,2,FALSE())))</f>
        <v>46076</v>
      </c>
      <c r="U267" s="58" t="str">
        <f t="shared" si="14"/>
        <v>PROSPECÇÃO</v>
      </c>
      <c r="V267" s="58"/>
      <c r="W267" s="58" t="s">
        <v>146</v>
      </c>
      <c r="X267" s="58"/>
    </row>
    <row r="268" spans="1:24" x14ac:dyDescent="0.3">
      <c r="A268" s="71">
        <v>46059</v>
      </c>
      <c r="B268" s="58" t="s">
        <v>137</v>
      </c>
      <c r="C268" s="58" t="s">
        <v>876</v>
      </c>
      <c r="D268" s="58" t="s">
        <v>877</v>
      </c>
      <c r="E268" s="58" t="s">
        <v>340</v>
      </c>
      <c r="F268" s="58" t="s">
        <v>289</v>
      </c>
      <c r="G268" s="58" t="s">
        <v>71</v>
      </c>
      <c r="H268" s="58">
        <v>21</v>
      </c>
      <c r="I268" s="58" t="str">
        <f>IF(R268="","",VLOOKUP(R268,REGRAS!$B$2:$D$13,3,FALSE()))</f>
        <v>FUNIL</v>
      </c>
      <c r="J268" s="58"/>
      <c r="K268" s="58" t="str">
        <f t="shared" si="12"/>
        <v>PROSPECÇÃO</v>
      </c>
      <c r="L268" s="58" t="str">
        <f t="shared" si="13"/>
        <v>🟢</v>
      </c>
      <c r="M268" s="58"/>
      <c r="N268" s="58" t="s">
        <v>146</v>
      </c>
      <c r="O268" s="58" t="s">
        <v>147</v>
      </c>
      <c r="P268" s="58" t="s">
        <v>149</v>
      </c>
      <c r="Q268" s="58" t="s">
        <v>35</v>
      </c>
      <c r="R268" s="58" t="s">
        <v>8</v>
      </c>
      <c r="S268" s="58"/>
      <c r="T268" s="71">
        <f>IF(R268="","",IF(OR(R268="SUPORTE",R268="PERDA / FECHOU LOJA"),"SEM",A268+VLOOKUP(R268,REGRAS!$B$2:$C$13,2,FALSE())))</f>
        <v>46060</v>
      </c>
      <c r="U268" s="58" t="str">
        <f t="shared" si="14"/>
        <v>PROSPECÇÃO</v>
      </c>
      <c r="V268" s="58"/>
      <c r="W268" s="58" t="s">
        <v>146</v>
      </c>
      <c r="X268" s="58"/>
    </row>
    <row r="269" spans="1:24" x14ac:dyDescent="0.3">
      <c r="A269" s="71">
        <v>46057</v>
      </c>
      <c r="B269" s="58" t="s">
        <v>135</v>
      </c>
      <c r="C269" s="58" t="s">
        <v>878</v>
      </c>
      <c r="D269" s="58" t="s">
        <v>879</v>
      </c>
      <c r="E269" s="58" t="s">
        <v>369</v>
      </c>
      <c r="F269" s="58" t="s">
        <v>292</v>
      </c>
      <c r="G269" s="58" t="s">
        <v>74</v>
      </c>
      <c r="H269" s="58">
        <v>56</v>
      </c>
      <c r="I269" s="58" t="str">
        <f>IF(R269="","",VLOOKUP(R269,REGRAS!$B$2:$D$13,3,FALSE()))</f>
        <v>NÃO VENDA</v>
      </c>
      <c r="J269" s="58"/>
      <c r="K269" s="58" t="str">
        <f t="shared" si="12"/>
        <v>RECUPERAÇÃO</v>
      </c>
      <c r="L269" s="58" t="str">
        <f t="shared" si="13"/>
        <v>🟡</v>
      </c>
      <c r="M269" s="58"/>
      <c r="N269" s="58" t="s">
        <v>147</v>
      </c>
      <c r="O269" s="58" t="s">
        <v>147</v>
      </c>
      <c r="P269" s="58" t="s">
        <v>149</v>
      </c>
      <c r="Q269" s="58" t="s">
        <v>39</v>
      </c>
      <c r="R269" s="58" t="s">
        <v>23</v>
      </c>
      <c r="S269" s="58" t="s">
        <v>55</v>
      </c>
      <c r="T269" s="71">
        <f>IF(R269="","",IF(OR(R269="SUPORTE",R269="PERDA / FECHOU LOJA"),"SEM",A269+VLOOKUP(R269,REGRAS!$B$2:$C$13,2,FALSE())))</f>
        <v>46058</v>
      </c>
      <c r="U269" s="58" t="str">
        <f t="shared" si="14"/>
        <v>REATIVAÇÃO</v>
      </c>
      <c r="V269" s="58"/>
      <c r="W269" s="58" t="s">
        <v>147</v>
      </c>
      <c r="X269" s="58"/>
    </row>
    <row r="270" spans="1:24" x14ac:dyDescent="0.3">
      <c r="A270" s="71">
        <v>46070</v>
      </c>
      <c r="B270" s="58" t="s">
        <v>135</v>
      </c>
      <c r="C270" s="58" t="s">
        <v>880</v>
      </c>
      <c r="D270" s="58" t="s">
        <v>881</v>
      </c>
      <c r="E270" s="58" t="s">
        <v>376</v>
      </c>
      <c r="F270" s="58" t="s">
        <v>296</v>
      </c>
      <c r="G270" s="58" t="s">
        <v>77</v>
      </c>
      <c r="H270" s="58">
        <v>73</v>
      </c>
      <c r="I270" s="58" t="str">
        <f>IF(R270="","",VLOOKUP(R270,REGRAS!$B$2:$D$13,3,FALSE()))</f>
        <v>FUNIL</v>
      </c>
      <c r="J270" s="58"/>
      <c r="K270" s="58" t="str">
        <f t="shared" si="12"/>
        <v>RECOMPRA</v>
      </c>
      <c r="L270" s="58" t="str">
        <f t="shared" si="13"/>
        <v>🟡</v>
      </c>
      <c r="M270" s="58"/>
      <c r="N270" s="58" t="s">
        <v>146</v>
      </c>
      <c r="O270" s="58" t="s">
        <v>146</v>
      </c>
      <c r="P270" s="58" t="s">
        <v>146</v>
      </c>
      <c r="Q270" s="58" t="s">
        <v>43</v>
      </c>
      <c r="R270" s="58" t="s">
        <v>12</v>
      </c>
      <c r="S270" s="58"/>
      <c r="T270" s="71">
        <f>IF(R270="","",IF(OR(R270="SUPORTE",R270="PERDA / FECHOU LOJA"),"SEM",A270+VLOOKUP(R270,REGRAS!$B$2:$C$13,2,FALSE())))</f>
        <v>46115</v>
      </c>
      <c r="U270" s="58" t="str">
        <f t="shared" si="14"/>
        <v>RECOMPRA</v>
      </c>
      <c r="V270" s="58"/>
      <c r="W270" s="58" t="s">
        <v>146</v>
      </c>
      <c r="X270" s="58"/>
    </row>
    <row r="271" spans="1:24" x14ac:dyDescent="0.3">
      <c r="A271" s="71">
        <v>46054</v>
      </c>
      <c r="B271" s="58" t="s">
        <v>135</v>
      </c>
      <c r="C271" s="58" t="s">
        <v>882</v>
      </c>
      <c r="D271" s="58" t="s">
        <v>883</v>
      </c>
      <c r="E271" s="58" t="s">
        <v>361</v>
      </c>
      <c r="F271" s="58" t="s">
        <v>289</v>
      </c>
      <c r="G271" s="58" t="s">
        <v>71</v>
      </c>
      <c r="H271" s="58">
        <v>22</v>
      </c>
      <c r="I271" s="58" t="str">
        <f>IF(R271="","",VLOOKUP(R271,REGRAS!$B$2:$D$13,3,FALSE()))</f>
        <v>RELAC.</v>
      </c>
      <c r="J271" s="58"/>
      <c r="K271" s="58" t="str">
        <f t="shared" si="12"/>
        <v>SALVAMENTO</v>
      </c>
      <c r="L271" s="58" t="str">
        <f t="shared" si="13"/>
        <v>🟢</v>
      </c>
      <c r="M271" s="58"/>
      <c r="N271" s="58" t="s">
        <v>146</v>
      </c>
      <c r="O271" s="58" t="s">
        <v>147</v>
      </c>
      <c r="P271" s="58" t="s">
        <v>149</v>
      </c>
      <c r="Q271" s="58" t="s">
        <v>39</v>
      </c>
      <c r="R271" s="58" t="s">
        <v>17</v>
      </c>
      <c r="S271" s="58" t="s">
        <v>49</v>
      </c>
      <c r="T271" s="71">
        <f>IF(R271="","",IF(OR(R271="SUPORTE",R271="PERDA / FECHOU LOJA"),"SEM",A271+VLOOKUP(R271,REGRAS!$B$2:$C$13,2,FALSE())))</f>
        <v>46061</v>
      </c>
      <c r="U271" s="58" t="str">
        <f t="shared" si="14"/>
        <v>SALVAMENTO</v>
      </c>
      <c r="V271" s="58"/>
      <c r="W271" s="58" t="s">
        <v>147</v>
      </c>
      <c r="X271" s="58"/>
    </row>
    <row r="272" spans="1:24" x14ac:dyDescent="0.3">
      <c r="A272" s="71">
        <v>46065</v>
      </c>
      <c r="B272" s="58" t="s">
        <v>137</v>
      </c>
      <c r="C272" s="58" t="s">
        <v>884</v>
      </c>
      <c r="D272" s="58" t="s">
        <v>885</v>
      </c>
      <c r="E272" s="58" t="s">
        <v>335</v>
      </c>
      <c r="F272" s="58" t="s">
        <v>292</v>
      </c>
      <c r="G272" s="58" t="s">
        <v>79</v>
      </c>
      <c r="H272" s="58">
        <v>296</v>
      </c>
      <c r="I272" s="58" t="str">
        <f>IF(R272="","",VLOOKUP(R272,REGRAS!$B$2:$D$13,3,FALSE()))</f>
        <v>FUNIL</v>
      </c>
      <c r="J272" s="58"/>
      <c r="K272" s="58" t="str">
        <f t="shared" si="12"/>
        <v>PROSPECÇÃO</v>
      </c>
      <c r="L272" s="58" t="str">
        <f t="shared" si="13"/>
        <v>🔴</v>
      </c>
      <c r="M272" s="58"/>
      <c r="N272" s="58" t="s">
        <v>146</v>
      </c>
      <c r="O272" s="58" t="s">
        <v>146</v>
      </c>
      <c r="P272" s="58" t="s">
        <v>147</v>
      </c>
      <c r="Q272" s="58" t="s">
        <v>35</v>
      </c>
      <c r="R272" s="58" t="s">
        <v>8</v>
      </c>
      <c r="S272" s="58"/>
      <c r="T272" s="71">
        <f>IF(R272="","",IF(OR(R272="SUPORTE",R272="PERDA / FECHOU LOJA"),"SEM",A272+VLOOKUP(R272,REGRAS!$B$2:$C$13,2,FALSE())))</f>
        <v>46066</v>
      </c>
      <c r="U272" s="58" t="str">
        <f t="shared" si="14"/>
        <v>PROSPECÇÃO</v>
      </c>
      <c r="V272" s="58"/>
      <c r="W272" s="58" t="s">
        <v>146</v>
      </c>
      <c r="X272" s="58"/>
    </row>
    <row r="273" spans="1:24" x14ac:dyDescent="0.3">
      <c r="A273" s="71">
        <v>46079</v>
      </c>
      <c r="B273" s="58" t="s">
        <v>135</v>
      </c>
      <c r="C273" s="58" t="s">
        <v>886</v>
      </c>
      <c r="D273" s="58" t="s">
        <v>887</v>
      </c>
      <c r="E273" s="58" t="s">
        <v>340</v>
      </c>
      <c r="F273" s="58" t="s">
        <v>292</v>
      </c>
      <c r="G273" s="58" t="s">
        <v>71</v>
      </c>
      <c r="H273" s="58">
        <v>40</v>
      </c>
      <c r="I273" s="58" t="str">
        <f>IF(R273="","",VLOOKUP(R273,REGRAS!$B$2:$D$13,3,FALSE()))</f>
        <v>RELAC.</v>
      </c>
      <c r="J273" s="58"/>
      <c r="K273" s="58" t="str">
        <f t="shared" si="12"/>
        <v>CS</v>
      </c>
      <c r="L273" s="58" t="str">
        <f t="shared" si="13"/>
        <v>🟢</v>
      </c>
      <c r="M273" s="58"/>
      <c r="N273" s="58" t="s">
        <v>146</v>
      </c>
      <c r="O273" s="58" t="s">
        <v>146</v>
      </c>
      <c r="P273" s="58" t="s">
        <v>146</v>
      </c>
      <c r="Q273" s="58" t="s">
        <v>43</v>
      </c>
      <c r="R273" s="58" t="s">
        <v>14</v>
      </c>
      <c r="S273" s="58"/>
      <c r="T273" s="71">
        <f>IF(R273="","",IF(OR(R273="SUPORTE",R273="PERDA / FECHOU LOJA"),"SEM",A273+VLOOKUP(R273,REGRAS!$B$2:$C$13,2,FALSE())))</f>
        <v>46086</v>
      </c>
      <c r="U273" s="58" t="str">
        <f t="shared" si="14"/>
        <v>CS</v>
      </c>
      <c r="V273" s="58"/>
      <c r="W273" s="58" t="s">
        <v>146</v>
      </c>
      <c r="X273" s="58"/>
    </row>
    <row r="274" spans="1:24" x14ac:dyDescent="0.3">
      <c r="A274" s="71">
        <v>46080</v>
      </c>
      <c r="B274" s="58" t="s">
        <v>139</v>
      </c>
      <c r="C274" s="58" t="s">
        <v>888</v>
      </c>
      <c r="D274" s="58" t="s">
        <v>889</v>
      </c>
      <c r="E274" s="58" t="s">
        <v>335</v>
      </c>
      <c r="F274" s="58" t="s">
        <v>292</v>
      </c>
      <c r="G274" s="58" t="s">
        <v>71</v>
      </c>
      <c r="H274" s="58">
        <v>31</v>
      </c>
      <c r="I274" s="58" t="str">
        <f>IF(R274="","",VLOOKUP(R274,REGRAS!$B$2:$D$13,3,FALSE()))</f>
        <v>NÃO VENDA</v>
      </c>
      <c r="J274" s="58"/>
      <c r="K274" s="58" t="str">
        <f t="shared" si="12"/>
        <v>RECUPERAÇÃO</v>
      </c>
      <c r="L274" s="58" t="str">
        <f t="shared" si="13"/>
        <v>🟢</v>
      </c>
      <c r="M274" s="58"/>
      <c r="N274" s="58" t="s">
        <v>147</v>
      </c>
      <c r="O274" s="58" t="s">
        <v>146</v>
      </c>
      <c r="P274" s="58" t="s">
        <v>147</v>
      </c>
      <c r="Q274" s="58" t="s">
        <v>33</v>
      </c>
      <c r="R274" s="58" t="s">
        <v>28</v>
      </c>
      <c r="S274" s="58" t="s">
        <v>57</v>
      </c>
      <c r="T274" s="71">
        <f>IF(R274="","",IF(OR(R274="SUPORTE",R274="PERDA / FECHOU LOJA"),"SEM",A274+VLOOKUP(R274,REGRAS!$B$2:$C$13,2,FALSE())))</f>
        <v>46082</v>
      </c>
      <c r="U274" s="58" t="str">
        <f t="shared" si="14"/>
        <v>REATIVAÇÃO</v>
      </c>
      <c r="V274" s="58"/>
      <c r="W274" s="58" t="s">
        <v>146</v>
      </c>
      <c r="X274" s="58"/>
    </row>
    <row r="275" spans="1:24" x14ac:dyDescent="0.3">
      <c r="A275" s="71">
        <v>46078</v>
      </c>
      <c r="B275" s="58" t="s">
        <v>135</v>
      </c>
      <c r="C275" s="58" t="s">
        <v>890</v>
      </c>
      <c r="D275" s="58" t="s">
        <v>891</v>
      </c>
      <c r="E275" s="58" t="s">
        <v>366</v>
      </c>
      <c r="F275" s="58" t="s">
        <v>295</v>
      </c>
      <c r="G275" s="58" t="s">
        <v>79</v>
      </c>
      <c r="H275" s="58">
        <v>128</v>
      </c>
      <c r="I275" s="58" t="str">
        <f>IF(R275="","",VLOOKUP(R275,REGRAS!$B$2:$D$13,3,FALSE()))</f>
        <v>RELAC.</v>
      </c>
      <c r="J275" s="58"/>
      <c r="K275" s="58" t="str">
        <f t="shared" si="12"/>
        <v>PÓS-VENDA</v>
      </c>
      <c r="L275" s="58" t="str">
        <f t="shared" si="13"/>
        <v>🔴</v>
      </c>
      <c r="M275" s="58"/>
      <c r="N275" s="58" t="s">
        <v>147</v>
      </c>
      <c r="O275" s="58" t="s">
        <v>146</v>
      </c>
      <c r="P275" s="58" t="s">
        <v>147</v>
      </c>
      <c r="Q275" s="58" t="s">
        <v>43</v>
      </c>
      <c r="R275" s="58" t="s">
        <v>21</v>
      </c>
      <c r="S275" s="58"/>
      <c r="T275" s="71" t="str">
        <f>IF(R275="","",IF(OR(R275="SUPORTE",R275="PERDA / FECHOU LOJA"),"SEM",A275+VLOOKUP(R275,REGRAS!$B$2:$C$13,2,FALSE())))</f>
        <v>SEM</v>
      </c>
      <c r="U275" s="58" t="str">
        <f t="shared" si="14"/>
        <v>PÓS-VENDA</v>
      </c>
      <c r="V275" s="58"/>
      <c r="W275" s="58" t="s">
        <v>146</v>
      </c>
      <c r="X275" s="58"/>
    </row>
    <row r="276" spans="1:24" x14ac:dyDescent="0.3">
      <c r="A276" s="71">
        <v>46056</v>
      </c>
      <c r="B276" s="58" t="s">
        <v>135</v>
      </c>
      <c r="C276" s="58" t="s">
        <v>892</v>
      </c>
      <c r="D276" s="58" t="s">
        <v>893</v>
      </c>
      <c r="E276" s="58" t="s">
        <v>335</v>
      </c>
      <c r="F276" s="58" t="s">
        <v>286</v>
      </c>
      <c r="G276" s="58" t="s">
        <v>82</v>
      </c>
      <c r="H276" s="58"/>
      <c r="I276" s="58" t="str">
        <f>IF(R276="","",VLOOKUP(R276,REGRAS!$B$2:$D$13,3,FALSE()))</f>
        <v>NÃO VENDA</v>
      </c>
      <c r="J276" s="58"/>
      <c r="K276" s="58" t="str">
        <f t="shared" si="12"/>
        <v>RECUPERAÇÃO</v>
      </c>
      <c r="L276" s="58" t="str">
        <f t="shared" si="13"/>
        <v/>
      </c>
      <c r="M276" s="58"/>
      <c r="N276" s="58" t="s">
        <v>147</v>
      </c>
      <c r="O276" s="58" t="s">
        <v>147</v>
      </c>
      <c r="P276" s="58" t="s">
        <v>149</v>
      </c>
      <c r="Q276" s="58" t="s">
        <v>43</v>
      </c>
      <c r="R276" s="58" t="s">
        <v>26</v>
      </c>
      <c r="S276" s="58" t="s">
        <v>55</v>
      </c>
      <c r="T276" s="71">
        <f>IF(R276="","",IF(OR(R276="SUPORTE",R276="PERDA / FECHOU LOJA"),"SEM",A276+VLOOKUP(R276,REGRAS!$B$2:$C$13,2,FALSE())))</f>
        <v>46057</v>
      </c>
      <c r="U276" s="58" t="str">
        <f t="shared" si="14"/>
        <v>REATIVAÇÃO</v>
      </c>
      <c r="V276" s="58"/>
      <c r="W276" s="58" t="s">
        <v>146</v>
      </c>
      <c r="X276" s="58"/>
    </row>
    <row r="277" spans="1:24" x14ac:dyDescent="0.3">
      <c r="A277" s="71">
        <v>46081</v>
      </c>
      <c r="B277" s="58" t="s">
        <v>135</v>
      </c>
      <c r="C277" s="58" t="s">
        <v>649</v>
      </c>
      <c r="D277" s="58" t="s">
        <v>894</v>
      </c>
      <c r="E277" s="58" t="s">
        <v>332</v>
      </c>
      <c r="F277" s="58" t="s">
        <v>283</v>
      </c>
      <c r="G277" s="58" t="s">
        <v>71</v>
      </c>
      <c r="H277" s="58">
        <v>35</v>
      </c>
      <c r="I277" s="58" t="str">
        <f>IF(R277="","",VLOOKUP(R277,REGRAS!$B$2:$D$13,3,FALSE()))</f>
        <v>FUNIL</v>
      </c>
      <c r="J277" s="58"/>
      <c r="K277" s="58" t="str">
        <f t="shared" si="12"/>
        <v>RECOMPRA</v>
      </c>
      <c r="L277" s="58" t="str">
        <f t="shared" si="13"/>
        <v>🟢</v>
      </c>
      <c r="M277" s="58"/>
      <c r="N277" s="58" t="s">
        <v>146</v>
      </c>
      <c r="O277" s="58" t="s">
        <v>147</v>
      </c>
      <c r="P277" s="58" t="s">
        <v>149</v>
      </c>
      <c r="Q277" s="58" t="s">
        <v>39</v>
      </c>
      <c r="R277" s="58" t="s">
        <v>12</v>
      </c>
      <c r="S277" s="58"/>
      <c r="T277" s="71">
        <f>IF(R277="","",IF(OR(R277="SUPORTE",R277="PERDA / FECHOU LOJA"),"SEM",A277+VLOOKUP(R277,REGRAS!$B$2:$C$13,2,FALSE())))</f>
        <v>46126</v>
      </c>
      <c r="U277" s="58" t="str">
        <f t="shared" si="14"/>
        <v>RECOMPRA</v>
      </c>
      <c r="V277" s="58"/>
      <c r="W277" s="58" t="s">
        <v>146</v>
      </c>
      <c r="X277" s="58"/>
    </row>
    <row r="278" spans="1:24" x14ac:dyDescent="0.3">
      <c r="A278" s="71">
        <v>46062</v>
      </c>
      <c r="B278" s="58" t="s">
        <v>139</v>
      </c>
      <c r="C278" s="58" t="s">
        <v>895</v>
      </c>
      <c r="D278" s="58" t="s">
        <v>896</v>
      </c>
      <c r="E278" s="58" t="s">
        <v>376</v>
      </c>
      <c r="F278" s="58" t="s">
        <v>283</v>
      </c>
      <c r="G278" s="58" t="s">
        <v>77</v>
      </c>
      <c r="H278" s="58">
        <v>66</v>
      </c>
      <c r="I278" s="58" t="str">
        <f>IF(R278="","",VLOOKUP(R278,REGRAS!$B$2:$D$13,3,FALSE()))</f>
        <v>NÃO VENDA</v>
      </c>
      <c r="J278" s="58"/>
      <c r="K278" s="58" t="str">
        <f t="shared" si="12"/>
        <v>RECUPERAÇÃO</v>
      </c>
      <c r="L278" s="58" t="str">
        <f t="shared" si="13"/>
        <v>🟡</v>
      </c>
      <c r="M278" s="58"/>
      <c r="N278" s="58" t="s">
        <v>147</v>
      </c>
      <c r="O278" s="58" t="s">
        <v>146</v>
      </c>
      <c r="P278" s="58" t="s">
        <v>146</v>
      </c>
      <c r="Q278" s="58" t="s">
        <v>33</v>
      </c>
      <c r="R278" s="58" t="s">
        <v>23</v>
      </c>
      <c r="S278" s="58" t="s">
        <v>66</v>
      </c>
      <c r="T278" s="71">
        <f>IF(R278="","",IF(OR(R278="SUPORTE",R278="PERDA / FECHOU LOJA"),"SEM",A278+VLOOKUP(R278,REGRAS!$B$2:$C$13,2,FALSE())))</f>
        <v>46063</v>
      </c>
      <c r="U278" s="58" t="str">
        <f t="shared" si="14"/>
        <v>REATIVAÇÃO</v>
      </c>
      <c r="V278" s="58"/>
      <c r="W278" s="58" t="s">
        <v>146</v>
      </c>
      <c r="X278" s="58"/>
    </row>
    <row r="279" spans="1:24" x14ac:dyDescent="0.3">
      <c r="A279" s="71">
        <v>46062</v>
      </c>
      <c r="B279" s="58" t="s">
        <v>137</v>
      </c>
      <c r="C279" s="58" t="s">
        <v>788</v>
      </c>
      <c r="D279" s="58" t="s">
        <v>897</v>
      </c>
      <c r="E279" s="58" t="s">
        <v>335</v>
      </c>
      <c r="F279" s="58" t="s">
        <v>297</v>
      </c>
      <c r="G279" s="58" t="s">
        <v>77</v>
      </c>
      <c r="H279" s="58">
        <v>77</v>
      </c>
      <c r="I279" s="58" t="str">
        <f>IF(R279="","",VLOOKUP(R279,REGRAS!$B$2:$D$13,3,FALSE()))</f>
        <v>NÃO VENDA</v>
      </c>
      <c r="J279" s="58"/>
      <c r="K279" s="58" t="str">
        <f t="shared" si="12"/>
        <v>RECUPERAÇÃO</v>
      </c>
      <c r="L279" s="58" t="str">
        <f t="shared" si="13"/>
        <v>🟡</v>
      </c>
      <c r="M279" s="58"/>
      <c r="N279" s="58" t="s">
        <v>147</v>
      </c>
      <c r="O279" s="58" t="s">
        <v>147</v>
      </c>
      <c r="P279" s="58" t="s">
        <v>149</v>
      </c>
      <c r="Q279" s="58" t="s">
        <v>41</v>
      </c>
      <c r="R279" s="58" t="s">
        <v>28</v>
      </c>
      <c r="S279" s="58" t="s">
        <v>49</v>
      </c>
      <c r="T279" s="71">
        <f>IF(R279="","",IF(OR(R279="SUPORTE",R279="PERDA / FECHOU LOJA"),"SEM",A279+VLOOKUP(R279,REGRAS!$B$2:$C$13,2,FALSE())))</f>
        <v>46064</v>
      </c>
      <c r="U279" s="58" t="str">
        <f t="shared" si="14"/>
        <v>REATIVAÇÃO</v>
      </c>
      <c r="V279" s="58"/>
      <c r="W279" s="58" t="s">
        <v>146</v>
      </c>
      <c r="X279" s="58"/>
    </row>
    <row r="280" spans="1:24" x14ac:dyDescent="0.3">
      <c r="A280" s="71">
        <v>46063</v>
      </c>
      <c r="B280" s="58" t="s">
        <v>137</v>
      </c>
      <c r="C280" s="58" t="s">
        <v>898</v>
      </c>
      <c r="D280" s="58" t="s">
        <v>899</v>
      </c>
      <c r="E280" s="58" t="s">
        <v>366</v>
      </c>
      <c r="F280" s="58" t="s">
        <v>298</v>
      </c>
      <c r="G280" s="58" t="s">
        <v>71</v>
      </c>
      <c r="H280" s="58">
        <v>36</v>
      </c>
      <c r="I280" s="58" t="str">
        <f>IF(R280="","",VLOOKUP(R280,REGRAS!$B$2:$D$13,3,FALSE()))</f>
        <v>NÃO VENDA</v>
      </c>
      <c r="J280" s="58"/>
      <c r="K280" s="58" t="str">
        <f t="shared" si="12"/>
        <v>RECUPERAÇÃO</v>
      </c>
      <c r="L280" s="58" t="str">
        <f t="shared" si="13"/>
        <v>🟢</v>
      </c>
      <c r="M280" s="58"/>
      <c r="N280" s="58" t="s">
        <v>146</v>
      </c>
      <c r="O280" s="58" t="s">
        <v>146</v>
      </c>
      <c r="P280" s="58" t="s">
        <v>146</v>
      </c>
      <c r="Q280" s="58" t="s">
        <v>45</v>
      </c>
      <c r="R280" s="58" t="s">
        <v>23</v>
      </c>
      <c r="S280" s="58" t="s">
        <v>49</v>
      </c>
      <c r="T280" s="71">
        <f>IF(R280="","",IF(OR(R280="SUPORTE",R280="PERDA / FECHOU LOJA"),"SEM",A280+VLOOKUP(R280,REGRAS!$B$2:$C$13,2,FALSE())))</f>
        <v>46064</v>
      </c>
      <c r="U280" s="58" t="str">
        <f t="shared" si="14"/>
        <v>REATIVAÇÃO</v>
      </c>
      <c r="V280" s="58"/>
      <c r="W280" s="58" t="s">
        <v>146</v>
      </c>
      <c r="X280" s="58"/>
    </row>
    <row r="281" spans="1:24" x14ac:dyDescent="0.3">
      <c r="A281" s="71">
        <v>46065</v>
      </c>
      <c r="B281" s="58" t="s">
        <v>135</v>
      </c>
      <c r="C281" s="58" t="s">
        <v>900</v>
      </c>
      <c r="D281" s="58" t="s">
        <v>901</v>
      </c>
      <c r="E281" s="58" t="s">
        <v>332</v>
      </c>
      <c r="F281" s="58" t="s">
        <v>283</v>
      </c>
      <c r="G281" s="58" t="s">
        <v>79</v>
      </c>
      <c r="H281" s="58">
        <v>223</v>
      </c>
      <c r="I281" s="58" t="str">
        <f>IF(R281="","",VLOOKUP(R281,REGRAS!$B$2:$D$13,3,FALSE()))</f>
        <v>NÃO VENDA</v>
      </c>
      <c r="J281" s="58"/>
      <c r="K281" s="58" t="str">
        <f t="shared" si="12"/>
        <v>RECUPERAÇÃO</v>
      </c>
      <c r="L281" s="58" t="str">
        <f t="shared" si="13"/>
        <v>🔴</v>
      </c>
      <c r="M281" s="58"/>
      <c r="N281" s="58" t="s">
        <v>147</v>
      </c>
      <c r="O281" s="58" t="s">
        <v>147</v>
      </c>
      <c r="P281" s="58" t="s">
        <v>149</v>
      </c>
      <c r="Q281" s="58" t="s">
        <v>43</v>
      </c>
      <c r="R281" s="58" t="s">
        <v>26</v>
      </c>
      <c r="S281" s="58" t="s">
        <v>51</v>
      </c>
      <c r="T281" s="71">
        <f>IF(R281="","",IF(OR(R281="SUPORTE",R281="PERDA / FECHOU LOJA"),"SEM",A281+VLOOKUP(R281,REGRAS!$B$2:$C$13,2,FALSE())))</f>
        <v>46066</v>
      </c>
      <c r="U281" s="58" t="str">
        <f t="shared" si="14"/>
        <v>REATIVAÇÃO</v>
      </c>
      <c r="V281" s="58"/>
      <c r="W281" s="58" t="s">
        <v>147</v>
      </c>
      <c r="X281" s="58"/>
    </row>
    <row r="282" spans="1:24" x14ac:dyDescent="0.3">
      <c r="A282" s="71">
        <v>46079</v>
      </c>
      <c r="B282" s="58" t="s">
        <v>135</v>
      </c>
      <c r="C282" s="58" t="s">
        <v>902</v>
      </c>
      <c r="D282" s="58" t="s">
        <v>903</v>
      </c>
      <c r="E282" s="58" t="s">
        <v>376</v>
      </c>
      <c r="F282" s="58" t="s">
        <v>298</v>
      </c>
      <c r="G282" s="58" t="s">
        <v>79</v>
      </c>
      <c r="H282" s="58">
        <v>216</v>
      </c>
      <c r="I282" s="58" t="str">
        <f>IF(R282="","",VLOOKUP(R282,REGRAS!$B$2:$D$13,3,FALSE()))</f>
        <v>FUNIL</v>
      </c>
      <c r="J282" s="58"/>
      <c r="K282" s="58" t="str">
        <f t="shared" si="12"/>
        <v>EM ATENDIMENTO</v>
      </c>
      <c r="L282" s="58" t="str">
        <f t="shared" si="13"/>
        <v>🔴</v>
      </c>
      <c r="M282" s="58"/>
      <c r="N282" s="58" t="s">
        <v>146</v>
      </c>
      <c r="O282" s="58" t="s">
        <v>147</v>
      </c>
      <c r="P282" s="58" t="s">
        <v>149</v>
      </c>
      <c r="Q282" s="58" t="s">
        <v>35</v>
      </c>
      <c r="R282" s="58" t="s">
        <v>5</v>
      </c>
      <c r="S282" s="58"/>
      <c r="T282" s="71">
        <f>IF(R282="","",IF(OR(R282="SUPORTE",R282="PERDA / FECHOU LOJA"),"SEM",A282+VLOOKUP(R282,REGRAS!$B$2:$C$13,2,FALSE())))</f>
        <v>46081</v>
      </c>
      <c r="U282" s="58" t="str">
        <f t="shared" si="14"/>
        <v>PROSPECÇÃO</v>
      </c>
      <c r="V282" s="58"/>
      <c r="W282" s="58" t="s">
        <v>146</v>
      </c>
      <c r="X282" s="58"/>
    </row>
    <row r="283" spans="1:24" x14ac:dyDescent="0.3">
      <c r="A283" s="71">
        <v>46057</v>
      </c>
      <c r="B283" s="58" t="s">
        <v>135</v>
      </c>
      <c r="C283" s="58" t="s">
        <v>904</v>
      </c>
      <c r="D283" s="58" t="s">
        <v>905</v>
      </c>
      <c r="E283" s="58" t="s">
        <v>332</v>
      </c>
      <c r="F283" s="58" t="s">
        <v>298</v>
      </c>
      <c r="G283" s="58" t="s">
        <v>71</v>
      </c>
      <c r="H283" s="58">
        <v>24</v>
      </c>
      <c r="I283" s="58" t="str">
        <f>IF(R283="","",VLOOKUP(R283,REGRAS!$B$2:$D$13,3,FALSE()))</f>
        <v>RELAC.</v>
      </c>
      <c r="J283" s="58"/>
      <c r="K283" s="58" t="str">
        <f t="shared" si="12"/>
        <v>SALVAMENTO</v>
      </c>
      <c r="L283" s="58" t="str">
        <f t="shared" si="13"/>
        <v>🟢</v>
      </c>
      <c r="M283" s="58"/>
      <c r="N283" s="58" t="s">
        <v>146</v>
      </c>
      <c r="O283" s="58" t="s">
        <v>147</v>
      </c>
      <c r="P283" s="58" t="s">
        <v>149</v>
      </c>
      <c r="Q283" s="58" t="s">
        <v>43</v>
      </c>
      <c r="R283" s="58" t="s">
        <v>19</v>
      </c>
      <c r="S283" s="58" t="s">
        <v>49</v>
      </c>
      <c r="T283" s="71">
        <f>IF(R283="","",IF(OR(R283="SUPORTE",R283="PERDA / FECHOU LOJA"),"SEM",A283+VLOOKUP(R283,REGRAS!$B$2:$C$13,2,FALSE())))</f>
        <v>46072</v>
      </c>
      <c r="U283" s="58" t="str">
        <f t="shared" si="14"/>
        <v>SALVAMENTO</v>
      </c>
      <c r="V283" s="58"/>
      <c r="W283" s="58" t="s">
        <v>146</v>
      </c>
      <c r="X283" s="58"/>
    </row>
    <row r="284" spans="1:24" x14ac:dyDescent="0.3">
      <c r="A284" s="71">
        <v>46078</v>
      </c>
      <c r="B284" s="58" t="s">
        <v>141</v>
      </c>
      <c r="C284" s="58" t="s">
        <v>906</v>
      </c>
      <c r="D284" s="58" t="s">
        <v>907</v>
      </c>
      <c r="E284" s="58" t="s">
        <v>332</v>
      </c>
      <c r="F284" s="58" t="s">
        <v>292</v>
      </c>
      <c r="G284" s="58" t="s">
        <v>82</v>
      </c>
      <c r="H284" s="58"/>
      <c r="I284" s="58" t="str">
        <f>IF(R284="","",VLOOKUP(R284,REGRAS!$B$2:$D$13,3,FALSE()))</f>
        <v>RELAC.</v>
      </c>
      <c r="J284" s="58"/>
      <c r="K284" s="58" t="str">
        <f t="shared" si="12"/>
        <v>CS</v>
      </c>
      <c r="L284" s="58" t="str">
        <f t="shared" si="13"/>
        <v/>
      </c>
      <c r="M284" s="58"/>
      <c r="N284" s="58" t="s">
        <v>147</v>
      </c>
      <c r="O284" s="58" t="s">
        <v>146</v>
      </c>
      <c r="P284" s="58" t="s">
        <v>147</v>
      </c>
      <c r="Q284" s="58" t="s">
        <v>43</v>
      </c>
      <c r="R284" s="58" t="s">
        <v>14</v>
      </c>
      <c r="S284" s="58"/>
      <c r="T284" s="71">
        <f>IF(R284="","",IF(OR(R284="SUPORTE",R284="PERDA / FECHOU LOJA"),"SEM",A284+VLOOKUP(R284,REGRAS!$B$2:$C$13,2,FALSE())))</f>
        <v>46085</v>
      </c>
      <c r="U284" s="58" t="str">
        <f t="shared" si="14"/>
        <v>CS</v>
      </c>
      <c r="V284" s="58"/>
      <c r="W284" s="58" t="s">
        <v>146</v>
      </c>
      <c r="X284" s="58"/>
    </row>
    <row r="285" spans="1:24" x14ac:dyDescent="0.3">
      <c r="A285" s="71">
        <v>46077</v>
      </c>
      <c r="B285" s="58" t="s">
        <v>141</v>
      </c>
      <c r="C285" s="58" t="s">
        <v>908</v>
      </c>
      <c r="D285" s="58" t="s">
        <v>909</v>
      </c>
      <c r="E285" s="58" t="s">
        <v>366</v>
      </c>
      <c r="F285" s="58" t="s">
        <v>292</v>
      </c>
      <c r="G285" s="58" t="s">
        <v>85</v>
      </c>
      <c r="H285" s="58"/>
      <c r="I285" s="58" t="str">
        <f>IF(R285="","",VLOOKUP(R285,REGRAS!$B$2:$D$13,3,FALSE()))</f>
        <v>FUNIL</v>
      </c>
      <c r="J285" s="58"/>
      <c r="K285" s="58" t="str">
        <f t="shared" si="12"/>
        <v>RECOMPRA</v>
      </c>
      <c r="L285" s="58" t="str">
        <f t="shared" si="13"/>
        <v/>
      </c>
      <c r="M285" s="58"/>
      <c r="N285" s="58" t="s">
        <v>147</v>
      </c>
      <c r="O285" s="58" t="s">
        <v>147</v>
      </c>
      <c r="P285" s="58" t="s">
        <v>149</v>
      </c>
      <c r="Q285" s="58" t="s">
        <v>35</v>
      </c>
      <c r="R285" s="58" t="s">
        <v>12</v>
      </c>
      <c r="S285" s="58"/>
      <c r="T285" s="71">
        <f>IF(R285="","",IF(OR(R285="SUPORTE",R285="PERDA / FECHOU LOJA"),"SEM",A285+VLOOKUP(R285,REGRAS!$B$2:$C$13,2,FALSE())))</f>
        <v>46122</v>
      </c>
      <c r="U285" s="58" t="str">
        <f t="shared" si="14"/>
        <v>RECOMPRA</v>
      </c>
      <c r="V285" s="58"/>
      <c r="W285" s="58" t="s">
        <v>146</v>
      </c>
      <c r="X285" s="58"/>
    </row>
    <row r="286" spans="1:24" x14ac:dyDescent="0.3">
      <c r="A286" s="71">
        <v>46069</v>
      </c>
      <c r="B286" s="58" t="s">
        <v>139</v>
      </c>
      <c r="C286" s="58" t="s">
        <v>402</v>
      </c>
      <c r="D286" s="58" t="s">
        <v>910</v>
      </c>
      <c r="E286" s="58" t="s">
        <v>332</v>
      </c>
      <c r="F286" s="58" t="s">
        <v>286</v>
      </c>
      <c r="G286" s="58" t="s">
        <v>71</v>
      </c>
      <c r="H286" s="58">
        <v>22</v>
      </c>
      <c r="I286" s="58" t="str">
        <f>IF(R286="","",VLOOKUP(R286,REGRAS!$B$2:$D$13,3,FALSE()))</f>
        <v>RELAC.</v>
      </c>
      <c r="J286" s="58"/>
      <c r="K286" s="58" t="str">
        <f t="shared" si="12"/>
        <v>CS</v>
      </c>
      <c r="L286" s="58" t="str">
        <f t="shared" si="13"/>
        <v>🟢</v>
      </c>
      <c r="M286" s="58"/>
      <c r="N286" s="58" t="s">
        <v>146</v>
      </c>
      <c r="O286" s="58" t="s">
        <v>147</v>
      </c>
      <c r="P286" s="58" t="s">
        <v>149</v>
      </c>
      <c r="Q286" s="58" t="s">
        <v>39</v>
      </c>
      <c r="R286" s="58" t="s">
        <v>14</v>
      </c>
      <c r="S286" s="58"/>
      <c r="T286" s="71">
        <f>IF(R286="","",IF(OR(R286="SUPORTE",R286="PERDA / FECHOU LOJA"),"SEM",A286+VLOOKUP(R286,REGRAS!$B$2:$C$13,2,FALSE())))</f>
        <v>46076</v>
      </c>
      <c r="U286" s="58" t="str">
        <f t="shared" si="14"/>
        <v>CS</v>
      </c>
      <c r="V286" s="58"/>
      <c r="W286" s="58" t="s">
        <v>146</v>
      </c>
      <c r="X286" s="58"/>
    </row>
    <row r="287" spans="1:24" x14ac:dyDescent="0.3">
      <c r="A287" s="71">
        <v>46076</v>
      </c>
      <c r="B287" s="58" t="s">
        <v>137</v>
      </c>
      <c r="C287" s="58" t="s">
        <v>911</v>
      </c>
      <c r="D287" s="58" t="s">
        <v>912</v>
      </c>
      <c r="E287" s="58" t="s">
        <v>376</v>
      </c>
      <c r="F287" s="58" t="s">
        <v>297</v>
      </c>
      <c r="G287" s="58" t="s">
        <v>71</v>
      </c>
      <c r="H287" s="58">
        <v>45</v>
      </c>
      <c r="I287" s="58" t="str">
        <f>IF(R287="","",VLOOKUP(R287,REGRAS!$B$2:$D$13,3,FALSE()))</f>
        <v>FUNIL</v>
      </c>
      <c r="J287" s="58"/>
      <c r="K287" s="58" t="str">
        <f t="shared" si="12"/>
        <v>PROSPECÇÃO</v>
      </c>
      <c r="L287" s="58" t="str">
        <f t="shared" si="13"/>
        <v>🟢</v>
      </c>
      <c r="M287" s="58"/>
      <c r="N287" s="58" t="s">
        <v>146</v>
      </c>
      <c r="O287" s="58" t="s">
        <v>147</v>
      </c>
      <c r="P287" s="58" t="s">
        <v>149</v>
      </c>
      <c r="Q287" s="58" t="s">
        <v>33</v>
      </c>
      <c r="R287" s="58" t="s">
        <v>10</v>
      </c>
      <c r="S287" s="58"/>
      <c r="T287" s="71">
        <f>IF(R287="","",IF(OR(R287="SUPORTE",R287="PERDA / FECHOU LOJA"),"SEM",A287+VLOOKUP(R287,REGRAS!$B$2:$C$13,2,FALSE())))</f>
        <v>46078</v>
      </c>
      <c r="U287" s="58" t="str">
        <f t="shared" si="14"/>
        <v>PROSPECÇÃO</v>
      </c>
      <c r="V287" s="58"/>
      <c r="W287" s="58" t="s">
        <v>146</v>
      </c>
      <c r="X287" s="58"/>
    </row>
    <row r="288" spans="1:24" x14ac:dyDescent="0.3">
      <c r="A288" s="71">
        <v>46069</v>
      </c>
      <c r="B288" s="58" t="s">
        <v>135</v>
      </c>
      <c r="C288" s="58" t="s">
        <v>913</v>
      </c>
      <c r="D288" s="58" t="s">
        <v>914</v>
      </c>
      <c r="E288" s="58" t="s">
        <v>335</v>
      </c>
      <c r="F288" s="58" t="s">
        <v>295</v>
      </c>
      <c r="G288" s="58" t="s">
        <v>71</v>
      </c>
      <c r="H288" s="58">
        <v>7</v>
      </c>
      <c r="I288" s="58" t="str">
        <f>IF(R288="","",VLOOKUP(R288,REGRAS!$B$2:$D$13,3,FALSE()))</f>
        <v>RELAC.</v>
      </c>
      <c r="J288" s="58"/>
      <c r="K288" s="58" t="str">
        <f t="shared" si="12"/>
        <v>CS</v>
      </c>
      <c r="L288" s="58" t="str">
        <f t="shared" si="13"/>
        <v>🟢</v>
      </c>
      <c r="M288" s="58"/>
      <c r="N288" s="58" t="s">
        <v>146</v>
      </c>
      <c r="O288" s="58" t="s">
        <v>147</v>
      </c>
      <c r="P288" s="58" t="s">
        <v>149</v>
      </c>
      <c r="Q288" s="58" t="s">
        <v>39</v>
      </c>
      <c r="R288" s="58" t="s">
        <v>14</v>
      </c>
      <c r="S288" s="58"/>
      <c r="T288" s="71">
        <f>IF(R288="","",IF(OR(R288="SUPORTE",R288="PERDA / FECHOU LOJA"),"SEM",A288+VLOOKUP(R288,REGRAS!$B$2:$C$13,2,FALSE())))</f>
        <v>46076</v>
      </c>
      <c r="U288" s="58" t="str">
        <f t="shared" si="14"/>
        <v>CS</v>
      </c>
      <c r="V288" s="58"/>
      <c r="W288" s="58" t="s">
        <v>146</v>
      </c>
      <c r="X288" s="58"/>
    </row>
    <row r="289" spans="1:24" x14ac:dyDescent="0.3">
      <c r="A289" s="71">
        <v>46059</v>
      </c>
      <c r="B289" s="58" t="s">
        <v>137</v>
      </c>
      <c r="C289" s="58" t="s">
        <v>915</v>
      </c>
      <c r="D289" s="58" t="s">
        <v>916</v>
      </c>
      <c r="E289" s="58" t="s">
        <v>332</v>
      </c>
      <c r="F289" s="58" t="s">
        <v>296</v>
      </c>
      <c r="G289" s="58" t="s">
        <v>74</v>
      </c>
      <c r="H289" s="58">
        <v>55</v>
      </c>
      <c r="I289" s="58" t="str">
        <f>IF(R289="","",VLOOKUP(R289,REGRAS!$B$2:$D$13,3,FALSE()))</f>
        <v>RELAC.</v>
      </c>
      <c r="J289" s="58"/>
      <c r="K289" s="58" t="str">
        <f t="shared" si="12"/>
        <v>CS</v>
      </c>
      <c r="L289" s="58" t="str">
        <f t="shared" si="13"/>
        <v>🟡</v>
      </c>
      <c r="M289" s="58"/>
      <c r="N289" s="58" t="s">
        <v>147</v>
      </c>
      <c r="O289" s="58" t="s">
        <v>147</v>
      </c>
      <c r="P289" s="58" t="s">
        <v>149</v>
      </c>
      <c r="Q289" s="58" t="s">
        <v>39</v>
      </c>
      <c r="R289" s="58" t="s">
        <v>14</v>
      </c>
      <c r="S289" s="58"/>
      <c r="T289" s="71">
        <f>IF(R289="","",IF(OR(R289="SUPORTE",R289="PERDA / FECHOU LOJA"),"SEM",A289+VLOOKUP(R289,REGRAS!$B$2:$C$13,2,FALSE())))</f>
        <v>46066</v>
      </c>
      <c r="U289" s="58" t="str">
        <f t="shared" si="14"/>
        <v>CS</v>
      </c>
      <c r="V289" s="58"/>
      <c r="W289" s="58" t="s">
        <v>147</v>
      </c>
      <c r="X289" s="58"/>
    </row>
    <row r="290" spans="1:24" x14ac:dyDescent="0.3">
      <c r="A290" s="71">
        <v>46054</v>
      </c>
      <c r="B290" s="58" t="s">
        <v>139</v>
      </c>
      <c r="C290" s="58" t="s">
        <v>917</v>
      </c>
      <c r="D290" s="58" t="s">
        <v>918</v>
      </c>
      <c r="E290" s="58" t="s">
        <v>369</v>
      </c>
      <c r="F290" s="58" t="s">
        <v>292</v>
      </c>
      <c r="G290" s="58" t="s">
        <v>71</v>
      </c>
      <c r="H290" s="58">
        <v>48</v>
      </c>
      <c r="I290" s="58" t="str">
        <f>IF(R290="","",VLOOKUP(R290,REGRAS!$B$2:$D$13,3,FALSE()))</f>
        <v>RELAC.</v>
      </c>
      <c r="J290" s="58"/>
      <c r="K290" s="58" t="str">
        <f t="shared" si="12"/>
        <v>SALVAMENTO</v>
      </c>
      <c r="L290" s="58" t="str">
        <f t="shared" si="13"/>
        <v>🟢</v>
      </c>
      <c r="M290" s="58"/>
      <c r="N290" s="58" t="s">
        <v>146</v>
      </c>
      <c r="O290" s="58" t="s">
        <v>146</v>
      </c>
      <c r="P290" s="58" t="s">
        <v>147</v>
      </c>
      <c r="Q290" s="58" t="s">
        <v>39</v>
      </c>
      <c r="R290" s="58" t="s">
        <v>17</v>
      </c>
      <c r="S290" s="58" t="s">
        <v>49</v>
      </c>
      <c r="T290" s="71">
        <f>IF(R290="","",IF(OR(R290="SUPORTE",R290="PERDA / FECHOU LOJA"),"SEM",A290+VLOOKUP(R290,REGRAS!$B$2:$C$13,2,FALSE())))</f>
        <v>46061</v>
      </c>
      <c r="U290" s="58" t="str">
        <f t="shared" si="14"/>
        <v>SALVAMENTO</v>
      </c>
      <c r="V290" s="58"/>
      <c r="W290" s="58" t="s">
        <v>146</v>
      </c>
      <c r="X290" s="58"/>
    </row>
    <row r="291" spans="1:24" x14ac:dyDescent="0.3">
      <c r="A291" s="71">
        <v>46056</v>
      </c>
      <c r="B291" s="58" t="s">
        <v>135</v>
      </c>
      <c r="C291" s="58" t="s">
        <v>919</v>
      </c>
      <c r="D291" s="58" t="s">
        <v>920</v>
      </c>
      <c r="E291" s="58" t="s">
        <v>332</v>
      </c>
      <c r="F291" s="58" t="s">
        <v>296</v>
      </c>
      <c r="G291" s="58" t="s">
        <v>82</v>
      </c>
      <c r="H291" s="58"/>
      <c r="I291" s="58" t="str">
        <f>IF(R291="","",VLOOKUP(R291,REGRAS!$B$2:$D$13,3,FALSE()))</f>
        <v>NÃO VENDA</v>
      </c>
      <c r="J291" s="58"/>
      <c r="K291" s="58" t="str">
        <f t="shared" si="12"/>
        <v>RECUPERAÇÃO</v>
      </c>
      <c r="L291" s="58" t="str">
        <f t="shared" si="13"/>
        <v/>
      </c>
      <c r="M291" s="58"/>
      <c r="N291" s="58" t="s">
        <v>147</v>
      </c>
      <c r="O291" s="58" t="s">
        <v>146</v>
      </c>
      <c r="P291" s="58" t="s">
        <v>146</v>
      </c>
      <c r="Q291" s="58" t="s">
        <v>41</v>
      </c>
      <c r="R291" s="58" t="s">
        <v>28</v>
      </c>
      <c r="S291" s="58" t="s">
        <v>57</v>
      </c>
      <c r="T291" s="71">
        <f>IF(R291="","",IF(OR(R291="SUPORTE",R291="PERDA / FECHOU LOJA"),"SEM",A291+VLOOKUP(R291,REGRAS!$B$2:$C$13,2,FALSE())))</f>
        <v>46058</v>
      </c>
      <c r="U291" s="58" t="str">
        <f t="shared" si="14"/>
        <v>REATIVAÇÃO</v>
      </c>
      <c r="V291" s="58"/>
      <c r="W291" s="58" t="s">
        <v>146</v>
      </c>
      <c r="X291" s="58"/>
    </row>
    <row r="292" spans="1:24" x14ac:dyDescent="0.3">
      <c r="A292" s="71">
        <v>46060</v>
      </c>
      <c r="B292" s="58" t="s">
        <v>139</v>
      </c>
      <c r="C292" s="58" t="s">
        <v>921</v>
      </c>
      <c r="D292" s="58" t="s">
        <v>922</v>
      </c>
      <c r="E292" s="58" t="s">
        <v>346</v>
      </c>
      <c r="F292" s="58" t="s">
        <v>292</v>
      </c>
      <c r="G292" s="58" t="s">
        <v>71</v>
      </c>
      <c r="H292" s="58">
        <v>44</v>
      </c>
      <c r="I292" s="58" t="str">
        <f>IF(R292="","",VLOOKUP(R292,REGRAS!$B$2:$D$13,3,FALSE()))</f>
        <v>FUNIL</v>
      </c>
      <c r="J292" s="58"/>
      <c r="K292" s="58" t="str">
        <f t="shared" si="12"/>
        <v>EM ATENDIMENTO</v>
      </c>
      <c r="L292" s="58" t="str">
        <f t="shared" si="13"/>
        <v>🟢</v>
      </c>
      <c r="M292" s="58"/>
      <c r="N292" s="58" t="s">
        <v>146</v>
      </c>
      <c r="O292" s="58" t="s">
        <v>146</v>
      </c>
      <c r="P292" s="58" t="s">
        <v>147</v>
      </c>
      <c r="Q292" s="58" t="s">
        <v>37</v>
      </c>
      <c r="R292" s="58" t="s">
        <v>5</v>
      </c>
      <c r="S292" s="58"/>
      <c r="T292" s="71">
        <f>IF(R292="","",IF(OR(R292="SUPORTE",R292="PERDA / FECHOU LOJA"),"SEM",A292+VLOOKUP(R292,REGRAS!$B$2:$C$13,2,FALSE())))</f>
        <v>46062</v>
      </c>
      <c r="U292" s="58" t="str">
        <f t="shared" si="14"/>
        <v>PROSPECÇÃO</v>
      </c>
      <c r="V292" s="58"/>
      <c r="W292" s="58" t="s">
        <v>147</v>
      </c>
      <c r="X292" s="58"/>
    </row>
    <row r="293" spans="1:24" x14ac:dyDescent="0.3">
      <c r="A293" s="71">
        <v>46057</v>
      </c>
      <c r="B293" s="58" t="s">
        <v>135</v>
      </c>
      <c r="C293" s="58" t="s">
        <v>923</v>
      </c>
      <c r="D293" s="58" t="s">
        <v>924</v>
      </c>
      <c r="E293" s="58" t="s">
        <v>332</v>
      </c>
      <c r="F293" s="58" t="s">
        <v>296</v>
      </c>
      <c r="G293" s="58" t="s">
        <v>71</v>
      </c>
      <c r="H293" s="58">
        <v>40</v>
      </c>
      <c r="I293" s="58" t="str">
        <f>IF(R293="","",VLOOKUP(R293,REGRAS!$B$2:$D$13,3,FALSE()))</f>
        <v>FUNIL</v>
      </c>
      <c r="J293" s="58"/>
      <c r="K293" s="58" t="str">
        <f t="shared" si="12"/>
        <v>RECOMPRA</v>
      </c>
      <c r="L293" s="58" t="str">
        <f t="shared" si="13"/>
        <v>🟢</v>
      </c>
      <c r="M293" s="58"/>
      <c r="N293" s="58" t="s">
        <v>146</v>
      </c>
      <c r="O293" s="58" t="s">
        <v>146</v>
      </c>
      <c r="P293" s="58" t="s">
        <v>146</v>
      </c>
      <c r="Q293" s="58" t="s">
        <v>39</v>
      </c>
      <c r="R293" s="58" t="s">
        <v>12</v>
      </c>
      <c r="S293" s="58"/>
      <c r="T293" s="71">
        <f>IF(R293="","",IF(OR(R293="SUPORTE",R293="PERDA / FECHOU LOJA"),"SEM",A293+VLOOKUP(R293,REGRAS!$B$2:$C$13,2,FALSE())))</f>
        <v>46102</v>
      </c>
      <c r="U293" s="58" t="str">
        <f t="shared" si="14"/>
        <v>RECOMPRA</v>
      </c>
      <c r="V293" s="58"/>
      <c r="W293" s="58" t="s">
        <v>147</v>
      </c>
      <c r="X293" s="58"/>
    </row>
    <row r="294" spans="1:24" x14ac:dyDescent="0.3">
      <c r="A294" s="71">
        <v>46057</v>
      </c>
      <c r="B294" s="58" t="s">
        <v>135</v>
      </c>
      <c r="C294" s="58" t="s">
        <v>655</v>
      </c>
      <c r="D294" s="58" t="s">
        <v>925</v>
      </c>
      <c r="E294" s="58" t="s">
        <v>422</v>
      </c>
      <c r="F294" s="58" t="s">
        <v>286</v>
      </c>
      <c r="G294" s="58" t="s">
        <v>74</v>
      </c>
      <c r="H294" s="58">
        <v>56</v>
      </c>
      <c r="I294" s="58" t="str">
        <f>IF(R294="","",VLOOKUP(R294,REGRAS!$B$2:$D$13,3,FALSE()))</f>
        <v>NÃO VENDA</v>
      </c>
      <c r="J294" s="58"/>
      <c r="K294" s="58" t="str">
        <f t="shared" si="12"/>
        <v>RECUPERAÇÃO</v>
      </c>
      <c r="L294" s="58" t="str">
        <f t="shared" si="13"/>
        <v>🟡</v>
      </c>
      <c r="M294" s="58"/>
      <c r="N294" s="58" t="s">
        <v>147</v>
      </c>
      <c r="O294" s="58" t="s">
        <v>146</v>
      </c>
      <c r="P294" s="58" t="s">
        <v>147</v>
      </c>
      <c r="Q294" s="58" t="s">
        <v>39</v>
      </c>
      <c r="R294" s="58" t="s">
        <v>23</v>
      </c>
      <c r="S294" s="58" t="s">
        <v>62</v>
      </c>
      <c r="T294" s="71">
        <f>IF(R294="","",IF(OR(R294="SUPORTE",R294="PERDA / FECHOU LOJA"),"SEM",A294+VLOOKUP(R294,REGRAS!$B$2:$C$13,2,FALSE())))</f>
        <v>46058</v>
      </c>
      <c r="U294" s="58" t="str">
        <f t="shared" si="14"/>
        <v>REATIVAÇÃO</v>
      </c>
      <c r="V294" s="58"/>
      <c r="W294" s="58" t="s">
        <v>146</v>
      </c>
      <c r="X294" s="58"/>
    </row>
    <row r="295" spans="1:24" x14ac:dyDescent="0.3">
      <c r="A295" s="71">
        <v>46061</v>
      </c>
      <c r="B295" s="58" t="s">
        <v>137</v>
      </c>
      <c r="C295" s="58" t="s">
        <v>882</v>
      </c>
      <c r="D295" s="58" t="s">
        <v>926</v>
      </c>
      <c r="E295" s="58" t="s">
        <v>376</v>
      </c>
      <c r="F295" s="58" t="s">
        <v>286</v>
      </c>
      <c r="G295" s="58" t="s">
        <v>79</v>
      </c>
      <c r="H295" s="58">
        <v>163</v>
      </c>
      <c r="I295" s="58" t="str">
        <f>IF(R295="","",VLOOKUP(R295,REGRAS!$B$2:$D$13,3,FALSE()))</f>
        <v>RELAC.</v>
      </c>
      <c r="J295" s="58"/>
      <c r="K295" s="58" t="str">
        <f t="shared" si="12"/>
        <v>CS</v>
      </c>
      <c r="L295" s="58" t="str">
        <f t="shared" si="13"/>
        <v>🔴</v>
      </c>
      <c r="M295" s="58"/>
      <c r="N295" s="58" t="s">
        <v>147</v>
      </c>
      <c r="O295" s="58" t="s">
        <v>146</v>
      </c>
      <c r="P295" s="58" t="s">
        <v>146</v>
      </c>
      <c r="Q295" s="58" t="s">
        <v>39</v>
      </c>
      <c r="R295" s="58" t="s">
        <v>14</v>
      </c>
      <c r="S295" s="58"/>
      <c r="T295" s="71">
        <f>IF(R295="","",IF(OR(R295="SUPORTE",R295="PERDA / FECHOU LOJA"),"SEM",A295+VLOOKUP(R295,REGRAS!$B$2:$C$13,2,FALSE())))</f>
        <v>46068</v>
      </c>
      <c r="U295" s="58" t="str">
        <f t="shared" si="14"/>
        <v>CS</v>
      </c>
      <c r="V295" s="58"/>
      <c r="W295" s="58" t="s">
        <v>146</v>
      </c>
      <c r="X295" s="58"/>
    </row>
    <row r="296" spans="1:24" x14ac:dyDescent="0.3">
      <c r="A296" s="71">
        <v>46081</v>
      </c>
      <c r="B296" s="58" t="s">
        <v>135</v>
      </c>
      <c r="C296" s="58" t="s">
        <v>927</v>
      </c>
      <c r="D296" s="58" t="s">
        <v>928</v>
      </c>
      <c r="E296" s="58" t="s">
        <v>332</v>
      </c>
      <c r="F296" s="58" t="s">
        <v>298</v>
      </c>
      <c r="G296" s="58" t="s">
        <v>71</v>
      </c>
      <c r="H296" s="58">
        <v>21</v>
      </c>
      <c r="I296" s="58" t="str">
        <f>IF(R296="","",VLOOKUP(R296,REGRAS!$B$2:$D$13,3,FALSE()))</f>
        <v>RELAC.</v>
      </c>
      <c r="J296" s="58"/>
      <c r="K296" s="58" t="str">
        <f t="shared" si="12"/>
        <v>SALVAMENTO</v>
      </c>
      <c r="L296" s="58" t="str">
        <f t="shared" si="13"/>
        <v>🟢</v>
      </c>
      <c r="M296" s="58"/>
      <c r="N296" s="58" t="s">
        <v>146</v>
      </c>
      <c r="O296" s="58" t="s">
        <v>147</v>
      </c>
      <c r="P296" s="58" t="s">
        <v>149</v>
      </c>
      <c r="Q296" s="58" t="s">
        <v>37</v>
      </c>
      <c r="R296" s="58" t="s">
        <v>17</v>
      </c>
      <c r="S296" s="58" t="s">
        <v>49</v>
      </c>
      <c r="T296" s="71">
        <f>IF(R296="","",IF(OR(R296="SUPORTE",R296="PERDA / FECHOU LOJA"),"SEM",A296+VLOOKUP(R296,REGRAS!$B$2:$C$13,2,FALSE())))</f>
        <v>46088</v>
      </c>
      <c r="U296" s="58" t="str">
        <f t="shared" si="14"/>
        <v>SALVAMENTO</v>
      </c>
      <c r="V296" s="58"/>
      <c r="W296" s="58" t="s">
        <v>146</v>
      </c>
      <c r="X296" s="58"/>
    </row>
    <row r="297" spans="1:24" x14ac:dyDescent="0.3">
      <c r="A297" s="71">
        <v>46060</v>
      </c>
      <c r="B297" s="58" t="s">
        <v>139</v>
      </c>
      <c r="C297" s="58" t="s">
        <v>929</v>
      </c>
      <c r="D297" s="58" t="s">
        <v>930</v>
      </c>
      <c r="E297" s="58" t="s">
        <v>335</v>
      </c>
      <c r="F297" s="58" t="s">
        <v>295</v>
      </c>
      <c r="G297" s="58" t="s">
        <v>79</v>
      </c>
      <c r="H297" s="58">
        <v>238</v>
      </c>
      <c r="I297" s="58" t="str">
        <f>IF(R297="","",VLOOKUP(R297,REGRAS!$B$2:$D$13,3,FALSE()))</f>
        <v>RELAC.</v>
      </c>
      <c r="J297" s="58"/>
      <c r="K297" s="58" t="str">
        <f t="shared" si="12"/>
        <v>PÓS-VENDA</v>
      </c>
      <c r="L297" s="58" t="str">
        <f t="shared" si="13"/>
        <v>🔴</v>
      </c>
      <c r="M297" s="58"/>
      <c r="N297" s="58" t="s">
        <v>147</v>
      </c>
      <c r="O297" s="58" t="s">
        <v>146</v>
      </c>
      <c r="P297" s="58" t="s">
        <v>147</v>
      </c>
      <c r="Q297" s="58" t="s">
        <v>39</v>
      </c>
      <c r="R297" s="58" t="s">
        <v>21</v>
      </c>
      <c r="S297" s="58"/>
      <c r="T297" s="71" t="str">
        <f>IF(R297="","",IF(OR(R297="SUPORTE",R297="PERDA / FECHOU LOJA"),"SEM",A297+VLOOKUP(R297,REGRAS!$B$2:$C$13,2,FALSE())))</f>
        <v>SEM</v>
      </c>
      <c r="U297" s="58" t="str">
        <f t="shared" si="14"/>
        <v>PÓS-VENDA</v>
      </c>
      <c r="V297" s="58"/>
      <c r="W297" s="58" t="s">
        <v>146</v>
      </c>
      <c r="X297" s="58"/>
    </row>
    <row r="298" spans="1:24" x14ac:dyDescent="0.3">
      <c r="A298" s="71">
        <v>46081</v>
      </c>
      <c r="B298" s="58" t="s">
        <v>135</v>
      </c>
      <c r="C298" s="58" t="s">
        <v>465</v>
      </c>
      <c r="D298" s="58" t="s">
        <v>931</v>
      </c>
      <c r="E298" s="58" t="s">
        <v>340</v>
      </c>
      <c r="F298" s="58" t="s">
        <v>286</v>
      </c>
      <c r="G298" s="58" t="s">
        <v>71</v>
      </c>
      <c r="H298" s="58">
        <v>7</v>
      </c>
      <c r="I298" s="58" t="str">
        <f>IF(R298="","",VLOOKUP(R298,REGRAS!$B$2:$D$13,3,FALSE()))</f>
        <v>RELAC.</v>
      </c>
      <c r="J298" s="58"/>
      <c r="K298" s="58" t="str">
        <f t="shared" si="12"/>
        <v>SALVAMENTO</v>
      </c>
      <c r="L298" s="58" t="str">
        <f t="shared" si="13"/>
        <v>🟢</v>
      </c>
      <c r="M298" s="58"/>
      <c r="N298" s="58" t="s">
        <v>146</v>
      </c>
      <c r="O298" s="58" t="s">
        <v>147</v>
      </c>
      <c r="P298" s="58" t="s">
        <v>149</v>
      </c>
      <c r="Q298" s="58" t="s">
        <v>37</v>
      </c>
      <c r="R298" s="58" t="s">
        <v>17</v>
      </c>
      <c r="S298" s="58" t="s">
        <v>49</v>
      </c>
      <c r="T298" s="71">
        <f>IF(R298="","",IF(OR(R298="SUPORTE",R298="PERDA / FECHOU LOJA"),"SEM",A298+VLOOKUP(R298,REGRAS!$B$2:$C$13,2,FALSE())))</f>
        <v>46088</v>
      </c>
      <c r="U298" s="58" t="str">
        <f t="shared" si="14"/>
        <v>SALVAMENTO</v>
      </c>
      <c r="V298" s="58"/>
      <c r="W298" s="58" t="s">
        <v>147</v>
      </c>
      <c r="X298" s="58"/>
    </row>
    <row r="299" spans="1:24" x14ac:dyDescent="0.3">
      <c r="A299" s="71">
        <v>46066</v>
      </c>
      <c r="B299" s="58" t="s">
        <v>141</v>
      </c>
      <c r="C299" s="58" t="s">
        <v>932</v>
      </c>
      <c r="D299" s="58" t="s">
        <v>933</v>
      </c>
      <c r="E299" s="58" t="s">
        <v>346</v>
      </c>
      <c r="F299" s="58" t="s">
        <v>283</v>
      </c>
      <c r="G299" s="58" t="s">
        <v>71</v>
      </c>
      <c r="H299" s="58">
        <v>35</v>
      </c>
      <c r="I299" s="58" t="str">
        <f>IF(R299="","",VLOOKUP(R299,REGRAS!$B$2:$D$13,3,FALSE()))</f>
        <v>FUNIL</v>
      </c>
      <c r="J299" s="58"/>
      <c r="K299" s="58" t="str">
        <f t="shared" si="12"/>
        <v>RECOMPRA</v>
      </c>
      <c r="L299" s="58" t="str">
        <f t="shared" si="13"/>
        <v>🟢</v>
      </c>
      <c r="M299" s="58"/>
      <c r="N299" s="58" t="s">
        <v>146</v>
      </c>
      <c r="O299" s="58" t="s">
        <v>146</v>
      </c>
      <c r="P299" s="58" t="s">
        <v>146</v>
      </c>
      <c r="Q299" s="58" t="s">
        <v>39</v>
      </c>
      <c r="R299" s="58" t="s">
        <v>12</v>
      </c>
      <c r="S299" s="58"/>
      <c r="T299" s="71">
        <f>IF(R299="","",IF(OR(R299="SUPORTE",R299="PERDA / FECHOU LOJA"),"SEM",A299+VLOOKUP(R299,REGRAS!$B$2:$C$13,2,FALSE())))</f>
        <v>46111</v>
      </c>
      <c r="U299" s="58" t="str">
        <f t="shared" si="14"/>
        <v>RECOMPRA</v>
      </c>
      <c r="V299" s="58"/>
      <c r="W299" s="58" t="s">
        <v>147</v>
      </c>
      <c r="X299" s="58"/>
    </row>
    <row r="300" spans="1:24" x14ac:dyDescent="0.3">
      <c r="A300" s="71">
        <v>46058</v>
      </c>
      <c r="B300" s="58" t="s">
        <v>141</v>
      </c>
      <c r="C300" s="58" t="s">
        <v>934</v>
      </c>
      <c r="D300" s="58" t="s">
        <v>935</v>
      </c>
      <c r="E300" s="58" t="s">
        <v>335</v>
      </c>
      <c r="F300" s="58" t="s">
        <v>292</v>
      </c>
      <c r="G300" s="58" t="s">
        <v>77</v>
      </c>
      <c r="H300" s="58">
        <v>68</v>
      </c>
      <c r="I300" s="58" t="str">
        <f>IF(R300="","",VLOOKUP(R300,REGRAS!$B$2:$D$13,3,FALSE()))</f>
        <v>NÃO VENDA</v>
      </c>
      <c r="J300" s="58"/>
      <c r="K300" s="58" t="str">
        <f t="shared" si="12"/>
        <v>RECUPERAÇÃO</v>
      </c>
      <c r="L300" s="58" t="str">
        <f t="shared" si="13"/>
        <v>🟡</v>
      </c>
      <c r="M300" s="58"/>
      <c r="N300" s="58" t="s">
        <v>146</v>
      </c>
      <c r="O300" s="58" t="s">
        <v>147</v>
      </c>
      <c r="P300" s="58" t="s">
        <v>149</v>
      </c>
      <c r="Q300" s="58" t="s">
        <v>33</v>
      </c>
      <c r="R300" s="58" t="s">
        <v>26</v>
      </c>
      <c r="S300" s="58" t="s">
        <v>49</v>
      </c>
      <c r="T300" s="71">
        <f>IF(R300="","",IF(OR(R300="SUPORTE",R300="PERDA / FECHOU LOJA"),"SEM",A300+VLOOKUP(R300,REGRAS!$B$2:$C$13,2,FALSE())))</f>
        <v>46059</v>
      </c>
      <c r="U300" s="58" t="str">
        <f t="shared" si="14"/>
        <v>REATIVAÇÃO</v>
      </c>
      <c r="V300" s="58"/>
      <c r="W300" s="58" t="s">
        <v>147</v>
      </c>
      <c r="X300" s="58"/>
    </row>
    <row r="301" spans="1:24" x14ac:dyDescent="0.3">
      <c r="A301" s="71">
        <v>46067</v>
      </c>
      <c r="B301" s="58" t="s">
        <v>137</v>
      </c>
      <c r="C301" s="58" t="s">
        <v>936</v>
      </c>
      <c r="D301" s="58" t="s">
        <v>937</v>
      </c>
      <c r="E301" s="58" t="s">
        <v>332</v>
      </c>
      <c r="F301" s="58" t="s">
        <v>295</v>
      </c>
      <c r="G301" s="58" t="s">
        <v>82</v>
      </c>
      <c r="H301" s="58"/>
      <c r="I301" s="58" t="str">
        <f>IF(R301="","",VLOOKUP(R301,REGRAS!$B$2:$D$13,3,FALSE()))</f>
        <v>RELAC.</v>
      </c>
      <c r="J301" s="58"/>
      <c r="K301" s="58" t="str">
        <f t="shared" si="12"/>
        <v>PÓS-VENDA</v>
      </c>
      <c r="L301" s="58" t="str">
        <f t="shared" si="13"/>
        <v/>
      </c>
      <c r="M301" s="58"/>
      <c r="N301" s="58" t="s">
        <v>146</v>
      </c>
      <c r="O301" s="58" t="s">
        <v>147</v>
      </c>
      <c r="P301" s="58" t="s">
        <v>149</v>
      </c>
      <c r="Q301" s="58" t="s">
        <v>43</v>
      </c>
      <c r="R301" s="58" t="s">
        <v>21</v>
      </c>
      <c r="S301" s="58"/>
      <c r="T301" s="71" t="str">
        <f>IF(R301="","",IF(OR(R301="SUPORTE",R301="PERDA / FECHOU LOJA"),"SEM",A301+VLOOKUP(R301,REGRAS!$B$2:$C$13,2,FALSE())))</f>
        <v>SEM</v>
      </c>
      <c r="U301" s="58" t="str">
        <f t="shared" si="14"/>
        <v>PÓS-VENDA</v>
      </c>
      <c r="V301" s="58"/>
      <c r="W301" s="58" t="s">
        <v>146</v>
      </c>
      <c r="X301" s="58"/>
    </row>
    <row r="302" spans="1:24" x14ac:dyDescent="0.3">
      <c r="A302" s="71">
        <v>46075</v>
      </c>
      <c r="B302" s="58" t="s">
        <v>137</v>
      </c>
      <c r="C302" s="58" t="s">
        <v>938</v>
      </c>
      <c r="D302" s="58" t="s">
        <v>939</v>
      </c>
      <c r="E302" s="58" t="s">
        <v>332</v>
      </c>
      <c r="F302" s="58" t="s">
        <v>297</v>
      </c>
      <c r="G302" s="58" t="s">
        <v>71</v>
      </c>
      <c r="H302" s="58">
        <v>33</v>
      </c>
      <c r="I302" s="58" t="str">
        <f>IF(R302="","",VLOOKUP(R302,REGRAS!$B$2:$D$13,3,FALSE()))</f>
        <v>FUNIL</v>
      </c>
      <c r="J302" s="58"/>
      <c r="K302" s="58" t="str">
        <f t="shared" si="12"/>
        <v>PROSPECÇÃO</v>
      </c>
      <c r="L302" s="58" t="str">
        <f t="shared" si="13"/>
        <v>🟢</v>
      </c>
      <c r="M302" s="58"/>
      <c r="N302" s="58" t="s">
        <v>147</v>
      </c>
      <c r="O302" s="58" t="s">
        <v>146</v>
      </c>
      <c r="P302" s="58" t="s">
        <v>146</v>
      </c>
      <c r="Q302" s="58" t="s">
        <v>39</v>
      </c>
      <c r="R302" s="58" t="s">
        <v>8</v>
      </c>
      <c r="S302" s="58"/>
      <c r="T302" s="71">
        <f>IF(R302="","",IF(OR(R302="SUPORTE",R302="PERDA / FECHOU LOJA"),"SEM",A302+VLOOKUP(R302,REGRAS!$B$2:$C$13,2,FALSE())))</f>
        <v>46076</v>
      </c>
      <c r="U302" s="58" t="str">
        <f t="shared" si="14"/>
        <v>PROSPECÇÃO</v>
      </c>
      <c r="V302" s="58"/>
      <c r="W302" s="58" t="s">
        <v>147</v>
      </c>
      <c r="X302" s="58"/>
    </row>
    <row r="303" spans="1:24" x14ac:dyDescent="0.3">
      <c r="A303" s="71">
        <v>46071</v>
      </c>
      <c r="B303" s="58" t="s">
        <v>137</v>
      </c>
      <c r="C303" s="58" t="s">
        <v>940</v>
      </c>
      <c r="D303" s="58" t="s">
        <v>941</v>
      </c>
      <c r="E303" s="58" t="s">
        <v>381</v>
      </c>
      <c r="F303" s="58" t="s">
        <v>298</v>
      </c>
      <c r="G303" s="58" t="s">
        <v>71</v>
      </c>
      <c r="H303" s="58">
        <v>8</v>
      </c>
      <c r="I303" s="58" t="str">
        <f>IF(R303="","",VLOOKUP(R303,REGRAS!$B$2:$D$13,3,FALSE()))</f>
        <v>NÃO VENDA</v>
      </c>
      <c r="J303" s="58"/>
      <c r="K303" s="58" t="str">
        <f t="shared" si="12"/>
        <v>RECUPERAÇÃO</v>
      </c>
      <c r="L303" s="58" t="str">
        <f t="shared" si="13"/>
        <v>🟢</v>
      </c>
      <c r="M303" s="58"/>
      <c r="N303" s="58" t="s">
        <v>146</v>
      </c>
      <c r="O303" s="58" t="s">
        <v>146</v>
      </c>
      <c r="P303" s="58" t="s">
        <v>147</v>
      </c>
      <c r="Q303" s="58" t="s">
        <v>37</v>
      </c>
      <c r="R303" s="58" t="s">
        <v>23</v>
      </c>
      <c r="S303" s="58" t="s">
        <v>49</v>
      </c>
      <c r="T303" s="71">
        <f>IF(R303="","",IF(OR(R303="SUPORTE",R303="PERDA / FECHOU LOJA"),"SEM",A303+VLOOKUP(R303,REGRAS!$B$2:$C$13,2,FALSE())))</f>
        <v>46072</v>
      </c>
      <c r="U303" s="58" t="str">
        <f t="shared" si="14"/>
        <v>REATIVAÇÃO</v>
      </c>
      <c r="V303" s="58"/>
      <c r="W303" s="58" t="s">
        <v>146</v>
      </c>
      <c r="X303" s="58"/>
    </row>
    <row r="304" spans="1:24" x14ac:dyDescent="0.3">
      <c r="A304" s="71">
        <v>46062</v>
      </c>
      <c r="B304" s="58" t="s">
        <v>139</v>
      </c>
      <c r="C304" s="58" t="s">
        <v>942</v>
      </c>
      <c r="D304" s="58" t="s">
        <v>943</v>
      </c>
      <c r="E304" s="58" t="s">
        <v>422</v>
      </c>
      <c r="F304" s="58" t="s">
        <v>298</v>
      </c>
      <c r="G304" s="58" t="s">
        <v>79</v>
      </c>
      <c r="H304" s="58">
        <v>171</v>
      </c>
      <c r="I304" s="58" t="str">
        <f>IF(R304="","",VLOOKUP(R304,REGRAS!$B$2:$D$13,3,FALSE()))</f>
        <v>RELAC.</v>
      </c>
      <c r="J304" s="58"/>
      <c r="K304" s="58" t="str">
        <f t="shared" si="12"/>
        <v>SALVAMENTO</v>
      </c>
      <c r="L304" s="58" t="str">
        <f t="shared" si="13"/>
        <v>🔴</v>
      </c>
      <c r="M304" s="58"/>
      <c r="N304" s="58" t="s">
        <v>146</v>
      </c>
      <c r="O304" s="58" t="s">
        <v>146</v>
      </c>
      <c r="P304" s="58" t="s">
        <v>147</v>
      </c>
      <c r="Q304" s="58" t="s">
        <v>39</v>
      </c>
      <c r="R304" s="58" t="s">
        <v>17</v>
      </c>
      <c r="S304" s="58" t="s">
        <v>57</v>
      </c>
      <c r="T304" s="71">
        <f>IF(R304="","",IF(OR(R304="SUPORTE",R304="PERDA / FECHOU LOJA"),"SEM",A304+VLOOKUP(R304,REGRAS!$B$2:$C$13,2,FALSE())))</f>
        <v>46069</v>
      </c>
      <c r="U304" s="58" t="str">
        <f t="shared" si="14"/>
        <v>SALVAMENTO</v>
      </c>
      <c r="V304" s="58"/>
      <c r="W304" s="58" t="s">
        <v>147</v>
      </c>
      <c r="X304" s="58"/>
    </row>
    <row r="305" spans="1:24" x14ac:dyDescent="0.3">
      <c r="A305" s="71">
        <v>46055</v>
      </c>
      <c r="B305" s="58" t="s">
        <v>135</v>
      </c>
      <c r="C305" s="58" t="s">
        <v>944</v>
      </c>
      <c r="D305" s="58" t="s">
        <v>945</v>
      </c>
      <c r="E305" s="58" t="s">
        <v>366</v>
      </c>
      <c r="F305" s="58" t="s">
        <v>295</v>
      </c>
      <c r="G305" s="58" t="s">
        <v>79</v>
      </c>
      <c r="H305" s="58">
        <v>151</v>
      </c>
      <c r="I305" s="58" t="str">
        <f>IF(R305="","",VLOOKUP(R305,REGRAS!$B$2:$D$13,3,FALSE()))</f>
        <v>RELAC.</v>
      </c>
      <c r="J305" s="58"/>
      <c r="K305" s="58" t="str">
        <f t="shared" si="12"/>
        <v>PÓS-VENDA</v>
      </c>
      <c r="L305" s="58" t="str">
        <f t="shared" si="13"/>
        <v>🔴</v>
      </c>
      <c r="M305" s="58"/>
      <c r="N305" s="58" t="s">
        <v>146</v>
      </c>
      <c r="O305" s="58" t="s">
        <v>146</v>
      </c>
      <c r="P305" s="58" t="s">
        <v>146</v>
      </c>
      <c r="Q305" s="58" t="s">
        <v>45</v>
      </c>
      <c r="R305" s="58" t="s">
        <v>21</v>
      </c>
      <c r="S305" s="58"/>
      <c r="T305" s="71" t="str">
        <f>IF(R305="","",IF(OR(R305="SUPORTE",R305="PERDA / FECHOU LOJA"),"SEM",A305+VLOOKUP(R305,REGRAS!$B$2:$C$13,2,FALSE())))</f>
        <v>SEM</v>
      </c>
      <c r="U305" s="58" t="str">
        <f t="shared" si="14"/>
        <v>PÓS-VENDA</v>
      </c>
      <c r="V305" s="58"/>
      <c r="W305" s="58" t="s">
        <v>146</v>
      </c>
      <c r="X305" s="58"/>
    </row>
    <row r="306" spans="1:24" x14ac:dyDescent="0.3">
      <c r="A306" s="71">
        <v>46080</v>
      </c>
      <c r="B306" s="58" t="s">
        <v>141</v>
      </c>
      <c r="C306" s="58" t="s">
        <v>946</v>
      </c>
      <c r="D306" s="58" t="s">
        <v>947</v>
      </c>
      <c r="E306" s="58" t="s">
        <v>332</v>
      </c>
      <c r="F306" s="58" t="s">
        <v>292</v>
      </c>
      <c r="G306" s="58" t="s">
        <v>77</v>
      </c>
      <c r="H306" s="58">
        <v>82</v>
      </c>
      <c r="I306" s="58" t="str">
        <f>IF(R306="","",VLOOKUP(R306,REGRAS!$B$2:$D$13,3,FALSE()))</f>
        <v>RELAC.</v>
      </c>
      <c r="J306" s="58"/>
      <c r="K306" s="58" t="str">
        <f t="shared" si="12"/>
        <v>SALVAMENTO</v>
      </c>
      <c r="L306" s="58" t="str">
        <f t="shared" si="13"/>
        <v>🟡</v>
      </c>
      <c r="M306" s="58"/>
      <c r="N306" s="58" t="s">
        <v>146</v>
      </c>
      <c r="O306" s="58" t="s">
        <v>146</v>
      </c>
      <c r="P306" s="58" t="s">
        <v>146</v>
      </c>
      <c r="Q306" s="58" t="s">
        <v>39</v>
      </c>
      <c r="R306" s="58" t="s">
        <v>17</v>
      </c>
      <c r="S306" s="58" t="s">
        <v>66</v>
      </c>
      <c r="T306" s="71">
        <f>IF(R306="","",IF(OR(R306="SUPORTE",R306="PERDA / FECHOU LOJA"),"SEM",A306+VLOOKUP(R306,REGRAS!$B$2:$C$13,2,FALSE())))</f>
        <v>46087</v>
      </c>
      <c r="U306" s="58" t="str">
        <f t="shared" si="14"/>
        <v>SALVAMENTO</v>
      </c>
      <c r="V306" s="58"/>
      <c r="W306" s="58" t="s">
        <v>147</v>
      </c>
      <c r="X306" s="58"/>
    </row>
    <row r="307" spans="1:24" x14ac:dyDescent="0.3">
      <c r="A307" s="71">
        <v>46064</v>
      </c>
      <c r="B307" s="58" t="s">
        <v>137</v>
      </c>
      <c r="C307" s="58" t="s">
        <v>669</v>
      </c>
      <c r="D307" s="58" t="s">
        <v>948</v>
      </c>
      <c r="E307" s="58" t="s">
        <v>346</v>
      </c>
      <c r="F307" s="58" t="s">
        <v>292</v>
      </c>
      <c r="G307" s="58" t="s">
        <v>71</v>
      </c>
      <c r="H307" s="58">
        <v>50</v>
      </c>
      <c r="I307" s="58" t="str">
        <f>IF(R307="","",VLOOKUP(R307,REGRAS!$B$2:$D$13,3,FALSE()))</f>
        <v>NÃO VENDA</v>
      </c>
      <c r="J307" s="58"/>
      <c r="K307" s="58" t="str">
        <f t="shared" si="12"/>
        <v>RECUPERAÇÃO</v>
      </c>
      <c r="L307" s="58" t="str">
        <f t="shared" si="13"/>
        <v>🟢</v>
      </c>
      <c r="M307" s="58"/>
      <c r="N307" s="58" t="s">
        <v>146</v>
      </c>
      <c r="O307" s="58" t="s">
        <v>147</v>
      </c>
      <c r="P307" s="58" t="s">
        <v>149</v>
      </c>
      <c r="Q307" s="58" t="s">
        <v>43</v>
      </c>
      <c r="R307" s="58" t="s">
        <v>26</v>
      </c>
      <c r="S307" s="58" t="s">
        <v>61</v>
      </c>
      <c r="T307" s="71">
        <f>IF(R307="","",IF(OR(R307="SUPORTE",R307="PERDA / FECHOU LOJA"),"SEM",A307+VLOOKUP(R307,REGRAS!$B$2:$C$13,2,FALSE())))</f>
        <v>46065</v>
      </c>
      <c r="U307" s="58" t="str">
        <f t="shared" si="14"/>
        <v>REATIVAÇÃO</v>
      </c>
      <c r="V307" s="58"/>
      <c r="W307" s="58" t="s">
        <v>147</v>
      </c>
      <c r="X307" s="58"/>
    </row>
    <row r="308" spans="1:24" x14ac:dyDescent="0.3">
      <c r="A308" s="71">
        <v>46072</v>
      </c>
      <c r="B308" s="58" t="s">
        <v>141</v>
      </c>
      <c r="C308" s="58" t="s">
        <v>949</v>
      </c>
      <c r="D308" s="58" t="s">
        <v>950</v>
      </c>
      <c r="E308" s="58" t="s">
        <v>366</v>
      </c>
      <c r="F308" s="58" t="s">
        <v>292</v>
      </c>
      <c r="G308" s="58" t="s">
        <v>79</v>
      </c>
      <c r="H308" s="58">
        <v>286</v>
      </c>
      <c r="I308" s="58" t="str">
        <f>IF(R308="","",VLOOKUP(R308,REGRAS!$B$2:$D$13,3,FALSE()))</f>
        <v>RELAC.</v>
      </c>
      <c r="J308" s="58"/>
      <c r="K308" s="58" t="str">
        <f t="shared" si="12"/>
        <v>PÓS-VENDA</v>
      </c>
      <c r="L308" s="58" t="str">
        <f t="shared" si="13"/>
        <v>🔴</v>
      </c>
      <c r="M308" s="58"/>
      <c r="N308" s="58" t="s">
        <v>147</v>
      </c>
      <c r="O308" s="58" t="s">
        <v>146</v>
      </c>
      <c r="P308" s="58" t="s">
        <v>147</v>
      </c>
      <c r="Q308" s="58" t="s">
        <v>37</v>
      </c>
      <c r="R308" s="58" t="s">
        <v>21</v>
      </c>
      <c r="S308" s="58"/>
      <c r="T308" s="71" t="str">
        <f>IF(R308="","",IF(OR(R308="SUPORTE",R308="PERDA / FECHOU LOJA"),"SEM",A308+VLOOKUP(R308,REGRAS!$B$2:$C$13,2,FALSE())))</f>
        <v>SEM</v>
      </c>
      <c r="U308" s="58" t="str">
        <f t="shared" si="14"/>
        <v>PÓS-VENDA</v>
      </c>
      <c r="V308" s="58"/>
      <c r="W308" s="58" t="s">
        <v>147</v>
      </c>
      <c r="X308" s="58"/>
    </row>
    <row r="309" spans="1:24" x14ac:dyDescent="0.3">
      <c r="A309" s="71">
        <v>46074</v>
      </c>
      <c r="B309" s="58" t="s">
        <v>141</v>
      </c>
      <c r="C309" s="58" t="s">
        <v>951</v>
      </c>
      <c r="D309" s="58" t="s">
        <v>952</v>
      </c>
      <c r="E309" s="58" t="s">
        <v>340</v>
      </c>
      <c r="F309" s="58" t="s">
        <v>296</v>
      </c>
      <c r="G309" s="58" t="s">
        <v>71</v>
      </c>
      <c r="H309" s="58">
        <v>41</v>
      </c>
      <c r="I309" s="58" t="str">
        <f>IF(R309="","",VLOOKUP(R309,REGRAS!$B$2:$D$13,3,FALSE()))</f>
        <v>RELAC.</v>
      </c>
      <c r="J309" s="58"/>
      <c r="K309" s="58" t="str">
        <f t="shared" si="12"/>
        <v>SALVAMENTO</v>
      </c>
      <c r="L309" s="58" t="str">
        <f t="shared" si="13"/>
        <v>🟢</v>
      </c>
      <c r="M309" s="58"/>
      <c r="N309" s="58" t="s">
        <v>146</v>
      </c>
      <c r="O309" s="58" t="s">
        <v>146</v>
      </c>
      <c r="P309" s="58" t="s">
        <v>146</v>
      </c>
      <c r="Q309" s="58" t="s">
        <v>39</v>
      </c>
      <c r="R309" s="58" t="s">
        <v>17</v>
      </c>
      <c r="S309" s="58" t="s">
        <v>61</v>
      </c>
      <c r="T309" s="71">
        <f>IF(R309="","",IF(OR(R309="SUPORTE",R309="PERDA / FECHOU LOJA"),"SEM",A309+VLOOKUP(R309,REGRAS!$B$2:$C$13,2,FALSE())))</f>
        <v>46081</v>
      </c>
      <c r="U309" s="58" t="str">
        <f t="shared" si="14"/>
        <v>SALVAMENTO</v>
      </c>
      <c r="V309" s="58"/>
      <c r="W309" s="58" t="s">
        <v>146</v>
      </c>
      <c r="X309" s="58"/>
    </row>
    <row r="310" spans="1:24" x14ac:dyDescent="0.3">
      <c r="A310" s="71">
        <v>46081</v>
      </c>
      <c r="B310" s="58" t="s">
        <v>139</v>
      </c>
      <c r="C310" s="58" t="s">
        <v>953</v>
      </c>
      <c r="D310" s="58" t="s">
        <v>954</v>
      </c>
      <c r="E310" s="58" t="s">
        <v>332</v>
      </c>
      <c r="F310" s="58" t="s">
        <v>283</v>
      </c>
      <c r="G310" s="58" t="s">
        <v>79</v>
      </c>
      <c r="H310" s="58">
        <v>94</v>
      </c>
      <c r="I310" s="58" t="str">
        <f>IF(R310="","",VLOOKUP(R310,REGRAS!$B$2:$D$13,3,FALSE()))</f>
        <v>FUNIL</v>
      </c>
      <c r="J310" s="58"/>
      <c r="K310" s="58" t="str">
        <f t="shared" si="12"/>
        <v>PROSPECÇÃO</v>
      </c>
      <c r="L310" s="58" t="str">
        <f t="shared" si="13"/>
        <v>🔴</v>
      </c>
      <c r="M310" s="58"/>
      <c r="N310" s="58" t="s">
        <v>146</v>
      </c>
      <c r="O310" s="58" t="s">
        <v>147</v>
      </c>
      <c r="P310" s="58" t="s">
        <v>149</v>
      </c>
      <c r="Q310" s="58" t="s">
        <v>43</v>
      </c>
      <c r="R310" s="58" t="s">
        <v>8</v>
      </c>
      <c r="S310" s="58"/>
      <c r="T310" s="71">
        <f>IF(R310="","",IF(OR(R310="SUPORTE",R310="PERDA / FECHOU LOJA"),"SEM",A310+VLOOKUP(R310,REGRAS!$B$2:$C$13,2,FALSE())))</f>
        <v>46082</v>
      </c>
      <c r="U310" s="58" t="str">
        <f t="shared" si="14"/>
        <v>PROSPECÇÃO</v>
      </c>
      <c r="V310" s="58"/>
      <c r="W310" s="58" t="s">
        <v>146</v>
      </c>
      <c r="X310" s="58"/>
    </row>
    <row r="311" spans="1:24" x14ac:dyDescent="0.3">
      <c r="A311" s="71">
        <v>46060</v>
      </c>
      <c r="B311" s="58" t="s">
        <v>135</v>
      </c>
      <c r="C311" s="58" t="s">
        <v>955</v>
      </c>
      <c r="D311" s="58" t="s">
        <v>956</v>
      </c>
      <c r="E311" s="58" t="s">
        <v>376</v>
      </c>
      <c r="F311" s="58" t="s">
        <v>292</v>
      </c>
      <c r="G311" s="58" t="s">
        <v>77</v>
      </c>
      <c r="H311" s="58">
        <v>87</v>
      </c>
      <c r="I311" s="58" t="str">
        <f>IF(R311="","",VLOOKUP(R311,REGRAS!$B$2:$D$13,3,FALSE()))</f>
        <v>FUNIL</v>
      </c>
      <c r="J311" s="58"/>
      <c r="K311" s="58" t="str">
        <f t="shared" si="12"/>
        <v>PROSPECÇÃO</v>
      </c>
      <c r="L311" s="58" t="str">
        <f t="shared" si="13"/>
        <v>🟡</v>
      </c>
      <c r="M311" s="58"/>
      <c r="N311" s="58" t="s">
        <v>146</v>
      </c>
      <c r="O311" s="58" t="s">
        <v>147</v>
      </c>
      <c r="P311" s="58" t="s">
        <v>149</v>
      </c>
      <c r="Q311" s="58" t="s">
        <v>39</v>
      </c>
      <c r="R311" s="58" t="s">
        <v>8</v>
      </c>
      <c r="S311" s="58"/>
      <c r="T311" s="71">
        <f>IF(R311="","",IF(OR(R311="SUPORTE",R311="PERDA / FECHOU LOJA"),"SEM",A311+VLOOKUP(R311,REGRAS!$B$2:$C$13,2,FALSE())))</f>
        <v>46061</v>
      </c>
      <c r="U311" s="58" t="str">
        <f t="shared" si="14"/>
        <v>PROSPECÇÃO</v>
      </c>
      <c r="V311" s="58"/>
      <c r="W311" s="58" t="s">
        <v>146</v>
      </c>
      <c r="X311" s="58"/>
    </row>
    <row r="312" spans="1:24" x14ac:dyDescent="0.3">
      <c r="A312" s="71">
        <v>46070</v>
      </c>
      <c r="B312" s="58" t="s">
        <v>139</v>
      </c>
      <c r="C312" s="58" t="s">
        <v>957</v>
      </c>
      <c r="D312" s="58" t="s">
        <v>958</v>
      </c>
      <c r="E312" s="58" t="s">
        <v>376</v>
      </c>
      <c r="F312" s="58" t="s">
        <v>286</v>
      </c>
      <c r="G312" s="58" t="s">
        <v>79</v>
      </c>
      <c r="H312" s="58">
        <v>233</v>
      </c>
      <c r="I312" s="58" t="str">
        <f>IF(R312="","",VLOOKUP(R312,REGRAS!$B$2:$D$13,3,FALSE()))</f>
        <v>RELAC.</v>
      </c>
      <c r="J312" s="58"/>
      <c r="K312" s="58" t="str">
        <f t="shared" si="12"/>
        <v>PÓS-VENDA</v>
      </c>
      <c r="L312" s="58" t="str">
        <f t="shared" si="13"/>
        <v>🔴</v>
      </c>
      <c r="M312" s="58"/>
      <c r="N312" s="58" t="s">
        <v>147</v>
      </c>
      <c r="O312" s="58" t="s">
        <v>146</v>
      </c>
      <c r="P312" s="58" t="s">
        <v>146</v>
      </c>
      <c r="Q312" s="58" t="s">
        <v>39</v>
      </c>
      <c r="R312" s="58" t="s">
        <v>21</v>
      </c>
      <c r="S312" s="58"/>
      <c r="T312" s="71" t="str">
        <f>IF(R312="","",IF(OR(R312="SUPORTE",R312="PERDA / FECHOU LOJA"),"SEM",A312+VLOOKUP(R312,REGRAS!$B$2:$C$13,2,FALSE())))</f>
        <v>SEM</v>
      </c>
      <c r="U312" s="58" t="str">
        <f t="shared" si="14"/>
        <v>PÓS-VENDA</v>
      </c>
      <c r="V312" s="58"/>
      <c r="W312" s="58" t="s">
        <v>147</v>
      </c>
      <c r="X312" s="58"/>
    </row>
    <row r="313" spans="1:24" x14ac:dyDescent="0.3">
      <c r="A313" s="71">
        <v>46078</v>
      </c>
      <c r="B313" s="58" t="s">
        <v>141</v>
      </c>
      <c r="C313" s="58" t="s">
        <v>959</v>
      </c>
      <c r="D313" s="58" t="s">
        <v>960</v>
      </c>
      <c r="E313" s="58" t="s">
        <v>376</v>
      </c>
      <c r="F313" s="58" t="s">
        <v>283</v>
      </c>
      <c r="G313" s="58" t="s">
        <v>82</v>
      </c>
      <c r="H313" s="58"/>
      <c r="I313" s="58" t="str">
        <f>IF(R313="","",VLOOKUP(R313,REGRAS!$B$2:$D$13,3,FALSE()))</f>
        <v>RELAC.</v>
      </c>
      <c r="J313" s="58"/>
      <c r="K313" s="58" t="str">
        <f t="shared" si="12"/>
        <v>PÓS-VENDA</v>
      </c>
      <c r="L313" s="58" t="str">
        <f t="shared" si="13"/>
        <v/>
      </c>
      <c r="M313" s="58"/>
      <c r="N313" s="58" t="s">
        <v>146</v>
      </c>
      <c r="O313" s="58" t="s">
        <v>147</v>
      </c>
      <c r="P313" s="58" t="s">
        <v>149</v>
      </c>
      <c r="Q313" s="58" t="s">
        <v>39</v>
      </c>
      <c r="R313" s="58" t="s">
        <v>21</v>
      </c>
      <c r="S313" s="58"/>
      <c r="T313" s="71" t="str">
        <f>IF(R313="","",IF(OR(R313="SUPORTE",R313="PERDA / FECHOU LOJA"),"SEM",A313+VLOOKUP(R313,REGRAS!$B$2:$C$13,2,FALSE())))</f>
        <v>SEM</v>
      </c>
      <c r="U313" s="58" t="str">
        <f t="shared" si="14"/>
        <v>PÓS-VENDA</v>
      </c>
      <c r="V313" s="58"/>
      <c r="W313" s="58" t="s">
        <v>147</v>
      </c>
      <c r="X313" s="58"/>
    </row>
    <row r="314" spans="1:24" x14ac:dyDescent="0.3">
      <c r="A314" s="71">
        <v>46076</v>
      </c>
      <c r="B314" s="58" t="s">
        <v>137</v>
      </c>
      <c r="C314" s="58" t="s">
        <v>961</v>
      </c>
      <c r="D314" s="58" t="s">
        <v>962</v>
      </c>
      <c r="E314" s="58" t="s">
        <v>335</v>
      </c>
      <c r="F314" s="58" t="s">
        <v>292</v>
      </c>
      <c r="G314" s="58" t="s">
        <v>71</v>
      </c>
      <c r="H314" s="58">
        <v>34</v>
      </c>
      <c r="I314" s="58" t="str">
        <f>IF(R314="","",VLOOKUP(R314,REGRAS!$B$2:$D$13,3,FALSE()))</f>
        <v>FUNIL</v>
      </c>
      <c r="J314" s="58"/>
      <c r="K314" s="58" t="str">
        <f t="shared" si="12"/>
        <v>PROSPECÇÃO</v>
      </c>
      <c r="L314" s="58" t="str">
        <f t="shared" si="13"/>
        <v>🟢</v>
      </c>
      <c r="M314" s="58"/>
      <c r="N314" s="58" t="s">
        <v>146</v>
      </c>
      <c r="O314" s="58" t="s">
        <v>147</v>
      </c>
      <c r="P314" s="58" t="s">
        <v>149</v>
      </c>
      <c r="Q314" s="58" t="s">
        <v>33</v>
      </c>
      <c r="R314" s="58" t="s">
        <v>8</v>
      </c>
      <c r="S314" s="58"/>
      <c r="T314" s="71">
        <f>IF(R314="","",IF(OR(R314="SUPORTE",R314="PERDA / FECHOU LOJA"),"SEM",A314+VLOOKUP(R314,REGRAS!$B$2:$C$13,2,FALSE())))</f>
        <v>46077</v>
      </c>
      <c r="U314" s="58" t="str">
        <f t="shared" si="14"/>
        <v>PROSPECÇÃO</v>
      </c>
      <c r="V314" s="58"/>
      <c r="W314" s="58" t="s">
        <v>146</v>
      </c>
      <c r="X314" s="58"/>
    </row>
    <row r="315" spans="1:24" x14ac:dyDescent="0.3">
      <c r="A315" s="71">
        <v>46077</v>
      </c>
      <c r="B315" s="58" t="s">
        <v>135</v>
      </c>
      <c r="C315" s="58" t="s">
        <v>963</v>
      </c>
      <c r="D315" s="58" t="s">
        <v>964</v>
      </c>
      <c r="E315" s="58" t="s">
        <v>340</v>
      </c>
      <c r="F315" s="58" t="s">
        <v>292</v>
      </c>
      <c r="G315" s="58" t="s">
        <v>85</v>
      </c>
      <c r="H315" s="58"/>
      <c r="I315" s="58" t="str">
        <f>IF(R315="","",VLOOKUP(R315,REGRAS!$B$2:$D$13,3,FALSE()))</f>
        <v>FUNIL</v>
      </c>
      <c r="J315" s="58"/>
      <c r="K315" s="58" t="str">
        <f t="shared" si="12"/>
        <v>RECOMPRA</v>
      </c>
      <c r="L315" s="58" t="str">
        <f t="shared" si="13"/>
        <v/>
      </c>
      <c r="M315" s="58"/>
      <c r="N315" s="58" t="s">
        <v>146</v>
      </c>
      <c r="O315" s="58" t="s">
        <v>146</v>
      </c>
      <c r="P315" s="58" t="s">
        <v>146</v>
      </c>
      <c r="Q315" s="58" t="s">
        <v>39</v>
      </c>
      <c r="R315" s="58" t="s">
        <v>12</v>
      </c>
      <c r="S315" s="58"/>
      <c r="T315" s="71">
        <f>IF(R315="","",IF(OR(R315="SUPORTE",R315="PERDA / FECHOU LOJA"),"SEM",A315+VLOOKUP(R315,REGRAS!$B$2:$C$13,2,FALSE())))</f>
        <v>46122</v>
      </c>
      <c r="U315" s="58" t="str">
        <f t="shared" si="14"/>
        <v>RECOMPRA</v>
      </c>
      <c r="V315" s="58"/>
      <c r="W315" s="58" t="s">
        <v>146</v>
      </c>
      <c r="X315" s="58"/>
    </row>
    <row r="316" spans="1:24" x14ac:dyDescent="0.3">
      <c r="A316" s="71">
        <v>46081</v>
      </c>
      <c r="B316" s="58" t="s">
        <v>139</v>
      </c>
      <c r="C316" s="58" t="s">
        <v>965</v>
      </c>
      <c r="D316" s="58" t="s">
        <v>966</v>
      </c>
      <c r="E316" s="58" t="s">
        <v>366</v>
      </c>
      <c r="F316" s="58" t="s">
        <v>292</v>
      </c>
      <c r="G316" s="58" t="s">
        <v>85</v>
      </c>
      <c r="H316" s="58"/>
      <c r="I316" s="58" t="str">
        <f>IF(R316="","",VLOOKUP(R316,REGRAS!$B$2:$D$13,3,FALSE()))</f>
        <v>FUNIL</v>
      </c>
      <c r="J316" s="58"/>
      <c r="K316" s="58" t="str">
        <f t="shared" si="12"/>
        <v>PROSPECÇÃO</v>
      </c>
      <c r="L316" s="58" t="str">
        <f t="shared" si="13"/>
        <v/>
      </c>
      <c r="M316" s="58"/>
      <c r="N316" s="58" t="s">
        <v>147</v>
      </c>
      <c r="O316" s="58" t="s">
        <v>147</v>
      </c>
      <c r="P316" s="58" t="s">
        <v>149</v>
      </c>
      <c r="Q316" s="58" t="s">
        <v>37</v>
      </c>
      <c r="R316" s="58" t="s">
        <v>8</v>
      </c>
      <c r="S316" s="58"/>
      <c r="T316" s="71">
        <f>IF(R316="","",IF(OR(R316="SUPORTE",R316="PERDA / FECHOU LOJA"),"SEM",A316+VLOOKUP(R316,REGRAS!$B$2:$C$13,2,FALSE())))</f>
        <v>46082</v>
      </c>
      <c r="U316" s="58" t="str">
        <f t="shared" si="14"/>
        <v>PROSPECÇÃO</v>
      </c>
      <c r="V316" s="58"/>
      <c r="W316" s="58" t="s">
        <v>146</v>
      </c>
      <c r="X316" s="58"/>
    </row>
    <row r="317" spans="1:24" x14ac:dyDescent="0.3">
      <c r="A317" s="71">
        <v>46078</v>
      </c>
      <c r="B317" s="58" t="s">
        <v>135</v>
      </c>
      <c r="C317" s="58" t="s">
        <v>967</v>
      </c>
      <c r="D317" s="58" t="s">
        <v>968</v>
      </c>
      <c r="E317" s="58" t="s">
        <v>361</v>
      </c>
      <c r="F317" s="58" t="s">
        <v>289</v>
      </c>
      <c r="G317" s="58" t="s">
        <v>77</v>
      </c>
      <c r="H317" s="58">
        <v>76</v>
      </c>
      <c r="I317" s="58" t="str">
        <f>IF(R317="","",VLOOKUP(R317,REGRAS!$B$2:$D$13,3,FALSE()))</f>
        <v>RELAC.</v>
      </c>
      <c r="J317" s="58"/>
      <c r="K317" s="58" t="str">
        <f t="shared" si="12"/>
        <v>CS</v>
      </c>
      <c r="L317" s="58" t="str">
        <f t="shared" si="13"/>
        <v>🟡</v>
      </c>
      <c r="M317" s="58"/>
      <c r="N317" s="58" t="s">
        <v>146</v>
      </c>
      <c r="O317" s="58" t="s">
        <v>146</v>
      </c>
      <c r="P317" s="58" t="s">
        <v>147</v>
      </c>
      <c r="Q317" s="58" t="s">
        <v>39</v>
      </c>
      <c r="R317" s="58" t="s">
        <v>14</v>
      </c>
      <c r="S317" s="58"/>
      <c r="T317" s="71">
        <f>IF(R317="","",IF(OR(R317="SUPORTE",R317="PERDA / FECHOU LOJA"),"SEM",A317+VLOOKUP(R317,REGRAS!$B$2:$C$13,2,FALSE())))</f>
        <v>46085</v>
      </c>
      <c r="U317" s="58" t="str">
        <f t="shared" si="14"/>
        <v>CS</v>
      </c>
      <c r="V317" s="58"/>
      <c r="W317" s="58" t="s">
        <v>146</v>
      </c>
      <c r="X317" s="58"/>
    </row>
    <row r="318" spans="1:24" x14ac:dyDescent="0.3">
      <c r="A318" s="71">
        <v>46074</v>
      </c>
      <c r="B318" s="58" t="s">
        <v>137</v>
      </c>
      <c r="C318" s="58" t="s">
        <v>969</v>
      </c>
      <c r="D318" s="58" t="s">
        <v>970</v>
      </c>
      <c r="E318" s="58" t="s">
        <v>332</v>
      </c>
      <c r="F318" s="58" t="s">
        <v>283</v>
      </c>
      <c r="G318" s="58" t="s">
        <v>77</v>
      </c>
      <c r="H318" s="58">
        <v>80</v>
      </c>
      <c r="I318" s="58" t="str">
        <f>IF(R318="","",VLOOKUP(R318,REGRAS!$B$2:$D$13,3,FALSE()))</f>
        <v>RELAC.</v>
      </c>
      <c r="J318" s="58"/>
      <c r="K318" s="58" t="str">
        <f t="shared" si="12"/>
        <v>CS</v>
      </c>
      <c r="L318" s="58" t="str">
        <f t="shared" si="13"/>
        <v>🟡</v>
      </c>
      <c r="M318" s="58"/>
      <c r="N318" s="58" t="s">
        <v>146</v>
      </c>
      <c r="O318" s="58" t="s">
        <v>146</v>
      </c>
      <c r="P318" s="58" t="s">
        <v>146</v>
      </c>
      <c r="Q318" s="58" t="s">
        <v>37</v>
      </c>
      <c r="R318" s="58" t="s">
        <v>14</v>
      </c>
      <c r="S318" s="58"/>
      <c r="T318" s="71">
        <f>IF(R318="","",IF(OR(R318="SUPORTE",R318="PERDA / FECHOU LOJA"),"SEM",A318+VLOOKUP(R318,REGRAS!$B$2:$C$13,2,FALSE())))</f>
        <v>46081</v>
      </c>
      <c r="U318" s="58" t="str">
        <f t="shared" si="14"/>
        <v>CS</v>
      </c>
      <c r="V318" s="58"/>
      <c r="W318" s="58" t="s">
        <v>147</v>
      </c>
      <c r="X318" s="58"/>
    </row>
    <row r="319" spans="1:24" x14ac:dyDescent="0.3">
      <c r="A319" s="71">
        <v>46073</v>
      </c>
      <c r="B319" s="58" t="s">
        <v>139</v>
      </c>
      <c r="C319" s="58" t="s">
        <v>932</v>
      </c>
      <c r="D319" s="58" t="s">
        <v>971</v>
      </c>
      <c r="E319" s="58" t="s">
        <v>381</v>
      </c>
      <c r="F319" s="58" t="s">
        <v>283</v>
      </c>
      <c r="G319" s="58" t="s">
        <v>71</v>
      </c>
      <c r="H319" s="58">
        <v>28</v>
      </c>
      <c r="I319" s="58" t="str">
        <f>IF(R319="","",VLOOKUP(R319,REGRAS!$B$2:$D$13,3,FALSE()))</f>
        <v>FUNIL</v>
      </c>
      <c r="J319" s="58"/>
      <c r="K319" s="58" t="str">
        <f t="shared" si="12"/>
        <v>RECOMPRA</v>
      </c>
      <c r="L319" s="58" t="str">
        <f t="shared" si="13"/>
        <v>🟢</v>
      </c>
      <c r="M319" s="58"/>
      <c r="N319" s="58" t="s">
        <v>147</v>
      </c>
      <c r="O319" s="58" t="s">
        <v>147</v>
      </c>
      <c r="P319" s="58" t="s">
        <v>149</v>
      </c>
      <c r="Q319" s="58" t="s">
        <v>43</v>
      </c>
      <c r="R319" s="58" t="s">
        <v>12</v>
      </c>
      <c r="S319" s="58"/>
      <c r="T319" s="71">
        <f>IF(R319="","",IF(OR(R319="SUPORTE",R319="PERDA / FECHOU LOJA"),"SEM",A319+VLOOKUP(R319,REGRAS!$B$2:$C$13,2,FALSE())))</f>
        <v>46118</v>
      </c>
      <c r="U319" s="58" t="str">
        <f t="shared" si="14"/>
        <v>RECOMPRA</v>
      </c>
      <c r="V319" s="58"/>
      <c r="W319" s="58" t="s">
        <v>146</v>
      </c>
      <c r="X319" s="58"/>
    </row>
    <row r="320" spans="1:24" x14ac:dyDescent="0.3">
      <c r="A320" s="71">
        <v>46069</v>
      </c>
      <c r="B320" s="58" t="s">
        <v>135</v>
      </c>
      <c r="C320" s="58" t="s">
        <v>972</v>
      </c>
      <c r="D320" s="58" t="s">
        <v>973</v>
      </c>
      <c r="E320" s="58" t="s">
        <v>332</v>
      </c>
      <c r="F320" s="58" t="s">
        <v>283</v>
      </c>
      <c r="G320" s="58" t="s">
        <v>77</v>
      </c>
      <c r="H320" s="58">
        <v>81</v>
      </c>
      <c r="I320" s="58" t="str">
        <f>IF(R320="","",VLOOKUP(R320,REGRAS!$B$2:$D$13,3,FALSE()))</f>
        <v>FUNIL</v>
      </c>
      <c r="J320" s="58"/>
      <c r="K320" s="58" t="str">
        <f t="shared" si="12"/>
        <v>RECOMPRA</v>
      </c>
      <c r="L320" s="58" t="str">
        <f t="shared" si="13"/>
        <v>🟡</v>
      </c>
      <c r="M320" s="58"/>
      <c r="N320" s="58" t="s">
        <v>147</v>
      </c>
      <c r="O320" s="58" t="s">
        <v>147</v>
      </c>
      <c r="P320" s="58" t="s">
        <v>149</v>
      </c>
      <c r="Q320" s="58" t="s">
        <v>39</v>
      </c>
      <c r="R320" s="58" t="s">
        <v>12</v>
      </c>
      <c r="S320" s="58"/>
      <c r="T320" s="71">
        <f>IF(R320="","",IF(OR(R320="SUPORTE",R320="PERDA / FECHOU LOJA"),"SEM",A320+VLOOKUP(R320,REGRAS!$B$2:$C$13,2,FALSE())))</f>
        <v>46114</v>
      </c>
      <c r="U320" s="58" t="str">
        <f t="shared" si="14"/>
        <v>RECOMPRA</v>
      </c>
      <c r="V320" s="58"/>
      <c r="W320" s="58" t="s">
        <v>147</v>
      </c>
      <c r="X320" s="58"/>
    </row>
    <row r="321" spans="1:24" x14ac:dyDescent="0.3">
      <c r="A321" s="71">
        <v>46076</v>
      </c>
      <c r="B321" s="58" t="s">
        <v>135</v>
      </c>
      <c r="C321" s="58" t="s">
        <v>974</v>
      </c>
      <c r="D321" s="58" t="s">
        <v>975</v>
      </c>
      <c r="E321" s="58" t="s">
        <v>335</v>
      </c>
      <c r="F321" s="58" t="s">
        <v>298</v>
      </c>
      <c r="G321" s="58" t="s">
        <v>79</v>
      </c>
      <c r="H321" s="58">
        <v>218</v>
      </c>
      <c r="I321" s="58" t="str">
        <f>IF(R321="","",VLOOKUP(R321,REGRAS!$B$2:$D$13,3,FALSE()))</f>
        <v>FUNIL</v>
      </c>
      <c r="J321" s="58"/>
      <c r="K321" s="58" t="str">
        <f t="shared" si="12"/>
        <v>RECOMPRA</v>
      </c>
      <c r="L321" s="58" t="str">
        <f t="shared" si="13"/>
        <v>🔴</v>
      </c>
      <c r="M321" s="58"/>
      <c r="N321" s="58" t="s">
        <v>146</v>
      </c>
      <c r="O321" s="58" t="s">
        <v>147</v>
      </c>
      <c r="P321" s="58" t="s">
        <v>149</v>
      </c>
      <c r="Q321" s="58" t="s">
        <v>39</v>
      </c>
      <c r="R321" s="58" t="s">
        <v>12</v>
      </c>
      <c r="S321" s="58"/>
      <c r="T321" s="71">
        <f>IF(R321="","",IF(OR(R321="SUPORTE",R321="PERDA / FECHOU LOJA"),"SEM",A321+VLOOKUP(R321,REGRAS!$B$2:$C$13,2,FALSE())))</f>
        <v>46121</v>
      </c>
      <c r="U321" s="58" t="str">
        <f t="shared" si="14"/>
        <v>RECOMPRA</v>
      </c>
      <c r="V321" s="58"/>
      <c r="W321" s="58" t="s">
        <v>147</v>
      </c>
      <c r="X321" s="58"/>
    </row>
    <row r="322" spans="1:24" x14ac:dyDescent="0.3">
      <c r="A322" s="71">
        <v>46054</v>
      </c>
      <c r="B322" s="58" t="s">
        <v>135</v>
      </c>
      <c r="C322" s="58" t="s">
        <v>976</v>
      </c>
      <c r="D322" s="58" t="s">
        <v>977</v>
      </c>
      <c r="E322" s="58" t="s">
        <v>422</v>
      </c>
      <c r="F322" s="58" t="s">
        <v>286</v>
      </c>
      <c r="G322" s="58" t="s">
        <v>71</v>
      </c>
      <c r="H322" s="58">
        <v>40</v>
      </c>
      <c r="I322" s="58" t="str">
        <f>IF(R322="","",VLOOKUP(R322,REGRAS!$B$2:$D$13,3,FALSE()))</f>
        <v>RELAC.</v>
      </c>
      <c r="J322" s="58"/>
      <c r="K322" s="58" t="str">
        <f t="shared" si="12"/>
        <v>CS</v>
      </c>
      <c r="L322" s="58" t="str">
        <f t="shared" si="13"/>
        <v>🟢</v>
      </c>
      <c r="M322" s="58"/>
      <c r="N322" s="58" t="s">
        <v>146</v>
      </c>
      <c r="O322" s="58" t="s">
        <v>147</v>
      </c>
      <c r="P322" s="58" t="s">
        <v>149</v>
      </c>
      <c r="Q322" s="58" t="s">
        <v>43</v>
      </c>
      <c r="R322" s="58" t="s">
        <v>14</v>
      </c>
      <c r="S322" s="58"/>
      <c r="T322" s="71">
        <f>IF(R322="","",IF(OR(R322="SUPORTE",R322="PERDA / FECHOU LOJA"),"SEM",A322+VLOOKUP(R322,REGRAS!$B$2:$C$13,2,FALSE())))</f>
        <v>46061</v>
      </c>
      <c r="U322" s="58" t="str">
        <f t="shared" si="14"/>
        <v>CS</v>
      </c>
      <c r="V322" s="58"/>
      <c r="W322" s="58" t="s">
        <v>146</v>
      </c>
      <c r="X322" s="58"/>
    </row>
    <row r="323" spans="1:24" x14ac:dyDescent="0.3">
      <c r="A323" s="71">
        <v>46056</v>
      </c>
      <c r="B323" s="58" t="s">
        <v>135</v>
      </c>
      <c r="C323" s="58" t="s">
        <v>978</v>
      </c>
      <c r="D323" s="58" t="s">
        <v>979</v>
      </c>
      <c r="E323" s="58" t="s">
        <v>366</v>
      </c>
      <c r="F323" s="58" t="s">
        <v>286</v>
      </c>
      <c r="G323" s="58" t="s">
        <v>77</v>
      </c>
      <c r="H323" s="58">
        <v>61</v>
      </c>
      <c r="I323" s="58" t="str">
        <f>IF(R323="","",VLOOKUP(R323,REGRAS!$B$2:$D$13,3,FALSE()))</f>
        <v>RELAC.</v>
      </c>
      <c r="J323" s="58"/>
      <c r="K323" s="58" t="str">
        <f t="shared" si="12"/>
        <v>CS</v>
      </c>
      <c r="L323" s="58" t="str">
        <f t="shared" si="13"/>
        <v>🟡</v>
      </c>
      <c r="M323" s="58"/>
      <c r="N323" s="58" t="s">
        <v>147</v>
      </c>
      <c r="O323" s="58" t="s">
        <v>147</v>
      </c>
      <c r="P323" s="58" t="s">
        <v>149</v>
      </c>
      <c r="Q323" s="58" t="s">
        <v>43</v>
      </c>
      <c r="R323" s="58" t="s">
        <v>14</v>
      </c>
      <c r="S323" s="58"/>
      <c r="T323" s="71">
        <f>IF(R323="","",IF(OR(R323="SUPORTE",R323="PERDA / FECHOU LOJA"),"SEM",A323+VLOOKUP(R323,REGRAS!$B$2:$C$13,2,FALSE())))</f>
        <v>46063</v>
      </c>
      <c r="U323" s="58" t="str">
        <f t="shared" si="14"/>
        <v>CS</v>
      </c>
      <c r="V323" s="58"/>
      <c r="W323" s="58" t="s">
        <v>146</v>
      </c>
      <c r="X323" s="58"/>
    </row>
    <row r="324" spans="1:24" x14ac:dyDescent="0.3">
      <c r="A324" s="71">
        <v>46069</v>
      </c>
      <c r="B324" s="58" t="s">
        <v>141</v>
      </c>
      <c r="C324" s="58" t="s">
        <v>681</v>
      </c>
      <c r="D324" s="58" t="s">
        <v>980</v>
      </c>
      <c r="E324" s="58" t="s">
        <v>376</v>
      </c>
      <c r="F324" s="58" t="s">
        <v>292</v>
      </c>
      <c r="G324" s="58" t="s">
        <v>85</v>
      </c>
      <c r="H324" s="58"/>
      <c r="I324" s="58" t="str">
        <f>IF(R324="","",VLOOKUP(R324,REGRAS!$B$2:$D$13,3,FALSE()))</f>
        <v>NÃO VENDA</v>
      </c>
      <c r="J324" s="58"/>
      <c r="K324" s="58" t="str">
        <f t="shared" ref="K324:K387" si="15">IF(R324="","",IF(R324="VENDA / PEDIDO","RECOMPRA",IF(R324="SUPORTE","PÓS-VENDA",IF(OR(R324="FOLLOW UP 7",R324="FOLLOW UP 15"),"SALVAMENTO",IF(R324="PERDA / FECHOU LOJA","NUTRIÇÃO",IF(R324="RELACIONAMENTO","CS",IF(OR(R324="ORÇAMENTO",R324="CADASTRO"),"PROSPECÇÃO",IF(R324="EM ATENDIMENTO","EM ATENDIMENTO",IF(OR(R324="NÃO ATENDE",R324="NÃO RESPONDE",R324="RECUSOU LIGAÇÃO"),"RECUPERAÇÃO","")))))))))</f>
        <v>RECUPERAÇÃO</v>
      </c>
      <c r="L324" s="58" t="str">
        <f t="shared" ref="L324:L387" si="16">IF(H324="","",IF(G324="PROSPECT","🟣",IF(G324="LEAD","🟣",IF(G324="NOVO","🟢",IF(H324&lt;=50,"🟢",IF(H324&lt;=90,"🟡","🔴"))))))</f>
        <v/>
      </c>
      <c r="M324" s="58"/>
      <c r="N324" s="58" t="s">
        <v>146</v>
      </c>
      <c r="O324" s="58" t="s">
        <v>147</v>
      </c>
      <c r="P324" s="58" t="s">
        <v>149</v>
      </c>
      <c r="Q324" s="58" t="s">
        <v>33</v>
      </c>
      <c r="R324" s="58" t="s">
        <v>23</v>
      </c>
      <c r="S324" s="58" t="s">
        <v>57</v>
      </c>
      <c r="T324" s="71">
        <f>IF(R324="","",IF(OR(R324="SUPORTE",R324="PERDA / FECHOU LOJA"),"SEM",A324+VLOOKUP(R324,REGRAS!$B$2:$C$13,2,FALSE())))</f>
        <v>46070</v>
      </c>
      <c r="U324" s="58" t="str">
        <f t="shared" ref="U324:U387" si="17">IF(R324="","",IF(R324="VENDA / PEDIDO","RECOMPRA",IF(R324="SUPORTE","PÓS-VENDA",IF(R324="RELACIONAMENTO","CS",IF(OR(R324="NÃO ATENDE",R324="NÃO RESPONDE",R324="RECUSOU LIGAÇÃO"),"REATIVAÇÃO",IF(R324="PERDA / FECHOU LOJA","NUTRIÇÃO",IF(OR(R324="FOLLOW UP 7",R324="FOLLOW UP 15"),"SALVAMENTO","PROSPECÇÃO")))))))</f>
        <v>REATIVAÇÃO</v>
      </c>
      <c r="V324" s="58"/>
      <c r="W324" s="58" t="s">
        <v>146</v>
      </c>
      <c r="X324" s="58"/>
    </row>
    <row r="325" spans="1:24" x14ac:dyDescent="0.3">
      <c r="A325" s="71">
        <v>46072</v>
      </c>
      <c r="B325" s="58" t="s">
        <v>139</v>
      </c>
      <c r="C325" s="58" t="s">
        <v>675</v>
      </c>
      <c r="D325" s="58" t="s">
        <v>981</v>
      </c>
      <c r="E325" s="58" t="s">
        <v>422</v>
      </c>
      <c r="F325" s="58" t="s">
        <v>296</v>
      </c>
      <c r="G325" s="58" t="s">
        <v>82</v>
      </c>
      <c r="H325" s="58"/>
      <c r="I325" s="58" t="str">
        <f>IF(R325="","",VLOOKUP(R325,REGRAS!$B$2:$D$13,3,FALSE()))</f>
        <v>RELAC.</v>
      </c>
      <c r="J325" s="58"/>
      <c r="K325" s="58" t="str">
        <f t="shared" si="15"/>
        <v>CS</v>
      </c>
      <c r="L325" s="58" t="str">
        <f t="shared" si="16"/>
        <v/>
      </c>
      <c r="M325" s="58"/>
      <c r="N325" s="58" t="s">
        <v>146</v>
      </c>
      <c r="O325" s="58" t="s">
        <v>147</v>
      </c>
      <c r="P325" s="58" t="s">
        <v>149</v>
      </c>
      <c r="Q325" s="58" t="s">
        <v>39</v>
      </c>
      <c r="R325" s="58" t="s">
        <v>14</v>
      </c>
      <c r="S325" s="58"/>
      <c r="T325" s="71">
        <f>IF(R325="","",IF(OR(R325="SUPORTE",R325="PERDA / FECHOU LOJA"),"SEM",A325+VLOOKUP(R325,REGRAS!$B$2:$C$13,2,FALSE())))</f>
        <v>46079</v>
      </c>
      <c r="U325" s="58" t="str">
        <f t="shared" si="17"/>
        <v>CS</v>
      </c>
      <c r="V325" s="58"/>
      <c r="W325" s="58" t="s">
        <v>147</v>
      </c>
      <c r="X325" s="58"/>
    </row>
    <row r="326" spans="1:24" x14ac:dyDescent="0.3">
      <c r="A326" s="71">
        <v>46076</v>
      </c>
      <c r="B326" s="58" t="s">
        <v>141</v>
      </c>
      <c r="C326" s="58" t="s">
        <v>982</v>
      </c>
      <c r="D326" s="58" t="s">
        <v>983</v>
      </c>
      <c r="E326" s="58" t="s">
        <v>376</v>
      </c>
      <c r="F326" s="58" t="s">
        <v>292</v>
      </c>
      <c r="G326" s="58" t="s">
        <v>71</v>
      </c>
      <c r="H326" s="58">
        <v>24</v>
      </c>
      <c r="I326" s="58" t="str">
        <f>IF(R326="","",VLOOKUP(R326,REGRAS!$B$2:$D$13,3,FALSE()))</f>
        <v>FUNIL</v>
      </c>
      <c r="J326" s="58"/>
      <c r="K326" s="58" t="str">
        <f t="shared" si="15"/>
        <v>PROSPECÇÃO</v>
      </c>
      <c r="L326" s="58" t="str">
        <f t="shared" si="16"/>
        <v>🟢</v>
      </c>
      <c r="M326" s="58"/>
      <c r="N326" s="58" t="s">
        <v>146</v>
      </c>
      <c r="O326" s="58" t="s">
        <v>146</v>
      </c>
      <c r="P326" s="58" t="s">
        <v>146</v>
      </c>
      <c r="Q326" s="58" t="s">
        <v>35</v>
      </c>
      <c r="R326" s="58" t="s">
        <v>8</v>
      </c>
      <c r="S326" s="58"/>
      <c r="T326" s="71">
        <f>IF(R326="","",IF(OR(R326="SUPORTE",R326="PERDA / FECHOU LOJA"),"SEM",A326+VLOOKUP(R326,REGRAS!$B$2:$C$13,2,FALSE())))</f>
        <v>46077</v>
      </c>
      <c r="U326" s="58" t="str">
        <f t="shared" si="17"/>
        <v>PROSPECÇÃO</v>
      </c>
      <c r="V326" s="58"/>
      <c r="W326" s="58" t="s">
        <v>146</v>
      </c>
      <c r="X326" s="58"/>
    </row>
    <row r="327" spans="1:24" x14ac:dyDescent="0.3">
      <c r="A327" s="71">
        <v>46079</v>
      </c>
      <c r="B327" s="58" t="s">
        <v>137</v>
      </c>
      <c r="C327" s="58" t="s">
        <v>984</v>
      </c>
      <c r="D327" s="58" t="s">
        <v>985</v>
      </c>
      <c r="E327" s="58" t="s">
        <v>340</v>
      </c>
      <c r="F327" s="58" t="s">
        <v>283</v>
      </c>
      <c r="G327" s="58" t="s">
        <v>82</v>
      </c>
      <c r="H327" s="58"/>
      <c r="I327" s="58" t="str">
        <f>IF(R327="","",VLOOKUP(R327,REGRAS!$B$2:$D$13,3,FALSE()))</f>
        <v>NÃO VENDA</v>
      </c>
      <c r="J327" s="58"/>
      <c r="K327" s="58" t="str">
        <f t="shared" si="15"/>
        <v>RECUPERAÇÃO</v>
      </c>
      <c r="L327" s="58" t="str">
        <f t="shared" si="16"/>
        <v/>
      </c>
      <c r="M327" s="58"/>
      <c r="N327" s="58" t="s">
        <v>146</v>
      </c>
      <c r="O327" s="58" t="s">
        <v>146</v>
      </c>
      <c r="P327" s="58" t="s">
        <v>147</v>
      </c>
      <c r="Q327" s="58" t="s">
        <v>43</v>
      </c>
      <c r="R327" s="58" t="s">
        <v>26</v>
      </c>
      <c r="S327" s="58" t="s">
        <v>55</v>
      </c>
      <c r="T327" s="71">
        <f>IF(R327="","",IF(OR(R327="SUPORTE",R327="PERDA / FECHOU LOJA"),"SEM",A327+VLOOKUP(R327,REGRAS!$B$2:$C$13,2,FALSE())))</f>
        <v>46080</v>
      </c>
      <c r="U327" s="58" t="str">
        <f t="shared" si="17"/>
        <v>REATIVAÇÃO</v>
      </c>
      <c r="V327" s="58"/>
      <c r="W327" s="58" t="s">
        <v>147</v>
      </c>
      <c r="X327" s="58"/>
    </row>
    <row r="328" spans="1:24" x14ac:dyDescent="0.3">
      <c r="A328" s="71">
        <v>46070</v>
      </c>
      <c r="B328" s="58" t="s">
        <v>135</v>
      </c>
      <c r="C328" s="58" t="s">
        <v>986</v>
      </c>
      <c r="D328" s="58" t="s">
        <v>987</v>
      </c>
      <c r="E328" s="58" t="s">
        <v>376</v>
      </c>
      <c r="F328" s="58" t="s">
        <v>283</v>
      </c>
      <c r="G328" s="58" t="s">
        <v>77</v>
      </c>
      <c r="H328" s="58">
        <v>82</v>
      </c>
      <c r="I328" s="58" t="str">
        <f>IF(R328="","",VLOOKUP(R328,REGRAS!$B$2:$D$13,3,FALSE()))</f>
        <v>FUNIL</v>
      </c>
      <c r="J328" s="58"/>
      <c r="K328" s="58" t="str">
        <f t="shared" si="15"/>
        <v>EM ATENDIMENTO</v>
      </c>
      <c r="L328" s="58" t="str">
        <f t="shared" si="16"/>
        <v>🟡</v>
      </c>
      <c r="M328" s="58"/>
      <c r="N328" s="58" t="s">
        <v>147</v>
      </c>
      <c r="O328" s="58" t="s">
        <v>147</v>
      </c>
      <c r="P328" s="58" t="s">
        <v>149</v>
      </c>
      <c r="Q328" s="58" t="s">
        <v>41</v>
      </c>
      <c r="R328" s="58" t="s">
        <v>5</v>
      </c>
      <c r="S328" s="58"/>
      <c r="T328" s="71">
        <f>IF(R328="","",IF(OR(R328="SUPORTE",R328="PERDA / FECHOU LOJA"),"SEM",A328+VLOOKUP(R328,REGRAS!$B$2:$C$13,2,FALSE())))</f>
        <v>46072</v>
      </c>
      <c r="U328" s="58" t="str">
        <f t="shared" si="17"/>
        <v>PROSPECÇÃO</v>
      </c>
      <c r="V328" s="58"/>
      <c r="W328" s="58" t="s">
        <v>146</v>
      </c>
      <c r="X328" s="58"/>
    </row>
    <row r="329" spans="1:24" x14ac:dyDescent="0.3">
      <c r="A329" s="71">
        <v>46060</v>
      </c>
      <c r="B329" s="58" t="s">
        <v>135</v>
      </c>
      <c r="C329" s="58" t="s">
        <v>988</v>
      </c>
      <c r="D329" s="58" t="s">
        <v>989</v>
      </c>
      <c r="E329" s="58" t="s">
        <v>332</v>
      </c>
      <c r="F329" s="58" t="s">
        <v>295</v>
      </c>
      <c r="G329" s="58" t="s">
        <v>71</v>
      </c>
      <c r="H329" s="58">
        <v>44</v>
      </c>
      <c r="I329" s="58" t="str">
        <f>IF(R329="","",VLOOKUP(R329,REGRAS!$B$2:$D$13,3,FALSE()))</f>
        <v>FUNIL</v>
      </c>
      <c r="J329" s="58"/>
      <c r="K329" s="58" t="str">
        <f t="shared" si="15"/>
        <v>RECOMPRA</v>
      </c>
      <c r="L329" s="58" t="str">
        <f t="shared" si="16"/>
        <v>🟢</v>
      </c>
      <c r="M329" s="58"/>
      <c r="N329" s="58" t="s">
        <v>146</v>
      </c>
      <c r="O329" s="58" t="s">
        <v>147</v>
      </c>
      <c r="P329" s="58" t="s">
        <v>149</v>
      </c>
      <c r="Q329" s="58" t="s">
        <v>39</v>
      </c>
      <c r="R329" s="58" t="s">
        <v>12</v>
      </c>
      <c r="S329" s="58"/>
      <c r="T329" s="71">
        <f>IF(R329="","",IF(OR(R329="SUPORTE",R329="PERDA / FECHOU LOJA"),"SEM",A329+VLOOKUP(R329,REGRAS!$B$2:$C$13,2,FALSE())))</f>
        <v>46105</v>
      </c>
      <c r="U329" s="58" t="str">
        <f t="shared" si="17"/>
        <v>RECOMPRA</v>
      </c>
      <c r="V329" s="58"/>
      <c r="W329" s="58" t="s">
        <v>146</v>
      </c>
      <c r="X329" s="58"/>
    </row>
    <row r="330" spans="1:24" x14ac:dyDescent="0.3">
      <c r="A330" s="71">
        <v>46076</v>
      </c>
      <c r="B330" s="58" t="s">
        <v>141</v>
      </c>
      <c r="C330" s="58" t="s">
        <v>990</v>
      </c>
      <c r="D330" s="58" t="s">
        <v>991</v>
      </c>
      <c r="E330" s="58" t="s">
        <v>376</v>
      </c>
      <c r="F330" s="58" t="s">
        <v>283</v>
      </c>
      <c r="G330" s="58" t="s">
        <v>74</v>
      </c>
      <c r="H330" s="58">
        <v>51</v>
      </c>
      <c r="I330" s="58" t="str">
        <f>IF(R330="","",VLOOKUP(R330,REGRAS!$B$2:$D$13,3,FALSE()))</f>
        <v>FUNIL</v>
      </c>
      <c r="J330" s="58"/>
      <c r="K330" s="58" t="str">
        <f t="shared" si="15"/>
        <v>EM ATENDIMENTO</v>
      </c>
      <c r="L330" s="58" t="str">
        <f t="shared" si="16"/>
        <v>🟡</v>
      </c>
      <c r="M330" s="58"/>
      <c r="N330" s="58" t="s">
        <v>146</v>
      </c>
      <c r="O330" s="58" t="s">
        <v>146</v>
      </c>
      <c r="P330" s="58" t="s">
        <v>147</v>
      </c>
      <c r="Q330" s="58" t="s">
        <v>33</v>
      </c>
      <c r="R330" s="58" t="s">
        <v>5</v>
      </c>
      <c r="S330" s="58"/>
      <c r="T330" s="71">
        <f>IF(R330="","",IF(OR(R330="SUPORTE",R330="PERDA / FECHOU LOJA"),"SEM",A330+VLOOKUP(R330,REGRAS!$B$2:$C$13,2,FALSE())))</f>
        <v>46078</v>
      </c>
      <c r="U330" s="58" t="str">
        <f t="shared" si="17"/>
        <v>PROSPECÇÃO</v>
      </c>
      <c r="V330" s="58"/>
      <c r="W330" s="58" t="s">
        <v>146</v>
      </c>
      <c r="X330" s="58"/>
    </row>
    <row r="331" spans="1:24" x14ac:dyDescent="0.3">
      <c r="A331" s="71">
        <v>46080</v>
      </c>
      <c r="B331" s="58" t="s">
        <v>139</v>
      </c>
      <c r="C331" s="58" t="s">
        <v>955</v>
      </c>
      <c r="D331" s="58" t="s">
        <v>992</v>
      </c>
      <c r="E331" s="58" t="s">
        <v>346</v>
      </c>
      <c r="F331" s="58" t="s">
        <v>283</v>
      </c>
      <c r="G331" s="58" t="s">
        <v>85</v>
      </c>
      <c r="H331" s="58"/>
      <c r="I331" s="58" t="str">
        <f>IF(R331="","",VLOOKUP(R331,REGRAS!$B$2:$D$13,3,FALSE()))</f>
        <v>RELAC.</v>
      </c>
      <c r="J331" s="58"/>
      <c r="K331" s="58" t="str">
        <f t="shared" si="15"/>
        <v>PÓS-VENDA</v>
      </c>
      <c r="L331" s="58" t="str">
        <f t="shared" si="16"/>
        <v/>
      </c>
      <c r="M331" s="58"/>
      <c r="N331" s="58" t="s">
        <v>146</v>
      </c>
      <c r="O331" s="58" t="s">
        <v>147</v>
      </c>
      <c r="P331" s="58" t="s">
        <v>149</v>
      </c>
      <c r="Q331" s="58" t="s">
        <v>43</v>
      </c>
      <c r="R331" s="58" t="s">
        <v>21</v>
      </c>
      <c r="S331" s="58"/>
      <c r="T331" s="71" t="str">
        <f>IF(R331="","",IF(OR(R331="SUPORTE",R331="PERDA / FECHOU LOJA"),"SEM",A331+VLOOKUP(R331,REGRAS!$B$2:$C$13,2,FALSE())))</f>
        <v>SEM</v>
      </c>
      <c r="U331" s="58" t="str">
        <f t="shared" si="17"/>
        <v>PÓS-VENDA</v>
      </c>
      <c r="V331" s="58"/>
      <c r="W331" s="58" t="s">
        <v>147</v>
      </c>
      <c r="X331" s="58"/>
    </row>
    <row r="332" spans="1:24" x14ac:dyDescent="0.3">
      <c r="A332" s="71">
        <v>46057</v>
      </c>
      <c r="B332" s="58" t="s">
        <v>137</v>
      </c>
      <c r="C332" s="58" t="s">
        <v>993</v>
      </c>
      <c r="D332" s="58" t="s">
        <v>994</v>
      </c>
      <c r="E332" s="58" t="s">
        <v>366</v>
      </c>
      <c r="F332" s="58" t="s">
        <v>297</v>
      </c>
      <c r="G332" s="58" t="s">
        <v>79</v>
      </c>
      <c r="H332" s="58">
        <v>292</v>
      </c>
      <c r="I332" s="58" t="str">
        <f>IF(R332="","",VLOOKUP(R332,REGRAS!$B$2:$D$13,3,FALSE()))</f>
        <v>RELAC.</v>
      </c>
      <c r="J332" s="58"/>
      <c r="K332" s="58" t="str">
        <f t="shared" si="15"/>
        <v>SALVAMENTO</v>
      </c>
      <c r="L332" s="58" t="str">
        <f t="shared" si="16"/>
        <v>🔴</v>
      </c>
      <c r="M332" s="58"/>
      <c r="N332" s="58" t="s">
        <v>146</v>
      </c>
      <c r="O332" s="58" t="s">
        <v>146</v>
      </c>
      <c r="P332" s="58" t="s">
        <v>146</v>
      </c>
      <c r="Q332" s="58" t="s">
        <v>43</v>
      </c>
      <c r="R332" s="58" t="s">
        <v>17</v>
      </c>
      <c r="S332" s="58" t="s">
        <v>55</v>
      </c>
      <c r="T332" s="71">
        <f>IF(R332="","",IF(OR(R332="SUPORTE",R332="PERDA / FECHOU LOJA"),"SEM",A332+VLOOKUP(R332,REGRAS!$B$2:$C$13,2,FALSE())))</f>
        <v>46064</v>
      </c>
      <c r="U332" s="58" t="str">
        <f t="shared" si="17"/>
        <v>SALVAMENTO</v>
      </c>
      <c r="V332" s="58"/>
      <c r="W332" s="58" t="s">
        <v>147</v>
      </c>
      <c r="X332" s="58"/>
    </row>
    <row r="333" spans="1:24" x14ac:dyDescent="0.3">
      <c r="A333" s="71">
        <v>46063</v>
      </c>
      <c r="B333" s="58" t="s">
        <v>141</v>
      </c>
      <c r="C333" s="58" t="s">
        <v>932</v>
      </c>
      <c r="D333" s="58" t="s">
        <v>995</v>
      </c>
      <c r="E333" s="58" t="s">
        <v>366</v>
      </c>
      <c r="F333" s="58" t="s">
        <v>297</v>
      </c>
      <c r="G333" s="58" t="s">
        <v>79</v>
      </c>
      <c r="H333" s="58">
        <v>227</v>
      </c>
      <c r="I333" s="58" t="str">
        <f>IF(R333="","",VLOOKUP(R333,REGRAS!$B$2:$D$13,3,FALSE()))</f>
        <v>RELAC.</v>
      </c>
      <c r="J333" s="58"/>
      <c r="K333" s="58" t="str">
        <f t="shared" si="15"/>
        <v>SALVAMENTO</v>
      </c>
      <c r="L333" s="58" t="str">
        <f t="shared" si="16"/>
        <v>🔴</v>
      </c>
      <c r="M333" s="58"/>
      <c r="N333" s="58" t="s">
        <v>146</v>
      </c>
      <c r="O333" s="58" t="s">
        <v>146</v>
      </c>
      <c r="P333" s="58" t="s">
        <v>146</v>
      </c>
      <c r="Q333" s="58" t="s">
        <v>39</v>
      </c>
      <c r="R333" s="58" t="s">
        <v>17</v>
      </c>
      <c r="S333" s="58" t="s">
        <v>55</v>
      </c>
      <c r="T333" s="71">
        <f>IF(R333="","",IF(OR(R333="SUPORTE",R333="PERDA / FECHOU LOJA"),"SEM",A333+VLOOKUP(R333,REGRAS!$B$2:$C$13,2,FALSE())))</f>
        <v>46070</v>
      </c>
      <c r="U333" s="58" t="str">
        <f t="shared" si="17"/>
        <v>SALVAMENTO</v>
      </c>
      <c r="V333" s="58"/>
      <c r="W333" s="58" t="s">
        <v>146</v>
      </c>
      <c r="X333" s="58"/>
    </row>
    <row r="334" spans="1:24" x14ac:dyDescent="0.3">
      <c r="A334" s="71">
        <v>46060</v>
      </c>
      <c r="B334" s="58" t="s">
        <v>141</v>
      </c>
      <c r="C334" s="58" t="s">
        <v>996</v>
      </c>
      <c r="D334" s="58" t="s">
        <v>997</v>
      </c>
      <c r="E334" s="58" t="s">
        <v>335</v>
      </c>
      <c r="F334" s="58" t="s">
        <v>289</v>
      </c>
      <c r="G334" s="58" t="s">
        <v>79</v>
      </c>
      <c r="H334" s="58">
        <v>280</v>
      </c>
      <c r="I334" s="58" t="str">
        <f>IF(R334="","",VLOOKUP(R334,REGRAS!$B$2:$D$13,3,FALSE()))</f>
        <v>NÃO VENDA</v>
      </c>
      <c r="J334" s="58"/>
      <c r="K334" s="58" t="str">
        <f t="shared" si="15"/>
        <v>RECUPERAÇÃO</v>
      </c>
      <c r="L334" s="58" t="str">
        <f t="shared" si="16"/>
        <v>🔴</v>
      </c>
      <c r="M334" s="58"/>
      <c r="N334" s="58" t="s">
        <v>146</v>
      </c>
      <c r="O334" s="58" t="s">
        <v>147</v>
      </c>
      <c r="P334" s="58" t="s">
        <v>149</v>
      </c>
      <c r="Q334" s="58" t="s">
        <v>45</v>
      </c>
      <c r="R334" s="58" t="s">
        <v>26</v>
      </c>
      <c r="S334" s="58" t="s">
        <v>55</v>
      </c>
      <c r="T334" s="71">
        <f>IF(R334="","",IF(OR(R334="SUPORTE",R334="PERDA / FECHOU LOJA"),"SEM",A334+VLOOKUP(R334,REGRAS!$B$2:$C$13,2,FALSE())))</f>
        <v>46061</v>
      </c>
      <c r="U334" s="58" t="str">
        <f t="shared" si="17"/>
        <v>REATIVAÇÃO</v>
      </c>
      <c r="V334" s="58"/>
      <c r="W334" s="58" t="s">
        <v>146</v>
      </c>
      <c r="X334" s="58"/>
    </row>
    <row r="335" spans="1:24" x14ac:dyDescent="0.3">
      <c r="A335" s="71">
        <v>46080</v>
      </c>
      <c r="B335" s="58" t="s">
        <v>137</v>
      </c>
      <c r="C335" s="58" t="s">
        <v>998</v>
      </c>
      <c r="D335" s="58" t="s">
        <v>999</v>
      </c>
      <c r="E335" s="58" t="s">
        <v>366</v>
      </c>
      <c r="F335" s="58" t="s">
        <v>297</v>
      </c>
      <c r="G335" s="58" t="s">
        <v>71</v>
      </c>
      <c r="H335" s="58">
        <v>18</v>
      </c>
      <c r="I335" s="58" t="str">
        <f>IF(R335="","",VLOOKUP(R335,REGRAS!$B$2:$D$13,3,FALSE()))</f>
        <v>NÃO VENDA</v>
      </c>
      <c r="J335" s="58"/>
      <c r="K335" s="58" t="str">
        <f t="shared" si="15"/>
        <v>RECUPERAÇÃO</v>
      </c>
      <c r="L335" s="58" t="str">
        <f t="shared" si="16"/>
        <v>🟢</v>
      </c>
      <c r="M335" s="58"/>
      <c r="N335" s="58" t="s">
        <v>147</v>
      </c>
      <c r="O335" s="58" t="s">
        <v>147</v>
      </c>
      <c r="P335" s="58" t="s">
        <v>149</v>
      </c>
      <c r="Q335" s="58" t="s">
        <v>43</v>
      </c>
      <c r="R335" s="58" t="s">
        <v>23</v>
      </c>
      <c r="S335" s="58" t="s">
        <v>49</v>
      </c>
      <c r="T335" s="71">
        <f>IF(R335="","",IF(OR(R335="SUPORTE",R335="PERDA / FECHOU LOJA"),"SEM",A335+VLOOKUP(R335,REGRAS!$B$2:$C$13,2,FALSE())))</f>
        <v>46081</v>
      </c>
      <c r="U335" s="58" t="str">
        <f t="shared" si="17"/>
        <v>REATIVAÇÃO</v>
      </c>
      <c r="V335" s="58"/>
      <c r="W335" s="58" t="s">
        <v>146</v>
      </c>
      <c r="X335" s="58"/>
    </row>
    <row r="336" spans="1:24" x14ac:dyDescent="0.3">
      <c r="A336" s="71">
        <v>46058</v>
      </c>
      <c r="B336" s="58" t="s">
        <v>137</v>
      </c>
      <c r="C336" s="58" t="s">
        <v>1000</v>
      </c>
      <c r="D336" s="58" t="s">
        <v>1001</v>
      </c>
      <c r="E336" s="58" t="s">
        <v>335</v>
      </c>
      <c r="F336" s="58" t="s">
        <v>295</v>
      </c>
      <c r="G336" s="58" t="s">
        <v>77</v>
      </c>
      <c r="H336" s="58">
        <v>90</v>
      </c>
      <c r="I336" s="58" t="str">
        <f>IF(R336="","",VLOOKUP(R336,REGRAS!$B$2:$D$13,3,FALSE()))</f>
        <v>RELAC.</v>
      </c>
      <c r="J336" s="58"/>
      <c r="K336" s="58" t="str">
        <f t="shared" si="15"/>
        <v>SALVAMENTO</v>
      </c>
      <c r="L336" s="58" t="str">
        <f t="shared" si="16"/>
        <v>🟡</v>
      </c>
      <c r="M336" s="58"/>
      <c r="N336" s="58" t="s">
        <v>147</v>
      </c>
      <c r="O336" s="58" t="s">
        <v>147</v>
      </c>
      <c r="P336" s="58" t="s">
        <v>149</v>
      </c>
      <c r="Q336" s="58" t="s">
        <v>41</v>
      </c>
      <c r="R336" s="58" t="s">
        <v>17</v>
      </c>
      <c r="S336" s="58" t="s">
        <v>64</v>
      </c>
      <c r="T336" s="71">
        <f>IF(R336="","",IF(OR(R336="SUPORTE",R336="PERDA / FECHOU LOJA"),"SEM",A336+VLOOKUP(R336,REGRAS!$B$2:$C$13,2,FALSE())))</f>
        <v>46065</v>
      </c>
      <c r="U336" s="58" t="str">
        <f t="shared" si="17"/>
        <v>SALVAMENTO</v>
      </c>
      <c r="V336" s="58"/>
      <c r="W336" s="58" t="s">
        <v>147</v>
      </c>
      <c r="X336" s="58"/>
    </row>
    <row r="337" spans="1:24" x14ac:dyDescent="0.3">
      <c r="A337" s="71">
        <v>46072</v>
      </c>
      <c r="B337" s="58" t="s">
        <v>135</v>
      </c>
      <c r="C337" s="58" t="s">
        <v>1002</v>
      </c>
      <c r="D337" s="58" t="s">
        <v>1003</v>
      </c>
      <c r="E337" s="58" t="s">
        <v>381</v>
      </c>
      <c r="F337" s="58" t="s">
        <v>292</v>
      </c>
      <c r="G337" s="58" t="s">
        <v>71</v>
      </c>
      <c r="H337" s="58">
        <v>40</v>
      </c>
      <c r="I337" s="58" t="str">
        <f>IF(R337="","",VLOOKUP(R337,REGRAS!$B$2:$D$13,3,FALSE()))</f>
        <v>RELAC.</v>
      </c>
      <c r="J337" s="58"/>
      <c r="K337" s="58" t="str">
        <f t="shared" si="15"/>
        <v>SALVAMENTO</v>
      </c>
      <c r="L337" s="58" t="str">
        <f t="shared" si="16"/>
        <v>🟢</v>
      </c>
      <c r="M337" s="58"/>
      <c r="N337" s="58" t="s">
        <v>147</v>
      </c>
      <c r="O337" s="58" t="s">
        <v>147</v>
      </c>
      <c r="P337" s="58" t="s">
        <v>149</v>
      </c>
      <c r="Q337" s="58" t="s">
        <v>43</v>
      </c>
      <c r="R337" s="58" t="s">
        <v>17</v>
      </c>
      <c r="S337" s="58" t="s">
        <v>49</v>
      </c>
      <c r="T337" s="71">
        <f>IF(R337="","",IF(OR(R337="SUPORTE",R337="PERDA / FECHOU LOJA"),"SEM",A337+VLOOKUP(R337,REGRAS!$B$2:$C$13,2,FALSE())))</f>
        <v>46079</v>
      </c>
      <c r="U337" s="58" t="str">
        <f t="shared" si="17"/>
        <v>SALVAMENTO</v>
      </c>
      <c r="V337" s="58"/>
      <c r="W337" s="58" t="s">
        <v>147</v>
      </c>
      <c r="X337" s="58"/>
    </row>
    <row r="338" spans="1:24" x14ac:dyDescent="0.3">
      <c r="A338" s="71">
        <v>46066</v>
      </c>
      <c r="B338" s="58" t="s">
        <v>139</v>
      </c>
      <c r="C338" s="58" t="s">
        <v>1004</v>
      </c>
      <c r="D338" s="58" t="s">
        <v>1005</v>
      </c>
      <c r="E338" s="58" t="s">
        <v>332</v>
      </c>
      <c r="F338" s="58" t="s">
        <v>283</v>
      </c>
      <c r="G338" s="58" t="s">
        <v>77</v>
      </c>
      <c r="H338" s="58">
        <v>87</v>
      </c>
      <c r="I338" s="58" t="str">
        <f>IF(R338="","",VLOOKUP(R338,REGRAS!$B$2:$D$13,3,FALSE()))</f>
        <v>FUNIL</v>
      </c>
      <c r="J338" s="58"/>
      <c r="K338" s="58" t="str">
        <f t="shared" si="15"/>
        <v>RECOMPRA</v>
      </c>
      <c r="L338" s="58" t="str">
        <f t="shared" si="16"/>
        <v>🟡</v>
      </c>
      <c r="M338" s="58"/>
      <c r="N338" s="58" t="s">
        <v>146</v>
      </c>
      <c r="O338" s="58" t="s">
        <v>147</v>
      </c>
      <c r="P338" s="58" t="s">
        <v>149</v>
      </c>
      <c r="Q338" s="58" t="s">
        <v>43</v>
      </c>
      <c r="R338" s="58" t="s">
        <v>12</v>
      </c>
      <c r="S338" s="58"/>
      <c r="T338" s="71">
        <f>IF(R338="","",IF(OR(R338="SUPORTE",R338="PERDA / FECHOU LOJA"),"SEM",A338+VLOOKUP(R338,REGRAS!$B$2:$C$13,2,FALSE())))</f>
        <v>46111</v>
      </c>
      <c r="U338" s="58" t="str">
        <f t="shared" si="17"/>
        <v>RECOMPRA</v>
      </c>
      <c r="V338" s="58"/>
      <c r="W338" s="58" t="s">
        <v>147</v>
      </c>
      <c r="X338" s="58"/>
    </row>
    <row r="339" spans="1:24" x14ac:dyDescent="0.3">
      <c r="A339" s="71">
        <v>46058</v>
      </c>
      <c r="B339" s="58" t="s">
        <v>135</v>
      </c>
      <c r="C339" s="58" t="s">
        <v>1006</v>
      </c>
      <c r="D339" s="58" t="s">
        <v>1007</v>
      </c>
      <c r="E339" s="58" t="s">
        <v>332</v>
      </c>
      <c r="F339" s="58" t="s">
        <v>292</v>
      </c>
      <c r="G339" s="58" t="s">
        <v>82</v>
      </c>
      <c r="H339" s="58"/>
      <c r="I339" s="58" t="str">
        <f>IF(R339="","",VLOOKUP(R339,REGRAS!$B$2:$D$13,3,FALSE()))</f>
        <v>RELAC.</v>
      </c>
      <c r="J339" s="58"/>
      <c r="K339" s="58" t="str">
        <f t="shared" si="15"/>
        <v>PÓS-VENDA</v>
      </c>
      <c r="L339" s="58" t="str">
        <f t="shared" si="16"/>
        <v/>
      </c>
      <c r="M339" s="58"/>
      <c r="N339" s="58" t="s">
        <v>147</v>
      </c>
      <c r="O339" s="58" t="s">
        <v>147</v>
      </c>
      <c r="P339" s="58" t="s">
        <v>149</v>
      </c>
      <c r="Q339" s="58" t="s">
        <v>43</v>
      </c>
      <c r="R339" s="58" t="s">
        <v>21</v>
      </c>
      <c r="S339" s="58"/>
      <c r="T339" s="71" t="str">
        <f>IF(R339="","",IF(OR(R339="SUPORTE",R339="PERDA / FECHOU LOJA"),"SEM",A339+VLOOKUP(R339,REGRAS!$B$2:$C$13,2,FALSE())))</f>
        <v>SEM</v>
      </c>
      <c r="U339" s="58" t="str">
        <f t="shared" si="17"/>
        <v>PÓS-VENDA</v>
      </c>
      <c r="V339" s="58"/>
      <c r="W339" s="58" t="s">
        <v>146</v>
      </c>
      <c r="X339" s="58"/>
    </row>
    <row r="340" spans="1:24" x14ac:dyDescent="0.3">
      <c r="A340" s="71">
        <v>46067</v>
      </c>
      <c r="B340" s="58" t="s">
        <v>137</v>
      </c>
      <c r="C340" s="58" t="s">
        <v>1008</v>
      </c>
      <c r="D340" s="58" t="s">
        <v>1009</v>
      </c>
      <c r="E340" s="58" t="s">
        <v>332</v>
      </c>
      <c r="F340" s="58" t="s">
        <v>298</v>
      </c>
      <c r="G340" s="58" t="s">
        <v>79</v>
      </c>
      <c r="H340" s="58">
        <v>273</v>
      </c>
      <c r="I340" s="58" t="str">
        <f>IF(R340="","",VLOOKUP(R340,REGRAS!$B$2:$D$13,3,FALSE()))</f>
        <v>RELAC.</v>
      </c>
      <c r="J340" s="58"/>
      <c r="K340" s="58" t="str">
        <f t="shared" si="15"/>
        <v>CS</v>
      </c>
      <c r="L340" s="58" t="str">
        <f t="shared" si="16"/>
        <v>🔴</v>
      </c>
      <c r="M340" s="58"/>
      <c r="N340" s="58" t="s">
        <v>146</v>
      </c>
      <c r="O340" s="58" t="s">
        <v>146</v>
      </c>
      <c r="P340" s="58" t="s">
        <v>147</v>
      </c>
      <c r="Q340" s="58" t="s">
        <v>39</v>
      </c>
      <c r="R340" s="58" t="s">
        <v>14</v>
      </c>
      <c r="S340" s="58"/>
      <c r="T340" s="71">
        <f>IF(R340="","",IF(OR(R340="SUPORTE",R340="PERDA / FECHOU LOJA"),"SEM",A340+VLOOKUP(R340,REGRAS!$B$2:$C$13,2,FALSE())))</f>
        <v>46074</v>
      </c>
      <c r="U340" s="58" t="str">
        <f t="shared" si="17"/>
        <v>CS</v>
      </c>
      <c r="V340" s="58"/>
      <c r="W340" s="58" t="s">
        <v>146</v>
      </c>
      <c r="X340" s="58"/>
    </row>
    <row r="341" spans="1:24" x14ac:dyDescent="0.3">
      <c r="A341" s="71">
        <v>46076</v>
      </c>
      <c r="B341" s="58" t="s">
        <v>137</v>
      </c>
      <c r="C341" s="58" t="s">
        <v>575</v>
      </c>
      <c r="D341" s="58" t="s">
        <v>1010</v>
      </c>
      <c r="E341" s="58" t="s">
        <v>376</v>
      </c>
      <c r="F341" s="58" t="s">
        <v>283</v>
      </c>
      <c r="G341" s="58" t="s">
        <v>82</v>
      </c>
      <c r="H341" s="58"/>
      <c r="I341" s="58" t="str">
        <f>IF(R341="","",VLOOKUP(R341,REGRAS!$B$2:$D$13,3,FALSE()))</f>
        <v>FUNIL</v>
      </c>
      <c r="J341" s="58"/>
      <c r="K341" s="58" t="str">
        <f t="shared" si="15"/>
        <v>PROSPECÇÃO</v>
      </c>
      <c r="L341" s="58" t="str">
        <f t="shared" si="16"/>
        <v/>
      </c>
      <c r="M341" s="58"/>
      <c r="N341" s="58" t="s">
        <v>147</v>
      </c>
      <c r="O341" s="58" t="s">
        <v>147</v>
      </c>
      <c r="P341" s="58" t="s">
        <v>149</v>
      </c>
      <c r="Q341" s="58" t="s">
        <v>33</v>
      </c>
      <c r="R341" s="58" t="s">
        <v>10</v>
      </c>
      <c r="S341" s="58"/>
      <c r="T341" s="71">
        <f>IF(R341="","",IF(OR(R341="SUPORTE",R341="PERDA / FECHOU LOJA"),"SEM",A341+VLOOKUP(R341,REGRAS!$B$2:$C$13,2,FALSE())))</f>
        <v>46078</v>
      </c>
      <c r="U341" s="58" t="str">
        <f t="shared" si="17"/>
        <v>PROSPECÇÃO</v>
      </c>
      <c r="V341" s="58"/>
      <c r="W341" s="58" t="s">
        <v>146</v>
      </c>
      <c r="X341" s="58"/>
    </row>
    <row r="342" spans="1:24" x14ac:dyDescent="0.3">
      <c r="A342" s="71">
        <v>46074</v>
      </c>
      <c r="B342" s="58" t="s">
        <v>137</v>
      </c>
      <c r="C342" s="58" t="s">
        <v>1011</v>
      </c>
      <c r="D342" s="58" t="s">
        <v>1012</v>
      </c>
      <c r="E342" s="58" t="s">
        <v>376</v>
      </c>
      <c r="F342" s="58" t="s">
        <v>298</v>
      </c>
      <c r="G342" s="58" t="s">
        <v>74</v>
      </c>
      <c r="H342" s="58">
        <v>56</v>
      </c>
      <c r="I342" s="58" t="str">
        <f>IF(R342="","",VLOOKUP(R342,REGRAS!$B$2:$D$13,3,FALSE()))</f>
        <v>NÃO VENDA</v>
      </c>
      <c r="J342" s="58"/>
      <c r="K342" s="58" t="str">
        <f t="shared" si="15"/>
        <v>RECUPERAÇÃO</v>
      </c>
      <c r="L342" s="58" t="str">
        <f t="shared" si="16"/>
        <v>🟡</v>
      </c>
      <c r="M342" s="58"/>
      <c r="N342" s="58" t="s">
        <v>147</v>
      </c>
      <c r="O342" s="58" t="s">
        <v>146</v>
      </c>
      <c r="P342" s="58" t="s">
        <v>146</v>
      </c>
      <c r="Q342" s="58" t="s">
        <v>39</v>
      </c>
      <c r="R342" s="58" t="s">
        <v>23</v>
      </c>
      <c r="S342" s="58" t="s">
        <v>64</v>
      </c>
      <c r="T342" s="71">
        <f>IF(R342="","",IF(OR(R342="SUPORTE",R342="PERDA / FECHOU LOJA"),"SEM",A342+VLOOKUP(R342,REGRAS!$B$2:$C$13,2,FALSE())))</f>
        <v>46075</v>
      </c>
      <c r="U342" s="58" t="str">
        <f t="shared" si="17"/>
        <v>REATIVAÇÃO</v>
      </c>
      <c r="V342" s="58"/>
      <c r="W342" s="58" t="s">
        <v>147</v>
      </c>
      <c r="X342" s="58"/>
    </row>
    <row r="343" spans="1:24" x14ac:dyDescent="0.3">
      <c r="A343" s="71">
        <v>46077</v>
      </c>
      <c r="B343" s="58" t="s">
        <v>141</v>
      </c>
      <c r="C343" s="58" t="s">
        <v>1013</v>
      </c>
      <c r="D343" s="58" t="s">
        <v>1014</v>
      </c>
      <c r="E343" s="58" t="s">
        <v>332</v>
      </c>
      <c r="F343" s="58" t="s">
        <v>292</v>
      </c>
      <c r="G343" s="58" t="s">
        <v>82</v>
      </c>
      <c r="H343" s="58"/>
      <c r="I343" s="58" t="str">
        <f>IF(R343="","",VLOOKUP(R343,REGRAS!$B$2:$D$13,3,FALSE()))</f>
        <v>NÃO VENDA</v>
      </c>
      <c r="J343" s="58"/>
      <c r="K343" s="58" t="str">
        <f t="shared" si="15"/>
        <v>RECUPERAÇÃO</v>
      </c>
      <c r="L343" s="58" t="str">
        <f t="shared" si="16"/>
        <v/>
      </c>
      <c r="M343" s="58"/>
      <c r="N343" s="58" t="s">
        <v>146</v>
      </c>
      <c r="O343" s="58" t="s">
        <v>147</v>
      </c>
      <c r="P343" s="58" t="s">
        <v>149</v>
      </c>
      <c r="Q343" s="58" t="s">
        <v>41</v>
      </c>
      <c r="R343" s="58" t="s">
        <v>23</v>
      </c>
      <c r="S343" s="58" t="s">
        <v>64</v>
      </c>
      <c r="T343" s="71">
        <f>IF(R343="","",IF(OR(R343="SUPORTE",R343="PERDA / FECHOU LOJA"),"SEM",A343+VLOOKUP(R343,REGRAS!$B$2:$C$13,2,FALSE())))</f>
        <v>46078</v>
      </c>
      <c r="U343" s="58" t="str">
        <f t="shared" si="17"/>
        <v>REATIVAÇÃO</v>
      </c>
      <c r="V343" s="58"/>
      <c r="W343" s="58" t="s">
        <v>146</v>
      </c>
      <c r="X343" s="58"/>
    </row>
    <row r="344" spans="1:24" x14ac:dyDescent="0.3">
      <c r="A344" s="71">
        <v>46058</v>
      </c>
      <c r="B344" s="58" t="s">
        <v>139</v>
      </c>
      <c r="C344" s="58" t="s">
        <v>1015</v>
      </c>
      <c r="D344" s="58" t="s">
        <v>1016</v>
      </c>
      <c r="E344" s="58" t="s">
        <v>381</v>
      </c>
      <c r="F344" s="58" t="s">
        <v>292</v>
      </c>
      <c r="G344" s="58" t="s">
        <v>79</v>
      </c>
      <c r="H344" s="58">
        <v>185</v>
      </c>
      <c r="I344" s="58" t="str">
        <f>IF(R344="","",VLOOKUP(R344,REGRAS!$B$2:$D$13,3,FALSE()))</f>
        <v>RELAC.</v>
      </c>
      <c r="J344" s="58"/>
      <c r="K344" s="58" t="str">
        <f t="shared" si="15"/>
        <v>CS</v>
      </c>
      <c r="L344" s="58" t="str">
        <f t="shared" si="16"/>
        <v>🔴</v>
      </c>
      <c r="M344" s="58"/>
      <c r="N344" s="58" t="s">
        <v>147</v>
      </c>
      <c r="O344" s="58" t="s">
        <v>147</v>
      </c>
      <c r="P344" s="58" t="s">
        <v>149</v>
      </c>
      <c r="Q344" s="58" t="s">
        <v>43</v>
      </c>
      <c r="R344" s="58" t="s">
        <v>14</v>
      </c>
      <c r="S344" s="58"/>
      <c r="T344" s="71">
        <f>IF(R344="","",IF(OR(R344="SUPORTE",R344="PERDA / FECHOU LOJA"),"SEM",A344+VLOOKUP(R344,REGRAS!$B$2:$C$13,2,FALSE())))</f>
        <v>46065</v>
      </c>
      <c r="U344" s="58" t="str">
        <f t="shared" si="17"/>
        <v>CS</v>
      </c>
      <c r="V344" s="58"/>
      <c r="W344" s="58" t="s">
        <v>147</v>
      </c>
      <c r="X344" s="58"/>
    </row>
    <row r="345" spans="1:24" x14ac:dyDescent="0.3">
      <c r="A345" s="71">
        <v>46081</v>
      </c>
      <c r="B345" s="58" t="s">
        <v>135</v>
      </c>
      <c r="C345" s="58" t="s">
        <v>1017</v>
      </c>
      <c r="D345" s="58" t="s">
        <v>1018</v>
      </c>
      <c r="E345" s="58" t="s">
        <v>340</v>
      </c>
      <c r="F345" s="58" t="s">
        <v>289</v>
      </c>
      <c r="G345" s="58" t="s">
        <v>74</v>
      </c>
      <c r="H345" s="58">
        <v>53</v>
      </c>
      <c r="I345" s="58" t="str">
        <f>IF(R345="","",VLOOKUP(R345,REGRAS!$B$2:$D$13,3,FALSE()))</f>
        <v>FUNIL</v>
      </c>
      <c r="J345" s="58"/>
      <c r="K345" s="58" t="str">
        <f t="shared" si="15"/>
        <v>RECOMPRA</v>
      </c>
      <c r="L345" s="58" t="str">
        <f t="shared" si="16"/>
        <v>🟡</v>
      </c>
      <c r="M345" s="58"/>
      <c r="N345" s="58" t="s">
        <v>146</v>
      </c>
      <c r="O345" s="58" t="s">
        <v>147</v>
      </c>
      <c r="P345" s="58" t="s">
        <v>149</v>
      </c>
      <c r="Q345" s="58" t="s">
        <v>35</v>
      </c>
      <c r="R345" s="58" t="s">
        <v>12</v>
      </c>
      <c r="S345" s="58"/>
      <c r="T345" s="71">
        <f>IF(R345="","",IF(OR(R345="SUPORTE",R345="PERDA / FECHOU LOJA"),"SEM",A345+VLOOKUP(R345,REGRAS!$B$2:$C$13,2,FALSE())))</f>
        <v>46126</v>
      </c>
      <c r="U345" s="58" t="str">
        <f t="shared" si="17"/>
        <v>RECOMPRA</v>
      </c>
      <c r="V345" s="58"/>
      <c r="W345" s="58" t="s">
        <v>147</v>
      </c>
      <c r="X345" s="58"/>
    </row>
    <row r="346" spans="1:24" x14ac:dyDescent="0.3">
      <c r="A346" s="71">
        <v>46057</v>
      </c>
      <c r="B346" s="58" t="s">
        <v>135</v>
      </c>
      <c r="C346" s="58" t="s">
        <v>1019</v>
      </c>
      <c r="D346" s="58" t="s">
        <v>1020</v>
      </c>
      <c r="E346" s="58" t="s">
        <v>366</v>
      </c>
      <c r="F346" s="58" t="s">
        <v>292</v>
      </c>
      <c r="G346" s="58" t="s">
        <v>74</v>
      </c>
      <c r="H346" s="58">
        <v>53</v>
      </c>
      <c r="I346" s="58" t="str">
        <f>IF(R346="","",VLOOKUP(R346,REGRAS!$B$2:$D$13,3,FALSE()))</f>
        <v>RELAC.</v>
      </c>
      <c r="J346" s="58"/>
      <c r="K346" s="58" t="str">
        <f t="shared" si="15"/>
        <v>CS</v>
      </c>
      <c r="L346" s="58" t="str">
        <f t="shared" si="16"/>
        <v>🟡</v>
      </c>
      <c r="M346" s="58"/>
      <c r="N346" s="58" t="s">
        <v>146</v>
      </c>
      <c r="O346" s="58" t="s">
        <v>147</v>
      </c>
      <c r="P346" s="58" t="s">
        <v>149</v>
      </c>
      <c r="Q346" s="58" t="s">
        <v>39</v>
      </c>
      <c r="R346" s="58" t="s">
        <v>14</v>
      </c>
      <c r="S346" s="58"/>
      <c r="T346" s="71">
        <f>IF(R346="","",IF(OR(R346="SUPORTE",R346="PERDA / FECHOU LOJA"),"SEM",A346+VLOOKUP(R346,REGRAS!$B$2:$C$13,2,FALSE())))</f>
        <v>46064</v>
      </c>
      <c r="U346" s="58" t="str">
        <f t="shared" si="17"/>
        <v>CS</v>
      </c>
      <c r="V346" s="58"/>
      <c r="W346" s="58" t="s">
        <v>146</v>
      </c>
      <c r="X346" s="58"/>
    </row>
    <row r="347" spans="1:24" x14ac:dyDescent="0.3">
      <c r="A347" s="71">
        <v>46064</v>
      </c>
      <c r="B347" s="58" t="s">
        <v>141</v>
      </c>
      <c r="C347" s="58" t="s">
        <v>1021</v>
      </c>
      <c r="D347" s="58" t="s">
        <v>1022</v>
      </c>
      <c r="E347" s="58" t="s">
        <v>381</v>
      </c>
      <c r="F347" s="58" t="s">
        <v>292</v>
      </c>
      <c r="G347" s="58" t="s">
        <v>71</v>
      </c>
      <c r="H347" s="58">
        <v>22</v>
      </c>
      <c r="I347" s="58" t="str">
        <f>IF(R347="","",VLOOKUP(R347,REGRAS!$B$2:$D$13,3,FALSE()))</f>
        <v>RELAC.</v>
      </c>
      <c r="J347" s="58"/>
      <c r="K347" s="58" t="str">
        <f t="shared" si="15"/>
        <v>CS</v>
      </c>
      <c r="L347" s="58" t="str">
        <f t="shared" si="16"/>
        <v>🟢</v>
      </c>
      <c r="M347" s="58"/>
      <c r="N347" s="58" t="s">
        <v>146</v>
      </c>
      <c r="O347" s="58" t="s">
        <v>147</v>
      </c>
      <c r="P347" s="58" t="s">
        <v>149</v>
      </c>
      <c r="Q347" s="58" t="s">
        <v>43</v>
      </c>
      <c r="R347" s="58" t="s">
        <v>14</v>
      </c>
      <c r="S347" s="58"/>
      <c r="T347" s="71">
        <f>IF(R347="","",IF(OR(R347="SUPORTE",R347="PERDA / FECHOU LOJA"),"SEM",A347+VLOOKUP(R347,REGRAS!$B$2:$C$13,2,FALSE())))</f>
        <v>46071</v>
      </c>
      <c r="U347" s="58" t="str">
        <f t="shared" si="17"/>
        <v>CS</v>
      </c>
      <c r="V347" s="58"/>
      <c r="W347" s="58" t="s">
        <v>147</v>
      </c>
      <c r="X347" s="58"/>
    </row>
    <row r="348" spans="1:24" x14ac:dyDescent="0.3">
      <c r="A348" s="71">
        <v>46061</v>
      </c>
      <c r="B348" s="58" t="s">
        <v>139</v>
      </c>
      <c r="C348" s="58" t="s">
        <v>853</v>
      </c>
      <c r="D348" s="58" t="s">
        <v>1023</v>
      </c>
      <c r="E348" s="58" t="s">
        <v>376</v>
      </c>
      <c r="F348" s="58" t="s">
        <v>297</v>
      </c>
      <c r="G348" s="58" t="s">
        <v>82</v>
      </c>
      <c r="H348" s="58"/>
      <c r="I348" s="58" t="str">
        <f>IF(R348="","",VLOOKUP(R348,REGRAS!$B$2:$D$13,3,FALSE()))</f>
        <v>FUNIL</v>
      </c>
      <c r="J348" s="58"/>
      <c r="K348" s="58" t="str">
        <f t="shared" si="15"/>
        <v>EM ATENDIMENTO</v>
      </c>
      <c r="L348" s="58" t="str">
        <f t="shared" si="16"/>
        <v/>
      </c>
      <c r="M348" s="58"/>
      <c r="N348" s="58" t="s">
        <v>146</v>
      </c>
      <c r="O348" s="58" t="s">
        <v>146</v>
      </c>
      <c r="P348" s="58" t="s">
        <v>146</v>
      </c>
      <c r="Q348" s="58" t="s">
        <v>33</v>
      </c>
      <c r="R348" s="58" t="s">
        <v>5</v>
      </c>
      <c r="S348" s="58"/>
      <c r="T348" s="71">
        <f>IF(R348="","",IF(OR(R348="SUPORTE",R348="PERDA / FECHOU LOJA"),"SEM",A348+VLOOKUP(R348,REGRAS!$B$2:$C$13,2,FALSE())))</f>
        <v>46063</v>
      </c>
      <c r="U348" s="58" t="str">
        <f t="shared" si="17"/>
        <v>PROSPECÇÃO</v>
      </c>
      <c r="V348" s="58"/>
      <c r="W348" s="58" t="s">
        <v>146</v>
      </c>
      <c r="X348" s="58"/>
    </row>
    <row r="349" spans="1:24" x14ac:dyDescent="0.3">
      <c r="A349" s="71">
        <v>46060</v>
      </c>
      <c r="B349" s="58" t="s">
        <v>135</v>
      </c>
      <c r="C349" s="58" t="s">
        <v>1024</v>
      </c>
      <c r="D349" s="58" t="s">
        <v>1025</v>
      </c>
      <c r="E349" s="58" t="s">
        <v>335</v>
      </c>
      <c r="F349" s="58" t="s">
        <v>292</v>
      </c>
      <c r="G349" s="58" t="s">
        <v>71</v>
      </c>
      <c r="H349" s="58">
        <v>43</v>
      </c>
      <c r="I349" s="58" t="str">
        <f>IF(R349="","",VLOOKUP(R349,REGRAS!$B$2:$D$13,3,FALSE()))</f>
        <v>NÃO VENDA</v>
      </c>
      <c r="J349" s="58"/>
      <c r="K349" s="58" t="str">
        <f t="shared" si="15"/>
        <v>RECUPERAÇÃO</v>
      </c>
      <c r="L349" s="58" t="str">
        <f t="shared" si="16"/>
        <v>🟢</v>
      </c>
      <c r="M349" s="58"/>
      <c r="N349" s="58" t="s">
        <v>147</v>
      </c>
      <c r="O349" s="58" t="s">
        <v>147</v>
      </c>
      <c r="P349" s="58" t="s">
        <v>149</v>
      </c>
      <c r="Q349" s="58" t="s">
        <v>33</v>
      </c>
      <c r="R349" s="58" t="s">
        <v>23</v>
      </c>
      <c r="S349" s="58" t="s">
        <v>66</v>
      </c>
      <c r="T349" s="71">
        <f>IF(R349="","",IF(OR(R349="SUPORTE",R349="PERDA / FECHOU LOJA"),"SEM",A349+VLOOKUP(R349,REGRAS!$B$2:$C$13,2,FALSE())))</f>
        <v>46061</v>
      </c>
      <c r="U349" s="58" t="str">
        <f t="shared" si="17"/>
        <v>REATIVAÇÃO</v>
      </c>
      <c r="V349" s="58"/>
      <c r="W349" s="58" t="s">
        <v>147</v>
      </c>
      <c r="X349" s="58"/>
    </row>
    <row r="350" spans="1:24" x14ac:dyDescent="0.3">
      <c r="A350" s="71">
        <v>46076</v>
      </c>
      <c r="B350" s="58" t="s">
        <v>135</v>
      </c>
      <c r="C350" s="58" t="s">
        <v>1026</v>
      </c>
      <c r="D350" s="58" t="s">
        <v>1027</v>
      </c>
      <c r="E350" s="58" t="s">
        <v>340</v>
      </c>
      <c r="F350" s="58" t="s">
        <v>297</v>
      </c>
      <c r="G350" s="58" t="s">
        <v>79</v>
      </c>
      <c r="H350" s="58">
        <v>288</v>
      </c>
      <c r="I350" s="58" t="str">
        <f>IF(R350="","",VLOOKUP(R350,REGRAS!$B$2:$D$13,3,FALSE()))</f>
        <v>FUNIL</v>
      </c>
      <c r="J350" s="58"/>
      <c r="K350" s="58" t="str">
        <f t="shared" si="15"/>
        <v>PROSPECÇÃO</v>
      </c>
      <c r="L350" s="58" t="str">
        <f t="shared" si="16"/>
        <v>🔴</v>
      </c>
      <c r="M350" s="58"/>
      <c r="N350" s="58" t="s">
        <v>146</v>
      </c>
      <c r="O350" s="58" t="s">
        <v>147</v>
      </c>
      <c r="P350" s="58" t="s">
        <v>149</v>
      </c>
      <c r="Q350" s="58" t="s">
        <v>37</v>
      </c>
      <c r="R350" s="58" t="s">
        <v>8</v>
      </c>
      <c r="S350" s="58"/>
      <c r="T350" s="71">
        <f>IF(R350="","",IF(OR(R350="SUPORTE",R350="PERDA / FECHOU LOJA"),"SEM",A350+VLOOKUP(R350,REGRAS!$B$2:$C$13,2,FALSE())))</f>
        <v>46077</v>
      </c>
      <c r="U350" s="58" t="str">
        <f t="shared" si="17"/>
        <v>PROSPECÇÃO</v>
      </c>
      <c r="V350" s="58"/>
      <c r="W350" s="58" t="s">
        <v>146</v>
      </c>
      <c r="X350" s="58"/>
    </row>
    <row r="351" spans="1:24" x14ac:dyDescent="0.3">
      <c r="A351" s="71">
        <v>46064</v>
      </c>
      <c r="B351" s="58" t="s">
        <v>141</v>
      </c>
      <c r="C351" s="58" t="s">
        <v>1028</v>
      </c>
      <c r="D351" s="58" t="s">
        <v>1029</v>
      </c>
      <c r="E351" s="58" t="s">
        <v>335</v>
      </c>
      <c r="F351" s="58" t="s">
        <v>289</v>
      </c>
      <c r="G351" s="58" t="s">
        <v>74</v>
      </c>
      <c r="H351" s="58">
        <v>53</v>
      </c>
      <c r="I351" s="58" t="str">
        <f>IF(R351="","",VLOOKUP(R351,REGRAS!$B$2:$D$13,3,FALSE()))</f>
        <v>RELAC.</v>
      </c>
      <c r="J351" s="58"/>
      <c r="K351" s="58" t="str">
        <f t="shared" si="15"/>
        <v>CS</v>
      </c>
      <c r="L351" s="58" t="str">
        <f t="shared" si="16"/>
        <v>🟡</v>
      </c>
      <c r="M351" s="58"/>
      <c r="N351" s="58" t="s">
        <v>146</v>
      </c>
      <c r="O351" s="58" t="s">
        <v>146</v>
      </c>
      <c r="P351" s="58" t="s">
        <v>146</v>
      </c>
      <c r="Q351" s="58" t="s">
        <v>39</v>
      </c>
      <c r="R351" s="58" t="s">
        <v>14</v>
      </c>
      <c r="S351" s="58"/>
      <c r="T351" s="71">
        <f>IF(R351="","",IF(OR(R351="SUPORTE",R351="PERDA / FECHOU LOJA"),"SEM",A351+VLOOKUP(R351,REGRAS!$B$2:$C$13,2,FALSE())))</f>
        <v>46071</v>
      </c>
      <c r="U351" s="58" t="str">
        <f t="shared" si="17"/>
        <v>CS</v>
      </c>
      <c r="V351" s="58"/>
      <c r="W351" s="58" t="s">
        <v>146</v>
      </c>
      <c r="X351" s="58"/>
    </row>
    <row r="352" spans="1:24" x14ac:dyDescent="0.3">
      <c r="A352" s="71">
        <v>46055</v>
      </c>
      <c r="B352" s="58" t="s">
        <v>135</v>
      </c>
      <c r="C352" s="58" t="s">
        <v>1030</v>
      </c>
      <c r="D352" s="58" t="s">
        <v>1031</v>
      </c>
      <c r="E352" s="58" t="s">
        <v>332</v>
      </c>
      <c r="F352" s="58" t="s">
        <v>297</v>
      </c>
      <c r="G352" s="58" t="s">
        <v>85</v>
      </c>
      <c r="H352" s="58"/>
      <c r="I352" s="58" t="str">
        <f>IF(R352="","",VLOOKUP(R352,REGRAS!$B$2:$D$13,3,FALSE()))</f>
        <v>NÃO VENDA</v>
      </c>
      <c r="J352" s="58"/>
      <c r="K352" s="58" t="str">
        <f t="shared" si="15"/>
        <v>RECUPERAÇÃO</v>
      </c>
      <c r="L352" s="58" t="str">
        <f t="shared" si="16"/>
        <v/>
      </c>
      <c r="M352" s="58"/>
      <c r="N352" s="58" t="s">
        <v>147</v>
      </c>
      <c r="O352" s="58" t="s">
        <v>147</v>
      </c>
      <c r="P352" s="58" t="s">
        <v>149</v>
      </c>
      <c r="Q352" s="58" t="s">
        <v>41</v>
      </c>
      <c r="R352" s="58" t="s">
        <v>23</v>
      </c>
      <c r="S352" s="58" t="s">
        <v>57</v>
      </c>
      <c r="T352" s="71">
        <f>IF(R352="","",IF(OR(R352="SUPORTE",R352="PERDA / FECHOU LOJA"),"SEM",A352+VLOOKUP(R352,REGRAS!$B$2:$C$13,2,FALSE())))</f>
        <v>46056</v>
      </c>
      <c r="U352" s="58" t="str">
        <f t="shared" si="17"/>
        <v>REATIVAÇÃO</v>
      </c>
      <c r="V352" s="58"/>
      <c r="W352" s="58" t="s">
        <v>146</v>
      </c>
      <c r="X352" s="58"/>
    </row>
    <row r="353" spans="1:24" x14ac:dyDescent="0.3">
      <c r="A353" s="71">
        <v>46078</v>
      </c>
      <c r="B353" s="58" t="s">
        <v>137</v>
      </c>
      <c r="C353" s="58" t="s">
        <v>1032</v>
      </c>
      <c r="D353" s="58" t="s">
        <v>1033</v>
      </c>
      <c r="E353" s="58" t="s">
        <v>369</v>
      </c>
      <c r="F353" s="58" t="s">
        <v>292</v>
      </c>
      <c r="G353" s="58" t="s">
        <v>74</v>
      </c>
      <c r="H353" s="58">
        <v>60</v>
      </c>
      <c r="I353" s="58" t="str">
        <f>IF(R353="","",VLOOKUP(R353,REGRAS!$B$2:$D$13,3,FALSE()))</f>
        <v>NÃO VENDA</v>
      </c>
      <c r="J353" s="58"/>
      <c r="K353" s="58" t="str">
        <f t="shared" si="15"/>
        <v>RECUPERAÇÃO</v>
      </c>
      <c r="L353" s="58" t="str">
        <f t="shared" si="16"/>
        <v>🟡</v>
      </c>
      <c r="M353" s="58"/>
      <c r="N353" s="58" t="s">
        <v>146</v>
      </c>
      <c r="O353" s="58" t="s">
        <v>146</v>
      </c>
      <c r="P353" s="58" t="s">
        <v>146</v>
      </c>
      <c r="Q353" s="58" t="s">
        <v>39</v>
      </c>
      <c r="R353" s="58" t="s">
        <v>23</v>
      </c>
      <c r="S353" s="58" t="s">
        <v>66</v>
      </c>
      <c r="T353" s="71">
        <f>IF(R353="","",IF(OR(R353="SUPORTE",R353="PERDA / FECHOU LOJA"),"SEM",A353+VLOOKUP(R353,REGRAS!$B$2:$C$13,2,FALSE())))</f>
        <v>46079</v>
      </c>
      <c r="U353" s="58" t="str">
        <f t="shared" si="17"/>
        <v>REATIVAÇÃO</v>
      </c>
      <c r="V353" s="58"/>
      <c r="W353" s="58" t="s">
        <v>146</v>
      </c>
      <c r="X353" s="58"/>
    </row>
    <row r="354" spans="1:24" x14ac:dyDescent="0.3">
      <c r="A354" s="71">
        <v>46065</v>
      </c>
      <c r="B354" s="58" t="s">
        <v>137</v>
      </c>
      <c r="C354" s="58" t="s">
        <v>1034</v>
      </c>
      <c r="D354" s="58" t="s">
        <v>1035</v>
      </c>
      <c r="E354" s="58" t="s">
        <v>332</v>
      </c>
      <c r="F354" s="58" t="s">
        <v>296</v>
      </c>
      <c r="G354" s="58" t="s">
        <v>85</v>
      </c>
      <c r="H354" s="58"/>
      <c r="I354" s="58" t="str">
        <f>IF(R354="","",VLOOKUP(R354,REGRAS!$B$2:$D$13,3,FALSE()))</f>
        <v>NÃO VENDA</v>
      </c>
      <c r="J354" s="58"/>
      <c r="K354" s="58" t="str">
        <f t="shared" si="15"/>
        <v>RECUPERAÇÃO</v>
      </c>
      <c r="L354" s="58" t="str">
        <f t="shared" si="16"/>
        <v/>
      </c>
      <c r="M354" s="58"/>
      <c r="N354" s="58" t="s">
        <v>146</v>
      </c>
      <c r="O354" s="58" t="s">
        <v>146</v>
      </c>
      <c r="P354" s="58" t="s">
        <v>147</v>
      </c>
      <c r="Q354" s="58" t="s">
        <v>41</v>
      </c>
      <c r="R354" s="58" t="s">
        <v>23</v>
      </c>
      <c r="S354" s="58" t="s">
        <v>55</v>
      </c>
      <c r="T354" s="71">
        <f>IF(R354="","",IF(OR(R354="SUPORTE",R354="PERDA / FECHOU LOJA"),"SEM",A354+VLOOKUP(R354,REGRAS!$B$2:$C$13,2,FALSE())))</f>
        <v>46066</v>
      </c>
      <c r="U354" s="58" t="str">
        <f t="shared" si="17"/>
        <v>REATIVAÇÃO</v>
      </c>
      <c r="V354" s="58"/>
      <c r="W354" s="58" t="s">
        <v>147</v>
      </c>
      <c r="X354" s="58"/>
    </row>
    <row r="355" spans="1:24" x14ac:dyDescent="0.3">
      <c r="A355" s="71">
        <v>46068</v>
      </c>
      <c r="B355" s="58" t="s">
        <v>139</v>
      </c>
      <c r="C355" s="58" t="s">
        <v>1036</v>
      </c>
      <c r="D355" s="58" t="s">
        <v>1037</v>
      </c>
      <c r="E355" s="58" t="s">
        <v>376</v>
      </c>
      <c r="F355" s="58" t="s">
        <v>283</v>
      </c>
      <c r="G355" s="58" t="s">
        <v>77</v>
      </c>
      <c r="H355" s="58">
        <v>70</v>
      </c>
      <c r="I355" s="58" t="str">
        <f>IF(R355="","",VLOOKUP(R355,REGRAS!$B$2:$D$13,3,FALSE()))</f>
        <v>NÃO VENDA</v>
      </c>
      <c r="J355" s="58"/>
      <c r="K355" s="58" t="str">
        <f t="shared" si="15"/>
        <v>RECUPERAÇÃO</v>
      </c>
      <c r="L355" s="58" t="str">
        <f t="shared" si="16"/>
        <v>🟡</v>
      </c>
      <c r="M355" s="58"/>
      <c r="N355" s="58" t="s">
        <v>147</v>
      </c>
      <c r="O355" s="58" t="s">
        <v>147</v>
      </c>
      <c r="P355" s="58" t="s">
        <v>149</v>
      </c>
      <c r="Q355" s="58" t="s">
        <v>39</v>
      </c>
      <c r="R355" s="58" t="s">
        <v>23</v>
      </c>
      <c r="S355" s="58" t="s">
        <v>49</v>
      </c>
      <c r="T355" s="71">
        <f>IF(R355="","",IF(OR(R355="SUPORTE",R355="PERDA / FECHOU LOJA"),"SEM",A355+VLOOKUP(R355,REGRAS!$B$2:$C$13,2,FALSE())))</f>
        <v>46069</v>
      </c>
      <c r="U355" s="58" t="str">
        <f t="shared" si="17"/>
        <v>REATIVAÇÃO</v>
      </c>
      <c r="V355" s="58"/>
      <c r="W355" s="58" t="s">
        <v>146</v>
      </c>
      <c r="X355" s="58"/>
    </row>
    <row r="356" spans="1:24" x14ac:dyDescent="0.3">
      <c r="A356" s="71">
        <v>46064</v>
      </c>
      <c r="B356" s="58" t="s">
        <v>141</v>
      </c>
      <c r="C356" s="58" t="s">
        <v>1038</v>
      </c>
      <c r="D356" s="58" t="s">
        <v>1039</v>
      </c>
      <c r="E356" s="58" t="s">
        <v>369</v>
      </c>
      <c r="F356" s="58" t="s">
        <v>292</v>
      </c>
      <c r="G356" s="58" t="s">
        <v>77</v>
      </c>
      <c r="H356" s="58">
        <v>84</v>
      </c>
      <c r="I356" s="58" t="str">
        <f>IF(R356="","",VLOOKUP(R356,REGRAS!$B$2:$D$13,3,FALSE()))</f>
        <v>FUNIL</v>
      </c>
      <c r="J356" s="58"/>
      <c r="K356" s="58" t="str">
        <f t="shared" si="15"/>
        <v>EM ATENDIMENTO</v>
      </c>
      <c r="L356" s="58" t="str">
        <f t="shared" si="16"/>
        <v>🟡</v>
      </c>
      <c r="M356" s="58"/>
      <c r="N356" s="58" t="s">
        <v>146</v>
      </c>
      <c r="O356" s="58" t="s">
        <v>146</v>
      </c>
      <c r="P356" s="58" t="s">
        <v>147</v>
      </c>
      <c r="Q356" s="58" t="s">
        <v>39</v>
      </c>
      <c r="R356" s="58" t="s">
        <v>5</v>
      </c>
      <c r="S356" s="58"/>
      <c r="T356" s="71">
        <f>IF(R356="","",IF(OR(R356="SUPORTE",R356="PERDA / FECHOU LOJA"),"SEM",A356+VLOOKUP(R356,REGRAS!$B$2:$C$13,2,FALSE())))</f>
        <v>46066</v>
      </c>
      <c r="U356" s="58" t="str">
        <f t="shared" si="17"/>
        <v>PROSPECÇÃO</v>
      </c>
      <c r="V356" s="58"/>
      <c r="W356" s="58" t="s">
        <v>146</v>
      </c>
      <c r="X356" s="58"/>
    </row>
    <row r="357" spans="1:24" x14ac:dyDescent="0.3">
      <c r="A357" s="71">
        <v>46073</v>
      </c>
      <c r="B357" s="58" t="s">
        <v>135</v>
      </c>
      <c r="C357" s="58" t="s">
        <v>1040</v>
      </c>
      <c r="D357" s="58" t="s">
        <v>1041</v>
      </c>
      <c r="E357" s="58" t="s">
        <v>376</v>
      </c>
      <c r="F357" s="58" t="s">
        <v>289</v>
      </c>
      <c r="G357" s="58" t="s">
        <v>77</v>
      </c>
      <c r="H357" s="58">
        <v>87</v>
      </c>
      <c r="I357" s="58" t="str">
        <f>IF(R357="","",VLOOKUP(R357,REGRAS!$B$2:$D$13,3,FALSE()))</f>
        <v>RELAC.</v>
      </c>
      <c r="J357" s="58"/>
      <c r="K357" s="58" t="str">
        <f t="shared" si="15"/>
        <v>CS</v>
      </c>
      <c r="L357" s="58" t="str">
        <f t="shared" si="16"/>
        <v>🟡</v>
      </c>
      <c r="M357" s="58"/>
      <c r="N357" s="58" t="s">
        <v>146</v>
      </c>
      <c r="O357" s="58" t="s">
        <v>147</v>
      </c>
      <c r="P357" s="58" t="s">
        <v>149</v>
      </c>
      <c r="Q357" s="58" t="s">
        <v>43</v>
      </c>
      <c r="R357" s="58" t="s">
        <v>14</v>
      </c>
      <c r="S357" s="58"/>
      <c r="T357" s="71">
        <f>IF(R357="","",IF(OR(R357="SUPORTE",R357="PERDA / FECHOU LOJA"),"SEM",A357+VLOOKUP(R357,REGRAS!$B$2:$C$13,2,FALSE())))</f>
        <v>46080</v>
      </c>
      <c r="U357" s="58" t="str">
        <f t="shared" si="17"/>
        <v>CS</v>
      </c>
      <c r="V357" s="58"/>
      <c r="W357" s="58" t="s">
        <v>146</v>
      </c>
      <c r="X357" s="58"/>
    </row>
    <row r="358" spans="1:24" x14ac:dyDescent="0.3">
      <c r="A358" s="71">
        <v>46060</v>
      </c>
      <c r="B358" s="58" t="s">
        <v>137</v>
      </c>
      <c r="C358" s="58" t="s">
        <v>1042</v>
      </c>
      <c r="D358" s="58" t="s">
        <v>1043</v>
      </c>
      <c r="E358" s="58" t="s">
        <v>366</v>
      </c>
      <c r="F358" s="58" t="s">
        <v>292</v>
      </c>
      <c r="G358" s="58" t="s">
        <v>71</v>
      </c>
      <c r="H358" s="58">
        <v>7</v>
      </c>
      <c r="I358" s="58" t="str">
        <f>IF(R358="","",VLOOKUP(R358,REGRAS!$B$2:$D$13,3,FALSE()))</f>
        <v>FUNIL</v>
      </c>
      <c r="J358" s="58"/>
      <c r="K358" s="58" t="str">
        <f t="shared" si="15"/>
        <v>PROSPECÇÃO</v>
      </c>
      <c r="L358" s="58" t="str">
        <f t="shared" si="16"/>
        <v>🟢</v>
      </c>
      <c r="M358" s="58"/>
      <c r="N358" s="58" t="s">
        <v>146</v>
      </c>
      <c r="O358" s="58" t="s">
        <v>146</v>
      </c>
      <c r="P358" s="58" t="s">
        <v>146</v>
      </c>
      <c r="Q358" s="58" t="s">
        <v>39</v>
      </c>
      <c r="R358" s="58" t="s">
        <v>8</v>
      </c>
      <c r="S358" s="58"/>
      <c r="T358" s="71">
        <f>IF(R358="","",IF(OR(R358="SUPORTE",R358="PERDA / FECHOU LOJA"),"SEM",A358+VLOOKUP(R358,REGRAS!$B$2:$C$13,2,FALSE())))</f>
        <v>46061</v>
      </c>
      <c r="U358" s="58" t="str">
        <f t="shared" si="17"/>
        <v>PROSPECÇÃO</v>
      </c>
      <c r="V358" s="58"/>
      <c r="W358" s="58" t="s">
        <v>147</v>
      </c>
      <c r="X358" s="58"/>
    </row>
    <row r="359" spans="1:24" x14ac:dyDescent="0.3">
      <c r="A359" s="71">
        <v>46071</v>
      </c>
      <c r="B359" s="58" t="s">
        <v>135</v>
      </c>
      <c r="C359" s="58" t="s">
        <v>1044</v>
      </c>
      <c r="D359" s="58" t="s">
        <v>1045</v>
      </c>
      <c r="E359" s="58" t="s">
        <v>332</v>
      </c>
      <c r="F359" s="58" t="s">
        <v>298</v>
      </c>
      <c r="G359" s="58" t="s">
        <v>71</v>
      </c>
      <c r="H359" s="58">
        <v>16</v>
      </c>
      <c r="I359" s="58" t="str">
        <f>IF(R359="","",VLOOKUP(R359,REGRAS!$B$2:$D$13,3,FALSE()))</f>
        <v>RELAC.</v>
      </c>
      <c r="J359" s="58"/>
      <c r="K359" s="58" t="str">
        <f t="shared" si="15"/>
        <v>PÓS-VENDA</v>
      </c>
      <c r="L359" s="58" t="str">
        <f t="shared" si="16"/>
        <v>🟢</v>
      </c>
      <c r="M359" s="58"/>
      <c r="N359" s="58" t="s">
        <v>146</v>
      </c>
      <c r="O359" s="58" t="s">
        <v>146</v>
      </c>
      <c r="P359" s="58" t="s">
        <v>147</v>
      </c>
      <c r="Q359" s="58" t="s">
        <v>43</v>
      </c>
      <c r="R359" s="58" t="s">
        <v>21</v>
      </c>
      <c r="S359" s="58"/>
      <c r="T359" s="71" t="str">
        <f>IF(R359="","",IF(OR(R359="SUPORTE",R359="PERDA / FECHOU LOJA"),"SEM",A359+VLOOKUP(R359,REGRAS!$B$2:$C$13,2,FALSE())))</f>
        <v>SEM</v>
      </c>
      <c r="U359" s="58" t="str">
        <f t="shared" si="17"/>
        <v>PÓS-VENDA</v>
      </c>
      <c r="V359" s="58"/>
      <c r="W359" s="58" t="s">
        <v>147</v>
      </c>
      <c r="X359" s="58"/>
    </row>
    <row r="360" spans="1:24" x14ac:dyDescent="0.3">
      <c r="A360" s="71">
        <v>46069</v>
      </c>
      <c r="B360" s="58" t="s">
        <v>139</v>
      </c>
      <c r="C360" s="58" t="s">
        <v>1046</v>
      </c>
      <c r="D360" s="58" t="s">
        <v>1047</v>
      </c>
      <c r="E360" s="58" t="s">
        <v>332</v>
      </c>
      <c r="F360" s="58" t="s">
        <v>289</v>
      </c>
      <c r="G360" s="58" t="s">
        <v>79</v>
      </c>
      <c r="H360" s="58">
        <v>243</v>
      </c>
      <c r="I360" s="58" t="str">
        <f>IF(R360="","",VLOOKUP(R360,REGRAS!$B$2:$D$13,3,FALSE()))</f>
        <v>FUNIL</v>
      </c>
      <c r="J360" s="58"/>
      <c r="K360" s="58" t="str">
        <f t="shared" si="15"/>
        <v>PROSPECÇÃO</v>
      </c>
      <c r="L360" s="58" t="str">
        <f t="shared" si="16"/>
        <v>🔴</v>
      </c>
      <c r="M360" s="58"/>
      <c r="N360" s="58" t="s">
        <v>147</v>
      </c>
      <c r="O360" s="58" t="s">
        <v>147</v>
      </c>
      <c r="P360" s="58" t="s">
        <v>149</v>
      </c>
      <c r="Q360" s="58" t="s">
        <v>35</v>
      </c>
      <c r="R360" s="58" t="s">
        <v>10</v>
      </c>
      <c r="S360" s="58"/>
      <c r="T360" s="71">
        <f>IF(R360="","",IF(OR(R360="SUPORTE",R360="PERDA / FECHOU LOJA"),"SEM",A360+VLOOKUP(R360,REGRAS!$B$2:$C$13,2,FALSE())))</f>
        <v>46071</v>
      </c>
      <c r="U360" s="58" t="str">
        <f t="shared" si="17"/>
        <v>PROSPECÇÃO</v>
      </c>
      <c r="V360" s="58"/>
      <c r="W360" s="58" t="s">
        <v>147</v>
      </c>
      <c r="X360" s="58"/>
    </row>
    <row r="361" spans="1:24" x14ac:dyDescent="0.3">
      <c r="A361" s="71">
        <v>46065</v>
      </c>
      <c r="B361" s="58" t="s">
        <v>137</v>
      </c>
      <c r="C361" s="58" t="s">
        <v>1048</v>
      </c>
      <c r="D361" s="58" t="s">
        <v>1049</v>
      </c>
      <c r="E361" s="58" t="s">
        <v>366</v>
      </c>
      <c r="F361" s="58" t="s">
        <v>292</v>
      </c>
      <c r="G361" s="58" t="s">
        <v>77</v>
      </c>
      <c r="H361" s="58">
        <v>68</v>
      </c>
      <c r="I361" s="58" t="str">
        <f>IF(R361="","",VLOOKUP(R361,REGRAS!$B$2:$D$13,3,FALSE()))</f>
        <v>RELAC.</v>
      </c>
      <c r="J361" s="58"/>
      <c r="K361" s="58" t="str">
        <f t="shared" si="15"/>
        <v>SALVAMENTO</v>
      </c>
      <c r="L361" s="58" t="str">
        <f t="shared" si="16"/>
        <v>🟡</v>
      </c>
      <c r="M361" s="58"/>
      <c r="N361" s="58" t="s">
        <v>146</v>
      </c>
      <c r="O361" s="58" t="s">
        <v>146</v>
      </c>
      <c r="P361" s="58" t="s">
        <v>146</v>
      </c>
      <c r="Q361" s="58" t="s">
        <v>39</v>
      </c>
      <c r="R361" s="58" t="s">
        <v>17</v>
      </c>
      <c r="S361" s="58" t="s">
        <v>49</v>
      </c>
      <c r="T361" s="71">
        <f>IF(R361="","",IF(OR(R361="SUPORTE",R361="PERDA / FECHOU LOJA"),"SEM",A361+VLOOKUP(R361,REGRAS!$B$2:$C$13,2,FALSE())))</f>
        <v>46072</v>
      </c>
      <c r="U361" s="58" t="str">
        <f t="shared" si="17"/>
        <v>SALVAMENTO</v>
      </c>
      <c r="V361" s="58"/>
      <c r="W361" s="58" t="s">
        <v>147</v>
      </c>
      <c r="X361" s="58"/>
    </row>
    <row r="362" spans="1:24" x14ac:dyDescent="0.3">
      <c r="A362" s="71">
        <v>46069</v>
      </c>
      <c r="B362" s="58" t="s">
        <v>137</v>
      </c>
      <c r="C362" s="58" t="s">
        <v>1050</v>
      </c>
      <c r="D362" s="58" t="s">
        <v>1051</v>
      </c>
      <c r="E362" s="58" t="s">
        <v>332</v>
      </c>
      <c r="F362" s="58" t="s">
        <v>295</v>
      </c>
      <c r="G362" s="58" t="s">
        <v>77</v>
      </c>
      <c r="H362" s="58">
        <v>89</v>
      </c>
      <c r="I362" s="58" t="str">
        <f>IF(R362="","",VLOOKUP(R362,REGRAS!$B$2:$D$13,3,FALSE()))</f>
        <v>RELAC.</v>
      </c>
      <c r="J362" s="58"/>
      <c r="K362" s="58" t="str">
        <f t="shared" si="15"/>
        <v>CS</v>
      </c>
      <c r="L362" s="58" t="str">
        <f t="shared" si="16"/>
        <v>🟡</v>
      </c>
      <c r="M362" s="58"/>
      <c r="N362" s="58" t="s">
        <v>147</v>
      </c>
      <c r="O362" s="58" t="s">
        <v>147</v>
      </c>
      <c r="P362" s="58" t="s">
        <v>149</v>
      </c>
      <c r="Q362" s="58" t="s">
        <v>43</v>
      </c>
      <c r="R362" s="58" t="s">
        <v>14</v>
      </c>
      <c r="S362" s="58"/>
      <c r="T362" s="71">
        <f>IF(R362="","",IF(OR(R362="SUPORTE",R362="PERDA / FECHOU LOJA"),"SEM",A362+VLOOKUP(R362,REGRAS!$B$2:$C$13,2,FALSE())))</f>
        <v>46076</v>
      </c>
      <c r="U362" s="58" t="str">
        <f t="shared" si="17"/>
        <v>CS</v>
      </c>
      <c r="V362" s="58"/>
      <c r="W362" s="58" t="s">
        <v>146</v>
      </c>
      <c r="X362" s="58"/>
    </row>
    <row r="363" spans="1:24" x14ac:dyDescent="0.3">
      <c r="A363" s="71">
        <v>46079</v>
      </c>
      <c r="B363" s="58" t="s">
        <v>135</v>
      </c>
      <c r="C363" s="58" t="s">
        <v>1052</v>
      </c>
      <c r="D363" s="58" t="s">
        <v>1053</v>
      </c>
      <c r="E363" s="58" t="s">
        <v>335</v>
      </c>
      <c r="F363" s="58" t="s">
        <v>286</v>
      </c>
      <c r="G363" s="58" t="s">
        <v>79</v>
      </c>
      <c r="H363" s="58">
        <v>174</v>
      </c>
      <c r="I363" s="58" t="str">
        <f>IF(R363="","",VLOOKUP(R363,REGRAS!$B$2:$D$13,3,FALSE()))</f>
        <v>FUNIL</v>
      </c>
      <c r="J363" s="58"/>
      <c r="K363" s="58" t="str">
        <f t="shared" si="15"/>
        <v>EM ATENDIMENTO</v>
      </c>
      <c r="L363" s="58" t="str">
        <f t="shared" si="16"/>
        <v>🔴</v>
      </c>
      <c r="M363" s="58"/>
      <c r="N363" s="58" t="s">
        <v>146</v>
      </c>
      <c r="O363" s="58" t="s">
        <v>146</v>
      </c>
      <c r="P363" s="58" t="s">
        <v>146</v>
      </c>
      <c r="Q363" s="58" t="s">
        <v>35</v>
      </c>
      <c r="R363" s="58" t="s">
        <v>5</v>
      </c>
      <c r="S363" s="58"/>
      <c r="T363" s="71">
        <f>IF(R363="","",IF(OR(R363="SUPORTE",R363="PERDA / FECHOU LOJA"),"SEM",A363+VLOOKUP(R363,REGRAS!$B$2:$C$13,2,FALSE())))</f>
        <v>46081</v>
      </c>
      <c r="U363" s="58" t="str">
        <f t="shared" si="17"/>
        <v>PROSPECÇÃO</v>
      </c>
      <c r="V363" s="58"/>
      <c r="W363" s="58" t="s">
        <v>146</v>
      </c>
      <c r="X363" s="58"/>
    </row>
    <row r="364" spans="1:24" x14ac:dyDescent="0.3">
      <c r="A364" s="71">
        <v>46061</v>
      </c>
      <c r="B364" s="58" t="s">
        <v>135</v>
      </c>
      <c r="C364" s="58" t="s">
        <v>1054</v>
      </c>
      <c r="D364" s="58" t="s">
        <v>1055</v>
      </c>
      <c r="E364" s="58" t="s">
        <v>376</v>
      </c>
      <c r="F364" s="58" t="s">
        <v>286</v>
      </c>
      <c r="G364" s="58" t="s">
        <v>71</v>
      </c>
      <c r="H364" s="58">
        <v>17</v>
      </c>
      <c r="I364" s="58" t="str">
        <f>IF(R364="","",VLOOKUP(R364,REGRAS!$B$2:$D$13,3,FALSE()))</f>
        <v>RELAC.</v>
      </c>
      <c r="J364" s="58"/>
      <c r="K364" s="58" t="str">
        <f t="shared" si="15"/>
        <v>SALVAMENTO</v>
      </c>
      <c r="L364" s="58" t="str">
        <f t="shared" si="16"/>
        <v>🟢</v>
      </c>
      <c r="M364" s="58"/>
      <c r="N364" s="58" t="s">
        <v>146</v>
      </c>
      <c r="O364" s="58" t="s">
        <v>146</v>
      </c>
      <c r="P364" s="58" t="s">
        <v>147</v>
      </c>
      <c r="Q364" s="58" t="s">
        <v>41</v>
      </c>
      <c r="R364" s="58" t="s">
        <v>19</v>
      </c>
      <c r="S364" s="58" t="s">
        <v>49</v>
      </c>
      <c r="T364" s="71">
        <f>IF(R364="","",IF(OR(R364="SUPORTE",R364="PERDA / FECHOU LOJA"),"SEM",A364+VLOOKUP(R364,REGRAS!$B$2:$C$13,2,FALSE())))</f>
        <v>46076</v>
      </c>
      <c r="U364" s="58" t="str">
        <f t="shared" si="17"/>
        <v>SALVAMENTO</v>
      </c>
      <c r="V364" s="58"/>
      <c r="W364" s="58" t="s">
        <v>146</v>
      </c>
      <c r="X364" s="58"/>
    </row>
    <row r="365" spans="1:24" x14ac:dyDescent="0.3">
      <c r="A365" s="71">
        <v>46081</v>
      </c>
      <c r="B365" s="58" t="s">
        <v>137</v>
      </c>
      <c r="C365" s="58" t="s">
        <v>1056</v>
      </c>
      <c r="D365" s="58" t="s">
        <v>1057</v>
      </c>
      <c r="E365" s="58" t="s">
        <v>346</v>
      </c>
      <c r="F365" s="58" t="s">
        <v>297</v>
      </c>
      <c r="G365" s="58" t="s">
        <v>77</v>
      </c>
      <c r="H365" s="58">
        <v>66</v>
      </c>
      <c r="I365" s="58" t="str">
        <f>IF(R365="","",VLOOKUP(R365,REGRAS!$B$2:$D$13,3,FALSE()))</f>
        <v>RELAC.</v>
      </c>
      <c r="J365" s="58"/>
      <c r="K365" s="58" t="str">
        <f t="shared" si="15"/>
        <v>SALVAMENTO</v>
      </c>
      <c r="L365" s="58" t="str">
        <f t="shared" si="16"/>
        <v>🟡</v>
      </c>
      <c r="M365" s="58"/>
      <c r="N365" s="58" t="s">
        <v>146</v>
      </c>
      <c r="O365" s="58" t="s">
        <v>146</v>
      </c>
      <c r="P365" s="58" t="s">
        <v>146</v>
      </c>
      <c r="Q365" s="58" t="s">
        <v>39</v>
      </c>
      <c r="R365" s="58" t="s">
        <v>17</v>
      </c>
      <c r="S365" s="58" t="s">
        <v>64</v>
      </c>
      <c r="T365" s="71">
        <f>IF(R365="","",IF(OR(R365="SUPORTE",R365="PERDA / FECHOU LOJA"),"SEM",A365+VLOOKUP(R365,REGRAS!$B$2:$C$13,2,FALSE())))</f>
        <v>46088</v>
      </c>
      <c r="U365" s="58" t="str">
        <f t="shared" si="17"/>
        <v>SALVAMENTO</v>
      </c>
      <c r="V365" s="58"/>
      <c r="W365" s="58" t="s">
        <v>146</v>
      </c>
      <c r="X365" s="58"/>
    </row>
    <row r="366" spans="1:24" x14ac:dyDescent="0.3">
      <c r="A366" s="71">
        <v>46069</v>
      </c>
      <c r="B366" s="58" t="s">
        <v>141</v>
      </c>
      <c r="C366" s="58" t="s">
        <v>471</v>
      </c>
      <c r="D366" s="58" t="s">
        <v>1058</v>
      </c>
      <c r="E366" s="58" t="s">
        <v>366</v>
      </c>
      <c r="F366" s="58" t="s">
        <v>296</v>
      </c>
      <c r="G366" s="58" t="s">
        <v>82</v>
      </c>
      <c r="H366" s="58"/>
      <c r="I366" s="58" t="str">
        <f>IF(R366="","",VLOOKUP(R366,REGRAS!$B$2:$D$13,3,FALSE()))</f>
        <v>FUNIL</v>
      </c>
      <c r="J366" s="58"/>
      <c r="K366" s="58" t="str">
        <f t="shared" si="15"/>
        <v>RECOMPRA</v>
      </c>
      <c r="L366" s="58" t="str">
        <f t="shared" si="16"/>
        <v/>
      </c>
      <c r="M366" s="58"/>
      <c r="N366" s="58" t="s">
        <v>146</v>
      </c>
      <c r="O366" s="58" t="s">
        <v>146</v>
      </c>
      <c r="P366" s="58" t="s">
        <v>147</v>
      </c>
      <c r="Q366" s="58" t="s">
        <v>39</v>
      </c>
      <c r="R366" s="58" t="s">
        <v>12</v>
      </c>
      <c r="S366" s="58"/>
      <c r="T366" s="71">
        <f>IF(R366="","",IF(OR(R366="SUPORTE",R366="PERDA / FECHOU LOJA"),"SEM",A366+VLOOKUP(R366,REGRAS!$B$2:$C$13,2,FALSE())))</f>
        <v>46114</v>
      </c>
      <c r="U366" s="58" t="str">
        <f t="shared" si="17"/>
        <v>RECOMPRA</v>
      </c>
      <c r="V366" s="58"/>
      <c r="W366" s="58" t="s">
        <v>146</v>
      </c>
      <c r="X366" s="58"/>
    </row>
    <row r="367" spans="1:24" x14ac:dyDescent="0.3">
      <c r="A367" s="71">
        <v>46069</v>
      </c>
      <c r="B367" s="58" t="s">
        <v>139</v>
      </c>
      <c r="C367" s="58" t="s">
        <v>1059</v>
      </c>
      <c r="D367" s="58" t="s">
        <v>1060</v>
      </c>
      <c r="E367" s="58" t="s">
        <v>346</v>
      </c>
      <c r="F367" s="58" t="s">
        <v>298</v>
      </c>
      <c r="G367" s="58" t="s">
        <v>71</v>
      </c>
      <c r="H367" s="58">
        <v>40</v>
      </c>
      <c r="I367" s="58" t="str">
        <f>IF(R367="","",VLOOKUP(R367,REGRAS!$B$2:$D$13,3,FALSE()))</f>
        <v>RELAC.</v>
      </c>
      <c r="J367" s="58"/>
      <c r="K367" s="58" t="str">
        <f t="shared" si="15"/>
        <v>PÓS-VENDA</v>
      </c>
      <c r="L367" s="58" t="str">
        <f t="shared" si="16"/>
        <v>🟢</v>
      </c>
      <c r="M367" s="58"/>
      <c r="N367" s="58" t="s">
        <v>146</v>
      </c>
      <c r="O367" s="58" t="s">
        <v>146</v>
      </c>
      <c r="P367" s="58" t="s">
        <v>146</v>
      </c>
      <c r="Q367" s="58" t="s">
        <v>43</v>
      </c>
      <c r="R367" s="58" t="s">
        <v>21</v>
      </c>
      <c r="S367" s="58"/>
      <c r="T367" s="71" t="str">
        <f>IF(R367="","",IF(OR(R367="SUPORTE",R367="PERDA / FECHOU LOJA"),"SEM",A367+VLOOKUP(R367,REGRAS!$B$2:$C$13,2,FALSE())))</f>
        <v>SEM</v>
      </c>
      <c r="U367" s="58" t="str">
        <f t="shared" si="17"/>
        <v>PÓS-VENDA</v>
      </c>
      <c r="V367" s="58"/>
      <c r="W367" s="58" t="s">
        <v>146</v>
      </c>
      <c r="X367" s="58"/>
    </row>
    <row r="368" spans="1:24" x14ac:dyDescent="0.3">
      <c r="A368" s="71">
        <v>46056</v>
      </c>
      <c r="B368" s="58" t="s">
        <v>135</v>
      </c>
      <c r="C368" s="58" t="s">
        <v>1061</v>
      </c>
      <c r="D368" s="58" t="s">
        <v>1062</v>
      </c>
      <c r="E368" s="58" t="s">
        <v>422</v>
      </c>
      <c r="F368" s="58" t="s">
        <v>298</v>
      </c>
      <c r="G368" s="58" t="s">
        <v>71</v>
      </c>
      <c r="H368" s="58">
        <v>50</v>
      </c>
      <c r="I368" s="58" t="str">
        <f>IF(R368="","",VLOOKUP(R368,REGRAS!$B$2:$D$13,3,FALSE()))</f>
        <v>RELAC.</v>
      </c>
      <c r="J368" s="58"/>
      <c r="K368" s="58" t="str">
        <f t="shared" si="15"/>
        <v>PÓS-VENDA</v>
      </c>
      <c r="L368" s="58" t="str">
        <f t="shared" si="16"/>
        <v>🟢</v>
      </c>
      <c r="M368" s="58"/>
      <c r="N368" s="58" t="s">
        <v>146</v>
      </c>
      <c r="O368" s="58" t="s">
        <v>147</v>
      </c>
      <c r="P368" s="58" t="s">
        <v>149</v>
      </c>
      <c r="Q368" s="58" t="s">
        <v>39</v>
      </c>
      <c r="R368" s="58" t="s">
        <v>21</v>
      </c>
      <c r="S368" s="58"/>
      <c r="T368" s="71" t="str">
        <f>IF(R368="","",IF(OR(R368="SUPORTE",R368="PERDA / FECHOU LOJA"),"SEM",A368+VLOOKUP(R368,REGRAS!$B$2:$C$13,2,FALSE())))</f>
        <v>SEM</v>
      </c>
      <c r="U368" s="58" t="str">
        <f t="shared" si="17"/>
        <v>PÓS-VENDA</v>
      </c>
      <c r="V368" s="58"/>
      <c r="W368" s="58" t="s">
        <v>146</v>
      </c>
      <c r="X368" s="58"/>
    </row>
    <row r="369" spans="1:24" x14ac:dyDescent="0.3">
      <c r="A369" s="71">
        <v>46081</v>
      </c>
      <c r="B369" s="58" t="s">
        <v>139</v>
      </c>
      <c r="C369" s="58" t="s">
        <v>1063</v>
      </c>
      <c r="D369" s="58" t="s">
        <v>1064</v>
      </c>
      <c r="E369" s="58" t="s">
        <v>340</v>
      </c>
      <c r="F369" s="58" t="s">
        <v>297</v>
      </c>
      <c r="G369" s="58" t="s">
        <v>77</v>
      </c>
      <c r="H369" s="58">
        <v>79</v>
      </c>
      <c r="I369" s="58" t="str">
        <f>IF(R369="","",VLOOKUP(R369,REGRAS!$B$2:$D$13,3,FALSE()))</f>
        <v>FUNIL</v>
      </c>
      <c r="J369" s="58"/>
      <c r="K369" s="58" t="str">
        <f t="shared" si="15"/>
        <v>RECOMPRA</v>
      </c>
      <c r="L369" s="58" t="str">
        <f t="shared" si="16"/>
        <v>🟡</v>
      </c>
      <c r="M369" s="58"/>
      <c r="N369" s="58" t="s">
        <v>146</v>
      </c>
      <c r="O369" s="58" t="s">
        <v>147</v>
      </c>
      <c r="P369" s="58" t="s">
        <v>149</v>
      </c>
      <c r="Q369" s="58" t="s">
        <v>43</v>
      </c>
      <c r="R369" s="58" t="s">
        <v>12</v>
      </c>
      <c r="S369" s="58"/>
      <c r="T369" s="71">
        <f>IF(R369="","",IF(OR(R369="SUPORTE",R369="PERDA / FECHOU LOJA"),"SEM",A369+VLOOKUP(R369,REGRAS!$B$2:$C$13,2,FALSE())))</f>
        <v>46126</v>
      </c>
      <c r="U369" s="58" t="str">
        <f t="shared" si="17"/>
        <v>RECOMPRA</v>
      </c>
      <c r="V369" s="58"/>
      <c r="W369" s="58" t="s">
        <v>147</v>
      </c>
      <c r="X369" s="58"/>
    </row>
    <row r="370" spans="1:24" x14ac:dyDescent="0.3">
      <c r="A370" s="71">
        <v>46055</v>
      </c>
      <c r="B370" s="58" t="s">
        <v>137</v>
      </c>
      <c r="C370" s="58" t="s">
        <v>1065</v>
      </c>
      <c r="D370" s="58" t="s">
        <v>1066</v>
      </c>
      <c r="E370" s="58" t="s">
        <v>332</v>
      </c>
      <c r="F370" s="58" t="s">
        <v>295</v>
      </c>
      <c r="G370" s="58" t="s">
        <v>79</v>
      </c>
      <c r="H370" s="58">
        <v>271</v>
      </c>
      <c r="I370" s="58" t="str">
        <f>IF(R370="","",VLOOKUP(R370,REGRAS!$B$2:$D$13,3,FALSE()))</f>
        <v>NÃO VENDA</v>
      </c>
      <c r="J370" s="58"/>
      <c r="K370" s="58" t="str">
        <f t="shared" si="15"/>
        <v>RECUPERAÇÃO</v>
      </c>
      <c r="L370" s="58" t="str">
        <f t="shared" si="16"/>
        <v>🔴</v>
      </c>
      <c r="M370" s="58"/>
      <c r="N370" s="58" t="s">
        <v>146</v>
      </c>
      <c r="O370" s="58" t="s">
        <v>147</v>
      </c>
      <c r="P370" s="58" t="s">
        <v>149</v>
      </c>
      <c r="Q370" s="58" t="s">
        <v>33</v>
      </c>
      <c r="R370" s="58" t="s">
        <v>26</v>
      </c>
      <c r="S370" s="58" t="s">
        <v>49</v>
      </c>
      <c r="T370" s="71">
        <f>IF(R370="","",IF(OR(R370="SUPORTE",R370="PERDA / FECHOU LOJA"),"SEM",A370+VLOOKUP(R370,REGRAS!$B$2:$C$13,2,FALSE())))</f>
        <v>46056</v>
      </c>
      <c r="U370" s="58" t="str">
        <f t="shared" si="17"/>
        <v>REATIVAÇÃO</v>
      </c>
      <c r="V370" s="58"/>
      <c r="W370" s="58" t="s">
        <v>146</v>
      </c>
      <c r="X370" s="58"/>
    </row>
    <row r="371" spans="1:24" x14ac:dyDescent="0.3">
      <c r="A371" s="71">
        <v>46069</v>
      </c>
      <c r="B371" s="58" t="s">
        <v>139</v>
      </c>
      <c r="C371" s="58" t="s">
        <v>1067</v>
      </c>
      <c r="D371" s="58" t="s">
        <v>1068</v>
      </c>
      <c r="E371" s="58" t="s">
        <v>366</v>
      </c>
      <c r="F371" s="58" t="s">
        <v>295</v>
      </c>
      <c r="G371" s="58" t="s">
        <v>79</v>
      </c>
      <c r="H371" s="58">
        <v>161</v>
      </c>
      <c r="I371" s="58" t="str">
        <f>IF(R371="","",VLOOKUP(R371,REGRAS!$B$2:$D$13,3,FALSE()))</f>
        <v>FUNIL</v>
      </c>
      <c r="J371" s="58"/>
      <c r="K371" s="58" t="str">
        <f t="shared" si="15"/>
        <v>PROSPECÇÃO</v>
      </c>
      <c r="L371" s="58" t="str">
        <f t="shared" si="16"/>
        <v>🔴</v>
      </c>
      <c r="M371" s="58"/>
      <c r="N371" s="58" t="s">
        <v>146</v>
      </c>
      <c r="O371" s="58" t="s">
        <v>147</v>
      </c>
      <c r="P371" s="58" t="s">
        <v>149</v>
      </c>
      <c r="Q371" s="58" t="s">
        <v>33</v>
      </c>
      <c r="R371" s="58" t="s">
        <v>10</v>
      </c>
      <c r="S371" s="58"/>
      <c r="T371" s="71">
        <f>IF(R371="","",IF(OR(R371="SUPORTE",R371="PERDA / FECHOU LOJA"),"SEM",A371+VLOOKUP(R371,REGRAS!$B$2:$C$13,2,FALSE())))</f>
        <v>46071</v>
      </c>
      <c r="U371" s="58" t="str">
        <f t="shared" si="17"/>
        <v>PROSPECÇÃO</v>
      </c>
      <c r="V371" s="58"/>
      <c r="W371" s="58" t="s">
        <v>147</v>
      </c>
      <c r="X371" s="58"/>
    </row>
    <row r="372" spans="1:24" x14ac:dyDescent="0.3">
      <c r="A372" s="71">
        <v>46069</v>
      </c>
      <c r="B372" s="58" t="s">
        <v>139</v>
      </c>
      <c r="C372" s="58" t="s">
        <v>1069</v>
      </c>
      <c r="D372" s="58" t="s">
        <v>1070</v>
      </c>
      <c r="E372" s="58" t="s">
        <v>361</v>
      </c>
      <c r="F372" s="58" t="s">
        <v>298</v>
      </c>
      <c r="G372" s="58" t="s">
        <v>71</v>
      </c>
      <c r="H372" s="58">
        <v>16</v>
      </c>
      <c r="I372" s="58" t="str">
        <f>IF(R372="","",VLOOKUP(R372,REGRAS!$B$2:$D$13,3,FALSE()))</f>
        <v>RELAC.</v>
      </c>
      <c r="J372" s="58"/>
      <c r="K372" s="58" t="str">
        <f t="shared" si="15"/>
        <v>PÓS-VENDA</v>
      </c>
      <c r="L372" s="58" t="str">
        <f t="shared" si="16"/>
        <v>🟢</v>
      </c>
      <c r="M372" s="58"/>
      <c r="N372" s="58" t="s">
        <v>146</v>
      </c>
      <c r="O372" s="58" t="s">
        <v>146</v>
      </c>
      <c r="P372" s="58" t="s">
        <v>147</v>
      </c>
      <c r="Q372" s="58" t="s">
        <v>37</v>
      </c>
      <c r="R372" s="58" t="s">
        <v>21</v>
      </c>
      <c r="S372" s="58"/>
      <c r="T372" s="71" t="str">
        <f>IF(R372="","",IF(OR(R372="SUPORTE",R372="PERDA / FECHOU LOJA"),"SEM",A372+VLOOKUP(R372,REGRAS!$B$2:$C$13,2,FALSE())))</f>
        <v>SEM</v>
      </c>
      <c r="U372" s="58" t="str">
        <f t="shared" si="17"/>
        <v>PÓS-VENDA</v>
      </c>
      <c r="V372" s="58"/>
      <c r="W372" s="58" t="s">
        <v>146</v>
      </c>
      <c r="X372" s="58"/>
    </row>
    <row r="373" spans="1:24" x14ac:dyDescent="0.3">
      <c r="A373" s="71">
        <v>46081</v>
      </c>
      <c r="B373" s="58" t="s">
        <v>135</v>
      </c>
      <c r="C373" s="58" t="s">
        <v>1071</v>
      </c>
      <c r="D373" s="58" t="s">
        <v>1072</v>
      </c>
      <c r="E373" s="58" t="s">
        <v>366</v>
      </c>
      <c r="F373" s="58" t="s">
        <v>286</v>
      </c>
      <c r="G373" s="58" t="s">
        <v>79</v>
      </c>
      <c r="H373" s="58">
        <v>165</v>
      </c>
      <c r="I373" s="58" t="str">
        <f>IF(R373="","",VLOOKUP(R373,REGRAS!$B$2:$D$13,3,FALSE()))</f>
        <v>FUNIL</v>
      </c>
      <c r="J373" s="58"/>
      <c r="K373" s="58" t="str">
        <f t="shared" si="15"/>
        <v>EM ATENDIMENTO</v>
      </c>
      <c r="L373" s="58" t="str">
        <f t="shared" si="16"/>
        <v>🔴</v>
      </c>
      <c r="M373" s="58"/>
      <c r="N373" s="58" t="s">
        <v>147</v>
      </c>
      <c r="O373" s="58" t="s">
        <v>147</v>
      </c>
      <c r="P373" s="58" t="s">
        <v>149</v>
      </c>
      <c r="Q373" s="58" t="s">
        <v>35</v>
      </c>
      <c r="R373" s="58" t="s">
        <v>5</v>
      </c>
      <c r="S373" s="58"/>
      <c r="T373" s="71">
        <f>IF(R373="","",IF(OR(R373="SUPORTE",R373="PERDA / FECHOU LOJA"),"SEM",A373+VLOOKUP(R373,REGRAS!$B$2:$C$13,2,FALSE())))</f>
        <v>46083</v>
      </c>
      <c r="U373" s="58" t="str">
        <f t="shared" si="17"/>
        <v>PROSPECÇÃO</v>
      </c>
      <c r="V373" s="58"/>
      <c r="W373" s="58" t="s">
        <v>146</v>
      </c>
      <c r="X373" s="58"/>
    </row>
    <row r="374" spans="1:24" x14ac:dyDescent="0.3">
      <c r="A374" s="71">
        <v>46064</v>
      </c>
      <c r="B374" s="58" t="s">
        <v>137</v>
      </c>
      <c r="C374" s="58" t="s">
        <v>769</v>
      </c>
      <c r="D374" s="58" t="s">
        <v>1073</v>
      </c>
      <c r="E374" s="58" t="s">
        <v>335</v>
      </c>
      <c r="F374" s="58" t="s">
        <v>296</v>
      </c>
      <c r="G374" s="58" t="s">
        <v>77</v>
      </c>
      <c r="H374" s="58">
        <v>75</v>
      </c>
      <c r="I374" s="58" t="str">
        <f>IF(R374="","",VLOOKUP(R374,REGRAS!$B$2:$D$13,3,FALSE()))</f>
        <v>FUNIL</v>
      </c>
      <c r="J374" s="58"/>
      <c r="K374" s="58" t="str">
        <f t="shared" si="15"/>
        <v>EM ATENDIMENTO</v>
      </c>
      <c r="L374" s="58" t="str">
        <f t="shared" si="16"/>
        <v>🟡</v>
      </c>
      <c r="M374" s="58"/>
      <c r="N374" s="58" t="s">
        <v>147</v>
      </c>
      <c r="O374" s="58" t="s">
        <v>146</v>
      </c>
      <c r="P374" s="58" t="s">
        <v>146</v>
      </c>
      <c r="Q374" s="58" t="s">
        <v>37</v>
      </c>
      <c r="R374" s="58" t="s">
        <v>5</v>
      </c>
      <c r="S374" s="58"/>
      <c r="T374" s="71">
        <f>IF(R374="","",IF(OR(R374="SUPORTE",R374="PERDA / FECHOU LOJA"),"SEM",A374+VLOOKUP(R374,REGRAS!$B$2:$C$13,2,FALSE())))</f>
        <v>46066</v>
      </c>
      <c r="U374" s="58" t="str">
        <f t="shared" si="17"/>
        <v>PROSPECÇÃO</v>
      </c>
      <c r="V374" s="58"/>
      <c r="W374" s="58" t="s">
        <v>146</v>
      </c>
      <c r="X374" s="58"/>
    </row>
    <row r="375" spans="1:24" x14ac:dyDescent="0.3">
      <c r="A375" s="71">
        <v>46063</v>
      </c>
      <c r="B375" s="58" t="s">
        <v>141</v>
      </c>
      <c r="C375" s="58" t="s">
        <v>1074</v>
      </c>
      <c r="D375" s="58" t="s">
        <v>1075</v>
      </c>
      <c r="E375" s="58" t="s">
        <v>381</v>
      </c>
      <c r="F375" s="58" t="s">
        <v>292</v>
      </c>
      <c r="G375" s="58" t="s">
        <v>71</v>
      </c>
      <c r="H375" s="58">
        <v>16</v>
      </c>
      <c r="I375" s="58" t="str">
        <f>IF(R375="","",VLOOKUP(R375,REGRAS!$B$2:$D$13,3,FALSE()))</f>
        <v>RELAC.</v>
      </c>
      <c r="J375" s="58"/>
      <c r="K375" s="58" t="str">
        <f t="shared" si="15"/>
        <v>PÓS-VENDA</v>
      </c>
      <c r="L375" s="58" t="str">
        <f t="shared" si="16"/>
        <v>🟢</v>
      </c>
      <c r="M375" s="58"/>
      <c r="N375" s="58" t="s">
        <v>146</v>
      </c>
      <c r="O375" s="58" t="s">
        <v>146</v>
      </c>
      <c r="P375" s="58" t="s">
        <v>146</v>
      </c>
      <c r="Q375" s="58" t="s">
        <v>43</v>
      </c>
      <c r="R375" s="58" t="s">
        <v>21</v>
      </c>
      <c r="S375" s="58"/>
      <c r="T375" s="71" t="str">
        <f>IF(R375="","",IF(OR(R375="SUPORTE",R375="PERDA / FECHOU LOJA"),"SEM",A375+VLOOKUP(R375,REGRAS!$B$2:$C$13,2,FALSE())))</f>
        <v>SEM</v>
      </c>
      <c r="U375" s="58" t="str">
        <f t="shared" si="17"/>
        <v>PÓS-VENDA</v>
      </c>
      <c r="V375" s="58"/>
      <c r="W375" s="58" t="s">
        <v>146</v>
      </c>
      <c r="X375" s="58"/>
    </row>
    <row r="376" spans="1:24" x14ac:dyDescent="0.3">
      <c r="A376" s="71">
        <v>46064</v>
      </c>
      <c r="B376" s="58" t="s">
        <v>137</v>
      </c>
      <c r="C376" s="58" t="s">
        <v>667</v>
      </c>
      <c r="D376" s="58" t="s">
        <v>1076</v>
      </c>
      <c r="E376" s="58" t="s">
        <v>335</v>
      </c>
      <c r="F376" s="58" t="s">
        <v>292</v>
      </c>
      <c r="G376" s="58" t="s">
        <v>71</v>
      </c>
      <c r="H376" s="58">
        <v>33</v>
      </c>
      <c r="I376" s="58" t="str">
        <f>IF(R376="","",VLOOKUP(R376,REGRAS!$B$2:$D$13,3,FALSE()))</f>
        <v>FUNIL</v>
      </c>
      <c r="J376" s="58"/>
      <c r="K376" s="58" t="str">
        <f t="shared" si="15"/>
        <v>RECOMPRA</v>
      </c>
      <c r="L376" s="58" t="str">
        <f t="shared" si="16"/>
        <v>🟢</v>
      </c>
      <c r="M376" s="58"/>
      <c r="N376" s="58" t="s">
        <v>146</v>
      </c>
      <c r="O376" s="58" t="s">
        <v>147</v>
      </c>
      <c r="P376" s="58" t="s">
        <v>149</v>
      </c>
      <c r="Q376" s="58" t="s">
        <v>39</v>
      </c>
      <c r="R376" s="58" t="s">
        <v>12</v>
      </c>
      <c r="S376" s="58"/>
      <c r="T376" s="71">
        <f>IF(R376="","",IF(OR(R376="SUPORTE",R376="PERDA / FECHOU LOJA"),"SEM",A376+VLOOKUP(R376,REGRAS!$B$2:$C$13,2,FALSE())))</f>
        <v>46109</v>
      </c>
      <c r="U376" s="58" t="str">
        <f t="shared" si="17"/>
        <v>RECOMPRA</v>
      </c>
      <c r="V376" s="58"/>
      <c r="W376" s="58" t="s">
        <v>146</v>
      </c>
      <c r="X376" s="58"/>
    </row>
    <row r="377" spans="1:24" x14ac:dyDescent="0.3">
      <c r="A377" s="71">
        <v>46069</v>
      </c>
      <c r="B377" s="58" t="s">
        <v>141</v>
      </c>
      <c r="C377" s="58" t="s">
        <v>1077</v>
      </c>
      <c r="D377" s="58" t="s">
        <v>1078</v>
      </c>
      <c r="E377" s="58" t="s">
        <v>366</v>
      </c>
      <c r="F377" s="58" t="s">
        <v>292</v>
      </c>
      <c r="G377" s="58" t="s">
        <v>74</v>
      </c>
      <c r="H377" s="58">
        <v>55</v>
      </c>
      <c r="I377" s="58" t="str">
        <f>IF(R377="","",VLOOKUP(R377,REGRAS!$B$2:$D$13,3,FALSE()))</f>
        <v>NÃO VENDA</v>
      </c>
      <c r="J377" s="58"/>
      <c r="K377" s="58" t="str">
        <f t="shared" si="15"/>
        <v>RECUPERAÇÃO</v>
      </c>
      <c r="L377" s="58" t="str">
        <f t="shared" si="16"/>
        <v>🟡</v>
      </c>
      <c r="M377" s="58"/>
      <c r="N377" s="58" t="s">
        <v>147</v>
      </c>
      <c r="O377" s="58" t="s">
        <v>147</v>
      </c>
      <c r="P377" s="58" t="s">
        <v>149</v>
      </c>
      <c r="Q377" s="58" t="s">
        <v>45</v>
      </c>
      <c r="R377" s="58" t="s">
        <v>28</v>
      </c>
      <c r="S377" s="58" t="s">
        <v>61</v>
      </c>
      <c r="T377" s="71">
        <f>IF(R377="","",IF(OR(R377="SUPORTE",R377="PERDA / FECHOU LOJA"),"SEM",A377+VLOOKUP(R377,REGRAS!$B$2:$C$13,2,FALSE())))</f>
        <v>46071</v>
      </c>
      <c r="U377" s="58" t="str">
        <f t="shared" si="17"/>
        <v>REATIVAÇÃO</v>
      </c>
      <c r="V377" s="58"/>
      <c r="W377" s="58" t="s">
        <v>147</v>
      </c>
      <c r="X377" s="58"/>
    </row>
    <row r="378" spans="1:24" x14ac:dyDescent="0.3">
      <c r="A378" s="71">
        <v>46068</v>
      </c>
      <c r="B378" s="58" t="s">
        <v>135</v>
      </c>
      <c r="C378" s="58" t="s">
        <v>1079</v>
      </c>
      <c r="D378" s="58" t="s">
        <v>1080</v>
      </c>
      <c r="E378" s="58" t="s">
        <v>366</v>
      </c>
      <c r="F378" s="58" t="s">
        <v>286</v>
      </c>
      <c r="G378" s="58" t="s">
        <v>82</v>
      </c>
      <c r="H378" s="58"/>
      <c r="I378" s="58" t="str">
        <f>IF(R378="","",VLOOKUP(R378,REGRAS!$B$2:$D$13,3,FALSE()))</f>
        <v>FUNIL</v>
      </c>
      <c r="J378" s="58"/>
      <c r="K378" s="58" t="str">
        <f t="shared" si="15"/>
        <v>RECOMPRA</v>
      </c>
      <c r="L378" s="58" t="str">
        <f t="shared" si="16"/>
        <v/>
      </c>
      <c r="M378" s="58"/>
      <c r="N378" s="58" t="s">
        <v>146</v>
      </c>
      <c r="O378" s="58" t="s">
        <v>147</v>
      </c>
      <c r="P378" s="58" t="s">
        <v>149</v>
      </c>
      <c r="Q378" s="58" t="s">
        <v>39</v>
      </c>
      <c r="R378" s="58" t="s">
        <v>12</v>
      </c>
      <c r="S378" s="58"/>
      <c r="T378" s="71">
        <f>IF(R378="","",IF(OR(R378="SUPORTE",R378="PERDA / FECHOU LOJA"),"SEM",A378+VLOOKUP(R378,REGRAS!$B$2:$C$13,2,FALSE())))</f>
        <v>46113</v>
      </c>
      <c r="U378" s="58" t="str">
        <f t="shared" si="17"/>
        <v>RECOMPRA</v>
      </c>
      <c r="V378" s="58"/>
      <c r="W378" s="58" t="s">
        <v>146</v>
      </c>
      <c r="X378" s="58"/>
    </row>
    <row r="379" spans="1:24" x14ac:dyDescent="0.3">
      <c r="A379" s="71">
        <v>46061</v>
      </c>
      <c r="B379" s="58" t="s">
        <v>141</v>
      </c>
      <c r="C379" s="58" t="s">
        <v>1081</v>
      </c>
      <c r="D379" s="58" t="s">
        <v>1082</v>
      </c>
      <c r="E379" s="58" t="s">
        <v>335</v>
      </c>
      <c r="F379" s="58" t="s">
        <v>283</v>
      </c>
      <c r="G379" s="58" t="s">
        <v>77</v>
      </c>
      <c r="H379" s="58">
        <v>67</v>
      </c>
      <c r="I379" s="58" t="str">
        <f>IF(R379="","",VLOOKUP(R379,REGRAS!$B$2:$D$13,3,FALSE()))</f>
        <v>RELAC.</v>
      </c>
      <c r="J379" s="58"/>
      <c r="K379" s="58" t="str">
        <f t="shared" si="15"/>
        <v>SALVAMENTO</v>
      </c>
      <c r="L379" s="58" t="str">
        <f t="shared" si="16"/>
        <v>🟡</v>
      </c>
      <c r="M379" s="58"/>
      <c r="N379" s="58" t="s">
        <v>146</v>
      </c>
      <c r="O379" s="58" t="s">
        <v>146</v>
      </c>
      <c r="P379" s="58" t="s">
        <v>147</v>
      </c>
      <c r="Q379" s="58" t="s">
        <v>39</v>
      </c>
      <c r="R379" s="58" t="s">
        <v>17</v>
      </c>
      <c r="S379" s="58" t="s">
        <v>51</v>
      </c>
      <c r="T379" s="71">
        <f>IF(R379="","",IF(OR(R379="SUPORTE",R379="PERDA / FECHOU LOJA"),"SEM",A379+VLOOKUP(R379,REGRAS!$B$2:$C$13,2,FALSE())))</f>
        <v>46068</v>
      </c>
      <c r="U379" s="58" t="str">
        <f t="shared" si="17"/>
        <v>SALVAMENTO</v>
      </c>
      <c r="V379" s="58"/>
      <c r="W379" s="58" t="s">
        <v>147</v>
      </c>
      <c r="X379" s="58"/>
    </row>
    <row r="380" spans="1:24" x14ac:dyDescent="0.3">
      <c r="A380" s="71">
        <v>46067</v>
      </c>
      <c r="B380" s="58" t="s">
        <v>137</v>
      </c>
      <c r="C380" s="58" t="s">
        <v>1083</v>
      </c>
      <c r="D380" s="58" t="s">
        <v>1084</v>
      </c>
      <c r="E380" s="58" t="s">
        <v>361</v>
      </c>
      <c r="F380" s="58" t="s">
        <v>283</v>
      </c>
      <c r="G380" s="58" t="s">
        <v>79</v>
      </c>
      <c r="H380" s="58">
        <v>204</v>
      </c>
      <c r="I380" s="58" t="str">
        <f>IF(R380="","",VLOOKUP(R380,REGRAS!$B$2:$D$13,3,FALSE()))</f>
        <v>NÃO VENDA</v>
      </c>
      <c r="J380" s="58"/>
      <c r="K380" s="58" t="str">
        <f t="shared" si="15"/>
        <v>RECUPERAÇÃO</v>
      </c>
      <c r="L380" s="58" t="str">
        <f t="shared" si="16"/>
        <v>🔴</v>
      </c>
      <c r="M380" s="58"/>
      <c r="N380" s="58" t="s">
        <v>146</v>
      </c>
      <c r="O380" s="58" t="s">
        <v>146</v>
      </c>
      <c r="P380" s="58" t="s">
        <v>147</v>
      </c>
      <c r="Q380" s="58" t="s">
        <v>41</v>
      </c>
      <c r="R380" s="58" t="s">
        <v>26</v>
      </c>
      <c r="S380" s="58" t="s">
        <v>64</v>
      </c>
      <c r="T380" s="71">
        <f>IF(R380="","",IF(OR(R380="SUPORTE",R380="PERDA / FECHOU LOJA"),"SEM",A380+VLOOKUP(R380,REGRAS!$B$2:$C$13,2,FALSE())))</f>
        <v>46068</v>
      </c>
      <c r="U380" s="58" t="str">
        <f t="shared" si="17"/>
        <v>REATIVAÇÃO</v>
      </c>
      <c r="V380" s="58"/>
      <c r="W380" s="58" t="s">
        <v>147</v>
      </c>
      <c r="X380" s="58"/>
    </row>
    <row r="381" spans="1:24" x14ac:dyDescent="0.3">
      <c r="A381" s="71">
        <v>46067</v>
      </c>
      <c r="B381" s="58" t="s">
        <v>135</v>
      </c>
      <c r="C381" s="58" t="s">
        <v>1085</v>
      </c>
      <c r="D381" s="58" t="s">
        <v>1086</v>
      </c>
      <c r="E381" s="58" t="s">
        <v>422</v>
      </c>
      <c r="F381" s="58" t="s">
        <v>298</v>
      </c>
      <c r="G381" s="58" t="s">
        <v>71</v>
      </c>
      <c r="H381" s="58">
        <v>42</v>
      </c>
      <c r="I381" s="58" t="str">
        <f>IF(R381="","",VLOOKUP(R381,REGRAS!$B$2:$D$13,3,FALSE()))</f>
        <v>RELAC.</v>
      </c>
      <c r="J381" s="58"/>
      <c r="K381" s="58" t="str">
        <f t="shared" si="15"/>
        <v>CS</v>
      </c>
      <c r="L381" s="58" t="str">
        <f t="shared" si="16"/>
        <v>🟢</v>
      </c>
      <c r="M381" s="58"/>
      <c r="N381" s="58" t="s">
        <v>146</v>
      </c>
      <c r="O381" s="58" t="s">
        <v>147</v>
      </c>
      <c r="P381" s="58" t="s">
        <v>149</v>
      </c>
      <c r="Q381" s="58" t="s">
        <v>43</v>
      </c>
      <c r="R381" s="58" t="s">
        <v>14</v>
      </c>
      <c r="S381" s="58"/>
      <c r="T381" s="71">
        <f>IF(R381="","",IF(OR(R381="SUPORTE",R381="PERDA / FECHOU LOJA"),"SEM",A381+VLOOKUP(R381,REGRAS!$B$2:$C$13,2,FALSE())))</f>
        <v>46074</v>
      </c>
      <c r="U381" s="58" t="str">
        <f t="shared" si="17"/>
        <v>CS</v>
      </c>
      <c r="V381" s="58"/>
      <c r="W381" s="58" t="s">
        <v>146</v>
      </c>
      <c r="X381" s="58"/>
    </row>
    <row r="382" spans="1:24" x14ac:dyDescent="0.3">
      <c r="A382" s="71">
        <v>46071</v>
      </c>
      <c r="B382" s="58" t="s">
        <v>137</v>
      </c>
      <c r="C382" s="58" t="s">
        <v>1087</v>
      </c>
      <c r="D382" s="58" t="s">
        <v>1088</v>
      </c>
      <c r="E382" s="58" t="s">
        <v>335</v>
      </c>
      <c r="F382" s="58" t="s">
        <v>283</v>
      </c>
      <c r="G382" s="58" t="s">
        <v>82</v>
      </c>
      <c r="H382" s="58"/>
      <c r="I382" s="58" t="str">
        <f>IF(R382="","",VLOOKUP(R382,REGRAS!$B$2:$D$13,3,FALSE()))</f>
        <v>RELAC.</v>
      </c>
      <c r="J382" s="58"/>
      <c r="K382" s="58" t="str">
        <f t="shared" si="15"/>
        <v>SALVAMENTO</v>
      </c>
      <c r="L382" s="58" t="str">
        <f t="shared" si="16"/>
        <v/>
      </c>
      <c r="M382" s="58"/>
      <c r="N382" s="58" t="s">
        <v>146</v>
      </c>
      <c r="O382" s="58" t="s">
        <v>147</v>
      </c>
      <c r="P382" s="58" t="s">
        <v>149</v>
      </c>
      <c r="Q382" s="58" t="s">
        <v>43</v>
      </c>
      <c r="R382" s="58" t="s">
        <v>17</v>
      </c>
      <c r="S382" s="58" t="s">
        <v>49</v>
      </c>
      <c r="T382" s="71">
        <f>IF(R382="","",IF(OR(R382="SUPORTE",R382="PERDA / FECHOU LOJA"),"SEM",A382+VLOOKUP(R382,REGRAS!$B$2:$C$13,2,FALSE())))</f>
        <v>46078</v>
      </c>
      <c r="U382" s="58" t="str">
        <f t="shared" si="17"/>
        <v>SALVAMENTO</v>
      </c>
      <c r="V382" s="58"/>
      <c r="W382" s="58" t="s">
        <v>146</v>
      </c>
      <c r="X382" s="58"/>
    </row>
    <row r="383" spans="1:24" x14ac:dyDescent="0.3">
      <c r="A383" s="71">
        <v>46062</v>
      </c>
      <c r="B383" s="58" t="s">
        <v>135</v>
      </c>
      <c r="C383" s="58" t="s">
        <v>1089</v>
      </c>
      <c r="D383" s="58" t="s">
        <v>1090</v>
      </c>
      <c r="E383" s="58" t="s">
        <v>376</v>
      </c>
      <c r="F383" s="58" t="s">
        <v>297</v>
      </c>
      <c r="G383" s="58" t="s">
        <v>71</v>
      </c>
      <c r="H383" s="58">
        <v>12</v>
      </c>
      <c r="I383" s="58" t="str">
        <f>IF(R383="","",VLOOKUP(R383,REGRAS!$B$2:$D$13,3,FALSE()))</f>
        <v>RELAC.</v>
      </c>
      <c r="J383" s="58"/>
      <c r="K383" s="58" t="str">
        <f t="shared" si="15"/>
        <v>SALVAMENTO</v>
      </c>
      <c r="L383" s="58" t="str">
        <f t="shared" si="16"/>
        <v>🟢</v>
      </c>
      <c r="M383" s="58"/>
      <c r="N383" s="58" t="s">
        <v>147</v>
      </c>
      <c r="O383" s="58" t="s">
        <v>147</v>
      </c>
      <c r="P383" s="58" t="s">
        <v>149</v>
      </c>
      <c r="Q383" s="58" t="s">
        <v>43</v>
      </c>
      <c r="R383" s="58" t="s">
        <v>19</v>
      </c>
      <c r="S383" s="58" t="s">
        <v>51</v>
      </c>
      <c r="T383" s="71">
        <f>IF(R383="","",IF(OR(R383="SUPORTE",R383="PERDA / FECHOU LOJA"),"SEM",A383+VLOOKUP(R383,REGRAS!$B$2:$C$13,2,FALSE())))</f>
        <v>46077</v>
      </c>
      <c r="U383" s="58" t="str">
        <f t="shared" si="17"/>
        <v>SALVAMENTO</v>
      </c>
      <c r="V383" s="58"/>
      <c r="W383" s="58" t="s">
        <v>146</v>
      </c>
      <c r="X383" s="58"/>
    </row>
    <row r="384" spans="1:24" x14ac:dyDescent="0.3">
      <c r="A384" s="71">
        <v>46067</v>
      </c>
      <c r="B384" s="58" t="s">
        <v>141</v>
      </c>
      <c r="C384" s="58" t="s">
        <v>1091</v>
      </c>
      <c r="D384" s="58" t="s">
        <v>1092</v>
      </c>
      <c r="E384" s="58" t="s">
        <v>346</v>
      </c>
      <c r="F384" s="58" t="s">
        <v>289</v>
      </c>
      <c r="G384" s="58" t="s">
        <v>71</v>
      </c>
      <c r="H384" s="58">
        <v>25</v>
      </c>
      <c r="I384" s="58" t="str">
        <f>IF(R384="","",VLOOKUP(R384,REGRAS!$B$2:$D$13,3,FALSE()))</f>
        <v>RELAC.</v>
      </c>
      <c r="J384" s="58"/>
      <c r="K384" s="58" t="str">
        <f t="shared" si="15"/>
        <v>SALVAMENTO</v>
      </c>
      <c r="L384" s="58" t="str">
        <f t="shared" si="16"/>
        <v>🟢</v>
      </c>
      <c r="M384" s="58"/>
      <c r="N384" s="58" t="s">
        <v>146</v>
      </c>
      <c r="O384" s="58" t="s">
        <v>146</v>
      </c>
      <c r="P384" s="58" t="s">
        <v>146</v>
      </c>
      <c r="Q384" s="58" t="s">
        <v>39</v>
      </c>
      <c r="R384" s="58" t="s">
        <v>19</v>
      </c>
      <c r="S384" s="58" t="s">
        <v>57</v>
      </c>
      <c r="T384" s="71">
        <f>IF(R384="","",IF(OR(R384="SUPORTE",R384="PERDA / FECHOU LOJA"),"SEM",A384+VLOOKUP(R384,REGRAS!$B$2:$C$13,2,FALSE())))</f>
        <v>46082</v>
      </c>
      <c r="U384" s="58" t="str">
        <f t="shared" si="17"/>
        <v>SALVAMENTO</v>
      </c>
      <c r="V384" s="58"/>
      <c r="W384" s="58" t="s">
        <v>147</v>
      </c>
      <c r="X384" s="58"/>
    </row>
    <row r="385" spans="1:24" x14ac:dyDescent="0.3">
      <c r="A385" s="71">
        <v>46055</v>
      </c>
      <c r="B385" s="58" t="s">
        <v>135</v>
      </c>
      <c r="C385" s="58" t="s">
        <v>1093</v>
      </c>
      <c r="D385" s="58" t="s">
        <v>1094</v>
      </c>
      <c r="E385" s="58" t="s">
        <v>335</v>
      </c>
      <c r="F385" s="58" t="s">
        <v>289</v>
      </c>
      <c r="G385" s="58" t="s">
        <v>71</v>
      </c>
      <c r="H385" s="58">
        <v>25</v>
      </c>
      <c r="I385" s="58" t="str">
        <f>IF(R385="","",VLOOKUP(R385,REGRAS!$B$2:$D$13,3,FALSE()))</f>
        <v>RELAC.</v>
      </c>
      <c r="J385" s="58"/>
      <c r="K385" s="58" t="str">
        <f t="shared" si="15"/>
        <v>PÓS-VENDA</v>
      </c>
      <c r="L385" s="58" t="str">
        <f t="shared" si="16"/>
        <v>🟢</v>
      </c>
      <c r="M385" s="58"/>
      <c r="N385" s="58" t="s">
        <v>146</v>
      </c>
      <c r="O385" s="58" t="s">
        <v>147</v>
      </c>
      <c r="P385" s="58" t="s">
        <v>149</v>
      </c>
      <c r="Q385" s="58" t="s">
        <v>43</v>
      </c>
      <c r="R385" s="58" t="s">
        <v>21</v>
      </c>
      <c r="S385" s="58"/>
      <c r="T385" s="71" t="str">
        <f>IF(R385="","",IF(OR(R385="SUPORTE",R385="PERDA / FECHOU LOJA"),"SEM",A385+VLOOKUP(R385,REGRAS!$B$2:$C$13,2,FALSE())))</f>
        <v>SEM</v>
      </c>
      <c r="U385" s="58" t="str">
        <f t="shared" si="17"/>
        <v>PÓS-VENDA</v>
      </c>
      <c r="V385" s="58"/>
      <c r="W385" s="58" t="s">
        <v>147</v>
      </c>
      <c r="X385" s="58"/>
    </row>
    <row r="386" spans="1:24" x14ac:dyDescent="0.3">
      <c r="A386" s="71">
        <v>46057</v>
      </c>
      <c r="B386" s="58" t="s">
        <v>137</v>
      </c>
      <c r="C386" s="58" t="s">
        <v>1095</v>
      </c>
      <c r="D386" s="58" t="s">
        <v>1096</v>
      </c>
      <c r="E386" s="58" t="s">
        <v>340</v>
      </c>
      <c r="F386" s="58" t="s">
        <v>286</v>
      </c>
      <c r="G386" s="58" t="s">
        <v>85</v>
      </c>
      <c r="H386" s="58"/>
      <c r="I386" s="58" t="str">
        <f>IF(R386="","",VLOOKUP(R386,REGRAS!$B$2:$D$13,3,FALSE()))</f>
        <v>FUNIL</v>
      </c>
      <c r="J386" s="58"/>
      <c r="K386" s="58" t="str">
        <f t="shared" si="15"/>
        <v>PROSPECÇÃO</v>
      </c>
      <c r="L386" s="58" t="str">
        <f t="shared" si="16"/>
        <v/>
      </c>
      <c r="M386" s="58"/>
      <c r="N386" s="58" t="s">
        <v>146</v>
      </c>
      <c r="O386" s="58" t="s">
        <v>147</v>
      </c>
      <c r="P386" s="58" t="s">
        <v>149</v>
      </c>
      <c r="Q386" s="58" t="s">
        <v>35</v>
      </c>
      <c r="R386" s="58" t="s">
        <v>8</v>
      </c>
      <c r="S386" s="58"/>
      <c r="T386" s="71">
        <f>IF(R386="","",IF(OR(R386="SUPORTE",R386="PERDA / FECHOU LOJA"),"SEM",A386+VLOOKUP(R386,REGRAS!$B$2:$C$13,2,FALSE())))</f>
        <v>46058</v>
      </c>
      <c r="U386" s="58" t="str">
        <f t="shared" si="17"/>
        <v>PROSPECÇÃO</v>
      </c>
      <c r="V386" s="58"/>
      <c r="W386" s="58" t="s">
        <v>147</v>
      </c>
      <c r="X386" s="58"/>
    </row>
    <row r="387" spans="1:24" x14ac:dyDescent="0.3">
      <c r="A387" s="71">
        <v>46071</v>
      </c>
      <c r="B387" s="58" t="s">
        <v>139</v>
      </c>
      <c r="C387" s="58" t="s">
        <v>1097</v>
      </c>
      <c r="D387" s="58" t="s">
        <v>1098</v>
      </c>
      <c r="E387" s="58" t="s">
        <v>376</v>
      </c>
      <c r="F387" s="58" t="s">
        <v>283</v>
      </c>
      <c r="G387" s="58" t="s">
        <v>82</v>
      </c>
      <c r="H387" s="58"/>
      <c r="I387" s="58" t="str">
        <f>IF(R387="","",VLOOKUP(R387,REGRAS!$B$2:$D$13,3,FALSE()))</f>
        <v>RELAC.</v>
      </c>
      <c r="J387" s="58"/>
      <c r="K387" s="58" t="str">
        <f t="shared" si="15"/>
        <v>SALVAMENTO</v>
      </c>
      <c r="L387" s="58" t="str">
        <f t="shared" si="16"/>
        <v/>
      </c>
      <c r="M387" s="58"/>
      <c r="N387" s="58" t="s">
        <v>146</v>
      </c>
      <c r="O387" s="58" t="s">
        <v>146</v>
      </c>
      <c r="P387" s="58" t="s">
        <v>147</v>
      </c>
      <c r="Q387" s="58" t="s">
        <v>43</v>
      </c>
      <c r="R387" s="58" t="s">
        <v>19</v>
      </c>
      <c r="S387" s="58" t="s">
        <v>64</v>
      </c>
      <c r="T387" s="71">
        <f>IF(R387="","",IF(OR(R387="SUPORTE",R387="PERDA / FECHOU LOJA"),"SEM",A387+VLOOKUP(R387,REGRAS!$B$2:$C$13,2,FALSE())))</f>
        <v>46086</v>
      </c>
      <c r="U387" s="58" t="str">
        <f t="shared" si="17"/>
        <v>SALVAMENTO</v>
      </c>
      <c r="V387" s="58"/>
      <c r="W387" s="58" t="s">
        <v>146</v>
      </c>
      <c r="X387" s="58"/>
    </row>
    <row r="388" spans="1:24" x14ac:dyDescent="0.3">
      <c r="A388" s="71">
        <v>46078</v>
      </c>
      <c r="B388" s="58" t="s">
        <v>141</v>
      </c>
      <c r="C388" s="58" t="s">
        <v>1099</v>
      </c>
      <c r="D388" s="58" t="s">
        <v>1100</v>
      </c>
      <c r="E388" s="58" t="s">
        <v>332</v>
      </c>
      <c r="F388" s="58" t="s">
        <v>297</v>
      </c>
      <c r="G388" s="58" t="s">
        <v>79</v>
      </c>
      <c r="H388" s="58">
        <v>169</v>
      </c>
      <c r="I388" s="58" t="str">
        <f>IF(R388="","",VLOOKUP(R388,REGRAS!$B$2:$D$13,3,FALSE()))</f>
        <v>FUNIL</v>
      </c>
      <c r="J388" s="58"/>
      <c r="K388" s="58" t="str">
        <f t="shared" ref="K388:K442" si="18">IF(R388="","",IF(R388="VENDA / PEDIDO","RECOMPRA",IF(R388="SUPORTE","PÓS-VENDA",IF(OR(R388="FOLLOW UP 7",R388="FOLLOW UP 15"),"SALVAMENTO",IF(R388="PERDA / FECHOU LOJA","NUTRIÇÃO",IF(R388="RELACIONAMENTO","CS",IF(OR(R388="ORÇAMENTO",R388="CADASTRO"),"PROSPECÇÃO",IF(R388="EM ATENDIMENTO","EM ATENDIMENTO",IF(OR(R388="NÃO ATENDE",R388="NÃO RESPONDE",R388="RECUSOU LIGAÇÃO"),"RECUPERAÇÃO","")))))))))</f>
        <v>EM ATENDIMENTO</v>
      </c>
      <c r="L388" s="58" t="str">
        <f t="shared" ref="L388:L442" si="19">IF(H388="","",IF(G388="PROSPECT","🟣",IF(G388="LEAD","🟣",IF(G388="NOVO","🟢",IF(H388&lt;=50,"🟢",IF(H388&lt;=90,"🟡","🔴"))))))</f>
        <v>🔴</v>
      </c>
      <c r="M388" s="58"/>
      <c r="N388" s="58" t="s">
        <v>146</v>
      </c>
      <c r="O388" s="58" t="s">
        <v>147</v>
      </c>
      <c r="P388" s="58" t="s">
        <v>149</v>
      </c>
      <c r="Q388" s="58" t="s">
        <v>33</v>
      </c>
      <c r="R388" s="58" t="s">
        <v>5</v>
      </c>
      <c r="S388" s="58"/>
      <c r="T388" s="71">
        <f>IF(R388="","",IF(OR(R388="SUPORTE",R388="PERDA / FECHOU LOJA"),"SEM",A388+VLOOKUP(R388,REGRAS!$B$2:$C$13,2,FALSE())))</f>
        <v>46080</v>
      </c>
      <c r="U388" s="58" t="str">
        <f t="shared" ref="U388:U442" si="20">IF(R388="","",IF(R388="VENDA / PEDIDO","RECOMPRA",IF(R388="SUPORTE","PÓS-VENDA",IF(R388="RELACIONAMENTO","CS",IF(OR(R388="NÃO ATENDE",R388="NÃO RESPONDE",R388="RECUSOU LIGAÇÃO"),"REATIVAÇÃO",IF(R388="PERDA / FECHOU LOJA","NUTRIÇÃO",IF(OR(R388="FOLLOW UP 7",R388="FOLLOW UP 15"),"SALVAMENTO","PROSPECÇÃO")))))))</f>
        <v>PROSPECÇÃO</v>
      </c>
      <c r="V388" s="58"/>
      <c r="W388" s="58" t="s">
        <v>147</v>
      </c>
      <c r="X388" s="58"/>
    </row>
    <row r="389" spans="1:24" x14ac:dyDescent="0.3">
      <c r="A389" s="71">
        <v>46056</v>
      </c>
      <c r="B389" s="58" t="s">
        <v>135</v>
      </c>
      <c r="C389" s="58" t="s">
        <v>1101</v>
      </c>
      <c r="D389" s="58" t="s">
        <v>1102</v>
      </c>
      <c r="E389" s="58" t="s">
        <v>346</v>
      </c>
      <c r="F389" s="58" t="s">
        <v>298</v>
      </c>
      <c r="G389" s="58" t="s">
        <v>71</v>
      </c>
      <c r="H389" s="58">
        <v>12</v>
      </c>
      <c r="I389" s="58" t="str">
        <f>IF(R389="","",VLOOKUP(R389,REGRAS!$B$2:$D$13,3,FALSE()))</f>
        <v>RELAC.</v>
      </c>
      <c r="J389" s="58"/>
      <c r="K389" s="58" t="str">
        <f t="shared" si="18"/>
        <v>CS</v>
      </c>
      <c r="L389" s="58" t="str">
        <f t="shared" si="19"/>
        <v>🟢</v>
      </c>
      <c r="M389" s="58"/>
      <c r="N389" s="58" t="s">
        <v>146</v>
      </c>
      <c r="O389" s="58" t="s">
        <v>146</v>
      </c>
      <c r="P389" s="58" t="s">
        <v>146</v>
      </c>
      <c r="Q389" s="58" t="s">
        <v>43</v>
      </c>
      <c r="R389" s="58" t="s">
        <v>14</v>
      </c>
      <c r="S389" s="58"/>
      <c r="T389" s="71">
        <f>IF(R389="","",IF(OR(R389="SUPORTE",R389="PERDA / FECHOU LOJA"),"SEM",A389+VLOOKUP(R389,REGRAS!$B$2:$C$13,2,FALSE())))</f>
        <v>46063</v>
      </c>
      <c r="U389" s="58" t="str">
        <f t="shared" si="20"/>
        <v>CS</v>
      </c>
      <c r="V389" s="58"/>
      <c r="W389" s="58" t="s">
        <v>146</v>
      </c>
      <c r="X389" s="58"/>
    </row>
    <row r="390" spans="1:24" x14ac:dyDescent="0.3">
      <c r="A390" s="71">
        <v>46073</v>
      </c>
      <c r="B390" s="58" t="s">
        <v>135</v>
      </c>
      <c r="C390" s="58" t="s">
        <v>1103</v>
      </c>
      <c r="D390" s="58" t="s">
        <v>1104</v>
      </c>
      <c r="E390" s="58" t="s">
        <v>346</v>
      </c>
      <c r="F390" s="58" t="s">
        <v>292</v>
      </c>
      <c r="G390" s="58" t="s">
        <v>85</v>
      </c>
      <c r="H390" s="58"/>
      <c r="I390" s="58" t="str">
        <f>IF(R390="","",VLOOKUP(R390,REGRAS!$B$2:$D$13,3,FALSE()))</f>
        <v>FUNIL</v>
      </c>
      <c r="J390" s="58"/>
      <c r="K390" s="58" t="str">
        <f t="shared" si="18"/>
        <v>PROSPECÇÃO</v>
      </c>
      <c r="L390" s="58" t="str">
        <f t="shared" si="19"/>
        <v/>
      </c>
      <c r="M390" s="58"/>
      <c r="N390" s="58" t="s">
        <v>146</v>
      </c>
      <c r="O390" s="58" t="s">
        <v>147</v>
      </c>
      <c r="P390" s="58" t="s">
        <v>149</v>
      </c>
      <c r="Q390" s="58" t="s">
        <v>37</v>
      </c>
      <c r="R390" s="58" t="s">
        <v>8</v>
      </c>
      <c r="S390" s="58"/>
      <c r="T390" s="71">
        <f>IF(R390="","",IF(OR(R390="SUPORTE",R390="PERDA / FECHOU LOJA"),"SEM",A390+VLOOKUP(R390,REGRAS!$B$2:$C$13,2,FALSE())))</f>
        <v>46074</v>
      </c>
      <c r="U390" s="58" t="str">
        <f t="shared" si="20"/>
        <v>PROSPECÇÃO</v>
      </c>
      <c r="V390" s="58"/>
      <c r="W390" s="58" t="s">
        <v>146</v>
      </c>
      <c r="X390" s="58"/>
    </row>
    <row r="391" spans="1:24" x14ac:dyDescent="0.3">
      <c r="A391" s="71">
        <v>46072</v>
      </c>
      <c r="B391" s="58" t="s">
        <v>135</v>
      </c>
      <c r="C391" s="58" t="s">
        <v>1105</v>
      </c>
      <c r="D391" s="58" t="s">
        <v>1106</v>
      </c>
      <c r="E391" s="58" t="s">
        <v>332</v>
      </c>
      <c r="F391" s="58" t="s">
        <v>292</v>
      </c>
      <c r="G391" s="58" t="s">
        <v>71</v>
      </c>
      <c r="H391" s="58">
        <v>11</v>
      </c>
      <c r="I391" s="58" t="str">
        <f>IF(R391="","",VLOOKUP(R391,REGRAS!$B$2:$D$13,3,FALSE()))</f>
        <v>NÃO VENDA</v>
      </c>
      <c r="J391" s="58"/>
      <c r="K391" s="58" t="str">
        <f t="shared" si="18"/>
        <v>RECUPERAÇÃO</v>
      </c>
      <c r="L391" s="58" t="str">
        <f t="shared" si="19"/>
        <v>🟢</v>
      </c>
      <c r="M391" s="58"/>
      <c r="N391" s="58" t="s">
        <v>147</v>
      </c>
      <c r="O391" s="58" t="s">
        <v>147</v>
      </c>
      <c r="P391" s="58" t="s">
        <v>149</v>
      </c>
      <c r="Q391" s="58" t="s">
        <v>43</v>
      </c>
      <c r="R391" s="58" t="s">
        <v>26</v>
      </c>
      <c r="S391" s="58" t="s">
        <v>59</v>
      </c>
      <c r="T391" s="71">
        <f>IF(R391="","",IF(OR(R391="SUPORTE",R391="PERDA / FECHOU LOJA"),"SEM",A391+VLOOKUP(R391,REGRAS!$B$2:$C$13,2,FALSE())))</f>
        <v>46073</v>
      </c>
      <c r="U391" s="58" t="str">
        <f t="shared" si="20"/>
        <v>REATIVAÇÃO</v>
      </c>
      <c r="V391" s="58"/>
      <c r="W391" s="58" t="s">
        <v>146</v>
      </c>
      <c r="X391" s="58"/>
    </row>
    <row r="392" spans="1:24" x14ac:dyDescent="0.3">
      <c r="A392" s="71">
        <v>46075</v>
      </c>
      <c r="B392" s="58" t="s">
        <v>141</v>
      </c>
      <c r="C392" s="58" t="s">
        <v>1107</v>
      </c>
      <c r="D392" s="58" t="s">
        <v>1108</v>
      </c>
      <c r="E392" s="58" t="s">
        <v>376</v>
      </c>
      <c r="F392" s="58" t="s">
        <v>292</v>
      </c>
      <c r="G392" s="58" t="s">
        <v>71</v>
      </c>
      <c r="H392" s="58">
        <v>34</v>
      </c>
      <c r="I392" s="58" t="str">
        <f>IF(R392="","",VLOOKUP(R392,REGRAS!$B$2:$D$13,3,FALSE()))</f>
        <v>FUNIL</v>
      </c>
      <c r="J392" s="58"/>
      <c r="K392" s="58" t="str">
        <f t="shared" si="18"/>
        <v>EM ATENDIMENTO</v>
      </c>
      <c r="L392" s="58" t="str">
        <f t="shared" si="19"/>
        <v>🟢</v>
      </c>
      <c r="M392" s="58"/>
      <c r="N392" s="58" t="s">
        <v>147</v>
      </c>
      <c r="O392" s="58" t="s">
        <v>147</v>
      </c>
      <c r="P392" s="58" t="s">
        <v>149</v>
      </c>
      <c r="Q392" s="58" t="s">
        <v>33</v>
      </c>
      <c r="R392" s="58" t="s">
        <v>5</v>
      </c>
      <c r="S392" s="58"/>
      <c r="T392" s="71">
        <f>IF(R392="","",IF(OR(R392="SUPORTE",R392="PERDA / FECHOU LOJA"),"SEM",A392+VLOOKUP(R392,REGRAS!$B$2:$C$13,2,FALSE())))</f>
        <v>46077</v>
      </c>
      <c r="U392" s="58" t="str">
        <f t="shared" si="20"/>
        <v>PROSPECÇÃO</v>
      </c>
      <c r="V392" s="58"/>
      <c r="W392" s="58" t="s">
        <v>146</v>
      </c>
      <c r="X392" s="58"/>
    </row>
    <row r="393" spans="1:24" x14ac:dyDescent="0.3">
      <c r="A393" s="71">
        <v>46055</v>
      </c>
      <c r="B393" s="58" t="s">
        <v>135</v>
      </c>
      <c r="C393" s="58" t="s">
        <v>790</v>
      </c>
      <c r="D393" s="58" t="s">
        <v>1109</v>
      </c>
      <c r="E393" s="58" t="s">
        <v>335</v>
      </c>
      <c r="F393" s="58" t="s">
        <v>292</v>
      </c>
      <c r="G393" s="58" t="s">
        <v>71</v>
      </c>
      <c r="H393" s="58">
        <v>31</v>
      </c>
      <c r="I393" s="58" t="str">
        <f>IF(R393="","",VLOOKUP(R393,REGRAS!$B$2:$D$13,3,FALSE()))</f>
        <v>NÃO VENDA</v>
      </c>
      <c r="J393" s="58"/>
      <c r="K393" s="58" t="str">
        <f t="shared" si="18"/>
        <v>RECUPERAÇÃO</v>
      </c>
      <c r="L393" s="58" t="str">
        <f t="shared" si="19"/>
        <v>🟢</v>
      </c>
      <c r="M393" s="58"/>
      <c r="N393" s="58" t="s">
        <v>146</v>
      </c>
      <c r="O393" s="58" t="s">
        <v>146</v>
      </c>
      <c r="P393" s="58" t="s">
        <v>147</v>
      </c>
      <c r="Q393" s="58" t="s">
        <v>37</v>
      </c>
      <c r="R393" s="58" t="s">
        <v>26</v>
      </c>
      <c r="S393" s="58" t="s">
        <v>55</v>
      </c>
      <c r="T393" s="71">
        <f>IF(R393="","",IF(OR(R393="SUPORTE",R393="PERDA / FECHOU LOJA"),"SEM",A393+VLOOKUP(R393,REGRAS!$B$2:$C$13,2,FALSE())))</f>
        <v>46056</v>
      </c>
      <c r="U393" s="58" t="str">
        <f t="shared" si="20"/>
        <v>REATIVAÇÃO</v>
      </c>
      <c r="V393" s="58"/>
      <c r="W393" s="58" t="s">
        <v>147</v>
      </c>
      <c r="X393" s="58"/>
    </row>
    <row r="394" spans="1:24" x14ac:dyDescent="0.3">
      <c r="A394" s="71">
        <v>46059</v>
      </c>
      <c r="B394" s="58" t="s">
        <v>135</v>
      </c>
      <c r="C394" s="58" t="s">
        <v>1110</v>
      </c>
      <c r="D394" s="58" t="s">
        <v>1111</v>
      </c>
      <c r="E394" s="58" t="s">
        <v>335</v>
      </c>
      <c r="F394" s="58" t="s">
        <v>283</v>
      </c>
      <c r="G394" s="58" t="s">
        <v>74</v>
      </c>
      <c r="H394" s="58">
        <v>60</v>
      </c>
      <c r="I394" s="58" t="str">
        <f>IF(R394="","",VLOOKUP(R394,REGRAS!$B$2:$D$13,3,FALSE()))</f>
        <v>NÃO VENDA</v>
      </c>
      <c r="J394" s="58"/>
      <c r="K394" s="58" t="str">
        <f t="shared" si="18"/>
        <v>RECUPERAÇÃO</v>
      </c>
      <c r="L394" s="58" t="str">
        <f t="shared" si="19"/>
        <v>🟡</v>
      </c>
      <c r="M394" s="58"/>
      <c r="N394" s="58" t="s">
        <v>147</v>
      </c>
      <c r="O394" s="58" t="s">
        <v>146</v>
      </c>
      <c r="P394" s="58" t="s">
        <v>146</v>
      </c>
      <c r="Q394" s="58" t="s">
        <v>45</v>
      </c>
      <c r="R394" s="58" t="s">
        <v>28</v>
      </c>
      <c r="S394" s="58" t="s">
        <v>49</v>
      </c>
      <c r="T394" s="71">
        <f>IF(R394="","",IF(OR(R394="SUPORTE",R394="PERDA / FECHOU LOJA"),"SEM",A394+VLOOKUP(R394,REGRAS!$B$2:$C$13,2,FALSE())))</f>
        <v>46061</v>
      </c>
      <c r="U394" s="58" t="str">
        <f t="shared" si="20"/>
        <v>REATIVAÇÃO</v>
      </c>
      <c r="V394" s="58"/>
      <c r="W394" s="58" t="s">
        <v>146</v>
      </c>
      <c r="X394" s="58"/>
    </row>
    <row r="395" spans="1:24" x14ac:dyDescent="0.3">
      <c r="A395" s="71">
        <v>46081</v>
      </c>
      <c r="B395" s="58" t="s">
        <v>141</v>
      </c>
      <c r="C395" s="58" t="s">
        <v>1112</v>
      </c>
      <c r="D395" s="58" t="s">
        <v>1113</v>
      </c>
      <c r="E395" s="58" t="s">
        <v>335</v>
      </c>
      <c r="F395" s="58" t="s">
        <v>292</v>
      </c>
      <c r="G395" s="58" t="s">
        <v>82</v>
      </c>
      <c r="H395" s="58"/>
      <c r="I395" s="58" t="str">
        <f>IF(R395="","",VLOOKUP(R395,REGRAS!$B$2:$D$13,3,FALSE()))</f>
        <v>NÃO VENDA</v>
      </c>
      <c r="J395" s="58"/>
      <c r="K395" s="58" t="str">
        <f t="shared" si="18"/>
        <v>RECUPERAÇÃO</v>
      </c>
      <c r="L395" s="58" t="str">
        <f t="shared" si="19"/>
        <v/>
      </c>
      <c r="M395" s="58"/>
      <c r="N395" s="58" t="s">
        <v>146</v>
      </c>
      <c r="O395" s="58" t="s">
        <v>147</v>
      </c>
      <c r="P395" s="58" t="s">
        <v>149</v>
      </c>
      <c r="Q395" s="58" t="s">
        <v>45</v>
      </c>
      <c r="R395" s="58" t="s">
        <v>23</v>
      </c>
      <c r="S395" s="58" t="s">
        <v>66</v>
      </c>
      <c r="T395" s="71">
        <f>IF(R395="","",IF(OR(R395="SUPORTE",R395="PERDA / FECHOU LOJA"),"SEM",A395+VLOOKUP(R395,REGRAS!$B$2:$C$13,2,FALSE())))</f>
        <v>46082</v>
      </c>
      <c r="U395" s="58" t="str">
        <f t="shared" si="20"/>
        <v>REATIVAÇÃO</v>
      </c>
      <c r="V395" s="58"/>
      <c r="W395" s="58" t="s">
        <v>146</v>
      </c>
      <c r="X395" s="58"/>
    </row>
    <row r="396" spans="1:24" x14ac:dyDescent="0.3">
      <c r="A396" s="71">
        <v>46058</v>
      </c>
      <c r="B396" s="58" t="s">
        <v>141</v>
      </c>
      <c r="C396" s="58" t="s">
        <v>1114</v>
      </c>
      <c r="D396" s="58" t="s">
        <v>1115</v>
      </c>
      <c r="E396" s="58" t="s">
        <v>369</v>
      </c>
      <c r="F396" s="58" t="s">
        <v>283</v>
      </c>
      <c r="G396" s="58" t="s">
        <v>79</v>
      </c>
      <c r="H396" s="58">
        <v>108</v>
      </c>
      <c r="I396" s="58" t="str">
        <f>IF(R396="","",VLOOKUP(R396,REGRAS!$B$2:$D$13,3,FALSE()))</f>
        <v>FUNIL</v>
      </c>
      <c r="J396" s="58"/>
      <c r="K396" s="58" t="str">
        <f t="shared" si="18"/>
        <v>RECOMPRA</v>
      </c>
      <c r="L396" s="58" t="str">
        <f t="shared" si="19"/>
        <v>🔴</v>
      </c>
      <c r="M396" s="58"/>
      <c r="N396" s="58" t="s">
        <v>146</v>
      </c>
      <c r="O396" s="58" t="s">
        <v>147</v>
      </c>
      <c r="P396" s="58" t="s">
        <v>149</v>
      </c>
      <c r="Q396" s="58" t="s">
        <v>39</v>
      </c>
      <c r="R396" s="58" t="s">
        <v>12</v>
      </c>
      <c r="S396" s="58"/>
      <c r="T396" s="71">
        <f>IF(R396="","",IF(OR(R396="SUPORTE",R396="PERDA / FECHOU LOJA"),"SEM",A396+VLOOKUP(R396,REGRAS!$B$2:$C$13,2,FALSE())))</f>
        <v>46103</v>
      </c>
      <c r="U396" s="58" t="str">
        <f t="shared" si="20"/>
        <v>RECOMPRA</v>
      </c>
      <c r="V396" s="58"/>
      <c r="W396" s="58" t="s">
        <v>146</v>
      </c>
      <c r="X396" s="58"/>
    </row>
    <row r="397" spans="1:24" x14ac:dyDescent="0.3">
      <c r="A397" s="71">
        <v>46063</v>
      </c>
      <c r="B397" s="58" t="s">
        <v>139</v>
      </c>
      <c r="C397" s="58" t="s">
        <v>1116</v>
      </c>
      <c r="D397" s="58" t="s">
        <v>1117</v>
      </c>
      <c r="E397" s="58" t="s">
        <v>346</v>
      </c>
      <c r="F397" s="58" t="s">
        <v>289</v>
      </c>
      <c r="G397" s="58" t="s">
        <v>79</v>
      </c>
      <c r="H397" s="58">
        <v>216</v>
      </c>
      <c r="I397" s="58" t="str">
        <f>IF(R397="","",VLOOKUP(R397,REGRAS!$B$2:$D$13,3,FALSE()))</f>
        <v>RELAC.</v>
      </c>
      <c r="J397" s="58"/>
      <c r="K397" s="58" t="str">
        <f t="shared" si="18"/>
        <v>CS</v>
      </c>
      <c r="L397" s="58" t="str">
        <f t="shared" si="19"/>
        <v>🔴</v>
      </c>
      <c r="M397" s="58"/>
      <c r="N397" s="58" t="s">
        <v>147</v>
      </c>
      <c r="O397" s="58" t="s">
        <v>147</v>
      </c>
      <c r="P397" s="58" t="s">
        <v>149</v>
      </c>
      <c r="Q397" s="58" t="s">
        <v>39</v>
      </c>
      <c r="R397" s="58" t="s">
        <v>14</v>
      </c>
      <c r="S397" s="58"/>
      <c r="T397" s="71">
        <f>IF(R397="","",IF(OR(R397="SUPORTE",R397="PERDA / FECHOU LOJA"),"SEM",A397+VLOOKUP(R397,REGRAS!$B$2:$C$13,2,FALSE())))</f>
        <v>46070</v>
      </c>
      <c r="U397" s="58" t="str">
        <f t="shared" si="20"/>
        <v>CS</v>
      </c>
      <c r="V397" s="58"/>
      <c r="W397" s="58" t="s">
        <v>146</v>
      </c>
      <c r="X397" s="58"/>
    </row>
    <row r="398" spans="1:24" x14ac:dyDescent="0.3">
      <c r="A398" s="71">
        <v>46078</v>
      </c>
      <c r="B398" s="58" t="s">
        <v>135</v>
      </c>
      <c r="C398" s="58" t="s">
        <v>1118</v>
      </c>
      <c r="D398" s="58" t="s">
        <v>1119</v>
      </c>
      <c r="E398" s="58" t="s">
        <v>376</v>
      </c>
      <c r="F398" s="58" t="s">
        <v>283</v>
      </c>
      <c r="G398" s="58" t="s">
        <v>77</v>
      </c>
      <c r="H398" s="58">
        <v>88</v>
      </c>
      <c r="I398" s="58" t="str">
        <f>IF(R398="","",VLOOKUP(R398,REGRAS!$B$2:$D$13,3,FALSE()))</f>
        <v>NÃO VENDA</v>
      </c>
      <c r="J398" s="58"/>
      <c r="K398" s="58" t="str">
        <f t="shared" si="18"/>
        <v>RECUPERAÇÃO</v>
      </c>
      <c r="L398" s="58" t="str">
        <f t="shared" si="19"/>
        <v>🟡</v>
      </c>
      <c r="M398" s="58"/>
      <c r="N398" s="58" t="s">
        <v>146</v>
      </c>
      <c r="O398" s="58" t="s">
        <v>146</v>
      </c>
      <c r="P398" s="58" t="s">
        <v>146</v>
      </c>
      <c r="Q398" s="58" t="s">
        <v>43</v>
      </c>
      <c r="R398" s="58" t="s">
        <v>23</v>
      </c>
      <c r="S398" s="58" t="s">
        <v>51</v>
      </c>
      <c r="T398" s="71">
        <f>IF(R398="","",IF(OR(R398="SUPORTE",R398="PERDA / FECHOU LOJA"),"SEM",A398+VLOOKUP(R398,REGRAS!$B$2:$C$13,2,FALSE())))</f>
        <v>46079</v>
      </c>
      <c r="U398" s="58" t="str">
        <f t="shared" si="20"/>
        <v>REATIVAÇÃO</v>
      </c>
      <c r="V398" s="58"/>
      <c r="W398" s="58" t="s">
        <v>147</v>
      </c>
      <c r="X398" s="58"/>
    </row>
    <row r="399" spans="1:24" x14ac:dyDescent="0.3">
      <c r="A399" s="71">
        <v>46072</v>
      </c>
      <c r="B399" s="58" t="s">
        <v>139</v>
      </c>
      <c r="C399" s="58" t="s">
        <v>1120</v>
      </c>
      <c r="D399" s="58" t="s">
        <v>1121</v>
      </c>
      <c r="E399" s="58" t="s">
        <v>361</v>
      </c>
      <c r="F399" s="58" t="s">
        <v>298</v>
      </c>
      <c r="G399" s="58" t="s">
        <v>74</v>
      </c>
      <c r="H399" s="58">
        <v>58</v>
      </c>
      <c r="I399" s="58" t="str">
        <f>IF(R399="","",VLOOKUP(R399,REGRAS!$B$2:$D$13,3,FALSE()))</f>
        <v>RELAC.</v>
      </c>
      <c r="J399" s="58"/>
      <c r="K399" s="58" t="str">
        <f t="shared" si="18"/>
        <v>CS</v>
      </c>
      <c r="L399" s="58" t="str">
        <f t="shared" si="19"/>
        <v>🟡</v>
      </c>
      <c r="M399" s="58"/>
      <c r="N399" s="58" t="s">
        <v>146</v>
      </c>
      <c r="O399" s="58" t="s">
        <v>147</v>
      </c>
      <c r="P399" s="58" t="s">
        <v>149</v>
      </c>
      <c r="Q399" s="58" t="s">
        <v>39</v>
      </c>
      <c r="R399" s="58" t="s">
        <v>14</v>
      </c>
      <c r="S399" s="58"/>
      <c r="T399" s="71">
        <f>IF(R399="","",IF(OR(R399="SUPORTE",R399="PERDA / FECHOU LOJA"),"SEM",A399+VLOOKUP(R399,REGRAS!$B$2:$C$13,2,FALSE())))</f>
        <v>46079</v>
      </c>
      <c r="U399" s="58" t="str">
        <f t="shared" si="20"/>
        <v>CS</v>
      </c>
      <c r="V399" s="58"/>
      <c r="W399" s="58" t="s">
        <v>146</v>
      </c>
      <c r="X399" s="58"/>
    </row>
    <row r="400" spans="1:24" x14ac:dyDescent="0.3">
      <c r="A400" s="71">
        <v>46055</v>
      </c>
      <c r="B400" s="58" t="s">
        <v>135</v>
      </c>
      <c r="C400" s="58" t="s">
        <v>1122</v>
      </c>
      <c r="D400" s="58" t="s">
        <v>1123</v>
      </c>
      <c r="E400" s="58" t="s">
        <v>340</v>
      </c>
      <c r="F400" s="58" t="s">
        <v>296</v>
      </c>
      <c r="G400" s="58" t="s">
        <v>74</v>
      </c>
      <c r="H400" s="58">
        <v>57</v>
      </c>
      <c r="I400" s="58" t="str">
        <f>IF(R400="","",VLOOKUP(R400,REGRAS!$B$2:$D$13,3,FALSE()))</f>
        <v>FUNIL</v>
      </c>
      <c r="J400" s="58"/>
      <c r="K400" s="58" t="str">
        <f t="shared" si="18"/>
        <v>RECOMPRA</v>
      </c>
      <c r="L400" s="58" t="str">
        <f t="shared" si="19"/>
        <v>🟡</v>
      </c>
      <c r="M400" s="58"/>
      <c r="N400" s="58" t="s">
        <v>146</v>
      </c>
      <c r="O400" s="58" t="s">
        <v>147</v>
      </c>
      <c r="P400" s="58" t="s">
        <v>149</v>
      </c>
      <c r="Q400" s="58" t="s">
        <v>37</v>
      </c>
      <c r="R400" s="58" t="s">
        <v>12</v>
      </c>
      <c r="S400" s="58"/>
      <c r="T400" s="71">
        <f>IF(R400="","",IF(OR(R400="SUPORTE",R400="PERDA / FECHOU LOJA"),"SEM",A400+VLOOKUP(R400,REGRAS!$B$2:$C$13,2,FALSE())))</f>
        <v>46100</v>
      </c>
      <c r="U400" s="58" t="str">
        <f t="shared" si="20"/>
        <v>RECOMPRA</v>
      </c>
      <c r="V400" s="58"/>
      <c r="W400" s="58" t="s">
        <v>146</v>
      </c>
      <c r="X400" s="58"/>
    </row>
    <row r="401" spans="1:24" x14ac:dyDescent="0.3">
      <c r="A401" s="71">
        <v>46074</v>
      </c>
      <c r="B401" s="58" t="s">
        <v>135</v>
      </c>
      <c r="C401" s="58" t="s">
        <v>1124</v>
      </c>
      <c r="D401" s="58" t="s">
        <v>1125</v>
      </c>
      <c r="E401" s="58" t="s">
        <v>332</v>
      </c>
      <c r="F401" s="58" t="s">
        <v>296</v>
      </c>
      <c r="G401" s="58" t="s">
        <v>71</v>
      </c>
      <c r="H401" s="58">
        <v>47</v>
      </c>
      <c r="I401" s="58" t="str">
        <f>IF(R401="","",VLOOKUP(R401,REGRAS!$B$2:$D$13,3,FALSE()))</f>
        <v>RELAC.</v>
      </c>
      <c r="J401" s="58"/>
      <c r="K401" s="58" t="str">
        <f t="shared" si="18"/>
        <v>PÓS-VENDA</v>
      </c>
      <c r="L401" s="58" t="str">
        <f t="shared" si="19"/>
        <v>🟢</v>
      </c>
      <c r="M401" s="58"/>
      <c r="N401" s="58" t="s">
        <v>147</v>
      </c>
      <c r="O401" s="58" t="s">
        <v>146</v>
      </c>
      <c r="P401" s="58" t="s">
        <v>147</v>
      </c>
      <c r="Q401" s="58" t="s">
        <v>43</v>
      </c>
      <c r="R401" s="58" t="s">
        <v>21</v>
      </c>
      <c r="S401" s="58"/>
      <c r="T401" s="71" t="str">
        <f>IF(R401="","",IF(OR(R401="SUPORTE",R401="PERDA / FECHOU LOJA"),"SEM",A401+VLOOKUP(R401,REGRAS!$B$2:$C$13,2,FALSE())))</f>
        <v>SEM</v>
      </c>
      <c r="U401" s="58" t="str">
        <f t="shared" si="20"/>
        <v>PÓS-VENDA</v>
      </c>
      <c r="V401" s="58"/>
      <c r="W401" s="58" t="s">
        <v>146</v>
      </c>
      <c r="X401" s="58"/>
    </row>
    <row r="402" spans="1:24" x14ac:dyDescent="0.3">
      <c r="A402" s="71">
        <v>46064</v>
      </c>
      <c r="B402" s="58" t="s">
        <v>137</v>
      </c>
      <c r="C402" s="58" t="s">
        <v>1126</v>
      </c>
      <c r="D402" s="58" t="s">
        <v>1127</v>
      </c>
      <c r="E402" s="58" t="s">
        <v>335</v>
      </c>
      <c r="F402" s="58" t="s">
        <v>289</v>
      </c>
      <c r="G402" s="58" t="s">
        <v>74</v>
      </c>
      <c r="H402" s="58">
        <v>56</v>
      </c>
      <c r="I402" s="58" t="str">
        <f>IF(R402="","",VLOOKUP(R402,REGRAS!$B$2:$D$13,3,FALSE()))</f>
        <v>FUNIL</v>
      </c>
      <c r="J402" s="58"/>
      <c r="K402" s="58" t="str">
        <f t="shared" si="18"/>
        <v>PROSPECÇÃO</v>
      </c>
      <c r="L402" s="58" t="str">
        <f t="shared" si="19"/>
        <v>🟡</v>
      </c>
      <c r="M402" s="58"/>
      <c r="N402" s="58" t="s">
        <v>147</v>
      </c>
      <c r="O402" s="58" t="s">
        <v>146</v>
      </c>
      <c r="P402" s="58" t="s">
        <v>147</v>
      </c>
      <c r="Q402" s="58" t="s">
        <v>35</v>
      </c>
      <c r="R402" s="58" t="s">
        <v>8</v>
      </c>
      <c r="S402" s="58"/>
      <c r="T402" s="71">
        <f>IF(R402="","",IF(OR(R402="SUPORTE",R402="PERDA / FECHOU LOJA"),"SEM",A402+VLOOKUP(R402,REGRAS!$B$2:$C$13,2,FALSE())))</f>
        <v>46065</v>
      </c>
      <c r="U402" s="58" t="str">
        <f t="shared" si="20"/>
        <v>PROSPECÇÃO</v>
      </c>
      <c r="V402" s="58"/>
      <c r="W402" s="58" t="s">
        <v>147</v>
      </c>
      <c r="X402" s="58"/>
    </row>
    <row r="403" spans="1:24" x14ac:dyDescent="0.3">
      <c r="A403" s="71">
        <v>46056</v>
      </c>
      <c r="B403" s="58" t="s">
        <v>141</v>
      </c>
      <c r="C403" s="58" t="s">
        <v>1128</v>
      </c>
      <c r="D403" s="58" t="s">
        <v>1129</v>
      </c>
      <c r="E403" s="58" t="s">
        <v>376</v>
      </c>
      <c r="F403" s="58" t="s">
        <v>289</v>
      </c>
      <c r="G403" s="58" t="s">
        <v>79</v>
      </c>
      <c r="H403" s="58">
        <v>114</v>
      </c>
      <c r="I403" s="58" t="str">
        <f>IF(R403="","",VLOOKUP(R403,REGRAS!$B$2:$D$13,3,FALSE()))</f>
        <v>NÃO VENDA</v>
      </c>
      <c r="J403" s="58"/>
      <c r="K403" s="58" t="str">
        <f t="shared" si="18"/>
        <v>RECUPERAÇÃO</v>
      </c>
      <c r="L403" s="58" t="str">
        <f t="shared" si="19"/>
        <v>🔴</v>
      </c>
      <c r="M403" s="58"/>
      <c r="N403" s="58" t="s">
        <v>146</v>
      </c>
      <c r="O403" s="58" t="s">
        <v>146</v>
      </c>
      <c r="P403" s="58" t="s">
        <v>147</v>
      </c>
      <c r="Q403" s="58" t="s">
        <v>41</v>
      </c>
      <c r="R403" s="58" t="s">
        <v>28</v>
      </c>
      <c r="S403" s="58" t="s">
        <v>57</v>
      </c>
      <c r="T403" s="71">
        <f>IF(R403="","",IF(OR(R403="SUPORTE",R403="PERDA / FECHOU LOJA"),"SEM",A403+VLOOKUP(R403,REGRAS!$B$2:$C$13,2,FALSE())))</f>
        <v>46058</v>
      </c>
      <c r="U403" s="58" t="str">
        <f t="shared" si="20"/>
        <v>REATIVAÇÃO</v>
      </c>
      <c r="V403" s="58"/>
      <c r="W403" s="58" t="s">
        <v>146</v>
      </c>
      <c r="X403" s="58"/>
    </row>
    <row r="404" spans="1:24" x14ac:dyDescent="0.3">
      <c r="A404" s="71">
        <v>46065</v>
      </c>
      <c r="B404" s="58" t="s">
        <v>141</v>
      </c>
      <c r="C404" s="58" t="s">
        <v>1130</v>
      </c>
      <c r="D404" s="58" t="s">
        <v>1131</v>
      </c>
      <c r="E404" s="58" t="s">
        <v>332</v>
      </c>
      <c r="F404" s="58" t="s">
        <v>286</v>
      </c>
      <c r="G404" s="58" t="s">
        <v>79</v>
      </c>
      <c r="H404" s="58">
        <v>207</v>
      </c>
      <c r="I404" s="58" t="str">
        <f>IF(R404="","",VLOOKUP(R404,REGRAS!$B$2:$D$13,3,FALSE()))</f>
        <v>NÃO VENDA</v>
      </c>
      <c r="J404" s="58"/>
      <c r="K404" s="58" t="str">
        <f t="shared" si="18"/>
        <v>RECUPERAÇÃO</v>
      </c>
      <c r="L404" s="58" t="str">
        <f t="shared" si="19"/>
        <v>🔴</v>
      </c>
      <c r="M404" s="58"/>
      <c r="N404" s="58" t="s">
        <v>147</v>
      </c>
      <c r="O404" s="58" t="s">
        <v>147</v>
      </c>
      <c r="P404" s="58" t="s">
        <v>149</v>
      </c>
      <c r="Q404" s="58" t="s">
        <v>41</v>
      </c>
      <c r="R404" s="58" t="s">
        <v>28</v>
      </c>
      <c r="S404" s="58" t="s">
        <v>55</v>
      </c>
      <c r="T404" s="71">
        <f>IF(R404="","",IF(OR(R404="SUPORTE",R404="PERDA / FECHOU LOJA"),"SEM",A404+VLOOKUP(R404,REGRAS!$B$2:$C$13,2,FALSE())))</f>
        <v>46067</v>
      </c>
      <c r="U404" s="58" t="str">
        <f t="shared" si="20"/>
        <v>REATIVAÇÃO</v>
      </c>
      <c r="V404" s="58"/>
      <c r="W404" s="58" t="s">
        <v>146</v>
      </c>
      <c r="X404" s="58"/>
    </row>
    <row r="405" spans="1:24" x14ac:dyDescent="0.3">
      <c r="A405" s="71">
        <v>46069</v>
      </c>
      <c r="B405" s="58" t="s">
        <v>135</v>
      </c>
      <c r="C405" s="58" t="s">
        <v>1132</v>
      </c>
      <c r="D405" s="58" t="s">
        <v>1133</v>
      </c>
      <c r="E405" s="58" t="s">
        <v>340</v>
      </c>
      <c r="F405" s="58" t="s">
        <v>283</v>
      </c>
      <c r="G405" s="58" t="s">
        <v>71</v>
      </c>
      <c r="H405" s="58">
        <v>34</v>
      </c>
      <c r="I405" s="58" t="str">
        <f>IF(R405="","",VLOOKUP(R405,REGRAS!$B$2:$D$13,3,FALSE()))</f>
        <v>FUNIL</v>
      </c>
      <c r="J405" s="58"/>
      <c r="K405" s="58" t="str">
        <f t="shared" si="18"/>
        <v>EM ATENDIMENTO</v>
      </c>
      <c r="L405" s="58" t="str">
        <f t="shared" si="19"/>
        <v>🟢</v>
      </c>
      <c r="M405" s="58"/>
      <c r="N405" s="58" t="s">
        <v>146</v>
      </c>
      <c r="O405" s="58" t="s">
        <v>146</v>
      </c>
      <c r="P405" s="58" t="s">
        <v>146</v>
      </c>
      <c r="Q405" s="58" t="s">
        <v>33</v>
      </c>
      <c r="R405" s="58" t="s">
        <v>5</v>
      </c>
      <c r="S405" s="58"/>
      <c r="T405" s="71">
        <f>IF(R405="","",IF(OR(R405="SUPORTE",R405="PERDA / FECHOU LOJA"),"SEM",A405+VLOOKUP(R405,REGRAS!$B$2:$C$13,2,FALSE())))</f>
        <v>46071</v>
      </c>
      <c r="U405" s="58" t="str">
        <f t="shared" si="20"/>
        <v>PROSPECÇÃO</v>
      </c>
      <c r="V405" s="58"/>
      <c r="W405" s="58" t="s">
        <v>146</v>
      </c>
      <c r="X405" s="58"/>
    </row>
    <row r="406" spans="1:24" x14ac:dyDescent="0.3">
      <c r="A406" s="71">
        <v>46080</v>
      </c>
      <c r="B406" s="58" t="s">
        <v>141</v>
      </c>
      <c r="C406" s="58" t="s">
        <v>1134</v>
      </c>
      <c r="D406" s="58" t="s">
        <v>1135</v>
      </c>
      <c r="E406" s="58" t="s">
        <v>335</v>
      </c>
      <c r="F406" s="58" t="s">
        <v>289</v>
      </c>
      <c r="G406" s="58" t="s">
        <v>71</v>
      </c>
      <c r="H406" s="58">
        <v>14</v>
      </c>
      <c r="I406" s="58" t="str">
        <f>IF(R406="","",VLOOKUP(R406,REGRAS!$B$2:$D$13,3,FALSE()))</f>
        <v>FUNIL</v>
      </c>
      <c r="J406" s="58"/>
      <c r="K406" s="58" t="str">
        <f t="shared" si="18"/>
        <v>PROSPECÇÃO</v>
      </c>
      <c r="L406" s="58" t="str">
        <f t="shared" si="19"/>
        <v>🟢</v>
      </c>
      <c r="M406" s="58"/>
      <c r="N406" s="58" t="s">
        <v>147</v>
      </c>
      <c r="O406" s="58" t="s">
        <v>147</v>
      </c>
      <c r="P406" s="58" t="s">
        <v>149</v>
      </c>
      <c r="Q406" s="58" t="s">
        <v>35</v>
      </c>
      <c r="R406" s="58" t="s">
        <v>8</v>
      </c>
      <c r="S406" s="58"/>
      <c r="T406" s="71">
        <f>IF(R406="","",IF(OR(R406="SUPORTE",R406="PERDA / FECHOU LOJA"),"SEM",A406+VLOOKUP(R406,REGRAS!$B$2:$C$13,2,FALSE())))</f>
        <v>46081</v>
      </c>
      <c r="U406" s="58" t="str">
        <f t="shared" si="20"/>
        <v>PROSPECÇÃO</v>
      </c>
      <c r="V406" s="58"/>
      <c r="W406" s="58" t="s">
        <v>146</v>
      </c>
      <c r="X406" s="58"/>
    </row>
    <row r="407" spans="1:24" x14ac:dyDescent="0.3">
      <c r="A407" s="71">
        <v>46067</v>
      </c>
      <c r="B407" s="58" t="s">
        <v>137</v>
      </c>
      <c r="C407" s="58" t="s">
        <v>1136</v>
      </c>
      <c r="D407" s="58" t="s">
        <v>1137</v>
      </c>
      <c r="E407" s="58" t="s">
        <v>346</v>
      </c>
      <c r="F407" s="58" t="s">
        <v>295</v>
      </c>
      <c r="G407" s="58" t="s">
        <v>77</v>
      </c>
      <c r="H407" s="58">
        <v>81</v>
      </c>
      <c r="I407" s="58" t="str">
        <f>IF(R407="","",VLOOKUP(R407,REGRAS!$B$2:$D$13,3,FALSE()))</f>
        <v>FUNIL</v>
      </c>
      <c r="J407" s="58"/>
      <c r="K407" s="58" t="str">
        <f t="shared" si="18"/>
        <v>PROSPECÇÃO</v>
      </c>
      <c r="L407" s="58" t="str">
        <f t="shared" si="19"/>
        <v>🟡</v>
      </c>
      <c r="M407" s="58"/>
      <c r="N407" s="58" t="s">
        <v>146</v>
      </c>
      <c r="O407" s="58" t="s">
        <v>146</v>
      </c>
      <c r="P407" s="58" t="s">
        <v>147</v>
      </c>
      <c r="Q407" s="58" t="s">
        <v>43</v>
      </c>
      <c r="R407" s="58" t="s">
        <v>8</v>
      </c>
      <c r="S407" s="58"/>
      <c r="T407" s="71">
        <f>IF(R407="","",IF(OR(R407="SUPORTE",R407="PERDA / FECHOU LOJA"),"SEM",A407+VLOOKUP(R407,REGRAS!$B$2:$C$13,2,FALSE())))</f>
        <v>46068</v>
      </c>
      <c r="U407" s="58" t="str">
        <f t="shared" si="20"/>
        <v>PROSPECÇÃO</v>
      </c>
      <c r="V407" s="58"/>
      <c r="W407" s="58" t="s">
        <v>146</v>
      </c>
      <c r="X407" s="58"/>
    </row>
    <row r="408" spans="1:24" x14ac:dyDescent="0.3">
      <c r="A408" s="71">
        <v>46073</v>
      </c>
      <c r="B408" s="58" t="s">
        <v>135</v>
      </c>
      <c r="C408" s="58" t="s">
        <v>1138</v>
      </c>
      <c r="D408" s="58" t="s">
        <v>1139</v>
      </c>
      <c r="E408" s="58" t="s">
        <v>369</v>
      </c>
      <c r="F408" s="58" t="s">
        <v>292</v>
      </c>
      <c r="G408" s="58" t="s">
        <v>71</v>
      </c>
      <c r="H408" s="58">
        <v>12</v>
      </c>
      <c r="I408" s="58" t="str">
        <f>IF(R408="","",VLOOKUP(R408,REGRAS!$B$2:$D$13,3,FALSE()))</f>
        <v>RELAC.</v>
      </c>
      <c r="J408" s="58"/>
      <c r="K408" s="58" t="str">
        <f t="shared" si="18"/>
        <v>CS</v>
      </c>
      <c r="L408" s="58" t="str">
        <f t="shared" si="19"/>
        <v>🟢</v>
      </c>
      <c r="M408" s="58"/>
      <c r="N408" s="58" t="s">
        <v>146</v>
      </c>
      <c r="O408" s="58" t="s">
        <v>147</v>
      </c>
      <c r="P408" s="58" t="s">
        <v>149</v>
      </c>
      <c r="Q408" s="58" t="s">
        <v>39</v>
      </c>
      <c r="R408" s="58" t="s">
        <v>14</v>
      </c>
      <c r="S408" s="58"/>
      <c r="T408" s="71">
        <f>IF(R408="","",IF(OR(R408="SUPORTE",R408="PERDA / FECHOU LOJA"),"SEM",A408+VLOOKUP(R408,REGRAS!$B$2:$C$13,2,FALSE())))</f>
        <v>46080</v>
      </c>
      <c r="U408" s="58" t="str">
        <f t="shared" si="20"/>
        <v>CS</v>
      </c>
      <c r="V408" s="58"/>
      <c r="W408" s="58" t="s">
        <v>146</v>
      </c>
      <c r="X408" s="58"/>
    </row>
    <row r="409" spans="1:24" x14ac:dyDescent="0.3">
      <c r="A409" s="71">
        <v>46078</v>
      </c>
      <c r="B409" s="58" t="s">
        <v>141</v>
      </c>
      <c r="C409" s="58" t="s">
        <v>1140</v>
      </c>
      <c r="D409" s="58" t="s">
        <v>1141</v>
      </c>
      <c r="E409" s="58" t="s">
        <v>366</v>
      </c>
      <c r="F409" s="58" t="s">
        <v>296</v>
      </c>
      <c r="G409" s="58" t="s">
        <v>74</v>
      </c>
      <c r="H409" s="58">
        <v>54</v>
      </c>
      <c r="I409" s="58" t="str">
        <f>IF(R409="","",VLOOKUP(R409,REGRAS!$B$2:$D$13,3,FALSE()))</f>
        <v>NÃO VENDA</v>
      </c>
      <c r="J409" s="58"/>
      <c r="K409" s="58" t="str">
        <f t="shared" si="18"/>
        <v>NUTRIÇÃO</v>
      </c>
      <c r="L409" s="58" t="str">
        <f t="shared" si="19"/>
        <v>🟡</v>
      </c>
      <c r="M409" s="58"/>
      <c r="N409" s="58" t="s">
        <v>146</v>
      </c>
      <c r="O409" s="58" t="s">
        <v>146</v>
      </c>
      <c r="P409" s="58" t="s">
        <v>146</v>
      </c>
      <c r="Q409" s="58" t="s">
        <v>45</v>
      </c>
      <c r="R409" s="58" t="s">
        <v>30</v>
      </c>
      <c r="S409" s="58" t="s">
        <v>53</v>
      </c>
      <c r="T409" s="71" t="str">
        <f>IF(R409="","",IF(OR(R409="SUPORTE",R409="PERDA / FECHOU LOJA"),"SEM",A409+VLOOKUP(R409,REGRAS!$B$2:$C$13,2,FALSE())))</f>
        <v>SEM</v>
      </c>
      <c r="U409" s="58" t="str">
        <f t="shared" si="20"/>
        <v>NUTRIÇÃO</v>
      </c>
      <c r="V409" s="58"/>
      <c r="W409" s="58" t="s">
        <v>147</v>
      </c>
      <c r="X409" s="58"/>
    </row>
    <row r="410" spans="1:24" x14ac:dyDescent="0.3">
      <c r="A410" s="71">
        <v>46055</v>
      </c>
      <c r="B410" s="58" t="s">
        <v>137</v>
      </c>
      <c r="C410" s="58" t="s">
        <v>1142</v>
      </c>
      <c r="D410" s="58" t="s">
        <v>1143</v>
      </c>
      <c r="E410" s="58" t="s">
        <v>335</v>
      </c>
      <c r="F410" s="58" t="s">
        <v>292</v>
      </c>
      <c r="G410" s="58" t="s">
        <v>82</v>
      </c>
      <c r="H410" s="58"/>
      <c r="I410" s="58" t="str">
        <f>IF(R410="","",VLOOKUP(R410,REGRAS!$B$2:$D$13,3,FALSE()))</f>
        <v>NÃO VENDA</v>
      </c>
      <c r="J410" s="58"/>
      <c r="K410" s="58" t="str">
        <f t="shared" si="18"/>
        <v>RECUPERAÇÃO</v>
      </c>
      <c r="L410" s="58" t="str">
        <f t="shared" si="19"/>
        <v/>
      </c>
      <c r="M410" s="58"/>
      <c r="N410" s="58" t="s">
        <v>147</v>
      </c>
      <c r="O410" s="58" t="s">
        <v>147</v>
      </c>
      <c r="P410" s="58" t="s">
        <v>149</v>
      </c>
      <c r="Q410" s="58" t="s">
        <v>45</v>
      </c>
      <c r="R410" s="58" t="s">
        <v>23</v>
      </c>
      <c r="S410" s="58" t="s">
        <v>49</v>
      </c>
      <c r="T410" s="71">
        <f>IF(R410="","",IF(OR(R410="SUPORTE",R410="PERDA / FECHOU LOJA"),"SEM",A410+VLOOKUP(R410,REGRAS!$B$2:$C$13,2,FALSE())))</f>
        <v>46056</v>
      </c>
      <c r="U410" s="58" t="str">
        <f t="shared" si="20"/>
        <v>REATIVAÇÃO</v>
      </c>
      <c r="V410" s="58"/>
      <c r="W410" s="58" t="s">
        <v>147</v>
      </c>
      <c r="X410" s="58"/>
    </row>
    <row r="411" spans="1:24" x14ac:dyDescent="0.3">
      <c r="A411" s="71">
        <v>46073</v>
      </c>
      <c r="B411" s="58" t="s">
        <v>135</v>
      </c>
      <c r="C411" s="58" t="s">
        <v>1144</v>
      </c>
      <c r="D411" s="58" t="s">
        <v>1145</v>
      </c>
      <c r="E411" s="58" t="s">
        <v>366</v>
      </c>
      <c r="F411" s="58" t="s">
        <v>292</v>
      </c>
      <c r="G411" s="58" t="s">
        <v>74</v>
      </c>
      <c r="H411" s="58">
        <v>52</v>
      </c>
      <c r="I411" s="58" t="str">
        <f>IF(R411="","",VLOOKUP(R411,REGRAS!$B$2:$D$13,3,FALSE()))</f>
        <v>FUNIL</v>
      </c>
      <c r="J411" s="58"/>
      <c r="K411" s="58" t="str">
        <f t="shared" si="18"/>
        <v>PROSPECÇÃO</v>
      </c>
      <c r="L411" s="58" t="str">
        <f t="shared" si="19"/>
        <v>🟡</v>
      </c>
      <c r="M411" s="58"/>
      <c r="N411" s="58" t="s">
        <v>146</v>
      </c>
      <c r="O411" s="58" t="s">
        <v>146</v>
      </c>
      <c r="P411" s="58" t="s">
        <v>147</v>
      </c>
      <c r="Q411" s="58" t="s">
        <v>39</v>
      </c>
      <c r="R411" s="58" t="s">
        <v>8</v>
      </c>
      <c r="S411" s="58"/>
      <c r="T411" s="71">
        <f>IF(R411="","",IF(OR(R411="SUPORTE",R411="PERDA / FECHOU LOJA"),"SEM",A411+VLOOKUP(R411,REGRAS!$B$2:$C$13,2,FALSE())))</f>
        <v>46074</v>
      </c>
      <c r="U411" s="58" t="str">
        <f t="shared" si="20"/>
        <v>PROSPECÇÃO</v>
      </c>
      <c r="V411" s="58"/>
      <c r="W411" s="58" t="s">
        <v>147</v>
      </c>
      <c r="X411" s="58"/>
    </row>
    <row r="412" spans="1:24" x14ac:dyDescent="0.3">
      <c r="A412" s="71">
        <v>46062</v>
      </c>
      <c r="B412" s="58" t="s">
        <v>135</v>
      </c>
      <c r="C412" s="58" t="s">
        <v>1146</v>
      </c>
      <c r="D412" s="58" t="s">
        <v>1147</v>
      </c>
      <c r="E412" s="58" t="s">
        <v>366</v>
      </c>
      <c r="F412" s="58" t="s">
        <v>292</v>
      </c>
      <c r="G412" s="58" t="s">
        <v>79</v>
      </c>
      <c r="H412" s="58">
        <v>293</v>
      </c>
      <c r="I412" s="58" t="str">
        <f>IF(R412="","",VLOOKUP(R412,REGRAS!$B$2:$D$13,3,FALSE()))</f>
        <v>NÃO VENDA</v>
      </c>
      <c r="J412" s="58"/>
      <c r="K412" s="58" t="str">
        <f t="shared" si="18"/>
        <v>RECUPERAÇÃO</v>
      </c>
      <c r="L412" s="58" t="str">
        <f t="shared" si="19"/>
        <v>🔴</v>
      </c>
      <c r="M412" s="58"/>
      <c r="N412" s="58" t="s">
        <v>147</v>
      </c>
      <c r="O412" s="58" t="s">
        <v>147</v>
      </c>
      <c r="P412" s="58" t="s">
        <v>149</v>
      </c>
      <c r="Q412" s="58" t="s">
        <v>33</v>
      </c>
      <c r="R412" s="58" t="s">
        <v>28</v>
      </c>
      <c r="S412" s="58" t="s">
        <v>55</v>
      </c>
      <c r="T412" s="71">
        <f>IF(R412="","",IF(OR(R412="SUPORTE",R412="PERDA / FECHOU LOJA"),"SEM",A412+VLOOKUP(R412,REGRAS!$B$2:$C$13,2,FALSE())))</f>
        <v>46064</v>
      </c>
      <c r="U412" s="58" t="str">
        <f t="shared" si="20"/>
        <v>REATIVAÇÃO</v>
      </c>
      <c r="V412" s="58"/>
      <c r="W412" s="58" t="s">
        <v>146</v>
      </c>
      <c r="X412" s="58"/>
    </row>
    <row r="413" spans="1:24" x14ac:dyDescent="0.3">
      <c r="A413" s="71">
        <v>46080</v>
      </c>
      <c r="B413" s="58" t="s">
        <v>135</v>
      </c>
      <c r="C413" s="58" t="s">
        <v>1148</v>
      </c>
      <c r="D413" s="58" t="s">
        <v>1149</v>
      </c>
      <c r="E413" s="58" t="s">
        <v>366</v>
      </c>
      <c r="F413" s="58" t="s">
        <v>296</v>
      </c>
      <c r="G413" s="58" t="s">
        <v>82</v>
      </c>
      <c r="H413" s="58"/>
      <c r="I413" s="58" t="str">
        <f>IF(R413="","",VLOOKUP(R413,REGRAS!$B$2:$D$13,3,FALSE()))</f>
        <v>NÃO VENDA</v>
      </c>
      <c r="J413" s="58"/>
      <c r="K413" s="58" t="str">
        <f t="shared" si="18"/>
        <v>RECUPERAÇÃO</v>
      </c>
      <c r="L413" s="58" t="str">
        <f t="shared" si="19"/>
        <v/>
      </c>
      <c r="M413" s="58"/>
      <c r="N413" s="58" t="s">
        <v>146</v>
      </c>
      <c r="O413" s="58" t="s">
        <v>146</v>
      </c>
      <c r="P413" s="58" t="s">
        <v>147</v>
      </c>
      <c r="Q413" s="58" t="s">
        <v>41</v>
      </c>
      <c r="R413" s="58" t="s">
        <v>26</v>
      </c>
      <c r="S413" s="58" t="s">
        <v>57</v>
      </c>
      <c r="T413" s="71">
        <f>IF(R413="","",IF(OR(R413="SUPORTE",R413="PERDA / FECHOU LOJA"),"SEM",A413+VLOOKUP(R413,REGRAS!$B$2:$C$13,2,FALSE())))</f>
        <v>46081</v>
      </c>
      <c r="U413" s="58" t="str">
        <f t="shared" si="20"/>
        <v>REATIVAÇÃO</v>
      </c>
      <c r="V413" s="58"/>
      <c r="W413" s="58" t="s">
        <v>147</v>
      </c>
      <c r="X413" s="58"/>
    </row>
    <row r="414" spans="1:24" x14ac:dyDescent="0.3">
      <c r="A414" s="71">
        <v>46058</v>
      </c>
      <c r="B414" s="58" t="s">
        <v>135</v>
      </c>
      <c r="C414" s="58" t="s">
        <v>1150</v>
      </c>
      <c r="D414" s="58" t="s">
        <v>1151</v>
      </c>
      <c r="E414" s="58" t="s">
        <v>332</v>
      </c>
      <c r="F414" s="58" t="s">
        <v>298</v>
      </c>
      <c r="G414" s="58" t="s">
        <v>85</v>
      </c>
      <c r="H414" s="58"/>
      <c r="I414" s="58" t="str">
        <f>IF(R414="","",VLOOKUP(R414,REGRAS!$B$2:$D$13,3,FALSE()))</f>
        <v>FUNIL</v>
      </c>
      <c r="J414" s="58"/>
      <c r="K414" s="58" t="str">
        <f t="shared" si="18"/>
        <v>RECOMPRA</v>
      </c>
      <c r="L414" s="58" t="str">
        <f t="shared" si="19"/>
        <v/>
      </c>
      <c r="M414" s="58"/>
      <c r="N414" s="58" t="s">
        <v>147</v>
      </c>
      <c r="O414" s="58" t="s">
        <v>147</v>
      </c>
      <c r="P414" s="58" t="s">
        <v>149</v>
      </c>
      <c r="Q414" s="58" t="s">
        <v>43</v>
      </c>
      <c r="R414" s="58" t="s">
        <v>12</v>
      </c>
      <c r="S414" s="58"/>
      <c r="T414" s="71">
        <f>IF(R414="","",IF(OR(R414="SUPORTE",R414="PERDA / FECHOU LOJA"),"SEM",A414+VLOOKUP(R414,REGRAS!$B$2:$C$13,2,FALSE())))</f>
        <v>46103</v>
      </c>
      <c r="U414" s="58" t="str">
        <f t="shared" si="20"/>
        <v>RECOMPRA</v>
      </c>
      <c r="V414" s="58"/>
      <c r="W414" s="58" t="s">
        <v>147</v>
      </c>
      <c r="X414" s="58"/>
    </row>
    <row r="415" spans="1:24" x14ac:dyDescent="0.3">
      <c r="A415" s="71">
        <v>46064</v>
      </c>
      <c r="B415" s="58" t="s">
        <v>137</v>
      </c>
      <c r="C415" s="58" t="s">
        <v>1152</v>
      </c>
      <c r="D415" s="58" t="s">
        <v>1153</v>
      </c>
      <c r="E415" s="58" t="s">
        <v>332</v>
      </c>
      <c r="F415" s="58" t="s">
        <v>286</v>
      </c>
      <c r="G415" s="58" t="s">
        <v>71</v>
      </c>
      <c r="H415" s="58">
        <v>29</v>
      </c>
      <c r="I415" s="58" t="str">
        <f>IF(R415="","",VLOOKUP(R415,REGRAS!$B$2:$D$13,3,FALSE()))</f>
        <v>RELAC.</v>
      </c>
      <c r="J415" s="58"/>
      <c r="K415" s="58" t="str">
        <f t="shared" si="18"/>
        <v>SALVAMENTO</v>
      </c>
      <c r="L415" s="58" t="str">
        <f t="shared" si="19"/>
        <v>🟢</v>
      </c>
      <c r="M415" s="58"/>
      <c r="N415" s="58" t="s">
        <v>146</v>
      </c>
      <c r="O415" s="58" t="s">
        <v>147</v>
      </c>
      <c r="P415" s="58" t="s">
        <v>149</v>
      </c>
      <c r="Q415" s="58" t="s">
        <v>45</v>
      </c>
      <c r="R415" s="58" t="s">
        <v>19</v>
      </c>
      <c r="S415" s="58" t="s">
        <v>64</v>
      </c>
      <c r="T415" s="71">
        <f>IF(R415="","",IF(OR(R415="SUPORTE",R415="PERDA / FECHOU LOJA"),"SEM",A415+VLOOKUP(R415,REGRAS!$B$2:$C$13,2,FALSE())))</f>
        <v>46079</v>
      </c>
      <c r="U415" s="58" t="str">
        <f t="shared" si="20"/>
        <v>SALVAMENTO</v>
      </c>
      <c r="V415" s="58"/>
      <c r="W415" s="58" t="s">
        <v>146</v>
      </c>
      <c r="X415" s="58"/>
    </row>
    <row r="416" spans="1:24" x14ac:dyDescent="0.3">
      <c r="A416" s="71">
        <v>46074</v>
      </c>
      <c r="B416" s="58" t="s">
        <v>135</v>
      </c>
      <c r="C416" s="58" t="s">
        <v>921</v>
      </c>
      <c r="D416" s="58" t="s">
        <v>1154</v>
      </c>
      <c r="E416" s="58" t="s">
        <v>376</v>
      </c>
      <c r="F416" s="58" t="s">
        <v>286</v>
      </c>
      <c r="G416" s="58" t="s">
        <v>71</v>
      </c>
      <c r="H416" s="58">
        <v>10</v>
      </c>
      <c r="I416" s="58" t="str">
        <f>IF(R416="","",VLOOKUP(R416,REGRAS!$B$2:$D$13,3,FALSE()))</f>
        <v>NÃO VENDA</v>
      </c>
      <c r="J416" s="58"/>
      <c r="K416" s="58" t="str">
        <f t="shared" si="18"/>
        <v>NUTRIÇÃO</v>
      </c>
      <c r="L416" s="58" t="str">
        <f t="shared" si="19"/>
        <v>🟢</v>
      </c>
      <c r="M416" s="58"/>
      <c r="N416" s="58" t="s">
        <v>146</v>
      </c>
      <c r="O416" s="58" t="s">
        <v>146</v>
      </c>
      <c r="P416" s="58" t="s">
        <v>146</v>
      </c>
      <c r="Q416" s="58" t="s">
        <v>45</v>
      </c>
      <c r="R416" s="58" t="s">
        <v>30</v>
      </c>
      <c r="S416" s="58" t="s">
        <v>61</v>
      </c>
      <c r="T416" s="71" t="str">
        <f>IF(R416="","",IF(OR(R416="SUPORTE",R416="PERDA / FECHOU LOJA"),"SEM",A416+VLOOKUP(R416,REGRAS!$B$2:$C$13,2,FALSE())))</f>
        <v>SEM</v>
      </c>
      <c r="U416" s="58" t="str">
        <f t="shared" si="20"/>
        <v>NUTRIÇÃO</v>
      </c>
      <c r="V416" s="58"/>
      <c r="W416" s="58" t="s">
        <v>147</v>
      </c>
      <c r="X416" s="58"/>
    </row>
    <row r="417" spans="1:24" x14ac:dyDescent="0.3">
      <c r="A417" s="71">
        <v>46080</v>
      </c>
      <c r="B417" s="58" t="s">
        <v>139</v>
      </c>
      <c r="C417" s="58" t="s">
        <v>1155</v>
      </c>
      <c r="D417" s="58" t="s">
        <v>1156</v>
      </c>
      <c r="E417" s="58" t="s">
        <v>340</v>
      </c>
      <c r="F417" s="58" t="s">
        <v>286</v>
      </c>
      <c r="G417" s="58" t="s">
        <v>74</v>
      </c>
      <c r="H417" s="58">
        <v>54</v>
      </c>
      <c r="I417" s="58" t="str">
        <f>IF(R417="","",VLOOKUP(R417,REGRAS!$B$2:$D$13,3,FALSE()))</f>
        <v>NÃO VENDA</v>
      </c>
      <c r="J417" s="58"/>
      <c r="K417" s="58" t="str">
        <f t="shared" si="18"/>
        <v>RECUPERAÇÃO</v>
      </c>
      <c r="L417" s="58" t="str">
        <f t="shared" si="19"/>
        <v>🟡</v>
      </c>
      <c r="M417" s="58"/>
      <c r="N417" s="58" t="s">
        <v>146</v>
      </c>
      <c r="O417" s="58" t="s">
        <v>147</v>
      </c>
      <c r="P417" s="58" t="s">
        <v>149</v>
      </c>
      <c r="Q417" s="58" t="s">
        <v>39</v>
      </c>
      <c r="R417" s="58" t="s">
        <v>23</v>
      </c>
      <c r="S417" s="58" t="s">
        <v>53</v>
      </c>
      <c r="T417" s="71">
        <f>IF(R417="","",IF(OR(R417="SUPORTE",R417="PERDA / FECHOU LOJA"),"SEM",A417+VLOOKUP(R417,REGRAS!$B$2:$C$13,2,FALSE())))</f>
        <v>46081</v>
      </c>
      <c r="U417" s="58" t="str">
        <f t="shared" si="20"/>
        <v>REATIVAÇÃO</v>
      </c>
      <c r="V417" s="58"/>
      <c r="W417" s="58" t="s">
        <v>146</v>
      </c>
      <c r="X417" s="58"/>
    </row>
    <row r="418" spans="1:24" x14ac:dyDescent="0.3">
      <c r="A418" s="71">
        <v>46058</v>
      </c>
      <c r="B418" s="58" t="s">
        <v>135</v>
      </c>
      <c r="C418" s="58" t="s">
        <v>1157</v>
      </c>
      <c r="D418" s="58" t="s">
        <v>1158</v>
      </c>
      <c r="E418" s="58" t="s">
        <v>335</v>
      </c>
      <c r="F418" s="58" t="s">
        <v>298</v>
      </c>
      <c r="G418" s="58" t="s">
        <v>71</v>
      </c>
      <c r="H418" s="58">
        <v>13</v>
      </c>
      <c r="I418" s="58" t="str">
        <f>IF(R418="","",VLOOKUP(R418,REGRAS!$B$2:$D$13,3,FALSE()))</f>
        <v>FUNIL</v>
      </c>
      <c r="J418" s="58"/>
      <c r="K418" s="58" t="str">
        <f t="shared" si="18"/>
        <v>PROSPECÇÃO</v>
      </c>
      <c r="L418" s="58" t="str">
        <f t="shared" si="19"/>
        <v>🟢</v>
      </c>
      <c r="M418" s="58"/>
      <c r="N418" s="58" t="s">
        <v>146</v>
      </c>
      <c r="O418" s="58" t="s">
        <v>146</v>
      </c>
      <c r="P418" s="58" t="s">
        <v>146</v>
      </c>
      <c r="Q418" s="58" t="s">
        <v>43</v>
      </c>
      <c r="R418" s="58" t="s">
        <v>8</v>
      </c>
      <c r="S418" s="58"/>
      <c r="T418" s="71">
        <f>IF(R418="","",IF(OR(R418="SUPORTE",R418="PERDA / FECHOU LOJA"),"SEM",A418+VLOOKUP(R418,REGRAS!$B$2:$C$13,2,FALSE())))</f>
        <v>46059</v>
      </c>
      <c r="U418" s="58" t="str">
        <f t="shared" si="20"/>
        <v>PROSPECÇÃO</v>
      </c>
      <c r="V418" s="58"/>
      <c r="W418" s="58" t="s">
        <v>146</v>
      </c>
      <c r="X418" s="58"/>
    </row>
    <row r="419" spans="1:24" x14ac:dyDescent="0.3">
      <c r="A419" s="71">
        <v>46073</v>
      </c>
      <c r="B419" s="58" t="s">
        <v>135</v>
      </c>
      <c r="C419" s="58" t="s">
        <v>1159</v>
      </c>
      <c r="D419" s="58" t="s">
        <v>1160</v>
      </c>
      <c r="E419" s="58" t="s">
        <v>381</v>
      </c>
      <c r="F419" s="58" t="s">
        <v>292</v>
      </c>
      <c r="G419" s="58" t="s">
        <v>85</v>
      </c>
      <c r="H419" s="58"/>
      <c r="I419" s="58" t="str">
        <f>IF(R419="","",VLOOKUP(R419,REGRAS!$B$2:$D$13,3,FALSE()))</f>
        <v>NÃO VENDA</v>
      </c>
      <c r="J419" s="58"/>
      <c r="K419" s="58" t="str">
        <f t="shared" si="18"/>
        <v>RECUPERAÇÃO</v>
      </c>
      <c r="L419" s="58" t="str">
        <f t="shared" si="19"/>
        <v/>
      </c>
      <c r="M419" s="58"/>
      <c r="N419" s="58" t="s">
        <v>147</v>
      </c>
      <c r="O419" s="58" t="s">
        <v>146</v>
      </c>
      <c r="P419" s="58" t="s">
        <v>146</v>
      </c>
      <c r="Q419" s="58" t="s">
        <v>45</v>
      </c>
      <c r="R419" s="58" t="s">
        <v>26</v>
      </c>
      <c r="S419" s="58" t="s">
        <v>57</v>
      </c>
      <c r="T419" s="71">
        <f>IF(R419="","",IF(OR(R419="SUPORTE",R419="PERDA / FECHOU LOJA"),"SEM",A419+VLOOKUP(R419,REGRAS!$B$2:$C$13,2,FALSE())))</f>
        <v>46074</v>
      </c>
      <c r="U419" s="58" t="str">
        <f t="shared" si="20"/>
        <v>REATIVAÇÃO</v>
      </c>
      <c r="V419" s="58"/>
      <c r="W419" s="58" t="s">
        <v>146</v>
      </c>
      <c r="X419" s="58"/>
    </row>
    <row r="420" spans="1:24" x14ac:dyDescent="0.3">
      <c r="A420" s="71">
        <v>46066</v>
      </c>
      <c r="B420" s="58" t="s">
        <v>139</v>
      </c>
      <c r="C420" s="58" t="s">
        <v>1161</v>
      </c>
      <c r="D420" s="58" t="s">
        <v>1162</v>
      </c>
      <c r="E420" s="58" t="s">
        <v>376</v>
      </c>
      <c r="F420" s="58" t="s">
        <v>292</v>
      </c>
      <c r="G420" s="58" t="s">
        <v>82</v>
      </c>
      <c r="H420" s="58"/>
      <c r="I420" s="58" t="str">
        <f>IF(R420="","",VLOOKUP(R420,REGRAS!$B$2:$D$13,3,FALSE()))</f>
        <v>FUNIL</v>
      </c>
      <c r="J420" s="58"/>
      <c r="K420" s="58" t="str">
        <f t="shared" si="18"/>
        <v>PROSPECÇÃO</v>
      </c>
      <c r="L420" s="58" t="str">
        <f t="shared" si="19"/>
        <v/>
      </c>
      <c r="M420" s="58"/>
      <c r="N420" s="58" t="s">
        <v>146</v>
      </c>
      <c r="O420" s="58" t="s">
        <v>146</v>
      </c>
      <c r="P420" s="58" t="s">
        <v>146</v>
      </c>
      <c r="Q420" s="58" t="s">
        <v>33</v>
      </c>
      <c r="R420" s="58" t="s">
        <v>8</v>
      </c>
      <c r="S420" s="58"/>
      <c r="T420" s="71">
        <f>IF(R420="","",IF(OR(R420="SUPORTE",R420="PERDA / FECHOU LOJA"),"SEM",A420+VLOOKUP(R420,REGRAS!$B$2:$C$13,2,FALSE())))</f>
        <v>46067</v>
      </c>
      <c r="U420" s="58" t="str">
        <f t="shared" si="20"/>
        <v>PROSPECÇÃO</v>
      </c>
      <c r="V420" s="58"/>
      <c r="W420" s="58" t="s">
        <v>146</v>
      </c>
      <c r="X420" s="58"/>
    </row>
    <row r="421" spans="1:24" x14ac:dyDescent="0.3">
      <c r="A421" s="71">
        <v>46058</v>
      </c>
      <c r="B421" s="58" t="s">
        <v>137</v>
      </c>
      <c r="C421" s="58" t="s">
        <v>1163</v>
      </c>
      <c r="D421" s="58" t="s">
        <v>1164</v>
      </c>
      <c r="E421" s="58" t="s">
        <v>346</v>
      </c>
      <c r="F421" s="58" t="s">
        <v>292</v>
      </c>
      <c r="G421" s="58" t="s">
        <v>77</v>
      </c>
      <c r="H421" s="58">
        <v>74</v>
      </c>
      <c r="I421" s="58" t="str">
        <f>IF(R421="","",VLOOKUP(R421,REGRAS!$B$2:$D$13,3,FALSE()))</f>
        <v>RELAC.</v>
      </c>
      <c r="J421" s="58"/>
      <c r="K421" s="58" t="str">
        <f t="shared" si="18"/>
        <v>SALVAMENTO</v>
      </c>
      <c r="L421" s="58" t="str">
        <f t="shared" si="19"/>
        <v>🟡</v>
      </c>
      <c r="M421" s="58"/>
      <c r="N421" s="58" t="s">
        <v>147</v>
      </c>
      <c r="O421" s="58" t="s">
        <v>147</v>
      </c>
      <c r="P421" s="58" t="s">
        <v>149</v>
      </c>
      <c r="Q421" s="58" t="s">
        <v>43</v>
      </c>
      <c r="R421" s="58" t="s">
        <v>17</v>
      </c>
      <c r="S421" s="58" t="s">
        <v>49</v>
      </c>
      <c r="T421" s="71">
        <f>IF(R421="","",IF(OR(R421="SUPORTE",R421="PERDA / FECHOU LOJA"),"SEM",A421+VLOOKUP(R421,REGRAS!$B$2:$C$13,2,FALSE())))</f>
        <v>46065</v>
      </c>
      <c r="U421" s="58" t="str">
        <f t="shared" si="20"/>
        <v>SALVAMENTO</v>
      </c>
      <c r="V421" s="58"/>
      <c r="W421" s="58" t="s">
        <v>147</v>
      </c>
      <c r="X421" s="58"/>
    </row>
    <row r="422" spans="1:24" x14ac:dyDescent="0.3">
      <c r="A422" s="71">
        <v>46075</v>
      </c>
      <c r="B422" s="58" t="s">
        <v>139</v>
      </c>
      <c r="C422" s="58" t="s">
        <v>1165</v>
      </c>
      <c r="D422" s="58" t="s">
        <v>1166</v>
      </c>
      <c r="E422" s="58" t="s">
        <v>332</v>
      </c>
      <c r="F422" s="58" t="s">
        <v>295</v>
      </c>
      <c r="G422" s="58" t="s">
        <v>79</v>
      </c>
      <c r="H422" s="58">
        <v>202</v>
      </c>
      <c r="I422" s="58" t="str">
        <f>IF(R422="","",VLOOKUP(R422,REGRAS!$B$2:$D$13,3,FALSE()))</f>
        <v>NÃO VENDA</v>
      </c>
      <c r="J422" s="58"/>
      <c r="K422" s="58" t="str">
        <f t="shared" si="18"/>
        <v>RECUPERAÇÃO</v>
      </c>
      <c r="L422" s="58" t="str">
        <f t="shared" si="19"/>
        <v>🔴</v>
      </c>
      <c r="M422" s="58"/>
      <c r="N422" s="58" t="s">
        <v>146</v>
      </c>
      <c r="O422" s="58" t="s">
        <v>146</v>
      </c>
      <c r="P422" s="58" t="s">
        <v>147</v>
      </c>
      <c r="Q422" s="58" t="s">
        <v>33</v>
      </c>
      <c r="R422" s="58" t="s">
        <v>28</v>
      </c>
      <c r="S422" s="58" t="s">
        <v>57</v>
      </c>
      <c r="T422" s="71">
        <f>IF(R422="","",IF(OR(R422="SUPORTE",R422="PERDA / FECHOU LOJA"),"SEM",A422+VLOOKUP(R422,REGRAS!$B$2:$C$13,2,FALSE())))</f>
        <v>46077</v>
      </c>
      <c r="U422" s="58" t="str">
        <f t="shared" si="20"/>
        <v>REATIVAÇÃO</v>
      </c>
      <c r="V422" s="58"/>
      <c r="W422" s="58" t="s">
        <v>146</v>
      </c>
      <c r="X422" s="58"/>
    </row>
    <row r="423" spans="1:24" x14ac:dyDescent="0.3">
      <c r="A423" s="71">
        <v>46057</v>
      </c>
      <c r="B423" s="58" t="s">
        <v>141</v>
      </c>
      <c r="C423" s="58" t="s">
        <v>1167</v>
      </c>
      <c r="D423" s="58" t="s">
        <v>1168</v>
      </c>
      <c r="E423" s="58" t="s">
        <v>346</v>
      </c>
      <c r="F423" s="58" t="s">
        <v>292</v>
      </c>
      <c r="G423" s="58" t="s">
        <v>82</v>
      </c>
      <c r="H423" s="58"/>
      <c r="I423" s="58" t="str">
        <f>IF(R423="","",VLOOKUP(R423,REGRAS!$B$2:$D$13,3,FALSE()))</f>
        <v>RELAC.</v>
      </c>
      <c r="J423" s="58"/>
      <c r="K423" s="58" t="str">
        <f t="shared" si="18"/>
        <v>SALVAMENTO</v>
      </c>
      <c r="L423" s="58" t="str">
        <f t="shared" si="19"/>
        <v/>
      </c>
      <c r="M423" s="58"/>
      <c r="N423" s="58" t="s">
        <v>146</v>
      </c>
      <c r="O423" s="58" t="s">
        <v>147</v>
      </c>
      <c r="P423" s="58" t="s">
        <v>149</v>
      </c>
      <c r="Q423" s="58" t="s">
        <v>39</v>
      </c>
      <c r="R423" s="58" t="s">
        <v>19</v>
      </c>
      <c r="S423" s="58" t="s">
        <v>49</v>
      </c>
      <c r="T423" s="71">
        <f>IF(R423="","",IF(OR(R423="SUPORTE",R423="PERDA / FECHOU LOJA"),"SEM",A423+VLOOKUP(R423,REGRAS!$B$2:$C$13,2,FALSE())))</f>
        <v>46072</v>
      </c>
      <c r="U423" s="58" t="str">
        <f t="shared" si="20"/>
        <v>SALVAMENTO</v>
      </c>
      <c r="V423" s="58"/>
      <c r="W423" s="58" t="s">
        <v>147</v>
      </c>
      <c r="X423" s="58"/>
    </row>
    <row r="424" spans="1:24" x14ac:dyDescent="0.3">
      <c r="A424" s="71">
        <v>46059</v>
      </c>
      <c r="B424" s="58" t="s">
        <v>137</v>
      </c>
      <c r="C424" s="58" t="s">
        <v>1169</v>
      </c>
      <c r="D424" s="58" t="s">
        <v>1170</v>
      </c>
      <c r="E424" s="58" t="s">
        <v>366</v>
      </c>
      <c r="F424" s="58" t="s">
        <v>292</v>
      </c>
      <c r="G424" s="58" t="s">
        <v>71</v>
      </c>
      <c r="H424" s="58">
        <v>28</v>
      </c>
      <c r="I424" s="58" t="str">
        <f>IF(R424="","",VLOOKUP(R424,REGRAS!$B$2:$D$13,3,FALSE()))</f>
        <v>NÃO VENDA</v>
      </c>
      <c r="J424" s="58"/>
      <c r="K424" s="58" t="str">
        <f t="shared" si="18"/>
        <v>RECUPERAÇÃO</v>
      </c>
      <c r="L424" s="58" t="str">
        <f t="shared" si="19"/>
        <v>🟢</v>
      </c>
      <c r="M424" s="58"/>
      <c r="N424" s="58" t="s">
        <v>147</v>
      </c>
      <c r="O424" s="58" t="s">
        <v>146</v>
      </c>
      <c r="P424" s="58" t="s">
        <v>146</v>
      </c>
      <c r="Q424" s="58" t="s">
        <v>39</v>
      </c>
      <c r="R424" s="58" t="s">
        <v>23</v>
      </c>
      <c r="S424" s="58" t="s">
        <v>64</v>
      </c>
      <c r="T424" s="71">
        <f>IF(R424="","",IF(OR(R424="SUPORTE",R424="PERDA / FECHOU LOJA"),"SEM",A424+VLOOKUP(R424,REGRAS!$B$2:$C$13,2,FALSE())))</f>
        <v>46060</v>
      </c>
      <c r="U424" s="58" t="str">
        <f t="shared" si="20"/>
        <v>REATIVAÇÃO</v>
      </c>
      <c r="V424" s="58"/>
      <c r="W424" s="58" t="s">
        <v>147</v>
      </c>
      <c r="X424" s="58"/>
    </row>
    <row r="425" spans="1:24" x14ac:dyDescent="0.3">
      <c r="A425" s="71">
        <v>46068</v>
      </c>
      <c r="B425" s="58" t="s">
        <v>139</v>
      </c>
      <c r="C425" s="58" t="s">
        <v>1171</v>
      </c>
      <c r="D425" s="58" t="s">
        <v>1172</v>
      </c>
      <c r="E425" s="58" t="s">
        <v>335</v>
      </c>
      <c r="F425" s="58" t="s">
        <v>298</v>
      </c>
      <c r="G425" s="58" t="s">
        <v>85</v>
      </c>
      <c r="H425" s="58"/>
      <c r="I425" s="58" t="str">
        <f>IF(R425="","",VLOOKUP(R425,REGRAS!$B$2:$D$13,3,FALSE()))</f>
        <v>FUNIL</v>
      </c>
      <c r="J425" s="58"/>
      <c r="K425" s="58" t="str">
        <f t="shared" si="18"/>
        <v>EM ATENDIMENTO</v>
      </c>
      <c r="L425" s="58" t="str">
        <f t="shared" si="19"/>
        <v/>
      </c>
      <c r="M425" s="58"/>
      <c r="N425" s="58" t="s">
        <v>147</v>
      </c>
      <c r="O425" s="58" t="s">
        <v>146</v>
      </c>
      <c r="P425" s="58" t="s">
        <v>147</v>
      </c>
      <c r="Q425" s="58" t="s">
        <v>45</v>
      </c>
      <c r="R425" s="58" t="s">
        <v>5</v>
      </c>
      <c r="S425" s="58"/>
      <c r="T425" s="71">
        <f>IF(R425="","",IF(OR(R425="SUPORTE",R425="PERDA / FECHOU LOJA"),"SEM",A425+VLOOKUP(R425,REGRAS!$B$2:$C$13,2,FALSE())))</f>
        <v>46070</v>
      </c>
      <c r="U425" s="58" t="str">
        <f t="shared" si="20"/>
        <v>PROSPECÇÃO</v>
      </c>
      <c r="V425" s="58"/>
      <c r="W425" s="58" t="s">
        <v>147</v>
      </c>
      <c r="X425" s="58"/>
    </row>
    <row r="426" spans="1:24" x14ac:dyDescent="0.3">
      <c r="A426" s="71">
        <v>46063</v>
      </c>
      <c r="B426" s="58" t="s">
        <v>135</v>
      </c>
      <c r="C426" s="58" t="s">
        <v>1173</v>
      </c>
      <c r="D426" s="58" t="s">
        <v>1174</v>
      </c>
      <c r="E426" s="58" t="s">
        <v>366</v>
      </c>
      <c r="F426" s="58" t="s">
        <v>289</v>
      </c>
      <c r="G426" s="58" t="s">
        <v>85</v>
      </c>
      <c r="H426" s="58"/>
      <c r="I426" s="58" t="str">
        <f>IF(R426="","",VLOOKUP(R426,REGRAS!$B$2:$D$13,3,FALSE()))</f>
        <v>RELAC.</v>
      </c>
      <c r="J426" s="58"/>
      <c r="K426" s="58" t="str">
        <f t="shared" si="18"/>
        <v>CS</v>
      </c>
      <c r="L426" s="58" t="str">
        <f t="shared" si="19"/>
        <v/>
      </c>
      <c r="M426" s="58"/>
      <c r="N426" s="58" t="s">
        <v>147</v>
      </c>
      <c r="O426" s="58" t="s">
        <v>146</v>
      </c>
      <c r="P426" s="58" t="s">
        <v>147</v>
      </c>
      <c r="Q426" s="58" t="s">
        <v>43</v>
      </c>
      <c r="R426" s="58" t="s">
        <v>14</v>
      </c>
      <c r="S426" s="58"/>
      <c r="T426" s="71">
        <f>IF(R426="","",IF(OR(R426="SUPORTE",R426="PERDA / FECHOU LOJA"),"SEM",A426+VLOOKUP(R426,REGRAS!$B$2:$C$13,2,FALSE())))</f>
        <v>46070</v>
      </c>
      <c r="U426" s="58" t="str">
        <f t="shared" si="20"/>
        <v>CS</v>
      </c>
      <c r="V426" s="58"/>
      <c r="W426" s="58" t="s">
        <v>146</v>
      </c>
      <c r="X426" s="58"/>
    </row>
    <row r="427" spans="1:24" x14ac:dyDescent="0.3">
      <c r="A427" s="71">
        <v>46078</v>
      </c>
      <c r="B427" s="58" t="s">
        <v>141</v>
      </c>
      <c r="C427" s="58" t="s">
        <v>1167</v>
      </c>
      <c r="D427" s="58" t="s">
        <v>1175</v>
      </c>
      <c r="E427" s="58" t="s">
        <v>381</v>
      </c>
      <c r="F427" s="58" t="s">
        <v>296</v>
      </c>
      <c r="G427" s="58" t="s">
        <v>74</v>
      </c>
      <c r="H427" s="58">
        <v>52</v>
      </c>
      <c r="I427" s="58" t="str">
        <f>IF(R427="","",VLOOKUP(R427,REGRAS!$B$2:$D$13,3,FALSE()))</f>
        <v>RELAC.</v>
      </c>
      <c r="J427" s="58"/>
      <c r="K427" s="58" t="str">
        <f t="shared" si="18"/>
        <v>SALVAMENTO</v>
      </c>
      <c r="L427" s="58" t="str">
        <f t="shared" si="19"/>
        <v>🟡</v>
      </c>
      <c r="M427" s="58"/>
      <c r="N427" s="58" t="s">
        <v>146</v>
      </c>
      <c r="O427" s="58" t="s">
        <v>147</v>
      </c>
      <c r="P427" s="58" t="s">
        <v>149</v>
      </c>
      <c r="Q427" s="58" t="s">
        <v>43</v>
      </c>
      <c r="R427" s="58" t="s">
        <v>19</v>
      </c>
      <c r="S427" s="58" t="s">
        <v>55</v>
      </c>
      <c r="T427" s="71">
        <f>IF(R427="","",IF(OR(R427="SUPORTE",R427="PERDA / FECHOU LOJA"),"SEM",A427+VLOOKUP(R427,REGRAS!$B$2:$C$13,2,FALSE())))</f>
        <v>46093</v>
      </c>
      <c r="U427" s="58" t="str">
        <f t="shared" si="20"/>
        <v>SALVAMENTO</v>
      </c>
      <c r="V427" s="58"/>
      <c r="W427" s="58" t="s">
        <v>146</v>
      </c>
      <c r="X427" s="58"/>
    </row>
    <row r="428" spans="1:24" x14ac:dyDescent="0.3">
      <c r="A428" s="71">
        <v>46067</v>
      </c>
      <c r="B428" s="58" t="s">
        <v>135</v>
      </c>
      <c r="C428" s="58" t="s">
        <v>1176</v>
      </c>
      <c r="D428" s="58" t="s">
        <v>1177</v>
      </c>
      <c r="E428" s="58" t="s">
        <v>332</v>
      </c>
      <c r="F428" s="58" t="s">
        <v>295</v>
      </c>
      <c r="G428" s="58" t="s">
        <v>74</v>
      </c>
      <c r="H428" s="58">
        <v>54</v>
      </c>
      <c r="I428" s="58" t="str">
        <f>IF(R428="","",VLOOKUP(R428,REGRAS!$B$2:$D$13,3,FALSE()))</f>
        <v>FUNIL</v>
      </c>
      <c r="J428" s="58"/>
      <c r="K428" s="58" t="str">
        <f t="shared" si="18"/>
        <v>PROSPECÇÃO</v>
      </c>
      <c r="L428" s="58" t="str">
        <f t="shared" si="19"/>
        <v>🟡</v>
      </c>
      <c r="M428" s="58"/>
      <c r="N428" s="58" t="s">
        <v>147</v>
      </c>
      <c r="O428" s="58" t="s">
        <v>147</v>
      </c>
      <c r="P428" s="58" t="s">
        <v>149</v>
      </c>
      <c r="Q428" s="58" t="s">
        <v>41</v>
      </c>
      <c r="R428" s="58" t="s">
        <v>10</v>
      </c>
      <c r="S428" s="58"/>
      <c r="T428" s="71">
        <f>IF(R428="","",IF(OR(R428="SUPORTE",R428="PERDA / FECHOU LOJA"),"SEM",A428+VLOOKUP(R428,REGRAS!$B$2:$C$13,2,FALSE())))</f>
        <v>46069</v>
      </c>
      <c r="U428" s="58" t="str">
        <f t="shared" si="20"/>
        <v>PROSPECÇÃO</v>
      </c>
      <c r="V428" s="58"/>
      <c r="W428" s="58" t="s">
        <v>146</v>
      </c>
      <c r="X428" s="58"/>
    </row>
    <row r="429" spans="1:24" x14ac:dyDescent="0.3">
      <c r="A429" s="71">
        <v>46056</v>
      </c>
      <c r="B429" s="58" t="s">
        <v>135</v>
      </c>
      <c r="C429" s="58" t="s">
        <v>1178</v>
      </c>
      <c r="D429" s="58" t="s">
        <v>1179</v>
      </c>
      <c r="E429" s="58" t="s">
        <v>381</v>
      </c>
      <c r="F429" s="58" t="s">
        <v>292</v>
      </c>
      <c r="G429" s="58" t="s">
        <v>77</v>
      </c>
      <c r="H429" s="58">
        <v>70</v>
      </c>
      <c r="I429" s="58" t="str">
        <f>IF(R429="","",VLOOKUP(R429,REGRAS!$B$2:$D$13,3,FALSE()))</f>
        <v>RELAC.</v>
      </c>
      <c r="J429" s="58"/>
      <c r="K429" s="58" t="str">
        <f t="shared" si="18"/>
        <v>SALVAMENTO</v>
      </c>
      <c r="L429" s="58" t="str">
        <f t="shared" si="19"/>
        <v>🟡</v>
      </c>
      <c r="M429" s="58"/>
      <c r="N429" s="58" t="s">
        <v>147</v>
      </c>
      <c r="O429" s="58" t="s">
        <v>147</v>
      </c>
      <c r="P429" s="58" t="s">
        <v>149</v>
      </c>
      <c r="Q429" s="58" t="s">
        <v>39</v>
      </c>
      <c r="R429" s="58" t="s">
        <v>17</v>
      </c>
      <c r="S429" s="58" t="s">
        <v>55</v>
      </c>
      <c r="T429" s="71">
        <f>IF(R429="","",IF(OR(R429="SUPORTE",R429="PERDA / FECHOU LOJA"),"SEM",A429+VLOOKUP(R429,REGRAS!$B$2:$C$13,2,FALSE())))</f>
        <v>46063</v>
      </c>
      <c r="U429" s="58" t="str">
        <f t="shared" si="20"/>
        <v>SALVAMENTO</v>
      </c>
      <c r="V429" s="58"/>
      <c r="W429" s="58" t="s">
        <v>146</v>
      </c>
      <c r="X429" s="58"/>
    </row>
    <row r="430" spans="1:24" x14ac:dyDescent="0.3">
      <c r="A430" s="71">
        <v>46068</v>
      </c>
      <c r="B430" s="58" t="s">
        <v>139</v>
      </c>
      <c r="C430" s="58" t="s">
        <v>1180</v>
      </c>
      <c r="D430" s="58" t="s">
        <v>1181</v>
      </c>
      <c r="E430" s="58" t="s">
        <v>332</v>
      </c>
      <c r="F430" s="58" t="s">
        <v>292</v>
      </c>
      <c r="G430" s="58" t="s">
        <v>74</v>
      </c>
      <c r="H430" s="58">
        <v>53</v>
      </c>
      <c r="I430" s="58" t="str">
        <f>IF(R430="","",VLOOKUP(R430,REGRAS!$B$2:$D$13,3,FALSE()))</f>
        <v>RELAC.</v>
      </c>
      <c r="J430" s="58"/>
      <c r="K430" s="58" t="str">
        <f t="shared" si="18"/>
        <v>CS</v>
      </c>
      <c r="L430" s="58" t="str">
        <f t="shared" si="19"/>
        <v>🟡</v>
      </c>
      <c r="M430" s="58"/>
      <c r="N430" s="58" t="s">
        <v>146</v>
      </c>
      <c r="O430" s="58" t="s">
        <v>147</v>
      </c>
      <c r="P430" s="58" t="s">
        <v>149</v>
      </c>
      <c r="Q430" s="58" t="s">
        <v>43</v>
      </c>
      <c r="R430" s="58" t="s">
        <v>14</v>
      </c>
      <c r="S430" s="58"/>
      <c r="T430" s="71">
        <f>IF(R430="","",IF(OR(R430="SUPORTE",R430="PERDA / FECHOU LOJA"),"SEM",A430+VLOOKUP(R430,REGRAS!$B$2:$C$13,2,FALSE())))</f>
        <v>46075</v>
      </c>
      <c r="U430" s="58" t="str">
        <f t="shared" si="20"/>
        <v>CS</v>
      </c>
      <c r="V430" s="58"/>
      <c r="W430" s="58" t="s">
        <v>146</v>
      </c>
      <c r="X430" s="58"/>
    </row>
    <row r="431" spans="1:24" x14ac:dyDescent="0.3">
      <c r="A431" s="71">
        <v>46077</v>
      </c>
      <c r="B431" s="58" t="s">
        <v>137</v>
      </c>
      <c r="C431" s="58" t="s">
        <v>1182</v>
      </c>
      <c r="D431" s="58" t="s">
        <v>1183</v>
      </c>
      <c r="E431" s="58" t="s">
        <v>332</v>
      </c>
      <c r="F431" s="58" t="s">
        <v>292</v>
      </c>
      <c r="G431" s="58" t="s">
        <v>77</v>
      </c>
      <c r="H431" s="58">
        <v>88</v>
      </c>
      <c r="I431" s="58" t="str">
        <f>IF(R431="","",VLOOKUP(R431,REGRAS!$B$2:$D$13,3,FALSE()))</f>
        <v>NÃO VENDA</v>
      </c>
      <c r="J431" s="58"/>
      <c r="K431" s="58" t="str">
        <f t="shared" si="18"/>
        <v>RECUPERAÇÃO</v>
      </c>
      <c r="L431" s="58" t="str">
        <f t="shared" si="19"/>
        <v>🟡</v>
      </c>
      <c r="M431" s="58"/>
      <c r="N431" s="58" t="s">
        <v>146</v>
      </c>
      <c r="O431" s="58" t="s">
        <v>146</v>
      </c>
      <c r="P431" s="58" t="s">
        <v>146</v>
      </c>
      <c r="Q431" s="58" t="s">
        <v>41</v>
      </c>
      <c r="R431" s="58" t="s">
        <v>26</v>
      </c>
      <c r="S431" s="58" t="s">
        <v>59</v>
      </c>
      <c r="T431" s="71">
        <f>IF(R431="","",IF(OR(R431="SUPORTE",R431="PERDA / FECHOU LOJA"),"SEM",A431+VLOOKUP(R431,REGRAS!$B$2:$C$13,2,FALSE())))</f>
        <v>46078</v>
      </c>
      <c r="U431" s="58" t="str">
        <f t="shared" si="20"/>
        <v>REATIVAÇÃO</v>
      </c>
      <c r="V431" s="58"/>
      <c r="W431" s="58" t="s">
        <v>146</v>
      </c>
      <c r="X431" s="58"/>
    </row>
    <row r="432" spans="1:24" x14ac:dyDescent="0.3">
      <c r="A432" s="71">
        <v>46066</v>
      </c>
      <c r="B432" s="58" t="s">
        <v>141</v>
      </c>
      <c r="C432" s="58" t="s">
        <v>1184</v>
      </c>
      <c r="D432" s="58" t="s">
        <v>1185</v>
      </c>
      <c r="E432" s="58" t="s">
        <v>335</v>
      </c>
      <c r="F432" s="58" t="s">
        <v>297</v>
      </c>
      <c r="G432" s="58" t="s">
        <v>74</v>
      </c>
      <c r="H432" s="58">
        <v>55</v>
      </c>
      <c r="I432" s="58" t="str">
        <f>IF(R432="","",VLOOKUP(R432,REGRAS!$B$2:$D$13,3,FALSE()))</f>
        <v>FUNIL</v>
      </c>
      <c r="J432" s="58"/>
      <c r="K432" s="58" t="str">
        <f t="shared" si="18"/>
        <v>EM ATENDIMENTO</v>
      </c>
      <c r="L432" s="58" t="str">
        <f t="shared" si="19"/>
        <v>🟡</v>
      </c>
      <c r="M432" s="58"/>
      <c r="N432" s="58" t="s">
        <v>146</v>
      </c>
      <c r="O432" s="58" t="s">
        <v>147</v>
      </c>
      <c r="P432" s="58" t="s">
        <v>149</v>
      </c>
      <c r="Q432" s="58" t="s">
        <v>33</v>
      </c>
      <c r="R432" s="58" t="s">
        <v>5</v>
      </c>
      <c r="S432" s="58"/>
      <c r="T432" s="71">
        <f>IF(R432="","",IF(OR(R432="SUPORTE",R432="PERDA / FECHOU LOJA"),"SEM",A432+VLOOKUP(R432,REGRAS!$B$2:$C$13,2,FALSE())))</f>
        <v>46068</v>
      </c>
      <c r="U432" s="58" t="str">
        <f t="shared" si="20"/>
        <v>PROSPECÇÃO</v>
      </c>
      <c r="V432" s="58"/>
      <c r="W432" s="58" t="s">
        <v>147</v>
      </c>
      <c r="X432" s="58"/>
    </row>
    <row r="433" spans="1:24" x14ac:dyDescent="0.3">
      <c r="A433" s="71">
        <v>46060</v>
      </c>
      <c r="B433" s="58" t="s">
        <v>141</v>
      </c>
      <c r="C433" s="58" t="s">
        <v>1186</v>
      </c>
      <c r="D433" s="58" t="s">
        <v>1187</v>
      </c>
      <c r="E433" s="58" t="s">
        <v>346</v>
      </c>
      <c r="F433" s="58" t="s">
        <v>292</v>
      </c>
      <c r="G433" s="58" t="s">
        <v>77</v>
      </c>
      <c r="H433" s="58">
        <v>63</v>
      </c>
      <c r="I433" s="58" t="str">
        <f>IF(R433="","",VLOOKUP(R433,REGRAS!$B$2:$D$13,3,FALSE()))</f>
        <v>RELAC.</v>
      </c>
      <c r="J433" s="58"/>
      <c r="K433" s="58" t="str">
        <f t="shared" si="18"/>
        <v>SALVAMENTO</v>
      </c>
      <c r="L433" s="58" t="str">
        <f t="shared" si="19"/>
        <v>🟡</v>
      </c>
      <c r="M433" s="58"/>
      <c r="N433" s="58" t="s">
        <v>146</v>
      </c>
      <c r="O433" s="58" t="s">
        <v>146</v>
      </c>
      <c r="P433" s="58" t="s">
        <v>146</v>
      </c>
      <c r="Q433" s="58" t="s">
        <v>37</v>
      </c>
      <c r="R433" s="58" t="s">
        <v>17</v>
      </c>
      <c r="S433" s="58" t="s">
        <v>49</v>
      </c>
      <c r="T433" s="71">
        <f>IF(R433="","",IF(OR(R433="SUPORTE",R433="PERDA / FECHOU LOJA"),"SEM",A433+VLOOKUP(R433,REGRAS!$B$2:$C$13,2,FALSE())))</f>
        <v>46067</v>
      </c>
      <c r="U433" s="58" t="str">
        <f t="shared" si="20"/>
        <v>SALVAMENTO</v>
      </c>
      <c r="V433" s="58"/>
      <c r="W433" s="58" t="s">
        <v>147</v>
      </c>
      <c r="X433" s="58"/>
    </row>
    <row r="434" spans="1:24" x14ac:dyDescent="0.3">
      <c r="A434" s="71">
        <v>46069</v>
      </c>
      <c r="B434" s="58" t="s">
        <v>137</v>
      </c>
      <c r="C434" s="58" t="s">
        <v>1188</v>
      </c>
      <c r="D434" s="58" t="s">
        <v>1189</v>
      </c>
      <c r="E434" s="58" t="s">
        <v>332</v>
      </c>
      <c r="F434" s="58" t="s">
        <v>283</v>
      </c>
      <c r="G434" s="58" t="s">
        <v>79</v>
      </c>
      <c r="H434" s="58">
        <v>273</v>
      </c>
      <c r="I434" s="58" t="str">
        <f>IF(R434="","",VLOOKUP(R434,REGRAS!$B$2:$D$13,3,FALSE()))</f>
        <v>RELAC.</v>
      </c>
      <c r="J434" s="58"/>
      <c r="K434" s="58" t="str">
        <f t="shared" si="18"/>
        <v>CS</v>
      </c>
      <c r="L434" s="58" t="str">
        <f t="shared" si="19"/>
        <v>🔴</v>
      </c>
      <c r="M434" s="58"/>
      <c r="N434" s="58" t="s">
        <v>146</v>
      </c>
      <c r="O434" s="58" t="s">
        <v>147</v>
      </c>
      <c r="P434" s="58" t="s">
        <v>149</v>
      </c>
      <c r="Q434" s="58" t="s">
        <v>39</v>
      </c>
      <c r="R434" s="58" t="s">
        <v>14</v>
      </c>
      <c r="S434" s="58"/>
      <c r="T434" s="71">
        <f>IF(R434="","",IF(OR(R434="SUPORTE",R434="PERDA / FECHOU LOJA"),"SEM",A434+VLOOKUP(R434,REGRAS!$B$2:$C$13,2,FALSE())))</f>
        <v>46076</v>
      </c>
      <c r="U434" s="58" t="str">
        <f t="shared" si="20"/>
        <v>CS</v>
      </c>
      <c r="V434" s="58"/>
      <c r="W434" s="58" t="s">
        <v>147</v>
      </c>
      <c r="X434" s="58"/>
    </row>
    <row r="435" spans="1:24" x14ac:dyDescent="0.3">
      <c r="A435" s="71">
        <v>46063</v>
      </c>
      <c r="B435" s="58" t="s">
        <v>135</v>
      </c>
      <c r="C435" s="58" t="s">
        <v>1190</v>
      </c>
      <c r="D435" s="58" t="s">
        <v>1191</v>
      </c>
      <c r="E435" s="58" t="s">
        <v>340</v>
      </c>
      <c r="F435" s="58" t="s">
        <v>298</v>
      </c>
      <c r="G435" s="58" t="s">
        <v>74</v>
      </c>
      <c r="H435" s="58">
        <v>56</v>
      </c>
      <c r="I435" s="58" t="str">
        <f>IF(R435="","",VLOOKUP(R435,REGRAS!$B$2:$D$13,3,FALSE()))</f>
        <v>FUNIL</v>
      </c>
      <c r="J435" s="58"/>
      <c r="K435" s="58" t="str">
        <f t="shared" si="18"/>
        <v>PROSPECÇÃO</v>
      </c>
      <c r="L435" s="58" t="str">
        <f t="shared" si="19"/>
        <v>🟡</v>
      </c>
      <c r="M435" s="58"/>
      <c r="N435" s="58" t="s">
        <v>146</v>
      </c>
      <c r="O435" s="58" t="s">
        <v>147</v>
      </c>
      <c r="P435" s="58" t="s">
        <v>149</v>
      </c>
      <c r="Q435" s="58" t="s">
        <v>39</v>
      </c>
      <c r="R435" s="58" t="s">
        <v>8</v>
      </c>
      <c r="S435" s="58"/>
      <c r="T435" s="71">
        <f>IF(R435="","",IF(OR(R435="SUPORTE",R435="PERDA / FECHOU LOJA"),"SEM",A435+VLOOKUP(R435,REGRAS!$B$2:$C$13,2,FALSE())))</f>
        <v>46064</v>
      </c>
      <c r="U435" s="58" t="str">
        <f t="shared" si="20"/>
        <v>PROSPECÇÃO</v>
      </c>
      <c r="V435" s="58"/>
      <c r="W435" s="58" t="s">
        <v>146</v>
      </c>
      <c r="X435" s="58"/>
    </row>
    <row r="436" spans="1:24" x14ac:dyDescent="0.3">
      <c r="A436" s="71">
        <v>46073</v>
      </c>
      <c r="B436" s="58" t="s">
        <v>141</v>
      </c>
      <c r="C436" s="58" t="s">
        <v>1192</v>
      </c>
      <c r="D436" s="58" t="s">
        <v>1193</v>
      </c>
      <c r="E436" s="58" t="s">
        <v>340</v>
      </c>
      <c r="F436" s="58" t="s">
        <v>298</v>
      </c>
      <c r="G436" s="58" t="s">
        <v>74</v>
      </c>
      <c r="H436" s="58">
        <v>59</v>
      </c>
      <c r="I436" s="58" t="str">
        <f>IF(R436="","",VLOOKUP(R436,REGRAS!$B$2:$D$13,3,FALSE()))</f>
        <v>RELAC.</v>
      </c>
      <c r="J436" s="58"/>
      <c r="K436" s="58" t="str">
        <f t="shared" si="18"/>
        <v>SALVAMENTO</v>
      </c>
      <c r="L436" s="58" t="str">
        <f t="shared" si="19"/>
        <v>🟡</v>
      </c>
      <c r="M436" s="58"/>
      <c r="N436" s="58" t="s">
        <v>146</v>
      </c>
      <c r="O436" s="58" t="s">
        <v>147</v>
      </c>
      <c r="P436" s="58" t="s">
        <v>149</v>
      </c>
      <c r="Q436" s="58" t="s">
        <v>35</v>
      </c>
      <c r="R436" s="58" t="s">
        <v>17</v>
      </c>
      <c r="S436" s="58" t="s">
        <v>64</v>
      </c>
      <c r="T436" s="71">
        <f>IF(R436="","",IF(OR(R436="SUPORTE",R436="PERDA / FECHOU LOJA"),"SEM",A436+VLOOKUP(R436,REGRAS!$B$2:$C$13,2,FALSE())))</f>
        <v>46080</v>
      </c>
      <c r="U436" s="58" t="str">
        <f t="shared" si="20"/>
        <v>SALVAMENTO</v>
      </c>
      <c r="V436" s="58"/>
      <c r="W436" s="58" t="s">
        <v>147</v>
      </c>
      <c r="X436" s="58"/>
    </row>
    <row r="437" spans="1:24" x14ac:dyDescent="0.3">
      <c r="A437" s="71">
        <v>46058</v>
      </c>
      <c r="B437" s="58" t="s">
        <v>141</v>
      </c>
      <c r="C437" s="58" t="s">
        <v>1194</v>
      </c>
      <c r="D437" s="58" t="s">
        <v>1195</v>
      </c>
      <c r="E437" s="58" t="s">
        <v>346</v>
      </c>
      <c r="F437" s="58" t="s">
        <v>292</v>
      </c>
      <c r="G437" s="58" t="s">
        <v>79</v>
      </c>
      <c r="H437" s="58">
        <v>163</v>
      </c>
      <c r="I437" s="58" t="str">
        <f>IF(R437="","",VLOOKUP(R437,REGRAS!$B$2:$D$13,3,FALSE()))</f>
        <v>FUNIL</v>
      </c>
      <c r="J437" s="58"/>
      <c r="K437" s="58" t="str">
        <f t="shared" si="18"/>
        <v>EM ATENDIMENTO</v>
      </c>
      <c r="L437" s="58" t="str">
        <f t="shared" si="19"/>
        <v>🔴</v>
      </c>
      <c r="M437" s="58"/>
      <c r="N437" s="58" t="s">
        <v>146</v>
      </c>
      <c r="O437" s="58" t="s">
        <v>146</v>
      </c>
      <c r="P437" s="58" t="s">
        <v>146</v>
      </c>
      <c r="Q437" s="58" t="s">
        <v>41</v>
      </c>
      <c r="R437" s="58" t="s">
        <v>5</v>
      </c>
      <c r="S437" s="58"/>
      <c r="T437" s="71">
        <f>IF(R437="","",IF(OR(R437="SUPORTE",R437="PERDA / FECHOU LOJA"),"SEM",A437+VLOOKUP(R437,REGRAS!$B$2:$C$13,2,FALSE())))</f>
        <v>46060</v>
      </c>
      <c r="U437" s="58" t="str">
        <f t="shared" si="20"/>
        <v>PROSPECÇÃO</v>
      </c>
      <c r="V437" s="58"/>
      <c r="W437" s="58" t="s">
        <v>146</v>
      </c>
      <c r="X437" s="58"/>
    </row>
    <row r="438" spans="1:24" x14ac:dyDescent="0.3">
      <c r="A438" s="71">
        <v>46079</v>
      </c>
      <c r="B438" s="58" t="s">
        <v>137</v>
      </c>
      <c r="C438" s="58" t="s">
        <v>1196</v>
      </c>
      <c r="D438" s="58" t="s">
        <v>1197</v>
      </c>
      <c r="E438" s="58" t="s">
        <v>366</v>
      </c>
      <c r="F438" s="58" t="s">
        <v>295</v>
      </c>
      <c r="G438" s="58" t="s">
        <v>79</v>
      </c>
      <c r="H438" s="58">
        <v>135</v>
      </c>
      <c r="I438" s="58" t="str">
        <f>IF(R438="","",VLOOKUP(R438,REGRAS!$B$2:$D$13,3,FALSE()))</f>
        <v>NÃO VENDA</v>
      </c>
      <c r="J438" s="58"/>
      <c r="K438" s="58" t="str">
        <f t="shared" si="18"/>
        <v>RECUPERAÇÃO</v>
      </c>
      <c r="L438" s="58" t="str">
        <f t="shared" si="19"/>
        <v>🔴</v>
      </c>
      <c r="M438" s="58"/>
      <c r="N438" s="58" t="s">
        <v>146</v>
      </c>
      <c r="O438" s="58" t="s">
        <v>146</v>
      </c>
      <c r="P438" s="58" t="s">
        <v>146</v>
      </c>
      <c r="Q438" s="58" t="s">
        <v>43</v>
      </c>
      <c r="R438" s="58" t="s">
        <v>23</v>
      </c>
      <c r="S438" s="58" t="s">
        <v>57</v>
      </c>
      <c r="T438" s="71">
        <f>IF(R438="","",IF(OR(R438="SUPORTE",R438="PERDA / FECHOU LOJA"),"SEM",A438+VLOOKUP(R438,REGRAS!$B$2:$C$13,2,FALSE())))</f>
        <v>46080</v>
      </c>
      <c r="U438" s="58" t="str">
        <f t="shared" si="20"/>
        <v>REATIVAÇÃO</v>
      </c>
      <c r="V438" s="58"/>
      <c r="W438" s="58" t="s">
        <v>146</v>
      </c>
      <c r="X438" s="58"/>
    </row>
    <row r="439" spans="1:24" x14ac:dyDescent="0.3">
      <c r="A439" s="71">
        <v>46061</v>
      </c>
      <c r="B439" s="58" t="s">
        <v>137</v>
      </c>
      <c r="C439" s="58" t="s">
        <v>1198</v>
      </c>
      <c r="D439" s="58" t="s">
        <v>1199</v>
      </c>
      <c r="E439" s="58" t="s">
        <v>361</v>
      </c>
      <c r="F439" s="58" t="s">
        <v>292</v>
      </c>
      <c r="G439" s="58" t="s">
        <v>82</v>
      </c>
      <c r="H439" s="58"/>
      <c r="I439" s="58" t="str">
        <f>IF(R439="","",VLOOKUP(R439,REGRAS!$B$2:$D$13,3,FALSE()))</f>
        <v>FUNIL</v>
      </c>
      <c r="J439" s="58"/>
      <c r="K439" s="58" t="str">
        <f t="shared" si="18"/>
        <v>RECOMPRA</v>
      </c>
      <c r="L439" s="58" t="str">
        <f t="shared" si="19"/>
        <v/>
      </c>
      <c r="M439" s="58"/>
      <c r="N439" s="58" t="s">
        <v>146</v>
      </c>
      <c r="O439" s="58" t="s">
        <v>147</v>
      </c>
      <c r="P439" s="58" t="s">
        <v>149</v>
      </c>
      <c r="Q439" s="58" t="s">
        <v>39</v>
      </c>
      <c r="R439" s="58" t="s">
        <v>12</v>
      </c>
      <c r="S439" s="58"/>
      <c r="T439" s="71">
        <f>IF(R439="","",IF(OR(R439="SUPORTE",R439="PERDA / FECHOU LOJA"),"SEM",A439+VLOOKUP(R439,REGRAS!$B$2:$C$13,2,FALSE())))</f>
        <v>46106</v>
      </c>
      <c r="U439" s="58" t="str">
        <f t="shared" si="20"/>
        <v>RECOMPRA</v>
      </c>
      <c r="V439" s="58"/>
      <c r="W439" s="58" t="s">
        <v>147</v>
      </c>
      <c r="X439" s="58"/>
    </row>
    <row r="440" spans="1:24" x14ac:dyDescent="0.3">
      <c r="A440" s="71">
        <v>46080</v>
      </c>
      <c r="B440" s="58" t="s">
        <v>141</v>
      </c>
      <c r="C440" s="58" t="s">
        <v>812</v>
      </c>
      <c r="D440" s="58" t="s">
        <v>1200</v>
      </c>
      <c r="E440" s="58" t="s">
        <v>332</v>
      </c>
      <c r="F440" s="58" t="s">
        <v>283</v>
      </c>
      <c r="G440" s="58" t="s">
        <v>79</v>
      </c>
      <c r="H440" s="58">
        <v>143</v>
      </c>
      <c r="I440" s="58" t="str">
        <f>IF(R440="","",VLOOKUP(R440,REGRAS!$B$2:$D$13,3,FALSE()))</f>
        <v>RELAC.</v>
      </c>
      <c r="J440" s="58"/>
      <c r="K440" s="58" t="str">
        <f t="shared" si="18"/>
        <v>CS</v>
      </c>
      <c r="L440" s="58" t="str">
        <f t="shared" si="19"/>
        <v>🔴</v>
      </c>
      <c r="M440" s="58"/>
      <c r="N440" s="58" t="s">
        <v>146</v>
      </c>
      <c r="O440" s="58" t="s">
        <v>146</v>
      </c>
      <c r="P440" s="58" t="s">
        <v>146</v>
      </c>
      <c r="Q440" s="58" t="s">
        <v>43</v>
      </c>
      <c r="R440" s="58" t="s">
        <v>14</v>
      </c>
      <c r="S440" s="58"/>
      <c r="T440" s="71">
        <f>IF(R440="","",IF(OR(R440="SUPORTE",R440="PERDA / FECHOU LOJA"),"SEM",A440+VLOOKUP(R440,REGRAS!$B$2:$C$13,2,FALSE())))</f>
        <v>46087</v>
      </c>
      <c r="U440" s="58" t="str">
        <f t="shared" si="20"/>
        <v>CS</v>
      </c>
      <c r="V440" s="58"/>
      <c r="W440" s="58" t="s">
        <v>147</v>
      </c>
      <c r="X440" s="58"/>
    </row>
    <row r="441" spans="1:24" x14ac:dyDescent="0.3">
      <c r="A441" s="71">
        <v>46057</v>
      </c>
      <c r="B441" s="58" t="s">
        <v>135</v>
      </c>
      <c r="C441" s="58" t="s">
        <v>1201</v>
      </c>
      <c r="D441" s="58" t="s">
        <v>1202</v>
      </c>
      <c r="E441" s="58" t="s">
        <v>369</v>
      </c>
      <c r="F441" s="58" t="s">
        <v>292</v>
      </c>
      <c r="G441" s="58" t="s">
        <v>71</v>
      </c>
      <c r="H441" s="58">
        <v>35</v>
      </c>
      <c r="I441" s="58" t="str">
        <f>IF(R441="","",VLOOKUP(R441,REGRAS!$B$2:$D$13,3,FALSE()))</f>
        <v>RELAC.</v>
      </c>
      <c r="J441" s="58"/>
      <c r="K441" s="58" t="str">
        <f t="shared" si="18"/>
        <v>SALVAMENTO</v>
      </c>
      <c r="L441" s="58" t="str">
        <f t="shared" si="19"/>
        <v>🟢</v>
      </c>
      <c r="M441" s="58"/>
      <c r="N441" s="58" t="s">
        <v>146</v>
      </c>
      <c r="O441" s="58" t="s">
        <v>146</v>
      </c>
      <c r="P441" s="58" t="s">
        <v>147</v>
      </c>
      <c r="Q441" s="58" t="s">
        <v>37</v>
      </c>
      <c r="R441" s="58" t="s">
        <v>17</v>
      </c>
      <c r="S441" s="58" t="s">
        <v>51</v>
      </c>
      <c r="T441" s="71">
        <f>IF(R441="","",IF(OR(R441="SUPORTE",R441="PERDA / FECHOU LOJA"),"SEM",A441+VLOOKUP(R441,REGRAS!$B$2:$C$13,2,FALSE())))</f>
        <v>46064</v>
      </c>
      <c r="U441" s="58" t="str">
        <f t="shared" si="20"/>
        <v>SALVAMENTO</v>
      </c>
      <c r="V441" s="58"/>
      <c r="W441" s="58" t="s">
        <v>147</v>
      </c>
      <c r="X441" s="58"/>
    </row>
    <row r="442" spans="1:24" x14ac:dyDescent="0.3">
      <c r="A442" s="71">
        <v>46058</v>
      </c>
      <c r="B442" s="58" t="s">
        <v>141</v>
      </c>
      <c r="C442" s="58" t="s">
        <v>1203</v>
      </c>
      <c r="D442" s="58" t="s">
        <v>1204</v>
      </c>
      <c r="E442" s="58" t="s">
        <v>381</v>
      </c>
      <c r="F442" s="58" t="s">
        <v>292</v>
      </c>
      <c r="G442" s="58" t="s">
        <v>85</v>
      </c>
      <c r="H442" s="58"/>
      <c r="I442" s="58" t="str">
        <f>IF(R442="","",VLOOKUP(R442,REGRAS!$B$2:$D$13,3,FALSE()))</f>
        <v>RELAC.</v>
      </c>
      <c r="J442" s="58"/>
      <c r="K442" s="58" t="str">
        <f t="shared" si="18"/>
        <v>SALVAMENTO</v>
      </c>
      <c r="L442" s="58" t="str">
        <f t="shared" si="19"/>
        <v/>
      </c>
      <c r="M442" s="58"/>
      <c r="N442" s="58" t="s">
        <v>147</v>
      </c>
      <c r="O442" s="58" t="s">
        <v>146</v>
      </c>
      <c r="P442" s="58" t="s">
        <v>147</v>
      </c>
      <c r="Q442" s="58" t="s">
        <v>39</v>
      </c>
      <c r="R442" s="58" t="s">
        <v>19</v>
      </c>
      <c r="S442" s="58" t="s">
        <v>59</v>
      </c>
      <c r="T442" s="71">
        <f>IF(R442="","",IF(OR(R442="SUPORTE",R442="PERDA / FECHOU LOJA"),"SEM",A442+VLOOKUP(R442,REGRAS!$B$2:$C$13,2,FALSE())))</f>
        <v>46073</v>
      </c>
      <c r="U442" s="58" t="str">
        <f t="shared" si="20"/>
        <v>SALVAMENTO</v>
      </c>
      <c r="V442" s="58"/>
      <c r="W442" s="58" t="s">
        <v>146</v>
      </c>
      <c r="X442" s="58"/>
    </row>
    <row r="443" spans="1:24" x14ac:dyDescent="0.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 spans="1:24" x14ac:dyDescent="0.3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 spans="1:24" x14ac:dyDescent="0.3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 spans="1:24" x14ac:dyDescent="0.3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 spans="1:24" x14ac:dyDescent="0.3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 spans="1:24" x14ac:dyDescent="0.3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 spans="1:24" x14ac:dyDescent="0.3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 spans="1:24" x14ac:dyDescent="0.3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 spans="1:24" x14ac:dyDescent="0.3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 spans="1:24" x14ac:dyDescent="0.3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 spans="1:24" x14ac:dyDescent="0.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 spans="1:24" x14ac:dyDescent="0.3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 spans="1:24" x14ac:dyDescent="0.3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 spans="1:24" x14ac:dyDescent="0.3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 spans="1:24" x14ac:dyDescent="0.3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 spans="1:24" x14ac:dyDescent="0.3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 spans="1:24" x14ac:dyDescent="0.3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 spans="1:24" x14ac:dyDescent="0.3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 spans="1:24" x14ac:dyDescent="0.3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 spans="1:24" x14ac:dyDescent="0.3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 spans="1:24" x14ac:dyDescent="0.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 spans="1:24" x14ac:dyDescent="0.3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 spans="1:24" x14ac:dyDescent="0.3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 spans="1:24" x14ac:dyDescent="0.3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 spans="1:24" x14ac:dyDescent="0.3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 spans="1:24" x14ac:dyDescent="0.3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 spans="1:24" x14ac:dyDescent="0.3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 spans="1:24" x14ac:dyDescent="0.3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 spans="1:24" x14ac:dyDescent="0.3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 spans="1:24" x14ac:dyDescent="0.3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 spans="1:24" x14ac:dyDescent="0.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 spans="1:24" x14ac:dyDescent="0.3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 spans="1:24" x14ac:dyDescent="0.3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 spans="1:24" x14ac:dyDescent="0.3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 spans="1:24" x14ac:dyDescent="0.3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 spans="1:24" x14ac:dyDescent="0.3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 spans="1:24" x14ac:dyDescent="0.3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 spans="1:24" x14ac:dyDescent="0.3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 spans="1:24" x14ac:dyDescent="0.3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 spans="1:24" x14ac:dyDescent="0.3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 spans="1:24" x14ac:dyDescent="0.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 spans="1:24" x14ac:dyDescent="0.3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 spans="1:24" x14ac:dyDescent="0.3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 spans="1:24" x14ac:dyDescent="0.3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 spans="1:24" x14ac:dyDescent="0.3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 spans="1:24" x14ac:dyDescent="0.3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 spans="1:24" x14ac:dyDescent="0.3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 spans="1:24" x14ac:dyDescent="0.3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 spans="1:24" x14ac:dyDescent="0.3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 spans="1:24" x14ac:dyDescent="0.3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 spans="1:24" x14ac:dyDescent="0.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 spans="1:24" x14ac:dyDescent="0.3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 spans="1:24" x14ac:dyDescent="0.3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 spans="1:24" x14ac:dyDescent="0.3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 spans="1:24" x14ac:dyDescent="0.3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 spans="1:24" x14ac:dyDescent="0.3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 spans="1:24" x14ac:dyDescent="0.3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 spans="1:24" x14ac:dyDescent="0.3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 spans="1:24" x14ac:dyDescent="0.3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 spans="1:24" x14ac:dyDescent="0.3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</sheetData>
  <mergeCells count="1">
    <mergeCell ref="A1:X1"/>
  </mergeCells>
  <dataValidations count="7">
    <dataValidation type="list" allowBlank="1" showInputMessage="1" showErrorMessage="1" sqref="R3:R5000" xr:uid="{07462886-F4DA-49B7-9A75-051A4B7A4C06}">
      <formula1>"REGRAS!$B$2:$B$13"</formula1>
    </dataValidation>
    <dataValidation type="list" allowBlank="1" showInputMessage="1" showErrorMessage="1" sqref="Q3:Q5000" xr:uid="{54E1ADA5-1AD3-4935-B1D8-84190DA74348}">
      <formula1>"REGRAS!$B$18:$B$24"</formula1>
    </dataValidation>
    <dataValidation type="list" allowBlank="1" showInputMessage="1" showErrorMessage="1" sqref="S3:S5000" xr:uid="{35C2FB33-95CE-41F9-99B5-96250236FD05}">
      <formula1>"REGRAS!$B$28:$B$37"</formula1>
    </dataValidation>
    <dataValidation type="list" allowBlank="1" showInputMessage="1" showErrorMessage="1" sqref="G3:G5000" xr:uid="{BEB7E7CB-C293-4D86-8599-067A1563C525}">
      <formula1>"REGRAS!$B$41:$B$47"</formula1>
    </dataValidation>
    <dataValidation type="list" allowBlank="1" showInputMessage="1" showErrorMessage="1" sqref="B3:B5000" xr:uid="{B5983581-043E-4A17-A2BA-1D616188B701}">
      <formula1>"REGRAS!$A$88:$A$91"</formula1>
    </dataValidation>
    <dataValidation type="list" allowBlank="1" showInputMessage="1" showErrorMessage="1" sqref="N3:N5000 O3:O5000 W3:W5000" xr:uid="{F3AA5177-FEBA-483B-9F2D-4716BE2F49BE}">
      <formula1>"REGRAS!$B$95:$B$96"</formula1>
    </dataValidation>
    <dataValidation type="list" allowBlank="1" showInputMessage="1" showErrorMessage="1" sqref="P3:P5000" xr:uid="{72C8ABFC-BB63-4C53-A7AE-4E59268411EC}">
      <formula1>"REGRAS!$B$97:$B$99"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563EB"/>
  </sheetPr>
  <dimension ref="A1:X5000"/>
  <sheetViews>
    <sheetView workbookViewId="0">
      <pane ySplit="4" topLeftCell="A5" activePane="bottomLeft" state="frozen"/>
      <selection pane="bottomLeft" sqref="A1:X1"/>
    </sheetView>
  </sheetViews>
  <sheetFormatPr defaultRowHeight="14.4" x14ac:dyDescent="0.3"/>
  <cols>
    <col min="1" max="1" width="25" customWidth="1"/>
    <col min="2" max="2" width="18" customWidth="1"/>
    <col min="3" max="3" width="5" customWidth="1"/>
    <col min="4" max="4" width="18" customWidth="1"/>
    <col min="5" max="5" width="12" customWidth="1"/>
    <col min="6" max="6" width="14" customWidth="1"/>
    <col min="7" max="7" width="15" customWidth="1"/>
    <col min="8" max="8" width="14" customWidth="1"/>
    <col min="9" max="9" width="15" customWidth="1"/>
    <col min="10" max="10" width="14" customWidth="1"/>
    <col min="11" max="11" width="12" customWidth="1"/>
    <col min="12" max="12" width="20" customWidth="1"/>
    <col min="13" max="15" width="10" customWidth="1"/>
    <col min="16" max="16" width="14" customWidth="1"/>
    <col min="17" max="18" width="22" customWidth="1"/>
    <col min="19" max="19" width="30" customWidth="1"/>
    <col min="20" max="20" width="12" customWidth="1"/>
    <col min="21" max="21" width="25" customWidth="1"/>
    <col min="22" max="22" width="30" customWidth="1"/>
    <col min="23" max="23" width="14" customWidth="1"/>
    <col min="24" max="24" width="30" customWidth="1"/>
  </cols>
  <sheetData>
    <row r="1" spans="1:24" ht="30" customHeight="1" x14ac:dyDescent="0.3">
      <c r="A1" s="106" t="s">
        <v>1205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spans="1:24" ht="19.95" customHeight="1" x14ac:dyDescent="0.3">
      <c r="A2" s="105" t="s">
        <v>1206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</row>
    <row r="3" spans="1:24" ht="22.05" customHeight="1" x14ac:dyDescent="0.3">
      <c r="A3" s="104" t="s">
        <v>1207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3" t="s">
        <v>1208</v>
      </c>
      <c r="O3" s="100"/>
      <c r="P3" s="100"/>
      <c r="Q3" s="100"/>
      <c r="R3" s="100"/>
      <c r="S3" s="100"/>
      <c r="T3" s="100"/>
      <c r="U3" s="100"/>
      <c r="V3" s="100"/>
      <c r="W3" s="100"/>
      <c r="X3" s="100"/>
    </row>
    <row r="4" spans="1:24" ht="28.05" customHeight="1" x14ac:dyDescent="0.3">
      <c r="A4" s="60" t="s">
        <v>201</v>
      </c>
      <c r="B4" s="60" t="s">
        <v>202</v>
      </c>
      <c r="C4" s="60" t="s">
        <v>204</v>
      </c>
      <c r="D4" s="60" t="s">
        <v>209</v>
      </c>
      <c r="E4" s="60" t="s">
        <v>68</v>
      </c>
      <c r="F4" s="60" t="s">
        <v>213</v>
      </c>
      <c r="G4" s="60" t="s">
        <v>241</v>
      </c>
      <c r="H4" s="60" t="s">
        <v>123</v>
      </c>
      <c r="I4" s="60" t="s">
        <v>89</v>
      </c>
      <c r="J4" s="60" t="s">
        <v>246</v>
      </c>
      <c r="K4" s="60" t="s">
        <v>254</v>
      </c>
      <c r="L4" s="60" t="s">
        <v>252</v>
      </c>
      <c r="M4" s="60" t="s">
        <v>96</v>
      </c>
      <c r="N4" s="61" t="s">
        <v>324</v>
      </c>
      <c r="O4" s="61" t="s">
        <v>325</v>
      </c>
      <c r="P4" s="61" t="s">
        <v>326</v>
      </c>
      <c r="Q4" s="61" t="s">
        <v>32</v>
      </c>
      <c r="R4" s="61" t="s">
        <v>1</v>
      </c>
      <c r="S4" s="61" t="s">
        <v>47</v>
      </c>
      <c r="T4" s="61" t="s">
        <v>328</v>
      </c>
      <c r="U4" s="61" t="s">
        <v>349</v>
      </c>
      <c r="V4" s="61" t="s">
        <v>253</v>
      </c>
      <c r="W4" s="61" t="s">
        <v>329</v>
      </c>
      <c r="X4" s="61" t="s">
        <v>350</v>
      </c>
    </row>
    <row r="5" spans="1:24" x14ac:dyDescent="0.3">
      <c r="A5" s="62" t="s">
        <v>1209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4"/>
      <c r="O5" s="64"/>
      <c r="P5" s="64"/>
      <c r="Q5" s="64"/>
      <c r="R5" s="64"/>
      <c r="S5" s="64"/>
      <c r="T5" s="70" t="str">
        <f ca="1">IF(R5="","",IFERROR(TODAY()+VLOOKUP(R5,REGRAS!$B$2:$C$13,2,0),""))</f>
        <v/>
      </c>
      <c r="U5" s="64"/>
      <c r="V5" s="64"/>
      <c r="W5" s="64"/>
      <c r="X5" s="64"/>
    </row>
    <row r="6" spans="1:24" x14ac:dyDescent="0.3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4"/>
      <c r="P6" s="64"/>
      <c r="Q6" s="64"/>
      <c r="R6" s="64"/>
      <c r="S6" s="64"/>
      <c r="T6" s="70" t="str">
        <f ca="1">IF(R6="","",IFERROR(TODAY()+VLOOKUP(R6,REGRAS!$B$2:$C$13,2,0),""))</f>
        <v/>
      </c>
      <c r="U6" s="64"/>
      <c r="V6" s="64"/>
      <c r="W6" s="64"/>
      <c r="X6" s="64"/>
    </row>
    <row r="7" spans="1:24" x14ac:dyDescent="0.3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70" t="str">
        <f ca="1">IF(R7="","",IFERROR(TODAY()+VLOOKUP(R7,REGRAS!$B$2:$C$13,2,0),""))</f>
        <v/>
      </c>
      <c r="U7" s="64"/>
      <c r="V7" s="64"/>
      <c r="W7" s="64"/>
      <c r="X7" s="64"/>
    </row>
    <row r="8" spans="1:24" x14ac:dyDescent="0.3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4"/>
      <c r="O8" s="64"/>
      <c r="P8" s="64"/>
      <c r="Q8" s="64"/>
      <c r="R8" s="64"/>
      <c r="S8" s="64"/>
      <c r="T8" s="70" t="str">
        <f ca="1">IF(R8="","",IFERROR(TODAY()+VLOOKUP(R8,REGRAS!$B$2:$C$13,2,0),""))</f>
        <v/>
      </c>
      <c r="U8" s="64"/>
      <c r="V8" s="64"/>
      <c r="W8" s="64"/>
      <c r="X8" s="64"/>
    </row>
    <row r="9" spans="1:24" x14ac:dyDescent="0.3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4"/>
      <c r="O9" s="64"/>
      <c r="P9" s="64"/>
      <c r="Q9" s="64"/>
      <c r="R9" s="64"/>
      <c r="S9" s="64"/>
      <c r="T9" s="70" t="str">
        <f ca="1">IF(R9="","",IFERROR(TODAY()+VLOOKUP(R9,REGRAS!$B$2:$C$13,2,0),""))</f>
        <v/>
      </c>
      <c r="U9" s="64"/>
      <c r="V9" s="64"/>
      <c r="W9" s="64"/>
      <c r="X9" s="64"/>
    </row>
    <row r="10" spans="1:24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4"/>
      <c r="O10" s="64"/>
      <c r="P10" s="64"/>
      <c r="Q10" s="64"/>
      <c r="R10" s="64"/>
      <c r="S10" s="64"/>
      <c r="T10" s="70" t="str">
        <f ca="1">IF(R10="","",IFERROR(TODAY()+VLOOKUP(R10,REGRAS!$B$2:$C$13,2,0),""))</f>
        <v/>
      </c>
      <c r="U10" s="64"/>
      <c r="V10" s="64"/>
      <c r="W10" s="64"/>
      <c r="X10" s="64"/>
    </row>
    <row r="11" spans="1:24" x14ac:dyDescent="0.3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4"/>
      <c r="O11" s="64"/>
      <c r="P11" s="64"/>
      <c r="Q11" s="64"/>
      <c r="R11" s="64"/>
      <c r="S11" s="64"/>
      <c r="T11" s="70" t="str">
        <f ca="1">IF(R11="","",IFERROR(TODAY()+VLOOKUP(R11,REGRAS!$B$2:$C$13,2,0),""))</f>
        <v/>
      </c>
      <c r="U11" s="64"/>
      <c r="V11" s="64"/>
      <c r="W11" s="64"/>
      <c r="X11" s="64"/>
    </row>
    <row r="12" spans="1:24" x14ac:dyDescent="0.3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/>
      <c r="O12" s="64"/>
      <c r="P12" s="64"/>
      <c r="Q12" s="64"/>
      <c r="R12" s="64"/>
      <c r="S12" s="64"/>
      <c r="T12" s="70" t="str">
        <f ca="1">IF(R12="","",IFERROR(TODAY()+VLOOKUP(R12,REGRAS!$B$2:$C$13,2,0),""))</f>
        <v/>
      </c>
      <c r="U12" s="64"/>
      <c r="V12" s="64"/>
      <c r="W12" s="64"/>
      <c r="X12" s="64"/>
    </row>
    <row r="13" spans="1:24" x14ac:dyDescent="0.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64"/>
      <c r="P13" s="64"/>
      <c r="Q13" s="64"/>
      <c r="R13" s="64"/>
      <c r="S13" s="64"/>
      <c r="T13" s="70" t="str">
        <f ca="1">IF(R13="","",IFERROR(TODAY()+VLOOKUP(R13,REGRAS!$B$2:$C$13,2,0),""))</f>
        <v/>
      </c>
      <c r="U13" s="64"/>
      <c r="V13" s="64"/>
      <c r="W13" s="64"/>
      <c r="X13" s="64"/>
    </row>
    <row r="14" spans="1:24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64"/>
      <c r="P14" s="64"/>
      <c r="Q14" s="64"/>
      <c r="R14" s="64"/>
      <c r="S14" s="64"/>
      <c r="T14" s="70" t="str">
        <f ca="1">IF(R14="","",IFERROR(TODAY()+VLOOKUP(R14,REGRAS!$B$2:$C$13,2,0),""))</f>
        <v/>
      </c>
      <c r="U14" s="64"/>
      <c r="V14" s="64"/>
      <c r="W14" s="64"/>
      <c r="X14" s="64"/>
    </row>
    <row r="15" spans="1:24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4"/>
      <c r="O15" s="64"/>
      <c r="P15" s="64"/>
      <c r="Q15" s="64"/>
      <c r="R15" s="64"/>
      <c r="S15" s="64"/>
      <c r="T15" s="70" t="str">
        <f ca="1">IF(R15="","",IFERROR(TODAY()+VLOOKUP(R15,REGRAS!$B$2:$C$13,2,0),""))</f>
        <v/>
      </c>
      <c r="U15" s="64"/>
      <c r="V15" s="64"/>
      <c r="W15" s="64"/>
      <c r="X15" s="64"/>
    </row>
    <row r="16" spans="1:24" x14ac:dyDescent="0.3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/>
      <c r="O16" s="64"/>
      <c r="P16" s="64"/>
      <c r="Q16" s="64"/>
      <c r="R16" s="64"/>
      <c r="S16" s="64"/>
      <c r="T16" s="70" t="str">
        <f ca="1">IF(R16="","",IFERROR(TODAY()+VLOOKUP(R16,REGRAS!$B$2:$C$13,2,0),""))</f>
        <v/>
      </c>
      <c r="U16" s="64"/>
      <c r="V16" s="64"/>
      <c r="W16" s="64"/>
      <c r="X16" s="64"/>
    </row>
    <row r="17" spans="1:24" x14ac:dyDescent="0.3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4"/>
      <c r="O17" s="64"/>
      <c r="P17" s="64"/>
      <c r="Q17" s="64"/>
      <c r="R17" s="64"/>
      <c r="S17" s="64"/>
      <c r="T17" s="70" t="str">
        <f ca="1">IF(R17="","",IFERROR(TODAY()+VLOOKUP(R17,REGRAS!$B$2:$C$13,2,0),""))</f>
        <v/>
      </c>
      <c r="U17" s="64"/>
      <c r="V17" s="64"/>
      <c r="W17" s="64"/>
      <c r="X17" s="64"/>
    </row>
    <row r="18" spans="1:24" x14ac:dyDescent="0.3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4"/>
      <c r="O18" s="64"/>
      <c r="P18" s="64"/>
      <c r="Q18" s="64"/>
      <c r="R18" s="64"/>
      <c r="S18" s="64"/>
      <c r="T18" s="70" t="str">
        <f ca="1">IF(R18="","",IFERROR(TODAY()+VLOOKUP(R18,REGRAS!$B$2:$C$13,2,0),""))</f>
        <v/>
      </c>
      <c r="U18" s="64"/>
      <c r="V18" s="64"/>
      <c r="W18" s="64"/>
      <c r="X18" s="64"/>
    </row>
    <row r="19" spans="1:24" x14ac:dyDescent="0.3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4"/>
      <c r="O19" s="64"/>
      <c r="P19" s="64"/>
      <c r="Q19" s="64"/>
      <c r="R19" s="64"/>
      <c r="S19" s="64"/>
      <c r="T19" s="70" t="str">
        <f ca="1">IF(R19="","",IFERROR(TODAY()+VLOOKUP(R19,REGRAS!$B$2:$C$13,2,0),""))</f>
        <v/>
      </c>
      <c r="U19" s="64"/>
      <c r="V19" s="64"/>
      <c r="W19" s="64"/>
      <c r="X19" s="64"/>
    </row>
    <row r="20" spans="1:24" x14ac:dyDescent="0.3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4"/>
      <c r="O20" s="64"/>
      <c r="P20" s="64"/>
      <c r="Q20" s="64"/>
      <c r="R20" s="64"/>
      <c r="S20" s="64"/>
      <c r="T20" s="70" t="str">
        <f ca="1">IF(R20="","",IFERROR(TODAY()+VLOOKUP(R20,REGRAS!$B$2:$C$13,2,0),""))</f>
        <v/>
      </c>
      <c r="U20" s="64"/>
      <c r="V20" s="64"/>
      <c r="W20" s="64"/>
      <c r="X20" s="64"/>
    </row>
    <row r="21" spans="1:24" x14ac:dyDescent="0.3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  <c r="O21" s="64"/>
      <c r="P21" s="64"/>
      <c r="Q21" s="64"/>
      <c r="R21" s="64"/>
      <c r="S21" s="64"/>
      <c r="T21" s="70" t="str">
        <f ca="1">IF(R21="","",IFERROR(TODAY()+VLOOKUP(R21,REGRAS!$B$2:$C$13,2,0),""))</f>
        <v/>
      </c>
      <c r="U21" s="64"/>
      <c r="V21" s="64"/>
      <c r="W21" s="64"/>
      <c r="X21" s="64"/>
    </row>
    <row r="22" spans="1:24" x14ac:dyDescent="0.3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70" t="str">
        <f ca="1">IF(R22="","",IFERROR(TODAY()+VLOOKUP(R22,REGRAS!$B$2:$C$13,2,0),""))</f>
        <v/>
      </c>
      <c r="U22" s="64"/>
      <c r="V22" s="64"/>
      <c r="W22" s="64"/>
      <c r="X22" s="64"/>
    </row>
    <row r="23" spans="1:24" x14ac:dyDescent="0.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4"/>
      <c r="O23" s="64"/>
      <c r="P23" s="64"/>
      <c r="Q23" s="64"/>
      <c r="R23" s="64"/>
      <c r="S23" s="64"/>
      <c r="T23" s="70" t="str">
        <f ca="1">IF(R23="","",IFERROR(TODAY()+VLOOKUP(R23,REGRAS!$B$2:$C$13,2,0),""))</f>
        <v/>
      </c>
      <c r="U23" s="64"/>
      <c r="V23" s="64"/>
      <c r="W23" s="64"/>
      <c r="X23" s="64"/>
    </row>
    <row r="24" spans="1:24" x14ac:dyDescent="0.3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4"/>
      <c r="O24" s="64"/>
      <c r="P24" s="64"/>
      <c r="Q24" s="64"/>
      <c r="R24" s="64"/>
      <c r="S24" s="64"/>
      <c r="T24" s="70" t="str">
        <f ca="1">IF(R24="","",IFERROR(TODAY()+VLOOKUP(R24,REGRAS!$B$2:$C$13,2,0),""))</f>
        <v/>
      </c>
      <c r="U24" s="64"/>
      <c r="V24" s="64"/>
      <c r="W24" s="64"/>
      <c r="X24" s="64"/>
    </row>
    <row r="25" spans="1:24" x14ac:dyDescent="0.3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4"/>
      <c r="O25" s="64"/>
      <c r="P25" s="64"/>
      <c r="Q25" s="64"/>
      <c r="R25" s="64"/>
      <c r="S25" s="64"/>
      <c r="T25" s="70" t="str">
        <f ca="1">IF(R25="","",IFERROR(TODAY()+VLOOKUP(R25,REGRAS!$B$2:$C$13,2,0),""))</f>
        <v/>
      </c>
      <c r="U25" s="64"/>
      <c r="V25" s="64"/>
      <c r="W25" s="64"/>
      <c r="X25" s="64"/>
    </row>
    <row r="26" spans="1:24" x14ac:dyDescent="0.3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4"/>
      <c r="O26" s="64"/>
      <c r="P26" s="64"/>
      <c r="Q26" s="64"/>
      <c r="R26" s="64"/>
      <c r="S26" s="64"/>
      <c r="T26" s="70" t="str">
        <f ca="1">IF(R26="","",IFERROR(TODAY()+VLOOKUP(R26,REGRAS!$B$2:$C$13,2,0),""))</f>
        <v/>
      </c>
      <c r="U26" s="64"/>
      <c r="V26" s="64"/>
      <c r="W26" s="64"/>
      <c r="X26" s="64"/>
    </row>
    <row r="27" spans="1:24" x14ac:dyDescent="0.3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4"/>
      <c r="O27" s="64"/>
      <c r="P27" s="64"/>
      <c r="Q27" s="64"/>
      <c r="R27" s="64"/>
      <c r="S27" s="64"/>
      <c r="T27" s="70" t="str">
        <f ca="1">IF(R27="","",IFERROR(TODAY()+VLOOKUP(R27,REGRAS!$B$2:$C$13,2,0),""))</f>
        <v/>
      </c>
      <c r="U27" s="64"/>
      <c r="V27" s="64"/>
      <c r="W27" s="64"/>
      <c r="X27" s="64"/>
    </row>
    <row r="28" spans="1:24" x14ac:dyDescent="0.3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4"/>
      <c r="O28" s="64"/>
      <c r="P28" s="64"/>
      <c r="Q28" s="64"/>
      <c r="R28" s="64"/>
      <c r="S28" s="64"/>
      <c r="T28" s="70" t="str">
        <f ca="1">IF(R28="","",IFERROR(TODAY()+VLOOKUP(R28,REGRAS!$B$2:$C$13,2,0),""))</f>
        <v/>
      </c>
      <c r="U28" s="64"/>
      <c r="V28" s="64"/>
      <c r="W28" s="64"/>
      <c r="X28" s="64"/>
    </row>
    <row r="29" spans="1:24" x14ac:dyDescent="0.3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4"/>
      <c r="O29" s="64"/>
      <c r="P29" s="64"/>
      <c r="Q29" s="64"/>
      <c r="R29" s="64"/>
      <c r="S29" s="64"/>
      <c r="T29" s="70" t="str">
        <f ca="1">IF(R29="","",IFERROR(TODAY()+VLOOKUP(R29,REGRAS!$B$2:$C$13,2,0),""))</f>
        <v/>
      </c>
      <c r="U29" s="64"/>
      <c r="V29" s="64"/>
      <c r="W29" s="64"/>
      <c r="X29" s="64"/>
    </row>
    <row r="30" spans="1:24" x14ac:dyDescent="0.3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4"/>
      <c r="O30" s="64"/>
      <c r="P30" s="64"/>
      <c r="Q30" s="64"/>
      <c r="R30" s="64"/>
      <c r="S30" s="64"/>
      <c r="T30" s="70" t="str">
        <f ca="1">IF(R30="","",IFERROR(TODAY()+VLOOKUP(R30,REGRAS!$B$2:$C$13,2,0),""))</f>
        <v/>
      </c>
      <c r="U30" s="64"/>
      <c r="V30" s="64"/>
      <c r="W30" s="64"/>
      <c r="X30" s="64"/>
    </row>
    <row r="31" spans="1:24" x14ac:dyDescent="0.3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4"/>
      <c r="O31" s="64"/>
      <c r="P31" s="64"/>
      <c r="Q31" s="64"/>
      <c r="R31" s="64"/>
      <c r="S31" s="64"/>
      <c r="T31" s="70" t="str">
        <f ca="1">IF(R31="","",IFERROR(TODAY()+VLOOKUP(R31,REGRAS!$B$2:$C$13,2,0),""))</f>
        <v/>
      </c>
      <c r="U31" s="64"/>
      <c r="V31" s="64"/>
      <c r="W31" s="64"/>
      <c r="X31" s="64"/>
    </row>
    <row r="32" spans="1:24" x14ac:dyDescent="0.3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4"/>
      <c r="O32" s="64"/>
      <c r="P32" s="64"/>
      <c r="Q32" s="64"/>
      <c r="R32" s="64"/>
      <c r="S32" s="64"/>
      <c r="T32" s="70" t="str">
        <f ca="1">IF(R32="","",IFERROR(TODAY()+VLOOKUP(R32,REGRAS!$B$2:$C$13,2,0),""))</f>
        <v/>
      </c>
      <c r="U32" s="64"/>
      <c r="V32" s="64"/>
      <c r="W32" s="64"/>
      <c r="X32" s="64"/>
    </row>
    <row r="33" spans="1:24" x14ac:dyDescent="0.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4"/>
      <c r="O33" s="64"/>
      <c r="P33" s="64"/>
      <c r="Q33" s="64"/>
      <c r="R33" s="64"/>
      <c r="S33" s="64"/>
      <c r="T33" s="70" t="str">
        <f ca="1">IF(R33="","",IFERROR(TODAY()+VLOOKUP(R33,REGRAS!$B$2:$C$13,2,0),""))</f>
        <v/>
      </c>
      <c r="U33" s="64"/>
      <c r="V33" s="64"/>
      <c r="W33" s="64"/>
      <c r="X33" s="64"/>
    </row>
    <row r="34" spans="1:24" x14ac:dyDescent="0.3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4"/>
      <c r="O34" s="64"/>
      <c r="P34" s="64"/>
      <c r="Q34" s="64"/>
      <c r="R34" s="64"/>
      <c r="S34" s="64"/>
      <c r="T34" s="70" t="str">
        <f ca="1">IF(R34="","",IFERROR(TODAY()+VLOOKUP(R34,REGRAS!$B$2:$C$13,2,0),""))</f>
        <v/>
      </c>
      <c r="U34" s="64"/>
      <c r="V34" s="64"/>
      <c r="W34" s="64"/>
      <c r="X34" s="64"/>
    </row>
    <row r="35" spans="1:24" x14ac:dyDescent="0.3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4"/>
      <c r="O35" s="64"/>
      <c r="P35" s="64"/>
      <c r="Q35" s="64"/>
      <c r="R35" s="64"/>
      <c r="S35" s="64"/>
      <c r="T35" s="70" t="str">
        <f ca="1">IF(R35="","",IFERROR(TODAY()+VLOOKUP(R35,REGRAS!$B$2:$C$13,2,0),""))</f>
        <v/>
      </c>
      <c r="U35" s="64"/>
      <c r="V35" s="64"/>
      <c r="W35" s="64"/>
      <c r="X35" s="64"/>
    </row>
    <row r="36" spans="1:24" x14ac:dyDescent="0.3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4"/>
      <c r="O36" s="64"/>
      <c r="P36" s="64"/>
      <c r="Q36" s="64"/>
      <c r="R36" s="64"/>
      <c r="S36" s="64"/>
      <c r="T36" s="70" t="str">
        <f ca="1">IF(R36="","",IFERROR(TODAY()+VLOOKUP(R36,REGRAS!$B$2:$C$13,2,0),""))</f>
        <v/>
      </c>
      <c r="U36" s="64"/>
      <c r="V36" s="64"/>
      <c r="W36" s="64"/>
      <c r="X36" s="64"/>
    </row>
    <row r="37" spans="1:24" x14ac:dyDescent="0.3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4"/>
      <c r="O37" s="64"/>
      <c r="P37" s="64"/>
      <c r="Q37" s="64"/>
      <c r="R37" s="64"/>
      <c r="S37" s="64"/>
      <c r="T37" s="70" t="str">
        <f ca="1">IF(R37="","",IFERROR(TODAY()+VLOOKUP(R37,REGRAS!$B$2:$C$13,2,0),""))</f>
        <v/>
      </c>
      <c r="U37" s="64"/>
      <c r="V37" s="64"/>
      <c r="W37" s="64"/>
      <c r="X37" s="64"/>
    </row>
    <row r="38" spans="1:24" x14ac:dyDescent="0.3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4"/>
      <c r="O38" s="64"/>
      <c r="P38" s="64"/>
      <c r="Q38" s="64"/>
      <c r="R38" s="64"/>
      <c r="S38" s="64"/>
      <c r="T38" s="70" t="str">
        <f ca="1">IF(R38="","",IFERROR(TODAY()+VLOOKUP(R38,REGRAS!$B$2:$C$13,2,0),""))</f>
        <v/>
      </c>
      <c r="U38" s="64"/>
      <c r="V38" s="64"/>
      <c r="W38" s="64"/>
      <c r="X38" s="64"/>
    </row>
    <row r="39" spans="1:24" x14ac:dyDescent="0.3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4"/>
      <c r="O39" s="64"/>
      <c r="P39" s="64"/>
      <c r="Q39" s="64"/>
      <c r="R39" s="64"/>
      <c r="S39" s="64"/>
      <c r="T39" s="70" t="str">
        <f ca="1">IF(R39="","",IFERROR(TODAY()+VLOOKUP(R39,REGRAS!$B$2:$C$13,2,0),""))</f>
        <v/>
      </c>
      <c r="U39" s="64"/>
      <c r="V39" s="64"/>
      <c r="W39" s="64"/>
      <c r="X39" s="64"/>
    </row>
    <row r="40" spans="1:24" x14ac:dyDescent="0.3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4"/>
      <c r="O40" s="64"/>
      <c r="P40" s="64"/>
      <c r="Q40" s="64"/>
      <c r="R40" s="64"/>
      <c r="S40" s="64"/>
      <c r="T40" s="70" t="str">
        <f ca="1">IF(R40="","",IFERROR(TODAY()+VLOOKUP(R40,REGRAS!$B$2:$C$13,2,0),""))</f>
        <v/>
      </c>
      <c r="U40" s="64"/>
      <c r="V40" s="64"/>
      <c r="W40" s="64"/>
      <c r="X40" s="64"/>
    </row>
    <row r="41" spans="1:24" x14ac:dyDescent="0.3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4"/>
      <c r="O41" s="64"/>
      <c r="P41" s="64"/>
      <c r="Q41" s="64"/>
      <c r="R41" s="64"/>
      <c r="S41" s="64"/>
      <c r="T41" s="70" t="str">
        <f ca="1">IF(R41="","",IFERROR(TODAY()+VLOOKUP(R41,REGRAS!$B$2:$C$13,2,0),""))</f>
        <v/>
      </c>
      <c r="U41" s="64"/>
      <c r="V41" s="64"/>
      <c r="W41" s="64"/>
      <c r="X41" s="64"/>
    </row>
    <row r="42" spans="1:24" x14ac:dyDescent="0.3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4"/>
      <c r="O42" s="64"/>
      <c r="P42" s="64"/>
      <c r="Q42" s="64"/>
      <c r="R42" s="64"/>
      <c r="S42" s="64"/>
      <c r="T42" s="70" t="str">
        <f ca="1">IF(R42="","",IFERROR(TODAY()+VLOOKUP(R42,REGRAS!$B$2:$C$13,2,0),""))</f>
        <v/>
      </c>
      <c r="U42" s="64"/>
      <c r="V42" s="64"/>
      <c r="W42" s="64"/>
      <c r="X42" s="64"/>
    </row>
    <row r="43" spans="1:24" x14ac:dyDescent="0.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4"/>
      <c r="O43" s="64"/>
      <c r="P43" s="64"/>
      <c r="Q43" s="64"/>
      <c r="R43" s="64"/>
      <c r="S43" s="64"/>
      <c r="T43" s="70" t="str">
        <f ca="1">IF(R43="","",IFERROR(TODAY()+VLOOKUP(R43,REGRAS!$B$2:$C$13,2,0),""))</f>
        <v/>
      </c>
      <c r="U43" s="64"/>
      <c r="V43" s="64"/>
      <c r="W43" s="64"/>
      <c r="X43" s="64"/>
    </row>
    <row r="44" spans="1:24" x14ac:dyDescent="0.3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4"/>
      <c r="O44" s="64"/>
      <c r="P44" s="64"/>
      <c r="Q44" s="64"/>
      <c r="R44" s="64"/>
      <c r="S44" s="64"/>
      <c r="T44" s="70" t="str">
        <f ca="1">IF(R44="","",IFERROR(TODAY()+VLOOKUP(R44,REGRAS!$B$2:$C$13,2,0),""))</f>
        <v/>
      </c>
      <c r="U44" s="64"/>
      <c r="V44" s="64"/>
      <c r="W44" s="64"/>
      <c r="X44" s="64"/>
    </row>
    <row r="45" spans="1:24" x14ac:dyDescent="0.3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4"/>
      <c r="O45" s="64"/>
      <c r="P45" s="64"/>
      <c r="Q45" s="64"/>
      <c r="R45" s="64"/>
      <c r="S45" s="64"/>
      <c r="T45" s="70" t="str">
        <f ca="1">IF(R45="","",IFERROR(TODAY()+VLOOKUP(R45,REGRAS!$B$2:$C$13,2,0),""))</f>
        <v/>
      </c>
      <c r="U45" s="64"/>
      <c r="V45" s="64"/>
      <c r="W45" s="64"/>
      <c r="X45" s="64"/>
    </row>
    <row r="46" spans="1:24" x14ac:dyDescent="0.3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/>
      <c r="O46" s="64"/>
      <c r="P46" s="64"/>
      <c r="Q46" s="64"/>
      <c r="R46" s="64"/>
      <c r="S46" s="64"/>
      <c r="T46" s="70" t="str">
        <f ca="1">IF(R46="","",IFERROR(TODAY()+VLOOKUP(R46,REGRAS!$B$2:$C$13,2,0),""))</f>
        <v/>
      </c>
      <c r="U46" s="64"/>
      <c r="V46" s="64"/>
      <c r="W46" s="64"/>
      <c r="X46" s="64"/>
    </row>
    <row r="47" spans="1:24" x14ac:dyDescent="0.3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4"/>
      <c r="O47" s="64"/>
      <c r="P47" s="64"/>
      <c r="Q47" s="64"/>
      <c r="R47" s="64"/>
      <c r="S47" s="64"/>
      <c r="T47" s="70" t="str">
        <f ca="1">IF(R47="","",IFERROR(TODAY()+VLOOKUP(R47,REGRAS!$B$2:$C$13,2,0),""))</f>
        <v/>
      </c>
      <c r="U47" s="64"/>
      <c r="V47" s="64"/>
      <c r="W47" s="64"/>
      <c r="X47" s="64"/>
    </row>
    <row r="48" spans="1:24" x14ac:dyDescent="0.3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4"/>
      <c r="O48" s="64"/>
      <c r="P48" s="64"/>
      <c r="Q48" s="64"/>
      <c r="R48" s="64"/>
      <c r="S48" s="64"/>
      <c r="T48" s="70" t="str">
        <f ca="1">IF(R48="","",IFERROR(TODAY()+VLOOKUP(R48,REGRAS!$B$2:$C$13,2,0),""))</f>
        <v/>
      </c>
      <c r="U48" s="64"/>
      <c r="V48" s="64"/>
      <c r="W48" s="64"/>
      <c r="X48" s="64"/>
    </row>
    <row r="49" spans="1:24" x14ac:dyDescent="0.3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4"/>
      <c r="O49" s="64"/>
      <c r="P49" s="64"/>
      <c r="Q49" s="64"/>
      <c r="R49" s="64"/>
      <c r="S49" s="64"/>
      <c r="T49" s="70" t="str">
        <f ca="1">IF(R49="","",IFERROR(TODAY()+VLOOKUP(R49,REGRAS!$B$2:$C$13,2,0),""))</f>
        <v/>
      </c>
      <c r="U49" s="64"/>
      <c r="V49" s="64"/>
      <c r="W49" s="64"/>
      <c r="X49" s="64"/>
    </row>
    <row r="50" spans="1:24" x14ac:dyDescent="0.3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4"/>
      <c r="O50" s="64"/>
      <c r="P50" s="64"/>
      <c r="Q50" s="64"/>
      <c r="R50" s="64"/>
      <c r="S50" s="64"/>
      <c r="T50" s="70" t="str">
        <f ca="1">IF(R50="","",IFERROR(TODAY()+VLOOKUP(R50,REGRAS!$B$2:$C$13,2,0),""))</f>
        <v/>
      </c>
      <c r="U50" s="64"/>
      <c r="V50" s="64"/>
      <c r="W50" s="64"/>
      <c r="X50" s="64"/>
    </row>
    <row r="51" spans="1:24" x14ac:dyDescent="0.3">
      <c r="T51" s="47" t="str">
        <f ca="1">IF(R51="","",IFERROR(TODAY()+VLOOKUP(R51,REGRAS!$B$2:$C$13,2,0),""))</f>
        <v/>
      </c>
    </row>
    <row r="52" spans="1:24" x14ac:dyDescent="0.3">
      <c r="T52" s="47" t="str">
        <f ca="1">IF(R52="","",IFERROR(TODAY()+VLOOKUP(R52,REGRAS!$B$2:$C$13,2,0),""))</f>
        <v/>
      </c>
    </row>
    <row r="53" spans="1:24" x14ac:dyDescent="0.3">
      <c r="T53" s="47" t="str">
        <f ca="1">IF(R53="","",IFERROR(TODAY()+VLOOKUP(R53,REGRAS!$B$2:$C$13,2,0),""))</f>
        <v/>
      </c>
    </row>
    <row r="54" spans="1:24" x14ac:dyDescent="0.3">
      <c r="T54" s="47" t="str">
        <f ca="1">IF(R54="","",IFERROR(TODAY()+VLOOKUP(R54,REGRAS!$B$2:$C$13,2,0),""))</f>
        <v/>
      </c>
    </row>
    <row r="55" spans="1:24" x14ac:dyDescent="0.3">
      <c r="T55" s="47" t="str">
        <f ca="1">IF(R55="","",IFERROR(TODAY()+VLOOKUP(R55,REGRAS!$B$2:$C$13,2,0),""))</f>
        <v/>
      </c>
    </row>
    <row r="56" spans="1:24" x14ac:dyDescent="0.3">
      <c r="T56" s="47" t="str">
        <f ca="1">IF(R56="","",IFERROR(TODAY()+VLOOKUP(R56,REGRAS!$B$2:$C$13,2,0),""))</f>
        <v/>
      </c>
    </row>
    <row r="57" spans="1:24" x14ac:dyDescent="0.3">
      <c r="T57" s="47" t="str">
        <f ca="1">IF(R57="","",IFERROR(TODAY()+VLOOKUP(R57,REGRAS!$B$2:$C$13,2,0),""))</f>
        <v/>
      </c>
    </row>
    <row r="58" spans="1:24" x14ac:dyDescent="0.3">
      <c r="T58" s="47" t="str">
        <f ca="1">IF(R58="","",IFERROR(TODAY()+VLOOKUP(R58,REGRAS!$B$2:$C$13,2,0),""))</f>
        <v/>
      </c>
    </row>
    <row r="59" spans="1:24" x14ac:dyDescent="0.3">
      <c r="T59" s="47" t="str">
        <f ca="1">IF(R59="","",IFERROR(TODAY()+VLOOKUP(R59,REGRAS!$B$2:$C$13,2,0),""))</f>
        <v/>
      </c>
    </row>
    <row r="60" spans="1:24" x14ac:dyDescent="0.3">
      <c r="T60" s="47" t="str">
        <f ca="1">IF(R60="","",IFERROR(TODAY()+VLOOKUP(R60,REGRAS!$B$2:$C$13,2,0),""))</f>
        <v/>
      </c>
    </row>
    <row r="61" spans="1:24" x14ac:dyDescent="0.3">
      <c r="T61" s="47" t="str">
        <f ca="1">IF(R61="","",IFERROR(TODAY()+VLOOKUP(R61,REGRAS!$B$2:$C$13,2,0),""))</f>
        <v/>
      </c>
    </row>
    <row r="62" spans="1:24" x14ac:dyDescent="0.3">
      <c r="T62" s="47" t="str">
        <f ca="1">IF(R62="","",IFERROR(TODAY()+VLOOKUP(R62,REGRAS!$B$2:$C$13,2,0),""))</f>
        <v/>
      </c>
    </row>
    <row r="63" spans="1:24" x14ac:dyDescent="0.3">
      <c r="T63" s="47" t="str">
        <f ca="1">IF(R63="","",IFERROR(TODAY()+VLOOKUP(R63,REGRAS!$B$2:$C$13,2,0),""))</f>
        <v/>
      </c>
    </row>
    <row r="64" spans="1:24" x14ac:dyDescent="0.3">
      <c r="T64" s="47" t="str">
        <f ca="1">IF(R64="","",IFERROR(TODAY()+VLOOKUP(R64,REGRAS!$B$2:$C$13,2,0),""))</f>
        <v/>
      </c>
    </row>
    <row r="65" spans="20:20" x14ac:dyDescent="0.3">
      <c r="T65" s="47" t="str">
        <f ca="1">IF(R65="","",IFERROR(TODAY()+VLOOKUP(R65,REGRAS!$B$2:$C$13,2,0),""))</f>
        <v/>
      </c>
    </row>
    <row r="66" spans="20:20" x14ac:dyDescent="0.3">
      <c r="T66" s="47" t="str">
        <f ca="1">IF(R66="","",IFERROR(TODAY()+VLOOKUP(R66,REGRAS!$B$2:$C$13,2,0),""))</f>
        <v/>
      </c>
    </row>
    <row r="67" spans="20:20" x14ac:dyDescent="0.3">
      <c r="T67" s="47" t="str">
        <f ca="1">IF(R67="","",IFERROR(TODAY()+VLOOKUP(R67,REGRAS!$B$2:$C$13,2,0),""))</f>
        <v/>
      </c>
    </row>
    <row r="68" spans="20:20" x14ac:dyDescent="0.3">
      <c r="T68" s="47" t="str">
        <f ca="1">IF(R68="","",IFERROR(TODAY()+VLOOKUP(R68,REGRAS!$B$2:$C$13,2,0),""))</f>
        <v/>
      </c>
    </row>
    <row r="69" spans="20:20" x14ac:dyDescent="0.3">
      <c r="T69" s="47" t="str">
        <f ca="1">IF(R69="","",IFERROR(TODAY()+VLOOKUP(R69,REGRAS!$B$2:$C$13,2,0),""))</f>
        <v/>
      </c>
    </row>
    <row r="70" spans="20:20" x14ac:dyDescent="0.3">
      <c r="T70" s="47" t="str">
        <f ca="1">IF(R70="","",IFERROR(TODAY()+VLOOKUP(R70,REGRAS!$B$2:$C$13,2,0),""))</f>
        <v/>
      </c>
    </row>
    <row r="71" spans="20:20" x14ac:dyDescent="0.3">
      <c r="T71" s="47" t="str">
        <f ca="1">IF(R71="","",IFERROR(TODAY()+VLOOKUP(R71,REGRAS!$B$2:$C$13,2,0),""))</f>
        <v/>
      </c>
    </row>
    <row r="72" spans="20:20" x14ac:dyDescent="0.3">
      <c r="T72" s="47" t="str">
        <f ca="1">IF(R72="","",IFERROR(TODAY()+VLOOKUP(R72,REGRAS!$B$2:$C$13,2,0),""))</f>
        <v/>
      </c>
    </row>
    <row r="73" spans="20:20" x14ac:dyDescent="0.3">
      <c r="T73" s="47" t="str">
        <f ca="1">IF(R73="","",IFERROR(TODAY()+VLOOKUP(R73,REGRAS!$B$2:$C$13,2,0),""))</f>
        <v/>
      </c>
    </row>
    <row r="74" spans="20:20" x14ac:dyDescent="0.3">
      <c r="T74" s="47" t="str">
        <f ca="1">IF(R74="","",IFERROR(TODAY()+VLOOKUP(R74,REGRAS!$B$2:$C$13,2,0),""))</f>
        <v/>
      </c>
    </row>
    <row r="75" spans="20:20" x14ac:dyDescent="0.3">
      <c r="T75" s="47" t="str">
        <f ca="1">IF(R75="","",IFERROR(TODAY()+VLOOKUP(R75,REGRAS!$B$2:$C$13,2,0),""))</f>
        <v/>
      </c>
    </row>
    <row r="76" spans="20:20" x14ac:dyDescent="0.3">
      <c r="T76" s="47" t="str">
        <f ca="1">IF(R76="","",IFERROR(TODAY()+VLOOKUP(R76,REGRAS!$B$2:$C$13,2,0),""))</f>
        <v/>
      </c>
    </row>
    <row r="77" spans="20:20" x14ac:dyDescent="0.3">
      <c r="T77" s="47" t="str">
        <f ca="1">IF(R77="","",IFERROR(TODAY()+VLOOKUP(R77,REGRAS!$B$2:$C$13,2,0),""))</f>
        <v/>
      </c>
    </row>
    <row r="78" spans="20:20" x14ac:dyDescent="0.3">
      <c r="T78" s="47" t="str">
        <f ca="1">IF(R78="","",IFERROR(TODAY()+VLOOKUP(R78,REGRAS!$B$2:$C$13,2,0),""))</f>
        <v/>
      </c>
    </row>
    <row r="79" spans="20:20" x14ac:dyDescent="0.3">
      <c r="T79" s="47" t="str">
        <f ca="1">IF(R79="","",IFERROR(TODAY()+VLOOKUP(R79,REGRAS!$B$2:$C$13,2,0),""))</f>
        <v/>
      </c>
    </row>
    <row r="80" spans="20:20" x14ac:dyDescent="0.3">
      <c r="T80" s="47" t="str">
        <f ca="1">IF(R80="","",IFERROR(TODAY()+VLOOKUP(R80,REGRAS!$B$2:$C$13,2,0),""))</f>
        <v/>
      </c>
    </row>
    <row r="81" spans="20:20" x14ac:dyDescent="0.3">
      <c r="T81" s="47" t="str">
        <f ca="1">IF(R81="","",IFERROR(TODAY()+VLOOKUP(R81,REGRAS!$B$2:$C$13,2,0),""))</f>
        <v/>
      </c>
    </row>
    <row r="82" spans="20:20" x14ac:dyDescent="0.3">
      <c r="T82" s="47" t="str">
        <f ca="1">IF(R82="","",IFERROR(TODAY()+VLOOKUP(R82,REGRAS!$B$2:$C$13,2,0),""))</f>
        <v/>
      </c>
    </row>
    <row r="83" spans="20:20" x14ac:dyDescent="0.3">
      <c r="T83" s="47" t="str">
        <f ca="1">IF(R83="","",IFERROR(TODAY()+VLOOKUP(R83,REGRAS!$B$2:$C$13,2,0),""))</f>
        <v/>
      </c>
    </row>
    <row r="84" spans="20:20" x14ac:dyDescent="0.3">
      <c r="T84" s="47" t="str">
        <f ca="1">IF(R84="","",IFERROR(TODAY()+VLOOKUP(R84,REGRAS!$B$2:$C$13,2,0),""))</f>
        <v/>
      </c>
    </row>
    <row r="85" spans="20:20" x14ac:dyDescent="0.3">
      <c r="T85" s="47" t="str">
        <f ca="1">IF(R85="","",IFERROR(TODAY()+VLOOKUP(R85,REGRAS!$B$2:$C$13,2,0),""))</f>
        <v/>
      </c>
    </row>
    <row r="86" spans="20:20" x14ac:dyDescent="0.3">
      <c r="T86" s="47" t="str">
        <f ca="1">IF(R86="","",IFERROR(TODAY()+VLOOKUP(R86,REGRAS!$B$2:$C$13,2,0),""))</f>
        <v/>
      </c>
    </row>
    <row r="87" spans="20:20" x14ac:dyDescent="0.3">
      <c r="T87" s="47" t="str">
        <f ca="1">IF(R87="","",IFERROR(TODAY()+VLOOKUP(R87,REGRAS!$B$2:$C$13,2,0),""))</f>
        <v/>
      </c>
    </row>
    <row r="88" spans="20:20" x14ac:dyDescent="0.3">
      <c r="T88" s="47" t="str">
        <f ca="1">IF(R88="","",IFERROR(TODAY()+VLOOKUP(R88,REGRAS!$B$2:$C$13,2,0),""))</f>
        <v/>
      </c>
    </row>
    <row r="89" spans="20:20" x14ac:dyDescent="0.3">
      <c r="T89" s="47" t="str">
        <f ca="1">IF(R89="","",IFERROR(TODAY()+VLOOKUP(R89,REGRAS!$B$2:$C$13,2,0),""))</f>
        <v/>
      </c>
    </row>
    <row r="90" spans="20:20" x14ac:dyDescent="0.3">
      <c r="T90" s="47" t="str">
        <f ca="1">IF(R90="","",IFERROR(TODAY()+VLOOKUP(R90,REGRAS!$B$2:$C$13,2,0),""))</f>
        <v/>
      </c>
    </row>
    <row r="91" spans="20:20" x14ac:dyDescent="0.3">
      <c r="T91" s="47" t="str">
        <f ca="1">IF(R91="","",IFERROR(TODAY()+VLOOKUP(R91,REGRAS!$B$2:$C$13,2,0),""))</f>
        <v/>
      </c>
    </row>
    <row r="92" spans="20:20" x14ac:dyDescent="0.3">
      <c r="T92" s="47" t="str">
        <f ca="1">IF(R92="","",IFERROR(TODAY()+VLOOKUP(R92,REGRAS!$B$2:$C$13,2,0),""))</f>
        <v/>
      </c>
    </row>
    <row r="93" spans="20:20" x14ac:dyDescent="0.3">
      <c r="T93" s="47" t="str">
        <f ca="1">IF(R93="","",IFERROR(TODAY()+VLOOKUP(R93,REGRAS!$B$2:$C$13,2,0),""))</f>
        <v/>
      </c>
    </row>
    <row r="94" spans="20:20" x14ac:dyDescent="0.3">
      <c r="T94" s="47" t="str">
        <f ca="1">IF(R94="","",IFERROR(TODAY()+VLOOKUP(R94,REGRAS!$B$2:$C$13,2,0),""))</f>
        <v/>
      </c>
    </row>
    <row r="95" spans="20:20" x14ac:dyDescent="0.3">
      <c r="T95" s="47" t="str">
        <f ca="1">IF(R95="","",IFERROR(TODAY()+VLOOKUP(R95,REGRAS!$B$2:$C$13,2,0),""))</f>
        <v/>
      </c>
    </row>
    <row r="96" spans="20:20" x14ac:dyDescent="0.3">
      <c r="T96" s="47" t="str">
        <f ca="1">IF(R96="","",IFERROR(TODAY()+VLOOKUP(R96,REGRAS!$B$2:$C$13,2,0),""))</f>
        <v/>
      </c>
    </row>
    <row r="97" spans="20:20" x14ac:dyDescent="0.3">
      <c r="T97" s="47" t="str">
        <f ca="1">IF(R97="","",IFERROR(TODAY()+VLOOKUP(R97,REGRAS!$B$2:$C$13,2,0),""))</f>
        <v/>
      </c>
    </row>
    <row r="98" spans="20:20" x14ac:dyDescent="0.3">
      <c r="T98" s="47" t="str">
        <f ca="1">IF(R98="","",IFERROR(TODAY()+VLOOKUP(R98,REGRAS!$B$2:$C$13,2,0),""))</f>
        <v/>
      </c>
    </row>
    <row r="99" spans="20:20" x14ac:dyDescent="0.3">
      <c r="T99" s="47" t="str">
        <f ca="1">IF(R99="","",IFERROR(TODAY()+VLOOKUP(R99,REGRAS!$B$2:$C$13,2,0),""))</f>
        <v/>
      </c>
    </row>
    <row r="100" spans="20:20" x14ac:dyDescent="0.3">
      <c r="T100" s="47" t="str">
        <f ca="1">IF(R100="","",IFERROR(TODAY()+VLOOKUP(R100,REGRAS!$B$2:$C$13,2,0),""))</f>
        <v/>
      </c>
    </row>
    <row r="101" spans="20:20" x14ac:dyDescent="0.3">
      <c r="T101" s="47" t="str">
        <f ca="1">IF(R101="","",IFERROR(TODAY()+VLOOKUP(R101,REGRAS!$B$2:$C$13,2,0),""))</f>
        <v/>
      </c>
    </row>
    <row r="102" spans="20:20" x14ac:dyDescent="0.3">
      <c r="T102" s="47" t="str">
        <f ca="1">IF(R102="","",IFERROR(TODAY()+VLOOKUP(R102,REGRAS!$B$2:$C$13,2,0),""))</f>
        <v/>
      </c>
    </row>
    <row r="103" spans="20:20" x14ac:dyDescent="0.3">
      <c r="T103" s="47" t="str">
        <f ca="1">IF(R103="","",IFERROR(TODAY()+VLOOKUP(R103,REGRAS!$B$2:$C$13,2,0),""))</f>
        <v/>
      </c>
    </row>
    <row r="104" spans="20:20" x14ac:dyDescent="0.3">
      <c r="T104" s="47" t="str">
        <f ca="1">IF(R104="","",IFERROR(TODAY()+VLOOKUP(R104,REGRAS!$B$2:$C$13,2,0),""))</f>
        <v/>
      </c>
    </row>
    <row r="105" spans="20:20" x14ac:dyDescent="0.3">
      <c r="T105" s="47" t="str">
        <f ca="1">IF(R105="","",IFERROR(TODAY()+VLOOKUP(R105,REGRAS!$B$2:$C$13,2,0),""))</f>
        <v/>
      </c>
    </row>
    <row r="106" spans="20:20" x14ac:dyDescent="0.3">
      <c r="T106" s="47" t="str">
        <f ca="1">IF(R106="","",IFERROR(TODAY()+VLOOKUP(R106,REGRAS!$B$2:$C$13,2,0),""))</f>
        <v/>
      </c>
    </row>
    <row r="107" spans="20:20" x14ac:dyDescent="0.3">
      <c r="T107" s="47" t="str">
        <f ca="1">IF(R107="","",IFERROR(TODAY()+VLOOKUP(R107,REGRAS!$B$2:$C$13,2,0),""))</f>
        <v/>
      </c>
    </row>
    <row r="108" spans="20:20" x14ac:dyDescent="0.3">
      <c r="T108" s="47" t="str">
        <f ca="1">IF(R108="","",IFERROR(TODAY()+VLOOKUP(R108,REGRAS!$B$2:$C$13,2,0),""))</f>
        <v/>
      </c>
    </row>
    <row r="109" spans="20:20" x14ac:dyDescent="0.3">
      <c r="T109" s="47" t="str">
        <f ca="1">IF(R109="","",IFERROR(TODAY()+VLOOKUP(R109,REGRAS!$B$2:$C$13,2,0),""))</f>
        <v/>
      </c>
    </row>
    <row r="110" spans="20:20" x14ac:dyDescent="0.3">
      <c r="T110" s="47" t="str">
        <f ca="1">IF(R110="","",IFERROR(TODAY()+VLOOKUP(R110,REGRAS!$B$2:$C$13,2,0),""))</f>
        <v/>
      </c>
    </row>
    <row r="111" spans="20:20" x14ac:dyDescent="0.3">
      <c r="T111" s="47" t="str">
        <f ca="1">IF(R111="","",IFERROR(TODAY()+VLOOKUP(R111,REGRAS!$B$2:$C$13,2,0),""))</f>
        <v/>
      </c>
    </row>
    <row r="112" spans="20:20" x14ac:dyDescent="0.3">
      <c r="T112" s="47" t="str">
        <f ca="1">IF(R112="","",IFERROR(TODAY()+VLOOKUP(R112,REGRAS!$B$2:$C$13,2,0),""))</f>
        <v/>
      </c>
    </row>
    <row r="113" spans="20:20" x14ac:dyDescent="0.3">
      <c r="T113" s="47" t="str">
        <f ca="1">IF(R113="","",IFERROR(TODAY()+VLOOKUP(R113,REGRAS!$B$2:$C$13,2,0),""))</f>
        <v/>
      </c>
    </row>
    <row r="114" spans="20:20" x14ac:dyDescent="0.3">
      <c r="T114" s="47" t="str">
        <f ca="1">IF(R114="","",IFERROR(TODAY()+VLOOKUP(R114,REGRAS!$B$2:$C$13,2,0),""))</f>
        <v/>
      </c>
    </row>
    <row r="115" spans="20:20" x14ac:dyDescent="0.3">
      <c r="T115" s="47" t="str">
        <f ca="1">IF(R115="","",IFERROR(TODAY()+VLOOKUP(R115,REGRAS!$B$2:$C$13,2,0),""))</f>
        <v/>
      </c>
    </row>
    <row r="116" spans="20:20" x14ac:dyDescent="0.3">
      <c r="T116" s="47" t="str">
        <f ca="1">IF(R116="","",IFERROR(TODAY()+VLOOKUP(R116,REGRAS!$B$2:$C$13,2,0),""))</f>
        <v/>
      </c>
    </row>
    <row r="117" spans="20:20" x14ac:dyDescent="0.3">
      <c r="T117" s="47" t="str">
        <f ca="1">IF(R117="","",IFERROR(TODAY()+VLOOKUP(R117,REGRAS!$B$2:$C$13,2,0),""))</f>
        <v/>
      </c>
    </row>
    <row r="118" spans="20:20" x14ac:dyDescent="0.3">
      <c r="T118" s="47" t="str">
        <f ca="1">IF(R118="","",IFERROR(TODAY()+VLOOKUP(R118,REGRAS!$B$2:$C$13,2,0),""))</f>
        <v/>
      </c>
    </row>
    <row r="119" spans="20:20" x14ac:dyDescent="0.3">
      <c r="T119" s="47" t="str">
        <f ca="1">IF(R119="","",IFERROR(TODAY()+VLOOKUP(R119,REGRAS!$B$2:$C$13,2,0),""))</f>
        <v/>
      </c>
    </row>
    <row r="120" spans="20:20" x14ac:dyDescent="0.3">
      <c r="T120" s="47" t="str">
        <f ca="1">IF(R120="","",IFERROR(TODAY()+VLOOKUP(R120,REGRAS!$B$2:$C$13,2,0),""))</f>
        <v/>
      </c>
    </row>
    <row r="121" spans="20:20" x14ac:dyDescent="0.3">
      <c r="T121" s="47" t="str">
        <f ca="1">IF(R121="","",IFERROR(TODAY()+VLOOKUP(R121,REGRAS!$B$2:$C$13,2,0),""))</f>
        <v/>
      </c>
    </row>
    <row r="122" spans="20:20" x14ac:dyDescent="0.3">
      <c r="T122" s="47" t="str">
        <f ca="1">IF(R122="","",IFERROR(TODAY()+VLOOKUP(R122,REGRAS!$B$2:$C$13,2,0),""))</f>
        <v/>
      </c>
    </row>
    <row r="123" spans="20:20" x14ac:dyDescent="0.3">
      <c r="T123" s="47" t="str">
        <f ca="1">IF(R123="","",IFERROR(TODAY()+VLOOKUP(R123,REGRAS!$B$2:$C$13,2,0),""))</f>
        <v/>
      </c>
    </row>
    <row r="124" spans="20:20" x14ac:dyDescent="0.3">
      <c r="T124" s="47" t="str">
        <f ca="1">IF(R124="","",IFERROR(TODAY()+VLOOKUP(R124,REGRAS!$B$2:$C$13,2,0),""))</f>
        <v/>
      </c>
    </row>
    <row r="125" spans="20:20" x14ac:dyDescent="0.3">
      <c r="T125" s="47" t="str">
        <f ca="1">IF(R125="","",IFERROR(TODAY()+VLOOKUP(R125,REGRAS!$B$2:$C$13,2,0),""))</f>
        <v/>
      </c>
    </row>
    <row r="126" spans="20:20" x14ac:dyDescent="0.3">
      <c r="T126" s="47" t="str">
        <f ca="1">IF(R126="","",IFERROR(TODAY()+VLOOKUP(R126,REGRAS!$B$2:$C$13,2,0),""))</f>
        <v/>
      </c>
    </row>
    <row r="127" spans="20:20" x14ac:dyDescent="0.3">
      <c r="T127" s="47" t="str">
        <f ca="1">IF(R127="","",IFERROR(TODAY()+VLOOKUP(R127,REGRAS!$B$2:$C$13,2,0),""))</f>
        <v/>
      </c>
    </row>
    <row r="128" spans="20:20" x14ac:dyDescent="0.3">
      <c r="T128" s="47" t="str">
        <f ca="1">IF(R128="","",IFERROR(TODAY()+VLOOKUP(R128,REGRAS!$B$2:$C$13,2,0),""))</f>
        <v/>
      </c>
    </row>
    <row r="129" spans="20:20" x14ac:dyDescent="0.3">
      <c r="T129" s="47" t="str">
        <f ca="1">IF(R129="","",IFERROR(TODAY()+VLOOKUP(R129,REGRAS!$B$2:$C$13,2,0),""))</f>
        <v/>
      </c>
    </row>
    <row r="130" spans="20:20" x14ac:dyDescent="0.3">
      <c r="T130" s="47" t="str">
        <f ca="1">IF(R130="","",IFERROR(TODAY()+VLOOKUP(R130,REGRAS!$B$2:$C$13,2,0),""))</f>
        <v/>
      </c>
    </row>
    <row r="131" spans="20:20" x14ac:dyDescent="0.3">
      <c r="T131" s="47" t="str">
        <f ca="1">IF(R131="","",IFERROR(TODAY()+VLOOKUP(R131,REGRAS!$B$2:$C$13,2,0),""))</f>
        <v/>
      </c>
    </row>
    <row r="132" spans="20:20" x14ac:dyDescent="0.3">
      <c r="T132" s="47" t="str">
        <f ca="1">IF(R132="","",IFERROR(TODAY()+VLOOKUP(R132,REGRAS!$B$2:$C$13,2,0),""))</f>
        <v/>
      </c>
    </row>
    <row r="133" spans="20:20" x14ac:dyDescent="0.3">
      <c r="T133" s="47" t="str">
        <f ca="1">IF(R133="","",IFERROR(TODAY()+VLOOKUP(R133,REGRAS!$B$2:$C$13,2,0),""))</f>
        <v/>
      </c>
    </row>
    <row r="134" spans="20:20" x14ac:dyDescent="0.3">
      <c r="T134" s="47" t="str">
        <f ca="1">IF(R134="","",IFERROR(TODAY()+VLOOKUP(R134,REGRAS!$B$2:$C$13,2,0),""))</f>
        <v/>
      </c>
    </row>
    <row r="135" spans="20:20" x14ac:dyDescent="0.3">
      <c r="T135" s="47" t="str">
        <f ca="1">IF(R135="","",IFERROR(TODAY()+VLOOKUP(R135,REGRAS!$B$2:$C$13,2,0),""))</f>
        <v/>
      </c>
    </row>
    <row r="136" spans="20:20" x14ac:dyDescent="0.3">
      <c r="T136" s="47" t="str">
        <f ca="1">IF(R136="","",IFERROR(TODAY()+VLOOKUP(R136,REGRAS!$B$2:$C$13,2,0),""))</f>
        <v/>
      </c>
    </row>
    <row r="137" spans="20:20" x14ac:dyDescent="0.3">
      <c r="T137" s="47" t="str">
        <f ca="1">IF(R137="","",IFERROR(TODAY()+VLOOKUP(R137,REGRAS!$B$2:$C$13,2,0),""))</f>
        <v/>
      </c>
    </row>
    <row r="138" spans="20:20" x14ac:dyDescent="0.3">
      <c r="T138" s="47" t="str">
        <f ca="1">IF(R138="","",IFERROR(TODAY()+VLOOKUP(R138,REGRAS!$B$2:$C$13,2,0),""))</f>
        <v/>
      </c>
    </row>
    <row r="139" spans="20:20" x14ac:dyDescent="0.3">
      <c r="T139" s="47" t="str">
        <f ca="1">IF(R139="","",IFERROR(TODAY()+VLOOKUP(R139,REGRAS!$B$2:$C$13,2,0),""))</f>
        <v/>
      </c>
    </row>
    <row r="140" spans="20:20" x14ac:dyDescent="0.3">
      <c r="T140" s="47" t="str">
        <f ca="1">IF(R140="","",IFERROR(TODAY()+VLOOKUP(R140,REGRAS!$B$2:$C$13,2,0),""))</f>
        <v/>
      </c>
    </row>
    <row r="141" spans="20:20" x14ac:dyDescent="0.3">
      <c r="T141" s="47" t="str">
        <f ca="1">IF(R141="","",IFERROR(TODAY()+VLOOKUP(R141,REGRAS!$B$2:$C$13,2,0),""))</f>
        <v/>
      </c>
    </row>
    <row r="142" spans="20:20" x14ac:dyDescent="0.3">
      <c r="T142" s="47" t="str">
        <f ca="1">IF(R142="","",IFERROR(TODAY()+VLOOKUP(R142,REGRAS!$B$2:$C$13,2,0),""))</f>
        <v/>
      </c>
    </row>
    <row r="143" spans="20:20" x14ac:dyDescent="0.3">
      <c r="T143" s="47" t="str">
        <f ca="1">IF(R143="","",IFERROR(TODAY()+VLOOKUP(R143,REGRAS!$B$2:$C$13,2,0),""))</f>
        <v/>
      </c>
    </row>
    <row r="144" spans="20:20" x14ac:dyDescent="0.3">
      <c r="T144" s="47" t="str">
        <f ca="1">IF(R144="","",IFERROR(TODAY()+VLOOKUP(R144,REGRAS!$B$2:$C$13,2,0),""))</f>
        <v/>
      </c>
    </row>
    <row r="145" spans="20:20" x14ac:dyDescent="0.3">
      <c r="T145" s="47" t="str">
        <f ca="1">IF(R145="","",IFERROR(TODAY()+VLOOKUP(R145,REGRAS!$B$2:$C$13,2,0),""))</f>
        <v/>
      </c>
    </row>
    <row r="146" spans="20:20" x14ac:dyDescent="0.3">
      <c r="T146" s="47" t="str">
        <f ca="1">IF(R146="","",IFERROR(TODAY()+VLOOKUP(R146,REGRAS!$B$2:$C$13,2,0),""))</f>
        <v/>
      </c>
    </row>
    <row r="147" spans="20:20" x14ac:dyDescent="0.3">
      <c r="T147" s="47" t="str">
        <f ca="1">IF(R147="","",IFERROR(TODAY()+VLOOKUP(R147,REGRAS!$B$2:$C$13,2,0),""))</f>
        <v/>
      </c>
    </row>
    <row r="148" spans="20:20" x14ac:dyDescent="0.3">
      <c r="T148" s="47" t="str">
        <f ca="1">IF(R148="","",IFERROR(TODAY()+VLOOKUP(R148,REGRAS!$B$2:$C$13,2,0),""))</f>
        <v/>
      </c>
    </row>
    <row r="149" spans="20:20" x14ac:dyDescent="0.3">
      <c r="T149" s="47" t="str">
        <f ca="1">IF(R149="","",IFERROR(TODAY()+VLOOKUP(R149,REGRAS!$B$2:$C$13,2,0),""))</f>
        <v/>
      </c>
    </row>
    <row r="150" spans="20:20" x14ac:dyDescent="0.3">
      <c r="T150" s="47" t="str">
        <f ca="1">IF(R150="","",IFERROR(TODAY()+VLOOKUP(R150,REGRAS!$B$2:$C$13,2,0),""))</f>
        <v/>
      </c>
    </row>
    <row r="151" spans="20:20" x14ac:dyDescent="0.3">
      <c r="T151" s="47" t="str">
        <f ca="1">IF(R151="","",IFERROR(TODAY()+VLOOKUP(R151,REGRAS!$B$2:$C$13,2,0),""))</f>
        <v/>
      </c>
    </row>
    <row r="152" spans="20:20" x14ac:dyDescent="0.3">
      <c r="T152" s="47" t="str">
        <f ca="1">IF(R152="","",IFERROR(TODAY()+VLOOKUP(R152,REGRAS!$B$2:$C$13,2,0),""))</f>
        <v/>
      </c>
    </row>
    <row r="153" spans="20:20" x14ac:dyDescent="0.3">
      <c r="T153" s="47" t="str">
        <f ca="1">IF(R153="","",IFERROR(TODAY()+VLOOKUP(R153,REGRAS!$B$2:$C$13,2,0),""))</f>
        <v/>
      </c>
    </row>
    <row r="154" spans="20:20" x14ac:dyDescent="0.3">
      <c r="T154" s="47" t="str">
        <f ca="1">IF(R154="","",IFERROR(TODAY()+VLOOKUP(R154,REGRAS!$B$2:$C$13,2,0),""))</f>
        <v/>
      </c>
    </row>
    <row r="155" spans="20:20" x14ac:dyDescent="0.3">
      <c r="T155" s="47" t="str">
        <f ca="1">IF(R155="","",IFERROR(TODAY()+VLOOKUP(R155,REGRAS!$B$2:$C$13,2,0),""))</f>
        <v/>
      </c>
    </row>
    <row r="156" spans="20:20" x14ac:dyDescent="0.3">
      <c r="T156" s="47" t="str">
        <f ca="1">IF(R156="","",IFERROR(TODAY()+VLOOKUP(R156,REGRAS!$B$2:$C$13,2,0),""))</f>
        <v/>
      </c>
    </row>
    <row r="157" spans="20:20" x14ac:dyDescent="0.3">
      <c r="T157" s="47" t="str">
        <f ca="1">IF(R157="","",IFERROR(TODAY()+VLOOKUP(R157,REGRAS!$B$2:$C$13,2,0),""))</f>
        <v/>
      </c>
    </row>
    <row r="158" spans="20:20" x14ac:dyDescent="0.3">
      <c r="T158" s="47" t="str">
        <f ca="1">IF(R158="","",IFERROR(TODAY()+VLOOKUP(R158,REGRAS!$B$2:$C$13,2,0),""))</f>
        <v/>
      </c>
    </row>
    <row r="159" spans="20:20" x14ac:dyDescent="0.3">
      <c r="T159" s="47" t="str">
        <f ca="1">IF(R159="","",IFERROR(TODAY()+VLOOKUP(R159,REGRAS!$B$2:$C$13,2,0),""))</f>
        <v/>
      </c>
    </row>
    <row r="160" spans="20:20" x14ac:dyDescent="0.3">
      <c r="T160" s="47" t="str">
        <f ca="1">IF(R160="","",IFERROR(TODAY()+VLOOKUP(R160,REGRAS!$B$2:$C$13,2,0),""))</f>
        <v/>
      </c>
    </row>
    <row r="161" spans="20:20" x14ac:dyDescent="0.3">
      <c r="T161" s="47" t="str">
        <f ca="1">IF(R161="","",IFERROR(TODAY()+VLOOKUP(R161,REGRAS!$B$2:$C$13,2,0),""))</f>
        <v/>
      </c>
    </row>
    <row r="162" spans="20:20" x14ac:dyDescent="0.3">
      <c r="T162" s="47" t="str">
        <f ca="1">IF(R162="","",IFERROR(TODAY()+VLOOKUP(R162,REGRAS!$B$2:$C$13,2,0),""))</f>
        <v/>
      </c>
    </row>
    <row r="163" spans="20:20" x14ac:dyDescent="0.3">
      <c r="T163" s="47" t="str">
        <f ca="1">IF(R163="","",IFERROR(TODAY()+VLOOKUP(R163,REGRAS!$B$2:$C$13,2,0),""))</f>
        <v/>
      </c>
    </row>
    <row r="164" spans="20:20" x14ac:dyDescent="0.3">
      <c r="T164" s="47" t="str">
        <f ca="1">IF(R164="","",IFERROR(TODAY()+VLOOKUP(R164,REGRAS!$B$2:$C$13,2,0),""))</f>
        <v/>
      </c>
    </row>
    <row r="165" spans="20:20" x14ac:dyDescent="0.3">
      <c r="T165" s="47" t="str">
        <f ca="1">IF(R165="","",IFERROR(TODAY()+VLOOKUP(R165,REGRAS!$B$2:$C$13,2,0),""))</f>
        <v/>
      </c>
    </row>
    <row r="166" spans="20:20" x14ac:dyDescent="0.3">
      <c r="T166" s="47" t="str">
        <f ca="1">IF(R166="","",IFERROR(TODAY()+VLOOKUP(R166,REGRAS!$B$2:$C$13,2,0),""))</f>
        <v/>
      </c>
    </row>
    <row r="167" spans="20:20" x14ac:dyDescent="0.3">
      <c r="T167" s="47" t="str">
        <f ca="1">IF(R167="","",IFERROR(TODAY()+VLOOKUP(R167,REGRAS!$B$2:$C$13,2,0),""))</f>
        <v/>
      </c>
    </row>
    <row r="168" spans="20:20" x14ac:dyDescent="0.3">
      <c r="T168" s="47" t="str">
        <f ca="1">IF(R168="","",IFERROR(TODAY()+VLOOKUP(R168,REGRAS!$B$2:$C$13,2,0),""))</f>
        <v/>
      </c>
    </row>
    <row r="169" spans="20:20" x14ac:dyDescent="0.3">
      <c r="T169" s="47" t="str">
        <f ca="1">IF(R169="","",IFERROR(TODAY()+VLOOKUP(R169,REGRAS!$B$2:$C$13,2,0),""))</f>
        <v/>
      </c>
    </row>
    <row r="170" spans="20:20" x14ac:dyDescent="0.3">
      <c r="T170" s="47" t="str">
        <f ca="1">IF(R170="","",IFERROR(TODAY()+VLOOKUP(R170,REGRAS!$B$2:$C$13,2,0),""))</f>
        <v/>
      </c>
    </row>
    <row r="171" spans="20:20" x14ac:dyDescent="0.3">
      <c r="T171" s="47" t="str">
        <f ca="1">IF(R171="","",IFERROR(TODAY()+VLOOKUP(R171,REGRAS!$B$2:$C$13,2,0),""))</f>
        <v/>
      </c>
    </row>
    <row r="172" spans="20:20" x14ac:dyDescent="0.3">
      <c r="T172" s="47" t="str">
        <f ca="1">IF(R172="","",IFERROR(TODAY()+VLOOKUP(R172,REGRAS!$B$2:$C$13,2,0),""))</f>
        <v/>
      </c>
    </row>
    <row r="173" spans="20:20" x14ac:dyDescent="0.3">
      <c r="T173" s="47" t="str">
        <f ca="1">IF(R173="","",IFERROR(TODAY()+VLOOKUP(R173,REGRAS!$B$2:$C$13,2,0),""))</f>
        <v/>
      </c>
    </row>
    <row r="174" spans="20:20" x14ac:dyDescent="0.3">
      <c r="T174" s="47" t="str">
        <f ca="1">IF(R174="","",IFERROR(TODAY()+VLOOKUP(R174,REGRAS!$B$2:$C$13,2,0),""))</f>
        <v/>
      </c>
    </row>
    <row r="175" spans="20:20" x14ac:dyDescent="0.3">
      <c r="T175" s="47" t="str">
        <f ca="1">IF(R175="","",IFERROR(TODAY()+VLOOKUP(R175,REGRAS!$B$2:$C$13,2,0),""))</f>
        <v/>
      </c>
    </row>
    <row r="176" spans="20:20" x14ac:dyDescent="0.3">
      <c r="T176" s="47" t="str">
        <f ca="1">IF(R176="","",IFERROR(TODAY()+VLOOKUP(R176,REGRAS!$B$2:$C$13,2,0),""))</f>
        <v/>
      </c>
    </row>
    <row r="177" spans="20:20" x14ac:dyDescent="0.3">
      <c r="T177" s="47" t="str">
        <f ca="1">IF(R177="","",IFERROR(TODAY()+VLOOKUP(R177,REGRAS!$B$2:$C$13,2,0),""))</f>
        <v/>
      </c>
    </row>
    <row r="178" spans="20:20" x14ac:dyDescent="0.3">
      <c r="T178" s="47" t="str">
        <f ca="1">IF(R178="","",IFERROR(TODAY()+VLOOKUP(R178,REGRAS!$B$2:$C$13,2,0),""))</f>
        <v/>
      </c>
    </row>
    <row r="179" spans="20:20" x14ac:dyDescent="0.3">
      <c r="T179" s="47" t="str">
        <f ca="1">IF(R179="","",IFERROR(TODAY()+VLOOKUP(R179,REGRAS!$B$2:$C$13,2,0),""))</f>
        <v/>
      </c>
    </row>
    <row r="180" spans="20:20" x14ac:dyDescent="0.3">
      <c r="T180" s="47" t="str">
        <f ca="1">IF(R180="","",IFERROR(TODAY()+VLOOKUP(R180,REGRAS!$B$2:$C$13,2,0),""))</f>
        <v/>
      </c>
    </row>
    <row r="181" spans="20:20" x14ac:dyDescent="0.3">
      <c r="T181" s="47" t="str">
        <f ca="1">IF(R181="","",IFERROR(TODAY()+VLOOKUP(R181,REGRAS!$B$2:$C$13,2,0),""))</f>
        <v/>
      </c>
    </row>
    <row r="182" spans="20:20" x14ac:dyDescent="0.3">
      <c r="T182" s="47" t="str">
        <f ca="1">IF(R182="","",IFERROR(TODAY()+VLOOKUP(R182,REGRAS!$B$2:$C$13,2,0),""))</f>
        <v/>
      </c>
    </row>
    <row r="183" spans="20:20" x14ac:dyDescent="0.3">
      <c r="T183" s="47" t="str">
        <f ca="1">IF(R183="","",IFERROR(TODAY()+VLOOKUP(R183,REGRAS!$B$2:$C$13,2,0),""))</f>
        <v/>
      </c>
    </row>
    <row r="184" spans="20:20" x14ac:dyDescent="0.3">
      <c r="T184" s="47" t="str">
        <f ca="1">IF(R184="","",IFERROR(TODAY()+VLOOKUP(R184,REGRAS!$B$2:$C$13,2,0),""))</f>
        <v/>
      </c>
    </row>
    <row r="185" spans="20:20" x14ac:dyDescent="0.3">
      <c r="T185" s="47" t="str">
        <f ca="1">IF(R185="","",IFERROR(TODAY()+VLOOKUP(R185,REGRAS!$B$2:$C$13,2,0),""))</f>
        <v/>
      </c>
    </row>
    <row r="186" spans="20:20" x14ac:dyDescent="0.3">
      <c r="T186" s="47" t="str">
        <f ca="1">IF(R186="","",IFERROR(TODAY()+VLOOKUP(R186,REGRAS!$B$2:$C$13,2,0),""))</f>
        <v/>
      </c>
    </row>
    <row r="187" spans="20:20" x14ac:dyDescent="0.3">
      <c r="T187" s="47" t="str">
        <f ca="1">IF(R187="","",IFERROR(TODAY()+VLOOKUP(R187,REGRAS!$B$2:$C$13,2,0),""))</f>
        <v/>
      </c>
    </row>
    <row r="188" spans="20:20" x14ac:dyDescent="0.3">
      <c r="T188" s="47" t="str">
        <f ca="1">IF(R188="","",IFERROR(TODAY()+VLOOKUP(R188,REGRAS!$B$2:$C$13,2,0),""))</f>
        <v/>
      </c>
    </row>
    <row r="189" spans="20:20" x14ac:dyDescent="0.3">
      <c r="T189" s="47" t="str">
        <f ca="1">IF(R189="","",IFERROR(TODAY()+VLOOKUP(R189,REGRAS!$B$2:$C$13,2,0),""))</f>
        <v/>
      </c>
    </row>
    <row r="190" spans="20:20" x14ac:dyDescent="0.3">
      <c r="T190" s="47" t="str">
        <f ca="1">IF(R190="","",IFERROR(TODAY()+VLOOKUP(R190,REGRAS!$B$2:$C$13,2,0),""))</f>
        <v/>
      </c>
    </row>
    <row r="191" spans="20:20" x14ac:dyDescent="0.3">
      <c r="T191" s="47" t="str">
        <f ca="1">IF(R191="","",IFERROR(TODAY()+VLOOKUP(R191,REGRAS!$B$2:$C$13,2,0),""))</f>
        <v/>
      </c>
    </row>
    <row r="192" spans="20:20" x14ac:dyDescent="0.3">
      <c r="T192" s="47" t="str">
        <f ca="1">IF(R192="","",IFERROR(TODAY()+VLOOKUP(R192,REGRAS!$B$2:$C$13,2,0),""))</f>
        <v/>
      </c>
    </row>
    <row r="193" spans="20:20" x14ac:dyDescent="0.3">
      <c r="T193" s="47" t="str">
        <f ca="1">IF(R193="","",IFERROR(TODAY()+VLOOKUP(R193,REGRAS!$B$2:$C$13,2,0),""))</f>
        <v/>
      </c>
    </row>
    <row r="194" spans="20:20" x14ac:dyDescent="0.3">
      <c r="T194" s="47" t="str">
        <f ca="1">IF(R194="","",IFERROR(TODAY()+VLOOKUP(R194,REGRAS!$B$2:$C$13,2,0),""))</f>
        <v/>
      </c>
    </row>
    <row r="195" spans="20:20" x14ac:dyDescent="0.3">
      <c r="T195" s="47" t="str">
        <f ca="1">IF(R195="","",IFERROR(TODAY()+VLOOKUP(R195,REGRAS!$B$2:$C$13,2,0),""))</f>
        <v/>
      </c>
    </row>
    <row r="196" spans="20:20" x14ac:dyDescent="0.3">
      <c r="T196" s="47" t="str">
        <f ca="1">IF(R196="","",IFERROR(TODAY()+VLOOKUP(R196,REGRAS!$B$2:$C$13,2,0),""))</f>
        <v/>
      </c>
    </row>
    <row r="197" spans="20:20" x14ac:dyDescent="0.3">
      <c r="T197" s="47" t="str">
        <f ca="1">IF(R197="","",IFERROR(TODAY()+VLOOKUP(R197,REGRAS!$B$2:$C$13,2,0),""))</f>
        <v/>
      </c>
    </row>
    <row r="198" spans="20:20" x14ac:dyDescent="0.3">
      <c r="T198" s="47" t="str">
        <f ca="1">IF(R198="","",IFERROR(TODAY()+VLOOKUP(R198,REGRAS!$B$2:$C$13,2,0),""))</f>
        <v/>
      </c>
    </row>
    <row r="199" spans="20:20" x14ac:dyDescent="0.3">
      <c r="T199" s="47" t="str">
        <f ca="1">IF(R199="","",IFERROR(TODAY()+VLOOKUP(R199,REGRAS!$B$2:$C$13,2,0),""))</f>
        <v/>
      </c>
    </row>
    <row r="200" spans="20:20" x14ac:dyDescent="0.3">
      <c r="T200" s="47" t="str">
        <f ca="1">IF(R200="","",IFERROR(TODAY()+VLOOKUP(R200,REGRAS!$B$2:$C$13,2,0),""))</f>
        <v/>
      </c>
    </row>
    <row r="201" spans="20:20" x14ac:dyDescent="0.3">
      <c r="T201" s="47" t="str">
        <f ca="1">IF(R201="","",IFERROR(TODAY()+VLOOKUP(R201,REGRAS!$B$2:$C$13,2,0),""))</f>
        <v/>
      </c>
    </row>
    <row r="202" spans="20:20" x14ac:dyDescent="0.3">
      <c r="T202" s="47" t="str">
        <f ca="1">IF(R202="","",IFERROR(TODAY()+VLOOKUP(R202,REGRAS!$B$2:$C$13,2,0),""))</f>
        <v/>
      </c>
    </row>
    <row r="203" spans="20:20" x14ac:dyDescent="0.3">
      <c r="T203" s="47" t="str">
        <f ca="1">IF(R203="","",IFERROR(TODAY()+VLOOKUP(R203,REGRAS!$B$2:$C$13,2,0),""))</f>
        <v/>
      </c>
    </row>
    <row r="204" spans="20:20" x14ac:dyDescent="0.3">
      <c r="T204" s="47" t="str">
        <f ca="1">IF(R204="","",IFERROR(TODAY()+VLOOKUP(R204,REGRAS!$B$2:$C$13,2,0),""))</f>
        <v/>
      </c>
    </row>
    <row r="205" spans="20:20" x14ac:dyDescent="0.3">
      <c r="T205" s="47" t="str">
        <f ca="1">IF(R205="","",IFERROR(TODAY()+VLOOKUP(R205,REGRAS!$B$2:$C$13,2,0),""))</f>
        <v/>
      </c>
    </row>
    <row r="206" spans="20:20" x14ac:dyDescent="0.3">
      <c r="T206" s="47" t="str">
        <f ca="1">IF(R206="","",IFERROR(TODAY()+VLOOKUP(R206,REGRAS!$B$2:$C$13,2,0),""))</f>
        <v/>
      </c>
    </row>
    <row r="207" spans="20:20" x14ac:dyDescent="0.3">
      <c r="T207" s="47" t="str">
        <f ca="1">IF(R207="","",IFERROR(TODAY()+VLOOKUP(R207,REGRAS!$B$2:$C$13,2,0),""))</f>
        <v/>
      </c>
    </row>
    <row r="208" spans="20:20" x14ac:dyDescent="0.3">
      <c r="T208" s="47" t="str">
        <f ca="1">IF(R208="","",IFERROR(TODAY()+VLOOKUP(R208,REGRAS!$B$2:$C$13,2,0),""))</f>
        <v/>
      </c>
    </row>
    <row r="209" spans="20:20" x14ac:dyDescent="0.3">
      <c r="T209" s="47" t="str">
        <f ca="1">IF(R209="","",IFERROR(TODAY()+VLOOKUP(R209,REGRAS!$B$2:$C$13,2,0),""))</f>
        <v/>
      </c>
    </row>
    <row r="210" spans="20:20" x14ac:dyDescent="0.3">
      <c r="T210" s="47" t="str">
        <f ca="1">IF(R210="","",IFERROR(TODAY()+VLOOKUP(R210,REGRAS!$B$2:$C$13,2,0),""))</f>
        <v/>
      </c>
    </row>
    <row r="211" spans="20:20" x14ac:dyDescent="0.3">
      <c r="T211" s="47" t="str">
        <f ca="1">IF(R211="","",IFERROR(TODAY()+VLOOKUP(R211,REGRAS!$B$2:$C$13,2,0),""))</f>
        <v/>
      </c>
    </row>
    <row r="212" spans="20:20" x14ac:dyDescent="0.3">
      <c r="T212" s="47" t="str">
        <f ca="1">IF(R212="","",IFERROR(TODAY()+VLOOKUP(R212,REGRAS!$B$2:$C$13,2,0),""))</f>
        <v/>
      </c>
    </row>
    <row r="213" spans="20:20" x14ac:dyDescent="0.3">
      <c r="T213" s="47" t="str">
        <f ca="1">IF(R213="","",IFERROR(TODAY()+VLOOKUP(R213,REGRAS!$B$2:$C$13,2,0),""))</f>
        <v/>
      </c>
    </row>
    <row r="214" spans="20:20" x14ac:dyDescent="0.3">
      <c r="T214" s="47" t="str">
        <f ca="1">IF(R214="","",IFERROR(TODAY()+VLOOKUP(R214,REGRAS!$B$2:$C$13,2,0),""))</f>
        <v/>
      </c>
    </row>
    <row r="215" spans="20:20" x14ac:dyDescent="0.3">
      <c r="T215" s="47" t="str">
        <f ca="1">IF(R215="","",IFERROR(TODAY()+VLOOKUP(R215,REGRAS!$B$2:$C$13,2,0),""))</f>
        <v/>
      </c>
    </row>
    <row r="216" spans="20:20" x14ac:dyDescent="0.3">
      <c r="T216" s="47" t="str">
        <f ca="1">IF(R216="","",IFERROR(TODAY()+VLOOKUP(R216,REGRAS!$B$2:$C$13,2,0),""))</f>
        <v/>
      </c>
    </row>
    <row r="217" spans="20:20" x14ac:dyDescent="0.3">
      <c r="T217" s="47" t="str">
        <f ca="1">IF(R217="","",IFERROR(TODAY()+VLOOKUP(R217,REGRAS!$B$2:$C$13,2,0),""))</f>
        <v/>
      </c>
    </row>
    <row r="218" spans="20:20" x14ac:dyDescent="0.3">
      <c r="T218" s="47" t="str">
        <f ca="1">IF(R218="","",IFERROR(TODAY()+VLOOKUP(R218,REGRAS!$B$2:$C$13,2,0),""))</f>
        <v/>
      </c>
    </row>
    <row r="219" spans="20:20" x14ac:dyDescent="0.3">
      <c r="T219" s="47" t="str">
        <f ca="1">IF(R219="","",IFERROR(TODAY()+VLOOKUP(R219,REGRAS!$B$2:$C$13,2,0),""))</f>
        <v/>
      </c>
    </row>
    <row r="220" spans="20:20" x14ac:dyDescent="0.3">
      <c r="T220" s="47" t="str">
        <f ca="1">IF(R220="","",IFERROR(TODAY()+VLOOKUP(R220,REGRAS!$B$2:$C$13,2,0),""))</f>
        <v/>
      </c>
    </row>
    <row r="221" spans="20:20" x14ac:dyDescent="0.3">
      <c r="T221" s="47" t="str">
        <f ca="1">IF(R221="","",IFERROR(TODAY()+VLOOKUP(R221,REGRAS!$B$2:$C$13,2,0),""))</f>
        <v/>
      </c>
    </row>
    <row r="222" spans="20:20" x14ac:dyDescent="0.3">
      <c r="T222" s="47" t="str">
        <f ca="1">IF(R222="","",IFERROR(TODAY()+VLOOKUP(R222,REGRAS!$B$2:$C$13,2,0),""))</f>
        <v/>
      </c>
    </row>
    <row r="223" spans="20:20" x14ac:dyDescent="0.3">
      <c r="T223" s="47" t="str">
        <f ca="1">IF(R223="","",IFERROR(TODAY()+VLOOKUP(R223,REGRAS!$B$2:$C$13,2,0),""))</f>
        <v/>
      </c>
    </row>
    <row r="224" spans="20:20" x14ac:dyDescent="0.3">
      <c r="T224" s="47" t="str">
        <f ca="1">IF(R224="","",IFERROR(TODAY()+VLOOKUP(R224,REGRAS!$B$2:$C$13,2,0),""))</f>
        <v/>
      </c>
    </row>
    <row r="225" spans="20:20" x14ac:dyDescent="0.3">
      <c r="T225" s="47" t="str">
        <f ca="1">IF(R225="","",IFERROR(TODAY()+VLOOKUP(R225,REGRAS!$B$2:$C$13,2,0),""))</f>
        <v/>
      </c>
    </row>
    <row r="226" spans="20:20" x14ac:dyDescent="0.3">
      <c r="T226" s="47" t="str">
        <f ca="1">IF(R226="","",IFERROR(TODAY()+VLOOKUP(R226,REGRAS!$B$2:$C$13,2,0),""))</f>
        <v/>
      </c>
    </row>
    <row r="227" spans="20:20" x14ac:dyDescent="0.3">
      <c r="T227" s="47" t="str">
        <f ca="1">IF(R227="","",IFERROR(TODAY()+VLOOKUP(R227,REGRAS!$B$2:$C$13,2,0),""))</f>
        <v/>
      </c>
    </row>
    <row r="228" spans="20:20" x14ac:dyDescent="0.3">
      <c r="T228" s="47" t="str">
        <f ca="1">IF(R228="","",IFERROR(TODAY()+VLOOKUP(R228,REGRAS!$B$2:$C$13,2,0),""))</f>
        <v/>
      </c>
    </row>
    <row r="229" spans="20:20" x14ac:dyDescent="0.3">
      <c r="T229" s="47" t="str">
        <f ca="1">IF(R229="","",IFERROR(TODAY()+VLOOKUP(R229,REGRAS!$B$2:$C$13,2,0),""))</f>
        <v/>
      </c>
    </row>
    <row r="230" spans="20:20" x14ac:dyDescent="0.3">
      <c r="T230" s="47" t="str">
        <f ca="1">IF(R230="","",IFERROR(TODAY()+VLOOKUP(R230,REGRAS!$B$2:$C$13,2,0),""))</f>
        <v/>
      </c>
    </row>
    <row r="231" spans="20:20" x14ac:dyDescent="0.3">
      <c r="T231" s="47" t="str">
        <f ca="1">IF(R231="","",IFERROR(TODAY()+VLOOKUP(R231,REGRAS!$B$2:$C$13,2,0),""))</f>
        <v/>
      </c>
    </row>
    <row r="232" spans="20:20" x14ac:dyDescent="0.3">
      <c r="T232" s="47" t="str">
        <f ca="1">IF(R232="","",IFERROR(TODAY()+VLOOKUP(R232,REGRAS!$B$2:$C$13,2,0),""))</f>
        <v/>
      </c>
    </row>
    <row r="233" spans="20:20" x14ac:dyDescent="0.3">
      <c r="T233" s="47" t="str">
        <f ca="1">IF(R233="","",IFERROR(TODAY()+VLOOKUP(R233,REGRAS!$B$2:$C$13,2,0),""))</f>
        <v/>
      </c>
    </row>
    <row r="234" spans="20:20" x14ac:dyDescent="0.3">
      <c r="T234" s="47" t="str">
        <f ca="1">IF(R234="","",IFERROR(TODAY()+VLOOKUP(R234,REGRAS!$B$2:$C$13,2,0),""))</f>
        <v/>
      </c>
    </row>
    <row r="235" spans="20:20" x14ac:dyDescent="0.3">
      <c r="T235" s="47" t="str">
        <f ca="1">IF(R235="","",IFERROR(TODAY()+VLOOKUP(R235,REGRAS!$B$2:$C$13,2,0),""))</f>
        <v/>
      </c>
    </row>
    <row r="236" spans="20:20" x14ac:dyDescent="0.3">
      <c r="T236" s="47" t="str">
        <f ca="1">IF(R236="","",IFERROR(TODAY()+VLOOKUP(R236,REGRAS!$B$2:$C$13,2,0),""))</f>
        <v/>
      </c>
    </row>
    <row r="237" spans="20:20" x14ac:dyDescent="0.3">
      <c r="T237" s="47" t="str">
        <f ca="1">IF(R237="","",IFERROR(TODAY()+VLOOKUP(R237,REGRAS!$B$2:$C$13,2,0),""))</f>
        <v/>
      </c>
    </row>
    <row r="238" spans="20:20" x14ac:dyDescent="0.3">
      <c r="T238" s="47" t="str">
        <f ca="1">IF(R238="","",IFERROR(TODAY()+VLOOKUP(R238,REGRAS!$B$2:$C$13,2,0),""))</f>
        <v/>
      </c>
    </row>
    <row r="239" spans="20:20" x14ac:dyDescent="0.3">
      <c r="T239" s="47" t="str">
        <f ca="1">IF(R239="","",IFERROR(TODAY()+VLOOKUP(R239,REGRAS!$B$2:$C$13,2,0),""))</f>
        <v/>
      </c>
    </row>
    <row r="240" spans="20:20" x14ac:dyDescent="0.3">
      <c r="T240" s="47" t="str">
        <f ca="1">IF(R240="","",IFERROR(TODAY()+VLOOKUP(R240,REGRAS!$B$2:$C$13,2,0),""))</f>
        <v/>
      </c>
    </row>
    <row r="241" spans="20:20" x14ac:dyDescent="0.3">
      <c r="T241" s="47" t="str">
        <f ca="1">IF(R241="","",IFERROR(TODAY()+VLOOKUP(R241,REGRAS!$B$2:$C$13,2,0),""))</f>
        <v/>
      </c>
    </row>
    <row r="242" spans="20:20" x14ac:dyDescent="0.3">
      <c r="T242" s="47" t="str">
        <f ca="1">IF(R242="","",IFERROR(TODAY()+VLOOKUP(R242,REGRAS!$B$2:$C$13,2,0),""))</f>
        <v/>
      </c>
    </row>
    <row r="243" spans="20:20" x14ac:dyDescent="0.3">
      <c r="T243" s="47" t="str">
        <f ca="1">IF(R243="","",IFERROR(TODAY()+VLOOKUP(R243,REGRAS!$B$2:$C$13,2,0),""))</f>
        <v/>
      </c>
    </row>
    <row r="244" spans="20:20" x14ac:dyDescent="0.3">
      <c r="T244" s="47" t="str">
        <f ca="1">IF(R244="","",IFERROR(TODAY()+VLOOKUP(R244,REGRAS!$B$2:$C$13,2,0),""))</f>
        <v/>
      </c>
    </row>
    <row r="245" spans="20:20" x14ac:dyDescent="0.3">
      <c r="T245" s="47" t="str">
        <f ca="1">IF(R245="","",IFERROR(TODAY()+VLOOKUP(R245,REGRAS!$B$2:$C$13,2,0),""))</f>
        <v/>
      </c>
    </row>
    <row r="246" spans="20:20" x14ac:dyDescent="0.3">
      <c r="T246" s="47" t="str">
        <f ca="1">IF(R246="","",IFERROR(TODAY()+VLOOKUP(R246,REGRAS!$B$2:$C$13,2,0),""))</f>
        <v/>
      </c>
    </row>
    <row r="247" spans="20:20" x14ac:dyDescent="0.3">
      <c r="T247" s="47" t="str">
        <f ca="1">IF(R247="","",IFERROR(TODAY()+VLOOKUP(R247,REGRAS!$B$2:$C$13,2,0),""))</f>
        <v/>
      </c>
    </row>
    <row r="248" spans="20:20" x14ac:dyDescent="0.3">
      <c r="T248" s="47" t="str">
        <f ca="1">IF(R248="","",IFERROR(TODAY()+VLOOKUP(R248,REGRAS!$B$2:$C$13,2,0),""))</f>
        <v/>
      </c>
    </row>
    <row r="249" spans="20:20" x14ac:dyDescent="0.3">
      <c r="T249" s="47" t="str">
        <f ca="1">IF(R249="","",IFERROR(TODAY()+VLOOKUP(R249,REGRAS!$B$2:$C$13,2,0),""))</f>
        <v/>
      </c>
    </row>
    <row r="250" spans="20:20" x14ac:dyDescent="0.3">
      <c r="T250" s="47" t="str">
        <f ca="1">IF(R250="","",IFERROR(TODAY()+VLOOKUP(R250,REGRAS!$B$2:$C$13,2,0),""))</f>
        <v/>
      </c>
    </row>
    <row r="251" spans="20:20" x14ac:dyDescent="0.3">
      <c r="T251" s="47" t="str">
        <f ca="1">IF(R251="","",IFERROR(TODAY()+VLOOKUP(R251,REGRAS!$B$2:$C$13,2,0),""))</f>
        <v/>
      </c>
    </row>
    <row r="252" spans="20:20" x14ac:dyDescent="0.3">
      <c r="T252" s="47" t="str">
        <f ca="1">IF(R252="","",IFERROR(TODAY()+VLOOKUP(R252,REGRAS!$B$2:$C$13,2,0),""))</f>
        <v/>
      </c>
    </row>
    <row r="253" spans="20:20" x14ac:dyDescent="0.3">
      <c r="T253" s="47" t="str">
        <f ca="1">IF(R253="","",IFERROR(TODAY()+VLOOKUP(R253,REGRAS!$B$2:$C$13,2,0),""))</f>
        <v/>
      </c>
    </row>
    <row r="254" spans="20:20" x14ac:dyDescent="0.3">
      <c r="T254" s="47" t="str">
        <f ca="1">IF(R254="","",IFERROR(TODAY()+VLOOKUP(R254,REGRAS!$B$2:$C$13,2,0),""))</f>
        <v/>
      </c>
    </row>
    <row r="255" spans="20:20" x14ac:dyDescent="0.3">
      <c r="T255" s="47" t="str">
        <f ca="1">IF(R255="","",IFERROR(TODAY()+VLOOKUP(R255,REGRAS!$B$2:$C$13,2,0),""))</f>
        <v/>
      </c>
    </row>
    <row r="256" spans="20:20" x14ac:dyDescent="0.3">
      <c r="T256" s="47" t="str">
        <f ca="1">IF(R256="","",IFERROR(TODAY()+VLOOKUP(R256,REGRAS!$B$2:$C$13,2,0),""))</f>
        <v/>
      </c>
    </row>
    <row r="257" spans="20:20" x14ac:dyDescent="0.3">
      <c r="T257" s="47" t="str">
        <f ca="1">IF(R257="","",IFERROR(TODAY()+VLOOKUP(R257,REGRAS!$B$2:$C$13,2,0),""))</f>
        <v/>
      </c>
    </row>
    <row r="258" spans="20:20" x14ac:dyDescent="0.3">
      <c r="T258" s="47" t="str">
        <f ca="1">IF(R258="","",IFERROR(TODAY()+VLOOKUP(R258,REGRAS!$B$2:$C$13,2,0),""))</f>
        <v/>
      </c>
    </row>
    <row r="259" spans="20:20" x14ac:dyDescent="0.3">
      <c r="T259" s="47" t="str">
        <f ca="1">IF(R259="","",IFERROR(TODAY()+VLOOKUP(R259,REGRAS!$B$2:$C$13,2,0),""))</f>
        <v/>
      </c>
    </row>
    <row r="260" spans="20:20" x14ac:dyDescent="0.3">
      <c r="T260" s="47" t="str">
        <f ca="1">IF(R260="","",IFERROR(TODAY()+VLOOKUP(R260,REGRAS!$B$2:$C$13,2,0),""))</f>
        <v/>
      </c>
    </row>
    <row r="261" spans="20:20" x14ac:dyDescent="0.3">
      <c r="T261" s="47" t="str">
        <f ca="1">IF(R261="","",IFERROR(TODAY()+VLOOKUP(R261,REGRAS!$B$2:$C$13,2,0),""))</f>
        <v/>
      </c>
    </row>
    <row r="262" spans="20:20" x14ac:dyDescent="0.3">
      <c r="T262" s="47" t="str">
        <f ca="1">IF(R262="","",IFERROR(TODAY()+VLOOKUP(R262,REGRAS!$B$2:$C$13,2,0),""))</f>
        <v/>
      </c>
    </row>
    <row r="263" spans="20:20" x14ac:dyDescent="0.3">
      <c r="T263" s="47" t="str">
        <f ca="1">IF(R263="","",IFERROR(TODAY()+VLOOKUP(R263,REGRAS!$B$2:$C$13,2,0),""))</f>
        <v/>
      </c>
    </row>
    <row r="264" spans="20:20" x14ac:dyDescent="0.3">
      <c r="T264" s="47" t="str">
        <f ca="1">IF(R264="","",IFERROR(TODAY()+VLOOKUP(R264,REGRAS!$B$2:$C$13,2,0),""))</f>
        <v/>
      </c>
    </row>
    <row r="265" spans="20:20" x14ac:dyDescent="0.3">
      <c r="T265" s="47" t="str">
        <f ca="1">IF(R265="","",IFERROR(TODAY()+VLOOKUP(R265,REGRAS!$B$2:$C$13,2,0),""))</f>
        <v/>
      </c>
    </row>
    <row r="266" spans="20:20" x14ac:dyDescent="0.3">
      <c r="T266" s="47" t="str">
        <f ca="1">IF(R266="","",IFERROR(TODAY()+VLOOKUP(R266,REGRAS!$B$2:$C$13,2,0),""))</f>
        <v/>
      </c>
    </row>
    <row r="267" spans="20:20" x14ac:dyDescent="0.3">
      <c r="T267" s="47" t="str">
        <f ca="1">IF(R267="","",IFERROR(TODAY()+VLOOKUP(R267,REGRAS!$B$2:$C$13,2,0),""))</f>
        <v/>
      </c>
    </row>
    <row r="268" spans="20:20" x14ac:dyDescent="0.3">
      <c r="T268" s="47" t="str">
        <f ca="1">IF(R268="","",IFERROR(TODAY()+VLOOKUP(R268,REGRAS!$B$2:$C$13,2,0),""))</f>
        <v/>
      </c>
    </row>
    <row r="269" spans="20:20" x14ac:dyDescent="0.3">
      <c r="T269" s="47" t="str">
        <f ca="1">IF(R269="","",IFERROR(TODAY()+VLOOKUP(R269,REGRAS!$B$2:$C$13,2,0),""))</f>
        <v/>
      </c>
    </row>
    <row r="270" spans="20:20" x14ac:dyDescent="0.3">
      <c r="T270" s="47" t="str">
        <f ca="1">IF(R270="","",IFERROR(TODAY()+VLOOKUP(R270,REGRAS!$B$2:$C$13,2,0),""))</f>
        <v/>
      </c>
    </row>
    <row r="271" spans="20:20" x14ac:dyDescent="0.3">
      <c r="T271" s="47" t="str">
        <f ca="1">IF(R271="","",IFERROR(TODAY()+VLOOKUP(R271,REGRAS!$B$2:$C$13,2,0),""))</f>
        <v/>
      </c>
    </row>
    <row r="272" spans="20:20" x14ac:dyDescent="0.3">
      <c r="T272" s="47" t="str">
        <f ca="1">IF(R272="","",IFERROR(TODAY()+VLOOKUP(R272,REGRAS!$B$2:$C$13,2,0),""))</f>
        <v/>
      </c>
    </row>
    <row r="273" spans="20:20" x14ac:dyDescent="0.3">
      <c r="T273" s="47" t="str">
        <f ca="1">IF(R273="","",IFERROR(TODAY()+VLOOKUP(R273,REGRAS!$B$2:$C$13,2,0),""))</f>
        <v/>
      </c>
    </row>
    <row r="274" spans="20:20" x14ac:dyDescent="0.3">
      <c r="T274" s="47" t="str">
        <f ca="1">IF(R274="","",IFERROR(TODAY()+VLOOKUP(R274,REGRAS!$B$2:$C$13,2,0),""))</f>
        <v/>
      </c>
    </row>
    <row r="275" spans="20:20" x14ac:dyDescent="0.3">
      <c r="T275" s="47" t="str">
        <f ca="1">IF(R275="","",IFERROR(TODAY()+VLOOKUP(R275,REGRAS!$B$2:$C$13,2,0),""))</f>
        <v/>
      </c>
    </row>
    <row r="276" spans="20:20" x14ac:dyDescent="0.3">
      <c r="T276" s="47" t="str">
        <f ca="1">IF(R276="","",IFERROR(TODAY()+VLOOKUP(R276,REGRAS!$B$2:$C$13,2,0),""))</f>
        <v/>
      </c>
    </row>
    <row r="277" spans="20:20" x14ac:dyDescent="0.3">
      <c r="T277" s="47" t="str">
        <f ca="1">IF(R277="","",IFERROR(TODAY()+VLOOKUP(R277,REGRAS!$B$2:$C$13,2,0),""))</f>
        <v/>
      </c>
    </row>
    <row r="278" spans="20:20" x14ac:dyDescent="0.3">
      <c r="T278" s="47" t="str">
        <f ca="1">IF(R278="","",IFERROR(TODAY()+VLOOKUP(R278,REGRAS!$B$2:$C$13,2,0),""))</f>
        <v/>
      </c>
    </row>
    <row r="279" spans="20:20" x14ac:dyDescent="0.3">
      <c r="T279" s="47" t="str">
        <f ca="1">IF(R279="","",IFERROR(TODAY()+VLOOKUP(R279,REGRAS!$B$2:$C$13,2,0),""))</f>
        <v/>
      </c>
    </row>
    <row r="280" spans="20:20" x14ac:dyDescent="0.3">
      <c r="T280" s="47" t="str">
        <f ca="1">IF(R280="","",IFERROR(TODAY()+VLOOKUP(R280,REGRAS!$B$2:$C$13,2,0),""))</f>
        <v/>
      </c>
    </row>
    <row r="281" spans="20:20" x14ac:dyDescent="0.3">
      <c r="T281" s="47" t="str">
        <f ca="1">IF(R281="","",IFERROR(TODAY()+VLOOKUP(R281,REGRAS!$B$2:$C$13,2,0),""))</f>
        <v/>
      </c>
    </row>
    <row r="282" spans="20:20" x14ac:dyDescent="0.3">
      <c r="T282" s="47" t="str">
        <f ca="1">IF(R282="","",IFERROR(TODAY()+VLOOKUP(R282,REGRAS!$B$2:$C$13,2,0),""))</f>
        <v/>
      </c>
    </row>
    <row r="283" spans="20:20" x14ac:dyDescent="0.3">
      <c r="T283" s="47" t="str">
        <f ca="1">IF(R283="","",IFERROR(TODAY()+VLOOKUP(R283,REGRAS!$B$2:$C$13,2,0),""))</f>
        <v/>
      </c>
    </row>
    <row r="284" spans="20:20" x14ac:dyDescent="0.3">
      <c r="T284" s="47" t="str">
        <f ca="1">IF(R284="","",IFERROR(TODAY()+VLOOKUP(R284,REGRAS!$B$2:$C$13,2,0),""))</f>
        <v/>
      </c>
    </row>
    <row r="285" spans="20:20" x14ac:dyDescent="0.3">
      <c r="T285" s="47" t="str">
        <f ca="1">IF(R285="","",IFERROR(TODAY()+VLOOKUP(R285,REGRAS!$B$2:$C$13,2,0),""))</f>
        <v/>
      </c>
    </row>
    <row r="286" spans="20:20" x14ac:dyDescent="0.3">
      <c r="T286" s="47" t="str">
        <f ca="1">IF(R286="","",IFERROR(TODAY()+VLOOKUP(R286,REGRAS!$B$2:$C$13,2,0),""))</f>
        <v/>
      </c>
    </row>
    <row r="287" spans="20:20" x14ac:dyDescent="0.3">
      <c r="T287" s="47" t="str">
        <f ca="1">IF(R287="","",IFERROR(TODAY()+VLOOKUP(R287,REGRAS!$B$2:$C$13,2,0),""))</f>
        <v/>
      </c>
    </row>
    <row r="288" spans="20:20" x14ac:dyDescent="0.3">
      <c r="T288" s="47" t="str">
        <f ca="1">IF(R288="","",IFERROR(TODAY()+VLOOKUP(R288,REGRAS!$B$2:$C$13,2,0),""))</f>
        <v/>
      </c>
    </row>
    <row r="289" spans="20:20" x14ac:dyDescent="0.3">
      <c r="T289" s="47" t="str">
        <f ca="1">IF(R289="","",IFERROR(TODAY()+VLOOKUP(R289,REGRAS!$B$2:$C$13,2,0),""))</f>
        <v/>
      </c>
    </row>
    <row r="290" spans="20:20" x14ac:dyDescent="0.3">
      <c r="T290" s="47" t="str">
        <f ca="1">IF(R290="","",IFERROR(TODAY()+VLOOKUP(R290,REGRAS!$B$2:$C$13,2,0),""))</f>
        <v/>
      </c>
    </row>
    <row r="291" spans="20:20" x14ac:dyDescent="0.3">
      <c r="T291" s="47" t="str">
        <f ca="1">IF(R291="","",IFERROR(TODAY()+VLOOKUP(R291,REGRAS!$B$2:$C$13,2,0),""))</f>
        <v/>
      </c>
    </row>
    <row r="292" spans="20:20" x14ac:dyDescent="0.3">
      <c r="T292" s="47" t="str">
        <f ca="1">IF(R292="","",IFERROR(TODAY()+VLOOKUP(R292,REGRAS!$B$2:$C$13,2,0),""))</f>
        <v/>
      </c>
    </row>
    <row r="293" spans="20:20" x14ac:dyDescent="0.3">
      <c r="T293" s="47" t="str">
        <f ca="1">IF(R293="","",IFERROR(TODAY()+VLOOKUP(R293,REGRAS!$B$2:$C$13,2,0),""))</f>
        <v/>
      </c>
    </row>
    <row r="294" spans="20:20" x14ac:dyDescent="0.3">
      <c r="T294" s="47" t="str">
        <f ca="1">IF(R294="","",IFERROR(TODAY()+VLOOKUP(R294,REGRAS!$B$2:$C$13,2,0),""))</f>
        <v/>
      </c>
    </row>
    <row r="295" spans="20:20" x14ac:dyDescent="0.3">
      <c r="T295" s="47" t="str">
        <f ca="1">IF(R295="","",IFERROR(TODAY()+VLOOKUP(R295,REGRAS!$B$2:$C$13,2,0),""))</f>
        <v/>
      </c>
    </row>
    <row r="296" spans="20:20" x14ac:dyDescent="0.3">
      <c r="T296" s="47" t="str">
        <f ca="1">IF(R296="","",IFERROR(TODAY()+VLOOKUP(R296,REGRAS!$B$2:$C$13,2,0),""))</f>
        <v/>
      </c>
    </row>
    <row r="297" spans="20:20" x14ac:dyDescent="0.3">
      <c r="T297" s="47" t="str">
        <f ca="1">IF(R297="","",IFERROR(TODAY()+VLOOKUP(R297,REGRAS!$B$2:$C$13,2,0),""))</f>
        <v/>
      </c>
    </row>
    <row r="298" spans="20:20" x14ac:dyDescent="0.3">
      <c r="T298" s="47" t="str">
        <f ca="1">IF(R298="","",IFERROR(TODAY()+VLOOKUP(R298,REGRAS!$B$2:$C$13,2,0),""))</f>
        <v/>
      </c>
    </row>
    <row r="299" spans="20:20" x14ac:dyDescent="0.3">
      <c r="T299" s="47" t="str">
        <f ca="1">IF(R299="","",IFERROR(TODAY()+VLOOKUP(R299,REGRAS!$B$2:$C$13,2,0),""))</f>
        <v/>
      </c>
    </row>
    <row r="300" spans="20:20" x14ac:dyDescent="0.3">
      <c r="T300" s="47" t="str">
        <f ca="1">IF(R300="","",IFERROR(TODAY()+VLOOKUP(R300,REGRAS!$B$2:$C$13,2,0),""))</f>
        <v/>
      </c>
    </row>
    <row r="301" spans="20:20" x14ac:dyDescent="0.3">
      <c r="T301" s="47" t="str">
        <f ca="1">IF(R301="","",IFERROR(TODAY()+VLOOKUP(R301,REGRAS!$B$2:$C$13,2,0),""))</f>
        <v/>
      </c>
    </row>
    <row r="302" spans="20:20" x14ac:dyDescent="0.3">
      <c r="T302" s="47" t="str">
        <f ca="1">IF(R302="","",IFERROR(TODAY()+VLOOKUP(R302,REGRAS!$B$2:$C$13,2,0),""))</f>
        <v/>
      </c>
    </row>
    <row r="303" spans="20:20" x14ac:dyDescent="0.3">
      <c r="T303" s="47" t="str">
        <f ca="1">IF(R303="","",IFERROR(TODAY()+VLOOKUP(R303,REGRAS!$B$2:$C$13,2,0),""))</f>
        <v/>
      </c>
    </row>
    <row r="304" spans="20:20" x14ac:dyDescent="0.3">
      <c r="T304" s="47" t="str">
        <f ca="1">IF(R304="","",IFERROR(TODAY()+VLOOKUP(R304,REGRAS!$B$2:$C$13,2,0),""))</f>
        <v/>
      </c>
    </row>
    <row r="305" spans="20:20" x14ac:dyDescent="0.3">
      <c r="T305" s="47" t="str">
        <f ca="1">IF(R305="","",IFERROR(TODAY()+VLOOKUP(R305,REGRAS!$B$2:$C$13,2,0),""))</f>
        <v/>
      </c>
    </row>
    <row r="306" spans="20:20" x14ac:dyDescent="0.3">
      <c r="T306" s="47" t="str">
        <f ca="1">IF(R306="","",IFERROR(TODAY()+VLOOKUP(R306,REGRAS!$B$2:$C$13,2,0),""))</f>
        <v/>
      </c>
    </row>
    <row r="307" spans="20:20" x14ac:dyDescent="0.3">
      <c r="T307" s="47" t="str">
        <f ca="1">IF(R307="","",IFERROR(TODAY()+VLOOKUP(R307,REGRAS!$B$2:$C$13,2,0),""))</f>
        <v/>
      </c>
    </row>
    <row r="308" spans="20:20" x14ac:dyDescent="0.3">
      <c r="T308" s="47" t="str">
        <f ca="1">IF(R308="","",IFERROR(TODAY()+VLOOKUP(R308,REGRAS!$B$2:$C$13,2,0),""))</f>
        <v/>
      </c>
    </row>
    <row r="309" spans="20:20" x14ac:dyDescent="0.3">
      <c r="T309" s="47" t="str">
        <f ca="1">IF(R309="","",IFERROR(TODAY()+VLOOKUP(R309,REGRAS!$B$2:$C$13,2,0),""))</f>
        <v/>
      </c>
    </row>
    <row r="310" spans="20:20" x14ac:dyDescent="0.3">
      <c r="T310" s="47" t="str">
        <f ca="1">IF(R310="","",IFERROR(TODAY()+VLOOKUP(R310,REGRAS!$B$2:$C$13,2,0),""))</f>
        <v/>
      </c>
    </row>
    <row r="311" spans="20:20" x14ac:dyDescent="0.3">
      <c r="T311" s="47" t="str">
        <f ca="1">IF(R311="","",IFERROR(TODAY()+VLOOKUP(R311,REGRAS!$B$2:$C$13,2,0),""))</f>
        <v/>
      </c>
    </row>
    <row r="312" spans="20:20" x14ac:dyDescent="0.3">
      <c r="T312" s="47" t="str">
        <f ca="1">IF(R312="","",IFERROR(TODAY()+VLOOKUP(R312,REGRAS!$B$2:$C$13,2,0),""))</f>
        <v/>
      </c>
    </row>
    <row r="313" spans="20:20" x14ac:dyDescent="0.3">
      <c r="T313" s="47" t="str">
        <f ca="1">IF(R313="","",IFERROR(TODAY()+VLOOKUP(R313,REGRAS!$B$2:$C$13,2,0),""))</f>
        <v/>
      </c>
    </row>
    <row r="314" spans="20:20" x14ac:dyDescent="0.3">
      <c r="T314" s="47" t="str">
        <f ca="1">IF(R314="","",IFERROR(TODAY()+VLOOKUP(R314,REGRAS!$B$2:$C$13,2,0),""))</f>
        <v/>
      </c>
    </row>
    <row r="315" spans="20:20" x14ac:dyDescent="0.3">
      <c r="T315" s="47" t="str">
        <f ca="1">IF(R315="","",IFERROR(TODAY()+VLOOKUP(R315,REGRAS!$B$2:$C$13,2,0),""))</f>
        <v/>
      </c>
    </row>
    <row r="316" spans="20:20" x14ac:dyDescent="0.3">
      <c r="T316" s="47" t="str">
        <f ca="1">IF(R316="","",IFERROR(TODAY()+VLOOKUP(R316,REGRAS!$B$2:$C$13,2,0),""))</f>
        <v/>
      </c>
    </row>
    <row r="317" spans="20:20" x14ac:dyDescent="0.3">
      <c r="T317" s="47" t="str">
        <f ca="1">IF(R317="","",IFERROR(TODAY()+VLOOKUP(R317,REGRAS!$B$2:$C$13,2,0),""))</f>
        <v/>
      </c>
    </row>
    <row r="318" spans="20:20" x14ac:dyDescent="0.3">
      <c r="T318" s="47" t="str">
        <f ca="1">IF(R318="","",IFERROR(TODAY()+VLOOKUP(R318,REGRAS!$B$2:$C$13,2,0),""))</f>
        <v/>
      </c>
    </row>
    <row r="319" spans="20:20" x14ac:dyDescent="0.3">
      <c r="T319" s="47" t="str">
        <f ca="1">IF(R319="","",IFERROR(TODAY()+VLOOKUP(R319,REGRAS!$B$2:$C$13,2,0),""))</f>
        <v/>
      </c>
    </row>
    <row r="320" spans="20:20" x14ac:dyDescent="0.3">
      <c r="T320" s="47" t="str">
        <f ca="1">IF(R320="","",IFERROR(TODAY()+VLOOKUP(R320,REGRAS!$B$2:$C$13,2,0),""))</f>
        <v/>
      </c>
    </row>
    <row r="321" spans="20:20" x14ac:dyDescent="0.3">
      <c r="T321" s="47" t="str">
        <f ca="1">IF(R321="","",IFERROR(TODAY()+VLOOKUP(R321,REGRAS!$B$2:$C$13,2,0),""))</f>
        <v/>
      </c>
    </row>
    <row r="322" spans="20:20" x14ac:dyDescent="0.3">
      <c r="T322" s="47" t="str">
        <f ca="1">IF(R322="","",IFERROR(TODAY()+VLOOKUP(R322,REGRAS!$B$2:$C$13,2,0),""))</f>
        <v/>
      </c>
    </row>
    <row r="323" spans="20:20" x14ac:dyDescent="0.3">
      <c r="T323" s="47" t="str">
        <f ca="1">IF(R323="","",IFERROR(TODAY()+VLOOKUP(R323,REGRAS!$B$2:$C$13,2,0),""))</f>
        <v/>
      </c>
    </row>
    <row r="324" spans="20:20" x14ac:dyDescent="0.3">
      <c r="T324" s="47" t="str">
        <f ca="1">IF(R324="","",IFERROR(TODAY()+VLOOKUP(R324,REGRAS!$B$2:$C$13,2,0),""))</f>
        <v/>
      </c>
    </row>
    <row r="325" spans="20:20" x14ac:dyDescent="0.3">
      <c r="T325" s="47" t="str">
        <f ca="1">IF(R325="","",IFERROR(TODAY()+VLOOKUP(R325,REGRAS!$B$2:$C$13,2,0),""))</f>
        <v/>
      </c>
    </row>
    <row r="326" spans="20:20" x14ac:dyDescent="0.3">
      <c r="T326" s="47" t="str">
        <f ca="1">IF(R326="","",IFERROR(TODAY()+VLOOKUP(R326,REGRAS!$B$2:$C$13,2,0),""))</f>
        <v/>
      </c>
    </row>
    <row r="327" spans="20:20" x14ac:dyDescent="0.3">
      <c r="T327" s="47" t="str">
        <f ca="1">IF(R327="","",IFERROR(TODAY()+VLOOKUP(R327,REGRAS!$B$2:$C$13,2,0),""))</f>
        <v/>
      </c>
    </row>
    <row r="328" spans="20:20" x14ac:dyDescent="0.3">
      <c r="T328" s="47" t="str">
        <f ca="1">IF(R328="","",IFERROR(TODAY()+VLOOKUP(R328,REGRAS!$B$2:$C$13,2,0),""))</f>
        <v/>
      </c>
    </row>
    <row r="329" spans="20:20" x14ac:dyDescent="0.3">
      <c r="T329" s="47" t="str">
        <f ca="1">IF(R329="","",IFERROR(TODAY()+VLOOKUP(R329,REGRAS!$B$2:$C$13,2,0),""))</f>
        <v/>
      </c>
    </row>
    <row r="330" spans="20:20" x14ac:dyDescent="0.3">
      <c r="T330" s="47" t="str">
        <f ca="1">IF(R330="","",IFERROR(TODAY()+VLOOKUP(R330,REGRAS!$B$2:$C$13,2,0),""))</f>
        <v/>
      </c>
    </row>
    <row r="331" spans="20:20" x14ac:dyDescent="0.3">
      <c r="T331" s="47" t="str">
        <f ca="1">IF(R331="","",IFERROR(TODAY()+VLOOKUP(R331,REGRAS!$B$2:$C$13,2,0),""))</f>
        <v/>
      </c>
    </row>
    <row r="332" spans="20:20" x14ac:dyDescent="0.3">
      <c r="T332" s="47" t="str">
        <f ca="1">IF(R332="","",IFERROR(TODAY()+VLOOKUP(R332,REGRAS!$B$2:$C$13,2,0),""))</f>
        <v/>
      </c>
    </row>
    <row r="333" spans="20:20" x14ac:dyDescent="0.3">
      <c r="T333" s="47" t="str">
        <f ca="1">IF(R333="","",IFERROR(TODAY()+VLOOKUP(R333,REGRAS!$B$2:$C$13,2,0),""))</f>
        <v/>
      </c>
    </row>
    <row r="334" spans="20:20" x14ac:dyDescent="0.3">
      <c r="T334" s="47" t="str">
        <f ca="1">IF(R334="","",IFERROR(TODAY()+VLOOKUP(R334,REGRAS!$B$2:$C$13,2,0),""))</f>
        <v/>
      </c>
    </row>
    <row r="335" spans="20:20" x14ac:dyDescent="0.3">
      <c r="T335" s="47" t="str">
        <f ca="1">IF(R335="","",IFERROR(TODAY()+VLOOKUP(R335,REGRAS!$B$2:$C$13,2,0),""))</f>
        <v/>
      </c>
    </row>
    <row r="336" spans="20:20" x14ac:dyDescent="0.3">
      <c r="T336" s="47" t="str">
        <f ca="1">IF(R336="","",IFERROR(TODAY()+VLOOKUP(R336,REGRAS!$B$2:$C$13,2,0),""))</f>
        <v/>
      </c>
    </row>
    <row r="337" spans="20:20" x14ac:dyDescent="0.3">
      <c r="T337" s="47" t="str">
        <f ca="1">IF(R337="","",IFERROR(TODAY()+VLOOKUP(R337,REGRAS!$B$2:$C$13,2,0),""))</f>
        <v/>
      </c>
    </row>
    <row r="338" spans="20:20" x14ac:dyDescent="0.3">
      <c r="T338" s="47" t="str">
        <f ca="1">IF(R338="","",IFERROR(TODAY()+VLOOKUP(R338,REGRAS!$B$2:$C$13,2,0),""))</f>
        <v/>
      </c>
    </row>
    <row r="339" spans="20:20" x14ac:dyDescent="0.3">
      <c r="T339" s="47" t="str">
        <f ca="1">IF(R339="","",IFERROR(TODAY()+VLOOKUP(R339,REGRAS!$B$2:$C$13,2,0),""))</f>
        <v/>
      </c>
    </row>
    <row r="340" spans="20:20" x14ac:dyDescent="0.3">
      <c r="T340" s="47" t="str">
        <f ca="1">IF(R340="","",IFERROR(TODAY()+VLOOKUP(R340,REGRAS!$B$2:$C$13,2,0),""))</f>
        <v/>
      </c>
    </row>
    <row r="341" spans="20:20" x14ac:dyDescent="0.3">
      <c r="T341" s="47" t="str">
        <f ca="1">IF(R341="","",IFERROR(TODAY()+VLOOKUP(R341,REGRAS!$B$2:$C$13,2,0),""))</f>
        <v/>
      </c>
    </row>
    <row r="342" spans="20:20" x14ac:dyDescent="0.3">
      <c r="T342" s="47" t="str">
        <f ca="1">IF(R342="","",IFERROR(TODAY()+VLOOKUP(R342,REGRAS!$B$2:$C$13,2,0),""))</f>
        <v/>
      </c>
    </row>
    <row r="343" spans="20:20" x14ac:dyDescent="0.3">
      <c r="T343" s="47" t="str">
        <f ca="1">IF(R343="","",IFERROR(TODAY()+VLOOKUP(R343,REGRAS!$B$2:$C$13,2,0),""))</f>
        <v/>
      </c>
    </row>
    <row r="344" spans="20:20" x14ac:dyDescent="0.3">
      <c r="T344" s="47" t="str">
        <f ca="1">IF(R344="","",IFERROR(TODAY()+VLOOKUP(R344,REGRAS!$B$2:$C$13,2,0),""))</f>
        <v/>
      </c>
    </row>
    <row r="345" spans="20:20" x14ac:dyDescent="0.3">
      <c r="T345" s="47" t="str">
        <f ca="1">IF(R345="","",IFERROR(TODAY()+VLOOKUP(R345,REGRAS!$B$2:$C$13,2,0),""))</f>
        <v/>
      </c>
    </row>
    <row r="346" spans="20:20" x14ac:dyDescent="0.3">
      <c r="T346" s="47" t="str">
        <f ca="1">IF(R346="","",IFERROR(TODAY()+VLOOKUP(R346,REGRAS!$B$2:$C$13,2,0),""))</f>
        <v/>
      </c>
    </row>
    <row r="347" spans="20:20" x14ac:dyDescent="0.3">
      <c r="T347" s="47" t="str">
        <f ca="1">IF(R347="","",IFERROR(TODAY()+VLOOKUP(R347,REGRAS!$B$2:$C$13,2,0),""))</f>
        <v/>
      </c>
    </row>
    <row r="348" spans="20:20" x14ac:dyDescent="0.3">
      <c r="T348" s="47" t="str">
        <f ca="1">IF(R348="","",IFERROR(TODAY()+VLOOKUP(R348,REGRAS!$B$2:$C$13,2,0),""))</f>
        <v/>
      </c>
    </row>
    <row r="349" spans="20:20" x14ac:dyDescent="0.3">
      <c r="T349" s="47" t="str">
        <f ca="1">IF(R349="","",IFERROR(TODAY()+VLOOKUP(R349,REGRAS!$B$2:$C$13,2,0),""))</f>
        <v/>
      </c>
    </row>
    <row r="350" spans="20:20" x14ac:dyDescent="0.3">
      <c r="T350" s="47" t="str">
        <f ca="1">IF(R350="","",IFERROR(TODAY()+VLOOKUP(R350,REGRAS!$B$2:$C$13,2,0),""))</f>
        <v/>
      </c>
    </row>
    <row r="351" spans="20:20" x14ac:dyDescent="0.3">
      <c r="T351" s="47" t="str">
        <f ca="1">IF(R351="","",IFERROR(TODAY()+VLOOKUP(R351,REGRAS!$B$2:$C$13,2,0),""))</f>
        <v/>
      </c>
    </row>
    <row r="352" spans="20:20" x14ac:dyDescent="0.3">
      <c r="T352" s="47" t="str">
        <f ca="1">IF(R352="","",IFERROR(TODAY()+VLOOKUP(R352,REGRAS!$B$2:$C$13,2,0),""))</f>
        <v/>
      </c>
    </row>
    <row r="353" spans="20:20" x14ac:dyDescent="0.3">
      <c r="T353" s="47" t="str">
        <f ca="1">IF(R353="","",IFERROR(TODAY()+VLOOKUP(R353,REGRAS!$B$2:$C$13,2,0),""))</f>
        <v/>
      </c>
    </row>
    <row r="354" spans="20:20" x14ac:dyDescent="0.3">
      <c r="T354" s="47" t="str">
        <f ca="1">IF(R354="","",IFERROR(TODAY()+VLOOKUP(R354,REGRAS!$B$2:$C$13,2,0),""))</f>
        <v/>
      </c>
    </row>
    <row r="355" spans="20:20" x14ac:dyDescent="0.3">
      <c r="T355" s="47" t="str">
        <f ca="1">IF(R355="","",IFERROR(TODAY()+VLOOKUP(R355,REGRAS!$B$2:$C$13,2,0),""))</f>
        <v/>
      </c>
    </row>
    <row r="356" spans="20:20" x14ac:dyDescent="0.3">
      <c r="T356" s="47" t="str">
        <f ca="1">IF(R356="","",IFERROR(TODAY()+VLOOKUP(R356,REGRAS!$B$2:$C$13,2,0),""))</f>
        <v/>
      </c>
    </row>
    <row r="357" spans="20:20" x14ac:dyDescent="0.3">
      <c r="T357" s="47" t="str">
        <f ca="1">IF(R357="","",IFERROR(TODAY()+VLOOKUP(R357,REGRAS!$B$2:$C$13,2,0),""))</f>
        <v/>
      </c>
    </row>
    <row r="358" spans="20:20" x14ac:dyDescent="0.3">
      <c r="T358" s="47" t="str">
        <f ca="1">IF(R358="","",IFERROR(TODAY()+VLOOKUP(R358,REGRAS!$B$2:$C$13,2,0),""))</f>
        <v/>
      </c>
    </row>
    <row r="359" spans="20:20" x14ac:dyDescent="0.3">
      <c r="T359" s="47" t="str">
        <f ca="1">IF(R359="","",IFERROR(TODAY()+VLOOKUP(R359,REGRAS!$B$2:$C$13,2,0),""))</f>
        <v/>
      </c>
    </row>
    <row r="360" spans="20:20" x14ac:dyDescent="0.3">
      <c r="T360" s="47" t="str">
        <f ca="1">IF(R360="","",IFERROR(TODAY()+VLOOKUP(R360,REGRAS!$B$2:$C$13,2,0),""))</f>
        <v/>
      </c>
    </row>
    <row r="361" spans="20:20" x14ac:dyDescent="0.3">
      <c r="T361" s="47" t="str">
        <f ca="1">IF(R361="","",IFERROR(TODAY()+VLOOKUP(R361,REGRAS!$B$2:$C$13,2,0),""))</f>
        <v/>
      </c>
    </row>
    <row r="362" spans="20:20" x14ac:dyDescent="0.3">
      <c r="T362" s="47" t="str">
        <f ca="1">IF(R362="","",IFERROR(TODAY()+VLOOKUP(R362,REGRAS!$B$2:$C$13,2,0),""))</f>
        <v/>
      </c>
    </row>
    <row r="363" spans="20:20" x14ac:dyDescent="0.3">
      <c r="T363" s="47" t="str">
        <f ca="1">IF(R363="","",IFERROR(TODAY()+VLOOKUP(R363,REGRAS!$B$2:$C$13,2,0),""))</f>
        <v/>
      </c>
    </row>
    <row r="364" spans="20:20" x14ac:dyDescent="0.3">
      <c r="T364" s="47" t="str">
        <f ca="1">IF(R364="","",IFERROR(TODAY()+VLOOKUP(R364,REGRAS!$B$2:$C$13,2,0),""))</f>
        <v/>
      </c>
    </row>
    <row r="365" spans="20:20" x14ac:dyDescent="0.3">
      <c r="T365" s="47" t="str">
        <f ca="1">IF(R365="","",IFERROR(TODAY()+VLOOKUP(R365,REGRAS!$B$2:$C$13,2,0),""))</f>
        <v/>
      </c>
    </row>
    <row r="366" spans="20:20" x14ac:dyDescent="0.3">
      <c r="T366" s="47" t="str">
        <f ca="1">IF(R366="","",IFERROR(TODAY()+VLOOKUP(R366,REGRAS!$B$2:$C$13,2,0),""))</f>
        <v/>
      </c>
    </row>
    <row r="367" spans="20:20" x14ac:dyDescent="0.3">
      <c r="T367" s="47" t="str">
        <f ca="1">IF(R367="","",IFERROR(TODAY()+VLOOKUP(R367,REGRAS!$B$2:$C$13,2,0),""))</f>
        <v/>
      </c>
    </row>
    <row r="368" spans="20:20" x14ac:dyDescent="0.3">
      <c r="T368" s="47" t="str">
        <f ca="1">IF(R368="","",IFERROR(TODAY()+VLOOKUP(R368,REGRAS!$B$2:$C$13,2,0),""))</f>
        <v/>
      </c>
    </row>
    <row r="369" spans="20:20" x14ac:dyDescent="0.3">
      <c r="T369" s="47" t="str">
        <f ca="1">IF(R369="","",IFERROR(TODAY()+VLOOKUP(R369,REGRAS!$B$2:$C$13,2,0),""))</f>
        <v/>
      </c>
    </row>
    <row r="370" spans="20:20" x14ac:dyDescent="0.3">
      <c r="T370" s="47" t="str">
        <f ca="1">IF(R370="","",IFERROR(TODAY()+VLOOKUP(R370,REGRAS!$B$2:$C$13,2,0),""))</f>
        <v/>
      </c>
    </row>
    <row r="371" spans="20:20" x14ac:dyDescent="0.3">
      <c r="T371" s="47" t="str">
        <f ca="1">IF(R371="","",IFERROR(TODAY()+VLOOKUP(R371,REGRAS!$B$2:$C$13,2,0),""))</f>
        <v/>
      </c>
    </row>
    <row r="372" spans="20:20" x14ac:dyDescent="0.3">
      <c r="T372" s="47" t="str">
        <f ca="1">IF(R372="","",IFERROR(TODAY()+VLOOKUP(R372,REGRAS!$B$2:$C$13,2,0),""))</f>
        <v/>
      </c>
    </row>
    <row r="373" spans="20:20" x14ac:dyDescent="0.3">
      <c r="T373" s="47" t="str">
        <f ca="1">IF(R373="","",IFERROR(TODAY()+VLOOKUP(R373,REGRAS!$B$2:$C$13,2,0),""))</f>
        <v/>
      </c>
    </row>
    <row r="374" spans="20:20" x14ac:dyDescent="0.3">
      <c r="T374" s="47" t="str">
        <f ca="1">IF(R374="","",IFERROR(TODAY()+VLOOKUP(R374,REGRAS!$B$2:$C$13,2,0),""))</f>
        <v/>
      </c>
    </row>
    <row r="375" spans="20:20" x14ac:dyDescent="0.3">
      <c r="T375" s="47" t="str">
        <f ca="1">IF(R375="","",IFERROR(TODAY()+VLOOKUP(R375,REGRAS!$B$2:$C$13,2,0),""))</f>
        <v/>
      </c>
    </row>
    <row r="376" spans="20:20" x14ac:dyDescent="0.3">
      <c r="T376" s="47" t="str">
        <f ca="1">IF(R376="","",IFERROR(TODAY()+VLOOKUP(R376,REGRAS!$B$2:$C$13,2,0),""))</f>
        <v/>
      </c>
    </row>
    <row r="377" spans="20:20" x14ac:dyDescent="0.3">
      <c r="T377" s="47" t="str">
        <f ca="1">IF(R377="","",IFERROR(TODAY()+VLOOKUP(R377,REGRAS!$B$2:$C$13,2,0),""))</f>
        <v/>
      </c>
    </row>
    <row r="378" spans="20:20" x14ac:dyDescent="0.3">
      <c r="T378" s="47" t="str">
        <f ca="1">IF(R378="","",IFERROR(TODAY()+VLOOKUP(R378,REGRAS!$B$2:$C$13,2,0),""))</f>
        <v/>
      </c>
    </row>
    <row r="379" spans="20:20" x14ac:dyDescent="0.3">
      <c r="T379" s="47" t="str">
        <f ca="1">IF(R379="","",IFERROR(TODAY()+VLOOKUP(R379,REGRAS!$B$2:$C$13,2,0),""))</f>
        <v/>
      </c>
    </row>
    <row r="380" spans="20:20" x14ac:dyDescent="0.3">
      <c r="T380" s="47" t="str">
        <f ca="1">IF(R380="","",IFERROR(TODAY()+VLOOKUP(R380,REGRAS!$B$2:$C$13,2,0),""))</f>
        <v/>
      </c>
    </row>
    <row r="381" spans="20:20" x14ac:dyDescent="0.3">
      <c r="T381" s="47" t="str">
        <f ca="1">IF(R381="","",IFERROR(TODAY()+VLOOKUP(R381,REGRAS!$B$2:$C$13,2,0),""))</f>
        <v/>
      </c>
    </row>
    <row r="382" spans="20:20" x14ac:dyDescent="0.3">
      <c r="T382" s="47" t="str">
        <f ca="1">IF(R382="","",IFERROR(TODAY()+VLOOKUP(R382,REGRAS!$B$2:$C$13,2,0),""))</f>
        <v/>
      </c>
    </row>
    <row r="383" spans="20:20" x14ac:dyDescent="0.3">
      <c r="T383" s="47" t="str">
        <f ca="1">IF(R383="","",IFERROR(TODAY()+VLOOKUP(R383,REGRAS!$B$2:$C$13,2,0),""))</f>
        <v/>
      </c>
    </row>
    <row r="384" spans="20:20" x14ac:dyDescent="0.3">
      <c r="T384" s="47" t="str">
        <f ca="1">IF(R384="","",IFERROR(TODAY()+VLOOKUP(R384,REGRAS!$B$2:$C$13,2,0),""))</f>
        <v/>
      </c>
    </row>
    <row r="385" spans="20:20" x14ac:dyDescent="0.3">
      <c r="T385" s="47" t="str">
        <f ca="1">IF(R385="","",IFERROR(TODAY()+VLOOKUP(R385,REGRAS!$B$2:$C$13,2,0),""))</f>
        <v/>
      </c>
    </row>
    <row r="386" spans="20:20" x14ac:dyDescent="0.3">
      <c r="T386" s="47" t="str">
        <f ca="1">IF(R386="","",IFERROR(TODAY()+VLOOKUP(R386,REGRAS!$B$2:$C$13,2,0),""))</f>
        <v/>
      </c>
    </row>
    <row r="387" spans="20:20" x14ac:dyDescent="0.3">
      <c r="T387" s="47" t="str">
        <f ca="1">IF(R387="","",IFERROR(TODAY()+VLOOKUP(R387,REGRAS!$B$2:$C$13,2,0),""))</f>
        <v/>
      </c>
    </row>
    <row r="388" spans="20:20" x14ac:dyDescent="0.3">
      <c r="T388" s="47" t="str">
        <f ca="1">IF(R388="","",IFERROR(TODAY()+VLOOKUP(R388,REGRAS!$B$2:$C$13,2,0),""))</f>
        <v/>
      </c>
    </row>
    <row r="389" spans="20:20" x14ac:dyDescent="0.3">
      <c r="T389" s="47" t="str">
        <f ca="1">IF(R389="","",IFERROR(TODAY()+VLOOKUP(R389,REGRAS!$B$2:$C$13,2,0),""))</f>
        <v/>
      </c>
    </row>
    <row r="390" spans="20:20" x14ac:dyDescent="0.3">
      <c r="T390" s="47" t="str">
        <f ca="1">IF(R390="","",IFERROR(TODAY()+VLOOKUP(R390,REGRAS!$B$2:$C$13,2,0),""))</f>
        <v/>
      </c>
    </row>
    <row r="391" spans="20:20" x14ac:dyDescent="0.3">
      <c r="T391" s="47" t="str">
        <f ca="1">IF(R391="","",IFERROR(TODAY()+VLOOKUP(R391,REGRAS!$B$2:$C$13,2,0),""))</f>
        <v/>
      </c>
    </row>
    <row r="392" spans="20:20" x14ac:dyDescent="0.3">
      <c r="T392" s="47" t="str">
        <f ca="1">IF(R392="","",IFERROR(TODAY()+VLOOKUP(R392,REGRAS!$B$2:$C$13,2,0),""))</f>
        <v/>
      </c>
    </row>
    <row r="393" spans="20:20" x14ac:dyDescent="0.3">
      <c r="T393" s="47" t="str">
        <f ca="1">IF(R393="","",IFERROR(TODAY()+VLOOKUP(R393,REGRAS!$B$2:$C$13,2,0),""))</f>
        <v/>
      </c>
    </row>
    <row r="394" spans="20:20" x14ac:dyDescent="0.3">
      <c r="T394" s="47" t="str">
        <f ca="1">IF(R394="","",IFERROR(TODAY()+VLOOKUP(R394,REGRAS!$B$2:$C$13,2,0),""))</f>
        <v/>
      </c>
    </row>
    <row r="395" spans="20:20" x14ac:dyDescent="0.3">
      <c r="T395" s="47" t="str">
        <f ca="1">IF(R395="","",IFERROR(TODAY()+VLOOKUP(R395,REGRAS!$B$2:$C$13,2,0),""))</f>
        <v/>
      </c>
    </row>
    <row r="396" spans="20:20" x14ac:dyDescent="0.3">
      <c r="T396" s="47" t="str">
        <f ca="1">IF(R396="","",IFERROR(TODAY()+VLOOKUP(R396,REGRAS!$B$2:$C$13,2,0),""))</f>
        <v/>
      </c>
    </row>
    <row r="397" spans="20:20" x14ac:dyDescent="0.3">
      <c r="T397" s="47" t="str">
        <f ca="1">IF(R397="","",IFERROR(TODAY()+VLOOKUP(R397,REGRAS!$B$2:$C$13,2,0),""))</f>
        <v/>
      </c>
    </row>
    <row r="398" spans="20:20" x14ac:dyDescent="0.3">
      <c r="T398" s="47" t="str">
        <f ca="1">IF(R398="","",IFERROR(TODAY()+VLOOKUP(R398,REGRAS!$B$2:$C$13,2,0),""))</f>
        <v/>
      </c>
    </row>
    <row r="399" spans="20:20" x14ac:dyDescent="0.3">
      <c r="T399" s="47" t="str">
        <f ca="1">IF(R399="","",IFERROR(TODAY()+VLOOKUP(R399,REGRAS!$B$2:$C$13,2,0),""))</f>
        <v/>
      </c>
    </row>
    <row r="400" spans="20:20" x14ac:dyDescent="0.3">
      <c r="T400" s="47" t="str">
        <f ca="1">IF(R400="","",IFERROR(TODAY()+VLOOKUP(R400,REGRAS!$B$2:$C$13,2,0),""))</f>
        <v/>
      </c>
    </row>
    <row r="401" spans="20:20" x14ac:dyDescent="0.3">
      <c r="T401" s="47" t="str">
        <f ca="1">IF(R401="","",IFERROR(TODAY()+VLOOKUP(R401,REGRAS!$B$2:$C$13,2,0),""))</f>
        <v/>
      </c>
    </row>
    <row r="402" spans="20:20" x14ac:dyDescent="0.3">
      <c r="T402" s="47" t="str">
        <f ca="1">IF(R402="","",IFERROR(TODAY()+VLOOKUP(R402,REGRAS!$B$2:$C$13,2,0),""))</f>
        <v/>
      </c>
    </row>
    <row r="403" spans="20:20" x14ac:dyDescent="0.3">
      <c r="T403" s="47" t="str">
        <f ca="1">IF(R403="","",IFERROR(TODAY()+VLOOKUP(R403,REGRAS!$B$2:$C$13,2,0),""))</f>
        <v/>
      </c>
    </row>
    <row r="404" spans="20:20" x14ac:dyDescent="0.3">
      <c r="T404" s="47" t="str">
        <f ca="1">IF(R404="","",IFERROR(TODAY()+VLOOKUP(R404,REGRAS!$B$2:$C$13,2,0),""))</f>
        <v/>
      </c>
    </row>
    <row r="405" spans="20:20" x14ac:dyDescent="0.3">
      <c r="T405" s="47" t="str">
        <f ca="1">IF(R405="","",IFERROR(TODAY()+VLOOKUP(R405,REGRAS!$B$2:$C$13,2,0),""))</f>
        <v/>
      </c>
    </row>
    <row r="406" spans="20:20" x14ac:dyDescent="0.3">
      <c r="T406" s="47" t="str">
        <f ca="1">IF(R406="","",IFERROR(TODAY()+VLOOKUP(R406,REGRAS!$B$2:$C$13,2,0),""))</f>
        <v/>
      </c>
    </row>
    <row r="407" spans="20:20" x14ac:dyDescent="0.3">
      <c r="T407" s="47" t="str">
        <f ca="1">IF(R407="","",IFERROR(TODAY()+VLOOKUP(R407,REGRAS!$B$2:$C$13,2,0),""))</f>
        <v/>
      </c>
    </row>
    <row r="408" spans="20:20" x14ac:dyDescent="0.3">
      <c r="T408" s="47" t="str">
        <f ca="1">IF(R408="","",IFERROR(TODAY()+VLOOKUP(R408,REGRAS!$B$2:$C$13,2,0),""))</f>
        <v/>
      </c>
    </row>
    <row r="409" spans="20:20" x14ac:dyDescent="0.3">
      <c r="T409" s="47" t="str">
        <f ca="1">IF(R409="","",IFERROR(TODAY()+VLOOKUP(R409,REGRAS!$B$2:$C$13,2,0),""))</f>
        <v/>
      </c>
    </row>
    <row r="410" spans="20:20" x14ac:dyDescent="0.3">
      <c r="T410" s="47" t="str">
        <f ca="1">IF(R410="","",IFERROR(TODAY()+VLOOKUP(R410,REGRAS!$B$2:$C$13,2,0),""))</f>
        <v/>
      </c>
    </row>
    <row r="411" spans="20:20" x14ac:dyDescent="0.3">
      <c r="T411" s="47" t="str">
        <f ca="1">IF(R411="","",IFERROR(TODAY()+VLOOKUP(R411,REGRAS!$B$2:$C$13,2,0),""))</f>
        <v/>
      </c>
    </row>
    <row r="412" spans="20:20" x14ac:dyDescent="0.3">
      <c r="T412" s="47" t="str">
        <f ca="1">IF(R412="","",IFERROR(TODAY()+VLOOKUP(R412,REGRAS!$B$2:$C$13,2,0),""))</f>
        <v/>
      </c>
    </row>
    <row r="413" spans="20:20" x14ac:dyDescent="0.3">
      <c r="T413" s="47" t="str">
        <f ca="1">IF(R413="","",IFERROR(TODAY()+VLOOKUP(R413,REGRAS!$B$2:$C$13,2,0),""))</f>
        <v/>
      </c>
    </row>
    <row r="414" spans="20:20" x14ac:dyDescent="0.3">
      <c r="T414" s="47" t="str">
        <f ca="1">IF(R414="","",IFERROR(TODAY()+VLOOKUP(R414,REGRAS!$B$2:$C$13,2,0),""))</f>
        <v/>
      </c>
    </row>
    <row r="415" spans="20:20" x14ac:dyDescent="0.3">
      <c r="T415" s="47" t="str">
        <f ca="1">IF(R415="","",IFERROR(TODAY()+VLOOKUP(R415,REGRAS!$B$2:$C$13,2,0),""))</f>
        <v/>
      </c>
    </row>
    <row r="416" spans="20:20" x14ac:dyDescent="0.3">
      <c r="T416" s="47" t="str">
        <f ca="1">IF(R416="","",IFERROR(TODAY()+VLOOKUP(R416,REGRAS!$B$2:$C$13,2,0),""))</f>
        <v/>
      </c>
    </row>
    <row r="417" spans="20:20" x14ac:dyDescent="0.3">
      <c r="T417" s="47" t="str">
        <f ca="1">IF(R417="","",IFERROR(TODAY()+VLOOKUP(R417,REGRAS!$B$2:$C$13,2,0),""))</f>
        <v/>
      </c>
    </row>
    <row r="418" spans="20:20" x14ac:dyDescent="0.3">
      <c r="T418" s="47" t="str">
        <f ca="1">IF(R418="","",IFERROR(TODAY()+VLOOKUP(R418,REGRAS!$B$2:$C$13,2,0),""))</f>
        <v/>
      </c>
    </row>
    <row r="419" spans="20:20" x14ac:dyDescent="0.3">
      <c r="T419" s="47" t="str">
        <f ca="1">IF(R419="","",IFERROR(TODAY()+VLOOKUP(R419,REGRAS!$B$2:$C$13,2,0),""))</f>
        <v/>
      </c>
    </row>
    <row r="420" spans="20:20" x14ac:dyDescent="0.3">
      <c r="T420" s="47" t="str">
        <f ca="1">IF(R420="","",IFERROR(TODAY()+VLOOKUP(R420,REGRAS!$B$2:$C$13,2,0),""))</f>
        <v/>
      </c>
    </row>
    <row r="421" spans="20:20" x14ac:dyDescent="0.3">
      <c r="T421" s="47" t="str">
        <f ca="1">IF(R421="","",IFERROR(TODAY()+VLOOKUP(R421,REGRAS!$B$2:$C$13,2,0),""))</f>
        <v/>
      </c>
    </row>
    <row r="422" spans="20:20" x14ac:dyDescent="0.3">
      <c r="T422" s="47" t="str">
        <f ca="1">IF(R422="","",IFERROR(TODAY()+VLOOKUP(R422,REGRAS!$B$2:$C$13,2,0),""))</f>
        <v/>
      </c>
    </row>
    <row r="423" spans="20:20" x14ac:dyDescent="0.3">
      <c r="T423" s="47" t="str">
        <f ca="1">IF(R423="","",IFERROR(TODAY()+VLOOKUP(R423,REGRAS!$B$2:$C$13,2,0),""))</f>
        <v/>
      </c>
    </row>
    <row r="424" spans="20:20" x14ac:dyDescent="0.3">
      <c r="T424" s="47" t="str">
        <f ca="1">IF(R424="","",IFERROR(TODAY()+VLOOKUP(R424,REGRAS!$B$2:$C$13,2,0),""))</f>
        <v/>
      </c>
    </row>
    <row r="425" spans="20:20" x14ac:dyDescent="0.3">
      <c r="T425" s="47" t="str">
        <f ca="1">IF(R425="","",IFERROR(TODAY()+VLOOKUP(R425,REGRAS!$B$2:$C$13,2,0),""))</f>
        <v/>
      </c>
    </row>
    <row r="426" spans="20:20" x14ac:dyDescent="0.3">
      <c r="T426" s="47" t="str">
        <f ca="1">IF(R426="","",IFERROR(TODAY()+VLOOKUP(R426,REGRAS!$B$2:$C$13,2,0),""))</f>
        <v/>
      </c>
    </row>
    <row r="427" spans="20:20" x14ac:dyDescent="0.3">
      <c r="T427" s="47" t="str">
        <f ca="1">IF(R427="","",IFERROR(TODAY()+VLOOKUP(R427,REGRAS!$B$2:$C$13,2,0),""))</f>
        <v/>
      </c>
    </row>
    <row r="428" spans="20:20" x14ac:dyDescent="0.3">
      <c r="T428" s="47" t="str">
        <f ca="1">IF(R428="","",IFERROR(TODAY()+VLOOKUP(R428,REGRAS!$B$2:$C$13,2,0),""))</f>
        <v/>
      </c>
    </row>
    <row r="429" spans="20:20" x14ac:dyDescent="0.3">
      <c r="T429" s="47" t="str">
        <f ca="1">IF(R429="","",IFERROR(TODAY()+VLOOKUP(R429,REGRAS!$B$2:$C$13,2,0),""))</f>
        <v/>
      </c>
    </row>
    <row r="430" spans="20:20" x14ac:dyDescent="0.3">
      <c r="T430" s="47" t="str">
        <f ca="1">IF(R430="","",IFERROR(TODAY()+VLOOKUP(R430,REGRAS!$B$2:$C$13,2,0),""))</f>
        <v/>
      </c>
    </row>
    <row r="431" spans="20:20" x14ac:dyDescent="0.3">
      <c r="T431" s="47" t="str">
        <f ca="1">IF(R431="","",IFERROR(TODAY()+VLOOKUP(R431,REGRAS!$B$2:$C$13,2,0),""))</f>
        <v/>
      </c>
    </row>
    <row r="432" spans="20:20" x14ac:dyDescent="0.3">
      <c r="T432" s="47" t="str">
        <f ca="1">IF(R432="","",IFERROR(TODAY()+VLOOKUP(R432,REGRAS!$B$2:$C$13,2,0),""))</f>
        <v/>
      </c>
    </row>
    <row r="433" spans="20:20" x14ac:dyDescent="0.3">
      <c r="T433" s="47" t="str">
        <f ca="1">IF(R433="","",IFERROR(TODAY()+VLOOKUP(R433,REGRAS!$B$2:$C$13,2,0),""))</f>
        <v/>
      </c>
    </row>
    <row r="434" spans="20:20" x14ac:dyDescent="0.3">
      <c r="T434" s="47" t="str">
        <f ca="1">IF(R434="","",IFERROR(TODAY()+VLOOKUP(R434,REGRAS!$B$2:$C$13,2,0),""))</f>
        <v/>
      </c>
    </row>
    <row r="435" spans="20:20" x14ac:dyDescent="0.3">
      <c r="T435" s="47" t="str">
        <f ca="1">IF(R435="","",IFERROR(TODAY()+VLOOKUP(R435,REGRAS!$B$2:$C$13,2,0),""))</f>
        <v/>
      </c>
    </row>
    <row r="436" spans="20:20" x14ac:dyDescent="0.3">
      <c r="T436" s="47" t="str">
        <f ca="1">IF(R436="","",IFERROR(TODAY()+VLOOKUP(R436,REGRAS!$B$2:$C$13,2,0),""))</f>
        <v/>
      </c>
    </row>
    <row r="437" spans="20:20" x14ac:dyDescent="0.3">
      <c r="T437" s="47" t="str">
        <f ca="1">IF(R437="","",IFERROR(TODAY()+VLOOKUP(R437,REGRAS!$B$2:$C$13,2,0),""))</f>
        <v/>
      </c>
    </row>
    <row r="438" spans="20:20" x14ac:dyDescent="0.3">
      <c r="T438" s="47" t="str">
        <f ca="1">IF(R438="","",IFERROR(TODAY()+VLOOKUP(R438,REGRAS!$B$2:$C$13,2,0),""))</f>
        <v/>
      </c>
    </row>
    <row r="439" spans="20:20" x14ac:dyDescent="0.3">
      <c r="T439" s="47" t="str">
        <f ca="1">IF(R439="","",IFERROR(TODAY()+VLOOKUP(R439,REGRAS!$B$2:$C$13,2,0),""))</f>
        <v/>
      </c>
    </row>
    <row r="440" spans="20:20" x14ac:dyDescent="0.3">
      <c r="T440" s="47" t="str">
        <f ca="1">IF(R440="","",IFERROR(TODAY()+VLOOKUP(R440,REGRAS!$B$2:$C$13,2,0),""))</f>
        <v/>
      </c>
    </row>
    <row r="441" spans="20:20" x14ac:dyDescent="0.3">
      <c r="T441" s="47" t="str">
        <f ca="1">IF(R441="","",IFERROR(TODAY()+VLOOKUP(R441,REGRAS!$B$2:$C$13,2,0),""))</f>
        <v/>
      </c>
    </row>
    <row r="442" spans="20:20" x14ac:dyDescent="0.3">
      <c r="T442" s="47" t="str">
        <f ca="1">IF(R442="","",IFERROR(TODAY()+VLOOKUP(R442,REGRAS!$B$2:$C$13,2,0),""))</f>
        <v/>
      </c>
    </row>
    <row r="443" spans="20:20" x14ac:dyDescent="0.3">
      <c r="T443" s="47" t="str">
        <f ca="1">IF(R443="","",IFERROR(TODAY()+VLOOKUP(R443,REGRAS!$B$2:$C$13,2,0),""))</f>
        <v/>
      </c>
    </row>
    <row r="444" spans="20:20" x14ac:dyDescent="0.3">
      <c r="T444" s="47" t="str">
        <f ca="1">IF(R444="","",IFERROR(TODAY()+VLOOKUP(R444,REGRAS!$B$2:$C$13,2,0),""))</f>
        <v/>
      </c>
    </row>
    <row r="445" spans="20:20" x14ac:dyDescent="0.3">
      <c r="T445" s="47" t="str">
        <f ca="1">IF(R445="","",IFERROR(TODAY()+VLOOKUP(R445,REGRAS!$B$2:$C$13,2,0),""))</f>
        <v/>
      </c>
    </row>
    <row r="446" spans="20:20" x14ac:dyDescent="0.3">
      <c r="T446" s="47" t="str">
        <f ca="1">IF(R446="","",IFERROR(TODAY()+VLOOKUP(R446,REGRAS!$B$2:$C$13,2,0),""))</f>
        <v/>
      </c>
    </row>
    <row r="447" spans="20:20" x14ac:dyDescent="0.3">
      <c r="T447" s="47" t="str">
        <f ca="1">IF(R447="","",IFERROR(TODAY()+VLOOKUP(R447,REGRAS!$B$2:$C$13,2,0),""))</f>
        <v/>
      </c>
    </row>
    <row r="448" spans="20:20" x14ac:dyDescent="0.3">
      <c r="T448" s="47" t="str">
        <f ca="1">IF(R448="","",IFERROR(TODAY()+VLOOKUP(R448,REGRAS!$B$2:$C$13,2,0),""))</f>
        <v/>
      </c>
    </row>
    <row r="449" spans="20:20" x14ac:dyDescent="0.3">
      <c r="T449" s="47" t="str">
        <f ca="1">IF(R449="","",IFERROR(TODAY()+VLOOKUP(R449,REGRAS!$B$2:$C$13,2,0),""))</f>
        <v/>
      </c>
    </row>
    <row r="450" spans="20:20" x14ac:dyDescent="0.3">
      <c r="T450" s="47" t="str">
        <f ca="1">IF(R450="","",IFERROR(TODAY()+VLOOKUP(R450,REGRAS!$B$2:$C$13,2,0),""))</f>
        <v/>
      </c>
    </row>
    <row r="451" spans="20:20" x14ac:dyDescent="0.3">
      <c r="T451" s="47" t="str">
        <f ca="1">IF(R451="","",IFERROR(TODAY()+VLOOKUP(R451,REGRAS!$B$2:$C$13,2,0),""))</f>
        <v/>
      </c>
    </row>
    <row r="452" spans="20:20" x14ac:dyDescent="0.3">
      <c r="T452" s="47" t="str">
        <f ca="1">IF(R452="","",IFERROR(TODAY()+VLOOKUP(R452,REGRAS!$B$2:$C$13,2,0),""))</f>
        <v/>
      </c>
    </row>
    <row r="453" spans="20:20" x14ac:dyDescent="0.3">
      <c r="T453" s="47" t="str">
        <f ca="1">IF(R453="","",IFERROR(TODAY()+VLOOKUP(R453,REGRAS!$B$2:$C$13,2,0),""))</f>
        <v/>
      </c>
    </row>
    <row r="454" spans="20:20" x14ac:dyDescent="0.3">
      <c r="T454" s="47" t="str">
        <f ca="1">IF(R454="","",IFERROR(TODAY()+VLOOKUP(R454,REGRAS!$B$2:$C$13,2,0),""))</f>
        <v/>
      </c>
    </row>
    <row r="455" spans="20:20" x14ac:dyDescent="0.3">
      <c r="T455" s="47" t="str">
        <f ca="1">IF(R455="","",IFERROR(TODAY()+VLOOKUP(R455,REGRAS!$B$2:$C$13,2,0),""))</f>
        <v/>
      </c>
    </row>
    <row r="456" spans="20:20" x14ac:dyDescent="0.3">
      <c r="T456" s="47" t="str">
        <f ca="1">IF(R456="","",IFERROR(TODAY()+VLOOKUP(R456,REGRAS!$B$2:$C$13,2,0),""))</f>
        <v/>
      </c>
    </row>
    <row r="457" spans="20:20" x14ac:dyDescent="0.3">
      <c r="T457" s="47" t="str">
        <f ca="1">IF(R457="","",IFERROR(TODAY()+VLOOKUP(R457,REGRAS!$B$2:$C$13,2,0),""))</f>
        <v/>
      </c>
    </row>
    <row r="458" spans="20:20" x14ac:dyDescent="0.3">
      <c r="T458" s="47" t="str">
        <f ca="1">IF(R458="","",IFERROR(TODAY()+VLOOKUP(R458,REGRAS!$B$2:$C$13,2,0),""))</f>
        <v/>
      </c>
    </row>
    <row r="459" spans="20:20" x14ac:dyDescent="0.3">
      <c r="T459" s="47" t="str">
        <f ca="1">IF(R459="","",IFERROR(TODAY()+VLOOKUP(R459,REGRAS!$B$2:$C$13,2,0),""))</f>
        <v/>
      </c>
    </row>
    <row r="460" spans="20:20" x14ac:dyDescent="0.3">
      <c r="T460" s="47" t="str">
        <f ca="1">IF(R460="","",IFERROR(TODAY()+VLOOKUP(R460,REGRAS!$B$2:$C$13,2,0),""))</f>
        <v/>
      </c>
    </row>
    <row r="461" spans="20:20" x14ac:dyDescent="0.3">
      <c r="T461" s="47" t="str">
        <f ca="1">IF(R461="","",IFERROR(TODAY()+VLOOKUP(R461,REGRAS!$B$2:$C$13,2,0),""))</f>
        <v/>
      </c>
    </row>
    <row r="462" spans="20:20" x14ac:dyDescent="0.3">
      <c r="T462" s="47" t="str">
        <f ca="1">IF(R462="","",IFERROR(TODAY()+VLOOKUP(R462,REGRAS!$B$2:$C$13,2,0),""))</f>
        <v/>
      </c>
    </row>
    <row r="463" spans="20:20" x14ac:dyDescent="0.3">
      <c r="T463" s="47" t="str">
        <f ca="1">IF(R463="","",IFERROR(TODAY()+VLOOKUP(R463,REGRAS!$B$2:$C$13,2,0),""))</f>
        <v/>
      </c>
    </row>
    <row r="464" spans="20:20" x14ac:dyDescent="0.3">
      <c r="T464" s="47" t="str">
        <f ca="1">IF(R464="","",IFERROR(TODAY()+VLOOKUP(R464,REGRAS!$B$2:$C$13,2,0),""))</f>
        <v/>
      </c>
    </row>
    <row r="465" spans="20:20" x14ac:dyDescent="0.3">
      <c r="T465" s="47" t="str">
        <f ca="1">IF(R465="","",IFERROR(TODAY()+VLOOKUP(R465,REGRAS!$B$2:$C$13,2,0),""))</f>
        <v/>
      </c>
    </row>
    <row r="466" spans="20:20" x14ac:dyDescent="0.3">
      <c r="T466" s="47" t="str">
        <f ca="1">IF(R466="","",IFERROR(TODAY()+VLOOKUP(R466,REGRAS!$B$2:$C$13,2,0),""))</f>
        <v/>
      </c>
    </row>
    <row r="467" spans="20:20" x14ac:dyDescent="0.3">
      <c r="T467" s="47" t="str">
        <f ca="1">IF(R467="","",IFERROR(TODAY()+VLOOKUP(R467,REGRAS!$B$2:$C$13,2,0),""))</f>
        <v/>
      </c>
    </row>
    <row r="468" spans="20:20" x14ac:dyDescent="0.3">
      <c r="T468" s="47" t="str">
        <f ca="1">IF(R468="","",IFERROR(TODAY()+VLOOKUP(R468,REGRAS!$B$2:$C$13,2,0),""))</f>
        <v/>
      </c>
    </row>
    <row r="469" spans="20:20" x14ac:dyDescent="0.3">
      <c r="T469" s="47" t="str">
        <f ca="1">IF(R469="","",IFERROR(TODAY()+VLOOKUP(R469,REGRAS!$B$2:$C$13,2,0),""))</f>
        <v/>
      </c>
    </row>
    <row r="470" spans="20:20" x14ac:dyDescent="0.3">
      <c r="T470" s="47" t="str">
        <f ca="1">IF(R470="","",IFERROR(TODAY()+VLOOKUP(R470,REGRAS!$B$2:$C$13,2,0),""))</f>
        <v/>
      </c>
    </row>
    <row r="471" spans="20:20" x14ac:dyDescent="0.3">
      <c r="T471" s="47" t="str">
        <f ca="1">IF(R471="","",IFERROR(TODAY()+VLOOKUP(R471,REGRAS!$B$2:$C$13,2,0),""))</f>
        <v/>
      </c>
    </row>
    <row r="472" spans="20:20" x14ac:dyDescent="0.3">
      <c r="T472" s="47" t="str">
        <f ca="1">IF(R472="","",IFERROR(TODAY()+VLOOKUP(R472,REGRAS!$B$2:$C$13,2,0),""))</f>
        <v/>
      </c>
    </row>
    <row r="473" spans="20:20" x14ac:dyDescent="0.3">
      <c r="T473" s="47" t="str">
        <f ca="1">IF(R473="","",IFERROR(TODAY()+VLOOKUP(R473,REGRAS!$B$2:$C$13,2,0),""))</f>
        <v/>
      </c>
    </row>
    <row r="474" spans="20:20" x14ac:dyDescent="0.3">
      <c r="T474" s="47" t="str">
        <f ca="1">IF(R474="","",IFERROR(TODAY()+VLOOKUP(R474,REGRAS!$B$2:$C$13,2,0),""))</f>
        <v/>
      </c>
    </row>
    <row r="475" spans="20:20" x14ac:dyDescent="0.3">
      <c r="T475" s="47" t="str">
        <f ca="1">IF(R475="","",IFERROR(TODAY()+VLOOKUP(R475,REGRAS!$B$2:$C$13,2,0),""))</f>
        <v/>
      </c>
    </row>
    <row r="476" spans="20:20" x14ac:dyDescent="0.3">
      <c r="T476" s="47" t="str">
        <f ca="1">IF(R476="","",IFERROR(TODAY()+VLOOKUP(R476,REGRAS!$B$2:$C$13,2,0),""))</f>
        <v/>
      </c>
    </row>
    <row r="477" spans="20:20" x14ac:dyDescent="0.3">
      <c r="T477" s="47" t="str">
        <f ca="1">IF(R477="","",IFERROR(TODAY()+VLOOKUP(R477,REGRAS!$B$2:$C$13,2,0),""))</f>
        <v/>
      </c>
    </row>
    <row r="478" spans="20:20" x14ac:dyDescent="0.3">
      <c r="T478" s="47" t="str">
        <f ca="1">IF(R478="","",IFERROR(TODAY()+VLOOKUP(R478,REGRAS!$B$2:$C$13,2,0),""))</f>
        <v/>
      </c>
    </row>
    <row r="479" spans="20:20" x14ac:dyDescent="0.3">
      <c r="T479" s="47" t="str">
        <f ca="1">IF(R479="","",IFERROR(TODAY()+VLOOKUP(R479,REGRAS!$B$2:$C$13,2,0),""))</f>
        <v/>
      </c>
    </row>
    <row r="480" spans="20:20" x14ac:dyDescent="0.3">
      <c r="T480" s="47" t="str">
        <f ca="1">IF(R480="","",IFERROR(TODAY()+VLOOKUP(R480,REGRAS!$B$2:$C$13,2,0),""))</f>
        <v/>
      </c>
    </row>
    <row r="481" spans="20:20" x14ac:dyDescent="0.3">
      <c r="T481" s="47" t="str">
        <f ca="1">IF(R481="","",IFERROR(TODAY()+VLOOKUP(R481,REGRAS!$B$2:$C$13,2,0),""))</f>
        <v/>
      </c>
    </row>
    <row r="482" spans="20:20" x14ac:dyDescent="0.3">
      <c r="T482" s="47" t="str">
        <f ca="1">IF(R482="","",IFERROR(TODAY()+VLOOKUP(R482,REGRAS!$B$2:$C$13,2,0),""))</f>
        <v/>
      </c>
    </row>
    <row r="483" spans="20:20" x14ac:dyDescent="0.3">
      <c r="T483" s="47" t="str">
        <f ca="1">IF(R483="","",IFERROR(TODAY()+VLOOKUP(R483,REGRAS!$B$2:$C$13,2,0),""))</f>
        <v/>
      </c>
    </row>
    <row r="484" spans="20:20" x14ac:dyDescent="0.3">
      <c r="T484" s="47" t="str">
        <f ca="1">IF(R484="","",IFERROR(TODAY()+VLOOKUP(R484,REGRAS!$B$2:$C$13,2,0),""))</f>
        <v/>
      </c>
    </row>
    <row r="485" spans="20:20" x14ac:dyDescent="0.3">
      <c r="T485" s="47" t="str">
        <f ca="1">IF(R485="","",IFERROR(TODAY()+VLOOKUP(R485,REGRAS!$B$2:$C$13,2,0),""))</f>
        <v/>
      </c>
    </row>
    <row r="486" spans="20:20" x14ac:dyDescent="0.3">
      <c r="T486" s="47" t="str">
        <f ca="1">IF(R486="","",IFERROR(TODAY()+VLOOKUP(R486,REGRAS!$B$2:$C$13,2,0),""))</f>
        <v/>
      </c>
    </row>
    <row r="487" spans="20:20" x14ac:dyDescent="0.3">
      <c r="T487" s="47" t="str">
        <f ca="1">IF(R487="","",IFERROR(TODAY()+VLOOKUP(R487,REGRAS!$B$2:$C$13,2,0),""))</f>
        <v/>
      </c>
    </row>
    <row r="488" spans="20:20" x14ac:dyDescent="0.3">
      <c r="T488" s="47" t="str">
        <f ca="1">IF(R488="","",IFERROR(TODAY()+VLOOKUP(R488,REGRAS!$B$2:$C$13,2,0),""))</f>
        <v/>
      </c>
    </row>
    <row r="489" spans="20:20" x14ac:dyDescent="0.3">
      <c r="T489" s="47" t="str">
        <f ca="1">IF(R489="","",IFERROR(TODAY()+VLOOKUP(R489,REGRAS!$B$2:$C$13,2,0),""))</f>
        <v/>
      </c>
    </row>
    <row r="490" spans="20:20" x14ac:dyDescent="0.3">
      <c r="T490" s="47" t="str">
        <f ca="1">IF(R490="","",IFERROR(TODAY()+VLOOKUP(R490,REGRAS!$B$2:$C$13,2,0),""))</f>
        <v/>
      </c>
    </row>
    <row r="491" spans="20:20" x14ac:dyDescent="0.3">
      <c r="T491" s="47" t="str">
        <f ca="1">IF(R491="","",IFERROR(TODAY()+VLOOKUP(R491,REGRAS!$B$2:$C$13,2,0),""))</f>
        <v/>
      </c>
    </row>
    <row r="492" spans="20:20" x14ac:dyDescent="0.3">
      <c r="T492" s="47" t="str">
        <f ca="1">IF(R492="","",IFERROR(TODAY()+VLOOKUP(R492,REGRAS!$B$2:$C$13,2,0),""))</f>
        <v/>
      </c>
    </row>
    <row r="493" spans="20:20" x14ac:dyDescent="0.3">
      <c r="T493" s="47" t="str">
        <f ca="1">IF(R493="","",IFERROR(TODAY()+VLOOKUP(R493,REGRAS!$B$2:$C$13,2,0),""))</f>
        <v/>
      </c>
    </row>
    <row r="494" spans="20:20" x14ac:dyDescent="0.3">
      <c r="T494" s="47" t="str">
        <f ca="1">IF(R494="","",IFERROR(TODAY()+VLOOKUP(R494,REGRAS!$B$2:$C$13,2,0),""))</f>
        <v/>
      </c>
    </row>
    <row r="495" spans="20:20" x14ac:dyDescent="0.3">
      <c r="T495" s="47" t="str">
        <f ca="1">IF(R495="","",IFERROR(TODAY()+VLOOKUP(R495,REGRAS!$B$2:$C$13,2,0),""))</f>
        <v/>
      </c>
    </row>
    <row r="496" spans="20:20" x14ac:dyDescent="0.3">
      <c r="T496" s="47" t="str">
        <f ca="1">IF(R496="","",IFERROR(TODAY()+VLOOKUP(R496,REGRAS!$B$2:$C$13,2,0),""))</f>
        <v/>
      </c>
    </row>
    <row r="497" spans="20:20" x14ac:dyDescent="0.3">
      <c r="T497" s="47" t="str">
        <f ca="1">IF(R497="","",IFERROR(TODAY()+VLOOKUP(R497,REGRAS!$B$2:$C$13,2,0),""))</f>
        <v/>
      </c>
    </row>
    <row r="498" spans="20:20" x14ac:dyDescent="0.3">
      <c r="T498" s="47" t="str">
        <f ca="1">IF(R498="","",IFERROR(TODAY()+VLOOKUP(R498,REGRAS!$B$2:$C$13,2,0),""))</f>
        <v/>
      </c>
    </row>
    <row r="499" spans="20:20" x14ac:dyDescent="0.3">
      <c r="T499" s="47" t="str">
        <f ca="1">IF(R499="","",IFERROR(TODAY()+VLOOKUP(R499,REGRAS!$B$2:$C$13,2,0),""))</f>
        <v/>
      </c>
    </row>
    <row r="500" spans="20:20" x14ac:dyDescent="0.3">
      <c r="T500" s="47" t="str">
        <f ca="1">IF(R500="","",IFERROR(TODAY()+VLOOKUP(R500,REGRAS!$B$2:$C$13,2,0),""))</f>
        <v/>
      </c>
    </row>
    <row r="501" spans="20:20" x14ac:dyDescent="0.3">
      <c r="T501" s="47" t="str">
        <f ca="1">IF(R501="","",IFERROR(TODAY()+VLOOKUP(R501,REGRAS!$B$2:$C$13,2,0),""))</f>
        <v/>
      </c>
    </row>
    <row r="502" spans="20:20" x14ac:dyDescent="0.3">
      <c r="T502" s="47" t="str">
        <f ca="1">IF(R502="","",IFERROR(TODAY()+VLOOKUP(R502,REGRAS!$B$2:$C$13,2,0),""))</f>
        <v/>
      </c>
    </row>
    <row r="503" spans="20:20" x14ac:dyDescent="0.3">
      <c r="T503" s="47" t="str">
        <f ca="1">IF(R503="","",IFERROR(TODAY()+VLOOKUP(R503,REGRAS!$B$2:$C$13,2,0),""))</f>
        <v/>
      </c>
    </row>
    <row r="504" spans="20:20" x14ac:dyDescent="0.3">
      <c r="T504" s="47" t="str">
        <f ca="1">IF(R504="","",IFERROR(TODAY()+VLOOKUP(R504,REGRAS!$B$2:$C$13,2,0),""))</f>
        <v/>
      </c>
    </row>
    <row r="505" spans="20:20" x14ac:dyDescent="0.3">
      <c r="T505" s="47" t="str">
        <f ca="1">IF(R505="","",IFERROR(TODAY()+VLOOKUP(R505,REGRAS!$B$2:$C$13,2,0),""))</f>
        <v/>
      </c>
    </row>
    <row r="506" spans="20:20" x14ac:dyDescent="0.3">
      <c r="T506" s="47" t="str">
        <f ca="1">IF(R506="","",IFERROR(TODAY()+VLOOKUP(R506,REGRAS!$B$2:$C$13,2,0),""))</f>
        <v/>
      </c>
    </row>
    <row r="507" spans="20:20" x14ac:dyDescent="0.3">
      <c r="T507" s="47" t="str">
        <f ca="1">IF(R507="","",IFERROR(TODAY()+VLOOKUP(R507,REGRAS!$B$2:$C$13,2,0),""))</f>
        <v/>
      </c>
    </row>
    <row r="508" spans="20:20" x14ac:dyDescent="0.3">
      <c r="T508" s="47" t="str">
        <f ca="1">IF(R508="","",IFERROR(TODAY()+VLOOKUP(R508,REGRAS!$B$2:$C$13,2,0),""))</f>
        <v/>
      </c>
    </row>
    <row r="509" spans="20:20" x14ac:dyDescent="0.3">
      <c r="T509" s="47" t="str">
        <f ca="1">IF(R509="","",IFERROR(TODAY()+VLOOKUP(R509,REGRAS!$B$2:$C$13,2,0),""))</f>
        <v/>
      </c>
    </row>
    <row r="510" spans="20:20" x14ac:dyDescent="0.3">
      <c r="T510" s="47" t="str">
        <f ca="1">IF(R510="","",IFERROR(TODAY()+VLOOKUP(R510,REGRAS!$B$2:$C$13,2,0),""))</f>
        <v/>
      </c>
    </row>
    <row r="511" spans="20:20" x14ac:dyDescent="0.3">
      <c r="T511" s="47" t="str">
        <f ca="1">IF(R511="","",IFERROR(TODAY()+VLOOKUP(R511,REGRAS!$B$2:$C$13,2,0),""))</f>
        <v/>
      </c>
    </row>
    <row r="512" spans="20:20" x14ac:dyDescent="0.3">
      <c r="T512" s="47" t="str">
        <f ca="1">IF(R512="","",IFERROR(TODAY()+VLOOKUP(R512,REGRAS!$B$2:$C$13,2,0),""))</f>
        <v/>
      </c>
    </row>
    <row r="513" spans="20:20" x14ac:dyDescent="0.3">
      <c r="T513" s="47" t="str">
        <f ca="1">IF(R513="","",IFERROR(TODAY()+VLOOKUP(R513,REGRAS!$B$2:$C$13,2,0),""))</f>
        <v/>
      </c>
    </row>
    <row r="514" spans="20:20" x14ac:dyDescent="0.3">
      <c r="T514" s="47" t="str">
        <f ca="1">IF(R514="","",IFERROR(TODAY()+VLOOKUP(R514,REGRAS!$B$2:$C$13,2,0),""))</f>
        <v/>
      </c>
    </row>
    <row r="515" spans="20:20" x14ac:dyDescent="0.3">
      <c r="T515" s="47" t="str">
        <f ca="1">IF(R515="","",IFERROR(TODAY()+VLOOKUP(R515,REGRAS!$B$2:$C$13,2,0),""))</f>
        <v/>
      </c>
    </row>
    <row r="516" spans="20:20" x14ac:dyDescent="0.3">
      <c r="T516" s="47" t="str">
        <f ca="1">IF(R516="","",IFERROR(TODAY()+VLOOKUP(R516,REGRAS!$B$2:$C$13,2,0),""))</f>
        <v/>
      </c>
    </row>
    <row r="517" spans="20:20" x14ac:dyDescent="0.3">
      <c r="T517" s="47" t="str">
        <f ca="1">IF(R517="","",IFERROR(TODAY()+VLOOKUP(R517,REGRAS!$B$2:$C$13,2,0),""))</f>
        <v/>
      </c>
    </row>
    <row r="518" spans="20:20" x14ac:dyDescent="0.3">
      <c r="T518" s="47" t="str">
        <f ca="1">IF(R518="","",IFERROR(TODAY()+VLOOKUP(R518,REGRAS!$B$2:$C$13,2,0),""))</f>
        <v/>
      </c>
    </row>
    <row r="519" spans="20:20" x14ac:dyDescent="0.3">
      <c r="T519" s="47" t="str">
        <f ca="1">IF(R519="","",IFERROR(TODAY()+VLOOKUP(R519,REGRAS!$B$2:$C$13,2,0),""))</f>
        <v/>
      </c>
    </row>
    <row r="520" spans="20:20" x14ac:dyDescent="0.3">
      <c r="T520" s="47" t="str">
        <f ca="1">IF(R520="","",IFERROR(TODAY()+VLOOKUP(R520,REGRAS!$B$2:$C$13,2,0),""))</f>
        <v/>
      </c>
    </row>
    <row r="521" spans="20:20" x14ac:dyDescent="0.3">
      <c r="T521" s="47" t="str">
        <f ca="1">IF(R521="","",IFERROR(TODAY()+VLOOKUP(R521,REGRAS!$B$2:$C$13,2,0),""))</f>
        <v/>
      </c>
    </row>
    <row r="522" spans="20:20" x14ac:dyDescent="0.3">
      <c r="T522" s="47" t="str">
        <f ca="1">IF(R522="","",IFERROR(TODAY()+VLOOKUP(R522,REGRAS!$B$2:$C$13,2,0),""))</f>
        <v/>
      </c>
    </row>
    <row r="523" spans="20:20" x14ac:dyDescent="0.3">
      <c r="T523" s="47" t="str">
        <f ca="1">IF(R523="","",IFERROR(TODAY()+VLOOKUP(R523,REGRAS!$B$2:$C$13,2,0),""))</f>
        <v/>
      </c>
    </row>
    <row r="524" spans="20:20" x14ac:dyDescent="0.3">
      <c r="T524" s="47" t="str">
        <f ca="1">IF(R524="","",IFERROR(TODAY()+VLOOKUP(R524,REGRAS!$B$2:$C$13,2,0),""))</f>
        <v/>
      </c>
    </row>
    <row r="525" spans="20:20" x14ac:dyDescent="0.3">
      <c r="T525" s="47" t="str">
        <f ca="1">IF(R525="","",IFERROR(TODAY()+VLOOKUP(R525,REGRAS!$B$2:$C$13,2,0),""))</f>
        <v/>
      </c>
    </row>
    <row r="526" spans="20:20" x14ac:dyDescent="0.3">
      <c r="T526" s="47" t="str">
        <f ca="1">IF(R526="","",IFERROR(TODAY()+VLOOKUP(R526,REGRAS!$B$2:$C$13,2,0),""))</f>
        <v/>
      </c>
    </row>
    <row r="527" spans="20:20" x14ac:dyDescent="0.3">
      <c r="T527" s="47" t="str">
        <f ca="1">IF(R527="","",IFERROR(TODAY()+VLOOKUP(R527,REGRAS!$B$2:$C$13,2,0),""))</f>
        <v/>
      </c>
    </row>
    <row r="528" spans="20:20" x14ac:dyDescent="0.3">
      <c r="T528" s="47" t="str">
        <f ca="1">IF(R528="","",IFERROR(TODAY()+VLOOKUP(R528,REGRAS!$B$2:$C$13,2,0),""))</f>
        <v/>
      </c>
    </row>
    <row r="529" spans="20:20" x14ac:dyDescent="0.3">
      <c r="T529" s="47" t="str">
        <f ca="1">IF(R529="","",IFERROR(TODAY()+VLOOKUP(R529,REGRAS!$B$2:$C$13,2,0),""))</f>
        <v/>
      </c>
    </row>
    <row r="530" spans="20:20" x14ac:dyDescent="0.3">
      <c r="T530" s="47" t="str">
        <f ca="1">IF(R530="","",IFERROR(TODAY()+VLOOKUP(R530,REGRAS!$B$2:$C$13,2,0),""))</f>
        <v/>
      </c>
    </row>
    <row r="531" spans="20:20" x14ac:dyDescent="0.3">
      <c r="T531" s="47" t="str">
        <f ca="1">IF(R531="","",IFERROR(TODAY()+VLOOKUP(R531,REGRAS!$B$2:$C$13,2,0),""))</f>
        <v/>
      </c>
    </row>
    <row r="532" spans="20:20" x14ac:dyDescent="0.3">
      <c r="T532" s="47" t="str">
        <f ca="1">IF(R532="","",IFERROR(TODAY()+VLOOKUP(R532,REGRAS!$B$2:$C$13,2,0),""))</f>
        <v/>
      </c>
    </row>
    <row r="533" spans="20:20" x14ac:dyDescent="0.3">
      <c r="T533" s="47" t="str">
        <f ca="1">IF(R533="","",IFERROR(TODAY()+VLOOKUP(R533,REGRAS!$B$2:$C$13,2,0),""))</f>
        <v/>
      </c>
    </row>
    <row r="534" spans="20:20" x14ac:dyDescent="0.3">
      <c r="T534" s="47" t="str">
        <f ca="1">IF(R534="","",IFERROR(TODAY()+VLOOKUP(R534,REGRAS!$B$2:$C$13,2,0),""))</f>
        <v/>
      </c>
    </row>
    <row r="535" spans="20:20" x14ac:dyDescent="0.3">
      <c r="T535" s="47" t="str">
        <f ca="1">IF(R535="","",IFERROR(TODAY()+VLOOKUP(R535,REGRAS!$B$2:$C$13,2,0),""))</f>
        <v/>
      </c>
    </row>
    <row r="536" spans="20:20" x14ac:dyDescent="0.3">
      <c r="T536" s="47" t="str">
        <f ca="1">IF(R536="","",IFERROR(TODAY()+VLOOKUP(R536,REGRAS!$B$2:$C$13,2,0),""))</f>
        <v/>
      </c>
    </row>
    <row r="537" spans="20:20" x14ac:dyDescent="0.3">
      <c r="T537" s="47" t="str">
        <f ca="1">IF(R537="","",IFERROR(TODAY()+VLOOKUP(R537,REGRAS!$B$2:$C$13,2,0),""))</f>
        <v/>
      </c>
    </row>
    <row r="538" spans="20:20" x14ac:dyDescent="0.3">
      <c r="T538" s="47" t="str">
        <f ca="1">IF(R538="","",IFERROR(TODAY()+VLOOKUP(R538,REGRAS!$B$2:$C$13,2,0),""))</f>
        <v/>
      </c>
    </row>
    <row r="539" spans="20:20" x14ac:dyDescent="0.3">
      <c r="T539" s="47" t="str">
        <f ca="1">IF(R539="","",IFERROR(TODAY()+VLOOKUP(R539,REGRAS!$B$2:$C$13,2,0),""))</f>
        <v/>
      </c>
    </row>
    <row r="540" spans="20:20" x14ac:dyDescent="0.3">
      <c r="T540" s="47" t="str">
        <f ca="1">IF(R540="","",IFERROR(TODAY()+VLOOKUP(R540,REGRAS!$B$2:$C$13,2,0),""))</f>
        <v/>
      </c>
    </row>
    <row r="541" spans="20:20" x14ac:dyDescent="0.3">
      <c r="T541" s="47" t="str">
        <f ca="1">IF(R541="","",IFERROR(TODAY()+VLOOKUP(R541,REGRAS!$B$2:$C$13,2,0),""))</f>
        <v/>
      </c>
    </row>
    <row r="542" spans="20:20" x14ac:dyDescent="0.3">
      <c r="T542" s="47" t="str">
        <f ca="1">IF(R542="","",IFERROR(TODAY()+VLOOKUP(R542,REGRAS!$B$2:$C$13,2,0),""))</f>
        <v/>
      </c>
    </row>
    <row r="543" spans="20:20" x14ac:dyDescent="0.3">
      <c r="T543" s="47" t="str">
        <f ca="1">IF(R543="","",IFERROR(TODAY()+VLOOKUP(R543,REGRAS!$B$2:$C$13,2,0),""))</f>
        <v/>
      </c>
    </row>
    <row r="544" spans="20:20" x14ac:dyDescent="0.3">
      <c r="T544" s="47" t="str">
        <f ca="1">IF(R544="","",IFERROR(TODAY()+VLOOKUP(R544,REGRAS!$B$2:$C$13,2,0),""))</f>
        <v/>
      </c>
    </row>
    <row r="545" spans="20:20" x14ac:dyDescent="0.3">
      <c r="T545" s="47" t="str">
        <f ca="1">IF(R545="","",IFERROR(TODAY()+VLOOKUP(R545,REGRAS!$B$2:$C$13,2,0),""))</f>
        <v/>
      </c>
    </row>
    <row r="546" spans="20:20" x14ac:dyDescent="0.3">
      <c r="T546" s="47" t="str">
        <f ca="1">IF(R546="","",IFERROR(TODAY()+VLOOKUP(R546,REGRAS!$B$2:$C$13,2,0),""))</f>
        <v/>
      </c>
    </row>
    <row r="547" spans="20:20" x14ac:dyDescent="0.3">
      <c r="T547" s="47" t="str">
        <f ca="1">IF(R547="","",IFERROR(TODAY()+VLOOKUP(R547,REGRAS!$B$2:$C$13,2,0),""))</f>
        <v/>
      </c>
    </row>
    <row r="548" spans="20:20" x14ac:dyDescent="0.3">
      <c r="T548" s="47" t="str">
        <f ca="1">IF(R548="","",IFERROR(TODAY()+VLOOKUP(R548,REGRAS!$B$2:$C$13,2,0),""))</f>
        <v/>
      </c>
    </row>
    <row r="549" spans="20:20" x14ac:dyDescent="0.3">
      <c r="T549" s="47" t="str">
        <f ca="1">IF(R549="","",IFERROR(TODAY()+VLOOKUP(R549,REGRAS!$B$2:$C$13,2,0),""))</f>
        <v/>
      </c>
    </row>
    <row r="550" spans="20:20" x14ac:dyDescent="0.3">
      <c r="T550" s="47" t="str">
        <f ca="1">IF(R550="","",IFERROR(TODAY()+VLOOKUP(R550,REGRAS!$B$2:$C$13,2,0),""))</f>
        <v/>
      </c>
    </row>
    <row r="551" spans="20:20" x14ac:dyDescent="0.3">
      <c r="T551" s="47" t="str">
        <f ca="1">IF(R551="","",IFERROR(TODAY()+VLOOKUP(R551,REGRAS!$B$2:$C$13,2,0),""))</f>
        <v/>
      </c>
    </row>
    <row r="552" spans="20:20" x14ac:dyDescent="0.3">
      <c r="T552" s="47" t="str">
        <f ca="1">IF(R552="","",IFERROR(TODAY()+VLOOKUP(R552,REGRAS!$B$2:$C$13,2,0),""))</f>
        <v/>
      </c>
    </row>
    <row r="553" spans="20:20" x14ac:dyDescent="0.3">
      <c r="T553" s="47" t="str">
        <f ca="1">IF(R553="","",IFERROR(TODAY()+VLOOKUP(R553,REGRAS!$B$2:$C$13,2,0),""))</f>
        <v/>
      </c>
    </row>
    <row r="554" spans="20:20" x14ac:dyDescent="0.3">
      <c r="T554" s="47" t="str">
        <f ca="1">IF(R554="","",IFERROR(TODAY()+VLOOKUP(R554,REGRAS!$B$2:$C$13,2,0),""))</f>
        <v/>
      </c>
    </row>
    <row r="555" spans="20:20" x14ac:dyDescent="0.3">
      <c r="T555" s="47" t="str">
        <f ca="1">IF(R555="","",IFERROR(TODAY()+VLOOKUP(R555,REGRAS!$B$2:$C$13,2,0),""))</f>
        <v/>
      </c>
    </row>
    <row r="556" spans="20:20" x14ac:dyDescent="0.3">
      <c r="T556" s="47" t="str">
        <f ca="1">IF(R556="","",IFERROR(TODAY()+VLOOKUP(R556,REGRAS!$B$2:$C$13,2,0),""))</f>
        <v/>
      </c>
    </row>
    <row r="557" spans="20:20" x14ac:dyDescent="0.3">
      <c r="T557" s="47" t="str">
        <f ca="1">IF(R557="","",IFERROR(TODAY()+VLOOKUP(R557,REGRAS!$B$2:$C$13,2,0),""))</f>
        <v/>
      </c>
    </row>
    <row r="558" spans="20:20" x14ac:dyDescent="0.3">
      <c r="T558" s="47" t="str">
        <f ca="1">IF(R558="","",IFERROR(TODAY()+VLOOKUP(R558,REGRAS!$B$2:$C$13,2,0),""))</f>
        <v/>
      </c>
    </row>
    <row r="559" spans="20:20" x14ac:dyDescent="0.3">
      <c r="T559" s="47" t="str">
        <f ca="1">IF(R559="","",IFERROR(TODAY()+VLOOKUP(R559,REGRAS!$B$2:$C$13,2,0),""))</f>
        <v/>
      </c>
    </row>
    <row r="560" spans="20:20" x14ac:dyDescent="0.3">
      <c r="T560" s="47" t="str">
        <f ca="1">IF(R560="","",IFERROR(TODAY()+VLOOKUP(R560,REGRAS!$B$2:$C$13,2,0),""))</f>
        <v/>
      </c>
    </row>
    <row r="561" spans="20:20" x14ac:dyDescent="0.3">
      <c r="T561" s="47" t="str">
        <f ca="1">IF(R561="","",IFERROR(TODAY()+VLOOKUP(R561,REGRAS!$B$2:$C$13,2,0),""))</f>
        <v/>
      </c>
    </row>
    <row r="562" spans="20:20" x14ac:dyDescent="0.3">
      <c r="T562" s="47" t="str">
        <f ca="1">IF(R562="","",IFERROR(TODAY()+VLOOKUP(R562,REGRAS!$B$2:$C$13,2,0),""))</f>
        <v/>
      </c>
    </row>
    <row r="563" spans="20:20" x14ac:dyDescent="0.3">
      <c r="T563" s="47" t="str">
        <f ca="1">IF(R563="","",IFERROR(TODAY()+VLOOKUP(R563,REGRAS!$B$2:$C$13,2,0),""))</f>
        <v/>
      </c>
    </row>
    <row r="564" spans="20:20" x14ac:dyDescent="0.3">
      <c r="T564" s="47" t="str">
        <f ca="1">IF(R564="","",IFERROR(TODAY()+VLOOKUP(R564,REGRAS!$B$2:$C$13,2,0),""))</f>
        <v/>
      </c>
    </row>
    <row r="565" spans="20:20" x14ac:dyDescent="0.3">
      <c r="T565" s="47" t="str">
        <f ca="1">IF(R565="","",IFERROR(TODAY()+VLOOKUP(R565,REGRAS!$B$2:$C$13,2,0),""))</f>
        <v/>
      </c>
    </row>
    <row r="566" spans="20:20" x14ac:dyDescent="0.3">
      <c r="T566" s="47" t="str">
        <f ca="1">IF(R566="","",IFERROR(TODAY()+VLOOKUP(R566,REGRAS!$B$2:$C$13,2,0),""))</f>
        <v/>
      </c>
    </row>
    <row r="567" spans="20:20" x14ac:dyDescent="0.3">
      <c r="T567" s="47" t="str">
        <f ca="1">IF(R567="","",IFERROR(TODAY()+VLOOKUP(R567,REGRAS!$B$2:$C$13,2,0),""))</f>
        <v/>
      </c>
    </row>
    <row r="568" spans="20:20" x14ac:dyDescent="0.3">
      <c r="T568" s="47" t="str">
        <f ca="1">IF(R568="","",IFERROR(TODAY()+VLOOKUP(R568,REGRAS!$B$2:$C$13,2,0),""))</f>
        <v/>
      </c>
    </row>
    <row r="569" spans="20:20" x14ac:dyDescent="0.3">
      <c r="T569" s="47" t="str">
        <f ca="1">IF(R569="","",IFERROR(TODAY()+VLOOKUP(R569,REGRAS!$B$2:$C$13,2,0),""))</f>
        <v/>
      </c>
    </row>
    <row r="570" spans="20:20" x14ac:dyDescent="0.3">
      <c r="T570" s="47" t="str">
        <f ca="1">IF(R570="","",IFERROR(TODAY()+VLOOKUP(R570,REGRAS!$B$2:$C$13,2,0),""))</f>
        <v/>
      </c>
    </row>
    <row r="571" spans="20:20" x14ac:dyDescent="0.3">
      <c r="T571" s="47" t="str">
        <f ca="1">IF(R571="","",IFERROR(TODAY()+VLOOKUP(R571,REGRAS!$B$2:$C$13,2,0),""))</f>
        <v/>
      </c>
    </row>
    <row r="572" spans="20:20" x14ac:dyDescent="0.3">
      <c r="T572" s="47" t="str">
        <f ca="1">IF(R572="","",IFERROR(TODAY()+VLOOKUP(R572,REGRAS!$B$2:$C$13,2,0),""))</f>
        <v/>
      </c>
    </row>
    <row r="573" spans="20:20" x14ac:dyDescent="0.3">
      <c r="T573" s="47" t="str">
        <f ca="1">IF(R573="","",IFERROR(TODAY()+VLOOKUP(R573,REGRAS!$B$2:$C$13,2,0),""))</f>
        <v/>
      </c>
    </row>
    <row r="574" spans="20:20" x14ac:dyDescent="0.3">
      <c r="T574" s="47" t="str">
        <f ca="1">IF(R574="","",IFERROR(TODAY()+VLOOKUP(R574,REGRAS!$B$2:$C$13,2,0),""))</f>
        <v/>
      </c>
    </row>
    <row r="575" spans="20:20" x14ac:dyDescent="0.3">
      <c r="T575" s="47" t="str">
        <f ca="1">IF(R575="","",IFERROR(TODAY()+VLOOKUP(R575,REGRAS!$B$2:$C$13,2,0),""))</f>
        <v/>
      </c>
    </row>
    <row r="576" spans="20:20" x14ac:dyDescent="0.3">
      <c r="T576" s="47" t="str">
        <f ca="1">IF(R576="","",IFERROR(TODAY()+VLOOKUP(R576,REGRAS!$B$2:$C$13,2,0),""))</f>
        <v/>
      </c>
    </row>
    <row r="577" spans="20:20" x14ac:dyDescent="0.3">
      <c r="T577" s="47" t="str">
        <f ca="1">IF(R577="","",IFERROR(TODAY()+VLOOKUP(R577,REGRAS!$B$2:$C$13,2,0),""))</f>
        <v/>
      </c>
    </row>
    <row r="578" spans="20:20" x14ac:dyDescent="0.3">
      <c r="T578" s="47" t="str">
        <f ca="1">IF(R578="","",IFERROR(TODAY()+VLOOKUP(R578,REGRAS!$B$2:$C$13,2,0),""))</f>
        <v/>
      </c>
    </row>
    <row r="579" spans="20:20" x14ac:dyDescent="0.3">
      <c r="T579" s="47" t="str">
        <f ca="1">IF(R579="","",IFERROR(TODAY()+VLOOKUP(R579,REGRAS!$B$2:$C$13,2,0),""))</f>
        <v/>
      </c>
    </row>
    <row r="580" spans="20:20" x14ac:dyDescent="0.3">
      <c r="T580" s="47" t="str">
        <f ca="1">IF(R580="","",IFERROR(TODAY()+VLOOKUP(R580,REGRAS!$B$2:$C$13,2,0),""))</f>
        <v/>
      </c>
    </row>
    <row r="581" spans="20:20" x14ac:dyDescent="0.3">
      <c r="T581" s="47" t="str">
        <f ca="1">IF(R581="","",IFERROR(TODAY()+VLOOKUP(R581,REGRAS!$B$2:$C$13,2,0),""))</f>
        <v/>
      </c>
    </row>
    <row r="582" spans="20:20" x14ac:dyDescent="0.3">
      <c r="T582" s="47" t="str">
        <f ca="1">IF(R582="","",IFERROR(TODAY()+VLOOKUP(R582,REGRAS!$B$2:$C$13,2,0),""))</f>
        <v/>
      </c>
    </row>
    <row r="583" spans="20:20" x14ac:dyDescent="0.3">
      <c r="T583" s="47" t="str">
        <f ca="1">IF(R583="","",IFERROR(TODAY()+VLOOKUP(R583,REGRAS!$B$2:$C$13,2,0),""))</f>
        <v/>
      </c>
    </row>
    <row r="584" spans="20:20" x14ac:dyDescent="0.3">
      <c r="T584" s="47" t="str">
        <f ca="1">IF(R584="","",IFERROR(TODAY()+VLOOKUP(R584,REGRAS!$B$2:$C$13,2,0),""))</f>
        <v/>
      </c>
    </row>
    <row r="585" spans="20:20" x14ac:dyDescent="0.3">
      <c r="T585" s="47" t="str">
        <f ca="1">IF(R585="","",IFERROR(TODAY()+VLOOKUP(R585,REGRAS!$B$2:$C$13,2,0),""))</f>
        <v/>
      </c>
    </row>
    <row r="586" spans="20:20" x14ac:dyDescent="0.3">
      <c r="T586" s="47" t="str">
        <f ca="1">IF(R586="","",IFERROR(TODAY()+VLOOKUP(R586,REGRAS!$B$2:$C$13,2,0),""))</f>
        <v/>
      </c>
    </row>
    <row r="587" spans="20:20" x14ac:dyDescent="0.3">
      <c r="T587" s="47" t="str">
        <f ca="1">IF(R587="","",IFERROR(TODAY()+VLOOKUP(R587,REGRAS!$B$2:$C$13,2,0),""))</f>
        <v/>
      </c>
    </row>
    <row r="588" spans="20:20" x14ac:dyDescent="0.3">
      <c r="T588" s="47" t="str">
        <f ca="1">IF(R588="","",IFERROR(TODAY()+VLOOKUP(R588,REGRAS!$B$2:$C$13,2,0),""))</f>
        <v/>
      </c>
    </row>
    <row r="589" spans="20:20" x14ac:dyDescent="0.3">
      <c r="T589" s="47" t="str">
        <f ca="1">IF(R589="","",IFERROR(TODAY()+VLOOKUP(R589,REGRAS!$B$2:$C$13,2,0),""))</f>
        <v/>
      </c>
    </row>
    <row r="590" spans="20:20" x14ac:dyDescent="0.3">
      <c r="T590" s="47" t="str">
        <f ca="1">IF(R590="","",IFERROR(TODAY()+VLOOKUP(R590,REGRAS!$B$2:$C$13,2,0),""))</f>
        <v/>
      </c>
    </row>
    <row r="591" spans="20:20" x14ac:dyDescent="0.3">
      <c r="T591" s="47" t="str">
        <f ca="1">IF(R591="","",IFERROR(TODAY()+VLOOKUP(R591,REGRAS!$B$2:$C$13,2,0),""))</f>
        <v/>
      </c>
    </row>
    <row r="592" spans="20:20" x14ac:dyDescent="0.3">
      <c r="T592" s="47" t="str">
        <f ca="1">IF(R592="","",IFERROR(TODAY()+VLOOKUP(R592,REGRAS!$B$2:$C$13,2,0),""))</f>
        <v/>
      </c>
    </row>
    <row r="593" spans="20:20" x14ac:dyDescent="0.3">
      <c r="T593" s="47" t="str">
        <f ca="1">IF(R593="","",IFERROR(TODAY()+VLOOKUP(R593,REGRAS!$B$2:$C$13,2,0),""))</f>
        <v/>
      </c>
    </row>
    <row r="594" spans="20:20" x14ac:dyDescent="0.3">
      <c r="T594" s="47" t="str">
        <f ca="1">IF(R594="","",IFERROR(TODAY()+VLOOKUP(R594,REGRAS!$B$2:$C$13,2,0),""))</f>
        <v/>
      </c>
    </row>
    <row r="595" spans="20:20" x14ac:dyDescent="0.3">
      <c r="T595" s="47" t="str">
        <f ca="1">IF(R595="","",IFERROR(TODAY()+VLOOKUP(R595,REGRAS!$B$2:$C$13,2,0),""))</f>
        <v/>
      </c>
    </row>
    <row r="596" spans="20:20" x14ac:dyDescent="0.3">
      <c r="T596" s="47" t="str">
        <f ca="1">IF(R596="","",IFERROR(TODAY()+VLOOKUP(R596,REGRAS!$B$2:$C$13,2,0),""))</f>
        <v/>
      </c>
    </row>
    <row r="597" spans="20:20" x14ac:dyDescent="0.3">
      <c r="T597" s="47" t="str">
        <f ca="1">IF(R597="","",IFERROR(TODAY()+VLOOKUP(R597,REGRAS!$B$2:$C$13,2,0),""))</f>
        <v/>
      </c>
    </row>
    <row r="598" spans="20:20" x14ac:dyDescent="0.3">
      <c r="T598" s="47" t="str">
        <f ca="1">IF(R598="","",IFERROR(TODAY()+VLOOKUP(R598,REGRAS!$B$2:$C$13,2,0),""))</f>
        <v/>
      </c>
    </row>
    <row r="599" spans="20:20" x14ac:dyDescent="0.3">
      <c r="T599" s="47" t="str">
        <f ca="1">IF(R599="","",IFERROR(TODAY()+VLOOKUP(R599,REGRAS!$B$2:$C$13,2,0),""))</f>
        <v/>
      </c>
    </row>
    <row r="600" spans="20:20" x14ac:dyDescent="0.3">
      <c r="T600" s="47" t="str">
        <f ca="1">IF(R600="","",IFERROR(TODAY()+VLOOKUP(R600,REGRAS!$B$2:$C$13,2,0),""))</f>
        <v/>
      </c>
    </row>
    <row r="601" spans="20:20" x14ac:dyDescent="0.3">
      <c r="T601" s="47" t="str">
        <f ca="1">IF(R601="","",IFERROR(TODAY()+VLOOKUP(R601,REGRAS!$B$2:$C$13,2,0),""))</f>
        <v/>
      </c>
    </row>
    <row r="602" spans="20:20" x14ac:dyDescent="0.3">
      <c r="T602" s="47" t="str">
        <f ca="1">IF(R602="","",IFERROR(TODAY()+VLOOKUP(R602,REGRAS!$B$2:$C$13,2,0),""))</f>
        <v/>
      </c>
    </row>
    <row r="603" spans="20:20" x14ac:dyDescent="0.3">
      <c r="T603" s="47" t="str">
        <f ca="1">IF(R603="","",IFERROR(TODAY()+VLOOKUP(R603,REGRAS!$B$2:$C$13,2,0),""))</f>
        <v/>
      </c>
    </row>
    <row r="604" spans="20:20" x14ac:dyDescent="0.3">
      <c r="T604" s="47" t="str">
        <f ca="1">IF(R604="","",IFERROR(TODAY()+VLOOKUP(R604,REGRAS!$B$2:$C$13,2,0),""))</f>
        <v/>
      </c>
    </row>
    <row r="605" spans="20:20" x14ac:dyDescent="0.3">
      <c r="T605" s="47" t="str">
        <f ca="1">IF(R605="","",IFERROR(TODAY()+VLOOKUP(R605,REGRAS!$B$2:$C$13,2,0),""))</f>
        <v/>
      </c>
    </row>
    <row r="606" spans="20:20" x14ac:dyDescent="0.3">
      <c r="T606" s="47" t="str">
        <f ca="1">IF(R606="","",IFERROR(TODAY()+VLOOKUP(R606,REGRAS!$B$2:$C$13,2,0),""))</f>
        <v/>
      </c>
    </row>
    <row r="607" spans="20:20" x14ac:dyDescent="0.3">
      <c r="T607" s="47" t="str">
        <f ca="1">IF(R607="","",IFERROR(TODAY()+VLOOKUP(R607,REGRAS!$B$2:$C$13,2,0),""))</f>
        <v/>
      </c>
    </row>
    <row r="608" spans="20:20" x14ac:dyDescent="0.3">
      <c r="T608" s="47" t="str">
        <f ca="1">IF(R608="","",IFERROR(TODAY()+VLOOKUP(R608,REGRAS!$B$2:$C$13,2,0),""))</f>
        <v/>
      </c>
    </row>
    <row r="609" spans="20:20" x14ac:dyDescent="0.3">
      <c r="T609" s="47" t="str">
        <f ca="1">IF(R609="","",IFERROR(TODAY()+VLOOKUP(R609,REGRAS!$B$2:$C$13,2,0),""))</f>
        <v/>
      </c>
    </row>
    <row r="610" spans="20:20" x14ac:dyDescent="0.3">
      <c r="T610" s="47" t="str">
        <f ca="1">IF(R610="","",IFERROR(TODAY()+VLOOKUP(R610,REGRAS!$B$2:$C$13,2,0),""))</f>
        <v/>
      </c>
    </row>
    <row r="611" spans="20:20" x14ac:dyDescent="0.3">
      <c r="T611" s="47" t="str">
        <f ca="1">IF(R611="","",IFERROR(TODAY()+VLOOKUP(R611,REGRAS!$B$2:$C$13,2,0),""))</f>
        <v/>
      </c>
    </row>
    <row r="612" spans="20:20" x14ac:dyDescent="0.3">
      <c r="T612" s="47" t="str">
        <f ca="1">IF(R612="","",IFERROR(TODAY()+VLOOKUP(R612,REGRAS!$B$2:$C$13,2,0),""))</f>
        <v/>
      </c>
    </row>
    <row r="613" spans="20:20" x14ac:dyDescent="0.3">
      <c r="T613" s="47" t="str">
        <f ca="1">IF(R613="","",IFERROR(TODAY()+VLOOKUP(R613,REGRAS!$B$2:$C$13,2,0),""))</f>
        <v/>
      </c>
    </row>
    <row r="614" spans="20:20" x14ac:dyDescent="0.3">
      <c r="T614" s="47" t="str">
        <f ca="1">IF(R614="","",IFERROR(TODAY()+VLOOKUP(R614,REGRAS!$B$2:$C$13,2,0),""))</f>
        <v/>
      </c>
    </row>
    <row r="615" spans="20:20" x14ac:dyDescent="0.3">
      <c r="T615" s="47" t="str">
        <f ca="1">IF(R615="","",IFERROR(TODAY()+VLOOKUP(R615,REGRAS!$B$2:$C$13,2,0),""))</f>
        <v/>
      </c>
    </row>
    <row r="616" spans="20:20" x14ac:dyDescent="0.3">
      <c r="T616" s="47" t="str">
        <f ca="1">IF(R616="","",IFERROR(TODAY()+VLOOKUP(R616,REGRAS!$B$2:$C$13,2,0),""))</f>
        <v/>
      </c>
    </row>
    <row r="617" spans="20:20" x14ac:dyDescent="0.3">
      <c r="T617" s="47" t="str">
        <f ca="1">IF(R617="","",IFERROR(TODAY()+VLOOKUP(R617,REGRAS!$B$2:$C$13,2,0),""))</f>
        <v/>
      </c>
    </row>
    <row r="618" spans="20:20" x14ac:dyDescent="0.3">
      <c r="T618" s="47" t="str">
        <f ca="1">IF(R618="","",IFERROR(TODAY()+VLOOKUP(R618,REGRAS!$B$2:$C$13,2,0),""))</f>
        <v/>
      </c>
    </row>
    <row r="619" spans="20:20" x14ac:dyDescent="0.3">
      <c r="T619" s="47" t="str">
        <f ca="1">IF(R619="","",IFERROR(TODAY()+VLOOKUP(R619,REGRAS!$B$2:$C$13,2,0),""))</f>
        <v/>
      </c>
    </row>
    <row r="620" spans="20:20" x14ac:dyDescent="0.3">
      <c r="T620" s="47" t="str">
        <f ca="1">IF(R620="","",IFERROR(TODAY()+VLOOKUP(R620,REGRAS!$B$2:$C$13,2,0),""))</f>
        <v/>
      </c>
    </row>
    <row r="621" spans="20:20" x14ac:dyDescent="0.3">
      <c r="T621" s="47" t="str">
        <f ca="1">IF(R621="","",IFERROR(TODAY()+VLOOKUP(R621,REGRAS!$B$2:$C$13,2,0),""))</f>
        <v/>
      </c>
    </row>
    <row r="622" spans="20:20" x14ac:dyDescent="0.3">
      <c r="T622" s="47" t="str">
        <f ca="1">IF(R622="","",IFERROR(TODAY()+VLOOKUP(R622,REGRAS!$B$2:$C$13,2,0),""))</f>
        <v/>
      </c>
    </row>
    <row r="623" spans="20:20" x14ac:dyDescent="0.3">
      <c r="T623" s="47" t="str">
        <f ca="1">IF(R623="","",IFERROR(TODAY()+VLOOKUP(R623,REGRAS!$B$2:$C$13,2,0),""))</f>
        <v/>
      </c>
    </row>
    <row r="624" spans="20:20" x14ac:dyDescent="0.3">
      <c r="T624" s="47" t="str">
        <f ca="1">IF(R624="","",IFERROR(TODAY()+VLOOKUP(R624,REGRAS!$B$2:$C$13,2,0),""))</f>
        <v/>
      </c>
    </row>
    <row r="625" spans="20:20" x14ac:dyDescent="0.3">
      <c r="T625" s="47" t="str">
        <f ca="1">IF(R625="","",IFERROR(TODAY()+VLOOKUP(R625,REGRAS!$B$2:$C$13,2,0),""))</f>
        <v/>
      </c>
    </row>
    <row r="626" spans="20:20" x14ac:dyDescent="0.3">
      <c r="T626" s="47" t="str">
        <f ca="1">IF(R626="","",IFERROR(TODAY()+VLOOKUP(R626,REGRAS!$B$2:$C$13,2,0),""))</f>
        <v/>
      </c>
    </row>
    <row r="627" spans="20:20" x14ac:dyDescent="0.3">
      <c r="T627" s="47" t="str">
        <f ca="1">IF(R627="","",IFERROR(TODAY()+VLOOKUP(R627,REGRAS!$B$2:$C$13,2,0),""))</f>
        <v/>
      </c>
    </row>
    <row r="628" spans="20:20" x14ac:dyDescent="0.3">
      <c r="T628" s="47" t="str">
        <f ca="1">IF(R628="","",IFERROR(TODAY()+VLOOKUP(R628,REGRAS!$B$2:$C$13,2,0),""))</f>
        <v/>
      </c>
    </row>
    <row r="629" spans="20:20" x14ac:dyDescent="0.3">
      <c r="T629" s="47" t="str">
        <f ca="1">IF(R629="","",IFERROR(TODAY()+VLOOKUP(R629,REGRAS!$B$2:$C$13,2,0),""))</f>
        <v/>
      </c>
    </row>
    <row r="630" spans="20:20" x14ac:dyDescent="0.3">
      <c r="T630" s="47" t="str">
        <f ca="1">IF(R630="","",IFERROR(TODAY()+VLOOKUP(R630,REGRAS!$B$2:$C$13,2,0),""))</f>
        <v/>
      </c>
    </row>
    <row r="631" spans="20:20" x14ac:dyDescent="0.3">
      <c r="T631" s="47" t="str">
        <f ca="1">IF(R631="","",IFERROR(TODAY()+VLOOKUP(R631,REGRAS!$B$2:$C$13,2,0),""))</f>
        <v/>
      </c>
    </row>
    <row r="632" spans="20:20" x14ac:dyDescent="0.3">
      <c r="T632" s="47" t="str">
        <f ca="1">IF(R632="","",IFERROR(TODAY()+VLOOKUP(R632,REGRAS!$B$2:$C$13,2,0),""))</f>
        <v/>
      </c>
    </row>
    <row r="633" spans="20:20" x14ac:dyDescent="0.3">
      <c r="T633" s="47" t="str">
        <f ca="1">IF(R633="","",IFERROR(TODAY()+VLOOKUP(R633,REGRAS!$B$2:$C$13,2,0),""))</f>
        <v/>
      </c>
    </row>
    <row r="634" spans="20:20" x14ac:dyDescent="0.3">
      <c r="T634" s="47" t="str">
        <f ca="1">IF(R634="","",IFERROR(TODAY()+VLOOKUP(R634,REGRAS!$B$2:$C$13,2,0),""))</f>
        <v/>
      </c>
    </row>
    <row r="635" spans="20:20" x14ac:dyDescent="0.3">
      <c r="T635" s="47" t="str">
        <f ca="1">IF(R635="","",IFERROR(TODAY()+VLOOKUP(R635,REGRAS!$B$2:$C$13,2,0),""))</f>
        <v/>
      </c>
    </row>
    <row r="636" spans="20:20" x14ac:dyDescent="0.3">
      <c r="T636" s="47" t="str">
        <f ca="1">IF(R636="","",IFERROR(TODAY()+VLOOKUP(R636,REGRAS!$B$2:$C$13,2,0),""))</f>
        <v/>
      </c>
    </row>
    <row r="637" spans="20:20" x14ac:dyDescent="0.3">
      <c r="T637" s="47" t="str">
        <f ca="1">IF(R637="","",IFERROR(TODAY()+VLOOKUP(R637,REGRAS!$B$2:$C$13,2,0),""))</f>
        <v/>
      </c>
    </row>
    <row r="638" spans="20:20" x14ac:dyDescent="0.3">
      <c r="T638" s="47" t="str">
        <f ca="1">IF(R638="","",IFERROR(TODAY()+VLOOKUP(R638,REGRAS!$B$2:$C$13,2,0),""))</f>
        <v/>
      </c>
    </row>
    <row r="639" spans="20:20" x14ac:dyDescent="0.3">
      <c r="T639" s="47" t="str">
        <f ca="1">IF(R639="","",IFERROR(TODAY()+VLOOKUP(R639,REGRAS!$B$2:$C$13,2,0),""))</f>
        <v/>
      </c>
    </row>
    <row r="640" spans="20:20" x14ac:dyDescent="0.3">
      <c r="T640" s="47" t="str">
        <f ca="1">IF(R640="","",IFERROR(TODAY()+VLOOKUP(R640,REGRAS!$B$2:$C$13,2,0),""))</f>
        <v/>
      </c>
    </row>
    <row r="641" spans="20:20" x14ac:dyDescent="0.3">
      <c r="T641" s="47" t="str">
        <f ca="1">IF(R641="","",IFERROR(TODAY()+VLOOKUP(R641,REGRAS!$B$2:$C$13,2,0),""))</f>
        <v/>
      </c>
    </row>
    <row r="642" spans="20:20" x14ac:dyDescent="0.3">
      <c r="T642" s="47" t="str">
        <f ca="1">IF(R642="","",IFERROR(TODAY()+VLOOKUP(R642,REGRAS!$B$2:$C$13,2,0),""))</f>
        <v/>
      </c>
    </row>
    <row r="643" spans="20:20" x14ac:dyDescent="0.3">
      <c r="T643" s="47" t="str">
        <f ca="1">IF(R643="","",IFERROR(TODAY()+VLOOKUP(R643,REGRAS!$B$2:$C$13,2,0),""))</f>
        <v/>
      </c>
    </row>
    <row r="644" spans="20:20" x14ac:dyDescent="0.3">
      <c r="T644" s="47" t="str">
        <f ca="1">IF(R644="","",IFERROR(TODAY()+VLOOKUP(R644,REGRAS!$B$2:$C$13,2,0),""))</f>
        <v/>
      </c>
    </row>
    <row r="645" spans="20:20" x14ac:dyDescent="0.3">
      <c r="T645" s="47" t="str">
        <f ca="1">IF(R645="","",IFERROR(TODAY()+VLOOKUP(R645,REGRAS!$B$2:$C$13,2,0),""))</f>
        <v/>
      </c>
    </row>
    <row r="646" spans="20:20" x14ac:dyDescent="0.3">
      <c r="T646" s="47" t="str">
        <f ca="1">IF(R646="","",IFERROR(TODAY()+VLOOKUP(R646,REGRAS!$B$2:$C$13,2,0),""))</f>
        <v/>
      </c>
    </row>
    <row r="647" spans="20:20" x14ac:dyDescent="0.3">
      <c r="T647" s="47" t="str">
        <f ca="1">IF(R647="","",IFERROR(TODAY()+VLOOKUP(R647,REGRAS!$B$2:$C$13,2,0),""))</f>
        <v/>
      </c>
    </row>
    <row r="648" spans="20:20" x14ac:dyDescent="0.3">
      <c r="T648" s="47" t="str">
        <f ca="1">IF(R648="","",IFERROR(TODAY()+VLOOKUP(R648,REGRAS!$B$2:$C$13,2,0),""))</f>
        <v/>
      </c>
    </row>
    <row r="649" spans="20:20" x14ac:dyDescent="0.3">
      <c r="T649" s="47" t="str">
        <f ca="1">IF(R649="","",IFERROR(TODAY()+VLOOKUP(R649,REGRAS!$B$2:$C$13,2,0),""))</f>
        <v/>
      </c>
    </row>
    <row r="650" spans="20:20" x14ac:dyDescent="0.3">
      <c r="T650" s="47" t="str">
        <f ca="1">IF(R650="","",IFERROR(TODAY()+VLOOKUP(R650,REGRAS!$B$2:$C$13,2,0),""))</f>
        <v/>
      </c>
    </row>
    <row r="651" spans="20:20" x14ac:dyDescent="0.3">
      <c r="T651" s="47" t="str">
        <f ca="1">IF(R651="","",IFERROR(TODAY()+VLOOKUP(R651,REGRAS!$B$2:$C$13,2,0),""))</f>
        <v/>
      </c>
    </row>
    <row r="652" spans="20:20" x14ac:dyDescent="0.3">
      <c r="T652" s="47" t="str">
        <f ca="1">IF(R652="","",IFERROR(TODAY()+VLOOKUP(R652,REGRAS!$B$2:$C$13,2,0),""))</f>
        <v/>
      </c>
    </row>
    <row r="653" spans="20:20" x14ac:dyDescent="0.3">
      <c r="T653" s="47" t="str">
        <f ca="1">IF(R653="","",IFERROR(TODAY()+VLOOKUP(R653,REGRAS!$B$2:$C$13,2,0),""))</f>
        <v/>
      </c>
    </row>
    <row r="654" spans="20:20" x14ac:dyDescent="0.3">
      <c r="T654" s="47" t="str">
        <f ca="1">IF(R654="","",IFERROR(TODAY()+VLOOKUP(R654,REGRAS!$B$2:$C$13,2,0),""))</f>
        <v/>
      </c>
    </row>
    <row r="655" spans="20:20" x14ac:dyDescent="0.3">
      <c r="T655" s="47" t="str">
        <f ca="1">IF(R655="","",IFERROR(TODAY()+VLOOKUP(R655,REGRAS!$B$2:$C$13,2,0),""))</f>
        <v/>
      </c>
    </row>
    <row r="656" spans="20:20" x14ac:dyDescent="0.3">
      <c r="T656" s="47" t="str">
        <f ca="1">IF(R656="","",IFERROR(TODAY()+VLOOKUP(R656,REGRAS!$B$2:$C$13,2,0),""))</f>
        <v/>
      </c>
    </row>
    <row r="657" spans="20:20" x14ac:dyDescent="0.3">
      <c r="T657" s="47" t="str">
        <f ca="1">IF(R657="","",IFERROR(TODAY()+VLOOKUP(R657,REGRAS!$B$2:$C$13,2,0),""))</f>
        <v/>
      </c>
    </row>
    <row r="658" spans="20:20" x14ac:dyDescent="0.3">
      <c r="T658" s="47" t="str">
        <f ca="1">IF(R658="","",IFERROR(TODAY()+VLOOKUP(R658,REGRAS!$B$2:$C$13,2,0),""))</f>
        <v/>
      </c>
    </row>
    <row r="659" spans="20:20" x14ac:dyDescent="0.3">
      <c r="T659" s="47" t="str">
        <f ca="1">IF(R659="","",IFERROR(TODAY()+VLOOKUP(R659,REGRAS!$B$2:$C$13,2,0),""))</f>
        <v/>
      </c>
    </row>
    <row r="660" spans="20:20" x14ac:dyDescent="0.3">
      <c r="T660" s="47" t="str">
        <f ca="1">IF(R660="","",IFERROR(TODAY()+VLOOKUP(R660,REGRAS!$B$2:$C$13,2,0),""))</f>
        <v/>
      </c>
    </row>
    <row r="661" spans="20:20" x14ac:dyDescent="0.3">
      <c r="T661" s="47" t="str">
        <f ca="1">IF(R661="","",IFERROR(TODAY()+VLOOKUP(R661,REGRAS!$B$2:$C$13,2,0),""))</f>
        <v/>
      </c>
    </row>
    <row r="662" spans="20:20" x14ac:dyDescent="0.3">
      <c r="T662" s="47" t="str">
        <f ca="1">IF(R662="","",IFERROR(TODAY()+VLOOKUP(R662,REGRAS!$B$2:$C$13,2,0),""))</f>
        <v/>
      </c>
    </row>
    <row r="663" spans="20:20" x14ac:dyDescent="0.3">
      <c r="T663" s="47" t="str">
        <f ca="1">IF(R663="","",IFERROR(TODAY()+VLOOKUP(R663,REGRAS!$B$2:$C$13,2,0),""))</f>
        <v/>
      </c>
    </row>
    <row r="664" spans="20:20" x14ac:dyDescent="0.3">
      <c r="T664" s="47" t="str">
        <f ca="1">IF(R664="","",IFERROR(TODAY()+VLOOKUP(R664,REGRAS!$B$2:$C$13,2,0),""))</f>
        <v/>
      </c>
    </row>
    <row r="665" spans="20:20" x14ac:dyDescent="0.3">
      <c r="T665" s="47" t="str">
        <f ca="1">IF(R665="","",IFERROR(TODAY()+VLOOKUP(R665,REGRAS!$B$2:$C$13,2,0),""))</f>
        <v/>
      </c>
    </row>
    <row r="666" spans="20:20" x14ac:dyDescent="0.3">
      <c r="T666" s="47" t="str">
        <f ca="1">IF(R666="","",IFERROR(TODAY()+VLOOKUP(R666,REGRAS!$B$2:$C$13,2,0),""))</f>
        <v/>
      </c>
    </row>
    <row r="667" spans="20:20" x14ac:dyDescent="0.3">
      <c r="T667" s="47" t="str">
        <f ca="1">IF(R667="","",IFERROR(TODAY()+VLOOKUP(R667,REGRAS!$B$2:$C$13,2,0),""))</f>
        <v/>
      </c>
    </row>
    <row r="668" spans="20:20" x14ac:dyDescent="0.3">
      <c r="T668" s="47" t="str">
        <f ca="1">IF(R668="","",IFERROR(TODAY()+VLOOKUP(R668,REGRAS!$B$2:$C$13,2,0),""))</f>
        <v/>
      </c>
    </row>
    <row r="669" spans="20:20" x14ac:dyDescent="0.3">
      <c r="T669" s="47" t="str">
        <f ca="1">IF(R669="","",IFERROR(TODAY()+VLOOKUP(R669,REGRAS!$B$2:$C$13,2,0),""))</f>
        <v/>
      </c>
    </row>
    <row r="670" spans="20:20" x14ac:dyDescent="0.3">
      <c r="T670" s="47" t="str">
        <f ca="1">IF(R670="","",IFERROR(TODAY()+VLOOKUP(R670,REGRAS!$B$2:$C$13,2,0),""))</f>
        <v/>
      </c>
    </row>
    <row r="671" spans="20:20" x14ac:dyDescent="0.3">
      <c r="T671" s="47" t="str">
        <f ca="1">IF(R671="","",IFERROR(TODAY()+VLOOKUP(R671,REGRAS!$B$2:$C$13,2,0),""))</f>
        <v/>
      </c>
    </row>
    <row r="672" spans="20:20" x14ac:dyDescent="0.3">
      <c r="T672" s="47" t="str">
        <f ca="1">IF(R672="","",IFERROR(TODAY()+VLOOKUP(R672,REGRAS!$B$2:$C$13,2,0),""))</f>
        <v/>
      </c>
    </row>
    <row r="673" spans="20:20" x14ac:dyDescent="0.3">
      <c r="T673" s="47" t="str">
        <f ca="1">IF(R673="","",IFERROR(TODAY()+VLOOKUP(R673,REGRAS!$B$2:$C$13,2,0),""))</f>
        <v/>
      </c>
    </row>
    <row r="674" spans="20:20" x14ac:dyDescent="0.3">
      <c r="T674" s="47" t="str">
        <f ca="1">IF(R674="","",IFERROR(TODAY()+VLOOKUP(R674,REGRAS!$B$2:$C$13,2,0),""))</f>
        <v/>
      </c>
    </row>
    <row r="675" spans="20:20" x14ac:dyDescent="0.3">
      <c r="T675" s="47" t="str">
        <f ca="1">IF(R675="","",IFERROR(TODAY()+VLOOKUP(R675,REGRAS!$B$2:$C$13,2,0),""))</f>
        <v/>
      </c>
    </row>
    <row r="676" spans="20:20" x14ac:dyDescent="0.3">
      <c r="T676" s="47" t="str">
        <f ca="1">IF(R676="","",IFERROR(TODAY()+VLOOKUP(R676,REGRAS!$B$2:$C$13,2,0),""))</f>
        <v/>
      </c>
    </row>
    <row r="677" spans="20:20" x14ac:dyDescent="0.3">
      <c r="T677" s="47" t="str">
        <f ca="1">IF(R677="","",IFERROR(TODAY()+VLOOKUP(R677,REGRAS!$B$2:$C$13,2,0),""))</f>
        <v/>
      </c>
    </row>
    <row r="678" spans="20:20" x14ac:dyDescent="0.3">
      <c r="T678" s="47" t="str">
        <f ca="1">IF(R678="","",IFERROR(TODAY()+VLOOKUP(R678,REGRAS!$B$2:$C$13,2,0),""))</f>
        <v/>
      </c>
    </row>
    <row r="679" spans="20:20" x14ac:dyDescent="0.3">
      <c r="T679" s="47" t="str">
        <f ca="1">IF(R679="","",IFERROR(TODAY()+VLOOKUP(R679,REGRAS!$B$2:$C$13,2,0),""))</f>
        <v/>
      </c>
    </row>
    <row r="680" spans="20:20" x14ac:dyDescent="0.3">
      <c r="T680" s="47" t="str">
        <f ca="1">IF(R680="","",IFERROR(TODAY()+VLOOKUP(R680,REGRAS!$B$2:$C$13,2,0),""))</f>
        <v/>
      </c>
    </row>
    <row r="681" spans="20:20" x14ac:dyDescent="0.3">
      <c r="T681" s="47" t="str">
        <f ca="1">IF(R681="","",IFERROR(TODAY()+VLOOKUP(R681,REGRAS!$B$2:$C$13,2,0),""))</f>
        <v/>
      </c>
    </row>
    <row r="682" spans="20:20" x14ac:dyDescent="0.3">
      <c r="T682" s="47" t="str">
        <f ca="1">IF(R682="","",IFERROR(TODAY()+VLOOKUP(R682,REGRAS!$B$2:$C$13,2,0),""))</f>
        <v/>
      </c>
    </row>
    <row r="683" spans="20:20" x14ac:dyDescent="0.3">
      <c r="T683" s="47" t="str">
        <f ca="1">IF(R683="","",IFERROR(TODAY()+VLOOKUP(R683,REGRAS!$B$2:$C$13,2,0),""))</f>
        <v/>
      </c>
    </row>
    <row r="684" spans="20:20" x14ac:dyDescent="0.3">
      <c r="T684" s="47" t="str">
        <f ca="1">IF(R684="","",IFERROR(TODAY()+VLOOKUP(R684,REGRAS!$B$2:$C$13,2,0),""))</f>
        <v/>
      </c>
    </row>
    <row r="685" spans="20:20" x14ac:dyDescent="0.3">
      <c r="T685" s="47" t="str">
        <f ca="1">IF(R685="","",IFERROR(TODAY()+VLOOKUP(R685,REGRAS!$B$2:$C$13,2,0),""))</f>
        <v/>
      </c>
    </row>
    <row r="686" spans="20:20" x14ac:dyDescent="0.3">
      <c r="T686" s="47" t="str">
        <f ca="1">IF(R686="","",IFERROR(TODAY()+VLOOKUP(R686,REGRAS!$B$2:$C$13,2,0),""))</f>
        <v/>
      </c>
    </row>
    <row r="687" spans="20:20" x14ac:dyDescent="0.3">
      <c r="T687" s="47" t="str">
        <f ca="1">IF(R687="","",IFERROR(TODAY()+VLOOKUP(R687,REGRAS!$B$2:$C$13,2,0),""))</f>
        <v/>
      </c>
    </row>
    <row r="688" spans="20:20" x14ac:dyDescent="0.3">
      <c r="T688" s="47" t="str">
        <f ca="1">IF(R688="","",IFERROR(TODAY()+VLOOKUP(R688,REGRAS!$B$2:$C$13,2,0),""))</f>
        <v/>
      </c>
    </row>
    <row r="689" spans="20:20" x14ac:dyDescent="0.3">
      <c r="T689" s="47" t="str">
        <f ca="1">IF(R689="","",IFERROR(TODAY()+VLOOKUP(R689,REGRAS!$B$2:$C$13,2,0),""))</f>
        <v/>
      </c>
    </row>
    <row r="690" spans="20:20" x14ac:dyDescent="0.3">
      <c r="T690" s="47" t="str">
        <f ca="1">IF(R690="","",IFERROR(TODAY()+VLOOKUP(R690,REGRAS!$B$2:$C$13,2,0),""))</f>
        <v/>
      </c>
    </row>
    <row r="691" spans="20:20" x14ac:dyDescent="0.3">
      <c r="T691" s="47" t="str">
        <f ca="1">IF(R691="","",IFERROR(TODAY()+VLOOKUP(R691,REGRAS!$B$2:$C$13,2,0),""))</f>
        <v/>
      </c>
    </row>
    <row r="692" spans="20:20" x14ac:dyDescent="0.3">
      <c r="T692" s="47" t="str">
        <f ca="1">IF(R692="","",IFERROR(TODAY()+VLOOKUP(R692,REGRAS!$B$2:$C$13,2,0),""))</f>
        <v/>
      </c>
    </row>
    <row r="693" spans="20:20" x14ac:dyDescent="0.3">
      <c r="T693" s="47" t="str">
        <f ca="1">IF(R693="","",IFERROR(TODAY()+VLOOKUP(R693,REGRAS!$B$2:$C$13,2,0),""))</f>
        <v/>
      </c>
    </row>
    <row r="694" spans="20:20" x14ac:dyDescent="0.3">
      <c r="T694" s="47" t="str">
        <f ca="1">IF(R694="","",IFERROR(TODAY()+VLOOKUP(R694,REGRAS!$B$2:$C$13,2,0),""))</f>
        <v/>
      </c>
    </row>
    <row r="695" spans="20:20" x14ac:dyDescent="0.3">
      <c r="T695" s="47" t="str">
        <f ca="1">IF(R695="","",IFERROR(TODAY()+VLOOKUP(R695,REGRAS!$B$2:$C$13,2,0),""))</f>
        <v/>
      </c>
    </row>
    <row r="696" spans="20:20" x14ac:dyDescent="0.3">
      <c r="T696" s="47" t="str">
        <f ca="1">IF(R696="","",IFERROR(TODAY()+VLOOKUP(R696,REGRAS!$B$2:$C$13,2,0),""))</f>
        <v/>
      </c>
    </row>
    <row r="697" spans="20:20" x14ac:dyDescent="0.3">
      <c r="T697" s="47" t="str">
        <f ca="1">IF(R697="","",IFERROR(TODAY()+VLOOKUP(R697,REGRAS!$B$2:$C$13,2,0),""))</f>
        <v/>
      </c>
    </row>
    <row r="698" spans="20:20" x14ac:dyDescent="0.3">
      <c r="T698" s="47" t="str">
        <f ca="1">IF(R698="","",IFERROR(TODAY()+VLOOKUP(R698,REGRAS!$B$2:$C$13,2,0),""))</f>
        <v/>
      </c>
    </row>
    <row r="699" spans="20:20" x14ac:dyDescent="0.3">
      <c r="T699" s="47" t="str">
        <f ca="1">IF(R699="","",IFERROR(TODAY()+VLOOKUP(R699,REGRAS!$B$2:$C$13,2,0),""))</f>
        <v/>
      </c>
    </row>
    <row r="700" spans="20:20" x14ac:dyDescent="0.3">
      <c r="T700" s="47" t="str">
        <f ca="1">IF(R700="","",IFERROR(TODAY()+VLOOKUP(R700,REGRAS!$B$2:$C$13,2,0),""))</f>
        <v/>
      </c>
    </row>
    <row r="701" spans="20:20" x14ac:dyDescent="0.3">
      <c r="T701" s="47" t="str">
        <f ca="1">IF(R701="","",IFERROR(TODAY()+VLOOKUP(R701,REGRAS!$B$2:$C$13,2,0),""))</f>
        <v/>
      </c>
    </row>
    <row r="702" spans="20:20" x14ac:dyDescent="0.3">
      <c r="T702" s="47" t="str">
        <f ca="1">IF(R702="","",IFERROR(TODAY()+VLOOKUP(R702,REGRAS!$B$2:$C$13,2,0),""))</f>
        <v/>
      </c>
    </row>
    <row r="703" spans="20:20" x14ac:dyDescent="0.3">
      <c r="T703" s="47" t="str">
        <f ca="1">IF(R703="","",IFERROR(TODAY()+VLOOKUP(R703,REGRAS!$B$2:$C$13,2,0),""))</f>
        <v/>
      </c>
    </row>
    <row r="704" spans="20:20" x14ac:dyDescent="0.3">
      <c r="T704" s="47" t="str">
        <f ca="1">IF(R704="","",IFERROR(TODAY()+VLOOKUP(R704,REGRAS!$B$2:$C$13,2,0),""))</f>
        <v/>
      </c>
    </row>
    <row r="705" spans="20:20" x14ac:dyDescent="0.3">
      <c r="T705" s="47" t="str">
        <f ca="1">IF(R705="","",IFERROR(TODAY()+VLOOKUP(R705,REGRAS!$B$2:$C$13,2,0),""))</f>
        <v/>
      </c>
    </row>
    <row r="706" spans="20:20" x14ac:dyDescent="0.3">
      <c r="T706" s="47" t="str">
        <f ca="1">IF(R706="","",IFERROR(TODAY()+VLOOKUP(R706,REGRAS!$B$2:$C$13,2,0),""))</f>
        <v/>
      </c>
    </row>
    <row r="707" spans="20:20" x14ac:dyDescent="0.3">
      <c r="T707" s="47" t="str">
        <f ca="1">IF(R707="","",IFERROR(TODAY()+VLOOKUP(R707,REGRAS!$B$2:$C$13,2,0),""))</f>
        <v/>
      </c>
    </row>
    <row r="708" spans="20:20" x14ac:dyDescent="0.3">
      <c r="T708" s="47" t="str">
        <f ca="1">IF(R708="","",IFERROR(TODAY()+VLOOKUP(R708,REGRAS!$B$2:$C$13,2,0),""))</f>
        <v/>
      </c>
    </row>
    <row r="709" spans="20:20" x14ac:dyDescent="0.3">
      <c r="T709" s="47" t="str">
        <f ca="1">IF(R709="","",IFERROR(TODAY()+VLOOKUP(R709,REGRAS!$B$2:$C$13,2,0),""))</f>
        <v/>
      </c>
    </row>
    <row r="710" spans="20:20" x14ac:dyDescent="0.3">
      <c r="T710" s="47" t="str">
        <f ca="1">IF(R710="","",IFERROR(TODAY()+VLOOKUP(R710,REGRAS!$B$2:$C$13,2,0),""))</f>
        <v/>
      </c>
    </row>
    <row r="711" spans="20:20" x14ac:dyDescent="0.3">
      <c r="T711" s="47" t="str">
        <f ca="1">IF(R711="","",IFERROR(TODAY()+VLOOKUP(R711,REGRAS!$B$2:$C$13,2,0),""))</f>
        <v/>
      </c>
    </row>
    <row r="712" spans="20:20" x14ac:dyDescent="0.3">
      <c r="T712" s="47" t="str">
        <f ca="1">IF(R712="","",IFERROR(TODAY()+VLOOKUP(R712,REGRAS!$B$2:$C$13,2,0),""))</f>
        <v/>
      </c>
    </row>
    <row r="713" spans="20:20" x14ac:dyDescent="0.3">
      <c r="T713" s="47" t="str">
        <f ca="1">IF(R713="","",IFERROR(TODAY()+VLOOKUP(R713,REGRAS!$B$2:$C$13,2,0),""))</f>
        <v/>
      </c>
    </row>
    <row r="714" spans="20:20" x14ac:dyDescent="0.3">
      <c r="T714" s="47" t="str">
        <f ca="1">IF(R714="","",IFERROR(TODAY()+VLOOKUP(R714,REGRAS!$B$2:$C$13,2,0),""))</f>
        <v/>
      </c>
    </row>
    <row r="715" spans="20:20" x14ac:dyDescent="0.3">
      <c r="T715" s="47" t="str">
        <f ca="1">IF(R715="","",IFERROR(TODAY()+VLOOKUP(R715,REGRAS!$B$2:$C$13,2,0),""))</f>
        <v/>
      </c>
    </row>
    <row r="716" spans="20:20" x14ac:dyDescent="0.3">
      <c r="T716" s="47" t="str">
        <f ca="1">IF(R716="","",IFERROR(TODAY()+VLOOKUP(R716,REGRAS!$B$2:$C$13,2,0),""))</f>
        <v/>
      </c>
    </row>
    <row r="717" spans="20:20" x14ac:dyDescent="0.3">
      <c r="T717" s="47" t="str">
        <f ca="1">IF(R717="","",IFERROR(TODAY()+VLOOKUP(R717,REGRAS!$B$2:$C$13,2,0),""))</f>
        <v/>
      </c>
    </row>
    <row r="718" spans="20:20" x14ac:dyDescent="0.3">
      <c r="T718" s="47" t="str">
        <f ca="1">IF(R718="","",IFERROR(TODAY()+VLOOKUP(R718,REGRAS!$B$2:$C$13,2,0),""))</f>
        <v/>
      </c>
    </row>
    <row r="719" spans="20:20" x14ac:dyDescent="0.3">
      <c r="T719" s="47" t="str">
        <f ca="1">IF(R719="","",IFERROR(TODAY()+VLOOKUP(R719,REGRAS!$B$2:$C$13,2,0),""))</f>
        <v/>
      </c>
    </row>
    <row r="720" spans="20:20" x14ac:dyDescent="0.3">
      <c r="T720" s="47" t="str">
        <f ca="1">IF(R720="","",IFERROR(TODAY()+VLOOKUP(R720,REGRAS!$B$2:$C$13,2,0),""))</f>
        <v/>
      </c>
    </row>
    <row r="721" spans="20:20" x14ac:dyDescent="0.3">
      <c r="T721" s="47" t="str">
        <f ca="1">IF(R721="","",IFERROR(TODAY()+VLOOKUP(R721,REGRAS!$B$2:$C$13,2,0),""))</f>
        <v/>
      </c>
    </row>
    <row r="722" spans="20:20" x14ac:dyDescent="0.3">
      <c r="T722" s="47" t="str">
        <f ca="1">IF(R722="","",IFERROR(TODAY()+VLOOKUP(R722,REGRAS!$B$2:$C$13,2,0),""))</f>
        <v/>
      </c>
    </row>
    <row r="723" spans="20:20" x14ac:dyDescent="0.3">
      <c r="T723" s="47" t="str">
        <f ca="1">IF(R723="","",IFERROR(TODAY()+VLOOKUP(R723,REGRAS!$B$2:$C$13,2,0),""))</f>
        <v/>
      </c>
    </row>
    <row r="724" spans="20:20" x14ac:dyDescent="0.3">
      <c r="T724" s="47" t="str">
        <f ca="1">IF(R724="","",IFERROR(TODAY()+VLOOKUP(R724,REGRAS!$B$2:$C$13,2,0),""))</f>
        <v/>
      </c>
    </row>
    <row r="725" spans="20:20" x14ac:dyDescent="0.3">
      <c r="T725" s="47" t="str">
        <f ca="1">IF(R725="","",IFERROR(TODAY()+VLOOKUP(R725,REGRAS!$B$2:$C$13,2,0),""))</f>
        <v/>
      </c>
    </row>
    <row r="726" spans="20:20" x14ac:dyDescent="0.3">
      <c r="T726" s="47" t="str">
        <f ca="1">IF(R726="","",IFERROR(TODAY()+VLOOKUP(R726,REGRAS!$B$2:$C$13,2,0),""))</f>
        <v/>
      </c>
    </row>
    <row r="727" spans="20:20" x14ac:dyDescent="0.3">
      <c r="T727" s="47" t="str">
        <f ca="1">IF(R727="","",IFERROR(TODAY()+VLOOKUP(R727,REGRAS!$B$2:$C$13,2,0),""))</f>
        <v/>
      </c>
    </row>
    <row r="728" spans="20:20" x14ac:dyDescent="0.3">
      <c r="T728" s="47" t="str">
        <f ca="1">IF(R728="","",IFERROR(TODAY()+VLOOKUP(R728,REGRAS!$B$2:$C$13,2,0),""))</f>
        <v/>
      </c>
    </row>
    <row r="729" spans="20:20" x14ac:dyDescent="0.3">
      <c r="T729" s="47" t="str">
        <f ca="1">IF(R729="","",IFERROR(TODAY()+VLOOKUP(R729,REGRAS!$B$2:$C$13,2,0),""))</f>
        <v/>
      </c>
    </row>
    <row r="730" spans="20:20" x14ac:dyDescent="0.3">
      <c r="T730" s="47" t="str">
        <f ca="1">IF(R730="","",IFERROR(TODAY()+VLOOKUP(R730,REGRAS!$B$2:$C$13,2,0),""))</f>
        <v/>
      </c>
    </row>
    <row r="731" spans="20:20" x14ac:dyDescent="0.3">
      <c r="T731" s="47" t="str">
        <f ca="1">IF(R731="","",IFERROR(TODAY()+VLOOKUP(R731,REGRAS!$B$2:$C$13,2,0),""))</f>
        <v/>
      </c>
    </row>
    <row r="732" spans="20:20" x14ac:dyDescent="0.3">
      <c r="T732" s="47" t="str">
        <f ca="1">IF(R732="","",IFERROR(TODAY()+VLOOKUP(R732,REGRAS!$B$2:$C$13,2,0),""))</f>
        <v/>
      </c>
    </row>
    <row r="733" spans="20:20" x14ac:dyDescent="0.3">
      <c r="T733" s="47" t="str">
        <f ca="1">IF(R733="","",IFERROR(TODAY()+VLOOKUP(R733,REGRAS!$B$2:$C$13,2,0),""))</f>
        <v/>
      </c>
    </row>
    <row r="734" spans="20:20" x14ac:dyDescent="0.3">
      <c r="T734" s="47" t="str">
        <f ca="1">IF(R734="","",IFERROR(TODAY()+VLOOKUP(R734,REGRAS!$B$2:$C$13,2,0),""))</f>
        <v/>
      </c>
    </row>
    <row r="735" spans="20:20" x14ac:dyDescent="0.3">
      <c r="T735" s="47" t="str">
        <f ca="1">IF(R735="","",IFERROR(TODAY()+VLOOKUP(R735,REGRAS!$B$2:$C$13,2,0),""))</f>
        <v/>
      </c>
    </row>
    <row r="736" spans="20:20" x14ac:dyDescent="0.3">
      <c r="T736" s="47" t="str">
        <f ca="1">IF(R736="","",IFERROR(TODAY()+VLOOKUP(R736,REGRAS!$B$2:$C$13,2,0),""))</f>
        <v/>
      </c>
    </row>
    <row r="737" spans="20:20" x14ac:dyDescent="0.3">
      <c r="T737" s="47" t="str">
        <f ca="1">IF(R737="","",IFERROR(TODAY()+VLOOKUP(R737,REGRAS!$B$2:$C$13,2,0),""))</f>
        <v/>
      </c>
    </row>
    <row r="738" spans="20:20" x14ac:dyDescent="0.3">
      <c r="T738" s="47" t="str">
        <f ca="1">IF(R738="","",IFERROR(TODAY()+VLOOKUP(R738,REGRAS!$B$2:$C$13,2,0),""))</f>
        <v/>
      </c>
    </row>
    <row r="739" spans="20:20" x14ac:dyDescent="0.3">
      <c r="T739" s="47" t="str">
        <f ca="1">IF(R739="","",IFERROR(TODAY()+VLOOKUP(R739,REGRAS!$B$2:$C$13,2,0),""))</f>
        <v/>
      </c>
    </row>
    <row r="740" spans="20:20" x14ac:dyDescent="0.3">
      <c r="T740" s="47" t="str">
        <f ca="1">IF(R740="","",IFERROR(TODAY()+VLOOKUP(R740,REGRAS!$B$2:$C$13,2,0),""))</f>
        <v/>
      </c>
    </row>
    <row r="741" spans="20:20" x14ac:dyDescent="0.3">
      <c r="T741" s="47" t="str">
        <f ca="1">IF(R741="","",IFERROR(TODAY()+VLOOKUP(R741,REGRAS!$B$2:$C$13,2,0),""))</f>
        <v/>
      </c>
    </row>
    <row r="742" spans="20:20" x14ac:dyDescent="0.3">
      <c r="T742" s="47" t="str">
        <f ca="1">IF(R742="","",IFERROR(TODAY()+VLOOKUP(R742,REGRAS!$B$2:$C$13,2,0),""))</f>
        <v/>
      </c>
    </row>
    <row r="743" spans="20:20" x14ac:dyDescent="0.3">
      <c r="T743" s="47" t="str">
        <f ca="1">IF(R743="","",IFERROR(TODAY()+VLOOKUP(R743,REGRAS!$B$2:$C$13,2,0),""))</f>
        <v/>
      </c>
    </row>
    <row r="744" spans="20:20" x14ac:dyDescent="0.3">
      <c r="T744" s="47" t="str">
        <f ca="1">IF(R744="","",IFERROR(TODAY()+VLOOKUP(R744,REGRAS!$B$2:$C$13,2,0),""))</f>
        <v/>
      </c>
    </row>
    <row r="745" spans="20:20" x14ac:dyDescent="0.3">
      <c r="T745" s="47" t="str">
        <f ca="1">IF(R745="","",IFERROR(TODAY()+VLOOKUP(R745,REGRAS!$B$2:$C$13,2,0),""))</f>
        <v/>
      </c>
    </row>
    <row r="746" spans="20:20" x14ac:dyDescent="0.3">
      <c r="T746" s="47" t="str">
        <f ca="1">IF(R746="","",IFERROR(TODAY()+VLOOKUP(R746,REGRAS!$B$2:$C$13,2,0),""))</f>
        <v/>
      </c>
    </row>
    <row r="747" spans="20:20" x14ac:dyDescent="0.3">
      <c r="T747" s="47" t="str">
        <f ca="1">IF(R747="","",IFERROR(TODAY()+VLOOKUP(R747,REGRAS!$B$2:$C$13,2,0),""))</f>
        <v/>
      </c>
    </row>
    <row r="748" spans="20:20" x14ac:dyDescent="0.3">
      <c r="T748" s="47" t="str">
        <f ca="1">IF(R748="","",IFERROR(TODAY()+VLOOKUP(R748,REGRAS!$B$2:$C$13,2,0),""))</f>
        <v/>
      </c>
    </row>
    <row r="749" spans="20:20" x14ac:dyDescent="0.3">
      <c r="T749" s="47" t="str">
        <f ca="1">IF(R749="","",IFERROR(TODAY()+VLOOKUP(R749,REGRAS!$B$2:$C$13,2,0),""))</f>
        <v/>
      </c>
    </row>
    <row r="750" spans="20:20" x14ac:dyDescent="0.3">
      <c r="T750" s="47" t="str">
        <f ca="1">IF(R750="","",IFERROR(TODAY()+VLOOKUP(R750,REGRAS!$B$2:$C$13,2,0),""))</f>
        <v/>
      </c>
    </row>
    <row r="751" spans="20:20" x14ac:dyDescent="0.3">
      <c r="T751" s="47" t="str">
        <f ca="1">IF(R751="","",IFERROR(TODAY()+VLOOKUP(R751,REGRAS!$B$2:$C$13,2,0),""))</f>
        <v/>
      </c>
    </row>
    <row r="752" spans="20:20" x14ac:dyDescent="0.3">
      <c r="T752" s="47" t="str">
        <f ca="1">IF(R752="","",IFERROR(TODAY()+VLOOKUP(R752,REGRAS!$B$2:$C$13,2,0),""))</f>
        <v/>
      </c>
    </row>
    <row r="753" spans="20:20" x14ac:dyDescent="0.3">
      <c r="T753" s="47" t="str">
        <f ca="1">IF(R753="","",IFERROR(TODAY()+VLOOKUP(R753,REGRAS!$B$2:$C$13,2,0),""))</f>
        <v/>
      </c>
    </row>
    <row r="754" spans="20:20" x14ac:dyDescent="0.3">
      <c r="T754" s="47" t="str">
        <f ca="1">IF(R754="","",IFERROR(TODAY()+VLOOKUP(R754,REGRAS!$B$2:$C$13,2,0),""))</f>
        <v/>
      </c>
    </row>
    <row r="755" spans="20:20" x14ac:dyDescent="0.3">
      <c r="T755" s="47" t="str">
        <f ca="1">IF(R755="","",IFERROR(TODAY()+VLOOKUP(R755,REGRAS!$B$2:$C$13,2,0),""))</f>
        <v/>
      </c>
    </row>
    <row r="756" spans="20:20" x14ac:dyDescent="0.3">
      <c r="T756" s="47" t="str">
        <f ca="1">IF(R756="","",IFERROR(TODAY()+VLOOKUP(R756,REGRAS!$B$2:$C$13,2,0),""))</f>
        <v/>
      </c>
    </row>
    <row r="757" spans="20:20" x14ac:dyDescent="0.3">
      <c r="T757" s="47" t="str">
        <f ca="1">IF(R757="","",IFERROR(TODAY()+VLOOKUP(R757,REGRAS!$B$2:$C$13,2,0),""))</f>
        <v/>
      </c>
    </row>
    <row r="758" spans="20:20" x14ac:dyDescent="0.3">
      <c r="T758" s="47" t="str">
        <f ca="1">IF(R758="","",IFERROR(TODAY()+VLOOKUP(R758,REGRAS!$B$2:$C$13,2,0),""))</f>
        <v/>
      </c>
    </row>
    <row r="759" spans="20:20" x14ac:dyDescent="0.3">
      <c r="T759" s="47" t="str">
        <f ca="1">IF(R759="","",IFERROR(TODAY()+VLOOKUP(R759,REGRAS!$B$2:$C$13,2,0),""))</f>
        <v/>
      </c>
    </row>
    <row r="760" spans="20:20" x14ac:dyDescent="0.3">
      <c r="T760" s="47" t="str">
        <f ca="1">IF(R760="","",IFERROR(TODAY()+VLOOKUP(R760,REGRAS!$B$2:$C$13,2,0),""))</f>
        <v/>
      </c>
    </row>
    <row r="761" spans="20:20" x14ac:dyDescent="0.3">
      <c r="T761" s="47" t="str">
        <f ca="1">IF(R761="","",IFERROR(TODAY()+VLOOKUP(R761,REGRAS!$B$2:$C$13,2,0),""))</f>
        <v/>
      </c>
    </row>
    <row r="762" spans="20:20" x14ac:dyDescent="0.3">
      <c r="T762" s="47" t="str">
        <f ca="1">IF(R762="","",IFERROR(TODAY()+VLOOKUP(R762,REGRAS!$B$2:$C$13,2,0),""))</f>
        <v/>
      </c>
    </row>
    <row r="763" spans="20:20" x14ac:dyDescent="0.3">
      <c r="T763" s="47" t="str">
        <f ca="1">IF(R763="","",IFERROR(TODAY()+VLOOKUP(R763,REGRAS!$B$2:$C$13,2,0),""))</f>
        <v/>
      </c>
    </row>
    <row r="764" spans="20:20" x14ac:dyDescent="0.3">
      <c r="T764" s="47" t="str">
        <f ca="1">IF(R764="","",IFERROR(TODAY()+VLOOKUP(R764,REGRAS!$B$2:$C$13,2,0),""))</f>
        <v/>
      </c>
    </row>
    <row r="765" spans="20:20" x14ac:dyDescent="0.3">
      <c r="T765" s="47" t="str">
        <f ca="1">IF(R765="","",IFERROR(TODAY()+VLOOKUP(R765,REGRAS!$B$2:$C$13,2,0),""))</f>
        <v/>
      </c>
    </row>
    <row r="766" spans="20:20" x14ac:dyDescent="0.3">
      <c r="T766" s="47" t="str">
        <f ca="1">IF(R766="","",IFERROR(TODAY()+VLOOKUP(R766,REGRAS!$B$2:$C$13,2,0),""))</f>
        <v/>
      </c>
    </row>
    <row r="767" spans="20:20" x14ac:dyDescent="0.3">
      <c r="T767" s="47" t="str">
        <f ca="1">IF(R767="","",IFERROR(TODAY()+VLOOKUP(R767,REGRAS!$B$2:$C$13,2,0),""))</f>
        <v/>
      </c>
    </row>
    <row r="768" spans="20:20" x14ac:dyDescent="0.3">
      <c r="T768" s="47" t="str">
        <f ca="1">IF(R768="","",IFERROR(TODAY()+VLOOKUP(R768,REGRAS!$B$2:$C$13,2,0),""))</f>
        <v/>
      </c>
    </row>
    <row r="769" spans="20:20" x14ac:dyDescent="0.3">
      <c r="T769" s="47" t="str">
        <f ca="1">IF(R769="","",IFERROR(TODAY()+VLOOKUP(R769,REGRAS!$B$2:$C$13,2,0),""))</f>
        <v/>
      </c>
    </row>
    <row r="770" spans="20:20" x14ac:dyDescent="0.3">
      <c r="T770" s="47" t="str">
        <f ca="1">IF(R770="","",IFERROR(TODAY()+VLOOKUP(R770,REGRAS!$B$2:$C$13,2,0),""))</f>
        <v/>
      </c>
    </row>
    <row r="771" spans="20:20" x14ac:dyDescent="0.3">
      <c r="T771" s="47" t="str">
        <f ca="1">IF(R771="","",IFERROR(TODAY()+VLOOKUP(R771,REGRAS!$B$2:$C$13,2,0),""))</f>
        <v/>
      </c>
    </row>
    <row r="772" spans="20:20" x14ac:dyDescent="0.3">
      <c r="T772" s="47" t="str">
        <f ca="1">IF(R772="","",IFERROR(TODAY()+VLOOKUP(R772,REGRAS!$B$2:$C$13,2,0),""))</f>
        <v/>
      </c>
    </row>
    <row r="773" spans="20:20" x14ac:dyDescent="0.3">
      <c r="T773" s="47" t="str">
        <f ca="1">IF(R773="","",IFERROR(TODAY()+VLOOKUP(R773,REGRAS!$B$2:$C$13,2,0),""))</f>
        <v/>
      </c>
    </row>
    <row r="774" spans="20:20" x14ac:dyDescent="0.3">
      <c r="T774" s="47" t="str">
        <f ca="1">IF(R774="","",IFERROR(TODAY()+VLOOKUP(R774,REGRAS!$B$2:$C$13,2,0),""))</f>
        <v/>
      </c>
    </row>
    <row r="775" spans="20:20" x14ac:dyDescent="0.3">
      <c r="T775" s="47" t="str">
        <f ca="1">IF(R775="","",IFERROR(TODAY()+VLOOKUP(R775,REGRAS!$B$2:$C$13,2,0),""))</f>
        <v/>
      </c>
    </row>
    <row r="776" spans="20:20" x14ac:dyDescent="0.3">
      <c r="T776" s="47" t="str">
        <f ca="1">IF(R776="","",IFERROR(TODAY()+VLOOKUP(R776,REGRAS!$B$2:$C$13,2,0),""))</f>
        <v/>
      </c>
    </row>
    <row r="777" spans="20:20" x14ac:dyDescent="0.3">
      <c r="T777" s="47" t="str">
        <f ca="1">IF(R777="","",IFERROR(TODAY()+VLOOKUP(R777,REGRAS!$B$2:$C$13,2,0),""))</f>
        <v/>
      </c>
    </row>
    <row r="778" spans="20:20" x14ac:dyDescent="0.3">
      <c r="T778" s="47" t="str">
        <f ca="1">IF(R778="","",IFERROR(TODAY()+VLOOKUP(R778,REGRAS!$B$2:$C$13,2,0),""))</f>
        <v/>
      </c>
    </row>
    <row r="779" spans="20:20" x14ac:dyDescent="0.3">
      <c r="T779" s="47" t="str">
        <f ca="1">IF(R779="","",IFERROR(TODAY()+VLOOKUP(R779,REGRAS!$B$2:$C$13,2,0),""))</f>
        <v/>
      </c>
    </row>
    <row r="780" spans="20:20" x14ac:dyDescent="0.3">
      <c r="T780" s="47" t="str">
        <f ca="1">IF(R780="","",IFERROR(TODAY()+VLOOKUP(R780,REGRAS!$B$2:$C$13,2,0),""))</f>
        <v/>
      </c>
    </row>
    <row r="781" spans="20:20" x14ac:dyDescent="0.3">
      <c r="T781" s="47" t="str">
        <f ca="1">IF(R781="","",IFERROR(TODAY()+VLOOKUP(R781,REGRAS!$B$2:$C$13,2,0),""))</f>
        <v/>
      </c>
    </row>
    <row r="782" spans="20:20" x14ac:dyDescent="0.3">
      <c r="T782" s="47" t="str">
        <f ca="1">IF(R782="","",IFERROR(TODAY()+VLOOKUP(R782,REGRAS!$B$2:$C$13,2,0),""))</f>
        <v/>
      </c>
    </row>
    <row r="783" spans="20:20" x14ac:dyDescent="0.3">
      <c r="T783" s="47" t="str">
        <f ca="1">IF(R783="","",IFERROR(TODAY()+VLOOKUP(R783,REGRAS!$B$2:$C$13,2,0),""))</f>
        <v/>
      </c>
    </row>
    <row r="784" spans="20:20" x14ac:dyDescent="0.3">
      <c r="T784" s="47" t="str">
        <f ca="1">IF(R784="","",IFERROR(TODAY()+VLOOKUP(R784,REGRAS!$B$2:$C$13,2,0),""))</f>
        <v/>
      </c>
    </row>
    <row r="785" spans="20:20" x14ac:dyDescent="0.3">
      <c r="T785" s="47" t="str">
        <f ca="1">IF(R785="","",IFERROR(TODAY()+VLOOKUP(R785,REGRAS!$B$2:$C$13,2,0),""))</f>
        <v/>
      </c>
    </row>
    <row r="786" spans="20:20" x14ac:dyDescent="0.3">
      <c r="T786" s="47" t="str">
        <f ca="1">IF(R786="","",IFERROR(TODAY()+VLOOKUP(R786,REGRAS!$B$2:$C$13,2,0),""))</f>
        <v/>
      </c>
    </row>
    <row r="787" spans="20:20" x14ac:dyDescent="0.3">
      <c r="T787" s="47" t="str">
        <f ca="1">IF(R787="","",IFERROR(TODAY()+VLOOKUP(R787,REGRAS!$B$2:$C$13,2,0),""))</f>
        <v/>
      </c>
    </row>
    <row r="788" spans="20:20" x14ac:dyDescent="0.3">
      <c r="T788" s="47" t="str">
        <f ca="1">IF(R788="","",IFERROR(TODAY()+VLOOKUP(R788,REGRAS!$B$2:$C$13,2,0),""))</f>
        <v/>
      </c>
    </row>
    <row r="789" spans="20:20" x14ac:dyDescent="0.3">
      <c r="T789" s="47" t="str">
        <f ca="1">IF(R789="","",IFERROR(TODAY()+VLOOKUP(R789,REGRAS!$B$2:$C$13,2,0),""))</f>
        <v/>
      </c>
    </row>
    <row r="790" spans="20:20" x14ac:dyDescent="0.3">
      <c r="T790" s="47" t="str">
        <f ca="1">IF(R790="","",IFERROR(TODAY()+VLOOKUP(R790,REGRAS!$B$2:$C$13,2,0),""))</f>
        <v/>
      </c>
    </row>
    <row r="791" spans="20:20" x14ac:dyDescent="0.3">
      <c r="T791" s="47" t="str">
        <f ca="1">IF(R791="","",IFERROR(TODAY()+VLOOKUP(R791,REGRAS!$B$2:$C$13,2,0),""))</f>
        <v/>
      </c>
    </row>
    <row r="792" spans="20:20" x14ac:dyDescent="0.3">
      <c r="T792" s="47" t="str">
        <f ca="1">IF(R792="","",IFERROR(TODAY()+VLOOKUP(R792,REGRAS!$B$2:$C$13,2,0),""))</f>
        <v/>
      </c>
    </row>
    <row r="793" spans="20:20" x14ac:dyDescent="0.3">
      <c r="T793" s="47" t="str">
        <f ca="1">IF(R793="","",IFERROR(TODAY()+VLOOKUP(R793,REGRAS!$B$2:$C$13,2,0),""))</f>
        <v/>
      </c>
    </row>
    <row r="794" spans="20:20" x14ac:dyDescent="0.3">
      <c r="T794" s="47" t="str">
        <f ca="1">IF(R794="","",IFERROR(TODAY()+VLOOKUP(R794,REGRAS!$B$2:$C$13,2,0),""))</f>
        <v/>
      </c>
    </row>
    <row r="795" spans="20:20" x14ac:dyDescent="0.3">
      <c r="T795" s="47" t="str">
        <f ca="1">IF(R795="","",IFERROR(TODAY()+VLOOKUP(R795,REGRAS!$B$2:$C$13,2,0),""))</f>
        <v/>
      </c>
    </row>
    <row r="796" spans="20:20" x14ac:dyDescent="0.3">
      <c r="T796" s="47" t="str">
        <f ca="1">IF(R796="","",IFERROR(TODAY()+VLOOKUP(R796,REGRAS!$B$2:$C$13,2,0),""))</f>
        <v/>
      </c>
    </row>
    <row r="797" spans="20:20" x14ac:dyDescent="0.3">
      <c r="T797" s="47" t="str">
        <f ca="1">IF(R797="","",IFERROR(TODAY()+VLOOKUP(R797,REGRAS!$B$2:$C$13,2,0),""))</f>
        <v/>
      </c>
    </row>
    <row r="798" spans="20:20" x14ac:dyDescent="0.3">
      <c r="T798" s="47" t="str">
        <f ca="1">IF(R798="","",IFERROR(TODAY()+VLOOKUP(R798,REGRAS!$B$2:$C$13,2,0),""))</f>
        <v/>
      </c>
    </row>
    <row r="799" spans="20:20" x14ac:dyDescent="0.3">
      <c r="T799" s="47" t="str">
        <f ca="1">IF(R799="","",IFERROR(TODAY()+VLOOKUP(R799,REGRAS!$B$2:$C$13,2,0),""))</f>
        <v/>
      </c>
    </row>
    <row r="800" spans="20:20" x14ac:dyDescent="0.3">
      <c r="T800" s="47" t="str">
        <f ca="1">IF(R800="","",IFERROR(TODAY()+VLOOKUP(R800,REGRAS!$B$2:$C$13,2,0),""))</f>
        <v/>
      </c>
    </row>
    <row r="801" spans="20:20" x14ac:dyDescent="0.3">
      <c r="T801" s="47" t="str">
        <f ca="1">IF(R801="","",IFERROR(TODAY()+VLOOKUP(R801,REGRAS!$B$2:$C$13,2,0),""))</f>
        <v/>
      </c>
    </row>
    <row r="802" spans="20:20" x14ac:dyDescent="0.3">
      <c r="T802" s="47" t="str">
        <f ca="1">IF(R802="","",IFERROR(TODAY()+VLOOKUP(R802,REGRAS!$B$2:$C$13,2,0),""))</f>
        <v/>
      </c>
    </row>
    <row r="803" spans="20:20" x14ac:dyDescent="0.3">
      <c r="T803" s="47" t="str">
        <f ca="1">IF(R803="","",IFERROR(TODAY()+VLOOKUP(R803,REGRAS!$B$2:$C$13,2,0),""))</f>
        <v/>
      </c>
    </row>
    <row r="804" spans="20:20" x14ac:dyDescent="0.3">
      <c r="T804" s="47" t="str">
        <f ca="1">IF(R804="","",IFERROR(TODAY()+VLOOKUP(R804,REGRAS!$B$2:$C$13,2,0),""))</f>
        <v/>
      </c>
    </row>
    <row r="805" spans="20:20" x14ac:dyDescent="0.3">
      <c r="T805" s="47" t="str">
        <f ca="1">IF(R805="","",IFERROR(TODAY()+VLOOKUP(R805,REGRAS!$B$2:$C$13,2,0),""))</f>
        <v/>
      </c>
    </row>
    <row r="806" spans="20:20" x14ac:dyDescent="0.3">
      <c r="T806" s="47" t="str">
        <f ca="1">IF(R806="","",IFERROR(TODAY()+VLOOKUP(R806,REGRAS!$B$2:$C$13,2,0),""))</f>
        <v/>
      </c>
    </row>
    <row r="807" spans="20:20" x14ac:dyDescent="0.3">
      <c r="T807" s="47" t="str">
        <f ca="1">IF(R807="","",IFERROR(TODAY()+VLOOKUP(R807,REGRAS!$B$2:$C$13,2,0),""))</f>
        <v/>
      </c>
    </row>
    <row r="808" spans="20:20" x14ac:dyDescent="0.3">
      <c r="T808" s="47" t="str">
        <f ca="1">IF(R808="","",IFERROR(TODAY()+VLOOKUP(R808,REGRAS!$B$2:$C$13,2,0),""))</f>
        <v/>
      </c>
    </row>
    <row r="809" spans="20:20" x14ac:dyDescent="0.3">
      <c r="T809" s="47" t="str">
        <f ca="1">IF(R809="","",IFERROR(TODAY()+VLOOKUP(R809,REGRAS!$B$2:$C$13,2,0),""))</f>
        <v/>
      </c>
    </row>
    <row r="810" spans="20:20" x14ac:dyDescent="0.3">
      <c r="T810" s="47" t="str">
        <f ca="1">IF(R810="","",IFERROR(TODAY()+VLOOKUP(R810,REGRAS!$B$2:$C$13,2,0),""))</f>
        <v/>
      </c>
    </row>
    <row r="811" spans="20:20" x14ac:dyDescent="0.3">
      <c r="T811" s="47" t="str">
        <f ca="1">IF(R811="","",IFERROR(TODAY()+VLOOKUP(R811,REGRAS!$B$2:$C$13,2,0),""))</f>
        <v/>
      </c>
    </row>
    <row r="812" spans="20:20" x14ac:dyDescent="0.3">
      <c r="T812" s="47" t="str">
        <f ca="1">IF(R812="","",IFERROR(TODAY()+VLOOKUP(R812,REGRAS!$B$2:$C$13,2,0),""))</f>
        <v/>
      </c>
    </row>
    <row r="813" spans="20:20" x14ac:dyDescent="0.3">
      <c r="T813" s="47" t="str">
        <f ca="1">IF(R813="","",IFERROR(TODAY()+VLOOKUP(R813,REGRAS!$B$2:$C$13,2,0),""))</f>
        <v/>
      </c>
    </row>
    <row r="814" spans="20:20" x14ac:dyDescent="0.3">
      <c r="T814" s="47" t="str">
        <f ca="1">IF(R814="","",IFERROR(TODAY()+VLOOKUP(R814,REGRAS!$B$2:$C$13,2,0),""))</f>
        <v/>
      </c>
    </row>
    <row r="815" spans="20:20" x14ac:dyDescent="0.3">
      <c r="T815" s="47" t="str">
        <f ca="1">IF(R815="","",IFERROR(TODAY()+VLOOKUP(R815,REGRAS!$B$2:$C$13,2,0),""))</f>
        <v/>
      </c>
    </row>
    <row r="816" spans="20:20" x14ac:dyDescent="0.3">
      <c r="T816" s="47" t="str">
        <f ca="1">IF(R816="","",IFERROR(TODAY()+VLOOKUP(R816,REGRAS!$B$2:$C$13,2,0),""))</f>
        <v/>
      </c>
    </row>
    <row r="817" spans="20:20" x14ac:dyDescent="0.3">
      <c r="T817" s="47" t="str">
        <f ca="1">IF(R817="","",IFERROR(TODAY()+VLOOKUP(R817,REGRAS!$B$2:$C$13,2,0),""))</f>
        <v/>
      </c>
    </row>
    <row r="818" spans="20:20" x14ac:dyDescent="0.3">
      <c r="T818" s="47" t="str">
        <f ca="1">IF(R818="","",IFERROR(TODAY()+VLOOKUP(R818,REGRAS!$B$2:$C$13,2,0),""))</f>
        <v/>
      </c>
    </row>
    <row r="819" spans="20:20" x14ac:dyDescent="0.3">
      <c r="T819" s="47" t="str">
        <f ca="1">IF(R819="","",IFERROR(TODAY()+VLOOKUP(R819,REGRAS!$B$2:$C$13,2,0),""))</f>
        <v/>
      </c>
    </row>
    <row r="820" spans="20:20" x14ac:dyDescent="0.3">
      <c r="T820" s="47" t="str">
        <f ca="1">IF(R820="","",IFERROR(TODAY()+VLOOKUP(R820,REGRAS!$B$2:$C$13,2,0),""))</f>
        <v/>
      </c>
    </row>
    <row r="821" spans="20:20" x14ac:dyDescent="0.3">
      <c r="T821" s="47" t="str">
        <f ca="1">IF(R821="","",IFERROR(TODAY()+VLOOKUP(R821,REGRAS!$B$2:$C$13,2,0),""))</f>
        <v/>
      </c>
    </row>
    <row r="822" spans="20:20" x14ac:dyDescent="0.3">
      <c r="T822" s="47" t="str">
        <f ca="1">IF(R822="","",IFERROR(TODAY()+VLOOKUP(R822,REGRAS!$B$2:$C$13,2,0),""))</f>
        <v/>
      </c>
    </row>
    <row r="823" spans="20:20" x14ac:dyDescent="0.3">
      <c r="T823" s="47" t="str">
        <f ca="1">IF(R823="","",IFERROR(TODAY()+VLOOKUP(R823,REGRAS!$B$2:$C$13,2,0),""))</f>
        <v/>
      </c>
    </row>
    <row r="824" spans="20:20" x14ac:dyDescent="0.3">
      <c r="T824" s="47" t="str">
        <f ca="1">IF(R824="","",IFERROR(TODAY()+VLOOKUP(R824,REGRAS!$B$2:$C$13,2,0),""))</f>
        <v/>
      </c>
    </row>
    <row r="825" spans="20:20" x14ac:dyDescent="0.3">
      <c r="T825" s="47" t="str">
        <f ca="1">IF(R825="","",IFERROR(TODAY()+VLOOKUP(R825,REGRAS!$B$2:$C$13,2,0),""))</f>
        <v/>
      </c>
    </row>
    <row r="826" spans="20:20" x14ac:dyDescent="0.3">
      <c r="T826" s="47" t="str">
        <f ca="1">IF(R826="","",IFERROR(TODAY()+VLOOKUP(R826,REGRAS!$B$2:$C$13,2,0),""))</f>
        <v/>
      </c>
    </row>
    <row r="827" spans="20:20" x14ac:dyDescent="0.3">
      <c r="T827" s="47" t="str">
        <f ca="1">IF(R827="","",IFERROR(TODAY()+VLOOKUP(R827,REGRAS!$B$2:$C$13,2,0),""))</f>
        <v/>
      </c>
    </row>
    <row r="828" spans="20:20" x14ac:dyDescent="0.3">
      <c r="T828" s="47" t="str">
        <f ca="1">IF(R828="","",IFERROR(TODAY()+VLOOKUP(R828,REGRAS!$B$2:$C$13,2,0),""))</f>
        <v/>
      </c>
    </row>
    <row r="829" spans="20:20" x14ac:dyDescent="0.3">
      <c r="T829" s="47" t="str">
        <f ca="1">IF(R829="","",IFERROR(TODAY()+VLOOKUP(R829,REGRAS!$B$2:$C$13,2,0),""))</f>
        <v/>
      </c>
    </row>
    <row r="830" spans="20:20" x14ac:dyDescent="0.3">
      <c r="T830" s="47" t="str">
        <f ca="1">IF(R830="","",IFERROR(TODAY()+VLOOKUP(R830,REGRAS!$B$2:$C$13,2,0),""))</f>
        <v/>
      </c>
    </row>
    <row r="831" spans="20:20" x14ac:dyDescent="0.3">
      <c r="T831" s="47" t="str">
        <f ca="1">IF(R831="","",IFERROR(TODAY()+VLOOKUP(R831,REGRAS!$B$2:$C$13,2,0),""))</f>
        <v/>
      </c>
    </row>
    <row r="832" spans="20:20" x14ac:dyDescent="0.3">
      <c r="T832" s="47" t="str">
        <f ca="1">IF(R832="","",IFERROR(TODAY()+VLOOKUP(R832,REGRAS!$B$2:$C$13,2,0),""))</f>
        <v/>
      </c>
    </row>
    <row r="833" spans="20:20" x14ac:dyDescent="0.3">
      <c r="T833" s="47" t="str">
        <f ca="1">IF(R833="","",IFERROR(TODAY()+VLOOKUP(R833,REGRAS!$B$2:$C$13,2,0),""))</f>
        <v/>
      </c>
    </row>
    <row r="834" spans="20:20" x14ac:dyDescent="0.3">
      <c r="T834" s="47" t="str">
        <f ca="1">IF(R834="","",IFERROR(TODAY()+VLOOKUP(R834,REGRAS!$B$2:$C$13,2,0),""))</f>
        <v/>
      </c>
    </row>
    <row r="835" spans="20:20" x14ac:dyDescent="0.3">
      <c r="T835" s="47" t="str">
        <f ca="1">IF(R835="","",IFERROR(TODAY()+VLOOKUP(R835,REGRAS!$B$2:$C$13,2,0),""))</f>
        <v/>
      </c>
    </row>
    <row r="836" spans="20:20" x14ac:dyDescent="0.3">
      <c r="T836" s="47" t="str">
        <f ca="1">IF(R836="","",IFERROR(TODAY()+VLOOKUP(R836,REGRAS!$B$2:$C$13,2,0),""))</f>
        <v/>
      </c>
    </row>
    <row r="837" spans="20:20" x14ac:dyDescent="0.3">
      <c r="T837" s="47" t="str">
        <f ca="1">IF(R837="","",IFERROR(TODAY()+VLOOKUP(R837,REGRAS!$B$2:$C$13,2,0),""))</f>
        <v/>
      </c>
    </row>
    <row r="838" spans="20:20" x14ac:dyDescent="0.3">
      <c r="T838" s="47" t="str">
        <f ca="1">IF(R838="","",IFERROR(TODAY()+VLOOKUP(R838,REGRAS!$B$2:$C$13,2,0),""))</f>
        <v/>
      </c>
    </row>
    <row r="839" spans="20:20" x14ac:dyDescent="0.3">
      <c r="T839" s="47" t="str">
        <f ca="1">IF(R839="","",IFERROR(TODAY()+VLOOKUP(R839,REGRAS!$B$2:$C$13,2,0),""))</f>
        <v/>
      </c>
    </row>
    <row r="840" spans="20:20" x14ac:dyDescent="0.3">
      <c r="T840" s="47" t="str">
        <f ca="1">IF(R840="","",IFERROR(TODAY()+VLOOKUP(R840,REGRAS!$B$2:$C$13,2,0),""))</f>
        <v/>
      </c>
    </row>
    <row r="841" spans="20:20" x14ac:dyDescent="0.3">
      <c r="T841" s="47" t="str">
        <f ca="1">IF(R841="","",IFERROR(TODAY()+VLOOKUP(R841,REGRAS!$B$2:$C$13,2,0),""))</f>
        <v/>
      </c>
    </row>
    <row r="842" spans="20:20" x14ac:dyDescent="0.3">
      <c r="T842" s="47" t="str">
        <f ca="1">IF(R842="","",IFERROR(TODAY()+VLOOKUP(R842,REGRAS!$B$2:$C$13,2,0),""))</f>
        <v/>
      </c>
    </row>
    <row r="843" spans="20:20" x14ac:dyDescent="0.3">
      <c r="T843" s="47" t="str">
        <f ca="1">IF(R843="","",IFERROR(TODAY()+VLOOKUP(R843,REGRAS!$B$2:$C$13,2,0),""))</f>
        <v/>
      </c>
    </row>
    <row r="844" spans="20:20" x14ac:dyDescent="0.3">
      <c r="T844" s="47" t="str">
        <f ca="1">IF(R844="","",IFERROR(TODAY()+VLOOKUP(R844,REGRAS!$B$2:$C$13,2,0),""))</f>
        <v/>
      </c>
    </row>
    <row r="845" spans="20:20" x14ac:dyDescent="0.3">
      <c r="T845" s="47" t="str">
        <f ca="1">IF(R845="","",IFERROR(TODAY()+VLOOKUP(R845,REGRAS!$B$2:$C$13,2,0),""))</f>
        <v/>
      </c>
    </row>
    <row r="846" spans="20:20" x14ac:dyDescent="0.3">
      <c r="T846" s="47" t="str">
        <f ca="1">IF(R846="","",IFERROR(TODAY()+VLOOKUP(R846,REGRAS!$B$2:$C$13,2,0),""))</f>
        <v/>
      </c>
    </row>
    <row r="847" spans="20:20" x14ac:dyDescent="0.3">
      <c r="T847" s="47" t="str">
        <f ca="1">IF(R847="","",IFERROR(TODAY()+VLOOKUP(R847,REGRAS!$B$2:$C$13,2,0),""))</f>
        <v/>
      </c>
    </row>
    <row r="848" spans="20:20" x14ac:dyDescent="0.3">
      <c r="T848" s="47" t="str">
        <f ca="1">IF(R848="","",IFERROR(TODAY()+VLOOKUP(R848,REGRAS!$B$2:$C$13,2,0),""))</f>
        <v/>
      </c>
    </row>
    <row r="849" spans="20:20" x14ac:dyDescent="0.3">
      <c r="T849" s="47" t="str">
        <f ca="1">IF(R849="","",IFERROR(TODAY()+VLOOKUP(R849,REGRAS!$B$2:$C$13,2,0),""))</f>
        <v/>
      </c>
    </row>
    <row r="850" spans="20:20" x14ac:dyDescent="0.3">
      <c r="T850" s="47" t="str">
        <f ca="1">IF(R850="","",IFERROR(TODAY()+VLOOKUP(R850,REGRAS!$B$2:$C$13,2,0),""))</f>
        <v/>
      </c>
    </row>
    <row r="851" spans="20:20" x14ac:dyDescent="0.3">
      <c r="T851" s="47" t="str">
        <f ca="1">IF(R851="","",IFERROR(TODAY()+VLOOKUP(R851,REGRAS!$B$2:$C$13,2,0),""))</f>
        <v/>
      </c>
    </row>
    <row r="852" spans="20:20" x14ac:dyDescent="0.3">
      <c r="T852" s="47" t="str">
        <f ca="1">IF(R852="","",IFERROR(TODAY()+VLOOKUP(R852,REGRAS!$B$2:$C$13,2,0),""))</f>
        <v/>
      </c>
    </row>
    <row r="853" spans="20:20" x14ac:dyDescent="0.3">
      <c r="T853" s="47" t="str">
        <f ca="1">IF(R853="","",IFERROR(TODAY()+VLOOKUP(R853,REGRAS!$B$2:$C$13,2,0),""))</f>
        <v/>
      </c>
    </row>
    <row r="854" spans="20:20" x14ac:dyDescent="0.3">
      <c r="T854" s="47" t="str">
        <f ca="1">IF(R854="","",IFERROR(TODAY()+VLOOKUP(R854,REGRAS!$B$2:$C$13,2,0),""))</f>
        <v/>
      </c>
    </row>
    <row r="855" spans="20:20" x14ac:dyDescent="0.3">
      <c r="T855" s="47" t="str">
        <f ca="1">IF(R855="","",IFERROR(TODAY()+VLOOKUP(R855,REGRAS!$B$2:$C$13,2,0),""))</f>
        <v/>
      </c>
    </row>
    <row r="856" spans="20:20" x14ac:dyDescent="0.3">
      <c r="T856" s="47" t="str">
        <f ca="1">IF(R856="","",IFERROR(TODAY()+VLOOKUP(R856,REGRAS!$B$2:$C$13,2,0),""))</f>
        <v/>
      </c>
    </row>
    <row r="857" spans="20:20" x14ac:dyDescent="0.3">
      <c r="T857" s="47" t="str">
        <f ca="1">IF(R857="","",IFERROR(TODAY()+VLOOKUP(R857,REGRAS!$B$2:$C$13,2,0),""))</f>
        <v/>
      </c>
    </row>
    <row r="858" spans="20:20" x14ac:dyDescent="0.3">
      <c r="T858" s="47" t="str">
        <f ca="1">IF(R858="","",IFERROR(TODAY()+VLOOKUP(R858,REGRAS!$B$2:$C$13,2,0),""))</f>
        <v/>
      </c>
    </row>
    <row r="859" spans="20:20" x14ac:dyDescent="0.3">
      <c r="T859" s="47" t="str">
        <f ca="1">IF(R859="","",IFERROR(TODAY()+VLOOKUP(R859,REGRAS!$B$2:$C$13,2,0),""))</f>
        <v/>
      </c>
    </row>
    <row r="860" spans="20:20" x14ac:dyDescent="0.3">
      <c r="T860" s="47" t="str">
        <f ca="1">IF(R860="","",IFERROR(TODAY()+VLOOKUP(R860,REGRAS!$B$2:$C$13,2,0),""))</f>
        <v/>
      </c>
    </row>
    <row r="861" spans="20:20" x14ac:dyDescent="0.3">
      <c r="T861" s="47" t="str">
        <f ca="1">IF(R861="","",IFERROR(TODAY()+VLOOKUP(R861,REGRAS!$B$2:$C$13,2,0),""))</f>
        <v/>
      </c>
    </row>
    <row r="862" spans="20:20" x14ac:dyDescent="0.3">
      <c r="T862" s="47" t="str">
        <f ca="1">IF(R862="","",IFERROR(TODAY()+VLOOKUP(R862,REGRAS!$B$2:$C$13,2,0),""))</f>
        <v/>
      </c>
    </row>
    <row r="863" spans="20:20" x14ac:dyDescent="0.3">
      <c r="T863" s="47" t="str">
        <f ca="1">IF(R863="","",IFERROR(TODAY()+VLOOKUP(R863,REGRAS!$B$2:$C$13,2,0),""))</f>
        <v/>
      </c>
    </row>
    <row r="864" spans="20:20" x14ac:dyDescent="0.3">
      <c r="T864" s="47" t="str">
        <f ca="1">IF(R864="","",IFERROR(TODAY()+VLOOKUP(R864,REGRAS!$B$2:$C$13,2,0),""))</f>
        <v/>
      </c>
    </row>
    <row r="865" spans="20:20" x14ac:dyDescent="0.3">
      <c r="T865" s="47" t="str">
        <f ca="1">IF(R865="","",IFERROR(TODAY()+VLOOKUP(R865,REGRAS!$B$2:$C$13,2,0),""))</f>
        <v/>
      </c>
    </row>
    <row r="866" spans="20:20" x14ac:dyDescent="0.3">
      <c r="T866" s="47" t="str">
        <f ca="1">IF(R866="","",IFERROR(TODAY()+VLOOKUP(R866,REGRAS!$B$2:$C$13,2,0),""))</f>
        <v/>
      </c>
    </row>
    <row r="867" spans="20:20" x14ac:dyDescent="0.3">
      <c r="T867" s="47" t="str">
        <f ca="1">IF(R867="","",IFERROR(TODAY()+VLOOKUP(R867,REGRAS!$B$2:$C$13,2,0),""))</f>
        <v/>
      </c>
    </row>
    <row r="868" spans="20:20" x14ac:dyDescent="0.3">
      <c r="T868" s="47" t="str">
        <f ca="1">IF(R868="","",IFERROR(TODAY()+VLOOKUP(R868,REGRAS!$B$2:$C$13,2,0),""))</f>
        <v/>
      </c>
    </row>
    <row r="869" spans="20:20" x14ac:dyDescent="0.3">
      <c r="T869" s="47" t="str">
        <f ca="1">IF(R869="","",IFERROR(TODAY()+VLOOKUP(R869,REGRAS!$B$2:$C$13,2,0),""))</f>
        <v/>
      </c>
    </row>
    <row r="870" spans="20:20" x14ac:dyDescent="0.3">
      <c r="T870" s="47" t="str">
        <f ca="1">IF(R870="","",IFERROR(TODAY()+VLOOKUP(R870,REGRAS!$B$2:$C$13,2,0),""))</f>
        <v/>
      </c>
    </row>
    <row r="871" spans="20:20" x14ac:dyDescent="0.3">
      <c r="T871" s="47" t="str">
        <f ca="1">IF(R871="","",IFERROR(TODAY()+VLOOKUP(R871,REGRAS!$B$2:$C$13,2,0),""))</f>
        <v/>
      </c>
    </row>
    <row r="872" spans="20:20" x14ac:dyDescent="0.3">
      <c r="T872" s="47" t="str">
        <f ca="1">IF(R872="","",IFERROR(TODAY()+VLOOKUP(R872,REGRAS!$B$2:$C$13,2,0),""))</f>
        <v/>
      </c>
    </row>
    <row r="873" spans="20:20" x14ac:dyDescent="0.3">
      <c r="T873" s="47" t="str">
        <f ca="1">IF(R873="","",IFERROR(TODAY()+VLOOKUP(R873,REGRAS!$B$2:$C$13,2,0),""))</f>
        <v/>
      </c>
    </row>
    <row r="874" spans="20:20" x14ac:dyDescent="0.3">
      <c r="T874" s="47" t="str">
        <f ca="1">IF(R874="","",IFERROR(TODAY()+VLOOKUP(R874,REGRAS!$B$2:$C$13,2,0),""))</f>
        <v/>
      </c>
    </row>
    <row r="875" spans="20:20" x14ac:dyDescent="0.3">
      <c r="T875" s="47" t="str">
        <f ca="1">IF(R875="","",IFERROR(TODAY()+VLOOKUP(R875,REGRAS!$B$2:$C$13,2,0),""))</f>
        <v/>
      </c>
    </row>
    <row r="876" spans="20:20" x14ac:dyDescent="0.3">
      <c r="T876" s="47" t="str">
        <f ca="1">IF(R876="","",IFERROR(TODAY()+VLOOKUP(R876,REGRAS!$B$2:$C$13,2,0),""))</f>
        <v/>
      </c>
    </row>
    <row r="877" spans="20:20" x14ac:dyDescent="0.3">
      <c r="T877" s="47" t="str">
        <f ca="1">IF(R877="","",IFERROR(TODAY()+VLOOKUP(R877,REGRAS!$B$2:$C$13,2,0),""))</f>
        <v/>
      </c>
    </row>
    <row r="878" spans="20:20" x14ac:dyDescent="0.3">
      <c r="T878" s="47" t="str">
        <f ca="1">IF(R878="","",IFERROR(TODAY()+VLOOKUP(R878,REGRAS!$B$2:$C$13,2,0),""))</f>
        <v/>
      </c>
    </row>
    <row r="879" spans="20:20" x14ac:dyDescent="0.3">
      <c r="T879" s="47" t="str">
        <f ca="1">IF(R879="","",IFERROR(TODAY()+VLOOKUP(R879,REGRAS!$B$2:$C$13,2,0),""))</f>
        <v/>
      </c>
    </row>
    <row r="880" spans="20:20" x14ac:dyDescent="0.3">
      <c r="T880" s="47" t="str">
        <f ca="1">IF(R880="","",IFERROR(TODAY()+VLOOKUP(R880,REGRAS!$B$2:$C$13,2,0),""))</f>
        <v/>
      </c>
    </row>
    <row r="881" spans="20:20" x14ac:dyDescent="0.3">
      <c r="T881" s="47" t="str">
        <f ca="1">IF(R881="","",IFERROR(TODAY()+VLOOKUP(R881,REGRAS!$B$2:$C$13,2,0),""))</f>
        <v/>
      </c>
    </row>
    <row r="882" spans="20:20" x14ac:dyDescent="0.3">
      <c r="T882" s="47" t="str">
        <f ca="1">IF(R882="","",IFERROR(TODAY()+VLOOKUP(R882,REGRAS!$B$2:$C$13,2,0),""))</f>
        <v/>
      </c>
    </row>
    <row r="883" spans="20:20" x14ac:dyDescent="0.3">
      <c r="T883" s="47" t="str">
        <f ca="1">IF(R883="","",IFERROR(TODAY()+VLOOKUP(R883,REGRAS!$B$2:$C$13,2,0),""))</f>
        <v/>
      </c>
    </row>
    <row r="884" spans="20:20" x14ac:dyDescent="0.3">
      <c r="T884" s="47" t="str">
        <f ca="1">IF(R884="","",IFERROR(TODAY()+VLOOKUP(R884,REGRAS!$B$2:$C$13,2,0),""))</f>
        <v/>
      </c>
    </row>
    <row r="885" spans="20:20" x14ac:dyDescent="0.3">
      <c r="T885" s="47" t="str">
        <f ca="1">IF(R885="","",IFERROR(TODAY()+VLOOKUP(R885,REGRAS!$B$2:$C$13,2,0),""))</f>
        <v/>
      </c>
    </row>
    <row r="886" spans="20:20" x14ac:dyDescent="0.3">
      <c r="T886" s="47" t="str">
        <f ca="1">IF(R886="","",IFERROR(TODAY()+VLOOKUP(R886,REGRAS!$B$2:$C$13,2,0),""))</f>
        <v/>
      </c>
    </row>
    <row r="887" spans="20:20" x14ac:dyDescent="0.3">
      <c r="T887" s="47" t="str">
        <f ca="1">IF(R887="","",IFERROR(TODAY()+VLOOKUP(R887,REGRAS!$B$2:$C$13,2,0),""))</f>
        <v/>
      </c>
    </row>
    <row r="888" spans="20:20" x14ac:dyDescent="0.3">
      <c r="T888" s="47" t="str">
        <f ca="1">IF(R888="","",IFERROR(TODAY()+VLOOKUP(R888,REGRAS!$B$2:$C$13,2,0),""))</f>
        <v/>
      </c>
    </row>
    <row r="889" spans="20:20" x14ac:dyDescent="0.3">
      <c r="T889" s="47" t="str">
        <f ca="1">IF(R889="","",IFERROR(TODAY()+VLOOKUP(R889,REGRAS!$B$2:$C$13,2,0),""))</f>
        <v/>
      </c>
    </row>
    <row r="890" spans="20:20" x14ac:dyDescent="0.3">
      <c r="T890" s="47" t="str">
        <f ca="1">IF(R890="","",IFERROR(TODAY()+VLOOKUP(R890,REGRAS!$B$2:$C$13,2,0),""))</f>
        <v/>
      </c>
    </row>
    <row r="891" spans="20:20" x14ac:dyDescent="0.3">
      <c r="T891" s="47" t="str">
        <f ca="1">IF(R891="","",IFERROR(TODAY()+VLOOKUP(R891,REGRAS!$B$2:$C$13,2,0),""))</f>
        <v/>
      </c>
    </row>
    <row r="892" spans="20:20" x14ac:dyDescent="0.3">
      <c r="T892" s="47" t="str">
        <f ca="1">IF(R892="","",IFERROR(TODAY()+VLOOKUP(R892,REGRAS!$B$2:$C$13,2,0),""))</f>
        <v/>
      </c>
    </row>
    <row r="893" spans="20:20" x14ac:dyDescent="0.3">
      <c r="T893" s="47" t="str">
        <f ca="1">IF(R893="","",IFERROR(TODAY()+VLOOKUP(R893,REGRAS!$B$2:$C$13,2,0),""))</f>
        <v/>
      </c>
    </row>
    <row r="894" spans="20:20" x14ac:dyDescent="0.3">
      <c r="T894" s="47" t="str">
        <f ca="1">IF(R894="","",IFERROR(TODAY()+VLOOKUP(R894,REGRAS!$B$2:$C$13,2,0),""))</f>
        <v/>
      </c>
    </row>
    <row r="895" spans="20:20" x14ac:dyDescent="0.3">
      <c r="T895" s="47" t="str">
        <f ca="1">IF(R895="","",IFERROR(TODAY()+VLOOKUP(R895,REGRAS!$B$2:$C$13,2,0),""))</f>
        <v/>
      </c>
    </row>
    <row r="896" spans="20:20" x14ac:dyDescent="0.3">
      <c r="T896" s="47" t="str">
        <f ca="1">IF(R896="","",IFERROR(TODAY()+VLOOKUP(R896,REGRAS!$B$2:$C$13,2,0),""))</f>
        <v/>
      </c>
    </row>
    <row r="897" spans="20:20" x14ac:dyDescent="0.3">
      <c r="T897" s="47" t="str">
        <f ca="1">IF(R897="","",IFERROR(TODAY()+VLOOKUP(R897,REGRAS!$B$2:$C$13,2,0),""))</f>
        <v/>
      </c>
    </row>
    <row r="898" spans="20:20" x14ac:dyDescent="0.3">
      <c r="T898" s="47" t="str">
        <f ca="1">IF(R898="","",IFERROR(TODAY()+VLOOKUP(R898,REGRAS!$B$2:$C$13,2,0),""))</f>
        <v/>
      </c>
    </row>
    <row r="899" spans="20:20" x14ac:dyDescent="0.3">
      <c r="T899" s="47" t="str">
        <f ca="1">IF(R899="","",IFERROR(TODAY()+VLOOKUP(R899,REGRAS!$B$2:$C$13,2,0),""))</f>
        <v/>
      </c>
    </row>
    <row r="900" spans="20:20" x14ac:dyDescent="0.3">
      <c r="T900" s="47" t="str">
        <f ca="1">IF(R900="","",IFERROR(TODAY()+VLOOKUP(R900,REGRAS!$B$2:$C$13,2,0),""))</f>
        <v/>
      </c>
    </row>
    <row r="901" spans="20:20" x14ac:dyDescent="0.3">
      <c r="T901" s="47" t="str">
        <f ca="1">IF(R901="","",IFERROR(TODAY()+VLOOKUP(R901,REGRAS!$B$2:$C$13,2,0),""))</f>
        <v/>
      </c>
    </row>
    <row r="902" spans="20:20" x14ac:dyDescent="0.3">
      <c r="T902" s="47" t="str">
        <f ca="1">IF(R902="","",IFERROR(TODAY()+VLOOKUP(R902,REGRAS!$B$2:$C$13,2,0),""))</f>
        <v/>
      </c>
    </row>
    <row r="903" spans="20:20" x14ac:dyDescent="0.3">
      <c r="T903" s="47" t="str">
        <f ca="1">IF(R903="","",IFERROR(TODAY()+VLOOKUP(R903,REGRAS!$B$2:$C$13,2,0),""))</f>
        <v/>
      </c>
    </row>
    <row r="904" spans="20:20" x14ac:dyDescent="0.3">
      <c r="T904" s="47" t="str">
        <f ca="1">IF(R904="","",IFERROR(TODAY()+VLOOKUP(R904,REGRAS!$B$2:$C$13,2,0),""))</f>
        <v/>
      </c>
    </row>
    <row r="905" spans="20:20" x14ac:dyDescent="0.3">
      <c r="T905" s="47" t="str">
        <f ca="1">IF(R905="","",IFERROR(TODAY()+VLOOKUP(R905,REGRAS!$B$2:$C$13,2,0),""))</f>
        <v/>
      </c>
    </row>
    <row r="906" spans="20:20" x14ac:dyDescent="0.3">
      <c r="T906" s="47" t="str">
        <f ca="1">IF(R906="","",IFERROR(TODAY()+VLOOKUP(R906,REGRAS!$B$2:$C$13,2,0),""))</f>
        <v/>
      </c>
    </row>
    <row r="907" spans="20:20" x14ac:dyDescent="0.3">
      <c r="T907" s="47" t="str">
        <f ca="1">IF(R907="","",IFERROR(TODAY()+VLOOKUP(R907,REGRAS!$B$2:$C$13,2,0),""))</f>
        <v/>
      </c>
    </row>
    <row r="908" spans="20:20" x14ac:dyDescent="0.3">
      <c r="T908" s="47" t="str">
        <f ca="1">IF(R908="","",IFERROR(TODAY()+VLOOKUP(R908,REGRAS!$B$2:$C$13,2,0),""))</f>
        <v/>
      </c>
    </row>
    <row r="909" spans="20:20" x14ac:dyDescent="0.3">
      <c r="T909" s="47" t="str">
        <f ca="1">IF(R909="","",IFERROR(TODAY()+VLOOKUP(R909,REGRAS!$B$2:$C$13,2,0),""))</f>
        <v/>
      </c>
    </row>
    <row r="910" spans="20:20" x14ac:dyDescent="0.3">
      <c r="T910" s="47" t="str">
        <f ca="1">IF(R910="","",IFERROR(TODAY()+VLOOKUP(R910,REGRAS!$B$2:$C$13,2,0),""))</f>
        <v/>
      </c>
    </row>
    <row r="911" spans="20:20" x14ac:dyDescent="0.3">
      <c r="T911" s="47" t="str">
        <f ca="1">IF(R911="","",IFERROR(TODAY()+VLOOKUP(R911,REGRAS!$B$2:$C$13,2,0),""))</f>
        <v/>
      </c>
    </row>
    <row r="912" spans="20:20" x14ac:dyDescent="0.3">
      <c r="T912" s="47" t="str">
        <f ca="1">IF(R912="","",IFERROR(TODAY()+VLOOKUP(R912,REGRAS!$B$2:$C$13,2,0),""))</f>
        <v/>
      </c>
    </row>
    <row r="913" spans="20:20" x14ac:dyDescent="0.3">
      <c r="T913" s="47" t="str">
        <f ca="1">IF(R913="","",IFERROR(TODAY()+VLOOKUP(R913,REGRAS!$B$2:$C$13,2,0),""))</f>
        <v/>
      </c>
    </row>
    <row r="914" spans="20:20" x14ac:dyDescent="0.3">
      <c r="T914" s="47" t="str">
        <f ca="1">IF(R914="","",IFERROR(TODAY()+VLOOKUP(R914,REGRAS!$B$2:$C$13,2,0),""))</f>
        <v/>
      </c>
    </row>
    <row r="915" spans="20:20" x14ac:dyDescent="0.3">
      <c r="T915" s="47" t="str">
        <f ca="1">IF(R915="","",IFERROR(TODAY()+VLOOKUP(R915,REGRAS!$B$2:$C$13,2,0),""))</f>
        <v/>
      </c>
    </row>
    <row r="916" spans="20:20" x14ac:dyDescent="0.3">
      <c r="T916" s="47" t="str">
        <f ca="1">IF(R916="","",IFERROR(TODAY()+VLOOKUP(R916,REGRAS!$B$2:$C$13,2,0),""))</f>
        <v/>
      </c>
    </row>
    <row r="917" spans="20:20" x14ac:dyDescent="0.3">
      <c r="T917" s="47" t="str">
        <f ca="1">IF(R917="","",IFERROR(TODAY()+VLOOKUP(R917,REGRAS!$B$2:$C$13,2,0),""))</f>
        <v/>
      </c>
    </row>
    <row r="918" spans="20:20" x14ac:dyDescent="0.3">
      <c r="T918" s="47" t="str">
        <f ca="1">IF(R918="","",IFERROR(TODAY()+VLOOKUP(R918,REGRAS!$B$2:$C$13,2,0),""))</f>
        <v/>
      </c>
    </row>
    <row r="919" spans="20:20" x14ac:dyDescent="0.3">
      <c r="T919" s="47" t="str">
        <f ca="1">IF(R919="","",IFERROR(TODAY()+VLOOKUP(R919,REGRAS!$B$2:$C$13,2,0),""))</f>
        <v/>
      </c>
    </row>
    <row r="920" spans="20:20" x14ac:dyDescent="0.3">
      <c r="T920" s="47" t="str">
        <f ca="1">IF(R920="","",IFERROR(TODAY()+VLOOKUP(R920,REGRAS!$B$2:$C$13,2,0),""))</f>
        <v/>
      </c>
    </row>
    <row r="921" spans="20:20" x14ac:dyDescent="0.3">
      <c r="T921" s="47" t="str">
        <f ca="1">IF(R921="","",IFERROR(TODAY()+VLOOKUP(R921,REGRAS!$B$2:$C$13,2,0),""))</f>
        <v/>
      </c>
    </row>
    <row r="922" spans="20:20" x14ac:dyDescent="0.3">
      <c r="T922" s="47" t="str">
        <f ca="1">IF(R922="","",IFERROR(TODAY()+VLOOKUP(R922,REGRAS!$B$2:$C$13,2,0),""))</f>
        <v/>
      </c>
    </row>
    <row r="923" spans="20:20" x14ac:dyDescent="0.3">
      <c r="T923" s="47" t="str">
        <f ca="1">IF(R923="","",IFERROR(TODAY()+VLOOKUP(R923,REGRAS!$B$2:$C$13,2,0),""))</f>
        <v/>
      </c>
    </row>
    <row r="924" spans="20:20" x14ac:dyDescent="0.3">
      <c r="T924" s="47" t="str">
        <f ca="1">IF(R924="","",IFERROR(TODAY()+VLOOKUP(R924,REGRAS!$B$2:$C$13,2,0),""))</f>
        <v/>
      </c>
    </row>
    <row r="925" spans="20:20" x14ac:dyDescent="0.3">
      <c r="T925" s="47" t="str">
        <f ca="1">IF(R925="","",IFERROR(TODAY()+VLOOKUP(R925,REGRAS!$B$2:$C$13,2,0),""))</f>
        <v/>
      </c>
    </row>
    <row r="926" spans="20:20" x14ac:dyDescent="0.3">
      <c r="T926" s="47" t="str">
        <f ca="1">IF(R926="","",IFERROR(TODAY()+VLOOKUP(R926,REGRAS!$B$2:$C$13,2,0),""))</f>
        <v/>
      </c>
    </row>
    <row r="927" spans="20:20" x14ac:dyDescent="0.3">
      <c r="T927" s="47" t="str">
        <f ca="1">IF(R927="","",IFERROR(TODAY()+VLOOKUP(R927,REGRAS!$B$2:$C$13,2,0),""))</f>
        <v/>
      </c>
    </row>
    <row r="928" spans="20:20" x14ac:dyDescent="0.3">
      <c r="T928" s="47" t="str">
        <f ca="1">IF(R928="","",IFERROR(TODAY()+VLOOKUP(R928,REGRAS!$B$2:$C$13,2,0),""))</f>
        <v/>
      </c>
    </row>
    <row r="929" spans="20:20" x14ac:dyDescent="0.3">
      <c r="T929" s="47" t="str">
        <f ca="1">IF(R929="","",IFERROR(TODAY()+VLOOKUP(R929,REGRAS!$B$2:$C$13,2,0),""))</f>
        <v/>
      </c>
    </row>
    <row r="930" spans="20:20" x14ac:dyDescent="0.3">
      <c r="T930" s="47" t="str">
        <f ca="1">IF(R930="","",IFERROR(TODAY()+VLOOKUP(R930,REGRAS!$B$2:$C$13,2,0),""))</f>
        <v/>
      </c>
    </row>
    <row r="931" spans="20:20" x14ac:dyDescent="0.3">
      <c r="T931" s="47" t="str">
        <f ca="1">IF(R931="","",IFERROR(TODAY()+VLOOKUP(R931,REGRAS!$B$2:$C$13,2,0),""))</f>
        <v/>
      </c>
    </row>
    <row r="932" spans="20:20" x14ac:dyDescent="0.3">
      <c r="T932" s="47" t="str">
        <f ca="1">IF(R932="","",IFERROR(TODAY()+VLOOKUP(R932,REGRAS!$B$2:$C$13,2,0),""))</f>
        <v/>
      </c>
    </row>
    <row r="933" spans="20:20" x14ac:dyDescent="0.3">
      <c r="T933" s="47" t="str">
        <f ca="1">IF(R933="","",IFERROR(TODAY()+VLOOKUP(R933,REGRAS!$B$2:$C$13,2,0),""))</f>
        <v/>
      </c>
    </row>
    <row r="934" spans="20:20" x14ac:dyDescent="0.3">
      <c r="T934" s="47" t="str">
        <f ca="1">IF(R934="","",IFERROR(TODAY()+VLOOKUP(R934,REGRAS!$B$2:$C$13,2,0),""))</f>
        <v/>
      </c>
    </row>
    <row r="935" spans="20:20" x14ac:dyDescent="0.3">
      <c r="T935" s="47" t="str">
        <f ca="1">IF(R935="","",IFERROR(TODAY()+VLOOKUP(R935,REGRAS!$B$2:$C$13,2,0),""))</f>
        <v/>
      </c>
    </row>
    <row r="936" spans="20:20" x14ac:dyDescent="0.3">
      <c r="T936" s="47" t="str">
        <f ca="1">IF(R936="","",IFERROR(TODAY()+VLOOKUP(R936,REGRAS!$B$2:$C$13,2,0),""))</f>
        <v/>
      </c>
    </row>
    <row r="937" spans="20:20" x14ac:dyDescent="0.3">
      <c r="T937" s="47" t="str">
        <f ca="1">IF(R937="","",IFERROR(TODAY()+VLOOKUP(R937,REGRAS!$B$2:$C$13,2,0),""))</f>
        <v/>
      </c>
    </row>
    <row r="938" spans="20:20" x14ac:dyDescent="0.3">
      <c r="T938" s="47" t="str">
        <f ca="1">IF(R938="","",IFERROR(TODAY()+VLOOKUP(R938,REGRAS!$B$2:$C$13,2,0),""))</f>
        <v/>
      </c>
    </row>
    <row r="939" spans="20:20" x14ac:dyDescent="0.3">
      <c r="T939" s="47" t="str">
        <f ca="1">IF(R939="","",IFERROR(TODAY()+VLOOKUP(R939,REGRAS!$B$2:$C$13,2,0),""))</f>
        <v/>
      </c>
    </row>
    <row r="940" spans="20:20" x14ac:dyDescent="0.3">
      <c r="T940" s="47" t="str">
        <f ca="1">IF(R940="","",IFERROR(TODAY()+VLOOKUP(R940,REGRAS!$B$2:$C$13,2,0),""))</f>
        <v/>
      </c>
    </row>
    <row r="941" spans="20:20" x14ac:dyDescent="0.3">
      <c r="T941" s="47" t="str">
        <f ca="1">IF(R941="","",IFERROR(TODAY()+VLOOKUP(R941,REGRAS!$B$2:$C$13,2,0),""))</f>
        <v/>
      </c>
    </row>
    <row r="942" spans="20:20" x14ac:dyDescent="0.3">
      <c r="T942" s="47" t="str">
        <f ca="1">IF(R942="","",IFERROR(TODAY()+VLOOKUP(R942,REGRAS!$B$2:$C$13,2,0),""))</f>
        <v/>
      </c>
    </row>
    <row r="943" spans="20:20" x14ac:dyDescent="0.3">
      <c r="T943" s="47" t="str">
        <f ca="1">IF(R943="","",IFERROR(TODAY()+VLOOKUP(R943,REGRAS!$B$2:$C$13,2,0),""))</f>
        <v/>
      </c>
    </row>
    <row r="944" spans="20:20" x14ac:dyDescent="0.3">
      <c r="T944" s="47" t="str">
        <f ca="1">IF(R944="","",IFERROR(TODAY()+VLOOKUP(R944,REGRAS!$B$2:$C$13,2,0),""))</f>
        <v/>
      </c>
    </row>
    <row r="945" spans="20:20" x14ac:dyDescent="0.3">
      <c r="T945" s="47" t="str">
        <f ca="1">IF(R945="","",IFERROR(TODAY()+VLOOKUP(R945,REGRAS!$B$2:$C$13,2,0),""))</f>
        <v/>
      </c>
    </row>
    <row r="946" spans="20:20" x14ac:dyDescent="0.3">
      <c r="T946" s="47" t="str">
        <f ca="1">IF(R946="","",IFERROR(TODAY()+VLOOKUP(R946,REGRAS!$B$2:$C$13,2,0),""))</f>
        <v/>
      </c>
    </row>
    <row r="947" spans="20:20" x14ac:dyDescent="0.3">
      <c r="T947" s="47" t="str">
        <f ca="1">IF(R947="","",IFERROR(TODAY()+VLOOKUP(R947,REGRAS!$B$2:$C$13,2,0),""))</f>
        <v/>
      </c>
    </row>
    <row r="948" spans="20:20" x14ac:dyDescent="0.3">
      <c r="T948" s="47" t="str">
        <f ca="1">IF(R948="","",IFERROR(TODAY()+VLOOKUP(R948,REGRAS!$B$2:$C$13,2,0),""))</f>
        <v/>
      </c>
    </row>
    <row r="949" spans="20:20" x14ac:dyDescent="0.3">
      <c r="T949" s="47" t="str">
        <f ca="1">IF(R949="","",IFERROR(TODAY()+VLOOKUP(R949,REGRAS!$B$2:$C$13,2,0),""))</f>
        <v/>
      </c>
    </row>
    <row r="950" spans="20:20" x14ac:dyDescent="0.3">
      <c r="T950" s="47" t="str">
        <f ca="1">IF(R950="","",IFERROR(TODAY()+VLOOKUP(R950,REGRAS!$B$2:$C$13,2,0),""))</f>
        <v/>
      </c>
    </row>
    <row r="951" spans="20:20" x14ac:dyDescent="0.3">
      <c r="T951" s="47" t="str">
        <f ca="1">IF(R951="","",IFERROR(TODAY()+VLOOKUP(R951,REGRAS!$B$2:$C$13,2,0),""))</f>
        <v/>
      </c>
    </row>
    <row r="952" spans="20:20" x14ac:dyDescent="0.3">
      <c r="T952" s="47" t="str">
        <f ca="1">IF(R952="","",IFERROR(TODAY()+VLOOKUP(R952,REGRAS!$B$2:$C$13,2,0),""))</f>
        <v/>
      </c>
    </row>
    <row r="953" spans="20:20" x14ac:dyDescent="0.3">
      <c r="T953" s="47" t="str">
        <f ca="1">IF(R953="","",IFERROR(TODAY()+VLOOKUP(R953,REGRAS!$B$2:$C$13,2,0),""))</f>
        <v/>
      </c>
    </row>
    <row r="954" spans="20:20" x14ac:dyDescent="0.3">
      <c r="T954" s="47" t="str">
        <f ca="1">IF(R954="","",IFERROR(TODAY()+VLOOKUP(R954,REGRAS!$B$2:$C$13,2,0),""))</f>
        <v/>
      </c>
    </row>
    <row r="955" spans="20:20" x14ac:dyDescent="0.3">
      <c r="T955" s="47" t="str">
        <f ca="1">IF(R955="","",IFERROR(TODAY()+VLOOKUP(R955,REGRAS!$B$2:$C$13,2,0),""))</f>
        <v/>
      </c>
    </row>
    <row r="956" spans="20:20" x14ac:dyDescent="0.3">
      <c r="T956" s="47" t="str">
        <f ca="1">IF(R956="","",IFERROR(TODAY()+VLOOKUP(R956,REGRAS!$B$2:$C$13,2,0),""))</f>
        <v/>
      </c>
    </row>
    <row r="957" spans="20:20" x14ac:dyDescent="0.3">
      <c r="T957" s="47" t="str">
        <f ca="1">IF(R957="","",IFERROR(TODAY()+VLOOKUP(R957,REGRAS!$B$2:$C$13,2,0),""))</f>
        <v/>
      </c>
    </row>
    <row r="958" spans="20:20" x14ac:dyDescent="0.3">
      <c r="T958" s="47" t="str">
        <f ca="1">IF(R958="","",IFERROR(TODAY()+VLOOKUP(R958,REGRAS!$B$2:$C$13,2,0),""))</f>
        <v/>
      </c>
    </row>
    <row r="959" spans="20:20" x14ac:dyDescent="0.3">
      <c r="T959" s="47" t="str">
        <f ca="1">IF(R959="","",IFERROR(TODAY()+VLOOKUP(R959,REGRAS!$B$2:$C$13,2,0),""))</f>
        <v/>
      </c>
    </row>
    <row r="960" spans="20:20" x14ac:dyDescent="0.3">
      <c r="T960" s="47" t="str">
        <f ca="1">IF(R960="","",IFERROR(TODAY()+VLOOKUP(R960,REGRAS!$B$2:$C$13,2,0),""))</f>
        <v/>
      </c>
    </row>
    <row r="961" spans="20:20" x14ac:dyDescent="0.3">
      <c r="T961" s="47" t="str">
        <f ca="1">IF(R961="","",IFERROR(TODAY()+VLOOKUP(R961,REGRAS!$B$2:$C$13,2,0),""))</f>
        <v/>
      </c>
    </row>
    <row r="962" spans="20:20" x14ac:dyDescent="0.3">
      <c r="T962" s="47" t="str">
        <f ca="1">IF(R962="","",IFERROR(TODAY()+VLOOKUP(R962,REGRAS!$B$2:$C$13,2,0),""))</f>
        <v/>
      </c>
    </row>
    <row r="963" spans="20:20" x14ac:dyDescent="0.3">
      <c r="T963" s="47" t="str">
        <f ca="1">IF(R963="","",IFERROR(TODAY()+VLOOKUP(R963,REGRAS!$B$2:$C$13,2,0),""))</f>
        <v/>
      </c>
    </row>
    <row r="964" spans="20:20" x14ac:dyDescent="0.3">
      <c r="T964" s="47" t="str">
        <f ca="1">IF(R964="","",IFERROR(TODAY()+VLOOKUP(R964,REGRAS!$B$2:$C$13,2,0),""))</f>
        <v/>
      </c>
    </row>
    <row r="965" spans="20:20" x14ac:dyDescent="0.3">
      <c r="T965" s="47" t="str">
        <f ca="1">IF(R965="","",IFERROR(TODAY()+VLOOKUP(R965,REGRAS!$B$2:$C$13,2,0),""))</f>
        <v/>
      </c>
    </row>
    <row r="966" spans="20:20" x14ac:dyDescent="0.3">
      <c r="T966" s="47" t="str">
        <f ca="1">IF(R966="","",IFERROR(TODAY()+VLOOKUP(R966,REGRAS!$B$2:$C$13,2,0),""))</f>
        <v/>
      </c>
    </row>
    <row r="967" spans="20:20" x14ac:dyDescent="0.3">
      <c r="T967" s="47" t="str">
        <f ca="1">IF(R967="","",IFERROR(TODAY()+VLOOKUP(R967,REGRAS!$B$2:$C$13,2,0),""))</f>
        <v/>
      </c>
    </row>
    <row r="968" spans="20:20" x14ac:dyDescent="0.3">
      <c r="T968" s="47" t="str">
        <f ca="1">IF(R968="","",IFERROR(TODAY()+VLOOKUP(R968,REGRAS!$B$2:$C$13,2,0),""))</f>
        <v/>
      </c>
    </row>
    <row r="969" spans="20:20" x14ac:dyDescent="0.3">
      <c r="T969" s="47" t="str">
        <f ca="1">IF(R969="","",IFERROR(TODAY()+VLOOKUP(R969,REGRAS!$B$2:$C$13,2,0),""))</f>
        <v/>
      </c>
    </row>
    <row r="970" spans="20:20" x14ac:dyDescent="0.3">
      <c r="T970" s="47" t="str">
        <f ca="1">IF(R970="","",IFERROR(TODAY()+VLOOKUP(R970,REGRAS!$B$2:$C$13,2,0),""))</f>
        <v/>
      </c>
    </row>
    <row r="971" spans="20:20" x14ac:dyDescent="0.3">
      <c r="T971" s="47" t="str">
        <f ca="1">IF(R971="","",IFERROR(TODAY()+VLOOKUP(R971,REGRAS!$B$2:$C$13,2,0),""))</f>
        <v/>
      </c>
    </row>
    <row r="972" spans="20:20" x14ac:dyDescent="0.3">
      <c r="T972" s="47" t="str">
        <f ca="1">IF(R972="","",IFERROR(TODAY()+VLOOKUP(R972,REGRAS!$B$2:$C$13,2,0),""))</f>
        <v/>
      </c>
    </row>
    <row r="973" spans="20:20" x14ac:dyDescent="0.3">
      <c r="T973" s="47" t="str">
        <f ca="1">IF(R973="","",IFERROR(TODAY()+VLOOKUP(R973,REGRAS!$B$2:$C$13,2,0),""))</f>
        <v/>
      </c>
    </row>
    <row r="974" spans="20:20" x14ac:dyDescent="0.3">
      <c r="T974" s="47" t="str">
        <f ca="1">IF(R974="","",IFERROR(TODAY()+VLOOKUP(R974,REGRAS!$B$2:$C$13,2,0),""))</f>
        <v/>
      </c>
    </row>
    <row r="975" spans="20:20" x14ac:dyDescent="0.3">
      <c r="T975" s="47" t="str">
        <f ca="1">IF(R975="","",IFERROR(TODAY()+VLOOKUP(R975,REGRAS!$B$2:$C$13,2,0),""))</f>
        <v/>
      </c>
    </row>
    <row r="976" spans="20:20" x14ac:dyDescent="0.3">
      <c r="T976" s="47" t="str">
        <f ca="1">IF(R976="","",IFERROR(TODAY()+VLOOKUP(R976,REGRAS!$B$2:$C$13,2,0),""))</f>
        <v/>
      </c>
    </row>
    <row r="977" spans="20:20" x14ac:dyDescent="0.3">
      <c r="T977" s="47" t="str">
        <f ca="1">IF(R977="","",IFERROR(TODAY()+VLOOKUP(R977,REGRAS!$B$2:$C$13,2,0),""))</f>
        <v/>
      </c>
    </row>
    <row r="978" spans="20:20" x14ac:dyDescent="0.3">
      <c r="T978" s="47" t="str">
        <f ca="1">IF(R978="","",IFERROR(TODAY()+VLOOKUP(R978,REGRAS!$B$2:$C$13,2,0),""))</f>
        <v/>
      </c>
    </row>
    <row r="979" spans="20:20" x14ac:dyDescent="0.3">
      <c r="T979" s="47" t="str">
        <f ca="1">IF(R979="","",IFERROR(TODAY()+VLOOKUP(R979,REGRAS!$B$2:$C$13,2,0),""))</f>
        <v/>
      </c>
    </row>
    <row r="980" spans="20:20" x14ac:dyDescent="0.3">
      <c r="T980" s="47" t="str">
        <f ca="1">IF(R980="","",IFERROR(TODAY()+VLOOKUP(R980,REGRAS!$B$2:$C$13,2,0),""))</f>
        <v/>
      </c>
    </row>
    <row r="981" spans="20:20" x14ac:dyDescent="0.3">
      <c r="T981" s="47" t="str">
        <f ca="1">IF(R981="","",IFERROR(TODAY()+VLOOKUP(R981,REGRAS!$B$2:$C$13,2,0),""))</f>
        <v/>
      </c>
    </row>
    <row r="982" spans="20:20" x14ac:dyDescent="0.3">
      <c r="T982" s="47" t="str">
        <f ca="1">IF(R982="","",IFERROR(TODAY()+VLOOKUP(R982,REGRAS!$B$2:$C$13,2,0),""))</f>
        <v/>
      </c>
    </row>
    <row r="983" spans="20:20" x14ac:dyDescent="0.3">
      <c r="T983" s="47" t="str">
        <f ca="1">IF(R983="","",IFERROR(TODAY()+VLOOKUP(R983,REGRAS!$B$2:$C$13,2,0),""))</f>
        <v/>
      </c>
    </row>
    <row r="984" spans="20:20" x14ac:dyDescent="0.3">
      <c r="T984" s="47" t="str">
        <f ca="1">IF(R984="","",IFERROR(TODAY()+VLOOKUP(R984,REGRAS!$B$2:$C$13,2,0),""))</f>
        <v/>
      </c>
    </row>
    <row r="985" spans="20:20" x14ac:dyDescent="0.3">
      <c r="T985" s="47" t="str">
        <f ca="1">IF(R985="","",IFERROR(TODAY()+VLOOKUP(R985,REGRAS!$B$2:$C$13,2,0),""))</f>
        <v/>
      </c>
    </row>
    <row r="986" spans="20:20" x14ac:dyDescent="0.3">
      <c r="T986" s="47" t="str">
        <f ca="1">IF(R986="","",IFERROR(TODAY()+VLOOKUP(R986,REGRAS!$B$2:$C$13,2,0),""))</f>
        <v/>
      </c>
    </row>
    <row r="987" spans="20:20" x14ac:dyDescent="0.3">
      <c r="T987" s="47" t="str">
        <f ca="1">IF(R987="","",IFERROR(TODAY()+VLOOKUP(R987,REGRAS!$B$2:$C$13,2,0),""))</f>
        <v/>
      </c>
    </row>
    <row r="988" spans="20:20" x14ac:dyDescent="0.3">
      <c r="T988" s="47" t="str">
        <f ca="1">IF(R988="","",IFERROR(TODAY()+VLOOKUP(R988,REGRAS!$B$2:$C$13,2,0),""))</f>
        <v/>
      </c>
    </row>
    <row r="989" spans="20:20" x14ac:dyDescent="0.3">
      <c r="T989" s="47" t="str">
        <f ca="1">IF(R989="","",IFERROR(TODAY()+VLOOKUP(R989,REGRAS!$B$2:$C$13,2,0),""))</f>
        <v/>
      </c>
    </row>
    <row r="990" spans="20:20" x14ac:dyDescent="0.3">
      <c r="T990" s="47" t="str">
        <f ca="1">IF(R990="","",IFERROR(TODAY()+VLOOKUP(R990,REGRAS!$B$2:$C$13,2,0),""))</f>
        <v/>
      </c>
    </row>
    <row r="991" spans="20:20" x14ac:dyDescent="0.3">
      <c r="T991" s="47" t="str">
        <f ca="1">IF(R991="","",IFERROR(TODAY()+VLOOKUP(R991,REGRAS!$B$2:$C$13,2,0),""))</f>
        <v/>
      </c>
    </row>
    <row r="992" spans="20:20" x14ac:dyDescent="0.3">
      <c r="T992" s="47" t="str">
        <f ca="1">IF(R992="","",IFERROR(TODAY()+VLOOKUP(R992,REGRAS!$B$2:$C$13,2,0),""))</f>
        <v/>
      </c>
    </row>
    <row r="993" spans="20:20" x14ac:dyDescent="0.3">
      <c r="T993" s="47" t="str">
        <f ca="1">IF(R993="","",IFERROR(TODAY()+VLOOKUP(R993,REGRAS!$B$2:$C$13,2,0),""))</f>
        <v/>
      </c>
    </row>
    <row r="994" spans="20:20" x14ac:dyDescent="0.3">
      <c r="T994" s="47" t="str">
        <f ca="1">IF(R994="","",IFERROR(TODAY()+VLOOKUP(R994,REGRAS!$B$2:$C$13,2,0),""))</f>
        <v/>
      </c>
    </row>
    <row r="995" spans="20:20" x14ac:dyDescent="0.3">
      <c r="T995" s="47" t="str">
        <f ca="1">IF(R995="","",IFERROR(TODAY()+VLOOKUP(R995,REGRAS!$B$2:$C$13,2,0),""))</f>
        <v/>
      </c>
    </row>
    <row r="996" spans="20:20" x14ac:dyDescent="0.3">
      <c r="T996" s="47" t="str">
        <f ca="1">IF(R996="","",IFERROR(TODAY()+VLOOKUP(R996,REGRAS!$B$2:$C$13,2,0),""))</f>
        <v/>
      </c>
    </row>
    <row r="997" spans="20:20" x14ac:dyDescent="0.3">
      <c r="T997" s="47" t="str">
        <f ca="1">IF(R997="","",IFERROR(TODAY()+VLOOKUP(R997,REGRAS!$B$2:$C$13,2,0),""))</f>
        <v/>
      </c>
    </row>
    <row r="998" spans="20:20" x14ac:dyDescent="0.3">
      <c r="T998" s="47" t="str">
        <f ca="1">IF(R998="","",IFERROR(TODAY()+VLOOKUP(R998,REGRAS!$B$2:$C$13,2,0),""))</f>
        <v/>
      </c>
    </row>
    <row r="999" spans="20:20" x14ac:dyDescent="0.3">
      <c r="T999" s="47" t="str">
        <f ca="1">IF(R999="","",IFERROR(TODAY()+VLOOKUP(R999,REGRAS!$B$2:$C$13,2,0),""))</f>
        <v/>
      </c>
    </row>
    <row r="1000" spans="20:20" x14ac:dyDescent="0.3">
      <c r="T1000" s="47" t="str">
        <f ca="1">IF(R1000="","",IFERROR(TODAY()+VLOOKUP(R1000,REGRAS!$B$2:$C$13,2,0),""))</f>
        <v/>
      </c>
    </row>
    <row r="1001" spans="20:20" x14ac:dyDescent="0.3">
      <c r="T1001" s="47" t="str">
        <f ca="1">IF(R1001="","",IFERROR(TODAY()+VLOOKUP(R1001,REGRAS!$B$2:$C$13,2,0),""))</f>
        <v/>
      </c>
    </row>
    <row r="1002" spans="20:20" x14ac:dyDescent="0.3">
      <c r="T1002" s="47" t="str">
        <f ca="1">IF(R1002="","",IFERROR(TODAY()+VLOOKUP(R1002,REGRAS!$B$2:$C$13,2,0),""))</f>
        <v/>
      </c>
    </row>
    <row r="1003" spans="20:20" x14ac:dyDescent="0.3">
      <c r="T1003" s="47" t="str">
        <f ca="1">IF(R1003="","",IFERROR(TODAY()+VLOOKUP(R1003,REGRAS!$B$2:$C$13,2,0),""))</f>
        <v/>
      </c>
    </row>
    <row r="1004" spans="20:20" x14ac:dyDescent="0.3">
      <c r="T1004" s="47" t="str">
        <f ca="1">IF(R1004="","",IFERROR(TODAY()+VLOOKUP(R1004,REGRAS!$B$2:$C$13,2,0),""))</f>
        <v/>
      </c>
    </row>
    <row r="1005" spans="20:20" x14ac:dyDescent="0.3">
      <c r="T1005" s="47" t="str">
        <f ca="1">IF(R1005="","",IFERROR(TODAY()+VLOOKUP(R1005,REGRAS!$B$2:$C$13,2,0),""))</f>
        <v/>
      </c>
    </row>
    <row r="1006" spans="20:20" x14ac:dyDescent="0.3">
      <c r="T1006" s="47" t="str">
        <f ca="1">IF(R1006="","",IFERROR(TODAY()+VLOOKUP(R1006,REGRAS!$B$2:$C$13,2,0),""))</f>
        <v/>
      </c>
    </row>
    <row r="1007" spans="20:20" x14ac:dyDescent="0.3">
      <c r="T1007" s="47" t="str">
        <f ca="1">IF(R1007="","",IFERROR(TODAY()+VLOOKUP(R1007,REGRAS!$B$2:$C$13,2,0),""))</f>
        <v/>
      </c>
    </row>
    <row r="1008" spans="20:20" x14ac:dyDescent="0.3">
      <c r="T1008" s="47" t="str">
        <f ca="1">IF(R1008="","",IFERROR(TODAY()+VLOOKUP(R1008,REGRAS!$B$2:$C$13,2,0),""))</f>
        <v/>
      </c>
    </row>
    <row r="1009" spans="20:20" x14ac:dyDescent="0.3">
      <c r="T1009" s="47" t="str">
        <f ca="1">IF(R1009="","",IFERROR(TODAY()+VLOOKUP(R1009,REGRAS!$B$2:$C$13,2,0),""))</f>
        <v/>
      </c>
    </row>
    <row r="1010" spans="20:20" x14ac:dyDescent="0.3">
      <c r="T1010" s="47" t="str">
        <f ca="1">IF(R1010="","",IFERROR(TODAY()+VLOOKUP(R1010,REGRAS!$B$2:$C$13,2,0),""))</f>
        <v/>
      </c>
    </row>
    <row r="1011" spans="20:20" x14ac:dyDescent="0.3">
      <c r="T1011" s="47" t="str">
        <f ca="1">IF(R1011="","",IFERROR(TODAY()+VLOOKUP(R1011,REGRAS!$B$2:$C$13,2,0),""))</f>
        <v/>
      </c>
    </row>
    <row r="1012" spans="20:20" x14ac:dyDescent="0.3">
      <c r="T1012" s="47" t="str">
        <f ca="1">IF(R1012="","",IFERROR(TODAY()+VLOOKUP(R1012,REGRAS!$B$2:$C$13,2,0),""))</f>
        <v/>
      </c>
    </row>
    <row r="1013" spans="20:20" x14ac:dyDescent="0.3">
      <c r="T1013" s="47" t="str">
        <f ca="1">IF(R1013="","",IFERROR(TODAY()+VLOOKUP(R1013,REGRAS!$B$2:$C$13,2,0),""))</f>
        <v/>
      </c>
    </row>
    <row r="1014" spans="20:20" x14ac:dyDescent="0.3">
      <c r="T1014" s="47" t="str">
        <f ca="1">IF(R1014="","",IFERROR(TODAY()+VLOOKUP(R1014,REGRAS!$B$2:$C$13,2,0),""))</f>
        <v/>
      </c>
    </row>
    <row r="1015" spans="20:20" x14ac:dyDescent="0.3">
      <c r="T1015" s="47" t="str">
        <f ca="1">IF(R1015="","",IFERROR(TODAY()+VLOOKUP(R1015,REGRAS!$B$2:$C$13,2,0),""))</f>
        <v/>
      </c>
    </row>
    <row r="1016" spans="20:20" x14ac:dyDescent="0.3">
      <c r="T1016" s="47" t="str">
        <f ca="1">IF(R1016="","",IFERROR(TODAY()+VLOOKUP(R1016,REGRAS!$B$2:$C$13,2,0),""))</f>
        <v/>
      </c>
    </row>
    <row r="1017" spans="20:20" x14ac:dyDescent="0.3">
      <c r="T1017" s="47" t="str">
        <f ca="1">IF(R1017="","",IFERROR(TODAY()+VLOOKUP(R1017,REGRAS!$B$2:$C$13,2,0),""))</f>
        <v/>
      </c>
    </row>
    <row r="1018" spans="20:20" x14ac:dyDescent="0.3">
      <c r="T1018" s="47" t="str">
        <f ca="1">IF(R1018="","",IFERROR(TODAY()+VLOOKUP(R1018,REGRAS!$B$2:$C$13,2,0),""))</f>
        <v/>
      </c>
    </row>
    <row r="1019" spans="20:20" x14ac:dyDescent="0.3">
      <c r="T1019" s="47" t="str">
        <f ca="1">IF(R1019="","",IFERROR(TODAY()+VLOOKUP(R1019,REGRAS!$B$2:$C$13,2,0),""))</f>
        <v/>
      </c>
    </row>
    <row r="1020" spans="20:20" x14ac:dyDescent="0.3">
      <c r="T1020" s="47" t="str">
        <f ca="1">IF(R1020="","",IFERROR(TODAY()+VLOOKUP(R1020,REGRAS!$B$2:$C$13,2,0),""))</f>
        <v/>
      </c>
    </row>
    <row r="1021" spans="20:20" x14ac:dyDescent="0.3">
      <c r="T1021" s="47" t="str">
        <f ca="1">IF(R1021="","",IFERROR(TODAY()+VLOOKUP(R1021,REGRAS!$B$2:$C$13,2,0),""))</f>
        <v/>
      </c>
    </row>
    <row r="1022" spans="20:20" x14ac:dyDescent="0.3">
      <c r="T1022" s="47" t="str">
        <f ca="1">IF(R1022="","",IFERROR(TODAY()+VLOOKUP(R1022,REGRAS!$B$2:$C$13,2,0),""))</f>
        <v/>
      </c>
    </row>
    <row r="1023" spans="20:20" x14ac:dyDescent="0.3">
      <c r="T1023" s="47" t="str">
        <f ca="1">IF(R1023="","",IFERROR(TODAY()+VLOOKUP(R1023,REGRAS!$B$2:$C$13,2,0),""))</f>
        <v/>
      </c>
    </row>
    <row r="1024" spans="20:20" x14ac:dyDescent="0.3">
      <c r="T1024" s="47" t="str">
        <f ca="1">IF(R1024="","",IFERROR(TODAY()+VLOOKUP(R1024,REGRAS!$B$2:$C$13,2,0),""))</f>
        <v/>
      </c>
    </row>
    <row r="1025" spans="20:20" x14ac:dyDescent="0.3">
      <c r="T1025" s="47" t="str">
        <f ca="1">IF(R1025="","",IFERROR(TODAY()+VLOOKUP(R1025,REGRAS!$B$2:$C$13,2,0),""))</f>
        <v/>
      </c>
    </row>
    <row r="1026" spans="20:20" x14ac:dyDescent="0.3">
      <c r="T1026" s="47" t="str">
        <f ca="1">IF(R1026="","",IFERROR(TODAY()+VLOOKUP(R1026,REGRAS!$B$2:$C$13,2,0),""))</f>
        <v/>
      </c>
    </row>
    <row r="1027" spans="20:20" x14ac:dyDescent="0.3">
      <c r="T1027" s="47" t="str">
        <f ca="1">IF(R1027="","",IFERROR(TODAY()+VLOOKUP(R1027,REGRAS!$B$2:$C$13,2,0),""))</f>
        <v/>
      </c>
    </row>
    <row r="1028" spans="20:20" x14ac:dyDescent="0.3">
      <c r="T1028" s="47" t="str">
        <f ca="1">IF(R1028="","",IFERROR(TODAY()+VLOOKUP(R1028,REGRAS!$B$2:$C$13,2,0),""))</f>
        <v/>
      </c>
    </row>
    <row r="1029" spans="20:20" x14ac:dyDescent="0.3">
      <c r="T1029" s="47" t="str">
        <f ca="1">IF(R1029="","",IFERROR(TODAY()+VLOOKUP(R1029,REGRAS!$B$2:$C$13,2,0),""))</f>
        <v/>
      </c>
    </row>
    <row r="1030" spans="20:20" x14ac:dyDescent="0.3">
      <c r="T1030" s="47" t="str">
        <f ca="1">IF(R1030="","",IFERROR(TODAY()+VLOOKUP(R1030,REGRAS!$B$2:$C$13,2,0),""))</f>
        <v/>
      </c>
    </row>
    <row r="1031" spans="20:20" x14ac:dyDescent="0.3">
      <c r="T1031" s="47" t="str">
        <f ca="1">IF(R1031="","",IFERROR(TODAY()+VLOOKUP(R1031,REGRAS!$B$2:$C$13,2,0),""))</f>
        <v/>
      </c>
    </row>
    <row r="1032" spans="20:20" x14ac:dyDescent="0.3">
      <c r="T1032" s="47" t="str">
        <f ca="1">IF(R1032="","",IFERROR(TODAY()+VLOOKUP(R1032,REGRAS!$B$2:$C$13,2,0),""))</f>
        <v/>
      </c>
    </row>
    <row r="1033" spans="20:20" x14ac:dyDescent="0.3">
      <c r="T1033" s="47" t="str">
        <f ca="1">IF(R1033="","",IFERROR(TODAY()+VLOOKUP(R1033,REGRAS!$B$2:$C$13,2,0),""))</f>
        <v/>
      </c>
    </row>
    <row r="1034" spans="20:20" x14ac:dyDescent="0.3">
      <c r="T1034" s="47" t="str">
        <f ca="1">IF(R1034="","",IFERROR(TODAY()+VLOOKUP(R1034,REGRAS!$B$2:$C$13,2,0),""))</f>
        <v/>
      </c>
    </row>
    <row r="1035" spans="20:20" x14ac:dyDescent="0.3">
      <c r="T1035" s="47" t="str">
        <f ca="1">IF(R1035="","",IFERROR(TODAY()+VLOOKUP(R1035,REGRAS!$B$2:$C$13,2,0),""))</f>
        <v/>
      </c>
    </row>
    <row r="1036" spans="20:20" x14ac:dyDescent="0.3">
      <c r="T1036" s="47" t="str">
        <f ca="1">IF(R1036="","",IFERROR(TODAY()+VLOOKUP(R1036,REGRAS!$B$2:$C$13,2,0),""))</f>
        <v/>
      </c>
    </row>
    <row r="1037" spans="20:20" x14ac:dyDescent="0.3">
      <c r="T1037" s="47" t="str">
        <f ca="1">IF(R1037="","",IFERROR(TODAY()+VLOOKUP(R1037,REGRAS!$B$2:$C$13,2,0),""))</f>
        <v/>
      </c>
    </row>
    <row r="1038" spans="20:20" x14ac:dyDescent="0.3">
      <c r="T1038" s="47" t="str">
        <f ca="1">IF(R1038="","",IFERROR(TODAY()+VLOOKUP(R1038,REGRAS!$B$2:$C$13,2,0),""))</f>
        <v/>
      </c>
    </row>
    <row r="1039" spans="20:20" x14ac:dyDescent="0.3">
      <c r="T1039" s="47" t="str">
        <f ca="1">IF(R1039="","",IFERROR(TODAY()+VLOOKUP(R1039,REGRAS!$B$2:$C$13,2,0),""))</f>
        <v/>
      </c>
    </row>
    <row r="1040" spans="20:20" x14ac:dyDescent="0.3">
      <c r="T1040" s="47" t="str">
        <f ca="1">IF(R1040="","",IFERROR(TODAY()+VLOOKUP(R1040,REGRAS!$B$2:$C$13,2,0),""))</f>
        <v/>
      </c>
    </row>
    <row r="1041" spans="20:20" x14ac:dyDescent="0.3">
      <c r="T1041" s="47" t="str">
        <f ca="1">IF(R1041="","",IFERROR(TODAY()+VLOOKUP(R1041,REGRAS!$B$2:$C$13,2,0),""))</f>
        <v/>
      </c>
    </row>
    <row r="1042" spans="20:20" x14ac:dyDescent="0.3">
      <c r="T1042" s="47" t="str">
        <f ca="1">IF(R1042="","",IFERROR(TODAY()+VLOOKUP(R1042,REGRAS!$B$2:$C$13,2,0),""))</f>
        <v/>
      </c>
    </row>
    <row r="1043" spans="20:20" x14ac:dyDescent="0.3">
      <c r="T1043" s="47" t="str">
        <f ca="1">IF(R1043="","",IFERROR(TODAY()+VLOOKUP(R1043,REGRAS!$B$2:$C$13,2,0),""))</f>
        <v/>
      </c>
    </row>
    <row r="1044" spans="20:20" x14ac:dyDescent="0.3">
      <c r="T1044" s="47" t="str">
        <f ca="1">IF(R1044="","",IFERROR(TODAY()+VLOOKUP(R1044,REGRAS!$B$2:$C$13,2,0),""))</f>
        <v/>
      </c>
    </row>
    <row r="1045" spans="20:20" x14ac:dyDescent="0.3">
      <c r="T1045" s="47" t="str">
        <f ca="1">IF(R1045="","",IFERROR(TODAY()+VLOOKUP(R1045,REGRAS!$B$2:$C$13,2,0),""))</f>
        <v/>
      </c>
    </row>
    <row r="1046" spans="20:20" x14ac:dyDescent="0.3">
      <c r="T1046" s="47" t="str">
        <f ca="1">IF(R1046="","",IFERROR(TODAY()+VLOOKUP(R1046,REGRAS!$B$2:$C$13,2,0),""))</f>
        <v/>
      </c>
    </row>
    <row r="1047" spans="20:20" x14ac:dyDescent="0.3">
      <c r="T1047" s="47" t="str">
        <f ca="1">IF(R1047="","",IFERROR(TODAY()+VLOOKUP(R1047,REGRAS!$B$2:$C$13,2,0),""))</f>
        <v/>
      </c>
    </row>
    <row r="1048" spans="20:20" x14ac:dyDescent="0.3">
      <c r="T1048" s="47" t="str">
        <f ca="1">IF(R1048="","",IFERROR(TODAY()+VLOOKUP(R1048,REGRAS!$B$2:$C$13,2,0),""))</f>
        <v/>
      </c>
    </row>
    <row r="1049" spans="20:20" x14ac:dyDescent="0.3">
      <c r="T1049" s="47" t="str">
        <f ca="1">IF(R1049="","",IFERROR(TODAY()+VLOOKUP(R1049,REGRAS!$B$2:$C$13,2,0),""))</f>
        <v/>
      </c>
    </row>
    <row r="1050" spans="20:20" x14ac:dyDescent="0.3">
      <c r="T1050" s="47" t="str">
        <f ca="1">IF(R1050="","",IFERROR(TODAY()+VLOOKUP(R1050,REGRAS!$B$2:$C$13,2,0),""))</f>
        <v/>
      </c>
    </row>
    <row r="1051" spans="20:20" x14ac:dyDescent="0.3">
      <c r="T1051" s="47" t="str">
        <f ca="1">IF(R1051="","",IFERROR(TODAY()+VLOOKUP(R1051,REGRAS!$B$2:$C$13,2,0),""))</f>
        <v/>
      </c>
    </row>
    <row r="1052" spans="20:20" x14ac:dyDescent="0.3">
      <c r="T1052" s="47" t="str">
        <f ca="1">IF(R1052="","",IFERROR(TODAY()+VLOOKUP(R1052,REGRAS!$B$2:$C$13,2,0),""))</f>
        <v/>
      </c>
    </row>
    <row r="1053" spans="20:20" x14ac:dyDescent="0.3">
      <c r="T1053" s="47" t="str">
        <f ca="1">IF(R1053="","",IFERROR(TODAY()+VLOOKUP(R1053,REGRAS!$B$2:$C$13,2,0),""))</f>
        <v/>
      </c>
    </row>
    <row r="1054" spans="20:20" x14ac:dyDescent="0.3">
      <c r="T1054" s="47" t="str">
        <f ca="1">IF(R1054="","",IFERROR(TODAY()+VLOOKUP(R1054,REGRAS!$B$2:$C$13,2,0),""))</f>
        <v/>
      </c>
    </row>
    <row r="1055" spans="20:20" x14ac:dyDescent="0.3">
      <c r="T1055" s="47" t="str">
        <f ca="1">IF(R1055="","",IFERROR(TODAY()+VLOOKUP(R1055,REGRAS!$B$2:$C$13,2,0),""))</f>
        <v/>
      </c>
    </row>
    <row r="1056" spans="20:20" x14ac:dyDescent="0.3">
      <c r="T1056" s="47" t="str">
        <f ca="1">IF(R1056="","",IFERROR(TODAY()+VLOOKUP(R1056,REGRAS!$B$2:$C$13,2,0),""))</f>
        <v/>
      </c>
    </row>
    <row r="1057" spans="20:20" x14ac:dyDescent="0.3">
      <c r="T1057" s="47" t="str">
        <f ca="1">IF(R1057="","",IFERROR(TODAY()+VLOOKUP(R1057,REGRAS!$B$2:$C$13,2,0),""))</f>
        <v/>
      </c>
    </row>
    <row r="1058" spans="20:20" x14ac:dyDescent="0.3">
      <c r="T1058" s="47" t="str">
        <f ca="1">IF(R1058="","",IFERROR(TODAY()+VLOOKUP(R1058,REGRAS!$B$2:$C$13,2,0),""))</f>
        <v/>
      </c>
    </row>
    <row r="1059" spans="20:20" x14ac:dyDescent="0.3">
      <c r="T1059" s="47" t="str">
        <f ca="1">IF(R1059="","",IFERROR(TODAY()+VLOOKUP(R1059,REGRAS!$B$2:$C$13,2,0),""))</f>
        <v/>
      </c>
    </row>
    <row r="1060" spans="20:20" x14ac:dyDescent="0.3">
      <c r="T1060" s="47" t="str">
        <f ca="1">IF(R1060="","",IFERROR(TODAY()+VLOOKUP(R1060,REGRAS!$B$2:$C$13,2,0),""))</f>
        <v/>
      </c>
    </row>
    <row r="1061" spans="20:20" x14ac:dyDescent="0.3">
      <c r="T1061" s="47" t="str">
        <f ca="1">IF(R1061="","",IFERROR(TODAY()+VLOOKUP(R1061,REGRAS!$B$2:$C$13,2,0),""))</f>
        <v/>
      </c>
    </row>
    <row r="1062" spans="20:20" x14ac:dyDescent="0.3">
      <c r="T1062" s="47" t="str">
        <f ca="1">IF(R1062="","",IFERROR(TODAY()+VLOOKUP(R1062,REGRAS!$B$2:$C$13,2,0),""))</f>
        <v/>
      </c>
    </row>
    <row r="1063" spans="20:20" x14ac:dyDescent="0.3">
      <c r="T1063" s="47" t="str">
        <f ca="1">IF(R1063="","",IFERROR(TODAY()+VLOOKUP(R1063,REGRAS!$B$2:$C$13,2,0),""))</f>
        <v/>
      </c>
    </row>
    <row r="1064" spans="20:20" x14ac:dyDescent="0.3">
      <c r="T1064" s="47" t="str">
        <f ca="1">IF(R1064="","",IFERROR(TODAY()+VLOOKUP(R1064,REGRAS!$B$2:$C$13,2,0),""))</f>
        <v/>
      </c>
    </row>
    <row r="1065" spans="20:20" x14ac:dyDescent="0.3">
      <c r="T1065" s="47" t="str">
        <f ca="1">IF(R1065="","",IFERROR(TODAY()+VLOOKUP(R1065,REGRAS!$B$2:$C$13,2,0),""))</f>
        <v/>
      </c>
    </row>
    <row r="1066" spans="20:20" x14ac:dyDescent="0.3">
      <c r="T1066" s="47" t="str">
        <f ca="1">IF(R1066="","",IFERROR(TODAY()+VLOOKUP(R1066,REGRAS!$B$2:$C$13,2,0),""))</f>
        <v/>
      </c>
    </row>
    <row r="1067" spans="20:20" x14ac:dyDescent="0.3">
      <c r="T1067" s="47" t="str">
        <f ca="1">IF(R1067="","",IFERROR(TODAY()+VLOOKUP(R1067,REGRAS!$B$2:$C$13,2,0),""))</f>
        <v/>
      </c>
    </row>
    <row r="1068" spans="20:20" x14ac:dyDescent="0.3">
      <c r="T1068" s="47" t="str">
        <f ca="1">IF(R1068="","",IFERROR(TODAY()+VLOOKUP(R1068,REGRAS!$B$2:$C$13,2,0),""))</f>
        <v/>
      </c>
    </row>
    <row r="1069" spans="20:20" x14ac:dyDescent="0.3">
      <c r="T1069" s="47" t="str">
        <f ca="1">IF(R1069="","",IFERROR(TODAY()+VLOOKUP(R1069,REGRAS!$B$2:$C$13,2,0),""))</f>
        <v/>
      </c>
    </row>
    <row r="1070" spans="20:20" x14ac:dyDescent="0.3">
      <c r="T1070" s="47" t="str">
        <f ca="1">IF(R1070="","",IFERROR(TODAY()+VLOOKUP(R1070,REGRAS!$B$2:$C$13,2,0),""))</f>
        <v/>
      </c>
    </row>
    <row r="1071" spans="20:20" x14ac:dyDescent="0.3">
      <c r="T1071" s="47" t="str">
        <f ca="1">IF(R1071="","",IFERROR(TODAY()+VLOOKUP(R1071,REGRAS!$B$2:$C$13,2,0),""))</f>
        <v/>
      </c>
    </row>
    <row r="1072" spans="20:20" x14ac:dyDescent="0.3">
      <c r="T1072" s="47" t="str">
        <f ca="1">IF(R1072="","",IFERROR(TODAY()+VLOOKUP(R1072,REGRAS!$B$2:$C$13,2,0),""))</f>
        <v/>
      </c>
    </row>
    <row r="1073" spans="20:20" x14ac:dyDescent="0.3">
      <c r="T1073" s="47" t="str">
        <f ca="1">IF(R1073="","",IFERROR(TODAY()+VLOOKUP(R1073,REGRAS!$B$2:$C$13,2,0),""))</f>
        <v/>
      </c>
    </row>
    <row r="1074" spans="20:20" x14ac:dyDescent="0.3">
      <c r="T1074" s="47" t="str">
        <f ca="1">IF(R1074="","",IFERROR(TODAY()+VLOOKUP(R1074,REGRAS!$B$2:$C$13,2,0),""))</f>
        <v/>
      </c>
    </row>
    <row r="1075" spans="20:20" x14ac:dyDescent="0.3">
      <c r="T1075" s="47" t="str">
        <f ca="1">IF(R1075="","",IFERROR(TODAY()+VLOOKUP(R1075,REGRAS!$B$2:$C$13,2,0),""))</f>
        <v/>
      </c>
    </row>
    <row r="1076" spans="20:20" x14ac:dyDescent="0.3">
      <c r="T1076" s="47" t="str">
        <f ca="1">IF(R1076="","",IFERROR(TODAY()+VLOOKUP(R1076,REGRAS!$B$2:$C$13,2,0),""))</f>
        <v/>
      </c>
    </row>
    <row r="1077" spans="20:20" x14ac:dyDescent="0.3">
      <c r="T1077" s="47" t="str">
        <f ca="1">IF(R1077="","",IFERROR(TODAY()+VLOOKUP(R1077,REGRAS!$B$2:$C$13,2,0),""))</f>
        <v/>
      </c>
    </row>
    <row r="1078" spans="20:20" x14ac:dyDescent="0.3">
      <c r="T1078" s="47" t="str">
        <f ca="1">IF(R1078="","",IFERROR(TODAY()+VLOOKUP(R1078,REGRAS!$B$2:$C$13,2,0),""))</f>
        <v/>
      </c>
    </row>
    <row r="1079" spans="20:20" x14ac:dyDescent="0.3">
      <c r="T1079" s="47" t="str">
        <f ca="1">IF(R1079="","",IFERROR(TODAY()+VLOOKUP(R1079,REGRAS!$B$2:$C$13,2,0),""))</f>
        <v/>
      </c>
    </row>
    <row r="1080" spans="20:20" x14ac:dyDescent="0.3">
      <c r="T1080" s="47" t="str">
        <f ca="1">IF(R1080="","",IFERROR(TODAY()+VLOOKUP(R1080,REGRAS!$B$2:$C$13,2,0),""))</f>
        <v/>
      </c>
    </row>
    <row r="1081" spans="20:20" x14ac:dyDescent="0.3">
      <c r="T1081" s="47" t="str">
        <f ca="1">IF(R1081="","",IFERROR(TODAY()+VLOOKUP(R1081,REGRAS!$B$2:$C$13,2,0),""))</f>
        <v/>
      </c>
    </row>
    <row r="1082" spans="20:20" x14ac:dyDescent="0.3">
      <c r="T1082" s="47" t="str">
        <f ca="1">IF(R1082="","",IFERROR(TODAY()+VLOOKUP(R1082,REGRAS!$B$2:$C$13,2,0),""))</f>
        <v/>
      </c>
    </row>
    <row r="1083" spans="20:20" x14ac:dyDescent="0.3">
      <c r="T1083" s="47" t="str">
        <f ca="1">IF(R1083="","",IFERROR(TODAY()+VLOOKUP(R1083,REGRAS!$B$2:$C$13,2,0),""))</f>
        <v/>
      </c>
    </row>
    <row r="1084" spans="20:20" x14ac:dyDescent="0.3">
      <c r="T1084" s="47" t="str">
        <f ca="1">IF(R1084="","",IFERROR(TODAY()+VLOOKUP(R1084,REGRAS!$B$2:$C$13,2,0),""))</f>
        <v/>
      </c>
    </row>
    <row r="1085" spans="20:20" x14ac:dyDescent="0.3">
      <c r="T1085" s="47" t="str">
        <f ca="1">IF(R1085="","",IFERROR(TODAY()+VLOOKUP(R1085,REGRAS!$B$2:$C$13,2,0),""))</f>
        <v/>
      </c>
    </row>
    <row r="1086" spans="20:20" x14ac:dyDescent="0.3">
      <c r="T1086" s="47" t="str">
        <f ca="1">IF(R1086="","",IFERROR(TODAY()+VLOOKUP(R1086,REGRAS!$B$2:$C$13,2,0),""))</f>
        <v/>
      </c>
    </row>
    <row r="1087" spans="20:20" x14ac:dyDescent="0.3">
      <c r="T1087" s="47" t="str">
        <f ca="1">IF(R1087="","",IFERROR(TODAY()+VLOOKUP(R1087,REGRAS!$B$2:$C$13,2,0),""))</f>
        <v/>
      </c>
    </row>
    <row r="1088" spans="20:20" x14ac:dyDescent="0.3">
      <c r="T1088" s="47" t="str">
        <f ca="1">IF(R1088="","",IFERROR(TODAY()+VLOOKUP(R1088,REGRAS!$B$2:$C$13,2,0),""))</f>
        <v/>
      </c>
    </row>
    <row r="1089" spans="20:20" x14ac:dyDescent="0.3">
      <c r="T1089" s="47" t="str">
        <f ca="1">IF(R1089="","",IFERROR(TODAY()+VLOOKUP(R1089,REGRAS!$B$2:$C$13,2,0),""))</f>
        <v/>
      </c>
    </row>
    <row r="1090" spans="20:20" x14ac:dyDescent="0.3">
      <c r="T1090" s="47" t="str">
        <f ca="1">IF(R1090="","",IFERROR(TODAY()+VLOOKUP(R1090,REGRAS!$B$2:$C$13,2,0),""))</f>
        <v/>
      </c>
    </row>
    <row r="1091" spans="20:20" x14ac:dyDescent="0.3">
      <c r="T1091" s="47" t="str">
        <f ca="1">IF(R1091="","",IFERROR(TODAY()+VLOOKUP(R1091,REGRAS!$B$2:$C$13,2,0),""))</f>
        <v/>
      </c>
    </row>
    <row r="1092" spans="20:20" x14ac:dyDescent="0.3">
      <c r="T1092" s="47" t="str">
        <f ca="1">IF(R1092="","",IFERROR(TODAY()+VLOOKUP(R1092,REGRAS!$B$2:$C$13,2,0),""))</f>
        <v/>
      </c>
    </row>
    <row r="1093" spans="20:20" x14ac:dyDescent="0.3">
      <c r="T1093" s="47" t="str">
        <f ca="1">IF(R1093="","",IFERROR(TODAY()+VLOOKUP(R1093,REGRAS!$B$2:$C$13,2,0),""))</f>
        <v/>
      </c>
    </row>
    <row r="1094" spans="20:20" x14ac:dyDescent="0.3">
      <c r="T1094" s="47" t="str">
        <f ca="1">IF(R1094="","",IFERROR(TODAY()+VLOOKUP(R1094,REGRAS!$B$2:$C$13,2,0),""))</f>
        <v/>
      </c>
    </row>
    <row r="1095" spans="20:20" x14ac:dyDescent="0.3">
      <c r="T1095" s="47" t="str">
        <f ca="1">IF(R1095="","",IFERROR(TODAY()+VLOOKUP(R1095,REGRAS!$B$2:$C$13,2,0),""))</f>
        <v/>
      </c>
    </row>
    <row r="1096" spans="20:20" x14ac:dyDescent="0.3">
      <c r="T1096" s="47" t="str">
        <f ca="1">IF(R1096="","",IFERROR(TODAY()+VLOOKUP(R1096,REGRAS!$B$2:$C$13,2,0),""))</f>
        <v/>
      </c>
    </row>
    <row r="1097" spans="20:20" x14ac:dyDescent="0.3">
      <c r="T1097" s="47" t="str">
        <f ca="1">IF(R1097="","",IFERROR(TODAY()+VLOOKUP(R1097,REGRAS!$B$2:$C$13,2,0),""))</f>
        <v/>
      </c>
    </row>
    <row r="1098" spans="20:20" x14ac:dyDescent="0.3">
      <c r="T1098" s="47" t="str">
        <f ca="1">IF(R1098="","",IFERROR(TODAY()+VLOOKUP(R1098,REGRAS!$B$2:$C$13,2,0),""))</f>
        <v/>
      </c>
    </row>
    <row r="1099" spans="20:20" x14ac:dyDescent="0.3">
      <c r="T1099" s="47" t="str">
        <f ca="1">IF(R1099="","",IFERROR(TODAY()+VLOOKUP(R1099,REGRAS!$B$2:$C$13,2,0),""))</f>
        <v/>
      </c>
    </row>
    <row r="1100" spans="20:20" x14ac:dyDescent="0.3">
      <c r="T1100" s="47" t="str">
        <f ca="1">IF(R1100="","",IFERROR(TODAY()+VLOOKUP(R1100,REGRAS!$B$2:$C$13,2,0),""))</f>
        <v/>
      </c>
    </row>
    <row r="1101" spans="20:20" x14ac:dyDescent="0.3">
      <c r="T1101" s="47" t="str">
        <f ca="1">IF(R1101="","",IFERROR(TODAY()+VLOOKUP(R1101,REGRAS!$B$2:$C$13,2,0),""))</f>
        <v/>
      </c>
    </row>
    <row r="1102" spans="20:20" x14ac:dyDescent="0.3">
      <c r="T1102" s="47" t="str">
        <f ca="1">IF(R1102="","",IFERROR(TODAY()+VLOOKUP(R1102,REGRAS!$B$2:$C$13,2,0),""))</f>
        <v/>
      </c>
    </row>
    <row r="1103" spans="20:20" x14ac:dyDescent="0.3">
      <c r="T1103" s="47" t="str">
        <f ca="1">IF(R1103="","",IFERROR(TODAY()+VLOOKUP(R1103,REGRAS!$B$2:$C$13,2,0),""))</f>
        <v/>
      </c>
    </row>
    <row r="1104" spans="20:20" x14ac:dyDescent="0.3">
      <c r="T1104" s="47" t="str">
        <f ca="1">IF(R1104="","",IFERROR(TODAY()+VLOOKUP(R1104,REGRAS!$B$2:$C$13,2,0),""))</f>
        <v/>
      </c>
    </row>
    <row r="1105" spans="20:20" x14ac:dyDescent="0.3">
      <c r="T1105" s="47" t="str">
        <f ca="1">IF(R1105="","",IFERROR(TODAY()+VLOOKUP(R1105,REGRAS!$B$2:$C$13,2,0),""))</f>
        <v/>
      </c>
    </row>
    <row r="1106" spans="20:20" x14ac:dyDescent="0.3">
      <c r="T1106" s="47" t="str">
        <f ca="1">IF(R1106="","",IFERROR(TODAY()+VLOOKUP(R1106,REGRAS!$B$2:$C$13,2,0),""))</f>
        <v/>
      </c>
    </row>
    <row r="1107" spans="20:20" x14ac:dyDescent="0.3">
      <c r="T1107" s="47" t="str">
        <f ca="1">IF(R1107="","",IFERROR(TODAY()+VLOOKUP(R1107,REGRAS!$B$2:$C$13,2,0),""))</f>
        <v/>
      </c>
    </row>
    <row r="1108" spans="20:20" x14ac:dyDescent="0.3">
      <c r="T1108" s="47" t="str">
        <f ca="1">IF(R1108="","",IFERROR(TODAY()+VLOOKUP(R1108,REGRAS!$B$2:$C$13,2,0),""))</f>
        <v/>
      </c>
    </row>
    <row r="1109" spans="20:20" x14ac:dyDescent="0.3">
      <c r="T1109" s="47" t="str">
        <f ca="1">IF(R1109="","",IFERROR(TODAY()+VLOOKUP(R1109,REGRAS!$B$2:$C$13,2,0),""))</f>
        <v/>
      </c>
    </row>
    <row r="1110" spans="20:20" x14ac:dyDescent="0.3">
      <c r="T1110" s="47" t="str">
        <f ca="1">IF(R1110="","",IFERROR(TODAY()+VLOOKUP(R1110,REGRAS!$B$2:$C$13,2,0),""))</f>
        <v/>
      </c>
    </row>
    <row r="1111" spans="20:20" x14ac:dyDescent="0.3">
      <c r="T1111" s="47" t="str">
        <f ca="1">IF(R1111="","",IFERROR(TODAY()+VLOOKUP(R1111,REGRAS!$B$2:$C$13,2,0),""))</f>
        <v/>
      </c>
    </row>
    <row r="1112" spans="20:20" x14ac:dyDescent="0.3">
      <c r="T1112" s="47" t="str">
        <f ca="1">IF(R1112="","",IFERROR(TODAY()+VLOOKUP(R1112,REGRAS!$B$2:$C$13,2,0),""))</f>
        <v/>
      </c>
    </row>
    <row r="1113" spans="20:20" x14ac:dyDescent="0.3">
      <c r="T1113" s="47" t="str">
        <f ca="1">IF(R1113="","",IFERROR(TODAY()+VLOOKUP(R1113,REGRAS!$B$2:$C$13,2,0),""))</f>
        <v/>
      </c>
    </row>
    <row r="1114" spans="20:20" x14ac:dyDescent="0.3">
      <c r="T1114" s="47" t="str">
        <f ca="1">IF(R1114="","",IFERROR(TODAY()+VLOOKUP(R1114,REGRAS!$B$2:$C$13,2,0),""))</f>
        <v/>
      </c>
    </row>
    <row r="1115" spans="20:20" x14ac:dyDescent="0.3">
      <c r="T1115" s="47" t="str">
        <f ca="1">IF(R1115="","",IFERROR(TODAY()+VLOOKUP(R1115,REGRAS!$B$2:$C$13,2,0),""))</f>
        <v/>
      </c>
    </row>
    <row r="1116" spans="20:20" x14ac:dyDescent="0.3">
      <c r="T1116" s="47" t="str">
        <f ca="1">IF(R1116="","",IFERROR(TODAY()+VLOOKUP(R1116,REGRAS!$B$2:$C$13,2,0),""))</f>
        <v/>
      </c>
    </row>
    <row r="1117" spans="20:20" x14ac:dyDescent="0.3">
      <c r="T1117" s="47" t="str">
        <f ca="1">IF(R1117="","",IFERROR(TODAY()+VLOOKUP(R1117,REGRAS!$B$2:$C$13,2,0),""))</f>
        <v/>
      </c>
    </row>
    <row r="1118" spans="20:20" x14ac:dyDescent="0.3">
      <c r="T1118" s="47" t="str">
        <f ca="1">IF(R1118="","",IFERROR(TODAY()+VLOOKUP(R1118,REGRAS!$B$2:$C$13,2,0),""))</f>
        <v/>
      </c>
    </row>
    <row r="1119" spans="20:20" x14ac:dyDescent="0.3">
      <c r="T1119" s="47" t="str">
        <f ca="1">IF(R1119="","",IFERROR(TODAY()+VLOOKUP(R1119,REGRAS!$B$2:$C$13,2,0),""))</f>
        <v/>
      </c>
    </row>
    <row r="1120" spans="20:20" x14ac:dyDescent="0.3">
      <c r="T1120" s="47" t="str">
        <f ca="1">IF(R1120="","",IFERROR(TODAY()+VLOOKUP(R1120,REGRAS!$B$2:$C$13,2,0),""))</f>
        <v/>
      </c>
    </row>
    <row r="1121" spans="20:20" x14ac:dyDescent="0.3">
      <c r="T1121" s="47" t="str">
        <f ca="1">IF(R1121="","",IFERROR(TODAY()+VLOOKUP(R1121,REGRAS!$B$2:$C$13,2,0),""))</f>
        <v/>
      </c>
    </row>
    <row r="1122" spans="20:20" x14ac:dyDescent="0.3">
      <c r="T1122" s="47" t="str">
        <f ca="1">IF(R1122="","",IFERROR(TODAY()+VLOOKUP(R1122,REGRAS!$B$2:$C$13,2,0),""))</f>
        <v/>
      </c>
    </row>
    <row r="1123" spans="20:20" x14ac:dyDescent="0.3">
      <c r="T1123" s="47" t="str">
        <f ca="1">IF(R1123="","",IFERROR(TODAY()+VLOOKUP(R1123,REGRAS!$B$2:$C$13,2,0),""))</f>
        <v/>
      </c>
    </row>
    <row r="1124" spans="20:20" x14ac:dyDescent="0.3">
      <c r="T1124" s="47" t="str">
        <f ca="1">IF(R1124="","",IFERROR(TODAY()+VLOOKUP(R1124,REGRAS!$B$2:$C$13,2,0),""))</f>
        <v/>
      </c>
    </row>
    <row r="1125" spans="20:20" x14ac:dyDescent="0.3">
      <c r="T1125" s="47" t="str">
        <f ca="1">IF(R1125="","",IFERROR(TODAY()+VLOOKUP(R1125,REGRAS!$B$2:$C$13,2,0),""))</f>
        <v/>
      </c>
    </row>
    <row r="1126" spans="20:20" x14ac:dyDescent="0.3">
      <c r="T1126" s="47" t="str">
        <f ca="1">IF(R1126="","",IFERROR(TODAY()+VLOOKUP(R1126,REGRAS!$B$2:$C$13,2,0),""))</f>
        <v/>
      </c>
    </row>
    <row r="1127" spans="20:20" x14ac:dyDescent="0.3">
      <c r="T1127" s="47" t="str">
        <f ca="1">IF(R1127="","",IFERROR(TODAY()+VLOOKUP(R1127,REGRAS!$B$2:$C$13,2,0),""))</f>
        <v/>
      </c>
    </row>
    <row r="1128" spans="20:20" x14ac:dyDescent="0.3">
      <c r="T1128" s="47" t="str">
        <f ca="1">IF(R1128="","",IFERROR(TODAY()+VLOOKUP(R1128,REGRAS!$B$2:$C$13,2,0),""))</f>
        <v/>
      </c>
    </row>
    <row r="1129" spans="20:20" x14ac:dyDescent="0.3">
      <c r="T1129" s="47" t="str">
        <f ca="1">IF(R1129="","",IFERROR(TODAY()+VLOOKUP(R1129,REGRAS!$B$2:$C$13,2,0),""))</f>
        <v/>
      </c>
    </row>
    <row r="1130" spans="20:20" x14ac:dyDescent="0.3">
      <c r="T1130" s="47" t="str">
        <f ca="1">IF(R1130="","",IFERROR(TODAY()+VLOOKUP(R1130,REGRAS!$B$2:$C$13,2,0),""))</f>
        <v/>
      </c>
    </row>
    <row r="1131" spans="20:20" x14ac:dyDescent="0.3">
      <c r="T1131" s="47" t="str">
        <f ca="1">IF(R1131="","",IFERROR(TODAY()+VLOOKUP(R1131,REGRAS!$B$2:$C$13,2,0),""))</f>
        <v/>
      </c>
    </row>
    <row r="1132" spans="20:20" x14ac:dyDescent="0.3">
      <c r="T1132" s="47" t="str">
        <f ca="1">IF(R1132="","",IFERROR(TODAY()+VLOOKUP(R1132,REGRAS!$B$2:$C$13,2,0),""))</f>
        <v/>
      </c>
    </row>
    <row r="1133" spans="20:20" x14ac:dyDescent="0.3">
      <c r="T1133" s="47" t="str">
        <f ca="1">IF(R1133="","",IFERROR(TODAY()+VLOOKUP(R1133,REGRAS!$B$2:$C$13,2,0),""))</f>
        <v/>
      </c>
    </row>
    <row r="1134" spans="20:20" x14ac:dyDescent="0.3">
      <c r="T1134" s="47" t="str">
        <f ca="1">IF(R1134="","",IFERROR(TODAY()+VLOOKUP(R1134,REGRAS!$B$2:$C$13,2,0),""))</f>
        <v/>
      </c>
    </row>
    <row r="1135" spans="20:20" x14ac:dyDescent="0.3">
      <c r="T1135" s="47" t="str">
        <f ca="1">IF(R1135="","",IFERROR(TODAY()+VLOOKUP(R1135,REGRAS!$B$2:$C$13,2,0),""))</f>
        <v/>
      </c>
    </row>
    <row r="1136" spans="20:20" x14ac:dyDescent="0.3">
      <c r="T1136" s="47" t="str">
        <f ca="1">IF(R1136="","",IFERROR(TODAY()+VLOOKUP(R1136,REGRAS!$B$2:$C$13,2,0),""))</f>
        <v/>
      </c>
    </row>
    <row r="1137" spans="20:20" x14ac:dyDescent="0.3">
      <c r="T1137" s="47" t="str">
        <f ca="1">IF(R1137="","",IFERROR(TODAY()+VLOOKUP(R1137,REGRAS!$B$2:$C$13,2,0),""))</f>
        <v/>
      </c>
    </row>
    <row r="1138" spans="20:20" x14ac:dyDescent="0.3">
      <c r="T1138" s="47" t="str">
        <f ca="1">IF(R1138="","",IFERROR(TODAY()+VLOOKUP(R1138,REGRAS!$B$2:$C$13,2,0),""))</f>
        <v/>
      </c>
    </row>
    <row r="1139" spans="20:20" x14ac:dyDescent="0.3">
      <c r="T1139" s="47" t="str">
        <f ca="1">IF(R1139="","",IFERROR(TODAY()+VLOOKUP(R1139,REGRAS!$B$2:$C$13,2,0),""))</f>
        <v/>
      </c>
    </row>
    <row r="1140" spans="20:20" x14ac:dyDescent="0.3">
      <c r="T1140" s="47" t="str">
        <f ca="1">IF(R1140="","",IFERROR(TODAY()+VLOOKUP(R1140,REGRAS!$B$2:$C$13,2,0),""))</f>
        <v/>
      </c>
    </row>
    <row r="1141" spans="20:20" x14ac:dyDescent="0.3">
      <c r="T1141" s="47" t="str">
        <f ca="1">IF(R1141="","",IFERROR(TODAY()+VLOOKUP(R1141,REGRAS!$B$2:$C$13,2,0),""))</f>
        <v/>
      </c>
    </row>
    <row r="1142" spans="20:20" x14ac:dyDescent="0.3">
      <c r="T1142" s="47" t="str">
        <f ca="1">IF(R1142="","",IFERROR(TODAY()+VLOOKUP(R1142,REGRAS!$B$2:$C$13,2,0),""))</f>
        <v/>
      </c>
    </row>
    <row r="1143" spans="20:20" x14ac:dyDescent="0.3">
      <c r="T1143" s="47" t="str">
        <f ca="1">IF(R1143="","",IFERROR(TODAY()+VLOOKUP(R1143,REGRAS!$B$2:$C$13,2,0),""))</f>
        <v/>
      </c>
    </row>
    <row r="1144" spans="20:20" x14ac:dyDescent="0.3">
      <c r="T1144" s="47" t="str">
        <f ca="1">IF(R1144="","",IFERROR(TODAY()+VLOOKUP(R1144,REGRAS!$B$2:$C$13,2,0),""))</f>
        <v/>
      </c>
    </row>
    <row r="1145" spans="20:20" x14ac:dyDescent="0.3">
      <c r="T1145" s="47" t="str">
        <f ca="1">IF(R1145="","",IFERROR(TODAY()+VLOOKUP(R1145,REGRAS!$B$2:$C$13,2,0),""))</f>
        <v/>
      </c>
    </row>
    <row r="1146" spans="20:20" x14ac:dyDescent="0.3">
      <c r="T1146" s="47" t="str">
        <f ca="1">IF(R1146="","",IFERROR(TODAY()+VLOOKUP(R1146,REGRAS!$B$2:$C$13,2,0),""))</f>
        <v/>
      </c>
    </row>
    <row r="1147" spans="20:20" x14ac:dyDescent="0.3">
      <c r="T1147" s="47" t="str">
        <f ca="1">IF(R1147="","",IFERROR(TODAY()+VLOOKUP(R1147,REGRAS!$B$2:$C$13,2,0),""))</f>
        <v/>
      </c>
    </row>
    <row r="1148" spans="20:20" x14ac:dyDescent="0.3">
      <c r="T1148" s="47" t="str">
        <f ca="1">IF(R1148="","",IFERROR(TODAY()+VLOOKUP(R1148,REGRAS!$B$2:$C$13,2,0),""))</f>
        <v/>
      </c>
    </row>
    <row r="1149" spans="20:20" x14ac:dyDescent="0.3">
      <c r="T1149" s="47" t="str">
        <f ca="1">IF(R1149="","",IFERROR(TODAY()+VLOOKUP(R1149,REGRAS!$B$2:$C$13,2,0),""))</f>
        <v/>
      </c>
    </row>
    <row r="1150" spans="20:20" x14ac:dyDescent="0.3">
      <c r="T1150" s="47" t="str">
        <f ca="1">IF(R1150="","",IFERROR(TODAY()+VLOOKUP(R1150,REGRAS!$B$2:$C$13,2,0),""))</f>
        <v/>
      </c>
    </row>
    <row r="1151" spans="20:20" x14ac:dyDescent="0.3">
      <c r="T1151" s="47" t="str">
        <f ca="1">IF(R1151="","",IFERROR(TODAY()+VLOOKUP(R1151,REGRAS!$B$2:$C$13,2,0),""))</f>
        <v/>
      </c>
    </row>
    <row r="1152" spans="20:20" x14ac:dyDescent="0.3">
      <c r="T1152" s="47" t="str">
        <f ca="1">IF(R1152="","",IFERROR(TODAY()+VLOOKUP(R1152,REGRAS!$B$2:$C$13,2,0),""))</f>
        <v/>
      </c>
    </row>
    <row r="1153" spans="20:20" x14ac:dyDescent="0.3">
      <c r="T1153" s="47" t="str">
        <f ca="1">IF(R1153="","",IFERROR(TODAY()+VLOOKUP(R1153,REGRAS!$B$2:$C$13,2,0),""))</f>
        <v/>
      </c>
    </row>
    <row r="1154" spans="20:20" x14ac:dyDescent="0.3">
      <c r="T1154" s="47" t="str">
        <f ca="1">IF(R1154="","",IFERROR(TODAY()+VLOOKUP(R1154,REGRAS!$B$2:$C$13,2,0),""))</f>
        <v/>
      </c>
    </row>
    <row r="1155" spans="20:20" x14ac:dyDescent="0.3">
      <c r="T1155" s="47" t="str">
        <f ca="1">IF(R1155="","",IFERROR(TODAY()+VLOOKUP(R1155,REGRAS!$B$2:$C$13,2,0),""))</f>
        <v/>
      </c>
    </row>
    <row r="1156" spans="20:20" x14ac:dyDescent="0.3">
      <c r="T1156" s="47" t="str">
        <f ca="1">IF(R1156="","",IFERROR(TODAY()+VLOOKUP(R1156,REGRAS!$B$2:$C$13,2,0),""))</f>
        <v/>
      </c>
    </row>
    <row r="1157" spans="20:20" x14ac:dyDescent="0.3">
      <c r="T1157" s="47" t="str">
        <f ca="1">IF(R1157="","",IFERROR(TODAY()+VLOOKUP(R1157,REGRAS!$B$2:$C$13,2,0),""))</f>
        <v/>
      </c>
    </row>
    <row r="1158" spans="20:20" x14ac:dyDescent="0.3">
      <c r="T1158" s="47" t="str">
        <f ca="1">IF(R1158="","",IFERROR(TODAY()+VLOOKUP(R1158,REGRAS!$B$2:$C$13,2,0),""))</f>
        <v/>
      </c>
    </row>
    <row r="1159" spans="20:20" x14ac:dyDescent="0.3">
      <c r="T1159" s="47" t="str">
        <f ca="1">IF(R1159="","",IFERROR(TODAY()+VLOOKUP(R1159,REGRAS!$B$2:$C$13,2,0),""))</f>
        <v/>
      </c>
    </row>
    <row r="1160" spans="20:20" x14ac:dyDescent="0.3">
      <c r="T1160" s="47" t="str">
        <f ca="1">IF(R1160="","",IFERROR(TODAY()+VLOOKUP(R1160,REGRAS!$B$2:$C$13,2,0),""))</f>
        <v/>
      </c>
    </row>
    <row r="1161" spans="20:20" x14ac:dyDescent="0.3">
      <c r="T1161" s="47" t="str">
        <f ca="1">IF(R1161="","",IFERROR(TODAY()+VLOOKUP(R1161,REGRAS!$B$2:$C$13,2,0),""))</f>
        <v/>
      </c>
    </row>
    <row r="1162" spans="20:20" x14ac:dyDescent="0.3">
      <c r="T1162" s="47" t="str">
        <f ca="1">IF(R1162="","",IFERROR(TODAY()+VLOOKUP(R1162,REGRAS!$B$2:$C$13,2,0),""))</f>
        <v/>
      </c>
    </row>
    <row r="1163" spans="20:20" x14ac:dyDescent="0.3">
      <c r="T1163" s="47" t="str">
        <f ca="1">IF(R1163="","",IFERROR(TODAY()+VLOOKUP(R1163,REGRAS!$B$2:$C$13,2,0),""))</f>
        <v/>
      </c>
    </row>
    <row r="1164" spans="20:20" x14ac:dyDescent="0.3">
      <c r="T1164" s="47" t="str">
        <f ca="1">IF(R1164="","",IFERROR(TODAY()+VLOOKUP(R1164,REGRAS!$B$2:$C$13,2,0),""))</f>
        <v/>
      </c>
    </row>
    <row r="1165" spans="20:20" x14ac:dyDescent="0.3">
      <c r="T1165" s="47" t="str">
        <f ca="1">IF(R1165="","",IFERROR(TODAY()+VLOOKUP(R1165,REGRAS!$B$2:$C$13,2,0),""))</f>
        <v/>
      </c>
    </row>
    <row r="1166" spans="20:20" x14ac:dyDescent="0.3">
      <c r="T1166" s="47" t="str">
        <f ca="1">IF(R1166="","",IFERROR(TODAY()+VLOOKUP(R1166,REGRAS!$B$2:$C$13,2,0),""))</f>
        <v/>
      </c>
    </row>
    <row r="1167" spans="20:20" x14ac:dyDescent="0.3">
      <c r="T1167" s="47" t="str">
        <f ca="1">IF(R1167="","",IFERROR(TODAY()+VLOOKUP(R1167,REGRAS!$B$2:$C$13,2,0),""))</f>
        <v/>
      </c>
    </row>
    <row r="1168" spans="20:20" x14ac:dyDescent="0.3">
      <c r="T1168" s="47" t="str">
        <f ca="1">IF(R1168="","",IFERROR(TODAY()+VLOOKUP(R1168,REGRAS!$B$2:$C$13,2,0),""))</f>
        <v/>
      </c>
    </row>
    <row r="1169" spans="20:20" x14ac:dyDescent="0.3">
      <c r="T1169" s="47" t="str">
        <f ca="1">IF(R1169="","",IFERROR(TODAY()+VLOOKUP(R1169,REGRAS!$B$2:$C$13,2,0),""))</f>
        <v/>
      </c>
    </row>
    <row r="1170" spans="20:20" x14ac:dyDescent="0.3">
      <c r="T1170" s="47" t="str">
        <f ca="1">IF(R1170="","",IFERROR(TODAY()+VLOOKUP(R1170,REGRAS!$B$2:$C$13,2,0),""))</f>
        <v/>
      </c>
    </row>
    <row r="1171" spans="20:20" x14ac:dyDescent="0.3">
      <c r="T1171" s="47" t="str">
        <f ca="1">IF(R1171="","",IFERROR(TODAY()+VLOOKUP(R1171,REGRAS!$B$2:$C$13,2,0),""))</f>
        <v/>
      </c>
    </row>
    <row r="1172" spans="20:20" x14ac:dyDescent="0.3">
      <c r="T1172" s="47" t="str">
        <f ca="1">IF(R1172="","",IFERROR(TODAY()+VLOOKUP(R1172,REGRAS!$B$2:$C$13,2,0),""))</f>
        <v/>
      </c>
    </row>
    <row r="1173" spans="20:20" x14ac:dyDescent="0.3">
      <c r="T1173" s="47" t="str">
        <f ca="1">IF(R1173="","",IFERROR(TODAY()+VLOOKUP(R1173,REGRAS!$B$2:$C$13,2,0),""))</f>
        <v/>
      </c>
    </row>
    <row r="1174" spans="20:20" x14ac:dyDescent="0.3">
      <c r="T1174" s="47" t="str">
        <f ca="1">IF(R1174="","",IFERROR(TODAY()+VLOOKUP(R1174,REGRAS!$B$2:$C$13,2,0),""))</f>
        <v/>
      </c>
    </row>
    <row r="1175" spans="20:20" x14ac:dyDescent="0.3">
      <c r="T1175" s="47" t="str">
        <f ca="1">IF(R1175="","",IFERROR(TODAY()+VLOOKUP(R1175,REGRAS!$B$2:$C$13,2,0),""))</f>
        <v/>
      </c>
    </row>
    <row r="1176" spans="20:20" x14ac:dyDescent="0.3">
      <c r="T1176" s="47" t="str">
        <f ca="1">IF(R1176="","",IFERROR(TODAY()+VLOOKUP(R1176,REGRAS!$B$2:$C$13,2,0),""))</f>
        <v/>
      </c>
    </row>
    <row r="1177" spans="20:20" x14ac:dyDescent="0.3">
      <c r="T1177" s="47" t="str">
        <f ca="1">IF(R1177="","",IFERROR(TODAY()+VLOOKUP(R1177,REGRAS!$B$2:$C$13,2,0),""))</f>
        <v/>
      </c>
    </row>
    <row r="1178" spans="20:20" x14ac:dyDescent="0.3">
      <c r="T1178" s="47" t="str">
        <f ca="1">IF(R1178="","",IFERROR(TODAY()+VLOOKUP(R1178,REGRAS!$B$2:$C$13,2,0),""))</f>
        <v/>
      </c>
    </row>
    <row r="1179" spans="20:20" x14ac:dyDescent="0.3">
      <c r="T1179" s="47" t="str">
        <f ca="1">IF(R1179="","",IFERROR(TODAY()+VLOOKUP(R1179,REGRAS!$B$2:$C$13,2,0),""))</f>
        <v/>
      </c>
    </row>
    <row r="1180" spans="20:20" x14ac:dyDescent="0.3">
      <c r="T1180" s="47" t="str">
        <f ca="1">IF(R1180="","",IFERROR(TODAY()+VLOOKUP(R1180,REGRAS!$B$2:$C$13,2,0),""))</f>
        <v/>
      </c>
    </row>
    <row r="1181" spans="20:20" x14ac:dyDescent="0.3">
      <c r="T1181" s="47" t="str">
        <f ca="1">IF(R1181="","",IFERROR(TODAY()+VLOOKUP(R1181,REGRAS!$B$2:$C$13,2,0),""))</f>
        <v/>
      </c>
    </row>
    <row r="1182" spans="20:20" x14ac:dyDescent="0.3">
      <c r="T1182" s="47" t="str">
        <f ca="1">IF(R1182="","",IFERROR(TODAY()+VLOOKUP(R1182,REGRAS!$B$2:$C$13,2,0),""))</f>
        <v/>
      </c>
    </row>
    <row r="1183" spans="20:20" x14ac:dyDescent="0.3">
      <c r="T1183" s="47" t="str">
        <f ca="1">IF(R1183="","",IFERROR(TODAY()+VLOOKUP(R1183,REGRAS!$B$2:$C$13,2,0),""))</f>
        <v/>
      </c>
    </row>
    <row r="1184" spans="20:20" x14ac:dyDescent="0.3">
      <c r="T1184" s="47" t="str">
        <f ca="1">IF(R1184="","",IFERROR(TODAY()+VLOOKUP(R1184,REGRAS!$B$2:$C$13,2,0),""))</f>
        <v/>
      </c>
    </row>
    <row r="1185" spans="20:20" x14ac:dyDescent="0.3">
      <c r="T1185" s="47" t="str">
        <f ca="1">IF(R1185="","",IFERROR(TODAY()+VLOOKUP(R1185,REGRAS!$B$2:$C$13,2,0),""))</f>
        <v/>
      </c>
    </row>
    <row r="1186" spans="20:20" x14ac:dyDescent="0.3">
      <c r="T1186" s="47" t="str">
        <f ca="1">IF(R1186="","",IFERROR(TODAY()+VLOOKUP(R1186,REGRAS!$B$2:$C$13,2,0),""))</f>
        <v/>
      </c>
    </row>
    <row r="1187" spans="20:20" x14ac:dyDescent="0.3">
      <c r="T1187" s="47" t="str">
        <f ca="1">IF(R1187="","",IFERROR(TODAY()+VLOOKUP(R1187,REGRAS!$B$2:$C$13,2,0),""))</f>
        <v/>
      </c>
    </row>
    <row r="1188" spans="20:20" x14ac:dyDescent="0.3">
      <c r="T1188" s="47" t="str">
        <f ca="1">IF(R1188="","",IFERROR(TODAY()+VLOOKUP(R1188,REGRAS!$B$2:$C$13,2,0),""))</f>
        <v/>
      </c>
    </row>
    <row r="1189" spans="20:20" x14ac:dyDescent="0.3">
      <c r="T1189" s="47" t="str">
        <f ca="1">IF(R1189="","",IFERROR(TODAY()+VLOOKUP(R1189,REGRAS!$B$2:$C$13,2,0),""))</f>
        <v/>
      </c>
    </row>
    <row r="1190" spans="20:20" x14ac:dyDescent="0.3">
      <c r="T1190" s="47" t="str">
        <f ca="1">IF(R1190="","",IFERROR(TODAY()+VLOOKUP(R1190,REGRAS!$B$2:$C$13,2,0),""))</f>
        <v/>
      </c>
    </row>
    <row r="1191" spans="20:20" x14ac:dyDescent="0.3">
      <c r="T1191" s="47" t="str">
        <f ca="1">IF(R1191="","",IFERROR(TODAY()+VLOOKUP(R1191,REGRAS!$B$2:$C$13,2,0),""))</f>
        <v/>
      </c>
    </row>
    <row r="1192" spans="20:20" x14ac:dyDescent="0.3">
      <c r="T1192" s="47" t="str">
        <f ca="1">IF(R1192="","",IFERROR(TODAY()+VLOOKUP(R1192,REGRAS!$B$2:$C$13,2,0),""))</f>
        <v/>
      </c>
    </row>
    <row r="1193" spans="20:20" x14ac:dyDescent="0.3">
      <c r="T1193" s="47" t="str">
        <f ca="1">IF(R1193="","",IFERROR(TODAY()+VLOOKUP(R1193,REGRAS!$B$2:$C$13,2,0),""))</f>
        <v/>
      </c>
    </row>
    <row r="1194" spans="20:20" x14ac:dyDescent="0.3">
      <c r="T1194" s="47" t="str">
        <f ca="1">IF(R1194="","",IFERROR(TODAY()+VLOOKUP(R1194,REGRAS!$B$2:$C$13,2,0),""))</f>
        <v/>
      </c>
    </row>
    <row r="1195" spans="20:20" x14ac:dyDescent="0.3">
      <c r="T1195" s="47" t="str">
        <f ca="1">IF(R1195="","",IFERROR(TODAY()+VLOOKUP(R1195,REGRAS!$B$2:$C$13,2,0),""))</f>
        <v/>
      </c>
    </row>
    <row r="1196" spans="20:20" x14ac:dyDescent="0.3">
      <c r="T1196" s="47" t="str">
        <f ca="1">IF(R1196="","",IFERROR(TODAY()+VLOOKUP(R1196,REGRAS!$B$2:$C$13,2,0),""))</f>
        <v/>
      </c>
    </row>
    <row r="1197" spans="20:20" x14ac:dyDescent="0.3">
      <c r="T1197" s="47" t="str">
        <f ca="1">IF(R1197="","",IFERROR(TODAY()+VLOOKUP(R1197,REGRAS!$B$2:$C$13,2,0),""))</f>
        <v/>
      </c>
    </row>
    <row r="1198" spans="20:20" x14ac:dyDescent="0.3">
      <c r="T1198" s="47" t="str">
        <f ca="1">IF(R1198="","",IFERROR(TODAY()+VLOOKUP(R1198,REGRAS!$B$2:$C$13,2,0),""))</f>
        <v/>
      </c>
    </row>
    <row r="1199" spans="20:20" x14ac:dyDescent="0.3">
      <c r="T1199" s="47" t="str">
        <f ca="1">IF(R1199="","",IFERROR(TODAY()+VLOOKUP(R1199,REGRAS!$B$2:$C$13,2,0),""))</f>
        <v/>
      </c>
    </row>
    <row r="1200" spans="20:20" x14ac:dyDescent="0.3">
      <c r="T1200" s="47" t="str">
        <f ca="1">IF(R1200="","",IFERROR(TODAY()+VLOOKUP(R1200,REGRAS!$B$2:$C$13,2,0),""))</f>
        <v/>
      </c>
    </row>
    <row r="1201" spans="20:20" x14ac:dyDescent="0.3">
      <c r="T1201" s="47" t="str">
        <f ca="1">IF(R1201="","",IFERROR(TODAY()+VLOOKUP(R1201,REGRAS!$B$2:$C$13,2,0),""))</f>
        <v/>
      </c>
    </row>
    <row r="1202" spans="20:20" x14ac:dyDescent="0.3">
      <c r="T1202" s="47" t="str">
        <f ca="1">IF(R1202="","",IFERROR(TODAY()+VLOOKUP(R1202,REGRAS!$B$2:$C$13,2,0),""))</f>
        <v/>
      </c>
    </row>
    <row r="1203" spans="20:20" x14ac:dyDescent="0.3">
      <c r="T1203" s="47" t="str">
        <f ca="1">IF(R1203="","",IFERROR(TODAY()+VLOOKUP(R1203,REGRAS!$B$2:$C$13,2,0),""))</f>
        <v/>
      </c>
    </row>
    <row r="1204" spans="20:20" x14ac:dyDescent="0.3">
      <c r="T1204" s="47" t="str">
        <f ca="1">IF(R1204="","",IFERROR(TODAY()+VLOOKUP(R1204,REGRAS!$B$2:$C$13,2,0),""))</f>
        <v/>
      </c>
    </row>
    <row r="1205" spans="20:20" x14ac:dyDescent="0.3">
      <c r="T1205" s="47" t="str">
        <f ca="1">IF(R1205="","",IFERROR(TODAY()+VLOOKUP(R1205,REGRAS!$B$2:$C$13,2,0),""))</f>
        <v/>
      </c>
    </row>
    <row r="1206" spans="20:20" x14ac:dyDescent="0.3">
      <c r="T1206" s="47" t="str">
        <f ca="1">IF(R1206="","",IFERROR(TODAY()+VLOOKUP(R1206,REGRAS!$B$2:$C$13,2,0),""))</f>
        <v/>
      </c>
    </row>
    <row r="1207" spans="20:20" x14ac:dyDescent="0.3">
      <c r="T1207" s="47" t="str">
        <f ca="1">IF(R1207="","",IFERROR(TODAY()+VLOOKUP(R1207,REGRAS!$B$2:$C$13,2,0),""))</f>
        <v/>
      </c>
    </row>
    <row r="1208" spans="20:20" x14ac:dyDescent="0.3">
      <c r="T1208" s="47" t="str">
        <f ca="1">IF(R1208="","",IFERROR(TODAY()+VLOOKUP(R1208,REGRAS!$B$2:$C$13,2,0),""))</f>
        <v/>
      </c>
    </row>
    <row r="1209" spans="20:20" x14ac:dyDescent="0.3">
      <c r="T1209" s="47" t="str">
        <f ca="1">IF(R1209="","",IFERROR(TODAY()+VLOOKUP(R1209,REGRAS!$B$2:$C$13,2,0),""))</f>
        <v/>
      </c>
    </row>
    <row r="1210" spans="20:20" x14ac:dyDescent="0.3">
      <c r="T1210" s="47" t="str">
        <f ca="1">IF(R1210="","",IFERROR(TODAY()+VLOOKUP(R1210,REGRAS!$B$2:$C$13,2,0),""))</f>
        <v/>
      </c>
    </row>
    <row r="1211" spans="20:20" x14ac:dyDescent="0.3">
      <c r="T1211" s="47" t="str">
        <f ca="1">IF(R1211="","",IFERROR(TODAY()+VLOOKUP(R1211,REGRAS!$B$2:$C$13,2,0),""))</f>
        <v/>
      </c>
    </row>
    <row r="1212" spans="20:20" x14ac:dyDescent="0.3">
      <c r="T1212" s="47" t="str">
        <f ca="1">IF(R1212="","",IFERROR(TODAY()+VLOOKUP(R1212,REGRAS!$B$2:$C$13,2,0),""))</f>
        <v/>
      </c>
    </row>
    <row r="1213" spans="20:20" x14ac:dyDescent="0.3">
      <c r="T1213" s="47" t="str">
        <f ca="1">IF(R1213="","",IFERROR(TODAY()+VLOOKUP(R1213,REGRAS!$B$2:$C$13,2,0),""))</f>
        <v/>
      </c>
    </row>
    <row r="1214" spans="20:20" x14ac:dyDescent="0.3">
      <c r="T1214" s="47" t="str">
        <f ca="1">IF(R1214="","",IFERROR(TODAY()+VLOOKUP(R1214,REGRAS!$B$2:$C$13,2,0),""))</f>
        <v/>
      </c>
    </row>
    <row r="1215" spans="20:20" x14ac:dyDescent="0.3">
      <c r="T1215" s="47" t="str">
        <f ca="1">IF(R1215="","",IFERROR(TODAY()+VLOOKUP(R1215,REGRAS!$B$2:$C$13,2,0),""))</f>
        <v/>
      </c>
    </row>
    <row r="1216" spans="20:20" x14ac:dyDescent="0.3">
      <c r="T1216" s="47" t="str">
        <f ca="1">IF(R1216="","",IFERROR(TODAY()+VLOOKUP(R1216,REGRAS!$B$2:$C$13,2,0),""))</f>
        <v/>
      </c>
    </row>
    <row r="1217" spans="20:20" x14ac:dyDescent="0.3">
      <c r="T1217" s="47" t="str">
        <f ca="1">IF(R1217="","",IFERROR(TODAY()+VLOOKUP(R1217,REGRAS!$B$2:$C$13,2,0),""))</f>
        <v/>
      </c>
    </row>
    <row r="1218" spans="20:20" x14ac:dyDescent="0.3">
      <c r="T1218" s="47" t="str">
        <f ca="1">IF(R1218="","",IFERROR(TODAY()+VLOOKUP(R1218,REGRAS!$B$2:$C$13,2,0),""))</f>
        <v/>
      </c>
    </row>
    <row r="1219" spans="20:20" x14ac:dyDescent="0.3">
      <c r="T1219" s="47" t="str">
        <f ca="1">IF(R1219="","",IFERROR(TODAY()+VLOOKUP(R1219,REGRAS!$B$2:$C$13,2,0),""))</f>
        <v/>
      </c>
    </row>
    <row r="1220" spans="20:20" x14ac:dyDescent="0.3">
      <c r="T1220" s="47" t="str">
        <f ca="1">IF(R1220="","",IFERROR(TODAY()+VLOOKUP(R1220,REGRAS!$B$2:$C$13,2,0),""))</f>
        <v/>
      </c>
    </row>
    <row r="1221" spans="20:20" x14ac:dyDescent="0.3">
      <c r="T1221" s="47" t="str">
        <f ca="1">IF(R1221="","",IFERROR(TODAY()+VLOOKUP(R1221,REGRAS!$B$2:$C$13,2,0),""))</f>
        <v/>
      </c>
    </row>
    <row r="1222" spans="20:20" x14ac:dyDescent="0.3">
      <c r="T1222" s="47" t="str">
        <f ca="1">IF(R1222="","",IFERROR(TODAY()+VLOOKUP(R1222,REGRAS!$B$2:$C$13,2,0),""))</f>
        <v/>
      </c>
    </row>
    <row r="1223" spans="20:20" x14ac:dyDescent="0.3">
      <c r="T1223" s="47" t="str">
        <f ca="1">IF(R1223="","",IFERROR(TODAY()+VLOOKUP(R1223,REGRAS!$B$2:$C$13,2,0),""))</f>
        <v/>
      </c>
    </row>
    <row r="1224" spans="20:20" x14ac:dyDescent="0.3">
      <c r="T1224" s="47" t="str">
        <f ca="1">IF(R1224="","",IFERROR(TODAY()+VLOOKUP(R1224,REGRAS!$B$2:$C$13,2,0),""))</f>
        <v/>
      </c>
    </row>
    <row r="1225" spans="20:20" x14ac:dyDescent="0.3">
      <c r="T1225" s="47" t="str">
        <f ca="1">IF(R1225="","",IFERROR(TODAY()+VLOOKUP(R1225,REGRAS!$B$2:$C$13,2,0),""))</f>
        <v/>
      </c>
    </row>
    <row r="1226" spans="20:20" x14ac:dyDescent="0.3">
      <c r="T1226" s="47" t="str">
        <f ca="1">IF(R1226="","",IFERROR(TODAY()+VLOOKUP(R1226,REGRAS!$B$2:$C$13,2,0),""))</f>
        <v/>
      </c>
    </row>
    <row r="1227" spans="20:20" x14ac:dyDescent="0.3">
      <c r="T1227" s="47" t="str">
        <f ca="1">IF(R1227="","",IFERROR(TODAY()+VLOOKUP(R1227,REGRAS!$B$2:$C$13,2,0),""))</f>
        <v/>
      </c>
    </row>
    <row r="1228" spans="20:20" x14ac:dyDescent="0.3">
      <c r="T1228" s="47" t="str">
        <f ca="1">IF(R1228="","",IFERROR(TODAY()+VLOOKUP(R1228,REGRAS!$B$2:$C$13,2,0),""))</f>
        <v/>
      </c>
    </row>
    <row r="1229" spans="20:20" x14ac:dyDescent="0.3">
      <c r="T1229" s="47" t="str">
        <f ca="1">IF(R1229="","",IFERROR(TODAY()+VLOOKUP(R1229,REGRAS!$B$2:$C$13,2,0),""))</f>
        <v/>
      </c>
    </row>
    <row r="1230" spans="20:20" x14ac:dyDescent="0.3">
      <c r="T1230" s="47" t="str">
        <f ca="1">IF(R1230="","",IFERROR(TODAY()+VLOOKUP(R1230,REGRAS!$B$2:$C$13,2,0),""))</f>
        <v/>
      </c>
    </row>
    <row r="1231" spans="20:20" x14ac:dyDescent="0.3">
      <c r="T1231" s="47" t="str">
        <f ca="1">IF(R1231="","",IFERROR(TODAY()+VLOOKUP(R1231,REGRAS!$B$2:$C$13,2,0),""))</f>
        <v/>
      </c>
    </row>
    <row r="1232" spans="20:20" x14ac:dyDescent="0.3">
      <c r="T1232" s="47" t="str">
        <f ca="1">IF(R1232="","",IFERROR(TODAY()+VLOOKUP(R1232,REGRAS!$B$2:$C$13,2,0),""))</f>
        <v/>
      </c>
    </row>
    <row r="1233" spans="20:20" x14ac:dyDescent="0.3">
      <c r="T1233" s="47" t="str">
        <f ca="1">IF(R1233="","",IFERROR(TODAY()+VLOOKUP(R1233,REGRAS!$B$2:$C$13,2,0),""))</f>
        <v/>
      </c>
    </row>
    <row r="1234" spans="20:20" x14ac:dyDescent="0.3">
      <c r="T1234" s="47" t="str">
        <f ca="1">IF(R1234="","",IFERROR(TODAY()+VLOOKUP(R1234,REGRAS!$B$2:$C$13,2,0),""))</f>
        <v/>
      </c>
    </row>
    <row r="1235" spans="20:20" x14ac:dyDescent="0.3">
      <c r="T1235" s="47" t="str">
        <f ca="1">IF(R1235="","",IFERROR(TODAY()+VLOOKUP(R1235,REGRAS!$B$2:$C$13,2,0),""))</f>
        <v/>
      </c>
    </row>
    <row r="1236" spans="20:20" x14ac:dyDescent="0.3">
      <c r="T1236" s="47" t="str">
        <f ca="1">IF(R1236="","",IFERROR(TODAY()+VLOOKUP(R1236,REGRAS!$B$2:$C$13,2,0),""))</f>
        <v/>
      </c>
    </row>
    <row r="1237" spans="20:20" x14ac:dyDescent="0.3">
      <c r="T1237" s="47" t="str">
        <f ca="1">IF(R1237="","",IFERROR(TODAY()+VLOOKUP(R1237,REGRAS!$B$2:$C$13,2,0),""))</f>
        <v/>
      </c>
    </row>
    <row r="1238" spans="20:20" x14ac:dyDescent="0.3">
      <c r="T1238" s="47" t="str">
        <f ca="1">IF(R1238="","",IFERROR(TODAY()+VLOOKUP(R1238,REGRAS!$B$2:$C$13,2,0),""))</f>
        <v/>
      </c>
    </row>
    <row r="1239" spans="20:20" x14ac:dyDescent="0.3">
      <c r="T1239" s="47" t="str">
        <f ca="1">IF(R1239="","",IFERROR(TODAY()+VLOOKUP(R1239,REGRAS!$B$2:$C$13,2,0),""))</f>
        <v/>
      </c>
    </row>
    <row r="1240" spans="20:20" x14ac:dyDescent="0.3">
      <c r="T1240" s="47" t="str">
        <f ca="1">IF(R1240="","",IFERROR(TODAY()+VLOOKUP(R1240,REGRAS!$B$2:$C$13,2,0),""))</f>
        <v/>
      </c>
    </row>
    <row r="1241" spans="20:20" x14ac:dyDescent="0.3">
      <c r="T1241" s="47" t="str">
        <f ca="1">IF(R1241="","",IFERROR(TODAY()+VLOOKUP(R1241,REGRAS!$B$2:$C$13,2,0),""))</f>
        <v/>
      </c>
    </row>
    <row r="1242" spans="20:20" x14ac:dyDescent="0.3">
      <c r="T1242" s="47" t="str">
        <f ca="1">IF(R1242="","",IFERROR(TODAY()+VLOOKUP(R1242,REGRAS!$B$2:$C$13,2,0),""))</f>
        <v/>
      </c>
    </row>
    <row r="1243" spans="20:20" x14ac:dyDescent="0.3">
      <c r="T1243" s="47" t="str">
        <f ca="1">IF(R1243="","",IFERROR(TODAY()+VLOOKUP(R1243,REGRAS!$B$2:$C$13,2,0),""))</f>
        <v/>
      </c>
    </row>
    <row r="1244" spans="20:20" x14ac:dyDescent="0.3">
      <c r="T1244" s="47" t="str">
        <f ca="1">IF(R1244="","",IFERROR(TODAY()+VLOOKUP(R1244,REGRAS!$B$2:$C$13,2,0),""))</f>
        <v/>
      </c>
    </row>
    <row r="1245" spans="20:20" x14ac:dyDescent="0.3">
      <c r="T1245" s="47" t="str">
        <f ca="1">IF(R1245="","",IFERROR(TODAY()+VLOOKUP(R1245,REGRAS!$B$2:$C$13,2,0),""))</f>
        <v/>
      </c>
    </row>
    <row r="1246" spans="20:20" x14ac:dyDescent="0.3">
      <c r="T1246" s="47" t="str">
        <f ca="1">IF(R1246="","",IFERROR(TODAY()+VLOOKUP(R1246,REGRAS!$B$2:$C$13,2,0),""))</f>
        <v/>
      </c>
    </row>
    <row r="1247" spans="20:20" x14ac:dyDescent="0.3">
      <c r="T1247" s="47" t="str">
        <f ca="1">IF(R1247="","",IFERROR(TODAY()+VLOOKUP(R1247,REGRAS!$B$2:$C$13,2,0),""))</f>
        <v/>
      </c>
    </row>
    <row r="1248" spans="20:20" x14ac:dyDescent="0.3">
      <c r="T1248" s="47" t="str">
        <f ca="1">IF(R1248="","",IFERROR(TODAY()+VLOOKUP(R1248,REGRAS!$B$2:$C$13,2,0),""))</f>
        <v/>
      </c>
    </row>
    <row r="1249" spans="20:20" x14ac:dyDescent="0.3">
      <c r="T1249" s="47" t="str">
        <f ca="1">IF(R1249="","",IFERROR(TODAY()+VLOOKUP(R1249,REGRAS!$B$2:$C$13,2,0),""))</f>
        <v/>
      </c>
    </row>
    <row r="1250" spans="20:20" x14ac:dyDescent="0.3">
      <c r="T1250" s="47" t="str">
        <f ca="1">IF(R1250="","",IFERROR(TODAY()+VLOOKUP(R1250,REGRAS!$B$2:$C$13,2,0),""))</f>
        <v/>
      </c>
    </row>
    <row r="1251" spans="20:20" x14ac:dyDescent="0.3">
      <c r="T1251" s="47" t="str">
        <f ca="1">IF(R1251="","",IFERROR(TODAY()+VLOOKUP(R1251,REGRAS!$B$2:$C$13,2,0),""))</f>
        <v/>
      </c>
    </row>
    <row r="1252" spans="20:20" x14ac:dyDescent="0.3">
      <c r="T1252" s="47" t="str">
        <f ca="1">IF(R1252="","",IFERROR(TODAY()+VLOOKUP(R1252,REGRAS!$B$2:$C$13,2,0),""))</f>
        <v/>
      </c>
    </row>
    <row r="1253" spans="20:20" x14ac:dyDescent="0.3">
      <c r="T1253" s="47" t="str">
        <f ca="1">IF(R1253="","",IFERROR(TODAY()+VLOOKUP(R1253,REGRAS!$B$2:$C$13,2,0),""))</f>
        <v/>
      </c>
    </row>
    <row r="1254" spans="20:20" x14ac:dyDescent="0.3">
      <c r="T1254" s="47" t="str">
        <f ca="1">IF(R1254="","",IFERROR(TODAY()+VLOOKUP(R1254,REGRAS!$B$2:$C$13,2,0),""))</f>
        <v/>
      </c>
    </row>
    <row r="1255" spans="20:20" x14ac:dyDescent="0.3">
      <c r="T1255" s="47" t="str">
        <f ca="1">IF(R1255="","",IFERROR(TODAY()+VLOOKUP(R1255,REGRAS!$B$2:$C$13,2,0),""))</f>
        <v/>
      </c>
    </row>
    <row r="1256" spans="20:20" x14ac:dyDescent="0.3">
      <c r="T1256" s="47" t="str">
        <f ca="1">IF(R1256="","",IFERROR(TODAY()+VLOOKUP(R1256,REGRAS!$B$2:$C$13,2,0),""))</f>
        <v/>
      </c>
    </row>
    <row r="1257" spans="20:20" x14ac:dyDescent="0.3">
      <c r="T1257" s="47" t="str">
        <f ca="1">IF(R1257="","",IFERROR(TODAY()+VLOOKUP(R1257,REGRAS!$B$2:$C$13,2,0),""))</f>
        <v/>
      </c>
    </row>
    <row r="1258" spans="20:20" x14ac:dyDescent="0.3">
      <c r="T1258" s="47" t="str">
        <f ca="1">IF(R1258="","",IFERROR(TODAY()+VLOOKUP(R1258,REGRAS!$B$2:$C$13,2,0),""))</f>
        <v/>
      </c>
    </row>
    <row r="1259" spans="20:20" x14ac:dyDescent="0.3">
      <c r="T1259" s="47" t="str">
        <f ca="1">IF(R1259="","",IFERROR(TODAY()+VLOOKUP(R1259,REGRAS!$B$2:$C$13,2,0),""))</f>
        <v/>
      </c>
    </row>
    <row r="1260" spans="20:20" x14ac:dyDescent="0.3">
      <c r="T1260" s="47" t="str">
        <f ca="1">IF(R1260="","",IFERROR(TODAY()+VLOOKUP(R1260,REGRAS!$B$2:$C$13,2,0),""))</f>
        <v/>
      </c>
    </row>
    <row r="1261" spans="20:20" x14ac:dyDescent="0.3">
      <c r="T1261" s="47" t="str">
        <f ca="1">IF(R1261="","",IFERROR(TODAY()+VLOOKUP(R1261,REGRAS!$B$2:$C$13,2,0),""))</f>
        <v/>
      </c>
    </row>
    <row r="1262" spans="20:20" x14ac:dyDescent="0.3">
      <c r="T1262" s="47" t="str">
        <f ca="1">IF(R1262="","",IFERROR(TODAY()+VLOOKUP(R1262,REGRAS!$B$2:$C$13,2,0),""))</f>
        <v/>
      </c>
    </row>
    <row r="1263" spans="20:20" x14ac:dyDescent="0.3">
      <c r="T1263" s="47" t="str">
        <f ca="1">IF(R1263="","",IFERROR(TODAY()+VLOOKUP(R1263,REGRAS!$B$2:$C$13,2,0),""))</f>
        <v/>
      </c>
    </row>
    <row r="1264" spans="20:20" x14ac:dyDescent="0.3">
      <c r="T1264" s="47" t="str">
        <f ca="1">IF(R1264="","",IFERROR(TODAY()+VLOOKUP(R1264,REGRAS!$B$2:$C$13,2,0),""))</f>
        <v/>
      </c>
    </row>
    <row r="1265" spans="20:20" x14ac:dyDescent="0.3">
      <c r="T1265" s="47" t="str">
        <f ca="1">IF(R1265="","",IFERROR(TODAY()+VLOOKUP(R1265,REGRAS!$B$2:$C$13,2,0),""))</f>
        <v/>
      </c>
    </row>
    <row r="1266" spans="20:20" x14ac:dyDescent="0.3">
      <c r="T1266" s="47" t="str">
        <f ca="1">IF(R1266="","",IFERROR(TODAY()+VLOOKUP(R1266,REGRAS!$B$2:$C$13,2,0),""))</f>
        <v/>
      </c>
    </row>
    <row r="1267" spans="20:20" x14ac:dyDescent="0.3">
      <c r="T1267" s="47" t="str">
        <f ca="1">IF(R1267="","",IFERROR(TODAY()+VLOOKUP(R1267,REGRAS!$B$2:$C$13,2,0),""))</f>
        <v/>
      </c>
    </row>
    <row r="1268" spans="20:20" x14ac:dyDescent="0.3">
      <c r="T1268" s="47" t="str">
        <f ca="1">IF(R1268="","",IFERROR(TODAY()+VLOOKUP(R1268,REGRAS!$B$2:$C$13,2,0),""))</f>
        <v/>
      </c>
    </row>
    <row r="1269" spans="20:20" x14ac:dyDescent="0.3">
      <c r="T1269" s="47" t="str">
        <f ca="1">IF(R1269="","",IFERROR(TODAY()+VLOOKUP(R1269,REGRAS!$B$2:$C$13,2,0),""))</f>
        <v/>
      </c>
    </row>
    <row r="1270" spans="20:20" x14ac:dyDescent="0.3">
      <c r="T1270" s="47" t="str">
        <f ca="1">IF(R1270="","",IFERROR(TODAY()+VLOOKUP(R1270,REGRAS!$B$2:$C$13,2,0),""))</f>
        <v/>
      </c>
    </row>
    <row r="1271" spans="20:20" x14ac:dyDescent="0.3">
      <c r="T1271" s="47" t="str">
        <f ca="1">IF(R1271="","",IFERROR(TODAY()+VLOOKUP(R1271,REGRAS!$B$2:$C$13,2,0),""))</f>
        <v/>
      </c>
    </row>
    <row r="1272" spans="20:20" x14ac:dyDescent="0.3">
      <c r="T1272" s="47" t="str">
        <f ca="1">IF(R1272="","",IFERROR(TODAY()+VLOOKUP(R1272,REGRAS!$B$2:$C$13,2,0),""))</f>
        <v/>
      </c>
    </row>
    <row r="1273" spans="20:20" x14ac:dyDescent="0.3">
      <c r="T1273" s="47" t="str">
        <f ca="1">IF(R1273="","",IFERROR(TODAY()+VLOOKUP(R1273,REGRAS!$B$2:$C$13,2,0),""))</f>
        <v/>
      </c>
    </row>
    <row r="1274" spans="20:20" x14ac:dyDescent="0.3">
      <c r="T1274" s="47" t="str">
        <f ca="1">IF(R1274="","",IFERROR(TODAY()+VLOOKUP(R1274,REGRAS!$B$2:$C$13,2,0),""))</f>
        <v/>
      </c>
    </row>
    <row r="1275" spans="20:20" x14ac:dyDescent="0.3">
      <c r="T1275" s="47" t="str">
        <f ca="1">IF(R1275="","",IFERROR(TODAY()+VLOOKUP(R1275,REGRAS!$B$2:$C$13,2,0),""))</f>
        <v/>
      </c>
    </row>
    <row r="1276" spans="20:20" x14ac:dyDescent="0.3">
      <c r="T1276" s="47" t="str">
        <f ca="1">IF(R1276="","",IFERROR(TODAY()+VLOOKUP(R1276,REGRAS!$B$2:$C$13,2,0),""))</f>
        <v/>
      </c>
    </row>
    <row r="1277" spans="20:20" x14ac:dyDescent="0.3">
      <c r="T1277" s="47" t="str">
        <f ca="1">IF(R1277="","",IFERROR(TODAY()+VLOOKUP(R1277,REGRAS!$B$2:$C$13,2,0),""))</f>
        <v/>
      </c>
    </row>
    <row r="1278" spans="20:20" x14ac:dyDescent="0.3">
      <c r="T1278" s="47" t="str">
        <f ca="1">IF(R1278="","",IFERROR(TODAY()+VLOOKUP(R1278,REGRAS!$B$2:$C$13,2,0),""))</f>
        <v/>
      </c>
    </row>
    <row r="1279" spans="20:20" x14ac:dyDescent="0.3">
      <c r="T1279" s="47" t="str">
        <f ca="1">IF(R1279="","",IFERROR(TODAY()+VLOOKUP(R1279,REGRAS!$B$2:$C$13,2,0),""))</f>
        <v/>
      </c>
    </row>
    <row r="1280" spans="20:20" x14ac:dyDescent="0.3">
      <c r="T1280" s="47" t="str">
        <f ca="1">IF(R1280="","",IFERROR(TODAY()+VLOOKUP(R1280,REGRAS!$B$2:$C$13,2,0),""))</f>
        <v/>
      </c>
    </row>
    <row r="1281" spans="20:20" x14ac:dyDescent="0.3">
      <c r="T1281" s="47" t="str">
        <f ca="1">IF(R1281="","",IFERROR(TODAY()+VLOOKUP(R1281,REGRAS!$B$2:$C$13,2,0),""))</f>
        <v/>
      </c>
    </row>
    <row r="1282" spans="20:20" x14ac:dyDescent="0.3">
      <c r="T1282" s="47" t="str">
        <f ca="1">IF(R1282="","",IFERROR(TODAY()+VLOOKUP(R1282,REGRAS!$B$2:$C$13,2,0),""))</f>
        <v/>
      </c>
    </row>
    <row r="1283" spans="20:20" x14ac:dyDescent="0.3">
      <c r="T1283" s="47" t="str">
        <f ca="1">IF(R1283="","",IFERROR(TODAY()+VLOOKUP(R1283,REGRAS!$B$2:$C$13,2,0),""))</f>
        <v/>
      </c>
    </row>
    <row r="1284" spans="20:20" x14ac:dyDescent="0.3">
      <c r="T1284" s="47" t="str">
        <f ca="1">IF(R1284="","",IFERROR(TODAY()+VLOOKUP(R1284,REGRAS!$B$2:$C$13,2,0),""))</f>
        <v/>
      </c>
    </row>
    <row r="1285" spans="20:20" x14ac:dyDescent="0.3">
      <c r="T1285" s="47" t="str">
        <f ca="1">IF(R1285="","",IFERROR(TODAY()+VLOOKUP(R1285,REGRAS!$B$2:$C$13,2,0),""))</f>
        <v/>
      </c>
    </row>
    <row r="1286" spans="20:20" x14ac:dyDescent="0.3">
      <c r="T1286" s="47" t="str">
        <f ca="1">IF(R1286="","",IFERROR(TODAY()+VLOOKUP(R1286,REGRAS!$B$2:$C$13,2,0),""))</f>
        <v/>
      </c>
    </row>
    <row r="1287" spans="20:20" x14ac:dyDescent="0.3">
      <c r="T1287" s="47" t="str">
        <f ca="1">IF(R1287="","",IFERROR(TODAY()+VLOOKUP(R1287,REGRAS!$B$2:$C$13,2,0),""))</f>
        <v/>
      </c>
    </row>
    <row r="1288" spans="20:20" x14ac:dyDescent="0.3">
      <c r="T1288" s="47" t="str">
        <f ca="1">IF(R1288="","",IFERROR(TODAY()+VLOOKUP(R1288,REGRAS!$B$2:$C$13,2,0),""))</f>
        <v/>
      </c>
    </row>
    <row r="1289" spans="20:20" x14ac:dyDescent="0.3">
      <c r="T1289" s="47" t="str">
        <f ca="1">IF(R1289="","",IFERROR(TODAY()+VLOOKUP(R1289,REGRAS!$B$2:$C$13,2,0),""))</f>
        <v/>
      </c>
    </row>
    <row r="1290" spans="20:20" x14ac:dyDescent="0.3">
      <c r="T1290" s="47" t="str">
        <f ca="1">IF(R1290="","",IFERROR(TODAY()+VLOOKUP(R1290,REGRAS!$B$2:$C$13,2,0),""))</f>
        <v/>
      </c>
    </row>
    <row r="1291" spans="20:20" x14ac:dyDescent="0.3">
      <c r="T1291" s="47" t="str">
        <f ca="1">IF(R1291="","",IFERROR(TODAY()+VLOOKUP(R1291,REGRAS!$B$2:$C$13,2,0),""))</f>
        <v/>
      </c>
    </row>
    <row r="1292" spans="20:20" x14ac:dyDescent="0.3">
      <c r="T1292" s="47" t="str">
        <f ca="1">IF(R1292="","",IFERROR(TODAY()+VLOOKUP(R1292,REGRAS!$B$2:$C$13,2,0),""))</f>
        <v/>
      </c>
    </row>
    <row r="1293" spans="20:20" x14ac:dyDescent="0.3">
      <c r="T1293" s="47" t="str">
        <f ca="1">IF(R1293="","",IFERROR(TODAY()+VLOOKUP(R1293,REGRAS!$B$2:$C$13,2,0),""))</f>
        <v/>
      </c>
    </row>
    <row r="1294" spans="20:20" x14ac:dyDescent="0.3">
      <c r="T1294" s="47" t="str">
        <f ca="1">IF(R1294="","",IFERROR(TODAY()+VLOOKUP(R1294,REGRAS!$B$2:$C$13,2,0),""))</f>
        <v/>
      </c>
    </row>
    <row r="1295" spans="20:20" x14ac:dyDescent="0.3">
      <c r="T1295" s="47" t="str">
        <f ca="1">IF(R1295="","",IFERROR(TODAY()+VLOOKUP(R1295,REGRAS!$B$2:$C$13,2,0),""))</f>
        <v/>
      </c>
    </row>
    <row r="1296" spans="20:20" x14ac:dyDescent="0.3">
      <c r="T1296" s="47" t="str">
        <f ca="1">IF(R1296="","",IFERROR(TODAY()+VLOOKUP(R1296,REGRAS!$B$2:$C$13,2,0),""))</f>
        <v/>
      </c>
    </row>
    <row r="1297" spans="20:20" x14ac:dyDescent="0.3">
      <c r="T1297" s="47" t="str">
        <f ca="1">IF(R1297="","",IFERROR(TODAY()+VLOOKUP(R1297,REGRAS!$B$2:$C$13,2,0),""))</f>
        <v/>
      </c>
    </row>
    <row r="1298" spans="20:20" x14ac:dyDescent="0.3">
      <c r="T1298" s="47" t="str">
        <f ca="1">IF(R1298="","",IFERROR(TODAY()+VLOOKUP(R1298,REGRAS!$B$2:$C$13,2,0),""))</f>
        <v/>
      </c>
    </row>
    <row r="1299" spans="20:20" x14ac:dyDescent="0.3">
      <c r="T1299" s="47" t="str">
        <f ca="1">IF(R1299="","",IFERROR(TODAY()+VLOOKUP(R1299,REGRAS!$B$2:$C$13,2,0),""))</f>
        <v/>
      </c>
    </row>
    <row r="1300" spans="20:20" x14ac:dyDescent="0.3">
      <c r="T1300" s="47" t="str">
        <f ca="1">IF(R1300="","",IFERROR(TODAY()+VLOOKUP(R1300,REGRAS!$B$2:$C$13,2,0),""))</f>
        <v/>
      </c>
    </row>
    <row r="1301" spans="20:20" x14ac:dyDescent="0.3">
      <c r="T1301" s="47" t="str">
        <f ca="1">IF(R1301="","",IFERROR(TODAY()+VLOOKUP(R1301,REGRAS!$B$2:$C$13,2,0),""))</f>
        <v/>
      </c>
    </row>
    <row r="1302" spans="20:20" x14ac:dyDescent="0.3">
      <c r="T1302" s="47" t="str">
        <f ca="1">IF(R1302="","",IFERROR(TODAY()+VLOOKUP(R1302,REGRAS!$B$2:$C$13,2,0),""))</f>
        <v/>
      </c>
    </row>
    <row r="1303" spans="20:20" x14ac:dyDescent="0.3">
      <c r="T1303" s="47" t="str">
        <f ca="1">IF(R1303="","",IFERROR(TODAY()+VLOOKUP(R1303,REGRAS!$B$2:$C$13,2,0),""))</f>
        <v/>
      </c>
    </row>
    <row r="1304" spans="20:20" x14ac:dyDescent="0.3">
      <c r="T1304" s="47" t="str">
        <f ca="1">IF(R1304="","",IFERROR(TODAY()+VLOOKUP(R1304,REGRAS!$B$2:$C$13,2,0),""))</f>
        <v/>
      </c>
    </row>
    <row r="1305" spans="20:20" x14ac:dyDescent="0.3">
      <c r="T1305" s="47" t="str">
        <f ca="1">IF(R1305="","",IFERROR(TODAY()+VLOOKUP(R1305,REGRAS!$B$2:$C$13,2,0),""))</f>
        <v/>
      </c>
    </row>
    <row r="1306" spans="20:20" x14ac:dyDescent="0.3">
      <c r="T1306" s="47" t="str">
        <f ca="1">IF(R1306="","",IFERROR(TODAY()+VLOOKUP(R1306,REGRAS!$B$2:$C$13,2,0),""))</f>
        <v/>
      </c>
    </row>
    <row r="1307" spans="20:20" x14ac:dyDescent="0.3">
      <c r="T1307" s="47" t="str">
        <f ca="1">IF(R1307="","",IFERROR(TODAY()+VLOOKUP(R1307,REGRAS!$B$2:$C$13,2,0),""))</f>
        <v/>
      </c>
    </row>
    <row r="1308" spans="20:20" x14ac:dyDescent="0.3">
      <c r="T1308" s="47" t="str">
        <f ca="1">IF(R1308="","",IFERROR(TODAY()+VLOOKUP(R1308,REGRAS!$B$2:$C$13,2,0),""))</f>
        <v/>
      </c>
    </row>
    <row r="1309" spans="20:20" x14ac:dyDescent="0.3">
      <c r="T1309" s="47" t="str">
        <f ca="1">IF(R1309="","",IFERROR(TODAY()+VLOOKUP(R1309,REGRAS!$B$2:$C$13,2,0),""))</f>
        <v/>
      </c>
    </row>
    <row r="1310" spans="20:20" x14ac:dyDescent="0.3">
      <c r="T1310" s="47" t="str">
        <f ca="1">IF(R1310="","",IFERROR(TODAY()+VLOOKUP(R1310,REGRAS!$B$2:$C$13,2,0),""))</f>
        <v/>
      </c>
    </row>
    <row r="1311" spans="20:20" x14ac:dyDescent="0.3">
      <c r="T1311" s="47" t="str">
        <f ca="1">IF(R1311="","",IFERROR(TODAY()+VLOOKUP(R1311,REGRAS!$B$2:$C$13,2,0),""))</f>
        <v/>
      </c>
    </row>
    <row r="1312" spans="20:20" x14ac:dyDescent="0.3">
      <c r="T1312" s="47" t="str">
        <f ca="1">IF(R1312="","",IFERROR(TODAY()+VLOOKUP(R1312,REGRAS!$B$2:$C$13,2,0),""))</f>
        <v/>
      </c>
    </row>
    <row r="1313" spans="20:20" x14ac:dyDescent="0.3">
      <c r="T1313" s="47" t="str">
        <f ca="1">IF(R1313="","",IFERROR(TODAY()+VLOOKUP(R1313,REGRAS!$B$2:$C$13,2,0),""))</f>
        <v/>
      </c>
    </row>
    <row r="1314" spans="20:20" x14ac:dyDescent="0.3">
      <c r="T1314" s="47" t="str">
        <f ca="1">IF(R1314="","",IFERROR(TODAY()+VLOOKUP(R1314,REGRAS!$B$2:$C$13,2,0),""))</f>
        <v/>
      </c>
    </row>
    <row r="1315" spans="20:20" x14ac:dyDescent="0.3">
      <c r="T1315" s="47" t="str">
        <f ca="1">IF(R1315="","",IFERROR(TODAY()+VLOOKUP(R1315,REGRAS!$B$2:$C$13,2,0),""))</f>
        <v/>
      </c>
    </row>
    <row r="1316" spans="20:20" x14ac:dyDescent="0.3">
      <c r="T1316" s="47" t="str">
        <f ca="1">IF(R1316="","",IFERROR(TODAY()+VLOOKUP(R1316,REGRAS!$B$2:$C$13,2,0),""))</f>
        <v/>
      </c>
    </row>
    <row r="1317" spans="20:20" x14ac:dyDescent="0.3">
      <c r="T1317" s="47" t="str">
        <f ca="1">IF(R1317="","",IFERROR(TODAY()+VLOOKUP(R1317,REGRAS!$B$2:$C$13,2,0),""))</f>
        <v/>
      </c>
    </row>
    <row r="1318" spans="20:20" x14ac:dyDescent="0.3">
      <c r="T1318" s="47" t="str">
        <f ca="1">IF(R1318="","",IFERROR(TODAY()+VLOOKUP(R1318,REGRAS!$B$2:$C$13,2,0),""))</f>
        <v/>
      </c>
    </row>
    <row r="1319" spans="20:20" x14ac:dyDescent="0.3">
      <c r="T1319" s="47" t="str">
        <f ca="1">IF(R1319="","",IFERROR(TODAY()+VLOOKUP(R1319,REGRAS!$B$2:$C$13,2,0),""))</f>
        <v/>
      </c>
    </row>
    <row r="1320" spans="20:20" x14ac:dyDescent="0.3">
      <c r="T1320" s="47" t="str">
        <f ca="1">IF(R1320="","",IFERROR(TODAY()+VLOOKUP(R1320,REGRAS!$B$2:$C$13,2,0),""))</f>
        <v/>
      </c>
    </row>
    <row r="1321" spans="20:20" x14ac:dyDescent="0.3">
      <c r="T1321" s="47" t="str">
        <f ca="1">IF(R1321="","",IFERROR(TODAY()+VLOOKUP(R1321,REGRAS!$B$2:$C$13,2,0),""))</f>
        <v/>
      </c>
    </row>
    <row r="1322" spans="20:20" x14ac:dyDescent="0.3">
      <c r="T1322" s="47" t="str">
        <f ca="1">IF(R1322="","",IFERROR(TODAY()+VLOOKUP(R1322,REGRAS!$B$2:$C$13,2,0),""))</f>
        <v/>
      </c>
    </row>
    <row r="1323" spans="20:20" x14ac:dyDescent="0.3">
      <c r="T1323" s="47" t="str">
        <f ca="1">IF(R1323="","",IFERROR(TODAY()+VLOOKUP(R1323,REGRAS!$B$2:$C$13,2,0),""))</f>
        <v/>
      </c>
    </row>
    <row r="1324" spans="20:20" x14ac:dyDescent="0.3">
      <c r="T1324" s="47" t="str">
        <f ca="1">IF(R1324="","",IFERROR(TODAY()+VLOOKUP(R1324,REGRAS!$B$2:$C$13,2,0),""))</f>
        <v/>
      </c>
    </row>
    <row r="1325" spans="20:20" x14ac:dyDescent="0.3">
      <c r="T1325" s="47" t="str">
        <f ca="1">IF(R1325="","",IFERROR(TODAY()+VLOOKUP(R1325,REGRAS!$B$2:$C$13,2,0),""))</f>
        <v/>
      </c>
    </row>
    <row r="1326" spans="20:20" x14ac:dyDescent="0.3">
      <c r="T1326" s="47" t="str">
        <f ca="1">IF(R1326="","",IFERROR(TODAY()+VLOOKUP(R1326,REGRAS!$B$2:$C$13,2,0),""))</f>
        <v/>
      </c>
    </row>
    <row r="1327" spans="20:20" x14ac:dyDescent="0.3">
      <c r="T1327" s="47" t="str">
        <f ca="1">IF(R1327="","",IFERROR(TODAY()+VLOOKUP(R1327,REGRAS!$B$2:$C$13,2,0),""))</f>
        <v/>
      </c>
    </row>
    <row r="1328" spans="20:20" x14ac:dyDescent="0.3">
      <c r="T1328" s="47" t="str">
        <f ca="1">IF(R1328="","",IFERROR(TODAY()+VLOOKUP(R1328,REGRAS!$B$2:$C$13,2,0),""))</f>
        <v/>
      </c>
    </row>
    <row r="1329" spans="20:20" x14ac:dyDescent="0.3">
      <c r="T1329" s="47" t="str">
        <f ca="1">IF(R1329="","",IFERROR(TODAY()+VLOOKUP(R1329,REGRAS!$B$2:$C$13,2,0),""))</f>
        <v/>
      </c>
    </row>
    <row r="1330" spans="20:20" x14ac:dyDescent="0.3">
      <c r="T1330" s="47" t="str">
        <f ca="1">IF(R1330="","",IFERROR(TODAY()+VLOOKUP(R1330,REGRAS!$B$2:$C$13,2,0),""))</f>
        <v/>
      </c>
    </row>
    <row r="1331" spans="20:20" x14ac:dyDescent="0.3">
      <c r="T1331" s="47" t="str">
        <f ca="1">IF(R1331="","",IFERROR(TODAY()+VLOOKUP(R1331,REGRAS!$B$2:$C$13,2,0),""))</f>
        <v/>
      </c>
    </row>
    <row r="1332" spans="20:20" x14ac:dyDescent="0.3">
      <c r="T1332" s="47" t="str">
        <f ca="1">IF(R1332="","",IFERROR(TODAY()+VLOOKUP(R1332,REGRAS!$B$2:$C$13,2,0),""))</f>
        <v/>
      </c>
    </row>
    <row r="1333" spans="20:20" x14ac:dyDescent="0.3">
      <c r="T1333" s="47" t="str">
        <f ca="1">IF(R1333="","",IFERROR(TODAY()+VLOOKUP(R1333,REGRAS!$B$2:$C$13,2,0),""))</f>
        <v/>
      </c>
    </row>
    <row r="1334" spans="20:20" x14ac:dyDescent="0.3">
      <c r="T1334" s="47" t="str">
        <f ca="1">IF(R1334="","",IFERROR(TODAY()+VLOOKUP(R1334,REGRAS!$B$2:$C$13,2,0),""))</f>
        <v/>
      </c>
    </row>
    <row r="1335" spans="20:20" x14ac:dyDescent="0.3">
      <c r="T1335" s="47" t="str">
        <f ca="1">IF(R1335="","",IFERROR(TODAY()+VLOOKUP(R1335,REGRAS!$B$2:$C$13,2,0),""))</f>
        <v/>
      </c>
    </row>
    <row r="1336" spans="20:20" x14ac:dyDescent="0.3">
      <c r="T1336" s="47" t="str">
        <f ca="1">IF(R1336="","",IFERROR(TODAY()+VLOOKUP(R1336,REGRAS!$B$2:$C$13,2,0),""))</f>
        <v/>
      </c>
    </row>
    <row r="1337" spans="20:20" x14ac:dyDescent="0.3">
      <c r="T1337" s="47" t="str">
        <f ca="1">IF(R1337="","",IFERROR(TODAY()+VLOOKUP(R1337,REGRAS!$B$2:$C$13,2,0),""))</f>
        <v/>
      </c>
    </row>
    <row r="1338" spans="20:20" x14ac:dyDescent="0.3">
      <c r="T1338" s="47" t="str">
        <f ca="1">IF(R1338="","",IFERROR(TODAY()+VLOOKUP(R1338,REGRAS!$B$2:$C$13,2,0),""))</f>
        <v/>
      </c>
    </row>
    <row r="1339" spans="20:20" x14ac:dyDescent="0.3">
      <c r="T1339" s="47" t="str">
        <f ca="1">IF(R1339="","",IFERROR(TODAY()+VLOOKUP(R1339,REGRAS!$B$2:$C$13,2,0),""))</f>
        <v/>
      </c>
    </row>
    <row r="1340" spans="20:20" x14ac:dyDescent="0.3">
      <c r="T1340" s="47" t="str">
        <f ca="1">IF(R1340="","",IFERROR(TODAY()+VLOOKUP(R1340,REGRAS!$B$2:$C$13,2,0),""))</f>
        <v/>
      </c>
    </row>
    <row r="1341" spans="20:20" x14ac:dyDescent="0.3">
      <c r="T1341" s="47" t="str">
        <f ca="1">IF(R1341="","",IFERROR(TODAY()+VLOOKUP(R1341,REGRAS!$B$2:$C$13,2,0),""))</f>
        <v/>
      </c>
    </row>
    <row r="1342" spans="20:20" x14ac:dyDescent="0.3">
      <c r="T1342" s="47" t="str">
        <f ca="1">IF(R1342="","",IFERROR(TODAY()+VLOOKUP(R1342,REGRAS!$B$2:$C$13,2,0),""))</f>
        <v/>
      </c>
    </row>
    <row r="1343" spans="20:20" x14ac:dyDescent="0.3">
      <c r="T1343" s="47" t="str">
        <f ca="1">IF(R1343="","",IFERROR(TODAY()+VLOOKUP(R1343,REGRAS!$B$2:$C$13,2,0),""))</f>
        <v/>
      </c>
    </row>
    <row r="1344" spans="20:20" x14ac:dyDescent="0.3">
      <c r="T1344" s="47" t="str">
        <f ca="1">IF(R1344="","",IFERROR(TODAY()+VLOOKUP(R1344,REGRAS!$B$2:$C$13,2,0),""))</f>
        <v/>
      </c>
    </row>
    <row r="1345" spans="20:20" x14ac:dyDescent="0.3">
      <c r="T1345" s="47" t="str">
        <f ca="1">IF(R1345="","",IFERROR(TODAY()+VLOOKUP(R1345,REGRAS!$B$2:$C$13,2,0),""))</f>
        <v/>
      </c>
    </row>
    <row r="1346" spans="20:20" x14ac:dyDescent="0.3">
      <c r="T1346" s="47" t="str">
        <f ca="1">IF(R1346="","",IFERROR(TODAY()+VLOOKUP(R1346,REGRAS!$B$2:$C$13,2,0),""))</f>
        <v/>
      </c>
    </row>
    <row r="1347" spans="20:20" x14ac:dyDescent="0.3">
      <c r="T1347" s="47" t="str">
        <f ca="1">IF(R1347="","",IFERROR(TODAY()+VLOOKUP(R1347,REGRAS!$B$2:$C$13,2,0),""))</f>
        <v/>
      </c>
    </row>
    <row r="1348" spans="20:20" x14ac:dyDescent="0.3">
      <c r="T1348" s="47" t="str">
        <f ca="1">IF(R1348="","",IFERROR(TODAY()+VLOOKUP(R1348,REGRAS!$B$2:$C$13,2,0),""))</f>
        <v/>
      </c>
    </row>
    <row r="1349" spans="20:20" x14ac:dyDescent="0.3">
      <c r="T1349" s="47" t="str">
        <f ca="1">IF(R1349="","",IFERROR(TODAY()+VLOOKUP(R1349,REGRAS!$B$2:$C$13,2,0),""))</f>
        <v/>
      </c>
    </row>
    <row r="1350" spans="20:20" x14ac:dyDescent="0.3">
      <c r="T1350" s="47" t="str">
        <f ca="1">IF(R1350="","",IFERROR(TODAY()+VLOOKUP(R1350,REGRAS!$B$2:$C$13,2,0),""))</f>
        <v/>
      </c>
    </row>
    <row r="1351" spans="20:20" x14ac:dyDescent="0.3">
      <c r="T1351" s="47" t="str">
        <f ca="1">IF(R1351="","",IFERROR(TODAY()+VLOOKUP(R1351,REGRAS!$B$2:$C$13,2,0),""))</f>
        <v/>
      </c>
    </row>
    <row r="1352" spans="20:20" x14ac:dyDescent="0.3">
      <c r="T1352" s="47" t="str">
        <f ca="1">IF(R1352="","",IFERROR(TODAY()+VLOOKUP(R1352,REGRAS!$B$2:$C$13,2,0),""))</f>
        <v/>
      </c>
    </row>
    <row r="1353" spans="20:20" x14ac:dyDescent="0.3">
      <c r="T1353" s="47" t="str">
        <f ca="1">IF(R1353="","",IFERROR(TODAY()+VLOOKUP(R1353,REGRAS!$B$2:$C$13,2,0),""))</f>
        <v/>
      </c>
    </row>
    <row r="1354" spans="20:20" x14ac:dyDescent="0.3">
      <c r="T1354" s="47" t="str">
        <f ca="1">IF(R1354="","",IFERROR(TODAY()+VLOOKUP(R1354,REGRAS!$B$2:$C$13,2,0),""))</f>
        <v/>
      </c>
    </row>
    <row r="1355" spans="20:20" x14ac:dyDescent="0.3">
      <c r="T1355" s="47" t="str">
        <f ca="1">IF(R1355="","",IFERROR(TODAY()+VLOOKUP(R1355,REGRAS!$B$2:$C$13,2,0),""))</f>
        <v/>
      </c>
    </row>
    <row r="1356" spans="20:20" x14ac:dyDescent="0.3">
      <c r="T1356" s="47" t="str">
        <f ca="1">IF(R1356="","",IFERROR(TODAY()+VLOOKUP(R1356,REGRAS!$B$2:$C$13,2,0),""))</f>
        <v/>
      </c>
    </row>
    <row r="1357" spans="20:20" x14ac:dyDescent="0.3">
      <c r="T1357" s="47" t="str">
        <f ca="1">IF(R1357="","",IFERROR(TODAY()+VLOOKUP(R1357,REGRAS!$B$2:$C$13,2,0),""))</f>
        <v/>
      </c>
    </row>
    <row r="1358" spans="20:20" x14ac:dyDescent="0.3">
      <c r="T1358" s="47" t="str">
        <f ca="1">IF(R1358="","",IFERROR(TODAY()+VLOOKUP(R1358,REGRAS!$B$2:$C$13,2,0),""))</f>
        <v/>
      </c>
    </row>
    <row r="1359" spans="20:20" x14ac:dyDescent="0.3">
      <c r="T1359" s="47" t="str">
        <f ca="1">IF(R1359="","",IFERROR(TODAY()+VLOOKUP(R1359,REGRAS!$B$2:$C$13,2,0),""))</f>
        <v/>
      </c>
    </row>
    <row r="1360" spans="20:20" x14ac:dyDescent="0.3">
      <c r="T1360" s="47" t="str">
        <f ca="1">IF(R1360="","",IFERROR(TODAY()+VLOOKUP(R1360,REGRAS!$B$2:$C$13,2,0),""))</f>
        <v/>
      </c>
    </row>
    <row r="1361" spans="20:20" x14ac:dyDescent="0.3">
      <c r="T1361" s="47" t="str">
        <f ca="1">IF(R1361="","",IFERROR(TODAY()+VLOOKUP(R1361,REGRAS!$B$2:$C$13,2,0),""))</f>
        <v/>
      </c>
    </row>
    <row r="1362" spans="20:20" x14ac:dyDescent="0.3">
      <c r="T1362" s="47" t="str">
        <f ca="1">IF(R1362="","",IFERROR(TODAY()+VLOOKUP(R1362,REGRAS!$B$2:$C$13,2,0),""))</f>
        <v/>
      </c>
    </row>
    <row r="1363" spans="20:20" x14ac:dyDescent="0.3">
      <c r="T1363" s="47" t="str">
        <f ca="1">IF(R1363="","",IFERROR(TODAY()+VLOOKUP(R1363,REGRAS!$B$2:$C$13,2,0),""))</f>
        <v/>
      </c>
    </row>
    <row r="1364" spans="20:20" x14ac:dyDescent="0.3">
      <c r="T1364" s="47" t="str">
        <f ca="1">IF(R1364="","",IFERROR(TODAY()+VLOOKUP(R1364,REGRAS!$B$2:$C$13,2,0),""))</f>
        <v/>
      </c>
    </row>
    <row r="1365" spans="20:20" x14ac:dyDescent="0.3">
      <c r="T1365" s="47" t="str">
        <f ca="1">IF(R1365="","",IFERROR(TODAY()+VLOOKUP(R1365,REGRAS!$B$2:$C$13,2,0),""))</f>
        <v/>
      </c>
    </row>
    <row r="1366" spans="20:20" x14ac:dyDescent="0.3">
      <c r="T1366" s="47" t="str">
        <f ca="1">IF(R1366="","",IFERROR(TODAY()+VLOOKUP(R1366,REGRAS!$B$2:$C$13,2,0),""))</f>
        <v/>
      </c>
    </row>
    <row r="1367" spans="20:20" x14ac:dyDescent="0.3">
      <c r="T1367" s="47" t="str">
        <f ca="1">IF(R1367="","",IFERROR(TODAY()+VLOOKUP(R1367,REGRAS!$B$2:$C$13,2,0),""))</f>
        <v/>
      </c>
    </row>
    <row r="1368" spans="20:20" x14ac:dyDescent="0.3">
      <c r="T1368" s="47" t="str">
        <f ca="1">IF(R1368="","",IFERROR(TODAY()+VLOOKUP(R1368,REGRAS!$B$2:$C$13,2,0),""))</f>
        <v/>
      </c>
    </row>
    <row r="1369" spans="20:20" x14ac:dyDescent="0.3">
      <c r="T1369" s="47" t="str">
        <f ca="1">IF(R1369="","",IFERROR(TODAY()+VLOOKUP(R1369,REGRAS!$B$2:$C$13,2,0),""))</f>
        <v/>
      </c>
    </row>
    <row r="1370" spans="20:20" x14ac:dyDescent="0.3">
      <c r="T1370" s="47" t="str">
        <f ca="1">IF(R1370="","",IFERROR(TODAY()+VLOOKUP(R1370,REGRAS!$B$2:$C$13,2,0),""))</f>
        <v/>
      </c>
    </row>
    <row r="1371" spans="20:20" x14ac:dyDescent="0.3">
      <c r="T1371" s="47" t="str">
        <f ca="1">IF(R1371="","",IFERROR(TODAY()+VLOOKUP(R1371,REGRAS!$B$2:$C$13,2,0),""))</f>
        <v/>
      </c>
    </row>
    <row r="1372" spans="20:20" x14ac:dyDescent="0.3">
      <c r="T1372" s="47" t="str">
        <f ca="1">IF(R1372="","",IFERROR(TODAY()+VLOOKUP(R1372,REGRAS!$B$2:$C$13,2,0),""))</f>
        <v/>
      </c>
    </row>
    <row r="1373" spans="20:20" x14ac:dyDescent="0.3">
      <c r="T1373" s="47" t="str">
        <f ca="1">IF(R1373="","",IFERROR(TODAY()+VLOOKUP(R1373,REGRAS!$B$2:$C$13,2,0),""))</f>
        <v/>
      </c>
    </row>
    <row r="1374" spans="20:20" x14ac:dyDescent="0.3">
      <c r="T1374" s="47" t="str">
        <f ca="1">IF(R1374="","",IFERROR(TODAY()+VLOOKUP(R1374,REGRAS!$B$2:$C$13,2,0),""))</f>
        <v/>
      </c>
    </row>
    <row r="1375" spans="20:20" x14ac:dyDescent="0.3">
      <c r="T1375" s="47" t="str">
        <f ca="1">IF(R1375="","",IFERROR(TODAY()+VLOOKUP(R1375,REGRAS!$B$2:$C$13,2,0),""))</f>
        <v/>
      </c>
    </row>
    <row r="1376" spans="20:20" x14ac:dyDescent="0.3">
      <c r="T1376" s="47" t="str">
        <f ca="1">IF(R1376="","",IFERROR(TODAY()+VLOOKUP(R1376,REGRAS!$B$2:$C$13,2,0),""))</f>
        <v/>
      </c>
    </row>
    <row r="1377" spans="20:20" x14ac:dyDescent="0.3">
      <c r="T1377" s="47" t="str">
        <f ca="1">IF(R1377="","",IFERROR(TODAY()+VLOOKUP(R1377,REGRAS!$B$2:$C$13,2,0),""))</f>
        <v/>
      </c>
    </row>
    <row r="1378" spans="20:20" x14ac:dyDescent="0.3">
      <c r="T1378" s="47" t="str">
        <f ca="1">IF(R1378="","",IFERROR(TODAY()+VLOOKUP(R1378,REGRAS!$B$2:$C$13,2,0),""))</f>
        <v/>
      </c>
    </row>
    <row r="1379" spans="20:20" x14ac:dyDescent="0.3">
      <c r="T1379" s="47" t="str">
        <f ca="1">IF(R1379="","",IFERROR(TODAY()+VLOOKUP(R1379,REGRAS!$B$2:$C$13,2,0),""))</f>
        <v/>
      </c>
    </row>
    <row r="1380" spans="20:20" x14ac:dyDescent="0.3">
      <c r="T1380" s="47" t="str">
        <f ca="1">IF(R1380="","",IFERROR(TODAY()+VLOOKUP(R1380,REGRAS!$B$2:$C$13,2,0),""))</f>
        <v/>
      </c>
    </row>
    <row r="1381" spans="20:20" x14ac:dyDescent="0.3">
      <c r="T1381" s="47" t="str">
        <f ca="1">IF(R1381="","",IFERROR(TODAY()+VLOOKUP(R1381,REGRAS!$B$2:$C$13,2,0),""))</f>
        <v/>
      </c>
    </row>
    <row r="1382" spans="20:20" x14ac:dyDescent="0.3">
      <c r="T1382" s="47" t="str">
        <f ca="1">IF(R1382="","",IFERROR(TODAY()+VLOOKUP(R1382,REGRAS!$B$2:$C$13,2,0),""))</f>
        <v/>
      </c>
    </row>
    <row r="1383" spans="20:20" x14ac:dyDescent="0.3">
      <c r="T1383" s="47" t="str">
        <f ca="1">IF(R1383="","",IFERROR(TODAY()+VLOOKUP(R1383,REGRAS!$B$2:$C$13,2,0),""))</f>
        <v/>
      </c>
    </row>
    <row r="1384" spans="20:20" x14ac:dyDescent="0.3">
      <c r="T1384" s="47" t="str">
        <f ca="1">IF(R1384="","",IFERROR(TODAY()+VLOOKUP(R1384,REGRAS!$B$2:$C$13,2,0),""))</f>
        <v/>
      </c>
    </row>
    <row r="1385" spans="20:20" x14ac:dyDescent="0.3">
      <c r="T1385" s="47" t="str">
        <f ca="1">IF(R1385="","",IFERROR(TODAY()+VLOOKUP(R1385,REGRAS!$B$2:$C$13,2,0),""))</f>
        <v/>
      </c>
    </row>
    <row r="1386" spans="20:20" x14ac:dyDescent="0.3">
      <c r="T1386" s="47" t="str">
        <f ca="1">IF(R1386="","",IFERROR(TODAY()+VLOOKUP(R1386,REGRAS!$B$2:$C$13,2,0),""))</f>
        <v/>
      </c>
    </row>
    <row r="1387" spans="20:20" x14ac:dyDescent="0.3">
      <c r="T1387" s="47" t="str">
        <f ca="1">IF(R1387="","",IFERROR(TODAY()+VLOOKUP(R1387,REGRAS!$B$2:$C$13,2,0),""))</f>
        <v/>
      </c>
    </row>
    <row r="1388" spans="20:20" x14ac:dyDescent="0.3">
      <c r="T1388" s="47" t="str">
        <f ca="1">IF(R1388="","",IFERROR(TODAY()+VLOOKUP(R1388,REGRAS!$B$2:$C$13,2,0),""))</f>
        <v/>
      </c>
    </row>
    <row r="1389" spans="20:20" x14ac:dyDescent="0.3">
      <c r="T1389" s="47" t="str">
        <f ca="1">IF(R1389="","",IFERROR(TODAY()+VLOOKUP(R1389,REGRAS!$B$2:$C$13,2,0),""))</f>
        <v/>
      </c>
    </row>
    <row r="1390" spans="20:20" x14ac:dyDescent="0.3">
      <c r="T1390" s="47" t="str">
        <f ca="1">IF(R1390="","",IFERROR(TODAY()+VLOOKUP(R1390,REGRAS!$B$2:$C$13,2,0),""))</f>
        <v/>
      </c>
    </row>
    <row r="1391" spans="20:20" x14ac:dyDescent="0.3">
      <c r="T1391" s="47" t="str">
        <f ca="1">IF(R1391="","",IFERROR(TODAY()+VLOOKUP(R1391,REGRAS!$B$2:$C$13,2,0),""))</f>
        <v/>
      </c>
    </row>
    <row r="1392" spans="20:20" x14ac:dyDescent="0.3">
      <c r="T1392" s="47" t="str">
        <f ca="1">IF(R1392="","",IFERROR(TODAY()+VLOOKUP(R1392,REGRAS!$B$2:$C$13,2,0),""))</f>
        <v/>
      </c>
    </row>
    <row r="1393" spans="20:20" x14ac:dyDescent="0.3">
      <c r="T1393" s="47" t="str">
        <f ca="1">IF(R1393="","",IFERROR(TODAY()+VLOOKUP(R1393,REGRAS!$B$2:$C$13,2,0),""))</f>
        <v/>
      </c>
    </row>
    <row r="1394" spans="20:20" x14ac:dyDescent="0.3">
      <c r="T1394" s="47" t="str">
        <f ca="1">IF(R1394="","",IFERROR(TODAY()+VLOOKUP(R1394,REGRAS!$B$2:$C$13,2,0),""))</f>
        <v/>
      </c>
    </row>
    <row r="1395" spans="20:20" x14ac:dyDescent="0.3">
      <c r="T1395" s="47" t="str">
        <f ca="1">IF(R1395="","",IFERROR(TODAY()+VLOOKUP(R1395,REGRAS!$B$2:$C$13,2,0),""))</f>
        <v/>
      </c>
    </row>
    <row r="1396" spans="20:20" x14ac:dyDescent="0.3">
      <c r="T1396" s="47" t="str">
        <f ca="1">IF(R1396="","",IFERROR(TODAY()+VLOOKUP(R1396,REGRAS!$B$2:$C$13,2,0),""))</f>
        <v/>
      </c>
    </row>
    <row r="1397" spans="20:20" x14ac:dyDescent="0.3">
      <c r="T1397" s="47" t="str">
        <f ca="1">IF(R1397="","",IFERROR(TODAY()+VLOOKUP(R1397,REGRAS!$B$2:$C$13,2,0),""))</f>
        <v/>
      </c>
    </row>
    <row r="1398" spans="20:20" x14ac:dyDescent="0.3">
      <c r="T1398" s="47" t="str">
        <f ca="1">IF(R1398="","",IFERROR(TODAY()+VLOOKUP(R1398,REGRAS!$B$2:$C$13,2,0),""))</f>
        <v/>
      </c>
    </row>
    <row r="1399" spans="20:20" x14ac:dyDescent="0.3">
      <c r="T1399" s="47" t="str">
        <f ca="1">IF(R1399="","",IFERROR(TODAY()+VLOOKUP(R1399,REGRAS!$B$2:$C$13,2,0),""))</f>
        <v/>
      </c>
    </row>
    <row r="1400" spans="20:20" x14ac:dyDescent="0.3">
      <c r="T1400" s="47" t="str">
        <f ca="1">IF(R1400="","",IFERROR(TODAY()+VLOOKUP(R1400,REGRAS!$B$2:$C$13,2,0),""))</f>
        <v/>
      </c>
    </row>
    <row r="1401" spans="20:20" x14ac:dyDescent="0.3">
      <c r="T1401" s="47" t="str">
        <f ca="1">IF(R1401="","",IFERROR(TODAY()+VLOOKUP(R1401,REGRAS!$B$2:$C$13,2,0),""))</f>
        <v/>
      </c>
    </row>
    <row r="1402" spans="20:20" x14ac:dyDescent="0.3">
      <c r="T1402" s="47" t="str">
        <f ca="1">IF(R1402="","",IFERROR(TODAY()+VLOOKUP(R1402,REGRAS!$B$2:$C$13,2,0),""))</f>
        <v/>
      </c>
    </row>
    <row r="1403" spans="20:20" x14ac:dyDescent="0.3">
      <c r="T1403" s="47" t="str">
        <f ca="1">IF(R1403="","",IFERROR(TODAY()+VLOOKUP(R1403,REGRAS!$B$2:$C$13,2,0),""))</f>
        <v/>
      </c>
    </row>
    <row r="1404" spans="20:20" x14ac:dyDescent="0.3">
      <c r="T1404" s="47" t="str">
        <f ca="1">IF(R1404="","",IFERROR(TODAY()+VLOOKUP(R1404,REGRAS!$B$2:$C$13,2,0),""))</f>
        <v/>
      </c>
    </row>
    <row r="1405" spans="20:20" x14ac:dyDescent="0.3">
      <c r="T1405" s="47" t="str">
        <f ca="1">IF(R1405="","",IFERROR(TODAY()+VLOOKUP(R1405,REGRAS!$B$2:$C$13,2,0),""))</f>
        <v/>
      </c>
    </row>
    <row r="1406" spans="20:20" x14ac:dyDescent="0.3">
      <c r="T1406" s="47" t="str">
        <f ca="1">IF(R1406="","",IFERROR(TODAY()+VLOOKUP(R1406,REGRAS!$B$2:$C$13,2,0),""))</f>
        <v/>
      </c>
    </row>
    <row r="1407" spans="20:20" x14ac:dyDescent="0.3">
      <c r="T1407" s="47" t="str">
        <f ca="1">IF(R1407="","",IFERROR(TODAY()+VLOOKUP(R1407,REGRAS!$B$2:$C$13,2,0),""))</f>
        <v/>
      </c>
    </row>
    <row r="1408" spans="20:20" x14ac:dyDescent="0.3">
      <c r="T1408" s="47" t="str">
        <f ca="1">IF(R1408="","",IFERROR(TODAY()+VLOOKUP(R1408,REGRAS!$B$2:$C$13,2,0),""))</f>
        <v/>
      </c>
    </row>
    <row r="1409" spans="20:20" x14ac:dyDescent="0.3">
      <c r="T1409" s="47" t="str">
        <f ca="1">IF(R1409="","",IFERROR(TODAY()+VLOOKUP(R1409,REGRAS!$B$2:$C$13,2,0),""))</f>
        <v/>
      </c>
    </row>
    <row r="1410" spans="20:20" x14ac:dyDescent="0.3">
      <c r="T1410" s="47" t="str">
        <f ca="1">IF(R1410="","",IFERROR(TODAY()+VLOOKUP(R1410,REGRAS!$B$2:$C$13,2,0),""))</f>
        <v/>
      </c>
    </row>
    <row r="1411" spans="20:20" x14ac:dyDescent="0.3">
      <c r="T1411" s="47" t="str">
        <f ca="1">IF(R1411="","",IFERROR(TODAY()+VLOOKUP(R1411,REGRAS!$B$2:$C$13,2,0),""))</f>
        <v/>
      </c>
    </row>
    <row r="1412" spans="20:20" x14ac:dyDescent="0.3">
      <c r="T1412" s="47" t="str">
        <f ca="1">IF(R1412="","",IFERROR(TODAY()+VLOOKUP(R1412,REGRAS!$B$2:$C$13,2,0),""))</f>
        <v/>
      </c>
    </row>
    <row r="1413" spans="20:20" x14ac:dyDescent="0.3">
      <c r="T1413" s="47" t="str">
        <f ca="1">IF(R1413="","",IFERROR(TODAY()+VLOOKUP(R1413,REGRAS!$B$2:$C$13,2,0),""))</f>
        <v/>
      </c>
    </row>
    <row r="1414" spans="20:20" x14ac:dyDescent="0.3">
      <c r="T1414" s="47" t="str">
        <f ca="1">IF(R1414="","",IFERROR(TODAY()+VLOOKUP(R1414,REGRAS!$B$2:$C$13,2,0),""))</f>
        <v/>
      </c>
    </row>
    <row r="1415" spans="20:20" x14ac:dyDescent="0.3">
      <c r="T1415" s="47" t="str">
        <f ca="1">IF(R1415="","",IFERROR(TODAY()+VLOOKUP(R1415,REGRAS!$B$2:$C$13,2,0),""))</f>
        <v/>
      </c>
    </row>
    <row r="1416" spans="20:20" x14ac:dyDescent="0.3">
      <c r="T1416" s="47" t="str">
        <f ca="1">IF(R1416="","",IFERROR(TODAY()+VLOOKUP(R1416,REGRAS!$B$2:$C$13,2,0),""))</f>
        <v/>
      </c>
    </row>
    <row r="1417" spans="20:20" x14ac:dyDescent="0.3">
      <c r="T1417" s="47" t="str">
        <f ca="1">IF(R1417="","",IFERROR(TODAY()+VLOOKUP(R1417,REGRAS!$B$2:$C$13,2,0),""))</f>
        <v/>
      </c>
    </row>
    <row r="1418" spans="20:20" x14ac:dyDescent="0.3">
      <c r="T1418" s="47" t="str">
        <f ca="1">IF(R1418="","",IFERROR(TODAY()+VLOOKUP(R1418,REGRAS!$B$2:$C$13,2,0),""))</f>
        <v/>
      </c>
    </row>
    <row r="1419" spans="20:20" x14ac:dyDescent="0.3">
      <c r="T1419" s="47" t="str">
        <f ca="1">IF(R1419="","",IFERROR(TODAY()+VLOOKUP(R1419,REGRAS!$B$2:$C$13,2,0),""))</f>
        <v/>
      </c>
    </row>
    <row r="1420" spans="20:20" x14ac:dyDescent="0.3">
      <c r="T1420" s="47" t="str">
        <f ca="1">IF(R1420="","",IFERROR(TODAY()+VLOOKUP(R1420,REGRAS!$B$2:$C$13,2,0),""))</f>
        <v/>
      </c>
    </row>
    <row r="1421" spans="20:20" x14ac:dyDescent="0.3">
      <c r="T1421" s="47" t="str">
        <f ca="1">IF(R1421="","",IFERROR(TODAY()+VLOOKUP(R1421,REGRAS!$B$2:$C$13,2,0),""))</f>
        <v/>
      </c>
    </row>
    <row r="1422" spans="20:20" x14ac:dyDescent="0.3">
      <c r="T1422" s="47" t="str">
        <f ca="1">IF(R1422="","",IFERROR(TODAY()+VLOOKUP(R1422,REGRAS!$B$2:$C$13,2,0),""))</f>
        <v/>
      </c>
    </row>
    <row r="1423" spans="20:20" x14ac:dyDescent="0.3">
      <c r="T1423" s="47" t="str">
        <f ca="1">IF(R1423="","",IFERROR(TODAY()+VLOOKUP(R1423,REGRAS!$B$2:$C$13,2,0),""))</f>
        <v/>
      </c>
    </row>
    <row r="1424" spans="20:20" x14ac:dyDescent="0.3">
      <c r="T1424" s="47" t="str">
        <f ca="1">IF(R1424="","",IFERROR(TODAY()+VLOOKUP(R1424,REGRAS!$B$2:$C$13,2,0),""))</f>
        <v/>
      </c>
    </row>
    <row r="1425" spans="20:20" x14ac:dyDescent="0.3">
      <c r="T1425" s="47" t="str">
        <f ca="1">IF(R1425="","",IFERROR(TODAY()+VLOOKUP(R1425,REGRAS!$B$2:$C$13,2,0),""))</f>
        <v/>
      </c>
    </row>
    <row r="1426" spans="20:20" x14ac:dyDescent="0.3">
      <c r="T1426" s="47" t="str">
        <f ca="1">IF(R1426="","",IFERROR(TODAY()+VLOOKUP(R1426,REGRAS!$B$2:$C$13,2,0),""))</f>
        <v/>
      </c>
    </row>
    <row r="1427" spans="20:20" x14ac:dyDescent="0.3">
      <c r="T1427" s="47" t="str">
        <f ca="1">IF(R1427="","",IFERROR(TODAY()+VLOOKUP(R1427,REGRAS!$B$2:$C$13,2,0),""))</f>
        <v/>
      </c>
    </row>
    <row r="1428" spans="20:20" x14ac:dyDescent="0.3">
      <c r="T1428" s="47" t="str">
        <f ca="1">IF(R1428="","",IFERROR(TODAY()+VLOOKUP(R1428,REGRAS!$B$2:$C$13,2,0),""))</f>
        <v/>
      </c>
    </row>
    <row r="1429" spans="20:20" x14ac:dyDescent="0.3">
      <c r="T1429" s="47" t="str">
        <f ca="1">IF(R1429="","",IFERROR(TODAY()+VLOOKUP(R1429,REGRAS!$B$2:$C$13,2,0),""))</f>
        <v/>
      </c>
    </row>
    <row r="1430" spans="20:20" x14ac:dyDescent="0.3">
      <c r="T1430" s="47" t="str">
        <f ca="1">IF(R1430="","",IFERROR(TODAY()+VLOOKUP(R1430,REGRAS!$B$2:$C$13,2,0),""))</f>
        <v/>
      </c>
    </row>
    <row r="1431" spans="20:20" x14ac:dyDescent="0.3">
      <c r="T1431" s="47" t="str">
        <f ca="1">IF(R1431="","",IFERROR(TODAY()+VLOOKUP(R1431,REGRAS!$B$2:$C$13,2,0),""))</f>
        <v/>
      </c>
    </row>
    <row r="1432" spans="20:20" x14ac:dyDescent="0.3">
      <c r="T1432" s="47" t="str">
        <f ca="1">IF(R1432="","",IFERROR(TODAY()+VLOOKUP(R1432,REGRAS!$B$2:$C$13,2,0),""))</f>
        <v/>
      </c>
    </row>
    <row r="1433" spans="20:20" x14ac:dyDescent="0.3">
      <c r="T1433" s="47" t="str">
        <f ca="1">IF(R1433="","",IFERROR(TODAY()+VLOOKUP(R1433,REGRAS!$B$2:$C$13,2,0),""))</f>
        <v/>
      </c>
    </row>
    <row r="1434" spans="20:20" x14ac:dyDescent="0.3">
      <c r="T1434" s="47" t="str">
        <f ca="1">IF(R1434="","",IFERROR(TODAY()+VLOOKUP(R1434,REGRAS!$B$2:$C$13,2,0),""))</f>
        <v/>
      </c>
    </row>
    <row r="1435" spans="20:20" x14ac:dyDescent="0.3">
      <c r="T1435" s="47" t="str">
        <f ca="1">IF(R1435="","",IFERROR(TODAY()+VLOOKUP(R1435,REGRAS!$B$2:$C$13,2,0),""))</f>
        <v/>
      </c>
    </row>
    <row r="1436" spans="20:20" x14ac:dyDescent="0.3">
      <c r="T1436" s="47" t="str">
        <f ca="1">IF(R1436="","",IFERROR(TODAY()+VLOOKUP(R1436,REGRAS!$B$2:$C$13,2,0),""))</f>
        <v/>
      </c>
    </row>
    <row r="1437" spans="20:20" x14ac:dyDescent="0.3">
      <c r="T1437" s="47" t="str">
        <f ca="1">IF(R1437="","",IFERROR(TODAY()+VLOOKUP(R1437,REGRAS!$B$2:$C$13,2,0),""))</f>
        <v/>
      </c>
    </row>
    <row r="1438" spans="20:20" x14ac:dyDescent="0.3">
      <c r="T1438" s="47" t="str">
        <f ca="1">IF(R1438="","",IFERROR(TODAY()+VLOOKUP(R1438,REGRAS!$B$2:$C$13,2,0),""))</f>
        <v/>
      </c>
    </row>
    <row r="1439" spans="20:20" x14ac:dyDescent="0.3">
      <c r="T1439" s="47" t="str">
        <f ca="1">IF(R1439="","",IFERROR(TODAY()+VLOOKUP(R1439,REGRAS!$B$2:$C$13,2,0),""))</f>
        <v/>
      </c>
    </row>
    <row r="1440" spans="20:20" x14ac:dyDescent="0.3">
      <c r="T1440" s="47" t="str">
        <f ca="1">IF(R1440="","",IFERROR(TODAY()+VLOOKUP(R1440,REGRAS!$B$2:$C$13,2,0),""))</f>
        <v/>
      </c>
    </row>
    <row r="1441" spans="20:20" x14ac:dyDescent="0.3">
      <c r="T1441" s="47" t="str">
        <f ca="1">IF(R1441="","",IFERROR(TODAY()+VLOOKUP(R1441,REGRAS!$B$2:$C$13,2,0),""))</f>
        <v/>
      </c>
    </row>
    <row r="1442" spans="20:20" x14ac:dyDescent="0.3">
      <c r="T1442" s="47" t="str">
        <f ca="1">IF(R1442="","",IFERROR(TODAY()+VLOOKUP(R1442,REGRAS!$B$2:$C$13,2,0),""))</f>
        <v/>
      </c>
    </row>
    <row r="1443" spans="20:20" x14ac:dyDescent="0.3">
      <c r="T1443" s="47" t="str">
        <f ca="1">IF(R1443="","",IFERROR(TODAY()+VLOOKUP(R1443,REGRAS!$B$2:$C$13,2,0),""))</f>
        <v/>
      </c>
    </row>
    <row r="1444" spans="20:20" x14ac:dyDescent="0.3">
      <c r="T1444" s="47" t="str">
        <f ca="1">IF(R1444="","",IFERROR(TODAY()+VLOOKUP(R1444,REGRAS!$B$2:$C$13,2,0),""))</f>
        <v/>
      </c>
    </row>
    <row r="1445" spans="20:20" x14ac:dyDescent="0.3">
      <c r="T1445" s="47" t="str">
        <f ca="1">IF(R1445="","",IFERROR(TODAY()+VLOOKUP(R1445,REGRAS!$B$2:$C$13,2,0),""))</f>
        <v/>
      </c>
    </row>
    <row r="1446" spans="20:20" x14ac:dyDescent="0.3">
      <c r="T1446" s="47" t="str">
        <f ca="1">IF(R1446="","",IFERROR(TODAY()+VLOOKUP(R1446,REGRAS!$B$2:$C$13,2,0),""))</f>
        <v/>
      </c>
    </row>
    <row r="1447" spans="20:20" x14ac:dyDescent="0.3">
      <c r="T1447" s="47" t="str">
        <f ca="1">IF(R1447="","",IFERROR(TODAY()+VLOOKUP(R1447,REGRAS!$B$2:$C$13,2,0),""))</f>
        <v/>
      </c>
    </row>
    <row r="1448" spans="20:20" x14ac:dyDescent="0.3">
      <c r="T1448" s="47" t="str">
        <f ca="1">IF(R1448="","",IFERROR(TODAY()+VLOOKUP(R1448,REGRAS!$B$2:$C$13,2,0),""))</f>
        <v/>
      </c>
    </row>
    <row r="1449" spans="20:20" x14ac:dyDescent="0.3">
      <c r="T1449" s="47" t="str">
        <f ca="1">IF(R1449="","",IFERROR(TODAY()+VLOOKUP(R1449,REGRAS!$B$2:$C$13,2,0),""))</f>
        <v/>
      </c>
    </row>
    <row r="1450" spans="20:20" x14ac:dyDescent="0.3">
      <c r="T1450" s="47" t="str">
        <f ca="1">IF(R1450="","",IFERROR(TODAY()+VLOOKUP(R1450,REGRAS!$B$2:$C$13,2,0),""))</f>
        <v/>
      </c>
    </row>
    <row r="1451" spans="20:20" x14ac:dyDescent="0.3">
      <c r="T1451" s="47" t="str">
        <f ca="1">IF(R1451="","",IFERROR(TODAY()+VLOOKUP(R1451,REGRAS!$B$2:$C$13,2,0),""))</f>
        <v/>
      </c>
    </row>
    <row r="1452" spans="20:20" x14ac:dyDescent="0.3">
      <c r="T1452" s="47" t="str">
        <f ca="1">IF(R1452="","",IFERROR(TODAY()+VLOOKUP(R1452,REGRAS!$B$2:$C$13,2,0),""))</f>
        <v/>
      </c>
    </row>
    <row r="1453" spans="20:20" x14ac:dyDescent="0.3">
      <c r="T1453" s="47" t="str">
        <f ca="1">IF(R1453="","",IFERROR(TODAY()+VLOOKUP(R1453,REGRAS!$B$2:$C$13,2,0),""))</f>
        <v/>
      </c>
    </row>
    <row r="1454" spans="20:20" x14ac:dyDescent="0.3">
      <c r="T1454" s="47" t="str">
        <f ca="1">IF(R1454="","",IFERROR(TODAY()+VLOOKUP(R1454,REGRAS!$B$2:$C$13,2,0),""))</f>
        <v/>
      </c>
    </row>
    <row r="1455" spans="20:20" x14ac:dyDescent="0.3">
      <c r="T1455" s="47" t="str">
        <f ca="1">IF(R1455="","",IFERROR(TODAY()+VLOOKUP(R1455,REGRAS!$B$2:$C$13,2,0),""))</f>
        <v/>
      </c>
    </row>
    <row r="1456" spans="20:20" x14ac:dyDescent="0.3">
      <c r="T1456" s="47" t="str">
        <f ca="1">IF(R1456="","",IFERROR(TODAY()+VLOOKUP(R1456,REGRAS!$B$2:$C$13,2,0),""))</f>
        <v/>
      </c>
    </row>
    <row r="1457" spans="20:20" x14ac:dyDescent="0.3">
      <c r="T1457" s="47" t="str">
        <f ca="1">IF(R1457="","",IFERROR(TODAY()+VLOOKUP(R1457,REGRAS!$B$2:$C$13,2,0),""))</f>
        <v/>
      </c>
    </row>
    <row r="1458" spans="20:20" x14ac:dyDescent="0.3">
      <c r="T1458" s="47" t="str">
        <f ca="1">IF(R1458="","",IFERROR(TODAY()+VLOOKUP(R1458,REGRAS!$B$2:$C$13,2,0),""))</f>
        <v/>
      </c>
    </row>
    <row r="1459" spans="20:20" x14ac:dyDescent="0.3">
      <c r="T1459" s="47" t="str">
        <f ca="1">IF(R1459="","",IFERROR(TODAY()+VLOOKUP(R1459,REGRAS!$B$2:$C$13,2,0),""))</f>
        <v/>
      </c>
    </row>
    <row r="1460" spans="20:20" x14ac:dyDescent="0.3">
      <c r="T1460" s="47" t="str">
        <f ca="1">IF(R1460="","",IFERROR(TODAY()+VLOOKUP(R1460,REGRAS!$B$2:$C$13,2,0),""))</f>
        <v/>
      </c>
    </row>
    <row r="1461" spans="20:20" x14ac:dyDescent="0.3">
      <c r="T1461" s="47" t="str">
        <f ca="1">IF(R1461="","",IFERROR(TODAY()+VLOOKUP(R1461,REGRAS!$B$2:$C$13,2,0),""))</f>
        <v/>
      </c>
    </row>
    <row r="1462" spans="20:20" x14ac:dyDescent="0.3">
      <c r="T1462" s="47" t="str">
        <f ca="1">IF(R1462="","",IFERROR(TODAY()+VLOOKUP(R1462,REGRAS!$B$2:$C$13,2,0),""))</f>
        <v/>
      </c>
    </row>
    <row r="1463" spans="20:20" x14ac:dyDescent="0.3">
      <c r="T1463" s="47" t="str">
        <f ca="1">IF(R1463="","",IFERROR(TODAY()+VLOOKUP(R1463,REGRAS!$B$2:$C$13,2,0),""))</f>
        <v/>
      </c>
    </row>
    <row r="1464" spans="20:20" x14ac:dyDescent="0.3">
      <c r="T1464" s="47" t="str">
        <f ca="1">IF(R1464="","",IFERROR(TODAY()+VLOOKUP(R1464,REGRAS!$B$2:$C$13,2,0),""))</f>
        <v/>
      </c>
    </row>
    <row r="1465" spans="20:20" x14ac:dyDescent="0.3">
      <c r="T1465" s="47" t="str">
        <f ca="1">IF(R1465="","",IFERROR(TODAY()+VLOOKUP(R1465,REGRAS!$B$2:$C$13,2,0),""))</f>
        <v/>
      </c>
    </row>
    <row r="1466" spans="20:20" x14ac:dyDescent="0.3">
      <c r="T1466" s="47" t="str">
        <f ca="1">IF(R1466="","",IFERROR(TODAY()+VLOOKUP(R1466,REGRAS!$B$2:$C$13,2,0),""))</f>
        <v/>
      </c>
    </row>
    <row r="1467" spans="20:20" x14ac:dyDescent="0.3">
      <c r="T1467" s="47" t="str">
        <f ca="1">IF(R1467="","",IFERROR(TODAY()+VLOOKUP(R1467,REGRAS!$B$2:$C$13,2,0),""))</f>
        <v/>
      </c>
    </row>
    <row r="1468" spans="20:20" x14ac:dyDescent="0.3">
      <c r="T1468" s="47" t="str">
        <f ca="1">IF(R1468="","",IFERROR(TODAY()+VLOOKUP(R1468,REGRAS!$B$2:$C$13,2,0),""))</f>
        <v/>
      </c>
    </row>
    <row r="1469" spans="20:20" x14ac:dyDescent="0.3">
      <c r="T1469" s="47" t="str">
        <f ca="1">IF(R1469="","",IFERROR(TODAY()+VLOOKUP(R1469,REGRAS!$B$2:$C$13,2,0),""))</f>
        <v/>
      </c>
    </row>
    <row r="1470" spans="20:20" x14ac:dyDescent="0.3">
      <c r="T1470" s="47" t="str">
        <f ca="1">IF(R1470="","",IFERROR(TODAY()+VLOOKUP(R1470,REGRAS!$B$2:$C$13,2,0),""))</f>
        <v/>
      </c>
    </row>
    <row r="1471" spans="20:20" x14ac:dyDescent="0.3">
      <c r="T1471" s="47" t="str">
        <f ca="1">IF(R1471="","",IFERROR(TODAY()+VLOOKUP(R1471,REGRAS!$B$2:$C$13,2,0),""))</f>
        <v/>
      </c>
    </row>
    <row r="1472" spans="20:20" x14ac:dyDescent="0.3">
      <c r="T1472" s="47" t="str">
        <f ca="1">IF(R1472="","",IFERROR(TODAY()+VLOOKUP(R1472,REGRAS!$B$2:$C$13,2,0),""))</f>
        <v/>
      </c>
    </row>
    <row r="1473" spans="20:20" x14ac:dyDescent="0.3">
      <c r="T1473" s="47" t="str">
        <f ca="1">IF(R1473="","",IFERROR(TODAY()+VLOOKUP(R1473,REGRAS!$B$2:$C$13,2,0),""))</f>
        <v/>
      </c>
    </row>
    <row r="1474" spans="20:20" x14ac:dyDescent="0.3">
      <c r="T1474" s="47" t="str">
        <f ca="1">IF(R1474="","",IFERROR(TODAY()+VLOOKUP(R1474,REGRAS!$B$2:$C$13,2,0),""))</f>
        <v/>
      </c>
    </row>
    <row r="1475" spans="20:20" x14ac:dyDescent="0.3">
      <c r="T1475" s="47" t="str">
        <f ca="1">IF(R1475="","",IFERROR(TODAY()+VLOOKUP(R1475,REGRAS!$B$2:$C$13,2,0),""))</f>
        <v/>
      </c>
    </row>
    <row r="1476" spans="20:20" x14ac:dyDescent="0.3">
      <c r="T1476" s="47" t="str">
        <f ca="1">IF(R1476="","",IFERROR(TODAY()+VLOOKUP(R1476,REGRAS!$B$2:$C$13,2,0),""))</f>
        <v/>
      </c>
    </row>
    <row r="1477" spans="20:20" x14ac:dyDescent="0.3">
      <c r="T1477" s="47" t="str">
        <f ca="1">IF(R1477="","",IFERROR(TODAY()+VLOOKUP(R1477,REGRAS!$B$2:$C$13,2,0),""))</f>
        <v/>
      </c>
    </row>
    <row r="1478" spans="20:20" x14ac:dyDescent="0.3">
      <c r="T1478" s="47" t="str">
        <f ca="1">IF(R1478="","",IFERROR(TODAY()+VLOOKUP(R1478,REGRAS!$B$2:$C$13,2,0),""))</f>
        <v/>
      </c>
    </row>
    <row r="1479" spans="20:20" x14ac:dyDescent="0.3">
      <c r="T1479" s="47" t="str">
        <f ca="1">IF(R1479="","",IFERROR(TODAY()+VLOOKUP(R1479,REGRAS!$B$2:$C$13,2,0),""))</f>
        <v/>
      </c>
    </row>
    <row r="1480" spans="20:20" x14ac:dyDescent="0.3">
      <c r="T1480" s="47" t="str">
        <f ca="1">IF(R1480="","",IFERROR(TODAY()+VLOOKUP(R1480,REGRAS!$B$2:$C$13,2,0),""))</f>
        <v/>
      </c>
    </row>
    <row r="1481" spans="20:20" x14ac:dyDescent="0.3">
      <c r="T1481" s="47" t="str">
        <f ca="1">IF(R1481="","",IFERROR(TODAY()+VLOOKUP(R1481,REGRAS!$B$2:$C$13,2,0),""))</f>
        <v/>
      </c>
    </row>
    <row r="1482" spans="20:20" x14ac:dyDescent="0.3">
      <c r="T1482" s="47" t="str">
        <f ca="1">IF(R1482="","",IFERROR(TODAY()+VLOOKUP(R1482,REGRAS!$B$2:$C$13,2,0),""))</f>
        <v/>
      </c>
    </row>
    <row r="1483" spans="20:20" x14ac:dyDescent="0.3">
      <c r="T1483" s="47" t="str">
        <f ca="1">IF(R1483="","",IFERROR(TODAY()+VLOOKUP(R1483,REGRAS!$B$2:$C$13,2,0),""))</f>
        <v/>
      </c>
    </row>
    <row r="1484" spans="20:20" x14ac:dyDescent="0.3">
      <c r="T1484" s="47" t="str">
        <f ca="1">IF(R1484="","",IFERROR(TODAY()+VLOOKUP(R1484,REGRAS!$B$2:$C$13,2,0),""))</f>
        <v/>
      </c>
    </row>
    <row r="1485" spans="20:20" x14ac:dyDescent="0.3">
      <c r="T1485" s="47" t="str">
        <f ca="1">IF(R1485="","",IFERROR(TODAY()+VLOOKUP(R1485,REGRAS!$B$2:$C$13,2,0),""))</f>
        <v/>
      </c>
    </row>
    <row r="1486" spans="20:20" x14ac:dyDescent="0.3">
      <c r="T1486" s="47" t="str">
        <f ca="1">IF(R1486="","",IFERROR(TODAY()+VLOOKUP(R1486,REGRAS!$B$2:$C$13,2,0),""))</f>
        <v/>
      </c>
    </row>
    <row r="1487" spans="20:20" x14ac:dyDescent="0.3">
      <c r="T1487" s="47" t="str">
        <f ca="1">IF(R1487="","",IFERROR(TODAY()+VLOOKUP(R1487,REGRAS!$B$2:$C$13,2,0),""))</f>
        <v/>
      </c>
    </row>
    <row r="1488" spans="20:20" x14ac:dyDescent="0.3">
      <c r="T1488" s="47" t="str">
        <f ca="1">IF(R1488="","",IFERROR(TODAY()+VLOOKUP(R1488,REGRAS!$B$2:$C$13,2,0),""))</f>
        <v/>
      </c>
    </row>
    <row r="1489" spans="20:20" x14ac:dyDescent="0.3">
      <c r="T1489" s="47" t="str">
        <f ca="1">IF(R1489="","",IFERROR(TODAY()+VLOOKUP(R1489,REGRAS!$B$2:$C$13,2,0),""))</f>
        <v/>
      </c>
    </row>
    <row r="1490" spans="20:20" x14ac:dyDescent="0.3">
      <c r="T1490" s="47" t="str">
        <f ca="1">IF(R1490="","",IFERROR(TODAY()+VLOOKUP(R1490,REGRAS!$B$2:$C$13,2,0),""))</f>
        <v/>
      </c>
    </row>
    <row r="1491" spans="20:20" x14ac:dyDescent="0.3">
      <c r="T1491" s="47" t="str">
        <f ca="1">IF(R1491="","",IFERROR(TODAY()+VLOOKUP(R1491,REGRAS!$B$2:$C$13,2,0),""))</f>
        <v/>
      </c>
    </row>
    <row r="1492" spans="20:20" x14ac:dyDescent="0.3">
      <c r="T1492" s="47" t="str">
        <f ca="1">IF(R1492="","",IFERROR(TODAY()+VLOOKUP(R1492,REGRAS!$B$2:$C$13,2,0),""))</f>
        <v/>
      </c>
    </row>
    <row r="1493" spans="20:20" x14ac:dyDescent="0.3">
      <c r="T1493" s="47" t="str">
        <f ca="1">IF(R1493="","",IFERROR(TODAY()+VLOOKUP(R1493,REGRAS!$B$2:$C$13,2,0),""))</f>
        <v/>
      </c>
    </row>
    <row r="1494" spans="20:20" x14ac:dyDescent="0.3">
      <c r="T1494" s="47" t="str">
        <f ca="1">IF(R1494="","",IFERROR(TODAY()+VLOOKUP(R1494,REGRAS!$B$2:$C$13,2,0),""))</f>
        <v/>
      </c>
    </row>
    <row r="1495" spans="20:20" x14ac:dyDescent="0.3">
      <c r="T1495" s="47" t="str">
        <f ca="1">IF(R1495="","",IFERROR(TODAY()+VLOOKUP(R1495,REGRAS!$B$2:$C$13,2,0),""))</f>
        <v/>
      </c>
    </row>
    <row r="1496" spans="20:20" x14ac:dyDescent="0.3">
      <c r="T1496" s="47" t="str">
        <f ca="1">IF(R1496="","",IFERROR(TODAY()+VLOOKUP(R1496,REGRAS!$B$2:$C$13,2,0),""))</f>
        <v/>
      </c>
    </row>
    <row r="1497" spans="20:20" x14ac:dyDescent="0.3">
      <c r="T1497" s="47" t="str">
        <f ca="1">IF(R1497="","",IFERROR(TODAY()+VLOOKUP(R1497,REGRAS!$B$2:$C$13,2,0),""))</f>
        <v/>
      </c>
    </row>
    <row r="1498" spans="20:20" x14ac:dyDescent="0.3">
      <c r="T1498" s="47" t="str">
        <f ca="1">IF(R1498="","",IFERROR(TODAY()+VLOOKUP(R1498,REGRAS!$B$2:$C$13,2,0),""))</f>
        <v/>
      </c>
    </row>
    <row r="1499" spans="20:20" x14ac:dyDescent="0.3">
      <c r="T1499" s="47" t="str">
        <f ca="1">IF(R1499="","",IFERROR(TODAY()+VLOOKUP(R1499,REGRAS!$B$2:$C$13,2,0),""))</f>
        <v/>
      </c>
    </row>
    <row r="1500" spans="20:20" x14ac:dyDescent="0.3">
      <c r="T1500" s="47" t="str">
        <f ca="1">IF(R1500="","",IFERROR(TODAY()+VLOOKUP(R1500,REGRAS!$B$2:$C$13,2,0),""))</f>
        <v/>
      </c>
    </row>
    <row r="1501" spans="20:20" x14ac:dyDescent="0.3">
      <c r="T1501" s="47" t="str">
        <f ca="1">IF(R1501="","",IFERROR(TODAY()+VLOOKUP(R1501,REGRAS!$B$2:$C$13,2,0),""))</f>
        <v/>
      </c>
    </row>
    <row r="1502" spans="20:20" x14ac:dyDescent="0.3">
      <c r="T1502" s="47" t="str">
        <f ca="1">IF(R1502="","",IFERROR(TODAY()+VLOOKUP(R1502,REGRAS!$B$2:$C$13,2,0),""))</f>
        <v/>
      </c>
    </row>
    <row r="1503" spans="20:20" x14ac:dyDescent="0.3">
      <c r="T1503" s="47" t="str">
        <f ca="1">IF(R1503="","",IFERROR(TODAY()+VLOOKUP(R1503,REGRAS!$B$2:$C$13,2,0),""))</f>
        <v/>
      </c>
    </row>
    <row r="1504" spans="20:20" x14ac:dyDescent="0.3">
      <c r="T1504" s="47" t="str">
        <f ca="1">IF(R1504="","",IFERROR(TODAY()+VLOOKUP(R1504,REGRAS!$B$2:$C$13,2,0),""))</f>
        <v/>
      </c>
    </row>
    <row r="1505" spans="20:20" x14ac:dyDescent="0.3">
      <c r="T1505" s="47" t="str">
        <f ca="1">IF(R1505="","",IFERROR(TODAY()+VLOOKUP(R1505,REGRAS!$B$2:$C$13,2,0),""))</f>
        <v/>
      </c>
    </row>
    <row r="1506" spans="20:20" x14ac:dyDescent="0.3">
      <c r="T1506" s="47" t="str">
        <f ca="1">IF(R1506="","",IFERROR(TODAY()+VLOOKUP(R1506,REGRAS!$B$2:$C$13,2,0),""))</f>
        <v/>
      </c>
    </row>
    <row r="1507" spans="20:20" x14ac:dyDescent="0.3">
      <c r="T1507" s="47" t="str">
        <f ca="1">IF(R1507="","",IFERROR(TODAY()+VLOOKUP(R1507,REGRAS!$B$2:$C$13,2,0),""))</f>
        <v/>
      </c>
    </row>
    <row r="1508" spans="20:20" x14ac:dyDescent="0.3">
      <c r="T1508" s="47" t="str">
        <f ca="1">IF(R1508="","",IFERROR(TODAY()+VLOOKUP(R1508,REGRAS!$B$2:$C$13,2,0),""))</f>
        <v/>
      </c>
    </row>
    <row r="1509" spans="20:20" x14ac:dyDescent="0.3">
      <c r="T1509" s="47" t="str">
        <f ca="1">IF(R1509="","",IFERROR(TODAY()+VLOOKUP(R1509,REGRAS!$B$2:$C$13,2,0),""))</f>
        <v/>
      </c>
    </row>
    <row r="1510" spans="20:20" x14ac:dyDescent="0.3">
      <c r="T1510" s="47" t="str">
        <f ca="1">IF(R1510="","",IFERROR(TODAY()+VLOOKUP(R1510,REGRAS!$B$2:$C$13,2,0),""))</f>
        <v/>
      </c>
    </row>
    <row r="1511" spans="20:20" x14ac:dyDescent="0.3">
      <c r="T1511" s="47" t="str">
        <f ca="1">IF(R1511="","",IFERROR(TODAY()+VLOOKUP(R1511,REGRAS!$B$2:$C$13,2,0),""))</f>
        <v/>
      </c>
    </row>
    <row r="1512" spans="20:20" x14ac:dyDescent="0.3">
      <c r="T1512" s="47" t="str">
        <f ca="1">IF(R1512="","",IFERROR(TODAY()+VLOOKUP(R1512,REGRAS!$B$2:$C$13,2,0),""))</f>
        <v/>
      </c>
    </row>
    <row r="1513" spans="20:20" x14ac:dyDescent="0.3">
      <c r="T1513" s="47" t="str">
        <f ca="1">IF(R1513="","",IFERROR(TODAY()+VLOOKUP(R1513,REGRAS!$B$2:$C$13,2,0),""))</f>
        <v/>
      </c>
    </row>
    <row r="1514" spans="20:20" x14ac:dyDescent="0.3">
      <c r="T1514" s="47" t="str">
        <f ca="1">IF(R1514="","",IFERROR(TODAY()+VLOOKUP(R1514,REGRAS!$B$2:$C$13,2,0),""))</f>
        <v/>
      </c>
    </row>
    <row r="1515" spans="20:20" x14ac:dyDescent="0.3">
      <c r="T1515" s="47" t="str">
        <f ca="1">IF(R1515="","",IFERROR(TODAY()+VLOOKUP(R1515,REGRAS!$B$2:$C$13,2,0),""))</f>
        <v/>
      </c>
    </row>
    <row r="1516" spans="20:20" x14ac:dyDescent="0.3">
      <c r="T1516" s="47" t="str">
        <f ca="1">IF(R1516="","",IFERROR(TODAY()+VLOOKUP(R1516,REGRAS!$B$2:$C$13,2,0),""))</f>
        <v/>
      </c>
    </row>
    <row r="1517" spans="20:20" x14ac:dyDescent="0.3">
      <c r="T1517" s="47" t="str">
        <f ca="1">IF(R1517="","",IFERROR(TODAY()+VLOOKUP(R1517,REGRAS!$B$2:$C$13,2,0),""))</f>
        <v/>
      </c>
    </row>
    <row r="1518" spans="20:20" x14ac:dyDescent="0.3">
      <c r="T1518" s="47" t="str">
        <f ca="1">IF(R1518="","",IFERROR(TODAY()+VLOOKUP(R1518,REGRAS!$B$2:$C$13,2,0),""))</f>
        <v/>
      </c>
    </row>
    <row r="1519" spans="20:20" x14ac:dyDescent="0.3">
      <c r="T1519" s="47" t="str">
        <f ca="1">IF(R1519="","",IFERROR(TODAY()+VLOOKUP(R1519,REGRAS!$B$2:$C$13,2,0),""))</f>
        <v/>
      </c>
    </row>
    <row r="1520" spans="20:20" x14ac:dyDescent="0.3">
      <c r="T1520" s="47" t="str">
        <f ca="1">IF(R1520="","",IFERROR(TODAY()+VLOOKUP(R1520,REGRAS!$B$2:$C$13,2,0),""))</f>
        <v/>
      </c>
    </row>
    <row r="1521" spans="20:20" x14ac:dyDescent="0.3">
      <c r="T1521" s="47" t="str">
        <f ca="1">IF(R1521="","",IFERROR(TODAY()+VLOOKUP(R1521,REGRAS!$B$2:$C$13,2,0),""))</f>
        <v/>
      </c>
    </row>
    <row r="1522" spans="20:20" x14ac:dyDescent="0.3">
      <c r="T1522" s="47" t="str">
        <f ca="1">IF(R1522="","",IFERROR(TODAY()+VLOOKUP(R1522,REGRAS!$B$2:$C$13,2,0),""))</f>
        <v/>
      </c>
    </row>
    <row r="1523" spans="20:20" x14ac:dyDescent="0.3">
      <c r="T1523" s="47" t="str">
        <f ca="1">IF(R1523="","",IFERROR(TODAY()+VLOOKUP(R1523,REGRAS!$B$2:$C$13,2,0),""))</f>
        <v/>
      </c>
    </row>
    <row r="1524" spans="20:20" x14ac:dyDescent="0.3">
      <c r="T1524" s="47" t="str">
        <f ca="1">IF(R1524="","",IFERROR(TODAY()+VLOOKUP(R1524,REGRAS!$B$2:$C$13,2,0),""))</f>
        <v/>
      </c>
    </row>
    <row r="1525" spans="20:20" x14ac:dyDescent="0.3">
      <c r="T1525" s="47" t="str">
        <f ca="1">IF(R1525="","",IFERROR(TODAY()+VLOOKUP(R1525,REGRAS!$B$2:$C$13,2,0),""))</f>
        <v/>
      </c>
    </row>
    <row r="1526" spans="20:20" x14ac:dyDescent="0.3">
      <c r="T1526" s="47" t="str">
        <f ca="1">IF(R1526="","",IFERROR(TODAY()+VLOOKUP(R1526,REGRAS!$B$2:$C$13,2,0),""))</f>
        <v/>
      </c>
    </row>
    <row r="1527" spans="20:20" x14ac:dyDescent="0.3">
      <c r="T1527" s="47" t="str">
        <f ca="1">IF(R1527="","",IFERROR(TODAY()+VLOOKUP(R1527,REGRAS!$B$2:$C$13,2,0),""))</f>
        <v/>
      </c>
    </row>
    <row r="1528" spans="20:20" x14ac:dyDescent="0.3">
      <c r="T1528" s="47" t="str">
        <f ca="1">IF(R1528="","",IFERROR(TODAY()+VLOOKUP(R1528,REGRAS!$B$2:$C$13,2,0),""))</f>
        <v/>
      </c>
    </row>
    <row r="1529" spans="20:20" x14ac:dyDescent="0.3">
      <c r="T1529" s="47" t="str">
        <f ca="1">IF(R1529="","",IFERROR(TODAY()+VLOOKUP(R1529,REGRAS!$B$2:$C$13,2,0),""))</f>
        <v/>
      </c>
    </row>
    <row r="1530" spans="20:20" x14ac:dyDescent="0.3">
      <c r="T1530" s="47" t="str">
        <f ca="1">IF(R1530="","",IFERROR(TODAY()+VLOOKUP(R1530,REGRAS!$B$2:$C$13,2,0),""))</f>
        <v/>
      </c>
    </row>
    <row r="1531" spans="20:20" x14ac:dyDescent="0.3">
      <c r="T1531" s="47" t="str">
        <f ca="1">IF(R1531="","",IFERROR(TODAY()+VLOOKUP(R1531,REGRAS!$B$2:$C$13,2,0),""))</f>
        <v/>
      </c>
    </row>
    <row r="1532" spans="20:20" x14ac:dyDescent="0.3">
      <c r="T1532" s="47" t="str">
        <f ca="1">IF(R1532="","",IFERROR(TODAY()+VLOOKUP(R1532,REGRAS!$B$2:$C$13,2,0),""))</f>
        <v/>
      </c>
    </row>
    <row r="1533" spans="20:20" x14ac:dyDescent="0.3">
      <c r="T1533" s="47" t="str">
        <f ca="1">IF(R1533="","",IFERROR(TODAY()+VLOOKUP(R1533,REGRAS!$B$2:$C$13,2,0),""))</f>
        <v/>
      </c>
    </row>
    <row r="1534" spans="20:20" x14ac:dyDescent="0.3">
      <c r="T1534" s="47" t="str">
        <f ca="1">IF(R1534="","",IFERROR(TODAY()+VLOOKUP(R1534,REGRAS!$B$2:$C$13,2,0),""))</f>
        <v/>
      </c>
    </row>
    <row r="1535" spans="20:20" x14ac:dyDescent="0.3">
      <c r="T1535" s="47" t="str">
        <f ca="1">IF(R1535="","",IFERROR(TODAY()+VLOOKUP(R1535,REGRAS!$B$2:$C$13,2,0),""))</f>
        <v/>
      </c>
    </row>
    <row r="1536" spans="20:20" x14ac:dyDescent="0.3">
      <c r="T1536" s="47" t="str">
        <f ca="1">IF(R1536="","",IFERROR(TODAY()+VLOOKUP(R1536,REGRAS!$B$2:$C$13,2,0),""))</f>
        <v/>
      </c>
    </row>
    <row r="1537" spans="20:20" x14ac:dyDescent="0.3">
      <c r="T1537" s="47" t="str">
        <f ca="1">IF(R1537="","",IFERROR(TODAY()+VLOOKUP(R1537,REGRAS!$B$2:$C$13,2,0),""))</f>
        <v/>
      </c>
    </row>
    <row r="1538" spans="20:20" x14ac:dyDescent="0.3">
      <c r="T1538" s="47" t="str">
        <f ca="1">IF(R1538="","",IFERROR(TODAY()+VLOOKUP(R1538,REGRAS!$B$2:$C$13,2,0),""))</f>
        <v/>
      </c>
    </row>
    <row r="1539" spans="20:20" x14ac:dyDescent="0.3">
      <c r="T1539" s="47" t="str">
        <f ca="1">IF(R1539="","",IFERROR(TODAY()+VLOOKUP(R1539,REGRAS!$B$2:$C$13,2,0),""))</f>
        <v/>
      </c>
    </row>
    <row r="1540" spans="20:20" x14ac:dyDescent="0.3">
      <c r="T1540" s="47" t="str">
        <f ca="1">IF(R1540="","",IFERROR(TODAY()+VLOOKUP(R1540,REGRAS!$B$2:$C$13,2,0),""))</f>
        <v/>
      </c>
    </row>
    <row r="1541" spans="20:20" x14ac:dyDescent="0.3">
      <c r="T1541" s="47" t="str">
        <f ca="1">IF(R1541="","",IFERROR(TODAY()+VLOOKUP(R1541,REGRAS!$B$2:$C$13,2,0),""))</f>
        <v/>
      </c>
    </row>
    <row r="1542" spans="20:20" x14ac:dyDescent="0.3">
      <c r="T1542" s="47" t="str">
        <f ca="1">IF(R1542="","",IFERROR(TODAY()+VLOOKUP(R1542,REGRAS!$B$2:$C$13,2,0),""))</f>
        <v/>
      </c>
    </row>
    <row r="1543" spans="20:20" x14ac:dyDescent="0.3">
      <c r="T1543" s="47" t="str">
        <f ca="1">IF(R1543="","",IFERROR(TODAY()+VLOOKUP(R1543,REGRAS!$B$2:$C$13,2,0),""))</f>
        <v/>
      </c>
    </row>
    <row r="1544" spans="20:20" x14ac:dyDescent="0.3">
      <c r="T1544" s="47" t="str">
        <f ca="1">IF(R1544="","",IFERROR(TODAY()+VLOOKUP(R1544,REGRAS!$B$2:$C$13,2,0),""))</f>
        <v/>
      </c>
    </row>
    <row r="1545" spans="20:20" x14ac:dyDescent="0.3">
      <c r="T1545" s="47" t="str">
        <f ca="1">IF(R1545="","",IFERROR(TODAY()+VLOOKUP(R1545,REGRAS!$B$2:$C$13,2,0),""))</f>
        <v/>
      </c>
    </row>
    <row r="1546" spans="20:20" x14ac:dyDescent="0.3">
      <c r="T1546" s="47" t="str">
        <f ca="1">IF(R1546="","",IFERROR(TODAY()+VLOOKUP(R1546,REGRAS!$B$2:$C$13,2,0),""))</f>
        <v/>
      </c>
    </row>
    <row r="1547" spans="20:20" x14ac:dyDescent="0.3">
      <c r="T1547" s="47" t="str">
        <f ca="1">IF(R1547="","",IFERROR(TODAY()+VLOOKUP(R1547,REGRAS!$B$2:$C$13,2,0),""))</f>
        <v/>
      </c>
    </row>
    <row r="1548" spans="20:20" x14ac:dyDescent="0.3">
      <c r="T1548" s="47" t="str">
        <f ca="1">IF(R1548="","",IFERROR(TODAY()+VLOOKUP(R1548,REGRAS!$B$2:$C$13,2,0),""))</f>
        <v/>
      </c>
    </row>
    <row r="1549" spans="20:20" x14ac:dyDescent="0.3">
      <c r="T1549" s="47" t="str">
        <f ca="1">IF(R1549="","",IFERROR(TODAY()+VLOOKUP(R1549,REGRAS!$B$2:$C$13,2,0),""))</f>
        <v/>
      </c>
    </row>
    <row r="1550" spans="20:20" x14ac:dyDescent="0.3">
      <c r="T1550" s="47" t="str">
        <f ca="1">IF(R1550="","",IFERROR(TODAY()+VLOOKUP(R1550,REGRAS!$B$2:$C$13,2,0),""))</f>
        <v/>
      </c>
    </row>
    <row r="1551" spans="20:20" x14ac:dyDescent="0.3">
      <c r="T1551" s="47" t="str">
        <f ca="1">IF(R1551="","",IFERROR(TODAY()+VLOOKUP(R1551,REGRAS!$B$2:$C$13,2,0),""))</f>
        <v/>
      </c>
    </row>
    <row r="1552" spans="20:20" x14ac:dyDescent="0.3">
      <c r="T1552" s="47" t="str">
        <f ca="1">IF(R1552="","",IFERROR(TODAY()+VLOOKUP(R1552,REGRAS!$B$2:$C$13,2,0),""))</f>
        <v/>
      </c>
    </row>
    <row r="1553" spans="20:20" x14ac:dyDescent="0.3">
      <c r="T1553" s="47" t="str">
        <f ca="1">IF(R1553="","",IFERROR(TODAY()+VLOOKUP(R1553,REGRAS!$B$2:$C$13,2,0),""))</f>
        <v/>
      </c>
    </row>
    <row r="1554" spans="20:20" x14ac:dyDescent="0.3">
      <c r="T1554" s="47" t="str">
        <f ca="1">IF(R1554="","",IFERROR(TODAY()+VLOOKUP(R1554,REGRAS!$B$2:$C$13,2,0),""))</f>
        <v/>
      </c>
    </row>
    <row r="1555" spans="20:20" x14ac:dyDescent="0.3">
      <c r="T1555" s="47" t="str">
        <f ca="1">IF(R1555="","",IFERROR(TODAY()+VLOOKUP(R1555,REGRAS!$B$2:$C$13,2,0),""))</f>
        <v/>
      </c>
    </row>
    <row r="1556" spans="20:20" x14ac:dyDescent="0.3">
      <c r="T1556" s="47" t="str">
        <f ca="1">IF(R1556="","",IFERROR(TODAY()+VLOOKUP(R1556,REGRAS!$B$2:$C$13,2,0),""))</f>
        <v/>
      </c>
    </row>
    <row r="1557" spans="20:20" x14ac:dyDescent="0.3">
      <c r="T1557" s="47" t="str">
        <f ca="1">IF(R1557="","",IFERROR(TODAY()+VLOOKUP(R1557,REGRAS!$B$2:$C$13,2,0),""))</f>
        <v/>
      </c>
    </row>
    <row r="1558" spans="20:20" x14ac:dyDescent="0.3">
      <c r="T1558" s="47" t="str">
        <f ca="1">IF(R1558="","",IFERROR(TODAY()+VLOOKUP(R1558,REGRAS!$B$2:$C$13,2,0),""))</f>
        <v/>
      </c>
    </row>
    <row r="1559" spans="20:20" x14ac:dyDescent="0.3">
      <c r="T1559" s="47" t="str">
        <f ca="1">IF(R1559="","",IFERROR(TODAY()+VLOOKUP(R1559,REGRAS!$B$2:$C$13,2,0),""))</f>
        <v/>
      </c>
    </row>
    <row r="1560" spans="20:20" x14ac:dyDescent="0.3">
      <c r="T1560" s="47" t="str">
        <f ca="1">IF(R1560="","",IFERROR(TODAY()+VLOOKUP(R1560,REGRAS!$B$2:$C$13,2,0),""))</f>
        <v/>
      </c>
    </row>
    <row r="1561" spans="20:20" x14ac:dyDescent="0.3">
      <c r="T1561" s="47" t="str">
        <f ca="1">IF(R1561="","",IFERROR(TODAY()+VLOOKUP(R1561,REGRAS!$B$2:$C$13,2,0),""))</f>
        <v/>
      </c>
    </row>
    <row r="1562" spans="20:20" x14ac:dyDescent="0.3">
      <c r="T1562" s="47" t="str">
        <f ca="1">IF(R1562="","",IFERROR(TODAY()+VLOOKUP(R1562,REGRAS!$B$2:$C$13,2,0),""))</f>
        <v/>
      </c>
    </row>
    <row r="1563" spans="20:20" x14ac:dyDescent="0.3">
      <c r="T1563" s="47" t="str">
        <f ca="1">IF(R1563="","",IFERROR(TODAY()+VLOOKUP(R1563,REGRAS!$B$2:$C$13,2,0),""))</f>
        <v/>
      </c>
    </row>
    <row r="1564" spans="20:20" x14ac:dyDescent="0.3">
      <c r="T1564" s="47" t="str">
        <f ca="1">IF(R1564="","",IFERROR(TODAY()+VLOOKUP(R1564,REGRAS!$B$2:$C$13,2,0),""))</f>
        <v/>
      </c>
    </row>
    <row r="1565" spans="20:20" x14ac:dyDescent="0.3">
      <c r="T1565" s="47" t="str">
        <f ca="1">IF(R1565="","",IFERROR(TODAY()+VLOOKUP(R1565,REGRAS!$B$2:$C$13,2,0),""))</f>
        <v/>
      </c>
    </row>
    <row r="1566" spans="20:20" x14ac:dyDescent="0.3">
      <c r="T1566" s="47" t="str">
        <f ca="1">IF(R1566="","",IFERROR(TODAY()+VLOOKUP(R1566,REGRAS!$B$2:$C$13,2,0),""))</f>
        <v/>
      </c>
    </row>
    <row r="1567" spans="20:20" x14ac:dyDescent="0.3">
      <c r="T1567" s="47" t="str">
        <f ca="1">IF(R1567="","",IFERROR(TODAY()+VLOOKUP(R1567,REGRAS!$B$2:$C$13,2,0),""))</f>
        <v/>
      </c>
    </row>
    <row r="1568" spans="20:20" x14ac:dyDescent="0.3">
      <c r="T1568" s="47" t="str">
        <f ca="1">IF(R1568="","",IFERROR(TODAY()+VLOOKUP(R1568,REGRAS!$B$2:$C$13,2,0),""))</f>
        <v/>
      </c>
    </row>
    <row r="1569" spans="20:20" x14ac:dyDescent="0.3">
      <c r="T1569" s="47" t="str">
        <f ca="1">IF(R1569="","",IFERROR(TODAY()+VLOOKUP(R1569,REGRAS!$B$2:$C$13,2,0),""))</f>
        <v/>
      </c>
    </row>
    <row r="1570" spans="20:20" x14ac:dyDescent="0.3">
      <c r="T1570" s="47" t="str">
        <f ca="1">IF(R1570="","",IFERROR(TODAY()+VLOOKUP(R1570,REGRAS!$B$2:$C$13,2,0),""))</f>
        <v/>
      </c>
    </row>
    <row r="1571" spans="20:20" x14ac:dyDescent="0.3">
      <c r="T1571" s="47" t="str">
        <f ca="1">IF(R1571="","",IFERROR(TODAY()+VLOOKUP(R1571,REGRAS!$B$2:$C$13,2,0),""))</f>
        <v/>
      </c>
    </row>
    <row r="1572" spans="20:20" x14ac:dyDescent="0.3">
      <c r="T1572" s="47" t="str">
        <f ca="1">IF(R1572="","",IFERROR(TODAY()+VLOOKUP(R1572,REGRAS!$B$2:$C$13,2,0),""))</f>
        <v/>
      </c>
    </row>
    <row r="1573" spans="20:20" x14ac:dyDescent="0.3">
      <c r="T1573" s="47" t="str">
        <f ca="1">IF(R1573="","",IFERROR(TODAY()+VLOOKUP(R1573,REGRAS!$B$2:$C$13,2,0),""))</f>
        <v/>
      </c>
    </row>
    <row r="1574" spans="20:20" x14ac:dyDescent="0.3">
      <c r="T1574" s="47" t="str">
        <f ca="1">IF(R1574="","",IFERROR(TODAY()+VLOOKUP(R1574,REGRAS!$B$2:$C$13,2,0),""))</f>
        <v/>
      </c>
    </row>
    <row r="1575" spans="20:20" x14ac:dyDescent="0.3">
      <c r="T1575" s="47" t="str">
        <f ca="1">IF(R1575="","",IFERROR(TODAY()+VLOOKUP(R1575,REGRAS!$B$2:$C$13,2,0),""))</f>
        <v/>
      </c>
    </row>
    <row r="1576" spans="20:20" x14ac:dyDescent="0.3">
      <c r="T1576" s="47" t="str">
        <f ca="1">IF(R1576="","",IFERROR(TODAY()+VLOOKUP(R1576,REGRAS!$B$2:$C$13,2,0),""))</f>
        <v/>
      </c>
    </row>
    <row r="1577" spans="20:20" x14ac:dyDescent="0.3">
      <c r="T1577" s="47" t="str">
        <f ca="1">IF(R1577="","",IFERROR(TODAY()+VLOOKUP(R1577,REGRAS!$B$2:$C$13,2,0),""))</f>
        <v/>
      </c>
    </row>
    <row r="1578" spans="20:20" x14ac:dyDescent="0.3">
      <c r="T1578" s="47" t="str">
        <f ca="1">IF(R1578="","",IFERROR(TODAY()+VLOOKUP(R1578,REGRAS!$B$2:$C$13,2,0),""))</f>
        <v/>
      </c>
    </row>
    <row r="1579" spans="20:20" x14ac:dyDescent="0.3">
      <c r="T1579" s="47" t="str">
        <f ca="1">IF(R1579="","",IFERROR(TODAY()+VLOOKUP(R1579,REGRAS!$B$2:$C$13,2,0),""))</f>
        <v/>
      </c>
    </row>
    <row r="1580" spans="20:20" x14ac:dyDescent="0.3">
      <c r="T1580" s="47" t="str">
        <f ca="1">IF(R1580="","",IFERROR(TODAY()+VLOOKUP(R1580,REGRAS!$B$2:$C$13,2,0),""))</f>
        <v/>
      </c>
    </row>
    <row r="1581" spans="20:20" x14ac:dyDescent="0.3">
      <c r="T1581" s="47" t="str">
        <f ca="1">IF(R1581="","",IFERROR(TODAY()+VLOOKUP(R1581,REGRAS!$B$2:$C$13,2,0),""))</f>
        <v/>
      </c>
    </row>
    <row r="1582" spans="20:20" x14ac:dyDescent="0.3">
      <c r="T1582" s="47" t="str">
        <f ca="1">IF(R1582="","",IFERROR(TODAY()+VLOOKUP(R1582,REGRAS!$B$2:$C$13,2,0),""))</f>
        <v/>
      </c>
    </row>
    <row r="1583" spans="20:20" x14ac:dyDescent="0.3">
      <c r="T1583" s="47" t="str">
        <f ca="1">IF(R1583="","",IFERROR(TODAY()+VLOOKUP(R1583,REGRAS!$B$2:$C$13,2,0),""))</f>
        <v/>
      </c>
    </row>
    <row r="1584" spans="20:20" x14ac:dyDescent="0.3">
      <c r="T1584" s="47" t="str">
        <f ca="1">IF(R1584="","",IFERROR(TODAY()+VLOOKUP(R1584,REGRAS!$B$2:$C$13,2,0),""))</f>
        <v/>
      </c>
    </row>
    <row r="1585" spans="20:20" x14ac:dyDescent="0.3">
      <c r="T1585" s="47" t="str">
        <f ca="1">IF(R1585="","",IFERROR(TODAY()+VLOOKUP(R1585,REGRAS!$B$2:$C$13,2,0),""))</f>
        <v/>
      </c>
    </row>
    <row r="1586" spans="20:20" x14ac:dyDescent="0.3">
      <c r="T1586" s="47" t="str">
        <f ca="1">IF(R1586="","",IFERROR(TODAY()+VLOOKUP(R1586,REGRAS!$B$2:$C$13,2,0),""))</f>
        <v/>
      </c>
    </row>
    <row r="1587" spans="20:20" x14ac:dyDescent="0.3">
      <c r="T1587" s="47" t="str">
        <f ca="1">IF(R1587="","",IFERROR(TODAY()+VLOOKUP(R1587,REGRAS!$B$2:$C$13,2,0),""))</f>
        <v/>
      </c>
    </row>
    <row r="1588" spans="20:20" x14ac:dyDescent="0.3">
      <c r="T1588" s="47" t="str">
        <f ca="1">IF(R1588="","",IFERROR(TODAY()+VLOOKUP(R1588,REGRAS!$B$2:$C$13,2,0),""))</f>
        <v/>
      </c>
    </row>
    <row r="1589" spans="20:20" x14ac:dyDescent="0.3">
      <c r="T1589" s="47" t="str">
        <f ca="1">IF(R1589="","",IFERROR(TODAY()+VLOOKUP(R1589,REGRAS!$B$2:$C$13,2,0),""))</f>
        <v/>
      </c>
    </row>
    <row r="1590" spans="20:20" x14ac:dyDescent="0.3">
      <c r="T1590" s="47" t="str">
        <f ca="1">IF(R1590="","",IFERROR(TODAY()+VLOOKUP(R1590,REGRAS!$B$2:$C$13,2,0),""))</f>
        <v/>
      </c>
    </row>
    <row r="1591" spans="20:20" x14ac:dyDescent="0.3">
      <c r="T1591" s="47" t="str">
        <f ca="1">IF(R1591="","",IFERROR(TODAY()+VLOOKUP(R1591,REGRAS!$B$2:$C$13,2,0),""))</f>
        <v/>
      </c>
    </row>
    <row r="1592" spans="20:20" x14ac:dyDescent="0.3">
      <c r="T1592" s="47" t="str">
        <f ca="1">IF(R1592="","",IFERROR(TODAY()+VLOOKUP(R1592,REGRAS!$B$2:$C$13,2,0),""))</f>
        <v/>
      </c>
    </row>
    <row r="1593" spans="20:20" x14ac:dyDescent="0.3">
      <c r="T1593" s="47" t="str">
        <f ca="1">IF(R1593="","",IFERROR(TODAY()+VLOOKUP(R1593,REGRAS!$B$2:$C$13,2,0),""))</f>
        <v/>
      </c>
    </row>
    <row r="1594" spans="20:20" x14ac:dyDescent="0.3">
      <c r="T1594" s="47" t="str">
        <f ca="1">IF(R1594="","",IFERROR(TODAY()+VLOOKUP(R1594,REGRAS!$B$2:$C$13,2,0),""))</f>
        <v/>
      </c>
    </row>
    <row r="1595" spans="20:20" x14ac:dyDescent="0.3">
      <c r="T1595" s="47" t="str">
        <f ca="1">IF(R1595="","",IFERROR(TODAY()+VLOOKUP(R1595,REGRAS!$B$2:$C$13,2,0),""))</f>
        <v/>
      </c>
    </row>
    <row r="1596" spans="20:20" x14ac:dyDescent="0.3">
      <c r="T1596" s="47" t="str">
        <f ca="1">IF(R1596="","",IFERROR(TODAY()+VLOOKUP(R1596,REGRAS!$B$2:$C$13,2,0),""))</f>
        <v/>
      </c>
    </row>
    <row r="1597" spans="20:20" x14ac:dyDescent="0.3">
      <c r="T1597" s="47" t="str">
        <f ca="1">IF(R1597="","",IFERROR(TODAY()+VLOOKUP(R1597,REGRAS!$B$2:$C$13,2,0),""))</f>
        <v/>
      </c>
    </row>
    <row r="1598" spans="20:20" x14ac:dyDescent="0.3">
      <c r="T1598" s="47" t="str">
        <f ca="1">IF(R1598="","",IFERROR(TODAY()+VLOOKUP(R1598,REGRAS!$B$2:$C$13,2,0),""))</f>
        <v/>
      </c>
    </row>
    <row r="1599" spans="20:20" x14ac:dyDescent="0.3">
      <c r="T1599" s="47" t="str">
        <f ca="1">IF(R1599="","",IFERROR(TODAY()+VLOOKUP(R1599,REGRAS!$B$2:$C$13,2,0),""))</f>
        <v/>
      </c>
    </row>
    <row r="1600" spans="20:20" x14ac:dyDescent="0.3">
      <c r="T1600" s="47" t="str">
        <f ca="1">IF(R1600="","",IFERROR(TODAY()+VLOOKUP(R1600,REGRAS!$B$2:$C$13,2,0),""))</f>
        <v/>
      </c>
    </row>
    <row r="1601" spans="20:20" x14ac:dyDescent="0.3">
      <c r="T1601" s="47" t="str">
        <f ca="1">IF(R1601="","",IFERROR(TODAY()+VLOOKUP(R1601,REGRAS!$B$2:$C$13,2,0),""))</f>
        <v/>
      </c>
    </row>
    <row r="1602" spans="20:20" x14ac:dyDescent="0.3">
      <c r="T1602" s="47" t="str">
        <f ca="1">IF(R1602="","",IFERROR(TODAY()+VLOOKUP(R1602,REGRAS!$B$2:$C$13,2,0),""))</f>
        <v/>
      </c>
    </row>
    <row r="1603" spans="20:20" x14ac:dyDescent="0.3">
      <c r="T1603" s="47" t="str">
        <f ca="1">IF(R1603="","",IFERROR(TODAY()+VLOOKUP(R1603,REGRAS!$B$2:$C$13,2,0),""))</f>
        <v/>
      </c>
    </row>
    <row r="1604" spans="20:20" x14ac:dyDescent="0.3">
      <c r="T1604" s="47" t="str">
        <f ca="1">IF(R1604="","",IFERROR(TODAY()+VLOOKUP(R1604,REGRAS!$B$2:$C$13,2,0),""))</f>
        <v/>
      </c>
    </row>
    <row r="1605" spans="20:20" x14ac:dyDescent="0.3">
      <c r="T1605" s="47" t="str">
        <f ca="1">IF(R1605="","",IFERROR(TODAY()+VLOOKUP(R1605,REGRAS!$B$2:$C$13,2,0),""))</f>
        <v/>
      </c>
    </row>
    <row r="1606" spans="20:20" x14ac:dyDescent="0.3">
      <c r="T1606" s="47" t="str">
        <f ca="1">IF(R1606="","",IFERROR(TODAY()+VLOOKUP(R1606,REGRAS!$B$2:$C$13,2,0),""))</f>
        <v/>
      </c>
    </row>
    <row r="1607" spans="20:20" x14ac:dyDescent="0.3">
      <c r="T1607" s="47" t="str">
        <f ca="1">IF(R1607="","",IFERROR(TODAY()+VLOOKUP(R1607,REGRAS!$B$2:$C$13,2,0),""))</f>
        <v/>
      </c>
    </row>
    <row r="1608" spans="20:20" x14ac:dyDescent="0.3">
      <c r="T1608" s="47" t="str">
        <f ca="1">IF(R1608="","",IFERROR(TODAY()+VLOOKUP(R1608,REGRAS!$B$2:$C$13,2,0),""))</f>
        <v/>
      </c>
    </row>
    <row r="1609" spans="20:20" x14ac:dyDescent="0.3">
      <c r="T1609" s="47" t="str">
        <f ca="1">IF(R1609="","",IFERROR(TODAY()+VLOOKUP(R1609,REGRAS!$B$2:$C$13,2,0),""))</f>
        <v/>
      </c>
    </row>
    <row r="1610" spans="20:20" x14ac:dyDescent="0.3">
      <c r="T1610" s="47" t="str">
        <f ca="1">IF(R1610="","",IFERROR(TODAY()+VLOOKUP(R1610,REGRAS!$B$2:$C$13,2,0),""))</f>
        <v/>
      </c>
    </row>
    <row r="1611" spans="20:20" x14ac:dyDescent="0.3">
      <c r="T1611" s="47" t="str">
        <f ca="1">IF(R1611="","",IFERROR(TODAY()+VLOOKUP(R1611,REGRAS!$B$2:$C$13,2,0),""))</f>
        <v/>
      </c>
    </row>
    <row r="1612" spans="20:20" x14ac:dyDescent="0.3">
      <c r="T1612" s="47" t="str">
        <f ca="1">IF(R1612="","",IFERROR(TODAY()+VLOOKUP(R1612,REGRAS!$B$2:$C$13,2,0),""))</f>
        <v/>
      </c>
    </row>
    <row r="1613" spans="20:20" x14ac:dyDescent="0.3">
      <c r="T1613" s="47" t="str">
        <f ca="1">IF(R1613="","",IFERROR(TODAY()+VLOOKUP(R1613,REGRAS!$B$2:$C$13,2,0),""))</f>
        <v/>
      </c>
    </row>
    <row r="1614" spans="20:20" x14ac:dyDescent="0.3">
      <c r="T1614" s="47" t="str">
        <f ca="1">IF(R1614="","",IFERROR(TODAY()+VLOOKUP(R1614,REGRAS!$B$2:$C$13,2,0),""))</f>
        <v/>
      </c>
    </row>
    <row r="1615" spans="20:20" x14ac:dyDescent="0.3">
      <c r="T1615" s="47" t="str">
        <f ca="1">IF(R1615="","",IFERROR(TODAY()+VLOOKUP(R1615,REGRAS!$B$2:$C$13,2,0),""))</f>
        <v/>
      </c>
    </row>
    <row r="1616" spans="20:20" x14ac:dyDescent="0.3">
      <c r="T1616" s="47" t="str">
        <f ca="1">IF(R1616="","",IFERROR(TODAY()+VLOOKUP(R1616,REGRAS!$B$2:$C$13,2,0),""))</f>
        <v/>
      </c>
    </row>
    <row r="1617" spans="20:20" x14ac:dyDescent="0.3">
      <c r="T1617" s="47" t="str">
        <f ca="1">IF(R1617="","",IFERROR(TODAY()+VLOOKUP(R1617,REGRAS!$B$2:$C$13,2,0),""))</f>
        <v/>
      </c>
    </row>
    <row r="1618" spans="20:20" x14ac:dyDescent="0.3">
      <c r="T1618" s="47" t="str">
        <f ca="1">IF(R1618="","",IFERROR(TODAY()+VLOOKUP(R1618,REGRAS!$B$2:$C$13,2,0),""))</f>
        <v/>
      </c>
    </row>
    <row r="1619" spans="20:20" x14ac:dyDescent="0.3">
      <c r="T1619" s="47" t="str">
        <f ca="1">IF(R1619="","",IFERROR(TODAY()+VLOOKUP(R1619,REGRAS!$B$2:$C$13,2,0),""))</f>
        <v/>
      </c>
    </row>
    <row r="1620" spans="20:20" x14ac:dyDescent="0.3">
      <c r="T1620" s="47" t="str">
        <f ca="1">IF(R1620="","",IFERROR(TODAY()+VLOOKUP(R1620,REGRAS!$B$2:$C$13,2,0),""))</f>
        <v/>
      </c>
    </row>
    <row r="1621" spans="20:20" x14ac:dyDescent="0.3">
      <c r="T1621" s="47" t="str">
        <f ca="1">IF(R1621="","",IFERROR(TODAY()+VLOOKUP(R1621,REGRAS!$B$2:$C$13,2,0),""))</f>
        <v/>
      </c>
    </row>
    <row r="1622" spans="20:20" x14ac:dyDescent="0.3">
      <c r="T1622" s="47" t="str">
        <f ca="1">IF(R1622="","",IFERROR(TODAY()+VLOOKUP(R1622,REGRAS!$B$2:$C$13,2,0),""))</f>
        <v/>
      </c>
    </row>
    <row r="1623" spans="20:20" x14ac:dyDescent="0.3">
      <c r="T1623" s="47" t="str">
        <f ca="1">IF(R1623="","",IFERROR(TODAY()+VLOOKUP(R1623,REGRAS!$B$2:$C$13,2,0),""))</f>
        <v/>
      </c>
    </row>
    <row r="1624" spans="20:20" x14ac:dyDescent="0.3">
      <c r="T1624" s="47" t="str">
        <f ca="1">IF(R1624="","",IFERROR(TODAY()+VLOOKUP(R1624,REGRAS!$B$2:$C$13,2,0),""))</f>
        <v/>
      </c>
    </row>
    <row r="1625" spans="20:20" x14ac:dyDescent="0.3">
      <c r="T1625" s="47" t="str">
        <f ca="1">IF(R1625="","",IFERROR(TODAY()+VLOOKUP(R1625,REGRAS!$B$2:$C$13,2,0),""))</f>
        <v/>
      </c>
    </row>
    <row r="1626" spans="20:20" x14ac:dyDescent="0.3">
      <c r="T1626" s="47" t="str">
        <f ca="1">IF(R1626="","",IFERROR(TODAY()+VLOOKUP(R1626,REGRAS!$B$2:$C$13,2,0),""))</f>
        <v/>
      </c>
    </row>
    <row r="1627" spans="20:20" x14ac:dyDescent="0.3">
      <c r="T1627" s="47" t="str">
        <f ca="1">IF(R1627="","",IFERROR(TODAY()+VLOOKUP(R1627,REGRAS!$B$2:$C$13,2,0),""))</f>
        <v/>
      </c>
    </row>
    <row r="1628" spans="20:20" x14ac:dyDescent="0.3">
      <c r="T1628" s="47" t="str">
        <f ca="1">IF(R1628="","",IFERROR(TODAY()+VLOOKUP(R1628,REGRAS!$B$2:$C$13,2,0),""))</f>
        <v/>
      </c>
    </row>
    <row r="1629" spans="20:20" x14ac:dyDescent="0.3">
      <c r="T1629" s="47" t="str">
        <f ca="1">IF(R1629="","",IFERROR(TODAY()+VLOOKUP(R1629,REGRAS!$B$2:$C$13,2,0),""))</f>
        <v/>
      </c>
    </row>
    <row r="1630" spans="20:20" x14ac:dyDescent="0.3">
      <c r="T1630" s="47" t="str">
        <f ca="1">IF(R1630="","",IFERROR(TODAY()+VLOOKUP(R1630,REGRAS!$B$2:$C$13,2,0),""))</f>
        <v/>
      </c>
    </row>
    <row r="1631" spans="20:20" x14ac:dyDescent="0.3">
      <c r="T1631" s="47" t="str">
        <f ca="1">IF(R1631="","",IFERROR(TODAY()+VLOOKUP(R1631,REGRAS!$B$2:$C$13,2,0),""))</f>
        <v/>
      </c>
    </row>
    <row r="1632" spans="20:20" x14ac:dyDescent="0.3">
      <c r="T1632" s="47" t="str">
        <f ca="1">IF(R1632="","",IFERROR(TODAY()+VLOOKUP(R1632,REGRAS!$B$2:$C$13,2,0),""))</f>
        <v/>
      </c>
    </row>
    <row r="1633" spans="20:20" x14ac:dyDescent="0.3">
      <c r="T1633" s="47" t="str">
        <f ca="1">IF(R1633="","",IFERROR(TODAY()+VLOOKUP(R1633,REGRAS!$B$2:$C$13,2,0),""))</f>
        <v/>
      </c>
    </row>
    <row r="1634" spans="20:20" x14ac:dyDescent="0.3">
      <c r="T1634" s="47" t="str">
        <f ca="1">IF(R1634="","",IFERROR(TODAY()+VLOOKUP(R1634,REGRAS!$B$2:$C$13,2,0),""))</f>
        <v/>
      </c>
    </row>
    <row r="1635" spans="20:20" x14ac:dyDescent="0.3">
      <c r="T1635" s="47" t="str">
        <f ca="1">IF(R1635="","",IFERROR(TODAY()+VLOOKUP(R1635,REGRAS!$B$2:$C$13,2,0),""))</f>
        <v/>
      </c>
    </row>
    <row r="1636" spans="20:20" x14ac:dyDescent="0.3">
      <c r="T1636" s="47" t="str">
        <f ca="1">IF(R1636="","",IFERROR(TODAY()+VLOOKUP(R1636,REGRAS!$B$2:$C$13,2,0),""))</f>
        <v/>
      </c>
    </row>
    <row r="1637" spans="20:20" x14ac:dyDescent="0.3">
      <c r="T1637" s="47" t="str">
        <f ca="1">IF(R1637="","",IFERROR(TODAY()+VLOOKUP(R1637,REGRAS!$B$2:$C$13,2,0),""))</f>
        <v/>
      </c>
    </row>
    <row r="1638" spans="20:20" x14ac:dyDescent="0.3">
      <c r="T1638" s="47" t="str">
        <f ca="1">IF(R1638="","",IFERROR(TODAY()+VLOOKUP(R1638,REGRAS!$B$2:$C$13,2,0),""))</f>
        <v/>
      </c>
    </row>
    <row r="1639" spans="20:20" x14ac:dyDescent="0.3">
      <c r="T1639" s="47" t="str">
        <f ca="1">IF(R1639="","",IFERROR(TODAY()+VLOOKUP(R1639,REGRAS!$B$2:$C$13,2,0),""))</f>
        <v/>
      </c>
    </row>
    <row r="1640" spans="20:20" x14ac:dyDescent="0.3">
      <c r="T1640" s="47" t="str">
        <f ca="1">IF(R1640="","",IFERROR(TODAY()+VLOOKUP(R1640,REGRAS!$B$2:$C$13,2,0),""))</f>
        <v/>
      </c>
    </row>
    <row r="1641" spans="20:20" x14ac:dyDescent="0.3">
      <c r="T1641" s="47" t="str">
        <f ca="1">IF(R1641="","",IFERROR(TODAY()+VLOOKUP(R1641,REGRAS!$B$2:$C$13,2,0),""))</f>
        <v/>
      </c>
    </row>
    <row r="1642" spans="20:20" x14ac:dyDescent="0.3">
      <c r="T1642" s="47" t="str">
        <f ca="1">IF(R1642="","",IFERROR(TODAY()+VLOOKUP(R1642,REGRAS!$B$2:$C$13,2,0),""))</f>
        <v/>
      </c>
    </row>
    <row r="1643" spans="20:20" x14ac:dyDescent="0.3">
      <c r="T1643" s="47" t="str">
        <f ca="1">IF(R1643="","",IFERROR(TODAY()+VLOOKUP(R1643,REGRAS!$B$2:$C$13,2,0),""))</f>
        <v/>
      </c>
    </row>
    <row r="1644" spans="20:20" x14ac:dyDescent="0.3">
      <c r="T1644" s="47" t="str">
        <f ca="1">IF(R1644="","",IFERROR(TODAY()+VLOOKUP(R1644,REGRAS!$B$2:$C$13,2,0),""))</f>
        <v/>
      </c>
    </row>
    <row r="1645" spans="20:20" x14ac:dyDescent="0.3">
      <c r="T1645" s="47" t="str">
        <f ca="1">IF(R1645="","",IFERROR(TODAY()+VLOOKUP(R1645,REGRAS!$B$2:$C$13,2,0),""))</f>
        <v/>
      </c>
    </row>
    <row r="1646" spans="20:20" x14ac:dyDescent="0.3">
      <c r="T1646" s="47" t="str">
        <f ca="1">IF(R1646="","",IFERROR(TODAY()+VLOOKUP(R1646,REGRAS!$B$2:$C$13,2,0),""))</f>
        <v/>
      </c>
    </row>
    <row r="1647" spans="20:20" x14ac:dyDescent="0.3">
      <c r="T1647" s="47" t="str">
        <f ca="1">IF(R1647="","",IFERROR(TODAY()+VLOOKUP(R1647,REGRAS!$B$2:$C$13,2,0),""))</f>
        <v/>
      </c>
    </row>
    <row r="1648" spans="20:20" x14ac:dyDescent="0.3">
      <c r="T1648" s="47" t="str">
        <f ca="1">IF(R1648="","",IFERROR(TODAY()+VLOOKUP(R1648,REGRAS!$B$2:$C$13,2,0),""))</f>
        <v/>
      </c>
    </row>
    <row r="1649" spans="20:20" x14ac:dyDescent="0.3">
      <c r="T1649" s="47" t="str">
        <f ca="1">IF(R1649="","",IFERROR(TODAY()+VLOOKUP(R1649,REGRAS!$B$2:$C$13,2,0),""))</f>
        <v/>
      </c>
    </row>
    <row r="1650" spans="20:20" x14ac:dyDescent="0.3">
      <c r="T1650" s="47" t="str">
        <f ca="1">IF(R1650="","",IFERROR(TODAY()+VLOOKUP(R1650,REGRAS!$B$2:$C$13,2,0),""))</f>
        <v/>
      </c>
    </row>
    <row r="1651" spans="20:20" x14ac:dyDescent="0.3">
      <c r="T1651" s="47" t="str">
        <f ca="1">IF(R1651="","",IFERROR(TODAY()+VLOOKUP(R1651,REGRAS!$B$2:$C$13,2,0),""))</f>
        <v/>
      </c>
    </row>
    <row r="1652" spans="20:20" x14ac:dyDescent="0.3">
      <c r="T1652" s="47" t="str">
        <f ca="1">IF(R1652="","",IFERROR(TODAY()+VLOOKUP(R1652,REGRAS!$B$2:$C$13,2,0),""))</f>
        <v/>
      </c>
    </row>
    <row r="1653" spans="20:20" x14ac:dyDescent="0.3">
      <c r="T1653" s="47" t="str">
        <f ca="1">IF(R1653="","",IFERROR(TODAY()+VLOOKUP(R1653,REGRAS!$B$2:$C$13,2,0),""))</f>
        <v/>
      </c>
    </row>
    <row r="1654" spans="20:20" x14ac:dyDescent="0.3">
      <c r="T1654" s="47" t="str">
        <f ca="1">IF(R1654="","",IFERROR(TODAY()+VLOOKUP(R1654,REGRAS!$B$2:$C$13,2,0),""))</f>
        <v/>
      </c>
    </row>
    <row r="1655" spans="20:20" x14ac:dyDescent="0.3">
      <c r="T1655" s="47" t="str">
        <f ca="1">IF(R1655="","",IFERROR(TODAY()+VLOOKUP(R1655,REGRAS!$B$2:$C$13,2,0),""))</f>
        <v/>
      </c>
    </row>
    <row r="1656" spans="20:20" x14ac:dyDescent="0.3">
      <c r="T1656" s="47" t="str">
        <f ca="1">IF(R1656="","",IFERROR(TODAY()+VLOOKUP(R1656,REGRAS!$B$2:$C$13,2,0),""))</f>
        <v/>
      </c>
    </row>
    <row r="1657" spans="20:20" x14ac:dyDescent="0.3">
      <c r="T1657" s="47" t="str">
        <f ca="1">IF(R1657="","",IFERROR(TODAY()+VLOOKUP(R1657,REGRAS!$B$2:$C$13,2,0),""))</f>
        <v/>
      </c>
    </row>
    <row r="1658" spans="20:20" x14ac:dyDescent="0.3">
      <c r="T1658" s="47" t="str">
        <f ca="1">IF(R1658="","",IFERROR(TODAY()+VLOOKUP(R1658,REGRAS!$B$2:$C$13,2,0),""))</f>
        <v/>
      </c>
    </row>
    <row r="1659" spans="20:20" x14ac:dyDescent="0.3">
      <c r="T1659" s="47" t="str">
        <f ca="1">IF(R1659="","",IFERROR(TODAY()+VLOOKUP(R1659,REGRAS!$B$2:$C$13,2,0),""))</f>
        <v/>
      </c>
    </row>
    <row r="1660" spans="20:20" x14ac:dyDescent="0.3">
      <c r="T1660" s="47" t="str">
        <f ca="1">IF(R1660="","",IFERROR(TODAY()+VLOOKUP(R1660,REGRAS!$B$2:$C$13,2,0),""))</f>
        <v/>
      </c>
    </row>
    <row r="1661" spans="20:20" x14ac:dyDescent="0.3">
      <c r="T1661" s="47" t="str">
        <f ca="1">IF(R1661="","",IFERROR(TODAY()+VLOOKUP(R1661,REGRAS!$B$2:$C$13,2,0),""))</f>
        <v/>
      </c>
    </row>
    <row r="1662" spans="20:20" x14ac:dyDescent="0.3">
      <c r="T1662" s="47" t="str">
        <f ca="1">IF(R1662="","",IFERROR(TODAY()+VLOOKUP(R1662,REGRAS!$B$2:$C$13,2,0),""))</f>
        <v/>
      </c>
    </row>
    <row r="1663" spans="20:20" x14ac:dyDescent="0.3">
      <c r="T1663" s="47" t="str">
        <f ca="1">IF(R1663="","",IFERROR(TODAY()+VLOOKUP(R1663,REGRAS!$B$2:$C$13,2,0),""))</f>
        <v/>
      </c>
    </row>
    <row r="1664" spans="20:20" x14ac:dyDescent="0.3">
      <c r="T1664" s="47" t="str">
        <f ca="1">IF(R1664="","",IFERROR(TODAY()+VLOOKUP(R1664,REGRAS!$B$2:$C$13,2,0),""))</f>
        <v/>
      </c>
    </row>
    <row r="1665" spans="20:20" x14ac:dyDescent="0.3">
      <c r="T1665" s="47" t="str">
        <f ca="1">IF(R1665="","",IFERROR(TODAY()+VLOOKUP(R1665,REGRAS!$B$2:$C$13,2,0),""))</f>
        <v/>
      </c>
    </row>
    <row r="1666" spans="20:20" x14ac:dyDescent="0.3">
      <c r="T1666" s="47" t="str">
        <f ca="1">IF(R1666="","",IFERROR(TODAY()+VLOOKUP(R1666,REGRAS!$B$2:$C$13,2,0),""))</f>
        <v/>
      </c>
    </row>
    <row r="1667" spans="20:20" x14ac:dyDescent="0.3">
      <c r="T1667" s="47" t="str">
        <f ca="1">IF(R1667="","",IFERROR(TODAY()+VLOOKUP(R1667,REGRAS!$B$2:$C$13,2,0),""))</f>
        <v/>
      </c>
    </row>
    <row r="1668" spans="20:20" x14ac:dyDescent="0.3">
      <c r="T1668" s="47" t="str">
        <f ca="1">IF(R1668="","",IFERROR(TODAY()+VLOOKUP(R1668,REGRAS!$B$2:$C$13,2,0),""))</f>
        <v/>
      </c>
    </row>
    <row r="1669" spans="20:20" x14ac:dyDescent="0.3">
      <c r="T1669" s="47" t="str">
        <f ca="1">IF(R1669="","",IFERROR(TODAY()+VLOOKUP(R1669,REGRAS!$B$2:$C$13,2,0),""))</f>
        <v/>
      </c>
    </row>
    <row r="1670" spans="20:20" x14ac:dyDescent="0.3">
      <c r="T1670" s="47" t="str">
        <f ca="1">IF(R1670="","",IFERROR(TODAY()+VLOOKUP(R1670,REGRAS!$B$2:$C$13,2,0),""))</f>
        <v/>
      </c>
    </row>
    <row r="1671" spans="20:20" x14ac:dyDescent="0.3">
      <c r="T1671" s="47" t="str">
        <f ca="1">IF(R1671="","",IFERROR(TODAY()+VLOOKUP(R1671,REGRAS!$B$2:$C$13,2,0),""))</f>
        <v/>
      </c>
    </row>
    <row r="1672" spans="20:20" x14ac:dyDescent="0.3">
      <c r="T1672" s="47" t="str">
        <f ca="1">IF(R1672="","",IFERROR(TODAY()+VLOOKUP(R1672,REGRAS!$B$2:$C$13,2,0),""))</f>
        <v/>
      </c>
    </row>
    <row r="1673" spans="20:20" x14ac:dyDescent="0.3">
      <c r="T1673" s="47" t="str">
        <f ca="1">IF(R1673="","",IFERROR(TODAY()+VLOOKUP(R1673,REGRAS!$B$2:$C$13,2,0),""))</f>
        <v/>
      </c>
    </row>
    <row r="1674" spans="20:20" x14ac:dyDescent="0.3">
      <c r="T1674" s="47" t="str">
        <f ca="1">IF(R1674="","",IFERROR(TODAY()+VLOOKUP(R1674,REGRAS!$B$2:$C$13,2,0),""))</f>
        <v/>
      </c>
    </row>
    <row r="1675" spans="20:20" x14ac:dyDescent="0.3">
      <c r="T1675" s="47" t="str">
        <f ca="1">IF(R1675="","",IFERROR(TODAY()+VLOOKUP(R1675,REGRAS!$B$2:$C$13,2,0),""))</f>
        <v/>
      </c>
    </row>
    <row r="1676" spans="20:20" x14ac:dyDescent="0.3">
      <c r="T1676" s="47" t="str">
        <f ca="1">IF(R1676="","",IFERROR(TODAY()+VLOOKUP(R1676,REGRAS!$B$2:$C$13,2,0),""))</f>
        <v/>
      </c>
    </row>
    <row r="1677" spans="20:20" x14ac:dyDescent="0.3">
      <c r="T1677" s="47" t="str">
        <f ca="1">IF(R1677="","",IFERROR(TODAY()+VLOOKUP(R1677,REGRAS!$B$2:$C$13,2,0),""))</f>
        <v/>
      </c>
    </row>
    <row r="1678" spans="20:20" x14ac:dyDescent="0.3">
      <c r="T1678" s="47" t="str">
        <f ca="1">IF(R1678="","",IFERROR(TODAY()+VLOOKUP(R1678,REGRAS!$B$2:$C$13,2,0),""))</f>
        <v/>
      </c>
    </row>
    <row r="1679" spans="20:20" x14ac:dyDescent="0.3">
      <c r="T1679" s="47" t="str">
        <f ca="1">IF(R1679="","",IFERROR(TODAY()+VLOOKUP(R1679,REGRAS!$B$2:$C$13,2,0),""))</f>
        <v/>
      </c>
    </row>
    <row r="1680" spans="20:20" x14ac:dyDescent="0.3">
      <c r="T1680" s="47" t="str">
        <f ca="1">IF(R1680="","",IFERROR(TODAY()+VLOOKUP(R1680,REGRAS!$B$2:$C$13,2,0),""))</f>
        <v/>
      </c>
    </row>
    <row r="1681" spans="20:20" x14ac:dyDescent="0.3">
      <c r="T1681" s="47" t="str">
        <f ca="1">IF(R1681="","",IFERROR(TODAY()+VLOOKUP(R1681,REGRAS!$B$2:$C$13,2,0),""))</f>
        <v/>
      </c>
    </row>
    <row r="1682" spans="20:20" x14ac:dyDescent="0.3">
      <c r="T1682" s="47" t="str">
        <f ca="1">IF(R1682="","",IFERROR(TODAY()+VLOOKUP(R1682,REGRAS!$B$2:$C$13,2,0),""))</f>
        <v/>
      </c>
    </row>
    <row r="1683" spans="20:20" x14ac:dyDescent="0.3">
      <c r="T1683" s="47" t="str">
        <f ca="1">IF(R1683="","",IFERROR(TODAY()+VLOOKUP(R1683,REGRAS!$B$2:$C$13,2,0),""))</f>
        <v/>
      </c>
    </row>
    <row r="1684" spans="20:20" x14ac:dyDescent="0.3">
      <c r="T1684" s="47" t="str">
        <f ca="1">IF(R1684="","",IFERROR(TODAY()+VLOOKUP(R1684,REGRAS!$B$2:$C$13,2,0),""))</f>
        <v/>
      </c>
    </row>
    <row r="1685" spans="20:20" x14ac:dyDescent="0.3">
      <c r="T1685" s="47" t="str">
        <f ca="1">IF(R1685="","",IFERROR(TODAY()+VLOOKUP(R1685,REGRAS!$B$2:$C$13,2,0),""))</f>
        <v/>
      </c>
    </row>
    <row r="1686" spans="20:20" x14ac:dyDescent="0.3">
      <c r="T1686" s="47" t="str">
        <f ca="1">IF(R1686="","",IFERROR(TODAY()+VLOOKUP(R1686,REGRAS!$B$2:$C$13,2,0),""))</f>
        <v/>
      </c>
    </row>
    <row r="1687" spans="20:20" x14ac:dyDescent="0.3">
      <c r="T1687" s="47" t="str">
        <f ca="1">IF(R1687="","",IFERROR(TODAY()+VLOOKUP(R1687,REGRAS!$B$2:$C$13,2,0),""))</f>
        <v/>
      </c>
    </row>
    <row r="1688" spans="20:20" x14ac:dyDescent="0.3">
      <c r="T1688" s="47" t="str">
        <f ca="1">IF(R1688="","",IFERROR(TODAY()+VLOOKUP(R1688,REGRAS!$B$2:$C$13,2,0),""))</f>
        <v/>
      </c>
    </row>
    <row r="1689" spans="20:20" x14ac:dyDescent="0.3">
      <c r="T1689" s="47" t="str">
        <f ca="1">IF(R1689="","",IFERROR(TODAY()+VLOOKUP(R1689,REGRAS!$B$2:$C$13,2,0),""))</f>
        <v/>
      </c>
    </row>
    <row r="1690" spans="20:20" x14ac:dyDescent="0.3">
      <c r="T1690" s="47" t="str">
        <f ca="1">IF(R1690="","",IFERROR(TODAY()+VLOOKUP(R1690,REGRAS!$B$2:$C$13,2,0),""))</f>
        <v/>
      </c>
    </row>
    <row r="1691" spans="20:20" x14ac:dyDescent="0.3">
      <c r="T1691" s="47" t="str">
        <f ca="1">IF(R1691="","",IFERROR(TODAY()+VLOOKUP(R1691,REGRAS!$B$2:$C$13,2,0),""))</f>
        <v/>
      </c>
    </row>
    <row r="1692" spans="20:20" x14ac:dyDescent="0.3">
      <c r="T1692" s="47" t="str">
        <f ca="1">IF(R1692="","",IFERROR(TODAY()+VLOOKUP(R1692,REGRAS!$B$2:$C$13,2,0),""))</f>
        <v/>
      </c>
    </row>
    <row r="1693" spans="20:20" x14ac:dyDescent="0.3">
      <c r="T1693" s="47" t="str">
        <f ca="1">IF(R1693="","",IFERROR(TODAY()+VLOOKUP(R1693,REGRAS!$B$2:$C$13,2,0),""))</f>
        <v/>
      </c>
    </row>
    <row r="1694" spans="20:20" x14ac:dyDescent="0.3">
      <c r="T1694" s="47" t="str">
        <f ca="1">IF(R1694="","",IFERROR(TODAY()+VLOOKUP(R1694,REGRAS!$B$2:$C$13,2,0),""))</f>
        <v/>
      </c>
    </row>
    <row r="1695" spans="20:20" x14ac:dyDescent="0.3">
      <c r="T1695" s="47" t="str">
        <f ca="1">IF(R1695="","",IFERROR(TODAY()+VLOOKUP(R1695,REGRAS!$B$2:$C$13,2,0),""))</f>
        <v/>
      </c>
    </row>
    <row r="1696" spans="20:20" x14ac:dyDescent="0.3">
      <c r="T1696" s="47" t="str">
        <f ca="1">IF(R1696="","",IFERROR(TODAY()+VLOOKUP(R1696,REGRAS!$B$2:$C$13,2,0),""))</f>
        <v/>
      </c>
    </row>
    <row r="1697" spans="20:20" x14ac:dyDescent="0.3">
      <c r="T1697" s="47" t="str">
        <f ca="1">IF(R1697="","",IFERROR(TODAY()+VLOOKUP(R1697,REGRAS!$B$2:$C$13,2,0),""))</f>
        <v/>
      </c>
    </row>
    <row r="1698" spans="20:20" x14ac:dyDescent="0.3">
      <c r="T1698" s="47" t="str">
        <f ca="1">IF(R1698="","",IFERROR(TODAY()+VLOOKUP(R1698,REGRAS!$B$2:$C$13,2,0),""))</f>
        <v/>
      </c>
    </row>
    <row r="1699" spans="20:20" x14ac:dyDescent="0.3">
      <c r="T1699" s="47" t="str">
        <f ca="1">IF(R1699="","",IFERROR(TODAY()+VLOOKUP(R1699,REGRAS!$B$2:$C$13,2,0),""))</f>
        <v/>
      </c>
    </row>
    <row r="1700" spans="20:20" x14ac:dyDescent="0.3">
      <c r="T1700" s="47" t="str">
        <f ca="1">IF(R1700="","",IFERROR(TODAY()+VLOOKUP(R1700,REGRAS!$B$2:$C$13,2,0),""))</f>
        <v/>
      </c>
    </row>
    <row r="1701" spans="20:20" x14ac:dyDescent="0.3">
      <c r="T1701" s="47" t="str">
        <f ca="1">IF(R1701="","",IFERROR(TODAY()+VLOOKUP(R1701,REGRAS!$B$2:$C$13,2,0),""))</f>
        <v/>
      </c>
    </row>
    <row r="1702" spans="20:20" x14ac:dyDescent="0.3">
      <c r="T1702" s="47" t="str">
        <f ca="1">IF(R1702="","",IFERROR(TODAY()+VLOOKUP(R1702,REGRAS!$B$2:$C$13,2,0),""))</f>
        <v/>
      </c>
    </row>
    <row r="1703" spans="20:20" x14ac:dyDescent="0.3">
      <c r="T1703" s="47" t="str">
        <f ca="1">IF(R1703="","",IFERROR(TODAY()+VLOOKUP(R1703,REGRAS!$B$2:$C$13,2,0),""))</f>
        <v/>
      </c>
    </row>
    <row r="1704" spans="20:20" x14ac:dyDescent="0.3">
      <c r="T1704" s="47" t="str">
        <f ca="1">IF(R1704="","",IFERROR(TODAY()+VLOOKUP(R1704,REGRAS!$B$2:$C$13,2,0),""))</f>
        <v/>
      </c>
    </row>
    <row r="1705" spans="20:20" x14ac:dyDescent="0.3">
      <c r="T1705" s="47" t="str">
        <f ca="1">IF(R1705="","",IFERROR(TODAY()+VLOOKUP(R1705,REGRAS!$B$2:$C$13,2,0),""))</f>
        <v/>
      </c>
    </row>
    <row r="1706" spans="20:20" x14ac:dyDescent="0.3">
      <c r="T1706" s="47" t="str">
        <f ca="1">IF(R1706="","",IFERROR(TODAY()+VLOOKUP(R1706,REGRAS!$B$2:$C$13,2,0),""))</f>
        <v/>
      </c>
    </row>
    <row r="1707" spans="20:20" x14ac:dyDescent="0.3">
      <c r="T1707" s="47" t="str">
        <f ca="1">IF(R1707="","",IFERROR(TODAY()+VLOOKUP(R1707,REGRAS!$B$2:$C$13,2,0),""))</f>
        <v/>
      </c>
    </row>
    <row r="1708" spans="20:20" x14ac:dyDescent="0.3">
      <c r="T1708" s="47" t="str">
        <f ca="1">IF(R1708="","",IFERROR(TODAY()+VLOOKUP(R1708,REGRAS!$B$2:$C$13,2,0),""))</f>
        <v/>
      </c>
    </row>
    <row r="1709" spans="20:20" x14ac:dyDescent="0.3">
      <c r="T1709" s="47" t="str">
        <f ca="1">IF(R1709="","",IFERROR(TODAY()+VLOOKUP(R1709,REGRAS!$B$2:$C$13,2,0),""))</f>
        <v/>
      </c>
    </row>
    <row r="1710" spans="20:20" x14ac:dyDescent="0.3">
      <c r="T1710" s="47" t="str">
        <f ca="1">IF(R1710="","",IFERROR(TODAY()+VLOOKUP(R1710,REGRAS!$B$2:$C$13,2,0),""))</f>
        <v/>
      </c>
    </row>
    <row r="1711" spans="20:20" x14ac:dyDescent="0.3">
      <c r="T1711" s="47" t="str">
        <f ca="1">IF(R1711="","",IFERROR(TODAY()+VLOOKUP(R1711,REGRAS!$B$2:$C$13,2,0),""))</f>
        <v/>
      </c>
    </row>
    <row r="1712" spans="20:20" x14ac:dyDescent="0.3">
      <c r="T1712" s="47" t="str">
        <f ca="1">IF(R1712="","",IFERROR(TODAY()+VLOOKUP(R1712,REGRAS!$B$2:$C$13,2,0),""))</f>
        <v/>
      </c>
    </row>
    <row r="1713" spans="20:20" x14ac:dyDescent="0.3">
      <c r="T1713" s="47" t="str">
        <f ca="1">IF(R1713="","",IFERROR(TODAY()+VLOOKUP(R1713,REGRAS!$B$2:$C$13,2,0),""))</f>
        <v/>
      </c>
    </row>
    <row r="1714" spans="20:20" x14ac:dyDescent="0.3">
      <c r="T1714" s="47" t="str">
        <f ca="1">IF(R1714="","",IFERROR(TODAY()+VLOOKUP(R1714,REGRAS!$B$2:$C$13,2,0),""))</f>
        <v/>
      </c>
    </row>
    <row r="1715" spans="20:20" x14ac:dyDescent="0.3">
      <c r="T1715" s="47" t="str">
        <f ca="1">IF(R1715="","",IFERROR(TODAY()+VLOOKUP(R1715,REGRAS!$B$2:$C$13,2,0),""))</f>
        <v/>
      </c>
    </row>
    <row r="1716" spans="20:20" x14ac:dyDescent="0.3">
      <c r="T1716" s="47" t="str">
        <f ca="1">IF(R1716="","",IFERROR(TODAY()+VLOOKUP(R1716,REGRAS!$B$2:$C$13,2,0),""))</f>
        <v/>
      </c>
    </row>
    <row r="1717" spans="20:20" x14ac:dyDescent="0.3">
      <c r="T1717" s="47" t="str">
        <f ca="1">IF(R1717="","",IFERROR(TODAY()+VLOOKUP(R1717,REGRAS!$B$2:$C$13,2,0),""))</f>
        <v/>
      </c>
    </row>
    <row r="1718" spans="20:20" x14ac:dyDescent="0.3">
      <c r="T1718" s="47" t="str">
        <f ca="1">IF(R1718="","",IFERROR(TODAY()+VLOOKUP(R1718,REGRAS!$B$2:$C$13,2,0),""))</f>
        <v/>
      </c>
    </row>
    <row r="1719" spans="20:20" x14ac:dyDescent="0.3">
      <c r="T1719" s="47" t="str">
        <f ca="1">IF(R1719="","",IFERROR(TODAY()+VLOOKUP(R1719,REGRAS!$B$2:$C$13,2,0),""))</f>
        <v/>
      </c>
    </row>
    <row r="1720" spans="20:20" x14ac:dyDescent="0.3">
      <c r="T1720" s="47" t="str">
        <f ca="1">IF(R1720="","",IFERROR(TODAY()+VLOOKUP(R1720,REGRAS!$B$2:$C$13,2,0),""))</f>
        <v/>
      </c>
    </row>
    <row r="1721" spans="20:20" x14ac:dyDescent="0.3">
      <c r="T1721" s="47" t="str">
        <f ca="1">IF(R1721="","",IFERROR(TODAY()+VLOOKUP(R1721,REGRAS!$B$2:$C$13,2,0),""))</f>
        <v/>
      </c>
    </row>
    <row r="1722" spans="20:20" x14ac:dyDescent="0.3">
      <c r="T1722" s="47" t="str">
        <f ca="1">IF(R1722="","",IFERROR(TODAY()+VLOOKUP(R1722,REGRAS!$B$2:$C$13,2,0),""))</f>
        <v/>
      </c>
    </row>
    <row r="1723" spans="20:20" x14ac:dyDescent="0.3">
      <c r="T1723" s="47" t="str">
        <f ca="1">IF(R1723="","",IFERROR(TODAY()+VLOOKUP(R1723,REGRAS!$B$2:$C$13,2,0),""))</f>
        <v/>
      </c>
    </row>
    <row r="1724" spans="20:20" x14ac:dyDescent="0.3">
      <c r="T1724" s="47" t="str">
        <f ca="1">IF(R1724="","",IFERROR(TODAY()+VLOOKUP(R1724,REGRAS!$B$2:$C$13,2,0),""))</f>
        <v/>
      </c>
    </row>
    <row r="1725" spans="20:20" x14ac:dyDescent="0.3">
      <c r="T1725" s="47" t="str">
        <f ca="1">IF(R1725="","",IFERROR(TODAY()+VLOOKUP(R1725,REGRAS!$B$2:$C$13,2,0),""))</f>
        <v/>
      </c>
    </row>
    <row r="1726" spans="20:20" x14ac:dyDescent="0.3">
      <c r="T1726" s="47" t="str">
        <f ca="1">IF(R1726="","",IFERROR(TODAY()+VLOOKUP(R1726,REGRAS!$B$2:$C$13,2,0),""))</f>
        <v/>
      </c>
    </row>
    <row r="1727" spans="20:20" x14ac:dyDescent="0.3">
      <c r="T1727" s="47" t="str">
        <f ca="1">IF(R1727="","",IFERROR(TODAY()+VLOOKUP(R1727,REGRAS!$B$2:$C$13,2,0),""))</f>
        <v/>
      </c>
    </row>
    <row r="1728" spans="20:20" x14ac:dyDescent="0.3">
      <c r="T1728" s="47" t="str">
        <f ca="1">IF(R1728="","",IFERROR(TODAY()+VLOOKUP(R1728,REGRAS!$B$2:$C$13,2,0),""))</f>
        <v/>
      </c>
    </row>
    <row r="1729" spans="20:20" x14ac:dyDescent="0.3">
      <c r="T1729" s="47" t="str">
        <f ca="1">IF(R1729="","",IFERROR(TODAY()+VLOOKUP(R1729,REGRAS!$B$2:$C$13,2,0),""))</f>
        <v/>
      </c>
    </row>
    <row r="1730" spans="20:20" x14ac:dyDescent="0.3">
      <c r="T1730" s="47" t="str">
        <f ca="1">IF(R1730="","",IFERROR(TODAY()+VLOOKUP(R1730,REGRAS!$B$2:$C$13,2,0),""))</f>
        <v/>
      </c>
    </row>
    <row r="1731" spans="20:20" x14ac:dyDescent="0.3">
      <c r="T1731" s="47" t="str">
        <f ca="1">IF(R1731="","",IFERROR(TODAY()+VLOOKUP(R1731,REGRAS!$B$2:$C$13,2,0),""))</f>
        <v/>
      </c>
    </row>
    <row r="1732" spans="20:20" x14ac:dyDescent="0.3">
      <c r="T1732" s="47" t="str">
        <f ca="1">IF(R1732="","",IFERROR(TODAY()+VLOOKUP(R1732,REGRAS!$B$2:$C$13,2,0),""))</f>
        <v/>
      </c>
    </row>
    <row r="1733" spans="20:20" x14ac:dyDescent="0.3">
      <c r="T1733" s="47" t="str">
        <f ca="1">IF(R1733="","",IFERROR(TODAY()+VLOOKUP(R1733,REGRAS!$B$2:$C$13,2,0),""))</f>
        <v/>
      </c>
    </row>
    <row r="1734" spans="20:20" x14ac:dyDescent="0.3">
      <c r="T1734" s="47" t="str">
        <f ca="1">IF(R1734="","",IFERROR(TODAY()+VLOOKUP(R1734,REGRAS!$B$2:$C$13,2,0),""))</f>
        <v/>
      </c>
    </row>
    <row r="1735" spans="20:20" x14ac:dyDescent="0.3">
      <c r="T1735" s="47" t="str">
        <f ca="1">IF(R1735="","",IFERROR(TODAY()+VLOOKUP(R1735,REGRAS!$B$2:$C$13,2,0),""))</f>
        <v/>
      </c>
    </row>
    <row r="1736" spans="20:20" x14ac:dyDescent="0.3">
      <c r="T1736" s="47" t="str">
        <f ca="1">IF(R1736="","",IFERROR(TODAY()+VLOOKUP(R1736,REGRAS!$B$2:$C$13,2,0),""))</f>
        <v/>
      </c>
    </row>
    <row r="1737" spans="20:20" x14ac:dyDescent="0.3">
      <c r="T1737" s="47" t="str">
        <f ca="1">IF(R1737="","",IFERROR(TODAY()+VLOOKUP(R1737,REGRAS!$B$2:$C$13,2,0),""))</f>
        <v/>
      </c>
    </row>
    <row r="1738" spans="20:20" x14ac:dyDescent="0.3">
      <c r="T1738" s="47" t="str">
        <f ca="1">IF(R1738="","",IFERROR(TODAY()+VLOOKUP(R1738,REGRAS!$B$2:$C$13,2,0),""))</f>
        <v/>
      </c>
    </row>
    <row r="1739" spans="20:20" x14ac:dyDescent="0.3">
      <c r="T1739" s="47" t="str">
        <f ca="1">IF(R1739="","",IFERROR(TODAY()+VLOOKUP(R1739,REGRAS!$B$2:$C$13,2,0),""))</f>
        <v/>
      </c>
    </row>
    <row r="1740" spans="20:20" x14ac:dyDescent="0.3">
      <c r="T1740" s="47" t="str">
        <f ca="1">IF(R1740="","",IFERROR(TODAY()+VLOOKUP(R1740,REGRAS!$B$2:$C$13,2,0),""))</f>
        <v/>
      </c>
    </row>
    <row r="1741" spans="20:20" x14ac:dyDescent="0.3">
      <c r="T1741" s="47" t="str">
        <f ca="1">IF(R1741="","",IFERROR(TODAY()+VLOOKUP(R1741,REGRAS!$B$2:$C$13,2,0),""))</f>
        <v/>
      </c>
    </row>
    <row r="1742" spans="20:20" x14ac:dyDescent="0.3">
      <c r="T1742" s="47" t="str">
        <f ca="1">IF(R1742="","",IFERROR(TODAY()+VLOOKUP(R1742,REGRAS!$B$2:$C$13,2,0),""))</f>
        <v/>
      </c>
    </row>
    <row r="1743" spans="20:20" x14ac:dyDescent="0.3">
      <c r="T1743" s="47" t="str">
        <f ca="1">IF(R1743="","",IFERROR(TODAY()+VLOOKUP(R1743,REGRAS!$B$2:$C$13,2,0),""))</f>
        <v/>
      </c>
    </row>
    <row r="1744" spans="20:20" x14ac:dyDescent="0.3">
      <c r="T1744" s="47" t="str">
        <f ca="1">IF(R1744="","",IFERROR(TODAY()+VLOOKUP(R1744,REGRAS!$B$2:$C$13,2,0),""))</f>
        <v/>
      </c>
    </row>
    <row r="1745" spans="20:20" x14ac:dyDescent="0.3">
      <c r="T1745" s="47" t="str">
        <f ca="1">IF(R1745="","",IFERROR(TODAY()+VLOOKUP(R1745,REGRAS!$B$2:$C$13,2,0),""))</f>
        <v/>
      </c>
    </row>
    <row r="1746" spans="20:20" x14ac:dyDescent="0.3">
      <c r="T1746" s="47" t="str">
        <f ca="1">IF(R1746="","",IFERROR(TODAY()+VLOOKUP(R1746,REGRAS!$B$2:$C$13,2,0),""))</f>
        <v/>
      </c>
    </row>
    <row r="1747" spans="20:20" x14ac:dyDescent="0.3">
      <c r="T1747" s="47" t="str">
        <f ca="1">IF(R1747="","",IFERROR(TODAY()+VLOOKUP(R1747,REGRAS!$B$2:$C$13,2,0),""))</f>
        <v/>
      </c>
    </row>
    <row r="1748" spans="20:20" x14ac:dyDescent="0.3">
      <c r="T1748" s="47" t="str">
        <f ca="1">IF(R1748="","",IFERROR(TODAY()+VLOOKUP(R1748,REGRAS!$B$2:$C$13,2,0),""))</f>
        <v/>
      </c>
    </row>
    <row r="1749" spans="20:20" x14ac:dyDescent="0.3">
      <c r="T1749" s="47" t="str">
        <f ca="1">IF(R1749="","",IFERROR(TODAY()+VLOOKUP(R1749,REGRAS!$B$2:$C$13,2,0),""))</f>
        <v/>
      </c>
    </row>
    <row r="1750" spans="20:20" x14ac:dyDescent="0.3">
      <c r="T1750" s="47" t="str">
        <f ca="1">IF(R1750="","",IFERROR(TODAY()+VLOOKUP(R1750,REGRAS!$B$2:$C$13,2,0),""))</f>
        <v/>
      </c>
    </row>
    <row r="1751" spans="20:20" x14ac:dyDescent="0.3">
      <c r="T1751" s="47" t="str">
        <f ca="1">IF(R1751="","",IFERROR(TODAY()+VLOOKUP(R1751,REGRAS!$B$2:$C$13,2,0),""))</f>
        <v/>
      </c>
    </row>
    <row r="1752" spans="20:20" x14ac:dyDescent="0.3">
      <c r="T1752" s="47" t="str">
        <f ca="1">IF(R1752="","",IFERROR(TODAY()+VLOOKUP(R1752,REGRAS!$B$2:$C$13,2,0),""))</f>
        <v/>
      </c>
    </row>
    <row r="1753" spans="20:20" x14ac:dyDescent="0.3">
      <c r="T1753" s="47" t="str">
        <f ca="1">IF(R1753="","",IFERROR(TODAY()+VLOOKUP(R1753,REGRAS!$B$2:$C$13,2,0),""))</f>
        <v/>
      </c>
    </row>
    <row r="1754" spans="20:20" x14ac:dyDescent="0.3">
      <c r="T1754" s="47" t="str">
        <f ca="1">IF(R1754="","",IFERROR(TODAY()+VLOOKUP(R1754,REGRAS!$B$2:$C$13,2,0),""))</f>
        <v/>
      </c>
    </row>
    <row r="1755" spans="20:20" x14ac:dyDescent="0.3">
      <c r="T1755" s="47" t="str">
        <f ca="1">IF(R1755="","",IFERROR(TODAY()+VLOOKUP(R1755,REGRAS!$B$2:$C$13,2,0),""))</f>
        <v/>
      </c>
    </row>
    <row r="1756" spans="20:20" x14ac:dyDescent="0.3">
      <c r="T1756" s="47" t="str">
        <f ca="1">IF(R1756="","",IFERROR(TODAY()+VLOOKUP(R1756,REGRAS!$B$2:$C$13,2,0),""))</f>
        <v/>
      </c>
    </row>
    <row r="1757" spans="20:20" x14ac:dyDescent="0.3">
      <c r="T1757" s="47" t="str">
        <f ca="1">IF(R1757="","",IFERROR(TODAY()+VLOOKUP(R1757,REGRAS!$B$2:$C$13,2,0),""))</f>
        <v/>
      </c>
    </row>
    <row r="1758" spans="20:20" x14ac:dyDescent="0.3">
      <c r="T1758" s="47" t="str">
        <f ca="1">IF(R1758="","",IFERROR(TODAY()+VLOOKUP(R1758,REGRAS!$B$2:$C$13,2,0),""))</f>
        <v/>
      </c>
    </row>
    <row r="1759" spans="20:20" x14ac:dyDescent="0.3">
      <c r="T1759" s="47" t="str">
        <f ca="1">IF(R1759="","",IFERROR(TODAY()+VLOOKUP(R1759,REGRAS!$B$2:$C$13,2,0),""))</f>
        <v/>
      </c>
    </row>
    <row r="1760" spans="20:20" x14ac:dyDescent="0.3">
      <c r="T1760" s="47" t="str">
        <f ca="1">IF(R1760="","",IFERROR(TODAY()+VLOOKUP(R1760,REGRAS!$B$2:$C$13,2,0),""))</f>
        <v/>
      </c>
    </row>
    <row r="1761" spans="20:20" x14ac:dyDescent="0.3">
      <c r="T1761" s="47" t="str">
        <f ca="1">IF(R1761="","",IFERROR(TODAY()+VLOOKUP(R1761,REGRAS!$B$2:$C$13,2,0),""))</f>
        <v/>
      </c>
    </row>
    <row r="1762" spans="20:20" x14ac:dyDescent="0.3">
      <c r="T1762" s="47" t="str">
        <f ca="1">IF(R1762="","",IFERROR(TODAY()+VLOOKUP(R1762,REGRAS!$B$2:$C$13,2,0),""))</f>
        <v/>
      </c>
    </row>
    <row r="1763" spans="20:20" x14ac:dyDescent="0.3">
      <c r="T1763" s="47" t="str">
        <f ca="1">IF(R1763="","",IFERROR(TODAY()+VLOOKUP(R1763,REGRAS!$B$2:$C$13,2,0),""))</f>
        <v/>
      </c>
    </row>
    <row r="1764" spans="20:20" x14ac:dyDescent="0.3">
      <c r="T1764" s="47" t="str">
        <f ca="1">IF(R1764="","",IFERROR(TODAY()+VLOOKUP(R1764,REGRAS!$B$2:$C$13,2,0),""))</f>
        <v/>
      </c>
    </row>
    <row r="1765" spans="20:20" x14ac:dyDescent="0.3">
      <c r="T1765" s="47" t="str">
        <f ca="1">IF(R1765="","",IFERROR(TODAY()+VLOOKUP(R1765,REGRAS!$B$2:$C$13,2,0),""))</f>
        <v/>
      </c>
    </row>
    <row r="1766" spans="20:20" x14ac:dyDescent="0.3">
      <c r="T1766" s="47" t="str">
        <f ca="1">IF(R1766="","",IFERROR(TODAY()+VLOOKUP(R1766,REGRAS!$B$2:$C$13,2,0),""))</f>
        <v/>
      </c>
    </row>
    <row r="1767" spans="20:20" x14ac:dyDescent="0.3">
      <c r="T1767" s="47" t="str">
        <f ca="1">IF(R1767="","",IFERROR(TODAY()+VLOOKUP(R1767,REGRAS!$B$2:$C$13,2,0),""))</f>
        <v/>
      </c>
    </row>
    <row r="1768" spans="20:20" x14ac:dyDescent="0.3">
      <c r="T1768" s="47" t="str">
        <f ca="1">IF(R1768="","",IFERROR(TODAY()+VLOOKUP(R1768,REGRAS!$B$2:$C$13,2,0),""))</f>
        <v/>
      </c>
    </row>
    <row r="1769" spans="20:20" x14ac:dyDescent="0.3">
      <c r="T1769" s="47" t="str">
        <f ca="1">IF(R1769="","",IFERROR(TODAY()+VLOOKUP(R1769,REGRAS!$B$2:$C$13,2,0),""))</f>
        <v/>
      </c>
    </row>
    <row r="1770" spans="20:20" x14ac:dyDescent="0.3">
      <c r="T1770" s="47" t="str">
        <f ca="1">IF(R1770="","",IFERROR(TODAY()+VLOOKUP(R1770,REGRAS!$B$2:$C$13,2,0),""))</f>
        <v/>
      </c>
    </row>
    <row r="1771" spans="20:20" x14ac:dyDescent="0.3">
      <c r="T1771" s="47" t="str">
        <f ca="1">IF(R1771="","",IFERROR(TODAY()+VLOOKUP(R1771,REGRAS!$B$2:$C$13,2,0),""))</f>
        <v/>
      </c>
    </row>
    <row r="1772" spans="20:20" x14ac:dyDescent="0.3">
      <c r="T1772" s="47" t="str">
        <f ca="1">IF(R1772="","",IFERROR(TODAY()+VLOOKUP(R1772,REGRAS!$B$2:$C$13,2,0),""))</f>
        <v/>
      </c>
    </row>
    <row r="1773" spans="20:20" x14ac:dyDescent="0.3">
      <c r="T1773" s="47" t="str">
        <f ca="1">IF(R1773="","",IFERROR(TODAY()+VLOOKUP(R1773,REGRAS!$B$2:$C$13,2,0),""))</f>
        <v/>
      </c>
    </row>
    <row r="1774" spans="20:20" x14ac:dyDescent="0.3">
      <c r="T1774" s="47" t="str">
        <f ca="1">IF(R1774="","",IFERROR(TODAY()+VLOOKUP(R1774,REGRAS!$B$2:$C$13,2,0),""))</f>
        <v/>
      </c>
    </row>
    <row r="1775" spans="20:20" x14ac:dyDescent="0.3">
      <c r="T1775" s="47" t="str">
        <f ca="1">IF(R1775="","",IFERROR(TODAY()+VLOOKUP(R1775,REGRAS!$B$2:$C$13,2,0),""))</f>
        <v/>
      </c>
    </row>
    <row r="1776" spans="20:20" x14ac:dyDescent="0.3">
      <c r="T1776" s="47" t="str">
        <f ca="1">IF(R1776="","",IFERROR(TODAY()+VLOOKUP(R1776,REGRAS!$B$2:$C$13,2,0),""))</f>
        <v/>
      </c>
    </row>
    <row r="1777" spans="20:20" x14ac:dyDescent="0.3">
      <c r="T1777" s="47" t="str">
        <f ca="1">IF(R1777="","",IFERROR(TODAY()+VLOOKUP(R1777,REGRAS!$B$2:$C$13,2,0),""))</f>
        <v/>
      </c>
    </row>
    <row r="1778" spans="20:20" x14ac:dyDescent="0.3">
      <c r="T1778" s="47" t="str">
        <f ca="1">IF(R1778="","",IFERROR(TODAY()+VLOOKUP(R1778,REGRAS!$B$2:$C$13,2,0),""))</f>
        <v/>
      </c>
    </row>
    <row r="1779" spans="20:20" x14ac:dyDescent="0.3">
      <c r="T1779" s="47" t="str">
        <f ca="1">IF(R1779="","",IFERROR(TODAY()+VLOOKUP(R1779,REGRAS!$B$2:$C$13,2,0),""))</f>
        <v/>
      </c>
    </row>
    <row r="1780" spans="20:20" x14ac:dyDescent="0.3">
      <c r="T1780" s="47" t="str">
        <f ca="1">IF(R1780="","",IFERROR(TODAY()+VLOOKUP(R1780,REGRAS!$B$2:$C$13,2,0),""))</f>
        <v/>
      </c>
    </row>
    <row r="1781" spans="20:20" x14ac:dyDescent="0.3">
      <c r="T1781" s="47" t="str">
        <f ca="1">IF(R1781="","",IFERROR(TODAY()+VLOOKUP(R1781,REGRAS!$B$2:$C$13,2,0),""))</f>
        <v/>
      </c>
    </row>
    <row r="1782" spans="20:20" x14ac:dyDescent="0.3">
      <c r="T1782" s="47" t="str">
        <f ca="1">IF(R1782="","",IFERROR(TODAY()+VLOOKUP(R1782,REGRAS!$B$2:$C$13,2,0),""))</f>
        <v/>
      </c>
    </row>
    <row r="1783" spans="20:20" x14ac:dyDescent="0.3">
      <c r="T1783" s="47" t="str">
        <f ca="1">IF(R1783="","",IFERROR(TODAY()+VLOOKUP(R1783,REGRAS!$B$2:$C$13,2,0),""))</f>
        <v/>
      </c>
    </row>
    <row r="1784" spans="20:20" x14ac:dyDescent="0.3">
      <c r="T1784" s="47" t="str">
        <f ca="1">IF(R1784="","",IFERROR(TODAY()+VLOOKUP(R1784,REGRAS!$B$2:$C$13,2,0),""))</f>
        <v/>
      </c>
    </row>
    <row r="1785" spans="20:20" x14ac:dyDescent="0.3">
      <c r="T1785" s="47" t="str">
        <f ca="1">IF(R1785="","",IFERROR(TODAY()+VLOOKUP(R1785,REGRAS!$B$2:$C$13,2,0),""))</f>
        <v/>
      </c>
    </row>
    <row r="1786" spans="20:20" x14ac:dyDescent="0.3">
      <c r="T1786" s="47" t="str">
        <f ca="1">IF(R1786="","",IFERROR(TODAY()+VLOOKUP(R1786,REGRAS!$B$2:$C$13,2,0),""))</f>
        <v/>
      </c>
    </row>
    <row r="1787" spans="20:20" x14ac:dyDescent="0.3">
      <c r="T1787" s="47" t="str">
        <f ca="1">IF(R1787="","",IFERROR(TODAY()+VLOOKUP(R1787,REGRAS!$B$2:$C$13,2,0),""))</f>
        <v/>
      </c>
    </row>
    <row r="1788" spans="20:20" x14ac:dyDescent="0.3">
      <c r="T1788" s="47" t="str">
        <f ca="1">IF(R1788="","",IFERROR(TODAY()+VLOOKUP(R1788,REGRAS!$B$2:$C$13,2,0),""))</f>
        <v/>
      </c>
    </row>
    <row r="1789" spans="20:20" x14ac:dyDescent="0.3">
      <c r="T1789" s="47" t="str">
        <f ca="1">IF(R1789="","",IFERROR(TODAY()+VLOOKUP(R1789,REGRAS!$B$2:$C$13,2,0),""))</f>
        <v/>
      </c>
    </row>
    <row r="1790" spans="20:20" x14ac:dyDescent="0.3">
      <c r="T1790" s="47" t="str">
        <f ca="1">IF(R1790="","",IFERROR(TODAY()+VLOOKUP(R1790,REGRAS!$B$2:$C$13,2,0),""))</f>
        <v/>
      </c>
    </row>
    <row r="1791" spans="20:20" x14ac:dyDescent="0.3">
      <c r="T1791" s="47" t="str">
        <f ca="1">IF(R1791="","",IFERROR(TODAY()+VLOOKUP(R1791,REGRAS!$B$2:$C$13,2,0),""))</f>
        <v/>
      </c>
    </row>
    <row r="1792" spans="20:20" x14ac:dyDescent="0.3">
      <c r="T1792" s="47" t="str">
        <f ca="1">IF(R1792="","",IFERROR(TODAY()+VLOOKUP(R1792,REGRAS!$B$2:$C$13,2,0),""))</f>
        <v/>
      </c>
    </row>
    <row r="1793" spans="20:20" x14ac:dyDescent="0.3">
      <c r="T1793" s="47" t="str">
        <f ca="1">IF(R1793="","",IFERROR(TODAY()+VLOOKUP(R1793,REGRAS!$B$2:$C$13,2,0),""))</f>
        <v/>
      </c>
    </row>
    <row r="1794" spans="20:20" x14ac:dyDescent="0.3">
      <c r="T1794" s="47" t="str">
        <f ca="1">IF(R1794="","",IFERROR(TODAY()+VLOOKUP(R1794,REGRAS!$B$2:$C$13,2,0),""))</f>
        <v/>
      </c>
    </row>
    <row r="1795" spans="20:20" x14ac:dyDescent="0.3">
      <c r="T1795" s="47" t="str">
        <f ca="1">IF(R1795="","",IFERROR(TODAY()+VLOOKUP(R1795,REGRAS!$B$2:$C$13,2,0),""))</f>
        <v/>
      </c>
    </row>
    <row r="1796" spans="20:20" x14ac:dyDescent="0.3">
      <c r="T1796" s="47" t="str">
        <f ca="1">IF(R1796="","",IFERROR(TODAY()+VLOOKUP(R1796,REGRAS!$B$2:$C$13,2,0),""))</f>
        <v/>
      </c>
    </row>
    <row r="1797" spans="20:20" x14ac:dyDescent="0.3">
      <c r="T1797" s="47" t="str">
        <f ca="1">IF(R1797="","",IFERROR(TODAY()+VLOOKUP(R1797,REGRAS!$B$2:$C$13,2,0),""))</f>
        <v/>
      </c>
    </row>
    <row r="1798" spans="20:20" x14ac:dyDescent="0.3">
      <c r="T1798" s="47" t="str">
        <f ca="1">IF(R1798="","",IFERROR(TODAY()+VLOOKUP(R1798,REGRAS!$B$2:$C$13,2,0),""))</f>
        <v/>
      </c>
    </row>
    <row r="1799" spans="20:20" x14ac:dyDescent="0.3">
      <c r="T1799" s="47" t="str">
        <f ca="1">IF(R1799="","",IFERROR(TODAY()+VLOOKUP(R1799,REGRAS!$B$2:$C$13,2,0),""))</f>
        <v/>
      </c>
    </row>
    <row r="1800" spans="20:20" x14ac:dyDescent="0.3">
      <c r="T1800" s="47" t="str">
        <f ca="1">IF(R1800="","",IFERROR(TODAY()+VLOOKUP(R1800,REGRAS!$B$2:$C$13,2,0),""))</f>
        <v/>
      </c>
    </row>
    <row r="1801" spans="20:20" x14ac:dyDescent="0.3">
      <c r="T1801" s="47" t="str">
        <f ca="1">IF(R1801="","",IFERROR(TODAY()+VLOOKUP(R1801,REGRAS!$B$2:$C$13,2,0),""))</f>
        <v/>
      </c>
    </row>
    <row r="1802" spans="20:20" x14ac:dyDescent="0.3">
      <c r="T1802" s="47" t="str">
        <f ca="1">IF(R1802="","",IFERROR(TODAY()+VLOOKUP(R1802,REGRAS!$B$2:$C$13,2,0),""))</f>
        <v/>
      </c>
    </row>
    <row r="1803" spans="20:20" x14ac:dyDescent="0.3">
      <c r="T1803" s="47" t="str">
        <f ca="1">IF(R1803="","",IFERROR(TODAY()+VLOOKUP(R1803,REGRAS!$B$2:$C$13,2,0),""))</f>
        <v/>
      </c>
    </row>
    <row r="1804" spans="20:20" x14ac:dyDescent="0.3">
      <c r="T1804" s="47" t="str">
        <f ca="1">IF(R1804="","",IFERROR(TODAY()+VLOOKUP(R1804,REGRAS!$B$2:$C$13,2,0),""))</f>
        <v/>
      </c>
    </row>
    <row r="1805" spans="20:20" x14ac:dyDescent="0.3">
      <c r="T1805" s="47" t="str">
        <f ca="1">IF(R1805="","",IFERROR(TODAY()+VLOOKUP(R1805,REGRAS!$B$2:$C$13,2,0),""))</f>
        <v/>
      </c>
    </row>
    <row r="1806" spans="20:20" x14ac:dyDescent="0.3">
      <c r="T1806" s="47" t="str">
        <f ca="1">IF(R1806="","",IFERROR(TODAY()+VLOOKUP(R1806,REGRAS!$B$2:$C$13,2,0),""))</f>
        <v/>
      </c>
    </row>
    <row r="1807" spans="20:20" x14ac:dyDescent="0.3">
      <c r="T1807" s="47" t="str">
        <f ca="1">IF(R1807="","",IFERROR(TODAY()+VLOOKUP(R1807,REGRAS!$B$2:$C$13,2,0),""))</f>
        <v/>
      </c>
    </row>
    <row r="1808" spans="20:20" x14ac:dyDescent="0.3">
      <c r="T1808" s="47" t="str">
        <f ca="1">IF(R1808="","",IFERROR(TODAY()+VLOOKUP(R1808,REGRAS!$B$2:$C$13,2,0),""))</f>
        <v/>
      </c>
    </row>
    <row r="1809" spans="20:20" x14ac:dyDescent="0.3">
      <c r="T1809" s="47" t="str">
        <f ca="1">IF(R1809="","",IFERROR(TODAY()+VLOOKUP(R1809,REGRAS!$B$2:$C$13,2,0),""))</f>
        <v/>
      </c>
    </row>
    <row r="1810" spans="20:20" x14ac:dyDescent="0.3">
      <c r="T1810" s="47" t="str">
        <f ca="1">IF(R1810="","",IFERROR(TODAY()+VLOOKUP(R1810,REGRAS!$B$2:$C$13,2,0),""))</f>
        <v/>
      </c>
    </row>
    <row r="1811" spans="20:20" x14ac:dyDescent="0.3">
      <c r="T1811" s="47" t="str">
        <f ca="1">IF(R1811="","",IFERROR(TODAY()+VLOOKUP(R1811,REGRAS!$B$2:$C$13,2,0),""))</f>
        <v/>
      </c>
    </row>
    <row r="1812" spans="20:20" x14ac:dyDescent="0.3">
      <c r="T1812" s="47" t="str">
        <f ca="1">IF(R1812="","",IFERROR(TODAY()+VLOOKUP(R1812,REGRAS!$B$2:$C$13,2,0),""))</f>
        <v/>
      </c>
    </row>
    <row r="1813" spans="20:20" x14ac:dyDescent="0.3">
      <c r="T1813" s="47" t="str">
        <f ca="1">IF(R1813="","",IFERROR(TODAY()+VLOOKUP(R1813,REGRAS!$B$2:$C$13,2,0),""))</f>
        <v/>
      </c>
    </row>
    <row r="1814" spans="20:20" x14ac:dyDescent="0.3">
      <c r="T1814" s="47" t="str">
        <f ca="1">IF(R1814="","",IFERROR(TODAY()+VLOOKUP(R1814,REGRAS!$B$2:$C$13,2,0),""))</f>
        <v/>
      </c>
    </row>
    <row r="1815" spans="20:20" x14ac:dyDescent="0.3">
      <c r="T1815" s="47" t="str">
        <f ca="1">IF(R1815="","",IFERROR(TODAY()+VLOOKUP(R1815,REGRAS!$B$2:$C$13,2,0),""))</f>
        <v/>
      </c>
    </row>
    <row r="1816" spans="20:20" x14ac:dyDescent="0.3">
      <c r="T1816" s="47" t="str">
        <f ca="1">IF(R1816="","",IFERROR(TODAY()+VLOOKUP(R1816,REGRAS!$B$2:$C$13,2,0),""))</f>
        <v/>
      </c>
    </row>
    <row r="1817" spans="20:20" x14ac:dyDescent="0.3">
      <c r="T1817" s="47" t="str">
        <f ca="1">IF(R1817="","",IFERROR(TODAY()+VLOOKUP(R1817,REGRAS!$B$2:$C$13,2,0),""))</f>
        <v/>
      </c>
    </row>
    <row r="1818" spans="20:20" x14ac:dyDescent="0.3">
      <c r="T1818" s="47" t="str">
        <f ca="1">IF(R1818="","",IFERROR(TODAY()+VLOOKUP(R1818,REGRAS!$B$2:$C$13,2,0),""))</f>
        <v/>
      </c>
    </row>
    <row r="1819" spans="20:20" x14ac:dyDescent="0.3">
      <c r="T1819" s="47" t="str">
        <f ca="1">IF(R1819="","",IFERROR(TODAY()+VLOOKUP(R1819,REGRAS!$B$2:$C$13,2,0),""))</f>
        <v/>
      </c>
    </row>
    <row r="1820" spans="20:20" x14ac:dyDescent="0.3">
      <c r="T1820" s="47" t="str">
        <f ca="1">IF(R1820="","",IFERROR(TODAY()+VLOOKUP(R1820,REGRAS!$B$2:$C$13,2,0),""))</f>
        <v/>
      </c>
    </row>
    <row r="1821" spans="20:20" x14ac:dyDescent="0.3">
      <c r="T1821" s="47" t="str">
        <f ca="1">IF(R1821="","",IFERROR(TODAY()+VLOOKUP(R1821,REGRAS!$B$2:$C$13,2,0),""))</f>
        <v/>
      </c>
    </row>
    <row r="1822" spans="20:20" x14ac:dyDescent="0.3">
      <c r="T1822" s="47" t="str">
        <f ca="1">IF(R1822="","",IFERROR(TODAY()+VLOOKUP(R1822,REGRAS!$B$2:$C$13,2,0),""))</f>
        <v/>
      </c>
    </row>
    <row r="1823" spans="20:20" x14ac:dyDescent="0.3">
      <c r="T1823" s="47" t="str">
        <f ca="1">IF(R1823="","",IFERROR(TODAY()+VLOOKUP(R1823,REGRAS!$B$2:$C$13,2,0),""))</f>
        <v/>
      </c>
    </row>
    <row r="1824" spans="20:20" x14ac:dyDescent="0.3">
      <c r="T1824" s="47" t="str">
        <f ca="1">IF(R1824="","",IFERROR(TODAY()+VLOOKUP(R1824,REGRAS!$B$2:$C$13,2,0),""))</f>
        <v/>
      </c>
    </row>
    <row r="1825" spans="20:20" x14ac:dyDescent="0.3">
      <c r="T1825" s="47" t="str">
        <f ca="1">IF(R1825="","",IFERROR(TODAY()+VLOOKUP(R1825,REGRAS!$B$2:$C$13,2,0),""))</f>
        <v/>
      </c>
    </row>
    <row r="1826" spans="20:20" x14ac:dyDescent="0.3">
      <c r="T1826" s="47" t="str">
        <f ca="1">IF(R1826="","",IFERROR(TODAY()+VLOOKUP(R1826,REGRAS!$B$2:$C$13,2,0),""))</f>
        <v/>
      </c>
    </row>
    <row r="1827" spans="20:20" x14ac:dyDescent="0.3">
      <c r="T1827" s="47" t="str">
        <f ca="1">IF(R1827="","",IFERROR(TODAY()+VLOOKUP(R1827,REGRAS!$B$2:$C$13,2,0),""))</f>
        <v/>
      </c>
    </row>
    <row r="1828" spans="20:20" x14ac:dyDescent="0.3">
      <c r="T1828" s="47" t="str">
        <f ca="1">IF(R1828="","",IFERROR(TODAY()+VLOOKUP(R1828,REGRAS!$B$2:$C$13,2,0),""))</f>
        <v/>
      </c>
    </row>
    <row r="1829" spans="20:20" x14ac:dyDescent="0.3">
      <c r="T1829" s="47" t="str">
        <f ca="1">IF(R1829="","",IFERROR(TODAY()+VLOOKUP(R1829,REGRAS!$B$2:$C$13,2,0),""))</f>
        <v/>
      </c>
    </row>
    <row r="1830" spans="20:20" x14ac:dyDescent="0.3">
      <c r="T1830" s="47" t="str">
        <f ca="1">IF(R1830="","",IFERROR(TODAY()+VLOOKUP(R1830,REGRAS!$B$2:$C$13,2,0),""))</f>
        <v/>
      </c>
    </row>
    <row r="1831" spans="20:20" x14ac:dyDescent="0.3">
      <c r="T1831" s="47" t="str">
        <f ca="1">IF(R1831="","",IFERROR(TODAY()+VLOOKUP(R1831,REGRAS!$B$2:$C$13,2,0),""))</f>
        <v/>
      </c>
    </row>
    <row r="1832" spans="20:20" x14ac:dyDescent="0.3">
      <c r="T1832" s="47" t="str">
        <f ca="1">IF(R1832="","",IFERROR(TODAY()+VLOOKUP(R1832,REGRAS!$B$2:$C$13,2,0),""))</f>
        <v/>
      </c>
    </row>
    <row r="1833" spans="20:20" x14ac:dyDescent="0.3">
      <c r="T1833" s="47" t="str">
        <f ca="1">IF(R1833="","",IFERROR(TODAY()+VLOOKUP(R1833,REGRAS!$B$2:$C$13,2,0),""))</f>
        <v/>
      </c>
    </row>
    <row r="1834" spans="20:20" x14ac:dyDescent="0.3">
      <c r="T1834" s="47" t="str">
        <f ca="1">IF(R1834="","",IFERROR(TODAY()+VLOOKUP(R1834,REGRAS!$B$2:$C$13,2,0),""))</f>
        <v/>
      </c>
    </row>
    <row r="1835" spans="20:20" x14ac:dyDescent="0.3">
      <c r="T1835" s="47" t="str">
        <f ca="1">IF(R1835="","",IFERROR(TODAY()+VLOOKUP(R1835,REGRAS!$B$2:$C$13,2,0),""))</f>
        <v/>
      </c>
    </row>
    <row r="1836" spans="20:20" x14ac:dyDescent="0.3">
      <c r="T1836" s="47" t="str">
        <f ca="1">IF(R1836="","",IFERROR(TODAY()+VLOOKUP(R1836,REGRAS!$B$2:$C$13,2,0),""))</f>
        <v/>
      </c>
    </row>
    <row r="1837" spans="20:20" x14ac:dyDescent="0.3">
      <c r="T1837" s="47" t="str">
        <f ca="1">IF(R1837="","",IFERROR(TODAY()+VLOOKUP(R1837,REGRAS!$B$2:$C$13,2,0),""))</f>
        <v/>
      </c>
    </row>
    <row r="1838" spans="20:20" x14ac:dyDescent="0.3">
      <c r="T1838" s="47" t="str">
        <f ca="1">IF(R1838="","",IFERROR(TODAY()+VLOOKUP(R1838,REGRAS!$B$2:$C$13,2,0),""))</f>
        <v/>
      </c>
    </row>
    <row r="1839" spans="20:20" x14ac:dyDescent="0.3">
      <c r="T1839" s="47" t="str">
        <f ca="1">IF(R1839="","",IFERROR(TODAY()+VLOOKUP(R1839,REGRAS!$B$2:$C$13,2,0),""))</f>
        <v/>
      </c>
    </row>
    <row r="1840" spans="20:20" x14ac:dyDescent="0.3">
      <c r="T1840" s="47" t="str">
        <f ca="1">IF(R1840="","",IFERROR(TODAY()+VLOOKUP(R1840,REGRAS!$B$2:$C$13,2,0),""))</f>
        <v/>
      </c>
    </row>
    <row r="1841" spans="20:20" x14ac:dyDescent="0.3">
      <c r="T1841" s="47" t="str">
        <f ca="1">IF(R1841="","",IFERROR(TODAY()+VLOOKUP(R1841,REGRAS!$B$2:$C$13,2,0),""))</f>
        <v/>
      </c>
    </row>
    <row r="1842" spans="20:20" x14ac:dyDescent="0.3">
      <c r="T1842" s="47" t="str">
        <f ca="1">IF(R1842="","",IFERROR(TODAY()+VLOOKUP(R1842,REGRAS!$B$2:$C$13,2,0),""))</f>
        <v/>
      </c>
    </row>
    <row r="1843" spans="20:20" x14ac:dyDescent="0.3">
      <c r="T1843" s="47" t="str">
        <f ca="1">IF(R1843="","",IFERROR(TODAY()+VLOOKUP(R1843,REGRAS!$B$2:$C$13,2,0),""))</f>
        <v/>
      </c>
    </row>
    <row r="1844" spans="20:20" x14ac:dyDescent="0.3">
      <c r="T1844" s="47" t="str">
        <f ca="1">IF(R1844="","",IFERROR(TODAY()+VLOOKUP(R1844,REGRAS!$B$2:$C$13,2,0),""))</f>
        <v/>
      </c>
    </row>
    <row r="1845" spans="20:20" x14ac:dyDescent="0.3">
      <c r="T1845" s="47" t="str">
        <f ca="1">IF(R1845="","",IFERROR(TODAY()+VLOOKUP(R1845,REGRAS!$B$2:$C$13,2,0),""))</f>
        <v/>
      </c>
    </row>
    <row r="1846" spans="20:20" x14ac:dyDescent="0.3">
      <c r="T1846" s="47" t="str">
        <f ca="1">IF(R1846="","",IFERROR(TODAY()+VLOOKUP(R1846,REGRAS!$B$2:$C$13,2,0),""))</f>
        <v/>
      </c>
    </row>
    <row r="1847" spans="20:20" x14ac:dyDescent="0.3">
      <c r="T1847" s="47" t="str">
        <f ca="1">IF(R1847="","",IFERROR(TODAY()+VLOOKUP(R1847,REGRAS!$B$2:$C$13,2,0),""))</f>
        <v/>
      </c>
    </row>
    <row r="1848" spans="20:20" x14ac:dyDescent="0.3">
      <c r="T1848" s="47" t="str">
        <f ca="1">IF(R1848="","",IFERROR(TODAY()+VLOOKUP(R1848,REGRAS!$B$2:$C$13,2,0),""))</f>
        <v/>
      </c>
    </row>
    <row r="1849" spans="20:20" x14ac:dyDescent="0.3">
      <c r="T1849" s="47" t="str">
        <f ca="1">IF(R1849="","",IFERROR(TODAY()+VLOOKUP(R1849,REGRAS!$B$2:$C$13,2,0),""))</f>
        <v/>
      </c>
    </row>
    <row r="1850" spans="20:20" x14ac:dyDescent="0.3">
      <c r="T1850" s="47" t="str">
        <f ca="1">IF(R1850="","",IFERROR(TODAY()+VLOOKUP(R1850,REGRAS!$B$2:$C$13,2,0),""))</f>
        <v/>
      </c>
    </row>
    <row r="1851" spans="20:20" x14ac:dyDescent="0.3">
      <c r="T1851" s="47" t="str">
        <f ca="1">IF(R1851="","",IFERROR(TODAY()+VLOOKUP(R1851,REGRAS!$B$2:$C$13,2,0),""))</f>
        <v/>
      </c>
    </row>
    <row r="1852" spans="20:20" x14ac:dyDescent="0.3">
      <c r="T1852" s="47" t="str">
        <f ca="1">IF(R1852="","",IFERROR(TODAY()+VLOOKUP(R1852,REGRAS!$B$2:$C$13,2,0),""))</f>
        <v/>
      </c>
    </row>
    <row r="1853" spans="20:20" x14ac:dyDescent="0.3">
      <c r="T1853" s="47" t="str">
        <f ca="1">IF(R1853="","",IFERROR(TODAY()+VLOOKUP(R1853,REGRAS!$B$2:$C$13,2,0),""))</f>
        <v/>
      </c>
    </row>
    <row r="1854" spans="20:20" x14ac:dyDescent="0.3">
      <c r="T1854" s="47" t="str">
        <f ca="1">IF(R1854="","",IFERROR(TODAY()+VLOOKUP(R1854,REGRAS!$B$2:$C$13,2,0),""))</f>
        <v/>
      </c>
    </row>
    <row r="1855" spans="20:20" x14ac:dyDescent="0.3">
      <c r="T1855" s="47" t="str">
        <f ca="1">IF(R1855="","",IFERROR(TODAY()+VLOOKUP(R1855,REGRAS!$B$2:$C$13,2,0),""))</f>
        <v/>
      </c>
    </row>
    <row r="1856" spans="20:20" x14ac:dyDescent="0.3">
      <c r="T1856" s="47" t="str">
        <f ca="1">IF(R1856="","",IFERROR(TODAY()+VLOOKUP(R1856,REGRAS!$B$2:$C$13,2,0),""))</f>
        <v/>
      </c>
    </row>
    <row r="1857" spans="20:20" x14ac:dyDescent="0.3">
      <c r="T1857" s="47" t="str">
        <f ca="1">IF(R1857="","",IFERROR(TODAY()+VLOOKUP(R1857,REGRAS!$B$2:$C$13,2,0),""))</f>
        <v/>
      </c>
    </row>
    <row r="1858" spans="20:20" x14ac:dyDescent="0.3">
      <c r="T1858" s="47" t="str">
        <f ca="1">IF(R1858="","",IFERROR(TODAY()+VLOOKUP(R1858,REGRAS!$B$2:$C$13,2,0),""))</f>
        <v/>
      </c>
    </row>
    <row r="1859" spans="20:20" x14ac:dyDescent="0.3">
      <c r="T1859" s="47" t="str">
        <f ca="1">IF(R1859="","",IFERROR(TODAY()+VLOOKUP(R1859,REGRAS!$B$2:$C$13,2,0),""))</f>
        <v/>
      </c>
    </row>
    <row r="1860" spans="20:20" x14ac:dyDescent="0.3">
      <c r="T1860" s="47" t="str">
        <f ca="1">IF(R1860="","",IFERROR(TODAY()+VLOOKUP(R1860,REGRAS!$B$2:$C$13,2,0),""))</f>
        <v/>
      </c>
    </row>
    <row r="1861" spans="20:20" x14ac:dyDescent="0.3">
      <c r="T1861" s="47" t="str">
        <f ca="1">IF(R1861="","",IFERROR(TODAY()+VLOOKUP(R1861,REGRAS!$B$2:$C$13,2,0),""))</f>
        <v/>
      </c>
    </row>
    <row r="1862" spans="20:20" x14ac:dyDescent="0.3">
      <c r="T1862" s="47" t="str">
        <f ca="1">IF(R1862="","",IFERROR(TODAY()+VLOOKUP(R1862,REGRAS!$B$2:$C$13,2,0),""))</f>
        <v/>
      </c>
    </row>
    <row r="1863" spans="20:20" x14ac:dyDescent="0.3">
      <c r="T1863" s="47" t="str">
        <f ca="1">IF(R1863="","",IFERROR(TODAY()+VLOOKUP(R1863,REGRAS!$B$2:$C$13,2,0),""))</f>
        <v/>
      </c>
    </row>
    <row r="1864" spans="20:20" x14ac:dyDescent="0.3">
      <c r="T1864" s="47" t="str">
        <f ca="1">IF(R1864="","",IFERROR(TODAY()+VLOOKUP(R1864,REGRAS!$B$2:$C$13,2,0),""))</f>
        <v/>
      </c>
    </row>
    <row r="1865" spans="20:20" x14ac:dyDescent="0.3">
      <c r="T1865" s="47" t="str">
        <f ca="1">IF(R1865="","",IFERROR(TODAY()+VLOOKUP(R1865,REGRAS!$B$2:$C$13,2,0),""))</f>
        <v/>
      </c>
    </row>
    <row r="1866" spans="20:20" x14ac:dyDescent="0.3">
      <c r="T1866" s="47" t="str">
        <f ca="1">IF(R1866="","",IFERROR(TODAY()+VLOOKUP(R1866,REGRAS!$B$2:$C$13,2,0),""))</f>
        <v/>
      </c>
    </row>
    <row r="1867" spans="20:20" x14ac:dyDescent="0.3">
      <c r="T1867" s="47" t="str">
        <f ca="1">IF(R1867="","",IFERROR(TODAY()+VLOOKUP(R1867,REGRAS!$B$2:$C$13,2,0),""))</f>
        <v/>
      </c>
    </row>
    <row r="1868" spans="20:20" x14ac:dyDescent="0.3">
      <c r="T1868" s="47" t="str">
        <f ca="1">IF(R1868="","",IFERROR(TODAY()+VLOOKUP(R1868,REGRAS!$B$2:$C$13,2,0),""))</f>
        <v/>
      </c>
    </row>
    <row r="1869" spans="20:20" x14ac:dyDescent="0.3">
      <c r="T1869" s="47" t="str">
        <f ca="1">IF(R1869="","",IFERROR(TODAY()+VLOOKUP(R1869,REGRAS!$B$2:$C$13,2,0),""))</f>
        <v/>
      </c>
    </row>
    <row r="1870" spans="20:20" x14ac:dyDescent="0.3">
      <c r="T1870" s="47" t="str">
        <f ca="1">IF(R1870="","",IFERROR(TODAY()+VLOOKUP(R1870,REGRAS!$B$2:$C$13,2,0),""))</f>
        <v/>
      </c>
    </row>
    <row r="1871" spans="20:20" x14ac:dyDescent="0.3">
      <c r="T1871" s="47" t="str">
        <f ca="1">IF(R1871="","",IFERROR(TODAY()+VLOOKUP(R1871,REGRAS!$B$2:$C$13,2,0),""))</f>
        <v/>
      </c>
    </row>
    <row r="1872" spans="20:20" x14ac:dyDescent="0.3">
      <c r="T1872" s="47" t="str">
        <f ca="1">IF(R1872="","",IFERROR(TODAY()+VLOOKUP(R1872,REGRAS!$B$2:$C$13,2,0),""))</f>
        <v/>
      </c>
    </row>
    <row r="1873" spans="20:20" x14ac:dyDescent="0.3">
      <c r="T1873" s="47" t="str">
        <f ca="1">IF(R1873="","",IFERROR(TODAY()+VLOOKUP(R1873,REGRAS!$B$2:$C$13,2,0),""))</f>
        <v/>
      </c>
    </row>
    <row r="1874" spans="20:20" x14ac:dyDescent="0.3">
      <c r="T1874" s="47" t="str">
        <f ca="1">IF(R1874="","",IFERROR(TODAY()+VLOOKUP(R1874,REGRAS!$B$2:$C$13,2,0),""))</f>
        <v/>
      </c>
    </row>
    <row r="1875" spans="20:20" x14ac:dyDescent="0.3">
      <c r="T1875" s="47" t="str">
        <f ca="1">IF(R1875="","",IFERROR(TODAY()+VLOOKUP(R1875,REGRAS!$B$2:$C$13,2,0),""))</f>
        <v/>
      </c>
    </row>
    <row r="1876" spans="20:20" x14ac:dyDescent="0.3">
      <c r="T1876" s="47" t="str">
        <f ca="1">IF(R1876="","",IFERROR(TODAY()+VLOOKUP(R1876,REGRAS!$B$2:$C$13,2,0),""))</f>
        <v/>
      </c>
    </row>
    <row r="1877" spans="20:20" x14ac:dyDescent="0.3">
      <c r="T1877" s="47" t="str">
        <f ca="1">IF(R1877="","",IFERROR(TODAY()+VLOOKUP(R1877,REGRAS!$B$2:$C$13,2,0),""))</f>
        <v/>
      </c>
    </row>
    <row r="1878" spans="20:20" x14ac:dyDescent="0.3">
      <c r="T1878" s="47" t="str">
        <f ca="1">IF(R1878="","",IFERROR(TODAY()+VLOOKUP(R1878,REGRAS!$B$2:$C$13,2,0),""))</f>
        <v/>
      </c>
    </row>
    <row r="1879" spans="20:20" x14ac:dyDescent="0.3">
      <c r="T1879" s="47" t="str">
        <f ca="1">IF(R1879="","",IFERROR(TODAY()+VLOOKUP(R1879,REGRAS!$B$2:$C$13,2,0),""))</f>
        <v/>
      </c>
    </row>
    <row r="1880" spans="20:20" x14ac:dyDescent="0.3">
      <c r="T1880" s="47" t="str">
        <f ca="1">IF(R1880="","",IFERROR(TODAY()+VLOOKUP(R1880,REGRAS!$B$2:$C$13,2,0),""))</f>
        <v/>
      </c>
    </row>
    <row r="1881" spans="20:20" x14ac:dyDescent="0.3">
      <c r="T1881" s="47" t="str">
        <f ca="1">IF(R1881="","",IFERROR(TODAY()+VLOOKUP(R1881,REGRAS!$B$2:$C$13,2,0),""))</f>
        <v/>
      </c>
    </row>
    <row r="1882" spans="20:20" x14ac:dyDescent="0.3">
      <c r="T1882" s="47" t="str">
        <f ca="1">IF(R1882="","",IFERROR(TODAY()+VLOOKUP(R1882,REGRAS!$B$2:$C$13,2,0),""))</f>
        <v/>
      </c>
    </row>
    <row r="1883" spans="20:20" x14ac:dyDescent="0.3">
      <c r="T1883" s="47" t="str">
        <f ca="1">IF(R1883="","",IFERROR(TODAY()+VLOOKUP(R1883,REGRAS!$B$2:$C$13,2,0),""))</f>
        <v/>
      </c>
    </row>
    <row r="1884" spans="20:20" x14ac:dyDescent="0.3">
      <c r="T1884" s="47" t="str">
        <f ca="1">IF(R1884="","",IFERROR(TODAY()+VLOOKUP(R1884,REGRAS!$B$2:$C$13,2,0),""))</f>
        <v/>
      </c>
    </row>
    <row r="1885" spans="20:20" x14ac:dyDescent="0.3">
      <c r="T1885" s="47" t="str">
        <f ca="1">IF(R1885="","",IFERROR(TODAY()+VLOOKUP(R1885,REGRAS!$B$2:$C$13,2,0),""))</f>
        <v/>
      </c>
    </row>
    <row r="1886" spans="20:20" x14ac:dyDescent="0.3">
      <c r="T1886" s="47" t="str">
        <f ca="1">IF(R1886="","",IFERROR(TODAY()+VLOOKUP(R1886,REGRAS!$B$2:$C$13,2,0),""))</f>
        <v/>
      </c>
    </row>
    <row r="1887" spans="20:20" x14ac:dyDescent="0.3">
      <c r="T1887" s="47" t="str">
        <f ca="1">IF(R1887="","",IFERROR(TODAY()+VLOOKUP(R1887,REGRAS!$B$2:$C$13,2,0),""))</f>
        <v/>
      </c>
    </row>
    <row r="1888" spans="20:20" x14ac:dyDescent="0.3">
      <c r="T1888" s="47" t="str">
        <f ca="1">IF(R1888="","",IFERROR(TODAY()+VLOOKUP(R1888,REGRAS!$B$2:$C$13,2,0),""))</f>
        <v/>
      </c>
    </row>
    <row r="1889" spans="20:20" x14ac:dyDescent="0.3">
      <c r="T1889" s="47" t="str">
        <f ca="1">IF(R1889="","",IFERROR(TODAY()+VLOOKUP(R1889,REGRAS!$B$2:$C$13,2,0),""))</f>
        <v/>
      </c>
    </row>
    <row r="1890" spans="20:20" x14ac:dyDescent="0.3">
      <c r="T1890" s="47" t="str">
        <f ca="1">IF(R1890="","",IFERROR(TODAY()+VLOOKUP(R1890,REGRAS!$B$2:$C$13,2,0),""))</f>
        <v/>
      </c>
    </row>
    <row r="1891" spans="20:20" x14ac:dyDescent="0.3">
      <c r="T1891" s="47" t="str">
        <f ca="1">IF(R1891="","",IFERROR(TODAY()+VLOOKUP(R1891,REGRAS!$B$2:$C$13,2,0),""))</f>
        <v/>
      </c>
    </row>
    <row r="1892" spans="20:20" x14ac:dyDescent="0.3">
      <c r="T1892" s="47" t="str">
        <f ca="1">IF(R1892="","",IFERROR(TODAY()+VLOOKUP(R1892,REGRAS!$B$2:$C$13,2,0),""))</f>
        <v/>
      </c>
    </row>
    <row r="1893" spans="20:20" x14ac:dyDescent="0.3">
      <c r="T1893" s="47" t="str">
        <f ca="1">IF(R1893="","",IFERROR(TODAY()+VLOOKUP(R1893,REGRAS!$B$2:$C$13,2,0),""))</f>
        <v/>
      </c>
    </row>
    <row r="1894" spans="20:20" x14ac:dyDescent="0.3">
      <c r="T1894" s="47" t="str">
        <f ca="1">IF(R1894="","",IFERROR(TODAY()+VLOOKUP(R1894,REGRAS!$B$2:$C$13,2,0),""))</f>
        <v/>
      </c>
    </row>
    <row r="1895" spans="20:20" x14ac:dyDescent="0.3">
      <c r="T1895" s="47" t="str">
        <f ca="1">IF(R1895="","",IFERROR(TODAY()+VLOOKUP(R1895,REGRAS!$B$2:$C$13,2,0),""))</f>
        <v/>
      </c>
    </row>
    <row r="1896" spans="20:20" x14ac:dyDescent="0.3">
      <c r="T1896" s="47" t="str">
        <f ca="1">IF(R1896="","",IFERROR(TODAY()+VLOOKUP(R1896,REGRAS!$B$2:$C$13,2,0),""))</f>
        <v/>
      </c>
    </row>
    <row r="1897" spans="20:20" x14ac:dyDescent="0.3">
      <c r="T1897" s="47" t="str">
        <f ca="1">IF(R1897="","",IFERROR(TODAY()+VLOOKUP(R1897,REGRAS!$B$2:$C$13,2,0),""))</f>
        <v/>
      </c>
    </row>
    <row r="1898" spans="20:20" x14ac:dyDescent="0.3">
      <c r="T1898" s="47" t="str">
        <f ca="1">IF(R1898="","",IFERROR(TODAY()+VLOOKUP(R1898,REGRAS!$B$2:$C$13,2,0),""))</f>
        <v/>
      </c>
    </row>
    <row r="1899" spans="20:20" x14ac:dyDescent="0.3">
      <c r="T1899" s="47" t="str">
        <f ca="1">IF(R1899="","",IFERROR(TODAY()+VLOOKUP(R1899,REGRAS!$B$2:$C$13,2,0),""))</f>
        <v/>
      </c>
    </row>
    <row r="1900" spans="20:20" x14ac:dyDescent="0.3">
      <c r="T1900" s="47" t="str">
        <f ca="1">IF(R1900="","",IFERROR(TODAY()+VLOOKUP(R1900,REGRAS!$B$2:$C$13,2,0),""))</f>
        <v/>
      </c>
    </row>
    <row r="1901" spans="20:20" x14ac:dyDescent="0.3">
      <c r="T1901" s="47" t="str">
        <f ca="1">IF(R1901="","",IFERROR(TODAY()+VLOOKUP(R1901,REGRAS!$B$2:$C$13,2,0),""))</f>
        <v/>
      </c>
    </row>
    <row r="1902" spans="20:20" x14ac:dyDescent="0.3">
      <c r="T1902" s="47" t="str">
        <f ca="1">IF(R1902="","",IFERROR(TODAY()+VLOOKUP(R1902,REGRAS!$B$2:$C$13,2,0),""))</f>
        <v/>
      </c>
    </row>
    <row r="1903" spans="20:20" x14ac:dyDescent="0.3">
      <c r="T1903" s="47" t="str">
        <f ca="1">IF(R1903="","",IFERROR(TODAY()+VLOOKUP(R1903,REGRAS!$B$2:$C$13,2,0),""))</f>
        <v/>
      </c>
    </row>
    <row r="1904" spans="20:20" x14ac:dyDescent="0.3">
      <c r="T1904" s="47" t="str">
        <f ca="1">IF(R1904="","",IFERROR(TODAY()+VLOOKUP(R1904,REGRAS!$B$2:$C$13,2,0),""))</f>
        <v/>
      </c>
    </row>
    <row r="1905" spans="20:20" x14ac:dyDescent="0.3">
      <c r="T1905" s="47" t="str">
        <f ca="1">IF(R1905="","",IFERROR(TODAY()+VLOOKUP(R1905,REGRAS!$B$2:$C$13,2,0),""))</f>
        <v/>
      </c>
    </row>
    <row r="1906" spans="20:20" x14ac:dyDescent="0.3">
      <c r="T1906" s="47" t="str">
        <f ca="1">IF(R1906="","",IFERROR(TODAY()+VLOOKUP(R1906,REGRAS!$B$2:$C$13,2,0),""))</f>
        <v/>
      </c>
    </row>
    <row r="1907" spans="20:20" x14ac:dyDescent="0.3">
      <c r="T1907" s="47" t="str">
        <f ca="1">IF(R1907="","",IFERROR(TODAY()+VLOOKUP(R1907,REGRAS!$B$2:$C$13,2,0),""))</f>
        <v/>
      </c>
    </row>
    <row r="1908" spans="20:20" x14ac:dyDescent="0.3">
      <c r="T1908" s="47" t="str">
        <f ca="1">IF(R1908="","",IFERROR(TODAY()+VLOOKUP(R1908,REGRAS!$B$2:$C$13,2,0),""))</f>
        <v/>
      </c>
    </row>
    <row r="1909" spans="20:20" x14ac:dyDescent="0.3">
      <c r="T1909" s="47" t="str">
        <f ca="1">IF(R1909="","",IFERROR(TODAY()+VLOOKUP(R1909,REGRAS!$B$2:$C$13,2,0),""))</f>
        <v/>
      </c>
    </row>
    <row r="1910" spans="20:20" x14ac:dyDescent="0.3">
      <c r="T1910" s="47" t="str">
        <f ca="1">IF(R1910="","",IFERROR(TODAY()+VLOOKUP(R1910,REGRAS!$B$2:$C$13,2,0),""))</f>
        <v/>
      </c>
    </row>
    <row r="1911" spans="20:20" x14ac:dyDescent="0.3">
      <c r="T1911" s="47" t="str">
        <f ca="1">IF(R1911="","",IFERROR(TODAY()+VLOOKUP(R1911,REGRAS!$B$2:$C$13,2,0),""))</f>
        <v/>
      </c>
    </row>
    <row r="1912" spans="20:20" x14ac:dyDescent="0.3">
      <c r="T1912" s="47" t="str">
        <f ca="1">IF(R1912="","",IFERROR(TODAY()+VLOOKUP(R1912,REGRAS!$B$2:$C$13,2,0),""))</f>
        <v/>
      </c>
    </row>
    <row r="1913" spans="20:20" x14ac:dyDescent="0.3">
      <c r="T1913" s="47" t="str">
        <f ca="1">IF(R1913="","",IFERROR(TODAY()+VLOOKUP(R1913,REGRAS!$B$2:$C$13,2,0),""))</f>
        <v/>
      </c>
    </row>
    <row r="1914" spans="20:20" x14ac:dyDescent="0.3">
      <c r="T1914" s="47" t="str">
        <f ca="1">IF(R1914="","",IFERROR(TODAY()+VLOOKUP(R1914,REGRAS!$B$2:$C$13,2,0),""))</f>
        <v/>
      </c>
    </row>
    <row r="1915" spans="20:20" x14ac:dyDescent="0.3">
      <c r="T1915" s="47" t="str">
        <f ca="1">IF(R1915="","",IFERROR(TODAY()+VLOOKUP(R1915,REGRAS!$B$2:$C$13,2,0),""))</f>
        <v/>
      </c>
    </row>
    <row r="1916" spans="20:20" x14ac:dyDescent="0.3">
      <c r="T1916" s="47" t="str">
        <f ca="1">IF(R1916="","",IFERROR(TODAY()+VLOOKUP(R1916,REGRAS!$B$2:$C$13,2,0),""))</f>
        <v/>
      </c>
    </row>
    <row r="1917" spans="20:20" x14ac:dyDescent="0.3">
      <c r="T1917" s="47" t="str">
        <f ca="1">IF(R1917="","",IFERROR(TODAY()+VLOOKUP(R1917,REGRAS!$B$2:$C$13,2,0),""))</f>
        <v/>
      </c>
    </row>
    <row r="1918" spans="20:20" x14ac:dyDescent="0.3">
      <c r="T1918" s="47" t="str">
        <f ca="1">IF(R1918="","",IFERROR(TODAY()+VLOOKUP(R1918,REGRAS!$B$2:$C$13,2,0),""))</f>
        <v/>
      </c>
    </row>
    <row r="1919" spans="20:20" x14ac:dyDescent="0.3">
      <c r="T1919" s="47" t="str">
        <f ca="1">IF(R1919="","",IFERROR(TODAY()+VLOOKUP(R1919,REGRAS!$B$2:$C$13,2,0),""))</f>
        <v/>
      </c>
    </row>
    <row r="1920" spans="20:20" x14ac:dyDescent="0.3">
      <c r="T1920" s="47" t="str">
        <f ca="1">IF(R1920="","",IFERROR(TODAY()+VLOOKUP(R1920,REGRAS!$B$2:$C$13,2,0),""))</f>
        <v/>
      </c>
    </row>
    <row r="1921" spans="20:20" x14ac:dyDescent="0.3">
      <c r="T1921" s="47" t="str">
        <f ca="1">IF(R1921="","",IFERROR(TODAY()+VLOOKUP(R1921,REGRAS!$B$2:$C$13,2,0),""))</f>
        <v/>
      </c>
    </row>
    <row r="1922" spans="20:20" x14ac:dyDescent="0.3">
      <c r="T1922" s="47" t="str">
        <f ca="1">IF(R1922="","",IFERROR(TODAY()+VLOOKUP(R1922,REGRAS!$B$2:$C$13,2,0),""))</f>
        <v/>
      </c>
    </row>
    <row r="1923" spans="20:20" x14ac:dyDescent="0.3">
      <c r="T1923" s="47" t="str">
        <f ca="1">IF(R1923="","",IFERROR(TODAY()+VLOOKUP(R1923,REGRAS!$B$2:$C$13,2,0),""))</f>
        <v/>
      </c>
    </row>
    <row r="1924" spans="20:20" x14ac:dyDescent="0.3">
      <c r="T1924" s="47" t="str">
        <f ca="1">IF(R1924="","",IFERROR(TODAY()+VLOOKUP(R1924,REGRAS!$B$2:$C$13,2,0),""))</f>
        <v/>
      </c>
    </row>
    <row r="1925" spans="20:20" x14ac:dyDescent="0.3">
      <c r="T1925" s="47" t="str">
        <f ca="1">IF(R1925="","",IFERROR(TODAY()+VLOOKUP(R1925,REGRAS!$B$2:$C$13,2,0),""))</f>
        <v/>
      </c>
    </row>
    <row r="1926" spans="20:20" x14ac:dyDescent="0.3">
      <c r="T1926" s="47" t="str">
        <f ca="1">IF(R1926="","",IFERROR(TODAY()+VLOOKUP(R1926,REGRAS!$B$2:$C$13,2,0),""))</f>
        <v/>
      </c>
    </row>
    <row r="1927" spans="20:20" x14ac:dyDescent="0.3">
      <c r="T1927" s="47" t="str">
        <f ca="1">IF(R1927="","",IFERROR(TODAY()+VLOOKUP(R1927,REGRAS!$B$2:$C$13,2,0),""))</f>
        <v/>
      </c>
    </row>
    <row r="1928" spans="20:20" x14ac:dyDescent="0.3">
      <c r="T1928" s="47" t="str">
        <f ca="1">IF(R1928="","",IFERROR(TODAY()+VLOOKUP(R1928,REGRAS!$B$2:$C$13,2,0),""))</f>
        <v/>
      </c>
    </row>
    <row r="1929" spans="20:20" x14ac:dyDescent="0.3">
      <c r="T1929" s="47" t="str">
        <f ca="1">IF(R1929="","",IFERROR(TODAY()+VLOOKUP(R1929,REGRAS!$B$2:$C$13,2,0),""))</f>
        <v/>
      </c>
    </row>
    <row r="1930" spans="20:20" x14ac:dyDescent="0.3">
      <c r="T1930" s="47" t="str">
        <f ca="1">IF(R1930="","",IFERROR(TODAY()+VLOOKUP(R1930,REGRAS!$B$2:$C$13,2,0),""))</f>
        <v/>
      </c>
    </row>
    <row r="1931" spans="20:20" x14ac:dyDescent="0.3">
      <c r="T1931" s="47" t="str">
        <f ca="1">IF(R1931="","",IFERROR(TODAY()+VLOOKUP(R1931,REGRAS!$B$2:$C$13,2,0),""))</f>
        <v/>
      </c>
    </row>
    <row r="1932" spans="20:20" x14ac:dyDescent="0.3">
      <c r="T1932" s="47" t="str">
        <f ca="1">IF(R1932="","",IFERROR(TODAY()+VLOOKUP(R1932,REGRAS!$B$2:$C$13,2,0),""))</f>
        <v/>
      </c>
    </row>
    <row r="1933" spans="20:20" x14ac:dyDescent="0.3">
      <c r="T1933" s="47" t="str">
        <f ca="1">IF(R1933="","",IFERROR(TODAY()+VLOOKUP(R1933,REGRAS!$B$2:$C$13,2,0),""))</f>
        <v/>
      </c>
    </row>
    <row r="1934" spans="20:20" x14ac:dyDescent="0.3">
      <c r="T1934" s="47" t="str">
        <f ca="1">IF(R1934="","",IFERROR(TODAY()+VLOOKUP(R1934,REGRAS!$B$2:$C$13,2,0),""))</f>
        <v/>
      </c>
    </row>
    <row r="1935" spans="20:20" x14ac:dyDescent="0.3">
      <c r="T1935" s="47" t="str">
        <f ca="1">IF(R1935="","",IFERROR(TODAY()+VLOOKUP(R1935,REGRAS!$B$2:$C$13,2,0),""))</f>
        <v/>
      </c>
    </row>
    <row r="1936" spans="20:20" x14ac:dyDescent="0.3">
      <c r="T1936" s="47" t="str">
        <f ca="1">IF(R1936="","",IFERROR(TODAY()+VLOOKUP(R1936,REGRAS!$B$2:$C$13,2,0),""))</f>
        <v/>
      </c>
    </row>
    <row r="1937" spans="20:20" x14ac:dyDescent="0.3">
      <c r="T1937" s="47" t="str">
        <f ca="1">IF(R1937="","",IFERROR(TODAY()+VLOOKUP(R1937,REGRAS!$B$2:$C$13,2,0),""))</f>
        <v/>
      </c>
    </row>
    <row r="1938" spans="20:20" x14ac:dyDescent="0.3">
      <c r="T1938" s="47" t="str">
        <f ca="1">IF(R1938="","",IFERROR(TODAY()+VLOOKUP(R1938,REGRAS!$B$2:$C$13,2,0),""))</f>
        <v/>
      </c>
    </row>
    <row r="1939" spans="20:20" x14ac:dyDescent="0.3">
      <c r="T1939" s="47" t="str">
        <f ca="1">IF(R1939="","",IFERROR(TODAY()+VLOOKUP(R1939,REGRAS!$B$2:$C$13,2,0),""))</f>
        <v/>
      </c>
    </row>
    <row r="1940" spans="20:20" x14ac:dyDescent="0.3">
      <c r="T1940" s="47" t="str">
        <f ca="1">IF(R1940="","",IFERROR(TODAY()+VLOOKUP(R1940,REGRAS!$B$2:$C$13,2,0),""))</f>
        <v/>
      </c>
    </row>
    <row r="1941" spans="20:20" x14ac:dyDescent="0.3">
      <c r="T1941" s="47" t="str">
        <f ca="1">IF(R1941="","",IFERROR(TODAY()+VLOOKUP(R1941,REGRAS!$B$2:$C$13,2,0),""))</f>
        <v/>
      </c>
    </row>
    <row r="1942" spans="20:20" x14ac:dyDescent="0.3">
      <c r="T1942" s="47" t="str">
        <f ca="1">IF(R1942="","",IFERROR(TODAY()+VLOOKUP(R1942,REGRAS!$B$2:$C$13,2,0),""))</f>
        <v/>
      </c>
    </row>
    <row r="1943" spans="20:20" x14ac:dyDescent="0.3">
      <c r="T1943" s="47" t="str">
        <f ca="1">IF(R1943="","",IFERROR(TODAY()+VLOOKUP(R1943,REGRAS!$B$2:$C$13,2,0),""))</f>
        <v/>
      </c>
    </row>
    <row r="1944" spans="20:20" x14ac:dyDescent="0.3">
      <c r="T1944" s="47" t="str">
        <f ca="1">IF(R1944="","",IFERROR(TODAY()+VLOOKUP(R1944,REGRAS!$B$2:$C$13,2,0),""))</f>
        <v/>
      </c>
    </row>
    <row r="1945" spans="20:20" x14ac:dyDescent="0.3">
      <c r="T1945" s="47" t="str">
        <f ca="1">IF(R1945="","",IFERROR(TODAY()+VLOOKUP(R1945,REGRAS!$B$2:$C$13,2,0),""))</f>
        <v/>
      </c>
    </row>
    <row r="1946" spans="20:20" x14ac:dyDescent="0.3">
      <c r="T1946" s="47" t="str">
        <f ca="1">IF(R1946="","",IFERROR(TODAY()+VLOOKUP(R1946,REGRAS!$B$2:$C$13,2,0),""))</f>
        <v/>
      </c>
    </row>
    <row r="1947" spans="20:20" x14ac:dyDescent="0.3">
      <c r="T1947" s="47" t="str">
        <f ca="1">IF(R1947="","",IFERROR(TODAY()+VLOOKUP(R1947,REGRAS!$B$2:$C$13,2,0),""))</f>
        <v/>
      </c>
    </row>
    <row r="1948" spans="20:20" x14ac:dyDescent="0.3">
      <c r="T1948" s="47" t="str">
        <f ca="1">IF(R1948="","",IFERROR(TODAY()+VLOOKUP(R1948,REGRAS!$B$2:$C$13,2,0),""))</f>
        <v/>
      </c>
    </row>
    <row r="1949" spans="20:20" x14ac:dyDescent="0.3">
      <c r="T1949" s="47" t="str">
        <f ca="1">IF(R1949="","",IFERROR(TODAY()+VLOOKUP(R1949,REGRAS!$B$2:$C$13,2,0),""))</f>
        <v/>
      </c>
    </row>
    <row r="1950" spans="20:20" x14ac:dyDescent="0.3">
      <c r="T1950" s="47" t="str">
        <f ca="1">IF(R1950="","",IFERROR(TODAY()+VLOOKUP(R1950,REGRAS!$B$2:$C$13,2,0),""))</f>
        <v/>
      </c>
    </row>
    <row r="1951" spans="20:20" x14ac:dyDescent="0.3">
      <c r="T1951" s="47" t="str">
        <f ca="1">IF(R1951="","",IFERROR(TODAY()+VLOOKUP(R1951,REGRAS!$B$2:$C$13,2,0),""))</f>
        <v/>
      </c>
    </row>
    <row r="1952" spans="20:20" x14ac:dyDescent="0.3">
      <c r="T1952" s="47" t="str">
        <f ca="1">IF(R1952="","",IFERROR(TODAY()+VLOOKUP(R1952,REGRAS!$B$2:$C$13,2,0),""))</f>
        <v/>
      </c>
    </row>
    <row r="1953" spans="20:20" x14ac:dyDescent="0.3">
      <c r="T1953" s="47" t="str">
        <f ca="1">IF(R1953="","",IFERROR(TODAY()+VLOOKUP(R1953,REGRAS!$B$2:$C$13,2,0),""))</f>
        <v/>
      </c>
    </row>
    <row r="1954" spans="20:20" x14ac:dyDescent="0.3">
      <c r="T1954" s="47" t="str">
        <f ca="1">IF(R1954="","",IFERROR(TODAY()+VLOOKUP(R1954,REGRAS!$B$2:$C$13,2,0),""))</f>
        <v/>
      </c>
    </row>
    <row r="1955" spans="20:20" x14ac:dyDescent="0.3">
      <c r="T1955" s="47" t="str">
        <f ca="1">IF(R1955="","",IFERROR(TODAY()+VLOOKUP(R1955,REGRAS!$B$2:$C$13,2,0),""))</f>
        <v/>
      </c>
    </row>
    <row r="1956" spans="20:20" x14ac:dyDescent="0.3">
      <c r="T1956" s="47" t="str">
        <f ca="1">IF(R1956="","",IFERROR(TODAY()+VLOOKUP(R1956,REGRAS!$B$2:$C$13,2,0),""))</f>
        <v/>
      </c>
    </row>
    <row r="1957" spans="20:20" x14ac:dyDescent="0.3">
      <c r="T1957" s="47" t="str">
        <f ca="1">IF(R1957="","",IFERROR(TODAY()+VLOOKUP(R1957,REGRAS!$B$2:$C$13,2,0),""))</f>
        <v/>
      </c>
    </row>
    <row r="1958" spans="20:20" x14ac:dyDescent="0.3">
      <c r="T1958" s="47" t="str">
        <f ca="1">IF(R1958="","",IFERROR(TODAY()+VLOOKUP(R1958,REGRAS!$B$2:$C$13,2,0),""))</f>
        <v/>
      </c>
    </row>
    <row r="1959" spans="20:20" x14ac:dyDescent="0.3">
      <c r="T1959" s="47" t="str">
        <f ca="1">IF(R1959="","",IFERROR(TODAY()+VLOOKUP(R1959,REGRAS!$B$2:$C$13,2,0),""))</f>
        <v/>
      </c>
    </row>
    <row r="1960" spans="20:20" x14ac:dyDescent="0.3">
      <c r="T1960" s="47" t="str">
        <f ca="1">IF(R1960="","",IFERROR(TODAY()+VLOOKUP(R1960,REGRAS!$B$2:$C$13,2,0),""))</f>
        <v/>
      </c>
    </row>
    <row r="1961" spans="20:20" x14ac:dyDescent="0.3">
      <c r="T1961" s="47" t="str">
        <f ca="1">IF(R1961="","",IFERROR(TODAY()+VLOOKUP(R1961,REGRAS!$B$2:$C$13,2,0),""))</f>
        <v/>
      </c>
    </row>
    <row r="1962" spans="20:20" x14ac:dyDescent="0.3">
      <c r="T1962" s="47" t="str">
        <f ca="1">IF(R1962="","",IFERROR(TODAY()+VLOOKUP(R1962,REGRAS!$B$2:$C$13,2,0),""))</f>
        <v/>
      </c>
    </row>
    <row r="1963" spans="20:20" x14ac:dyDescent="0.3">
      <c r="T1963" s="47" t="str">
        <f ca="1">IF(R1963="","",IFERROR(TODAY()+VLOOKUP(R1963,REGRAS!$B$2:$C$13,2,0),""))</f>
        <v/>
      </c>
    </row>
    <row r="1964" spans="20:20" x14ac:dyDescent="0.3">
      <c r="T1964" s="47" t="str">
        <f ca="1">IF(R1964="","",IFERROR(TODAY()+VLOOKUP(R1964,REGRAS!$B$2:$C$13,2,0),""))</f>
        <v/>
      </c>
    </row>
    <row r="1965" spans="20:20" x14ac:dyDescent="0.3">
      <c r="T1965" s="47" t="str">
        <f ca="1">IF(R1965="","",IFERROR(TODAY()+VLOOKUP(R1965,REGRAS!$B$2:$C$13,2,0),""))</f>
        <v/>
      </c>
    </row>
    <row r="1966" spans="20:20" x14ac:dyDescent="0.3">
      <c r="T1966" s="47" t="str">
        <f ca="1">IF(R1966="","",IFERROR(TODAY()+VLOOKUP(R1966,REGRAS!$B$2:$C$13,2,0),""))</f>
        <v/>
      </c>
    </row>
    <row r="1967" spans="20:20" x14ac:dyDescent="0.3">
      <c r="T1967" s="47" t="str">
        <f ca="1">IF(R1967="","",IFERROR(TODAY()+VLOOKUP(R1967,REGRAS!$B$2:$C$13,2,0),""))</f>
        <v/>
      </c>
    </row>
    <row r="1968" spans="20:20" x14ac:dyDescent="0.3">
      <c r="T1968" s="47" t="str">
        <f ca="1">IF(R1968="","",IFERROR(TODAY()+VLOOKUP(R1968,REGRAS!$B$2:$C$13,2,0),""))</f>
        <v/>
      </c>
    </row>
    <row r="1969" spans="20:20" x14ac:dyDescent="0.3">
      <c r="T1969" s="47" t="str">
        <f ca="1">IF(R1969="","",IFERROR(TODAY()+VLOOKUP(R1969,REGRAS!$B$2:$C$13,2,0),""))</f>
        <v/>
      </c>
    </row>
    <row r="1970" spans="20:20" x14ac:dyDescent="0.3">
      <c r="T1970" s="47" t="str">
        <f ca="1">IF(R1970="","",IFERROR(TODAY()+VLOOKUP(R1970,REGRAS!$B$2:$C$13,2,0),""))</f>
        <v/>
      </c>
    </row>
    <row r="1971" spans="20:20" x14ac:dyDescent="0.3">
      <c r="T1971" s="47" t="str">
        <f ca="1">IF(R1971="","",IFERROR(TODAY()+VLOOKUP(R1971,REGRAS!$B$2:$C$13,2,0),""))</f>
        <v/>
      </c>
    </row>
    <row r="1972" spans="20:20" x14ac:dyDescent="0.3">
      <c r="T1972" s="47" t="str">
        <f ca="1">IF(R1972="","",IFERROR(TODAY()+VLOOKUP(R1972,REGRAS!$B$2:$C$13,2,0),""))</f>
        <v/>
      </c>
    </row>
    <row r="1973" spans="20:20" x14ac:dyDescent="0.3">
      <c r="T1973" s="47" t="str">
        <f ca="1">IF(R1973="","",IFERROR(TODAY()+VLOOKUP(R1973,REGRAS!$B$2:$C$13,2,0),""))</f>
        <v/>
      </c>
    </row>
    <row r="1974" spans="20:20" x14ac:dyDescent="0.3">
      <c r="T1974" s="47" t="str">
        <f ca="1">IF(R1974="","",IFERROR(TODAY()+VLOOKUP(R1974,REGRAS!$B$2:$C$13,2,0),""))</f>
        <v/>
      </c>
    </row>
    <row r="1975" spans="20:20" x14ac:dyDescent="0.3">
      <c r="T1975" s="47" t="str">
        <f ca="1">IF(R1975="","",IFERROR(TODAY()+VLOOKUP(R1975,REGRAS!$B$2:$C$13,2,0),""))</f>
        <v/>
      </c>
    </row>
    <row r="1976" spans="20:20" x14ac:dyDescent="0.3">
      <c r="T1976" s="47" t="str">
        <f ca="1">IF(R1976="","",IFERROR(TODAY()+VLOOKUP(R1976,REGRAS!$B$2:$C$13,2,0),""))</f>
        <v/>
      </c>
    </row>
    <row r="1977" spans="20:20" x14ac:dyDescent="0.3">
      <c r="T1977" s="47" t="str">
        <f ca="1">IF(R1977="","",IFERROR(TODAY()+VLOOKUP(R1977,REGRAS!$B$2:$C$13,2,0),""))</f>
        <v/>
      </c>
    </row>
    <row r="1978" spans="20:20" x14ac:dyDescent="0.3">
      <c r="T1978" s="47" t="str">
        <f ca="1">IF(R1978="","",IFERROR(TODAY()+VLOOKUP(R1978,REGRAS!$B$2:$C$13,2,0),""))</f>
        <v/>
      </c>
    </row>
    <row r="1979" spans="20:20" x14ac:dyDescent="0.3">
      <c r="T1979" s="47" t="str">
        <f ca="1">IF(R1979="","",IFERROR(TODAY()+VLOOKUP(R1979,REGRAS!$B$2:$C$13,2,0),""))</f>
        <v/>
      </c>
    </row>
    <row r="1980" spans="20:20" x14ac:dyDescent="0.3">
      <c r="T1980" s="47" t="str">
        <f ca="1">IF(R1980="","",IFERROR(TODAY()+VLOOKUP(R1980,REGRAS!$B$2:$C$13,2,0),""))</f>
        <v/>
      </c>
    </row>
    <row r="1981" spans="20:20" x14ac:dyDescent="0.3">
      <c r="T1981" s="47" t="str">
        <f ca="1">IF(R1981="","",IFERROR(TODAY()+VLOOKUP(R1981,REGRAS!$B$2:$C$13,2,0),""))</f>
        <v/>
      </c>
    </row>
    <row r="1982" spans="20:20" x14ac:dyDescent="0.3">
      <c r="T1982" s="47" t="str">
        <f ca="1">IF(R1982="","",IFERROR(TODAY()+VLOOKUP(R1982,REGRAS!$B$2:$C$13,2,0),""))</f>
        <v/>
      </c>
    </row>
    <row r="1983" spans="20:20" x14ac:dyDescent="0.3">
      <c r="T1983" s="47" t="str">
        <f ca="1">IF(R1983="","",IFERROR(TODAY()+VLOOKUP(R1983,REGRAS!$B$2:$C$13,2,0),""))</f>
        <v/>
      </c>
    </row>
    <row r="1984" spans="20:20" x14ac:dyDescent="0.3">
      <c r="T1984" s="47" t="str">
        <f ca="1">IF(R1984="","",IFERROR(TODAY()+VLOOKUP(R1984,REGRAS!$B$2:$C$13,2,0),""))</f>
        <v/>
      </c>
    </row>
    <row r="1985" spans="20:20" x14ac:dyDescent="0.3">
      <c r="T1985" s="47" t="str">
        <f ca="1">IF(R1985="","",IFERROR(TODAY()+VLOOKUP(R1985,REGRAS!$B$2:$C$13,2,0),""))</f>
        <v/>
      </c>
    </row>
    <row r="1986" spans="20:20" x14ac:dyDescent="0.3">
      <c r="T1986" s="47" t="str">
        <f ca="1">IF(R1986="","",IFERROR(TODAY()+VLOOKUP(R1986,REGRAS!$B$2:$C$13,2,0),""))</f>
        <v/>
      </c>
    </row>
    <row r="1987" spans="20:20" x14ac:dyDescent="0.3">
      <c r="T1987" s="47" t="str">
        <f ca="1">IF(R1987="","",IFERROR(TODAY()+VLOOKUP(R1987,REGRAS!$B$2:$C$13,2,0),""))</f>
        <v/>
      </c>
    </row>
    <row r="1988" spans="20:20" x14ac:dyDescent="0.3">
      <c r="T1988" s="47" t="str">
        <f ca="1">IF(R1988="","",IFERROR(TODAY()+VLOOKUP(R1988,REGRAS!$B$2:$C$13,2,0),""))</f>
        <v/>
      </c>
    </row>
    <row r="1989" spans="20:20" x14ac:dyDescent="0.3">
      <c r="T1989" s="47" t="str">
        <f ca="1">IF(R1989="","",IFERROR(TODAY()+VLOOKUP(R1989,REGRAS!$B$2:$C$13,2,0),""))</f>
        <v/>
      </c>
    </row>
    <row r="1990" spans="20:20" x14ac:dyDescent="0.3">
      <c r="T1990" s="47" t="str">
        <f ca="1">IF(R1990="","",IFERROR(TODAY()+VLOOKUP(R1990,REGRAS!$B$2:$C$13,2,0),""))</f>
        <v/>
      </c>
    </row>
    <row r="1991" spans="20:20" x14ac:dyDescent="0.3">
      <c r="T1991" s="47" t="str">
        <f ca="1">IF(R1991="","",IFERROR(TODAY()+VLOOKUP(R1991,REGRAS!$B$2:$C$13,2,0),""))</f>
        <v/>
      </c>
    </row>
    <row r="1992" spans="20:20" x14ac:dyDescent="0.3">
      <c r="T1992" s="47" t="str">
        <f ca="1">IF(R1992="","",IFERROR(TODAY()+VLOOKUP(R1992,REGRAS!$B$2:$C$13,2,0),""))</f>
        <v/>
      </c>
    </row>
    <row r="1993" spans="20:20" x14ac:dyDescent="0.3">
      <c r="T1993" s="47" t="str">
        <f ca="1">IF(R1993="","",IFERROR(TODAY()+VLOOKUP(R1993,REGRAS!$B$2:$C$13,2,0),""))</f>
        <v/>
      </c>
    </row>
    <row r="1994" spans="20:20" x14ac:dyDescent="0.3">
      <c r="T1994" s="47" t="str">
        <f ca="1">IF(R1994="","",IFERROR(TODAY()+VLOOKUP(R1994,REGRAS!$B$2:$C$13,2,0),""))</f>
        <v/>
      </c>
    </row>
    <row r="1995" spans="20:20" x14ac:dyDescent="0.3">
      <c r="T1995" s="47" t="str">
        <f ca="1">IF(R1995="","",IFERROR(TODAY()+VLOOKUP(R1995,REGRAS!$B$2:$C$13,2,0),""))</f>
        <v/>
      </c>
    </row>
    <row r="1996" spans="20:20" x14ac:dyDescent="0.3">
      <c r="T1996" s="47" t="str">
        <f ca="1">IF(R1996="","",IFERROR(TODAY()+VLOOKUP(R1996,REGRAS!$B$2:$C$13,2,0),""))</f>
        <v/>
      </c>
    </row>
    <row r="1997" spans="20:20" x14ac:dyDescent="0.3">
      <c r="T1997" s="47" t="str">
        <f ca="1">IF(R1997="","",IFERROR(TODAY()+VLOOKUP(R1997,REGRAS!$B$2:$C$13,2,0),""))</f>
        <v/>
      </c>
    </row>
    <row r="1998" spans="20:20" x14ac:dyDescent="0.3">
      <c r="T1998" s="47" t="str">
        <f ca="1">IF(R1998="","",IFERROR(TODAY()+VLOOKUP(R1998,REGRAS!$B$2:$C$13,2,0),""))</f>
        <v/>
      </c>
    </row>
    <row r="1999" spans="20:20" x14ac:dyDescent="0.3">
      <c r="T1999" s="47" t="str">
        <f ca="1">IF(R1999="","",IFERROR(TODAY()+VLOOKUP(R1999,REGRAS!$B$2:$C$13,2,0),""))</f>
        <v/>
      </c>
    </row>
    <row r="2000" spans="20:20" x14ac:dyDescent="0.3">
      <c r="T2000" s="47" t="str">
        <f ca="1">IF(R2000="","",IFERROR(TODAY()+VLOOKUP(R2000,REGRAS!$B$2:$C$13,2,0),""))</f>
        <v/>
      </c>
    </row>
    <row r="2001" spans="20:20" x14ac:dyDescent="0.3">
      <c r="T2001" s="47" t="str">
        <f ca="1">IF(R2001="","",IFERROR(TODAY()+VLOOKUP(R2001,REGRAS!$B$2:$C$13,2,0),""))</f>
        <v/>
      </c>
    </row>
    <row r="2002" spans="20:20" x14ac:dyDescent="0.3">
      <c r="T2002" s="47" t="str">
        <f ca="1">IF(R2002="","",IFERROR(TODAY()+VLOOKUP(R2002,REGRAS!$B$2:$C$13,2,0),""))</f>
        <v/>
      </c>
    </row>
    <row r="2003" spans="20:20" x14ac:dyDescent="0.3">
      <c r="T2003" s="47" t="str">
        <f ca="1">IF(R2003="","",IFERROR(TODAY()+VLOOKUP(R2003,REGRAS!$B$2:$C$13,2,0),""))</f>
        <v/>
      </c>
    </row>
    <row r="2004" spans="20:20" x14ac:dyDescent="0.3">
      <c r="T2004" s="47" t="str">
        <f ca="1">IF(R2004="","",IFERROR(TODAY()+VLOOKUP(R2004,REGRAS!$B$2:$C$13,2,0),""))</f>
        <v/>
      </c>
    </row>
    <row r="2005" spans="20:20" x14ac:dyDescent="0.3">
      <c r="T2005" s="47" t="str">
        <f ca="1">IF(R2005="","",IFERROR(TODAY()+VLOOKUP(R2005,REGRAS!$B$2:$C$13,2,0),""))</f>
        <v/>
      </c>
    </row>
    <row r="2006" spans="20:20" x14ac:dyDescent="0.3">
      <c r="T2006" s="47" t="str">
        <f ca="1">IF(R2006="","",IFERROR(TODAY()+VLOOKUP(R2006,REGRAS!$B$2:$C$13,2,0),""))</f>
        <v/>
      </c>
    </row>
    <row r="2007" spans="20:20" x14ac:dyDescent="0.3">
      <c r="T2007" s="47" t="str">
        <f ca="1">IF(R2007="","",IFERROR(TODAY()+VLOOKUP(R2007,REGRAS!$B$2:$C$13,2,0),""))</f>
        <v/>
      </c>
    </row>
    <row r="2008" spans="20:20" x14ac:dyDescent="0.3">
      <c r="T2008" s="47" t="str">
        <f ca="1">IF(R2008="","",IFERROR(TODAY()+VLOOKUP(R2008,REGRAS!$B$2:$C$13,2,0),""))</f>
        <v/>
      </c>
    </row>
    <row r="2009" spans="20:20" x14ac:dyDescent="0.3">
      <c r="T2009" s="47" t="str">
        <f ca="1">IF(R2009="","",IFERROR(TODAY()+VLOOKUP(R2009,REGRAS!$B$2:$C$13,2,0),""))</f>
        <v/>
      </c>
    </row>
    <row r="2010" spans="20:20" x14ac:dyDescent="0.3">
      <c r="T2010" s="47" t="str">
        <f ca="1">IF(R2010="","",IFERROR(TODAY()+VLOOKUP(R2010,REGRAS!$B$2:$C$13,2,0),""))</f>
        <v/>
      </c>
    </row>
    <row r="2011" spans="20:20" x14ac:dyDescent="0.3">
      <c r="T2011" s="47" t="str">
        <f ca="1">IF(R2011="","",IFERROR(TODAY()+VLOOKUP(R2011,REGRAS!$B$2:$C$13,2,0),""))</f>
        <v/>
      </c>
    </row>
    <row r="2012" spans="20:20" x14ac:dyDescent="0.3">
      <c r="T2012" s="47" t="str">
        <f ca="1">IF(R2012="","",IFERROR(TODAY()+VLOOKUP(R2012,REGRAS!$B$2:$C$13,2,0),""))</f>
        <v/>
      </c>
    </row>
    <row r="2013" spans="20:20" x14ac:dyDescent="0.3">
      <c r="T2013" s="47" t="str">
        <f ca="1">IF(R2013="","",IFERROR(TODAY()+VLOOKUP(R2013,REGRAS!$B$2:$C$13,2,0),""))</f>
        <v/>
      </c>
    </row>
    <row r="2014" spans="20:20" x14ac:dyDescent="0.3">
      <c r="T2014" s="47" t="str">
        <f ca="1">IF(R2014="","",IFERROR(TODAY()+VLOOKUP(R2014,REGRAS!$B$2:$C$13,2,0),""))</f>
        <v/>
      </c>
    </row>
    <row r="2015" spans="20:20" x14ac:dyDescent="0.3">
      <c r="T2015" s="47" t="str">
        <f ca="1">IF(R2015="","",IFERROR(TODAY()+VLOOKUP(R2015,REGRAS!$B$2:$C$13,2,0),""))</f>
        <v/>
      </c>
    </row>
    <row r="2016" spans="20:20" x14ac:dyDescent="0.3">
      <c r="T2016" s="47" t="str">
        <f ca="1">IF(R2016="","",IFERROR(TODAY()+VLOOKUP(R2016,REGRAS!$B$2:$C$13,2,0),""))</f>
        <v/>
      </c>
    </row>
    <row r="2017" spans="20:20" x14ac:dyDescent="0.3">
      <c r="T2017" s="47" t="str">
        <f ca="1">IF(R2017="","",IFERROR(TODAY()+VLOOKUP(R2017,REGRAS!$B$2:$C$13,2,0),""))</f>
        <v/>
      </c>
    </row>
    <row r="2018" spans="20:20" x14ac:dyDescent="0.3">
      <c r="T2018" s="47" t="str">
        <f ca="1">IF(R2018="","",IFERROR(TODAY()+VLOOKUP(R2018,REGRAS!$B$2:$C$13,2,0),""))</f>
        <v/>
      </c>
    </row>
    <row r="2019" spans="20:20" x14ac:dyDescent="0.3">
      <c r="T2019" s="47" t="str">
        <f ca="1">IF(R2019="","",IFERROR(TODAY()+VLOOKUP(R2019,REGRAS!$B$2:$C$13,2,0),""))</f>
        <v/>
      </c>
    </row>
    <row r="2020" spans="20:20" x14ac:dyDescent="0.3">
      <c r="T2020" s="47" t="str">
        <f ca="1">IF(R2020="","",IFERROR(TODAY()+VLOOKUP(R2020,REGRAS!$B$2:$C$13,2,0),""))</f>
        <v/>
      </c>
    </row>
    <row r="2021" spans="20:20" x14ac:dyDescent="0.3">
      <c r="T2021" s="47" t="str">
        <f ca="1">IF(R2021="","",IFERROR(TODAY()+VLOOKUP(R2021,REGRAS!$B$2:$C$13,2,0),""))</f>
        <v/>
      </c>
    </row>
    <row r="2022" spans="20:20" x14ac:dyDescent="0.3">
      <c r="T2022" s="47" t="str">
        <f ca="1">IF(R2022="","",IFERROR(TODAY()+VLOOKUP(R2022,REGRAS!$B$2:$C$13,2,0),""))</f>
        <v/>
      </c>
    </row>
    <row r="2023" spans="20:20" x14ac:dyDescent="0.3">
      <c r="T2023" s="47" t="str">
        <f ca="1">IF(R2023="","",IFERROR(TODAY()+VLOOKUP(R2023,REGRAS!$B$2:$C$13,2,0),""))</f>
        <v/>
      </c>
    </row>
    <row r="2024" spans="20:20" x14ac:dyDescent="0.3">
      <c r="T2024" s="47" t="str">
        <f ca="1">IF(R2024="","",IFERROR(TODAY()+VLOOKUP(R2024,REGRAS!$B$2:$C$13,2,0),""))</f>
        <v/>
      </c>
    </row>
    <row r="2025" spans="20:20" x14ac:dyDescent="0.3">
      <c r="T2025" s="47" t="str">
        <f ca="1">IF(R2025="","",IFERROR(TODAY()+VLOOKUP(R2025,REGRAS!$B$2:$C$13,2,0),""))</f>
        <v/>
      </c>
    </row>
    <row r="2026" spans="20:20" x14ac:dyDescent="0.3">
      <c r="T2026" s="47" t="str">
        <f ca="1">IF(R2026="","",IFERROR(TODAY()+VLOOKUP(R2026,REGRAS!$B$2:$C$13,2,0),""))</f>
        <v/>
      </c>
    </row>
    <row r="2027" spans="20:20" x14ac:dyDescent="0.3">
      <c r="T2027" s="47" t="str">
        <f ca="1">IF(R2027="","",IFERROR(TODAY()+VLOOKUP(R2027,REGRAS!$B$2:$C$13,2,0),""))</f>
        <v/>
      </c>
    </row>
    <row r="2028" spans="20:20" x14ac:dyDescent="0.3">
      <c r="T2028" s="47" t="str">
        <f ca="1">IF(R2028="","",IFERROR(TODAY()+VLOOKUP(R2028,REGRAS!$B$2:$C$13,2,0),""))</f>
        <v/>
      </c>
    </row>
    <row r="2029" spans="20:20" x14ac:dyDescent="0.3">
      <c r="T2029" s="47" t="str">
        <f ca="1">IF(R2029="","",IFERROR(TODAY()+VLOOKUP(R2029,REGRAS!$B$2:$C$13,2,0),""))</f>
        <v/>
      </c>
    </row>
    <row r="2030" spans="20:20" x14ac:dyDescent="0.3">
      <c r="T2030" s="47" t="str">
        <f ca="1">IF(R2030="","",IFERROR(TODAY()+VLOOKUP(R2030,REGRAS!$B$2:$C$13,2,0),""))</f>
        <v/>
      </c>
    </row>
    <row r="2031" spans="20:20" x14ac:dyDescent="0.3">
      <c r="T2031" s="47" t="str">
        <f ca="1">IF(R2031="","",IFERROR(TODAY()+VLOOKUP(R2031,REGRAS!$B$2:$C$13,2,0),""))</f>
        <v/>
      </c>
    </row>
    <row r="2032" spans="20:20" x14ac:dyDescent="0.3">
      <c r="T2032" s="47" t="str">
        <f ca="1">IF(R2032="","",IFERROR(TODAY()+VLOOKUP(R2032,REGRAS!$B$2:$C$13,2,0),""))</f>
        <v/>
      </c>
    </row>
    <row r="2033" spans="20:20" x14ac:dyDescent="0.3">
      <c r="T2033" s="47" t="str">
        <f ca="1">IF(R2033="","",IFERROR(TODAY()+VLOOKUP(R2033,REGRAS!$B$2:$C$13,2,0),""))</f>
        <v/>
      </c>
    </row>
    <row r="2034" spans="20:20" x14ac:dyDescent="0.3">
      <c r="T2034" s="47" t="str">
        <f ca="1">IF(R2034="","",IFERROR(TODAY()+VLOOKUP(R2034,REGRAS!$B$2:$C$13,2,0),""))</f>
        <v/>
      </c>
    </row>
    <row r="2035" spans="20:20" x14ac:dyDescent="0.3">
      <c r="T2035" s="47" t="str">
        <f ca="1">IF(R2035="","",IFERROR(TODAY()+VLOOKUP(R2035,REGRAS!$B$2:$C$13,2,0),""))</f>
        <v/>
      </c>
    </row>
    <row r="2036" spans="20:20" x14ac:dyDescent="0.3">
      <c r="T2036" s="47" t="str">
        <f ca="1">IF(R2036="","",IFERROR(TODAY()+VLOOKUP(R2036,REGRAS!$B$2:$C$13,2,0),""))</f>
        <v/>
      </c>
    </row>
    <row r="2037" spans="20:20" x14ac:dyDescent="0.3">
      <c r="T2037" s="47" t="str">
        <f ca="1">IF(R2037="","",IFERROR(TODAY()+VLOOKUP(R2037,REGRAS!$B$2:$C$13,2,0),""))</f>
        <v/>
      </c>
    </row>
    <row r="2038" spans="20:20" x14ac:dyDescent="0.3">
      <c r="T2038" s="47" t="str">
        <f ca="1">IF(R2038="","",IFERROR(TODAY()+VLOOKUP(R2038,REGRAS!$B$2:$C$13,2,0),""))</f>
        <v/>
      </c>
    </row>
    <row r="2039" spans="20:20" x14ac:dyDescent="0.3">
      <c r="T2039" s="47" t="str">
        <f ca="1">IF(R2039="","",IFERROR(TODAY()+VLOOKUP(R2039,REGRAS!$B$2:$C$13,2,0),""))</f>
        <v/>
      </c>
    </row>
    <row r="2040" spans="20:20" x14ac:dyDescent="0.3">
      <c r="T2040" s="47" t="str">
        <f ca="1">IF(R2040="","",IFERROR(TODAY()+VLOOKUP(R2040,REGRAS!$B$2:$C$13,2,0),""))</f>
        <v/>
      </c>
    </row>
    <row r="2041" spans="20:20" x14ac:dyDescent="0.3">
      <c r="T2041" s="47" t="str">
        <f ca="1">IF(R2041="","",IFERROR(TODAY()+VLOOKUP(R2041,REGRAS!$B$2:$C$13,2,0),""))</f>
        <v/>
      </c>
    </row>
    <row r="2042" spans="20:20" x14ac:dyDescent="0.3">
      <c r="T2042" s="47" t="str">
        <f ca="1">IF(R2042="","",IFERROR(TODAY()+VLOOKUP(R2042,REGRAS!$B$2:$C$13,2,0),""))</f>
        <v/>
      </c>
    </row>
    <row r="2043" spans="20:20" x14ac:dyDescent="0.3">
      <c r="T2043" s="47" t="str">
        <f ca="1">IF(R2043="","",IFERROR(TODAY()+VLOOKUP(R2043,REGRAS!$B$2:$C$13,2,0),""))</f>
        <v/>
      </c>
    </row>
    <row r="2044" spans="20:20" x14ac:dyDescent="0.3">
      <c r="T2044" s="47" t="str">
        <f ca="1">IF(R2044="","",IFERROR(TODAY()+VLOOKUP(R2044,REGRAS!$B$2:$C$13,2,0),""))</f>
        <v/>
      </c>
    </row>
    <row r="2045" spans="20:20" x14ac:dyDescent="0.3">
      <c r="T2045" s="47" t="str">
        <f ca="1">IF(R2045="","",IFERROR(TODAY()+VLOOKUP(R2045,REGRAS!$B$2:$C$13,2,0),""))</f>
        <v/>
      </c>
    </row>
    <row r="2046" spans="20:20" x14ac:dyDescent="0.3">
      <c r="T2046" s="47" t="str">
        <f ca="1">IF(R2046="","",IFERROR(TODAY()+VLOOKUP(R2046,REGRAS!$B$2:$C$13,2,0),""))</f>
        <v/>
      </c>
    </row>
    <row r="2047" spans="20:20" x14ac:dyDescent="0.3">
      <c r="T2047" s="47" t="str">
        <f ca="1">IF(R2047="","",IFERROR(TODAY()+VLOOKUP(R2047,REGRAS!$B$2:$C$13,2,0),""))</f>
        <v/>
      </c>
    </row>
    <row r="2048" spans="20:20" x14ac:dyDescent="0.3">
      <c r="T2048" s="47" t="str">
        <f ca="1">IF(R2048="","",IFERROR(TODAY()+VLOOKUP(R2048,REGRAS!$B$2:$C$13,2,0),""))</f>
        <v/>
      </c>
    </row>
    <row r="2049" spans="20:20" x14ac:dyDescent="0.3">
      <c r="T2049" s="47" t="str">
        <f ca="1">IF(R2049="","",IFERROR(TODAY()+VLOOKUP(R2049,REGRAS!$B$2:$C$13,2,0),""))</f>
        <v/>
      </c>
    </row>
    <row r="2050" spans="20:20" x14ac:dyDescent="0.3">
      <c r="T2050" s="47" t="str">
        <f ca="1">IF(R2050="","",IFERROR(TODAY()+VLOOKUP(R2050,REGRAS!$B$2:$C$13,2,0),""))</f>
        <v/>
      </c>
    </row>
    <row r="2051" spans="20:20" x14ac:dyDescent="0.3">
      <c r="T2051" s="47" t="str">
        <f ca="1">IF(R2051="","",IFERROR(TODAY()+VLOOKUP(R2051,REGRAS!$B$2:$C$13,2,0),""))</f>
        <v/>
      </c>
    </row>
    <row r="2052" spans="20:20" x14ac:dyDescent="0.3">
      <c r="T2052" s="47" t="str">
        <f ca="1">IF(R2052="","",IFERROR(TODAY()+VLOOKUP(R2052,REGRAS!$B$2:$C$13,2,0),""))</f>
        <v/>
      </c>
    </row>
    <row r="2053" spans="20:20" x14ac:dyDescent="0.3">
      <c r="T2053" s="47" t="str">
        <f ca="1">IF(R2053="","",IFERROR(TODAY()+VLOOKUP(R2053,REGRAS!$B$2:$C$13,2,0),""))</f>
        <v/>
      </c>
    </row>
    <row r="2054" spans="20:20" x14ac:dyDescent="0.3">
      <c r="T2054" s="47" t="str">
        <f ca="1">IF(R2054="","",IFERROR(TODAY()+VLOOKUP(R2054,REGRAS!$B$2:$C$13,2,0),""))</f>
        <v/>
      </c>
    </row>
    <row r="2055" spans="20:20" x14ac:dyDescent="0.3">
      <c r="T2055" s="47" t="str">
        <f ca="1">IF(R2055="","",IFERROR(TODAY()+VLOOKUP(R2055,REGRAS!$B$2:$C$13,2,0),""))</f>
        <v/>
      </c>
    </row>
    <row r="2056" spans="20:20" x14ac:dyDescent="0.3">
      <c r="T2056" s="47" t="str">
        <f ca="1">IF(R2056="","",IFERROR(TODAY()+VLOOKUP(R2056,REGRAS!$B$2:$C$13,2,0),""))</f>
        <v/>
      </c>
    </row>
    <row r="2057" spans="20:20" x14ac:dyDescent="0.3">
      <c r="T2057" s="47" t="str">
        <f ca="1">IF(R2057="","",IFERROR(TODAY()+VLOOKUP(R2057,REGRAS!$B$2:$C$13,2,0),""))</f>
        <v/>
      </c>
    </row>
    <row r="2058" spans="20:20" x14ac:dyDescent="0.3">
      <c r="T2058" s="47" t="str">
        <f ca="1">IF(R2058="","",IFERROR(TODAY()+VLOOKUP(R2058,REGRAS!$B$2:$C$13,2,0),""))</f>
        <v/>
      </c>
    </row>
    <row r="2059" spans="20:20" x14ac:dyDescent="0.3">
      <c r="T2059" s="47" t="str">
        <f ca="1">IF(R2059="","",IFERROR(TODAY()+VLOOKUP(R2059,REGRAS!$B$2:$C$13,2,0),""))</f>
        <v/>
      </c>
    </row>
    <row r="2060" spans="20:20" x14ac:dyDescent="0.3">
      <c r="T2060" s="47" t="str">
        <f ca="1">IF(R2060="","",IFERROR(TODAY()+VLOOKUP(R2060,REGRAS!$B$2:$C$13,2,0),""))</f>
        <v/>
      </c>
    </row>
    <row r="2061" spans="20:20" x14ac:dyDescent="0.3">
      <c r="T2061" s="47" t="str">
        <f ca="1">IF(R2061="","",IFERROR(TODAY()+VLOOKUP(R2061,REGRAS!$B$2:$C$13,2,0),""))</f>
        <v/>
      </c>
    </row>
    <row r="2062" spans="20:20" x14ac:dyDescent="0.3">
      <c r="T2062" s="47" t="str">
        <f ca="1">IF(R2062="","",IFERROR(TODAY()+VLOOKUP(R2062,REGRAS!$B$2:$C$13,2,0),""))</f>
        <v/>
      </c>
    </row>
    <row r="2063" spans="20:20" x14ac:dyDescent="0.3">
      <c r="T2063" s="47" t="str">
        <f ca="1">IF(R2063="","",IFERROR(TODAY()+VLOOKUP(R2063,REGRAS!$B$2:$C$13,2,0),""))</f>
        <v/>
      </c>
    </row>
    <row r="2064" spans="20:20" x14ac:dyDescent="0.3">
      <c r="T2064" s="47" t="str">
        <f ca="1">IF(R2064="","",IFERROR(TODAY()+VLOOKUP(R2064,REGRAS!$B$2:$C$13,2,0),""))</f>
        <v/>
      </c>
    </row>
    <row r="2065" spans="20:20" x14ac:dyDescent="0.3">
      <c r="T2065" s="47" t="str">
        <f ca="1">IF(R2065="","",IFERROR(TODAY()+VLOOKUP(R2065,REGRAS!$B$2:$C$13,2,0),""))</f>
        <v/>
      </c>
    </row>
    <row r="2066" spans="20:20" x14ac:dyDescent="0.3">
      <c r="T2066" s="47" t="str">
        <f ca="1">IF(R2066="","",IFERROR(TODAY()+VLOOKUP(R2066,REGRAS!$B$2:$C$13,2,0),""))</f>
        <v/>
      </c>
    </row>
    <row r="2067" spans="20:20" x14ac:dyDescent="0.3">
      <c r="T2067" s="47" t="str">
        <f ca="1">IF(R2067="","",IFERROR(TODAY()+VLOOKUP(R2067,REGRAS!$B$2:$C$13,2,0),""))</f>
        <v/>
      </c>
    </row>
    <row r="2068" spans="20:20" x14ac:dyDescent="0.3">
      <c r="T2068" s="47" t="str">
        <f ca="1">IF(R2068="","",IFERROR(TODAY()+VLOOKUP(R2068,REGRAS!$B$2:$C$13,2,0),""))</f>
        <v/>
      </c>
    </row>
    <row r="2069" spans="20:20" x14ac:dyDescent="0.3">
      <c r="T2069" s="47" t="str">
        <f ca="1">IF(R2069="","",IFERROR(TODAY()+VLOOKUP(R2069,REGRAS!$B$2:$C$13,2,0),""))</f>
        <v/>
      </c>
    </row>
    <row r="2070" spans="20:20" x14ac:dyDescent="0.3">
      <c r="T2070" s="47" t="str">
        <f ca="1">IF(R2070="","",IFERROR(TODAY()+VLOOKUP(R2070,REGRAS!$B$2:$C$13,2,0),""))</f>
        <v/>
      </c>
    </row>
    <row r="2071" spans="20:20" x14ac:dyDescent="0.3">
      <c r="T2071" s="47" t="str">
        <f ca="1">IF(R2071="","",IFERROR(TODAY()+VLOOKUP(R2071,REGRAS!$B$2:$C$13,2,0),""))</f>
        <v/>
      </c>
    </row>
    <row r="2072" spans="20:20" x14ac:dyDescent="0.3">
      <c r="T2072" s="47" t="str">
        <f ca="1">IF(R2072="","",IFERROR(TODAY()+VLOOKUP(R2072,REGRAS!$B$2:$C$13,2,0),""))</f>
        <v/>
      </c>
    </row>
    <row r="2073" spans="20:20" x14ac:dyDescent="0.3">
      <c r="T2073" s="47" t="str">
        <f ca="1">IF(R2073="","",IFERROR(TODAY()+VLOOKUP(R2073,REGRAS!$B$2:$C$13,2,0),""))</f>
        <v/>
      </c>
    </row>
    <row r="2074" spans="20:20" x14ac:dyDescent="0.3">
      <c r="T2074" s="47" t="str">
        <f ca="1">IF(R2074="","",IFERROR(TODAY()+VLOOKUP(R2074,REGRAS!$B$2:$C$13,2,0),""))</f>
        <v/>
      </c>
    </row>
    <row r="2075" spans="20:20" x14ac:dyDescent="0.3">
      <c r="T2075" s="47" t="str">
        <f ca="1">IF(R2075="","",IFERROR(TODAY()+VLOOKUP(R2075,REGRAS!$B$2:$C$13,2,0),""))</f>
        <v/>
      </c>
    </row>
    <row r="2076" spans="20:20" x14ac:dyDescent="0.3">
      <c r="T2076" s="47" t="str">
        <f ca="1">IF(R2076="","",IFERROR(TODAY()+VLOOKUP(R2076,REGRAS!$B$2:$C$13,2,0),""))</f>
        <v/>
      </c>
    </row>
    <row r="2077" spans="20:20" x14ac:dyDescent="0.3">
      <c r="T2077" s="47" t="str">
        <f ca="1">IF(R2077="","",IFERROR(TODAY()+VLOOKUP(R2077,REGRAS!$B$2:$C$13,2,0),""))</f>
        <v/>
      </c>
    </row>
    <row r="2078" spans="20:20" x14ac:dyDescent="0.3">
      <c r="T2078" s="47" t="str">
        <f ca="1">IF(R2078="","",IFERROR(TODAY()+VLOOKUP(R2078,REGRAS!$B$2:$C$13,2,0),""))</f>
        <v/>
      </c>
    </row>
    <row r="2079" spans="20:20" x14ac:dyDescent="0.3">
      <c r="T2079" s="47" t="str">
        <f ca="1">IF(R2079="","",IFERROR(TODAY()+VLOOKUP(R2079,REGRAS!$B$2:$C$13,2,0),""))</f>
        <v/>
      </c>
    </row>
    <row r="2080" spans="20:20" x14ac:dyDescent="0.3">
      <c r="T2080" s="47" t="str">
        <f ca="1">IF(R2080="","",IFERROR(TODAY()+VLOOKUP(R2080,REGRAS!$B$2:$C$13,2,0),""))</f>
        <v/>
      </c>
    </row>
    <row r="2081" spans="20:20" x14ac:dyDescent="0.3">
      <c r="T2081" s="47" t="str">
        <f ca="1">IF(R2081="","",IFERROR(TODAY()+VLOOKUP(R2081,REGRAS!$B$2:$C$13,2,0),""))</f>
        <v/>
      </c>
    </row>
    <row r="2082" spans="20:20" x14ac:dyDescent="0.3">
      <c r="T2082" s="47" t="str">
        <f ca="1">IF(R2082="","",IFERROR(TODAY()+VLOOKUP(R2082,REGRAS!$B$2:$C$13,2,0),""))</f>
        <v/>
      </c>
    </row>
    <row r="2083" spans="20:20" x14ac:dyDescent="0.3">
      <c r="T2083" s="47" t="str">
        <f ca="1">IF(R2083="","",IFERROR(TODAY()+VLOOKUP(R2083,REGRAS!$B$2:$C$13,2,0),""))</f>
        <v/>
      </c>
    </row>
    <row r="2084" spans="20:20" x14ac:dyDescent="0.3">
      <c r="T2084" s="47" t="str">
        <f ca="1">IF(R2084="","",IFERROR(TODAY()+VLOOKUP(R2084,REGRAS!$B$2:$C$13,2,0),""))</f>
        <v/>
      </c>
    </row>
    <row r="2085" spans="20:20" x14ac:dyDescent="0.3">
      <c r="T2085" s="47" t="str">
        <f ca="1">IF(R2085="","",IFERROR(TODAY()+VLOOKUP(R2085,REGRAS!$B$2:$C$13,2,0),""))</f>
        <v/>
      </c>
    </row>
    <row r="2086" spans="20:20" x14ac:dyDescent="0.3">
      <c r="T2086" s="47" t="str">
        <f ca="1">IF(R2086="","",IFERROR(TODAY()+VLOOKUP(R2086,REGRAS!$B$2:$C$13,2,0),""))</f>
        <v/>
      </c>
    </row>
    <row r="2087" spans="20:20" x14ac:dyDescent="0.3">
      <c r="T2087" s="47" t="str">
        <f ca="1">IF(R2087="","",IFERROR(TODAY()+VLOOKUP(R2087,REGRAS!$B$2:$C$13,2,0),""))</f>
        <v/>
      </c>
    </row>
    <row r="2088" spans="20:20" x14ac:dyDescent="0.3">
      <c r="T2088" s="47" t="str">
        <f ca="1">IF(R2088="","",IFERROR(TODAY()+VLOOKUP(R2088,REGRAS!$B$2:$C$13,2,0),""))</f>
        <v/>
      </c>
    </row>
    <row r="2089" spans="20:20" x14ac:dyDescent="0.3">
      <c r="T2089" s="47" t="str">
        <f ca="1">IF(R2089="","",IFERROR(TODAY()+VLOOKUP(R2089,REGRAS!$B$2:$C$13,2,0),""))</f>
        <v/>
      </c>
    </row>
    <row r="2090" spans="20:20" x14ac:dyDescent="0.3">
      <c r="T2090" s="47" t="str">
        <f ca="1">IF(R2090="","",IFERROR(TODAY()+VLOOKUP(R2090,REGRAS!$B$2:$C$13,2,0),""))</f>
        <v/>
      </c>
    </row>
    <row r="2091" spans="20:20" x14ac:dyDescent="0.3">
      <c r="T2091" s="47" t="str">
        <f ca="1">IF(R2091="","",IFERROR(TODAY()+VLOOKUP(R2091,REGRAS!$B$2:$C$13,2,0),""))</f>
        <v/>
      </c>
    </row>
    <row r="2092" spans="20:20" x14ac:dyDescent="0.3">
      <c r="T2092" s="47" t="str">
        <f ca="1">IF(R2092="","",IFERROR(TODAY()+VLOOKUP(R2092,REGRAS!$B$2:$C$13,2,0),""))</f>
        <v/>
      </c>
    </row>
    <row r="2093" spans="20:20" x14ac:dyDescent="0.3">
      <c r="T2093" s="47" t="str">
        <f ca="1">IF(R2093="","",IFERROR(TODAY()+VLOOKUP(R2093,REGRAS!$B$2:$C$13,2,0),""))</f>
        <v/>
      </c>
    </row>
    <row r="2094" spans="20:20" x14ac:dyDescent="0.3">
      <c r="T2094" s="47" t="str">
        <f ca="1">IF(R2094="","",IFERROR(TODAY()+VLOOKUP(R2094,REGRAS!$B$2:$C$13,2,0),""))</f>
        <v/>
      </c>
    </row>
    <row r="2095" spans="20:20" x14ac:dyDescent="0.3">
      <c r="T2095" s="47" t="str">
        <f ca="1">IF(R2095="","",IFERROR(TODAY()+VLOOKUP(R2095,REGRAS!$B$2:$C$13,2,0),""))</f>
        <v/>
      </c>
    </row>
    <row r="2096" spans="20:20" x14ac:dyDescent="0.3">
      <c r="T2096" s="47" t="str">
        <f ca="1">IF(R2096="","",IFERROR(TODAY()+VLOOKUP(R2096,REGRAS!$B$2:$C$13,2,0),""))</f>
        <v/>
      </c>
    </row>
    <row r="2097" spans="20:20" x14ac:dyDescent="0.3">
      <c r="T2097" s="47" t="str">
        <f ca="1">IF(R2097="","",IFERROR(TODAY()+VLOOKUP(R2097,REGRAS!$B$2:$C$13,2,0),""))</f>
        <v/>
      </c>
    </row>
    <row r="2098" spans="20:20" x14ac:dyDescent="0.3">
      <c r="T2098" s="47" t="str">
        <f ca="1">IF(R2098="","",IFERROR(TODAY()+VLOOKUP(R2098,REGRAS!$B$2:$C$13,2,0),""))</f>
        <v/>
      </c>
    </row>
    <row r="2099" spans="20:20" x14ac:dyDescent="0.3">
      <c r="T2099" s="47" t="str">
        <f ca="1">IF(R2099="","",IFERROR(TODAY()+VLOOKUP(R2099,REGRAS!$B$2:$C$13,2,0),""))</f>
        <v/>
      </c>
    </row>
    <row r="2100" spans="20:20" x14ac:dyDescent="0.3">
      <c r="T2100" s="47" t="str">
        <f ca="1">IF(R2100="","",IFERROR(TODAY()+VLOOKUP(R2100,REGRAS!$B$2:$C$13,2,0),""))</f>
        <v/>
      </c>
    </row>
    <row r="2101" spans="20:20" x14ac:dyDescent="0.3">
      <c r="T2101" s="47" t="str">
        <f ca="1">IF(R2101="","",IFERROR(TODAY()+VLOOKUP(R2101,REGRAS!$B$2:$C$13,2,0),""))</f>
        <v/>
      </c>
    </row>
    <row r="2102" spans="20:20" x14ac:dyDescent="0.3">
      <c r="T2102" s="47" t="str">
        <f ca="1">IF(R2102="","",IFERROR(TODAY()+VLOOKUP(R2102,REGRAS!$B$2:$C$13,2,0),""))</f>
        <v/>
      </c>
    </row>
    <row r="2103" spans="20:20" x14ac:dyDescent="0.3">
      <c r="T2103" s="47" t="str">
        <f ca="1">IF(R2103="","",IFERROR(TODAY()+VLOOKUP(R2103,REGRAS!$B$2:$C$13,2,0),""))</f>
        <v/>
      </c>
    </row>
    <row r="2104" spans="20:20" x14ac:dyDescent="0.3">
      <c r="T2104" s="47" t="str">
        <f ca="1">IF(R2104="","",IFERROR(TODAY()+VLOOKUP(R2104,REGRAS!$B$2:$C$13,2,0),""))</f>
        <v/>
      </c>
    </row>
    <row r="2105" spans="20:20" x14ac:dyDescent="0.3">
      <c r="T2105" s="47" t="str">
        <f ca="1">IF(R2105="","",IFERROR(TODAY()+VLOOKUP(R2105,REGRAS!$B$2:$C$13,2,0),""))</f>
        <v/>
      </c>
    </row>
    <row r="2106" spans="20:20" x14ac:dyDescent="0.3">
      <c r="T2106" s="47" t="str">
        <f ca="1">IF(R2106="","",IFERROR(TODAY()+VLOOKUP(R2106,REGRAS!$B$2:$C$13,2,0),""))</f>
        <v/>
      </c>
    </row>
    <row r="2107" spans="20:20" x14ac:dyDescent="0.3">
      <c r="T2107" s="47" t="str">
        <f ca="1">IF(R2107="","",IFERROR(TODAY()+VLOOKUP(R2107,REGRAS!$B$2:$C$13,2,0),""))</f>
        <v/>
      </c>
    </row>
    <row r="2108" spans="20:20" x14ac:dyDescent="0.3">
      <c r="T2108" s="47" t="str">
        <f ca="1">IF(R2108="","",IFERROR(TODAY()+VLOOKUP(R2108,REGRAS!$B$2:$C$13,2,0),""))</f>
        <v/>
      </c>
    </row>
    <row r="2109" spans="20:20" x14ac:dyDescent="0.3">
      <c r="T2109" s="47" t="str">
        <f ca="1">IF(R2109="","",IFERROR(TODAY()+VLOOKUP(R2109,REGRAS!$B$2:$C$13,2,0),""))</f>
        <v/>
      </c>
    </row>
    <row r="2110" spans="20:20" x14ac:dyDescent="0.3">
      <c r="T2110" s="47" t="str">
        <f ca="1">IF(R2110="","",IFERROR(TODAY()+VLOOKUP(R2110,REGRAS!$B$2:$C$13,2,0),""))</f>
        <v/>
      </c>
    </row>
    <row r="2111" spans="20:20" x14ac:dyDescent="0.3">
      <c r="T2111" s="47" t="str">
        <f ca="1">IF(R2111="","",IFERROR(TODAY()+VLOOKUP(R2111,REGRAS!$B$2:$C$13,2,0),""))</f>
        <v/>
      </c>
    </row>
    <row r="2112" spans="20:20" x14ac:dyDescent="0.3">
      <c r="T2112" s="47" t="str">
        <f ca="1">IF(R2112="","",IFERROR(TODAY()+VLOOKUP(R2112,REGRAS!$B$2:$C$13,2,0),""))</f>
        <v/>
      </c>
    </row>
    <row r="2113" spans="20:20" x14ac:dyDescent="0.3">
      <c r="T2113" s="47" t="str">
        <f ca="1">IF(R2113="","",IFERROR(TODAY()+VLOOKUP(R2113,REGRAS!$B$2:$C$13,2,0),""))</f>
        <v/>
      </c>
    </row>
    <row r="2114" spans="20:20" x14ac:dyDescent="0.3">
      <c r="T2114" s="47" t="str">
        <f ca="1">IF(R2114="","",IFERROR(TODAY()+VLOOKUP(R2114,REGRAS!$B$2:$C$13,2,0),""))</f>
        <v/>
      </c>
    </row>
    <row r="2115" spans="20:20" x14ac:dyDescent="0.3">
      <c r="T2115" s="47" t="str">
        <f ca="1">IF(R2115="","",IFERROR(TODAY()+VLOOKUP(R2115,REGRAS!$B$2:$C$13,2,0),""))</f>
        <v/>
      </c>
    </row>
    <row r="2116" spans="20:20" x14ac:dyDescent="0.3">
      <c r="T2116" s="47" t="str">
        <f ca="1">IF(R2116="","",IFERROR(TODAY()+VLOOKUP(R2116,REGRAS!$B$2:$C$13,2,0),""))</f>
        <v/>
      </c>
    </row>
    <row r="2117" spans="20:20" x14ac:dyDescent="0.3">
      <c r="T2117" s="47" t="str">
        <f ca="1">IF(R2117="","",IFERROR(TODAY()+VLOOKUP(R2117,REGRAS!$B$2:$C$13,2,0),""))</f>
        <v/>
      </c>
    </row>
    <row r="2118" spans="20:20" x14ac:dyDescent="0.3">
      <c r="T2118" s="47" t="str">
        <f ca="1">IF(R2118="","",IFERROR(TODAY()+VLOOKUP(R2118,REGRAS!$B$2:$C$13,2,0),""))</f>
        <v/>
      </c>
    </row>
    <row r="2119" spans="20:20" x14ac:dyDescent="0.3">
      <c r="T2119" s="47" t="str">
        <f ca="1">IF(R2119="","",IFERROR(TODAY()+VLOOKUP(R2119,REGRAS!$B$2:$C$13,2,0),""))</f>
        <v/>
      </c>
    </row>
    <row r="2120" spans="20:20" x14ac:dyDescent="0.3">
      <c r="T2120" s="47" t="str">
        <f ca="1">IF(R2120="","",IFERROR(TODAY()+VLOOKUP(R2120,REGRAS!$B$2:$C$13,2,0),""))</f>
        <v/>
      </c>
    </row>
    <row r="2121" spans="20:20" x14ac:dyDescent="0.3">
      <c r="T2121" s="47" t="str">
        <f ca="1">IF(R2121="","",IFERROR(TODAY()+VLOOKUP(R2121,REGRAS!$B$2:$C$13,2,0),""))</f>
        <v/>
      </c>
    </row>
    <row r="2122" spans="20:20" x14ac:dyDescent="0.3">
      <c r="T2122" s="47" t="str">
        <f ca="1">IF(R2122="","",IFERROR(TODAY()+VLOOKUP(R2122,REGRAS!$B$2:$C$13,2,0),""))</f>
        <v/>
      </c>
    </row>
    <row r="2123" spans="20:20" x14ac:dyDescent="0.3">
      <c r="T2123" s="47" t="str">
        <f ca="1">IF(R2123="","",IFERROR(TODAY()+VLOOKUP(R2123,REGRAS!$B$2:$C$13,2,0),""))</f>
        <v/>
      </c>
    </row>
    <row r="2124" spans="20:20" x14ac:dyDescent="0.3">
      <c r="T2124" s="47" t="str">
        <f ca="1">IF(R2124="","",IFERROR(TODAY()+VLOOKUP(R2124,REGRAS!$B$2:$C$13,2,0),""))</f>
        <v/>
      </c>
    </row>
    <row r="2125" spans="20:20" x14ac:dyDescent="0.3">
      <c r="T2125" s="47" t="str">
        <f ca="1">IF(R2125="","",IFERROR(TODAY()+VLOOKUP(R2125,REGRAS!$B$2:$C$13,2,0),""))</f>
        <v/>
      </c>
    </row>
    <row r="2126" spans="20:20" x14ac:dyDescent="0.3">
      <c r="T2126" s="47" t="str">
        <f ca="1">IF(R2126="","",IFERROR(TODAY()+VLOOKUP(R2126,REGRAS!$B$2:$C$13,2,0),""))</f>
        <v/>
      </c>
    </row>
    <row r="2127" spans="20:20" x14ac:dyDescent="0.3">
      <c r="T2127" s="47" t="str">
        <f ca="1">IF(R2127="","",IFERROR(TODAY()+VLOOKUP(R2127,REGRAS!$B$2:$C$13,2,0),""))</f>
        <v/>
      </c>
    </row>
    <row r="2128" spans="20:20" x14ac:dyDescent="0.3">
      <c r="T2128" s="47" t="str">
        <f ca="1">IF(R2128="","",IFERROR(TODAY()+VLOOKUP(R2128,REGRAS!$B$2:$C$13,2,0),""))</f>
        <v/>
      </c>
    </row>
    <row r="2129" spans="20:20" x14ac:dyDescent="0.3">
      <c r="T2129" s="47" t="str">
        <f ca="1">IF(R2129="","",IFERROR(TODAY()+VLOOKUP(R2129,REGRAS!$B$2:$C$13,2,0),""))</f>
        <v/>
      </c>
    </row>
    <row r="2130" spans="20:20" x14ac:dyDescent="0.3">
      <c r="T2130" s="47" t="str">
        <f ca="1">IF(R2130="","",IFERROR(TODAY()+VLOOKUP(R2130,REGRAS!$B$2:$C$13,2,0),""))</f>
        <v/>
      </c>
    </row>
    <row r="2131" spans="20:20" x14ac:dyDescent="0.3">
      <c r="T2131" s="47" t="str">
        <f ca="1">IF(R2131="","",IFERROR(TODAY()+VLOOKUP(R2131,REGRAS!$B$2:$C$13,2,0),""))</f>
        <v/>
      </c>
    </row>
    <row r="2132" spans="20:20" x14ac:dyDescent="0.3">
      <c r="T2132" s="47" t="str">
        <f ca="1">IF(R2132="","",IFERROR(TODAY()+VLOOKUP(R2132,REGRAS!$B$2:$C$13,2,0),""))</f>
        <v/>
      </c>
    </row>
    <row r="2133" spans="20:20" x14ac:dyDescent="0.3">
      <c r="T2133" s="47" t="str">
        <f ca="1">IF(R2133="","",IFERROR(TODAY()+VLOOKUP(R2133,REGRAS!$B$2:$C$13,2,0),""))</f>
        <v/>
      </c>
    </row>
    <row r="2134" spans="20:20" x14ac:dyDescent="0.3">
      <c r="T2134" s="47" t="str">
        <f ca="1">IF(R2134="","",IFERROR(TODAY()+VLOOKUP(R2134,REGRAS!$B$2:$C$13,2,0),""))</f>
        <v/>
      </c>
    </row>
    <row r="2135" spans="20:20" x14ac:dyDescent="0.3">
      <c r="T2135" s="47" t="str">
        <f ca="1">IF(R2135="","",IFERROR(TODAY()+VLOOKUP(R2135,REGRAS!$B$2:$C$13,2,0),""))</f>
        <v/>
      </c>
    </row>
    <row r="2136" spans="20:20" x14ac:dyDescent="0.3">
      <c r="T2136" s="47" t="str">
        <f ca="1">IF(R2136="","",IFERROR(TODAY()+VLOOKUP(R2136,REGRAS!$B$2:$C$13,2,0),""))</f>
        <v/>
      </c>
    </row>
    <row r="2137" spans="20:20" x14ac:dyDescent="0.3">
      <c r="T2137" s="47" t="str">
        <f ca="1">IF(R2137="","",IFERROR(TODAY()+VLOOKUP(R2137,REGRAS!$B$2:$C$13,2,0),""))</f>
        <v/>
      </c>
    </row>
    <row r="2138" spans="20:20" x14ac:dyDescent="0.3">
      <c r="T2138" s="47" t="str">
        <f ca="1">IF(R2138="","",IFERROR(TODAY()+VLOOKUP(R2138,REGRAS!$B$2:$C$13,2,0),""))</f>
        <v/>
      </c>
    </row>
    <row r="2139" spans="20:20" x14ac:dyDescent="0.3">
      <c r="T2139" s="47" t="str">
        <f ca="1">IF(R2139="","",IFERROR(TODAY()+VLOOKUP(R2139,REGRAS!$B$2:$C$13,2,0),""))</f>
        <v/>
      </c>
    </row>
    <row r="2140" spans="20:20" x14ac:dyDescent="0.3">
      <c r="T2140" s="47" t="str">
        <f ca="1">IF(R2140="","",IFERROR(TODAY()+VLOOKUP(R2140,REGRAS!$B$2:$C$13,2,0),""))</f>
        <v/>
      </c>
    </row>
    <row r="2141" spans="20:20" x14ac:dyDescent="0.3">
      <c r="T2141" s="47" t="str">
        <f ca="1">IF(R2141="","",IFERROR(TODAY()+VLOOKUP(R2141,REGRAS!$B$2:$C$13,2,0),""))</f>
        <v/>
      </c>
    </row>
    <row r="2142" spans="20:20" x14ac:dyDescent="0.3">
      <c r="T2142" s="47" t="str">
        <f ca="1">IF(R2142="","",IFERROR(TODAY()+VLOOKUP(R2142,REGRAS!$B$2:$C$13,2,0),""))</f>
        <v/>
      </c>
    </row>
    <row r="2143" spans="20:20" x14ac:dyDescent="0.3">
      <c r="T2143" s="47" t="str">
        <f ca="1">IF(R2143="","",IFERROR(TODAY()+VLOOKUP(R2143,REGRAS!$B$2:$C$13,2,0),""))</f>
        <v/>
      </c>
    </row>
    <row r="2144" spans="20:20" x14ac:dyDescent="0.3">
      <c r="T2144" s="47" t="str">
        <f ca="1">IF(R2144="","",IFERROR(TODAY()+VLOOKUP(R2144,REGRAS!$B$2:$C$13,2,0),""))</f>
        <v/>
      </c>
    </row>
    <row r="2145" spans="20:20" x14ac:dyDescent="0.3">
      <c r="T2145" s="47" t="str">
        <f ca="1">IF(R2145="","",IFERROR(TODAY()+VLOOKUP(R2145,REGRAS!$B$2:$C$13,2,0),""))</f>
        <v/>
      </c>
    </row>
    <row r="2146" spans="20:20" x14ac:dyDescent="0.3">
      <c r="T2146" s="47" t="str">
        <f ca="1">IF(R2146="","",IFERROR(TODAY()+VLOOKUP(R2146,REGRAS!$B$2:$C$13,2,0),""))</f>
        <v/>
      </c>
    </row>
    <row r="2147" spans="20:20" x14ac:dyDescent="0.3">
      <c r="T2147" s="47" t="str">
        <f ca="1">IF(R2147="","",IFERROR(TODAY()+VLOOKUP(R2147,REGRAS!$B$2:$C$13,2,0),""))</f>
        <v/>
      </c>
    </row>
    <row r="2148" spans="20:20" x14ac:dyDescent="0.3">
      <c r="T2148" s="47" t="str">
        <f ca="1">IF(R2148="","",IFERROR(TODAY()+VLOOKUP(R2148,REGRAS!$B$2:$C$13,2,0),""))</f>
        <v/>
      </c>
    </row>
    <row r="2149" spans="20:20" x14ac:dyDescent="0.3">
      <c r="T2149" s="47" t="str">
        <f ca="1">IF(R2149="","",IFERROR(TODAY()+VLOOKUP(R2149,REGRAS!$B$2:$C$13,2,0),""))</f>
        <v/>
      </c>
    </row>
    <row r="2150" spans="20:20" x14ac:dyDescent="0.3">
      <c r="T2150" s="47" t="str">
        <f ca="1">IF(R2150="","",IFERROR(TODAY()+VLOOKUP(R2150,REGRAS!$B$2:$C$13,2,0),""))</f>
        <v/>
      </c>
    </row>
    <row r="2151" spans="20:20" x14ac:dyDescent="0.3">
      <c r="T2151" s="47" t="str">
        <f ca="1">IF(R2151="","",IFERROR(TODAY()+VLOOKUP(R2151,REGRAS!$B$2:$C$13,2,0),""))</f>
        <v/>
      </c>
    </row>
    <row r="2152" spans="20:20" x14ac:dyDescent="0.3">
      <c r="T2152" s="47" t="str">
        <f ca="1">IF(R2152="","",IFERROR(TODAY()+VLOOKUP(R2152,REGRAS!$B$2:$C$13,2,0),""))</f>
        <v/>
      </c>
    </row>
    <row r="2153" spans="20:20" x14ac:dyDescent="0.3">
      <c r="T2153" s="47" t="str">
        <f ca="1">IF(R2153="","",IFERROR(TODAY()+VLOOKUP(R2153,REGRAS!$B$2:$C$13,2,0),""))</f>
        <v/>
      </c>
    </row>
    <row r="2154" spans="20:20" x14ac:dyDescent="0.3">
      <c r="T2154" s="47" t="str">
        <f ca="1">IF(R2154="","",IFERROR(TODAY()+VLOOKUP(R2154,REGRAS!$B$2:$C$13,2,0),""))</f>
        <v/>
      </c>
    </row>
    <row r="2155" spans="20:20" x14ac:dyDescent="0.3">
      <c r="T2155" s="47" t="str">
        <f ca="1">IF(R2155="","",IFERROR(TODAY()+VLOOKUP(R2155,REGRAS!$B$2:$C$13,2,0),""))</f>
        <v/>
      </c>
    </row>
    <row r="2156" spans="20:20" x14ac:dyDescent="0.3">
      <c r="T2156" s="47" t="str">
        <f ca="1">IF(R2156="","",IFERROR(TODAY()+VLOOKUP(R2156,REGRAS!$B$2:$C$13,2,0),""))</f>
        <v/>
      </c>
    </row>
    <row r="2157" spans="20:20" x14ac:dyDescent="0.3">
      <c r="T2157" s="47" t="str">
        <f ca="1">IF(R2157="","",IFERROR(TODAY()+VLOOKUP(R2157,REGRAS!$B$2:$C$13,2,0),""))</f>
        <v/>
      </c>
    </row>
    <row r="2158" spans="20:20" x14ac:dyDescent="0.3">
      <c r="T2158" s="47" t="str">
        <f ca="1">IF(R2158="","",IFERROR(TODAY()+VLOOKUP(R2158,REGRAS!$B$2:$C$13,2,0),""))</f>
        <v/>
      </c>
    </row>
    <row r="2159" spans="20:20" x14ac:dyDescent="0.3">
      <c r="T2159" s="47" t="str">
        <f ca="1">IF(R2159="","",IFERROR(TODAY()+VLOOKUP(R2159,REGRAS!$B$2:$C$13,2,0),""))</f>
        <v/>
      </c>
    </row>
    <row r="2160" spans="20:20" x14ac:dyDescent="0.3">
      <c r="T2160" s="47" t="str">
        <f ca="1">IF(R2160="","",IFERROR(TODAY()+VLOOKUP(R2160,REGRAS!$B$2:$C$13,2,0),""))</f>
        <v/>
      </c>
    </row>
    <row r="2161" spans="20:20" x14ac:dyDescent="0.3">
      <c r="T2161" s="47" t="str">
        <f ca="1">IF(R2161="","",IFERROR(TODAY()+VLOOKUP(R2161,REGRAS!$B$2:$C$13,2,0),""))</f>
        <v/>
      </c>
    </row>
    <row r="2162" spans="20:20" x14ac:dyDescent="0.3">
      <c r="T2162" s="47" t="str">
        <f ca="1">IF(R2162="","",IFERROR(TODAY()+VLOOKUP(R2162,REGRAS!$B$2:$C$13,2,0),""))</f>
        <v/>
      </c>
    </row>
    <row r="2163" spans="20:20" x14ac:dyDescent="0.3">
      <c r="T2163" s="47" t="str">
        <f ca="1">IF(R2163="","",IFERROR(TODAY()+VLOOKUP(R2163,REGRAS!$B$2:$C$13,2,0),""))</f>
        <v/>
      </c>
    </row>
    <row r="2164" spans="20:20" x14ac:dyDescent="0.3">
      <c r="T2164" s="47" t="str">
        <f ca="1">IF(R2164="","",IFERROR(TODAY()+VLOOKUP(R2164,REGRAS!$B$2:$C$13,2,0),""))</f>
        <v/>
      </c>
    </row>
    <row r="2165" spans="20:20" x14ac:dyDescent="0.3">
      <c r="T2165" s="47" t="str">
        <f ca="1">IF(R2165="","",IFERROR(TODAY()+VLOOKUP(R2165,REGRAS!$B$2:$C$13,2,0),""))</f>
        <v/>
      </c>
    </row>
    <row r="2166" spans="20:20" x14ac:dyDescent="0.3">
      <c r="T2166" s="47" t="str">
        <f ca="1">IF(R2166="","",IFERROR(TODAY()+VLOOKUP(R2166,REGRAS!$B$2:$C$13,2,0),""))</f>
        <v/>
      </c>
    </row>
    <row r="2167" spans="20:20" x14ac:dyDescent="0.3">
      <c r="T2167" s="47" t="str">
        <f ca="1">IF(R2167="","",IFERROR(TODAY()+VLOOKUP(R2167,REGRAS!$B$2:$C$13,2,0),""))</f>
        <v/>
      </c>
    </row>
    <row r="2168" spans="20:20" x14ac:dyDescent="0.3">
      <c r="T2168" s="47" t="str">
        <f ca="1">IF(R2168="","",IFERROR(TODAY()+VLOOKUP(R2168,REGRAS!$B$2:$C$13,2,0),""))</f>
        <v/>
      </c>
    </row>
    <row r="2169" spans="20:20" x14ac:dyDescent="0.3">
      <c r="T2169" s="47" t="str">
        <f ca="1">IF(R2169="","",IFERROR(TODAY()+VLOOKUP(R2169,REGRAS!$B$2:$C$13,2,0),""))</f>
        <v/>
      </c>
    </row>
    <row r="2170" spans="20:20" x14ac:dyDescent="0.3">
      <c r="T2170" s="47" t="str">
        <f ca="1">IF(R2170="","",IFERROR(TODAY()+VLOOKUP(R2170,REGRAS!$B$2:$C$13,2,0),""))</f>
        <v/>
      </c>
    </row>
    <row r="2171" spans="20:20" x14ac:dyDescent="0.3">
      <c r="T2171" s="47" t="str">
        <f ca="1">IF(R2171="","",IFERROR(TODAY()+VLOOKUP(R2171,REGRAS!$B$2:$C$13,2,0),""))</f>
        <v/>
      </c>
    </row>
    <row r="2172" spans="20:20" x14ac:dyDescent="0.3">
      <c r="T2172" s="47" t="str">
        <f ca="1">IF(R2172="","",IFERROR(TODAY()+VLOOKUP(R2172,REGRAS!$B$2:$C$13,2,0),""))</f>
        <v/>
      </c>
    </row>
    <row r="2173" spans="20:20" x14ac:dyDescent="0.3">
      <c r="T2173" s="47" t="str">
        <f ca="1">IF(R2173="","",IFERROR(TODAY()+VLOOKUP(R2173,REGRAS!$B$2:$C$13,2,0),""))</f>
        <v/>
      </c>
    </row>
    <row r="2174" spans="20:20" x14ac:dyDescent="0.3">
      <c r="T2174" s="47" t="str">
        <f ca="1">IF(R2174="","",IFERROR(TODAY()+VLOOKUP(R2174,REGRAS!$B$2:$C$13,2,0),""))</f>
        <v/>
      </c>
    </row>
    <row r="2175" spans="20:20" x14ac:dyDescent="0.3">
      <c r="T2175" s="47" t="str">
        <f ca="1">IF(R2175="","",IFERROR(TODAY()+VLOOKUP(R2175,REGRAS!$B$2:$C$13,2,0),""))</f>
        <v/>
      </c>
    </row>
    <row r="2176" spans="20:20" x14ac:dyDescent="0.3">
      <c r="T2176" s="47" t="str">
        <f ca="1">IF(R2176="","",IFERROR(TODAY()+VLOOKUP(R2176,REGRAS!$B$2:$C$13,2,0),""))</f>
        <v/>
      </c>
    </row>
    <row r="2177" spans="20:20" x14ac:dyDescent="0.3">
      <c r="T2177" s="47" t="str">
        <f ca="1">IF(R2177="","",IFERROR(TODAY()+VLOOKUP(R2177,REGRAS!$B$2:$C$13,2,0),""))</f>
        <v/>
      </c>
    </row>
    <row r="2178" spans="20:20" x14ac:dyDescent="0.3">
      <c r="T2178" s="47" t="str">
        <f ca="1">IF(R2178="","",IFERROR(TODAY()+VLOOKUP(R2178,REGRAS!$B$2:$C$13,2,0),""))</f>
        <v/>
      </c>
    </row>
    <row r="2179" spans="20:20" x14ac:dyDescent="0.3">
      <c r="T2179" s="47" t="str">
        <f ca="1">IF(R2179="","",IFERROR(TODAY()+VLOOKUP(R2179,REGRAS!$B$2:$C$13,2,0),""))</f>
        <v/>
      </c>
    </row>
    <row r="2180" spans="20:20" x14ac:dyDescent="0.3">
      <c r="T2180" s="47" t="str">
        <f ca="1">IF(R2180="","",IFERROR(TODAY()+VLOOKUP(R2180,REGRAS!$B$2:$C$13,2,0),""))</f>
        <v/>
      </c>
    </row>
    <row r="2181" spans="20:20" x14ac:dyDescent="0.3">
      <c r="T2181" s="47" t="str">
        <f ca="1">IF(R2181="","",IFERROR(TODAY()+VLOOKUP(R2181,REGRAS!$B$2:$C$13,2,0),""))</f>
        <v/>
      </c>
    </row>
    <row r="2182" spans="20:20" x14ac:dyDescent="0.3">
      <c r="T2182" s="47" t="str">
        <f ca="1">IF(R2182="","",IFERROR(TODAY()+VLOOKUP(R2182,REGRAS!$B$2:$C$13,2,0),""))</f>
        <v/>
      </c>
    </row>
    <row r="2183" spans="20:20" x14ac:dyDescent="0.3">
      <c r="T2183" s="47" t="str">
        <f ca="1">IF(R2183="","",IFERROR(TODAY()+VLOOKUP(R2183,REGRAS!$B$2:$C$13,2,0),""))</f>
        <v/>
      </c>
    </row>
    <row r="2184" spans="20:20" x14ac:dyDescent="0.3">
      <c r="T2184" s="47" t="str">
        <f ca="1">IF(R2184="","",IFERROR(TODAY()+VLOOKUP(R2184,REGRAS!$B$2:$C$13,2,0),""))</f>
        <v/>
      </c>
    </row>
    <row r="2185" spans="20:20" x14ac:dyDescent="0.3">
      <c r="T2185" s="47" t="str">
        <f ca="1">IF(R2185="","",IFERROR(TODAY()+VLOOKUP(R2185,REGRAS!$B$2:$C$13,2,0),""))</f>
        <v/>
      </c>
    </row>
    <row r="2186" spans="20:20" x14ac:dyDescent="0.3">
      <c r="T2186" s="47" t="str">
        <f ca="1">IF(R2186="","",IFERROR(TODAY()+VLOOKUP(R2186,REGRAS!$B$2:$C$13,2,0),""))</f>
        <v/>
      </c>
    </row>
    <row r="2187" spans="20:20" x14ac:dyDescent="0.3">
      <c r="T2187" s="47" t="str">
        <f ca="1">IF(R2187="","",IFERROR(TODAY()+VLOOKUP(R2187,REGRAS!$B$2:$C$13,2,0),""))</f>
        <v/>
      </c>
    </row>
    <row r="2188" spans="20:20" x14ac:dyDescent="0.3">
      <c r="T2188" s="47" t="str">
        <f ca="1">IF(R2188="","",IFERROR(TODAY()+VLOOKUP(R2188,REGRAS!$B$2:$C$13,2,0),""))</f>
        <v/>
      </c>
    </row>
    <row r="2189" spans="20:20" x14ac:dyDescent="0.3">
      <c r="T2189" s="47" t="str">
        <f ca="1">IF(R2189="","",IFERROR(TODAY()+VLOOKUP(R2189,REGRAS!$B$2:$C$13,2,0),""))</f>
        <v/>
      </c>
    </row>
    <row r="2190" spans="20:20" x14ac:dyDescent="0.3">
      <c r="T2190" s="47" t="str">
        <f ca="1">IF(R2190="","",IFERROR(TODAY()+VLOOKUP(R2190,REGRAS!$B$2:$C$13,2,0),""))</f>
        <v/>
      </c>
    </row>
    <row r="2191" spans="20:20" x14ac:dyDescent="0.3">
      <c r="T2191" s="47" t="str">
        <f ca="1">IF(R2191="","",IFERROR(TODAY()+VLOOKUP(R2191,REGRAS!$B$2:$C$13,2,0),""))</f>
        <v/>
      </c>
    </row>
    <row r="2192" spans="20:20" x14ac:dyDescent="0.3">
      <c r="T2192" s="47" t="str">
        <f ca="1">IF(R2192="","",IFERROR(TODAY()+VLOOKUP(R2192,REGRAS!$B$2:$C$13,2,0),""))</f>
        <v/>
      </c>
    </row>
    <row r="2193" spans="20:20" x14ac:dyDescent="0.3">
      <c r="T2193" s="47" t="str">
        <f ca="1">IF(R2193="","",IFERROR(TODAY()+VLOOKUP(R2193,REGRAS!$B$2:$C$13,2,0),""))</f>
        <v/>
      </c>
    </row>
    <row r="2194" spans="20:20" x14ac:dyDescent="0.3">
      <c r="T2194" s="47" t="str">
        <f ca="1">IF(R2194="","",IFERROR(TODAY()+VLOOKUP(R2194,REGRAS!$B$2:$C$13,2,0),""))</f>
        <v/>
      </c>
    </row>
    <row r="2195" spans="20:20" x14ac:dyDescent="0.3">
      <c r="T2195" s="47" t="str">
        <f ca="1">IF(R2195="","",IFERROR(TODAY()+VLOOKUP(R2195,REGRAS!$B$2:$C$13,2,0),""))</f>
        <v/>
      </c>
    </row>
    <row r="2196" spans="20:20" x14ac:dyDescent="0.3">
      <c r="T2196" s="47" t="str">
        <f ca="1">IF(R2196="","",IFERROR(TODAY()+VLOOKUP(R2196,REGRAS!$B$2:$C$13,2,0),""))</f>
        <v/>
      </c>
    </row>
    <row r="2197" spans="20:20" x14ac:dyDescent="0.3">
      <c r="T2197" s="47" t="str">
        <f ca="1">IF(R2197="","",IFERROR(TODAY()+VLOOKUP(R2197,REGRAS!$B$2:$C$13,2,0),""))</f>
        <v/>
      </c>
    </row>
    <row r="2198" spans="20:20" x14ac:dyDescent="0.3">
      <c r="T2198" s="47" t="str">
        <f ca="1">IF(R2198="","",IFERROR(TODAY()+VLOOKUP(R2198,REGRAS!$B$2:$C$13,2,0),""))</f>
        <v/>
      </c>
    </row>
    <row r="2199" spans="20:20" x14ac:dyDescent="0.3">
      <c r="T2199" s="47" t="str">
        <f ca="1">IF(R2199="","",IFERROR(TODAY()+VLOOKUP(R2199,REGRAS!$B$2:$C$13,2,0),""))</f>
        <v/>
      </c>
    </row>
    <row r="2200" spans="20:20" x14ac:dyDescent="0.3">
      <c r="T2200" s="47" t="str">
        <f ca="1">IF(R2200="","",IFERROR(TODAY()+VLOOKUP(R2200,REGRAS!$B$2:$C$13,2,0),""))</f>
        <v/>
      </c>
    </row>
    <row r="2201" spans="20:20" x14ac:dyDescent="0.3">
      <c r="T2201" s="47" t="str">
        <f ca="1">IF(R2201="","",IFERROR(TODAY()+VLOOKUP(R2201,REGRAS!$B$2:$C$13,2,0),""))</f>
        <v/>
      </c>
    </row>
    <row r="2202" spans="20:20" x14ac:dyDescent="0.3">
      <c r="T2202" s="47" t="str">
        <f ca="1">IF(R2202="","",IFERROR(TODAY()+VLOOKUP(R2202,REGRAS!$B$2:$C$13,2,0),""))</f>
        <v/>
      </c>
    </row>
    <row r="2203" spans="20:20" x14ac:dyDescent="0.3">
      <c r="T2203" s="47" t="str">
        <f ca="1">IF(R2203="","",IFERROR(TODAY()+VLOOKUP(R2203,REGRAS!$B$2:$C$13,2,0),""))</f>
        <v/>
      </c>
    </row>
    <row r="2204" spans="20:20" x14ac:dyDescent="0.3">
      <c r="T2204" s="47" t="str">
        <f ca="1">IF(R2204="","",IFERROR(TODAY()+VLOOKUP(R2204,REGRAS!$B$2:$C$13,2,0),""))</f>
        <v/>
      </c>
    </row>
    <row r="2205" spans="20:20" x14ac:dyDescent="0.3">
      <c r="T2205" s="47" t="str">
        <f ca="1">IF(R2205="","",IFERROR(TODAY()+VLOOKUP(R2205,REGRAS!$B$2:$C$13,2,0),""))</f>
        <v/>
      </c>
    </row>
    <row r="2206" spans="20:20" x14ac:dyDescent="0.3">
      <c r="T2206" s="47" t="str">
        <f ca="1">IF(R2206="","",IFERROR(TODAY()+VLOOKUP(R2206,REGRAS!$B$2:$C$13,2,0),""))</f>
        <v/>
      </c>
    </row>
    <row r="2207" spans="20:20" x14ac:dyDescent="0.3">
      <c r="T2207" s="47" t="str">
        <f ca="1">IF(R2207="","",IFERROR(TODAY()+VLOOKUP(R2207,REGRAS!$B$2:$C$13,2,0),""))</f>
        <v/>
      </c>
    </row>
    <row r="2208" spans="20:20" x14ac:dyDescent="0.3">
      <c r="T2208" s="47" t="str">
        <f ca="1">IF(R2208="","",IFERROR(TODAY()+VLOOKUP(R2208,REGRAS!$B$2:$C$13,2,0),""))</f>
        <v/>
      </c>
    </row>
    <row r="2209" spans="20:20" x14ac:dyDescent="0.3">
      <c r="T2209" s="47" t="str">
        <f ca="1">IF(R2209="","",IFERROR(TODAY()+VLOOKUP(R2209,REGRAS!$B$2:$C$13,2,0),""))</f>
        <v/>
      </c>
    </row>
    <row r="2210" spans="20:20" x14ac:dyDescent="0.3">
      <c r="T2210" s="47" t="str">
        <f ca="1">IF(R2210="","",IFERROR(TODAY()+VLOOKUP(R2210,REGRAS!$B$2:$C$13,2,0),""))</f>
        <v/>
      </c>
    </row>
    <row r="2211" spans="20:20" x14ac:dyDescent="0.3">
      <c r="T2211" s="47" t="str">
        <f ca="1">IF(R2211="","",IFERROR(TODAY()+VLOOKUP(R2211,REGRAS!$B$2:$C$13,2,0),""))</f>
        <v/>
      </c>
    </row>
    <row r="2212" spans="20:20" x14ac:dyDescent="0.3">
      <c r="T2212" s="47" t="str">
        <f ca="1">IF(R2212="","",IFERROR(TODAY()+VLOOKUP(R2212,REGRAS!$B$2:$C$13,2,0),""))</f>
        <v/>
      </c>
    </row>
    <row r="2213" spans="20:20" x14ac:dyDescent="0.3">
      <c r="T2213" s="47" t="str">
        <f ca="1">IF(R2213="","",IFERROR(TODAY()+VLOOKUP(R2213,REGRAS!$B$2:$C$13,2,0),""))</f>
        <v/>
      </c>
    </row>
    <row r="2214" spans="20:20" x14ac:dyDescent="0.3">
      <c r="T2214" s="47" t="str">
        <f ca="1">IF(R2214="","",IFERROR(TODAY()+VLOOKUP(R2214,REGRAS!$B$2:$C$13,2,0),""))</f>
        <v/>
      </c>
    </row>
    <row r="2215" spans="20:20" x14ac:dyDescent="0.3">
      <c r="T2215" s="47" t="str">
        <f ca="1">IF(R2215="","",IFERROR(TODAY()+VLOOKUP(R2215,REGRAS!$B$2:$C$13,2,0),""))</f>
        <v/>
      </c>
    </row>
    <row r="2216" spans="20:20" x14ac:dyDescent="0.3">
      <c r="T2216" s="47" t="str">
        <f ca="1">IF(R2216="","",IFERROR(TODAY()+VLOOKUP(R2216,REGRAS!$B$2:$C$13,2,0),""))</f>
        <v/>
      </c>
    </row>
    <row r="2217" spans="20:20" x14ac:dyDescent="0.3">
      <c r="T2217" s="47" t="str">
        <f ca="1">IF(R2217="","",IFERROR(TODAY()+VLOOKUP(R2217,REGRAS!$B$2:$C$13,2,0),""))</f>
        <v/>
      </c>
    </row>
    <row r="2218" spans="20:20" x14ac:dyDescent="0.3">
      <c r="T2218" s="47" t="str">
        <f ca="1">IF(R2218="","",IFERROR(TODAY()+VLOOKUP(R2218,REGRAS!$B$2:$C$13,2,0),""))</f>
        <v/>
      </c>
    </row>
    <row r="2219" spans="20:20" x14ac:dyDescent="0.3">
      <c r="T2219" s="47" t="str">
        <f ca="1">IF(R2219="","",IFERROR(TODAY()+VLOOKUP(R2219,REGRAS!$B$2:$C$13,2,0),""))</f>
        <v/>
      </c>
    </row>
    <row r="2220" spans="20:20" x14ac:dyDescent="0.3">
      <c r="T2220" s="47" t="str">
        <f ca="1">IF(R2220="","",IFERROR(TODAY()+VLOOKUP(R2220,REGRAS!$B$2:$C$13,2,0),""))</f>
        <v/>
      </c>
    </row>
    <row r="2221" spans="20:20" x14ac:dyDescent="0.3">
      <c r="T2221" s="47" t="str">
        <f ca="1">IF(R2221="","",IFERROR(TODAY()+VLOOKUP(R2221,REGRAS!$B$2:$C$13,2,0),""))</f>
        <v/>
      </c>
    </row>
    <row r="2222" spans="20:20" x14ac:dyDescent="0.3">
      <c r="T2222" s="47" t="str">
        <f ca="1">IF(R2222="","",IFERROR(TODAY()+VLOOKUP(R2222,REGRAS!$B$2:$C$13,2,0),""))</f>
        <v/>
      </c>
    </row>
    <row r="2223" spans="20:20" x14ac:dyDescent="0.3">
      <c r="T2223" s="47" t="str">
        <f ca="1">IF(R2223="","",IFERROR(TODAY()+VLOOKUP(R2223,REGRAS!$B$2:$C$13,2,0),""))</f>
        <v/>
      </c>
    </row>
    <row r="2224" spans="20:20" x14ac:dyDescent="0.3">
      <c r="T2224" s="47" t="str">
        <f ca="1">IF(R2224="","",IFERROR(TODAY()+VLOOKUP(R2224,REGRAS!$B$2:$C$13,2,0),""))</f>
        <v/>
      </c>
    </row>
    <row r="2225" spans="20:20" x14ac:dyDescent="0.3">
      <c r="T2225" s="47" t="str">
        <f ca="1">IF(R2225="","",IFERROR(TODAY()+VLOOKUP(R2225,REGRAS!$B$2:$C$13,2,0),""))</f>
        <v/>
      </c>
    </row>
    <row r="2226" spans="20:20" x14ac:dyDescent="0.3">
      <c r="T2226" s="47" t="str">
        <f ca="1">IF(R2226="","",IFERROR(TODAY()+VLOOKUP(R2226,REGRAS!$B$2:$C$13,2,0),""))</f>
        <v/>
      </c>
    </row>
    <row r="2227" spans="20:20" x14ac:dyDescent="0.3">
      <c r="T2227" s="47" t="str">
        <f ca="1">IF(R2227="","",IFERROR(TODAY()+VLOOKUP(R2227,REGRAS!$B$2:$C$13,2,0),""))</f>
        <v/>
      </c>
    </row>
    <row r="2228" spans="20:20" x14ac:dyDescent="0.3">
      <c r="T2228" s="47" t="str">
        <f ca="1">IF(R2228="","",IFERROR(TODAY()+VLOOKUP(R2228,REGRAS!$B$2:$C$13,2,0),""))</f>
        <v/>
      </c>
    </row>
    <row r="2229" spans="20:20" x14ac:dyDescent="0.3">
      <c r="T2229" s="47" t="str">
        <f ca="1">IF(R2229="","",IFERROR(TODAY()+VLOOKUP(R2229,REGRAS!$B$2:$C$13,2,0),""))</f>
        <v/>
      </c>
    </row>
    <row r="2230" spans="20:20" x14ac:dyDescent="0.3">
      <c r="T2230" s="47" t="str">
        <f ca="1">IF(R2230="","",IFERROR(TODAY()+VLOOKUP(R2230,REGRAS!$B$2:$C$13,2,0),""))</f>
        <v/>
      </c>
    </row>
    <row r="2231" spans="20:20" x14ac:dyDescent="0.3">
      <c r="T2231" s="47" t="str">
        <f ca="1">IF(R2231="","",IFERROR(TODAY()+VLOOKUP(R2231,REGRAS!$B$2:$C$13,2,0),""))</f>
        <v/>
      </c>
    </row>
    <row r="2232" spans="20:20" x14ac:dyDescent="0.3">
      <c r="T2232" s="47" t="str">
        <f ca="1">IF(R2232="","",IFERROR(TODAY()+VLOOKUP(R2232,REGRAS!$B$2:$C$13,2,0),""))</f>
        <v/>
      </c>
    </row>
    <row r="2233" spans="20:20" x14ac:dyDescent="0.3">
      <c r="T2233" s="47" t="str">
        <f ca="1">IF(R2233="","",IFERROR(TODAY()+VLOOKUP(R2233,REGRAS!$B$2:$C$13,2,0),""))</f>
        <v/>
      </c>
    </row>
    <row r="2234" spans="20:20" x14ac:dyDescent="0.3">
      <c r="T2234" s="47" t="str">
        <f ca="1">IF(R2234="","",IFERROR(TODAY()+VLOOKUP(R2234,REGRAS!$B$2:$C$13,2,0),""))</f>
        <v/>
      </c>
    </row>
    <row r="2235" spans="20:20" x14ac:dyDescent="0.3">
      <c r="T2235" s="47" t="str">
        <f ca="1">IF(R2235="","",IFERROR(TODAY()+VLOOKUP(R2235,REGRAS!$B$2:$C$13,2,0),""))</f>
        <v/>
      </c>
    </row>
    <row r="2236" spans="20:20" x14ac:dyDescent="0.3">
      <c r="T2236" s="47" t="str">
        <f ca="1">IF(R2236="","",IFERROR(TODAY()+VLOOKUP(R2236,REGRAS!$B$2:$C$13,2,0),""))</f>
        <v/>
      </c>
    </row>
    <row r="2237" spans="20:20" x14ac:dyDescent="0.3">
      <c r="T2237" s="47" t="str">
        <f ca="1">IF(R2237="","",IFERROR(TODAY()+VLOOKUP(R2237,REGRAS!$B$2:$C$13,2,0),""))</f>
        <v/>
      </c>
    </row>
    <row r="2238" spans="20:20" x14ac:dyDescent="0.3">
      <c r="T2238" s="47" t="str">
        <f ca="1">IF(R2238="","",IFERROR(TODAY()+VLOOKUP(R2238,REGRAS!$B$2:$C$13,2,0),""))</f>
        <v/>
      </c>
    </row>
    <row r="2239" spans="20:20" x14ac:dyDescent="0.3">
      <c r="T2239" s="47" t="str">
        <f ca="1">IF(R2239="","",IFERROR(TODAY()+VLOOKUP(R2239,REGRAS!$B$2:$C$13,2,0),""))</f>
        <v/>
      </c>
    </row>
    <row r="2240" spans="20:20" x14ac:dyDescent="0.3">
      <c r="T2240" s="47" t="str">
        <f ca="1">IF(R2240="","",IFERROR(TODAY()+VLOOKUP(R2240,REGRAS!$B$2:$C$13,2,0),""))</f>
        <v/>
      </c>
    </row>
    <row r="2241" spans="20:20" x14ac:dyDescent="0.3">
      <c r="T2241" s="47" t="str">
        <f ca="1">IF(R2241="","",IFERROR(TODAY()+VLOOKUP(R2241,REGRAS!$B$2:$C$13,2,0),""))</f>
        <v/>
      </c>
    </row>
    <row r="2242" spans="20:20" x14ac:dyDescent="0.3">
      <c r="T2242" s="47" t="str">
        <f ca="1">IF(R2242="","",IFERROR(TODAY()+VLOOKUP(R2242,REGRAS!$B$2:$C$13,2,0),""))</f>
        <v/>
      </c>
    </row>
    <row r="2243" spans="20:20" x14ac:dyDescent="0.3">
      <c r="T2243" s="47" t="str">
        <f ca="1">IF(R2243="","",IFERROR(TODAY()+VLOOKUP(R2243,REGRAS!$B$2:$C$13,2,0),""))</f>
        <v/>
      </c>
    </row>
    <row r="2244" spans="20:20" x14ac:dyDescent="0.3">
      <c r="T2244" s="47" t="str">
        <f ca="1">IF(R2244="","",IFERROR(TODAY()+VLOOKUP(R2244,REGRAS!$B$2:$C$13,2,0),""))</f>
        <v/>
      </c>
    </row>
    <row r="2245" spans="20:20" x14ac:dyDescent="0.3">
      <c r="T2245" s="47" t="str">
        <f ca="1">IF(R2245="","",IFERROR(TODAY()+VLOOKUP(R2245,REGRAS!$B$2:$C$13,2,0),""))</f>
        <v/>
      </c>
    </row>
    <row r="2246" spans="20:20" x14ac:dyDescent="0.3">
      <c r="T2246" s="47" t="str">
        <f ca="1">IF(R2246="","",IFERROR(TODAY()+VLOOKUP(R2246,REGRAS!$B$2:$C$13,2,0),""))</f>
        <v/>
      </c>
    </row>
    <row r="2247" spans="20:20" x14ac:dyDescent="0.3">
      <c r="T2247" s="47" t="str">
        <f ca="1">IF(R2247="","",IFERROR(TODAY()+VLOOKUP(R2247,REGRAS!$B$2:$C$13,2,0),""))</f>
        <v/>
      </c>
    </row>
    <row r="2248" spans="20:20" x14ac:dyDescent="0.3">
      <c r="T2248" s="47" t="str">
        <f ca="1">IF(R2248="","",IFERROR(TODAY()+VLOOKUP(R2248,REGRAS!$B$2:$C$13,2,0),""))</f>
        <v/>
      </c>
    </row>
    <row r="2249" spans="20:20" x14ac:dyDescent="0.3">
      <c r="T2249" s="47" t="str">
        <f ca="1">IF(R2249="","",IFERROR(TODAY()+VLOOKUP(R2249,REGRAS!$B$2:$C$13,2,0),""))</f>
        <v/>
      </c>
    </row>
    <row r="2250" spans="20:20" x14ac:dyDescent="0.3">
      <c r="T2250" s="47" t="str">
        <f ca="1">IF(R2250="","",IFERROR(TODAY()+VLOOKUP(R2250,REGRAS!$B$2:$C$13,2,0),""))</f>
        <v/>
      </c>
    </row>
    <row r="2251" spans="20:20" x14ac:dyDescent="0.3">
      <c r="T2251" s="47" t="str">
        <f ca="1">IF(R2251="","",IFERROR(TODAY()+VLOOKUP(R2251,REGRAS!$B$2:$C$13,2,0),""))</f>
        <v/>
      </c>
    </row>
    <row r="2252" spans="20:20" x14ac:dyDescent="0.3">
      <c r="T2252" s="47" t="str">
        <f ca="1">IF(R2252="","",IFERROR(TODAY()+VLOOKUP(R2252,REGRAS!$B$2:$C$13,2,0),""))</f>
        <v/>
      </c>
    </row>
    <row r="2253" spans="20:20" x14ac:dyDescent="0.3">
      <c r="T2253" s="47" t="str">
        <f ca="1">IF(R2253="","",IFERROR(TODAY()+VLOOKUP(R2253,REGRAS!$B$2:$C$13,2,0),""))</f>
        <v/>
      </c>
    </row>
    <row r="2254" spans="20:20" x14ac:dyDescent="0.3">
      <c r="T2254" s="47" t="str">
        <f ca="1">IF(R2254="","",IFERROR(TODAY()+VLOOKUP(R2254,REGRAS!$B$2:$C$13,2,0),""))</f>
        <v/>
      </c>
    </row>
    <row r="2255" spans="20:20" x14ac:dyDescent="0.3">
      <c r="T2255" s="47" t="str">
        <f ca="1">IF(R2255="","",IFERROR(TODAY()+VLOOKUP(R2255,REGRAS!$B$2:$C$13,2,0),""))</f>
        <v/>
      </c>
    </row>
    <row r="2256" spans="20:20" x14ac:dyDescent="0.3">
      <c r="T2256" s="47" t="str">
        <f ca="1">IF(R2256="","",IFERROR(TODAY()+VLOOKUP(R2256,REGRAS!$B$2:$C$13,2,0),""))</f>
        <v/>
      </c>
    </row>
    <row r="2257" spans="20:20" x14ac:dyDescent="0.3">
      <c r="T2257" s="47" t="str">
        <f ca="1">IF(R2257="","",IFERROR(TODAY()+VLOOKUP(R2257,REGRAS!$B$2:$C$13,2,0),""))</f>
        <v/>
      </c>
    </row>
    <row r="2258" spans="20:20" x14ac:dyDescent="0.3">
      <c r="T2258" s="47" t="str">
        <f ca="1">IF(R2258="","",IFERROR(TODAY()+VLOOKUP(R2258,REGRAS!$B$2:$C$13,2,0),""))</f>
        <v/>
      </c>
    </row>
    <row r="2259" spans="20:20" x14ac:dyDescent="0.3">
      <c r="T2259" s="47" t="str">
        <f ca="1">IF(R2259="","",IFERROR(TODAY()+VLOOKUP(R2259,REGRAS!$B$2:$C$13,2,0),""))</f>
        <v/>
      </c>
    </row>
    <row r="2260" spans="20:20" x14ac:dyDescent="0.3">
      <c r="T2260" s="47" t="str">
        <f ca="1">IF(R2260="","",IFERROR(TODAY()+VLOOKUP(R2260,REGRAS!$B$2:$C$13,2,0),""))</f>
        <v/>
      </c>
    </row>
    <row r="2261" spans="20:20" x14ac:dyDescent="0.3">
      <c r="T2261" s="47" t="str">
        <f ca="1">IF(R2261="","",IFERROR(TODAY()+VLOOKUP(R2261,REGRAS!$B$2:$C$13,2,0),""))</f>
        <v/>
      </c>
    </row>
    <row r="2262" spans="20:20" x14ac:dyDescent="0.3">
      <c r="T2262" s="47" t="str">
        <f ca="1">IF(R2262="","",IFERROR(TODAY()+VLOOKUP(R2262,REGRAS!$B$2:$C$13,2,0),""))</f>
        <v/>
      </c>
    </row>
    <row r="2263" spans="20:20" x14ac:dyDescent="0.3">
      <c r="T2263" s="47" t="str">
        <f ca="1">IF(R2263="","",IFERROR(TODAY()+VLOOKUP(R2263,REGRAS!$B$2:$C$13,2,0),""))</f>
        <v/>
      </c>
    </row>
    <row r="2264" spans="20:20" x14ac:dyDescent="0.3">
      <c r="T2264" s="47" t="str">
        <f ca="1">IF(R2264="","",IFERROR(TODAY()+VLOOKUP(R2264,REGRAS!$B$2:$C$13,2,0),""))</f>
        <v/>
      </c>
    </row>
    <row r="2265" spans="20:20" x14ac:dyDescent="0.3">
      <c r="T2265" s="47" t="str">
        <f ca="1">IF(R2265="","",IFERROR(TODAY()+VLOOKUP(R2265,REGRAS!$B$2:$C$13,2,0),""))</f>
        <v/>
      </c>
    </row>
    <row r="2266" spans="20:20" x14ac:dyDescent="0.3">
      <c r="T2266" s="47" t="str">
        <f ca="1">IF(R2266="","",IFERROR(TODAY()+VLOOKUP(R2266,REGRAS!$B$2:$C$13,2,0),""))</f>
        <v/>
      </c>
    </row>
    <row r="2267" spans="20:20" x14ac:dyDescent="0.3">
      <c r="T2267" s="47" t="str">
        <f ca="1">IF(R2267="","",IFERROR(TODAY()+VLOOKUP(R2267,REGRAS!$B$2:$C$13,2,0),""))</f>
        <v/>
      </c>
    </row>
    <row r="2268" spans="20:20" x14ac:dyDescent="0.3">
      <c r="T2268" s="47" t="str">
        <f ca="1">IF(R2268="","",IFERROR(TODAY()+VLOOKUP(R2268,REGRAS!$B$2:$C$13,2,0),""))</f>
        <v/>
      </c>
    </row>
    <row r="2269" spans="20:20" x14ac:dyDescent="0.3">
      <c r="T2269" s="47" t="str">
        <f ca="1">IF(R2269="","",IFERROR(TODAY()+VLOOKUP(R2269,REGRAS!$B$2:$C$13,2,0),""))</f>
        <v/>
      </c>
    </row>
    <row r="2270" spans="20:20" x14ac:dyDescent="0.3">
      <c r="T2270" s="47" t="str">
        <f ca="1">IF(R2270="","",IFERROR(TODAY()+VLOOKUP(R2270,REGRAS!$B$2:$C$13,2,0),""))</f>
        <v/>
      </c>
    </row>
    <row r="2271" spans="20:20" x14ac:dyDescent="0.3">
      <c r="T2271" s="47" t="str">
        <f ca="1">IF(R2271="","",IFERROR(TODAY()+VLOOKUP(R2271,REGRAS!$B$2:$C$13,2,0),""))</f>
        <v/>
      </c>
    </row>
    <row r="2272" spans="20:20" x14ac:dyDescent="0.3">
      <c r="T2272" s="47" t="str">
        <f ca="1">IF(R2272="","",IFERROR(TODAY()+VLOOKUP(R2272,REGRAS!$B$2:$C$13,2,0),""))</f>
        <v/>
      </c>
    </row>
    <row r="2273" spans="20:20" x14ac:dyDescent="0.3">
      <c r="T2273" s="47" t="str">
        <f ca="1">IF(R2273="","",IFERROR(TODAY()+VLOOKUP(R2273,REGRAS!$B$2:$C$13,2,0),""))</f>
        <v/>
      </c>
    </row>
    <row r="2274" spans="20:20" x14ac:dyDescent="0.3">
      <c r="T2274" s="47" t="str">
        <f ca="1">IF(R2274="","",IFERROR(TODAY()+VLOOKUP(R2274,REGRAS!$B$2:$C$13,2,0),""))</f>
        <v/>
      </c>
    </row>
    <row r="2275" spans="20:20" x14ac:dyDescent="0.3">
      <c r="T2275" s="47" t="str">
        <f ca="1">IF(R2275="","",IFERROR(TODAY()+VLOOKUP(R2275,REGRAS!$B$2:$C$13,2,0),""))</f>
        <v/>
      </c>
    </row>
    <row r="2276" spans="20:20" x14ac:dyDescent="0.3">
      <c r="T2276" s="47" t="str">
        <f ca="1">IF(R2276="","",IFERROR(TODAY()+VLOOKUP(R2276,REGRAS!$B$2:$C$13,2,0),""))</f>
        <v/>
      </c>
    </row>
    <row r="2277" spans="20:20" x14ac:dyDescent="0.3">
      <c r="T2277" s="47" t="str">
        <f ca="1">IF(R2277="","",IFERROR(TODAY()+VLOOKUP(R2277,REGRAS!$B$2:$C$13,2,0),""))</f>
        <v/>
      </c>
    </row>
    <row r="2278" spans="20:20" x14ac:dyDescent="0.3">
      <c r="T2278" s="47" t="str">
        <f ca="1">IF(R2278="","",IFERROR(TODAY()+VLOOKUP(R2278,REGRAS!$B$2:$C$13,2,0),""))</f>
        <v/>
      </c>
    </row>
    <row r="2279" spans="20:20" x14ac:dyDescent="0.3">
      <c r="T2279" s="47" t="str">
        <f ca="1">IF(R2279="","",IFERROR(TODAY()+VLOOKUP(R2279,REGRAS!$B$2:$C$13,2,0),""))</f>
        <v/>
      </c>
    </row>
    <row r="2280" spans="20:20" x14ac:dyDescent="0.3">
      <c r="T2280" s="47" t="str">
        <f ca="1">IF(R2280="","",IFERROR(TODAY()+VLOOKUP(R2280,REGRAS!$B$2:$C$13,2,0),""))</f>
        <v/>
      </c>
    </row>
    <row r="2281" spans="20:20" x14ac:dyDescent="0.3">
      <c r="T2281" s="47" t="str">
        <f ca="1">IF(R2281="","",IFERROR(TODAY()+VLOOKUP(R2281,REGRAS!$B$2:$C$13,2,0),""))</f>
        <v/>
      </c>
    </row>
    <row r="2282" spans="20:20" x14ac:dyDescent="0.3">
      <c r="T2282" s="47" t="str">
        <f ca="1">IF(R2282="","",IFERROR(TODAY()+VLOOKUP(R2282,REGRAS!$B$2:$C$13,2,0),""))</f>
        <v/>
      </c>
    </row>
    <row r="2283" spans="20:20" x14ac:dyDescent="0.3">
      <c r="T2283" s="47" t="str">
        <f ca="1">IF(R2283="","",IFERROR(TODAY()+VLOOKUP(R2283,REGRAS!$B$2:$C$13,2,0),""))</f>
        <v/>
      </c>
    </row>
    <row r="2284" spans="20:20" x14ac:dyDescent="0.3">
      <c r="T2284" s="47" t="str">
        <f ca="1">IF(R2284="","",IFERROR(TODAY()+VLOOKUP(R2284,REGRAS!$B$2:$C$13,2,0),""))</f>
        <v/>
      </c>
    </row>
    <row r="2285" spans="20:20" x14ac:dyDescent="0.3">
      <c r="T2285" s="47" t="str">
        <f ca="1">IF(R2285="","",IFERROR(TODAY()+VLOOKUP(R2285,REGRAS!$B$2:$C$13,2,0),""))</f>
        <v/>
      </c>
    </row>
    <row r="2286" spans="20:20" x14ac:dyDescent="0.3">
      <c r="T2286" s="47" t="str">
        <f ca="1">IF(R2286="","",IFERROR(TODAY()+VLOOKUP(R2286,REGRAS!$B$2:$C$13,2,0),""))</f>
        <v/>
      </c>
    </row>
    <row r="2287" spans="20:20" x14ac:dyDescent="0.3">
      <c r="T2287" s="47" t="str">
        <f ca="1">IF(R2287="","",IFERROR(TODAY()+VLOOKUP(R2287,REGRAS!$B$2:$C$13,2,0),""))</f>
        <v/>
      </c>
    </row>
    <row r="2288" spans="20:20" x14ac:dyDescent="0.3">
      <c r="T2288" s="47" t="str">
        <f ca="1">IF(R2288="","",IFERROR(TODAY()+VLOOKUP(R2288,REGRAS!$B$2:$C$13,2,0),""))</f>
        <v/>
      </c>
    </row>
    <row r="2289" spans="20:20" x14ac:dyDescent="0.3">
      <c r="T2289" s="47" t="str">
        <f ca="1">IF(R2289="","",IFERROR(TODAY()+VLOOKUP(R2289,REGRAS!$B$2:$C$13,2,0),""))</f>
        <v/>
      </c>
    </row>
    <row r="2290" spans="20:20" x14ac:dyDescent="0.3">
      <c r="T2290" s="47" t="str">
        <f ca="1">IF(R2290="","",IFERROR(TODAY()+VLOOKUP(R2290,REGRAS!$B$2:$C$13,2,0),""))</f>
        <v/>
      </c>
    </row>
    <row r="2291" spans="20:20" x14ac:dyDescent="0.3">
      <c r="T2291" s="47" t="str">
        <f ca="1">IF(R2291="","",IFERROR(TODAY()+VLOOKUP(R2291,REGRAS!$B$2:$C$13,2,0),""))</f>
        <v/>
      </c>
    </row>
    <row r="2292" spans="20:20" x14ac:dyDescent="0.3">
      <c r="T2292" s="47" t="str">
        <f ca="1">IF(R2292="","",IFERROR(TODAY()+VLOOKUP(R2292,REGRAS!$B$2:$C$13,2,0),""))</f>
        <v/>
      </c>
    </row>
    <row r="2293" spans="20:20" x14ac:dyDescent="0.3">
      <c r="T2293" s="47" t="str">
        <f ca="1">IF(R2293="","",IFERROR(TODAY()+VLOOKUP(R2293,REGRAS!$B$2:$C$13,2,0),""))</f>
        <v/>
      </c>
    </row>
    <row r="2294" spans="20:20" x14ac:dyDescent="0.3">
      <c r="T2294" s="47" t="str">
        <f ca="1">IF(R2294="","",IFERROR(TODAY()+VLOOKUP(R2294,REGRAS!$B$2:$C$13,2,0),""))</f>
        <v/>
      </c>
    </row>
    <row r="2295" spans="20:20" x14ac:dyDescent="0.3">
      <c r="T2295" s="47" t="str">
        <f ca="1">IF(R2295="","",IFERROR(TODAY()+VLOOKUP(R2295,REGRAS!$B$2:$C$13,2,0),""))</f>
        <v/>
      </c>
    </row>
    <row r="2296" spans="20:20" x14ac:dyDescent="0.3">
      <c r="T2296" s="47" t="str">
        <f ca="1">IF(R2296="","",IFERROR(TODAY()+VLOOKUP(R2296,REGRAS!$B$2:$C$13,2,0),""))</f>
        <v/>
      </c>
    </row>
    <row r="2297" spans="20:20" x14ac:dyDescent="0.3">
      <c r="T2297" s="47" t="str">
        <f ca="1">IF(R2297="","",IFERROR(TODAY()+VLOOKUP(R2297,REGRAS!$B$2:$C$13,2,0),""))</f>
        <v/>
      </c>
    </row>
    <row r="2298" spans="20:20" x14ac:dyDescent="0.3">
      <c r="T2298" s="47" t="str">
        <f ca="1">IF(R2298="","",IFERROR(TODAY()+VLOOKUP(R2298,REGRAS!$B$2:$C$13,2,0),""))</f>
        <v/>
      </c>
    </row>
    <row r="2299" spans="20:20" x14ac:dyDescent="0.3">
      <c r="T2299" s="47" t="str">
        <f ca="1">IF(R2299="","",IFERROR(TODAY()+VLOOKUP(R2299,REGRAS!$B$2:$C$13,2,0),""))</f>
        <v/>
      </c>
    </row>
    <row r="2300" spans="20:20" x14ac:dyDescent="0.3">
      <c r="T2300" s="47" t="str">
        <f ca="1">IF(R2300="","",IFERROR(TODAY()+VLOOKUP(R2300,REGRAS!$B$2:$C$13,2,0),""))</f>
        <v/>
      </c>
    </row>
    <row r="2301" spans="20:20" x14ac:dyDescent="0.3">
      <c r="T2301" s="47" t="str">
        <f ca="1">IF(R2301="","",IFERROR(TODAY()+VLOOKUP(R2301,REGRAS!$B$2:$C$13,2,0),""))</f>
        <v/>
      </c>
    </row>
    <row r="2302" spans="20:20" x14ac:dyDescent="0.3">
      <c r="T2302" s="47" t="str">
        <f ca="1">IF(R2302="","",IFERROR(TODAY()+VLOOKUP(R2302,REGRAS!$B$2:$C$13,2,0),""))</f>
        <v/>
      </c>
    </row>
    <row r="2303" spans="20:20" x14ac:dyDescent="0.3">
      <c r="T2303" s="47" t="str">
        <f ca="1">IF(R2303="","",IFERROR(TODAY()+VLOOKUP(R2303,REGRAS!$B$2:$C$13,2,0),""))</f>
        <v/>
      </c>
    </row>
    <row r="2304" spans="20:20" x14ac:dyDescent="0.3">
      <c r="T2304" s="47" t="str">
        <f ca="1">IF(R2304="","",IFERROR(TODAY()+VLOOKUP(R2304,REGRAS!$B$2:$C$13,2,0),""))</f>
        <v/>
      </c>
    </row>
    <row r="2305" spans="20:20" x14ac:dyDescent="0.3">
      <c r="T2305" s="47" t="str">
        <f ca="1">IF(R2305="","",IFERROR(TODAY()+VLOOKUP(R2305,REGRAS!$B$2:$C$13,2,0),""))</f>
        <v/>
      </c>
    </row>
    <row r="2306" spans="20:20" x14ac:dyDescent="0.3">
      <c r="T2306" s="47" t="str">
        <f ca="1">IF(R2306="","",IFERROR(TODAY()+VLOOKUP(R2306,REGRAS!$B$2:$C$13,2,0),""))</f>
        <v/>
      </c>
    </row>
    <row r="2307" spans="20:20" x14ac:dyDescent="0.3">
      <c r="T2307" s="47" t="str">
        <f ca="1">IF(R2307="","",IFERROR(TODAY()+VLOOKUP(R2307,REGRAS!$B$2:$C$13,2,0),""))</f>
        <v/>
      </c>
    </row>
    <row r="2308" spans="20:20" x14ac:dyDescent="0.3">
      <c r="T2308" s="47" t="str">
        <f ca="1">IF(R2308="","",IFERROR(TODAY()+VLOOKUP(R2308,REGRAS!$B$2:$C$13,2,0),""))</f>
        <v/>
      </c>
    </row>
    <row r="2309" spans="20:20" x14ac:dyDescent="0.3">
      <c r="T2309" s="47" t="str">
        <f ca="1">IF(R2309="","",IFERROR(TODAY()+VLOOKUP(R2309,REGRAS!$B$2:$C$13,2,0),""))</f>
        <v/>
      </c>
    </row>
    <row r="2310" spans="20:20" x14ac:dyDescent="0.3">
      <c r="T2310" s="47" t="str">
        <f ca="1">IF(R2310="","",IFERROR(TODAY()+VLOOKUP(R2310,REGRAS!$B$2:$C$13,2,0),""))</f>
        <v/>
      </c>
    </row>
    <row r="2311" spans="20:20" x14ac:dyDescent="0.3">
      <c r="T2311" s="47" t="str">
        <f ca="1">IF(R2311="","",IFERROR(TODAY()+VLOOKUP(R2311,REGRAS!$B$2:$C$13,2,0),""))</f>
        <v/>
      </c>
    </row>
    <row r="2312" spans="20:20" x14ac:dyDescent="0.3">
      <c r="T2312" s="47" t="str">
        <f ca="1">IF(R2312="","",IFERROR(TODAY()+VLOOKUP(R2312,REGRAS!$B$2:$C$13,2,0),""))</f>
        <v/>
      </c>
    </row>
    <row r="2313" spans="20:20" x14ac:dyDescent="0.3">
      <c r="T2313" s="47" t="str">
        <f ca="1">IF(R2313="","",IFERROR(TODAY()+VLOOKUP(R2313,REGRAS!$B$2:$C$13,2,0),""))</f>
        <v/>
      </c>
    </row>
    <row r="2314" spans="20:20" x14ac:dyDescent="0.3">
      <c r="T2314" s="47" t="str">
        <f ca="1">IF(R2314="","",IFERROR(TODAY()+VLOOKUP(R2314,REGRAS!$B$2:$C$13,2,0),""))</f>
        <v/>
      </c>
    </row>
    <row r="2315" spans="20:20" x14ac:dyDescent="0.3">
      <c r="T2315" s="47" t="str">
        <f ca="1">IF(R2315="","",IFERROR(TODAY()+VLOOKUP(R2315,REGRAS!$B$2:$C$13,2,0),""))</f>
        <v/>
      </c>
    </row>
    <row r="2316" spans="20:20" x14ac:dyDescent="0.3">
      <c r="T2316" s="47" t="str">
        <f ca="1">IF(R2316="","",IFERROR(TODAY()+VLOOKUP(R2316,REGRAS!$B$2:$C$13,2,0),""))</f>
        <v/>
      </c>
    </row>
    <row r="2317" spans="20:20" x14ac:dyDescent="0.3">
      <c r="T2317" s="47" t="str">
        <f ca="1">IF(R2317="","",IFERROR(TODAY()+VLOOKUP(R2317,REGRAS!$B$2:$C$13,2,0),""))</f>
        <v/>
      </c>
    </row>
    <row r="2318" spans="20:20" x14ac:dyDescent="0.3">
      <c r="T2318" s="47" t="str">
        <f ca="1">IF(R2318="","",IFERROR(TODAY()+VLOOKUP(R2318,REGRAS!$B$2:$C$13,2,0),""))</f>
        <v/>
      </c>
    </row>
    <row r="2319" spans="20:20" x14ac:dyDescent="0.3">
      <c r="T2319" s="47" t="str">
        <f ca="1">IF(R2319="","",IFERROR(TODAY()+VLOOKUP(R2319,REGRAS!$B$2:$C$13,2,0),""))</f>
        <v/>
      </c>
    </row>
    <row r="2320" spans="20:20" x14ac:dyDescent="0.3">
      <c r="T2320" s="47" t="str">
        <f ca="1">IF(R2320="","",IFERROR(TODAY()+VLOOKUP(R2320,REGRAS!$B$2:$C$13,2,0),""))</f>
        <v/>
      </c>
    </row>
    <row r="2321" spans="20:20" x14ac:dyDescent="0.3">
      <c r="T2321" s="47" t="str">
        <f ca="1">IF(R2321="","",IFERROR(TODAY()+VLOOKUP(R2321,REGRAS!$B$2:$C$13,2,0),""))</f>
        <v/>
      </c>
    </row>
    <row r="2322" spans="20:20" x14ac:dyDescent="0.3">
      <c r="T2322" s="47" t="str">
        <f ca="1">IF(R2322="","",IFERROR(TODAY()+VLOOKUP(R2322,REGRAS!$B$2:$C$13,2,0),""))</f>
        <v/>
      </c>
    </row>
    <row r="2323" spans="20:20" x14ac:dyDescent="0.3">
      <c r="T2323" s="47" t="str">
        <f ca="1">IF(R2323="","",IFERROR(TODAY()+VLOOKUP(R2323,REGRAS!$B$2:$C$13,2,0),""))</f>
        <v/>
      </c>
    </row>
    <row r="2324" spans="20:20" x14ac:dyDescent="0.3">
      <c r="T2324" s="47" t="str">
        <f ca="1">IF(R2324="","",IFERROR(TODAY()+VLOOKUP(R2324,REGRAS!$B$2:$C$13,2,0),""))</f>
        <v/>
      </c>
    </row>
    <row r="2325" spans="20:20" x14ac:dyDescent="0.3">
      <c r="T2325" s="47" t="str">
        <f ca="1">IF(R2325="","",IFERROR(TODAY()+VLOOKUP(R2325,REGRAS!$B$2:$C$13,2,0),""))</f>
        <v/>
      </c>
    </row>
    <row r="2326" spans="20:20" x14ac:dyDescent="0.3">
      <c r="T2326" s="47" t="str">
        <f ca="1">IF(R2326="","",IFERROR(TODAY()+VLOOKUP(R2326,REGRAS!$B$2:$C$13,2,0),""))</f>
        <v/>
      </c>
    </row>
    <row r="2327" spans="20:20" x14ac:dyDescent="0.3">
      <c r="T2327" s="47" t="str">
        <f ca="1">IF(R2327="","",IFERROR(TODAY()+VLOOKUP(R2327,REGRAS!$B$2:$C$13,2,0),""))</f>
        <v/>
      </c>
    </row>
    <row r="2328" spans="20:20" x14ac:dyDescent="0.3">
      <c r="T2328" s="47" t="str">
        <f ca="1">IF(R2328="","",IFERROR(TODAY()+VLOOKUP(R2328,REGRAS!$B$2:$C$13,2,0),""))</f>
        <v/>
      </c>
    </row>
    <row r="2329" spans="20:20" x14ac:dyDescent="0.3">
      <c r="T2329" s="47" t="str">
        <f ca="1">IF(R2329="","",IFERROR(TODAY()+VLOOKUP(R2329,REGRAS!$B$2:$C$13,2,0),""))</f>
        <v/>
      </c>
    </row>
    <row r="2330" spans="20:20" x14ac:dyDescent="0.3">
      <c r="T2330" s="47" t="str">
        <f ca="1">IF(R2330="","",IFERROR(TODAY()+VLOOKUP(R2330,REGRAS!$B$2:$C$13,2,0),""))</f>
        <v/>
      </c>
    </row>
    <row r="2331" spans="20:20" x14ac:dyDescent="0.3">
      <c r="T2331" s="47" t="str">
        <f ca="1">IF(R2331="","",IFERROR(TODAY()+VLOOKUP(R2331,REGRAS!$B$2:$C$13,2,0),""))</f>
        <v/>
      </c>
    </row>
    <row r="2332" spans="20:20" x14ac:dyDescent="0.3">
      <c r="T2332" s="47" t="str">
        <f ca="1">IF(R2332="","",IFERROR(TODAY()+VLOOKUP(R2332,REGRAS!$B$2:$C$13,2,0),""))</f>
        <v/>
      </c>
    </row>
    <row r="2333" spans="20:20" x14ac:dyDescent="0.3">
      <c r="T2333" s="47" t="str">
        <f ca="1">IF(R2333="","",IFERROR(TODAY()+VLOOKUP(R2333,REGRAS!$B$2:$C$13,2,0),""))</f>
        <v/>
      </c>
    </row>
    <row r="2334" spans="20:20" x14ac:dyDescent="0.3">
      <c r="T2334" s="47" t="str">
        <f ca="1">IF(R2334="","",IFERROR(TODAY()+VLOOKUP(R2334,REGRAS!$B$2:$C$13,2,0),""))</f>
        <v/>
      </c>
    </row>
    <row r="2335" spans="20:20" x14ac:dyDescent="0.3">
      <c r="T2335" s="47" t="str">
        <f ca="1">IF(R2335="","",IFERROR(TODAY()+VLOOKUP(R2335,REGRAS!$B$2:$C$13,2,0),""))</f>
        <v/>
      </c>
    </row>
    <row r="2336" spans="20:20" x14ac:dyDescent="0.3">
      <c r="T2336" s="47" t="str">
        <f ca="1">IF(R2336="","",IFERROR(TODAY()+VLOOKUP(R2336,REGRAS!$B$2:$C$13,2,0),""))</f>
        <v/>
      </c>
    </row>
    <row r="2337" spans="20:20" x14ac:dyDescent="0.3">
      <c r="T2337" s="47" t="str">
        <f ca="1">IF(R2337="","",IFERROR(TODAY()+VLOOKUP(R2337,REGRAS!$B$2:$C$13,2,0),""))</f>
        <v/>
      </c>
    </row>
    <row r="2338" spans="20:20" x14ac:dyDescent="0.3">
      <c r="T2338" s="47" t="str">
        <f ca="1">IF(R2338="","",IFERROR(TODAY()+VLOOKUP(R2338,REGRAS!$B$2:$C$13,2,0),""))</f>
        <v/>
      </c>
    </row>
    <row r="2339" spans="20:20" x14ac:dyDescent="0.3">
      <c r="T2339" s="47" t="str">
        <f ca="1">IF(R2339="","",IFERROR(TODAY()+VLOOKUP(R2339,REGRAS!$B$2:$C$13,2,0),""))</f>
        <v/>
      </c>
    </row>
    <row r="2340" spans="20:20" x14ac:dyDescent="0.3">
      <c r="T2340" s="47" t="str">
        <f ca="1">IF(R2340="","",IFERROR(TODAY()+VLOOKUP(R2340,REGRAS!$B$2:$C$13,2,0),""))</f>
        <v/>
      </c>
    </row>
    <row r="2341" spans="20:20" x14ac:dyDescent="0.3">
      <c r="T2341" s="47" t="str">
        <f ca="1">IF(R2341="","",IFERROR(TODAY()+VLOOKUP(R2341,REGRAS!$B$2:$C$13,2,0),""))</f>
        <v/>
      </c>
    </row>
    <row r="2342" spans="20:20" x14ac:dyDescent="0.3">
      <c r="T2342" s="47" t="str">
        <f ca="1">IF(R2342="","",IFERROR(TODAY()+VLOOKUP(R2342,REGRAS!$B$2:$C$13,2,0),""))</f>
        <v/>
      </c>
    </row>
    <row r="2343" spans="20:20" x14ac:dyDescent="0.3">
      <c r="T2343" s="47" t="str">
        <f ca="1">IF(R2343="","",IFERROR(TODAY()+VLOOKUP(R2343,REGRAS!$B$2:$C$13,2,0),""))</f>
        <v/>
      </c>
    </row>
    <row r="2344" spans="20:20" x14ac:dyDescent="0.3">
      <c r="T2344" s="47" t="str">
        <f ca="1">IF(R2344="","",IFERROR(TODAY()+VLOOKUP(R2344,REGRAS!$B$2:$C$13,2,0),""))</f>
        <v/>
      </c>
    </row>
    <row r="2345" spans="20:20" x14ac:dyDescent="0.3">
      <c r="T2345" s="47" t="str">
        <f ca="1">IF(R2345="","",IFERROR(TODAY()+VLOOKUP(R2345,REGRAS!$B$2:$C$13,2,0),""))</f>
        <v/>
      </c>
    </row>
    <row r="2346" spans="20:20" x14ac:dyDescent="0.3">
      <c r="T2346" s="47" t="str">
        <f ca="1">IF(R2346="","",IFERROR(TODAY()+VLOOKUP(R2346,REGRAS!$B$2:$C$13,2,0),""))</f>
        <v/>
      </c>
    </row>
    <row r="2347" spans="20:20" x14ac:dyDescent="0.3">
      <c r="T2347" s="47" t="str">
        <f ca="1">IF(R2347="","",IFERROR(TODAY()+VLOOKUP(R2347,REGRAS!$B$2:$C$13,2,0),""))</f>
        <v/>
      </c>
    </row>
    <row r="2348" spans="20:20" x14ac:dyDescent="0.3">
      <c r="T2348" s="47" t="str">
        <f ca="1">IF(R2348="","",IFERROR(TODAY()+VLOOKUP(R2348,REGRAS!$B$2:$C$13,2,0),""))</f>
        <v/>
      </c>
    </row>
    <row r="2349" spans="20:20" x14ac:dyDescent="0.3">
      <c r="T2349" s="47" t="str">
        <f ca="1">IF(R2349="","",IFERROR(TODAY()+VLOOKUP(R2349,REGRAS!$B$2:$C$13,2,0),""))</f>
        <v/>
      </c>
    </row>
    <row r="2350" spans="20:20" x14ac:dyDescent="0.3">
      <c r="T2350" s="47" t="str">
        <f ca="1">IF(R2350="","",IFERROR(TODAY()+VLOOKUP(R2350,REGRAS!$B$2:$C$13,2,0),""))</f>
        <v/>
      </c>
    </row>
    <row r="2351" spans="20:20" x14ac:dyDescent="0.3">
      <c r="T2351" s="47" t="str">
        <f ca="1">IF(R2351="","",IFERROR(TODAY()+VLOOKUP(R2351,REGRAS!$B$2:$C$13,2,0),""))</f>
        <v/>
      </c>
    </row>
    <row r="2352" spans="20:20" x14ac:dyDescent="0.3">
      <c r="T2352" s="47" t="str">
        <f ca="1">IF(R2352="","",IFERROR(TODAY()+VLOOKUP(R2352,REGRAS!$B$2:$C$13,2,0),""))</f>
        <v/>
      </c>
    </row>
    <row r="2353" spans="20:20" x14ac:dyDescent="0.3">
      <c r="T2353" s="47" t="str">
        <f ca="1">IF(R2353="","",IFERROR(TODAY()+VLOOKUP(R2353,REGRAS!$B$2:$C$13,2,0),""))</f>
        <v/>
      </c>
    </row>
    <row r="2354" spans="20:20" x14ac:dyDescent="0.3">
      <c r="T2354" s="47" t="str">
        <f ca="1">IF(R2354="","",IFERROR(TODAY()+VLOOKUP(R2354,REGRAS!$B$2:$C$13,2,0),""))</f>
        <v/>
      </c>
    </row>
    <row r="2355" spans="20:20" x14ac:dyDescent="0.3">
      <c r="T2355" s="47" t="str">
        <f ca="1">IF(R2355="","",IFERROR(TODAY()+VLOOKUP(R2355,REGRAS!$B$2:$C$13,2,0),""))</f>
        <v/>
      </c>
    </row>
    <row r="2356" spans="20:20" x14ac:dyDescent="0.3">
      <c r="T2356" s="47" t="str">
        <f ca="1">IF(R2356="","",IFERROR(TODAY()+VLOOKUP(R2356,REGRAS!$B$2:$C$13,2,0),""))</f>
        <v/>
      </c>
    </row>
    <row r="2357" spans="20:20" x14ac:dyDescent="0.3">
      <c r="T2357" s="47" t="str">
        <f ca="1">IF(R2357="","",IFERROR(TODAY()+VLOOKUP(R2357,REGRAS!$B$2:$C$13,2,0),""))</f>
        <v/>
      </c>
    </row>
    <row r="2358" spans="20:20" x14ac:dyDescent="0.3">
      <c r="T2358" s="47" t="str">
        <f ca="1">IF(R2358="","",IFERROR(TODAY()+VLOOKUP(R2358,REGRAS!$B$2:$C$13,2,0),""))</f>
        <v/>
      </c>
    </row>
    <row r="2359" spans="20:20" x14ac:dyDescent="0.3">
      <c r="T2359" s="47" t="str">
        <f ca="1">IF(R2359="","",IFERROR(TODAY()+VLOOKUP(R2359,REGRAS!$B$2:$C$13,2,0),""))</f>
        <v/>
      </c>
    </row>
    <row r="2360" spans="20:20" x14ac:dyDescent="0.3">
      <c r="T2360" s="47" t="str">
        <f ca="1">IF(R2360="","",IFERROR(TODAY()+VLOOKUP(R2360,REGRAS!$B$2:$C$13,2,0),""))</f>
        <v/>
      </c>
    </row>
    <row r="2361" spans="20:20" x14ac:dyDescent="0.3">
      <c r="T2361" s="47" t="str">
        <f ca="1">IF(R2361="","",IFERROR(TODAY()+VLOOKUP(R2361,REGRAS!$B$2:$C$13,2,0),""))</f>
        <v/>
      </c>
    </row>
    <row r="2362" spans="20:20" x14ac:dyDescent="0.3">
      <c r="T2362" s="47" t="str">
        <f ca="1">IF(R2362="","",IFERROR(TODAY()+VLOOKUP(R2362,REGRAS!$B$2:$C$13,2,0),""))</f>
        <v/>
      </c>
    </row>
    <row r="2363" spans="20:20" x14ac:dyDescent="0.3">
      <c r="T2363" s="47" t="str">
        <f ca="1">IF(R2363="","",IFERROR(TODAY()+VLOOKUP(R2363,REGRAS!$B$2:$C$13,2,0),""))</f>
        <v/>
      </c>
    </row>
    <row r="2364" spans="20:20" x14ac:dyDescent="0.3">
      <c r="T2364" s="47" t="str">
        <f ca="1">IF(R2364="","",IFERROR(TODAY()+VLOOKUP(R2364,REGRAS!$B$2:$C$13,2,0),""))</f>
        <v/>
      </c>
    </row>
    <row r="2365" spans="20:20" x14ac:dyDescent="0.3">
      <c r="T2365" s="47" t="str">
        <f ca="1">IF(R2365="","",IFERROR(TODAY()+VLOOKUP(R2365,REGRAS!$B$2:$C$13,2,0),""))</f>
        <v/>
      </c>
    </row>
    <row r="2366" spans="20:20" x14ac:dyDescent="0.3">
      <c r="T2366" s="47" t="str">
        <f ca="1">IF(R2366="","",IFERROR(TODAY()+VLOOKUP(R2366,REGRAS!$B$2:$C$13,2,0),""))</f>
        <v/>
      </c>
    </row>
    <row r="2367" spans="20:20" x14ac:dyDescent="0.3">
      <c r="T2367" s="47" t="str">
        <f ca="1">IF(R2367="","",IFERROR(TODAY()+VLOOKUP(R2367,REGRAS!$B$2:$C$13,2,0),""))</f>
        <v/>
      </c>
    </row>
    <row r="2368" spans="20:20" x14ac:dyDescent="0.3">
      <c r="T2368" s="47" t="str">
        <f ca="1">IF(R2368="","",IFERROR(TODAY()+VLOOKUP(R2368,REGRAS!$B$2:$C$13,2,0),""))</f>
        <v/>
      </c>
    </row>
    <row r="2369" spans="20:20" x14ac:dyDescent="0.3">
      <c r="T2369" s="47" t="str">
        <f ca="1">IF(R2369="","",IFERROR(TODAY()+VLOOKUP(R2369,REGRAS!$B$2:$C$13,2,0),""))</f>
        <v/>
      </c>
    </row>
    <row r="2370" spans="20:20" x14ac:dyDescent="0.3">
      <c r="T2370" s="47" t="str">
        <f ca="1">IF(R2370="","",IFERROR(TODAY()+VLOOKUP(R2370,REGRAS!$B$2:$C$13,2,0),""))</f>
        <v/>
      </c>
    </row>
    <row r="2371" spans="20:20" x14ac:dyDescent="0.3">
      <c r="T2371" s="47" t="str">
        <f ca="1">IF(R2371="","",IFERROR(TODAY()+VLOOKUP(R2371,REGRAS!$B$2:$C$13,2,0),""))</f>
        <v/>
      </c>
    </row>
    <row r="2372" spans="20:20" x14ac:dyDescent="0.3">
      <c r="T2372" s="47" t="str">
        <f ca="1">IF(R2372="","",IFERROR(TODAY()+VLOOKUP(R2372,REGRAS!$B$2:$C$13,2,0),""))</f>
        <v/>
      </c>
    </row>
    <row r="2373" spans="20:20" x14ac:dyDescent="0.3">
      <c r="T2373" s="47" t="str">
        <f ca="1">IF(R2373="","",IFERROR(TODAY()+VLOOKUP(R2373,REGRAS!$B$2:$C$13,2,0),""))</f>
        <v/>
      </c>
    </row>
    <row r="2374" spans="20:20" x14ac:dyDescent="0.3">
      <c r="T2374" s="47" t="str">
        <f ca="1">IF(R2374="","",IFERROR(TODAY()+VLOOKUP(R2374,REGRAS!$B$2:$C$13,2,0),""))</f>
        <v/>
      </c>
    </row>
    <row r="2375" spans="20:20" x14ac:dyDescent="0.3">
      <c r="T2375" s="47" t="str">
        <f ca="1">IF(R2375="","",IFERROR(TODAY()+VLOOKUP(R2375,REGRAS!$B$2:$C$13,2,0),""))</f>
        <v/>
      </c>
    </row>
    <row r="2376" spans="20:20" x14ac:dyDescent="0.3">
      <c r="T2376" s="47" t="str">
        <f ca="1">IF(R2376="","",IFERROR(TODAY()+VLOOKUP(R2376,REGRAS!$B$2:$C$13,2,0),""))</f>
        <v/>
      </c>
    </row>
    <row r="2377" spans="20:20" x14ac:dyDescent="0.3">
      <c r="T2377" s="47" t="str">
        <f ca="1">IF(R2377="","",IFERROR(TODAY()+VLOOKUP(R2377,REGRAS!$B$2:$C$13,2,0),""))</f>
        <v/>
      </c>
    </row>
    <row r="2378" spans="20:20" x14ac:dyDescent="0.3">
      <c r="T2378" s="47" t="str">
        <f ca="1">IF(R2378="","",IFERROR(TODAY()+VLOOKUP(R2378,REGRAS!$B$2:$C$13,2,0),""))</f>
        <v/>
      </c>
    </row>
    <row r="2379" spans="20:20" x14ac:dyDescent="0.3">
      <c r="T2379" s="47" t="str">
        <f ca="1">IF(R2379="","",IFERROR(TODAY()+VLOOKUP(R2379,REGRAS!$B$2:$C$13,2,0),""))</f>
        <v/>
      </c>
    </row>
    <row r="2380" spans="20:20" x14ac:dyDescent="0.3">
      <c r="T2380" s="47" t="str">
        <f ca="1">IF(R2380="","",IFERROR(TODAY()+VLOOKUP(R2380,REGRAS!$B$2:$C$13,2,0),""))</f>
        <v/>
      </c>
    </row>
    <row r="2381" spans="20:20" x14ac:dyDescent="0.3">
      <c r="T2381" s="47" t="str">
        <f ca="1">IF(R2381="","",IFERROR(TODAY()+VLOOKUP(R2381,REGRAS!$B$2:$C$13,2,0),""))</f>
        <v/>
      </c>
    </row>
    <row r="2382" spans="20:20" x14ac:dyDescent="0.3">
      <c r="T2382" s="47" t="str">
        <f ca="1">IF(R2382="","",IFERROR(TODAY()+VLOOKUP(R2382,REGRAS!$B$2:$C$13,2,0),""))</f>
        <v/>
      </c>
    </row>
    <row r="2383" spans="20:20" x14ac:dyDescent="0.3">
      <c r="T2383" s="47" t="str">
        <f ca="1">IF(R2383="","",IFERROR(TODAY()+VLOOKUP(R2383,REGRAS!$B$2:$C$13,2,0),""))</f>
        <v/>
      </c>
    </row>
    <row r="2384" spans="20:20" x14ac:dyDescent="0.3">
      <c r="T2384" s="47" t="str">
        <f ca="1">IF(R2384="","",IFERROR(TODAY()+VLOOKUP(R2384,REGRAS!$B$2:$C$13,2,0),""))</f>
        <v/>
      </c>
    </row>
    <row r="2385" spans="20:20" x14ac:dyDescent="0.3">
      <c r="T2385" s="47" t="str">
        <f ca="1">IF(R2385="","",IFERROR(TODAY()+VLOOKUP(R2385,REGRAS!$B$2:$C$13,2,0),""))</f>
        <v/>
      </c>
    </row>
    <row r="2386" spans="20:20" x14ac:dyDescent="0.3">
      <c r="T2386" s="47" t="str">
        <f ca="1">IF(R2386="","",IFERROR(TODAY()+VLOOKUP(R2386,REGRAS!$B$2:$C$13,2,0),""))</f>
        <v/>
      </c>
    </row>
    <row r="2387" spans="20:20" x14ac:dyDescent="0.3">
      <c r="T2387" s="47" t="str">
        <f ca="1">IF(R2387="","",IFERROR(TODAY()+VLOOKUP(R2387,REGRAS!$B$2:$C$13,2,0),""))</f>
        <v/>
      </c>
    </row>
    <row r="2388" spans="20:20" x14ac:dyDescent="0.3">
      <c r="T2388" s="47" t="str">
        <f ca="1">IF(R2388="","",IFERROR(TODAY()+VLOOKUP(R2388,REGRAS!$B$2:$C$13,2,0),""))</f>
        <v/>
      </c>
    </row>
    <row r="2389" spans="20:20" x14ac:dyDescent="0.3">
      <c r="T2389" s="47" t="str">
        <f ca="1">IF(R2389="","",IFERROR(TODAY()+VLOOKUP(R2389,REGRAS!$B$2:$C$13,2,0),""))</f>
        <v/>
      </c>
    </row>
    <row r="2390" spans="20:20" x14ac:dyDescent="0.3">
      <c r="T2390" s="47" t="str">
        <f ca="1">IF(R2390="","",IFERROR(TODAY()+VLOOKUP(R2390,REGRAS!$B$2:$C$13,2,0),""))</f>
        <v/>
      </c>
    </row>
    <row r="2391" spans="20:20" x14ac:dyDescent="0.3">
      <c r="T2391" s="47" t="str">
        <f ca="1">IF(R2391="","",IFERROR(TODAY()+VLOOKUP(R2391,REGRAS!$B$2:$C$13,2,0),""))</f>
        <v/>
      </c>
    </row>
    <row r="2392" spans="20:20" x14ac:dyDescent="0.3">
      <c r="T2392" s="47" t="str">
        <f ca="1">IF(R2392="","",IFERROR(TODAY()+VLOOKUP(R2392,REGRAS!$B$2:$C$13,2,0),""))</f>
        <v/>
      </c>
    </row>
    <row r="2393" spans="20:20" x14ac:dyDescent="0.3">
      <c r="T2393" s="47" t="str">
        <f ca="1">IF(R2393="","",IFERROR(TODAY()+VLOOKUP(R2393,REGRAS!$B$2:$C$13,2,0),""))</f>
        <v/>
      </c>
    </row>
    <row r="2394" spans="20:20" x14ac:dyDescent="0.3">
      <c r="T2394" s="47" t="str">
        <f ca="1">IF(R2394="","",IFERROR(TODAY()+VLOOKUP(R2394,REGRAS!$B$2:$C$13,2,0),""))</f>
        <v/>
      </c>
    </row>
    <row r="2395" spans="20:20" x14ac:dyDescent="0.3">
      <c r="T2395" s="47" t="str">
        <f ca="1">IF(R2395="","",IFERROR(TODAY()+VLOOKUP(R2395,REGRAS!$B$2:$C$13,2,0),""))</f>
        <v/>
      </c>
    </row>
    <row r="2396" spans="20:20" x14ac:dyDescent="0.3">
      <c r="T2396" s="47" t="str">
        <f ca="1">IF(R2396="","",IFERROR(TODAY()+VLOOKUP(R2396,REGRAS!$B$2:$C$13,2,0),""))</f>
        <v/>
      </c>
    </row>
    <row r="2397" spans="20:20" x14ac:dyDescent="0.3">
      <c r="T2397" s="47" t="str">
        <f ca="1">IF(R2397="","",IFERROR(TODAY()+VLOOKUP(R2397,REGRAS!$B$2:$C$13,2,0),""))</f>
        <v/>
      </c>
    </row>
    <row r="2398" spans="20:20" x14ac:dyDescent="0.3">
      <c r="T2398" s="47" t="str">
        <f ca="1">IF(R2398="","",IFERROR(TODAY()+VLOOKUP(R2398,REGRAS!$B$2:$C$13,2,0),""))</f>
        <v/>
      </c>
    </row>
    <row r="2399" spans="20:20" x14ac:dyDescent="0.3">
      <c r="T2399" s="47" t="str">
        <f ca="1">IF(R2399="","",IFERROR(TODAY()+VLOOKUP(R2399,REGRAS!$B$2:$C$13,2,0),""))</f>
        <v/>
      </c>
    </row>
    <row r="2400" spans="20:20" x14ac:dyDescent="0.3">
      <c r="T2400" s="47" t="str">
        <f ca="1">IF(R2400="","",IFERROR(TODAY()+VLOOKUP(R2400,REGRAS!$B$2:$C$13,2,0),""))</f>
        <v/>
      </c>
    </row>
    <row r="2401" spans="20:20" x14ac:dyDescent="0.3">
      <c r="T2401" s="47" t="str">
        <f ca="1">IF(R2401="","",IFERROR(TODAY()+VLOOKUP(R2401,REGRAS!$B$2:$C$13,2,0),""))</f>
        <v/>
      </c>
    </row>
    <row r="2402" spans="20:20" x14ac:dyDescent="0.3">
      <c r="T2402" s="47" t="str">
        <f ca="1">IF(R2402="","",IFERROR(TODAY()+VLOOKUP(R2402,REGRAS!$B$2:$C$13,2,0),""))</f>
        <v/>
      </c>
    </row>
    <row r="2403" spans="20:20" x14ac:dyDescent="0.3">
      <c r="T2403" s="47" t="str">
        <f ca="1">IF(R2403="","",IFERROR(TODAY()+VLOOKUP(R2403,REGRAS!$B$2:$C$13,2,0),""))</f>
        <v/>
      </c>
    </row>
    <row r="2404" spans="20:20" x14ac:dyDescent="0.3">
      <c r="T2404" s="47" t="str">
        <f ca="1">IF(R2404="","",IFERROR(TODAY()+VLOOKUP(R2404,REGRAS!$B$2:$C$13,2,0),""))</f>
        <v/>
      </c>
    </row>
    <row r="2405" spans="20:20" x14ac:dyDescent="0.3">
      <c r="T2405" s="47" t="str">
        <f ca="1">IF(R2405="","",IFERROR(TODAY()+VLOOKUP(R2405,REGRAS!$B$2:$C$13,2,0),""))</f>
        <v/>
      </c>
    </row>
    <row r="2406" spans="20:20" x14ac:dyDescent="0.3">
      <c r="T2406" s="47" t="str">
        <f ca="1">IF(R2406="","",IFERROR(TODAY()+VLOOKUP(R2406,REGRAS!$B$2:$C$13,2,0),""))</f>
        <v/>
      </c>
    </row>
    <row r="2407" spans="20:20" x14ac:dyDescent="0.3">
      <c r="T2407" s="47" t="str">
        <f ca="1">IF(R2407="","",IFERROR(TODAY()+VLOOKUP(R2407,REGRAS!$B$2:$C$13,2,0),""))</f>
        <v/>
      </c>
    </row>
    <row r="2408" spans="20:20" x14ac:dyDescent="0.3">
      <c r="T2408" s="47" t="str">
        <f ca="1">IF(R2408="","",IFERROR(TODAY()+VLOOKUP(R2408,REGRAS!$B$2:$C$13,2,0),""))</f>
        <v/>
      </c>
    </row>
    <row r="2409" spans="20:20" x14ac:dyDescent="0.3">
      <c r="T2409" s="47" t="str">
        <f ca="1">IF(R2409="","",IFERROR(TODAY()+VLOOKUP(R2409,REGRAS!$B$2:$C$13,2,0),""))</f>
        <v/>
      </c>
    </row>
    <row r="2410" spans="20:20" x14ac:dyDescent="0.3">
      <c r="T2410" s="47" t="str">
        <f ca="1">IF(R2410="","",IFERROR(TODAY()+VLOOKUP(R2410,REGRAS!$B$2:$C$13,2,0),""))</f>
        <v/>
      </c>
    </row>
    <row r="2411" spans="20:20" x14ac:dyDescent="0.3">
      <c r="T2411" s="47" t="str">
        <f ca="1">IF(R2411="","",IFERROR(TODAY()+VLOOKUP(R2411,REGRAS!$B$2:$C$13,2,0),""))</f>
        <v/>
      </c>
    </row>
    <row r="2412" spans="20:20" x14ac:dyDescent="0.3">
      <c r="T2412" s="47" t="str">
        <f ca="1">IF(R2412="","",IFERROR(TODAY()+VLOOKUP(R2412,REGRAS!$B$2:$C$13,2,0),""))</f>
        <v/>
      </c>
    </row>
    <row r="2413" spans="20:20" x14ac:dyDescent="0.3">
      <c r="T2413" s="47" t="str">
        <f ca="1">IF(R2413="","",IFERROR(TODAY()+VLOOKUP(R2413,REGRAS!$B$2:$C$13,2,0),""))</f>
        <v/>
      </c>
    </row>
    <row r="2414" spans="20:20" x14ac:dyDescent="0.3">
      <c r="T2414" s="47" t="str">
        <f ca="1">IF(R2414="","",IFERROR(TODAY()+VLOOKUP(R2414,REGRAS!$B$2:$C$13,2,0),""))</f>
        <v/>
      </c>
    </row>
    <row r="2415" spans="20:20" x14ac:dyDescent="0.3">
      <c r="T2415" s="47" t="str">
        <f ca="1">IF(R2415="","",IFERROR(TODAY()+VLOOKUP(R2415,REGRAS!$B$2:$C$13,2,0),""))</f>
        <v/>
      </c>
    </row>
    <row r="2416" spans="20:20" x14ac:dyDescent="0.3">
      <c r="T2416" s="47" t="str">
        <f ca="1">IF(R2416="","",IFERROR(TODAY()+VLOOKUP(R2416,REGRAS!$B$2:$C$13,2,0),""))</f>
        <v/>
      </c>
    </row>
    <row r="2417" spans="20:20" x14ac:dyDescent="0.3">
      <c r="T2417" s="47" t="str">
        <f ca="1">IF(R2417="","",IFERROR(TODAY()+VLOOKUP(R2417,REGRAS!$B$2:$C$13,2,0),""))</f>
        <v/>
      </c>
    </row>
    <row r="2418" spans="20:20" x14ac:dyDescent="0.3">
      <c r="T2418" s="47" t="str">
        <f ca="1">IF(R2418="","",IFERROR(TODAY()+VLOOKUP(R2418,REGRAS!$B$2:$C$13,2,0),""))</f>
        <v/>
      </c>
    </row>
    <row r="2419" spans="20:20" x14ac:dyDescent="0.3">
      <c r="T2419" s="47" t="str">
        <f ca="1">IF(R2419="","",IFERROR(TODAY()+VLOOKUP(R2419,REGRAS!$B$2:$C$13,2,0),""))</f>
        <v/>
      </c>
    </row>
    <row r="2420" spans="20:20" x14ac:dyDescent="0.3">
      <c r="T2420" s="47" t="str">
        <f ca="1">IF(R2420="","",IFERROR(TODAY()+VLOOKUP(R2420,REGRAS!$B$2:$C$13,2,0),""))</f>
        <v/>
      </c>
    </row>
    <row r="2421" spans="20:20" x14ac:dyDescent="0.3">
      <c r="T2421" s="47" t="str">
        <f ca="1">IF(R2421="","",IFERROR(TODAY()+VLOOKUP(R2421,REGRAS!$B$2:$C$13,2,0),""))</f>
        <v/>
      </c>
    </row>
    <row r="2422" spans="20:20" x14ac:dyDescent="0.3">
      <c r="T2422" s="47" t="str">
        <f ca="1">IF(R2422="","",IFERROR(TODAY()+VLOOKUP(R2422,REGRAS!$B$2:$C$13,2,0),""))</f>
        <v/>
      </c>
    </row>
    <row r="2423" spans="20:20" x14ac:dyDescent="0.3">
      <c r="T2423" s="47" t="str">
        <f ca="1">IF(R2423="","",IFERROR(TODAY()+VLOOKUP(R2423,REGRAS!$B$2:$C$13,2,0),""))</f>
        <v/>
      </c>
    </row>
    <row r="2424" spans="20:20" x14ac:dyDescent="0.3">
      <c r="T2424" s="47" t="str">
        <f ca="1">IF(R2424="","",IFERROR(TODAY()+VLOOKUP(R2424,REGRAS!$B$2:$C$13,2,0),""))</f>
        <v/>
      </c>
    </row>
    <row r="2425" spans="20:20" x14ac:dyDescent="0.3">
      <c r="T2425" s="47" t="str">
        <f ca="1">IF(R2425="","",IFERROR(TODAY()+VLOOKUP(R2425,REGRAS!$B$2:$C$13,2,0),""))</f>
        <v/>
      </c>
    </row>
    <row r="2426" spans="20:20" x14ac:dyDescent="0.3">
      <c r="T2426" s="47" t="str">
        <f ca="1">IF(R2426="","",IFERROR(TODAY()+VLOOKUP(R2426,REGRAS!$B$2:$C$13,2,0),""))</f>
        <v/>
      </c>
    </row>
    <row r="2427" spans="20:20" x14ac:dyDescent="0.3">
      <c r="T2427" s="47" t="str">
        <f ca="1">IF(R2427="","",IFERROR(TODAY()+VLOOKUP(R2427,REGRAS!$B$2:$C$13,2,0),""))</f>
        <v/>
      </c>
    </row>
    <row r="2428" spans="20:20" x14ac:dyDescent="0.3">
      <c r="T2428" s="47" t="str">
        <f ca="1">IF(R2428="","",IFERROR(TODAY()+VLOOKUP(R2428,REGRAS!$B$2:$C$13,2,0),""))</f>
        <v/>
      </c>
    </row>
    <row r="2429" spans="20:20" x14ac:dyDescent="0.3">
      <c r="T2429" s="47" t="str">
        <f ca="1">IF(R2429="","",IFERROR(TODAY()+VLOOKUP(R2429,REGRAS!$B$2:$C$13,2,0),""))</f>
        <v/>
      </c>
    </row>
    <row r="2430" spans="20:20" x14ac:dyDescent="0.3">
      <c r="T2430" s="47" t="str">
        <f ca="1">IF(R2430="","",IFERROR(TODAY()+VLOOKUP(R2430,REGRAS!$B$2:$C$13,2,0),""))</f>
        <v/>
      </c>
    </row>
    <row r="2431" spans="20:20" x14ac:dyDescent="0.3">
      <c r="T2431" s="47" t="str">
        <f ca="1">IF(R2431="","",IFERROR(TODAY()+VLOOKUP(R2431,REGRAS!$B$2:$C$13,2,0),""))</f>
        <v/>
      </c>
    </row>
    <row r="2432" spans="20:20" x14ac:dyDescent="0.3">
      <c r="T2432" s="47" t="str">
        <f ca="1">IF(R2432="","",IFERROR(TODAY()+VLOOKUP(R2432,REGRAS!$B$2:$C$13,2,0),""))</f>
        <v/>
      </c>
    </row>
    <row r="2433" spans="20:20" x14ac:dyDescent="0.3">
      <c r="T2433" s="47" t="str">
        <f ca="1">IF(R2433="","",IFERROR(TODAY()+VLOOKUP(R2433,REGRAS!$B$2:$C$13,2,0),""))</f>
        <v/>
      </c>
    </row>
    <row r="2434" spans="20:20" x14ac:dyDescent="0.3">
      <c r="T2434" s="47" t="str">
        <f ca="1">IF(R2434="","",IFERROR(TODAY()+VLOOKUP(R2434,REGRAS!$B$2:$C$13,2,0),""))</f>
        <v/>
      </c>
    </row>
    <row r="2435" spans="20:20" x14ac:dyDescent="0.3">
      <c r="T2435" s="47" t="str">
        <f ca="1">IF(R2435="","",IFERROR(TODAY()+VLOOKUP(R2435,REGRAS!$B$2:$C$13,2,0),""))</f>
        <v/>
      </c>
    </row>
    <row r="2436" spans="20:20" x14ac:dyDescent="0.3">
      <c r="T2436" s="47" t="str">
        <f ca="1">IF(R2436="","",IFERROR(TODAY()+VLOOKUP(R2436,REGRAS!$B$2:$C$13,2,0),""))</f>
        <v/>
      </c>
    </row>
    <row r="2437" spans="20:20" x14ac:dyDescent="0.3">
      <c r="T2437" s="47" t="str">
        <f ca="1">IF(R2437="","",IFERROR(TODAY()+VLOOKUP(R2437,REGRAS!$B$2:$C$13,2,0),""))</f>
        <v/>
      </c>
    </row>
    <row r="2438" spans="20:20" x14ac:dyDescent="0.3">
      <c r="T2438" s="47" t="str">
        <f ca="1">IF(R2438="","",IFERROR(TODAY()+VLOOKUP(R2438,REGRAS!$B$2:$C$13,2,0),""))</f>
        <v/>
      </c>
    </row>
    <row r="2439" spans="20:20" x14ac:dyDescent="0.3">
      <c r="T2439" s="47" t="str">
        <f ca="1">IF(R2439="","",IFERROR(TODAY()+VLOOKUP(R2439,REGRAS!$B$2:$C$13,2,0),""))</f>
        <v/>
      </c>
    </row>
    <row r="2440" spans="20:20" x14ac:dyDescent="0.3">
      <c r="T2440" s="47" t="str">
        <f ca="1">IF(R2440="","",IFERROR(TODAY()+VLOOKUP(R2440,REGRAS!$B$2:$C$13,2,0),""))</f>
        <v/>
      </c>
    </row>
    <row r="2441" spans="20:20" x14ac:dyDescent="0.3">
      <c r="T2441" s="47" t="str">
        <f ca="1">IF(R2441="","",IFERROR(TODAY()+VLOOKUP(R2441,REGRAS!$B$2:$C$13,2,0),""))</f>
        <v/>
      </c>
    </row>
    <row r="2442" spans="20:20" x14ac:dyDescent="0.3">
      <c r="T2442" s="47" t="str">
        <f ca="1">IF(R2442="","",IFERROR(TODAY()+VLOOKUP(R2442,REGRAS!$B$2:$C$13,2,0),""))</f>
        <v/>
      </c>
    </row>
    <row r="2443" spans="20:20" x14ac:dyDescent="0.3">
      <c r="T2443" s="47" t="str">
        <f ca="1">IF(R2443="","",IFERROR(TODAY()+VLOOKUP(R2443,REGRAS!$B$2:$C$13,2,0),""))</f>
        <v/>
      </c>
    </row>
    <row r="2444" spans="20:20" x14ac:dyDescent="0.3">
      <c r="T2444" s="47" t="str">
        <f ca="1">IF(R2444="","",IFERROR(TODAY()+VLOOKUP(R2444,REGRAS!$B$2:$C$13,2,0),""))</f>
        <v/>
      </c>
    </row>
    <row r="2445" spans="20:20" x14ac:dyDescent="0.3">
      <c r="T2445" s="47" t="str">
        <f ca="1">IF(R2445="","",IFERROR(TODAY()+VLOOKUP(R2445,REGRAS!$B$2:$C$13,2,0),""))</f>
        <v/>
      </c>
    </row>
    <row r="2446" spans="20:20" x14ac:dyDescent="0.3">
      <c r="T2446" s="47" t="str">
        <f ca="1">IF(R2446="","",IFERROR(TODAY()+VLOOKUP(R2446,REGRAS!$B$2:$C$13,2,0),""))</f>
        <v/>
      </c>
    </row>
    <row r="2447" spans="20:20" x14ac:dyDescent="0.3">
      <c r="T2447" s="47" t="str">
        <f ca="1">IF(R2447="","",IFERROR(TODAY()+VLOOKUP(R2447,REGRAS!$B$2:$C$13,2,0),""))</f>
        <v/>
      </c>
    </row>
    <row r="2448" spans="20:20" x14ac:dyDescent="0.3">
      <c r="T2448" s="47" t="str">
        <f ca="1">IF(R2448="","",IFERROR(TODAY()+VLOOKUP(R2448,REGRAS!$B$2:$C$13,2,0),""))</f>
        <v/>
      </c>
    </row>
    <row r="2449" spans="20:20" x14ac:dyDescent="0.3">
      <c r="T2449" s="47" t="str">
        <f ca="1">IF(R2449="","",IFERROR(TODAY()+VLOOKUP(R2449,REGRAS!$B$2:$C$13,2,0),""))</f>
        <v/>
      </c>
    </row>
    <row r="2450" spans="20:20" x14ac:dyDescent="0.3">
      <c r="T2450" s="47" t="str">
        <f ca="1">IF(R2450="","",IFERROR(TODAY()+VLOOKUP(R2450,REGRAS!$B$2:$C$13,2,0),""))</f>
        <v/>
      </c>
    </row>
    <row r="2451" spans="20:20" x14ac:dyDescent="0.3">
      <c r="T2451" s="47" t="str">
        <f ca="1">IF(R2451="","",IFERROR(TODAY()+VLOOKUP(R2451,REGRAS!$B$2:$C$13,2,0),""))</f>
        <v/>
      </c>
    </row>
    <row r="2452" spans="20:20" x14ac:dyDescent="0.3">
      <c r="T2452" s="47" t="str">
        <f ca="1">IF(R2452="","",IFERROR(TODAY()+VLOOKUP(R2452,REGRAS!$B$2:$C$13,2,0),""))</f>
        <v/>
      </c>
    </row>
    <row r="2453" spans="20:20" x14ac:dyDescent="0.3">
      <c r="T2453" s="47" t="str">
        <f ca="1">IF(R2453="","",IFERROR(TODAY()+VLOOKUP(R2453,REGRAS!$B$2:$C$13,2,0),""))</f>
        <v/>
      </c>
    </row>
    <row r="2454" spans="20:20" x14ac:dyDescent="0.3">
      <c r="T2454" s="47" t="str">
        <f ca="1">IF(R2454="","",IFERROR(TODAY()+VLOOKUP(R2454,REGRAS!$B$2:$C$13,2,0),""))</f>
        <v/>
      </c>
    </row>
    <row r="2455" spans="20:20" x14ac:dyDescent="0.3">
      <c r="T2455" s="47" t="str">
        <f ca="1">IF(R2455="","",IFERROR(TODAY()+VLOOKUP(R2455,REGRAS!$B$2:$C$13,2,0),""))</f>
        <v/>
      </c>
    </row>
    <row r="2456" spans="20:20" x14ac:dyDescent="0.3">
      <c r="T2456" s="47" t="str">
        <f ca="1">IF(R2456="","",IFERROR(TODAY()+VLOOKUP(R2456,REGRAS!$B$2:$C$13,2,0),""))</f>
        <v/>
      </c>
    </row>
    <row r="2457" spans="20:20" x14ac:dyDescent="0.3">
      <c r="T2457" s="47" t="str">
        <f ca="1">IF(R2457="","",IFERROR(TODAY()+VLOOKUP(R2457,REGRAS!$B$2:$C$13,2,0),""))</f>
        <v/>
      </c>
    </row>
    <row r="2458" spans="20:20" x14ac:dyDescent="0.3">
      <c r="T2458" s="47" t="str">
        <f ca="1">IF(R2458="","",IFERROR(TODAY()+VLOOKUP(R2458,REGRAS!$B$2:$C$13,2,0),""))</f>
        <v/>
      </c>
    </row>
    <row r="2459" spans="20:20" x14ac:dyDescent="0.3">
      <c r="T2459" s="47" t="str">
        <f ca="1">IF(R2459="","",IFERROR(TODAY()+VLOOKUP(R2459,REGRAS!$B$2:$C$13,2,0),""))</f>
        <v/>
      </c>
    </row>
    <row r="2460" spans="20:20" x14ac:dyDescent="0.3">
      <c r="T2460" s="47" t="str">
        <f ca="1">IF(R2460="","",IFERROR(TODAY()+VLOOKUP(R2460,REGRAS!$B$2:$C$13,2,0),""))</f>
        <v/>
      </c>
    </row>
    <row r="2461" spans="20:20" x14ac:dyDescent="0.3">
      <c r="T2461" s="47" t="str">
        <f ca="1">IF(R2461="","",IFERROR(TODAY()+VLOOKUP(R2461,REGRAS!$B$2:$C$13,2,0),""))</f>
        <v/>
      </c>
    </row>
    <row r="2462" spans="20:20" x14ac:dyDescent="0.3">
      <c r="T2462" s="47" t="str">
        <f ca="1">IF(R2462="","",IFERROR(TODAY()+VLOOKUP(R2462,REGRAS!$B$2:$C$13,2,0),""))</f>
        <v/>
      </c>
    </row>
    <row r="2463" spans="20:20" x14ac:dyDescent="0.3">
      <c r="T2463" s="47" t="str">
        <f ca="1">IF(R2463="","",IFERROR(TODAY()+VLOOKUP(R2463,REGRAS!$B$2:$C$13,2,0),""))</f>
        <v/>
      </c>
    </row>
    <row r="2464" spans="20:20" x14ac:dyDescent="0.3">
      <c r="T2464" s="47" t="str">
        <f ca="1">IF(R2464="","",IFERROR(TODAY()+VLOOKUP(R2464,REGRAS!$B$2:$C$13,2,0),""))</f>
        <v/>
      </c>
    </row>
    <row r="2465" spans="20:20" x14ac:dyDescent="0.3">
      <c r="T2465" s="47" t="str">
        <f ca="1">IF(R2465="","",IFERROR(TODAY()+VLOOKUP(R2465,REGRAS!$B$2:$C$13,2,0),""))</f>
        <v/>
      </c>
    </row>
    <row r="2466" spans="20:20" x14ac:dyDescent="0.3">
      <c r="T2466" s="47" t="str">
        <f ca="1">IF(R2466="","",IFERROR(TODAY()+VLOOKUP(R2466,REGRAS!$B$2:$C$13,2,0),""))</f>
        <v/>
      </c>
    </row>
    <row r="2467" spans="20:20" x14ac:dyDescent="0.3">
      <c r="T2467" s="47" t="str">
        <f ca="1">IF(R2467="","",IFERROR(TODAY()+VLOOKUP(R2467,REGRAS!$B$2:$C$13,2,0),""))</f>
        <v/>
      </c>
    </row>
    <row r="2468" spans="20:20" x14ac:dyDescent="0.3">
      <c r="T2468" s="47" t="str">
        <f ca="1">IF(R2468="","",IFERROR(TODAY()+VLOOKUP(R2468,REGRAS!$B$2:$C$13,2,0),""))</f>
        <v/>
      </c>
    </row>
    <row r="2469" spans="20:20" x14ac:dyDescent="0.3">
      <c r="T2469" s="47" t="str">
        <f ca="1">IF(R2469="","",IFERROR(TODAY()+VLOOKUP(R2469,REGRAS!$B$2:$C$13,2,0),""))</f>
        <v/>
      </c>
    </row>
    <row r="2470" spans="20:20" x14ac:dyDescent="0.3">
      <c r="T2470" s="47" t="str">
        <f ca="1">IF(R2470="","",IFERROR(TODAY()+VLOOKUP(R2470,REGRAS!$B$2:$C$13,2,0),""))</f>
        <v/>
      </c>
    </row>
    <row r="2471" spans="20:20" x14ac:dyDescent="0.3">
      <c r="T2471" s="47" t="str">
        <f ca="1">IF(R2471="","",IFERROR(TODAY()+VLOOKUP(R2471,REGRAS!$B$2:$C$13,2,0),""))</f>
        <v/>
      </c>
    </row>
    <row r="2472" spans="20:20" x14ac:dyDescent="0.3">
      <c r="T2472" s="47" t="str">
        <f ca="1">IF(R2472="","",IFERROR(TODAY()+VLOOKUP(R2472,REGRAS!$B$2:$C$13,2,0),""))</f>
        <v/>
      </c>
    </row>
    <row r="2473" spans="20:20" x14ac:dyDescent="0.3">
      <c r="T2473" s="47" t="str">
        <f ca="1">IF(R2473="","",IFERROR(TODAY()+VLOOKUP(R2473,REGRAS!$B$2:$C$13,2,0),""))</f>
        <v/>
      </c>
    </row>
    <row r="2474" spans="20:20" x14ac:dyDescent="0.3">
      <c r="T2474" s="47" t="str">
        <f ca="1">IF(R2474="","",IFERROR(TODAY()+VLOOKUP(R2474,REGRAS!$B$2:$C$13,2,0),""))</f>
        <v/>
      </c>
    </row>
    <row r="2475" spans="20:20" x14ac:dyDescent="0.3">
      <c r="T2475" s="47" t="str">
        <f ca="1">IF(R2475="","",IFERROR(TODAY()+VLOOKUP(R2475,REGRAS!$B$2:$C$13,2,0),""))</f>
        <v/>
      </c>
    </row>
    <row r="2476" spans="20:20" x14ac:dyDescent="0.3">
      <c r="T2476" s="47" t="str">
        <f ca="1">IF(R2476="","",IFERROR(TODAY()+VLOOKUP(R2476,REGRAS!$B$2:$C$13,2,0),""))</f>
        <v/>
      </c>
    </row>
    <row r="2477" spans="20:20" x14ac:dyDescent="0.3">
      <c r="T2477" s="47" t="str">
        <f ca="1">IF(R2477="","",IFERROR(TODAY()+VLOOKUP(R2477,REGRAS!$B$2:$C$13,2,0),""))</f>
        <v/>
      </c>
    </row>
    <row r="2478" spans="20:20" x14ac:dyDescent="0.3">
      <c r="T2478" s="47" t="str">
        <f ca="1">IF(R2478="","",IFERROR(TODAY()+VLOOKUP(R2478,REGRAS!$B$2:$C$13,2,0),""))</f>
        <v/>
      </c>
    </row>
    <row r="2479" spans="20:20" x14ac:dyDescent="0.3">
      <c r="T2479" s="47" t="str">
        <f ca="1">IF(R2479="","",IFERROR(TODAY()+VLOOKUP(R2479,REGRAS!$B$2:$C$13,2,0),""))</f>
        <v/>
      </c>
    </row>
    <row r="2480" spans="20:20" x14ac:dyDescent="0.3">
      <c r="T2480" s="47" t="str">
        <f ca="1">IF(R2480="","",IFERROR(TODAY()+VLOOKUP(R2480,REGRAS!$B$2:$C$13,2,0),""))</f>
        <v/>
      </c>
    </row>
    <row r="2481" spans="20:20" x14ac:dyDescent="0.3">
      <c r="T2481" s="47" t="str">
        <f ca="1">IF(R2481="","",IFERROR(TODAY()+VLOOKUP(R2481,REGRAS!$B$2:$C$13,2,0),""))</f>
        <v/>
      </c>
    </row>
    <row r="2482" spans="20:20" x14ac:dyDescent="0.3">
      <c r="T2482" s="47" t="str">
        <f ca="1">IF(R2482="","",IFERROR(TODAY()+VLOOKUP(R2482,REGRAS!$B$2:$C$13,2,0),""))</f>
        <v/>
      </c>
    </row>
    <row r="2483" spans="20:20" x14ac:dyDescent="0.3">
      <c r="T2483" s="47" t="str">
        <f ca="1">IF(R2483="","",IFERROR(TODAY()+VLOOKUP(R2483,REGRAS!$B$2:$C$13,2,0),""))</f>
        <v/>
      </c>
    </row>
    <row r="2484" spans="20:20" x14ac:dyDescent="0.3">
      <c r="T2484" s="47" t="str">
        <f ca="1">IF(R2484="","",IFERROR(TODAY()+VLOOKUP(R2484,REGRAS!$B$2:$C$13,2,0),""))</f>
        <v/>
      </c>
    </row>
    <row r="2485" spans="20:20" x14ac:dyDescent="0.3">
      <c r="T2485" s="47" t="str">
        <f ca="1">IF(R2485="","",IFERROR(TODAY()+VLOOKUP(R2485,REGRAS!$B$2:$C$13,2,0),""))</f>
        <v/>
      </c>
    </row>
    <row r="2486" spans="20:20" x14ac:dyDescent="0.3">
      <c r="T2486" s="47" t="str">
        <f ca="1">IF(R2486="","",IFERROR(TODAY()+VLOOKUP(R2486,REGRAS!$B$2:$C$13,2,0),""))</f>
        <v/>
      </c>
    </row>
    <row r="2487" spans="20:20" x14ac:dyDescent="0.3">
      <c r="T2487" s="47" t="str">
        <f ca="1">IF(R2487="","",IFERROR(TODAY()+VLOOKUP(R2487,REGRAS!$B$2:$C$13,2,0),""))</f>
        <v/>
      </c>
    </row>
    <row r="2488" spans="20:20" x14ac:dyDescent="0.3">
      <c r="T2488" s="47" t="str">
        <f ca="1">IF(R2488="","",IFERROR(TODAY()+VLOOKUP(R2488,REGRAS!$B$2:$C$13,2,0),""))</f>
        <v/>
      </c>
    </row>
    <row r="2489" spans="20:20" x14ac:dyDescent="0.3">
      <c r="T2489" s="47" t="str">
        <f ca="1">IF(R2489="","",IFERROR(TODAY()+VLOOKUP(R2489,REGRAS!$B$2:$C$13,2,0),""))</f>
        <v/>
      </c>
    </row>
    <row r="2490" spans="20:20" x14ac:dyDescent="0.3">
      <c r="T2490" s="47" t="str">
        <f ca="1">IF(R2490="","",IFERROR(TODAY()+VLOOKUP(R2490,REGRAS!$B$2:$C$13,2,0),""))</f>
        <v/>
      </c>
    </row>
    <row r="2491" spans="20:20" x14ac:dyDescent="0.3">
      <c r="T2491" s="47" t="str">
        <f ca="1">IF(R2491="","",IFERROR(TODAY()+VLOOKUP(R2491,REGRAS!$B$2:$C$13,2,0),""))</f>
        <v/>
      </c>
    </row>
    <row r="2492" spans="20:20" x14ac:dyDescent="0.3">
      <c r="T2492" s="47" t="str">
        <f ca="1">IF(R2492="","",IFERROR(TODAY()+VLOOKUP(R2492,REGRAS!$B$2:$C$13,2,0),""))</f>
        <v/>
      </c>
    </row>
    <row r="2493" spans="20:20" x14ac:dyDescent="0.3">
      <c r="T2493" s="47" t="str">
        <f ca="1">IF(R2493="","",IFERROR(TODAY()+VLOOKUP(R2493,REGRAS!$B$2:$C$13,2,0),""))</f>
        <v/>
      </c>
    </row>
    <row r="2494" spans="20:20" x14ac:dyDescent="0.3">
      <c r="T2494" s="47" t="str">
        <f ca="1">IF(R2494="","",IFERROR(TODAY()+VLOOKUP(R2494,REGRAS!$B$2:$C$13,2,0),""))</f>
        <v/>
      </c>
    </row>
    <row r="2495" spans="20:20" x14ac:dyDescent="0.3">
      <c r="T2495" s="47" t="str">
        <f ca="1">IF(R2495="","",IFERROR(TODAY()+VLOOKUP(R2495,REGRAS!$B$2:$C$13,2,0),""))</f>
        <v/>
      </c>
    </row>
    <row r="2496" spans="20:20" x14ac:dyDescent="0.3">
      <c r="T2496" s="47" t="str">
        <f ca="1">IF(R2496="","",IFERROR(TODAY()+VLOOKUP(R2496,REGRAS!$B$2:$C$13,2,0),""))</f>
        <v/>
      </c>
    </row>
    <row r="2497" spans="20:20" x14ac:dyDescent="0.3">
      <c r="T2497" s="47" t="str">
        <f ca="1">IF(R2497="","",IFERROR(TODAY()+VLOOKUP(R2497,REGRAS!$B$2:$C$13,2,0),""))</f>
        <v/>
      </c>
    </row>
    <row r="2498" spans="20:20" x14ac:dyDescent="0.3">
      <c r="T2498" s="47" t="str">
        <f ca="1">IF(R2498="","",IFERROR(TODAY()+VLOOKUP(R2498,REGRAS!$B$2:$C$13,2,0),""))</f>
        <v/>
      </c>
    </row>
    <row r="2499" spans="20:20" x14ac:dyDescent="0.3">
      <c r="T2499" s="47" t="str">
        <f ca="1">IF(R2499="","",IFERROR(TODAY()+VLOOKUP(R2499,REGRAS!$B$2:$C$13,2,0),""))</f>
        <v/>
      </c>
    </row>
    <row r="2500" spans="20:20" x14ac:dyDescent="0.3">
      <c r="T2500" s="47" t="str">
        <f ca="1">IF(R2500="","",IFERROR(TODAY()+VLOOKUP(R2500,REGRAS!$B$2:$C$13,2,0),""))</f>
        <v/>
      </c>
    </row>
    <row r="2501" spans="20:20" x14ac:dyDescent="0.3">
      <c r="T2501" s="47" t="str">
        <f ca="1">IF(R2501="","",IFERROR(TODAY()+VLOOKUP(R2501,REGRAS!$B$2:$C$13,2,0),""))</f>
        <v/>
      </c>
    </row>
    <row r="2502" spans="20:20" x14ac:dyDescent="0.3">
      <c r="T2502" s="47" t="str">
        <f ca="1">IF(R2502="","",IFERROR(TODAY()+VLOOKUP(R2502,REGRAS!$B$2:$C$13,2,0),""))</f>
        <v/>
      </c>
    </row>
    <row r="2503" spans="20:20" x14ac:dyDescent="0.3">
      <c r="T2503" s="47" t="str">
        <f ca="1">IF(R2503="","",IFERROR(TODAY()+VLOOKUP(R2503,REGRAS!$B$2:$C$13,2,0),""))</f>
        <v/>
      </c>
    </row>
    <row r="2504" spans="20:20" x14ac:dyDescent="0.3">
      <c r="T2504" s="47" t="str">
        <f ca="1">IF(R2504="","",IFERROR(TODAY()+VLOOKUP(R2504,REGRAS!$B$2:$C$13,2,0),""))</f>
        <v/>
      </c>
    </row>
    <row r="2505" spans="20:20" x14ac:dyDescent="0.3">
      <c r="T2505" s="47" t="str">
        <f ca="1">IF(R2505="","",IFERROR(TODAY()+VLOOKUP(R2505,REGRAS!$B$2:$C$13,2,0),""))</f>
        <v/>
      </c>
    </row>
    <row r="2506" spans="20:20" x14ac:dyDescent="0.3">
      <c r="T2506" s="47" t="str">
        <f ca="1">IF(R2506="","",IFERROR(TODAY()+VLOOKUP(R2506,REGRAS!$B$2:$C$13,2,0),""))</f>
        <v/>
      </c>
    </row>
    <row r="2507" spans="20:20" x14ac:dyDescent="0.3">
      <c r="T2507" s="47" t="str">
        <f ca="1">IF(R2507="","",IFERROR(TODAY()+VLOOKUP(R2507,REGRAS!$B$2:$C$13,2,0),""))</f>
        <v/>
      </c>
    </row>
    <row r="2508" spans="20:20" x14ac:dyDescent="0.3">
      <c r="T2508" s="47" t="str">
        <f ca="1">IF(R2508="","",IFERROR(TODAY()+VLOOKUP(R2508,REGRAS!$B$2:$C$13,2,0),""))</f>
        <v/>
      </c>
    </row>
    <row r="2509" spans="20:20" x14ac:dyDescent="0.3">
      <c r="T2509" s="47" t="str">
        <f ca="1">IF(R2509="","",IFERROR(TODAY()+VLOOKUP(R2509,REGRAS!$B$2:$C$13,2,0),""))</f>
        <v/>
      </c>
    </row>
    <row r="2510" spans="20:20" x14ac:dyDescent="0.3">
      <c r="T2510" s="47" t="str">
        <f ca="1">IF(R2510="","",IFERROR(TODAY()+VLOOKUP(R2510,REGRAS!$B$2:$C$13,2,0),""))</f>
        <v/>
      </c>
    </row>
    <row r="2511" spans="20:20" x14ac:dyDescent="0.3">
      <c r="T2511" s="47" t="str">
        <f ca="1">IF(R2511="","",IFERROR(TODAY()+VLOOKUP(R2511,REGRAS!$B$2:$C$13,2,0),""))</f>
        <v/>
      </c>
    </row>
    <row r="2512" spans="20:20" x14ac:dyDescent="0.3">
      <c r="T2512" s="47" t="str">
        <f ca="1">IF(R2512="","",IFERROR(TODAY()+VLOOKUP(R2512,REGRAS!$B$2:$C$13,2,0),""))</f>
        <v/>
      </c>
    </row>
    <row r="2513" spans="20:20" x14ac:dyDescent="0.3">
      <c r="T2513" s="47" t="str">
        <f ca="1">IF(R2513="","",IFERROR(TODAY()+VLOOKUP(R2513,REGRAS!$B$2:$C$13,2,0),""))</f>
        <v/>
      </c>
    </row>
    <row r="2514" spans="20:20" x14ac:dyDescent="0.3">
      <c r="T2514" s="47" t="str">
        <f ca="1">IF(R2514="","",IFERROR(TODAY()+VLOOKUP(R2514,REGRAS!$B$2:$C$13,2,0),""))</f>
        <v/>
      </c>
    </row>
    <row r="2515" spans="20:20" x14ac:dyDescent="0.3">
      <c r="T2515" s="47" t="str">
        <f ca="1">IF(R2515="","",IFERROR(TODAY()+VLOOKUP(R2515,REGRAS!$B$2:$C$13,2,0),""))</f>
        <v/>
      </c>
    </row>
    <row r="2516" spans="20:20" x14ac:dyDescent="0.3">
      <c r="T2516" s="47" t="str">
        <f ca="1">IF(R2516="","",IFERROR(TODAY()+VLOOKUP(R2516,REGRAS!$B$2:$C$13,2,0),""))</f>
        <v/>
      </c>
    </row>
    <row r="2517" spans="20:20" x14ac:dyDescent="0.3">
      <c r="T2517" s="47" t="str">
        <f ca="1">IF(R2517="","",IFERROR(TODAY()+VLOOKUP(R2517,REGRAS!$B$2:$C$13,2,0),""))</f>
        <v/>
      </c>
    </row>
    <row r="2518" spans="20:20" x14ac:dyDescent="0.3">
      <c r="T2518" s="47" t="str">
        <f ca="1">IF(R2518="","",IFERROR(TODAY()+VLOOKUP(R2518,REGRAS!$B$2:$C$13,2,0),""))</f>
        <v/>
      </c>
    </row>
    <row r="2519" spans="20:20" x14ac:dyDescent="0.3">
      <c r="T2519" s="47" t="str">
        <f ca="1">IF(R2519="","",IFERROR(TODAY()+VLOOKUP(R2519,REGRAS!$B$2:$C$13,2,0),""))</f>
        <v/>
      </c>
    </row>
    <row r="2520" spans="20:20" x14ac:dyDescent="0.3">
      <c r="T2520" s="47" t="str">
        <f ca="1">IF(R2520="","",IFERROR(TODAY()+VLOOKUP(R2520,REGRAS!$B$2:$C$13,2,0),""))</f>
        <v/>
      </c>
    </row>
    <row r="2521" spans="20:20" x14ac:dyDescent="0.3">
      <c r="T2521" s="47" t="str">
        <f ca="1">IF(R2521="","",IFERROR(TODAY()+VLOOKUP(R2521,REGRAS!$B$2:$C$13,2,0),""))</f>
        <v/>
      </c>
    </row>
    <row r="2522" spans="20:20" x14ac:dyDescent="0.3">
      <c r="T2522" s="47" t="str">
        <f ca="1">IF(R2522="","",IFERROR(TODAY()+VLOOKUP(R2522,REGRAS!$B$2:$C$13,2,0),""))</f>
        <v/>
      </c>
    </row>
    <row r="2523" spans="20:20" x14ac:dyDescent="0.3">
      <c r="T2523" s="47" t="str">
        <f ca="1">IF(R2523="","",IFERROR(TODAY()+VLOOKUP(R2523,REGRAS!$B$2:$C$13,2,0),""))</f>
        <v/>
      </c>
    </row>
    <row r="2524" spans="20:20" x14ac:dyDescent="0.3">
      <c r="T2524" s="47" t="str">
        <f ca="1">IF(R2524="","",IFERROR(TODAY()+VLOOKUP(R2524,REGRAS!$B$2:$C$13,2,0),""))</f>
        <v/>
      </c>
    </row>
    <row r="2525" spans="20:20" x14ac:dyDescent="0.3">
      <c r="T2525" s="47" t="str">
        <f ca="1">IF(R2525="","",IFERROR(TODAY()+VLOOKUP(R2525,REGRAS!$B$2:$C$13,2,0),""))</f>
        <v/>
      </c>
    </row>
    <row r="2526" spans="20:20" x14ac:dyDescent="0.3">
      <c r="T2526" s="47" t="str">
        <f ca="1">IF(R2526="","",IFERROR(TODAY()+VLOOKUP(R2526,REGRAS!$B$2:$C$13,2,0),""))</f>
        <v/>
      </c>
    </row>
    <row r="2527" spans="20:20" x14ac:dyDescent="0.3">
      <c r="T2527" s="47" t="str">
        <f ca="1">IF(R2527="","",IFERROR(TODAY()+VLOOKUP(R2527,REGRAS!$B$2:$C$13,2,0),""))</f>
        <v/>
      </c>
    </row>
    <row r="2528" spans="20:20" x14ac:dyDescent="0.3">
      <c r="T2528" s="47" t="str">
        <f ca="1">IF(R2528="","",IFERROR(TODAY()+VLOOKUP(R2528,REGRAS!$B$2:$C$13,2,0),""))</f>
        <v/>
      </c>
    </row>
    <row r="2529" spans="20:20" x14ac:dyDescent="0.3">
      <c r="T2529" s="47" t="str">
        <f ca="1">IF(R2529="","",IFERROR(TODAY()+VLOOKUP(R2529,REGRAS!$B$2:$C$13,2,0),""))</f>
        <v/>
      </c>
    </row>
    <row r="2530" spans="20:20" x14ac:dyDescent="0.3">
      <c r="T2530" s="47" t="str">
        <f ca="1">IF(R2530="","",IFERROR(TODAY()+VLOOKUP(R2530,REGRAS!$B$2:$C$13,2,0),""))</f>
        <v/>
      </c>
    </row>
    <row r="2531" spans="20:20" x14ac:dyDescent="0.3">
      <c r="T2531" s="47" t="str">
        <f ca="1">IF(R2531="","",IFERROR(TODAY()+VLOOKUP(R2531,REGRAS!$B$2:$C$13,2,0),""))</f>
        <v/>
      </c>
    </row>
    <row r="2532" spans="20:20" x14ac:dyDescent="0.3">
      <c r="T2532" s="47" t="str">
        <f ca="1">IF(R2532="","",IFERROR(TODAY()+VLOOKUP(R2532,REGRAS!$B$2:$C$13,2,0),""))</f>
        <v/>
      </c>
    </row>
    <row r="2533" spans="20:20" x14ac:dyDescent="0.3">
      <c r="T2533" s="47" t="str">
        <f ca="1">IF(R2533="","",IFERROR(TODAY()+VLOOKUP(R2533,REGRAS!$B$2:$C$13,2,0),""))</f>
        <v/>
      </c>
    </row>
    <row r="2534" spans="20:20" x14ac:dyDescent="0.3">
      <c r="T2534" s="47" t="str">
        <f ca="1">IF(R2534="","",IFERROR(TODAY()+VLOOKUP(R2534,REGRAS!$B$2:$C$13,2,0),""))</f>
        <v/>
      </c>
    </row>
    <row r="2535" spans="20:20" x14ac:dyDescent="0.3">
      <c r="T2535" s="47" t="str">
        <f ca="1">IF(R2535="","",IFERROR(TODAY()+VLOOKUP(R2535,REGRAS!$B$2:$C$13,2,0),""))</f>
        <v/>
      </c>
    </row>
    <row r="2536" spans="20:20" x14ac:dyDescent="0.3">
      <c r="T2536" s="47" t="str">
        <f ca="1">IF(R2536="","",IFERROR(TODAY()+VLOOKUP(R2536,REGRAS!$B$2:$C$13,2,0),""))</f>
        <v/>
      </c>
    </row>
    <row r="2537" spans="20:20" x14ac:dyDescent="0.3">
      <c r="T2537" s="47" t="str">
        <f ca="1">IF(R2537="","",IFERROR(TODAY()+VLOOKUP(R2537,REGRAS!$B$2:$C$13,2,0),""))</f>
        <v/>
      </c>
    </row>
    <row r="2538" spans="20:20" x14ac:dyDescent="0.3">
      <c r="T2538" s="47" t="str">
        <f ca="1">IF(R2538="","",IFERROR(TODAY()+VLOOKUP(R2538,REGRAS!$B$2:$C$13,2,0),""))</f>
        <v/>
      </c>
    </row>
    <row r="2539" spans="20:20" x14ac:dyDescent="0.3">
      <c r="T2539" s="47" t="str">
        <f ca="1">IF(R2539="","",IFERROR(TODAY()+VLOOKUP(R2539,REGRAS!$B$2:$C$13,2,0),""))</f>
        <v/>
      </c>
    </row>
    <row r="2540" spans="20:20" x14ac:dyDescent="0.3">
      <c r="T2540" s="47" t="str">
        <f ca="1">IF(R2540="","",IFERROR(TODAY()+VLOOKUP(R2540,REGRAS!$B$2:$C$13,2,0),""))</f>
        <v/>
      </c>
    </row>
    <row r="2541" spans="20:20" x14ac:dyDescent="0.3">
      <c r="T2541" s="47" t="str">
        <f ca="1">IF(R2541="","",IFERROR(TODAY()+VLOOKUP(R2541,REGRAS!$B$2:$C$13,2,0),""))</f>
        <v/>
      </c>
    </row>
    <row r="2542" spans="20:20" x14ac:dyDescent="0.3">
      <c r="T2542" s="47" t="str">
        <f ca="1">IF(R2542="","",IFERROR(TODAY()+VLOOKUP(R2542,REGRAS!$B$2:$C$13,2,0),""))</f>
        <v/>
      </c>
    </row>
    <row r="2543" spans="20:20" x14ac:dyDescent="0.3">
      <c r="T2543" s="47" t="str">
        <f ca="1">IF(R2543="","",IFERROR(TODAY()+VLOOKUP(R2543,REGRAS!$B$2:$C$13,2,0),""))</f>
        <v/>
      </c>
    </row>
    <row r="2544" spans="20:20" x14ac:dyDescent="0.3">
      <c r="T2544" s="47" t="str">
        <f ca="1">IF(R2544="","",IFERROR(TODAY()+VLOOKUP(R2544,REGRAS!$B$2:$C$13,2,0),""))</f>
        <v/>
      </c>
    </row>
    <row r="2545" spans="20:20" x14ac:dyDescent="0.3">
      <c r="T2545" s="47" t="str">
        <f ca="1">IF(R2545="","",IFERROR(TODAY()+VLOOKUP(R2545,REGRAS!$B$2:$C$13,2,0),""))</f>
        <v/>
      </c>
    </row>
    <row r="2546" spans="20:20" x14ac:dyDescent="0.3">
      <c r="T2546" s="47" t="str">
        <f ca="1">IF(R2546="","",IFERROR(TODAY()+VLOOKUP(R2546,REGRAS!$B$2:$C$13,2,0),""))</f>
        <v/>
      </c>
    </row>
    <row r="2547" spans="20:20" x14ac:dyDescent="0.3">
      <c r="T2547" s="47" t="str">
        <f ca="1">IF(R2547="","",IFERROR(TODAY()+VLOOKUP(R2547,REGRAS!$B$2:$C$13,2,0),""))</f>
        <v/>
      </c>
    </row>
    <row r="2548" spans="20:20" x14ac:dyDescent="0.3">
      <c r="T2548" s="47" t="str">
        <f ca="1">IF(R2548="","",IFERROR(TODAY()+VLOOKUP(R2548,REGRAS!$B$2:$C$13,2,0),""))</f>
        <v/>
      </c>
    </row>
    <row r="2549" spans="20:20" x14ac:dyDescent="0.3">
      <c r="T2549" s="47" t="str">
        <f ca="1">IF(R2549="","",IFERROR(TODAY()+VLOOKUP(R2549,REGRAS!$B$2:$C$13,2,0),""))</f>
        <v/>
      </c>
    </row>
    <row r="2550" spans="20:20" x14ac:dyDescent="0.3">
      <c r="T2550" s="47" t="str">
        <f ca="1">IF(R2550="","",IFERROR(TODAY()+VLOOKUP(R2550,REGRAS!$B$2:$C$13,2,0),""))</f>
        <v/>
      </c>
    </row>
    <row r="2551" spans="20:20" x14ac:dyDescent="0.3">
      <c r="T2551" s="47" t="str">
        <f ca="1">IF(R2551="","",IFERROR(TODAY()+VLOOKUP(R2551,REGRAS!$B$2:$C$13,2,0),""))</f>
        <v/>
      </c>
    </row>
    <row r="2552" spans="20:20" x14ac:dyDescent="0.3">
      <c r="T2552" s="47" t="str">
        <f ca="1">IF(R2552="","",IFERROR(TODAY()+VLOOKUP(R2552,REGRAS!$B$2:$C$13,2,0),""))</f>
        <v/>
      </c>
    </row>
    <row r="2553" spans="20:20" x14ac:dyDescent="0.3">
      <c r="T2553" s="47" t="str">
        <f ca="1">IF(R2553="","",IFERROR(TODAY()+VLOOKUP(R2553,REGRAS!$B$2:$C$13,2,0),""))</f>
        <v/>
      </c>
    </row>
    <row r="2554" spans="20:20" x14ac:dyDescent="0.3">
      <c r="T2554" s="47" t="str">
        <f ca="1">IF(R2554="","",IFERROR(TODAY()+VLOOKUP(R2554,REGRAS!$B$2:$C$13,2,0),""))</f>
        <v/>
      </c>
    </row>
    <row r="2555" spans="20:20" x14ac:dyDescent="0.3">
      <c r="T2555" s="47" t="str">
        <f ca="1">IF(R2555="","",IFERROR(TODAY()+VLOOKUP(R2555,REGRAS!$B$2:$C$13,2,0),""))</f>
        <v/>
      </c>
    </row>
    <row r="2556" spans="20:20" x14ac:dyDescent="0.3">
      <c r="T2556" s="47" t="str">
        <f ca="1">IF(R2556="","",IFERROR(TODAY()+VLOOKUP(R2556,REGRAS!$B$2:$C$13,2,0),""))</f>
        <v/>
      </c>
    </row>
    <row r="2557" spans="20:20" x14ac:dyDescent="0.3">
      <c r="T2557" s="47" t="str">
        <f ca="1">IF(R2557="","",IFERROR(TODAY()+VLOOKUP(R2557,REGRAS!$B$2:$C$13,2,0),""))</f>
        <v/>
      </c>
    </row>
    <row r="2558" spans="20:20" x14ac:dyDescent="0.3">
      <c r="T2558" s="47" t="str">
        <f ca="1">IF(R2558="","",IFERROR(TODAY()+VLOOKUP(R2558,REGRAS!$B$2:$C$13,2,0),""))</f>
        <v/>
      </c>
    </row>
    <row r="2559" spans="20:20" x14ac:dyDescent="0.3">
      <c r="T2559" s="47" t="str">
        <f ca="1">IF(R2559="","",IFERROR(TODAY()+VLOOKUP(R2559,REGRAS!$B$2:$C$13,2,0),""))</f>
        <v/>
      </c>
    </row>
    <row r="2560" spans="20:20" x14ac:dyDescent="0.3">
      <c r="T2560" s="47" t="str">
        <f ca="1">IF(R2560="","",IFERROR(TODAY()+VLOOKUP(R2560,REGRAS!$B$2:$C$13,2,0),""))</f>
        <v/>
      </c>
    </row>
    <row r="2561" spans="20:20" x14ac:dyDescent="0.3">
      <c r="T2561" s="47" t="str">
        <f ca="1">IF(R2561="","",IFERROR(TODAY()+VLOOKUP(R2561,REGRAS!$B$2:$C$13,2,0),""))</f>
        <v/>
      </c>
    </row>
    <row r="2562" spans="20:20" x14ac:dyDescent="0.3">
      <c r="T2562" s="47" t="str">
        <f ca="1">IF(R2562="","",IFERROR(TODAY()+VLOOKUP(R2562,REGRAS!$B$2:$C$13,2,0),""))</f>
        <v/>
      </c>
    </row>
    <row r="2563" spans="20:20" x14ac:dyDescent="0.3">
      <c r="T2563" s="47" t="str">
        <f ca="1">IF(R2563="","",IFERROR(TODAY()+VLOOKUP(R2563,REGRAS!$B$2:$C$13,2,0),""))</f>
        <v/>
      </c>
    </row>
    <row r="2564" spans="20:20" x14ac:dyDescent="0.3">
      <c r="T2564" s="47" t="str">
        <f ca="1">IF(R2564="","",IFERROR(TODAY()+VLOOKUP(R2564,REGRAS!$B$2:$C$13,2,0),""))</f>
        <v/>
      </c>
    </row>
    <row r="2565" spans="20:20" x14ac:dyDescent="0.3">
      <c r="T2565" s="47" t="str">
        <f ca="1">IF(R2565="","",IFERROR(TODAY()+VLOOKUP(R2565,REGRAS!$B$2:$C$13,2,0),""))</f>
        <v/>
      </c>
    </row>
    <row r="2566" spans="20:20" x14ac:dyDescent="0.3">
      <c r="T2566" s="47" t="str">
        <f ca="1">IF(R2566="","",IFERROR(TODAY()+VLOOKUP(R2566,REGRAS!$B$2:$C$13,2,0),""))</f>
        <v/>
      </c>
    </row>
    <row r="2567" spans="20:20" x14ac:dyDescent="0.3">
      <c r="T2567" s="47" t="str">
        <f ca="1">IF(R2567="","",IFERROR(TODAY()+VLOOKUP(R2567,REGRAS!$B$2:$C$13,2,0),""))</f>
        <v/>
      </c>
    </row>
    <row r="2568" spans="20:20" x14ac:dyDescent="0.3">
      <c r="T2568" s="47" t="str">
        <f ca="1">IF(R2568="","",IFERROR(TODAY()+VLOOKUP(R2568,REGRAS!$B$2:$C$13,2,0),""))</f>
        <v/>
      </c>
    </row>
    <row r="2569" spans="20:20" x14ac:dyDescent="0.3">
      <c r="T2569" s="47" t="str">
        <f ca="1">IF(R2569="","",IFERROR(TODAY()+VLOOKUP(R2569,REGRAS!$B$2:$C$13,2,0),""))</f>
        <v/>
      </c>
    </row>
    <row r="2570" spans="20:20" x14ac:dyDescent="0.3">
      <c r="T2570" s="47" t="str">
        <f ca="1">IF(R2570="","",IFERROR(TODAY()+VLOOKUP(R2570,REGRAS!$B$2:$C$13,2,0),""))</f>
        <v/>
      </c>
    </row>
    <row r="2571" spans="20:20" x14ac:dyDescent="0.3">
      <c r="T2571" s="47" t="str">
        <f ca="1">IF(R2571="","",IFERROR(TODAY()+VLOOKUP(R2571,REGRAS!$B$2:$C$13,2,0),""))</f>
        <v/>
      </c>
    </row>
    <row r="2572" spans="20:20" x14ac:dyDescent="0.3">
      <c r="T2572" s="47" t="str">
        <f ca="1">IF(R2572="","",IFERROR(TODAY()+VLOOKUP(R2572,REGRAS!$B$2:$C$13,2,0),""))</f>
        <v/>
      </c>
    </row>
    <row r="2573" spans="20:20" x14ac:dyDescent="0.3">
      <c r="T2573" s="47" t="str">
        <f ca="1">IF(R2573="","",IFERROR(TODAY()+VLOOKUP(R2573,REGRAS!$B$2:$C$13,2,0),""))</f>
        <v/>
      </c>
    </row>
    <row r="2574" spans="20:20" x14ac:dyDescent="0.3">
      <c r="T2574" s="47" t="str">
        <f ca="1">IF(R2574="","",IFERROR(TODAY()+VLOOKUP(R2574,REGRAS!$B$2:$C$13,2,0),""))</f>
        <v/>
      </c>
    </row>
    <row r="2575" spans="20:20" x14ac:dyDescent="0.3">
      <c r="T2575" s="47" t="str">
        <f ca="1">IF(R2575="","",IFERROR(TODAY()+VLOOKUP(R2575,REGRAS!$B$2:$C$13,2,0),""))</f>
        <v/>
      </c>
    </row>
    <row r="2576" spans="20:20" x14ac:dyDescent="0.3">
      <c r="T2576" s="47" t="str">
        <f ca="1">IF(R2576="","",IFERROR(TODAY()+VLOOKUP(R2576,REGRAS!$B$2:$C$13,2,0),""))</f>
        <v/>
      </c>
    </row>
    <row r="2577" spans="20:20" x14ac:dyDescent="0.3">
      <c r="T2577" s="47" t="str">
        <f ca="1">IF(R2577="","",IFERROR(TODAY()+VLOOKUP(R2577,REGRAS!$B$2:$C$13,2,0),""))</f>
        <v/>
      </c>
    </row>
    <row r="2578" spans="20:20" x14ac:dyDescent="0.3">
      <c r="T2578" s="47" t="str">
        <f ca="1">IF(R2578="","",IFERROR(TODAY()+VLOOKUP(R2578,REGRAS!$B$2:$C$13,2,0),""))</f>
        <v/>
      </c>
    </row>
    <row r="2579" spans="20:20" x14ac:dyDescent="0.3">
      <c r="T2579" s="47" t="str">
        <f ca="1">IF(R2579="","",IFERROR(TODAY()+VLOOKUP(R2579,REGRAS!$B$2:$C$13,2,0),""))</f>
        <v/>
      </c>
    </row>
    <row r="2580" spans="20:20" x14ac:dyDescent="0.3">
      <c r="T2580" s="47" t="str">
        <f ca="1">IF(R2580="","",IFERROR(TODAY()+VLOOKUP(R2580,REGRAS!$B$2:$C$13,2,0),""))</f>
        <v/>
      </c>
    </row>
    <row r="2581" spans="20:20" x14ac:dyDescent="0.3">
      <c r="T2581" s="47" t="str">
        <f ca="1">IF(R2581="","",IFERROR(TODAY()+VLOOKUP(R2581,REGRAS!$B$2:$C$13,2,0),""))</f>
        <v/>
      </c>
    </row>
    <row r="2582" spans="20:20" x14ac:dyDescent="0.3">
      <c r="T2582" s="47" t="str">
        <f ca="1">IF(R2582="","",IFERROR(TODAY()+VLOOKUP(R2582,REGRAS!$B$2:$C$13,2,0),""))</f>
        <v/>
      </c>
    </row>
    <row r="2583" spans="20:20" x14ac:dyDescent="0.3">
      <c r="T2583" s="47" t="str">
        <f ca="1">IF(R2583="","",IFERROR(TODAY()+VLOOKUP(R2583,REGRAS!$B$2:$C$13,2,0),""))</f>
        <v/>
      </c>
    </row>
    <row r="2584" spans="20:20" x14ac:dyDescent="0.3">
      <c r="T2584" s="47" t="str">
        <f ca="1">IF(R2584="","",IFERROR(TODAY()+VLOOKUP(R2584,REGRAS!$B$2:$C$13,2,0),""))</f>
        <v/>
      </c>
    </row>
    <row r="2585" spans="20:20" x14ac:dyDescent="0.3">
      <c r="T2585" s="47" t="str">
        <f ca="1">IF(R2585="","",IFERROR(TODAY()+VLOOKUP(R2585,REGRAS!$B$2:$C$13,2,0),""))</f>
        <v/>
      </c>
    </row>
    <row r="2586" spans="20:20" x14ac:dyDescent="0.3">
      <c r="T2586" s="47" t="str">
        <f ca="1">IF(R2586="","",IFERROR(TODAY()+VLOOKUP(R2586,REGRAS!$B$2:$C$13,2,0),""))</f>
        <v/>
      </c>
    </row>
    <row r="2587" spans="20:20" x14ac:dyDescent="0.3">
      <c r="T2587" s="47" t="str">
        <f ca="1">IF(R2587="","",IFERROR(TODAY()+VLOOKUP(R2587,REGRAS!$B$2:$C$13,2,0),""))</f>
        <v/>
      </c>
    </row>
    <row r="2588" spans="20:20" x14ac:dyDescent="0.3">
      <c r="T2588" s="47" t="str">
        <f ca="1">IF(R2588="","",IFERROR(TODAY()+VLOOKUP(R2588,REGRAS!$B$2:$C$13,2,0),""))</f>
        <v/>
      </c>
    </row>
    <row r="2589" spans="20:20" x14ac:dyDescent="0.3">
      <c r="T2589" s="47" t="str">
        <f ca="1">IF(R2589="","",IFERROR(TODAY()+VLOOKUP(R2589,REGRAS!$B$2:$C$13,2,0),""))</f>
        <v/>
      </c>
    </row>
    <row r="2590" spans="20:20" x14ac:dyDescent="0.3">
      <c r="T2590" s="47" t="str">
        <f ca="1">IF(R2590="","",IFERROR(TODAY()+VLOOKUP(R2590,REGRAS!$B$2:$C$13,2,0),""))</f>
        <v/>
      </c>
    </row>
    <row r="2591" spans="20:20" x14ac:dyDescent="0.3">
      <c r="T2591" s="47" t="str">
        <f ca="1">IF(R2591="","",IFERROR(TODAY()+VLOOKUP(R2591,REGRAS!$B$2:$C$13,2,0),""))</f>
        <v/>
      </c>
    </row>
    <row r="2592" spans="20:20" x14ac:dyDescent="0.3">
      <c r="T2592" s="47" t="str">
        <f ca="1">IF(R2592="","",IFERROR(TODAY()+VLOOKUP(R2592,REGRAS!$B$2:$C$13,2,0),""))</f>
        <v/>
      </c>
    </row>
    <row r="2593" spans="20:20" x14ac:dyDescent="0.3">
      <c r="T2593" s="47" t="str">
        <f ca="1">IF(R2593="","",IFERROR(TODAY()+VLOOKUP(R2593,REGRAS!$B$2:$C$13,2,0),""))</f>
        <v/>
      </c>
    </row>
    <row r="2594" spans="20:20" x14ac:dyDescent="0.3">
      <c r="T2594" s="47" t="str">
        <f ca="1">IF(R2594="","",IFERROR(TODAY()+VLOOKUP(R2594,REGRAS!$B$2:$C$13,2,0),""))</f>
        <v/>
      </c>
    </row>
    <row r="2595" spans="20:20" x14ac:dyDescent="0.3">
      <c r="T2595" s="47" t="str">
        <f ca="1">IF(R2595="","",IFERROR(TODAY()+VLOOKUP(R2595,REGRAS!$B$2:$C$13,2,0),""))</f>
        <v/>
      </c>
    </row>
    <row r="2596" spans="20:20" x14ac:dyDescent="0.3">
      <c r="T2596" s="47" t="str">
        <f ca="1">IF(R2596="","",IFERROR(TODAY()+VLOOKUP(R2596,REGRAS!$B$2:$C$13,2,0),""))</f>
        <v/>
      </c>
    </row>
    <row r="2597" spans="20:20" x14ac:dyDescent="0.3">
      <c r="T2597" s="47" t="str">
        <f ca="1">IF(R2597="","",IFERROR(TODAY()+VLOOKUP(R2597,REGRAS!$B$2:$C$13,2,0),""))</f>
        <v/>
      </c>
    </row>
    <row r="2598" spans="20:20" x14ac:dyDescent="0.3">
      <c r="T2598" s="47" t="str">
        <f ca="1">IF(R2598="","",IFERROR(TODAY()+VLOOKUP(R2598,REGRAS!$B$2:$C$13,2,0),""))</f>
        <v/>
      </c>
    </row>
    <row r="2599" spans="20:20" x14ac:dyDescent="0.3">
      <c r="T2599" s="47" t="str">
        <f ca="1">IF(R2599="","",IFERROR(TODAY()+VLOOKUP(R2599,REGRAS!$B$2:$C$13,2,0),""))</f>
        <v/>
      </c>
    </row>
    <row r="2600" spans="20:20" x14ac:dyDescent="0.3">
      <c r="T2600" s="47" t="str">
        <f ca="1">IF(R2600="","",IFERROR(TODAY()+VLOOKUP(R2600,REGRAS!$B$2:$C$13,2,0),""))</f>
        <v/>
      </c>
    </row>
    <row r="2601" spans="20:20" x14ac:dyDescent="0.3">
      <c r="T2601" s="47" t="str">
        <f ca="1">IF(R2601="","",IFERROR(TODAY()+VLOOKUP(R2601,REGRAS!$B$2:$C$13,2,0),""))</f>
        <v/>
      </c>
    </row>
    <row r="2602" spans="20:20" x14ac:dyDescent="0.3">
      <c r="T2602" s="47" t="str">
        <f ca="1">IF(R2602="","",IFERROR(TODAY()+VLOOKUP(R2602,REGRAS!$B$2:$C$13,2,0),""))</f>
        <v/>
      </c>
    </row>
    <row r="2603" spans="20:20" x14ac:dyDescent="0.3">
      <c r="T2603" s="47" t="str">
        <f ca="1">IF(R2603="","",IFERROR(TODAY()+VLOOKUP(R2603,REGRAS!$B$2:$C$13,2,0),""))</f>
        <v/>
      </c>
    </row>
    <row r="2604" spans="20:20" x14ac:dyDescent="0.3">
      <c r="T2604" s="47" t="str">
        <f ca="1">IF(R2604="","",IFERROR(TODAY()+VLOOKUP(R2604,REGRAS!$B$2:$C$13,2,0),""))</f>
        <v/>
      </c>
    </row>
    <row r="2605" spans="20:20" x14ac:dyDescent="0.3">
      <c r="T2605" s="47" t="str">
        <f ca="1">IF(R2605="","",IFERROR(TODAY()+VLOOKUP(R2605,REGRAS!$B$2:$C$13,2,0),""))</f>
        <v/>
      </c>
    </row>
    <row r="2606" spans="20:20" x14ac:dyDescent="0.3">
      <c r="T2606" s="47" t="str">
        <f ca="1">IF(R2606="","",IFERROR(TODAY()+VLOOKUP(R2606,REGRAS!$B$2:$C$13,2,0),""))</f>
        <v/>
      </c>
    </row>
    <row r="2607" spans="20:20" x14ac:dyDescent="0.3">
      <c r="T2607" s="47" t="str">
        <f ca="1">IF(R2607="","",IFERROR(TODAY()+VLOOKUP(R2607,REGRAS!$B$2:$C$13,2,0),""))</f>
        <v/>
      </c>
    </row>
    <row r="2608" spans="20:20" x14ac:dyDescent="0.3">
      <c r="T2608" s="47" t="str">
        <f ca="1">IF(R2608="","",IFERROR(TODAY()+VLOOKUP(R2608,REGRAS!$B$2:$C$13,2,0),""))</f>
        <v/>
      </c>
    </row>
    <row r="2609" spans="20:20" x14ac:dyDescent="0.3">
      <c r="T2609" s="47" t="str">
        <f ca="1">IF(R2609="","",IFERROR(TODAY()+VLOOKUP(R2609,REGRAS!$B$2:$C$13,2,0),""))</f>
        <v/>
      </c>
    </row>
    <row r="2610" spans="20:20" x14ac:dyDescent="0.3">
      <c r="T2610" s="47" t="str">
        <f ca="1">IF(R2610="","",IFERROR(TODAY()+VLOOKUP(R2610,REGRAS!$B$2:$C$13,2,0),""))</f>
        <v/>
      </c>
    </row>
    <row r="2611" spans="20:20" x14ac:dyDescent="0.3">
      <c r="T2611" s="47" t="str">
        <f ca="1">IF(R2611="","",IFERROR(TODAY()+VLOOKUP(R2611,REGRAS!$B$2:$C$13,2,0),""))</f>
        <v/>
      </c>
    </row>
    <row r="2612" spans="20:20" x14ac:dyDescent="0.3">
      <c r="T2612" s="47" t="str">
        <f ca="1">IF(R2612="","",IFERROR(TODAY()+VLOOKUP(R2612,REGRAS!$B$2:$C$13,2,0),""))</f>
        <v/>
      </c>
    </row>
    <row r="2613" spans="20:20" x14ac:dyDescent="0.3">
      <c r="T2613" s="47" t="str">
        <f ca="1">IF(R2613="","",IFERROR(TODAY()+VLOOKUP(R2613,REGRAS!$B$2:$C$13,2,0),""))</f>
        <v/>
      </c>
    </row>
    <row r="2614" spans="20:20" x14ac:dyDescent="0.3">
      <c r="T2614" s="47" t="str">
        <f ca="1">IF(R2614="","",IFERROR(TODAY()+VLOOKUP(R2614,REGRAS!$B$2:$C$13,2,0),""))</f>
        <v/>
      </c>
    </row>
    <row r="2615" spans="20:20" x14ac:dyDescent="0.3">
      <c r="T2615" s="47" t="str">
        <f ca="1">IF(R2615="","",IFERROR(TODAY()+VLOOKUP(R2615,REGRAS!$B$2:$C$13,2,0),""))</f>
        <v/>
      </c>
    </row>
    <row r="2616" spans="20:20" x14ac:dyDescent="0.3">
      <c r="T2616" s="47" t="str">
        <f ca="1">IF(R2616="","",IFERROR(TODAY()+VLOOKUP(R2616,REGRAS!$B$2:$C$13,2,0),""))</f>
        <v/>
      </c>
    </row>
    <row r="2617" spans="20:20" x14ac:dyDescent="0.3">
      <c r="T2617" s="47" t="str">
        <f ca="1">IF(R2617="","",IFERROR(TODAY()+VLOOKUP(R2617,REGRAS!$B$2:$C$13,2,0),""))</f>
        <v/>
      </c>
    </row>
    <row r="2618" spans="20:20" x14ac:dyDescent="0.3">
      <c r="T2618" s="47" t="str">
        <f ca="1">IF(R2618="","",IFERROR(TODAY()+VLOOKUP(R2618,REGRAS!$B$2:$C$13,2,0),""))</f>
        <v/>
      </c>
    </row>
    <row r="2619" spans="20:20" x14ac:dyDescent="0.3">
      <c r="T2619" s="47" t="str">
        <f ca="1">IF(R2619="","",IFERROR(TODAY()+VLOOKUP(R2619,REGRAS!$B$2:$C$13,2,0),""))</f>
        <v/>
      </c>
    </row>
    <row r="2620" spans="20:20" x14ac:dyDescent="0.3">
      <c r="T2620" s="47" t="str">
        <f ca="1">IF(R2620="","",IFERROR(TODAY()+VLOOKUP(R2620,REGRAS!$B$2:$C$13,2,0),""))</f>
        <v/>
      </c>
    </row>
    <row r="2621" spans="20:20" x14ac:dyDescent="0.3">
      <c r="T2621" s="47" t="str">
        <f ca="1">IF(R2621="","",IFERROR(TODAY()+VLOOKUP(R2621,REGRAS!$B$2:$C$13,2,0),""))</f>
        <v/>
      </c>
    </row>
    <row r="2622" spans="20:20" x14ac:dyDescent="0.3">
      <c r="T2622" s="47" t="str">
        <f ca="1">IF(R2622="","",IFERROR(TODAY()+VLOOKUP(R2622,REGRAS!$B$2:$C$13,2,0),""))</f>
        <v/>
      </c>
    </row>
    <row r="2623" spans="20:20" x14ac:dyDescent="0.3">
      <c r="T2623" s="47" t="str">
        <f ca="1">IF(R2623="","",IFERROR(TODAY()+VLOOKUP(R2623,REGRAS!$B$2:$C$13,2,0),""))</f>
        <v/>
      </c>
    </row>
    <row r="2624" spans="20:20" x14ac:dyDescent="0.3">
      <c r="T2624" s="47" t="str">
        <f ca="1">IF(R2624="","",IFERROR(TODAY()+VLOOKUP(R2624,REGRAS!$B$2:$C$13,2,0),""))</f>
        <v/>
      </c>
    </row>
    <row r="2625" spans="20:20" x14ac:dyDescent="0.3">
      <c r="T2625" s="47" t="str">
        <f ca="1">IF(R2625="","",IFERROR(TODAY()+VLOOKUP(R2625,REGRAS!$B$2:$C$13,2,0),""))</f>
        <v/>
      </c>
    </row>
    <row r="2626" spans="20:20" x14ac:dyDescent="0.3">
      <c r="T2626" s="47" t="str">
        <f ca="1">IF(R2626="","",IFERROR(TODAY()+VLOOKUP(R2626,REGRAS!$B$2:$C$13,2,0),""))</f>
        <v/>
      </c>
    </row>
    <row r="2627" spans="20:20" x14ac:dyDescent="0.3">
      <c r="T2627" s="47" t="str">
        <f ca="1">IF(R2627="","",IFERROR(TODAY()+VLOOKUP(R2627,REGRAS!$B$2:$C$13,2,0),""))</f>
        <v/>
      </c>
    </row>
    <row r="2628" spans="20:20" x14ac:dyDescent="0.3">
      <c r="T2628" s="47" t="str">
        <f ca="1">IF(R2628="","",IFERROR(TODAY()+VLOOKUP(R2628,REGRAS!$B$2:$C$13,2,0),""))</f>
        <v/>
      </c>
    </row>
    <row r="2629" spans="20:20" x14ac:dyDescent="0.3">
      <c r="T2629" s="47" t="str">
        <f ca="1">IF(R2629="","",IFERROR(TODAY()+VLOOKUP(R2629,REGRAS!$B$2:$C$13,2,0),""))</f>
        <v/>
      </c>
    </row>
    <row r="2630" spans="20:20" x14ac:dyDescent="0.3">
      <c r="T2630" s="47" t="str">
        <f ca="1">IF(R2630="","",IFERROR(TODAY()+VLOOKUP(R2630,REGRAS!$B$2:$C$13,2,0),""))</f>
        <v/>
      </c>
    </row>
    <row r="2631" spans="20:20" x14ac:dyDescent="0.3">
      <c r="T2631" s="47" t="str">
        <f ca="1">IF(R2631="","",IFERROR(TODAY()+VLOOKUP(R2631,REGRAS!$B$2:$C$13,2,0),""))</f>
        <v/>
      </c>
    </row>
    <row r="2632" spans="20:20" x14ac:dyDescent="0.3">
      <c r="T2632" s="47" t="str">
        <f ca="1">IF(R2632="","",IFERROR(TODAY()+VLOOKUP(R2632,REGRAS!$B$2:$C$13,2,0),""))</f>
        <v/>
      </c>
    </row>
    <row r="2633" spans="20:20" x14ac:dyDescent="0.3">
      <c r="T2633" s="47" t="str">
        <f ca="1">IF(R2633="","",IFERROR(TODAY()+VLOOKUP(R2633,REGRAS!$B$2:$C$13,2,0),""))</f>
        <v/>
      </c>
    </row>
    <row r="2634" spans="20:20" x14ac:dyDescent="0.3">
      <c r="T2634" s="47" t="str">
        <f ca="1">IF(R2634="","",IFERROR(TODAY()+VLOOKUP(R2634,REGRAS!$B$2:$C$13,2,0),""))</f>
        <v/>
      </c>
    </row>
    <row r="2635" spans="20:20" x14ac:dyDescent="0.3">
      <c r="T2635" s="47" t="str">
        <f ca="1">IF(R2635="","",IFERROR(TODAY()+VLOOKUP(R2635,REGRAS!$B$2:$C$13,2,0),""))</f>
        <v/>
      </c>
    </row>
    <row r="2636" spans="20:20" x14ac:dyDescent="0.3">
      <c r="T2636" s="47" t="str">
        <f ca="1">IF(R2636="","",IFERROR(TODAY()+VLOOKUP(R2636,REGRAS!$B$2:$C$13,2,0),""))</f>
        <v/>
      </c>
    </row>
    <row r="2637" spans="20:20" x14ac:dyDescent="0.3">
      <c r="T2637" s="47" t="str">
        <f ca="1">IF(R2637="","",IFERROR(TODAY()+VLOOKUP(R2637,REGRAS!$B$2:$C$13,2,0),""))</f>
        <v/>
      </c>
    </row>
    <row r="2638" spans="20:20" x14ac:dyDescent="0.3">
      <c r="T2638" s="47" t="str">
        <f ca="1">IF(R2638="","",IFERROR(TODAY()+VLOOKUP(R2638,REGRAS!$B$2:$C$13,2,0),""))</f>
        <v/>
      </c>
    </row>
    <row r="2639" spans="20:20" x14ac:dyDescent="0.3">
      <c r="T2639" s="47" t="str">
        <f ca="1">IF(R2639="","",IFERROR(TODAY()+VLOOKUP(R2639,REGRAS!$B$2:$C$13,2,0),""))</f>
        <v/>
      </c>
    </row>
    <row r="2640" spans="20:20" x14ac:dyDescent="0.3">
      <c r="T2640" s="47" t="str">
        <f ca="1">IF(R2640="","",IFERROR(TODAY()+VLOOKUP(R2640,REGRAS!$B$2:$C$13,2,0),""))</f>
        <v/>
      </c>
    </row>
    <row r="2641" spans="20:20" x14ac:dyDescent="0.3">
      <c r="T2641" s="47" t="str">
        <f ca="1">IF(R2641="","",IFERROR(TODAY()+VLOOKUP(R2641,REGRAS!$B$2:$C$13,2,0),""))</f>
        <v/>
      </c>
    </row>
    <row r="2642" spans="20:20" x14ac:dyDescent="0.3">
      <c r="T2642" s="47" t="str">
        <f ca="1">IF(R2642="","",IFERROR(TODAY()+VLOOKUP(R2642,REGRAS!$B$2:$C$13,2,0),""))</f>
        <v/>
      </c>
    </row>
    <row r="2643" spans="20:20" x14ac:dyDescent="0.3">
      <c r="T2643" s="47" t="str">
        <f ca="1">IF(R2643="","",IFERROR(TODAY()+VLOOKUP(R2643,REGRAS!$B$2:$C$13,2,0),""))</f>
        <v/>
      </c>
    </row>
    <row r="2644" spans="20:20" x14ac:dyDescent="0.3">
      <c r="T2644" s="47" t="str">
        <f ca="1">IF(R2644="","",IFERROR(TODAY()+VLOOKUP(R2644,REGRAS!$B$2:$C$13,2,0),""))</f>
        <v/>
      </c>
    </row>
    <row r="2645" spans="20:20" x14ac:dyDescent="0.3">
      <c r="T2645" s="47" t="str">
        <f ca="1">IF(R2645="","",IFERROR(TODAY()+VLOOKUP(R2645,REGRAS!$B$2:$C$13,2,0),""))</f>
        <v/>
      </c>
    </row>
    <row r="2646" spans="20:20" x14ac:dyDescent="0.3">
      <c r="T2646" s="47" t="str">
        <f ca="1">IF(R2646="","",IFERROR(TODAY()+VLOOKUP(R2646,REGRAS!$B$2:$C$13,2,0),""))</f>
        <v/>
      </c>
    </row>
    <row r="2647" spans="20:20" x14ac:dyDescent="0.3">
      <c r="T2647" s="47" t="str">
        <f ca="1">IF(R2647="","",IFERROR(TODAY()+VLOOKUP(R2647,REGRAS!$B$2:$C$13,2,0),""))</f>
        <v/>
      </c>
    </row>
    <row r="2648" spans="20:20" x14ac:dyDescent="0.3">
      <c r="T2648" s="47" t="str">
        <f ca="1">IF(R2648="","",IFERROR(TODAY()+VLOOKUP(R2648,REGRAS!$B$2:$C$13,2,0),""))</f>
        <v/>
      </c>
    </row>
    <row r="2649" spans="20:20" x14ac:dyDescent="0.3">
      <c r="T2649" s="47" t="str">
        <f ca="1">IF(R2649="","",IFERROR(TODAY()+VLOOKUP(R2649,REGRAS!$B$2:$C$13,2,0),""))</f>
        <v/>
      </c>
    </row>
    <row r="2650" spans="20:20" x14ac:dyDescent="0.3">
      <c r="T2650" s="47" t="str">
        <f ca="1">IF(R2650="","",IFERROR(TODAY()+VLOOKUP(R2650,REGRAS!$B$2:$C$13,2,0),""))</f>
        <v/>
      </c>
    </row>
    <row r="2651" spans="20:20" x14ac:dyDescent="0.3">
      <c r="T2651" s="47" t="str">
        <f ca="1">IF(R2651="","",IFERROR(TODAY()+VLOOKUP(R2651,REGRAS!$B$2:$C$13,2,0),""))</f>
        <v/>
      </c>
    </row>
    <row r="2652" spans="20:20" x14ac:dyDescent="0.3">
      <c r="T2652" s="47" t="str">
        <f ca="1">IF(R2652="","",IFERROR(TODAY()+VLOOKUP(R2652,REGRAS!$B$2:$C$13,2,0),""))</f>
        <v/>
      </c>
    </row>
    <row r="2653" spans="20:20" x14ac:dyDescent="0.3">
      <c r="T2653" s="47" t="str">
        <f ca="1">IF(R2653="","",IFERROR(TODAY()+VLOOKUP(R2653,REGRAS!$B$2:$C$13,2,0),""))</f>
        <v/>
      </c>
    </row>
    <row r="2654" spans="20:20" x14ac:dyDescent="0.3">
      <c r="T2654" s="47" t="str">
        <f ca="1">IF(R2654="","",IFERROR(TODAY()+VLOOKUP(R2654,REGRAS!$B$2:$C$13,2,0),""))</f>
        <v/>
      </c>
    </row>
    <row r="2655" spans="20:20" x14ac:dyDescent="0.3">
      <c r="T2655" s="47" t="str">
        <f ca="1">IF(R2655="","",IFERROR(TODAY()+VLOOKUP(R2655,REGRAS!$B$2:$C$13,2,0),""))</f>
        <v/>
      </c>
    </row>
    <row r="2656" spans="20:20" x14ac:dyDescent="0.3">
      <c r="T2656" s="47" t="str">
        <f ca="1">IF(R2656="","",IFERROR(TODAY()+VLOOKUP(R2656,REGRAS!$B$2:$C$13,2,0),""))</f>
        <v/>
      </c>
    </row>
    <row r="2657" spans="20:20" x14ac:dyDescent="0.3">
      <c r="T2657" s="47" t="str">
        <f ca="1">IF(R2657="","",IFERROR(TODAY()+VLOOKUP(R2657,REGRAS!$B$2:$C$13,2,0),""))</f>
        <v/>
      </c>
    </row>
    <row r="2658" spans="20:20" x14ac:dyDescent="0.3">
      <c r="T2658" s="47" t="str">
        <f ca="1">IF(R2658="","",IFERROR(TODAY()+VLOOKUP(R2658,REGRAS!$B$2:$C$13,2,0),""))</f>
        <v/>
      </c>
    </row>
    <row r="2659" spans="20:20" x14ac:dyDescent="0.3">
      <c r="T2659" s="47" t="str">
        <f ca="1">IF(R2659="","",IFERROR(TODAY()+VLOOKUP(R2659,REGRAS!$B$2:$C$13,2,0),""))</f>
        <v/>
      </c>
    </row>
    <row r="2660" spans="20:20" x14ac:dyDescent="0.3">
      <c r="T2660" s="47" t="str">
        <f ca="1">IF(R2660="","",IFERROR(TODAY()+VLOOKUP(R2660,REGRAS!$B$2:$C$13,2,0),""))</f>
        <v/>
      </c>
    </row>
    <row r="2661" spans="20:20" x14ac:dyDescent="0.3">
      <c r="T2661" s="47" t="str">
        <f ca="1">IF(R2661="","",IFERROR(TODAY()+VLOOKUP(R2661,REGRAS!$B$2:$C$13,2,0),""))</f>
        <v/>
      </c>
    </row>
    <row r="2662" spans="20:20" x14ac:dyDescent="0.3">
      <c r="T2662" s="47" t="str">
        <f ca="1">IF(R2662="","",IFERROR(TODAY()+VLOOKUP(R2662,REGRAS!$B$2:$C$13,2,0),""))</f>
        <v/>
      </c>
    </row>
    <row r="2663" spans="20:20" x14ac:dyDescent="0.3">
      <c r="T2663" s="47" t="str">
        <f ca="1">IF(R2663="","",IFERROR(TODAY()+VLOOKUP(R2663,REGRAS!$B$2:$C$13,2,0),""))</f>
        <v/>
      </c>
    </row>
    <row r="2664" spans="20:20" x14ac:dyDescent="0.3">
      <c r="T2664" s="47" t="str">
        <f ca="1">IF(R2664="","",IFERROR(TODAY()+VLOOKUP(R2664,REGRAS!$B$2:$C$13,2,0),""))</f>
        <v/>
      </c>
    </row>
    <row r="2665" spans="20:20" x14ac:dyDescent="0.3">
      <c r="T2665" s="47" t="str">
        <f ca="1">IF(R2665="","",IFERROR(TODAY()+VLOOKUP(R2665,REGRAS!$B$2:$C$13,2,0),""))</f>
        <v/>
      </c>
    </row>
    <row r="2666" spans="20:20" x14ac:dyDescent="0.3">
      <c r="T2666" s="47" t="str">
        <f ca="1">IF(R2666="","",IFERROR(TODAY()+VLOOKUP(R2666,REGRAS!$B$2:$C$13,2,0),""))</f>
        <v/>
      </c>
    </row>
    <row r="2667" spans="20:20" x14ac:dyDescent="0.3">
      <c r="T2667" s="47" t="str">
        <f ca="1">IF(R2667="","",IFERROR(TODAY()+VLOOKUP(R2667,REGRAS!$B$2:$C$13,2,0),""))</f>
        <v/>
      </c>
    </row>
    <row r="2668" spans="20:20" x14ac:dyDescent="0.3">
      <c r="T2668" s="47" t="str">
        <f ca="1">IF(R2668="","",IFERROR(TODAY()+VLOOKUP(R2668,REGRAS!$B$2:$C$13,2,0),""))</f>
        <v/>
      </c>
    </row>
    <row r="2669" spans="20:20" x14ac:dyDescent="0.3">
      <c r="T2669" s="47" t="str">
        <f ca="1">IF(R2669="","",IFERROR(TODAY()+VLOOKUP(R2669,REGRAS!$B$2:$C$13,2,0),""))</f>
        <v/>
      </c>
    </row>
    <row r="2670" spans="20:20" x14ac:dyDescent="0.3">
      <c r="T2670" s="47" t="str">
        <f ca="1">IF(R2670="","",IFERROR(TODAY()+VLOOKUP(R2670,REGRAS!$B$2:$C$13,2,0),""))</f>
        <v/>
      </c>
    </row>
    <row r="2671" spans="20:20" x14ac:dyDescent="0.3">
      <c r="T2671" s="47" t="str">
        <f ca="1">IF(R2671="","",IFERROR(TODAY()+VLOOKUP(R2671,REGRAS!$B$2:$C$13,2,0),""))</f>
        <v/>
      </c>
    </row>
    <row r="2672" spans="20:20" x14ac:dyDescent="0.3">
      <c r="T2672" s="47" t="str">
        <f ca="1">IF(R2672="","",IFERROR(TODAY()+VLOOKUP(R2672,REGRAS!$B$2:$C$13,2,0),""))</f>
        <v/>
      </c>
    </row>
    <row r="2673" spans="20:20" x14ac:dyDescent="0.3">
      <c r="T2673" s="47" t="str">
        <f ca="1">IF(R2673="","",IFERROR(TODAY()+VLOOKUP(R2673,REGRAS!$B$2:$C$13,2,0),""))</f>
        <v/>
      </c>
    </row>
    <row r="2674" spans="20:20" x14ac:dyDescent="0.3">
      <c r="T2674" s="47" t="str">
        <f ca="1">IF(R2674="","",IFERROR(TODAY()+VLOOKUP(R2674,REGRAS!$B$2:$C$13,2,0),""))</f>
        <v/>
      </c>
    </row>
    <row r="2675" spans="20:20" x14ac:dyDescent="0.3">
      <c r="T2675" s="47" t="str">
        <f ca="1">IF(R2675="","",IFERROR(TODAY()+VLOOKUP(R2675,REGRAS!$B$2:$C$13,2,0),""))</f>
        <v/>
      </c>
    </row>
    <row r="2676" spans="20:20" x14ac:dyDescent="0.3">
      <c r="T2676" s="47" t="str">
        <f ca="1">IF(R2676="","",IFERROR(TODAY()+VLOOKUP(R2676,REGRAS!$B$2:$C$13,2,0),""))</f>
        <v/>
      </c>
    </row>
    <row r="2677" spans="20:20" x14ac:dyDescent="0.3">
      <c r="T2677" s="47" t="str">
        <f ca="1">IF(R2677="","",IFERROR(TODAY()+VLOOKUP(R2677,REGRAS!$B$2:$C$13,2,0),""))</f>
        <v/>
      </c>
    </row>
    <row r="2678" spans="20:20" x14ac:dyDescent="0.3">
      <c r="T2678" s="47" t="str">
        <f ca="1">IF(R2678="","",IFERROR(TODAY()+VLOOKUP(R2678,REGRAS!$B$2:$C$13,2,0),""))</f>
        <v/>
      </c>
    </row>
    <row r="2679" spans="20:20" x14ac:dyDescent="0.3">
      <c r="T2679" s="47" t="str">
        <f ca="1">IF(R2679="","",IFERROR(TODAY()+VLOOKUP(R2679,REGRAS!$B$2:$C$13,2,0),""))</f>
        <v/>
      </c>
    </row>
    <row r="2680" spans="20:20" x14ac:dyDescent="0.3">
      <c r="T2680" s="47" t="str">
        <f ca="1">IF(R2680="","",IFERROR(TODAY()+VLOOKUP(R2680,REGRAS!$B$2:$C$13,2,0),""))</f>
        <v/>
      </c>
    </row>
    <row r="2681" spans="20:20" x14ac:dyDescent="0.3">
      <c r="T2681" s="47" t="str">
        <f ca="1">IF(R2681="","",IFERROR(TODAY()+VLOOKUP(R2681,REGRAS!$B$2:$C$13,2,0),""))</f>
        <v/>
      </c>
    </row>
    <row r="2682" spans="20:20" x14ac:dyDescent="0.3">
      <c r="T2682" s="47" t="str">
        <f ca="1">IF(R2682="","",IFERROR(TODAY()+VLOOKUP(R2682,REGRAS!$B$2:$C$13,2,0),""))</f>
        <v/>
      </c>
    </row>
    <row r="2683" spans="20:20" x14ac:dyDescent="0.3">
      <c r="T2683" s="47" t="str">
        <f ca="1">IF(R2683="","",IFERROR(TODAY()+VLOOKUP(R2683,REGRAS!$B$2:$C$13,2,0),""))</f>
        <v/>
      </c>
    </row>
    <row r="2684" spans="20:20" x14ac:dyDescent="0.3">
      <c r="T2684" s="47" t="str">
        <f ca="1">IF(R2684="","",IFERROR(TODAY()+VLOOKUP(R2684,REGRAS!$B$2:$C$13,2,0),""))</f>
        <v/>
      </c>
    </row>
    <row r="2685" spans="20:20" x14ac:dyDescent="0.3">
      <c r="T2685" s="47" t="str">
        <f ca="1">IF(R2685="","",IFERROR(TODAY()+VLOOKUP(R2685,REGRAS!$B$2:$C$13,2,0),""))</f>
        <v/>
      </c>
    </row>
    <row r="2686" spans="20:20" x14ac:dyDescent="0.3">
      <c r="T2686" s="47" t="str">
        <f ca="1">IF(R2686="","",IFERROR(TODAY()+VLOOKUP(R2686,REGRAS!$B$2:$C$13,2,0),""))</f>
        <v/>
      </c>
    </row>
    <row r="2687" spans="20:20" x14ac:dyDescent="0.3">
      <c r="T2687" s="47" t="str">
        <f ca="1">IF(R2687="","",IFERROR(TODAY()+VLOOKUP(R2687,REGRAS!$B$2:$C$13,2,0),""))</f>
        <v/>
      </c>
    </row>
    <row r="2688" spans="20:20" x14ac:dyDescent="0.3">
      <c r="T2688" s="47" t="str">
        <f ca="1">IF(R2688="","",IFERROR(TODAY()+VLOOKUP(R2688,REGRAS!$B$2:$C$13,2,0),""))</f>
        <v/>
      </c>
    </row>
    <row r="2689" spans="20:20" x14ac:dyDescent="0.3">
      <c r="T2689" s="47" t="str">
        <f ca="1">IF(R2689="","",IFERROR(TODAY()+VLOOKUP(R2689,REGRAS!$B$2:$C$13,2,0),""))</f>
        <v/>
      </c>
    </row>
    <row r="2690" spans="20:20" x14ac:dyDescent="0.3">
      <c r="T2690" s="47" t="str">
        <f ca="1">IF(R2690="","",IFERROR(TODAY()+VLOOKUP(R2690,REGRAS!$B$2:$C$13,2,0),""))</f>
        <v/>
      </c>
    </row>
    <row r="2691" spans="20:20" x14ac:dyDescent="0.3">
      <c r="T2691" s="47" t="str">
        <f ca="1">IF(R2691="","",IFERROR(TODAY()+VLOOKUP(R2691,REGRAS!$B$2:$C$13,2,0),""))</f>
        <v/>
      </c>
    </row>
    <row r="2692" spans="20:20" x14ac:dyDescent="0.3">
      <c r="T2692" s="47" t="str">
        <f ca="1">IF(R2692="","",IFERROR(TODAY()+VLOOKUP(R2692,REGRAS!$B$2:$C$13,2,0),""))</f>
        <v/>
      </c>
    </row>
    <row r="2693" spans="20:20" x14ac:dyDescent="0.3">
      <c r="T2693" s="47" t="str">
        <f ca="1">IF(R2693="","",IFERROR(TODAY()+VLOOKUP(R2693,REGRAS!$B$2:$C$13,2,0),""))</f>
        <v/>
      </c>
    </row>
    <row r="2694" spans="20:20" x14ac:dyDescent="0.3">
      <c r="T2694" s="47" t="str">
        <f ca="1">IF(R2694="","",IFERROR(TODAY()+VLOOKUP(R2694,REGRAS!$B$2:$C$13,2,0),""))</f>
        <v/>
      </c>
    </row>
    <row r="2695" spans="20:20" x14ac:dyDescent="0.3">
      <c r="T2695" s="47" t="str">
        <f ca="1">IF(R2695="","",IFERROR(TODAY()+VLOOKUP(R2695,REGRAS!$B$2:$C$13,2,0),""))</f>
        <v/>
      </c>
    </row>
    <row r="2696" spans="20:20" x14ac:dyDescent="0.3">
      <c r="T2696" s="47" t="str">
        <f ca="1">IF(R2696="","",IFERROR(TODAY()+VLOOKUP(R2696,REGRAS!$B$2:$C$13,2,0),""))</f>
        <v/>
      </c>
    </row>
    <row r="2697" spans="20:20" x14ac:dyDescent="0.3">
      <c r="T2697" s="47" t="str">
        <f ca="1">IF(R2697="","",IFERROR(TODAY()+VLOOKUP(R2697,REGRAS!$B$2:$C$13,2,0),""))</f>
        <v/>
      </c>
    </row>
    <row r="2698" spans="20:20" x14ac:dyDescent="0.3">
      <c r="T2698" s="47" t="str">
        <f ca="1">IF(R2698="","",IFERROR(TODAY()+VLOOKUP(R2698,REGRAS!$B$2:$C$13,2,0),""))</f>
        <v/>
      </c>
    </row>
    <row r="2699" spans="20:20" x14ac:dyDescent="0.3">
      <c r="T2699" s="47" t="str">
        <f ca="1">IF(R2699="","",IFERROR(TODAY()+VLOOKUP(R2699,REGRAS!$B$2:$C$13,2,0),""))</f>
        <v/>
      </c>
    </row>
    <row r="2700" spans="20:20" x14ac:dyDescent="0.3">
      <c r="T2700" s="47" t="str">
        <f ca="1">IF(R2700="","",IFERROR(TODAY()+VLOOKUP(R2700,REGRAS!$B$2:$C$13,2,0),""))</f>
        <v/>
      </c>
    </row>
    <row r="2701" spans="20:20" x14ac:dyDescent="0.3">
      <c r="T2701" s="47" t="str">
        <f ca="1">IF(R2701="","",IFERROR(TODAY()+VLOOKUP(R2701,REGRAS!$B$2:$C$13,2,0),""))</f>
        <v/>
      </c>
    </row>
    <row r="2702" spans="20:20" x14ac:dyDescent="0.3">
      <c r="T2702" s="47" t="str">
        <f ca="1">IF(R2702="","",IFERROR(TODAY()+VLOOKUP(R2702,REGRAS!$B$2:$C$13,2,0),""))</f>
        <v/>
      </c>
    </row>
    <row r="2703" spans="20:20" x14ac:dyDescent="0.3">
      <c r="T2703" s="47" t="str">
        <f ca="1">IF(R2703="","",IFERROR(TODAY()+VLOOKUP(R2703,REGRAS!$B$2:$C$13,2,0),""))</f>
        <v/>
      </c>
    </row>
    <row r="2704" spans="20:20" x14ac:dyDescent="0.3">
      <c r="T2704" s="47" t="str">
        <f ca="1">IF(R2704="","",IFERROR(TODAY()+VLOOKUP(R2704,REGRAS!$B$2:$C$13,2,0),""))</f>
        <v/>
      </c>
    </row>
    <row r="2705" spans="20:20" x14ac:dyDescent="0.3">
      <c r="T2705" s="47" t="str">
        <f ca="1">IF(R2705="","",IFERROR(TODAY()+VLOOKUP(R2705,REGRAS!$B$2:$C$13,2,0),""))</f>
        <v/>
      </c>
    </row>
    <row r="2706" spans="20:20" x14ac:dyDescent="0.3">
      <c r="T2706" s="47" t="str">
        <f ca="1">IF(R2706="","",IFERROR(TODAY()+VLOOKUP(R2706,REGRAS!$B$2:$C$13,2,0),""))</f>
        <v/>
      </c>
    </row>
    <row r="2707" spans="20:20" x14ac:dyDescent="0.3">
      <c r="T2707" s="47" t="str">
        <f ca="1">IF(R2707="","",IFERROR(TODAY()+VLOOKUP(R2707,REGRAS!$B$2:$C$13,2,0),""))</f>
        <v/>
      </c>
    </row>
    <row r="2708" spans="20:20" x14ac:dyDescent="0.3">
      <c r="T2708" s="47" t="str">
        <f ca="1">IF(R2708="","",IFERROR(TODAY()+VLOOKUP(R2708,REGRAS!$B$2:$C$13,2,0),""))</f>
        <v/>
      </c>
    </row>
    <row r="2709" spans="20:20" x14ac:dyDescent="0.3">
      <c r="T2709" s="47" t="str">
        <f ca="1">IF(R2709="","",IFERROR(TODAY()+VLOOKUP(R2709,REGRAS!$B$2:$C$13,2,0),""))</f>
        <v/>
      </c>
    </row>
    <row r="2710" spans="20:20" x14ac:dyDescent="0.3">
      <c r="T2710" s="47" t="str">
        <f ca="1">IF(R2710="","",IFERROR(TODAY()+VLOOKUP(R2710,REGRAS!$B$2:$C$13,2,0),""))</f>
        <v/>
      </c>
    </row>
    <row r="2711" spans="20:20" x14ac:dyDescent="0.3">
      <c r="T2711" s="47" t="str">
        <f ca="1">IF(R2711="","",IFERROR(TODAY()+VLOOKUP(R2711,REGRAS!$B$2:$C$13,2,0),""))</f>
        <v/>
      </c>
    </row>
    <row r="2712" spans="20:20" x14ac:dyDescent="0.3">
      <c r="T2712" s="47" t="str">
        <f ca="1">IF(R2712="","",IFERROR(TODAY()+VLOOKUP(R2712,REGRAS!$B$2:$C$13,2,0),""))</f>
        <v/>
      </c>
    </row>
    <row r="2713" spans="20:20" x14ac:dyDescent="0.3">
      <c r="T2713" s="47" t="str">
        <f ca="1">IF(R2713="","",IFERROR(TODAY()+VLOOKUP(R2713,REGRAS!$B$2:$C$13,2,0),""))</f>
        <v/>
      </c>
    </row>
    <row r="2714" spans="20:20" x14ac:dyDescent="0.3">
      <c r="T2714" s="47" t="str">
        <f ca="1">IF(R2714="","",IFERROR(TODAY()+VLOOKUP(R2714,REGRAS!$B$2:$C$13,2,0),""))</f>
        <v/>
      </c>
    </row>
    <row r="2715" spans="20:20" x14ac:dyDescent="0.3">
      <c r="T2715" s="47" t="str">
        <f ca="1">IF(R2715="","",IFERROR(TODAY()+VLOOKUP(R2715,REGRAS!$B$2:$C$13,2,0),""))</f>
        <v/>
      </c>
    </row>
    <row r="2716" spans="20:20" x14ac:dyDescent="0.3">
      <c r="T2716" s="47" t="str">
        <f ca="1">IF(R2716="","",IFERROR(TODAY()+VLOOKUP(R2716,REGRAS!$B$2:$C$13,2,0),""))</f>
        <v/>
      </c>
    </row>
    <row r="2717" spans="20:20" x14ac:dyDescent="0.3">
      <c r="T2717" s="47" t="str">
        <f ca="1">IF(R2717="","",IFERROR(TODAY()+VLOOKUP(R2717,REGRAS!$B$2:$C$13,2,0),""))</f>
        <v/>
      </c>
    </row>
    <row r="2718" spans="20:20" x14ac:dyDescent="0.3">
      <c r="T2718" s="47" t="str">
        <f ca="1">IF(R2718="","",IFERROR(TODAY()+VLOOKUP(R2718,REGRAS!$B$2:$C$13,2,0),""))</f>
        <v/>
      </c>
    </row>
    <row r="2719" spans="20:20" x14ac:dyDescent="0.3">
      <c r="T2719" s="47" t="str">
        <f ca="1">IF(R2719="","",IFERROR(TODAY()+VLOOKUP(R2719,REGRAS!$B$2:$C$13,2,0),""))</f>
        <v/>
      </c>
    </row>
    <row r="2720" spans="20:20" x14ac:dyDescent="0.3">
      <c r="T2720" s="47" t="str">
        <f ca="1">IF(R2720="","",IFERROR(TODAY()+VLOOKUP(R2720,REGRAS!$B$2:$C$13,2,0),""))</f>
        <v/>
      </c>
    </row>
    <row r="2721" spans="20:20" x14ac:dyDescent="0.3">
      <c r="T2721" s="47" t="str">
        <f ca="1">IF(R2721="","",IFERROR(TODAY()+VLOOKUP(R2721,REGRAS!$B$2:$C$13,2,0),""))</f>
        <v/>
      </c>
    </row>
    <row r="2722" spans="20:20" x14ac:dyDescent="0.3">
      <c r="T2722" s="47" t="str">
        <f ca="1">IF(R2722="","",IFERROR(TODAY()+VLOOKUP(R2722,REGRAS!$B$2:$C$13,2,0),""))</f>
        <v/>
      </c>
    </row>
    <row r="2723" spans="20:20" x14ac:dyDescent="0.3">
      <c r="T2723" s="47" t="str">
        <f ca="1">IF(R2723="","",IFERROR(TODAY()+VLOOKUP(R2723,REGRAS!$B$2:$C$13,2,0),""))</f>
        <v/>
      </c>
    </row>
    <row r="2724" spans="20:20" x14ac:dyDescent="0.3">
      <c r="T2724" s="47" t="str">
        <f ca="1">IF(R2724="","",IFERROR(TODAY()+VLOOKUP(R2724,REGRAS!$B$2:$C$13,2,0),""))</f>
        <v/>
      </c>
    </row>
    <row r="2725" spans="20:20" x14ac:dyDescent="0.3">
      <c r="T2725" s="47" t="str">
        <f ca="1">IF(R2725="","",IFERROR(TODAY()+VLOOKUP(R2725,REGRAS!$B$2:$C$13,2,0),""))</f>
        <v/>
      </c>
    </row>
    <row r="2726" spans="20:20" x14ac:dyDescent="0.3">
      <c r="T2726" s="47" t="str">
        <f ca="1">IF(R2726="","",IFERROR(TODAY()+VLOOKUP(R2726,REGRAS!$B$2:$C$13,2,0),""))</f>
        <v/>
      </c>
    </row>
    <row r="2727" spans="20:20" x14ac:dyDescent="0.3">
      <c r="T2727" s="47" t="str">
        <f ca="1">IF(R2727="","",IFERROR(TODAY()+VLOOKUP(R2727,REGRAS!$B$2:$C$13,2,0),""))</f>
        <v/>
      </c>
    </row>
    <row r="2728" spans="20:20" x14ac:dyDescent="0.3">
      <c r="T2728" s="47" t="str">
        <f ca="1">IF(R2728="","",IFERROR(TODAY()+VLOOKUP(R2728,REGRAS!$B$2:$C$13,2,0),""))</f>
        <v/>
      </c>
    </row>
    <row r="2729" spans="20:20" x14ac:dyDescent="0.3">
      <c r="T2729" s="47" t="str">
        <f ca="1">IF(R2729="","",IFERROR(TODAY()+VLOOKUP(R2729,REGRAS!$B$2:$C$13,2,0),""))</f>
        <v/>
      </c>
    </row>
    <row r="2730" spans="20:20" x14ac:dyDescent="0.3">
      <c r="T2730" s="47" t="str">
        <f ca="1">IF(R2730="","",IFERROR(TODAY()+VLOOKUP(R2730,REGRAS!$B$2:$C$13,2,0),""))</f>
        <v/>
      </c>
    </row>
    <row r="2731" spans="20:20" x14ac:dyDescent="0.3">
      <c r="T2731" s="47" t="str">
        <f ca="1">IF(R2731="","",IFERROR(TODAY()+VLOOKUP(R2731,REGRAS!$B$2:$C$13,2,0),""))</f>
        <v/>
      </c>
    </row>
    <row r="2732" spans="20:20" x14ac:dyDescent="0.3">
      <c r="T2732" s="47" t="str">
        <f ca="1">IF(R2732="","",IFERROR(TODAY()+VLOOKUP(R2732,REGRAS!$B$2:$C$13,2,0),""))</f>
        <v/>
      </c>
    </row>
    <row r="2733" spans="20:20" x14ac:dyDescent="0.3">
      <c r="T2733" s="47" t="str">
        <f ca="1">IF(R2733="","",IFERROR(TODAY()+VLOOKUP(R2733,REGRAS!$B$2:$C$13,2,0),""))</f>
        <v/>
      </c>
    </row>
    <row r="2734" spans="20:20" x14ac:dyDescent="0.3">
      <c r="T2734" s="47" t="str">
        <f ca="1">IF(R2734="","",IFERROR(TODAY()+VLOOKUP(R2734,REGRAS!$B$2:$C$13,2,0),""))</f>
        <v/>
      </c>
    </row>
    <row r="2735" spans="20:20" x14ac:dyDescent="0.3">
      <c r="T2735" s="47" t="str">
        <f ca="1">IF(R2735="","",IFERROR(TODAY()+VLOOKUP(R2735,REGRAS!$B$2:$C$13,2,0),""))</f>
        <v/>
      </c>
    </row>
    <row r="2736" spans="20:20" x14ac:dyDescent="0.3">
      <c r="T2736" s="47" t="str">
        <f ca="1">IF(R2736="","",IFERROR(TODAY()+VLOOKUP(R2736,REGRAS!$B$2:$C$13,2,0),""))</f>
        <v/>
      </c>
    </row>
    <row r="2737" spans="20:20" x14ac:dyDescent="0.3">
      <c r="T2737" s="47" t="str">
        <f ca="1">IF(R2737="","",IFERROR(TODAY()+VLOOKUP(R2737,REGRAS!$B$2:$C$13,2,0),""))</f>
        <v/>
      </c>
    </row>
    <row r="2738" spans="20:20" x14ac:dyDescent="0.3">
      <c r="T2738" s="47" t="str">
        <f ca="1">IF(R2738="","",IFERROR(TODAY()+VLOOKUP(R2738,REGRAS!$B$2:$C$13,2,0),""))</f>
        <v/>
      </c>
    </row>
    <row r="2739" spans="20:20" x14ac:dyDescent="0.3">
      <c r="T2739" s="47" t="str">
        <f ca="1">IF(R2739="","",IFERROR(TODAY()+VLOOKUP(R2739,REGRAS!$B$2:$C$13,2,0),""))</f>
        <v/>
      </c>
    </row>
    <row r="2740" spans="20:20" x14ac:dyDescent="0.3">
      <c r="T2740" s="47" t="str">
        <f ca="1">IF(R2740="","",IFERROR(TODAY()+VLOOKUP(R2740,REGRAS!$B$2:$C$13,2,0),""))</f>
        <v/>
      </c>
    </row>
    <row r="2741" spans="20:20" x14ac:dyDescent="0.3">
      <c r="T2741" s="47" t="str">
        <f ca="1">IF(R2741="","",IFERROR(TODAY()+VLOOKUP(R2741,REGRAS!$B$2:$C$13,2,0),""))</f>
        <v/>
      </c>
    </row>
    <row r="2742" spans="20:20" x14ac:dyDescent="0.3">
      <c r="T2742" s="47" t="str">
        <f ca="1">IF(R2742="","",IFERROR(TODAY()+VLOOKUP(R2742,REGRAS!$B$2:$C$13,2,0),""))</f>
        <v/>
      </c>
    </row>
    <row r="2743" spans="20:20" x14ac:dyDescent="0.3">
      <c r="T2743" s="47" t="str">
        <f ca="1">IF(R2743="","",IFERROR(TODAY()+VLOOKUP(R2743,REGRAS!$B$2:$C$13,2,0),""))</f>
        <v/>
      </c>
    </row>
    <row r="2744" spans="20:20" x14ac:dyDescent="0.3">
      <c r="T2744" s="47" t="str">
        <f ca="1">IF(R2744="","",IFERROR(TODAY()+VLOOKUP(R2744,REGRAS!$B$2:$C$13,2,0),""))</f>
        <v/>
      </c>
    </row>
    <row r="2745" spans="20:20" x14ac:dyDescent="0.3">
      <c r="T2745" s="47" t="str">
        <f ca="1">IF(R2745="","",IFERROR(TODAY()+VLOOKUP(R2745,REGRAS!$B$2:$C$13,2,0),""))</f>
        <v/>
      </c>
    </row>
    <row r="2746" spans="20:20" x14ac:dyDescent="0.3">
      <c r="T2746" s="47" t="str">
        <f ca="1">IF(R2746="","",IFERROR(TODAY()+VLOOKUP(R2746,REGRAS!$B$2:$C$13,2,0),""))</f>
        <v/>
      </c>
    </row>
    <row r="2747" spans="20:20" x14ac:dyDescent="0.3">
      <c r="T2747" s="47" t="str">
        <f ca="1">IF(R2747="","",IFERROR(TODAY()+VLOOKUP(R2747,REGRAS!$B$2:$C$13,2,0),""))</f>
        <v/>
      </c>
    </row>
    <row r="2748" spans="20:20" x14ac:dyDescent="0.3">
      <c r="T2748" s="47" t="str">
        <f ca="1">IF(R2748="","",IFERROR(TODAY()+VLOOKUP(R2748,REGRAS!$B$2:$C$13,2,0),""))</f>
        <v/>
      </c>
    </row>
    <row r="2749" spans="20:20" x14ac:dyDescent="0.3">
      <c r="T2749" s="47" t="str">
        <f ca="1">IF(R2749="","",IFERROR(TODAY()+VLOOKUP(R2749,REGRAS!$B$2:$C$13,2,0),""))</f>
        <v/>
      </c>
    </row>
    <row r="2750" spans="20:20" x14ac:dyDescent="0.3">
      <c r="T2750" s="47" t="str">
        <f ca="1">IF(R2750="","",IFERROR(TODAY()+VLOOKUP(R2750,REGRAS!$B$2:$C$13,2,0),""))</f>
        <v/>
      </c>
    </row>
    <row r="2751" spans="20:20" x14ac:dyDescent="0.3">
      <c r="T2751" s="47" t="str">
        <f ca="1">IF(R2751="","",IFERROR(TODAY()+VLOOKUP(R2751,REGRAS!$B$2:$C$13,2,0),""))</f>
        <v/>
      </c>
    </row>
    <row r="2752" spans="20:20" x14ac:dyDescent="0.3">
      <c r="T2752" s="47" t="str">
        <f ca="1">IF(R2752="","",IFERROR(TODAY()+VLOOKUP(R2752,REGRAS!$B$2:$C$13,2,0),""))</f>
        <v/>
      </c>
    </row>
    <row r="2753" spans="20:20" x14ac:dyDescent="0.3">
      <c r="T2753" s="47" t="str">
        <f ca="1">IF(R2753="","",IFERROR(TODAY()+VLOOKUP(R2753,REGRAS!$B$2:$C$13,2,0),""))</f>
        <v/>
      </c>
    </row>
    <row r="2754" spans="20:20" x14ac:dyDescent="0.3">
      <c r="T2754" s="47" t="str">
        <f ca="1">IF(R2754="","",IFERROR(TODAY()+VLOOKUP(R2754,REGRAS!$B$2:$C$13,2,0),""))</f>
        <v/>
      </c>
    </row>
    <row r="2755" spans="20:20" x14ac:dyDescent="0.3">
      <c r="T2755" s="47" t="str">
        <f ca="1">IF(R2755="","",IFERROR(TODAY()+VLOOKUP(R2755,REGRAS!$B$2:$C$13,2,0),""))</f>
        <v/>
      </c>
    </row>
    <row r="2756" spans="20:20" x14ac:dyDescent="0.3">
      <c r="T2756" s="47" t="str">
        <f ca="1">IF(R2756="","",IFERROR(TODAY()+VLOOKUP(R2756,REGRAS!$B$2:$C$13,2,0),""))</f>
        <v/>
      </c>
    </row>
    <row r="2757" spans="20:20" x14ac:dyDescent="0.3">
      <c r="T2757" s="47" t="str">
        <f ca="1">IF(R2757="","",IFERROR(TODAY()+VLOOKUP(R2757,REGRAS!$B$2:$C$13,2,0),""))</f>
        <v/>
      </c>
    </row>
    <row r="2758" spans="20:20" x14ac:dyDescent="0.3">
      <c r="T2758" s="47" t="str">
        <f ca="1">IF(R2758="","",IFERROR(TODAY()+VLOOKUP(R2758,REGRAS!$B$2:$C$13,2,0),""))</f>
        <v/>
      </c>
    </row>
    <row r="2759" spans="20:20" x14ac:dyDescent="0.3">
      <c r="T2759" s="47" t="str">
        <f ca="1">IF(R2759="","",IFERROR(TODAY()+VLOOKUP(R2759,REGRAS!$B$2:$C$13,2,0),""))</f>
        <v/>
      </c>
    </row>
    <row r="2760" spans="20:20" x14ac:dyDescent="0.3">
      <c r="T2760" s="47" t="str">
        <f ca="1">IF(R2760="","",IFERROR(TODAY()+VLOOKUP(R2760,REGRAS!$B$2:$C$13,2,0),""))</f>
        <v/>
      </c>
    </row>
    <row r="2761" spans="20:20" x14ac:dyDescent="0.3">
      <c r="T2761" s="47" t="str">
        <f ca="1">IF(R2761="","",IFERROR(TODAY()+VLOOKUP(R2761,REGRAS!$B$2:$C$13,2,0),""))</f>
        <v/>
      </c>
    </row>
    <row r="2762" spans="20:20" x14ac:dyDescent="0.3">
      <c r="T2762" s="47" t="str">
        <f ca="1">IF(R2762="","",IFERROR(TODAY()+VLOOKUP(R2762,REGRAS!$B$2:$C$13,2,0),""))</f>
        <v/>
      </c>
    </row>
    <row r="2763" spans="20:20" x14ac:dyDescent="0.3">
      <c r="T2763" s="47" t="str">
        <f ca="1">IF(R2763="","",IFERROR(TODAY()+VLOOKUP(R2763,REGRAS!$B$2:$C$13,2,0),""))</f>
        <v/>
      </c>
    </row>
    <row r="2764" spans="20:20" x14ac:dyDescent="0.3">
      <c r="T2764" s="47" t="str">
        <f ca="1">IF(R2764="","",IFERROR(TODAY()+VLOOKUP(R2764,REGRAS!$B$2:$C$13,2,0),""))</f>
        <v/>
      </c>
    </row>
    <row r="2765" spans="20:20" x14ac:dyDescent="0.3">
      <c r="T2765" s="47" t="str">
        <f ca="1">IF(R2765="","",IFERROR(TODAY()+VLOOKUP(R2765,REGRAS!$B$2:$C$13,2,0),""))</f>
        <v/>
      </c>
    </row>
    <row r="2766" spans="20:20" x14ac:dyDescent="0.3">
      <c r="T2766" s="47" t="str">
        <f ca="1">IF(R2766="","",IFERROR(TODAY()+VLOOKUP(R2766,REGRAS!$B$2:$C$13,2,0),""))</f>
        <v/>
      </c>
    </row>
    <row r="2767" spans="20:20" x14ac:dyDescent="0.3">
      <c r="T2767" s="47" t="str">
        <f ca="1">IF(R2767="","",IFERROR(TODAY()+VLOOKUP(R2767,REGRAS!$B$2:$C$13,2,0),""))</f>
        <v/>
      </c>
    </row>
    <row r="2768" spans="20:20" x14ac:dyDescent="0.3">
      <c r="T2768" s="47" t="str">
        <f ca="1">IF(R2768="","",IFERROR(TODAY()+VLOOKUP(R2768,REGRAS!$B$2:$C$13,2,0),""))</f>
        <v/>
      </c>
    </row>
    <row r="2769" spans="20:20" x14ac:dyDescent="0.3">
      <c r="T2769" s="47" t="str">
        <f ca="1">IF(R2769="","",IFERROR(TODAY()+VLOOKUP(R2769,REGRAS!$B$2:$C$13,2,0),""))</f>
        <v/>
      </c>
    </row>
    <row r="2770" spans="20:20" x14ac:dyDescent="0.3">
      <c r="T2770" s="47" t="str">
        <f ca="1">IF(R2770="","",IFERROR(TODAY()+VLOOKUP(R2770,REGRAS!$B$2:$C$13,2,0),""))</f>
        <v/>
      </c>
    </row>
    <row r="2771" spans="20:20" x14ac:dyDescent="0.3">
      <c r="T2771" s="47" t="str">
        <f ca="1">IF(R2771="","",IFERROR(TODAY()+VLOOKUP(R2771,REGRAS!$B$2:$C$13,2,0),""))</f>
        <v/>
      </c>
    </row>
    <row r="2772" spans="20:20" x14ac:dyDescent="0.3">
      <c r="T2772" s="47" t="str">
        <f ca="1">IF(R2772="","",IFERROR(TODAY()+VLOOKUP(R2772,REGRAS!$B$2:$C$13,2,0),""))</f>
        <v/>
      </c>
    </row>
    <row r="2773" spans="20:20" x14ac:dyDescent="0.3">
      <c r="T2773" s="47" t="str">
        <f ca="1">IF(R2773="","",IFERROR(TODAY()+VLOOKUP(R2773,REGRAS!$B$2:$C$13,2,0),""))</f>
        <v/>
      </c>
    </row>
    <row r="2774" spans="20:20" x14ac:dyDescent="0.3">
      <c r="T2774" s="47" t="str">
        <f ca="1">IF(R2774="","",IFERROR(TODAY()+VLOOKUP(R2774,REGRAS!$B$2:$C$13,2,0),""))</f>
        <v/>
      </c>
    </row>
    <row r="2775" spans="20:20" x14ac:dyDescent="0.3">
      <c r="T2775" s="47" t="str">
        <f ca="1">IF(R2775="","",IFERROR(TODAY()+VLOOKUP(R2775,REGRAS!$B$2:$C$13,2,0),""))</f>
        <v/>
      </c>
    </row>
    <row r="2776" spans="20:20" x14ac:dyDescent="0.3">
      <c r="T2776" s="47" t="str">
        <f ca="1">IF(R2776="","",IFERROR(TODAY()+VLOOKUP(R2776,REGRAS!$B$2:$C$13,2,0),""))</f>
        <v/>
      </c>
    </row>
    <row r="2777" spans="20:20" x14ac:dyDescent="0.3">
      <c r="T2777" s="47" t="str">
        <f ca="1">IF(R2777="","",IFERROR(TODAY()+VLOOKUP(R2777,REGRAS!$B$2:$C$13,2,0),""))</f>
        <v/>
      </c>
    </row>
    <row r="2778" spans="20:20" x14ac:dyDescent="0.3">
      <c r="T2778" s="47" t="str">
        <f ca="1">IF(R2778="","",IFERROR(TODAY()+VLOOKUP(R2778,REGRAS!$B$2:$C$13,2,0),""))</f>
        <v/>
      </c>
    </row>
    <row r="2779" spans="20:20" x14ac:dyDescent="0.3">
      <c r="T2779" s="47" t="str">
        <f ca="1">IF(R2779="","",IFERROR(TODAY()+VLOOKUP(R2779,REGRAS!$B$2:$C$13,2,0),""))</f>
        <v/>
      </c>
    </row>
    <row r="2780" spans="20:20" x14ac:dyDescent="0.3">
      <c r="T2780" s="47" t="str">
        <f ca="1">IF(R2780="","",IFERROR(TODAY()+VLOOKUP(R2780,REGRAS!$B$2:$C$13,2,0),""))</f>
        <v/>
      </c>
    </row>
    <row r="2781" spans="20:20" x14ac:dyDescent="0.3">
      <c r="T2781" s="47" t="str">
        <f ca="1">IF(R2781="","",IFERROR(TODAY()+VLOOKUP(R2781,REGRAS!$B$2:$C$13,2,0),""))</f>
        <v/>
      </c>
    </row>
    <row r="2782" spans="20:20" x14ac:dyDescent="0.3">
      <c r="T2782" s="47" t="str">
        <f ca="1">IF(R2782="","",IFERROR(TODAY()+VLOOKUP(R2782,REGRAS!$B$2:$C$13,2,0),""))</f>
        <v/>
      </c>
    </row>
    <row r="2783" spans="20:20" x14ac:dyDescent="0.3">
      <c r="T2783" s="47" t="str">
        <f ca="1">IF(R2783="","",IFERROR(TODAY()+VLOOKUP(R2783,REGRAS!$B$2:$C$13,2,0),""))</f>
        <v/>
      </c>
    </row>
    <row r="2784" spans="20:20" x14ac:dyDescent="0.3">
      <c r="T2784" s="47" t="str">
        <f ca="1">IF(R2784="","",IFERROR(TODAY()+VLOOKUP(R2784,REGRAS!$B$2:$C$13,2,0),""))</f>
        <v/>
      </c>
    </row>
    <row r="2785" spans="20:20" x14ac:dyDescent="0.3">
      <c r="T2785" s="47" t="str">
        <f ca="1">IF(R2785="","",IFERROR(TODAY()+VLOOKUP(R2785,REGRAS!$B$2:$C$13,2,0),""))</f>
        <v/>
      </c>
    </row>
    <row r="2786" spans="20:20" x14ac:dyDescent="0.3">
      <c r="T2786" s="47" t="str">
        <f ca="1">IF(R2786="","",IFERROR(TODAY()+VLOOKUP(R2786,REGRAS!$B$2:$C$13,2,0),""))</f>
        <v/>
      </c>
    </row>
    <row r="2787" spans="20:20" x14ac:dyDescent="0.3">
      <c r="T2787" s="47" t="str">
        <f ca="1">IF(R2787="","",IFERROR(TODAY()+VLOOKUP(R2787,REGRAS!$B$2:$C$13,2,0),""))</f>
        <v/>
      </c>
    </row>
    <row r="2788" spans="20:20" x14ac:dyDescent="0.3">
      <c r="T2788" s="47" t="str">
        <f ca="1">IF(R2788="","",IFERROR(TODAY()+VLOOKUP(R2788,REGRAS!$B$2:$C$13,2,0),""))</f>
        <v/>
      </c>
    </row>
    <row r="2789" spans="20:20" x14ac:dyDescent="0.3">
      <c r="T2789" s="47" t="str">
        <f ca="1">IF(R2789="","",IFERROR(TODAY()+VLOOKUP(R2789,REGRAS!$B$2:$C$13,2,0),""))</f>
        <v/>
      </c>
    </row>
    <row r="2790" spans="20:20" x14ac:dyDescent="0.3">
      <c r="T2790" s="47" t="str">
        <f ca="1">IF(R2790="","",IFERROR(TODAY()+VLOOKUP(R2790,REGRAS!$B$2:$C$13,2,0),""))</f>
        <v/>
      </c>
    </row>
    <row r="2791" spans="20:20" x14ac:dyDescent="0.3">
      <c r="T2791" s="47" t="str">
        <f ca="1">IF(R2791="","",IFERROR(TODAY()+VLOOKUP(R2791,REGRAS!$B$2:$C$13,2,0),""))</f>
        <v/>
      </c>
    </row>
    <row r="2792" spans="20:20" x14ac:dyDescent="0.3">
      <c r="T2792" s="47" t="str">
        <f ca="1">IF(R2792="","",IFERROR(TODAY()+VLOOKUP(R2792,REGRAS!$B$2:$C$13,2,0),""))</f>
        <v/>
      </c>
    </row>
    <row r="2793" spans="20:20" x14ac:dyDescent="0.3">
      <c r="T2793" s="47" t="str">
        <f ca="1">IF(R2793="","",IFERROR(TODAY()+VLOOKUP(R2793,REGRAS!$B$2:$C$13,2,0),""))</f>
        <v/>
      </c>
    </row>
    <row r="2794" spans="20:20" x14ac:dyDescent="0.3">
      <c r="T2794" s="47" t="str">
        <f ca="1">IF(R2794="","",IFERROR(TODAY()+VLOOKUP(R2794,REGRAS!$B$2:$C$13,2,0),""))</f>
        <v/>
      </c>
    </row>
    <row r="2795" spans="20:20" x14ac:dyDescent="0.3">
      <c r="T2795" s="47" t="str">
        <f ca="1">IF(R2795="","",IFERROR(TODAY()+VLOOKUP(R2795,REGRAS!$B$2:$C$13,2,0),""))</f>
        <v/>
      </c>
    </row>
    <row r="2796" spans="20:20" x14ac:dyDescent="0.3">
      <c r="T2796" s="47" t="str">
        <f ca="1">IF(R2796="","",IFERROR(TODAY()+VLOOKUP(R2796,REGRAS!$B$2:$C$13,2,0),""))</f>
        <v/>
      </c>
    </row>
    <row r="2797" spans="20:20" x14ac:dyDescent="0.3">
      <c r="T2797" s="47" t="str">
        <f ca="1">IF(R2797="","",IFERROR(TODAY()+VLOOKUP(R2797,REGRAS!$B$2:$C$13,2,0),""))</f>
        <v/>
      </c>
    </row>
    <row r="2798" spans="20:20" x14ac:dyDescent="0.3">
      <c r="T2798" s="47" t="str">
        <f ca="1">IF(R2798="","",IFERROR(TODAY()+VLOOKUP(R2798,REGRAS!$B$2:$C$13,2,0),""))</f>
        <v/>
      </c>
    </row>
    <row r="2799" spans="20:20" x14ac:dyDescent="0.3">
      <c r="T2799" s="47" t="str">
        <f ca="1">IF(R2799="","",IFERROR(TODAY()+VLOOKUP(R2799,REGRAS!$B$2:$C$13,2,0),""))</f>
        <v/>
      </c>
    </row>
    <row r="2800" spans="20:20" x14ac:dyDescent="0.3">
      <c r="T2800" s="47" t="str">
        <f ca="1">IF(R2800="","",IFERROR(TODAY()+VLOOKUP(R2800,REGRAS!$B$2:$C$13,2,0),""))</f>
        <v/>
      </c>
    </row>
    <row r="2801" spans="20:20" x14ac:dyDescent="0.3">
      <c r="T2801" s="47" t="str">
        <f ca="1">IF(R2801="","",IFERROR(TODAY()+VLOOKUP(R2801,REGRAS!$B$2:$C$13,2,0),""))</f>
        <v/>
      </c>
    </row>
    <row r="2802" spans="20:20" x14ac:dyDescent="0.3">
      <c r="T2802" s="47" t="str">
        <f ca="1">IF(R2802="","",IFERROR(TODAY()+VLOOKUP(R2802,REGRAS!$B$2:$C$13,2,0),""))</f>
        <v/>
      </c>
    </row>
    <row r="2803" spans="20:20" x14ac:dyDescent="0.3">
      <c r="T2803" s="47" t="str">
        <f ca="1">IF(R2803="","",IFERROR(TODAY()+VLOOKUP(R2803,REGRAS!$B$2:$C$13,2,0),""))</f>
        <v/>
      </c>
    </row>
    <row r="2804" spans="20:20" x14ac:dyDescent="0.3">
      <c r="T2804" s="47" t="str">
        <f ca="1">IF(R2804="","",IFERROR(TODAY()+VLOOKUP(R2804,REGRAS!$B$2:$C$13,2,0),""))</f>
        <v/>
      </c>
    </row>
    <row r="2805" spans="20:20" x14ac:dyDescent="0.3">
      <c r="T2805" s="47" t="str">
        <f ca="1">IF(R2805="","",IFERROR(TODAY()+VLOOKUP(R2805,REGRAS!$B$2:$C$13,2,0),""))</f>
        <v/>
      </c>
    </row>
    <row r="2806" spans="20:20" x14ac:dyDescent="0.3">
      <c r="T2806" s="47" t="str">
        <f ca="1">IF(R2806="","",IFERROR(TODAY()+VLOOKUP(R2806,REGRAS!$B$2:$C$13,2,0),""))</f>
        <v/>
      </c>
    </row>
    <row r="2807" spans="20:20" x14ac:dyDescent="0.3">
      <c r="T2807" s="47" t="str">
        <f ca="1">IF(R2807="","",IFERROR(TODAY()+VLOOKUP(R2807,REGRAS!$B$2:$C$13,2,0),""))</f>
        <v/>
      </c>
    </row>
    <row r="2808" spans="20:20" x14ac:dyDescent="0.3">
      <c r="T2808" s="47" t="str">
        <f ca="1">IF(R2808="","",IFERROR(TODAY()+VLOOKUP(R2808,REGRAS!$B$2:$C$13,2,0),""))</f>
        <v/>
      </c>
    </row>
    <row r="2809" spans="20:20" x14ac:dyDescent="0.3">
      <c r="T2809" s="47" t="str">
        <f ca="1">IF(R2809="","",IFERROR(TODAY()+VLOOKUP(R2809,REGRAS!$B$2:$C$13,2,0),""))</f>
        <v/>
      </c>
    </row>
    <row r="2810" spans="20:20" x14ac:dyDescent="0.3">
      <c r="T2810" s="47" t="str">
        <f ca="1">IF(R2810="","",IFERROR(TODAY()+VLOOKUP(R2810,REGRAS!$B$2:$C$13,2,0),""))</f>
        <v/>
      </c>
    </row>
    <row r="2811" spans="20:20" x14ac:dyDescent="0.3">
      <c r="T2811" s="47" t="str">
        <f ca="1">IF(R2811="","",IFERROR(TODAY()+VLOOKUP(R2811,REGRAS!$B$2:$C$13,2,0),""))</f>
        <v/>
      </c>
    </row>
    <row r="2812" spans="20:20" x14ac:dyDescent="0.3">
      <c r="T2812" s="47" t="str">
        <f ca="1">IF(R2812="","",IFERROR(TODAY()+VLOOKUP(R2812,REGRAS!$B$2:$C$13,2,0),""))</f>
        <v/>
      </c>
    </row>
    <row r="2813" spans="20:20" x14ac:dyDescent="0.3">
      <c r="T2813" s="47" t="str">
        <f ca="1">IF(R2813="","",IFERROR(TODAY()+VLOOKUP(R2813,REGRAS!$B$2:$C$13,2,0),""))</f>
        <v/>
      </c>
    </row>
    <row r="2814" spans="20:20" x14ac:dyDescent="0.3">
      <c r="T2814" s="47" t="str">
        <f ca="1">IF(R2814="","",IFERROR(TODAY()+VLOOKUP(R2814,REGRAS!$B$2:$C$13,2,0),""))</f>
        <v/>
      </c>
    </row>
    <row r="2815" spans="20:20" x14ac:dyDescent="0.3">
      <c r="T2815" s="47" t="str">
        <f ca="1">IF(R2815="","",IFERROR(TODAY()+VLOOKUP(R2815,REGRAS!$B$2:$C$13,2,0),""))</f>
        <v/>
      </c>
    </row>
    <row r="2816" spans="20:20" x14ac:dyDescent="0.3">
      <c r="T2816" s="47" t="str">
        <f ca="1">IF(R2816="","",IFERROR(TODAY()+VLOOKUP(R2816,REGRAS!$B$2:$C$13,2,0),""))</f>
        <v/>
      </c>
    </row>
    <row r="2817" spans="20:20" x14ac:dyDescent="0.3">
      <c r="T2817" s="47" t="str">
        <f ca="1">IF(R2817="","",IFERROR(TODAY()+VLOOKUP(R2817,REGRAS!$B$2:$C$13,2,0),""))</f>
        <v/>
      </c>
    </row>
    <row r="2818" spans="20:20" x14ac:dyDescent="0.3">
      <c r="T2818" s="47" t="str">
        <f ca="1">IF(R2818="","",IFERROR(TODAY()+VLOOKUP(R2818,REGRAS!$B$2:$C$13,2,0),""))</f>
        <v/>
      </c>
    </row>
    <row r="2819" spans="20:20" x14ac:dyDescent="0.3">
      <c r="T2819" s="47" t="str">
        <f ca="1">IF(R2819="","",IFERROR(TODAY()+VLOOKUP(R2819,REGRAS!$B$2:$C$13,2,0),""))</f>
        <v/>
      </c>
    </row>
    <row r="2820" spans="20:20" x14ac:dyDescent="0.3">
      <c r="T2820" s="47" t="str">
        <f ca="1">IF(R2820="","",IFERROR(TODAY()+VLOOKUP(R2820,REGRAS!$B$2:$C$13,2,0),""))</f>
        <v/>
      </c>
    </row>
    <row r="2821" spans="20:20" x14ac:dyDescent="0.3">
      <c r="T2821" s="47" t="str">
        <f ca="1">IF(R2821="","",IFERROR(TODAY()+VLOOKUP(R2821,REGRAS!$B$2:$C$13,2,0),""))</f>
        <v/>
      </c>
    </row>
    <row r="2822" spans="20:20" x14ac:dyDescent="0.3">
      <c r="T2822" s="47" t="str">
        <f ca="1">IF(R2822="","",IFERROR(TODAY()+VLOOKUP(R2822,REGRAS!$B$2:$C$13,2,0),""))</f>
        <v/>
      </c>
    </row>
    <row r="2823" spans="20:20" x14ac:dyDescent="0.3">
      <c r="T2823" s="47" t="str">
        <f ca="1">IF(R2823="","",IFERROR(TODAY()+VLOOKUP(R2823,REGRAS!$B$2:$C$13,2,0),""))</f>
        <v/>
      </c>
    </row>
    <row r="2824" spans="20:20" x14ac:dyDescent="0.3">
      <c r="T2824" s="47" t="str">
        <f ca="1">IF(R2824="","",IFERROR(TODAY()+VLOOKUP(R2824,REGRAS!$B$2:$C$13,2,0),""))</f>
        <v/>
      </c>
    </row>
    <row r="2825" spans="20:20" x14ac:dyDescent="0.3">
      <c r="T2825" s="47" t="str">
        <f ca="1">IF(R2825="","",IFERROR(TODAY()+VLOOKUP(R2825,REGRAS!$B$2:$C$13,2,0),""))</f>
        <v/>
      </c>
    </row>
    <row r="2826" spans="20:20" x14ac:dyDescent="0.3">
      <c r="T2826" s="47" t="str">
        <f ca="1">IF(R2826="","",IFERROR(TODAY()+VLOOKUP(R2826,REGRAS!$B$2:$C$13,2,0),""))</f>
        <v/>
      </c>
    </row>
    <row r="2827" spans="20:20" x14ac:dyDescent="0.3">
      <c r="T2827" s="47" t="str">
        <f ca="1">IF(R2827="","",IFERROR(TODAY()+VLOOKUP(R2827,REGRAS!$B$2:$C$13,2,0),""))</f>
        <v/>
      </c>
    </row>
    <row r="2828" spans="20:20" x14ac:dyDescent="0.3">
      <c r="T2828" s="47" t="str">
        <f ca="1">IF(R2828="","",IFERROR(TODAY()+VLOOKUP(R2828,REGRAS!$B$2:$C$13,2,0),""))</f>
        <v/>
      </c>
    </row>
    <row r="2829" spans="20:20" x14ac:dyDescent="0.3">
      <c r="T2829" s="47" t="str">
        <f ca="1">IF(R2829="","",IFERROR(TODAY()+VLOOKUP(R2829,REGRAS!$B$2:$C$13,2,0),""))</f>
        <v/>
      </c>
    </row>
    <row r="2830" spans="20:20" x14ac:dyDescent="0.3">
      <c r="T2830" s="47" t="str">
        <f ca="1">IF(R2830="","",IFERROR(TODAY()+VLOOKUP(R2830,REGRAS!$B$2:$C$13,2,0),""))</f>
        <v/>
      </c>
    </row>
    <row r="2831" spans="20:20" x14ac:dyDescent="0.3">
      <c r="T2831" s="47" t="str">
        <f ca="1">IF(R2831="","",IFERROR(TODAY()+VLOOKUP(R2831,REGRAS!$B$2:$C$13,2,0),""))</f>
        <v/>
      </c>
    </row>
    <row r="2832" spans="20:20" x14ac:dyDescent="0.3">
      <c r="T2832" s="47" t="str">
        <f ca="1">IF(R2832="","",IFERROR(TODAY()+VLOOKUP(R2832,REGRAS!$B$2:$C$13,2,0),""))</f>
        <v/>
      </c>
    </row>
    <row r="2833" spans="20:20" x14ac:dyDescent="0.3">
      <c r="T2833" s="47" t="str">
        <f ca="1">IF(R2833="","",IFERROR(TODAY()+VLOOKUP(R2833,REGRAS!$B$2:$C$13,2,0),""))</f>
        <v/>
      </c>
    </row>
    <row r="2834" spans="20:20" x14ac:dyDescent="0.3">
      <c r="T2834" s="47" t="str">
        <f ca="1">IF(R2834="","",IFERROR(TODAY()+VLOOKUP(R2834,REGRAS!$B$2:$C$13,2,0),""))</f>
        <v/>
      </c>
    </row>
    <row r="2835" spans="20:20" x14ac:dyDescent="0.3">
      <c r="T2835" s="47" t="str">
        <f ca="1">IF(R2835="","",IFERROR(TODAY()+VLOOKUP(R2835,REGRAS!$B$2:$C$13,2,0),""))</f>
        <v/>
      </c>
    </row>
    <row r="2836" spans="20:20" x14ac:dyDescent="0.3">
      <c r="T2836" s="47" t="str">
        <f ca="1">IF(R2836="","",IFERROR(TODAY()+VLOOKUP(R2836,REGRAS!$B$2:$C$13,2,0),""))</f>
        <v/>
      </c>
    </row>
    <row r="2837" spans="20:20" x14ac:dyDescent="0.3">
      <c r="T2837" s="47" t="str">
        <f ca="1">IF(R2837="","",IFERROR(TODAY()+VLOOKUP(R2837,REGRAS!$B$2:$C$13,2,0),""))</f>
        <v/>
      </c>
    </row>
    <row r="2838" spans="20:20" x14ac:dyDescent="0.3">
      <c r="T2838" s="47" t="str">
        <f ca="1">IF(R2838="","",IFERROR(TODAY()+VLOOKUP(R2838,REGRAS!$B$2:$C$13,2,0),""))</f>
        <v/>
      </c>
    </row>
    <row r="2839" spans="20:20" x14ac:dyDescent="0.3">
      <c r="T2839" s="47" t="str">
        <f ca="1">IF(R2839="","",IFERROR(TODAY()+VLOOKUP(R2839,REGRAS!$B$2:$C$13,2,0),""))</f>
        <v/>
      </c>
    </row>
    <row r="2840" spans="20:20" x14ac:dyDescent="0.3">
      <c r="T2840" s="47" t="str">
        <f ca="1">IF(R2840="","",IFERROR(TODAY()+VLOOKUP(R2840,REGRAS!$B$2:$C$13,2,0),""))</f>
        <v/>
      </c>
    </row>
    <row r="2841" spans="20:20" x14ac:dyDescent="0.3">
      <c r="T2841" s="47" t="str">
        <f ca="1">IF(R2841="","",IFERROR(TODAY()+VLOOKUP(R2841,REGRAS!$B$2:$C$13,2,0),""))</f>
        <v/>
      </c>
    </row>
    <row r="2842" spans="20:20" x14ac:dyDescent="0.3">
      <c r="T2842" s="47" t="str">
        <f ca="1">IF(R2842="","",IFERROR(TODAY()+VLOOKUP(R2842,REGRAS!$B$2:$C$13,2,0),""))</f>
        <v/>
      </c>
    </row>
    <row r="2843" spans="20:20" x14ac:dyDescent="0.3">
      <c r="T2843" s="47" t="str">
        <f ca="1">IF(R2843="","",IFERROR(TODAY()+VLOOKUP(R2843,REGRAS!$B$2:$C$13,2,0),""))</f>
        <v/>
      </c>
    </row>
    <row r="2844" spans="20:20" x14ac:dyDescent="0.3">
      <c r="T2844" s="47" t="str">
        <f ca="1">IF(R2844="","",IFERROR(TODAY()+VLOOKUP(R2844,REGRAS!$B$2:$C$13,2,0),""))</f>
        <v/>
      </c>
    </row>
    <row r="2845" spans="20:20" x14ac:dyDescent="0.3">
      <c r="T2845" s="47" t="str">
        <f ca="1">IF(R2845="","",IFERROR(TODAY()+VLOOKUP(R2845,REGRAS!$B$2:$C$13,2,0),""))</f>
        <v/>
      </c>
    </row>
    <row r="2846" spans="20:20" x14ac:dyDescent="0.3">
      <c r="T2846" s="47" t="str">
        <f ca="1">IF(R2846="","",IFERROR(TODAY()+VLOOKUP(R2846,REGRAS!$B$2:$C$13,2,0),""))</f>
        <v/>
      </c>
    </row>
    <row r="2847" spans="20:20" x14ac:dyDescent="0.3">
      <c r="T2847" s="47" t="str">
        <f ca="1">IF(R2847="","",IFERROR(TODAY()+VLOOKUP(R2847,REGRAS!$B$2:$C$13,2,0),""))</f>
        <v/>
      </c>
    </row>
    <row r="2848" spans="20:20" x14ac:dyDescent="0.3">
      <c r="T2848" s="47" t="str">
        <f ca="1">IF(R2848="","",IFERROR(TODAY()+VLOOKUP(R2848,REGRAS!$B$2:$C$13,2,0),""))</f>
        <v/>
      </c>
    </row>
    <row r="2849" spans="20:20" x14ac:dyDescent="0.3">
      <c r="T2849" s="47" t="str">
        <f ca="1">IF(R2849="","",IFERROR(TODAY()+VLOOKUP(R2849,REGRAS!$B$2:$C$13,2,0),""))</f>
        <v/>
      </c>
    </row>
    <row r="2850" spans="20:20" x14ac:dyDescent="0.3">
      <c r="T2850" s="47" t="str">
        <f ca="1">IF(R2850="","",IFERROR(TODAY()+VLOOKUP(R2850,REGRAS!$B$2:$C$13,2,0),""))</f>
        <v/>
      </c>
    </row>
    <row r="2851" spans="20:20" x14ac:dyDescent="0.3">
      <c r="T2851" s="47" t="str">
        <f ca="1">IF(R2851="","",IFERROR(TODAY()+VLOOKUP(R2851,REGRAS!$B$2:$C$13,2,0),""))</f>
        <v/>
      </c>
    </row>
    <row r="2852" spans="20:20" x14ac:dyDescent="0.3">
      <c r="T2852" s="47" t="str">
        <f ca="1">IF(R2852="","",IFERROR(TODAY()+VLOOKUP(R2852,REGRAS!$B$2:$C$13,2,0),""))</f>
        <v/>
      </c>
    </row>
    <row r="2853" spans="20:20" x14ac:dyDescent="0.3">
      <c r="T2853" s="47" t="str">
        <f ca="1">IF(R2853="","",IFERROR(TODAY()+VLOOKUP(R2853,REGRAS!$B$2:$C$13,2,0),""))</f>
        <v/>
      </c>
    </row>
    <row r="2854" spans="20:20" x14ac:dyDescent="0.3">
      <c r="T2854" s="47" t="str">
        <f ca="1">IF(R2854="","",IFERROR(TODAY()+VLOOKUP(R2854,REGRAS!$B$2:$C$13,2,0),""))</f>
        <v/>
      </c>
    </row>
    <row r="2855" spans="20:20" x14ac:dyDescent="0.3">
      <c r="T2855" s="47" t="str">
        <f ca="1">IF(R2855="","",IFERROR(TODAY()+VLOOKUP(R2855,REGRAS!$B$2:$C$13,2,0),""))</f>
        <v/>
      </c>
    </row>
    <row r="2856" spans="20:20" x14ac:dyDescent="0.3">
      <c r="T2856" s="47" t="str">
        <f ca="1">IF(R2856="","",IFERROR(TODAY()+VLOOKUP(R2856,REGRAS!$B$2:$C$13,2,0),""))</f>
        <v/>
      </c>
    </row>
    <row r="2857" spans="20:20" x14ac:dyDescent="0.3">
      <c r="T2857" s="47" t="str">
        <f ca="1">IF(R2857="","",IFERROR(TODAY()+VLOOKUP(R2857,REGRAS!$B$2:$C$13,2,0),""))</f>
        <v/>
      </c>
    </row>
    <row r="2858" spans="20:20" x14ac:dyDescent="0.3">
      <c r="T2858" s="47" t="str">
        <f ca="1">IF(R2858="","",IFERROR(TODAY()+VLOOKUP(R2858,REGRAS!$B$2:$C$13,2,0),""))</f>
        <v/>
      </c>
    </row>
    <row r="2859" spans="20:20" x14ac:dyDescent="0.3">
      <c r="T2859" s="47" t="str">
        <f ca="1">IF(R2859="","",IFERROR(TODAY()+VLOOKUP(R2859,REGRAS!$B$2:$C$13,2,0),""))</f>
        <v/>
      </c>
    </row>
    <row r="2860" spans="20:20" x14ac:dyDescent="0.3">
      <c r="T2860" s="47" t="str">
        <f ca="1">IF(R2860="","",IFERROR(TODAY()+VLOOKUP(R2860,REGRAS!$B$2:$C$13,2,0),""))</f>
        <v/>
      </c>
    </row>
    <row r="2861" spans="20:20" x14ac:dyDescent="0.3">
      <c r="T2861" s="47" t="str">
        <f ca="1">IF(R2861="","",IFERROR(TODAY()+VLOOKUP(R2861,REGRAS!$B$2:$C$13,2,0),""))</f>
        <v/>
      </c>
    </row>
    <row r="2862" spans="20:20" x14ac:dyDescent="0.3">
      <c r="T2862" s="47" t="str">
        <f ca="1">IF(R2862="","",IFERROR(TODAY()+VLOOKUP(R2862,REGRAS!$B$2:$C$13,2,0),""))</f>
        <v/>
      </c>
    </row>
    <row r="2863" spans="20:20" x14ac:dyDescent="0.3">
      <c r="T2863" s="47" t="str">
        <f ca="1">IF(R2863="","",IFERROR(TODAY()+VLOOKUP(R2863,REGRAS!$B$2:$C$13,2,0),""))</f>
        <v/>
      </c>
    </row>
    <row r="2864" spans="20:20" x14ac:dyDescent="0.3">
      <c r="T2864" s="47" t="str">
        <f ca="1">IF(R2864="","",IFERROR(TODAY()+VLOOKUP(R2864,REGRAS!$B$2:$C$13,2,0),""))</f>
        <v/>
      </c>
    </row>
    <row r="2865" spans="20:20" x14ac:dyDescent="0.3">
      <c r="T2865" s="47" t="str">
        <f ca="1">IF(R2865="","",IFERROR(TODAY()+VLOOKUP(R2865,REGRAS!$B$2:$C$13,2,0),""))</f>
        <v/>
      </c>
    </row>
    <row r="2866" spans="20:20" x14ac:dyDescent="0.3">
      <c r="T2866" s="47" t="str">
        <f ca="1">IF(R2866="","",IFERROR(TODAY()+VLOOKUP(R2866,REGRAS!$B$2:$C$13,2,0),""))</f>
        <v/>
      </c>
    </row>
    <row r="2867" spans="20:20" x14ac:dyDescent="0.3">
      <c r="T2867" s="47" t="str">
        <f ca="1">IF(R2867="","",IFERROR(TODAY()+VLOOKUP(R2867,REGRAS!$B$2:$C$13,2,0),""))</f>
        <v/>
      </c>
    </row>
    <row r="2868" spans="20:20" x14ac:dyDescent="0.3">
      <c r="T2868" s="47" t="str">
        <f ca="1">IF(R2868="","",IFERROR(TODAY()+VLOOKUP(R2868,REGRAS!$B$2:$C$13,2,0),""))</f>
        <v/>
      </c>
    </row>
    <row r="2869" spans="20:20" x14ac:dyDescent="0.3">
      <c r="T2869" s="47" t="str">
        <f ca="1">IF(R2869="","",IFERROR(TODAY()+VLOOKUP(R2869,REGRAS!$B$2:$C$13,2,0),""))</f>
        <v/>
      </c>
    </row>
    <row r="2870" spans="20:20" x14ac:dyDescent="0.3">
      <c r="T2870" s="47" t="str">
        <f ca="1">IF(R2870="","",IFERROR(TODAY()+VLOOKUP(R2870,REGRAS!$B$2:$C$13,2,0),""))</f>
        <v/>
      </c>
    </row>
    <row r="2871" spans="20:20" x14ac:dyDescent="0.3">
      <c r="T2871" s="47" t="str">
        <f ca="1">IF(R2871="","",IFERROR(TODAY()+VLOOKUP(R2871,REGRAS!$B$2:$C$13,2,0),""))</f>
        <v/>
      </c>
    </row>
    <row r="2872" spans="20:20" x14ac:dyDescent="0.3">
      <c r="T2872" s="47" t="str">
        <f ca="1">IF(R2872="","",IFERROR(TODAY()+VLOOKUP(R2872,REGRAS!$B$2:$C$13,2,0),""))</f>
        <v/>
      </c>
    </row>
    <row r="2873" spans="20:20" x14ac:dyDescent="0.3">
      <c r="T2873" s="47" t="str">
        <f ca="1">IF(R2873="","",IFERROR(TODAY()+VLOOKUP(R2873,REGRAS!$B$2:$C$13,2,0),""))</f>
        <v/>
      </c>
    </row>
    <row r="2874" spans="20:20" x14ac:dyDescent="0.3">
      <c r="T2874" s="47" t="str">
        <f ca="1">IF(R2874="","",IFERROR(TODAY()+VLOOKUP(R2874,REGRAS!$B$2:$C$13,2,0),""))</f>
        <v/>
      </c>
    </row>
    <row r="2875" spans="20:20" x14ac:dyDescent="0.3">
      <c r="T2875" s="47" t="str">
        <f ca="1">IF(R2875="","",IFERROR(TODAY()+VLOOKUP(R2875,REGRAS!$B$2:$C$13,2,0),""))</f>
        <v/>
      </c>
    </row>
    <row r="2876" spans="20:20" x14ac:dyDescent="0.3">
      <c r="T2876" s="47" t="str">
        <f ca="1">IF(R2876="","",IFERROR(TODAY()+VLOOKUP(R2876,REGRAS!$B$2:$C$13,2,0),""))</f>
        <v/>
      </c>
    </row>
    <row r="2877" spans="20:20" x14ac:dyDescent="0.3">
      <c r="T2877" s="47" t="str">
        <f ca="1">IF(R2877="","",IFERROR(TODAY()+VLOOKUP(R2877,REGRAS!$B$2:$C$13,2,0),""))</f>
        <v/>
      </c>
    </row>
    <row r="2878" spans="20:20" x14ac:dyDescent="0.3">
      <c r="T2878" s="47" t="str">
        <f ca="1">IF(R2878="","",IFERROR(TODAY()+VLOOKUP(R2878,REGRAS!$B$2:$C$13,2,0),""))</f>
        <v/>
      </c>
    </row>
    <row r="2879" spans="20:20" x14ac:dyDescent="0.3">
      <c r="T2879" s="47" t="str">
        <f ca="1">IF(R2879="","",IFERROR(TODAY()+VLOOKUP(R2879,REGRAS!$B$2:$C$13,2,0),""))</f>
        <v/>
      </c>
    </row>
    <row r="2880" spans="20:20" x14ac:dyDescent="0.3">
      <c r="T2880" s="47" t="str">
        <f ca="1">IF(R2880="","",IFERROR(TODAY()+VLOOKUP(R2880,REGRAS!$B$2:$C$13,2,0),""))</f>
        <v/>
      </c>
    </row>
    <row r="2881" spans="20:20" x14ac:dyDescent="0.3">
      <c r="T2881" s="47" t="str">
        <f ca="1">IF(R2881="","",IFERROR(TODAY()+VLOOKUP(R2881,REGRAS!$B$2:$C$13,2,0),""))</f>
        <v/>
      </c>
    </row>
    <row r="2882" spans="20:20" x14ac:dyDescent="0.3">
      <c r="T2882" s="47" t="str">
        <f ca="1">IF(R2882="","",IFERROR(TODAY()+VLOOKUP(R2882,REGRAS!$B$2:$C$13,2,0),""))</f>
        <v/>
      </c>
    </row>
    <row r="2883" spans="20:20" x14ac:dyDescent="0.3">
      <c r="T2883" s="47" t="str">
        <f ca="1">IF(R2883="","",IFERROR(TODAY()+VLOOKUP(R2883,REGRAS!$B$2:$C$13,2,0),""))</f>
        <v/>
      </c>
    </row>
    <row r="2884" spans="20:20" x14ac:dyDescent="0.3">
      <c r="T2884" s="47" t="str">
        <f ca="1">IF(R2884="","",IFERROR(TODAY()+VLOOKUP(R2884,REGRAS!$B$2:$C$13,2,0),""))</f>
        <v/>
      </c>
    </row>
    <row r="2885" spans="20:20" x14ac:dyDescent="0.3">
      <c r="T2885" s="47" t="str">
        <f ca="1">IF(R2885="","",IFERROR(TODAY()+VLOOKUP(R2885,REGRAS!$B$2:$C$13,2,0),""))</f>
        <v/>
      </c>
    </row>
    <row r="2886" spans="20:20" x14ac:dyDescent="0.3">
      <c r="T2886" s="47" t="str">
        <f ca="1">IF(R2886="","",IFERROR(TODAY()+VLOOKUP(R2886,REGRAS!$B$2:$C$13,2,0),""))</f>
        <v/>
      </c>
    </row>
    <row r="2887" spans="20:20" x14ac:dyDescent="0.3">
      <c r="T2887" s="47" t="str">
        <f ca="1">IF(R2887="","",IFERROR(TODAY()+VLOOKUP(R2887,REGRAS!$B$2:$C$13,2,0),""))</f>
        <v/>
      </c>
    </row>
    <row r="2888" spans="20:20" x14ac:dyDescent="0.3">
      <c r="T2888" s="47" t="str">
        <f ca="1">IF(R2888="","",IFERROR(TODAY()+VLOOKUP(R2888,REGRAS!$B$2:$C$13,2,0),""))</f>
        <v/>
      </c>
    </row>
    <row r="2889" spans="20:20" x14ac:dyDescent="0.3">
      <c r="T2889" s="47" t="str">
        <f ca="1">IF(R2889="","",IFERROR(TODAY()+VLOOKUP(R2889,REGRAS!$B$2:$C$13,2,0),""))</f>
        <v/>
      </c>
    </row>
    <row r="2890" spans="20:20" x14ac:dyDescent="0.3">
      <c r="T2890" s="47" t="str">
        <f ca="1">IF(R2890="","",IFERROR(TODAY()+VLOOKUP(R2890,REGRAS!$B$2:$C$13,2,0),""))</f>
        <v/>
      </c>
    </row>
    <row r="2891" spans="20:20" x14ac:dyDescent="0.3">
      <c r="T2891" s="47" t="str">
        <f ca="1">IF(R2891="","",IFERROR(TODAY()+VLOOKUP(R2891,REGRAS!$B$2:$C$13,2,0),""))</f>
        <v/>
      </c>
    </row>
    <row r="2892" spans="20:20" x14ac:dyDescent="0.3">
      <c r="T2892" s="47" t="str">
        <f ca="1">IF(R2892="","",IFERROR(TODAY()+VLOOKUP(R2892,REGRAS!$B$2:$C$13,2,0),""))</f>
        <v/>
      </c>
    </row>
    <row r="2893" spans="20:20" x14ac:dyDescent="0.3">
      <c r="T2893" s="47" t="str">
        <f ca="1">IF(R2893="","",IFERROR(TODAY()+VLOOKUP(R2893,REGRAS!$B$2:$C$13,2,0),""))</f>
        <v/>
      </c>
    </row>
    <row r="2894" spans="20:20" x14ac:dyDescent="0.3">
      <c r="T2894" s="47" t="str">
        <f ca="1">IF(R2894="","",IFERROR(TODAY()+VLOOKUP(R2894,REGRAS!$B$2:$C$13,2,0),""))</f>
        <v/>
      </c>
    </row>
    <row r="2895" spans="20:20" x14ac:dyDescent="0.3">
      <c r="T2895" s="47" t="str">
        <f ca="1">IF(R2895="","",IFERROR(TODAY()+VLOOKUP(R2895,REGRAS!$B$2:$C$13,2,0),""))</f>
        <v/>
      </c>
    </row>
    <row r="2896" spans="20:20" x14ac:dyDescent="0.3">
      <c r="T2896" s="47" t="str">
        <f ca="1">IF(R2896="","",IFERROR(TODAY()+VLOOKUP(R2896,REGRAS!$B$2:$C$13,2,0),""))</f>
        <v/>
      </c>
    </row>
    <row r="2897" spans="20:20" x14ac:dyDescent="0.3">
      <c r="T2897" s="47" t="str">
        <f ca="1">IF(R2897="","",IFERROR(TODAY()+VLOOKUP(R2897,REGRAS!$B$2:$C$13,2,0),""))</f>
        <v/>
      </c>
    </row>
    <row r="2898" spans="20:20" x14ac:dyDescent="0.3">
      <c r="T2898" s="47" t="str">
        <f ca="1">IF(R2898="","",IFERROR(TODAY()+VLOOKUP(R2898,REGRAS!$B$2:$C$13,2,0),""))</f>
        <v/>
      </c>
    </row>
    <row r="2899" spans="20:20" x14ac:dyDescent="0.3">
      <c r="T2899" s="47" t="str">
        <f ca="1">IF(R2899="","",IFERROR(TODAY()+VLOOKUP(R2899,REGRAS!$B$2:$C$13,2,0),""))</f>
        <v/>
      </c>
    </row>
    <row r="2900" spans="20:20" x14ac:dyDescent="0.3">
      <c r="T2900" s="47" t="str">
        <f ca="1">IF(R2900="","",IFERROR(TODAY()+VLOOKUP(R2900,REGRAS!$B$2:$C$13,2,0),""))</f>
        <v/>
      </c>
    </row>
    <row r="2901" spans="20:20" x14ac:dyDescent="0.3">
      <c r="T2901" s="47" t="str">
        <f ca="1">IF(R2901="","",IFERROR(TODAY()+VLOOKUP(R2901,REGRAS!$B$2:$C$13,2,0),""))</f>
        <v/>
      </c>
    </row>
    <row r="2902" spans="20:20" x14ac:dyDescent="0.3">
      <c r="T2902" s="47" t="str">
        <f ca="1">IF(R2902="","",IFERROR(TODAY()+VLOOKUP(R2902,REGRAS!$B$2:$C$13,2,0),""))</f>
        <v/>
      </c>
    </row>
    <row r="2903" spans="20:20" x14ac:dyDescent="0.3">
      <c r="T2903" s="47" t="str">
        <f ca="1">IF(R2903="","",IFERROR(TODAY()+VLOOKUP(R2903,REGRAS!$B$2:$C$13,2,0),""))</f>
        <v/>
      </c>
    </row>
    <row r="2904" spans="20:20" x14ac:dyDescent="0.3">
      <c r="T2904" s="47" t="str">
        <f ca="1">IF(R2904="","",IFERROR(TODAY()+VLOOKUP(R2904,REGRAS!$B$2:$C$13,2,0),""))</f>
        <v/>
      </c>
    </row>
    <row r="2905" spans="20:20" x14ac:dyDescent="0.3">
      <c r="T2905" s="47" t="str">
        <f ca="1">IF(R2905="","",IFERROR(TODAY()+VLOOKUP(R2905,REGRAS!$B$2:$C$13,2,0),""))</f>
        <v/>
      </c>
    </row>
    <row r="2906" spans="20:20" x14ac:dyDescent="0.3">
      <c r="T2906" s="47" t="str">
        <f ca="1">IF(R2906="","",IFERROR(TODAY()+VLOOKUP(R2906,REGRAS!$B$2:$C$13,2,0),""))</f>
        <v/>
      </c>
    </row>
    <row r="2907" spans="20:20" x14ac:dyDescent="0.3">
      <c r="T2907" s="47" t="str">
        <f ca="1">IF(R2907="","",IFERROR(TODAY()+VLOOKUP(R2907,REGRAS!$B$2:$C$13,2,0),""))</f>
        <v/>
      </c>
    </row>
    <row r="2908" spans="20:20" x14ac:dyDescent="0.3">
      <c r="T2908" s="47" t="str">
        <f ca="1">IF(R2908="","",IFERROR(TODAY()+VLOOKUP(R2908,REGRAS!$B$2:$C$13,2,0),""))</f>
        <v/>
      </c>
    </row>
    <row r="2909" spans="20:20" x14ac:dyDescent="0.3">
      <c r="T2909" s="47" t="str">
        <f ca="1">IF(R2909="","",IFERROR(TODAY()+VLOOKUP(R2909,REGRAS!$B$2:$C$13,2,0),""))</f>
        <v/>
      </c>
    </row>
    <row r="2910" spans="20:20" x14ac:dyDescent="0.3">
      <c r="T2910" s="47" t="str">
        <f ca="1">IF(R2910="","",IFERROR(TODAY()+VLOOKUP(R2910,REGRAS!$B$2:$C$13,2,0),""))</f>
        <v/>
      </c>
    </row>
    <row r="2911" spans="20:20" x14ac:dyDescent="0.3">
      <c r="T2911" s="47" t="str">
        <f ca="1">IF(R2911="","",IFERROR(TODAY()+VLOOKUP(R2911,REGRAS!$B$2:$C$13,2,0),""))</f>
        <v/>
      </c>
    </row>
    <row r="2912" spans="20:20" x14ac:dyDescent="0.3">
      <c r="T2912" s="47" t="str">
        <f ca="1">IF(R2912="","",IFERROR(TODAY()+VLOOKUP(R2912,REGRAS!$B$2:$C$13,2,0),""))</f>
        <v/>
      </c>
    </row>
    <row r="2913" spans="20:20" x14ac:dyDescent="0.3">
      <c r="T2913" s="47" t="str">
        <f ca="1">IF(R2913="","",IFERROR(TODAY()+VLOOKUP(R2913,REGRAS!$B$2:$C$13,2,0),""))</f>
        <v/>
      </c>
    </row>
    <row r="2914" spans="20:20" x14ac:dyDescent="0.3">
      <c r="T2914" s="47" t="str">
        <f ca="1">IF(R2914="","",IFERROR(TODAY()+VLOOKUP(R2914,REGRAS!$B$2:$C$13,2,0),""))</f>
        <v/>
      </c>
    </row>
    <row r="2915" spans="20:20" x14ac:dyDescent="0.3">
      <c r="T2915" s="47" t="str">
        <f ca="1">IF(R2915="","",IFERROR(TODAY()+VLOOKUP(R2915,REGRAS!$B$2:$C$13,2,0),""))</f>
        <v/>
      </c>
    </row>
    <row r="2916" spans="20:20" x14ac:dyDescent="0.3">
      <c r="T2916" s="47" t="str">
        <f ca="1">IF(R2916="","",IFERROR(TODAY()+VLOOKUP(R2916,REGRAS!$B$2:$C$13,2,0),""))</f>
        <v/>
      </c>
    </row>
    <row r="2917" spans="20:20" x14ac:dyDescent="0.3">
      <c r="T2917" s="47" t="str">
        <f ca="1">IF(R2917="","",IFERROR(TODAY()+VLOOKUP(R2917,REGRAS!$B$2:$C$13,2,0),""))</f>
        <v/>
      </c>
    </row>
    <row r="2918" spans="20:20" x14ac:dyDescent="0.3">
      <c r="T2918" s="47" t="str">
        <f ca="1">IF(R2918="","",IFERROR(TODAY()+VLOOKUP(R2918,REGRAS!$B$2:$C$13,2,0),""))</f>
        <v/>
      </c>
    </row>
    <row r="2919" spans="20:20" x14ac:dyDescent="0.3">
      <c r="T2919" s="47" t="str">
        <f ca="1">IF(R2919="","",IFERROR(TODAY()+VLOOKUP(R2919,REGRAS!$B$2:$C$13,2,0),""))</f>
        <v/>
      </c>
    </row>
    <row r="2920" spans="20:20" x14ac:dyDescent="0.3">
      <c r="T2920" s="47" t="str">
        <f ca="1">IF(R2920="","",IFERROR(TODAY()+VLOOKUP(R2920,REGRAS!$B$2:$C$13,2,0),""))</f>
        <v/>
      </c>
    </row>
    <row r="2921" spans="20:20" x14ac:dyDescent="0.3">
      <c r="T2921" s="47" t="str">
        <f ca="1">IF(R2921="","",IFERROR(TODAY()+VLOOKUP(R2921,REGRAS!$B$2:$C$13,2,0),""))</f>
        <v/>
      </c>
    </row>
    <row r="2922" spans="20:20" x14ac:dyDescent="0.3">
      <c r="T2922" s="47" t="str">
        <f ca="1">IF(R2922="","",IFERROR(TODAY()+VLOOKUP(R2922,REGRAS!$B$2:$C$13,2,0),""))</f>
        <v/>
      </c>
    </row>
    <row r="2923" spans="20:20" x14ac:dyDescent="0.3">
      <c r="T2923" s="47" t="str">
        <f ca="1">IF(R2923="","",IFERROR(TODAY()+VLOOKUP(R2923,REGRAS!$B$2:$C$13,2,0),""))</f>
        <v/>
      </c>
    </row>
    <row r="2924" spans="20:20" x14ac:dyDescent="0.3">
      <c r="T2924" s="47" t="str">
        <f ca="1">IF(R2924="","",IFERROR(TODAY()+VLOOKUP(R2924,REGRAS!$B$2:$C$13,2,0),""))</f>
        <v/>
      </c>
    </row>
    <row r="2925" spans="20:20" x14ac:dyDescent="0.3">
      <c r="T2925" s="47" t="str">
        <f ca="1">IF(R2925="","",IFERROR(TODAY()+VLOOKUP(R2925,REGRAS!$B$2:$C$13,2,0),""))</f>
        <v/>
      </c>
    </row>
    <row r="2926" spans="20:20" x14ac:dyDescent="0.3">
      <c r="T2926" s="47" t="str">
        <f ca="1">IF(R2926="","",IFERROR(TODAY()+VLOOKUP(R2926,REGRAS!$B$2:$C$13,2,0),""))</f>
        <v/>
      </c>
    </row>
    <row r="2927" spans="20:20" x14ac:dyDescent="0.3">
      <c r="T2927" s="47" t="str">
        <f ca="1">IF(R2927="","",IFERROR(TODAY()+VLOOKUP(R2927,REGRAS!$B$2:$C$13,2,0),""))</f>
        <v/>
      </c>
    </row>
    <row r="2928" spans="20:20" x14ac:dyDescent="0.3">
      <c r="T2928" s="47" t="str">
        <f ca="1">IF(R2928="","",IFERROR(TODAY()+VLOOKUP(R2928,REGRAS!$B$2:$C$13,2,0),""))</f>
        <v/>
      </c>
    </row>
    <row r="2929" spans="20:20" x14ac:dyDescent="0.3">
      <c r="T2929" s="47" t="str">
        <f ca="1">IF(R2929="","",IFERROR(TODAY()+VLOOKUP(R2929,REGRAS!$B$2:$C$13,2,0),""))</f>
        <v/>
      </c>
    </row>
    <row r="2930" spans="20:20" x14ac:dyDescent="0.3">
      <c r="T2930" s="47" t="str">
        <f ca="1">IF(R2930="","",IFERROR(TODAY()+VLOOKUP(R2930,REGRAS!$B$2:$C$13,2,0),""))</f>
        <v/>
      </c>
    </row>
    <row r="2931" spans="20:20" x14ac:dyDescent="0.3">
      <c r="T2931" s="47" t="str">
        <f ca="1">IF(R2931="","",IFERROR(TODAY()+VLOOKUP(R2931,REGRAS!$B$2:$C$13,2,0),""))</f>
        <v/>
      </c>
    </row>
    <row r="2932" spans="20:20" x14ac:dyDescent="0.3">
      <c r="T2932" s="47" t="str">
        <f ca="1">IF(R2932="","",IFERROR(TODAY()+VLOOKUP(R2932,REGRAS!$B$2:$C$13,2,0),""))</f>
        <v/>
      </c>
    </row>
    <row r="2933" spans="20:20" x14ac:dyDescent="0.3">
      <c r="T2933" s="47" t="str">
        <f ca="1">IF(R2933="","",IFERROR(TODAY()+VLOOKUP(R2933,REGRAS!$B$2:$C$13,2,0),""))</f>
        <v/>
      </c>
    </row>
    <row r="2934" spans="20:20" x14ac:dyDescent="0.3">
      <c r="T2934" s="47" t="str">
        <f ca="1">IF(R2934="","",IFERROR(TODAY()+VLOOKUP(R2934,REGRAS!$B$2:$C$13,2,0),""))</f>
        <v/>
      </c>
    </row>
    <row r="2935" spans="20:20" x14ac:dyDescent="0.3">
      <c r="T2935" s="47" t="str">
        <f ca="1">IF(R2935="","",IFERROR(TODAY()+VLOOKUP(R2935,REGRAS!$B$2:$C$13,2,0),""))</f>
        <v/>
      </c>
    </row>
    <row r="2936" spans="20:20" x14ac:dyDescent="0.3">
      <c r="T2936" s="47" t="str">
        <f ca="1">IF(R2936="","",IFERROR(TODAY()+VLOOKUP(R2936,REGRAS!$B$2:$C$13,2,0),""))</f>
        <v/>
      </c>
    </row>
    <row r="2937" spans="20:20" x14ac:dyDescent="0.3">
      <c r="T2937" s="47" t="str">
        <f ca="1">IF(R2937="","",IFERROR(TODAY()+VLOOKUP(R2937,REGRAS!$B$2:$C$13,2,0),""))</f>
        <v/>
      </c>
    </row>
    <row r="2938" spans="20:20" x14ac:dyDescent="0.3">
      <c r="T2938" s="47" t="str">
        <f ca="1">IF(R2938="","",IFERROR(TODAY()+VLOOKUP(R2938,REGRAS!$B$2:$C$13,2,0),""))</f>
        <v/>
      </c>
    </row>
    <row r="2939" spans="20:20" x14ac:dyDescent="0.3">
      <c r="T2939" s="47" t="str">
        <f ca="1">IF(R2939="","",IFERROR(TODAY()+VLOOKUP(R2939,REGRAS!$B$2:$C$13,2,0),""))</f>
        <v/>
      </c>
    </row>
    <row r="2940" spans="20:20" x14ac:dyDescent="0.3">
      <c r="T2940" s="47" t="str">
        <f ca="1">IF(R2940="","",IFERROR(TODAY()+VLOOKUP(R2940,REGRAS!$B$2:$C$13,2,0),""))</f>
        <v/>
      </c>
    </row>
    <row r="2941" spans="20:20" x14ac:dyDescent="0.3">
      <c r="T2941" s="47" t="str">
        <f ca="1">IF(R2941="","",IFERROR(TODAY()+VLOOKUP(R2941,REGRAS!$B$2:$C$13,2,0),""))</f>
        <v/>
      </c>
    </row>
    <row r="2942" spans="20:20" x14ac:dyDescent="0.3">
      <c r="T2942" s="47" t="str">
        <f ca="1">IF(R2942="","",IFERROR(TODAY()+VLOOKUP(R2942,REGRAS!$B$2:$C$13,2,0),""))</f>
        <v/>
      </c>
    </row>
    <row r="2943" spans="20:20" x14ac:dyDescent="0.3">
      <c r="T2943" s="47" t="str">
        <f ca="1">IF(R2943="","",IFERROR(TODAY()+VLOOKUP(R2943,REGRAS!$B$2:$C$13,2,0),""))</f>
        <v/>
      </c>
    </row>
    <row r="2944" spans="20:20" x14ac:dyDescent="0.3">
      <c r="T2944" s="47" t="str">
        <f ca="1">IF(R2944="","",IFERROR(TODAY()+VLOOKUP(R2944,REGRAS!$B$2:$C$13,2,0),""))</f>
        <v/>
      </c>
    </row>
    <row r="2945" spans="20:20" x14ac:dyDescent="0.3">
      <c r="T2945" s="47" t="str">
        <f ca="1">IF(R2945="","",IFERROR(TODAY()+VLOOKUP(R2945,REGRAS!$B$2:$C$13,2,0),""))</f>
        <v/>
      </c>
    </row>
    <row r="2946" spans="20:20" x14ac:dyDescent="0.3">
      <c r="T2946" s="47" t="str">
        <f ca="1">IF(R2946="","",IFERROR(TODAY()+VLOOKUP(R2946,REGRAS!$B$2:$C$13,2,0),""))</f>
        <v/>
      </c>
    </row>
    <row r="2947" spans="20:20" x14ac:dyDescent="0.3">
      <c r="T2947" s="47" t="str">
        <f ca="1">IF(R2947="","",IFERROR(TODAY()+VLOOKUP(R2947,REGRAS!$B$2:$C$13,2,0),""))</f>
        <v/>
      </c>
    </row>
    <row r="2948" spans="20:20" x14ac:dyDescent="0.3">
      <c r="T2948" s="47" t="str">
        <f ca="1">IF(R2948="","",IFERROR(TODAY()+VLOOKUP(R2948,REGRAS!$B$2:$C$13,2,0),""))</f>
        <v/>
      </c>
    </row>
    <row r="2949" spans="20:20" x14ac:dyDescent="0.3">
      <c r="T2949" s="47" t="str">
        <f ca="1">IF(R2949="","",IFERROR(TODAY()+VLOOKUP(R2949,REGRAS!$B$2:$C$13,2,0),""))</f>
        <v/>
      </c>
    </row>
    <row r="2950" spans="20:20" x14ac:dyDescent="0.3">
      <c r="T2950" s="47" t="str">
        <f ca="1">IF(R2950="","",IFERROR(TODAY()+VLOOKUP(R2950,REGRAS!$B$2:$C$13,2,0),""))</f>
        <v/>
      </c>
    </row>
    <row r="2951" spans="20:20" x14ac:dyDescent="0.3">
      <c r="T2951" s="47" t="str">
        <f ca="1">IF(R2951="","",IFERROR(TODAY()+VLOOKUP(R2951,REGRAS!$B$2:$C$13,2,0),""))</f>
        <v/>
      </c>
    </row>
    <row r="2952" spans="20:20" x14ac:dyDescent="0.3">
      <c r="T2952" s="47" t="str">
        <f ca="1">IF(R2952="","",IFERROR(TODAY()+VLOOKUP(R2952,REGRAS!$B$2:$C$13,2,0),""))</f>
        <v/>
      </c>
    </row>
    <row r="2953" spans="20:20" x14ac:dyDescent="0.3">
      <c r="T2953" s="47" t="str">
        <f ca="1">IF(R2953="","",IFERROR(TODAY()+VLOOKUP(R2953,REGRAS!$B$2:$C$13,2,0),""))</f>
        <v/>
      </c>
    </row>
    <row r="2954" spans="20:20" x14ac:dyDescent="0.3">
      <c r="T2954" s="47" t="str">
        <f ca="1">IF(R2954="","",IFERROR(TODAY()+VLOOKUP(R2954,REGRAS!$B$2:$C$13,2,0),""))</f>
        <v/>
      </c>
    </row>
    <row r="2955" spans="20:20" x14ac:dyDescent="0.3">
      <c r="T2955" s="47" t="str">
        <f ca="1">IF(R2955="","",IFERROR(TODAY()+VLOOKUP(R2955,REGRAS!$B$2:$C$13,2,0),""))</f>
        <v/>
      </c>
    </row>
    <row r="2956" spans="20:20" x14ac:dyDescent="0.3">
      <c r="T2956" s="47" t="str">
        <f ca="1">IF(R2956="","",IFERROR(TODAY()+VLOOKUP(R2956,REGRAS!$B$2:$C$13,2,0),""))</f>
        <v/>
      </c>
    </row>
    <row r="2957" spans="20:20" x14ac:dyDescent="0.3">
      <c r="T2957" s="47" t="str">
        <f ca="1">IF(R2957="","",IFERROR(TODAY()+VLOOKUP(R2957,REGRAS!$B$2:$C$13,2,0),""))</f>
        <v/>
      </c>
    </row>
    <row r="2958" spans="20:20" x14ac:dyDescent="0.3">
      <c r="T2958" s="47" t="str">
        <f ca="1">IF(R2958="","",IFERROR(TODAY()+VLOOKUP(R2958,REGRAS!$B$2:$C$13,2,0),""))</f>
        <v/>
      </c>
    </row>
    <row r="2959" spans="20:20" x14ac:dyDescent="0.3">
      <c r="T2959" s="47" t="str">
        <f ca="1">IF(R2959="","",IFERROR(TODAY()+VLOOKUP(R2959,REGRAS!$B$2:$C$13,2,0),""))</f>
        <v/>
      </c>
    </row>
    <row r="2960" spans="20:20" x14ac:dyDescent="0.3">
      <c r="T2960" s="47" t="str">
        <f ca="1">IF(R2960="","",IFERROR(TODAY()+VLOOKUP(R2960,REGRAS!$B$2:$C$13,2,0),""))</f>
        <v/>
      </c>
    </row>
    <row r="2961" spans="20:20" x14ac:dyDescent="0.3">
      <c r="T2961" s="47" t="str">
        <f ca="1">IF(R2961="","",IFERROR(TODAY()+VLOOKUP(R2961,REGRAS!$B$2:$C$13,2,0),""))</f>
        <v/>
      </c>
    </row>
    <row r="2962" spans="20:20" x14ac:dyDescent="0.3">
      <c r="T2962" s="47" t="str">
        <f ca="1">IF(R2962="","",IFERROR(TODAY()+VLOOKUP(R2962,REGRAS!$B$2:$C$13,2,0),""))</f>
        <v/>
      </c>
    </row>
    <row r="2963" spans="20:20" x14ac:dyDescent="0.3">
      <c r="T2963" s="47" t="str">
        <f ca="1">IF(R2963="","",IFERROR(TODAY()+VLOOKUP(R2963,REGRAS!$B$2:$C$13,2,0),""))</f>
        <v/>
      </c>
    </row>
    <row r="2964" spans="20:20" x14ac:dyDescent="0.3">
      <c r="T2964" s="47" t="str">
        <f ca="1">IF(R2964="","",IFERROR(TODAY()+VLOOKUP(R2964,REGRAS!$B$2:$C$13,2,0),""))</f>
        <v/>
      </c>
    </row>
    <row r="2965" spans="20:20" x14ac:dyDescent="0.3">
      <c r="T2965" s="47" t="str">
        <f ca="1">IF(R2965="","",IFERROR(TODAY()+VLOOKUP(R2965,REGRAS!$B$2:$C$13,2,0),""))</f>
        <v/>
      </c>
    </row>
    <row r="2966" spans="20:20" x14ac:dyDescent="0.3">
      <c r="T2966" s="47" t="str">
        <f ca="1">IF(R2966="","",IFERROR(TODAY()+VLOOKUP(R2966,REGRAS!$B$2:$C$13,2,0),""))</f>
        <v/>
      </c>
    </row>
    <row r="2967" spans="20:20" x14ac:dyDescent="0.3">
      <c r="T2967" s="47" t="str">
        <f ca="1">IF(R2967="","",IFERROR(TODAY()+VLOOKUP(R2967,REGRAS!$B$2:$C$13,2,0),""))</f>
        <v/>
      </c>
    </row>
    <row r="2968" spans="20:20" x14ac:dyDescent="0.3">
      <c r="T2968" s="47" t="str">
        <f ca="1">IF(R2968="","",IFERROR(TODAY()+VLOOKUP(R2968,REGRAS!$B$2:$C$13,2,0),""))</f>
        <v/>
      </c>
    </row>
    <row r="2969" spans="20:20" x14ac:dyDescent="0.3">
      <c r="T2969" s="47" t="str">
        <f ca="1">IF(R2969="","",IFERROR(TODAY()+VLOOKUP(R2969,REGRAS!$B$2:$C$13,2,0),""))</f>
        <v/>
      </c>
    </row>
    <row r="2970" spans="20:20" x14ac:dyDescent="0.3">
      <c r="T2970" s="47" t="str">
        <f ca="1">IF(R2970="","",IFERROR(TODAY()+VLOOKUP(R2970,REGRAS!$B$2:$C$13,2,0),""))</f>
        <v/>
      </c>
    </row>
    <row r="2971" spans="20:20" x14ac:dyDescent="0.3">
      <c r="T2971" s="47" t="str">
        <f ca="1">IF(R2971="","",IFERROR(TODAY()+VLOOKUP(R2971,REGRAS!$B$2:$C$13,2,0),""))</f>
        <v/>
      </c>
    </row>
    <row r="2972" spans="20:20" x14ac:dyDescent="0.3">
      <c r="T2972" s="47" t="str">
        <f ca="1">IF(R2972="","",IFERROR(TODAY()+VLOOKUP(R2972,REGRAS!$B$2:$C$13,2,0),""))</f>
        <v/>
      </c>
    </row>
    <row r="2973" spans="20:20" x14ac:dyDescent="0.3">
      <c r="T2973" s="47" t="str">
        <f ca="1">IF(R2973="","",IFERROR(TODAY()+VLOOKUP(R2973,REGRAS!$B$2:$C$13,2,0),""))</f>
        <v/>
      </c>
    </row>
    <row r="2974" spans="20:20" x14ac:dyDescent="0.3">
      <c r="T2974" s="47" t="str">
        <f ca="1">IF(R2974="","",IFERROR(TODAY()+VLOOKUP(R2974,REGRAS!$B$2:$C$13,2,0),""))</f>
        <v/>
      </c>
    </row>
    <row r="2975" spans="20:20" x14ac:dyDescent="0.3">
      <c r="T2975" s="47" t="str">
        <f ca="1">IF(R2975="","",IFERROR(TODAY()+VLOOKUP(R2975,REGRAS!$B$2:$C$13,2,0),""))</f>
        <v/>
      </c>
    </row>
    <row r="2976" spans="20:20" x14ac:dyDescent="0.3">
      <c r="T2976" s="47" t="str">
        <f ca="1">IF(R2976="","",IFERROR(TODAY()+VLOOKUP(R2976,REGRAS!$B$2:$C$13,2,0),""))</f>
        <v/>
      </c>
    </row>
    <row r="2977" spans="20:20" x14ac:dyDescent="0.3">
      <c r="T2977" s="47" t="str">
        <f ca="1">IF(R2977="","",IFERROR(TODAY()+VLOOKUP(R2977,REGRAS!$B$2:$C$13,2,0),""))</f>
        <v/>
      </c>
    </row>
    <row r="2978" spans="20:20" x14ac:dyDescent="0.3">
      <c r="T2978" s="47" t="str">
        <f ca="1">IF(R2978="","",IFERROR(TODAY()+VLOOKUP(R2978,REGRAS!$B$2:$C$13,2,0),""))</f>
        <v/>
      </c>
    </row>
    <row r="2979" spans="20:20" x14ac:dyDescent="0.3">
      <c r="T2979" s="47" t="str">
        <f ca="1">IF(R2979="","",IFERROR(TODAY()+VLOOKUP(R2979,REGRAS!$B$2:$C$13,2,0),""))</f>
        <v/>
      </c>
    </row>
    <row r="2980" spans="20:20" x14ac:dyDescent="0.3">
      <c r="T2980" s="47" t="str">
        <f ca="1">IF(R2980="","",IFERROR(TODAY()+VLOOKUP(R2980,REGRAS!$B$2:$C$13,2,0),""))</f>
        <v/>
      </c>
    </row>
    <row r="2981" spans="20:20" x14ac:dyDescent="0.3">
      <c r="T2981" s="47" t="str">
        <f ca="1">IF(R2981="","",IFERROR(TODAY()+VLOOKUP(R2981,REGRAS!$B$2:$C$13,2,0),""))</f>
        <v/>
      </c>
    </row>
    <row r="2982" spans="20:20" x14ac:dyDescent="0.3">
      <c r="T2982" s="47" t="str">
        <f ca="1">IF(R2982="","",IFERROR(TODAY()+VLOOKUP(R2982,REGRAS!$B$2:$C$13,2,0),""))</f>
        <v/>
      </c>
    </row>
    <row r="2983" spans="20:20" x14ac:dyDescent="0.3">
      <c r="T2983" s="47" t="str">
        <f ca="1">IF(R2983="","",IFERROR(TODAY()+VLOOKUP(R2983,REGRAS!$B$2:$C$13,2,0),""))</f>
        <v/>
      </c>
    </row>
    <row r="2984" spans="20:20" x14ac:dyDescent="0.3">
      <c r="T2984" s="47" t="str">
        <f ca="1">IF(R2984="","",IFERROR(TODAY()+VLOOKUP(R2984,REGRAS!$B$2:$C$13,2,0),""))</f>
        <v/>
      </c>
    </row>
    <row r="2985" spans="20:20" x14ac:dyDescent="0.3">
      <c r="T2985" s="47" t="str">
        <f ca="1">IF(R2985="","",IFERROR(TODAY()+VLOOKUP(R2985,REGRAS!$B$2:$C$13,2,0),""))</f>
        <v/>
      </c>
    </row>
    <row r="2986" spans="20:20" x14ac:dyDescent="0.3">
      <c r="T2986" s="47" t="str">
        <f ca="1">IF(R2986="","",IFERROR(TODAY()+VLOOKUP(R2986,REGRAS!$B$2:$C$13,2,0),""))</f>
        <v/>
      </c>
    </row>
    <row r="2987" spans="20:20" x14ac:dyDescent="0.3">
      <c r="T2987" s="47" t="str">
        <f ca="1">IF(R2987="","",IFERROR(TODAY()+VLOOKUP(R2987,REGRAS!$B$2:$C$13,2,0),""))</f>
        <v/>
      </c>
    </row>
    <row r="2988" spans="20:20" x14ac:dyDescent="0.3">
      <c r="T2988" s="47" t="str">
        <f ca="1">IF(R2988="","",IFERROR(TODAY()+VLOOKUP(R2988,REGRAS!$B$2:$C$13,2,0),""))</f>
        <v/>
      </c>
    </row>
    <row r="2989" spans="20:20" x14ac:dyDescent="0.3">
      <c r="T2989" s="47" t="str">
        <f ca="1">IF(R2989="","",IFERROR(TODAY()+VLOOKUP(R2989,REGRAS!$B$2:$C$13,2,0),""))</f>
        <v/>
      </c>
    </row>
    <row r="2990" spans="20:20" x14ac:dyDescent="0.3">
      <c r="T2990" s="47" t="str">
        <f ca="1">IF(R2990="","",IFERROR(TODAY()+VLOOKUP(R2990,REGRAS!$B$2:$C$13,2,0),""))</f>
        <v/>
      </c>
    </row>
    <row r="2991" spans="20:20" x14ac:dyDescent="0.3">
      <c r="T2991" s="47" t="str">
        <f ca="1">IF(R2991="","",IFERROR(TODAY()+VLOOKUP(R2991,REGRAS!$B$2:$C$13,2,0),""))</f>
        <v/>
      </c>
    </row>
    <row r="2992" spans="20:20" x14ac:dyDescent="0.3">
      <c r="T2992" s="47" t="str">
        <f ca="1">IF(R2992="","",IFERROR(TODAY()+VLOOKUP(R2992,REGRAS!$B$2:$C$13,2,0),""))</f>
        <v/>
      </c>
    </row>
    <row r="2993" spans="20:20" x14ac:dyDescent="0.3">
      <c r="T2993" s="47" t="str">
        <f ca="1">IF(R2993="","",IFERROR(TODAY()+VLOOKUP(R2993,REGRAS!$B$2:$C$13,2,0),""))</f>
        <v/>
      </c>
    </row>
    <row r="2994" spans="20:20" x14ac:dyDescent="0.3">
      <c r="T2994" s="47" t="str">
        <f ca="1">IF(R2994="","",IFERROR(TODAY()+VLOOKUP(R2994,REGRAS!$B$2:$C$13,2,0),""))</f>
        <v/>
      </c>
    </row>
    <row r="2995" spans="20:20" x14ac:dyDescent="0.3">
      <c r="T2995" s="47" t="str">
        <f ca="1">IF(R2995="","",IFERROR(TODAY()+VLOOKUP(R2995,REGRAS!$B$2:$C$13,2,0),""))</f>
        <v/>
      </c>
    </row>
    <row r="2996" spans="20:20" x14ac:dyDescent="0.3">
      <c r="T2996" s="47" t="str">
        <f ca="1">IF(R2996="","",IFERROR(TODAY()+VLOOKUP(R2996,REGRAS!$B$2:$C$13,2,0),""))</f>
        <v/>
      </c>
    </row>
    <row r="2997" spans="20:20" x14ac:dyDescent="0.3">
      <c r="T2997" s="47" t="str">
        <f ca="1">IF(R2997="","",IFERROR(TODAY()+VLOOKUP(R2997,REGRAS!$B$2:$C$13,2,0),""))</f>
        <v/>
      </c>
    </row>
    <row r="2998" spans="20:20" x14ac:dyDescent="0.3">
      <c r="T2998" s="47" t="str">
        <f ca="1">IF(R2998="","",IFERROR(TODAY()+VLOOKUP(R2998,REGRAS!$B$2:$C$13,2,0),""))</f>
        <v/>
      </c>
    </row>
    <row r="2999" spans="20:20" x14ac:dyDescent="0.3">
      <c r="T2999" s="47" t="str">
        <f ca="1">IF(R2999="","",IFERROR(TODAY()+VLOOKUP(R2999,REGRAS!$B$2:$C$13,2,0),""))</f>
        <v/>
      </c>
    </row>
    <row r="3000" spans="20:20" x14ac:dyDescent="0.3">
      <c r="T3000" s="47" t="str">
        <f ca="1">IF(R3000="","",IFERROR(TODAY()+VLOOKUP(R3000,REGRAS!$B$2:$C$13,2,0),""))</f>
        <v/>
      </c>
    </row>
    <row r="3001" spans="20:20" x14ac:dyDescent="0.3">
      <c r="T3001" s="47" t="str">
        <f ca="1">IF(R3001="","",IFERROR(TODAY()+VLOOKUP(R3001,REGRAS!$B$2:$C$13,2,0),""))</f>
        <v/>
      </c>
    </row>
    <row r="3002" spans="20:20" x14ac:dyDescent="0.3">
      <c r="T3002" s="47" t="str">
        <f ca="1">IF(R3002="","",IFERROR(TODAY()+VLOOKUP(R3002,REGRAS!$B$2:$C$13,2,0),""))</f>
        <v/>
      </c>
    </row>
    <row r="3003" spans="20:20" x14ac:dyDescent="0.3">
      <c r="T3003" s="47" t="str">
        <f ca="1">IF(R3003="","",IFERROR(TODAY()+VLOOKUP(R3003,REGRAS!$B$2:$C$13,2,0),""))</f>
        <v/>
      </c>
    </row>
    <row r="3004" spans="20:20" x14ac:dyDescent="0.3">
      <c r="T3004" s="47" t="str">
        <f ca="1">IF(R3004="","",IFERROR(TODAY()+VLOOKUP(R3004,REGRAS!$B$2:$C$13,2,0),""))</f>
        <v/>
      </c>
    </row>
    <row r="3005" spans="20:20" x14ac:dyDescent="0.3">
      <c r="T3005" s="47" t="str">
        <f ca="1">IF(R3005="","",IFERROR(TODAY()+VLOOKUP(R3005,REGRAS!$B$2:$C$13,2,0),""))</f>
        <v/>
      </c>
    </row>
    <row r="3006" spans="20:20" x14ac:dyDescent="0.3">
      <c r="T3006" s="47" t="str">
        <f ca="1">IF(R3006="","",IFERROR(TODAY()+VLOOKUP(R3006,REGRAS!$B$2:$C$13,2,0),""))</f>
        <v/>
      </c>
    </row>
    <row r="3007" spans="20:20" x14ac:dyDescent="0.3">
      <c r="T3007" s="47" t="str">
        <f ca="1">IF(R3007="","",IFERROR(TODAY()+VLOOKUP(R3007,REGRAS!$B$2:$C$13,2,0),""))</f>
        <v/>
      </c>
    </row>
    <row r="3008" spans="20:20" x14ac:dyDescent="0.3">
      <c r="T3008" s="47" t="str">
        <f ca="1">IF(R3008="","",IFERROR(TODAY()+VLOOKUP(R3008,REGRAS!$B$2:$C$13,2,0),""))</f>
        <v/>
      </c>
    </row>
    <row r="3009" spans="20:20" x14ac:dyDescent="0.3">
      <c r="T3009" s="47" t="str">
        <f ca="1">IF(R3009="","",IFERROR(TODAY()+VLOOKUP(R3009,REGRAS!$B$2:$C$13,2,0),""))</f>
        <v/>
      </c>
    </row>
    <row r="3010" spans="20:20" x14ac:dyDescent="0.3">
      <c r="T3010" s="47" t="str">
        <f ca="1">IF(R3010="","",IFERROR(TODAY()+VLOOKUP(R3010,REGRAS!$B$2:$C$13,2,0),""))</f>
        <v/>
      </c>
    </row>
    <row r="3011" spans="20:20" x14ac:dyDescent="0.3">
      <c r="T3011" s="47" t="str">
        <f ca="1">IF(R3011="","",IFERROR(TODAY()+VLOOKUP(R3011,REGRAS!$B$2:$C$13,2,0),""))</f>
        <v/>
      </c>
    </row>
    <row r="3012" spans="20:20" x14ac:dyDescent="0.3">
      <c r="T3012" s="47" t="str">
        <f ca="1">IF(R3012="","",IFERROR(TODAY()+VLOOKUP(R3012,REGRAS!$B$2:$C$13,2,0),""))</f>
        <v/>
      </c>
    </row>
    <row r="3013" spans="20:20" x14ac:dyDescent="0.3">
      <c r="T3013" s="47" t="str">
        <f ca="1">IF(R3013="","",IFERROR(TODAY()+VLOOKUP(R3013,REGRAS!$B$2:$C$13,2,0),""))</f>
        <v/>
      </c>
    </row>
    <row r="3014" spans="20:20" x14ac:dyDescent="0.3">
      <c r="T3014" s="47" t="str">
        <f ca="1">IF(R3014="","",IFERROR(TODAY()+VLOOKUP(R3014,REGRAS!$B$2:$C$13,2,0),""))</f>
        <v/>
      </c>
    </row>
    <row r="3015" spans="20:20" x14ac:dyDescent="0.3">
      <c r="T3015" s="47" t="str">
        <f ca="1">IF(R3015="","",IFERROR(TODAY()+VLOOKUP(R3015,REGRAS!$B$2:$C$13,2,0),""))</f>
        <v/>
      </c>
    </row>
    <row r="3016" spans="20:20" x14ac:dyDescent="0.3">
      <c r="T3016" s="47" t="str">
        <f ca="1">IF(R3016="","",IFERROR(TODAY()+VLOOKUP(R3016,REGRAS!$B$2:$C$13,2,0),""))</f>
        <v/>
      </c>
    </row>
    <row r="3017" spans="20:20" x14ac:dyDescent="0.3">
      <c r="T3017" s="47" t="str">
        <f ca="1">IF(R3017="","",IFERROR(TODAY()+VLOOKUP(R3017,REGRAS!$B$2:$C$13,2,0),""))</f>
        <v/>
      </c>
    </row>
    <row r="3018" spans="20:20" x14ac:dyDescent="0.3">
      <c r="T3018" s="47" t="str">
        <f ca="1">IF(R3018="","",IFERROR(TODAY()+VLOOKUP(R3018,REGRAS!$B$2:$C$13,2,0),""))</f>
        <v/>
      </c>
    </row>
    <row r="3019" spans="20:20" x14ac:dyDescent="0.3">
      <c r="T3019" s="47" t="str">
        <f ca="1">IF(R3019="","",IFERROR(TODAY()+VLOOKUP(R3019,REGRAS!$B$2:$C$13,2,0),""))</f>
        <v/>
      </c>
    </row>
    <row r="3020" spans="20:20" x14ac:dyDescent="0.3">
      <c r="T3020" s="47" t="str">
        <f ca="1">IF(R3020="","",IFERROR(TODAY()+VLOOKUP(R3020,REGRAS!$B$2:$C$13,2,0),""))</f>
        <v/>
      </c>
    </row>
    <row r="3021" spans="20:20" x14ac:dyDescent="0.3">
      <c r="T3021" s="47" t="str">
        <f ca="1">IF(R3021="","",IFERROR(TODAY()+VLOOKUP(R3021,REGRAS!$B$2:$C$13,2,0),""))</f>
        <v/>
      </c>
    </row>
    <row r="3022" spans="20:20" x14ac:dyDescent="0.3">
      <c r="T3022" s="47" t="str">
        <f ca="1">IF(R3022="","",IFERROR(TODAY()+VLOOKUP(R3022,REGRAS!$B$2:$C$13,2,0),""))</f>
        <v/>
      </c>
    </row>
    <row r="3023" spans="20:20" x14ac:dyDescent="0.3">
      <c r="T3023" s="47" t="str">
        <f ca="1">IF(R3023="","",IFERROR(TODAY()+VLOOKUP(R3023,REGRAS!$B$2:$C$13,2,0),""))</f>
        <v/>
      </c>
    </row>
    <row r="3024" spans="20:20" x14ac:dyDescent="0.3">
      <c r="T3024" s="47" t="str">
        <f ca="1">IF(R3024="","",IFERROR(TODAY()+VLOOKUP(R3024,REGRAS!$B$2:$C$13,2,0),""))</f>
        <v/>
      </c>
    </row>
    <row r="3025" spans="20:20" x14ac:dyDescent="0.3">
      <c r="T3025" s="47" t="str">
        <f ca="1">IF(R3025="","",IFERROR(TODAY()+VLOOKUP(R3025,REGRAS!$B$2:$C$13,2,0),""))</f>
        <v/>
      </c>
    </row>
    <row r="3026" spans="20:20" x14ac:dyDescent="0.3">
      <c r="T3026" s="47" t="str">
        <f ca="1">IF(R3026="","",IFERROR(TODAY()+VLOOKUP(R3026,REGRAS!$B$2:$C$13,2,0),""))</f>
        <v/>
      </c>
    </row>
    <row r="3027" spans="20:20" x14ac:dyDescent="0.3">
      <c r="T3027" s="47" t="str">
        <f ca="1">IF(R3027="","",IFERROR(TODAY()+VLOOKUP(R3027,REGRAS!$B$2:$C$13,2,0),""))</f>
        <v/>
      </c>
    </row>
    <row r="3028" spans="20:20" x14ac:dyDescent="0.3">
      <c r="T3028" s="47" t="str">
        <f ca="1">IF(R3028="","",IFERROR(TODAY()+VLOOKUP(R3028,REGRAS!$B$2:$C$13,2,0),""))</f>
        <v/>
      </c>
    </row>
    <row r="3029" spans="20:20" x14ac:dyDescent="0.3">
      <c r="T3029" s="47" t="str">
        <f ca="1">IF(R3029="","",IFERROR(TODAY()+VLOOKUP(R3029,REGRAS!$B$2:$C$13,2,0),""))</f>
        <v/>
      </c>
    </row>
    <row r="3030" spans="20:20" x14ac:dyDescent="0.3">
      <c r="T3030" s="47" t="str">
        <f ca="1">IF(R3030="","",IFERROR(TODAY()+VLOOKUP(R3030,REGRAS!$B$2:$C$13,2,0),""))</f>
        <v/>
      </c>
    </row>
    <row r="3031" spans="20:20" x14ac:dyDescent="0.3">
      <c r="T3031" s="47" t="str">
        <f ca="1">IF(R3031="","",IFERROR(TODAY()+VLOOKUP(R3031,REGRAS!$B$2:$C$13,2,0),""))</f>
        <v/>
      </c>
    </row>
    <row r="3032" spans="20:20" x14ac:dyDescent="0.3">
      <c r="T3032" s="47" t="str">
        <f ca="1">IF(R3032="","",IFERROR(TODAY()+VLOOKUP(R3032,REGRAS!$B$2:$C$13,2,0),""))</f>
        <v/>
      </c>
    </row>
    <row r="3033" spans="20:20" x14ac:dyDescent="0.3">
      <c r="T3033" s="47" t="str">
        <f ca="1">IF(R3033="","",IFERROR(TODAY()+VLOOKUP(R3033,REGRAS!$B$2:$C$13,2,0),""))</f>
        <v/>
      </c>
    </row>
    <row r="3034" spans="20:20" x14ac:dyDescent="0.3">
      <c r="T3034" s="47" t="str">
        <f ca="1">IF(R3034="","",IFERROR(TODAY()+VLOOKUP(R3034,REGRAS!$B$2:$C$13,2,0),""))</f>
        <v/>
      </c>
    </row>
    <row r="3035" spans="20:20" x14ac:dyDescent="0.3">
      <c r="T3035" s="47" t="str">
        <f ca="1">IF(R3035="","",IFERROR(TODAY()+VLOOKUP(R3035,REGRAS!$B$2:$C$13,2,0),""))</f>
        <v/>
      </c>
    </row>
    <row r="3036" spans="20:20" x14ac:dyDescent="0.3">
      <c r="T3036" s="47" t="str">
        <f ca="1">IF(R3036="","",IFERROR(TODAY()+VLOOKUP(R3036,REGRAS!$B$2:$C$13,2,0),""))</f>
        <v/>
      </c>
    </row>
    <row r="3037" spans="20:20" x14ac:dyDescent="0.3">
      <c r="T3037" s="47" t="str">
        <f ca="1">IF(R3037="","",IFERROR(TODAY()+VLOOKUP(R3037,REGRAS!$B$2:$C$13,2,0),""))</f>
        <v/>
      </c>
    </row>
    <row r="3038" spans="20:20" x14ac:dyDescent="0.3">
      <c r="T3038" s="47" t="str">
        <f ca="1">IF(R3038="","",IFERROR(TODAY()+VLOOKUP(R3038,REGRAS!$B$2:$C$13,2,0),""))</f>
        <v/>
      </c>
    </row>
    <row r="3039" spans="20:20" x14ac:dyDescent="0.3">
      <c r="T3039" s="47" t="str">
        <f ca="1">IF(R3039="","",IFERROR(TODAY()+VLOOKUP(R3039,REGRAS!$B$2:$C$13,2,0),""))</f>
        <v/>
      </c>
    </row>
    <row r="3040" spans="20:20" x14ac:dyDescent="0.3">
      <c r="T3040" s="47" t="str">
        <f ca="1">IF(R3040="","",IFERROR(TODAY()+VLOOKUP(R3040,REGRAS!$B$2:$C$13,2,0),""))</f>
        <v/>
      </c>
    </row>
    <row r="3041" spans="20:20" x14ac:dyDescent="0.3">
      <c r="T3041" s="47" t="str">
        <f ca="1">IF(R3041="","",IFERROR(TODAY()+VLOOKUP(R3041,REGRAS!$B$2:$C$13,2,0),""))</f>
        <v/>
      </c>
    </row>
    <row r="3042" spans="20:20" x14ac:dyDescent="0.3">
      <c r="T3042" s="47" t="str">
        <f ca="1">IF(R3042="","",IFERROR(TODAY()+VLOOKUP(R3042,REGRAS!$B$2:$C$13,2,0),""))</f>
        <v/>
      </c>
    </row>
    <row r="3043" spans="20:20" x14ac:dyDescent="0.3">
      <c r="T3043" s="47" t="str">
        <f ca="1">IF(R3043="","",IFERROR(TODAY()+VLOOKUP(R3043,REGRAS!$B$2:$C$13,2,0),""))</f>
        <v/>
      </c>
    </row>
    <row r="3044" spans="20:20" x14ac:dyDescent="0.3">
      <c r="T3044" s="47" t="str">
        <f ca="1">IF(R3044="","",IFERROR(TODAY()+VLOOKUP(R3044,REGRAS!$B$2:$C$13,2,0),""))</f>
        <v/>
      </c>
    </row>
    <row r="3045" spans="20:20" x14ac:dyDescent="0.3">
      <c r="T3045" s="47" t="str">
        <f ca="1">IF(R3045="","",IFERROR(TODAY()+VLOOKUP(R3045,REGRAS!$B$2:$C$13,2,0),""))</f>
        <v/>
      </c>
    </row>
    <row r="3046" spans="20:20" x14ac:dyDescent="0.3">
      <c r="T3046" s="47" t="str">
        <f ca="1">IF(R3046="","",IFERROR(TODAY()+VLOOKUP(R3046,REGRAS!$B$2:$C$13,2,0),""))</f>
        <v/>
      </c>
    </row>
    <row r="3047" spans="20:20" x14ac:dyDescent="0.3">
      <c r="T3047" s="47" t="str">
        <f ca="1">IF(R3047="","",IFERROR(TODAY()+VLOOKUP(R3047,REGRAS!$B$2:$C$13,2,0),""))</f>
        <v/>
      </c>
    </row>
    <row r="3048" spans="20:20" x14ac:dyDescent="0.3">
      <c r="T3048" s="47" t="str">
        <f ca="1">IF(R3048="","",IFERROR(TODAY()+VLOOKUP(R3048,REGRAS!$B$2:$C$13,2,0),""))</f>
        <v/>
      </c>
    </row>
    <row r="3049" spans="20:20" x14ac:dyDescent="0.3">
      <c r="T3049" s="47" t="str">
        <f ca="1">IF(R3049="","",IFERROR(TODAY()+VLOOKUP(R3049,REGRAS!$B$2:$C$13,2,0),""))</f>
        <v/>
      </c>
    </row>
    <row r="3050" spans="20:20" x14ac:dyDescent="0.3">
      <c r="T3050" s="47" t="str">
        <f ca="1">IF(R3050="","",IFERROR(TODAY()+VLOOKUP(R3050,REGRAS!$B$2:$C$13,2,0),""))</f>
        <v/>
      </c>
    </row>
    <row r="3051" spans="20:20" x14ac:dyDescent="0.3">
      <c r="T3051" s="47" t="str">
        <f ca="1">IF(R3051="","",IFERROR(TODAY()+VLOOKUP(R3051,REGRAS!$B$2:$C$13,2,0),""))</f>
        <v/>
      </c>
    </row>
    <row r="3052" spans="20:20" x14ac:dyDescent="0.3">
      <c r="T3052" s="47" t="str">
        <f ca="1">IF(R3052="","",IFERROR(TODAY()+VLOOKUP(R3052,REGRAS!$B$2:$C$13,2,0),""))</f>
        <v/>
      </c>
    </row>
    <row r="3053" spans="20:20" x14ac:dyDescent="0.3">
      <c r="T3053" s="47" t="str">
        <f ca="1">IF(R3053="","",IFERROR(TODAY()+VLOOKUP(R3053,REGRAS!$B$2:$C$13,2,0),""))</f>
        <v/>
      </c>
    </row>
    <row r="3054" spans="20:20" x14ac:dyDescent="0.3">
      <c r="T3054" s="47" t="str">
        <f ca="1">IF(R3054="","",IFERROR(TODAY()+VLOOKUP(R3054,REGRAS!$B$2:$C$13,2,0),""))</f>
        <v/>
      </c>
    </row>
    <row r="3055" spans="20:20" x14ac:dyDescent="0.3">
      <c r="T3055" s="47" t="str">
        <f ca="1">IF(R3055="","",IFERROR(TODAY()+VLOOKUP(R3055,REGRAS!$B$2:$C$13,2,0),""))</f>
        <v/>
      </c>
    </row>
    <row r="3056" spans="20:20" x14ac:dyDescent="0.3">
      <c r="T3056" s="47" t="str">
        <f ca="1">IF(R3056="","",IFERROR(TODAY()+VLOOKUP(R3056,REGRAS!$B$2:$C$13,2,0),""))</f>
        <v/>
      </c>
    </row>
    <row r="3057" spans="20:20" x14ac:dyDescent="0.3">
      <c r="T3057" s="47" t="str">
        <f ca="1">IF(R3057="","",IFERROR(TODAY()+VLOOKUP(R3057,REGRAS!$B$2:$C$13,2,0),""))</f>
        <v/>
      </c>
    </row>
    <row r="3058" spans="20:20" x14ac:dyDescent="0.3">
      <c r="T3058" s="47" t="str">
        <f ca="1">IF(R3058="","",IFERROR(TODAY()+VLOOKUP(R3058,REGRAS!$B$2:$C$13,2,0),""))</f>
        <v/>
      </c>
    </row>
    <row r="3059" spans="20:20" x14ac:dyDescent="0.3">
      <c r="T3059" s="47" t="str">
        <f ca="1">IF(R3059="","",IFERROR(TODAY()+VLOOKUP(R3059,REGRAS!$B$2:$C$13,2,0),""))</f>
        <v/>
      </c>
    </row>
    <row r="3060" spans="20:20" x14ac:dyDescent="0.3">
      <c r="T3060" s="47" t="str">
        <f ca="1">IF(R3060="","",IFERROR(TODAY()+VLOOKUP(R3060,REGRAS!$B$2:$C$13,2,0),""))</f>
        <v/>
      </c>
    </row>
    <row r="3061" spans="20:20" x14ac:dyDescent="0.3">
      <c r="T3061" s="47" t="str">
        <f ca="1">IF(R3061="","",IFERROR(TODAY()+VLOOKUP(R3061,REGRAS!$B$2:$C$13,2,0),""))</f>
        <v/>
      </c>
    </row>
    <row r="3062" spans="20:20" x14ac:dyDescent="0.3">
      <c r="T3062" s="47" t="str">
        <f ca="1">IF(R3062="","",IFERROR(TODAY()+VLOOKUP(R3062,REGRAS!$B$2:$C$13,2,0),""))</f>
        <v/>
      </c>
    </row>
    <row r="3063" spans="20:20" x14ac:dyDescent="0.3">
      <c r="T3063" s="47" t="str">
        <f ca="1">IF(R3063="","",IFERROR(TODAY()+VLOOKUP(R3063,REGRAS!$B$2:$C$13,2,0),""))</f>
        <v/>
      </c>
    </row>
    <row r="3064" spans="20:20" x14ac:dyDescent="0.3">
      <c r="T3064" s="47" t="str">
        <f ca="1">IF(R3064="","",IFERROR(TODAY()+VLOOKUP(R3064,REGRAS!$B$2:$C$13,2,0),""))</f>
        <v/>
      </c>
    </row>
    <row r="3065" spans="20:20" x14ac:dyDescent="0.3">
      <c r="T3065" s="47" t="str">
        <f ca="1">IF(R3065="","",IFERROR(TODAY()+VLOOKUP(R3065,REGRAS!$B$2:$C$13,2,0),""))</f>
        <v/>
      </c>
    </row>
    <row r="3066" spans="20:20" x14ac:dyDescent="0.3">
      <c r="T3066" s="47" t="str">
        <f ca="1">IF(R3066="","",IFERROR(TODAY()+VLOOKUP(R3066,REGRAS!$B$2:$C$13,2,0),""))</f>
        <v/>
      </c>
    </row>
    <row r="3067" spans="20:20" x14ac:dyDescent="0.3">
      <c r="T3067" s="47" t="str">
        <f ca="1">IF(R3067="","",IFERROR(TODAY()+VLOOKUP(R3067,REGRAS!$B$2:$C$13,2,0),""))</f>
        <v/>
      </c>
    </row>
    <row r="3068" spans="20:20" x14ac:dyDescent="0.3">
      <c r="T3068" s="47" t="str">
        <f ca="1">IF(R3068="","",IFERROR(TODAY()+VLOOKUP(R3068,REGRAS!$B$2:$C$13,2,0),""))</f>
        <v/>
      </c>
    </row>
    <row r="3069" spans="20:20" x14ac:dyDescent="0.3">
      <c r="T3069" s="47" t="str">
        <f ca="1">IF(R3069="","",IFERROR(TODAY()+VLOOKUP(R3069,REGRAS!$B$2:$C$13,2,0),""))</f>
        <v/>
      </c>
    </row>
    <row r="3070" spans="20:20" x14ac:dyDescent="0.3">
      <c r="T3070" s="47" t="str">
        <f ca="1">IF(R3070="","",IFERROR(TODAY()+VLOOKUP(R3070,REGRAS!$B$2:$C$13,2,0),""))</f>
        <v/>
      </c>
    </row>
    <row r="3071" spans="20:20" x14ac:dyDescent="0.3">
      <c r="T3071" s="47" t="str">
        <f ca="1">IF(R3071="","",IFERROR(TODAY()+VLOOKUP(R3071,REGRAS!$B$2:$C$13,2,0),""))</f>
        <v/>
      </c>
    </row>
    <row r="3072" spans="20:20" x14ac:dyDescent="0.3">
      <c r="T3072" s="47" t="str">
        <f ca="1">IF(R3072="","",IFERROR(TODAY()+VLOOKUP(R3072,REGRAS!$B$2:$C$13,2,0),""))</f>
        <v/>
      </c>
    </row>
    <row r="3073" spans="20:20" x14ac:dyDescent="0.3">
      <c r="T3073" s="47" t="str">
        <f ca="1">IF(R3073="","",IFERROR(TODAY()+VLOOKUP(R3073,REGRAS!$B$2:$C$13,2,0),""))</f>
        <v/>
      </c>
    </row>
    <row r="3074" spans="20:20" x14ac:dyDescent="0.3">
      <c r="T3074" s="47" t="str">
        <f ca="1">IF(R3074="","",IFERROR(TODAY()+VLOOKUP(R3074,REGRAS!$B$2:$C$13,2,0),""))</f>
        <v/>
      </c>
    </row>
    <row r="3075" spans="20:20" x14ac:dyDescent="0.3">
      <c r="T3075" s="47" t="str">
        <f ca="1">IF(R3075="","",IFERROR(TODAY()+VLOOKUP(R3075,REGRAS!$B$2:$C$13,2,0),""))</f>
        <v/>
      </c>
    </row>
    <row r="3076" spans="20:20" x14ac:dyDescent="0.3">
      <c r="T3076" s="47" t="str">
        <f ca="1">IF(R3076="","",IFERROR(TODAY()+VLOOKUP(R3076,REGRAS!$B$2:$C$13,2,0),""))</f>
        <v/>
      </c>
    </row>
    <row r="3077" spans="20:20" x14ac:dyDescent="0.3">
      <c r="T3077" s="47" t="str">
        <f ca="1">IF(R3077="","",IFERROR(TODAY()+VLOOKUP(R3077,REGRAS!$B$2:$C$13,2,0),""))</f>
        <v/>
      </c>
    </row>
    <row r="3078" spans="20:20" x14ac:dyDescent="0.3">
      <c r="T3078" s="47" t="str">
        <f ca="1">IF(R3078="","",IFERROR(TODAY()+VLOOKUP(R3078,REGRAS!$B$2:$C$13,2,0),""))</f>
        <v/>
      </c>
    </row>
    <row r="3079" spans="20:20" x14ac:dyDescent="0.3">
      <c r="T3079" s="47" t="str">
        <f ca="1">IF(R3079="","",IFERROR(TODAY()+VLOOKUP(R3079,REGRAS!$B$2:$C$13,2,0),""))</f>
        <v/>
      </c>
    </row>
    <row r="3080" spans="20:20" x14ac:dyDescent="0.3">
      <c r="T3080" s="47" t="str">
        <f ca="1">IF(R3080="","",IFERROR(TODAY()+VLOOKUP(R3080,REGRAS!$B$2:$C$13,2,0),""))</f>
        <v/>
      </c>
    </row>
    <row r="3081" spans="20:20" x14ac:dyDescent="0.3">
      <c r="T3081" s="47" t="str">
        <f ca="1">IF(R3081="","",IFERROR(TODAY()+VLOOKUP(R3081,REGRAS!$B$2:$C$13,2,0),""))</f>
        <v/>
      </c>
    </row>
    <row r="3082" spans="20:20" x14ac:dyDescent="0.3">
      <c r="T3082" s="47" t="str">
        <f ca="1">IF(R3082="","",IFERROR(TODAY()+VLOOKUP(R3082,REGRAS!$B$2:$C$13,2,0),""))</f>
        <v/>
      </c>
    </row>
    <row r="3083" spans="20:20" x14ac:dyDescent="0.3">
      <c r="T3083" s="47" t="str">
        <f ca="1">IF(R3083="","",IFERROR(TODAY()+VLOOKUP(R3083,REGRAS!$B$2:$C$13,2,0),""))</f>
        <v/>
      </c>
    </row>
    <row r="3084" spans="20:20" x14ac:dyDescent="0.3">
      <c r="T3084" s="47" t="str">
        <f ca="1">IF(R3084="","",IFERROR(TODAY()+VLOOKUP(R3084,REGRAS!$B$2:$C$13,2,0),""))</f>
        <v/>
      </c>
    </row>
    <row r="3085" spans="20:20" x14ac:dyDescent="0.3">
      <c r="T3085" s="47" t="str">
        <f ca="1">IF(R3085="","",IFERROR(TODAY()+VLOOKUP(R3085,REGRAS!$B$2:$C$13,2,0),""))</f>
        <v/>
      </c>
    </row>
    <row r="3086" spans="20:20" x14ac:dyDescent="0.3">
      <c r="T3086" s="47" t="str">
        <f ca="1">IF(R3086="","",IFERROR(TODAY()+VLOOKUP(R3086,REGRAS!$B$2:$C$13,2,0),""))</f>
        <v/>
      </c>
    </row>
    <row r="3087" spans="20:20" x14ac:dyDescent="0.3">
      <c r="T3087" s="47" t="str">
        <f ca="1">IF(R3087="","",IFERROR(TODAY()+VLOOKUP(R3087,REGRAS!$B$2:$C$13,2,0),""))</f>
        <v/>
      </c>
    </row>
    <row r="3088" spans="20:20" x14ac:dyDescent="0.3">
      <c r="T3088" s="47" t="str">
        <f ca="1">IF(R3088="","",IFERROR(TODAY()+VLOOKUP(R3088,REGRAS!$B$2:$C$13,2,0),""))</f>
        <v/>
      </c>
    </row>
    <row r="3089" spans="20:20" x14ac:dyDescent="0.3">
      <c r="T3089" s="47" t="str">
        <f ca="1">IF(R3089="","",IFERROR(TODAY()+VLOOKUP(R3089,REGRAS!$B$2:$C$13,2,0),""))</f>
        <v/>
      </c>
    </row>
    <row r="3090" spans="20:20" x14ac:dyDescent="0.3">
      <c r="T3090" s="47" t="str">
        <f ca="1">IF(R3090="","",IFERROR(TODAY()+VLOOKUP(R3090,REGRAS!$B$2:$C$13,2,0),""))</f>
        <v/>
      </c>
    </row>
    <row r="3091" spans="20:20" x14ac:dyDescent="0.3">
      <c r="T3091" s="47" t="str">
        <f ca="1">IF(R3091="","",IFERROR(TODAY()+VLOOKUP(R3091,REGRAS!$B$2:$C$13,2,0),""))</f>
        <v/>
      </c>
    </row>
    <row r="3092" spans="20:20" x14ac:dyDescent="0.3">
      <c r="T3092" s="47" t="str">
        <f ca="1">IF(R3092="","",IFERROR(TODAY()+VLOOKUP(R3092,REGRAS!$B$2:$C$13,2,0),""))</f>
        <v/>
      </c>
    </row>
    <row r="3093" spans="20:20" x14ac:dyDescent="0.3">
      <c r="T3093" s="47" t="str">
        <f ca="1">IF(R3093="","",IFERROR(TODAY()+VLOOKUP(R3093,REGRAS!$B$2:$C$13,2,0),""))</f>
        <v/>
      </c>
    </row>
    <row r="3094" spans="20:20" x14ac:dyDescent="0.3">
      <c r="T3094" s="47" t="str">
        <f ca="1">IF(R3094="","",IFERROR(TODAY()+VLOOKUP(R3094,REGRAS!$B$2:$C$13,2,0),""))</f>
        <v/>
      </c>
    </row>
    <row r="3095" spans="20:20" x14ac:dyDescent="0.3">
      <c r="T3095" s="47" t="str">
        <f ca="1">IF(R3095="","",IFERROR(TODAY()+VLOOKUP(R3095,REGRAS!$B$2:$C$13,2,0),""))</f>
        <v/>
      </c>
    </row>
    <row r="3096" spans="20:20" x14ac:dyDescent="0.3">
      <c r="T3096" s="47" t="str">
        <f ca="1">IF(R3096="","",IFERROR(TODAY()+VLOOKUP(R3096,REGRAS!$B$2:$C$13,2,0),""))</f>
        <v/>
      </c>
    </row>
    <row r="3097" spans="20:20" x14ac:dyDescent="0.3">
      <c r="T3097" s="47" t="str">
        <f ca="1">IF(R3097="","",IFERROR(TODAY()+VLOOKUP(R3097,REGRAS!$B$2:$C$13,2,0),""))</f>
        <v/>
      </c>
    </row>
    <row r="3098" spans="20:20" x14ac:dyDescent="0.3">
      <c r="T3098" s="47" t="str">
        <f ca="1">IF(R3098="","",IFERROR(TODAY()+VLOOKUP(R3098,REGRAS!$B$2:$C$13,2,0),""))</f>
        <v/>
      </c>
    </row>
    <row r="3099" spans="20:20" x14ac:dyDescent="0.3">
      <c r="T3099" s="47" t="str">
        <f ca="1">IF(R3099="","",IFERROR(TODAY()+VLOOKUP(R3099,REGRAS!$B$2:$C$13,2,0),""))</f>
        <v/>
      </c>
    </row>
    <row r="3100" spans="20:20" x14ac:dyDescent="0.3">
      <c r="T3100" s="47" t="str">
        <f ca="1">IF(R3100="","",IFERROR(TODAY()+VLOOKUP(R3100,REGRAS!$B$2:$C$13,2,0),""))</f>
        <v/>
      </c>
    </row>
    <row r="3101" spans="20:20" x14ac:dyDescent="0.3">
      <c r="T3101" s="47" t="str">
        <f ca="1">IF(R3101="","",IFERROR(TODAY()+VLOOKUP(R3101,REGRAS!$B$2:$C$13,2,0),""))</f>
        <v/>
      </c>
    </row>
    <row r="3102" spans="20:20" x14ac:dyDescent="0.3">
      <c r="T3102" s="47" t="str">
        <f ca="1">IF(R3102="","",IFERROR(TODAY()+VLOOKUP(R3102,REGRAS!$B$2:$C$13,2,0),""))</f>
        <v/>
      </c>
    </row>
    <row r="3103" spans="20:20" x14ac:dyDescent="0.3">
      <c r="T3103" s="47" t="str">
        <f ca="1">IF(R3103="","",IFERROR(TODAY()+VLOOKUP(R3103,REGRAS!$B$2:$C$13,2,0),""))</f>
        <v/>
      </c>
    </row>
    <row r="3104" spans="20:20" x14ac:dyDescent="0.3">
      <c r="T3104" s="47" t="str">
        <f ca="1">IF(R3104="","",IFERROR(TODAY()+VLOOKUP(R3104,REGRAS!$B$2:$C$13,2,0),""))</f>
        <v/>
      </c>
    </row>
    <row r="3105" spans="20:20" x14ac:dyDescent="0.3">
      <c r="T3105" s="47" t="str">
        <f ca="1">IF(R3105="","",IFERROR(TODAY()+VLOOKUP(R3105,REGRAS!$B$2:$C$13,2,0),""))</f>
        <v/>
      </c>
    </row>
    <row r="3106" spans="20:20" x14ac:dyDescent="0.3">
      <c r="T3106" s="47" t="str">
        <f ca="1">IF(R3106="","",IFERROR(TODAY()+VLOOKUP(R3106,REGRAS!$B$2:$C$13,2,0),""))</f>
        <v/>
      </c>
    </row>
    <row r="3107" spans="20:20" x14ac:dyDescent="0.3">
      <c r="T3107" s="47" t="str">
        <f ca="1">IF(R3107="","",IFERROR(TODAY()+VLOOKUP(R3107,REGRAS!$B$2:$C$13,2,0),""))</f>
        <v/>
      </c>
    </row>
    <row r="3108" spans="20:20" x14ac:dyDescent="0.3">
      <c r="T3108" s="47" t="str">
        <f ca="1">IF(R3108="","",IFERROR(TODAY()+VLOOKUP(R3108,REGRAS!$B$2:$C$13,2,0),""))</f>
        <v/>
      </c>
    </row>
    <row r="3109" spans="20:20" x14ac:dyDescent="0.3">
      <c r="T3109" s="47" t="str">
        <f ca="1">IF(R3109="","",IFERROR(TODAY()+VLOOKUP(R3109,REGRAS!$B$2:$C$13,2,0),""))</f>
        <v/>
      </c>
    </row>
    <row r="3110" spans="20:20" x14ac:dyDescent="0.3">
      <c r="T3110" s="47" t="str">
        <f ca="1">IF(R3110="","",IFERROR(TODAY()+VLOOKUP(R3110,REGRAS!$B$2:$C$13,2,0),""))</f>
        <v/>
      </c>
    </row>
    <row r="3111" spans="20:20" x14ac:dyDescent="0.3">
      <c r="T3111" s="47" t="str">
        <f ca="1">IF(R3111="","",IFERROR(TODAY()+VLOOKUP(R3111,REGRAS!$B$2:$C$13,2,0),""))</f>
        <v/>
      </c>
    </row>
    <row r="3112" spans="20:20" x14ac:dyDescent="0.3">
      <c r="T3112" s="47" t="str">
        <f ca="1">IF(R3112="","",IFERROR(TODAY()+VLOOKUP(R3112,REGRAS!$B$2:$C$13,2,0),""))</f>
        <v/>
      </c>
    </row>
    <row r="3113" spans="20:20" x14ac:dyDescent="0.3">
      <c r="T3113" s="47" t="str">
        <f ca="1">IF(R3113="","",IFERROR(TODAY()+VLOOKUP(R3113,REGRAS!$B$2:$C$13,2,0),""))</f>
        <v/>
      </c>
    </row>
    <row r="3114" spans="20:20" x14ac:dyDescent="0.3">
      <c r="T3114" s="47" t="str">
        <f ca="1">IF(R3114="","",IFERROR(TODAY()+VLOOKUP(R3114,REGRAS!$B$2:$C$13,2,0),""))</f>
        <v/>
      </c>
    </row>
    <row r="3115" spans="20:20" x14ac:dyDescent="0.3">
      <c r="T3115" s="47" t="str">
        <f ca="1">IF(R3115="","",IFERROR(TODAY()+VLOOKUP(R3115,REGRAS!$B$2:$C$13,2,0),""))</f>
        <v/>
      </c>
    </row>
    <row r="3116" spans="20:20" x14ac:dyDescent="0.3">
      <c r="T3116" s="47" t="str">
        <f ca="1">IF(R3116="","",IFERROR(TODAY()+VLOOKUP(R3116,REGRAS!$B$2:$C$13,2,0),""))</f>
        <v/>
      </c>
    </row>
    <row r="3117" spans="20:20" x14ac:dyDescent="0.3">
      <c r="T3117" s="47" t="str">
        <f ca="1">IF(R3117="","",IFERROR(TODAY()+VLOOKUP(R3117,REGRAS!$B$2:$C$13,2,0),""))</f>
        <v/>
      </c>
    </row>
    <row r="3118" spans="20:20" x14ac:dyDescent="0.3">
      <c r="T3118" s="47" t="str">
        <f ca="1">IF(R3118="","",IFERROR(TODAY()+VLOOKUP(R3118,REGRAS!$B$2:$C$13,2,0),""))</f>
        <v/>
      </c>
    </row>
    <row r="3119" spans="20:20" x14ac:dyDescent="0.3">
      <c r="T3119" s="47" t="str">
        <f ca="1">IF(R3119="","",IFERROR(TODAY()+VLOOKUP(R3119,REGRAS!$B$2:$C$13,2,0),""))</f>
        <v/>
      </c>
    </row>
    <row r="3120" spans="20:20" x14ac:dyDescent="0.3">
      <c r="T3120" s="47" t="str">
        <f ca="1">IF(R3120="","",IFERROR(TODAY()+VLOOKUP(R3120,REGRAS!$B$2:$C$13,2,0),""))</f>
        <v/>
      </c>
    </row>
    <row r="3121" spans="20:20" x14ac:dyDescent="0.3">
      <c r="T3121" s="47" t="str">
        <f ca="1">IF(R3121="","",IFERROR(TODAY()+VLOOKUP(R3121,REGRAS!$B$2:$C$13,2,0),""))</f>
        <v/>
      </c>
    </row>
    <row r="3122" spans="20:20" x14ac:dyDescent="0.3">
      <c r="T3122" s="47" t="str">
        <f ca="1">IF(R3122="","",IFERROR(TODAY()+VLOOKUP(R3122,REGRAS!$B$2:$C$13,2,0),""))</f>
        <v/>
      </c>
    </row>
    <row r="3123" spans="20:20" x14ac:dyDescent="0.3">
      <c r="T3123" s="47" t="str">
        <f ca="1">IF(R3123="","",IFERROR(TODAY()+VLOOKUP(R3123,REGRAS!$B$2:$C$13,2,0),""))</f>
        <v/>
      </c>
    </row>
    <row r="3124" spans="20:20" x14ac:dyDescent="0.3">
      <c r="T3124" s="47" t="str">
        <f ca="1">IF(R3124="","",IFERROR(TODAY()+VLOOKUP(R3124,REGRAS!$B$2:$C$13,2,0),""))</f>
        <v/>
      </c>
    </row>
    <row r="3125" spans="20:20" x14ac:dyDescent="0.3">
      <c r="T3125" s="47" t="str">
        <f ca="1">IF(R3125="","",IFERROR(TODAY()+VLOOKUP(R3125,REGRAS!$B$2:$C$13,2,0),""))</f>
        <v/>
      </c>
    </row>
    <row r="3126" spans="20:20" x14ac:dyDescent="0.3">
      <c r="T3126" s="47" t="str">
        <f ca="1">IF(R3126="","",IFERROR(TODAY()+VLOOKUP(R3126,REGRAS!$B$2:$C$13,2,0),""))</f>
        <v/>
      </c>
    </row>
    <row r="3127" spans="20:20" x14ac:dyDescent="0.3">
      <c r="T3127" s="47" t="str">
        <f ca="1">IF(R3127="","",IFERROR(TODAY()+VLOOKUP(R3127,REGRAS!$B$2:$C$13,2,0),""))</f>
        <v/>
      </c>
    </row>
    <row r="3128" spans="20:20" x14ac:dyDescent="0.3">
      <c r="T3128" s="47" t="str">
        <f ca="1">IF(R3128="","",IFERROR(TODAY()+VLOOKUP(R3128,REGRAS!$B$2:$C$13,2,0),""))</f>
        <v/>
      </c>
    </row>
    <row r="3129" spans="20:20" x14ac:dyDescent="0.3">
      <c r="T3129" s="47" t="str">
        <f ca="1">IF(R3129="","",IFERROR(TODAY()+VLOOKUP(R3129,REGRAS!$B$2:$C$13,2,0),""))</f>
        <v/>
      </c>
    </row>
    <row r="3130" spans="20:20" x14ac:dyDescent="0.3">
      <c r="T3130" s="47" t="str">
        <f ca="1">IF(R3130="","",IFERROR(TODAY()+VLOOKUP(R3130,REGRAS!$B$2:$C$13,2,0),""))</f>
        <v/>
      </c>
    </row>
    <row r="3131" spans="20:20" x14ac:dyDescent="0.3">
      <c r="T3131" s="47" t="str">
        <f ca="1">IF(R3131="","",IFERROR(TODAY()+VLOOKUP(R3131,REGRAS!$B$2:$C$13,2,0),""))</f>
        <v/>
      </c>
    </row>
    <row r="3132" spans="20:20" x14ac:dyDescent="0.3">
      <c r="T3132" s="47" t="str">
        <f ca="1">IF(R3132="","",IFERROR(TODAY()+VLOOKUP(R3132,REGRAS!$B$2:$C$13,2,0),""))</f>
        <v/>
      </c>
    </row>
    <row r="3133" spans="20:20" x14ac:dyDescent="0.3">
      <c r="T3133" s="47" t="str">
        <f ca="1">IF(R3133="","",IFERROR(TODAY()+VLOOKUP(R3133,REGRAS!$B$2:$C$13,2,0),""))</f>
        <v/>
      </c>
    </row>
    <row r="3134" spans="20:20" x14ac:dyDescent="0.3">
      <c r="T3134" s="47" t="str">
        <f ca="1">IF(R3134="","",IFERROR(TODAY()+VLOOKUP(R3134,REGRAS!$B$2:$C$13,2,0),""))</f>
        <v/>
      </c>
    </row>
    <row r="3135" spans="20:20" x14ac:dyDescent="0.3">
      <c r="T3135" s="47" t="str">
        <f ca="1">IF(R3135="","",IFERROR(TODAY()+VLOOKUP(R3135,REGRAS!$B$2:$C$13,2,0),""))</f>
        <v/>
      </c>
    </row>
    <row r="3136" spans="20:20" x14ac:dyDescent="0.3">
      <c r="T3136" s="47" t="str">
        <f ca="1">IF(R3136="","",IFERROR(TODAY()+VLOOKUP(R3136,REGRAS!$B$2:$C$13,2,0),""))</f>
        <v/>
      </c>
    </row>
    <row r="3137" spans="20:20" x14ac:dyDescent="0.3">
      <c r="T3137" s="47" t="str">
        <f ca="1">IF(R3137="","",IFERROR(TODAY()+VLOOKUP(R3137,REGRAS!$B$2:$C$13,2,0),""))</f>
        <v/>
      </c>
    </row>
    <row r="3138" spans="20:20" x14ac:dyDescent="0.3">
      <c r="T3138" s="47" t="str">
        <f ca="1">IF(R3138="","",IFERROR(TODAY()+VLOOKUP(R3138,REGRAS!$B$2:$C$13,2,0),""))</f>
        <v/>
      </c>
    </row>
    <row r="3139" spans="20:20" x14ac:dyDescent="0.3">
      <c r="T3139" s="47" t="str">
        <f ca="1">IF(R3139="","",IFERROR(TODAY()+VLOOKUP(R3139,REGRAS!$B$2:$C$13,2,0),""))</f>
        <v/>
      </c>
    </row>
    <row r="3140" spans="20:20" x14ac:dyDescent="0.3">
      <c r="T3140" s="47" t="str">
        <f ca="1">IF(R3140="","",IFERROR(TODAY()+VLOOKUP(R3140,REGRAS!$B$2:$C$13,2,0),""))</f>
        <v/>
      </c>
    </row>
    <row r="3141" spans="20:20" x14ac:dyDescent="0.3">
      <c r="T3141" s="47" t="str">
        <f ca="1">IF(R3141="","",IFERROR(TODAY()+VLOOKUP(R3141,REGRAS!$B$2:$C$13,2,0),""))</f>
        <v/>
      </c>
    </row>
    <row r="3142" spans="20:20" x14ac:dyDescent="0.3">
      <c r="T3142" s="47" t="str">
        <f ca="1">IF(R3142="","",IFERROR(TODAY()+VLOOKUP(R3142,REGRAS!$B$2:$C$13,2,0),""))</f>
        <v/>
      </c>
    </row>
    <row r="3143" spans="20:20" x14ac:dyDescent="0.3">
      <c r="T3143" s="47" t="str">
        <f ca="1">IF(R3143="","",IFERROR(TODAY()+VLOOKUP(R3143,REGRAS!$B$2:$C$13,2,0),""))</f>
        <v/>
      </c>
    </row>
    <row r="3144" spans="20:20" x14ac:dyDescent="0.3">
      <c r="T3144" s="47" t="str">
        <f ca="1">IF(R3144="","",IFERROR(TODAY()+VLOOKUP(R3144,REGRAS!$B$2:$C$13,2,0),""))</f>
        <v/>
      </c>
    </row>
    <row r="3145" spans="20:20" x14ac:dyDescent="0.3">
      <c r="T3145" s="47" t="str">
        <f ca="1">IF(R3145="","",IFERROR(TODAY()+VLOOKUP(R3145,REGRAS!$B$2:$C$13,2,0),""))</f>
        <v/>
      </c>
    </row>
    <row r="3146" spans="20:20" x14ac:dyDescent="0.3">
      <c r="T3146" s="47" t="str">
        <f ca="1">IF(R3146="","",IFERROR(TODAY()+VLOOKUP(R3146,REGRAS!$B$2:$C$13,2,0),""))</f>
        <v/>
      </c>
    </row>
    <row r="3147" spans="20:20" x14ac:dyDescent="0.3">
      <c r="T3147" s="47" t="str">
        <f ca="1">IF(R3147="","",IFERROR(TODAY()+VLOOKUP(R3147,REGRAS!$B$2:$C$13,2,0),""))</f>
        <v/>
      </c>
    </row>
    <row r="3148" spans="20:20" x14ac:dyDescent="0.3">
      <c r="T3148" s="47" t="str">
        <f ca="1">IF(R3148="","",IFERROR(TODAY()+VLOOKUP(R3148,REGRAS!$B$2:$C$13,2,0),""))</f>
        <v/>
      </c>
    </row>
    <row r="3149" spans="20:20" x14ac:dyDescent="0.3">
      <c r="T3149" s="47" t="str">
        <f ca="1">IF(R3149="","",IFERROR(TODAY()+VLOOKUP(R3149,REGRAS!$B$2:$C$13,2,0),""))</f>
        <v/>
      </c>
    </row>
    <row r="3150" spans="20:20" x14ac:dyDescent="0.3">
      <c r="T3150" s="47" t="str">
        <f ca="1">IF(R3150="","",IFERROR(TODAY()+VLOOKUP(R3150,REGRAS!$B$2:$C$13,2,0),""))</f>
        <v/>
      </c>
    </row>
    <row r="3151" spans="20:20" x14ac:dyDescent="0.3">
      <c r="T3151" s="47" t="str">
        <f ca="1">IF(R3151="","",IFERROR(TODAY()+VLOOKUP(R3151,REGRAS!$B$2:$C$13,2,0),""))</f>
        <v/>
      </c>
    </row>
    <row r="3152" spans="20:20" x14ac:dyDescent="0.3">
      <c r="T3152" s="47" t="str">
        <f ca="1">IF(R3152="","",IFERROR(TODAY()+VLOOKUP(R3152,REGRAS!$B$2:$C$13,2,0),""))</f>
        <v/>
      </c>
    </row>
    <row r="3153" spans="20:20" x14ac:dyDescent="0.3">
      <c r="T3153" s="47" t="str">
        <f ca="1">IF(R3153="","",IFERROR(TODAY()+VLOOKUP(R3153,REGRAS!$B$2:$C$13,2,0),""))</f>
        <v/>
      </c>
    </row>
    <row r="3154" spans="20:20" x14ac:dyDescent="0.3">
      <c r="T3154" s="47" t="str">
        <f ca="1">IF(R3154="","",IFERROR(TODAY()+VLOOKUP(R3154,REGRAS!$B$2:$C$13,2,0),""))</f>
        <v/>
      </c>
    </row>
    <row r="3155" spans="20:20" x14ac:dyDescent="0.3">
      <c r="T3155" s="47" t="str">
        <f ca="1">IF(R3155="","",IFERROR(TODAY()+VLOOKUP(R3155,REGRAS!$B$2:$C$13,2,0),""))</f>
        <v/>
      </c>
    </row>
    <row r="3156" spans="20:20" x14ac:dyDescent="0.3">
      <c r="T3156" s="47" t="str">
        <f ca="1">IF(R3156="","",IFERROR(TODAY()+VLOOKUP(R3156,REGRAS!$B$2:$C$13,2,0),""))</f>
        <v/>
      </c>
    </row>
    <row r="3157" spans="20:20" x14ac:dyDescent="0.3">
      <c r="T3157" s="47" t="str">
        <f ca="1">IF(R3157="","",IFERROR(TODAY()+VLOOKUP(R3157,REGRAS!$B$2:$C$13,2,0),""))</f>
        <v/>
      </c>
    </row>
    <row r="3158" spans="20:20" x14ac:dyDescent="0.3">
      <c r="T3158" s="47" t="str">
        <f ca="1">IF(R3158="","",IFERROR(TODAY()+VLOOKUP(R3158,REGRAS!$B$2:$C$13,2,0),""))</f>
        <v/>
      </c>
    </row>
    <row r="3159" spans="20:20" x14ac:dyDescent="0.3">
      <c r="T3159" s="47" t="str">
        <f ca="1">IF(R3159="","",IFERROR(TODAY()+VLOOKUP(R3159,REGRAS!$B$2:$C$13,2,0),""))</f>
        <v/>
      </c>
    </row>
    <row r="3160" spans="20:20" x14ac:dyDescent="0.3">
      <c r="T3160" s="47" t="str">
        <f ca="1">IF(R3160="","",IFERROR(TODAY()+VLOOKUP(R3160,REGRAS!$B$2:$C$13,2,0),""))</f>
        <v/>
      </c>
    </row>
    <row r="3161" spans="20:20" x14ac:dyDescent="0.3">
      <c r="T3161" s="47" t="str">
        <f ca="1">IF(R3161="","",IFERROR(TODAY()+VLOOKUP(R3161,REGRAS!$B$2:$C$13,2,0),""))</f>
        <v/>
      </c>
    </row>
    <row r="3162" spans="20:20" x14ac:dyDescent="0.3">
      <c r="T3162" s="47" t="str">
        <f ca="1">IF(R3162="","",IFERROR(TODAY()+VLOOKUP(R3162,REGRAS!$B$2:$C$13,2,0),""))</f>
        <v/>
      </c>
    </row>
    <row r="3163" spans="20:20" x14ac:dyDescent="0.3">
      <c r="T3163" s="47" t="str">
        <f ca="1">IF(R3163="","",IFERROR(TODAY()+VLOOKUP(R3163,REGRAS!$B$2:$C$13,2,0),""))</f>
        <v/>
      </c>
    </row>
    <row r="3164" spans="20:20" x14ac:dyDescent="0.3">
      <c r="T3164" s="47" t="str">
        <f ca="1">IF(R3164="","",IFERROR(TODAY()+VLOOKUP(R3164,REGRAS!$B$2:$C$13,2,0),""))</f>
        <v/>
      </c>
    </row>
    <row r="3165" spans="20:20" x14ac:dyDescent="0.3">
      <c r="T3165" s="47" t="str">
        <f ca="1">IF(R3165="","",IFERROR(TODAY()+VLOOKUP(R3165,REGRAS!$B$2:$C$13,2,0),""))</f>
        <v/>
      </c>
    </row>
    <row r="3166" spans="20:20" x14ac:dyDescent="0.3">
      <c r="T3166" s="47" t="str">
        <f ca="1">IF(R3166="","",IFERROR(TODAY()+VLOOKUP(R3166,REGRAS!$B$2:$C$13,2,0),""))</f>
        <v/>
      </c>
    </row>
    <row r="3167" spans="20:20" x14ac:dyDescent="0.3">
      <c r="T3167" s="47" t="str">
        <f ca="1">IF(R3167="","",IFERROR(TODAY()+VLOOKUP(R3167,REGRAS!$B$2:$C$13,2,0),""))</f>
        <v/>
      </c>
    </row>
    <row r="3168" spans="20:20" x14ac:dyDescent="0.3">
      <c r="T3168" s="47" t="str">
        <f ca="1">IF(R3168="","",IFERROR(TODAY()+VLOOKUP(R3168,REGRAS!$B$2:$C$13,2,0),""))</f>
        <v/>
      </c>
    </row>
    <row r="3169" spans="20:20" x14ac:dyDescent="0.3">
      <c r="T3169" s="47" t="str">
        <f ca="1">IF(R3169="","",IFERROR(TODAY()+VLOOKUP(R3169,REGRAS!$B$2:$C$13,2,0),""))</f>
        <v/>
      </c>
    </row>
    <row r="3170" spans="20:20" x14ac:dyDescent="0.3">
      <c r="T3170" s="47" t="str">
        <f ca="1">IF(R3170="","",IFERROR(TODAY()+VLOOKUP(R3170,REGRAS!$B$2:$C$13,2,0),""))</f>
        <v/>
      </c>
    </row>
    <row r="3171" spans="20:20" x14ac:dyDescent="0.3">
      <c r="T3171" s="47" t="str">
        <f ca="1">IF(R3171="","",IFERROR(TODAY()+VLOOKUP(R3171,REGRAS!$B$2:$C$13,2,0),""))</f>
        <v/>
      </c>
    </row>
    <row r="3172" spans="20:20" x14ac:dyDescent="0.3">
      <c r="T3172" s="47" t="str">
        <f ca="1">IF(R3172="","",IFERROR(TODAY()+VLOOKUP(R3172,REGRAS!$B$2:$C$13,2,0),""))</f>
        <v/>
      </c>
    </row>
    <row r="3173" spans="20:20" x14ac:dyDescent="0.3">
      <c r="T3173" s="47" t="str">
        <f ca="1">IF(R3173="","",IFERROR(TODAY()+VLOOKUP(R3173,REGRAS!$B$2:$C$13,2,0),""))</f>
        <v/>
      </c>
    </row>
    <row r="3174" spans="20:20" x14ac:dyDescent="0.3">
      <c r="T3174" s="47" t="str">
        <f ca="1">IF(R3174="","",IFERROR(TODAY()+VLOOKUP(R3174,REGRAS!$B$2:$C$13,2,0),""))</f>
        <v/>
      </c>
    </row>
    <row r="3175" spans="20:20" x14ac:dyDescent="0.3">
      <c r="T3175" s="47" t="str">
        <f ca="1">IF(R3175="","",IFERROR(TODAY()+VLOOKUP(R3175,REGRAS!$B$2:$C$13,2,0),""))</f>
        <v/>
      </c>
    </row>
    <row r="3176" spans="20:20" x14ac:dyDescent="0.3">
      <c r="T3176" s="47" t="str">
        <f ca="1">IF(R3176="","",IFERROR(TODAY()+VLOOKUP(R3176,REGRAS!$B$2:$C$13,2,0),""))</f>
        <v/>
      </c>
    </row>
    <row r="3177" spans="20:20" x14ac:dyDescent="0.3">
      <c r="T3177" s="47" t="str">
        <f ca="1">IF(R3177="","",IFERROR(TODAY()+VLOOKUP(R3177,REGRAS!$B$2:$C$13,2,0),""))</f>
        <v/>
      </c>
    </row>
    <row r="3178" spans="20:20" x14ac:dyDescent="0.3">
      <c r="T3178" s="47" t="str">
        <f ca="1">IF(R3178="","",IFERROR(TODAY()+VLOOKUP(R3178,REGRAS!$B$2:$C$13,2,0),""))</f>
        <v/>
      </c>
    </row>
    <row r="3179" spans="20:20" x14ac:dyDescent="0.3">
      <c r="T3179" s="47" t="str">
        <f ca="1">IF(R3179="","",IFERROR(TODAY()+VLOOKUP(R3179,REGRAS!$B$2:$C$13,2,0),""))</f>
        <v/>
      </c>
    </row>
    <row r="3180" spans="20:20" x14ac:dyDescent="0.3">
      <c r="T3180" s="47" t="str">
        <f ca="1">IF(R3180="","",IFERROR(TODAY()+VLOOKUP(R3180,REGRAS!$B$2:$C$13,2,0),""))</f>
        <v/>
      </c>
    </row>
    <row r="3181" spans="20:20" x14ac:dyDescent="0.3">
      <c r="T3181" s="47" t="str">
        <f ca="1">IF(R3181="","",IFERROR(TODAY()+VLOOKUP(R3181,REGRAS!$B$2:$C$13,2,0),""))</f>
        <v/>
      </c>
    </row>
    <row r="3182" spans="20:20" x14ac:dyDescent="0.3">
      <c r="T3182" s="47" t="str">
        <f ca="1">IF(R3182="","",IFERROR(TODAY()+VLOOKUP(R3182,REGRAS!$B$2:$C$13,2,0),""))</f>
        <v/>
      </c>
    </row>
    <row r="3183" spans="20:20" x14ac:dyDescent="0.3">
      <c r="T3183" s="47" t="str">
        <f ca="1">IF(R3183="","",IFERROR(TODAY()+VLOOKUP(R3183,REGRAS!$B$2:$C$13,2,0),""))</f>
        <v/>
      </c>
    </row>
    <row r="3184" spans="20:20" x14ac:dyDescent="0.3">
      <c r="T3184" s="47" t="str">
        <f ca="1">IF(R3184="","",IFERROR(TODAY()+VLOOKUP(R3184,REGRAS!$B$2:$C$13,2,0),""))</f>
        <v/>
      </c>
    </row>
    <row r="3185" spans="20:20" x14ac:dyDescent="0.3">
      <c r="T3185" s="47" t="str">
        <f ca="1">IF(R3185="","",IFERROR(TODAY()+VLOOKUP(R3185,REGRAS!$B$2:$C$13,2,0),""))</f>
        <v/>
      </c>
    </row>
    <row r="3186" spans="20:20" x14ac:dyDescent="0.3">
      <c r="T3186" s="47" t="str">
        <f ca="1">IF(R3186="","",IFERROR(TODAY()+VLOOKUP(R3186,REGRAS!$B$2:$C$13,2,0),""))</f>
        <v/>
      </c>
    </row>
    <row r="3187" spans="20:20" x14ac:dyDescent="0.3">
      <c r="T3187" s="47" t="str">
        <f ca="1">IF(R3187="","",IFERROR(TODAY()+VLOOKUP(R3187,REGRAS!$B$2:$C$13,2,0),""))</f>
        <v/>
      </c>
    </row>
    <row r="3188" spans="20:20" x14ac:dyDescent="0.3">
      <c r="T3188" s="47" t="str">
        <f ca="1">IF(R3188="","",IFERROR(TODAY()+VLOOKUP(R3188,REGRAS!$B$2:$C$13,2,0),""))</f>
        <v/>
      </c>
    </row>
    <row r="3189" spans="20:20" x14ac:dyDescent="0.3">
      <c r="T3189" s="47" t="str">
        <f ca="1">IF(R3189="","",IFERROR(TODAY()+VLOOKUP(R3189,REGRAS!$B$2:$C$13,2,0),""))</f>
        <v/>
      </c>
    </row>
    <row r="3190" spans="20:20" x14ac:dyDescent="0.3">
      <c r="T3190" s="47" t="str">
        <f ca="1">IF(R3190="","",IFERROR(TODAY()+VLOOKUP(R3190,REGRAS!$B$2:$C$13,2,0),""))</f>
        <v/>
      </c>
    </row>
    <row r="3191" spans="20:20" x14ac:dyDescent="0.3">
      <c r="T3191" s="47" t="str">
        <f ca="1">IF(R3191="","",IFERROR(TODAY()+VLOOKUP(R3191,REGRAS!$B$2:$C$13,2,0),""))</f>
        <v/>
      </c>
    </row>
    <row r="3192" spans="20:20" x14ac:dyDescent="0.3">
      <c r="T3192" s="47" t="str">
        <f ca="1">IF(R3192="","",IFERROR(TODAY()+VLOOKUP(R3192,REGRAS!$B$2:$C$13,2,0),""))</f>
        <v/>
      </c>
    </row>
    <row r="3193" spans="20:20" x14ac:dyDescent="0.3">
      <c r="T3193" s="47" t="str">
        <f ca="1">IF(R3193="","",IFERROR(TODAY()+VLOOKUP(R3193,REGRAS!$B$2:$C$13,2,0),""))</f>
        <v/>
      </c>
    </row>
    <row r="3194" spans="20:20" x14ac:dyDescent="0.3">
      <c r="T3194" s="47" t="str">
        <f ca="1">IF(R3194="","",IFERROR(TODAY()+VLOOKUP(R3194,REGRAS!$B$2:$C$13,2,0),""))</f>
        <v/>
      </c>
    </row>
    <row r="3195" spans="20:20" x14ac:dyDescent="0.3">
      <c r="T3195" s="47" t="str">
        <f ca="1">IF(R3195="","",IFERROR(TODAY()+VLOOKUP(R3195,REGRAS!$B$2:$C$13,2,0),""))</f>
        <v/>
      </c>
    </row>
    <row r="3196" spans="20:20" x14ac:dyDescent="0.3">
      <c r="T3196" s="47" t="str">
        <f ca="1">IF(R3196="","",IFERROR(TODAY()+VLOOKUP(R3196,REGRAS!$B$2:$C$13,2,0),""))</f>
        <v/>
      </c>
    </row>
    <row r="3197" spans="20:20" x14ac:dyDescent="0.3">
      <c r="T3197" s="47" t="str">
        <f ca="1">IF(R3197="","",IFERROR(TODAY()+VLOOKUP(R3197,REGRAS!$B$2:$C$13,2,0),""))</f>
        <v/>
      </c>
    </row>
    <row r="3198" spans="20:20" x14ac:dyDescent="0.3">
      <c r="T3198" s="47" t="str">
        <f ca="1">IF(R3198="","",IFERROR(TODAY()+VLOOKUP(R3198,REGRAS!$B$2:$C$13,2,0),""))</f>
        <v/>
      </c>
    </row>
    <row r="3199" spans="20:20" x14ac:dyDescent="0.3">
      <c r="T3199" s="47" t="str">
        <f ca="1">IF(R3199="","",IFERROR(TODAY()+VLOOKUP(R3199,REGRAS!$B$2:$C$13,2,0),""))</f>
        <v/>
      </c>
    </row>
    <row r="3200" spans="20:20" x14ac:dyDescent="0.3">
      <c r="T3200" s="47" t="str">
        <f ca="1">IF(R3200="","",IFERROR(TODAY()+VLOOKUP(R3200,REGRAS!$B$2:$C$13,2,0),""))</f>
        <v/>
      </c>
    </row>
    <row r="3201" spans="20:20" x14ac:dyDescent="0.3">
      <c r="T3201" s="47" t="str">
        <f ca="1">IF(R3201="","",IFERROR(TODAY()+VLOOKUP(R3201,REGRAS!$B$2:$C$13,2,0),""))</f>
        <v/>
      </c>
    </row>
    <row r="3202" spans="20:20" x14ac:dyDescent="0.3">
      <c r="T3202" s="47" t="str">
        <f ca="1">IF(R3202="","",IFERROR(TODAY()+VLOOKUP(R3202,REGRAS!$B$2:$C$13,2,0),""))</f>
        <v/>
      </c>
    </row>
    <row r="3203" spans="20:20" x14ac:dyDescent="0.3">
      <c r="T3203" s="47" t="str">
        <f ca="1">IF(R3203="","",IFERROR(TODAY()+VLOOKUP(R3203,REGRAS!$B$2:$C$13,2,0),""))</f>
        <v/>
      </c>
    </row>
    <row r="3204" spans="20:20" x14ac:dyDescent="0.3">
      <c r="T3204" s="47" t="str">
        <f ca="1">IF(R3204="","",IFERROR(TODAY()+VLOOKUP(R3204,REGRAS!$B$2:$C$13,2,0),""))</f>
        <v/>
      </c>
    </row>
    <row r="3205" spans="20:20" x14ac:dyDescent="0.3">
      <c r="T3205" s="47" t="str">
        <f ca="1">IF(R3205="","",IFERROR(TODAY()+VLOOKUP(R3205,REGRAS!$B$2:$C$13,2,0),""))</f>
        <v/>
      </c>
    </row>
    <row r="3206" spans="20:20" x14ac:dyDescent="0.3">
      <c r="T3206" s="47" t="str">
        <f ca="1">IF(R3206="","",IFERROR(TODAY()+VLOOKUP(R3206,REGRAS!$B$2:$C$13,2,0),""))</f>
        <v/>
      </c>
    </row>
    <row r="3207" spans="20:20" x14ac:dyDescent="0.3">
      <c r="T3207" s="47" t="str">
        <f ca="1">IF(R3207="","",IFERROR(TODAY()+VLOOKUP(R3207,REGRAS!$B$2:$C$13,2,0),""))</f>
        <v/>
      </c>
    </row>
    <row r="3208" spans="20:20" x14ac:dyDescent="0.3">
      <c r="T3208" s="47" t="str">
        <f ca="1">IF(R3208="","",IFERROR(TODAY()+VLOOKUP(R3208,REGRAS!$B$2:$C$13,2,0),""))</f>
        <v/>
      </c>
    </row>
    <row r="3209" spans="20:20" x14ac:dyDescent="0.3">
      <c r="T3209" s="47" t="str">
        <f ca="1">IF(R3209="","",IFERROR(TODAY()+VLOOKUP(R3209,REGRAS!$B$2:$C$13,2,0),""))</f>
        <v/>
      </c>
    </row>
    <row r="3210" spans="20:20" x14ac:dyDescent="0.3">
      <c r="T3210" s="47" t="str">
        <f ca="1">IF(R3210="","",IFERROR(TODAY()+VLOOKUP(R3210,REGRAS!$B$2:$C$13,2,0),""))</f>
        <v/>
      </c>
    </row>
    <row r="3211" spans="20:20" x14ac:dyDescent="0.3">
      <c r="T3211" s="47" t="str">
        <f ca="1">IF(R3211="","",IFERROR(TODAY()+VLOOKUP(R3211,REGRAS!$B$2:$C$13,2,0),""))</f>
        <v/>
      </c>
    </row>
    <row r="3212" spans="20:20" x14ac:dyDescent="0.3">
      <c r="T3212" s="47" t="str">
        <f ca="1">IF(R3212="","",IFERROR(TODAY()+VLOOKUP(R3212,REGRAS!$B$2:$C$13,2,0),""))</f>
        <v/>
      </c>
    </row>
    <row r="3213" spans="20:20" x14ac:dyDescent="0.3">
      <c r="T3213" s="47" t="str">
        <f ca="1">IF(R3213="","",IFERROR(TODAY()+VLOOKUP(R3213,REGRAS!$B$2:$C$13,2,0),""))</f>
        <v/>
      </c>
    </row>
    <row r="3214" spans="20:20" x14ac:dyDescent="0.3">
      <c r="T3214" s="47" t="str">
        <f ca="1">IF(R3214="","",IFERROR(TODAY()+VLOOKUP(R3214,REGRAS!$B$2:$C$13,2,0),""))</f>
        <v/>
      </c>
    </row>
    <row r="3215" spans="20:20" x14ac:dyDescent="0.3">
      <c r="T3215" s="47" t="str">
        <f ca="1">IF(R3215="","",IFERROR(TODAY()+VLOOKUP(R3215,REGRAS!$B$2:$C$13,2,0),""))</f>
        <v/>
      </c>
    </row>
    <row r="3216" spans="20:20" x14ac:dyDescent="0.3">
      <c r="T3216" s="47" t="str">
        <f ca="1">IF(R3216="","",IFERROR(TODAY()+VLOOKUP(R3216,REGRAS!$B$2:$C$13,2,0),""))</f>
        <v/>
      </c>
    </row>
    <row r="3217" spans="20:20" x14ac:dyDescent="0.3">
      <c r="T3217" s="47" t="str">
        <f ca="1">IF(R3217="","",IFERROR(TODAY()+VLOOKUP(R3217,REGRAS!$B$2:$C$13,2,0),""))</f>
        <v/>
      </c>
    </row>
    <row r="3218" spans="20:20" x14ac:dyDescent="0.3">
      <c r="T3218" s="47" t="str">
        <f ca="1">IF(R3218="","",IFERROR(TODAY()+VLOOKUP(R3218,REGRAS!$B$2:$C$13,2,0),""))</f>
        <v/>
      </c>
    </row>
    <row r="3219" spans="20:20" x14ac:dyDescent="0.3">
      <c r="T3219" s="47" t="str">
        <f ca="1">IF(R3219="","",IFERROR(TODAY()+VLOOKUP(R3219,REGRAS!$B$2:$C$13,2,0),""))</f>
        <v/>
      </c>
    </row>
    <row r="3220" spans="20:20" x14ac:dyDescent="0.3">
      <c r="T3220" s="47" t="str">
        <f ca="1">IF(R3220="","",IFERROR(TODAY()+VLOOKUP(R3220,REGRAS!$B$2:$C$13,2,0),""))</f>
        <v/>
      </c>
    </row>
    <row r="3221" spans="20:20" x14ac:dyDescent="0.3">
      <c r="T3221" s="47" t="str">
        <f ca="1">IF(R3221="","",IFERROR(TODAY()+VLOOKUP(R3221,REGRAS!$B$2:$C$13,2,0),""))</f>
        <v/>
      </c>
    </row>
    <row r="3222" spans="20:20" x14ac:dyDescent="0.3">
      <c r="T3222" s="47" t="str">
        <f ca="1">IF(R3222="","",IFERROR(TODAY()+VLOOKUP(R3222,REGRAS!$B$2:$C$13,2,0),""))</f>
        <v/>
      </c>
    </row>
    <row r="3223" spans="20:20" x14ac:dyDescent="0.3">
      <c r="T3223" s="47" t="str">
        <f ca="1">IF(R3223="","",IFERROR(TODAY()+VLOOKUP(R3223,REGRAS!$B$2:$C$13,2,0),""))</f>
        <v/>
      </c>
    </row>
    <row r="3224" spans="20:20" x14ac:dyDescent="0.3">
      <c r="T3224" s="47" t="str">
        <f ca="1">IF(R3224="","",IFERROR(TODAY()+VLOOKUP(R3224,REGRAS!$B$2:$C$13,2,0),""))</f>
        <v/>
      </c>
    </row>
    <row r="3225" spans="20:20" x14ac:dyDescent="0.3">
      <c r="T3225" s="47" t="str">
        <f ca="1">IF(R3225="","",IFERROR(TODAY()+VLOOKUP(R3225,REGRAS!$B$2:$C$13,2,0),""))</f>
        <v/>
      </c>
    </row>
    <row r="3226" spans="20:20" x14ac:dyDescent="0.3">
      <c r="T3226" s="47" t="str">
        <f ca="1">IF(R3226="","",IFERROR(TODAY()+VLOOKUP(R3226,REGRAS!$B$2:$C$13,2,0),""))</f>
        <v/>
      </c>
    </row>
    <row r="3227" spans="20:20" x14ac:dyDescent="0.3">
      <c r="T3227" s="47" t="str">
        <f ca="1">IF(R3227="","",IFERROR(TODAY()+VLOOKUP(R3227,REGRAS!$B$2:$C$13,2,0),""))</f>
        <v/>
      </c>
    </row>
    <row r="3228" spans="20:20" x14ac:dyDescent="0.3">
      <c r="T3228" s="47" t="str">
        <f ca="1">IF(R3228="","",IFERROR(TODAY()+VLOOKUP(R3228,REGRAS!$B$2:$C$13,2,0),""))</f>
        <v/>
      </c>
    </row>
    <row r="3229" spans="20:20" x14ac:dyDescent="0.3">
      <c r="T3229" s="47" t="str">
        <f ca="1">IF(R3229="","",IFERROR(TODAY()+VLOOKUP(R3229,REGRAS!$B$2:$C$13,2,0),""))</f>
        <v/>
      </c>
    </row>
    <row r="3230" spans="20:20" x14ac:dyDescent="0.3">
      <c r="T3230" s="47" t="str">
        <f ca="1">IF(R3230="","",IFERROR(TODAY()+VLOOKUP(R3230,REGRAS!$B$2:$C$13,2,0),""))</f>
        <v/>
      </c>
    </row>
    <row r="3231" spans="20:20" x14ac:dyDescent="0.3">
      <c r="T3231" s="47" t="str">
        <f ca="1">IF(R3231="","",IFERROR(TODAY()+VLOOKUP(R3231,REGRAS!$B$2:$C$13,2,0),""))</f>
        <v/>
      </c>
    </row>
    <row r="3232" spans="20:20" x14ac:dyDescent="0.3">
      <c r="T3232" s="47" t="str">
        <f ca="1">IF(R3232="","",IFERROR(TODAY()+VLOOKUP(R3232,REGRAS!$B$2:$C$13,2,0),""))</f>
        <v/>
      </c>
    </row>
    <row r="3233" spans="20:20" x14ac:dyDescent="0.3">
      <c r="T3233" s="47" t="str">
        <f ca="1">IF(R3233="","",IFERROR(TODAY()+VLOOKUP(R3233,REGRAS!$B$2:$C$13,2,0),""))</f>
        <v/>
      </c>
    </row>
    <row r="3234" spans="20:20" x14ac:dyDescent="0.3">
      <c r="T3234" s="47" t="str">
        <f ca="1">IF(R3234="","",IFERROR(TODAY()+VLOOKUP(R3234,REGRAS!$B$2:$C$13,2,0),""))</f>
        <v/>
      </c>
    </row>
    <row r="3235" spans="20:20" x14ac:dyDescent="0.3">
      <c r="T3235" s="47" t="str">
        <f ca="1">IF(R3235="","",IFERROR(TODAY()+VLOOKUP(R3235,REGRAS!$B$2:$C$13,2,0),""))</f>
        <v/>
      </c>
    </row>
    <row r="3236" spans="20:20" x14ac:dyDescent="0.3">
      <c r="T3236" s="47" t="str">
        <f ca="1">IF(R3236="","",IFERROR(TODAY()+VLOOKUP(R3236,REGRAS!$B$2:$C$13,2,0),""))</f>
        <v/>
      </c>
    </row>
    <row r="3237" spans="20:20" x14ac:dyDescent="0.3">
      <c r="T3237" s="47" t="str">
        <f ca="1">IF(R3237="","",IFERROR(TODAY()+VLOOKUP(R3237,REGRAS!$B$2:$C$13,2,0),""))</f>
        <v/>
      </c>
    </row>
    <row r="3238" spans="20:20" x14ac:dyDescent="0.3">
      <c r="T3238" s="47" t="str">
        <f ca="1">IF(R3238="","",IFERROR(TODAY()+VLOOKUP(R3238,REGRAS!$B$2:$C$13,2,0),""))</f>
        <v/>
      </c>
    </row>
    <row r="3239" spans="20:20" x14ac:dyDescent="0.3">
      <c r="T3239" s="47" t="str">
        <f ca="1">IF(R3239="","",IFERROR(TODAY()+VLOOKUP(R3239,REGRAS!$B$2:$C$13,2,0),""))</f>
        <v/>
      </c>
    </row>
    <row r="3240" spans="20:20" x14ac:dyDescent="0.3">
      <c r="T3240" s="47" t="str">
        <f ca="1">IF(R3240="","",IFERROR(TODAY()+VLOOKUP(R3240,REGRAS!$B$2:$C$13,2,0),""))</f>
        <v/>
      </c>
    </row>
    <row r="3241" spans="20:20" x14ac:dyDescent="0.3">
      <c r="T3241" s="47" t="str">
        <f ca="1">IF(R3241="","",IFERROR(TODAY()+VLOOKUP(R3241,REGRAS!$B$2:$C$13,2,0),""))</f>
        <v/>
      </c>
    </row>
    <row r="3242" spans="20:20" x14ac:dyDescent="0.3">
      <c r="T3242" s="47" t="str">
        <f ca="1">IF(R3242="","",IFERROR(TODAY()+VLOOKUP(R3242,REGRAS!$B$2:$C$13,2,0),""))</f>
        <v/>
      </c>
    </row>
    <row r="3243" spans="20:20" x14ac:dyDescent="0.3">
      <c r="T3243" s="47" t="str">
        <f ca="1">IF(R3243="","",IFERROR(TODAY()+VLOOKUP(R3243,REGRAS!$B$2:$C$13,2,0),""))</f>
        <v/>
      </c>
    </row>
    <row r="3244" spans="20:20" x14ac:dyDescent="0.3">
      <c r="T3244" s="47" t="str">
        <f ca="1">IF(R3244="","",IFERROR(TODAY()+VLOOKUP(R3244,REGRAS!$B$2:$C$13,2,0),""))</f>
        <v/>
      </c>
    </row>
    <row r="3245" spans="20:20" x14ac:dyDescent="0.3">
      <c r="T3245" s="47" t="str">
        <f ca="1">IF(R3245="","",IFERROR(TODAY()+VLOOKUP(R3245,REGRAS!$B$2:$C$13,2,0),""))</f>
        <v/>
      </c>
    </row>
    <row r="3246" spans="20:20" x14ac:dyDescent="0.3">
      <c r="T3246" s="47" t="str">
        <f ca="1">IF(R3246="","",IFERROR(TODAY()+VLOOKUP(R3246,REGRAS!$B$2:$C$13,2,0),""))</f>
        <v/>
      </c>
    </row>
    <row r="3247" spans="20:20" x14ac:dyDescent="0.3">
      <c r="T3247" s="47" t="str">
        <f ca="1">IF(R3247="","",IFERROR(TODAY()+VLOOKUP(R3247,REGRAS!$B$2:$C$13,2,0),""))</f>
        <v/>
      </c>
    </row>
    <row r="3248" spans="20:20" x14ac:dyDescent="0.3">
      <c r="T3248" s="47" t="str">
        <f ca="1">IF(R3248="","",IFERROR(TODAY()+VLOOKUP(R3248,REGRAS!$B$2:$C$13,2,0),""))</f>
        <v/>
      </c>
    </row>
    <row r="3249" spans="20:20" x14ac:dyDescent="0.3">
      <c r="T3249" s="47" t="str">
        <f ca="1">IF(R3249="","",IFERROR(TODAY()+VLOOKUP(R3249,REGRAS!$B$2:$C$13,2,0),""))</f>
        <v/>
      </c>
    </row>
    <row r="3250" spans="20:20" x14ac:dyDescent="0.3">
      <c r="T3250" s="47" t="str">
        <f ca="1">IF(R3250="","",IFERROR(TODAY()+VLOOKUP(R3250,REGRAS!$B$2:$C$13,2,0),""))</f>
        <v/>
      </c>
    </row>
    <row r="3251" spans="20:20" x14ac:dyDescent="0.3">
      <c r="T3251" s="47" t="str">
        <f ca="1">IF(R3251="","",IFERROR(TODAY()+VLOOKUP(R3251,REGRAS!$B$2:$C$13,2,0),""))</f>
        <v/>
      </c>
    </row>
    <row r="3252" spans="20:20" x14ac:dyDescent="0.3">
      <c r="T3252" s="47" t="str">
        <f ca="1">IF(R3252="","",IFERROR(TODAY()+VLOOKUP(R3252,REGRAS!$B$2:$C$13,2,0),""))</f>
        <v/>
      </c>
    </row>
    <row r="3253" spans="20:20" x14ac:dyDescent="0.3">
      <c r="T3253" s="47" t="str">
        <f ca="1">IF(R3253="","",IFERROR(TODAY()+VLOOKUP(R3253,REGRAS!$B$2:$C$13,2,0),""))</f>
        <v/>
      </c>
    </row>
    <row r="3254" spans="20:20" x14ac:dyDescent="0.3">
      <c r="T3254" s="47" t="str">
        <f ca="1">IF(R3254="","",IFERROR(TODAY()+VLOOKUP(R3254,REGRAS!$B$2:$C$13,2,0),""))</f>
        <v/>
      </c>
    </row>
    <row r="3255" spans="20:20" x14ac:dyDescent="0.3">
      <c r="T3255" s="47" t="str">
        <f ca="1">IF(R3255="","",IFERROR(TODAY()+VLOOKUP(R3255,REGRAS!$B$2:$C$13,2,0),""))</f>
        <v/>
      </c>
    </row>
    <row r="3256" spans="20:20" x14ac:dyDescent="0.3">
      <c r="T3256" s="47" t="str">
        <f ca="1">IF(R3256="","",IFERROR(TODAY()+VLOOKUP(R3256,REGRAS!$B$2:$C$13,2,0),""))</f>
        <v/>
      </c>
    </row>
    <row r="3257" spans="20:20" x14ac:dyDescent="0.3">
      <c r="T3257" s="47" t="str">
        <f ca="1">IF(R3257="","",IFERROR(TODAY()+VLOOKUP(R3257,REGRAS!$B$2:$C$13,2,0),""))</f>
        <v/>
      </c>
    </row>
    <row r="3258" spans="20:20" x14ac:dyDescent="0.3">
      <c r="T3258" s="47" t="str">
        <f ca="1">IF(R3258="","",IFERROR(TODAY()+VLOOKUP(R3258,REGRAS!$B$2:$C$13,2,0),""))</f>
        <v/>
      </c>
    </row>
    <row r="3259" spans="20:20" x14ac:dyDescent="0.3">
      <c r="T3259" s="47" t="str">
        <f ca="1">IF(R3259="","",IFERROR(TODAY()+VLOOKUP(R3259,REGRAS!$B$2:$C$13,2,0),""))</f>
        <v/>
      </c>
    </row>
    <row r="3260" spans="20:20" x14ac:dyDescent="0.3">
      <c r="T3260" s="47" t="str">
        <f ca="1">IF(R3260="","",IFERROR(TODAY()+VLOOKUP(R3260,REGRAS!$B$2:$C$13,2,0),""))</f>
        <v/>
      </c>
    </row>
    <row r="3261" spans="20:20" x14ac:dyDescent="0.3">
      <c r="T3261" s="47" t="str">
        <f ca="1">IF(R3261="","",IFERROR(TODAY()+VLOOKUP(R3261,REGRAS!$B$2:$C$13,2,0),""))</f>
        <v/>
      </c>
    </row>
    <row r="3262" spans="20:20" x14ac:dyDescent="0.3">
      <c r="T3262" s="47" t="str">
        <f ca="1">IF(R3262="","",IFERROR(TODAY()+VLOOKUP(R3262,REGRAS!$B$2:$C$13,2,0),""))</f>
        <v/>
      </c>
    </row>
    <row r="3263" spans="20:20" x14ac:dyDescent="0.3">
      <c r="T3263" s="47" t="str">
        <f ca="1">IF(R3263="","",IFERROR(TODAY()+VLOOKUP(R3263,REGRAS!$B$2:$C$13,2,0),""))</f>
        <v/>
      </c>
    </row>
    <row r="3264" spans="20:20" x14ac:dyDescent="0.3">
      <c r="T3264" s="47" t="str">
        <f ca="1">IF(R3264="","",IFERROR(TODAY()+VLOOKUP(R3264,REGRAS!$B$2:$C$13,2,0),""))</f>
        <v/>
      </c>
    </row>
    <row r="3265" spans="20:20" x14ac:dyDescent="0.3">
      <c r="T3265" s="47" t="str">
        <f ca="1">IF(R3265="","",IFERROR(TODAY()+VLOOKUP(R3265,REGRAS!$B$2:$C$13,2,0),""))</f>
        <v/>
      </c>
    </row>
    <row r="3266" spans="20:20" x14ac:dyDescent="0.3">
      <c r="T3266" s="47" t="str">
        <f ca="1">IF(R3266="","",IFERROR(TODAY()+VLOOKUP(R3266,REGRAS!$B$2:$C$13,2,0),""))</f>
        <v/>
      </c>
    </row>
    <row r="3267" spans="20:20" x14ac:dyDescent="0.3">
      <c r="T3267" s="47" t="str">
        <f ca="1">IF(R3267="","",IFERROR(TODAY()+VLOOKUP(R3267,REGRAS!$B$2:$C$13,2,0),""))</f>
        <v/>
      </c>
    </row>
    <row r="3268" spans="20:20" x14ac:dyDescent="0.3">
      <c r="T3268" s="47" t="str">
        <f ca="1">IF(R3268="","",IFERROR(TODAY()+VLOOKUP(R3268,REGRAS!$B$2:$C$13,2,0),""))</f>
        <v/>
      </c>
    </row>
    <row r="3269" spans="20:20" x14ac:dyDescent="0.3">
      <c r="T3269" s="47" t="str">
        <f ca="1">IF(R3269="","",IFERROR(TODAY()+VLOOKUP(R3269,REGRAS!$B$2:$C$13,2,0),""))</f>
        <v/>
      </c>
    </row>
    <row r="3270" spans="20:20" x14ac:dyDescent="0.3">
      <c r="T3270" s="47" t="str">
        <f ca="1">IF(R3270="","",IFERROR(TODAY()+VLOOKUP(R3270,REGRAS!$B$2:$C$13,2,0),""))</f>
        <v/>
      </c>
    </row>
    <row r="3271" spans="20:20" x14ac:dyDescent="0.3">
      <c r="T3271" s="47" t="str">
        <f ca="1">IF(R3271="","",IFERROR(TODAY()+VLOOKUP(R3271,REGRAS!$B$2:$C$13,2,0),""))</f>
        <v/>
      </c>
    </row>
    <row r="3272" spans="20:20" x14ac:dyDescent="0.3">
      <c r="T3272" s="47" t="str">
        <f ca="1">IF(R3272="","",IFERROR(TODAY()+VLOOKUP(R3272,REGRAS!$B$2:$C$13,2,0),""))</f>
        <v/>
      </c>
    </row>
    <row r="3273" spans="20:20" x14ac:dyDescent="0.3">
      <c r="T3273" s="47" t="str">
        <f ca="1">IF(R3273="","",IFERROR(TODAY()+VLOOKUP(R3273,REGRAS!$B$2:$C$13,2,0),""))</f>
        <v/>
      </c>
    </row>
    <row r="3274" spans="20:20" x14ac:dyDescent="0.3">
      <c r="T3274" s="47" t="str">
        <f ca="1">IF(R3274="","",IFERROR(TODAY()+VLOOKUP(R3274,REGRAS!$B$2:$C$13,2,0),""))</f>
        <v/>
      </c>
    </row>
    <row r="3275" spans="20:20" x14ac:dyDescent="0.3">
      <c r="T3275" s="47" t="str">
        <f ca="1">IF(R3275="","",IFERROR(TODAY()+VLOOKUP(R3275,REGRAS!$B$2:$C$13,2,0),""))</f>
        <v/>
      </c>
    </row>
    <row r="3276" spans="20:20" x14ac:dyDescent="0.3">
      <c r="T3276" s="47" t="str">
        <f ca="1">IF(R3276="","",IFERROR(TODAY()+VLOOKUP(R3276,REGRAS!$B$2:$C$13,2,0),""))</f>
        <v/>
      </c>
    </row>
    <row r="3277" spans="20:20" x14ac:dyDescent="0.3">
      <c r="T3277" s="47" t="str">
        <f ca="1">IF(R3277="","",IFERROR(TODAY()+VLOOKUP(R3277,REGRAS!$B$2:$C$13,2,0),""))</f>
        <v/>
      </c>
    </row>
    <row r="3278" spans="20:20" x14ac:dyDescent="0.3">
      <c r="T3278" s="47" t="str">
        <f ca="1">IF(R3278="","",IFERROR(TODAY()+VLOOKUP(R3278,REGRAS!$B$2:$C$13,2,0),""))</f>
        <v/>
      </c>
    </row>
    <row r="3279" spans="20:20" x14ac:dyDescent="0.3">
      <c r="T3279" s="47" t="str">
        <f ca="1">IF(R3279="","",IFERROR(TODAY()+VLOOKUP(R3279,REGRAS!$B$2:$C$13,2,0),""))</f>
        <v/>
      </c>
    </row>
    <row r="3280" spans="20:20" x14ac:dyDescent="0.3">
      <c r="T3280" s="47" t="str">
        <f ca="1">IF(R3280="","",IFERROR(TODAY()+VLOOKUP(R3280,REGRAS!$B$2:$C$13,2,0),""))</f>
        <v/>
      </c>
    </row>
    <row r="3281" spans="20:20" x14ac:dyDescent="0.3">
      <c r="T3281" s="47" t="str">
        <f ca="1">IF(R3281="","",IFERROR(TODAY()+VLOOKUP(R3281,REGRAS!$B$2:$C$13,2,0),""))</f>
        <v/>
      </c>
    </row>
    <row r="3282" spans="20:20" x14ac:dyDescent="0.3">
      <c r="T3282" s="47" t="str">
        <f ca="1">IF(R3282="","",IFERROR(TODAY()+VLOOKUP(R3282,REGRAS!$B$2:$C$13,2,0),""))</f>
        <v/>
      </c>
    </row>
    <row r="3283" spans="20:20" x14ac:dyDescent="0.3">
      <c r="T3283" s="47" t="str">
        <f ca="1">IF(R3283="","",IFERROR(TODAY()+VLOOKUP(R3283,REGRAS!$B$2:$C$13,2,0),""))</f>
        <v/>
      </c>
    </row>
    <row r="3284" spans="20:20" x14ac:dyDescent="0.3">
      <c r="T3284" s="47" t="str">
        <f ca="1">IF(R3284="","",IFERROR(TODAY()+VLOOKUP(R3284,REGRAS!$B$2:$C$13,2,0),""))</f>
        <v/>
      </c>
    </row>
    <row r="3285" spans="20:20" x14ac:dyDescent="0.3">
      <c r="T3285" s="47" t="str">
        <f ca="1">IF(R3285="","",IFERROR(TODAY()+VLOOKUP(R3285,REGRAS!$B$2:$C$13,2,0),""))</f>
        <v/>
      </c>
    </row>
    <row r="3286" spans="20:20" x14ac:dyDescent="0.3">
      <c r="T3286" s="47" t="str">
        <f ca="1">IF(R3286="","",IFERROR(TODAY()+VLOOKUP(R3286,REGRAS!$B$2:$C$13,2,0),""))</f>
        <v/>
      </c>
    </row>
    <row r="3287" spans="20:20" x14ac:dyDescent="0.3">
      <c r="T3287" s="47" t="str">
        <f ca="1">IF(R3287="","",IFERROR(TODAY()+VLOOKUP(R3287,REGRAS!$B$2:$C$13,2,0),""))</f>
        <v/>
      </c>
    </row>
    <row r="3288" spans="20:20" x14ac:dyDescent="0.3">
      <c r="T3288" s="47" t="str">
        <f ca="1">IF(R3288="","",IFERROR(TODAY()+VLOOKUP(R3288,REGRAS!$B$2:$C$13,2,0),""))</f>
        <v/>
      </c>
    </row>
    <row r="3289" spans="20:20" x14ac:dyDescent="0.3">
      <c r="T3289" s="47" t="str">
        <f ca="1">IF(R3289="","",IFERROR(TODAY()+VLOOKUP(R3289,REGRAS!$B$2:$C$13,2,0),""))</f>
        <v/>
      </c>
    </row>
    <row r="3290" spans="20:20" x14ac:dyDescent="0.3">
      <c r="T3290" s="47" t="str">
        <f ca="1">IF(R3290="","",IFERROR(TODAY()+VLOOKUP(R3290,REGRAS!$B$2:$C$13,2,0),""))</f>
        <v/>
      </c>
    </row>
    <row r="3291" spans="20:20" x14ac:dyDescent="0.3">
      <c r="T3291" s="47" t="str">
        <f ca="1">IF(R3291="","",IFERROR(TODAY()+VLOOKUP(R3291,REGRAS!$B$2:$C$13,2,0),""))</f>
        <v/>
      </c>
    </row>
    <row r="3292" spans="20:20" x14ac:dyDescent="0.3">
      <c r="T3292" s="47" t="str">
        <f ca="1">IF(R3292="","",IFERROR(TODAY()+VLOOKUP(R3292,REGRAS!$B$2:$C$13,2,0),""))</f>
        <v/>
      </c>
    </row>
    <row r="3293" spans="20:20" x14ac:dyDescent="0.3">
      <c r="T3293" s="47" t="str">
        <f ca="1">IF(R3293="","",IFERROR(TODAY()+VLOOKUP(R3293,REGRAS!$B$2:$C$13,2,0),""))</f>
        <v/>
      </c>
    </row>
    <row r="3294" spans="20:20" x14ac:dyDescent="0.3">
      <c r="T3294" s="47" t="str">
        <f ca="1">IF(R3294="","",IFERROR(TODAY()+VLOOKUP(R3294,REGRAS!$B$2:$C$13,2,0),""))</f>
        <v/>
      </c>
    </row>
    <row r="3295" spans="20:20" x14ac:dyDescent="0.3">
      <c r="T3295" s="47" t="str">
        <f ca="1">IF(R3295="","",IFERROR(TODAY()+VLOOKUP(R3295,REGRAS!$B$2:$C$13,2,0),""))</f>
        <v/>
      </c>
    </row>
    <row r="3296" spans="20:20" x14ac:dyDescent="0.3">
      <c r="T3296" s="47" t="str">
        <f ca="1">IF(R3296="","",IFERROR(TODAY()+VLOOKUP(R3296,REGRAS!$B$2:$C$13,2,0),""))</f>
        <v/>
      </c>
    </row>
    <row r="3297" spans="20:20" x14ac:dyDescent="0.3">
      <c r="T3297" s="47" t="str">
        <f ca="1">IF(R3297="","",IFERROR(TODAY()+VLOOKUP(R3297,REGRAS!$B$2:$C$13,2,0),""))</f>
        <v/>
      </c>
    </row>
    <row r="3298" spans="20:20" x14ac:dyDescent="0.3">
      <c r="T3298" s="47" t="str">
        <f ca="1">IF(R3298="","",IFERROR(TODAY()+VLOOKUP(R3298,REGRAS!$B$2:$C$13,2,0),""))</f>
        <v/>
      </c>
    </row>
    <row r="3299" spans="20:20" x14ac:dyDescent="0.3">
      <c r="T3299" s="47" t="str">
        <f ca="1">IF(R3299="","",IFERROR(TODAY()+VLOOKUP(R3299,REGRAS!$B$2:$C$13,2,0),""))</f>
        <v/>
      </c>
    </row>
    <row r="3300" spans="20:20" x14ac:dyDescent="0.3">
      <c r="T3300" s="47" t="str">
        <f ca="1">IF(R3300="","",IFERROR(TODAY()+VLOOKUP(R3300,REGRAS!$B$2:$C$13,2,0),""))</f>
        <v/>
      </c>
    </row>
    <row r="3301" spans="20:20" x14ac:dyDescent="0.3">
      <c r="T3301" s="47" t="str">
        <f ca="1">IF(R3301="","",IFERROR(TODAY()+VLOOKUP(R3301,REGRAS!$B$2:$C$13,2,0),""))</f>
        <v/>
      </c>
    </row>
    <row r="3302" spans="20:20" x14ac:dyDescent="0.3">
      <c r="T3302" s="47" t="str">
        <f ca="1">IF(R3302="","",IFERROR(TODAY()+VLOOKUP(R3302,REGRAS!$B$2:$C$13,2,0),""))</f>
        <v/>
      </c>
    </row>
    <row r="3303" spans="20:20" x14ac:dyDescent="0.3">
      <c r="T3303" s="47" t="str">
        <f ca="1">IF(R3303="","",IFERROR(TODAY()+VLOOKUP(R3303,REGRAS!$B$2:$C$13,2,0),""))</f>
        <v/>
      </c>
    </row>
    <row r="3304" spans="20:20" x14ac:dyDescent="0.3">
      <c r="T3304" s="47" t="str">
        <f ca="1">IF(R3304="","",IFERROR(TODAY()+VLOOKUP(R3304,REGRAS!$B$2:$C$13,2,0),""))</f>
        <v/>
      </c>
    </row>
    <row r="3305" spans="20:20" x14ac:dyDescent="0.3">
      <c r="T3305" s="47" t="str">
        <f ca="1">IF(R3305="","",IFERROR(TODAY()+VLOOKUP(R3305,REGRAS!$B$2:$C$13,2,0),""))</f>
        <v/>
      </c>
    </row>
    <row r="3306" spans="20:20" x14ac:dyDescent="0.3">
      <c r="T3306" s="47" t="str">
        <f ca="1">IF(R3306="","",IFERROR(TODAY()+VLOOKUP(R3306,REGRAS!$B$2:$C$13,2,0),""))</f>
        <v/>
      </c>
    </row>
    <row r="3307" spans="20:20" x14ac:dyDescent="0.3">
      <c r="T3307" s="47" t="str">
        <f ca="1">IF(R3307="","",IFERROR(TODAY()+VLOOKUP(R3307,REGRAS!$B$2:$C$13,2,0),""))</f>
        <v/>
      </c>
    </row>
    <row r="3308" spans="20:20" x14ac:dyDescent="0.3">
      <c r="T3308" s="47" t="str">
        <f ca="1">IF(R3308="","",IFERROR(TODAY()+VLOOKUP(R3308,REGRAS!$B$2:$C$13,2,0),""))</f>
        <v/>
      </c>
    </row>
    <row r="3309" spans="20:20" x14ac:dyDescent="0.3">
      <c r="T3309" s="47" t="str">
        <f ca="1">IF(R3309="","",IFERROR(TODAY()+VLOOKUP(R3309,REGRAS!$B$2:$C$13,2,0),""))</f>
        <v/>
      </c>
    </row>
    <row r="3310" spans="20:20" x14ac:dyDescent="0.3">
      <c r="T3310" s="47" t="str">
        <f ca="1">IF(R3310="","",IFERROR(TODAY()+VLOOKUP(R3310,REGRAS!$B$2:$C$13,2,0),""))</f>
        <v/>
      </c>
    </row>
    <row r="3311" spans="20:20" x14ac:dyDescent="0.3">
      <c r="T3311" s="47" t="str">
        <f ca="1">IF(R3311="","",IFERROR(TODAY()+VLOOKUP(R3311,REGRAS!$B$2:$C$13,2,0),""))</f>
        <v/>
      </c>
    </row>
    <row r="3312" spans="20:20" x14ac:dyDescent="0.3">
      <c r="T3312" s="47" t="str">
        <f ca="1">IF(R3312="","",IFERROR(TODAY()+VLOOKUP(R3312,REGRAS!$B$2:$C$13,2,0),""))</f>
        <v/>
      </c>
    </row>
    <row r="3313" spans="20:20" x14ac:dyDescent="0.3">
      <c r="T3313" s="47" t="str">
        <f ca="1">IF(R3313="","",IFERROR(TODAY()+VLOOKUP(R3313,REGRAS!$B$2:$C$13,2,0),""))</f>
        <v/>
      </c>
    </row>
    <row r="3314" spans="20:20" x14ac:dyDescent="0.3">
      <c r="T3314" s="47" t="str">
        <f ca="1">IF(R3314="","",IFERROR(TODAY()+VLOOKUP(R3314,REGRAS!$B$2:$C$13,2,0),""))</f>
        <v/>
      </c>
    </row>
    <row r="3315" spans="20:20" x14ac:dyDescent="0.3">
      <c r="T3315" s="47" t="str">
        <f ca="1">IF(R3315="","",IFERROR(TODAY()+VLOOKUP(R3315,REGRAS!$B$2:$C$13,2,0),""))</f>
        <v/>
      </c>
    </row>
    <row r="3316" spans="20:20" x14ac:dyDescent="0.3">
      <c r="T3316" s="47" t="str">
        <f ca="1">IF(R3316="","",IFERROR(TODAY()+VLOOKUP(R3316,REGRAS!$B$2:$C$13,2,0),""))</f>
        <v/>
      </c>
    </row>
    <row r="3317" spans="20:20" x14ac:dyDescent="0.3">
      <c r="T3317" s="47" t="str">
        <f ca="1">IF(R3317="","",IFERROR(TODAY()+VLOOKUP(R3317,REGRAS!$B$2:$C$13,2,0),""))</f>
        <v/>
      </c>
    </row>
    <row r="3318" spans="20:20" x14ac:dyDescent="0.3">
      <c r="T3318" s="47" t="str">
        <f ca="1">IF(R3318="","",IFERROR(TODAY()+VLOOKUP(R3318,REGRAS!$B$2:$C$13,2,0),""))</f>
        <v/>
      </c>
    </row>
    <row r="3319" spans="20:20" x14ac:dyDescent="0.3">
      <c r="T3319" s="47" t="str">
        <f ca="1">IF(R3319="","",IFERROR(TODAY()+VLOOKUP(R3319,REGRAS!$B$2:$C$13,2,0),""))</f>
        <v/>
      </c>
    </row>
    <row r="3320" spans="20:20" x14ac:dyDescent="0.3">
      <c r="T3320" s="47" t="str">
        <f ca="1">IF(R3320="","",IFERROR(TODAY()+VLOOKUP(R3320,REGRAS!$B$2:$C$13,2,0),""))</f>
        <v/>
      </c>
    </row>
    <row r="3321" spans="20:20" x14ac:dyDescent="0.3">
      <c r="T3321" s="47" t="str">
        <f ca="1">IF(R3321="","",IFERROR(TODAY()+VLOOKUP(R3321,REGRAS!$B$2:$C$13,2,0),""))</f>
        <v/>
      </c>
    </row>
    <row r="3322" spans="20:20" x14ac:dyDescent="0.3">
      <c r="T3322" s="47" t="str">
        <f ca="1">IF(R3322="","",IFERROR(TODAY()+VLOOKUP(R3322,REGRAS!$B$2:$C$13,2,0),""))</f>
        <v/>
      </c>
    </row>
    <row r="3323" spans="20:20" x14ac:dyDescent="0.3">
      <c r="T3323" s="47" t="str">
        <f ca="1">IF(R3323="","",IFERROR(TODAY()+VLOOKUP(R3323,REGRAS!$B$2:$C$13,2,0),""))</f>
        <v/>
      </c>
    </row>
    <row r="3324" spans="20:20" x14ac:dyDescent="0.3">
      <c r="T3324" s="47" t="str">
        <f ca="1">IF(R3324="","",IFERROR(TODAY()+VLOOKUP(R3324,REGRAS!$B$2:$C$13,2,0),""))</f>
        <v/>
      </c>
    </row>
    <row r="3325" spans="20:20" x14ac:dyDescent="0.3">
      <c r="T3325" s="47" t="str">
        <f ca="1">IF(R3325="","",IFERROR(TODAY()+VLOOKUP(R3325,REGRAS!$B$2:$C$13,2,0),""))</f>
        <v/>
      </c>
    </row>
    <row r="3326" spans="20:20" x14ac:dyDescent="0.3">
      <c r="T3326" s="47" t="str">
        <f ca="1">IF(R3326="","",IFERROR(TODAY()+VLOOKUP(R3326,REGRAS!$B$2:$C$13,2,0),""))</f>
        <v/>
      </c>
    </row>
    <row r="3327" spans="20:20" x14ac:dyDescent="0.3">
      <c r="T3327" s="47" t="str">
        <f ca="1">IF(R3327="","",IFERROR(TODAY()+VLOOKUP(R3327,REGRAS!$B$2:$C$13,2,0),""))</f>
        <v/>
      </c>
    </row>
    <row r="3328" spans="20:20" x14ac:dyDescent="0.3">
      <c r="T3328" s="47" t="str">
        <f ca="1">IF(R3328="","",IFERROR(TODAY()+VLOOKUP(R3328,REGRAS!$B$2:$C$13,2,0),""))</f>
        <v/>
      </c>
    </row>
    <row r="3329" spans="20:20" x14ac:dyDescent="0.3">
      <c r="T3329" s="47" t="str">
        <f ca="1">IF(R3329="","",IFERROR(TODAY()+VLOOKUP(R3329,REGRAS!$B$2:$C$13,2,0),""))</f>
        <v/>
      </c>
    </row>
    <row r="3330" spans="20:20" x14ac:dyDescent="0.3">
      <c r="T3330" s="47" t="str">
        <f ca="1">IF(R3330="","",IFERROR(TODAY()+VLOOKUP(R3330,REGRAS!$B$2:$C$13,2,0),""))</f>
        <v/>
      </c>
    </row>
    <row r="3331" spans="20:20" x14ac:dyDescent="0.3">
      <c r="T3331" s="47" t="str">
        <f ca="1">IF(R3331="","",IFERROR(TODAY()+VLOOKUP(R3331,REGRAS!$B$2:$C$13,2,0),""))</f>
        <v/>
      </c>
    </row>
    <row r="3332" spans="20:20" x14ac:dyDescent="0.3">
      <c r="T3332" s="47" t="str">
        <f ca="1">IF(R3332="","",IFERROR(TODAY()+VLOOKUP(R3332,REGRAS!$B$2:$C$13,2,0),""))</f>
        <v/>
      </c>
    </row>
    <row r="3333" spans="20:20" x14ac:dyDescent="0.3">
      <c r="T3333" s="47" t="str">
        <f ca="1">IF(R3333="","",IFERROR(TODAY()+VLOOKUP(R3333,REGRAS!$B$2:$C$13,2,0),""))</f>
        <v/>
      </c>
    </row>
    <row r="3334" spans="20:20" x14ac:dyDescent="0.3">
      <c r="T3334" s="47" t="str">
        <f ca="1">IF(R3334="","",IFERROR(TODAY()+VLOOKUP(R3334,REGRAS!$B$2:$C$13,2,0),""))</f>
        <v/>
      </c>
    </row>
    <row r="3335" spans="20:20" x14ac:dyDescent="0.3">
      <c r="T3335" s="47" t="str">
        <f ca="1">IF(R3335="","",IFERROR(TODAY()+VLOOKUP(R3335,REGRAS!$B$2:$C$13,2,0),""))</f>
        <v/>
      </c>
    </row>
    <row r="3336" spans="20:20" x14ac:dyDescent="0.3">
      <c r="T3336" s="47" t="str">
        <f ca="1">IF(R3336="","",IFERROR(TODAY()+VLOOKUP(R3336,REGRAS!$B$2:$C$13,2,0),""))</f>
        <v/>
      </c>
    </row>
    <row r="3337" spans="20:20" x14ac:dyDescent="0.3">
      <c r="T3337" s="47" t="str">
        <f ca="1">IF(R3337="","",IFERROR(TODAY()+VLOOKUP(R3337,REGRAS!$B$2:$C$13,2,0),""))</f>
        <v/>
      </c>
    </row>
    <row r="3338" spans="20:20" x14ac:dyDescent="0.3">
      <c r="T3338" s="47" t="str">
        <f ca="1">IF(R3338="","",IFERROR(TODAY()+VLOOKUP(R3338,REGRAS!$B$2:$C$13,2,0),""))</f>
        <v/>
      </c>
    </row>
    <row r="3339" spans="20:20" x14ac:dyDescent="0.3">
      <c r="T3339" s="47" t="str">
        <f ca="1">IF(R3339="","",IFERROR(TODAY()+VLOOKUP(R3339,REGRAS!$B$2:$C$13,2,0),""))</f>
        <v/>
      </c>
    </row>
    <row r="3340" spans="20:20" x14ac:dyDescent="0.3">
      <c r="T3340" s="47" t="str">
        <f ca="1">IF(R3340="","",IFERROR(TODAY()+VLOOKUP(R3340,REGRAS!$B$2:$C$13,2,0),""))</f>
        <v/>
      </c>
    </row>
    <row r="3341" spans="20:20" x14ac:dyDescent="0.3">
      <c r="T3341" s="47" t="str">
        <f ca="1">IF(R3341="","",IFERROR(TODAY()+VLOOKUP(R3341,REGRAS!$B$2:$C$13,2,0),""))</f>
        <v/>
      </c>
    </row>
    <row r="3342" spans="20:20" x14ac:dyDescent="0.3">
      <c r="T3342" s="47" t="str">
        <f ca="1">IF(R3342="","",IFERROR(TODAY()+VLOOKUP(R3342,REGRAS!$B$2:$C$13,2,0),""))</f>
        <v/>
      </c>
    </row>
    <row r="3343" spans="20:20" x14ac:dyDescent="0.3">
      <c r="T3343" s="47" t="str">
        <f ca="1">IF(R3343="","",IFERROR(TODAY()+VLOOKUP(R3343,REGRAS!$B$2:$C$13,2,0),""))</f>
        <v/>
      </c>
    </row>
    <row r="3344" spans="20:20" x14ac:dyDescent="0.3">
      <c r="T3344" s="47" t="str">
        <f ca="1">IF(R3344="","",IFERROR(TODAY()+VLOOKUP(R3344,REGRAS!$B$2:$C$13,2,0),""))</f>
        <v/>
      </c>
    </row>
    <row r="3345" spans="20:20" x14ac:dyDescent="0.3">
      <c r="T3345" s="47" t="str">
        <f ca="1">IF(R3345="","",IFERROR(TODAY()+VLOOKUP(R3345,REGRAS!$B$2:$C$13,2,0),""))</f>
        <v/>
      </c>
    </row>
    <row r="3346" spans="20:20" x14ac:dyDescent="0.3">
      <c r="T3346" s="47" t="str">
        <f ca="1">IF(R3346="","",IFERROR(TODAY()+VLOOKUP(R3346,REGRAS!$B$2:$C$13,2,0),""))</f>
        <v/>
      </c>
    </row>
    <row r="3347" spans="20:20" x14ac:dyDescent="0.3">
      <c r="T3347" s="47" t="str">
        <f ca="1">IF(R3347="","",IFERROR(TODAY()+VLOOKUP(R3347,REGRAS!$B$2:$C$13,2,0),""))</f>
        <v/>
      </c>
    </row>
    <row r="3348" spans="20:20" x14ac:dyDescent="0.3">
      <c r="T3348" s="47" t="str">
        <f ca="1">IF(R3348="","",IFERROR(TODAY()+VLOOKUP(R3348,REGRAS!$B$2:$C$13,2,0),""))</f>
        <v/>
      </c>
    </row>
    <row r="3349" spans="20:20" x14ac:dyDescent="0.3">
      <c r="T3349" s="47" t="str">
        <f ca="1">IF(R3349="","",IFERROR(TODAY()+VLOOKUP(R3349,REGRAS!$B$2:$C$13,2,0),""))</f>
        <v/>
      </c>
    </row>
    <row r="3350" spans="20:20" x14ac:dyDescent="0.3">
      <c r="T3350" s="47" t="str">
        <f ca="1">IF(R3350="","",IFERROR(TODAY()+VLOOKUP(R3350,REGRAS!$B$2:$C$13,2,0),""))</f>
        <v/>
      </c>
    </row>
    <row r="3351" spans="20:20" x14ac:dyDescent="0.3">
      <c r="T3351" s="47" t="str">
        <f ca="1">IF(R3351="","",IFERROR(TODAY()+VLOOKUP(R3351,REGRAS!$B$2:$C$13,2,0),""))</f>
        <v/>
      </c>
    </row>
    <row r="3352" spans="20:20" x14ac:dyDescent="0.3">
      <c r="T3352" s="47" t="str">
        <f ca="1">IF(R3352="","",IFERROR(TODAY()+VLOOKUP(R3352,REGRAS!$B$2:$C$13,2,0),""))</f>
        <v/>
      </c>
    </row>
    <row r="3353" spans="20:20" x14ac:dyDescent="0.3">
      <c r="T3353" s="47" t="str">
        <f ca="1">IF(R3353="","",IFERROR(TODAY()+VLOOKUP(R3353,REGRAS!$B$2:$C$13,2,0),""))</f>
        <v/>
      </c>
    </row>
    <row r="3354" spans="20:20" x14ac:dyDescent="0.3">
      <c r="T3354" s="47" t="str">
        <f ca="1">IF(R3354="","",IFERROR(TODAY()+VLOOKUP(R3354,REGRAS!$B$2:$C$13,2,0),""))</f>
        <v/>
      </c>
    </row>
    <row r="3355" spans="20:20" x14ac:dyDescent="0.3">
      <c r="T3355" s="47" t="str">
        <f ca="1">IF(R3355="","",IFERROR(TODAY()+VLOOKUP(R3355,REGRAS!$B$2:$C$13,2,0),""))</f>
        <v/>
      </c>
    </row>
    <row r="3356" spans="20:20" x14ac:dyDescent="0.3">
      <c r="T3356" s="47" t="str">
        <f ca="1">IF(R3356="","",IFERROR(TODAY()+VLOOKUP(R3356,REGRAS!$B$2:$C$13,2,0),""))</f>
        <v/>
      </c>
    </row>
    <row r="3357" spans="20:20" x14ac:dyDescent="0.3">
      <c r="T3357" s="47" t="str">
        <f ca="1">IF(R3357="","",IFERROR(TODAY()+VLOOKUP(R3357,REGRAS!$B$2:$C$13,2,0),""))</f>
        <v/>
      </c>
    </row>
    <row r="3358" spans="20:20" x14ac:dyDescent="0.3">
      <c r="T3358" s="47" t="str">
        <f ca="1">IF(R3358="","",IFERROR(TODAY()+VLOOKUP(R3358,REGRAS!$B$2:$C$13,2,0),""))</f>
        <v/>
      </c>
    </row>
    <row r="3359" spans="20:20" x14ac:dyDescent="0.3">
      <c r="T3359" s="47" t="str">
        <f ca="1">IF(R3359="","",IFERROR(TODAY()+VLOOKUP(R3359,REGRAS!$B$2:$C$13,2,0),""))</f>
        <v/>
      </c>
    </row>
    <row r="3360" spans="20:20" x14ac:dyDescent="0.3">
      <c r="T3360" s="47" t="str">
        <f ca="1">IF(R3360="","",IFERROR(TODAY()+VLOOKUP(R3360,REGRAS!$B$2:$C$13,2,0),""))</f>
        <v/>
      </c>
    </row>
    <row r="3361" spans="20:20" x14ac:dyDescent="0.3">
      <c r="T3361" s="47" t="str">
        <f ca="1">IF(R3361="","",IFERROR(TODAY()+VLOOKUP(R3361,REGRAS!$B$2:$C$13,2,0),""))</f>
        <v/>
      </c>
    </row>
    <row r="3362" spans="20:20" x14ac:dyDescent="0.3">
      <c r="T3362" s="47" t="str">
        <f ca="1">IF(R3362="","",IFERROR(TODAY()+VLOOKUP(R3362,REGRAS!$B$2:$C$13,2,0),""))</f>
        <v/>
      </c>
    </row>
    <row r="3363" spans="20:20" x14ac:dyDescent="0.3">
      <c r="T3363" s="47" t="str">
        <f ca="1">IF(R3363="","",IFERROR(TODAY()+VLOOKUP(R3363,REGRAS!$B$2:$C$13,2,0),""))</f>
        <v/>
      </c>
    </row>
    <row r="3364" spans="20:20" x14ac:dyDescent="0.3">
      <c r="T3364" s="47" t="str">
        <f ca="1">IF(R3364="","",IFERROR(TODAY()+VLOOKUP(R3364,REGRAS!$B$2:$C$13,2,0),""))</f>
        <v/>
      </c>
    </row>
    <row r="3365" spans="20:20" x14ac:dyDescent="0.3">
      <c r="T3365" s="47" t="str">
        <f ca="1">IF(R3365="","",IFERROR(TODAY()+VLOOKUP(R3365,REGRAS!$B$2:$C$13,2,0),""))</f>
        <v/>
      </c>
    </row>
    <row r="3366" spans="20:20" x14ac:dyDescent="0.3">
      <c r="T3366" s="47" t="str">
        <f ca="1">IF(R3366="","",IFERROR(TODAY()+VLOOKUP(R3366,REGRAS!$B$2:$C$13,2,0),""))</f>
        <v/>
      </c>
    </row>
    <row r="3367" spans="20:20" x14ac:dyDescent="0.3">
      <c r="T3367" s="47" t="str">
        <f ca="1">IF(R3367="","",IFERROR(TODAY()+VLOOKUP(R3367,REGRAS!$B$2:$C$13,2,0),""))</f>
        <v/>
      </c>
    </row>
    <row r="3368" spans="20:20" x14ac:dyDescent="0.3">
      <c r="T3368" s="47" t="str">
        <f ca="1">IF(R3368="","",IFERROR(TODAY()+VLOOKUP(R3368,REGRAS!$B$2:$C$13,2,0),""))</f>
        <v/>
      </c>
    </row>
    <row r="3369" spans="20:20" x14ac:dyDescent="0.3">
      <c r="T3369" s="47" t="str">
        <f ca="1">IF(R3369="","",IFERROR(TODAY()+VLOOKUP(R3369,REGRAS!$B$2:$C$13,2,0),""))</f>
        <v/>
      </c>
    </row>
    <row r="3370" spans="20:20" x14ac:dyDescent="0.3">
      <c r="T3370" s="47" t="str">
        <f ca="1">IF(R3370="","",IFERROR(TODAY()+VLOOKUP(R3370,REGRAS!$B$2:$C$13,2,0),""))</f>
        <v/>
      </c>
    </row>
    <row r="3371" spans="20:20" x14ac:dyDescent="0.3">
      <c r="T3371" s="47" t="str">
        <f ca="1">IF(R3371="","",IFERROR(TODAY()+VLOOKUP(R3371,REGRAS!$B$2:$C$13,2,0),""))</f>
        <v/>
      </c>
    </row>
    <row r="3372" spans="20:20" x14ac:dyDescent="0.3">
      <c r="T3372" s="47" t="str">
        <f ca="1">IF(R3372="","",IFERROR(TODAY()+VLOOKUP(R3372,REGRAS!$B$2:$C$13,2,0),""))</f>
        <v/>
      </c>
    </row>
    <row r="3373" spans="20:20" x14ac:dyDescent="0.3">
      <c r="T3373" s="47" t="str">
        <f ca="1">IF(R3373="","",IFERROR(TODAY()+VLOOKUP(R3373,REGRAS!$B$2:$C$13,2,0),""))</f>
        <v/>
      </c>
    </row>
    <row r="3374" spans="20:20" x14ac:dyDescent="0.3">
      <c r="T3374" s="47" t="str">
        <f ca="1">IF(R3374="","",IFERROR(TODAY()+VLOOKUP(R3374,REGRAS!$B$2:$C$13,2,0),""))</f>
        <v/>
      </c>
    </row>
    <row r="3375" spans="20:20" x14ac:dyDescent="0.3">
      <c r="T3375" s="47" t="str">
        <f ca="1">IF(R3375="","",IFERROR(TODAY()+VLOOKUP(R3375,REGRAS!$B$2:$C$13,2,0),""))</f>
        <v/>
      </c>
    </row>
    <row r="3376" spans="20:20" x14ac:dyDescent="0.3">
      <c r="T3376" s="47" t="str">
        <f ca="1">IF(R3376="","",IFERROR(TODAY()+VLOOKUP(R3376,REGRAS!$B$2:$C$13,2,0),""))</f>
        <v/>
      </c>
    </row>
    <row r="3377" spans="20:20" x14ac:dyDescent="0.3">
      <c r="T3377" s="47" t="str">
        <f ca="1">IF(R3377="","",IFERROR(TODAY()+VLOOKUP(R3377,REGRAS!$B$2:$C$13,2,0),""))</f>
        <v/>
      </c>
    </row>
    <row r="3378" spans="20:20" x14ac:dyDescent="0.3">
      <c r="T3378" s="47" t="str">
        <f ca="1">IF(R3378="","",IFERROR(TODAY()+VLOOKUP(R3378,REGRAS!$B$2:$C$13,2,0),""))</f>
        <v/>
      </c>
    </row>
    <row r="3379" spans="20:20" x14ac:dyDescent="0.3">
      <c r="T3379" s="47" t="str">
        <f ca="1">IF(R3379="","",IFERROR(TODAY()+VLOOKUP(R3379,REGRAS!$B$2:$C$13,2,0),""))</f>
        <v/>
      </c>
    </row>
    <row r="3380" spans="20:20" x14ac:dyDescent="0.3">
      <c r="T3380" s="47" t="str">
        <f ca="1">IF(R3380="","",IFERROR(TODAY()+VLOOKUP(R3380,REGRAS!$B$2:$C$13,2,0),""))</f>
        <v/>
      </c>
    </row>
    <row r="3381" spans="20:20" x14ac:dyDescent="0.3">
      <c r="T3381" s="47" t="str">
        <f ca="1">IF(R3381="","",IFERROR(TODAY()+VLOOKUP(R3381,REGRAS!$B$2:$C$13,2,0),""))</f>
        <v/>
      </c>
    </row>
    <row r="3382" spans="20:20" x14ac:dyDescent="0.3">
      <c r="T3382" s="47" t="str">
        <f ca="1">IF(R3382="","",IFERROR(TODAY()+VLOOKUP(R3382,REGRAS!$B$2:$C$13,2,0),""))</f>
        <v/>
      </c>
    </row>
    <row r="3383" spans="20:20" x14ac:dyDescent="0.3">
      <c r="T3383" s="47" t="str">
        <f ca="1">IF(R3383="","",IFERROR(TODAY()+VLOOKUP(R3383,REGRAS!$B$2:$C$13,2,0),""))</f>
        <v/>
      </c>
    </row>
    <row r="3384" spans="20:20" x14ac:dyDescent="0.3">
      <c r="T3384" s="47" t="str">
        <f ca="1">IF(R3384="","",IFERROR(TODAY()+VLOOKUP(R3384,REGRAS!$B$2:$C$13,2,0),""))</f>
        <v/>
      </c>
    </row>
    <row r="3385" spans="20:20" x14ac:dyDescent="0.3">
      <c r="T3385" s="47" t="str">
        <f ca="1">IF(R3385="","",IFERROR(TODAY()+VLOOKUP(R3385,REGRAS!$B$2:$C$13,2,0),""))</f>
        <v/>
      </c>
    </row>
    <row r="3386" spans="20:20" x14ac:dyDescent="0.3">
      <c r="T3386" s="47" t="str">
        <f ca="1">IF(R3386="","",IFERROR(TODAY()+VLOOKUP(R3386,REGRAS!$B$2:$C$13,2,0),""))</f>
        <v/>
      </c>
    </row>
    <row r="3387" spans="20:20" x14ac:dyDescent="0.3">
      <c r="T3387" s="47" t="str">
        <f ca="1">IF(R3387="","",IFERROR(TODAY()+VLOOKUP(R3387,REGRAS!$B$2:$C$13,2,0),""))</f>
        <v/>
      </c>
    </row>
    <row r="3388" spans="20:20" x14ac:dyDescent="0.3">
      <c r="T3388" s="47" t="str">
        <f ca="1">IF(R3388="","",IFERROR(TODAY()+VLOOKUP(R3388,REGRAS!$B$2:$C$13,2,0),""))</f>
        <v/>
      </c>
    </row>
    <row r="3389" spans="20:20" x14ac:dyDescent="0.3">
      <c r="T3389" s="47" t="str">
        <f ca="1">IF(R3389="","",IFERROR(TODAY()+VLOOKUP(R3389,REGRAS!$B$2:$C$13,2,0),""))</f>
        <v/>
      </c>
    </row>
    <row r="3390" spans="20:20" x14ac:dyDescent="0.3">
      <c r="T3390" s="47" t="str">
        <f ca="1">IF(R3390="","",IFERROR(TODAY()+VLOOKUP(R3390,REGRAS!$B$2:$C$13,2,0),""))</f>
        <v/>
      </c>
    </row>
    <row r="3391" spans="20:20" x14ac:dyDescent="0.3">
      <c r="T3391" s="47" t="str">
        <f ca="1">IF(R3391="","",IFERROR(TODAY()+VLOOKUP(R3391,REGRAS!$B$2:$C$13,2,0),""))</f>
        <v/>
      </c>
    </row>
    <row r="3392" spans="20:20" x14ac:dyDescent="0.3">
      <c r="T3392" s="47" t="str">
        <f ca="1">IF(R3392="","",IFERROR(TODAY()+VLOOKUP(R3392,REGRAS!$B$2:$C$13,2,0),""))</f>
        <v/>
      </c>
    </row>
    <row r="3393" spans="20:20" x14ac:dyDescent="0.3">
      <c r="T3393" s="47" t="str">
        <f ca="1">IF(R3393="","",IFERROR(TODAY()+VLOOKUP(R3393,REGRAS!$B$2:$C$13,2,0),""))</f>
        <v/>
      </c>
    </row>
    <row r="3394" spans="20:20" x14ac:dyDescent="0.3">
      <c r="T3394" s="47" t="str">
        <f ca="1">IF(R3394="","",IFERROR(TODAY()+VLOOKUP(R3394,REGRAS!$B$2:$C$13,2,0),""))</f>
        <v/>
      </c>
    </row>
    <row r="3395" spans="20:20" x14ac:dyDescent="0.3">
      <c r="T3395" s="47" t="str">
        <f ca="1">IF(R3395="","",IFERROR(TODAY()+VLOOKUP(R3395,REGRAS!$B$2:$C$13,2,0),""))</f>
        <v/>
      </c>
    </row>
    <row r="3396" spans="20:20" x14ac:dyDescent="0.3">
      <c r="T3396" s="47" t="str">
        <f ca="1">IF(R3396="","",IFERROR(TODAY()+VLOOKUP(R3396,REGRAS!$B$2:$C$13,2,0),""))</f>
        <v/>
      </c>
    </row>
    <row r="3397" spans="20:20" x14ac:dyDescent="0.3">
      <c r="T3397" s="47" t="str">
        <f ca="1">IF(R3397="","",IFERROR(TODAY()+VLOOKUP(R3397,REGRAS!$B$2:$C$13,2,0),""))</f>
        <v/>
      </c>
    </row>
    <row r="3398" spans="20:20" x14ac:dyDescent="0.3">
      <c r="T3398" s="47" t="str">
        <f ca="1">IF(R3398="","",IFERROR(TODAY()+VLOOKUP(R3398,REGRAS!$B$2:$C$13,2,0),""))</f>
        <v/>
      </c>
    </row>
    <row r="3399" spans="20:20" x14ac:dyDescent="0.3">
      <c r="T3399" s="47" t="str">
        <f ca="1">IF(R3399="","",IFERROR(TODAY()+VLOOKUP(R3399,REGRAS!$B$2:$C$13,2,0),""))</f>
        <v/>
      </c>
    </row>
    <row r="3400" spans="20:20" x14ac:dyDescent="0.3">
      <c r="T3400" s="47" t="str">
        <f ca="1">IF(R3400="","",IFERROR(TODAY()+VLOOKUP(R3400,REGRAS!$B$2:$C$13,2,0),""))</f>
        <v/>
      </c>
    </row>
    <row r="3401" spans="20:20" x14ac:dyDescent="0.3">
      <c r="T3401" s="47" t="str">
        <f ca="1">IF(R3401="","",IFERROR(TODAY()+VLOOKUP(R3401,REGRAS!$B$2:$C$13,2,0),""))</f>
        <v/>
      </c>
    </row>
    <row r="3402" spans="20:20" x14ac:dyDescent="0.3">
      <c r="T3402" s="47" t="str">
        <f ca="1">IF(R3402="","",IFERROR(TODAY()+VLOOKUP(R3402,REGRAS!$B$2:$C$13,2,0),""))</f>
        <v/>
      </c>
    </row>
    <row r="3403" spans="20:20" x14ac:dyDescent="0.3">
      <c r="T3403" s="47" t="str">
        <f ca="1">IF(R3403="","",IFERROR(TODAY()+VLOOKUP(R3403,REGRAS!$B$2:$C$13,2,0),""))</f>
        <v/>
      </c>
    </row>
    <row r="3404" spans="20:20" x14ac:dyDescent="0.3">
      <c r="T3404" s="47" t="str">
        <f ca="1">IF(R3404="","",IFERROR(TODAY()+VLOOKUP(R3404,REGRAS!$B$2:$C$13,2,0),""))</f>
        <v/>
      </c>
    </row>
    <row r="3405" spans="20:20" x14ac:dyDescent="0.3">
      <c r="T3405" s="47" t="str">
        <f ca="1">IF(R3405="","",IFERROR(TODAY()+VLOOKUP(R3405,REGRAS!$B$2:$C$13,2,0),""))</f>
        <v/>
      </c>
    </row>
    <row r="3406" spans="20:20" x14ac:dyDescent="0.3">
      <c r="T3406" s="47" t="str">
        <f ca="1">IF(R3406="","",IFERROR(TODAY()+VLOOKUP(R3406,REGRAS!$B$2:$C$13,2,0),""))</f>
        <v/>
      </c>
    </row>
    <row r="3407" spans="20:20" x14ac:dyDescent="0.3">
      <c r="T3407" s="47" t="str">
        <f ca="1">IF(R3407="","",IFERROR(TODAY()+VLOOKUP(R3407,REGRAS!$B$2:$C$13,2,0),""))</f>
        <v/>
      </c>
    </row>
    <row r="3408" spans="20:20" x14ac:dyDescent="0.3">
      <c r="T3408" s="47" t="str">
        <f ca="1">IF(R3408="","",IFERROR(TODAY()+VLOOKUP(R3408,REGRAS!$B$2:$C$13,2,0),""))</f>
        <v/>
      </c>
    </row>
    <row r="3409" spans="20:20" x14ac:dyDescent="0.3">
      <c r="T3409" s="47" t="str">
        <f ca="1">IF(R3409="","",IFERROR(TODAY()+VLOOKUP(R3409,REGRAS!$B$2:$C$13,2,0),""))</f>
        <v/>
      </c>
    </row>
    <row r="3410" spans="20:20" x14ac:dyDescent="0.3">
      <c r="T3410" s="47" t="str">
        <f ca="1">IF(R3410="","",IFERROR(TODAY()+VLOOKUP(R3410,REGRAS!$B$2:$C$13,2,0),""))</f>
        <v/>
      </c>
    </row>
    <row r="3411" spans="20:20" x14ac:dyDescent="0.3">
      <c r="T3411" s="47" t="str">
        <f ca="1">IF(R3411="","",IFERROR(TODAY()+VLOOKUP(R3411,REGRAS!$B$2:$C$13,2,0),""))</f>
        <v/>
      </c>
    </row>
    <row r="3412" spans="20:20" x14ac:dyDescent="0.3">
      <c r="T3412" s="47" t="str">
        <f ca="1">IF(R3412="","",IFERROR(TODAY()+VLOOKUP(R3412,REGRAS!$B$2:$C$13,2,0),""))</f>
        <v/>
      </c>
    </row>
    <row r="3413" spans="20:20" x14ac:dyDescent="0.3">
      <c r="T3413" s="47" t="str">
        <f ca="1">IF(R3413="","",IFERROR(TODAY()+VLOOKUP(R3413,REGRAS!$B$2:$C$13,2,0),""))</f>
        <v/>
      </c>
    </row>
    <row r="3414" spans="20:20" x14ac:dyDescent="0.3">
      <c r="T3414" s="47" t="str">
        <f ca="1">IF(R3414="","",IFERROR(TODAY()+VLOOKUP(R3414,REGRAS!$B$2:$C$13,2,0),""))</f>
        <v/>
      </c>
    </row>
    <row r="3415" spans="20:20" x14ac:dyDescent="0.3">
      <c r="T3415" s="47" t="str">
        <f ca="1">IF(R3415="","",IFERROR(TODAY()+VLOOKUP(R3415,REGRAS!$B$2:$C$13,2,0),""))</f>
        <v/>
      </c>
    </row>
    <row r="3416" spans="20:20" x14ac:dyDescent="0.3">
      <c r="T3416" s="47" t="str">
        <f ca="1">IF(R3416="","",IFERROR(TODAY()+VLOOKUP(R3416,REGRAS!$B$2:$C$13,2,0),""))</f>
        <v/>
      </c>
    </row>
    <row r="3417" spans="20:20" x14ac:dyDescent="0.3">
      <c r="T3417" s="47" t="str">
        <f ca="1">IF(R3417="","",IFERROR(TODAY()+VLOOKUP(R3417,REGRAS!$B$2:$C$13,2,0),""))</f>
        <v/>
      </c>
    </row>
    <row r="3418" spans="20:20" x14ac:dyDescent="0.3">
      <c r="T3418" s="47" t="str">
        <f ca="1">IF(R3418="","",IFERROR(TODAY()+VLOOKUP(R3418,REGRAS!$B$2:$C$13,2,0),""))</f>
        <v/>
      </c>
    </row>
    <row r="3419" spans="20:20" x14ac:dyDescent="0.3">
      <c r="T3419" s="47" t="str">
        <f ca="1">IF(R3419="","",IFERROR(TODAY()+VLOOKUP(R3419,REGRAS!$B$2:$C$13,2,0),""))</f>
        <v/>
      </c>
    </row>
    <row r="3420" spans="20:20" x14ac:dyDescent="0.3">
      <c r="T3420" s="47" t="str">
        <f ca="1">IF(R3420="","",IFERROR(TODAY()+VLOOKUP(R3420,REGRAS!$B$2:$C$13,2,0),""))</f>
        <v/>
      </c>
    </row>
    <row r="3421" spans="20:20" x14ac:dyDescent="0.3">
      <c r="T3421" s="47" t="str">
        <f ca="1">IF(R3421="","",IFERROR(TODAY()+VLOOKUP(R3421,REGRAS!$B$2:$C$13,2,0),""))</f>
        <v/>
      </c>
    </row>
    <row r="3422" spans="20:20" x14ac:dyDescent="0.3">
      <c r="T3422" s="47" t="str">
        <f ca="1">IF(R3422="","",IFERROR(TODAY()+VLOOKUP(R3422,REGRAS!$B$2:$C$13,2,0),""))</f>
        <v/>
      </c>
    </row>
    <row r="3423" spans="20:20" x14ac:dyDescent="0.3">
      <c r="T3423" s="47" t="str">
        <f ca="1">IF(R3423="","",IFERROR(TODAY()+VLOOKUP(R3423,REGRAS!$B$2:$C$13,2,0),""))</f>
        <v/>
      </c>
    </row>
    <row r="3424" spans="20:20" x14ac:dyDescent="0.3">
      <c r="T3424" s="47" t="str">
        <f ca="1">IF(R3424="","",IFERROR(TODAY()+VLOOKUP(R3424,REGRAS!$B$2:$C$13,2,0),""))</f>
        <v/>
      </c>
    </row>
    <row r="3425" spans="20:20" x14ac:dyDescent="0.3">
      <c r="T3425" s="47" t="str">
        <f ca="1">IF(R3425="","",IFERROR(TODAY()+VLOOKUP(R3425,REGRAS!$B$2:$C$13,2,0),""))</f>
        <v/>
      </c>
    </row>
    <row r="3426" spans="20:20" x14ac:dyDescent="0.3">
      <c r="T3426" s="47" t="str">
        <f ca="1">IF(R3426="","",IFERROR(TODAY()+VLOOKUP(R3426,REGRAS!$B$2:$C$13,2,0),""))</f>
        <v/>
      </c>
    </row>
    <row r="3427" spans="20:20" x14ac:dyDescent="0.3">
      <c r="T3427" s="47" t="str">
        <f ca="1">IF(R3427="","",IFERROR(TODAY()+VLOOKUP(R3427,REGRAS!$B$2:$C$13,2,0),""))</f>
        <v/>
      </c>
    </row>
    <row r="3428" spans="20:20" x14ac:dyDescent="0.3">
      <c r="T3428" s="47" t="str">
        <f ca="1">IF(R3428="","",IFERROR(TODAY()+VLOOKUP(R3428,REGRAS!$B$2:$C$13,2,0),""))</f>
        <v/>
      </c>
    </row>
    <row r="3429" spans="20:20" x14ac:dyDescent="0.3">
      <c r="T3429" s="47" t="str">
        <f ca="1">IF(R3429="","",IFERROR(TODAY()+VLOOKUP(R3429,REGRAS!$B$2:$C$13,2,0),""))</f>
        <v/>
      </c>
    </row>
    <row r="3430" spans="20:20" x14ac:dyDescent="0.3">
      <c r="T3430" s="47" t="str">
        <f ca="1">IF(R3430="","",IFERROR(TODAY()+VLOOKUP(R3430,REGRAS!$B$2:$C$13,2,0),""))</f>
        <v/>
      </c>
    </row>
    <row r="3431" spans="20:20" x14ac:dyDescent="0.3">
      <c r="T3431" s="47" t="str">
        <f ca="1">IF(R3431="","",IFERROR(TODAY()+VLOOKUP(R3431,REGRAS!$B$2:$C$13,2,0),""))</f>
        <v/>
      </c>
    </row>
    <row r="3432" spans="20:20" x14ac:dyDescent="0.3">
      <c r="T3432" s="47" t="str">
        <f ca="1">IF(R3432="","",IFERROR(TODAY()+VLOOKUP(R3432,REGRAS!$B$2:$C$13,2,0),""))</f>
        <v/>
      </c>
    </row>
    <row r="3433" spans="20:20" x14ac:dyDescent="0.3">
      <c r="T3433" s="47" t="str">
        <f ca="1">IF(R3433="","",IFERROR(TODAY()+VLOOKUP(R3433,REGRAS!$B$2:$C$13,2,0),""))</f>
        <v/>
      </c>
    </row>
    <row r="3434" spans="20:20" x14ac:dyDescent="0.3">
      <c r="T3434" s="47" t="str">
        <f ca="1">IF(R3434="","",IFERROR(TODAY()+VLOOKUP(R3434,REGRAS!$B$2:$C$13,2,0),""))</f>
        <v/>
      </c>
    </row>
    <row r="3435" spans="20:20" x14ac:dyDescent="0.3">
      <c r="T3435" s="47" t="str">
        <f ca="1">IF(R3435="","",IFERROR(TODAY()+VLOOKUP(R3435,REGRAS!$B$2:$C$13,2,0),""))</f>
        <v/>
      </c>
    </row>
    <row r="3436" spans="20:20" x14ac:dyDescent="0.3">
      <c r="T3436" s="47" t="str">
        <f ca="1">IF(R3436="","",IFERROR(TODAY()+VLOOKUP(R3436,REGRAS!$B$2:$C$13,2,0),""))</f>
        <v/>
      </c>
    </row>
    <row r="3437" spans="20:20" x14ac:dyDescent="0.3">
      <c r="T3437" s="47" t="str">
        <f ca="1">IF(R3437="","",IFERROR(TODAY()+VLOOKUP(R3437,REGRAS!$B$2:$C$13,2,0),""))</f>
        <v/>
      </c>
    </row>
    <row r="3438" spans="20:20" x14ac:dyDescent="0.3">
      <c r="T3438" s="47" t="str">
        <f ca="1">IF(R3438="","",IFERROR(TODAY()+VLOOKUP(R3438,REGRAS!$B$2:$C$13,2,0),""))</f>
        <v/>
      </c>
    </row>
    <row r="3439" spans="20:20" x14ac:dyDescent="0.3">
      <c r="T3439" s="47" t="str">
        <f ca="1">IF(R3439="","",IFERROR(TODAY()+VLOOKUP(R3439,REGRAS!$B$2:$C$13,2,0),""))</f>
        <v/>
      </c>
    </row>
    <row r="3440" spans="20:20" x14ac:dyDescent="0.3">
      <c r="T3440" s="47" t="str">
        <f ca="1">IF(R3440="","",IFERROR(TODAY()+VLOOKUP(R3440,REGRAS!$B$2:$C$13,2,0),""))</f>
        <v/>
      </c>
    </row>
    <row r="3441" spans="20:20" x14ac:dyDescent="0.3">
      <c r="T3441" s="47" t="str">
        <f ca="1">IF(R3441="","",IFERROR(TODAY()+VLOOKUP(R3441,REGRAS!$B$2:$C$13,2,0),""))</f>
        <v/>
      </c>
    </row>
    <row r="3442" spans="20:20" x14ac:dyDescent="0.3">
      <c r="T3442" s="47" t="str">
        <f ca="1">IF(R3442="","",IFERROR(TODAY()+VLOOKUP(R3442,REGRAS!$B$2:$C$13,2,0),""))</f>
        <v/>
      </c>
    </row>
    <row r="3443" spans="20:20" x14ac:dyDescent="0.3">
      <c r="T3443" s="47" t="str">
        <f ca="1">IF(R3443="","",IFERROR(TODAY()+VLOOKUP(R3443,REGRAS!$B$2:$C$13,2,0),""))</f>
        <v/>
      </c>
    </row>
    <row r="3444" spans="20:20" x14ac:dyDescent="0.3">
      <c r="T3444" s="47" t="str">
        <f ca="1">IF(R3444="","",IFERROR(TODAY()+VLOOKUP(R3444,REGRAS!$B$2:$C$13,2,0),""))</f>
        <v/>
      </c>
    </row>
    <row r="3445" spans="20:20" x14ac:dyDescent="0.3">
      <c r="T3445" s="47" t="str">
        <f ca="1">IF(R3445="","",IFERROR(TODAY()+VLOOKUP(R3445,REGRAS!$B$2:$C$13,2,0),""))</f>
        <v/>
      </c>
    </row>
    <row r="3446" spans="20:20" x14ac:dyDescent="0.3">
      <c r="T3446" s="47" t="str">
        <f ca="1">IF(R3446="","",IFERROR(TODAY()+VLOOKUP(R3446,REGRAS!$B$2:$C$13,2,0),""))</f>
        <v/>
      </c>
    </row>
    <row r="3447" spans="20:20" x14ac:dyDescent="0.3">
      <c r="T3447" s="47" t="str">
        <f ca="1">IF(R3447="","",IFERROR(TODAY()+VLOOKUP(R3447,REGRAS!$B$2:$C$13,2,0),""))</f>
        <v/>
      </c>
    </row>
    <row r="3448" spans="20:20" x14ac:dyDescent="0.3">
      <c r="T3448" s="47" t="str">
        <f ca="1">IF(R3448="","",IFERROR(TODAY()+VLOOKUP(R3448,REGRAS!$B$2:$C$13,2,0),""))</f>
        <v/>
      </c>
    </row>
    <row r="3449" spans="20:20" x14ac:dyDescent="0.3">
      <c r="T3449" s="47" t="str">
        <f ca="1">IF(R3449="","",IFERROR(TODAY()+VLOOKUP(R3449,REGRAS!$B$2:$C$13,2,0),""))</f>
        <v/>
      </c>
    </row>
    <row r="3450" spans="20:20" x14ac:dyDescent="0.3">
      <c r="T3450" s="47" t="str">
        <f ca="1">IF(R3450="","",IFERROR(TODAY()+VLOOKUP(R3450,REGRAS!$B$2:$C$13,2,0),""))</f>
        <v/>
      </c>
    </row>
    <row r="3451" spans="20:20" x14ac:dyDescent="0.3">
      <c r="T3451" s="47" t="str">
        <f ca="1">IF(R3451="","",IFERROR(TODAY()+VLOOKUP(R3451,REGRAS!$B$2:$C$13,2,0),""))</f>
        <v/>
      </c>
    </row>
    <row r="3452" spans="20:20" x14ac:dyDescent="0.3">
      <c r="T3452" s="47" t="str">
        <f ca="1">IF(R3452="","",IFERROR(TODAY()+VLOOKUP(R3452,REGRAS!$B$2:$C$13,2,0),""))</f>
        <v/>
      </c>
    </row>
    <row r="3453" spans="20:20" x14ac:dyDescent="0.3">
      <c r="T3453" s="47" t="str">
        <f ca="1">IF(R3453="","",IFERROR(TODAY()+VLOOKUP(R3453,REGRAS!$B$2:$C$13,2,0),""))</f>
        <v/>
      </c>
    </row>
    <row r="3454" spans="20:20" x14ac:dyDescent="0.3">
      <c r="T3454" s="47" t="str">
        <f ca="1">IF(R3454="","",IFERROR(TODAY()+VLOOKUP(R3454,REGRAS!$B$2:$C$13,2,0),""))</f>
        <v/>
      </c>
    </row>
    <row r="3455" spans="20:20" x14ac:dyDescent="0.3">
      <c r="T3455" s="47" t="str">
        <f ca="1">IF(R3455="","",IFERROR(TODAY()+VLOOKUP(R3455,REGRAS!$B$2:$C$13,2,0),""))</f>
        <v/>
      </c>
    </row>
    <row r="3456" spans="20:20" x14ac:dyDescent="0.3">
      <c r="T3456" s="47" t="str">
        <f ca="1">IF(R3456="","",IFERROR(TODAY()+VLOOKUP(R3456,REGRAS!$B$2:$C$13,2,0),""))</f>
        <v/>
      </c>
    </row>
    <row r="3457" spans="20:20" x14ac:dyDescent="0.3">
      <c r="T3457" s="47" t="str">
        <f ca="1">IF(R3457="","",IFERROR(TODAY()+VLOOKUP(R3457,REGRAS!$B$2:$C$13,2,0),""))</f>
        <v/>
      </c>
    </row>
    <row r="3458" spans="20:20" x14ac:dyDescent="0.3">
      <c r="T3458" s="47" t="str">
        <f ca="1">IF(R3458="","",IFERROR(TODAY()+VLOOKUP(R3458,REGRAS!$B$2:$C$13,2,0),""))</f>
        <v/>
      </c>
    </row>
    <row r="3459" spans="20:20" x14ac:dyDescent="0.3">
      <c r="T3459" s="47" t="str">
        <f ca="1">IF(R3459="","",IFERROR(TODAY()+VLOOKUP(R3459,REGRAS!$B$2:$C$13,2,0),""))</f>
        <v/>
      </c>
    </row>
    <row r="3460" spans="20:20" x14ac:dyDescent="0.3">
      <c r="T3460" s="47" t="str">
        <f ca="1">IF(R3460="","",IFERROR(TODAY()+VLOOKUP(R3460,REGRAS!$B$2:$C$13,2,0),""))</f>
        <v/>
      </c>
    </row>
    <row r="3461" spans="20:20" x14ac:dyDescent="0.3">
      <c r="T3461" s="47" t="str">
        <f ca="1">IF(R3461="","",IFERROR(TODAY()+VLOOKUP(R3461,REGRAS!$B$2:$C$13,2,0),""))</f>
        <v/>
      </c>
    </row>
    <row r="3462" spans="20:20" x14ac:dyDescent="0.3">
      <c r="T3462" s="47" t="str">
        <f ca="1">IF(R3462="","",IFERROR(TODAY()+VLOOKUP(R3462,REGRAS!$B$2:$C$13,2,0),""))</f>
        <v/>
      </c>
    </row>
    <row r="3463" spans="20:20" x14ac:dyDescent="0.3">
      <c r="T3463" s="47" t="str">
        <f ca="1">IF(R3463="","",IFERROR(TODAY()+VLOOKUP(R3463,REGRAS!$B$2:$C$13,2,0),""))</f>
        <v/>
      </c>
    </row>
    <row r="3464" spans="20:20" x14ac:dyDescent="0.3">
      <c r="T3464" s="47" t="str">
        <f ca="1">IF(R3464="","",IFERROR(TODAY()+VLOOKUP(R3464,REGRAS!$B$2:$C$13,2,0),""))</f>
        <v/>
      </c>
    </row>
    <row r="3465" spans="20:20" x14ac:dyDescent="0.3">
      <c r="T3465" s="47" t="str">
        <f ca="1">IF(R3465="","",IFERROR(TODAY()+VLOOKUP(R3465,REGRAS!$B$2:$C$13,2,0),""))</f>
        <v/>
      </c>
    </row>
    <row r="3466" spans="20:20" x14ac:dyDescent="0.3">
      <c r="T3466" s="47" t="str">
        <f ca="1">IF(R3466="","",IFERROR(TODAY()+VLOOKUP(R3466,REGRAS!$B$2:$C$13,2,0),""))</f>
        <v/>
      </c>
    </row>
    <row r="3467" spans="20:20" x14ac:dyDescent="0.3">
      <c r="T3467" s="47" t="str">
        <f ca="1">IF(R3467="","",IFERROR(TODAY()+VLOOKUP(R3467,REGRAS!$B$2:$C$13,2,0),""))</f>
        <v/>
      </c>
    </row>
    <row r="3468" spans="20:20" x14ac:dyDescent="0.3">
      <c r="T3468" s="47" t="str">
        <f ca="1">IF(R3468="","",IFERROR(TODAY()+VLOOKUP(R3468,REGRAS!$B$2:$C$13,2,0),""))</f>
        <v/>
      </c>
    </row>
    <row r="3469" spans="20:20" x14ac:dyDescent="0.3">
      <c r="T3469" s="47" t="str">
        <f ca="1">IF(R3469="","",IFERROR(TODAY()+VLOOKUP(R3469,REGRAS!$B$2:$C$13,2,0),""))</f>
        <v/>
      </c>
    </row>
    <row r="3470" spans="20:20" x14ac:dyDescent="0.3">
      <c r="T3470" s="47" t="str">
        <f ca="1">IF(R3470="","",IFERROR(TODAY()+VLOOKUP(R3470,REGRAS!$B$2:$C$13,2,0),""))</f>
        <v/>
      </c>
    </row>
    <row r="3471" spans="20:20" x14ac:dyDescent="0.3">
      <c r="T3471" s="47" t="str">
        <f ca="1">IF(R3471="","",IFERROR(TODAY()+VLOOKUP(R3471,REGRAS!$B$2:$C$13,2,0),""))</f>
        <v/>
      </c>
    </row>
    <row r="3472" spans="20:20" x14ac:dyDescent="0.3">
      <c r="T3472" s="47" t="str">
        <f ca="1">IF(R3472="","",IFERROR(TODAY()+VLOOKUP(R3472,REGRAS!$B$2:$C$13,2,0),""))</f>
        <v/>
      </c>
    </row>
    <row r="3473" spans="20:20" x14ac:dyDescent="0.3">
      <c r="T3473" s="47" t="str">
        <f ca="1">IF(R3473="","",IFERROR(TODAY()+VLOOKUP(R3473,REGRAS!$B$2:$C$13,2,0),""))</f>
        <v/>
      </c>
    </row>
    <row r="3474" spans="20:20" x14ac:dyDescent="0.3">
      <c r="T3474" s="47" t="str">
        <f ca="1">IF(R3474="","",IFERROR(TODAY()+VLOOKUP(R3474,REGRAS!$B$2:$C$13,2,0),""))</f>
        <v/>
      </c>
    </row>
    <row r="3475" spans="20:20" x14ac:dyDescent="0.3">
      <c r="T3475" s="47" t="str">
        <f ca="1">IF(R3475="","",IFERROR(TODAY()+VLOOKUP(R3475,REGRAS!$B$2:$C$13,2,0),""))</f>
        <v/>
      </c>
    </row>
    <row r="3476" spans="20:20" x14ac:dyDescent="0.3">
      <c r="T3476" s="47" t="str">
        <f ca="1">IF(R3476="","",IFERROR(TODAY()+VLOOKUP(R3476,REGRAS!$B$2:$C$13,2,0),""))</f>
        <v/>
      </c>
    </row>
    <row r="3477" spans="20:20" x14ac:dyDescent="0.3">
      <c r="T3477" s="47" t="str">
        <f ca="1">IF(R3477="","",IFERROR(TODAY()+VLOOKUP(R3477,REGRAS!$B$2:$C$13,2,0),""))</f>
        <v/>
      </c>
    </row>
    <row r="3478" spans="20:20" x14ac:dyDescent="0.3">
      <c r="T3478" s="47" t="str">
        <f ca="1">IF(R3478="","",IFERROR(TODAY()+VLOOKUP(R3478,REGRAS!$B$2:$C$13,2,0),""))</f>
        <v/>
      </c>
    </row>
    <row r="3479" spans="20:20" x14ac:dyDescent="0.3">
      <c r="T3479" s="47" t="str">
        <f ca="1">IF(R3479="","",IFERROR(TODAY()+VLOOKUP(R3479,REGRAS!$B$2:$C$13,2,0),""))</f>
        <v/>
      </c>
    </row>
    <row r="3480" spans="20:20" x14ac:dyDescent="0.3">
      <c r="T3480" s="47" t="str">
        <f ca="1">IF(R3480="","",IFERROR(TODAY()+VLOOKUP(R3480,REGRAS!$B$2:$C$13,2,0),""))</f>
        <v/>
      </c>
    </row>
    <row r="3481" spans="20:20" x14ac:dyDescent="0.3">
      <c r="T3481" s="47" t="str">
        <f ca="1">IF(R3481="","",IFERROR(TODAY()+VLOOKUP(R3481,REGRAS!$B$2:$C$13,2,0),""))</f>
        <v/>
      </c>
    </row>
    <row r="3482" spans="20:20" x14ac:dyDescent="0.3">
      <c r="T3482" s="47" t="str">
        <f ca="1">IF(R3482="","",IFERROR(TODAY()+VLOOKUP(R3482,REGRAS!$B$2:$C$13,2,0),""))</f>
        <v/>
      </c>
    </row>
    <row r="3483" spans="20:20" x14ac:dyDescent="0.3">
      <c r="T3483" s="47" t="str">
        <f ca="1">IF(R3483="","",IFERROR(TODAY()+VLOOKUP(R3483,REGRAS!$B$2:$C$13,2,0),""))</f>
        <v/>
      </c>
    </row>
    <row r="3484" spans="20:20" x14ac:dyDescent="0.3">
      <c r="T3484" s="47" t="str">
        <f ca="1">IF(R3484="","",IFERROR(TODAY()+VLOOKUP(R3484,REGRAS!$B$2:$C$13,2,0),""))</f>
        <v/>
      </c>
    </row>
    <row r="3485" spans="20:20" x14ac:dyDescent="0.3">
      <c r="T3485" s="47" t="str">
        <f ca="1">IF(R3485="","",IFERROR(TODAY()+VLOOKUP(R3485,REGRAS!$B$2:$C$13,2,0),""))</f>
        <v/>
      </c>
    </row>
    <row r="3486" spans="20:20" x14ac:dyDescent="0.3">
      <c r="T3486" s="47" t="str">
        <f ca="1">IF(R3486="","",IFERROR(TODAY()+VLOOKUP(R3486,REGRAS!$B$2:$C$13,2,0),""))</f>
        <v/>
      </c>
    </row>
    <row r="3487" spans="20:20" x14ac:dyDescent="0.3">
      <c r="T3487" s="47" t="str">
        <f ca="1">IF(R3487="","",IFERROR(TODAY()+VLOOKUP(R3487,REGRAS!$B$2:$C$13,2,0),""))</f>
        <v/>
      </c>
    </row>
    <row r="3488" spans="20:20" x14ac:dyDescent="0.3">
      <c r="T3488" s="47" t="str">
        <f ca="1">IF(R3488="","",IFERROR(TODAY()+VLOOKUP(R3488,REGRAS!$B$2:$C$13,2,0),""))</f>
        <v/>
      </c>
    </row>
    <row r="3489" spans="20:20" x14ac:dyDescent="0.3">
      <c r="T3489" s="47" t="str">
        <f ca="1">IF(R3489="","",IFERROR(TODAY()+VLOOKUP(R3489,REGRAS!$B$2:$C$13,2,0),""))</f>
        <v/>
      </c>
    </row>
    <row r="3490" spans="20:20" x14ac:dyDescent="0.3">
      <c r="T3490" s="47" t="str">
        <f ca="1">IF(R3490="","",IFERROR(TODAY()+VLOOKUP(R3490,REGRAS!$B$2:$C$13,2,0),""))</f>
        <v/>
      </c>
    </row>
    <row r="3491" spans="20:20" x14ac:dyDescent="0.3">
      <c r="T3491" s="47" t="str">
        <f ca="1">IF(R3491="","",IFERROR(TODAY()+VLOOKUP(R3491,REGRAS!$B$2:$C$13,2,0),""))</f>
        <v/>
      </c>
    </row>
    <row r="3492" spans="20:20" x14ac:dyDescent="0.3">
      <c r="T3492" s="47" t="str">
        <f ca="1">IF(R3492="","",IFERROR(TODAY()+VLOOKUP(R3492,REGRAS!$B$2:$C$13,2,0),""))</f>
        <v/>
      </c>
    </row>
    <row r="3493" spans="20:20" x14ac:dyDescent="0.3">
      <c r="T3493" s="47" t="str">
        <f ca="1">IF(R3493="","",IFERROR(TODAY()+VLOOKUP(R3493,REGRAS!$B$2:$C$13,2,0),""))</f>
        <v/>
      </c>
    </row>
    <row r="3494" spans="20:20" x14ac:dyDescent="0.3">
      <c r="T3494" s="47" t="str">
        <f ca="1">IF(R3494="","",IFERROR(TODAY()+VLOOKUP(R3494,REGRAS!$B$2:$C$13,2,0),""))</f>
        <v/>
      </c>
    </row>
    <row r="3495" spans="20:20" x14ac:dyDescent="0.3">
      <c r="T3495" s="47" t="str">
        <f ca="1">IF(R3495="","",IFERROR(TODAY()+VLOOKUP(R3495,REGRAS!$B$2:$C$13,2,0),""))</f>
        <v/>
      </c>
    </row>
    <row r="3496" spans="20:20" x14ac:dyDescent="0.3">
      <c r="T3496" s="47" t="str">
        <f ca="1">IF(R3496="","",IFERROR(TODAY()+VLOOKUP(R3496,REGRAS!$B$2:$C$13,2,0),""))</f>
        <v/>
      </c>
    </row>
    <row r="3497" spans="20:20" x14ac:dyDescent="0.3">
      <c r="T3497" s="47" t="str">
        <f ca="1">IF(R3497="","",IFERROR(TODAY()+VLOOKUP(R3497,REGRAS!$B$2:$C$13,2,0),""))</f>
        <v/>
      </c>
    </row>
    <row r="3498" spans="20:20" x14ac:dyDescent="0.3">
      <c r="T3498" s="47" t="str">
        <f ca="1">IF(R3498="","",IFERROR(TODAY()+VLOOKUP(R3498,REGRAS!$B$2:$C$13,2,0),""))</f>
        <v/>
      </c>
    </row>
    <row r="3499" spans="20:20" x14ac:dyDescent="0.3">
      <c r="T3499" s="47" t="str">
        <f ca="1">IF(R3499="","",IFERROR(TODAY()+VLOOKUP(R3499,REGRAS!$B$2:$C$13,2,0),""))</f>
        <v/>
      </c>
    </row>
    <row r="3500" spans="20:20" x14ac:dyDescent="0.3">
      <c r="T3500" s="47" t="str">
        <f ca="1">IF(R3500="","",IFERROR(TODAY()+VLOOKUP(R3500,REGRAS!$B$2:$C$13,2,0),""))</f>
        <v/>
      </c>
    </row>
    <row r="3501" spans="20:20" x14ac:dyDescent="0.3">
      <c r="T3501" s="47" t="str">
        <f ca="1">IF(R3501="","",IFERROR(TODAY()+VLOOKUP(R3501,REGRAS!$B$2:$C$13,2,0),""))</f>
        <v/>
      </c>
    </row>
    <row r="3502" spans="20:20" x14ac:dyDescent="0.3">
      <c r="T3502" s="47" t="str">
        <f ca="1">IF(R3502="","",IFERROR(TODAY()+VLOOKUP(R3502,REGRAS!$B$2:$C$13,2,0),""))</f>
        <v/>
      </c>
    </row>
    <row r="3503" spans="20:20" x14ac:dyDescent="0.3">
      <c r="T3503" s="47" t="str">
        <f ca="1">IF(R3503="","",IFERROR(TODAY()+VLOOKUP(R3503,REGRAS!$B$2:$C$13,2,0),""))</f>
        <v/>
      </c>
    </row>
    <row r="3504" spans="20:20" x14ac:dyDescent="0.3">
      <c r="T3504" s="47" t="str">
        <f ca="1">IF(R3504="","",IFERROR(TODAY()+VLOOKUP(R3504,REGRAS!$B$2:$C$13,2,0),""))</f>
        <v/>
      </c>
    </row>
    <row r="3505" spans="20:20" x14ac:dyDescent="0.3">
      <c r="T3505" s="47" t="str">
        <f ca="1">IF(R3505="","",IFERROR(TODAY()+VLOOKUP(R3505,REGRAS!$B$2:$C$13,2,0),""))</f>
        <v/>
      </c>
    </row>
    <row r="3506" spans="20:20" x14ac:dyDescent="0.3">
      <c r="T3506" s="47" t="str">
        <f ca="1">IF(R3506="","",IFERROR(TODAY()+VLOOKUP(R3506,REGRAS!$B$2:$C$13,2,0),""))</f>
        <v/>
      </c>
    </row>
    <row r="3507" spans="20:20" x14ac:dyDescent="0.3">
      <c r="T3507" s="47" t="str">
        <f ca="1">IF(R3507="","",IFERROR(TODAY()+VLOOKUP(R3507,REGRAS!$B$2:$C$13,2,0),""))</f>
        <v/>
      </c>
    </row>
    <row r="3508" spans="20:20" x14ac:dyDescent="0.3">
      <c r="T3508" s="47" t="str">
        <f ca="1">IF(R3508="","",IFERROR(TODAY()+VLOOKUP(R3508,REGRAS!$B$2:$C$13,2,0),""))</f>
        <v/>
      </c>
    </row>
    <row r="3509" spans="20:20" x14ac:dyDescent="0.3">
      <c r="T3509" s="47" t="str">
        <f ca="1">IF(R3509="","",IFERROR(TODAY()+VLOOKUP(R3509,REGRAS!$B$2:$C$13,2,0),""))</f>
        <v/>
      </c>
    </row>
    <row r="3510" spans="20:20" x14ac:dyDescent="0.3">
      <c r="T3510" s="47" t="str">
        <f ca="1">IF(R3510="","",IFERROR(TODAY()+VLOOKUP(R3510,REGRAS!$B$2:$C$13,2,0),""))</f>
        <v/>
      </c>
    </row>
    <row r="3511" spans="20:20" x14ac:dyDescent="0.3">
      <c r="T3511" s="47" t="str">
        <f ca="1">IF(R3511="","",IFERROR(TODAY()+VLOOKUP(R3511,REGRAS!$B$2:$C$13,2,0),""))</f>
        <v/>
      </c>
    </row>
    <row r="3512" spans="20:20" x14ac:dyDescent="0.3">
      <c r="T3512" s="47" t="str">
        <f ca="1">IF(R3512="","",IFERROR(TODAY()+VLOOKUP(R3512,REGRAS!$B$2:$C$13,2,0),""))</f>
        <v/>
      </c>
    </row>
    <row r="3513" spans="20:20" x14ac:dyDescent="0.3">
      <c r="T3513" s="47" t="str">
        <f ca="1">IF(R3513="","",IFERROR(TODAY()+VLOOKUP(R3513,REGRAS!$B$2:$C$13,2,0),""))</f>
        <v/>
      </c>
    </row>
    <row r="3514" spans="20:20" x14ac:dyDescent="0.3">
      <c r="T3514" s="47" t="str">
        <f ca="1">IF(R3514="","",IFERROR(TODAY()+VLOOKUP(R3514,REGRAS!$B$2:$C$13,2,0),""))</f>
        <v/>
      </c>
    </row>
    <row r="3515" spans="20:20" x14ac:dyDescent="0.3">
      <c r="T3515" s="47" t="str">
        <f ca="1">IF(R3515="","",IFERROR(TODAY()+VLOOKUP(R3515,REGRAS!$B$2:$C$13,2,0),""))</f>
        <v/>
      </c>
    </row>
    <row r="3516" spans="20:20" x14ac:dyDescent="0.3">
      <c r="T3516" s="47" t="str">
        <f ca="1">IF(R3516="","",IFERROR(TODAY()+VLOOKUP(R3516,REGRAS!$B$2:$C$13,2,0),""))</f>
        <v/>
      </c>
    </row>
    <row r="3517" spans="20:20" x14ac:dyDescent="0.3">
      <c r="T3517" s="47" t="str">
        <f ca="1">IF(R3517="","",IFERROR(TODAY()+VLOOKUP(R3517,REGRAS!$B$2:$C$13,2,0),""))</f>
        <v/>
      </c>
    </row>
    <row r="3518" spans="20:20" x14ac:dyDescent="0.3">
      <c r="T3518" s="47" t="str">
        <f ca="1">IF(R3518="","",IFERROR(TODAY()+VLOOKUP(R3518,REGRAS!$B$2:$C$13,2,0),""))</f>
        <v/>
      </c>
    </row>
    <row r="3519" spans="20:20" x14ac:dyDescent="0.3">
      <c r="T3519" s="47" t="str">
        <f ca="1">IF(R3519="","",IFERROR(TODAY()+VLOOKUP(R3519,REGRAS!$B$2:$C$13,2,0),""))</f>
        <v/>
      </c>
    </row>
    <row r="3520" spans="20:20" x14ac:dyDescent="0.3">
      <c r="T3520" s="47" t="str">
        <f ca="1">IF(R3520="","",IFERROR(TODAY()+VLOOKUP(R3520,REGRAS!$B$2:$C$13,2,0),""))</f>
        <v/>
      </c>
    </row>
    <row r="3521" spans="20:20" x14ac:dyDescent="0.3">
      <c r="T3521" s="47" t="str">
        <f ca="1">IF(R3521="","",IFERROR(TODAY()+VLOOKUP(R3521,REGRAS!$B$2:$C$13,2,0),""))</f>
        <v/>
      </c>
    </row>
    <row r="3522" spans="20:20" x14ac:dyDescent="0.3">
      <c r="T3522" s="47" t="str">
        <f ca="1">IF(R3522="","",IFERROR(TODAY()+VLOOKUP(R3522,REGRAS!$B$2:$C$13,2,0),""))</f>
        <v/>
      </c>
    </row>
    <row r="3523" spans="20:20" x14ac:dyDescent="0.3">
      <c r="T3523" s="47" t="str">
        <f ca="1">IF(R3523="","",IFERROR(TODAY()+VLOOKUP(R3523,REGRAS!$B$2:$C$13,2,0),""))</f>
        <v/>
      </c>
    </row>
    <row r="3524" spans="20:20" x14ac:dyDescent="0.3">
      <c r="T3524" s="47" t="str">
        <f ca="1">IF(R3524="","",IFERROR(TODAY()+VLOOKUP(R3524,REGRAS!$B$2:$C$13,2,0),""))</f>
        <v/>
      </c>
    </row>
    <row r="3525" spans="20:20" x14ac:dyDescent="0.3">
      <c r="T3525" s="47" t="str">
        <f ca="1">IF(R3525="","",IFERROR(TODAY()+VLOOKUP(R3525,REGRAS!$B$2:$C$13,2,0),""))</f>
        <v/>
      </c>
    </row>
    <row r="3526" spans="20:20" x14ac:dyDescent="0.3">
      <c r="T3526" s="47" t="str">
        <f ca="1">IF(R3526="","",IFERROR(TODAY()+VLOOKUP(R3526,REGRAS!$B$2:$C$13,2,0),""))</f>
        <v/>
      </c>
    </row>
    <row r="3527" spans="20:20" x14ac:dyDescent="0.3">
      <c r="T3527" s="47" t="str">
        <f ca="1">IF(R3527="","",IFERROR(TODAY()+VLOOKUP(R3527,REGRAS!$B$2:$C$13,2,0),""))</f>
        <v/>
      </c>
    </row>
    <row r="3528" spans="20:20" x14ac:dyDescent="0.3">
      <c r="T3528" s="47" t="str">
        <f ca="1">IF(R3528="","",IFERROR(TODAY()+VLOOKUP(R3528,REGRAS!$B$2:$C$13,2,0),""))</f>
        <v/>
      </c>
    </row>
    <row r="3529" spans="20:20" x14ac:dyDescent="0.3">
      <c r="T3529" s="47" t="str">
        <f ca="1">IF(R3529="","",IFERROR(TODAY()+VLOOKUP(R3529,REGRAS!$B$2:$C$13,2,0),""))</f>
        <v/>
      </c>
    </row>
    <row r="3530" spans="20:20" x14ac:dyDescent="0.3">
      <c r="T3530" s="47" t="str">
        <f ca="1">IF(R3530="","",IFERROR(TODAY()+VLOOKUP(R3530,REGRAS!$B$2:$C$13,2,0),""))</f>
        <v/>
      </c>
    </row>
    <row r="3531" spans="20:20" x14ac:dyDescent="0.3">
      <c r="T3531" s="47" t="str">
        <f ca="1">IF(R3531="","",IFERROR(TODAY()+VLOOKUP(R3531,REGRAS!$B$2:$C$13,2,0),""))</f>
        <v/>
      </c>
    </row>
    <row r="3532" spans="20:20" x14ac:dyDescent="0.3">
      <c r="T3532" s="47" t="str">
        <f ca="1">IF(R3532="","",IFERROR(TODAY()+VLOOKUP(R3532,REGRAS!$B$2:$C$13,2,0),""))</f>
        <v/>
      </c>
    </row>
    <row r="3533" spans="20:20" x14ac:dyDescent="0.3">
      <c r="T3533" s="47" t="str">
        <f ca="1">IF(R3533="","",IFERROR(TODAY()+VLOOKUP(R3533,REGRAS!$B$2:$C$13,2,0),""))</f>
        <v/>
      </c>
    </row>
    <row r="3534" spans="20:20" x14ac:dyDescent="0.3">
      <c r="T3534" s="47" t="str">
        <f ca="1">IF(R3534="","",IFERROR(TODAY()+VLOOKUP(R3534,REGRAS!$B$2:$C$13,2,0),""))</f>
        <v/>
      </c>
    </row>
    <row r="3535" spans="20:20" x14ac:dyDescent="0.3">
      <c r="T3535" s="47" t="str">
        <f ca="1">IF(R3535="","",IFERROR(TODAY()+VLOOKUP(R3535,REGRAS!$B$2:$C$13,2,0),""))</f>
        <v/>
      </c>
    </row>
    <row r="3536" spans="20:20" x14ac:dyDescent="0.3">
      <c r="T3536" s="47" t="str">
        <f ca="1">IF(R3536="","",IFERROR(TODAY()+VLOOKUP(R3536,REGRAS!$B$2:$C$13,2,0),""))</f>
        <v/>
      </c>
    </row>
    <row r="3537" spans="20:20" x14ac:dyDescent="0.3">
      <c r="T3537" s="47" t="str">
        <f ca="1">IF(R3537="","",IFERROR(TODAY()+VLOOKUP(R3537,REGRAS!$B$2:$C$13,2,0),""))</f>
        <v/>
      </c>
    </row>
    <row r="3538" spans="20:20" x14ac:dyDescent="0.3">
      <c r="T3538" s="47" t="str">
        <f ca="1">IF(R3538="","",IFERROR(TODAY()+VLOOKUP(R3538,REGRAS!$B$2:$C$13,2,0),""))</f>
        <v/>
      </c>
    </row>
    <row r="3539" spans="20:20" x14ac:dyDescent="0.3">
      <c r="T3539" s="47" t="str">
        <f ca="1">IF(R3539="","",IFERROR(TODAY()+VLOOKUP(R3539,REGRAS!$B$2:$C$13,2,0),""))</f>
        <v/>
      </c>
    </row>
    <row r="3540" spans="20:20" x14ac:dyDescent="0.3">
      <c r="T3540" s="47" t="str">
        <f ca="1">IF(R3540="","",IFERROR(TODAY()+VLOOKUP(R3540,REGRAS!$B$2:$C$13,2,0),""))</f>
        <v/>
      </c>
    </row>
    <row r="3541" spans="20:20" x14ac:dyDescent="0.3">
      <c r="T3541" s="47" t="str">
        <f ca="1">IF(R3541="","",IFERROR(TODAY()+VLOOKUP(R3541,REGRAS!$B$2:$C$13,2,0),""))</f>
        <v/>
      </c>
    </row>
    <row r="3542" spans="20:20" x14ac:dyDescent="0.3">
      <c r="T3542" s="47" t="str">
        <f ca="1">IF(R3542="","",IFERROR(TODAY()+VLOOKUP(R3542,REGRAS!$B$2:$C$13,2,0),""))</f>
        <v/>
      </c>
    </row>
    <row r="3543" spans="20:20" x14ac:dyDescent="0.3">
      <c r="T3543" s="47" t="str">
        <f ca="1">IF(R3543="","",IFERROR(TODAY()+VLOOKUP(R3543,REGRAS!$B$2:$C$13,2,0),""))</f>
        <v/>
      </c>
    </row>
    <row r="3544" spans="20:20" x14ac:dyDescent="0.3">
      <c r="T3544" s="47" t="str">
        <f ca="1">IF(R3544="","",IFERROR(TODAY()+VLOOKUP(R3544,REGRAS!$B$2:$C$13,2,0),""))</f>
        <v/>
      </c>
    </row>
    <row r="3545" spans="20:20" x14ac:dyDescent="0.3">
      <c r="T3545" s="47" t="str">
        <f ca="1">IF(R3545="","",IFERROR(TODAY()+VLOOKUP(R3545,REGRAS!$B$2:$C$13,2,0),""))</f>
        <v/>
      </c>
    </row>
    <row r="3546" spans="20:20" x14ac:dyDescent="0.3">
      <c r="T3546" s="47" t="str">
        <f ca="1">IF(R3546="","",IFERROR(TODAY()+VLOOKUP(R3546,REGRAS!$B$2:$C$13,2,0),""))</f>
        <v/>
      </c>
    </row>
    <row r="3547" spans="20:20" x14ac:dyDescent="0.3">
      <c r="T3547" s="47" t="str">
        <f ca="1">IF(R3547="","",IFERROR(TODAY()+VLOOKUP(R3547,REGRAS!$B$2:$C$13,2,0),""))</f>
        <v/>
      </c>
    </row>
    <row r="3548" spans="20:20" x14ac:dyDescent="0.3">
      <c r="T3548" s="47" t="str">
        <f ca="1">IF(R3548="","",IFERROR(TODAY()+VLOOKUP(R3548,REGRAS!$B$2:$C$13,2,0),""))</f>
        <v/>
      </c>
    </row>
    <row r="3549" spans="20:20" x14ac:dyDescent="0.3">
      <c r="T3549" s="47" t="str">
        <f ca="1">IF(R3549="","",IFERROR(TODAY()+VLOOKUP(R3549,REGRAS!$B$2:$C$13,2,0),""))</f>
        <v/>
      </c>
    </row>
    <row r="3550" spans="20:20" x14ac:dyDescent="0.3">
      <c r="T3550" s="47" t="str">
        <f ca="1">IF(R3550="","",IFERROR(TODAY()+VLOOKUP(R3550,REGRAS!$B$2:$C$13,2,0),""))</f>
        <v/>
      </c>
    </row>
    <row r="3551" spans="20:20" x14ac:dyDescent="0.3">
      <c r="T3551" s="47" t="str">
        <f ca="1">IF(R3551="","",IFERROR(TODAY()+VLOOKUP(R3551,REGRAS!$B$2:$C$13,2,0),""))</f>
        <v/>
      </c>
    </row>
    <row r="3552" spans="20:20" x14ac:dyDescent="0.3">
      <c r="T3552" s="47" t="str">
        <f ca="1">IF(R3552="","",IFERROR(TODAY()+VLOOKUP(R3552,REGRAS!$B$2:$C$13,2,0),""))</f>
        <v/>
      </c>
    </row>
    <row r="3553" spans="20:20" x14ac:dyDescent="0.3">
      <c r="T3553" s="47" t="str">
        <f ca="1">IF(R3553="","",IFERROR(TODAY()+VLOOKUP(R3553,REGRAS!$B$2:$C$13,2,0),""))</f>
        <v/>
      </c>
    </row>
    <row r="3554" spans="20:20" x14ac:dyDescent="0.3">
      <c r="T3554" s="47" t="str">
        <f ca="1">IF(R3554="","",IFERROR(TODAY()+VLOOKUP(R3554,REGRAS!$B$2:$C$13,2,0),""))</f>
        <v/>
      </c>
    </row>
    <row r="3555" spans="20:20" x14ac:dyDescent="0.3">
      <c r="T3555" s="47" t="str">
        <f ca="1">IF(R3555="","",IFERROR(TODAY()+VLOOKUP(R3555,REGRAS!$B$2:$C$13,2,0),""))</f>
        <v/>
      </c>
    </row>
    <row r="3556" spans="20:20" x14ac:dyDescent="0.3">
      <c r="T3556" s="47" t="str">
        <f ca="1">IF(R3556="","",IFERROR(TODAY()+VLOOKUP(R3556,REGRAS!$B$2:$C$13,2,0),""))</f>
        <v/>
      </c>
    </row>
    <row r="3557" spans="20:20" x14ac:dyDescent="0.3">
      <c r="T3557" s="47" t="str">
        <f ca="1">IF(R3557="","",IFERROR(TODAY()+VLOOKUP(R3557,REGRAS!$B$2:$C$13,2,0),""))</f>
        <v/>
      </c>
    </row>
    <row r="3558" spans="20:20" x14ac:dyDescent="0.3">
      <c r="T3558" s="47" t="str">
        <f ca="1">IF(R3558="","",IFERROR(TODAY()+VLOOKUP(R3558,REGRAS!$B$2:$C$13,2,0),""))</f>
        <v/>
      </c>
    </row>
    <row r="3559" spans="20:20" x14ac:dyDescent="0.3">
      <c r="T3559" s="47" t="str">
        <f ca="1">IF(R3559="","",IFERROR(TODAY()+VLOOKUP(R3559,REGRAS!$B$2:$C$13,2,0),""))</f>
        <v/>
      </c>
    </row>
    <row r="3560" spans="20:20" x14ac:dyDescent="0.3">
      <c r="T3560" s="47" t="str">
        <f ca="1">IF(R3560="","",IFERROR(TODAY()+VLOOKUP(R3560,REGRAS!$B$2:$C$13,2,0),""))</f>
        <v/>
      </c>
    </row>
    <row r="3561" spans="20:20" x14ac:dyDescent="0.3">
      <c r="T3561" s="47" t="str">
        <f ca="1">IF(R3561="","",IFERROR(TODAY()+VLOOKUP(R3561,REGRAS!$B$2:$C$13,2,0),""))</f>
        <v/>
      </c>
    </row>
    <row r="3562" spans="20:20" x14ac:dyDescent="0.3">
      <c r="T3562" s="47" t="str">
        <f ca="1">IF(R3562="","",IFERROR(TODAY()+VLOOKUP(R3562,REGRAS!$B$2:$C$13,2,0),""))</f>
        <v/>
      </c>
    </row>
    <row r="3563" spans="20:20" x14ac:dyDescent="0.3">
      <c r="T3563" s="47" t="str">
        <f ca="1">IF(R3563="","",IFERROR(TODAY()+VLOOKUP(R3563,REGRAS!$B$2:$C$13,2,0),""))</f>
        <v/>
      </c>
    </row>
    <row r="3564" spans="20:20" x14ac:dyDescent="0.3">
      <c r="T3564" s="47" t="str">
        <f ca="1">IF(R3564="","",IFERROR(TODAY()+VLOOKUP(R3564,REGRAS!$B$2:$C$13,2,0),""))</f>
        <v/>
      </c>
    </row>
    <row r="3565" spans="20:20" x14ac:dyDescent="0.3">
      <c r="T3565" s="47" t="str">
        <f ca="1">IF(R3565="","",IFERROR(TODAY()+VLOOKUP(R3565,REGRAS!$B$2:$C$13,2,0),""))</f>
        <v/>
      </c>
    </row>
    <row r="3566" spans="20:20" x14ac:dyDescent="0.3">
      <c r="T3566" s="47" t="str">
        <f ca="1">IF(R3566="","",IFERROR(TODAY()+VLOOKUP(R3566,REGRAS!$B$2:$C$13,2,0),""))</f>
        <v/>
      </c>
    </row>
    <row r="3567" spans="20:20" x14ac:dyDescent="0.3">
      <c r="T3567" s="47" t="str">
        <f ca="1">IF(R3567="","",IFERROR(TODAY()+VLOOKUP(R3567,REGRAS!$B$2:$C$13,2,0),""))</f>
        <v/>
      </c>
    </row>
    <row r="3568" spans="20:20" x14ac:dyDescent="0.3">
      <c r="T3568" s="47" t="str">
        <f ca="1">IF(R3568="","",IFERROR(TODAY()+VLOOKUP(R3568,REGRAS!$B$2:$C$13,2,0),""))</f>
        <v/>
      </c>
    </row>
    <row r="3569" spans="20:20" x14ac:dyDescent="0.3">
      <c r="T3569" s="47" t="str">
        <f ca="1">IF(R3569="","",IFERROR(TODAY()+VLOOKUP(R3569,REGRAS!$B$2:$C$13,2,0),""))</f>
        <v/>
      </c>
    </row>
    <row r="3570" spans="20:20" x14ac:dyDescent="0.3">
      <c r="T3570" s="47" t="str">
        <f ca="1">IF(R3570="","",IFERROR(TODAY()+VLOOKUP(R3570,REGRAS!$B$2:$C$13,2,0),""))</f>
        <v/>
      </c>
    </row>
    <row r="3571" spans="20:20" x14ac:dyDescent="0.3">
      <c r="T3571" s="47" t="str">
        <f ca="1">IF(R3571="","",IFERROR(TODAY()+VLOOKUP(R3571,REGRAS!$B$2:$C$13,2,0),""))</f>
        <v/>
      </c>
    </row>
    <row r="3572" spans="20:20" x14ac:dyDescent="0.3">
      <c r="T3572" s="47" t="str">
        <f ca="1">IF(R3572="","",IFERROR(TODAY()+VLOOKUP(R3572,REGRAS!$B$2:$C$13,2,0),""))</f>
        <v/>
      </c>
    </row>
    <row r="3573" spans="20:20" x14ac:dyDescent="0.3">
      <c r="T3573" s="47" t="str">
        <f ca="1">IF(R3573="","",IFERROR(TODAY()+VLOOKUP(R3573,REGRAS!$B$2:$C$13,2,0),""))</f>
        <v/>
      </c>
    </row>
    <row r="3574" spans="20:20" x14ac:dyDescent="0.3">
      <c r="T3574" s="47" t="str">
        <f ca="1">IF(R3574="","",IFERROR(TODAY()+VLOOKUP(R3574,REGRAS!$B$2:$C$13,2,0),""))</f>
        <v/>
      </c>
    </row>
    <row r="3575" spans="20:20" x14ac:dyDescent="0.3">
      <c r="T3575" s="47" t="str">
        <f ca="1">IF(R3575="","",IFERROR(TODAY()+VLOOKUP(R3575,REGRAS!$B$2:$C$13,2,0),""))</f>
        <v/>
      </c>
    </row>
    <row r="3576" spans="20:20" x14ac:dyDescent="0.3">
      <c r="T3576" s="47" t="str">
        <f ca="1">IF(R3576="","",IFERROR(TODAY()+VLOOKUP(R3576,REGRAS!$B$2:$C$13,2,0),""))</f>
        <v/>
      </c>
    </row>
    <row r="3577" spans="20:20" x14ac:dyDescent="0.3">
      <c r="T3577" s="47" t="str">
        <f ca="1">IF(R3577="","",IFERROR(TODAY()+VLOOKUP(R3577,REGRAS!$B$2:$C$13,2,0),""))</f>
        <v/>
      </c>
    </row>
    <row r="3578" spans="20:20" x14ac:dyDescent="0.3">
      <c r="T3578" s="47" t="str">
        <f ca="1">IF(R3578="","",IFERROR(TODAY()+VLOOKUP(R3578,REGRAS!$B$2:$C$13,2,0),""))</f>
        <v/>
      </c>
    </row>
    <row r="3579" spans="20:20" x14ac:dyDescent="0.3">
      <c r="T3579" s="47" t="str">
        <f ca="1">IF(R3579="","",IFERROR(TODAY()+VLOOKUP(R3579,REGRAS!$B$2:$C$13,2,0),""))</f>
        <v/>
      </c>
    </row>
    <row r="3580" spans="20:20" x14ac:dyDescent="0.3">
      <c r="T3580" s="47" t="str">
        <f ca="1">IF(R3580="","",IFERROR(TODAY()+VLOOKUP(R3580,REGRAS!$B$2:$C$13,2,0),""))</f>
        <v/>
      </c>
    </row>
    <row r="3581" spans="20:20" x14ac:dyDescent="0.3">
      <c r="T3581" s="47" t="str">
        <f ca="1">IF(R3581="","",IFERROR(TODAY()+VLOOKUP(R3581,REGRAS!$B$2:$C$13,2,0),""))</f>
        <v/>
      </c>
    </row>
    <row r="3582" spans="20:20" x14ac:dyDescent="0.3">
      <c r="T3582" s="47" t="str">
        <f ca="1">IF(R3582="","",IFERROR(TODAY()+VLOOKUP(R3582,REGRAS!$B$2:$C$13,2,0),""))</f>
        <v/>
      </c>
    </row>
    <row r="3583" spans="20:20" x14ac:dyDescent="0.3">
      <c r="T3583" s="47" t="str">
        <f ca="1">IF(R3583="","",IFERROR(TODAY()+VLOOKUP(R3583,REGRAS!$B$2:$C$13,2,0),""))</f>
        <v/>
      </c>
    </row>
    <row r="3584" spans="20:20" x14ac:dyDescent="0.3">
      <c r="T3584" s="47" t="str">
        <f ca="1">IF(R3584="","",IFERROR(TODAY()+VLOOKUP(R3584,REGRAS!$B$2:$C$13,2,0),""))</f>
        <v/>
      </c>
    </row>
    <row r="3585" spans="20:20" x14ac:dyDescent="0.3">
      <c r="T3585" s="47" t="str">
        <f ca="1">IF(R3585="","",IFERROR(TODAY()+VLOOKUP(R3585,REGRAS!$B$2:$C$13,2,0),""))</f>
        <v/>
      </c>
    </row>
    <row r="3586" spans="20:20" x14ac:dyDescent="0.3">
      <c r="T3586" s="47" t="str">
        <f ca="1">IF(R3586="","",IFERROR(TODAY()+VLOOKUP(R3586,REGRAS!$B$2:$C$13,2,0),""))</f>
        <v/>
      </c>
    </row>
    <row r="3587" spans="20:20" x14ac:dyDescent="0.3">
      <c r="T3587" s="47" t="str">
        <f ca="1">IF(R3587="","",IFERROR(TODAY()+VLOOKUP(R3587,REGRAS!$B$2:$C$13,2,0),""))</f>
        <v/>
      </c>
    </row>
    <row r="3588" spans="20:20" x14ac:dyDescent="0.3">
      <c r="T3588" s="47" t="str">
        <f ca="1">IF(R3588="","",IFERROR(TODAY()+VLOOKUP(R3588,REGRAS!$B$2:$C$13,2,0),""))</f>
        <v/>
      </c>
    </row>
    <row r="3589" spans="20:20" x14ac:dyDescent="0.3">
      <c r="T3589" s="47" t="str">
        <f ca="1">IF(R3589="","",IFERROR(TODAY()+VLOOKUP(R3589,REGRAS!$B$2:$C$13,2,0),""))</f>
        <v/>
      </c>
    </row>
    <row r="3590" spans="20:20" x14ac:dyDescent="0.3">
      <c r="T3590" s="47" t="str">
        <f ca="1">IF(R3590="","",IFERROR(TODAY()+VLOOKUP(R3590,REGRAS!$B$2:$C$13,2,0),""))</f>
        <v/>
      </c>
    </row>
    <row r="3591" spans="20:20" x14ac:dyDescent="0.3">
      <c r="T3591" s="47" t="str">
        <f ca="1">IF(R3591="","",IFERROR(TODAY()+VLOOKUP(R3591,REGRAS!$B$2:$C$13,2,0),""))</f>
        <v/>
      </c>
    </row>
    <row r="3592" spans="20:20" x14ac:dyDescent="0.3">
      <c r="T3592" s="47" t="str">
        <f ca="1">IF(R3592="","",IFERROR(TODAY()+VLOOKUP(R3592,REGRAS!$B$2:$C$13,2,0),""))</f>
        <v/>
      </c>
    </row>
    <row r="3593" spans="20:20" x14ac:dyDescent="0.3">
      <c r="T3593" s="47" t="str">
        <f ca="1">IF(R3593="","",IFERROR(TODAY()+VLOOKUP(R3593,REGRAS!$B$2:$C$13,2,0),""))</f>
        <v/>
      </c>
    </row>
    <row r="3594" spans="20:20" x14ac:dyDescent="0.3">
      <c r="T3594" s="47" t="str">
        <f ca="1">IF(R3594="","",IFERROR(TODAY()+VLOOKUP(R3594,REGRAS!$B$2:$C$13,2,0),""))</f>
        <v/>
      </c>
    </row>
    <row r="3595" spans="20:20" x14ac:dyDescent="0.3">
      <c r="T3595" s="47" t="str">
        <f ca="1">IF(R3595="","",IFERROR(TODAY()+VLOOKUP(R3595,REGRAS!$B$2:$C$13,2,0),""))</f>
        <v/>
      </c>
    </row>
    <row r="3596" spans="20:20" x14ac:dyDescent="0.3">
      <c r="T3596" s="47" t="str">
        <f ca="1">IF(R3596="","",IFERROR(TODAY()+VLOOKUP(R3596,REGRAS!$B$2:$C$13,2,0),""))</f>
        <v/>
      </c>
    </row>
    <row r="3597" spans="20:20" x14ac:dyDescent="0.3">
      <c r="T3597" s="47" t="str">
        <f ca="1">IF(R3597="","",IFERROR(TODAY()+VLOOKUP(R3597,REGRAS!$B$2:$C$13,2,0),""))</f>
        <v/>
      </c>
    </row>
    <row r="3598" spans="20:20" x14ac:dyDescent="0.3">
      <c r="T3598" s="47" t="str">
        <f ca="1">IF(R3598="","",IFERROR(TODAY()+VLOOKUP(R3598,REGRAS!$B$2:$C$13,2,0),""))</f>
        <v/>
      </c>
    </row>
    <row r="3599" spans="20:20" x14ac:dyDescent="0.3">
      <c r="T3599" s="47" t="str">
        <f ca="1">IF(R3599="","",IFERROR(TODAY()+VLOOKUP(R3599,REGRAS!$B$2:$C$13,2,0),""))</f>
        <v/>
      </c>
    </row>
    <row r="3600" spans="20:20" x14ac:dyDescent="0.3">
      <c r="T3600" s="47" t="str">
        <f ca="1">IF(R3600="","",IFERROR(TODAY()+VLOOKUP(R3600,REGRAS!$B$2:$C$13,2,0),""))</f>
        <v/>
      </c>
    </row>
    <row r="3601" spans="20:20" x14ac:dyDescent="0.3">
      <c r="T3601" s="47" t="str">
        <f ca="1">IF(R3601="","",IFERROR(TODAY()+VLOOKUP(R3601,REGRAS!$B$2:$C$13,2,0),""))</f>
        <v/>
      </c>
    </row>
    <row r="3602" spans="20:20" x14ac:dyDescent="0.3">
      <c r="T3602" s="47" t="str">
        <f ca="1">IF(R3602="","",IFERROR(TODAY()+VLOOKUP(R3602,REGRAS!$B$2:$C$13,2,0),""))</f>
        <v/>
      </c>
    </row>
    <row r="3603" spans="20:20" x14ac:dyDescent="0.3">
      <c r="T3603" s="47" t="str">
        <f ca="1">IF(R3603="","",IFERROR(TODAY()+VLOOKUP(R3603,REGRAS!$B$2:$C$13,2,0),""))</f>
        <v/>
      </c>
    </row>
    <row r="3604" spans="20:20" x14ac:dyDescent="0.3">
      <c r="T3604" s="47" t="str">
        <f ca="1">IF(R3604="","",IFERROR(TODAY()+VLOOKUP(R3604,REGRAS!$B$2:$C$13,2,0),""))</f>
        <v/>
      </c>
    </row>
    <row r="3605" spans="20:20" x14ac:dyDescent="0.3">
      <c r="T3605" s="47" t="str">
        <f ca="1">IF(R3605="","",IFERROR(TODAY()+VLOOKUP(R3605,REGRAS!$B$2:$C$13,2,0),""))</f>
        <v/>
      </c>
    </row>
    <row r="3606" spans="20:20" x14ac:dyDescent="0.3">
      <c r="T3606" s="47" t="str">
        <f ca="1">IF(R3606="","",IFERROR(TODAY()+VLOOKUP(R3606,REGRAS!$B$2:$C$13,2,0),""))</f>
        <v/>
      </c>
    </row>
    <row r="3607" spans="20:20" x14ac:dyDescent="0.3">
      <c r="T3607" s="47" t="str">
        <f ca="1">IF(R3607="","",IFERROR(TODAY()+VLOOKUP(R3607,REGRAS!$B$2:$C$13,2,0),""))</f>
        <v/>
      </c>
    </row>
    <row r="3608" spans="20:20" x14ac:dyDescent="0.3">
      <c r="T3608" s="47" t="str">
        <f ca="1">IF(R3608="","",IFERROR(TODAY()+VLOOKUP(R3608,REGRAS!$B$2:$C$13,2,0),""))</f>
        <v/>
      </c>
    </row>
    <row r="3609" spans="20:20" x14ac:dyDescent="0.3">
      <c r="T3609" s="47" t="str">
        <f ca="1">IF(R3609="","",IFERROR(TODAY()+VLOOKUP(R3609,REGRAS!$B$2:$C$13,2,0),""))</f>
        <v/>
      </c>
    </row>
    <row r="3610" spans="20:20" x14ac:dyDescent="0.3">
      <c r="T3610" s="47" t="str">
        <f ca="1">IF(R3610="","",IFERROR(TODAY()+VLOOKUP(R3610,REGRAS!$B$2:$C$13,2,0),""))</f>
        <v/>
      </c>
    </row>
    <row r="3611" spans="20:20" x14ac:dyDescent="0.3">
      <c r="T3611" s="47" t="str">
        <f ca="1">IF(R3611="","",IFERROR(TODAY()+VLOOKUP(R3611,REGRAS!$B$2:$C$13,2,0),""))</f>
        <v/>
      </c>
    </row>
    <row r="3612" spans="20:20" x14ac:dyDescent="0.3">
      <c r="T3612" s="47" t="str">
        <f ca="1">IF(R3612="","",IFERROR(TODAY()+VLOOKUP(R3612,REGRAS!$B$2:$C$13,2,0),""))</f>
        <v/>
      </c>
    </row>
    <row r="3613" spans="20:20" x14ac:dyDescent="0.3">
      <c r="T3613" s="47" t="str">
        <f ca="1">IF(R3613="","",IFERROR(TODAY()+VLOOKUP(R3613,REGRAS!$B$2:$C$13,2,0),""))</f>
        <v/>
      </c>
    </row>
    <row r="3614" spans="20:20" x14ac:dyDescent="0.3">
      <c r="T3614" s="47" t="str">
        <f ca="1">IF(R3614="","",IFERROR(TODAY()+VLOOKUP(R3614,REGRAS!$B$2:$C$13,2,0),""))</f>
        <v/>
      </c>
    </row>
    <row r="3615" spans="20:20" x14ac:dyDescent="0.3">
      <c r="T3615" s="47" t="str">
        <f ca="1">IF(R3615="","",IFERROR(TODAY()+VLOOKUP(R3615,REGRAS!$B$2:$C$13,2,0),""))</f>
        <v/>
      </c>
    </row>
    <row r="3616" spans="20:20" x14ac:dyDescent="0.3">
      <c r="T3616" s="47" t="str">
        <f ca="1">IF(R3616="","",IFERROR(TODAY()+VLOOKUP(R3616,REGRAS!$B$2:$C$13,2,0),""))</f>
        <v/>
      </c>
    </row>
    <row r="3617" spans="20:20" x14ac:dyDescent="0.3">
      <c r="T3617" s="47" t="str">
        <f ca="1">IF(R3617="","",IFERROR(TODAY()+VLOOKUP(R3617,REGRAS!$B$2:$C$13,2,0),""))</f>
        <v/>
      </c>
    </row>
    <row r="3618" spans="20:20" x14ac:dyDescent="0.3">
      <c r="T3618" s="47" t="str">
        <f ca="1">IF(R3618="","",IFERROR(TODAY()+VLOOKUP(R3618,REGRAS!$B$2:$C$13,2,0),""))</f>
        <v/>
      </c>
    </row>
    <row r="3619" spans="20:20" x14ac:dyDescent="0.3">
      <c r="T3619" s="47" t="str">
        <f ca="1">IF(R3619="","",IFERROR(TODAY()+VLOOKUP(R3619,REGRAS!$B$2:$C$13,2,0),""))</f>
        <v/>
      </c>
    </row>
    <row r="3620" spans="20:20" x14ac:dyDescent="0.3">
      <c r="T3620" s="47" t="str">
        <f ca="1">IF(R3620="","",IFERROR(TODAY()+VLOOKUP(R3620,REGRAS!$B$2:$C$13,2,0),""))</f>
        <v/>
      </c>
    </row>
    <row r="3621" spans="20:20" x14ac:dyDescent="0.3">
      <c r="T3621" s="47" t="str">
        <f ca="1">IF(R3621="","",IFERROR(TODAY()+VLOOKUP(R3621,REGRAS!$B$2:$C$13,2,0),""))</f>
        <v/>
      </c>
    </row>
    <row r="3622" spans="20:20" x14ac:dyDescent="0.3">
      <c r="T3622" s="47" t="str">
        <f ca="1">IF(R3622="","",IFERROR(TODAY()+VLOOKUP(R3622,REGRAS!$B$2:$C$13,2,0),""))</f>
        <v/>
      </c>
    </row>
    <row r="3623" spans="20:20" x14ac:dyDescent="0.3">
      <c r="T3623" s="47" t="str">
        <f ca="1">IF(R3623="","",IFERROR(TODAY()+VLOOKUP(R3623,REGRAS!$B$2:$C$13,2,0),""))</f>
        <v/>
      </c>
    </row>
    <row r="3624" spans="20:20" x14ac:dyDescent="0.3">
      <c r="T3624" s="47" t="str">
        <f ca="1">IF(R3624="","",IFERROR(TODAY()+VLOOKUP(R3624,REGRAS!$B$2:$C$13,2,0),""))</f>
        <v/>
      </c>
    </row>
    <row r="3625" spans="20:20" x14ac:dyDescent="0.3">
      <c r="T3625" s="47" t="str">
        <f ca="1">IF(R3625="","",IFERROR(TODAY()+VLOOKUP(R3625,REGRAS!$B$2:$C$13,2,0),""))</f>
        <v/>
      </c>
    </row>
    <row r="3626" spans="20:20" x14ac:dyDescent="0.3">
      <c r="T3626" s="47" t="str">
        <f ca="1">IF(R3626="","",IFERROR(TODAY()+VLOOKUP(R3626,REGRAS!$B$2:$C$13,2,0),""))</f>
        <v/>
      </c>
    </row>
    <row r="3627" spans="20:20" x14ac:dyDescent="0.3">
      <c r="T3627" s="47" t="str">
        <f ca="1">IF(R3627="","",IFERROR(TODAY()+VLOOKUP(R3627,REGRAS!$B$2:$C$13,2,0),""))</f>
        <v/>
      </c>
    </row>
    <row r="3628" spans="20:20" x14ac:dyDescent="0.3">
      <c r="T3628" s="47" t="str">
        <f ca="1">IF(R3628="","",IFERROR(TODAY()+VLOOKUP(R3628,REGRAS!$B$2:$C$13,2,0),""))</f>
        <v/>
      </c>
    </row>
    <row r="3629" spans="20:20" x14ac:dyDescent="0.3">
      <c r="T3629" s="47" t="str">
        <f ca="1">IF(R3629="","",IFERROR(TODAY()+VLOOKUP(R3629,REGRAS!$B$2:$C$13,2,0),""))</f>
        <v/>
      </c>
    </row>
    <row r="3630" spans="20:20" x14ac:dyDescent="0.3">
      <c r="T3630" s="47" t="str">
        <f ca="1">IF(R3630="","",IFERROR(TODAY()+VLOOKUP(R3630,REGRAS!$B$2:$C$13,2,0),""))</f>
        <v/>
      </c>
    </row>
    <row r="3631" spans="20:20" x14ac:dyDescent="0.3">
      <c r="T3631" s="47" t="str">
        <f ca="1">IF(R3631="","",IFERROR(TODAY()+VLOOKUP(R3631,REGRAS!$B$2:$C$13,2,0),""))</f>
        <v/>
      </c>
    </row>
    <row r="3632" spans="20:20" x14ac:dyDescent="0.3">
      <c r="T3632" s="47" t="str">
        <f ca="1">IF(R3632="","",IFERROR(TODAY()+VLOOKUP(R3632,REGRAS!$B$2:$C$13,2,0),""))</f>
        <v/>
      </c>
    </row>
    <row r="3633" spans="20:20" x14ac:dyDescent="0.3">
      <c r="T3633" s="47" t="str">
        <f ca="1">IF(R3633="","",IFERROR(TODAY()+VLOOKUP(R3633,REGRAS!$B$2:$C$13,2,0),""))</f>
        <v/>
      </c>
    </row>
    <row r="3634" spans="20:20" x14ac:dyDescent="0.3">
      <c r="T3634" s="47" t="str">
        <f ca="1">IF(R3634="","",IFERROR(TODAY()+VLOOKUP(R3634,REGRAS!$B$2:$C$13,2,0),""))</f>
        <v/>
      </c>
    </row>
    <row r="3635" spans="20:20" x14ac:dyDescent="0.3">
      <c r="T3635" s="47" t="str">
        <f ca="1">IF(R3635="","",IFERROR(TODAY()+VLOOKUP(R3635,REGRAS!$B$2:$C$13,2,0),""))</f>
        <v/>
      </c>
    </row>
    <row r="3636" spans="20:20" x14ac:dyDescent="0.3">
      <c r="T3636" s="47" t="str">
        <f ca="1">IF(R3636="","",IFERROR(TODAY()+VLOOKUP(R3636,REGRAS!$B$2:$C$13,2,0),""))</f>
        <v/>
      </c>
    </row>
    <row r="3637" spans="20:20" x14ac:dyDescent="0.3">
      <c r="T3637" s="47" t="str">
        <f ca="1">IF(R3637="","",IFERROR(TODAY()+VLOOKUP(R3637,REGRAS!$B$2:$C$13,2,0),""))</f>
        <v/>
      </c>
    </row>
    <row r="3638" spans="20:20" x14ac:dyDescent="0.3">
      <c r="T3638" s="47" t="str">
        <f ca="1">IF(R3638="","",IFERROR(TODAY()+VLOOKUP(R3638,REGRAS!$B$2:$C$13,2,0),""))</f>
        <v/>
      </c>
    </row>
    <row r="3639" spans="20:20" x14ac:dyDescent="0.3">
      <c r="T3639" s="47" t="str">
        <f ca="1">IF(R3639="","",IFERROR(TODAY()+VLOOKUP(R3639,REGRAS!$B$2:$C$13,2,0),""))</f>
        <v/>
      </c>
    </row>
    <row r="3640" spans="20:20" x14ac:dyDescent="0.3">
      <c r="T3640" s="47" t="str">
        <f ca="1">IF(R3640="","",IFERROR(TODAY()+VLOOKUP(R3640,REGRAS!$B$2:$C$13,2,0),""))</f>
        <v/>
      </c>
    </row>
    <row r="3641" spans="20:20" x14ac:dyDescent="0.3">
      <c r="T3641" s="47" t="str">
        <f ca="1">IF(R3641="","",IFERROR(TODAY()+VLOOKUP(R3641,REGRAS!$B$2:$C$13,2,0),""))</f>
        <v/>
      </c>
    </row>
    <row r="3642" spans="20:20" x14ac:dyDescent="0.3">
      <c r="T3642" s="47" t="str">
        <f ca="1">IF(R3642="","",IFERROR(TODAY()+VLOOKUP(R3642,REGRAS!$B$2:$C$13,2,0),""))</f>
        <v/>
      </c>
    </row>
    <row r="3643" spans="20:20" x14ac:dyDescent="0.3">
      <c r="T3643" s="47" t="str">
        <f ca="1">IF(R3643="","",IFERROR(TODAY()+VLOOKUP(R3643,REGRAS!$B$2:$C$13,2,0),""))</f>
        <v/>
      </c>
    </row>
    <row r="3644" spans="20:20" x14ac:dyDescent="0.3">
      <c r="T3644" s="47" t="str">
        <f ca="1">IF(R3644="","",IFERROR(TODAY()+VLOOKUP(R3644,REGRAS!$B$2:$C$13,2,0),""))</f>
        <v/>
      </c>
    </row>
    <row r="3645" spans="20:20" x14ac:dyDescent="0.3">
      <c r="T3645" s="47" t="str">
        <f ca="1">IF(R3645="","",IFERROR(TODAY()+VLOOKUP(R3645,REGRAS!$B$2:$C$13,2,0),""))</f>
        <v/>
      </c>
    </row>
    <row r="3646" spans="20:20" x14ac:dyDescent="0.3">
      <c r="T3646" s="47" t="str">
        <f ca="1">IF(R3646="","",IFERROR(TODAY()+VLOOKUP(R3646,REGRAS!$B$2:$C$13,2,0),""))</f>
        <v/>
      </c>
    </row>
    <row r="3647" spans="20:20" x14ac:dyDescent="0.3">
      <c r="T3647" s="47" t="str">
        <f ca="1">IF(R3647="","",IFERROR(TODAY()+VLOOKUP(R3647,REGRAS!$B$2:$C$13,2,0),""))</f>
        <v/>
      </c>
    </row>
    <row r="3648" spans="20:20" x14ac:dyDescent="0.3">
      <c r="T3648" s="47" t="str">
        <f ca="1">IF(R3648="","",IFERROR(TODAY()+VLOOKUP(R3648,REGRAS!$B$2:$C$13,2,0),""))</f>
        <v/>
      </c>
    </row>
    <row r="3649" spans="20:20" x14ac:dyDescent="0.3">
      <c r="T3649" s="47" t="str">
        <f ca="1">IF(R3649="","",IFERROR(TODAY()+VLOOKUP(R3649,REGRAS!$B$2:$C$13,2,0),""))</f>
        <v/>
      </c>
    </row>
    <row r="3650" spans="20:20" x14ac:dyDescent="0.3">
      <c r="T3650" s="47" t="str">
        <f ca="1">IF(R3650="","",IFERROR(TODAY()+VLOOKUP(R3650,REGRAS!$B$2:$C$13,2,0),""))</f>
        <v/>
      </c>
    </row>
    <row r="3651" spans="20:20" x14ac:dyDescent="0.3">
      <c r="T3651" s="47" t="str">
        <f ca="1">IF(R3651="","",IFERROR(TODAY()+VLOOKUP(R3651,REGRAS!$B$2:$C$13,2,0),""))</f>
        <v/>
      </c>
    </row>
    <row r="3652" spans="20:20" x14ac:dyDescent="0.3">
      <c r="T3652" s="47" t="str">
        <f ca="1">IF(R3652="","",IFERROR(TODAY()+VLOOKUP(R3652,REGRAS!$B$2:$C$13,2,0),""))</f>
        <v/>
      </c>
    </row>
    <row r="3653" spans="20:20" x14ac:dyDescent="0.3">
      <c r="T3653" s="47" t="str">
        <f ca="1">IF(R3653="","",IFERROR(TODAY()+VLOOKUP(R3653,REGRAS!$B$2:$C$13,2,0),""))</f>
        <v/>
      </c>
    </row>
    <row r="3654" spans="20:20" x14ac:dyDescent="0.3">
      <c r="T3654" s="47" t="str">
        <f ca="1">IF(R3654="","",IFERROR(TODAY()+VLOOKUP(R3654,REGRAS!$B$2:$C$13,2,0),""))</f>
        <v/>
      </c>
    </row>
    <row r="3655" spans="20:20" x14ac:dyDescent="0.3">
      <c r="T3655" s="47" t="str">
        <f ca="1">IF(R3655="","",IFERROR(TODAY()+VLOOKUP(R3655,REGRAS!$B$2:$C$13,2,0),""))</f>
        <v/>
      </c>
    </row>
    <row r="3656" spans="20:20" x14ac:dyDescent="0.3">
      <c r="T3656" s="47" t="str">
        <f ca="1">IF(R3656="","",IFERROR(TODAY()+VLOOKUP(R3656,REGRAS!$B$2:$C$13,2,0),""))</f>
        <v/>
      </c>
    </row>
    <row r="3657" spans="20:20" x14ac:dyDescent="0.3">
      <c r="T3657" s="47" t="str">
        <f ca="1">IF(R3657="","",IFERROR(TODAY()+VLOOKUP(R3657,REGRAS!$B$2:$C$13,2,0),""))</f>
        <v/>
      </c>
    </row>
    <row r="3658" spans="20:20" x14ac:dyDescent="0.3">
      <c r="T3658" s="47" t="str">
        <f ca="1">IF(R3658="","",IFERROR(TODAY()+VLOOKUP(R3658,REGRAS!$B$2:$C$13,2,0),""))</f>
        <v/>
      </c>
    </row>
    <row r="3659" spans="20:20" x14ac:dyDescent="0.3">
      <c r="T3659" s="47" t="str">
        <f ca="1">IF(R3659="","",IFERROR(TODAY()+VLOOKUP(R3659,REGRAS!$B$2:$C$13,2,0),""))</f>
        <v/>
      </c>
    </row>
    <row r="3660" spans="20:20" x14ac:dyDescent="0.3">
      <c r="T3660" s="47" t="str">
        <f ca="1">IF(R3660="","",IFERROR(TODAY()+VLOOKUP(R3660,REGRAS!$B$2:$C$13,2,0),""))</f>
        <v/>
      </c>
    </row>
    <row r="3661" spans="20:20" x14ac:dyDescent="0.3">
      <c r="T3661" s="47" t="str">
        <f ca="1">IF(R3661="","",IFERROR(TODAY()+VLOOKUP(R3661,REGRAS!$B$2:$C$13,2,0),""))</f>
        <v/>
      </c>
    </row>
    <row r="3662" spans="20:20" x14ac:dyDescent="0.3">
      <c r="T3662" s="47" t="str">
        <f ca="1">IF(R3662="","",IFERROR(TODAY()+VLOOKUP(R3662,REGRAS!$B$2:$C$13,2,0),""))</f>
        <v/>
      </c>
    </row>
    <row r="3663" spans="20:20" x14ac:dyDescent="0.3">
      <c r="T3663" s="47" t="str">
        <f ca="1">IF(R3663="","",IFERROR(TODAY()+VLOOKUP(R3663,REGRAS!$B$2:$C$13,2,0),""))</f>
        <v/>
      </c>
    </row>
    <row r="3664" spans="20:20" x14ac:dyDescent="0.3">
      <c r="T3664" s="47" t="str">
        <f ca="1">IF(R3664="","",IFERROR(TODAY()+VLOOKUP(R3664,REGRAS!$B$2:$C$13,2,0),""))</f>
        <v/>
      </c>
    </row>
    <row r="3665" spans="20:20" x14ac:dyDescent="0.3">
      <c r="T3665" s="47" t="str">
        <f ca="1">IF(R3665="","",IFERROR(TODAY()+VLOOKUP(R3665,REGRAS!$B$2:$C$13,2,0),""))</f>
        <v/>
      </c>
    </row>
    <row r="3666" spans="20:20" x14ac:dyDescent="0.3">
      <c r="T3666" s="47" t="str">
        <f ca="1">IF(R3666="","",IFERROR(TODAY()+VLOOKUP(R3666,REGRAS!$B$2:$C$13,2,0),""))</f>
        <v/>
      </c>
    </row>
    <row r="3667" spans="20:20" x14ac:dyDescent="0.3">
      <c r="T3667" s="47" t="str">
        <f ca="1">IF(R3667="","",IFERROR(TODAY()+VLOOKUP(R3667,REGRAS!$B$2:$C$13,2,0),""))</f>
        <v/>
      </c>
    </row>
    <row r="3668" spans="20:20" x14ac:dyDescent="0.3">
      <c r="T3668" s="47" t="str">
        <f ca="1">IF(R3668="","",IFERROR(TODAY()+VLOOKUP(R3668,REGRAS!$B$2:$C$13,2,0),""))</f>
        <v/>
      </c>
    </row>
    <row r="3669" spans="20:20" x14ac:dyDescent="0.3">
      <c r="T3669" s="47" t="str">
        <f ca="1">IF(R3669="","",IFERROR(TODAY()+VLOOKUP(R3669,REGRAS!$B$2:$C$13,2,0),""))</f>
        <v/>
      </c>
    </row>
    <row r="3670" spans="20:20" x14ac:dyDescent="0.3">
      <c r="T3670" s="47" t="str">
        <f ca="1">IF(R3670="","",IFERROR(TODAY()+VLOOKUP(R3670,REGRAS!$B$2:$C$13,2,0),""))</f>
        <v/>
      </c>
    </row>
    <row r="3671" spans="20:20" x14ac:dyDescent="0.3">
      <c r="T3671" s="47" t="str">
        <f ca="1">IF(R3671="","",IFERROR(TODAY()+VLOOKUP(R3671,REGRAS!$B$2:$C$13,2,0),""))</f>
        <v/>
      </c>
    </row>
    <row r="3672" spans="20:20" x14ac:dyDescent="0.3">
      <c r="T3672" s="47" t="str">
        <f ca="1">IF(R3672="","",IFERROR(TODAY()+VLOOKUP(R3672,REGRAS!$B$2:$C$13,2,0),""))</f>
        <v/>
      </c>
    </row>
    <row r="3673" spans="20:20" x14ac:dyDescent="0.3">
      <c r="T3673" s="47" t="str">
        <f ca="1">IF(R3673="","",IFERROR(TODAY()+VLOOKUP(R3673,REGRAS!$B$2:$C$13,2,0),""))</f>
        <v/>
      </c>
    </row>
    <row r="3674" spans="20:20" x14ac:dyDescent="0.3">
      <c r="T3674" s="47" t="str">
        <f ca="1">IF(R3674="","",IFERROR(TODAY()+VLOOKUP(R3674,REGRAS!$B$2:$C$13,2,0),""))</f>
        <v/>
      </c>
    </row>
    <row r="3675" spans="20:20" x14ac:dyDescent="0.3">
      <c r="T3675" s="47" t="str">
        <f ca="1">IF(R3675="","",IFERROR(TODAY()+VLOOKUP(R3675,REGRAS!$B$2:$C$13,2,0),""))</f>
        <v/>
      </c>
    </row>
    <row r="3676" spans="20:20" x14ac:dyDescent="0.3">
      <c r="T3676" s="47" t="str">
        <f ca="1">IF(R3676="","",IFERROR(TODAY()+VLOOKUP(R3676,REGRAS!$B$2:$C$13,2,0),""))</f>
        <v/>
      </c>
    </row>
    <row r="3677" spans="20:20" x14ac:dyDescent="0.3">
      <c r="T3677" s="47" t="str">
        <f ca="1">IF(R3677="","",IFERROR(TODAY()+VLOOKUP(R3677,REGRAS!$B$2:$C$13,2,0),""))</f>
        <v/>
      </c>
    </row>
    <row r="3678" spans="20:20" x14ac:dyDescent="0.3">
      <c r="T3678" s="47" t="str">
        <f ca="1">IF(R3678="","",IFERROR(TODAY()+VLOOKUP(R3678,REGRAS!$B$2:$C$13,2,0),""))</f>
        <v/>
      </c>
    </row>
    <row r="3679" spans="20:20" x14ac:dyDescent="0.3">
      <c r="T3679" s="47" t="str">
        <f ca="1">IF(R3679="","",IFERROR(TODAY()+VLOOKUP(R3679,REGRAS!$B$2:$C$13,2,0),""))</f>
        <v/>
      </c>
    </row>
    <row r="3680" spans="20:20" x14ac:dyDescent="0.3">
      <c r="T3680" s="47" t="str">
        <f ca="1">IF(R3680="","",IFERROR(TODAY()+VLOOKUP(R3680,REGRAS!$B$2:$C$13,2,0),""))</f>
        <v/>
      </c>
    </row>
    <row r="3681" spans="20:20" x14ac:dyDescent="0.3">
      <c r="T3681" s="47" t="str">
        <f ca="1">IF(R3681="","",IFERROR(TODAY()+VLOOKUP(R3681,REGRAS!$B$2:$C$13,2,0),""))</f>
        <v/>
      </c>
    </row>
    <row r="3682" spans="20:20" x14ac:dyDescent="0.3">
      <c r="T3682" s="47" t="str">
        <f ca="1">IF(R3682="","",IFERROR(TODAY()+VLOOKUP(R3682,REGRAS!$B$2:$C$13,2,0),""))</f>
        <v/>
      </c>
    </row>
    <row r="3683" spans="20:20" x14ac:dyDescent="0.3">
      <c r="T3683" s="47" t="str">
        <f ca="1">IF(R3683="","",IFERROR(TODAY()+VLOOKUP(R3683,REGRAS!$B$2:$C$13,2,0),""))</f>
        <v/>
      </c>
    </row>
    <row r="3684" spans="20:20" x14ac:dyDescent="0.3">
      <c r="T3684" s="47" t="str">
        <f ca="1">IF(R3684="","",IFERROR(TODAY()+VLOOKUP(R3684,REGRAS!$B$2:$C$13,2,0),""))</f>
        <v/>
      </c>
    </row>
    <row r="3685" spans="20:20" x14ac:dyDescent="0.3">
      <c r="T3685" s="47" t="str">
        <f ca="1">IF(R3685="","",IFERROR(TODAY()+VLOOKUP(R3685,REGRAS!$B$2:$C$13,2,0),""))</f>
        <v/>
      </c>
    </row>
    <row r="3686" spans="20:20" x14ac:dyDescent="0.3">
      <c r="T3686" s="47" t="str">
        <f ca="1">IF(R3686="","",IFERROR(TODAY()+VLOOKUP(R3686,REGRAS!$B$2:$C$13,2,0),""))</f>
        <v/>
      </c>
    </row>
    <row r="3687" spans="20:20" x14ac:dyDescent="0.3">
      <c r="T3687" s="47" t="str">
        <f ca="1">IF(R3687="","",IFERROR(TODAY()+VLOOKUP(R3687,REGRAS!$B$2:$C$13,2,0),""))</f>
        <v/>
      </c>
    </row>
    <row r="3688" spans="20:20" x14ac:dyDescent="0.3">
      <c r="T3688" s="47" t="str">
        <f ca="1">IF(R3688="","",IFERROR(TODAY()+VLOOKUP(R3688,REGRAS!$B$2:$C$13,2,0),""))</f>
        <v/>
      </c>
    </row>
    <row r="3689" spans="20:20" x14ac:dyDescent="0.3">
      <c r="T3689" s="47" t="str">
        <f ca="1">IF(R3689="","",IFERROR(TODAY()+VLOOKUP(R3689,REGRAS!$B$2:$C$13,2,0),""))</f>
        <v/>
      </c>
    </row>
    <row r="3690" spans="20:20" x14ac:dyDescent="0.3">
      <c r="T3690" s="47" t="str">
        <f ca="1">IF(R3690="","",IFERROR(TODAY()+VLOOKUP(R3690,REGRAS!$B$2:$C$13,2,0),""))</f>
        <v/>
      </c>
    </row>
    <row r="3691" spans="20:20" x14ac:dyDescent="0.3">
      <c r="T3691" s="47" t="str">
        <f ca="1">IF(R3691="","",IFERROR(TODAY()+VLOOKUP(R3691,REGRAS!$B$2:$C$13,2,0),""))</f>
        <v/>
      </c>
    </row>
    <row r="3692" spans="20:20" x14ac:dyDescent="0.3">
      <c r="T3692" s="47" t="str">
        <f ca="1">IF(R3692="","",IFERROR(TODAY()+VLOOKUP(R3692,REGRAS!$B$2:$C$13,2,0),""))</f>
        <v/>
      </c>
    </row>
    <row r="3693" spans="20:20" x14ac:dyDescent="0.3">
      <c r="T3693" s="47" t="str">
        <f ca="1">IF(R3693="","",IFERROR(TODAY()+VLOOKUP(R3693,REGRAS!$B$2:$C$13,2,0),""))</f>
        <v/>
      </c>
    </row>
    <row r="3694" spans="20:20" x14ac:dyDescent="0.3">
      <c r="T3694" s="47" t="str">
        <f ca="1">IF(R3694="","",IFERROR(TODAY()+VLOOKUP(R3694,REGRAS!$B$2:$C$13,2,0),""))</f>
        <v/>
      </c>
    </row>
    <row r="3695" spans="20:20" x14ac:dyDescent="0.3">
      <c r="T3695" s="47" t="str">
        <f ca="1">IF(R3695="","",IFERROR(TODAY()+VLOOKUP(R3695,REGRAS!$B$2:$C$13,2,0),""))</f>
        <v/>
      </c>
    </row>
    <row r="3696" spans="20:20" x14ac:dyDescent="0.3">
      <c r="T3696" s="47" t="str">
        <f ca="1">IF(R3696="","",IFERROR(TODAY()+VLOOKUP(R3696,REGRAS!$B$2:$C$13,2,0),""))</f>
        <v/>
      </c>
    </row>
    <row r="3697" spans="20:20" x14ac:dyDescent="0.3">
      <c r="T3697" s="47" t="str">
        <f ca="1">IF(R3697="","",IFERROR(TODAY()+VLOOKUP(R3697,REGRAS!$B$2:$C$13,2,0),""))</f>
        <v/>
      </c>
    </row>
    <row r="3698" spans="20:20" x14ac:dyDescent="0.3">
      <c r="T3698" s="47" t="str">
        <f ca="1">IF(R3698="","",IFERROR(TODAY()+VLOOKUP(R3698,REGRAS!$B$2:$C$13,2,0),""))</f>
        <v/>
      </c>
    </row>
    <row r="3699" spans="20:20" x14ac:dyDescent="0.3">
      <c r="T3699" s="47" t="str">
        <f ca="1">IF(R3699="","",IFERROR(TODAY()+VLOOKUP(R3699,REGRAS!$B$2:$C$13,2,0),""))</f>
        <v/>
      </c>
    </row>
    <row r="3700" spans="20:20" x14ac:dyDescent="0.3">
      <c r="T3700" s="47" t="str">
        <f ca="1">IF(R3700="","",IFERROR(TODAY()+VLOOKUP(R3700,REGRAS!$B$2:$C$13,2,0),""))</f>
        <v/>
      </c>
    </row>
    <row r="3701" spans="20:20" x14ac:dyDescent="0.3">
      <c r="T3701" s="47" t="str">
        <f ca="1">IF(R3701="","",IFERROR(TODAY()+VLOOKUP(R3701,REGRAS!$B$2:$C$13,2,0),""))</f>
        <v/>
      </c>
    </row>
    <row r="3702" spans="20:20" x14ac:dyDescent="0.3">
      <c r="T3702" s="47" t="str">
        <f ca="1">IF(R3702="","",IFERROR(TODAY()+VLOOKUP(R3702,REGRAS!$B$2:$C$13,2,0),""))</f>
        <v/>
      </c>
    </row>
    <row r="3703" spans="20:20" x14ac:dyDescent="0.3">
      <c r="T3703" s="47" t="str">
        <f ca="1">IF(R3703="","",IFERROR(TODAY()+VLOOKUP(R3703,REGRAS!$B$2:$C$13,2,0),""))</f>
        <v/>
      </c>
    </row>
    <row r="3704" spans="20:20" x14ac:dyDescent="0.3">
      <c r="T3704" s="47" t="str">
        <f ca="1">IF(R3704="","",IFERROR(TODAY()+VLOOKUP(R3704,REGRAS!$B$2:$C$13,2,0),""))</f>
        <v/>
      </c>
    </row>
    <row r="3705" spans="20:20" x14ac:dyDescent="0.3">
      <c r="T3705" s="47" t="str">
        <f ca="1">IF(R3705="","",IFERROR(TODAY()+VLOOKUP(R3705,REGRAS!$B$2:$C$13,2,0),""))</f>
        <v/>
      </c>
    </row>
    <row r="3706" spans="20:20" x14ac:dyDescent="0.3">
      <c r="T3706" s="47" t="str">
        <f ca="1">IF(R3706="","",IFERROR(TODAY()+VLOOKUP(R3706,REGRAS!$B$2:$C$13,2,0),""))</f>
        <v/>
      </c>
    </row>
    <row r="3707" spans="20:20" x14ac:dyDescent="0.3">
      <c r="T3707" s="47" t="str">
        <f ca="1">IF(R3707="","",IFERROR(TODAY()+VLOOKUP(R3707,REGRAS!$B$2:$C$13,2,0),""))</f>
        <v/>
      </c>
    </row>
    <row r="3708" spans="20:20" x14ac:dyDescent="0.3">
      <c r="T3708" s="47" t="str">
        <f ca="1">IF(R3708="","",IFERROR(TODAY()+VLOOKUP(R3708,REGRAS!$B$2:$C$13,2,0),""))</f>
        <v/>
      </c>
    </row>
    <row r="3709" spans="20:20" x14ac:dyDescent="0.3">
      <c r="T3709" s="47" t="str">
        <f ca="1">IF(R3709="","",IFERROR(TODAY()+VLOOKUP(R3709,REGRAS!$B$2:$C$13,2,0),""))</f>
        <v/>
      </c>
    </row>
    <row r="3710" spans="20:20" x14ac:dyDescent="0.3">
      <c r="T3710" s="47" t="str">
        <f ca="1">IF(R3710="","",IFERROR(TODAY()+VLOOKUP(R3710,REGRAS!$B$2:$C$13,2,0),""))</f>
        <v/>
      </c>
    </row>
    <row r="3711" spans="20:20" x14ac:dyDescent="0.3">
      <c r="T3711" s="47" t="str">
        <f ca="1">IF(R3711="","",IFERROR(TODAY()+VLOOKUP(R3711,REGRAS!$B$2:$C$13,2,0),""))</f>
        <v/>
      </c>
    </row>
    <row r="3712" spans="20:20" x14ac:dyDescent="0.3">
      <c r="T3712" s="47" t="str">
        <f ca="1">IF(R3712="","",IFERROR(TODAY()+VLOOKUP(R3712,REGRAS!$B$2:$C$13,2,0),""))</f>
        <v/>
      </c>
    </row>
    <row r="3713" spans="20:20" x14ac:dyDescent="0.3">
      <c r="T3713" s="47" t="str">
        <f ca="1">IF(R3713="","",IFERROR(TODAY()+VLOOKUP(R3713,REGRAS!$B$2:$C$13,2,0),""))</f>
        <v/>
      </c>
    </row>
    <row r="3714" spans="20:20" x14ac:dyDescent="0.3">
      <c r="T3714" s="47" t="str">
        <f ca="1">IF(R3714="","",IFERROR(TODAY()+VLOOKUP(R3714,REGRAS!$B$2:$C$13,2,0),""))</f>
        <v/>
      </c>
    </row>
    <row r="3715" spans="20:20" x14ac:dyDescent="0.3">
      <c r="T3715" s="47" t="str">
        <f ca="1">IF(R3715="","",IFERROR(TODAY()+VLOOKUP(R3715,REGRAS!$B$2:$C$13,2,0),""))</f>
        <v/>
      </c>
    </row>
    <row r="3716" spans="20:20" x14ac:dyDescent="0.3">
      <c r="T3716" s="47" t="str">
        <f ca="1">IF(R3716="","",IFERROR(TODAY()+VLOOKUP(R3716,REGRAS!$B$2:$C$13,2,0),""))</f>
        <v/>
      </c>
    </row>
    <row r="3717" spans="20:20" x14ac:dyDescent="0.3">
      <c r="T3717" s="47" t="str">
        <f ca="1">IF(R3717="","",IFERROR(TODAY()+VLOOKUP(R3717,REGRAS!$B$2:$C$13,2,0),""))</f>
        <v/>
      </c>
    </row>
    <row r="3718" spans="20:20" x14ac:dyDescent="0.3">
      <c r="T3718" s="47" t="str">
        <f ca="1">IF(R3718="","",IFERROR(TODAY()+VLOOKUP(R3718,REGRAS!$B$2:$C$13,2,0),""))</f>
        <v/>
      </c>
    </row>
    <row r="3719" spans="20:20" x14ac:dyDescent="0.3">
      <c r="T3719" s="47" t="str">
        <f ca="1">IF(R3719="","",IFERROR(TODAY()+VLOOKUP(R3719,REGRAS!$B$2:$C$13,2,0),""))</f>
        <v/>
      </c>
    </row>
    <row r="3720" spans="20:20" x14ac:dyDescent="0.3">
      <c r="T3720" s="47" t="str">
        <f ca="1">IF(R3720="","",IFERROR(TODAY()+VLOOKUP(R3720,REGRAS!$B$2:$C$13,2,0),""))</f>
        <v/>
      </c>
    </row>
    <row r="3721" spans="20:20" x14ac:dyDescent="0.3">
      <c r="T3721" s="47" t="str">
        <f ca="1">IF(R3721="","",IFERROR(TODAY()+VLOOKUP(R3721,REGRAS!$B$2:$C$13,2,0),""))</f>
        <v/>
      </c>
    </row>
    <row r="3722" spans="20:20" x14ac:dyDescent="0.3">
      <c r="T3722" s="47" t="str">
        <f ca="1">IF(R3722="","",IFERROR(TODAY()+VLOOKUP(R3722,REGRAS!$B$2:$C$13,2,0),""))</f>
        <v/>
      </c>
    </row>
    <row r="3723" spans="20:20" x14ac:dyDescent="0.3">
      <c r="T3723" s="47" t="str">
        <f ca="1">IF(R3723="","",IFERROR(TODAY()+VLOOKUP(R3723,REGRAS!$B$2:$C$13,2,0),""))</f>
        <v/>
      </c>
    </row>
    <row r="3724" spans="20:20" x14ac:dyDescent="0.3">
      <c r="T3724" s="47" t="str">
        <f ca="1">IF(R3724="","",IFERROR(TODAY()+VLOOKUP(R3724,REGRAS!$B$2:$C$13,2,0),""))</f>
        <v/>
      </c>
    </row>
    <row r="3725" spans="20:20" x14ac:dyDescent="0.3">
      <c r="T3725" s="47" t="str">
        <f ca="1">IF(R3725="","",IFERROR(TODAY()+VLOOKUP(R3725,REGRAS!$B$2:$C$13,2,0),""))</f>
        <v/>
      </c>
    </row>
    <row r="3726" spans="20:20" x14ac:dyDescent="0.3">
      <c r="T3726" s="47" t="str">
        <f ca="1">IF(R3726="","",IFERROR(TODAY()+VLOOKUP(R3726,REGRAS!$B$2:$C$13,2,0),""))</f>
        <v/>
      </c>
    </row>
    <row r="3727" spans="20:20" x14ac:dyDescent="0.3">
      <c r="T3727" s="47" t="str">
        <f ca="1">IF(R3727="","",IFERROR(TODAY()+VLOOKUP(R3727,REGRAS!$B$2:$C$13,2,0),""))</f>
        <v/>
      </c>
    </row>
    <row r="3728" spans="20:20" x14ac:dyDescent="0.3">
      <c r="T3728" s="47" t="str">
        <f ca="1">IF(R3728="","",IFERROR(TODAY()+VLOOKUP(R3728,REGRAS!$B$2:$C$13,2,0),""))</f>
        <v/>
      </c>
    </row>
    <row r="3729" spans="20:20" x14ac:dyDescent="0.3">
      <c r="T3729" s="47" t="str">
        <f ca="1">IF(R3729="","",IFERROR(TODAY()+VLOOKUP(R3729,REGRAS!$B$2:$C$13,2,0),""))</f>
        <v/>
      </c>
    </row>
    <row r="3730" spans="20:20" x14ac:dyDescent="0.3">
      <c r="T3730" s="47" t="str">
        <f ca="1">IF(R3730="","",IFERROR(TODAY()+VLOOKUP(R3730,REGRAS!$B$2:$C$13,2,0),""))</f>
        <v/>
      </c>
    </row>
    <row r="3731" spans="20:20" x14ac:dyDescent="0.3">
      <c r="T3731" s="47" t="str">
        <f ca="1">IF(R3731="","",IFERROR(TODAY()+VLOOKUP(R3731,REGRAS!$B$2:$C$13,2,0),""))</f>
        <v/>
      </c>
    </row>
    <row r="3732" spans="20:20" x14ac:dyDescent="0.3">
      <c r="T3732" s="47" t="str">
        <f ca="1">IF(R3732="","",IFERROR(TODAY()+VLOOKUP(R3732,REGRAS!$B$2:$C$13,2,0),""))</f>
        <v/>
      </c>
    </row>
    <row r="3733" spans="20:20" x14ac:dyDescent="0.3">
      <c r="T3733" s="47" t="str">
        <f ca="1">IF(R3733="","",IFERROR(TODAY()+VLOOKUP(R3733,REGRAS!$B$2:$C$13,2,0),""))</f>
        <v/>
      </c>
    </row>
    <row r="3734" spans="20:20" x14ac:dyDescent="0.3">
      <c r="T3734" s="47" t="str">
        <f ca="1">IF(R3734="","",IFERROR(TODAY()+VLOOKUP(R3734,REGRAS!$B$2:$C$13,2,0),""))</f>
        <v/>
      </c>
    </row>
    <row r="3735" spans="20:20" x14ac:dyDescent="0.3">
      <c r="T3735" s="47" t="str">
        <f ca="1">IF(R3735="","",IFERROR(TODAY()+VLOOKUP(R3735,REGRAS!$B$2:$C$13,2,0),""))</f>
        <v/>
      </c>
    </row>
    <row r="3736" spans="20:20" x14ac:dyDescent="0.3">
      <c r="T3736" s="47" t="str">
        <f ca="1">IF(R3736="","",IFERROR(TODAY()+VLOOKUP(R3736,REGRAS!$B$2:$C$13,2,0),""))</f>
        <v/>
      </c>
    </row>
    <row r="3737" spans="20:20" x14ac:dyDescent="0.3">
      <c r="T3737" s="47" t="str">
        <f ca="1">IF(R3737="","",IFERROR(TODAY()+VLOOKUP(R3737,REGRAS!$B$2:$C$13,2,0),""))</f>
        <v/>
      </c>
    </row>
    <row r="3738" spans="20:20" x14ac:dyDescent="0.3">
      <c r="T3738" s="47" t="str">
        <f ca="1">IF(R3738="","",IFERROR(TODAY()+VLOOKUP(R3738,REGRAS!$B$2:$C$13,2,0),""))</f>
        <v/>
      </c>
    </row>
    <row r="3739" spans="20:20" x14ac:dyDescent="0.3">
      <c r="T3739" s="47" t="str">
        <f ca="1">IF(R3739="","",IFERROR(TODAY()+VLOOKUP(R3739,REGRAS!$B$2:$C$13,2,0),""))</f>
        <v/>
      </c>
    </row>
    <row r="3740" spans="20:20" x14ac:dyDescent="0.3">
      <c r="T3740" s="47" t="str">
        <f ca="1">IF(R3740="","",IFERROR(TODAY()+VLOOKUP(R3740,REGRAS!$B$2:$C$13,2,0),""))</f>
        <v/>
      </c>
    </row>
    <row r="3741" spans="20:20" x14ac:dyDescent="0.3">
      <c r="T3741" s="47" t="str">
        <f ca="1">IF(R3741="","",IFERROR(TODAY()+VLOOKUP(R3741,REGRAS!$B$2:$C$13,2,0),""))</f>
        <v/>
      </c>
    </row>
    <row r="3742" spans="20:20" x14ac:dyDescent="0.3">
      <c r="T3742" s="47" t="str">
        <f ca="1">IF(R3742="","",IFERROR(TODAY()+VLOOKUP(R3742,REGRAS!$B$2:$C$13,2,0),""))</f>
        <v/>
      </c>
    </row>
    <row r="3743" spans="20:20" x14ac:dyDescent="0.3">
      <c r="T3743" s="47" t="str">
        <f ca="1">IF(R3743="","",IFERROR(TODAY()+VLOOKUP(R3743,REGRAS!$B$2:$C$13,2,0),""))</f>
        <v/>
      </c>
    </row>
    <row r="3744" spans="20:20" x14ac:dyDescent="0.3">
      <c r="T3744" s="47" t="str">
        <f ca="1">IF(R3744="","",IFERROR(TODAY()+VLOOKUP(R3744,REGRAS!$B$2:$C$13,2,0),""))</f>
        <v/>
      </c>
    </row>
    <row r="3745" spans="20:20" x14ac:dyDescent="0.3">
      <c r="T3745" s="47" t="str">
        <f ca="1">IF(R3745="","",IFERROR(TODAY()+VLOOKUP(R3745,REGRAS!$B$2:$C$13,2,0),""))</f>
        <v/>
      </c>
    </row>
    <row r="3746" spans="20:20" x14ac:dyDescent="0.3">
      <c r="T3746" s="47" t="str">
        <f ca="1">IF(R3746="","",IFERROR(TODAY()+VLOOKUP(R3746,REGRAS!$B$2:$C$13,2,0),""))</f>
        <v/>
      </c>
    </row>
    <row r="3747" spans="20:20" x14ac:dyDescent="0.3">
      <c r="T3747" s="47" t="str">
        <f ca="1">IF(R3747="","",IFERROR(TODAY()+VLOOKUP(R3747,REGRAS!$B$2:$C$13,2,0),""))</f>
        <v/>
      </c>
    </row>
    <row r="3748" spans="20:20" x14ac:dyDescent="0.3">
      <c r="T3748" s="47" t="str">
        <f ca="1">IF(R3748="","",IFERROR(TODAY()+VLOOKUP(R3748,REGRAS!$B$2:$C$13,2,0),""))</f>
        <v/>
      </c>
    </row>
    <row r="3749" spans="20:20" x14ac:dyDescent="0.3">
      <c r="T3749" s="47" t="str">
        <f ca="1">IF(R3749="","",IFERROR(TODAY()+VLOOKUP(R3749,REGRAS!$B$2:$C$13,2,0),""))</f>
        <v/>
      </c>
    </row>
    <row r="3750" spans="20:20" x14ac:dyDescent="0.3">
      <c r="T3750" s="47" t="str">
        <f ca="1">IF(R3750="","",IFERROR(TODAY()+VLOOKUP(R3750,REGRAS!$B$2:$C$13,2,0),""))</f>
        <v/>
      </c>
    </row>
    <row r="3751" spans="20:20" x14ac:dyDescent="0.3">
      <c r="T3751" s="47" t="str">
        <f ca="1">IF(R3751="","",IFERROR(TODAY()+VLOOKUP(R3751,REGRAS!$B$2:$C$13,2,0),""))</f>
        <v/>
      </c>
    </row>
    <row r="3752" spans="20:20" x14ac:dyDescent="0.3">
      <c r="T3752" s="47" t="str">
        <f ca="1">IF(R3752="","",IFERROR(TODAY()+VLOOKUP(R3752,REGRAS!$B$2:$C$13,2,0),""))</f>
        <v/>
      </c>
    </row>
    <row r="3753" spans="20:20" x14ac:dyDescent="0.3">
      <c r="T3753" s="47" t="str">
        <f ca="1">IF(R3753="","",IFERROR(TODAY()+VLOOKUP(R3753,REGRAS!$B$2:$C$13,2,0),""))</f>
        <v/>
      </c>
    </row>
    <row r="3754" spans="20:20" x14ac:dyDescent="0.3">
      <c r="T3754" s="47" t="str">
        <f ca="1">IF(R3754="","",IFERROR(TODAY()+VLOOKUP(R3754,REGRAS!$B$2:$C$13,2,0),""))</f>
        <v/>
      </c>
    </row>
    <row r="3755" spans="20:20" x14ac:dyDescent="0.3">
      <c r="T3755" s="47" t="str">
        <f ca="1">IF(R3755="","",IFERROR(TODAY()+VLOOKUP(R3755,REGRAS!$B$2:$C$13,2,0),""))</f>
        <v/>
      </c>
    </row>
    <row r="3756" spans="20:20" x14ac:dyDescent="0.3">
      <c r="T3756" s="47" t="str">
        <f ca="1">IF(R3756="","",IFERROR(TODAY()+VLOOKUP(R3756,REGRAS!$B$2:$C$13,2,0),""))</f>
        <v/>
      </c>
    </row>
    <row r="3757" spans="20:20" x14ac:dyDescent="0.3">
      <c r="T3757" s="47" t="str">
        <f ca="1">IF(R3757="","",IFERROR(TODAY()+VLOOKUP(R3757,REGRAS!$B$2:$C$13,2,0),""))</f>
        <v/>
      </c>
    </row>
    <row r="3758" spans="20:20" x14ac:dyDescent="0.3">
      <c r="T3758" s="47" t="str">
        <f ca="1">IF(R3758="","",IFERROR(TODAY()+VLOOKUP(R3758,REGRAS!$B$2:$C$13,2,0),""))</f>
        <v/>
      </c>
    </row>
    <row r="3759" spans="20:20" x14ac:dyDescent="0.3">
      <c r="T3759" s="47" t="str">
        <f ca="1">IF(R3759="","",IFERROR(TODAY()+VLOOKUP(R3759,REGRAS!$B$2:$C$13,2,0),""))</f>
        <v/>
      </c>
    </row>
    <row r="3760" spans="20:20" x14ac:dyDescent="0.3">
      <c r="T3760" s="47" t="str">
        <f ca="1">IF(R3760="","",IFERROR(TODAY()+VLOOKUP(R3760,REGRAS!$B$2:$C$13,2,0),""))</f>
        <v/>
      </c>
    </row>
    <row r="3761" spans="20:20" x14ac:dyDescent="0.3">
      <c r="T3761" s="47" t="str">
        <f ca="1">IF(R3761="","",IFERROR(TODAY()+VLOOKUP(R3761,REGRAS!$B$2:$C$13,2,0),""))</f>
        <v/>
      </c>
    </row>
    <row r="3762" spans="20:20" x14ac:dyDescent="0.3">
      <c r="T3762" s="47" t="str">
        <f ca="1">IF(R3762="","",IFERROR(TODAY()+VLOOKUP(R3762,REGRAS!$B$2:$C$13,2,0),""))</f>
        <v/>
      </c>
    </row>
    <row r="3763" spans="20:20" x14ac:dyDescent="0.3">
      <c r="T3763" s="47" t="str">
        <f ca="1">IF(R3763="","",IFERROR(TODAY()+VLOOKUP(R3763,REGRAS!$B$2:$C$13,2,0),""))</f>
        <v/>
      </c>
    </row>
    <row r="3764" spans="20:20" x14ac:dyDescent="0.3">
      <c r="T3764" s="47" t="str">
        <f ca="1">IF(R3764="","",IFERROR(TODAY()+VLOOKUP(R3764,REGRAS!$B$2:$C$13,2,0),""))</f>
        <v/>
      </c>
    </row>
    <row r="3765" spans="20:20" x14ac:dyDescent="0.3">
      <c r="T3765" s="47" t="str">
        <f ca="1">IF(R3765="","",IFERROR(TODAY()+VLOOKUP(R3765,REGRAS!$B$2:$C$13,2,0),""))</f>
        <v/>
      </c>
    </row>
    <row r="3766" spans="20:20" x14ac:dyDescent="0.3">
      <c r="T3766" s="47" t="str">
        <f ca="1">IF(R3766="","",IFERROR(TODAY()+VLOOKUP(R3766,REGRAS!$B$2:$C$13,2,0),""))</f>
        <v/>
      </c>
    </row>
    <row r="3767" spans="20:20" x14ac:dyDescent="0.3">
      <c r="T3767" s="47" t="str">
        <f ca="1">IF(R3767="","",IFERROR(TODAY()+VLOOKUP(R3767,REGRAS!$B$2:$C$13,2,0),""))</f>
        <v/>
      </c>
    </row>
    <row r="3768" spans="20:20" x14ac:dyDescent="0.3">
      <c r="T3768" s="47" t="str">
        <f ca="1">IF(R3768="","",IFERROR(TODAY()+VLOOKUP(R3768,REGRAS!$B$2:$C$13,2,0),""))</f>
        <v/>
      </c>
    </row>
    <row r="3769" spans="20:20" x14ac:dyDescent="0.3">
      <c r="T3769" s="47" t="str">
        <f ca="1">IF(R3769="","",IFERROR(TODAY()+VLOOKUP(R3769,REGRAS!$B$2:$C$13,2,0),""))</f>
        <v/>
      </c>
    </row>
    <row r="3770" spans="20:20" x14ac:dyDescent="0.3">
      <c r="T3770" s="47" t="str">
        <f ca="1">IF(R3770="","",IFERROR(TODAY()+VLOOKUP(R3770,REGRAS!$B$2:$C$13,2,0),""))</f>
        <v/>
      </c>
    </row>
    <row r="3771" spans="20:20" x14ac:dyDescent="0.3">
      <c r="T3771" s="47" t="str">
        <f ca="1">IF(R3771="","",IFERROR(TODAY()+VLOOKUP(R3771,REGRAS!$B$2:$C$13,2,0),""))</f>
        <v/>
      </c>
    </row>
    <row r="3772" spans="20:20" x14ac:dyDescent="0.3">
      <c r="T3772" s="47" t="str">
        <f ca="1">IF(R3772="","",IFERROR(TODAY()+VLOOKUP(R3772,REGRAS!$B$2:$C$13,2,0),""))</f>
        <v/>
      </c>
    </row>
    <row r="3773" spans="20:20" x14ac:dyDescent="0.3">
      <c r="T3773" s="47" t="str">
        <f ca="1">IF(R3773="","",IFERROR(TODAY()+VLOOKUP(R3773,REGRAS!$B$2:$C$13,2,0),""))</f>
        <v/>
      </c>
    </row>
    <row r="3774" spans="20:20" x14ac:dyDescent="0.3">
      <c r="T3774" s="47" t="str">
        <f ca="1">IF(R3774="","",IFERROR(TODAY()+VLOOKUP(R3774,REGRAS!$B$2:$C$13,2,0),""))</f>
        <v/>
      </c>
    </row>
    <row r="3775" spans="20:20" x14ac:dyDescent="0.3">
      <c r="T3775" s="47" t="str">
        <f ca="1">IF(R3775="","",IFERROR(TODAY()+VLOOKUP(R3775,REGRAS!$B$2:$C$13,2,0),""))</f>
        <v/>
      </c>
    </row>
    <row r="3776" spans="20:20" x14ac:dyDescent="0.3">
      <c r="T3776" s="47" t="str">
        <f ca="1">IF(R3776="","",IFERROR(TODAY()+VLOOKUP(R3776,REGRAS!$B$2:$C$13,2,0),""))</f>
        <v/>
      </c>
    </row>
    <row r="3777" spans="20:20" x14ac:dyDescent="0.3">
      <c r="T3777" s="47" t="str">
        <f ca="1">IF(R3777="","",IFERROR(TODAY()+VLOOKUP(R3777,REGRAS!$B$2:$C$13,2,0),""))</f>
        <v/>
      </c>
    </row>
    <row r="3778" spans="20:20" x14ac:dyDescent="0.3">
      <c r="T3778" s="47" t="str">
        <f ca="1">IF(R3778="","",IFERROR(TODAY()+VLOOKUP(R3778,REGRAS!$B$2:$C$13,2,0),""))</f>
        <v/>
      </c>
    </row>
    <row r="3779" spans="20:20" x14ac:dyDescent="0.3">
      <c r="T3779" s="47" t="str">
        <f ca="1">IF(R3779="","",IFERROR(TODAY()+VLOOKUP(R3779,REGRAS!$B$2:$C$13,2,0),""))</f>
        <v/>
      </c>
    </row>
    <row r="3780" spans="20:20" x14ac:dyDescent="0.3">
      <c r="T3780" s="47" t="str">
        <f ca="1">IF(R3780="","",IFERROR(TODAY()+VLOOKUP(R3780,REGRAS!$B$2:$C$13,2,0),""))</f>
        <v/>
      </c>
    </row>
    <row r="3781" spans="20:20" x14ac:dyDescent="0.3">
      <c r="T3781" s="47" t="str">
        <f ca="1">IF(R3781="","",IFERROR(TODAY()+VLOOKUP(R3781,REGRAS!$B$2:$C$13,2,0),""))</f>
        <v/>
      </c>
    </row>
    <row r="3782" spans="20:20" x14ac:dyDescent="0.3">
      <c r="T3782" s="47" t="str">
        <f ca="1">IF(R3782="","",IFERROR(TODAY()+VLOOKUP(R3782,REGRAS!$B$2:$C$13,2,0),""))</f>
        <v/>
      </c>
    </row>
    <row r="3783" spans="20:20" x14ac:dyDescent="0.3">
      <c r="T3783" s="47" t="str">
        <f ca="1">IF(R3783="","",IFERROR(TODAY()+VLOOKUP(R3783,REGRAS!$B$2:$C$13,2,0),""))</f>
        <v/>
      </c>
    </row>
    <row r="3784" spans="20:20" x14ac:dyDescent="0.3">
      <c r="T3784" s="47" t="str">
        <f ca="1">IF(R3784="","",IFERROR(TODAY()+VLOOKUP(R3784,REGRAS!$B$2:$C$13,2,0),""))</f>
        <v/>
      </c>
    </row>
    <row r="3785" spans="20:20" x14ac:dyDescent="0.3">
      <c r="T3785" s="47" t="str">
        <f ca="1">IF(R3785="","",IFERROR(TODAY()+VLOOKUP(R3785,REGRAS!$B$2:$C$13,2,0),""))</f>
        <v/>
      </c>
    </row>
    <row r="3786" spans="20:20" x14ac:dyDescent="0.3">
      <c r="T3786" s="47" t="str">
        <f ca="1">IF(R3786="","",IFERROR(TODAY()+VLOOKUP(R3786,REGRAS!$B$2:$C$13,2,0),""))</f>
        <v/>
      </c>
    </row>
    <row r="3787" spans="20:20" x14ac:dyDescent="0.3">
      <c r="T3787" s="47" t="str">
        <f ca="1">IF(R3787="","",IFERROR(TODAY()+VLOOKUP(R3787,REGRAS!$B$2:$C$13,2,0),""))</f>
        <v/>
      </c>
    </row>
    <row r="3788" spans="20:20" x14ac:dyDescent="0.3">
      <c r="T3788" s="47" t="str">
        <f ca="1">IF(R3788="","",IFERROR(TODAY()+VLOOKUP(R3788,REGRAS!$B$2:$C$13,2,0),""))</f>
        <v/>
      </c>
    </row>
    <row r="3789" spans="20:20" x14ac:dyDescent="0.3">
      <c r="T3789" s="47" t="str">
        <f ca="1">IF(R3789="","",IFERROR(TODAY()+VLOOKUP(R3789,REGRAS!$B$2:$C$13,2,0),""))</f>
        <v/>
      </c>
    </row>
    <row r="3790" spans="20:20" x14ac:dyDescent="0.3">
      <c r="T3790" s="47" t="str">
        <f ca="1">IF(R3790="","",IFERROR(TODAY()+VLOOKUP(R3790,REGRAS!$B$2:$C$13,2,0),""))</f>
        <v/>
      </c>
    </row>
    <row r="3791" spans="20:20" x14ac:dyDescent="0.3">
      <c r="T3791" s="47" t="str">
        <f ca="1">IF(R3791="","",IFERROR(TODAY()+VLOOKUP(R3791,REGRAS!$B$2:$C$13,2,0),""))</f>
        <v/>
      </c>
    </row>
    <row r="3792" spans="20:20" x14ac:dyDescent="0.3">
      <c r="T3792" s="47" t="str">
        <f ca="1">IF(R3792="","",IFERROR(TODAY()+VLOOKUP(R3792,REGRAS!$B$2:$C$13,2,0),""))</f>
        <v/>
      </c>
    </row>
    <row r="3793" spans="20:20" x14ac:dyDescent="0.3">
      <c r="T3793" s="47" t="str">
        <f ca="1">IF(R3793="","",IFERROR(TODAY()+VLOOKUP(R3793,REGRAS!$B$2:$C$13,2,0),""))</f>
        <v/>
      </c>
    </row>
    <row r="3794" spans="20:20" x14ac:dyDescent="0.3">
      <c r="T3794" s="47" t="str">
        <f ca="1">IF(R3794="","",IFERROR(TODAY()+VLOOKUP(R3794,REGRAS!$B$2:$C$13,2,0),""))</f>
        <v/>
      </c>
    </row>
    <row r="3795" spans="20:20" x14ac:dyDescent="0.3">
      <c r="T3795" s="47" t="str">
        <f ca="1">IF(R3795="","",IFERROR(TODAY()+VLOOKUP(R3795,REGRAS!$B$2:$C$13,2,0),""))</f>
        <v/>
      </c>
    </row>
    <row r="3796" spans="20:20" x14ac:dyDescent="0.3">
      <c r="T3796" s="47" t="str">
        <f ca="1">IF(R3796="","",IFERROR(TODAY()+VLOOKUP(R3796,REGRAS!$B$2:$C$13,2,0),""))</f>
        <v/>
      </c>
    </row>
    <row r="3797" spans="20:20" x14ac:dyDescent="0.3">
      <c r="T3797" s="47" t="str">
        <f ca="1">IF(R3797="","",IFERROR(TODAY()+VLOOKUP(R3797,REGRAS!$B$2:$C$13,2,0),""))</f>
        <v/>
      </c>
    </row>
    <row r="3798" spans="20:20" x14ac:dyDescent="0.3">
      <c r="T3798" s="47" t="str">
        <f ca="1">IF(R3798="","",IFERROR(TODAY()+VLOOKUP(R3798,REGRAS!$B$2:$C$13,2,0),""))</f>
        <v/>
      </c>
    </row>
    <row r="3799" spans="20:20" x14ac:dyDescent="0.3">
      <c r="T3799" s="47" t="str">
        <f ca="1">IF(R3799="","",IFERROR(TODAY()+VLOOKUP(R3799,REGRAS!$B$2:$C$13,2,0),""))</f>
        <v/>
      </c>
    </row>
    <row r="3800" spans="20:20" x14ac:dyDescent="0.3">
      <c r="T3800" s="47" t="str">
        <f ca="1">IF(R3800="","",IFERROR(TODAY()+VLOOKUP(R3800,REGRAS!$B$2:$C$13,2,0),""))</f>
        <v/>
      </c>
    </row>
    <row r="3801" spans="20:20" x14ac:dyDescent="0.3">
      <c r="T3801" s="47" t="str">
        <f ca="1">IF(R3801="","",IFERROR(TODAY()+VLOOKUP(R3801,REGRAS!$B$2:$C$13,2,0),""))</f>
        <v/>
      </c>
    </row>
    <row r="3802" spans="20:20" x14ac:dyDescent="0.3">
      <c r="T3802" s="47" t="str">
        <f ca="1">IF(R3802="","",IFERROR(TODAY()+VLOOKUP(R3802,REGRAS!$B$2:$C$13,2,0),""))</f>
        <v/>
      </c>
    </row>
    <row r="3803" spans="20:20" x14ac:dyDescent="0.3">
      <c r="T3803" s="47" t="str">
        <f ca="1">IF(R3803="","",IFERROR(TODAY()+VLOOKUP(R3803,REGRAS!$B$2:$C$13,2,0),""))</f>
        <v/>
      </c>
    </row>
    <row r="3804" spans="20:20" x14ac:dyDescent="0.3">
      <c r="T3804" s="47" t="str">
        <f ca="1">IF(R3804="","",IFERROR(TODAY()+VLOOKUP(R3804,REGRAS!$B$2:$C$13,2,0),""))</f>
        <v/>
      </c>
    </row>
    <row r="3805" spans="20:20" x14ac:dyDescent="0.3">
      <c r="T3805" s="47" t="str">
        <f ca="1">IF(R3805="","",IFERROR(TODAY()+VLOOKUP(R3805,REGRAS!$B$2:$C$13,2,0),""))</f>
        <v/>
      </c>
    </row>
    <row r="3806" spans="20:20" x14ac:dyDescent="0.3">
      <c r="T3806" s="47" t="str">
        <f ca="1">IF(R3806="","",IFERROR(TODAY()+VLOOKUP(R3806,REGRAS!$B$2:$C$13,2,0),""))</f>
        <v/>
      </c>
    </row>
    <row r="3807" spans="20:20" x14ac:dyDescent="0.3">
      <c r="T3807" s="47" t="str">
        <f ca="1">IF(R3807="","",IFERROR(TODAY()+VLOOKUP(R3807,REGRAS!$B$2:$C$13,2,0),""))</f>
        <v/>
      </c>
    </row>
    <row r="3808" spans="20:20" x14ac:dyDescent="0.3">
      <c r="T3808" s="47" t="str">
        <f ca="1">IF(R3808="","",IFERROR(TODAY()+VLOOKUP(R3808,REGRAS!$B$2:$C$13,2,0),""))</f>
        <v/>
      </c>
    </row>
    <row r="3809" spans="20:20" x14ac:dyDescent="0.3">
      <c r="T3809" s="47" t="str">
        <f ca="1">IF(R3809="","",IFERROR(TODAY()+VLOOKUP(R3809,REGRAS!$B$2:$C$13,2,0),""))</f>
        <v/>
      </c>
    </row>
    <row r="3810" spans="20:20" x14ac:dyDescent="0.3">
      <c r="T3810" s="47" t="str">
        <f ca="1">IF(R3810="","",IFERROR(TODAY()+VLOOKUP(R3810,REGRAS!$B$2:$C$13,2,0),""))</f>
        <v/>
      </c>
    </row>
    <row r="3811" spans="20:20" x14ac:dyDescent="0.3">
      <c r="T3811" s="47" t="str">
        <f ca="1">IF(R3811="","",IFERROR(TODAY()+VLOOKUP(R3811,REGRAS!$B$2:$C$13,2,0),""))</f>
        <v/>
      </c>
    </row>
    <row r="3812" spans="20:20" x14ac:dyDescent="0.3">
      <c r="T3812" s="47" t="str">
        <f ca="1">IF(R3812="","",IFERROR(TODAY()+VLOOKUP(R3812,REGRAS!$B$2:$C$13,2,0),""))</f>
        <v/>
      </c>
    </row>
    <row r="3813" spans="20:20" x14ac:dyDescent="0.3">
      <c r="T3813" s="47" t="str">
        <f ca="1">IF(R3813="","",IFERROR(TODAY()+VLOOKUP(R3813,REGRAS!$B$2:$C$13,2,0),""))</f>
        <v/>
      </c>
    </row>
    <row r="3814" spans="20:20" x14ac:dyDescent="0.3">
      <c r="T3814" s="47" t="str">
        <f ca="1">IF(R3814="","",IFERROR(TODAY()+VLOOKUP(R3814,REGRAS!$B$2:$C$13,2,0),""))</f>
        <v/>
      </c>
    </row>
    <row r="3815" spans="20:20" x14ac:dyDescent="0.3">
      <c r="T3815" s="47" t="str">
        <f ca="1">IF(R3815="","",IFERROR(TODAY()+VLOOKUP(R3815,REGRAS!$B$2:$C$13,2,0),""))</f>
        <v/>
      </c>
    </row>
    <row r="3816" spans="20:20" x14ac:dyDescent="0.3">
      <c r="T3816" s="47" t="str">
        <f ca="1">IF(R3816="","",IFERROR(TODAY()+VLOOKUP(R3816,REGRAS!$B$2:$C$13,2,0),""))</f>
        <v/>
      </c>
    </row>
    <row r="3817" spans="20:20" x14ac:dyDescent="0.3">
      <c r="T3817" s="47" t="str">
        <f ca="1">IF(R3817="","",IFERROR(TODAY()+VLOOKUP(R3817,REGRAS!$B$2:$C$13,2,0),""))</f>
        <v/>
      </c>
    </row>
    <row r="3818" spans="20:20" x14ac:dyDescent="0.3">
      <c r="T3818" s="47" t="str">
        <f ca="1">IF(R3818="","",IFERROR(TODAY()+VLOOKUP(R3818,REGRAS!$B$2:$C$13,2,0),""))</f>
        <v/>
      </c>
    </row>
    <row r="3819" spans="20:20" x14ac:dyDescent="0.3">
      <c r="T3819" s="47" t="str">
        <f ca="1">IF(R3819="","",IFERROR(TODAY()+VLOOKUP(R3819,REGRAS!$B$2:$C$13,2,0),""))</f>
        <v/>
      </c>
    </row>
    <row r="3820" spans="20:20" x14ac:dyDescent="0.3">
      <c r="T3820" s="47" t="str">
        <f ca="1">IF(R3820="","",IFERROR(TODAY()+VLOOKUP(R3820,REGRAS!$B$2:$C$13,2,0),""))</f>
        <v/>
      </c>
    </row>
    <row r="3821" spans="20:20" x14ac:dyDescent="0.3">
      <c r="T3821" s="47" t="str">
        <f ca="1">IF(R3821="","",IFERROR(TODAY()+VLOOKUP(R3821,REGRAS!$B$2:$C$13,2,0),""))</f>
        <v/>
      </c>
    </row>
    <row r="3822" spans="20:20" x14ac:dyDescent="0.3">
      <c r="T3822" s="47" t="str">
        <f ca="1">IF(R3822="","",IFERROR(TODAY()+VLOOKUP(R3822,REGRAS!$B$2:$C$13,2,0),""))</f>
        <v/>
      </c>
    </row>
    <row r="3823" spans="20:20" x14ac:dyDescent="0.3">
      <c r="T3823" s="47" t="str">
        <f ca="1">IF(R3823="","",IFERROR(TODAY()+VLOOKUP(R3823,REGRAS!$B$2:$C$13,2,0),""))</f>
        <v/>
      </c>
    </row>
    <row r="3824" spans="20:20" x14ac:dyDescent="0.3">
      <c r="T3824" s="47" t="str">
        <f ca="1">IF(R3824="","",IFERROR(TODAY()+VLOOKUP(R3824,REGRAS!$B$2:$C$13,2,0),""))</f>
        <v/>
      </c>
    </row>
    <row r="3825" spans="20:20" x14ac:dyDescent="0.3">
      <c r="T3825" s="47" t="str">
        <f ca="1">IF(R3825="","",IFERROR(TODAY()+VLOOKUP(R3825,REGRAS!$B$2:$C$13,2,0),""))</f>
        <v/>
      </c>
    </row>
    <row r="3826" spans="20:20" x14ac:dyDescent="0.3">
      <c r="T3826" s="47" t="str">
        <f ca="1">IF(R3826="","",IFERROR(TODAY()+VLOOKUP(R3826,REGRAS!$B$2:$C$13,2,0),""))</f>
        <v/>
      </c>
    </row>
    <row r="3827" spans="20:20" x14ac:dyDescent="0.3">
      <c r="T3827" s="47" t="str">
        <f ca="1">IF(R3827="","",IFERROR(TODAY()+VLOOKUP(R3827,REGRAS!$B$2:$C$13,2,0),""))</f>
        <v/>
      </c>
    </row>
    <row r="3828" spans="20:20" x14ac:dyDescent="0.3">
      <c r="T3828" s="47" t="str">
        <f ca="1">IF(R3828="","",IFERROR(TODAY()+VLOOKUP(R3828,REGRAS!$B$2:$C$13,2,0),""))</f>
        <v/>
      </c>
    </row>
    <row r="3829" spans="20:20" x14ac:dyDescent="0.3">
      <c r="T3829" s="47" t="str">
        <f ca="1">IF(R3829="","",IFERROR(TODAY()+VLOOKUP(R3829,REGRAS!$B$2:$C$13,2,0),""))</f>
        <v/>
      </c>
    </row>
    <row r="3830" spans="20:20" x14ac:dyDescent="0.3">
      <c r="T3830" s="47" t="str">
        <f ca="1">IF(R3830="","",IFERROR(TODAY()+VLOOKUP(R3830,REGRAS!$B$2:$C$13,2,0),""))</f>
        <v/>
      </c>
    </row>
    <row r="3831" spans="20:20" x14ac:dyDescent="0.3">
      <c r="T3831" s="47" t="str">
        <f ca="1">IF(R3831="","",IFERROR(TODAY()+VLOOKUP(R3831,REGRAS!$B$2:$C$13,2,0),""))</f>
        <v/>
      </c>
    </row>
    <row r="3832" spans="20:20" x14ac:dyDescent="0.3">
      <c r="T3832" s="47" t="str">
        <f ca="1">IF(R3832="","",IFERROR(TODAY()+VLOOKUP(R3832,REGRAS!$B$2:$C$13,2,0),""))</f>
        <v/>
      </c>
    </row>
    <row r="3833" spans="20:20" x14ac:dyDescent="0.3">
      <c r="T3833" s="47" t="str">
        <f ca="1">IF(R3833="","",IFERROR(TODAY()+VLOOKUP(R3833,REGRAS!$B$2:$C$13,2,0),""))</f>
        <v/>
      </c>
    </row>
    <row r="3834" spans="20:20" x14ac:dyDescent="0.3">
      <c r="T3834" s="47" t="str">
        <f ca="1">IF(R3834="","",IFERROR(TODAY()+VLOOKUP(R3834,REGRAS!$B$2:$C$13,2,0),""))</f>
        <v/>
      </c>
    </row>
    <row r="3835" spans="20:20" x14ac:dyDescent="0.3">
      <c r="T3835" s="47" t="str">
        <f ca="1">IF(R3835="","",IFERROR(TODAY()+VLOOKUP(R3835,REGRAS!$B$2:$C$13,2,0),""))</f>
        <v/>
      </c>
    </row>
    <row r="3836" spans="20:20" x14ac:dyDescent="0.3">
      <c r="T3836" s="47" t="str">
        <f ca="1">IF(R3836="","",IFERROR(TODAY()+VLOOKUP(R3836,REGRAS!$B$2:$C$13,2,0),""))</f>
        <v/>
      </c>
    </row>
    <row r="3837" spans="20:20" x14ac:dyDescent="0.3">
      <c r="T3837" s="47" t="str">
        <f ca="1">IF(R3837="","",IFERROR(TODAY()+VLOOKUP(R3837,REGRAS!$B$2:$C$13,2,0),""))</f>
        <v/>
      </c>
    </row>
    <row r="3838" spans="20:20" x14ac:dyDescent="0.3">
      <c r="T3838" s="47" t="str">
        <f ca="1">IF(R3838="","",IFERROR(TODAY()+VLOOKUP(R3838,REGRAS!$B$2:$C$13,2,0),""))</f>
        <v/>
      </c>
    </row>
    <row r="3839" spans="20:20" x14ac:dyDescent="0.3">
      <c r="T3839" s="47" t="str">
        <f ca="1">IF(R3839="","",IFERROR(TODAY()+VLOOKUP(R3839,REGRAS!$B$2:$C$13,2,0),""))</f>
        <v/>
      </c>
    </row>
    <row r="3840" spans="20:20" x14ac:dyDescent="0.3">
      <c r="T3840" s="47" t="str">
        <f ca="1">IF(R3840="","",IFERROR(TODAY()+VLOOKUP(R3840,REGRAS!$B$2:$C$13,2,0),""))</f>
        <v/>
      </c>
    </row>
    <row r="3841" spans="20:20" x14ac:dyDescent="0.3">
      <c r="T3841" s="47" t="str">
        <f ca="1">IF(R3841="","",IFERROR(TODAY()+VLOOKUP(R3841,REGRAS!$B$2:$C$13,2,0),""))</f>
        <v/>
      </c>
    </row>
    <row r="3842" spans="20:20" x14ac:dyDescent="0.3">
      <c r="T3842" s="47" t="str">
        <f ca="1">IF(R3842="","",IFERROR(TODAY()+VLOOKUP(R3842,REGRAS!$B$2:$C$13,2,0),""))</f>
        <v/>
      </c>
    </row>
    <row r="3843" spans="20:20" x14ac:dyDescent="0.3">
      <c r="T3843" s="47" t="str">
        <f ca="1">IF(R3843="","",IFERROR(TODAY()+VLOOKUP(R3843,REGRAS!$B$2:$C$13,2,0),""))</f>
        <v/>
      </c>
    </row>
    <row r="3844" spans="20:20" x14ac:dyDescent="0.3">
      <c r="T3844" s="47" t="str">
        <f ca="1">IF(R3844="","",IFERROR(TODAY()+VLOOKUP(R3844,REGRAS!$B$2:$C$13,2,0),""))</f>
        <v/>
      </c>
    </row>
    <row r="3845" spans="20:20" x14ac:dyDescent="0.3">
      <c r="T3845" s="47" t="str">
        <f ca="1">IF(R3845="","",IFERROR(TODAY()+VLOOKUP(R3845,REGRAS!$B$2:$C$13,2,0),""))</f>
        <v/>
      </c>
    </row>
    <row r="3846" spans="20:20" x14ac:dyDescent="0.3">
      <c r="T3846" s="47" t="str">
        <f ca="1">IF(R3846="","",IFERROR(TODAY()+VLOOKUP(R3846,REGRAS!$B$2:$C$13,2,0),""))</f>
        <v/>
      </c>
    </row>
    <row r="3847" spans="20:20" x14ac:dyDescent="0.3">
      <c r="T3847" s="47" t="str">
        <f ca="1">IF(R3847="","",IFERROR(TODAY()+VLOOKUP(R3847,REGRAS!$B$2:$C$13,2,0),""))</f>
        <v/>
      </c>
    </row>
    <row r="3848" spans="20:20" x14ac:dyDescent="0.3">
      <c r="T3848" s="47" t="str">
        <f ca="1">IF(R3848="","",IFERROR(TODAY()+VLOOKUP(R3848,REGRAS!$B$2:$C$13,2,0),""))</f>
        <v/>
      </c>
    </row>
    <row r="3849" spans="20:20" x14ac:dyDescent="0.3">
      <c r="T3849" s="47" t="str">
        <f ca="1">IF(R3849="","",IFERROR(TODAY()+VLOOKUP(R3849,REGRAS!$B$2:$C$13,2,0),""))</f>
        <v/>
      </c>
    </row>
    <row r="3850" spans="20:20" x14ac:dyDescent="0.3">
      <c r="T3850" s="47" t="str">
        <f ca="1">IF(R3850="","",IFERROR(TODAY()+VLOOKUP(R3850,REGRAS!$B$2:$C$13,2,0),""))</f>
        <v/>
      </c>
    </row>
    <row r="3851" spans="20:20" x14ac:dyDescent="0.3">
      <c r="T3851" s="47" t="str">
        <f ca="1">IF(R3851="","",IFERROR(TODAY()+VLOOKUP(R3851,REGRAS!$B$2:$C$13,2,0),""))</f>
        <v/>
      </c>
    </row>
    <row r="3852" spans="20:20" x14ac:dyDescent="0.3">
      <c r="T3852" s="47" t="str">
        <f ca="1">IF(R3852="","",IFERROR(TODAY()+VLOOKUP(R3852,REGRAS!$B$2:$C$13,2,0),""))</f>
        <v/>
      </c>
    </row>
    <row r="3853" spans="20:20" x14ac:dyDescent="0.3">
      <c r="T3853" s="47" t="str">
        <f ca="1">IF(R3853="","",IFERROR(TODAY()+VLOOKUP(R3853,REGRAS!$B$2:$C$13,2,0),""))</f>
        <v/>
      </c>
    </row>
    <row r="3854" spans="20:20" x14ac:dyDescent="0.3">
      <c r="T3854" s="47" t="str">
        <f ca="1">IF(R3854="","",IFERROR(TODAY()+VLOOKUP(R3854,REGRAS!$B$2:$C$13,2,0),""))</f>
        <v/>
      </c>
    </row>
    <row r="3855" spans="20:20" x14ac:dyDescent="0.3">
      <c r="T3855" s="47" t="str">
        <f ca="1">IF(R3855="","",IFERROR(TODAY()+VLOOKUP(R3855,REGRAS!$B$2:$C$13,2,0),""))</f>
        <v/>
      </c>
    </row>
    <row r="3856" spans="20:20" x14ac:dyDescent="0.3">
      <c r="T3856" s="47" t="str">
        <f ca="1">IF(R3856="","",IFERROR(TODAY()+VLOOKUP(R3856,REGRAS!$B$2:$C$13,2,0),""))</f>
        <v/>
      </c>
    </row>
    <row r="3857" spans="20:20" x14ac:dyDescent="0.3">
      <c r="T3857" s="47" t="str">
        <f ca="1">IF(R3857="","",IFERROR(TODAY()+VLOOKUP(R3857,REGRAS!$B$2:$C$13,2,0),""))</f>
        <v/>
      </c>
    </row>
    <row r="3858" spans="20:20" x14ac:dyDescent="0.3">
      <c r="T3858" s="47" t="str">
        <f ca="1">IF(R3858="","",IFERROR(TODAY()+VLOOKUP(R3858,REGRAS!$B$2:$C$13,2,0),""))</f>
        <v/>
      </c>
    </row>
    <row r="3859" spans="20:20" x14ac:dyDescent="0.3">
      <c r="T3859" s="47" t="str">
        <f ca="1">IF(R3859="","",IFERROR(TODAY()+VLOOKUP(R3859,REGRAS!$B$2:$C$13,2,0),""))</f>
        <v/>
      </c>
    </row>
    <row r="3860" spans="20:20" x14ac:dyDescent="0.3">
      <c r="T3860" s="47" t="str">
        <f ca="1">IF(R3860="","",IFERROR(TODAY()+VLOOKUP(R3860,REGRAS!$B$2:$C$13,2,0),""))</f>
        <v/>
      </c>
    </row>
    <row r="3861" spans="20:20" x14ac:dyDescent="0.3">
      <c r="T3861" s="47" t="str">
        <f ca="1">IF(R3861="","",IFERROR(TODAY()+VLOOKUP(R3861,REGRAS!$B$2:$C$13,2,0),""))</f>
        <v/>
      </c>
    </row>
    <row r="3862" spans="20:20" x14ac:dyDescent="0.3">
      <c r="T3862" s="47" t="str">
        <f ca="1">IF(R3862="","",IFERROR(TODAY()+VLOOKUP(R3862,REGRAS!$B$2:$C$13,2,0),""))</f>
        <v/>
      </c>
    </row>
    <row r="3863" spans="20:20" x14ac:dyDescent="0.3">
      <c r="T3863" s="47" t="str">
        <f ca="1">IF(R3863="","",IFERROR(TODAY()+VLOOKUP(R3863,REGRAS!$B$2:$C$13,2,0),""))</f>
        <v/>
      </c>
    </row>
    <row r="3864" spans="20:20" x14ac:dyDescent="0.3">
      <c r="T3864" s="47" t="str">
        <f ca="1">IF(R3864="","",IFERROR(TODAY()+VLOOKUP(R3864,REGRAS!$B$2:$C$13,2,0),""))</f>
        <v/>
      </c>
    </row>
    <row r="3865" spans="20:20" x14ac:dyDescent="0.3">
      <c r="T3865" s="47" t="str">
        <f ca="1">IF(R3865="","",IFERROR(TODAY()+VLOOKUP(R3865,REGRAS!$B$2:$C$13,2,0),""))</f>
        <v/>
      </c>
    </row>
    <row r="3866" spans="20:20" x14ac:dyDescent="0.3">
      <c r="T3866" s="47" t="str">
        <f ca="1">IF(R3866="","",IFERROR(TODAY()+VLOOKUP(R3866,REGRAS!$B$2:$C$13,2,0),""))</f>
        <v/>
      </c>
    </row>
    <row r="3867" spans="20:20" x14ac:dyDescent="0.3">
      <c r="T3867" s="47" t="str">
        <f ca="1">IF(R3867="","",IFERROR(TODAY()+VLOOKUP(R3867,REGRAS!$B$2:$C$13,2,0),""))</f>
        <v/>
      </c>
    </row>
    <row r="3868" spans="20:20" x14ac:dyDescent="0.3">
      <c r="T3868" s="47" t="str">
        <f ca="1">IF(R3868="","",IFERROR(TODAY()+VLOOKUP(R3868,REGRAS!$B$2:$C$13,2,0),""))</f>
        <v/>
      </c>
    </row>
    <row r="3869" spans="20:20" x14ac:dyDescent="0.3">
      <c r="T3869" s="47" t="str">
        <f ca="1">IF(R3869="","",IFERROR(TODAY()+VLOOKUP(R3869,REGRAS!$B$2:$C$13,2,0),""))</f>
        <v/>
      </c>
    </row>
    <row r="3870" spans="20:20" x14ac:dyDescent="0.3">
      <c r="T3870" s="47" t="str">
        <f ca="1">IF(R3870="","",IFERROR(TODAY()+VLOOKUP(R3870,REGRAS!$B$2:$C$13,2,0),""))</f>
        <v/>
      </c>
    </row>
    <row r="3871" spans="20:20" x14ac:dyDescent="0.3">
      <c r="T3871" s="47" t="str">
        <f ca="1">IF(R3871="","",IFERROR(TODAY()+VLOOKUP(R3871,REGRAS!$B$2:$C$13,2,0),""))</f>
        <v/>
      </c>
    </row>
    <row r="3872" spans="20:20" x14ac:dyDescent="0.3">
      <c r="T3872" s="47" t="str">
        <f ca="1">IF(R3872="","",IFERROR(TODAY()+VLOOKUP(R3872,REGRAS!$B$2:$C$13,2,0),""))</f>
        <v/>
      </c>
    </row>
    <row r="3873" spans="20:20" x14ac:dyDescent="0.3">
      <c r="T3873" s="47" t="str">
        <f ca="1">IF(R3873="","",IFERROR(TODAY()+VLOOKUP(R3873,REGRAS!$B$2:$C$13,2,0),""))</f>
        <v/>
      </c>
    </row>
    <row r="3874" spans="20:20" x14ac:dyDescent="0.3">
      <c r="T3874" s="47" t="str">
        <f ca="1">IF(R3874="","",IFERROR(TODAY()+VLOOKUP(R3874,REGRAS!$B$2:$C$13,2,0),""))</f>
        <v/>
      </c>
    </row>
    <row r="3875" spans="20:20" x14ac:dyDescent="0.3">
      <c r="T3875" s="47" t="str">
        <f ca="1">IF(R3875="","",IFERROR(TODAY()+VLOOKUP(R3875,REGRAS!$B$2:$C$13,2,0),""))</f>
        <v/>
      </c>
    </row>
    <row r="3876" spans="20:20" x14ac:dyDescent="0.3">
      <c r="T3876" s="47" t="str">
        <f ca="1">IF(R3876="","",IFERROR(TODAY()+VLOOKUP(R3876,REGRAS!$B$2:$C$13,2,0),""))</f>
        <v/>
      </c>
    </row>
    <row r="3877" spans="20:20" x14ac:dyDescent="0.3">
      <c r="T3877" s="47" t="str">
        <f ca="1">IF(R3877="","",IFERROR(TODAY()+VLOOKUP(R3877,REGRAS!$B$2:$C$13,2,0),""))</f>
        <v/>
      </c>
    </row>
    <row r="3878" spans="20:20" x14ac:dyDescent="0.3">
      <c r="T3878" s="47" t="str">
        <f ca="1">IF(R3878="","",IFERROR(TODAY()+VLOOKUP(R3878,REGRAS!$B$2:$C$13,2,0),""))</f>
        <v/>
      </c>
    </row>
    <row r="3879" spans="20:20" x14ac:dyDescent="0.3">
      <c r="T3879" s="47" t="str">
        <f ca="1">IF(R3879="","",IFERROR(TODAY()+VLOOKUP(R3879,REGRAS!$B$2:$C$13,2,0),""))</f>
        <v/>
      </c>
    </row>
    <row r="3880" spans="20:20" x14ac:dyDescent="0.3">
      <c r="T3880" s="47" t="str">
        <f ca="1">IF(R3880="","",IFERROR(TODAY()+VLOOKUP(R3880,REGRAS!$B$2:$C$13,2,0),""))</f>
        <v/>
      </c>
    </row>
    <row r="3881" spans="20:20" x14ac:dyDescent="0.3">
      <c r="T3881" s="47" t="str">
        <f ca="1">IF(R3881="","",IFERROR(TODAY()+VLOOKUP(R3881,REGRAS!$B$2:$C$13,2,0),""))</f>
        <v/>
      </c>
    </row>
    <row r="3882" spans="20:20" x14ac:dyDescent="0.3">
      <c r="T3882" s="47" t="str">
        <f ca="1">IF(R3882="","",IFERROR(TODAY()+VLOOKUP(R3882,REGRAS!$B$2:$C$13,2,0),""))</f>
        <v/>
      </c>
    </row>
    <row r="3883" spans="20:20" x14ac:dyDescent="0.3">
      <c r="T3883" s="47" t="str">
        <f ca="1">IF(R3883="","",IFERROR(TODAY()+VLOOKUP(R3883,REGRAS!$B$2:$C$13,2,0),""))</f>
        <v/>
      </c>
    </row>
    <row r="3884" spans="20:20" x14ac:dyDescent="0.3">
      <c r="T3884" s="47" t="str">
        <f ca="1">IF(R3884="","",IFERROR(TODAY()+VLOOKUP(R3884,REGRAS!$B$2:$C$13,2,0),""))</f>
        <v/>
      </c>
    </row>
    <row r="3885" spans="20:20" x14ac:dyDescent="0.3">
      <c r="T3885" s="47" t="str">
        <f ca="1">IF(R3885="","",IFERROR(TODAY()+VLOOKUP(R3885,REGRAS!$B$2:$C$13,2,0),""))</f>
        <v/>
      </c>
    </row>
    <row r="3886" spans="20:20" x14ac:dyDescent="0.3">
      <c r="T3886" s="47" t="str">
        <f ca="1">IF(R3886="","",IFERROR(TODAY()+VLOOKUP(R3886,REGRAS!$B$2:$C$13,2,0),""))</f>
        <v/>
      </c>
    </row>
    <row r="3887" spans="20:20" x14ac:dyDescent="0.3">
      <c r="T3887" s="47" t="str">
        <f ca="1">IF(R3887="","",IFERROR(TODAY()+VLOOKUP(R3887,REGRAS!$B$2:$C$13,2,0),""))</f>
        <v/>
      </c>
    </row>
    <row r="3888" spans="20:20" x14ac:dyDescent="0.3">
      <c r="T3888" s="47" t="str">
        <f ca="1">IF(R3888="","",IFERROR(TODAY()+VLOOKUP(R3888,REGRAS!$B$2:$C$13,2,0),""))</f>
        <v/>
      </c>
    </row>
    <row r="3889" spans="20:20" x14ac:dyDescent="0.3">
      <c r="T3889" s="47" t="str">
        <f ca="1">IF(R3889="","",IFERROR(TODAY()+VLOOKUP(R3889,REGRAS!$B$2:$C$13,2,0),""))</f>
        <v/>
      </c>
    </row>
    <row r="3890" spans="20:20" x14ac:dyDescent="0.3">
      <c r="T3890" s="47" t="str">
        <f ca="1">IF(R3890="","",IFERROR(TODAY()+VLOOKUP(R3890,REGRAS!$B$2:$C$13,2,0),""))</f>
        <v/>
      </c>
    </row>
    <row r="3891" spans="20:20" x14ac:dyDescent="0.3">
      <c r="T3891" s="47" t="str">
        <f ca="1">IF(R3891="","",IFERROR(TODAY()+VLOOKUP(R3891,REGRAS!$B$2:$C$13,2,0),""))</f>
        <v/>
      </c>
    </row>
    <row r="3892" spans="20:20" x14ac:dyDescent="0.3">
      <c r="T3892" s="47" t="str">
        <f ca="1">IF(R3892="","",IFERROR(TODAY()+VLOOKUP(R3892,REGRAS!$B$2:$C$13,2,0),""))</f>
        <v/>
      </c>
    </row>
    <row r="3893" spans="20:20" x14ac:dyDescent="0.3">
      <c r="T3893" s="47" t="str">
        <f ca="1">IF(R3893="","",IFERROR(TODAY()+VLOOKUP(R3893,REGRAS!$B$2:$C$13,2,0),""))</f>
        <v/>
      </c>
    </row>
    <row r="3894" spans="20:20" x14ac:dyDescent="0.3">
      <c r="T3894" s="47" t="str">
        <f ca="1">IF(R3894="","",IFERROR(TODAY()+VLOOKUP(R3894,REGRAS!$B$2:$C$13,2,0),""))</f>
        <v/>
      </c>
    </row>
    <row r="3895" spans="20:20" x14ac:dyDescent="0.3">
      <c r="T3895" s="47" t="str">
        <f ca="1">IF(R3895="","",IFERROR(TODAY()+VLOOKUP(R3895,REGRAS!$B$2:$C$13,2,0),""))</f>
        <v/>
      </c>
    </row>
    <row r="3896" spans="20:20" x14ac:dyDescent="0.3">
      <c r="T3896" s="47" t="str">
        <f ca="1">IF(R3896="","",IFERROR(TODAY()+VLOOKUP(R3896,REGRAS!$B$2:$C$13,2,0),""))</f>
        <v/>
      </c>
    </row>
    <row r="3897" spans="20:20" x14ac:dyDescent="0.3">
      <c r="T3897" s="47" t="str">
        <f ca="1">IF(R3897="","",IFERROR(TODAY()+VLOOKUP(R3897,REGRAS!$B$2:$C$13,2,0),""))</f>
        <v/>
      </c>
    </row>
    <row r="3898" spans="20:20" x14ac:dyDescent="0.3">
      <c r="T3898" s="47" t="str">
        <f ca="1">IF(R3898="","",IFERROR(TODAY()+VLOOKUP(R3898,REGRAS!$B$2:$C$13,2,0),""))</f>
        <v/>
      </c>
    </row>
    <row r="3899" spans="20:20" x14ac:dyDescent="0.3">
      <c r="T3899" s="47" t="str">
        <f ca="1">IF(R3899="","",IFERROR(TODAY()+VLOOKUP(R3899,REGRAS!$B$2:$C$13,2,0),""))</f>
        <v/>
      </c>
    </row>
    <row r="3900" spans="20:20" x14ac:dyDescent="0.3">
      <c r="T3900" s="47" t="str">
        <f ca="1">IF(R3900="","",IFERROR(TODAY()+VLOOKUP(R3900,REGRAS!$B$2:$C$13,2,0),""))</f>
        <v/>
      </c>
    </row>
    <row r="3901" spans="20:20" x14ac:dyDescent="0.3">
      <c r="T3901" s="47" t="str">
        <f ca="1">IF(R3901="","",IFERROR(TODAY()+VLOOKUP(R3901,REGRAS!$B$2:$C$13,2,0),""))</f>
        <v/>
      </c>
    </row>
    <row r="3902" spans="20:20" x14ac:dyDescent="0.3">
      <c r="T3902" s="47" t="str">
        <f ca="1">IF(R3902="","",IFERROR(TODAY()+VLOOKUP(R3902,REGRAS!$B$2:$C$13,2,0),""))</f>
        <v/>
      </c>
    </row>
    <row r="3903" spans="20:20" x14ac:dyDescent="0.3">
      <c r="T3903" s="47" t="str">
        <f ca="1">IF(R3903="","",IFERROR(TODAY()+VLOOKUP(R3903,REGRAS!$B$2:$C$13,2,0),""))</f>
        <v/>
      </c>
    </row>
    <row r="3904" spans="20:20" x14ac:dyDescent="0.3">
      <c r="T3904" s="47" t="str">
        <f ca="1">IF(R3904="","",IFERROR(TODAY()+VLOOKUP(R3904,REGRAS!$B$2:$C$13,2,0),""))</f>
        <v/>
      </c>
    </row>
    <row r="3905" spans="20:20" x14ac:dyDescent="0.3">
      <c r="T3905" s="47" t="str">
        <f ca="1">IF(R3905="","",IFERROR(TODAY()+VLOOKUP(R3905,REGRAS!$B$2:$C$13,2,0),""))</f>
        <v/>
      </c>
    </row>
    <row r="3906" spans="20:20" x14ac:dyDescent="0.3">
      <c r="T3906" s="47" t="str">
        <f ca="1">IF(R3906="","",IFERROR(TODAY()+VLOOKUP(R3906,REGRAS!$B$2:$C$13,2,0),""))</f>
        <v/>
      </c>
    </row>
    <row r="3907" spans="20:20" x14ac:dyDescent="0.3">
      <c r="T3907" s="47" t="str">
        <f ca="1">IF(R3907="","",IFERROR(TODAY()+VLOOKUP(R3907,REGRAS!$B$2:$C$13,2,0),""))</f>
        <v/>
      </c>
    </row>
    <row r="3908" spans="20:20" x14ac:dyDescent="0.3">
      <c r="T3908" s="47" t="str">
        <f ca="1">IF(R3908="","",IFERROR(TODAY()+VLOOKUP(R3908,REGRAS!$B$2:$C$13,2,0),""))</f>
        <v/>
      </c>
    </row>
    <row r="3909" spans="20:20" x14ac:dyDescent="0.3">
      <c r="T3909" s="47" t="str">
        <f ca="1">IF(R3909="","",IFERROR(TODAY()+VLOOKUP(R3909,REGRAS!$B$2:$C$13,2,0),""))</f>
        <v/>
      </c>
    </row>
    <row r="3910" spans="20:20" x14ac:dyDescent="0.3">
      <c r="T3910" s="47" t="str">
        <f ca="1">IF(R3910="","",IFERROR(TODAY()+VLOOKUP(R3910,REGRAS!$B$2:$C$13,2,0),""))</f>
        <v/>
      </c>
    </row>
    <row r="3911" spans="20:20" x14ac:dyDescent="0.3">
      <c r="T3911" s="47" t="str">
        <f ca="1">IF(R3911="","",IFERROR(TODAY()+VLOOKUP(R3911,REGRAS!$B$2:$C$13,2,0),""))</f>
        <v/>
      </c>
    </row>
    <row r="3912" spans="20:20" x14ac:dyDescent="0.3">
      <c r="T3912" s="47" t="str">
        <f ca="1">IF(R3912="","",IFERROR(TODAY()+VLOOKUP(R3912,REGRAS!$B$2:$C$13,2,0),""))</f>
        <v/>
      </c>
    </row>
    <row r="3913" spans="20:20" x14ac:dyDescent="0.3">
      <c r="T3913" s="47" t="str">
        <f ca="1">IF(R3913="","",IFERROR(TODAY()+VLOOKUP(R3913,REGRAS!$B$2:$C$13,2,0),""))</f>
        <v/>
      </c>
    </row>
    <row r="3914" spans="20:20" x14ac:dyDescent="0.3">
      <c r="T3914" s="47" t="str">
        <f ca="1">IF(R3914="","",IFERROR(TODAY()+VLOOKUP(R3914,REGRAS!$B$2:$C$13,2,0),""))</f>
        <v/>
      </c>
    </row>
    <row r="3915" spans="20:20" x14ac:dyDescent="0.3">
      <c r="T3915" s="47" t="str">
        <f ca="1">IF(R3915="","",IFERROR(TODAY()+VLOOKUP(R3915,REGRAS!$B$2:$C$13,2,0),""))</f>
        <v/>
      </c>
    </row>
    <row r="3916" spans="20:20" x14ac:dyDescent="0.3">
      <c r="T3916" s="47" t="str">
        <f ca="1">IF(R3916="","",IFERROR(TODAY()+VLOOKUP(R3916,REGRAS!$B$2:$C$13,2,0),""))</f>
        <v/>
      </c>
    </row>
    <row r="3917" spans="20:20" x14ac:dyDescent="0.3">
      <c r="T3917" s="47" t="str">
        <f ca="1">IF(R3917="","",IFERROR(TODAY()+VLOOKUP(R3917,REGRAS!$B$2:$C$13,2,0),""))</f>
        <v/>
      </c>
    </row>
    <row r="3918" spans="20:20" x14ac:dyDescent="0.3">
      <c r="T3918" s="47" t="str">
        <f ca="1">IF(R3918="","",IFERROR(TODAY()+VLOOKUP(R3918,REGRAS!$B$2:$C$13,2,0),""))</f>
        <v/>
      </c>
    </row>
    <row r="3919" spans="20:20" x14ac:dyDescent="0.3">
      <c r="T3919" s="47" t="str">
        <f ca="1">IF(R3919="","",IFERROR(TODAY()+VLOOKUP(R3919,REGRAS!$B$2:$C$13,2,0),""))</f>
        <v/>
      </c>
    </row>
    <row r="3920" spans="20:20" x14ac:dyDescent="0.3">
      <c r="T3920" s="47" t="str">
        <f ca="1">IF(R3920="","",IFERROR(TODAY()+VLOOKUP(R3920,REGRAS!$B$2:$C$13,2,0),""))</f>
        <v/>
      </c>
    </row>
    <row r="3921" spans="20:20" x14ac:dyDescent="0.3">
      <c r="T3921" s="47" t="str">
        <f ca="1">IF(R3921="","",IFERROR(TODAY()+VLOOKUP(R3921,REGRAS!$B$2:$C$13,2,0),""))</f>
        <v/>
      </c>
    </row>
    <row r="3922" spans="20:20" x14ac:dyDescent="0.3">
      <c r="T3922" s="47" t="str">
        <f ca="1">IF(R3922="","",IFERROR(TODAY()+VLOOKUP(R3922,REGRAS!$B$2:$C$13,2,0),""))</f>
        <v/>
      </c>
    </row>
    <row r="3923" spans="20:20" x14ac:dyDescent="0.3">
      <c r="T3923" s="47" t="str">
        <f ca="1">IF(R3923="","",IFERROR(TODAY()+VLOOKUP(R3923,REGRAS!$B$2:$C$13,2,0),""))</f>
        <v/>
      </c>
    </row>
    <row r="3924" spans="20:20" x14ac:dyDescent="0.3">
      <c r="T3924" s="47" t="str">
        <f ca="1">IF(R3924="","",IFERROR(TODAY()+VLOOKUP(R3924,REGRAS!$B$2:$C$13,2,0),""))</f>
        <v/>
      </c>
    </row>
    <row r="3925" spans="20:20" x14ac:dyDescent="0.3">
      <c r="T3925" s="47" t="str">
        <f ca="1">IF(R3925="","",IFERROR(TODAY()+VLOOKUP(R3925,REGRAS!$B$2:$C$13,2,0),""))</f>
        <v/>
      </c>
    </row>
    <row r="3926" spans="20:20" x14ac:dyDescent="0.3">
      <c r="T3926" s="47" t="str">
        <f ca="1">IF(R3926="","",IFERROR(TODAY()+VLOOKUP(R3926,REGRAS!$B$2:$C$13,2,0),""))</f>
        <v/>
      </c>
    </row>
    <row r="3927" spans="20:20" x14ac:dyDescent="0.3">
      <c r="T3927" s="47" t="str">
        <f ca="1">IF(R3927="","",IFERROR(TODAY()+VLOOKUP(R3927,REGRAS!$B$2:$C$13,2,0),""))</f>
        <v/>
      </c>
    </row>
    <row r="3928" spans="20:20" x14ac:dyDescent="0.3">
      <c r="T3928" s="47" t="str">
        <f ca="1">IF(R3928="","",IFERROR(TODAY()+VLOOKUP(R3928,REGRAS!$B$2:$C$13,2,0),""))</f>
        <v/>
      </c>
    </row>
    <row r="3929" spans="20:20" x14ac:dyDescent="0.3">
      <c r="T3929" s="47" t="str">
        <f ca="1">IF(R3929="","",IFERROR(TODAY()+VLOOKUP(R3929,REGRAS!$B$2:$C$13,2,0),""))</f>
        <v/>
      </c>
    </row>
    <row r="3930" spans="20:20" x14ac:dyDescent="0.3">
      <c r="T3930" s="47" t="str">
        <f ca="1">IF(R3930="","",IFERROR(TODAY()+VLOOKUP(R3930,REGRAS!$B$2:$C$13,2,0),""))</f>
        <v/>
      </c>
    </row>
    <row r="3931" spans="20:20" x14ac:dyDescent="0.3">
      <c r="T3931" s="47" t="str">
        <f ca="1">IF(R3931="","",IFERROR(TODAY()+VLOOKUP(R3931,REGRAS!$B$2:$C$13,2,0),""))</f>
        <v/>
      </c>
    </row>
    <row r="3932" spans="20:20" x14ac:dyDescent="0.3">
      <c r="T3932" s="47" t="str">
        <f ca="1">IF(R3932="","",IFERROR(TODAY()+VLOOKUP(R3932,REGRAS!$B$2:$C$13,2,0),""))</f>
        <v/>
      </c>
    </row>
    <row r="3933" spans="20:20" x14ac:dyDescent="0.3">
      <c r="T3933" s="47" t="str">
        <f ca="1">IF(R3933="","",IFERROR(TODAY()+VLOOKUP(R3933,REGRAS!$B$2:$C$13,2,0),""))</f>
        <v/>
      </c>
    </row>
    <row r="3934" spans="20:20" x14ac:dyDescent="0.3">
      <c r="T3934" s="47" t="str">
        <f ca="1">IF(R3934="","",IFERROR(TODAY()+VLOOKUP(R3934,REGRAS!$B$2:$C$13,2,0),""))</f>
        <v/>
      </c>
    </row>
    <row r="3935" spans="20:20" x14ac:dyDescent="0.3">
      <c r="T3935" s="47" t="str">
        <f ca="1">IF(R3935="","",IFERROR(TODAY()+VLOOKUP(R3935,REGRAS!$B$2:$C$13,2,0),""))</f>
        <v/>
      </c>
    </row>
    <row r="3936" spans="20:20" x14ac:dyDescent="0.3">
      <c r="T3936" s="47" t="str">
        <f ca="1">IF(R3936="","",IFERROR(TODAY()+VLOOKUP(R3936,REGRAS!$B$2:$C$13,2,0),""))</f>
        <v/>
      </c>
    </row>
    <row r="3937" spans="20:20" x14ac:dyDescent="0.3">
      <c r="T3937" s="47" t="str">
        <f ca="1">IF(R3937="","",IFERROR(TODAY()+VLOOKUP(R3937,REGRAS!$B$2:$C$13,2,0),""))</f>
        <v/>
      </c>
    </row>
    <row r="3938" spans="20:20" x14ac:dyDescent="0.3">
      <c r="T3938" s="47" t="str">
        <f ca="1">IF(R3938="","",IFERROR(TODAY()+VLOOKUP(R3938,REGRAS!$B$2:$C$13,2,0),""))</f>
        <v/>
      </c>
    </row>
    <row r="3939" spans="20:20" x14ac:dyDescent="0.3">
      <c r="T3939" s="47" t="str">
        <f ca="1">IF(R3939="","",IFERROR(TODAY()+VLOOKUP(R3939,REGRAS!$B$2:$C$13,2,0),""))</f>
        <v/>
      </c>
    </row>
    <row r="3940" spans="20:20" x14ac:dyDescent="0.3">
      <c r="T3940" s="47" t="str">
        <f ca="1">IF(R3940="","",IFERROR(TODAY()+VLOOKUP(R3940,REGRAS!$B$2:$C$13,2,0),""))</f>
        <v/>
      </c>
    </row>
    <row r="3941" spans="20:20" x14ac:dyDescent="0.3">
      <c r="T3941" s="47" t="str">
        <f ca="1">IF(R3941="","",IFERROR(TODAY()+VLOOKUP(R3941,REGRAS!$B$2:$C$13,2,0),""))</f>
        <v/>
      </c>
    </row>
    <row r="3942" spans="20:20" x14ac:dyDescent="0.3">
      <c r="T3942" s="47" t="str">
        <f ca="1">IF(R3942="","",IFERROR(TODAY()+VLOOKUP(R3942,REGRAS!$B$2:$C$13,2,0),""))</f>
        <v/>
      </c>
    </row>
    <row r="3943" spans="20:20" x14ac:dyDescent="0.3">
      <c r="T3943" s="47" t="str">
        <f ca="1">IF(R3943="","",IFERROR(TODAY()+VLOOKUP(R3943,REGRAS!$B$2:$C$13,2,0),""))</f>
        <v/>
      </c>
    </row>
    <row r="3944" spans="20:20" x14ac:dyDescent="0.3">
      <c r="T3944" s="47" t="str">
        <f ca="1">IF(R3944="","",IFERROR(TODAY()+VLOOKUP(R3944,REGRAS!$B$2:$C$13,2,0),""))</f>
        <v/>
      </c>
    </row>
    <row r="3945" spans="20:20" x14ac:dyDescent="0.3">
      <c r="T3945" s="47" t="str">
        <f ca="1">IF(R3945="","",IFERROR(TODAY()+VLOOKUP(R3945,REGRAS!$B$2:$C$13,2,0),""))</f>
        <v/>
      </c>
    </row>
    <row r="3946" spans="20:20" x14ac:dyDescent="0.3">
      <c r="T3946" s="47" t="str">
        <f ca="1">IF(R3946="","",IFERROR(TODAY()+VLOOKUP(R3946,REGRAS!$B$2:$C$13,2,0),""))</f>
        <v/>
      </c>
    </row>
    <row r="3947" spans="20:20" x14ac:dyDescent="0.3">
      <c r="T3947" s="47" t="str">
        <f ca="1">IF(R3947="","",IFERROR(TODAY()+VLOOKUP(R3947,REGRAS!$B$2:$C$13,2,0),""))</f>
        <v/>
      </c>
    </row>
    <row r="3948" spans="20:20" x14ac:dyDescent="0.3">
      <c r="T3948" s="47" t="str">
        <f ca="1">IF(R3948="","",IFERROR(TODAY()+VLOOKUP(R3948,REGRAS!$B$2:$C$13,2,0),""))</f>
        <v/>
      </c>
    </row>
    <row r="3949" spans="20:20" x14ac:dyDescent="0.3">
      <c r="T3949" s="47" t="str">
        <f ca="1">IF(R3949="","",IFERROR(TODAY()+VLOOKUP(R3949,REGRAS!$B$2:$C$13,2,0),""))</f>
        <v/>
      </c>
    </row>
    <row r="3950" spans="20:20" x14ac:dyDescent="0.3">
      <c r="T3950" s="47" t="str">
        <f ca="1">IF(R3950="","",IFERROR(TODAY()+VLOOKUP(R3950,REGRAS!$B$2:$C$13,2,0),""))</f>
        <v/>
      </c>
    </row>
    <row r="3951" spans="20:20" x14ac:dyDescent="0.3">
      <c r="T3951" s="47" t="str">
        <f ca="1">IF(R3951="","",IFERROR(TODAY()+VLOOKUP(R3951,REGRAS!$B$2:$C$13,2,0),""))</f>
        <v/>
      </c>
    </row>
    <row r="3952" spans="20:20" x14ac:dyDescent="0.3">
      <c r="T3952" s="47" t="str">
        <f ca="1">IF(R3952="","",IFERROR(TODAY()+VLOOKUP(R3952,REGRAS!$B$2:$C$13,2,0),""))</f>
        <v/>
      </c>
    </row>
    <row r="3953" spans="20:20" x14ac:dyDescent="0.3">
      <c r="T3953" s="47" t="str">
        <f ca="1">IF(R3953="","",IFERROR(TODAY()+VLOOKUP(R3953,REGRAS!$B$2:$C$13,2,0),""))</f>
        <v/>
      </c>
    </row>
    <row r="3954" spans="20:20" x14ac:dyDescent="0.3">
      <c r="T3954" s="47" t="str">
        <f ca="1">IF(R3954="","",IFERROR(TODAY()+VLOOKUP(R3954,REGRAS!$B$2:$C$13,2,0),""))</f>
        <v/>
      </c>
    </row>
    <row r="3955" spans="20:20" x14ac:dyDescent="0.3">
      <c r="T3955" s="47" t="str">
        <f ca="1">IF(R3955="","",IFERROR(TODAY()+VLOOKUP(R3955,REGRAS!$B$2:$C$13,2,0),""))</f>
        <v/>
      </c>
    </row>
    <row r="3956" spans="20:20" x14ac:dyDescent="0.3">
      <c r="T3956" s="47" t="str">
        <f ca="1">IF(R3956="","",IFERROR(TODAY()+VLOOKUP(R3956,REGRAS!$B$2:$C$13,2,0),""))</f>
        <v/>
      </c>
    </row>
    <row r="3957" spans="20:20" x14ac:dyDescent="0.3">
      <c r="T3957" s="47" t="str">
        <f ca="1">IF(R3957="","",IFERROR(TODAY()+VLOOKUP(R3957,REGRAS!$B$2:$C$13,2,0),""))</f>
        <v/>
      </c>
    </row>
    <row r="3958" spans="20:20" x14ac:dyDescent="0.3">
      <c r="T3958" s="47" t="str">
        <f ca="1">IF(R3958="","",IFERROR(TODAY()+VLOOKUP(R3958,REGRAS!$B$2:$C$13,2,0),""))</f>
        <v/>
      </c>
    </row>
    <row r="3959" spans="20:20" x14ac:dyDescent="0.3">
      <c r="T3959" s="47" t="str">
        <f ca="1">IF(R3959="","",IFERROR(TODAY()+VLOOKUP(R3959,REGRAS!$B$2:$C$13,2,0),""))</f>
        <v/>
      </c>
    </row>
    <row r="3960" spans="20:20" x14ac:dyDescent="0.3">
      <c r="T3960" s="47" t="str">
        <f ca="1">IF(R3960="","",IFERROR(TODAY()+VLOOKUP(R3960,REGRAS!$B$2:$C$13,2,0),""))</f>
        <v/>
      </c>
    </row>
    <row r="3961" spans="20:20" x14ac:dyDescent="0.3">
      <c r="T3961" s="47" t="str">
        <f ca="1">IF(R3961="","",IFERROR(TODAY()+VLOOKUP(R3961,REGRAS!$B$2:$C$13,2,0),""))</f>
        <v/>
      </c>
    </row>
    <row r="3962" spans="20:20" x14ac:dyDescent="0.3">
      <c r="T3962" s="47" t="str">
        <f ca="1">IF(R3962="","",IFERROR(TODAY()+VLOOKUP(R3962,REGRAS!$B$2:$C$13,2,0),""))</f>
        <v/>
      </c>
    </row>
    <row r="3963" spans="20:20" x14ac:dyDescent="0.3">
      <c r="T3963" s="47" t="str">
        <f ca="1">IF(R3963="","",IFERROR(TODAY()+VLOOKUP(R3963,REGRAS!$B$2:$C$13,2,0),""))</f>
        <v/>
      </c>
    </row>
    <row r="3964" spans="20:20" x14ac:dyDescent="0.3">
      <c r="T3964" s="47" t="str">
        <f ca="1">IF(R3964="","",IFERROR(TODAY()+VLOOKUP(R3964,REGRAS!$B$2:$C$13,2,0),""))</f>
        <v/>
      </c>
    </row>
    <row r="3965" spans="20:20" x14ac:dyDescent="0.3">
      <c r="T3965" s="47" t="str">
        <f ca="1">IF(R3965="","",IFERROR(TODAY()+VLOOKUP(R3965,REGRAS!$B$2:$C$13,2,0),""))</f>
        <v/>
      </c>
    </row>
    <row r="3966" spans="20:20" x14ac:dyDescent="0.3">
      <c r="T3966" s="47" t="str">
        <f ca="1">IF(R3966="","",IFERROR(TODAY()+VLOOKUP(R3966,REGRAS!$B$2:$C$13,2,0),""))</f>
        <v/>
      </c>
    </row>
    <row r="3967" spans="20:20" x14ac:dyDescent="0.3">
      <c r="T3967" s="47" t="str">
        <f ca="1">IF(R3967="","",IFERROR(TODAY()+VLOOKUP(R3967,REGRAS!$B$2:$C$13,2,0),""))</f>
        <v/>
      </c>
    </row>
    <row r="3968" spans="20:20" x14ac:dyDescent="0.3">
      <c r="T3968" s="47" t="str">
        <f ca="1">IF(R3968="","",IFERROR(TODAY()+VLOOKUP(R3968,REGRAS!$B$2:$C$13,2,0),""))</f>
        <v/>
      </c>
    </row>
    <row r="3969" spans="20:20" x14ac:dyDescent="0.3">
      <c r="T3969" s="47" t="str">
        <f ca="1">IF(R3969="","",IFERROR(TODAY()+VLOOKUP(R3969,REGRAS!$B$2:$C$13,2,0),""))</f>
        <v/>
      </c>
    </row>
    <row r="3970" spans="20:20" x14ac:dyDescent="0.3">
      <c r="T3970" s="47" t="str">
        <f ca="1">IF(R3970="","",IFERROR(TODAY()+VLOOKUP(R3970,REGRAS!$B$2:$C$13,2,0),""))</f>
        <v/>
      </c>
    </row>
    <row r="3971" spans="20:20" x14ac:dyDescent="0.3">
      <c r="T3971" s="47" t="str">
        <f ca="1">IF(R3971="","",IFERROR(TODAY()+VLOOKUP(R3971,REGRAS!$B$2:$C$13,2,0),""))</f>
        <v/>
      </c>
    </row>
    <row r="3972" spans="20:20" x14ac:dyDescent="0.3">
      <c r="T3972" s="47" t="str">
        <f ca="1">IF(R3972="","",IFERROR(TODAY()+VLOOKUP(R3972,REGRAS!$B$2:$C$13,2,0),""))</f>
        <v/>
      </c>
    </row>
    <row r="3973" spans="20:20" x14ac:dyDescent="0.3">
      <c r="T3973" s="47" t="str">
        <f ca="1">IF(R3973="","",IFERROR(TODAY()+VLOOKUP(R3973,REGRAS!$B$2:$C$13,2,0),""))</f>
        <v/>
      </c>
    </row>
    <row r="3974" spans="20:20" x14ac:dyDescent="0.3">
      <c r="T3974" s="47" t="str">
        <f ca="1">IF(R3974="","",IFERROR(TODAY()+VLOOKUP(R3974,REGRAS!$B$2:$C$13,2,0),""))</f>
        <v/>
      </c>
    </row>
    <row r="3975" spans="20:20" x14ac:dyDescent="0.3">
      <c r="T3975" s="47" t="str">
        <f ca="1">IF(R3975="","",IFERROR(TODAY()+VLOOKUP(R3975,REGRAS!$B$2:$C$13,2,0),""))</f>
        <v/>
      </c>
    </row>
    <row r="3976" spans="20:20" x14ac:dyDescent="0.3">
      <c r="T3976" s="47" t="str">
        <f ca="1">IF(R3976="","",IFERROR(TODAY()+VLOOKUP(R3976,REGRAS!$B$2:$C$13,2,0),""))</f>
        <v/>
      </c>
    </row>
    <row r="3977" spans="20:20" x14ac:dyDescent="0.3">
      <c r="T3977" s="47" t="str">
        <f ca="1">IF(R3977="","",IFERROR(TODAY()+VLOOKUP(R3977,REGRAS!$B$2:$C$13,2,0),""))</f>
        <v/>
      </c>
    </row>
    <row r="3978" spans="20:20" x14ac:dyDescent="0.3">
      <c r="T3978" s="47" t="str">
        <f ca="1">IF(R3978="","",IFERROR(TODAY()+VLOOKUP(R3978,REGRAS!$B$2:$C$13,2,0),""))</f>
        <v/>
      </c>
    </row>
    <row r="3979" spans="20:20" x14ac:dyDescent="0.3">
      <c r="T3979" s="47" t="str">
        <f ca="1">IF(R3979="","",IFERROR(TODAY()+VLOOKUP(R3979,REGRAS!$B$2:$C$13,2,0),""))</f>
        <v/>
      </c>
    </row>
    <row r="3980" spans="20:20" x14ac:dyDescent="0.3">
      <c r="T3980" s="47" t="str">
        <f ca="1">IF(R3980="","",IFERROR(TODAY()+VLOOKUP(R3980,REGRAS!$B$2:$C$13,2,0),""))</f>
        <v/>
      </c>
    </row>
    <row r="3981" spans="20:20" x14ac:dyDescent="0.3">
      <c r="T3981" s="47" t="str">
        <f ca="1">IF(R3981="","",IFERROR(TODAY()+VLOOKUP(R3981,REGRAS!$B$2:$C$13,2,0),""))</f>
        <v/>
      </c>
    </row>
    <row r="3982" spans="20:20" x14ac:dyDescent="0.3">
      <c r="T3982" s="47" t="str">
        <f ca="1">IF(R3982="","",IFERROR(TODAY()+VLOOKUP(R3982,REGRAS!$B$2:$C$13,2,0),""))</f>
        <v/>
      </c>
    </row>
    <row r="3983" spans="20:20" x14ac:dyDescent="0.3">
      <c r="T3983" s="47" t="str">
        <f ca="1">IF(R3983="","",IFERROR(TODAY()+VLOOKUP(R3983,REGRAS!$B$2:$C$13,2,0),""))</f>
        <v/>
      </c>
    </row>
    <row r="3984" spans="20:20" x14ac:dyDescent="0.3">
      <c r="T3984" s="47" t="str">
        <f ca="1">IF(R3984="","",IFERROR(TODAY()+VLOOKUP(R3984,REGRAS!$B$2:$C$13,2,0),""))</f>
        <v/>
      </c>
    </row>
    <row r="3985" spans="20:20" x14ac:dyDescent="0.3">
      <c r="T3985" s="47" t="str">
        <f ca="1">IF(R3985="","",IFERROR(TODAY()+VLOOKUP(R3985,REGRAS!$B$2:$C$13,2,0),""))</f>
        <v/>
      </c>
    </row>
    <row r="3986" spans="20:20" x14ac:dyDescent="0.3">
      <c r="T3986" s="47" t="str">
        <f ca="1">IF(R3986="","",IFERROR(TODAY()+VLOOKUP(R3986,REGRAS!$B$2:$C$13,2,0),""))</f>
        <v/>
      </c>
    </row>
    <row r="3987" spans="20:20" x14ac:dyDescent="0.3">
      <c r="T3987" s="47" t="str">
        <f ca="1">IF(R3987="","",IFERROR(TODAY()+VLOOKUP(R3987,REGRAS!$B$2:$C$13,2,0),""))</f>
        <v/>
      </c>
    </row>
    <row r="3988" spans="20:20" x14ac:dyDescent="0.3">
      <c r="T3988" s="47" t="str">
        <f ca="1">IF(R3988="","",IFERROR(TODAY()+VLOOKUP(R3988,REGRAS!$B$2:$C$13,2,0),""))</f>
        <v/>
      </c>
    </row>
    <row r="3989" spans="20:20" x14ac:dyDescent="0.3">
      <c r="T3989" s="47" t="str">
        <f ca="1">IF(R3989="","",IFERROR(TODAY()+VLOOKUP(R3989,REGRAS!$B$2:$C$13,2,0),""))</f>
        <v/>
      </c>
    </row>
    <row r="3990" spans="20:20" x14ac:dyDescent="0.3">
      <c r="T3990" s="47" t="str">
        <f ca="1">IF(R3990="","",IFERROR(TODAY()+VLOOKUP(R3990,REGRAS!$B$2:$C$13,2,0),""))</f>
        <v/>
      </c>
    </row>
    <row r="3991" spans="20:20" x14ac:dyDescent="0.3">
      <c r="T3991" s="47" t="str">
        <f ca="1">IF(R3991="","",IFERROR(TODAY()+VLOOKUP(R3991,REGRAS!$B$2:$C$13,2,0),""))</f>
        <v/>
      </c>
    </row>
    <row r="3992" spans="20:20" x14ac:dyDescent="0.3">
      <c r="T3992" s="47" t="str">
        <f ca="1">IF(R3992="","",IFERROR(TODAY()+VLOOKUP(R3992,REGRAS!$B$2:$C$13,2,0),""))</f>
        <v/>
      </c>
    </row>
    <row r="3993" spans="20:20" x14ac:dyDescent="0.3">
      <c r="T3993" s="47" t="str">
        <f ca="1">IF(R3993="","",IFERROR(TODAY()+VLOOKUP(R3993,REGRAS!$B$2:$C$13,2,0),""))</f>
        <v/>
      </c>
    </row>
    <row r="3994" spans="20:20" x14ac:dyDescent="0.3">
      <c r="T3994" s="47" t="str">
        <f ca="1">IF(R3994="","",IFERROR(TODAY()+VLOOKUP(R3994,REGRAS!$B$2:$C$13,2,0),""))</f>
        <v/>
      </c>
    </row>
    <row r="3995" spans="20:20" x14ac:dyDescent="0.3">
      <c r="T3995" s="47" t="str">
        <f ca="1">IF(R3995="","",IFERROR(TODAY()+VLOOKUP(R3995,REGRAS!$B$2:$C$13,2,0),""))</f>
        <v/>
      </c>
    </row>
    <row r="3996" spans="20:20" x14ac:dyDescent="0.3">
      <c r="T3996" s="47" t="str">
        <f ca="1">IF(R3996="","",IFERROR(TODAY()+VLOOKUP(R3996,REGRAS!$B$2:$C$13,2,0),""))</f>
        <v/>
      </c>
    </row>
    <row r="3997" spans="20:20" x14ac:dyDescent="0.3">
      <c r="T3997" s="47" t="str">
        <f ca="1">IF(R3997="","",IFERROR(TODAY()+VLOOKUP(R3997,REGRAS!$B$2:$C$13,2,0),""))</f>
        <v/>
      </c>
    </row>
    <row r="3998" spans="20:20" x14ac:dyDescent="0.3">
      <c r="T3998" s="47" t="str">
        <f ca="1">IF(R3998="","",IFERROR(TODAY()+VLOOKUP(R3998,REGRAS!$B$2:$C$13,2,0),""))</f>
        <v/>
      </c>
    </row>
    <row r="3999" spans="20:20" x14ac:dyDescent="0.3">
      <c r="T3999" s="47" t="str">
        <f ca="1">IF(R3999="","",IFERROR(TODAY()+VLOOKUP(R3999,REGRAS!$B$2:$C$13,2,0),""))</f>
        <v/>
      </c>
    </row>
    <row r="4000" spans="20:20" x14ac:dyDescent="0.3">
      <c r="T4000" s="47" t="str">
        <f ca="1">IF(R4000="","",IFERROR(TODAY()+VLOOKUP(R4000,REGRAS!$B$2:$C$13,2,0),""))</f>
        <v/>
      </c>
    </row>
    <row r="4001" spans="20:20" x14ac:dyDescent="0.3">
      <c r="T4001" s="47" t="str">
        <f ca="1">IF(R4001="","",IFERROR(TODAY()+VLOOKUP(R4001,REGRAS!$B$2:$C$13,2,0),""))</f>
        <v/>
      </c>
    </row>
    <row r="4002" spans="20:20" x14ac:dyDescent="0.3">
      <c r="T4002" s="47" t="str">
        <f ca="1">IF(R4002="","",IFERROR(TODAY()+VLOOKUP(R4002,REGRAS!$B$2:$C$13,2,0),""))</f>
        <v/>
      </c>
    </row>
    <row r="4003" spans="20:20" x14ac:dyDescent="0.3">
      <c r="T4003" s="47" t="str">
        <f ca="1">IF(R4003="","",IFERROR(TODAY()+VLOOKUP(R4003,REGRAS!$B$2:$C$13,2,0),""))</f>
        <v/>
      </c>
    </row>
    <row r="4004" spans="20:20" x14ac:dyDescent="0.3">
      <c r="T4004" s="47" t="str">
        <f ca="1">IF(R4004="","",IFERROR(TODAY()+VLOOKUP(R4004,REGRAS!$B$2:$C$13,2,0),""))</f>
        <v/>
      </c>
    </row>
    <row r="4005" spans="20:20" x14ac:dyDescent="0.3">
      <c r="T4005" s="47" t="str">
        <f ca="1">IF(R4005="","",IFERROR(TODAY()+VLOOKUP(R4005,REGRAS!$B$2:$C$13,2,0),""))</f>
        <v/>
      </c>
    </row>
    <row r="4006" spans="20:20" x14ac:dyDescent="0.3">
      <c r="T4006" s="47" t="str">
        <f ca="1">IF(R4006="","",IFERROR(TODAY()+VLOOKUP(R4006,REGRAS!$B$2:$C$13,2,0),""))</f>
        <v/>
      </c>
    </row>
    <row r="4007" spans="20:20" x14ac:dyDescent="0.3">
      <c r="T4007" s="47" t="str">
        <f ca="1">IF(R4007="","",IFERROR(TODAY()+VLOOKUP(R4007,REGRAS!$B$2:$C$13,2,0),""))</f>
        <v/>
      </c>
    </row>
    <row r="4008" spans="20:20" x14ac:dyDescent="0.3">
      <c r="T4008" s="47" t="str">
        <f ca="1">IF(R4008="","",IFERROR(TODAY()+VLOOKUP(R4008,REGRAS!$B$2:$C$13,2,0),""))</f>
        <v/>
      </c>
    </row>
    <row r="4009" spans="20:20" x14ac:dyDescent="0.3">
      <c r="T4009" s="47" t="str">
        <f ca="1">IF(R4009="","",IFERROR(TODAY()+VLOOKUP(R4009,REGRAS!$B$2:$C$13,2,0),""))</f>
        <v/>
      </c>
    </row>
    <row r="4010" spans="20:20" x14ac:dyDescent="0.3">
      <c r="T4010" s="47" t="str">
        <f ca="1">IF(R4010="","",IFERROR(TODAY()+VLOOKUP(R4010,REGRAS!$B$2:$C$13,2,0),""))</f>
        <v/>
      </c>
    </row>
    <row r="4011" spans="20:20" x14ac:dyDescent="0.3">
      <c r="T4011" s="47" t="str">
        <f ca="1">IF(R4011="","",IFERROR(TODAY()+VLOOKUP(R4011,REGRAS!$B$2:$C$13,2,0),""))</f>
        <v/>
      </c>
    </row>
    <row r="4012" spans="20:20" x14ac:dyDescent="0.3">
      <c r="T4012" s="47" t="str">
        <f ca="1">IF(R4012="","",IFERROR(TODAY()+VLOOKUP(R4012,REGRAS!$B$2:$C$13,2,0),""))</f>
        <v/>
      </c>
    </row>
    <row r="4013" spans="20:20" x14ac:dyDescent="0.3">
      <c r="T4013" s="47" t="str">
        <f ca="1">IF(R4013="","",IFERROR(TODAY()+VLOOKUP(R4013,REGRAS!$B$2:$C$13,2,0),""))</f>
        <v/>
      </c>
    </row>
    <row r="4014" spans="20:20" x14ac:dyDescent="0.3">
      <c r="T4014" s="47" t="str">
        <f ca="1">IF(R4014="","",IFERROR(TODAY()+VLOOKUP(R4014,REGRAS!$B$2:$C$13,2,0),""))</f>
        <v/>
      </c>
    </row>
    <row r="4015" spans="20:20" x14ac:dyDescent="0.3">
      <c r="T4015" s="47" t="str">
        <f ca="1">IF(R4015="","",IFERROR(TODAY()+VLOOKUP(R4015,REGRAS!$B$2:$C$13,2,0),""))</f>
        <v/>
      </c>
    </row>
    <row r="4016" spans="20:20" x14ac:dyDescent="0.3">
      <c r="T4016" s="47" t="str">
        <f ca="1">IF(R4016="","",IFERROR(TODAY()+VLOOKUP(R4016,REGRAS!$B$2:$C$13,2,0),""))</f>
        <v/>
      </c>
    </row>
    <row r="4017" spans="20:20" x14ac:dyDescent="0.3">
      <c r="T4017" s="47" t="str">
        <f ca="1">IF(R4017="","",IFERROR(TODAY()+VLOOKUP(R4017,REGRAS!$B$2:$C$13,2,0),""))</f>
        <v/>
      </c>
    </row>
    <row r="4018" spans="20:20" x14ac:dyDescent="0.3">
      <c r="T4018" s="47" t="str">
        <f ca="1">IF(R4018="","",IFERROR(TODAY()+VLOOKUP(R4018,REGRAS!$B$2:$C$13,2,0),""))</f>
        <v/>
      </c>
    </row>
    <row r="4019" spans="20:20" x14ac:dyDescent="0.3">
      <c r="T4019" s="47" t="str">
        <f ca="1">IF(R4019="","",IFERROR(TODAY()+VLOOKUP(R4019,REGRAS!$B$2:$C$13,2,0),""))</f>
        <v/>
      </c>
    </row>
    <row r="4020" spans="20:20" x14ac:dyDescent="0.3">
      <c r="T4020" s="47" t="str">
        <f ca="1">IF(R4020="","",IFERROR(TODAY()+VLOOKUP(R4020,REGRAS!$B$2:$C$13,2,0),""))</f>
        <v/>
      </c>
    </row>
    <row r="4021" spans="20:20" x14ac:dyDescent="0.3">
      <c r="T4021" s="47" t="str">
        <f ca="1">IF(R4021="","",IFERROR(TODAY()+VLOOKUP(R4021,REGRAS!$B$2:$C$13,2,0),""))</f>
        <v/>
      </c>
    </row>
    <row r="4022" spans="20:20" x14ac:dyDescent="0.3">
      <c r="T4022" s="47" t="str">
        <f ca="1">IF(R4022="","",IFERROR(TODAY()+VLOOKUP(R4022,REGRAS!$B$2:$C$13,2,0),""))</f>
        <v/>
      </c>
    </row>
    <row r="4023" spans="20:20" x14ac:dyDescent="0.3">
      <c r="T4023" s="47" t="str">
        <f ca="1">IF(R4023="","",IFERROR(TODAY()+VLOOKUP(R4023,REGRAS!$B$2:$C$13,2,0),""))</f>
        <v/>
      </c>
    </row>
    <row r="4024" spans="20:20" x14ac:dyDescent="0.3">
      <c r="T4024" s="47" t="str">
        <f ca="1">IF(R4024="","",IFERROR(TODAY()+VLOOKUP(R4024,REGRAS!$B$2:$C$13,2,0),""))</f>
        <v/>
      </c>
    </row>
    <row r="4025" spans="20:20" x14ac:dyDescent="0.3">
      <c r="T4025" s="47" t="str">
        <f ca="1">IF(R4025="","",IFERROR(TODAY()+VLOOKUP(R4025,REGRAS!$B$2:$C$13,2,0),""))</f>
        <v/>
      </c>
    </row>
    <row r="4026" spans="20:20" x14ac:dyDescent="0.3">
      <c r="T4026" s="47" t="str">
        <f ca="1">IF(R4026="","",IFERROR(TODAY()+VLOOKUP(R4026,REGRAS!$B$2:$C$13,2,0),""))</f>
        <v/>
      </c>
    </row>
    <row r="4027" spans="20:20" x14ac:dyDescent="0.3">
      <c r="T4027" s="47" t="str">
        <f ca="1">IF(R4027="","",IFERROR(TODAY()+VLOOKUP(R4027,REGRAS!$B$2:$C$13,2,0),""))</f>
        <v/>
      </c>
    </row>
    <row r="4028" spans="20:20" x14ac:dyDescent="0.3">
      <c r="T4028" s="47" t="str">
        <f ca="1">IF(R4028="","",IFERROR(TODAY()+VLOOKUP(R4028,REGRAS!$B$2:$C$13,2,0),""))</f>
        <v/>
      </c>
    </row>
    <row r="4029" spans="20:20" x14ac:dyDescent="0.3">
      <c r="T4029" s="47" t="str">
        <f ca="1">IF(R4029="","",IFERROR(TODAY()+VLOOKUP(R4029,REGRAS!$B$2:$C$13,2,0),""))</f>
        <v/>
      </c>
    </row>
    <row r="4030" spans="20:20" x14ac:dyDescent="0.3">
      <c r="T4030" s="47" t="str">
        <f ca="1">IF(R4030="","",IFERROR(TODAY()+VLOOKUP(R4030,REGRAS!$B$2:$C$13,2,0),""))</f>
        <v/>
      </c>
    </row>
    <row r="4031" spans="20:20" x14ac:dyDescent="0.3">
      <c r="T4031" s="47" t="str">
        <f ca="1">IF(R4031="","",IFERROR(TODAY()+VLOOKUP(R4031,REGRAS!$B$2:$C$13,2,0),""))</f>
        <v/>
      </c>
    </row>
    <row r="4032" spans="20:20" x14ac:dyDescent="0.3">
      <c r="T4032" s="47" t="str">
        <f ca="1">IF(R4032="","",IFERROR(TODAY()+VLOOKUP(R4032,REGRAS!$B$2:$C$13,2,0),""))</f>
        <v/>
      </c>
    </row>
    <row r="4033" spans="20:20" x14ac:dyDescent="0.3">
      <c r="T4033" s="47" t="str">
        <f ca="1">IF(R4033="","",IFERROR(TODAY()+VLOOKUP(R4033,REGRAS!$B$2:$C$13,2,0),""))</f>
        <v/>
      </c>
    </row>
    <row r="4034" spans="20:20" x14ac:dyDescent="0.3">
      <c r="T4034" s="47" t="str">
        <f ca="1">IF(R4034="","",IFERROR(TODAY()+VLOOKUP(R4034,REGRAS!$B$2:$C$13,2,0),""))</f>
        <v/>
      </c>
    </row>
    <row r="4035" spans="20:20" x14ac:dyDescent="0.3">
      <c r="T4035" s="47" t="str">
        <f ca="1">IF(R4035="","",IFERROR(TODAY()+VLOOKUP(R4035,REGRAS!$B$2:$C$13,2,0),""))</f>
        <v/>
      </c>
    </row>
    <row r="4036" spans="20:20" x14ac:dyDescent="0.3">
      <c r="T4036" s="47" t="str">
        <f ca="1">IF(R4036="","",IFERROR(TODAY()+VLOOKUP(R4036,REGRAS!$B$2:$C$13,2,0),""))</f>
        <v/>
      </c>
    </row>
    <row r="4037" spans="20:20" x14ac:dyDescent="0.3">
      <c r="T4037" s="47" t="str">
        <f ca="1">IF(R4037="","",IFERROR(TODAY()+VLOOKUP(R4037,REGRAS!$B$2:$C$13,2,0),""))</f>
        <v/>
      </c>
    </row>
    <row r="4038" spans="20:20" x14ac:dyDescent="0.3">
      <c r="T4038" s="47" t="str">
        <f ca="1">IF(R4038="","",IFERROR(TODAY()+VLOOKUP(R4038,REGRAS!$B$2:$C$13,2,0),""))</f>
        <v/>
      </c>
    </row>
    <row r="4039" spans="20:20" x14ac:dyDescent="0.3">
      <c r="T4039" s="47" t="str">
        <f ca="1">IF(R4039="","",IFERROR(TODAY()+VLOOKUP(R4039,REGRAS!$B$2:$C$13,2,0),""))</f>
        <v/>
      </c>
    </row>
    <row r="4040" spans="20:20" x14ac:dyDescent="0.3">
      <c r="T4040" s="47" t="str">
        <f ca="1">IF(R4040="","",IFERROR(TODAY()+VLOOKUP(R4040,REGRAS!$B$2:$C$13,2,0),""))</f>
        <v/>
      </c>
    </row>
    <row r="4041" spans="20:20" x14ac:dyDescent="0.3">
      <c r="T4041" s="47" t="str">
        <f ca="1">IF(R4041="","",IFERROR(TODAY()+VLOOKUP(R4041,REGRAS!$B$2:$C$13,2,0),""))</f>
        <v/>
      </c>
    </row>
    <row r="4042" spans="20:20" x14ac:dyDescent="0.3">
      <c r="T4042" s="47" t="str">
        <f ca="1">IF(R4042="","",IFERROR(TODAY()+VLOOKUP(R4042,REGRAS!$B$2:$C$13,2,0),""))</f>
        <v/>
      </c>
    </row>
    <row r="4043" spans="20:20" x14ac:dyDescent="0.3">
      <c r="T4043" s="47" t="str">
        <f ca="1">IF(R4043="","",IFERROR(TODAY()+VLOOKUP(R4043,REGRAS!$B$2:$C$13,2,0),""))</f>
        <v/>
      </c>
    </row>
    <row r="4044" spans="20:20" x14ac:dyDescent="0.3">
      <c r="T4044" s="47" t="str">
        <f ca="1">IF(R4044="","",IFERROR(TODAY()+VLOOKUP(R4044,REGRAS!$B$2:$C$13,2,0),""))</f>
        <v/>
      </c>
    </row>
    <row r="4045" spans="20:20" x14ac:dyDescent="0.3">
      <c r="T4045" s="47" t="str">
        <f ca="1">IF(R4045="","",IFERROR(TODAY()+VLOOKUP(R4045,REGRAS!$B$2:$C$13,2,0),""))</f>
        <v/>
      </c>
    </row>
    <row r="4046" spans="20:20" x14ac:dyDescent="0.3">
      <c r="T4046" s="47" t="str">
        <f ca="1">IF(R4046="","",IFERROR(TODAY()+VLOOKUP(R4046,REGRAS!$B$2:$C$13,2,0),""))</f>
        <v/>
      </c>
    </row>
    <row r="4047" spans="20:20" x14ac:dyDescent="0.3">
      <c r="T4047" s="47" t="str">
        <f ca="1">IF(R4047="","",IFERROR(TODAY()+VLOOKUP(R4047,REGRAS!$B$2:$C$13,2,0),""))</f>
        <v/>
      </c>
    </row>
    <row r="4048" spans="20:20" x14ac:dyDescent="0.3">
      <c r="T4048" s="47" t="str">
        <f ca="1">IF(R4048="","",IFERROR(TODAY()+VLOOKUP(R4048,REGRAS!$B$2:$C$13,2,0),""))</f>
        <v/>
      </c>
    </row>
    <row r="4049" spans="20:20" x14ac:dyDescent="0.3">
      <c r="T4049" s="47" t="str">
        <f ca="1">IF(R4049="","",IFERROR(TODAY()+VLOOKUP(R4049,REGRAS!$B$2:$C$13,2,0),""))</f>
        <v/>
      </c>
    </row>
    <row r="4050" spans="20:20" x14ac:dyDescent="0.3">
      <c r="T4050" s="47" t="str">
        <f ca="1">IF(R4050="","",IFERROR(TODAY()+VLOOKUP(R4050,REGRAS!$B$2:$C$13,2,0),""))</f>
        <v/>
      </c>
    </row>
    <row r="4051" spans="20:20" x14ac:dyDescent="0.3">
      <c r="T4051" s="47" t="str">
        <f ca="1">IF(R4051="","",IFERROR(TODAY()+VLOOKUP(R4051,REGRAS!$B$2:$C$13,2,0),""))</f>
        <v/>
      </c>
    </row>
    <row r="4052" spans="20:20" x14ac:dyDescent="0.3">
      <c r="T4052" s="47" t="str">
        <f ca="1">IF(R4052="","",IFERROR(TODAY()+VLOOKUP(R4052,REGRAS!$B$2:$C$13,2,0),""))</f>
        <v/>
      </c>
    </row>
    <row r="4053" spans="20:20" x14ac:dyDescent="0.3">
      <c r="T4053" s="47" t="str">
        <f ca="1">IF(R4053="","",IFERROR(TODAY()+VLOOKUP(R4053,REGRAS!$B$2:$C$13,2,0),""))</f>
        <v/>
      </c>
    </row>
    <row r="4054" spans="20:20" x14ac:dyDescent="0.3">
      <c r="T4054" s="47" t="str">
        <f ca="1">IF(R4054="","",IFERROR(TODAY()+VLOOKUP(R4054,REGRAS!$B$2:$C$13,2,0),""))</f>
        <v/>
      </c>
    </row>
    <row r="4055" spans="20:20" x14ac:dyDescent="0.3">
      <c r="T4055" s="47" t="str">
        <f ca="1">IF(R4055="","",IFERROR(TODAY()+VLOOKUP(R4055,REGRAS!$B$2:$C$13,2,0),""))</f>
        <v/>
      </c>
    </row>
    <row r="4056" spans="20:20" x14ac:dyDescent="0.3">
      <c r="T4056" s="47" t="str">
        <f ca="1">IF(R4056="","",IFERROR(TODAY()+VLOOKUP(R4056,REGRAS!$B$2:$C$13,2,0),""))</f>
        <v/>
      </c>
    </row>
    <row r="4057" spans="20:20" x14ac:dyDescent="0.3">
      <c r="T4057" s="47" t="str">
        <f ca="1">IF(R4057="","",IFERROR(TODAY()+VLOOKUP(R4057,REGRAS!$B$2:$C$13,2,0),""))</f>
        <v/>
      </c>
    </row>
    <row r="4058" spans="20:20" x14ac:dyDescent="0.3">
      <c r="T4058" s="47" t="str">
        <f ca="1">IF(R4058="","",IFERROR(TODAY()+VLOOKUP(R4058,REGRAS!$B$2:$C$13,2,0),""))</f>
        <v/>
      </c>
    </row>
    <row r="4059" spans="20:20" x14ac:dyDescent="0.3">
      <c r="T4059" s="47" t="str">
        <f ca="1">IF(R4059="","",IFERROR(TODAY()+VLOOKUP(R4059,REGRAS!$B$2:$C$13,2,0),""))</f>
        <v/>
      </c>
    </row>
    <row r="4060" spans="20:20" x14ac:dyDescent="0.3">
      <c r="T4060" s="47" t="str">
        <f ca="1">IF(R4060="","",IFERROR(TODAY()+VLOOKUP(R4060,REGRAS!$B$2:$C$13,2,0),""))</f>
        <v/>
      </c>
    </row>
    <row r="4061" spans="20:20" x14ac:dyDescent="0.3">
      <c r="T4061" s="47" t="str">
        <f ca="1">IF(R4061="","",IFERROR(TODAY()+VLOOKUP(R4061,REGRAS!$B$2:$C$13,2,0),""))</f>
        <v/>
      </c>
    </row>
    <row r="4062" spans="20:20" x14ac:dyDescent="0.3">
      <c r="T4062" s="47" t="str">
        <f ca="1">IF(R4062="","",IFERROR(TODAY()+VLOOKUP(R4062,REGRAS!$B$2:$C$13,2,0),""))</f>
        <v/>
      </c>
    </row>
    <row r="4063" spans="20:20" x14ac:dyDescent="0.3">
      <c r="T4063" s="47" t="str">
        <f ca="1">IF(R4063="","",IFERROR(TODAY()+VLOOKUP(R4063,REGRAS!$B$2:$C$13,2,0),""))</f>
        <v/>
      </c>
    </row>
    <row r="4064" spans="20:20" x14ac:dyDescent="0.3">
      <c r="T4064" s="47" t="str">
        <f ca="1">IF(R4064="","",IFERROR(TODAY()+VLOOKUP(R4064,REGRAS!$B$2:$C$13,2,0),""))</f>
        <v/>
      </c>
    </row>
    <row r="4065" spans="20:20" x14ac:dyDescent="0.3">
      <c r="T4065" s="47" t="str">
        <f ca="1">IF(R4065="","",IFERROR(TODAY()+VLOOKUP(R4065,REGRAS!$B$2:$C$13,2,0),""))</f>
        <v/>
      </c>
    </row>
    <row r="4066" spans="20:20" x14ac:dyDescent="0.3">
      <c r="T4066" s="47" t="str">
        <f ca="1">IF(R4066="","",IFERROR(TODAY()+VLOOKUP(R4066,REGRAS!$B$2:$C$13,2,0),""))</f>
        <v/>
      </c>
    </row>
    <row r="4067" spans="20:20" x14ac:dyDescent="0.3">
      <c r="T4067" s="47" t="str">
        <f ca="1">IF(R4067="","",IFERROR(TODAY()+VLOOKUP(R4067,REGRAS!$B$2:$C$13,2,0),""))</f>
        <v/>
      </c>
    </row>
    <row r="4068" spans="20:20" x14ac:dyDescent="0.3">
      <c r="T4068" s="47" t="str">
        <f ca="1">IF(R4068="","",IFERROR(TODAY()+VLOOKUP(R4068,REGRAS!$B$2:$C$13,2,0),""))</f>
        <v/>
      </c>
    </row>
    <row r="4069" spans="20:20" x14ac:dyDescent="0.3">
      <c r="T4069" s="47" t="str">
        <f ca="1">IF(R4069="","",IFERROR(TODAY()+VLOOKUP(R4069,REGRAS!$B$2:$C$13,2,0),""))</f>
        <v/>
      </c>
    </row>
    <row r="4070" spans="20:20" x14ac:dyDescent="0.3">
      <c r="T4070" s="47" t="str">
        <f ca="1">IF(R4070="","",IFERROR(TODAY()+VLOOKUP(R4070,REGRAS!$B$2:$C$13,2,0),""))</f>
        <v/>
      </c>
    </row>
    <row r="4071" spans="20:20" x14ac:dyDescent="0.3">
      <c r="T4071" s="47" t="str">
        <f ca="1">IF(R4071="","",IFERROR(TODAY()+VLOOKUP(R4071,REGRAS!$B$2:$C$13,2,0),""))</f>
        <v/>
      </c>
    </row>
    <row r="4072" spans="20:20" x14ac:dyDescent="0.3">
      <c r="T4072" s="47" t="str">
        <f ca="1">IF(R4072="","",IFERROR(TODAY()+VLOOKUP(R4072,REGRAS!$B$2:$C$13,2,0),""))</f>
        <v/>
      </c>
    </row>
    <row r="4073" spans="20:20" x14ac:dyDescent="0.3">
      <c r="T4073" s="47" t="str">
        <f ca="1">IF(R4073="","",IFERROR(TODAY()+VLOOKUP(R4073,REGRAS!$B$2:$C$13,2,0),""))</f>
        <v/>
      </c>
    </row>
    <row r="4074" spans="20:20" x14ac:dyDescent="0.3">
      <c r="T4074" s="47" t="str">
        <f ca="1">IF(R4074="","",IFERROR(TODAY()+VLOOKUP(R4074,REGRAS!$B$2:$C$13,2,0),""))</f>
        <v/>
      </c>
    </row>
    <row r="4075" spans="20:20" x14ac:dyDescent="0.3">
      <c r="T4075" s="47" t="str">
        <f ca="1">IF(R4075="","",IFERROR(TODAY()+VLOOKUP(R4075,REGRAS!$B$2:$C$13,2,0),""))</f>
        <v/>
      </c>
    </row>
    <row r="4076" spans="20:20" x14ac:dyDescent="0.3">
      <c r="T4076" s="47" t="str">
        <f ca="1">IF(R4076="","",IFERROR(TODAY()+VLOOKUP(R4076,REGRAS!$B$2:$C$13,2,0),""))</f>
        <v/>
      </c>
    </row>
    <row r="4077" spans="20:20" x14ac:dyDescent="0.3">
      <c r="T4077" s="47" t="str">
        <f ca="1">IF(R4077="","",IFERROR(TODAY()+VLOOKUP(R4077,REGRAS!$B$2:$C$13,2,0),""))</f>
        <v/>
      </c>
    </row>
    <row r="4078" spans="20:20" x14ac:dyDescent="0.3">
      <c r="T4078" s="47" t="str">
        <f ca="1">IF(R4078="","",IFERROR(TODAY()+VLOOKUP(R4078,REGRAS!$B$2:$C$13,2,0),""))</f>
        <v/>
      </c>
    </row>
    <row r="4079" spans="20:20" x14ac:dyDescent="0.3">
      <c r="T4079" s="47" t="str">
        <f ca="1">IF(R4079="","",IFERROR(TODAY()+VLOOKUP(R4079,REGRAS!$B$2:$C$13,2,0),""))</f>
        <v/>
      </c>
    </row>
    <row r="4080" spans="20:20" x14ac:dyDescent="0.3">
      <c r="T4080" s="47" t="str">
        <f ca="1">IF(R4080="","",IFERROR(TODAY()+VLOOKUP(R4080,REGRAS!$B$2:$C$13,2,0),""))</f>
        <v/>
      </c>
    </row>
    <row r="4081" spans="20:20" x14ac:dyDescent="0.3">
      <c r="T4081" s="47" t="str">
        <f ca="1">IF(R4081="","",IFERROR(TODAY()+VLOOKUP(R4081,REGRAS!$B$2:$C$13,2,0),""))</f>
        <v/>
      </c>
    </row>
    <row r="4082" spans="20:20" x14ac:dyDescent="0.3">
      <c r="T4082" s="47" t="str">
        <f ca="1">IF(R4082="","",IFERROR(TODAY()+VLOOKUP(R4082,REGRAS!$B$2:$C$13,2,0),""))</f>
        <v/>
      </c>
    </row>
    <row r="4083" spans="20:20" x14ac:dyDescent="0.3">
      <c r="T4083" s="47" t="str">
        <f ca="1">IF(R4083="","",IFERROR(TODAY()+VLOOKUP(R4083,REGRAS!$B$2:$C$13,2,0),""))</f>
        <v/>
      </c>
    </row>
    <row r="4084" spans="20:20" x14ac:dyDescent="0.3">
      <c r="T4084" s="47" t="str">
        <f ca="1">IF(R4084="","",IFERROR(TODAY()+VLOOKUP(R4084,REGRAS!$B$2:$C$13,2,0),""))</f>
        <v/>
      </c>
    </row>
    <row r="4085" spans="20:20" x14ac:dyDescent="0.3">
      <c r="T4085" s="47" t="str">
        <f ca="1">IF(R4085="","",IFERROR(TODAY()+VLOOKUP(R4085,REGRAS!$B$2:$C$13,2,0),""))</f>
        <v/>
      </c>
    </row>
    <row r="4086" spans="20:20" x14ac:dyDescent="0.3">
      <c r="T4086" s="47" t="str">
        <f ca="1">IF(R4086="","",IFERROR(TODAY()+VLOOKUP(R4086,REGRAS!$B$2:$C$13,2,0),""))</f>
        <v/>
      </c>
    </row>
    <row r="4087" spans="20:20" x14ac:dyDescent="0.3">
      <c r="T4087" s="47" t="str">
        <f ca="1">IF(R4087="","",IFERROR(TODAY()+VLOOKUP(R4087,REGRAS!$B$2:$C$13,2,0),""))</f>
        <v/>
      </c>
    </row>
    <row r="4088" spans="20:20" x14ac:dyDescent="0.3">
      <c r="T4088" s="47" t="str">
        <f ca="1">IF(R4088="","",IFERROR(TODAY()+VLOOKUP(R4088,REGRAS!$B$2:$C$13,2,0),""))</f>
        <v/>
      </c>
    </row>
    <row r="4089" spans="20:20" x14ac:dyDescent="0.3">
      <c r="T4089" s="47" t="str">
        <f ca="1">IF(R4089="","",IFERROR(TODAY()+VLOOKUP(R4089,REGRAS!$B$2:$C$13,2,0),""))</f>
        <v/>
      </c>
    </row>
    <row r="4090" spans="20:20" x14ac:dyDescent="0.3">
      <c r="T4090" s="47" t="str">
        <f ca="1">IF(R4090="","",IFERROR(TODAY()+VLOOKUP(R4090,REGRAS!$B$2:$C$13,2,0),""))</f>
        <v/>
      </c>
    </row>
    <row r="4091" spans="20:20" x14ac:dyDescent="0.3">
      <c r="T4091" s="47" t="str">
        <f ca="1">IF(R4091="","",IFERROR(TODAY()+VLOOKUP(R4091,REGRAS!$B$2:$C$13,2,0),""))</f>
        <v/>
      </c>
    </row>
    <row r="4092" spans="20:20" x14ac:dyDescent="0.3">
      <c r="T4092" s="47" t="str">
        <f ca="1">IF(R4092="","",IFERROR(TODAY()+VLOOKUP(R4092,REGRAS!$B$2:$C$13,2,0),""))</f>
        <v/>
      </c>
    </row>
    <row r="4093" spans="20:20" x14ac:dyDescent="0.3">
      <c r="T4093" s="47" t="str">
        <f ca="1">IF(R4093="","",IFERROR(TODAY()+VLOOKUP(R4093,REGRAS!$B$2:$C$13,2,0),""))</f>
        <v/>
      </c>
    </row>
    <row r="4094" spans="20:20" x14ac:dyDescent="0.3">
      <c r="T4094" s="47" t="str">
        <f ca="1">IF(R4094="","",IFERROR(TODAY()+VLOOKUP(R4094,REGRAS!$B$2:$C$13,2,0),""))</f>
        <v/>
      </c>
    </row>
    <row r="4095" spans="20:20" x14ac:dyDescent="0.3">
      <c r="T4095" s="47" t="str">
        <f ca="1">IF(R4095="","",IFERROR(TODAY()+VLOOKUP(R4095,REGRAS!$B$2:$C$13,2,0),""))</f>
        <v/>
      </c>
    </row>
    <row r="4096" spans="20:20" x14ac:dyDescent="0.3">
      <c r="T4096" s="47" t="str">
        <f ca="1">IF(R4096="","",IFERROR(TODAY()+VLOOKUP(R4096,REGRAS!$B$2:$C$13,2,0),""))</f>
        <v/>
      </c>
    </row>
    <row r="4097" spans="20:20" x14ac:dyDescent="0.3">
      <c r="T4097" s="47" t="str">
        <f ca="1">IF(R4097="","",IFERROR(TODAY()+VLOOKUP(R4097,REGRAS!$B$2:$C$13,2,0),""))</f>
        <v/>
      </c>
    </row>
    <row r="4098" spans="20:20" x14ac:dyDescent="0.3">
      <c r="T4098" s="47" t="str">
        <f ca="1">IF(R4098="","",IFERROR(TODAY()+VLOOKUP(R4098,REGRAS!$B$2:$C$13,2,0),""))</f>
        <v/>
      </c>
    </row>
    <row r="4099" spans="20:20" x14ac:dyDescent="0.3">
      <c r="T4099" s="47" t="str">
        <f ca="1">IF(R4099="","",IFERROR(TODAY()+VLOOKUP(R4099,REGRAS!$B$2:$C$13,2,0),""))</f>
        <v/>
      </c>
    </row>
    <row r="4100" spans="20:20" x14ac:dyDescent="0.3">
      <c r="T4100" s="47" t="str">
        <f ca="1">IF(R4100="","",IFERROR(TODAY()+VLOOKUP(R4100,REGRAS!$B$2:$C$13,2,0),""))</f>
        <v/>
      </c>
    </row>
    <row r="4101" spans="20:20" x14ac:dyDescent="0.3">
      <c r="T4101" s="47" t="str">
        <f ca="1">IF(R4101="","",IFERROR(TODAY()+VLOOKUP(R4101,REGRAS!$B$2:$C$13,2,0),""))</f>
        <v/>
      </c>
    </row>
    <row r="4102" spans="20:20" x14ac:dyDescent="0.3">
      <c r="T4102" s="47" t="str">
        <f ca="1">IF(R4102="","",IFERROR(TODAY()+VLOOKUP(R4102,REGRAS!$B$2:$C$13,2,0),""))</f>
        <v/>
      </c>
    </row>
    <row r="4103" spans="20:20" x14ac:dyDescent="0.3">
      <c r="T4103" s="47" t="str">
        <f ca="1">IF(R4103="","",IFERROR(TODAY()+VLOOKUP(R4103,REGRAS!$B$2:$C$13,2,0),""))</f>
        <v/>
      </c>
    </row>
    <row r="4104" spans="20:20" x14ac:dyDescent="0.3">
      <c r="T4104" s="47" t="str">
        <f ca="1">IF(R4104="","",IFERROR(TODAY()+VLOOKUP(R4104,REGRAS!$B$2:$C$13,2,0),""))</f>
        <v/>
      </c>
    </row>
    <row r="4105" spans="20:20" x14ac:dyDescent="0.3">
      <c r="T4105" s="47" t="str">
        <f ca="1">IF(R4105="","",IFERROR(TODAY()+VLOOKUP(R4105,REGRAS!$B$2:$C$13,2,0),""))</f>
        <v/>
      </c>
    </row>
    <row r="4106" spans="20:20" x14ac:dyDescent="0.3">
      <c r="T4106" s="47" t="str">
        <f ca="1">IF(R4106="","",IFERROR(TODAY()+VLOOKUP(R4106,REGRAS!$B$2:$C$13,2,0),""))</f>
        <v/>
      </c>
    </row>
    <row r="4107" spans="20:20" x14ac:dyDescent="0.3">
      <c r="T4107" s="47" t="str">
        <f ca="1">IF(R4107="","",IFERROR(TODAY()+VLOOKUP(R4107,REGRAS!$B$2:$C$13,2,0),""))</f>
        <v/>
      </c>
    </row>
    <row r="4108" spans="20:20" x14ac:dyDescent="0.3">
      <c r="T4108" s="47" t="str">
        <f ca="1">IF(R4108="","",IFERROR(TODAY()+VLOOKUP(R4108,REGRAS!$B$2:$C$13,2,0),""))</f>
        <v/>
      </c>
    </row>
    <row r="4109" spans="20:20" x14ac:dyDescent="0.3">
      <c r="T4109" s="47" t="str">
        <f ca="1">IF(R4109="","",IFERROR(TODAY()+VLOOKUP(R4109,REGRAS!$B$2:$C$13,2,0),""))</f>
        <v/>
      </c>
    </row>
    <row r="4110" spans="20:20" x14ac:dyDescent="0.3">
      <c r="T4110" s="47" t="str">
        <f ca="1">IF(R4110="","",IFERROR(TODAY()+VLOOKUP(R4110,REGRAS!$B$2:$C$13,2,0),""))</f>
        <v/>
      </c>
    </row>
    <row r="4111" spans="20:20" x14ac:dyDescent="0.3">
      <c r="T4111" s="47" t="str">
        <f ca="1">IF(R4111="","",IFERROR(TODAY()+VLOOKUP(R4111,REGRAS!$B$2:$C$13,2,0),""))</f>
        <v/>
      </c>
    </row>
    <row r="4112" spans="20:20" x14ac:dyDescent="0.3">
      <c r="T4112" s="47" t="str">
        <f ca="1">IF(R4112="","",IFERROR(TODAY()+VLOOKUP(R4112,REGRAS!$B$2:$C$13,2,0),""))</f>
        <v/>
      </c>
    </row>
    <row r="4113" spans="20:20" x14ac:dyDescent="0.3">
      <c r="T4113" s="47" t="str">
        <f ca="1">IF(R4113="","",IFERROR(TODAY()+VLOOKUP(R4113,REGRAS!$B$2:$C$13,2,0),""))</f>
        <v/>
      </c>
    </row>
    <row r="4114" spans="20:20" x14ac:dyDescent="0.3">
      <c r="T4114" s="47" t="str">
        <f ca="1">IF(R4114="","",IFERROR(TODAY()+VLOOKUP(R4114,REGRAS!$B$2:$C$13,2,0),""))</f>
        <v/>
      </c>
    </row>
    <row r="4115" spans="20:20" x14ac:dyDescent="0.3">
      <c r="T4115" s="47" t="str">
        <f ca="1">IF(R4115="","",IFERROR(TODAY()+VLOOKUP(R4115,REGRAS!$B$2:$C$13,2,0),""))</f>
        <v/>
      </c>
    </row>
    <row r="4116" spans="20:20" x14ac:dyDescent="0.3">
      <c r="T4116" s="47" t="str">
        <f ca="1">IF(R4116="","",IFERROR(TODAY()+VLOOKUP(R4116,REGRAS!$B$2:$C$13,2,0),""))</f>
        <v/>
      </c>
    </row>
    <row r="4117" spans="20:20" x14ac:dyDescent="0.3">
      <c r="T4117" s="47" t="str">
        <f ca="1">IF(R4117="","",IFERROR(TODAY()+VLOOKUP(R4117,REGRAS!$B$2:$C$13,2,0),""))</f>
        <v/>
      </c>
    </row>
    <row r="4118" spans="20:20" x14ac:dyDescent="0.3">
      <c r="T4118" s="47" t="str">
        <f ca="1">IF(R4118="","",IFERROR(TODAY()+VLOOKUP(R4118,REGRAS!$B$2:$C$13,2,0),""))</f>
        <v/>
      </c>
    </row>
    <row r="4119" spans="20:20" x14ac:dyDescent="0.3">
      <c r="T4119" s="47" t="str">
        <f ca="1">IF(R4119="","",IFERROR(TODAY()+VLOOKUP(R4119,REGRAS!$B$2:$C$13,2,0),""))</f>
        <v/>
      </c>
    </row>
    <row r="4120" spans="20:20" x14ac:dyDescent="0.3">
      <c r="T4120" s="47" t="str">
        <f ca="1">IF(R4120="","",IFERROR(TODAY()+VLOOKUP(R4120,REGRAS!$B$2:$C$13,2,0),""))</f>
        <v/>
      </c>
    </row>
    <row r="4121" spans="20:20" x14ac:dyDescent="0.3">
      <c r="T4121" s="47" t="str">
        <f ca="1">IF(R4121="","",IFERROR(TODAY()+VLOOKUP(R4121,REGRAS!$B$2:$C$13,2,0),""))</f>
        <v/>
      </c>
    </row>
    <row r="4122" spans="20:20" x14ac:dyDescent="0.3">
      <c r="T4122" s="47" t="str">
        <f ca="1">IF(R4122="","",IFERROR(TODAY()+VLOOKUP(R4122,REGRAS!$B$2:$C$13,2,0),""))</f>
        <v/>
      </c>
    </row>
    <row r="4123" spans="20:20" x14ac:dyDescent="0.3">
      <c r="T4123" s="47" t="str">
        <f ca="1">IF(R4123="","",IFERROR(TODAY()+VLOOKUP(R4123,REGRAS!$B$2:$C$13,2,0),""))</f>
        <v/>
      </c>
    </row>
    <row r="4124" spans="20:20" x14ac:dyDescent="0.3">
      <c r="T4124" s="47" t="str">
        <f ca="1">IF(R4124="","",IFERROR(TODAY()+VLOOKUP(R4124,REGRAS!$B$2:$C$13,2,0),""))</f>
        <v/>
      </c>
    </row>
    <row r="4125" spans="20:20" x14ac:dyDescent="0.3">
      <c r="T4125" s="47" t="str">
        <f ca="1">IF(R4125="","",IFERROR(TODAY()+VLOOKUP(R4125,REGRAS!$B$2:$C$13,2,0),""))</f>
        <v/>
      </c>
    </row>
    <row r="4126" spans="20:20" x14ac:dyDescent="0.3">
      <c r="T4126" s="47" t="str">
        <f ca="1">IF(R4126="","",IFERROR(TODAY()+VLOOKUP(R4126,REGRAS!$B$2:$C$13,2,0),""))</f>
        <v/>
      </c>
    </row>
    <row r="4127" spans="20:20" x14ac:dyDescent="0.3">
      <c r="T4127" s="47" t="str">
        <f ca="1">IF(R4127="","",IFERROR(TODAY()+VLOOKUP(R4127,REGRAS!$B$2:$C$13,2,0),""))</f>
        <v/>
      </c>
    </row>
    <row r="4128" spans="20:20" x14ac:dyDescent="0.3">
      <c r="T4128" s="47" t="str">
        <f ca="1">IF(R4128="","",IFERROR(TODAY()+VLOOKUP(R4128,REGRAS!$B$2:$C$13,2,0),""))</f>
        <v/>
      </c>
    </row>
    <row r="4129" spans="20:20" x14ac:dyDescent="0.3">
      <c r="T4129" s="47" t="str">
        <f ca="1">IF(R4129="","",IFERROR(TODAY()+VLOOKUP(R4129,REGRAS!$B$2:$C$13,2,0),""))</f>
        <v/>
      </c>
    </row>
    <row r="4130" spans="20:20" x14ac:dyDescent="0.3">
      <c r="T4130" s="47" t="str">
        <f ca="1">IF(R4130="","",IFERROR(TODAY()+VLOOKUP(R4130,REGRAS!$B$2:$C$13,2,0),""))</f>
        <v/>
      </c>
    </row>
    <row r="4131" spans="20:20" x14ac:dyDescent="0.3">
      <c r="T4131" s="47" t="str">
        <f ca="1">IF(R4131="","",IFERROR(TODAY()+VLOOKUP(R4131,REGRAS!$B$2:$C$13,2,0),""))</f>
        <v/>
      </c>
    </row>
    <row r="4132" spans="20:20" x14ac:dyDescent="0.3">
      <c r="T4132" s="47" t="str">
        <f ca="1">IF(R4132="","",IFERROR(TODAY()+VLOOKUP(R4132,REGRAS!$B$2:$C$13,2,0),""))</f>
        <v/>
      </c>
    </row>
    <row r="4133" spans="20:20" x14ac:dyDescent="0.3">
      <c r="T4133" s="47" t="str">
        <f ca="1">IF(R4133="","",IFERROR(TODAY()+VLOOKUP(R4133,REGRAS!$B$2:$C$13,2,0),""))</f>
        <v/>
      </c>
    </row>
    <row r="4134" spans="20:20" x14ac:dyDescent="0.3">
      <c r="T4134" s="47" t="str">
        <f ca="1">IF(R4134="","",IFERROR(TODAY()+VLOOKUP(R4134,REGRAS!$B$2:$C$13,2,0),""))</f>
        <v/>
      </c>
    </row>
    <row r="4135" spans="20:20" x14ac:dyDescent="0.3">
      <c r="T4135" s="47" t="str">
        <f ca="1">IF(R4135="","",IFERROR(TODAY()+VLOOKUP(R4135,REGRAS!$B$2:$C$13,2,0),""))</f>
        <v/>
      </c>
    </row>
    <row r="4136" spans="20:20" x14ac:dyDescent="0.3">
      <c r="T4136" s="47" t="str">
        <f ca="1">IF(R4136="","",IFERROR(TODAY()+VLOOKUP(R4136,REGRAS!$B$2:$C$13,2,0),""))</f>
        <v/>
      </c>
    </row>
    <row r="4137" spans="20:20" x14ac:dyDescent="0.3">
      <c r="T4137" s="47" t="str">
        <f ca="1">IF(R4137="","",IFERROR(TODAY()+VLOOKUP(R4137,REGRAS!$B$2:$C$13,2,0),""))</f>
        <v/>
      </c>
    </row>
    <row r="4138" spans="20:20" x14ac:dyDescent="0.3">
      <c r="T4138" s="47" t="str">
        <f ca="1">IF(R4138="","",IFERROR(TODAY()+VLOOKUP(R4138,REGRAS!$B$2:$C$13,2,0),""))</f>
        <v/>
      </c>
    </row>
    <row r="4139" spans="20:20" x14ac:dyDescent="0.3">
      <c r="T4139" s="47" t="str">
        <f ca="1">IF(R4139="","",IFERROR(TODAY()+VLOOKUP(R4139,REGRAS!$B$2:$C$13,2,0),""))</f>
        <v/>
      </c>
    </row>
    <row r="4140" spans="20:20" x14ac:dyDescent="0.3">
      <c r="T4140" s="47" t="str">
        <f ca="1">IF(R4140="","",IFERROR(TODAY()+VLOOKUP(R4140,REGRAS!$B$2:$C$13,2,0),""))</f>
        <v/>
      </c>
    </row>
    <row r="4141" spans="20:20" x14ac:dyDescent="0.3">
      <c r="T4141" s="47" t="str">
        <f ca="1">IF(R4141="","",IFERROR(TODAY()+VLOOKUP(R4141,REGRAS!$B$2:$C$13,2,0),""))</f>
        <v/>
      </c>
    </row>
    <row r="4142" spans="20:20" x14ac:dyDescent="0.3">
      <c r="T4142" s="47" t="str">
        <f ca="1">IF(R4142="","",IFERROR(TODAY()+VLOOKUP(R4142,REGRAS!$B$2:$C$13,2,0),""))</f>
        <v/>
      </c>
    </row>
    <row r="4143" spans="20:20" x14ac:dyDescent="0.3">
      <c r="T4143" s="47" t="str">
        <f ca="1">IF(R4143="","",IFERROR(TODAY()+VLOOKUP(R4143,REGRAS!$B$2:$C$13,2,0),""))</f>
        <v/>
      </c>
    </row>
    <row r="4144" spans="20:20" x14ac:dyDescent="0.3">
      <c r="T4144" s="47" t="str">
        <f ca="1">IF(R4144="","",IFERROR(TODAY()+VLOOKUP(R4144,REGRAS!$B$2:$C$13,2,0),""))</f>
        <v/>
      </c>
    </row>
    <row r="4145" spans="20:20" x14ac:dyDescent="0.3">
      <c r="T4145" s="47" t="str">
        <f ca="1">IF(R4145="","",IFERROR(TODAY()+VLOOKUP(R4145,REGRAS!$B$2:$C$13,2,0),""))</f>
        <v/>
      </c>
    </row>
    <row r="4146" spans="20:20" x14ac:dyDescent="0.3">
      <c r="T4146" s="47" t="str">
        <f ca="1">IF(R4146="","",IFERROR(TODAY()+VLOOKUP(R4146,REGRAS!$B$2:$C$13,2,0),""))</f>
        <v/>
      </c>
    </row>
    <row r="4147" spans="20:20" x14ac:dyDescent="0.3">
      <c r="T4147" s="47" t="str">
        <f ca="1">IF(R4147="","",IFERROR(TODAY()+VLOOKUP(R4147,REGRAS!$B$2:$C$13,2,0),""))</f>
        <v/>
      </c>
    </row>
    <row r="4148" spans="20:20" x14ac:dyDescent="0.3">
      <c r="T4148" s="47" t="str">
        <f ca="1">IF(R4148="","",IFERROR(TODAY()+VLOOKUP(R4148,REGRAS!$B$2:$C$13,2,0),""))</f>
        <v/>
      </c>
    </row>
    <row r="4149" spans="20:20" x14ac:dyDescent="0.3">
      <c r="T4149" s="47" t="str">
        <f ca="1">IF(R4149="","",IFERROR(TODAY()+VLOOKUP(R4149,REGRAS!$B$2:$C$13,2,0),""))</f>
        <v/>
      </c>
    </row>
    <row r="4150" spans="20:20" x14ac:dyDescent="0.3">
      <c r="T4150" s="47" t="str">
        <f ca="1">IF(R4150="","",IFERROR(TODAY()+VLOOKUP(R4150,REGRAS!$B$2:$C$13,2,0),""))</f>
        <v/>
      </c>
    </row>
    <row r="4151" spans="20:20" x14ac:dyDescent="0.3">
      <c r="T4151" s="47" t="str">
        <f ca="1">IF(R4151="","",IFERROR(TODAY()+VLOOKUP(R4151,REGRAS!$B$2:$C$13,2,0),""))</f>
        <v/>
      </c>
    </row>
    <row r="4152" spans="20:20" x14ac:dyDescent="0.3">
      <c r="T4152" s="47" t="str">
        <f ca="1">IF(R4152="","",IFERROR(TODAY()+VLOOKUP(R4152,REGRAS!$B$2:$C$13,2,0),""))</f>
        <v/>
      </c>
    </row>
    <row r="4153" spans="20:20" x14ac:dyDescent="0.3">
      <c r="T4153" s="47" t="str">
        <f ca="1">IF(R4153="","",IFERROR(TODAY()+VLOOKUP(R4153,REGRAS!$B$2:$C$13,2,0),""))</f>
        <v/>
      </c>
    </row>
    <row r="4154" spans="20:20" x14ac:dyDescent="0.3">
      <c r="T4154" s="47" t="str">
        <f ca="1">IF(R4154="","",IFERROR(TODAY()+VLOOKUP(R4154,REGRAS!$B$2:$C$13,2,0),""))</f>
        <v/>
      </c>
    </row>
    <row r="4155" spans="20:20" x14ac:dyDescent="0.3">
      <c r="T4155" s="47" t="str">
        <f ca="1">IF(R4155="","",IFERROR(TODAY()+VLOOKUP(R4155,REGRAS!$B$2:$C$13,2,0),""))</f>
        <v/>
      </c>
    </row>
    <row r="4156" spans="20:20" x14ac:dyDescent="0.3">
      <c r="T4156" s="47" t="str">
        <f ca="1">IF(R4156="","",IFERROR(TODAY()+VLOOKUP(R4156,REGRAS!$B$2:$C$13,2,0),""))</f>
        <v/>
      </c>
    </row>
    <row r="4157" spans="20:20" x14ac:dyDescent="0.3">
      <c r="T4157" s="47" t="str">
        <f ca="1">IF(R4157="","",IFERROR(TODAY()+VLOOKUP(R4157,REGRAS!$B$2:$C$13,2,0),""))</f>
        <v/>
      </c>
    </row>
    <row r="4158" spans="20:20" x14ac:dyDescent="0.3">
      <c r="T4158" s="47" t="str">
        <f ca="1">IF(R4158="","",IFERROR(TODAY()+VLOOKUP(R4158,REGRAS!$B$2:$C$13,2,0),""))</f>
        <v/>
      </c>
    </row>
    <row r="4159" spans="20:20" x14ac:dyDescent="0.3">
      <c r="T4159" s="47" t="str">
        <f ca="1">IF(R4159="","",IFERROR(TODAY()+VLOOKUP(R4159,REGRAS!$B$2:$C$13,2,0),""))</f>
        <v/>
      </c>
    </row>
    <row r="4160" spans="20:20" x14ac:dyDescent="0.3">
      <c r="T4160" s="47" t="str">
        <f ca="1">IF(R4160="","",IFERROR(TODAY()+VLOOKUP(R4160,REGRAS!$B$2:$C$13,2,0),""))</f>
        <v/>
      </c>
    </row>
    <row r="4161" spans="20:20" x14ac:dyDescent="0.3">
      <c r="T4161" s="47" t="str">
        <f ca="1">IF(R4161="","",IFERROR(TODAY()+VLOOKUP(R4161,REGRAS!$B$2:$C$13,2,0),""))</f>
        <v/>
      </c>
    </row>
    <row r="4162" spans="20:20" x14ac:dyDescent="0.3">
      <c r="T4162" s="47" t="str">
        <f ca="1">IF(R4162="","",IFERROR(TODAY()+VLOOKUP(R4162,REGRAS!$B$2:$C$13,2,0),""))</f>
        <v/>
      </c>
    </row>
    <row r="4163" spans="20:20" x14ac:dyDescent="0.3">
      <c r="T4163" s="47" t="str">
        <f ca="1">IF(R4163="","",IFERROR(TODAY()+VLOOKUP(R4163,REGRAS!$B$2:$C$13,2,0),""))</f>
        <v/>
      </c>
    </row>
    <row r="4164" spans="20:20" x14ac:dyDescent="0.3">
      <c r="T4164" s="47" t="str">
        <f ca="1">IF(R4164="","",IFERROR(TODAY()+VLOOKUP(R4164,REGRAS!$B$2:$C$13,2,0),""))</f>
        <v/>
      </c>
    </row>
    <row r="4165" spans="20:20" x14ac:dyDescent="0.3">
      <c r="T4165" s="47" t="str">
        <f ca="1">IF(R4165="","",IFERROR(TODAY()+VLOOKUP(R4165,REGRAS!$B$2:$C$13,2,0),""))</f>
        <v/>
      </c>
    </row>
    <row r="4166" spans="20:20" x14ac:dyDescent="0.3">
      <c r="T4166" s="47" t="str">
        <f ca="1">IF(R4166="","",IFERROR(TODAY()+VLOOKUP(R4166,REGRAS!$B$2:$C$13,2,0),""))</f>
        <v/>
      </c>
    </row>
    <row r="4167" spans="20:20" x14ac:dyDescent="0.3">
      <c r="T4167" s="47" t="str">
        <f ca="1">IF(R4167="","",IFERROR(TODAY()+VLOOKUP(R4167,REGRAS!$B$2:$C$13,2,0),""))</f>
        <v/>
      </c>
    </row>
    <row r="4168" spans="20:20" x14ac:dyDescent="0.3">
      <c r="T4168" s="47" t="str">
        <f ca="1">IF(R4168="","",IFERROR(TODAY()+VLOOKUP(R4168,REGRAS!$B$2:$C$13,2,0),""))</f>
        <v/>
      </c>
    </row>
    <row r="4169" spans="20:20" x14ac:dyDescent="0.3">
      <c r="T4169" s="47" t="str">
        <f ca="1">IF(R4169="","",IFERROR(TODAY()+VLOOKUP(R4169,REGRAS!$B$2:$C$13,2,0),""))</f>
        <v/>
      </c>
    </row>
    <row r="4170" spans="20:20" x14ac:dyDescent="0.3">
      <c r="T4170" s="47" t="str">
        <f ca="1">IF(R4170="","",IFERROR(TODAY()+VLOOKUP(R4170,REGRAS!$B$2:$C$13,2,0),""))</f>
        <v/>
      </c>
    </row>
    <row r="4171" spans="20:20" x14ac:dyDescent="0.3">
      <c r="T4171" s="47" t="str">
        <f ca="1">IF(R4171="","",IFERROR(TODAY()+VLOOKUP(R4171,REGRAS!$B$2:$C$13,2,0),""))</f>
        <v/>
      </c>
    </row>
    <row r="4172" spans="20:20" x14ac:dyDescent="0.3">
      <c r="T4172" s="47" t="str">
        <f ca="1">IF(R4172="","",IFERROR(TODAY()+VLOOKUP(R4172,REGRAS!$B$2:$C$13,2,0),""))</f>
        <v/>
      </c>
    </row>
    <row r="4173" spans="20:20" x14ac:dyDescent="0.3">
      <c r="T4173" s="47" t="str">
        <f ca="1">IF(R4173="","",IFERROR(TODAY()+VLOOKUP(R4173,REGRAS!$B$2:$C$13,2,0),""))</f>
        <v/>
      </c>
    </row>
    <row r="4174" spans="20:20" x14ac:dyDescent="0.3">
      <c r="T4174" s="47" t="str">
        <f ca="1">IF(R4174="","",IFERROR(TODAY()+VLOOKUP(R4174,REGRAS!$B$2:$C$13,2,0),""))</f>
        <v/>
      </c>
    </row>
    <row r="4175" spans="20:20" x14ac:dyDescent="0.3">
      <c r="T4175" s="47" t="str">
        <f ca="1">IF(R4175="","",IFERROR(TODAY()+VLOOKUP(R4175,REGRAS!$B$2:$C$13,2,0),""))</f>
        <v/>
      </c>
    </row>
    <row r="4176" spans="20:20" x14ac:dyDescent="0.3">
      <c r="T4176" s="47" t="str">
        <f ca="1">IF(R4176="","",IFERROR(TODAY()+VLOOKUP(R4176,REGRAS!$B$2:$C$13,2,0),""))</f>
        <v/>
      </c>
    </row>
    <row r="4177" spans="20:20" x14ac:dyDescent="0.3">
      <c r="T4177" s="47" t="str">
        <f ca="1">IF(R4177="","",IFERROR(TODAY()+VLOOKUP(R4177,REGRAS!$B$2:$C$13,2,0),""))</f>
        <v/>
      </c>
    </row>
    <row r="4178" spans="20:20" x14ac:dyDescent="0.3">
      <c r="T4178" s="47" t="str">
        <f ca="1">IF(R4178="","",IFERROR(TODAY()+VLOOKUP(R4178,REGRAS!$B$2:$C$13,2,0),""))</f>
        <v/>
      </c>
    </row>
    <row r="4179" spans="20:20" x14ac:dyDescent="0.3">
      <c r="T4179" s="47" t="str">
        <f ca="1">IF(R4179="","",IFERROR(TODAY()+VLOOKUP(R4179,REGRAS!$B$2:$C$13,2,0),""))</f>
        <v/>
      </c>
    </row>
    <row r="4180" spans="20:20" x14ac:dyDescent="0.3">
      <c r="T4180" s="47" t="str">
        <f ca="1">IF(R4180="","",IFERROR(TODAY()+VLOOKUP(R4180,REGRAS!$B$2:$C$13,2,0),""))</f>
        <v/>
      </c>
    </row>
    <row r="4181" spans="20:20" x14ac:dyDescent="0.3">
      <c r="T4181" s="47" t="str">
        <f ca="1">IF(R4181="","",IFERROR(TODAY()+VLOOKUP(R4181,REGRAS!$B$2:$C$13,2,0),""))</f>
        <v/>
      </c>
    </row>
    <row r="4182" spans="20:20" x14ac:dyDescent="0.3">
      <c r="T4182" s="47" t="str">
        <f ca="1">IF(R4182="","",IFERROR(TODAY()+VLOOKUP(R4182,REGRAS!$B$2:$C$13,2,0),""))</f>
        <v/>
      </c>
    </row>
    <row r="4183" spans="20:20" x14ac:dyDescent="0.3">
      <c r="T4183" s="47" t="str">
        <f ca="1">IF(R4183="","",IFERROR(TODAY()+VLOOKUP(R4183,REGRAS!$B$2:$C$13,2,0),""))</f>
        <v/>
      </c>
    </row>
    <row r="4184" spans="20:20" x14ac:dyDescent="0.3">
      <c r="T4184" s="47" t="str">
        <f ca="1">IF(R4184="","",IFERROR(TODAY()+VLOOKUP(R4184,REGRAS!$B$2:$C$13,2,0),""))</f>
        <v/>
      </c>
    </row>
    <row r="4185" spans="20:20" x14ac:dyDescent="0.3">
      <c r="T4185" s="47" t="str">
        <f ca="1">IF(R4185="","",IFERROR(TODAY()+VLOOKUP(R4185,REGRAS!$B$2:$C$13,2,0),""))</f>
        <v/>
      </c>
    </row>
    <row r="4186" spans="20:20" x14ac:dyDescent="0.3">
      <c r="T4186" s="47" t="str">
        <f ca="1">IF(R4186="","",IFERROR(TODAY()+VLOOKUP(R4186,REGRAS!$B$2:$C$13,2,0),""))</f>
        <v/>
      </c>
    </row>
    <row r="4187" spans="20:20" x14ac:dyDescent="0.3">
      <c r="T4187" s="47" t="str">
        <f ca="1">IF(R4187="","",IFERROR(TODAY()+VLOOKUP(R4187,REGRAS!$B$2:$C$13,2,0),""))</f>
        <v/>
      </c>
    </row>
    <row r="4188" spans="20:20" x14ac:dyDescent="0.3">
      <c r="T4188" s="47" t="str">
        <f ca="1">IF(R4188="","",IFERROR(TODAY()+VLOOKUP(R4188,REGRAS!$B$2:$C$13,2,0),""))</f>
        <v/>
      </c>
    </row>
    <row r="4189" spans="20:20" x14ac:dyDescent="0.3">
      <c r="T4189" s="47" t="str">
        <f ca="1">IF(R4189="","",IFERROR(TODAY()+VLOOKUP(R4189,REGRAS!$B$2:$C$13,2,0),""))</f>
        <v/>
      </c>
    </row>
    <row r="4190" spans="20:20" x14ac:dyDescent="0.3">
      <c r="T4190" s="47" t="str">
        <f ca="1">IF(R4190="","",IFERROR(TODAY()+VLOOKUP(R4190,REGRAS!$B$2:$C$13,2,0),""))</f>
        <v/>
      </c>
    </row>
    <row r="4191" spans="20:20" x14ac:dyDescent="0.3">
      <c r="T4191" s="47" t="str">
        <f ca="1">IF(R4191="","",IFERROR(TODAY()+VLOOKUP(R4191,REGRAS!$B$2:$C$13,2,0),""))</f>
        <v/>
      </c>
    </row>
    <row r="4192" spans="20:20" x14ac:dyDescent="0.3">
      <c r="T4192" s="47" t="str">
        <f ca="1">IF(R4192="","",IFERROR(TODAY()+VLOOKUP(R4192,REGRAS!$B$2:$C$13,2,0),""))</f>
        <v/>
      </c>
    </row>
    <row r="4193" spans="20:20" x14ac:dyDescent="0.3">
      <c r="T4193" s="47" t="str">
        <f ca="1">IF(R4193="","",IFERROR(TODAY()+VLOOKUP(R4193,REGRAS!$B$2:$C$13,2,0),""))</f>
        <v/>
      </c>
    </row>
    <row r="4194" spans="20:20" x14ac:dyDescent="0.3">
      <c r="T4194" s="47" t="str">
        <f ca="1">IF(R4194="","",IFERROR(TODAY()+VLOOKUP(R4194,REGRAS!$B$2:$C$13,2,0),""))</f>
        <v/>
      </c>
    </row>
    <row r="4195" spans="20:20" x14ac:dyDescent="0.3">
      <c r="T4195" s="47" t="str">
        <f ca="1">IF(R4195="","",IFERROR(TODAY()+VLOOKUP(R4195,REGRAS!$B$2:$C$13,2,0),""))</f>
        <v/>
      </c>
    </row>
    <row r="4196" spans="20:20" x14ac:dyDescent="0.3">
      <c r="T4196" s="47" t="str">
        <f ca="1">IF(R4196="","",IFERROR(TODAY()+VLOOKUP(R4196,REGRAS!$B$2:$C$13,2,0),""))</f>
        <v/>
      </c>
    </row>
    <row r="4197" spans="20:20" x14ac:dyDescent="0.3">
      <c r="T4197" s="47" t="str">
        <f ca="1">IF(R4197="","",IFERROR(TODAY()+VLOOKUP(R4197,REGRAS!$B$2:$C$13,2,0),""))</f>
        <v/>
      </c>
    </row>
    <row r="4198" spans="20:20" x14ac:dyDescent="0.3">
      <c r="T4198" s="47" t="str">
        <f ca="1">IF(R4198="","",IFERROR(TODAY()+VLOOKUP(R4198,REGRAS!$B$2:$C$13,2,0),""))</f>
        <v/>
      </c>
    </row>
    <row r="4199" spans="20:20" x14ac:dyDescent="0.3">
      <c r="T4199" s="47" t="str">
        <f ca="1">IF(R4199="","",IFERROR(TODAY()+VLOOKUP(R4199,REGRAS!$B$2:$C$13,2,0),""))</f>
        <v/>
      </c>
    </row>
    <row r="4200" spans="20:20" x14ac:dyDescent="0.3">
      <c r="T4200" s="47" t="str">
        <f ca="1">IF(R4200="","",IFERROR(TODAY()+VLOOKUP(R4200,REGRAS!$B$2:$C$13,2,0),""))</f>
        <v/>
      </c>
    </row>
    <row r="4201" spans="20:20" x14ac:dyDescent="0.3">
      <c r="T4201" s="47" t="str">
        <f ca="1">IF(R4201="","",IFERROR(TODAY()+VLOOKUP(R4201,REGRAS!$B$2:$C$13,2,0),""))</f>
        <v/>
      </c>
    </row>
    <row r="4202" spans="20:20" x14ac:dyDescent="0.3">
      <c r="T4202" s="47" t="str">
        <f ca="1">IF(R4202="","",IFERROR(TODAY()+VLOOKUP(R4202,REGRAS!$B$2:$C$13,2,0),""))</f>
        <v/>
      </c>
    </row>
    <row r="4203" spans="20:20" x14ac:dyDescent="0.3">
      <c r="T4203" s="47" t="str">
        <f ca="1">IF(R4203="","",IFERROR(TODAY()+VLOOKUP(R4203,REGRAS!$B$2:$C$13,2,0),""))</f>
        <v/>
      </c>
    </row>
    <row r="4204" spans="20:20" x14ac:dyDescent="0.3">
      <c r="T4204" s="47" t="str">
        <f ca="1">IF(R4204="","",IFERROR(TODAY()+VLOOKUP(R4204,REGRAS!$B$2:$C$13,2,0),""))</f>
        <v/>
      </c>
    </row>
    <row r="4205" spans="20:20" x14ac:dyDescent="0.3">
      <c r="T4205" s="47" t="str">
        <f ca="1">IF(R4205="","",IFERROR(TODAY()+VLOOKUP(R4205,REGRAS!$B$2:$C$13,2,0),""))</f>
        <v/>
      </c>
    </row>
    <row r="4206" spans="20:20" x14ac:dyDescent="0.3">
      <c r="T4206" s="47" t="str">
        <f ca="1">IF(R4206="","",IFERROR(TODAY()+VLOOKUP(R4206,REGRAS!$B$2:$C$13,2,0),""))</f>
        <v/>
      </c>
    </row>
    <row r="4207" spans="20:20" x14ac:dyDescent="0.3">
      <c r="T4207" s="47" t="str">
        <f ca="1">IF(R4207="","",IFERROR(TODAY()+VLOOKUP(R4207,REGRAS!$B$2:$C$13,2,0),""))</f>
        <v/>
      </c>
    </row>
    <row r="4208" spans="20:20" x14ac:dyDescent="0.3">
      <c r="T4208" s="47" t="str">
        <f ca="1">IF(R4208="","",IFERROR(TODAY()+VLOOKUP(R4208,REGRAS!$B$2:$C$13,2,0),""))</f>
        <v/>
      </c>
    </row>
    <row r="4209" spans="20:20" x14ac:dyDescent="0.3">
      <c r="T4209" s="47" t="str">
        <f ca="1">IF(R4209="","",IFERROR(TODAY()+VLOOKUP(R4209,REGRAS!$B$2:$C$13,2,0),""))</f>
        <v/>
      </c>
    </row>
    <row r="4210" spans="20:20" x14ac:dyDescent="0.3">
      <c r="T4210" s="47" t="str">
        <f ca="1">IF(R4210="","",IFERROR(TODAY()+VLOOKUP(R4210,REGRAS!$B$2:$C$13,2,0),""))</f>
        <v/>
      </c>
    </row>
    <row r="4211" spans="20:20" x14ac:dyDescent="0.3">
      <c r="T4211" s="47" t="str">
        <f ca="1">IF(R4211="","",IFERROR(TODAY()+VLOOKUP(R4211,REGRAS!$B$2:$C$13,2,0),""))</f>
        <v/>
      </c>
    </row>
    <row r="4212" spans="20:20" x14ac:dyDescent="0.3">
      <c r="T4212" s="47" t="str">
        <f ca="1">IF(R4212="","",IFERROR(TODAY()+VLOOKUP(R4212,REGRAS!$B$2:$C$13,2,0),""))</f>
        <v/>
      </c>
    </row>
    <row r="4213" spans="20:20" x14ac:dyDescent="0.3">
      <c r="T4213" s="47" t="str">
        <f ca="1">IF(R4213="","",IFERROR(TODAY()+VLOOKUP(R4213,REGRAS!$B$2:$C$13,2,0),""))</f>
        <v/>
      </c>
    </row>
    <row r="4214" spans="20:20" x14ac:dyDescent="0.3">
      <c r="T4214" s="47" t="str">
        <f ca="1">IF(R4214="","",IFERROR(TODAY()+VLOOKUP(R4214,REGRAS!$B$2:$C$13,2,0),""))</f>
        <v/>
      </c>
    </row>
    <row r="4215" spans="20:20" x14ac:dyDescent="0.3">
      <c r="T4215" s="47" t="str">
        <f ca="1">IF(R4215="","",IFERROR(TODAY()+VLOOKUP(R4215,REGRAS!$B$2:$C$13,2,0),""))</f>
        <v/>
      </c>
    </row>
    <row r="4216" spans="20:20" x14ac:dyDescent="0.3">
      <c r="T4216" s="47" t="str">
        <f ca="1">IF(R4216="","",IFERROR(TODAY()+VLOOKUP(R4216,REGRAS!$B$2:$C$13,2,0),""))</f>
        <v/>
      </c>
    </row>
    <row r="4217" spans="20:20" x14ac:dyDescent="0.3">
      <c r="T4217" s="47" t="str">
        <f ca="1">IF(R4217="","",IFERROR(TODAY()+VLOOKUP(R4217,REGRAS!$B$2:$C$13,2,0),""))</f>
        <v/>
      </c>
    </row>
    <row r="4218" spans="20:20" x14ac:dyDescent="0.3">
      <c r="T4218" s="47" t="str">
        <f ca="1">IF(R4218="","",IFERROR(TODAY()+VLOOKUP(R4218,REGRAS!$B$2:$C$13,2,0),""))</f>
        <v/>
      </c>
    </row>
    <row r="4219" spans="20:20" x14ac:dyDescent="0.3">
      <c r="T4219" s="47" t="str">
        <f ca="1">IF(R4219="","",IFERROR(TODAY()+VLOOKUP(R4219,REGRAS!$B$2:$C$13,2,0),""))</f>
        <v/>
      </c>
    </row>
    <row r="4220" spans="20:20" x14ac:dyDescent="0.3">
      <c r="T4220" s="47" t="str">
        <f ca="1">IF(R4220="","",IFERROR(TODAY()+VLOOKUP(R4220,REGRAS!$B$2:$C$13,2,0),""))</f>
        <v/>
      </c>
    </row>
    <row r="4221" spans="20:20" x14ac:dyDescent="0.3">
      <c r="T4221" s="47" t="str">
        <f ca="1">IF(R4221="","",IFERROR(TODAY()+VLOOKUP(R4221,REGRAS!$B$2:$C$13,2,0),""))</f>
        <v/>
      </c>
    </row>
    <row r="4222" spans="20:20" x14ac:dyDescent="0.3">
      <c r="T4222" s="47" t="str">
        <f ca="1">IF(R4222="","",IFERROR(TODAY()+VLOOKUP(R4222,REGRAS!$B$2:$C$13,2,0),""))</f>
        <v/>
      </c>
    </row>
    <row r="4223" spans="20:20" x14ac:dyDescent="0.3">
      <c r="T4223" s="47" t="str">
        <f ca="1">IF(R4223="","",IFERROR(TODAY()+VLOOKUP(R4223,REGRAS!$B$2:$C$13,2,0),""))</f>
        <v/>
      </c>
    </row>
    <row r="4224" spans="20:20" x14ac:dyDescent="0.3">
      <c r="T4224" s="47" t="str">
        <f ca="1">IF(R4224="","",IFERROR(TODAY()+VLOOKUP(R4224,REGRAS!$B$2:$C$13,2,0),""))</f>
        <v/>
      </c>
    </row>
    <row r="4225" spans="20:20" x14ac:dyDescent="0.3">
      <c r="T4225" s="47" t="str">
        <f ca="1">IF(R4225="","",IFERROR(TODAY()+VLOOKUP(R4225,REGRAS!$B$2:$C$13,2,0),""))</f>
        <v/>
      </c>
    </row>
    <row r="4226" spans="20:20" x14ac:dyDescent="0.3">
      <c r="T4226" s="47" t="str">
        <f ca="1">IF(R4226="","",IFERROR(TODAY()+VLOOKUP(R4226,REGRAS!$B$2:$C$13,2,0),""))</f>
        <v/>
      </c>
    </row>
    <row r="4227" spans="20:20" x14ac:dyDescent="0.3">
      <c r="T4227" s="47" t="str">
        <f ca="1">IF(R4227="","",IFERROR(TODAY()+VLOOKUP(R4227,REGRAS!$B$2:$C$13,2,0),""))</f>
        <v/>
      </c>
    </row>
    <row r="4228" spans="20:20" x14ac:dyDescent="0.3">
      <c r="T4228" s="47" t="str">
        <f ca="1">IF(R4228="","",IFERROR(TODAY()+VLOOKUP(R4228,REGRAS!$B$2:$C$13,2,0),""))</f>
        <v/>
      </c>
    </row>
    <row r="4229" spans="20:20" x14ac:dyDescent="0.3">
      <c r="T4229" s="47" t="str">
        <f ca="1">IF(R4229="","",IFERROR(TODAY()+VLOOKUP(R4229,REGRAS!$B$2:$C$13,2,0),""))</f>
        <v/>
      </c>
    </row>
    <row r="4230" spans="20:20" x14ac:dyDescent="0.3">
      <c r="T4230" s="47" t="str">
        <f ca="1">IF(R4230="","",IFERROR(TODAY()+VLOOKUP(R4230,REGRAS!$B$2:$C$13,2,0),""))</f>
        <v/>
      </c>
    </row>
    <row r="4231" spans="20:20" x14ac:dyDescent="0.3">
      <c r="T4231" s="47" t="str">
        <f ca="1">IF(R4231="","",IFERROR(TODAY()+VLOOKUP(R4231,REGRAS!$B$2:$C$13,2,0),""))</f>
        <v/>
      </c>
    </row>
    <row r="4232" spans="20:20" x14ac:dyDescent="0.3">
      <c r="T4232" s="47" t="str">
        <f ca="1">IF(R4232="","",IFERROR(TODAY()+VLOOKUP(R4232,REGRAS!$B$2:$C$13,2,0),""))</f>
        <v/>
      </c>
    </row>
    <row r="4233" spans="20:20" x14ac:dyDescent="0.3">
      <c r="T4233" s="47" t="str">
        <f ca="1">IF(R4233="","",IFERROR(TODAY()+VLOOKUP(R4233,REGRAS!$B$2:$C$13,2,0),""))</f>
        <v/>
      </c>
    </row>
    <row r="4234" spans="20:20" x14ac:dyDescent="0.3">
      <c r="T4234" s="47" t="str">
        <f ca="1">IF(R4234="","",IFERROR(TODAY()+VLOOKUP(R4234,REGRAS!$B$2:$C$13,2,0),""))</f>
        <v/>
      </c>
    </row>
    <row r="4235" spans="20:20" x14ac:dyDescent="0.3">
      <c r="T4235" s="47" t="str">
        <f ca="1">IF(R4235="","",IFERROR(TODAY()+VLOOKUP(R4235,REGRAS!$B$2:$C$13,2,0),""))</f>
        <v/>
      </c>
    </row>
    <row r="4236" spans="20:20" x14ac:dyDescent="0.3">
      <c r="T4236" s="47" t="str">
        <f ca="1">IF(R4236="","",IFERROR(TODAY()+VLOOKUP(R4236,REGRAS!$B$2:$C$13,2,0),""))</f>
        <v/>
      </c>
    </row>
    <row r="4237" spans="20:20" x14ac:dyDescent="0.3">
      <c r="T4237" s="47" t="str">
        <f ca="1">IF(R4237="","",IFERROR(TODAY()+VLOOKUP(R4237,REGRAS!$B$2:$C$13,2,0),""))</f>
        <v/>
      </c>
    </row>
    <row r="4238" spans="20:20" x14ac:dyDescent="0.3">
      <c r="T4238" s="47" t="str">
        <f ca="1">IF(R4238="","",IFERROR(TODAY()+VLOOKUP(R4238,REGRAS!$B$2:$C$13,2,0),""))</f>
        <v/>
      </c>
    </row>
    <row r="4239" spans="20:20" x14ac:dyDescent="0.3">
      <c r="T4239" s="47" t="str">
        <f ca="1">IF(R4239="","",IFERROR(TODAY()+VLOOKUP(R4239,REGRAS!$B$2:$C$13,2,0),""))</f>
        <v/>
      </c>
    </row>
    <row r="4240" spans="20:20" x14ac:dyDescent="0.3">
      <c r="T4240" s="47" t="str">
        <f ca="1">IF(R4240="","",IFERROR(TODAY()+VLOOKUP(R4240,REGRAS!$B$2:$C$13,2,0),""))</f>
        <v/>
      </c>
    </row>
    <row r="4241" spans="20:20" x14ac:dyDescent="0.3">
      <c r="T4241" s="47" t="str">
        <f ca="1">IF(R4241="","",IFERROR(TODAY()+VLOOKUP(R4241,REGRAS!$B$2:$C$13,2,0),""))</f>
        <v/>
      </c>
    </row>
    <row r="4242" spans="20:20" x14ac:dyDescent="0.3">
      <c r="T4242" s="47" t="str">
        <f ca="1">IF(R4242="","",IFERROR(TODAY()+VLOOKUP(R4242,REGRAS!$B$2:$C$13,2,0),""))</f>
        <v/>
      </c>
    </row>
    <row r="4243" spans="20:20" x14ac:dyDescent="0.3">
      <c r="T4243" s="47" t="str">
        <f ca="1">IF(R4243="","",IFERROR(TODAY()+VLOOKUP(R4243,REGRAS!$B$2:$C$13,2,0),""))</f>
        <v/>
      </c>
    </row>
    <row r="4244" spans="20:20" x14ac:dyDescent="0.3">
      <c r="T4244" s="47" t="str">
        <f ca="1">IF(R4244="","",IFERROR(TODAY()+VLOOKUP(R4244,REGRAS!$B$2:$C$13,2,0),""))</f>
        <v/>
      </c>
    </row>
    <row r="4245" spans="20:20" x14ac:dyDescent="0.3">
      <c r="T4245" s="47" t="str">
        <f ca="1">IF(R4245="","",IFERROR(TODAY()+VLOOKUP(R4245,REGRAS!$B$2:$C$13,2,0),""))</f>
        <v/>
      </c>
    </row>
    <row r="4246" spans="20:20" x14ac:dyDescent="0.3">
      <c r="T4246" s="47" t="str">
        <f ca="1">IF(R4246="","",IFERROR(TODAY()+VLOOKUP(R4246,REGRAS!$B$2:$C$13,2,0),""))</f>
        <v/>
      </c>
    </row>
    <row r="4247" spans="20:20" x14ac:dyDescent="0.3">
      <c r="T4247" s="47" t="str">
        <f ca="1">IF(R4247="","",IFERROR(TODAY()+VLOOKUP(R4247,REGRAS!$B$2:$C$13,2,0),""))</f>
        <v/>
      </c>
    </row>
    <row r="4248" spans="20:20" x14ac:dyDescent="0.3">
      <c r="T4248" s="47" t="str">
        <f ca="1">IF(R4248="","",IFERROR(TODAY()+VLOOKUP(R4248,REGRAS!$B$2:$C$13,2,0),""))</f>
        <v/>
      </c>
    </row>
    <row r="4249" spans="20:20" x14ac:dyDescent="0.3">
      <c r="T4249" s="47" t="str">
        <f ca="1">IF(R4249="","",IFERROR(TODAY()+VLOOKUP(R4249,REGRAS!$B$2:$C$13,2,0),""))</f>
        <v/>
      </c>
    </row>
    <row r="4250" spans="20:20" x14ac:dyDescent="0.3">
      <c r="T4250" s="47" t="str">
        <f ca="1">IF(R4250="","",IFERROR(TODAY()+VLOOKUP(R4250,REGRAS!$B$2:$C$13,2,0),""))</f>
        <v/>
      </c>
    </row>
    <row r="4251" spans="20:20" x14ac:dyDescent="0.3">
      <c r="T4251" s="47" t="str">
        <f ca="1">IF(R4251="","",IFERROR(TODAY()+VLOOKUP(R4251,REGRAS!$B$2:$C$13,2,0),""))</f>
        <v/>
      </c>
    </row>
    <row r="4252" spans="20:20" x14ac:dyDescent="0.3">
      <c r="T4252" s="47" t="str">
        <f ca="1">IF(R4252="","",IFERROR(TODAY()+VLOOKUP(R4252,REGRAS!$B$2:$C$13,2,0),""))</f>
        <v/>
      </c>
    </row>
    <row r="4253" spans="20:20" x14ac:dyDescent="0.3">
      <c r="T4253" s="47" t="str">
        <f ca="1">IF(R4253="","",IFERROR(TODAY()+VLOOKUP(R4253,REGRAS!$B$2:$C$13,2,0),""))</f>
        <v/>
      </c>
    </row>
    <row r="4254" spans="20:20" x14ac:dyDescent="0.3">
      <c r="T4254" s="47" t="str">
        <f ca="1">IF(R4254="","",IFERROR(TODAY()+VLOOKUP(R4254,REGRAS!$B$2:$C$13,2,0),""))</f>
        <v/>
      </c>
    </row>
    <row r="4255" spans="20:20" x14ac:dyDescent="0.3">
      <c r="T4255" s="47" t="str">
        <f ca="1">IF(R4255="","",IFERROR(TODAY()+VLOOKUP(R4255,REGRAS!$B$2:$C$13,2,0),""))</f>
        <v/>
      </c>
    </row>
    <row r="4256" spans="20:20" x14ac:dyDescent="0.3">
      <c r="T4256" s="47" t="str">
        <f ca="1">IF(R4256="","",IFERROR(TODAY()+VLOOKUP(R4256,REGRAS!$B$2:$C$13,2,0),""))</f>
        <v/>
      </c>
    </row>
    <row r="4257" spans="20:20" x14ac:dyDescent="0.3">
      <c r="T4257" s="47" t="str">
        <f ca="1">IF(R4257="","",IFERROR(TODAY()+VLOOKUP(R4257,REGRAS!$B$2:$C$13,2,0),""))</f>
        <v/>
      </c>
    </row>
    <row r="4258" spans="20:20" x14ac:dyDescent="0.3">
      <c r="T4258" s="47" t="str">
        <f ca="1">IF(R4258="","",IFERROR(TODAY()+VLOOKUP(R4258,REGRAS!$B$2:$C$13,2,0),""))</f>
        <v/>
      </c>
    </row>
    <row r="4259" spans="20:20" x14ac:dyDescent="0.3">
      <c r="T4259" s="47" t="str">
        <f ca="1">IF(R4259="","",IFERROR(TODAY()+VLOOKUP(R4259,REGRAS!$B$2:$C$13,2,0),""))</f>
        <v/>
      </c>
    </row>
    <row r="4260" spans="20:20" x14ac:dyDescent="0.3">
      <c r="T4260" s="47" t="str">
        <f ca="1">IF(R4260="","",IFERROR(TODAY()+VLOOKUP(R4260,REGRAS!$B$2:$C$13,2,0),""))</f>
        <v/>
      </c>
    </row>
    <row r="4261" spans="20:20" x14ac:dyDescent="0.3">
      <c r="T4261" s="47" t="str">
        <f ca="1">IF(R4261="","",IFERROR(TODAY()+VLOOKUP(R4261,REGRAS!$B$2:$C$13,2,0),""))</f>
        <v/>
      </c>
    </row>
    <row r="4262" spans="20:20" x14ac:dyDescent="0.3">
      <c r="T4262" s="47" t="str">
        <f ca="1">IF(R4262="","",IFERROR(TODAY()+VLOOKUP(R4262,REGRAS!$B$2:$C$13,2,0),""))</f>
        <v/>
      </c>
    </row>
    <row r="4263" spans="20:20" x14ac:dyDescent="0.3">
      <c r="T4263" s="47" t="str">
        <f ca="1">IF(R4263="","",IFERROR(TODAY()+VLOOKUP(R4263,REGRAS!$B$2:$C$13,2,0),""))</f>
        <v/>
      </c>
    </row>
    <row r="4264" spans="20:20" x14ac:dyDescent="0.3">
      <c r="T4264" s="47" t="str">
        <f ca="1">IF(R4264="","",IFERROR(TODAY()+VLOOKUP(R4264,REGRAS!$B$2:$C$13,2,0),""))</f>
        <v/>
      </c>
    </row>
    <row r="4265" spans="20:20" x14ac:dyDescent="0.3">
      <c r="T4265" s="47" t="str">
        <f ca="1">IF(R4265="","",IFERROR(TODAY()+VLOOKUP(R4265,REGRAS!$B$2:$C$13,2,0),""))</f>
        <v/>
      </c>
    </row>
    <row r="4266" spans="20:20" x14ac:dyDescent="0.3">
      <c r="T4266" s="47" t="str">
        <f ca="1">IF(R4266="","",IFERROR(TODAY()+VLOOKUP(R4266,REGRAS!$B$2:$C$13,2,0),""))</f>
        <v/>
      </c>
    </row>
    <row r="4267" spans="20:20" x14ac:dyDescent="0.3">
      <c r="T4267" s="47" t="str">
        <f ca="1">IF(R4267="","",IFERROR(TODAY()+VLOOKUP(R4267,REGRAS!$B$2:$C$13,2,0),""))</f>
        <v/>
      </c>
    </row>
    <row r="4268" spans="20:20" x14ac:dyDescent="0.3">
      <c r="T4268" s="47" t="str">
        <f ca="1">IF(R4268="","",IFERROR(TODAY()+VLOOKUP(R4268,REGRAS!$B$2:$C$13,2,0),""))</f>
        <v/>
      </c>
    </row>
    <row r="4269" spans="20:20" x14ac:dyDescent="0.3">
      <c r="T4269" s="47" t="str">
        <f ca="1">IF(R4269="","",IFERROR(TODAY()+VLOOKUP(R4269,REGRAS!$B$2:$C$13,2,0),""))</f>
        <v/>
      </c>
    </row>
    <row r="4270" spans="20:20" x14ac:dyDescent="0.3">
      <c r="T4270" s="47" t="str">
        <f ca="1">IF(R4270="","",IFERROR(TODAY()+VLOOKUP(R4270,REGRAS!$B$2:$C$13,2,0),""))</f>
        <v/>
      </c>
    </row>
    <row r="4271" spans="20:20" x14ac:dyDescent="0.3">
      <c r="T4271" s="47" t="str">
        <f ca="1">IF(R4271="","",IFERROR(TODAY()+VLOOKUP(R4271,REGRAS!$B$2:$C$13,2,0),""))</f>
        <v/>
      </c>
    </row>
    <row r="4272" spans="20:20" x14ac:dyDescent="0.3">
      <c r="T4272" s="47" t="str">
        <f ca="1">IF(R4272="","",IFERROR(TODAY()+VLOOKUP(R4272,REGRAS!$B$2:$C$13,2,0),""))</f>
        <v/>
      </c>
    </row>
    <row r="4273" spans="20:20" x14ac:dyDescent="0.3">
      <c r="T4273" s="47" t="str">
        <f ca="1">IF(R4273="","",IFERROR(TODAY()+VLOOKUP(R4273,REGRAS!$B$2:$C$13,2,0),""))</f>
        <v/>
      </c>
    </row>
    <row r="4274" spans="20:20" x14ac:dyDescent="0.3">
      <c r="T4274" s="47" t="str">
        <f ca="1">IF(R4274="","",IFERROR(TODAY()+VLOOKUP(R4274,REGRAS!$B$2:$C$13,2,0),""))</f>
        <v/>
      </c>
    </row>
    <row r="4275" spans="20:20" x14ac:dyDescent="0.3">
      <c r="T4275" s="47" t="str">
        <f ca="1">IF(R4275="","",IFERROR(TODAY()+VLOOKUP(R4275,REGRAS!$B$2:$C$13,2,0),""))</f>
        <v/>
      </c>
    </row>
    <row r="4276" spans="20:20" x14ac:dyDescent="0.3">
      <c r="T4276" s="47" t="str">
        <f ca="1">IF(R4276="","",IFERROR(TODAY()+VLOOKUP(R4276,REGRAS!$B$2:$C$13,2,0),""))</f>
        <v/>
      </c>
    </row>
    <row r="4277" spans="20:20" x14ac:dyDescent="0.3">
      <c r="T4277" s="47" t="str">
        <f ca="1">IF(R4277="","",IFERROR(TODAY()+VLOOKUP(R4277,REGRAS!$B$2:$C$13,2,0),""))</f>
        <v/>
      </c>
    </row>
    <row r="4278" spans="20:20" x14ac:dyDescent="0.3">
      <c r="T4278" s="47" t="str">
        <f ca="1">IF(R4278="","",IFERROR(TODAY()+VLOOKUP(R4278,REGRAS!$B$2:$C$13,2,0),""))</f>
        <v/>
      </c>
    </row>
    <row r="4279" spans="20:20" x14ac:dyDescent="0.3">
      <c r="T4279" s="47" t="str">
        <f ca="1">IF(R4279="","",IFERROR(TODAY()+VLOOKUP(R4279,REGRAS!$B$2:$C$13,2,0),""))</f>
        <v/>
      </c>
    </row>
    <row r="4280" spans="20:20" x14ac:dyDescent="0.3">
      <c r="T4280" s="47" t="str">
        <f ca="1">IF(R4280="","",IFERROR(TODAY()+VLOOKUP(R4280,REGRAS!$B$2:$C$13,2,0),""))</f>
        <v/>
      </c>
    </row>
    <row r="4281" spans="20:20" x14ac:dyDescent="0.3">
      <c r="T4281" s="47" t="str">
        <f ca="1">IF(R4281="","",IFERROR(TODAY()+VLOOKUP(R4281,REGRAS!$B$2:$C$13,2,0),""))</f>
        <v/>
      </c>
    </row>
    <row r="4282" spans="20:20" x14ac:dyDescent="0.3">
      <c r="T4282" s="47" t="str">
        <f ca="1">IF(R4282="","",IFERROR(TODAY()+VLOOKUP(R4282,REGRAS!$B$2:$C$13,2,0),""))</f>
        <v/>
      </c>
    </row>
    <row r="4283" spans="20:20" x14ac:dyDescent="0.3">
      <c r="T4283" s="47" t="str">
        <f ca="1">IF(R4283="","",IFERROR(TODAY()+VLOOKUP(R4283,REGRAS!$B$2:$C$13,2,0),""))</f>
        <v/>
      </c>
    </row>
    <row r="4284" spans="20:20" x14ac:dyDescent="0.3">
      <c r="T4284" s="47" t="str">
        <f ca="1">IF(R4284="","",IFERROR(TODAY()+VLOOKUP(R4284,REGRAS!$B$2:$C$13,2,0),""))</f>
        <v/>
      </c>
    </row>
    <row r="4285" spans="20:20" x14ac:dyDescent="0.3">
      <c r="T4285" s="47" t="str">
        <f ca="1">IF(R4285="","",IFERROR(TODAY()+VLOOKUP(R4285,REGRAS!$B$2:$C$13,2,0),""))</f>
        <v/>
      </c>
    </row>
    <row r="4286" spans="20:20" x14ac:dyDescent="0.3">
      <c r="T4286" s="47" t="str">
        <f ca="1">IF(R4286="","",IFERROR(TODAY()+VLOOKUP(R4286,REGRAS!$B$2:$C$13,2,0),""))</f>
        <v/>
      </c>
    </row>
    <row r="4287" spans="20:20" x14ac:dyDescent="0.3">
      <c r="T4287" s="47" t="str">
        <f ca="1">IF(R4287="","",IFERROR(TODAY()+VLOOKUP(R4287,REGRAS!$B$2:$C$13,2,0),""))</f>
        <v/>
      </c>
    </row>
    <row r="4288" spans="20:20" x14ac:dyDescent="0.3">
      <c r="T4288" s="47" t="str">
        <f ca="1">IF(R4288="","",IFERROR(TODAY()+VLOOKUP(R4288,REGRAS!$B$2:$C$13,2,0),""))</f>
        <v/>
      </c>
    </row>
    <row r="4289" spans="20:20" x14ac:dyDescent="0.3">
      <c r="T4289" s="47" t="str">
        <f ca="1">IF(R4289="","",IFERROR(TODAY()+VLOOKUP(R4289,REGRAS!$B$2:$C$13,2,0),""))</f>
        <v/>
      </c>
    </row>
    <row r="4290" spans="20:20" x14ac:dyDescent="0.3">
      <c r="T4290" s="47" t="str">
        <f ca="1">IF(R4290="","",IFERROR(TODAY()+VLOOKUP(R4290,REGRAS!$B$2:$C$13,2,0),""))</f>
        <v/>
      </c>
    </row>
    <row r="4291" spans="20:20" x14ac:dyDescent="0.3">
      <c r="T4291" s="47" t="str">
        <f ca="1">IF(R4291="","",IFERROR(TODAY()+VLOOKUP(R4291,REGRAS!$B$2:$C$13,2,0),""))</f>
        <v/>
      </c>
    </row>
    <row r="4292" spans="20:20" x14ac:dyDescent="0.3">
      <c r="T4292" s="47" t="str">
        <f ca="1">IF(R4292="","",IFERROR(TODAY()+VLOOKUP(R4292,REGRAS!$B$2:$C$13,2,0),""))</f>
        <v/>
      </c>
    </row>
    <row r="4293" spans="20:20" x14ac:dyDescent="0.3">
      <c r="T4293" s="47" t="str">
        <f ca="1">IF(R4293="","",IFERROR(TODAY()+VLOOKUP(R4293,REGRAS!$B$2:$C$13,2,0),""))</f>
        <v/>
      </c>
    </row>
    <row r="4294" spans="20:20" x14ac:dyDescent="0.3">
      <c r="T4294" s="47" t="str">
        <f ca="1">IF(R4294="","",IFERROR(TODAY()+VLOOKUP(R4294,REGRAS!$B$2:$C$13,2,0),""))</f>
        <v/>
      </c>
    </row>
    <row r="4295" spans="20:20" x14ac:dyDescent="0.3">
      <c r="T4295" s="47" t="str">
        <f ca="1">IF(R4295="","",IFERROR(TODAY()+VLOOKUP(R4295,REGRAS!$B$2:$C$13,2,0),""))</f>
        <v/>
      </c>
    </row>
    <row r="4296" spans="20:20" x14ac:dyDescent="0.3">
      <c r="T4296" s="47" t="str">
        <f ca="1">IF(R4296="","",IFERROR(TODAY()+VLOOKUP(R4296,REGRAS!$B$2:$C$13,2,0),""))</f>
        <v/>
      </c>
    </row>
    <row r="4297" spans="20:20" x14ac:dyDescent="0.3">
      <c r="T4297" s="47" t="str">
        <f ca="1">IF(R4297="","",IFERROR(TODAY()+VLOOKUP(R4297,REGRAS!$B$2:$C$13,2,0),""))</f>
        <v/>
      </c>
    </row>
    <row r="4298" spans="20:20" x14ac:dyDescent="0.3">
      <c r="T4298" s="47" t="str">
        <f ca="1">IF(R4298="","",IFERROR(TODAY()+VLOOKUP(R4298,REGRAS!$B$2:$C$13,2,0),""))</f>
        <v/>
      </c>
    </row>
    <row r="4299" spans="20:20" x14ac:dyDescent="0.3">
      <c r="T4299" s="47" t="str">
        <f ca="1">IF(R4299="","",IFERROR(TODAY()+VLOOKUP(R4299,REGRAS!$B$2:$C$13,2,0),""))</f>
        <v/>
      </c>
    </row>
    <row r="4300" spans="20:20" x14ac:dyDescent="0.3">
      <c r="T4300" s="47" t="str">
        <f ca="1">IF(R4300="","",IFERROR(TODAY()+VLOOKUP(R4300,REGRAS!$B$2:$C$13,2,0),""))</f>
        <v/>
      </c>
    </row>
    <row r="4301" spans="20:20" x14ac:dyDescent="0.3">
      <c r="T4301" s="47" t="str">
        <f ca="1">IF(R4301="","",IFERROR(TODAY()+VLOOKUP(R4301,REGRAS!$B$2:$C$13,2,0),""))</f>
        <v/>
      </c>
    </row>
    <row r="4302" spans="20:20" x14ac:dyDescent="0.3">
      <c r="T4302" s="47" t="str">
        <f ca="1">IF(R4302="","",IFERROR(TODAY()+VLOOKUP(R4302,REGRAS!$B$2:$C$13,2,0),""))</f>
        <v/>
      </c>
    </row>
    <row r="4303" spans="20:20" x14ac:dyDescent="0.3">
      <c r="T4303" s="47" t="str">
        <f ca="1">IF(R4303="","",IFERROR(TODAY()+VLOOKUP(R4303,REGRAS!$B$2:$C$13,2,0),""))</f>
        <v/>
      </c>
    </row>
    <row r="4304" spans="20:20" x14ac:dyDescent="0.3">
      <c r="T4304" s="47" t="str">
        <f ca="1">IF(R4304="","",IFERROR(TODAY()+VLOOKUP(R4304,REGRAS!$B$2:$C$13,2,0),""))</f>
        <v/>
      </c>
    </row>
    <row r="4305" spans="20:20" x14ac:dyDescent="0.3">
      <c r="T4305" s="47" t="str">
        <f ca="1">IF(R4305="","",IFERROR(TODAY()+VLOOKUP(R4305,REGRAS!$B$2:$C$13,2,0),""))</f>
        <v/>
      </c>
    </row>
    <row r="4306" spans="20:20" x14ac:dyDescent="0.3">
      <c r="T4306" s="47" t="str">
        <f ca="1">IF(R4306="","",IFERROR(TODAY()+VLOOKUP(R4306,REGRAS!$B$2:$C$13,2,0),""))</f>
        <v/>
      </c>
    </row>
    <row r="4307" spans="20:20" x14ac:dyDescent="0.3">
      <c r="T4307" s="47" t="str">
        <f ca="1">IF(R4307="","",IFERROR(TODAY()+VLOOKUP(R4307,REGRAS!$B$2:$C$13,2,0),""))</f>
        <v/>
      </c>
    </row>
    <row r="4308" spans="20:20" x14ac:dyDescent="0.3">
      <c r="T4308" s="47" t="str">
        <f ca="1">IF(R4308="","",IFERROR(TODAY()+VLOOKUP(R4308,REGRAS!$B$2:$C$13,2,0),""))</f>
        <v/>
      </c>
    </row>
    <row r="4309" spans="20:20" x14ac:dyDescent="0.3">
      <c r="T4309" s="47" t="str">
        <f ca="1">IF(R4309="","",IFERROR(TODAY()+VLOOKUP(R4309,REGRAS!$B$2:$C$13,2,0),""))</f>
        <v/>
      </c>
    </row>
    <row r="4310" spans="20:20" x14ac:dyDescent="0.3">
      <c r="T4310" s="47" t="str">
        <f ca="1">IF(R4310="","",IFERROR(TODAY()+VLOOKUP(R4310,REGRAS!$B$2:$C$13,2,0),""))</f>
        <v/>
      </c>
    </row>
    <row r="4311" spans="20:20" x14ac:dyDescent="0.3">
      <c r="T4311" s="47" t="str">
        <f ca="1">IF(R4311="","",IFERROR(TODAY()+VLOOKUP(R4311,REGRAS!$B$2:$C$13,2,0),""))</f>
        <v/>
      </c>
    </row>
    <row r="4312" spans="20:20" x14ac:dyDescent="0.3">
      <c r="T4312" s="47" t="str">
        <f ca="1">IF(R4312="","",IFERROR(TODAY()+VLOOKUP(R4312,REGRAS!$B$2:$C$13,2,0),""))</f>
        <v/>
      </c>
    </row>
    <row r="4313" spans="20:20" x14ac:dyDescent="0.3">
      <c r="T4313" s="47" t="str">
        <f ca="1">IF(R4313="","",IFERROR(TODAY()+VLOOKUP(R4313,REGRAS!$B$2:$C$13,2,0),""))</f>
        <v/>
      </c>
    </row>
    <row r="4314" spans="20:20" x14ac:dyDescent="0.3">
      <c r="T4314" s="47" t="str">
        <f ca="1">IF(R4314="","",IFERROR(TODAY()+VLOOKUP(R4314,REGRAS!$B$2:$C$13,2,0),""))</f>
        <v/>
      </c>
    </row>
    <row r="4315" spans="20:20" x14ac:dyDescent="0.3">
      <c r="T4315" s="47" t="str">
        <f ca="1">IF(R4315="","",IFERROR(TODAY()+VLOOKUP(R4315,REGRAS!$B$2:$C$13,2,0),""))</f>
        <v/>
      </c>
    </row>
    <row r="4316" spans="20:20" x14ac:dyDescent="0.3">
      <c r="T4316" s="47" t="str">
        <f ca="1">IF(R4316="","",IFERROR(TODAY()+VLOOKUP(R4316,REGRAS!$B$2:$C$13,2,0),""))</f>
        <v/>
      </c>
    </row>
    <row r="4317" spans="20:20" x14ac:dyDescent="0.3">
      <c r="T4317" s="47" t="str">
        <f ca="1">IF(R4317="","",IFERROR(TODAY()+VLOOKUP(R4317,REGRAS!$B$2:$C$13,2,0),""))</f>
        <v/>
      </c>
    </row>
    <row r="4318" spans="20:20" x14ac:dyDescent="0.3">
      <c r="T4318" s="47" t="str">
        <f ca="1">IF(R4318="","",IFERROR(TODAY()+VLOOKUP(R4318,REGRAS!$B$2:$C$13,2,0),""))</f>
        <v/>
      </c>
    </row>
    <row r="4319" spans="20:20" x14ac:dyDescent="0.3">
      <c r="T4319" s="47" t="str">
        <f ca="1">IF(R4319="","",IFERROR(TODAY()+VLOOKUP(R4319,REGRAS!$B$2:$C$13,2,0),""))</f>
        <v/>
      </c>
    </row>
    <row r="4320" spans="20:20" x14ac:dyDescent="0.3">
      <c r="T4320" s="47" t="str">
        <f ca="1">IF(R4320="","",IFERROR(TODAY()+VLOOKUP(R4320,REGRAS!$B$2:$C$13,2,0),""))</f>
        <v/>
      </c>
    </row>
    <row r="4321" spans="20:20" x14ac:dyDescent="0.3">
      <c r="T4321" s="47" t="str">
        <f ca="1">IF(R4321="","",IFERROR(TODAY()+VLOOKUP(R4321,REGRAS!$B$2:$C$13,2,0),""))</f>
        <v/>
      </c>
    </row>
    <row r="4322" spans="20:20" x14ac:dyDescent="0.3">
      <c r="T4322" s="47" t="str">
        <f ca="1">IF(R4322="","",IFERROR(TODAY()+VLOOKUP(R4322,REGRAS!$B$2:$C$13,2,0),""))</f>
        <v/>
      </c>
    </row>
    <row r="4323" spans="20:20" x14ac:dyDescent="0.3">
      <c r="T4323" s="47" t="str">
        <f ca="1">IF(R4323="","",IFERROR(TODAY()+VLOOKUP(R4323,REGRAS!$B$2:$C$13,2,0),""))</f>
        <v/>
      </c>
    </row>
    <row r="4324" spans="20:20" x14ac:dyDescent="0.3">
      <c r="T4324" s="47" t="str">
        <f ca="1">IF(R4324="","",IFERROR(TODAY()+VLOOKUP(R4324,REGRAS!$B$2:$C$13,2,0),""))</f>
        <v/>
      </c>
    </row>
    <row r="4325" spans="20:20" x14ac:dyDescent="0.3">
      <c r="T4325" s="47" t="str">
        <f ca="1">IF(R4325="","",IFERROR(TODAY()+VLOOKUP(R4325,REGRAS!$B$2:$C$13,2,0),""))</f>
        <v/>
      </c>
    </row>
    <row r="4326" spans="20:20" x14ac:dyDescent="0.3">
      <c r="T4326" s="47" t="str">
        <f ca="1">IF(R4326="","",IFERROR(TODAY()+VLOOKUP(R4326,REGRAS!$B$2:$C$13,2,0),""))</f>
        <v/>
      </c>
    </row>
    <row r="4327" spans="20:20" x14ac:dyDescent="0.3">
      <c r="T4327" s="47" t="str">
        <f ca="1">IF(R4327="","",IFERROR(TODAY()+VLOOKUP(R4327,REGRAS!$B$2:$C$13,2,0),""))</f>
        <v/>
      </c>
    </row>
    <row r="4328" spans="20:20" x14ac:dyDescent="0.3">
      <c r="T4328" s="47" t="str">
        <f ca="1">IF(R4328="","",IFERROR(TODAY()+VLOOKUP(R4328,REGRAS!$B$2:$C$13,2,0),""))</f>
        <v/>
      </c>
    </row>
    <row r="4329" spans="20:20" x14ac:dyDescent="0.3">
      <c r="T4329" s="47" t="str">
        <f ca="1">IF(R4329="","",IFERROR(TODAY()+VLOOKUP(R4329,REGRAS!$B$2:$C$13,2,0),""))</f>
        <v/>
      </c>
    </row>
    <row r="4330" spans="20:20" x14ac:dyDescent="0.3">
      <c r="T4330" s="47" t="str">
        <f ca="1">IF(R4330="","",IFERROR(TODAY()+VLOOKUP(R4330,REGRAS!$B$2:$C$13,2,0),""))</f>
        <v/>
      </c>
    </row>
    <row r="4331" spans="20:20" x14ac:dyDescent="0.3">
      <c r="T4331" s="47" t="str">
        <f ca="1">IF(R4331="","",IFERROR(TODAY()+VLOOKUP(R4331,REGRAS!$B$2:$C$13,2,0),""))</f>
        <v/>
      </c>
    </row>
    <row r="4332" spans="20:20" x14ac:dyDescent="0.3">
      <c r="T4332" s="47" t="str">
        <f ca="1">IF(R4332="","",IFERROR(TODAY()+VLOOKUP(R4332,REGRAS!$B$2:$C$13,2,0),""))</f>
        <v/>
      </c>
    </row>
    <row r="4333" spans="20:20" x14ac:dyDescent="0.3">
      <c r="T4333" s="47" t="str">
        <f ca="1">IF(R4333="","",IFERROR(TODAY()+VLOOKUP(R4333,REGRAS!$B$2:$C$13,2,0),""))</f>
        <v/>
      </c>
    </row>
    <row r="4334" spans="20:20" x14ac:dyDescent="0.3">
      <c r="T4334" s="47" t="str">
        <f ca="1">IF(R4334="","",IFERROR(TODAY()+VLOOKUP(R4334,REGRAS!$B$2:$C$13,2,0),""))</f>
        <v/>
      </c>
    </row>
    <row r="4335" spans="20:20" x14ac:dyDescent="0.3">
      <c r="T4335" s="47" t="str">
        <f ca="1">IF(R4335="","",IFERROR(TODAY()+VLOOKUP(R4335,REGRAS!$B$2:$C$13,2,0),""))</f>
        <v/>
      </c>
    </row>
    <row r="4336" spans="20:20" x14ac:dyDescent="0.3">
      <c r="T4336" s="47" t="str">
        <f ca="1">IF(R4336="","",IFERROR(TODAY()+VLOOKUP(R4336,REGRAS!$B$2:$C$13,2,0),""))</f>
        <v/>
      </c>
    </row>
    <row r="4337" spans="20:20" x14ac:dyDescent="0.3">
      <c r="T4337" s="47" t="str">
        <f ca="1">IF(R4337="","",IFERROR(TODAY()+VLOOKUP(R4337,REGRAS!$B$2:$C$13,2,0),""))</f>
        <v/>
      </c>
    </row>
    <row r="4338" spans="20:20" x14ac:dyDescent="0.3">
      <c r="T4338" s="47" t="str">
        <f ca="1">IF(R4338="","",IFERROR(TODAY()+VLOOKUP(R4338,REGRAS!$B$2:$C$13,2,0),""))</f>
        <v/>
      </c>
    </row>
    <row r="4339" spans="20:20" x14ac:dyDescent="0.3">
      <c r="T4339" s="47" t="str">
        <f ca="1">IF(R4339="","",IFERROR(TODAY()+VLOOKUP(R4339,REGRAS!$B$2:$C$13,2,0),""))</f>
        <v/>
      </c>
    </row>
    <row r="4340" spans="20:20" x14ac:dyDescent="0.3">
      <c r="T4340" s="47" t="str">
        <f ca="1">IF(R4340="","",IFERROR(TODAY()+VLOOKUP(R4340,REGRAS!$B$2:$C$13,2,0),""))</f>
        <v/>
      </c>
    </row>
    <row r="4341" spans="20:20" x14ac:dyDescent="0.3">
      <c r="T4341" s="47" t="str">
        <f ca="1">IF(R4341="","",IFERROR(TODAY()+VLOOKUP(R4341,REGRAS!$B$2:$C$13,2,0),""))</f>
        <v/>
      </c>
    </row>
    <row r="4342" spans="20:20" x14ac:dyDescent="0.3">
      <c r="T4342" s="47" t="str">
        <f ca="1">IF(R4342="","",IFERROR(TODAY()+VLOOKUP(R4342,REGRAS!$B$2:$C$13,2,0),""))</f>
        <v/>
      </c>
    </row>
    <row r="4343" spans="20:20" x14ac:dyDescent="0.3">
      <c r="T4343" s="47" t="str">
        <f ca="1">IF(R4343="","",IFERROR(TODAY()+VLOOKUP(R4343,REGRAS!$B$2:$C$13,2,0),""))</f>
        <v/>
      </c>
    </row>
    <row r="4344" spans="20:20" x14ac:dyDescent="0.3">
      <c r="T4344" s="47" t="str">
        <f ca="1">IF(R4344="","",IFERROR(TODAY()+VLOOKUP(R4344,REGRAS!$B$2:$C$13,2,0),""))</f>
        <v/>
      </c>
    </row>
    <row r="4345" spans="20:20" x14ac:dyDescent="0.3">
      <c r="T4345" s="47" t="str">
        <f ca="1">IF(R4345="","",IFERROR(TODAY()+VLOOKUP(R4345,REGRAS!$B$2:$C$13,2,0),""))</f>
        <v/>
      </c>
    </row>
    <row r="4346" spans="20:20" x14ac:dyDescent="0.3">
      <c r="T4346" s="47" t="str">
        <f ca="1">IF(R4346="","",IFERROR(TODAY()+VLOOKUP(R4346,REGRAS!$B$2:$C$13,2,0),""))</f>
        <v/>
      </c>
    </row>
    <row r="4347" spans="20:20" x14ac:dyDescent="0.3">
      <c r="T4347" s="47" t="str">
        <f ca="1">IF(R4347="","",IFERROR(TODAY()+VLOOKUP(R4347,REGRAS!$B$2:$C$13,2,0),""))</f>
        <v/>
      </c>
    </row>
    <row r="4348" spans="20:20" x14ac:dyDescent="0.3">
      <c r="T4348" s="47" t="str">
        <f ca="1">IF(R4348="","",IFERROR(TODAY()+VLOOKUP(R4348,REGRAS!$B$2:$C$13,2,0),""))</f>
        <v/>
      </c>
    </row>
    <row r="4349" spans="20:20" x14ac:dyDescent="0.3">
      <c r="T4349" s="47" t="str">
        <f ca="1">IF(R4349="","",IFERROR(TODAY()+VLOOKUP(R4349,REGRAS!$B$2:$C$13,2,0),""))</f>
        <v/>
      </c>
    </row>
    <row r="4350" spans="20:20" x14ac:dyDescent="0.3">
      <c r="T4350" s="47" t="str">
        <f ca="1">IF(R4350="","",IFERROR(TODAY()+VLOOKUP(R4350,REGRAS!$B$2:$C$13,2,0),""))</f>
        <v/>
      </c>
    </row>
    <row r="4351" spans="20:20" x14ac:dyDescent="0.3">
      <c r="T4351" s="47" t="str">
        <f ca="1">IF(R4351="","",IFERROR(TODAY()+VLOOKUP(R4351,REGRAS!$B$2:$C$13,2,0),""))</f>
        <v/>
      </c>
    </row>
    <row r="4352" spans="20:20" x14ac:dyDescent="0.3">
      <c r="T4352" s="47" t="str">
        <f ca="1">IF(R4352="","",IFERROR(TODAY()+VLOOKUP(R4352,REGRAS!$B$2:$C$13,2,0),""))</f>
        <v/>
      </c>
    </row>
    <row r="4353" spans="20:20" x14ac:dyDescent="0.3">
      <c r="T4353" s="47" t="str">
        <f ca="1">IF(R4353="","",IFERROR(TODAY()+VLOOKUP(R4353,REGRAS!$B$2:$C$13,2,0),""))</f>
        <v/>
      </c>
    </row>
    <row r="4354" spans="20:20" x14ac:dyDescent="0.3">
      <c r="T4354" s="47" t="str">
        <f ca="1">IF(R4354="","",IFERROR(TODAY()+VLOOKUP(R4354,REGRAS!$B$2:$C$13,2,0),""))</f>
        <v/>
      </c>
    </row>
    <row r="4355" spans="20:20" x14ac:dyDescent="0.3">
      <c r="T4355" s="47" t="str">
        <f ca="1">IF(R4355="","",IFERROR(TODAY()+VLOOKUP(R4355,REGRAS!$B$2:$C$13,2,0),""))</f>
        <v/>
      </c>
    </row>
    <row r="4356" spans="20:20" x14ac:dyDescent="0.3">
      <c r="T4356" s="47" t="str">
        <f ca="1">IF(R4356="","",IFERROR(TODAY()+VLOOKUP(R4356,REGRAS!$B$2:$C$13,2,0),""))</f>
        <v/>
      </c>
    </row>
    <row r="4357" spans="20:20" x14ac:dyDescent="0.3">
      <c r="T4357" s="47" t="str">
        <f ca="1">IF(R4357="","",IFERROR(TODAY()+VLOOKUP(R4357,REGRAS!$B$2:$C$13,2,0),""))</f>
        <v/>
      </c>
    </row>
    <row r="4358" spans="20:20" x14ac:dyDescent="0.3">
      <c r="T4358" s="47" t="str">
        <f ca="1">IF(R4358="","",IFERROR(TODAY()+VLOOKUP(R4358,REGRAS!$B$2:$C$13,2,0),""))</f>
        <v/>
      </c>
    </row>
    <row r="4359" spans="20:20" x14ac:dyDescent="0.3">
      <c r="T4359" s="47" t="str">
        <f ca="1">IF(R4359="","",IFERROR(TODAY()+VLOOKUP(R4359,REGRAS!$B$2:$C$13,2,0),""))</f>
        <v/>
      </c>
    </row>
    <row r="4360" spans="20:20" x14ac:dyDescent="0.3">
      <c r="T4360" s="47" t="str">
        <f ca="1">IF(R4360="","",IFERROR(TODAY()+VLOOKUP(R4360,REGRAS!$B$2:$C$13,2,0),""))</f>
        <v/>
      </c>
    </row>
    <row r="4361" spans="20:20" x14ac:dyDescent="0.3">
      <c r="T4361" s="47" t="str">
        <f ca="1">IF(R4361="","",IFERROR(TODAY()+VLOOKUP(R4361,REGRAS!$B$2:$C$13,2,0),""))</f>
        <v/>
      </c>
    </row>
    <row r="4362" spans="20:20" x14ac:dyDescent="0.3">
      <c r="T4362" s="47" t="str">
        <f ca="1">IF(R4362="","",IFERROR(TODAY()+VLOOKUP(R4362,REGRAS!$B$2:$C$13,2,0),""))</f>
        <v/>
      </c>
    </row>
    <row r="4363" spans="20:20" x14ac:dyDescent="0.3">
      <c r="T4363" s="47" t="str">
        <f ca="1">IF(R4363="","",IFERROR(TODAY()+VLOOKUP(R4363,REGRAS!$B$2:$C$13,2,0),""))</f>
        <v/>
      </c>
    </row>
    <row r="4364" spans="20:20" x14ac:dyDescent="0.3">
      <c r="T4364" s="47" t="str">
        <f ca="1">IF(R4364="","",IFERROR(TODAY()+VLOOKUP(R4364,REGRAS!$B$2:$C$13,2,0),""))</f>
        <v/>
      </c>
    </row>
    <row r="4365" spans="20:20" x14ac:dyDescent="0.3">
      <c r="T4365" s="47" t="str">
        <f ca="1">IF(R4365="","",IFERROR(TODAY()+VLOOKUP(R4365,REGRAS!$B$2:$C$13,2,0),""))</f>
        <v/>
      </c>
    </row>
    <row r="4366" spans="20:20" x14ac:dyDescent="0.3">
      <c r="T4366" s="47" t="str">
        <f ca="1">IF(R4366="","",IFERROR(TODAY()+VLOOKUP(R4366,REGRAS!$B$2:$C$13,2,0),""))</f>
        <v/>
      </c>
    </row>
    <row r="4367" spans="20:20" x14ac:dyDescent="0.3">
      <c r="T4367" s="47" t="str">
        <f ca="1">IF(R4367="","",IFERROR(TODAY()+VLOOKUP(R4367,REGRAS!$B$2:$C$13,2,0),""))</f>
        <v/>
      </c>
    </row>
    <row r="4368" spans="20:20" x14ac:dyDescent="0.3">
      <c r="T4368" s="47" t="str">
        <f ca="1">IF(R4368="","",IFERROR(TODAY()+VLOOKUP(R4368,REGRAS!$B$2:$C$13,2,0),""))</f>
        <v/>
      </c>
    </row>
    <row r="4369" spans="20:20" x14ac:dyDescent="0.3">
      <c r="T4369" s="47" t="str">
        <f ca="1">IF(R4369="","",IFERROR(TODAY()+VLOOKUP(R4369,REGRAS!$B$2:$C$13,2,0),""))</f>
        <v/>
      </c>
    </row>
    <row r="4370" spans="20:20" x14ac:dyDescent="0.3">
      <c r="T4370" s="47" t="str">
        <f ca="1">IF(R4370="","",IFERROR(TODAY()+VLOOKUP(R4370,REGRAS!$B$2:$C$13,2,0),""))</f>
        <v/>
      </c>
    </row>
    <row r="4371" spans="20:20" x14ac:dyDescent="0.3">
      <c r="T4371" s="47" t="str">
        <f ca="1">IF(R4371="","",IFERROR(TODAY()+VLOOKUP(R4371,REGRAS!$B$2:$C$13,2,0),""))</f>
        <v/>
      </c>
    </row>
    <row r="4372" spans="20:20" x14ac:dyDescent="0.3">
      <c r="T4372" s="47" t="str">
        <f ca="1">IF(R4372="","",IFERROR(TODAY()+VLOOKUP(R4372,REGRAS!$B$2:$C$13,2,0),""))</f>
        <v/>
      </c>
    </row>
    <row r="4373" spans="20:20" x14ac:dyDescent="0.3">
      <c r="T4373" s="47" t="str">
        <f ca="1">IF(R4373="","",IFERROR(TODAY()+VLOOKUP(R4373,REGRAS!$B$2:$C$13,2,0),""))</f>
        <v/>
      </c>
    </row>
    <row r="4374" spans="20:20" x14ac:dyDescent="0.3">
      <c r="T4374" s="47" t="str">
        <f ca="1">IF(R4374="","",IFERROR(TODAY()+VLOOKUP(R4374,REGRAS!$B$2:$C$13,2,0),""))</f>
        <v/>
      </c>
    </row>
    <row r="4375" spans="20:20" x14ac:dyDescent="0.3">
      <c r="T4375" s="47" t="str">
        <f ca="1">IF(R4375="","",IFERROR(TODAY()+VLOOKUP(R4375,REGRAS!$B$2:$C$13,2,0),""))</f>
        <v/>
      </c>
    </row>
    <row r="4376" spans="20:20" x14ac:dyDescent="0.3">
      <c r="T4376" s="47" t="str">
        <f ca="1">IF(R4376="","",IFERROR(TODAY()+VLOOKUP(R4376,REGRAS!$B$2:$C$13,2,0),""))</f>
        <v/>
      </c>
    </row>
    <row r="4377" spans="20:20" x14ac:dyDescent="0.3">
      <c r="T4377" s="47" t="str">
        <f ca="1">IF(R4377="","",IFERROR(TODAY()+VLOOKUP(R4377,REGRAS!$B$2:$C$13,2,0),""))</f>
        <v/>
      </c>
    </row>
    <row r="4378" spans="20:20" x14ac:dyDescent="0.3">
      <c r="T4378" s="47" t="str">
        <f ca="1">IF(R4378="","",IFERROR(TODAY()+VLOOKUP(R4378,REGRAS!$B$2:$C$13,2,0),""))</f>
        <v/>
      </c>
    </row>
    <row r="4379" spans="20:20" x14ac:dyDescent="0.3">
      <c r="T4379" s="47" t="str">
        <f ca="1">IF(R4379="","",IFERROR(TODAY()+VLOOKUP(R4379,REGRAS!$B$2:$C$13,2,0),""))</f>
        <v/>
      </c>
    </row>
    <row r="4380" spans="20:20" x14ac:dyDescent="0.3">
      <c r="T4380" s="47" t="str">
        <f ca="1">IF(R4380="","",IFERROR(TODAY()+VLOOKUP(R4380,REGRAS!$B$2:$C$13,2,0),""))</f>
        <v/>
      </c>
    </row>
    <row r="4381" spans="20:20" x14ac:dyDescent="0.3">
      <c r="T4381" s="47" t="str">
        <f ca="1">IF(R4381="","",IFERROR(TODAY()+VLOOKUP(R4381,REGRAS!$B$2:$C$13,2,0),""))</f>
        <v/>
      </c>
    </row>
    <row r="4382" spans="20:20" x14ac:dyDescent="0.3">
      <c r="T4382" s="47" t="str">
        <f ca="1">IF(R4382="","",IFERROR(TODAY()+VLOOKUP(R4382,REGRAS!$B$2:$C$13,2,0),""))</f>
        <v/>
      </c>
    </row>
    <row r="4383" spans="20:20" x14ac:dyDescent="0.3">
      <c r="T4383" s="47" t="str">
        <f ca="1">IF(R4383="","",IFERROR(TODAY()+VLOOKUP(R4383,REGRAS!$B$2:$C$13,2,0),""))</f>
        <v/>
      </c>
    </row>
    <row r="4384" spans="20:20" x14ac:dyDescent="0.3">
      <c r="T4384" s="47" t="str">
        <f ca="1">IF(R4384="","",IFERROR(TODAY()+VLOOKUP(R4384,REGRAS!$B$2:$C$13,2,0),""))</f>
        <v/>
      </c>
    </row>
    <row r="4385" spans="20:20" x14ac:dyDescent="0.3">
      <c r="T4385" s="47" t="str">
        <f ca="1">IF(R4385="","",IFERROR(TODAY()+VLOOKUP(R4385,REGRAS!$B$2:$C$13,2,0),""))</f>
        <v/>
      </c>
    </row>
    <row r="4386" spans="20:20" x14ac:dyDescent="0.3">
      <c r="T4386" s="47" t="str">
        <f ca="1">IF(R4386="","",IFERROR(TODAY()+VLOOKUP(R4386,REGRAS!$B$2:$C$13,2,0),""))</f>
        <v/>
      </c>
    </row>
    <row r="4387" spans="20:20" x14ac:dyDescent="0.3">
      <c r="T4387" s="47" t="str">
        <f ca="1">IF(R4387="","",IFERROR(TODAY()+VLOOKUP(R4387,REGRAS!$B$2:$C$13,2,0),""))</f>
        <v/>
      </c>
    </row>
    <row r="4388" spans="20:20" x14ac:dyDescent="0.3">
      <c r="T4388" s="47" t="str">
        <f ca="1">IF(R4388="","",IFERROR(TODAY()+VLOOKUP(R4388,REGRAS!$B$2:$C$13,2,0),""))</f>
        <v/>
      </c>
    </row>
    <row r="4389" spans="20:20" x14ac:dyDescent="0.3">
      <c r="T4389" s="47" t="str">
        <f ca="1">IF(R4389="","",IFERROR(TODAY()+VLOOKUP(R4389,REGRAS!$B$2:$C$13,2,0),""))</f>
        <v/>
      </c>
    </row>
    <row r="4390" spans="20:20" x14ac:dyDescent="0.3">
      <c r="T4390" s="47" t="str">
        <f ca="1">IF(R4390="","",IFERROR(TODAY()+VLOOKUP(R4390,REGRAS!$B$2:$C$13,2,0),""))</f>
        <v/>
      </c>
    </row>
    <row r="4391" spans="20:20" x14ac:dyDescent="0.3">
      <c r="T4391" s="47" t="str">
        <f ca="1">IF(R4391="","",IFERROR(TODAY()+VLOOKUP(R4391,REGRAS!$B$2:$C$13,2,0),""))</f>
        <v/>
      </c>
    </row>
    <row r="4392" spans="20:20" x14ac:dyDescent="0.3">
      <c r="T4392" s="47" t="str">
        <f ca="1">IF(R4392="","",IFERROR(TODAY()+VLOOKUP(R4392,REGRAS!$B$2:$C$13,2,0),""))</f>
        <v/>
      </c>
    </row>
    <row r="4393" spans="20:20" x14ac:dyDescent="0.3">
      <c r="T4393" s="47" t="str">
        <f ca="1">IF(R4393="","",IFERROR(TODAY()+VLOOKUP(R4393,REGRAS!$B$2:$C$13,2,0),""))</f>
        <v/>
      </c>
    </row>
    <row r="4394" spans="20:20" x14ac:dyDescent="0.3">
      <c r="T4394" s="47" t="str">
        <f ca="1">IF(R4394="","",IFERROR(TODAY()+VLOOKUP(R4394,REGRAS!$B$2:$C$13,2,0),""))</f>
        <v/>
      </c>
    </row>
    <row r="4395" spans="20:20" x14ac:dyDescent="0.3">
      <c r="T4395" s="47" t="str">
        <f ca="1">IF(R4395="","",IFERROR(TODAY()+VLOOKUP(R4395,REGRAS!$B$2:$C$13,2,0),""))</f>
        <v/>
      </c>
    </row>
    <row r="4396" spans="20:20" x14ac:dyDescent="0.3">
      <c r="T4396" s="47" t="str">
        <f ca="1">IF(R4396="","",IFERROR(TODAY()+VLOOKUP(R4396,REGRAS!$B$2:$C$13,2,0),""))</f>
        <v/>
      </c>
    </row>
    <row r="4397" spans="20:20" x14ac:dyDescent="0.3">
      <c r="T4397" s="47" t="str">
        <f ca="1">IF(R4397="","",IFERROR(TODAY()+VLOOKUP(R4397,REGRAS!$B$2:$C$13,2,0),""))</f>
        <v/>
      </c>
    </row>
    <row r="4398" spans="20:20" x14ac:dyDescent="0.3">
      <c r="T4398" s="47" t="str">
        <f ca="1">IF(R4398="","",IFERROR(TODAY()+VLOOKUP(R4398,REGRAS!$B$2:$C$13,2,0),""))</f>
        <v/>
      </c>
    </row>
    <row r="4399" spans="20:20" x14ac:dyDescent="0.3">
      <c r="T4399" s="47" t="str">
        <f ca="1">IF(R4399="","",IFERROR(TODAY()+VLOOKUP(R4399,REGRAS!$B$2:$C$13,2,0),""))</f>
        <v/>
      </c>
    </row>
    <row r="4400" spans="20:20" x14ac:dyDescent="0.3">
      <c r="T4400" s="47" t="str">
        <f ca="1">IF(R4400="","",IFERROR(TODAY()+VLOOKUP(R4400,REGRAS!$B$2:$C$13,2,0),""))</f>
        <v/>
      </c>
    </row>
    <row r="4401" spans="20:20" x14ac:dyDescent="0.3">
      <c r="T4401" s="47" t="str">
        <f ca="1">IF(R4401="","",IFERROR(TODAY()+VLOOKUP(R4401,REGRAS!$B$2:$C$13,2,0),""))</f>
        <v/>
      </c>
    </row>
    <row r="4402" spans="20:20" x14ac:dyDescent="0.3">
      <c r="T4402" s="47" t="str">
        <f ca="1">IF(R4402="","",IFERROR(TODAY()+VLOOKUP(R4402,REGRAS!$B$2:$C$13,2,0),""))</f>
        <v/>
      </c>
    </row>
    <row r="4403" spans="20:20" x14ac:dyDescent="0.3">
      <c r="T4403" s="47" t="str">
        <f ca="1">IF(R4403="","",IFERROR(TODAY()+VLOOKUP(R4403,REGRAS!$B$2:$C$13,2,0),""))</f>
        <v/>
      </c>
    </row>
    <row r="4404" spans="20:20" x14ac:dyDescent="0.3">
      <c r="T4404" s="47" t="str">
        <f ca="1">IF(R4404="","",IFERROR(TODAY()+VLOOKUP(R4404,REGRAS!$B$2:$C$13,2,0),""))</f>
        <v/>
      </c>
    </row>
    <row r="4405" spans="20:20" x14ac:dyDescent="0.3">
      <c r="T4405" s="47" t="str">
        <f ca="1">IF(R4405="","",IFERROR(TODAY()+VLOOKUP(R4405,REGRAS!$B$2:$C$13,2,0),""))</f>
        <v/>
      </c>
    </row>
    <row r="4406" spans="20:20" x14ac:dyDescent="0.3">
      <c r="T4406" s="47" t="str">
        <f ca="1">IF(R4406="","",IFERROR(TODAY()+VLOOKUP(R4406,REGRAS!$B$2:$C$13,2,0),""))</f>
        <v/>
      </c>
    </row>
    <row r="4407" spans="20:20" x14ac:dyDescent="0.3">
      <c r="T4407" s="47" t="str">
        <f ca="1">IF(R4407="","",IFERROR(TODAY()+VLOOKUP(R4407,REGRAS!$B$2:$C$13,2,0),""))</f>
        <v/>
      </c>
    </row>
    <row r="4408" spans="20:20" x14ac:dyDescent="0.3">
      <c r="T4408" s="47" t="str">
        <f ca="1">IF(R4408="","",IFERROR(TODAY()+VLOOKUP(R4408,REGRAS!$B$2:$C$13,2,0),""))</f>
        <v/>
      </c>
    </row>
    <row r="4409" spans="20:20" x14ac:dyDescent="0.3">
      <c r="T4409" s="47" t="str">
        <f ca="1">IF(R4409="","",IFERROR(TODAY()+VLOOKUP(R4409,REGRAS!$B$2:$C$13,2,0),""))</f>
        <v/>
      </c>
    </row>
    <row r="4410" spans="20:20" x14ac:dyDescent="0.3">
      <c r="T4410" s="47" t="str">
        <f ca="1">IF(R4410="","",IFERROR(TODAY()+VLOOKUP(R4410,REGRAS!$B$2:$C$13,2,0),""))</f>
        <v/>
      </c>
    </row>
    <row r="4411" spans="20:20" x14ac:dyDescent="0.3">
      <c r="T4411" s="47" t="str">
        <f ca="1">IF(R4411="","",IFERROR(TODAY()+VLOOKUP(R4411,REGRAS!$B$2:$C$13,2,0),""))</f>
        <v/>
      </c>
    </row>
    <row r="4412" spans="20:20" x14ac:dyDescent="0.3">
      <c r="T4412" s="47" t="str">
        <f ca="1">IF(R4412="","",IFERROR(TODAY()+VLOOKUP(R4412,REGRAS!$B$2:$C$13,2,0),""))</f>
        <v/>
      </c>
    </row>
    <row r="4413" spans="20:20" x14ac:dyDescent="0.3">
      <c r="T4413" s="47" t="str">
        <f ca="1">IF(R4413="","",IFERROR(TODAY()+VLOOKUP(R4413,REGRAS!$B$2:$C$13,2,0),""))</f>
        <v/>
      </c>
    </row>
    <row r="4414" spans="20:20" x14ac:dyDescent="0.3">
      <c r="T4414" s="47" t="str">
        <f ca="1">IF(R4414="","",IFERROR(TODAY()+VLOOKUP(R4414,REGRAS!$B$2:$C$13,2,0),""))</f>
        <v/>
      </c>
    </row>
    <row r="4415" spans="20:20" x14ac:dyDescent="0.3">
      <c r="T4415" s="47" t="str">
        <f ca="1">IF(R4415="","",IFERROR(TODAY()+VLOOKUP(R4415,REGRAS!$B$2:$C$13,2,0),""))</f>
        <v/>
      </c>
    </row>
    <row r="4416" spans="20:20" x14ac:dyDescent="0.3">
      <c r="T4416" s="47" t="str">
        <f ca="1">IF(R4416="","",IFERROR(TODAY()+VLOOKUP(R4416,REGRAS!$B$2:$C$13,2,0),""))</f>
        <v/>
      </c>
    </row>
    <row r="4417" spans="20:20" x14ac:dyDescent="0.3">
      <c r="T4417" s="47" t="str">
        <f ca="1">IF(R4417="","",IFERROR(TODAY()+VLOOKUP(R4417,REGRAS!$B$2:$C$13,2,0),""))</f>
        <v/>
      </c>
    </row>
    <row r="4418" spans="20:20" x14ac:dyDescent="0.3">
      <c r="T4418" s="47" t="str">
        <f ca="1">IF(R4418="","",IFERROR(TODAY()+VLOOKUP(R4418,REGRAS!$B$2:$C$13,2,0),""))</f>
        <v/>
      </c>
    </row>
    <row r="4419" spans="20:20" x14ac:dyDescent="0.3">
      <c r="T4419" s="47" t="str">
        <f ca="1">IF(R4419="","",IFERROR(TODAY()+VLOOKUP(R4419,REGRAS!$B$2:$C$13,2,0),""))</f>
        <v/>
      </c>
    </row>
    <row r="4420" spans="20:20" x14ac:dyDescent="0.3">
      <c r="T4420" s="47" t="str">
        <f ca="1">IF(R4420="","",IFERROR(TODAY()+VLOOKUP(R4420,REGRAS!$B$2:$C$13,2,0),""))</f>
        <v/>
      </c>
    </row>
    <row r="4421" spans="20:20" x14ac:dyDescent="0.3">
      <c r="T4421" s="47" t="str">
        <f ca="1">IF(R4421="","",IFERROR(TODAY()+VLOOKUP(R4421,REGRAS!$B$2:$C$13,2,0),""))</f>
        <v/>
      </c>
    </row>
    <row r="4422" spans="20:20" x14ac:dyDescent="0.3">
      <c r="T4422" s="47" t="str">
        <f ca="1">IF(R4422="","",IFERROR(TODAY()+VLOOKUP(R4422,REGRAS!$B$2:$C$13,2,0),""))</f>
        <v/>
      </c>
    </row>
    <row r="4423" spans="20:20" x14ac:dyDescent="0.3">
      <c r="T4423" s="47" t="str">
        <f ca="1">IF(R4423="","",IFERROR(TODAY()+VLOOKUP(R4423,REGRAS!$B$2:$C$13,2,0),""))</f>
        <v/>
      </c>
    </row>
    <row r="4424" spans="20:20" x14ac:dyDescent="0.3">
      <c r="T4424" s="47" t="str">
        <f ca="1">IF(R4424="","",IFERROR(TODAY()+VLOOKUP(R4424,REGRAS!$B$2:$C$13,2,0),""))</f>
        <v/>
      </c>
    </row>
    <row r="4425" spans="20:20" x14ac:dyDescent="0.3">
      <c r="T4425" s="47" t="str">
        <f ca="1">IF(R4425="","",IFERROR(TODAY()+VLOOKUP(R4425,REGRAS!$B$2:$C$13,2,0),""))</f>
        <v/>
      </c>
    </row>
    <row r="4426" spans="20:20" x14ac:dyDescent="0.3">
      <c r="T4426" s="47" t="str">
        <f ca="1">IF(R4426="","",IFERROR(TODAY()+VLOOKUP(R4426,REGRAS!$B$2:$C$13,2,0),""))</f>
        <v/>
      </c>
    </row>
    <row r="4427" spans="20:20" x14ac:dyDescent="0.3">
      <c r="T4427" s="47" t="str">
        <f ca="1">IF(R4427="","",IFERROR(TODAY()+VLOOKUP(R4427,REGRAS!$B$2:$C$13,2,0),""))</f>
        <v/>
      </c>
    </row>
    <row r="4428" spans="20:20" x14ac:dyDescent="0.3">
      <c r="T4428" s="47" t="str">
        <f ca="1">IF(R4428="","",IFERROR(TODAY()+VLOOKUP(R4428,REGRAS!$B$2:$C$13,2,0),""))</f>
        <v/>
      </c>
    </row>
    <row r="4429" spans="20:20" x14ac:dyDescent="0.3">
      <c r="T4429" s="47" t="str">
        <f ca="1">IF(R4429="","",IFERROR(TODAY()+VLOOKUP(R4429,REGRAS!$B$2:$C$13,2,0),""))</f>
        <v/>
      </c>
    </row>
    <row r="4430" spans="20:20" x14ac:dyDescent="0.3">
      <c r="T4430" s="47" t="str">
        <f ca="1">IF(R4430="","",IFERROR(TODAY()+VLOOKUP(R4430,REGRAS!$B$2:$C$13,2,0),""))</f>
        <v/>
      </c>
    </row>
    <row r="4431" spans="20:20" x14ac:dyDescent="0.3">
      <c r="T4431" s="47" t="str">
        <f ca="1">IF(R4431="","",IFERROR(TODAY()+VLOOKUP(R4431,REGRAS!$B$2:$C$13,2,0),""))</f>
        <v/>
      </c>
    </row>
    <row r="4432" spans="20:20" x14ac:dyDescent="0.3">
      <c r="T4432" s="47" t="str">
        <f ca="1">IF(R4432="","",IFERROR(TODAY()+VLOOKUP(R4432,REGRAS!$B$2:$C$13,2,0),""))</f>
        <v/>
      </c>
    </row>
    <row r="4433" spans="20:20" x14ac:dyDescent="0.3">
      <c r="T4433" s="47" t="str">
        <f ca="1">IF(R4433="","",IFERROR(TODAY()+VLOOKUP(R4433,REGRAS!$B$2:$C$13,2,0),""))</f>
        <v/>
      </c>
    </row>
    <row r="4434" spans="20:20" x14ac:dyDescent="0.3">
      <c r="T4434" s="47" t="str">
        <f ca="1">IF(R4434="","",IFERROR(TODAY()+VLOOKUP(R4434,REGRAS!$B$2:$C$13,2,0),""))</f>
        <v/>
      </c>
    </row>
    <row r="4435" spans="20:20" x14ac:dyDescent="0.3">
      <c r="T4435" s="47" t="str">
        <f ca="1">IF(R4435="","",IFERROR(TODAY()+VLOOKUP(R4435,REGRAS!$B$2:$C$13,2,0),""))</f>
        <v/>
      </c>
    </row>
    <row r="4436" spans="20:20" x14ac:dyDescent="0.3">
      <c r="T4436" s="47" t="str">
        <f ca="1">IF(R4436="","",IFERROR(TODAY()+VLOOKUP(R4436,REGRAS!$B$2:$C$13,2,0),""))</f>
        <v/>
      </c>
    </row>
    <row r="4437" spans="20:20" x14ac:dyDescent="0.3">
      <c r="T4437" s="47" t="str">
        <f ca="1">IF(R4437="","",IFERROR(TODAY()+VLOOKUP(R4437,REGRAS!$B$2:$C$13,2,0),""))</f>
        <v/>
      </c>
    </row>
    <row r="4438" spans="20:20" x14ac:dyDescent="0.3">
      <c r="T4438" s="47" t="str">
        <f ca="1">IF(R4438="","",IFERROR(TODAY()+VLOOKUP(R4438,REGRAS!$B$2:$C$13,2,0),""))</f>
        <v/>
      </c>
    </row>
    <row r="4439" spans="20:20" x14ac:dyDescent="0.3">
      <c r="T4439" s="47" t="str">
        <f ca="1">IF(R4439="","",IFERROR(TODAY()+VLOOKUP(R4439,REGRAS!$B$2:$C$13,2,0),""))</f>
        <v/>
      </c>
    </row>
    <row r="4440" spans="20:20" x14ac:dyDescent="0.3">
      <c r="T4440" s="47" t="str">
        <f ca="1">IF(R4440="","",IFERROR(TODAY()+VLOOKUP(R4440,REGRAS!$B$2:$C$13,2,0),""))</f>
        <v/>
      </c>
    </row>
    <row r="4441" spans="20:20" x14ac:dyDescent="0.3">
      <c r="T4441" s="47" t="str">
        <f ca="1">IF(R4441="","",IFERROR(TODAY()+VLOOKUP(R4441,REGRAS!$B$2:$C$13,2,0),""))</f>
        <v/>
      </c>
    </row>
    <row r="4442" spans="20:20" x14ac:dyDescent="0.3">
      <c r="T4442" s="47" t="str">
        <f ca="1">IF(R4442="","",IFERROR(TODAY()+VLOOKUP(R4442,REGRAS!$B$2:$C$13,2,0),""))</f>
        <v/>
      </c>
    </row>
    <row r="4443" spans="20:20" x14ac:dyDescent="0.3">
      <c r="T4443" s="47" t="str">
        <f ca="1">IF(R4443="","",IFERROR(TODAY()+VLOOKUP(R4443,REGRAS!$B$2:$C$13,2,0),""))</f>
        <v/>
      </c>
    </row>
    <row r="4444" spans="20:20" x14ac:dyDescent="0.3">
      <c r="T4444" s="47" t="str">
        <f ca="1">IF(R4444="","",IFERROR(TODAY()+VLOOKUP(R4444,REGRAS!$B$2:$C$13,2,0),""))</f>
        <v/>
      </c>
    </row>
    <row r="4445" spans="20:20" x14ac:dyDescent="0.3">
      <c r="T4445" s="47" t="str">
        <f ca="1">IF(R4445="","",IFERROR(TODAY()+VLOOKUP(R4445,REGRAS!$B$2:$C$13,2,0),""))</f>
        <v/>
      </c>
    </row>
    <row r="4446" spans="20:20" x14ac:dyDescent="0.3">
      <c r="T4446" s="47" t="str">
        <f ca="1">IF(R4446="","",IFERROR(TODAY()+VLOOKUP(R4446,REGRAS!$B$2:$C$13,2,0),""))</f>
        <v/>
      </c>
    </row>
    <row r="4447" spans="20:20" x14ac:dyDescent="0.3">
      <c r="T4447" s="47" t="str">
        <f ca="1">IF(R4447="","",IFERROR(TODAY()+VLOOKUP(R4447,REGRAS!$B$2:$C$13,2,0),""))</f>
        <v/>
      </c>
    </row>
    <row r="4448" spans="20:20" x14ac:dyDescent="0.3">
      <c r="T4448" s="47" t="str">
        <f ca="1">IF(R4448="","",IFERROR(TODAY()+VLOOKUP(R4448,REGRAS!$B$2:$C$13,2,0),""))</f>
        <v/>
      </c>
    </row>
    <row r="4449" spans="20:20" x14ac:dyDescent="0.3">
      <c r="T4449" s="47" t="str">
        <f ca="1">IF(R4449="","",IFERROR(TODAY()+VLOOKUP(R4449,REGRAS!$B$2:$C$13,2,0),""))</f>
        <v/>
      </c>
    </row>
    <row r="4450" spans="20:20" x14ac:dyDescent="0.3">
      <c r="T4450" s="47" t="str">
        <f ca="1">IF(R4450="","",IFERROR(TODAY()+VLOOKUP(R4450,REGRAS!$B$2:$C$13,2,0),""))</f>
        <v/>
      </c>
    </row>
    <row r="4451" spans="20:20" x14ac:dyDescent="0.3">
      <c r="T4451" s="47" t="str">
        <f ca="1">IF(R4451="","",IFERROR(TODAY()+VLOOKUP(R4451,REGRAS!$B$2:$C$13,2,0),""))</f>
        <v/>
      </c>
    </row>
    <row r="4452" spans="20:20" x14ac:dyDescent="0.3">
      <c r="T4452" s="47" t="str">
        <f ca="1">IF(R4452="","",IFERROR(TODAY()+VLOOKUP(R4452,REGRAS!$B$2:$C$13,2,0),""))</f>
        <v/>
      </c>
    </row>
    <row r="4453" spans="20:20" x14ac:dyDescent="0.3">
      <c r="T4453" s="47" t="str">
        <f ca="1">IF(R4453="","",IFERROR(TODAY()+VLOOKUP(R4453,REGRAS!$B$2:$C$13,2,0),""))</f>
        <v/>
      </c>
    </row>
    <row r="4454" spans="20:20" x14ac:dyDescent="0.3">
      <c r="T4454" s="47" t="str">
        <f ca="1">IF(R4454="","",IFERROR(TODAY()+VLOOKUP(R4454,REGRAS!$B$2:$C$13,2,0),""))</f>
        <v/>
      </c>
    </row>
    <row r="4455" spans="20:20" x14ac:dyDescent="0.3">
      <c r="T4455" s="47" t="str">
        <f ca="1">IF(R4455="","",IFERROR(TODAY()+VLOOKUP(R4455,REGRAS!$B$2:$C$13,2,0),""))</f>
        <v/>
      </c>
    </row>
    <row r="4456" spans="20:20" x14ac:dyDescent="0.3">
      <c r="T4456" s="47" t="str">
        <f ca="1">IF(R4456="","",IFERROR(TODAY()+VLOOKUP(R4456,REGRAS!$B$2:$C$13,2,0),""))</f>
        <v/>
      </c>
    </row>
    <row r="4457" spans="20:20" x14ac:dyDescent="0.3">
      <c r="T4457" s="47" t="str">
        <f ca="1">IF(R4457="","",IFERROR(TODAY()+VLOOKUP(R4457,REGRAS!$B$2:$C$13,2,0),""))</f>
        <v/>
      </c>
    </row>
    <row r="4458" spans="20:20" x14ac:dyDescent="0.3">
      <c r="T4458" s="47" t="str">
        <f ca="1">IF(R4458="","",IFERROR(TODAY()+VLOOKUP(R4458,REGRAS!$B$2:$C$13,2,0),""))</f>
        <v/>
      </c>
    </row>
    <row r="4459" spans="20:20" x14ac:dyDescent="0.3">
      <c r="T4459" s="47" t="str">
        <f ca="1">IF(R4459="","",IFERROR(TODAY()+VLOOKUP(R4459,REGRAS!$B$2:$C$13,2,0),""))</f>
        <v/>
      </c>
    </row>
    <row r="4460" spans="20:20" x14ac:dyDescent="0.3">
      <c r="T4460" s="47" t="str">
        <f ca="1">IF(R4460="","",IFERROR(TODAY()+VLOOKUP(R4460,REGRAS!$B$2:$C$13,2,0),""))</f>
        <v/>
      </c>
    </row>
    <row r="4461" spans="20:20" x14ac:dyDescent="0.3">
      <c r="T4461" s="47" t="str">
        <f ca="1">IF(R4461="","",IFERROR(TODAY()+VLOOKUP(R4461,REGRAS!$B$2:$C$13,2,0),""))</f>
        <v/>
      </c>
    </row>
    <row r="4462" spans="20:20" x14ac:dyDescent="0.3">
      <c r="T4462" s="47" t="str">
        <f ca="1">IF(R4462="","",IFERROR(TODAY()+VLOOKUP(R4462,REGRAS!$B$2:$C$13,2,0),""))</f>
        <v/>
      </c>
    </row>
    <row r="4463" spans="20:20" x14ac:dyDescent="0.3">
      <c r="T4463" s="47" t="str">
        <f ca="1">IF(R4463="","",IFERROR(TODAY()+VLOOKUP(R4463,REGRAS!$B$2:$C$13,2,0),""))</f>
        <v/>
      </c>
    </row>
    <row r="4464" spans="20:20" x14ac:dyDescent="0.3">
      <c r="T4464" s="47" t="str">
        <f ca="1">IF(R4464="","",IFERROR(TODAY()+VLOOKUP(R4464,REGRAS!$B$2:$C$13,2,0),""))</f>
        <v/>
      </c>
    </row>
    <row r="4465" spans="20:20" x14ac:dyDescent="0.3">
      <c r="T4465" s="47" t="str">
        <f ca="1">IF(R4465="","",IFERROR(TODAY()+VLOOKUP(R4465,REGRAS!$B$2:$C$13,2,0),""))</f>
        <v/>
      </c>
    </row>
    <row r="4466" spans="20:20" x14ac:dyDescent="0.3">
      <c r="T4466" s="47" t="str">
        <f ca="1">IF(R4466="","",IFERROR(TODAY()+VLOOKUP(R4466,REGRAS!$B$2:$C$13,2,0),""))</f>
        <v/>
      </c>
    </row>
    <row r="4467" spans="20:20" x14ac:dyDescent="0.3">
      <c r="T4467" s="47" t="str">
        <f ca="1">IF(R4467="","",IFERROR(TODAY()+VLOOKUP(R4467,REGRAS!$B$2:$C$13,2,0),""))</f>
        <v/>
      </c>
    </row>
    <row r="4468" spans="20:20" x14ac:dyDescent="0.3">
      <c r="T4468" s="47" t="str">
        <f ca="1">IF(R4468="","",IFERROR(TODAY()+VLOOKUP(R4468,REGRAS!$B$2:$C$13,2,0),""))</f>
        <v/>
      </c>
    </row>
    <row r="4469" spans="20:20" x14ac:dyDescent="0.3">
      <c r="T4469" s="47" t="str">
        <f ca="1">IF(R4469="","",IFERROR(TODAY()+VLOOKUP(R4469,REGRAS!$B$2:$C$13,2,0),""))</f>
        <v/>
      </c>
    </row>
    <row r="4470" spans="20:20" x14ac:dyDescent="0.3">
      <c r="T4470" s="47" t="str">
        <f ca="1">IF(R4470="","",IFERROR(TODAY()+VLOOKUP(R4470,REGRAS!$B$2:$C$13,2,0),""))</f>
        <v/>
      </c>
    </row>
    <row r="4471" spans="20:20" x14ac:dyDescent="0.3">
      <c r="T4471" s="47" t="str">
        <f ca="1">IF(R4471="","",IFERROR(TODAY()+VLOOKUP(R4471,REGRAS!$B$2:$C$13,2,0),""))</f>
        <v/>
      </c>
    </row>
    <row r="4472" spans="20:20" x14ac:dyDescent="0.3">
      <c r="T4472" s="47" t="str">
        <f ca="1">IF(R4472="","",IFERROR(TODAY()+VLOOKUP(R4472,REGRAS!$B$2:$C$13,2,0),""))</f>
        <v/>
      </c>
    </row>
    <row r="4473" spans="20:20" x14ac:dyDescent="0.3">
      <c r="T4473" s="47" t="str">
        <f ca="1">IF(R4473="","",IFERROR(TODAY()+VLOOKUP(R4473,REGRAS!$B$2:$C$13,2,0),""))</f>
        <v/>
      </c>
    </row>
    <row r="4474" spans="20:20" x14ac:dyDescent="0.3">
      <c r="T4474" s="47" t="str">
        <f ca="1">IF(R4474="","",IFERROR(TODAY()+VLOOKUP(R4474,REGRAS!$B$2:$C$13,2,0),""))</f>
        <v/>
      </c>
    </row>
    <row r="4475" spans="20:20" x14ac:dyDescent="0.3">
      <c r="T4475" s="47" t="str">
        <f ca="1">IF(R4475="","",IFERROR(TODAY()+VLOOKUP(R4475,REGRAS!$B$2:$C$13,2,0),""))</f>
        <v/>
      </c>
    </row>
    <row r="4476" spans="20:20" x14ac:dyDescent="0.3">
      <c r="T4476" s="47" t="str">
        <f ca="1">IF(R4476="","",IFERROR(TODAY()+VLOOKUP(R4476,REGRAS!$B$2:$C$13,2,0),""))</f>
        <v/>
      </c>
    </row>
    <row r="4477" spans="20:20" x14ac:dyDescent="0.3">
      <c r="T4477" s="47" t="str">
        <f ca="1">IF(R4477="","",IFERROR(TODAY()+VLOOKUP(R4477,REGRAS!$B$2:$C$13,2,0),""))</f>
        <v/>
      </c>
    </row>
    <row r="4478" spans="20:20" x14ac:dyDescent="0.3">
      <c r="T4478" s="47" t="str">
        <f ca="1">IF(R4478="","",IFERROR(TODAY()+VLOOKUP(R4478,REGRAS!$B$2:$C$13,2,0),""))</f>
        <v/>
      </c>
    </row>
    <row r="4479" spans="20:20" x14ac:dyDescent="0.3">
      <c r="T4479" s="47" t="str">
        <f ca="1">IF(R4479="","",IFERROR(TODAY()+VLOOKUP(R4479,REGRAS!$B$2:$C$13,2,0),""))</f>
        <v/>
      </c>
    </row>
    <row r="4480" spans="20:20" x14ac:dyDescent="0.3">
      <c r="T4480" s="47" t="str">
        <f ca="1">IF(R4480="","",IFERROR(TODAY()+VLOOKUP(R4480,REGRAS!$B$2:$C$13,2,0),""))</f>
        <v/>
      </c>
    </row>
    <row r="4481" spans="20:20" x14ac:dyDescent="0.3">
      <c r="T4481" s="47" t="str">
        <f ca="1">IF(R4481="","",IFERROR(TODAY()+VLOOKUP(R4481,REGRAS!$B$2:$C$13,2,0),""))</f>
        <v/>
      </c>
    </row>
    <row r="4482" spans="20:20" x14ac:dyDescent="0.3">
      <c r="T4482" s="47" t="str">
        <f ca="1">IF(R4482="","",IFERROR(TODAY()+VLOOKUP(R4482,REGRAS!$B$2:$C$13,2,0),""))</f>
        <v/>
      </c>
    </row>
    <row r="4483" spans="20:20" x14ac:dyDescent="0.3">
      <c r="T4483" s="47" t="str">
        <f ca="1">IF(R4483="","",IFERROR(TODAY()+VLOOKUP(R4483,REGRAS!$B$2:$C$13,2,0),""))</f>
        <v/>
      </c>
    </row>
    <row r="4484" spans="20:20" x14ac:dyDescent="0.3">
      <c r="T4484" s="47" t="str">
        <f ca="1">IF(R4484="","",IFERROR(TODAY()+VLOOKUP(R4484,REGRAS!$B$2:$C$13,2,0),""))</f>
        <v/>
      </c>
    </row>
    <row r="4485" spans="20:20" x14ac:dyDescent="0.3">
      <c r="T4485" s="47" t="str">
        <f ca="1">IF(R4485="","",IFERROR(TODAY()+VLOOKUP(R4485,REGRAS!$B$2:$C$13,2,0),""))</f>
        <v/>
      </c>
    </row>
    <row r="4486" spans="20:20" x14ac:dyDescent="0.3">
      <c r="T4486" s="47" t="str">
        <f ca="1">IF(R4486="","",IFERROR(TODAY()+VLOOKUP(R4486,REGRAS!$B$2:$C$13,2,0),""))</f>
        <v/>
      </c>
    </row>
    <row r="4487" spans="20:20" x14ac:dyDescent="0.3">
      <c r="T4487" s="47" t="str">
        <f ca="1">IF(R4487="","",IFERROR(TODAY()+VLOOKUP(R4487,REGRAS!$B$2:$C$13,2,0),""))</f>
        <v/>
      </c>
    </row>
    <row r="4488" spans="20:20" x14ac:dyDescent="0.3">
      <c r="T4488" s="47" t="str">
        <f ca="1">IF(R4488="","",IFERROR(TODAY()+VLOOKUP(R4488,REGRAS!$B$2:$C$13,2,0),""))</f>
        <v/>
      </c>
    </row>
    <row r="4489" spans="20:20" x14ac:dyDescent="0.3">
      <c r="T4489" s="47" t="str">
        <f ca="1">IF(R4489="","",IFERROR(TODAY()+VLOOKUP(R4489,REGRAS!$B$2:$C$13,2,0),""))</f>
        <v/>
      </c>
    </row>
    <row r="4490" spans="20:20" x14ac:dyDescent="0.3">
      <c r="T4490" s="47" t="str">
        <f ca="1">IF(R4490="","",IFERROR(TODAY()+VLOOKUP(R4490,REGRAS!$B$2:$C$13,2,0),""))</f>
        <v/>
      </c>
    </row>
    <row r="4491" spans="20:20" x14ac:dyDescent="0.3">
      <c r="T4491" s="47" t="str">
        <f ca="1">IF(R4491="","",IFERROR(TODAY()+VLOOKUP(R4491,REGRAS!$B$2:$C$13,2,0),""))</f>
        <v/>
      </c>
    </row>
    <row r="4492" spans="20:20" x14ac:dyDescent="0.3">
      <c r="T4492" s="47" t="str">
        <f ca="1">IF(R4492="","",IFERROR(TODAY()+VLOOKUP(R4492,REGRAS!$B$2:$C$13,2,0),""))</f>
        <v/>
      </c>
    </row>
    <row r="4493" spans="20:20" x14ac:dyDescent="0.3">
      <c r="T4493" s="47" t="str">
        <f ca="1">IF(R4493="","",IFERROR(TODAY()+VLOOKUP(R4493,REGRAS!$B$2:$C$13,2,0),""))</f>
        <v/>
      </c>
    </row>
    <row r="4494" spans="20:20" x14ac:dyDescent="0.3">
      <c r="T4494" s="47" t="str">
        <f ca="1">IF(R4494="","",IFERROR(TODAY()+VLOOKUP(R4494,REGRAS!$B$2:$C$13,2,0),""))</f>
        <v/>
      </c>
    </row>
    <row r="4495" spans="20:20" x14ac:dyDescent="0.3">
      <c r="T4495" s="47" t="str">
        <f ca="1">IF(R4495="","",IFERROR(TODAY()+VLOOKUP(R4495,REGRAS!$B$2:$C$13,2,0),""))</f>
        <v/>
      </c>
    </row>
    <row r="4496" spans="20:20" x14ac:dyDescent="0.3">
      <c r="T4496" s="47" t="str">
        <f ca="1">IF(R4496="","",IFERROR(TODAY()+VLOOKUP(R4496,REGRAS!$B$2:$C$13,2,0),""))</f>
        <v/>
      </c>
    </row>
    <row r="4497" spans="20:20" x14ac:dyDescent="0.3">
      <c r="T4497" s="47" t="str">
        <f ca="1">IF(R4497="","",IFERROR(TODAY()+VLOOKUP(R4497,REGRAS!$B$2:$C$13,2,0),""))</f>
        <v/>
      </c>
    </row>
    <row r="4498" spans="20:20" x14ac:dyDescent="0.3">
      <c r="T4498" s="47" t="str">
        <f ca="1">IF(R4498="","",IFERROR(TODAY()+VLOOKUP(R4498,REGRAS!$B$2:$C$13,2,0),""))</f>
        <v/>
      </c>
    </row>
    <row r="4499" spans="20:20" x14ac:dyDescent="0.3">
      <c r="T4499" s="47" t="str">
        <f ca="1">IF(R4499="","",IFERROR(TODAY()+VLOOKUP(R4499,REGRAS!$B$2:$C$13,2,0),""))</f>
        <v/>
      </c>
    </row>
    <row r="4500" spans="20:20" x14ac:dyDescent="0.3">
      <c r="T4500" s="47" t="str">
        <f ca="1">IF(R4500="","",IFERROR(TODAY()+VLOOKUP(R4500,REGRAS!$B$2:$C$13,2,0),""))</f>
        <v/>
      </c>
    </row>
    <row r="4501" spans="20:20" x14ac:dyDescent="0.3">
      <c r="T4501" s="47" t="str">
        <f ca="1">IF(R4501="","",IFERROR(TODAY()+VLOOKUP(R4501,REGRAS!$B$2:$C$13,2,0),""))</f>
        <v/>
      </c>
    </row>
    <row r="4502" spans="20:20" x14ac:dyDescent="0.3">
      <c r="T4502" s="47" t="str">
        <f ca="1">IF(R4502="","",IFERROR(TODAY()+VLOOKUP(R4502,REGRAS!$B$2:$C$13,2,0),""))</f>
        <v/>
      </c>
    </row>
    <row r="4503" spans="20:20" x14ac:dyDescent="0.3">
      <c r="T4503" s="47" t="str">
        <f ca="1">IF(R4503="","",IFERROR(TODAY()+VLOOKUP(R4503,REGRAS!$B$2:$C$13,2,0),""))</f>
        <v/>
      </c>
    </row>
    <row r="4504" spans="20:20" x14ac:dyDescent="0.3">
      <c r="T4504" s="47" t="str">
        <f ca="1">IF(R4504="","",IFERROR(TODAY()+VLOOKUP(R4504,REGRAS!$B$2:$C$13,2,0),""))</f>
        <v/>
      </c>
    </row>
    <row r="4505" spans="20:20" x14ac:dyDescent="0.3">
      <c r="T4505" s="47" t="str">
        <f ca="1">IF(R4505="","",IFERROR(TODAY()+VLOOKUP(R4505,REGRAS!$B$2:$C$13,2,0),""))</f>
        <v/>
      </c>
    </row>
    <row r="4506" spans="20:20" x14ac:dyDescent="0.3">
      <c r="T4506" s="47" t="str">
        <f ca="1">IF(R4506="","",IFERROR(TODAY()+VLOOKUP(R4506,REGRAS!$B$2:$C$13,2,0),""))</f>
        <v/>
      </c>
    </row>
    <row r="4507" spans="20:20" x14ac:dyDescent="0.3">
      <c r="T4507" s="47" t="str">
        <f ca="1">IF(R4507="","",IFERROR(TODAY()+VLOOKUP(R4507,REGRAS!$B$2:$C$13,2,0),""))</f>
        <v/>
      </c>
    </row>
    <row r="4508" spans="20:20" x14ac:dyDescent="0.3">
      <c r="T4508" s="47" t="str">
        <f ca="1">IF(R4508="","",IFERROR(TODAY()+VLOOKUP(R4508,REGRAS!$B$2:$C$13,2,0),""))</f>
        <v/>
      </c>
    </row>
    <row r="4509" spans="20:20" x14ac:dyDescent="0.3">
      <c r="T4509" s="47" t="str">
        <f ca="1">IF(R4509="","",IFERROR(TODAY()+VLOOKUP(R4509,REGRAS!$B$2:$C$13,2,0),""))</f>
        <v/>
      </c>
    </row>
    <row r="4510" spans="20:20" x14ac:dyDescent="0.3">
      <c r="T4510" s="47" t="str">
        <f ca="1">IF(R4510="","",IFERROR(TODAY()+VLOOKUP(R4510,REGRAS!$B$2:$C$13,2,0),""))</f>
        <v/>
      </c>
    </row>
    <row r="4511" spans="20:20" x14ac:dyDescent="0.3">
      <c r="T4511" s="47" t="str">
        <f ca="1">IF(R4511="","",IFERROR(TODAY()+VLOOKUP(R4511,REGRAS!$B$2:$C$13,2,0),""))</f>
        <v/>
      </c>
    </row>
    <row r="4512" spans="20:20" x14ac:dyDescent="0.3">
      <c r="T4512" s="47" t="str">
        <f ca="1">IF(R4512="","",IFERROR(TODAY()+VLOOKUP(R4512,REGRAS!$B$2:$C$13,2,0),""))</f>
        <v/>
      </c>
    </row>
    <row r="4513" spans="20:20" x14ac:dyDescent="0.3">
      <c r="T4513" s="47" t="str">
        <f ca="1">IF(R4513="","",IFERROR(TODAY()+VLOOKUP(R4513,REGRAS!$B$2:$C$13,2,0),""))</f>
        <v/>
      </c>
    </row>
    <row r="4514" spans="20:20" x14ac:dyDescent="0.3">
      <c r="T4514" s="47" t="str">
        <f ca="1">IF(R4514="","",IFERROR(TODAY()+VLOOKUP(R4514,REGRAS!$B$2:$C$13,2,0),""))</f>
        <v/>
      </c>
    </row>
    <row r="4515" spans="20:20" x14ac:dyDescent="0.3">
      <c r="T4515" s="47" t="str">
        <f ca="1">IF(R4515="","",IFERROR(TODAY()+VLOOKUP(R4515,REGRAS!$B$2:$C$13,2,0),""))</f>
        <v/>
      </c>
    </row>
    <row r="4516" spans="20:20" x14ac:dyDescent="0.3">
      <c r="T4516" s="47" t="str">
        <f ca="1">IF(R4516="","",IFERROR(TODAY()+VLOOKUP(R4516,REGRAS!$B$2:$C$13,2,0),""))</f>
        <v/>
      </c>
    </row>
    <row r="4517" spans="20:20" x14ac:dyDescent="0.3">
      <c r="T4517" s="47" t="str">
        <f ca="1">IF(R4517="","",IFERROR(TODAY()+VLOOKUP(R4517,REGRAS!$B$2:$C$13,2,0),""))</f>
        <v/>
      </c>
    </row>
    <row r="4518" spans="20:20" x14ac:dyDescent="0.3">
      <c r="T4518" s="47" t="str">
        <f ca="1">IF(R4518="","",IFERROR(TODAY()+VLOOKUP(R4518,REGRAS!$B$2:$C$13,2,0),""))</f>
        <v/>
      </c>
    </row>
    <row r="4519" spans="20:20" x14ac:dyDescent="0.3">
      <c r="T4519" s="47" t="str">
        <f ca="1">IF(R4519="","",IFERROR(TODAY()+VLOOKUP(R4519,REGRAS!$B$2:$C$13,2,0),""))</f>
        <v/>
      </c>
    </row>
    <row r="4520" spans="20:20" x14ac:dyDescent="0.3">
      <c r="T4520" s="47" t="str">
        <f ca="1">IF(R4520="","",IFERROR(TODAY()+VLOOKUP(R4520,REGRAS!$B$2:$C$13,2,0),""))</f>
        <v/>
      </c>
    </row>
    <row r="4521" spans="20:20" x14ac:dyDescent="0.3">
      <c r="T4521" s="47" t="str">
        <f ca="1">IF(R4521="","",IFERROR(TODAY()+VLOOKUP(R4521,REGRAS!$B$2:$C$13,2,0),""))</f>
        <v/>
      </c>
    </row>
    <row r="4522" spans="20:20" x14ac:dyDescent="0.3">
      <c r="T4522" s="47" t="str">
        <f ca="1">IF(R4522="","",IFERROR(TODAY()+VLOOKUP(R4522,REGRAS!$B$2:$C$13,2,0),""))</f>
        <v/>
      </c>
    </row>
    <row r="4523" spans="20:20" x14ac:dyDescent="0.3">
      <c r="T4523" s="47" t="str">
        <f ca="1">IF(R4523="","",IFERROR(TODAY()+VLOOKUP(R4523,REGRAS!$B$2:$C$13,2,0),""))</f>
        <v/>
      </c>
    </row>
    <row r="4524" spans="20:20" x14ac:dyDescent="0.3">
      <c r="T4524" s="47" t="str">
        <f ca="1">IF(R4524="","",IFERROR(TODAY()+VLOOKUP(R4524,REGRAS!$B$2:$C$13,2,0),""))</f>
        <v/>
      </c>
    </row>
    <row r="4525" spans="20:20" x14ac:dyDescent="0.3">
      <c r="T4525" s="47" t="str">
        <f ca="1">IF(R4525="","",IFERROR(TODAY()+VLOOKUP(R4525,REGRAS!$B$2:$C$13,2,0),""))</f>
        <v/>
      </c>
    </row>
    <row r="4526" spans="20:20" x14ac:dyDescent="0.3">
      <c r="T4526" s="47" t="str">
        <f ca="1">IF(R4526="","",IFERROR(TODAY()+VLOOKUP(R4526,REGRAS!$B$2:$C$13,2,0),""))</f>
        <v/>
      </c>
    </row>
    <row r="4527" spans="20:20" x14ac:dyDescent="0.3">
      <c r="T4527" s="47" t="str">
        <f ca="1">IF(R4527="","",IFERROR(TODAY()+VLOOKUP(R4527,REGRAS!$B$2:$C$13,2,0),""))</f>
        <v/>
      </c>
    </row>
    <row r="4528" spans="20:20" x14ac:dyDescent="0.3">
      <c r="T4528" s="47" t="str">
        <f ca="1">IF(R4528="","",IFERROR(TODAY()+VLOOKUP(R4528,REGRAS!$B$2:$C$13,2,0),""))</f>
        <v/>
      </c>
    </row>
    <row r="4529" spans="20:20" x14ac:dyDescent="0.3">
      <c r="T4529" s="47" t="str">
        <f ca="1">IF(R4529="","",IFERROR(TODAY()+VLOOKUP(R4529,REGRAS!$B$2:$C$13,2,0),""))</f>
        <v/>
      </c>
    </row>
    <row r="4530" spans="20:20" x14ac:dyDescent="0.3">
      <c r="T4530" s="47" t="str">
        <f ca="1">IF(R4530="","",IFERROR(TODAY()+VLOOKUP(R4530,REGRAS!$B$2:$C$13,2,0),""))</f>
        <v/>
      </c>
    </row>
    <row r="4531" spans="20:20" x14ac:dyDescent="0.3">
      <c r="T4531" s="47" t="str">
        <f ca="1">IF(R4531="","",IFERROR(TODAY()+VLOOKUP(R4531,REGRAS!$B$2:$C$13,2,0),""))</f>
        <v/>
      </c>
    </row>
    <row r="4532" spans="20:20" x14ac:dyDescent="0.3">
      <c r="T4532" s="47" t="str">
        <f ca="1">IF(R4532="","",IFERROR(TODAY()+VLOOKUP(R4532,REGRAS!$B$2:$C$13,2,0),""))</f>
        <v/>
      </c>
    </row>
    <row r="4533" spans="20:20" x14ac:dyDescent="0.3">
      <c r="T4533" s="47" t="str">
        <f ca="1">IF(R4533="","",IFERROR(TODAY()+VLOOKUP(R4533,REGRAS!$B$2:$C$13,2,0),""))</f>
        <v/>
      </c>
    </row>
    <row r="4534" spans="20:20" x14ac:dyDescent="0.3">
      <c r="T4534" s="47" t="str">
        <f ca="1">IF(R4534="","",IFERROR(TODAY()+VLOOKUP(R4534,REGRAS!$B$2:$C$13,2,0),""))</f>
        <v/>
      </c>
    </row>
    <row r="4535" spans="20:20" x14ac:dyDescent="0.3">
      <c r="T4535" s="47" t="str">
        <f ca="1">IF(R4535="","",IFERROR(TODAY()+VLOOKUP(R4535,REGRAS!$B$2:$C$13,2,0),""))</f>
        <v/>
      </c>
    </row>
    <row r="4536" spans="20:20" x14ac:dyDescent="0.3">
      <c r="T4536" s="47" t="str">
        <f ca="1">IF(R4536="","",IFERROR(TODAY()+VLOOKUP(R4536,REGRAS!$B$2:$C$13,2,0),""))</f>
        <v/>
      </c>
    </row>
    <row r="4537" spans="20:20" x14ac:dyDescent="0.3">
      <c r="T4537" s="47" t="str">
        <f ca="1">IF(R4537="","",IFERROR(TODAY()+VLOOKUP(R4537,REGRAS!$B$2:$C$13,2,0),""))</f>
        <v/>
      </c>
    </row>
    <row r="4538" spans="20:20" x14ac:dyDescent="0.3">
      <c r="T4538" s="47" t="str">
        <f ca="1">IF(R4538="","",IFERROR(TODAY()+VLOOKUP(R4538,REGRAS!$B$2:$C$13,2,0),""))</f>
        <v/>
      </c>
    </row>
    <row r="4539" spans="20:20" x14ac:dyDescent="0.3">
      <c r="T4539" s="47" t="str">
        <f ca="1">IF(R4539="","",IFERROR(TODAY()+VLOOKUP(R4539,REGRAS!$B$2:$C$13,2,0),""))</f>
        <v/>
      </c>
    </row>
    <row r="4540" spans="20:20" x14ac:dyDescent="0.3">
      <c r="T4540" s="47" t="str">
        <f ca="1">IF(R4540="","",IFERROR(TODAY()+VLOOKUP(R4540,REGRAS!$B$2:$C$13,2,0),""))</f>
        <v/>
      </c>
    </row>
    <row r="4541" spans="20:20" x14ac:dyDescent="0.3">
      <c r="T4541" s="47" t="str">
        <f ca="1">IF(R4541="","",IFERROR(TODAY()+VLOOKUP(R4541,REGRAS!$B$2:$C$13,2,0),""))</f>
        <v/>
      </c>
    </row>
    <row r="4542" spans="20:20" x14ac:dyDescent="0.3">
      <c r="T4542" s="47" t="str">
        <f ca="1">IF(R4542="","",IFERROR(TODAY()+VLOOKUP(R4542,REGRAS!$B$2:$C$13,2,0),""))</f>
        <v/>
      </c>
    </row>
    <row r="4543" spans="20:20" x14ac:dyDescent="0.3">
      <c r="T4543" s="47" t="str">
        <f ca="1">IF(R4543="","",IFERROR(TODAY()+VLOOKUP(R4543,REGRAS!$B$2:$C$13,2,0),""))</f>
        <v/>
      </c>
    </row>
    <row r="4544" spans="20:20" x14ac:dyDescent="0.3">
      <c r="T4544" s="47" t="str">
        <f ca="1">IF(R4544="","",IFERROR(TODAY()+VLOOKUP(R4544,REGRAS!$B$2:$C$13,2,0),""))</f>
        <v/>
      </c>
    </row>
    <row r="4545" spans="20:20" x14ac:dyDescent="0.3">
      <c r="T4545" s="47" t="str">
        <f ca="1">IF(R4545="","",IFERROR(TODAY()+VLOOKUP(R4545,REGRAS!$B$2:$C$13,2,0),""))</f>
        <v/>
      </c>
    </row>
    <row r="4546" spans="20:20" x14ac:dyDescent="0.3">
      <c r="T4546" s="47" t="str">
        <f ca="1">IF(R4546="","",IFERROR(TODAY()+VLOOKUP(R4546,REGRAS!$B$2:$C$13,2,0),""))</f>
        <v/>
      </c>
    </row>
    <row r="4547" spans="20:20" x14ac:dyDescent="0.3">
      <c r="T4547" s="47" t="str">
        <f ca="1">IF(R4547="","",IFERROR(TODAY()+VLOOKUP(R4547,REGRAS!$B$2:$C$13,2,0),""))</f>
        <v/>
      </c>
    </row>
    <row r="4548" spans="20:20" x14ac:dyDescent="0.3">
      <c r="T4548" s="47" t="str">
        <f ca="1">IF(R4548="","",IFERROR(TODAY()+VLOOKUP(R4548,REGRAS!$B$2:$C$13,2,0),""))</f>
        <v/>
      </c>
    </row>
    <row r="4549" spans="20:20" x14ac:dyDescent="0.3">
      <c r="T4549" s="47" t="str">
        <f ca="1">IF(R4549="","",IFERROR(TODAY()+VLOOKUP(R4549,REGRAS!$B$2:$C$13,2,0),""))</f>
        <v/>
      </c>
    </row>
    <row r="4550" spans="20:20" x14ac:dyDescent="0.3">
      <c r="T4550" s="47" t="str">
        <f ca="1">IF(R4550="","",IFERROR(TODAY()+VLOOKUP(R4550,REGRAS!$B$2:$C$13,2,0),""))</f>
        <v/>
      </c>
    </row>
    <row r="4551" spans="20:20" x14ac:dyDescent="0.3">
      <c r="T4551" s="47" t="str">
        <f ca="1">IF(R4551="","",IFERROR(TODAY()+VLOOKUP(R4551,REGRAS!$B$2:$C$13,2,0),""))</f>
        <v/>
      </c>
    </row>
    <row r="4552" spans="20:20" x14ac:dyDescent="0.3">
      <c r="T4552" s="47" t="str">
        <f ca="1">IF(R4552="","",IFERROR(TODAY()+VLOOKUP(R4552,REGRAS!$B$2:$C$13,2,0),""))</f>
        <v/>
      </c>
    </row>
    <row r="4553" spans="20:20" x14ac:dyDescent="0.3">
      <c r="T4553" s="47" t="str">
        <f ca="1">IF(R4553="","",IFERROR(TODAY()+VLOOKUP(R4553,REGRAS!$B$2:$C$13,2,0),""))</f>
        <v/>
      </c>
    </row>
    <row r="4554" spans="20:20" x14ac:dyDescent="0.3">
      <c r="T4554" s="47" t="str">
        <f ca="1">IF(R4554="","",IFERROR(TODAY()+VLOOKUP(R4554,REGRAS!$B$2:$C$13,2,0),""))</f>
        <v/>
      </c>
    </row>
    <row r="4555" spans="20:20" x14ac:dyDescent="0.3">
      <c r="T4555" s="47" t="str">
        <f ca="1">IF(R4555="","",IFERROR(TODAY()+VLOOKUP(R4555,REGRAS!$B$2:$C$13,2,0),""))</f>
        <v/>
      </c>
    </row>
    <row r="4556" spans="20:20" x14ac:dyDescent="0.3">
      <c r="T4556" s="47" t="str">
        <f ca="1">IF(R4556="","",IFERROR(TODAY()+VLOOKUP(R4556,REGRAS!$B$2:$C$13,2,0),""))</f>
        <v/>
      </c>
    </row>
    <row r="4557" spans="20:20" x14ac:dyDescent="0.3">
      <c r="T4557" s="47" t="str">
        <f ca="1">IF(R4557="","",IFERROR(TODAY()+VLOOKUP(R4557,REGRAS!$B$2:$C$13,2,0),""))</f>
        <v/>
      </c>
    </row>
    <row r="4558" spans="20:20" x14ac:dyDescent="0.3">
      <c r="T4558" s="47" t="str">
        <f ca="1">IF(R4558="","",IFERROR(TODAY()+VLOOKUP(R4558,REGRAS!$B$2:$C$13,2,0),""))</f>
        <v/>
      </c>
    </row>
    <row r="4559" spans="20:20" x14ac:dyDescent="0.3">
      <c r="T4559" s="47" t="str">
        <f ca="1">IF(R4559="","",IFERROR(TODAY()+VLOOKUP(R4559,REGRAS!$B$2:$C$13,2,0),""))</f>
        <v/>
      </c>
    </row>
    <row r="4560" spans="20:20" x14ac:dyDescent="0.3">
      <c r="T4560" s="47" t="str">
        <f ca="1">IF(R4560="","",IFERROR(TODAY()+VLOOKUP(R4560,REGRAS!$B$2:$C$13,2,0),""))</f>
        <v/>
      </c>
    </row>
    <row r="4561" spans="20:20" x14ac:dyDescent="0.3">
      <c r="T4561" s="47" t="str">
        <f ca="1">IF(R4561="","",IFERROR(TODAY()+VLOOKUP(R4561,REGRAS!$B$2:$C$13,2,0),""))</f>
        <v/>
      </c>
    </row>
    <row r="4562" spans="20:20" x14ac:dyDescent="0.3">
      <c r="T4562" s="47" t="str">
        <f ca="1">IF(R4562="","",IFERROR(TODAY()+VLOOKUP(R4562,REGRAS!$B$2:$C$13,2,0),""))</f>
        <v/>
      </c>
    </row>
    <row r="4563" spans="20:20" x14ac:dyDescent="0.3">
      <c r="T4563" s="47" t="str">
        <f ca="1">IF(R4563="","",IFERROR(TODAY()+VLOOKUP(R4563,REGRAS!$B$2:$C$13,2,0),""))</f>
        <v/>
      </c>
    </row>
    <row r="4564" spans="20:20" x14ac:dyDescent="0.3">
      <c r="T4564" s="47" t="str">
        <f ca="1">IF(R4564="","",IFERROR(TODAY()+VLOOKUP(R4564,REGRAS!$B$2:$C$13,2,0),""))</f>
        <v/>
      </c>
    </row>
    <row r="4565" spans="20:20" x14ac:dyDescent="0.3">
      <c r="T4565" s="47" t="str">
        <f ca="1">IF(R4565="","",IFERROR(TODAY()+VLOOKUP(R4565,REGRAS!$B$2:$C$13,2,0),""))</f>
        <v/>
      </c>
    </row>
    <row r="4566" spans="20:20" x14ac:dyDescent="0.3">
      <c r="T4566" s="47" t="str">
        <f ca="1">IF(R4566="","",IFERROR(TODAY()+VLOOKUP(R4566,REGRAS!$B$2:$C$13,2,0),""))</f>
        <v/>
      </c>
    </row>
    <row r="4567" spans="20:20" x14ac:dyDescent="0.3">
      <c r="T4567" s="47" t="str">
        <f ca="1">IF(R4567="","",IFERROR(TODAY()+VLOOKUP(R4567,REGRAS!$B$2:$C$13,2,0),""))</f>
        <v/>
      </c>
    </row>
    <row r="4568" spans="20:20" x14ac:dyDescent="0.3">
      <c r="T4568" s="47" t="str">
        <f ca="1">IF(R4568="","",IFERROR(TODAY()+VLOOKUP(R4568,REGRAS!$B$2:$C$13,2,0),""))</f>
        <v/>
      </c>
    </row>
    <row r="4569" spans="20:20" x14ac:dyDescent="0.3">
      <c r="T4569" s="47" t="str">
        <f ca="1">IF(R4569="","",IFERROR(TODAY()+VLOOKUP(R4569,REGRAS!$B$2:$C$13,2,0),""))</f>
        <v/>
      </c>
    </row>
    <row r="4570" spans="20:20" x14ac:dyDescent="0.3">
      <c r="T4570" s="47" t="str">
        <f ca="1">IF(R4570="","",IFERROR(TODAY()+VLOOKUP(R4570,REGRAS!$B$2:$C$13,2,0),""))</f>
        <v/>
      </c>
    </row>
    <row r="4571" spans="20:20" x14ac:dyDescent="0.3">
      <c r="T4571" s="47" t="str">
        <f ca="1">IF(R4571="","",IFERROR(TODAY()+VLOOKUP(R4571,REGRAS!$B$2:$C$13,2,0),""))</f>
        <v/>
      </c>
    </row>
    <row r="4572" spans="20:20" x14ac:dyDescent="0.3">
      <c r="T4572" s="47" t="str">
        <f ca="1">IF(R4572="","",IFERROR(TODAY()+VLOOKUP(R4572,REGRAS!$B$2:$C$13,2,0),""))</f>
        <v/>
      </c>
    </row>
    <row r="4573" spans="20:20" x14ac:dyDescent="0.3">
      <c r="T4573" s="47" t="str">
        <f ca="1">IF(R4573="","",IFERROR(TODAY()+VLOOKUP(R4573,REGRAS!$B$2:$C$13,2,0),""))</f>
        <v/>
      </c>
    </row>
    <row r="4574" spans="20:20" x14ac:dyDescent="0.3">
      <c r="T4574" s="47" t="str">
        <f ca="1">IF(R4574="","",IFERROR(TODAY()+VLOOKUP(R4574,REGRAS!$B$2:$C$13,2,0),""))</f>
        <v/>
      </c>
    </row>
    <row r="4575" spans="20:20" x14ac:dyDescent="0.3">
      <c r="T4575" s="47" t="str">
        <f ca="1">IF(R4575="","",IFERROR(TODAY()+VLOOKUP(R4575,REGRAS!$B$2:$C$13,2,0),""))</f>
        <v/>
      </c>
    </row>
    <row r="4576" spans="20:20" x14ac:dyDescent="0.3">
      <c r="T4576" s="47" t="str">
        <f ca="1">IF(R4576="","",IFERROR(TODAY()+VLOOKUP(R4576,REGRAS!$B$2:$C$13,2,0),""))</f>
        <v/>
      </c>
    </row>
    <row r="4577" spans="20:20" x14ac:dyDescent="0.3">
      <c r="T4577" s="47" t="str">
        <f ca="1">IF(R4577="","",IFERROR(TODAY()+VLOOKUP(R4577,REGRAS!$B$2:$C$13,2,0),""))</f>
        <v/>
      </c>
    </row>
    <row r="4578" spans="20:20" x14ac:dyDescent="0.3">
      <c r="T4578" s="47" t="str">
        <f ca="1">IF(R4578="","",IFERROR(TODAY()+VLOOKUP(R4578,REGRAS!$B$2:$C$13,2,0),""))</f>
        <v/>
      </c>
    </row>
    <row r="4579" spans="20:20" x14ac:dyDescent="0.3">
      <c r="T4579" s="47" t="str">
        <f ca="1">IF(R4579="","",IFERROR(TODAY()+VLOOKUP(R4579,REGRAS!$B$2:$C$13,2,0),""))</f>
        <v/>
      </c>
    </row>
    <row r="4580" spans="20:20" x14ac:dyDescent="0.3">
      <c r="T4580" s="47" t="str">
        <f ca="1">IF(R4580="","",IFERROR(TODAY()+VLOOKUP(R4580,REGRAS!$B$2:$C$13,2,0),""))</f>
        <v/>
      </c>
    </row>
    <row r="4581" spans="20:20" x14ac:dyDescent="0.3">
      <c r="T4581" s="47" t="str">
        <f ca="1">IF(R4581="","",IFERROR(TODAY()+VLOOKUP(R4581,REGRAS!$B$2:$C$13,2,0),""))</f>
        <v/>
      </c>
    </row>
    <row r="4582" spans="20:20" x14ac:dyDescent="0.3">
      <c r="T4582" s="47" t="str">
        <f ca="1">IF(R4582="","",IFERROR(TODAY()+VLOOKUP(R4582,REGRAS!$B$2:$C$13,2,0),""))</f>
        <v/>
      </c>
    </row>
    <row r="4583" spans="20:20" x14ac:dyDescent="0.3">
      <c r="T4583" s="47" t="str">
        <f ca="1">IF(R4583="","",IFERROR(TODAY()+VLOOKUP(R4583,REGRAS!$B$2:$C$13,2,0),""))</f>
        <v/>
      </c>
    </row>
    <row r="4584" spans="20:20" x14ac:dyDescent="0.3">
      <c r="T4584" s="47" t="str">
        <f ca="1">IF(R4584="","",IFERROR(TODAY()+VLOOKUP(R4584,REGRAS!$B$2:$C$13,2,0),""))</f>
        <v/>
      </c>
    </row>
    <row r="4585" spans="20:20" x14ac:dyDescent="0.3">
      <c r="T4585" s="47" t="str">
        <f ca="1">IF(R4585="","",IFERROR(TODAY()+VLOOKUP(R4585,REGRAS!$B$2:$C$13,2,0),""))</f>
        <v/>
      </c>
    </row>
    <row r="4586" spans="20:20" x14ac:dyDescent="0.3">
      <c r="T4586" s="47" t="str">
        <f ca="1">IF(R4586="","",IFERROR(TODAY()+VLOOKUP(R4586,REGRAS!$B$2:$C$13,2,0),""))</f>
        <v/>
      </c>
    </row>
    <row r="4587" spans="20:20" x14ac:dyDescent="0.3">
      <c r="T4587" s="47" t="str">
        <f ca="1">IF(R4587="","",IFERROR(TODAY()+VLOOKUP(R4587,REGRAS!$B$2:$C$13,2,0),""))</f>
        <v/>
      </c>
    </row>
    <row r="4588" spans="20:20" x14ac:dyDescent="0.3">
      <c r="T4588" s="47" t="str">
        <f ca="1">IF(R4588="","",IFERROR(TODAY()+VLOOKUP(R4588,REGRAS!$B$2:$C$13,2,0),""))</f>
        <v/>
      </c>
    </row>
    <row r="4589" spans="20:20" x14ac:dyDescent="0.3">
      <c r="T4589" s="47" t="str">
        <f ca="1">IF(R4589="","",IFERROR(TODAY()+VLOOKUP(R4589,REGRAS!$B$2:$C$13,2,0),""))</f>
        <v/>
      </c>
    </row>
    <row r="4590" spans="20:20" x14ac:dyDescent="0.3">
      <c r="T4590" s="47" t="str">
        <f ca="1">IF(R4590="","",IFERROR(TODAY()+VLOOKUP(R4590,REGRAS!$B$2:$C$13,2,0),""))</f>
        <v/>
      </c>
    </row>
    <row r="4591" spans="20:20" x14ac:dyDescent="0.3">
      <c r="T4591" s="47" t="str">
        <f ca="1">IF(R4591="","",IFERROR(TODAY()+VLOOKUP(R4591,REGRAS!$B$2:$C$13,2,0),""))</f>
        <v/>
      </c>
    </row>
    <row r="4592" spans="20:20" x14ac:dyDescent="0.3">
      <c r="T4592" s="47" t="str">
        <f ca="1">IF(R4592="","",IFERROR(TODAY()+VLOOKUP(R4592,REGRAS!$B$2:$C$13,2,0),""))</f>
        <v/>
      </c>
    </row>
    <row r="4593" spans="20:20" x14ac:dyDescent="0.3">
      <c r="T4593" s="47" t="str">
        <f ca="1">IF(R4593="","",IFERROR(TODAY()+VLOOKUP(R4593,REGRAS!$B$2:$C$13,2,0),""))</f>
        <v/>
      </c>
    </row>
    <row r="4594" spans="20:20" x14ac:dyDescent="0.3">
      <c r="T4594" s="47" t="str">
        <f ca="1">IF(R4594="","",IFERROR(TODAY()+VLOOKUP(R4594,REGRAS!$B$2:$C$13,2,0),""))</f>
        <v/>
      </c>
    </row>
    <row r="4595" spans="20:20" x14ac:dyDescent="0.3">
      <c r="T4595" s="47" t="str">
        <f ca="1">IF(R4595="","",IFERROR(TODAY()+VLOOKUP(R4595,REGRAS!$B$2:$C$13,2,0),""))</f>
        <v/>
      </c>
    </row>
    <row r="4596" spans="20:20" x14ac:dyDescent="0.3">
      <c r="T4596" s="47" t="str">
        <f ca="1">IF(R4596="","",IFERROR(TODAY()+VLOOKUP(R4596,REGRAS!$B$2:$C$13,2,0),""))</f>
        <v/>
      </c>
    </row>
    <row r="4597" spans="20:20" x14ac:dyDescent="0.3">
      <c r="T4597" s="47" t="str">
        <f ca="1">IF(R4597="","",IFERROR(TODAY()+VLOOKUP(R4597,REGRAS!$B$2:$C$13,2,0),""))</f>
        <v/>
      </c>
    </row>
    <row r="4598" spans="20:20" x14ac:dyDescent="0.3">
      <c r="T4598" s="47" t="str">
        <f ca="1">IF(R4598="","",IFERROR(TODAY()+VLOOKUP(R4598,REGRAS!$B$2:$C$13,2,0),""))</f>
        <v/>
      </c>
    </row>
    <row r="4599" spans="20:20" x14ac:dyDescent="0.3">
      <c r="T4599" s="47" t="str">
        <f ca="1">IF(R4599="","",IFERROR(TODAY()+VLOOKUP(R4599,REGRAS!$B$2:$C$13,2,0),""))</f>
        <v/>
      </c>
    </row>
    <row r="4600" spans="20:20" x14ac:dyDescent="0.3">
      <c r="T4600" s="47" t="str">
        <f ca="1">IF(R4600="","",IFERROR(TODAY()+VLOOKUP(R4600,REGRAS!$B$2:$C$13,2,0),""))</f>
        <v/>
      </c>
    </row>
    <row r="4601" spans="20:20" x14ac:dyDescent="0.3">
      <c r="T4601" s="47" t="str">
        <f ca="1">IF(R4601="","",IFERROR(TODAY()+VLOOKUP(R4601,REGRAS!$B$2:$C$13,2,0),""))</f>
        <v/>
      </c>
    </row>
    <row r="4602" spans="20:20" x14ac:dyDescent="0.3">
      <c r="T4602" s="47" t="str">
        <f ca="1">IF(R4602="","",IFERROR(TODAY()+VLOOKUP(R4602,REGRAS!$B$2:$C$13,2,0),""))</f>
        <v/>
      </c>
    </row>
    <row r="4603" spans="20:20" x14ac:dyDescent="0.3">
      <c r="T4603" s="47" t="str">
        <f ca="1">IF(R4603="","",IFERROR(TODAY()+VLOOKUP(R4603,REGRAS!$B$2:$C$13,2,0),""))</f>
        <v/>
      </c>
    </row>
    <row r="4604" spans="20:20" x14ac:dyDescent="0.3">
      <c r="T4604" s="47" t="str">
        <f ca="1">IF(R4604="","",IFERROR(TODAY()+VLOOKUP(R4604,REGRAS!$B$2:$C$13,2,0),""))</f>
        <v/>
      </c>
    </row>
    <row r="4605" spans="20:20" x14ac:dyDescent="0.3">
      <c r="T4605" s="47" t="str">
        <f ca="1">IF(R4605="","",IFERROR(TODAY()+VLOOKUP(R4605,REGRAS!$B$2:$C$13,2,0),""))</f>
        <v/>
      </c>
    </row>
    <row r="4606" spans="20:20" x14ac:dyDescent="0.3">
      <c r="T4606" s="47" t="str">
        <f ca="1">IF(R4606="","",IFERROR(TODAY()+VLOOKUP(R4606,REGRAS!$B$2:$C$13,2,0),""))</f>
        <v/>
      </c>
    </row>
    <row r="4607" spans="20:20" x14ac:dyDescent="0.3">
      <c r="T4607" s="47" t="str">
        <f ca="1">IF(R4607="","",IFERROR(TODAY()+VLOOKUP(R4607,REGRAS!$B$2:$C$13,2,0),""))</f>
        <v/>
      </c>
    </row>
    <row r="4608" spans="20:20" x14ac:dyDescent="0.3">
      <c r="T4608" s="47" t="str">
        <f ca="1">IF(R4608="","",IFERROR(TODAY()+VLOOKUP(R4608,REGRAS!$B$2:$C$13,2,0),""))</f>
        <v/>
      </c>
    </row>
    <row r="4609" spans="20:20" x14ac:dyDescent="0.3">
      <c r="T4609" s="47" t="str">
        <f ca="1">IF(R4609="","",IFERROR(TODAY()+VLOOKUP(R4609,REGRAS!$B$2:$C$13,2,0),""))</f>
        <v/>
      </c>
    </row>
    <row r="4610" spans="20:20" x14ac:dyDescent="0.3">
      <c r="T4610" s="47" t="str">
        <f ca="1">IF(R4610="","",IFERROR(TODAY()+VLOOKUP(R4610,REGRAS!$B$2:$C$13,2,0),""))</f>
        <v/>
      </c>
    </row>
    <row r="4611" spans="20:20" x14ac:dyDescent="0.3">
      <c r="T4611" s="47" t="str">
        <f ca="1">IF(R4611="","",IFERROR(TODAY()+VLOOKUP(R4611,REGRAS!$B$2:$C$13,2,0),""))</f>
        <v/>
      </c>
    </row>
    <row r="4612" spans="20:20" x14ac:dyDescent="0.3">
      <c r="T4612" s="47" t="str">
        <f ca="1">IF(R4612="","",IFERROR(TODAY()+VLOOKUP(R4612,REGRAS!$B$2:$C$13,2,0),""))</f>
        <v/>
      </c>
    </row>
    <row r="4613" spans="20:20" x14ac:dyDescent="0.3">
      <c r="T4613" s="47" t="str">
        <f ca="1">IF(R4613="","",IFERROR(TODAY()+VLOOKUP(R4613,REGRAS!$B$2:$C$13,2,0),""))</f>
        <v/>
      </c>
    </row>
    <row r="4614" spans="20:20" x14ac:dyDescent="0.3">
      <c r="T4614" s="47" t="str">
        <f ca="1">IF(R4614="","",IFERROR(TODAY()+VLOOKUP(R4614,REGRAS!$B$2:$C$13,2,0),""))</f>
        <v/>
      </c>
    </row>
    <row r="4615" spans="20:20" x14ac:dyDescent="0.3">
      <c r="T4615" s="47" t="str">
        <f ca="1">IF(R4615="","",IFERROR(TODAY()+VLOOKUP(R4615,REGRAS!$B$2:$C$13,2,0),""))</f>
        <v/>
      </c>
    </row>
    <row r="4616" spans="20:20" x14ac:dyDescent="0.3">
      <c r="T4616" s="47" t="str">
        <f ca="1">IF(R4616="","",IFERROR(TODAY()+VLOOKUP(R4616,REGRAS!$B$2:$C$13,2,0),""))</f>
        <v/>
      </c>
    </row>
    <row r="4617" spans="20:20" x14ac:dyDescent="0.3">
      <c r="T4617" s="47" t="str">
        <f ca="1">IF(R4617="","",IFERROR(TODAY()+VLOOKUP(R4617,REGRAS!$B$2:$C$13,2,0),""))</f>
        <v/>
      </c>
    </row>
    <row r="4618" spans="20:20" x14ac:dyDescent="0.3">
      <c r="T4618" s="47" t="str">
        <f ca="1">IF(R4618="","",IFERROR(TODAY()+VLOOKUP(R4618,REGRAS!$B$2:$C$13,2,0),""))</f>
        <v/>
      </c>
    </row>
    <row r="4619" spans="20:20" x14ac:dyDescent="0.3">
      <c r="T4619" s="47" t="str">
        <f ca="1">IF(R4619="","",IFERROR(TODAY()+VLOOKUP(R4619,REGRAS!$B$2:$C$13,2,0),""))</f>
        <v/>
      </c>
    </row>
    <row r="4620" spans="20:20" x14ac:dyDescent="0.3">
      <c r="T4620" s="47" t="str">
        <f ca="1">IF(R4620="","",IFERROR(TODAY()+VLOOKUP(R4620,REGRAS!$B$2:$C$13,2,0),""))</f>
        <v/>
      </c>
    </row>
    <row r="4621" spans="20:20" x14ac:dyDescent="0.3">
      <c r="T4621" s="47" t="str">
        <f ca="1">IF(R4621="","",IFERROR(TODAY()+VLOOKUP(R4621,REGRAS!$B$2:$C$13,2,0),""))</f>
        <v/>
      </c>
    </row>
    <row r="4622" spans="20:20" x14ac:dyDescent="0.3">
      <c r="T4622" s="47" t="str">
        <f ca="1">IF(R4622="","",IFERROR(TODAY()+VLOOKUP(R4622,REGRAS!$B$2:$C$13,2,0),""))</f>
        <v/>
      </c>
    </row>
    <row r="4623" spans="20:20" x14ac:dyDescent="0.3">
      <c r="T4623" s="47" t="str">
        <f ca="1">IF(R4623="","",IFERROR(TODAY()+VLOOKUP(R4623,REGRAS!$B$2:$C$13,2,0),""))</f>
        <v/>
      </c>
    </row>
    <row r="4624" spans="20:20" x14ac:dyDescent="0.3">
      <c r="T4624" s="47" t="str">
        <f ca="1">IF(R4624="","",IFERROR(TODAY()+VLOOKUP(R4624,REGRAS!$B$2:$C$13,2,0),""))</f>
        <v/>
      </c>
    </row>
    <row r="4625" spans="20:20" x14ac:dyDescent="0.3">
      <c r="T4625" s="47" t="str">
        <f ca="1">IF(R4625="","",IFERROR(TODAY()+VLOOKUP(R4625,REGRAS!$B$2:$C$13,2,0),""))</f>
        <v/>
      </c>
    </row>
    <row r="4626" spans="20:20" x14ac:dyDescent="0.3">
      <c r="T4626" s="47" t="str">
        <f ca="1">IF(R4626="","",IFERROR(TODAY()+VLOOKUP(R4626,REGRAS!$B$2:$C$13,2,0),""))</f>
        <v/>
      </c>
    </row>
    <row r="4627" spans="20:20" x14ac:dyDescent="0.3">
      <c r="T4627" s="47" t="str">
        <f ca="1">IF(R4627="","",IFERROR(TODAY()+VLOOKUP(R4627,REGRAS!$B$2:$C$13,2,0),""))</f>
        <v/>
      </c>
    </row>
    <row r="4628" spans="20:20" x14ac:dyDescent="0.3">
      <c r="T4628" s="47" t="str">
        <f ca="1">IF(R4628="","",IFERROR(TODAY()+VLOOKUP(R4628,REGRAS!$B$2:$C$13,2,0),""))</f>
        <v/>
      </c>
    </row>
    <row r="4629" spans="20:20" x14ac:dyDescent="0.3">
      <c r="T4629" s="47" t="str">
        <f ca="1">IF(R4629="","",IFERROR(TODAY()+VLOOKUP(R4629,REGRAS!$B$2:$C$13,2,0),""))</f>
        <v/>
      </c>
    </row>
    <row r="4630" spans="20:20" x14ac:dyDescent="0.3">
      <c r="T4630" s="47" t="str">
        <f ca="1">IF(R4630="","",IFERROR(TODAY()+VLOOKUP(R4630,REGRAS!$B$2:$C$13,2,0),""))</f>
        <v/>
      </c>
    </row>
    <row r="4631" spans="20:20" x14ac:dyDescent="0.3">
      <c r="T4631" s="47" t="str">
        <f ca="1">IF(R4631="","",IFERROR(TODAY()+VLOOKUP(R4631,REGRAS!$B$2:$C$13,2,0),""))</f>
        <v/>
      </c>
    </row>
    <row r="4632" spans="20:20" x14ac:dyDescent="0.3">
      <c r="T4632" s="47" t="str">
        <f ca="1">IF(R4632="","",IFERROR(TODAY()+VLOOKUP(R4632,REGRAS!$B$2:$C$13,2,0),""))</f>
        <v/>
      </c>
    </row>
    <row r="4633" spans="20:20" x14ac:dyDescent="0.3">
      <c r="T4633" s="47" t="str">
        <f ca="1">IF(R4633="","",IFERROR(TODAY()+VLOOKUP(R4633,REGRAS!$B$2:$C$13,2,0),""))</f>
        <v/>
      </c>
    </row>
    <row r="4634" spans="20:20" x14ac:dyDescent="0.3">
      <c r="T4634" s="47" t="str">
        <f ca="1">IF(R4634="","",IFERROR(TODAY()+VLOOKUP(R4634,REGRAS!$B$2:$C$13,2,0),""))</f>
        <v/>
      </c>
    </row>
    <row r="4635" spans="20:20" x14ac:dyDescent="0.3">
      <c r="T4635" s="47" t="str">
        <f ca="1">IF(R4635="","",IFERROR(TODAY()+VLOOKUP(R4635,REGRAS!$B$2:$C$13,2,0),""))</f>
        <v/>
      </c>
    </row>
    <row r="4636" spans="20:20" x14ac:dyDescent="0.3">
      <c r="T4636" s="47" t="str">
        <f ca="1">IF(R4636="","",IFERROR(TODAY()+VLOOKUP(R4636,REGRAS!$B$2:$C$13,2,0),""))</f>
        <v/>
      </c>
    </row>
    <row r="4637" spans="20:20" x14ac:dyDescent="0.3">
      <c r="T4637" s="47" t="str">
        <f ca="1">IF(R4637="","",IFERROR(TODAY()+VLOOKUP(R4637,REGRAS!$B$2:$C$13,2,0),""))</f>
        <v/>
      </c>
    </row>
    <row r="4638" spans="20:20" x14ac:dyDescent="0.3">
      <c r="T4638" s="47" t="str">
        <f ca="1">IF(R4638="","",IFERROR(TODAY()+VLOOKUP(R4638,REGRAS!$B$2:$C$13,2,0),""))</f>
        <v/>
      </c>
    </row>
    <row r="4639" spans="20:20" x14ac:dyDescent="0.3">
      <c r="T4639" s="47" t="str">
        <f ca="1">IF(R4639="","",IFERROR(TODAY()+VLOOKUP(R4639,REGRAS!$B$2:$C$13,2,0),""))</f>
        <v/>
      </c>
    </row>
    <row r="4640" spans="20:20" x14ac:dyDescent="0.3">
      <c r="T4640" s="47" t="str">
        <f ca="1">IF(R4640="","",IFERROR(TODAY()+VLOOKUP(R4640,REGRAS!$B$2:$C$13,2,0),""))</f>
        <v/>
      </c>
    </row>
    <row r="4641" spans="20:20" x14ac:dyDescent="0.3">
      <c r="T4641" s="47" t="str">
        <f ca="1">IF(R4641="","",IFERROR(TODAY()+VLOOKUP(R4641,REGRAS!$B$2:$C$13,2,0),""))</f>
        <v/>
      </c>
    </row>
    <row r="4642" spans="20:20" x14ac:dyDescent="0.3">
      <c r="T4642" s="47" t="str">
        <f ca="1">IF(R4642="","",IFERROR(TODAY()+VLOOKUP(R4642,REGRAS!$B$2:$C$13,2,0),""))</f>
        <v/>
      </c>
    </row>
    <row r="4643" spans="20:20" x14ac:dyDescent="0.3">
      <c r="T4643" s="47" t="str">
        <f ca="1">IF(R4643="","",IFERROR(TODAY()+VLOOKUP(R4643,REGRAS!$B$2:$C$13,2,0),""))</f>
        <v/>
      </c>
    </row>
    <row r="4644" spans="20:20" x14ac:dyDescent="0.3">
      <c r="T4644" s="47" t="str">
        <f ca="1">IF(R4644="","",IFERROR(TODAY()+VLOOKUP(R4644,REGRAS!$B$2:$C$13,2,0),""))</f>
        <v/>
      </c>
    </row>
    <row r="4645" spans="20:20" x14ac:dyDescent="0.3">
      <c r="T4645" s="47" t="str">
        <f ca="1">IF(R4645="","",IFERROR(TODAY()+VLOOKUP(R4645,REGRAS!$B$2:$C$13,2,0),""))</f>
        <v/>
      </c>
    </row>
    <row r="4646" spans="20:20" x14ac:dyDescent="0.3">
      <c r="T4646" s="47" t="str">
        <f ca="1">IF(R4646="","",IFERROR(TODAY()+VLOOKUP(R4646,REGRAS!$B$2:$C$13,2,0),""))</f>
        <v/>
      </c>
    </row>
    <row r="4647" spans="20:20" x14ac:dyDescent="0.3">
      <c r="T4647" s="47" t="str">
        <f ca="1">IF(R4647="","",IFERROR(TODAY()+VLOOKUP(R4647,REGRAS!$B$2:$C$13,2,0),""))</f>
        <v/>
      </c>
    </row>
    <row r="4648" spans="20:20" x14ac:dyDescent="0.3">
      <c r="T4648" s="47" t="str">
        <f ca="1">IF(R4648="","",IFERROR(TODAY()+VLOOKUP(R4648,REGRAS!$B$2:$C$13,2,0),""))</f>
        <v/>
      </c>
    </row>
    <row r="4649" spans="20:20" x14ac:dyDescent="0.3">
      <c r="T4649" s="47" t="str">
        <f ca="1">IF(R4649="","",IFERROR(TODAY()+VLOOKUP(R4649,REGRAS!$B$2:$C$13,2,0),""))</f>
        <v/>
      </c>
    </row>
    <row r="4650" spans="20:20" x14ac:dyDescent="0.3">
      <c r="T4650" s="47" t="str">
        <f ca="1">IF(R4650="","",IFERROR(TODAY()+VLOOKUP(R4650,REGRAS!$B$2:$C$13,2,0),""))</f>
        <v/>
      </c>
    </row>
    <row r="4651" spans="20:20" x14ac:dyDescent="0.3">
      <c r="T4651" s="47" t="str">
        <f ca="1">IF(R4651="","",IFERROR(TODAY()+VLOOKUP(R4651,REGRAS!$B$2:$C$13,2,0),""))</f>
        <v/>
      </c>
    </row>
    <row r="4652" spans="20:20" x14ac:dyDescent="0.3">
      <c r="T4652" s="47" t="str">
        <f ca="1">IF(R4652="","",IFERROR(TODAY()+VLOOKUP(R4652,REGRAS!$B$2:$C$13,2,0),""))</f>
        <v/>
      </c>
    </row>
    <row r="4653" spans="20:20" x14ac:dyDescent="0.3">
      <c r="T4653" s="47" t="str">
        <f ca="1">IF(R4653="","",IFERROR(TODAY()+VLOOKUP(R4653,REGRAS!$B$2:$C$13,2,0),""))</f>
        <v/>
      </c>
    </row>
    <row r="4654" spans="20:20" x14ac:dyDescent="0.3">
      <c r="T4654" s="47" t="str">
        <f ca="1">IF(R4654="","",IFERROR(TODAY()+VLOOKUP(R4654,REGRAS!$B$2:$C$13,2,0),""))</f>
        <v/>
      </c>
    </row>
    <row r="4655" spans="20:20" x14ac:dyDescent="0.3">
      <c r="T4655" s="47" t="str">
        <f ca="1">IF(R4655="","",IFERROR(TODAY()+VLOOKUP(R4655,REGRAS!$B$2:$C$13,2,0),""))</f>
        <v/>
      </c>
    </row>
    <row r="4656" spans="20:20" x14ac:dyDescent="0.3">
      <c r="T4656" s="47" t="str">
        <f ca="1">IF(R4656="","",IFERROR(TODAY()+VLOOKUP(R4656,REGRAS!$B$2:$C$13,2,0),""))</f>
        <v/>
      </c>
    </row>
    <row r="4657" spans="20:20" x14ac:dyDescent="0.3">
      <c r="T4657" s="47" t="str">
        <f ca="1">IF(R4657="","",IFERROR(TODAY()+VLOOKUP(R4657,REGRAS!$B$2:$C$13,2,0),""))</f>
        <v/>
      </c>
    </row>
    <row r="4658" spans="20:20" x14ac:dyDescent="0.3">
      <c r="T4658" s="47" t="str">
        <f ca="1">IF(R4658="","",IFERROR(TODAY()+VLOOKUP(R4658,REGRAS!$B$2:$C$13,2,0),""))</f>
        <v/>
      </c>
    </row>
    <row r="4659" spans="20:20" x14ac:dyDescent="0.3">
      <c r="T4659" s="47" t="str">
        <f ca="1">IF(R4659="","",IFERROR(TODAY()+VLOOKUP(R4659,REGRAS!$B$2:$C$13,2,0),""))</f>
        <v/>
      </c>
    </row>
    <row r="4660" spans="20:20" x14ac:dyDescent="0.3">
      <c r="T4660" s="47" t="str">
        <f ca="1">IF(R4660="","",IFERROR(TODAY()+VLOOKUP(R4660,REGRAS!$B$2:$C$13,2,0),""))</f>
        <v/>
      </c>
    </row>
    <row r="4661" spans="20:20" x14ac:dyDescent="0.3">
      <c r="T4661" s="47" t="str">
        <f ca="1">IF(R4661="","",IFERROR(TODAY()+VLOOKUP(R4661,REGRAS!$B$2:$C$13,2,0),""))</f>
        <v/>
      </c>
    </row>
    <row r="4662" spans="20:20" x14ac:dyDescent="0.3">
      <c r="T4662" s="47" t="str">
        <f ca="1">IF(R4662="","",IFERROR(TODAY()+VLOOKUP(R4662,REGRAS!$B$2:$C$13,2,0),""))</f>
        <v/>
      </c>
    </row>
    <row r="4663" spans="20:20" x14ac:dyDescent="0.3">
      <c r="T4663" s="47" t="str">
        <f ca="1">IF(R4663="","",IFERROR(TODAY()+VLOOKUP(R4663,REGRAS!$B$2:$C$13,2,0),""))</f>
        <v/>
      </c>
    </row>
    <row r="4664" spans="20:20" x14ac:dyDescent="0.3">
      <c r="T4664" s="47" t="str">
        <f ca="1">IF(R4664="","",IFERROR(TODAY()+VLOOKUP(R4664,REGRAS!$B$2:$C$13,2,0),""))</f>
        <v/>
      </c>
    </row>
    <row r="4665" spans="20:20" x14ac:dyDescent="0.3">
      <c r="T4665" s="47" t="str">
        <f ca="1">IF(R4665="","",IFERROR(TODAY()+VLOOKUP(R4665,REGRAS!$B$2:$C$13,2,0),""))</f>
        <v/>
      </c>
    </row>
    <row r="4666" spans="20:20" x14ac:dyDescent="0.3">
      <c r="T4666" s="47" t="str">
        <f ca="1">IF(R4666="","",IFERROR(TODAY()+VLOOKUP(R4666,REGRAS!$B$2:$C$13,2,0),""))</f>
        <v/>
      </c>
    </row>
    <row r="4667" spans="20:20" x14ac:dyDescent="0.3">
      <c r="T4667" s="47" t="str">
        <f ca="1">IF(R4667="","",IFERROR(TODAY()+VLOOKUP(R4667,REGRAS!$B$2:$C$13,2,0),""))</f>
        <v/>
      </c>
    </row>
    <row r="4668" spans="20:20" x14ac:dyDescent="0.3">
      <c r="T4668" s="47" t="str">
        <f ca="1">IF(R4668="","",IFERROR(TODAY()+VLOOKUP(R4668,REGRAS!$B$2:$C$13,2,0),""))</f>
        <v/>
      </c>
    </row>
    <row r="4669" spans="20:20" x14ac:dyDescent="0.3">
      <c r="T4669" s="47" t="str">
        <f ca="1">IF(R4669="","",IFERROR(TODAY()+VLOOKUP(R4669,REGRAS!$B$2:$C$13,2,0),""))</f>
        <v/>
      </c>
    </row>
    <row r="4670" spans="20:20" x14ac:dyDescent="0.3">
      <c r="T4670" s="47" t="str">
        <f ca="1">IF(R4670="","",IFERROR(TODAY()+VLOOKUP(R4670,REGRAS!$B$2:$C$13,2,0),""))</f>
        <v/>
      </c>
    </row>
    <row r="4671" spans="20:20" x14ac:dyDescent="0.3">
      <c r="T4671" s="47" t="str">
        <f ca="1">IF(R4671="","",IFERROR(TODAY()+VLOOKUP(R4671,REGRAS!$B$2:$C$13,2,0),""))</f>
        <v/>
      </c>
    </row>
    <row r="4672" spans="20:20" x14ac:dyDescent="0.3">
      <c r="T4672" s="47" t="str">
        <f ca="1">IF(R4672="","",IFERROR(TODAY()+VLOOKUP(R4672,REGRAS!$B$2:$C$13,2,0),""))</f>
        <v/>
      </c>
    </row>
    <row r="4673" spans="20:20" x14ac:dyDescent="0.3">
      <c r="T4673" s="47" t="str">
        <f ca="1">IF(R4673="","",IFERROR(TODAY()+VLOOKUP(R4673,REGRAS!$B$2:$C$13,2,0),""))</f>
        <v/>
      </c>
    </row>
    <row r="4674" spans="20:20" x14ac:dyDescent="0.3">
      <c r="T4674" s="47" t="str">
        <f ca="1">IF(R4674="","",IFERROR(TODAY()+VLOOKUP(R4674,REGRAS!$B$2:$C$13,2,0),""))</f>
        <v/>
      </c>
    </row>
    <row r="4675" spans="20:20" x14ac:dyDescent="0.3">
      <c r="T4675" s="47" t="str">
        <f ca="1">IF(R4675="","",IFERROR(TODAY()+VLOOKUP(R4675,REGRAS!$B$2:$C$13,2,0),""))</f>
        <v/>
      </c>
    </row>
    <row r="4676" spans="20:20" x14ac:dyDescent="0.3">
      <c r="T4676" s="47" t="str">
        <f ca="1">IF(R4676="","",IFERROR(TODAY()+VLOOKUP(R4676,REGRAS!$B$2:$C$13,2,0),""))</f>
        <v/>
      </c>
    </row>
    <row r="4677" spans="20:20" x14ac:dyDescent="0.3">
      <c r="T4677" s="47" t="str">
        <f ca="1">IF(R4677="","",IFERROR(TODAY()+VLOOKUP(R4677,REGRAS!$B$2:$C$13,2,0),""))</f>
        <v/>
      </c>
    </row>
    <row r="4678" spans="20:20" x14ac:dyDescent="0.3">
      <c r="T4678" s="47" t="str">
        <f ca="1">IF(R4678="","",IFERROR(TODAY()+VLOOKUP(R4678,REGRAS!$B$2:$C$13,2,0),""))</f>
        <v/>
      </c>
    </row>
    <row r="4679" spans="20:20" x14ac:dyDescent="0.3">
      <c r="T4679" s="47" t="str">
        <f ca="1">IF(R4679="","",IFERROR(TODAY()+VLOOKUP(R4679,REGRAS!$B$2:$C$13,2,0),""))</f>
        <v/>
      </c>
    </row>
    <row r="4680" spans="20:20" x14ac:dyDescent="0.3">
      <c r="T4680" s="47" t="str">
        <f ca="1">IF(R4680="","",IFERROR(TODAY()+VLOOKUP(R4680,REGRAS!$B$2:$C$13,2,0),""))</f>
        <v/>
      </c>
    </row>
    <row r="4681" spans="20:20" x14ac:dyDescent="0.3">
      <c r="T4681" s="47" t="str">
        <f ca="1">IF(R4681="","",IFERROR(TODAY()+VLOOKUP(R4681,REGRAS!$B$2:$C$13,2,0),""))</f>
        <v/>
      </c>
    </row>
    <row r="4682" spans="20:20" x14ac:dyDescent="0.3">
      <c r="T4682" s="47" t="str">
        <f ca="1">IF(R4682="","",IFERROR(TODAY()+VLOOKUP(R4682,REGRAS!$B$2:$C$13,2,0),""))</f>
        <v/>
      </c>
    </row>
    <row r="4683" spans="20:20" x14ac:dyDescent="0.3">
      <c r="T4683" s="47" t="str">
        <f ca="1">IF(R4683="","",IFERROR(TODAY()+VLOOKUP(R4683,REGRAS!$B$2:$C$13,2,0),""))</f>
        <v/>
      </c>
    </row>
    <row r="4684" spans="20:20" x14ac:dyDescent="0.3">
      <c r="T4684" s="47" t="str">
        <f ca="1">IF(R4684="","",IFERROR(TODAY()+VLOOKUP(R4684,REGRAS!$B$2:$C$13,2,0),""))</f>
        <v/>
      </c>
    </row>
    <row r="4685" spans="20:20" x14ac:dyDescent="0.3">
      <c r="T4685" s="47" t="str">
        <f ca="1">IF(R4685="","",IFERROR(TODAY()+VLOOKUP(R4685,REGRAS!$B$2:$C$13,2,0),""))</f>
        <v/>
      </c>
    </row>
    <row r="4686" spans="20:20" x14ac:dyDescent="0.3">
      <c r="T4686" s="47" t="str">
        <f ca="1">IF(R4686="","",IFERROR(TODAY()+VLOOKUP(R4686,REGRAS!$B$2:$C$13,2,0),""))</f>
        <v/>
      </c>
    </row>
    <row r="4687" spans="20:20" x14ac:dyDescent="0.3">
      <c r="T4687" s="47" t="str">
        <f ca="1">IF(R4687="","",IFERROR(TODAY()+VLOOKUP(R4687,REGRAS!$B$2:$C$13,2,0),""))</f>
        <v/>
      </c>
    </row>
    <row r="4688" spans="20:20" x14ac:dyDescent="0.3">
      <c r="T4688" s="47" t="str">
        <f ca="1">IF(R4688="","",IFERROR(TODAY()+VLOOKUP(R4688,REGRAS!$B$2:$C$13,2,0),""))</f>
        <v/>
      </c>
    </row>
    <row r="4689" spans="20:20" x14ac:dyDescent="0.3">
      <c r="T4689" s="47" t="str">
        <f ca="1">IF(R4689="","",IFERROR(TODAY()+VLOOKUP(R4689,REGRAS!$B$2:$C$13,2,0),""))</f>
        <v/>
      </c>
    </row>
    <row r="4690" spans="20:20" x14ac:dyDescent="0.3">
      <c r="T4690" s="47" t="str">
        <f ca="1">IF(R4690="","",IFERROR(TODAY()+VLOOKUP(R4690,REGRAS!$B$2:$C$13,2,0),""))</f>
        <v/>
      </c>
    </row>
    <row r="4691" spans="20:20" x14ac:dyDescent="0.3">
      <c r="T4691" s="47" t="str">
        <f ca="1">IF(R4691="","",IFERROR(TODAY()+VLOOKUP(R4691,REGRAS!$B$2:$C$13,2,0),""))</f>
        <v/>
      </c>
    </row>
    <row r="4692" spans="20:20" x14ac:dyDescent="0.3">
      <c r="T4692" s="47" t="str">
        <f ca="1">IF(R4692="","",IFERROR(TODAY()+VLOOKUP(R4692,REGRAS!$B$2:$C$13,2,0),""))</f>
        <v/>
      </c>
    </row>
    <row r="4693" spans="20:20" x14ac:dyDescent="0.3">
      <c r="T4693" s="47" t="str">
        <f ca="1">IF(R4693="","",IFERROR(TODAY()+VLOOKUP(R4693,REGRAS!$B$2:$C$13,2,0),""))</f>
        <v/>
      </c>
    </row>
    <row r="4694" spans="20:20" x14ac:dyDescent="0.3">
      <c r="T4694" s="47" t="str">
        <f ca="1">IF(R4694="","",IFERROR(TODAY()+VLOOKUP(R4694,REGRAS!$B$2:$C$13,2,0),""))</f>
        <v/>
      </c>
    </row>
    <row r="4695" spans="20:20" x14ac:dyDescent="0.3">
      <c r="T4695" s="47" t="str">
        <f ca="1">IF(R4695="","",IFERROR(TODAY()+VLOOKUP(R4695,REGRAS!$B$2:$C$13,2,0),""))</f>
        <v/>
      </c>
    </row>
    <row r="4696" spans="20:20" x14ac:dyDescent="0.3">
      <c r="T4696" s="47" t="str">
        <f ca="1">IF(R4696="","",IFERROR(TODAY()+VLOOKUP(R4696,REGRAS!$B$2:$C$13,2,0),""))</f>
        <v/>
      </c>
    </row>
    <row r="4697" spans="20:20" x14ac:dyDescent="0.3">
      <c r="T4697" s="47" t="str">
        <f ca="1">IF(R4697="","",IFERROR(TODAY()+VLOOKUP(R4697,REGRAS!$B$2:$C$13,2,0),""))</f>
        <v/>
      </c>
    </row>
    <row r="4698" spans="20:20" x14ac:dyDescent="0.3">
      <c r="T4698" s="47" t="str">
        <f ca="1">IF(R4698="","",IFERROR(TODAY()+VLOOKUP(R4698,REGRAS!$B$2:$C$13,2,0),""))</f>
        <v/>
      </c>
    </row>
    <row r="4699" spans="20:20" x14ac:dyDescent="0.3">
      <c r="T4699" s="47" t="str">
        <f ca="1">IF(R4699="","",IFERROR(TODAY()+VLOOKUP(R4699,REGRAS!$B$2:$C$13,2,0),""))</f>
        <v/>
      </c>
    </row>
    <row r="4700" spans="20:20" x14ac:dyDescent="0.3">
      <c r="T4700" s="47" t="str">
        <f ca="1">IF(R4700="","",IFERROR(TODAY()+VLOOKUP(R4700,REGRAS!$B$2:$C$13,2,0),""))</f>
        <v/>
      </c>
    </row>
    <row r="4701" spans="20:20" x14ac:dyDescent="0.3">
      <c r="T4701" s="47" t="str">
        <f ca="1">IF(R4701="","",IFERROR(TODAY()+VLOOKUP(R4701,REGRAS!$B$2:$C$13,2,0),""))</f>
        <v/>
      </c>
    </row>
    <row r="4702" spans="20:20" x14ac:dyDescent="0.3">
      <c r="T4702" s="47" t="str">
        <f ca="1">IF(R4702="","",IFERROR(TODAY()+VLOOKUP(R4702,REGRAS!$B$2:$C$13,2,0),""))</f>
        <v/>
      </c>
    </row>
    <row r="4703" spans="20:20" x14ac:dyDescent="0.3">
      <c r="T4703" s="47" t="str">
        <f ca="1">IF(R4703="","",IFERROR(TODAY()+VLOOKUP(R4703,REGRAS!$B$2:$C$13,2,0),""))</f>
        <v/>
      </c>
    </row>
    <row r="4704" spans="20:20" x14ac:dyDescent="0.3">
      <c r="T4704" s="47" t="str">
        <f ca="1">IF(R4704="","",IFERROR(TODAY()+VLOOKUP(R4704,REGRAS!$B$2:$C$13,2,0),""))</f>
        <v/>
      </c>
    </row>
    <row r="4705" spans="20:20" x14ac:dyDescent="0.3">
      <c r="T4705" s="47" t="str">
        <f ca="1">IF(R4705="","",IFERROR(TODAY()+VLOOKUP(R4705,REGRAS!$B$2:$C$13,2,0),""))</f>
        <v/>
      </c>
    </row>
    <row r="4706" spans="20:20" x14ac:dyDescent="0.3">
      <c r="T4706" s="47" t="str">
        <f ca="1">IF(R4706="","",IFERROR(TODAY()+VLOOKUP(R4706,REGRAS!$B$2:$C$13,2,0),""))</f>
        <v/>
      </c>
    </row>
    <row r="4707" spans="20:20" x14ac:dyDescent="0.3">
      <c r="T4707" s="47" t="str">
        <f ca="1">IF(R4707="","",IFERROR(TODAY()+VLOOKUP(R4707,REGRAS!$B$2:$C$13,2,0),""))</f>
        <v/>
      </c>
    </row>
    <row r="4708" spans="20:20" x14ac:dyDescent="0.3">
      <c r="T4708" s="47" t="str">
        <f ca="1">IF(R4708="","",IFERROR(TODAY()+VLOOKUP(R4708,REGRAS!$B$2:$C$13,2,0),""))</f>
        <v/>
      </c>
    </row>
    <row r="4709" spans="20:20" x14ac:dyDescent="0.3">
      <c r="T4709" s="47" t="str">
        <f ca="1">IF(R4709="","",IFERROR(TODAY()+VLOOKUP(R4709,REGRAS!$B$2:$C$13,2,0),""))</f>
        <v/>
      </c>
    </row>
    <row r="4710" spans="20:20" x14ac:dyDescent="0.3">
      <c r="T4710" s="47" t="str">
        <f ca="1">IF(R4710="","",IFERROR(TODAY()+VLOOKUP(R4710,REGRAS!$B$2:$C$13,2,0),""))</f>
        <v/>
      </c>
    </row>
    <row r="4711" spans="20:20" x14ac:dyDescent="0.3">
      <c r="T4711" s="47" t="str">
        <f ca="1">IF(R4711="","",IFERROR(TODAY()+VLOOKUP(R4711,REGRAS!$B$2:$C$13,2,0),""))</f>
        <v/>
      </c>
    </row>
    <row r="4712" spans="20:20" x14ac:dyDescent="0.3">
      <c r="T4712" s="47" t="str">
        <f ca="1">IF(R4712="","",IFERROR(TODAY()+VLOOKUP(R4712,REGRAS!$B$2:$C$13,2,0),""))</f>
        <v/>
      </c>
    </row>
    <row r="4713" spans="20:20" x14ac:dyDescent="0.3">
      <c r="T4713" s="47" t="str">
        <f ca="1">IF(R4713="","",IFERROR(TODAY()+VLOOKUP(R4713,REGRAS!$B$2:$C$13,2,0),""))</f>
        <v/>
      </c>
    </row>
    <row r="4714" spans="20:20" x14ac:dyDescent="0.3">
      <c r="T4714" s="47" t="str">
        <f ca="1">IF(R4714="","",IFERROR(TODAY()+VLOOKUP(R4714,REGRAS!$B$2:$C$13,2,0),""))</f>
        <v/>
      </c>
    </row>
    <row r="4715" spans="20:20" x14ac:dyDescent="0.3">
      <c r="T4715" s="47" t="str">
        <f ca="1">IF(R4715="","",IFERROR(TODAY()+VLOOKUP(R4715,REGRAS!$B$2:$C$13,2,0),""))</f>
        <v/>
      </c>
    </row>
    <row r="4716" spans="20:20" x14ac:dyDescent="0.3">
      <c r="T4716" s="47" t="str">
        <f ca="1">IF(R4716="","",IFERROR(TODAY()+VLOOKUP(R4716,REGRAS!$B$2:$C$13,2,0),""))</f>
        <v/>
      </c>
    </row>
    <row r="4717" spans="20:20" x14ac:dyDescent="0.3">
      <c r="T4717" s="47" t="str">
        <f ca="1">IF(R4717="","",IFERROR(TODAY()+VLOOKUP(R4717,REGRAS!$B$2:$C$13,2,0),""))</f>
        <v/>
      </c>
    </row>
    <row r="4718" spans="20:20" x14ac:dyDescent="0.3">
      <c r="T4718" s="47" t="str">
        <f ca="1">IF(R4718="","",IFERROR(TODAY()+VLOOKUP(R4718,REGRAS!$B$2:$C$13,2,0),""))</f>
        <v/>
      </c>
    </row>
    <row r="4719" spans="20:20" x14ac:dyDescent="0.3">
      <c r="T4719" s="47" t="str">
        <f ca="1">IF(R4719="","",IFERROR(TODAY()+VLOOKUP(R4719,REGRAS!$B$2:$C$13,2,0),""))</f>
        <v/>
      </c>
    </row>
    <row r="4720" spans="20:20" x14ac:dyDescent="0.3">
      <c r="T4720" s="47" t="str">
        <f ca="1">IF(R4720="","",IFERROR(TODAY()+VLOOKUP(R4720,REGRAS!$B$2:$C$13,2,0),""))</f>
        <v/>
      </c>
    </row>
    <row r="4721" spans="20:20" x14ac:dyDescent="0.3">
      <c r="T4721" s="47" t="str">
        <f ca="1">IF(R4721="","",IFERROR(TODAY()+VLOOKUP(R4721,REGRAS!$B$2:$C$13,2,0),""))</f>
        <v/>
      </c>
    </row>
    <row r="4722" spans="20:20" x14ac:dyDescent="0.3">
      <c r="T4722" s="47" t="str">
        <f ca="1">IF(R4722="","",IFERROR(TODAY()+VLOOKUP(R4722,REGRAS!$B$2:$C$13,2,0),""))</f>
        <v/>
      </c>
    </row>
    <row r="4723" spans="20:20" x14ac:dyDescent="0.3">
      <c r="T4723" s="47" t="str">
        <f ca="1">IF(R4723="","",IFERROR(TODAY()+VLOOKUP(R4723,REGRAS!$B$2:$C$13,2,0),""))</f>
        <v/>
      </c>
    </row>
    <row r="4724" spans="20:20" x14ac:dyDescent="0.3">
      <c r="T4724" s="47" t="str">
        <f ca="1">IF(R4724="","",IFERROR(TODAY()+VLOOKUP(R4724,REGRAS!$B$2:$C$13,2,0),""))</f>
        <v/>
      </c>
    </row>
    <row r="4725" spans="20:20" x14ac:dyDescent="0.3">
      <c r="T4725" s="47" t="str">
        <f ca="1">IF(R4725="","",IFERROR(TODAY()+VLOOKUP(R4725,REGRAS!$B$2:$C$13,2,0),""))</f>
        <v/>
      </c>
    </row>
    <row r="4726" spans="20:20" x14ac:dyDescent="0.3">
      <c r="T4726" s="47" t="str">
        <f ca="1">IF(R4726="","",IFERROR(TODAY()+VLOOKUP(R4726,REGRAS!$B$2:$C$13,2,0),""))</f>
        <v/>
      </c>
    </row>
    <row r="4727" spans="20:20" x14ac:dyDescent="0.3">
      <c r="T4727" s="47" t="str">
        <f ca="1">IF(R4727="","",IFERROR(TODAY()+VLOOKUP(R4727,REGRAS!$B$2:$C$13,2,0),""))</f>
        <v/>
      </c>
    </row>
    <row r="4728" spans="20:20" x14ac:dyDescent="0.3">
      <c r="T4728" s="47" t="str">
        <f ca="1">IF(R4728="","",IFERROR(TODAY()+VLOOKUP(R4728,REGRAS!$B$2:$C$13,2,0),""))</f>
        <v/>
      </c>
    </row>
    <row r="4729" spans="20:20" x14ac:dyDescent="0.3">
      <c r="T4729" s="47" t="str">
        <f ca="1">IF(R4729="","",IFERROR(TODAY()+VLOOKUP(R4729,REGRAS!$B$2:$C$13,2,0),""))</f>
        <v/>
      </c>
    </row>
    <row r="4730" spans="20:20" x14ac:dyDescent="0.3">
      <c r="T4730" s="47" t="str">
        <f ca="1">IF(R4730="","",IFERROR(TODAY()+VLOOKUP(R4730,REGRAS!$B$2:$C$13,2,0),""))</f>
        <v/>
      </c>
    </row>
    <row r="4731" spans="20:20" x14ac:dyDescent="0.3">
      <c r="T4731" s="47" t="str">
        <f ca="1">IF(R4731="","",IFERROR(TODAY()+VLOOKUP(R4731,REGRAS!$B$2:$C$13,2,0),""))</f>
        <v/>
      </c>
    </row>
    <row r="4732" spans="20:20" x14ac:dyDescent="0.3">
      <c r="T4732" s="47" t="str">
        <f ca="1">IF(R4732="","",IFERROR(TODAY()+VLOOKUP(R4732,REGRAS!$B$2:$C$13,2,0),""))</f>
        <v/>
      </c>
    </row>
    <row r="4733" spans="20:20" x14ac:dyDescent="0.3">
      <c r="T4733" s="47" t="str">
        <f ca="1">IF(R4733="","",IFERROR(TODAY()+VLOOKUP(R4733,REGRAS!$B$2:$C$13,2,0),""))</f>
        <v/>
      </c>
    </row>
    <row r="4734" spans="20:20" x14ac:dyDescent="0.3">
      <c r="T4734" s="47" t="str">
        <f ca="1">IF(R4734="","",IFERROR(TODAY()+VLOOKUP(R4734,REGRAS!$B$2:$C$13,2,0),""))</f>
        <v/>
      </c>
    </row>
    <row r="4735" spans="20:20" x14ac:dyDescent="0.3">
      <c r="T4735" s="47" t="str">
        <f ca="1">IF(R4735="","",IFERROR(TODAY()+VLOOKUP(R4735,REGRAS!$B$2:$C$13,2,0),""))</f>
        <v/>
      </c>
    </row>
    <row r="4736" spans="20:20" x14ac:dyDescent="0.3">
      <c r="T4736" s="47" t="str">
        <f ca="1">IF(R4736="","",IFERROR(TODAY()+VLOOKUP(R4736,REGRAS!$B$2:$C$13,2,0),""))</f>
        <v/>
      </c>
    </row>
    <row r="4737" spans="20:20" x14ac:dyDescent="0.3">
      <c r="T4737" s="47" t="str">
        <f ca="1">IF(R4737="","",IFERROR(TODAY()+VLOOKUP(R4737,REGRAS!$B$2:$C$13,2,0),""))</f>
        <v/>
      </c>
    </row>
    <row r="4738" spans="20:20" x14ac:dyDescent="0.3">
      <c r="T4738" s="47" t="str">
        <f ca="1">IF(R4738="","",IFERROR(TODAY()+VLOOKUP(R4738,REGRAS!$B$2:$C$13,2,0),""))</f>
        <v/>
      </c>
    </row>
    <row r="4739" spans="20:20" x14ac:dyDescent="0.3">
      <c r="T4739" s="47" t="str">
        <f ca="1">IF(R4739="","",IFERROR(TODAY()+VLOOKUP(R4739,REGRAS!$B$2:$C$13,2,0),""))</f>
        <v/>
      </c>
    </row>
    <row r="4740" spans="20:20" x14ac:dyDescent="0.3">
      <c r="T4740" s="47" t="str">
        <f ca="1">IF(R4740="","",IFERROR(TODAY()+VLOOKUP(R4740,REGRAS!$B$2:$C$13,2,0),""))</f>
        <v/>
      </c>
    </row>
    <row r="4741" spans="20:20" x14ac:dyDescent="0.3">
      <c r="T4741" s="47" t="str">
        <f ca="1">IF(R4741="","",IFERROR(TODAY()+VLOOKUP(R4741,REGRAS!$B$2:$C$13,2,0),""))</f>
        <v/>
      </c>
    </row>
    <row r="4742" spans="20:20" x14ac:dyDescent="0.3">
      <c r="T4742" s="47" t="str">
        <f ca="1">IF(R4742="","",IFERROR(TODAY()+VLOOKUP(R4742,REGRAS!$B$2:$C$13,2,0),""))</f>
        <v/>
      </c>
    </row>
    <row r="4743" spans="20:20" x14ac:dyDescent="0.3">
      <c r="T4743" s="47" t="str">
        <f ca="1">IF(R4743="","",IFERROR(TODAY()+VLOOKUP(R4743,REGRAS!$B$2:$C$13,2,0),""))</f>
        <v/>
      </c>
    </row>
    <row r="4744" spans="20:20" x14ac:dyDescent="0.3">
      <c r="T4744" s="47" t="str">
        <f ca="1">IF(R4744="","",IFERROR(TODAY()+VLOOKUP(R4744,REGRAS!$B$2:$C$13,2,0),""))</f>
        <v/>
      </c>
    </row>
    <row r="4745" spans="20:20" x14ac:dyDescent="0.3">
      <c r="T4745" s="47" t="str">
        <f ca="1">IF(R4745="","",IFERROR(TODAY()+VLOOKUP(R4745,REGRAS!$B$2:$C$13,2,0),""))</f>
        <v/>
      </c>
    </row>
    <row r="4746" spans="20:20" x14ac:dyDescent="0.3">
      <c r="T4746" s="47" t="str">
        <f ca="1">IF(R4746="","",IFERROR(TODAY()+VLOOKUP(R4746,REGRAS!$B$2:$C$13,2,0),""))</f>
        <v/>
      </c>
    </row>
    <row r="4747" spans="20:20" x14ac:dyDescent="0.3">
      <c r="T4747" s="47" t="str">
        <f ca="1">IF(R4747="","",IFERROR(TODAY()+VLOOKUP(R4747,REGRAS!$B$2:$C$13,2,0),""))</f>
        <v/>
      </c>
    </row>
    <row r="4748" spans="20:20" x14ac:dyDescent="0.3">
      <c r="T4748" s="47" t="str">
        <f ca="1">IF(R4748="","",IFERROR(TODAY()+VLOOKUP(R4748,REGRAS!$B$2:$C$13,2,0),""))</f>
        <v/>
      </c>
    </row>
    <row r="4749" spans="20:20" x14ac:dyDescent="0.3">
      <c r="T4749" s="47" t="str">
        <f ca="1">IF(R4749="","",IFERROR(TODAY()+VLOOKUP(R4749,REGRAS!$B$2:$C$13,2,0),""))</f>
        <v/>
      </c>
    </row>
    <row r="4750" spans="20:20" x14ac:dyDescent="0.3">
      <c r="T4750" s="47" t="str">
        <f ca="1">IF(R4750="","",IFERROR(TODAY()+VLOOKUP(R4750,REGRAS!$B$2:$C$13,2,0),""))</f>
        <v/>
      </c>
    </row>
    <row r="4751" spans="20:20" x14ac:dyDescent="0.3">
      <c r="T4751" s="47" t="str">
        <f ca="1">IF(R4751="","",IFERROR(TODAY()+VLOOKUP(R4751,REGRAS!$B$2:$C$13,2,0),""))</f>
        <v/>
      </c>
    </row>
    <row r="4752" spans="20:20" x14ac:dyDescent="0.3">
      <c r="T4752" s="47" t="str">
        <f ca="1">IF(R4752="","",IFERROR(TODAY()+VLOOKUP(R4752,REGRAS!$B$2:$C$13,2,0),""))</f>
        <v/>
      </c>
    </row>
    <row r="4753" spans="20:20" x14ac:dyDescent="0.3">
      <c r="T4753" s="47" t="str">
        <f ca="1">IF(R4753="","",IFERROR(TODAY()+VLOOKUP(R4753,REGRAS!$B$2:$C$13,2,0),""))</f>
        <v/>
      </c>
    </row>
    <row r="4754" spans="20:20" x14ac:dyDescent="0.3">
      <c r="T4754" s="47" t="str">
        <f ca="1">IF(R4754="","",IFERROR(TODAY()+VLOOKUP(R4754,REGRAS!$B$2:$C$13,2,0),""))</f>
        <v/>
      </c>
    </row>
    <row r="4755" spans="20:20" x14ac:dyDescent="0.3">
      <c r="T4755" s="47" t="str">
        <f ca="1">IF(R4755="","",IFERROR(TODAY()+VLOOKUP(R4755,REGRAS!$B$2:$C$13,2,0),""))</f>
        <v/>
      </c>
    </row>
    <row r="4756" spans="20:20" x14ac:dyDescent="0.3">
      <c r="T4756" s="47" t="str">
        <f ca="1">IF(R4756="","",IFERROR(TODAY()+VLOOKUP(R4756,REGRAS!$B$2:$C$13,2,0),""))</f>
        <v/>
      </c>
    </row>
    <row r="4757" spans="20:20" x14ac:dyDescent="0.3">
      <c r="T4757" s="47" t="str">
        <f ca="1">IF(R4757="","",IFERROR(TODAY()+VLOOKUP(R4757,REGRAS!$B$2:$C$13,2,0),""))</f>
        <v/>
      </c>
    </row>
    <row r="4758" spans="20:20" x14ac:dyDescent="0.3">
      <c r="T4758" s="47" t="str">
        <f ca="1">IF(R4758="","",IFERROR(TODAY()+VLOOKUP(R4758,REGRAS!$B$2:$C$13,2,0),""))</f>
        <v/>
      </c>
    </row>
    <row r="4759" spans="20:20" x14ac:dyDescent="0.3">
      <c r="T4759" s="47" t="str">
        <f ca="1">IF(R4759="","",IFERROR(TODAY()+VLOOKUP(R4759,REGRAS!$B$2:$C$13,2,0),""))</f>
        <v/>
      </c>
    </row>
    <row r="4760" spans="20:20" x14ac:dyDescent="0.3">
      <c r="T4760" s="47" t="str">
        <f ca="1">IF(R4760="","",IFERROR(TODAY()+VLOOKUP(R4760,REGRAS!$B$2:$C$13,2,0),""))</f>
        <v/>
      </c>
    </row>
    <row r="4761" spans="20:20" x14ac:dyDescent="0.3">
      <c r="T4761" s="47" t="str">
        <f ca="1">IF(R4761="","",IFERROR(TODAY()+VLOOKUP(R4761,REGRAS!$B$2:$C$13,2,0),""))</f>
        <v/>
      </c>
    </row>
    <row r="4762" spans="20:20" x14ac:dyDescent="0.3">
      <c r="T4762" s="47" t="str">
        <f ca="1">IF(R4762="","",IFERROR(TODAY()+VLOOKUP(R4762,REGRAS!$B$2:$C$13,2,0),""))</f>
        <v/>
      </c>
    </row>
    <row r="4763" spans="20:20" x14ac:dyDescent="0.3">
      <c r="T4763" s="47" t="str">
        <f ca="1">IF(R4763="","",IFERROR(TODAY()+VLOOKUP(R4763,REGRAS!$B$2:$C$13,2,0),""))</f>
        <v/>
      </c>
    </row>
    <row r="4764" spans="20:20" x14ac:dyDescent="0.3">
      <c r="T4764" s="47" t="str">
        <f ca="1">IF(R4764="","",IFERROR(TODAY()+VLOOKUP(R4764,REGRAS!$B$2:$C$13,2,0),""))</f>
        <v/>
      </c>
    </row>
    <row r="4765" spans="20:20" x14ac:dyDescent="0.3">
      <c r="T4765" s="47" t="str">
        <f ca="1">IF(R4765="","",IFERROR(TODAY()+VLOOKUP(R4765,REGRAS!$B$2:$C$13,2,0),""))</f>
        <v/>
      </c>
    </row>
    <row r="4766" spans="20:20" x14ac:dyDescent="0.3">
      <c r="T4766" s="47" t="str">
        <f ca="1">IF(R4766="","",IFERROR(TODAY()+VLOOKUP(R4766,REGRAS!$B$2:$C$13,2,0),""))</f>
        <v/>
      </c>
    </row>
    <row r="4767" spans="20:20" x14ac:dyDescent="0.3">
      <c r="T4767" s="47" t="str">
        <f ca="1">IF(R4767="","",IFERROR(TODAY()+VLOOKUP(R4767,REGRAS!$B$2:$C$13,2,0),""))</f>
        <v/>
      </c>
    </row>
    <row r="4768" spans="20:20" x14ac:dyDescent="0.3">
      <c r="T4768" s="47" t="str">
        <f ca="1">IF(R4768="","",IFERROR(TODAY()+VLOOKUP(R4768,REGRAS!$B$2:$C$13,2,0),""))</f>
        <v/>
      </c>
    </row>
    <row r="4769" spans="20:20" x14ac:dyDescent="0.3">
      <c r="T4769" s="47" t="str">
        <f ca="1">IF(R4769="","",IFERROR(TODAY()+VLOOKUP(R4769,REGRAS!$B$2:$C$13,2,0),""))</f>
        <v/>
      </c>
    </row>
    <row r="4770" spans="20:20" x14ac:dyDescent="0.3">
      <c r="T4770" s="47" t="str">
        <f ca="1">IF(R4770="","",IFERROR(TODAY()+VLOOKUP(R4770,REGRAS!$B$2:$C$13,2,0),""))</f>
        <v/>
      </c>
    </row>
    <row r="4771" spans="20:20" x14ac:dyDescent="0.3">
      <c r="T4771" s="47" t="str">
        <f ca="1">IF(R4771="","",IFERROR(TODAY()+VLOOKUP(R4771,REGRAS!$B$2:$C$13,2,0),""))</f>
        <v/>
      </c>
    </row>
    <row r="4772" spans="20:20" x14ac:dyDescent="0.3">
      <c r="T4772" s="47" t="str">
        <f ca="1">IF(R4772="","",IFERROR(TODAY()+VLOOKUP(R4772,REGRAS!$B$2:$C$13,2,0),""))</f>
        <v/>
      </c>
    </row>
    <row r="4773" spans="20:20" x14ac:dyDescent="0.3">
      <c r="T4773" s="47" t="str">
        <f ca="1">IF(R4773="","",IFERROR(TODAY()+VLOOKUP(R4773,REGRAS!$B$2:$C$13,2,0),""))</f>
        <v/>
      </c>
    </row>
    <row r="4774" spans="20:20" x14ac:dyDescent="0.3">
      <c r="T4774" s="47" t="str">
        <f ca="1">IF(R4774="","",IFERROR(TODAY()+VLOOKUP(R4774,REGRAS!$B$2:$C$13,2,0),""))</f>
        <v/>
      </c>
    </row>
    <row r="4775" spans="20:20" x14ac:dyDescent="0.3">
      <c r="T4775" s="47" t="str">
        <f ca="1">IF(R4775="","",IFERROR(TODAY()+VLOOKUP(R4775,REGRAS!$B$2:$C$13,2,0),""))</f>
        <v/>
      </c>
    </row>
    <row r="4776" spans="20:20" x14ac:dyDescent="0.3">
      <c r="T4776" s="47" t="str">
        <f ca="1">IF(R4776="","",IFERROR(TODAY()+VLOOKUP(R4776,REGRAS!$B$2:$C$13,2,0),""))</f>
        <v/>
      </c>
    </row>
    <row r="4777" spans="20:20" x14ac:dyDescent="0.3">
      <c r="T4777" s="47" t="str">
        <f ca="1">IF(R4777="","",IFERROR(TODAY()+VLOOKUP(R4777,REGRAS!$B$2:$C$13,2,0),""))</f>
        <v/>
      </c>
    </row>
    <row r="4778" spans="20:20" x14ac:dyDescent="0.3">
      <c r="T4778" s="47" t="str">
        <f ca="1">IF(R4778="","",IFERROR(TODAY()+VLOOKUP(R4778,REGRAS!$B$2:$C$13,2,0),""))</f>
        <v/>
      </c>
    </row>
    <row r="4779" spans="20:20" x14ac:dyDescent="0.3">
      <c r="T4779" s="47" t="str">
        <f ca="1">IF(R4779="","",IFERROR(TODAY()+VLOOKUP(R4779,REGRAS!$B$2:$C$13,2,0),""))</f>
        <v/>
      </c>
    </row>
    <row r="4780" spans="20:20" x14ac:dyDescent="0.3">
      <c r="T4780" s="47" t="str">
        <f ca="1">IF(R4780="","",IFERROR(TODAY()+VLOOKUP(R4780,REGRAS!$B$2:$C$13,2,0),""))</f>
        <v/>
      </c>
    </row>
    <row r="4781" spans="20:20" x14ac:dyDescent="0.3">
      <c r="T4781" s="47" t="str">
        <f ca="1">IF(R4781="","",IFERROR(TODAY()+VLOOKUP(R4781,REGRAS!$B$2:$C$13,2,0),""))</f>
        <v/>
      </c>
    </row>
    <row r="4782" spans="20:20" x14ac:dyDescent="0.3">
      <c r="T4782" s="47" t="str">
        <f ca="1">IF(R4782="","",IFERROR(TODAY()+VLOOKUP(R4782,REGRAS!$B$2:$C$13,2,0),""))</f>
        <v/>
      </c>
    </row>
    <row r="4783" spans="20:20" x14ac:dyDescent="0.3">
      <c r="T4783" s="47" t="str">
        <f ca="1">IF(R4783="","",IFERROR(TODAY()+VLOOKUP(R4783,REGRAS!$B$2:$C$13,2,0),""))</f>
        <v/>
      </c>
    </row>
    <row r="4784" spans="20:20" x14ac:dyDescent="0.3">
      <c r="T4784" s="47" t="str">
        <f ca="1">IF(R4784="","",IFERROR(TODAY()+VLOOKUP(R4784,REGRAS!$B$2:$C$13,2,0),""))</f>
        <v/>
      </c>
    </row>
    <row r="4785" spans="20:20" x14ac:dyDescent="0.3">
      <c r="T4785" s="47" t="str">
        <f ca="1">IF(R4785="","",IFERROR(TODAY()+VLOOKUP(R4785,REGRAS!$B$2:$C$13,2,0),""))</f>
        <v/>
      </c>
    </row>
    <row r="4786" spans="20:20" x14ac:dyDescent="0.3">
      <c r="T4786" s="47" t="str">
        <f ca="1">IF(R4786="","",IFERROR(TODAY()+VLOOKUP(R4786,REGRAS!$B$2:$C$13,2,0),""))</f>
        <v/>
      </c>
    </row>
    <row r="4787" spans="20:20" x14ac:dyDescent="0.3">
      <c r="T4787" s="47" t="str">
        <f ca="1">IF(R4787="","",IFERROR(TODAY()+VLOOKUP(R4787,REGRAS!$B$2:$C$13,2,0),""))</f>
        <v/>
      </c>
    </row>
    <row r="4788" spans="20:20" x14ac:dyDescent="0.3">
      <c r="T4788" s="47" t="str">
        <f ca="1">IF(R4788="","",IFERROR(TODAY()+VLOOKUP(R4788,REGRAS!$B$2:$C$13,2,0),""))</f>
        <v/>
      </c>
    </row>
    <row r="4789" spans="20:20" x14ac:dyDescent="0.3">
      <c r="T4789" s="47" t="str">
        <f ca="1">IF(R4789="","",IFERROR(TODAY()+VLOOKUP(R4789,REGRAS!$B$2:$C$13,2,0),""))</f>
        <v/>
      </c>
    </row>
    <row r="4790" spans="20:20" x14ac:dyDescent="0.3">
      <c r="T4790" s="47" t="str">
        <f ca="1">IF(R4790="","",IFERROR(TODAY()+VLOOKUP(R4790,REGRAS!$B$2:$C$13,2,0),""))</f>
        <v/>
      </c>
    </row>
    <row r="4791" spans="20:20" x14ac:dyDescent="0.3">
      <c r="T4791" s="47" t="str">
        <f ca="1">IF(R4791="","",IFERROR(TODAY()+VLOOKUP(R4791,REGRAS!$B$2:$C$13,2,0),""))</f>
        <v/>
      </c>
    </row>
    <row r="4792" spans="20:20" x14ac:dyDescent="0.3">
      <c r="T4792" s="47" t="str">
        <f ca="1">IF(R4792="","",IFERROR(TODAY()+VLOOKUP(R4792,REGRAS!$B$2:$C$13,2,0),""))</f>
        <v/>
      </c>
    </row>
    <row r="4793" spans="20:20" x14ac:dyDescent="0.3">
      <c r="T4793" s="47" t="str">
        <f ca="1">IF(R4793="","",IFERROR(TODAY()+VLOOKUP(R4793,REGRAS!$B$2:$C$13,2,0),""))</f>
        <v/>
      </c>
    </row>
    <row r="4794" spans="20:20" x14ac:dyDescent="0.3">
      <c r="T4794" s="47" t="str">
        <f ca="1">IF(R4794="","",IFERROR(TODAY()+VLOOKUP(R4794,REGRAS!$B$2:$C$13,2,0),""))</f>
        <v/>
      </c>
    </row>
    <row r="4795" spans="20:20" x14ac:dyDescent="0.3">
      <c r="T4795" s="47" t="str">
        <f ca="1">IF(R4795="","",IFERROR(TODAY()+VLOOKUP(R4795,REGRAS!$B$2:$C$13,2,0),""))</f>
        <v/>
      </c>
    </row>
    <row r="4796" spans="20:20" x14ac:dyDescent="0.3">
      <c r="T4796" s="47" t="str">
        <f ca="1">IF(R4796="","",IFERROR(TODAY()+VLOOKUP(R4796,REGRAS!$B$2:$C$13,2,0),""))</f>
        <v/>
      </c>
    </row>
    <row r="4797" spans="20:20" x14ac:dyDescent="0.3">
      <c r="T4797" s="47" t="str">
        <f ca="1">IF(R4797="","",IFERROR(TODAY()+VLOOKUP(R4797,REGRAS!$B$2:$C$13,2,0),""))</f>
        <v/>
      </c>
    </row>
    <row r="4798" spans="20:20" x14ac:dyDescent="0.3">
      <c r="T4798" s="47" t="str">
        <f ca="1">IF(R4798="","",IFERROR(TODAY()+VLOOKUP(R4798,REGRAS!$B$2:$C$13,2,0),""))</f>
        <v/>
      </c>
    </row>
    <row r="4799" spans="20:20" x14ac:dyDescent="0.3">
      <c r="T4799" s="47" t="str">
        <f ca="1">IF(R4799="","",IFERROR(TODAY()+VLOOKUP(R4799,REGRAS!$B$2:$C$13,2,0),""))</f>
        <v/>
      </c>
    </row>
    <row r="4800" spans="20:20" x14ac:dyDescent="0.3">
      <c r="T4800" s="47" t="str">
        <f ca="1">IF(R4800="","",IFERROR(TODAY()+VLOOKUP(R4800,REGRAS!$B$2:$C$13,2,0),""))</f>
        <v/>
      </c>
    </row>
    <row r="4801" spans="20:20" x14ac:dyDescent="0.3">
      <c r="T4801" s="47" t="str">
        <f ca="1">IF(R4801="","",IFERROR(TODAY()+VLOOKUP(R4801,REGRAS!$B$2:$C$13,2,0),""))</f>
        <v/>
      </c>
    </row>
    <row r="4802" spans="20:20" x14ac:dyDescent="0.3">
      <c r="T4802" s="47" t="str">
        <f ca="1">IF(R4802="","",IFERROR(TODAY()+VLOOKUP(R4802,REGRAS!$B$2:$C$13,2,0),""))</f>
        <v/>
      </c>
    </row>
    <row r="4803" spans="20:20" x14ac:dyDescent="0.3">
      <c r="T4803" s="47" t="str">
        <f ca="1">IF(R4803="","",IFERROR(TODAY()+VLOOKUP(R4803,REGRAS!$B$2:$C$13,2,0),""))</f>
        <v/>
      </c>
    </row>
    <row r="4804" spans="20:20" x14ac:dyDescent="0.3">
      <c r="T4804" s="47" t="str">
        <f ca="1">IF(R4804="","",IFERROR(TODAY()+VLOOKUP(R4804,REGRAS!$B$2:$C$13,2,0),""))</f>
        <v/>
      </c>
    </row>
    <row r="4805" spans="20:20" x14ac:dyDescent="0.3">
      <c r="T4805" s="47" t="str">
        <f ca="1">IF(R4805="","",IFERROR(TODAY()+VLOOKUP(R4805,REGRAS!$B$2:$C$13,2,0),""))</f>
        <v/>
      </c>
    </row>
    <row r="4806" spans="20:20" x14ac:dyDescent="0.3">
      <c r="T4806" s="47" t="str">
        <f ca="1">IF(R4806="","",IFERROR(TODAY()+VLOOKUP(R4806,REGRAS!$B$2:$C$13,2,0),""))</f>
        <v/>
      </c>
    </row>
    <row r="4807" spans="20:20" x14ac:dyDescent="0.3">
      <c r="T4807" s="47" t="str">
        <f ca="1">IF(R4807="","",IFERROR(TODAY()+VLOOKUP(R4807,REGRAS!$B$2:$C$13,2,0),""))</f>
        <v/>
      </c>
    </row>
    <row r="4808" spans="20:20" x14ac:dyDescent="0.3">
      <c r="T4808" s="47" t="str">
        <f ca="1">IF(R4808="","",IFERROR(TODAY()+VLOOKUP(R4808,REGRAS!$B$2:$C$13,2,0),""))</f>
        <v/>
      </c>
    </row>
    <row r="4809" spans="20:20" x14ac:dyDescent="0.3">
      <c r="T4809" s="47" t="str">
        <f ca="1">IF(R4809="","",IFERROR(TODAY()+VLOOKUP(R4809,REGRAS!$B$2:$C$13,2,0),""))</f>
        <v/>
      </c>
    </row>
    <row r="4810" spans="20:20" x14ac:dyDescent="0.3">
      <c r="T4810" s="47" t="str">
        <f ca="1">IF(R4810="","",IFERROR(TODAY()+VLOOKUP(R4810,REGRAS!$B$2:$C$13,2,0),""))</f>
        <v/>
      </c>
    </row>
    <row r="4811" spans="20:20" x14ac:dyDescent="0.3">
      <c r="T4811" s="47" t="str">
        <f ca="1">IF(R4811="","",IFERROR(TODAY()+VLOOKUP(R4811,REGRAS!$B$2:$C$13,2,0),""))</f>
        <v/>
      </c>
    </row>
    <row r="4812" spans="20:20" x14ac:dyDescent="0.3">
      <c r="T4812" s="47" t="str">
        <f ca="1">IF(R4812="","",IFERROR(TODAY()+VLOOKUP(R4812,REGRAS!$B$2:$C$13,2,0),""))</f>
        <v/>
      </c>
    </row>
    <row r="4813" spans="20:20" x14ac:dyDescent="0.3">
      <c r="T4813" s="47" t="str">
        <f ca="1">IF(R4813="","",IFERROR(TODAY()+VLOOKUP(R4813,REGRAS!$B$2:$C$13,2,0),""))</f>
        <v/>
      </c>
    </row>
    <row r="4814" spans="20:20" x14ac:dyDescent="0.3">
      <c r="T4814" s="47" t="str">
        <f ca="1">IF(R4814="","",IFERROR(TODAY()+VLOOKUP(R4814,REGRAS!$B$2:$C$13,2,0),""))</f>
        <v/>
      </c>
    </row>
    <row r="4815" spans="20:20" x14ac:dyDescent="0.3">
      <c r="T4815" s="47" t="str">
        <f ca="1">IF(R4815="","",IFERROR(TODAY()+VLOOKUP(R4815,REGRAS!$B$2:$C$13,2,0),""))</f>
        <v/>
      </c>
    </row>
    <row r="4816" spans="20:20" x14ac:dyDescent="0.3">
      <c r="T4816" s="47" t="str">
        <f ca="1">IF(R4816="","",IFERROR(TODAY()+VLOOKUP(R4816,REGRAS!$B$2:$C$13,2,0),""))</f>
        <v/>
      </c>
    </row>
    <row r="4817" spans="20:20" x14ac:dyDescent="0.3">
      <c r="T4817" s="47" t="str">
        <f ca="1">IF(R4817="","",IFERROR(TODAY()+VLOOKUP(R4817,REGRAS!$B$2:$C$13,2,0),""))</f>
        <v/>
      </c>
    </row>
    <row r="4818" spans="20:20" x14ac:dyDescent="0.3">
      <c r="T4818" s="47" t="str">
        <f ca="1">IF(R4818="","",IFERROR(TODAY()+VLOOKUP(R4818,REGRAS!$B$2:$C$13,2,0),""))</f>
        <v/>
      </c>
    </row>
    <row r="4819" spans="20:20" x14ac:dyDescent="0.3">
      <c r="T4819" s="47" t="str">
        <f ca="1">IF(R4819="","",IFERROR(TODAY()+VLOOKUP(R4819,REGRAS!$B$2:$C$13,2,0),""))</f>
        <v/>
      </c>
    </row>
    <row r="4820" spans="20:20" x14ac:dyDescent="0.3">
      <c r="T4820" s="47" t="str">
        <f ca="1">IF(R4820="","",IFERROR(TODAY()+VLOOKUP(R4820,REGRAS!$B$2:$C$13,2,0),""))</f>
        <v/>
      </c>
    </row>
    <row r="4821" spans="20:20" x14ac:dyDescent="0.3">
      <c r="T4821" s="47" t="str">
        <f ca="1">IF(R4821="","",IFERROR(TODAY()+VLOOKUP(R4821,REGRAS!$B$2:$C$13,2,0),""))</f>
        <v/>
      </c>
    </row>
    <row r="4822" spans="20:20" x14ac:dyDescent="0.3">
      <c r="T4822" s="47" t="str">
        <f ca="1">IF(R4822="","",IFERROR(TODAY()+VLOOKUP(R4822,REGRAS!$B$2:$C$13,2,0),""))</f>
        <v/>
      </c>
    </row>
    <row r="4823" spans="20:20" x14ac:dyDescent="0.3">
      <c r="T4823" s="47" t="str">
        <f ca="1">IF(R4823="","",IFERROR(TODAY()+VLOOKUP(R4823,REGRAS!$B$2:$C$13,2,0),""))</f>
        <v/>
      </c>
    </row>
    <row r="4824" spans="20:20" x14ac:dyDescent="0.3">
      <c r="T4824" s="47" t="str">
        <f ca="1">IF(R4824="","",IFERROR(TODAY()+VLOOKUP(R4824,REGRAS!$B$2:$C$13,2,0),""))</f>
        <v/>
      </c>
    </row>
    <row r="4825" spans="20:20" x14ac:dyDescent="0.3">
      <c r="T4825" s="47" t="str">
        <f ca="1">IF(R4825="","",IFERROR(TODAY()+VLOOKUP(R4825,REGRAS!$B$2:$C$13,2,0),""))</f>
        <v/>
      </c>
    </row>
    <row r="4826" spans="20:20" x14ac:dyDescent="0.3">
      <c r="T4826" s="47" t="str">
        <f ca="1">IF(R4826="","",IFERROR(TODAY()+VLOOKUP(R4826,REGRAS!$B$2:$C$13,2,0),""))</f>
        <v/>
      </c>
    </row>
    <row r="4827" spans="20:20" x14ac:dyDescent="0.3">
      <c r="T4827" s="47" t="str">
        <f ca="1">IF(R4827="","",IFERROR(TODAY()+VLOOKUP(R4827,REGRAS!$B$2:$C$13,2,0),""))</f>
        <v/>
      </c>
    </row>
    <row r="4828" spans="20:20" x14ac:dyDescent="0.3">
      <c r="T4828" s="47" t="str">
        <f ca="1">IF(R4828="","",IFERROR(TODAY()+VLOOKUP(R4828,REGRAS!$B$2:$C$13,2,0),""))</f>
        <v/>
      </c>
    </row>
    <row r="4829" spans="20:20" x14ac:dyDescent="0.3">
      <c r="T4829" s="47" t="str">
        <f ca="1">IF(R4829="","",IFERROR(TODAY()+VLOOKUP(R4829,REGRAS!$B$2:$C$13,2,0),""))</f>
        <v/>
      </c>
    </row>
    <row r="4830" spans="20:20" x14ac:dyDescent="0.3">
      <c r="T4830" s="47" t="str">
        <f ca="1">IF(R4830="","",IFERROR(TODAY()+VLOOKUP(R4830,REGRAS!$B$2:$C$13,2,0),""))</f>
        <v/>
      </c>
    </row>
    <row r="4831" spans="20:20" x14ac:dyDescent="0.3">
      <c r="T4831" s="47" t="str">
        <f ca="1">IF(R4831="","",IFERROR(TODAY()+VLOOKUP(R4831,REGRAS!$B$2:$C$13,2,0),""))</f>
        <v/>
      </c>
    </row>
    <row r="4832" spans="20:20" x14ac:dyDescent="0.3">
      <c r="T4832" s="47" t="str">
        <f ca="1">IF(R4832="","",IFERROR(TODAY()+VLOOKUP(R4832,REGRAS!$B$2:$C$13,2,0),""))</f>
        <v/>
      </c>
    </row>
    <row r="4833" spans="20:20" x14ac:dyDescent="0.3">
      <c r="T4833" s="47" t="str">
        <f ca="1">IF(R4833="","",IFERROR(TODAY()+VLOOKUP(R4833,REGRAS!$B$2:$C$13,2,0),""))</f>
        <v/>
      </c>
    </row>
    <row r="4834" spans="20:20" x14ac:dyDescent="0.3">
      <c r="T4834" s="47" t="str">
        <f ca="1">IF(R4834="","",IFERROR(TODAY()+VLOOKUP(R4834,REGRAS!$B$2:$C$13,2,0),""))</f>
        <v/>
      </c>
    </row>
    <row r="4835" spans="20:20" x14ac:dyDescent="0.3">
      <c r="T4835" s="47" t="str">
        <f ca="1">IF(R4835="","",IFERROR(TODAY()+VLOOKUP(R4835,REGRAS!$B$2:$C$13,2,0),""))</f>
        <v/>
      </c>
    </row>
    <row r="4836" spans="20:20" x14ac:dyDescent="0.3">
      <c r="T4836" s="47" t="str">
        <f ca="1">IF(R4836="","",IFERROR(TODAY()+VLOOKUP(R4836,REGRAS!$B$2:$C$13,2,0),""))</f>
        <v/>
      </c>
    </row>
    <row r="4837" spans="20:20" x14ac:dyDescent="0.3">
      <c r="T4837" s="47" t="str">
        <f ca="1">IF(R4837="","",IFERROR(TODAY()+VLOOKUP(R4837,REGRAS!$B$2:$C$13,2,0),""))</f>
        <v/>
      </c>
    </row>
    <row r="4838" spans="20:20" x14ac:dyDescent="0.3">
      <c r="T4838" s="47" t="str">
        <f ca="1">IF(R4838="","",IFERROR(TODAY()+VLOOKUP(R4838,REGRAS!$B$2:$C$13,2,0),""))</f>
        <v/>
      </c>
    </row>
    <row r="4839" spans="20:20" x14ac:dyDescent="0.3">
      <c r="T4839" s="47" t="str">
        <f ca="1">IF(R4839="","",IFERROR(TODAY()+VLOOKUP(R4839,REGRAS!$B$2:$C$13,2,0),""))</f>
        <v/>
      </c>
    </row>
    <row r="4840" spans="20:20" x14ac:dyDescent="0.3">
      <c r="T4840" s="47" t="str">
        <f ca="1">IF(R4840="","",IFERROR(TODAY()+VLOOKUP(R4840,REGRAS!$B$2:$C$13,2,0),""))</f>
        <v/>
      </c>
    </row>
    <row r="4841" spans="20:20" x14ac:dyDescent="0.3">
      <c r="T4841" s="47" t="str">
        <f ca="1">IF(R4841="","",IFERROR(TODAY()+VLOOKUP(R4841,REGRAS!$B$2:$C$13,2,0),""))</f>
        <v/>
      </c>
    </row>
    <row r="4842" spans="20:20" x14ac:dyDescent="0.3">
      <c r="T4842" s="47" t="str">
        <f ca="1">IF(R4842="","",IFERROR(TODAY()+VLOOKUP(R4842,REGRAS!$B$2:$C$13,2,0),""))</f>
        <v/>
      </c>
    </row>
    <row r="4843" spans="20:20" x14ac:dyDescent="0.3">
      <c r="T4843" s="47" t="str">
        <f ca="1">IF(R4843="","",IFERROR(TODAY()+VLOOKUP(R4843,REGRAS!$B$2:$C$13,2,0),""))</f>
        <v/>
      </c>
    </row>
    <row r="4844" spans="20:20" x14ac:dyDescent="0.3">
      <c r="T4844" s="47" t="str">
        <f ca="1">IF(R4844="","",IFERROR(TODAY()+VLOOKUP(R4844,REGRAS!$B$2:$C$13,2,0),""))</f>
        <v/>
      </c>
    </row>
    <row r="4845" spans="20:20" x14ac:dyDescent="0.3">
      <c r="T4845" s="47" t="str">
        <f ca="1">IF(R4845="","",IFERROR(TODAY()+VLOOKUP(R4845,REGRAS!$B$2:$C$13,2,0),""))</f>
        <v/>
      </c>
    </row>
    <row r="4846" spans="20:20" x14ac:dyDescent="0.3">
      <c r="T4846" s="47" t="str">
        <f ca="1">IF(R4846="","",IFERROR(TODAY()+VLOOKUP(R4846,REGRAS!$B$2:$C$13,2,0),""))</f>
        <v/>
      </c>
    </row>
    <row r="4847" spans="20:20" x14ac:dyDescent="0.3">
      <c r="T4847" s="47" t="str">
        <f ca="1">IF(R4847="","",IFERROR(TODAY()+VLOOKUP(R4847,REGRAS!$B$2:$C$13,2,0),""))</f>
        <v/>
      </c>
    </row>
    <row r="4848" spans="20:20" x14ac:dyDescent="0.3">
      <c r="T4848" s="47" t="str">
        <f ca="1">IF(R4848="","",IFERROR(TODAY()+VLOOKUP(R4848,REGRAS!$B$2:$C$13,2,0),""))</f>
        <v/>
      </c>
    </row>
    <row r="4849" spans="20:20" x14ac:dyDescent="0.3">
      <c r="T4849" s="47" t="str">
        <f ca="1">IF(R4849="","",IFERROR(TODAY()+VLOOKUP(R4849,REGRAS!$B$2:$C$13,2,0),""))</f>
        <v/>
      </c>
    </row>
    <row r="4850" spans="20:20" x14ac:dyDescent="0.3">
      <c r="T4850" s="47" t="str">
        <f ca="1">IF(R4850="","",IFERROR(TODAY()+VLOOKUP(R4850,REGRAS!$B$2:$C$13,2,0),""))</f>
        <v/>
      </c>
    </row>
    <row r="4851" spans="20:20" x14ac:dyDescent="0.3">
      <c r="T4851" s="47" t="str">
        <f ca="1">IF(R4851="","",IFERROR(TODAY()+VLOOKUP(R4851,REGRAS!$B$2:$C$13,2,0),""))</f>
        <v/>
      </c>
    </row>
    <row r="4852" spans="20:20" x14ac:dyDescent="0.3">
      <c r="T4852" s="47" t="str">
        <f ca="1">IF(R4852="","",IFERROR(TODAY()+VLOOKUP(R4852,REGRAS!$B$2:$C$13,2,0),""))</f>
        <v/>
      </c>
    </row>
    <row r="4853" spans="20:20" x14ac:dyDescent="0.3">
      <c r="T4853" s="47" t="str">
        <f ca="1">IF(R4853="","",IFERROR(TODAY()+VLOOKUP(R4853,REGRAS!$B$2:$C$13,2,0),""))</f>
        <v/>
      </c>
    </row>
    <row r="4854" spans="20:20" x14ac:dyDescent="0.3">
      <c r="T4854" s="47" t="str">
        <f ca="1">IF(R4854="","",IFERROR(TODAY()+VLOOKUP(R4854,REGRAS!$B$2:$C$13,2,0),""))</f>
        <v/>
      </c>
    </row>
    <row r="4855" spans="20:20" x14ac:dyDescent="0.3">
      <c r="T4855" s="47" t="str">
        <f ca="1">IF(R4855="","",IFERROR(TODAY()+VLOOKUP(R4855,REGRAS!$B$2:$C$13,2,0),""))</f>
        <v/>
      </c>
    </row>
    <row r="4856" spans="20:20" x14ac:dyDescent="0.3">
      <c r="T4856" s="47" t="str">
        <f ca="1">IF(R4856="","",IFERROR(TODAY()+VLOOKUP(R4856,REGRAS!$B$2:$C$13,2,0),""))</f>
        <v/>
      </c>
    </row>
    <row r="4857" spans="20:20" x14ac:dyDescent="0.3">
      <c r="T4857" s="47" t="str">
        <f ca="1">IF(R4857="","",IFERROR(TODAY()+VLOOKUP(R4857,REGRAS!$B$2:$C$13,2,0),""))</f>
        <v/>
      </c>
    </row>
    <row r="4858" spans="20:20" x14ac:dyDescent="0.3">
      <c r="T4858" s="47" t="str">
        <f ca="1">IF(R4858="","",IFERROR(TODAY()+VLOOKUP(R4858,REGRAS!$B$2:$C$13,2,0),""))</f>
        <v/>
      </c>
    </row>
    <row r="4859" spans="20:20" x14ac:dyDescent="0.3">
      <c r="T4859" s="47" t="str">
        <f ca="1">IF(R4859="","",IFERROR(TODAY()+VLOOKUP(R4859,REGRAS!$B$2:$C$13,2,0),""))</f>
        <v/>
      </c>
    </row>
    <row r="4860" spans="20:20" x14ac:dyDescent="0.3">
      <c r="T4860" s="47" t="str">
        <f ca="1">IF(R4860="","",IFERROR(TODAY()+VLOOKUP(R4860,REGRAS!$B$2:$C$13,2,0),""))</f>
        <v/>
      </c>
    </row>
    <row r="4861" spans="20:20" x14ac:dyDescent="0.3">
      <c r="T4861" s="47" t="str">
        <f ca="1">IF(R4861="","",IFERROR(TODAY()+VLOOKUP(R4861,REGRAS!$B$2:$C$13,2,0),""))</f>
        <v/>
      </c>
    </row>
    <row r="4862" spans="20:20" x14ac:dyDescent="0.3">
      <c r="T4862" s="47" t="str">
        <f ca="1">IF(R4862="","",IFERROR(TODAY()+VLOOKUP(R4862,REGRAS!$B$2:$C$13,2,0),""))</f>
        <v/>
      </c>
    </row>
    <row r="4863" spans="20:20" x14ac:dyDescent="0.3">
      <c r="T4863" s="47" t="str">
        <f ca="1">IF(R4863="","",IFERROR(TODAY()+VLOOKUP(R4863,REGRAS!$B$2:$C$13,2,0),""))</f>
        <v/>
      </c>
    </row>
    <row r="4864" spans="20:20" x14ac:dyDescent="0.3">
      <c r="T4864" s="47" t="str">
        <f ca="1">IF(R4864="","",IFERROR(TODAY()+VLOOKUP(R4864,REGRAS!$B$2:$C$13,2,0),""))</f>
        <v/>
      </c>
    </row>
    <row r="4865" spans="20:20" x14ac:dyDescent="0.3">
      <c r="T4865" s="47" t="str">
        <f ca="1">IF(R4865="","",IFERROR(TODAY()+VLOOKUP(R4865,REGRAS!$B$2:$C$13,2,0),""))</f>
        <v/>
      </c>
    </row>
    <row r="4866" spans="20:20" x14ac:dyDescent="0.3">
      <c r="T4866" s="47" t="str">
        <f ca="1">IF(R4866="","",IFERROR(TODAY()+VLOOKUP(R4866,REGRAS!$B$2:$C$13,2,0),""))</f>
        <v/>
      </c>
    </row>
    <row r="4867" spans="20:20" x14ac:dyDescent="0.3">
      <c r="T4867" s="47" t="str">
        <f ca="1">IF(R4867="","",IFERROR(TODAY()+VLOOKUP(R4867,REGRAS!$B$2:$C$13,2,0),""))</f>
        <v/>
      </c>
    </row>
    <row r="4868" spans="20:20" x14ac:dyDescent="0.3">
      <c r="T4868" s="47" t="str">
        <f ca="1">IF(R4868="","",IFERROR(TODAY()+VLOOKUP(R4868,REGRAS!$B$2:$C$13,2,0),""))</f>
        <v/>
      </c>
    </row>
    <row r="4869" spans="20:20" x14ac:dyDescent="0.3">
      <c r="T4869" s="47" t="str">
        <f ca="1">IF(R4869="","",IFERROR(TODAY()+VLOOKUP(R4869,REGRAS!$B$2:$C$13,2,0),""))</f>
        <v/>
      </c>
    </row>
    <row r="4870" spans="20:20" x14ac:dyDescent="0.3">
      <c r="T4870" s="47" t="str">
        <f ca="1">IF(R4870="","",IFERROR(TODAY()+VLOOKUP(R4870,REGRAS!$B$2:$C$13,2,0),""))</f>
        <v/>
      </c>
    </row>
    <row r="4871" spans="20:20" x14ac:dyDescent="0.3">
      <c r="T4871" s="47" t="str">
        <f ca="1">IF(R4871="","",IFERROR(TODAY()+VLOOKUP(R4871,REGRAS!$B$2:$C$13,2,0),""))</f>
        <v/>
      </c>
    </row>
    <row r="4872" spans="20:20" x14ac:dyDescent="0.3">
      <c r="T4872" s="47" t="str">
        <f ca="1">IF(R4872="","",IFERROR(TODAY()+VLOOKUP(R4872,REGRAS!$B$2:$C$13,2,0),""))</f>
        <v/>
      </c>
    </row>
    <row r="4873" spans="20:20" x14ac:dyDescent="0.3">
      <c r="T4873" s="47" t="str">
        <f ca="1">IF(R4873="","",IFERROR(TODAY()+VLOOKUP(R4873,REGRAS!$B$2:$C$13,2,0),""))</f>
        <v/>
      </c>
    </row>
    <row r="4874" spans="20:20" x14ac:dyDescent="0.3">
      <c r="T4874" s="47" t="str">
        <f ca="1">IF(R4874="","",IFERROR(TODAY()+VLOOKUP(R4874,REGRAS!$B$2:$C$13,2,0),""))</f>
        <v/>
      </c>
    </row>
    <row r="4875" spans="20:20" x14ac:dyDescent="0.3">
      <c r="T4875" s="47" t="str">
        <f ca="1">IF(R4875="","",IFERROR(TODAY()+VLOOKUP(R4875,REGRAS!$B$2:$C$13,2,0),""))</f>
        <v/>
      </c>
    </row>
    <row r="4876" spans="20:20" x14ac:dyDescent="0.3">
      <c r="T4876" s="47" t="str">
        <f ca="1">IF(R4876="","",IFERROR(TODAY()+VLOOKUP(R4876,REGRAS!$B$2:$C$13,2,0),""))</f>
        <v/>
      </c>
    </row>
    <row r="4877" spans="20:20" x14ac:dyDescent="0.3">
      <c r="T4877" s="47" t="str">
        <f ca="1">IF(R4877="","",IFERROR(TODAY()+VLOOKUP(R4877,REGRAS!$B$2:$C$13,2,0),""))</f>
        <v/>
      </c>
    </row>
    <row r="4878" spans="20:20" x14ac:dyDescent="0.3">
      <c r="T4878" s="47" t="str">
        <f ca="1">IF(R4878="","",IFERROR(TODAY()+VLOOKUP(R4878,REGRAS!$B$2:$C$13,2,0),""))</f>
        <v/>
      </c>
    </row>
    <row r="4879" spans="20:20" x14ac:dyDescent="0.3">
      <c r="T4879" s="47" t="str">
        <f ca="1">IF(R4879="","",IFERROR(TODAY()+VLOOKUP(R4879,REGRAS!$B$2:$C$13,2,0),""))</f>
        <v/>
      </c>
    </row>
    <row r="4880" spans="20:20" x14ac:dyDescent="0.3">
      <c r="T4880" s="47" t="str">
        <f ca="1">IF(R4880="","",IFERROR(TODAY()+VLOOKUP(R4880,REGRAS!$B$2:$C$13,2,0),""))</f>
        <v/>
      </c>
    </row>
    <row r="4881" spans="20:20" x14ac:dyDescent="0.3">
      <c r="T4881" s="47" t="str">
        <f ca="1">IF(R4881="","",IFERROR(TODAY()+VLOOKUP(R4881,REGRAS!$B$2:$C$13,2,0),""))</f>
        <v/>
      </c>
    </row>
    <row r="4882" spans="20:20" x14ac:dyDescent="0.3">
      <c r="T4882" s="47" t="str">
        <f ca="1">IF(R4882="","",IFERROR(TODAY()+VLOOKUP(R4882,REGRAS!$B$2:$C$13,2,0),""))</f>
        <v/>
      </c>
    </row>
    <row r="4883" spans="20:20" x14ac:dyDescent="0.3">
      <c r="T4883" s="47" t="str">
        <f ca="1">IF(R4883="","",IFERROR(TODAY()+VLOOKUP(R4883,REGRAS!$B$2:$C$13,2,0),""))</f>
        <v/>
      </c>
    </row>
    <row r="4884" spans="20:20" x14ac:dyDescent="0.3">
      <c r="T4884" s="47" t="str">
        <f ca="1">IF(R4884="","",IFERROR(TODAY()+VLOOKUP(R4884,REGRAS!$B$2:$C$13,2,0),""))</f>
        <v/>
      </c>
    </row>
    <row r="4885" spans="20:20" x14ac:dyDescent="0.3">
      <c r="T4885" s="47" t="str">
        <f ca="1">IF(R4885="","",IFERROR(TODAY()+VLOOKUP(R4885,REGRAS!$B$2:$C$13,2,0),""))</f>
        <v/>
      </c>
    </row>
    <row r="4886" spans="20:20" x14ac:dyDescent="0.3">
      <c r="T4886" s="47" t="str">
        <f ca="1">IF(R4886="","",IFERROR(TODAY()+VLOOKUP(R4886,REGRAS!$B$2:$C$13,2,0),""))</f>
        <v/>
      </c>
    </row>
    <row r="4887" spans="20:20" x14ac:dyDescent="0.3">
      <c r="T4887" s="47" t="str">
        <f ca="1">IF(R4887="","",IFERROR(TODAY()+VLOOKUP(R4887,REGRAS!$B$2:$C$13,2,0),""))</f>
        <v/>
      </c>
    </row>
    <row r="4888" spans="20:20" x14ac:dyDescent="0.3">
      <c r="T4888" s="47" t="str">
        <f ca="1">IF(R4888="","",IFERROR(TODAY()+VLOOKUP(R4888,REGRAS!$B$2:$C$13,2,0),""))</f>
        <v/>
      </c>
    </row>
    <row r="4889" spans="20:20" x14ac:dyDescent="0.3">
      <c r="T4889" s="47" t="str">
        <f ca="1">IF(R4889="","",IFERROR(TODAY()+VLOOKUP(R4889,REGRAS!$B$2:$C$13,2,0),""))</f>
        <v/>
      </c>
    </row>
    <row r="4890" spans="20:20" x14ac:dyDescent="0.3">
      <c r="T4890" s="47" t="str">
        <f ca="1">IF(R4890="","",IFERROR(TODAY()+VLOOKUP(R4890,REGRAS!$B$2:$C$13,2,0),""))</f>
        <v/>
      </c>
    </row>
    <row r="4891" spans="20:20" x14ac:dyDescent="0.3">
      <c r="T4891" s="47" t="str">
        <f ca="1">IF(R4891="","",IFERROR(TODAY()+VLOOKUP(R4891,REGRAS!$B$2:$C$13,2,0),""))</f>
        <v/>
      </c>
    </row>
    <row r="4892" spans="20:20" x14ac:dyDescent="0.3">
      <c r="T4892" s="47" t="str">
        <f ca="1">IF(R4892="","",IFERROR(TODAY()+VLOOKUP(R4892,REGRAS!$B$2:$C$13,2,0),""))</f>
        <v/>
      </c>
    </row>
    <row r="4893" spans="20:20" x14ac:dyDescent="0.3">
      <c r="T4893" s="47" t="str">
        <f ca="1">IF(R4893="","",IFERROR(TODAY()+VLOOKUP(R4893,REGRAS!$B$2:$C$13,2,0),""))</f>
        <v/>
      </c>
    </row>
    <row r="4894" spans="20:20" x14ac:dyDescent="0.3">
      <c r="T4894" s="47" t="str">
        <f ca="1">IF(R4894="","",IFERROR(TODAY()+VLOOKUP(R4894,REGRAS!$B$2:$C$13,2,0),""))</f>
        <v/>
      </c>
    </row>
    <row r="4895" spans="20:20" x14ac:dyDescent="0.3">
      <c r="T4895" s="47" t="str">
        <f ca="1">IF(R4895="","",IFERROR(TODAY()+VLOOKUP(R4895,REGRAS!$B$2:$C$13,2,0),""))</f>
        <v/>
      </c>
    </row>
    <row r="4896" spans="20:20" x14ac:dyDescent="0.3">
      <c r="T4896" s="47" t="str">
        <f ca="1">IF(R4896="","",IFERROR(TODAY()+VLOOKUP(R4896,REGRAS!$B$2:$C$13,2,0),""))</f>
        <v/>
      </c>
    </row>
    <row r="4897" spans="20:20" x14ac:dyDescent="0.3">
      <c r="T4897" s="47" t="str">
        <f ca="1">IF(R4897="","",IFERROR(TODAY()+VLOOKUP(R4897,REGRAS!$B$2:$C$13,2,0),""))</f>
        <v/>
      </c>
    </row>
    <row r="4898" spans="20:20" x14ac:dyDescent="0.3">
      <c r="T4898" s="47" t="str">
        <f ca="1">IF(R4898="","",IFERROR(TODAY()+VLOOKUP(R4898,REGRAS!$B$2:$C$13,2,0),""))</f>
        <v/>
      </c>
    </row>
    <row r="4899" spans="20:20" x14ac:dyDescent="0.3">
      <c r="T4899" s="47" t="str">
        <f ca="1">IF(R4899="","",IFERROR(TODAY()+VLOOKUP(R4899,REGRAS!$B$2:$C$13,2,0),""))</f>
        <v/>
      </c>
    </row>
    <row r="4900" spans="20:20" x14ac:dyDescent="0.3">
      <c r="T4900" s="47" t="str">
        <f ca="1">IF(R4900="","",IFERROR(TODAY()+VLOOKUP(R4900,REGRAS!$B$2:$C$13,2,0),""))</f>
        <v/>
      </c>
    </row>
    <row r="4901" spans="20:20" x14ac:dyDescent="0.3">
      <c r="T4901" s="47" t="str">
        <f ca="1">IF(R4901="","",IFERROR(TODAY()+VLOOKUP(R4901,REGRAS!$B$2:$C$13,2,0),""))</f>
        <v/>
      </c>
    </row>
    <row r="4902" spans="20:20" x14ac:dyDescent="0.3">
      <c r="T4902" s="47" t="str">
        <f ca="1">IF(R4902="","",IFERROR(TODAY()+VLOOKUP(R4902,REGRAS!$B$2:$C$13,2,0),""))</f>
        <v/>
      </c>
    </row>
    <row r="4903" spans="20:20" x14ac:dyDescent="0.3">
      <c r="T4903" s="47" t="str">
        <f ca="1">IF(R4903="","",IFERROR(TODAY()+VLOOKUP(R4903,REGRAS!$B$2:$C$13,2,0),""))</f>
        <v/>
      </c>
    </row>
    <row r="4904" spans="20:20" x14ac:dyDescent="0.3">
      <c r="T4904" s="47" t="str">
        <f ca="1">IF(R4904="","",IFERROR(TODAY()+VLOOKUP(R4904,REGRAS!$B$2:$C$13,2,0),""))</f>
        <v/>
      </c>
    </row>
    <row r="4905" spans="20:20" x14ac:dyDescent="0.3">
      <c r="T4905" s="47" t="str">
        <f ca="1">IF(R4905="","",IFERROR(TODAY()+VLOOKUP(R4905,REGRAS!$B$2:$C$13,2,0),""))</f>
        <v/>
      </c>
    </row>
    <row r="4906" spans="20:20" x14ac:dyDescent="0.3">
      <c r="T4906" s="47" t="str">
        <f ca="1">IF(R4906="","",IFERROR(TODAY()+VLOOKUP(R4906,REGRAS!$B$2:$C$13,2,0),""))</f>
        <v/>
      </c>
    </row>
    <row r="4907" spans="20:20" x14ac:dyDescent="0.3">
      <c r="T4907" s="47" t="str">
        <f ca="1">IF(R4907="","",IFERROR(TODAY()+VLOOKUP(R4907,REGRAS!$B$2:$C$13,2,0),""))</f>
        <v/>
      </c>
    </row>
    <row r="4908" spans="20:20" x14ac:dyDescent="0.3">
      <c r="T4908" s="47" t="str">
        <f ca="1">IF(R4908="","",IFERROR(TODAY()+VLOOKUP(R4908,REGRAS!$B$2:$C$13,2,0),""))</f>
        <v/>
      </c>
    </row>
    <row r="4909" spans="20:20" x14ac:dyDescent="0.3">
      <c r="T4909" s="47" t="str">
        <f ca="1">IF(R4909="","",IFERROR(TODAY()+VLOOKUP(R4909,REGRAS!$B$2:$C$13,2,0),""))</f>
        <v/>
      </c>
    </row>
    <row r="4910" spans="20:20" x14ac:dyDescent="0.3">
      <c r="T4910" s="47" t="str">
        <f ca="1">IF(R4910="","",IFERROR(TODAY()+VLOOKUP(R4910,REGRAS!$B$2:$C$13,2,0),""))</f>
        <v/>
      </c>
    </row>
    <row r="4911" spans="20:20" x14ac:dyDescent="0.3">
      <c r="T4911" s="47" t="str">
        <f ca="1">IF(R4911="","",IFERROR(TODAY()+VLOOKUP(R4911,REGRAS!$B$2:$C$13,2,0),""))</f>
        <v/>
      </c>
    </row>
    <row r="4912" spans="20:20" x14ac:dyDescent="0.3">
      <c r="T4912" s="47" t="str">
        <f ca="1">IF(R4912="","",IFERROR(TODAY()+VLOOKUP(R4912,REGRAS!$B$2:$C$13,2,0),""))</f>
        <v/>
      </c>
    </row>
    <row r="4913" spans="20:20" x14ac:dyDescent="0.3">
      <c r="T4913" s="47" t="str">
        <f ca="1">IF(R4913="","",IFERROR(TODAY()+VLOOKUP(R4913,REGRAS!$B$2:$C$13,2,0),""))</f>
        <v/>
      </c>
    </row>
    <row r="4914" spans="20:20" x14ac:dyDescent="0.3">
      <c r="T4914" s="47" t="str">
        <f ca="1">IF(R4914="","",IFERROR(TODAY()+VLOOKUP(R4914,REGRAS!$B$2:$C$13,2,0),""))</f>
        <v/>
      </c>
    </row>
    <row r="4915" spans="20:20" x14ac:dyDescent="0.3">
      <c r="T4915" s="47" t="str">
        <f ca="1">IF(R4915="","",IFERROR(TODAY()+VLOOKUP(R4915,REGRAS!$B$2:$C$13,2,0),""))</f>
        <v/>
      </c>
    </row>
    <row r="4916" spans="20:20" x14ac:dyDescent="0.3">
      <c r="T4916" s="47" t="str">
        <f ca="1">IF(R4916="","",IFERROR(TODAY()+VLOOKUP(R4916,REGRAS!$B$2:$C$13,2,0),""))</f>
        <v/>
      </c>
    </row>
    <row r="4917" spans="20:20" x14ac:dyDescent="0.3">
      <c r="T4917" s="47" t="str">
        <f ca="1">IF(R4917="","",IFERROR(TODAY()+VLOOKUP(R4917,REGRAS!$B$2:$C$13,2,0),""))</f>
        <v/>
      </c>
    </row>
    <row r="4918" spans="20:20" x14ac:dyDescent="0.3">
      <c r="T4918" s="47" t="str">
        <f ca="1">IF(R4918="","",IFERROR(TODAY()+VLOOKUP(R4918,REGRAS!$B$2:$C$13,2,0),""))</f>
        <v/>
      </c>
    </row>
    <row r="4919" spans="20:20" x14ac:dyDescent="0.3">
      <c r="T4919" s="47" t="str">
        <f ca="1">IF(R4919="","",IFERROR(TODAY()+VLOOKUP(R4919,REGRAS!$B$2:$C$13,2,0),""))</f>
        <v/>
      </c>
    </row>
    <row r="4920" spans="20:20" x14ac:dyDescent="0.3">
      <c r="T4920" s="47" t="str">
        <f ca="1">IF(R4920="","",IFERROR(TODAY()+VLOOKUP(R4920,REGRAS!$B$2:$C$13,2,0),""))</f>
        <v/>
      </c>
    </row>
    <row r="4921" spans="20:20" x14ac:dyDescent="0.3">
      <c r="T4921" s="47" t="str">
        <f ca="1">IF(R4921="","",IFERROR(TODAY()+VLOOKUP(R4921,REGRAS!$B$2:$C$13,2,0),""))</f>
        <v/>
      </c>
    </row>
    <row r="4922" spans="20:20" x14ac:dyDescent="0.3">
      <c r="T4922" s="47" t="str">
        <f ca="1">IF(R4922="","",IFERROR(TODAY()+VLOOKUP(R4922,REGRAS!$B$2:$C$13,2,0),""))</f>
        <v/>
      </c>
    </row>
    <row r="4923" spans="20:20" x14ac:dyDescent="0.3">
      <c r="T4923" s="47" t="str">
        <f ca="1">IF(R4923="","",IFERROR(TODAY()+VLOOKUP(R4923,REGRAS!$B$2:$C$13,2,0),""))</f>
        <v/>
      </c>
    </row>
    <row r="4924" spans="20:20" x14ac:dyDescent="0.3">
      <c r="T4924" s="47" t="str">
        <f ca="1">IF(R4924="","",IFERROR(TODAY()+VLOOKUP(R4924,REGRAS!$B$2:$C$13,2,0),""))</f>
        <v/>
      </c>
    </row>
    <row r="4925" spans="20:20" x14ac:dyDescent="0.3">
      <c r="T4925" s="47" t="str">
        <f ca="1">IF(R4925="","",IFERROR(TODAY()+VLOOKUP(R4925,REGRAS!$B$2:$C$13,2,0),""))</f>
        <v/>
      </c>
    </row>
    <row r="4926" spans="20:20" x14ac:dyDescent="0.3">
      <c r="T4926" s="47" t="str">
        <f ca="1">IF(R4926="","",IFERROR(TODAY()+VLOOKUP(R4926,REGRAS!$B$2:$C$13,2,0),""))</f>
        <v/>
      </c>
    </row>
    <row r="4927" spans="20:20" x14ac:dyDescent="0.3">
      <c r="T4927" s="47" t="str">
        <f ca="1">IF(R4927="","",IFERROR(TODAY()+VLOOKUP(R4927,REGRAS!$B$2:$C$13,2,0),""))</f>
        <v/>
      </c>
    </row>
    <row r="4928" spans="20:20" x14ac:dyDescent="0.3">
      <c r="T4928" s="47" t="str">
        <f ca="1">IF(R4928="","",IFERROR(TODAY()+VLOOKUP(R4928,REGRAS!$B$2:$C$13,2,0),""))</f>
        <v/>
      </c>
    </row>
    <row r="4929" spans="20:20" x14ac:dyDescent="0.3">
      <c r="T4929" s="47" t="str">
        <f ca="1">IF(R4929="","",IFERROR(TODAY()+VLOOKUP(R4929,REGRAS!$B$2:$C$13,2,0),""))</f>
        <v/>
      </c>
    </row>
    <row r="4930" spans="20:20" x14ac:dyDescent="0.3">
      <c r="T4930" s="47" t="str">
        <f ca="1">IF(R4930="","",IFERROR(TODAY()+VLOOKUP(R4930,REGRAS!$B$2:$C$13,2,0),""))</f>
        <v/>
      </c>
    </row>
    <row r="4931" spans="20:20" x14ac:dyDescent="0.3">
      <c r="T4931" s="47" t="str">
        <f ca="1">IF(R4931="","",IFERROR(TODAY()+VLOOKUP(R4931,REGRAS!$B$2:$C$13,2,0),""))</f>
        <v/>
      </c>
    </row>
    <row r="4932" spans="20:20" x14ac:dyDescent="0.3">
      <c r="T4932" s="47" t="str">
        <f ca="1">IF(R4932="","",IFERROR(TODAY()+VLOOKUP(R4932,REGRAS!$B$2:$C$13,2,0),""))</f>
        <v/>
      </c>
    </row>
    <row r="4933" spans="20:20" x14ac:dyDescent="0.3">
      <c r="T4933" s="47" t="str">
        <f ca="1">IF(R4933="","",IFERROR(TODAY()+VLOOKUP(R4933,REGRAS!$B$2:$C$13,2,0),""))</f>
        <v/>
      </c>
    </row>
    <row r="4934" spans="20:20" x14ac:dyDescent="0.3">
      <c r="T4934" s="47" t="str">
        <f ca="1">IF(R4934="","",IFERROR(TODAY()+VLOOKUP(R4934,REGRAS!$B$2:$C$13,2,0),""))</f>
        <v/>
      </c>
    </row>
    <row r="4935" spans="20:20" x14ac:dyDescent="0.3">
      <c r="T4935" s="47" t="str">
        <f ca="1">IF(R4935="","",IFERROR(TODAY()+VLOOKUP(R4935,REGRAS!$B$2:$C$13,2,0),""))</f>
        <v/>
      </c>
    </row>
    <row r="4936" spans="20:20" x14ac:dyDescent="0.3">
      <c r="T4936" s="47" t="str">
        <f ca="1">IF(R4936="","",IFERROR(TODAY()+VLOOKUP(R4936,REGRAS!$B$2:$C$13,2,0),""))</f>
        <v/>
      </c>
    </row>
    <row r="4937" spans="20:20" x14ac:dyDescent="0.3">
      <c r="T4937" s="47" t="str">
        <f ca="1">IF(R4937="","",IFERROR(TODAY()+VLOOKUP(R4937,REGRAS!$B$2:$C$13,2,0),""))</f>
        <v/>
      </c>
    </row>
    <row r="4938" spans="20:20" x14ac:dyDescent="0.3">
      <c r="T4938" s="47" t="str">
        <f ca="1">IF(R4938="","",IFERROR(TODAY()+VLOOKUP(R4938,REGRAS!$B$2:$C$13,2,0),""))</f>
        <v/>
      </c>
    </row>
    <row r="4939" spans="20:20" x14ac:dyDescent="0.3">
      <c r="T4939" s="47" t="str">
        <f ca="1">IF(R4939="","",IFERROR(TODAY()+VLOOKUP(R4939,REGRAS!$B$2:$C$13,2,0),""))</f>
        <v/>
      </c>
    </row>
    <row r="4940" spans="20:20" x14ac:dyDescent="0.3">
      <c r="T4940" s="47" t="str">
        <f ca="1">IF(R4940="","",IFERROR(TODAY()+VLOOKUP(R4940,REGRAS!$B$2:$C$13,2,0),""))</f>
        <v/>
      </c>
    </row>
    <row r="4941" spans="20:20" x14ac:dyDescent="0.3">
      <c r="T4941" s="47" t="str">
        <f ca="1">IF(R4941="","",IFERROR(TODAY()+VLOOKUP(R4941,REGRAS!$B$2:$C$13,2,0),""))</f>
        <v/>
      </c>
    </row>
    <row r="4942" spans="20:20" x14ac:dyDescent="0.3">
      <c r="T4942" s="47" t="str">
        <f ca="1">IF(R4942="","",IFERROR(TODAY()+VLOOKUP(R4942,REGRAS!$B$2:$C$13,2,0),""))</f>
        <v/>
      </c>
    </row>
    <row r="4943" spans="20:20" x14ac:dyDescent="0.3">
      <c r="T4943" s="47" t="str">
        <f ca="1">IF(R4943="","",IFERROR(TODAY()+VLOOKUP(R4943,REGRAS!$B$2:$C$13,2,0),""))</f>
        <v/>
      </c>
    </row>
    <row r="4944" spans="20:20" x14ac:dyDescent="0.3">
      <c r="T4944" s="47" t="str">
        <f ca="1">IF(R4944="","",IFERROR(TODAY()+VLOOKUP(R4944,REGRAS!$B$2:$C$13,2,0),""))</f>
        <v/>
      </c>
    </row>
    <row r="4945" spans="20:20" x14ac:dyDescent="0.3">
      <c r="T4945" s="47" t="str">
        <f ca="1">IF(R4945="","",IFERROR(TODAY()+VLOOKUP(R4945,REGRAS!$B$2:$C$13,2,0),""))</f>
        <v/>
      </c>
    </row>
    <row r="4946" spans="20:20" x14ac:dyDescent="0.3">
      <c r="T4946" s="47" t="str">
        <f ca="1">IF(R4946="","",IFERROR(TODAY()+VLOOKUP(R4946,REGRAS!$B$2:$C$13,2,0),""))</f>
        <v/>
      </c>
    </row>
    <row r="4947" spans="20:20" x14ac:dyDescent="0.3">
      <c r="T4947" s="47" t="str">
        <f ca="1">IF(R4947="","",IFERROR(TODAY()+VLOOKUP(R4947,REGRAS!$B$2:$C$13,2,0),""))</f>
        <v/>
      </c>
    </row>
    <row r="4948" spans="20:20" x14ac:dyDescent="0.3">
      <c r="T4948" s="47" t="str">
        <f ca="1">IF(R4948="","",IFERROR(TODAY()+VLOOKUP(R4948,REGRAS!$B$2:$C$13,2,0),""))</f>
        <v/>
      </c>
    </row>
    <row r="4949" spans="20:20" x14ac:dyDescent="0.3">
      <c r="T4949" s="47" t="str">
        <f ca="1">IF(R4949="","",IFERROR(TODAY()+VLOOKUP(R4949,REGRAS!$B$2:$C$13,2,0),""))</f>
        <v/>
      </c>
    </row>
    <row r="4950" spans="20:20" x14ac:dyDescent="0.3">
      <c r="T4950" s="47" t="str">
        <f ca="1">IF(R4950="","",IFERROR(TODAY()+VLOOKUP(R4950,REGRAS!$B$2:$C$13,2,0),""))</f>
        <v/>
      </c>
    </row>
    <row r="4951" spans="20:20" x14ac:dyDescent="0.3">
      <c r="T4951" s="47" t="str">
        <f ca="1">IF(R4951="","",IFERROR(TODAY()+VLOOKUP(R4951,REGRAS!$B$2:$C$13,2,0),""))</f>
        <v/>
      </c>
    </row>
    <row r="4952" spans="20:20" x14ac:dyDescent="0.3">
      <c r="T4952" s="47" t="str">
        <f ca="1">IF(R4952="","",IFERROR(TODAY()+VLOOKUP(R4952,REGRAS!$B$2:$C$13,2,0),""))</f>
        <v/>
      </c>
    </row>
    <row r="4953" spans="20:20" x14ac:dyDescent="0.3">
      <c r="T4953" s="47" t="str">
        <f ca="1">IF(R4953="","",IFERROR(TODAY()+VLOOKUP(R4953,REGRAS!$B$2:$C$13,2,0),""))</f>
        <v/>
      </c>
    </row>
    <row r="4954" spans="20:20" x14ac:dyDescent="0.3">
      <c r="T4954" s="47" t="str">
        <f ca="1">IF(R4954="","",IFERROR(TODAY()+VLOOKUP(R4954,REGRAS!$B$2:$C$13,2,0),""))</f>
        <v/>
      </c>
    </row>
    <row r="4955" spans="20:20" x14ac:dyDescent="0.3">
      <c r="T4955" s="47" t="str">
        <f ca="1">IF(R4955="","",IFERROR(TODAY()+VLOOKUP(R4955,REGRAS!$B$2:$C$13,2,0),""))</f>
        <v/>
      </c>
    </row>
    <row r="4956" spans="20:20" x14ac:dyDescent="0.3">
      <c r="T4956" s="47" t="str">
        <f ca="1">IF(R4956="","",IFERROR(TODAY()+VLOOKUP(R4956,REGRAS!$B$2:$C$13,2,0),""))</f>
        <v/>
      </c>
    </row>
    <row r="4957" spans="20:20" x14ac:dyDescent="0.3">
      <c r="T4957" s="47" t="str">
        <f ca="1">IF(R4957="","",IFERROR(TODAY()+VLOOKUP(R4957,REGRAS!$B$2:$C$13,2,0),""))</f>
        <v/>
      </c>
    </row>
    <row r="4958" spans="20:20" x14ac:dyDescent="0.3">
      <c r="T4958" s="47" t="str">
        <f ca="1">IF(R4958="","",IFERROR(TODAY()+VLOOKUP(R4958,REGRAS!$B$2:$C$13,2,0),""))</f>
        <v/>
      </c>
    </row>
    <row r="4959" spans="20:20" x14ac:dyDescent="0.3">
      <c r="T4959" s="47" t="str">
        <f ca="1">IF(R4959="","",IFERROR(TODAY()+VLOOKUP(R4959,REGRAS!$B$2:$C$13,2,0),""))</f>
        <v/>
      </c>
    </row>
    <row r="4960" spans="20:20" x14ac:dyDescent="0.3">
      <c r="T4960" s="47" t="str">
        <f ca="1">IF(R4960="","",IFERROR(TODAY()+VLOOKUP(R4960,REGRAS!$B$2:$C$13,2,0),""))</f>
        <v/>
      </c>
    </row>
    <row r="4961" spans="20:20" x14ac:dyDescent="0.3">
      <c r="T4961" s="47" t="str">
        <f ca="1">IF(R4961="","",IFERROR(TODAY()+VLOOKUP(R4961,REGRAS!$B$2:$C$13,2,0),""))</f>
        <v/>
      </c>
    </row>
    <row r="4962" spans="20:20" x14ac:dyDescent="0.3">
      <c r="T4962" s="47" t="str">
        <f ca="1">IF(R4962="","",IFERROR(TODAY()+VLOOKUP(R4962,REGRAS!$B$2:$C$13,2,0),""))</f>
        <v/>
      </c>
    </row>
    <row r="4963" spans="20:20" x14ac:dyDescent="0.3">
      <c r="T4963" s="47" t="str">
        <f ca="1">IF(R4963="","",IFERROR(TODAY()+VLOOKUP(R4963,REGRAS!$B$2:$C$13,2,0),""))</f>
        <v/>
      </c>
    </row>
    <row r="4964" spans="20:20" x14ac:dyDescent="0.3">
      <c r="T4964" s="47" t="str">
        <f ca="1">IF(R4964="","",IFERROR(TODAY()+VLOOKUP(R4964,REGRAS!$B$2:$C$13,2,0),""))</f>
        <v/>
      </c>
    </row>
    <row r="4965" spans="20:20" x14ac:dyDescent="0.3">
      <c r="T4965" s="47" t="str">
        <f ca="1">IF(R4965="","",IFERROR(TODAY()+VLOOKUP(R4965,REGRAS!$B$2:$C$13,2,0),""))</f>
        <v/>
      </c>
    </row>
    <row r="4966" spans="20:20" x14ac:dyDescent="0.3">
      <c r="T4966" s="47" t="str">
        <f ca="1">IF(R4966="","",IFERROR(TODAY()+VLOOKUP(R4966,REGRAS!$B$2:$C$13,2,0),""))</f>
        <v/>
      </c>
    </row>
    <row r="4967" spans="20:20" x14ac:dyDescent="0.3">
      <c r="T4967" s="47" t="str">
        <f ca="1">IF(R4967="","",IFERROR(TODAY()+VLOOKUP(R4967,REGRAS!$B$2:$C$13,2,0),""))</f>
        <v/>
      </c>
    </row>
    <row r="4968" spans="20:20" x14ac:dyDescent="0.3">
      <c r="T4968" s="47" t="str">
        <f ca="1">IF(R4968="","",IFERROR(TODAY()+VLOOKUP(R4968,REGRAS!$B$2:$C$13,2,0),""))</f>
        <v/>
      </c>
    </row>
    <row r="4969" spans="20:20" x14ac:dyDescent="0.3">
      <c r="T4969" s="47" t="str">
        <f ca="1">IF(R4969="","",IFERROR(TODAY()+VLOOKUP(R4969,REGRAS!$B$2:$C$13,2,0),""))</f>
        <v/>
      </c>
    </row>
    <row r="4970" spans="20:20" x14ac:dyDescent="0.3">
      <c r="T4970" s="47" t="str">
        <f ca="1">IF(R4970="","",IFERROR(TODAY()+VLOOKUP(R4970,REGRAS!$B$2:$C$13,2,0),""))</f>
        <v/>
      </c>
    </row>
    <row r="4971" spans="20:20" x14ac:dyDescent="0.3">
      <c r="T4971" s="47" t="str">
        <f ca="1">IF(R4971="","",IFERROR(TODAY()+VLOOKUP(R4971,REGRAS!$B$2:$C$13,2,0),""))</f>
        <v/>
      </c>
    </row>
    <row r="4972" spans="20:20" x14ac:dyDescent="0.3">
      <c r="T4972" s="47" t="str">
        <f ca="1">IF(R4972="","",IFERROR(TODAY()+VLOOKUP(R4972,REGRAS!$B$2:$C$13,2,0),""))</f>
        <v/>
      </c>
    </row>
    <row r="4973" spans="20:20" x14ac:dyDescent="0.3">
      <c r="T4973" s="47" t="str">
        <f ca="1">IF(R4973="","",IFERROR(TODAY()+VLOOKUP(R4973,REGRAS!$B$2:$C$13,2,0),""))</f>
        <v/>
      </c>
    </row>
    <row r="4974" spans="20:20" x14ac:dyDescent="0.3">
      <c r="T4974" s="47" t="str">
        <f ca="1">IF(R4974="","",IFERROR(TODAY()+VLOOKUP(R4974,REGRAS!$B$2:$C$13,2,0),""))</f>
        <v/>
      </c>
    </row>
    <row r="4975" spans="20:20" x14ac:dyDescent="0.3">
      <c r="T4975" s="47" t="str">
        <f ca="1">IF(R4975="","",IFERROR(TODAY()+VLOOKUP(R4975,REGRAS!$B$2:$C$13,2,0),""))</f>
        <v/>
      </c>
    </row>
    <row r="4976" spans="20:20" x14ac:dyDescent="0.3">
      <c r="T4976" s="47" t="str">
        <f ca="1">IF(R4976="","",IFERROR(TODAY()+VLOOKUP(R4976,REGRAS!$B$2:$C$13,2,0),""))</f>
        <v/>
      </c>
    </row>
    <row r="4977" spans="20:20" x14ac:dyDescent="0.3">
      <c r="T4977" s="47" t="str">
        <f ca="1">IF(R4977="","",IFERROR(TODAY()+VLOOKUP(R4977,REGRAS!$B$2:$C$13,2,0),""))</f>
        <v/>
      </c>
    </row>
    <row r="4978" spans="20:20" x14ac:dyDescent="0.3">
      <c r="T4978" s="47" t="str">
        <f ca="1">IF(R4978="","",IFERROR(TODAY()+VLOOKUP(R4978,REGRAS!$B$2:$C$13,2,0),""))</f>
        <v/>
      </c>
    </row>
    <row r="4979" spans="20:20" x14ac:dyDescent="0.3">
      <c r="T4979" s="47" t="str">
        <f ca="1">IF(R4979="","",IFERROR(TODAY()+VLOOKUP(R4979,REGRAS!$B$2:$C$13,2,0),""))</f>
        <v/>
      </c>
    </row>
    <row r="4980" spans="20:20" x14ac:dyDescent="0.3">
      <c r="T4980" s="47" t="str">
        <f ca="1">IF(R4980="","",IFERROR(TODAY()+VLOOKUP(R4980,REGRAS!$B$2:$C$13,2,0),""))</f>
        <v/>
      </c>
    </row>
    <row r="4981" spans="20:20" x14ac:dyDescent="0.3">
      <c r="T4981" s="47" t="str">
        <f ca="1">IF(R4981="","",IFERROR(TODAY()+VLOOKUP(R4981,REGRAS!$B$2:$C$13,2,0),""))</f>
        <v/>
      </c>
    </row>
    <row r="4982" spans="20:20" x14ac:dyDescent="0.3">
      <c r="T4982" s="47" t="str">
        <f ca="1">IF(R4982="","",IFERROR(TODAY()+VLOOKUP(R4982,REGRAS!$B$2:$C$13,2,0),""))</f>
        <v/>
      </c>
    </row>
    <row r="4983" spans="20:20" x14ac:dyDescent="0.3">
      <c r="T4983" s="47" t="str">
        <f ca="1">IF(R4983="","",IFERROR(TODAY()+VLOOKUP(R4983,REGRAS!$B$2:$C$13,2,0),""))</f>
        <v/>
      </c>
    </row>
    <row r="4984" spans="20:20" x14ac:dyDescent="0.3">
      <c r="T4984" s="47" t="str">
        <f ca="1">IF(R4984="","",IFERROR(TODAY()+VLOOKUP(R4984,REGRAS!$B$2:$C$13,2,0),""))</f>
        <v/>
      </c>
    </row>
    <row r="4985" spans="20:20" x14ac:dyDescent="0.3">
      <c r="T4985" s="47" t="str">
        <f ca="1">IF(R4985="","",IFERROR(TODAY()+VLOOKUP(R4985,REGRAS!$B$2:$C$13,2,0),""))</f>
        <v/>
      </c>
    </row>
    <row r="4986" spans="20:20" x14ac:dyDescent="0.3">
      <c r="T4986" s="47" t="str">
        <f ca="1">IF(R4986="","",IFERROR(TODAY()+VLOOKUP(R4986,REGRAS!$B$2:$C$13,2,0),""))</f>
        <v/>
      </c>
    </row>
    <row r="4987" spans="20:20" x14ac:dyDescent="0.3">
      <c r="T4987" s="47" t="str">
        <f ca="1">IF(R4987="","",IFERROR(TODAY()+VLOOKUP(R4987,REGRAS!$B$2:$C$13,2,0),""))</f>
        <v/>
      </c>
    </row>
    <row r="4988" spans="20:20" x14ac:dyDescent="0.3">
      <c r="T4988" s="47" t="str">
        <f ca="1">IF(R4988="","",IFERROR(TODAY()+VLOOKUP(R4988,REGRAS!$B$2:$C$13,2,0),""))</f>
        <v/>
      </c>
    </row>
    <row r="4989" spans="20:20" x14ac:dyDescent="0.3">
      <c r="T4989" s="47" t="str">
        <f ca="1">IF(R4989="","",IFERROR(TODAY()+VLOOKUP(R4989,REGRAS!$B$2:$C$13,2,0),""))</f>
        <v/>
      </c>
    </row>
    <row r="4990" spans="20:20" x14ac:dyDescent="0.3">
      <c r="T4990" s="47" t="str">
        <f ca="1">IF(R4990="","",IFERROR(TODAY()+VLOOKUP(R4990,REGRAS!$B$2:$C$13,2,0),""))</f>
        <v/>
      </c>
    </row>
    <row r="4991" spans="20:20" x14ac:dyDescent="0.3">
      <c r="T4991" s="47" t="str">
        <f ca="1">IF(R4991="","",IFERROR(TODAY()+VLOOKUP(R4991,REGRAS!$B$2:$C$13,2,0),""))</f>
        <v/>
      </c>
    </row>
    <row r="4992" spans="20:20" x14ac:dyDescent="0.3">
      <c r="T4992" s="47" t="str">
        <f ca="1">IF(R4992="","",IFERROR(TODAY()+VLOOKUP(R4992,REGRAS!$B$2:$C$13,2,0),""))</f>
        <v/>
      </c>
    </row>
    <row r="4993" spans="20:20" x14ac:dyDescent="0.3">
      <c r="T4993" s="47" t="str">
        <f ca="1">IF(R4993="","",IFERROR(TODAY()+VLOOKUP(R4993,REGRAS!$B$2:$C$13,2,0),""))</f>
        <v/>
      </c>
    </row>
    <row r="4994" spans="20:20" x14ac:dyDescent="0.3">
      <c r="T4994" s="47" t="str">
        <f ca="1">IF(R4994="","",IFERROR(TODAY()+VLOOKUP(R4994,REGRAS!$B$2:$C$13,2,0),""))</f>
        <v/>
      </c>
    </row>
    <row r="4995" spans="20:20" x14ac:dyDescent="0.3">
      <c r="T4995" s="47" t="str">
        <f ca="1">IF(R4995="","",IFERROR(TODAY()+VLOOKUP(R4995,REGRAS!$B$2:$C$13,2,0),""))</f>
        <v/>
      </c>
    </row>
    <row r="4996" spans="20:20" x14ac:dyDescent="0.3">
      <c r="T4996" s="47" t="str">
        <f ca="1">IF(R4996="","",IFERROR(TODAY()+VLOOKUP(R4996,REGRAS!$B$2:$C$13,2,0),""))</f>
        <v/>
      </c>
    </row>
    <row r="4997" spans="20:20" x14ac:dyDescent="0.3">
      <c r="T4997" s="47" t="str">
        <f ca="1">IF(R4997="","",IFERROR(TODAY()+VLOOKUP(R4997,REGRAS!$B$2:$C$13,2,0),""))</f>
        <v/>
      </c>
    </row>
    <row r="4998" spans="20:20" x14ac:dyDescent="0.3">
      <c r="T4998" s="47" t="str">
        <f ca="1">IF(R4998="","",IFERROR(TODAY()+VLOOKUP(R4998,REGRAS!$B$2:$C$13,2,0),""))</f>
        <v/>
      </c>
    </row>
    <row r="4999" spans="20:20" x14ac:dyDescent="0.3">
      <c r="T4999" s="47" t="str">
        <f ca="1">IF(R4999="","",IFERROR(TODAY()+VLOOKUP(R4999,REGRAS!$B$2:$C$13,2,0),""))</f>
        <v/>
      </c>
    </row>
    <row r="5000" spans="20:20" x14ac:dyDescent="0.3">
      <c r="T5000" s="47" t="str">
        <f ca="1">IF(R5000="","",IFERROR(TODAY()+VLOOKUP(R5000,REGRAS!$B$2:$C$13,2,0),""))</f>
        <v/>
      </c>
    </row>
  </sheetData>
  <mergeCells count="4">
    <mergeCell ref="N3:X3"/>
    <mergeCell ref="A3:M3"/>
    <mergeCell ref="A2:X2"/>
    <mergeCell ref="A1:X1"/>
  </mergeCells>
  <dataValidations count="3">
    <dataValidation type="list" allowBlank="1" sqref="W5:W5000 N5:P5000" xr:uid="{00000000-0002-0000-0500-000000000000}">
      <formula1>"SIM,NÃO"</formula1>
    </dataValidation>
    <dataValidation type="list" allowBlank="1" sqref="R5:R5000" xr:uid="{00000000-0002-0000-0500-000003000000}">
      <formula1>"EM ATENDIMENTO,ORÇAMENTO,CADASTRO,VENDA / PEDIDO,RELACIONAMENTO,FOLLOW UP 7,FOLLOW UP 15,SUPORTE,NÃO ATENDE,NÃO RESPONDE,PERDA / FECHOU LOJA"</formula1>
    </dataValidation>
    <dataValidation type="list" allowBlank="1" sqref="U5:U5000" xr:uid="{00000000-0002-0000-0500-000004000000}">
      <formula1>"LIGAR,WHATSAPP,ENVIAR ORÇAMENTO,ENVIAR CATÁLOGO,REAGENDAR,VISITAR,AGUARDAR RETORNO,NENHUMA"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6000000}">
          <x14:formula1>
            <xm:f>REGRAS!$B$18:$B$24</xm:f>
          </x14:formula1>
          <xm:sqref>Q5:Q5000</xm:sqref>
        </x14:dataValidation>
        <x14:dataValidation type="list" allowBlank="1" xr:uid="{00000000-0002-0000-0500-000007000000}">
          <x14:formula1>
            <xm:f>REGRAS!$B$28:$B$37</xm:f>
          </x14:formula1>
          <xm:sqref>S5:S5000</xm:sqref>
        </x14:dataValidation>
        <x14:dataValidation type="list" allowBlank="1" xr:uid="{00000000-0002-0000-0500-000008000000}">
          <x14:formula1>
            <xm:f>REGRAS!$B$2:$B$13</xm:f>
          </x14:formula1>
          <xm:sqref>R5:R5000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C2626"/>
    <pageSetUpPr fitToPage="1"/>
  </sheetPr>
  <dimension ref="A1:S164"/>
  <sheetViews>
    <sheetView tabSelected="1" zoomScale="70" zoomScaleNormal="70" workbookViewId="0">
      <pane ySplit="7" topLeftCell="A78" activePane="bottomLeft" state="frozen"/>
      <selection pane="bottomLeft" activeCell="O70" sqref="O70"/>
    </sheetView>
  </sheetViews>
  <sheetFormatPr defaultRowHeight="14.4" x14ac:dyDescent="0.3"/>
  <cols>
    <col min="1" max="1" width="22.21875" style="108" customWidth="1"/>
    <col min="2" max="17" width="10.21875" style="108" customWidth="1"/>
    <col min="18" max="16384" width="8.88671875" style="108"/>
  </cols>
  <sheetData>
    <row r="1" spans="1:19" ht="21" x14ac:dyDescent="0.3">
      <c r="A1" s="143" t="s">
        <v>1210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07"/>
      <c r="S1" s="107"/>
    </row>
    <row r="2" spans="1:19" x14ac:dyDescent="0.3">
      <c r="A2" s="145" t="s">
        <v>1211</v>
      </c>
      <c r="B2" s="113"/>
      <c r="C2" s="146" t="s">
        <v>1212</v>
      </c>
      <c r="D2" s="147">
        <v>46054</v>
      </c>
      <c r="E2" s="146" t="s">
        <v>1213</v>
      </c>
      <c r="F2" s="147">
        <v>46081</v>
      </c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07"/>
      <c r="S2" s="107"/>
    </row>
    <row r="3" spans="1:19" ht="22.05" customHeight="1" x14ac:dyDescent="0.3">
      <c r="A3" s="118" t="s">
        <v>1263</v>
      </c>
      <c r="B3" s="115"/>
      <c r="C3" s="152" t="s">
        <v>1300</v>
      </c>
      <c r="D3" s="153"/>
      <c r="E3" s="152" t="s">
        <v>1301</v>
      </c>
      <c r="F3" s="153"/>
      <c r="G3" s="154" t="s">
        <v>1302</v>
      </c>
      <c r="H3" s="155"/>
      <c r="I3" s="120" t="s">
        <v>1303</v>
      </c>
      <c r="J3" s="117"/>
      <c r="K3" s="119" t="s">
        <v>1304</v>
      </c>
      <c r="L3" s="116"/>
      <c r="M3" s="156" t="s">
        <v>1305</v>
      </c>
      <c r="N3" s="157"/>
      <c r="O3" s="158" t="s">
        <v>1306</v>
      </c>
      <c r="P3" s="159"/>
      <c r="Q3" s="160" t="s">
        <v>1307</v>
      </c>
      <c r="R3" s="107"/>
      <c r="S3" s="107"/>
    </row>
    <row r="4" spans="1:19" ht="42" customHeight="1" x14ac:dyDescent="0.7">
      <c r="A4" s="161">
        <f>B17</f>
        <v>440</v>
      </c>
      <c r="B4" s="162"/>
      <c r="C4" s="163">
        <f>C34</f>
        <v>307</v>
      </c>
      <c r="D4" s="164"/>
      <c r="E4" s="163">
        <f>D34</f>
        <v>200</v>
      </c>
      <c r="F4" s="165"/>
      <c r="G4" s="166">
        <f>E34</f>
        <v>117</v>
      </c>
      <c r="H4" s="167"/>
      <c r="I4" s="168">
        <f>B10</f>
        <v>52</v>
      </c>
      <c r="J4" s="169"/>
      <c r="K4" s="170">
        <f>C17</f>
        <v>53</v>
      </c>
      <c r="L4" s="171"/>
      <c r="M4" s="172">
        <f>M17</f>
        <v>69</v>
      </c>
      <c r="N4" s="173"/>
      <c r="O4" s="174">
        <f>B15</f>
        <v>96</v>
      </c>
      <c r="P4" s="159"/>
      <c r="Q4" s="175">
        <f>D17</f>
        <v>18</v>
      </c>
      <c r="R4" s="107"/>
      <c r="S4" s="107"/>
    </row>
    <row r="5" spans="1:19" ht="18" customHeight="1" thickBot="1" x14ac:dyDescent="0.35">
      <c r="A5" s="176" t="s">
        <v>1264</v>
      </c>
      <c r="B5" s="177"/>
      <c r="C5" s="178" t="s">
        <v>1308</v>
      </c>
      <c r="D5" s="179"/>
      <c r="E5" s="178" t="s">
        <v>1309</v>
      </c>
      <c r="F5" s="179"/>
      <c r="G5" s="180" t="s">
        <v>1310</v>
      </c>
      <c r="H5" s="181"/>
      <c r="I5" s="182" t="s">
        <v>1311</v>
      </c>
      <c r="J5" s="183"/>
      <c r="K5" s="184" t="s">
        <v>1265</v>
      </c>
      <c r="L5" s="185"/>
      <c r="M5" s="186" t="s">
        <v>1312</v>
      </c>
      <c r="N5" s="187"/>
      <c r="O5" s="188" t="s">
        <v>1313</v>
      </c>
      <c r="P5" s="159"/>
      <c r="Q5" s="189" t="s">
        <v>1314</v>
      </c>
      <c r="R5" s="107"/>
      <c r="S5" s="107"/>
    </row>
    <row r="6" spans="1:19" ht="7.95" customHeight="1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 s="107"/>
      <c r="S6" s="107"/>
    </row>
    <row r="7" spans="1:19" x14ac:dyDescent="0.3">
      <c r="A7" s="114" t="s">
        <v>1214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07"/>
      <c r="S7" s="107"/>
    </row>
    <row r="8" spans="1:19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 s="107"/>
      <c r="S8" s="107"/>
    </row>
    <row r="9" spans="1:19" x14ac:dyDescent="0.3">
      <c r="A9" s="110" t="s">
        <v>32</v>
      </c>
      <c r="B9" s="110" t="s">
        <v>1215</v>
      </c>
      <c r="C9" s="110" t="s">
        <v>8</v>
      </c>
      <c r="D9" s="110" t="s">
        <v>10</v>
      </c>
      <c r="E9" s="110" t="s">
        <v>14</v>
      </c>
      <c r="F9" s="110" t="s">
        <v>5</v>
      </c>
      <c r="G9" s="110" t="s">
        <v>21</v>
      </c>
      <c r="H9" s="110" t="s">
        <v>12</v>
      </c>
      <c r="I9" s="110" t="s">
        <v>23</v>
      </c>
      <c r="J9" s="110" t="s">
        <v>28</v>
      </c>
      <c r="K9" s="110" t="s">
        <v>26</v>
      </c>
      <c r="L9" s="110" t="s">
        <v>30</v>
      </c>
      <c r="M9" s="110" t="s">
        <v>37</v>
      </c>
      <c r="N9" s="135" t="s">
        <v>1289</v>
      </c>
      <c r="O9" s="135" t="s">
        <v>1290</v>
      </c>
      <c r="P9" s="135" t="s">
        <v>1291</v>
      </c>
      <c r="Q9" s="135" t="s">
        <v>1292</v>
      </c>
      <c r="R9" s="107"/>
      <c r="S9" s="107"/>
    </row>
    <row r="10" spans="1:19" x14ac:dyDescent="0.3">
      <c r="A10" s="73" t="s">
        <v>33</v>
      </c>
      <c r="B10" s="74">
        <f t="shared" ref="B10:B16" si="0">SUM(C10:M10)</f>
        <v>52</v>
      </c>
      <c r="C10" s="75">
        <f>COUNTIFS('DRAFT 2'!$Q:$Q,$A10,'DRAFT 2'!$R:$R,"ORÇAMENTO",'DRAFT 2'!$B:$B,IF($C$2="TODOS","*",$C$2),'DRAFT 2'!$A:$A,"&gt;="&amp;$D$2,'DRAFT 2'!$A:$A,"&lt;="&amp;$F$2)</f>
        <v>4</v>
      </c>
      <c r="D10" s="75">
        <f>COUNTIFS('DRAFT 2'!$Q:$Q,$A10,'DRAFT 2'!$R:$R,"CADASTRO",'DRAFT 2'!$B:$B,IF($C$2="TODOS","*",$C$2),'DRAFT 2'!$A:$A,"&gt;="&amp;$D$2,'DRAFT 2'!$A:$A,"&lt;="&amp;$F$2)</f>
        <v>12</v>
      </c>
      <c r="E10" s="75">
        <f>COUNTIFS('DRAFT 2'!$Q:$Q,$A10,'DRAFT 2'!$R:$R,"RELACIONAMENTO",'DRAFT 2'!$B:$B,IF($C$2="TODOS","*",$C$2),'DRAFT 2'!$A:$A,"&gt;="&amp;$D$2,'DRAFT 2'!$A:$A,"&lt;="&amp;$F$2)</f>
        <v>2</v>
      </c>
      <c r="F10" s="75">
        <f>COUNTIFS('DRAFT 2'!$Q:$Q,$A10,'DRAFT 2'!$R:$R,"EM ATENDIMENTO",'DRAFT 2'!$B:$B,IF($C$2="TODOS","*",$C$2),'DRAFT 2'!$A:$A,"&gt;="&amp;$D$2,'DRAFT 2'!$A:$A,"&lt;="&amp;$F$2)</f>
        <v>13</v>
      </c>
      <c r="G10" s="75">
        <f>COUNTIFS('DRAFT 2'!$Q:$Q,$A10,'DRAFT 2'!$R:$R,"SUPORTE",'DRAFT 2'!$B:$B,IF($C$2="TODOS","*",$C$2),'DRAFT 2'!$A:$A,"&gt;="&amp;$D$2,'DRAFT 2'!$A:$A,"&lt;="&amp;$F$2)</f>
        <v>0</v>
      </c>
      <c r="H10" s="75">
        <f>COUNTIFS('DRAFT 2'!$Q:$Q,$A10,'DRAFT 2'!$R:$R,"VENDA / PEDIDO",'DRAFT 2'!$B:$B,IF($C$2="TODOS","*",$C$2),'DRAFT 2'!$A:$A,"&gt;="&amp;$D$2,'DRAFT 2'!$A:$A,"&lt;="&amp;$F$2)</f>
        <v>1</v>
      </c>
      <c r="I10" s="75">
        <f>COUNTIFS('DRAFT 2'!$Q:$Q,$A10,'DRAFT 2'!$R:$R,"NÃO ATENDE",'DRAFT 2'!$B:$B,IF($C$2="TODOS","*",$C$2),'DRAFT 2'!$A:$A,"&gt;="&amp;$D$2,'DRAFT 2'!$A:$A,"&lt;="&amp;$F$2)</f>
        <v>7</v>
      </c>
      <c r="J10" s="75">
        <f>COUNTIFS('DRAFT 2'!$Q:$Q,$A10,'DRAFT 2'!$R:$R,"RECUSOU LIGAÇÃO",'DRAFT 2'!$B:$B,IF($C$2="TODOS","*",$C$2),'DRAFT 2'!$A:$A,"&gt;="&amp;$D$2,'DRAFT 2'!$A:$A,"&lt;="&amp;$F$2)</f>
        <v>4</v>
      </c>
      <c r="K10" s="75">
        <f>COUNTIFS('DRAFT 2'!$Q:$Q,$A10,'DRAFT 2'!$R:$R,"NÃO RESPONDE",'DRAFT 2'!$B:$B,IF($C$2="TODOS","*",$C$2),'DRAFT 2'!$A:$A,"&gt;="&amp;$D$2,'DRAFT 2'!$A:$A,"&lt;="&amp;$F$2)</f>
        <v>9</v>
      </c>
      <c r="L10" s="75">
        <f>COUNTIFS('DRAFT 2'!$Q:$Q,$A10,'DRAFT 2'!$R:$R,"PERDA / FECHOU LOJA",'DRAFT 2'!$B:$B,IF($C$2="TODOS","*",$C$2),'DRAFT 2'!$A:$A,"&gt;="&amp;$D$2,'DRAFT 2'!$A:$A,"&lt;="&amp;$F$2)</f>
        <v>0</v>
      </c>
      <c r="M10" s="75">
        <f>COUNTIFS('DRAFT 2'!$Q:$Q,$A10,'DRAFT 2'!$R:$R,"FOLLOW UP 7",'DRAFT 2'!$B:$B,IF($C$2="TODOS","*",$C$2),'DRAFT 2'!$A:$A,"&gt;="&amp;$D$2,'DRAFT 2'!$A:$A,"&lt;="&amp;$F$2)+COUNTIFS('DRAFT 2'!$Q:$Q,$A10,'DRAFT 2'!$R:$R,"FOLLOW UP 15",'DRAFT 2'!$B:$B,IF($C$2="TODOS","*",$C$2),'DRAFT 2'!$A:$A,"&gt;="&amp;$D$2,'DRAFT 2'!$A:$A,"&lt;="&amp;$F$2)</f>
        <v>0</v>
      </c>
      <c r="N10" s="137">
        <f>IFERROR(B10/$B$17,0)</f>
        <v>0.11818181818181818</v>
      </c>
      <c r="O10" s="138">
        <f>IFERROR(H10/B10,0)</f>
        <v>1.9230769230769232E-2</v>
      </c>
      <c r="P10" s="148">
        <f>IFERROR((I10+J10+K10+L10)/B10,0)</f>
        <v>0.38461538461538464</v>
      </c>
      <c r="Q10" s="149">
        <f>IFERROR((C10+D10+E10+H10)/B10,0)</f>
        <v>0.36538461538461536</v>
      </c>
      <c r="R10" s="107"/>
      <c r="S10" s="107"/>
    </row>
    <row r="11" spans="1:19" x14ac:dyDescent="0.3">
      <c r="A11" s="73" t="s">
        <v>35</v>
      </c>
      <c r="B11" s="74">
        <f t="shared" si="0"/>
        <v>39</v>
      </c>
      <c r="C11" s="75">
        <f>COUNTIFS('DRAFT 2'!$Q:$Q,$A11,'DRAFT 2'!$R:$R,"ORÇAMENTO",'DRAFT 2'!$B:$B,IF($C$2="TODOS","*",$C$2),'DRAFT 2'!$A:$A,"&gt;="&amp;$D$2,'DRAFT 2'!$A:$A,"&lt;="&amp;$F$2)</f>
        <v>16</v>
      </c>
      <c r="D11" s="75">
        <f>COUNTIFS('DRAFT 2'!$Q:$Q,$A11,'DRAFT 2'!$R:$R,"CADASTRO",'DRAFT 2'!$B:$B,IF($C$2="TODOS","*",$C$2),'DRAFT 2'!$A:$A,"&gt;="&amp;$D$2,'DRAFT 2'!$A:$A,"&lt;="&amp;$F$2)</f>
        <v>3</v>
      </c>
      <c r="E11" s="75">
        <f>COUNTIFS('DRAFT 2'!$Q:$Q,$A11,'DRAFT 2'!$R:$R,"RELACIONAMENTO",'DRAFT 2'!$B:$B,IF($C$2="TODOS","*",$C$2),'DRAFT 2'!$A:$A,"&gt;="&amp;$D$2,'DRAFT 2'!$A:$A,"&lt;="&amp;$F$2)</f>
        <v>0</v>
      </c>
      <c r="F11" s="75">
        <f>COUNTIFS('DRAFT 2'!$Q:$Q,$A11,'DRAFT 2'!$R:$R,"EM ATENDIMENTO",'DRAFT 2'!$B:$B,IF($C$2="TODOS","*",$C$2),'DRAFT 2'!$A:$A,"&gt;="&amp;$D$2,'DRAFT 2'!$A:$A,"&lt;="&amp;$F$2)</f>
        <v>11</v>
      </c>
      <c r="G11" s="75">
        <f>COUNTIFS('DRAFT 2'!$Q:$Q,$A11,'DRAFT 2'!$R:$R,"SUPORTE",'DRAFT 2'!$B:$B,IF($C$2="TODOS","*",$C$2),'DRAFT 2'!$A:$A,"&gt;="&amp;$D$2,'DRAFT 2'!$A:$A,"&lt;="&amp;$F$2)</f>
        <v>0</v>
      </c>
      <c r="H11" s="75">
        <f>COUNTIFS('DRAFT 2'!$Q:$Q,$A11,'DRAFT 2'!$R:$R,"VENDA / PEDIDO",'DRAFT 2'!$B:$B,IF($C$2="TODOS","*",$C$2),'DRAFT 2'!$A:$A,"&gt;="&amp;$D$2,'DRAFT 2'!$A:$A,"&lt;="&amp;$F$2)</f>
        <v>6</v>
      </c>
      <c r="I11" s="75">
        <f>COUNTIFS('DRAFT 2'!$Q:$Q,$A11,'DRAFT 2'!$R:$R,"NÃO ATENDE",'DRAFT 2'!$B:$B,IF($C$2="TODOS","*",$C$2),'DRAFT 2'!$A:$A,"&gt;="&amp;$D$2,'DRAFT 2'!$A:$A,"&lt;="&amp;$F$2)</f>
        <v>1</v>
      </c>
      <c r="J11" s="75">
        <f>COUNTIFS('DRAFT 2'!$Q:$Q,$A11,'DRAFT 2'!$R:$R,"RECUSOU LIGAÇÃO",'DRAFT 2'!$B:$B,IF($C$2="TODOS","*",$C$2),'DRAFT 2'!$A:$A,"&gt;="&amp;$D$2,'DRAFT 2'!$A:$A,"&lt;="&amp;$F$2)</f>
        <v>0</v>
      </c>
      <c r="K11" s="75">
        <f>COUNTIFS('DRAFT 2'!$Q:$Q,$A11,'DRAFT 2'!$R:$R,"NÃO RESPONDE",'DRAFT 2'!$B:$B,IF($C$2="TODOS","*",$C$2),'DRAFT 2'!$A:$A,"&gt;="&amp;$D$2,'DRAFT 2'!$A:$A,"&lt;="&amp;$F$2)</f>
        <v>0</v>
      </c>
      <c r="L11" s="75">
        <f>COUNTIFS('DRAFT 2'!$Q:$Q,$A11,'DRAFT 2'!$R:$R,"PERDA / FECHOU LOJA",'DRAFT 2'!$B:$B,IF($C$2="TODOS","*",$C$2),'DRAFT 2'!$A:$A,"&gt;="&amp;$D$2,'DRAFT 2'!$A:$A,"&lt;="&amp;$F$2)</f>
        <v>0</v>
      </c>
      <c r="M11" s="75">
        <f>COUNTIFS('DRAFT 2'!$Q:$Q,$A11,'DRAFT 2'!$R:$R,"FOLLOW UP 7",'DRAFT 2'!$B:$B,IF($C$2="TODOS","*",$C$2),'DRAFT 2'!$A:$A,"&gt;="&amp;$D$2,'DRAFT 2'!$A:$A,"&lt;="&amp;$F$2)+COUNTIFS('DRAFT 2'!$Q:$Q,$A11,'DRAFT 2'!$R:$R,"FOLLOW UP 15",'DRAFT 2'!$B:$B,IF($C$2="TODOS","*",$C$2),'DRAFT 2'!$A:$A,"&gt;="&amp;$D$2,'DRAFT 2'!$A:$A,"&lt;="&amp;$F$2)</f>
        <v>2</v>
      </c>
      <c r="N11" s="137">
        <f t="shared" ref="N11:N16" si="1">IFERROR(B11/$B$17,0)</f>
        <v>8.8636363636363638E-2</v>
      </c>
      <c r="O11" s="138">
        <f t="shared" ref="O11:O16" si="2">IFERROR(H11/B11,0)</f>
        <v>0.15384615384615385</v>
      </c>
      <c r="P11" s="148">
        <f t="shared" ref="P11:P16" si="3">IFERROR((I11+J11+K11+L11)/B11,0)</f>
        <v>2.564102564102564E-2</v>
      </c>
      <c r="Q11" s="149">
        <f t="shared" ref="Q11:Q16" si="4">IFERROR((C11+D11+E11+H11)/B11,0)</f>
        <v>0.64102564102564108</v>
      </c>
      <c r="R11" s="107"/>
      <c r="S11" s="107"/>
    </row>
    <row r="12" spans="1:19" x14ac:dyDescent="0.3">
      <c r="A12" s="84" t="s">
        <v>37</v>
      </c>
      <c r="B12" s="74">
        <f t="shared" si="0"/>
        <v>49</v>
      </c>
      <c r="C12" s="75">
        <f>COUNTIFS('DRAFT 2'!$Q:$Q,$A12,'DRAFT 2'!$R:$R,"ORÇAMENTO",'DRAFT 2'!$B:$B,IF($C$2="TODOS","*",$C$2),'DRAFT 2'!$A:$A,"&gt;="&amp;$D$2,'DRAFT 2'!$A:$A,"&lt;="&amp;$F$2)</f>
        <v>12</v>
      </c>
      <c r="D12" s="75">
        <f>COUNTIFS('DRAFT 2'!$Q:$Q,$A12,'DRAFT 2'!$R:$R,"CADASTRO",'DRAFT 2'!$B:$B,IF($C$2="TODOS","*",$C$2),'DRAFT 2'!$A:$A,"&gt;="&amp;$D$2,'DRAFT 2'!$A:$A,"&lt;="&amp;$F$2)</f>
        <v>0</v>
      </c>
      <c r="E12" s="75">
        <f>COUNTIFS('DRAFT 2'!$Q:$Q,$A12,'DRAFT 2'!$R:$R,"RELACIONAMENTO",'DRAFT 2'!$B:$B,IF($C$2="TODOS","*",$C$2),'DRAFT 2'!$A:$A,"&gt;="&amp;$D$2,'DRAFT 2'!$A:$A,"&lt;="&amp;$F$2)</f>
        <v>3</v>
      </c>
      <c r="F12" s="75">
        <f>COUNTIFS('DRAFT 2'!$Q:$Q,$A12,'DRAFT 2'!$R:$R,"EM ATENDIMENTO",'DRAFT 2'!$B:$B,IF($C$2="TODOS","*",$C$2),'DRAFT 2'!$A:$A,"&gt;="&amp;$D$2,'DRAFT 2'!$A:$A,"&lt;="&amp;$F$2)</f>
        <v>8</v>
      </c>
      <c r="G12" s="75">
        <f>COUNTIFS('DRAFT 2'!$Q:$Q,$A12,'DRAFT 2'!$R:$R,"SUPORTE",'DRAFT 2'!$B:$B,IF($C$2="TODOS","*",$C$2),'DRAFT 2'!$A:$A,"&gt;="&amp;$D$2,'DRAFT 2'!$A:$A,"&lt;="&amp;$F$2)</f>
        <v>4</v>
      </c>
      <c r="H12" s="75">
        <f>COUNTIFS('DRAFT 2'!$Q:$Q,$A12,'DRAFT 2'!$R:$R,"VENDA / PEDIDO",'DRAFT 2'!$B:$B,IF($C$2="TODOS","*",$C$2),'DRAFT 2'!$A:$A,"&gt;="&amp;$D$2,'DRAFT 2'!$A:$A,"&lt;="&amp;$F$2)</f>
        <v>2</v>
      </c>
      <c r="I12" s="75">
        <f>COUNTIFS('DRAFT 2'!$Q:$Q,$A12,'DRAFT 2'!$R:$R,"NÃO ATENDE",'DRAFT 2'!$B:$B,IF($C$2="TODOS","*",$C$2),'DRAFT 2'!$A:$A,"&gt;="&amp;$D$2,'DRAFT 2'!$A:$A,"&lt;="&amp;$F$2)</f>
        <v>5</v>
      </c>
      <c r="J12" s="75">
        <f>COUNTIFS('DRAFT 2'!$Q:$Q,$A12,'DRAFT 2'!$R:$R,"RECUSOU LIGAÇÃO",'DRAFT 2'!$B:$B,IF($C$2="TODOS","*",$C$2),'DRAFT 2'!$A:$A,"&gt;="&amp;$D$2,'DRAFT 2'!$A:$A,"&lt;="&amp;$F$2)</f>
        <v>0</v>
      </c>
      <c r="K12" s="75">
        <f>COUNTIFS('DRAFT 2'!$Q:$Q,$A12,'DRAFT 2'!$R:$R,"NÃO RESPONDE",'DRAFT 2'!$B:$B,IF($C$2="TODOS","*",$C$2),'DRAFT 2'!$A:$A,"&gt;="&amp;$D$2,'DRAFT 2'!$A:$A,"&lt;="&amp;$F$2)</f>
        <v>4</v>
      </c>
      <c r="L12" s="75">
        <f>COUNTIFS('DRAFT 2'!$Q:$Q,$A12,'DRAFT 2'!$R:$R,"PERDA / FECHOU LOJA",'DRAFT 2'!$B:$B,IF($C$2="TODOS","*",$C$2),'DRAFT 2'!$A:$A,"&gt;="&amp;$D$2,'DRAFT 2'!$A:$A,"&lt;="&amp;$F$2)</f>
        <v>0</v>
      </c>
      <c r="M12" s="75">
        <f>COUNTIFS('DRAFT 2'!$Q:$Q,$A12,'DRAFT 2'!$R:$R,"FOLLOW UP 7",'DRAFT 2'!$B:$B,IF($C$2="TODOS","*",$C$2),'DRAFT 2'!$A:$A,"&gt;="&amp;$D$2,'DRAFT 2'!$A:$A,"&lt;="&amp;$F$2)+COUNTIFS('DRAFT 2'!$Q:$Q,$A12,'DRAFT 2'!$R:$R,"FOLLOW UP 15",'DRAFT 2'!$B:$B,IF($C$2="TODOS","*",$C$2),'DRAFT 2'!$A:$A,"&gt;="&amp;$D$2,'DRAFT 2'!$A:$A,"&lt;="&amp;$F$2)</f>
        <v>11</v>
      </c>
      <c r="N12" s="137">
        <f t="shared" si="1"/>
        <v>0.11136363636363636</v>
      </c>
      <c r="O12" s="138">
        <f t="shared" si="2"/>
        <v>4.0816326530612242E-2</v>
      </c>
      <c r="P12" s="148">
        <f t="shared" si="3"/>
        <v>0.18367346938775511</v>
      </c>
      <c r="Q12" s="149">
        <f t="shared" si="4"/>
        <v>0.34693877551020408</v>
      </c>
      <c r="R12" s="107"/>
      <c r="S12" s="107"/>
    </row>
    <row r="13" spans="1:19" x14ac:dyDescent="0.3">
      <c r="A13" s="84" t="s">
        <v>39</v>
      </c>
      <c r="B13" s="74">
        <f t="shared" si="0"/>
        <v>123</v>
      </c>
      <c r="C13" s="75">
        <f>COUNTIFS('DRAFT 2'!$Q:$Q,$A13,'DRAFT 2'!$R:$R,"ORÇAMENTO",'DRAFT 2'!$B:$B,IF($C$2="TODOS","*",$C$2),'DRAFT 2'!$A:$A,"&gt;="&amp;$D$2,'DRAFT 2'!$A:$A,"&lt;="&amp;$F$2)</f>
        <v>13</v>
      </c>
      <c r="D13" s="75">
        <f>COUNTIFS('DRAFT 2'!$Q:$Q,$A13,'DRAFT 2'!$R:$R,"CADASTRO",'DRAFT 2'!$B:$B,IF($C$2="TODOS","*",$C$2),'DRAFT 2'!$A:$A,"&gt;="&amp;$D$2,'DRAFT 2'!$A:$A,"&lt;="&amp;$F$2)</f>
        <v>0</v>
      </c>
      <c r="E13" s="75">
        <f>COUNTIFS('DRAFT 2'!$Q:$Q,$A13,'DRAFT 2'!$R:$R,"RELACIONAMENTO",'DRAFT 2'!$B:$B,IF($C$2="TODOS","*",$C$2),'DRAFT 2'!$A:$A,"&gt;="&amp;$D$2,'DRAFT 2'!$A:$A,"&lt;="&amp;$F$2)</f>
        <v>26</v>
      </c>
      <c r="F13" s="75">
        <f>COUNTIFS('DRAFT 2'!$Q:$Q,$A13,'DRAFT 2'!$R:$R,"EM ATENDIMENTO",'DRAFT 2'!$B:$B,IF($C$2="TODOS","*",$C$2),'DRAFT 2'!$A:$A,"&gt;="&amp;$D$2,'DRAFT 2'!$A:$A,"&lt;="&amp;$F$2)</f>
        <v>8</v>
      </c>
      <c r="G13" s="75">
        <f>COUNTIFS('DRAFT 2'!$Q:$Q,$A13,'DRAFT 2'!$R:$R,"SUPORTE",'DRAFT 2'!$B:$B,IF($C$2="TODOS","*",$C$2),'DRAFT 2'!$A:$A,"&gt;="&amp;$D$2,'DRAFT 2'!$A:$A,"&lt;="&amp;$F$2)</f>
        <v>14</v>
      </c>
      <c r="H13" s="75">
        <f>COUNTIFS('DRAFT 2'!$Q:$Q,$A13,'DRAFT 2'!$R:$R,"VENDA / PEDIDO",'DRAFT 2'!$B:$B,IF($C$2="TODOS","*",$C$2),'DRAFT 2'!$A:$A,"&gt;="&amp;$D$2,'DRAFT 2'!$A:$A,"&lt;="&amp;$F$2)</f>
        <v>26</v>
      </c>
      <c r="I13" s="75">
        <f>COUNTIFS('DRAFT 2'!$Q:$Q,$A13,'DRAFT 2'!$R:$R,"NÃO ATENDE",'DRAFT 2'!$B:$B,IF($C$2="TODOS","*",$C$2),'DRAFT 2'!$A:$A,"&gt;="&amp;$D$2,'DRAFT 2'!$A:$A,"&lt;="&amp;$F$2)</f>
        <v>10</v>
      </c>
      <c r="J13" s="75">
        <f>COUNTIFS('DRAFT 2'!$Q:$Q,$A13,'DRAFT 2'!$R:$R,"RECUSOU LIGAÇÃO",'DRAFT 2'!$B:$B,IF($C$2="TODOS","*",$C$2),'DRAFT 2'!$A:$A,"&gt;="&amp;$D$2,'DRAFT 2'!$A:$A,"&lt;="&amp;$F$2)</f>
        <v>0</v>
      </c>
      <c r="K13" s="75">
        <f>COUNTIFS('DRAFT 2'!$Q:$Q,$A13,'DRAFT 2'!$R:$R,"NÃO RESPONDE",'DRAFT 2'!$B:$B,IF($C$2="TODOS","*",$C$2),'DRAFT 2'!$A:$A,"&gt;="&amp;$D$2,'DRAFT 2'!$A:$A,"&lt;="&amp;$F$2)</f>
        <v>0</v>
      </c>
      <c r="L13" s="75">
        <f>COUNTIFS('DRAFT 2'!$Q:$Q,$A13,'DRAFT 2'!$R:$R,"PERDA / FECHOU LOJA",'DRAFT 2'!$B:$B,IF($C$2="TODOS","*",$C$2),'DRAFT 2'!$A:$A,"&gt;="&amp;$D$2,'DRAFT 2'!$A:$A,"&lt;="&amp;$F$2)</f>
        <v>0</v>
      </c>
      <c r="M13" s="75">
        <f>COUNTIFS('DRAFT 2'!$Q:$Q,$A13,'DRAFT 2'!$R:$R,"FOLLOW UP 7",'DRAFT 2'!$B:$B,IF($C$2="TODOS","*",$C$2),'DRAFT 2'!$A:$A,"&gt;="&amp;$D$2,'DRAFT 2'!$A:$A,"&lt;="&amp;$F$2)+COUNTIFS('DRAFT 2'!$Q:$Q,$A13,'DRAFT 2'!$R:$R,"FOLLOW UP 15",'DRAFT 2'!$B:$B,IF($C$2="TODOS","*",$C$2),'DRAFT 2'!$A:$A,"&gt;="&amp;$D$2,'DRAFT 2'!$A:$A,"&lt;="&amp;$F$2)</f>
        <v>26</v>
      </c>
      <c r="N13" s="137">
        <f t="shared" si="1"/>
        <v>0.27954545454545454</v>
      </c>
      <c r="O13" s="138">
        <f t="shared" si="2"/>
        <v>0.21138211382113822</v>
      </c>
      <c r="P13" s="148">
        <f t="shared" si="3"/>
        <v>8.1300813008130079E-2</v>
      </c>
      <c r="Q13" s="149">
        <f t="shared" si="4"/>
        <v>0.52845528455284552</v>
      </c>
      <c r="R13" s="107"/>
      <c r="S13" s="107"/>
    </row>
    <row r="14" spans="1:19" x14ac:dyDescent="0.3">
      <c r="A14" s="76" t="s">
        <v>41</v>
      </c>
      <c r="B14" s="74">
        <f t="shared" si="0"/>
        <v>50</v>
      </c>
      <c r="C14" s="75">
        <f>COUNTIFS('DRAFT 2'!$Q:$Q,$A14,'DRAFT 2'!$R:$R,"ORÇAMENTO",'DRAFT 2'!$B:$B,IF($C$2="TODOS","*",$C$2),'DRAFT 2'!$A:$A,"&gt;="&amp;$D$2,'DRAFT 2'!$A:$A,"&lt;="&amp;$F$2)</f>
        <v>2</v>
      </c>
      <c r="D14" s="75">
        <f>COUNTIFS('DRAFT 2'!$Q:$Q,$A14,'DRAFT 2'!$R:$R,"CADASTRO",'DRAFT 2'!$B:$B,IF($C$2="TODOS","*",$C$2),'DRAFT 2'!$A:$A,"&gt;="&amp;$D$2,'DRAFT 2'!$A:$A,"&lt;="&amp;$F$2)</f>
        <v>3</v>
      </c>
      <c r="E14" s="75">
        <f>COUNTIFS('DRAFT 2'!$Q:$Q,$A14,'DRAFT 2'!$R:$R,"RELACIONAMENTO",'DRAFT 2'!$B:$B,IF($C$2="TODOS","*",$C$2),'DRAFT 2'!$A:$A,"&gt;="&amp;$D$2,'DRAFT 2'!$A:$A,"&lt;="&amp;$F$2)</f>
        <v>0</v>
      </c>
      <c r="F14" s="75">
        <f>COUNTIFS('DRAFT 2'!$Q:$Q,$A14,'DRAFT 2'!$R:$R,"EM ATENDIMENTO",'DRAFT 2'!$B:$B,IF($C$2="TODOS","*",$C$2),'DRAFT 2'!$A:$A,"&gt;="&amp;$D$2,'DRAFT 2'!$A:$A,"&lt;="&amp;$F$2)</f>
        <v>6</v>
      </c>
      <c r="G14" s="75">
        <f>COUNTIFS('DRAFT 2'!$Q:$Q,$A14,'DRAFT 2'!$R:$R,"SUPORTE",'DRAFT 2'!$B:$B,IF($C$2="TODOS","*",$C$2),'DRAFT 2'!$A:$A,"&gt;="&amp;$D$2,'DRAFT 2'!$A:$A,"&lt;="&amp;$F$2)</f>
        <v>0</v>
      </c>
      <c r="H14" s="75">
        <f>COUNTIFS('DRAFT 2'!$Q:$Q,$A14,'DRAFT 2'!$R:$R,"VENDA / PEDIDO",'DRAFT 2'!$B:$B,IF($C$2="TODOS","*",$C$2),'DRAFT 2'!$A:$A,"&gt;="&amp;$D$2,'DRAFT 2'!$A:$A,"&lt;="&amp;$F$2)</f>
        <v>2</v>
      </c>
      <c r="I14" s="75">
        <f>COUNTIFS('DRAFT 2'!$Q:$Q,$A14,'DRAFT 2'!$R:$R,"NÃO ATENDE",'DRAFT 2'!$B:$B,IF($C$2="TODOS","*",$C$2),'DRAFT 2'!$A:$A,"&gt;="&amp;$D$2,'DRAFT 2'!$A:$A,"&lt;="&amp;$F$2)</f>
        <v>7</v>
      </c>
      <c r="J14" s="75">
        <f>COUNTIFS('DRAFT 2'!$Q:$Q,$A14,'DRAFT 2'!$R:$R,"RECUSOU LIGAÇÃO",'DRAFT 2'!$B:$B,IF($C$2="TODOS","*",$C$2),'DRAFT 2'!$A:$A,"&gt;="&amp;$D$2,'DRAFT 2'!$A:$A,"&lt;="&amp;$F$2)</f>
        <v>9</v>
      </c>
      <c r="K14" s="75">
        <f>COUNTIFS('DRAFT 2'!$Q:$Q,$A14,'DRAFT 2'!$R:$R,"NÃO RESPONDE",'DRAFT 2'!$B:$B,IF($C$2="TODOS","*",$C$2),'DRAFT 2'!$A:$A,"&gt;="&amp;$D$2,'DRAFT 2'!$A:$A,"&lt;="&amp;$F$2)</f>
        <v>11</v>
      </c>
      <c r="L14" s="75">
        <f>COUNTIFS('DRAFT 2'!$Q:$Q,$A14,'DRAFT 2'!$R:$R,"PERDA / FECHOU LOJA",'DRAFT 2'!$B:$B,IF($C$2="TODOS","*",$C$2),'DRAFT 2'!$A:$A,"&gt;="&amp;$D$2,'DRAFT 2'!$A:$A,"&lt;="&amp;$F$2)</f>
        <v>4</v>
      </c>
      <c r="M14" s="75">
        <f>COUNTIFS('DRAFT 2'!$Q:$Q,$A14,'DRAFT 2'!$R:$R,"FOLLOW UP 7",'DRAFT 2'!$B:$B,IF($C$2="TODOS","*",$C$2),'DRAFT 2'!$A:$A,"&gt;="&amp;$D$2,'DRAFT 2'!$A:$A,"&lt;="&amp;$F$2)+COUNTIFS('DRAFT 2'!$Q:$Q,$A14,'DRAFT 2'!$R:$R,"FOLLOW UP 15",'DRAFT 2'!$B:$B,IF($C$2="TODOS","*",$C$2),'DRAFT 2'!$A:$A,"&gt;="&amp;$D$2,'DRAFT 2'!$A:$A,"&lt;="&amp;$F$2)</f>
        <v>6</v>
      </c>
      <c r="N14" s="137">
        <f t="shared" si="1"/>
        <v>0.11363636363636363</v>
      </c>
      <c r="O14" s="138">
        <f t="shared" si="2"/>
        <v>0.04</v>
      </c>
      <c r="P14" s="148">
        <f t="shared" si="3"/>
        <v>0.62</v>
      </c>
      <c r="Q14" s="149">
        <f t="shared" si="4"/>
        <v>0.14000000000000001</v>
      </c>
      <c r="R14" s="107"/>
      <c r="S14" s="107"/>
    </row>
    <row r="15" spans="1:19" x14ac:dyDescent="0.3">
      <c r="A15" s="84" t="s">
        <v>43</v>
      </c>
      <c r="B15" s="74">
        <f t="shared" si="0"/>
        <v>96</v>
      </c>
      <c r="C15" s="75">
        <f>COUNTIFS('DRAFT 2'!$Q:$Q,$A15,'DRAFT 2'!$R:$R,"ORÇAMENTO",'DRAFT 2'!$B:$B,IF($C$2="TODOS","*",$C$2),'DRAFT 2'!$A:$A,"&gt;="&amp;$D$2,'DRAFT 2'!$A:$A,"&lt;="&amp;$F$2)</f>
        <v>6</v>
      </c>
      <c r="D15" s="75">
        <f>COUNTIFS('DRAFT 2'!$Q:$Q,$A15,'DRAFT 2'!$R:$R,"CADASTRO",'DRAFT 2'!$B:$B,IF($C$2="TODOS","*",$C$2),'DRAFT 2'!$A:$A,"&gt;="&amp;$D$2,'DRAFT 2'!$A:$A,"&lt;="&amp;$F$2)</f>
        <v>0</v>
      </c>
      <c r="E15" s="75">
        <f>COUNTIFS('DRAFT 2'!$Q:$Q,$A15,'DRAFT 2'!$R:$R,"RELACIONAMENTO",'DRAFT 2'!$B:$B,IF($C$2="TODOS","*",$C$2),'DRAFT 2'!$A:$A,"&gt;="&amp;$D$2,'DRAFT 2'!$A:$A,"&lt;="&amp;$F$2)</f>
        <v>27</v>
      </c>
      <c r="F15" s="75">
        <f>COUNTIFS('DRAFT 2'!$Q:$Q,$A15,'DRAFT 2'!$R:$R,"EM ATENDIMENTO",'DRAFT 2'!$B:$B,IF($C$2="TODOS","*",$C$2),'DRAFT 2'!$A:$A,"&gt;="&amp;$D$2,'DRAFT 2'!$A:$A,"&lt;="&amp;$F$2)</f>
        <v>0</v>
      </c>
      <c r="G15" s="75">
        <f>COUNTIFS('DRAFT 2'!$Q:$Q,$A15,'DRAFT 2'!$R:$R,"SUPORTE",'DRAFT 2'!$B:$B,IF($C$2="TODOS","*",$C$2),'DRAFT 2'!$A:$A,"&gt;="&amp;$D$2,'DRAFT 2'!$A:$A,"&lt;="&amp;$F$2)</f>
        <v>21</v>
      </c>
      <c r="H15" s="75">
        <f>COUNTIFS('DRAFT 2'!$Q:$Q,$A15,'DRAFT 2'!$R:$R,"VENDA / PEDIDO",'DRAFT 2'!$B:$B,IF($C$2="TODOS","*",$C$2),'DRAFT 2'!$A:$A,"&gt;="&amp;$D$2,'DRAFT 2'!$A:$A,"&lt;="&amp;$F$2)</f>
        <v>10</v>
      </c>
      <c r="I15" s="75">
        <f>COUNTIFS('DRAFT 2'!$Q:$Q,$A15,'DRAFT 2'!$R:$R,"NÃO ATENDE",'DRAFT 2'!$B:$B,IF($C$2="TODOS","*",$C$2),'DRAFT 2'!$A:$A,"&gt;="&amp;$D$2,'DRAFT 2'!$A:$A,"&lt;="&amp;$F$2)</f>
        <v>5</v>
      </c>
      <c r="J15" s="75">
        <f>COUNTIFS('DRAFT 2'!$Q:$Q,$A15,'DRAFT 2'!$R:$R,"RECUSOU LIGAÇÃO",'DRAFT 2'!$B:$B,IF($C$2="TODOS","*",$C$2),'DRAFT 2'!$A:$A,"&gt;="&amp;$D$2,'DRAFT 2'!$A:$A,"&lt;="&amp;$F$2)</f>
        <v>0</v>
      </c>
      <c r="K15" s="75">
        <f>COUNTIFS('DRAFT 2'!$Q:$Q,$A15,'DRAFT 2'!$R:$R,"NÃO RESPONDE",'DRAFT 2'!$B:$B,IF($C$2="TODOS","*",$C$2),'DRAFT 2'!$A:$A,"&gt;="&amp;$D$2,'DRAFT 2'!$A:$A,"&lt;="&amp;$F$2)</f>
        <v>6</v>
      </c>
      <c r="L15" s="75">
        <f>COUNTIFS('DRAFT 2'!$Q:$Q,$A15,'DRAFT 2'!$R:$R,"PERDA / FECHOU LOJA",'DRAFT 2'!$B:$B,IF($C$2="TODOS","*",$C$2),'DRAFT 2'!$A:$A,"&gt;="&amp;$D$2,'DRAFT 2'!$A:$A,"&lt;="&amp;$F$2)</f>
        <v>0</v>
      </c>
      <c r="M15" s="75">
        <f>COUNTIFS('DRAFT 2'!$Q:$Q,$A15,'DRAFT 2'!$R:$R,"FOLLOW UP 7",'DRAFT 2'!$B:$B,IF($C$2="TODOS","*",$C$2),'DRAFT 2'!$A:$A,"&gt;="&amp;$D$2,'DRAFT 2'!$A:$A,"&lt;="&amp;$F$2)+COUNTIFS('DRAFT 2'!$Q:$Q,$A15,'DRAFT 2'!$R:$R,"FOLLOW UP 15",'DRAFT 2'!$B:$B,IF($C$2="TODOS","*",$C$2),'DRAFT 2'!$A:$A,"&gt;="&amp;$D$2,'DRAFT 2'!$A:$A,"&lt;="&amp;$F$2)</f>
        <v>21</v>
      </c>
      <c r="N15" s="137">
        <f t="shared" si="1"/>
        <v>0.21818181818181817</v>
      </c>
      <c r="O15" s="138">
        <f t="shared" si="2"/>
        <v>0.10416666666666667</v>
      </c>
      <c r="P15" s="148">
        <f t="shared" si="3"/>
        <v>0.11458333333333333</v>
      </c>
      <c r="Q15" s="149">
        <f t="shared" si="4"/>
        <v>0.44791666666666669</v>
      </c>
      <c r="R15" s="107"/>
      <c r="S15" s="107"/>
    </row>
    <row r="16" spans="1:19" x14ac:dyDescent="0.3">
      <c r="A16" s="76" t="s">
        <v>45</v>
      </c>
      <c r="B16" s="74">
        <f t="shared" si="0"/>
        <v>31</v>
      </c>
      <c r="C16" s="75">
        <f>COUNTIFS('DRAFT 2'!$Q:$Q,$A16,'DRAFT 2'!$R:$R,"ORÇAMENTO",'DRAFT 2'!$B:$B,IF($C$2="TODOS","*",$C$2),'DRAFT 2'!$A:$A,"&gt;="&amp;$D$2,'DRAFT 2'!$A:$A,"&lt;="&amp;$F$2)</f>
        <v>0</v>
      </c>
      <c r="D16" s="75">
        <f>COUNTIFS('DRAFT 2'!$Q:$Q,$A16,'DRAFT 2'!$R:$R,"CADASTRO",'DRAFT 2'!$B:$B,IF($C$2="TODOS","*",$C$2),'DRAFT 2'!$A:$A,"&gt;="&amp;$D$2,'DRAFT 2'!$A:$A,"&lt;="&amp;$F$2)</f>
        <v>0</v>
      </c>
      <c r="E16" s="75">
        <f>COUNTIFS('DRAFT 2'!$Q:$Q,$A16,'DRAFT 2'!$R:$R,"RELACIONAMENTO",'DRAFT 2'!$B:$B,IF($C$2="TODOS","*",$C$2),'DRAFT 2'!$A:$A,"&gt;="&amp;$D$2,'DRAFT 2'!$A:$A,"&lt;="&amp;$F$2)</f>
        <v>0</v>
      </c>
      <c r="F16" s="75">
        <f>COUNTIFS('DRAFT 2'!$Q:$Q,$A16,'DRAFT 2'!$R:$R,"EM ATENDIMENTO",'DRAFT 2'!$B:$B,IF($C$2="TODOS","*",$C$2),'DRAFT 2'!$A:$A,"&gt;="&amp;$D$2,'DRAFT 2'!$A:$A,"&lt;="&amp;$F$2)</f>
        <v>1</v>
      </c>
      <c r="G16" s="75">
        <f>COUNTIFS('DRAFT 2'!$Q:$Q,$A16,'DRAFT 2'!$R:$R,"SUPORTE",'DRAFT 2'!$B:$B,IF($C$2="TODOS","*",$C$2),'DRAFT 2'!$A:$A,"&gt;="&amp;$D$2,'DRAFT 2'!$A:$A,"&lt;="&amp;$F$2)</f>
        <v>2</v>
      </c>
      <c r="H16" s="75">
        <f>COUNTIFS('DRAFT 2'!$Q:$Q,$A16,'DRAFT 2'!$R:$R,"VENDA / PEDIDO",'DRAFT 2'!$B:$B,IF($C$2="TODOS","*",$C$2),'DRAFT 2'!$A:$A,"&gt;="&amp;$D$2,'DRAFT 2'!$A:$A,"&lt;="&amp;$F$2)</f>
        <v>0</v>
      </c>
      <c r="I16" s="75">
        <f>COUNTIFS('DRAFT 2'!$Q:$Q,$A16,'DRAFT 2'!$R:$R,"NÃO ATENDE",'DRAFT 2'!$B:$B,IF($C$2="TODOS","*",$C$2),'DRAFT 2'!$A:$A,"&gt;="&amp;$D$2,'DRAFT 2'!$A:$A,"&lt;="&amp;$F$2)</f>
        <v>7</v>
      </c>
      <c r="J16" s="75">
        <f>COUNTIFS('DRAFT 2'!$Q:$Q,$A16,'DRAFT 2'!$R:$R,"RECUSOU LIGAÇÃO",'DRAFT 2'!$B:$B,IF($C$2="TODOS","*",$C$2),'DRAFT 2'!$A:$A,"&gt;="&amp;$D$2,'DRAFT 2'!$A:$A,"&lt;="&amp;$F$2)</f>
        <v>3</v>
      </c>
      <c r="K16" s="75">
        <f>COUNTIFS('DRAFT 2'!$Q:$Q,$A16,'DRAFT 2'!$R:$R,"NÃO RESPONDE",'DRAFT 2'!$B:$B,IF($C$2="TODOS","*",$C$2),'DRAFT 2'!$A:$A,"&gt;="&amp;$D$2,'DRAFT 2'!$A:$A,"&lt;="&amp;$F$2)</f>
        <v>5</v>
      </c>
      <c r="L16" s="75">
        <f>COUNTIFS('DRAFT 2'!$Q:$Q,$A16,'DRAFT 2'!$R:$R,"PERDA / FECHOU LOJA",'DRAFT 2'!$B:$B,IF($C$2="TODOS","*",$C$2),'DRAFT 2'!$A:$A,"&gt;="&amp;$D$2,'DRAFT 2'!$A:$A,"&lt;="&amp;$F$2)</f>
        <v>10</v>
      </c>
      <c r="M16" s="75">
        <f>COUNTIFS('DRAFT 2'!$Q:$Q,$A16,'DRAFT 2'!$R:$R,"FOLLOW UP 7",'DRAFT 2'!$B:$B,IF($C$2="TODOS","*",$C$2),'DRAFT 2'!$A:$A,"&gt;="&amp;$D$2,'DRAFT 2'!$A:$A,"&lt;="&amp;$F$2)+COUNTIFS('DRAFT 2'!$Q:$Q,$A16,'DRAFT 2'!$R:$R,"FOLLOW UP 15",'DRAFT 2'!$B:$B,IF($C$2="TODOS","*",$C$2),'DRAFT 2'!$A:$A,"&gt;="&amp;$D$2,'DRAFT 2'!$A:$A,"&lt;="&amp;$F$2)</f>
        <v>3</v>
      </c>
      <c r="N16" s="137">
        <f t="shared" si="1"/>
        <v>7.045454545454545E-2</v>
      </c>
      <c r="O16" s="138">
        <f t="shared" si="2"/>
        <v>0</v>
      </c>
      <c r="P16" s="148">
        <f t="shared" si="3"/>
        <v>0.80645161290322576</v>
      </c>
      <c r="Q16" s="149">
        <f t="shared" si="4"/>
        <v>0</v>
      </c>
      <c r="R16" s="107"/>
      <c r="S16" s="107"/>
    </row>
    <row r="17" spans="1:19" ht="15" thickBot="1" x14ac:dyDescent="0.35">
      <c r="A17" s="85" t="s">
        <v>1215</v>
      </c>
      <c r="B17" s="86">
        <f t="shared" ref="B17:L17" si="5">SUM(B10:B16)</f>
        <v>440</v>
      </c>
      <c r="C17" s="86">
        <f t="shared" si="5"/>
        <v>53</v>
      </c>
      <c r="D17" s="86">
        <f t="shared" si="5"/>
        <v>18</v>
      </c>
      <c r="E17" s="86">
        <f t="shared" si="5"/>
        <v>58</v>
      </c>
      <c r="F17" s="86">
        <f t="shared" si="5"/>
        <v>47</v>
      </c>
      <c r="G17" s="86">
        <f t="shared" si="5"/>
        <v>41</v>
      </c>
      <c r="H17" s="86">
        <f t="shared" si="5"/>
        <v>47</v>
      </c>
      <c r="I17" s="86">
        <f t="shared" si="5"/>
        <v>42</v>
      </c>
      <c r="J17" s="86">
        <f t="shared" si="5"/>
        <v>16</v>
      </c>
      <c r="K17" s="86">
        <f t="shared" si="5"/>
        <v>35</v>
      </c>
      <c r="L17" s="86">
        <f t="shared" si="5"/>
        <v>14</v>
      </c>
      <c r="M17" s="86">
        <f>SUM(M10:M16)</f>
        <v>69</v>
      </c>
      <c r="N17" s="278">
        <f>SUM(N10:N16)</f>
        <v>0.99999999999999989</v>
      </c>
      <c r="O17" s="279">
        <f>IFERROR(H17/B17,0)</f>
        <v>0.10681818181818181</v>
      </c>
      <c r="P17" s="280">
        <f>IFERROR((I17+J17+K17+L17)/B17,0)</f>
        <v>0.24318181818181819</v>
      </c>
      <c r="Q17" s="281">
        <f>IFERROR((C17+D17+E17+H17)/B17,0)</f>
        <v>0.4</v>
      </c>
      <c r="R17" s="107"/>
      <c r="S17" s="107"/>
    </row>
    <row r="18" spans="1:19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 s="107"/>
      <c r="S18" s="107"/>
    </row>
    <row r="19" spans="1:19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107"/>
      <c r="S19" s="107"/>
    </row>
    <row r="20" spans="1:19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107"/>
      <c r="S20" s="107"/>
    </row>
    <row r="21" spans="1:19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107"/>
      <c r="S21" s="107"/>
    </row>
    <row r="22" spans="1:19" ht="7.95" customHeigh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s="107"/>
      <c r="S22" s="107"/>
    </row>
    <row r="23" spans="1:19" x14ac:dyDescent="0.3">
      <c r="A23" s="112" t="s">
        <v>1216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07"/>
      <c r="S23" s="107"/>
    </row>
    <row r="24" spans="1:19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107"/>
      <c r="S24" s="107"/>
    </row>
    <row r="25" spans="1:19" x14ac:dyDescent="0.3">
      <c r="A25" s="107"/>
      <c r="B25" s="107"/>
      <c r="C25" s="241" t="s">
        <v>1217</v>
      </c>
      <c r="D25" s="283"/>
      <c r="E25" s="283"/>
      <c r="F25" s="284"/>
      <c r="G25" s="107"/>
      <c r="H25" s="241" t="s">
        <v>1218</v>
      </c>
      <c r="I25" s="283"/>
      <c r="J25" s="283"/>
      <c r="K25" s="284"/>
      <c r="L25" s="107"/>
      <c r="M25" s="241" t="s">
        <v>14</v>
      </c>
      <c r="N25" s="284"/>
      <c r="O25" s="107"/>
      <c r="P25" s="241" t="s">
        <v>24</v>
      </c>
      <c r="Q25" s="284"/>
      <c r="R25" s="107"/>
      <c r="S25" s="107"/>
    </row>
    <row r="26" spans="1:19" x14ac:dyDescent="0.3">
      <c r="A26" s="110" t="s">
        <v>32</v>
      </c>
      <c r="B26" s="110" t="s">
        <v>1215</v>
      </c>
      <c r="C26" s="110" t="s">
        <v>1330</v>
      </c>
      <c r="D26" s="110" t="s">
        <v>1331</v>
      </c>
      <c r="E26" s="110" t="s">
        <v>326</v>
      </c>
      <c r="F26" s="110" t="s">
        <v>1332</v>
      </c>
      <c r="G26" s="107"/>
      <c r="H26" s="110" t="s">
        <v>5</v>
      </c>
      <c r="I26" s="110" t="s">
        <v>8</v>
      </c>
      <c r="J26" s="110" t="s">
        <v>10</v>
      </c>
      <c r="K26" s="110" t="s">
        <v>265</v>
      </c>
      <c r="L26" s="107"/>
      <c r="M26" s="110" t="s">
        <v>37</v>
      </c>
      <c r="N26" s="110" t="s">
        <v>21</v>
      </c>
      <c r="O26" s="107"/>
      <c r="P26" s="110" t="s">
        <v>1333</v>
      </c>
      <c r="Q26" s="110" t="s">
        <v>63</v>
      </c>
      <c r="R26" s="107"/>
      <c r="S26" s="107"/>
    </row>
    <row r="27" spans="1:19" x14ac:dyDescent="0.3">
      <c r="A27" s="73" t="s">
        <v>33</v>
      </c>
      <c r="B27" s="74">
        <f t="shared" ref="B27:B33" si="6">SUM(C27:F27)+SUM(H27:K27)+SUM(M27:N27)+SUM(P27:Q27)</f>
        <v>147</v>
      </c>
      <c r="C27" s="75">
        <f>COUNTIFS('DRAFT 2'!$Q:$Q,$A27,'DRAFT 2'!$N:$N,"SIM",'DRAFT 2'!$B:$B,IF($C$2="TODOS","*",$C$2),'DRAFT 2'!$A:$A,"&gt;="&amp;$D$2,'DRAFT 2'!$A:$A,"&lt;="&amp;$F$2)</f>
        <v>41</v>
      </c>
      <c r="D27" s="75">
        <f>COUNTIFS('DRAFT 2'!$Q:$Q,$A27,'DRAFT 2'!$O:$O,"SIM",'DRAFT 2'!$B:$B,IF($C$2="TODOS","*",$C$2),'DRAFT 2'!$A:$A,"&gt;="&amp;$D$2,'DRAFT 2'!$A:$A,"&lt;="&amp;$F$2)</f>
        <v>28</v>
      </c>
      <c r="E27" s="75">
        <f>COUNTIFS('DRAFT 2'!$Q:$Q,$A27,'DRAFT 2'!$O:$O,"SIM",'DRAFT 2'!$P:$P,"SIM",'DRAFT 2'!$B:$B,IF($C$2="TODOS","*",$C$2),'DRAFT 2'!$A:$A,"&gt;="&amp;$D$2,'DRAFT 2'!$A:$A,"&lt;="&amp;$F$2)</f>
        <v>20</v>
      </c>
      <c r="F27" s="75">
        <f>COUNTIFS('DRAFT 2'!$Q:$Q,$A27,'DRAFT 2'!$O:$O,"SIM",'DRAFT 2'!$P:$P,"NÃO",'DRAFT 2'!$B:$B,IF($C$2="TODOS","*",$C$2),'DRAFT 2'!$A:$A,"&gt;="&amp;$D$2,'DRAFT 2'!$A:$A,"&lt;="&amp;$F$2)</f>
        <v>8</v>
      </c>
      <c r="G27" s="107"/>
      <c r="H27" s="75">
        <f>COUNTIFS('DRAFT 2'!$Q:$Q,$A27,'DRAFT 2'!$R:$R,"EM ATENDIMENTO",'DRAFT 2'!$B:$B,IF($C$2="TODOS","*",$C$2),'DRAFT 2'!$A:$A,"&gt;="&amp;$D$2,'DRAFT 2'!$A:$A,"&lt;="&amp;$F$2)</f>
        <v>13</v>
      </c>
      <c r="I27" s="75">
        <f>COUNTIFS('DRAFT 2'!$Q:$Q,$A27,'DRAFT 2'!$R:$R,"ORÇAMENTO",'DRAFT 2'!$B:$B,IF($C$2="TODOS","*",$C$2),'DRAFT 2'!$A:$A,"&gt;="&amp;$D$2,'DRAFT 2'!$A:$A,"&lt;="&amp;$F$2)</f>
        <v>4</v>
      </c>
      <c r="J27" s="75">
        <f>COUNTIFS('DRAFT 2'!$Q:$Q,$A27,'DRAFT 2'!$R:$R,"CADASTRO",'DRAFT 2'!$B:$B,IF($C$2="TODOS","*",$C$2),'DRAFT 2'!$A:$A,"&gt;="&amp;$D$2,'DRAFT 2'!$A:$A,"&lt;="&amp;$F$2)</f>
        <v>12</v>
      </c>
      <c r="K27" s="77">
        <f>COUNTIFS('DRAFT 2'!$Q:$Q,$A27,'DRAFT 2'!$R:$R,"VENDA / PEDIDO",'DRAFT 2'!$B:$B,IF($C$2="TODOS","*",$C$2),'DRAFT 2'!$A:$A,"&gt;="&amp;$D$2,'DRAFT 2'!$A:$A,"&lt;="&amp;$F$2)</f>
        <v>1</v>
      </c>
      <c r="L27" s="107"/>
      <c r="M27" s="75">
        <f>COUNTIFS('DRAFT 2'!$Q:$Q,$A27,'DRAFT 2'!$R:$R,"FOLLOW*",'DRAFT 2'!$B:$B,IF($C$2="TODOS","*",$C$2),'DRAFT 2'!$A:$A,"&gt;="&amp;$D$2,'DRAFT 2'!$A:$A,"&lt;="&amp;$F$2)</f>
        <v>0</v>
      </c>
      <c r="N27" s="75">
        <f>COUNTIFS('DRAFT 2'!$Q:$Q,$A27,'DRAFT 2'!$R:$R,"SUPORTE",'DRAFT 2'!$B:$B,IF($C$2="TODOS","*",$C$2),'DRAFT 2'!$A:$A,"&gt;="&amp;$D$2,'DRAFT 2'!$A:$A,"&lt;="&amp;$F$2)</f>
        <v>0</v>
      </c>
      <c r="O27" s="107"/>
      <c r="P27" s="75">
        <f>COUNTIFS('DRAFT 2'!$Q:$Q,$A27,'DRAFT 2'!$R:$R,"NÃO ATENDE",'DRAFT 2'!$B:$B,IF($C$2="TODOS","*",$C$2),'DRAFT 2'!$A:$A,"&gt;="&amp;$D$2,'DRAFT 2'!$A:$A,"&lt;="&amp;$F$2)+COUNTIFS('DRAFT 2'!$Q:$Q,$A27,'DRAFT 2'!$R:$R,"NÃO RESPONDE",'DRAFT 2'!$B:$B,IF($C$2="TODOS","*",$C$2),'DRAFT 2'!$A:$A,"&gt;="&amp;$D$2,'DRAFT 2'!$A:$A,"&lt;="&amp;$F$2)+COUNTIFS('DRAFT 2'!$Q:$Q,$A27,'DRAFT 2'!$R:$R,"RECUSOU LIGAÇÃO",'DRAFT 2'!$B:$B,IF($C$2="TODOS","*",$C$2),'DRAFT 2'!$A:$A,"&gt;="&amp;$D$2,'DRAFT 2'!$A:$A,"&lt;="&amp;$F$2)</f>
        <v>20</v>
      </c>
      <c r="Q27" s="75">
        <f>COUNTIFS('DRAFT 2'!$Q:$Q,$A27,'DRAFT 2'!$R:$R,"PERDA / FECHOU LOJA",'DRAFT 2'!$B:$B,IF($C$2="TODOS","*",$C$2),'DRAFT 2'!$A:$A,"&gt;="&amp;$D$2,'DRAFT 2'!$A:$A,"&lt;="&amp;$F$2)</f>
        <v>0</v>
      </c>
      <c r="R27" s="107"/>
      <c r="S27" s="107"/>
    </row>
    <row r="28" spans="1:19" x14ac:dyDescent="0.3">
      <c r="A28" s="73" t="s">
        <v>35</v>
      </c>
      <c r="B28" s="74">
        <f t="shared" si="6"/>
        <v>91</v>
      </c>
      <c r="C28" s="75">
        <f>COUNTIFS('DRAFT 2'!$Q:$Q,$A28,'DRAFT 2'!$N:$N,"SIM",'DRAFT 2'!$B:$B,IF($C$2="TODOS","*",$C$2),'DRAFT 2'!$A:$A,"&gt;="&amp;$D$2,'DRAFT 2'!$A:$A,"&lt;="&amp;$F$2)</f>
        <v>28</v>
      </c>
      <c r="D28" s="75">
        <f>COUNTIFS('DRAFT 2'!$Q:$Q,$A28,'DRAFT 2'!$O:$O,"SIM",'DRAFT 2'!$B:$B,IF($C$2="TODOS","*",$C$2),'DRAFT 2'!$A:$A,"&gt;="&amp;$D$2,'DRAFT 2'!$A:$A,"&lt;="&amp;$F$2)</f>
        <v>12</v>
      </c>
      <c r="E28" s="75">
        <f>COUNTIFS('DRAFT 2'!$Q:$Q,$A28,'DRAFT 2'!$O:$O,"SIM",'DRAFT 2'!$P:$P,"SIM",'DRAFT 2'!$B:$B,IF($C$2="TODOS","*",$C$2),'DRAFT 2'!$A:$A,"&gt;="&amp;$D$2,'DRAFT 2'!$A:$A,"&lt;="&amp;$F$2)</f>
        <v>6</v>
      </c>
      <c r="F28" s="75">
        <f>COUNTIFS('DRAFT 2'!$Q:$Q,$A28,'DRAFT 2'!$O:$O,"SIM",'DRAFT 2'!$P:$P,"NÃO",'DRAFT 2'!$B:$B,IF($C$2="TODOS","*",$C$2),'DRAFT 2'!$A:$A,"&gt;="&amp;$D$2,'DRAFT 2'!$A:$A,"&lt;="&amp;$F$2)</f>
        <v>6</v>
      </c>
      <c r="G28" s="107"/>
      <c r="H28" s="75">
        <f>COUNTIFS('DRAFT 2'!$Q:$Q,$A28,'DRAFT 2'!$R:$R,"EM ATENDIMENTO",'DRAFT 2'!$B:$B,IF($C$2="TODOS","*",$C$2),'DRAFT 2'!$A:$A,"&gt;="&amp;$D$2,'DRAFT 2'!$A:$A,"&lt;="&amp;$F$2)</f>
        <v>11</v>
      </c>
      <c r="I28" s="75">
        <f>COUNTIFS('DRAFT 2'!$Q:$Q,$A28,'DRAFT 2'!$R:$R,"ORÇAMENTO",'DRAFT 2'!$B:$B,IF($C$2="TODOS","*",$C$2),'DRAFT 2'!$A:$A,"&gt;="&amp;$D$2,'DRAFT 2'!$A:$A,"&lt;="&amp;$F$2)</f>
        <v>16</v>
      </c>
      <c r="J28" s="75">
        <f>COUNTIFS('DRAFT 2'!$Q:$Q,$A28,'DRAFT 2'!$R:$R,"CADASTRO",'DRAFT 2'!$B:$B,IF($C$2="TODOS","*",$C$2),'DRAFT 2'!$A:$A,"&gt;="&amp;$D$2,'DRAFT 2'!$A:$A,"&lt;="&amp;$F$2)</f>
        <v>3</v>
      </c>
      <c r="K28" s="77">
        <f>COUNTIFS('DRAFT 2'!$Q:$Q,$A28,'DRAFT 2'!$R:$R,"VENDA / PEDIDO",'DRAFT 2'!$B:$B,IF($C$2="TODOS","*",$C$2),'DRAFT 2'!$A:$A,"&gt;="&amp;$D$2,'DRAFT 2'!$A:$A,"&lt;="&amp;$F$2)</f>
        <v>6</v>
      </c>
      <c r="L28" s="107"/>
      <c r="M28" s="75">
        <f>COUNTIFS('DRAFT 2'!$Q:$Q,$A28,'DRAFT 2'!$R:$R,"FOLLOW*",'DRAFT 2'!$B:$B,IF($C$2="TODOS","*",$C$2),'DRAFT 2'!$A:$A,"&gt;="&amp;$D$2,'DRAFT 2'!$A:$A,"&lt;="&amp;$F$2)</f>
        <v>2</v>
      </c>
      <c r="N28" s="75">
        <f>COUNTIFS('DRAFT 2'!$Q:$Q,$A28,'DRAFT 2'!$R:$R,"SUPORTE",'DRAFT 2'!$B:$B,IF($C$2="TODOS","*",$C$2),'DRAFT 2'!$A:$A,"&gt;="&amp;$D$2,'DRAFT 2'!$A:$A,"&lt;="&amp;$F$2)</f>
        <v>0</v>
      </c>
      <c r="O28" s="107"/>
      <c r="P28" s="75">
        <f>COUNTIFS('DRAFT 2'!$Q:$Q,$A28,'DRAFT 2'!$R:$R,"NÃO ATENDE",'DRAFT 2'!$B:$B,IF($C$2="TODOS","*",$C$2),'DRAFT 2'!$A:$A,"&gt;="&amp;$D$2,'DRAFT 2'!$A:$A,"&lt;="&amp;$F$2)+COUNTIFS('DRAFT 2'!$Q:$Q,$A28,'DRAFT 2'!$R:$R,"NÃO RESPONDE",'DRAFT 2'!$B:$B,IF($C$2="TODOS","*",$C$2),'DRAFT 2'!$A:$A,"&gt;="&amp;$D$2,'DRAFT 2'!$A:$A,"&lt;="&amp;$F$2)+COUNTIFS('DRAFT 2'!$Q:$Q,$A28,'DRAFT 2'!$R:$R,"RECUSOU LIGAÇÃO",'DRAFT 2'!$B:$B,IF($C$2="TODOS","*",$C$2),'DRAFT 2'!$A:$A,"&gt;="&amp;$D$2,'DRAFT 2'!$A:$A,"&lt;="&amp;$F$2)</f>
        <v>1</v>
      </c>
      <c r="Q28" s="75">
        <f>COUNTIFS('DRAFT 2'!$Q:$Q,$A28,'DRAFT 2'!$R:$R,"PERDA / FECHOU LOJA",'DRAFT 2'!$B:$B,IF($C$2="TODOS","*",$C$2),'DRAFT 2'!$A:$A,"&gt;="&amp;$D$2,'DRAFT 2'!$A:$A,"&lt;="&amp;$F$2)</f>
        <v>0</v>
      </c>
      <c r="R28" s="107"/>
      <c r="S28" s="107"/>
    </row>
    <row r="29" spans="1:19" x14ac:dyDescent="0.3">
      <c r="A29" s="84" t="s">
        <v>37</v>
      </c>
      <c r="B29" s="74">
        <f t="shared" si="6"/>
        <v>131</v>
      </c>
      <c r="C29" s="75">
        <f>COUNTIFS('DRAFT 2'!$Q:$Q,$A29,'DRAFT 2'!$N:$N,"SIM",'DRAFT 2'!$B:$B,IF($C$2="TODOS","*",$C$2),'DRAFT 2'!$A:$A,"&gt;="&amp;$D$2,'DRAFT 2'!$A:$A,"&lt;="&amp;$F$2)</f>
        <v>37</v>
      </c>
      <c r="D29" s="75">
        <f>COUNTIFS('DRAFT 2'!$Q:$Q,$A29,'DRAFT 2'!$O:$O,"SIM",'DRAFT 2'!$B:$B,IF($C$2="TODOS","*",$C$2),'DRAFT 2'!$A:$A,"&gt;="&amp;$D$2,'DRAFT 2'!$A:$A,"&lt;="&amp;$F$2)</f>
        <v>24</v>
      </c>
      <c r="E29" s="75">
        <f>COUNTIFS('DRAFT 2'!$Q:$Q,$A29,'DRAFT 2'!$O:$O,"SIM",'DRAFT 2'!$P:$P,"SIM",'DRAFT 2'!$B:$B,IF($C$2="TODOS","*",$C$2),'DRAFT 2'!$A:$A,"&gt;="&amp;$D$2,'DRAFT 2'!$A:$A,"&lt;="&amp;$F$2)</f>
        <v>14</v>
      </c>
      <c r="F29" s="75">
        <f>COUNTIFS('DRAFT 2'!$Q:$Q,$A29,'DRAFT 2'!$O:$O,"SIM",'DRAFT 2'!$P:$P,"NÃO",'DRAFT 2'!$B:$B,IF($C$2="TODOS","*",$C$2),'DRAFT 2'!$A:$A,"&gt;="&amp;$D$2,'DRAFT 2'!$A:$A,"&lt;="&amp;$F$2)</f>
        <v>10</v>
      </c>
      <c r="G29" s="107"/>
      <c r="H29" s="75">
        <f>COUNTIFS('DRAFT 2'!$Q:$Q,$A29,'DRAFT 2'!$R:$R,"EM ATENDIMENTO",'DRAFT 2'!$B:$B,IF($C$2="TODOS","*",$C$2),'DRAFT 2'!$A:$A,"&gt;="&amp;$D$2,'DRAFT 2'!$A:$A,"&lt;="&amp;$F$2)</f>
        <v>8</v>
      </c>
      <c r="I29" s="75">
        <f>COUNTIFS('DRAFT 2'!$Q:$Q,$A29,'DRAFT 2'!$R:$R,"ORÇAMENTO",'DRAFT 2'!$B:$B,IF($C$2="TODOS","*",$C$2),'DRAFT 2'!$A:$A,"&gt;="&amp;$D$2,'DRAFT 2'!$A:$A,"&lt;="&amp;$F$2)</f>
        <v>12</v>
      </c>
      <c r="J29" s="75">
        <f>COUNTIFS('DRAFT 2'!$Q:$Q,$A29,'DRAFT 2'!$R:$R,"CADASTRO",'DRAFT 2'!$B:$B,IF($C$2="TODOS","*",$C$2),'DRAFT 2'!$A:$A,"&gt;="&amp;$D$2,'DRAFT 2'!$A:$A,"&lt;="&amp;$F$2)</f>
        <v>0</v>
      </c>
      <c r="K29" s="77">
        <f>COUNTIFS('DRAFT 2'!$Q:$Q,$A29,'DRAFT 2'!$R:$R,"VENDA / PEDIDO",'DRAFT 2'!$B:$B,IF($C$2="TODOS","*",$C$2),'DRAFT 2'!$A:$A,"&gt;="&amp;$D$2,'DRAFT 2'!$A:$A,"&lt;="&amp;$F$2)</f>
        <v>2</v>
      </c>
      <c r="L29" s="107"/>
      <c r="M29" s="75">
        <f>COUNTIFS('DRAFT 2'!$Q:$Q,$A29,'DRAFT 2'!$R:$R,"FOLLOW*",'DRAFT 2'!$B:$B,IF($C$2="TODOS","*",$C$2),'DRAFT 2'!$A:$A,"&gt;="&amp;$D$2,'DRAFT 2'!$A:$A,"&lt;="&amp;$F$2)</f>
        <v>11</v>
      </c>
      <c r="N29" s="75">
        <f>COUNTIFS('DRAFT 2'!$Q:$Q,$A29,'DRAFT 2'!$R:$R,"SUPORTE",'DRAFT 2'!$B:$B,IF($C$2="TODOS","*",$C$2),'DRAFT 2'!$A:$A,"&gt;="&amp;$D$2,'DRAFT 2'!$A:$A,"&lt;="&amp;$F$2)</f>
        <v>4</v>
      </c>
      <c r="O29" s="107"/>
      <c r="P29" s="75">
        <f>COUNTIFS('DRAFT 2'!$Q:$Q,$A29,'DRAFT 2'!$R:$R,"NÃO ATENDE",'DRAFT 2'!$B:$B,IF($C$2="TODOS","*",$C$2),'DRAFT 2'!$A:$A,"&gt;="&amp;$D$2,'DRAFT 2'!$A:$A,"&lt;="&amp;$F$2)+COUNTIFS('DRAFT 2'!$Q:$Q,$A29,'DRAFT 2'!$R:$R,"NÃO RESPONDE",'DRAFT 2'!$B:$B,IF($C$2="TODOS","*",$C$2),'DRAFT 2'!$A:$A,"&gt;="&amp;$D$2,'DRAFT 2'!$A:$A,"&lt;="&amp;$F$2)+COUNTIFS('DRAFT 2'!$Q:$Q,$A29,'DRAFT 2'!$R:$R,"RECUSOU LIGAÇÃO",'DRAFT 2'!$B:$B,IF($C$2="TODOS","*",$C$2),'DRAFT 2'!$A:$A,"&gt;="&amp;$D$2,'DRAFT 2'!$A:$A,"&lt;="&amp;$F$2)</f>
        <v>9</v>
      </c>
      <c r="Q29" s="75">
        <f>COUNTIFS('DRAFT 2'!$Q:$Q,$A29,'DRAFT 2'!$R:$R,"PERDA / FECHOU LOJA",'DRAFT 2'!$B:$B,IF($C$2="TODOS","*",$C$2),'DRAFT 2'!$A:$A,"&gt;="&amp;$D$2,'DRAFT 2'!$A:$A,"&lt;="&amp;$F$2)</f>
        <v>0</v>
      </c>
      <c r="R29" s="107"/>
      <c r="S29" s="107"/>
    </row>
    <row r="30" spans="1:19" x14ac:dyDescent="0.3">
      <c r="A30" s="84" t="s">
        <v>39</v>
      </c>
      <c r="B30" s="74">
        <f t="shared" si="6"/>
        <v>309</v>
      </c>
      <c r="C30" s="75">
        <f>COUNTIFS('DRAFT 2'!$Q:$Q,$A30,'DRAFT 2'!$N:$N,"SIM",'DRAFT 2'!$B:$B,IF($C$2="TODOS","*",$C$2),'DRAFT 2'!$A:$A,"&gt;="&amp;$D$2,'DRAFT 2'!$A:$A,"&lt;="&amp;$F$2)</f>
        <v>88</v>
      </c>
      <c r="D30" s="75">
        <f>COUNTIFS('DRAFT 2'!$Q:$Q,$A30,'DRAFT 2'!$O:$O,"SIM",'DRAFT 2'!$B:$B,IF($C$2="TODOS","*",$C$2),'DRAFT 2'!$A:$A,"&gt;="&amp;$D$2,'DRAFT 2'!$A:$A,"&lt;="&amp;$F$2)</f>
        <v>62</v>
      </c>
      <c r="E30" s="75">
        <f>COUNTIFS('DRAFT 2'!$Q:$Q,$A30,'DRAFT 2'!$O:$O,"SIM",'DRAFT 2'!$P:$P,"SIM",'DRAFT 2'!$B:$B,IF($C$2="TODOS","*",$C$2),'DRAFT 2'!$A:$A,"&gt;="&amp;$D$2,'DRAFT 2'!$A:$A,"&lt;="&amp;$F$2)</f>
        <v>36</v>
      </c>
      <c r="F30" s="75">
        <f>COUNTIFS('DRAFT 2'!$Q:$Q,$A30,'DRAFT 2'!$O:$O,"SIM",'DRAFT 2'!$P:$P,"NÃO",'DRAFT 2'!$B:$B,IF($C$2="TODOS","*",$C$2),'DRAFT 2'!$A:$A,"&gt;="&amp;$D$2,'DRAFT 2'!$A:$A,"&lt;="&amp;$F$2)</f>
        <v>26</v>
      </c>
      <c r="G30" s="107"/>
      <c r="H30" s="75">
        <f>COUNTIFS('DRAFT 2'!$Q:$Q,$A30,'DRAFT 2'!$R:$R,"EM ATENDIMENTO",'DRAFT 2'!$B:$B,IF($C$2="TODOS","*",$C$2),'DRAFT 2'!$A:$A,"&gt;="&amp;$D$2,'DRAFT 2'!$A:$A,"&lt;="&amp;$F$2)</f>
        <v>8</v>
      </c>
      <c r="I30" s="75">
        <f>COUNTIFS('DRAFT 2'!$Q:$Q,$A30,'DRAFT 2'!$R:$R,"ORÇAMENTO",'DRAFT 2'!$B:$B,IF($C$2="TODOS","*",$C$2),'DRAFT 2'!$A:$A,"&gt;="&amp;$D$2,'DRAFT 2'!$A:$A,"&lt;="&amp;$F$2)</f>
        <v>13</v>
      </c>
      <c r="J30" s="75">
        <f>COUNTIFS('DRAFT 2'!$Q:$Q,$A30,'DRAFT 2'!$R:$R,"CADASTRO",'DRAFT 2'!$B:$B,IF($C$2="TODOS","*",$C$2),'DRAFT 2'!$A:$A,"&gt;="&amp;$D$2,'DRAFT 2'!$A:$A,"&lt;="&amp;$F$2)</f>
        <v>0</v>
      </c>
      <c r="K30" s="77">
        <f>COUNTIFS('DRAFT 2'!$Q:$Q,$A30,'DRAFT 2'!$R:$R,"VENDA / PEDIDO",'DRAFT 2'!$B:$B,IF($C$2="TODOS","*",$C$2),'DRAFT 2'!$A:$A,"&gt;="&amp;$D$2,'DRAFT 2'!$A:$A,"&lt;="&amp;$F$2)</f>
        <v>26</v>
      </c>
      <c r="L30" s="107"/>
      <c r="M30" s="75">
        <f>COUNTIFS('DRAFT 2'!$Q:$Q,$A30,'DRAFT 2'!$R:$R,"FOLLOW*",'DRAFT 2'!$B:$B,IF($C$2="TODOS","*",$C$2),'DRAFT 2'!$A:$A,"&gt;="&amp;$D$2,'DRAFT 2'!$A:$A,"&lt;="&amp;$F$2)</f>
        <v>26</v>
      </c>
      <c r="N30" s="75">
        <f>COUNTIFS('DRAFT 2'!$Q:$Q,$A30,'DRAFT 2'!$R:$R,"SUPORTE",'DRAFT 2'!$B:$B,IF($C$2="TODOS","*",$C$2),'DRAFT 2'!$A:$A,"&gt;="&amp;$D$2,'DRAFT 2'!$A:$A,"&lt;="&amp;$F$2)</f>
        <v>14</v>
      </c>
      <c r="O30" s="107"/>
      <c r="P30" s="75">
        <f>COUNTIFS('DRAFT 2'!$Q:$Q,$A30,'DRAFT 2'!$R:$R,"NÃO ATENDE",'DRAFT 2'!$B:$B,IF($C$2="TODOS","*",$C$2),'DRAFT 2'!$A:$A,"&gt;="&amp;$D$2,'DRAFT 2'!$A:$A,"&lt;="&amp;$F$2)+COUNTIFS('DRAFT 2'!$Q:$Q,$A30,'DRAFT 2'!$R:$R,"NÃO RESPONDE",'DRAFT 2'!$B:$B,IF($C$2="TODOS","*",$C$2),'DRAFT 2'!$A:$A,"&gt;="&amp;$D$2,'DRAFT 2'!$A:$A,"&lt;="&amp;$F$2)+COUNTIFS('DRAFT 2'!$Q:$Q,$A30,'DRAFT 2'!$R:$R,"RECUSOU LIGAÇÃO",'DRAFT 2'!$B:$B,IF($C$2="TODOS","*",$C$2),'DRAFT 2'!$A:$A,"&gt;="&amp;$D$2,'DRAFT 2'!$A:$A,"&lt;="&amp;$F$2)</f>
        <v>10</v>
      </c>
      <c r="Q30" s="75">
        <f>COUNTIFS('DRAFT 2'!$Q:$Q,$A30,'DRAFT 2'!$R:$R,"PERDA / FECHOU LOJA",'DRAFT 2'!$B:$B,IF($C$2="TODOS","*",$C$2),'DRAFT 2'!$A:$A,"&gt;="&amp;$D$2,'DRAFT 2'!$A:$A,"&lt;="&amp;$F$2)</f>
        <v>0</v>
      </c>
      <c r="R30" s="107"/>
      <c r="S30" s="107"/>
    </row>
    <row r="31" spans="1:19" x14ac:dyDescent="0.3">
      <c r="A31" s="76" t="s">
        <v>41</v>
      </c>
      <c r="B31" s="74">
        <f t="shared" si="6"/>
        <v>129</v>
      </c>
      <c r="C31" s="75">
        <f>COUNTIFS('DRAFT 2'!$Q:$Q,$A31,'DRAFT 2'!$N:$N,"SIM",'DRAFT 2'!$B:$B,IF($C$2="TODOS","*",$C$2),'DRAFT 2'!$A:$A,"&gt;="&amp;$D$2,'DRAFT 2'!$A:$A,"&lt;="&amp;$F$2)</f>
        <v>29</v>
      </c>
      <c r="D31" s="75">
        <f>COUNTIFS('DRAFT 2'!$Q:$Q,$A31,'DRAFT 2'!$O:$O,"SIM",'DRAFT 2'!$B:$B,IF($C$2="TODOS","*",$C$2),'DRAFT 2'!$A:$A,"&gt;="&amp;$D$2,'DRAFT 2'!$A:$A,"&lt;="&amp;$F$2)</f>
        <v>25</v>
      </c>
      <c r="E31" s="75">
        <f>COUNTIFS('DRAFT 2'!$Q:$Q,$A31,'DRAFT 2'!$O:$O,"SIM",'DRAFT 2'!$P:$P,"SIM",'DRAFT 2'!$B:$B,IF($C$2="TODOS","*",$C$2),'DRAFT 2'!$A:$A,"&gt;="&amp;$D$2,'DRAFT 2'!$A:$A,"&lt;="&amp;$F$2)</f>
        <v>11</v>
      </c>
      <c r="F31" s="75">
        <f>COUNTIFS('DRAFT 2'!$Q:$Q,$A31,'DRAFT 2'!$O:$O,"SIM",'DRAFT 2'!$P:$P,"NÃO",'DRAFT 2'!$B:$B,IF($C$2="TODOS","*",$C$2),'DRAFT 2'!$A:$A,"&gt;="&amp;$D$2,'DRAFT 2'!$A:$A,"&lt;="&amp;$F$2)</f>
        <v>14</v>
      </c>
      <c r="G31" s="107"/>
      <c r="H31" s="75">
        <f>COUNTIFS('DRAFT 2'!$Q:$Q,$A31,'DRAFT 2'!$R:$R,"EM ATENDIMENTO",'DRAFT 2'!$B:$B,IF($C$2="TODOS","*",$C$2),'DRAFT 2'!$A:$A,"&gt;="&amp;$D$2,'DRAFT 2'!$A:$A,"&lt;="&amp;$F$2)</f>
        <v>6</v>
      </c>
      <c r="I31" s="75">
        <f>COUNTIFS('DRAFT 2'!$Q:$Q,$A31,'DRAFT 2'!$R:$R,"ORÇAMENTO",'DRAFT 2'!$B:$B,IF($C$2="TODOS","*",$C$2),'DRAFT 2'!$A:$A,"&gt;="&amp;$D$2,'DRAFT 2'!$A:$A,"&lt;="&amp;$F$2)</f>
        <v>2</v>
      </c>
      <c r="J31" s="75">
        <f>COUNTIFS('DRAFT 2'!$Q:$Q,$A31,'DRAFT 2'!$R:$R,"CADASTRO",'DRAFT 2'!$B:$B,IF($C$2="TODOS","*",$C$2),'DRAFT 2'!$A:$A,"&gt;="&amp;$D$2,'DRAFT 2'!$A:$A,"&lt;="&amp;$F$2)</f>
        <v>3</v>
      </c>
      <c r="K31" s="77">
        <f>COUNTIFS('DRAFT 2'!$Q:$Q,$A31,'DRAFT 2'!$R:$R,"VENDA / PEDIDO",'DRAFT 2'!$B:$B,IF($C$2="TODOS","*",$C$2),'DRAFT 2'!$A:$A,"&gt;="&amp;$D$2,'DRAFT 2'!$A:$A,"&lt;="&amp;$F$2)</f>
        <v>2</v>
      </c>
      <c r="L31" s="107"/>
      <c r="M31" s="75">
        <f>COUNTIFS('DRAFT 2'!$Q:$Q,$A31,'DRAFT 2'!$R:$R,"FOLLOW*",'DRAFT 2'!$B:$B,IF($C$2="TODOS","*",$C$2),'DRAFT 2'!$A:$A,"&gt;="&amp;$D$2,'DRAFT 2'!$A:$A,"&lt;="&amp;$F$2)</f>
        <v>6</v>
      </c>
      <c r="N31" s="75">
        <f>COUNTIFS('DRAFT 2'!$Q:$Q,$A31,'DRAFT 2'!$R:$R,"SUPORTE",'DRAFT 2'!$B:$B,IF($C$2="TODOS","*",$C$2),'DRAFT 2'!$A:$A,"&gt;="&amp;$D$2,'DRAFT 2'!$A:$A,"&lt;="&amp;$F$2)</f>
        <v>0</v>
      </c>
      <c r="O31" s="107"/>
      <c r="P31" s="75">
        <f>COUNTIFS('DRAFT 2'!$Q:$Q,$A31,'DRAFT 2'!$R:$R,"NÃO ATENDE",'DRAFT 2'!$B:$B,IF($C$2="TODOS","*",$C$2),'DRAFT 2'!$A:$A,"&gt;="&amp;$D$2,'DRAFT 2'!$A:$A,"&lt;="&amp;$F$2)+COUNTIFS('DRAFT 2'!$Q:$Q,$A31,'DRAFT 2'!$R:$R,"NÃO RESPONDE",'DRAFT 2'!$B:$B,IF($C$2="TODOS","*",$C$2),'DRAFT 2'!$A:$A,"&gt;="&amp;$D$2,'DRAFT 2'!$A:$A,"&lt;="&amp;$F$2)+COUNTIFS('DRAFT 2'!$Q:$Q,$A31,'DRAFT 2'!$R:$R,"RECUSOU LIGAÇÃO",'DRAFT 2'!$B:$B,IF($C$2="TODOS","*",$C$2),'DRAFT 2'!$A:$A,"&gt;="&amp;$D$2,'DRAFT 2'!$A:$A,"&lt;="&amp;$F$2)</f>
        <v>27</v>
      </c>
      <c r="Q31" s="75">
        <f>COUNTIFS('DRAFT 2'!$Q:$Q,$A31,'DRAFT 2'!$R:$R,"PERDA / FECHOU LOJA",'DRAFT 2'!$B:$B,IF($C$2="TODOS","*",$C$2),'DRAFT 2'!$A:$A,"&gt;="&amp;$D$2,'DRAFT 2'!$A:$A,"&lt;="&amp;$F$2)</f>
        <v>4</v>
      </c>
      <c r="R31" s="107"/>
      <c r="S31" s="107"/>
    </row>
    <row r="32" spans="1:19" x14ac:dyDescent="0.3">
      <c r="A32" s="84" t="s">
        <v>43</v>
      </c>
      <c r="B32" s="74">
        <f t="shared" si="6"/>
        <v>205</v>
      </c>
      <c r="C32" s="75">
        <f>COUNTIFS('DRAFT 2'!$Q:$Q,$A32,'DRAFT 2'!$N:$N,"SIM",'DRAFT 2'!$B:$B,IF($C$2="TODOS","*",$C$2),'DRAFT 2'!$A:$A,"&gt;="&amp;$D$2,'DRAFT 2'!$A:$A,"&lt;="&amp;$F$2)</f>
        <v>64</v>
      </c>
      <c r="D32" s="75">
        <f>COUNTIFS('DRAFT 2'!$Q:$Q,$A32,'DRAFT 2'!$O:$O,"SIM",'DRAFT 2'!$B:$B,IF($C$2="TODOS","*",$C$2),'DRAFT 2'!$A:$A,"&gt;="&amp;$D$2,'DRAFT 2'!$A:$A,"&lt;="&amp;$F$2)</f>
        <v>36</v>
      </c>
      <c r="E32" s="75">
        <f>COUNTIFS('DRAFT 2'!$Q:$Q,$A32,'DRAFT 2'!$O:$O,"SIM",'DRAFT 2'!$P:$P,"SIM",'DRAFT 2'!$B:$B,IF($C$2="TODOS","*",$C$2),'DRAFT 2'!$A:$A,"&gt;="&amp;$D$2,'DRAFT 2'!$A:$A,"&lt;="&amp;$F$2)</f>
        <v>22</v>
      </c>
      <c r="F32" s="75">
        <f>COUNTIFS('DRAFT 2'!$Q:$Q,$A32,'DRAFT 2'!$O:$O,"SIM",'DRAFT 2'!$P:$P,"NÃO",'DRAFT 2'!$B:$B,IF($C$2="TODOS","*",$C$2),'DRAFT 2'!$A:$A,"&gt;="&amp;$D$2,'DRAFT 2'!$A:$A,"&lt;="&amp;$F$2)</f>
        <v>14</v>
      </c>
      <c r="G32" s="107"/>
      <c r="H32" s="75">
        <f>COUNTIFS('DRAFT 2'!$Q:$Q,$A32,'DRAFT 2'!$R:$R,"EM ATENDIMENTO",'DRAFT 2'!$B:$B,IF($C$2="TODOS","*",$C$2),'DRAFT 2'!$A:$A,"&gt;="&amp;$D$2,'DRAFT 2'!$A:$A,"&lt;="&amp;$F$2)</f>
        <v>0</v>
      </c>
      <c r="I32" s="75">
        <f>COUNTIFS('DRAFT 2'!$Q:$Q,$A32,'DRAFT 2'!$R:$R,"ORÇAMENTO",'DRAFT 2'!$B:$B,IF($C$2="TODOS","*",$C$2),'DRAFT 2'!$A:$A,"&gt;="&amp;$D$2,'DRAFT 2'!$A:$A,"&lt;="&amp;$F$2)</f>
        <v>6</v>
      </c>
      <c r="J32" s="75">
        <f>COUNTIFS('DRAFT 2'!$Q:$Q,$A32,'DRAFT 2'!$R:$R,"CADASTRO",'DRAFT 2'!$B:$B,IF($C$2="TODOS","*",$C$2),'DRAFT 2'!$A:$A,"&gt;="&amp;$D$2,'DRAFT 2'!$A:$A,"&lt;="&amp;$F$2)</f>
        <v>0</v>
      </c>
      <c r="K32" s="77">
        <f>COUNTIFS('DRAFT 2'!$Q:$Q,$A32,'DRAFT 2'!$R:$R,"VENDA / PEDIDO",'DRAFT 2'!$B:$B,IF($C$2="TODOS","*",$C$2),'DRAFT 2'!$A:$A,"&gt;="&amp;$D$2,'DRAFT 2'!$A:$A,"&lt;="&amp;$F$2)</f>
        <v>10</v>
      </c>
      <c r="L32" s="107"/>
      <c r="M32" s="75">
        <f>COUNTIFS('DRAFT 2'!$Q:$Q,$A32,'DRAFT 2'!$R:$R,"FOLLOW*",'DRAFT 2'!$B:$B,IF($C$2="TODOS","*",$C$2),'DRAFT 2'!$A:$A,"&gt;="&amp;$D$2,'DRAFT 2'!$A:$A,"&lt;="&amp;$F$2)</f>
        <v>21</v>
      </c>
      <c r="N32" s="75">
        <f>COUNTIFS('DRAFT 2'!$Q:$Q,$A32,'DRAFT 2'!$R:$R,"SUPORTE",'DRAFT 2'!$B:$B,IF($C$2="TODOS","*",$C$2),'DRAFT 2'!$A:$A,"&gt;="&amp;$D$2,'DRAFT 2'!$A:$A,"&lt;="&amp;$F$2)</f>
        <v>21</v>
      </c>
      <c r="O32" s="107"/>
      <c r="P32" s="75">
        <f>COUNTIFS('DRAFT 2'!$Q:$Q,$A32,'DRAFT 2'!$R:$R,"NÃO ATENDE",'DRAFT 2'!$B:$B,IF($C$2="TODOS","*",$C$2),'DRAFT 2'!$A:$A,"&gt;="&amp;$D$2,'DRAFT 2'!$A:$A,"&lt;="&amp;$F$2)+COUNTIFS('DRAFT 2'!$Q:$Q,$A32,'DRAFT 2'!$R:$R,"NÃO RESPONDE",'DRAFT 2'!$B:$B,IF($C$2="TODOS","*",$C$2),'DRAFT 2'!$A:$A,"&gt;="&amp;$D$2,'DRAFT 2'!$A:$A,"&lt;="&amp;$F$2)+COUNTIFS('DRAFT 2'!$Q:$Q,$A32,'DRAFT 2'!$R:$R,"RECUSOU LIGAÇÃO",'DRAFT 2'!$B:$B,IF($C$2="TODOS","*",$C$2),'DRAFT 2'!$A:$A,"&gt;="&amp;$D$2,'DRAFT 2'!$A:$A,"&lt;="&amp;$F$2)</f>
        <v>11</v>
      </c>
      <c r="Q32" s="75">
        <f>COUNTIFS('DRAFT 2'!$Q:$Q,$A32,'DRAFT 2'!$R:$R,"PERDA / FECHOU LOJA",'DRAFT 2'!$B:$B,IF($C$2="TODOS","*",$C$2),'DRAFT 2'!$A:$A,"&gt;="&amp;$D$2,'DRAFT 2'!$A:$A,"&lt;="&amp;$F$2)</f>
        <v>0</v>
      </c>
      <c r="R32" s="107"/>
      <c r="S32" s="107"/>
    </row>
    <row r="33" spans="1:19" x14ac:dyDescent="0.3">
      <c r="A33" s="76" t="s">
        <v>45</v>
      </c>
      <c r="B33" s="74">
        <f t="shared" si="6"/>
        <v>77</v>
      </c>
      <c r="C33" s="75">
        <f>COUNTIFS('DRAFT 2'!$Q:$Q,$A33,'DRAFT 2'!$N:$N,"SIM",'DRAFT 2'!$B:$B,IF($C$2="TODOS","*",$C$2),'DRAFT 2'!$A:$A,"&gt;="&amp;$D$2,'DRAFT 2'!$A:$A,"&lt;="&amp;$F$2)</f>
        <v>20</v>
      </c>
      <c r="D33" s="75">
        <f>COUNTIFS('DRAFT 2'!$Q:$Q,$A33,'DRAFT 2'!$O:$O,"SIM",'DRAFT 2'!$B:$B,IF($C$2="TODOS","*",$C$2),'DRAFT 2'!$A:$A,"&gt;="&amp;$D$2,'DRAFT 2'!$A:$A,"&lt;="&amp;$F$2)</f>
        <v>13</v>
      </c>
      <c r="E33" s="75">
        <f>COUNTIFS('DRAFT 2'!$Q:$Q,$A33,'DRAFT 2'!$O:$O,"SIM",'DRAFT 2'!$P:$P,"SIM",'DRAFT 2'!$B:$B,IF($C$2="TODOS","*",$C$2),'DRAFT 2'!$A:$A,"&gt;="&amp;$D$2,'DRAFT 2'!$A:$A,"&lt;="&amp;$F$2)</f>
        <v>8</v>
      </c>
      <c r="F33" s="75">
        <f>COUNTIFS('DRAFT 2'!$Q:$Q,$A33,'DRAFT 2'!$O:$O,"SIM",'DRAFT 2'!$P:$P,"NÃO",'DRAFT 2'!$B:$B,IF($C$2="TODOS","*",$C$2),'DRAFT 2'!$A:$A,"&gt;="&amp;$D$2,'DRAFT 2'!$A:$A,"&lt;="&amp;$F$2)</f>
        <v>5</v>
      </c>
      <c r="G33" s="107"/>
      <c r="H33" s="75">
        <f>COUNTIFS('DRAFT 2'!$Q:$Q,$A33,'DRAFT 2'!$R:$R,"EM ATENDIMENTO",'DRAFT 2'!$B:$B,IF($C$2="TODOS","*",$C$2),'DRAFT 2'!$A:$A,"&gt;="&amp;$D$2,'DRAFT 2'!$A:$A,"&lt;="&amp;$F$2)</f>
        <v>1</v>
      </c>
      <c r="I33" s="75">
        <f>COUNTIFS('DRAFT 2'!$Q:$Q,$A33,'DRAFT 2'!$R:$R,"ORÇAMENTO",'DRAFT 2'!$B:$B,IF($C$2="TODOS","*",$C$2),'DRAFT 2'!$A:$A,"&gt;="&amp;$D$2,'DRAFT 2'!$A:$A,"&lt;="&amp;$F$2)</f>
        <v>0</v>
      </c>
      <c r="J33" s="75">
        <f>COUNTIFS('DRAFT 2'!$Q:$Q,$A33,'DRAFT 2'!$R:$R,"CADASTRO",'DRAFT 2'!$B:$B,IF($C$2="TODOS","*",$C$2),'DRAFT 2'!$A:$A,"&gt;="&amp;$D$2,'DRAFT 2'!$A:$A,"&lt;="&amp;$F$2)</f>
        <v>0</v>
      </c>
      <c r="K33" s="77">
        <f>COUNTIFS('DRAFT 2'!$Q:$Q,$A33,'DRAFT 2'!$R:$R,"VENDA / PEDIDO",'DRAFT 2'!$B:$B,IF($C$2="TODOS","*",$C$2),'DRAFT 2'!$A:$A,"&gt;="&amp;$D$2,'DRAFT 2'!$A:$A,"&lt;="&amp;$F$2)</f>
        <v>0</v>
      </c>
      <c r="L33" s="107"/>
      <c r="M33" s="75">
        <f>COUNTIFS('DRAFT 2'!$Q:$Q,$A33,'DRAFT 2'!$R:$R,"FOLLOW*",'DRAFT 2'!$B:$B,IF($C$2="TODOS","*",$C$2),'DRAFT 2'!$A:$A,"&gt;="&amp;$D$2,'DRAFT 2'!$A:$A,"&lt;="&amp;$F$2)</f>
        <v>3</v>
      </c>
      <c r="N33" s="75">
        <f>COUNTIFS('DRAFT 2'!$Q:$Q,$A33,'DRAFT 2'!$R:$R,"SUPORTE",'DRAFT 2'!$B:$B,IF($C$2="TODOS","*",$C$2),'DRAFT 2'!$A:$A,"&gt;="&amp;$D$2,'DRAFT 2'!$A:$A,"&lt;="&amp;$F$2)</f>
        <v>2</v>
      </c>
      <c r="O33" s="107"/>
      <c r="P33" s="75">
        <f>COUNTIFS('DRAFT 2'!$Q:$Q,$A33,'DRAFT 2'!$R:$R,"NÃO ATENDE",'DRAFT 2'!$B:$B,IF($C$2="TODOS","*",$C$2),'DRAFT 2'!$A:$A,"&gt;="&amp;$D$2,'DRAFT 2'!$A:$A,"&lt;="&amp;$F$2)+COUNTIFS('DRAFT 2'!$Q:$Q,$A33,'DRAFT 2'!$R:$R,"NÃO RESPONDE",'DRAFT 2'!$B:$B,IF($C$2="TODOS","*",$C$2),'DRAFT 2'!$A:$A,"&gt;="&amp;$D$2,'DRAFT 2'!$A:$A,"&lt;="&amp;$F$2)+COUNTIFS('DRAFT 2'!$Q:$Q,$A33,'DRAFT 2'!$R:$R,"RECUSOU LIGAÇÃO",'DRAFT 2'!$B:$B,IF($C$2="TODOS","*",$C$2),'DRAFT 2'!$A:$A,"&gt;="&amp;$D$2,'DRAFT 2'!$A:$A,"&lt;="&amp;$F$2)</f>
        <v>15</v>
      </c>
      <c r="Q33" s="75">
        <f>COUNTIFS('DRAFT 2'!$Q:$Q,$A33,'DRAFT 2'!$R:$R,"PERDA / FECHOU LOJA",'DRAFT 2'!$B:$B,IF($C$2="TODOS","*",$C$2),'DRAFT 2'!$A:$A,"&gt;="&amp;$D$2,'DRAFT 2'!$A:$A,"&lt;="&amp;$F$2)</f>
        <v>10</v>
      </c>
      <c r="R33" s="107"/>
      <c r="S33" s="107"/>
    </row>
    <row r="34" spans="1:19" ht="15" thickBot="1" x14ac:dyDescent="0.35">
      <c r="A34" s="85" t="s">
        <v>1215</v>
      </c>
      <c r="B34" s="86">
        <f>SUM(B27:B33)</f>
        <v>1089</v>
      </c>
      <c r="C34" s="86">
        <f>SUM(C27:C33)</f>
        <v>307</v>
      </c>
      <c r="D34" s="86">
        <f>SUM(D27:D33)</f>
        <v>200</v>
      </c>
      <c r="E34" s="86">
        <f>SUM(E27:E33)</f>
        <v>117</v>
      </c>
      <c r="F34" s="86">
        <f>SUM(F27:F33)</f>
        <v>83</v>
      </c>
      <c r="G34" s="282"/>
      <c r="H34" s="86">
        <f>SUM(H27:H33)</f>
        <v>47</v>
      </c>
      <c r="I34" s="86">
        <f>SUM(I27:I33)</f>
        <v>53</v>
      </c>
      <c r="J34" s="86">
        <f>SUM(J27:J33)</f>
        <v>18</v>
      </c>
      <c r="K34" s="86">
        <f>SUM(K27:K33)</f>
        <v>47</v>
      </c>
      <c r="L34" s="282"/>
      <c r="M34" s="86">
        <f>SUM(M27:M33)</f>
        <v>69</v>
      </c>
      <c r="N34" s="86">
        <f>SUM(N27:N33)</f>
        <v>41</v>
      </c>
      <c r="O34" s="282"/>
      <c r="P34" s="86">
        <f>SUM(P27:P33)</f>
        <v>93</v>
      </c>
      <c r="Q34" s="86">
        <f>SUM(Q27:Q33)</f>
        <v>14</v>
      </c>
      <c r="R34" s="107"/>
      <c r="S34" s="107"/>
    </row>
    <row r="35" spans="1:19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107"/>
      <c r="S35" s="107"/>
    </row>
    <row r="36" spans="1:19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107"/>
      <c r="S36" s="107"/>
    </row>
    <row r="37" spans="1:19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107"/>
      <c r="S37" s="107"/>
    </row>
    <row r="38" spans="1:19" ht="7.95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107"/>
      <c r="S38" s="107"/>
    </row>
    <row r="39" spans="1:19" x14ac:dyDescent="0.3">
      <c r="A39" s="205" t="s">
        <v>1219</v>
      </c>
      <c r="B39" s="206"/>
      <c r="C39" s="206"/>
      <c r="D39" s="206"/>
      <c r="E39" s="206"/>
      <c r="F39" s="206"/>
      <c r="G39" s="206"/>
      <c r="H39" s="207"/>
      <c r="I39" s="208" t="s">
        <v>1220</v>
      </c>
      <c r="J39" s="209"/>
      <c r="K39" s="209"/>
      <c r="L39" s="209"/>
      <c r="M39" s="209"/>
      <c r="N39" s="209"/>
      <c r="O39" s="209"/>
      <c r="P39" s="209"/>
      <c r="Q39" s="210"/>
      <c r="R39" s="107"/>
      <c r="S39" s="107"/>
    </row>
    <row r="40" spans="1:19" x14ac:dyDescent="0.3">
      <c r="A40" s="110" t="s">
        <v>47</v>
      </c>
      <c r="B40" s="110" t="s">
        <v>1221</v>
      </c>
      <c r="C40" s="110" t="s">
        <v>1222</v>
      </c>
      <c r="D40" s="110" t="s">
        <v>33</v>
      </c>
      <c r="E40" s="110" t="s">
        <v>1223</v>
      </c>
      <c r="F40" s="110" t="s">
        <v>1323</v>
      </c>
      <c r="G40" s="211" t="s">
        <v>91</v>
      </c>
      <c r="H40" s="218"/>
      <c r="I40" s="214" t="s">
        <v>133</v>
      </c>
      <c r="J40" s="110" t="s">
        <v>1224</v>
      </c>
      <c r="K40" s="110" t="s">
        <v>188</v>
      </c>
      <c r="L40" s="110" t="s">
        <v>1324</v>
      </c>
      <c r="M40" s="110" t="s">
        <v>1325</v>
      </c>
      <c r="N40" s="136" t="s">
        <v>1349</v>
      </c>
      <c r="O40" s="136" t="s">
        <v>23</v>
      </c>
      <c r="P40" s="136" t="s">
        <v>63</v>
      </c>
      <c r="Q40" s="136" t="s">
        <v>1350</v>
      </c>
      <c r="R40" s="107"/>
      <c r="S40" s="107"/>
    </row>
    <row r="41" spans="1:19" x14ac:dyDescent="0.3">
      <c r="A41" s="78" t="s">
        <v>49</v>
      </c>
      <c r="B41" s="74">
        <f>COUNTIFS('DRAFT 2'!$S:$S,"AINDA TEM ESTOQUE",'DRAFT 2'!$B:$B,IF($C$2="TODOS","*",$C$2),'DRAFT 2'!$A:$A,"&gt;="&amp;$D$2,'DRAFT 2'!$A:$A,"&lt;="&amp;$F$2)</f>
        <v>43</v>
      </c>
      <c r="C41" s="267">
        <f t="shared" ref="C41:C50" si="7">IF(SUM($B$41:$B$50)&gt;0,B41/SUM($B$41:$B$50),0)</f>
        <v>0.24431818181818182</v>
      </c>
      <c r="D41" s="75">
        <f>COUNTIFS('DRAFT 2'!$S:$S,"AINDA TEM ESTOQUE",'DRAFT 2'!$Q:$Q,"PROSPECÇÃO",'DRAFT 2'!$B:$B,IF($C$2="TODOS","*",$C$2),'DRAFT 2'!$A:$A,"&gt;="&amp;$D$2,'DRAFT 2'!$A:$A,"&lt;="&amp;$F$2)</f>
        <v>7</v>
      </c>
      <c r="E41" s="75">
        <f>COUNTIFS('DRAFT 2'!$S:$S,"AINDA TEM ESTOQUE",'DRAFT 2'!$Q:$Q,"ATEND. CLIENTES ATIVOS",'DRAFT 2'!$B:$B,IF($C$2="TODOS","*",$C$2),'DRAFT 2'!$A:$A,"&gt;="&amp;$D$2,'DRAFT 2'!$A:$A,"&lt;="&amp;$F$2)</f>
        <v>8</v>
      </c>
      <c r="F41" s="75">
        <f>COUNTIFS('DRAFT 2'!$S:$S,"AINDA TEM ESTOQUE",'DRAFT 2'!$Q:$Q,"ATEND. CLIENTES INATIVOS",'DRAFT 2'!$B:$B,IF($C$2="TODOS","*",$C$2),'DRAFT 2'!$A:$A,"&gt;="&amp;$D$2,'DRAFT 2'!$A:$A,"&lt;="&amp;$F$2)</f>
        <v>4</v>
      </c>
      <c r="G41" s="212">
        <f>COUNTIFS('DRAFT 2'!$S:$S,"AINDA TEM ESTOQUE",'DRAFT 2'!$Q:$Q,"PÓS-VENDA / RELACIONAMENTO",'DRAFT 2'!$B:$B,IF($C$2="TODOS","*",$C$2),'DRAFT 2'!$A:$A,"&gt;="&amp;$D$2,'DRAFT 2'!$A:$A,"&lt;="&amp;$F$2)</f>
        <v>8</v>
      </c>
      <c r="H41" s="218"/>
      <c r="I41" s="215" t="s">
        <v>135</v>
      </c>
      <c r="J41" s="190">
        <f>COUNTIFS('DRAFT 2'!$B:$B,$I41,'DRAFT 2'!$A:$A,"&gt;="&amp;$D$2,'DRAFT 2'!$A:$A,"&lt;="&amp;$F$2)</f>
        <v>133</v>
      </c>
      <c r="K41" s="193">
        <f>COUNTIFS('DRAFT 2'!$B:$B,$I41,'DRAFT 2'!$R:$R,"VENDA / PEDIDO",'DRAFT 2'!$A:$A,"&gt;="&amp;$D$2,'DRAFT 2'!$A:$A,"&lt;="&amp;$F$2)</f>
        <v>19</v>
      </c>
      <c r="L41" s="75">
        <f>COUNTIFS('DRAFT 2'!$B:$B,$I41,'DRAFT 2'!$R:$R,"ORÇAMENTO",'DRAFT 2'!$A:$A,"&gt;="&amp;$D$2,'DRAFT 2'!$A:$A,"&lt;="&amp;$F$2)</f>
        <v>11</v>
      </c>
      <c r="M41" s="75">
        <f>COUNTIFS('DRAFT 2'!$B:$B,$I41,'DRAFT 2'!$R:$R,"CADASTRO",'DRAFT 2'!$A:$A,"&gt;="&amp;$D$2,'DRAFT 2'!$A:$A,"&lt;="&amp;$F$2)</f>
        <v>5</v>
      </c>
      <c r="N41" s="272">
        <f>IFERROR(K41/(J41-O41),0)</f>
        <v>0.15966386554621848</v>
      </c>
      <c r="O41" s="194">
        <f>COUNTIFS('DRAFT 2'!$B:$B,$I41,'DRAFT 2'!$R:$R,"NÃO ATENDE",'DRAFT 2'!$A:$A,"&gt;="&amp;$D$2,'DRAFT 2'!$A:$A,"&lt;="&amp;$F$2)</f>
        <v>14</v>
      </c>
      <c r="P41" s="194">
        <f>COUNTIFS('DRAFT 2'!$B:$B,$I41,'DRAFT 2'!$R:$R,"PERDA / FECHOU LOJA",'DRAFT 2'!$A:$A,"&gt;="&amp;$D$2,'DRAFT 2'!$A:$A,"&lt;="&amp;$F$2)</f>
        <v>2</v>
      </c>
      <c r="Q41" s="267">
        <f>IFERROR(COUNTIFS('DRAFT 2'!$B:$B,$I41,'DRAFT 2'!$W:$W,"SIM",'DRAFT 2'!$A:$A,"&gt;="&amp;$D$2,'DRAFT 2'!$A:$A,"&lt;="&amp;$F$2)/J41,0)</f>
        <v>0.67669172932330823</v>
      </c>
      <c r="R41" s="107"/>
      <c r="S41" s="107"/>
    </row>
    <row r="42" spans="1:19" x14ac:dyDescent="0.3">
      <c r="A42" s="78" t="s">
        <v>51</v>
      </c>
      <c r="B42" s="74">
        <f>COUNTIFS('DRAFT 2'!$S:$S,"PRODUTO NÃO VENDEU / SEM GIRO",'DRAFT 2'!$B:$B,IF($C$2="TODOS","*",$C$2),'DRAFT 2'!$A:$A,"&gt;="&amp;$D$2,'DRAFT 2'!$A:$A,"&lt;="&amp;$F$2)</f>
        <v>19</v>
      </c>
      <c r="C42" s="267">
        <f t="shared" si="7"/>
        <v>0.10795454545454546</v>
      </c>
      <c r="D42" s="75">
        <f>COUNTIFS('DRAFT 2'!$S:$S,"PRODUTO NÃO VENDEU / SEM GIRO",'DRAFT 2'!$Q:$Q,"PROSPECÇÃO",'DRAFT 2'!$B:$B,IF($C$2="TODOS","*",$C$2),'DRAFT 2'!$A:$A,"&gt;="&amp;$D$2,'DRAFT 2'!$A:$A,"&lt;="&amp;$F$2)</f>
        <v>2</v>
      </c>
      <c r="E42" s="75">
        <f>COUNTIFS('DRAFT 2'!$S:$S,"PRODUTO NÃO VENDEU / SEM GIRO",'DRAFT 2'!$Q:$Q,"ATEND. CLIENTES ATIVOS",'DRAFT 2'!$B:$B,IF($C$2="TODOS","*",$C$2),'DRAFT 2'!$A:$A,"&gt;="&amp;$D$2,'DRAFT 2'!$A:$A,"&lt;="&amp;$F$2)</f>
        <v>3</v>
      </c>
      <c r="F42" s="75">
        <f>COUNTIFS('DRAFT 2'!$S:$S,"PRODUTO NÃO VENDEU / SEM GIRO",'DRAFT 2'!$Q:$Q,"ATEND. CLIENTES INATIVOS",'DRAFT 2'!$B:$B,IF($C$2="TODOS","*",$C$2),'DRAFT 2'!$A:$A,"&gt;="&amp;$D$2,'DRAFT 2'!$A:$A,"&lt;="&amp;$F$2)</f>
        <v>6</v>
      </c>
      <c r="G42" s="212">
        <f>COUNTIFS('DRAFT 2'!$S:$S,"PRODUTO NÃO VENDEU / SEM GIRO",'DRAFT 2'!$Q:$Q,"PÓS-VENDA / RELACIONAMENTO",'DRAFT 2'!$B:$B,IF($C$2="TODOS","*",$C$2),'DRAFT 2'!$A:$A,"&gt;="&amp;$D$2,'DRAFT 2'!$A:$A,"&lt;="&amp;$F$2)</f>
        <v>5</v>
      </c>
      <c r="H42" s="218"/>
      <c r="I42" s="215" t="s">
        <v>137</v>
      </c>
      <c r="J42" s="190">
        <f>COUNTIFS('DRAFT 2'!$B:$B,$I42,'DRAFT 2'!$A:$A,"&gt;="&amp;$D$2,'DRAFT 2'!$A:$A,"&lt;="&amp;$F$2)</f>
        <v>110</v>
      </c>
      <c r="K42" s="193">
        <f>COUNTIFS('DRAFT 2'!$B:$B,$I42,'DRAFT 2'!$R:$R,"VENDA / PEDIDO",'DRAFT 2'!$A:$A,"&gt;="&amp;$D$2,'DRAFT 2'!$A:$A,"&lt;="&amp;$F$2)</f>
        <v>8</v>
      </c>
      <c r="L42" s="75">
        <f>COUNTIFS('DRAFT 2'!$B:$B,$I42,'DRAFT 2'!$R:$R,"ORÇAMENTO",'DRAFT 2'!$A:$A,"&gt;="&amp;$D$2,'DRAFT 2'!$A:$A,"&lt;="&amp;$F$2)</f>
        <v>22</v>
      </c>
      <c r="M42" s="75">
        <f>COUNTIFS('DRAFT 2'!$B:$B,$I42,'DRAFT 2'!$R:$R,"CADASTRO",'DRAFT 2'!$A:$A,"&gt;="&amp;$D$2,'DRAFT 2'!$A:$A,"&lt;="&amp;$F$2)</f>
        <v>6</v>
      </c>
      <c r="N42" s="272">
        <f>IFERROR(K42/(J42-O42),0)</f>
        <v>8.247422680412371E-2</v>
      </c>
      <c r="O42" s="194">
        <f>COUNTIFS('DRAFT 2'!$B:$B,$I42,'DRAFT 2'!$R:$R,"NÃO ATENDE",'DRAFT 2'!$A:$A,"&gt;="&amp;$D$2,'DRAFT 2'!$A:$A,"&lt;="&amp;$F$2)</f>
        <v>13</v>
      </c>
      <c r="P42" s="194">
        <f>COUNTIFS('DRAFT 2'!$B:$B,$I42,'DRAFT 2'!$R:$R,"PERDA / FECHOU LOJA",'DRAFT 2'!$A:$A,"&gt;="&amp;$D$2,'DRAFT 2'!$A:$A,"&lt;="&amp;$F$2)</f>
        <v>4</v>
      </c>
      <c r="Q42" s="267">
        <f>IFERROR(COUNTIFS('DRAFT 2'!$B:$B,$I42,'DRAFT 2'!$W:$W,"SIM",'DRAFT 2'!$A:$A,"&gt;="&amp;$D$2,'DRAFT 2'!$A:$A,"&lt;="&amp;$F$2)/J42,0)</f>
        <v>0.68181818181818177</v>
      </c>
      <c r="R42" s="107"/>
      <c r="S42" s="107"/>
    </row>
    <row r="43" spans="1:19" x14ac:dyDescent="0.3">
      <c r="A43" s="78" t="s">
        <v>1225</v>
      </c>
      <c r="B43" s="74">
        <f>COUNTIFS('DRAFT 2'!$S:$S,"LOJA ANEXO/PROXIMO - SM",'DRAFT 2'!$B:$B,IF($C$2="TODOS","*",$C$2),'DRAFT 2'!$A:$A,"&gt;="&amp;$D$2,'DRAFT 2'!$A:$A,"&lt;="&amp;$F$2)</f>
        <v>9</v>
      </c>
      <c r="C43" s="267">
        <f t="shared" si="7"/>
        <v>5.113636363636364E-2</v>
      </c>
      <c r="D43" s="75">
        <f>COUNTIFS('DRAFT 2'!$S:$S,"LOJA ANEXO/PROXIMO - SM",'DRAFT 2'!$Q:$Q,"PROSPECÇÃO",'DRAFT 2'!$B:$B,IF($C$2="TODOS","*",$C$2),'DRAFT 2'!$A:$A,"&gt;="&amp;$D$2,'DRAFT 2'!$A:$A,"&lt;="&amp;$F$2)</f>
        <v>1</v>
      </c>
      <c r="E43" s="75">
        <f>COUNTIFS('DRAFT 2'!$S:$S,"LOJA ANEXO/PROXIMO - SM",'DRAFT 2'!$Q:$Q,"ATEND. CLIENTES ATIVOS",'DRAFT 2'!$B:$B,IF($C$2="TODOS","*",$C$2),'DRAFT 2'!$A:$A,"&gt;="&amp;$D$2,'DRAFT 2'!$A:$A,"&lt;="&amp;$F$2)</f>
        <v>2</v>
      </c>
      <c r="F43" s="75">
        <f>COUNTIFS('DRAFT 2'!$S:$S,"LOJA ANEXO/PROXIMO - SM",'DRAFT 2'!$Q:$Q,"ATEND. CLIENTES INATIVOS",'DRAFT 2'!$B:$B,IF($C$2="TODOS","*",$C$2),'DRAFT 2'!$A:$A,"&gt;="&amp;$D$2,'DRAFT 2'!$A:$A,"&lt;="&amp;$F$2)</f>
        <v>1</v>
      </c>
      <c r="G43" s="212">
        <f>COUNTIFS('DRAFT 2'!$S:$S,"LOJA ANEXO/PROXIMO - SM",'DRAFT 2'!$Q:$Q,"PÓS-VENDA / RELACIONAMENTO",'DRAFT 2'!$B:$B,IF($C$2="TODOS","*",$C$2),'DRAFT 2'!$A:$A,"&gt;="&amp;$D$2,'DRAFT 2'!$A:$A,"&lt;="&amp;$F$2)</f>
        <v>0</v>
      </c>
      <c r="H43" s="218"/>
      <c r="I43" s="215" t="s">
        <v>139</v>
      </c>
      <c r="J43" s="190">
        <f>COUNTIFS('DRAFT 2'!$B:$B,$I43,'DRAFT 2'!$A:$A,"&gt;="&amp;$D$2,'DRAFT 2'!$A:$A,"&lt;="&amp;$F$2)</f>
        <v>86</v>
      </c>
      <c r="K43" s="193">
        <f>COUNTIFS('DRAFT 2'!$B:$B,$I43,'DRAFT 2'!$R:$R,"VENDA / PEDIDO",'DRAFT 2'!$A:$A,"&gt;="&amp;$D$2,'DRAFT 2'!$A:$A,"&lt;="&amp;$F$2)</f>
        <v>8</v>
      </c>
      <c r="L43" s="75">
        <f>COUNTIFS('DRAFT 2'!$B:$B,$I43,'DRAFT 2'!$R:$R,"ORÇAMENTO",'DRAFT 2'!$A:$A,"&gt;="&amp;$D$2,'DRAFT 2'!$A:$A,"&lt;="&amp;$F$2)</f>
        <v>10</v>
      </c>
      <c r="M43" s="75">
        <f>COUNTIFS('DRAFT 2'!$B:$B,$I43,'DRAFT 2'!$R:$R,"CADASTRO",'DRAFT 2'!$A:$A,"&gt;="&amp;$D$2,'DRAFT 2'!$A:$A,"&lt;="&amp;$F$2)</f>
        <v>3</v>
      </c>
      <c r="N43" s="272">
        <f>IFERROR(K43/(J43-O43),0)</f>
        <v>0.1038961038961039</v>
      </c>
      <c r="O43" s="194">
        <f>COUNTIFS('DRAFT 2'!$B:$B,$I43,'DRAFT 2'!$R:$R,"NÃO ATENDE",'DRAFT 2'!$A:$A,"&gt;="&amp;$D$2,'DRAFT 2'!$A:$A,"&lt;="&amp;$F$2)</f>
        <v>9</v>
      </c>
      <c r="P43" s="194">
        <f>COUNTIFS('DRAFT 2'!$B:$B,$I43,'DRAFT 2'!$R:$R,"PERDA / FECHOU LOJA",'DRAFT 2'!$A:$A,"&gt;="&amp;$D$2,'DRAFT 2'!$A:$A,"&lt;="&amp;$F$2)</f>
        <v>4</v>
      </c>
      <c r="Q43" s="267">
        <f>IFERROR(COUNTIFS('DRAFT 2'!$B:$B,$I43,'DRAFT 2'!$W:$W,"SIM",'DRAFT 2'!$A:$A,"&gt;="&amp;$D$2,'DRAFT 2'!$A:$A,"&lt;="&amp;$F$2)/J43,0)</f>
        <v>0.66279069767441856</v>
      </c>
      <c r="R43" s="107"/>
      <c r="S43" s="107"/>
    </row>
    <row r="44" spans="1:19" x14ac:dyDescent="0.3">
      <c r="A44" s="78" t="s">
        <v>1226</v>
      </c>
      <c r="B44" s="74">
        <f>COUNTIFS('DRAFT 2'!$S:$S,"SÓ QUER COMPRAR GRANEL",'DRAFT 2'!$B:$B,IF($C$2="TODOS","*",$C$2),'DRAFT 2'!$A:$A,"&gt;="&amp;$D$2,'DRAFT 2'!$A:$A,"&lt;="&amp;$F$2)</f>
        <v>20</v>
      </c>
      <c r="C44" s="267">
        <f t="shared" si="7"/>
        <v>0.11363636363636363</v>
      </c>
      <c r="D44" s="75">
        <f>COUNTIFS('DRAFT 2'!$S:$S,"SÓ QUER COMPRAR GRANEL",'DRAFT 2'!$Q:$Q,"PROSPECÇÃO",'DRAFT 2'!$B:$B,IF($C$2="TODOS","*",$C$2),'DRAFT 2'!$A:$A,"&gt;="&amp;$D$2,'DRAFT 2'!$A:$A,"&lt;="&amp;$F$2)</f>
        <v>1</v>
      </c>
      <c r="E44" s="75">
        <f>COUNTIFS('DRAFT 2'!$S:$S,"SÓ QUER COMPRAR GRANEL",'DRAFT 2'!$Q:$Q,"ATEND. CLIENTES ATIVOS",'DRAFT 2'!$B:$B,IF($C$2="TODOS","*",$C$2),'DRAFT 2'!$A:$A,"&gt;="&amp;$D$2,'DRAFT 2'!$A:$A,"&lt;="&amp;$F$2)</f>
        <v>5</v>
      </c>
      <c r="F44" s="75">
        <f>COUNTIFS('DRAFT 2'!$S:$S,"SÓ QUER COMPRAR GRANEL",'DRAFT 2'!$Q:$Q,"ATEND. CLIENTES INATIVOS",'DRAFT 2'!$B:$B,IF($C$2="TODOS","*",$C$2),'DRAFT 2'!$A:$A,"&gt;="&amp;$D$2,'DRAFT 2'!$A:$A,"&lt;="&amp;$F$2)</f>
        <v>4</v>
      </c>
      <c r="G44" s="212">
        <f>COUNTIFS('DRAFT 2'!$S:$S,"SÓ QUER COMPRAR GRANEL",'DRAFT 2'!$Q:$Q,"PÓS-VENDA / RELACIONAMENTO",'DRAFT 2'!$B:$B,IF($C$2="TODOS","*",$C$2),'DRAFT 2'!$A:$A,"&gt;="&amp;$D$2,'DRAFT 2'!$A:$A,"&lt;="&amp;$F$2)</f>
        <v>5</v>
      </c>
      <c r="H44" s="218"/>
      <c r="I44" s="216" t="s">
        <v>141</v>
      </c>
      <c r="J44" s="202">
        <f>COUNTIFS('DRAFT 2'!$B:$B,$I44,'DRAFT 2'!$A:$A,"&gt;="&amp;$D$2,'DRAFT 2'!$A:$A,"&lt;="&amp;$F$2)</f>
        <v>111</v>
      </c>
      <c r="K44" s="203">
        <f>COUNTIFS('DRAFT 2'!$B:$B,$I44,'DRAFT 2'!$R:$R,"VENDA / PEDIDO",'DRAFT 2'!$A:$A,"&gt;="&amp;$D$2,'DRAFT 2'!$A:$A,"&lt;="&amp;$F$2)</f>
        <v>12</v>
      </c>
      <c r="L44" s="200">
        <f>COUNTIFS('DRAFT 2'!$B:$B,$I44,'DRAFT 2'!$R:$R,"ORÇAMENTO",'DRAFT 2'!$A:$A,"&gt;="&amp;$D$2,'DRAFT 2'!$A:$A,"&lt;="&amp;$F$2)</f>
        <v>10</v>
      </c>
      <c r="M44" s="200">
        <f>COUNTIFS('DRAFT 2'!$B:$B,$I44,'DRAFT 2'!$R:$R,"CADASTRO",'DRAFT 2'!$A:$A,"&gt;="&amp;$D$2,'DRAFT 2'!$A:$A,"&lt;="&amp;$F$2)</f>
        <v>4</v>
      </c>
      <c r="N44" s="273">
        <f>IFERROR(K44/(J44-O44),0)</f>
        <v>0.11428571428571428</v>
      </c>
      <c r="O44" s="204">
        <f>COUNTIFS('DRAFT 2'!$B:$B,$I44,'DRAFT 2'!$R:$R,"NÃO ATENDE",'DRAFT 2'!$A:$A,"&gt;="&amp;$D$2,'DRAFT 2'!$A:$A,"&lt;="&amp;$F$2)</f>
        <v>6</v>
      </c>
      <c r="P44" s="204">
        <f>COUNTIFS('DRAFT 2'!$B:$B,$I44,'DRAFT 2'!$R:$R,"PERDA / FECHOU LOJA",'DRAFT 2'!$A:$A,"&gt;="&amp;$D$2,'DRAFT 2'!$A:$A,"&lt;="&amp;$F$2)</f>
        <v>4</v>
      </c>
      <c r="Q44" s="268">
        <f>IFERROR(COUNTIFS('DRAFT 2'!$B:$B,$I44,'DRAFT 2'!$W:$W,"SIM",'DRAFT 2'!$A:$A,"&gt;="&amp;$D$2,'DRAFT 2'!$A:$A,"&lt;="&amp;$F$2)/J44,0)</f>
        <v>0.5855855855855856</v>
      </c>
      <c r="R44" s="107"/>
      <c r="S44" s="107"/>
    </row>
    <row r="45" spans="1:19" ht="15" thickBot="1" x14ac:dyDescent="0.35">
      <c r="A45" s="78" t="s">
        <v>57</v>
      </c>
      <c r="B45" s="74">
        <f>COUNTIFS('DRAFT 2'!$S:$S,"PROBLEMA LOGÍSTICO / ENTREGA",'DRAFT 2'!$B:$B,IF($C$2="TODOS","*",$C$2),'DRAFT 2'!$A:$A,"&gt;="&amp;$D$2,'DRAFT 2'!$A:$A,"&lt;="&amp;$F$2)</f>
        <v>33</v>
      </c>
      <c r="C45" s="267">
        <f t="shared" si="7"/>
        <v>0.1875</v>
      </c>
      <c r="D45" s="75">
        <f>COUNTIFS('DRAFT 2'!$S:$S,"PROBLEMA LOGÍSTICO / ENTREGA",'DRAFT 2'!$Q:$Q,"PROSPECÇÃO",'DRAFT 2'!$B:$B,IF($C$2="TODOS","*",$C$2),'DRAFT 2'!$A:$A,"&gt;="&amp;$D$2,'DRAFT 2'!$A:$A,"&lt;="&amp;$F$2)</f>
        <v>5</v>
      </c>
      <c r="E45" s="75">
        <f>COUNTIFS('DRAFT 2'!$S:$S,"PROBLEMA LOGÍSTICO / ENTREGA",'DRAFT 2'!$Q:$Q,"ATEND. CLIENTES ATIVOS",'DRAFT 2'!$B:$B,IF($C$2="TODOS","*",$C$2),'DRAFT 2'!$A:$A,"&gt;="&amp;$D$2,'DRAFT 2'!$A:$A,"&lt;="&amp;$F$2)</f>
        <v>4</v>
      </c>
      <c r="F45" s="75">
        <f>COUNTIFS('DRAFT 2'!$S:$S,"PROBLEMA LOGÍSTICO / ENTREGA",'DRAFT 2'!$Q:$Q,"ATEND. CLIENTES INATIVOS",'DRAFT 2'!$B:$B,IF($C$2="TODOS","*",$C$2),'DRAFT 2'!$A:$A,"&gt;="&amp;$D$2,'DRAFT 2'!$A:$A,"&lt;="&amp;$F$2)</f>
        <v>14</v>
      </c>
      <c r="G45" s="212">
        <f>COUNTIFS('DRAFT 2'!$S:$S,"PROBLEMA LOGÍSTICO / ENTREGA",'DRAFT 2'!$Q:$Q,"PÓS-VENDA / RELACIONAMENTO",'DRAFT 2'!$B:$B,IF($C$2="TODOS","*",$C$2),'DRAFT 2'!$A:$A,"&gt;="&amp;$D$2,'DRAFT 2'!$A:$A,"&lt;="&amp;$F$2)</f>
        <v>2</v>
      </c>
      <c r="H45" s="277"/>
      <c r="I45" s="217" t="s">
        <v>1351</v>
      </c>
      <c r="J45" s="191">
        <f>SUM(J41:J44)</f>
        <v>440</v>
      </c>
      <c r="K45" s="191">
        <f>SUM(K41:K44)</f>
        <v>47</v>
      </c>
      <c r="L45" s="191">
        <f>SUM(L41:L44)</f>
        <v>53</v>
      </c>
      <c r="M45" s="191">
        <f>SUM(M41:M44)</f>
        <v>18</v>
      </c>
      <c r="N45" s="274">
        <f>IFERROR(K45/(J45-O45),0)</f>
        <v>0.11809045226130653</v>
      </c>
      <c r="O45" s="197">
        <f>SUM(O41:O44)</f>
        <v>42</v>
      </c>
      <c r="P45" s="197">
        <f>SUM(P41:P44)</f>
        <v>14</v>
      </c>
      <c r="Q45" s="274">
        <f>IFERROR(AVERAGE(Q41:Q44),0)</f>
        <v>0.65172154860037357</v>
      </c>
      <c r="R45" s="107"/>
      <c r="S45" s="107"/>
    </row>
    <row r="46" spans="1:19" x14ac:dyDescent="0.3">
      <c r="A46" s="78" t="s">
        <v>59</v>
      </c>
      <c r="B46" s="74">
        <f>COUNTIFS('DRAFT 2'!$S:$S,"PROBLEMA FINANCEIRO / CRÉDITO",'DRAFT 2'!$B:$B,IF($C$2="TODOS","*",$C$2),'DRAFT 2'!$A:$A,"&gt;="&amp;$D$2,'DRAFT 2'!$A:$A,"&lt;="&amp;$F$2)</f>
        <v>11</v>
      </c>
      <c r="C46" s="267">
        <f t="shared" si="7"/>
        <v>6.25E-2</v>
      </c>
      <c r="D46" s="75">
        <f>COUNTIFS('DRAFT 2'!$S:$S,"PROBLEMA FINANCEIRO / CRÉDITO",'DRAFT 2'!$Q:$Q,"PROSPECÇÃO",'DRAFT 2'!$B:$B,IF($C$2="TODOS","*",$C$2),'DRAFT 2'!$A:$A,"&gt;="&amp;$D$2,'DRAFT 2'!$A:$A,"&lt;="&amp;$F$2)</f>
        <v>0</v>
      </c>
      <c r="E46" s="75">
        <f>COUNTIFS('DRAFT 2'!$S:$S,"PROBLEMA FINANCEIRO / CRÉDITO",'DRAFT 2'!$Q:$Q,"ATEND. CLIENTES ATIVOS",'DRAFT 2'!$B:$B,IF($C$2="TODOS","*",$C$2),'DRAFT 2'!$A:$A,"&gt;="&amp;$D$2,'DRAFT 2'!$A:$A,"&lt;="&amp;$F$2)</f>
        <v>3</v>
      </c>
      <c r="F46" s="75">
        <f>COUNTIFS('DRAFT 2'!$S:$S,"PROBLEMA FINANCEIRO / CRÉDITO",'DRAFT 2'!$Q:$Q,"ATEND. CLIENTES INATIVOS",'DRAFT 2'!$B:$B,IF($C$2="TODOS","*",$C$2),'DRAFT 2'!$A:$A,"&gt;="&amp;$D$2,'DRAFT 2'!$A:$A,"&lt;="&amp;$F$2)</f>
        <v>1</v>
      </c>
      <c r="G46" s="212">
        <f>COUNTIFS('DRAFT 2'!$S:$S,"PROBLEMA FINANCEIRO / CRÉDITO",'DRAFT 2'!$Q:$Q,"PÓS-VENDA / RELACIONAMENTO",'DRAFT 2'!$B:$B,IF($C$2="TODOS","*",$C$2),'DRAFT 2'!$A:$A,"&gt;="&amp;$D$2,'DRAFT 2'!$A:$A,"&lt;="&amp;$F$2)</f>
        <v>5</v>
      </c>
      <c r="H46" s="218"/>
      <c r="I46"/>
      <c r="J46"/>
      <c r="K46"/>
      <c r="L46"/>
      <c r="M46"/>
      <c r="N46" s="196" t="s">
        <v>133</v>
      </c>
      <c r="O46" s="196" t="s">
        <v>6</v>
      </c>
      <c r="P46" s="196" t="s">
        <v>14</v>
      </c>
      <c r="Q46" s="196" t="s">
        <v>24</v>
      </c>
      <c r="R46" s="107"/>
      <c r="S46" s="107"/>
    </row>
    <row r="47" spans="1:19" x14ac:dyDescent="0.3">
      <c r="A47" s="78" t="s">
        <v>1227</v>
      </c>
      <c r="B47" s="74">
        <f>COUNTIFS('DRAFT 2'!$S:$S,"PROPRIETARIO / INDISPONÍVEL",'DRAFT 2'!$B:$B,IF($C$2="TODOS","*",$C$2),'DRAFT 2'!$A:$A,"&gt;="&amp;$D$2,'DRAFT 2'!$A:$A,"&lt;="&amp;$F$2)</f>
        <v>12</v>
      </c>
      <c r="C47" s="267">
        <f t="shared" si="7"/>
        <v>6.8181818181818177E-2</v>
      </c>
      <c r="D47" s="75">
        <f>COUNTIFS('DRAFT 2'!$S:$S,"PROPRIETARIO / INDISPONÍVEL",'DRAFT 2'!$Q:$Q,"PROSPECÇÃO",'DRAFT 2'!$B:$B,IF($C$2="TODOS","*",$C$2),'DRAFT 2'!$A:$A,"&gt;="&amp;$D$2,'DRAFT 2'!$A:$A,"&lt;="&amp;$F$2)</f>
        <v>0</v>
      </c>
      <c r="E47" s="75">
        <f>COUNTIFS('DRAFT 2'!$S:$S,"PROPRIETARIO / INDISPONÍVEL",'DRAFT 2'!$Q:$Q,"ATEND. CLIENTES ATIVOS",'DRAFT 2'!$B:$B,IF($C$2="TODOS","*",$C$2),'DRAFT 2'!$A:$A,"&gt;="&amp;$D$2,'DRAFT 2'!$A:$A,"&lt;="&amp;$F$2)</f>
        <v>1</v>
      </c>
      <c r="F47" s="75">
        <f>COUNTIFS('DRAFT 2'!$S:$S,"PROPRIETARIO / INDISPONÍVEL",'DRAFT 2'!$Q:$Q,"ATEND. CLIENTES INATIVOS",'DRAFT 2'!$B:$B,IF($C$2="TODOS","*",$C$2),'DRAFT 2'!$A:$A,"&gt;="&amp;$D$2,'DRAFT 2'!$A:$A,"&lt;="&amp;$F$2)</f>
        <v>1</v>
      </c>
      <c r="G47" s="212">
        <f>COUNTIFS('DRAFT 2'!$S:$S,"PROPRIETARIO / INDISPONÍVEL",'DRAFT 2'!$Q:$Q,"PÓS-VENDA / RELACIONAMENTO",'DRAFT 2'!$B:$B,IF($C$2="TODOS","*",$C$2),'DRAFT 2'!$A:$A,"&gt;="&amp;$D$2,'DRAFT 2'!$A:$A,"&lt;="&amp;$F$2)</f>
        <v>4</v>
      </c>
      <c r="H47" s="218"/>
      <c r="I47"/>
      <c r="J47"/>
      <c r="K47"/>
      <c r="L47"/>
      <c r="M47"/>
      <c r="N47" s="242" t="str">
        <f>I41</f>
        <v>MANU DITZEL</v>
      </c>
      <c r="O47" s="244">
        <f>COUNTIFS('DRAFT 2'!$B:$B,$I41,'DRAFT 2'!$I:$I,"FUNIL",'DRAFT 2'!$A:$A,"&gt;="&amp;$D$2,'DRAFT 2'!$A:$A,"&lt;="&amp;$F$2)</f>
        <v>49</v>
      </c>
      <c r="P47" s="244">
        <f>COUNTIFS('DRAFT 2'!$B:$B,$I41,'DRAFT 2'!$I:$I,"RELAC.",'DRAFT 2'!$A:$A,"&gt;="&amp;$D$2,'DRAFT 2'!$A:$A,"&lt;="&amp;$F$2)</f>
        <v>50</v>
      </c>
      <c r="Q47" s="244">
        <f>COUNTIFS('DRAFT 2'!$B:$B,$I41,'DRAFT 2'!$I:$I,"NÃO VENDA",'DRAFT 2'!$A:$A,"&gt;="&amp;$D$2,'DRAFT 2'!$A:$A,"&lt;="&amp;$F$2)</f>
        <v>34</v>
      </c>
      <c r="R47" s="107"/>
      <c r="S47" s="107"/>
    </row>
    <row r="48" spans="1:19" x14ac:dyDescent="0.3">
      <c r="A48" s="78" t="s">
        <v>1228</v>
      </c>
      <c r="B48" s="74">
        <f>COUNTIFS('DRAFT 2'!$S:$S,"FECHANDO / FECHOU LOJA",'DRAFT 2'!$B:$B,IF($C$2="TODOS","*",$C$2),'DRAFT 2'!$A:$A,"&gt;="&amp;$D$2,'DRAFT 2'!$A:$A,"&lt;="&amp;$F$2)</f>
        <v>2</v>
      </c>
      <c r="C48" s="267">
        <f t="shared" si="7"/>
        <v>1.1363636363636364E-2</v>
      </c>
      <c r="D48" s="75">
        <f>COUNTIFS('DRAFT 2'!$S:$S,"FECHANDO / FECHOU LOJA",'DRAFT 2'!$Q:$Q,"PROSPECÇÃO",'DRAFT 2'!$B:$B,IF($C$2="TODOS","*",$C$2),'DRAFT 2'!$A:$A,"&gt;="&amp;$D$2,'DRAFT 2'!$A:$A,"&lt;="&amp;$F$2)</f>
        <v>1</v>
      </c>
      <c r="E48" s="75">
        <f>COUNTIFS('DRAFT 2'!$S:$S,"FECHANDO / FECHOU LOJA",'DRAFT 2'!$Q:$Q,"ATEND. CLIENTES ATIVOS",'DRAFT 2'!$B:$B,IF($C$2="TODOS","*",$C$2),'DRAFT 2'!$A:$A,"&gt;="&amp;$D$2,'DRAFT 2'!$A:$A,"&lt;="&amp;$F$2)</f>
        <v>1</v>
      </c>
      <c r="F48" s="75">
        <f>COUNTIFS('DRAFT 2'!$S:$S,"FECHANDO / FECHOU LOJA",'DRAFT 2'!$Q:$Q,"ATEND. CLIENTES INATIVOS",'DRAFT 2'!$B:$B,IF($C$2="TODOS","*",$C$2),'DRAFT 2'!$A:$A,"&gt;="&amp;$D$2,'DRAFT 2'!$A:$A,"&lt;="&amp;$F$2)</f>
        <v>0</v>
      </c>
      <c r="G48" s="212">
        <f>COUNTIFS('DRAFT 2'!$S:$S,"FECHANDO / FECHOU LOJA",'DRAFT 2'!$Q:$Q,"PÓS-VENDA / RELACIONAMENTO",'DRAFT 2'!$B:$B,IF($C$2="TODOS","*",$C$2),'DRAFT 2'!$A:$A,"&gt;="&amp;$D$2,'DRAFT 2'!$A:$A,"&lt;="&amp;$F$2)</f>
        <v>0</v>
      </c>
      <c r="H48" s="218"/>
      <c r="I48"/>
      <c r="J48"/>
      <c r="K48"/>
      <c r="L48"/>
      <c r="M48"/>
      <c r="N48" s="242" t="str">
        <f>I42</f>
        <v>LARISSA PADILHA</v>
      </c>
      <c r="O48" s="244">
        <f>COUNTIFS('DRAFT 2'!$B:$B,$I42,'DRAFT 2'!$I:$I,"FUNIL",'DRAFT 2'!$A:$A,"&gt;="&amp;$D$2,'DRAFT 2'!$A:$A,"&lt;="&amp;$F$2)</f>
        <v>46</v>
      </c>
      <c r="P48" s="244">
        <f>COUNTIFS('DRAFT 2'!$B:$B,$I42,'DRAFT 2'!$I:$I,"RELAC.",'DRAFT 2'!$A:$A,"&gt;="&amp;$D$2,'DRAFT 2'!$A:$A,"&lt;="&amp;$F$2)</f>
        <v>36</v>
      </c>
      <c r="Q48" s="244">
        <f>COUNTIFS('DRAFT 2'!$B:$B,$I42,'DRAFT 2'!$I:$I,"NÃO VENDA",'DRAFT 2'!$A:$A,"&gt;="&amp;$D$2,'DRAFT 2'!$A:$A,"&lt;="&amp;$F$2)</f>
        <v>28</v>
      </c>
      <c r="R48" s="107"/>
      <c r="S48" s="107"/>
    </row>
    <row r="49" spans="1:19" x14ac:dyDescent="0.3">
      <c r="A49" s="78" t="s">
        <v>1229</v>
      </c>
      <c r="B49" s="74">
        <f>COUNTIFS('DRAFT 2'!$S:$S,"SEM INTERESSE NO MOMENTO",'DRAFT 2'!$B:$B,IF($C$2="TODOS","*",$C$2),'DRAFT 2'!$A:$A,"&gt;="&amp;$D$2,'DRAFT 2'!$A:$A,"&lt;="&amp;$F$2)</f>
        <v>18</v>
      </c>
      <c r="C49" s="267">
        <f t="shared" si="7"/>
        <v>0.10227272727272728</v>
      </c>
      <c r="D49" s="75">
        <f>COUNTIFS('DRAFT 2'!$S:$S,"SEM INTERESSE NO MOMENTO",'DRAFT 2'!$Q:$Q,"PROSPECÇÃO",'DRAFT 2'!$B:$B,IF($C$2="TODOS","*",$C$2),'DRAFT 2'!$A:$A,"&gt;="&amp;$D$2,'DRAFT 2'!$A:$A,"&lt;="&amp;$F$2)</f>
        <v>1</v>
      </c>
      <c r="E49" s="75">
        <f>COUNTIFS('DRAFT 2'!$S:$S,"SEM INTERESSE NO MOMENTO",'DRAFT 2'!$Q:$Q,"ATEND. CLIENTES ATIVOS",'DRAFT 2'!$B:$B,IF($C$2="TODOS","*",$C$2),'DRAFT 2'!$A:$A,"&gt;="&amp;$D$2,'DRAFT 2'!$A:$A,"&lt;="&amp;$F$2)</f>
        <v>4</v>
      </c>
      <c r="F49" s="75">
        <f>COUNTIFS('DRAFT 2'!$S:$S,"SEM INTERESSE NO MOMENTO",'DRAFT 2'!$Q:$Q,"ATEND. CLIENTES INATIVOS",'DRAFT 2'!$B:$B,IF($C$2="TODOS","*",$C$2),'DRAFT 2'!$A:$A,"&gt;="&amp;$D$2,'DRAFT 2'!$A:$A,"&lt;="&amp;$F$2)</f>
        <v>5</v>
      </c>
      <c r="G49" s="212">
        <f>COUNTIFS('DRAFT 2'!$S:$S,"SEM INTERESSE NO MOMENTO",'DRAFT 2'!$Q:$Q,"PÓS-VENDA / RELACIONAMENTO",'DRAFT 2'!$B:$B,IF($C$2="TODOS","*",$C$2),'DRAFT 2'!$A:$A,"&gt;="&amp;$D$2,'DRAFT 2'!$A:$A,"&lt;="&amp;$F$2)</f>
        <v>3</v>
      </c>
      <c r="H49" s="218"/>
      <c r="I49"/>
      <c r="J49"/>
      <c r="K49"/>
      <c r="L49"/>
      <c r="M49"/>
      <c r="N49" s="242" t="str">
        <f>I43</f>
        <v>JULIO GADRET</v>
      </c>
      <c r="O49" s="244">
        <f>COUNTIFS('DRAFT 2'!$B:$B,$I43,'DRAFT 2'!$I:$I,"FUNIL",'DRAFT 2'!$A:$A,"&gt;="&amp;$D$2,'DRAFT 2'!$A:$A,"&lt;="&amp;$F$2)</f>
        <v>32</v>
      </c>
      <c r="P49" s="244">
        <f>COUNTIFS('DRAFT 2'!$B:$B,$I43,'DRAFT 2'!$I:$I,"RELAC.",'DRAFT 2'!$A:$A,"&gt;="&amp;$D$2,'DRAFT 2'!$A:$A,"&lt;="&amp;$F$2)</f>
        <v>33</v>
      </c>
      <c r="Q49" s="244">
        <f>COUNTIFS('DRAFT 2'!$B:$B,$I43,'DRAFT 2'!$I:$I,"NÃO VENDA",'DRAFT 2'!$A:$A,"&gt;="&amp;$D$2,'DRAFT 2'!$A:$A,"&lt;="&amp;$F$2)</f>
        <v>21</v>
      </c>
      <c r="R49" s="107"/>
      <c r="S49" s="107"/>
    </row>
    <row r="50" spans="1:19" x14ac:dyDescent="0.3">
      <c r="A50" s="198" t="s">
        <v>66</v>
      </c>
      <c r="B50" s="199">
        <f>COUNTIFS('DRAFT 2'!$S:$S,"PRIMEIRO CONTATO / SEM RESPOSTA",'DRAFT 2'!$B:$B,IF($C$2="TODOS","*",$C$2),'DRAFT 2'!$A:$A,"&gt;="&amp;$D$2,'DRAFT 2'!$A:$A,"&lt;="&amp;$F$2)</f>
        <v>9</v>
      </c>
      <c r="C50" s="268">
        <f t="shared" si="7"/>
        <v>5.113636363636364E-2</v>
      </c>
      <c r="D50" s="200">
        <f>COUNTIFS('DRAFT 2'!$S:$S,"PRIMEIRO CONTATO / SEM RESPOSTA",'DRAFT 2'!$Q:$Q,"PROSPECÇÃO",'DRAFT 2'!$B:$B,IF($C$2="TODOS","*",$C$2),'DRAFT 2'!$A:$A,"&gt;="&amp;$D$2,'DRAFT 2'!$A:$A,"&lt;="&amp;$F$2)</f>
        <v>2</v>
      </c>
      <c r="E50" s="200">
        <f>COUNTIFS('DRAFT 2'!$S:$S,"PRIMEIRO CONTATO / SEM RESPOSTA",'DRAFT 2'!$Q:$Q,"ATEND. CLIENTES ATIVOS",'DRAFT 2'!$B:$B,IF($C$2="TODOS","*",$C$2),'DRAFT 2'!$A:$A,"&gt;="&amp;$D$2,'DRAFT 2'!$A:$A,"&lt;="&amp;$F$2)</f>
        <v>5</v>
      </c>
      <c r="F50" s="200">
        <f>COUNTIFS('DRAFT 2'!$S:$S,"PRIMEIRO CONTATO / SEM RESPOSTA",'DRAFT 2'!$Q:$Q,"ATEND. CLIENTES INATIVOS",'DRAFT 2'!$B:$B,IF($C$2="TODOS","*",$C$2),'DRAFT 2'!$A:$A,"&gt;="&amp;$D$2,'DRAFT 2'!$A:$A,"&lt;="&amp;$F$2)</f>
        <v>1</v>
      </c>
      <c r="G50" s="213">
        <f>COUNTIFS('DRAFT 2'!$S:$S,"PRIMEIRO CONTATO / SEM RESPOSTA",'DRAFT 2'!$Q:$Q,"PÓS-VENDA / RELACIONAMENTO",'DRAFT 2'!$B:$B,IF($C$2="TODOS","*",$C$2),'DRAFT 2'!$A:$A,"&gt;="&amp;$D$2,'DRAFT 2'!$A:$A,"&lt;="&amp;$F$2)</f>
        <v>0</v>
      </c>
      <c r="H50" s="218"/>
      <c r="I50"/>
      <c r="J50"/>
      <c r="K50"/>
      <c r="L50"/>
      <c r="M50"/>
      <c r="N50" s="242" t="str">
        <f>I44</f>
        <v>DAIANE STAVICKI</v>
      </c>
      <c r="O50" s="244">
        <f>COUNTIFS('DRAFT 2'!$B:$B,$I44,'DRAFT 2'!$I:$I,"FUNIL",'DRAFT 2'!$A:$A,"&gt;="&amp;$D$2,'DRAFT 2'!$A:$A,"&lt;="&amp;$F$2)</f>
        <v>38</v>
      </c>
      <c r="P50" s="244">
        <f>COUNTIFS('DRAFT 2'!$B:$B,$I44,'DRAFT 2'!$I:$I,"RELAC.",'DRAFT 2'!$A:$A,"&gt;="&amp;$D$2,'DRAFT 2'!$A:$A,"&lt;="&amp;$F$2)</f>
        <v>49</v>
      </c>
      <c r="Q50" s="244">
        <f>COUNTIFS('DRAFT 2'!$B:$B,$I44,'DRAFT 2'!$I:$I,"NÃO VENDA",'DRAFT 2'!$A:$A,"&gt;="&amp;$D$2,'DRAFT 2'!$A:$A,"&lt;="&amp;$F$2)</f>
        <v>24</v>
      </c>
      <c r="R50" s="107"/>
      <c r="S50" s="107"/>
    </row>
    <row r="51" spans="1:19" x14ac:dyDescent="0.3">
      <c r="A51" s="121" t="s">
        <v>1215</v>
      </c>
      <c r="B51" s="122">
        <f>SUM(B41:B50)</f>
        <v>176</v>
      </c>
      <c r="C51" s="269">
        <f>SUM(C41:C50)</f>
        <v>1</v>
      </c>
      <c r="D51" s="122">
        <f>SUM(D41:D50)</f>
        <v>20</v>
      </c>
      <c r="E51" s="122">
        <f>SUM(E41:E50)</f>
        <v>36</v>
      </c>
      <c r="F51" s="122">
        <f>SUM(F41:F50)</f>
        <v>37</v>
      </c>
      <c r="G51" s="219">
        <f>SUM(G41:G50)</f>
        <v>32</v>
      </c>
      <c r="H51" s="277"/>
      <c r="I51"/>
      <c r="J51"/>
      <c r="K51"/>
      <c r="L51"/>
      <c r="M51"/>
      <c r="N51" s="243" t="s">
        <v>1215</v>
      </c>
      <c r="O51" s="245">
        <f>SUM(O47:O50)</f>
        <v>165</v>
      </c>
      <c r="P51" s="245">
        <f>SUM(P47:P50)</f>
        <v>168</v>
      </c>
      <c r="Q51" s="245">
        <f>SUM(Q47:Q50)</f>
        <v>107</v>
      </c>
      <c r="R51" s="107"/>
      <c r="S51" s="107"/>
    </row>
    <row r="52" spans="1:19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 s="107"/>
      <c r="S52" s="107"/>
    </row>
    <row r="53" spans="1:19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 s="107"/>
      <c r="S53" s="107"/>
    </row>
    <row r="54" spans="1:19" ht="7.95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 s="107"/>
      <c r="S54" s="107"/>
    </row>
    <row r="55" spans="1:19" x14ac:dyDescent="0.3">
      <c r="A55" s="112" t="s">
        <v>1230</v>
      </c>
      <c r="B55" s="109"/>
      <c r="C55" s="109"/>
      <c r="D55" s="109"/>
      <c r="E55" s="133"/>
      <c r="F55" s="112" t="s">
        <v>1231</v>
      </c>
      <c r="G55" s="109"/>
      <c r="H55" s="109"/>
      <c r="I55" s="133"/>
      <c r="J55" s="133"/>
      <c r="K55" s="125" t="s">
        <v>1373</v>
      </c>
      <c r="L55" s="133"/>
      <c r="M55" s="133"/>
      <c r="N55" s="133"/>
      <c r="O55" s="133"/>
      <c r="P55" s="133"/>
      <c r="Q55" s="133"/>
      <c r="R55" s="107"/>
      <c r="S55" s="107"/>
    </row>
    <row r="56" spans="1:19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s="107"/>
      <c r="S56" s="107"/>
    </row>
    <row r="57" spans="1:19" x14ac:dyDescent="0.3">
      <c r="A57" s="110" t="s">
        <v>68</v>
      </c>
      <c r="B57" s="110" t="s">
        <v>1221</v>
      </c>
      <c r="C57" s="110" t="s">
        <v>1222</v>
      </c>
      <c r="D57" s="110"/>
      <c r="E57" s="275"/>
      <c r="F57" s="110" t="s">
        <v>89</v>
      </c>
      <c r="G57" s="110" t="s">
        <v>1221</v>
      </c>
      <c r="H57" s="110" t="s">
        <v>1222</v>
      </c>
      <c r="I57" s="275"/>
      <c r="J57" s="275"/>
      <c r="K57" s="291" t="s">
        <v>1278</v>
      </c>
      <c r="L57" s="195" t="s">
        <v>1279</v>
      </c>
      <c r="M57"/>
      <c r="N57"/>
      <c r="O57"/>
      <c r="P57"/>
      <c r="Q57"/>
      <c r="R57" s="107"/>
      <c r="S57" s="107"/>
    </row>
    <row r="58" spans="1:19" x14ac:dyDescent="0.3">
      <c r="A58" s="73" t="s">
        <v>71</v>
      </c>
      <c r="B58" s="220">
        <f>COUNTIF(CARTEIRA!$N$4:$N$200,A58)</f>
        <v>43</v>
      </c>
      <c r="C58" s="267">
        <f>IF(SUM($B$58:$B$64)&gt;0,B58/SUM($B$58:$B$64),0)</f>
        <v>0.52439024390243905</v>
      </c>
      <c r="D58" s="232"/>
      <c r="E58"/>
      <c r="F58" s="192" t="s">
        <v>91</v>
      </c>
      <c r="G58" s="74">
        <f>COUNTIF(CARTEIRA!$AR$4:$AR$200,F58)</f>
        <v>19</v>
      </c>
      <c r="H58" s="267">
        <f>IF(SUM($G$58:$G$65)&gt;0,G58/SUM($G$58:$G$65),0)</f>
        <v>0.16101694915254236</v>
      </c>
      <c r="I58"/>
      <c r="J58"/>
      <c r="K58" s="285" t="s">
        <v>1368</v>
      </c>
      <c r="L58" s="286">
        <f>IFERROR(B58/B66,0)</f>
        <v>0.52439024390243905</v>
      </c>
      <c r="M58"/>
      <c r="N58"/>
      <c r="O58"/>
      <c r="P58"/>
      <c r="Q58"/>
      <c r="R58" s="107"/>
      <c r="S58" s="107"/>
    </row>
    <row r="59" spans="1:19" x14ac:dyDescent="0.3">
      <c r="A59" s="227" t="s">
        <v>74</v>
      </c>
      <c r="B59" s="221">
        <f>COUNTIF(CARTEIRA!$N$4:$N$200,A59)</f>
        <v>13</v>
      </c>
      <c r="C59" s="267">
        <f>IF(SUM($B$58:$B$64)&gt;0,B59/SUM($B$58:$B$64),0)</f>
        <v>0.15853658536585366</v>
      </c>
      <c r="D59" s="233"/>
      <c r="E59"/>
      <c r="F59" s="192" t="s">
        <v>92</v>
      </c>
      <c r="G59" s="74">
        <f>COUNTIF(CARTEIRA!$AR$4:$AR$200,F59)</f>
        <v>16</v>
      </c>
      <c r="H59" s="267">
        <f>IF(SUM($G$58:$G$65)&gt;0,G59/SUM($G$58:$G$65),0)</f>
        <v>0.13559322033898305</v>
      </c>
      <c r="I59"/>
      <c r="J59"/>
      <c r="K59" s="287" t="s">
        <v>1344</v>
      </c>
      <c r="L59" s="288">
        <f>IFERROR((B58+B59)/B66,0)</f>
        <v>0.68292682926829273</v>
      </c>
      <c r="M59"/>
      <c r="N59"/>
      <c r="O59"/>
      <c r="P59"/>
      <c r="Q59"/>
      <c r="R59" s="107"/>
      <c r="S59" s="107"/>
    </row>
    <row r="60" spans="1:19" x14ac:dyDescent="0.3">
      <c r="A60" s="228" t="s">
        <v>1334</v>
      </c>
      <c r="B60" s="222">
        <f>COUNTIF(CARTEIRA!$N$4:$N$200,A60)</f>
        <v>0</v>
      </c>
      <c r="C60" s="267">
        <f>IF(SUM($B$58:$B$64)&gt;0,B60/SUM($B$58:$B$64),0)</f>
        <v>0</v>
      </c>
      <c r="D60" s="234"/>
      <c r="E60"/>
      <c r="F60" s="192" t="s">
        <v>93</v>
      </c>
      <c r="G60" s="74">
        <f>COUNTIF(CARTEIRA!$AR$4:$AR$200,F60)</f>
        <v>32</v>
      </c>
      <c r="H60" s="267">
        <f>IF(SUM($G$58:$G$65)&gt;0,G60/SUM($G$58:$G$65),0)</f>
        <v>0.2711864406779661</v>
      </c>
      <c r="I60"/>
      <c r="J60"/>
      <c r="K60" s="289" t="s">
        <v>1291</v>
      </c>
      <c r="L60" s="290">
        <f>IFERROR((B60+B61)/B66,0)</f>
        <v>0</v>
      </c>
      <c r="M60"/>
      <c r="N60"/>
      <c r="O60"/>
      <c r="P60"/>
      <c r="Q60"/>
      <c r="R60" s="107"/>
      <c r="S60" s="107"/>
    </row>
    <row r="61" spans="1:19" x14ac:dyDescent="0.3">
      <c r="A61" s="76" t="s">
        <v>1335</v>
      </c>
      <c r="B61" s="223">
        <f>COUNTIF(CARTEIRA!$N$4:$N$200,A61)</f>
        <v>0</v>
      </c>
      <c r="C61" s="267">
        <f>IF(SUM($B$58:$B$64)&gt;0,B61/SUM($B$58:$B$64),0)</f>
        <v>0</v>
      </c>
      <c r="D61" s="235"/>
      <c r="E61"/>
      <c r="F61" s="192" t="s">
        <v>94</v>
      </c>
      <c r="G61" s="74">
        <f>COUNTIF(CARTEIRA!$AR$4:$AR$200,F61)</f>
        <v>13</v>
      </c>
      <c r="H61" s="267">
        <f>IF(SUM($G$58:$G$65)&gt;0,G61/SUM($G$58:$G$65),0)</f>
        <v>0.11016949152542373</v>
      </c>
      <c r="I61"/>
      <c r="J61"/>
      <c r="K61"/>
      <c r="L61"/>
      <c r="M61"/>
      <c r="N61"/>
      <c r="O61"/>
      <c r="P61"/>
      <c r="Q61"/>
      <c r="R61" s="107"/>
      <c r="S61" s="107"/>
    </row>
    <row r="62" spans="1:19" x14ac:dyDescent="0.3">
      <c r="A62" s="229" t="s">
        <v>82</v>
      </c>
      <c r="B62" s="224">
        <f>COUNTIF(CARTEIRA!$N$4:$N$200,A62)</f>
        <v>10</v>
      </c>
      <c r="C62" s="267">
        <f>IF(SUM($B$58:$B$64)&gt;0,B62/SUM($B$58:$B$64),0)</f>
        <v>0.12195121951219512</v>
      </c>
      <c r="D62" s="236"/>
      <c r="E62"/>
      <c r="F62" s="192" t="s">
        <v>95</v>
      </c>
      <c r="G62" s="74">
        <f>COUNTIF(CARTEIRA!$AR$4:$AR$200,F62)</f>
        <v>9</v>
      </c>
      <c r="H62" s="267">
        <f>IF(SUM($G$58:$G$65)&gt;0,G62/SUM($G$58:$G$65),0)</f>
        <v>7.6271186440677971E-2</v>
      </c>
      <c r="I62"/>
      <c r="J62"/>
      <c r="K62"/>
      <c r="L62"/>
      <c r="M62"/>
      <c r="N62"/>
      <c r="O62"/>
      <c r="P62"/>
      <c r="Q62"/>
      <c r="R62" s="107"/>
      <c r="S62" s="107"/>
    </row>
    <row r="63" spans="1:19" x14ac:dyDescent="0.3">
      <c r="A63" s="230" t="s">
        <v>85</v>
      </c>
      <c r="B63" s="225">
        <f>COUNTIF(CARTEIRA!$N$4:$N$200,A63)</f>
        <v>14</v>
      </c>
      <c r="C63" s="267">
        <f>IF(SUM($B$58:$B$64)&gt;0,B63/SUM($B$58:$B$64),0)</f>
        <v>0.17073170731707318</v>
      </c>
      <c r="D63" s="237"/>
      <c r="E63"/>
      <c r="F63" s="192" t="s">
        <v>33</v>
      </c>
      <c r="G63" s="74">
        <f>COUNTIF(CARTEIRA!$AR$4:$AR$200,F63)</f>
        <v>14</v>
      </c>
      <c r="H63" s="267">
        <f>IF(SUM($G$58:$G$65)&gt;0,G63/SUM($G$58:$G$65),0)</f>
        <v>0.11864406779661017</v>
      </c>
      <c r="I63"/>
      <c r="J63"/>
      <c r="K63"/>
      <c r="L63"/>
      <c r="M63"/>
      <c r="N63"/>
      <c r="O63"/>
      <c r="P63"/>
      <c r="Q63"/>
      <c r="R63" s="107"/>
      <c r="S63" s="107"/>
    </row>
    <row r="64" spans="1:19" x14ac:dyDescent="0.3">
      <c r="A64" s="231" t="s">
        <v>88</v>
      </c>
      <c r="B64" s="226">
        <f>COUNTIF(CARTEIRA!$N$4:$N$200,A64)</f>
        <v>2</v>
      </c>
      <c r="C64" s="268">
        <f>IF(SUM($B$58:$B$64)&gt;0,B64/SUM($B$58:$B$64),0)</f>
        <v>2.4390243902439025E-2</v>
      </c>
      <c r="D64" s="238"/>
      <c r="E64"/>
      <c r="F64" s="201" t="s">
        <v>65</v>
      </c>
      <c r="G64" s="199">
        <f>COUNTIF(CARTEIRA!$AR$4:$AR$200,F64)</f>
        <v>8</v>
      </c>
      <c r="H64" s="268">
        <f>IF(SUM($G$58:$G$65)&gt;0,G64/SUM($G$58:$G$65),0)</f>
        <v>6.7796610169491525E-2</v>
      </c>
      <c r="I64"/>
      <c r="J64"/>
      <c r="K64"/>
      <c r="L64"/>
      <c r="M64"/>
      <c r="N64"/>
      <c r="O64"/>
      <c r="P64"/>
      <c r="Q64"/>
      <c r="R64" s="107"/>
      <c r="S64" s="107"/>
    </row>
    <row r="65" spans="1:19" x14ac:dyDescent="0.3">
      <c r="A65" s="250"/>
      <c r="B65" s="250"/>
      <c r="C65" s="250"/>
      <c r="D65" s="250"/>
      <c r="E65"/>
      <c r="F65" s="240" t="s">
        <v>5</v>
      </c>
      <c r="G65" s="239">
        <f>COUNTIF(CARTEIRA!$AR$4:$AR$200,F65)</f>
        <v>7</v>
      </c>
      <c r="H65" s="270">
        <f>IF(SUM($G$58:$G$65)&gt;0,G65/SUM($G$58:$G$65),0)</f>
        <v>5.9322033898305086E-2</v>
      </c>
      <c r="I65"/>
      <c r="J65"/>
      <c r="K65"/>
      <c r="L65"/>
      <c r="M65"/>
      <c r="N65"/>
      <c r="O65"/>
      <c r="P65"/>
      <c r="Q65"/>
      <c r="R65" s="107"/>
      <c r="S65" s="107"/>
    </row>
    <row r="66" spans="1:19" x14ac:dyDescent="0.3">
      <c r="A66" s="249" t="s">
        <v>1215</v>
      </c>
      <c r="B66" s="251">
        <f>SUM(B58:B64)</f>
        <v>82</v>
      </c>
      <c r="C66" s="252">
        <f>SUM(C58:C64)</f>
        <v>1</v>
      </c>
      <c r="D66" s="253"/>
      <c r="E66" s="276"/>
      <c r="F66" s="246" t="s">
        <v>1215</v>
      </c>
      <c r="G66" s="247">
        <f>SUM(G58:G65)</f>
        <v>118</v>
      </c>
      <c r="H66" s="271">
        <f>SUM(H58:H65)</f>
        <v>1.0000000000000002</v>
      </c>
      <c r="I66" s="276"/>
      <c r="J66" s="276"/>
      <c r="K66" s="276"/>
      <c r="L66" s="276"/>
      <c r="M66" s="276"/>
      <c r="N66" s="276"/>
      <c r="O66" s="276"/>
      <c r="P66" s="276"/>
      <c r="Q66" s="276"/>
      <c r="R66" s="107"/>
      <c r="S66" s="107"/>
    </row>
    <row r="67" spans="1:19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 s="107"/>
      <c r="S67" s="107"/>
    </row>
    <row r="68" spans="1:19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 s="107"/>
      <c r="S68" s="107"/>
    </row>
    <row r="69" spans="1:19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 s="107"/>
      <c r="S69" s="107"/>
    </row>
    <row r="70" spans="1:19" ht="7.95" customHeight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 s="107"/>
      <c r="S70" s="107"/>
    </row>
    <row r="71" spans="1:19" customFormat="1" x14ac:dyDescent="0.3">
      <c r="A71" s="125" t="s">
        <v>1232</v>
      </c>
      <c r="B71" s="133"/>
      <c r="C71" s="133"/>
      <c r="D71" s="133"/>
      <c r="E71" s="133"/>
      <c r="F71" s="133"/>
      <c r="G71" s="133"/>
      <c r="H71" s="133"/>
      <c r="I71" s="125" t="s">
        <v>1280</v>
      </c>
      <c r="J71" s="133"/>
      <c r="K71" s="133"/>
      <c r="L71" s="133"/>
      <c r="M71" s="133"/>
      <c r="N71" s="134"/>
      <c r="O71" s="134"/>
      <c r="P71" s="134"/>
      <c r="Q71" s="134"/>
    </row>
    <row r="72" spans="1:19" customFormat="1" x14ac:dyDescent="0.3"/>
    <row r="73" spans="1:19" x14ac:dyDescent="0.3">
      <c r="A73" s="110" t="s">
        <v>183</v>
      </c>
      <c r="B73" s="110" t="s">
        <v>1215</v>
      </c>
      <c r="C73" s="110" t="s">
        <v>1223</v>
      </c>
      <c r="D73" s="110" t="s">
        <v>74</v>
      </c>
      <c r="E73" s="110" t="s">
        <v>1334</v>
      </c>
      <c r="F73" s="110" t="s">
        <v>1335</v>
      </c>
      <c r="G73" s="110" t="s">
        <v>85</v>
      </c>
      <c r="H73" s="110" t="s">
        <v>88</v>
      </c>
      <c r="I73"/>
      <c r="J73" s="135" t="s">
        <v>1293</v>
      </c>
      <c r="K73" s="135" t="s">
        <v>1294</v>
      </c>
      <c r="L73" s="135" t="s">
        <v>1295</v>
      </c>
      <c r="M73" s="257" t="s">
        <v>1340</v>
      </c>
      <c r="N73" s="257" t="s">
        <v>1341</v>
      </c>
      <c r="O73" s="257" t="s">
        <v>1342</v>
      </c>
      <c r="P73" s="257" t="s">
        <v>1344</v>
      </c>
      <c r="Q73" s="263" t="s">
        <v>1343</v>
      </c>
      <c r="R73" s="107"/>
      <c r="S73" s="107"/>
    </row>
    <row r="74" spans="1:19" x14ac:dyDescent="0.3">
      <c r="A74" s="72" t="s">
        <v>283</v>
      </c>
      <c r="B74" s="74">
        <f t="shared" ref="B74:B81" si="8">SUM(C74:H74)</f>
        <v>20</v>
      </c>
      <c r="C74" s="80">
        <f>COUNTIFS(CARTEIRA!$I$4:$I$200,A74,CARTEIRA!$N$4:$N$200,"ATIVO")</f>
        <v>4</v>
      </c>
      <c r="D74" s="81">
        <f>COUNTIFS(CARTEIRA!$I$4:$I$200,A74,CARTEIRA!$N$4:$N$200,"EM RISCO")</f>
        <v>4</v>
      </c>
      <c r="E74" s="82">
        <f>COUNTIFS(CARTEIRA!$I$4:$I$200,A74,CARTEIRA!$N$4:$N$200,"INAT.REC")</f>
        <v>2</v>
      </c>
      <c r="F74" s="79">
        <f>COUNTIFS(CARTEIRA!$I$4:$I$200,A74,CARTEIRA!$N$4:$N$200,"INAT.ANT")</f>
        <v>8</v>
      </c>
      <c r="G74" s="83">
        <f>COUNTIFS(CARTEIRA!$I$4:$I$200,A74,CARTEIRA!$N$4:$N$200,"PROSPECT")</f>
        <v>1</v>
      </c>
      <c r="H74" s="83">
        <f>COUNTIFS(CARTEIRA!$I$4:$I$200,A74,CARTEIRA!$N$4:$N$200,"LEAD")</f>
        <v>1</v>
      </c>
      <c r="I74"/>
      <c r="J74" s="137">
        <f>IFERROR(B74/$B$82,0)</f>
        <v>0.18181818181818182</v>
      </c>
      <c r="K74" s="138">
        <f>IFERROR(C74/B74,0)</f>
        <v>0.2</v>
      </c>
      <c r="L74" s="139">
        <f>IFERROR(D74/B74,0)</f>
        <v>0.2</v>
      </c>
      <c r="M74" s="258">
        <f>IFERROR((E74+F74)/B74,0)</f>
        <v>0.5</v>
      </c>
      <c r="N74" s="260">
        <f>IFERROR(G74/B74,0)</f>
        <v>0.05</v>
      </c>
      <c r="O74" s="260">
        <f>IFERROR(H74/B74,0)</f>
        <v>0.05</v>
      </c>
      <c r="P74" s="262">
        <f>IFERROR((C74+D74)/B74,0)</f>
        <v>0.4</v>
      </c>
      <c r="Q74" s="264">
        <f>IFERROR(K74-L74-M74,0)</f>
        <v>-0.5</v>
      </c>
      <c r="R74" s="107"/>
      <c r="S74" s="107"/>
    </row>
    <row r="75" spans="1:19" x14ac:dyDescent="0.3">
      <c r="A75" s="72" t="s">
        <v>289</v>
      </c>
      <c r="B75" s="74">
        <f t="shared" si="8"/>
        <v>10</v>
      </c>
      <c r="C75" s="80">
        <f>COUNTIFS(CARTEIRA!$I$4:$I$200,A75,CARTEIRA!$N$4:$N$200,"ATIVO")</f>
        <v>4</v>
      </c>
      <c r="D75" s="81">
        <f>COUNTIFS(CARTEIRA!$I$4:$I$200,A75,CARTEIRA!$N$4:$N$200,"EM RISCO")</f>
        <v>0</v>
      </c>
      <c r="E75" s="82">
        <f>COUNTIFS(CARTEIRA!$I$4:$I$200,A75,CARTEIRA!$N$4:$N$200,"INAT.REC")</f>
        <v>2</v>
      </c>
      <c r="F75" s="79">
        <f>COUNTIFS(CARTEIRA!$I$4:$I$200,A75,CARTEIRA!$N$4:$N$200,"INAT.ANT")</f>
        <v>4</v>
      </c>
      <c r="G75" s="83">
        <f>COUNTIFS(CARTEIRA!$I$4:$I$200,A75,CARTEIRA!$N$4:$N$200,"PROSPECT")</f>
        <v>0</v>
      </c>
      <c r="H75" s="83">
        <f>COUNTIFS(CARTEIRA!$I$4:$I$200,A75,CARTEIRA!$N$4:$N$200,"LEAD")</f>
        <v>0</v>
      </c>
      <c r="I75"/>
      <c r="J75" s="137">
        <f>IFERROR(B75/$B$82,0)</f>
        <v>9.0909090909090912E-2</v>
      </c>
      <c r="K75" s="138">
        <f>IFERROR(C75/B75,0)</f>
        <v>0.4</v>
      </c>
      <c r="L75" s="139">
        <f>IFERROR(D75/B75,0)</f>
        <v>0</v>
      </c>
      <c r="M75" s="258">
        <f t="shared" ref="M75:M81" si="9">IFERROR((E75+F75)/B75,0)</f>
        <v>0.6</v>
      </c>
      <c r="N75" s="260">
        <f t="shared" ref="N75:N81" si="10">IFERROR(G75/B75,0)</f>
        <v>0</v>
      </c>
      <c r="O75" s="260">
        <f t="shared" ref="O75:O81" si="11">IFERROR(H75/B75,0)</f>
        <v>0</v>
      </c>
      <c r="P75" s="262">
        <f t="shared" ref="P75:P81" si="12">IFERROR((C75+D75)/B75,0)</f>
        <v>0.4</v>
      </c>
      <c r="Q75" s="264">
        <f t="shared" ref="Q75:Q81" si="13">IFERROR(K75-L75-M75,0)</f>
        <v>-0.19999999999999996</v>
      </c>
      <c r="R75" s="107"/>
      <c r="S75" s="107"/>
    </row>
    <row r="76" spans="1:19" x14ac:dyDescent="0.3">
      <c r="A76" s="72" t="s">
        <v>295</v>
      </c>
      <c r="B76" s="74">
        <f t="shared" si="8"/>
        <v>11</v>
      </c>
      <c r="C76" s="80">
        <f>COUNTIFS(CARTEIRA!$I$4:$I$200,A76,CARTEIRA!$N$4:$N$200,"ATIVO")</f>
        <v>6</v>
      </c>
      <c r="D76" s="81">
        <f>COUNTIFS(CARTEIRA!$I$4:$I$200,A76,CARTEIRA!$N$4:$N$200,"EM RISCO")</f>
        <v>2</v>
      </c>
      <c r="E76" s="82">
        <f>COUNTIFS(CARTEIRA!$I$4:$I$200,A76,CARTEIRA!$N$4:$N$200,"INAT.REC")</f>
        <v>1</v>
      </c>
      <c r="F76" s="79">
        <f>COUNTIFS(CARTEIRA!$I$4:$I$200,A76,CARTEIRA!$N$4:$N$200,"INAT.ANT")</f>
        <v>1</v>
      </c>
      <c r="G76" s="83">
        <f>COUNTIFS(CARTEIRA!$I$4:$I$200,A76,CARTEIRA!$N$4:$N$200,"PROSPECT")</f>
        <v>1</v>
      </c>
      <c r="H76" s="83">
        <f>COUNTIFS(CARTEIRA!$I$4:$I$200,A76,CARTEIRA!$N$4:$N$200,"LEAD")</f>
        <v>0</v>
      </c>
      <c r="I76"/>
      <c r="J76" s="137">
        <f>IFERROR(B76/$B$82,0)</f>
        <v>0.1</v>
      </c>
      <c r="K76" s="138">
        <f>IFERROR(C76/B76,0)</f>
        <v>0.54545454545454541</v>
      </c>
      <c r="L76" s="139">
        <f>IFERROR(D76/B76,0)</f>
        <v>0.18181818181818182</v>
      </c>
      <c r="M76" s="258">
        <f t="shared" si="9"/>
        <v>0.18181818181818182</v>
      </c>
      <c r="N76" s="260">
        <f t="shared" si="10"/>
        <v>9.0909090909090912E-2</v>
      </c>
      <c r="O76" s="260">
        <f t="shared" si="11"/>
        <v>0</v>
      </c>
      <c r="P76" s="262">
        <f t="shared" si="12"/>
        <v>0.72727272727272729</v>
      </c>
      <c r="Q76" s="264">
        <f t="shared" si="13"/>
        <v>0.18181818181818177</v>
      </c>
      <c r="R76" s="107"/>
      <c r="S76" s="107"/>
    </row>
    <row r="77" spans="1:19" x14ac:dyDescent="0.3">
      <c r="A77" s="72" t="s">
        <v>286</v>
      </c>
      <c r="B77" s="74">
        <f t="shared" si="8"/>
        <v>9</v>
      </c>
      <c r="C77" s="80">
        <f>COUNTIFS(CARTEIRA!$I$4:$I$200,A77,CARTEIRA!$N$4:$N$200,"ATIVO")</f>
        <v>4</v>
      </c>
      <c r="D77" s="81">
        <f>COUNTIFS(CARTEIRA!$I$4:$I$200,A77,CARTEIRA!$N$4:$N$200,"EM RISCO")</f>
        <v>1</v>
      </c>
      <c r="E77" s="82">
        <f>COUNTIFS(CARTEIRA!$I$4:$I$200,A77,CARTEIRA!$N$4:$N$200,"INAT.REC")</f>
        <v>0</v>
      </c>
      <c r="F77" s="79">
        <f>COUNTIFS(CARTEIRA!$I$4:$I$200,A77,CARTEIRA!$N$4:$N$200,"INAT.ANT")</f>
        <v>2</v>
      </c>
      <c r="G77" s="83">
        <f>COUNTIFS(CARTEIRA!$I$4:$I$200,A77,CARTEIRA!$N$4:$N$200,"PROSPECT")</f>
        <v>2</v>
      </c>
      <c r="H77" s="83">
        <f>COUNTIFS(CARTEIRA!$I$4:$I$200,A77,CARTEIRA!$N$4:$N$200,"LEAD")</f>
        <v>0</v>
      </c>
      <c r="I77"/>
      <c r="J77" s="137">
        <f>IFERROR(B77/$B$82,0)</f>
        <v>8.1818181818181818E-2</v>
      </c>
      <c r="K77" s="138">
        <f>IFERROR(C77/B77,0)</f>
        <v>0.44444444444444442</v>
      </c>
      <c r="L77" s="139">
        <f>IFERROR(D77/B77,0)</f>
        <v>0.1111111111111111</v>
      </c>
      <c r="M77" s="258">
        <f t="shared" si="9"/>
        <v>0.22222222222222221</v>
      </c>
      <c r="N77" s="260">
        <f t="shared" si="10"/>
        <v>0.22222222222222221</v>
      </c>
      <c r="O77" s="260">
        <f t="shared" si="11"/>
        <v>0</v>
      </c>
      <c r="P77" s="262">
        <f t="shared" si="12"/>
        <v>0.55555555555555558</v>
      </c>
      <c r="Q77" s="264">
        <f t="shared" si="13"/>
        <v>0.1111111111111111</v>
      </c>
      <c r="R77" s="107"/>
      <c r="S77" s="107"/>
    </row>
    <row r="78" spans="1:19" customFormat="1" x14ac:dyDescent="0.3">
      <c r="A78" s="126" t="s">
        <v>298</v>
      </c>
      <c r="B78" s="127">
        <f>SUM(C78:H78)</f>
        <v>8</v>
      </c>
      <c r="C78" s="128">
        <f>COUNTIFS(CARTEIRA!$I$4:$I$200,A78,CARTEIRA!$N$4:$N$200,"ATIVO")</f>
        <v>4</v>
      </c>
      <c r="D78" s="129">
        <f>COUNTIFS(CARTEIRA!$I$4:$I$200,A78,CARTEIRA!$N$4:$N$200,"EM RISCO")</f>
        <v>2</v>
      </c>
      <c r="E78" s="130">
        <f>COUNTIFS(CARTEIRA!$I$4:$I$200,A78,CARTEIRA!$N$4:$N$200,"INAT.REC")</f>
        <v>1</v>
      </c>
      <c r="F78" s="131">
        <f>COUNTIFS(CARTEIRA!$I$4:$I$200,A78,CARTEIRA!$N$4:$N$200,"INAT.ANT")</f>
        <v>1</v>
      </c>
      <c r="G78" s="132">
        <f>COUNTIFS(CARTEIRA!$I$4:$I$200,A78,CARTEIRA!$N$4:$N$200,"PROSPECT")</f>
        <v>0</v>
      </c>
      <c r="H78" s="132">
        <f>COUNTIFS(CARTEIRA!$I$4:$I$200,A78,CARTEIRA!$N$4:$N$200,"LEAD")</f>
        <v>0</v>
      </c>
      <c r="J78" s="140">
        <f>IFERROR(B78/$B$82,0)</f>
        <v>7.2727272727272724E-2</v>
      </c>
      <c r="K78" s="141">
        <f>IFERROR(C78/B78,0)</f>
        <v>0.5</v>
      </c>
      <c r="L78" s="142">
        <f>IFERROR(D78/B78,0)</f>
        <v>0.25</v>
      </c>
      <c r="M78" s="258">
        <f t="shared" si="9"/>
        <v>0.25</v>
      </c>
      <c r="N78" s="260">
        <f t="shared" si="10"/>
        <v>0</v>
      </c>
      <c r="O78" s="260">
        <f t="shared" si="11"/>
        <v>0</v>
      </c>
      <c r="P78" s="262">
        <f t="shared" si="12"/>
        <v>0.75</v>
      </c>
      <c r="Q78" s="264">
        <f t="shared" si="13"/>
        <v>0</v>
      </c>
    </row>
    <row r="79" spans="1:19" x14ac:dyDescent="0.3">
      <c r="A79" s="72" t="s">
        <v>296</v>
      </c>
      <c r="B79" s="74">
        <f t="shared" si="8"/>
        <v>14</v>
      </c>
      <c r="C79" s="80">
        <f>COUNTIFS(CARTEIRA!$I$4:$I$200,A79,CARTEIRA!$N$4:$N$200,"ATIVO")</f>
        <v>8</v>
      </c>
      <c r="D79" s="81">
        <f>COUNTIFS(CARTEIRA!$I$4:$I$200,A79,CARTEIRA!$N$4:$N$200,"EM RISCO")</f>
        <v>1</v>
      </c>
      <c r="E79" s="82">
        <f>COUNTIFS(CARTEIRA!$I$4:$I$200,A79,CARTEIRA!$N$4:$N$200,"INAT.REC")</f>
        <v>3</v>
      </c>
      <c r="F79" s="79">
        <f>COUNTIFS(CARTEIRA!$I$4:$I$200,A79,CARTEIRA!$N$4:$N$200,"INAT.ANT")</f>
        <v>1</v>
      </c>
      <c r="G79" s="83">
        <f>COUNTIFS(CARTEIRA!$I$4:$I$200,A79,CARTEIRA!$N$4:$N$200,"PROSPECT")</f>
        <v>1</v>
      </c>
      <c r="H79" s="83">
        <f>COUNTIFS(CARTEIRA!$I$4:$I$200,A79,CARTEIRA!$N$4:$N$200,"LEAD")</f>
        <v>0</v>
      </c>
      <c r="I79"/>
      <c r="J79" s="137">
        <f>IFERROR(B79/$B$82,0)</f>
        <v>0.12727272727272726</v>
      </c>
      <c r="K79" s="138">
        <f>IFERROR(C79/B79,0)</f>
        <v>0.5714285714285714</v>
      </c>
      <c r="L79" s="139">
        <f>IFERROR(D79/B79,0)</f>
        <v>7.1428571428571425E-2</v>
      </c>
      <c r="M79" s="258">
        <f t="shared" si="9"/>
        <v>0.2857142857142857</v>
      </c>
      <c r="N79" s="260">
        <f t="shared" si="10"/>
        <v>7.1428571428571425E-2</v>
      </c>
      <c r="O79" s="260">
        <f t="shared" si="11"/>
        <v>0</v>
      </c>
      <c r="P79" s="262">
        <f t="shared" si="12"/>
        <v>0.6428571428571429</v>
      </c>
      <c r="Q79" s="264">
        <f t="shared" si="13"/>
        <v>0.2142857142857143</v>
      </c>
      <c r="R79" s="107"/>
      <c r="S79" s="107"/>
    </row>
    <row r="80" spans="1:19" x14ac:dyDescent="0.3">
      <c r="A80" s="72" t="s">
        <v>297</v>
      </c>
      <c r="B80" s="74">
        <f t="shared" si="8"/>
        <v>11</v>
      </c>
      <c r="C80" s="80">
        <f>COUNTIFS(CARTEIRA!$I$4:$I$200,A80,CARTEIRA!$N$4:$N$200,"ATIVO")</f>
        <v>3</v>
      </c>
      <c r="D80" s="81">
        <f>COUNTIFS(CARTEIRA!$I$4:$I$200,A80,CARTEIRA!$N$4:$N$200,"EM RISCO")</f>
        <v>1</v>
      </c>
      <c r="E80" s="82">
        <f>COUNTIFS(CARTEIRA!$I$4:$I$200,A80,CARTEIRA!$N$4:$N$200,"INAT.REC")</f>
        <v>1</v>
      </c>
      <c r="F80" s="79">
        <f>COUNTIFS(CARTEIRA!$I$4:$I$200,A80,CARTEIRA!$N$4:$N$200,"INAT.ANT")</f>
        <v>3</v>
      </c>
      <c r="G80" s="83">
        <f>COUNTIFS(CARTEIRA!$I$4:$I$200,A80,CARTEIRA!$N$4:$N$200,"PROSPECT")</f>
        <v>3</v>
      </c>
      <c r="H80" s="83">
        <f>COUNTIFS(CARTEIRA!$I$4:$I$200,A80,CARTEIRA!$N$4:$N$200,"LEAD")</f>
        <v>0</v>
      </c>
      <c r="I80"/>
      <c r="J80" s="137">
        <f>IFERROR(B80/$B$82,0)</f>
        <v>0.1</v>
      </c>
      <c r="K80" s="138">
        <f>IFERROR(C80/B80,0)</f>
        <v>0.27272727272727271</v>
      </c>
      <c r="L80" s="139">
        <f>IFERROR(D80/B80,0)</f>
        <v>9.0909090909090912E-2</v>
      </c>
      <c r="M80" s="258">
        <f t="shared" si="9"/>
        <v>0.36363636363636365</v>
      </c>
      <c r="N80" s="260">
        <f t="shared" si="10"/>
        <v>0.27272727272727271</v>
      </c>
      <c r="O80" s="260">
        <f t="shared" si="11"/>
        <v>0</v>
      </c>
      <c r="P80" s="262">
        <f t="shared" si="12"/>
        <v>0.36363636363636365</v>
      </c>
      <c r="Q80" s="264">
        <f t="shared" si="13"/>
        <v>-0.18181818181818185</v>
      </c>
      <c r="R80" s="107"/>
      <c r="S80" s="107"/>
    </row>
    <row r="81" spans="1:19" x14ac:dyDescent="0.3">
      <c r="A81" s="72" t="s">
        <v>292</v>
      </c>
      <c r="B81" s="74">
        <f t="shared" si="8"/>
        <v>27</v>
      </c>
      <c r="C81" s="80">
        <f>COUNTIFS(CARTEIRA!$I$4:$I$200,A81,CARTEIRA!$N$4:$N$200,"ATIVO")</f>
        <v>10</v>
      </c>
      <c r="D81" s="81">
        <f>COUNTIFS(CARTEIRA!$I$4:$I$200,A81,CARTEIRA!$N$4:$N$200,"EM RISCO")</f>
        <v>2</v>
      </c>
      <c r="E81" s="82">
        <f>COUNTIFS(CARTEIRA!$I$4:$I$200,A81,CARTEIRA!$N$4:$N$200,"INAT.REC")</f>
        <v>2</v>
      </c>
      <c r="F81" s="79">
        <f>COUNTIFS(CARTEIRA!$I$4:$I$200,A81,CARTEIRA!$N$4:$N$200,"INAT.ANT")</f>
        <v>6</v>
      </c>
      <c r="G81" s="83">
        <f>COUNTIFS(CARTEIRA!$I$4:$I$200,A81,CARTEIRA!$N$4:$N$200,"PROSPECT")</f>
        <v>6</v>
      </c>
      <c r="H81" s="83">
        <f>COUNTIFS(CARTEIRA!$I$4:$I$200,A81,CARTEIRA!$N$4:$N$200,"LEAD")</f>
        <v>1</v>
      </c>
      <c r="I81"/>
      <c r="J81" s="137">
        <f>IFERROR(B81/$B$82,0)</f>
        <v>0.24545454545454545</v>
      </c>
      <c r="K81" s="138">
        <f>IFERROR(C81/B81,0)</f>
        <v>0.37037037037037035</v>
      </c>
      <c r="L81" s="139">
        <f>IFERROR(D81/B81,0)</f>
        <v>7.407407407407407E-2</v>
      </c>
      <c r="M81" s="265">
        <f t="shared" si="9"/>
        <v>0.29629629629629628</v>
      </c>
      <c r="N81" s="259">
        <f t="shared" si="10"/>
        <v>0.22222222222222221</v>
      </c>
      <c r="O81" s="259">
        <f t="shared" si="11"/>
        <v>3.7037037037037035E-2</v>
      </c>
      <c r="P81" s="261">
        <f t="shared" si="12"/>
        <v>0.44444444444444442</v>
      </c>
      <c r="Q81" s="266">
        <f t="shared" si="13"/>
        <v>0</v>
      </c>
      <c r="R81" s="107"/>
      <c r="S81" s="107"/>
    </row>
    <row r="82" spans="1:19" ht="15" thickBot="1" x14ac:dyDescent="0.35">
      <c r="A82" s="85" t="s">
        <v>1215</v>
      </c>
      <c r="B82" s="86">
        <f t="shared" ref="B82:H82" si="14">SUM(B74:B81)</f>
        <v>110</v>
      </c>
      <c r="C82" s="86">
        <f t="shared" si="14"/>
        <v>43</v>
      </c>
      <c r="D82" s="86">
        <f t="shared" si="14"/>
        <v>13</v>
      </c>
      <c r="E82" s="86">
        <f t="shared" si="14"/>
        <v>12</v>
      </c>
      <c r="F82" s="86">
        <f t="shared" si="14"/>
        <v>26</v>
      </c>
      <c r="G82" s="86">
        <f t="shared" si="14"/>
        <v>14</v>
      </c>
      <c r="H82" s="86">
        <f t="shared" si="14"/>
        <v>2</v>
      </c>
      <c r="I82"/>
      <c r="J82" s="254">
        <f>SUM(J74:J81)</f>
        <v>1</v>
      </c>
      <c r="K82" s="254">
        <f>IFERROR(C82/B82,0)</f>
        <v>0.39090909090909093</v>
      </c>
      <c r="L82" s="254">
        <f>IFERROR(D82/B82,0)</f>
        <v>0.11818181818181818</v>
      </c>
      <c r="M82" s="255">
        <f>IFERROR((E82+F82)/B82,0)</f>
        <v>0.34545454545454546</v>
      </c>
      <c r="N82" s="255">
        <f>IFERROR(G82/B82,0)</f>
        <v>0.12727272727272726</v>
      </c>
      <c r="O82" s="255">
        <f>IFERROR(H82/B82,0)</f>
        <v>1.8181818181818181E-2</v>
      </c>
      <c r="P82" s="255">
        <f>IFERROR((C82+D82)/B82,0)</f>
        <v>0.50909090909090904</v>
      </c>
      <c r="Q82" s="256">
        <f>IFERROR(K82-L82-M82,0)</f>
        <v>-7.2727272727272696E-2</v>
      </c>
      <c r="R82" s="107"/>
      <c r="S82" s="107"/>
    </row>
    <row r="83" spans="1:19" x14ac:dyDescent="0.3">
      <c r="A83" s="124"/>
      <c r="B83" s="123"/>
      <c r="C83" s="123"/>
      <c r="D83" s="123"/>
      <c r="E83" s="123"/>
      <c r="F83" s="123"/>
      <c r="G83" s="123"/>
      <c r="H83" s="123"/>
      <c r="I83" s="248"/>
      <c r="J83" s="254"/>
      <c r="K83" s="254"/>
      <c r="L83" s="254"/>
      <c r="M83" s="254"/>
      <c r="N83" s="254"/>
      <c r="O83" s="254"/>
      <c r="P83" s="254"/>
      <c r="Q83" s="254"/>
      <c r="R83" s="107"/>
      <c r="S83" s="107"/>
    </row>
    <row r="84" spans="1:19" x14ac:dyDescent="0.3">
      <c r="A84" s="124"/>
      <c r="B84" s="123"/>
      <c r="C84" s="123"/>
      <c r="D84" s="123"/>
      <c r="E84" s="123"/>
      <c r="F84" s="123"/>
      <c r="G84" s="123"/>
      <c r="H84" s="123"/>
      <c r="I84" s="248"/>
      <c r="J84" s="254"/>
      <c r="K84" s="254"/>
      <c r="L84" s="254"/>
      <c r="M84" s="254"/>
      <c r="N84" s="254"/>
      <c r="O84" s="254"/>
      <c r="P84" s="254"/>
      <c r="Q84" s="254"/>
      <c r="R84" s="107"/>
      <c r="S84" s="107"/>
    </row>
    <row r="85" spans="1:19" x14ac:dyDescent="0.3">
      <c r="A85" s="124"/>
      <c r="B85" s="123"/>
      <c r="C85" s="123"/>
      <c r="D85" s="123"/>
      <c r="E85" s="123"/>
      <c r="F85" s="123"/>
      <c r="G85" s="123"/>
      <c r="H85" s="123"/>
      <c r="I85" s="248"/>
      <c r="J85" s="254"/>
      <c r="K85" s="254"/>
      <c r="L85" s="254"/>
      <c r="M85" s="254"/>
      <c r="N85" s="254"/>
      <c r="O85" s="254"/>
      <c r="P85" s="254"/>
      <c r="Q85" s="254"/>
      <c r="R85" s="107"/>
      <c r="S85" s="107"/>
    </row>
    <row r="86" spans="1:19" ht="7.95" customHeight="1" x14ac:dyDescent="0.3">
      <c r="A86" s="292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107"/>
      <c r="S86" s="107"/>
    </row>
    <row r="87" spans="1:19" x14ac:dyDescent="0.3">
      <c r="A87" s="293" t="s">
        <v>1382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107"/>
      <c r="S87" s="107"/>
    </row>
    <row r="88" spans="1:19" ht="6" customHeight="1" x14ac:dyDescent="0.3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107"/>
      <c r="S88" s="107"/>
    </row>
    <row r="89" spans="1:19" x14ac:dyDescent="0.3">
      <c r="A89" s="296" t="s">
        <v>1383</v>
      </c>
      <c r="B89" s="295" t="s">
        <v>135</v>
      </c>
      <c r="C89" s="295" t="s">
        <v>137</v>
      </c>
      <c r="D89" s="295" t="s">
        <v>139</v>
      </c>
      <c r="E89" s="295" t="s">
        <v>141</v>
      </c>
      <c r="F89" s="295" t="s">
        <v>1351</v>
      </c>
      <c r="G89" s="295" t="s">
        <v>1384</v>
      </c>
      <c r="H89" s="295" t="s">
        <v>1385</v>
      </c>
      <c r="I89" s="292"/>
      <c r="J89" s="295" t="s">
        <v>1391</v>
      </c>
      <c r="K89" s="295" t="s">
        <v>1224</v>
      </c>
      <c r="L89" s="295" t="s">
        <v>1384</v>
      </c>
      <c r="M89" s="295" t="s">
        <v>1392</v>
      </c>
      <c r="N89" s="312"/>
      <c r="O89" s="295" t="s">
        <v>324</v>
      </c>
      <c r="P89" s="295" t="s">
        <v>1393</v>
      </c>
      <c r="Q89" s="295" t="s">
        <v>1394</v>
      </c>
      <c r="R89" s="107"/>
      <c r="S89" s="107"/>
    </row>
    <row r="90" spans="1:19" x14ac:dyDescent="0.3">
      <c r="A90" s="297" t="s">
        <v>1386</v>
      </c>
      <c r="B90" s="298">
        <f>COUNTIFS('DRAFT 2'!$A$3:$A$502,"&gt;="&amp;46054,'DRAFT 2'!$A$3:$A$502,"&lt;="&amp;46060,'DRAFT 2'!$B$3:$B$502,"MANU DITZEL")</f>
        <v>35</v>
      </c>
      <c r="C90" s="298">
        <f>COUNTIFS('DRAFT 2'!$A$3:$A$502,"&gt;="&amp;46054,'DRAFT 2'!$A$3:$A$502,"&lt;="&amp;46060,'DRAFT 2'!$B$3:$B$502,"LARISSA PADILHA")</f>
        <v>31</v>
      </c>
      <c r="D90" s="298">
        <f>COUNTIFS('DRAFT 2'!$A$3:$A$502,"&gt;="&amp;46054,'DRAFT 2'!$A$3:$A$502,"&lt;="&amp;46060,'DRAFT 2'!$B$3:$B$502,"JULIO GADRET")</f>
        <v>20</v>
      </c>
      <c r="E90" s="298">
        <f>COUNTIFS('DRAFT 2'!$A$3:$A$502,"&gt;="&amp;46054,'DRAFT 2'!$A$3:$A$502,"&lt;="&amp;46060,'DRAFT 2'!$B$3:$B$502,"DAIANE STAVICKI")</f>
        <v>26</v>
      </c>
      <c r="F90" s="299">
        <f>SUM(B90:E90)</f>
        <v>112</v>
      </c>
      <c r="G90" s="300">
        <f>F90/7</f>
        <v>16</v>
      </c>
      <c r="H90" s="302">
        <f>MAX(B90:E90)</f>
        <v>35</v>
      </c>
      <c r="I90" s="292"/>
      <c r="J90" s="313" t="s">
        <v>1395</v>
      </c>
      <c r="K90" s="298">
        <f>B95</f>
        <v>133</v>
      </c>
      <c r="L90" s="300">
        <f>B96</f>
        <v>4.75</v>
      </c>
      <c r="M90" s="301" t="str">
        <f>IF(B93&gt;B90,"⬆ Subindo",IF(B93&lt;B90,"⬇ Caindo","➡ Estável"))</f>
        <v>⬆ Subindo</v>
      </c>
      <c r="N90" s="292"/>
      <c r="O90" s="298">
        <f>COUNTIFS('DRAFT 2'!$B$3:$B$502,"MANU DITZEL",'DRAFT 2'!$N$3:$N$502,"SIM")</f>
        <v>89</v>
      </c>
      <c r="P90" s="298">
        <f>COUNTIFS('DRAFT 2'!$B$3:$B$502,"MANU DITZEL",'DRAFT 2'!$O$3:$O$502,"SIM")</f>
        <v>53</v>
      </c>
      <c r="Q90" s="314">
        <f>IFERROR(COUNTIFS('DRAFT 2'!$B$3:$B$502,"MANU DITZEL",'DRAFT 2'!$P$3:$P$502,"SIM")/COUNTIFS('DRAFT 2'!$B$3:$B$502,"MANU DITZEL",'DRAFT 2'!$O$3:$O$502,"SIM"),0)</f>
        <v>0.60377358490566035</v>
      </c>
      <c r="R90" s="107"/>
      <c r="S90" s="107"/>
    </row>
    <row r="91" spans="1:19" x14ac:dyDescent="0.3">
      <c r="A91" s="297" t="s">
        <v>1387</v>
      </c>
      <c r="B91" s="298">
        <f>COUNTIFS('DRAFT 2'!$A$3:$A$502,"&gt;="&amp;46061,'DRAFT 2'!$A$3:$A$502,"&lt;="&amp;46067,'DRAFT 2'!$B$3:$B$502,"MANU DITZEL")</f>
        <v>24</v>
      </c>
      <c r="C91" s="298">
        <f>COUNTIFS('DRAFT 2'!$A$3:$A$502,"&gt;="&amp;46061,'DRAFT 2'!$A$3:$A$502,"&lt;="&amp;46067,'DRAFT 2'!$B$3:$B$502,"LARISSA PADILHA")</f>
        <v>30</v>
      </c>
      <c r="D91" s="298">
        <f>COUNTIFS('DRAFT 2'!$A$3:$A$502,"&gt;="&amp;46061,'DRAFT 2'!$A$3:$A$502,"&lt;="&amp;46067,'DRAFT 2'!$B$3:$B$502,"JULIO GADRET")</f>
        <v>17</v>
      </c>
      <c r="E91" s="298">
        <f>COUNTIFS('DRAFT 2'!$A$3:$A$502,"&gt;="&amp;46061,'DRAFT 2'!$A$3:$A$502,"&lt;="&amp;46067,'DRAFT 2'!$B$3:$B$502,"DAIANE STAVICKI")</f>
        <v>24</v>
      </c>
      <c r="F91" s="299">
        <f>SUM(B91:E91)</f>
        <v>95</v>
      </c>
      <c r="G91" s="300">
        <f>F91/7</f>
        <v>13.571428571428571</v>
      </c>
      <c r="H91" s="302">
        <f>MAX(B91:E91)</f>
        <v>30</v>
      </c>
      <c r="I91" s="292"/>
      <c r="J91" s="315" t="s">
        <v>1396</v>
      </c>
      <c r="K91" s="298">
        <f>E95</f>
        <v>111</v>
      </c>
      <c r="L91" s="300">
        <f>E96</f>
        <v>3.9642857142857144</v>
      </c>
      <c r="M91" s="301" t="str">
        <f>IF(E93&gt;E90,"⬆ Subindo",IF(E93&lt;E90,"⬇ Caindo","➡ Estável"))</f>
        <v>⬆ Subindo</v>
      </c>
      <c r="N91" s="292"/>
      <c r="O91" s="298">
        <f>COUNTIFS('DRAFT 2'!$B$3:$B$502,"DAIANE STAVICKI",'DRAFT 2'!$N$3:$N$502,"SIM")</f>
        <v>87</v>
      </c>
      <c r="P91" s="298">
        <f>COUNTIFS('DRAFT 2'!$B$3:$B$502,"DAIANE STAVICKI",'DRAFT 2'!$O$3:$O$502,"SIM")</f>
        <v>53</v>
      </c>
      <c r="Q91" s="314">
        <f>IFERROR(COUNTIFS('DRAFT 2'!$B$3:$B$502,"DAIANE STAVICKI",'DRAFT 2'!$P$3:$P$502,"SIM")/COUNTIFS('DRAFT 2'!$B$3:$B$502,"DAIANE STAVICKI",'DRAFT 2'!$O$3:$O$502,"SIM"),0)</f>
        <v>0.64150943396226412</v>
      </c>
      <c r="R91" s="107"/>
      <c r="S91" s="107"/>
    </row>
    <row r="92" spans="1:19" x14ac:dyDescent="0.3">
      <c r="A92" s="297" t="s">
        <v>1388</v>
      </c>
      <c r="B92" s="298">
        <f>COUNTIFS('DRAFT 2'!$A$3:$A$502,"&gt;="&amp;46068,'DRAFT 2'!$A$3:$A$502,"&lt;="&amp;46074,'DRAFT 2'!$B$3:$B$502,"MANU DITZEL")</f>
        <v>38</v>
      </c>
      <c r="C92" s="298">
        <f>COUNTIFS('DRAFT 2'!$A$3:$A$502,"&gt;="&amp;46068,'DRAFT 2'!$A$3:$A$502,"&lt;="&amp;46074,'DRAFT 2'!$B$3:$B$502,"LARISSA PADILHA")</f>
        <v>22</v>
      </c>
      <c r="D92" s="298">
        <f>COUNTIFS('DRAFT 2'!$A$3:$A$502,"&gt;="&amp;46068,'DRAFT 2'!$A$3:$A$502,"&lt;="&amp;46074,'DRAFT 2'!$B$3:$B$502,"JULIO GADRET")</f>
        <v>29</v>
      </c>
      <c r="E92" s="298">
        <f>COUNTIFS('DRAFT 2'!$A$3:$A$502,"&gt;="&amp;46068,'DRAFT 2'!$A$3:$A$502,"&lt;="&amp;46074,'DRAFT 2'!$B$3:$B$502,"DAIANE STAVICKI")</f>
        <v>24</v>
      </c>
      <c r="F92" s="299">
        <f>SUM(B92:E92)</f>
        <v>113</v>
      </c>
      <c r="G92" s="300">
        <f>F92/7</f>
        <v>16.142857142857142</v>
      </c>
      <c r="H92" s="302">
        <f>MAX(B92:E92)</f>
        <v>38</v>
      </c>
      <c r="I92" s="292"/>
      <c r="J92" s="316" t="s">
        <v>1397</v>
      </c>
      <c r="K92" s="298">
        <f>C95</f>
        <v>110</v>
      </c>
      <c r="L92" s="300">
        <f>C96</f>
        <v>3.9285714285714284</v>
      </c>
      <c r="M92" s="317" t="str">
        <f>IF(C93&gt;C90,"⬆ Subindo",IF(C93&lt;C90,"⬇ Caindo","➡ Estável"))</f>
        <v>⬇ Caindo</v>
      </c>
      <c r="N92" s="292"/>
      <c r="O92" s="298">
        <f>COUNTIFS('DRAFT 2'!$B$3:$B$502,"LARISSA PADILHA",'DRAFT 2'!$N$3:$N$502,"SIM")</f>
        <v>73</v>
      </c>
      <c r="P92" s="298">
        <f>COUNTIFS('DRAFT 2'!$B$3:$B$502,"LARISSA PADILHA",'DRAFT 2'!$O$3:$O$502,"SIM")</f>
        <v>56</v>
      </c>
      <c r="Q92" s="314">
        <f>IFERROR(COUNTIFS('DRAFT 2'!$B$3:$B$502,"LARISSA PADILHA",'DRAFT 2'!$P$3:$P$502,"SIM")/COUNTIFS('DRAFT 2'!$B$3:$B$502,"LARISSA PADILHA",'DRAFT 2'!$O$3:$O$502,"SIM"),0)</f>
        <v>0.6071428571428571</v>
      </c>
      <c r="R92" s="107"/>
      <c r="S92" s="107"/>
    </row>
    <row r="93" spans="1:19" x14ac:dyDescent="0.3">
      <c r="A93" s="297" t="s">
        <v>1389</v>
      </c>
      <c r="B93" s="298">
        <f>COUNTIFS('DRAFT 2'!$A$3:$A$502,"&gt;="&amp;46075,'DRAFT 2'!$A$3:$A$502,"&lt;="&amp;46081,'DRAFT 2'!$B$3:$B$502,"MANU DITZEL")</f>
        <v>36</v>
      </c>
      <c r="C93" s="298">
        <f>COUNTIFS('DRAFT 2'!$A$3:$A$502,"&gt;="&amp;46075,'DRAFT 2'!$A$3:$A$502,"&lt;="&amp;46081,'DRAFT 2'!$B$3:$B$502,"LARISSA PADILHA")</f>
        <v>27</v>
      </c>
      <c r="D93" s="298">
        <f>COUNTIFS('DRAFT 2'!$A$3:$A$502,"&gt;="&amp;46075,'DRAFT 2'!$A$3:$A$502,"&lt;="&amp;46081,'DRAFT 2'!$B$3:$B$502,"JULIO GADRET")</f>
        <v>20</v>
      </c>
      <c r="E93" s="298">
        <f>COUNTIFS('DRAFT 2'!$A$3:$A$502,"&gt;="&amp;46075,'DRAFT 2'!$A$3:$A$502,"&lt;="&amp;46081,'DRAFT 2'!$B$3:$B$502,"DAIANE STAVICKI")</f>
        <v>37</v>
      </c>
      <c r="F93" s="299">
        <f>SUM(B93:E93)</f>
        <v>120</v>
      </c>
      <c r="G93" s="300">
        <f>F93/7</f>
        <v>17.142857142857142</v>
      </c>
      <c r="H93" s="302">
        <f>MAX(B93:E93)</f>
        <v>37</v>
      </c>
      <c r="I93" s="292"/>
      <c r="J93" s="318" t="s">
        <v>1398</v>
      </c>
      <c r="K93" s="298">
        <f>D95</f>
        <v>86</v>
      </c>
      <c r="L93" s="300">
        <f>D96</f>
        <v>3.0714285714285716</v>
      </c>
      <c r="M93" s="317" t="str">
        <f>IF(D93&gt;D90,"⬆ Subindo",IF(D93&lt;D90,"⬇ Caindo","➡ Estável"))</f>
        <v>➡ Estável</v>
      </c>
      <c r="N93" s="292"/>
      <c r="O93" s="298">
        <f>COUNTIFS('DRAFT 2'!$B$3:$B$502,"JULIO GADRET",'DRAFT 2'!$N$3:$N$502,"SIM")</f>
        <v>58</v>
      </c>
      <c r="P93" s="298">
        <f>COUNTIFS('DRAFT 2'!$B$3:$B$502,"JULIO GADRET",'DRAFT 2'!$O$3:$O$502,"SIM")</f>
        <v>38</v>
      </c>
      <c r="Q93" s="314">
        <f>IFERROR(COUNTIFS('DRAFT 2'!$B$3:$B$502,"JULIO GADRET",'DRAFT 2'!$P$3:$P$502,"SIM")/COUNTIFS('DRAFT 2'!$B$3:$B$502,"JULIO GADRET",'DRAFT 2'!$O$3:$O$502,"SIM"),0)</f>
        <v>0.44736842105263158</v>
      </c>
      <c r="R93" s="107"/>
      <c r="S93" s="107"/>
    </row>
    <row r="94" spans="1:19" x14ac:dyDescent="0.3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107"/>
      <c r="S94" s="107"/>
    </row>
    <row r="95" spans="1:19" x14ac:dyDescent="0.3">
      <c r="A95" s="294" t="s">
        <v>222</v>
      </c>
      <c r="B95" s="303">
        <f>SUM(B90:B93)</f>
        <v>133</v>
      </c>
      <c r="C95" s="303">
        <f>SUM(C90:C93)</f>
        <v>110</v>
      </c>
      <c r="D95" s="303">
        <f>SUM(D90:D93)</f>
        <v>86</v>
      </c>
      <c r="E95" s="303">
        <f>SUM(E90:E93)</f>
        <v>111</v>
      </c>
      <c r="F95" s="303">
        <f>SUM(F90:F93)</f>
        <v>440</v>
      </c>
      <c r="G95" s="304">
        <f>F95/28</f>
        <v>15.714285714285714</v>
      </c>
      <c r="H95" s="305">
        <f>MAX(H90:H93)</f>
        <v>38</v>
      </c>
      <c r="I95" s="292"/>
      <c r="J95" s="294" t="s">
        <v>1351</v>
      </c>
      <c r="K95" s="303">
        <f>F95</f>
        <v>440</v>
      </c>
      <c r="L95" s="304">
        <f>F96</f>
        <v>15.714285714285714</v>
      </c>
      <c r="M95" s="312"/>
      <c r="N95" s="312"/>
      <c r="O95" s="303">
        <f>SUM(O90:O93)</f>
        <v>307</v>
      </c>
      <c r="P95" s="303">
        <f>SUM(P90:P93)</f>
        <v>200</v>
      </c>
      <c r="Q95" s="319">
        <f>IFERROR(COUNTIFS('DRAFT 2'!$P$3:$P$502,"SIM")/COUNTIFS('DRAFT 2'!$O$3:$O$502,"SIM"),0)</f>
        <v>0.58499999999999996</v>
      </c>
      <c r="R95" s="107"/>
      <c r="S95" s="107"/>
    </row>
    <row r="96" spans="1:19" x14ac:dyDescent="0.3">
      <c r="A96" s="307" t="s">
        <v>1390</v>
      </c>
      <c r="B96" s="308">
        <f>B95/28</f>
        <v>4.75</v>
      </c>
      <c r="C96" s="308">
        <f>C95/28</f>
        <v>3.9285714285714284</v>
      </c>
      <c r="D96" s="308">
        <f>D95/28</f>
        <v>3.0714285714285716</v>
      </c>
      <c r="E96" s="308">
        <f>E95/28</f>
        <v>3.9642857142857144</v>
      </c>
      <c r="F96" s="308">
        <f>F95/28</f>
        <v>15.714285714285714</v>
      </c>
      <c r="G96" s="309"/>
      <c r="H96" s="309"/>
      <c r="I96" s="292"/>
      <c r="J96" s="307" t="s">
        <v>1399</v>
      </c>
      <c r="K96" s="320">
        <f>MAX(B90:E93)</f>
        <v>38</v>
      </c>
      <c r="L96" s="321" t="s">
        <v>1400</v>
      </c>
      <c r="M96" s="309"/>
      <c r="N96" s="309"/>
      <c r="O96" s="321" t="s">
        <v>1401</v>
      </c>
      <c r="P96" s="321" t="s">
        <v>1402</v>
      </c>
      <c r="Q96" s="309"/>
      <c r="R96" s="107"/>
      <c r="S96" s="107"/>
    </row>
    <row r="97" spans="1:19" x14ac:dyDescent="0.3">
      <c r="A97" s="310" t="s">
        <v>1289</v>
      </c>
      <c r="B97" s="311">
        <f>B95/F95</f>
        <v>0.30227272727272725</v>
      </c>
      <c r="C97" s="311">
        <f>C95/F95</f>
        <v>0.25</v>
      </c>
      <c r="D97" s="311">
        <f>D95/F95</f>
        <v>0.19545454545454546</v>
      </c>
      <c r="E97" s="311">
        <f>E95/F95</f>
        <v>0.25227272727272726</v>
      </c>
      <c r="F97" s="309"/>
      <c r="G97" s="309"/>
      <c r="H97" s="309"/>
      <c r="I97" s="292"/>
      <c r="J97" s="309"/>
      <c r="K97" s="309"/>
      <c r="L97" s="309"/>
      <c r="M97" s="309"/>
      <c r="N97" s="309"/>
      <c r="O97" s="322">
        <f>O95/K95</f>
        <v>0.69772727272727275</v>
      </c>
      <c r="P97" s="322">
        <f>P95/K95</f>
        <v>0.45454545454545453</v>
      </c>
      <c r="Q97" s="309"/>
      <c r="R97" s="107"/>
      <c r="S97" s="107"/>
    </row>
    <row r="98" spans="1:19" x14ac:dyDescent="0.3">
      <c r="A98" s="292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107"/>
      <c r="S98" s="107"/>
    </row>
    <row r="99" spans="1:19" x14ac:dyDescent="0.3">
      <c r="A99" s="292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107"/>
      <c r="S99" s="107"/>
    </row>
    <row r="100" spans="1:19" x14ac:dyDescent="0.3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107"/>
      <c r="S100" s="107"/>
    </row>
    <row r="101" spans="1:19" x14ac:dyDescent="0.3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107"/>
      <c r="S101" s="107"/>
    </row>
    <row r="102" spans="1:19" ht="7.95" customHeight="1" x14ac:dyDescent="0.3">
      <c r="A102" s="292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107"/>
      <c r="S102" s="107"/>
    </row>
    <row r="103" spans="1:19" ht="6" customHeight="1" x14ac:dyDescent="0.3">
      <c r="A103" s="293" t="s">
        <v>1403</v>
      </c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107"/>
      <c r="S103" s="107"/>
    </row>
    <row r="104" spans="1:19" ht="6" customHeight="1" x14ac:dyDescent="0.3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107"/>
      <c r="S104" s="107"/>
    </row>
    <row r="105" spans="1:19" x14ac:dyDescent="0.3">
      <c r="A105" s="296" t="s">
        <v>114</v>
      </c>
      <c r="B105" s="295" t="s">
        <v>135</v>
      </c>
      <c r="C105" s="295" t="s">
        <v>137</v>
      </c>
      <c r="D105" s="295" t="s">
        <v>139</v>
      </c>
      <c r="E105" s="295" t="s">
        <v>141</v>
      </c>
      <c r="F105" s="295" t="s">
        <v>1215</v>
      </c>
      <c r="G105" s="295" t="s">
        <v>1222</v>
      </c>
      <c r="H105"/>
      <c r="I105" s="292"/>
      <c r="J105" s="296" t="s">
        <v>349</v>
      </c>
      <c r="K105" s="295" t="s">
        <v>135</v>
      </c>
      <c r="L105" s="295" t="s">
        <v>137</v>
      </c>
      <c r="M105" s="295" t="s">
        <v>139</v>
      </c>
      <c r="N105" s="295" t="s">
        <v>141</v>
      </c>
      <c r="O105" s="295" t="s">
        <v>1215</v>
      </c>
      <c r="P105" s="295" t="s">
        <v>1222</v>
      </c>
      <c r="Q105" s="295" t="s">
        <v>212</v>
      </c>
      <c r="R105" s="107"/>
      <c r="S105" s="107"/>
    </row>
    <row r="106" spans="1:19" x14ac:dyDescent="0.3">
      <c r="A106" s="324" t="s">
        <v>1404</v>
      </c>
      <c r="B106" s="302">
        <f>COUNTIFS('DRAFT 2'!$B$3:$B$502,"MANU DITZEL",'DRAFT 2'!$L$3:$L$502,"🟢")</f>
        <v>52</v>
      </c>
      <c r="C106" s="302">
        <f>COUNTIFS('DRAFT 2'!$B$3:$B$502,"LARISSA PADILHA",'DRAFT 2'!$L$3:$L$502,"🟢")</f>
        <v>37</v>
      </c>
      <c r="D106" s="302">
        <f>COUNTIFS('DRAFT 2'!$B$3:$B$502,"JULIO GADRET",'DRAFT 2'!$L$3:$L$502,"🟢")</f>
        <v>26</v>
      </c>
      <c r="E106" s="302">
        <f>COUNTIFS('DRAFT 2'!$B$3:$B$502,"DAIANE STAVICKI",'DRAFT 2'!$L$3:$L$502,"🟢")</f>
        <v>36</v>
      </c>
      <c r="F106" s="299">
        <f>SUM(B106:E106)</f>
        <v>151</v>
      </c>
      <c r="G106" s="314">
        <f>IFERROR(F106/F109,0)</f>
        <v>0.43019943019943019</v>
      </c>
      <c r="H106"/>
      <c r="I106" s="292"/>
      <c r="J106" s="324" t="s">
        <v>93</v>
      </c>
      <c r="K106" s="298">
        <f>COUNTIFS('DRAFT 2'!$B$3:$B$502,"MANU DITZEL",'DRAFT 2'!$U$3:$U$502,"RECOMPRA")</f>
        <v>19</v>
      </c>
      <c r="L106" s="298">
        <f>COUNTIFS('DRAFT 2'!$B$3:$B$502,"LARISSA PADILHA",'DRAFT 2'!$U$3:$U$502,"RECOMPRA")</f>
        <v>8</v>
      </c>
      <c r="M106" s="298">
        <f>COUNTIFS('DRAFT 2'!$B$3:$B$502,"JULIO GADRET",'DRAFT 2'!$U$3:$U$502,"RECOMPRA")</f>
        <v>8</v>
      </c>
      <c r="N106" s="298">
        <f>COUNTIFS('DRAFT 2'!$B$3:$B$502,"DAIANE STAVICKI",'DRAFT 2'!$U$3:$U$502,"RECOMPRA")</f>
        <v>12</v>
      </c>
      <c r="O106" s="299">
        <f>SUM(K106:N106)</f>
        <v>47</v>
      </c>
      <c r="P106" s="323">
        <f>IFERROR(O106/O113,0)</f>
        <v>0.10681818181818181</v>
      </c>
      <c r="Q106" s="331" t="s">
        <v>1409</v>
      </c>
      <c r="R106" s="107"/>
      <c r="S106" s="107"/>
    </row>
    <row r="107" spans="1:19" x14ac:dyDescent="0.3">
      <c r="A107" s="306" t="s">
        <v>1405</v>
      </c>
      <c r="B107" s="325">
        <f>COUNTIFS('DRAFT 2'!$B$3:$B$502,"MANU DITZEL",'DRAFT 2'!$L$3:$L$502,"🟡")</f>
        <v>39</v>
      </c>
      <c r="C107" s="325">
        <f>COUNTIFS('DRAFT 2'!$B$3:$B$502,"LARISSA PADILHA",'DRAFT 2'!$L$3:$L$502,"🟡")</f>
        <v>32</v>
      </c>
      <c r="D107" s="325">
        <f>COUNTIFS('DRAFT 2'!$B$3:$B$502,"JULIO GADRET",'DRAFT 2'!$L$3:$L$502,"🟡")</f>
        <v>20</v>
      </c>
      <c r="E107" s="325">
        <f>COUNTIFS('DRAFT 2'!$B$3:$B$502,"DAIANE STAVICKI",'DRAFT 2'!$L$3:$L$502,"🟡")</f>
        <v>27</v>
      </c>
      <c r="F107" s="299">
        <f>SUM(B107:E107)</f>
        <v>118</v>
      </c>
      <c r="G107" s="323">
        <f>IFERROR(F107/F109,0)</f>
        <v>0.33618233618233617</v>
      </c>
      <c r="H107"/>
      <c r="I107" s="292"/>
      <c r="J107" s="324" t="s">
        <v>91</v>
      </c>
      <c r="K107" s="298">
        <f>COUNTIFS('DRAFT 2'!$B$3:$B$502,"MANU DITZEL",'DRAFT 2'!$U$3:$U$502,"PÓS-VENDA")</f>
        <v>15</v>
      </c>
      <c r="L107" s="298">
        <f>COUNTIFS('DRAFT 2'!$B$3:$B$502,"LARISSA PADILHA",'DRAFT 2'!$U$3:$U$502,"PÓS-VENDA")</f>
        <v>6</v>
      </c>
      <c r="M107" s="298">
        <f>COUNTIFS('DRAFT 2'!$B$3:$B$502,"JULIO GADRET",'DRAFT 2'!$U$3:$U$502,"PÓS-VENDA")</f>
        <v>9</v>
      </c>
      <c r="N107" s="298">
        <f>COUNTIFS('DRAFT 2'!$B$3:$B$502,"DAIANE STAVICKI",'DRAFT 2'!$U$3:$U$502,"PÓS-VENDA")</f>
        <v>11</v>
      </c>
      <c r="O107" s="299">
        <f>SUM(K107:N107)</f>
        <v>41</v>
      </c>
      <c r="P107" s="323">
        <f>IFERROR(O107/O113,0)</f>
        <v>9.3181818181818185E-2</v>
      </c>
      <c r="Q107" s="331" t="s">
        <v>1410</v>
      </c>
      <c r="R107" s="107"/>
      <c r="S107" s="107"/>
    </row>
    <row r="108" spans="1:19" x14ac:dyDescent="0.3">
      <c r="A108" s="326" t="s">
        <v>1406</v>
      </c>
      <c r="B108" s="327">
        <f>COUNTIFS('DRAFT 2'!$B$3:$B$502,"MANU DITZEL",'DRAFT 2'!$L$3:$L$502,"🔴")</f>
        <v>19</v>
      </c>
      <c r="C108" s="327">
        <f>COUNTIFS('DRAFT 2'!$B$3:$B$502,"LARISSA PADILHA",'DRAFT 2'!$L$3:$L$502,"🔴")</f>
        <v>18</v>
      </c>
      <c r="D108" s="327">
        <f>COUNTIFS('DRAFT 2'!$B$3:$B$502,"JULIO GADRET",'DRAFT 2'!$L$3:$L$502,"🔴")</f>
        <v>20</v>
      </c>
      <c r="E108" s="327">
        <f>COUNTIFS('DRAFT 2'!$B$3:$B$502,"DAIANE STAVICKI",'DRAFT 2'!$L$3:$L$502,"🔴")</f>
        <v>25</v>
      </c>
      <c r="F108" s="299">
        <f>SUM(B108:E108)</f>
        <v>82</v>
      </c>
      <c r="G108" s="328">
        <f>IFERROR(F108/F109,0)</f>
        <v>0.23361823361823361</v>
      </c>
      <c r="H108"/>
      <c r="I108" s="292"/>
      <c r="J108" s="324" t="s">
        <v>92</v>
      </c>
      <c r="K108" s="298">
        <f>COUNTIFS('DRAFT 2'!$B$3:$B$502,"MANU DITZEL",'DRAFT 2'!$U$3:$U$502,"CS")</f>
        <v>18</v>
      </c>
      <c r="L108" s="298">
        <f>COUNTIFS('DRAFT 2'!$B$3:$B$502,"LARISSA PADILHA",'DRAFT 2'!$U$3:$U$502,"CS")</f>
        <v>15</v>
      </c>
      <c r="M108" s="298">
        <f>COUNTIFS('DRAFT 2'!$B$3:$B$502,"JULIO GADRET",'DRAFT 2'!$U$3:$U$502,"CS")</f>
        <v>12</v>
      </c>
      <c r="N108" s="298">
        <f>COUNTIFS('DRAFT 2'!$B$3:$B$502,"DAIANE STAVICKI",'DRAFT 2'!$U$3:$U$502,"CS")</f>
        <v>13</v>
      </c>
      <c r="O108" s="299">
        <f>SUM(K108:N108)</f>
        <v>58</v>
      </c>
      <c r="P108" s="323">
        <f>IFERROR(O108/O113,0)</f>
        <v>0.13181818181818181</v>
      </c>
      <c r="Q108" s="331" t="s">
        <v>1410</v>
      </c>
      <c r="R108" s="107"/>
      <c r="S108" s="107"/>
    </row>
    <row r="109" spans="1:19" x14ac:dyDescent="0.3">
      <c r="A109" s="294" t="s">
        <v>1407</v>
      </c>
      <c r="B109" s="303">
        <f>SUM(B106:B108)</f>
        <v>110</v>
      </c>
      <c r="C109" s="303">
        <f>SUM(C106:C108)</f>
        <v>87</v>
      </c>
      <c r="D109" s="303">
        <f>SUM(D106:D108)</f>
        <v>66</v>
      </c>
      <c r="E109" s="303">
        <f>SUM(E106:E108)</f>
        <v>88</v>
      </c>
      <c r="F109" s="303">
        <f>SUM(F106:F108)</f>
        <v>351</v>
      </c>
      <c r="G109" s="312"/>
      <c r="H109"/>
      <c r="I109" s="292"/>
      <c r="J109" s="332" t="s">
        <v>33</v>
      </c>
      <c r="K109" s="298">
        <f>COUNTIFS('DRAFT 2'!$B$3:$B$502,"MANU DITZEL",'DRAFT 2'!$U$3:$U$502,"PROSPECÇÃO")</f>
        <v>30</v>
      </c>
      <c r="L109" s="298">
        <f>COUNTIFS('DRAFT 2'!$B$3:$B$502,"LARISSA PADILHA",'DRAFT 2'!$U$3:$U$502,"PROSPECÇÃO")</f>
        <v>38</v>
      </c>
      <c r="M109" s="298">
        <f>COUNTIFS('DRAFT 2'!$B$3:$B$502,"JULIO GADRET",'DRAFT 2'!$U$3:$U$502,"PROSPECÇÃO")</f>
        <v>24</v>
      </c>
      <c r="N109" s="298">
        <f>COUNTIFS('DRAFT 2'!$B$3:$B$502,"DAIANE STAVICKI",'DRAFT 2'!$U$3:$U$502,"PROSPECÇÃO")</f>
        <v>26</v>
      </c>
      <c r="O109" s="299">
        <f>SUM(K109:N109)</f>
        <v>118</v>
      </c>
      <c r="P109" s="323">
        <f>IFERROR(O109/O113,0)</f>
        <v>0.26818181818181819</v>
      </c>
      <c r="Q109" s="333" t="s">
        <v>1411</v>
      </c>
      <c r="R109" s="107"/>
      <c r="S109" s="107"/>
    </row>
    <row r="110" spans="1:19" x14ac:dyDescent="0.3">
      <c r="A110" s="329" t="s">
        <v>1408</v>
      </c>
      <c r="B110" s="330">
        <f>IFERROR(B106/B109,0)</f>
        <v>0.47272727272727272</v>
      </c>
      <c r="C110" s="330">
        <f>IFERROR(C106/C109,0)</f>
        <v>0.42528735632183906</v>
      </c>
      <c r="D110" s="330">
        <f>IFERROR(D106/D109,0)</f>
        <v>0.39393939393939392</v>
      </c>
      <c r="E110" s="330">
        <f>IFERROR(E106/E109,0)</f>
        <v>0.40909090909090912</v>
      </c>
      <c r="F110" s="330">
        <f>IFERROR(F106/F109,0)</f>
        <v>0.43019943019943019</v>
      </c>
      <c r="G110" s="309"/>
      <c r="H110"/>
      <c r="I110" s="292"/>
      <c r="J110" s="332" t="s">
        <v>159</v>
      </c>
      <c r="K110" s="298">
        <f>COUNTIFS('DRAFT 2'!$B$3:$B$502,"MANU DITZEL",'DRAFT 2'!$U$3:$U$502,"REATIVAÇÃO")</f>
        <v>32</v>
      </c>
      <c r="L110" s="298">
        <f>COUNTIFS('DRAFT 2'!$B$3:$B$502,"LARISSA PADILHA",'DRAFT 2'!$U$3:$U$502,"REATIVAÇÃO")</f>
        <v>24</v>
      </c>
      <c r="M110" s="298">
        <f>COUNTIFS('DRAFT 2'!$B$3:$B$502,"JULIO GADRET",'DRAFT 2'!$U$3:$U$502,"REATIVAÇÃO")</f>
        <v>17</v>
      </c>
      <c r="N110" s="298">
        <f>COUNTIFS('DRAFT 2'!$B$3:$B$502,"DAIANE STAVICKI",'DRAFT 2'!$U$3:$U$502,"REATIVAÇÃO")</f>
        <v>20</v>
      </c>
      <c r="O110" s="299">
        <f>SUM(K110:N110)</f>
        <v>93</v>
      </c>
      <c r="P110" s="323">
        <f>IFERROR(O110/O113,0)</f>
        <v>0.21136363636363636</v>
      </c>
      <c r="Q110" s="333" t="s">
        <v>1412</v>
      </c>
      <c r="R110" s="107"/>
      <c r="S110" s="107"/>
    </row>
    <row r="111" spans="1:19" x14ac:dyDescent="0.3">
      <c r="A111" s="292"/>
      <c r="B111" s="292"/>
      <c r="C111" s="292"/>
      <c r="D111" s="292"/>
      <c r="E111" s="292"/>
      <c r="F111" s="292"/>
      <c r="G111" s="292"/>
      <c r="H111" s="292"/>
      <c r="I111" s="292"/>
      <c r="J111" s="334" t="s">
        <v>94</v>
      </c>
      <c r="K111" s="298">
        <f>COUNTIFS('DRAFT 2'!$B$3:$B$502,"MANU DITZEL",'DRAFT 2'!$U$3:$U$502,"SALVAMENTO")</f>
        <v>17</v>
      </c>
      <c r="L111" s="298">
        <f>COUNTIFS('DRAFT 2'!$B$3:$B$502,"LARISSA PADILHA",'DRAFT 2'!$U$3:$U$502,"SALVAMENTO")</f>
        <v>15</v>
      </c>
      <c r="M111" s="298">
        <f>COUNTIFS('DRAFT 2'!$B$3:$B$502,"JULIO GADRET",'DRAFT 2'!$U$3:$U$502,"SALVAMENTO")</f>
        <v>12</v>
      </c>
      <c r="N111" s="298">
        <f>COUNTIFS('DRAFT 2'!$B$3:$B$502,"DAIANE STAVICKI",'DRAFT 2'!$U$3:$U$502,"SALVAMENTO")</f>
        <v>25</v>
      </c>
      <c r="O111" s="299">
        <f>SUM(K111:N111)</f>
        <v>69</v>
      </c>
      <c r="P111" s="323">
        <f>IFERROR(O111/O113,0)</f>
        <v>0.15681818181818183</v>
      </c>
      <c r="Q111" s="317" t="s">
        <v>1413</v>
      </c>
      <c r="R111" s="107"/>
      <c r="S111" s="107"/>
    </row>
    <row r="112" spans="1:19" x14ac:dyDescent="0.3">
      <c r="A112" s="292"/>
      <c r="B112" s="292"/>
      <c r="C112" s="292"/>
      <c r="D112" s="292"/>
      <c r="E112" s="292"/>
      <c r="F112" s="292"/>
      <c r="G112" s="292"/>
      <c r="H112" s="292"/>
      <c r="I112" s="292"/>
      <c r="J112" s="334" t="s">
        <v>65</v>
      </c>
      <c r="K112" s="298">
        <f>COUNTIFS('DRAFT 2'!$B$3:$B$502,"MANU DITZEL",'DRAFT 2'!$U$3:$U$502,"NUTRIÇÃO")</f>
        <v>2</v>
      </c>
      <c r="L112" s="298">
        <f>COUNTIFS('DRAFT 2'!$B$3:$B$502,"LARISSA PADILHA",'DRAFT 2'!$U$3:$U$502,"NUTRIÇÃO")</f>
        <v>4</v>
      </c>
      <c r="M112" s="298">
        <f>COUNTIFS('DRAFT 2'!$B$3:$B$502,"JULIO GADRET",'DRAFT 2'!$U$3:$U$502,"NUTRIÇÃO")</f>
        <v>4</v>
      </c>
      <c r="N112" s="298">
        <f>COUNTIFS('DRAFT 2'!$B$3:$B$502,"DAIANE STAVICKI",'DRAFT 2'!$U$3:$U$502,"NUTRIÇÃO")</f>
        <v>4</v>
      </c>
      <c r="O112" s="299">
        <f>SUM(K112:N112)</f>
        <v>14</v>
      </c>
      <c r="P112" s="323">
        <f>IFERROR(O112/O113,0)</f>
        <v>3.1818181818181815E-2</v>
      </c>
      <c r="Q112" s="317" t="s">
        <v>1413</v>
      </c>
      <c r="R112" s="107"/>
      <c r="S112" s="107"/>
    </row>
    <row r="113" spans="1:19" x14ac:dyDescent="0.3">
      <c r="A113" s="292"/>
      <c r="B113" s="292"/>
      <c r="C113" s="292"/>
      <c r="D113" s="292"/>
      <c r="E113" s="292"/>
      <c r="F113" s="292"/>
      <c r="G113" s="292"/>
      <c r="H113" s="292"/>
      <c r="I113" s="292"/>
      <c r="J113" s="294" t="s">
        <v>1414</v>
      </c>
      <c r="K113" s="303">
        <f>SUM(K106:K112)</f>
        <v>133</v>
      </c>
      <c r="L113" s="303">
        <f>SUM(L106:L112)</f>
        <v>110</v>
      </c>
      <c r="M113" s="303">
        <f>SUM(M106:M112)</f>
        <v>86</v>
      </c>
      <c r="N113" s="303">
        <f>SUM(N106:N112)</f>
        <v>111</v>
      </c>
      <c r="O113" s="303">
        <f>SUM(O106:O112)</f>
        <v>440</v>
      </c>
      <c r="P113" s="312"/>
      <c r="Q113" s="312"/>
      <c r="R113" s="107"/>
      <c r="S113" s="107"/>
    </row>
    <row r="114" spans="1:19" x14ac:dyDescent="0.3">
      <c r="A114" s="292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107"/>
      <c r="S114" s="107"/>
    </row>
    <row r="115" spans="1:19" x14ac:dyDescent="0.3">
      <c r="A115" s="292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107"/>
      <c r="S115" s="107"/>
    </row>
    <row r="116" spans="1:19" x14ac:dyDescent="0.3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107"/>
      <c r="S116" s="107"/>
    </row>
    <row r="117" spans="1:19" x14ac:dyDescent="0.3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107"/>
      <c r="S117" s="107"/>
    </row>
    <row r="118" spans="1:19" ht="7.95" customHeight="1" x14ac:dyDescent="0.3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107"/>
      <c r="S118" s="107"/>
    </row>
    <row r="119" spans="1:19" ht="6" customHeight="1" x14ac:dyDescent="0.3">
      <c r="A119" s="293" t="s">
        <v>1415</v>
      </c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107"/>
      <c r="S119" s="107"/>
    </row>
    <row r="120" spans="1:19" ht="6" customHeight="1" x14ac:dyDescent="0.3">
      <c r="A120" s="292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107"/>
      <c r="S120" s="107"/>
    </row>
    <row r="121" spans="1:19" x14ac:dyDescent="0.3">
      <c r="A121" s="296" t="s">
        <v>133</v>
      </c>
      <c r="B121" s="295" t="s">
        <v>1224</v>
      </c>
      <c r="C121" s="295" t="s">
        <v>1384</v>
      </c>
      <c r="D121" s="295" t="s">
        <v>324</v>
      </c>
      <c r="E121" s="295" t="s">
        <v>1393</v>
      </c>
      <c r="F121" s="295" t="s">
        <v>1394</v>
      </c>
      <c r="G121" s="295" t="s">
        <v>188</v>
      </c>
      <c r="H121" s="295" t="s">
        <v>1349</v>
      </c>
      <c r="I121" s="312"/>
      <c r="J121" s="295" t="s">
        <v>1350</v>
      </c>
      <c r="K121" s="295" t="s">
        <v>1416</v>
      </c>
      <c r="L121" s="295" t="s">
        <v>1417</v>
      </c>
      <c r="M121" s="295" t="s">
        <v>1344</v>
      </c>
      <c r="N121" s="295" t="s">
        <v>1418</v>
      </c>
      <c r="O121" s="312"/>
      <c r="P121" s="335" t="s">
        <v>1419</v>
      </c>
      <c r="Q121" s="335" t="s">
        <v>1420</v>
      </c>
      <c r="R121" s="107"/>
      <c r="S121" s="107"/>
    </row>
    <row r="122" spans="1:19" x14ac:dyDescent="0.3">
      <c r="A122" s="297" t="s">
        <v>135</v>
      </c>
      <c r="B122" s="298">
        <f>B95</f>
        <v>133</v>
      </c>
      <c r="C122" s="300">
        <f>B96</f>
        <v>4.75</v>
      </c>
      <c r="D122" s="298">
        <f>O90</f>
        <v>89</v>
      </c>
      <c r="E122" s="298">
        <f>P90</f>
        <v>53</v>
      </c>
      <c r="F122" s="314">
        <f>Q90</f>
        <v>0.60377358490566035</v>
      </c>
      <c r="G122" s="298">
        <f>COUNTIFS('DRAFT 2'!$B$3:$B$502,"MANU DITZEL",'DRAFT 2'!$R$3:$R$502,"VENDA / PEDIDO")</f>
        <v>19</v>
      </c>
      <c r="H122" s="314">
        <f>IFERROR(G122/B122,0)</f>
        <v>0.14285714285714285</v>
      </c>
      <c r="I122" s="292"/>
      <c r="J122" s="336">
        <f>IFERROR(COUNTIFS('DRAFT 2'!$B$3:$B$502,"MANU DITZEL",'DRAFT 2'!$W$3:$W$502,"SIM")/COUNTIFS('DRAFT 2'!$B$3:$B$502,"MANU DITZEL"),0)</f>
        <v>0.67669172932330823</v>
      </c>
      <c r="K122" s="314">
        <f>B110</f>
        <v>0.47272727272727272</v>
      </c>
      <c r="L122" s="336">
        <f>IFERROR((K106+K107)/K113,0)</f>
        <v>0.25563909774436089</v>
      </c>
      <c r="M122" s="336">
        <f>IFERROR((K106+K107+K108)/K113,0)</f>
        <v>0.39097744360902253</v>
      </c>
      <c r="N122" s="337">
        <f>IFERROR((K109+K110)/K113,0)</f>
        <v>0.46616541353383456</v>
      </c>
      <c r="O122" s="292"/>
      <c r="P122" s="338">
        <f>(C122/5)*20+(F122)*20+(H122)*20+(J122)*20+(K122)*20</f>
        <v>56.920994596267676</v>
      </c>
      <c r="Q122" s="339">
        <f>RANK(P122,$P$122:$P$125,0)</f>
        <v>1</v>
      </c>
      <c r="R122" s="107"/>
      <c r="S122" s="107"/>
    </row>
    <row r="123" spans="1:19" x14ac:dyDescent="0.3">
      <c r="A123" s="297" t="s">
        <v>137</v>
      </c>
      <c r="B123" s="298">
        <f>C95</f>
        <v>110</v>
      </c>
      <c r="C123" s="300">
        <f>C96</f>
        <v>3.9285714285714284</v>
      </c>
      <c r="D123" s="298">
        <f>O92</f>
        <v>73</v>
      </c>
      <c r="E123" s="298">
        <f>P92</f>
        <v>56</v>
      </c>
      <c r="F123" s="314">
        <f>Q92</f>
        <v>0.6071428571428571</v>
      </c>
      <c r="G123" s="298">
        <f>COUNTIFS('DRAFT 2'!$B$3:$B$502,"LARISSA PADILHA",'DRAFT 2'!$R$3:$R$502,"VENDA / PEDIDO")</f>
        <v>8</v>
      </c>
      <c r="H123" s="314">
        <f>IFERROR(G123/B123,0)</f>
        <v>7.2727272727272724E-2</v>
      </c>
      <c r="I123" s="292"/>
      <c r="J123" s="336">
        <f>IFERROR(COUNTIFS('DRAFT 2'!$B$3:$B$502,"LARISSA PADILHA",'DRAFT 2'!$W$3:$W$502,"SIM")/COUNTIFS('DRAFT 2'!$B$3:$B$502,"LARISSA PADILHA"),0)</f>
        <v>0.68181818181818177</v>
      </c>
      <c r="K123" s="314">
        <f>C110</f>
        <v>0.42528735632183906</v>
      </c>
      <c r="L123" s="336">
        <f>IFERROR((L106+L107)/L113,0)</f>
        <v>0.12727272727272726</v>
      </c>
      <c r="M123" s="336">
        <f>IFERROR((L106+L107+L108)/L113,0)</f>
        <v>0.26363636363636361</v>
      </c>
      <c r="N123" s="337">
        <f>IFERROR((L109+L110)/L113,0)</f>
        <v>0.5636363636363636</v>
      </c>
      <c r="O123" s="292"/>
      <c r="P123" s="338">
        <f>(C123/5)*20+(F123)*20+(H123)*20+(J123)*20+(K123)*20</f>
        <v>51.453799074488721</v>
      </c>
      <c r="Q123" s="339">
        <f>RANK(P123,$P$122:$P$125,0)</f>
        <v>2</v>
      </c>
      <c r="R123" s="107"/>
      <c r="S123" s="107"/>
    </row>
    <row r="124" spans="1:19" x14ac:dyDescent="0.3">
      <c r="A124" s="297" t="s">
        <v>139</v>
      </c>
      <c r="B124" s="298">
        <f>D95</f>
        <v>86</v>
      </c>
      <c r="C124" s="300">
        <f>D96</f>
        <v>3.0714285714285716</v>
      </c>
      <c r="D124" s="298">
        <f>O93</f>
        <v>58</v>
      </c>
      <c r="E124" s="298">
        <f>P93</f>
        <v>38</v>
      </c>
      <c r="F124" s="314">
        <f>Q93</f>
        <v>0.44736842105263158</v>
      </c>
      <c r="G124" s="298">
        <f>COUNTIFS('DRAFT 2'!$B$3:$B$502,"JULIO GADRET",'DRAFT 2'!$R$3:$R$502,"VENDA / PEDIDO")</f>
        <v>8</v>
      </c>
      <c r="H124" s="314">
        <f>IFERROR(G124/B124,0)</f>
        <v>9.3023255813953487E-2</v>
      </c>
      <c r="I124" s="292"/>
      <c r="J124" s="336">
        <f>IFERROR(COUNTIFS('DRAFT 2'!$B$3:$B$502,"JULIO GADRET",'DRAFT 2'!$W$3:$W$502,"SIM")/COUNTIFS('DRAFT 2'!$B$3:$B$502,"JULIO GADRET"),0)</f>
        <v>0.66279069767441856</v>
      </c>
      <c r="K124" s="314">
        <f>D110</f>
        <v>0.39393939393939392</v>
      </c>
      <c r="L124" s="336">
        <f>IFERROR((M106+M107)/M113,0)</f>
        <v>0.19767441860465115</v>
      </c>
      <c r="M124" s="336">
        <f>IFERROR((M106+M107+M108)/M113,0)</f>
        <v>0.33720930232558138</v>
      </c>
      <c r="N124" s="337">
        <f>IFERROR((M109+M110)/M113,0)</f>
        <v>0.47674418604651164</v>
      </c>
      <c r="O124" s="292"/>
      <c r="P124" s="338">
        <f>(C124/5)*20+(F124)*20+(H124)*20+(J124)*20+(K124)*20</f>
        <v>44.228149655322241</v>
      </c>
      <c r="Q124" s="339">
        <f>RANK(P124,$P$122:$P$125,0)</f>
        <v>4</v>
      </c>
      <c r="R124" s="107"/>
      <c r="S124" s="107"/>
    </row>
    <row r="125" spans="1:19" x14ac:dyDescent="0.3">
      <c r="A125" s="297" t="s">
        <v>141</v>
      </c>
      <c r="B125" s="298">
        <f>E95</f>
        <v>111</v>
      </c>
      <c r="C125" s="300">
        <f>E96</f>
        <v>3.9642857142857144</v>
      </c>
      <c r="D125" s="298">
        <f>O91</f>
        <v>87</v>
      </c>
      <c r="E125" s="298">
        <f>P91</f>
        <v>53</v>
      </c>
      <c r="F125" s="314">
        <f>Q91</f>
        <v>0.64150943396226412</v>
      </c>
      <c r="G125" s="298">
        <f>COUNTIFS('DRAFT 2'!$B$3:$B$502,"DAIANE STAVICKI",'DRAFT 2'!$R$3:$R$502,"VENDA / PEDIDO")</f>
        <v>12</v>
      </c>
      <c r="H125" s="314">
        <f>IFERROR(G125/B125,0)</f>
        <v>0.10810810810810811</v>
      </c>
      <c r="I125" s="292"/>
      <c r="J125" s="336">
        <f>IFERROR(COUNTIFS('DRAFT 2'!$B$3:$B$502,"DAIANE STAVICKI",'DRAFT 2'!$W$3:$W$502,"SIM")/COUNTIFS('DRAFT 2'!$B$3:$B$502,"DAIANE STAVICKI"),0)</f>
        <v>0.5855855855855856</v>
      </c>
      <c r="K125" s="314">
        <f>E110</f>
        <v>0.40909090909090912</v>
      </c>
      <c r="L125" s="336">
        <f>IFERROR((N106+N107)/N113,0)</f>
        <v>0.2072072072072072</v>
      </c>
      <c r="M125" s="336">
        <f>IFERROR((N106+N107+N108)/N113,0)</f>
        <v>0.32432432432432434</v>
      </c>
      <c r="N125" s="337">
        <f>IFERROR((N109+N110)/N113,0)</f>
        <v>0.4144144144144144</v>
      </c>
      <c r="O125" s="292"/>
      <c r="P125" s="338">
        <f>(C125/5)*20+(F125)*20+(H125)*20+(J125)*20+(K125)*20</f>
        <v>50.743023592080192</v>
      </c>
      <c r="Q125" s="339">
        <f>RANK(P125,$P$122:$P$125,0)</f>
        <v>3</v>
      </c>
      <c r="R125" s="107"/>
      <c r="S125" s="107"/>
    </row>
    <row r="126" spans="1:19" x14ac:dyDescent="0.3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107"/>
      <c r="S126" s="107"/>
    </row>
    <row r="127" spans="1:19" x14ac:dyDescent="0.3">
      <c r="A127" s="294" t="s">
        <v>1351</v>
      </c>
      <c r="B127" s="303">
        <f>SUM(B122:B125)</f>
        <v>440</v>
      </c>
      <c r="C127" s="304">
        <f>AVERAGE(C122:C125)</f>
        <v>3.9285714285714288</v>
      </c>
      <c r="D127" s="303">
        <f>SUM(D122:D125)</f>
        <v>307</v>
      </c>
      <c r="E127" s="303">
        <f>SUM(E122:E125)</f>
        <v>200</v>
      </c>
      <c r="F127" s="319">
        <f>IFERROR(COUNTIFS('DRAFT 2'!$P$3:$P$502,"SIM")/COUNTIFS('DRAFT 2'!$O$3:$O$502,"SIM"),0)</f>
        <v>0.58499999999999996</v>
      </c>
      <c r="G127" s="303">
        <f>SUM(G122:G125)</f>
        <v>47</v>
      </c>
      <c r="H127" s="319">
        <f>IFERROR(G127/B127,0)</f>
        <v>0.10681818181818181</v>
      </c>
      <c r="I127" s="312"/>
      <c r="J127" s="340">
        <f>IFERROR(COUNTIFS('DRAFT 2'!$W$3:$W$502,"SIM")/COUNTA('DRAFT 2'!$W$3:$W$502),0)</f>
        <v>0.65227272727272723</v>
      </c>
      <c r="K127" s="319">
        <f>AVERAGE(K122:K125)</f>
        <v>0.42526123301985375</v>
      </c>
      <c r="L127" s="340">
        <f>AVERAGE(L122:L125)</f>
        <v>0.19694836270723662</v>
      </c>
      <c r="M127" s="340">
        <f>AVERAGE(M122:M125)</f>
        <v>0.32903685847382297</v>
      </c>
      <c r="N127" s="341">
        <f>AVERAGE(N122:N125)</f>
        <v>0.48024009440778104</v>
      </c>
      <c r="O127" s="312"/>
      <c r="P127" s="342">
        <f>AVERAGE(P122:P125)</f>
        <v>50.836491729539702</v>
      </c>
      <c r="Q127" s="312"/>
      <c r="R127" s="107"/>
      <c r="S127" s="107"/>
    </row>
    <row r="128" spans="1:19" x14ac:dyDescent="0.3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107"/>
      <c r="S128" s="107"/>
    </row>
    <row r="129" spans="1:19" x14ac:dyDescent="0.3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107"/>
      <c r="S129" s="107"/>
    </row>
    <row r="130" spans="1:19" x14ac:dyDescent="0.3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107"/>
      <c r="S130" s="107"/>
    </row>
    <row r="131" spans="1:19" x14ac:dyDescent="0.3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107"/>
      <c r="S131" s="107"/>
    </row>
    <row r="132" spans="1:19" x14ac:dyDescent="0.3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107"/>
      <c r="S132" s="107"/>
    </row>
    <row r="133" spans="1:19" x14ac:dyDescent="0.3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107"/>
      <c r="S133" s="107"/>
    </row>
    <row r="134" spans="1:19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 s="107"/>
      <c r="S134" s="107"/>
    </row>
    <row r="135" spans="1:19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 s="107"/>
      <c r="S135" s="107"/>
    </row>
    <row r="136" spans="1:19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 s="107"/>
      <c r="S136" s="107"/>
    </row>
    <row r="137" spans="1:19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 s="107"/>
      <c r="S137" s="107"/>
    </row>
    <row r="138" spans="1:19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 s="107"/>
      <c r="S138" s="107"/>
    </row>
    <row r="139" spans="1:19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 s="107"/>
      <c r="S139" s="107"/>
    </row>
    <row r="140" spans="1:19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 s="107"/>
      <c r="S140" s="107"/>
    </row>
    <row r="141" spans="1:19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 s="107"/>
      <c r="S141" s="107"/>
    </row>
    <row r="142" spans="1:19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 s="107"/>
      <c r="S142" s="107"/>
    </row>
    <row r="143" spans="1:19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 s="107"/>
      <c r="S143" s="107"/>
    </row>
    <row r="144" spans="1:19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 s="107"/>
      <c r="S144" s="107"/>
    </row>
    <row r="145" spans="1:19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 s="107"/>
      <c r="S145" s="107"/>
    </row>
    <row r="146" spans="1:19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 s="107"/>
      <c r="S146" s="107"/>
    </row>
    <row r="147" spans="1:19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 s="107"/>
      <c r="S147" s="107"/>
    </row>
    <row r="148" spans="1:19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 s="107"/>
      <c r="S148" s="107"/>
    </row>
    <row r="149" spans="1:19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 s="107"/>
      <c r="S149" s="107"/>
    </row>
    <row r="150" spans="1:19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 s="107"/>
      <c r="S150" s="107"/>
    </row>
    <row r="151" spans="1:19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 s="107"/>
      <c r="S151" s="107"/>
    </row>
    <row r="152" spans="1:19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 s="107"/>
      <c r="S152" s="107"/>
    </row>
    <row r="153" spans="1:19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 s="107"/>
      <c r="S153" s="107"/>
    </row>
    <row r="154" spans="1:19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 s="107"/>
      <c r="S154" s="107"/>
    </row>
    <row r="155" spans="1:19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 s="107"/>
      <c r="S155" s="107"/>
    </row>
    <row r="156" spans="1:19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 s="107"/>
      <c r="S156" s="107"/>
    </row>
    <row r="157" spans="1:19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 s="107"/>
      <c r="S157" s="107"/>
    </row>
    <row r="158" spans="1:19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 s="107"/>
      <c r="S158" s="107"/>
    </row>
    <row r="159" spans="1:19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 s="107"/>
      <c r="S159" s="107"/>
    </row>
    <row r="160" spans="1:19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 s="107"/>
      <c r="S160" s="107"/>
    </row>
    <row r="161" spans="1:19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 s="107"/>
      <c r="S161" s="107"/>
    </row>
    <row r="162" spans="1:19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 s="107"/>
      <c r="S162" s="107"/>
    </row>
    <row r="163" spans="1:19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 s="107"/>
      <c r="S163" s="107"/>
    </row>
    <row r="164" spans="1:19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 s="107"/>
      <c r="S164" s="107"/>
    </row>
  </sheetData>
  <mergeCells count="27">
    <mergeCell ref="A39:H39"/>
    <mergeCell ref="I39:Q39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M25:N25"/>
    <mergeCell ref="H25:K25"/>
    <mergeCell ref="P25:Q25"/>
    <mergeCell ref="C25:F25"/>
    <mergeCell ref="A3:B3"/>
    <mergeCell ref="C3:D3"/>
    <mergeCell ref="E3:F3"/>
    <mergeCell ref="G3:H3"/>
    <mergeCell ref="I3:J3"/>
    <mergeCell ref="K3:L3"/>
    <mergeCell ref="M3:N3"/>
    <mergeCell ref="A4:B4"/>
    <mergeCell ref="C4:D4"/>
    <mergeCell ref="E4:F4"/>
    <mergeCell ref="G4:H4"/>
    <mergeCell ref="I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879-BAA0-47C6-9AD1-D3657E847BE6}">
  <dimension ref="A1:F26"/>
  <sheetViews>
    <sheetView workbookViewId="0"/>
  </sheetViews>
  <sheetFormatPr defaultRowHeight="14.4" x14ac:dyDescent="0.3"/>
  <sheetData>
    <row r="1" spans="1:6" x14ac:dyDescent="0.3">
      <c r="A1" s="111" t="s">
        <v>1233</v>
      </c>
      <c r="B1" s="111" t="s">
        <v>1234</v>
      </c>
      <c r="C1" s="111" t="s">
        <v>1235</v>
      </c>
      <c r="D1" s="111" t="s">
        <v>1236</v>
      </c>
      <c r="E1" s="111" t="s">
        <v>1237</v>
      </c>
      <c r="F1" s="111" t="s">
        <v>1238</v>
      </c>
    </row>
    <row r="2" spans="1:6" x14ac:dyDescent="0.3">
      <c r="A2">
        <v>1</v>
      </c>
      <c r="B2" s="47">
        <v>46062</v>
      </c>
      <c r="C2" t="s">
        <v>1239</v>
      </c>
      <c r="D2" t="s">
        <v>1240</v>
      </c>
      <c r="E2" t="s">
        <v>1241</v>
      </c>
      <c r="F2" t="s">
        <v>1242</v>
      </c>
    </row>
    <row r="3" spans="1:6" x14ac:dyDescent="0.3">
      <c r="A3">
        <v>2</v>
      </c>
      <c r="B3" s="47">
        <v>46062</v>
      </c>
      <c r="C3" t="s">
        <v>1243</v>
      </c>
      <c r="D3" t="s">
        <v>1244</v>
      </c>
      <c r="E3" t="s">
        <v>1245</v>
      </c>
      <c r="F3" t="s">
        <v>1246</v>
      </c>
    </row>
    <row r="4" spans="1:6" x14ac:dyDescent="0.3">
      <c r="A4">
        <v>3</v>
      </c>
      <c r="B4" s="47">
        <v>46062</v>
      </c>
      <c r="C4" t="s">
        <v>1247</v>
      </c>
      <c r="D4" t="s">
        <v>1248</v>
      </c>
      <c r="E4" t="s">
        <v>1249</v>
      </c>
      <c r="F4" t="s">
        <v>1250</v>
      </c>
    </row>
    <row r="5" spans="1:6" x14ac:dyDescent="0.3">
      <c r="A5">
        <v>4</v>
      </c>
      <c r="B5" s="47">
        <v>46062</v>
      </c>
      <c r="C5" t="s">
        <v>1251</v>
      </c>
      <c r="D5" t="s">
        <v>1252</v>
      </c>
      <c r="E5" t="s">
        <v>1253</v>
      </c>
      <c r="F5" t="s">
        <v>1254</v>
      </c>
    </row>
    <row r="6" spans="1:6" x14ac:dyDescent="0.3">
      <c r="A6">
        <v>5</v>
      </c>
      <c r="B6" s="47">
        <v>46062</v>
      </c>
      <c r="C6" t="s">
        <v>1255</v>
      </c>
      <c r="D6" t="s">
        <v>1256</v>
      </c>
      <c r="E6" t="s">
        <v>1257</v>
      </c>
      <c r="F6" t="s">
        <v>1258</v>
      </c>
    </row>
    <row r="7" spans="1:6" x14ac:dyDescent="0.3">
      <c r="A7">
        <v>6</v>
      </c>
      <c r="B7" s="47">
        <v>46062</v>
      </c>
      <c r="C7" t="s">
        <v>1259</v>
      </c>
      <c r="D7" t="s">
        <v>1260</v>
      </c>
      <c r="E7" t="s">
        <v>1261</v>
      </c>
      <c r="F7" t="s">
        <v>1262</v>
      </c>
    </row>
    <row r="8" spans="1:6" x14ac:dyDescent="0.3">
      <c r="A8">
        <v>7</v>
      </c>
      <c r="B8" s="47">
        <v>46062</v>
      </c>
      <c r="C8" t="s">
        <v>1266</v>
      </c>
      <c r="D8" t="s">
        <v>1267</v>
      </c>
      <c r="E8" t="s">
        <v>1268</v>
      </c>
      <c r="F8" t="s">
        <v>1269</v>
      </c>
    </row>
    <row r="9" spans="1:6" x14ac:dyDescent="0.3">
      <c r="A9">
        <v>8</v>
      </c>
      <c r="B9" s="47">
        <v>46062</v>
      </c>
      <c r="C9" t="s">
        <v>1270</v>
      </c>
      <c r="D9" t="s">
        <v>1271</v>
      </c>
      <c r="E9" t="s">
        <v>1272</v>
      </c>
      <c r="F9" t="s">
        <v>1273</v>
      </c>
    </row>
    <row r="10" spans="1:6" x14ac:dyDescent="0.3">
      <c r="A10">
        <v>9</v>
      </c>
      <c r="B10" s="47">
        <v>46062</v>
      </c>
      <c r="C10" t="s">
        <v>1274</v>
      </c>
      <c r="D10" t="s">
        <v>1275</v>
      </c>
      <c r="E10" t="s">
        <v>1276</v>
      </c>
      <c r="F10" t="s">
        <v>1277</v>
      </c>
    </row>
    <row r="11" spans="1:6" x14ac:dyDescent="0.3">
      <c r="A11">
        <v>10</v>
      </c>
      <c r="B11" s="47">
        <v>46062</v>
      </c>
      <c r="C11" t="s">
        <v>1281</v>
      </c>
      <c r="D11" t="s">
        <v>1282</v>
      </c>
      <c r="E11" t="s">
        <v>1283</v>
      </c>
      <c r="F11" t="s">
        <v>1284</v>
      </c>
    </row>
    <row r="12" spans="1:6" x14ac:dyDescent="0.3">
      <c r="A12">
        <v>11</v>
      </c>
      <c r="B12" s="47">
        <v>46062</v>
      </c>
      <c r="C12" t="s">
        <v>1285</v>
      </c>
      <c r="D12" t="s">
        <v>1286</v>
      </c>
      <c r="E12" t="s">
        <v>1287</v>
      </c>
      <c r="F12" t="s">
        <v>1288</v>
      </c>
    </row>
    <row r="13" spans="1:6" x14ac:dyDescent="0.3">
      <c r="A13">
        <v>12</v>
      </c>
      <c r="B13" s="47">
        <v>46062</v>
      </c>
      <c r="C13" t="s">
        <v>1296</v>
      </c>
      <c r="D13" t="s">
        <v>1297</v>
      </c>
      <c r="E13" t="s">
        <v>1298</v>
      </c>
      <c r="F13" t="s">
        <v>1299</v>
      </c>
    </row>
    <row r="14" spans="1:6" x14ac:dyDescent="0.3">
      <c r="A14">
        <v>13</v>
      </c>
      <c r="B14" s="47">
        <v>46062</v>
      </c>
      <c r="C14" t="s">
        <v>1315</v>
      </c>
      <c r="D14" t="s">
        <v>1316</v>
      </c>
      <c r="E14" t="s">
        <v>1317</v>
      </c>
      <c r="F14" t="s">
        <v>1318</v>
      </c>
    </row>
    <row r="15" spans="1:6" x14ac:dyDescent="0.3">
      <c r="A15">
        <v>14</v>
      </c>
      <c r="B15" s="47">
        <v>46062</v>
      </c>
      <c r="C15" t="s">
        <v>1319</v>
      </c>
      <c r="D15" t="s">
        <v>1320</v>
      </c>
      <c r="E15" t="s">
        <v>1321</v>
      </c>
      <c r="F15" t="s">
        <v>1322</v>
      </c>
    </row>
    <row r="16" spans="1:6" x14ac:dyDescent="0.3">
      <c r="A16">
        <v>16</v>
      </c>
      <c r="B16" s="47">
        <v>46062</v>
      </c>
      <c r="C16" t="s">
        <v>1326</v>
      </c>
      <c r="D16" t="s">
        <v>1327</v>
      </c>
      <c r="E16" t="s">
        <v>1328</v>
      </c>
      <c r="F16" t="s">
        <v>1329</v>
      </c>
    </row>
    <row r="17" spans="1:6" x14ac:dyDescent="0.3">
      <c r="A17">
        <v>17</v>
      </c>
      <c r="B17" s="47">
        <v>46062</v>
      </c>
      <c r="C17" t="s">
        <v>1336</v>
      </c>
      <c r="D17" t="s">
        <v>1337</v>
      </c>
      <c r="E17" t="s">
        <v>1338</v>
      </c>
      <c r="F17" t="s">
        <v>1339</v>
      </c>
    </row>
    <row r="18" spans="1:6" x14ac:dyDescent="0.3">
      <c r="A18">
        <v>18</v>
      </c>
      <c r="B18" s="47">
        <v>46062</v>
      </c>
      <c r="C18" t="s">
        <v>1345</v>
      </c>
      <c r="D18" t="s">
        <v>1346</v>
      </c>
      <c r="E18" t="s">
        <v>1347</v>
      </c>
      <c r="F18" t="s">
        <v>1348</v>
      </c>
    </row>
    <row r="19" spans="1:6" x14ac:dyDescent="0.3">
      <c r="A19">
        <v>19</v>
      </c>
      <c r="B19" s="47">
        <v>46062</v>
      </c>
      <c r="C19" t="s">
        <v>1352</v>
      </c>
      <c r="D19" t="s">
        <v>1353</v>
      </c>
      <c r="E19" t="s">
        <v>1354</v>
      </c>
      <c r="F19" t="s">
        <v>1355</v>
      </c>
    </row>
    <row r="20" spans="1:6" x14ac:dyDescent="0.3">
      <c r="A20">
        <v>20</v>
      </c>
      <c r="B20" s="47">
        <v>46062</v>
      </c>
      <c r="C20" t="s">
        <v>1356</v>
      </c>
      <c r="D20" t="s">
        <v>1357</v>
      </c>
      <c r="E20" t="s">
        <v>1358</v>
      </c>
      <c r="F20" t="s">
        <v>1359</v>
      </c>
    </row>
    <row r="21" spans="1:6" x14ac:dyDescent="0.3">
      <c r="A21">
        <v>21</v>
      </c>
      <c r="B21" s="47">
        <v>46062</v>
      </c>
      <c r="C21" t="s">
        <v>1360</v>
      </c>
      <c r="D21" t="s">
        <v>1361</v>
      </c>
      <c r="E21" t="s">
        <v>1362</v>
      </c>
      <c r="F21" t="s">
        <v>1363</v>
      </c>
    </row>
    <row r="22" spans="1:6" x14ac:dyDescent="0.3">
      <c r="A22">
        <v>22</v>
      </c>
      <c r="B22" s="47">
        <v>46062</v>
      </c>
      <c r="C22" t="s">
        <v>1364</v>
      </c>
      <c r="D22" t="s">
        <v>1365</v>
      </c>
      <c r="E22" t="s">
        <v>1366</v>
      </c>
      <c r="F22" t="s">
        <v>1367</v>
      </c>
    </row>
    <row r="23" spans="1:6" x14ac:dyDescent="0.3">
      <c r="A23">
        <v>23</v>
      </c>
      <c r="B23" s="47">
        <v>46062</v>
      </c>
      <c r="C23" t="s">
        <v>1369</v>
      </c>
      <c r="D23" t="s">
        <v>1370</v>
      </c>
      <c r="E23" t="s">
        <v>1371</v>
      </c>
      <c r="F23" t="s">
        <v>1372</v>
      </c>
    </row>
    <row r="24" spans="1:6" x14ac:dyDescent="0.3">
      <c r="A24">
        <v>24</v>
      </c>
      <c r="B24" s="47">
        <v>46062</v>
      </c>
      <c r="C24" t="s">
        <v>1374</v>
      </c>
      <c r="D24" t="s">
        <v>1375</v>
      </c>
      <c r="E24" t="s">
        <v>1376</v>
      </c>
      <c r="F24" t="s">
        <v>1377</v>
      </c>
    </row>
    <row r="25" spans="1:6" x14ac:dyDescent="0.3">
      <c r="A25">
        <v>25</v>
      </c>
      <c r="B25" s="47">
        <v>46062</v>
      </c>
      <c r="C25" t="s">
        <v>1378</v>
      </c>
      <c r="D25" t="s">
        <v>1379</v>
      </c>
      <c r="E25" t="s">
        <v>1380</v>
      </c>
      <c r="F25" t="s">
        <v>1381</v>
      </c>
    </row>
    <row r="26" spans="1:6" x14ac:dyDescent="0.3">
      <c r="A26">
        <v>27</v>
      </c>
      <c r="B26" s="47">
        <v>46062</v>
      </c>
      <c r="C26" t="s">
        <v>1421</v>
      </c>
      <c r="D26" t="s">
        <v>1422</v>
      </c>
      <c r="E26" t="s">
        <v>1423</v>
      </c>
      <c r="F26" t="s">
        <v>1424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15</vt:i4>
      </vt:variant>
    </vt:vector>
  </HeadingPairs>
  <TitlesOfParts>
    <vt:vector size="23" baseType="lpstr">
      <vt:lpstr>REGRAS</vt:lpstr>
      <vt:lpstr>CARTEIRA</vt:lpstr>
      <vt:lpstr>DRAFT 1</vt:lpstr>
      <vt:lpstr>LOG</vt:lpstr>
      <vt:lpstr>DRAFT 2</vt:lpstr>
      <vt:lpstr>AGENDA</vt:lpstr>
      <vt:lpstr>DASH</vt:lpstr>
      <vt:lpstr>Claude Log</vt:lpstr>
      <vt:lpstr>LISTA_ACAO_FUTURA</vt:lpstr>
      <vt:lpstr>LISTA_ATIVO_RECEPTIVO</vt:lpstr>
      <vt:lpstr>LISTA_CONSULTOR</vt:lpstr>
      <vt:lpstr>LISTA_CURVA_ABC</vt:lpstr>
      <vt:lpstr>LISTA_FASE</vt:lpstr>
      <vt:lpstr>LISTA_GRUPO_DASH</vt:lpstr>
      <vt:lpstr>LISTA_MOTIVO</vt:lpstr>
      <vt:lpstr>LISTA_RESULTADO</vt:lpstr>
      <vt:lpstr>LISTA_SIM_NAO</vt:lpstr>
      <vt:lpstr>LISTA_SIM_NAO_NA</vt:lpstr>
      <vt:lpstr>LISTA_SINALEIRO</vt:lpstr>
      <vt:lpstr>LISTA_SITUACAO</vt:lpstr>
      <vt:lpstr>LISTA_TENTATIVA</vt:lpstr>
      <vt:lpstr>LISTA_TIPO_CLIENTE</vt:lpstr>
      <vt:lpstr>LISTA_TIPO_CONTATO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Garcia</cp:lastModifiedBy>
  <cp:revision>0</cp:revision>
  <dcterms:created xsi:type="dcterms:W3CDTF">2026-02-08T19:14:16Z</dcterms:created>
  <dcterms:modified xsi:type="dcterms:W3CDTF">2026-02-09T14:56:57Z</dcterms:modified>
  <dc:language>en-US</dc:language>
</cp:coreProperties>
</file>