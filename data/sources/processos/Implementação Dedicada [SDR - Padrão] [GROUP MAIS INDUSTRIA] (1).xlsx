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o de Implementação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">
      <text>
        <t xml:space="preserve">Data da primeira reunião entre implementador e cliente</t>
      </text>
    </comment>
    <comment authorId="0" ref="I3">
      <text>
        <t xml:space="preserve">Data da reunião de encerramento do projeto</t>
      </text>
    </comment>
  </commentList>
</comments>
</file>

<file path=xl/sharedStrings.xml><?xml version="1.0" encoding="utf-8"?>
<sst xmlns="http://schemas.openxmlformats.org/spreadsheetml/2006/main" count="85" uniqueCount="82">
  <si>
    <t xml:space="preserve">  </t>
  </si>
  <si>
    <t>Cliente:</t>
  </si>
  <si>
    <t>VITAO</t>
  </si>
  <si>
    <t>Data Início:</t>
  </si>
  <si>
    <t>Horas Planejadas:</t>
  </si>
  <si>
    <t>Implementador:</t>
  </si>
  <si>
    <t>RODRIGO RAMOS</t>
  </si>
  <si>
    <t>Data Final:</t>
  </si>
  <si>
    <t>Horas Executadas:</t>
  </si>
  <si>
    <t>Nº</t>
  </si>
  <si>
    <t>Atividade</t>
  </si>
  <si>
    <t>Tipo</t>
  </si>
  <si>
    <t>Data Planejada</t>
  </si>
  <si>
    <t>Data Realizada</t>
  </si>
  <si>
    <t>Horas Planejadas</t>
  </si>
  <si>
    <t>Horas Realizadas</t>
  </si>
  <si>
    <t>Observações</t>
  </si>
  <si>
    <t>Imersão</t>
  </si>
  <si>
    <t xml:space="preserve">Estudos Questionários e Kick-off			</t>
  </si>
  <si>
    <t>Hora Interna</t>
  </si>
  <si>
    <t>Apresentação e Overview do Spotter (Focando nos módulos críticos para o Cliente)</t>
  </si>
  <si>
    <t>1ª Reunião</t>
  </si>
  <si>
    <t>Sua Conta, Campos Personalizados, Central de Ajuda/Atendimento, Webphone</t>
  </si>
  <si>
    <t xml:space="preserve">Como criar equipes </t>
  </si>
  <si>
    <t>Como cadastrar leads (Manual, Importação, Integração, Plugin)</t>
  </si>
  <si>
    <t>Como criar padrões</t>
  </si>
  <si>
    <t>Mapear Processo Comercial</t>
  </si>
  <si>
    <t>2ª Reunião</t>
  </si>
  <si>
    <t>Apresentar recurso de Funil Spotter (Modos de Passagens e Criações de Etapas)</t>
  </si>
  <si>
    <t>Configurar Funil de Vendas</t>
  </si>
  <si>
    <t>Alinhamento sobre ICP</t>
  </si>
  <si>
    <t>3ª Reunião</t>
  </si>
  <si>
    <t>WebPhone e WhatsApp</t>
  </si>
  <si>
    <t>Configurações</t>
  </si>
  <si>
    <t>Integrações Nativas</t>
  </si>
  <si>
    <t>4ª Reunião</t>
  </si>
  <si>
    <t>Teste de Integrações</t>
  </si>
  <si>
    <t>Visão geral de Atividades - Criar novos tipos de Atividades</t>
  </si>
  <si>
    <t>5ª Reunião</t>
  </si>
  <si>
    <t>Workflow - Criar Fluxos de Atividades</t>
  </si>
  <si>
    <t>Apresentação do recurso de Cadência de E-mails</t>
  </si>
  <si>
    <t>6ª Reunião</t>
  </si>
  <si>
    <t xml:space="preserve">Auxílio na criação de subdomínio (ou se o cliente preferir utilizar o domínio genérico)				</t>
  </si>
  <si>
    <t>Templates de E-mails - Cadência (Demonstrar Mentor IA)</t>
  </si>
  <si>
    <t>Criar um Campanha de e-mails</t>
  </si>
  <si>
    <t>Apoio com Contratação</t>
  </si>
  <si>
    <t>Desenho Estratégia de Vendas</t>
  </si>
  <si>
    <t>Exact Searching - Criar uma lista de prospects</t>
  </si>
  <si>
    <t>7ª Reunião</t>
  </si>
  <si>
    <t>Buscador de Contatos / Validador de E-mails</t>
  </si>
  <si>
    <t>Plugin do Spotter para LinkedIn</t>
  </si>
  <si>
    <t>Importação de Leads - Base</t>
  </si>
  <si>
    <t>Qualificação de leads (Frameworks e Tipos de Questionários)</t>
  </si>
  <si>
    <t>8ª Reunião</t>
  </si>
  <si>
    <t>Brainstorm de Perguntas</t>
  </si>
  <si>
    <t>Filtro - Questionários (Análise e Cadastro de Perguntas)</t>
  </si>
  <si>
    <t>Configuração do roteiro no Spotter</t>
  </si>
  <si>
    <t>Elaboração e configuração de dicas no Spotter</t>
  </si>
  <si>
    <t>Apresentação do Roteiro de Abordagem e ajustes de roteiro</t>
  </si>
  <si>
    <t>9ª Reunião</t>
  </si>
  <si>
    <t>Leadscoring (definir pontos básicos de linhas de corte de clientes)</t>
  </si>
  <si>
    <t xml:space="preserve">Regra de Segmentação </t>
  </si>
  <si>
    <t>Integração - Central de e-mails</t>
  </si>
  <si>
    <t>10ª Reunião</t>
  </si>
  <si>
    <t>Definição de metas da equipe</t>
  </si>
  <si>
    <t>Funil Outbound</t>
  </si>
  <si>
    <t>Roteiro Outbound</t>
  </si>
  <si>
    <t>Dashboard e BA</t>
  </si>
  <si>
    <t>Treinamento</t>
  </si>
  <si>
    <t>Elaboração de Material de SPRINT</t>
  </si>
  <si>
    <t>Construir Relatórios no B.A.</t>
  </si>
  <si>
    <t>Treinamento do time</t>
  </si>
  <si>
    <t>11ª Reunião</t>
  </si>
  <si>
    <t>Alinhamentos sobre SPRINT</t>
  </si>
  <si>
    <t>Interações com o time (Acompanhamento e Dúvidas)</t>
  </si>
  <si>
    <t>Análise de Abordagens</t>
  </si>
  <si>
    <t>Analisar Produtividade</t>
  </si>
  <si>
    <t>Realizar ajustes Finos de Operação</t>
  </si>
  <si>
    <t>Construção Relatório Final</t>
  </si>
  <si>
    <t>Apresentação de Relatório de Finalização da Implementação</t>
  </si>
  <si>
    <t>12ª Reunião</t>
  </si>
  <si>
    <t>Entrega de Materiais e Relatório de Implementação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</si>
</sst>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hh:mm:ss"/>
    <numFmt numFmtId="166" formatCode="dd/mm/yyyy"/>
    <numFmt numFmtId="167" formatCode="dd/mm"/>
  </numFmts>
  <fonts count="13">
    <font>
      <sz val="10.0"/>
      <color rgb="FF000000"/>
      <name val="Arial"/>
      <scheme val="minor"/>
    </font>
    <font>
      <color theme="1"/>
      <name val="Roboto"/>
    </font>
    <font>
      <b/>
      <color theme="1"/>
      <name val="Roboto"/>
    </font>
    <font>
      <color theme="1"/>
      <name val="Arial"/>
      <scheme val="minor"/>
    </font>
    <font>
      <b/>
      <sz val="12.0"/>
      <color rgb="FF021F39"/>
      <name val="Rajdhani"/>
    </font>
    <font>
      <sz val="10.0"/>
      <color rgb="FF021F39"/>
      <name val="Roboto"/>
    </font>
    <font/>
    <font>
      <b/>
      <sz val="12.0"/>
      <color rgb="FFF9B564"/>
      <name val="Rajdhani"/>
    </font>
    <font>
      <color rgb="FF021F39"/>
      <name val="Roboto"/>
    </font>
    <font>
      <b/>
      <color rgb="FF021F39"/>
      <name val="Roboto"/>
    </font>
    <font>
      <b/>
      <sz val="11.0"/>
      <color rgb="FF353E4E"/>
      <name val="Roboto"/>
    </font>
    <font>
      <b/>
      <sz val="12.0"/>
      <color rgb="FFFFFFFF"/>
      <name val="Rajdhani"/>
    </font>
    <font>
      <color rgb="FFF46E4F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B564"/>
        <bgColor rgb="FFF9B564"/>
      </patternFill>
    </fill>
    <fill>
      <patternFill patternType="solid">
        <fgColor rgb="FF021F39"/>
        <bgColor rgb="FF021F39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</fills>
  <borders count="31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9B564"/>
      </left>
      <right style="thin">
        <color rgb="FFF9B564"/>
      </right>
      <top style="thin">
        <color rgb="FFF9B564"/>
      </top>
    </border>
    <border>
      <left style="thin">
        <color rgb="FFF9B564"/>
      </left>
      <top style="thin">
        <color rgb="FFF9B564"/>
      </top>
    </border>
    <border>
      <top style="thin">
        <color rgb="FFF9B564"/>
      </top>
    </border>
    <border>
      <right style="thin">
        <color rgb="FFF9B564"/>
      </right>
      <top style="thin">
        <color rgb="FFF9B564"/>
      </top>
    </border>
    <border>
      <top style="thick">
        <color rgb="FFFFFFFF"/>
      </top>
      <bottom style="thick">
        <color rgb="FFFFFFFF"/>
      </bottom>
    </border>
    <border>
      <left style="thin">
        <color rgb="FFFFFFFF"/>
      </left>
      <bottom style="thin">
        <color rgb="FFFFFFFF"/>
      </bottom>
    </border>
    <border>
      <left style="thick">
        <color rgb="FFFFFFFF"/>
      </left>
      <bottom style="thin">
        <color rgb="FFFFFFFF"/>
      </bottom>
    </border>
    <border>
      <bottom style="thin">
        <color rgb="FFFFFFFF"/>
      </bottom>
    </border>
    <border>
      <right style="thick">
        <color rgb="FFFFFFFF"/>
      </right>
      <bottom style="thin">
        <color rgb="FFFFFFFF"/>
      </bottom>
    </border>
    <border>
      <left style="thick">
        <color rgb="FFFFFFFF"/>
      </left>
      <right style="thick">
        <color rgb="FFFFFFFF"/>
      </right>
      <bottom style="thin">
        <color rgb="FFFFFFFF"/>
      </bottom>
    </border>
    <border>
      <left style="thick">
        <color rgb="FFFFFFFF"/>
      </left>
      <top style="thin">
        <color rgb="FFFFFFFF"/>
      </top>
      <bottom style="thin">
        <color rgb="FFFFFFFF"/>
      </bottom>
    </border>
    <border>
      <right style="thick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</border>
    <border>
      <left style="thick">
        <color rgb="FFFFFFFF"/>
      </left>
      <right style="thick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left style="thick">
        <color rgb="FFFFFFFF"/>
      </left>
      <top style="thin">
        <color rgb="FFFFFFFF"/>
      </top>
    </border>
    <border>
      <right style="thick">
        <color rgb="FFFFFFFF"/>
      </right>
      <top style="thin">
        <color rgb="FFFFFFFF"/>
      </top>
    </border>
    <border>
      <left style="thick">
        <color rgb="FFFFFFFF"/>
      </left>
      <right style="thick">
        <color rgb="FFFFFFFF"/>
      </right>
      <top style="thin">
        <color rgb="FFFFFFFF"/>
      </top>
    </border>
    <border>
      <left style="thick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ck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1" numFmtId="0" xfId="0" applyAlignment="1" applyBorder="1" applyFont="1">
      <alignment vertical="bottom"/>
    </xf>
    <xf borderId="1" fillId="0" fontId="1" numFmtId="0" xfId="0" applyBorder="1" applyFont="1"/>
    <xf borderId="3" fillId="2" fontId="2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vertical="bottom"/>
    </xf>
    <xf borderId="3" fillId="2" fontId="1" numFmtId="164" xfId="0" applyAlignment="1" applyBorder="1" applyFont="1" applyNumberFormat="1">
      <alignment vertical="bottom"/>
    </xf>
    <xf borderId="3" fillId="2" fontId="1" numFmtId="164" xfId="0" applyAlignment="1" applyBorder="1" applyFont="1" applyNumberFormat="1">
      <alignment horizontal="center" vertical="bottom"/>
    </xf>
    <xf borderId="3" fillId="2" fontId="1" numFmtId="0" xfId="0" applyAlignment="1" applyBorder="1" applyFont="1">
      <alignment horizontal="center" vertical="bottom"/>
    </xf>
    <xf borderId="3" fillId="2" fontId="1" numFmtId="0" xfId="0" applyAlignment="1" applyBorder="1" applyFont="1">
      <alignment vertical="bottom"/>
    </xf>
    <xf borderId="4" fillId="2" fontId="1" numFmtId="0" xfId="0" applyAlignment="1" applyBorder="1" applyFont="1">
      <alignment vertical="bottom"/>
    </xf>
    <xf borderId="5" fillId="2" fontId="1" numFmtId="0" xfId="0" applyAlignment="1" applyBorder="1" applyFont="1">
      <alignment vertical="bottom"/>
    </xf>
    <xf borderId="6" fillId="2" fontId="1" numFmtId="0" xfId="0" applyAlignment="1" applyBorder="1" applyFont="1">
      <alignment vertical="bottom"/>
    </xf>
    <xf borderId="7" fillId="0" fontId="1" numFmtId="0" xfId="0" applyBorder="1" applyFont="1"/>
    <xf borderId="1" fillId="0" fontId="3" numFmtId="0" xfId="0" applyBorder="1" applyFont="1"/>
    <xf borderId="1" fillId="2" fontId="4" numFmtId="0" xfId="0" applyAlignment="1" applyBorder="1" applyFont="1">
      <alignment horizontal="right" vertical="bottom"/>
    </xf>
    <xf borderId="7" fillId="2" fontId="5" numFmtId="0" xfId="0" applyAlignment="1" applyBorder="1" applyFont="1">
      <alignment readingOrder="0" vertical="bottom"/>
    </xf>
    <xf borderId="2" fillId="0" fontId="6" numFmtId="0" xfId="0" applyBorder="1" applyFont="1"/>
    <xf borderId="4" fillId="0" fontId="6" numFmtId="0" xfId="0" applyBorder="1" applyFont="1"/>
    <xf borderId="4" fillId="2" fontId="7" numFmtId="0" xfId="0" applyAlignment="1" applyBorder="1" applyFont="1">
      <alignment horizontal="right" vertical="bottom"/>
    </xf>
    <xf borderId="1" fillId="2" fontId="8" numFmtId="14" xfId="0" applyAlignment="1" applyBorder="1" applyFont="1" applyNumberFormat="1">
      <alignment horizontal="left" readingOrder="0" vertical="bottom"/>
    </xf>
    <xf borderId="1" fillId="2" fontId="7" numFmtId="0" xfId="0" applyAlignment="1" applyBorder="1" applyFont="1">
      <alignment horizontal="right" readingOrder="0" shrinkToFit="0" vertical="center" wrapText="1"/>
    </xf>
    <xf borderId="1" fillId="2" fontId="9" numFmtId="165" xfId="0" applyAlignment="1" applyBorder="1" applyFont="1" applyNumberFormat="1">
      <alignment horizontal="center" vertical="bottom"/>
    </xf>
    <xf borderId="1" fillId="2" fontId="8" numFmtId="14" xfId="0" applyAlignment="1" applyBorder="1" applyFont="1" applyNumberFormat="1">
      <alignment horizontal="left" vertical="bottom"/>
    </xf>
    <xf borderId="1" fillId="2" fontId="7" numFmtId="0" xfId="0" applyAlignment="1" applyBorder="1" applyFont="1">
      <alignment horizontal="right" vertical="bottom"/>
    </xf>
    <xf borderId="1" fillId="2" fontId="9" numFmtId="165" xfId="0" applyAlignment="1" applyBorder="1" applyFont="1" applyNumberFormat="1">
      <alignment horizontal="center" readingOrder="0"/>
    </xf>
    <xf borderId="6" fillId="2" fontId="1" numFmtId="10" xfId="0" applyAlignment="1" applyBorder="1" applyFont="1" applyNumberFormat="1">
      <alignment vertical="bottom"/>
    </xf>
    <xf borderId="8" fillId="2" fontId="1" numFmtId="0" xfId="0" applyAlignment="1" applyBorder="1" applyFont="1">
      <alignment vertical="bottom"/>
    </xf>
    <xf borderId="9" fillId="2" fontId="1" numFmtId="0" xfId="0" applyAlignment="1" applyBorder="1" applyFont="1">
      <alignment vertical="bottom"/>
    </xf>
    <xf borderId="10" fillId="2" fontId="1" numFmtId="0" xfId="0" applyAlignment="1" applyBorder="1" applyFont="1">
      <alignment vertical="bottom"/>
    </xf>
    <xf borderId="9" fillId="2" fontId="1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/>
    </xf>
    <xf borderId="5" fillId="0" fontId="3" numFmtId="0" xfId="0" applyBorder="1" applyFont="1"/>
    <xf borderId="5" fillId="2" fontId="1" numFmtId="10" xfId="0" applyAlignment="1" applyBorder="1" applyFont="1" applyNumberFormat="1">
      <alignment vertical="bottom"/>
    </xf>
    <xf borderId="9" fillId="2" fontId="1" numFmtId="10" xfId="0" applyAlignment="1" applyBorder="1" applyFont="1" applyNumberFormat="1">
      <alignment vertical="bottom"/>
    </xf>
    <xf borderId="10" fillId="2" fontId="1" numFmtId="0" xfId="0" applyAlignment="1" applyBorder="1" applyFont="1">
      <alignment horizontal="center" vertical="bottom"/>
    </xf>
    <xf borderId="10" fillId="2" fontId="10" numFmtId="0" xfId="0" applyAlignment="1" applyBorder="1" applyFont="1">
      <alignment horizontal="center" vertical="bottom"/>
    </xf>
    <xf borderId="10" fillId="2" fontId="10" numFmtId="46" xfId="0" applyAlignment="1" applyBorder="1" applyFont="1" applyNumberFormat="1">
      <alignment horizontal="center" vertical="bottom"/>
    </xf>
    <xf borderId="10" fillId="2" fontId="1" numFmtId="10" xfId="0" applyAlignment="1" applyBorder="1" applyFont="1" applyNumberFormat="1">
      <alignment vertical="bottom"/>
    </xf>
    <xf borderId="11" fillId="3" fontId="4" numFmtId="0" xfId="0" applyAlignment="1" applyBorder="1" applyFill="1" applyFont="1">
      <alignment horizontal="center" shrinkToFit="0" vertical="center" wrapText="1"/>
    </xf>
    <xf borderId="12" fillId="3" fontId="4" numFmtId="0" xfId="0" applyAlignment="1" applyBorder="1" applyFont="1">
      <alignment horizontal="center" shrinkToFit="0" vertical="center" wrapText="1"/>
    </xf>
    <xf borderId="13" fillId="0" fontId="6" numFmtId="0" xfId="0" applyBorder="1" applyFont="1"/>
    <xf borderId="14" fillId="0" fontId="6" numFmtId="0" xfId="0" applyBorder="1" applyFont="1"/>
    <xf borderId="11" fillId="3" fontId="4" numFmtId="164" xfId="0" applyAlignment="1" applyBorder="1" applyFont="1" applyNumberFormat="1">
      <alignment horizontal="center" shrinkToFit="0" vertical="center" wrapText="1"/>
    </xf>
    <xf borderId="12" fillId="3" fontId="4" numFmtId="0" xfId="0" applyAlignment="1" applyBorder="1" applyFont="1">
      <alignment horizontal="center" readingOrder="0" shrinkToFit="0" vertical="center" wrapText="1"/>
    </xf>
    <xf borderId="15" fillId="4" fontId="11" numFmtId="0" xfId="0" applyAlignment="1" applyBorder="1" applyFill="1" applyFont="1">
      <alignment horizontal="center" shrinkToFit="0" vertical="center" wrapText="1"/>
    </xf>
    <xf borderId="15" fillId="4" fontId="11" numFmtId="0" xfId="0" applyAlignment="1" applyBorder="1" applyFont="1">
      <alignment horizontal="left" readingOrder="0" shrinkToFit="0" vertical="center" wrapText="1"/>
    </xf>
    <xf borderId="15" fillId="0" fontId="6" numFmtId="0" xfId="0" applyBorder="1" applyFont="1"/>
    <xf borderId="16" fillId="2" fontId="8" numFmtId="0" xfId="0" applyAlignment="1" applyBorder="1" applyFont="1">
      <alignment vertical="bottom"/>
    </xf>
    <xf borderId="17" fillId="2" fontId="8" numFmtId="0" xfId="0" applyAlignment="1" applyBorder="1" applyFont="1">
      <alignment shrinkToFit="0" wrapText="1"/>
    </xf>
    <xf borderId="18" fillId="2" fontId="6" numFmtId="0" xfId="0" applyBorder="1" applyFont="1"/>
    <xf borderId="19" fillId="2" fontId="6" numFmtId="0" xfId="0" applyBorder="1" applyFont="1"/>
    <xf borderId="18" fillId="5" fontId="9" numFmtId="0" xfId="0" applyAlignment="1" applyBorder="1" applyFill="1" applyFont="1">
      <alignment horizontal="center" readingOrder="0" vertical="center"/>
    </xf>
    <xf borderId="20" fillId="2" fontId="8" numFmtId="166" xfId="0" applyAlignment="1" applyBorder="1" applyFont="1" applyNumberFormat="1">
      <alignment horizontal="center" readingOrder="0"/>
    </xf>
    <xf borderId="20" fillId="2" fontId="8" numFmtId="165" xfId="0" applyAlignment="1" applyBorder="1" applyFont="1" applyNumberFormat="1">
      <alignment horizontal="center" readingOrder="0"/>
    </xf>
    <xf borderId="17" fillId="2" fontId="8" numFmtId="166" xfId="0" applyBorder="1" applyFont="1" applyNumberFormat="1"/>
    <xf borderId="7" fillId="6" fontId="8" numFmtId="0" xfId="0" applyAlignment="1" applyBorder="1" applyFill="1" applyFont="1">
      <alignment vertical="bottom"/>
    </xf>
    <xf borderId="21" fillId="6" fontId="8" numFmtId="0" xfId="0" applyAlignment="1" applyBorder="1" applyFont="1">
      <alignment shrinkToFit="0" wrapText="1"/>
    </xf>
    <xf borderId="2" fillId="6" fontId="6" numFmtId="0" xfId="0" applyBorder="1" applyFont="1"/>
    <xf borderId="22" fillId="6" fontId="6" numFmtId="0" xfId="0" applyBorder="1" applyFont="1"/>
    <xf borderId="23" fillId="5" fontId="9" numFmtId="0" xfId="0" applyAlignment="1" applyBorder="1" applyFont="1">
      <alignment horizontal="center" vertical="center"/>
    </xf>
    <xf borderId="24" fillId="6" fontId="8" numFmtId="166" xfId="0" applyAlignment="1" applyBorder="1" applyFont="1" applyNumberFormat="1">
      <alignment horizontal="center" readingOrder="0"/>
    </xf>
    <xf borderId="24" fillId="6" fontId="8" numFmtId="165" xfId="0" applyAlignment="1" applyBorder="1" applyFont="1" applyNumberFormat="1">
      <alignment horizontal="center" readingOrder="0"/>
    </xf>
    <xf borderId="21" fillId="6" fontId="8" numFmtId="0" xfId="0" applyAlignment="1" applyBorder="1" applyFont="1">
      <alignment vertical="bottom"/>
    </xf>
    <xf borderId="7" fillId="2" fontId="8" numFmtId="0" xfId="0" applyAlignment="1" applyBorder="1" applyFont="1">
      <alignment vertical="bottom"/>
    </xf>
    <xf borderId="21" fillId="2" fontId="8" numFmtId="0" xfId="0" applyAlignment="1" applyBorder="1" applyFont="1">
      <alignment readingOrder="0" shrinkToFit="0" wrapText="1"/>
    </xf>
    <xf borderId="2" fillId="2" fontId="6" numFmtId="0" xfId="0" applyBorder="1" applyFont="1"/>
    <xf borderId="22" fillId="2" fontId="6" numFmtId="0" xfId="0" applyBorder="1" applyFont="1"/>
    <xf borderId="24" fillId="2" fontId="8" numFmtId="165" xfId="0" applyAlignment="1" applyBorder="1" applyFont="1" applyNumberFormat="1">
      <alignment horizontal="center" readingOrder="0"/>
    </xf>
    <xf borderId="21" fillId="2" fontId="8" numFmtId="0" xfId="0" applyBorder="1" applyFont="1"/>
    <xf borderId="21" fillId="6" fontId="8" numFmtId="0" xfId="0" applyBorder="1" applyFont="1"/>
    <xf borderId="21" fillId="2" fontId="8" numFmtId="0" xfId="0" applyAlignment="1" applyBorder="1" applyFont="1">
      <alignment shrinkToFit="0" wrapText="1"/>
    </xf>
    <xf borderId="24" fillId="2" fontId="8" numFmtId="166" xfId="0" applyAlignment="1" applyBorder="1" applyFont="1" applyNumberFormat="1">
      <alignment horizontal="center" readingOrder="0"/>
    </xf>
    <xf borderId="21" fillId="6" fontId="8" numFmtId="0" xfId="0" applyAlignment="1" applyBorder="1" applyFont="1">
      <alignment readingOrder="0" shrinkToFit="0" wrapText="1"/>
    </xf>
    <xf borderId="18" fillId="6" fontId="6" numFmtId="0" xfId="0" applyBorder="1" applyFont="1"/>
    <xf borderId="23" fillId="5" fontId="9" numFmtId="0" xfId="0" applyAlignment="1" applyBorder="1" applyFont="1">
      <alignment horizontal="center" readingOrder="0" vertical="center"/>
    </xf>
    <xf borderId="25" fillId="6" fontId="8" numFmtId="0" xfId="0" applyAlignment="1" applyBorder="1" applyFont="1">
      <alignment vertical="bottom"/>
    </xf>
    <xf borderId="26" fillId="6" fontId="8" numFmtId="0" xfId="0" applyAlignment="1" applyBorder="1" applyFont="1">
      <alignment readingOrder="0" shrinkToFit="0" wrapText="1"/>
    </xf>
    <xf borderId="23" fillId="6" fontId="6" numFmtId="0" xfId="0" applyBorder="1" applyFont="1"/>
    <xf borderId="27" fillId="6" fontId="6" numFmtId="0" xfId="0" applyBorder="1" applyFont="1"/>
    <xf borderId="28" fillId="6" fontId="8" numFmtId="166" xfId="0" applyAlignment="1" applyBorder="1" applyFont="1" applyNumberFormat="1">
      <alignment horizontal="center" readingOrder="0"/>
    </xf>
    <xf borderId="28" fillId="6" fontId="8" numFmtId="165" xfId="0" applyAlignment="1" applyBorder="1" applyFont="1" applyNumberFormat="1">
      <alignment horizontal="center" readingOrder="0"/>
    </xf>
    <xf borderId="26" fillId="6" fontId="8" numFmtId="0" xfId="0" applyBorder="1" applyFont="1"/>
    <xf borderId="15" fillId="4" fontId="11" numFmtId="0" xfId="0" applyAlignment="1" applyBorder="1" applyFont="1">
      <alignment readingOrder="0" shrinkToFit="0" vertical="center" wrapText="0"/>
    </xf>
    <xf borderId="15" fillId="2" fontId="6" numFmtId="0" xfId="0" applyBorder="1" applyFont="1"/>
    <xf borderId="16" fillId="6" fontId="8" numFmtId="0" xfId="0" applyAlignment="1" applyBorder="1" applyFont="1">
      <alignment vertical="bottom"/>
    </xf>
    <xf borderId="17" fillId="6" fontId="8" numFmtId="0" xfId="0" applyAlignment="1" applyBorder="1" applyFont="1">
      <alignment readingOrder="0" shrinkToFit="0" wrapText="1"/>
    </xf>
    <xf borderId="19" fillId="6" fontId="6" numFmtId="0" xfId="0" applyBorder="1" applyFont="1"/>
    <xf borderId="0" fillId="5" fontId="9" numFmtId="0" xfId="0" applyAlignment="1" applyFont="1">
      <alignment horizontal="center" readingOrder="0" vertical="center"/>
    </xf>
    <xf borderId="20" fillId="6" fontId="8" numFmtId="166" xfId="0" applyAlignment="1" applyBorder="1" applyFont="1" applyNumberFormat="1">
      <alignment horizontal="center" readingOrder="0"/>
    </xf>
    <xf borderId="20" fillId="6" fontId="8" numFmtId="165" xfId="0" applyAlignment="1" applyBorder="1" applyFont="1" applyNumberFormat="1">
      <alignment horizontal="center" readingOrder="0"/>
    </xf>
    <xf borderId="20" fillId="6" fontId="8" numFmtId="165" xfId="0" applyAlignment="1" applyBorder="1" applyFont="1" applyNumberFormat="1">
      <alignment horizontal="center"/>
    </xf>
    <xf borderId="17" fillId="6" fontId="8" numFmtId="0" xfId="0" applyBorder="1" applyFont="1"/>
    <xf borderId="24" fillId="2" fontId="8" numFmtId="166" xfId="0" applyAlignment="1" applyBorder="1" applyFont="1" applyNumberFormat="1">
      <alignment horizontal="center"/>
    </xf>
    <xf borderId="24" fillId="2" fontId="8" numFmtId="165" xfId="0" applyAlignment="1" applyBorder="1" applyFont="1" applyNumberFormat="1">
      <alignment horizontal="center"/>
    </xf>
    <xf borderId="21" fillId="6" fontId="8" numFmtId="0" xfId="0" applyAlignment="1" applyBorder="1" applyFont="1">
      <alignment readingOrder="0" vertical="bottom"/>
    </xf>
    <xf borderId="21" fillId="2" fontId="8" numFmtId="0" xfId="0" applyAlignment="1" applyBorder="1" applyFont="1">
      <alignment readingOrder="0" shrinkToFit="0" vertical="bottom" wrapText="1"/>
    </xf>
    <xf borderId="29" fillId="2" fontId="8" numFmtId="0" xfId="0" applyAlignment="1" applyBorder="1" applyFont="1">
      <alignment readingOrder="0"/>
    </xf>
    <xf borderId="1" fillId="2" fontId="8" numFmtId="0" xfId="0" applyBorder="1" applyFont="1"/>
    <xf borderId="30" fillId="2" fontId="8" numFmtId="0" xfId="0" applyBorder="1" applyFont="1"/>
    <xf borderId="21" fillId="2" fontId="8" numFmtId="0" xfId="0" applyAlignment="1" applyBorder="1" applyFont="1">
      <alignment vertical="bottom"/>
    </xf>
    <xf borderId="0" fillId="2" fontId="1" numFmtId="0" xfId="0" applyAlignment="1" applyFont="1">
      <alignment shrinkToFit="0" vertical="bottom" wrapText="1"/>
    </xf>
    <xf borderId="21" fillId="2" fontId="8" numFmtId="0" xfId="0" applyAlignment="1" applyBorder="1" applyFont="1">
      <alignment shrinkToFit="0" vertical="bottom" wrapText="1"/>
    </xf>
    <xf borderId="24" fillId="6" fontId="8" numFmtId="0" xfId="0" applyAlignment="1" applyBorder="1" applyFont="1">
      <alignment horizontal="center"/>
    </xf>
    <xf borderId="28" fillId="6" fontId="8" numFmtId="165" xfId="0" applyAlignment="1" applyBorder="1" applyFont="1" applyNumberFormat="1">
      <alignment horizontal="center"/>
    </xf>
    <xf borderId="28" fillId="6" fontId="8" numFmtId="0" xfId="0" applyBorder="1" applyFont="1"/>
    <xf borderId="25" fillId="2" fontId="8" numFmtId="0" xfId="0" applyAlignment="1" applyBorder="1" applyFont="1">
      <alignment vertical="bottom"/>
    </xf>
    <xf borderId="26" fillId="2" fontId="8" numFmtId="0" xfId="0" applyAlignment="1" applyBorder="1" applyFont="1">
      <alignment shrinkToFit="0" wrapText="1"/>
    </xf>
    <xf borderId="23" fillId="2" fontId="6" numFmtId="0" xfId="0" applyBorder="1" applyFont="1"/>
    <xf borderId="27" fillId="2" fontId="6" numFmtId="0" xfId="0" applyBorder="1" applyFont="1"/>
    <xf borderId="28" fillId="2" fontId="8" numFmtId="165" xfId="0" applyAlignment="1" applyBorder="1" applyFont="1" applyNumberFormat="1">
      <alignment horizontal="center" readingOrder="0"/>
    </xf>
    <xf borderId="26" fillId="2" fontId="8" numFmtId="0" xfId="0" applyBorder="1" applyFont="1"/>
    <xf borderId="15" fillId="4" fontId="11" numFmtId="0" xfId="0" applyAlignment="1" applyBorder="1" applyFont="1">
      <alignment vertical="center"/>
    </xf>
    <xf borderId="15" fillId="6" fontId="6" numFmtId="0" xfId="0" applyBorder="1" applyFont="1"/>
    <xf borderId="17" fillId="2" fontId="8" numFmtId="0" xfId="0" applyAlignment="1" applyBorder="1" applyFont="1">
      <alignment readingOrder="0" shrinkToFit="0" wrapText="1"/>
    </xf>
    <xf borderId="17" fillId="2" fontId="8" numFmtId="0" xfId="0" applyBorder="1" applyFont="1"/>
    <xf borderId="0" fillId="5" fontId="9" numFmtId="0" xfId="0" applyAlignment="1" applyFont="1">
      <alignment horizontal="center" readingOrder="0" shrinkToFit="0" vertical="center" wrapText="1"/>
    </xf>
    <xf borderId="24" fillId="6" fontId="8" numFmtId="167" xfId="0" applyAlignment="1" applyBorder="1" applyFont="1" applyNumberFormat="1">
      <alignment horizontal="center" readingOrder="0"/>
    </xf>
    <xf borderId="24" fillId="2" fontId="8" numFmtId="167" xfId="0" applyAlignment="1" applyBorder="1" applyFont="1" applyNumberFormat="1">
      <alignment horizontal="center" readingOrder="0"/>
    </xf>
    <xf borderId="26" fillId="6" fontId="8" numFmtId="0" xfId="0" applyAlignment="1" applyBorder="1" applyFont="1">
      <alignment shrinkToFit="0" wrapText="1"/>
    </xf>
    <xf borderId="15" fillId="4" fontId="12" numFmtId="0" xfId="0" applyBorder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38100</xdr:rowOff>
    </xdr:from>
    <xdr:ext cx="2628900" cy="7810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3.75"/>
    <col customWidth="1" min="5" max="5" width="14.25"/>
    <col customWidth="1" min="8" max="8" width="15.0"/>
    <col customWidth="1" min="9" max="9" width="14.88"/>
    <col customWidth="1" min="10" max="10" width="15.63"/>
    <col customWidth="1" min="11" max="11" width="16.38"/>
    <col customWidth="1" min="13" max="13" width="39.38"/>
  </cols>
  <sheetData>
    <row r="1">
      <c r="A1" s="1" t="s">
        <v>0</v>
      </c>
      <c r="B1" s="2"/>
      <c r="C1" s="3"/>
      <c r="D1" s="4"/>
      <c r="E1" s="5"/>
      <c r="F1" s="6"/>
      <c r="G1" s="6"/>
      <c r="H1" s="7"/>
      <c r="I1" s="7"/>
      <c r="J1" s="8"/>
      <c r="K1" s="9"/>
      <c r="L1" s="6"/>
      <c r="M1" s="10"/>
    </row>
    <row r="2">
      <c r="A2" s="11"/>
      <c r="B2" s="12"/>
      <c r="C2" s="13"/>
      <c r="D2" s="14"/>
      <c r="E2" s="15" t="s">
        <v>1</v>
      </c>
      <c r="F2" s="16" t="s">
        <v>2</v>
      </c>
      <c r="G2" s="17"/>
      <c r="H2" s="18"/>
      <c r="I2" s="19" t="s">
        <v>3</v>
      </c>
      <c r="J2" s="20">
        <v>45684.0</v>
      </c>
      <c r="K2" s="21" t="s">
        <v>4</v>
      </c>
      <c r="L2" s="22">
        <f>sum(J8:J58)</f>
        <v>0.7291666667</v>
      </c>
      <c r="M2" s="12"/>
    </row>
    <row r="3">
      <c r="A3" s="11"/>
      <c r="B3" s="12"/>
      <c r="C3" s="13"/>
      <c r="D3" s="14"/>
      <c r="E3" s="15" t="s">
        <v>5</v>
      </c>
      <c r="F3" s="16" t="s">
        <v>6</v>
      </c>
      <c r="G3" s="17"/>
      <c r="H3" s="18"/>
      <c r="I3" s="19" t="s">
        <v>7</v>
      </c>
      <c r="J3" s="23" t="str">
        <f>IFERROR(__xludf.DUMMYFUNCTION("IFERROR(FILTER(Cronograma!$I:$I,Cronograma!$C:$C=""Reunião de Finalização da implementação""),"""")"),"")</f>
        <v/>
      </c>
      <c r="K3" s="24" t="s">
        <v>8</v>
      </c>
      <c r="L3" s="25">
        <f>SUM(K8:K58)</f>
        <v>0.7708333333</v>
      </c>
      <c r="M3" s="26"/>
    </row>
    <row r="4">
      <c r="A4" s="27"/>
      <c r="B4" s="28"/>
      <c r="C4" s="29"/>
      <c r="D4" s="28"/>
      <c r="E4" s="28"/>
      <c r="F4" s="28"/>
      <c r="G4" s="28"/>
      <c r="H4" s="30"/>
      <c r="I4" s="31"/>
      <c r="J4" s="32"/>
      <c r="K4" s="33"/>
      <c r="L4" s="11"/>
      <c r="M4" s="34"/>
    </row>
    <row r="5">
      <c r="A5" s="29"/>
      <c r="B5" s="29"/>
      <c r="C5" s="29"/>
      <c r="D5" s="29"/>
      <c r="E5" s="29"/>
      <c r="F5" s="29"/>
      <c r="G5" s="29"/>
      <c r="H5" s="35"/>
      <c r="I5" s="36"/>
      <c r="J5" s="37"/>
      <c r="K5" s="38"/>
      <c r="L5" s="29"/>
      <c r="M5" s="38"/>
    </row>
    <row r="6">
      <c r="A6" s="39" t="s">
        <v>9</v>
      </c>
      <c r="B6" s="40" t="s">
        <v>10</v>
      </c>
      <c r="C6" s="41"/>
      <c r="D6" s="41"/>
      <c r="E6" s="41"/>
      <c r="F6" s="42"/>
      <c r="G6" s="39" t="s">
        <v>11</v>
      </c>
      <c r="H6" s="43" t="s">
        <v>12</v>
      </c>
      <c r="I6" s="43" t="s">
        <v>13</v>
      </c>
      <c r="J6" s="39" t="s">
        <v>14</v>
      </c>
      <c r="K6" s="39" t="s">
        <v>15</v>
      </c>
      <c r="L6" s="44" t="s">
        <v>16</v>
      </c>
      <c r="M6" s="42"/>
    </row>
    <row r="7">
      <c r="A7" s="45">
        <v>1.0</v>
      </c>
      <c r="B7" s="46" t="s">
        <v>17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</row>
    <row r="8" ht="15.0" customHeight="1">
      <c r="A8" s="48"/>
      <c r="B8" s="49" t="s">
        <v>18</v>
      </c>
      <c r="C8" s="50"/>
      <c r="D8" s="50"/>
      <c r="E8" s="50"/>
      <c r="F8" s="51"/>
      <c r="G8" s="52" t="s">
        <v>19</v>
      </c>
      <c r="H8" s="53">
        <v>45684.0</v>
      </c>
      <c r="I8" s="53">
        <v>45684.0</v>
      </c>
      <c r="J8" s="54">
        <v>0.020833333333333332</v>
      </c>
      <c r="K8" s="54">
        <v>0.020833333333333332</v>
      </c>
      <c r="L8" s="55"/>
      <c r="M8" s="51"/>
    </row>
    <row r="9" ht="15.0" customHeight="1">
      <c r="A9" s="56"/>
      <c r="B9" s="57" t="s">
        <v>20</v>
      </c>
      <c r="C9" s="58"/>
      <c r="D9" s="58"/>
      <c r="E9" s="58"/>
      <c r="F9" s="59"/>
      <c r="G9" s="60" t="s">
        <v>21</v>
      </c>
      <c r="H9" s="61">
        <v>45692.0</v>
      </c>
      <c r="I9" s="61">
        <v>45692.0</v>
      </c>
      <c r="J9" s="62">
        <v>0.020833333333333332</v>
      </c>
      <c r="K9" s="62">
        <v>0.020833333333333332</v>
      </c>
      <c r="L9" s="63" t="s">
        <v>22</v>
      </c>
      <c r="M9" s="59"/>
    </row>
    <row r="10" ht="15.0" customHeight="1">
      <c r="A10" s="64"/>
      <c r="B10" s="65" t="s">
        <v>23</v>
      </c>
      <c r="C10" s="66"/>
      <c r="D10" s="66"/>
      <c r="E10" s="66"/>
      <c r="F10" s="67"/>
      <c r="H10" s="53">
        <v>45684.0</v>
      </c>
      <c r="I10" s="53">
        <v>45684.0</v>
      </c>
      <c r="J10" s="68">
        <v>0.006944444444444444</v>
      </c>
      <c r="K10" s="68">
        <v>0.006944444444444444</v>
      </c>
      <c r="L10" s="69"/>
      <c r="M10" s="67"/>
    </row>
    <row r="11" ht="15.0" customHeight="1">
      <c r="A11" s="56"/>
      <c r="B11" s="57" t="s">
        <v>24</v>
      </c>
      <c r="C11" s="58"/>
      <c r="D11" s="58"/>
      <c r="E11" s="58"/>
      <c r="F11" s="59"/>
      <c r="H11" s="61">
        <v>45693.0</v>
      </c>
      <c r="I11" s="61">
        <v>45693.0</v>
      </c>
      <c r="J11" s="62">
        <v>0.006944444444444444</v>
      </c>
      <c r="K11" s="62">
        <v>0.006944444444444444</v>
      </c>
      <c r="L11" s="70"/>
      <c r="M11" s="59"/>
    </row>
    <row r="12" ht="15.0" customHeight="1">
      <c r="A12" s="64"/>
      <c r="B12" s="71" t="s">
        <v>25</v>
      </c>
      <c r="C12" s="66"/>
      <c r="D12" s="66"/>
      <c r="E12" s="66"/>
      <c r="F12" s="67"/>
      <c r="G12" s="50"/>
      <c r="H12" s="72">
        <v>45693.0</v>
      </c>
      <c r="I12" s="72">
        <v>45693.0</v>
      </c>
      <c r="J12" s="68">
        <v>0.006944444444444444</v>
      </c>
      <c r="K12" s="68">
        <v>0.006944444444444444</v>
      </c>
      <c r="L12" s="69"/>
      <c r="M12" s="67"/>
    </row>
    <row r="13" ht="15.0" customHeight="1">
      <c r="A13" s="56"/>
      <c r="B13" s="73" t="s">
        <v>26</v>
      </c>
      <c r="C13" s="58"/>
      <c r="D13" s="58"/>
      <c r="E13" s="58"/>
      <c r="F13" s="59"/>
      <c r="G13" s="60" t="s">
        <v>27</v>
      </c>
      <c r="H13" s="61">
        <v>45698.0</v>
      </c>
      <c r="I13" s="61">
        <v>45698.0</v>
      </c>
      <c r="J13" s="62">
        <v>0.020833333333333332</v>
      </c>
      <c r="K13" s="62">
        <v>0.020833333333333332</v>
      </c>
      <c r="L13" s="70"/>
      <c r="M13" s="59"/>
    </row>
    <row r="14" ht="15.0" customHeight="1">
      <c r="A14" s="64"/>
      <c r="B14" s="65" t="s">
        <v>28</v>
      </c>
      <c r="C14" s="66"/>
      <c r="D14" s="66"/>
      <c r="E14" s="66"/>
      <c r="F14" s="67"/>
      <c r="H14" s="72">
        <v>45698.0</v>
      </c>
      <c r="I14" s="72">
        <v>45698.0</v>
      </c>
      <c r="J14" s="68">
        <v>0.006944444444444444</v>
      </c>
      <c r="K14" s="68">
        <v>0.006944444444444444</v>
      </c>
      <c r="L14" s="69"/>
      <c r="M14" s="67"/>
    </row>
    <row r="15" ht="15.0" customHeight="1">
      <c r="A15" s="56"/>
      <c r="B15" s="73" t="s">
        <v>29</v>
      </c>
      <c r="C15" s="58"/>
      <c r="D15" s="58"/>
      <c r="E15" s="58"/>
      <c r="F15" s="59"/>
      <c r="G15" s="74"/>
      <c r="H15" s="61">
        <v>45700.0</v>
      </c>
      <c r="I15" s="61">
        <v>45700.0</v>
      </c>
      <c r="J15" s="62">
        <v>0.034722222222222224</v>
      </c>
      <c r="K15" s="62">
        <v>0.08333333333333333</v>
      </c>
      <c r="L15" s="70"/>
      <c r="M15" s="59"/>
    </row>
    <row r="16" ht="15.0" customHeight="1">
      <c r="A16" s="64"/>
      <c r="B16" s="65" t="s">
        <v>30</v>
      </c>
      <c r="C16" s="66"/>
      <c r="D16" s="66"/>
      <c r="E16" s="66"/>
      <c r="F16" s="67"/>
      <c r="G16" s="75" t="s">
        <v>31</v>
      </c>
      <c r="H16" s="72">
        <v>45692.0</v>
      </c>
      <c r="I16" s="72">
        <v>45692.0</v>
      </c>
      <c r="J16" s="68">
        <v>0.010416666666666666</v>
      </c>
      <c r="K16" s="68">
        <v>0.010416666666666666</v>
      </c>
      <c r="L16" s="69"/>
      <c r="M16" s="67"/>
    </row>
    <row r="17" ht="15.0" customHeight="1">
      <c r="A17" s="76"/>
      <c r="B17" s="77" t="s">
        <v>32</v>
      </c>
      <c r="C17" s="78"/>
      <c r="D17" s="78"/>
      <c r="E17" s="78"/>
      <c r="F17" s="79"/>
      <c r="G17" s="74"/>
      <c r="H17" s="80">
        <v>45698.0</v>
      </c>
      <c r="I17" s="61">
        <v>45698.0</v>
      </c>
      <c r="J17" s="81">
        <v>0.03125</v>
      </c>
      <c r="K17" s="81">
        <v>0.03125</v>
      </c>
      <c r="L17" s="82"/>
      <c r="M17" s="79"/>
    </row>
    <row r="18">
      <c r="A18" s="45">
        <v>2.0</v>
      </c>
      <c r="B18" s="83" t="s">
        <v>33</v>
      </c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</row>
    <row r="19" ht="15.0" customHeight="1">
      <c r="A19" s="85"/>
      <c r="B19" s="86" t="s">
        <v>34</v>
      </c>
      <c r="C19" s="74"/>
      <c r="D19" s="74"/>
      <c r="E19" s="74"/>
      <c r="F19" s="87"/>
      <c r="G19" s="88" t="s">
        <v>35</v>
      </c>
      <c r="H19" s="89">
        <v>45700.0</v>
      </c>
      <c r="I19" s="89"/>
      <c r="J19" s="90">
        <v>0.03125</v>
      </c>
      <c r="K19" s="91"/>
      <c r="L19" s="92"/>
      <c r="M19" s="87"/>
    </row>
    <row r="20" ht="15.0" customHeight="1">
      <c r="A20" s="64"/>
      <c r="B20" s="65" t="s">
        <v>36</v>
      </c>
      <c r="C20" s="66"/>
      <c r="D20" s="66"/>
      <c r="E20" s="66"/>
      <c r="F20" s="67"/>
      <c r="G20" s="50"/>
      <c r="H20" s="72">
        <v>45700.0</v>
      </c>
      <c r="I20" s="93"/>
      <c r="J20" s="68">
        <v>0.010416666666666666</v>
      </c>
      <c r="K20" s="94"/>
      <c r="L20" s="69"/>
      <c r="M20" s="67"/>
    </row>
    <row r="21" ht="15.0" customHeight="1">
      <c r="A21" s="56"/>
      <c r="B21" s="73" t="s">
        <v>37</v>
      </c>
      <c r="C21" s="58"/>
      <c r="D21" s="58"/>
      <c r="E21" s="58"/>
      <c r="F21" s="59"/>
      <c r="G21" s="75" t="s">
        <v>38</v>
      </c>
      <c r="H21" s="89">
        <v>45700.0</v>
      </c>
      <c r="I21" s="89">
        <v>45700.0</v>
      </c>
      <c r="J21" s="62">
        <v>0.010416666666666666</v>
      </c>
      <c r="K21" s="62">
        <v>0.010416666666666666</v>
      </c>
      <c r="L21" s="70"/>
      <c r="M21" s="59"/>
    </row>
    <row r="22" ht="15.0" customHeight="1">
      <c r="A22" s="64"/>
      <c r="B22" s="65" t="s">
        <v>39</v>
      </c>
      <c r="C22" s="66"/>
      <c r="D22" s="66"/>
      <c r="E22" s="66"/>
      <c r="F22" s="67"/>
      <c r="G22" s="50"/>
      <c r="H22" s="72">
        <v>45700.0</v>
      </c>
      <c r="I22" s="72">
        <v>45700.0</v>
      </c>
      <c r="J22" s="68">
        <v>0.03125</v>
      </c>
      <c r="K22" s="68">
        <v>0.03125</v>
      </c>
      <c r="L22" s="69"/>
      <c r="M22" s="67"/>
    </row>
    <row r="23" ht="15.0" customHeight="1">
      <c r="A23" s="56"/>
      <c r="B23" s="57" t="s">
        <v>40</v>
      </c>
      <c r="C23" s="58"/>
      <c r="D23" s="58"/>
      <c r="E23" s="58"/>
      <c r="F23" s="59"/>
      <c r="G23" s="75" t="s">
        <v>41</v>
      </c>
      <c r="H23" s="89">
        <v>45700.0</v>
      </c>
      <c r="I23" s="89">
        <v>45700.0</v>
      </c>
      <c r="J23" s="62">
        <v>0.013888888888888888</v>
      </c>
      <c r="K23" s="62">
        <v>0.013888888888888888</v>
      </c>
      <c r="L23" s="95" t="s">
        <v>42</v>
      </c>
      <c r="M23" s="59"/>
    </row>
    <row r="24" ht="15.0" customHeight="1">
      <c r="A24" s="64"/>
      <c r="B24" s="71" t="s">
        <v>43</v>
      </c>
      <c r="C24" s="66"/>
      <c r="D24" s="66"/>
      <c r="E24" s="66"/>
      <c r="F24" s="67"/>
      <c r="H24" s="72">
        <v>45705.0</v>
      </c>
      <c r="I24" s="72">
        <v>45705.0</v>
      </c>
      <c r="J24" s="68">
        <v>0.006944444444444444</v>
      </c>
      <c r="K24" s="68">
        <v>0.006944444444444444</v>
      </c>
      <c r="L24" s="69"/>
      <c r="M24" s="67"/>
    </row>
    <row r="25" ht="15.0" customHeight="1">
      <c r="A25" s="56"/>
      <c r="B25" s="73" t="s">
        <v>44</v>
      </c>
      <c r="C25" s="58"/>
      <c r="D25" s="58"/>
      <c r="E25" s="58"/>
      <c r="F25" s="59"/>
      <c r="H25" s="61">
        <v>45705.0</v>
      </c>
      <c r="I25" s="61">
        <v>45705.0</v>
      </c>
      <c r="J25" s="62">
        <v>0.006944444444444444</v>
      </c>
      <c r="K25" s="62">
        <v>0.006944444444444444</v>
      </c>
      <c r="L25" s="70"/>
      <c r="M25" s="59"/>
    </row>
    <row r="26" ht="15.0" customHeight="1">
      <c r="A26" s="64"/>
      <c r="B26" s="96" t="s">
        <v>45</v>
      </c>
      <c r="C26" s="66"/>
      <c r="D26" s="66"/>
      <c r="E26" s="66"/>
      <c r="F26" s="67"/>
      <c r="H26" s="72">
        <v>45691.0</v>
      </c>
      <c r="I26" s="72">
        <v>45691.0</v>
      </c>
      <c r="J26" s="68">
        <v>0.020833333333333332</v>
      </c>
      <c r="K26" s="68">
        <v>0.020833333333333332</v>
      </c>
      <c r="L26" s="69"/>
      <c r="M26" s="67"/>
    </row>
    <row r="27" ht="15.0" customHeight="1">
      <c r="A27" s="56"/>
      <c r="B27" s="73" t="s">
        <v>46</v>
      </c>
      <c r="C27" s="58"/>
      <c r="D27" s="58"/>
      <c r="E27" s="58"/>
      <c r="F27" s="59"/>
      <c r="G27" s="74"/>
      <c r="H27" s="61">
        <v>45700.0</v>
      </c>
      <c r="I27" s="61">
        <v>45700.0</v>
      </c>
      <c r="J27" s="62">
        <v>0.041666666666666664</v>
      </c>
      <c r="K27" s="62">
        <v>0.041666666666666664</v>
      </c>
      <c r="L27" s="70"/>
      <c r="M27" s="59"/>
    </row>
    <row r="28" ht="15.0" customHeight="1">
      <c r="A28" s="64"/>
      <c r="B28" s="65" t="s">
        <v>47</v>
      </c>
      <c r="C28" s="66"/>
      <c r="D28" s="66"/>
      <c r="E28" s="66"/>
      <c r="F28" s="67"/>
      <c r="G28" s="75" t="s">
        <v>48</v>
      </c>
      <c r="H28" s="72">
        <v>45708.0</v>
      </c>
      <c r="I28" s="72">
        <v>45708.0</v>
      </c>
      <c r="J28" s="68">
        <v>0.010416666666666666</v>
      </c>
      <c r="K28" s="68">
        <v>0.010416666666666666</v>
      </c>
      <c r="L28" s="69"/>
      <c r="M28" s="67"/>
    </row>
    <row r="29" ht="15.0" customHeight="1">
      <c r="A29" s="56"/>
      <c r="B29" s="73" t="s">
        <v>49</v>
      </c>
      <c r="C29" s="58"/>
      <c r="D29" s="58"/>
      <c r="E29" s="58"/>
      <c r="F29" s="59"/>
      <c r="H29" s="61">
        <v>45708.0</v>
      </c>
      <c r="I29" s="61">
        <v>45708.0</v>
      </c>
      <c r="J29" s="62">
        <v>0.003472222222222222</v>
      </c>
      <c r="K29" s="62">
        <v>0.003472222222222222</v>
      </c>
      <c r="L29" s="70"/>
      <c r="M29" s="59"/>
    </row>
    <row r="30" ht="15.0" customHeight="1">
      <c r="A30" s="64"/>
      <c r="B30" s="97" t="s">
        <v>50</v>
      </c>
      <c r="C30" s="98"/>
      <c r="D30" s="98"/>
      <c r="E30" s="98"/>
      <c r="F30" s="99"/>
      <c r="H30" s="72">
        <v>45708.0</v>
      </c>
      <c r="I30" s="72">
        <v>45708.0</v>
      </c>
      <c r="J30" s="68">
        <v>0.003472222222222222</v>
      </c>
      <c r="K30" s="68">
        <v>0.003472222222222222</v>
      </c>
      <c r="L30" s="69"/>
      <c r="M30" s="67"/>
    </row>
    <row r="31" ht="15.0" customHeight="1">
      <c r="A31" s="56"/>
      <c r="B31" s="57" t="s">
        <v>51</v>
      </c>
      <c r="C31" s="58"/>
      <c r="D31" s="58"/>
      <c r="E31" s="58"/>
      <c r="F31" s="59"/>
      <c r="G31" s="74"/>
      <c r="H31" s="61">
        <v>45708.0</v>
      </c>
      <c r="I31" s="61">
        <v>45708.0</v>
      </c>
      <c r="J31" s="62">
        <v>0.010416666666666666</v>
      </c>
      <c r="K31" s="62">
        <v>0.010416666666666666</v>
      </c>
      <c r="L31" s="70"/>
      <c r="M31" s="59"/>
    </row>
    <row r="32" ht="15.0" customHeight="1">
      <c r="A32" s="64"/>
      <c r="B32" s="100" t="s">
        <v>52</v>
      </c>
      <c r="C32" s="66"/>
      <c r="D32" s="66"/>
      <c r="E32" s="66"/>
      <c r="F32" s="67"/>
      <c r="G32" s="75" t="s">
        <v>53</v>
      </c>
      <c r="H32" s="72">
        <v>45708.0</v>
      </c>
      <c r="I32" s="72">
        <v>45708.0</v>
      </c>
      <c r="J32" s="68">
        <v>0.020833333333333332</v>
      </c>
      <c r="K32" s="68">
        <v>0.020833333333333332</v>
      </c>
      <c r="L32" s="69"/>
      <c r="M32" s="67"/>
    </row>
    <row r="33" ht="15.0" customHeight="1">
      <c r="A33" s="56"/>
      <c r="B33" s="73" t="s">
        <v>54</v>
      </c>
      <c r="C33" s="58"/>
      <c r="D33" s="58"/>
      <c r="E33" s="58"/>
      <c r="F33" s="59"/>
      <c r="G33" s="74"/>
      <c r="H33" s="61">
        <v>45708.0</v>
      </c>
      <c r="I33" s="61">
        <v>45708.0</v>
      </c>
      <c r="J33" s="62">
        <v>0.020833333333333332</v>
      </c>
      <c r="K33" s="62">
        <v>0.020833333333333332</v>
      </c>
      <c r="L33" s="70"/>
      <c r="M33" s="59"/>
    </row>
    <row r="34" ht="15.0" customHeight="1">
      <c r="A34" s="64"/>
      <c r="B34" s="101" t="s">
        <v>55</v>
      </c>
      <c r="G34" s="75" t="s">
        <v>19</v>
      </c>
      <c r="H34" s="72">
        <v>45709.0</v>
      </c>
      <c r="I34" s="72">
        <v>45709.0</v>
      </c>
      <c r="J34" s="68">
        <v>0.020833333333333332</v>
      </c>
      <c r="K34" s="68">
        <v>0.020833333333333332</v>
      </c>
      <c r="L34" s="69"/>
      <c r="M34" s="67"/>
    </row>
    <row r="35" ht="14.25" customHeight="1">
      <c r="A35" s="56"/>
      <c r="B35" s="57" t="s">
        <v>56</v>
      </c>
      <c r="C35" s="58"/>
      <c r="D35" s="58"/>
      <c r="E35" s="58"/>
      <c r="F35" s="59"/>
      <c r="H35" s="61">
        <v>45709.0</v>
      </c>
      <c r="I35" s="61">
        <v>45709.0</v>
      </c>
      <c r="J35" s="62">
        <v>0.010416666666666666</v>
      </c>
      <c r="K35" s="62">
        <v>0.010416666666666666</v>
      </c>
      <c r="L35" s="70"/>
      <c r="M35" s="59"/>
    </row>
    <row r="36" ht="15.0" customHeight="1">
      <c r="A36" s="64"/>
      <c r="B36" s="71" t="s">
        <v>57</v>
      </c>
      <c r="C36" s="66"/>
      <c r="D36" s="66"/>
      <c r="E36" s="66"/>
      <c r="F36" s="67"/>
      <c r="G36" s="50"/>
      <c r="H36" s="72">
        <v>45709.0</v>
      </c>
      <c r="I36" s="72">
        <v>45709.0</v>
      </c>
      <c r="J36" s="68">
        <v>0.010416666666666666</v>
      </c>
      <c r="K36" s="68">
        <v>0.010416666666666666</v>
      </c>
      <c r="L36" s="69"/>
      <c r="M36" s="67"/>
    </row>
    <row r="37" ht="15.0" customHeight="1">
      <c r="A37" s="56"/>
      <c r="B37" s="57" t="s">
        <v>58</v>
      </c>
      <c r="C37" s="58"/>
      <c r="D37" s="58"/>
      <c r="E37" s="58"/>
      <c r="F37" s="59"/>
      <c r="G37" s="75" t="s">
        <v>59</v>
      </c>
      <c r="H37" s="61">
        <v>45712.0</v>
      </c>
      <c r="I37" s="61">
        <v>45712.0</v>
      </c>
      <c r="J37" s="62">
        <v>0.006944444444444444</v>
      </c>
      <c r="K37" s="62">
        <v>0.006944444444444444</v>
      </c>
      <c r="L37" s="70"/>
      <c r="M37" s="59"/>
    </row>
    <row r="38" ht="15.0" customHeight="1">
      <c r="A38" s="64"/>
      <c r="B38" s="71" t="s">
        <v>60</v>
      </c>
      <c r="C38" s="66"/>
      <c r="D38" s="66"/>
      <c r="E38" s="66"/>
      <c r="F38" s="67"/>
      <c r="H38" s="72">
        <v>45712.0</v>
      </c>
      <c r="I38" s="72">
        <v>45712.0</v>
      </c>
      <c r="J38" s="68">
        <v>0.013888888888888888</v>
      </c>
      <c r="K38" s="68">
        <v>0.013888888888888888</v>
      </c>
      <c r="L38" s="69"/>
      <c r="M38" s="67"/>
    </row>
    <row r="39" ht="15.0" customHeight="1">
      <c r="A39" s="56"/>
      <c r="B39" s="57" t="s">
        <v>61</v>
      </c>
      <c r="C39" s="58"/>
      <c r="D39" s="58"/>
      <c r="E39" s="58"/>
      <c r="F39" s="59"/>
      <c r="G39" s="74"/>
      <c r="H39" s="61">
        <v>45712.0</v>
      </c>
      <c r="I39" s="61">
        <v>45712.0</v>
      </c>
      <c r="J39" s="62">
        <v>0.006944444444444444</v>
      </c>
      <c r="K39" s="62">
        <v>0.006944444444444444</v>
      </c>
      <c r="L39" s="70"/>
      <c r="M39" s="59"/>
    </row>
    <row r="40" ht="15.0" customHeight="1">
      <c r="A40" s="64"/>
      <c r="B40" s="102" t="s">
        <v>62</v>
      </c>
      <c r="C40" s="66"/>
      <c r="D40" s="66"/>
      <c r="E40" s="66"/>
      <c r="F40" s="67"/>
      <c r="G40" s="75" t="s">
        <v>63</v>
      </c>
      <c r="H40" s="72">
        <v>45713.0</v>
      </c>
      <c r="I40" s="72">
        <v>45713.0</v>
      </c>
      <c r="J40" s="68">
        <v>0.006944444444444444</v>
      </c>
      <c r="K40" s="68">
        <v>0.006944444444444444</v>
      </c>
      <c r="L40" s="69"/>
      <c r="M40" s="67"/>
    </row>
    <row r="41" ht="15.0" customHeight="1">
      <c r="A41" s="56"/>
      <c r="B41" s="57" t="s">
        <v>64</v>
      </c>
      <c r="C41" s="58"/>
      <c r="D41" s="58"/>
      <c r="E41" s="58"/>
      <c r="F41" s="59"/>
      <c r="H41" s="61">
        <v>45713.0</v>
      </c>
      <c r="I41" s="61">
        <v>45713.0</v>
      </c>
      <c r="J41" s="62">
        <v>0.006944444444444444</v>
      </c>
      <c r="K41" s="62">
        <v>0.006944444444444444</v>
      </c>
      <c r="L41" s="70"/>
      <c r="M41" s="59"/>
    </row>
    <row r="42" ht="15.0" customHeight="1">
      <c r="A42" s="64"/>
      <c r="B42" s="65" t="s">
        <v>65</v>
      </c>
      <c r="C42" s="66"/>
      <c r="D42" s="66"/>
      <c r="E42" s="66"/>
      <c r="F42" s="67"/>
      <c r="H42" s="72">
        <v>45721.0</v>
      </c>
      <c r="I42" s="72">
        <v>45721.0</v>
      </c>
      <c r="J42" s="68">
        <v>0.006944444444444444</v>
      </c>
      <c r="K42" s="68">
        <v>0.08333333333333333</v>
      </c>
      <c r="L42" s="69"/>
      <c r="M42" s="67"/>
    </row>
    <row r="43" ht="15.0" customHeight="1">
      <c r="A43" s="76"/>
      <c r="B43" s="73" t="s">
        <v>66</v>
      </c>
      <c r="C43" s="58"/>
      <c r="D43" s="58"/>
      <c r="E43" s="58"/>
      <c r="F43" s="59"/>
      <c r="H43" s="61">
        <v>45723.0</v>
      </c>
      <c r="I43" s="103"/>
      <c r="J43" s="62">
        <v>0.041666666666666664</v>
      </c>
      <c r="K43" s="104"/>
      <c r="L43" s="105"/>
      <c r="M43" s="105"/>
    </row>
    <row r="44" ht="15.0" customHeight="1">
      <c r="A44" s="106"/>
      <c r="B44" s="107" t="s">
        <v>67</v>
      </c>
      <c r="C44" s="108"/>
      <c r="D44" s="108"/>
      <c r="E44" s="108"/>
      <c r="F44" s="109"/>
      <c r="G44" s="50"/>
      <c r="H44" s="72">
        <v>45721.0</v>
      </c>
      <c r="I44" s="72">
        <v>45721.0</v>
      </c>
      <c r="J44" s="110">
        <v>0.010416666666666666</v>
      </c>
      <c r="K44" s="110">
        <v>0.010416666666666666</v>
      </c>
      <c r="L44" s="111"/>
      <c r="M44" s="109"/>
    </row>
    <row r="45">
      <c r="A45" s="45">
        <v>3.0</v>
      </c>
      <c r="B45" s="112" t="s">
        <v>68</v>
      </c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</row>
    <row r="46" ht="15.0" customHeight="1">
      <c r="A46" s="48"/>
      <c r="B46" s="114" t="s">
        <v>69</v>
      </c>
      <c r="C46" s="50"/>
      <c r="D46" s="50"/>
      <c r="E46" s="50"/>
      <c r="F46" s="51"/>
      <c r="G46" s="88" t="s">
        <v>19</v>
      </c>
      <c r="H46" s="53">
        <v>45713.0</v>
      </c>
      <c r="I46" s="53">
        <v>45713.0</v>
      </c>
      <c r="J46" s="54">
        <v>0.010416666666666666</v>
      </c>
      <c r="K46" s="54">
        <v>0.010416666666666666</v>
      </c>
      <c r="L46" s="115"/>
      <c r="M46" s="51"/>
    </row>
    <row r="47" ht="15.0" customHeight="1">
      <c r="A47" s="56"/>
      <c r="B47" s="73" t="s">
        <v>70</v>
      </c>
      <c r="C47" s="58"/>
      <c r="D47" s="58"/>
      <c r="E47" s="58"/>
      <c r="F47" s="59"/>
      <c r="G47" s="74"/>
      <c r="H47" s="61">
        <v>45723.0</v>
      </c>
      <c r="I47" s="61">
        <v>45723.0</v>
      </c>
      <c r="J47" s="62">
        <v>0.010416666666666666</v>
      </c>
      <c r="K47" s="62">
        <v>0.010416666666666666</v>
      </c>
      <c r="L47" s="70"/>
      <c r="M47" s="59"/>
    </row>
    <row r="48" ht="15.0" customHeight="1">
      <c r="A48" s="64"/>
      <c r="B48" s="65" t="s">
        <v>71</v>
      </c>
      <c r="C48" s="66"/>
      <c r="D48" s="66"/>
      <c r="E48" s="66"/>
      <c r="F48" s="67"/>
      <c r="G48" s="75" t="s">
        <v>72</v>
      </c>
      <c r="H48" s="72">
        <v>45723.0</v>
      </c>
      <c r="I48" s="72">
        <v>45723.0</v>
      </c>
      <c r="J48" s="68">
        <v>0.010416666666666666</v>
      </c>
      <c r="K48" s="68">
        <v>0.010416666666666666</v>
      </c>
      <c r="L48" s="69"/>
      <c r="M48" s="67"/>
    </row>
    <row r="49" ht="15.0" customHeight="1">
      <c r="A49" s="76"/>
      <c r="B49" s="77" t="s">
        <v>73</v>
      </c>
      <c r="C49" s="78"/>
      <c r="D49" s="78"/>
      <c r="E49" s="78"/>
      <c r="F49" s="79"/>
      <c r="G49" s="74"/>
      <c r="H49" s="61">
        <v>45723.0</v>
      </c>
      <c r="I49" s="61">
        <v>45723.0</v>
      </c>
      <c r="J49" s="81">
        <v>0.006944444444444444</v>
      </c>
      <c r="K49" s="81">
        <v>0.006944444444444444</v>
      </c>
      <c r="L49" s="82"/>
      <c r="M49" s="79"/>
    </row>
    <row r="50">
      <c r="A50" s="45">
        <v>4.0</v>
      </c>
      <c r="B50" s="112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</row>
    <row r="51" ht="15.0" customHeight="1">
      <c r="A51" s="85"/>
      <c r="B51" s="86" t="s">
        <v>74</v>
      </c>
      <c r="C51" s="74"/>
      <c r="D51" s="74"/>
      <c r="E51" s="74"/>
      <c r="F51" s="87"/>
      <c r="G51" s="116" t="s">
        <v>19</v>
      </c>
      <c r="H51" s="89">
        <v>45730.0</v>
      </c>
      <c r="I51" s="89">
        <v>45730.0</v>
      </c>
      <c r="J51" s="90">
        <v>0.010416666666666666</v>
      </c>
      <c r="K51" s="90">
        <v>0.010416666666666666</v>
      </c>
      <c r="L51" s="92"/>
      <c r="M51" s="87"/>
    </row>
    <row r="52" ht="15.0" customHeight="1">
      <c r="A52" s="64"/>
      <c r="B52" s="65" t="s">
        <v>75</v>
      </c>
      <c r="C52" s="66"/>
      <c r="D52" s="66"/>
      <c r="E52" s="66"/>
      <c r="F52" s="67"/>
      <c r="H52" s="53">
        <v>45730.0</v>
      </c>
      <c r="I52" s="53">
        <v>45730.0</v>
      </c>
      <c r="J52" s="68">
        <v>0.013888888888888888</v>
      </c>
      <c r="K52" s="68">
        <v>0.013888888888888888</v>
      </c>
      <c r="L52" s="69"/>
      <c r="M52" s="67"/>
    </row>
    <row r="53" ht="15.0" customHeight="1">
      <c r="A53" s="56"/>
      <c r="B53" s="73" t="s">
        <v>76</v>
      </c>
      <c r="C53" s="58"/>
      <c r="D53" s="58"/>
      <c r="E53" s="58"/>
      <c r="F53" s="59"/>
      <c r="H53" s="89">
        <v>45730.0</v>
      </c>
      <c r="I53" s="89">
        <v>45730.0</v>
      </c>
      <c r="J53" s="62">
        <v>0.010416666666666666</v>
      </c>
      <c r="K53" s="62">
        <v>0.010416666666666666</v>
      </c>
      <c r="L53" s="70"/>
      <c r="M53" s="59"/>
    </row>
    <row r="54" ht="15.0" customHeight="1">
      <c r="A54" s="64"/>
      <c r="B54" s="65" t="s">
        <v>77</v>
      </c>
      <c r="C54" s="66"/>
      <c r="D54" s="66"/>
      <c r="E54" s="66"/>
      <c r="F54" s="67"/>
      <c r="H54" s="53">
        <v>45730.0</v>
      </c>
      <c r="I54" s="53">
        <v>45730.0</v>
      </c>
      <c r="J54" s="68">
        <v>0.020833333333333332</v>
      </c>
      <c r="K54" s="68">
        <v>0.020833333333333332</v>
      </c>
      <c r="L54" s="69"/>
      <c r="M54" s="67"/>
    </row>
    <row r="55" ht="15.0" customHeight="1">
      <c r="A55" s="56"/>
      <c r="B55" s="57" t="s">
        <v>78</v>
      </c>
      <c r="C55" s="58"/>
      <c r="D55" s="58"/>
      <c r="E55" s="58"/>
      <c r="F55" s="59"/>
      <c r="G55" s="74"/>
      <c r="H55" s="117">
        <v>45748.0</v>
      </c>
      <c r="I55" s="117">
        <v>45748.0</v>
      </c>
      <c r="J55" s="62">
        <v>0.041666666666666664</v>
      </c>
      <c r="K55" s="62">
        <v>0.041666666666666664</v>
      </c>
      <c r="L55" s="70"/>
      <c r="M55" s="59"/>
    </row>
    <row r="56" ht="15.0" customHeight="1">
      <c r="A56" s="64"/>
      <c r="B56" s="65" t="s">
        <v>79</v>
      </c>
      <c r="C56" s="66"/>
      <c r="D56" s="66"/>
      <c r="E56" s="66"/>
      <c r="F56" s="67"/>
      <c r="G56" s="75" t="s">
        <v>80</v>
      </c>
      <c r="H56" s="118">
        <v>45748.0</v>
      </c>
      <c r="I56" s="118">
        <v>45748.0</v>
      </c>
      <c r="J56" s="68">
        <v>0.03125</v>
      </c>
      <c r="K56" s="68">
        <v>0.03125</v>
      </c>
      <c r="L56" s="69"/>
      <c r="M56" s="67"/>
    </row>
    <row r="57" ht="15.0" customHeight="1">
      <c r="A57" s="76"/>
      <c r="B57" s="119" t="s">
        <v>81</v>
      </c>
      <c r="C57" s="78"/>
      <c r="D57" s="78"/>
      <c r="E57" s="78"/>
      <c r="F57" s="79"/>
      <c r="G57" s="74"/>
      <c r="H57" s="117">
        <v>45748.0</v>
      </c>
      <c r="I57" s="117">
        <v>45748.0</v>
      </c>
      <c r="J57" s="81">
        <v>0.010416666666666666</v>
      </c>
      <c r="K57" s="81">
        <v>0.010416666666666666</v>
      </c>
      <c r="L57" s="82"/>
      <c r="M57" s="79"/>
    </row>
    <row r="58" ht="15.0" customHeight="1">
      <c r="A58" s="120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</row>
  </sheetData>
  <mergeCells count="116">
    <mergeCell ref="L28:M28"/>
    <mergeCell ref="L29:M29"/>
    <mergeCell ref="L30:M30"/>
    <mergeCell ref="L31:M31"/>
    <mergeCell ref="L32:M32"/>
    <mergeCell ref="L33:M33"/>
    <mergeCell ref="L34:M34"/>
    <mergeCell ref="L42:M42"/>
    <mergeCell ref="L44:M44"/>
    <mergeCell ref="L35:M35"/>
    <mergeCell ref="L36:M36"/>
    <mergeCell ref="L37:M37"/>
    <mergeCell ref="L38:M38"/>
    <mergeCell ref="L39:M39"/>
    <mergeCell ref="L40:M40"/>
    <mergeCell ref="L41:M41"/>
    <mergeCell ref="F2:H2"/>
    <mergeCell ref="F3:H3"/>
    <mergeCell ref="B6:F6"/>
    <mergeCell ref="L6:M6"/>
    <mergeCell ref="B7:M7"/>
    <mergeCell ref="B8:F8"/>
    <mergeCell ref="L8:M8"/>
    <mergeCell ref="B14:F14"/>
    <mergeCell ref="B15:F15"/>
    <mergeCell ref="B16:F16"/>
    <mergeCell ref="G16:G17"/>
    <mergeCell ref="B17:F17"/>
    <mergeCell ref="B9:F9"/>
    <mergeCell ref="G9:G12"/>
    <mergeCell ref="B10:F10"/>
    <mergeCell ref="B11:F11"/>
    <mergeCell ref="B12:F12"/>
    <mergeCell ref="B13:F13"/>
    <mergeCell ref="G13:G15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B18:M18"/>
    <mergeCell ref="B19:F19"/>
    <mergeCell ref="G19:G20"/>
    <mergeCell ref="L19:M19"/>
    <mergeCell ref="L20:M20"/>
    <mergeCell ref="B27:F27"/>
    <mergeCell ref="B28:F28"/>
    <mergeCell ref="L21:M21"/>
    <mergeCell ref="L22:M22"/>
    <mergeCell ref="L23:M23"/>
    <mergeCell ref="L24:M24"/>
    <mergeCell ref="L25:M25"/>
    <mergeCell ref="L26:M26"/>
    <mergeCell ref="L27:M27"/>
    <mergeCell ref="B41:F41"/>
    <mergeCell ref="B42:F42"/>
    <mergeCell ref="B36:F36"/>
    <mergeCell ref="B37:F37"/>
    <mergeCell ref="G37:G39"/>
    <mergeCell ref="B38:F38"/>
    <mergeCell ref="B39:F39"/>
    <mergeCell ref="B40:F40"/>
    <mergeCell ref="B46:F46"/>
    <mergeCell ref="B55:F55"/>
    <mergeCell ref="B56:F56"/>
    <mergeCell ref="G56:G57"/>
    <mergeCell ref="B57:F57"/>
    <mergeCell ref="B47:F47"/>
    <mergeCell ref="B48:F48"/>
    <mergeCell ref="B49:F49"/>
    <mergeCell ref="B51:F51"/>
    <mergeCell ref="B52:F52"/>
    <mergeCell ref="B53:F53"/>
    <mergeCell ref="B54:F54"/>
    <mergeCell ref="B25:F25"/>
    <mergeCell ref="B26:F26"/>
    <mergeCell ref="B20:F20"/>
    <mergeCell ref="B21:F21"/>
    <mergeCell ref="G21:G22"/>
    <mergeCell ref="B22:F22"/>
    <mergeCell ref="B23:F23"/>
    <mergeCell ref="G23:G27"/>
    <mergeCell ref="B24:F24"/>
    <mergeCell ref="B34:F34"/>
    <mergeCell ref="B35:F35"/>
    <mergeCell ref="G28:G31"/>
    <mergeCell ref="B29:F29"/>
    <mergeCell ref="B31:F31"/>
    <mergeCell ref="B32:F32"/>
    <mergeCell ref="G32:G33"/>
    <mergeCell ref="B33:F33"/>
    <mergeCell ref="G34:G36"/>
    <mergeCell ref="G40:G44"/>
    <mergeCell ref="G46:G47"/>
    <mergeCell ref="G48:G49"/>
    <mergeCell ref="G51:G55"/>
    <mergeCell ref="L49:M49"/>
    <mergeCell ref="L51:M51"/>
    <mergeCell ref="L52:M52"/>
    <mergeCell ref="L53:M53"/>
    <mergeCell ref="L54:M54"/>
    <mergeCell ref="L55:M55"/>
    <mergeCell ref="L56:M56"/>
    <mergeCell ref="L57:M57"/>
    <mergeCell ref="B43:F43"/>
    <mergeCell ref="B44:F44"/>
    <mergeCell ref="B45:M45"/>
    <mergeCell ref="L46:M46"/>
    <mergeCell ref="L47:M47"/>
    <mergeCell ref="L48:M48"/>
    <mergeCell ref="B50:M50"/>
    <mergeCell ref="A58:M58"/>
  </mergeCells>
  <drawing r:id="rId2"/>
  <legacyDrawing r:id="rId3"/>
</worksheet>
</file>