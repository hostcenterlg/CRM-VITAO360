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4"/>
    <sheet state="visible" name="SEMANA 2" sheetId="2" r:id="rId5"/>
    <sheet state="visible" name="SEMANA 3" sheetId="3" r:id="rId6"/>
    <sheet state="visible" name="SEMANA 4" sheetId="4" r:id="rId7"/>
  </sheets>
  <definedNames/>
  <calcPr/>
</workbook>
</file>

<file path=xl/sharedStrings.xml><?xml version="1.0" encoding="utf-8"?>
<sst xmlns="http://schemas.openxmlformats.org/spreadsheetml/2006/main" count="132" uniqueCount="45">
  <si>
    <t>MAISGRANEL: SEMANA 1</t>
  </si>
  <si>
    <t xml:space="preserve">Metricas </t>
  </si>
  <si>
    <t>Nome:</t>
  </si>
  <si>
    <t>Umit Vigato</t>
  </si>
  <si>
    <t>Instragram:</t>
  </si>
  <si>
    <t>Maisgranel.com.br</t>
  </si>
  <si>
    <t>Facebook:</t>
  </si>
  <si>
    <t>Métricas do dia</t>
  </si>
  <si>
    <t>Curtidas</t>
  </si>
  <si>
    <t>Comentários</t>
  </si>
  <si>
    <t>Compartilhamentos</t>
  </si>
  <si>
    <t>Salvos</t>
  </si>
  <si>
    <t>Views stories</t>
  </si>
  <si>
    <t>Seguidores</t>
  </si>
  <si>
    <t>Alcance da conta</t>
  </si>
  <si>
    <t>Stories/dia</t>
  </si>
  <si>
    <t>Cards/dia</t>
  </si>
  <si>
    <t>Reels/dia</t>
  </si>
  <si>
    <t>Vídeos/dia</t>
  </si>
  <si>
    <t>SEG</t>
  </si>
  <si>
    <t>Post Antigo</t>
  </si>
  <si>
    <t>// // // // // // // // // // // // // // // // // // // // // // //</t>
  </si>
  <si>
    <t>TER</t>
  </si>
  <si>
    <t>QUA</t>
  </si>
  <si>
    <t>QUI</t>
  </si>
  <si>
    <t>SEX</t>
  </si>
  <si>
    <t>SAB</t>
  </si>
  <si>
    <t>DOM</t>
  </si>
  <si>
    <t>TOTAL</t>
  </si>
  <si>
    <t xml:space="preserve">Insights da conta Antes </t>
  </si>
  <si>
    <t>Contas Alcançadas (%)</t>
  </si>
  <si>
    <t>Contas com engajamento (%)</t>
  </si>
  <si>
    <t>Total de seguidores (%)</t>
  </si>
  <si>
    <t>Insights da conta dia 10/07</t>
  </si>
  <si>
    <t>MAISGRANEL: SEMANA 2</t>
  </si>
  <si>
    <t>Metricas</t>
  </si>
  <si>
    <t>Turma:</t>
  </si>
  <si>
    <t>SEMANA ANTERIOR</t>
  </si>
  <si>
    <t>TOTAL DA SEMANA</t>
  </si>
  <si>
    <t>TOTAL DA CONTA</t>
  </si>
  <si>
    <t>Insights da conta dia 17/07</t>
  </si>
  <si>
    <t>OPERAÇÃO BOOTCAMP: SEMANA 3</t>
  </si>
  <si>
    <t xml:space="preserve">Metricas
</t>
  </si>
  <si>
    <t>OPERAÇÃO BOOTCAMP: SEMANA 4</t>
  </si>
  <si>
    <t>Insights da conta dia 25/07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</si>
</sst>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sz val="24.0"/>
      <color rgb="FFFFFFFF"/>
      <name val="Roboto"/>
    </font>
    <font/>
    <font>
      <sz val="12.0"/>
      <color rgb="FFFFFFFF"/>
      <name val="Roboto"/>
    </font>
    <font>
      <sz val="10.0"/>
      <color rgb="FFFFFFFF"/>
      <name val="Roboto"/>
    </font>
    <font>
      <sz val="10.0"/>
      <color theme="1"/>
      <name val="Roboto"/>
    </font>
    <font>
      <b/>
      <sz val="10.0"/>
      <color theme="1"/>
      <name val="Arial"/>
    </font>
    <font>
      <b/>
      <sz val="10.0"/>
      <color rgb="FFFFFFFF"/>
      <name val="Roboto"/>
    </font>
    <font>
      <b/>
      <sz val="10.0"/>
      <color theme="0"/>
      <name val="Roboto"/>
    </font>
    <font>
      <b/>
      <sz val="10.0"/>
      <color theme="1"/>
      <name val="Roboto"/>
    </font>
    <font>
      <i/>
      <sz val="10.0"/>
      <color rgb="FF434343"/>
      <name val="Roboto"/>
    </font>
    <font>
      <sz val="10.0"/>
      <color theme="0"/>
      <name val="Arial"/>
    </font>
    <font>
      <sz val="10.0"/>
      <color theme="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1EEF6"/>
        <bgColor rgb="FFF1EEF6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7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dotted">
        <color rgb="FF8E7CC3"/>
      </bottom>
    </border>
    <border>
      <top/>
      <bottom style="dotted">
        <color rgb="FF8E7CC3"/>
      </bottom>
    </border>
    <border>
      <right/>
      <top/>
      <bottom style="dotted">
        <color rgb="FF8E7CC3"/>
      </bottom>
    </border>
    <border>
      <left/>
      <top style="dotted">
        <color rgb="FF8E7CC3"/>
      </top>
      <bottom style="dotted">
        <color rgb="FF8E7CC3"/>
      </bottom>
    </border>
    <border>
      <top style="dotted">
        <color rgb="FF8E7CC3"/>
      </top>
      <bottom style="dotted">
        <color rgb="FF8E7CC3"/>
      </bottom>
    </border>
    <border>
      <right/>
      <top style="dotted">
        <color rgb="FF8E7CC3"/>
      </top>
      <bottom style="dotted">
        <color rgb="FF8E7CC3"/>
      </bottom>
    </border>
    <border>
      <left/>
      <top style="dotted">
        <color rgb="FF8E7CC3"/>
      </top>
      <bottom/>
    </border>
    <border>
      <top style="dotted">
        <color rgb="FF8E7CC3"/>
      </top>
      <bottom/>
    </border>
    <border>
      <right/>
      <top style="dotted">
        <color rgb="FF8E7CC3"/>
      </top>
      <bottom/>
    </border>
    <border>
      <left style="medium">
        <color rgb="FF9900FF"/>
      </left>
      <right/>
      <top/>
      <bottom/>
    </border>
    <border>
      <left/>
      <right style="thin">
        <color rgb="FF8E7CC3"/>
      </right>
      <top/>
      <bottom/>
    </border>
    <border>
      <left/>
      <right/>
      <top style="dotted">
        <color rgb="FFD9D3E8"/>
      </top>
      <bottom style="dotted">
        <color rgb="FFD9D3E8"/>
      </bottom>
    </border>
    <border>
      <left/>
      <top style="dotted">
        <color rgb="FFD9D3E8"/>
      </top>
      <bottom style="dotted">
        <color rgb="FFD9D3E8"/>
      </bottom>
    </border>
    <border>
      <top style="dotted">
        <color rgb="FFD9D3E8"/>
      </top>
      <bottom style="dotted">
        <color rgb="FFD9D3E8"/>
      </bottom>
    </border>
    <border>
      <right style="dotted">
        <color rgb="FFD9D3E8"/>
      </right>
      <top style="dotted">
        <color rgb="FFD9D3E8"/>
      </top>
      <bottom style="dotted">
        <color rgb="FFD9D3E8"/>
      </bottom>
    </border>
    <border>
      <left style="dotted">
        <color rgb="FFD9D3E8"/>
      </left>
      <right style="dotted">
        <color rgb="FFD9D3E8"/>
      </right>
      <top style="dotted">
        <color rgb="FFD9D3E8"/>
      </top>
      <bottom style="dotted">
        <color rgb="FFD9D3E8"/>
      </bottom>
    </border>
    <border>
      <left style="dotted">
        <color rgb="FFD9D3E8"/>
      </left>
      <right style="thin">
        <color rgb="FF8E7CC3"/>
      </right>
      <top style="dotted">
        <color rgb="FFD9D3E8"/>
      </top>
      <bottom style="dotted">
        <color rgb="FFD9D3E8"/>
      </bottom>
    </border>
    <border>
      <left/>
      <right/>
      <top/>
      <bottom style="dotted">
        <color rgb="FFD9D2E9"/>
      </bottom>
    </border>
    <border>
      <left/>
      <right style="dotted">
        <color rgb="FFD9D3E8"/>
      </right>
      <top/>
      <bottom style="dotted">
        <color rgb="FFD9D2E9"/>
      </bottom>
    </border>
    <border>
      <left style="dotted">
        <color rgb="FFD9D3E8"/>
      </left>
      <right style="dotted">
        <color rgb="FFD9D2E9"/>
      </right>
      <top/>
      <bottom style="dotted">
        <color rgb="FFD9D2E9"/>
      </bottom>
    </border>
    <border>
      <left style="dotted">
        <color rgb="FFD9D2E9"/>
      </left>
      <right style="dotted">
        <color rgb="FFD9D2E9"/>
      </right>
      <top/>
      <bottom style="dotted">
        <color rgb="FFD9D2E9"/>
      </bottom>
    </border>
    <border>
      <left style="dotted">
        <color rgb="FFD9D2E9"/>
      </left>
      <right style="thin">
        <color rgb="FF8E7CC3"/>
      </right>
      <top/>
      <bottom style="dotted">
        <color rgb="FFD9D2E9"/>
      </bottom>
    </border>
    <border>
      <left/>
      <right/>
      <top style="dotted">
        <color rgb="FFD9D2E9"/>
      </top>
      <bottom style="dotted">
        <color rgb="FFD9D2E9"/>
      </bottom>
    </border>
    <border>
      <left/>
      <right style="dotted">
        <color rgb="FFD9D3E8"/>
      </right>
      <top style="dotted">
        <color rgb="FFD9D2E9"/>
      </top>
      <bottom style="dotted">
        <color rgb="FFD9D2E9"/>
      </bottom>
    </border>
    <border>
      <left style="dotted">
        <color rgb="FFD9D3E8"/>
      </left>
      <right style="dotted">
        <color rgb="FFD9D2E9"/>
      </right>
      <top style="dotted">
        <color rgb="FFD9D2E9"/>
      </top>
      <bottom style="dotted">
        <color rgb="FFD9D2E9"/>
      </bottom>
    </border>
    <border>
      <left style="dotted">
        <color rgb="FFD9D2E9"/>
      </left>
      <right style="dotted">
        <color rgb="FFD9D2E9"/>
      </right>
      <top style="dotted">
        <color rgb="FFD9D2E9"/>
      </top>
      <bottom style="dotted">
        <color rgb="FFD9D2E9"/>
      </bottom>
    </border>
    <border>
      <left/>
      <right/>
      <top style="dotted">
        <color rgb="FFD9D2E9"/>
      </top>
      <bottom/>
    </border>
    <border>
      <left/>
      <right style="dotted">
        <color rgb="FFD9D3E8"/>
      </right>
      <top style="dotted">
        <color rgb="FFD9D2E9"/>
      </top>
      <bottom/>
    </border>
    <border>
      <left style="dotted">
        <color rgb="FFD9D3E8"/>
      </left>
      <right style="dotted">
        <color rgb="FFD9D2E9"/>
      </right>
      <top style="dotted">
        <color rgb="FFD9D2E9"/>
      </top>
      <bottom/>
    </border>
    <border>
      <left style="dotted">
        <color rgb="FFD9D2E9"/>
      </left>
      <right style="dotted">
        <color rgb="FFD9D2E9"/>
      </right>
      <top style="dotted">
        <color rgb="FFD9D2E9"/>
      </top>
      <bottom/>
    </border>
    <border>
      <left style="dotted">
        <color rgb="FFD9D2E9"/>
      </left>
      <right style="dotted">
        <color rgb="FFD9D2E9"/>
      </right>
      <top/>
      <bottom/>
    </border>
    <border>
      <left style="dotted">
        <color rgb="FFD9D2E9"/>
      </left>
      <right style="thin">
        <color rgb="FF8E7CC3"/>
      </right>
      <top/>
      <bottom/>
    </border>
    <border>
      <left/>
      <right/>
      <top style="thin">
        <color rgb="FF674EA7"/>
      </top>
      <bottom style="thin">
        <color rgb="FF8E7CC3"/>
      </bottom>
    </border>
    <border>
      <left/>
      <right style="dotted">
        <color rgb="FF8E7CC3"/>
      </right>
      <top style="thin">
        <color rgb="FF674EA7"/>
      </top>
      <bottom style="thin">
        <color rgb="FF8E7CC3"/>
      </bottom>
    </border>
    <border>
      <left style="dotted">
        <color rgb="FF8E7CC3"/>
      </left>
      <right style="dotted">
        <color rgb="FF8E7CC3"/>
      </right>
      <top style="thin">
        <color rgb="FF8E7CC3"/>
      </top>
      <bottom style="thin">
        <color rgb="FF8E7CC3"/>
      </bottom>
    </border>
    <border>
      <left style="dotted">
        <color rgb="FF8E7CC3"/>
      </left>
      <right style="thin">
        <color rgb="FF8E7CC3"/>
      </right>
      <top style="thin">
        <color rgb="FF8E7CC3"/>
      </top>
      <bottom style="thin">
        <color rgb="FF8E7CC3"/>
      </bottom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8E7CC3"/>
      </left>
      <top/>
      <bottom style="dotted">
        <color rgb="FFD9D3E8"/>
      </bottom>
    </border>
    <border>
      <right style="dotted">
        <color rgb="FFD9D3E8"/>
      </right>
      <top/>
      <bottom style="dotted">
        <color rgb="FFD9D3E8"/>
      </bottom>
    </border>
    <border>
      <left style="dotted">
        <color rgb="FFD9D3E8"/>
      </left>
      <right style="thin">
        <color rgb="FF8E7CC3"/>
      </right>
      <top/>
      <bottom style="dotted">
        <color rgb="FFD9D3E8"/>
      </bottom>
    </border>
    <border>
      <left style="thin">
        <color rgb="FF8E7CC3"/>
      </left>
      <top style="dotted">
        <color rgb="FFD9D3E8"/>
      </top>
      <bottom style="dotted">
        <color rgb="FFD9D3E8"/>
      </bottom>
    </border>
    <border>
      <left style="thin">
        <color rgb="FF8E7CC3"/>
      </left>
      <top style="dotted">
        <color rgb="FFD9D3E8"/>
      </top>
      <bottom style="thin">
        <color rgb="FF8E7CC3"/>
      </bottom>
    </border>
    <border>
      <right style="dotted">
        <color rgb="FFD9D3E8"/>
      </right>
      <top style="dotted">
        <color rgb="FFD9D3E8"/>
      </top>
      <bottom style="thin">
        <color rgb="FF8E7CC3"/>
      </bottom>
    </border>
    <border>
      <left style="dotted">
        <color rgb="FFD9D3E8"/>
      </left>
      <right style="thin">
        <color rgb="FF8E7CC3"/>
      </right>
      <top style="dotted">
        <color rgb="FFD9D3E8"/>
      </top>
      <bottom style="thin">
        <color rgb="FF8E7CC3"/>
      </bottom>
    </border>
    <border>
      <left/>
      <right/>
      <top/>
      <bottom style="dotted">
        <color rgb="FFD9D3E8"/>
      </bottom>
    </border>
    <border>
      <left/>
      <right style="dotted">
        <color rgb="FFD9D3E8"/>
      </right>
      <top/>
      <bottom style="dotted">
        <color rgb="FFD9D3E8"/>
      </bottom>
    </border>
    <border>
      <left style="dotted">
        <color rgb="FFD9D3E8"/>
      </left>
      <right style="dotted">
        <color rgb="FFD9D3E8"/>
      </right>
      <top/>
      <bottom style="dotted">
        <color rgb="FFD9D3E8"/>
      </bottom>
    </border>
    <border>
      <left/>
      <right/>
      <top style="dotted">
        <color rgb="FFD9D3E8"/>
      </top>
      <bottom style="dotted">
        <color rgb="FFD9D2E9"/>
      </bottom>
    </border>
    <border>
      <left/>
      <right style="dotted">
        <color rgb="FFD9D3E8"/>
      </right>
      <top style="dotted">
        <color rgb="FFD9D3E8"/>
      </top>
      <bottom style="dotted">
        <color rgb="FFD9D2E9"/>
      </bottom>
    </border>
    <border>
      <left style="dotted">
        <color rgb="FFD9D3E8"/>
      </left>
      <right style="dotted">
        <color rgb="FFD9D2E9"/>
      </right>
      <top style="dotted">
        <color rgb="FFD9D3E8"/>
      </top>
      <bottom style="dotted">
        <color rgb="FFD9D2E9"/>
      </bottom>
    </border>
    <border>
      <left style="dotted">
        <color rgb="FFD9D2E9"/>
      </left>
      <right style="dotted">
        <color rgb="FFD9D2E9"/>
      </right>
      <top style="dotted">
        <color rgb="FFD9D3E8"/>
      </top>
      <bottom style="dotted">
        <color rgb="FFD9D2E9"/>
      </bottom>
    </border>
    <border>
      <left style="dotted">
        <color rgb="FFD9D2E9"/>
      </left>
      <right style="thin">
        <color rgb="FF8E7CC3"/>
      </right>
      <top style="dotted">
        <color rgb="FFD9D3E8"/>
      </top>
      <bottom style="dotted">
        <color rgb="FFD9D2E9"/>
      </bottom>
    </border>
    <border>
      <top style="dotted">
        <color rgb="FFD9D2E9"/>
      </top>
      <bottom style="dotted">
        <color rgb="FFD9D2E9"/>
      </bottom>
    </border>
    <border>
      <left/>
      <right style="dotted">
        <color rgb="FFD9D3E8"/>
      </right>
      <top/>
      <bottom/>
    </border>
    <border>
      <left style="dotted">
        <color rgb="FFD9D2E9"/>
      </left>
      <right style="thin">
        <color rgb="FF8E7CC3"/>
      </right>
      <top style="dotted">
        <color rgb="FFD9D2E9"/>
      </top>
      <bottom style="dotted">
        <color rgb="FFD9D2E9"/>
      </bottom>
    </border>
    <border>
      <top style="dotted">
        <color rgb="FFD9D2E9"/>
      </top>
    </border>
    <border>
      <left style="dotted">
        <color rgb="FFD9D3E8"/>
      </left>
      <right style="dotted">
        <color rgb="FFD9D2E9"/>
      </right>
      <top style="dotted">
        <color rgb="FFD9D2E9"/>
      </top>
    </border>
    <border>
      <left style="dotted">
        <color rgb="FFD9D2E9"/>
      </left>
      <right style="dotted">
        <color rgb="FFD9D2E9"/>
      </right>
      <top style="dotted">
        <color rgb="FFD9D2E9"/>
      </top>
    </border>
    <border>
      <left style="dotted">
        <color rgb="FFD9D2E9"/>
      </left>
      <right style="thin">
        <color rgb="FF8E7CC3"/>
      </right>
      <top style="dotted">
        <color rgb="FFD9D2E9"/>
      </top>
    </border>
    <border>
      <left/>
      <right/>
      <top style="thin">
        <color rgb="FF674EA7"/>
      </top>
      <bottom style="dotted">
        <color rgb="FF8E7CC3"/>
      </bottom>
    </border>
    <border>
      <left/>
      <right style="dotted">
        <color rgb="FF8E7CC3"/>
      </right>
      <top style="thin">
        <color rgb="FF674EA7"/>
      </top>
      <bottom style="dotted">
        <color rgb="FF8E7CC3"/>
      </bottom>
    </border>
    <border>
      <left style="dotted">
        <color rgb="FF8E7CC3"/>
      </left>
      <right style="dotted">
        <color rgb="FF8E7CC3"/>
      </right>
      <top style="thin">
        <color rgb="FF8E7CC3"/>
      </top>
      <bottom style="dotted">
        <color rgb="FF8E7CC3"/>
      </bottom>
    </border>
    <border>
      <left style="dotted">
        <color rgb="FF8E7CC3"/>
      </left>
      <right style="thin">
        <color rgb="FF8E7CC3"/>
      </right>
      <top style="thin">
        <color rgb="FF8E7CC3"/>
      </top>
      <bottom style="dotted">
        <color rgb="FF8E7CC3"/>
      </bottom>
    </border>
    <border>
      <left/>
      <right/>
      <top style="dotted">
        <color rgb="FF8E7CC3"/>
      </top>
      <bottom style="thin">
        <color rgb="FF8E7CC3"/>
      </bottom>
    </border>
    <border>
      <left/>
      <right style="dotted">
        <color rgb="FF8E7CC3"/>
      </right>
      <top style="dotted">
        <color rgb="FF8E7CC3"/>
      </top>
      <bottom style="thin">
        <color rgb="FF8E7CC3"/>
      </bottom>
    </border>
    <border>
      <left style="dotted">
        <color rgb="FF8E7CC3"/>
      </left>
      <right style="dotted">
        <color rgb="FF8E7CC3"/>
      </right>
      <top style="dotted">
        <color rgb="FF8E7CC3"/>
      </top>
      <bottom style="thin">
        <color rgb="FF8E7CC3"/>
      </bottom>
    </border>
    <border>
      <left style="dotted">
        <color rgb="FF8E7CC3"/>
      </left>
      <right style="thin">
        <color rgb="FF8E7CC3"/>
      </right>
      <top style="dotted">
        <color rgb="FF8E7CC3"/>
      </top>
      <bottom style="thin">
        <color rgb="FF8E7CC3"/>
      </bottom>
    </border>
    <border>
      <left style="dotted">
        <color rgb="FFD9D3E8"/>
      </left>
      <right style="thin">
        <color rgb="FF674EA7"/>
      </right>
      <top style="dotted">
        <color rgb="FFD9D3E8"/>
      </top>
      <bottom style="dotted">
        <color rgb="FFD9D3E8"/>
      </bottom>
    </border>
    <border>
      <left/>
      <right style="dotted">
        <color rgb="FFD9D3E8"/>
      </right>
      <top style="dotted">
        <color rgb="FFD9D3E8"/>
      </top>
      <bottom style="dotted">
        <color rgb="FFD9D3E8"/>
      </bottom>
    </border>
    <border>
      <left/>
      <right style="dotted">
        <color rgb="FFD9D3E8"/>
      </right>
      <top style="dotted">
        <color rgb="FFD9D3E8"/>
      </top>
      <bottom/>
    </border>
    <border>
      <right style="dotted">
        <color rgb="FFD9D2E9"/>
      </right>
      <top style="dotted">
        <color rgb="FFD9D2E9"/>
      </top>
    </border>
    <border>
      <right style="thin">
        <color rgb="FF8E7CC3"/>
      </right>
      <top style="dotted">
        <color rgb="FFD9D2E9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Border="1" applyFont="1"/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5" fillId="3" fontId="6" numFmtId="0" xfId="0" applyAlignment="1" applyBorder="1" applyFill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1" fillId="2" fontId="5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left" vertical="center"/>
    </xf>
    <xf borderId="9" fillId="0" fontId="3" numFmtId="0" xfId="0" applyBorder="1" applyFont="1"/>
    <xf borderId="10" fillId="0" fontId="3" numFmtId="0" xfId="0" applyBorder="1" applyFont="1"/>
    <xf borderId="11" fillId="3" fontId="6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4" fontId="7" numFmtId="0" xfId="0" applyAlignment="1" applyBorder="1" applyFill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/>
    </xf>
    <xf borderId="1" fillId="4" fontId="9" numFmtId="0" xfId="0" applyAlignment="1" applyBorder="1" applyFont="1">
      <alignment horizontal="center" vertical="center"/>
    </xf>
    <xf borderId="14" fillId="5" fontId="1" numFmtId="0" xfId="0" applyAlignment="1" applyBorder="1" applyFill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16" fillId="3" fontId="10" numFmtId="0" xfId="0" applyAlignment="1" applyBorder="1" applyFont="1">
      <alignment horizontal="center" shrinkToFit="0" vertical="center" wrapText="1"/>
    </xf>
    <xf borderId="17" fillId="3" fontId="11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3" fontId="6" numFmtId="0" xfId="0" applyAlignment="1" applyBorder="1" applyFont="1">
      <alignment horizontal="center" vertical="center"/>
    </xf>
    <xf borderId="20" fillId="3" fontId="6" numFmtId="3" xfId="0" applyAlignment="1" applyBorder="1" applyFont="1" applyNumberFormat="1">
      <alignment horizontal="center" vertical="center"/>
    </xf>
    <xf borderId="21" fillId="3" fontId="6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borderId="23" fillId="5" fontId="10" numFmtId="164" xfId="0" applyAlignment="1" applyBorder="1" applyFont="1" applyNumberFormat="1">
      <alignment horizontal="center" vertical="center"/>
    </xf>
    <xf borderId="24" fillId="5" fontId="6" numFmtId="0" xfId="0" applyAlignment="1" applyBorder="1" applyFont="1">
      <alignment horizontal="center" vertical="center"/>
    </xf>
    <xf borderId="25" fillId="5" fontId="6" numFmtId="0" xfId="0" applyAlignment="1" applyBorder="1" applyFont="1">
      <alignment horizontal="center" vertical="center"/>
    </xf>
    <xf borderId="25" fillId="5" fontId="6" numFmtId="3" xfId="0" applyAlignment="1" applyBorder="1" applyFont="1" applyNumberFormat="1">
      <alignment horizontal="center" vertical="center"/>
    </xf>
    <xf borderId="26" fillId="5" fontId="6" numFmtId="3" xfId="0" applyAlignment="1" applyBorder="1" applyFont="1" applyNumberFormat="1">
      <alignment horizontal="center" vertical="center"/>
    </xf>
    <xf borderId="27" fillId="3" fontId="1" numFmtId="0" xfId="0" applyAlignment="1" applyBorder="1" applyFont="1">
      <alignment horizontal="center" vertical="center"/>
    </xf>
    <xf borderId="28" fillId="3" fontId="10" numFmtId="164" xfId="0" applyAlignment="1" applyBorder="1" applyFont="1" applyNumberFormat="1">
      <alignment horizontal="center" vertical="center"/>
    </xf>
    <xf borderId="29" fillId="3" fontId="6" numFmtId="0" xfId="0" applyAlignment="1" applyBorder="1" applyFont="1">
      <alignment horizontal="center" readingOrder="0" vertical="center"/>
    </xf>
    <xf borderId="30" fillId="3" fontId="6" numFmtId="0" xfId="0" applyAlignment="1" applyBorder="1" applyFont="1">
      <alignment horizontal="center" readingOrder="0" vertical="center"/>
    </xf>
    <xf borderId="30" fillId="3" fontId="6" numFmtId="0" xfId="0" applyAlignment="1" applyBorder="1" applyFont="1">
      <alignment horizontal="center" vertical="center"/>
    </xf>
    <xf borderId="25" fillId="3" fontId="6" numFmtId="0" xfId="0" applyAlignment="1" applyBorder="1" applyFont="1">
      <alignment horizontal="center" readingOrder="0" vertical="center"/>
    </xf>
    <xf borderId="25" fillId="3" fontId="6" numFmtId="0" xfId="0" applyAlignment="1" applyBorder="1" applyFont="1">
      <alignment horizontal="center" vertical="center"/>
    </xf>
    <xf borderId="25" fillId="3" fontId="6" numFmtId="3" xfId="0" applyAlignment="1" applyBorder="1" applyFont="1" applyNumberFormat="1">
      <alignment horizontal="center" readingOrder="0" vertical="center"/>
    </xf>
    <xf borderId="26" fillId="3" fontId="6" numFmtId="3" xfId="0" applyAlignment="1" applyBorder="1" applyFont="1" applyNumberFormat="1">
      <alignment horizontal="center" readingOrder="0" vertical="center"/>
    </xf>
    <xf borderId="27" fillId="5" fontId="1" numFmtId="0" xfId="0" applyAlignment="1" applyBorder="1" applyFont="1">
      <alignment horizontal="center" vertical="center"/>
    </xf>
    <xf borderId="28" fillId="5" fontId="10" numFmtId="164" xfId="0" applyAlignment="1" applyBorder="1" applyFont="1" applyNumberFormat="1">
      <alignment horizontal="center" vertical="center"/>
    </xf>
    <xf borderId="29" fillId="5" fontId="6" numFmtId="0" xfId="0" applyAlignment="1" applyBorder="1" applyFont="1">
      <alignment horizontal="center" readingOrder="0" vertical="center"/>
    </xf>
    <xf borderId="30" fillId="5" fontId="6" numFmtId="0" xfId="0" applyAlignment="1" applyBorder="1" applyFont="1">
      <alignment horizontal="center" readingOrder="0" vertical="center"/>
    </xf>
    <xf borderId="30" fillId="5" fontId="6" numFmtId="0" xfId="0" applyAlignment="1" applyBorder="1" applyFont="1">
      <alignment horizontal="center" vertical="center"/>
    </xf>
    <xf borderId="25" fillId="5" fontId="6" numFmtId="0" xfId="0" applyAlignment="1" applyBorder="1" applyFont="1">
      <alignment horizontal="center" readingOrder="0" vertical="center"/>
    </xf>
    <xf borderId="25" fillId="5" fontId="6" numFmtId="3" xfId="0" applyAlignment="1" applyBorder="1" applyFont="1" applyNumberFormat="1">
      <alignment horizontal="center" readingOrder="0" vertical="center"/>
    </xf>
    <xf borderId="26" fillId="5" fontId="6" numFmtId="3" xfId="0" applyAlignment="1" applyBorder="1" applyFont="1" applyNumberFormat="1">
      <alignment horizontal="center" readingOrder="0" vertical="center"/>
    </xf>
    <xf borderId="29" fillId="3" fontId="6" numFmtId="0" xfId="0" applyAlignment="1" applyBorder="1" applyFont="1">
      <alignment horizontal="center" vertical="center"/>
    </xf>
    <xf borderId="25" fillId="3" fontId="6" numFmtId="3" xfId="0" applyAlignment="1" applyBorder="1" applyFont="1" applyNumberFormat="1">
      <alignment horizontal="center" vertical="center"/>
    </xf>
    <xf borderId="26" fillId="3" fontId="6" numFmtId="3" xfId="0" applyAlignment="1" applyBorder="1" applyFont="1" applyNumberFormat="1">
      <alignment horizontal="center" vertical="center"/>
    </xf>
    <xf borderId="29" fillId="5" fontId="6" numFmtId="0" xfId="0" applyAlignment="1" applyBorder="1" applyFont="1">
      <alignment horizontal="center" vertical="center"/>
    </xf>
    <xf borderId="31" fillId="3" fontId="1" numFmtId="0" xfId="0" applyAlignment="1" applyBorder="1" applyFont="1">
      <alignment horizontal="center" vertical="center"/>
    </xf>
    <xf borderId="32" fillId="3" fontId="10" numFmtId="164" xfId="0" applyAlignment="1" applyBorder="1" applyFont="1" applyNumberFormat="1">
      <alignment horizontal="center" vertical="center"/>
    </xf>
    <xf borderId="33" fillId="3" fontId="6" numFmtId="0" xfId="0" applyAlignment="1" applyBorder="1" applyFont="1">
      <alignment horizontal="center" vertical="center"/>
    </xf>
    <xf borderId="34" fillId="3" fontId="6" numFmtId="0" xfId="0" applyAlignment="1" applyBorder="1" applyFont="1">
      <alignment horizontal="center" vertical="center"/>
    </xf>
    <xf borderId="35" fillId="3" fontId="6" numFmtId="0" xfId="0" applyAlignment="1" applyBorder="1" applyFont="1">
      <alignment horizontal="center" vertical="center"/>
    </xf>
    <xf borderId="35" fillId="3" fontId="6" numFmtId="3" xfId="0" applyAlignment="1" applyBorder="1" applyFont="1" applyNumberFormat="1">
      <alignment horizontal="center" readingOrder="0" vertical="center"/>
    </xf>
    <xf borderId="36" fillId="3" fontId="6" numFmtId="3" xfId="0" applyAlignment="1" applyBorder="1" applyFont="1" applyNumberFormat="1">
      <alignment horizontal="center" vertical="center"/>
    </xf>
    <xf borderId="37" fillId="4" fontId="12" numFmtId="0" xfId="0" applyAlignment="1" applyBorder="1" applyFont="1">
      <alignment horizontal="center" vertical="center"/>
    </xf>
    <xf borderId="38" fillId="4" fontId="9" numFmtId="0" xfId="0" applyAlignment="1" applyBorder="1" applyFont="1">
      <alignment horizontal="center" vertical="center"/>
    </xf>
    <xf borderId="39" fillId="4" fontId="13" numFmtId="0" xfId="0" applyAlignment="1" applyBorder="1" applyFont="1">
      <alignment horizontal="center" vertical="center"/>
    </xf>
    <xf borderId="39" fillId="4" fontId="5" numFmtId="3" xfId="0" applyAlignment="1" applyBorder="1" applyFont="1" applyNumberFormat="1">
      <alignment horizontal="center" readingOrder="0" vertical="center"/>
    </xf>
    <xf borderId="40" fillId="4" fontId="13" numFmtId="3" xfId="0" applyAlignment="1" applyBorder="1" applyFont="1" applyNumberForma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vertical="center"/>
    </xf>
    <xf borderId="1" fillId="7" fontId="1" numFmtId="0" xfId="0" applyAlignment="1" applyBorder="1" applyFont="1">
      <alignment horizontal="center"/>
    </xf>
    <xf borderId="41" fillId="4" fontId="8" numFmtId="0" xfId="0" applyAlignment="1" applyBorder="1" applyFont="1">
      <alignment horizontal="center" vertical="center"/>
    </xf>
    <xf borderId="42" fillId="0" fontId="3" numFmtId="0" xfId="0" applyBorder="1" applyFont="1"/>
    <xf borderId="43" fillId="0" fontId="3" numFmtId="0" xfId="0" applyBorder="1" applyFont="1"/>
    <xf borderId="1" fillId="7" fontId="6" numFmtId="0" xfId="0" applyBorder="1" applyFont="1"/>
    <xf borderId="1" fillId="7" fontId="6" numFmtId="0" xfId="0" applyAlignment="1" applyBorder="1" applyFont="1">
      <alignment horizontal="center"/>
    </xf>
    <xf borderId="44" fillId="6" fontId="10" numFmtId="0" xfId="0" applyAlignment="1" applyBorder="1" applyFont="1">
      <alignment horizontal="center" vertical="center"/>
    </xf>
    <xf borderId="45" fillId="0" fontId="3" numFmtId="0" xfId="0" applyBorder="1" applyFont="1"/>
    <xf borderId="46" fillId="6" fontId="6" numFmtId="3" xfId="0" applyAlignment="1" applyBorder="1" applyFont="1" applyNumberFormat="1">
      <alignment vertical="center"/>
    </xf>
    <xf borderId="47" fillId="3" fontId="10" numFmtId="0" xfId="0" applyAlignment="1" applyBorder="1" applyFont="1">
      <alignment horizontal="center" vertical="center"/>
    </xf>
    <xf borderId="21" fillId="3" fontId="6" numFmtId="0" xfId="0" applyAlignment="1" applyBorder="1" applyFont="1">
      <alignment vertical="center"/>
    </xf>
    <xf borderId="48" fillId="6" fontId="10" numFmtId="0" xfId="0" applyAlignment="1" applyBorder="1" applyFont="1">
      <alignment horizontal="center" vertical="center"/>
    </xf>
    <xf borderId="49" fillId="0" fontId="3" numFmtId="0" xfId="0" applyBorder="1" applyFont="1"/>
    <xf borderId="50" fillId="6" fontId="6" numFmtId="3" xfId="0" applyAlignment="1" applyBorder="1" applyFont="1" applyNumberFormat="1">
      <alignment vertical="center"/>
    </xf>
    <xf borderId="46" fillId="6" fontId="10" numFmtId="0" xfId="0" applyAlignment="1" applyBorder="1" applyFont="1">
      <alignment horizontal="center" readingOrder="0" vertical="center"/>
    </xf>
    <xf borderId="21" fillId="3" fontId="10" numFmtId="0" xfId="0" applyAlignment="1" applyBorder="1" applyFont="1">
      <alignment horizontal="center" readingOrder="0" vertical="center"/>
    </xf>
    <xf borderId="50" fillId="6" fontId="10" numFmtId="0" xfId="0" applyAlignment="1" applyBorder="1" applyFont="1">
      <alignment horizontal="center" readingOrder="0" vertical="center"/>
    </xf>
    <xf borderId="1" fillId="7" fontId="10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left" vertical="center"/>
    </xf>
    <xf borderId="8" fillId="3" fontId="5" numFmtId="0" xfId="0" applyAlignment="1" applyBorder="1" applyFont="1">
      <alignment horizontal="left" vertical="center"/>
    </xf>
    <xf borderId="11" fillId="3" fontId="5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vertical="center"/>
    </xf>
    <xf borderId="20" fillId="0" fontId="6" numFmtId="3" xfId="0" applyAlignment="1" applyBorder="1" applyFont="1" applyNumberFormat="1">
      <alignment horizontal="center" vertical="center"/>
    </xf>
    <xf borderId="21" fillId="0" fontId="6" numFmtId="3" xfId="0" applyAlignment="1" applyBorder="1" applyFont="1" applyNumberFormat="1">
      <alignment horizontal="center" vertical="center"/>
    </xf>
    <xf borderId="51" fillId="3" fontId="1" numFmtId="0" xfId="0" applyAlignment="1" applyBorder="1" applyFont="1">
      <alignment horizontal="center" vertical="center"/>
    </xf>
    <xf borderId="52" fillId="3" fontId="10" numFmtId="164" xfId="0" applyAlignment="1" applyBorder="1" applyFont="1" applyNumberFormat="1">
      <alignment horizontal="center" readingOrder="0" vertical="center"/>
    </xf>
    <xf borderId="53" fillId="3" fontId="6" numFmtId="0" xfId="0" applyAlignment="1" applyBorder="1" applyFont="1">
      <alignment horizontal="center" readingOrder="0" vertical="center"/>
    </xf>
    <xf borderId="53" fillId="3" fontId="6" numFmtId="0" xfId="0" applyAlignment="1" applyBorder="1" applyFont="1">
      <alignment horizontal="center" vertical="center"/>
    </xf>
    <xf borderId="53" fillId="3" fontId="6" numFmtId="3" xfId="0" applyAlignment="1" applyBorder="1" applyFont="1" applyNumberFormat="1">
      <alignment horizontal="center" readingOrder="0" vertical="center"/>
    </xf>
    <xf borderId="46" fillId="3" fontId="6" numFmtId="0" xfId="0" applyAlignment="1" applyBorder="1" applyFont="1">
      <alignment horizontal="center" readingOrder="0" vertical="center"/>
    </xf>
    <xf borderId="54" fillId="3" fontId="1" numFmtId="0" xfId="0" applyAlignment="1" applyBorder="1" applyFont="1">
      <alignment horizontal="center" vertical="center"/>
    </xf>
    <xf borderId="55" fillId="3" fontId="10" numFmtId="164" xfId="0" applyAlignment="1" applyBorder="1" applyFont="1" applyNumberFormat="1">
      <alignment horizontal="center" readingOrder="0" vertical="center"/>
    </xf>
    <xf borderId="56" fillId="3" fontId="6" numFmtId="0" xfId="0" applyAlignment="1" applyBorder="1" applyFont="1">
      <alignment horizontal="center" readingOrder="0" vertical="center"/>
    </xf>
    <xf borderId="57" fillId="3" fontId="6" numFmtId="0" xfId="0" applyAlignment="1" applyBorder="1" applyFont="1">
      <alignment horizontal="center" readingOrder="0" vertical="center"/>
    </xf>
    <xf borderId="57" fillId="3" fontId="6" numFmtId="0" xfId="0" applyAlignment="1" applyBorder="1" applyFont="1">
      <alignment horizontal="center" vertical="center"/>
    </xf>
    <xf borderId="57" fillId="3" fontId="6" numFmtId="3" xfId="0" applyAlignment="1" applyBorder="1" applyFont="1" applyNumberFormat="1">
      <alignment horizontal="center" readingOrder="0" vertical="center"/>
    </xf>
    <xf borderId="58" fillId="3" fontId="6" numFmtId="0" xfId="0" applyAlignment="1" applyBorder="1" applyFont="1">
      <alignment horizontal="center" readingOrder="0" vertical="center"/>
    </xf>
    <xf borderId="59" fillId="0" fontId="1" numFmtId="0" xfId="0" applyAlignment="1" applyBorder="1" applyFont="1">
      <alignment horizontal="center" vertical="center"/>
    </xf>
    <xf borderId="60" fillId="3" fontId="10" numFmtId="164" xfId="0" applyAlignment="1" applyBorder="1" applyFont="1" applyNumberFormat="1">
      <alignment horizontal="center" readingOrder="0" vertical="center"/>
    </xf>
    <xf borderId="29" fillId="0" fontId="6" numFmtId="0" xfId="0" applyAlignment="1" applyBorder="1" applyFont="1">
      <alignment horizontal="center" readingOrder="0" vertical="center"/>
    </xf>
    <xf borderId="30" fillId="0" fontId="6" numFmtId="0" xfId="0" applyAlignment="1" applyBorder="1" applyFont="1">
      <alignment horizontal="center" readingOrder="0" vertical="center"/>
    </xf>
    <xf borderId="30" fillId="0" fontId="6" numFmtId="3" xfId="0" applyAlignment="1" applyBorder="1" applyFont="1" applyNumberFormat="1">
      <alignment horizontal="center" readingOrder="0" vertical="center"/>
    </xf>
    <xf borderId="61" fillId="0" fontId="6" numFmtId="0" xfId="0" applyAlignment="1" applyBorder="1" applyFont="1">
      <alignment horizontal="center" readingOrder="0" vertical="center"/>
    </xf>
    <xf borderId="27" fillId="3" fontId="1" numFmtId="0" xfId="0" applyAlignment="1" applyBorder="1" applyFont="1">
      <alignment horizontal="center" vertical="center"/>
    </xf>
    <xf borderId="23" fillId="3" fontId="10" numFmtId="164" xfId="0" applyAlignment="1" applyBorder="1" applyFont="1" applyNumberFormat="1">
      <alignment horizontal="center" readingOrder="0" vertical="center"/>
    </xf>
    <xf borderId="29" fillId="3" fontId="6" numFmtId="0" xfId="0" applyAlignment="1" applyBorder="1" applyFont="1">
      <alignment horizontal="center" readingOrder="0" vertical="center"/>
    </xf>
    <xf borderId="30" fillId="3" fontId="6" numFmtId="0" xfId="0" applyAlignment="1" applyBorder="1" applyFont="1">
      <alignment horizontal="center" readingOrder="0" vertical="center"/>
    </xf>
    <xf borderId="30" fillId="3" fontId="6" numFmtId="3" xfId="0" applyAlignment="1" applyBorder="1" applyFont="1" applyNumberFormat="1">
      <alignment horizontal="center" readingOrder="0" vertical="center"/>
    </xf>
    <xf borderId="61" fillId="3" fontId="6" numFmtId="0" xfId="0" applyAlignment="1" applyBorder="1" applyFont="1">
      <alignment horizontal="center" readingOrder="0" vertical="center"/>
    </xf>
    <xf borderId="62" fillId="0" fontId="1" numFmtId="0" xfId="0" applyAlignment="1" applyBorder="1" applyFont="1">
      <alignment horizontal="center" vertical="center"/>
    </xf>
    <xf borderId="63" fillId="0" fontId="6" numFmtId="0" xfId="0" applyAlignment="1" applyBorder="1" applyFont="1">
      <alignment horizontal="center" readingOrder="0" vertical="center"/>
    </xf>
    <xf borderId="64" fillId="0" fontId="6" numFmtId="0" xfId="0" applyAlignment="1" applyBorder="1" applyFont="1">
      <alignment horizontal="center" readingOrder="0" vertical="center"/>
    </xf>
    <xf borderId="64" fillId="0" fontId="6" numFmtId="3" xfId="0" applyAlignment="1" applyBorder="1" applyFont="1" applyNumberFormat="1">
      <alignment horizontal="center" readingOrder="0" vertical="center"/>
    </xf>
    <xf borderId="65" fillId="0" fontId="6" numFmtId="0" xfId="0" applyAlignment="1" applyBorder="1" applyFont="1">
      <alignment horizontal="center" readingOrder="0" vertical="center"/>
    </xf>
    <xf borderId="66" fillId="4" fontId="12" numFmtId="0" xfId="0" applyAlignment="1" applyBorder="1" applyFont="1">
      <alignment horizontal="center" vertical="center"/>
    </xf>
    <xf borderId="67" fillId="4" fontId="8" numFmtId="0" xfId="0" applyAlignment="1" applyBorder="1" applyFont="1">
      <alignment horizontal="center" vertical="center"/>
    </xf>
    <xf borderId="68" fillId="4" fontId="13" numFmtId="0" xfId="0" applyAlignment="1" applyBorder="1" applyFont="1">
      <alignment horizontal="center" vertical="center"/>
    </xf>
    <xf borderId="68" fillId="4" fontId="13" numFmtId="3" xfId="0" applyAlignment="1" applyBorder="1" applyFont="1" applyNumberFormat="1">
      <alignment horizontal="center" vertical="center"/>
    </xf>
    <xf borderId="69" fillId="4" fontId="13" numFmtId="0" xfId="0" applyAlignment="1" applyBorder="1" applyFont="1">
      <alignment horizontal="center" vertical="center"/>
    </xf>
    <xf borderId="70" fillId="4" fontId="12" numFmtId="0" xfId="0" applyAlignment="1" applyBorder="1" applyFont="1">
      <alignment horizontal="center" vertical="center"/>
    </xf>
    <xf borderId="71" fillId="4" fontId="8" numFmtId="0" xfId="0" applyAlignment="1" applyBorder="1" applyFont="1">
      <alignment horizontal="center" vertical="center"/>
    </xf>
    <xf borderId="72" fillId="4" fontId="13" numFmtId="0" xfId="0" applyAlignment="1" applyBorder="1" applyFont="1">
      <alignment horizontal="center" vertical="center"/>
    </xf>
    <xf borderId="72" fillId="4" fontId="5" numFmtId="3" xfId="0" applyAlignment="1" applyBorder="1" applyFont="1" applyNumberFormat="1">
      <alignment horizontal="center" readingOrder="0" vertical="center"/>
    </xf>
    <xf borderId="73" fillId="4" fontId="13" numFmtId="0" xfId="0" applyAlignment="1" applyBorder="1" applyFont="1">
      <alignment horizontal="center" vertical="center"/>
    </xf>
    <xf borderId="41" fillId="4" fontId="8" numFmtId="0" xfId="0" applyAlignment="1" applyBorder="1" applyFont="1">
      <alignment horizontal="center" readingOrder="0" vertical="center"/>
    </xf>
    <xf borderId="46" fillId="6" fontId="6" numFmtId="0" xfId="0" applyAlignment="1" applyBorder="1" applyFont="1">
      <alignment readingOrder="0" vertical="center"/>
    </xf>
    <xf borderId="21" fillId="3" fontId="6" numFmtId="0" xfId="0" applyAlignment="1" applyBorder="1" applyFont="1">
      <alignment readingOrder="0" vertical="center"/>
    </xf>
    <xf borderId="50" fillId="6" fontId="6" numFmtId="0" xfId="0" applyAlignment="1" applyBorder="1" applyFont="1">
      <alignment readingOrder="0" vertical="center"/>
    </xf>
    <xf borderId="2" fillId="2" fontId="4" numFmtId="0" xfId="0" applyAlignment="1" applyBorder="1" applyFont="1">
      <alignment horizontal="left" shrinkToFit="0" vertical="center" wrapText="1"/>
    </xf>
    <xf borderId="74" fillId="0" fontId="6" numFmtId="0" xfId="0" applyAlignment="1" applyBorder="1" applyFont="1">
      <alignment horizontal="center" vertical="center"/>
    </xf>
    <xf borderId="53" fillId="3" fontId="6" numFmtId="3" xfId="0" applyAlignment="1" applyBorder="1" applyFont="1" applyNumberFormat="1">
      <alignment horizontal="center" vertical="center"/>
    </xf>
    <xf borderId="46" fillId="3" fontId="6" numFmtId="0" xfId="0" applyAlignment="1" applyBorder="1" applyFont="1">
      <alignment horizontal="center" vertical="center"/>
    </xf>
    <xf borderId="56" fillId="3" fontId="6" numFmtId="0" xfId="0" applyAlignment="1" applyBorder="1" applyFont="1">
      <alignment horizontal="center" vertical="center"/>
    </xf>
    <xf borderId="57" fillId="3" fontId="6" numFmtId="3" xfId="0" applyAlignment="1" applyBorder="1" applyFont="1" applyNumberFormat="1">
      <alignment horizontal="center" vertical="center"/>
    </xf>
    <xf borderId="58" fillId="3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vertical="center"/>
    </xf>
    <xf borderId="30" fillId="0" fontId="6" numFmtId="3" xfId="0" applyAlignment="1" applyBorder="1" applyFont="1" applyNumberFormat="1">
      <alignment horizontal="center" vertical="center"/>
    </xf>
    <xf borderId="61" fillId="0" fontId="6" numFmtId="0" xfId="0" applyAlignment="1" applyBorder="1" applyFont="1">
      <alignment horizontal="center" vertical="center"/>
    </xf>
    <xf borderId="29" fillId="3" fontId="6" numFmtId="0" xfId="0" applyAlignment="1" applyBorder="1" applyFont="1">
      <alignment horizontal="center" vertical="center"/>
    </xf>
    <xf borderId="30" fillId="3" fontId="6" numFmtId="0" xfId="0" applyAlignment="1" applyBorder="1" applyFont="1">
      <alignment horizontal="center" vertical="center"/>
    </xf>
    <xf borderId="30" fillId="3" fontId="6" numFmtId="3" xfId="0" applyAlignment="1" applyBorder="1" applyFont="1" applyNumberFormat="1">
      <alignment horizontal="center" vertical="center"/>
    </xf>
    <xf borderId="61" fillId="3" fontId="6" numFmtId="0" xfId="0" applyAlignment="1" applyBorder="1" applyFont="1">
      <alignment horizontal="center" vertical="center"/>
    </xf>
    <xf borderId="63" fillId="0" fontId="6" numFmtId="0" xfId="0" applyAlignment="1" applyBorder="1" applyFont="1">
      <alignment horizontal="center" vertical="center"/>
    </xf>
    <xf borderId="64" fillId="0" fontId="6" numFmtId="0" xfId="0" applyAlignment="1" applyBorder="1" applyFont="1">
      <alignment horizontal="center" vertical="center"/>
    </xf>
    <xf borderId="64" fillId="0" fontId="6" numFmtId="3" xfId="0" applyAlignment="1" applyBorder="1" applyFont="1" applyNumberFormat="1">
      <alignment horizontal="center" vertical="center"/>
    </xf>
    <xf borderId="65" fillId="0" fontId="6" numFmtId="0" xfId="0" applyAlignment="1" applyBorder="1" applyFont="1">
      <alignment horizontal="center" vertical="center"/>
    </xf>
    <xf borderId="70" fillId="4" fontId="12" numFmtId="0" xfId="0" applyAlignment="1" applyBorder="1" applyFont="1">
      <alignment horizontal="center" vertical="center"/>
    </xf>
    <xf borderId="71" fillId="4" fontId="8" numFmtId="0" xfId="0" applyAlignment="1" applyBorder="1" applyFont="1">
      <alignment horizontal="center" vertical="center"/>
    </xf>
    <xf borderId="72" fillId="4" fontId="13" numFmtId="0" xfId="0" applyAlignment="1" applyBorder="1" applyFont="1">
      <alignment horizontal="center" vertical="center"/>
    </xf>
    <xf borderId="72" fillId="4" fontId="13" numFmtId="3" xfId="0" applyAlignment="1" applyBorder="1" applyFont="1" applyNumberFormat="1">
      <alignment horizontal="center" vertical="center"/>
    </xf>
    <xf borderId="73" fillId="4" fontId="13" numFmtId="0" xfId="0" applyAlignment="1" applyBorder="1" applyFont="1">
      <alignment horizontal="center" vertical="center"/>
    </xf>
    <xf borderId="46" fillId="6" fontId="6" numFmtId="0" xfId="0" applyAlignment="1" applyBorder="1" applyFont="1">
      <alignment vertical="center"/>
    </xf>
    <xf borderId="50" fillId="6" fontId="6" numFmtId="0" xfId="0" applyAlignment="1" applyBorder="1" applyFont="1">
      <alignment vertical="center"/>
    </xf>
    <xf borderId="52" fillId="3" fontId="10" numFmtId="164" xfId="0" applyAlignment="1" applyBorder="1" applyFont="1" applyNumberFormat="1">
      <alignment horizontal="center" vertical="center"/>
    </xf>
    <xf borderId="75" fillId="3" fontId="10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76" fillId="3" fontId="10" numFmtId="164" xfId="0" applyAlignment="1" applyBorder="1" applyFont="1" applyNumberFormat="1">
      <alignment horizontal="center" vertical="center"/>
    </xf>
    <xf borderId="77" fillId="0" fontId="6" numFmtId="0" xfId="0" applyAlignment="1" applyBorder="1" applyFont="1">
      <alignment horizontal="center" vertical="center"/>
    </xf>
    <xf borderId="77" fillId="0" fontId="6" numFmtId="3" xfId="0" applyAlignment="1" applyBorder="1" applyFont="1" applyNumberFormat="1">
      <alignment horizontal="center" vertical="center"/>
    </xf>
    <xf borderId="78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1EEF6"/>
          <bgColor rgb="FFF1EE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SEMANA 2-style">
      <tableStyleElement dxfId="1" type="firstRowStripe"/>
      <tableStyleElement dxfId="2" type="secondRowStripe"/>
    </tableStyle>
    <tableStyle count="2" pivot="0" name="SEMANA 3-style">
      <tableStyleElement dxfId="1" type="firstRowStripe"/>
      <tableStyleElement dxfId="2" type="secondRowStripe"/>
    </tableStyle>
    <tableStyle count="2" pivot="0" name="SEMANA 4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285750" cy="285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85750" cy="2857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85750" cy="2857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85750" cy="285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285750" cy="285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85750" cy="285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285750" cy="2857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285750" cy="285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85750" cy="2857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85750" cy="2857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85750" cy="285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285750" cy="285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85750" cy="285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285750" cy="2857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285750" cy="285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85750" cy="2857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85750" cy="2857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85750" cy="285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285750" cy="285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85750" cy="285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285750" cy="2857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285750" cy="285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85750" cy="2857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85750" cy="2857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85750" cy="285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285750" cy="285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85750" cy="285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285750" cy="2857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9:M17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EMANA 2-style" showColumnStripes="0" showFirstColumn="1" showLastColumn="1" showRowStripes="1"/>
</table>
</file>

<file path=xl/tables/table2.xml><?xml version="1.0" encoding="utf-8"?>
<table xmlns="http://schemas.openxmlformats.org/spreadsheetml/2006/main" headerRowCount="0" ref="A9:M18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EMANA 3-style" showColumnStripes="0" showFirstColumn="1" showLastColumn="1" showRowStripes="1"/>
</table>
</file>

<file path=xl/tables/table3.xml><?xml version="1.0" encoding="utf-8"?>
<table xmlns="http://schemas.openxmlformats.org/spreadsheetml/2006/main" headerRowCount="0" ref="A9:M19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EMANA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20.0"/>
    <col customWidth="1" min="3" max="6" width="10.5"/>
    <col customWidth="1" min="7" max="7" width="14.5"/>
    <col customWidth="1" min="8" max="8" width="14.38"/>
    <col customWidth="1" min="9" max="9" width="19.63"/>
    <col customWidth="1" min="10" max="10" width="10.5"/>
    <col customWidth="1" min="11" max="12" width="14.5"/>
    <col customWidth="1" min="13" max="13" width="18.38"/>
    <col customWidth="1" min="14" max="26" width="14.5"/>
  </cols>
  <sheetData>
    <row r="1" ht="62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34.5" customHeight="1">
      <c r="A2" s="5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ht="18.75" customHeight="1">
      <c r="A3" s="5"/>
      <c r="B3" s="7" t="s">
        <v>2</v>
      </c>
      <c r="C3" s="8" t="s">
        <v>3</v>
      </c>
      <c r="D3" s="9"/>
      <c r="E3" s="9"/>
      <c r="F3" s="9"/>
      <c r="G3" s="9"/>
      <c r="H3" s="9"/>
      <c r="I3" s="9"/>
      <c r="J3" s="9"/>
      <c r="K3" s="9"/>
      <c r="L3" s="10"/>
      <c r="M3" s="11"/>
    </row>
    <row r="4" ht="18.75" customHeight="1">
      <c r="A4" s="5"/>
      <c r="B4" s="7" t="s">
        <v>4</v>
      </c>
      <c r="C4" s="12" t="s">
        <v>5</v>
      </c>
      <c r="D4" s="13"/>
      <c r="E4" s="13"/>
      <c r="F4" s="13"/>
      <c r="G4" s="13"/>
      <c r="H4" s="13"/>
      <c r="I4" s="13"/>
      <c r="J4" s="13"/>
      <c r="K4" s="13"/>
      <c r="L4" s="14"/>
      <c r="M4" s="11"/>
    </row>
    <row r="5" ht="18.75" customHeight="1">
      <c r="A5" s="5"/>
      <c r="B5" s="7" t="s">
        <v>6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7"/>
      <c r="M5" s="11"/>
    </row>
    <row r="6" ht="18.75" customHeight="1">
      <c r="A6" s="5"/>
      <c r="B6" s="7"/>
      <c r="C6" s="7"/>
      <c r="D6" s="7"/>
      <c r="E6" s="7"/>
      <c r="F6" s="7"/>
      <c r="G6" s="11"/>
      <c r="H6" s="11"/>
      <c r="I6" s="11"/>
      <c r="J6" s="11"/>
      <c r="K6" s="11"/>
      <c r="L6" s="11"/>
      <c r="M6" s="11"/>
    </row>
    <row r="7" ht="32.25" customHeight="1">
      <c r="A7" s="18"/>
      <c r="B7" s="19" t="s">
        <v>7</v>
      </c>
      <c r="C7" s="20"/>
      <c r="D7" s="20"/>
      <c r="E7" s="20"/>
      <c r="F7" s="20"/>
      <c r="G7" s="21" t="s">
        <v>8</v>
      </c>
      <c r="H7" s="21" t="s">
        <v>9</v>
      </c>
      <c r="I7" s="21" t="s">
        <v>10</v>
      </c>
      <c r="J7" s="21" t="s">
        <v>11</v>
      </c>
      <c r="K7" s="19" t="s">
        <v>12</v>
      </c>
      <c r="L7" s="19" t="s">
        <v>13</v>
      </c>
      <c r="M7" s="19" t="s">
        <v>14</v>
      </c>
    </row>
    <row r="8" ht="22.5" customHeight="1">
      <c r="A8" s="22"/>
      <c r="B8" s="23"/>
      <c r="C8" s="24" t="s">
        <v>15</v>
      </c>
      <c r="D8" s="24" t="s">
        <v>16</v>
      </c>
      <c r="E8" s="24" t="s">
        <v>17</v>
      </c>
      <c r="F8" s="24" t="s">
        <v>18</v>
      </c>
      <c r="G8" s="25"/>
      <c r="H8" s="25"/>
      <c r="I8" s="25"/>
      <c r="J8" s="25"/>
      <c r="K8" s="25"/>
      <c r="L8" s="25"/>
      <c r="M8" s="26"/>
    </row>
    <row r="9" ht="22.5" customHeight="1">
      <c r="A9" s="27" t="s">
        <v>19</v>
      </c>
      <c r="B9" s="28" t="s">
        <v>20</v>
      </c>
      <c r="C9" s="29" t="s">
        <v>21</v>
      </c>
      <c r="D9" s="30"/>
      <c r="E9" s="30"/>
      <c r="F9" s="31"/>
      <c r="G9" s="32"/>
      <c r="H9" s="32"/>
      <c r="I9" s="32"/>
      <c r="J9" s="32"/>
      <c r="K9" s="32"/>
      <c r="L9" s="33"/>
      <c r="M9" s="34"/>
    </row>
    <row r="10" ht="22.5" customHeight="1">
      <c r="A10" s="35" t="s">
        <v>22</v>
      </c>
      <c r="B10" s="36">
        <v>44747.0</v>
      </c>
      <c r="C10" s="37">
        <v>15.0</v>
      </c>
      <c r="D10" s="38">
        <v>10.0</v>
      </c>
      <c r="E10" s="38">
        <v>0.0</v>
      </c>
      <c r="F10" s="38">
        <v>0.0</v>
      </c>
      <c r="G10" s="38">
        <v>45.0</v>
      </c>
      <c r="H10" s="38">
        <v>0.0</v>
      </c>
      <c r="I10" s="38">
        <v>5.0</v>
      </c>
      <c r="J10" s="38">
        <v>4.0</v>
      </c>
      <c r="K10" s="38">
        <v>926.0</v>
      </c>
      <c r="L10" s="39">
        <v>5032.0</v>
      </c>
      <c r="M10" s="40">
        <v>583.0</v>
      </c>
    </row>
    <row r="11" ht="22.5" customHeight="1">
      <c r="A11" s="41" t="s">
        <v>23</v>
      </c>
      <c r="B11" s="42">
        <v>44748.0</v>
      </c>
      <c r="C11" s="43">
        <v>10.0</v>
      </c>
      <c r="D11" s="44">
        <v>5.0</v>
      </c>
      <c r="E11" s="45">
        <v>0.0</v>
      </c>
      <c r="F11" s="45">
        <v>0.0</v>
      </c>
      <c r="G11" s="46">
        <v>47.0</v>
      </c>
      <c r="H11" s="47">
        <v>0.0</v>
      </c>
      <c r="I11" s="46">
        <v>4.0</v>
      </c>
      <c r="J11" s="46">
        <v>1.0</v>
      </c>
      <c r="K11" s="46">
        <v>595.0</v>
      </c>
      <c r="L11" s="48">
        <v>5039.0</v>
      </c>
      <c r="M11" s="49">
        <v>760.0</v>
      </c>
    </row>
    <row r="12" ht="22.5" customHeight="1">
      <c r="A12" s="50" t="s">
        <v>24</v>
      </c>
      <c r="B12" s="51">
        <v>44749.0</v>
      </c>
      <c r="C12" s="52">
        <v>11.0</v>
      </c>
      <c r="D12" s="53">
        <v>6.0</v>
      </c>
      <c r="E12" s="54">
        <v>0.0</v>
      </c>
      <c r="F12" s="54">
        <v>0.0</v>
      </c>
      <c r="G12" s="55">
        <v>37.0</v>
      </c>
      <c r="H12" s="38">
        <v>0.0</v>
      </c>
      <c r="I12" s="55">
        <v>6.0</v>
      </c>
      <c r="J12" s="55">
        <v>2.0</v>
      </c>
      <c r="K12" s="55">
        <v>587.0</v>
      </c>
      <c r="L12" s="56">
        <v>5047.0</v>
      </c>
      <c r="M12" s="57">
        <v>704.0</v>
      </c>
    </row>
    <row r="13" ht="22.5" customHeight="1">
      <c r="A13" s="41" t="s">
        <v>25</v>
      </c>
      <c r="B13" s="42">
        <v>44750.0</v>
      </c>
      <c r="C13" s="58">
        <v>0.0</v>
      </c>
      <c r="D13" s="45">
        <v>0.0</v>
      </c>
      <c r="E13" s="45">
        <v>0.0</v>
      </c>
      <c r="F13" s="45">
        <v>0.0</v>
      </c>
      <c r="G13" s="47">
        <v>0.0</v>
      </c>
      <c r="H13" s="47">
        <v>0.0</v>
      </c>
      <c r="I13" s="47">
        <v>0.0</v>
      </c>
      <c r="J13" s="47">
        <v>0.0</v>
      </c>
      <c r="K13" s="47">
        <v>0.0</v>
      </c>
      <c r="L13" s="59">
        <v>0.0</v>
      </c>
      <c r="M13" s="60">
        <v>0.0</v>
      </c>
    </row>
    <row r="14" ht="22.5" customHeight="1">
      <c r="A14" s="50" t="s">
        <v>26</v>
      </c>
      <c r="B14" s="51">
        <v>44751.0</v>
      </c>
      <c r="C14" s="61">
        <v>0.0</v>
      </c>
      <c r="D14" s="54">
        <v>0.0</v>
      </c>
      <c r="E14" s="54">
        <v>0.0</v>
      </c>
      <c r="F14" s="54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9">
        <v>0.0</v>
      </c>
      <c r="M14" s="40">
        <v>0.0</v>
      </c>
    </row>
    <row r="15" ht="22.5" customHeight="1">
      <c r="A15" s="62" t="s">
        <v>27</v>
      </c>
      <c r="B15" s="63">
        <v>44752.0</v>
      </c>
      <c r="C15" s="64">
        <v>0.0</v>
      </c>
      <c r="D15" s="65">
        <v>0.0</v>
      </c>
      <c r="E15" s="65">
        <v>0.0</v>
      </c>
      <c r="F15" s="65">
        <v>0.0</v>
      </c>
      <c r="G15" s="66">
        <v>0.0</v>
      </c>
      <c r="H15" s="66">
        <v>0.0</v>
      </c>
      <c r="I15" s="66">
        <v>0.0</v>
      </c>
      <c r="J15" s="66">
        <v>0.0</v>
      </c>
      <c r="K15" s="66">
        <v>0.0</v>
      </c>
      <c r="L15" s="67"/>
      <c r="M15" s="68">
        <v>0.0</v>
      </c>
    </row>
    <row r="16" ht="27.0" customHeight="1">
      <c r="A16" s="69"/>
      <c r="B16" s="70" t="s">
        <v>28</v>
      </c>
      <c r="C16" s="71">
        <f t="shared" ref="C16:K16" si="1">SUM(C10:C15)</f>
        <v>36</v>
      </c>
      <c r="D16" s="71">
        <f t="shared" si="1"/>
        <v>21</v>
      </c>
      <c r="E16" s="71">
        <f t="shared" si="1"/>
        <v>0</v>
      </c>
      <c r="F16" s="71">
        <f t="shared" si="1"/>
        <v>0</v>
      </c>
      <c r="G16" s="71">
        <f t="shared" si="1"/>
        <v>129</v>
      </c>
      <c r="H16" s="71">
        <f t="shared" si="1"/>
        <v>0</v>
      </c>
      <c r="I16" s="71">
        <f t="shared" si="1"/>
        <v>15</v>
      </c>
      <c r="J16" s="71">
        <f t="shared" si="1"/>
        <v>7</v>
      </c>
      <c r="K16" s="71">
        <f t="shared" si="1"/>
        <v>2108</v>
      </c>
      <c r="L16" s="72">
        <f>SUM(L15)</f>
        <v>0</v>
      </c>
      <c r="M16" s="73">
        <f>SUM(M10:M15)</f>
        <v>2047</v>
      </c>
    </row>
    <row r="17" ht="11.25" customHeight="1">
      <c r="A17" s="74"/>
      <c r="B17" s="75"/>
      <c r="C17" s="76"/>
      <c r="D17" s="76"/>
      <c r="E17" s="76"/>
      <c r="F17" s="76"/>
      <c r="G17" s="75"/>
      <c r="H17" s="75"/>
      <c r="I17" s="75"/>
      <c r="J17" s="75"/>
      <c r="K17" s="75"/>
      <c r="L17" s="75"/>
      <c r="M17" s="75"/>
    </row>
    <row r="18" ht="33.75" customHeight="1">
      <c r="A18" s="77"/>
      <c r="B18" s="78" t="s">
        <v>29</v>
      </c>
      <c r="C18" s="79"/>
      <c r="D18" s="80"/>
      <c r="E18" s="81"/>
      <c r="F18" s="81"/>
      <c r="G18" s="81"/>
      <c r="H18" s="81"/>
      <c r="I18" s="82"/>
      <c r="J18" s="82"/>
      <c r="K18" s="82"/>
      <c r="L18" s="82"/>
      <c r="M18" s="82"/>
    </row>
    <row r="19" ht="22.5" customHeight="1">
      <c r="A19" s="74"/>
      <c r="B19" s="83" t="s">
        <v>30</v>
      </c>
      <c r="C19" s="84"/>
      <c r="D19" s="85">
        <v>699.0</v>
      </c>
      <c r="E19" s="76"/>
      <c r="F19" s="81"/>
      <c r="G19" s="81"/>
      <c r="H19" s="81"/>
      <c r="I19" s="75"/>
      <c r="J19" s="75"/>
      <c r="K19" s="75"/>
      <c r="L19" s="75"/>
      <c r="M19" s="75"/>
    </row>
    <row r="20" ht="22.5" customHeight="1">
      <c r="A20" s="74"/>
      <c r="B20" s="86" t="s">
        <v>31</v>
      </c>
      <c r="C20" s="31"/>
      <c r="D20" s="87">
        <v>68.0</v>
      </c>
      <c r="E20" s="76"/>
      <c r="F20" s="81"/>
      <c r="G20" s="81"/>
      <c r="H20" s="81"/>
      <c r="I20" s="75"/>
      <c r="J20" s="75"/>
      <c r="K20" s="75"/>
      <c r="L20" s="75"/>
      <c r="M20" s="75"/>
    </row>
    <row r="21" ht="22.5" customHeight="1">
      <c r="A21" s="74"/>
      <c r="B21" s="88" t="s">
        <v>32</v>
      </c>
      <c r="C21" s="89"/>
      <c r="D21" s="90">
        <v>5027.0</v>
      </c>
      <c r="E21" s="76"/>
      <c r="F21" s="81"/>
      <c r="G21" s="81"/>
      <c r="H21" s="81"/>
      <c r="I21" s="75"/>
      <c r="J21" s="75"/>
      <c r="K21" s="75"/>
      <c r="L21" s="75"/>
      <c r="M21" s="75"/>
    </row>
    <row r="22" ht="15.75" customHeight="1">
      <c r="A22" s="74"/>
      <c r="B22" s="81"/>
      <c r="C22" s="81"/>
      <c r="D22" s="81"/>
      <c r="E22" s="76"/>
      <c r="F22" s="76"/>
      <c r="G22" s="75"/>
      <c r="H22" s="75"/>
      <c r="I22" s="75"/>
      <c r="J22" s="75"/>
      <c r="K22" s="75"/>
      <c r="L22" s="75"/>
      <c r="M22" s="75"/>
    </row>
    <row r="23" ht="33.75" customHeight="1">
      <c r="A23" s="74"/>
      <c r="B23" s="78" t="s">
        <v>33</v>
      </c>
      <c r="C23" s="79"/>
      <c r="D23" s="80"/>
      <c r="E23" s="76"/>
      <c r="F23" s="76"/>
      <c r="G23" s="75"/>
      <c r="H23" s="75"/>
      <c r="I23" s="75"/>
      <c r="J23" s="75"/>
      <c r="K23" s="75"/>
      <c r="L23" s="75"/>
      <c r="M23" s="75"/>
    </row>
    <row r="24" ht="22.5" customHeight="1">
      <c r="A24" s="74"/>
      <c r="B24" s="83" t="s">
        <v>30</v>
      </c>
      <c r="C24" s="84"/>
      <c r="D24" s="91">
        <v>44.0</v>
      </c>
      <c r="E24" s="76"/>
      <c r="F24" s="76"/>
      <c r="G24" s="75"/>
      <c r="H24" s="75"/>
      <c r="I24" s="75"/>
      <c r="J24" s="75"/>
      <c r="K24" s="75"/>
      <c r="L24" s="75"/>
      <c r="M24" s="75"/>
    </row>
    <row r="25" ht="22.5" customHeight="1">
      <c r="A25" s="74"/>
      <c r="B25" s="86" t="s">
        <v>31</v>
      </c>
      <c r="C25" s="31"/>
      <c r="D25" s="92">
        <v>70.8</v>
      </c>
      <c r="E25" s="76"/>
      <c r="F25" s="76"/>
      <c r="G25" s="75"/>
      <c r="H25" s="75"/>
      <c r="I25" s="75"/>
      <c r="J25" s="75"/>
      <c r="K25" s="75"/>
      <c r="L25" s="75"/>
      <c r="M25" s="75"/>
    </row>
    <row r="26" ht="22.5" customHeight="1">
      <c r="A26" s="74"/>
      <c r="B26" s="88" t="s">
        <v>32</v>
      </c>
      <c r="C26" s="89"/>
      <c r="D26" s="93">
        <v>0.2</v>
      </c>
      <c r="E26" s="76"/>
      <c r="F26" s="76"/>
      <c r="G26" s="75"/>
      <c r="H26" s="75"/>
      <c r="I26" s="75"/>
      <c r="J26" s="75"/>
      <c r="K26" s="75"/>
      <c r="L26" s="75"/>
      <c r="M26" s="75"/>
    </row>
    <row r="27" ht="21.75" customHeight="1">
      <c r="A27" s="74"/>
      <c r="B27" s="94"/>
      <c r="C27" s="81"/>
      <c r="D27" s="76"/>
      <c r="E27" s="76"/>
      <c r="F27" s="76"/>
      <c r="G27" s="75"/>
      <c r="H27" s="75"/>
      <c r="I27" s="75"/>
      <c r="J27" s="75"/>
      <c r="K27" s="75"/>
      <c r="L27" s="75"/>
      <c r="M27" s="7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9:C19"/>
    <mergeCell ref="B20:C20"/>
    <mergeCell ref="B21:C21"/>
    <mergeCell ref="B23:D23"/>
    <mergeCell ref="B24:C24"/>
    <mergeCell ref="B25:C25"/>
    <mergeCell ref="B26:C26"/>
    <mergeCell ref="B1:M1"/>
    <mergeCell ref="B2:M2"/>
    <mergeCell ref="C3:L3"/>
    <mergeCell ref="C4:L4"/>
    <mergeCell ref="C5:L5"/>
    <mergeCell ref="C9:F9"/>
    <mergeCell ref="B18:D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20.0"/>
    <col customWidth="1" min="3" max="7" width="10.5"/>
    <col customWidth="1" min="8" max="8" width="14.38"/>
    <col customWidth="1" min="9" max="9" width="19.63"/>
    <col customWidth="1" min="10" max="12" width="14.5"/>
    <col customWidth="1" min="13" max="13" width="18.38"/>
    <col customWidth="1" min="14" max="26" width="14.5"/>
  </cols>
  <sheetData>
    <row r="1" ht="62.25" customHeight="1">
      <c r="A1" s="1"/>
      <c r="B1" s="2" t="s">
        <v>34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34.5" customHeight="1">
      <c r="A2" s="5"/>
      <c r="B2" s="6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ht="18.75" customHeight="1">
      <c r="A3" s="5"/>
      <c r="B3" s="7" t="s">
        <v>2</v>
      </c>
      <c r="C3" s="95"/>
      <c r="D3" s="9"/>
      <c r="E3" s="9"/>
      <c r="F3" s="9"/>
      <c r="G3" s="9"/>
      <c r="H3" s="9"/>
      <c r="I3" s="9"/>
      <c r="J3" s="9"/>
      <c r="K3" s="9"/>
      <c r="L3" s="10"/>
      <c r="M3" s="11"/>
    </row>
    <row r="4" ht="18.75" customHeight="1">
      <c r="A4" s="5"/>
      <c r="B4" s="7" t="s">
        <v>4</v>
      </c>
      <c r="C4" s="96"/>
      <c r="D4" s="13"/>
      <c r="E4" s="13"/>
      <c r="F4" s="13"/>
      <c r="G4" s="13"/>
      <c r="H4" s="13"/>
      <c r="I4" s="13"/>
      <c r="J4" s="13"/>
      <c r="K4" s="13"/>
      <c r="L4" s="14"/>
      <c r="M4" s="11"/>
    </row>
    <row r="5" ht="18.75" customHeight="1">
      <c r="A5" s="5"/>
      <c r="B5" s="7" t="s">
        <v>36</v>
      </c>
      <c r="C5" s="97"/>
      <c r="D5" s="16"/>
      <c r="E5" s="16"/>
      <c r="F5" s="16"/>
      <c r="G5" s="16"/>
      <c r="H5" s="16"/>
      <c r="I5" s="16"/>
      <c r="J5" s="16"/>
      <c r="K5" s="16"/>
      <c r="L5" s="17"/>
      <c r="M5" s="11"/>
    </row>
    <row r="6" ht="18.75" customHeight="1">
      <c r="A6" s="5"/>
      <c r="B6" s="7"/>
      <c r="C6" s="7"/>
      <c r="D6" s="7"/>
      <c r="E6" s="7"/>
      <c r="F6" s="7"/>
      <c r="G6" s="11"/>
      <c r="H6" s="11"/>
      <c r="I6" s="11"/>
      <c r="J6" s="11"/>
      <c r="K6" s="11"/>
      <c r="L6" s="11"/>
      <c r="M6" s="11"/>
    </row>
    <row r="7" ht="32.25" customHeight="1">
      <c r="A7" s="18"/>
      <c r="B7" s="19" t="s">
        <v>7</v>
      </c>
      <c r="C7" s="20"/>
      <c r="D7" s="20"/>
      <c r="E7" s="20"/>
      <c r="F7" s="20"/>
      <c r="G7" s="21" t="s">
        <v>8</v>
      </c>
      <c r="H7" s="21" t="s">
        <v>9</v>
      </c>
      <c r="I7" s="21" t="s">
        <v>10</v>
      </c>
      <c r="J7" s="21" t="s">
        <v>11</v>
      </c>
      <c r="K7" s="19" t="s">
        <v>12</v>
      </c>
      <c r="L7" s="19" t="s">
        <v>13</v>
      </c>
      <c r="M7" s="19" t="s">
        <v>14</v>
      </c>
    </row>
    <row r="8" ht="22.5" customHeight="1">
      <c r="A8" s="22"/>
      <c r="B8" s="23"/>
      <c r="C8" s="24" t="s">
        <v>15</v>
      </c>
      <c r="D8" s="24" t="s">
        <v>16</v>
      </c>
      <c r="E8" s="24" t="s">
        <v>17</v>
      </c>
      <c r="F8" s="24" t="s">
        <v>18</v>
      </c>
      <c r="G8" s="25"/>
      <c r="H8" s="25"/>
      <c r="I8" s="25"/>
      <c r="J8" s="25"/>
      <c r="K8" s="25"/>
      <c r="L8" s="25"/>
      <c r="M8" s="26"/>
    </row>
    <row r="9" ht="22.5" customHeight="1">
      <c r="A9" s="98"/>
      <c r="B9" s="99" t="s">
        <v>37</v>
      </c>
      <c r="C9" s="100">
        <f>'SEMANA 1'!C16</f>
        <v>36</v>
      </c>
      <c r="D9" s="100">
        <f>'SEMANA 1'!D16</f>
        <v>21</v>
      </c>
      <c r="E9" s="100">
        <f>'SEMANA 1'!E16</f>
        <v>0</v>
      </c>
      <c r="F9" s="100">
        <f>'SEMANA 1'!F16</f>
        <v>0</v>
      </c>
      <c r="G9" s="100">
        <f>'SEMANA 1'!G16</f>
        <v>129</v>
      </c>
      <c r="H9" s="100">
        <f>'SEMANA 1'!H16</f>
        <v>0</v>
      </c>
      <c r="I9" s="100">
        <f>'SEMANA 1'!I16</f>
        <v>15</v>
      </c>
      <c r="J9" s="100">
        <f>'SEMANA 1'!J16</f>
        <v>7</v>
      </c>
      <c r="K9" s="100">
        <f>'SEMANA 1'!K16</f>
        <v>2108</v>
      </c>
      <c r="L9" s="101">
        <f>'SEMANA 1'!L16</f>
        <v>0</v>
      </c>
      <c r="M9" s="102">
        <f>'SEMANA 1'!M16</f>
        <v>2047</v>
      </c>
    </row>
    <row r="10" ht="22.5" customHeight="1">
      <c r="A10" s="103" t="s">
        <v>19</v>
      </c>
      <c r="B10" s="104">
        <v>44753.0</v>
      </c>
      <c r="C10" s="105">
        <v>12.0</v>
      </c>
      <c r="D10" s="105">
        <v>5.0</v>
      </c>
      <c r="E10" s="106">
        <v>0.0</v>
      </c>
      <c r="F10" s="105">
        <v>0.0</v>
      </c>
      <c r="G10" s="105">
        <v>23.0</v>
      </c>
      <c r="H10" s="106">
        <v>0.0</v>
      </c>
      <c r="I10" s="106">
        <v>0.0</v>
      </c>
      <c r="J10" s="106">
        <v>0.0</v>
      </c>
      <c r="K10" s="105">
        <v>824.0</v>
      </c>
      <c r="L10" s="107">
        <v>5048.0</v>
      </c>
      <c r="M10" s="108">
        <v>614.0</v>
      </c>
    </row>
    <row r="11" ht="22.5" customHeight="1">
      <c r="A11" s="109" t="s">
        <v>22</v>
      </c>
      <c r="B11" s="110">
        <v>44754.0</v>
      </c>
      <c r="C11" s="111">
        <v>23.0</v>
      </c>
      <c r="D11" s="112">
        <v>8.0</v>
      </c>
      <c r="E11" s="112">
        <v>0.0</v>
      </c>
      <c r="F11" s="113">
        <v>0.0</v>
      </c>
      <c r="G11" s="112">
        <v>48.0</v>
      </c>
      <c r="H11" s="112">
        <v>4.0</v>
      </c>
      <c r="I11" s="112">
        <v>7.0</v>
      </c>
      <c r="J11" s="112">
        <v>2.0</v>
      </c>
      <c r="K11" s="112">
        <v>1851.0</v>
      </c>
      <c r="L11" s="114">
        <v>5070.0</v>
      </c>
      <c r="M11" s="115">
        <v>887.0</v>
      </c>
    </row>
    <row r="12" ht="22.5" customHeight="1">
      <c r="A12" s="116" t="s">
        <v>23</v>
      </c>
      <c r="B12" s="117">
        <v>44755.0</v>
      </c>
      <c r="C12" s="118">
        <v>14.0</v>
      </c>
      <c r="D12" s="119">
        <v>4.0</v>
      </c>
      <c r="E12" s="119">
        <v>0.0</v>
      </c>
      <c r="F12" s="119">
        <v>0.0</v>
      </c>
      <c r="G12" s="119">
        <v>29.0</v>
      </c>
      <c r="H12" s="119">
        <v>0.0</v>
      </c>
      <c r="I12" s="119">
        <v>0.0</v>
      </c>
      <c r="J12" s="119">
        <v>0.0</v>
      </c>
      <c r="K12" s="119">
        <v>831.0</v>
      </c>
      <c r="L12" s="120">
        <v>5091.0</v>
      </c>
      <c r="M12" s="121">
        <v>428.0</v>
      </c>
    </row>
    <row r="13" ht="22.5" customHeight="1">
      <c r="A13" s="122" t="s">
        <v>24</v>
      </c>
      <c r="B13" s="123">
        <v>44756.0</v>
      </c>
      <c r="C13" s="124">
        <v>2.0</v>
      </c>
      <c r="D13" s="125">
        <v>4.0</v>
      </c>
      <c r="E13" s="125">
        <v>0.0</v>
      </c>
      <c r="F13" s="125">
        <v>0.0</v>
      </c>
      <c r="G13" s="125">
        <v>11.0</v>
      </c>
      <c r="H13" s="125">
        <v>1.0</v>
      </c>
      <c r="I13" s="125">
        <v>0.0</v>
      </c>
      <c r="J13" s="125">
        <v>0.0</v>
      </c>
      <c r="K13" s="125">
        <v>95.0</v>
      </c>
      <c r="L13" s="126">
        <v>5101.0</v>
      </c>
      <c r="M13" s="127">
        <v>253.0</v>
      </c>
    </row>
    <row r="14" ht="22.5" customHeight="1">
      <c r="A14" s="116" t="s">
        <v>25</v>
      </c>
      <c r="B14" s="117">
        <v>44757.0</v>
      </c>
      <c r="C14" s="118">
        <v>12.0</v>
      </c>
      <c r="D14" s="119">
        <v>4.0</v>
      </c>
      <c r="E14" s="119">
        <v>0.0</v>
      </c>
      <c r="F14" s="119">
        <v>0.0</v>
      </c>
      <c r="G14" s="119">
        <v>18.0</v>
      </c>
      <c r="H14" s="119">
        <v>0.0</v>
      </c>
      <c r="I14" s="119">
        <v>1.0</v>
      </c>
      <c r="J14" s="119">
        <v>0.0</v>
      </c>
      <c r="K14" s="119">
        <v>365.0</v>
      </c>
      <c r="L14" s="120">
        <v>5106.0</v>
      </c>
      <c r="M14" s="121">
        <v>303.0</v>
      </c>
    </row>
    <row r="15" ht="22.5" customHeight="1">
      <c r="A15" s="122" t="s">
        <v>26</v>
      </c>
      <c r="B15" s="123">
        <v>44758.0</v>
      </c>
      <c r="C15" s="124">
        <v>0.0</v>
      </c>
      <c r="D15" s="125">
        <v>0.0</v>
      </c>
      <c r="E15" s="125">
        <v>0.0</v>
      </c>
      <c r="F15" s="125">
        <v>0.0</v>
      </c>
      <c r="G15" s="125">
        <v>0.0</v>
      </c>
      <c r="H15" s="125">
        <v>0.0</v>
      </c>
      <c r="I15" s="125">
        <v>0.0</v>
      </c>
      <c r="J15" s="125">
        <v>0.0</v>
      </c>
      <c r="K15" s="125">
        <v>136.0</v>
      </c>
      <c r="L15" s="126">
        <v>5113.0</v>
      </c>
      <c r="M15" s="127">
        <v>266.0</v>
      </c>
    </row>
    <row r="16" ht="22.5" customHeight="1">
      <c r="A16" s="128" t="s">
        <v>27</v>
      </c>
      <c r="B16" s="117">
        <v>44759.0</v>
      </c>
      <c r="C16" s="129">
        <v>0.0</v>
      </c>
      <c r="D16" s="130">
        <v>0.0</v>
      </c>
      <c r="E16" s="130">
        <v>0.0</v>
      </c>
      <c r="F16" s="130">
        <v>0.0</v>
      </c>
      <c r="G16" s="130">
        <v>0.0</v>
      </c>
      <c r="H16" s="130">
        <v>0.0</v>
      </c>
      <c r="I16" s="130">
        <v>0.0</v>
      </c>
      <c r="J16" s="130">
        <v>0.0</v>
      </c>
      <c r="K16" s="130">
        <v>0.0</v>
      </c>
      <c r="L16" s="131">
        <v>5116.0</v>
      </c>
      <c r="M16" s="132">
        <v>0.0</v>
      </c>
    </row>
    <row r="17" ht="26.25" customHeight="1">
      <c r="A17" s="133"/>
      <c r="B17" s="134" t="s">
        <v>38</v>
      </c>
      <c r="C17" s="135">
        <f t="shared" ref="C17:K17" si="1">SUM(C10:C16)</f>
        <v>63</v>
      </c>
      <c r="D17" s="135">
        <f t="shared" si="1"/>
        <v>25</v>
      </c>
      <c r="E17" s="135">
        <f t="shared" si="1"/>
        <v>0</v>
      </c>
      <c r="F17" s="135">
        <f t="shared" si="1"/>
        <v>0</v>
      </c>
      <c r="G17" s="135">
        <f t="shared" si="1"/>
        <v>129</v>
      </c>
      <c r="H17" s="135">
        <f t="shared" si="1"/>
        <v>5</v>
      </c>
      <c r="I17" s="135">
        <f t="shared" si="1"/>
        <v>8</v>
      </c>
      <c r="J17" s="135">
        <f t="shared" si="1"/>
        <v>2</v>
      </c>
      <c r="K17" s="135">
        <f t="shared" si="1"/>
        <v>4102</v>
      </c>
      <c r="L17" s="136">
        <f>L16</f>
        <v>5116</v>
      </c>
      <c r="M17" s="137">
        <f>SUM(M10:M16)</f>
        <v>2751</v>
      </c>
    </row>
    <row r="18" ht="26.25" customHeight="1">
      <c r="A18" s="138"/>
      <c r="B18" s="139" t="s">
        <v>39</v>
      </c>
      <c r="C18" s="140">
        <f t="shared" ref="C18:K18" si="2">SUM(C17,C9)</f>
        <v>99</v>
      </c>
      <c r="D18" s="140">
        <f t="shared" si="2"/>
        <v>46</v>
      </c>
      <c r="E18" s="140">
        <f t="shared" si="2"/>
        <v>0</v>
      </c>
      <c r="F18" s="140">
        <f t="shared" si="2"/>
        <v>0</v>
      </c>
      <c r="G18" s="140">
        <f t="shared" si="2"/>
        <v>258</v>
      </c>
      <c r="H18" s="140">
        <f t="shared" si="2"/>
        <v>5</v>
      </c>
      <c r="I18" s="140">
        <f t="shared" si="2"/>
        <v>23</v>
      </c>
      <c r="J18" s="140">
        <f t="shared" si="2"/>
        <v>9</v>
      </c>
      <c r="K18" s="140">
        <f t="shared" si="2"/>
        <v>6210</v>
      </c>
      <c r="L18" s="141">
        <v>5116.0</v>
      </c>
      <c r="M18" s="142">
        <f>SUM(M17,M9)</f>
        <v>4798</v>
      </c>
    </row>
    <row r="19" ht="11.25" customHeight="1">
      <c r="A19" s="77"/>
      <c r="B19" s="81"/>
      <c r="C19" s="81"/>
      <c r="D19" s="81"/>
      <c r="E19" s="81"/>
      <c r="F19" s="81"/>
      <c r="G19" s="82"/>
      <c r="H19" s="82"/>
      <c r="I19" s="82"/>
      <c r="J19" s="82"/>
      <c r="K19" s="82"/>
      <c r="L19" s="82"/>
      <c r="M19" s="82"/>
    </row>
    <row r="20" ht="33.75" customHeight="1">
      <c r="A20" s="74"/>
      <c r="B20" s="143" t="s">
        <v>40</v>
      </c>
      <c r="C20" s="79"/>
      <c r="D20" s="80"/>
      <c r="E20" s="76"/>
      <c r="F20" s="76"/>
      <c r="G20" s="75"/>
      <c r="H20" s="75"/>
      <c r="I20" s="75"/>
      <c r="J20" s="75"/>
      <c r="K20" s="75"/>
      <c r="L20" s="75"/>
      <c r="M20" s="75"/>
    </row>
    <row r="21" ht="22.5" customHeight="1">
      <c r="A21" s="74"/>
      <c r="B21" s="83" t="s">
        <v>30</v>
      </c>
      <c r="C21" s="84"/>
      <c r="D21" s="144">
        <v>776.0</v>
      </c>
      <c r="E21" s="76"/>
      <c r="F21" s="76"/>
      <c r="G21" s="75"/>
      <c r="H21" s="75"/>
      <c r="I21" s="75"/>
      <c r="J21" s="75"/>
      <c r="K21" s="75"/>
      <c r="L21" s="75"/>
      <c r="M21" s="75"/>
    </row>
    <row r="22" ht="22.5" customHeight="1">
      <c r="A22" s="74"/>
      <c r="B22" s="86" t="s">
        <v>31</v>
      </c>
      <c r="C22" s="31"/>
      <c r="D22" s="145">
        <v>261.0</v>
      </c>
      <c r="E22" s="76"/>
      <c r="F22" s="76"/>
      <c r="G22" s="75"/>
      <c r="H22" s="75"/>
      <c r="I22" s="75"/>
      <c r="J22" s="75"/>
      <c r="K22" s="75"/>
      <c r="L22" s="75"/>
      <c r="M22" s="75"/>
    </row>
    <row r="23" ht="22.5" customHeight="1">
      <c r="A23" s="74"/>
      <c r="B23" s="88" t="s">
        <v>32</v>
      </c>
      <c r="C23" s="89"/>
      <c r="D23" s="146">
        <v>2.7</v>
      </c>
      <c r="E23" s="76"/>
      <c r="F23" s="76"/>
      <c r="G23" s="75"/>
      <c r="H23" s="75"/>
      <c r="I23" s="75"/>
      <c r="J23" s="75"/>
      <c r="K23" s="75"/>
      <c r="L23" s="75"/>
      <c r="M23" s="75"/>
    </row>
    <row r="24" ht="15.75" customHeight="1">
      <c r="A24" s="74"/>
      <c r="B24" s="75"/>
      <c r="C24" s="76"/>
      <c r="D24" s="76"/>
      <c r="E24" s="76"/>
      <c r="F24" s="76"/>
      <c r="G24" s="75"/>
      <c r="H24" s="75"/>
      <c r="I24" s="75"/>
      <c r="J24" s="75"/>
      <c r="K24" s="75"/>
      <c r="L24" s="75"/>
      <c r="M24" s="75"/>
    </row>
    <row r="25" ht="15.75" customHeight="1">
      <c r="A25" s="74"/>
      <c r="B25" s="75"/>
      <c r="C25" s="76"/>
      <c r="D25" s="76"/>
      <c r="E25" s="76"/>
      <c r="F25" s="76"/>
      <c r="G25" s="75"/>
      <c r="H25" s="75"/>
      <c r="I25" s="75"/>
      <c r="J25" s="75"/>
      <c r="K25" s="75"/>
      <c r="L25" s="75"/>
      <c r="M25" s="75"/>
    </row>
    <row r="26" ht="15.75" customHeight="1">
      <c r="A26" s="74"/>
      <c r="B26" s="75"/>
      <c r="C26" s="76"/>
      <c r="D26" s="76"/>
      <c r="E26" s="76"/>
      <c r="F26" s="76"/>
      <c r="G26" s="75"/>
      <c r="H26" s="75"/>
      <c r="I26" s="75"/>
      <c r="J26" s="75"/>
      <c r="K26" s="75"/>
      <c r="L26" s="75"/>
      <c r="M26" s="75"/>
    </row>
    <row r="27" ht="15.75" customHeight="1">
      <c r="A27" s="74"/>
      <c r="B27" s="75"/>
      <c r="C27" s="76"/>
      <c r="D27" s="76"/>
      <c r="E27" s="76"/>
      <c r="F27" s="76"/>
      <c r="G27" s="75"/>
      <c r="H27" s="75"/>
      <c r="I27" s="75"/>
      <c r="J27" s="75"/>
      <c r="K27" s="75"/>
      <c r="L27" s="75"/>
      <c r="M27" s="7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2:C22"/>
    <mergeCell ref="B23:C23"/>
    <mergeCell ref="B1:M1"/>
    <mergeCell ref="B2:M2"/>
    <mergeCell ref="C3:L3"/>
    <mergeCell ref="C4:L4"/>
    <mergeCell ref="C5:L5"/>
    <mergeCell ref="B20:D20"/>
    <mergeCell ref="B21:C21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20.0"/>
    <col customWidth="1" min="3" max="7" width="10.5"/>
    <col customWidth="1" min="8" max="8" width="14.38"/>
    <col customWidth="1" min="9" max="9" width="19.63"/>
    <col customWidth="1" min="10" max="12" width="14.5"/>
    <col customWidth="1" min="13" max="13" width="18.38"/>
    <col customWidth="1" min="14" max="26" width="14.5"/>
  </cols>
  <sheetData>
    <row r="1" ht="62.25" customHeight="1">
      <c r="A1" s="1"/>
      <c r="B1" s="2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34.5" customHeight="1">
      <c r="A2" s="5"/>
      <c r="B2" s="147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ht="18.75" customHeight="1">
      <c r="A3" s="5"/>
      <c r="B3" s="7" t="s">
        <v>2</v>
      </c>
      <c r="C3" s="95"/>
      <c r="D3" s="9"/>
      <c r="E3" s="9"/>
      <c r="F3" s="9"/>
      <c r="G3" s="9"/>
      <c r="H3" s="9"/>
      <c r="I3" s="9"/>
      <c r="J3" s="9"/>
      <c r="K3" s="9"/>
      <c r="L3" s="10"/>
      <c r="M3" s="11"/>
    </row>
    <row r="4" ht="18.75" customHeight="1">
      <c r="A4" s="5"/>
      <c r="B4" s="7" t="s">
        <v>4</v>
      </c>
      <c r="C4" s="96"/>
      <c r="D4" s="13"/>
      <c r="E4" s="13"/>
      <c r="F4" s="13"/>
      <c r="G4" s="13"/>
      <c r="H4" s="13"/>
      <c r="I4" s="13"/>
      <c r="J4" s="13"/>
      <c r="K4" s="13"/>
      <c r="L4" s="14"/>
      <c r="M4" s="11"/>
    </row>
    <row r="5" ht="18.75" customHeight="1">
      <c r="A5" s="5"/>
      <c r="B5" s="7" t="s">
        <v>36</v>
      </c>
      <c r="C5" s="97"/>
      <c r="D5" s="16"/>
      <c r="E5" s="16"/>
      <c r="F5" s="16"/>
      <c r="G5" s="16"/>
      <c r="H5" s="16"/>
      <c r="I5" s="16"/>
      <c r="J5" s="16"/>
      <c r="K5" s="16"/>
      <c r="L5" s="17"/>
      <c r="M5" s="11"/>
    </row>
    <row r="6" ht="18.75" customHeight="1">
      <c r="A6" s="5"/>
      <c r="B6" s="7"/>
      <c r="C6" s="7"/>
      <c r="D6" s="7"/>
      <c r="E6" s="7"/>
      <c r="F6" s="7"/>
      <c r="G6" s="11"/>
      <c r="H6" s="11"/>
      <c r="I6" s="11"/>
      <c r="J6" s="11"/>
      <c r="K6" s="11"/>
      <c r="L6" s="11"/>
      <c r="M6" s="11"/>
    </row>
    <row r="7" ht="32.25" customHeight="1">
      <c r="A7" s="18"/>
      <c r="B7" s="19" t="s">
        <v>7</v>
      </c>
      <c r="C7" s="20"/>
      <c r="D7" s="20"/>
      <c r="E7" s="20"/>
      <c r="F7" s="20"/>
      <c r="G7" s="21" t="s">
        <v>8</v>
      </c>
      <c r="H7" s="21" t="s">
        <v>9</v>
      </c>
      <c r="I7" s="21" t="s">
        <v>10</v>
      </c>
      <c r="J7" s="21" t="s">
        <v>11</v>
      </c>
      <c r="K7" s="19" t="s">
        <v>12</v>
      </c>
      <c r="L7" s="19" t="s">
        <v>13</v>
      </c>
      <c r="M7" s="19" t="s">
        <v>14</v>
      </c>
    </row>
    <row r="8" ht="22.5" customHeight="1">
      <c r="A8" s="22"/>
      <c r="B8" s="23"/>
      <c r="C8" s="24" t="s">
        <v>15</v>
      </c>
      <c r="D8" s="24" t="s">
        <v>16</v>
      </c>
      <c r="E8" s="24" t="s">
        <v>17</v>
      </c>
      <c r="F8" s="24" t="s">
        <v>18</v>
      </c>
      <c r="G8" s="25"/>
      <c r="H8" s="25"/>
      <c r="I8" s="25"/>
      <c r="J8" s="25"/>
      <c r="K8" s="25"/>
      <c r="L8" s="25"/>
      <c r="M8" s="26"/>
    </row>
    <row r="9" ht="22.5" customHeight="1">
      <c r="A9" s="98"/>
      <c r="B9" s="99" t="s">
        <v>37</v>
      </c>
      <c r="C9" s="100">
        <f>'SEMANA 2'!C17</f>
        <v>63</v>
      </c>
      <c r="D9" s="100">
        <f>'SEMANA 2'!D17</f>
        <v>25</v>
      </c>
      <c r="E9" s="100">
        <f>'SEMANA 2'!E17</f>
        <v>0</v>
      </c>
      <c r="F9" s="100">
        <f>'SEMANA 2'!F17</f>
        <v>0</v>
      </c>
      <c r="G9" s="100">
        <f>'SEMANA 2'!G17</f>
        <v>129</v>
      </c>
      <c r="H9" s="100">
        <f>'SEMANA 2'!H17</f>
        <v>5</v>
      </c>
      <c r="I9" s="100">
        <f>'SEMANA 2'!I17</f>
        <v>8</v>
      </c>
      <c r="J9" s="100">
        <f>'SEMANA 2'!J17</f>
        <v>2</v>
      </c>
      <c r="K9" s="100">
        <f>'SEMANA 2'!K17</f>
        <v>4102</v>
      </c>
      <c r="L9" s="101">
        <f>'SEMANA 2'!L17</f>
        <v>5116</v>
      </c>
      <c r="M9" s="148">
        <f>'SEMANA 2'!M17</f>
        <v>2751</v>
      </c>
    </row>
    <row r="10" ht="22.5" customHeight="1">
      <c r="A10" s="103" t="s">
        <v>19</v>
      </c>
      <c r="B10" s="104">
        <v>44767.0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49"/>
      <c r="M10" s="150"/>
    </row>
    <row r="11" ht="22.5" customHeight="1">
      <c r="A11" s="109" t="s">
        <v>22</v>
      </c>
      <c r="B11" s="110">
        <v>44768.0</v>
      </c>
      <c r="C11" s="151"/>
      <c r="D11" s="113"/>
      <c r="E11" s="113"/>
      <c r="F11" s="113"/>
      <c r="G11" s="113"/>
      <c r="H11" s="113"/>
      <c r="I11" s="113"/>
      <c r="J11" s="113"/>
      <c r="K11" s="113"/>
      <c r="L11" s="152"/>
      <c r="M11" s="153"/>
    </row>
    <row r="12" ht="22.5" customHeight="1">
      <c r="A12" s="116" t="s">
        <v>23</v>
      </c>
      <c r="B12" s="117">
        <v>44769.0</v>
      </c>
      <c r="C12" s="154"/>
      <c r="D12" s="155"/>
      <c r="E12" s="155"/>
      <c r="F12" s="155"/>
      <c r="G12" s="155"/>
      <c r="H12" s="155"/>
      <c r="I12" s="155"/>
      <c r="J12" s="155"/>
      <c r="K12" s="155"/>
      <c r="L12" s="156"/>
      <c r="M12" s="157"/>
    </row>
    <row r="13" ht="22.5" customHeight="1">
      <c r="A13" s="122" t="s">
        <v>24</v>
      </c>
      <c r="B13" s="123">
        <v>44770.0</v>
      </c>
      <c r="C13" s="158"/>
      <c r="D13" s="159"/>
      <c r="E13" s="159"/>
      <c r="F13" s="159"/>
      <c r="G13" s="159"/>
      <c r="H13" s="159"/>
      <c r="I13" s="159"/>
      <c r="J13" s="159"/>
      <c r="K13" s="159"/>
      <c r="L13" s="160"/>
      <c r="M13" s="161"/>
    </row>
    <row r="14" ht="22.5" customHeight="1">
      <c r="A14" s="116" t="s">
        <v>25</v>
      </c>
      <c r="B14" s="117">
        <v>44771.0</v>
      </c>
      <c r="C14" s="154"/>
      <c r="D14" s="155"/>
      <c r="E14" s="155"/>
      <c r="F14" s="155"/>
      <c r="G14" s="155"/>
      <c r="H14" s="155"/>
      <c r="I14" s="155"/>
      <c r="J14" s="155"/>
      <c r="K14" s="155"/>
      <c r="L14" s="156"/>
      <c r="M14" s="157"/>
    </row>
    <row r="15" ht="22.5" customHeight="1">
      <c r="A15" s="122" t="s">
        <v>26</v>
      </c>
      <c r="B15" s="123">
        <v>44772.0</v>
      </c>
      <c r="C15" s="158"/>
      <c r="D15" s="159"/>
      <c r="E15" s="159"/>
      <c r="F15" s="159"/>
      <c r="G15" s="159"/>
      <c r="H15" s="159"/>
      <c r="I15" s="159"/>
      <c r="J15" s="159"/>
      <c r="K15" s="159"/>
      <c r="L15" s="160"/>
      <c r="M15" s="161"/>
    </row>
    <row r="16" ht="22.5" customHeight="1">
      <c r="A16" s="128" t="s">
        <v>27</v>
      </c>
      <c r="B16" s="117">
        <v>44773.0</v>
      </c>
      <c r="C16" s="162"/>
      <c r="D16" s="163"/>
      <c r="E16" s="163"/>
      <c r="F16" s="163"/>
      <c r="G16" s="163"/>
      <c r="H16" s="163"/>
      <c r="I16" s="163"/>
      <c r="J16" s="163"/>
      <c r="K16" s="163"/>
      <c r="L16" s="164"/>
      <c r="M16" s="165"/>
    </row>
    <row r="17" ht="26.25" customHeight="1">
      <c r="A17" s="133"/>
      <c r="B17" s="134" t="s">
        <v>38</v>
      </c>
      <c r="C17" s="135">
        <f t="shared" ref="C17:K17" si="1">SUM(C10:C16)</f>
        <v>0</v>
      </c>
      <c r="D17" s="135">
        <f t="shared" si="1"/>
        <v>0</v>
      </c>
      <c r="E17" s="135">
        <f t="shared" si="1"/>
        <v>0</v>
      </c>
      <c r="F17" s="135">
        <f t="shared" si="1"/>
        <v>0</v>
      </c>
      <c r="G17" s="135">
        <f t="shared" si="1"/>
        <v>0</v>
      </c>
      <c r="H17" s="135">
        <f t="shared" si="1"/>
        <v>0</v>
      </c>
      <c r="I17" s="135">
        <f t="shared" si="1"/>
        <v>0</v>
      </c>
      <c r="J17" s="135">
        <f t="shared" si="1"/>
        <v>0</v>
      </c>
      <c r="K17" s="135">
        <f t="shared" si="1"/>
        <v>0</v>
      </c>
      <c r="L17" s="136" t="str">
        <f t="shared" ref="L17:L18" si="3">L16</f>
        <v/>
      </c>
      <c r="M17" s="137">
        <f>SUM(M10:M16)</f>
        <v>0</v>
      </c>
    </row>
    <row r="18" ht="26.25" customHeight="1">
      <c r="A18" s="166"/>
      <c r="B18" s="167" t="s">
        <v>39</v>
      </c>
      <c r="C18" s="168">
        <f t="shared" ref="C18:K18" si="2">SUM(C17,C9)</f>
        <v>63</v>
      </c>
      <c r="D18" s="168">
        <f t="shared" si="2"/>
        <v>25</v>
      </c>
      <c r="E18" s="168">
        <f t="shared" si="2"/>
        <v>0</v>
      </c>
      <c r="F18" s="168">
        <f t="shared" si="2"/>
        <v>0</v>
      </c>
      <c r="G18" s="168">
        <f t="shared" si="2"/>
        <v>129</v>
      </c>
      <c r="H18" s="168">
        <f t="shared" si="2"/>
        <v>5</v>
      </c>
      <c r="I18" s="168">
        <f t="shared" si="2"/>
        <v>8</v>
      </c>
      <c r="J18" s="168">
        <f t="shared" si="2"/>
        <v>2</v>
      </c>
      <c r="K18" s="168">
        <f t="shared" si="2"/>
        <v>4102</v>
      </c>
      <c r="L18" s="169" t="str">
        <f t="shared" si="3"/>
        <v/>
      </c>
      <c r="M18" s="170">
        <f>SUM(M17,M9)</f>
        <v>2751</v>
      </c>
    </row>
    <row r="19" ht="11.25" customHeight="1">
      <c r="A19" s="77"/>
      <c r="B19" s="81"/>
      <c r="C19" s="81"/>
      <c r="D19" s="81"/>
      <c r="E19" s="81"/>
      <c r="F19" s="81"/>
      <c r="G19" s="82"/>
      <c r="H19" s="82"/>
      <c r="I19" s="82"/>
      <c r="J19" s="82"/>
      <c r="K19" s="82"/>
      <c r="L19" s="82"/>
      <c r="M19" s="82"/>
    </row>
    <row r="20" ht="33.75" customHeight="1">
      <c r="A20" s="74"/>
      <c r="B20" s="78" t="s">
        <v>40</v>
      </c>
      <c r="C20" s="79"/>
      <c r="D20" s="80"/>
      <c r="E20" s="76"/>
      <c r="F20" s="76"/>
      <c r="G20" s="75"/>
      <c r="H20" s="75"/>
      <c r="I20" s="75"/>
      <c r="J20" s="75"/>
      <c r="K20" s="75"/>
      <c r="L20" s="75"/>
      <c r="M20" s="75"/>
    </row>
    <row r="21" ht="22.5" customHeight="1">
      <c r="A21" s="74"/>
      <c r="B21" s="83" t="s">
        <v>30</v>
      </c>
      <c r="C21" s="84"/>
      <c r="D21" s="171"/>
      <c r="E21" s="76"/>
      <c r="F21" s="76"/>
      <c r="G21" s="75"/>
      <c r="H21" s="75"/>
      <c r="I21" s="75"/>
      <c r="J21" s="75"/>
      <c r="K21" s="75"/>
      <c r="L21" s="75"/>
      <c r="M21" s="75"/>
    </row>
    <row r="22" ht="22.5" customHeight="1">
      <c r="A22" s="74"/>
      <c r="B22" s="86" t="s">
        <v>31</v>
      </c>
      <c r="C22" s="31"/>
      <c r="D22" s="87"/>
      <c r="E22" s="76"/>
      <c r="F22" s="76"/>
      <c r="G22" s="75"/>
      <c r="H22" s="75"/>
      <c r="I22" s="75"/>
      <c r="J22" s="75"/>
      <c r="K22" s="75"/>
      <c r="L22" s="75"/>
      <c r="M22" s="75"/>
    </row>
    <row r="23" ht="22.5" customHeight="1">
      <c r="A23" s="74"/>
      <c r="B23" s="88" t="s">
        <v>32</v>
      </c>
      <c r="C23" s="89"/>
      <c r="D23" s="172"/>
      <c r="E23" s="76"/>
      <c r="F23" s="76"/>
      <c r="G23" s="75"/>
      <c r="H23" s="75"/>
      <c r="I23" s="75"/>
      <c r="J23" s="75"/>
      <c r="K23" s="75"/>
      <c r="L23" s="75"/>
      <c r="M23" s="75"/>
    </row>
    <row r="24" ht="15.75" customHeight="1">
      <c r="A24" s="74"/>
      <c r="B24" s="75"/>
      <c r="C24" s="76"/>
      <c r="D24" s="76"/>
      <c r="E24" s="76"/>
      <c r="F24" s="76"/>
      <c r="G24" s="75"/>
      <c r="H24" s="75"/>
      <c r="I24" s="75"/>
      <c r="J24" s="75"/>
      <c r="K24" s="75"/>
      <c r="L24" s="75"/>
      <c r="M24" s="75"/>
    </row>
    <row r="25" ht="15.75" customHeight="1">
      <c r="A25" s="74"/>
      <c r="B25" s="75"/>
      <c r="C25" s="76"/>
      <c r="D25" s="76"/>
      <c r="E25" s="76"/>
      <c r="F25" s="76"/>
      <c r="G25" s="75"/>
      <c r="H25" s="75"/>
      <c r="I25" s="75"/>
      <c r="J25" s="75"/>
      <c r="K25" s="75"/>
      <c r="L25" s="75"/>
      <c r="M25" s="75"/>
    </row>
    <row r="26" ht="15.75" customHeight="1">
      <c r="A26" s="74"/>
      <c r="B26" s="75"/>
      <c r="C26" s="76"/>
      <c r="D26" s="76"/>
      <c r="E26" s="76"/>
      <c r="F26" s="76"/>
      <c r="G26" s="75"/>
      <c r="H26" s="75"/>
      <c r="I26" s="75"/>
      <c r="J26" s="75"/>
      <c r="K26" s="75"/>
      <c r="L26" s="75"/>
      <c r="M26" s="75"/>
    </row>
    <row r="27" ht="15.75" customHeight="1">
      <c r="A27" s="74"/>
      <c r="B27" s="75"/>
      <c r="C27" s="76"/>
      <c r="D27" s="76"/>
      <c r="E27" s="76"/>
      <c r="F27" s="76"/>
      <c r="G27" s="75"/>
      <c r="H27" s="75"/>
      <c r="I27" s="75"/>
      <c r="J27" s="75"/>
      <c r="K27" s="75"/>
      <c r="L27" s="75"/>
      <c r="M27" s="7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2:C22"/>
    <mergeCell ref="B23:C23"/>
    <mergeCell ref="B1:M1"/>
    <mergeCell ref="B2:M2"/>
    <mergeCell ref="C3:L3"/>
    <mergeCell ref="C4:L4"/>
    <mergeCell ref="C5:L5"/>
    <mergeCell ref="B20:D20"/>
    <mergeCell ref="B21:C21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20.0"/>
    <col customWidth="1" min="3" max="7" width="10.5"/>
    <col customWidth="1" min="8" max="8" width="14.38"/>
    <col customWidth="1" min="9" max="9" width="19.63"/>
    <col customWidth="1" min="10" max="12" width="14.5"/>
    <col customWidth="1" min="13" max="13" width="18.38"/>
    <col customWidth="1" min="14" max="26" width="14.5"/>
  </cols>
  <sheetData>
    <row r="1" ht="62.25" customHeight="1">
      <c r="A1" s="1"/>
      <c r="B1" s="2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34.5" customHeight="1">
      <c r="A2" s="5"/>
      <c r="B2" s="6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ht="18.75" customHeight="1">
      <c r="A3" s="5"/>
      <c r="B3" s="7" t="s">
        <v>2</v>
      </c>
      <c r="C3" s="95"/>
      <c r="D3" s="9"/>
      <c r="E3" s="9"/>
      <c r="F3" s="9"/>
      <c r="G3" s="9"/>
      <c r="H3" s="9"/>
      <c r="I3" s="9"/>
      <c r="J3" s="9"/>
      <c r="K3" s="9"/>
      <c r="L3" s="10"/>
      <c r="M3" s="11"/>
    </row>
    <row r="4" ht="18.75" customHeight="1">
      <c r="A4" s="5"/>
      <c r="B4" s="7" t="s">
        <v>4</v>
      </c>
      <c r="C4" s="96"/>
      <c r="D4" s="13"/>
      <c r="E4" s="13"/>
      <c r="F4" s="13"/>
      <c r="G4" s="13"/>
      <c r="H4" s="13"/>
      <c r="I4" s="13"/>
      <c r="J4" s="13"/>
      <c r="K4" s="13"/>
      <c r="L4" s="14"/>
      <c r="M4" s="11"/>
    </row>
    <row r="5" ht="18.75" customHeight="1">
      <c r="A5" s="5"/>
      <c r="B5" s="7" t="s">
        <v>36</v>
      </c>
      <c r="C5" s="97"/>
      <c r="D5" s="16"/>
      <c r="E5" s="16"/>
      <c r="F5" s="16"/>
      <c r="G5" s="16"/>
      <c r="H5" s="16"/>
      <c r="I5" s="16"/>
      <c r="J5" s="16"/>
      <c r="K5" s="16"/>
      <c r="L5" s="17"/>
      <c r="M5" s="11"/>
    </row>
    <row r="6" ht="18.75" customHeight="1">
      <c r="A6" s="5"/>
      <c r="B6" s="7"/>
      <c r="C6" s="7"/>
      <c r="D6" s="7"/>
      <c r="E6" s="7"/>
      <c r="F6" s="7"/>
      <c r="G6" s="11"/>
      <c r="H6" s="11"/>
      <c r="I6" s="11"/>
      <c r="J6" s="11"/>
      <c r="K6" s="11"/>
      <c r="L6" s="11"/>
      <c r="M6" s="11"/>
    </row>
    <row r="7" ht="32.25" customHeight="1">
      <c r="A7" s="18"/>
      <c r="B7" s="19" t="s">
        <v>7</v>
      </c>
      <c r="C7" s="20"/>
      <c r="D7" s="20"/>
      <c r="E7" s="20"/>
      <c r="F7" s="20"/>
      <c r="G7" s="21" t="s">
        <v>8</v>
      </c>
      <c r="H7" s="21" t="s">
        <v>9</v>
      </c>
      <c r="I7" s="21" t="s">
        <v>10</v>
      </c>
      <c r="J7" s="21" t="s">
        <v>11</v>
      </c>
      <c r="K7" s="19" t="s">
        <v>12</v>
      </c>
      <c r="L7" s="19" t="s">
        <v>13</v>
      </c>
      <c r="M7" s="19" t="s">
        <v>14</v>
      </c>
    </row>
    <row r="8" ht="22.5" customHeight="1">
      <c r="A8" s="22"/>
      <c r="B8" s="23"/>
      <c r="C8" s="24" t="s">
        <v>15</v>
      </c>
      <c r="D8" s="24" t="s">
        <v>16</v>
      </c>
      <c r="E8" s="24" t="s">
        <v>17</v>
      </c>
      <c r="F8" s="24" t="s">
        <v>18</v>
      </c>
      <c r="G8" s="25"/>
      <c r="H8" s="25"/>
      <c r="I8" s="25"/>
      <c r="J8" s="25"/>
      <c r="K8" s="25"/>
      <c r="L8" s="25"/>
      <c r="M8" s="26"/>
    </row>
    <row r="9" ht="22.5" customHeight="1">
      <c r="A9" s="98"/>
      <c r="B9" s="99" t="s">
        <v>37</v>
      </c>
      <c r="C9" s="100">
        <f>'SEMANA 3'!C17</f>
        <v>0</v>
      </c>
      <c r="D9" s="100">
        <f>'SEMANA 3'!D17</f>
        <v>0</v>
      </c>
      <c r="E9" s="100">
        <f>'SEMANA 3'!E17</f>
        <v>0</v>
      </c>
      <c r="F9" s="100">
        <f>'SEMANA 3'!F17</f>
        <v>0</v>
      </c>
      <c r="G9" s="100">
        <f>'SEMANA 3'!G17</f>
        <v>0</v>
      </c>
      <c r="H9" s="100">
        <f>'SEMANA 3'!H17</f>
        <v>0</v>
      </c>
      <c r="I9" s="100">
        <f>'SEMANA 3'!I17</f>
        <v>0</v>
      </c>
      <c r="J9" s="100">
        <f>'SEMANA 3'!J17</f>
        <v>0</v>
      </c>
      <c r="K9" s="100">
        <f>'SEMANA 3'!K17</f>
        <v>0</v>
      </c>
      <c r="L9" s="101" t="str">
        <f>'SEMANA 3'!L17</f>
        <v/>
      </c>
      <c r="M9" s="148">
        <f>'SEMANA 3'!M17</f>
        <v>0</v>
      </c>
    </row>
    <row r="10" ht="22.5" customHeight="1">
      <c r="A10" s="103" t="s">
        <v>23</v>
      </c>
      <c r="B10" s="173">
        <v>44760.0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49"/>
      <c r="M10" s="150"/>
    </row>
    <row r="11" ht="22.5" customHeight="1">
      <c r="A11" s="109" t="s">
        <v>24</v>
      </c>
      <c r="B11" s="174">
        <v>44761.0</v>
      </c>
      <c r="C11" s="151"/>
      <c r="D11" s="113"/>
      <c r="E11" s="113"/>
      <c r="F11" s="113"/>
      <c r="G11" s="113"/>
      <c r="H11" s="113"/>
      <c r="I11" s="113"/>
      <c r="J11" s="113"/>
      <c r="K11" s="113"/>
      <c r="L11" s="152"/>
      <c r="M11" s="153"/>
    </row>
    <row r="12" ht="22.5" customHeight="1">
      <c r="A12" s="116" t="s">
        <v>25</v>
      </c>
      <c r="B12" s="174">
        <v>44762.0</v>
      </c>
      <c r="C12" s="154"/>
      <c r="D12" s="155"/>
      <c r="E12" s="155"/>
      <c r="F12" s="155"/>
      <c r="G12" s="155"/>
      <c r="H12" s="155"/>
      <c r="I12" s="155"/>
      <c r="J12" s="155"/>
      <c r="K12" s="155"/>
      <c r="L12" s="156"/>
      <c r="M12" s="157"/>
    </row>
    <row r="13" ht="22.5" customHeight="1">
      <c r="A13" s="122" t="s">
        <v>26</v>
      </c>
      <c r="B13" s="174">
        <v>44763.0</v>
      </c>
      <c r="C13" s="158"/>
      <c r="D13" s="159"/>
      <c r="E13" s="159"/>
      <c r="F13" s="159"/>
      <c r="G13" s="159"/>
      <c r="H13" s="159"/>
      <c r="I13" s="159"/>
      <c r="J13" s="159"/>
      <c r="K13" s="159"/>
      <c r="L13" s="160"/>
      <c r="M13" s="161"/>
    </row>
    <row r="14" ht="22.5" customHeight="1">
      <c r="A14" s="116" t="s">
        <v>27</v>
      </c>
      <c r="B14" s="174">
        <v>44764.0</v>
      </c>
      <c r="C14" s="154"/>
      <c r="D14" s="155"/>
      <c r="E14" s="155"/>
      <c r="F14" s="155"/>
      <c r="G14" s="155"/>
      <c r="H14" s="155"/>
      <c r="I14" s="155"/>
      <c r="J14" s="155"/>
      <c r="K14" s="155"/>
      <c r="L14" s="156"/>
      <c r="M14" s="157"/>
    </row>
    <row r="15" ht="22.5" customHeight="1">
      <c r="A15" s="122" t="s">
        <v>19</v>
      </c>
      <c r="B15" s="174">
        <v>44765.0</v>
      </c>
      <c r="C15" s="158"/>
      <c r="D15" s="159"/>
      <c r="E15" s="159"/>
      <c r="F15" s="159"/>
      <c r="G15" s="159"/>
      <c r="H15" s="159"/>
      <c r="I15" s="159"/>
      <c r="J15" s="159"/>
      <c r="K15" s="159"/>
      <c r="L15" s="160"/>
      <c r="M15" s="161"/>
    </row>
    <row r="16" ht="22.5" customHeight="1">
      <c r="A16" s="128" t="s">
        <v>22</v>
      </c>
      <c r="B16" s="174">
        <v>44766.0</v>
      </c>
      <c r="C16" s="154"/>
      <c r="D16" s="155"/>
      <c r="E16" s="155"/>
      <c r="F16" s="155"/>
      <c r="G16" s="155"/>
      <c r="H16" s="155"/>
      <c r="I16" s="155"/>
      <c r="J16" s="155"/>
      <c r="K16" s="155"/>
      <c r="L16" s="156"/>
      <c r="M16" s="157"/>
    </row>
    <row r="17" ht="22.5" customHeight="1">
      <c r="A17" s="175" t="s">
        <v>23</v>
      </c>
      <c r="B17" s="176">
        <v>44767.0</v>
      </c>
      <c r="C17" s="162"/>
      <c r="D17" s="177"/>
      <c r="E17" s="177"/>
      <c r="F17" s="177"/>
      <c r="G17" s="177"/>
      <c r="H17" s="177"/>
      <c r="I17" s="177"/>
      <c r="J17" s="177"/>
      <c r="K17" s="177"/>
      <c r="L17" s="178"/>
      <c r="M17" s="179"/>
    </row>
    <row r="18" ht="26.25" customHeight="1">
      <c r="A18" s="133"/>
      <c r="B18" s="134" t="s">
        <v>38</v>
      </c>
      <c r="C18" s="135">
        <f t="shared" ref="C18:K18" si="1">SUM(C10:C17)</f>
        <v>0</v>
      </c>
      <c r="D18" s="135">
        <f t="shared" si="1"/>
        <v>0</v>
      </c>
      <c r="E18" s="135">
        <f t="shared" si="1"/>
        <v>0</v>
      </c>
      <c r="F18" s="135">
        <f t="shared" si="1"/>
        <v>0</v>
      </c>
      <c r="G18" s="135">
        <f t="shared" si="1"/>
        <v>0</v>
      </c>
      <c r="H18" s="135">
        <f t="shared" si="1"/>
        <v>0</v>
      </c>
      <c r="I18" s="135">
        <f t="shared" si="1"/>
        <v>0</v>
      </c>
      <c r="J18" s="135">
        <f t="shared" si="1"/>
        <v>0</v>
      </c>
      <c r="K18" s="135">
        <f t="shared" si="1"/>
        <v>0</v>
      </c>
      <c r="L18" s="136" t="str">
        <f t="shared" ref="L18:L19" si="3">L17</f>
        <v/>
      </c>
      <c r="M18" s="137">
        <f>SUM(M10:M17)</f>
        <v>0</v>
      </c>
    </row>
    <row r="19" ht="26.25" customHeight="1">
      <c r="A19" s="166"/>
      <c r="B19" s="167" t="s">
        <v>39</v>
      </c>
      <c r="C19" s="168">
        <f t="shared" ref="C19:K19" si="2">SUM(C18,C9)</f>
        <v>0</v>
      </c>
      <c r="D19" s="168">
        <f t="shared" si="2"/>
        <v>0</v>
      </c>
      <c r="E19" s="168">
        <f t="shared" si="2"/>
        <v>0</v>
      </c>
      <c r="F19" s="168">
        <f t="shared" si="2"/>
        <v>0</v>
      </c>
      <c r="G19" s="168">
        <f t="shared" si="2"/>
        <v>0</v>
      </c>
      <c r="H19" s="168">
        <f t="shared" si="2"/>
        <v>0</v>
      </c>
      <c r="I19" s="168">
        <f t="shared" si="2"/>
        <v>0</v>
      </c>
      <c r="J19" s="168">
        <f t="shared" si="2"/>
        <v>0</v>
      </c>
      <c r="K19" s="168">
        <f t="shared" si="2"/>
        <v>0</v>
      </c>
      <c r="L19" s="169" t="str">
        <f t="shared" si="3"/>
        <v/>
      </c>
      <c r="M19" s="170">
        <f>SUM(M18,M9)</f>
        <v>0</v>
      </c>
    </row>
    <row r="20" ht="11.25" customHeight="1">
      <c r="A20" s="77"/>
      <c r="B20" s="81"/>
      <c r="C20" s="81"/>
      <c r="D20" s="81"/>
      <c r="E20" s="81"/>
      <c r="F20" s="81"/>
      <c r="G20" s="82"/>
      <c r="H20" s="82"/>
      <c r="I20" s="82"/>
      <c r="J20" s="82"/>
      <c r="K20" s="82"/>
      <c r="L20" s="82"/>
      <c r="M20" s="82"/>
    </row>
    <row r="21" ht="33.75" customHeight="1">
      <c r="A21" s="74"/>
      <c r="B21" s="78" t="s">
        <v>44</v>
      </c>
      <c r="C21" s="79"/>
      <c r="D21" s="80"/>
      <c r="E21" s="76"/>
      <c r="F21" s="76"/>
      <c r="G21" s="75"/>
      <c r="H21" s="75"/>
      <c r="I21" s="75"/>
      <c r="J21" s="75"/>
      <c r="K21" s="75"/>
      <c r="L21" s="75"/>
      <c r="M21" s="75"/>
    </row>
    <row r="22" ht="22.5" customHeight="1">
      <c r="A22" s="74"/>
      <c r="B22" s="83" t="s">
        <v>30</v>
      </c>
      <c r="C22" s="84"/>
      <c r="D22" s="171"/>
      <c r="E22" s="76"/>
      <c r="F22" s="76"/>
      <c r="G22" s="75"/>
      <c r="H22" s="75"/>
      <c r="I22" s="75"/>
      <c r="J22" s="75"/>
      <c r="K22" s="75"/>
      <c r="L22" s="75"/>
      <c r="M22" s="75"/>
    </row>
    <row r="23" ht="22.5" customHeight="1">
      <c r="A23" s="74"/>
      <c r="B23" s="86" t="s">
        <v>31</v>
      </c>
      <c r="C23" s="31"/>
      <c r="D23" s="87"/>
      <c r="E23" s="76"/>
      <c r="F23" s="76"/>
      <c r="G23" s="75"/>
      <c r="H23" s="75"/>
      <c r="I23" s="75"/>
      <c r="J23" s="75"/>
      <c r="K23" s="75"/>
      <c r="L23" s="75"/>
      <c r="M23" s="75"/>
    </row>
    <row r="24" ht="22.5" customHeight="1">
      <c r="A24" s="74"/>
      <c r="B24" s="88" t="s">
        <v>32</v>
      </c>
      <c r="C24" s="89"/>
      <c r="D24" s="172"/>
      <c r="E24" s="76"/>
      <c r="F24" s="76"/>
      <c r="G24" s="75"/>
      <c r="H24" s="75"/>
      <c r="I24" s="75"/>
      <c r="J24" s="75"/>
      <c r="K24" s="75"/>
      <c r="L24" s="75"/>
      <c r="M24" s="75"/>
    </row>
    <row r="25" ht="15.75" customHeight="1">
      <c r="A25" s="74"/>
      <c r="B25" s="75"/>
      <c r="C25" s="76"/>
      <c r="D25" s="76"/>
      <c r="E25" s="76"/>
      <c r="F25" s="76"/>
      <c r="G25" s="75"/>
      <c r="H25" s="75"/>
      <c r="I25" s="75"/>
      <c r="J25" s="75"/>
      <c r="K25" s="75"/>
      <c r="L25" s="75"/>
      <c r="M25" s="75"/>
    </row>
    <row r="26" ht="15.75" customHeight="1">
      <c r="A26" s="74"/>
      <c r="B26" s="75"/>
      <c r="C26" s="76"/>
      <c r="D26" s="76"/>
      <c r="E26" s="76"/>
      <c r="F26" s="76"/>
      <c r="G26" s="75"/>
      <c r="H26" s="75"/>
      <c r="I26" s="75"/>
      <c r="J26" s="75"/>
      <c r="K26" s="75"/>
      <c r="L26" s="75"/>
      <c r="M26" s="75"/>
    </row>
    <row r="27" ht="15.75" customHeight="1">
      <c r="A27" s="74"/>
      <c r="B27" s="75"/>
      <c r="C27" s="76"/>
      <c r="D27" s="76"/>
      <c r="E27" s="76"/>
      <c r="F27" s="76"/>
      <c r="G27" s="75"/>
      <c r="H27" s="75"/>
      <c r="I27" s="75"/>
      <c r="J27" s="75"/>
      <c r="K27" s="75"/>
      <c r="L27" s="75"/>
      <c r="M27" s="7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3:C23"/>
    <mergeCell ref="B24:C24"/>
    <mergeCell ref="B1:M1"/>
    <mergeCell ref="B2:M2"/>
    <mergeCell ref="C3:L3"/>
    <mergeCell ref="C4:L4"/>
    <mergeCell ref="C5:L5"/>
    <mergeCell ref="B21:D21"/>
    <mergeCell ref="B22:C22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