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entações de uso" sheetId="1" r:id="rId4"/>
    <sheet state="visible" name="Dashboard" sheetId="2" r:id="rId5"/>
  </sheets>
  <definedNames/>
  <calcPr/>
</workbook>
</file>

<file path=xl/sharedStrings.xml><?xml version="1.0" encoding="utf-8"?>
<sst xmlns="http://schemas.openxmlformats.org/spreadsheetml/2006/main" count="69" uniqueCount="56">
  <si>
    <t>Orientações de uso da planilha de controle de capacidade de vendas</t>
  </si>
  <si>
    <r>
      <rPr>
        <rFont val="&quot;Helvetica Neue&quot;, Arial"/>
        <b/>
        <color theme="1"/>
      </rPr>
      <t>Colete os dados históricos de vendas</t>
    </r>
    <r>
      <rPr>
        <rFont val="&quot;Helvetica Neue&quot;, Arial"/>
        <color theme="1"/>
      </rPr>
      <t xml:space="preserve">
O primeiro passo é coletar os dados históricos de vendas, incluindo:
Entradas: número de leads gerados por cada origem
Conversões: número de leads convertidos em oportunidades, compromissos, ocorridas e vendas
Valores: ticket médio, tempo de permanência, lucro e lifetime value</t>
    </r>
  </si>
  <si>
    <r>
      <rPr>
        <rFont val="&quot;Helvetica Neue&quot;, Arial"/>
        <b/>
        <color theme="1"/>
      </rPr>
      <t>Preencha as células de alteração manual</t>
    </r>
    <r>
      <rPr>
        <rFont val="&quot;Helvetica Neue&quot;, Arial"/>
        <color theme="1"/>
      </rPr>
      <t xml:space="preserve">
As células de alteração manual são aquelas que o gestor comercial deve preencher com os dados específicos da empresa.
Custos de Marketing: custos com marketing e publicidade
Custos de BDRs: custos com os profissionais de pré-vendas
Custos de vendedores: custos com os profissionais de vendas
Custos de apoio equipe: custos com outros profissionais que apoiam a operação de vendas
</t>
    </r>
  </si>
  <si>
    <r>
      <rPr>
        <rFont val="&quot;Helvetica Neue&quot;, Arial"/>
        <b/>
        <color theme="1"/>
      </rPr>
      <t xml:space="preserve">Calcule as conversões automáticas
</t>
    </r>
    <r>
      <rPr>
        <rFont val="&quot;Helvetica Neue&quot;, Arial"/>
        <color theme="1"/>
      </rPr>
      <t xml:space="preserve">
As células automáticas são calculadas automaticamente com base nos dados inseridos nas células de alteração manual.
Base: número total de leads gerados
Base máxima: número máximo de leads que os BDRs podem atender
Vazão dia: número de leads gerados por dia
NLeadSDR: número de leads necessários para cada BDR
Agendamentos: número de compromissos agendados
Capacidade dia: número de compromissos que os vendedores podem atender por dia
Vendedores: número de vendedores necessários</t>
    </r>
  </si>
  <si>
    <r>
      <rPr>
        <rFont val="&quot;Helvetica Neue&quot;, Arial"/>
        <b/>
        <color theme="1"/>
      </rPr>
      <t xml:space="preserve">Analise os resultados
</t>
    </r>
    <r>
      <rPr>
        <rFont val="&quot;Helvetica Neue&quot;, Arial"/>
        <color theme="1"/>
      </rPr>
      <t xml:space="preserve">
Os resultados da planilha podem ser usados para identificar oportunidades de melhoria na operação de vendas.
Avaliar a eficiência das origens de leads: comparar as conversões de cada origem para identificar as que são mais eficientes
Identificar gargalos na operação: comparar a vazão dia com a capacidade dia para identificar gargalos no processo de vendas
Calcular o CAC: calcular o custo de aquisição de cliente para avaliar a rentabilidade da operação de vendas</t>
    </r>
  </si>
  <si>
    <t>Frente</t>
  </si>
  <si>
    <t>Entrada / LUTs</t>
  </si>
  <si>
    <t xml:space="preserve">Conversão </t>
  </si>
  <si>
    <t>Filtro 2</t>
  </si>
  <si>
    <t>Agendamentos</t>
  </si>
  <si>
    <t>Ocorridas</t>
  </si>
  <si>
    <t>Vendas</t>
  </si>
  <si>
    <t>Tkt médio</t>
  </si>
  <si>
    <t>LT (tempo de permanencia)</t>
  </si>
  <si>
    <t>Capacidade</t>
  </si>
  <si>
    <t xml:space="preserve">Lucro </t>
  </si>
  <si>
    <t>LTV</t>
  </si>
  <si>
    <t xml:space="preserve">Ativas </t>
  </si>
  <si>
    <t>Passivas</t>
  </si>
  <si>
    <t>Total de Vendas</t>
  </si>
  <si>
    <t>Custos de Marketing</t>
  </si>
  <si>
    <t>BDRs (custo)</t>
  </si>
  <si>
    <t>Ativas / dia</t>
  </si>
  <si>
    <t xml:space="preserve">Base </t>
  </si>
  <si>
    <t>LUTs</t>
  </si>
  <si>
    <t xml:space="preserve">Filtro 2 </t>
  </si>
  <si>
    <t>Exact</t>
  </si>
  <si>
    <t>Vendedor</t>
  </si>
  <si>
    <t>Diretor</t>
  </si>
  <si>
    <t>Numero de BDRs</t>
  </si>
  <si>
    <t>Apoio equipe</t>
  </si>
  <si>
    <t>CAC</t>
  </si>
  <si>
    <t>Passivas / mês</t>
  </si>
  <si>
    <t>Numero Bruto</t>
  </si>
  <si>
    <t>MQL</t>
  </si>
  <si>
    <t>CAC / LTV</t>
  </si>
  <si>
    <t>Site</t>
  </si>
  <si>
    <t>Ads</t>
  </si>
  <si>
    <t xml:space="preserve">Social </t>
  </si>
  <si>
    <t>Eventos</t>
  </si>
  <si>
    <t>Legenda</t>
  </si>
  <si>
    <t>Alteração Manual</t>
  </si>
  <si>
    <t>Celula Automatica</t>
  </si>
  <si>
    <t>Necesidade de SDR</t>
  </si>
  <si>
    <t>Resultados Finais</t>
  </si>
  <si>
    <t xml:space="preserve">Dias uteis </t>
  </si>
  <si>
    <t>Entradas por dia</t>
  </si>
  <si>
    <t>Base máxima</t>
  </si>
  <si>
    <t>Vazão dia</t>
  </si>
  <si>
    <t>NLead</t>
  </si>
  <si>
    <t>SDR</t>
  </si>
  <si>
    <t>Necessidade de vendedores</t>
  </si>
  <si>
    <t xml:space="preserve">dias uteis </t>
  </si>
  <si>
    <t xml:space="preserve">agendas dia </t>
  </si>
  <si>
    <t>capacidade dia</t>
  </si>
  <si>
    <t>Vendedores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</si>
</sst>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0.0"/>
  </numFmts>
  <fonts count="9">
    <font>
      <sz val="10.0"/>
      <color rgb="FF000000"/>
      <name val="Arial"/>
      <scheme val="minor"/>
    </font>
    <font>
      <color theme="1"/>
      <name val="Helvetica Neue"/>
    </font>
    <font/>
    <font>
      <b/>
      <sz val="24.0"/>
      <color rgb="FFF58056"/>
      <name val="Helvetica Neue"/>
    </font>
    <font>
      <color theme="1"/>
      <name val="&quot;Helvetica Neue&quot;"/>
    </font>
    <font>
      <sz val="10.0"/>
      <color theme="1"/>
      <name val="Helvetica Neue"/>
    </font>
    <font>
      <b/>
      <sz val="10.0"/>
      <color theme="1"/>
      <name val="Helvetica Neue"/>
    </font>
    <font>
      <b/>
      <sz val="10.0"/>
      <color rgb="FFFFFFFF"/>
      <name val="Helvetica Neue"/>
    </font>
    <font>
      <sz val="10.0"/>
      <color rgb="FFFFFFFF"/>
      <name val="Helvetica Neue"/>
    </font>
  </fonts>
  <fills count="10">
    <fill>
      <patternFill patternType="none"/>
    </fill>
    <fill>
      <patternFill patternType="lightGray"/>
    </fill>
    <fill>
      <patternFill patternType="solid">
        <fgColor rgb="FFFFE6DD"/>
        <bgColor rgb="FFFFE6DD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1155CC"/>
        <bgColor rgb="FF1155CC"/>
      </patternFill>
    </fill>
    <fill>
      <patternFill patternType="solid">
        <fgColor rgb="FFFF0000"/>
        <bgColor rgb="FFFF0000"/>
      </patternFill>
    </fill>
  </fills>
  <borders count="28">
    <border/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readingOrder="0"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1" numFmtId="0" xfId="0" applyAlignment="1" applyBorder="1" applyFont="1">
      <alignment vertical="center"/>
    </xf>
    <xf borderId="10" fillId="2" fontId="4" numFmtId="0" xfId="0" applyAlignment="1" applyBorder="1" applyFill="1" applyFont="1">
      <alignment readingOrder="0" vertical="center"/>
    </xf>
    <xf borderId="11" fillId="0" fontId="2" numFmtId="0" xfId="0" applyBorder="1" applyFont="1"/>
    <xf borderId="12" fillId="0" fontId="2" numFmtId="0" xfId="0" applyBorder="1" applyFont="1"/>
    <xf borderId="6" fillId="3" fontId="4" numFmtId="0" xfId="0" applyAlignment="1" applyBorder="1" applyFill="1" applyFont="1">
      <alignment readingOrder="0" vertical="center"/>
    </xf>
    <xf borderId="6" fillId="2" fontId="4" numFmtId="0" xfId="0" applyAlignment="1" applyBorder="1" applyFont="1">
      <alignment readingOrder="0" vertical="center"/>
    </xf>
    <xf borderId="0" fillId="4" fontId="5" numFmtId="0" xfId="0" applyFill="1" applyFont="1"/>
    <xf borderId="0" fillId="4" fontId="6" numFmtId="0" xfId="0" applyAlignment="1" applyFont="1">
      <alignment horizontal="center" readingOrder="0"/>
    </xf>
    <xf borderId="13" fillId="3" fontId="6" numFmtId="0" xfId="0" applyAlignment="1" applyBorder="1" applyFont="1">
      <alignment horizontal="center" readingOrder="0"/>
    </xf>
    <xf borderId="13" fillId="3" fontId="6" numFmtId="0" xfId="0" applyAlignment="1" applyBorder="1" applyFont="1">
      <alignment horizontal="center" readingOrder="0" shrinkToFit="0" wrapText="1"/>
    </xf>
    <xf borderId="0" fillId="4" fontId="6" numFmtId="0" xfId="0" applyAlignment="1" applyFont="1">
      <alignment readingOrder="0"/>
    </xf>
    <xf borderId="14" fillId="3" fontId="6" numFmtId="0" xfId="0" applyAlignment="1" applyBorder="1" applyFont="1">
      <alignment readingOrder="0"/>
    </xf>
    <xf borderId="14" fillId="5" fontId="5" numFmtId="0" xfId="0" applyAlignment="1" applyBorder="1" applyFill="1" applyFont="1">
      <alignment horizontal="center"/>
    </xf>
    <xf borderId="14" fillId="5" fontId="5" numFmtId="10" xfId="0" applyAlignment="1" applyBorder="1" applyFont="1" applyNumberFormat="1">
      <alignment horizontal="center" readingOrder="0"/>
    </xf>
    <xf borderId="14" fillId="5" fontId="5" numFmtId="1" xfId="0" applyAlignment="1" applyBorder="1" applyFont="1" applyNumberFormat="1">
      <alignment horizontal="center"/>
    </xf>
    <xf borderId="14" fillId="5" fontId="5" numFmtId="9" xfId="0" applyAlignment="1" applyBorder="1" applyFont="1" applyNumberFormat="1">
      <alignment horizontal="center" readingOrder="0"/>
    </xf>
    <xf borderId="14" fillId="6" fontId="5" numFmtId="9" xfId="0" applyAlignment="1" applyBorder="1" applyFill="1" applyFont="1" applyNumberFormat="1">
      <alignment horizontal="center" readingOrder="0"/>
    </xf>
    <xf borderId="14" fillId="7" fontId="6" numFmtId="1" xfId="0" applyAlignment="1" applyBorder="1" applyFill="1" applyFont="1" applyNumberFormat="1">
      <alignment horizontal="center"/>
    </xf>
    <xf borderId="15" fillId="6" fontId="5" numFmtId="164" xfId="0" applyAlignment="1" applyBorder="1" applyFont="1" applyNumberFormat="1">
      <alignment horizontal="center" readingOrder="0" shrinkToFit="0" wrapText="1"/>
    </xf>
    <xf borderId="15" fillId="6" fontId="5" numFmtId="0" xfId="0" applyAlignment="1" applyBorder="1" applyFont="1">
      <alignment horizontal="center" readingOrder="0" shrinkToFit="0" wrapText="1"/>
    </xf>
    <xf borderId="15" fillId="5" fontId="5" numFmtId="164" xfId="0" applyAlignment="1" applyBorder="1" applyFont="1" applyNumberFormat="1">
      <alignment horizontal="center" shrinkToFit="0" wrapText="1"/>
    </xf>
    <xf borderId="15" fillId="6" fontId="5" numFmtId="9" xfId="0" applyAlignment="1" applyBorder="1" applyFont="1" applyNumberFormat="1">
      <alignment horizontal="center" readingOrder="0" shrinkToFit="0" wrapText="1"/>
    </xf>
    <xf borderId="15" fillId="7" fontId="5" numFmtId="164" xfId="0" applyAlignment="1" applyBorder="1" applyFont="1" applyNumberFormat="1">
      <alignment horizontal="center" shrinkToFit="0" wrapText="1"/>
    </xf>
    <xf borderId="16" fillId="3" fontId="6" numFmtId="0" xfId="0" applyAlignment="1" applyBorder="1" applyFont="1">
      <alignment readingOrder="0"/>
    </xf>
    <xf borderId="16" fillId="5" fontId="5" numFmtId="1" xfId="0" applyAlignment="1" applyBorder="1" applyFont="1" applyNumberFormat="1">
      <alignment horizontal="center"/>
    </xf>
    <xf borderId="16" fillId="5" fontId="5" numFmtId="10" xfId="0" applyAlignment="1" applyBorder="1" applyFont="1" applyNumberFormat="1">
      <alignment horizontal="center" readingOrder="0"/>
    </xf>
    <xf borderId="16" fillId="5" fontId="5" numFmtId="9" xfId="0" applyAlignment="1" applyBorder="1" applyFont="1" applyNumberFormat="1">
      <alignment horizontal="center" readingOrder="0"/>
    </xf>
    <xf borderId="16" fillId="6" fontId="5" numFmtId="9" xfId="0" applyAlignment="1" applyBorder="1" applyFont="1" applyNumberFormat="1">
      <alignment horizontal="center" readingOrder="0"/>
    </xf>
    <xf borderId="16" fillId="7" fontId="6" numFmtId="1" xfId="0" applyAlignment="1" applyBorder="1" applyFont="1" applyNumberFormat="1">
      <alignment horizontal="center"/>
    </xf>
    <xf borderId="0" fillId="4" fontId="5" numFmtId="0" xfId="0" applyAlignment="1" applyFont="1">
      <alignment horizontal="center" readingOrder="0"/>
    </xf>
    <xf borderId="0" fillId="4" fontId="5" numFmtId="0" xfId="0" applyAlignment="1" applyFont="1">
      <alignment horizontal="center"/>
    </xf>
    <xf borderId="13" fillId="8" fontId="7" numFmtId="0" xfId="0" applyAlignment="1" applyBorder="1" applyFill="1" applyFont="1">
      <alignment horizontal="center" readingOrder="0" shrinkToFit="0" wrapText="1"/>
    </xf>
    <xf borderId="13" fillId="7" fontId="6" numFmtId="1" xfId="0" applyAlignment="1" applyBorder="1" applyFont="1" applyNumberFormat="1">
      <alignment horizontal="center" vertical="center"/>
    </xf>
    <xf borderId="13" fillId="3" fontId="6" numFmtId="0" xfId="0" applyAlignment="1" applyBorder="1" applyFont="1">
      <alignment readingOrder="0" shrinkToFit="0" wrapText="1"/>
    </xf>
    <xf borderId="13" fillId="6" fontId="5" numFmtId="164" xfId="0" applyAlignment="1" applyBorder="1" applyFont="1" applyNumberFormat="1">
      <alignment horizontal="center" readingOrder="0" vertical="center"/>
    </xf>
    <xf borderId="13" fillId="5" fontId="5" numFmtId="164" xfId="0" applyAlignment="1" applyBorder="1" applyFont="1" applyNumberFormat="1">
      <alignment horizontal="center" readingOrder="0" vertical="center"/>
    </xf>
    <xf borderId="17" fillId="8" fontId="7" numFmtId="0" xfId="0" applyAlignment="1" applyBorder="1" applyFont="1">
      <alignment horizontal="center" readingOrder="0"/>
    </xf>
    <xf borderId="18" fillId="0" fontId="2" numFmtId="0" xfId="0" applyBorder="1" applyFont="1"/>
    <xf borderId="19" fillId="0" fontId="2" numFmtId="0" xfId="0" applyBorder="1" applyFont="1"/>
    <xf borderId="0" fillId="4" fontId="6" numFmtId="0" xfId="0" applyAlignment="1" applyFont="1">
      <alignment readingOrder="0" shrinkToFit="0" wrapText="1"/>
    </xf>
    <xf borderId="0" fillId="4" fontId="5" numFmtId="164" xfId="0" applyAlignment="1" applyFont="1" applyNumberFormat="1">
      <alignment horizontal="center" readingOrder="0" vertical="center"/>
    </xf>
    <xf borderId="14" fillId="6" fontId="5" numFmtId="0" xfId="0" applyAlignment="1" applyBorder="1" applyFont="1">
      <alignment horizontal="center" readingOrder="0"/>
    </xf>
    <xf borderId="14" fillId="6" fontId="5" numFmtId="10" xfId="0" applyAlignment="1" applyBorder="1" applyFont="1" applyNumberFormat="1">
      <alignment horizontal="center" readingOrder="0"/>
    </xf>
    <xf borderId="14" fillId="5" fontId="5" numFmtId="165" xfId="0" applyAlignment="1" applyBorder="1" applyFont="1" applyNumberFormat="1">
      <alignment horizontal="center"/>
    </xf>
    <xf borderId="16" fillId="5" fontId="5" numFmtId="0" xfId="0" applyAlignment="1" applyBorder="1" applyFont="1">
      <alignment horizontal="center"/>
    </xf>
    <xf borderId="16" fillId="3" fontId="5" numFmtId="0" xfId="0" applyAlignment="1" applyBorder="1" applyFont="1">
      <alignment horizontal="center"/>
    </xf>
    <xf borderId="0" fillId="4" fontId="5" numFmtId="0" xfId="0" applyAlignment="1" applyFont="1">
      <alignment readingOrder="0"/>
    </xf>
    <xf borderId="0" fillId="4" fontId="7" numFmtId="0" xfId="0" applyAlignment="1" applyFont="1">
      <alignment horizontal="center" readingOrder="0"/>
    </xf>
    <xf borderId="13" fillId="8" fontId="7" numFmtId="0" xfId="0" applyAlignment="1" applyBorder="1" applyFont="1">
      <alignment horizontal="center" readingOrder="0"/>
    </xf>
    <xf borderId="13" fillId="6" fontId="6" numFmtId="0" xfId="0" applyAlignment="1" applyBorder="1" applyFont="1">
      <alignment horizontal="center" readingOrder="0"/>
    </xf>
    <xf borderId="13" fillId="9" fontId="7" numFmtId="0" xfId="0" applyAlignment="1" applyBorder="1" applyFill="1" applyFont="1">
      <alignment readingOrder="0" shrinkToFit="0" wrapText="1"/>
    </xf>
    <xf borderId="13" fillId="9" fontId="8" numFmtId="164" xfId="0" applyAlignment="1" applyBorder="1" applyFont="1" applyNumberFormat="1">
      <alignment horizontal="center" vertical="center"/>
    </xf>
    <xf borderId="13" fillId="3" fontId="5" numFmtId="0" xfId="0" applyBorder="1" applyFont="1"/>
    <xf borderId="20" fillId="3" fontId="6" numFmtId="2" xfId="0" applyAlignment="1" applyBorder="1" applyFont="1" applyNumberFormat="1">
      <alignment horizontal="center" shrinkToFit="0" vertical="center" wrapText="1"/>
    </xf>
    <xf borderId="21" fillId="0" fontId="2" numFmtId="0" xfId="0" applyBorder="1" applyFont="1"/>
    <xf borderId="22" fillId="0" fontId="2" numFmtId="0" xfId="0" applyBorder="1" applyFont="1"/>
    <xf borderId="23" fillId="3" fontId="6" numFmtId="0" xfId="0" applyAlignment="1" applyBorder="1" applyFont="1">
      <alignment readingOrder="0"/>
    </xf>
    <xf borderId="23" fillId="6" fontId="5" numFmtId="0" xfId="0" applyAlignment="1" applyBorder="1" applyFont="1">
      <alignment horizontal="center" readingOrder="0"/>
    </xf>
    <xf borderId="23" fillId="6" fontId="5" numFmtId="9" xfId="0" applyAlignment="1" applyBorder="1" applyFont="1" applyNumberFormat="1">
      <alignment horizontal="center" readingOrder="0"/>
    </xf>
    <xf borderId="23" fillId="5" fontId="5" numFmtId="0" xfId="0" applyAlignment="1" applyBorder="1" applyFont="1">
      <alignment horizontal="center"/>
    </xf>
    <xf borderId="23" fillId="5" fontId="5" numFmtId="1" xfId="0" applyAlignment="1" applyBorder="1" applyFont="1" applyNumberFormat="1">
      <alignment horizontal="center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16" fillId="6" fontId="5" numFmtId="0" xfId="0" applyAlignment="1" applyBorder="1" applyFont="1">
      <alignment horizontal="center" readingOrder="0"/>
    </xf>
    <xf borderId="17" fillId="3" fontId="6" numFmtId="0" xfId="0" applyAlignment="1" applyBorder="1" applyFont="1">
      <alignment horizontal="center" readingOrder="0"/>
    </xf>
    <xf borderId="17" fillId="6" fontId="6" numFmtId="0" xfId="0" applyAlignment="1" applyBorder="1" applyFont="1">
      <alignment horizontal="center" readingOrder="0"/>
    </xf>
    <xf borderId="17" fillId="5" fontId="6" numFmtId="0" xfId="0" applyAlignment="1" applyBorder="1" applyFont="1">
      <alignment horizontal="center" readingOrder="0"/>
    </xf>
    <xf borderId="17" fillId="8" fontId="7" numFmtId="0" xfId="0" applyAlignment="1" applyBorder="1" applyFont="1">
      <alignment horizontal="center" readingOrder="0" shrinkToFit="0" vertical="center" wrapText="1"/>
    </xf>
    <xf borderId="0" fillId="4" fontId="5" numFmtId="164" xfId="0" applyFont="1" applyNumberFormat="1"/>
    <xf borderId="17" fillId="7" fontId="6" numFmtId="0" xfId="0" applyAlignment="1" applyBorder="1" applyFont="1">
      <alignment horizontal="center" readingOrder="0"/>
    </xf>
    <xf borderId="15" fillId="3" fontId="6" numFmtId="0" xfId="0" applyAlignment="1" applyBorder="1" applyFont="1">
      <alignment horizontal="center" readingOrder="0" shrinkToFit="0" wrapText="1"/>
    </xf>
    <xf borderId="13" fillId="6" fontId="5" numFmtId="0" xfId="0" applyAlignment="1" applyBorder="1" applyFont="1">
      <alignment horizontal="center" readingOrder="0"/>
    </xf>
    <xf borderId="13" fillId="5" fontId="5" numFmtId="0" xfId="0" applyAlignment="1" applyBorder="1" applyFont="1">
      <alignment horizontal="center"/>
    </xf>
    <xf borderId="13" fillId="6" fontId="5" numFmtId="9" xfId="0" applyAlignment="1" applyBorder="1" applyFont="1" applyNumberFormat="1">
      <alignment horizontal="center" readingOrder="0"/>
    </xf>
    <xf borderId="13" fillId="7" fontId="5" numFmtId="0" xfId="0" applyAlignment="1" applyBorder="1" applyFont="1">
      <alignment horizontal="center"/>
    </xf>
    <xf borderId="27" fillId="4" fontId="6" numFmtId="0" xfId="0" applyAlignment="1" applyBorder="1" applyFont="1">
      <alignment horizontal="center" readingOrder="0" shrinkToFit="0" vertical="center" wrapText="1"/>
    </xf>
    <xf borderId="17" fillId="3" fontId="6" numFmtId="0" xfId="0" applyAlignment="1" applyBorder="1" applyFont="1">
      <alignment horizontal="center" readingOrder="0" shrinkToFit="0" wrapText="1"/>
    </xf>
    <xf borderId="27" fillId="4" fontId="6" numFmtId="0" xfId="0" applyAlignment="1" applyBorder="1" applyFont="1">
      <alignment horizontal="center" readingOrder="0"/>
    </xf>
    <xf borderId="13" fillId="5" fontId="5" numFmtId="1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096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4.5"/>
  </cols>
  <sheetData>
    <row r="1">
      <c r="A1" s="1"/>
      <c r="B1" s="2"/>
      <c r="C1" s="3"/>
      <c r="D1" s="4" t="s">
        <v>0</v>
      </c>
      <c r="E1" s="2"/>
      <c r="F1" s="2"/>
      <c r="G1" s="2"/>
      <c r="H1" s="2"/>
      <c r="I1" s="2"/>
      <c r="J1" s="2"/>
      <c r="K1" s="2"/>
      <c r="L1" s="2"/>
      <c r="M1" s="3"/>
    </row>
    <row r="2">
      <c r="A2" s="5"/>
      <c r="C2" s="6"/>
      <c r="D2" s="5"/>
      <c r="M2" s="6"/>
    </row>
    <row r="3">
      <c r="A3" s="7"/>
      <c r="B3" s="8"/>
      <c r="C3" s="9"/>
      <c r="D3" s="7"/>
      <c r="E3" s="8"/>
      <c r="F3" s="8"/>
      <c r="G3" s="8"/>
      <c r="H3" s="8"/>
      <c r="I3" s="8"/>
      <c r="J3" s="8"/>
      <c r="K3" s="8"/>
      <c r="L3" s="8"/>
      <c r="M3" s="9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ht="111.0" customHeight="1">
      <c r="A5" s="11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</row>
    <row r="6" ht="111.0" customHeight="1">
      <c r="A6" s="14" t="s">
        <v>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9"/>
    </row>
    <row r="7" ht="141.75" customHeight="1">
      <c r="A7" s="15" t="s">
        <v>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9"/>
    </row>
    <row r="8" ht="113.25" customHeight="1">
      <c r="A8" s="14" t="s">
        <v>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9"/>
    </row>
  </sheetData>
  <mergeCells count="6">
    <mergeCell ref="A1:C3"/>
    <mergeCell ref="D1:M3"/>
    <mergeCell ref="A5:M5"/>
    <mergeCell ref="A6:M6"/>
    <mergeCell ref="A7:M7"/>
    <mergeCell ref="A8:M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25"/>
    <col customWidth="1" min="2" max="2" width="24.25"/>
    <col customWidth="1" min="3" max="3" width="15.0"/>
    <col customWidth="1" min="7" max="7" width="15.5"/>
    <col customWidth="1" min="9" max="9" width="15.63"/>
    <col customWidth="1" min="12" max="12" width="4.38"/>
    <col customWidth="1" min="14" max="14" width="16.25"/>
    <col customWidth="1" min="15" max="15" width="13.88"/>
    <col customWidth="1" min="17" max="17" width="15.13"/>
  </cols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>
      <c r="A2" s="17"/>
      <c r="B2" s="18" t="s">
        <v>5</v>
      </c>
      <c r="C2" s="18" t="s">
        <v>6</v>
      </c>
      <c r="D2" s="18" t="s">
        <v>7</v>
      </c>
      <c r="E2" s="18" t="s">
        <v>8</v>
      </c>
      <c r="F2" s="18" t="s">
        <v>7</v>
      </c>
      <c r="G2" s="18" t="s">
        <v>9</v>
      </c>
      <c r="H2" s="18" t="s">
        <v>7</v>
      </c>
      <c r="I2" s="18" t="s">
        <v>10</v>
      </c>
      <c r="J2" s="18" t="s">
        <v>7</v>
      </c>
      <c r="K2" s="18" t="s">
        <v>11</v>
      </c>
      <c r="L2" s="16"/>
      <c r="M2" s="19" t="s">
        <v>12</v>
      </c>
      <c r="N2" s="19" t="s">
        <v>13</v>
      </c>
      <c r="O2" s="19" t="s">
        <v>14</v>
      </c>
      <c r="P2" s="19" t="s">
        <v>15</v>
      </c>
      <c r="Q2" s="19" t="s">
        <v>16</v>
      </c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>
      <c r="A3" s="20"/>
      <c r="B3" s="21" t="s">
        <v>17</v>
      </c>
      <c r="C3" s="22">
        <f>E11*22</f>
        <v>2970</v>
      </c>
      <c r="D3" s="23">
        <f>F10</f>
        <v>0.1</v>
      </c>
      <c r="E3" s="24">
        <f>C3*D3</f>
        <v>297</v>
      </c>
      <c r="F3" s="25">
        <f>H10</f>
        <v>0.15</v>
      </c>
      <c r="G3" s="24">
        <f>E3*F3</f>
        <v>44.55</v>
      </c>
      <c r="H3" s="26">
        <v>0.85</v>
      </c>
      <c r="I3" s="24">
        <f t="shared" ref="I3:I4" si="1">G3*H3</f>
        <v>37.8675</v>
      </c>
      <c r="J3" s="26">
        <v>0.1</v>
      </c>
      <c r="K3" s="27">
        <f t="shared" ref="K3:K4" si="2">I3*J3</f>
        <v>3.78675</v>
      </c>
      <c r="L3" s="16"/>
      <c r="M3" s="28">
        <v>800.0</v>
      </c>
      <c r="N3" s="29">
        <v>18.0</v>
      </c>
      <c r="O3" s="30">
        <f>K6*(M3*N3)</f>
        <v>702756</v>
      </c>
      <c r="P3" s="31">
        <v>0.82</v>
      </c>
      <c r="Q3" s="32">
        <f>P3*O3</f>
        <v>576259.92</v>
      </c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</row>
    <row r="4">
      <c r="A4" s="20"/>
      <c r="B4" s="33" t="s">
        <v>18</v>
      </c>
      <c r="C4" s="34">
        <f>SUM(E18:E21)</f>
        <v>849</v>
      </c>
      <c r="D4" s="35">
        <f>E4/C4</f>
        <v>0.4355712603</v>
      </c>
      <c r="E4" s="34">
        <f>SUM(G18:G21)</f>
        <v>369.8</v>
      </c>
      <c r="F4" s="36">
        <f>G4/E4</f>
        <v>0.5125473229</v>
      </c>
      <c r="G4" s="34">
        <f>SUM(I18:I21)</f>
        <v>189.54</v>
      </c>
      <c r="H4" s="37">
        <v>0.95</v>
      </c>
      <c r="I4" s="34">
        <f t="shared" si="1"/>
        <v>180.063</v>
      </c>
      <c r="J4" s="37">
        <v>0.25</v>
      </c>
      <c r="K4" s="38">
        <f t="shared" si="2"/>
        <v>45.01575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</row>
    <row r="5">
      <c r="A5" s="16"/>
      <c r="B5" s="16"/>
      <c r="C5" s="16"/>
      <c r="D5" s="16"/>
      <c r="E5" s="16"/>
      <c r="F5" s="16"/>
      <c r="G5" s="16"/>
      <c r="H5" s="16"/>
      <c r="I5" s="16"/>
      <c r="J5" s="39"/>
      <c r="K5" s="40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41" t="s">
        <v>19</v>
      </c>
      <c r="K6" s="42">
        <f>SUM(K3:K4)</f>
        <v>48.8025</v>
      </c>
      <c r="L6" s="16"/>
      <c r="M6" s="16"/>
      <c r="N6" s="43" t="s">
        <v>20</v>
      </c>
      <c r="O6" s="44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7">
      <c r="A7" s="16"/>
      <c r="B7" s="16"/>
      <c r="C7" s="17"/>
      <c r="D7" s="17"/>
      <c r="E7" s="17"/>
      <c r="F7" s="17"/>
      <c r="G7" s="17"/>
      <c r="H7" s="17"/>
      <c r="I7" s="17"/>
      <c r="J7" s="16"/>
      <c r="K7" s="16"/>
      <c r="L7" s="16"/>
      <c r="M7" s="16"/>
      <c r="N7" s="43" t="s">
        <v>21</v>
      </c>
      <c r="O7" s="45">
        <f>B14*6000</f>
        <v>18000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>
      <c r="A8" s="16"/>
      <c r="B8" s="16"/>
      <c r="C8" s="46" t="s">
        <v>22</v>
      </c>
      <c r="D8" s="47"/>
      <c r="E8" s="47"/>
      <c r="F8" s="47"/>
      <c r="G8" s="47"/>
      <c r="H8" s="47"/>
      <c r="I8" s="48"/>
      <c r="J8" s="16"/>
      <c r="K8" s="16"/>
      <c r="L8" s="16"/>
      <c r="M8" s="16"/>
      <c r="N8" s="49"/>
      <c r="O8" s="50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</row>
    <row r="9">
      <c r="A9" s="16"/>
      <c r="B9" s="16"/>
      <c r="C9" s="18" t="s">
        <v>23</v>
      </c>
      <c r="D9" s="18" t="s">
        <v>7</v>
      </c>
      <c r="E9" s="18" t="s">
        <v>24</v>
      </c>
      <c r="F9" s="18" t="s">
        <v>7</v>
      </c>
      <c r="G9" s="18" t="s">
        <v>25</v>
      </c>
      <c r="H9" s="18" t="s">
        <v>7</v>
      </c>
      <c r="I9" s="18" t="s">
        <v>9</v>
      </c>
      <c r="J9" s="16"/>
      <c r="K9" s="16"/>
      <c r="L9" s="16"/>
      <c r="M9" s="16"/>
      <c r="N9" s="43" t="s">
        <v>26</v>
      </c>
      <c r="O9" s="45">
        <f>((B14+H26+G30)*358)+5000</f>
        <v>9296</v>
      </c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</row>
    <row r="10">
      <c r="A10" s="16"/>
      <c r="B10" s="16"/>
      <c r="C10" s="51">
        <v>300.0</v>
      </c>
      <c r="D10" s="52">
        <v>0.15</v>
      </c>
      <c r="E10" s="24">
        <f>C10*D10</f>
        <v>45</v>
      </c>
      <c r="F10" s="52">
        <v>0.1</v>
      </c>
      <c r="G10" s="24">
        <f>E10*F10</f>
        <v>4.5</v>
      </c>
      <c r="H10" s="52">
        <v>0.15</v>
      </c>
      <c r="I10" s="53">
        <f>G10*H10</f>
        <v>0.675</v>
      </c>
      <c r="J10" s="16"/>
      <c r="K10" s="16"/>
      <c r="L10" s="16"/>
      <c r="M10" s="16"/>
      <c r="N10" s="49"/>
      <c r="O10" s="50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>
      <c r="A11" s="16"/>
      <c r="B11" s="16"/>
      <c r="C11" s="54">
        <f>$B$14*C10</f>
        <v>900</v>
      </c>
      <c r="D11" s="55"/>
      <c r="E11" s="54">
        <f>$B$14*E10</f>
        <v>135</v>
      </c>
      <c r="F11" s="55"/>
      <c r="G11" s="34">
        <f>$B$14*G10</f>
        <v>13.5</v>
      </c>
      <c r="H11" s="55"/>
      <c r="I11" s="34">
        <f>$B$14*I10</f>
        <v>2.025</v>
      </c>
      <c r="J11" s="16"/>
      <c r="K11" s="16"/>
      <c r="L11" s="16"/>
      <c r="M11" s="16"/>
      <c r="N11" s="43" t="s">
        <v>27</v>
      </c>
      <c r="O11" s="44">
        <f>G30*20000</f>
        <v>100000</v>
      </c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56"/>
      <c r="N12" s="43" t="s">
        <v>28</v>
      </c>
      <c r="O12" s="45">
        <v>17000.0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</row>
    <row r="13">
      <c r="A13" s="57"/>
      <c r="B13" s="58" t="s">
        <v>29</v>
      </c>
      <c r="C13" s="56"/>
      <c r="D13" s="16"/>
      <c r="E13" s="56"/>
      <c r="F13" s="39"/>
      <c r="G13" s="56"/>
      <c r="H13" s="39"/>
      <c r="I13" s="56"/>
      <c r="J13" s="16"/>
      <c r="K13" s="16"/>
      <c r="L13" s="16"/>
      <c r="M13" s="56"/>
      <c r="N13" s="43" t="s">
        <v>30</v>
      </c>
      <c r="O13" s="45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</row>
    <row r="14">
      <c r="A14" s="17"/>
      <c r="B14" s="59">
        <v>3.0</v>
      </c>
      <c r="C14" s="56"/>
      <c r="D14" s="16"/>
      <c r="E14" s="56"/>
      <c r="F14" s="39"/>
      <c r="G14" s="56"/>
      <c r="H14" s="39"/>
      <c r="I14" s="56"/>
      <c r="J14" s="16"/>
      <c r="K14" s="16"/>
      <c r="L14" s="16"/>
      <c r="M14" s="56"/>
      <c r="N14" s="60" t="s">
        <v>31</v>
      </c>
      <c r="O14" s="61">
        <f>SUM(O6:O13)</f>
        <v>144296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</row>
    <row r="15">
      <c r="A15" s="20"/>
      <c r="B15" s="20"/>
      <c r="C15" s="56"/>
      <c r="D15" s="16"/>
      <c r="E15" s="56"/>
      <c r="F15" s="39"/>
      <c r="G15" s="56"/>
      <c r="H15" s="39"/>
      <c r="I15" s="56"/>
      <c r="J15" s="16"/>
      <c r="K15" s="16"/>
      <c r="L15" s="16"/>
      <c r="M15" s="5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>
      <c r="A16" s="57"/>
      <c r="B16" s="46" t="s">
        <v>32</v>
      </c>
      <c r="C16" s="47"/>
      <c r="D16" s="47"/>
      <c r="E16" s="47"/>
      <c r="F16" s="47"/>
      <c r="G16" s="47"/>
      <c r="H16" s="47"/>
      <c r="I16" s="48"/>
      <c r="J16" s="16"/>
      <c r="K16" s="16"/>
      <c r="L16" s="16"/>
      <c r="M16" s="5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>
      <c r="A17" s="16"/>
      <c r="B17" s="62"/>
      <c r="C17" s="18" t="s">
        <v>33</v>
      </c>
      <c r="D17" s="18" t="s">
        <v>7</v>
      </c>
      <c r="E17" s="18" t="s">
        <v>34</v>
      </c>
      <c r="F17" s="18" t="s">
        <v>7</v>
      </c>
      <c r="G17" s="18" t="s">
        <v>8</v>
      </c>
      <c r="H17" s="18" t="s">
        <v>7</v>
      </c>
      <c r="I17" s="18" t="s">
        <v>9</v>
      </c>
      <c r="J17" s="16"/>
      <c r="K17" s="16"/>
      <c r="L17" s="16"/>
      <c r="M17" s="56"/>
      <c r="N17" s="46" t="s">
        <v>35</v>
      </c>
      <c r="O17" s="47"/>
      <c r="P17" s="47"/>
      <c r="Q17" s="48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</row>
    <row r="18">
      <c r="A18" s="20"/>
      <c r="B18" s="21" t="s">
        <v>36</v>
      </c>
      <c r="C18" s="51">
        <v>2500.0</v>
      </c>
      <c r="D18" s="26">
        <v>0.1</v>
      </c>
      <c r="E18" s="24">
        <f t="shared" ref="E18:E21" si="3">C18*D18</f>
        <v>250</v>
      </c>
      <c r="F18" s="26">
        <v>0.6</v>
      </c>
      <c r="G18" s="24">
        <f t="shared" ref="G18:G21" si="4">F18*E18</f>
        <v>150</v>
      </c>
      <c r="H18" s="26">
        <v>0.5</v>
      </c>
      <c r="I18" s="24">
        <f t="shared" ref="I18:I21" si="5">G18*H18</f>
        <v>75</v>
      </c>
      <c r="J18" s="16"/>
      <c r="K18" s="16"/>
      <c r="L18" s="16"/>
      <c r="M18" s="56"/>
      <c r="N18" s="63">
        <f>Q3/O14</f>
        <v>3.993595942</v>
      </c>
      <c r="O18" s="64"/>
      <c r="P18" s="64"/>
      <c r="Q18" s="65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</row>
    <row r="19">
      <c r="A19" s="20"/>
      <c r="B19" s="66" t="s">
        <v>37</v>
      </c>
      <c r="C19" s="67">
        <v>1500.0</v>
      </c>
      <c r="D19" s="68">
        <v>0.06</v>
      </c>
      <c r="E19" s="69">
        <f t="shared" si="3"/>
        <v>90</v>
      </c>
      <c r="F19" s="68">
        <v>0.18</v>
      </c>
      <c r="G19" s="70">
        <f t="shared" si="4"/>
        <v>16.2</v>
      </c>
      <c r="H19" s="68">
        <v>0.5</v>
      </c>
      <c r="I19" s="70">
        <f t="shared" si="5"/>
        <v>8.1</v>
      </c>
      <c r="J19" s="16"/>
      <c r="K19" s="16"/>
      <c r="L19" s="16"/>
      <c r="M19" s="16"/>
      <c r="N19" s="71"/>
      <c r="O19" s="72"/>
      <c r="P19" s="72"/>
      <c r="Q19" s="73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</row>
    <row r="20">
      <c r="A20" s="20"/>
      <c r="B20" s="66" t="s">
        <v>38</v>
      </c>
      <c r="C20" s="67">
        <v>37000.0</v>
      </c>
      <c r="D20" s="68">
        <v>0.007</v>
      </c>
      <c r="E20" s="69">
        <f t="shared" si="3"/>
        <v>259</v>
      </c>
      <c r="F20" s="68">
        <v>0.4</v>
      </c>
      <c r="G20" s="70">
        <f t="shared" si="4"/>
        <v>103.6</v>
      </c>
      <c r="H20" s="68">
        <v>0.4</v>
      </c>
      <c r="I20" s="70">
        <f t="shared" si="5"/>
        <v>41.44</v>
      </c>
      <c r="J20" s="16"/>
      <c r="K20" s="16"/>
      <c r="L20" s="16"/>
      <c r="M20" s="5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</row>
    <row r="21">
      <c r="A21" s="20"/>
      <c r="B21" s="33" t="s">
        <v>39</v>
      </c>
      <c r="C21" s="74">
        <v>500.0</v>
      </c>
      <c r="D21" s="37">
        <v>0.5</v>
      </c>
      <c r="E21" s="54">
        <f t="shared" si="3"/>
        <v>250</v>
      </c>
      <c r="F21" s="37">
        <v>0.4</v>
      </c>
      <c r="G21" s="34">
        <f t="shared" si="4"/>
        <v>100</v>
      </c>
      <c r="H21" s="37">
        <v>0.65</v>
      </c>
      <c r="I21" s="34">
        <f t="shared" si="5"/>
        <v>65</v>
      </c>
      <c r="J21" s="16"/>
      <c r="K21" s="16"/>
      <c r="L21" s="16"/>
      <c r="M21" s="16"/>
      <c r="N21" s="75" t="s">
        <v>40</v>
      </c>
      <c r="O21" s="48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76" t="s">
        <v>41</v>
      </c>
      <c r="O22" s="48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>
      <c r="A23" s="56"/>
      <c r="B23" s="56"/>
      <c r="C23" s="39"/>
      <c r="D23" s="39"/>
      <c r="E23" s="39"/>
      <c r="F23" s="39"/>
      <c r="G23" s="39"/>
      <c r="H23" s="39"/>
      <c r="I23" s="16"/>
      <c r="J23" s="16"/>
      <c r="K23" s="16"/>
      <c r="L23" s="16"/>
      <c r="M23" s="16"/>
      <c r="N23" s="77" t="s">
        <v>42</v>
      </c>
      <c r="O23" s="48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</row>
    <row r="24">
      <c r="A24" s="56"/>
      <c r="B24" s="56"/>
      <c r="C24" s="78" t="s">
        <v>43</v>
      </c>
      <c r="D24" s="47"/>
      <c r="E24" s="47"/>
      <c r="F24" s="47"/>
      <c r="G24" s="47"/>
      <c r="H24" s="48"/>
      <c r="I24" s="16"/>
      <c r="J24" s="16"/>
      <c r="K24" s="56"/>
      <c r="L24" s="16"/>
      <c r="M24" s="79"/>
      <c r="N24" s="80" t="s">
        <v>44</v>
      </c>
      <c r="O24" s="48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</row>
    <row r="25">
      <c r="A25" s="56"/>
      <c r="B25" s="56"/>
      <c r="C25" s="81" t="s">
        <v>45</v>
      </c>
      <c r="D25" s="81" t="s">
        <v>46</v>
      </c>
      <c r="E25" s="81" t="s">
        <v>47</v>
      </c>
      <c r="F25" s="81" t="s">
        <v>48</v>
      </c>
      <c r="G25" s="81" t="s">
        <v>49</v>
      </c>
      <c r="H25" s="81" t="s">
        <v>50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</row>
    <row r="26">
      <c r="A26" s="16"/>
      <c r="B26" s="16"/>
      <c r="C26" s="82">
        <v>22.0</v>
      </c>
      <c r="D26" s="83">
        <f>roundup(C4/C26,0)</f>
        <v>39</v>
      </c>
      <c r="E26" s="82">
        <v>50.0</v>
      </c>
      <c r="F26" s="84">
        <v>0.25</v>
      </c>
      <c r="G26" s="83">
        <f>E26*F26</f>
        <v>12.5</v>
      </c>
      <c r="H26" s="85">
        <f>roundup(D26/G26,0)</f>
        <v>4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>
      <c r="A27" s="56"/>
      <c r="B27" s="5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</row>
    <row r="28">
      <c r="A28" s="56"/>
      <c r="B28" s="56"/>
      <c r="C28" s="78" t="s">
        <v>51</v>
      </c>
      <c r="D28" s="47"/>
      <c r="E28" s="47"/>
      <c r="F28" s="47"/>
      <c r="G28" s="47"/>
      <c r="H28" s="8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</row>
    <row r="29">
      <c r="A29" s="56"/>
      <c r="B29" s="56"/>
      <c r="C29" s="19" t="s">
        <v>9</v>
      </c>
      <c r="D29" s="19" t="s">
        <v>52</v>
      </c>
      <c r="E29" s="19" t="s">
        <v>53</v>
      </c>
      <c r="F29" s="19" t="s">
        <v>54</v>
      </c>
      <c r="G29" s="87" t="s">
        <v>55</v>
      </c>
      <c r="H29" s="88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</row>
    <row r="30">
      <c r="A30" s="16"/>
      <c r="B30" s="16"/>
      <c r="C30" s="89">
        <f>SUM(G3:G4)</f>
        <v>234.09</v>
      </c>
      <c r="D30" s="82">
        <v>22.0</v>
      </c>
      <c r="E30" s="89">
        <f>C30/D30</f>
        <v>10.64045455</v>
      </c>
      <c r="F30" s="82">
        <v>2.5</v>
      </c>
      <c r="G30" s="85">
        <f>roundup(E30/F30,0)</f>
        <v>5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</row>
    <row r="1012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</row>
    <row r="101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</row>
    <row r="1014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</row>
    <row r="101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</row>
    <row r="1016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</row>
  </sheetData>
  <mergeCells count="10">
    <mergeCell ref="N23:O23"/>
    <mergeCell ref="N24:O24"/>
    <mergeCell ref="C8:I8"/>
    <mergeCell ref="B16:I16"/>
    <mergeCell ref="N17:Q17"/>
    <mergeCell ref="N18:Q19"/>
    <mergeCell ref="N21:O21"/>
    <mergeCell ref="N22:O22"/>
    <mergeCell ref="C24:H24"/>
    <mergeCell ref="C28:G28"/>
  </mergeCells>
  <conditionalFormatting sqref="N18:Q19">
    <cfRule type="cellIs" dxfId="0" priority="1" operator="greaterThan">
      <formula>1</formula>
    </cfRule>
  </conditionalFormatting>
  <conditionalFormatting sqref="N18:Q19">
    <cfRule type="cellIs" dxfId="1" priority="2" operator="lessThan">
      <formula>1</formula>
    </cfRule>
  </conditionalFormatting>
  <conditionalFormatting sqref="N18:Q19">
    <cfRule type="cellIs" dxfId="2" priority="3" operator="equal">
      <formula>1</formula>
    </cfRule>
  </conditionalFormatting>
  <drawing r:id="rId1"/>
</worksheet>
</file>