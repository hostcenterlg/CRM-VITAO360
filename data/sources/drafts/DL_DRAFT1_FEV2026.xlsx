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RAFT 1 " sheetId="1" state="visible" r:id="rId1"/>
    <sheet name="Planilha1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14">
    <font>
      <name val="Aptos Narrow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1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9"/>
    </font>
    <font>
      <name val="Calibri"/>
      <charset val="1"/>
      <family val="0"/>
      <b val="1"/>
      <color rgb="FF7030A0"/>
      <sz val="10"/>
    </font>
    <font>
      <name val="Arial"/>
      <charset val="1"/>
      <family val="0"/>
      <b val="1"/>
      <color rgb="FF7C3AED"/>
      <sz val="10"/>
    </font>
    <font>
      <name val="Calibri"/>
      <charset val="1"/>
      <family val="0"/>
      <b val="1"/>
      <color rgb="FFFFFFFF"/>
      <sz val="10"/>
    </font>
    <font>
      <name val="Arial"/>
      <charset val="1"/>
      <family val="0"/>
      <b val="1"/>
      <sz val="9"/>
    </font>
    <font>
      <name val="Arial"/>
      <charset val="1"/>
      <family val="0"/>
      <color rgb="FF6B7280"/>
      <sz val="9"/>
    </font>
    <font>
      <name val="Arial"/>
      <charset val="1"/>
      <family val="0"/>
      <sz val="9"/>
    </font>
    <font>
      <name val="Calibri"/>
      <charset val="1"/>
      <family val="0"/>
      <sz val="9"/>
    </font>
  </fonts>
  <fills count="6">
    <fill>
      <patternFill/>
    </fill>
    <fill>
      <patternFill patternType="gray125"/>
    </fill>
    <fill>
      <patternFill patternType="solid">
        <fgColor rgb="FF7C3AED"/>
        <bgColor rgb="FF9333EA"/>
      </patternFill>
    </fill>
    <fill>
      <patternFill patternType="solid">
        <fgColor rgb="FF9333EA"/>
        <bgColor rgb="FF7C3AED"/>
      </patternFill>
    </fill>
    <fill>
      <patternFill patternType="solid">
        <fgColor rgb="FF2F5496"/>
        <bgColor rgb="FF0066CC"/>
      </patternFill>
    </fill>
    <fill>
      <patternFill patternType="solid">
        <fgColor rgb="FFF3E8FF"/>
        <bgColor rgb="FFFFFFFF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</cellStyleXfs>
  <cellXfs count="3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164" fontId="12" fillId="5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 wrapText="1"/>
    </xf>
    <xf numFmtId="0" fontId="12" fillId="0" borderId="1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164" fontId="12" fillId="5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 wrapText="1"/>
    </xf>
    <xf numFmtId="165" fontId="12" fillId="5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165" fontId="0" fillId="0" borderId="0" pivotButton="0" quotePrefix="0" xfId="0"/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7030A0"/>
      <rgbColor rgb="FFF3E8FF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7C3AED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333EA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7C3AED"/>
    <outlinePr summaryBelow="1" summaryRight="1"/>
    <pageSetUpPr fitToPage="0"/>
  </sheetPr>
  <dimension ref="A1:AS50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3" topLeftCell="AL4" activePane="bottomRight" state="frozen"/>
      <selection pane="topLeft" activeCell="A1" activeCellId="0" sqref="A1"/>
      <selection pane="topRight" activeCell="AL1" activeCellId="0" sqref="AL1"/>
      <selection pane="bottomLeft" activeCell="A4" activeCellId="0" sqref="A4"/>
      <selection pane="bottomRight" activeCell="B13" activeCellId="0" sqref="B13"/>
    </sheetView>
  </sheetViews>
  <sheetFormatPr baseColWidth="8" defaultColWidth="8.87890625" defaultRowHeight="14.25" zeroHeight="0" outlineLevelRow="0"/>
  <cols>
    <col width="25" customWidth="1" style="15" min="1" max="1"/>
    <col width="18" customWidth="1" style="15" min="2" max="2"/>
    <col width="25" customWidth="1" style="15" min="3" max="3"/>
    <col width="5" customWidth="1" style="15" min="4" max="4"/>
    <col width="18" customWidth="1" style="15" min="5" max="5"/>
    <col width="25" customWidth="1" style="15" min="6" max="6"/>
    <col width="16" customWidth="1" style="15" min="7" max="7"/>
    <col width="14" customWidth="1" style="15" min="8" max="8"/>
    <col width="18" customWidth="1" style="15" min="9" max="10"/>
    <col width="20" customWidth="1" style="15" min="11" max="11"/>
    <col width="14" customWidth="1" style="15" min="12" max="12"/>
    <col width="16" customWidth="1" style="15" min="13" max="14"/>
    <col width="14" customWidth="1" style="15" min="15" max="15"/>
    <col width="12" customWidth="1" style="15" min="16" max="16"/>
    <col width="14" customWidth="1" style="15" min="17" max="20"/>
    <col width="12" customWidth="1" style="15" min="21" max="34"/>
    <col width="10" customWidth="1" style="15" min="35" max="35"/>
    <col width="14" customWidth="1" style="15" min="36" max="37"/>
    <col width="30" customWidth="1" style="15" min="38" max="38"/>
    <col width="22" customWidth="1" style="15" min="39" max="40"/>
    <col width="35" customWidth="1" style="15" min="41" max="41"/>
    <col width="13" customWidth="1" style="15" min="42" max="42"/>
    <col width="14.22" customWidth="1" style="15" min="43" max="43"/>
    <col width="22.44" customWidth="1" style="15" min="44" max="44"/>
    <col width="8.880000000000001" customWidth="1" style="15" min="45" max="16384"/>
  </cols>
  <sheetData>
    <row r="1" ht="27.75" customHeight="1" s="16">
      <c r="A1" s="17" t="inlineStr">
        <is>
          <t>📦 DRAFT 1 — DADOS MERCOS (atualizar diariamente via extração)</t>
        </is>
      </c>
    </row>
    <row r="2" ht="21.75" customHeight="1" s="16">
      <c r="A2" s="18" t="inlineStr">
        <is>
          <t>🟣 IDENTIDADE</t>
        </is>
      </c>
      <c r="L2" s="18" t="inlineStr">
        <is>
          <t>🟣 COMPRAS</t>
        </is>
      </c>
      <c r="O2" s="18" t="inlineStr">
        <is>
          <t>🟣 ECOMERCE</t>
        </is>
      </c>
      <c r="U2" s="18" t="inlineStr">
        <is>
          <t>🟣 VENDAS MÊS A MÊS</t>
        </is>
      </c>
      <c r="AG2" s="18" t="inlineStr">
        <is>
          <t>🟣 RECORRÊNCIA</t>
        </is>
      </c>
      <c r="AL2" s="18" t="inlineStr">
        <is>
          <t>🟣 ATENDIMENTO</t>
        </is>
      </c>
      <c r="AP2" s="19" t="inlineStr">
        <is>
          <t>🟣 RECORRÊNCIA</t>
        </is>
      </c>
      <c r="AR2" s="20" t="inlineStr">
        <is>
          <t>📋 FONTE DOS DADOS</t>
        </is>
      </c>
    </row>
    <row r="3" ht="27.75" customHeight="1" s="16">
      <c r="A3" s="21" t="inlineStr">
        <is>
          <t>NOME FANTASIA</t>
        </is>
      </c>
      <c r="B3" s="21" t="inlineStr">
        <is>
          <t>CNPJ</t>
        </is>
      </c>
      <c r="C3" s="21" t="inlineStr">
        <is>
          <t>RAZÃO SOCIAL</t>
        </is>
      </c>
      <c r="D3" s="21" t="inlineStr">
        <is>
          <t>UF</t>
        </is>
      </c>
      <c r="E3" s="21" t="inlineStr">
        <is>
          <t>CIDADE</t>
        </is>
      </c>
      <c r="F3" s="21" t="inlineStr">
        <is>
          <t>EMAIL</t>
        </is>
      </c>
      <c r="G3" s="21" t="inlineStr">
        <is>
          <t>TELEFONE</t>
        </is>
      </c>
      <c r="H3" s="21" t="inlineStr">
        <is>
          <t>DATA CADASTRO</t>
        </is>
      </c>
      <c r="I3" s="21" t="inlineStr">
        <is>
          <t>REDE / REGIONAL</t>
        </is>
      </c>
      <c r="J3" s="21" t="inlineStr">
        <is>
          <t>CONSULTOR</t>
        </is>
      </c>
      <c r="K3" s="21" t="inlineStr">
        <is>
          <t>VENDEDOR ÚLTIMO PEDIDO</t>
        </is>
      </c>
      <c r="L3" s="21" t="inlineStr">
        <is>
          <t>DIAS SEM COMPRA</t>
        </is>
      </c>
      <c r="M3" s="21" t="inlineStr">
        <is>
          <t>DATA ÚLTIMO PEDIDO</t>
        </is>
      </c>
      <c r="N3" s="21" t="inlineStr">
        <is>
          <t>VALOR ÚLTIMO PEDIDO</t>
        </is>
      </c>
      <c r="O3" s="21" t="inlineStr">
        <is>
          <t>ACESSOS SEMANA</t>
        </is>
      </c>
      <c r="P3" s="21" t="inlineStr">
        <is>
          <t>ACESSO B2B</t>
        </is>
      </c>
      <c r="Q3" s="21" t="inlineStr">
        <is>
          <t>ACESSOS PORTAL</t>
        </is>
      </c>
      <c r="R3" s="21" t="inlineStr">
        <is>
          <t>ITENS CARRINHO</t>
        </is>
      </c>
      <c r="S3" s="21" t="inlineStr">
        <is>
          <t>VALOR B2B</t>
        </is>
      </c>
      <c r="T3" s="21" t="inlineStr">
        <is>
          <t>OPORTUNIDADE</t>
        </is>
      </c>
      <c r="U3" s="21" t="inlineStr">
        <is>
          <t>MAR/25</t>
        </is>
      </c>
      <c r="V3" s="21" t="inlineStr">
        <is>
          <t>ABR/25</t>
        </is>
      </c>
      <c r="W3" s="21" t="inlineStr">
        <is>
          <t>MAI/25</t>
        </is>
      </c>
      <c r="X3" s="21" t="inlineStr">
        <is>
          <t>JUN/25</t>
        </is>
      </c>
      <c r="Y3" s="21" t="inlineStr">
        <is>
          <t>JUL/25</t>
        </is>
      </c>
      <c r="Z3" s="21" t="inlineStr">
        <is>
          <t>AGO/25</t>
        </is>
      </c>
      <c r="AA3" s="21" t="inlineStr">
        <is>
          <t>SET/25</t>
        </is>
      </c>
      <c r="AB3" s="21" t="inlineStr">
        <is>
          <t>OUT/25</t>
        </is>
      </c>
      <c r="AC3" s="21" t="inlineStr">
        <is>
          <t>NOV/25</t>
        </is>
      </c>
      <c r="AD3" s="21" t="inlineStr">
        <is>
          <t>DEZ/25</t>
        </is>
      </c>
      <c r="AE3" s="21" t="inlineStr">
        <is>
          <t>JAN/26</t>
        </is>
      </c>
      <c r="AF3" s="21" t="inlineStr">
        <is>
          <t>FEV/26</t>
        </is>
      </c>
      <c r="AG3" s="21" t="inlineStr">
        <is>
          <t>CICLO MÉDIO</t>
        </is>
      </c>
      <c r="AH3" s="21" t="inlineStr">
        <is>
          <t>Nº COMPRAS</t>
        </is>
      </c>
      <c r="AI3" s="21" t="inlineStr">
        <is>
          <t>CURVA ABC</t>
        </is>
      </c>
      <c r="AJ3" s="21" t="inlineStr">
        <is>
          <t>MESES POSITIVADO</t>
        </is>
      </c>
      <c r="AK3" s="21" t="inlineStr">
        <is>
          <t>TICKET MÉDIO</t>
        </is>
      </c>
      <c r="AL3" s="21" t="inlineStr">
        <is>
          <t>ÚLT. REGISTRO MERCOS</t>
        </is>
      </c>
      <c r="AM3" s="21" t="inlineStr">
        <is>
          <t>DATA ÚLT. ATENDIMENTO MERCOS</t>
        </is>
      </c>
      <c r="AN3" s="21" t="inlineStr">
        <is>
          <t>TIPO ATENDIMENTO MERCOS</t>
        </is>
      </c>
      <c r="AO3" s="21" t="inlineStr">
        <is>
          <t>OBS ATENDIMENTO MERCOS</t>
        </is>
      </c>
      <c r="AP3" s="22" t="inlineStr">
        <is>
          <t>TIPO CLIENTE</t>
        </is>
      </c>
      <c r="AQ3" s="22" t="inlineStr">
        <is>
          <t>MÉDIA MENSAL</t>
        </is>
      </c>
      <c r="AR3" s="23" t="inlineStr">
        <is>
          <t>AUDIT TELEFONE</t>
        </is>
      </c>
      <c r="AS3" s="24" t="inlineStr">
        <is>
          <t>FONTE ATUALIZAÇÃO</t>
        </is>
      </c>
    </row>
    <row r="4" ht="14.25" customHeight="1" s="16">
      <c r="A4" s="25" t="inlineStr">
        <is>
          <t xml:space="preserve"> BRENDHA EVELYN LOPES ERRERA ROCA</t>
        </is>
      </c>
      <c r="B4" s="25" t="inlineStr">
        <is>
          <t>51172110000171</t>
        </is>
      </c>
      <c r="C4" s="25" t="inlineStr">
        <is>
          <t>51.172.110 BRENDHA EVELYN LOPES ERRERA ROCA</t>
        </is>
      </c>
      <c r="D4" s="25" t="inlineStr">
        <is>
          <t>PR</t>
        </is>
      </c>
      <c r="E4" s="25" t="inlineStr">
        <is>
          <t>CURITIBA</t>
        </is>
      </c>
      <c r="F4" s="25" t="inlineStr">
        <is>
          <t>bele9347@gmail.com</t>
        </is>
      </c>
      <c r="G4" s="25" t="inlineStr">
        <is>
          <t>+55 (41) 99800-6467</t>
        </is>
      </c>
      <c r="H4" s="25" t="inlineStr">
        <is>
          <t>21/01/2026</t>
        </is>
      </c>
      <c r="I4" s="25" t="n"/>
      <c r="J4" s="25" t="inlineStr">
        <is>
          <t>MANU DITZEL</t>
        </is>
      </c>
      <c r="K4" s="25" t="inlineStr">
        <is>
          <t>Manu Ditzel</t>
        </is>
      </c>
      <c r="L4" s="25" t="n">
        <v>20</v>
      </c>
      <c r="M4" s="25" t="inlineStr">
        <is>
          <t>26/01/2026</t>
        </is>
      </c>
      <c r="N4" s="25" t="n">
        <v>1231.07</v>
      </c>
      <c r="O4" s="25" t="n">
        <v>19</v>
      </c>
      <c r="P4" s="25" t="inlineStr">
        <is>
          <t>Sim</t>
        </is>
      </c>
      <c r="Q4" s="25" t="n">
        <v>113</v>
      </c>
      <c r="R4" s="25" t="n">
        <v>27</v>
      </c>
      <c r="S4" s="25" t="n">
        <v>1231.07</v>
      </c>
      <c r="T4" s="25" t="inlineStr">
        <is>
          <t>COMPRA B2B</t>
        </is>
      </c>
      <c r="U4" s="25" t="n">
        <v>0</v>
      </c>
      <c r="V4" s="25" t="n">
        <v>0</v>
      </c>
      <c r="W4" s="25" t="n">
        <v>0</v>
      </c>
      <c r="X4" s="25" t="n">
        <v>0</v>
      </c>
      <c r="Y4" s="25" t="n">
        <v>0</v>
      </c>
      <c r="Z4" s="25" t="n">
        <v>0</v>
      </c>
      <c r="AA4" s="25" t="n">
        <v>0</v>
      </c>
      <c r="AB4" s="25" t="n">
        <v>0</v>
      </c>
      <c r="AC4" s="25" t="n">
        <v>0</v>
      </c>
      <c r="AD4" s="25" t="n">
        <v>0</v>
      </c>
      <c r="AE4" s="25" t="n">
        <v>0</v>
      </c>
      <c r="AF4" s="25" t="n">
        <v>0</v>
      </c>
      <c r="AG4" s="25" t="n">
        <v>0</v>
      </c>
      <c r="AH4" s="25" t="n">
        <v>0</v>
      </c>
      <c r="AI4" s="25" t="n"/>
      <c r="AJ4" s="25" t="n">
        <v>0</v>
      </c>
      <c r="AK4" s="25" t="n">
        <v>0</v>
      </c>
      <c r="AL4" s="26" t="n">
        <v>46056.72569444445</v>
      </c>
      <c r="AM4" s="26" t="n">
        <v>46056.72569444445</v>
      </c>
      <c r="AN4" s="25" t="inlineStr">
        <is>
          <t>WHATSAPP</t>
        </is>
      </c>
      <c r="AO4" s="25" t="inlineStr">
        <is>
          <t>FOI PELO FRACIONADO, NÃO CONSIGO RASTREAR MANDEI MENSAGEM PERGUNTANDO SE CHEGOU</t>
        </is>
      </c>
      <c r="AP4" s="27">
        <f>IF(AH4="","",IF(AH4=0,"PROSPECT",IF(AH4=1,"NOVO",IF(AH4&lt;=3,"EM DESENVOLVIMENTO",IF(AH4&lt;=6,"RECORRENTE","FIDELIZADO")))))</f>
        <v/>
      </c>
      <c r="AQ4" s="27">
        <f>IF(AJ4=0,0,IFERROR(SUM(U4:AF4)/AJ4,0))</f>
        <v/>
      </c>
      <c r="AR4" s="23" t="inlineStr">
        <is>
          <t>IDENTIDADE (A-K)</t>
        </is>
      </c>
      <c r="AS4" s="24" t="inlineStr">
        <is>
          <t>Carteira FEV/26 + Atend FEV/26</t>
        </is>
      </c>
    </row>
    <row r="5" ht="14.25" customHeight="1" s="16">
      <c r="A5" s="25" t="inlineStr">
        <is>
          <t>35.883.775 MARISA GARLINI MAGENIS</t>
        </is>
      </c>
      <c r="B5" s="25" t="inlineStr">
        <is>
          <t>35883775000137</t>
        </is>
      </c>
      <c r="C5" s="25" t="inlineStr">
        <is>
          <t>35.883.775 MARISA GARLINI MAGENIS</t>
        </is>
      </c>
      <c r="D5" s="25" t="inlineStr">
        <is>
          <t>PR</t>
        </is>
      </c>
      <c r="E5" s="25" t="inlineStr">
        <is>
          <t>SAO MIGUEL DO IGUACU</t>
        </is>
      </c>
      <c r="F5" s="25" t="inlineStr">
        <is>
          <t>marisagarline@gmail.com</t>
        </is>
      </c>
      <c r="G5" s="25" t="inlineStr">
        <is>
          <t>+55 (45) 8406-1896</t>
        </is>
      </c>
      <c r="H5" s="25" t="inlineStr">
        <is>
          <t>22/10/2025</t>
        </is>
      </c>
      <c r="I5" s="25" t="n"/>
      <c r="J5" s="25" t="inlineStr">
        <is>
          <t>MANU DITZEL</t>
        </is>
      </c>
      <c r="K5" s="25" t="inlineStr">
        <is>
          <t>Manu Ditzel</t>
        </is>
      </c>
      <c r="L5" s="25" t="n">
        <v>30</v>
      </c>
      <c r="M5" s="25" t="inlineStr">
        <is>
          <t>16/01/2026</t>
        </is>
      </c>
      <c r="N5" s="25" t="n">
        <v>996.3</v>
      </c>
      <c r="O5" s="25" t="n"/>
      <c r="P5" s="25" t="n"/>
      <c r="Q5" s="25" t="n"/>
      <c r="R5" s="25" t="n"/>
      <c r="S5" s="25" t="n"/>
      <c r="T5" s="25" t="n"/>
      <c r="U5" s="25" t="n">
        <v>0</v>
      </c>
      <c r="V5" s="25" t="n">
        <v>0</v>
      </c>
      <c r="W5" s="25" t="n">
        <v>0</v>
      </c>
      <c r="X5" s="25" t="n">
        <v>0</v>
      </c>
      <c r="Y5" s="25" t="n">
        <v>0</v>
      </c>
      <c r="Z5" s="25" t="n">
        <v>0</v>
      </c>
      <c r="AA5" s="25" t="n">
        <v>0</v>
      </c>
      <c r="AB5" s="25" t="n">
        <v>661.04</v>
      </c>
      <c r="AC5" s="25" t="n">
        <v>0</v>
      </c>
      <c r="AD5" s="25" t="n">
        <v>1028.28</v>
      </c>
      <c r="AE5" s="25" t="n">
        <v>996.3</v>
      </c>
      <c r="AF5" s="25" t="n">
        <v>0</v>
      </c>
      <c r="AG5" s="25" t="n">
        <v>43</v>
      </c>
      <c r="AH5" s="25" t="n">
        <v>3</v>
      </c>
      <c r="AI5" s="25" t="inlineStr">
        <is>
          <t>B</t>
        </is>
      </c>
      <c r="AJ5" s="25" t="n">
        <v>3</v>
      </c>
      <c r="AK5" s="25" t="n">
        <v>895.21</v>
      </c>
      <c r="AL5" s="26" t="n">
        <v>46063.65555555555</v>
      </c>
      <c r="AM5" s="26" t="n">
        <v>46063.65555555555</v>
      </c>
      <c r="AN5" s="25" t="inlineStr">
        <is>
          <t>WHATSAPP</t>
        </is>
      </c>
      <c r="AO5" s="28" t="inlineStr">
        <is>
          <t>ainda tem estoque, cliente vai comprar mais perto da pascoa</t>
        </is>
      </c>
      <c r="AP5" s="27">
        <f>IF(AH5="","",IF(AH5=0,"PROSPECT",IF(AH5=1,"NOVO",IF(AH5&lt;=3,"EM DESENVOLVIMENTO",IF(AH5&lt;=6,"RECORRENTE","FIDELIZADO")))))</f>
        <v/>
      </c>
      <c r="AQ5" s="27">
        <f>IF(AJ5=0,0,IFERROR(SUM(U5:AF5)/AJ5,0))</f>
        <v/>
      </c>
      <c r="AR5" s="23" t="inlineStr">
        <is>
          <t>COMPRAS (L-N)</t>
        </is>
      </c>
      <c r="AS5" s="24" t="inlineStr">
        <is>
          <t>Carteira FEV/26 + Atend FEV/26</t>
        </is>
      </c>
    </row>
    <row r="6" ht="14.25" customHeight="1" s="16">
      <c r="A6" s="25" t="inlineStr">
        <is>
          <t>40.185.487 ANTONIO JURANDI DA SILVA</t>
        </is>
      </c>
      <c r="B6" s="25" t="inlineStr">
        <is>
          <t>40185487000149</t>
        </is>
      </c>
      <c r="C6" s="25" t="inlineStr">
        <is>
          <t>40.185.487 ANTONIO JURANDI DA SILVA</t>
        </is>
      </c>
      <c r="D6" s="25" t="inlineStr">
        <is>
          <t>SP</t>
        </is>
      </c>
      <c r="E6" s="25" t="inlineStr">
        <is>
          <t>PORANGABA</t>
        </is>
      </c>
      <c r="F6" s="25" t="inlineStr">
        <is>
          <t>Tonileli@bol.com.br</t>
        </is>
      </c>
      <c r="G6" s="25" t="inlineStr">
        <is>
          <t>+55 (15) 98816-4196</t>
        </is>
      </c>
      <c r="H6" s="25" t="inlineStr">
        <is>
          <t>28/03/2025</t>
        </is>
      </c>
      <c r="I6" s="25" t="n"/>
      <c r="J6" s="25" t="inlineStr">
        <is>
          <t>LARISSA PADILHA</t>
        </is>
      </c>
      <c r="K6" s="25" t="inlineStr">
        <is>
          <t>Larissa Padilha</t>
        </is>
      </c>
      <c r="L6" s="25" t="n">
        <v>23</v>
      </c>
      <c r="M6" s="25" t="inlineStr">
        <is>
          <t>23/01/2026</t>
        </is>
      </c>
      <c r="N6" s="25" t="n">
        <v>1053.04</v>
      </c>
      <c r="O6" s="25" t="n">
        <v>1</v>
      </c>
      <c r="P6" s="25" t="inlineStr">
        <is>
          <t>Sim</t>
        </is>
      </c>
      <c r="Q6" s="25" t="n">
        <v>249</v>
      </c>
      <c r="R6" s="25" t="n">
        <v>55</v>
      </c>
      <c r="S6" s="25" t="n">
        <v>3941.77</v>
      </c>
      <c r="T6" s="25" t="inlineStr">
        <is>
          <t>COMPRA B2B</t>
        </is>
      </c>
      <c r="U6" s="25" t="n">
        <v>1247.65</v>
      </c>
      <c r="V6" s="25" t="n">
        <v>0</v>
      </c>
      <c r="W6" s="25" t="n">
        <v>0</v>
      </c>
      <c r="X6" s="25" t="n">
        <v>828.8099999999999</v>
      </c>
      <c r="Y6" s="25" t="n">
        <v>0</v>
      </c>
      <c r="Z6" s="25" t="n">
        <v>812.27</v>
      </c>
      <c r="AA6" s="25" t="n">
        <v>0</v>
      </c>
      <c r="AB6" s="25" t="n">
        <v>0</v>
      </c>
      <c r="AC6" s="25" t="n">
        <v>0</v>
      </c>
      <c r="AD6" s="25" t="n">
        <v>0</v>
      </c>
      <c r="AE6" s="25" t="n">
        <v>1053.04</v>
      </c>
      <c r="AF6" s="25" t="n">
        <v>0</v>
      </c>
      <c r="AG6" s="25" t="n">
        <v>99.33329999999999</v>
      </c>
      <c r="AH6" s="25" t="n">
        <v>4</v>
      </c>
      <c r="AI6" s="25" t="inlineStr">
        <is>
          <t>A</t>
        </is>
      </c>
      <c r="AJ6" s="25" t="n">
        <v>4</v>
      </c>
      <c r="AK6" s="25" t="n">
        <v>985.4400000000001</v>
      </c>
      <c r="AL6" s="26" t="n">
        <v>46065.59375</v>
      </c>
      <c r="AM6" s="26" t="n">
        <v>46065.59375</v>
      </c>
      <c r="AN6" s="25" t="inlineStr">
        <is>
          <t>WHATSAPP</t>
        </is>
      </c>
      <c r="AO6" s="25" t="inlineStr">
        <is>
          <t>NUTRIÇÃO | Envio da campanha do mês</t>
        </is>
      </c>
      <c r="AP6" s="27">
        <f>IF(AH6="","",IF(AH6=0,"PROSPECT",IF(AH6=1,"NOVO",IF(AH6&lt;=3,"EM DESENVOLVIMENTO",IF(AH6&lt;=6,"RECORRENTE","FIDELIZADO")))))</f>
        <v/>
      </c>
      <c r="AQ6" s="27">
        <f>IF(AJ6=0,0,IFERROR(SUM(U6:AF6)/AJ6,0))</f>
        <v/>
      </c>
      <c r="AR6" s="23" t="inlineStr">
        <is>
          <t>ECOMMERCE (O-T)</t>
        </is>
      </c>
      <c r="AS6" s="24" t="inlineStr">
        <is>
          <t>Carteira FEV/26 + Atend FEV/26</t>
        </is>
      </c>
    </row>
    <row r="7" ht="14.25" customHeight="1" s="16">
      <c r="A7" s="25" t="inlineStr">
        <is>
          <t>48.097.578 SALAH UD DIN ALE CHARKIE</t>
        </is>
      </c>
      <c r="B7" s="25" t="inlineStr">
        <is>
          <t>48097578000134</t>
        </is>
      </c>
      <c r="C7" s="25" t="inlineStr">
        <is>
          <t>48.097.578 SALAH UD DIN ALE CHARKIE</t>
        </is>
      </c>
      <c r="D7" s="25" t="inlineStr">
        <is>
          <t>PR</t>
        </is>
      </c>
      <c r="E7" s="25" t="inlineStr">
        <is>
          <t>PARANAGUA</t>
        </is>
      </c>
      <c r="F7" s="25" t="inlineStr">
        <is>
          <t>emporiodosalah@gmail.com</t>
        </is>
      </c>
      <c r="G7" s="25" t="inlineStr">
        <is>
          <t>+55 (41) 8410-4010</t>
        </is>
      </c>
      <c r="H7" s="25" t="inlineStr">
        <is>
          <t>25/02/2025</t>
        </is>
      </c>
      <c r="I7" s="25" t="n"/>
      <c r="J7" s="25" t="inlineStr">
        <is>
          <t>MANU DITZEL</t>
        </is>
      </c>
      <c r="K7" s="25" t="inlineStr">
        <is>
          <t>Manu Ditzel</t>
        </is>
      </c>
      <c r="L7" s="25" t="n">
        <v>11</v>
      </c>
      <c r="M7" s="25" t="inlineStr">
        <is>
          <t>04/02/2026</t>
        </is>
      </c>
      <c r="N7" s="25" t="n">
        <v>795.39</v>
      </c>
      <c r="O7" s="25" t="n"/>
      <c r="P7" s="25" t="n"/>
      <c r="Q7" s="25" t="n"/>
      <c r="R7" s="25" t="n"/>
      <c r="S7" s="25" t="n"/>
      <c r="T7" s="25" t="n"/>
      <c r="U7" s="25" t="n">
        <v>0</v>
      </c>
      <c r="V7" s="25" t="n">
        <v>856.3</v>
      </c>
      <c r="W7" s="25" t="n">
        <v>1008</v>
      </c>
      <c r="X7" s="25" t="n">
        <v>1479.83</v>
      </c>
      <c r="Y7" s="25" t="n">
        <v>0</v>
      </c>
      <c r="Z7" s="25" t="n">
        <v>940.5</v>
      </c>
      <c r="AA7" s="25" t="n">
        <v>0</v>
      </c>
      <c r="AB7" s="25" t="n">
        <v>0</v>
      </c>
      <c r="AC7" s="25" t="n">
        <v>968.4299999999999</v>
      </c>
      <c r="AD7" s="25" t="n">
        <v>0</v>
      </c>
      <c r="AE7" s="25" t="n">
        <v>0</v>
      </c>
      <c r="AF7" s="25" t="n">
        <v>795.39</v>
      </c>
      <c r="AG7" s="25" t="n">
        <v>48.8571</v>
      </c>
      <c r="AH7" s="25" t="n">
        <v>6</v>
      </c>
      <c r="AI7" s="25" t="inlineStr">
        <is>
          <t>B</t>
        </is>
      </c>
      <c r="AJ7" s="25" t="n">
        <v>7</v>
      </c>
      <c r="AK7" s="25" t="n">
        <v>1008.07</v>
      </c>
      <c r="AL7" s="26" t="n">
        <v>46057.45674768519</v>
      </c>
      <c r="AM7" s="26" t="n">
        <v>46057.45674768519</v>
      </c>
      <c r="AN7" s="25" t="inlineStr">
        <is>
          <t>WHATSAPP</t>
        </is>
      </c>
      <c r="AO7" s="25" t="inlineStr">
        <is>
          <t>Empório Do Salah</t>
        </is>
      </c>
      <c r="AP7" s="27">
        <f>IF(AH7="","",IF(AH7=0,"PROSPECT",IF(AH7=1,"NOVO",IF(AH7&lt;=3,"EM DESENVOLVIMENTO",IF(AH7&lt;=6,"RECORRENTE","FIDELIZADO")))))</f>
        <v/>
      </c>
      <c r="AQ7" s="27">
        <f>IF(AJ7=0,0,IFERROR(SUM(U7:AF7)/AJ7,0))</f>
        <v/>
      </c>
      <c r="AR7" s="23" t="inlineStr">
        <is>
          <t>VENDAS (U-AF)</t>
        </is>
      </c>
      <c r="AS7" s="24" t="inlineStr">
        <is>
          <t>Carteira FEV/26 + Atend FEV/26 + Vendas FEV/26 + ABC FEV/26</t>
        </is>
      </c>
    </row>
    <row r="8" ht="14.25" customHeight="1" s="16">
      <c r="A8" s="25" t="inlineStr">
        <is>
          <t>50.342.650 PRISCILA LILIANE ROSSETO</t>
        </is>
      </c>
      <c r="B8" s="25" t="inlineStr">
        <is>
          <t>50342650000193</t>
        </is>
      </c>
      <c r="C8" s="25" t="inlineStr">
        <is>
          <t>50.342.650 PRISCILA LILIANE ROSSETO</t>
        </is>
      </c>
      <c r="D8" s="25" t="inlineStr">
        <is>
          <t>SP</t>
        </is>
      </c>
      <c r="E8" s="25" t="inlineStr">
        <is>
          <t>SANTO ANDRE</t>
        </is>
      </c>
      <c r="F8" s="25" t="inlineStr">
        <is>
          <t>prixliliane@gmail.com</t>
        </is>
      </c>
      <c r="G8" s="25" t="inlineStr">
        <is>
          <t>+55 (11) 98369-7240</t>
        </is>
      </c>
      <c r="H8" s="25" t="inlineStr">
        <is>
          <t>09/07/2025</t>
        </is>
      </c>
      <c r="I8" s="25" t="n"/>
      <c r="J8" s="25" t="inlineStr">
        <is>
          <t>LARISSA PADILHA</t>
        </is>
      </c>
      <c r="K8" s="25" t="inlineStr">
        <is>
          <t>Larissa Padilha</t>
        </is>
      </c>
      <c r="L8" s="25" t="n">
        <v>2</v>
      </c>
      <c r="M8" s="25" t="inlineStr">
        <is>
          <t>13/02/2026</t>
        </is>
      </c>
      <c r="N8" s="25" t="n">
        <v>1024.92</v>
      </c>
      <c r="O8" s="25" t="n">
        <v>4</v>
      </c>
      <c r="P8" s="25" t="inlineStr">
        <is>
          <t>Sim</t>
        </is>
      </c>
      <c r="Q8" s="25" t="n">
        <v>132</v>
      </c>
      <c r="R8" s="25" t="n">
        <v>20</v>
      </c>
      <c r="S8" s="25" t="n">
        <v>4375.95</v>
      </c>
      <c r="T8" s="25" t="inlineStr">
        <is>
          <t>COMPRA B2B</t>
        </is>
      </c>
      <c r="U8" s="25" t="n">
        <v>0</v>
      </c>
      <c r="V8" s="25" t="n">
        <v>0</v>
      </c>
      <c r="W8" s="25" t="n">
        <v>0</v>
      </c>
      <c r="X8" s="25" t="n">
        <v>0</v>
      </c>
      <c r="Y8" s="25" t="n">
        <v>0</v>
      </c>
      <c r="Z8" s="25" t="n">
        <v>708.25</v>
      </c>
      <c r="AA8" s="25" t="n">
        <v>769.47</v>
      </c>
      <c r="AB8" s="25" t="n">
        <v>1400.78</v>
      </c>
      <c r="AC8" s="25" t="n">
        <v>789.36</v>
      </c>
      <c r="AD8" s="25" t="n">
        <v>0</v>
      </c>
      <c r="AE8" s="25" t="n">
        <v>1083.95</v>
      </c>
      <c r="AF8" s="25" t="n">
        <v>1024.92</v>
      </c>
      <c r="AG8" s="25" t="n">
        <v>32</v>
      </c>
      <c r="AH8" s="25" t="n">
        <v>6</v>
      </c>
      <c r="AI8" s="25" t="inlineStr">
        <is>
          <t>B</t>
        </is>
      </c>
      <c r="AJ8" s="25" t="n">
        <v>6</v>
      </c>
      <c r="AK8" s="25" t="n">
        <v>962.79</v>
      </c>
      <c r="AL8" s="26" t="n">
        <v>46065.59097222222</v>
      </c>
      <c r="AM8" s="26" t="n">
        <v>46065.59097222222</v>
      </c>
      <c r="AN8" s="25" t="inlineStr">
        <is>
          <t>WHATSAPP</t>
        </is>
      </c>
      <c r="AO8" s="28" t="inlineStr">
        <is>
          <t>PERDA | Cliente não está de acordo com os aumentos dos preços</t>
        </is>
      </c>
      <c r="AP8" s="27">
        <f>IF(AH8="","",IF(AH8=0,"PROSPECT",IF(AH8=1,"NOVO",IF(AH8&lt;=3,"EM DESENVOLVIMENTO",IF(AH8&lt;=6,"RECORRENTE","FIDELIZADO")))))</f>
        <v/>
      </c>
      <c r="AQ8" s="27">
        <f>IF(AJ8=0,0,IFERROR(SUM(U8:AF8)/AJ8,0))</f>
        <v/>
      </c>
      <c r="AR8" s="23" t="inlineStr">
        <is>
          <t>RECORRÊNCIA (AG-AK)</t>
        </is>
      </c>
      <c r="AS8" s="24" t="inlineStr">
        <is>
          <t>Carteira FEV/26 + Atend FEV/26 + Ecom FEV/26 + Vendas FEV/26 + ABC FEV/26</t>
        </is>
      </c>
    </row>
    <row r="9" ht="14.25" customHeight="1" s="16">
      <c r="A9" s="25" t="inlineStr">
        <is>
          <t>56.237.854 SAMUELL CARVALHO LUCIANO</t>
        </is>
      </c>
      <c r="B9" s="25" t="inlineStr">
        <is>
          <t>56237854000140</t>
        </is>
      </c>
      <c r="C9" s="25" t="inlineStr">
        <is>
          <t>56.237.854 SAMUELL CARVALHO LUCIANO</t>
        </is>
      </c>
      <c r="D9" s="25" t="inlineStr">
        <is>
          <t>SC</t>
        </is>
      </c>
      <c r="E9" s="25" t="inlineStr">
        <is>
          <t>SAO JOAQUIM</t>
        </is>
      </c>
      <c r="F9" s="25" t="inlineStr">
        <is>
          <t>hiolandacarvalho@hotmail.com</t>
        </is>
      </c>
      <c r="G9" s="25" t="inlineStr">
        <is>
          <t>+55 (49) 9195-9022</t>
        </is>
      </c>
      <c r="H9" s="25" t="inlineStr">
        <is>
          <t>17/03/2025</t>
        </is>
      </c>
      <c r="I9" s="25" t="n"/>
      <c r="J9" s="25" t="inlineStr">
        <is>
          <t>MANU DITZEL</t>
        </is>
      </c>
      <c r="K9" s="25" t="inlineStr">
        <is>
          <t>Manu Ditzel</t>
        </is>
      </c>
      <c r="L9" s="25" t="n">
        <v>27</v>
      </c>
      <c r="M9" s="25" t="inlineStr">
        <is>
          <t>19/01/2026</t>
        </is>
      </c>
      <c r="N9" s="25" t="n">
        <v>667.59</v>
      </c>
      <c r="O9" s="25" t="n">
        <v>1</v>
      </c>
      <c r="P9" s="25" t="inlineStr">
        <is>
          <t>Sim</t>
        </is>
      </c>
      <c r="Q9" s="25" t="n">
        <v>165</v>
      </c>
      <c r="R9" s="25" t="n">
        <v>78</v>
      </c>
      <c r="S9" s="25" t="n">
        <v>2964.04</v>
      </c>
      <c r="T9" s="25" t="inlineStr">
        <is>
          <t>COMPRA B2B</t>
        </is>
      </c>
      <c r="U9" s="25" t="n">
        <v>1423.4</v>
      </c>
      <c r="V9" s="25" t="n">
        <v>0</v>
      </c>
      <c r="W9" s="25" t="n">
        <v>873.05</v>
      </c>
      <c r="X9" s="25" t="n">
        <v>0</v>
      </c>
      <c r="Y9" s="25" t="n">
        <v>0</v>
      </c>
      <c r="Z9" s="25" t="n">
        <v>0</v>
      </c>
      <c r="AA9" s="25" t="n">
        <v>0</v>
      </c>
      <c r="AB9" s="25" t="n">
        <v>0</v>
      </c>
      <c r="AC9" s="25" t="n">
        <v>0</v>
      </c>
      <c r="AD9" s="25" t="n">
        <v>0</v>
      </c>
      <c r="AE9" s="25" t="n">
        <v>667.59</v>
      </c>
      <c r="AF9" s="25" t="n">
        <v>0</v>
      </c>
      <c r="AG9" s="25" t="n">
        <v>153</v>
      </c>
      <c r="AH9" s="25" t="n">
        <v>3</v>
      </c>
      <c r="AI9" s="25" t="inlineStr">
        <is>
          <t>B</t>
        </is>
      </c>
      <c r="AJ9" s="25" t="n">
        <v>4</v>
      </c>
      <c r="AK9" s="25" t="n">
        <v>1462.48</v>
      </c>
      <c r="AL9" s="26" t="n">
        <v>46056.72708333333</v>
      </c>
      <c r="AM9" s="26" t="n">
        <v>46056.72708333333</v>
      </c>
      <c r="AN9" s="25" t="inlineStr">
        <is>
          <t>WHATSAPP</t>
        </is>
      </c>
      <c r="AO9" s="25" t="inlineStr">
        <is>
          <t>ENTREGUE | PEDIU BOLETOS/ JÁ SOLICITEI</t>
        </is>
      </c>
      <c r="AP9" s="27">
        <f>IF(AH9="","",IF(AH9=0,"PROSPECT",IF(AH9=1,"NOVO",IF(AH9&lt;=3,"EM DESENVOLVIMENTO",IF(AH9&lt;=6,"RECORRENTE","FIDELIZADO")))))</f>
        <v/>
      </c>
      <c r="AQ9" s="27">
        <f>IF(AJ9=0,0,IFERROR(SUM(U9:AF9)/AJ9,0))</f>
        <v/>
      </c>
      <c r="AR9" s="15" t="inlineStr">
        <is>
          <t>ATENDIMENTO (AL-AO)</t>
        </is>
      </c>
      <c r="AS9" s="15" t="inlineStr">
        <is>
          <t>Carteira FEV/26 + Atend FEV/26</t>
        </is>
      </c>
    </row>
    <row r="10" ht="14.25" customHeight="1" s="16">
      <c r="A10" s="25" t="inlineStr">
        <is>
          <t>59.594.680 AGUIDA DE FATIMA DE SOUZA</t>
        </is>
      </c>
      <c r="B10" s="25" t="inlineStr">
        <is>
          <t>59594680000161</t>
        </is>
      </c>
      <c r="C10" s="25" t="inlineStr">
        <is>
          <t>59.594.680 AGUIDA DE FATIMA DE SOUZA</t>
        </is>
      </c>
      <c r="D10" s="25" t="inlineStr">
        <is>
          <t>MG</t>
        </is>
      </c>
      <c r="E10" s="25" t="inlineStr">
        <is>
          <t>IMBE DE MINAS</t>
        </is>
      </c>
      <c r="F10" s="25" t="inlineStr">
        <is>
          <t>aguida.souza98@gmail.com</t>
        </is>
      </c>
      <c r="G10" s="25" t="inlineStr">
        <is>
          <t>+55 (11) 95227-8924</t>
        </is>
      </c>
      <c r="H10" s="25" t="inlineStr">
        <is>
          <t>07/01/2026</t>
        </is>
      </c>
      <c r="I10" s="25" t="n"/>
      <c r="J10" s="25" t="inlineStr">
        <is>
          <t>LARISSA PADILHA</t>
        </is>
      </c>
      <c r="K10" s="25" t="inlineStr">
        <is>
          <t>Larissa Padilha</t>
        </is>
      </c>
      <c r="L10" s="25" t="n">
        <v>33</v>
      </c>
      <c r="M10" s="25" t="inlineStr">
        <is>
          <t>13/01/2026</t>
        </is>
      </c>
      <c r="N10" s="25" t="n">
        <v>654</v>
      </c>
      <c r="O10" s="25" t="n">
        <v>12</v>
      </c>
      <c r="P10" s="25" t="inlineStr">
        <is>
          <t>Sim</t>
        </is>
      </c>
      <c r="Q10" s="25" t="n">
        <v>93</v>
      </c>
      <c r="R10" s="25" t="n">
        <v>15</v>
      </c>
      <c r="S10" s="25" t="n">
        <v>654</v>
      </c>
      <c r="T10" s="25" t="inlineStr">
        <is>
          <t>COMPRA B2B</t>
        </is>
      </c>
      <c r="U10" s="25" t="n">
        <v>0</v>
      </c>
      <c r="V10" s="25" t="n">
        <v>0</v>
      </c>
      <c r="W10" s="25" t="n">
        <v>0</v>
      </c>
      <c r="X10" s="25" t="n">
        <v>0</v>
      </c>
      <c r="Y10" s="25" t="n">
        <v>0</v>
      </c>
      <c r="Z10" s="25" t="n">
        <v>0</v>
      </c>
      <c r="AA10" s="25" t="n">
        <v>0</v>
      </c>
      <c r="AB10" s="25" t="n">
        <v>0</v>
      </c>
      <c r="AC10" s="25" t="n">
        <v>0</v>
      </c>
      <c r="AD10" s="25" t="n">
        <v>0</v>
      </c>
      <c r="AE10" s="25" t="n">
        <v>654</v>
      </c>
      <c r="AF10" s="25" t="n">
        <v>0</v>
      </c>
      <c r="AG10" s="25" t="n">
        <v>0</v>
      </c>
      <c r="AH10" s="25" t="n">
        <v>1</v>
      </c>
      <c r="AI10" s="25" t="inlineStr">
        <is>
          <t>C</t>
        </is>
      </c>
      <c r="AJ10" s="25" t="n">
        <v>1</v>
      </c>
      <c r="AK10" s="25" t="n">
        <v>654</v>
      </c>
      <c r="AL10" s="26" t="n">
        <v>46038.64982638889</v>
      </c>
      <c r="AM10" s="26" t="n">
        <v>46038.64982638889</v>
      </c>
      <c r="AN10" s="25" t="inlineStr">
        <is>
          <t>WHATSAPP</t>
        </is>
      </c>
      <c r="AO10" s="28" t="inlineStr">
        <is>
          <t>AGUIDA - MG</t>
        </is>
      </c>
      <c r="AP10" s="27">
        <f>IF(AH10="","",IF(AH10=0,"PROSPECT",IF(AH10=1,"NOVO",IF(AH10&lt;=3,"EM DESENVOLVIMENTO",IF(AH10&lt;=6,"RECORRENTE","FIDELIZADO")))))</f>
        <v/>
      </c>
      <c r="AQ10" s="27">
        <f>IF(AJ10=0,0,IFERROR(SUM(U10:AF10)/AJ10,0))</f>
        <v/>
      </c>
      <c r="AR10" s="15" t="inlineStr">
        <is>
          <t>TIPO/MÉDIA (AP-AQ) ⚠️ DDD(11)=SP≠MG</t>
        </is>
      </c>
      <c r="AS10" s="15" t="inlineStr">
        <is>
          <t>Carteira FEV/26</t>
        </is>
      </c>
    </row>
    <row r="11" ht="14.25" customHeight="1" s="16">
      <c r="A11" s="25" t="inlineStr">
        <is>
          <t>60.088.708 JOSE CARLOS MARCELINO SOARES</t>
        </is>
      </c>
      <c r="B11" s="25" t="inlineStr">
        <is>
          <t>60088708000178</t>
        </is>
      </c>
      <c r="C11" s="25" t="inlineStr">
        <is>
          <t>60.088.708 JOSE CARLOS MARCELINO SOARES</t>
        </is>
      </c>
      <c r="D11" s="25" t="inlineStr">
        <is>
          <t>SC</t>
        </is>
      </c>
      <c r="E11" s="25" t="inlineStr">
        <is>
          <t>CAPIVARI DE BAIXO</t>
        </is>
      </c>
      <c r="F11" s="25" t="inlineStr">
        <is>
          <t>dinaturalecapivari@gmail.com</t>
        </is>
      </c>
      <c r="G11" s="25" t="inlineStr">
        <is>
          <t>+55 (47) 99715-5440</t>
        </is>
      </c>
      <c r="H11" s="25" t="inlineStr">
        <is>
          <t>15/04/2025</t>
        </is>
      </c>
      <c r="I11" s="25" t="n"/>
      <c r="J11" s="25" t="inlineStr">
        <is>
          <t>DAIANE STAVICKI</t>
        </is>
      </c>
      <c r="K11" s="25" t="inlineStr">
        <is>
          <t>Central - Daiane</t>
        </is>
      </c>
      <c r="L11" s="25" t="n">
        <v>66</v>
      </c>
      <c r="M11" s="25" t="inlineStr">
        <is>
          <t>11/12/2025</t>
        </is>
      </c>
      <c r="N11" s="25" t="n">
        <v>1140.63</v>
      </c>
      <c r="O11" s="25" t="n">
        <v>4</v>
      </c>
      <c r="P11" s="25" t="inlineStr">
        <is>
          <t>Sim</t>
        </is>
      </c>
      <c r="Q11" s="25" t="n">
        <v>55</v>
      </c>
      <c r="R11" s="25" t="n">
        <v>19</v>
      </c>
      <c r="S11" s="25" t="n">
        <v>1140.63</v>
      </c>
      <c r="T11" s="25" t="inlineStr">
        <is>
          <t>COMPRA B2B</t>
        </is>
      </c>
      <c r="U11" s="25" t="n">
        <v>0</v>
      </c>
      <c r="V11" s="25" t="n">
        <v>0</v>
      </c>
      <c r="W11" s="25" t="n">
        <v>0</v>
      </c>
      <c r="X11" s="25" t="n">
        <v>0</v>
      </c>
      <c r="Y11" s="25" t="n">
        <v>0</v>
      </c>
      <c r="Z11" s="25" t="n">
        <v>0</v>
      </c>
      <c r="AA11" s="25" t="n">
        <v>0</v>
      </c>
      <c r="AB11" s="25" t="n">
        <v>0</v>
      </c>
      <c r="AC11" s="25" t="n">
        <v>0</v>
      </c>
      <c r="AD11" s="25" t="n">
        <v>1140.63</v>
      </c>
      <c r="AE11" s="25" t="n">
        <v>0</v>
      </c>
      <c r="AF11" s="25" t="n">
        <v>0</v>
      </c>
      <c r="AG11" s="25" t="n">
        <v>0</v>
      </c>
      <c r="AH11" s="25" t="n">
        <v>1</v>
      </c>
      <c r="AI11" s="25" t="inlineStr">
        <is>
          <t>B</t>
        </is>
      </c>
      <c r="AJ11" s="25" t="n">
        <v>1</v>
      </c>
      <c r="AK11" s="25" t="n">
        <v>1140.63</v>
      </c>
      <c r="AL11" s="25" t="n"/>
      <c r="AM11" s="25" t="n"/>
      <c r="AN11" s="25" t="n"/>
      <c r="AO11" s="25" t="n"/>
      <c r="AP11" s="27">
        <f>IF(AH11="","",IF(AH11=0,"PROSPECT",IF(AH11=1,"NOVO",IF(AH11&lt;=3,"EM DESENVOLVIMENTO",IF(AH11&lt;=6,"RECORRENTE","FIDELIZADO")))))</f>
        <v/>
      </c>
      <c r="AQ11" s="27">
        <f>IF(AJ11=0,0,IFERROR(SUM(U11:AF11)/AJ11,0))</f>
        <v/>
      </c>
      <c r="AS11" s="0" t="inlineStr">
        <is>
          <t>Carteira FEV/26</t>
        </is>
      </c>
    </row>
    <row r="12" ht="14.25" customHeight="1" s="16">
      <c r="A12" s="25" t="inlineStr">
        <is>
          <t>63.835.315 ADASSYA NOBERTO FERREIRA</t>
        </is>
      </c>
      <c r="B12" s="25" t="inlineStr">
        <is>
          <t>63835315000179</t>
        </is>
      </c>
      <c r="C12" s="25" t="inlineStr">
        <is>
          <t>63.835.315 ADASSYA NOBERTO FERREIRA</t>
        </is>
      </c>
      <c r="D12" s="25" t="inlineStr">
        <is>
          <t>PE</t>
        </is>
      </c>
      <c r="E12" s="25" t="inlineStr">
        <is>
          <t>OLINDA</t>
        </is>
      </c>
      <c r="F12" s="25" t="inlineStr">
        <is>
          <t>ferreira_noberto@hotmail.com</t>
        </is>
      </c>
      <c r="G12" s="25" t="inlineStr">
        <is>
          <t>+55 (81) 8468-2343</t>
        </is>
      </c>
      <c r="H12" s="25" t="inlineStr">
        <is>
          <t>17/12/2025</t>
        </is>
      </c>
      <c r="I12" s="25" t="n"/>
      <c r="J12" s="25" t="inlineStr">
        <is>
          <t>LARISSA PADILHA</t>
        </is>
      </c>
      <c r="K12" s="25" t="inlineStr">
        <is>
          <t>Larissa Padilha</t>
        </is>
      </c>
      <c r="L12" s="25" t="n">
        <v>59</v>
      </c>
      <c r="M12" s="25" t="inlineStr">
        <is>
          <t>18/12/2025</t>
        </is>
      </c>
      <c r="N12" s="25" t="n">
        <v>852.03</v>
      </c>
      <c r="O12" s="25" t="n">
        <v>8</v>
      </c>
      <c r="P12" s="25" t="inlineStr">
        <is>
          <t>Sim</t>
        </is>
      </c>
      <c r="Q12" s="25" t="n">
        <v>44</v>
      </c>
      <c r="R12" s="25" t="n">
        <v>10</v>
      </c>
      <c r="S12" s="25" t="n">
        <v>852.03</v>
      </c>
      <c r="T12" s="25" t="inlineStr">
        <is>
          <t>COMPRA B2B</t>
        </is>
      </c>
      <c r="U12" s="25" t="n">
        <v>0</v>
      </c>
      <c r="V12" s="25" t="n">
        <v>0</v>
      </c>
      <c r="W12" s="25" t="n">
        <v>0</v>
      </c>
      <c r="X12" s="25" t="n">
        <v>0</v>
      </c>
      <c r="Y12" s="25" t="n">
        <v>0</v>
      </c>
      <c r="Z12" s="25" t="n">
        <v>0</v>
      </c>
      <c r="AA12" s="25" t="n">
        <v>0</v>
      </c>
      <c r="AB12" s="25" t="n">
        <v>0</v>
      </c>
      <c r="AC12" s="25" t="n">
        <v>0</v>
      </c>
      <c r="AD12" s="25" t="n">
        <v>852.03</v>
      </c>
      <c r="AE12" s="25" t="n">
        <v>0</v>
      </c>
      <c r="AF12" s="25" t="n">
        <v>0</v>
      </c>
      <c r="AG12" s="25" t="n">
        <v>0</v>
      </c>
      <c r="AH12" s="25" t="n">
        <v>1</v>
      </c>
      <c r="AI12" s="25" t="n"/>
      <c r="AJ12" s="25" t="n">
        <v>1</v>
      </c>
      <c r="AK12" s="25" t="n">
        <v>852.03</v>
      </c>
      <c r="AL12" s="26" t="n">
        <v>46057.46875</v>
      </c>
      <c r="AM12" s="26" t="n">
        <v>46057.46875</v>
      </c>
      <c r="AN12" s="25" t="inlineStr">
        <is>
          <t>WHATSAPP</t>
        </is>
      </c>
      <c r="AO12" s="25" t="inlineStr">
        <is>
          <t>PÓS-VENDA</t>
        </is>
      </c>
      <c r="AP12" s="27">
        <f>IF(AH12="","",IF(AH12=0,"PROSPECT",IF(AH12=1,"NOVO",IF(AH12&lt;=3,"EM DESENVOLVIMENTO",IF(AH12&lt;=6,"RECORRENTE","FIDELIZADO")))))</f>
        <v/>
      </c>
      <c r="AQ12" s="27">
        <f>IF(AJ12=0,0,IFERROR(SUM(U12:AF12)/AJ12,0))</f>
        <v/>
      </c>
      <c r="AS12" s="0" t="inlineStr">
        <is>
          <t>Carteira FEV/26 + Atend FEV/26</t>
        </is>
      </c>
    </row>
    <row r="13" ht="14.25" customHeight="1" s="16">
      <c r="A13" s="25" t="inlineStr">
        <is>
          <t>A CEREALISSIMA</t>
        </is>
      </c>
      <c r="B13" s="25" t="inlineStr">
        <is>
          <t>15265760000106</t>
        </is>
      </c>
      <c r="C13" s="25" t="inlineStr">
        <is>
          <t>A CEREALISSIMA COMERCIO DE PRODUTOS NATURAIS LTDA</t>
        </is>
      </c>
      <c r="D13" s="25" t="inlineStr">
        <is>
          <t>GO</t>
        </is>
      </c>
      <c r="E13" s="25" t="inlineStr">
        <is>
          <t>GOIANIA</t>
        </is>
      </c>
      <c r="F13" s="25" t="inlineStr">
        <is>
          <t>cerealissima@gmail.com</t>
        </is>
      </c>
      <c r="G13" s="25" t="inlineStr">
        <is>
          <t>+55 (62) 3251-4001</t>
        </is>
      </c>
      <c r="H13" s="25" t="inlineStr">
        <is>
          <t>08/10/2024</t>
        </is>
      </c>
      <c r="I13" s="25" t="n"/>
      <c r="J13" s="25" t="inlineStr">
        <is>
          <t>LARISSA PADILHA</t>
        </is>
      </c>
      <c r="K13" s="25" t="inlineStr">
        <is>
          <t>Larissa Padilha</t>
        </is>
      </c>
      <c r="L13" s="25" t="n">
        <v>11</v>
      </c>
      <c r="M13" s="25" t="inlineStr">
        <is>
          <t>04/02/2026</t>
        </is>
      </c>
      <c r="N13" s="25" t="n">
        <v>1121.85</v>
      </c>
      <c r="O13" s="25" t="n"/>
      <c r="P13" s="25" t="n"/>
      <c r="Q13" s="25" t="n"/>
      <c r="R13" s="25" t="n"/>
      <c r="S13" s="25" t="n"/>
      <c r="T13" s="25" t="n"/>
      <c r="U13" s="25" t="n">
        <v>0</v>
      </c>
      <c r="V13" s="25" t="n">
        <v>0</v>
      </c>
      <c r="W13" s="25" t="n">
        <v>0</v>
      </c>
      <c r="X13" s="25" t="n">
        <v>3054.38</v>
      </c>
      <c r="Y13" s="25" t="n">
        <v>3778.78</v>
      </c>
      <c r="Z13" s="25" t="n">
        <v>5097.2</v>
      </c>
      <c r="AA13" s="25" t="n">
        <v>5983.46</v>
      </c>
      <c r="AB13" s="25" t="n">
        <v>3773.16</v>
      </c>
      <c r="AC13" s="25" t="n">
        <v>3795.29</v>
      </c>
      <c r="AD13" s="25" t="n">
        <v>0</v>
      </c>
      <c r="AE13" s="25" t="n">
        <v>0</v>
      </c>
      <c r="AF13" s="25" t="n">
        <v>1121.85</v>
      </c>
      <c r="AG13" s="25" t="n">
        <v>33.2857</v>
      </c>
      <c r="AH13" s="25" t="n">
        <v>7</v>
      </c>
      <c r="AI13" s="25" t="inlineStr">
        <is>
          <t>B</t>
        </is>
      </c>
      <c r="AJ13" s="25" t="n">
        <v>7</v>
      </c>
      <c r="AK13" s="25" t="n">
        <v>3800.59</v>
      </c>
      <c r="AL13" s="26" t="n">
        <v>46050.37405092592</v>
      </c>
      <c r="AM13" s="26" t="n">
        <v>46050.37405092592</v>
      </c>
      <c r="AN13" s="25" t="inlineStr">
        <is>
          <t>WHATSAPP</t>
        </is>
      </c>
      <c r="AO13" s="25" t="inlineStr">
        <is>
          <t>A CEREALÍSSIMA - GO</t>
        </is>
      </c>
      <c r="AP13" s="27">
        <f>IF(AH13="","",IF(AH13=0,"PROSPECT",IF(AH13=1,"NOVO",IF(AH13&lt;=3,"EM DESENVOLVIMENTO",IF(AH13&lt;=6,"RECORRENTE","FIDELIZADO")))))</f>
        <v/>
      </c>
      <c r="AQ13" s="27">
        <f>IF(AJ13=0,0,IFERROR(SUM(U13:AF13)/AJ13,0))</f>
        <v/>
      </c>
      <c r="AS13" s="0" t="inlineStr">
        <is>
          <t>Carteira FEV/26 + Vendas FEV/26 + ABC FEV/26</t>
        </is>
      </c>
    </row>
    <row r="14" ht="14.25" customHeight="1" s="16">
      <c r="A14" s="25" t="inlineStr">
        <is>
          <t>ABTM LTDA</t>
        </is>
      </c>
      <c r="B14" s="25" t="inlineStr">
        <is>
          <t>45345641000116</t>
        </is>
      </c>
      <c r="C14" s="25" t="inlineStr">
        <is>
          <t>ABTM LTDA</t>
        </is>
      </c>
      <c r="D14" s="25" t="inlineStr">
        <is>
          <t>SC</t>
        </is>
      </c>
      <c r="E14" s="25" t="inlineStr">
        <is>
          <t>CACADOR</t>
        </is>
      </c>
      <c r="F14" s="25" t="inlineStr">
        <is>
          <t>COREFOODCF@OUTLOOK.COM</t>
        </is>
      </c>
      <c r="G14" s="25" t="inlineStr">
        <is>
          <t>+55 (49) 9904-4309</t>
        </is>
      </c>
      <c r="H14" s="25" t="inlineStr">
        <is>
          <t>03/04/2025</t>
        </is>
      </c>
      <c r="I14" s="25" t="n"/>
      <c r="J14" s="25" t="inlineStr">
        <is>
          <t>MANU DITZEL</t>
        </is>
      </c>
      <c r="K14" s="25" t="inlineStr">
        <is>
          <t>Manu Ditzel</t>
        </is>
      </c>
      <c r="L14" s="25" t="n">
        <v>23</v>
      </c>
      <c r="M14" s="25" t="inlineStr">
        <is>
          <t>23/01/2026</t>
        </is>
      </c>
      <c r="N14" s="25" t="n">
        <v>832.79</v>
      </c>
      <c r="O14" s="25" t="n">
        <v>1</v>
      </c>
      <c r="P14" s="25" t="inlineStr">
        <is>
          <t>Sim</t>
        </is>
      </c>
      <c r="Q14" s="25" t="n">
        <v>23</v>
      </c>
      <c r="R14" s="25" t="n">
        <v>5</v>
      </c>
      <c r="S14" s="25" t="n">
        <v>1492.98</v>
      </c>
      <c r="T14" s="25" t="inlineStr">
        <is>
          <t>COMPRA B2B</t>
        </is>
      </c>
      <c r="U14" s="25" t="n">
        <v>0</v>
      </c>
      <c r="V14" s="25" t="n">
        <v>660.1900000000001</v>
      </c>
      <c r="W14" s="25" t="n">
        <v>0</v>
      </c>
      <c r="X14" s="25" t="n">
        <v>0</v>
      </c>
      <c r="Y14" s="25" t="n">
        <v>803.98</v>
      </c>
      <c r="Z14" s="25" t="n">
        <v>0</v>
      </c>
      <c r="AA14" s="25" t="n">
        <v>0</v>
      </c>
      <c r="AB14" s="25" t="n">
        <v>679.05</v>
      </c>
      <c r="AC14" s="25" t="n">
        <v>0</v>
      </c>
      <c r="AD14" s="25" t="n">
        <v>0</v>
      </c>
      <c r="AE14" s="25" t="n">
        <v>832.79</v>
      </c>
      <c r="AF14" s="25" t="n">
        <v>0</v>
      </c>
      <c r="AG14" s="25" t="n">
        <v>96.66670000000001</v>
      </c>
      <c r="AH14" s="25" t="n">
        <v>4</v>
      </c>
      <c r="AI14" s="25" t="inlineStr">
        <is>
          <t>B</t>
        </is>
      </c>
      <c r="AJ14" s="25" t="n">
        <v>4</v>
      </c>
      <c r="AK14" s="25" t="n">
        <v>744</v>
      </c>
      <c r="AL14" s="26" t="n">
        <v>46056.72638888889</v>
      </c>
      <c r="AM14" s="26" t="n">
        <v>46056.72638888889</v>
      </c>
      <c r="AN14" s="25" t="inlineStr">
        <is>
          <t>WHATSAPP</t>
        </is>
      </c>
      <c r="AO14" s="25" t="inlineStr">
        <is>
          <t>ENTREGUE | MANDEI MENSAGEM PARA VER SE CHEGOU TUDO</t>
        </is>
      </c>
      <c r="AP14" s="27">
        <f>IF(AH14="","",IF(AH14=0,"PROSPECT",IF(AH14=1,"NOVO",IF(AH14&lt;=3,"EM DESENVOLVIMENTO",IF(AH14&lt;=6,"RECORRENTE","FIDELIZADO")))))</f>
        <v/>
      </c>
      <c r="AQ14" s="27">
        <f>IF(AJ14=0,0,IFERROR(SUM(U14:AF14)/AJ14,0))</f>
        <v/>
      </c>
      <c r="AS14" s="0" t="inlineStr">
        <is>
          <t>Carteira FEV/26 + Atend FEV/26</t>
        </is>
      </c>
    </row>
    <row r="15" ht="14.25" customHeight="1" s="16">
      <c r="A15" s="25" t="inlineStr">
        <is>
          <t>AGRANOLLA</t>
        </is>
      </c>
      <c r="B15" s="25" t="inlineStr">
        <is>
          <t>55699460000141</t>
        </is>
      </c>
      <c r="C15" s="25" t="inlineStr">
        <is>
          <t>AGRANOLLA GRAOS DE SAUDE LTDA</t>
        </is>
      </c>
      <c r="D15" s="25" t="inlineStr">
        <is>
          <t>MG</t>
        </is>
      </c>
      <c r="E15" s="25" t="inlineStr">
        <is>
          <t>BELO HORIZONTE</t>
        </is>
      </c>
      <c r="F15" s="25" t="inlineStr">
        <is>
          <t>agranollagraosdesaude@gmail.com</t>
        </is>
      </c>
      <c r="G15" s="25" t="inlineStr">
        <is>
          <t>+55 (31) 9619-3930</t>
        </is>
      </c>
      <c r="H15" s="25" t="inlineStr">
        <is>
          <t>30/10/2025</t>
        </is>
      </c>
      <c r="I15" s="25" t="n"/>
      <c r="J15" s="25" t="inlineStr">
        <is>
          <t>LARISSA PADILHA</t>
        </is>
      </c>
      <c r="K15" s="25" t="inlineStr">
        <is>
          <t>Larissa Padilha</t>
        </is>
      </c>
      <c r="L15" s="25" t="n">
        <v>38</v>
      </c>
      <c r="M15" s="25" t="inlineStr">
        <is>
          <t>08/01/2026</t>
        </is>
      </c>
      <c r="N15" s="25" t="n">
        <v>4528.38</v>
      </c>
      <c r="O15" s="25" t="n">
        <v>4</v>
      </c>
      <c r="P15" s="25" t="inlineStr">
        <is>
          <t>Sim</t>
        </is>
      </c>
      <c r="Q15" s="25" t="n">
        <v>23</v>
      </c>
      <c r="R15" s="25" t="n">
        <v>1</v>
      </c>
      <c r="S15" s="25" t="n"/>
      <c r="T15" s="25" t="n"/>
      <c r="U15" s="25" t="n">
        <v>0</v>
      </c>
      <c r="V15" s="25" t="n">
        <v>0</v>
      </c>
      <c r="W15" s="25" t="n">
        <v>0</v>
      </c>
      <c r="X15" s="25" t="n">
        <v>0</v>
      </c>
      <c r="Y15" s="25" t="n">
        <v>0</v>
      </c>
      <c r="Z15" s="25" t="n">
        <v>0</v>
      </c>
      <c r="AA15" s="25" t="n">
        <v>0</v>
      </c>
      <c r="AB15" s="25" t="n">
        <v>0</v>
      </c>
      <c r="AC15" s="25" t="n">
        <v>2012.37</v>
      </c>
      <c r="AD15" s="25" t="n">
        <v>5359.73</v>
      </c>
      <c r="AE15" s="25" t="n">
        <v>4528.38</v>
      </c>
      <c r="AF15" s="25" t="n">
        <v>0</v>
      </c>
      <c r="AG15" s="25" t="n">
        <v>11</v>
      </c>
      <c r="AH15" s="25" t="n">
        <v>3</v>
      </c>
      <c r="AI15" s="25" t="inlineStr">
        <is>
          <t>A</t>
        </is>
      </c>
      <c r="AJ15" s="25" t="n">
        <v>3</v>
      </c>
      <c r="AK15" s="25" t="n">
        <v>3966.83</v>
      </c>
      <c r="AL15" s="26" t="n">
        <v>46059.33958333333</v>
      </c>
      <c r="AM15" s="26" t="n">
        <v>46059.33958333333</v>
      </c>
      <c r="AN15" s="25" t="inlineStr">
        <is>
          <t>WHATSAPP</t>
        </is>
      </c>
      <c r="AO15" s="28" t="inlineStr">
        <is>
          <t>SUPORTE | Cliente recebeu 48 un do choco branco ao invés de metade branco e metade ao leite Vai ficar com a mercadoria mas no pedido de reposição vamos aplicar</t>
        </is>
      </c>
      <c r="AP15" s="27">
        <f>IF(AH15="","",IF(AH15=0,"PROSPECT",IF(AH15=1,"NOVO",IF(AH15&lt;=3,"EM DESENVOLVIMENTO",IF(AH15&lt;=6,"RECORRENTE","FIDELIZADO")))))</f>
        <v/>
      </c>
      <c r="AQ15" s="27">
        <f>IF(AJ15=0,0,IFERROR(SUM(U15:AF15)/AJ15,0))</f>
        <v/>
      </c>
      <c r="AS15" s="0" t="inlineStr">
        <is>
          <t>Carteira FEV/26 + Atend FEV/26</t>
        </is>
      </c>
    </row>
    <row r="16" ht="14.25" customHeight="1" s="16">
      <c r="A16" s="25" t="inlineStr">
        <is>
          <t>ALICE NO PAIS DOS GRAOS COMERCIO DE ALIMENTOS</t>
        </is>
      </c>
      <c r="B16" s="25" t="inlineStr">
        <is>
          <t>41626544000140</t>
        </is>
      </c>
      <c r="C16" s="25" t="inlineStr">
        <is>
          <t>ALICE NO PAIS DOS GRAOS COMERCIO DE ALIMENTOS LTDA</t>
        </is>
      </c>
      <c r="D16" s="25" t="inlineStr">
        <is>
          <t>RS</t>
        </is>
      </c>
      <c r="E16" s="25" t="inlineStr">
        <is>
          <t>PORTO ALEGRE</t>
        </is>
      </c>
      <c r="F16" s="25" t="inlineStr">
        <is>
          <t>portoalegre@tudoemgraos.com.br</t>
        </is>
      </c>
      <c r="G16" s="25" t="inlineStr">
        <is>
          <t>+55 (54) 9119-6392 | +55 (54) 9979-9536</t>
        </is>
      </c>
      <c r="H16" s="25" t="inlineStr">
        <is>
          <t>08/10/2024</t>
        </is>
      </c>
      <c r="I16" s="25" t="inlineStr">
        <is>
          <t>[Rede] Tudo em Grãos</t>
        </is>
      </c>
      <c r="J16" s="25" t="inlineStr">
        <is>
          <t>DAIANE STAVICKI</t>
        </is>
      </c>
      <c r="K16" s="25" t="inlineStr">
        <is>
          <t>Central - Daiane</t>
        </is>
      </c>
      <c r="L16" s="25" t="n">
        <v>13</v>
      </c>
      <c r="M16" s="25" t="inlineStr">
        <is>
          <t>02/02/2026</t>
        </is>
      </c>
      <c r="N16" s="25" t="n">
        <v>1491.36</v>
      </c>
      <c r="O16" s="25" t="n"/>
      <c r="P16" s="25" t="inlineStr">
        <is>
          <t>Sim</t>
        </is>
      </c>
      <c r="Q16" s="25" t="n">
        <v>4</v>
      </c>
      <c r="R16" s="25" t="n">
        <v>1</v>
      </c>
      <c r="S16" s="25" t="n">
        <v>1093.04</v>
      </c>
      <c r="T16" s="25" t="inlineStr">
        <is>
          <t>COMPRA B2B</t>
        </is>
      </c>
      <c r="U16" s="25" t="n">
        <v>0</v>
      </c>
      <c r="V16" s="25" t="n">
        <v>0</v>
      </c>
      <c r="W16" s="25" t="n">
        <v>0</v>
      </c>
      <c r="X16" s="25" t="n">
        <v>0</v>
      </c>
      <c r="Y16" s="25" t="n">
        <v>0</v>
      </c>
      <c r="Z16" s="25" t="n">
        <v>2797.4</v>
      </c>
      <c r="AA16" s="25" t="n">
        <v>2088.7</v>
      </c>
      <c r="AB16" s="25" t="n">
        <v>1740.66</v>
      </c>
      <c r="AC16" s="25" t="n">
        <v>0</v>
      </c>
      <c r="AD16" s="25" t="n">
        <v>1093.04</v>
      </c>
      <c r="AE16" s="25" t="n">
        <v>0</v>
      </c>
      <c r="AF16" s="25" t="n">
        <v>1491.36</v>
      </c>
      <c r="AG16" s="25" t="n">
        <v>36</v>
      </c>
      <c r="AH16" s="25" t="n">
        <v>6</v>
      </c>
      <c r="AI16" s="25" t="inlineStr">
        <is>
          <t>A</t>
        </is>
      </c>
      <c r="AJ16" s="25" t="n">
        <v>5</v>
      </c>
      <c r="AK16" s="25" t="n">
        <v>1535.19</v>
      </c>
      <c r="AL16" s="26" t="n">
        <v>46036.37247685185</v>
      </c>
      <c r="AM16" s="26" t="n">
        <v>46036.37247685185</v>
      </c>
      <c r="AN16" s="25" t="inlineStr">
        <is>
          <t>WHATSAPP</t>
        </is>
      </c>
      <c r="AO16" s="25" t="inlineStr">
        <is>
          <t>Lucas Borella</t>
        </is>
      </c>
      <c r="AP16" s="27">
        <f>IF(AH16="","",IF(AH16=0,"PROSPECT",IF(AH16=1,"NOVO",IF(AH16&lt;=3,"EM DESENVOLVIMENTO",IF(AH16&lt;=6,"RECORRENTE","FIDELIZADO")))))</f>
        <v/>
      </c>
      <c r="AQ16" s="27">
        <f>IF(AJ16=0,0,IFERROR(SUM(U16:AF16)/AJ16,0))</f>
        <v/>
      </c>
      <c r="AS16" s="0" t="inlineStr">
        <is>
          <t>Carteira FEV/26 + Vendas FEV/26 + ABC FEV/26</t>
        </is>
      </c>
    </row>
    <row r="17" ht="14.25" customHeight="1" s="16">
      <c r="A17" s="25" t="inlineStr">
        <is>
          <t>AMME NATURA</t>
        </is>
      </c>
      <c r="B17" s="25" t="inlineStr">
        <is>
          <t>60023278000106</t>
        </is>
      </c>
      <c r="C17" s="25" t="inlineStr">
        <is>
          <t>AMME NATURA LTDA</t>
        </is>
      </c>
      <c r="D17" s="25" t="inlineStr">
        <is>
          <t>SC</t>
        </is>
      </c>
      <c r="E17" s="25" t="inlineStr">
        <is>
          <t>ITAPEMA</t>
        </is>
      </c>
      <c r="F17" s="25" t="inlineStr">
        <is>
          <t>Marviana.frigeri@gmail.com</t>
        </is>
      </c>
      <c r="G17" s="25" t="inlineStr">
        <is>
          <t>+55 (47) 98432-6298</t>
        </is>
      </c>
      <c r="H17" s="25" t="inlineStr">
        <is>
          <t>20/06/2025</t>
        </is>
      </c>
      <c r="I17" s="25" t="inlineStr">
        <is>
          <t>[Rede] Fit Land</t>
        </is>
      </c>
      <c r="J17" s="25" t="inlineStr">
        <is>
          <t>JULIO GADRET</t>
        </is>
      </c>
      <c r="K17" s="25" t="inlineStr">
        <is>
          <t>Julio  Gadret</t>
        </is>
      </c>
      <c r="L17" s="25" t="n">
        <v>65</v>
      </c>
      <c r="M17" s="25" t="inlineStr">
        <is>
          <t>12/12/2025</t>
        </is>
      </c>
      <c r="N17" s="25" t="n">
        <v>1919.52</v>
      </c>
      <c r="O17" s="25" t="n"/>
      <c r="P17" s="25" t="n"/>
      <c r="Q17" s="25" t="n"/>
      <c r="R17" s="25" t="n"/>
      <c r="S17" s="25" t="n"/>
      <c r="T17" s="25" t="n"/>
      <c r="U17" s="25" t="n">
        <v>0</v>
      </c>
      <c r="V17" s="25" t="n">
        <v>0</v>
      </c>
      <c r="W17" s="25" t="n">
        <v>0</v>
      </c>
      <c r="X17" s="25" t="n">
        <v>0</v>
      </c>
      <c r="Y17" s="25" t="n">
        <v>1137.84</v>
      </c>
      <c r="Z17" s="25" t="n">
        <v>0</v>
      </c>
      <c r="AA17" s="25" t="n">
        <v>0</v>
      </c>
      <c r="AB17" s="25" t="n">
        <v>2491.65</v>
      </c>
      <c r="AC17" s="25" t="n">
        <v>0</v>
      </c>
      <c r="AD17" s="25" t="n">
        <v>1919.52</v>
      </c>
      <c r="AE17" s="25" t="n">
        <v>0</v>
      </c>
      <c r="AF17" s="25" t="n">
        <v>0</v>
      </c>
      <c r="AG17" s="25" t="n">
        <v>70.5</v>
      </c>
      <c r="AH17" s="25" t="n">
        <v>3</v>
      </c>
      <c r="AI17" s="25" t="inlineStr">
        <is>
          <t>A</t>
        </is>
      </c>
      <c r="AJ17" s="25" t="n">
        <v>3</v>
      </c>
      <c r="AK17" s="25" t="n">
        <v>1849.67</v>
      </c>
      <c r="AL17" s="25" t="n"/>
      <c r="AM17" s="25" t="n"/>
      <c r="AN17" s="25" t="n"/>
      <c r="AO17" s="25" t="n"/>
      <c r="AP17" s="27">
        <f>IF(AH17="","",IF(AH17=0,"PROSPECT",IF(AH17=1,"NOVO",IF(AH17&lt;=3,"EM DESENVOLVIMENTO",IF(AH17&lt;=6,"RECORRENTE","FIDELIZADO")))))</f>
        <v/>
      </c>
      <c r="AQ17" s="27">
        <f>IF(AJ17=0,0,IFERROR(SUM(U17:AF17)/AJ17,0))</f>
        <v/>
      </c>
      <c r="AS17" s="0" t="inlineStr">
        <is>
          <t>Carteira FEV/26</t>
        </is>
      </c>
    </row>
    <row r="18" ht="14.25" customHeight="1" s="16">
      <c r="A18" s="25" t="inlineStr">
        <is>
          <t>ARMAZEM DA 18</t>
        </is>
      </c>
      <c r="B18" s="25" t="inlineStr">
        <is>
          <t>21691717000105</t>
        </is>
      </c>
      <c r="C18" s="25" t="inlineStr">
        <is>
          <t>ARMAZEM DA 18 COMERCIO DE ALIMENTOS LTDA</t>
        </is>
      </c>
      <c r="D18" s="25" t="inlineStr">
        <is>
          <t>RS</t>
        </is>
      </c>
      <c r="E18" s="25" t="inlineStr">
        <is>
          <t>CAXIAS DO SUL</t>
        </is>
      </c>
      <c r="F18" s="25" t="inlineStr">
        <is>
          <t>alyson@armazemda18.com.br</t>
        </is>
      </c>
      <c r="G18" s="25" t="inlineStr">
        <is>
          <t>+55 (54) 99691-0111</t>
        </is>
      </c>
      <c r="H18" s="25" t="inlineStr">
        <is>
          <t>17/06/2025</t>
        </is>
      </c>
      <c r="I18" s="25" t="n"/>
      <c r="J18" s="25" t="inlineStr">
        <is>
          <t>MANU DITZEL</t>
        </is>
      </c>
      <c r="K18" s="25" t="inlineStr">
        <is>
          <t>Manu Ditzel</t>
        </is>
      </c>
      <c r="L18" s="25" t="n">
        <v>12</v>
      </c>
      <c r="M18" s="25" t="inlineStr">
        <is>
          <t>03/02/2026</t>
        </is>
      </c>
      <c r="N18" s="25" t="n">
        <v>653.25</v>
      </c>
      <c r="O18" s="25" t="n">
        <v>1</v>
      </c>
      <c r="P18" s="25" t="inlineStr">
        <is>
          <t>Sim</t>
        </is>
      </c>
      <c r="Q18" s="25" t="n">
        <v>41</v>
      </c>
      <c r="R18" s="25" t="n">
        <v>7</v>
      </c>
      <c r="S18" s="25" t="n">
        <v>653.25</v>
      </c>
      <c r="T18" s="25" t="inlineStr">
        <is>
          <t>COMPRA B2B</t>
        </is>
      </c>
      <c r="U18" s="25" t="n">
        <v>0</v>
      </c>
      <c r="V18" s="25" t="n">
        <v>0</v>
      </c>
      <c r="W18" s="25" t="n">
        <v>0</v>
      </c>
      <c r="X18" s="25" t="n">
        <v>0</v>
      </c>
      <c r="Y18" s="25" t="n">
        <v>862.4299999999999</v>
      </c>
      <c r="Z18" s="25" t="n">
        <v>0</v>
      </c>
      <c r="AA18" s="25" t="n">
        <v>0</v>
      </c>
      <c r="AB18" s="25" t="n">
        <v>884.08</v>
      </c>
      <c r="AC18" s="25" t="n">
        <v>0</v>
      </c>
      <c r="AD18" s="25" t="n">
        <v>0</v>
      </c>
      <c r="AE18" s="25" t="n">
        <v>0</v>
      </c>
      <c r="AF18" s="25" t="n">
        <v>653.25</v>
      </c>
      <c r="AG18" s="25" t="n">
        <v>101</v>
      </c>
      <c r="AH18" s="25" t="n">
        <v>3</v>
      </c>
      <c r="AI18" s="25" t="inlineStr">
        <is>
          <t>C</t>
        </is>
      </c>
      <c r="AJ18" s="25" t="n">
        <v>3</v>
      </c>
      <c r="AK18" s="25" t="n">
        <v>799.92</v>
      </c>
      <c r="AL18" s="26" t="n">
        <v>46049.71958333333</v>
      </c>
      <c r="AM18" s="26" t="n">
        <v>46049.71958333333</v>
      </c>
      <c r="AN18" s="25" t="inlineStr">
        <is>
          <t>WHATSAPP</t>
        </is>
      </c>
      <c r="AO18" s="28" t="inlineStr">
        <is>
          <t>ARMAZEM DA 18</t>
        </is>
      </c>
      <c r="AP18" s="27">
        <f>IF(AH18="","",IF(AH18=0,"PROSPECT",IF(AH18=1,"NOVO",IF(AH18&lt;=3,"EM DESENVOLVIMENTO",IF(AH18&lt;=6,"RECORRENTE","FIDELIZADO")))))</f>
        <v/>
      </c>
      <c r="AQ18" s="27">
        <f>IF(AJ18=0,0,IFERROR(SUM(U18:AF18)/AJ18,0))</f>
        <v/>
      </c>
      <c r="AS18" s="0" t="inlineStr">
        <is>
          <t>Carteira FEV/26 + Ecom FEV/26 + Vendas FEV/26 + ABC FEV/26</t>
        </is>
      </c>
    </row>
    <row r="19" ht="14.25" customHeight="1" s="16">
      <c r="A19" s="25" t="inlineStr">
        <is>
          <t>ARROBA EMBALAGENS LTDA</t>
        </is>
      </c>
      <c r="B19" s="25" t="inlineStr">
        <is>
          <t>03411217000182</t>
        </is>
      </c>
      <c r="C19" s="25" t="inlineStr">
        <is>
          <t>ARROBA EMBALAGENS LTDA</t>
        </is>
      </c>
      <c r="D19" s="25" t="inlineStr">
        <is>
          <t>SP</t>
        </is>
      </c>
      <c r="E19" s="25" t="inlineStr">
        <is>
          <t>PIRACICABA</t>
        </is>
      </c>
      <c r="F19" s="25" t="inlineStr">
        <is>
          <t>arroba@arroba.com.br</t>
        </is>
      </c>
      <c r="G19" s="25" t="inlineStr">
        <is>
          <t>+55 (19) 99792-5463</t>
        </is>
      </c>
      <c r="H19" s="25" t="inlineStr">
        <is>
          <t>14/07/2025</t>
        </is>
      </c>
      <c r="I19" s="25" t="n"/>
      <c r="J19" s="25" t="inlineStr">
        <is>
          <t>LARISSA PADILHA</t>
        </is>
      </c>
      <c r="K19" s="25" t="inlineStr">
        <is>
          <t>Larissa Padilha</t>
        </is>
      </c>
      <c r="L19" s="25" t="n">
        <v>33</v>
      </c>
      <c r="M19" s="25" t="inlineStr">
        <is>
          <t>13/01/2026</t>
        </is>
      </c>
      <c r="N19" s="25" t="n">
        <v>1552.1</v>
      </c>
      <c r="O19" s="25" t="n"/>
      <c r="P19" s="25" t="n"/>
      <c r="Q19" s="25" t="n"/>
      <c r="R19" s="25" t="n"/>
      <c r="S19" s="25" t="n"/>
      <c r="T19" s="25" t="n"/>
      <c r="U19" s="25" t="n">
        <v>0</v>
      </c>
      <c r="V19" s="25" t="n">
        <v>0</v>
      </c>
      <c r="W19" s="25" t="n">
        <v>0</v>
      </c>
      <c r="X19" s="25" t="n">
        <v>0</v>
      </c>
      <c r="Y19" s="25" t="n">
        <v>959.79</v>
      </c>
      <c r="Z19" s="25" t="n">
        <v>0</v>
      </c>
      <c r="AA19" s="25" t="n">
        <v>0</v>
      </c>
      <c r="AB19" s="25" t="n">
        <v>949.5</v>
      </c>
      <c r="AC19" s="25" t="n">
        <v>0</v>
      </c>
      <c r="AD19" s="25" t="n">
        <v>0</v>
      </c>
      <c r="AE19" s="25" t="n">
        <v>1552.1</v>
      </c>
      <c r="AF19" s="25" t="n">
        <v>0</v>
      </c>
      <c r="AG19" s="25" t="n">
        <v>91.5</v>
      </c>
      <c r="AH19" s="25" t="n">
        <v>3</v>
      </c>
      <c r="AI19" s="25" t="inlineStr">
        <is>
          <t>B</t>
        </is>
      </c>
      <c r="AJ19" s="25" t="n">
        <v>3</v>
      </c>
      <c r="AK19" s="25" t="n">
        <v>1153.8</v>
      </c>
      <c r="AL19" s="26" t="n">
        <v>46035.66597222222</v>
      </c>
      <c r="AM19" s="26" t="n">
        <v>46035.66597222222</v>
      </c>
      <c r="AN19" s="25" t="inlineStr">
        <is>
          <t>WHATSAPP</t>
        </is>
      </c>
      <c r="AO19" s="25" t="inlineStr">
        <is>
          <t>SUPORTE | Descontos para coincidir com os valores no SH</t>
        </is>
      </c>
      <c r="AP19" s="27">
        <f>IF(AH19="","",IF(AH19=0,"PROSPECT",IF(AH19=1,"NOVO",IF(AH19&lt;=3,"EM DESENVOLVIMENTO",IF(AH19&lt;=6,"RECORRENTE","FIDELIZADO")))))</f>
        <v/>
      </c>
      <c r="AQ19" s="27">
        <f>IF(AJ19=0,0,IFERROR(SUM(U19:AF19)/AJ19,0))</f>
        <v/>
      </c>
      <c r="AS19" s="0" t="inlineStr">
        <is>
          <t>Carteira FEV/26</t>
        </is>
      </c>
    </row>
    <row r="20" ht="14.25" customHeight="1" s="16">
      <c r="A20" s="25" t="inlineStr">
        <is>
          <t>ASSOCIACAO DOS FENILCETONURICOS E HOMOCISTINURICOS DO PARANA - AFEH-PR</t>
        </is>
      </c>
      <c r="B20" s="25" t="inlineStr">
        <is>
          <t>72326119000160</t>
        </is>
      </c>
      <c r="C20" s="25" t="inlineStr">
        <is>
          <t>ASSOCIACAO DOS FENILCETONURICOS E HOMOCISTINURICOS DO PARANA - AFEH-PR</t>
        </is>
      </c>
      <c r="D20" s="25" t="inlineStr">
        <is>
          <t>PR</t>
        </is>
      </c>
      <c r="E20" s="25" t="inlineStr">
        <is>
          <t>CURITIBA</t>
        </is>
      </c>
      <c r="F20" s="25" t="inlineStr">
        <is>
          <t>afehparana@gmail.com</t>
        </is>
      </c>
      <c r="G20" s="25" t="inlineStr">
        <is>
          <t>+55 (41) 99171-4752</t>
        </is>
      </c>
      <c r="H20" s="25" t="inlineStr">
        <is>
          <t>16/05/2025</t>
        </is>
      </c>
      <c r="I20" s="25" t="n"/>
      <c r="J20" s="25" t="inlineStr">
        <is>
          <t>MANU DITZEL</t>
        </is>
      </c>
      <c r="K20" s="25" t="inlineStr">
        <is>
          <t>Manu Ditzel</t>
        </is>
      </c>
      <c r="L20" s="25" t="n">
        <v>40</v>
      </c>
      <c r="M20" s="25" t="inlineStr">
        <is>
          <t>06/01/2026</t>
        </is>
      </c>
      <c r="N20" s="25" t="n">
        <v>1405.05</v>
      </c>
      <c r="O20" s="25" t="n"/>
      <c r="P20" s="25" t="n"/>
      <c r="Q20" s="25" t="n"/>
      <c r="R20" s="25" t="n"/>
      <c r="S20" s="25" t="n"/>
      <c r="T20" s="25" t="n"/>
      <c r="U20" s="25" t="n">
        <v>0</v>
      </c>
      <c r="V20" s="25" t="n">
        <v>0</v>
      </c>
      <c r="W20" s="25" t="n">
        <v>1320</v>
      </c>
      <c r="X20" s="25" t="n">
        <v>0</v>
      </c>
      <c r="Y20" s="25" t="n">
        <v>0</v>
      </c>
      <c r="Z20" s="25" t="n">
        <v>0</v>
      </c>
      <c r="AA20" s="25" t="n">
        <v>1388.52</v>
      </c>
      <c r="AB20" s="25" t="n">
        <v>0</v>
      </c>
      <c r="AC20" s="25" t="n">
        <v>0</v>
      </c>
      <c r="AD20" s="25" t="n">
        <v>0</v>
      </c>
      <c r="AE20" s="25" t="n">
        <v>1405.05</v>
      </c>
      <c r="AF20" s="25" t="n">
        <v>0</v>
      </c>
      <c r="AG20" s="25" t="n">
        <v>117.5</v>
      </c>
      <c r="AH20" s="25" t="n">
        <v>3</v>
      </c>
      <c r="AI20" s="25" t="inlineStr">
        <is>
          <t>A</t>
        </is>
      </c>
      <c r="AJ20" s="25" t="n">
        <v>3</v>
      </c>
      <c r="AK20" s="25" t="n">
        <v>1371.19</v>
      </c>
      <c r="AL20" s="26" t="n">
        <v>46064.38958333333</v>
      </c>
      <c r="AM20" s="26" t="n">
        <v>46064.38958333333</v>
      </c>
      <c r="AN20" s="25" t="inlineStr">
        <is>
          <t>WHATSAPP</t>
        </is>
      </c>
      <c r="AO20" s="25" t="inlineStr">
        <is>
          <t>CLIENTE COMPRA SOMENTE SOBRE DEMANDA.</t>
        </is>
      </c>
      <c r="AP20" s="27">
        <f>IF(AH20="","",IF(AH20=0,"PROSPECT",IF(AH20=1,"NOVO",IF(AH20&lt;=3,"EM DESENVOLVIMENTO",IF(AH20&lt;=6,"RECORRENTE","FIDELIZADO")))))</f>
        <v/>
      </c>
      <c r="AQ20" s="27">
        <f>IF(AJ20=0,0,IFERROR(SUM(U20:AF20)/AJ20,0))</f>
        <v/>
      </c>
      <c r="AS20" s="0" t="inlineStr">
        <is>
          <t>Carteira FEV/26 + Atend FEV/26</t>
        </is>
      </c>
    </row>
    <row r="21" ht="14.25" customHeight="1" s="16">
      <c r="A21" s="25" t="inlineStr">
        <is>
          <t>BIDO GUITES VIDA SAUDAVEL LTDA</t>
        </is>
      </c>
      <c r="B21" s="25" t="inlineStr">
        <is>
          <t>58010332000137</t>
        </is>
      </c>
      <c r="C21" s="25" t="inlineStr">
        <is>
          <t>BIDO GUITES VIDA SAUDAVEL LTDA</t>
        </is>
      </c>
      <c r="D21" s="25" t="inlineStr">
        <is>
          <t>MT</t>
        </is>
      </c>
      <c r="E21" s="25" t="inlineStr">
        <is>
          <t>CANARANA</t>
        </is>
      </c>
      <c r="F21" s="25" t="inlineStr">
        <is>
          <t>simone.bido@hotmail.com</t>
        </is>
      </c>
      <c r="G21" s="25" t="inlineStr">
        <is>
          <t>+55 (66) 9618-0366</t>
        </is>
      </c>
      <c r="H21" s="25" t="inlineStr">
        <is>
          <t>14/10/2025</t>
        </is>
      </c>
      <c r="I21" s="25" t="inlineStr">
        <is>
          <t>[Rede] Vida Leve</t>
        </is>
      </c>
      <c r="J21" s="25" t="inlineStr">
        <is>
          <t>DAIANE STAVICKI</t>
        </is>
      </c>
      <c r="K21" s="25" t="inlineStr">
        <is>
          <t>Central - Daiane</t>
        </is>
      </c>
      <c r="L21" s="25" t="n">
        <v>12</v>
      </c>
      <c r="M21" s="25" t="inlineStr">
        <is>
          <t>03/02/2026</t>
        </is>
      </c>
      <c r="N21" s="25" t="n">
        <v>1511.33</v>
      </c>
      <c r="O21" s="25" t="n">
        <v>4</v>
      </c>
      <c r="P21" s="25" t="inlineStr">
        <is>
          <t>Sim</t>
        </is>
      </c>
      <c r="Q21" s="25" t="n">
        <v>50</v>
      </c>
      <c r="R21" s="25" t="n">
        <v>34</v>
      </c>
      <c r="S21" s="25" t="n">
        <v>1511.33</v>
      </c>
      <c r="T21" s="25" t="inlineStr">
        <is>
          <t>COMPRA B2B</t>
        </is>
      </c>
      <c r="U21" s="25" t="n">
        <v>0</v>
      </c>
      <c r="V21" s="25" t="n">
        <v>0</v>
      </c>
      <c r="W21" s="25" t="n">
        <v>0</v>
      </c>
      <c r="X21" s="25" t="n">
        <v>0</v>
      </c>
      <c r="Y21" s="25" t="n">
        <v>0</v>
      </c>
      <c r="Z21" s="25" t="n">
        <v>0</v>
      </c>
      <c r="AA21" s="25" t="n">
        <v>0</v>
      </c>
      <c r="AB21" s="25" t="n">
        <v>1511</v>
      </c>
      <c r="AC21" s="25" t="n">
        <v>0</v>
      </c>
      <c r="AD21" s="25" t="n">
        <v>0</v>
      </c>
      <c r="AE21" s="25" t="n">
        <v>0</v>
      </c>
      <c r="AF21" s="25" t="n">
        <v>1511.33</v>
      </c>
      <c r="AG21" s="25" t="n">
        <v>112</v>
      </c>
      <c r="AH21" s="25" t="n">
        <v>2</v>
      </c>
      <c r="AI21" s="25" t="inlineStr">
        <is>
          <t>A</t>
        </is>
      </c>
      <c r="AJ21" s="25" t="n">
        <v>2</v>
      </c>
      <c r="AK21" s="25" t="n">
        <v>1511.16</v>
      </c>
      <c r="AL21" s="26" t="n">
        <v>46063.42222222222</v>
      </c>
      <c r="AM21" s="26" t="n">
        <v>46063.42222222222</v>
      </c>
      <c r="AN21" s="25" t="inlineStr">
        <is>
          <t>WHATSAPP</t>
        </is>
      </c>
      <c r="AO21" s="25" t="inlineStr">
        <is>
          <t>RASTREIO, NÃO TINHA SAIDO AINDA, JÁ ESTA ATRASADO DOIS DIAS</t>
        </is>
      </c>
      <c r="AP21" s="27">
        <f>IF(AH21="","",IF(AH21=0,"PROSPECT",IF(AH21=1,"NOVO",IF(AH21&lt;=3,"EM DESENVOLVIMENTO",IF(AH21&lt;=6,"RECORRENTE","FIDELIZADO")))))</f>
        <v/>
      </c>
      <c r="AQ21" s="27">
        <f>IF(AJ21=0,0,IFERROR(SUM(U21:AF21)/AJ21,0))</f>
        <v/>
      </c>
      <c r="AS21" s="0" t="inlineStr">
        <is>
          <t>Carteira FEV/26 + Atend FEV/26 + Ecom FEV/26 + Vendas FEV/26 + ABC FEV/26</t>
        </is>
      </c>
    </row>
    <row r="22" ht="14.25" customHeight="1" s="16">
      <c r="A22" s="25" t="inlineStr">
        <is>
          <t>BIO MUNDO</t>
        </is>
      </c>
      <c r="B22" s="25" t="inlineStr">
        <is>
          <t>33950384000162</t>
        </is>
      </c>
      <c r="C22" s="25" t="inlineStr">
        <is>
          <t>SEVERO SILVA COMERCIO DE PRODUTOS NATURAIS LTDA</t>
        </is>
      </c>
      <c r="D22" s="25" t="inlineStr">
        <is>
          <t>PE</t>
        </is>
      </c>
      <c r="E22" s="25" t="inlineStr">
        <is>
          <t>RECIFE</t>
        </is>
      </c>
      <c r="F22" s="25" t="inlineStr">
        <is>
          <t>pe.boaviagem@biomundo.com.br</t>
        </is>
      </c>
      <c r="G22" s="25" t="inlineStr">
        <is>
          <t>+55 (81) 99682-2000</t>
        </is>
      </c>
      <c r="H22" s="25" t="inlineStr">
        <is>
          <t>08/10/2024</t>
        </is>
      </c>
      <c r="I22" s="25" t="inlineStr">
        <is>
          <t>[Rede] Bio Mundo</t>
        </is>
      </c>
      <c r="J22" s="25" t="inlineStr">
        <is>
          <t>DAIANE STAVICKI</t>
        </is>
      </c>
      <c r="K22" s="25" t="inlineStr">
        <is>
          <t>Central - Daiane</t>
        </is>
      </c>
      <c r="L22" s="25" t="n">
        <v>33</v>
      </c>
      <c r="M22" s="25" t="inlineStr">
        <is>
          <t>13/01/2026</t>
        </is>
      </c>
      <c r="N22" s="25" t="n">
        <v>764.8099999999999</v>
      </c>
      <c r="O22" s="25" t="n">
        <v>1</v>
      </c>
      <c r="P22" s="25" t="inlineStr">
        <is>
          <t>Sim</t>
        </is>
      </c>
      <c r="Q22" s="25" t="n">
        <v>15</v>
      </c>
      <c r="R22" s="25" t="n">
        <v>11</v>
      </c>
      <c r="S22" s="25" t="n">
        <v>764.8099999999999</v>
      </c>
      <c r="T22" s="25" t="inlineStr">
        <is>
          <t>COMPRA B2B</t>
        </is>
      </c>
      <c r="U22" s="25" t="n">
        <v>0</v>
      </c>
      <c r="V22" s="25" t="n">
        <v>3303.7</v>
      </c>
      <c r="W22" s="25" t="n">
        <v>657.21</v>
      </c>
      <c r="X22" s="25" t="n">
        <v>0</v>
      </c>
      <c r="Y22" s="25" t="n">
        <v>0</v>
      </c>
      <c r="Z22" s="25" t="n">
        <v>0</v>
      </c>
      <c r="AA22" s="25" t="n">
        <v>0</v>
      </c>
      <c r="AB22" s="25" t="n">
        <v>0</v>
      </c>
      <c r="AC22" s="25" t="n">
        <v>0</v>
      </c>
      <c r="AD22" s="25" t="n">
        <v>0</v>
      </c>
      <c r="AE22" s="25" t="n">
        <v>764.8099999999999</v>
      </c>
      <c r="AF22" s="25" t="n">
        <v>0</v>
      </c>
      <c r="AG22" s="25" t="n">
        <v>139</v>
      </c>
      <c r="AH22" s="25" t="n">
        <v>5</v>
      </c>
      <c r="AI22" s="25" t="inlineStr">
        <is>
          <t>B</t>
        </is>
      </c>
      <c r="AJ22" s="25" t="n">
        <v>3</v>
      </c>
      <c r="AK22" s="25" t="n">
        <v>945.14</v>
      </c>
      <c r="AL22" s="26" t="n">
        <v>46037.66125</v>
      </c>
      <c r="AM22" s="26" t="n">
        <v>46037.66125</v>
      </c>
      <c r="AN22" s="25" t="inlineStr">
        <is>
          <t>WHATSAPP</t>
        </is>
      </c>
      <c r="AO22" s="25" t="inlineStr">
        <is>
          <t>Debora - BIO MUNDO RECIFE</t>
        </is>
      </c>
      <c r="AP22" s="27">
        <f>IF(AH22="","",IF(AH22=0,"PROSPECT",IF(AH22=1,"NOVO",IF(AH22&lt;=3,"EM DESENVOLVIMENTO",IF(AH22&lt;=6,"RECORRENTE","FIDELIZADO")))))</f>
        <v/>
      </c>
      <c r="AQ22" s="27">
        <f>IF(AJ22=0,0,IFERROR(SUM(U22:AF22)/AJ22,0))</f>
        <v/>
      </c>
      <c r="AS22" s="0" t="inlineStr">
        <is>
          <t>Carteira FEV/26</t>
        </is>
      </c>
    </row>
    <row r="23" ht="14.25" customHeight="1" s="16">
      <c r="A23" s="25" t="inlineStr">
        <is>
          <t>BV ALIMENTOS LTDA</t>
        </is>
      </c>
      <c r="B23" s="25" t="inlineStr">
        <is>
          <t>60475933000167</t>
        </is>
      </c>
      <c r="C23" s="25" t="inlineStr">
        <is>
          <t>BV ALIMENTOS LTDA</t>
        </is>
      </c>
      <c r="D23" s="25" t="inlineStr">
        <is>
          <t>PE</t>
        </is>
      </c>
      <c r="E23" s="25" t="inlineStr">
        <is>
          <t>RECIFE</t>
        </is>
      </c>
      <c r="F23" s="25" t="inlineStr">
        <is>
          <t>fariasalimentos2014@gmail.com</t>
        </is>
      </c>
      <c r="G23" s="25" t="inlineStr">
        <is>
          <t>+55 (81) 99922-6106</t>
        </is>
      </c>
      <c r="H23" s="25" t="inlineStr">
        <is>
          <t>30/06/2025</t>
        </is>
      </c>
      <c r="I23" s="25" t="n"/>
      <c r="J23" s="25" t="inlineStr">
        <is>
          <t>LARISSA PADILHA</t>
        </is>
      </c>
      <c r="K23" s="25" t="inlineStr">
        <is>
          <t>Larissa Padilha</t>
        </is>
      </c>
      <c r="L23" s="25" t="n">
        <v>12</v>
      </c>
      <c r="M23" s="25" t="inlineStr">
        <is>
          <t>03/02/2026</t>
        </is>
      </c>
      <c r="N23" s="25" t="n">
        <v>2654.98</v>
      </c>
      <c r="O23" s="25" t="n">
        <v>2</v>
      </c>
      <c r="P23" s="25" t="inlineStr">
        <is>
          <t>Sim</t>
        </is>
      </c>
      <c r="Q23" s="25" t="n">
        <v>210</v>
      </c>
      <c r="R23" s="25" t="n">
        <v>50</v>
      </c>
      <c r="S23" s="25" t="n">
        <v>7196.86</v>
      </c>
      <c r="T23" s="25" t="inlineStr">
        <is>
          <t>COMPRA B2B</t>
        </is>
      </c>
      <c r="U23" s="25" t="n">
        <v>0</v>
      </c>
      <c r="V23" s="25" t="n">
        <v>0</v>
      </c>
      <c r="W23" s="25" t="n">
        <v>0</v>
      </c>
      <c r="X23" s="25" t="n">
        <v>0</v>
      </c>
      <c r="Y23" s="25" t="n">
        <v>0</v>
      </c>
      <c r="Z23" s="25" t="n">
        <v>2105.05</v>
      </c>
      <c r="AA23" s="25" t="n">
        <v>0</v>
      </c>
      <c r="AB23" s="25" t="n">
        <v>0</v>
      </c>
      <c r="AC23" s="25" t="n">
        <v>2436.83</v>
      </c>
      <c r="AD23" s="25" t="n">
        <v>0</v>
      </c>
      <c r="AE23" s="25" t="n">
        <v>0</v>
      </c>
      <c r="AF23" s="25" t="n">
        <v>2654.98</v>
      </c>
      <c r="AG23" s="25" t="n">
        <v>87</v>
      </c>
      <c r="AH23" s="25" t="n">
        <v>2</v>
      </c>
      <c r="AI23" s="25" t="inlineStr">
        <is>
          <t>A</t>
        </is>
      </c>
      <c r="AJ23" s="25" t="n">
        <v>3</v>
      </c>
      <c r="AK23" s="25" t="n">
        <v>3598.43</v>
      </c>
      <c r="AL23" s="26" t="n">
        <v>46056.77792824074</v>
      </c>
      <c r="AM23" s="26" t="n">
        <v>46056.77792824074</v>
      </c>
      <c r="AN23" s="25" t="inlineStr">
        <is>
          <t>WHATSAPP</t>
        </is>
      </c>
      <c r="AO23" s="25" t="inlineStr">
        <is>
          <t>BV ALIMENTOS - FABIANA - PE</t>
        </is>
      </c>
      <c r="AP23" s="27">
        <f>IF(AH23="","",IF(AH23=0,"PROSPECT",IF(AH23=1,"NOVO",IF(AH23&lt;=3,"EM DESENVOLVIMENTO",IF(AH23&lt;=6,"RECORRENTE","FIDELIZADO")))))</f>
        <v/>
      </c>
      <c r="AQ23" s="27">
        <f>IF(AJ23=0,0,IFERROR(SUM(U23:AF23)/AJ23,0))</f>
        <v/>
      </c>
      <c r="AS23" s="0" t="inlineStr">
        <is>
          <t>Carteira FEV/26 + Ecom FEV/26 + Vendas FEV/26 + ABC FEV/26</t>
        </is>
      </c>
    </row>
    <row r="24" ht="14.25" customHeight="1" s="16">
      <c r="A24" s="25" t="inlineStr">
        <is>
          <t>CAPITAL FITNESS - 2/3</t>
        </is>
      </c>
      <c r="B24" s="25" t="inlineStr">
        <is>
          <t>43922481000286</t>
        </is>
      </c>
      <c r="C24" s="25" t="inlineStr">
        <is>
          <t>P H V MOTA</t>
        </is>
      </c>
      <c r="D24" s="25" t="inlineStr">
        <is>
          <t>TO</t>
        </is>
      </c>
      <c r="E24" s="25" t="inlineStr">
        <is>
          <t>PALMAS</t>
        </is>
      </c>
      <c r="F24" s="25" t="inlineStr">
        <is>
          <t>capitalfitnessto@gmail.com</t>
        </is>
      </c>
      <c r="G24" s="25" t="inlineStr">
        <is>
          <t>+55 (63) 3322-2109</t>
        </is>
      </c>
      <c r="H24" s="25" t="inlineStr">
        <is>
          <t>08/10/2024</t>
        </is>
      </c>
      <c r="I24" s="25" t="n"/>
      <c r="J24" s="25" t="inlineStr">
        <is>
          <t>LARISSA PADILHA</t>
        </is>
      </c>
      <c r="K24" s="25" t="inlineStr">
        <is>
          <t>Larissa Padilha</t>
        </is>
      </c>
      <c r="L24" s="25" t="n">
        <v>27</v>
      </c>
      <c r="M24" s="25" t="inlineStr">
        <is>
          <t>19/01/2026</t>
        </is>
      </c>
      <c r="N24" s="25" t="n">
        <v>3110.35</v>
      </c>
      <c r="O24" s="25" t="n">
        <v>3</v>
      </c>
      <c r="P24" s="25" t="inlineStr">
        <is>
          <t>Sim</t>
        </is>
      </c>
      <c r="Q24" s="25" t="n">
        <v>217</v>
      </c>
      <c r="R24" s="25" t="n">
        <v>72</v>
      </c>
      <c r="S24" s="25" t="n">
        <v>10467.67</v>
      </c>
      <c r="T24" s="25" t="inlineStr">
        <is>
          <t>COMPRA B2B</t>
        </is>
      </c>
      <c r="U24" s="25" t="n">
        <v>3550.17</v>
      </c>
      <c r="V24" s="25" t="n">
        <v>0</v>
      </c>
      <c r="W24" s="25" t="n">
        <v>0</v>
      </c>
      <c r="X24" s="25" t="n">
        <v>1793.17</v>
      </c>
      <c r="Y24" s="25" t="n">
        <v>0</v>
      </c>
      <c r="Z24" s="25" t="n">
        <v>0</v>
      </c>
      <c r="AA24" s="25" t="n">
        <v>2013.98</v>
      </c>
      <c r="AB24" s="25" t="n">
        <v>0</v>
      </c>
      <c r="AC24" s="25" t="n">
        <v>0</v>
      </c>
      <c r="AD24" s="25" t="n">
        <v>0</v>
      </c>
      <c r="AE24" s="25" t="n">
        <v>3110.35</v>
      </c>
      <c r="AF24" s="25" t="n">
        <v>0</v>
      </c>
      <c r="AG24" s="25" t="n">
        <v>101.3333</v>
      </c>
      <c r="AH24" s="25" t="n">
        <v>4</v>
      </c>
      <c r="AI24" s="25" t="inlineStr">
        <is>
          <t>A</t>
        </is>
      </c>
      <c r="AJ24" s="25" t="n">
        <v>5</v>
      </c>
      <c r="AK24" s="25" t="n">
        <v>3504.46</v>
      </c>
      <c r="AL24" s="26" t="n">
        <v>46041.46180555555</v>
      </c>
      <c r="AM24" s="26" t="n">
        <v>46041.46180555555</v>
      </c>
      <c r="AN24" s="25" t="inlineStr">
        <is>
          <t>WHATSAPP</t>
        </is>
      </c>
      <c r="AO24" s="28" t="inlineStr">
        <is>
          <t>CADASTRO | Login: capitalfitnessto@gmail.com Senha: 196280</t>
        </is>
      </c>
      <c r="AP24" s="27">
        <f>IF(AH24="","",IF(AH24=0,"PROSPECT",IF(AH24=1,"NOVO",IF(AH24&lt;=3,"EM DESENVOLVIMENTO",IF(AH24&lt;=6,"RECORRENTE","FIDELIZADO")))))</f>
        <v/>
      </c>
      <c r="AQ24" s="27">
        <f>IF(AJ24=0,0,IFERROR(SUM(U24:AF24)/AJ24,0))</f>
        <v/>
      </c>
      <c r="AS24" s="0" t="inlineStr">
        <is>
          <t>Carteira FEV/26</t>
        </is>
      </c>
    </row>
    <row r="25" ht="14.25" customHeight="1" s="16">
      <c r="A25" s="25" t="inlineStr">
        <is>
          <t>CARD DISTRIBUIDORA</t>
        </is>
      </c>
      <c r="B25" s="25" t="inlineStr">
        <is>
          <t>27141630000132</t>
        </is>
      </c>
      <c r="C25" s="25" t="inlineStr">
        <is>
          <t>CARD NUTRICAO SPE LTDA</t>
        </is>
      </c>
      <c r="D25" s="25" t="inlineStr">
        <is>
          <t>SC</t>
        </is>
      </c>
      <c r="E25" s="25" t="inlineStr">
        <is>
          <t>TIJUCAS</t>
        </is>
      </c>
      <c r="F25" s="25" t="inlineStr">
        <is>
          <t>compras@redefitland.com,tabelafitland@gmail.com</t>
        </is>
      </c>
      <c r="G25" s="25" t="inlineStr">
        <is>
          <t>+55 (47) 9214-1901</t>
        </is>
      </c>
      <c r="H25" s="25" t="inlineStr">
        <is>
          <t>08/10/2024</t>
        </is>
      </c>
      <c r="I25" s="25" t="inlineStr">
        <is>
          <t>[Rede] Fit Land</t>
        </is>
      </c>
      <c r="J25" s="25" t="inlineStr">
        <is>
          <t>JULIO GADRET</t>
        </is>
      </c>
      <c r="K25" s="25" t="inlineStr">
        <is>
          <t>Julio  Gadret</t>
        </is>
      </c>
      <c r="L25" s="25" t="n">
        <v>10</v>
      </c>
      <c r="M25" s="25" t="inlineStr">
        <is>
          <t>05/02/2026</t>
        </is>
      </c>
      <c r="N25" s="25" t="n">
        <v>4023.38</v>
      </c>
      <c r="O25" s="25" t="n">
        <v>1</v>
      </c>
      <c r="P25" s="25" t="inlineStr">
        <is>
          <t>Sim</t>
        </is>
      </c>
      <c r="Q25" s="25" t="n">
        <v>1</v>
      </c>
      <c r="R25" s="25" t="n"/>
      <c r="S25" s="25" t="n"/>
      <c r="T25" s="25" t="n"/>
      <c r="U25" s="25" t="n">
        <v>0</v>
      </c>
      <c r="V25" s="25" t="n">
        <v>0</v>
      </c>
      <c r="W25" s="25" t="n">
        <v>0</v>
      </c>
      <c r="X25" s="25" t="n">
        <v>0</v>
      </c>
      <c r="Y25" s="25" t="n">
        <v>0</v>
      </c>
      <c r="Z25" s="25" t="n">
        <v>0</v>
      </c>
      <c r="AA25" s="25" t="n">
        <v>0</v>
      </c>
      <c r="AB25" s="25" t="n">
        <v>0</v>
      </c>
      <c r="AC25" s="25" t="n">
        <v>1105.08</v>
      </c>
      <c r="AD25" s="25" t="n">
        <v>0</v>
      </c>
      <c r="AE25" s="25" t="n">
        <v>663.9299999999999</v>
      </c>
      <c r="AF25" s="25" t="n">
        <v>4023.38</v>
      </c>
      <c r="AG25" s="25" t="n">
        <v>45.5</v>
      </c>
      <c r="AH25" s="25" t="n">
        <v>2</v>
      </c>
      <c r="AI25" s="25" t="inlineStr">
        <is>
          <t>A</t>
        </is>
      </c>
      <c r="AJ25" s="25" t="n">
        <v>3</v>
      </c>
      <c r="AK25" s="25" t="n">
        <v>2896.2</v>
      </c>
      <c r="AL25" s="26" t="n">
        <v>46059.4065162037</v>
      </c>
      <c r="AM25" s="26" t="n">
        <v>46059.4065162037</v>
      </c>
      <c r="AN25" s="25" t="inlineStr">
        <is>
          <t>WHATSAPP</t>
        </is>
      </c>
      <c r="AO25" s="28" t="inlineStr">
        <is>
          <t>Compras FITLAND Welton</t>
        </is>
      </c>
      <c r="AP25" s="27">
        <f>IF(AH25="","",IF(AH25=0,"PROSPECT",IF(AH25=1,"NOVO",IF(AH25&lt;=3,"EM DESENVOLVIMENTO",IF(AH25&lt;=6,"RECORRENTE","FIDELIZADO")))))</f>
        <v/>
      </c>
      <c r="AQ25" s="27">
        <f>IF(AJ25=0,0,IFERROR(SUM(U25:AF25)/AJ25,0))</f>
        <v/>
      </c>
      <c r="AS25" s="0" t="inlineStr">
        <is>
          <t>Carteira FEV/26 + Vendas FEV/26 + ABC FEV/26</t>
        </is>
      </c>
    </row>
    <row r="26" ht="14.25" customHeight="1" s="16">
      <c r="A26" s="25" t="inlineStr">
        <is>
          <t>CASA MISSÃO</t>
        </is>
      </c>
      <c r="B26" s="25" t="inlineStr">
        <is>
          <t>07621230000117</t>
        </is>
      </c>
      <c r="C26" s="25" t="inlineStr">
        <is>
          <t>CASA MISSÃO COMÉRCIO DE PRODUTOS NATURAIS E FRIOS LTDA</t>
        </is>
      </c>
      <c r="D26" s="25" t="inlineStr">
        <is>
          <t>SP</t>
        </is>
      </c>
      <c r="E26" s="25" t="inlineStr">
        <is>
          <t>ITU</t>
        </is>
      </c>
      <c r="F26" s="25" t="inlineStr">
        <is>
          <t>friosmissao@gmail.com</t>
        </is>
      </c>
      <c r="G26" s="25" t="inlineStr">
        <is>
          <t>+55 (11) 98025-0123</t>
        </is>
      </c>
      <c r="H26" s="25" t="inlineStr">
        <is>
          <t>08/10/2024</t>
        </is>
      </c>
      <c r="I26" s="25" t="n"/>
      <c r="J26" s="25" t="inlineStr">
        <is>
          <t>LARISSA PADILHA</t>
        </is>
      </c>
      <c r="K26" s="25" t="inlineStr">
        <is>
          <t>Larissa Padilha</t>
        </is>
      </c>
      <c r="L26" s="25" t="n">
        <v>18</v>
      </c>
      <c r="M26" s="25" t="inlineStr">
        <is>
          <t>28/01/2026</t>
        </is>
      </c>
      <c r="N26" s="25" t="n">
        <v>1383.4</v>
      </c>
      <c r="O26" s="25" t="n"/>
      <c r="P26" s="25" t="n"/>
      <c r="Q26" s="25" t="n"/>
      <c r="R26" s="25" t="n"/>
      <c r="S26" s="25" t="n"/>
      <c r="T26" s="25" t="n"/>
      <c r="U26" s="25" t="n">
        <v>0</v>
      </c>
      <c r="V26" s="25" t="n">
        <v>0</v>
      </c>
      <c r="W26" s="25" t="n">
        <v>1695.31</v>
      </c>
      <c r="X26" s="25" t="n">
        <v>0</v>
      </c>
      <c r="Y26" s="25" t="n">
        <v>1507.48</v>
      </c>
      <c r="Z26" s="25" t="n">
        <v>0</v>
      </c>
      <c r="AA26" s="25" t="n">
        <v>0</v>
      </c>
      <c r="AB26" s="25" t="n">
        <v>2432.48</v>
      </c>
      <c r="AC26" s="25" t="n">
        <v>0</v>
      </c>
      <c r="AD26" s="25" t="n">
        <v>0</v>
      </c>
      <c r="AE26" s="25" t="n">
        <v>1383.4</v>
      </c>
      <c r="AF26" s="25" t="n">
        <v>0</v>
      </c>
      <c r="AG26" s="25" t="n">
        <v>86.66670000000001</v>
      </c>
      <c r="AH26" s="25" t="n">
        <v>4</v>
      </c>
      <c r="AI26" s="25" t="inlineStr">
        <is>
          <t>A</t>
        </is>
      </c>
      <c r="AJ26" s="25" t="n">
        <v>4</v>
      </c>
      <c r="AK26" s="25" t="n">
        <v>1754.67</v>
      </c>
      <c r="AL26" s="26" t="n">
        <v>46048.72048611111</v>
      </c>
      <c r="AM26" s="26" t="n">
        <v>46048.72048611111</v>
      </c>
      <c r="AN26" s="25" t="inlineStr">
        <is>
          <t>WHATSAPP</t>
        </is>
      </c>
      <c r="AO26" s="25" t="inlineStr">
        <is>
          <t>VENDA REALIZADA | CASA MISSÃO - ELIS - SP</t>
        </is>
      </c>
      <c r="AP26" s="27">
        <f>IF(AH26="","",IF(AH26=0,"PROSPECT",IF(AH26=1,"NOVO",IF(AH26&lt;=3,"EM DESENVOLVIMENTO",IF(AH26&lt;=6,"RECORRENTE","FIDELIZADO")))))</f>
        <v/>
      </c>
      <c r="AQ26" s="27">
        <f>IF(AJ26=0,0,IFERROR(SUM(U26:AF26)/AJ26,0))</f>
        <v/>
      </c>
      <c r="AS26" s="0" t="inlineStr">
        <is>
          <t>Carteira FEV/26</t>
        </is>
      </c>
    </row>
    <row r="27" ht="14.25" customHeight="1" s="16">
      <c r="A27" s="25" t="inlineStr">
        <is>
          <t>CELEIRO PRODUTOS NATURAIS LTDA</t>
        </is>
      </c>
      <c r="B27" s="25" t="inlineStr">
        <is>
          <t>62697942000128</t>
        </is>
      </c>
      <c r="C27" s="25" t="inlineStr">
        <is>
          <t>CELEIRO PRODUTOS NATURAIS LTDA</t>
        </is>
      </c>
      <c r="D27" s="25" t="inlineStr">
        <is>
          <t>RJ</t>
        </is>
      </c>
      <c r="E27" s="25" t="inlineStr">
        <is>
          <t>SAO FIDELIS</t>
        </is>
      </c>
      <c r="F27" s="25" t="inlineStr">
        <is>
          <t>celeiro.sf@gmail.com</t>
        </is>
      </c>
      <c r="G27" s="25" t="inlineStr">
        <is>
          <t>+55 (21) 99715-6179</t>
        </is>
      </c>
      <c r="H27" s="25" t="inlineStr">
        <is>
          <t>21/10/2025</t>
        </is>
      </c>
      <c r="I27" s="25" t="n"/>
      <c r="J27" s="25" t="inlineStr">
        <is>
          <t>LARISSA PADILHA</t>
        </is>
      </c>
      <c r="K27" s="25" t="inlineStr">
        <is>
          <t>Larissa Padilha</t>
        </is>
      </c>
      <c r="L27" s="25" t="n">
        <v>33</v>
      </c>
      <c r="M27" s="25" t="inlineStr">
        <is>
          <t>13/01/2026</t>
        </is>
      </c>
      <c r="N27" s="25" t="n">
        <v>1508.54</v>
      </c>
      <c r="O27" s="25" t="n">
        <v>9</v>
      </c>
      <c r="P27" s="25" t="inlineStr">
        <is>
          <t>Sim</t>
        </is>
      </c>
      <c r="Q27" s="25" t="n">
        <v>615</v>
      </c>
      <c r="R27" s="25" t="n">
        <v>114</v>
      </c>
      <c r="S27" s="25" t="n">
        <v>5722.39</v>
      </c>
      <c r="T27" s="25" t="inlineStr">
        <is>
          <t>COMPRA B2B</t>
        </is>
      </c>
      <c r="U27" s="25" t="n">
        <v>0</v>
      </c>
      <c r="V27" s="25" t="n">
        <v>0</v>
      </c>
      <c r="W27" s="25" t="n">
        <v>0</v>
      </c>
      <c r="X27" s="25" t="n">
        <v>0</v>
      </c>
      <c r="Y27" s="25" t="n">
        <v>0</v>
      </c>
      <c r="Z27" s="25" t="n">
        <v>0</v>
      </c>
      <c r="AA27" s="25" t="n">
        <v>0</v>
      </c>
      <c r="AB27" s="25" t="n">
        <v>0</v>
      </c>
      <c r="AC27" s="25" t="n">
        <v>2220.76</v>
      </c>
      <c r="AD27" s="25" t="n">
        <v>1993.09</v>
      </c>
      <c r="AE27" s="25" t="n">
        <v>1508.54</v>
      </c>
      <c r="AF27" s="25" t="n">
        <v>0</v>
      </c>
      <c r="AG27" s="25" t="n">
        <v>25</v>
      </c>
      <c r="AH27" s="25" t="n">
        <v>2</v>
      </c>
      <c r="AI27" s="25" t="inlineStr">
        <is>
          <t>A</t>
        </is>
      </c>
      <c r="AJ27" s="25" t="n">
        <v>3</v>
      </c>
      <c r="AK27" s="25" t="n">
        <v>2861.2</v>
      </c>
      <c r="AL27" s="26" t="n">
        <v>46056.34222222222</v>
      </c>
      <c r="AM27" s="26" t="n">
        <v>46056.34222222222</v>
      </c>
      <c r="AN27" s="25" t="inlineStr">
        <is>
          <t>WHATSAPP</t>
        </is>
      </c>
      <c r="AO27" s="25" t="inlineStr">
        <is>
          <t>RASTREIO | CELEIRO NATURAL - SILVIO - RJ</t>
        </is>
      </c>
      <c r="AP27" s="27">
        <f>IF(AH27="","",IF(AH27=0,"PROSPECT",IF(AH27=1,"NOVO",IF(AH27&lt;=3,"EM DESENVOLVIMENTO",IF(AH27&lt;=6,"RECORRENTE","FIDELIZADO")))))</f>
        <v/>
      </c>
      <c r="AQ27" s="27">
        <f>IF(AJ27=0,0,IFERROR(SUM(U27:AF27)/AJ27,0))</f>
        <v/>
      </c>
      <c r="AS27" s="0" t="inlineStr">
        <is>
          <t>Carteira FEV/26 + Ecom FEV/26</t>
        </is>
      </c>
    </row>
    <row r="28" ht="14.25" customHeight="1" s="16">
      <c r="A28" s="25" t="inlineStr">
        <is>
          <t>CHOKOLATEN</t>
        </is>
      </c>
      <c r="B28" s="25" t="inlineStr">
        <is>
          <t>41887017000190</t>
        </is>
      </c>
      <c r="C28" s="25" t="inlineStr">
        <is>
          <t>CHOKOLATEN ALIMENTOS INDUSTRIA E COMERCIO LTDA</t>
        </is>
      </c>
      <c r="D28" s="25" t="inlineStr">
        <is>
          <t>SC</t>
        </is>
      </c>
      <c r="E28" s="25" t="inlineStr">
        <is>
          <t>POMERODE</t>
        </is>
      </c>
      <c r="F28" s="25" t="inlineStr">
        <is>
          <t>teste@teste.com</t>
        </is>
      </c>
      <c r="G28" s="25" t="inlineStr">
        <is>
          <t>+55 (47) 99143-8325 | +55 (47) 99985-2855</t>
        </is>
      </c>
      <c r="H28" s="25" t="inlineStr">
        <is>
          <t>22/07/2025</t>
        </is>
      </c>
      <c r="I28" s="25" t="n"/>
      <c r="J28" s="25" t="inlineStr">
        <is>
          <t>MANU DITZEL</t>
        </is>
      </c>
      <c r="K28" s="25" t="inlineStr">
        <is>
          <t>Manu Ditzel</t>
        </is>
      </c>
      <c r="L28" s="25" t="n">
        <v>26</v>
      </c>
      <c r="M28" s="25" t="inlineStr">
        <is>
          <t>20/01/2026</t>
        </is>
      </c>
      <c r="N28" s="25" t="n">
        <v>520</v>
      </c>
      <c r="O28" s="25" t="n"/>
      <c r="P28" s="25" t="n"/>
      <c r="Q28" s="25" t="n"/>
      <c r="R28" s="25" t="n"/>
      <c r="S28" s="25" t="n"/>
      <c r="T28" s="25" t="n"/>
      <c r="U28" s="25" t="n">
        <v>0</v>
      </c>
      <c r="V28" s="25" t="n">
        <v>0</v>
      </c>
      <c r="W28" s="25" t="n">
        <v>0</v>
      </c>
      <c r="X28" s="25" t="n">
        <v>0</v>
      </c>
      <c r="Y28" s="25" t="n">
        <v>3467.83</v>
      </c>
      <c r="Z28" s="25" t="n">
        <v>0</v>
      </c>
      <c r="AA28" s="25" t="n">
        <v>12654.14</v>
      </c>
      <c r="AB28" s="25" t="n">
        <v>9729.07</v>
      </c>
      <c r="AC28" s="25" t="n">
        <v>0</v>
      </c>
      <c r="AD28" s="25" t="n">
        <v>0</v>
      </c>
      <c r="AE28" s="25" t="n">
        <v>520</v>
      </c>
      <c r="AF28" s="25" t="n">
        <v>0</v>
      </c>
      <c r="AG28" s="25" t="n">
        <v>45.5</v>
      </c>
      <c r="AH28" s="25" t="n">
        <v>5</v>
      </c>
      <c r="AI28" s="25" t="inlineStr">
        <is>
          <t>A</t>
        </is>
      </c>
      <c r="AJ28" s="25" t="n">
        <v>4</v>
      </c>
      <c r="AK28" s="25" t="n">
        <v>5274.21</v>
      </c>
      <c r="AL28" s="26" t="n">
        <v>46056.72638888889</v>
      </c>
      <c r="AM28" s="26" t="n">
        <v>46056.72638888889</v>
      </c>
      <c r="AN28" s="25" t="inlineStr">
        <is>
          <t>WHATSAPP</t>
        </is>
      </c>
      <c r="AO28" s="25" t="inlineStr">
        <is>
          <t>ENTREGUE | MANDEI MENSAGEM PARA VER SE CHEGOU TUDO / E JÁ QUESTIONEI SOBRE OS CHOCOLATE</t>
        </is>
      </c>
      <c r="AP28" s="27">
        <f>IF(AH28="","",IF(AH28=0,"PROSPECT",IF(AH28=1,"NOVO",IF(AH28&lt;=3,"EM DESENVOLVIMENTO",IF(AH28&lt;=6,"RECORRENTE","FIDELIZADO")))))</f>
        <v/>
      </c>
      <c r="AQ28" s="27">
        <f>IF(AJ28=0,0,IFERROR(SUM(U28:AF28)/AJ28,0))</f>
        <v/>
      </c>
      <c r="AS28" s="0" t="inlineStr">
        <is>
          <t>Carteira FEV/26 + Atend FEV/26</t>
        </is>
      </c>
    </row>
    <row r="29" ht="14.25" customHeight="1" s="16">
      <c r="A29" s="25" t="inlineStr">
        <is>
          <t>CIA COCAL DO SUL</t>
        </is>
      </c>
      <c r="B29" s="25" t="inlineStr">
        <is>
          <t>08808355000113</t>
        </is>
      </c>
      <c r="C29" s="25" t="inlineStr">
        <is>
          <t>IM PRODUTOS NATURAIS LTDA</t>
        </is>
      </c>
      <c r="D29" s="25" t="inlineStr">
        <is>
          <t>SC</t>
        </is>
      </c>
      <c r="E29" s="25" t="inlineStr">
        <is>
          <t>COCAL DO SUL</t>
        </is>
      </c>
      <c r="F29" s="25" t="inlineStr">
        <is>
          <t>ciadasaudecocaldosul@hotmail.com</t>
        </is>
      </c>
      <c r="G29" s="25" t="inlineStr">
        <is>
          <t>+55 (48) 9904-0707 (CLEVERSON)</t>
        </is>
      </c>
      <c r="H29" s="25" t="inlineStr">
        <is>
          <t>08/10/2024</t>
        </is>
      </c>
      <c r="I29" s="25" t="inlineStr">
        <is>
          <t>[Rede] Cia da Saúde</t>
        </is>
      </c>
      <c r="J29" s="25" t="inlineStr">
        <is>
          <t>JULIO GADRET</t>
        </is>
      </c>
      <c r="K29" s="25" t="inlineStr">
        <is>
          <t>Julio  Gadret</t>
        </is>
      </c>
      <c r="L29" s="25" t="n">
        <v>12</v>
      </c>
      <c r="M29" s="25" t="inlineStr">
        <is>
          <t>03/02/2026</t>
        </is>
      </c>
      <c r="N29" s="25" t="n">
        <v>1009.93</v>
      </c>
      <c r="O29" s="25" t="n"/>
      <c r="P29" s="25" t="n"/>
      <c r="Q29" s="25" t="n"/>
      <c r="R29" s="25" t="n"/>
      <c r="S29" s="25" t="n"/>
      <c r="T29" s="25" t="n"/>
      <c r="U29" s="25" t="n">
        <v>0</v>
      </c>
      <c r="V29" s="25" t="n">
        <v>0</v>
      </c>
      <c r="W29" s="25" t="n">
        <v>0</v>
      </c>
      <c r="X29" s="25" t="n">
        <v>0</v>
      </c>
      <c r="Y29" s="25" t="n">
        <v>0</v>
      </c>
      <c r="Z29" s="25" t="n">
        <v>0</v>
      </c>
      <c r="AA29" s="25" t="n">
        <v>0</v>
      </c>
      <c r="AB29" s="25" t="n">
        <v>1043.04</v>
      </c>
      <c r="AC29" s="25" t="n">
        <v>815.52</v>
      </c>
      <c r="AD29" s="25" t="n">
        <v>0</v>
      </c>
      <c r="AE29" s="25" t="n">
        <v>0</v>
      </c>
      <c r="AF29" s="25" t="n">
        <v>1009.93</v>
      </c>
      <c r="AG29" s="25" t="n">
        <v>48.5</v>
      </c>
      <c r="AH29" s="25" t="n">
        <v>2</v>
      </c>
      <c r="AI29" s="25" t="inlineStr">
        <is>
          <t>B</t>
        </is>
      </c>
      <c r="AJ29" s="25" t="n">
        <v>3</v>
      </c>
      <c r="AK29" s="25" t="n">
        <v>1434.24</v>
      </c>
      <c r="AL29" s="25" t="n"/>
      <c r="AM29" s="25" t="n"/>
      <c r="AN29" s="25" t="n"/>
      <c r="AO29" s="25" t="n"/>
      <c r="AP29" s="27">
        <f>IF(AH29="","",IF(AH29=0,"PROSPECT",IF(AH29=1,"NOVO",IF(AH29&lt;=3,"EM DESENVOLVIMENTO",IF(AH29&lt;=6,"RECORRENTE","FIDELIZADO")))))</f>
        <v/>
      </c>
      <c r="AQ29" s="27">
        <f>IF(AJ29=0,0,IFERROR(SUM(U29:AF29)/AJ29,0))</f>
        <v/>
      </c>
      <c r="AS29" s="0" t="inlineStr">
        <is>
          <t>Carteira FEV/26 + Vendas FEV/26 + ABC FEV/26</t>
        </is>
      </c>
    </row>
    <row r="30" ht="14.25" customHeight="1" s="16">
      <c r="A30" s="25" t="inlineStr">
        <is>
          <t>CPQ BRASIL S/A - EM RECUPERACAO JUDICIAL</t>
        </is>
      </c>
      <c r="B30" s="25" t="inlineStr">
        <is>
          <t>74552068000110</t>
        </is>
      </c>
      <c r="C30" s="25" t="inlineStr">
        <is>
          <t>CPQ BRASIL S/A - EM RECUPERACAO JUDICIAL</t>
        </is>
      </c>
      <c r="D30" s="25" t="inlineStr">
        <is>
          <t>SP</t>
        </is>
      </c>
      <c r="E30" s="25" t="inlineStr">
        <is>
          <t>ITUPEVA</t>
        </is>
      </c>
      <c r="F30" s="25" t="inlineStr">
        <is>
          <t>compras@cpqbrasil.com.br</t>
        </is>
      </c>
      <c r="G30" s="25" t="inlineStr">
        <is>
          <t>+55 (11) 96856-6838 | +55 (11) 99654-8328 (FERNANDA / CAMILA)</t>
        </is>
      </c>
      <c r="H30" s="25" t="inlineStr">
        <is>
          <t>28/08/2025</t>
        </is>
      </c>
      <c r="I30" s="25" t="n"/>
      <c r="J30" s="25" t="inlineStr">
        <is>
          <t>LARISSA PADILHA</t>
        </is>
      </c>
      <c r="K30" s="25" t="inlineStr">
        <is>
          <t>Larissa Padilha</t>
        </is>
      </c>
      <c r="L30" s="25" t="n">
        <v>9</v>
      </c>
      <c r="M30" s="25" t="inlineStr">
        <is>
          <t>06/02/2026</t>
        </is>
      </c>
      <c r="N30" s="25" t="n">
        <v>2121.6</v>
      </c>
      <c r="O30" s="25" t="n"/>
      <c r="P30" s="25" t="n"/>
      <c r="Q30" s="25" t="n"/>
      <c r="R30" s="25" t="n"/>
      <c r="S30" s="25" t="n"/>
      <c r="T30" s="25" t="n"/>
      <c r="U30" s="25" t="n">
        <v>0</v>
      </c>
      <c r="V30" s="25" t="n">
        <v>0</v>
      </c>
      <c r="W30" s="25" t="n">
        <v>0</v>
      </c>
      <c r="X30" s="25" t="n">
        <v>0</v>
      </c>
      <c r="Y30" s="25" t="n">
        <v>0</v>
      </c>
      <c r="Z30" s="25" t="n">
        <v>0</v>
      </c>
      <c r="AA30" s="25" t="n">
        <v>2015.52</v>
      </c>
      <c r="AB30" s="25" t="n">
        <v>0</v>
      </c>
      <c r="AC30" s="25" t="n">
        <v>0</v>
      </c>
      <c r="AD30" s="25" t="n">
        <v>0</v>
      </c>
      <c r="AE30" s="25" t="n">
        <v>0</v>
      </c>
      <c r="AF30" s="25" t="n">
        <v>2121.6</v>
      </c>
      <c r="AG30" s="25" t="n">
        <v>130</v>
      </c>
      <c r="AH30" s="25" t="n">
        <v>2</v>
      </c>
      <c r="AI30" s="25" t="inlineStr">
        <is>
          <t>A</t>
        </is>
      </c>
      <c r="AJ30" s="25" t="n">
        <v>2</v>
      </c>
      <c r="AK30" s="25" t="n">
        <v>2068.56</v>
      </c>
      <c r="AL30" s="26" t="n">
        <v>46059.49305555555</v>
      </c>
      <c r="AM30" s="26" t="n">
        <v>46059.49305555555</v>
      </c>
      <c r="AN30" s="25" t="inlineStr">
        <is>
          <t>WHATSAPP</t>
        </is>
      </c>
      <c r="AO30" s="25" t="inlineStr">
        <is>
          <t>SUPORTE | Venda realizada</t>
        </is>
      </c>
      <c r="AP30" s="27">
        <f>IF(AH30="","",IF(AH30=0,"PROSPECT",IF(AH30=1,"NOVO",IF(AH30&lt;=3,"EM DESENVOLVIMENTO",IF(AH30&lt;=6,"RECORRENTE","FIDELIZADO")))))</f>
        <v/>
      </c>
      <c r="AQ30" s="27">
        <f>IF(AJ30=0,0,IFERROR(SUM(U30:AF30)/AJ30,0))</f>
        <v/>
      </c>
      <c r="AS30" s="0" t="inlineStr">
        <is>
          <t>Carteira FEV/26 + Atend FEV/26 + Vendas FEV/26 + ABC FEV/26</t>
        </is>
      </c>
    </row>
    <row r="31" ht="14.25" customHeight="1" s="16">
      <c r="A31" s="25" t="inlineStr">
        <is>
          <t>CRUmidinhas da Mel</t>
        </is>
      </c>
      <c r="B31" s="25" t="inlineStr">
        <is>
          <t>36093445000100</t>
        </is>
      </c>
      <c r="C31" s="25" t="inlineStr">
        <is>
          <t>MELISSA AURICH PETTINELLI DARRIGO 97264903087</t>
        </is>
      </c>
      <c r="D31" s="25" t="inlineStr">
        <is>
          <t>RS</t>
        </is>
      </c>
      <c r="E31" s="25" t="inlineStr">
        <is>
          <t>IMBE</t>
        </is>
      </c>
      <c r="F31" s="25" t="inlineStr">
        <is>
          <t>melissaapd@gmail.com</t>
        </is>
      </c>
      <c r="G31" s="25" t="inlineStr">
        <is>
          <t>+55 (51) 9251-7095</t>
        </is>
      </c>
      <c r="H31" s="25" t="inlineStr">
        <is>
          <t>19/01/2026</t>
        </is>
      </c>
      <c r="I31" s="25" t="n"/>
      <c r="J31" s="25" t="inlineStr">
        <is>
          <t>MANU DITZEL</t>
        </is>
      </c>
      <c r="K31" s="25" t="inlineStr">
        <is>
          <t>Manu Ditzel</t>
        </is>
      </c>
      <c r="L31" s="25" t="n">
        <v>16</v>
      </c>
      <c r="M31" s="25" t="inlineStr">
        <is>
          <t>30/01/2026</t>
        </is>
      </c>
      <c r="N31" s="25" t="n">
        <v>684.83</v>
      </c>
      <c r="O31" s="25" t="n">
        <v>31</v>
      </c>
      <c r="P31" s="25" t="inlineStr">
        <is>
          <t>Sim</t>
        </is>
      </c>
      <c r="Q31" s="25" t="n">
        <v>171</v>
      </c>
      <c r="R31" s="25" t="n">
        <v>9</v>
      </c>
      <c r="S31" s="25" t="n"/>
      <c r="T31" s="25" t="n"/>
      <c r="U31" s="25" t="n">
        <v>0</v>
      </c>
      <c r="V31" s="25" t="n">
        <v>0</v>
      </c>
      <c r="W31" s="25" t="n">
        <v>0</v>
      </c>
      <c r="X31" s="25" t="n">
        <v>0</v>
      </c>
      <c r="Y31" s="25" t="n">
        <v>0</v>
      </c>
      <c r="Z31" s="25" t="n">
        <v>0</v>
      </c>
      <c r="AA31" s="25" t="n">
        <v>0</v>
      </c>
      <c r="AB31" s="25" t="n">
        <v>0</v>
      </c>
      <c r="AC31" s="25" t="n">
        <v>0</v>
      </c>
      <c r="AD31" s="25" t="n">
        <v>0</v>
      </c>
      <c r="AE31" s="25" t="n">
        <v>0</v>
      </c>
      <c r="AF31" s="25" t="n">
        <v>0</v>
      </c>
      <c r="AG31" s="25" t="n">
        <v>0</v>
      </c>
      <c r="AH31" s="25" t="n">
        <v>0</v>
      </c>
      <c r="AI31" s="25" t="n"/>
      <c r="AJ31" s="25" t="n">
        <v>0</v>
      </c>
      <c r="AK31" s="25" t="n">
        <v>0</v>
      </c>
      <c r="AL31" s="26" t="n">
        <v>46057.39305555556</v>
      </c>
      <c r="AM31" s="26" t="n">
        <v>46057.39305555556</v>
      </c>
      <c r="AN31" s="25" t="inlineStr">
        <is>
          <t>OUTROS</t>
        </is>
      </c>
      <c r="AO31" s="25" t="inlineStr">
        <is>
          <t>COMPRA RECENTE</t>
        </is>
      </c>
      <c r="AP31" s="27">
        <f>IF(AH31="","",IF(AH31=0,"PROSPECT",IF(AH31=1,"NOVO",IF(AH31&lt;=3,"EM DESENVOLVIMENTO",IF(AH31&lt;=6,"RECORRENTE","FIDELIZADO")))))</f>
        <v/>
      </c>
      <c r="AQ31" s="27">
        <f>IF(AJ31=0,0,IFERROR(SUM(U31:AF31)/AJ31,0))</f>
        <v/>
      </c>
      <c r="AS31" s="0" t="inlineStr">
        <is>
          <t>Carteira FEV/26 + Atend FEV/26</t>
        </is>
      </c>
    </row>
    <row r="32" ht="14.25" customHeight="1" s="16">
      <c r="A32" s="25" t="inlineStr">
        <is>
          <t>DIVINA TERRA</t>
        </is>
      </c>
      <c r="B32" s="25" t="inlineStr">
        <is>
          <t>55026263000161</t>
        </is>
      </c>
      <c r="C32" s="25" t="inlineStr">
        <is>
          <t>F DIVINA TERRA DO NASCIMENTO</t>
        </is>
      </c>
      <c r="D32" s="25" t="inlineStr">
        <is>
          <t>SP</t>
        </is>
      </c>
      <c r="E32" s="25" t="inlineStr">
        <is>
          <t>CARAGUATATUBA</t>
        </is>
      </c>
      <c r="F32" s="25" t="inlineStr">
        <is>
          <t>caraguatatuba@lojadivinaterra.com.br</t>
        </is>
      </c>
      <c r="G32" s="25" t="inlineStr">
        <is>
          <t>+55 (11) 95020-2294</t>
        </is>
      </c>
      <c r="H32" s="25" t="inlineStr">
        <is>
          <t>08/10/2024</t>
        </is>
      </c>
      <c r="I32" s="25" t="inlineStr">
        <is>
          <t>[Rede] Divina Terra</t>
        </is>
      </c>
      <c r="J32" s="25" t="inlineStr">
        <is>
          <t>DAIANE STAVICKI</t>
        </is>
      </c>
      <c r="K32" s="25" t="inlineStr">
        <is>
          <t>Central - Daiane</t>
        </is>
      </c>
      <c r="L32" s="25" t="n">
        <v>60</v>
      </c>
      <c r="M32" s="25" t="inlineStr">
        <is>
          <t>17/12/2025</t>
        </is>
      </c>
      <c r="N32" s="25" t="n">
        <v>685.71</v>
      </c>
      <c r="O32" s="25" t="n">
        <v>2</v>
      </c>
      <c r="P32" s="25" t="inlineStr">
        <is>
          <t>Sim</t>
        </is>
      </c>
      <c r="Q32" s="25" t="n">
        <v>78</v>
      </c>
      <c r="R32" s="25" t="n">
        <v>5</v>
      </c>
      <c r="S32" s="25" t="n">
        <v>685.71</v>
      </c>
      <c r="T32" s="25" t="inlineStr">
        <is>
          <t>COMPRA B2B</t>
        </is>
      </c>
      <c r="U32" s="25" t="n">
        <v>0</v>
      </c>
      <c r="V32" s="25" t="n">
        <v>0</v>
      </c>
      <c r="W32" s="25" t="n">
        <v>0</v>
      </c>
      <c r="X32" s="25" t="n">
        <v>0</v>
      </c>
      <c r="Y32" s="25" t="n">
        <v>0</v>
      </c>
      <c r="Z32" s="25" t="n">
        <v>1036.87</v>
      </c>
      <c r="AA32" s="25" t="n">
        <v>0</v>
      </c>
      <c r="AB32" s="25" t="n">
        <v>0</v>
      </c>
      <c r="AC32" s="25" t="n">
        <v>0</v>
      </c>
      <c r="AD32" s="25" t="n">
        <v>685.71</v>
      </c>
      <c r="AE32" s="25" t="n">
        <v>0</v>
      </c>
      <c r="AF32" s="25" t="n">
        <v>0</v>
      </c>
      <c r="AG32" s="25" t="n">
        <v>0</v>
      </c>
      <c r="AH32" s="25" t="n">
        <v>2</v>
      </c>
      <c r="AI32" s="25" t="n"/>
      <c r="AJ32" s="25" t="n">
        <v>2</v>
      </c>
      <c r="AK32" s="25" t="n">
        <v>861.29</v>
      </c>
      <c r="AL32" s="26" t="n">
        <v>46055.60638888889</v>
      </c>
      <c r="AM32" s="26" t="n">
        <v>46055.60638888889</v>
      </c>
      <c r="AN32" s="25" t="inlineStr">
        <is>
          <t>WHATSAPP</t>
        </is>
      </c>
      <c r="AO32" s="25" t="inlineStr">
        <is>
          <t>FREDIANE DIVINA TERRA CARAGUATATUBA SP</t>
        </is>
      </c>
      <c r="AP32" s="27">
        <f>IF(AH32="","",IF(AH32=0,"PROSPECT",IF(AH32=1,"NOVO",IF(AH32&lt;=3,"EM DESENVOLVIMENTO",IF(AH32&lt;=6,"RECORRENTE","FIDELIZADO")))))</f>
        <v/>
      </c>
      <c r="AQ32" s="27">
        <f>IF(AJ32=0,0,IFERROR(SUM(U32:AF32)/AJ32,0))</f>
        <v/>
      </c>
      <c r="AS32" s="0" t="inlineStr">
        <is>
          <t>Carteira FEV/26 + Atend FEV/26</t>
        </is>
      </c>
    </row>
    <row r="33" ht="14.25" customHeight="1" s="16">
      <c r="A33" s="25" t="inlineStr">
        <is>
          <t>DIVINA TERRA CURITIBA</t>
        </is>
      </c>
      <c r="B33" s="25" t="inlineStr">
        <is>
          <t>32828171000108</t>
        </is>
      </c>
      <c r="C33" s="25" t="inlineStr">
        <is>
          <t>HIPER VERDE ALIMENTOS SAUDAVEIS E NATURAIS LTDA</t>
        </is>
      </c>
      <c r="D33" s="25" t="inlineStr">
        <is>
          <t>PR</t>
        </is>
      </c>
      <c r="E33" s="25" t="inlineStr">
        <is>
          <t>CURITIBA</t>
        </is>
      </c>
      <c r="F33" s="25" t="inlineStr">
        <is>
          <t>hiperverdecuritiba@lojadivinaterra.com.br</t>
        </is>
      </c>
      <c r="G33" s="25" t="inlineStr">
        <is>
          <t>+55 (41) 9876-0786</t>
        </is>
      </c>
      <c r="H33" s="25" t="inlineStr">
        <is>
          <t>08/10/2024</t>
        </is>
      </c>
      <c r="I33" s="25" t="inlineStr">
        <is>
          <t>DIVINA TERRA</t>
        </is>
      </c>
      <c r="J33" s="25" t="inlineStr">
        <is>
          <t>DAIANE STAVICKI</t>
        </is>
      </c>
      <c r="K33" s="25" t="inlineStr">
        <is>
          <t>Central - Daiane</t>
        </is>
      </c>
      <c r="L33" s="25" t="n">
        <v>17</v>
      </c>
      <c r="M33" s="25" t="inlineStr">
        <is>
          <t>29/01/2026</t>
        </is>
      </c>
      <c r="N33" s="25" t="n">
        <v>767.7</v>
      </c>
      <c r="O33" s="25" t="n">
        <v>1</v>
      </c>
      <c r="P33" s="25" t="inlineStr">
        <is>
          <t>Sim</t>
        </is>
      </c>
      <c r="Q33" s="25" t="n">
        <v>36</v>
      </c>
      <c r="R33" s="25" t="n">
        <v>17</v>
      </c>
      <c r="S33" s="25" t="n">
        <v>767.6799999999999</v>
      </c>
      <c r="T33" s="25" t="inlineStr">
        <is>
          <t>COMPRA B2B</t>
        </is>
      </c>
      <c r="U33" s="25" t="n">
        <v>0</v>
      </c>
      <c r="V33" s="25" t="n">
        <v>0</v>
      </c>
      <c r="W33" s="25" t="n">
        <v>0</v>
      </c>
      <c r="X33" s="25" t="n">
        <v>0</v>
      </c>
      <c r="Y33" s="25" t="n">
        <v>0</v>
      </c>
      <c r="Z33" s="25" t="n">
        <v>0</v>
      </c>
      <c r="AA33" s="25" t="n">
        <v>0</v>
      </c>
      <c r="AB33" s="25" t="n">
        <v>0</v>
      </c>
      <c r="AC33" s="25" t="n">
        <v>0</v>
      </c>
      <c r="AD33" s="25" t="n">
        <v>0</v>
      </c>
      <c r="AE33" s="25" t="n">
        <v>0</v>
      </c>
      <c r="AF33" s="25" t="n">
        <v>0</v>
      </c>
      <c r="AG33" s="25" t="n">
        <v>0</v>
      </c>
      <c r="AH33" s="25" t="n">
        <v>0</v>
      </c>
      <c r="AI33" s="25" t="n"/>
      <c r="AJ33" s="25" t="n">
        <v>0</v>
      </c>
      <c r="AK33" s="25" t="n">
        <v>0</v>
      </c>
      <c r="AL33" s="26" t="n">
        <v>45994.46944444445</v>
      </c>
      <c r="AM33" s="26" t="n">
        <v>45994.46944444445</v>
      </c>
      <c r="AN33" s="25" t="inlineStr">
        <is>
          <t>WHATSAPP</t>
        </is>
      </c>
      <c r="AO33" s="28" t="inlineStr">
        <is>
          <t>Link: https://vitaomais.meuspedidos.com.br/ E-mail: hiperverdecuritiba@lojadivinaterra.com.br Senha: 928417</t>
        </is>
      </c>
      <c r="AP33" s="27">
        <f>IF(AH33="","",IF(AH33=0,"PROSPECT",IF(AH33=1,"NOVO",IF(AH33&lt;=3,"EM DESENVOLVIMENTO",IF(AH33&lt;=6,"RECORRENTE","FIDELIZADO")))))</f>
        <v/>
      </c>
      <c r="AQ33" s="27">
        <f>IF(AJ33=0,0,IFERROR(SUM(U33:AF33)/AJ33,0))</f>
        <v/>
      </c>
      <c r="AS33" s="0" t="inlineStr">
        <is>
          <t>Carteira FEV/26</t>
        </is>
      </c>
    </row>
    <row r="34" ht="14.25" customHeight="1" s="16">
      <c r="A34" s="25" t="inlineStr">
        <is>
          <t>DIVINA TERRA SANTA MARIA RS</t>
        </is>
      </c>
      <c r="B34" s="25" t="inlineStr">
        <is>
          <t>34422518000135</t>
        </is>
      </c>
      <c r="C34" s="25" t="inlineStr">
        <is>
          <t>PRODUTOS NATURAIS FORLIFE LTDA</t>
        </is>
      </c>
      <c r="D34" s="25" t="inlineStr">
        <is>
          <t>RS</t>
        </is>
      </c>
      <c r="E34" s="25" t="inlineStr">
        <is>
          <t>SANTA MARIA</t>
        </is>
      </c>
      <c r="F34" s="25" t="inlineStr">
        <is>
          <t>franquiasantamaria@lojadivinaterra.com.br</t>
        </is>
      </c>
      <c r="G34" s="25" t="inlineStr">
        <is>
          <t>+55 (51) 9865-0320 | +55 (55) 99962-9322</t>
        </is>
      </c>
      <c r="H34" s="25" t="inlineStr">
        <is>
          <t>08/10/2024</t>
        </is>
      </c>
      <c r="I34" s="25" t="inlineStr">
        <is>
          <t>[Rede] Divina Terra</t>
        </is>
      </c>
      <c r="J34" s="25" t="inlineStr">
        <is>
          <t>DAIANE STAVICKI</t>
        </is>
      </c>
      <c r="K34" s="25" t="inlineStr">
        <is>
          <t>Central - Daiane</t>
        </is>
      </c>
      <c r="L34" s="25" t="n">
        <v>31</v>
      </c>
      <c r="M34" s="25" t="inlineStr">
        <is>
          <t>15/01/2026</t>
        </is>
      </c>
      <c r="N34" s="25" t="n">
        <v>666.38</v>
      </c>
      <c r="O34" s="25" t="n">
        <v>3</v>
      </c>
      <c r="P34" s="25" t="inlineStr">
        <is>
          <t>Sim</t>
        </is>
      </c>
      <c r="Q34" s="25" t="n">
        <v>79</v>
      </c>
      <c r="R34" s="25" t="n">
        <v>15</v>
      </c>
      <c r="S34" s="25" t="n">
        <v>666.38</v>
      </c>
      <c r="T34" s="25" t="inlineStr">
        <is>
          <t>COMPRA B2B</t>
        </is>
      </c>
      <c r="U34" s="25" t="n">
        <v>0</v>
      </c>
      <c r="V34" s="25" t="n">
        <v>0</v>
      </c>
      <c r="W34" s="25" t="n">
        <v>0</v>
      </c>
      <c r="X34" s="25" t="n">
        <v>0</v>
      </c>
      <c r="Y34" s="25" t="n">
        <v>0</v>
      </c>
      <c r="Z34" s="25" t="n">
        <v>0</v>
      </c>
      <c r="AA34" s="25" t="n">
        <v>0</v>
      </c>
      <c r="AB34" s="25" t="n">
        <v>0</v>
      </c>
      <c r="AC34" s="25" t="n">
        <v>0</v>
      </c>
      <c r="AD34" s="25" t="n">
        <v>0</v>
      </c>
      <c r="AE34" s="25" t="n">
        <v>666.38</v>
      </c>
      <c r="AF34" s="25" t="n">
        <v>0</v>
      </c>
      <c r="AG34" s="25" t="n">
        <v>0</v>
      </c>
      <c r="AH34" s="25" t="n">
        <v>1</v>
      </c>
      <c r="AI34" s="25" t="inlineStr">
        <is>
          <t>C</t>
        </is>
      </c>
      <c r="AJ34" s="25" t="n">
        <v>1</v>
      </c>
      <c r="AK34" s="25" t="n">
        <v>666.38</v>
      </c>
      <c r="AL34" s="26" t="n">
        <v>46034.60069444445</v>
      </c>
      <c r="AM34" s="26" t="n">
        <v>46034.60069444445</v>
      </c>
      <c r="AN34" s="25" t="inlineStr">
        <is>
          <t>LIGAÇÃO</t>
        </is>
      </c>
      <c r="AO34" s="28" t="inlineStr">
        <is>
          <t>Link: https://vitaomais.meuspedidos.com.br/ E-mail: franquiasantamaria@lojadivinaterra.com.br Senha: 665216</t>
        </is>
      </c>
      <c r="AP34" s="27">
        <f>IF(AH34="","",IF(AH34=0,"PROSPECT",IF(AH34=1,"NOVO",IF(AH34&lt;=3,"EM DESENVOLVIMENTO",IF(AH34&lt;=6,"RECORRENTE","FIDELIZADO")))))</f>
        <v/>
      </c>
      <c r="AQ34" s="27">
        <f>IF(AJ34=0,0,IFERROR(SUM(U34:AF34)/AJ34,0))</f>
        <v/>
      </c>
      <c r="AS34" s="0" t="inlineStr">
        <is>
          <t>Carteira FEV/26</t>
        </is>
      </c>
    </row>
    <row r="35" ht="14.25" customHeight="1" s="16">
      <c r="A35" s="25" t="inlineStr">
        <is>
          <t>DIVINA TERRA XANXERE</t>
        </is>
      </c>
      <c r="B35" s="25" t="inlineStr">
        <is>
          <t>55666250000157</t>
        </is>
      </c>
      <c r="C35" s="25" t="inlineStr">
        <is>
          <t>MERCADO SAUDAVEL COMERCIO DE ALIMENTOS LTDA</t>
        </is>
      </c>
      <c r="D35" s="25" t="inlineStr">
        <is>
          <t>SC</t>
        </is>
      </c>
      <c r="E35" s="25" t="inlineStr">
        <is>
          <t>XANXERE</t>
        </is>
      </c>
      <c r="F35" s="25" t="inlineStr">
        <is>
          <t>xanxere@lojadivinaterra.com.br</t>
        </is>
      </c>
      <c r="G35" s="25" t="inlineStr">
        <is>
          <t>+55 (49) 99103-0124</t>
        </is>
      </c>
      <c r="H35" s="25" t="inlineStr">
        <is>
          <t>08/10/2024</t>
        </is>
      </c>
      <c r="I35" s="25" t="inlineStr">
        <is>
          <t>[Rede] Divina Terra</t>
        </is>
      </c>
      <c r="J35" s="25" t="inlineStr">
        <is>
          <t>DAIANE STAVICKI</t>
        </is>
      </c>
      <c r="K35" s="25" t="inlineStr">
        <is>
          <t>Central - Daiane</t>
        </is>
      </c>
      <c r="L35" s="25" t="n">
        <v>20</v>
      </c>
      <c r="M35" s="25" t="inlineStr">
        <is>
          <t>26/01/2026</t>
        </is>
      </c>
      <c r="N35" s="25" t="n">
        <v>698.62</v>
      </c>
      <c r="O35" s="25" t="n">
        <v>1</v>
      </c>
      <c r="P35" s="25" t="inlineStr">
        <is>
          <t>Sim</t>
        </is>
      </c>
      <c r="Q35" s="25" t="n">
        <v>48</v>
      </c>
      <c r="R35" s="25" t="n">
        <v>7</v>
      </c>
      <c r="S35" s="25" t="n">
        <v>698.62</v>
      </c>
      <c r="T35" s="25" t="inlineStr">
        <is>
          <t>COMPRA B2B</t>
        </is>
      </c>
      <c r="U35" s="25" t="n">
        <v>0</v>
      </c>
      <c r="V35" s="25" t="n">
        <v>0</v>
      </c>
      <c r="W35" s="25" t="n">
        <v>687.5599999999999</v>
      </c>
      <c r="X35" s="25" t="n">
        <v>0</v>
      </c>
      <c r="Y35" s="25" t="n">
        <v>0</v>
      </c>
      <c r="Z35" s="25" t="n">
        <v>0</v>
      </c>
      <c r="AA35" s="25" t="n">
        <v>0</v>
      </c>
      <c r="AB35" s="25" t="n">
        <v>0</v>
      </c>
      <c r="AC35" s="25" t="n">
        <v>0</v>
      </c>
      <c r="AD35" s="25" t="n">
        <v>0</v>
      </c>
      <c r="AE35" s="25" t="n">
        <v>698.62</v>
      </c>
      <c r="AF35" s="25" t="n">
        <v>0</v>
      </c>
      <c r="AG35" s="25" t="n">
        <v>263</v>
      </c>
      <c r="AH35" s="25" t="n">
        <v>2</v>
      </c>
      <c r="AI35" s="25" t="inlineStr">
        <is>
          <t>C</t>
        </is>
      </c>
      <c r="AJ35" s="25" t="n">
        <v>2</v>
      </c>
      <c r="AK35" s="25" t="n">
        <v>693.09</v>
      </c>
      <c r="AL35" s="26" t="n">
        <v>46045.40138888889</v>
      </c>
      <c r="AM35" s="26" t="n">
        <v>46045.40138888889</v>
      </c>
      <c r="AN35" s="25" t="inlineStr">
        <is>
          <t>LIGAÇÃO</t>
        </is>
      </c>
      <c r="AO35" s="28" t="inlineStr">
        <is>
          <t>Link: https://vitaomais.meuspedidos.com.br/ E-mail: xanxere@lojadivinaterra.com.br Senha: 717206</t>
        </is>
      </c>
      <c r="AP35" s="27">
        <f>IF(AH35="","",IF(AH35=0,"PROSPECT",IF(AH35=1,"NOVO",IF(AH35&lt;=3,"EM DESENVOLVIMENTO",IF(AH35&lt;=6,"RECORRENTE","FIDELIZADO")))))</f>
        <v/>
      </c>
      <c r="AQ35" s="27">
        <f>IF(AJ35=0,0,IFERROR(SUM(U35:AF35)/AJ35,0))</f>
        <v/>
      </c>
      <c r="AS35" s="0" t="inlineStr">
        <is>
          <t>Carteira FEV/26</t>
        </is>
      </c>
    </row>
    <row r="36" ht="14.25" customHeight="1" s="16">
      <c r="A36" s="25" t="inlineStr">
        <is>
          <t>DIVINO GRAO</t>
        </is>
      </c>
      <c r="B36" s="25" t="inlineStr">
        <is>
          <t>62303009000129</t>
        </is>
      </c>
      <c r="C36" s="25" t="inlineStr">
        <is>
          <t>DIVINO GRAO PRODUTOS NATURAIS LTDA</t>
        </is>
      </c>
      <c r="D36" s="25" t="inlineStr">
        <is>
          <t>TO</t>
        </is>
      </c>
      <c r="E36" s="25" t="inlineStr">
        <is>
          <t>ARAGUAINA</t>
        </is>
      </c>
      <c r="F36" s="25" t="inlineStr">
        <is>
          <t>loja.araguaina@redevidaleve.com.br</t>
        </is>
      </c>
      <c r="G36" s="25" t="inlineStr">
        <is>
          <t>+55 (63) 99208-0630</t>
        </is>
      </c>
      <c r="H36" s="25" t="inlineStr">
        <is>
          <t>15/12/2025</t>
        </is>
      </c>
      <c r="I36" s="25" t="inlineStr">
        <is>
          <t>[Rede] Vida Leve</t>
        </is>
      </c>
      <c r="J36" s="25" t="inlineStr">
        <is>
          <t>DAIANE STAVICKI</t>
        </is>
      </c>
      <c r="K36" s="25" t="inlineStr">
        <is>
          <t>Central - Daiane</t>
        </is>
      </c>
      <c r="L36" s="25" t="n">
        <v>62</v>
      </c>
      <c r="M36" s="25" t="inlineStr">
        <is>
          <t>15/12/2025</t>
        </is>
      </c>
      <c r="N36" s="25" t="n">
        <v>2531.12</v>
      </c>
      <c r="O36" s="25" t="n"/>
      <c r="P36" s="25" t="n"/>
      <c r="Q36" s="25" t="n"/>
      <c r="R36" s="25" t="n"/>
      <c r="S36" s="25" t="n"/>
      <c r="T36" s="25" t="n"/>
      <c r="U36" s="25" t="n">
        <v>0</v>
      </c>
      <c r="V36" s="25" t="n">
        <v>0</v>
      </c>
      <c r="W36" s="25" t="n">
        <v>0</v>
      </c>
      <c r="X36" s="25" t="n">
        <v>0</v>
      </c>
      <c r="Y36" s="25" t="n">
        <v>0</v>
      </c>
      <c r="Z36" s="25" t="n">
        <v>0</v>
      </c>
      <c r="AA36" s="25" t="n">
        <v>0</v>
      </c>
      <c r="AB36" s="25" t="n">
        <v>0</v>
      </c>
      <c r="AC36" s="25" t="n">
        <v>0</v>
      </c>
      <c r="AD36" s="25" t="n">
        <v>2531.12</v>
      </c>
      <c r="AE36" s="25" t="n">
        <v>0</v>
      </c>
      <c r="AF36" s="25" t="n">
        <v>0</v>
      </c>
      <c r="AG36" s="25" t="n">
        <v>0</v>
      </c>
      <c r="AH36" s="25" t="n">
        <v>1</v>
      </c>
      <c r="AI36" s="25" t="inlineStr">
        <is>
          <t>A</t>
        </is>
      </c>
      <c r="AJ36" s="25" t="n">
        <v>1</v>
      </c>
      <c r="AK36" s="25" t="n">
        <v>2531.12</v>
      </c>
      <c r="AL36" s="26" t="n">
        <v>46050.44791666666</v>
      </c>
      <c r="AM36" s="26" t="n">
        <v>46050.44791666666</v>
      </c>
      <c r="AN36" s="25" t="inlineStr">
        <is>
          <t>WHATSAPP</t>
        </is>
      </c>
      <c r="AO36" s="25" t="inlineStr">
        <is>
          <t>INAGURAÇÃO 12/02</t>
        </is>
      </c>
      <c r="AP36" s="27">
        <f>IF(AH36="","",IF(AH36=0,"PROSPECT",IF(AH36=1,"NOVO",IF(AH36&lt;=3,"EM DESENVOLVIMENTO",IF(AH36&lt;=6,"RECORRENTE","FIDELIZADO")))))</f>
        <v/>
      </c>
      <c r="AQ36" s="27">
        <f>IF(AJ36=0,0,IFERROR(SUM(U36:AF36)/AJ36,0))</f>
        <v/>
      </c>
      <c r="AS36" s="0" t="inlineStr">
        <is>
          <t>Carteira FEV/26</t>
        </is>
      </c>
    </row>
    <row r="37" ht="14.25" customHeight="1" s="16">
      <c r="A37" s="25" t="inlineStr">
        <is>
          <t>DS NUTRICAO</t>
        </is>
      </c>
      <c r="B37" s="25" t="inlineStr">
        <is>
          <t>53266705000111</t>
        </is>
      </c>
      <c r="C37" s="25" t="inlineStr">
        <is>
          <t>DS NUTRICAO LTDA</t>
        </is>
      </c>
      <c r="D37" s="25" t="inlineStr">
        <is>
          <t>SC</t>
        </is>
      </c>
      <c r="E37" s="25" t="inlineStr">
        <is>
          <t>JOINVILLE</t>
        </is>
      </c>
      <c r="F37" s="25" t="inlineStr">
        <is>
          <t>fitlandjoinvilleshopping@gmail.com</t>
        </is>
      </c>
      <c r="G37" s="25" t="inlineStr">
        <is>
          <t>+55 (47) 99169-3934</t>
        </is>
      </c>
      <c r="H37" s="25" t="inlineStr">
        <is>
          <t>25/06/2025</t>
        </is>
      </c>
      <c r="I37" s="25" t="inlineStr">
        <is>
          <t>FIT LAND</t>
        </is>
      </c>
      <c r="J37" s="25" t="inlineStr">
        <is>
          <t>JULIO GADRET</t>
        </is>
      </c>
      <c r="K37" s="25" t="inlineStr">
        <is>
          <t>Julio  Gadret</t>
        </is>
      </c>
      <c r="L37" s="25" t="n">
        <v>26</v>
      </c>
      <c r="M37" s="25" t="inlineStr">
        <is>
          <t>20/01/2026</t>
        </is>
      </c>
      <c r="N37" s="25" t="n">
        <v>669.61</v>
      </c>
      <c r="O37" s="25" t="n"/>
      <c r="P37" s="25" t="n"/>
      <c r="Q37" s="25" t="n"/>
      <c r="R37" s="25" t="n"/>
      <c r="S37" s="25" t="n"/>
      <c r="T37" s="25" t="n"/>
      <c r="U37" s="25" t="n">
        <v>0</v>
      </c>
      <c r="V37" s="25" t="n">
        <v>0</v>
      </c>
      <c r="W37" s="25" t="n">
        <v>0</v>
      </c>
      <c r="X37" s="25" t="n">
        <v>0</v>
      </c>
      <c r="Y37" s="25" t="n">
        <v>0</v>
      </c>
      <c r="Z37" s="25" t="n">
        <v>0</v>
      </c>
      <c r="AA37" s="25" t="n">
        <v>0</v>
      </c>
      <c r="AB37" s="25" t="n">
        <v>0</v>
      </c>
      <c r="AC37" s="25" t="n">
        <v>0</v>
      </c>
      <c r="AD37" s="25" t="n">
        <v>0</v>
      </c>
      <c r="AE37" s="25" t="n">
        <v>0</v>
      </c>
      <c r="AF37" s="25" t="n">
        <v>0</v>
      </c>
      <c r="AG37" s="25" t="n">
        <v>208</v>
      </c>
      <c r="AH37" s="25" t="n">
        <v>0</v>
      </c>
      <c r="AI37" s="25" t="inlineStr">
        <is>
          <t>B</t>
        </is>
      </c>
      <c r="AJ37" s="25" t="n">
        <v>0</v>
      </c>
      <c r="AK37" s="25" t="n">
        <v>0</v>
      </c>
      <c r="AL37" s="26" t="n">
        <v>45895.68125</v>
      </c>
      <c r="AM37" s="26" t="n">
        <v>45895.68125</v>
      </c>
      <c r="AN37" s="25" t="inlineStr">
        <is>
          <t>WHATSAPP</t>
        </is>
      </c>
      <c r="AO37" s="25" t="inlineStr">
        <is>
          <t>NUTRIÇÃO | Envio de ofertas dos drageados por R$89,90kg</t>
        </is>
      </c>
      <c r="AP37" s="27">
        <f>IF(AH37="","",IF(AH37=0,"PROSPECT",IF(AH37=1,"NOVO",IF(AH37&lt;=3,"EM DESENVOLVIMENTO",IF(AH37&lt;=6,"RECORRENTE","FIDELIZADO")))))</f>
        <v/>
      </c>
      <c r="AQ37" s="27">
        <f>IF(AJ37=0,0,IFERROR(SUM(U37:AF37)/AJ37,0))</f>
        <v/>
      </c>
      <c r="AS37" s="0" t="inlineStr">
        <is>
          <t>Carteira FEV/26</t>
        </is>
      </c>
    </row>
    <row r="38" ht="14.25" customHeight="1" s="16">
      <c r="A38" s="25" t="inlineStr">
        <is>
          <t>ELLES VEGAN CAFETERIA</t>
        </is>
      </c>
      <c r="B38" s="25" t="inlineStr">
        <is>
          <t>36455705000140</t>
        </is>
      </c>
      <c r="C38" s="25" t="inlineStr">
        <is>
          <t>36.455.705 LAURA SARA IRENE MULAS VERONESI</t>
        </is>
      </c>
      <c r="D38" s="25" t="inlineStr">
        <is>
          <t>PR</t>
        </is>
      </c>
      <c r="E38" s="25" t="inlineStr">
        <is>
          <t>LONDRINA</t>
        </is>
      </c>
      <c r="F38" s="25" t="inlineStr">
        <is>
          <t>ellesvegan@gmail.com</t>
        </is>
      </c>
      <c r="G38" s="25" t="inlineStr">
        <is>
          <t>+55 (43) 9966-0161</t>
        </is>
      </c>
      <c r="H38" s="25" t="inlineStr">
        <is>
          <t>18/11/2025</t>
        </is>
      </c>
      <c r="I38" s="25" t="n"/>
      <c r="J38" s="25" t="inlineStr">
        <is>
          <t>MANU DITZEL</t>
        </is>
      </c>
      <c r="K38" s="25" t="inlineStr">
        <is>
          <t>Manu Ditzel</t>
        </is>
      </c>
      <c r="L38" s="25" t="n">
        <v>68</v>
      </c>
      <c r="M38" s="25" t="inlineStr">
        <is>
          <t>09/12/2025</t>
        </is>
      </c>
      <c r="N38" s="25" t="n">
        <v>361.23</v>
      </c>
      <c r="O38" s="25" t="n">
        <v>16</v>
      </c>
      <c r="P38" s="25" t="inlineStr">
        <is>
          <t>Sim</t>
        </is>
      </c>
      <c r="Q38" s="25" t="n">
        <v>56</v>
      </c>
      <c r="R38" s="25" t="n">
        <v>1</v>
      </c>
      <c r="S38" s="25" t="n">
        <v>361.23</v>
      </c>
      <c r="T38" s="25" t="inlineStr">
        <is>
          <t>COMPRA B2B</t>
        </is>
      </c>
      <c r="U38" s="25" t="n">
        <v>0</v>
      </c>
      <c r="V38" s="25" t="n">
        <v>0</v>
      </c>
      <c r="W38" s="25" t="n">
        <v>0</v>
      </c>
      <c r="X38" s="25" t="n">
        <v>0</v>
      </c>
      <c r="Y38" s="25" t="n">
        <v>0</v>
      </c>
      <c r="Z38" s="25" t="n">
        <v>0</v>
      </c>
      <c r="AA38" s="25" t="n">
        <v>0</v>
      </c>
      <c r="AB38" s="25" t="n">
        <v>0</v>
      </c>
      <c r="AC38" s="25" t="n">
        <v>0</v>
      </c>
      <c r="AD38" s="25" t="n">
        <v>361.23</v>
      </c>
      <c r="AE38" s="25" t="n">
        <v>0</v>
      </c>
      <c r="AF38" s="25" t="n">
        <v>0</v>
      </c>
      <c r="AG38" s="25" t="n">
        <v>0</v>
      </c>
      <c r="AH38" s="25" t="n">
        <v>1</v>
      </c>
      <c r="AI38" s="25" t="inlineStr">
        <is>
          <t>C</t>
        </is>
      </c>
      <c r="AJ38" s="25" t="n">
        <v>1</v>
      </c>
      <c r="AK38" s="25" t="n">
        <v>361.23</v>
      </c>
      <c r="AL38" s="26" t="n">
        <v>46063.66388888889</v>
      </c>
      <c r="AM38" s="26" t="n">
        <v>46063.66388888889</v>
      </c>
      <c r="AN38" s="25" t="inlineStr">
        <is>
          <t>LIGAÇÃO</t>
        </is>
      </c>
      <c r="AO38" s="28" t="inlineStr">
        <is>
          <t>SEM RETORNO, NÃO ATENDE E TAMBEM NÃO RESPONDE</t>
        </is>
      </c>
      <c r="AP38" s="27">
        <f>IF(AH38="","",IF(AH38=0,"PROSPECT",IF(AH38=1,"NOVO",IF(AH38&lt;=3,"EM DESENVOLVIMENTO",IF(AH38&lt;=6,"RECORRENTE","FIDELIZADO")))))</f>
        <v/>
      </c>
      <c r="AQ38" s="27">
        <f>IF(AJ38=0,0,IFERROR(SUM(U38:AF38)/AJ38,0))</f>
        <v/>
      </c>
      <c r="AS38" s="0" t="inlineStr">
        <is>
          <t>Carteira FEV/26 + Atend FEV/26</t>
        </is>
      </c>
    </row>
    <row r="39" ht="14.25" customHeight="1" s="16">
      <c r="A39" s="25" t="inlineStr">
        <is>
          <t>EMPORIO CATARINA</t>
        </is>
      </c>
      <c r="B39" s="25" t="inlineStr">
        <is>
          <t>24713639000182</t>
        </is>
      </c>
      <c r="C39" s="25" t="inlineStr">
        <is>
          <t>EMPORIO Z&amp;E COMERCIO DE PRODUTOS NATURAIS LTDA</t>
        </is>
      </c>
      <c r="D39" s="25" t="inlineStr">
        <is>
          <t>SC</t>
        </is>
      </c>
      <c r="E39" s="25" t="inlineStr">
        <is>
          <t>JOINVILLE</t>
        </is>
      </c>
      <c r="F39" s="25" t="inlineStr">
        <is>
          <t>contato@emporiocatarina.com.br,zenaide@emporiocatarina.com.br</t>
        </is>
      </c>
      <c r="G39" s="25" t="inlineStr">
        <is>
          <t>+55 (47) 3227-8525 | +55 (47) 9993-2798</t>
        </is>
      </c>
      <c r="H39" s="25" t="inlineStr">
        <is>
          <t>08/10/2024</t>
        </is>
      </c>
      <c r="I39" s="25" t="n"/>
      <c r="J39" s="25" t="inlineStr">
        <is>
          <t>MANU DITZEL</t>
        </is>
      </c>
      <c r="K39" s="25" t="inlineStr">
        <is>
          <t>Manu Ditzel</t>
        </is>
      </c>
      <c r="L39" s="25" t="n">
        <v>38</v>
      </c>
      <c r="M39" s="25" t="inlineStr">
        <is>
          <t>08/01/2026</t>
        </is>
      </c>
      <c r="N39" s="25" t="n">
        <v>528.77</v>
      </c>
      <c r="O39" s="25" t="n">
        <v>2</v>
      </c>
      <c r="P39" s="25" t="inlineStr">
        <is>
          <t>Sim</t>
        </is>
      </c>
      <c r="Q39" s="25" t="n">
        <v>171</v>
      </c>
      <c r="R39" s="25" t="n">
        <v>32</v>
      </c>
      <c r="S39" s="25" t="n">
        <v>697.77</v>
      </c>
      <c r="T39" s="25" t="inlineStr">
        <is>
          <t>COMPRA B2B</t>
        </is>
      </c>
      <c r="U39" s="25" t="n">
        <v>0</v>
      </c>
      <c r="V39" s="25" t="n">
        <v>0</v>
      </c>
      <c r="W39" s="25" t="n">
        <v>0</v>
      </c>
      <c r="X39" s="25" t="n">
        <v>0</v>
      </c>
      <c r="Y39" s="25" t="n">
        <v>0</v>
      </c>
      <c r="Z39" s="25" t="n">
        <v>0</v>
      </c>
      <c r="AA39" s="25" t="n">
        <v>0</v>
      </c>
      <c r="AB39" s="25" t="n">
        <v>0</v>
      </c>
      <c r="AC39" s="25" t="n">
        <v>0</v>
      </c>
      <c r="AD39" s="25" t="n">
        <v>0</v>
      </c>
      <c r="AE39" s="25" t="n">
        <v>697.77</v>
      </c>
      <c r="AF39" s="25" t="n">
        <v>0</v>
      </c>
      <c r="AG39" s="25" t="n">
        <v>0</v>
      </c>
      <c r="AH39" s="25" t="n">
        <v>1</v>
      </c>
      <c r="AI39" s="25" t="inlineStr">
        <is>
          <t>C</t>
        </is>
      </c>
      <c r="AJ39" s="25" t="n">
        <v>1</v>
      </c>
      <c r="AK39" s="25" t="n">
        <v>697.77</v>
      </c>
      <c r="AL39" s="26" t="n">
        <v>46063.65902777778</v>
      </c>
      <c r="AM39" s="26" t="n">
        <v>46063.65902777778</v>
      </c>
      <c r="AN39" s="25" t="inlineStr">
        <is>
          <t>LIGAÇÃO</t>
        </is>
      </c>
      <c r="AO39" s="28" t="inlineStr">
        <is>
          <t>FOI FATURADO DIA 06/02 , PRAZO DE RECOMPRA VAI MUDAR</t>
        </is>
      </c>
      <c r="AP39" s="27">
        <f>IF(AH39="","",IF(AH39=0,"PROSPECT",IF(AH39=1,"NOVO",IF(AH39&lt;=3,"EM DESENVOLVIMENTO",IF(AH39&lt;=6,"RECORRENTE","FIDELIZADO")))))</f>
        <v/>
      </c>
      <c r="AQ39" s="27">
        <f>IF(AJ39=0,0,IFERROR(SUM(U39:AF39)/AJ39,0))</f>
        <v/>
      </c>
      <c r="AS39" s="0" t="inlineStr">
        <is>
          <t>Carteira FEV/26 + Atend FEV/26 + Ecom FEV/26</t>
        </is>
      </c>
    </row>
    <row r="40" ht="14.25" customHeight="1" s="16">
      <c r="A40" s="25" t="inlineStr">
        <is>
          <t>EMPORIO DOLL PRODUTOS NATURAIS</t>
        </is>
      </c>
      <c r="B40" s="25" t="inlineStr">
        <is>
          <t>33778381000193</t>
        </is>
      </c>
      <c r="C40" s="25" t="inlineStr">
        <is>
          <t>GAMA COMERCIO LTDA</t>
        </is>
      </c>
      <c r="D40" s="25" t="inlineStr">
        <is>
          <t>MA</t>
        </is>
      </c>
      <c r="E40" s="25" t="inlineStr">
        <is>
          <t>SAO LUIS</t>
        </is>
      </c>
      <c r="F40" s="25" t="inlineStr">
        <is>
          <t>saoluis.emporiodoll@gmail.com</t>
        </is>
      </c>
      <c r="G40" s="25" t="inlineStr">
        <is>
          <t>+55 (98) 99216-3527</t>
        </is>
      </c>
      <c r="H40" s="25" t="inlineStr">
        <is>
          <t>08/10/2024</t>
        </is>
      </c>
      <c r="I40" s="25" t="n"/>
      <c r="J40" s="25" t="inlineStr">
        <is>
          <t>LARISSA PADILHA</t>
        </is>
      </c>
      <c r="K40" s="25" t="inlineStr">
        <is>
          <t>Larissa Padilha</t>
        </is>
      </c>
      <c r="L40" s="25" t="n">
        <v>41</v>
      </c>
      <c r="M40" s="25" t="inlineStr">
        <is>
          <t>05/01/2026</t>
        </is>
      </c>
      <c r="N40" s="25" t="n">
        <v>934.5700000000001</v>
      </c>
      <c r="O40" s="25" t="n"/>
      <c r="P40" s="25" t="inlineStr">
        <is>
          <t>Sim</t>
        </is>
      </c>
      <c r="Q40" s="25" t="n">
        <v>270</v>
      </c>
      <c r="R40" s="25" t="n">
        <v>89</v>
      </c>
      <c r="S40" s="25" t="n">
        <v>2700.74</v>
      </c>
      <c r="T40" s="25" t="inlineStr">
        <is>
          <t>COMPRA B2B</t>
        </is>
      </c>
      <c r="U40" s="25" t="n">
        <v>0</v>
      </c>
      <c r="V40" s="25" t="n">
        <v>0</v>
      </c>
      <c r="W40" s="25" t="n">
        <v>951.12</v>
      </c>
      <c r="X40" s="25" t="n">
        <v>815.05</v>
      </c>
      <c r="Y40" s="25" t="n">
        <v>0</v>
      </c>
      <c r="Z40" s="25" t="n">
        <v>0</v>
      </c>
      <c r="AA40" s="25" t="n">
        <v>0</v>
      </c>
      <c r="AB40" s="25" t="n">
        <v>1504.83</v>
      </c>
      <c r="AC40" s="25" t="n">
        <v>0</v>
      </c>
      <c r="AD40" s="25" t="n">
        <v>0</v>
      </c>
      <c r="AE40" s="25" t="n">
        <v>934.5700000000001</v>
      </c>
      <c r="AF40" s="25" t="n">
        <v>0</v>
      </c>
      <c r="AG40" s="25" t="n">
        <v>81.33329999999999</v>
      </c>
      <c r="AH40" s="25" t="n">
        <v>4</v>
      </c>
      <c r="AI40" s="25" t="inlineStr">
        <is>
          <t>A</t>
        </is>
      </c>
      <c r="AJ40" s="25" t="n">
        <v>4</v>
      </c>
      <c r="AK40" s="25" t="n">
        <v>1051.39</v>
      </c>
      <c r="AL40" s="26" t="n">
        <v>46065.58680555555</v>
      </c>
      <c r="AM40" s="26" t="n">
        <v>46065.58680555555</v>
      </c>
      <c r="AN40" s="25" t="inlineStr">
        <is>
          <t>WHATSAPP</t>
        </is>
      </c>
      <c r="AO40" s="25" t="inlineStr">
        <is>
          <t>PRODUTO PARADO | Cliente tem muitos itens vencendo em loja, negociar bonificação ou desconto no próximo pedido</t>
        </is>
      </c>
      <c r="AP40" s="27">
        <f>IF(AH40="","",IF(AH40=0,"PROSPECT",IF(AH40=1,"NOVO",IF(AH40&lt;=3,"EM DESENVOLVIMENTO",IF(AH40&lt;=6,"RECORRENTE","FIDELIZADO")))))</f>
        <v/>
      </c>
      <c r="AQ40" s="27">
        <f>IF(AJ40=0,0,IFERROR(SUM(U40:AF40)/AJ40,0))</f>
        <v/>
      </c>
      <c r="AS40" s="0" t="inlineStr">
        <is>
          <t>Carteira FEV/26 + Atend FEV/26</t>
        </is>
      </c>
    </row>
    <row r="41" ht="14.25" customHeight="1" s="16">
      <c r="A41" s="25" t="inlineStr">
        <is>
          <t>ESSENCIAL VIDA E SAUDE LTDA</t>
        </is>
      </c>
      <c r="B41" s="25" t="inlineStr">
        <is>
          <t>63442702000145</t>
        </is>
      </c>
      <c r="C41" s="25" t="inlineStr">
        <is>
          <t>ESSENCIAL VIDA E SAUDE LTDA</t>
        </is>
      </c>
      <c r="D41" s="25" t="inlineStr">
        <is>
          <t>BA</t>
        </is>
      </c>
      <c r="E41" s="25" t="inlineStr">
        <is>
          <t>ALAGOINHA</t>
        </is>
      </c>
      <c r="F41" s="25" t="inlineStr">
        <is>
          <t>loja.lagoinhasba@redevidaleve.com</t>
        </is>
      </c>
      <c r="G41" s="25" t="inlineStr">
        <is>
          <t>+55 (75) 9968-3079</t>
        </is>
      </c>
      <c r="H41" s="25" t="inlineStr">
        <is>
          <t>21/01/2026</t>
        </is>
      </c>
      <c r="I41" s="25" t="inlineStr">
        <is>
          <t>VIDA LEVE</t>
        </is>
      </c>
      <c r="J41" s="25" t="inlineStr">
        <is>
          <t>DAIANE STAVICKI</t>
        </is>
      </c>
      <c r="K41" s="25" t="inlineStr">
        <is>
          <t>Central - Daiane</t>
        </is>
      </c>
      <c r="L41" s="25" t="n">
        <v>20</v>
      </c>
      <c r="M41" s="25" t="inlineStr">
        <is>
          <t>26/01/2026</t>
        </is>
      </c>
      <c r="N41" s="25" t="n">
        <v>1513.14</v>
      </c>
      <c r="O41" s="25" t="n"/>
      <c r="P41" s="25" t="n"/>
      <c r="Q41" s="25" t="n"/>
      <c r="R41" s="25" t="n"/>
      <c r="S41" s="25" t="n"/>
      <c r="T41" s="25" t="n"/>
      <c r="U41" s="25" t="n">
        <v>0</v>
      </c>
      <c r="V41" s="25" t="n">
        <v>0</v>
      </c>
      <c r="W41" s="25" t="n">
        <v>0</v>
      </c>
      <c r="X41" s="25" t="n">
        <v>0</v>
      </c>
      <c r="Y41" s="25" t="n">
        <v>0</v>
      </c>
      <c r="Z41" s="25" t="n">
        <v>0</v>
      </c>
      <c r="AA41" s="25" t="n">
        <v>0</v>
      </c>
      <c r="AB41" s="25" t="n">
        <v>0</v>
      </c>
      <c r="AC41" s="25" t="n">
        <v>0</v>
      </c>
      <c r="AD41" s="25" t="n">
        <v>0</v>
      </c>
      <c r="AE41" s="25" t="n">
        <v>0</v>
      </c>
      <c r="AF41" s="25" t="n">
        <v>0</v>
      </c>
      <c r="AG41" s="25" t="n">
        <v>0</v>
      </c>
      <c r="AH41" s="25" t="n">
        <v>0</v>
      </c>
      <c r="AI41" s="25" t="n"/>
      <c r="AJ41" s="25" t="n">
        <v>0</v>
      </c>
      <c r="AK41" s="25" t="n">
        <v>0</v>
      </c>
      <c r="AL41" s="25" t="n"/>
      <c r="AM41" s="25" t="n"/>
      <c r="AN41" s="25" t="n"/>
      <c r="AO41" s="25" t="n"/>
      <c r="AP41" s="27">
        <f>IF(AH41="","",IF(AH41=0,"PROSPECT",IF(AH41=1,"NOVO",IF(AH41&lt;=3,"EM DESENVOLVIMENTO",IF(AH41&lt;=6,"RECORRENTE","FIDELIZADO")))))</f>
        <v/>
      </c>
      <c r="AQ41" s="27">
        <f>IF(AJ41=0,0,IFERROR(SUM(U41:AF41)/AJ41,0))</f>
        <v/>
      </c>
      <c r="AS41" s="0" t="inlineStr">
        <is>
          <t>Carteira FEV/26</t>
        </is>
      </c>
    </row>
    <row r="42" ht="14.25" customHeight="1" s="16">
      <c r="A42" s="25" t="inlineStr">
        <is>
          <t>FACILITIES EDUCACIONAIS LTDA</t>
        </is>
      </c>
      <c r="B42" s="25" t="inlineStr">
        <is>
          <t>32387943000105</t>
        </is>
      </c>
      <c r="C42" s="25" t="inlineStr">
        <is>
          <t>FACILITIES EDUCACIONAIS LTDA</t>
        </is>
      </c>
      <c r="D42" s="25" t="inlineStr">
        <is>
          <t>PR</t>
        </is>
      </c>
      <c r="E42" s="25" t="inlineStr">
        <is>
          <t>CAMPO LARGO</t>
        </is>
      </c>
      <c r="F42" s="25" t="inlineStr">
        <is>
          <t>abreu@facilitiesedu.com</t>
        </is>
      </c>
      <c r="G42" s="25" t="inlineStr">
        <is>
          <t>+55 (11) 93257-4943</t>
        </is>
      </c>
      <c r="H42" s="25" t="inlineStr">
        <is>
          <t>13/10/2025</t>
        </is>
      </c>
      <c r="I42" s="25" t="n"/>
      <c r="J42" s="25" t="inlineStr">
        <is>
          <t>DAIANE STAVICKI</t>
        </is>
      </c>
      <c r="K42" s="25" t="inlineStr">
        <is>
          <t>Central - Daiane</t>
        </is>
      </c>
      <c r="L42" s="25" t="n">
        <v>58</v>
      </c>
      <c r="M42" s="25" t="inlineStr">
        <is>
          <t>19/12/2025</t>
        </is>
      </c>
      <c r="N42" s="25" t="n">
        <v>17696.63</v>
      </c>
      <c r="O42" s="25" t="n"/>
      <c r="P42" s="25" t="n"/>
      <c r="Q42" s="25" t="n"/>
      <c r="R42" s="25" t="n"/>
      <c r="S42" s="25" t="n"/>
      <c r="T42" s="25" t="n"/>
      <c r="U42" s="25" t="n">
        <v>0</v>
      </c>
      <c r="V42" s="25" t="n">
        <v>0</v>
      </c>
      <c r="W42" s="25" t="n">
        <v>0</v>
      </c>
      <c r="X42" s="25" t="n">
        <v>0</v>
      </c>
      <c r="Y42" s="25" t="n">
        <v>0</v>
      </c>
      <c r="Z42" s="25" t="n">
        <v>0</v>
      </c>
      <c r="AA42" s="25" t="n">
        <v>0</v>
      </c>
      <c r="AB42" s="25" t="n">
        <v>80302.28</v>
      </c>
      <c r="AC42" s="25" t="n">
        <v>0</v>
      </c>
      <c r="AD42" s="25" t="n">
        <v>58302.12</v>
      </c>
      <c r="AE42" s="25" t="n">
        <v>0</v>
      </c>
      <c r="AF42" s="25" t="n">
        <v>0</v>
      </c>
      <c r="AG42" s="25" t="n">
        <v>67</v>
      </c>
      <c r="AH42" s="25" t="n">
        <v>3</v>
      </c>
      <c r="AI42" s="25" t="inlineStr">
        <is>
          <t>A</t>
        </is>
      </c>
      <c r="AJ42" s="25" t="n">
        <v>2</v>
      </c>
      <c r="AK42" s="25" t="n">
        <v>46201.47</v>
      </c>
      <c r="AL42" s="25" t="n"/>
      <c r="AM42" s="25" t="n"/>
      <c r="AN42" s="25" t="n"/>
      <c r="AO42" s="25" t="n"/>
      <c r="AP42" s="27">
        <f>IF(AH42="","",IF(AH42=0,"PROSPECT",IF(AH42=1,"NOVO",IF(AH42&lt;=3,"EM DESENVOLVIMENTO",IF(AH42&lt;=6,"RECORRENTE","FIDELIZADO")))))</f>
        <v/>
      </c>
      <c r="AQ42" s="27">
        <f>IF(AJ42=0,0,IFERROR(SUM(U42:AF42)/AJ42,0))</f>
        <v/>
      </c>
      <c r="AR42" s="15" t="inlineStr">
        <is>
          <t>⚠️ DDD(11)=SP≠PR</t>
        </is>
      </c>
      <c r="AS42" s="0" t="inlineStr">
        <is>
          <t>Carteira FEV/26</t>
        </is>
      </c>
    </row>
    <row r="43" ht="14.25" customHeight="1" s="16">
      <c r="A43" s="25" t="inlineStr">
        <is>
          <t>FIT NUTRICAO</t>
        </is>
      </c>
      <c r="B43" s="25" t="inlineStr">
        <is>
          <t>57425671000111</t>
        </is>
      </c>
      <c r="C43" s="25" t="inlineStr">
        <is>
          <t>P &amp; M NUTRICAO LTDA</t>
        </is>
      </c>
      <c r="D43" s="25" t="inlineStr">
        <is>
          <t>RS</t>
        </is>
      </c>
      <c r="E43" s="25" t="inlineStr">
        <is>
          <t>SANTO ANGELO</t>
        </is>
      </c>
      <c r="F43" s="25" t="inlineStr">
        <is>
          <t>fitlandsantoangelo@gmail.com</t>
        </is>
      </c>
      <c r="G43" s="25" t="inlineStr">
        <is>
          <t>+55 (55) 9149-8448</t>
        </is>
      </c>
      <c r="H43" s="25" t="inlineStr">
        <is>
          <t>25/07/2025</t>
        </is>
      </c>
      <c r="I43" s="25" t="inlineStr">
        <is>
          <t>[Rede] Fit Land</t>
        </is>
      </c>
      <c r="J43" s="25" t="inlineStr">
        <is>
          <t>DAIANE STAVICKI</t>
        </is>
      </c>
      <c r="K43" s="25" t="inlineStr">
        <is>
          <t>Central - Daiane</t>
        </is>
      </c>
      <c r="L43" s="25" t="n">
        <v>30</v>
      </c>
      <c r="M43" s="25" t="inlineStr">
        <is>
          <t>16/01/2026</t>
        </is>
      </c>
      <c r="N43" s="25" t="n">
        <v>729.9400000000001</v>
      </c>
      <c r="O43" s="25" t="n"/>
      <c r="P43" s="25" t="n"/>
      <c r="Q43" s="25" t="n">
        <v>1</v>
      </c>
      <c r="R43" s="25" t="n"/>
      <c r="S43" s="25" t="n">
        <v>924.6799999999999</v>
      </c>
      <c r="T43" s="25" t="inlineStr">
        <is>
          <t>COMPRA B2B</t>
        </is>
      </c>
      <c r="U43" s="25" t="n">
        <v>0</v>
      </c>
      <c r="V43" s="25" t="n">
        <v>0</v>
      </c>
      <c r="W43" s="25" t="n">
        <v>880</v>
      </c>
      <c r="X43" s="25" t="n">
        <v>1218.44</v>
      </c>
      <c r="Y43" s="25" t="n">
        <v>0</v>
      </c>
      <c r="Z43" s="25" t="n">
        <v>924.6799999999999</v>
      </c>
      <c r="AA43" s="25" t="n">
        <v>0</v>
      </c>
      <c r="AB43" s="25" t="n">
        <v>0</v>
      </c>
      <c r="AC43" s="25" t="n">
        <v>0</v>
      </c>
      <c r="AD43" s="25" t="n">
        <v>0</v>
      </c>
      <c r="AE43" s="25" t="n">
        <v>729.9400000000001</v>
      </c>
      <c r="AF43" s="25" t="n">
        <v>0</v>
      </c>
      <c r="AG43" s="25" t="n">
        <v>143</v>
      </c>
      <c r="AH43" s="25" t="n">
        <v>4</v>
      </c>
      <c r="AI43" s="25" t="inlineStr">
        <is>
          <t>C</t>
        </is>
      </c>
      <c r="AJ43" s="25" t="n">
        <v>4</v>
      </c>
      <c r="AK43" s="25" t="n">
        <v>938.26</v>
      </c>
      <c r="AL43" s="26" t="n">
        <v>46036.3640162037</v>
      </c>
      <c r="AM43" s="26" t="n">
        <v>46036.3640162037</v>
      </c>
      <c r="AN43" s="25" t="inlineStr">
        <is>
          <t>WHATSAPP</t>
        </is>
      </c>
      <c r="AO43" s="28" t="inlineStr">
        <is>
          <t>FITLAND - PATRICIA - RS</t>
        </is>
      </c>
      <c r="AP43" s="27">
        <f>IF(AH43="","",IF(AH43=0,"PROSPECT",IF(AH43=1,"NOVO",IF(AH43&lt;=3,"EM DESENVOLVIMENTO",IF(AH43&lt;=6,"RECORRENTE","FIDELIZADO")))))</f>
        <v/>
      </c>
      <c r="AQ43" s="27">
        <f>IF(AJ43=0,0,IFERROR(SUM(U43:AF43)/AJ43,0))</f>
        <v/>
      </c>
      <c r="AS43" s="0" t="inlineStr">
        <is>
          <t>Carteira FEV/26</t>
        </is>
      </c>
    </row>
    <row r="44" ht="14.25" customHeight="1" s="16">
      <c r="A44" s="25" t="inlineStr">
        <is>
          <t>FITLAND BLUMENAU AGUA VERDE</t>
        </is>
      </c>
      <c r="B44" s="25" t="inlineStr">
        <is>
          <t>49982339000120</t>
        </is>
      </c>
      <c r="C44" s="25" t="inlineStr">
        <is>
          <t>MDORNELLAS PRODUTOS NATURAIS E SUPLEMENTOS LTDA</t>
        </is>
      </c>
      <c r="D44" s="25" t="inlineStr">
        <is>
          <t>SC</t>
        </is>
      </c>
      <c r="E44" s="25" t="inlineStr">
        <is>
          <t>BLUMENAU</t>
        </is>
      </c>
      <c r="F44" s="25" t="inlineStr">
        <is>
          <t>redefitland19@gmail.com</t>
        </is>
      </c>
      <c r="G44" s="25" t="inlineStr">
        <is>
          <t>+55 (47) 9995-6980</t>
        </is>
      </c>
      <c r="H44" s="25" t="inlineStr">
        <is>
          <t>08/10/2024</t>
        </is>
      </c>
      <c r="I44" s="25" t="inlineStr">
        <is>
          <t>[Rede] Fit Land</t>
        </is>
      </c>
      <c r="J44" s="25" t="inlineStr">
        <is>
          <t>JULIO GADRET</t>
        </is>
      </c>
      <c r="K44" s="25" t="inlineStr">
        <is>
          <t>Julio  Gadret</t>
        </is>
      </c>
      <c r="L44" s="25" t="n">
        <v>26</v>
      </c>
      <c r="M44" s="25" t="inlineStr">
        <is>
          <t>20/01/2026</t>
        </is>
      </c>
      <c r="N44" s="25" t="n">
        <v>1795.52</v>
      </c>
      <c r="O44" s="25" t="n">
        <v>4</v>
      </c>
      <c r="P44" s="25" t="inlineStr">
        <is>
          <t>Sim</t>
        </is>
      </c>
      <c r="Q44" s="25" t="n">
        <v>113</v>
      </c>
      <c r="R44" s="25" t="n">
        <v>63</v>
      </c>
      <c r="S44" s="25" t="n">
        <v>11985.62</v>
      </c>
      <c r="T44" s="25" t="inlineStr">
        <is>
          <t>COMPRA B2B</t>
        </is>
      </c>
      <c r="U44" s="25" t="n">
        <v>0</v>
      </c>
      <c r="V44" s="25" t="n">
        <v>0</v>
      </c>
      <c r="W44" s="25" t="n">
        <v>0</v>
      </c>
      <c r="X44" s="25" t="n">
        <v>2643.25</v>
      </c>
      <c r="Y44" s="25" t="n">
        <v>1678.98</v>
      </c>
      <c r="Z44" s="25" t="n">
        <v>4220.08</v>
      </c>
      <c r="AA44" s="25" t="n">
        <v>2074.89</v>
      </c>
      <c r="AB44" s="25" t="n">
        <v>0</v>
      </c>
      <c r="AC44" s="25" t="n">
        <v>1251.88</v>
      </c>
      <c r="AD44" s="25" t="n">
        <v>0</v>
      </c>
      <c r="AE44" s="25" t="n">
        <v>1795.52</v>
      </c>
      <c r="AF44" s="25" t="n">
        <v>0</v>
      </c>
      <c r="AG44" s="25" t="n">
        <v>37.1667</v>
      </c>
      <c r="AH44" s="25" t="n">
        <v>6</v>
      </c>
      <c r="AI44" s="25" t="inlineStr">
        <is>
          <t>A</t>
        </is>
      </c>
      <c r="AJ44" s="25" t="n">
        <v>6</v>
      </c>
      <c r="AK44" s="25" t="n">
        <v>2277.43</v>
      </c>
      <c r="AL44" s="25" t="n"/>
      <c r="AM44" s="25" t="n"/>
      <c r="AN44" s="25" t="n"/>
      <c r="AO44" s="25" t="n"/>
      <c r="AP44" s="27">
        <f>IF(AH44="","",IF(AH44=0,"PROSPECT",IF(AH44=1,"NOVO",IF(AH44&lt;=3,"EM DESENVOLVIMENTO",IF(AH44&lt;=6,"RECORRENTE","FIDELIZADO")))))</f>
        <v/>
      </c>
      <c r="AQ44" s="27">
        <f>IF(AJ44=0,0,IFERROR(SUM(U44:AF44)/AJ44,0))</f>
        <v/>
      </c>
      <c r="AS44" s="0" t="inlineStr">
        <is>
          <t>Carteira FEV/26 + Ecom FEV/26</t>
        </is>
      </c>
    </row>
    <row r="45" ht="14.25" customHeight="1" s="16">
      <c r="A45" s="25" t="inlineStr">
        <is>
          <t>FPPI NATURAIS E SUPLEMENTOS</t>
        </is>
      </c>
      <c r="B45" s="25" t="inlineStr">
        <is>
          <t>63964303000144</t>
        </is>
      </c>
      <c r="C45" s="25" t="inlineStr">
        <is>
          <t>FPPI NATURAIS E SUPLEMENTOS LTDA</t>
        </is>
      </c>
      <c r="D45" s="25" t="inlineStr">
        <is>
          <t>SC</t>
        </is>
      </c>
      <c r="E45" s="25" t="inlineStr">
        <is>
          <t>TIMBO</t>
        </is>
      </c>
      <c r="F45" s="25" t="inlineStr">
        <is>
          <t>FPPINATURAIS@GMAIL.COM</t>
        </is>
      </c>
      <c r="G45" s="25" t="inlineStr">
        <is>
          <t>+55 (47) 8866-8282</t>
        </is>
      </c>
      <c r="H45" s="25" t="inlineStr">
        <is>
          <t>04/02/2026</t>
        </is>
      </c>
      <c r="I45" s="25" t="inlineStr">
        <is>
          <t>[Rede] Fit Land</t>
        </is>
      </c>
      <c r="J45" s="25" t="inlineStr">
        <is>
          <t>JULIO GADRET</t>
        </is>
      </c>
      <c r="K45" s="25" t="inlineStr">
        <is>
          <t>Julio  Gadret</t>
        </is>
      </c>
      <c r="L45" s="25" t="n">
        <v>11</v>
      </c>
      <c r="M45" s="25" t="inlineStr">
        <is>
          <t>04/02/2026</t>
        </is>
      </c>
      <c r="N45" s="25" t="n">
        <v>696.9</v>
      </c>
      <c r="O45" s="25" t="n"/>
      <c r="P45" s="25" t="n"/>
      <c r="Q45" s="25" t="n"/>
      <c r="R45" s="25" t="n"/>
      <c r="S45" s="25" t="n"/>
      <c r="T45" s="25" t="n"/>
      <c r="U45" s="25" t="n">
        <v>0</v>
      </c>
      <c r="V45" s="25" t="n">
        <v>0</v>
      </c>
      <c r="W45" s="25" t="n">
        <v>0</v>
      </c>
      <c r="X45" s="25" t="n">
        <v>0</v>
      </c>
      <c r="Y45" s="25" t="n">
        <v>0</v>
      </c>
      <c r="Z45" s="25" t="n">
        <v>0</v>
      </c>
      <c r="AA45" s="25" t="n">
        <v>0</v>
      </c>
      <c r="AB45" s="25" t="n">
        <v>0</v>
      </c>
      <c r="AC45" s="25" t="n">
        <v>0</v>
      </c>
      <c r="AD45" s="25" t="n">
        <v>0</v>
      </c>
      <c r="AE45" s="25" t="n">
        <v>0</v>
      </c>
      <c r="AF45" s="25" t="n">
        <v>696.9</v>
      </c>
      <c r="AG45" s="25" t="n">
        <v>0</v>
      </c>
      <c r="AH45" s="25" t="n">
        <v>1</v>
      </c>
      <c r="AI45" s="25" t="inlineStr">
        <is>
          <t>C</t>
        </is>
      </c>
      <c r="AJ45" s="25" t="n">
        <v>1</v>
      </c>
      <c r="AK45" s="25" t="n">
        <v>696.9</v>
      </c>
      <c r="AL45" s="26" t="n">
        <v>46050.55762731482</v>
      </c>
      <c r="AM45" s="26" t="n">
        <v>46050.55762731482</v>
      </c>
      <c r="AN45" s="25" t="inlineStr">
        <is>
          <t>WHATSAPP</t>
        </is>
      </c>
      <c r="AO45" s="25" t="inlineStr">
        <is>
          <t>FITLAND - FABIAN - SC</t>
        </is>
      </c>
      <c r="AP45" s="27">
        <f>IF(AH45="","",IF(AH45=0,"PROSPECT",IF(AH45=1,"NOVO",IF(AH45&lt;=3,"EM DESENVOLVIMENTO",IF(AH45&lt;=6,"RECORRENTE","FIDELIZADO")))))</f>
        <v/>
      </c>
      <c r="AQ45" s="27">
        <f>IF(AJ45=0,0,IFERROR(SUM(U45:AF45)/AJ45,0))</f>
        <v/>
      </c>
      <c r="AS45" s="0" t="inlineStr">
        <is>
          <t>Carteira FEV/26 + Vendas FEV/26 + ABC FEV/26</t>
        </is>
      </c>
    </row>
    <row r="46" ht="14.25" customHeight="1" s="16">
      <c r="A46" s="25" t="inlineStr">
        <is>
          <t>FRANQUIA FITLAND BLUMENAU</t>
        </is>
      </c>
      <c r="B46" s="25" t="inlineStr">
        <is>
          <t>40917018000177</t>
        </is>
      </c>
      <c r="C46" s="25" t="inlineStr">
        <is>
          <t>EPC PRODUTOS NATURAIS E SUPLEMENTACAO LTDA</t>
        </is>
      </c>
      <c r="D46" s="25" t="inlineStr">
        <is>
          <t>SC</t>
        </is>
      </c>
      <c r="E46" s="25" t="inlineStr">
        <is>
          <t>BLUMENAU</t>
        </is>
      </c>
      <c r="F46" s="25" t="inlineStr">
        <is>
          <t>redefitland19@gmail.com</t>
        </is>
      </c>
      <c r="G46" s="25" t="inlineStr">
        <is>
          <t>+55 (47) 99995-6980</t>
        </is>
      </c>
      <c r="H46" s="25" t="inlineStr">
        <is>
          <t>08/10/2024</t>
        </is>
      </c>
      <c r="I46" s="25" t="inlineStr">
        <is>
          <t>[Rede] Fit Land</t>
        </is>
      </c>
      <c r="J46" s="25" t="inlineStr">
        <is>
          <t>JULIO GADRET</t>
        </is>
      </c>
      <c r="K46" s="25" t="inlineStr">
        <is>
          <t>Julio  Gadret</t>
        </is>
      </c>
      <c r="L46" s="25" t="n">
        <v>27</v>
      </c>
      <c r="M46" s="25" t="inlineStr">
        <is>
          <t>19/01/2026</t>
        </is>
      </c>
      <c r="N46" s="25" t="n">
        <v>1018.04</v>
      </c>
      <c r="O46" s="25" t="n">
        <v>4</v>
      </c>
      <c r="P46" s="25" t="inlineStr">
        <is>
          <t>Sim</t>
        </is>
      </c>
      <c r="Q46" s="25" t="n">
        <v>100</v>
      </c>
      <c r="R46" s="25" t="n">
        <v>50</v>
      </c>
      <c r="S46" s="25" t="n">
        <v>8334.33</v>
      </c>
      <c r="T46" s="25" t="inlineStr">
        <is>
          <t>COMPRA B2B</t>
        </is>
      </c>
      <c r="U46" s="25" t="n">
        <v>0</v>
      </c>
      <c r="V46" s="25" t="n">
        <v>0</v>
      </c>
      <c r="W46" s="25" t="n">
        <v>0</v>
      </c>
      <c r="X46" s="25" t="n">
        <v>2643.25</v>
      </c>
      <c r="Y46" s="25" t="n">
        <v>1867.12</v>
      </c>
      <c r="Z46" s="25" t="n">
        <v>2176.64</v>
      </c>
      <c r="AA46" s="25" t="n">
        <v>1347.96</v>
      </c>
      <c r="AB46" s="25" t="n">
        <v>1558.71</v>
      </c>
      <c r="AC46" s="25" t="n">
        <v>0</v>
      </c>
      <c r="AD46" s="25" t="n">
        <v>1148.44</v>
      </c>
      <c r="AE46" s="25" t="n">
        <v>1018.04</v>
      </c>
      <c r="AF46" s="25" t="n">
        <v>0</v>
      </c>
      <c r="AG46" s="25" t="n">
        <v>31.7143</v>
      </c>
      <c r="AH46" s="25" t="n">
        <v>8</v>
      </c>
      <c r="AI46" s="25" t="inlineStr">
        <is>
          <t>A</t>
        </is>
      </c>
      <c r="AJ46" s="25" t="n">
        <v>7</v>
      </c>
      <c r="AK46" s="25" t="n">
        <v>1470.02</v>
      </c>
      <c r="AL46" s="26" t="n">
        <v>45894.50069444445</v>
      </c>
      <c r="AM46" s="26" t="n">
        <v>45894.50069444445</v>
      </c>
      <c r="AN46" s="25" t="inlineStr">
        <is>
          <t>WHATSAPP</t>
        </is>
      </c>
      <c r="AO46" s="25" t="inlineStr">
        <is>
          <t>NUTRIÇÃO | Envio de mensagem para verificar como está a saída dos produtos e conferir estoque</t>
        </is>
      </c>
      <c r="AP46" s="27">
        <f>IF(AH46="","",IF(AH46=0,"PROSPECT",IF(AH46=1,"NOVO",IF(AH46&lt;=3,"EM DESENVOLVIMENTO",IF(AH46&lt;=6,"RECORRENTE","FIDELIZADO")))))</f>
        <v/>
      </c>
      <c r="AQ46" s="27">
        <f>IF(AJ46=0,0,IFERROR(SUM(U46:AF46)/AJ46,0))</f>
        <v/>
      </c>
      <c r="AS46" s="0" t="inlineStr">
        <is>
          <t>Carteira FEV/26 + Ecom FEV/26</t>
        </is>
      </c>
    </row>
    <row r="47" ht="14.25" customHeight="1" s="16">
      <c r="A47" s="25" t="inlineStr">
        <is>
          <t>FRANQUIA FITLAND BLUMENAU SALTO WEISSBACH</t>
        </is>
      </c>
      <c r="B47" s="25" t="inlineStr">
        <is>
          <t>55483453000108</t>
        </is>
      </c>
      <c r="C47" s="25" t="inlineStr">
        <is>
          <t>MADOR PRODUTOS NATURAIS E SUPLEMENTOS LTDA</t>
        </is>
      </c>
      <c r="D47" s="25" t="inlineStr">
        <is>
          <t>SC</t>
        </is>
      </c>
      <c r="E47" s="25" t="inlineStr">
        <is>
          <t>BLUMENAU</t>
        </is>
      </c>
      <c r="F47" s="25" t="inlineStr">
        <is>
          <t>redefitland19@gmail.com</t>
        </is>
      </c>
      <c r="G47" s="25" t="inlineStr">
        <is>
          <t>+55 (47) 9995-6980</t>
        </is>
      </c>
      <c r="H47" s="25" t="inlineStr">
        <is>
          <t>08/10/2024</t>
        </is>
      </c>
      <c r="I47" s="25" t="inlineStr">
        <is>
          <t>[Rede] Fit Land</t>
        </is>
      </c>
      <c r="J47" s="25" t="inlineStr">
        <is>
          <t>JULIO GADRET</t>
        </is>
      </c>
      <c r="K47" s="25" t="inlineStr">
        <is>
          <t>Julio  Gadret</t>
        </is>
      </c>
      <c r="L47" s="25" t="n">
        <v>26</v>
      </c>
      <c r="M47" s="25" t="inlineStr">
        <is>
          <t>20/01/2026</t>
        </is>
      </c>
      <c r="N47" s="25" t="n">
        <v>1499.19</v>
      </c>
      <c r="O47" s="25" t="n">
        <v>2</v>
      </c>
      <c r="P47" s="25" t="inlineStr">
        <is>
          <t>Sim</t>
        </is>
      </c>
      <c r="Q47" s="25" t="n">
        <v>55</v>
      </c>
      <c r="R47" s="25" t="n">
        <v>27</v>
      </c>
      <c r="S47" s="25" t="n">
        <v>7268.39</v>
      </c>
      <c r="T47" s="25" t="inlineStr">
        <is>
          <t>COMPRA B2B</t>
        </is>
      </c>
      <c r="U47" s="25" t="n">
        <v>0</v>
      </c>
      <c r="V47" s="25" t="n">
        <v>0</v>
      </c>
      <c r="W47" s="25" t="n">
        <v>0</v>
      </c>
      <c r="X47" s="25" t="n">
        <v>1889.7</v>
      </c>
      <c r="Y47" s="25" t="n">
        <v>0</v>
      </c>
      <c r="Z47" s="25" t="n">
        <v>0</v>
      </c>
      <c r="AA47" s="25" t="n">
        <v>2126.48</v>
      </c>
      <c r="AB47" s="25" t="n">
        <v>2829.87</v>
      </c>
      <c r="AC47" s="25" t="n">
        <v>1753.02</v>
      </c>
      <c r="AD47" s="25" t="n">
        <v>0</v>
      </c>
      <c r="AE47" s="25" t="n">
        <v>1499.19</v>
      </c>
      <c r="AF47" s="25" t="n">
        <v>0</v>
      </c>
      <c r="AG47" s="25" t="n">
        <v>55.75</v>
      </c>
      <c r="AH47" s="25" t="n">
        <v>4</v>
      </c>
      <c r="AI47" s="25" t="inlineStr">
        <is>
          <t>A</t>
        </is>
      </c>
      <c r="AJ47" s="25" t="n">
        <v>5</v>
      </c>
      <c r="AK47" s="25" t="n">
        <v>2524.57</v>
      </c>
      <c r="AL47" s="25" t="n"/>
      <c r="AM47" s="25" t="n"/>
      <c r="AN47" s="25" t="n"/>
      <c r="AO47" s="25" t="n"/>
      <c r="AP47" s="27">
        <f>IF(AH47="","",IF(AH47=0,"PROSPECT",IF(AH47=1,"NOVO",IF(AH47&lt;=3,"EM DESENVOLVIMENTO",IF(AH47&lt;=6,"RECORRENTE","FIDELIZADO")))))</f>
        <v/>
      </c>
      <c r="AQ47" s="27">
        <f>IF(AJ47=0,0,IFERROR(SUM(U47:AF47)/AJ47,0))</f>
        <v/>
      </c>
      <c r="AS47" s="0" t="inlineStr">
        <is>
          <t>Carteira FEV/26 + Ecom FEV/26</t>
        </is>
      </c>
    </row>
    <row r="48" ht="14.25" customHeight="1" s="16">
      <c r="A48" s="25" t="inlineStr">
        <is>
          <t>GARVIA PRODUTOS NATURAIS LTDA</t>
        </is>
      </c>
      <c r="B48" s="25" t="inlineStr">
        <is>
          <t>62167819000103</t>
        </is>
      </c>
      <c r="C48" s="25" t="inlineStr">
        <is>
          <t>GARVIA PRODUTOS NATURAIS LTDA</t>
        </is>
      </c>
      <c r="D48" s="25" t="inlineStr">
        <is>
          <t>PB</t>
        </is>
      </c>
      <c r="E48" s="25" t="inlineStr">
        <is>
          <t>CAMPINA GRANDE</t>
        </is>
      </c>
      <c r="F48" s="25" t="inlineStr">
        <is>
          <t>LOJA.CAMPINAGRANDEPB@REDEVIDALEVE.COM.BR</t>
        </is>
      </c>
      <c r="G48" s="25" t="inlineStr">
        <is>
          <t>+55 (83) 8192-8914</t>
        </is>
      </c>
      <c r="H48" s="25" t="inlineStr">
        <is>
          <t>02/02/2026</t>
        </is>
      </c>
      <c r="I48" s="25" t="inlineStr">
        <is>
          <t>VIDA LEVE</t>
        </is>
      </c>
      <c r="J48" s="25" t="inlineStr">
        <is>
          <t>DAIANE STAVICKI</t>
        </is>
      </c>
      <c r="K48" s="25" t="inlineStr">
        <is>
          <t>Central - Daiane</t>
        </is>
      </c>
      <c r="L48" s="25" t="n">
        <v>10</v>
      </c>
      <c r="M48" s="25" t="inlineStr">
        <is>
          <t>05/02/2026</t>
        </is>
      </c>
      <c r="N48" s="25" t="n">
        <v>1986.21</v>
      </c>
      <c r="O48" s="25" t="n"/>
      <c r="P48" s="25" t="n"/>
      <c r="Q48" s="25" t="n"/>
      <c r="R48" s="25" t="n"/>
      <c r="S48" s="25" t="n"/>
      <c r="T48" s="25" t="n"/>
      <c r="U48" s="25" t="n">
        <v>0</v>
      </c>
      <c r="V48" s="25" t="n">
        <v>0</v>
      </c>
      <c r="W48" s="25" t="n">
        <v>0</v>
      </c>
      <c r="X48" s="25" t="n">
        <v>0</v>
      </c>
      <c r="Y48" s="25" t="n">
        <v>0</v>
      </c>
      <c r="Z48" s="25" t="n">
        <v>0</v>
      </c>
      <c r="AA48" s="25" t="n">
        <v>0</v>
      </c>
      <c r="AB48" s="25" t="n">
        <v>0</v>
      </c>
      <c r="AC48" s="25" t="n">
        <v>0</v>
      </c>
      <c r="AD48" s="25" t="n">
        <v>0</v>
      </c>
      <c r="AE48" s="25" t="n">
        <v>0</v>
      </c>
      <c r="AF48" s="25" t="n">
        <v>1986.21</v>
      </c>
      <c r="AG48" s="25" t="n">
        <v>0</v>
      </c>
      <c r="AH48" s="25" t="n">
        <v>1</v>
      </c>
      <c r="AI48" s="25" t="inlineStr">
        <is>
          <t>A</t>
        </is>
      </c>
      <c r="AJ48" s="25" t="n">
        <v>1</v>
      </c>
      <c r="AK48" s="25" t="n">
        <v>1986.21</v>
      </c>
      <c r="AL48" s="26" t="n">
        <v>46058.53958333333</v>
      </c>
      <c r="AM48" s="26" t="n">
        <v>46058.53958333333</v>
      </c>
      <c r="AN48" s="25" t="inlineStr">
        <is>
          <t>WHATSAPP</t>
        </is>
      </c>
      <c r="AO48" s="25" t="inlineStr">
        <is>
          <t>É INAUGURAÇÃO, VER QUE DIA INAUGURA</t>
        </is>
      </c>
      <c r="AP48" s="27">
        <f>IF(AH48="","",IF(AH48=0,"PROSPECT",IF(AH48=1,"NOVO",IF(AH48&lt;=3,"EM DESENVOLVIMENTO",IF(AH48&lt;=6,"RECORRENTE","FIDELIZADO")))))</f>
        <v/>
      </c>
      <c r="AQ48" s="27">
        <f>IF(AJ48=0,0,IFERROR(SUM(U48:AF48)/AJ48,0))</f>
        <v/>
      </c>
      <c r="AS48" s="0" t="inlineStr">
        <is>
          <t>Carteira FEV/26 + Atend FEV/26 + Vendas FEV/26 + ABC FEV/26</t>
        </is>
      </c>
    </row>
    <row r="49" ht="14.25" customHeight="1" s="16">
      <c r="A49" s="25" t="inlineStr">
        <is>
          <t>GRAO D'TERRA</t>
        </is>
      </c>
      <c r="B49" s="25" t="inlineStr">
        <is>
          <t>63487473000185</t>
        </is>
      </c>
      <c r="C49" s="25" t="inlineStr">
        <is>
          <t>KANITZ &amp; DANTAS LTDA</t>
        </is>
      </c>
      <c r="D49" s="25" t="inlineStr">
        <is>
          <t>ES</t>
        </is>
      </c>
      <c r="E49" s="25" t="inlineStr">
        <is>
          <t>ANCHIETA</t>
        </is>
      </c>
      <c r="F49" s="25" t="inlineStr">
        <is>
          <t>graodaterrairiri@gmail.com</t>
        </is>
      </c>
      <c r="G49" s="25" t="inlineStr">
        <is>
          <t>+55 (28) 99926-8380</t>
        </is>
      </c>
      <c r="H49" s="25" t="inlineStr">
        <is>
          <t>08/12/2025</t>
        </is>
      </c>
      <c r="I49" s="25" t="n"/>
      <c r="J49" s="25" t="inlineStr">
        <is>
          <t>LARISSA PADILHA</t>
        </is>
      </c>
      <c r="K49" s="25" t="inlineStr">
        <is>
          <t>Larissa Padilha</t>
        </is>
      </c>
      <c r="L49" s="25" t="n">
        <v>32</v>
      </c>
      <c r="M49" s="25" t="inlineStr">
        <is>
          <t>14/01/2026</t>
        </is>
      </c>
      <c r="N49" s="25" t="n">
        <v>863.41</v>
      </c>
      <c r="O49" s="25" t="n">
        <v>4</v>
      </c>
      <c r="P49" s="25" t="inlineStr">
        <is>
          <t>Sim</t>
        </is>
      </c>
      <c r="Q49" s="25" t="n">
        <v>37</v>
      </c>
      <c r="R49" s="25" t="n">
        <v>14</v>
      </c>
      <c r="S49" s="25" t="n">
        <v>863.41</v>
      </c>
      <c r="T49" s="25" t="inlineStr">
        <is>
          <t>COMPRA B2B</t>
        </is>
      </c>
      <c r="U49" s="25" t="n">
        <v>0</v>
      </c>
      <c r="V49" s="25" t="n">
        <v>0</v>
      </c>
      <c r="W49" s="25" t="n">
        <v>0</v>
      </c>
      <c r="X49" s="25" t="n">
        <v>0</v>
      </c>
      <c r="Y49" s="25" t="n">
        <v>0</v>
      </c>
      <c r="Z49" s="25" t="n">
        <v>0</v>
      </c>
      <c r="AA49" s="25" t="n">
        <v>0</v>
      </c>
      <c r="AB49" s="25" t="n">
        <v>0</v>
      </c>
      <c r="AC49" s="25" t="n">
        <v>0</v>
      </c>
      <c r="AD49" s="25" t="n">
        <v>0</v>
      </c>
      <c r="AE49" s="25" t="n">
        <v>863.41</v>
      </c>
      <c r="AF49" s="25" t="n">
        <v>0</v>
      </c>
      <c r="AG49" s="25" t="n">
        <v>0</v>
      </c>
      <c r="AH49" s="25" t="n">
        <v>1</v>
      </c>
      <c r="AI49" s="25" t="inlineStr">
        <is>
          <t>B</t>
        </is>
      </c>
      <c r="AJ49" s="25" t="n">
        <v>1</v>
      </c>
      <c r="AK49" s="25" t="n">
        <v>863.41</v>
      </c>
      <c r="AL49" s="26" t="n">
        <v>46034.57876157408</v>
      </c>
      <c r="AM49" s="26" t="n">
        <v>46034.57876157408</v>
      </c>
      <c r="AN49" s="25" t="inlineStr">
        <is>
          <t>WHATSAPP</t>
        </is>
      </c>
      <c r="AO49" s="28" t="inlineStr">
        <is>
          <t>GRAO D'TERRA - TAMIRES - ES</t>
        </is>
      </c>
      <c r="AP49" s="27">
        <f>IF(AH49="","",IF(AH49=0,"PROSPECT",IF(AH49=1,"NOVO",IF(AH49&lt;=3,"EM DESENVOLVIMENTO",IF(AH49&lt;=6,"RECORRENTE","FIDELIZADO")))))</f>
        <v/>
      </c>
      <c r="AQ49" s="27">
        <f>IF(AJ49=0,0,IFERROR(SUM(U49:AF49)/AJ49,0))</f>
        <v/>
      </c>
      <c r="AS49" s="0" t="inlineStr">
        <is>
          <t>Carteira FEV/26</t>
        </is>
      </c>
    </row>
    <row r="50" ht="14.25" customHeight="1" s="16">
      <c r="A50" s="25" t="inlineStr">
        <is>
          <t>GRAO E FLOR</t>
        </is>
      </c>
      <c r="B50" s="25" t="inlineStr">
        <is>
          <t>41774112000187</t>
        </is>
      </c>
      <c r="C50" s="25" t="inlineStr">
        <is>
          <t>GFGRAOS PRODUTOS ALIMENTICIOS LTDA</t>
        </is>
      </c>
      <c r="D50" s="25" t="inlineStr">
        <is>
          <t>PE</t>
        </is>
      </c>
      <c r="E50" s="25" t="inlineStr">
        <is>
          <t>TIMBAUBA</t>
        </is>
      </c>
      <c r="F50" s="25" t="inlineStr">
        <is>
          <t>atendimento@graoeflor.com.br</t>
        </is>
      </c>
      <c r="G50" s="25" t="inlineStr">
        <is>
          <t>+55 (81) 9259-5179</t>
        </is>
      </c>
      <c r="H50" s="25" t="inlineStr">
        <is>
          <t>21/01/2026</t>
        </is>
      </c>
      <c r="I50" s="25" t="n"/>
      <c r="J50" s="25" t="inlineStr">
        <is>
          <t>LARISSA PADILHA</t>
        </is>
      </c>
      <c r="K50" s="25" t="inlineStr">
        <is>
          <t>Larissa Padilha</t>
        </is>
      </c>
      <c r="L50" s="25" t="n">
        <v>24</v>
      </c>
      <c r="M50" s="25" t="inlineStr">
        <is>
          <t>22/01/2026</t>
        </is>
      </c>
      <c r="N50" s="25" t="n">
        <v>2831.66</v>
      </c>
      <c r="O50" s="25" t="n">
        <v>4</v>
      </c>
      <c r="P50" s="25" t="inlineStr">
        <is>
          <t>Sim</t>
        </is>
      </c>
      <c r="Q50" s="25" t="n">
        <v>74</v>
      </c>
      <c r="R50" s="25" t="n">
        <v>30</v>
      </c>
      <c r="S50" s="25" t="n">
        <v>2831.66</v>
      </c>
      <c r="T50" s="25" t="inlineStr">
        <is>
          <t>COMPRA B2B</t>
        </is>
      </c>
      <c r="U50" s="25" t="n">
        <v>0</v>
      </c>
      <c r="V50" s="25" t="n">
        <v>0</v>
      </c>
      <c r="W50" s="25" t="n">
        <v>0</v>
      </c>
      <c r="X50" s="25" t="n">
        <v>0</v>
      </c>
      <c r="Y50" s="25" t="n">
        <v>0</v>
      </c>
      <c r="Z50" s="25" t="n">
        <v>0</v>
      </c>
      <c r="AA50" s="25" t="n">
        <v>0</v>
      </c>
      <c r="AB50" s="25" t="n">
        <v>0</v>
      </c>
      <c r="AC50" s="25" t="n">
        <v>0</v>
      </c>
      <c r="AD50" s="25" t="n">
        <v>0</v>
      </c>
      <c r="AE50" s="25" t="n">
        <v>0</v>
      </c>
      <c r="AF50" s="25" t="n">
        <v>0</v>
      </c>
      <c r="AG50" s="25" t="n">
        <v>0</v>
      </c>
      <c r="AH50" s="25" t="n">
        <v>0</v>
      </c>
      <c r="AI50" s="25" t="n"/>
      <c r="AJ50" s="25" t="n">
        <v>0</v>
      </c>
      <c r="AK50" s="25" t="n">
        <v>0</v>
      </c>
      <c r="AL50" s="26" t="n">
        <v>46050.47231481481</v>
      </c>
      <c r="AM50" s="26" t="n">
        <v>46050.47231481481</v>
      </c>
      <c r="AN50" s="25" t="inlineStr">
        <is>
          <t>WHATSAPP</t>
        </is>
      </c>
      <c r="AO50" s="28" t="inlineStr">
        <is>
          <t>RASTREIO | GRÃO E FLOR - JOSENILDO - PE</t>
        </is>
      </c>
      <c r="AP50" s="27">
        <f>IF(AH50="","",IF(AH50=0,"PROSPECT",IF(AH50=1,"NOVO",IF(AH50&lt;=3,"EM DESENVOLVIMENTO",IF(AH50&lt;=6,"RECORRENTE","FIDELIZADO")))))</f>
        <v/>
      </c>
      <c r="AQ50" s="27">
        <f>IF(AJ50=0,0,IFERROR(SUM(U50:AF50)/AJ50,0))</f>
        <v/>
      </c>
      <c r="AS50" s="0" t="inlineStr">
        <is>
          <t>Carteira FEV/26</t>
        </is>
      </c>
    </row>
    <row r="51" ht="14.25" customHeight="1" s="16">
      <c r="A51" s="25" t="inlineStr">
        <is>
          <t>Garfit cozinha saudável</t>
        </is>
      </c>
      <c r="B51" s="25" t="inlineStr">
        <is>
          <t>52060534000107</t>
        </is>
      </c>
      <c r="C51" s="25" t="inlineStr">
        <is>
          <t>52.060.534 GABRIELA MELLO BIZARRO</t>
        </is>
      </c>
      <c r="D51" s="25" t="inlineStr">
        <is>
          <t>SC</t>
        </is>
      </c>
      <c r="E51" s="25" t="inlineStr">
        <is>
          <t>BALNEARIO CAMBORIU</t>
        </is>
      </c>
      <c r="F51" s="25" t="inlineStr">
        <is>
          <t>gabrielambizarro@hotmail.com</t>
        </is>
      </c>
      <c r="G51" s="25" t="inlineStr">
        <is>
          <t>+55 (47) 98908-1234</t>
        </is>
      </c>
      <c r="H51" s="25" t="inlineStr">
        <is>
          <t>16/12/2025</t>
        </is>
      </c>
      <c r="I51" s="25" t="n"/>
      <c r="J51" s="25" t="inlineStr">
        <is>
          <t>MANU DITZEL</t>
        </is>
      </c>
      <c r="K51" s="25" t="inlineStr">
        <is>
          <t>Manu Ditzel</t>
        </is>
      </c>
      <c r="L51" s="25" t="n">
        <v>34</v>
      </c>
      <c r="M51" s="25" t="inlineStr">
        <is>
          <t>12/01/2026</t>
        </is>
      </c>
      <c r="N51" s="25" t="n">
        <v>740.4299999999999</v>
      </c>
      <c r="O51" s="25" t="n"/>
      <c r="P51" s="25" t="n"/>
      <c r="Q51" s="25" t="n"/>
      <c r="R51" s="25" t="n"/>
      <c r="S51" s="25" t="n"/>
      <c r="T51" s="25" t="n"/>
      <c r="U51" s="25" t="n">
        <v>0</v>
      </c>
      <c r="V51" s="25" t="n">
        <v>0</v>
      </c>
      <c r="W51" s="25" t="n">
        <v>0</v>
      </c>
      <c r="X51" s="25" t="n">
        <v>0</v>
      </c>
      <c r="Y51" s="25" t="n">
        <v>0</v>
      </c>
      <c r="Z51" s="25" t="n">
        <v>0</v>
      </c>
      <c r="AA51" s="25" t="n">
        <v>0</v>
      </c>
      <c r="AB51" s="25" t="n">
        <v>0</v>
      </c>
      <c r="AC51" s="25" t="n">
        <v>0</v>
      </c>
      <c r="AD51" s="25" t="n">
        <v>0</v>
      </c>
      <c r="AE51" s="25" t="n">
        <v>740.4299999999999</v>
      </c>
      <c r="AF51" s="25" t="n">
        <v>0</v>
      </c>
      <c r="AG51" s="25" t="n">
        <v>0</v>
      </c>
      <c r="AH51" s="25" t="n">
        <v>1</v>
      </c>
      <c r="AI51" s="25" t="inlineStr">
        <is>
          <t>B</t>
        </is>
      </c>
      <c r="AJ51" s="25" t="n">
        <v>1</v>
      </c>
      <c r="AK51" s="25" t="n">
        <v>740.4299999999999</v>
      </c>
      <c r="AL51" s="26" t="n">
        <v>46063.65625</v>
      </c>
      <c r="AM51" s="26" t="n">
        <v>46063.65625</v>
      </c>
      <c r="AN51" s="25" t="inlineStr">
        <is>
          <t>WHATSAPP</t>
        </is>
      </c>
      <c r="AO51" s="25" t="inlineStr">
        <is>
          <t>SUPORTE | pedido deu erro, esta a amais de 1 mês com isso, foi feita a devolução da NF e agora vamos enviar novamente, digitado hoje !!</t>
        </is>
      </c>
      <c r="AP51" s="27">
        <f>IF(AH51="","",IF(AH51=0,"PROSPECT",IF(AH51=1,"NOVO",IF(AH51&lt;=3,"EM DESENVOLVIMENTO",IF(AH51&lt;=6,"RECORRENTE","FIDELIZADO")))))</f>
        <v/>
      </c>
      <c r="AQ51" s="27">
        <f>IF(AJ51=0,0,IFERROR(SUM(U51:AF51)/AJ51,0))</f>
        <v/>
      </c>
      <c r="AS51" s="0" t="inlineStr">
        <is>
          <t>Carteira FEV/26 + Atend FEV/26</t>
        </is>
      </c>
    </row>
    <row r="52" ht="14.25" customHeight="1" s="16">
      <c r="A52" s="25" t="inlineStr">
        <is>
          <t>HECE PRODUTOS NATURAIS</t>
        </is>
      </c>
      <c r="B52" s="25" t="inlineStr">
        <is>
          <t>52088258000195</t>
        </is>
      </c>
      <c r="C52" s="25" t="inlineStr">
        <is>
          <t>HECE PRODUTOS NATURAIS LTDA</t>
        </is>
      </c>
      <c r="D52" s="25" t="inlineStr">
        <is>
          <t>MT</t>
        </is>
      </c>
      <c r="E52" s="25" t="inlineStr">
        <is>
          <t>MARCELANDIA</t>
        </is>
      </c>
      <c r="F52" s="25" t="inlineStr">
        <is>
          <t>marcelandia@redevidaleve.com.br</t>
        </is>
      </c>
      <c r="G52" s="25" t="inlineStr">
        <is>
          <t>+55 (43) 9649-7131</t>
        </is>
      </c>
      <c r="H52" s="25" t="inlineStr">
        <is>
          <t>08/10/2024</t>
        </is>
      </c>
      <c r="I52" s="25" t="inlineStr">
        <is>
          <t>[Rede] Vida Leve</t>
        </is>
      </c>
      <c r="J52" s="25" t="inlineStr">
        <is>
          <t>DAIANE STAVICKI</t>
        </is>
      </c>
      <c r="K52" s="25" t="inlineStr">
        <is>
          <t>Central - Daiane</t>
        </is>
      </c>
      <c r="L52" s="25" t="n">
        <v>17</v>
      </c>
      <c r="M52" s="25" t="inlineStr">
        <is>
          <t>29/01/2026</t>
        </is>
      </c>
      <c r="N52" s="25" t="n">
        <v>1699.51</v>
      </c>
      <c r="O52" s="25" t="n">
        <v>1</v>
      </c>
      <c r="P52" s="25" t="inlineStr">
        <is>
          <t>Sim</t>
        </is>
      </c>
      <c r="Q52" s="25" t="n">
        <v>33</v>
      </c>
      <c r="R52" s="25" t="n">
        <v>10</v>
      </c>
      <c r="S52" s="25" t="n">
        <v>1699.51</v>
      </c>
      <c r="T52" s="25" t="inlineStr">
        <is>
          <t>COMPRA B2B</t>
        </is>
      </c>
      <c r="U52" s="25" t="n">
        <v>0</v>
      </c>
      <c r="V52" s="25" t="n">
        <v>0</v>
      </c>
      <c r="W52" s="25" t="n">
        <v>0</v>
      </c>
      <c r="X52" s="25" t="n">
        <v>0</v>
      </c>
      <c r="Y52" s="25" t="n">
        <v>0</v>
      </c>
      <c r="Z52" s="25" t="n">
        <v>0</v>
      </c>
      <c r="AA52" s="25" t="n">
        <v>0</v>
      </c>
      <c r="AB52" s="25" t="n">
        <v>0</v>
      </c>
      <c r="AC52" s="25" t="n">
        <v>0</v>
      </c>
      <c r="AD52" s="25" t="n">
        <v>1118.75</v>
      </c>
      <c r="AE52" s="25" t="n">
        <v>1699.51</v>
      </c>
      <c r="AF52" s="25" t="n">
        <v>0</v>
      </c>
      <c r="AG52" s="25" t="n">
        <v>52</v>
      </c>
      <c r="AH52" s="25" t="n">
        <v>2</v>
      </c>
      <c r="AI52" s="25" t="inlineStr">
        <is>
          <t>B</t>
        </is>
      </c>
      <c r="AJ52" s="25" t="n">
        <v>2</v>
      </c>
      <c r="AK52" s="25" t="n">
        <v>1409.13</v>
      </c>
      <c r="AL52" s="26" t="n">
        <v>46057.42222222222</v>
      </c>
      <c r="AM52" s="26" t="n">
        <v>46057.42222222222</v>
      </c>
      <c r="AN52" s="25" t="inlineStr">
        <is>
          <t>LIGAÇÃO</t>
        </is>
      </c>
      <c r="AO52" s="25" t="inlineStr">
        <is>
          <t>FOI ENVIADO SEM O DRAG DE CASTANHA DE CAJU E SEM O DE CASTANHA DO PARÁ</t>
        </is>
      </c>
      <c r="AP52" s="27">
        <f>IF(AH52="","",IF(AH52=0,"PROSPECT",IF(AH52=1,"NOVO",IF(AH52&lt;=3,"EM DESENVOLVIMENTO",IF(AH52&lt;=6,"RECORRENTE","FIDELIZADO")))))</f>
        <v/>
      </c>
      <c r="AQ52" s="27">
        <f>IF(AJ52=0,0,IFERROR(SUM(U52:AF52)/AJ52,0))</f>
        <v/>
      </c>
      <c r="AR52" s="15" t="inlineStr">
        <is>
          <t>⚠️ DDD(43)=PR≠MT</t>
        </is>
      </c>
      <c r="AS52" s="0" t="inlineStr">
        <is>
          <t>Carteira FEV/26 + Atend FEV/26</t>
        </is>
      </c>
    </row>
    <row r="53" ht="14.25" customHeight="1" s="16">
      <c r="A53" s="25" t="inlineStr">
        <is>
          <t>HIPER GRANEL</t>
        </is>
      </c>
      <c r="B53" s="25" t="inlineStr">
        <is>
          <t>26198700000126</t>
        </is>
      </c>
      <c r="C53" s="25" t="inlineStr">
        <is>
          <t>REDE HIPER DOCE CENTRO LTDA</t>
        </is>
      </c>
      <c r="D53" s="25" t="inlineStr">
        <is>
          <t>RJ</t>
        </is>
      </c>
      <c r="E53" s="25" t="inlineStr">
        <is>
          <t>ARARUAMA</t>
        </is>
      </c>
      <c r="F53" s="25" t="inlineStr">
        <is>
          <t>comprashipergranel@gmail.com</t>
        </is>
      </c>
      <c r="G53" s="25" t="inlineStr">
        <is>
          <t>+55 (22) 99941-9668</t>
        </is>
      </c>
      <c r="H53" s="25" t="inlineStr">
        <is>
          <t>04/08/2025</t>
        </is>
      </c>
      <c r="I53" s="25" t="n"/>
      <c r="J53" s="25" t="inlineStr">
        <is>
          <t>LARISSA PADILHA</t>
        </is>
      </c>
      <c r="K53" s="25" t="inlineStr">
        <is>
          <t>Larissa Padilha</t>
        </is>
      </c>
      <c r="L53" s="25" t="n">
        <v>20</v>
      </c>
      <c r="M53" s="25" t="inlineStr">
        <is>
          <t>26/01/2026</t>
        </is>
      </c>
      <c r="N53" s="25" t="n">
        <v>1891.69</v>
      </c>
      <c r="O53" s="25" t="n">
        <v>6</v>
      </c>
      <c r="P53" s="25" t="inlineStr">
        <is>
          <t>Sim</t>
        </is>
      </c>
      <c r="Q53" s="25" t="n">
        <v>139</v>
      </c>
      <c r="R53" s="25" t="n">
        <v>33</v>
      </c>
      <c r="S53" s="25" t="n">
        <v>1891.69</v>
      </c>
      <c r="T53" s="25" t="inlineStr">
        <is>
          <t>COMPRA B2B</t>
        </is>
      </c>
      <c r="U53" s="25" t="n">
        <v>0</v>
      </c>
      <c r="V53" s="25" t="n">
        <v>0</v>
      </c>
      <c r="W53" s="25" t="n">
        <v>0</v>
      </c>
      <c r="X53" s="25" t="n">
        <v>0</v>
      </c>
      <c r="Y53" s="25" t="n">
        <v>0</v>
      </c>
      <c r="Z53" s="25" t="n">
        <v>0</v>
      </c>
      <c r="AA53" s="25" t="n">
        <v>0</v>
      </c>
      <c r="AB53" s="25" t="n">
        <v>0</v>
      </c>
      <c r="AC53" s="25" t="n">
        <v>0</v>
      </c>
      <c r="AD53" s="25" t="n">
        <v>0</v>
      </c>
      <c r="AE53" s="25" t="n">
        <v>0</v>
      </c>
      <c r="AF53" s="25" t="n">
        <v>0</v>
      </c>
      <c r="AG53" s="25" t="n">
        <v>0</v>
      </c>
      <c r="AH53" s="25" t="n">
        <v>0</v>
      </c>
      <c r="AI53" s="25" t="n"/>
      <c r="AJ53" s="25" t="n">
        <v>0</v>
      </c>
      <c r="AK53" s="25" t="n">
        <v>0</v>
      </c>
      <c r="AL53" s="25" t="n"/>
      <c r="AM53" s="25" t="n"/>
      <c r="AN53" s="25" t="n"/>
      <c r="AO53" s="25" t="n"/>
      <c r="AP53" s="27">
        <f>IF(AH53="","",IF(AH53=0,"PROSPECT",IF(AH53=1,"NOVO",IF(AH53&lt;=3,"EM DESENVOLVIMENTO",IF(AH53&lt;=6,"RECORRENTE","FIDELIZADO")))))</f>
        <v/>
      </c>
      <c r="AQ53" s="27">
        <f>IF(AJ53=0,0,IFERROR(SUM(U53:AF53)/AJ53,0))</f>
        <v/>
      </c>
      <c r="AS53" s="0" t="inlineStr">
        <is>
          <t>Carteira FEV/26</t>
        </is>
      </c>
    </row>
    <row r="54" ht="14.25" customHeight="1" s="16">
      <c r="A54" s="25" t="inlineStr">
        <is>
          <t>INSTITUICAO ADVENTISTA SUL BRASILEIRA DE EDUCACAO</t>
        </is>
      </c>
      <c r="B54" s="25" t="inlineStr">
        <is>
          <t>76726884000128</t>
        </is>
      </c>
      <c r="C54" s="25" t="inlineStr">
        <is>
          <t>INSTITUICAO ADVENTISTA SUL BRASILEIRA DE EDUCACAO</t>
        </is>
      </c>
      <c r="D54" s="25" t="inlineStr">
        <is>
          <t>PR</t>
        </is>
      </c>
      <c r="E54" s="25" t="inlineStr">
        <is>
          <t>CURITIBA</t>
        </is>
      </c>
      <c r="F54" s="25" t="inlineStr">
        <is>
          <t>teste@teste.com</t>
        </is>
      </c>
      <c r="G54" s="25" t="inlineStr">
        <is>
          <t>+55 (41) 9854-0209</t>
        </is>
      </c>
      <c r="H54" s="25" t="inlineStr">
        <is>
          <t>03/06/2025</t>
        </is>
      </c>
      <c r="I54" s="25" t="n"/>
      <c r="J54" s="25" t="inlineStr">
        <is>
          <t>MANU DITZEL</t>
        </is>
      </c>
      <c r="K54" s="25" t="inlineStr">
        <is>
          <t>Manu Ditzel</t>
        </is>
      </c>
      <c r="L54" s="25" t="n">
        <v>6</v>
      </c>
      <c r="M54" s="25" t="inlineStr">
        <is>
          <t>09/02/2026</t>
        </is>
      </c>
      <c r="N54" s="25" t="n">
        <v>1122.91</v>
      </c>
      <c r="O54" s="25" t="n"/>
      <c r="P54" s="25" t="n"/>
      <c r="Q54" s="25" t="n"/>
      <c r="R54" s="25" t="n"/>
      <c r="S54" s="25" t="n"/>
      <c r="T54" s="25" t="n"/>
      <c r="U54" s="25" t="n">
        <v>0</v>
      </c>
      <c r="V54" s="25" t="n">
        <v>0</v>
      </c>
      <c r="W54" s="25" t="n">
        <v>0</v>
      </c>
      <c r="X54" s="25" t="n">
        <v>0</v>
      </c>
      <c r="Y54" s="25" t="n">
        <v>0</v>
      </c>
      <c r="Z54" s="25" t="n">
        <v>0</v>
      </c>
      <c r="AA54" s="25" t="n">
        <v>0</v>
      </c>
      <c r="AB54" s="25" t="n">
        <v>0</v>
      </c>
      <c r="AC54" s="25" t="n">
        <v>0</v>
      </c>
      <c r="AD54" s="25" t="n">
        <v>978.46</v>
      </c>
      <c r="AE54" s="25" t="n">
        <v>0</v>
      </c>
      <c r="AF54" s="25" t="n">
        <v>1122.91</v>
      </c>
      <c r="AG54" s="25" t="n">
        <v>54</v>
      </c>
      <c r="AH54" s="25" t="n">
        <v>2</v>
      </c>
      <c r="AI54" s="25" t="inlineStr">
        <is>
          <t>B</t>
        </is>
      </c>
      <c r="AJ54" s="25" t="n">
        <v>2</v>
      </c>
      <c r="AK54" s="25" t="n">
        <v>1050.68</v>
      </c>
      <c r="AL54" s="26" t="n">
        <v>46056.40277777778</v>
      </c>
      <c r="AM54" s="26" t="n">
        <v>46056.40277777778</v>
      </c>
      <c r="AN54" s="25" t="inlineStr">
        <is>
          <t>LIGAÇÃO</t>
        </is>
      </c>
      <c r="AO54" s="28" t="inlineStr">
        <is>
          <t>EM NEGOCIAÇÃO TERÁ EVENTO DIA 23/24</t>
        </is>
      </c>
      <c r="AP54" s="27">
        <f>IF(AH54="","",IF(AH54=0,"PROSPECT",IF(AH54=1,"NOVO",IF(AH54&lt;=3,"EM DESENVOLVIMENTO",IF(AH54&lt;=6,"RECORRENTE","FIDELIZADO")))))</f>
        <v/>
      </c>
      <c r="AQ54" s="27">
        <f>IF(AJ54=0,0,IFERROR(SUM(U54:AF54)/AJ54,0))</f>
        <v/>
      </c>
      <c r="AS54" s="0" t="inlineStr">
        <is>
          <t>Carteira FEV/26 + Atend FEV/26 + Vendas FEV/26 + ABC FEV/26</t>
        </is>
      </c>
    </row>
    <row r="55" ht="14.25" customHeight="1" s="16">
      <c r="A55" s="25" t="inlineStr">
        <is>
          <t>JAQUELINE MACHADO COUTO 08791417600</t>
        </is>
      </c>
      <c r="B55" s="25" t="inlineStr">
        <is>
          <t>45120770000106</t>
        </is>
      </c>
      <c r="C55" s="25" t="inlineStr">
        <is>
          <t>JAQUELINE MACHADO COUTO 08791417600</t>
        </is>
      </c>
      <c r="D55" s="25" t="inlineStr">
        <is>
          <t>MG</t>
        </is>
      </c>
      <c r="E55" s="25" t="inlineStr">
        <is>
          <t>VAZANTE</t>
        </is>
      </c>
      <c r="F55" s="25" t="inlineStr">
        <is>
          <t>superlidervzte@gmail.com</t>
        </is>
      </c>
      <c r="G55" s="25" t="inlineStr">
        <is>
          <t>+55 (34) 99872-1908</t>
        </is>
      </c>
      <c r="H55" s="25" t="inlineStr">
        <is>
          <t>15/08/2025</t>
        </is>
      </c>
      <c r="I55" s="25" t="n"/>
      <c r="J55" s="25" t="inlineStr">
        <is>
          <t>LARISSA PADILHA</t>
        </is>
      </c>
      <c r="K55" s="25" t="inlineStr">
        <is>
          <t>Larissa Padilha</t>
        </is>
      </c>
      <c r="L55" s="25" t="n">
        <v>60</v>
      </c>
      <c r="M55" s="25" t="inlineStr">
        <is>
          <t>17/12/2025</t>
        </is>
      </c>
      <c r="N55" s="25" t="n">
        <v>1741.39</v>
      </c>
      <c r="O55" s="25" t="n">
        <v>1</v>
      </c>
      <c r="P55" s="25" t="inlineStr">
        <is>
          <t>Sim</t>
        </is>
      </c>
      <c r="Q55" s="25" t="n">
        <v>157</v>
      </c>
      <c r="R55" s="25" t="n">
        <v>57</v>
      </c>
      <c r="S55" s="25" t="n">
        <v>2674.81</v>
      </c>
      <c r="T55" s="25" t="inlineStr">
        <is>
          <t>COMPRA B2B</t>
        </is>
      </c>
      <c r="U55" s="25" t="n">
        <v>0</v>
      </c>
      <c r="V55" s="25" t="n">
        <v>0</v>
      </c>
      <c r="W55" s="25" t="n">
        <v>0</v>
      </c>
      <c r="X55" s="25" t="n">
        <v>0</v>
      </c>
      <c r="Y55" s="25" t="n">
        <v>0</v>
      </c>
      <c r="Z55" s="25" t="n">
        <v>933.42</v>
      </c>
      <c r="AA55" s="25" t="n">
        <v>0</v>
      </c>
      <c r="AB55" s="25" t="n">
        <v>1517.12</v>
      </c>
      <c r="AC55" s="25" t="n">
        <v>0</v>
      </c>
      <c r="AD55" s="25" t="n">
        <v>1741.39</v>
      </c>
      <c r="AE55" s="25" t="n">
        <v>0</v>
      </c>
      <c r="AF55" s="25" t="n">
        <v>0</v>
      </c>
      <c r="AG55" s="25" t="n">
        <v>59</v>
      </c>
      <c r="AH55" s="25" t="n">
        <v>3</v>
      </c>
      <c r="AI55" s="25" t="inlineStr">
        <is>
          <t>A</t>
        </is>
      </c>
      <c r="AJ55" s="25" t="n">
        <v>3</v>
      </c>
      <c r="AK55" s="25" t="n">
        <v>1397.31</v>
      </c>
      <c r="AL55" s="26" t="n">
        <v>46065.41875</v>
      </c>
      <c r="AM55" s="26" t="n">
        <v>46065.41875</v>
      </c>
      <c r="AN55" s="25" t="inlineStr">
        <is>
          <t>WHATSAPP</t>
        </is>
      </c>
      <c r="AO55" s="25" t="inlineStr">
        <is>
          <t>NUTRIÇÃO | Envio da campanha do mês</t>
        </is>
      </c>
      <c r="AP55" s="27">
        <f>IF(AH55="","",IF(AH55=0,"PROSPECT",IF(AH55=1,"NOVO",IF(AH55&lt;=3,"EM DESENVOLVIMENTO",IF(AH55&lt;=6,"RECORRENTE","FIDELIZADO")))))</f>
        <v/>
      </c>
      <c r="AQ55" s="27">
        <f>IF(AJ55=0,0,IFERROR(SUM(U55:AF55)/AJ55,0))</f>
        <v/>
      </c>
      <c r="AS55" s="0" t="inlineStr">
        <is>
          <t>Carteira FEV/26 + Atend FEV/26</t>
        </is>
      </c>
    </row>
    <row r="56" ht="14.25" customHeight="1" s="16">
      <c r="A56" s="25" t="inlineStr">
        <is>
          <t>JC PRODUTOS NATURAIS</t>
        </is>
      </c>
      <c r="B56" s="25" t="inlineStr">
        <is>
          <t>59254662000130</t>
        </is>
      </c>
      <c r="C56" s="25" t="inlineStr">
        <is>
          <t>JC PRODUTOS NATURAIS LTDA</t>
        </is>
      </c>
      <c r="D56" s="25" t="inlineStr">
        <is>
          <t>SC</t>
        </is>
      </c>
      <c r="E56" s="25" t="inlineStr">
        <is>
          <t>URUSSANGA</t>
        </is>
      </c>
      <c r="F56" s="25" t="inlineStr">
        <is>
          <t>jamile_luciano@hotmail.com</t>
        </is>
      </c>
      <c r="G56" s="25" t="inlineStr">
        <is>
          <t>+55 (48) 99617-3674</t>
        </is>
      </c>
      <c r="H56" s="25" t="inlineStr">
        <is>
          <t>02/12/2025</t>
        </is>
      </c>
      <c r="I56" s="25" t="inlineStr">
        <is>
          <t>[Rede] Cia da Saúde</t>
        </is>
      </c>
      <c r="J56" s="25" t="inlineStr">
        <is>
          <t>JULIO GADRET</t>
        </is>
      </c>
      <c r="K56" s="25" t="inlineStr">
        <is>
          <t>Julio  Gadret</t>
        </is>
      </c>
      <c r="L56" s="25" t="n">
        <v>66</v>
      </c>
      <c r="M56" s="25" t="inlineStr">
        <is>
          <t>11/12/2025</t>
        </is>
      </c>
      <c r="N56" s="25" t="n">
        <v>763.8</v>
      </c>
      <c r="O56" s="25" t="n">
        <v>1</v>
      </c>
      <c r="P56" s="25" t="inlineStr">
        <is>
          <t>Sim</t>
        </is>
      </c>
      <c r="Q56" s="25" t="n">
        <v>42</v>
      </c>
      <c r="R56" s="25" t="n">
        <v>19</v>
      </c>
      <c r="S56" s="25" t="n">
        <v>763.8</v>
      </c>
      <c r="T56" s="25" t="inlineStr">
        <is>
          <t>COMPRA B2B</t>
        </is>
      </c>
      <c r="U56" s="25" t="n">
        <v>0</v>
      </c>
      <c r="V56" s="25" t="n">
        <v>0</v>
      </c>
      <c r="W56" s="25" t="n">
        <v>0</v>
      </c>
      <c r="X56" s="25" t="n">
        <v>0</v>
      </c>
      <c r="Y56" s="25" t="n">
        <v>0</v>
      </c>
      <c r="Z56" s="25" t="n">
        <v>0</v>
      </c>
      <c r="AA56" s="25" t="n">
        <v>0</v>
      </c>
      <c r="AB56" s="25" t="n">
        <v>0</v>
      </c>
      <c r="AC56" s="25" t="n">
        <v>0</v>
      </c>
      <c r="AD56" s="25" t="n">
        <v>763.8</v>
      </c>
      <c r="AE56" s="25" t="n">
        <v>0</v>
      </c>
      <c r="AF56" s="25" t="n">
        <v>0</v>
      </c>
      <c r="AG56" s="25" t="n">
        <v>0</v>
      </c>
      <c r="AH56" s="25" t="n">
        <v>1</v>
      </c>
      <c r="AI56" s="25" t="inlineStr">
        <is>
          <t>C</t>
        </is>
      </c>
      <c r="AJ56" s="25" t="n">
        <v>1</v>
      </c>
      <c r="AK56" s="25" t="n">
        <v>763.8</v>
      </c>
      <c r="AL56" s="25" t="n"/>
      <c r="AM56" s="25" t="n"/>
      <c r="AN56" s="25" t="n"/>
      <c r="AO56" s="25" t="n"/>
      <c r="AP56" s="27">
        <f>IF(AH56="","",IF(AH56=0,"PROSPECT",IF(AH56=1,"NOVO",IF(AH56&lt;=3,"EM DESENVOLVIMENTO",IF(AH56&lt;=6,"RECORRENTE","FIDELIZADO")))))</f>
        <v/>
      </c>
      <c r="AQ56" s="27">
        <f>IF(AJ56=0,0,IFERROR(SUM(U56:AF56)/AJ56,0))</f>
        <v/>
      </c>
      <c r="AS56" s="0" t="inlineStr">
        <is>
          <t>Carteira FEV/26</t>
        </is>
      </c>
    </row>
    <row r="57" ht="14.25" customHeight="1" s="16">
      <c r="A57" s="25" t="inlineStr">
        <is>
          <t>L &amp; M NUTRICAO</t>
        </is>
      </c>
      <c r="B57" s="25" t="inlineStr">
        <is>
          <t>52261228000210</t>
        </is>
      </c>
      <c r="C57" s="25" t="inlineStr">
        <is>
          <t>L &amp; M NUTRICAO LTDA</t>
        </is>
      </c>
      <c r="D57" s="25" t="inlineStr">
        <is>
          <t>SC</t>
        </is>
      </c>
      <c r="E57" s="25" t="inlineStr">
        <is>
          <t>SAO JOSE</t>
        </is>
      </c>
      <c r="F57" s="25" t="inlineStr">
        <is>
          <t>lcbarbosa.LB@gmail.com</t>
        </is>
      </c>
      <c r="G57" s="25" t="inlineStr">
        <is>
          <t>+55 (48) 99927-7117</t>
        </is>
      </c>
      <c r="H57" s="25" t="inlineStr">
        <is>
          <t>08/10/2024</t>
        </is>
      </c>
      <c r="I57" s="25" t="inlineStr">
        <is>
          <t>[Rede] Fit Land</t>
        </is>
      </c>
      <c r="J57" s="25" t="inlineStr">
        <is>
          <t>JULIO GADRET</t>
        </is>
      </c>
      <c r="K57" s="25" t="inlineStr">
        <is>
          <t>Julio  Gadret</t>
        </is>
      </c>
      <c r="L57" s="25" t="n">
        <v>19</v>
      </c>
      <c r="M57" s="25" t="inlineStr">
        <is>
          <t>27/01/2026</t>
        </is>
      </c>
      <c r="N57" s="25" t="n">
        <v>805.15</v>
      </c>
      <c r="O57" s="25" t="n">
        <v>1</v>
      </c>
      <c r="P57" s="25" t="inlineStr">
        <is>
          <t>Sim</t>
        </is>
      </c>
      <c r="Q57" s="25" t="n">
        <v>12</v>
      </c>
      <c r="R57" s="25" t="n">
        <v>6</v>
      </c>
      <c r="S57" s="25" t="n">
        <v>805.15</v>
      </c>
      <c r="T57" s="25" t="inlineStr">
        <is>
          <t>COMPRA B2B</t>
        </is>
      </c>
      <c r="U57" s="25" t="n">
        <v>0</v>
      </c>
      <c r="V57" s="25" t="n">
        <v>0</v>
      </c>
      <c r="W57" s="25" t="n">
        <v>0</v>
      </c>
      <c r="X57" s="25" t="n">
        <v>2490.6</v>
      </c>
      <c r="Y57" s="25" t="n">
        <v>0</v>
      </c>
      <c r="Z57" s="25" t="n">
        <v>0</v>
      </c>
      <c r="AA57" s="25" t="n">
        <v>1216.76</v>
      </c>
      <c r="AB57" s="25" t="n">
        <v>0</v>
      </c>
      <c r="AC57" s="25" t="n">
        <v>0</v>
      </c>
      <c r="AD57" s="25" t="n">
        <v>0</v>
      </c>
      <c r="AE57" s="25" t="n">
        <v>805.15</v>
      </c>
      <c r="AF57" s="25" t="n">
        <v>0</v>
      </c>
      <c r="AG57" s="25" t="n">
        <v>74.33329999999999</v>
      </c>
      <c r="AH57" s="25" t="n">
        <v>4</v>
      </c>
      <c r="AI57" s="25" t="inlineStr">
        <is>
          <t>A</t>
        </is>
      </c>
      <c r="AJ57" s="25" t="n">
        <v>3</v>
      </c>
      <c r="AK57" s="25" t="n">
        <v>1128.13</v>
      </c>
      <c r="AL57" s="26" t="n">
        <v>45894.59444444445</v>
      </c>
      <c r="AM57" s="26" t="n">
        <v>45894.59444444445</v>
      </c>
      <c r="AN57" s="25" t="inlineStr">
        <is>
          <t>WHATSAPP</t>
        </is>
      </c>
      <c r="AO57" s="25" t="inlineStr">
        <is>
          <t>NUTRIÇÃO | Envio de ofertas de drageados a R$89,90kg</t>
        </is>
      </c>
      <c r="AP57" s="27">
        <f>IF(AH57="","",IF(AH57=0,"PROSPECT",IF(AH57=1,"NOVO",IF(AH57&lt;=3,"EM DESENVOLVIMENTO",IF(AH57&lt;=6,"RECORRENTE","FIDELIZADO")))))</f>
        <v/>
      </c>
      <c r="AQ57" s="27">
        <f>IF(AJ57=0,0,IFERROR(SUM(U57:AF57)/AJ57,0))</f>
        <v/>
      </c>
      <c r="AS57" s="0" t="inlineStr">
        <is>
          <t>Carteira FEV/26</t>
        </is>
      </c>
    </row>
    <row r="58" ht="14.25" customHeight="1" s="16">
      <c r="A58" s="25" t="inlineStr">
        <is>
          <t>LA FEE CAFETERIA E RESTAURANTE LTDA</t>
        </is>
      </c>
      <c r="B58" s="25" t="inlineStr">
        <is>
          <t>15735146000152</t>
        </is>
      </c>
      <c r="C58" s="25" t="inlineStr">
        <is>
          <t>LA FEE CAFETERIA E RESTAURANTE LTDA</t>
        </is>
      </c>
      <c r="D58" s="25" t="inlineStr">
        <is>
          <t>SP</t>
        </is>
      </c>
      <c r="E58" s="25" t="inlineStr">
        <is>
          <t>INDAIATUBA</t>
        </is>
      </c>
      <c r="F58" s="25" t="inlineStr">
        <is>
          <t>lafeecaferesto@gmail.com</t>
        </is>
      </c>
      <c r="G58" s="25" t="inlineStr">
        <is>
          <t>+55 (19) 99296-8341</t>
        </is>
      </c>
      <c r="H58" s="25" t="inlineStr">
        <is>
          <t>03/12/2025</t>
        </is>
      </c>
      <c r="I58" s="25" t="n"/>
      <c r="J58" s="25" t="inlineStr">
        <is>
          <t>LARISSA PADILHA</t>
        </is>
      </c>
      <c r="K58" s="25" t="inlineStr">
        <is>
          <t>Larissa Padilha</t>
        </is>
      </c>
      <c r="L58" s="25" t="n">
        <v>23</v>
      </c>
      <c r="M58" s="25" t="inlineStr">
        <is>
          <t>23/01/2026</t>
        </is>
      </c>
      <c r="N58" s="25" t="n">
        <v>955.61</v>
      </c>
      <c r="O58" s="25" t="n">
        <v>3</v>
      </c>
      <c r="P58" s="25" t="inlineStr">
        <is>
          <t>Sim</t>
        </is>
      </c>
      <c r="Q58" s="25" t="n">
        <v>24</v>
      </c>
      <c r="R58" s="25" t="n">
        <v>5</v>
      </c>
      <c r="S58" s="25" t="n">
        <v>955.61</v>
      </c>
      <c r="T58" s="25" t="inlineStr">
        <is>
          <t>COMPRA B2B</t>
        </is>
      </c>
      <c r="U58" s="25" t="n">
        <v>0</v>
      </c>
      <c r="V58" s="25" t="n">
        <v>0</v>
      </c>
      <c r="W58" s="25" t="n">
        <v>0</v>
      </c>
      <c r="X58" s="25" t="n">
        <v>0</v>
      </c>
      <c r="Y58" s="25" t="n">
        <v>0</v>
      </c>
      <c r="Z58" s="25" t="n">
        <v>0</v>
      </c>
      <c r="AA58" s="25" t="n">
        <v>0</v>
      </c>
      <c r="AB58" s="25" t="n">
        <v>0</v>
      </c>
      <c r="AC58" s="25" t="n">
        <v>0</v>
      </c>
      <c r="AD58" s="25" t="n">
        <v>0</v>
      </c>
      <c r="AE58" s="25" t="n">
        <v>0</v>
      </c>
      <c r="AF58" s="25" t="n">
        <v>0</v>
      </c>
      <c r="AG58" s="25" t="n">
        <v>0</v>
      </c>
      <c r="AH58" s="25" t="n">
        <v>0</v>
      </c>
      <c r="AI58" s="25" t="n"/>
      <c r="AJ58" s="25" t="n">
        <v>0</v>
      </c>
      <c r="AK58" s="25" t="n">
        <v>0</v>
      </c>
      <c r="AL58" s="26" t="n">
        <v>46044.58116898148</v>
      </c>
      <c r="AM58" s="26" t="n">
        <v>46044.58116898148</v>
      </c>
      <c r="AN58" s="25" t="inlineStr">
        <is>
          <t>WHATSAPP</t>
        </is>
      </c>
      <c r="AO58" s="28" t="inlineStr">
        <is>
          <t>VENDA REALIZADA | LA FEE CAFETERIA - FABIANA - SP</t>
        </is>
      </c>
      <c r="AP58" s="27">
        <f>IF(AH58="","",IF(AH58=0,"PROSPECT",IF(AH58=1,"NOVO",IF(AH58&lt;=3,"EM DESENVOLVIMENTO",IF(AH58&lt;=6,"RECORRENTE","FIDELIZADO")))))</f>
        <v/>
      </c>
      <c r="AQ58" s="27">
        <f>IF(AJ58=0,0,IFERROR(SUM(U58:AF58)/AJ58,0))</f>
        <v/>
      </c>
      <c r="AS58" s="0" t="inlineStr">
        <is>
          <t>Carteira FEV/26</t>
        </is>
      </c>
    </row>
    <row r="59" ht="14.25" customHeight="1" s="16">
      <c r="A59" s="25" t="inlineStr">
        <is>
          <t>LEGURME ALIMENTOS</t>
        </is>
      </c>
      <c r="B59" s="25" t="inlineStr">
        <is>
          <t>21594203000123</t>
        </is>
      </c>
      <c r="C59" s="25" t="inlineStr">
        <is>
          <t>LEGURME ALIMENTOS LTDA</t>
        </is>
      </c>
      <c r="D59" s="25" t="inlineStr">
        <is>
          <t>SP</t>
        </is>
      </c>
      <c r="E59" s="25" t="inlineStr">
        <is>
          <t>SAO PAULO</t>
        </is>
      </c>
      <c r="F59" s="25" t="inlineStr">
        <is>
          <t>compras@legurme.com.br</t>
        </is>
      </c>
      <c r="G59" s="25" t="inlineStr">
        <is>
          <t>+55 (11) 3368-7786</t>
        </is>
      </c>
      <c r="H59" s="25" t="inlineStr">
        <is>
          <t>11/12/2025</t>
        </is>
      </c>
      <c r="I59" s="25" t="n"/>
      <c r="J59" s="25" t="inlineStr">
        <is>
          <t>LARISSA PADILHA</t>
        </is>
      </c>
      <c r="K59" s="25" t="inlineStr">
        <is>
          <t>Larissa Padilha</t>
        </is>
      </c>
      <c r="L59" s="25" t="n">
        <v>65</v>
      </c>
      <c r="M59" s="25" t="inlineStr">
        <is>
          <t>12/12/2025</t>
        </is>
      </c>
      <c r="N59" s="25" t="n">
        <v>1690</v>
      </c>
      <c r="O59" s="25" t="n"/>
      <c r="P59" s="25" t="n"/>
      <c r="Q59" s="25" t="n"/>
      <c r="R59" s="25" t="n"/>
      <c r="S59" s="25" t="n"/>
      <c r="T59" s="25" t="n"/>
      <c r="U59" s="25" t="n">
        <v>0</v>
      </c>
      <c r="V59" s="25" t="n">
        <v>0</v>
      </c>
      <c r="W59" s="25" t="n">
        <v>0</v>
      </c>
      <c r="X59" s="25" t="n">
        <v>0</v>
      </c>
      <c r="Y59" s="25" t="n">
        <v>0</v>
      </c>
      <c r="Z59" s="25" t="n">
        <v>0</v>
      </c>
      <c r="AA59" s="25" t="n">
        <v>0</v>
      </c>
      <c r="AB59" s="25" t="n">
        <v>0</v>
      </c>
      <c r="AC59" s="25" t="n">
        <v>0</v>
      </c>
      <c r="AD59" s="25" t="n">
        <v>1690</v>
      </c>
      <c r="AE59" s="25" t="n">
        <v>0</v>
      </c>
      <c r="AF59" s="25" t="n">
        <v>0</v>
      </c>
      <c r="AG59" s="25" t="n">
        <v>0</v>
      </c>
      <c r="AH59" s="25" t="n">
        <v>1</v>
      </c>
      <c r="AI59" s="25" t="inlineStr">
        <is>
          <t>B</t>
        </is>
      </c>
      <c r="AJ59" s="25" t="n">
        <v>1</v>
      </c>
      <c r="AK59" s="25" t="n">
        <v>1690</v>
      </c>
      <c r="AL59" s="26" t="n">
        <v>46057.47361111111</v>
      </c>
      <c r="AM59" s="26" t="n">
        <v>46057.47361111111</v>
      </c>
      <c r="AN59" s="25" t="inlineStr">
        <is>
          <t>WHATSAPP</t>
        </is>
      </c>
      <c r="AO59" s="25" t="inlineStr">
        <is>
          <t>PÓS-VENDA</t>
        </is>
      </c>
      <c r="AP59" s="27">
        <f>IF(AH59="","",IF(AH59=0,"PROSPECT",IF(AH59=1,"NOVO",IF(AH59&lt;=3,"EM DESENVOLVIMENTO",IF(AH59&lt;=6,"RECORRENTE","FIDELIZADO")))))</f>
        <v/>
      </c>
      <c r="AQ59" s="27">
        <f>IF(AJ59=0,0,IFERROR(SUM(U59:AF59)/AJ59,0))</f>
        <v/>
      </c>
      <c r="AS59" s="0" t="inlineStr">
        <is>
          <t>Carteira FEV/26 + Atend FEV/26</t>
        </is>
      </c>
    </row>
    <row r="60" ht="14.25" customHeight="1" s="16">
      <c r="A60" s="25" t="inlineStr">
        <is>
          <t>LEVE SABOR ALIMENTACAO SAUDAVEL</t>
        </is>
      </c>
      <c r="B60" s="25" t="inlineStr">
        <is>
          <t>36611091000149</t>
        </is>
      </c>
      <c r="C60" s="25" t="inlineStr">
        <is>
          <t>LEVE SABOR ALIMENTACAO SAUDAVEL LTDA</t>
        </is>
      </c>
      <c r="D60" s="25" t="inlineStr">
        <is>
          <t>PR</t>
        </is>
      </c>
      <c r="E60" s="25" t="inlineStr">
        <is>
          <t>MARINGA</t>
        </is>
      </c>
      <c r="F60" s="25" t="inlineStr">
        <is>
          <t>levesabor.mga@gmail.com</t>
        </is>
      </c>
      <c r="G60" s="25" t="inlineStr">
        <is>
          <t>+55 (44) 99740-6173</t>
        </is>
      </c>
      <c r="H60" s="25" t="inlineStr">
        <is>
          <t>06/01/2026</t>
        </is>
      </c>
      <c r="I60" s="25" t="n"/>
      <c r="J60" s="25" t="inlineStr">
        <is>
          <t>MANU DITZEL</t>
        </is>
      </c>
      <c r="K60" s="25" t="inlineStr">
        <is>
          <t>Manu Ditzel</t>
        </is>
      </c>
      <c r="L60" s="25" t="n">
        <v>2</v>
      </c>
      <c r="M60" s="25" t="inlineStr">
        <is>
          <t>13/02/2026</t>
        </is>
      </c>
      <c r="N60" s="25" t="n">
        <v>1109.22</v>
      </c>
      <c r="O60" s="25" t="n">
        <v>1</v>
      </c>
      <c r="P60" s="25" t="inlineStr">
        <is>
          <t>Sim</t>
        </is>
      </c>
      <c r="Q60" s="25" t="n">
        <v>90</v>
      </c>
      <c r="R60" s="25" t="n">
        <v>14</v>
      </c>
      <c r="S60" s="25" t="n">
        <v>2112.14</v>
      </c>
      <c r="T60" s="25" t="inlineStr">
        <is>
          <t>COMPRA B2B</t>
        </is>
      </c>
      <c r="U60" s="25" t="n">
        <v>0</v>
      </c>
      <c r="V60" s="25" t="n">
        <v>0</v>
      </c>
      <c r="W60" s="25" t="n">
        <v>0</v>
      </c>
      <c r="X60" s="25" t="n">
        <v>0</v>
      </c>
      <c r="Y60" s="25" t="n">
        <v>0</v>
      </c>
      <c r="Z60" s="25" t="n">
        <v>0</v>
      </c>
      <c r="AA60" s="25" t="n">
        <v>0</v>
      </c>
      <c r="AB60" s="25" t="n">
        <v>0</v>
      </c>
      <c r="AC60" s="25" t="n">
        <v>0</v>
      </c>
      <c r="AD60" s="25" t="n">
        <v>0</v>
      </c>
      <c r="AE60" s="25" t="n">
        <v>1002.92</v>
      </c>
      <c r="AF60" s="25" t="n">
        <v>1109.22</v>
      </c>
      <c r="AG60" s="25" t="n">
        <v>36</v>
      </c>
      <c r="AH60" s="25" t="n">
        <v>2</v>
      </c>
      <c r="AI60" s="25" t="inlineStr">
        <is>
          <t>B</t>
        </is>
      </c>
      <c r="AJ60" s="25" t="n">
        <v>2</v>
      </c>
      <c r="AK60" s="25" t="n">
        <v>1056.07</v>
      </c>
      <c r="AL60" s="26" t="n">
        <v>46064.38333333333</v>
      </c>
      <c r="AM60" s="26" t="n">
        <v>46064.38333333333</v>
      </c>
      <c r="AN60" s="25" t="inlineStr">
        <is>
          <t>WHATSAPP</t>
        </is>
      </c>
      <c r="AO60" s="25" t="inlineStr">
        <is>
          <t>liguei foi direto para caixa postal // Mandei áudio para entender se terá recompra esse mês.</t>
        </is>
      </c>
      <c r="AP60" s="27">
        <f>IF(AH60="","",IF(AH60=0,"PROSPECT",IF(AH60=1,"NOVO",IF(AH60&lt;=3,"EM DESENVOLVIMENTO",IF(AH60&lt;=6,"RECORRENTE","FIDELIZADO")))))</f>
        <v/>
      </c>
      <c r="AQ60" s="27">
        <f>IF(AJ60=0,0,IFERROR(SUM(U60:AF60)/AJ60,0))</f>
        <v/>
      </c>
      <c r="AS60" s="0" t="inlineStr">
        <is>
          <t>Carteira FEV/26 + Atend FEV/26 + Ecom FEV/26 + Vendas FEV/26 + ABC FEV/26</t>
        </is>
      </c>
    </row>
    <row r="61" ht="14.25" customHeight="1" s="16">
      <c r="A61" s="25" t="inlineStr">
        <is>
          <t>LF NUTRI VIDA</t>
        </is>
      </c>
      <c r="B61" s="25" t="inlineStr">
        <is>
          <t>53918909000190</t>
        </is>
      </c>
      <c r="C61" s="25" t="inlineStr">
        <is>
          <t>LF NUTRI VIDA LTDA</t>
        </is>
      </c>
      <c r="D61" s="25" t="inlineStr">
        <is>
          <t>SC</t>
        </is>
      </c>
      <c r="E61" s="25" t="inlineStr">
        <is>
          <t>BRUSQUE</t>
        </is>
      </c>
      <c r="F61" s="25" t="inlineStr">
        <is>
          <t>fitlandbrusque2@gmail.com</t>
        </is>
      </c>
      <c r="G61" s="25" t="inlineStr">
        <is>
          <t>+55 (48) 9688-5390</t>
        </is>
      </c>
      <c r="H61" s="25" t="inlineStr">
        <is>
          <t>08/10/2024</t>
        </is>
      </c>
      <c r="I61" s="25" t="inlineStr">
        <is>
          <t>[Rede] Fit Land</t>
        </is>
      </c>
      <c r="J61" s="25" t="inlineStr">
        <is>
          <t>JULIO GADRET</t>
        </is>
      </c>
      <c r="K61" s="25" t="inlineStr">
        <is>
          <t>Julio  Gadret</t>
        </is>
      </c>
      <c r="L61" s="25" t="n">
        <v>12</v>
      </c>
      <c r="M61" s="25" t="inlineStr">
        <is>
          <t>03/02/2026</t>
        </is>
      </c>
      <c r="N61" s="25" t="n">
        <v>675.59</v>
      </c>
      <c r="O61" s="25" t="n">
        <v>1</v>
      </c>
      <c r="P61" s="25" t="inlineStr">
        <is>
          <t>Sim</t>
        </is>
      </c>
      <c r="Q61" s="25" t="n">
        <v>3</v>
      </c>
      <c r="R61" s="25" t="n">
        <v>1</v>
      </c>
      <c r="S61" s="25" t="n"/>
      <c r="T61" s="25" t="n"/>
      <c r="U61" s="25" t="n">
        <v>0</v>
      </c>
      <c r="V61" s="25" t="n">
        <v>0</v>
      </c>
      <c r="W61" s="25" t="n">
        <v>0</v>
      </c>
      <c r="X61" s="25" t="n">
        <v>737.8</v>
      </c>
      <c r="Y61" s="25" t="n">
        <v>0</v>
      </c>
      <c r="Z61" s="25" t="n">
        <v>0</v>
      </c>
      <c r="AA61" s="25" t="n">
        <v>0</v>
      </c>
      <c r="AB61" s="25" t="n">
        <v>669.96</v>
      </c>
      <c r="AC61" s="25" t="n">
        <v>0</v>
      </c>
      <c r="AD61" s="25" t="n">
        <v>0</v>
      </c>
      <c r="AE61" s="25" t="n">
        <v>0</v>
      </c>
      <c r="AF61" s="25" t="n">
        <v>675.59</v>
      </c>
      <c r="AG61" s="25" t="n">
        <v>111</v>
      </c>
      <c r="AH61" s="25" t="n">
        <v>3</v>
      </c>
      <c r="AI61" s="25" t="inlineStr">
        <is>
          <t>C</t>
        </is>
      </c>
      <c r="AJ61" s="25" t="n">
        <v>3</v>
      </c>
      <c r="AK61" s="25" t="n">
        <v>694.45</v>
      </c>
      <c r="AL61" s="26" t="n">
        <v>46027.60155092592</v>
      </c>
      <c r="AM61" s="26" t="n">
        <v>46027.60155092592</v>
      </c>
      <c r="AN61" s="25" t="inlineStr">
        <is>
          <t>WHATSAPP</t>
        </is>
      </c>
      <c r="AO61" s="25" t="inlineStr">
        <is>
          <t>FITLAND - TATI - SP</t>
        </is>
      </c>
      <c r="AP61" s="27">
        <f>IF(AH61="","",IF(AH61=0,"PROSPECT",IF(AH61=1,"NOVO",IF(AH61&lt;=3,"EM DESENVOLVIMENTO",IF(AH61&lt;=6,"RECORRENTE","FIDELIZADO")))))</f>
        <v/>
      </c>
      <c r="AQ61" s="27">
        <f>IF(AJ61=0,0,IFERROR(SUM(U61:AF61)/AJ61,0))</f>
        <v/>
      </c>
      <c r="AS61" s="0" t="inlineStr">
        <is>
          <t>Carteira FEV/26 + Vendas FEV/26 + ABC FEV/26</t>
        </is>
      </c>
    </row>
    <row r="62" ht="14.25" customHeight="1" s="16">
      <c r="A62" s="25" t="inlineStr">
        <is>
          <t>LOJA DA NOVO TEMPO</t>
        </is>
      </c>
      <c r="B62" s="25" t="inlineStr">
        <is>
          <t>30097554011901</t>
        </is>
      </c>
      <c r="C62" s="25" t="inlineStr">
        <is>
          <t>ASSOC DA UNIAO ESTE BRAS DOS ADVENTISTAS DO SETIMO DIA</t>
        </is>
      </c>
      <c r="D62" s="25" t="inlineStr">
        <is>
          <t>MG</t>
        </is>
      </c>
      <c r="E62" s="25" t="inlineStr">
        <is>
          <t>MONTES CLAROS</t>
        </is>
      </c>
      <c r="F62" s="25" t="inlineStr">
        <is>
          <t>loja.mmn@adventistas.org</t>
        </is>
      </c>
      <c r="G62" s="25" t="inlineStr">
        <is>
          <t>+55 (38) 3218-9304</t>
        </is>
      </c>
      <c r="H62" s="25" t="inlineStr">
        <is>
          <t>14/01/2026</t>
        </is>
      </c>
      <c r="I62" s="25" t="n"/>
      <c r="J62" s="25" t="inlineStr">
        <is>
          <t>LARISSA PADILHA</t>
        </is>
      </c>
      <c r="K62" s="25" t="inlineStr">
        <is>
          <t>Larissa Padilha</t>
        </is>
      </c>
      <c r="L62" s="25" t="n">
        <v>31</v>
      </c>
      <c r="M62" s="25" t="inlineStr">
        <is>
          <t>15/01/2026</t>
        </is>
      </c>
      <c r="N62" s="25" t="n">
        <v>1503.09</v>
      </c>
      <c r="O62" s="25" t="n">
        <v>5</v>
      </c>
      <c r="P62" s="25" t="inlineStr">
        <is>
          <t>Sim</t>
        </is>
      </c>
      <c r="Q62" s="25" t="n">
        <v>65</v>
      </c>
      <c r="R62" s="25" t="n">
        <v>23</v>
      </c>
      <c r="S62" s="25" t="n">
        <v>1503.09</v>
      </c>
      <c r="T62" s="25" t="inlineStr">
        <is>
          <t>COMPRA B2B</t>
        </is>
      </c>
      <c r="U62" s="25" t="n">
        <v>0</v>
      </c>
      <c r="V62" s="25" t="n">
        <v>0</v>
      </c>
      <c r="W62" s="25" t="n">
        <v>0</v>
      </c>
      <c r="X62" s="25" t="n">
        <v>0</v>
      </c>
      <c r="Y62" s="25" t="n">
        <v>0</v>
      </c>
      <c r="Z62" s="25" t="n">
        <v>0</v>
      </c>
      <c r="AA62" s="25" t="n">
        <v>0</v>
      </c>
      <c r="AB62" s="25" t="n">
        <v>0</v>
      </c>
      <c r="AC62" s="25" t="n">
        <v>0</v>
      </c>
      <c r="AD62" s="25" t="n">
        <v>0</v>
      </c>
      <c r="AE62" s="25" t="n">
        <v>1503.09</v>
      </c>
      <c r="AF62" s="25" t="n">
        <v>0</v>
      </c>
      <c r="AG62" s="25" t="n">
        <v>0</v>
      </c>
      <c r="AH62" s="25" t="n">
        <v>1</v>
      </c>
      <c r="AI62" s="25" t="inlineStr">
        <is>
          <t>A</t>
        </is>
      </c>
      <c r="AJ62" s="25" t="n">
        <v>1</v>
      </c>
      <c r="AK62" s="25" t="n">
        <v>1503.09</v>
      </c>
      <c r="AL62" s="26" t="n">
        <v>46065.41666666666</v>
      </c>
      <c r="AM62" s="26" t="n">
        <v>46065.41666666666</v>
      </c>
      <c r="AN62" s="25" t="inlineStr">
        <is>
          <t>WHATSAPP</t>
        </is>
      </c>
      <c r="AO62" s="28" t="inlineStr"/>
      <c r="AP62" s="27">
        <f>IF(AH62="","",IF(AH62=0,"PROSPECT",IF(AH62=1,"NOVO",IF(AH62&lt;=3,"EM DESENVOLVIMENTO",IF(AH62&lt;=6,"RECORRENTE","FIDELIZADO")))))</f>
        <v/>
      </c>
      <c r="AQ62" s="27">
        <f>IF(AJ62=0,0,IFERROR(SUM(U62:AF62)/AJ62,0))</f>
        <v/>
      </c>
      <c r="AS62" s="0" t="inlineStr">
        <is>
          <t>Carteira FEV/26 + Atend FEV/26</t>
        </is>
      </c>
    </row>
    <row r="63" ht="14.25" customHeight="1" s="16">
      <c r="A63" s="25" t="inlineStr">
        <is>
          <t>MAGOGA HORTIFRUTI LTDA</t>
        </is>
      </c>
      <c r="B63" s="25" t="inlineStr">
        <is>
          <t>54211982000190</t>
        </is>
      </c>
      <c r="C63" s="25" t="inlineStr">
        <is>
          <t>MAGOGA HORTIFRUTI LTDA</t>
        </is>
      </c>
      <c r="D63" s="25" t="inlineStr">
        <is>
          <t>SP</t>
        </is>
      </c>
      <c r="E63" s="25" t="inlineStr">
        <is>
          <t>JUNDIAI</t>
        </is>
      </c>
      <c r="F63" s="25" t="inlineStr">
        <is>
          <t>compras@magogahortifruti.com.br</t>
        </is>
      </c>
      <c r="G63" s="25" t="inlineStr">
        <is>
          <t>+55 (11) 97151-2239</t>
        </is>
      </c>
      <c r="H63" s="25" t="inlineStr">
        <is>
          <t>04/04/2025</t>
        </is>
      </c>
      <c r="I63" s="25" t="n"/>
      <c r="J63" s="25" t="inlineStr">
        <is>
          <t>LARISSA PADILHA</t>
        </is>
      </c>
      <c r="K63" s="25" t="inlineStr">
        <is>
          <t>Larissa Padilha</t>
        </is>
      </c>
      <c r="L63" s="25" t="n">
        <v>38</v>
      </c>
      <c r="M63" s="25" t="inlineStr">
        <is>
          <t>08/01/2026</t>
        </is>
      </c>
      <c r="N63" s="25" t="n">
        <v>946.64</v>
      </c>
      <c r="O63" s="25" t="n"/>
      <c r="P63" s="25" t="n"/>
      <c r="Q63" s="25" t="n"/>
      <c r="R63" s="25" t="n"/>
      <c r="S63" s="25" t="n"/>
      <c r="T63" s="25" t="n"/>
      <c r="U63" s="25" t="n">
        <v>0</v>
      </c>
      <c r="V63" s="25" t="n">
        <v>4357.86</v>
      </c>
      <c r="W63" s="25" t="n">
        <v>5371.12</v>
      </c>
      <c r="X63" s="25" t="n">
        <v>2564.4</v>
      </c>
      <c r="Y63" s="25" t="n">
        <v>2406.47</v>
      </c>
      <c r="Z63" s="25" t="n">
        <v>0</v>
      </c>
      <c r="AA63" s="25" t="n">
        <v>1879.39</v>
      </c>
      <c r="AB63" s="25" t="n">
        <v>0</v>
      </c>
      <c r="AC63" s="25" t="n">
        <v>0</v>
      </c>
      <c r="AD63" s="25" t="n">
        <v>1028.12</v>
      </c>
      <c r="AE63" s="25" t="n">
        <v>946.64</v>
      </c>
      <c r="AF63" s="25" t="n">
        <v>0</v>
      </c>
      <c r="AG63" s="25" t="n">
        <v>39.8571</v>
      </c>
      <c r="AH63" s="25" t="n">
        <v>8</v>
      </c>
      <c r="AI63" s="25" t="inlineStr">
        <is>
          <t>A</t>
        </is>
      </c>
      <c r="AJ63" s="25" t="n">
        <v>7</v>
      </c>
      <c r="AK63" s="25" t="n">
        <v>2319.25</v>
      </c>
      <c r="AL63" s="26" t="n">
        <v>46034.38474537037</v>
      </c>
      <c r="AM63" s="26" t="n">
        <v>46034.38474537037</v>
      </c>
      <c r="AN63" s="25" t="inlineStr">
        <is>
          <t>WHATSAPP</t>
        </is>
      </c>
      <c r="AO63" s="25" t="inlineStr">
        <is>
          <t>MAGOGA HORTIFRUTI - ÉRICA - SP</t>
        </is>
      </c>
      <c r="AP63" s="27">
        <f>IF(AH63="","",IF(AH63=0,"PROSPECT",IF(AH63=1,"NOVO",IF(AH63&lt;=3,"EM DESENVOLVIMENTO",IF(AH63&lt;=6,"RECORRENTE","FIDELIZADO")))))</f>
        <v/>
      </c>
      <c r="AQ63" s="27">
        <f>IF(AJ63=0,0,IFERROR(SUM(U63:AF63)/AJ63,0))</f>
        <v/>
      </c>
      <c r="AS63" s="0" t="inlineStr">
        <is>
          <t>Carteira FEV/26</t>
        </is>
      </c>
    </row>
    <row r="64" ht="14.25" customHeight="1" s="16">
      <c r="A64" s="25" t="inlineStr">
        <is>
          <t>MINHA QUITANDINHA</t>
        </is>
      </c>
      <c r="B64" s="25" t="inlineStr">
        <is>
          <t>59618403000141</t>
        </is>
      </c>
      <c r="C64" s="25" t="inlineStr">
        <is>
          <t>EMPORIUM MERCATO NOSTRO LTDA</t>
        </is>
      </c>
      <c r="D64" s="25" t="inlineStr">
        <is>
          <t>SP</t>
        </is>
      </c>
      <c r="E64" s="25" t="inlineStr">
        <is>
          <t>RIBEIRAO PRETO</t>
        </is>
      </c>
      <c r="F64" s="25" t="inlineStr">
        <is>
          <t>LCSP575@HOTMAIL.COM,paulo.pereira@minhaquitandinha.com.br</t>
        </is>
      </c>
      <c r="G64" s="25" t="inlineStr">
        <is>
          <t>+55 (16) 98203-5010</t>
        </is>
      </c>
      <c r="H64" s="25" t="inlineStr">
        <is>
          <t>05/11/2025</t>
        </is>
      </c>
      <c r="I64" s="25" t="inlineStr">
        <is>
          <t>[Rede] QUITANDINHA</t>
        </is>
      </c>
      <c r="J64" s="25" t="inlineStr">
        <is>
          <t>LARISSA PADILHA</t>
        </is>
      </c>
      <c r="K64" s="25" t="inlineStr">
        <is>
          <t>Larissa Padilha</t>
        </is>
      </c>
      <c r="L64" s="25" t="n">
        <v>27</v>
      </c>
      <c r="M64" s="25" t="inlineStr">
        <is>
          <t>19/01/2026</t>
        </is>
      </c>
      <c r="N64" s="25" t="n">
        <v>612.47</v>
      </c>
      <c r="O64" s="25" t="n">
        <v>5</v>
      </c>
      <c r="P64" s="25" t="inlineStr">
        <is>
          <t>Sim</t>
        </is>
      </c>
      <c r="Q64" s="25" t="n">
        <v>301</v>
      </c>
      <c r="R64" s="25" t="n">
        <v>85</v>
      </c>
      <c r="S64" s="25" t="n">
        <v>2648.3</v>
      </c>
      <c r="T64" s="25" t="inlineStr">
        <is>
          <t>COMPRA B2B</t>
        </is>
      </c>
      <c r="U64" s="25" t="n">
        <v>0</v>
      </c>
      <c r="V64" s="25" t="n">
        <v>0</v>
      </c>
      <c r="W64" s="25" t="n">
        <v>0</v>
      </c>
      <c r="X64" s="25" t="n">
        <v>0</v>
      </c>
      <c r="Y64" s="25" t="n">
        <v>0</v>
      </c>
      <c r="Z64" s="25" t="n">
        <v>0</v>
      </c>
      <c r="AA64" s="25" t="n">
        <v>1442.26</v>
      </c>
      <c r="AB64" s="25" t="n">
        <v>5984.12</v>
      </c>
      <c r="AC64" s="25" t="n">
        <v>2035.83</v>
      </c>
      <c r="AD64" s="25" t="n">
        <v>0</v>
      </c>
      <c r="AE64" s="25" t="n">
        <v>612.47</v>
      </c>
      <c r="AF64" s="25" t="n">
        <v>0</v>
      </c>
      <c r="AG64" s="25" t="n">
        <v>68</v>
      </c>
      <c r="AH64" s="25" t="n">
        <v>5</v>
      </c>
      <c r="AI64" s="25" t="inlineStr">
        <is>
          <t>B</t>
        </is>
      </c>
      <c r="AJ64" s="25" t="n">
        <v>4</v>
      </c>
      <c r="AK64" s="25" t="n">
        <v>2014.94</v>
      </c>
      <c r="AL64" s="26" t="n">
        <v>45966.46944444445</v>
      </c>
      <c r="AM64" s="26" t="n">
        <v>45966.46944444445</v>
      </c>
      <c r="AN64" s="25" t="inlineStr">
        <is>
          <t>WHATSAPP</t>
        </is>
      </c>
      <c r="AO64" s="28" t="inlineStr">
        <is>
          <t>PRÉ-VENDA | CONFIRMAR O ENDEREÇO CERTO COM ELE **passei que ele tem 12% OFF no primeiro pedido**</t>
        </is>
      </c>
      <c r="AP64" s="27">
        <f>IF(AH64="","",IF(AH64=0,"PROSPECT",IF(AH64=1,"NOVO",IF(AH64&lt;=3,"EM DESENVOLVIMENTO",IF(AH64&lt;=6,"RECORRENTE","FIDELIZADO")))))</f>
        <v/>
      </c>
      <c r="AQ64" s="27">
        <f>IF(AJ64=0,0,IFERROR(SUM(U64:AF64)/AJ64,0))</f>
        <v/>
      </c>
      <c r="AS64" s="0" t="inlineStr">
        <is>
          <t>Carteira FEV/26</t>
        </is>
      </c>
    </row>
    <row r="65" ht="14.25" customHeight="1" s="16">
      <c r="A65" s="25" t="inlineStr">
        <is>
          <t>NATERRA SLZ</t>
        </is>
      </c>
      <c r="B65" s="25" t="inlineStr">
        <is>
          <t>09088606000103</t>
        </is>
      </c>
      <c r="C65" s="25" t="inlineStr">
        <is>
          <t>FMC COMERCIO LTDA</t>
        </is>
      </c>
      <c r="D65" s="25" t="inlineStr">
        <is>
          <t>MA</t>
        </is>
      </c>
      <c r="E65" s="25" t="inlineStr">
        <is>
          <t>SAO LUIS</t>
        </is>
      </c>
      <c r="F65" s="25" t="inlineStr">
        <is>
          <t>gerencianaterraslz@gmail.com</t>
        </is>
      </c>
      <c r="G65" s="25" t="inlineStr">
        <is>
          <t>+55 (98) 98401-7711</t>
        </is>
      </c>
      <c r="H65" s="25" t="inlineStr">
        <is>
          <t>26/06/2025</t>
        </is>
      </c>
      <c r="I65" s="25" t="n"/>
      <c r="J65" s="25" t="inlineStr">
        <is>
          <t>LARISSA PADILHA</t>
        </is>
      </c>
      <c r="K65" s="25" t="inlineStr">
        <is>
          <t>Larissa Padilha</t>
        </is>
      </c>
      <c r="L65" s="25" t="n">
        <v>32</v>
      </c>
      <c r="M65" s="25" t="inlineStr">
        <is>
          <t>14/01/2026</t>
        </is>
      </c>
      <c r="N65" s="25" t="n">
        <v>897.75</v>
      </c>
      <c r="O65" s="25" t="n">
        <v>2</v>
      </c>
      <c r="P65" s="25" t="inlineStr">
        <is>
          <t>Sim</t>
        </is>
      </c>
      <c r="Q65" s="25" t="n">
        <v>150</v>
      </c>
      <c r="R65" s="25" t="n">
        <v>63</v>
      </c>
      <c r="S65" s="25" t="n">
        <v>5456.18</v>
      </c>
      <c r="T65" s="25" t="inlineStr">
        <is>
          <t>COMPRA B2B</t>
        </is>
      </c>
      <c r="U65" s="25" t="n">
        <v>0</v>
      </c>
      <c r="V65" s="25" t="n">
        <v>0</v>
      </c>
      <c r="W65" s="25" t="n">
        <v>0</v>
      </c>
      <c r="X65" s="25" t="n">
        <v>1961.6</v>
      </c>
      <c r="Y65" s="25" t="n">
        <v>0</v>
      </c>
      <c r="Z65" s="25" t="n">
        <v>2596.83</v>
      </c>
      <c r="AA65" s="25" t="n">
        <v>0</v>
      </c>
      <c r="AB65" s="25" t="n">
        <v>2541.41</v>
      </c>
      <c r="AC65" s="25" t="n">
        <v>0</v>
      </c>
      <c r="AD65" s="25" t="n">
        <v>0</v>
      </c>
      <c r="AE65" s="25" t="n">
        <v>897.75</v>
      </c>
      <c r="AF65" s="25" t="n">
        <v>0</v>
      </c>
      <c r="AG65" s="25" t="n">
        <v>67</v>
      </c>
      <c r="AH65" s="25" t="n">
        <v>4</v>
      </c>
      <c r="AI65" s="25" t="inlineStr">
        <is>
          <t>A</t>
        </is>
      </c>
      <c r="AJ65" s="25" t="n">
        <v>4</v>
      </c>
      <c r="AK65" s="25" t="n">
        <v>1999.4</v>
      </c>
      <c r="AL65" s="26" t="n">
        <v>46041.68043981482</v>
      </c>
      <c r="AM65" s="26" t="n">
        <v>46041.68043981482</v>
      </c>
      <c r="AN65" s="25" t="inlineStr">
        <is>
          <t>WHATSAPP</t>
        </is>
      </c>
      <c r="AO65" s="25" t="inlineStr">
        <is>
          <t>VENDA REALIZADA | NATERRA - MILENA - MA</t>
        </is>
      </c>
      <c r="AP65" s="27">
        <f>IF(AH65="","",IF(AH65=0,"PROSPECT",IF(AH65=1,"NOVO",IF(AH65&lt;=3,"EM DESENVOLVIMENTO",IF(AH65&lt;=6,"RECORRENTE","FIDELIZADO")))))</f>
        <v/>
      </c>
      <c r="AQ65" s="27">
        <f>IF(AJ65=0,0,IFERROR(SUM(U65:AF65)/AJ65,0))</f>
        <v/>
      </c>
      <c r="AS65" s="0" t="inlineStr">
        <is>
          <t>Carteira FEV/26</t>
        </is>
      </c>
    </row>
    <row r="66" ht="14.25" customHeight="1" s="16">
      <c r="A66" s="25" t="inlineStr">
        <is>
          <t>NATUREZA EM KILO</t>
        </is>
      </c>
      <c r="B66" s="25" t="inlineStr">
        <is>
          <t>00211115000206</t>
        </is>
      </c>
      <c r="C66" s="25" t="inlineStr">
        <is>
          <t>PRODUTOS DA TERRA COM DE CEREAIS PROD NATURAIS LTDA</t>
        </is>
      </c>
      <c r="D66" s="25" t="inlineStr">
        <is>
          <t>PR</t>
        </is>
      </c>
      <c r="E66" s="25" t="inlineStr">
        <is>
          <t>ARAUCARIA</t>
        </is>
      </c>
      <c r="F66" s="25" t="inlineStr">
        <is>
          <t>produtosdaterra@hotmail.com</t>
        </is>
      </c>
      <c r="G66" s="25" t="inlineStr">
        <is>
          <t>+55 (41) 99166-4635</t>
        </is>
      </c>
      <c r="H66" s="25" t="inlineStr">
        <is>
          <t>18/08/2025</t>
        </is>
      </c>
      <c r="I66" s="25" t="n"/>
      <c r="J66" s="25" t="inlineStr">
        <is>
          <t>MANU DITZEL</t>
        </is>
      </c>
      <c r="K66" s="25" t="inlineStr">
        <is>
          <t>Manu Ditzel</t>
        </is>
      </c>
      <c r="L66" s="25" t="n">
        <v>18</v>
      </c>
      <c r="M66" s="25" t="inlineStr">
        <is>
          <t>28/01/2026</t>
        </is>
      </c>
      <c r="N66" s="25" t="n">
        <v>776.61</v>
      </c>
      <c r="O66" s="25" t="n">
        <v>1</v>
      </c>
      <c r="P66" s="25" t="inlineStr">
        <is>
          <t>Sim</t>
        </is>
      </c>
      <c r="Q66" s="25" t="n">
        <v>100</v>
      </c>
      <c r="R66" s="25" t="n">
        <v>35</v>
      </c>
      <c r="S66" s="25" t="n">
        <v>2290.71</v>
      </c>
      <c r="T66" s="25" t="inlineStr">
        <is>
          <t>COMPRA B2B</t>
        </is>
      </c>
      <c r="U66" s="25" t="n">
        <v>0</v>
      </c>
      <c r="V66" s="25" t="n">
        <v>0</v>
      </c>
      <c r="W66" s="25" t="n">
        <v>0</v>
      </c>
      <c r="X66" s="25" t="n">
        <v>0</v>
      </c>
      <c r="Y66" s="25" t="n">
        <v>0</v>
      </c>
      <c r="Z66" s="25" t="n">
        <v>904.49</v>
      </c>
      <c r="AA66" s="25" t="n">
        <v>731.55</v>
      </c>
      <c r="AB66" s="25" t="n">
        <v>1382.99</v>
      </c>
      <c r="AC66" s="25" t="n">
        <v>609.61</v>
      </c>
      <c r="AD66" s="25" t="n">
        <v>0</v>
      </c>
      <c r="AE66" s="25" t="n">
        <v>776.61</v>
      </c>
      <c r="AF66" s="25" t="n">
        <v>0</v>
      </c>
      <c r="AG66" s="25" t="n">
        <v>38.25</v>
      </c>
      <c r="AH66" s="25" t="n">
        <v>4</v>
      </c>
      <c r="AI66" s="25" t="inlineStr">
        <is>
          <t>A</t>
        </is>
      </c>
      <c r="AJ66" s="25" t="n">
        <v>5</v>
      </c>
      <c r="AK66" s="25" t="n">
        <v>1101.31</v>
      </c>
      <c r="AL66" s="26" t="n">
        <v>46056.725</v>
      </c>
      <c r="AM66" s="26" t="n">
        <v>46056.725</v>
      </c>
      <c r="AN66" s="25" t="inlineStr">
        <is>
          <t>LIGAÇÃO</t>
        </is>
      </c>
      <c r="AO66" s="25" t="inlineStr">
        <is>
          <t>AINDA NÃO ENTREGUE | AINDA NÃO FOI ENTREGUE</t>
        </is>
      </c>
      <c r="AP66" s="27">
        <f>IF(AH66="","",IF(AH66=0,"PROSPECT",IF(AH66=1,"NOVO",IF(AH66&lt;=3,"EM DESENVOLVIMENTO",IF(AH66&lt;=6,"RECORRENTE","FIDELIZADO")))))</f>
        <v/>
      </c>
      <c r="AQ66" s="27">
        <f>IF(AJ66=0,0,IFERROR(SUM(U66:AF66)/AJ66,0))</f>
        <v/>
      </c>
      <c r="AS66" s="0" t="inlineStr">
        <is>
          <t>Carteira FEV/26 + Atend FEV/26</t>
        </is>
      </c>
    </row>
    <row r="67" ht="14.25" customHeight="1" s="16">
      <c r="A67" s="25" t="inlineStr">
        <is>
          <t>NEM PEIXE</t>
        </is>
      </c>
      <c r="B67" s="25" t="inlineStr">
        <is>
          <t>56608812000179</t>
        </is>
      </c>
      <c r="C67" s="25" t="inlineStr">
        <is>
          <t>NEM PEIXE ALIMENTOS VEGANOS LTDA</t>
        </is>
      </c>
      <c r="D67" s="25" t="inlineStr">
        <is>
          <t>RS</t>
        </is>
      </c>
      <c r="E67" s="25" t="inlineStr">
        <is>
          <t>PORTO ALEGRE</t>
        </is>
      </c>
      <c r="F67" s="25" t="inlineStr">
        <is>
          <t>nempeixepoa@gmail.com</t>
        </is>
      </c>
      <c r="G67" s="25" t="inlineStr">
        <is>
          <t>+55 (51) 99278-8413</t>
        </is>
      </c>
      <c r="H67" s="25" t="inlineStr">
        <is>
          <t>05/08/2025</t>
        </is>
      </c>
      <c r="I67" s="25" t="n"/>
      <c r="J67" s="25" t="inlineStr">
        <is>
          <t>MANU DITZEL</t>
        </is>
      </c>
      <c r="K67" s="25" t="inlineStr">
        <is>
          <t>Manu Ditzel</t>
        </is>
      </c>
      <c r="L67" s="25" t="n">
        <v>25</v>
      </c>
      <c r="M67" s="25" t="inlineStr">
        <is>
          <t>21/01/2026</t>
        </is>
      </c>
      <c r="N67" s="25" t="n">
        <v>1218.77</v>
      </c>
      <c r="O67" s="25" t="n">
        <v>8</v>
      </c>
      <c r="P67" s="25" t="inlineStr">
        <is>
          <t>Sim</t>
        </is>
      </c>
      <c r="Q67" s="25" t="n">
        <v>170</v>
      </c>
      <c r="R67" s="25" t="n">
        <v>35</v>
      </c>
      <c r="S67" s="25" t="n">
        <v>3456.44</v>
      </c>
      <c r="T67" s="25" t="inlineStr">
        <is>
          <t>COMPRA B2B</t>
        </is>
      </c>
      <c r="U67" s="25" t="n">
        <v>0</v>
      </c>
      <c r="V67" s="25" t="n">
        <v>0</v>
      </c>
      <c r="W67" s="25" t="n">
        <v>0</v>
      </c>
      <c r="X67" s="25" t="n">
        <v>0</v>
      </c>
      <c r="Y67" s="25" t="n">
        <v>0</v>
      </c>
      <c r="Z67" s="25" t="n">
        <v>490.02</v>
      </c>
      <c r="AA67" s="25" t="n">
        <v>683.35</v>
      </c>
      <c r="AB67" s="25" t="n">
        <v>0</v>
      </c>
      <c r="AC67" s="25" t="n">
        <v>0</v>
      </c>
      <c r="AD67" s="25" t="n">
        <v>1064.3</v>
      </c>
      <c r="AE67" s="25" t="n">
        <v>1218.77</v>
      </c>
      <c r="AF67" s="25" t="n">
        <v>0</v>
      </c>
      <c r="AG67" s="25" t="n">
        <v>53</v>
      </c>
      <c r="AH67" s="25" t="n">
        <v>4</v>
      </c>
      <c r="AI67" s="25" t="inlineStr">
        <is>
          <t>B</t>
        </is>
      </c>
      <c r="AJ67" s="25" t="n">
        <v>4</v>
      </c>
      <c r="AK67" s="25" t="n">
        <v>864.11</v>
      </c>
      <c r="AL67" s="26" t="n">
        <v>45874.47638888889</v>
      </c>
      <c r="AM67" s="26" t="n">
        <v>45874.47638888889</v>
      </c>
      <c r="AN67" s="25" t="inlineStr">
        <is>
          <t>WHATSAPP</t>
        </is>
      </c>
      <c r="AO67" s="28" t="inlineStr">
        <is>
          <t>*Portal de pedidos:* https://vitaomais.meuspedidos.com.br/ *Login:* nempeixepoa@gmail.com *Senha:* 030507</t>
        </is>
      </c>
      <c r="AP67" s="27">
        <f>IF(AH67="","",IF(AH67=0,"PROSPECT",IF(AH67=1,"NOVO",IF(AH67&lt;=3,"EM DESENVOLVIMENTO",IF(AH67&lt;=6,"RECORRENTE","FIDELIZADO")))))</f>
        <v/>
      </c>
      <c r="AQ67" s="27">
        <f>IF(AJ67=0,0,IFERROR(SUM(U67:AF67)/AJ67,0))</f>
        <v/>
      </c>
      <c r="AS67" s="0" t="inlineStr">
        <is>
          <t>Carteira FEV/26</t>
        </is>
      </c>
    </row>
    <row r="68" ht="14.25" customHeight="1" s="16">
      <c r="A68" s="25" t="inlineStr">
        <is>
          <t>NOSSO GREEN MARKET</t>
        </is>
      </c>
      <c r="B68" s="25" t="inlineStr">
        <is>
          <t>52916686000169</t>
        </is>
      </c>
      <c r="C68" s="25" t="inlineStr">
        <is>
          <t>JRCM EMPREENDIMENTOS MINIMERCADO LTDA</t>
        </is>
      </c>
      <c r="D68" s="25" t="inlineStr">
        <is>
          <t>PE</t>
        </is>
      </c>
      <c r="E68" s="25" t="inlineStr">
        <is>
          <t>RECIFE</t>
        </is>
      </c>
      <c r="F68" s="25" t="inlineStr">
        <is>
          <t>admfin@nossogreenmarket.com.br,compras@nossogreenmarket.com.br</t>
        </is>
      </c>
      <c r="G68" s="25" t="inlineStr">
        <is>
          <t>+55 (81) 98508-8961</t>
        </is>
      </c>
      <c r="H68" s="25" t="inlineStr">
        <is>
          <t>03/06/2025</t>
        </is>
      </c>
      <c r="I68" s="25" t="n"/>
      <c r="J68" s="25" t="inlineStr">
        <is>
          <t>LARISSA PADILHA</t>
        </is>
      </c>
      <c r="K68" s="25" t="inlineStr">
        <is>
          <t>Larissa Padilha</t>
        </is>
      </c>
      <c r="L68" s="25" t="n">
        <v>31</v>
      </c>
      <c r="M68" s="25" t="inlineStr">
        <is>
          <t>15/01/2026</t>
        </is>
      </c>
      <c r="N68" s="25" t="n">
        <v>880.47</v>
      </c>
      <c r="O68" s="25" t="n">
        <v>5</v>
      </c>
      <c r="P68" s="25" t="inlineStr">
        <is>
          <t>Sim</t>
        </is>
      </c>
      <c r="Q68" s="25" t="n">
        <v>204</v>
      </c>
      <c r="R68" s="25" t="n">
        <v>69</v>
      </c>
      <c r="S68" s="25" t="n">
        <v>3333.11</v>
      </c>
      <c r="T68" s="25" t="inlineStr">
        <is>
          <t>COMPRA B2B</t>
        </is>
      </c>
      <c r="U68" s="25" t="n">
        <v>0</v>
      </c>
      <c r="V68" s="25" t="n">
        <v>0</v>
      </c>
      <c r="W68" s="25" t="n">
        <v>0</v>
      </c>
      <c r="X68" s="25" t="n">
        <v>1442.74</v>
      </c>
      <c r="Y68" s="25" t="n">
        <v>0</v>
      </c>
      <c r="Z68" s="25" t="n">
        <v>1009.9</v>
      </c>
      <c r="AA68" s="25" t="n">
        <v>0</v>
      </c>
      <c r="AB68" s="25" t="n">
        <v>1365.73</v>
      </c>
      <c r="AC68" s="25" t="n">
        <v>0</v>
      </c>
      <c r="AD68" s="25" t="n">
        <v>0</v>
      </c>
      <c r="AE68" s="25" t="n">
        <v>880.47</v>
      </c>
      <c r="AF68" s="25" t="n">
        <v>0</v>
      </c>
      <c r="AG68" s="25" t="n">
        <v>73</v>
      </c>
      <c r="AH68" s="25" t="n">
        <v>4</v>
      </c>
      <c r="AI68" s="25" t="inlineStr">
        <is>
          <t>A</t>
        </is>
      </c>
      <c r="AJ68" s="25" t="n">
        <v>4</v>
      </c>
      <c r="AK68" s="25" t="n">
        <v>1174.71</v>
      </c>
      <c r="AL68" s="26" t="n">
        <v>46059.5159375</v>
      </c>
      <c r="AM68" s="26" t="n">
        <v>46059.5159375</v>
      </c>
      <c r="AN68" s="25" t="inlineStr">
        <is>
          <t>WHATSAPP</t>
        </is>
      </c>
      <c r="AO68" s="25" t="inlineStr">
        <is>
          <t>GREEN MARKET - LAIS - PE</t>
        </is>
      </c>
      <c r="AP68" s="27">
        <f>IF(AH68="","",IF(AH68=0,"PROSPECT",IF(AH68=1,"NOVO",IF(AH68&lt;=3,"EM DESENVOLVIMENTO",IF(AH68&lt;=6,"RECORRENTE","FIDELIZADO")))))</f>
        <v/>
      </c>
      <c r="AQ68" s="27">
        <f>IF(AJ68=0,0,IFERROR(SUM(U68:AF68)/AJ68,0))</f>
        <v/>
      </c>
      <c r="AS68" s="0" t="inlineStr">
        <is>
          <t>Carteira FEV/26</t>
        </is>
      </c>
    </row>
    <row r="69" ht="14.25" customHeight="1" s="16">
      <c r="A69" s="25" t="inlineStr">
        <is>
          <t>NUTRI LEVE</t>
        </is>
      </c>
      <c r="B69" s="25" t="inlineStr">
        <is>
          <t>12659548000127</t>
        </is>
      </c>
      <c r="C69" s="25" t="inlineStr">
        <is>
          <t>ISOLETE SCHUENKE GAEDKE</t>
        </is>
      </c>
      <c r="D69" s="25" t="inlineStr">
        <is>
          <t>SC</t>
        </is>
      </c>
      <c r="E69" s="25" t="inlineStr">
        <is>
          <t>POMERODE</t>
        </is>
      </c>
      <c r="F69" s="25" t="inlineStr">
        <is>
          <t>nutri.leve@hotmail.com</t>
        </is>
      </c>
      <c r="G69" s="25" t="inlineStr">
        <is>
          <t>+55 (47) 99991-3493 | +55 (47) 9107-5696</t>
        </is>
      </c>
      <c r="H69" s="25" t="inlineStr">
        <is>
          <t>08/10/2024</t>
        </is>
      </c>
      <c r="I69" s="25" t="n"/>
      <c r="J69" s="25" t="inlineStr">
        <is>
          <t>MANU DITZEL</t>
        </is>
      </c>
      <c r="K69" s="25" t="inlineStr">
        <is>
          <t>Manu Ditzel</t>
        </is>
      </c>
      <c r="L69" s="25" t="n">
        <v>16</v>
      </c>
      <c r="M69" s="25" t="inlineStr">
        <is>
          <t>30/01/2026</t>
        </is>
      </c>
      <c r="N69" s="25" t="n">
        <v>1386.83</v>
      </c>
      <c r="O69" s="25" t="n">
        <v>1</v>
      </c>
      <c r="P69" s="25" t="inlineStr">
        <is>
          <t>Sim</t>
        </is>
      </c>
      <c r="Q69" s="25" t="n">
        <v>292</v>
      </c>
      <c r="R69" s="25" t="n">
        <v>111</v>
      </c>
      <c r="S69" s="25" t="n">
        <v>4308.24</v>
      </c>
      <c r="T69" s="25" t="inlineStr">
        <is>
          <t>COMPRA B2B</t>
        </is>
      </c>
      <c r="U69" s="25" t="n">
        <v>0</v>
      </c>
      <c r="V69" s="25" t="n">
        <v>0</v>
      </c>
      <c r="W69" s="25" t="n">
        <v>901.92</v>
      </c>
      <c r="X69" s="25" t="n">
        <v>820.0599999999999</v>
      </c>
      <c r="Y69" s="25" t="n">
        <v>0</v>
      </c>
      <c r="Z69" s="25" t="n">
        <v>1508.79</v>
      </c>
      <c r="AA69" s="25" t="n">
        <v>0</v>
      </c>
      <c r="AB69" s="25" t="n">
        <v>1065.39</v>
      </c>
      <c r="AC69" s="25" t="n">
        <v>0</v>
      </c>
      <c r="AD69" s="25" t="n">
        <v>1077.47</v>
      </c>
      <c r="AE69" s="25" t="n">
        <v>0</v>
      </c>
      <c r="AF69" s="25" t="n">
        <v>0</v>
      </c>
      <c r="AG69" s="25" t="n">
        <v>52</v>
      </c>
      <c r="AH69" s="25" t="n">
        <v>5</v>
      </c>
      <c r="AI69" s="25" t="inlineStr">
        <is>
          <t>A</t>
        </is>
      </c>
      <c r="AJ69" s="25" t="n">
        <v>5</v>
      </c>
      <c r="AK69" s="25" t="n">
        <v>1074.73</v>
      </c>
      <c r="AL69" s="26" t="n">
        <v>46056.72013888889</v>
      </c>
      <c r="AM69" s="26" t="n">
        <v>46056.72013888889</v>
      </c>
      <c r="AN69" s="25" t="inlineStr">
        <is>
          <t>WHATSAPP</t>
        </is>
      </c>
      <c r="AO69" s="25" t="inlineStr">
        <is>
          <t>JÁ FOI FEITO RECOMPRA JÁ FOI FEITO RECOMPRA</t>
        </is>
      </c>
      <c r="AP69" s="27">
        <f>IF(AH69="","",IF(AH69=0,"PROSPECT",IF(AH69=1,"NOVO",IF(AH69&lt;=3,"EM DESENVOLVIMENTO",IF(AH69&lt;=6,"RECORRENTE","FIDELIZADO")))))</f>
        <v/>
      </c>
      <c r="AQ69" s="27">
        <f>IF(AJ69=0,0,IFERROR(SUM(U69:AF69)/AJ69,0))</f>
        <v/>
      </c>
      <c r="AS69" s="0" t="inlineStr">
        <is>
          <t>Carteira FEV/26 + Atend FEV/26</t>
        </is>
      </c>
    </row>
    <row r="70" ht="14.25" customHeight="1" s="16">
      <c r="A70" s="25" t="inlineStr">
        <is>
          <t>NUTRI SAFE</t>
        </is>
      </c>
      <c r="B70" s="25" t="inlineStr">
        <is>
          <t>63791809000107</t>
        </is>
      </c>
      <c r="C70" s="25" t="inlineStr">
        <is>
          <t>NUTRI SAFE ALIMENTOS SAUDAVEIS LTDA</t>
        </is>
      </c>
      <c r="D70" s="25" t="inlineStr">
        <is>
          <t>RS</t>
        </is>
      </c>
      <c r="E70" s="25" t="inlineStr">
        <is>
          <t>PORTO ALEGRE</t>
        </is>
      </c>
      <c r="F70" s="25" t="inlineStr">
        <is>
          <t>merlini.liliane@gmail.com</t>
        </is>
      </c>
      <c r="G70" s="25" t="inlineStr">
        <is>
          <t>+55 (51) 98409-7998</t>
        </is>
      </c>
      <c r="H70" s="25" t="inlineStr">
        <is>
          <t>09/12/2025</t>
        </is>
      </c>
      <c r="I70" s="25" t="n"/>
      <c r="J70" s="25" t="inlineStr">
        <is>
          <t>MANU DITZEL</t>
        </is>
      </c>
      <c r="K70" s="25" t="inlineStr">
        <is>
          <t>Manu Ditzel</t>
        </is>
      </c>
      <c r="L70" s="25" t="n">
        <v>20</v>
      </c>
      <c r="M70" s="25" t="inlineStr">
        <is>
          <t>26/01/2026</t>
        </is>
      </c>
      <c r="N70" s="25" t="n">
        <v>259.86</v>
      </c>
      <c r="O70" s="25" t="n">
        <v>2</v>
      </c>
      <c r="P70" s="25" t="inlineStr">
        <is>
          <t>Sim</t>
        </is>
      </c>
      <c r="Q70" s="25" t="n">
        <v>158</v>
      </c>
      <c r="R70" s="25" t="n">
        <v>30</v>
      </c>
      <c r="S70" s="25" t="n">
        <v>819.9299999999999</v>
      </c>
      <c r="T70" s="25" t="inlineStr">
        <is>
          <t>COMPRA B2B</t>
        </is>
      </c>
      <c r="U70" s="25" t="n">
        <v>0</v>
      </c>
      <c r="V70" s="25" t="n">
        <v>0</v>
      </c>
      <c r="W70" s="25" t="n">
        <v>0</v>
      </c>
      <c r="X70" s="25" t="n">
        <v>0</v>
      </c>
      <c r="Y70" s="25" t="n">
        <v>0</v>
      </c>
      <c r="Z70" s="25" t="n">
        <v>0</v>
      </c>
      <c r="AA70" s="25" t="n">
        <v>0</v>
      </c>
      <c r="AB70" s="25" t="n">
        <v>0</v>
      </c>
      <c r="AC70" s="25" t="n">
        <v>0</v>
      </c>
      <c r="AD70" s="25" t="n">
        <v>568.6</v>
      </c>
      <c r="AE70" s="25" t="n">
        <v>511.19</v>
      </c>
      <c r="AF70" s="25" t="n">
        <v>0</v>
      </c>
      <c r="AG70" s="25" t="n">
        <v>21</v>
      </c>
      <c r="AH70" s="25" t="n">
        <v>3</v>
      </c>
      <c r="AI70" s="25" t="inlineStr">
        <is>
          <t>C</t>
        </is>
      </c>
      <c r="AJ70" s="25" t="n">
        <v>2</v>
      </c>
      <c r="AK70" s="25" t="n">
        <v>359.93</v>
      </c>
      <c r="AL70" s="26" t="n">
        <v>46002.62569444445</v>
      </c>
      <c r="AM70" s="26" t="n">
        <v>46002.62569444445</v>
      </c>
      <c r="AN70" s="25" t="inlineStr">
        <is>
          <t>LIGAÇÃO</t>
        </is>
      </c>
      <c r="AO70" s="25" t="inlineStr">
        <is>
          <t>CLIENTE ESTA MONTANDO A LOJA, PARA INAUGURAÇÃO COMEÇO DE JANEIRO ... ESTA COM MUITAS DEMANDAS QUANDO TIVER UM TEMPO VAI MONTAR O PEDIDO</t>
        </is>
      </c>
      <c r="AP70" s="27">
        <f>IF(AH70="","",IF(AH70=0,"PROSPECT",IF(AH70=1,"NOVO",IF(AH70&lt;=3,"EM DESENVOLVIMENTO",IF(AH70&lt;=6,"RECORRENTE","FIDELIZADO")))))</f>
        <v/>
      </c>
      <c r="AQ70" s="27">
        <f>IF(AJ70=0,0,IFERROR(SUM(U70:AF70)/AJ70,0))</f>
        <v/>
      </c>
      <c r="AS70" s="0" t="inlineStr">
        <is>
          <t>Carteira FEV/26</t>
        </is>
      </c>
    </row>
    <row r="71" ht="14.25" customHeight="1" s="16">
      <c r="A71" s="25" t="inlineStr">
        <is>
          <t>NUTRILIFE</t>
        </is>
      </c>
      <c r="B71" s="25" t="inlineStr">
        <is>
          <t>51938854000154</t>
        </is>
      </c>
      <c r="C71" s="25" t="inlineStr">
        <is>
          <t>G S DIAS LTDA</t>
        </is>
      </c>
      <c r="D71" s="25" t="inlineStr">
        <is>
          <t>PR</t>
        </is>
      </c>
      <c r="E71" s="25" t="inlineStr">
        <is>
          <t>BANDEIRANTES</t>
        </is>
      </c>
      <c r="F71" s="25" t="inlineStr">
        <is>
          <t>gsdiasltda@gmail.com,produtosnaturaisnutrilife@gmail.com</t>
        </is>
      </c>
      <c r="G71" s="25" t="inlineStr">
        <is>
          <t>+55 (43) 9641-1761</t>
        </is>
      </c>
      <c r="H71" s="25" t="inlineStr">
        <is>
          <t>10/12/2025</t>
        </is>
      </c>
      <c r="I71" s="25" t="n"/>
      <c r="J71" s="25" t="inlineStr">
        <is>
          <t>MANU DITZEL</t>
        </is>
      </c>
      <c r="K71" s="25" t="inlineStr">
        <is>
          <t>Manu Ditzel</t>
        </is>
      </c>
      <c r="L71" s="25" t="n">
        <v>62</v>
      </c>
      <c r="M71" s="25" t="inlineStr">
        <is>
          <t>15/12/2025</t>
        </is>
      </c>
      <c r="N71" s="25" t="n">
        <v>2323.95</v>
      </c>
      <c r="O71" s="25" t="n">
        <v>2</v>
      </c>
      <c r="P71" s="25" t="inlineStr">
        <is>
          <t>Sim</t>
        </is>
      </c>
      <c r="Q71" s="25" t="n">
        <v>98</v>
      </c>
      <c r="R71" s="25" t="n">
        <v>17</v>
      </c>
      <c r="S71" s="25" t="n">
        <v>2323.95</v>
      </c>
      <c r="T71" s="25" t="inlineStr">
        <is>
          <t>COMPRA B2B</t>
        </is>
      </c>
      <c r="U71" s="25" t="n">
        <v>0</v>
      </c>
      <c r="V71" s="25" t="n">
        <v>0</v>
      </c>
      <c r="W71" s="25" t="n">
        <v>0</v>
      </c>
      <c r="X71" s="25" t="n">
        <v>0</v>
      </c>
      <c r="Y71" s="25" t="n">
        <v>0</v>
      </c>
      <c r="Z71" s="25" t="n">
        <v>0</v>
      </c>
      <c r="AA71" s="25" t="n">
        <v>0</v>
      </c>
      <c r="AB71" s="25" t="n">
        <v>0</v>
      </c>
      <c r="AC71" s="25" t="n">
        <v>0</v>
      </c>
      <c r="AD71" s="25" t="n">
        <v>2323.95</v>
      </c>
      <c r="AE71" s="25" t="n">
        <v>0</v>
      </c>
      <c r="AF71" s="25" t="n">
        <v>0</v>
      </c>
      <c r="AG71" s="25" t="n">
        <v>0</v>
      </c>
      <c r="AH71" s="25" t="n">
        <v>1</v>
      </c>
      <c r="AI71" s="25" t="inlineStr">
        <is>
          <t>B</t>
        </is>
      </c>
      <c r="AJ71" s="25" t="n">
        <v>1</v>
      </c>
      <c r="AK71" s="25" t="n">
        <v>2323.95</v>
      </c>
      <c r="AL71" s="26" t="n">
        <v>46063.6625</v>
      </c>
      <c r="AM71" s="26" t="n">
        <v>46063.6625</v>
      </c>
      <c r="AN71" s="25" t="inlineStr">
        <is>
          <t>LIGAÇÃO</t>
        </is>
      </c>
      <c r="AO71" s="28" t="inlineStr">
        <is>
          <t>CHEGOU DERRETIDO , ELA NÃO NOS AVISOU, E AGORA NÃO RESPONDE MAIS</t>
        </is>
      </c>
      <c r="AP71" s="27">
        <f>IF(AH71="","",IF(AH71=0,"PROSPECT",IF(AH71=1,"NOVO",IF(AH71&lt;=3,"EM DESENVOLVIMENTO",IF(AH71&lt;=6,"RECORRENTE","FIDELIZADO")))))</f>
        <v/>
      </c>
      <c r="AQ71" s="27">
        <f>IF(AJ71=0,0,IFERROR(SUM(U71:AF71)/AJ71,0))</f>
        <v/>
      </c>
      <c r="AS71" s="0" t="inlineStr">
        <is>
          <t>Carteira FEV/26 + Atend FEV/26</t>
        </is>
      </c>
    </row>
    <row r="72" ht="14.25" customHeight="1" s="16">
      <c r="A72" s="25" t="inlineStr">
        <is>
          <t>NUTRIVIDA</t>
        </is>
      </c>
      <c r="B72" s="25" t="inlineStr">
        <is>
          <t>47058031000167</t>
        </is>
      </c>
      <c r="C72" s="25" t="inlineStr">
        <is>
          <t>TAILANA DA SILVA TOLEDO LTDA</t>
        </is>
      </c>
      <c r="D72" s="25" t="inlineStr">
        <is>
          <t>RS</t>
        </is>
      </c>
      <c r="E72" s="25" t="inlineStr">
        <is>
          <t>MONTENEGRO</t>
        </is>
      </c>
      <c r="F72" s="25" t="inlineStr">
        <is>
          <t>NUTRIVIDA.VOCEMAISLEVE@GMAIL.COM</t>
        </is>
      </c>
      <c r="G72" s="25" t="inlineStr">
        <is>
          <t>+55 (51) 9992-9880</t>
        </is>
      </c>
      <c r="H72" s="25" t="inlineStr">
        <is>
          <t>08/10/2024</t>
        </is>
      </c>
      <c r="I72" s="25" t="n"/>
      <c r="J72" s="25" t="inlineStr">
        <is>
          <t>MANU DITZEL</t>
        </is>
      </c>
      <c r="K72" s="25" t="inlineStr">
        <is>
          <t>Manu Ditzel</t>
        </is>
      </c>
      <c r="L72" s="25" t="n">
        <v>39</v>
      </c>
      <c r="M72" s="25" t="inlineStr">
        <is>
          <t>07/01/2026</t>
        </is>
      </c>
      <c r="N72" s="25" t="n">
        <v>964.59</v>
      </c>
      <c r="O72" s="25" t="n">
        <v>2</v>
      </c>
      <c r="P72" s="25" t="inlineStr">
        <is>
          <t>Sim</t>
        </is>
      </c>
      <c r="Q72" s="25" t="n">
        <v>238</v>
      </c>
      <c r="R72" s="25" t="n">
        <v>80</v>
      </c>
      <c r="S72" s="25" t="n">
        <v>2467</v>
      </c>
      <c r="T72" s="25" t="inlineStr">
        <is>
          <t>COMPRA B2B</t>
        </is>
      </c>
      <c r="U72" s="25" t="n">
        <v>0</v>
      </c>
      <c r="V72" s="25" t="n">
        <v>0</v>
      </c>
      <c r="W72" s="25" t="n">
        <v>0</v>
      </c>
      <c r="X72" s="25" t="n">
        <v>0</v>
      </c>
      <c r="Y72" s="25" t="n">
        <v>0</v>
      </c>
      <c r="Z72" s="25" t="n">
        <v>0</v>
      </c>
      <c r="AA72" s="25" t="n">
        <v>0</v>
      </c>
      <c r="AB72" s="25" t="n">
        <v>0</v>
      </c>
      <c r="AC72" s="25" t="n">
        <v>1502.41</v>
      </c>
      <c r="AD72" s="25" t="n">
        <v>0</v>
      </c>
      <c r="AE72" s="25" t="n">
        <v>964.59</v>
      </c>
      <c r="AF72" s="25" t="n">
        <v>0</v>
      </c>
      <c r="AG72" s="25" t="n">
        <v>58</v>
      </c>
      <c r="AH72" s="25" t="n">
        <v>1</v>
      </c>
      <c r="AI72" s="25" t="inlineStr">
        <is>
          <t>B</t>
        </is>
      </c>
      <c r="AJ72" s="25" t="n">
        <v>2</v>
      </c>
      <c r="AK72" s="25" t="n">
        <v>2467</v>
      </c>
      <c r="AL72" s="26" t="n">
        <v>46064.3875</v>
      </c>
      <c r="AM72" s="26" t="n">
        <v>46064.3875</v>
      </c>
      <c r="AN72" s="25" t="inlineStr">
        <is>
          <t>LIGAÇÃO</t>
        </is>
      </c>
      <c r="AO72" s="25" t="inlineStr">
        <is>
          <t>ENVIADO NOVAMENTE OFERECENDO DESCONTO PARA FECHAR !!</t>
        </is>
      </c>
      <c r="AP72" s="27">
        <f>IF(AH72="","",IF(AH72=0,"PROSPECT",IF(AH72=1,"NOVO",IF(AH72&lt;=3,"EM DESENVOLVIMENTO",IF(AH72&lt;=6,"RECORRENTE","FIDELIZADO")))))</f>
        <v/>
      </c>
      <c r="AQ72" s="27">
        <f>IF(AJ72=0,0,IFERROR(SUM(U72:AF72)/AJ72,0))</f>
        <v/>
      </c>
      <c r="AS72" s="0" t="inlineStr">
        <is>
          <t>Carteira FEV/26 + Atend FEV/26</t>
        </is>
      </c>
    </row>
    <row r="73" ht="14.25" customHeight="1" s="16">
      <c r="A73" s="25" t="inlineStr">
        <is>
          <t>PAPELARIA ESTRELA</t>
        </is>
      </c>
      <c r="B73" s="25" t="inlineStr">
        <is>
          <t>00580242000100</t>
        </is>
      </c>
      <c r="C73" s="25" t="inlineStr">
        <is>
          <t>PAPELARIA E BAZAR ESTRELA DE COPACABANA LTDA</t>
        </is>
      </c>
      <c r="D73" s="25" t="inlineStr">
        <is>
          <t>RJ</t>
        </is>
      </c>
      <c r="E73" s="25" t="inlineStr">
        <is>
          <t>RIO DE JANEIRO</t>
        </is>
      </c>
      <c r="F73" s="25" t="inlineStr">
        <is>
          <t>livrariadaesquina@gmail.com</t>
        </is>
      </c>
      <c r="G73" s="25" t="inlineStr">
        <is>
          <t>+55 (21) 99996-0666</t>
        </is>
      </c>
      <c r="H73" s="25" t="inlineStr">
        <is>
          <t>14/10/2025</t>
        </is>
      </c>
      <c r="I73" s="25" t="n"/>
      <c r="J73" s="25" t="inlineStr">
        <is>
          <t>LARISSA PADILHA</t>
        </is>
      </c>
      <c r="K73" s="25" t="inlineStr">
        <is>
          <t>Larissa Padilha</t>
        </is>
      </c>
      <c r="L73" s="25" t="n">
        <v>32</v>
      </c>
      <c r="M73" s="25" t="inlineStr">
        <is>
          <t>14/01/2026</t>
        </is>
      </c>
      <c r="N73" s="25" t="n">
        <v>1431.2</v>
      </c>
      <c r="O73" s="25" t="n"/>
      <c r="P73" s="25" t="n"/>
      <c r="Q73" s="25" t="n"/>
      <c r="R73" s="25" t="n"/>
      <c r="S73" s="25" t="n"/>
      <c r="T73" s="25" t="n"/>
      <c r="U73" s="25" t="n">
        <v>0</v>
      </c>
      <c r="V73" s="25" t="n">
        <v>0</v>
      </c>
      <c r="W73" s="25" t="n">
        <v>0</v>
      </c>
      <c r="X73" s="25" t="n">
        <v>0</v>
      </c>
      <c r="Y73" s="25" t="n">
        <v>0</v>
      </c>
      <c r="Z73" s="25" t="n">
        <v>0</v>
      </c>
      <c r="AA73" s="25" t="n">
        <v>0</v>
      </c>
      <c r="AB73" s="25" t="n">
        <v>1219.25</v>
      </c>
      <c r="AC73" s="25" t="n">
        <v>1215.98</v>
      </c>
      <c r="AD73" s="25" t="n">
        <v>0</v>
      </c>
      <c r="AE73" s="25" t="n">
        <v>1431.2</v>
      </c>
      <c r="AF73" s="25" t="n">
        <v>0</v>
      </c>
      <c r="AG73" s="25" t="n">
        <v>44.5</v>
      </c>
      <c r="AH73" s="25" t="n">
        <v>2</v>
      </c>
      <c r="AI73" s="25" t="inlineStr">
        <is>
          <t>A</t>
        </is>
      </c>
      <c r="AJ73" s="25" t="n">
        <v>3</v>
      </c>
      <c r="AK73" s="25" t="n">
        <v>1933.21</v>
      </c>
      <c r="AL73" s="26" t="n">
        <v>46062.45555555556</v>
      </c>
      <c r="AM73" s="26" t="n">
        <v>46062.45555555556</v>
      </c>
      <c r="AN73" s="25" t="inlineStr">
        <is>
          <t>WHATSAPP</t>
        </is>
      </c>
      <c r="AO73" s="25" t="inlineStr">
        <is>
          <t>NUTRIÇÃO | Liguei mas não atendeu, enviei áudio para retomar nossa parceria</t>
        </is>
      </c>
      <c r="AP73" s="27">
        <f>IF(AH73="","",IF(AH73=0,"PROSPECT",IF(AH73=1,"NOVO",IF(AH73&lt;=3,"EM DESENVOLVIMENTO",IF(AH73&lt;=6,"RECORRENTE","FIDELIZADO")))))</f>
        <v/>
      </c>
      <c r="AQ73" s="27">
        <f>IF(AJ73=0,0,IFERROR(SUM(U73:AF73)/AJ73,0))</f>
        <v/>
      </c>
      <c r="AS73" s="0" t="inlineStr">
        <is>
          <t>Carteira FEV/26 + Atend FEV/26</t>
        </is>
      </c>
    </row>
    <row r="74" ht="14.25" customHeight="1" s="16">
      <c r="A74" s="25" t="inlineStr">
        <is>
          <t>PEQII</t>
        </is>
      </c>
      <c r="B74" s="25" t="inlineStr">
        <is>
          <t>44931711000155</t>
        </is>
      </c>
      <c r="C74" s="25" t="inlineStr">
        <is>
          <t>RO2 SERVICOS CORPORATIVOS LTDA</t>
        </is>
      </c>
      <c r="D74" s="25" t="inlineStr">
        <is>
          <t>SP</t>
        </is>
      </c>
      <c r="E74" s="25" t="inlineStr">
        <is>
          <t>SAO PAULO</t>
        </is>
      </c>
      <c r="F74" s="25" t="inlineStr">
        <is>
          <t>compras@peqii.com</t>
        </is>
      </c>
      <c r="G74" s="25" t="inlineStr">
        <is>
          <t>+55 (11) 94514-2686</t>
        </is>
      </c>
      <c r="H74" s="25" t="inlineStr">
        <is>
          <t>13/01/2026</t>
        </is>
      </c>
      <c r="I74" s="25" t="n"/>
      <c r="J74" s="25" t="inlineStr">
        <is>
          <t>LARISSA PADILHA</t>
        </is>
      </c>
      <c r="K74" s="25" t="inlineStr">
        <is>
          <t>Larissa Padilha</t>
        </is>
      </c>
      <c r="L74" s="25" t="n">
        <v>32</v>
      </c>
      <c r="M74" s="25" t="inlineStr">
        <is>
          <t>14/01/2026</t>
        </is>
      </c>
      <c r="N74" s="25" t="n">
        <v>3422.4</v>
      </c>
      <c r="O74" s="25" t="n">
        <v>4</v>
      </c>
      <c r="P74" s="25" t="inlineStr">
        <is>
          <t>Sim</t>
        </is>
      </c>
      <c r="Q74" s="25" t="n">
        <v>26</v>
      </c>
      <c r="R74" s="25" t="n">
        <v>1</v>
      </c>
      <c r="S74" s="25" t="n">
        <v>3422.4</v>
      </c>
      <c r="T74" s="25" t="inlineStr">
        <is>
          <t>COMPRA B2B</t>
        </is>
      </c>
      <c r="U74" s="25" t="n">
        <v>0</v>
      </c>
      <c r="V74" s="25" t="n">
        <v>0</v>
      </c>
      <c r="W74" s="25" t="n">
        <v>0</v>
      </c>
      <c r="X74" s="25" t="n">
        <v>0</v>
      </c>
      <c r="Y74" s="25" t="n">
        <v>0</v>
      </c>
      <c r="Z74" s="25" t="n">
        <v>0</v>
      </c>
      <c r="AA74" s="25" t="n">
        <v>0</v>
      </c>
      <c r="AB74" s="25" t="n">
        <v>0</v>
      </c>
      <c r="AC74" s="25" t="n">
        <v>0</v>
      </c>
      <c r="AD74" s="25" t="n">
        <v>0</v>
      </c>
      <c r="AE74" s="25" t="n">
        <v>3422.4</v>
      </c>
      <c r="AF74" s="25" t="n">
        <v>0</v>
      </c>
      <c r="AG74" s="25" t="n">
        <v>0</v>
      </c>
      <c r="AH74" s="25" t="n">
        <v>1</v>
      </c>
      <c r="AI74" s="25" t="inlineStr">
        <is>
          <t>A</t>
        </is>
      </c>
      <c r="AJ74" s="25" t="n">
        <v>1</v>
      </c>
      <c r="AK74" s="25" t="n">
        <v>3422.4</v>
      </c>
      <c r="AL74" s="26" t="n">
        <v>46065.48472222222</v>
      </c>
      <c r="AM74" s="26" t="n">
        <v>46065.48472222222</v>
      </c>
      <c r="AN74" s="25" t="inlineStr">
        <is>
          <t>WHATSAPP</t>
        </is>
      </c>
      <c r="AO74" s="28" t="inlineStr"/>
      <c r="AP74" s="27">
        <f>IF(AH74="","",IF(AH74=0,"PROSPECT",IF(AH74=1,"NOVO",IF(AH74&lt;=3,"EM DESENVOLVIMENTO",IF(AH74&lt;=6,"RECORRENTE","FIDELIZADO")))))</f>
        <v/>
      </c>
      <c r="AQ74" s="27">
        <f>IF(AJ74=0,0,IFERROR(SUM(U74:AF74)/AJ74,0))</f>
        <v/>
      </c>
      <c r="AS74" s="0" t="inlineStr">
        <is>
          <t>Carteira FEV/26 + Atend FEV/26</t>
        </is>
      </c>
    </row>
    <row r="75" ht="14.25" customHeight="1" s="16">
      <c r="A75" s="25" t="inlineStr">
        <is>
          <t>PETIT MERCADO RECIFE</t>
        </is>
      </c>
      <c r="B75" s="25" t="inlineStr">
        <is>
          <t>42045188000134</t>
        </is>
      </c>
      <c r="C75" s="25" t="inlineStr">
        <is>
          <t>K V DE CARLI MARTINS COMERCIO DE ALIMENTOS LTDA</t>
        </is>
      </c>
      <c r="D75" s="25" t="inlineStr">
        <is>
          <t>PE</t>
        </is>
      </c>
      <c r="E75" s="25" t="inlineStr">
        <is>
          <t>RECIFE</t>
        </is>
      </c>
      <c r="F75" s="25" t="inlineStr">
        <is>
          <t>kamilladecarli@gmail.com</t>
        </is>
      </c>
      <c r="G75" s="25" t="inlineStr">
        <is>
          <t>+55 (81) 9704-0498</t>
        </is>
      </c>
      <c r="H75" s="25" t="inlineStr">
        <is>
          <t>28/02/2025</t>
        </is>
      </c>
      <c r="I75" s="25" t="n"/>
      <c r="J75" s="25" t="inlineStr">
        <is>
          <t>LARISSA PADILHA</t>
        </is>
      </c>
      <c r="K75" s="25" t="inlineStr">
        <is>
          <t>Larissa Padilha</t>
        </is>
      </c>
      <c r="L75" s="25" t="n">
        <v>41</v>
      </c>
      <c r="M75" s="25" t="inlineStr">
        <is>
          <t>05/01/2026</t>
        </is>
      </c>
      <c r="N75" s="25" t="n">
        <v>2755.08</v>
      </c>
      <c r="O75" s="25" t="n">
        <v>1</v>
      </c>
      <c r="P75" s="25" t="inlineStr">
        <is>
          <t>Sim</t>
        </is>
      </c>
      <c r="Q75" s="25" t="n">
        <v>76</v>
      </c>
      <c r="R75" s="25" t="n">
        <v>22</v>
      </c>
      <c r="S75" s="25" t="n">
        <v>3750.38</v>
      </c>
      <c r="T75" s="25" t="inlineStr">
        <is>
          <t>COMPRA B2B</t>
        </is>
      </c>
      <c r="U75" s="25" t="n">
        <v>3097.52</v>
      </c>
      <c r="V75" s="25" t="n">
        <v>3750.38</v>
      </c>
      <c r="W75" s="25" t="n">
        <v>0</v>
      </c>
      <c r="X75" s="25" t="n">
        <v>0</v>
      </c>
      <c r="Y75" s="25" t="n">
        <v>2744.45</v>
      </c>
      <c r="Z75" s="25" t="n">
        <v>0</v>
      </c>
      <c r="AA75" s="25" t="n">
        <v>0</v>
      </c>
      <c r="AB75" s="25" t="n">
        <v>3069.91</v>
      </c>
      <c r="AC75" s="25" t="n">
        <v>0</v>
      </c>
      <c r="AD75" s="25" t="n">
        <v>0</v>
      </c>
      <c r="AE75" s="25" t="n">
        <v>2755.08</v>
      </c>
      <c r="AF75" s="25" t="n">
        <v>0</v>
      </c>
      <c r="AG75" s="25" t="n">
        <v>76.75</v>
      </c>
      <c r="AH75" s="25" t="n">
        <v>5</v>
      </c>
      <c r="AI75" s="25" t="inlineStr">
        <is>
          <t>A</t>
        </is>
      </c>
      <c r="AJ75" s="25" t="n">
        <v>6</v>
      </c>
      <c r="AK75" s="25" t="n">
        <v>3702.97</v>
      </c>
      <c r="AL75" s="26" t="n">
        <v>46059.59791666667</v>
      </c>
      <c r="AM75" s="26" t="n">
        <v>46059.59791666667</v>
      </c>
      <c r="AN75" s="25" t="inlineStr">
        <is>
          <t>WHATSAPP</t>
        </is>
      </c>
      <c r="AO75" s="25" t="n"/>
      <c r="AP75" s="27">
        <f>IF(AH75="","",IF(AH75=0,"PROSPECT",IF(AH75=1,"NOVO",IF(AH75&lt;=3,"EM DESENVOLVIMENTO",IF(AH75&lt;=6,"RECORRENTE","FIDELIZADO")))))</f>
        <v/>
      </c>
      <c r="AQ75" s="27">
        <f>IF(AJ75=0,0,IFERROR(SUM(U75:AF75)/AJ75,0))</f>
        <v/>
      </c>
      <c r="AS75" s="0" t="inlineStr">
        <is>
          <t>Carteira FEV/26 + Atend FEV/26</t>
        </is>
      </c>
    </row>
    <row r="76" ht="14.25" customHeight="1" s="16">
      <c r="A76" s="25" t="inlineStr">
        <is>
          <t>PIQUINIQUE FRESH FOOD LTDA</t>
        </is>
      </c>
      <c r="B76" s="25" t="inlineStr">
        <is>
          <t>31727331000151</t>
        </is>
      </c>
      <c r="C76" s="25" t="inlineStr">
        <is>
          <t>PIQUINIQUE FRESH FOOD LTDA</t>
        </is>
      </c>
      <c r="D76" s="25" t="inlineStr">
        <is>
          <t>PR</t>
        </is>
      </c>
      <c r="E76" s="25" t="inlineStr">
        <is>
          <t>CURITIBA</t>
        </is>
      </c>
      <c r="F76" s="25" t="inlineStr">
        <is>
          <t>euquero@piquinique.com.br</t>
        </is>
      </c>
      <c r="G76" s="25" t="inlineStr">
        <is>
          <t>+55 (41) 99881-9180</t>
        </is>
      </c>
      <c r="H76" s="25" t="inlineStr">
        <is>
          <t>23/04/2025</t>
        </is>
      </c>
      <c r="I76" s="25" t="n"/>
      <c r="J76" s="25" t="inlineStr">
        <is>
          <t>MANU DITZEL</t>
        </is>
      </c>
      <c r="K76" s="25" t="inlineStr">
        <is>
          <t>Manu Ditzel</t>
        </is>
      </c>
      <c r="L76" s="25" t="n">
        <v>67</v>
      </c>
      <c r="M76" s="25" t="inlineStr">
        <is>
          <t>10/12/2025</t>
        </is>
      </c>
      <c r="N76" s="25" t="n">
        <v>1118.86</v>
      </c>
      <c r="O76" s="25" t="n"/>
      <c r="P76" s="25" t="n"/>
      <c r="Q76" s="25" t="n"/>
      <c r="R76" s="25" t="n"/>
      <c r="S76" s="25" t="n"/>
      <c r="T76" s="25" t="n"/>
      <c r="U76" s="25" t="n">
        <v>0</v>
      </c>
      <c r="V76" s="25" t="n">
        <v>0</v>
      </c>
      <c r="W76" s="25" t="n">
        <v>0</v>
      </c>
      <c r="X76" s="25" t="n">
        <v>0</v>
      </c>
      <c r="Y76" s="25" t="n">
        <v>1146.03</v>
      </c>
      <c r="Z76" s="25" t="n">
        <v>0</v>
      </c>
      <c r="AA76" s="25" t="n">
        <v>0</v>
      </c>
      <c r="AB76" s="25" t="n">
        <v>1255.68</v>
      </c>
      <c r="AC76" s="25" t="n">
        <v>0</v>
      </c>
      <c r="AD76" s="25" t="n">
        <v>1118.86</v>
      </c>
      <c r="AE76" s="25" t="n">
        <v>0</v>
      </c>
      <c r="AF76" s="25" t="n">
        <v>0</v>
      </c>
      <c r="AG76" s="25" t="n">
        <v>79.5</v>
      </c>
      <c r="AH76" s="25" t="n">
        <v>3</v>
      </c>
      <c r="AI76" s="25" t="inlineStr">
        <is>
          <t>A</t>
        </is>
      </c>
      <c r="AJ76" s="25" t="n">
        <v>3</v>
      </c>
      <c r="AK76" s="25" t="n">
        <v>1173.52</v>
      </c>
      <c r="AL76" s="26" t="n">
        <v>46063.66319444445</v>
      </c>
      <c r="AM76" s="26" t="n">
        <v>46063.66319444445</v>
      </c>
      <c r="AN76" s="25" t="inlineStr">
        <is>
          <t>LIGAÇÃO</t>
        </is>
      </c>
      <c r="AO76" s="28" t="inlineStr">
        <is>
          <t>FALOU QUE NÃO VAI PRECISAR POR AGORA, ELA FAZ KIT PARA LICITAÇÃO !</t>
        </is>
      </c>
      <c r="AP76" s="27">
        <f>IF(AH76="","",IF(AH76=0,"PROSPECT",IF(AH76=1,"NOVO",IF(AH76&lt;=3,"EM DESENVOLVIMENTO",IF(AH76&lt;=6,"RECORRENTE","FIDELIZADO")))))</f>
        <v/>
      </c>
      <c r="AQ76" s="27">
        <f>IF(AJ76=0,0,IFERROR(SUM(U76:AF76)/AJ76,0))</f>
        <v/>
      </c>
      <c r="AS76" s="0" t="inlineStr">
        <is>
          <t>Carteira FEV/26 + Atend FEV/26</t>
        </is>
      </c>
    </row>
    <row r="77" ht="14.25" customHeight="1" s="16">
      <c r="A77" s="25" t="inlineStr">
        <is>
          <t>POSTO DE GASOLINA MARINA PARQUE VEROLME LTDA</t>
        </is>
      </c>
      <c r="B77" s="25" t="inlineStr">
        <is>
          <t>08081191000175</t>
        </is>
      </c>
      <c r="C77" s="25" t="inlineStr">
        <is>
          <t>POSTO DE GASOLINA MARINA PARQUE VEROLME LTDA</t>
        </is>
      </c>
      <c r="D77" s="25" t="inlineStr">
        <is>
          <t>RJ</t>
        </is>
      </c>
      <c r="E77" s="25" t="inlineStr">
        <is>
          <t>ANGRA DOS REIS</t>
        </is>
      </c>
      <c r="F77" s="25" t="inlineStr">
        <is>
          <t>postoparqueverolme@gmail.com</t>
        </is>
      </c>
      <c r="G77" s="25" t="inlineStr">
        <is>
          <t>+55 (24) 98866-2213</t>
        </is>
      </c>
      <c r="H77" s="25" t="inlineStr">
        <is>
          <t>16/12/2025</t>
        </is>
      </c>
      <c r="I77" s="25" t="n"/>
      <c r="J77" s="25" t="inlineStr">
        <is>
          <t>LARISSA PADILHA</t>
        </is>
      </c>
      <c r="K77" s="25" t="inlineStr">
        <is>
          <t>Larissa Padilha</t>
        </is>
      </c>
      <c r="L77" s="25" t="n">
        <v>60</v>
      </c>
      <c r="M77" s="25" t="inlineStr">
        <is>
          <t>17/12/2025</t>
        </is>
      </c>
      <c r="N77" s="25" t="n">
        <v>1505.18</v>
      </c>
      <c r="O77" s="25" t="n">
        <v>1</v>
      </c>
      <c r="P77" s="25" t="inlineStr">
        <is>
          <t>Sim</t>
        </is>
      </c>
      <c r="Q77" s="25" t="n">
        <v>38</v>
      </c>
      <c r="R77" s="25" t="n">
        <v>26</v>
      </c>
      <c r="S77" s="25" t="n"/>
      <c r="T77" s="25" t="n"/>
      <c r="U77" s="25" t="n">
        <v>0</v>
      </c>
      <c r="V77" s="25" t="n">
        <v>0</v>
      </c>
      <c r="W77" s="25" t="n">
        <v>0</v>
      </c>
      <c r="X77" s="25" t="n">
        <v>0</v>
      </c>
      <c r="Y77" s="25" t="n">
        <v>0</v>
      </c>
      <c r="Z77" s="25" t="n">
        <v>0</v>
      </c>
      <c r="AA77" s="25" t="n">
        <v>0</v>
      </c>
      <c r="AB77" s="25" t="n">
        <v>0</v>
      </c>
      <c r="AC77" s="25" t="n">
        <v>0</v>
      </c>
      <c r="AD77" s="25" t="n">
        <v>1505.18</v>
      </c>
      <c r="AE77" s="25" t="n">
        <v>0</v>
      </c>
      <c r="AF77" s="25" t="n">
        <v>0</v>
      </c>
      <c r="AG77" s="25" t="n">
        <v>0</v>
      </c>
      <c r="AH77" s="25" t="n">
        <v>1</v>
      </c>
      <c r="AI77" s="25" t="n"/>
      <c r="AJ77" s="25" t="n">
        <v>1</v>
      </c>
      <c r="AK77" s="25" t="n">
        <v>1505.18</v>
      </c>
      <c r="AL77" s="26" t="n">
        <v>46065.41944444444</v>
      </c>
      <c r="AM77" s="26" t="n">
        <v>46065.41944444444</v>
      </c>
      <c r="AN77" s="25" t="inlineStr">
        <is>
          <t>WHATSAPP</t>
        </is>
      </c>
      <c r="AO77" s="25" t="inlineStr">
        <is>
          <t>SEM RESPOSTA</t>
        </is>
      </c>
      <c r="AP77" s="27">
        <f>IF(AH77="","",IF(AH77=0,"PROSPECT",IF(AH77=1,"NOVO",IF(AH77&lt;=3,"EM DESENVOLVIMENTO",IF(AH77&lt;=6,"RECORRENTE","FIDELIZADO")))))</f>
        <v/>
      </c>
      <c r="AQ77" s="27">
        <f>IF(AJ77=0,0,IFERROR(SUM(U77:AF77)/AJ77,0))</f>
        <v/>
      </c>
      <c r="AS77" s="0" t="inlineStr">
        <is>
          <t>Carteira FEV/26 + Atend FEV/26</t>
        </is>
      </c>
    </row>
    <row r="78" ht="14.25" customHeight="1" s="16">
      <c r="A78" s="25" t="inlineStr">
        <is>
          <t>POSTO LP</t>
        </is>
      </c>
      <c r="B78" s="25" t="inlineStr">
        <is>
          <t>03207136000165</t>
        </is>
      </c>
      <c r="C78" s="25" t="inlineStr">
        <is>
          <t>POSTOS LP LTDA</t>
        </is>
      </c>
      <c r="D78" s="25" t="inlineStr">
        <is>
          <t>SC</t>
        </is>
      </c>
      <c r="E78" s="25" t="inlineStr">
        <is>
          <t>PRESIDENTE GETULIO</t>
        </is>
      </c>
      <c r="F78" s="25" t="inlineStr">
        <is>
          <t>crediarioposto@lojaspresidente.com.br</t>
        </is>
      </c>
      <c r="G78" s="25" t="inlineStr">
        <is>
          <t>+55 (47) 9253-2971</t>
        </is>
      </c>
      <c r="H78" s="25" t="inlineStr">
        <is>
          <t>25/07/2025</t>
        </is>
      </c>
      <c r="I78" s="25" t="n"/>
      <c r="J78" s="25" t="inlineStr">
        <is>
          <t>MANU DITZEL</t>
        </is>
      </c>
      <c r="K78" s="25" t="inlineStr">
        <is>
          <t>Manu Ditzel</t>
        </is>
      </c>
      <c r="L78" s="25" t="n">
        <v>62</v>
      </c>
      <c r="M78" s="25" t="inlineStr">
        <is>
          <t>15/12/2025</t>
        </is>
      </c>
      <c r="N78" s="25" t="n">
        <v>410.07</v>
      </c>
      <c r="O78" s="25" t="n">
        <v>3</v>
      </c>
      <c r="P78" s="25" t="inlineStr">
        <is>
          <t>Sim</t>
        </is>
      </c>
      <c r="Q78" s="25" t="n">
        <v>158</v>
      </c>
      <c r="R78" s="25" t="n">
        <v>46</v>
      </c>
      <c r="S78" s="25" t="n">
        <v>1102.1</v>
      </c>
      <c r="T78" s="25" t="inlineStr">
        <is>
          <t>COMPRA B2B</t>
        </is>
      </c>
      <c r="U78" s="25" t="n">
        <v>0</v>
      </c>
      <c r="V78" s="25" t="n">
        <v>0</v>
      </c>
      <c r="W78" s="25" t="n">
        <v>0</v>
      </c>
      <c r="X78" s="25" t="n">
        <v>0</v>
      </c>
      <c r="Y78" s="25" t="n">
        <v>657.55</v>
      </c>
      <c r="Z78" s="25" t="n">
        <v>0</v>
      </c>
      <c r="AA78" s="25" t="n">
        <v>692.03</v>
      </c>
      <c r="AB78" s="25" t="n">
        <v>0</v>
      </c>
      <c r="AC78" s="25" t="n">
        <v>0</v>
      </c>
      <c r="AD78" s="25" t="n">
        <v>410.07</v>
      </c>
      <c r="AE78" s="25" t="n">
        <v>0</v>
      </c>
      <c r="AF78" s="25" t="n">
        <v>1173.68</v>
      </c>
      <c r="AG78" s="25" t="n">
        <v>68.5</v>
      </c>
      <c r="AH78" s="25" t="n">
        <v>4</v>
      </c>
      <c r="AI78" s="25" t="inlineStr">
        <is>
          <t>B</t>
        </is>
      </c>
      <c r="AJ78" s="25" t="n">
        <v>4</v>
      </c>
      <c r="AK78" s="25" t="n">
        <v>733.33</v>
      </c>
      <c r="AL78" s="26" t="n">
        <v>46063.66111111111</v>
      </c>
      <c r="AM78" s="26" t="n">
        <v>46063.66111111111</v>
      </c>
      <c r="AN78" s="25" t="inlineStr">
        <is>
          <t>LIGAÇÃO</t>
        </is>
      </c>
      <c r="AO78" s="25" t="inlineStr">
        <is>
          <t>CLIENTE PEDIU RETORNO AMANHÃ, VAI OLHAR ESTOQUE HOJE</t>
        </is>
      </c>
      <c r="AP78" s="27">
        <f>IF(AH78="","",IF(AH78=0,"PROSPECT",IF(AH78=1,"NOVO",IF(AH78&lt;=3,"EM DESENVOLVIMENTO",IF(AH78&lt;=6,"RECORRENTE","FIDELIZADO")))))</f>
        <v/>
      </c>
      <c r="AQ78" s="27">
        <f>IF(AJ78=0,0,IFERROR(SUM(U78:AF78)/AJ78,0))</f>
        <v/>
      </c>
      <c r="AS78" s="0" t="inlineStr">
        <is>
          <t>Carteira FEV/26 + Atend FEV/26 + Ecom FEV/26 + Vendas FEV/26 + ABC FEV/26</t>
        </is>
      </c>
    </row>
    <row r="79" ht="14.25" customHeight="1" s="16">
      <c r="A79" s="25" t="inlineStr">
        <is>
          <t>PUDIMZERA</t>
        </is>
      </c>
      <c r="B79" s="25" t="inlineStr">
        <is>
          <t>22180402000158</t>
        </is>
      </c>
      <c r="C79" s="25" t="inlineStr">
        <is>
          <t>22.180.402 CARLA LUCIANA BOCCARDI PALOU</t>
        </is>
      </c>
      <c r="D79" s="25" t="inlineStr">
        <is>
          <t>SP</t>
        </is>
      </c>
      <c r="E79" s="25" t="inlineStr">
        <is>
          <t>SAO PAULO</t>
        </is>
      </c>
      <c r="F79" s="25" t="inlineStr">
        <is>
          <t>marcoaurelio_caetano@yahoo.com.br</t>
        </is>
      </c>
      <c r="G79" s="25" t="inlineStr">
        <is>
          <t>+55 (11) 95890-1366</t>
        </is>
      </c>
      <c r="H79" s="25" t="inlineStr">
        <is>
          <t>14/08/2025</t>
        </is>
      </c>
      <c r="I79" s="25" t="n"/>
      <c r="J79" s="25" t="inlineStr">
        <is>
          <t>LARISSA PADILHA</t>
        </is>
      </c>
      <c r="K79" s="25" t="inlineStr">
        <is>
          <t>Larissa Padilha</t>
        </is>
      </c>
      <c r="L79" s="25" t="n">
        <v>55</v>
      </c>
      <c r="M79" s="25" t="inlineStr">
        <is>
          <t>22/12/2025</t>
        </is>
      </c>
      <c r="N79" s="25" t="n">
        <v>351.82</v>
      </c>
      <c r="O79" s="25" t="n"/>
      <c r="P79" s="25" t="n"/>
      <c r="Q79" s="25" t="n"/>
      <c r="R79" s="25" t="n"/>
      <c r="S79" s="25" t="n"/>
      <c r="T79" s="25" t="n"/>
      <c r="U79" s="25" t="n">
        <v>0</v>
      </c>
      <c r="V79" s="25" t="n">
        <v>0</v>
      </c>
      <c r="W79" s="25" t="n">
        <v>0</v>
      </c>
      <c r="X79" s="25" t="n">
        <v>0</v>
      </c>
      <c r="Y79" s="25" t="n">
        <v>0</v>
      </c>
      <c r="Z79" s="25" t="n">
        <v>617.8</v>
      </c>
      <c r="AA79" s="25" t="n">
        <v>397.4</v>
      </c>
      <c r="AB79" s="25" t="n">
        <v>0</v>
      </c>
      <c r="AC79" s="25" t="n">
        <v>666.22</v>
      </c>
      <c r="AD79" s="25" t="n">
        <v>351.82</v>
      </c>
      <c r="AE79" s="25" t="n">
        <v>0</v>
      </c>
      <c r="AF79" s="25" t="n">
        <v>0</v>
      </c>
      <c r="AG79" s="25" t="n">
        <v>32.5</v>
      </c>
      <c r="AH79" s="25" t="n">
        <v>4</v>
      </c>
      <c r="AI79" s="25" t="inlineStr">
        <is>
          <t>B</t>
        </is>
      </c>
      <c r="AJ79" s="25" t="n">
        <v>4</v>
      </c>
      <c r="AK79" s="25" t="n">
        <v>508.31</v>
      </c>
      <c r="AL79" s="26" t="n">
        <v>46059.59861111111</v>
      </c>
      <c r="AM79" s="26" t="n">
        <v>46059.59861111111</v>
      </c>
      <c r="AN79" s="25" t="inlineStr">
        <is>
          <t>WHATSAPP</t>
        </is>
      </c>
      <c r="AO79" s="25" t="inlineStr">
        <is>
          <t>SUPORTE | PEDIDO FOI CANCELADO POR CONTA DA DEMORA NA ENTREGA</t>
        </is>
      </c>
      <c r="AP79" s="27">
        <f>IF(AH79="","",IF(AH79=0,"PROSPECT",IF(AH79=1,"NOVO",IF(AH79&lt;=3,"EM DESENVOLVIMENTO",IF(AH79&lt;=6,"RECORRENTE","FIDELIZADO")))))</f>
        <v/>
      </c>
      <c r="AQ79" s="27">
        <f>IF(AJ79=0,0,IFERROR(SUM(U79:AF79)/AJ79,0))</f>
        <v/>
      </c>
      <c r="AS79" s="0" t="inlineStr">
        <is>
          <t>Carteira FEV/26 + Atend FEV/26</t>
        </is>
      </c>
    </row>
    <row r="80" ht="14.25" customHeight="1" s="16">
      <c r="A80" s="25" t="inlineStr">
        <is>
          <t>RAIZ FORTE</t>
        </is>
      </c>
      <c r="B80" s="25" t="inlineStr">
        <is>
          <t>63574330000100</t>
        </is>
      </c>
      <c r="C80" s="25" t="inlineStr">
        <is>
          <t>M. ELIETE RAUPP MONTEIRO</t>
        </is>
      </c>
      <c r="D80" s="25" t="inlineStr">
        <is>
          <t>RS</t>
        </is>
      </c>
      <c r="E80" s="25" t="inlineStr">
        <is>
          <t>GRAVATAI</t>
        </is>
      </c>
      <c r="F80" s="25" t="inlineStr">
        <is>
          <t>raizforte67.gravatai@gmail.com</t>
        </is>
      </c>
      <c r="G80" s="25" t="inlineStr">
        <is>
          <t>+55 (51) 9214-1635</t>
        </is>
      </c>
      <c r="H80" s="25" t="inlineStr">
        <is>
          <t>13/01/2026</t>
        </is>
      </c>
      <c r="I80" s="25" t="n"/>
      <c r="J80" s="25" t="inlineStr">
        <is>
          <t>MANU DITZEL</t>
        </is>
      </c>
      <c r="K80" s="25" t="inlineStr">
        <is>
          <t>Manu Ditzel</t>
        </is>
      </c>
      <c r="L80" s="25" t="n">
        <v>31</v>
      </c>
      <c r="M80" s="25" t="inlineStr">
        <is>
          <t>15/01/2026</t>
        </is>
      </c>
      <c r="N80" s="25" t="n">
        <v>403.98</v>
      </c>
      <c r="O80" s="25" t="n">
        <v>9</v>
      </c>
      <c r="P80" s="25" t="inlineStr">
        <is>
          <t>Sim</t>
        </is>
      </c>
      <c r="Q80" s="25" t="n">
        <v>109</v>
      </c>
      <c r="R80" s="25" t="n">
        <v>41</v>
      </c>
      <c r="S80" s="25" t="n">
        <v>403.98</v>
      </c>
      <c r="T80" s="25" t="inlineStr">
        <is>
          <t>COMPRA B2B</t>
        </is>
      </c>
      <c r="U80" s="25" t="n">
        <v>0</v>
      </c>
      <c r="V80" s="25" t="n">
        <v>0</v>
      </c>
      <c r="W80" s="25" t="n">
        <v>0</v>
      </c>
      <c r="X80" s="25" t="n">
        <v>0</v>
      </c>
      <c r="Y80" s="25" t="n">
        <v>0</v>
      </c>
      <c r="Z80" s="25" t="n">
        <v>0</v>
      </c>
      <c r="AA80" s="25" t="n">
        <v>0</v>
      </c>
      <c r="AB80" s="25" t="n">
        <v>0</v>
      </c>
      <c r="AC80" s="25" t="n">
        <v>0</v>
      </c>
      <c r="AD80" s="25" t="n">
        <v>0</v>
      </c>
      <c r="AE80" s="25" t="n">
        <v>403.98</v>
      </c>
      <c r="AF80" s="25" t="n">
        <v>0</v>
      </c>
      <c r="AG80" s="25" t="n">
        <v>0</v>
      </c>
      <c r="AH80" s="25" t="n">
        <v>1</v>
      </c>
      <c r="AI80" s="25" t="inlineStr">
        <is>
          <t>C</t>
        </is>
      </c>
      <c r="AJ80" s="25" t="n">
        <v>1</v>
      </c>
      <c r="AK80" s="25" t="n">
        <v>403.98</v>
      </c>
      <c r="AL80" s="26" t="n">
        <v>46063.65625</v>
      </c>
      <c r="AM80" s="26" t="n">
        <v>46063.65625</v>
      </c>
      <c r="AN80" s="25" t="inlineStr">
        <is>
          <t>WHATSAPP</t>
        </is>
      </c>
      <c r="AO80" s="25" t="inlineStr">
        <is>
          <t>pedido demorou um pouco para entregar, chegou recente</t>
        </is>
      </c>
      <c r="AP80" s="27">
        <f>IF(AH80="","",IF(AH80=0,"PROSPECT",IF(AH80=1,"NOVO",IF(AH80&lt;=3,"EM DESENVOLVIMENTO",IF(AH80&lt;=6,"RECORRENTE","FIDELIZADO")))))</f>
        <v/>
      </c>
      <c r="AQ80" s="27">
        <f>IF(AJ80=0,0,IFERROR(SUM(U80:AF80)/AJ80,0))</f>
        <v/>
      </c>
      <c r="AS80" s="0" t="inlineStr">
        <is>
          <t>Carteira FEV/26 + Atend FEV/26</t>
        </is>
      </c>
    </row>
    <row r="81" ht="14.25" customHeight="1" s="16">
      <c r="A81" s="25" t="inlineStr">
        <is>
          <t>RESERVA SAUDAVEL PRODUTOS NATURAIS</t>
        </is>
      </c>
      <c r="B81" s="25" t="inlineStr">
        <is>
          <t>52902829000183</t>
        </is>
      </c>
      <c r="C81" s="25" t="inlineStr">
        <is>
          <t>AMORA COM TEDDY PRODUTOS NATURAIS LTDA</t>
        </is>
      </c>
      <c r="D81" s="25" t="inlineStr">
        <is>
          <t>SP</t>
        </is>
      </c>
      <c r="E81" s="25" t="inlineStr">
        <is>
          <t>BARUERI</t>
        </is>
      </c>
      <c r="F81" s="25" t="inlineStr">
        <is>
          <t>reservasaudavelbarueri@gmail.com</t>
        </is>
      </c>
      <c r="G81" s="25" t="inlineStr">
        <is>
          <t>+55 (11) 95147-8904</t>
        </is>
      </c>
      <c r="H81" s="25" t="inlineStr">
        <is>
          <t>08/10/2024</t>
        </is>
      </c>
      <c r="I81" s="25" t="n"/>
      <c r="J81" s="25" t="inlineStr">
        <is>
          <t>JULIO GADRET</t>
        </is>
      </c>
      <c r="K81" s="25" t="inlineStr">
        <is>
          <t>Julio  Gadret</t>
        </is>
      </c>
      <c r="L81" s="25" t="n">
        <v>19</v>
      </c>
      <c r="M81" s="25" t="inlineStr">
        <is>
          <t>27/01/2026</t>
        </is>
      </c>
      <c r="N81" s="25" t="n">
        <v>966.75</v>
      </c>
      <c r="O81" s="25" t="n">
        <v>2</v>
      </c>
      <c r="P81" s="25" t="inlineStr">
        <is>
          <t>Sim</t>
        </is>
      </c>
      <c r="Q81" s="25" t="n">
        <v>82</v>
      </c>
      <c r="R81" s="25" t="n">
        <v>40</v>
      </c>
      <c r="S81" s="25" t="n">
        <v>2637.69</v>
      </c>
      <c r="T81" s="25" t="inlineStr">
        <is>
          <t>COMPRA B2B</t>
        </is>
      </c>
      <c r="U81" s="25" t="n">
        <v>0</v>
      </c>
      <c r="V81" s="25" t="n">
        <v>0</v>
      </c>
      <c r="W81" s="25" t="n">
        <v>0</v>
      </c>
      <c r="X81" s="25" t="n">
        <v>0</v>
      </c>
      <c r="Y81" s="25" t="n">
        <v>0</v>
      </c>
      <c r="Z81" s="25" t="n">
        <v>0</v>
      </c>
      <c r="AA81" s="25" t="n">
        <v>0</v>
      </c>
      <c r="AB81" s="25" t="n">
        <v>0</v>
      </c>
      <c r="AC81" s="25" t="n">
        <v>1670.94</v>
      </c>
      <c r="AD81" s="25" t="n">
        <v>0</v>
      </c>
      <c r="AE81" s="25" t="n">
        <v>966.75</v>
      </c>
      <c r="AF81" s="25" t="n">
        <v>0</v>
      </c>
      <c r="AG81" s="25" t="n">
        <v>63</v>
      </c>
      <c r="AH81" s="25" t="n">
        <v>1</v>
      </c>
      <c r="AI81" s="25" t="inlineStr">
        <is>
          <t>B</t>
        </is>
      </c>
      <c r="AJ81" s="25" t="n">
        <v>2</v>
      </c>
      <c r="AK81" s="25" t="n">
        <v>2637.69</v>
      </c>
      <c r="AL81" s="26" t="n">
        <v>46048.37515046296</v>
      </c>
      <c r="AM81" s="26" t="n">
        <v>46048.37515046296</v>
      </c>
      <c r="AN81" s="25" t="inlineStr">
        <is>
          <t>WHATSAPP</t>
        </is>
      </c>
      <c r="AO81" s="28" t="inlineStr">
        <is>
          <t>RESERVA BRASIL - CAROL - SP</t>
        </is>
      </c>
      <c r="AP81" s="27">
        <f>IF(AH81="","",IF(AH81=0,"PROSPECT",IF(AH81=1,"NOVO",IF(AH81&lt;=3,"EM DESENVOLVIMENTO",IF(AH81&lt;=6,"RECORRENTE","FIDELIZADO")))))</f>
        <v/>
      </c>
      <c r="AQ81" s="27">
        <f>IF(AJ81=0,0,IFERROR(SUM(U81:AF81)/AJ81,0))</f>
        <v/>
      </c>
      <c r="AS81" s="0" t="inlineStr">
        <is>
          <t>Carteira FEV/26</t>
        </is>
      </c>
    </row>
    <row r="82" ht="14.25" customHeight="1" s="16">
      <c r="A82" s="25" t="inlineStr">
        <is>
          <t>RIKATI PRODUTOS NATURAIS</t>
        </is>
      </c>
      <c r="B82" s="25" t="inlineStr">
        <is>
          <t>59876252000121</t>
        </is>
      </c>
      <c r="C82" s="25" t="inlineStr">
        <is>
          <t>RIKATI COMERCIO DE PRODUTOS NATURAIS LTDA</t>
        </is>
      </c>
      <c r="D82" s="25" t="inlineStr">
        <is>
          <t>SC</t>
        </is>
      </c>
      <c r="E82" s="25" t="inlineStr">
        <is>
          <t>JOINVILLE</t>
        </is>
      </c>
      <c r="F82" s="25" t="inlineStr">
        <is>
          <t>mporiorikati@gmail.com</t>
        </is>
      </c>
      <c r="G82" s="25" t="inlineStr">
        <is>
          <t>+55 (47) 98439-1430</t>
        </is>
      </c>
      <c r="H82" s="25" t="inlineStr">
        <is>
          <t>08/10/2024</t>
        </is>
      </c>
      <c r="I82" s="25" t="n"/>
      <c r="J82" s="25" t="inlineStr">
        <is>
          <t>MANU DITZEL</t>
        </is>
      </c>
      <c r="K82" s="25" t="inlineStr">
        <is>
          <t>Manu Ditzel</t>
        </is>
      </c>
      <c r="L82" s="25" t="n">
        <v>23</v>
      </c>
      <c r="M82" s="25" t="inlineStr">
        <is>
          <t>23/01/2026</t>
        </is>
      </c>
      <c r="N82" s="25" t="n">
        <v>812.89</v>
      </c>
      <c r="O82" s="25" t="n">
        <v>1</v>
      </c>
      <c r="P82" s="25" t="inlineStr">
        <is>
          <t>Sim</t>
        </is>
      </c>
      <c r="Q82" s="25" t="n">
        <v>1</v>
      </c>
      <c r="R82" s="25" t="n"/>
      <c r="S82" s="25" t="n"/>
      <c r="T82" s="25" t="n"/>
      <c r="U82" s="25" t="n">
        <v>0</v>
      </c>
      <c r="V82" s="25" t="n">
        <v>0</v>
      </c>
      <c r="W82" s="25" t="n">
        <v>0</v>
      </c>
      <c r="X82" s="25" t="n">
        <v>0</v>
      </c>
      <c r="Y82" s="25" t="n">
        <v>1253.13</v>
      </c>
      <c r="Z82" s="25" t="n">
        <v>0</v>
      </c>
      <c r="AA82" s="25" t="n">
        <v>0</v>
      </c>
      <c r="AB82" s="25" t="n">
        <v>0</v>
      </c>
      <c r="AC82" s="25" t="n">
        <v>0</v>
      </c>
      <c r="AD82" s="25" t="n">
        <v>0</v>
      </c>
      <c r="AE82" s="25" t="n">
        <v>812.89</v>
      </c>
      <c r="AF82" s="25" t="n">
        <v>0</v>
      </c>
      <c r="AG82" s="25" t="n">
        <v>182</v>
      </c>
      <c r="AH82" s="25" t="n">
        <v>2</v>
      </c>
      <c r="AI82" s="25" t="inlineStr">
        <is>
          <t>B</t>
        </is>
      </c>
      <c r="AJ82" s="25" t="n">
        <v>2</v>
      </c>
      <c r="AK82" s="25" t="n">
        <v>1033.01</v>
      </c>
      <c r="AL82" s="26" t="n">
        <v>46056.72569444445</v>
      </c>
      <c r="AM82" s="26" t="n">
        <v>46056.72569444445</v>
      </c>
      <c r="AN82" s="25" t="inlineStr">
        <is>
          <t>WHATSAPP</t>
        </is>
      </c>
      <c r="AO82" s="25" t="inlineStr">
        <is>
          <t>PEDIU BOLETOS SOLICITEI AO FINANCEIRO</t>
        </is>
      </c>
      <c r="AP82" s="27">
        <f>IF(AH82="","",IF(AH82=0,"PROSPECT",IF(AH82=1,"NOVO",IF(AH82&lt;=3,"EM DESENVOLVIMENTO",IF(AH82&lt;=6,"RECORRENTE","FIDELIZADO")))))</f>
        <v/>
      </c>
      <c r="AQ82" s="27">
        <f>IF(AJ82=0,0,IFERROR(SUM(U82:AF82)/AJ82,0))</f>
        <v/>
      </c>
      <c r="AS82" s="0" t="inlineStr">
        <is>
          <t>Carteira FEV/26 + Atend FEV/26</t>
        </is>
      </c>
    </row>
    <row r="83" ht="14.25" customHeight="1" s="16">
      <c r="A83" s="25" t="inlineStr">
        <is>
          <t>RISOTOLANDIA</t>
        </is>
      </c>
      <c r="B83" s="25" t="inlineStr">
        <is>
          <t>04908058013339</t>
        </is>
      </c>
      <c r="C83" s="25" t="inlineStr">
        <is>
          <t>RISOLOTANDIA</t>
        </is>
      </c>
      <c r="D83" s="25" t="inlineStr">
        <is>
          <t>PR</t>
        </is>
      </c>
      <c r="E83" s="25" t="inlineStr">
        <is>
          <t>Curitiba</t>
        </is>
      </c>
      <c r="F83" s="25" t="inlineStr">
        <is>
          <t>felipe.silva@risotolandia.com.br</t>
        </is>
      </c>
      <c r="G83" s="25" t="inlineStr">
        <is>
          <t>+55 (41) 8466-7763</t>
        </is>
      </c>
      <c r="H83" s="25" t="inlineStr">
        <is>
          <t>05/02/2026</t>
        </is>
      </c>
      <c r="I83" s="25" t="n"/>
      <c r="J83" s="25" t="inlineStr">
        <is>
          <t>MANU DITZEL</t>
        </is>
      </c>
      <c r="K83" s="25" t="inlineStr">
        <is>
          <t>Manu Ditzel</t>
        </is>
      </c>
      <c r="L83" s="25" t="n">
        <v>10</v>
      </c>
      <c r="M83" s="25" t="inlineStr">
        <is>
          <t>05/02/2026</t>
        </is>
      </c>
      <c r="N83" s="25" t="n">
        <v>269.5</v>
      </c>
      <c r="O83" s="25" t="n"/>
      <c r="P83" s="25" t="n"/>
      <c r="Q83" s="25" t="n"/>
      <c r="R83" s="25" t="n"/>
      <c r="S83" s="25" t="n"/>
      <c r="T83" s="25" t="n"/>
      <c r="U83" s="25" t="n">
        <v>0</v>
      </c>
      <c r="V83" s="25" t="n">
        <v>0</v>
      </c>
      <c r="W83" s="25" t="n">
        <v>0</v>
      </c>
      <c r="X83" s="25" t="n">
        <v>0</v>
      </c>
      <c r="Y83" s="25" t="n">
        <v>0</v>
      </c>
      <c r="Z83" s="25" t="n">
        <v>0</v>
      </c>
      <c r="AA83" s="25" t="n">
        <v>0</v>
      </c>
      <c r="AB83" s="25" t="n">
        <v>0</v>
      </c>
      <c r="AC83" s="25" t="n">
        <v>0</v>
      </c>
      <c r="AD83" s="25" t="n">
        <v>0</v>
      </c>
      <c r="AE83" s="25" t="n">
        <v>0</v>
      </c>
      <c r="AF83" s="25" t="n">
        <v>269.5</v>
      </c>
      <c r="AG83" s="25" t="n">
        <v>0</v>
      </c>
      <c r="AH83" s="25" t="n">
        <v>1</v>
      </c>
      <c r="AI83" s="25" t="inlineStr">
        <is>
          <t>C</t>
        </is>
      </c>
      <c r="AJ83" s="25" t="n">
        <v>1</v>
      </c>
      <c r="AK83" s="25" t="n">
        <v>269.5</v>
      </c>
      <c r="AL83" s="26" t="n">
        <v>45967.66791666667</v>
      </c>
      <c r="AM83" s="26" t="n">
        <v>45967.66791666667</v>
      </c>
      <c r="AN83" s="25" t="inlineStr">
        <is>
          <t>WHATSAPP</t>
        </is>
      </c>
      <c r="AO83" s="25" t="inlineStr">
        <is>
          <t>RISOTOLÂNDIA - CHEY - PR</t>
        </is>
      </c>
      <c r="AP83" s="27">
        <f>IF(AH83="","",IF(AH83=0,"PROSPECT",IF(AH83=1,"NOVO",IF(AH83&lt;=3,"EM DESENVOLVIMENTO",IF(AH83&lt;=6,"RECORRENTE","FIDELIZADO")))))</f>
        <v/>
      </c>
      <c r="AQ83" s="27">
        <f>IF(AJ83=0,0,IFERROR(SUM(U83:AF83)/AJ83,0))</f>
        <v/>
      </c>
      <c r="AS83" s="0" t="inlineStr">
        <is>
          <t>Carteira FEV/26 + Vendas FEV/26 + ABC FEV/26</t>
        </is>
      </c>
    </row>
    <row r="84" ht="14.25" customHeight="1" s="16">
      <c r="A84" s="25" t="inlineStr">
        <is>
          <t>ROSANGELA DE LOURDES OLIVEIRA CASARINO LTDA</t>
        </is>
      </c>
      <c r="B84" s="25" t="inlineStr">
        <is>
          <t>03283237000115</t>
        </is>
      </c>
      <c r="C84" s="25" t="inlineStr">
        <is>
          <t>ROSANGELA DE LOURDES OLIVEIRA CASARINO LTDA</t>
        </is>
      </c>
      <c r="D84" s="25" t="inlineStr">
        <is>
          <t>MG</t>
        </is>
      </c>
      <c r="E84" s="25" t="inlineStr">
        <is>
          <t>ITABIRA</t>
        </is>
      </c>
      <c r="F84" s="25" t="inlineStr">
        <is>
          <t>Itabira-mg@redevidaleve.com.br</t>
        </is>
      </c>
      <c r="G84" s="25" t="inlineStr">
        <is>
          <t>+55 (33) 8832-8032</t>
        </is>
      </c>
      <c r="H84" s="25" t="inlineStr">
        <is>
          <t>21/01/2026</t>
        </is>
      </c>
      <c r="I84" s="25" t="inlineStr">
        <is>
          <t>VIDA LEVE</t>
        </is>
      </c>
      <c r="J84" s="25" t="inlineStr">
        <is>
          <t>DAIANE STAVICKI</t>
        </is>
      </c>
      <c r="K84" s="25" t="inlineStr">
        <is>
          <t>Central - Daiane</t>
        </is>
      </c>
      <c r="L84" s="25" t="n">
        <v>23</v>
      </c>
      <c r="M84" s="25" t="inlineStr">
        <is>
          <t>23/01/2026</t>
        </is>
      </c>
      <c r="N84" s="25" t="n">
        <v>1501.12</v>
      </c>
      <c r="O84" s="25" t="n">
        <v>1</v>
      </c>
      <c r="P84" s="25" t="inlineStr">
        <is>
          <t>Sim</t>
        </is>
      </c>
      <c r="Q84" s="25" t="n">
        <v>62</v>
      </c>
      <c r="R84" s="25" t="n">
        <v>33</v>
      </c>
      <c r="S84" s="25" t="n">
        <v>1501.12</v>
      </c>
      <c r="T84" s="25" t="inlineStr">
        <is>
          <t>COMPRA B2B</t>
        </is>
      </c>
      <c r="U84" s="25" t="n">
        <v>0</v>
      </c>
      <c r="V84" s="25" t="n">
        <v>0</v>
      </c>
      <c r="W84" s="25" t="n">
        <v>0</v>
      </c>
      <c r="X84" s="25" t="n">
        <v>0</v>
      </c>
      <c r="Y84" s="25" t="n">
        <v>0</v>
      </c>
      <c r="Z84" s="25" t="n">
        <v>0</v>
      </c>
      <c r="AA84" s="25" t="n">
        <v>0</v>
      </c>
      <c r="AB84" s="25" t="n">
        <v>0</v>
      </c>
      <c r="AC84" s="25" t="n">
        <v>0</v>
      </c>
      <c r="AD84" s="25" t="n">
        <v>0</v>
      </c>
      <c r="AE84" s="25" t="n">
        <v>0</v>
      </c>
      <c r="AF84" s="25" t="n">
        <v>0</v>
      </c>
      <c r="AG84" s="25" t="n">
        <v>0</v>
      </c>
      <c r="AH84" s="25" t="n">
        <v>0</v>
      </c>
      <c r="AI84" s="25" t="n"/>
      <c r="AJ84" s="25" t="n">
        <v>0</v>
      </c>
      <c r="AK84" s="25" t="n">
        <v>0</v>
      </c>
      <c r="AL84" s="26" t="n">
        <v>46042.7315162037</v>
      </c>
      <c r="AM84" s="26" t="n">
        <v>46042.7315162037</v>
      </c>
      <c r="AN84" s="25" t="inlineStr">
        <is>
          <t>WHATSAPP</t>
        </is>
      </c>
      <c r="AO84" s="25" t="inlineStr">
        <is>
          <t>VIDA LEVE ITABIRA - ROSANGELA</t>
        </is>
      </c>
      <c r="AP84" s="27">
        <f>IF(AH84="","",IF(AH84=0,"PROSPECT",IF(AH84=1,"NOVO",IF(AH84&lt;=3,"EM DESENVOLVIMENTO",IF(AH84&lt;=6,"RECORRENTE","FIDELIZADO")))))</f>
        <v/>
      </c>
      <c r="AQ84" s="27">
        <f>IF(AJ84=0,0,IFERROR(SUM(U84:AF84)/AJ84,0))</f>
        <v/>
      </c>
      <c r="AS84" s="0" t="inlineStr">
        <is>
          <t>Carteira FEV/26</t>
        </is>
      </c>
    </row>
    <row r="85" ht="14.25" customHeight="1" s="16">
      <c r="A85" s="25" t="inlineStr">
        <is>
          <t>SACOI SUPERMERCADOS</t>
        </is>
      </c>
      <c r="B85" s="25" t="inlineStr">
        <is>
          <t>17847228000203</t>
        </is>
      </c>
      <c r="C85" s="25" t="inlineStr">
        <is>
          <t>SACOI BRASIL COMERCIO DE ALIMENTOS LTDA</t>
        </is>
      </c>
      <c r="D85" s="25" t="inlineStr">
        <is>
          <t>SP</t>
        </is>
      </c>
      <c r="E85" s="25" t="inlineStr">
        <is>
          <t>POTIRENDABA</t>
        </is>
      </c>
      <c r="F85" s="25" t="inlineStr">
        <is>
          <t>renato@sacoi.com.br</t>
        </is>
      </c>
      <c r="G85" s="25" t="inlineStr">
        <is>
          <t>+55 (17) 99618-3126</t>
        </is>
      </c>
      <c r="H85" s="25" t="inlineStr">
        <is>
          <t>27/11/2025</t>
        </is>
      </c>
      <c r="I85" s="25" t="n"/>
      <c r="J85" s="25" t="inlineStr">
        <is>
          <t>LARISSA PADILHA</t>
        </is>
      </c>
      <c r="K85" s="25" t="inlineStr">
        <is>
          <t>Larissa Padilha</t>
        </is>
      </c>
      <c r="L85" s="25" t="n">
        <v>12</v>
      </c>
      <c r="M85" s="25" t="inlineStr">
        <is>
          <t>03/02/2026</t>
        </is>
      </c>
      <c r="N85" s="25" t="n">
        <v>1269.5</v>
      </c>
      <c r="O85" s="25" t="n">
        <v>2</v>
      </c>
      <c r="P85" s="25" t="inlineStr">
        <is>
          <t>Sim</t>
        </is>
      </c>
      <c r="Q85" s="25" t="n">
        <v>71</v>
      </c>
      <c r="R85" s="25" t="n">
        <v>36</v>
      </c>
      <c r="S85" s="25" t="n">
        <v>3009.27</v>
      </c>
      <c r="T85" s="25" t="inlineStr">
        <is>
          <t>COMPRA B2B</t>
        </is>
      </c>
      <c r="U85" s="25" t="n">
        <v>0</v>
      </c>
      <c r="V85" s="25" t="n">
        <v>0</v>
      </c>
      <c r="W85" s="25" t="n">
        <v>0</v>
      </c>
      <c r="X85" s="25" t="n">
        <v>0</v>
      </c>
      <c r="Y85" s="25" t="n">
        <v>0</v>
      </c>
      <c r="Z85" s="25" t="n">
        <v>0</v>
      </c>
      <c r="AA85" s="25" t="n">
        <v>0</v>
      </c>
      <c r="AB85" s="25" t="n">
        <v>0</v>
      </c>
      <c r="AC85" s="25" t="n">
        <v>3009.27</v>
      </c>
      <c r="AD85" s="25" t="n">
        <v>0</v>
      </c>
      <c r="AE85" s="25" t="n">
        <v>0</v>
      </c>
      <c r="AF85" s="25" t="n">
        <v>1269.5</v>
      </c>
      <c r="AG85" s="25" t="n">
        <v>68</v>
      </c>
      <c r="AH85" s="25" t="n">
        <v>1</v>
      </c>
      <c r="AI85" s="25" t="inlineStr">
        <is>
          <t>A</t>
        </is>
      </c>
      <c r="AJ85" s="25" t="n">
        <v>2</v>
      </c>
      <c r="AK85" s="25" t="n">
        <v>4278.77</v>
      </c>
      <c r="AL85" s="26" t="n">
        <v>46055.57708333333</v>
      </c>
      <c r="AM85" s="26" t="n">
        <v>46055.57708333333</v>
      </c>
      <c r="AN85" s="25" t="inlineStr">
        <is>
          <t>WHATSAPP</t>
        </is>
      </c>
      <c r="AO85" s="25" t="inlineStr">
        <is>
          <t>NUTRIÇÃO | Renato estava de férias, enviei mensagem verificando como estão performando os produtos</t>
        </is>
      </c>
      <c r="AP85" s="27">
        <f>IF(AH85="","",IF(AH85=0,"PROSPECT",IF(AH85=1,"NOVO",IF(AH85&lt;=3,"EM DESENVOLVIMENTO",IF(AH85&lt;=6,"RECORRENTE","FIDELIZADO")))))</f>
        <v/>
      </c>
      <c r="AQ85" s="27">
        <f>IF(AJ85=0,0,IFERROR(SUM(U85:AF85)/AJ85,0))</f>
        <v/>
      </c>
      <c r="AS85" s="0" t="inlineStr">
        <is>
          <t>Carteira FEV/26 + Atend FEV/26 + Vendas FEV/26 + ABC FEV/26</t>
        </is>
      </c>
    </row>
    <row r="86" ht="14.25" customHeight="1" s="16">
      <c r="A86" s="25" t="inlineStr">
        <is>
          <t>SAUDE E NUTRICAO</t>
        </is>
      </c>
      <c r="B86" s="25" t="inlineStr">
        <is>
          <t>63677653000120</t>
        </is>
      </c>
      <c r="C86" s="25" t="inlineStr">
        <is>
          <t>SAUDE E NUTRICAO LTDA</t>
        </is>
      </c>
      <c r="D86" s="25" t="inlineStr">
        <is>
          <t>GO</t>
        </is>
      </c>
      <c r="E86" s="25" t="inlineStr">
        <is>
          <t>RIO VERDE</t>
        </is>
      </c>
      <c r="F86" s="25" t="inlineStr">
        <is>
          <t>marileinalin@gmail.com</t>
        </is>
      </c>
      <c r="G86" s="25" t="inlineStr">
        <is>
          <t>+55 (64) 99293-8706</t>
        </is>
      </c>
      <c r="H86" s="25" t="inlineStr">
        <is>
          <t>11/12/2025</t>
        </is>
      </c>
      <c r="I86" s="25" t="inlineStr">
        <is>
          <t>[Rede] Fit Land</t>
        </is>
      </c>
      <c r="J86" s="25" t="inlineStr">
        <is>
          <t>JULIO GADRET</t>
        </is>
      </c>
      <c r="K86" s="25" t="inlineStr">
        <is>
          <t>Julio  Gadret</t>
        </is>
      </c>
      <c r="L86" s="25" t="n">
        <v>66</v>
      </c>
      <c r="M86" s="25" t="inlineStr">
        <is>
          <t>11/12/2025</t>
        </is>
      </c>
      <c r="N86" s="25" t="n">
        <v>1572.15</v>
      </c>
      <c r="O86" s="25" t="n"/>
      <c r="P86" s="25" t="n"/>
      <c r="Q86" s="25" t="n"/>
      <c r="R86" s="25" t="n"/>
      <c r="S86" s="25" t="n"/>
      <c r="T86" s="25" t="n"/>
      <c r="U86" s="25" t="n">
        <v>0</v>
      </c>
      <c r="V86" s="25" t="n">
        <v>0</v>
      </c>
      <c r="W86" s="25" t="n">
        <v>0</v>
      </c>
      <c r="X86" s="25" t="n">
        <v>0</v>
      </c>
      <c r="Y86" s="25" t="n">
        <v>0</v>
      </c>
      <c r="Z86" s="25" t="n">
        <v>0</v>
      </c>
      <c r="AA86" s="25" t="n">
        <v>0</v>
      </c>
      <c r="AB86" s="25" t="n">
        <v>0</v>
      </c>
      <c r="AC86" s="25" t="n">
        <v>0</v>
      </c>
      <c r="AD86" s="25" t="n">
        <v>1572.15</v>
      </c>
      <c r="AE86" s="25" t="n">
        <v>0</v>
      </c>
      <c r="AF86" s="25" t="n">
        <v>0</v>
      </c>
      <c r="AG86" s="25" t="n">
        <v>0</v>
      </c>
      <c r="AH86" s="25" t="n">
        <v>1</v>
      </c>
      <c r="AI86" s="25" t="inlineStr">
        <is>
          <t>B</t>
        </is>
      </c>
      <c r="AJ86" s="25" t="n">
        <v>1</v>
      </c>
      <c r="AK86" s="25" t="n">
        <v>1572.15</v>
      </c>
      <c r="AL86" s="25" t="n"/>
      <c r="AM86" s="25" t="n"/>
      <c r="AN86" s="25" t="n"/>
      <c r="AO86" s="25" t="n"/>
      <c r="AP86" s="27">
        <f>IF(AH86="","",IF(AH86=0,"PROSPECT",IF(AH86=1,"NOVO",IF(AH86&lt;=3,"EM DESENVOLVIMENTO",IF(AH86&lt;=6,"RECORRENTE","FIDELIZADO")))))</f>
        <v/>
      </c>
      <c r="AQ86" s="27">
        <f>IF(AJ86=0,0,IFERROR(SUM(U86:AF86)/AJ86,0))</f>
        <v/>
      </c>
      <c r="AS86" s="0" t="inlineStr">
        <is>
          <t>Carteira FEV/26</t>
        </is>
      </c>
    </row>
    <row r="87" ht="14.25" customHeight="1" s="16">
      <c r="A87" s="25" t="inlineStr">
        <is>
          <t>SAUDE NOS ALIMENTOS</t>
        </is>
      </c>
      <c r="B87" s="25" t="inlineStr">
        <is>
          <t>40053395000105</t>
        </is>
      </c>
      <c r="C87" s="25" t="inlineStr">
        <is>
          <t>CALLIERO PRODUTOS SAUDAVEIS &amp; LAERTE PRODUTOS SAUDAVEIS LTDA</t>
        </is>
      </c>
      <c r="D87" s="25" t="inlineStr">
        <is>
          <t>RS</t>
        </is>
      </c>
      <c r="E87" s="25" t="inlineStr">
        <is>
          <t>SOBRADINHO</t>
        </is>
      </c>
      <c r="F87" s="25" t="inlineStr">
        <is>
          <t>laerteflc@hotmail.com</t>
        </is>
      </c>
      <c r="G87" s="25" t="inlineStr">
        <is>
          <t>+55 (51) 9957-0807</t>
        </is>
      </c>
      <c r="H87" s="25" t="inlineStr">
        <is>
          <t>08/10/2024</t>
        </is>
      </c>
      <c r="I87" s="25" t="inlineStr">
        <is>
          <t>[Rede] Divina Terra</t>
        </is>
      </c>
      <c r="J87" s="25" t="inlineStr">
        <is>
          <t>DAIANE STAVICKI</t>
        </is>
      </c>
      <c r="K87" s="25" t="inlineStr">
        <is>
          <t>Central - Daiane</t>
        </is>
      </c>
      <c r="L87" s="25" t="n">
        <v>25</v>
      </c>
      <c r="M87" s="25" t="inlineStr">
        <is>
          <t>21/01/2026</t>
        </is>
      </c>
      <c r="N87" s="25" t="n">
        <v>1562.74</v>
      </c>
      <c r="O87" s="25" t="n">
        <v>1</v>
      </c>
      <c r="P87" s="25" t="inlineStr">
        <is>
          <t>Sim</t>
        </is>
      </c>
      <c r="Q87" s="25" t="n">
        <v>15</v>
      </c>
      <c r="R87" s="25" t="n">
        <v>10</v>
      </c>
      <c r="S87" s="25" t="n">
        <v>1562.74</v>
      </c>
      <c r="T87" s="25" t="inlineStr">
        <is>
          <t>COMPRA B2B</t>
        </is>
      </c>
      <c r="U87" s="25" t="n">
        <v>0</v>
      </c>
      <c r="V87" s="25" t="n">
        <v>0</v>
      </c>
      <c r="W87" s="25" t="n">
        <v>671.1</v>
      </c>
      <c r="X87" s="25" t="n">
        <v>0</v>
      </c>
      <c r="Y87" s="25" t="n">
        <v>0</v>
      </c>
      <c r="Z87" s="25" t="n">
        <v>0</v>
      </c>
      <c r="AA87" s="25" t="n">
        <v>0</v>
      </c>
      <c r="AB87" s="25" t="n">
        <v>0</v>
      </c>
      <c r="AC87" s="25" t="n">
        <v>0</v>
      </c>
      <c r="AD87" s="25" t="n">
        <v>0</v>
      </c>
      <c r="AE87" s="25" t="n">
        <v>1562.74</v>
      </c>
      <c r="AF87" s="25" t="n">
        <v>0</v>
      </c>
      <c r="AG87" s="25" t="n">
        <v>247</v>
      </c>
      <c r="AH87" s="25" t="n">
        <v>2</v>
      </c>
      <c r="AI87" s="25" t="inlineStr">
        <is>
          <t>C</t>
        </is>
      </c>
      <c r="AJ87" s="25" t="n">
        <v>2</v>
      </c>
      <c r="AK87" s="25" t="n">
        <v>1116.92</v>
      </c>
      <c r="AL87" s="26" t="n">
        <v>46043.71789351852</v>
      </c>
      <c r="AM87" s="26" t="n">
        <v>46043.71789351852</v>
      </c>
      <c r="AN87" s="25" t="inlineStr">
        <is>
          <t>WHATSAPP</t>
        </is>
      </c>
      <c r="AO87" s="28" t="inlineStr">
        <is>
          <t>DIVINA TERRA - LAERTE - RS</t>
        </is>
      </c>
      <c r="AP87" s="27">
        <f>IF(AH87="","",IF(AH87=0,"PROSPECT",IF(AH87=1,"NOVO",IF(AH87&lt;=3,"EM DESENVOLVIMENTO",IF(AH87&lt;=6,"RECORRENTE","FIDELIZADO")))))</f>
        <v/>
      </c>
      <c r="AQ87" s="27">
        <f>IF(AJ87=0,0,IFERROR(SUM(U87:AF87)/AJ87,0))</f>
        <v/>
      </c>
      <c r="AS87" s="0" t="inlineStr">
        <is>
          <t>Carteira FEV/26</t>
        </is>
      </c>
    </row>
    <row r="88" ht="14.25" customHeight="1" s="16">
      <c r="A88" s="25" t="inlineStr">
        <is>
          <t>SEMENTE DE LUZ</t>
        </is>
      </c>
      <c r="B88" s="25" t="inlineStr">
        <is>
          <t>62288560000140</t>
        </is>
      </c>
      <c r="C88" s="25" t="inlineStr">
        <is>
          <t>EMPORIO E HORTIFRUTI SEMENTE DE LUZ LTDA</t>
        </is>
      </c>
      <c r="D88" s="25" t="inlineStr">
        <is>
          <t>BA</t>
        </is>
      </c>
      <c r="E88" s="25" t="inlineStr">
        <is>
          <t>URUCUCA</t>
        </is>
      </c>
      <c r="F88" s="25" t="inlineStr">
        <is>
          <t>SEMENTEDELUZ.EMPORIO@GMAIL.COM</t>
        </is>
      </c>
      <c r="G88" s="25" t="inlineStr">
        <is>
          <t>+55 (73) 9833-6448</t>
        </is>
      </c>
      <c r="H88" s="25" t="inlineStr">
        <is>
          <t>12/11/2025</t>
        </is>
      </c>
      <c r="I88" s="25" t="n"/>
      <c r="J88" s="25" t="inlineStr">
        <is>
          <t>LARISSA PADILHA</t>
        </is>
      </c>
      <c r="K88" s="25" t="inlineStr">
        <is>
          <t>Larissa Padilha</t>
        </is>
      </c>
      <c r="L88" s="25" t="n">
        <v>34</v>
      </c>
      <c r="M88" s="25" t="inlineStr">
        <is>
          <t>12/01/2026</t>
        </is>
      </c>
      <c r="N88" s="25" t="n">
        <v>2501.31</v>
      </c>
      <c r="O88" s="25" t="n">
        <v>7</v>
      </c>
      <c r="P88" s="25" t="inlineStr">
        <is>
          <t>Sim</t>
        </is>
      </c>
      <c r="Q88" s="25" t="n">
        <v>161</v>
      </c>
      <c r="R88" s="25" t="n">
        <v>23</v>
      </c>
      <c r="S88" s="25" t="n">
        <v>5910.57</v>
      </c>
      <c r="T88" s="25" t="inlineStr">
        <is>
          <t>COMPRA B2B</t>
        </is>
      </c>
      <c r="U88" s="25" t="n">
        <v>0</v>
      </c>
      <c r="V88" s="25" t="n">
        <v>0</v>
      </c>
      <c r="W88" s="25" t="n">
        <v>0</v>
      </c>
      <c r="X88" s="25" t="n">
        <v>0</v>
      </c>
      <c r="Y88" s="25" t="n">
        <v>0</v>
      </c>
      <c r="Z88" s="25" t="n">
        <v>0</v>
      </c>
      <c r="AA88" s="25" t="n">
        <v>0</v>
      </c>
      <c r="AB88" s="25" t="n">
        <v>0</v>
      </c>
      <c r="AC88" s="25" t="n">
        <v>3409.26</v>
      </c>
      <c r="AD88" s="25" t="n">
        <v>0</v>
      </c>
      <c r="AE88" s="25" t="n">
        <v>2501.31</v>
      </c>
      <c r="AF88" s="25" t="n">
        <v>0</v>
      </c>
      <c r="AG88" s="25" t="n">
        <v>60</v>
      </c>
      <c r="AH88" s="25" t="n">
        <v>1</v>
      </c>
      <c r="AI88" s="25" t="inlineStr">
        <is>
          <t>A</t>
        </is>
      </c>
      <c r="AJ88" s="25" t="n">
        <v>2</v>
      </c>
      <c r="AK88" s="25" t="n">
        <v>5910.57</v>
      </c>
      <c r="AL88" s="26" t="n">
        <v>46065.61527777778</v>
      </c>
      <c r="AM88" s="26" t="n">
        <v>46065.61527777778</v>
      </c>
      <c r="AN88" s="25" t="inlineStr">
        <is>
          <t>WHATSAPP</t>
        </is>
      </c>
      <c r="AO88" s="25" t="inlineStr">
        <is>
          <t>SUPORTE | Envio da carta de anuência</t>
        </is>
      </c>
      <c r="AP88" s="27">
        <f>IF(AH88="","",IF(AH88=0,"PROSPECT",IF(AH88=1,"NOVO",IF(AH88&lt;=3,"EM DESENVOLVIMENTO",IF(AH88&lt;=6,"RECORRENTE","FIDELIZADO")))))</f>
        <v/>
      </c>
      <c r="AQ88" s="27">
        <f>IF(AJ88=0,0,IFERROR(SUM(U88:AF88)/AJ88,0))</f>
        <v/>
      </c>
      <c r="AS88" s="0" t="inlineStr">
        <is>
          <t>Carteira FEV/26 + Atend FEV/26</t>
        </is>
      </c>
    </row>
    <row r="89" ht="14.25" customHeight="1" s="16">
      <c r="A89" s="25" t="inlineStr">
        <is>
          <t>SEMENTE DO CORPO</t>
        </is>
      </c>
      <c r="B89" s="25" t="inlineStr">
        <is>
          <t>35883706000123</t>
        </is>
      </c>
      <c r="C89" s="25" t="inlineStr">
        <is>
          <t>VS COMERCIO DE PRODUTOS NATURAIS LTDA</t>
        </is>
      </c>
      <c r="D89" s="25" t="inlineStr">
        <is>
          <t>MG</t>
        </is>
      </c>
      <c r="E89" s="25" t="inlineStr">
        <is>
          <t>CURVELO</t>
        </is>
      </c>
      <c r="F89" s="25" t="inlineStr">
        <is>
          <t>sementedocorpo@gmail.com</t>
        </is>
      </c>
      <c r="G89" s="25" t="inlineStr">
        <is>
          <t>+55 (38) 99976-5269</t>
        </is>
      </c>
      <c r="H89" s="25" t="inlineStr">
        <is>
          <t>26/11/2025</t>
        </is>
      </c>
      <c r="I89" s="25" t="n"/>
      <c r="J89" s="25" t="inlineStr">
        <is>
          <t>DAIANE STAVICKI</t>
        </is>
      </c>
      <c r="K89" s="25" t="inlineStr">
        <is>
          <t>Central - Daiane</t>
        </is>
      </c>
      <c r="L89" s="25" t="n">
        <v>17</v>
      </c>
      <c r="M89" s="25" t="inlineStr">
        <is>
          <t>29/01/2026</t>
        </is>
      </c>
      <c r="N89" s="25" t="n">
        <v>793.22</v>
      </c>
      <c r="O89" s="25" t="n">
        <v>1</v>
      </c>
      <c r="P89" s="25" t="inlineStr">
        <is>
          <t>Sim</t>
        </is>
      </c>
      <c r="Q89" s="25" t="n">
        <v>51</v>
      </c>
      <c r="R89" s="25" t="n">
        <v>9</v>
      </c>
      <c r="S89" s="25" t="n">
        <v>728.46</v>
      </c>
      <c r="T89" s="25" t="inlineStr">
        <is>
          <t>COMPRA B2B</t>
        </is>
      </c>
      <c r="U89" s="25" t="n">
        <v>0</v>
      </c>
      <c r="V89" s="25" t="n">
        <v>0</v>
      </c>
      <c r="W89" s="25" t="n">
        <v>0</v>
      </c>
      <c r="X89" s="25" t="n">
        <v>0</v>
      </c>
      <c r="Y89" s="25" t="n">
        <v>0</v>
      </c>
      <c r="Z89" s="25" t="n">
        <v>0</v>
      </c>
      <c r="AA89" s="25" t="n">
        <v>0</v>
      </c>
      <c r="AB89" s="25" t="n">
        <v>0</v>
      </c>
      <c r="AC89" s="25" t="n">
        <v>728.46</v>
      </c>
      <c r="AD89" s="25" t="n">
        <v>0</v>
      </c>
      <c r="AE89" s="25" t="n">
        <v>793.22</v>
      </c>
      <c r="AF89" s="25" t="n">
        <v>0</v>
      </c>
      <c r="AG89" s="25" t="n">
        <v>64</v>
      </c>
      <c r="AH89" s="25" t="n">
        <v>1</v>
      </c>
      <c r="AI89" s="25" t="inlineStr">
        <is>
          <t>C</t>
        </is>
      </c>
      <c r="AJ89" s="25" t="n">
        <v>2</v>
      </c>
      <c r="AK89" s="25" t="n">
        <v>1521.68</v>
      </c>
      <c r="AL89" s="26" t="n">
        <v>46051.67152777778</v>
      </c>
      <c r="AM89" s="26" t="n">
        <v>46051.67152777778</v>
      </c>
      <c r="AN89" s="25" t="inlineStr">
        <is>
          <t>OUTROS</t>
        </is>
      </c>
      <c r="AO89" s="25" t="inlineStr">
        <is>
          <t>PEDIDO COM VALOR ERRADO, CLIENTE FORA DA TABLA CERTA, FEITO OUTRO E DIGITADO</t>
        </is>
      </c>
      <c r="AP89" s="27">
        <f>IF(AH89="","",IF(AH89=0,"PROSPECT",IF(AH89=1,"NOVO",IF(AH89&lt;=3,"EM DESENVOLVIMENTO",IF(AH89&lt;=6,"RECORRENTE","FIDELIZADO")))))</f>
        <v/>
      </c>
      <c r="AQ89" s="27">
        <f>IF(AJ89=0,0,IFERROR(SUM(U89:AF89)/AJ89,0))</f>
        <v/>
      </c>
      <c r="AS89" s="0" t="inlineStr">
        <is>
          <t>Carteira FEV/26 + Ecom FEV/26</t>
        </is>
      </c>
    </row>
    <row r="90" ht="14.25" customHeight="1" s="16">
      <c r="A90" s="25" t="inlineStr">
        <is>
          <t>SEVEN ROOTS</t>
        </is>
      </c>
      <c r="B90" s="25" t="inlineStr">
        <is>
          <t>60940727000180</t>
        </is>
      </c>
      <c r="C90" s="25" t="inlineStr">
        <is>
          <t>SEVEN ROOTS PRODUTOS NATURAIS LTDA</t>
        </is>
      </c>
      <c r="D90" s="25" t="inlineStr">
        <is>
          <t>SC</t>
        </is>
      </c>
      <c r="E90" s="25" t="inlineStr">
        <is>
          <t>FLORIANOPOLIS</t>
        </is>
      </c>
      <c r="F90" s="25" t="inlineStr">
        <is>
          <t>florianopolis.tl@redevidaleve.com.br</t>
        </is>
      </c>
      <c r="G90" s="25" t="inlineStr">
        <is>
          <t>+55 (48) 9657-2969</t>
        </is>
      </c>
      <c r="H90" s="25" t="inlineStr">
        <is>
          <t>22/10/2025</t>
        </is>
      </c>
      <c r="I90" s="25" t="inlineStr">
        <is>
          <t>[Rede] Vida Leve</t>
        </is>
      </c>
      <c r="J90" s="25" t="inlineStr">
        <is>
          <t>DAIANE STAVICKI</t>
        </is>
      </c>
      <c r="K90" s="25" t="inlineStr">
        <is>
          <t>Central - Daiane</t>
        </is>
      </c>
      <c r="L90" s="25" t="n">
        <v>17</v>
      </c>
      <c r="M90" s="25" t="inlineStr">
        <is>
          <t>29/01/2026</t>
        </is>
      </c>
      <c r="N90" s="25" t="n">
        <v>677.3099999999999</v>
      </c>
      <c r="O90" s="25" t="n">
        <v>3</v>
      </c>
      <c r="P90" s="25" t="inlineStr">
        <is>
          <t>Sim</t>
        </is>
      </c>
      <c r="Q90" s="25" t="n">
        <v>125</v>
      </c>
      <c r="R90" s="25" t="n">
        <v>34</v>
      </c>
      <c r="S90" s="25" t="n">
        <v>677.3099999999999</v>
      </c>
      <c r="T90" s="25" t="inlineStr">
        <is>
          <t>COMPRA B2B</t>
        </is>
      </c>
      <c r="U90" s="25" t="n">
        <v>0</v>
      </c>
      <c r="V90" s="25" t="n">
        <v>0</v>
      </c>
      <c r="W90" s="25" t="n">
        <v>0</v>
      </c>
      <c r="X90" s="25" t="n">
        <v>0</v>
      </c>
      <c r="Y90" s="25" t="n">
        <v>0</v>
      </c>
      <c r="Z90" s="25" t="n">
        <v>0</v>
      </c>
      <c r="AA90" s="25" t="n">
        <v>0</v>
      </c>
      <c r="AB90" s="25" t="n">
        <v>1256.29</v>
      </c>
      <c r="AC90" s="25" t="n">
        <v>0</v>
      </c>
      <c r="AD90" s="25" t="n">
        <v>0</v>
      </c>
      <c r="AE90" s="25" t="n">
        <v>677.3099999999999</v>
      </c>
      <c r="AF90" s="25" t="n">
        <v>0</v>
      </c>
      <c r="AG90" s="25" t="n">
        <v>99</v>
      </c>
      <c r="AH90" s="25" t="n">
        <v>2</v>
      </c>
      <c r="AI90" s="25" t="inlineStr">
        <is>
          <t>B</t>
        </is>
      </c>
      <c r="AJ90" s="25" t="n">
        <v>2</v>
      </c>
      <c r="AK90" s="25" t="n">
        <v>966.8</v>
      </c>
      <c r="AL90" s="25" t="n"/>
      <c r="AM90" s="25" t="n"/>
      <c r="AN90" s="25" t="n"/>
      <c r="AO90" s="25" t="n"/>
      <c r="AP90" s="27">
        <f>IF(AH90="","",IF(AH90=0,"PROSPECT",IF(AH90=1,"NOVO",IF(AH90&lt;=3,"EM DESENVOLVIMENTO",IF(AH90&lt;=6,"RECORRENTE","FIDELIZADO")))))</f>
        <v/>
      </c>
      <c r="AQ90" s="27">
        <f>IF(AJ90=0,0,IFERROR(SUM(U90:AF90)/AJ90,0))</f>
        <v/>
      </c>
      <c r="AS90" s="0" t="inlineStr">
        <is>
          <t>Carteira FEV/26</t>
        </is>
      </c>
    </row>
    <row r="91" ht="14.25" customHeight="1" s="16">
      <c r="A91" s="25" t="inlineStr">
        <is>
          <t>SUPERACAO &amp; VIDA SAUDAVEL</t>
        </is>
      </c>
      <c r="B91" s="25" t="inlineStr">
        <is>
          <t>34060666000157</t>
        </is>
      </c>
      <c r="C91" s="25" t="inlineStr">
        <is>
          <t>WILSON DE REZENDE PENHA</t>
        </is>
      </c>
      <c r="D91" s="25" t="inlineStr">
        <is>
          <t>SP</t>
        </is>
      </c>
      <c r="E91" s="25" t="inlineStr">
        <is>
          <t>RIBEIRAO PRETO</t>
        </is>
      </c>
      <c r="F91" s="25" t="inlineStr">
        <is>
          <t>aline@alinemiu.com.br</t>
        </is>
      </c>
      <c r="G91" s="25" t="inlineStr">
        <is>
          <t>+55 (16) 98803-7695</t>
        </is>
      </c>
      <c r="H91" s="25" t="inlineStr">
        <is>
          <t>20/06/2025</t>
        </is>
      </c>
      <c r="I91" s="25" t="n"/>
      <c r="J91" s="25" t="inlineStr">
        <is>
          <t>LARISSA PADILHA</t>
        </is>
      </c>
      <c r="K91" s="25" t="inlineStr">
        <is>
          <t>Larissa Padilha</t>
        </is>
      </c>
      <c r="L91" s="25" t="n">
        <v>24</v>
      </c>
      <c r="M91" s="25" t="inlineStr">
        <is>
          <t>22/01/2026</t>
        </is>
      </c>
      <c r="N91" s="25" t="n">
        <v>2295.25</v>
      </c>
      <c r="O91" s="25" t="n">
        <v>2</v>
      </c>
      <c r="P91" s="25" t="inlineStr">
        <is>
          <t>Sim</t>
        </is>
      </c>
      <c r="Q91" s="25" t="n">
        <v>12</v>
      </c>
      <c r="R91" s="25" t="n">
        <v>1</v>
      </c>
      <c r="S91" s="25" t="n">
        <v>838.52</v>
      </c>
      <c r="T91" s="25" t="inlineStr">
        <is>
          <t>COMPRA B2B</t>
        </is>
      </c>
      <c r="U91" s="25" t="n">
        <v>0</v>
      </c>
      <c r="V91" s="25" t="n">
        <v>0</v>
      </c>
      <c r="W91" s="25" t="n">
        <v>0</v>
      </c>
      <c r="X91" s="25" t="n">
        <v>838.52</v>
      </c>
      <c r="Y91" s="25" t="n">
        <v>3851.22</v>
      </c>
      <c r="Z91" s="25" t="n">
        <v>1068.6</v>
      </c>
      <c r="AA91" s="25" t="n">
        <v>1781.13</v>
      </c>
      <c r="AB91" s="25" t="n">
        <v>0</v>
      </c>
      <c r="AC91" s="25" t="n">
        <v>1762.77</v>
      </c>
      <c r="AD91" s="25" t="n">
        <v>0</v>
      </c>
      <c r="AE91" s="25" t="n">
        <v>3308.13</v>
      </c>
      <c r="AF91" s="25" t="n">
        <v>0</v>
      </c>
      <c r="AG91" s="25" t="n">
        <v>23.5556</v>
      </c>
      <c r="AH91" s="25" t="n">
        <v>7</v>
      </c>
      <c r="AI91" s="25" t="inlineStr">
        <is>
          <t>A</t>
        </is>
      </c>
      <c r="AJ91" s="25" t="n">
        <v>6</v>
      </c>
      <c r="AK91" s="25" t="n">
        <v>1801.48</v>
      </c>
      <c r="AL91" s="26" t="n">
        <v>46037.55157407407</v>
      </c>
      <c r="AM91" s="26" t="n">
        <v>46037.55157407407</v>
      </c>
      <c r="AN91" s="25" t="inlineStr">
        <is>
          <t>WHATSAPP</t>
        </is>
      </c>
      <c r="AO91" s="25" t="inlineStr">
        <is>
          <t>WILSON REZENDE - SP</t>
        </is>
      </c>
      <c r="AP91" s="27">
        <f>IF(AH91="","",IF(AH91=0,"PROSPECT",IF(AH91=1,"NOVO",IF(AH91&lt;=3,"EM DESENVOLVIMENTO",IF(AH91&lt;=6,"RECORRENTE","FIDELIZADO")))))</f>
        <v/>
      </c>
      <c r="AQ91" s="27">
        <f>IF(AJ91=0,0,IFERROR(SUM(U91:AF91)/AJ91,0))</f>
        <v/>
      </c>
      <c r="AS91" s="0" t="inlineStr">
        <is>
          <t>Carteira FEV/26</t>
        </is>
      </c>
    </row>
    <row r="92" ht="14.25" customHeight="1" s="16">
      <c r="A92" s="25" t="inlineStr">
        <is>
          <t>SUPERMERCADO MERCOCENTRO</t>
        </is>
      </c>
      <c r="B92" s="25" t="inlineStr">
        <is>
          <t>05382867000253</t>
        </is>
      </c>
      <c r="C92" s="25" t="inlineStr">
        <is>
          <t>SUPERMERCADO MERCOCENTRO LTDA</t>
        </is>
      </c>
      <c r="D92" s="25" t="inlineStr">
        <is>
          <t>SC</t>
        </is>
      </c>
      <c r="E92" s="25" t="inlineStr">
        <is>
          <t>BIGUACU</t>
        </is>
      </c>
      <c r="F92" s="25" t="inlineStr">
        <is>
          <t>supermercadomercocentro@gmail.com</t>
        </is>
      </c>
      <c r="G92" s="25" t="inlineStr">
        <is>
          <t>+55 (48) 9863-0243 | +55 (48) 9987-0775</t>
        </is>
      </c>
      <c r="H92" s="25" t="inlineStr">
        <is>
          <t>01/10/2025</t>
        </is>
      </c>
      <c r="I92" s="25" t="n"/>
      <c r="J92" s="25" t="inlineStr">
        <is>
          <t>MANU DITZEL</t>
        </is>
      </c>
      <c r="K92" s="25" t="inlineStr">
        <is>
          <t>Manu Ditzel</t>
        </is>
      </c>
      <c r="L92" s="25" t="n">
        <v>27</v>
      </c>
      <c r="M92" s="25" t="inlineStr">
        <is>
          <t>19/01/2026</t>
        </is>
      </c>
      <c r="N92" s="25" t="n">
        <v>1040.88</v>
      </c>
      <c r="O92" s="25" t="n"/>
      <c r="P92" s="25" t="n"/>
      <c r="Q92" s="25" t="n"/>
      <c r="R92" s="25" t="n"/>
      <c r="S92" s="25" t="n"/>
      <c r="T92" s="25" t="n"/>
      <c r="U92" s="25" t="n">
        <v>0</v>
      </c>
      <c r="V92" s="25" t="n">
        <v>0</v>
      </c>
      <c r="W92" s="25" t="n">
        <v>0</v>
      </c>
      <c r="X92" s="25" t="n">
        <v>0</v>
      </c>
      <c r="Y92" s="25" t="n">
        <v>3314.24</v>
      </c>
      <c r="Z92" s="25" t="n">
        <v>1148.79</v>
      </c>
      <c r="AA92" s="25" t="n">
        <v>5698.98</v>
      </c>
      <c r="AB92" s="25" t="n">
        <v>2464.38</v>
      </c>
      <c r="AC92" s="25" t="n">
        <v>1999.79</v>
      </c>
      <c r="AD92" s="25" t="n">
        <v>4706.11</v>
      </c>
      <c r="AE92" s="25" t="n">
        <v>2081.76</v>
      </c>
      <c r="AF92" s="25" t="n">
        <v>0</v>
      </c>
      <c r="AG92" s="25" t="n">
        <v>23.2</v>
      </c>
      <c r="AH92" s="25" t="n">
        <v>9</v>
      </c>
      <c r="AI92" s="25" t="inlineStr">
        <is>
          <t>A</t>
        </is>
      </c>
      <c r="AJ92" s="25" t="n">
        <v>7</v>
      </c>
      <c r="AK92" s="25" t="n">
        <v>2379.34</v>
      </c>
      <c r="AL92" s="26" t="n">
        <v>46049.70907407408</v>
      </c>
      <c r="AM92" s="26" t="n">
        <v>46049.70907407408</v>
      </c>
      <c r="AN92" s="25" t="inlineStr">
        <is>
          <t>WHATSAPP</t>
        </is>
      </c>
      <c r="AO92" s="25" t="inlineStr">
        <is>
          <t>MERCOCENTRO - GABRIEL COMPRAS</t>
        </is>
      </c>
      <c r="AP92" s="27">
        <f>IF(AH92="","",IF(AH92=0,"PROSPECT",IF(AH92=1,"NOVO",IF(AH92&lt;=3,"EM DESENVOLVIMENTO",IF(AH92&lt;=6,"RECORRENTE","FIDELIZADO")))))</f>
        <v/>
      </c>
      <c r="AQ92" s="27">
        <f>IF(AJ92=0,0,IFERROR(SUM(U92:AF92)/AJ92,0))</f>
        <v/>
      </c>
      <c r="AS92" s="0" t="inlineStr">
        <is>
          <t>Carteira FEV/26</t>
        </is>
      </c>
    </row>
    <row r="93" ht="14.25" customHeight="1" s="16">
      <c r="A93" s="25" t="inlineStr">
        <is>
          <t>SUPERMERCADO OFERTAO</t>
        </is>
      </c>
      <c r="B93" s="25" t="inlineStr">
        <is>
          <t>07316826000103</t>
        </is>
      </c>
      <c r="C93" s="25" t="inlineStr">
        <is>
          <t>SUPERMERCADO S &amp; V LTDA</t>
        </is>
      </c>
      <c r="D93" s="25" t="inlineStr">
        <is>
          <t>SC</t>
        </is>
      </c>
      <c r="E93" s="25" t="inlineStr">
        <is>
          <t>ITAPEMA</t>
        </is>
      </c>
      <c r="F93" s="25" t="inlineStr">
        <is>
          <t>amauridelgadodasilva@gmail.com</t>
        </is>
      </c>
      <c r="G93" s="25" t="inlineStr">
        <is>
          <t>+55 (47) 98412-4667</t>
        </is>
      </c>
      <c r="H93" s="25" t="inlineStr">
        <is>
          <t>07/07/2025</t>
        </is>
      </c>
      <c r="I93" s="25" t="n"/>
      <c r="J93" s="25" t="inlineStr">
        <is>
          <t>MANU DITZEL</t>
        </is>
      </c>
      <c r="K93" s="25" t="inlineStr">
        <is>
          <t>Manu Ditzel</t>
        </is>
      </c>
      <c r="L93" s="25" t="n">
        <v>26</v>
      </c>
      <c r="M93" s="25" t="inlineStr">
        <is>
          <t>20/01/2026</t>
        </is>
      </c>
      <c r="N93" s="25" t="n">
        <v>1274.24</v>
      </c>
      <c r="O93" s="25" t="n"/>
      <c r="P93" s="25" t="n"/>
      <c r="Q93" s="25" t="n"/>
      <c r="R93" s="25" t="n"/>
      <c r="S93" s="25" t="n"/>
      <c r="T93" s="25" t="n"/>
      <c r="U93" s="25" t="n">
        <v>0</v>
      </c>
      <c r="V93" s="25" t="n">
        <v>0</v>
      </c>
      <c r="W93" s="25" t="n">
        <v>0</v>
      </c>
      <c r="X93" s="25" t="n">
        <v>0</v>
      </c>
      <c r="Y93" s="25" t="n">
        <v>3416.95</v>
      </c>
      <c r="Z93" s="25" t="n">
        <v>1514.06</v>
      </c>
      <c r="AA93" s="25" t="n">
        <v>1824.33</v>
      </c>
      <c r="AB93" s="25" t="n">
        <v>0</v>
      </c>
      <c r="AC93" s="25" t="n">
        <v>1878.38</v>
      </c>
      <c r="AD93" s="25" t="n">
        <v>3345.11</v>
      </c>
      <c r="AE93" s="25" t="n">
        <v>1274.24</v>
      </c>
      <c r="AF93" s="25" t="n">
        <v>0</v>
      </c>
      <c r="AG93" s="25" t="n">
        <v>39</v>
      </c>
      <c r="AH93" s="25" t="n">
        <v>6</v>
      </c>
      <c r="AI93" s="25" t="inlineStr">
        <is>
          <t>A</t>
        </is>
      </c>
      <c r="AJ93" s="25" t="n">
        <v>6</v>
      </c>
      <c r="AK93" s="25" t="n">
        <v>2208.84</v>
      </c>
      <c r="AL93" s="26" t="n">
        <v>46050.32038194445</v>
      </c>
      <c r="AM93" s="26" t="n">
        <v>46050.32038194445</v>
      </c>
      <c r="AN93" s="25" t="inlineStr">
        <is>
          <t>WHATSAPP</t>
        </is>
      </c>
      <c r="AO93" s="25" t="inlineStr">
        <is>
          <t>OFERTÃO COMPRAS - AMAURI</t>
        </is>
      </c>
      <c r="AP93" s="27">
        <f>IF(AH93="","",IF(AH93=0,"PROSPECT",IF(AH93=1,"NOVO",IF(AH93&lt;=3,"EM DESENVOLVIMENTO",IF(AH93&lt;=6,"RECORRENTE","FIDELIZADO")))))</f>
        <v/>
      </c>
      <c r="AQ93" s="27">
        <f>IF(AJ93=0,0,IFERROR(SUM(U93:AF93)/AJ93,0))</f>
        <v/>
      </c>
      <c r="AS93" s="0" t="inlineStr">
        <is>
          <t>Carteira FEV/26</t>
        </is>
      </c>
    </row>
    <row r="94" ht="14.25" customHeight="1" s="16">
      <c r="A94" s="25" t="inlineStr">
        <is>
          <t>SUPERMERCADO PEDROSA</t>
        </is>
      </c>
      <c r="B94" s="25" t="inlineStr">
        <is>
          <t>11322507000188</t>
        </is>
      </c>
      <c r="C94" s="25" t="inlineStr">
        <is>
          <t>IRMAOS PEDROSA LTDA</t>
        </is>
      </c>
      <c r="D94" s="25" t="inlineStr">
        <is>
          <t>PE</t>
        </is>
      </c>
      <c r="E94" s="25" t="inlineStr">
        <is>
          <t>MACAPARANA</t>
        </is>
      </c>
      <c r="F94" s="25" t="inlineStr">
        <is>
          <t>administrativo@pedrosasupermercado.com.br</t>
        </is>
      </c>
      <c r="G94" s="25" t="inlineStr">
        <is>
          <t>+55 (81) 9869-9280</t>
        </is>
      </c>
      <c r="H94" s="25" t="inlineStr">
        <is>
          <t>30/07/2025</t>
        </is>
      </c>
      <c r="I94" s="25" t="n"/>
      <c r="J94" s="25" t="inlineStr">
        <is>
          <t>LARISSA PADILHA</t>
        </is>
      </c>
      <c r="K94" s="25" t="inlineStr">
        <is>
          <t>Larissa Padilha</t>
        </is>
      </c>
      <c r="L94" s="25" t="n">
        <v>10</v>
      </c>
      <c r="M94" s="25" t="inlineStr">
        <is>
          <t>05/02/2026</t>
        </is>
      </c>
      <c r="N94" s="25" t="n">
        <v>2479.64</v>
      </c>
      <c r="O94" s="25" t="n"/>
      <c r="P94" s="25" t="n"/>
      <c r="Q94" s="25" t="n"/>
      <c r="R94" s="25" t="n"/>
      <c r="S94" s="25" t="n"/>
      <c r="T94" s="25" t="n"/>
      <c r="U94" s="25" t="n">
        <v>0</v>
      </c>
      <c r="V94" s="25" t="n">
        <v>0</v>
      </c>
      <c r="W94" s="25" t="n">
        <v>0</v>
      </c>
      <c r="X94" s="25" t="n">
        <v>0</v>
      </c>
      <c r="Y94" s="25" t="n">
        <v>0</v>
      </c>
      <c r="Z94" s="25" t="n">
        <v>4108.73</v>
      </c>
      <c r="AA94" s="25" t="n">
        <v>0</v>
      </c>
      <c r="AB94" s="25" t="n">
        <v>0</v>
      </c>
      <c r="AC94" s="25" t="n">
        <v>2516.97</v>
      </c>
      <c r="AD94" s="25" t="n">
        <v>0</v>
      </c>
      <c r="AE94" s="25" t="n">
        <v>0</v>
      </c>
      <c r="AF94" s="25" t="n">
        <v>2479.64</v>
      </c>
      <c r="AG94" s="25" t="n">
        <v>91.5</v>
      </c>
      <c r="AH94" s="25" t="n">
        <v>2</v>
      </c>
      <c r="AI94" s="25" t="inlineStr">
        <is>
          <t>A</t>
        </is>
      </c>
      <c r="AJ94" s="25" t="n">
        <v>3</v>
      </c>
      <c r="AK94" s="25" t="n">
        <v>4552.67</v>
      </c>
      <c r="AL94" s="26" t="n">
        <v>46058.71875</v>
      </c>
      <c r="AM94" s="26" t="n">
        <v>46058.71875</v>
      </c>
      <c r="AN94" s="25" t="inlineStr">
        <is>
          <t>WHATSAPP</t>
        </is>
      </c>
      <c r="AO94" s="28" t="inlineStr">
        <is>
          <t>SUPORTE | Pedido de venda ajustado no SH para fechar os 2500 reais para frete gratuito Envio de bonificação para ajudar com os produtos novos</t>
        </is>
      </c>
      <c r="AP94" s="27">
        <f>IF(AH94="","",IF(AH94=0,"PROSPECT",IF(AH94=1,"NOVO",IF(AH94&lt;=3,"EM DESENVOLVIMENTO",IF(AH94&lt;=6,"RECORRENTE","FIDELIZADO")))))</f>
        <v/>
      </c>
      <c r="AQ94" s="27">
        <f>IF(AJ94=0,0,IFERROR(SUM(U94:AF94)/AJ94,0))</f>
        <v/>
      </c>
      <c r="AS94" s="0" t="inlineStr">
        <is>
          <t>Carteira FEV/26 + Atend FEV/26 + Vendas FEV/26 + ABC FEV/26</t>
        </is>
      </c>
    </row>
    <row r="95" ht="14.25" customHeight="1" s="16">
      <c r="A95" s="25" t="inlineStr">
        <is>
          <t>SUPERMERCADO TIO ANTONIO LTDA</t>
        </is>
      </c>
      <c r="B95" s="25" t="inlineStr">
        <is>
          <t>16693613000353</t>
        </is>
      </c>
      <c r="C95" s="25" t="inlineStr">
        <is>
          <t>SUPERMERCADO TIO ANTONIO LTDA</t>
        </is>
      </c>
      <c r="D95" s="25" t="inlineStr">
        <is>
          <t>MG</t>
        </is>
      </c>
      <c r="E95" s="25" t="inlineStr">
        <is>
          <t>SAO GONCALO DO RIO ABAIXO</t>
        </is>
      </c>
      <c r="F95" s="25" t="inlineStr">
        <is>
          <t>fiscal@supermercadotioantonio.com.br</t>
        </is>
      </c>
      <c r="G95" s="25" t="inlineStr">
        <is>
          <t>+55 (31) 7175-7888 | +55 (31) 9476-6841</t>
        </is>
      </c>
      <c r="H95" s="25" t="inlineStr">
        <is>
          <t>21/05/2025</t>
        </is>
      </c>
      <c r="I95" s="25" t="n"/>
      <c r="J95" s="25" t="inlineStr">
        <is>
          <t>MANU DITZEL</t>
        </is>
      </c>
      <c r="K95" s="25" t="inlineStr">
        <is>
          <t>Larissa Padilha</t>
        </is>
      </c>
      <c r="L95" s="25" t="n">
        <v>10</v>
      </c>
      <c r="M95" s="25" t="inlineStr">
        <is>
          <t>05/02/2026</t>
        </is>
      </c>
      <c r="N95" s="25" t="n">
        <v>1494.46</v>
      </c>
      <c r="O95" s="25" t="n"/>
      <c r="P95" s="25" t="n"/>
      <c r="Q95" s="25" t="n"/>
      <c r="R95" s="25" t="n"/>
      <c r="S95" s="25" t="n"/>
      <c r="T95" s="25" t="n"/>
      <c r="U95" s="25" t="n">
        <v>0</v>
      </c>
      <c r="V95" s="25" t="n">
        <v>0</v>
      </c>
      <c r="W95" s="25" t="n">
        <v>1415.8</v>
      </c>
      <c r="X95" s="25" t="n">
        <v>0</v>
      </c>
      <c r="Y95" s="25" t="n">
        <v>0</v>
      </c>
      <c r="Z95" s="25" t="n">
        <v>0</v>
      </c>
      <c r="AA95" s="25" t="n">
        <v>0</v>
      </c>
      <c r="AB95" s="25" t="n">
        <v>0</v>
      </c>
      <c r="AC95" s="25" t="n">
        <v>0</v>
      </c>
      <c r="AD95" s="25" t="n">
        <v>0</v>
      </c>
      <c r="AE95" s="25" t="n">
        <v>0</v>
      </c>
      <c r="AF95" s="25" t="n">
        <v>1494.46</v>
      </c>
      <c r="AG95" s="25" t="n">
        <v>259</v>
      </c>
      <c r="AH95" s="25" t="n">
        <v>2</v>
      </c>
      <c r="AI95" s="25" t="inlineStr">
        <is>
          <t>A</t>
        </is>
      </c>
      <c r="AJ95" s="25" t="n">
        <v>2</v>
      </c>
      <c r="AK95" s="25" t="n">
        <v>1455.13</v>
      </c>
      <c r="AL95" s="26" t="n">
        <v>46057.36546296296</v>
      </c>
      <c r="AM95" s="26" t="n">
        <v>46057.36546296296</v>
      </c>
      <c r="AN95" s="25" t="inlineStr">
        <is>
          <t>WHATSAPP</t>
        </is>
      </c>
      <c r="AO95" s="25" t="inlineStr">
        <is>
          <t>VENDA REALIZADA | SUPERMERCADO TIO ANTONIO - JEAN - MG</t>
        </is>
      </c>
      <c r="AP95" s="27">
        <f>IF(AH95="","",IF(AH95=0,"PROSPECT",IF(AH95=1,"NOVO",IF(AH95&lt;=3,"EM DESENVOLVIMENTO",IF(AH95&lt;=6,"RECORRENTE","FIDELIZADO")))))</f>
        <v/>
      </c>
      <c r="AQ95" s="27">
        <f>IF(AJ95=0,0,IFERROR(SUM(U95:AF95)/AJ95,0))</f>
        <v/>
      </c>
      <c r="AS95" s="0" t="inlineStr">
        <is>
          <t>Carteira FEV/26 + Vendas FEV/26 + ABC FEV/26</t>
        </is>
      </c>
    </row>
    <row r="96" ht="14.25" customHeight="1" s="16">
      <c r="A96" s="25" t="inlineStr">
        <is>
          <t>SUPERMERCADOS OSANA</t>
        </is>
      </c>
      <c r="B96" s="25" t="inlineStr">
        <is>
          <t>06982791000693</t>
        </is>
      </c>
      <c r="C96" s="25" t="inlineStr">
        <is>
          <t>SUPERMERCADOS OSANA LTDA</t>
        </is>
      </c>
      <c r="D96" s="25" t="inlineStr">
        <is>
          <t>RS</t>
        </is>
      </c>
      <c r="E96" s="25" t="inlineStr">
        <is>
          <t>NOVO HAMBURGO</t>
        </is>
      </c>
      <c r="F96" s="25" t="inlineStr">
        <is>
          <t>SAOJORGE.OSANA@HOTMAIL.COM</t>
        </is>
      </c>
      <c r="G96" s="25" t="inlineStr">
        <is>
          <t>+55 (51) 9688-7423 (FELIPE)</t>
        </is>
      </c>
      <c r="H96" s="25" t="inlineStr">
        <is>
          <t>01/10/2025</t>
        </is>
      </c>
      <c r="I96" s="25" t="n"/>
      <c r="J96" s="25" t="inlineStr">
        <is>
          <t>MANU DITZEL</t>
        </is>
      </c>
      <c r="K96" s="25" t="inlineStr">
        <is>
          <t>Manu Ditzel</t>
        </is>
      </c>
      <c r="L96" s="25" t="n">
        <v>12</v>
      </c>
      <c r="M96" s="25" t="inlineStr">
        <is>
          <t>03/02/2026</t>
        </is>
      </c>
      <c r="N96" s="25" t="n">
        <v>2102.98</v>
      </c>
      <c r="O96" s="25" t="n"/>
      <c r="P96" s="25" t="n"/>
      <c r="Q96" s="25" t="n"/>
      <c r="R96" s="25" t="n"/>
      <c r="S96" s="25" t="n"/>
      <c r="T96" s="25" t="n"/>
      <c r="U96" s="25" t="n">
        <v>0</v>
      </c>
      <c r="V96" s="25" t="n">
        <v>0</v>
      </c>
      <c r="W96" s="25" t="n">
        <v>1558.74</v>
      </c>
      <c r="X96" s="25" t="n">
        <v>0</v>
      </c>
      <c r="Y96" s="25" t="n">
        <v>0</v>
      </c>
      <c r="Z96" s="25" t="n">
        <v>0</v>
      </c>
      <c r="AA96" s="25" t="n">
        <v>5187.15</v>
      </c>
      <c r="AB96" s="25" t="n">
        <v>0</v>
      </c>
      <c r="AC96" s="25" t="n">
        <v>3031.97</v>
      </c>
      <c r="AD96" s="25" t="n">
        <v>2567.63</v>
      </c>
      <c r="AE96" s="25" t="n">
        <v>0</v>
      </c>
      <c r="AF96" s="25" t="n">
        <v>2102.98</v>
      </c>
      <c r="AG96" s="25" t="n">
        <v>48.3333</v>
      </c>
      <c r="AH96" s="25" t="n">
        <v>4</v>
      </c>
      <c r="AI96" s="25" t="inlineStr">
        <is>
          <t>A</t>
        </is>
      </c>
      <c r="AJ96" s="25" t="n">
        <v>5</v>
      </c>
      <c r="AK96" s="25" t="n">
        <v>3612.12</v>
      </c>
      <c r="AL96" s="26" t="n">
        <v>46056.71944444445</v>
      </c>
      <c r="AM96" s="26" t="n">
        <v>46056.71944444445</v>
      </c>
      <c r="AN96" s="25" t="inlineStr">
        <is>
          <t>WHATSAPP</t>
        </is>
      </c>
      <c r="AO96" s="25" t="inlineStr">
        <is>
          <t>ORÇAMENTO ORÇAMENTO</t>
        </is>
      </c>
      <c r="AP96" s="27">
        <f>IF(AH96="","",IF(AH96=0,"PROSPECT",IF(AH96=1,"NOVO",IF(AH96&lt;=3,"EM DESENVOLVIMENTO",IF(AH96&lt;=6,"RECORRENTE","FIDELIZADO")))))</f>
        <v/>
      </c>
      <c r="AQ96" s="27">
        <f>IF(AJ96=0,0,IFERROR(SUM(U96:AF96)/AJ96,0))</f>
        <v/>
      </c>
      <c r="AS96" s="0" t="inlineStr">
        <is>
          <t>Carteira FEV/26 + Atend FEV/26 + Vendas FEV/26 + ABC FEV/26</t>
        </is>
      </c>
    </row>
    <row r="97" ht="14.25" customHeight="1" s="16">
      <c r="A97" s="25" t="inlineStr">
        <is>
          <t>SUPERMERCADOS PAGOTO LTDA</t>
        </is>
      </c>
      <c r="B97" s="25" t="inlineStr">
        <is>
          <t>27277961000102</t>
        </is>
      </c>
      <c r="C97" s="25" t="inlineStr">
        <is>
          <t>SUPERMERCADOS PAGOTO LTDA</t>
        </is>
      </c>
      <c r="D97" s="25" t="inlineStr">
        <is>
          <t>ES</t>
        </is>
      </c>
      <c r="E97" s="25" t="inlineStr">
        <is>
          <t>VENDA NOVA DO IMIGRANTE</t>
        </is>
      </c>
      <c r="F97" s="25" t="inlineStr">
        <is>
          <t>compras3suppagoto@gmail.com</t>
        </is>
      </c>
      <c r="G97" s="25" t="inlineStr">
        <is>
          <t>+55 (28) 98805-5897</t>
        </is>
      </c>
      <c r="H97" s="25" t="inlineStr">
        <is>
          <t>01/10/2025</t>
        </is>
      </c>
      <c r="I97" s="25" t="n"/>
      <c r="J97" s="25" t="inlineStr">
        <is>
          <t>LARISSA PADILHA</t>
        </is>
      </c>
      <c r="K97" s="25" t="inlineStr">
        <is>
          <t>Larissa Padilha</t>
        </is>
      </c>
      <c r="L97" s="25" t="n">
        <v>24</v>
      </c>
      <c r="M97" s="25" t="inlineStr">
        <is>
          <t>22/01/2026</t>
        </is>
      </c>
      <c r="N97" s="25" t="n">
        <v>1992.13</v>
      </c>
      <c r="O97" s="25" t="n"/>
      <c r="P97" s="25" t="n"/>
      <c r="Q97" s="25" t="n"/>
      <c r="R97" s="25" t="n"/>
      <c r="S97" s="25" t="n"/>
      <c r="T97" s="25" t="n"/>
      <c r="U97" s="25" t="n">
        <v>0</v>
      </c>
      <c r="V97" s="25" t="n">
        <v>0</v>
      </c>
      <c r="W97" s="25" t="n">
        <v>0</v>
      </c>
      <c r="X97" s="25" t="n">
        <v>0</v>
      </c>
      <c r="Y97" s="25" t="n">
        <v>0</v>
      </c>
      <c r="Z97" s="25" t="n">
        <v>0</v>
      </c>
      <c r="AA97" s="25" t="n">
        <v>0</v>
      </c>
      <c r="AB97" s="25" t="n">
        <v>2763.48</v>
      </c>
      <c r="AC97" s="25" t="n">
        <v>2097.59</v>
      </c>
      <c r="AD97" s="25" t="n">
        <v>0</v>
      </c>
      <c r="AE97" s="25" t="n">
        <v>1992.13</v>
      </c>
      <c r="AF97" s="25" t="n">
        <v>0</v>
      </c>
      <c r="AG97" s="25" t="n">
        <v>36</v>
      </c>
      <c r="AH97" s="25" t="n">
        <v>3</v>
      </c>
      <c r="AI97" s="25" t="inlineStr">
        <is>
          <t>A</t>
        </is>
      </c>
      <c r="AJ97" s="25" t="n">
        <v>3</v>
      </c>
      <c r="AK97" s="25" t="n">
        <v>2284.4</v>
      </c>
      <c r="AL97" s="26" t="n">
        <v>46065.41319444445</v>
      </c>
      <c r="AM97" s="26" t="n">
        <v>46065.41319444445</v>
      </c>
      <c r="AN97" s="25" t="inlineStr">
        <is>
          <t>WHATSAPP</t>
        </is>
      </c>
      <c r="AO97" s="25" t="inlineStr">
        <is>
          <t>NUTRIÇÃO | Envio da campanha do mês</t>
        </is>
      </c>
      <c r="AP97" s="27">
        <f>IF(AH97="","",IF(AH97=0,"PROSPECT",IF(AH97=1,"NOVO",IF(AH97&lt;=3,"EM DESENVOLVIMENTO",IF(AH97&lt;=6,"RECORRENTE","FIDELIZADO")))))</f>
        <v/>
      </c>
      <c r="AQ97" s="27">
        <f>IF(AJ97=0,0,IFERROR(SUM(U97:AF97)/AJ97,0))</f>
        <v/>
      </c>
      <c r="AS97" s="0" t="inlineStr">
        <is>
          <t>Carteira FEV/26 + Atend FEV/26</t>
        </is>
      </c>
    </row>
    <row r="98" ht="14.25" customHeight="1" s="16">
      <c r="A98" s="25" t="inlineStr">
        <is>
          <t>SWEET AND FIT ATELIER</t>
        </is>
      </c>
      <c r="B98" s="25" t="inlineStr">
        <is>
          <t>37370567000160</t>
        </is>
      </c>
      <c r="C98" s="25" t="inlineStr">
        <is>
          <t>KAROLINE SABINO DA SILVA</t>
        </is>
      </c>
      <c r="D98" s="25" t="inlineStr">
        <is>
          <t>SP</t>
        </is>
      </c>
      <c r="E98" s="25" t="inlineStr">
        <is>
          <t>SAO PAULO</t>
        </is>
      </c>
      <c r="F98" s="25" t="inlineStr">
        <is>
          <t>contato@sweetandfit.com.br</t>
        </is>
      </c>
      <c r="G98" s="25" t="inlineStr">
        <is>
          <t>+55 (11) 93144-2643</t>
        </is>
      </c>
      <c r="H98" s="25" t="inlineStr">
        <is>
          <t>24/06/2025</t>
        </is>
      </c>
      <c r="I98" s="25" t="n"/>
      <c r="J98" s="25" t="inlineStr">
        <is>
          <t>LARISSA PADILHA</t>
        </is>
      </c>
      <c r="K98" s="25" t="inlineStr">
        <is>
          <t>Larissa Padilha</t>
        </is>
      </c>
      <c r="L98" s="25" t="n">
        <v>10</v>
      </c>
      <c r="M98" s="25" t="inlineStr">
        <is>
          <t>05/02/2026</t>
        </is>
      </c>
      <c r="N98" s="25" t="n">
        <v>4832.1</v>
      </c>
      <c r="O98" s="25" t="n">
        <v>1</v>
      </c>
      <c r="P98" s="25" t="inlineStr">
        <is>
          <t>Sim</t>
        </is>
      </c>
      <c r="Q98" s="25" t="n">
        <v>39</v>
      </c>
      <c r="R98" s="25" t="n">
        <v>3</v>
      </c>
      <c r="S98" s="25" t="n">
        <v>3448</v>
      </c>
      <c r="T98" s="25" t="inlineStr">
        <is>
          <t>COMPRA B2B</t>
        </is>
      </c>
      <c r="U98" s="25" t="n">
        <v>0</v>
      </c>
      <c r="V98" s="25" t="n">
        <v>0</v>
      </c>
      <c r="W98" s="25" t="n">
        <v>0</v>
      </c>
      <c r="X98" s="25" t="n">
        <v>0</v>
      </c>
      <c r="Y98" s="25" t="n">
        <v>2058.07</v>
      </c>
      <c r="Z98" s="25" t="n">
        <v>3448</v>
      </c>
      <c r="AA98" s="25" t="n">
        <v>3231.74</v>
      </c>
      <c r="AB98" s="25" t="n">
        <v>3672.43</v>
      </c>
      <c r="AC98" s="25" t="n">
        <v>0</v>
      </c>
      <c r="AD98" s="25" t="n">
        <v>3672.43</v>
      </c>
      <c r="AE98" s="25" t="n">
        <v>4468.5</v>
      </c>
      <c r="AF98" s="25" t="n">
        <v>4832.1</v>
      </c>
      <c r="AG98" s="25" t="n">
        <v>34.1667</v>
      </c>
      <c r="AH98" s="25" t="n">
        <v>7</v>
      </c>
      <c r="AI98" s="25" t="inlineStr">
        <is>
          <t>A</t>
        </is>
      </c>
      <c r="AJ98" s="25" t="n">
        <v>7</v>
      </c>
      <c r="AK98" s="25" t="n">
        <v>3626.18</v>
      </c>
      <c r="AL98" s="26" t="n">
        <v>46058.53375</v>
      </c>
      <c r="AM98" s="26" t="n">
        <v>46058.53375</v>
      </c>
      <c r="AN98" s="25" t="inlineStr">
        <is>
          <t>WHATSAPP</t>
        </is>
      </c>
      <c r="AO98" s="25" t="inlineStr">
        <is>
          <t>VENDA REALIZADA | SWEET AND FIT ATELIER - KAROLINE - SP</t>
        </is>
      </c>
      <c r="AP98" s="27">
        <f>IF(AH98="","",IF(AH98=0,"PROSPECT",IF(AH98=1,"NOVO",IF(AH98&lt;=3,"EM DESENVOLVIMENTO",IF(AH98&lt;=6,"RECORRENTE","FIDELIZADO")))))</f>
        <v/>
      </c>
      <c r="AQ98" s="27">
        <f>IF(AJ98=0,0,IFERROR(SUM(U98:AF98)/AJ98,0))</f>
        <v/>
      </c>
      <c r="AS98" s="0" t="inlineStr">
        <is>
          <t>Carteira FEV/26 + Atend FEV/26 + Vendas FEV/26 + ABC FEV/26</t>
        </is>
      </c>
    </row>
    <row r="99" ht="14.25" customHeight="1" s="16">
      <c r="A99" s="25" t="inlineStr">
        <is>
          <t>TAJU CROCANTES</t>
        </is>
      </c>
      <c r="B99" s="25" t="inlineStr">
        <is>
          <t>61943206000140</t>
        </is>
      </c>
      <c r="C99" s="25" t="inlineStr">
        <is>
          <t>TAJU CROCANTES DO VALE LTDA</t>
        </is>
      </c>
      <c r="D99" s="25" t="inlineStr">
        <is>
          <t>SC</t>
        </is>
      </c>
      <c r="E99" s="25" t="inlineStr">
        <is>
          <t>SAO JOAO BATISTA</t>
        </is>
      </c>
      <c r="F99" s="25" t="inlineStr">
        <is>
          <t>Tajucrocantes@gmail.com</t>
        </is>
      </c>
      <c r="G99" s="25" t="inlineStr">
        <is>
          <t>+55 (49) 99104-4231</t>
        </is>
      </c>
      <c r="H99" s="25" t="inlineStr">
        <is>
          <t>21/01/2026</t>
        </is>
      </c>
      <c r="I99" s="25" t="n"/>
      <c r="J99" s="25" t="inlineStr">
        <is>
          <t>MANU DITZEL</t>
        </is>
      </c>
      <c r="K99" s="25" t="inlineStr">
        <is>
          <t>Manu Ditzel</t>
        </is>
      </c>
      <c r="L99" s="25" t="n">
        <v>24</v>
      </c>
      <c r="M99" s="25" t="inlineStr">
        <is>
          <t>22/01/2026</t>
        </is>
      </c>
      <c r="N99" s="25" t="n">
        <v>689.63</v>
      </c>
      <c r="O99" s="25" t="n"/>
      <c r="P99" s="25" t="n"/>
      <c r="Q99" s="25" t="n"/>
      <c r="R99" s="25" t="n"/>
      <c r="S99" s="25" t="n"/>
      <c r="T99" s="25" t="n"/>
      <c r="U99" s="25" t="n">
        <v>0</v>
      </c>
      <c r="V99" s="25" t="n">
        <v>0</v>
      </c>
      <c r="W99" s="25" t="n">
        <v>0</v>
      </c>
      <c r="X99" s="25" t="n">
        <v>0</v>
      </c>
      <c r="Y99" s="25" t="n">
        <v>0</v>
      </c>
      <c r="Z99" s="25" t="n">
        <v>0</v>
      </c>
      <c r="AA99" s="25" t="n">
        <v>0</v>
      </c>
      <c r="AB99" s="25" t="n">
        <v>0</v>
      </c>
      <c r="AC99" s="25" t="n">
        <v>0</v>
      </c>
      <c r="AD99" s="25" t="n">
        <v>0</v>
      </c>
      <c r="AE99" s="25" t="n">
        <v>0</v>
      </c>
      <c r="AF99" s="25" t="n">
        <v>0</v>
      </c>
      <c r="AG99" s="25" t="n">
        <v>0</v>
      </c>
      <c r="AH99" s="25" t="n">
        <v>0</v>
      </c>
      <c r="AI99" s="25" t="n"/>
      <c r="AJ99" s="25" t="n">
        <v>0</v>
      </c>
      <c r="AK99" s="25" t="n">
        <v>0</v>
      </c>
      <c r="AL99" s="26" t="n">
        <v>46056.72638888889</v>
      </c>
      <c r="AM99" s="26" t="n">
        <v>46056.72638888889</v>
      </c>
      <c r="AN99" s="25" t="inlineStr">
        <is>
          <t>WHATSAPP</t>
        </is>
      </c>
      <c r="AO99" s="25" t="inlineStr">
        <is>
          <t>ENTREGUE | MANDEI MENSAGEM PARA VER SE CHEGOU TUDO</t>
        </is>
      </c>
      <c r="AP99" s="27">
        <f>IF(AH99="","",IF(AH99=0,"PROSPECT",IF(AH99=1,"NOVO",IF(AH99&lt;=3,"EM DESENVOLVIMENTO",IF(AH99&lt;=6,"RECORRENTE","FIDELIZADO")))))</f>
        <v/>
      </c>
      <c r="AQ99" s="27">
        <f>IF(AJ99=0,0,IFERROR(SUM(U99:AF99)/AJ99,0))</f>
        <v/>
      </c>
      <c r="AS99" s="0" t="inlineStr">
        <is>
          <t>Carteira FEV/26 + Atend FEV/26</t>
        </is>
      </c>
    </row>
    <row r="100" ht="14.25" customHeight="1" s="16">
      <c r="A100" s="25" t="inlineStr">
        <is>
          <t>TERCEIRIZE FOODS</t>
        </is>
      </c>
      <c r="B100" s="25" t="inlineStr">
        <is>
          <t>07192414001342</t>
        </is>
      </c>
      <c r="C100" s="25" t="inlineStr">
        <is>
          <t>COSTA OESTE SERVICOS LTDA</t>
        </is>
      </c>
      <c r="D100" s="25" t="inlineStr">
        <is>
          <t>SC</t>
        </is>
      </c>
      <c r="E100" s="25" t="inlineStr">
        <is>
          <t>CHAPECO</t>
        </is>
      </c>
      <c r="F100" s="25" t="inlineStr">
        <is>
          <t>teste@teste.com</t>
        </is>
      </c>
      <c r="G100" s="25" t="inlineStr">
        <is>
          <t>+55 (47) 9946-6686 | +55 (47) 99946-7278</t>
        </is>
      </c>
      <c r="H100" s="25" t="inlineStr">
        <is>
          <t>06/08/2025</t>
        </is>
      </c>
      <c r="I100" s="25" t="n"/>
      <c r="J100" s="25" t="inlineStr">
        <is>
          <t>MANU DITZEL</t>
        </is>
      </c>
      <c r="K100" s="25" t="inlineStr">
        <is>
          <t>Manu Ditzel</t>
        </is>
      </c>
      <c r="L100" s="25" t="n">
        <v>9</v>
      </c>
      <c r="M100" s="25" t="inlineStr">
        <is>
          <t>06/02/2026</t>
        </is>
      </c>
      <c r="N100" s="25" t="n">
        <v>1217.88</v>
      </c>
      <c r="O100" s="25" t="n"/>
      <c r="P100" s="25" t="n"/>
      <c r="Q100" s="25" t="n"/>
      <c r="R100" s="25" t="n"/>
      <c r="S100" s="25" t="n"/>
      <c r="T100" s="25" t="n"/>
      <c r="U100" s="25" t="n">
        <v>0</v>
      </c>
      <c r="V100" s="25" t="n">
        <v>0</v>
      </c>
      <c r="W100" s="25" t="n">
        <v>0</v>
      </c>
      <c r="X100" s="25" t="n">
        <v>0</v>
      </c>
      <c r="Y100" s="25" t="n">
        <v>0</v>
      </c>
      <c r="Z100" s="25" t="n">
        <v>1524.53</v>
      </c>
      <c r="AA100" s="25" t="n">
        <v>0</v>
      </c>
      <c r="AB100" s="25" t="n">
        <v>0</v>
      </c>
      <c r="AC100" s="25" t="n">
        <v>0</v>
      </c>
      <c r="AD100" s="25" t="n">
        <v>0</v>
      </c>
      <c r="AE100" s="25" t="n">
        <v>0</v>
      </c>
      <c r="AF100" s="25" t="n">
        <v>1217.88</v>
      </c>
      <c r="AG100" s="25" t="n">
        <v>184</v>
      </c>
      <c r="AH100" s="25" t="n">
        <v>2</v>
      </c>
      <c r="AI100" s="25" t="inlineStr">
        <is>
          <t>A</t>
        </is>
      </c>
      <c r="AJ100" s="25" t="n">
        <v>2</v>
      </c>
      <c r="AK100" s="25" t="n">
        <v>1371.2</v>
      </c>
      <c r="AL100" s="26" t="n">
        <v>46059.60694444444</v>
      </c>
      <c r="AM100" s="26" t="n">
        <v>46059.60694444444</v>
      </c>
      <c r="AN100" s="25" t="inlineStr">
        <is>
          <t>WHATSAPP</t>
        </is>
      </c>
      <c r="AO100" s="25" t="inlineStr">
        <is>
          <t>entrou em contato hoje pedindo cotação de cookies de banana</t>
        </is>
      </c>
      <c r="AP100" s="27">
        <f>IF(AH100="","",IF(AH100=0,"PROSPECT",IF(AH100=1,"NOVO",IF(AH100&lt;=3,"EM DESENVOLVIMENTO",IF(AH100&lt;=6,"RECORRENTE","FIDELIZADO")))))</f>
        <v/>
      </c>
      <c r="AQ100" s="27">
        <f>IF(AJ100=0,0,IFERROR(SUM(U100:AF100)/AJ100,0))</f>
        <v/>
      </c>
      <c r="AS100" s="0" t="inlineStr">
        <is>
          <t>Carteira FEV/26 + Atend FEV/26 + Vendas FEV/26 + ABC FEV/26</t>
        </is>
      </c>
    </row>
    <row r="101" ht="14.25" customHeight="1" s="16">
      <c r="A101" s="25" t="inlineStr">
        <is>
          <t>TERRITORIO SAUDE CABRAL</t>
        </is>
      </c>
      <c r="B101" s="25" t="inlineStr">
        <is>
          <t>58820609000197</t>
        </is>
      </c>
      <c r="C101" s="25" t="inlineStr">
        <is>
          <t>TERRITORIO SAUDE CABRAL LTDA</t>
        </is>
      </c>
      <c r="D101" s="25" t="inlineStr">
        <is>
          <t>PR</t>
        </is>
      </c>
      <c r="E101" s="25" t="inlineStr">
        <is>
          <t>CURITIBA</t>
        </is>
      </c>
      <c r="F101" s="25" t="inlineStr">
        <is>
          <t>thiagomenegassi@gmail.com</t>
        </is>
      </c>
      <c r="G101" s="25" t="inlineStr">
        <is>
          <t>+55 (41) 9146-4469 | +55 (41) 98402-4557</t>
        </is>
      </c>
      <c r="H101" s="25" t="inlineStr">
        <is>
          <t>30/04/2025</t>
        </is>
      </c>
      <c r="I101" s="25" t="inlineStr">
        <is>
          <t>[Rede] Fit Land</t>
        </is>
      </c>
      <c r="J101" s="25" t="inlineStr">
        <is>
          <t>JULIO GADRET</t>
        </is>
      </c>
      <c r="K101" s="25" t="inlineStr">
        <is>
          <t>Julio  Gadret</t>
        </is>
      </c>
      <c r="L101" s="25" t="n">
        <v>18</v>
      </c>
      <c r="M101" s="25" t="inlineStr">
        <is>
          <t>28/01/2026</t>
        </is>
      </c>
      <c r="N101" s="25" t="n">
        <v>1322.77</v>
      </c>
      <c r="O101" s="25" t="n">
        <v>1</v>
      </c>
      <c r="P101" s="25" t="inlineStr">
        <is>
          <t>Sim</t>
        </is>
      </c>
      <c r="Q101" s="25" t="n">
        <v>28</v>
      </c>
      <c r="R101" s="25" t="n">
        <v>18</v>
      </c>
      <c r="S101" s="25" t="n"/>
      <c r="T101" s="25" t="n"/>
      <c r="U101" s="25" t="n">
        <v>0</v>
      </c>
      <c r="V101" s="25" t="n">
        <v>0</v>
      </c>
      <c r="W101" s="25" t="n">
        <v>700.02</v>
      </c>
      <c r="X101" s="25" t="n">
        <v>1216.97</v>
      </c>
      <c r="Y101" s="25" t="n">
        <v>0</v>
      </c>
      <c r="Z101" s="25" t="n">
        <v>0</v>
      </c>
      <c r="AA101" s="25" t="n">
        <v>0</v>
      </c>
      <c r="AB101" s="25" t="n">
        <v>0</v>
      </c>
      <c r="AC101" s="25" t="n">
        <v>0</v>
      </c>
      <c r="AD101" s="25" t="n">
        <v>0</v>
      </c>
      <c r="AE101" s="25" t="n">
        <v>1322.77</v>
      </c>
      <c r="AF101" s="25" t="n">
        <v>0</v>
      </c>
      <c r="AG101" s="25" t="n">
        <v>132.5</v>
      </c>
      <c r="AH101" s="25" t="n">
        <v>3</v>
      </c>
      <c r="AI101" s="25" t="inlineStr">
        <is>
          <t>B</t>
        </is>
      </c>
      <c r="AJ101" s="25" t="n">
        <v>3</v>
      </c>
      <c r="AK101" s="25" t="n">
        <v>1079.92</v>
      </c>
      <c r="AL101" s="26" t="n">
        <v>45813.73888888889</v>
      </c>
      <c r="AM101" s="26" t="n">
        <v>45813.73888888889</v>
      </c>
      <c r="AN101" s="25" t="inlineStr">
        <is>
          <t>WHATSAPP</t>
        </is>
      </c>
      <c r="AO101" s="25" t="inlineStr">
        <is>
          <t>PÓS-VENDA | Follow up de pedido, perguntei se chegou tudo certinho</t>
        </is>
      </c>
      <c r="AP101" s="27">
        <f>IF(AH101="","",IF(AH101=0,"PROSPECT",IF(AH101=1,"NOVO",IF(AH101&lt;=3,"EM DESENVOLVIMENTO",IF(AH101&lt;=6,"RECORRENTE","FIDELIZADO")))))</f>
        <v/>
      </c>
      <c r="AQ101" s="27">
        <f>IF(AJ101=0,0,IFERROR(SUM(U101:AF101)/AJ101,0))</f>
        <v/>
      </c>
      <c r="AS101" s="0" t="inlineStr">
        <is>
          <t>Carteira FEV/26</t>
        </is>
      </c>
    </row>
    <row r="102" ht="14.25" customHeight="1" s="16">
      <c r="A102" s="25" t="inlineStr">
        <is>
          <t>THE HOUSE BR PRODUTOS E SERVICOS DE BEM-ESTAR</t>
        </is>
      </c>
      <c r="B102" s="25" t="inlineStr">
        <is>
          <t>61835839000134</t>
        </is>
      </c>
      <c r="C102" s="25" t="inlineStr">
        <is>
          <t>THE HOUSE BR PRODUTOS E SERVICOS DE BEM-ESTAR LTDA</t>
        </is>
      </c>
      <c r="D102" s="25" t="inlineStr">
        <is>
          <t>PR</t>
        </is>
      </c>
      <c r="E102" s="25" t="inlineStr">
        <is>
          <t>CURITIBA</t>
        </is>
      </c>
      <c r="F102" s="25" t="inlineStr">
        <is>
          <t>contato@thehouse-br.com</t>
        </is>
      </c>
      <c r="G102" s="25" t="inlineStr">
        <is>
          <t>+55 (41) 9232-9804</t>
        </is>
      </c>
      <c r="H102" s="25" t="inlineStr">
        <is>
          <t>28/10/2025</t>
        </is>
      </c>
      <c r="I102" s="25" t="n"/>
      <c r="J102" s="25" t="inlineStr">
        <is>
          <t>MANU DITZEL</t>
        </is>
      </c>
      <c r="K102" s="25" t="inlineStr">
        <is>
          <t>Manu Ditzel</t>
        </is>
      </c>
      <c r="L102" s="25" t="n">
        <v>17</v>
      </c>
      <c r="M102" s="25" t="inlineStr">
        <is>
          <t>29/01/2026</t>
        </is>
      </c>
      <c r="N102" s="25" t="n">
        <v>222.21</v>
      </c>
      <c r="O102" s="25" t="n">
        <v>6</v>
      </c>
      <c r="P102" s="25" t="inlineStr">
        <is>
          <t>Sim</t>
        </is>
      </c>
      <c r="Q102" s="25" t="n">
        <v>38</v>
      </c>
      <c r="R102" s="25" t="n">
        <v>2</v>
      </c>
      <c r="S102" s="25" t="n">
        <v>395.61</v>
      </c>
      <c r="T102" s="25" t="inlineStr">
        <is>
          <t>COMPRA B2B</t>
        </is>
      </c>
      <c r="U102" s="25" t="n">
        <v>0</v>
      </c>
      <c r="V102" s="25" t="n">
        <v>0</v>
      </c>
      <c r="W102" s="25" t="n">
        <v>0</v>
      </c>
      <c r="X102" s="25" t="n">
        <v>0</v>
      </c>
      <c r="Y102" s="25" t="n">
        <v>0</v>
      </c>
      <c r="Z102" s="25" t="n">
        <v>0</v>
      </c>
      <c r="AA102" s="25" t="n">
        <v>0</v>
      </c>
      <c r="AB102" s="25" t="n">
        <v>120</v>
      </c>
      <c r="AC102" s="25" t="n">
        <v>464.64</v>
      </c>
      <c r="AD102" s="25" t="n">
        <v>0</v>
      </c>
      <c r="AE102" s="25" t="n">
        <v>395.61</v>
      </c>
      <c r="AF102" s="25" t="n">
        <v>0</v>
      </c>
      <c r="AG102" s="25" t="n">
        <v>45</v>
      </c>
      <c r="AH102" s="25" t="n">
        <v>2</v>
      </c>
      <c r="AI102" s="25" t="inlineStr">
        <is>
          <t>C</t>
        </is>
      </c>
      <c r="AJ102" s="25" t="n">
        <v>3</v>
      </c>
      <c r="AK102" s="25" t="n">
        <v>490.12</v>
      </c>
      <c r="AL102" s="26" t="n">
        <v>46056.72430555556</v>
      </c>
      <c r="AM102" s="26" t="n">
        <v>46056.72430555556</v>
      </c>
      <c r="AN102" s="25" t="inlineStr">
        <is>
          <t>WHATSAPP</t>
        </is>
      </c>
      <c r="AO102" s="25" t="inlineStr">
        <is>
          <t>FEITO CONTATO PARA CS</t>
        </is>
      </c>
      <c r="AP102" s="27">
        <f>IF(AH102="","",IF(AH102=0,"PROSPECT",IF(AH102=1,"NOVO",IF(AH102&lt;=3,"EM DESENVOLVIMENTO",IF(AH102&lt;=6,"RECORRENTE","FIDELIZADO")))))</f>
        <v/>
      </c>
      <c r="AQ102" s="27">
        <f>IF(AJ102=0,0,IFERROR(SUM(U102:AF102)/AJ102,0))</f>
        <v/>
      </c>
      <c r="AS102" s="0" t="inlineStr">
        <is>
          <t>Carteira FEV/26 + Atend FEV/26</t>
        </is>
      </c>
    </row>
    <row r="103" ht="14.25" customHeight="1" s="16">
      <c r="A103" s="25" t="inlineStr">
        <is>
          <t>TROPICAL SUPERMERCADOS</t>
        </is>
      </c>
      <c r="B103" s="25" t="inlineStr">
        <is>
          <t>23014826000105</t>
        </is>
      </c>
      <c r="C103" s="25" t="inlineStr">
        <is>
          <t>TROPICAL SUPERMERCADOS LTDA</t>
        </is>
      </c>
      <c r="D103" s="25" t="inlineStr">
        <is>
          <t>MT</t>
        </is>
      </c>
      <c r="E103" s="25" t="inlineStr">
        <is>
          <t>RONDONOPOLIS</t>
        </is>
      </c>
      <c r="F103" s="25" t="inlineStr">
        <is>
          <t>contas.receber01@tropicalsupermercados.com.br</t>
        </is>
      </c>
      <c r="G103" s="25" t="inlineStr">
        <is>
          <t>+55 (66) 99711-4712</t>
        </is>
      </c>
      <c r="H103" s="25" t="inlineStr">
        <is>
          <t>19/05/2025</t>
        </is>
      </c>
      <c r="I103" s="25" t="n"/>
      <c r="J103" s="25" t="inlineStr">
        <is>
          <t>LARISSA PADILHA</t>
        </is>
      </c>
      <c r="K103" s="25" t="inlineStr">
        <is>
          <t>Larissa Padilha</t>
        </is>
      </c>
      <c r="L103" s="25" t="n">
        <v>2</v>
      </c>
      <c r="M103" s="25" t="inlineStr">
        <is>
          <t>13/02/2026</t>
        </is>
      </c>
      <c r="N103" s="25" t="n">
        <v>16588.98</v>
      </c>
      <c r="O103" s="25" t="n"/>
      <c r="P103" s="25" t="n"/>
      <c r="Q103" s="25" t="n"/>
      <c r="R103" s="25" t="n"/>
      <c r="S103" s="25" t="n"/>
      <c r="T103" s="25" t="n"/>
      <c r="U103" s="25" t="n">
        <v>0</v>
      </c>
      <c r="V103" s="25" t="n">
        <v>0</v>
      </c>
      <c r="W103" s="25" t="n">
        <v>0</v>
      </c>
      <c r="X103" s="25" t="n">
        <v>6442.21</v>
      </c>
      <c r="Y103" s="25" t="n">
        <v>4099.98</v>
      </c>
      <c r="Z103" s="25" t="n">
        <v>8406.629999999999</v>
      </c>
      <c r="AA103" s="25" t="n">
        <v>5299.97</v>
      </c>
      <c r="AB103" s="25" t="n">
        <v>0</v>
      </c>
      <c r="AC103" s="25" t="n">
        <v>16502.32</v>
      </c>
      <c r="AD103" s="25" t="n">
        <v>12636.67</v>
      </c>
      <c r="AE103" s="25" t="n">
        <v>5730.18</v>
      </c>
      <c r="AF103" s="25" t="n">
        <v>16588.98</v>
      </c>
      <c r="AG103" s="25" t="n">
        <v>29.375</v>
      </c>
      <c r="AH103" s="25" t="n">
        <v>8</v>
      </c>
      <c r="AI103" s="25" t="inlineStr">
        <is>
          <t>A</t>
        </is>
      </c>
      <c r="AJ103" s="25" t="n">
        <v>8</v>
      </c>
      <c r="AK103" s="25" t="n">
        <v>9463.370000000001</v>
      </c>
      <c r="AL103" s="26" t="n">
        <v>46062.44097222222</v>
      </c>
      <c r="AM103" s="26" t="n">
        <v>46062.44097222222</v>
      </c>
      <c r="AN103" s="25" t="inlineStr">
        <is>
          <t>WHATSAPP</t>
        </is>
      </c>
      <c r="AO103" s="25" t="inlineStr">
        <is>
          <t>NUTRIÇÃO | Liguei para Tati mas não atendeu, enviei áudio perguntando sobre a performance dos produtos no mercado e me coloquei à disposição</t>
        </is>
      </c>
      <c r="AP103" s="27">
        <f>IF(AH103="","",IF(AH103=0,"PROSPECT",IF(AH103=1,"NOVO",IF(AH103&lt;=3,"EM DESENVOLVIMENTO",IF(AH103&lt;=6,"RECORRENTE","FIDELIZADO")))))</f>
        <v/>
      </c>
      <c r="AQ103" s="27">
        <f>IF(AJ103=0,0,IFERROR(SUM(U103:AF103)/AJ103,0))</f>
        <v/>
      </c>
      <c r="AS103" s="0" t="inlineStr">
        <is>
          <t>Carteira FEV/26 + Atend FEV/26 + Vendas FEV/26 + ABC FEV/26</t>
        </is>
      </c>
    </row>
    <row r="104" ht="14.25" customHeight="1" s="16">
      <c r="A104" s="25" t="inlineStr">
        <is>
          <t>UNIBAHIA</t>
        </is>
      </c>
      <c r="B104" s="25" t="inlineStr">
        <is>
          <t>30372997000171</t>
        </is>
      </c>
      <c r="C104" s="25" t="inlineStr">
        <is>
          <t>DSJ COMERCIO DE ALIMENTOS EM GERAL E PANIFICACAO LTDA</t>
        </is>
      </c>
      <c r="D104" s="25" t="inlineStr">
        <is>
          <t>BA</t>
        </is>
      </c>
      <c r="E104" s="25" t="inlineStr">
        <is>
          <t>CANDEIAS</t>
        </is>
      </c>
      <c r="F104" s="25" t="inlineStr">
        <is>
          <t>dsjcomal20@gmail.com</t>
        </is>
      </c>
      <c r="G104" s="25" t="inlineStr">
        <is>
          <t>+55 (71) 9141-8952</t>
        </is>
      </c>
      <c r="H104" s="25" t="inlineStr">
        <is>
          <t>24/11/2025</t>
        </is>
      </c>
      <c r="I104" s="25" t="n"/>
      <c r="J104" s="25" t="inlineStr">
        <is>
          <t>LARISSA PADILHA</t>
        </is>
      </c>
      <c r="K104" s="25" t="inlineStr">
        <is>
          <t>Larissa Padilha</t>
        </is>
      </c>
      <c r="L104" s="25" t="n">
        <v>65</v>
      </c>
      <c r="M104" s="25" t="inlineStr">
        <is>
          <t>12/12/2025</t>
        </is>
      </c>
      <c r="N104" s="25" t="n">
        <v>2500.66</v>
      </c>
      <c r="O104" s="25" t="n">
        <v>7</v>
      </c>
      <c r="P104" s="25" t="inlineStr">
        <is>
          <t>Sim</t>
        </is>
      </c>
      <c r="Q104" s="25" t="n">
        <v>154</v>
      </c>
      <c r="R104" s="25" t="n">
        <v>73</v>
      </c>
      <c r="S104" s="25" t="n">
        <v>2500.66</v>
      </c>
      <c r="T104" s="25" t="inlineStr">
        <is>
          <t>COMPRA B2B</t>
        </is>
      </c>
      <c r="U104" s="25" t="n">
        <v>0</v>
      </c>
      <c r="V104" s="25" t="n">
        <v>0</v>
      </c>
      <c r="W104" s="25" t="n">
        <v>0</v>
      </c>
      <c r="X104" s="25" t="n">
        <v>0</v>
      </c>
      <c r="Y104" s="25" t="n">
        <v>0</v>
      </c>
      <c r="Z104" s="25" t="n">
        <v>0</v>
      </c>
      <c r="AA104" s="25" t="n">
        <v>0</v>
      </c>
      <c r="AB104" s="25" t="n">
        <v>0</v>
      </c>
      <c r="AC104" s="25" t="n">
        <v>0</v>
      </c>
      <c r="AD104" s="25" t="n">
        <v>2500.66</v>
      </c>
      <c r="AE104" s="25" t="n">
        <v>0</v>
      </c>
      <c r="AF104" s="25" t="n">
        <v>0</v>
      </c>
      <c r="AG104" s="25" t="n">
        <v>0</v>
      </c>
      <c r="AH104" s="25" t="n">
        <v>1</v>
      </c>
      <c r="AI104" s="25" t="inlineStr">
        <is>
          <t>A</t>
        </is>
      </c>
      <c r="AJ104" s="25" t="n">
        <v>1</v>
      </c>
      <c r="AK104" s="25" t="n">
        <v>2500.66</v>
      </c>
      <c r="AL104" s="26" t="n">
        <v>46057.47083333333</v>
      </c>
      <c r="AM104" s="26" t="n">
        <v>46057.47083333333</v>
      </c>
      <c r="AN104" s="25" t="inlineStr">
        <is>
          <t>WHATSAPP</t>
        </is>
      </c>
      <c r="AO104" s="25" t="inlineStr">
        <is>
          <t>NUTRIÇÃO | Envio da campanha do mês</t>
        </is>
      </c>
      <c r="AP104" s="27">
        <f>IF(AH104="","",IF(AH104=0,"PROSPECT",IF(AH104=1,"NOVO",IF(AH104&lt;=3,"EM DESENVOLVIMENTO",IF(AH104&lt;=6,"RECORRENTE","FIDELIZADO")))))</f>
        <v/>
      </c>
      <c r="AQ104" s="27">
        <f>IF(AJ104=0,0,IFERROR(SUM(U104:AF104)/AJ104,0))</f>
        <v/>
      </c>
      <c r="AS104" s="0" t="inlineStr">
        <is>
          <t>Carteira FEV/26 + Atend FEV/26</t>
        </is>
      </c>
    </row>
    <row r="105" ht="14.25" customHeight="1" s="16">
      <c r="A105" s="25" t="inlineStr">
        <is>
          <t>UNIMED JARAGUA DO SUL</t>
        </is>
      </c>
      <c r="B105" s="25" t="inlineStr">
        <is>
          <t>03855214000219</t>
        </is>
      </c>
      <c r="C105" s="25" t="inlineStr">
        <is>
          <t>COOPERATIVA DE TRABALHO MEDICO DE JARAGUA DO SUL</t>
        </is>
      </c>
      <c r="D105" s="25" t="inlineStr">
        <is>
          <t>SC</t>
        </is>
      </c>
      <c r="E105" s="25" t="inlineStr">
        <is>
          <t>JARAGUA DO SUL</t>
        </is>
      </c>
      <c r="F105" s="25" t="inlineStr">
        <is>
          <t>jaison.kreis@jaragua.unimedsc.coop.br</t>
        </is>
      </c>
      <c r="G105" s="25" t="inlineStr">
        <is>
          <t>+55 (47) 99137-7929</t>
        </is>
      </c>
      <c r="H105" s="25" t="inlineStr">
        <is>
          <t>11/09/2025</t>
        </is>
      </c>
      <c r="I105" s="25" t="n"/>
      <c r="J105" s="25" t="inlineStr">
        <is>
          <t>MANU DITZEL</t>
        </is>
      </c>
      <c r="K105" s="25" t="inlineStr">
        <is>
          <t>Manu Ditzel</t>
        </is>
      </c>
      <c r="L105" s="25" t="n">
        <v>20</v>
      </c>
      <c r="M105" s="25" t="inlineStr">
        <is>
          <t>26/01/2026</t>
        </is>
      </c>
      <c r="N105" s="25" t="n">
        <v>279</v>
      </c>
      <c r="O105" s="25" t="n"/>
      <c r="P105" s="25" t="n"/>
      <c r="Q105" s="25" t="n"/>
      <c r="R105" s="25" t="n"/>
      <c r="S105" s="25" t="n"/>
      <c r="T105" s="25" t="n"/>
      <c r="U105" s="25" t="n">
        <v>0</v>
      </c>
      <c r="V105" s="25" t="n">
        <v>0</v>
      </c>
      <c r="W105" s="25" t="n">
        <v>0</v>
      </c>
      <c r="X105" s="25" t="n">
        <v>0</v>
      </c>
      <c r="Y105" s="25" t="n">
        <v>0</v>
      </c>
      <c r="Z105" s="25" t="n">
        <v>0</v>
      </c>
      <c r="AA105" s="25" t="n">
        <v>433.84</v>
      </c>
      <c r="AB105" s="25" t="n">
        <v>0</v>
      </c>
      <c r="AC105" s="25" t="n">
        <v>0</v>
      </c>
      <c r="AD105" s="25" t="n">
        <v>0</v>
      </c>
      <c r="AE105" s="25" t="n">
        <v>279</v>
      </c>
      <c r="AF105" s="25" t="n">
        <v>0</v>
      </c>
      <c r="AG105" s="25" t="n">
        <v>122</v>
      </c>
      <c r="AH105" s="25" t="n">
        <v>2</v>
      </c>
      <c r="AI105" s="25" t="inlineStr">
        <is>
          <t>C</t>
        </is>
      </c>
      <c r="AJ105" s="25" t="n">
        <v>2</v>
      </c>
      <c r="AK105" s="25" t="n">
        <v>356.42</v>
      </c>
      <c r="AL105" s="26" t="n">
        <v>46056.725</v>
      </c>
      <c r="AM105" s="26" t="n">
        <v>46056.725</v>
      </c>
      <c r="AN105" s="25" t="inlineStr">
        <is>
          <t>WHATSAPP</t>
        </is>
      </c>
      <c r="AO105" s="25" t="inlineStr">
        <is>
          <t>ENTREGUE | HOJE MANDEI MENSAGEM PARA VER SE CHEGOU TUDO</t>
        </is>
      </c>
      <c r="AP105" s="27">
        <f>IF(AH105="","",IF(AH105=0,"PROSPECT",IF(AH105=1,"NOVO",IF(AH105&lt;=3,"EM DESENVOLVIMENTO",IF(AH105&lt;=6,"RECORRENTE","FIDELIZADO")))))</f>
        <v/>
      </c>
      <c r="AQ105" s="27">
        <f>IF(AJ105=0,0,IFERROR(SUM(U105:AF105)/AJ105,0))</f>
        <v/>
      </c>
      <c r="AS105" s="0" t="inlineStr">
        <is>
          <t>Carteira FEV/26 + Atend FEV/26</t>
        </is>
      </c>
    </row>
    <row r="106" ht="14.25" customHeight="1" s="16">
      <c r="A106" s="25" t="inlineStr">
        <is>
          <t>VERDE LEVE</t>
        </is>
      </c>
      <c r="B106" s="25" t="inlineStr">
        <is>
          <t>63698072000174</t>
        </is>
      </c>
      <c r="C106" s="25" t="inlineStr">
        <is>
          <t>JAQUELINE STER FAGUNDES</t>
        </is>
      </c>
      <c r="D106" s="25" t="inlineStr">
        <is>
          <t>SP</t>
        </is>
      </c>
      <c r="E106" s="25" t="inlineStr">
        <is>
          <t>REGENTE FEIJO</t>
        </is>
      </c>
      <c r="F106" s="25" t="inlineStr">
        <is>
          <t>jaqueline.s.fagundes@redevidaleve.com.br</t>
        </is>
      </c>
      <c r="G106" s="25" t="inlineStr">
        <is>
          <t>+55 (18) 99611-7580</t>
        </is>
      </c>
      <c r="H106" s="25" t="inlineStr">
        <is>
          <t>21/01/2026</t>
        </is>
      </c>
      <c r="I106" s="25" t="inlineStr">
        <is>
          <t>VIDA LEVE</t>
        </is>
      </c>
      <c r="J106" s="25" t="inlineStr">
        <is>
          <t>DAIANE STAVICKI</t>
        </is>
      </c>
      <c r="K106" s="25" t="inlineStr">
        <is>
          <t>Central - Daiane</t>
        </is>
      </c>
      <c r="L106" s="25" t="n">
        <v>20</v>
      </c>
      <c r="M106" s="25" t="inlineStr">
        <is>
          <t>26/01/2026</t>
        </is>
      </c>
      <c r="N106" s="25" t="n">
        <v>1540.96</v>
      </c>
      <c r="O106" s="25" t="n"/>
      <c r="P106" s="25" t="n"/>
      <c r="Q106" s="25" t="n"/>
      <c r="R106" s="25" t="n"/>
      <c r="S106" s="25" t="n"/>
      <c r="T106" s="25" t="n"/>
      <c r="U106" s="25" t="n">
        <v>0</v>
      </c>
      <c r="V106" s="25" t="n">
        <v>0</v>
      </c>
      <c r="W106" s="25" t="n">
        <v>0</v>
      </c>
      <c r="X106" s="25" t="n">
        <v>0</v>
      </c>
      <c r="Y106" s="25" t="n">
        <v>0</v>
      </c>
      <c r="Z106" s="25" t="n">
        <v>0</v>
      </c>
      <c r="AA106" s="25" t="n">
        <v>0</v>
      </c>
      <c r="AB106" s="25" t="n">
        <v>0</v>
      </c>
      <c r="AC106" s="25" t="n">
        <v>0</v>
      </c>
      <c r="AD106" s="25" t="n">
        <v>0</v>
      </c>
      <c r="AE106" s="25" t="n">
        <v>0</v>
      </c>
      <c r="AF106" s="25" t="n">
        <v>0</v>
      </c>
      <c r="AG106" s="25" t="n">
        <v>0</v>
      </c>
      <c r="AH106" s="25" t="n">
        <v>0</v>
      </c>
      <c r="AI106" s="25" t="n"/>
      <c r="AJ106" s="25" t="n">
        <v>0</v>
      </c>
      <c r="AK106" s="25" t="n">
        <v>0</v>
      </c>
      <c r="AL106" s="26" t="n">
        <v>46058.53958333333</v>
      </c>
      <c r="AM106" s="26" t="n">
        <v>46058.53958333333</v>
      </c>
      <c r="AN106" s="25" t="inlineStr">
        <is>
          <t>WHATSAPP</t>
        </is>
      </c>
      <c r="AO106" s="25" t="inlineStr">
        <is>
          <t>VAI SER INAGURAÇÃO, CONFIRMAR COM JEAN</t>
        </is>
      </c>
      <c r="AP106" s="27">
        <f>IF(AH106="","",IF(AH106=0,"PROSPECT",IF(AH106=1,"NOVO",IF(AH106&lt;=3,"EM DESENVOLVIMENTO",IF(AH106&lt;=6,"RECORRENTE","FIDELIZADO")))))</f>
        <v/>
      </c>
      <c r="AQ106" s="27">
        <f>IF(AJ106=0,0,IFERROR(SUM(U106:AF106)/AJ106,0))</f>
        <v/>
      </c>
      <c r="AS106" s="0" t="inlineStr">
        <is>
          <t>Carteira FEV/26 + Atend FEV/26</t>
        </is>
      </c>
    </row>
    <row r="107" ht="14.25" customHeight="1" s="16">
      <c r="A107" s="25" t="inlineStr">
        <is>
          <t>VIDA LEVE</t>
        </is>
      </c>
      <c r="B107" s="25" t="inlineStr">
        <is>
          <t>63198302000136</t>
        </is>
      </c>
      <c r="C107" s="25" t="inlineStr">
        <is>
          <t>L M S MARIANO LTDA</t>
        </is>
      </c>
      <c r="D107" s="25" t="inlineStr">
        <is>
          <t>RO</t>
        </is>
      </c>
      <c r="E107" s="25" t="inlineStr">
        <is>
          <t>PORTO VELHO</t>
        </is>
      </c>
      <c r="F107" s="25" t="inlineStr">
        <is>
          <t>loja.portovelho@redevidaleve.com.br</t>
        </is>
      </c>
      <c r="G107" s="25" t="inlineStr">
        <is>
          <t>+55 (69) 99369-1466</t>
        </is>
      </c>
      <c r="H107" s="25" t="inlineStr">
        <is>
          <t>05/02/2026</t>
        </is>
      </c>
      <c r="I107" s="25" t="inlineStr">
        <is>
          <t>[Rede] Vida Leve</t>
        </is>
      </c>
      <c r="J107" s="25" t="inlineStr">
        <is>
          <t>DAIANE STAVICKI</t>
        </is>
      </c>
      <c r="K107" s="25" t="inlineStr">
        <is>
          <t>Central - Daiane</t>
        </is>
      </c>
      <c r="L107" s="25" t="n">
        <v>10</v>
      </c>
      <c r="M107" s="25" t="inlineStr">
        <is>
          <t>05/02/2026</t>
        </is>
      </c>
      <c r="N107" s="25" t="n">
        <v>2518.19</v>
      </c>
      <c r="O107" s="25" t="n"/>
      <c r="P107" s="25" t="n"/>
      <c r="Q107" s="25" t="n"/>
      <c r="R107" s="25" t="n"/>
      <c r="S107" s="25" t="n"/>
      <c r="T107" s="25" t="n"/>
      <c r="U107" s="25" t="n">
        <v>0</v>
      </c>
      <c r="V107" s="25" t="n">
        <v>0</v>
      </c>
      <c r="W107" s="25" t="n">
        <v>0</v>
      </c>
      <c r="X107" s="25" t="n">
        <v>0</v>
      </c>
      <c r="Y107" s="25" t="n">
        <v>0</v>
      </c>
      <c r="Z107" s="25" t="n">
        <v>0</v>
      </c>
      <c r="AA107" s="25" t="n">
        <v>0</v>
      </c>
      <c r="AB107" s="25" t="n">
        <v>1387.56</v>
      </c>
      <c r="AC107" s="25" t="n">
        <v>0</v>
      </c>
      <c r="AD107" s="25" t="n">
        <v>2536.11</v>
      </c>
      <c r="AE107" s="25" t="n">
        <v>2018.5</v>
      </c>
      <c r="AF107" s="25" t="n">
        <v>2518.19</v>
      </c>
      <c r="AG107" s="25" t="n">
        <v>0</v>
      </c>
      <c r="AH107" s="25" t="n">
        <v>4</v>
      </c>
      <c r="AI107" s="25" t="inlineStr">
        <is>
          <t>A</t>
        </is>
      </c>
      <c r="AJ107" s="25" t="n">
        <v>4</v>
      </c>
      <c r="AK107" s="25" t="n">
        <v>2115.09</v>
      </c>
      <c r="AL107" s="25" t="n"/>
      <c r="AM107" s="25" t="n"/>
      <c r="AN107" s="25" t="n"/>
      <c r="AO107" s="25" t="n"/>
      <c r="AP107" s="27">
        <f>IF(AH107="","",IF(AH107=0,"PROSPECT",IF(AH107=1,"NOVO",IF(AH107&lt;=3,"EM DESENVOLVIMENTO",IF(AH107&lt;=6,"RECORRENTE","FIDELIZADO")))))</f>
        <v/>
      </c>
      <c r="AQ107" s="27">
        <f>IF(AJ107=0,0,IFERROR(SUM(U107:AF107)/AJ107,0))</f>
        <v/>
      </c>
      <c r="AS107" s="0" t="inlineStr">
        <is>
          <t>Carteira FEV/26 + Vendas FEV/26 + ABC FEV/26</t>
        </is>
      </c>
    </row>
    <row r="108" ht="14.25" customHeight="1" s="16">
      <c r="A108" s="25" t="inlineStr">
        <is>
          <t>VIDA LEVE</t>
        </is>
      </c>
      <c r="B108" s="25" t="inlineStr">
        <is>
          <t>61228119000100</t>
        </is>
      </c>
      <c r="C108" s="25" t="inlineStr">
        <is>
          <t>M GRASSI LTDA</t>
        </is>
      </c>
      <c r="D108" s="25" t="inlineStr">
        <is>
          <t>RO</t>
        </is>
      </c>
      <c r="E108" s="25" t="inlineStr">
        <is>
          <t>JI-PARANA</t>
        </is>
      </c>
      <c r="F108" s="25" t="inlineStr">
        <is>
          <t>ji-parana@redevidaleve.com.br</t>
        </is>
      </c>
      <c r="G108" s="25" t="inlineStr">
        <is>
          <t>+55 (69) 9960-5237</t>
        </is>
      </c>
      <c r="H108" s="25" t="inlineStr">
        <is>
          <t>16/01/2026</t>
        </is>
      </c>
      <c r="I108" s="25" t="n"/>
      <c r="J108" s="25" t="inlineStr">
        <is>
          <t>DAIANE STAVICKI</t>
        </is>
      </c>
      <c r="K108" s="25" t="inlineStr">
        <is>
          <t>Central - Daiane</t>
        </is>
      </c>
      <c r="L108" s="25" t="n">
        <v>30</v>
      </c>
      <c r="M108" s="25" t="inlineStr">
        <is>
          <t>16/01/2026</t>
        </is>
      </c>
      <c r="N108" s="25" t="n">
        <v>2018.5</v>
      </c>
      <c r="O108" s="25" t="n"/>
      <c r="P108" s="25" t="n"/>
      <c r="Q108" s="25" t="n"/>
      <c r="R108" s="25" t="n"/>
      <c r="S108" s="25" t="n"/>
      <c r="T108" s="25" t="n"/>
      <c r="U108" s="25" t="n">
        <v>0</v>
      </c>
      <c r="V108" s="25" t="n">
        <v>0</v>
      </c>
      <c r="W108" s="25" t="n">
        <v>0</v>
      </c>
      <c r="X108" s="25" t="n">
        <v>0</v>
      </c>
      <c r="Y108" s="25" t="n">
        <v>0</v>
      </c>
      <c r="Z108" s="25" t="n">
        <v>0</v>
      </c>
      <c r="AA108" s="25" t="n">
        <v>0</v>
      </c>
      <c r="AB108" s="25" t="n">
        <v>0</v>
      </c>
      <c r="AC108" s="25" t="n">
        <v>0</v>
      </c>
      <c r="AD108" s="25" t="n">
        <v>0</v>
      </c>
      <c r="AE108" s="25" t="n">
        <v>0</v>
      </c>
      <c r="AF108" s="25" t="n">
        <v>0</v>
      </c>
      <c r="AG108" s="25" t="n">
        <v>0</v>
      </c>
      <c r="AH108" s="25" t="n">
        <v>0</v>
      </c>
      <c r="AI108" s="25" t="inlineStr">
        <is>
          <t>A</t>
        </is>
      </c>
      <c r="AJ108" s="25" t="n">
        <v>0</v>
      </c>
      <c r="AK108" s="25" t="n">
        <v>0</v>
      </c>
      <c r="AL108" s="25" t="n"/>
      <c r="AM108" s="25" t="n"/>
      <c r="AN108" s="25" t="n"/>
      <c r="AO108" s="25" t="n"/>
      <c r="AP108" s="27">
        <f>IF(AH108="","",IF(AH108=0,"PROSPECT",IF(AH108=1,"NOVO",IF(AH108&lt;=3,"EM DESENVOLVIMENTO",IF(AH108&lt;=6,"RECORRENTE","FIDELIZADO")))))</f>
        <v/>
      </c>
      <c r="AQ108" s="27">
        <f>IF(AJ108=0,0,IFERROR(SUM(U108:AF108)/AJ108,0))</f>
        <v/>
      </c>
      <c r="AS108" s="0" t="inlineStr">
        <is>
          <t>Carteira FEV/26</t>
        </is>
      </c>
    </row>
    <row r="109" ht="14.25" customHeight="1" s="16">
      <c r="A109" s="25" t="inlineStr">
        <is>
          <t>VIDA LEVE - SÃO JOSE DO RIO PRETO</t>
        </is>
      </c>
      <c r="B109" s="25" t="inlineStr">
        <is>
          <t>60209127000147</t>
        </is>
      </c>
      <c r="C109" s="25" t="inlineStr">
        <is>
          <t>AGRO &amp; NATURAL COMERCIO CONSULTORIA DE PRODUTOS NATURAIS LTDA</t>
        </is>
      </c>
      <c r="D109" s="25" t="inlineStr">
        <is>
          <t>SP</t>
        </is>
      </c>
      <c r="E109" s="25" t="inlineStr">
        <is>
          <t>SAO JOSE DO RIO PRETO</t>
        </is>
      </c>
      <c r="F109" s="25" t="inlineStr">
        <is>
          <t>loja.sjriopretodamha@redevidaleve.com.br</t>
        </is>
      </c>
      <c r="G109" s="25" t="inlineStr">
        <is>
          <t>+55 (17) 99613-3737</t>
        </is>
      </c>
      <c r="H109" s="25" t="inlineStr">
        <is>
          <t>08/08/2025</t>
        </is>
      </c>
      <c r="I109" s="25" t="inlineStr">
        <is>
          <t>[Rede] Vida Leve</t>
        </is>
      </c>
      <c r="J109" s="25" t="inlineStr">
        <is>
          <t>DAIANE STAVICKI</t>
        </is>
      </c>
      <c r="K109" s="25" t="inlineStr">
        <is>
          <t>Central - Daiane</t>
        </is>
      </c>
      <c r="L109" s="25" t="n">
        <v>26</v>
      </c>
      <c r="M109" s="25" t="inlineStr">
        <is>
          <t>20/01/2026</t>
        </is>
      </c>
      <c r="N109" s="25" t="n">
        <v>1126.29</v>
      </c>
      <c r="O109" s="25" t="n">
        <v>2</v>
      </c>
      <c r="P109" s="25" t="inlineStr">
        <is>
          <t>Sim</t>
        </is>
      </c>
      <c r="Q109" s="25" t="n">
        <v>2</v>
      </c>
      <c r="R109" s="25" t="n"/>
      <c r="S109" s="25" t="n"/>
      <c r="T109" s="25" t="n"/>
      <c r="U109" s="25" t="n">
        <v>0</v>
      </c>
      <c r="V109" s="25" t="n">
        <v>0</v>
      </c>
      <c r="W109" s="25" t="n">
        <v>0</v>
      </c>
      <c r="X109" s="25" t="n">
        <v>0</v>
      </c>
      <c r="Y109" s="25" t="n">
        <v>0</v>
      </c>
      <c r="Z109" s="25" t="n">
        <v>1341.15</v>
      </c>
      <c r="AA109" s="25" t="n">
        <v>0</v>
      </c>
      <c r="AB109" s="25" t="n">
        <v>0</v>
      </c>
      <c r="AC109" s="25" t="n">
        <v>875.85</v>
      </c>
      <c r="AD109" s="25" t="n">
        <v>0</v>
      </c>
      <c r="AE109" s="25" t="n">
        <v>1126.29</v>
      </c>
      <c r="AF109" s="25" t="n">
        <v>0</v>
      </c>
      <c r="AG109" s="25" t="n">
        <v>80</v>
      </c>
      <c r="AH109" s="25" t="n">
        <v>2</v>
      </c>
      <c r="AI109" s="25" t="inlineStr">
        <is>
          <t>B</t>
        </is>
      </c>
      <c r="AJ109" s="25" t="n">
        <v>3</v>
      </c>
      <c r="AK109" s="25" t="n">
        <v>1671.64</v>
      </c>
      <c r="AL109" s="26" t="n">
        <v>46063.43194444444</v>
      </c>
      <c r="AM109" s="26" t="n">
        <v>46063.43194444444</v>
      </c>
      <c r="AN109" s="25" t="inlineStr">
        <is>
          <t>LIGAÇÃO</t>
        </is>
      </c>
      <c r="AO109" s="25" t="inlineStr">
        <is>
          <t>Pediu rastreio, pedido esta parado a 21 dias</t>
        </is>
      </c>
      <c r="AP109" s="27">
        <f>IF(AH109="","",IF(AH109=0,"PROSPECT",IF(AH109=1,"NOVO",IF(AH109&lt;=3,"EM DESENVOLVIMENTO",IF(AH109&lt;=6,"RECORRENTE","FIDELIZADO")))))</f>
        <v/>
      </c>
      <c r="AQ109" s="27">
        <f>IF(AJ109=0,0,IFERROR(SUM(U109:AF109)/AJ109,0))</f>
        <v/>
      </c>
      <c r="AS109" s="0" t="inlineStr">
        <is>
          <t>Carteira FEV/26 + Atend FEV/26</t>
        </is>
      </c>
    </row>
    <row r="110" ht="14.25" customHeight="1" s="16">
      <c r="A110" s="25" t="inlineStr">
        <is>
          <t>VIDA NATURAL</t>
        </is>
      </c>
      <c r="B110" s="25" t="inlineStr">
        <is>
          <t>61791187000183</t>
        </is>
      </c>
      <c r="C110" s="25" t="inlineStr">
        <is>
          <t>VIDA NATURAL COMERCIO DE PRODUTOS ALIMENTICIOS LTDA</t>
        </is>
      </c>
      <c r="D110" s="25" t="inlineStr">
        <is>
          <t>PA</t>
        </is>
      </c>
      <c r="E110" s="25" t="inlineStr">
        <is>
          <t>BELEM</t>
        </is>
      </c>
      <c r="F110" s="25" t="inlineStr">
        <is>
          <t>vidanatural.belem@gmail.com</t>
        </is>
      </c>
      <c r="G110" s="25" t="inlineStr">
        <is>
          <t>+55 (91) 99142-0078</t>
        </is>
      </c>
      <c r="H110" s="25" t="inlineStr">
        <is>
          <t>30/09/2025</t>
        </is>
      </c>
      <c r="I110" s="25" t="inlineStr">
        <is>
          <t>VIDA LEVE</t>
        </is>
      </c>
      <c r="J110" s="25" t="inlineStr">
        <is>
          <t>DAIANE STAVICKI</t>
        </is>
      </c>
      <c r="K110" s="25" t="inlineStr">
        <is>
          <t>Central - Daiane</t>
        </is>
      </c>
      <c r="L110" s="25" t="n">
        <v>19</v>
      </c>
      <c r="M110" s="25" t="inlineStr">
        <is>
          <t>27/01/2026</t>
        </is>
      </c>
      <c r="N110" s="25" t="n">
        <v>427.41</v>
      </c>
      <c r="O110" s="25" t="n">
        <v>6</v>
      </c>
      <c r="P110" s="25" t="inlineStr">
        <is>
          <t>Sim</t>
        </is>
      </c>
      <c r="Q110" s="25" t="n">
        <v>43</v>
      </c>
      <c r="R110" s="25" t="n">
        <v>3</v>
      </c>
      <c r="S110" s="25" t="n">
        <v>924.0700000000001</v>
      </c>
      <c r="T110" s="25" t="inlineStr">
        <is>
          <t>COMPRA B2B</t>
        </is>
      </c>
      <c r="U110" s="25" t="n">
        <v>0</v>
      </c>
      <c r="V110" s="25" t="n">
        <v>0</v>
      </c>
      <c r="W110" s="25" t="n">
        <v>0</v>
      </c>
      <c r="X110" s="25" t="n">
        <v>0</v>
      </c>
      <c r="Y110" s="25" t="n">
        <v>0</v>
      </c>
      <c r="Z110" s="25" t="n">
        <v>0</v>
      </c>
      <c r="AA110" s="25" t="n">
        <v>1567.26</v>
      </c>
      <c r="AB110" s="25" t="n">
        <v>0</v>
      </c>
      <c r="AC110" s="25" t="n">
        <v>0</v>
      </c>
      <c r="AD110" s="25" t="n">
        <v>0</v>
      </c>
      <c r="AE110" s="25" t="n">
        <v>1351.48</v>
      </c>
      <c r="AF110" s="25" t="n">
        <v>0</v>
      </c>
      <c r="AG110" s="25" t="n">
        <v>59.5</v>
      </c>
      <c r="AH110" s="25" t="n">
        <v>3</v>
      </c>
      <c r="AI110" s="25" t="inlineStr">
        <is>
          <t>B</t>
        </is>
      </c>
      <c r="AJ110" s="25" t="n">
        <v>2</v>
      </c>
      <c r="AK110" s="25" t="n">
        <v>972.91</v>
      </c>
      <c r="AL110" s="26" t="n">
        <v>46048.47525462963</v>
      </c>
      <c r="AM110" s="26" t="n">
        <v>46048.47525462963</v>
      </c>
      <c r="AN110" s="25" t="inlineStr">
        <is>
          <t>WHATSAPP</t>
        </is>
      </c>
      <c r="AO110" s="25" t="inlineStr">
        <is>
          <t>VIDA NATURAL BELEM - MARCELO (Ñ É MAIS VIDA LEVE)</t>
        </is>
      </c>
      <c r="AP110" s="27">
        <f>IF(AH110="","",IF(AH110=0,"PROSPECT",IF(AH110=1,"NOVO",IF(AH110&lt;=3,"EM DESENVOLVIMENTO",IF(AH110&lt;=6,"RECORRENTE","FIDELIZADO")))))</f>
        <v/>
      </c>
      <c r="AQ110" s="27">
        <f>IF(AJ110=0,0,IFERROR(SUM(U110:AF110)/AJ110,0))</f>
        <v/>
      </c>
      <c r="AS110" s="0" t="inlineStr">
        <is>
          <t>Carteira FEV/26</t>
        </is>
      </c>
    </row>
    <row r="111" ht="14.25" customHeight="1" s="16">
      <c r="A111" s="25" t="inlineStr">
        <is>
          <t>VIDA NATURAL FSA</t>
        </is>
      </c>
      <c r="B111" s="25" t="inlineStr">
        <is>
          <t>62617017000140</t>
        </is>
      </c>
      <c r="C111" s="25" t="inlineStr">
        <is>
          <t>CASANOVA PRODUTOS NATURAIS LTDA</t>
        </is>
      </c>
      <c r="D111" s="25" t="inlineStr">
        <is>
          <t>BA</t>
        </is>
      </c>
      <c r="E111" s="25" t="inlineStr">
        <is>
          <t>FEIRA DE SANTANA</t>
        </is>
      </c>
      <c r="F111" s="25" t="inlineStr">
        <is>
          <t>feira.de.santana@redevidaleve.com.br</t>
        </is>
      </c>
      <c r="G111" s="25" t="inlineStr">
        <is>
          <t>+55 (71) 99284-7946</t>
        </is>
      </c>
      <c r="H111" s="25" t="inlineStr">
        <is>
          <t>30/09/2025</t>
        </is>
      </c>
      <c r="I111" s="25" t="inlineStr">
        <is>
          <t>[Rede] Vida Leve</t>
        </is>
      </c>
      <c r="J111" s="25" t="inlineStr">
        <is>
          <t>DAIANE STAVICKI</t>
        </is>
      </c>
      <c r="K111" s="25" t="inlineStr">
        <is>
          <t>Central - Daiane</t>
        </is>
      </c>
      <c r="L111" s="25" t="n">
        <v>55</v>
      </c>
      <c r="M111" s="25" t="inlineStr">
        <is>
          <t>22/12/2025</t>
        </is>
      </c>
      <c r="N111" s="25" t="n">
        <v>1159.21</v>
      </c>
      <c r="O111" s="25" t="n"/>
      <c r="P111" s="25" t="n"/>
      <c r="Q111" s="25" t="n"/>
      <c r="R111" s="25" t="n"/>
      <c r="S111" s="25" t="n"/>
      <c r="T111" s="25" t="n"/>
      <c r="U111" s="25" t="n">
        <v>0</v>
      </c>
      <c r="V111" s="25" t="n">
        <v>0</v>
      </c>
      <c r="W111" s="25" t="n">
        <v>0</v>
      </c>
      <c r="X111" s="25" t="n">
        <v>0</v>
      </c>
      <c r="Y111" s="25" t="n">
        <v>0</v>
      </c>
      <c r="Z111" s="25" t="n">
        <v>0</v>
      </c>
      <c r="AA111" s="25" t="n">
        <v>1567.26</v>
      </c>
      <c r="AB111" s="25" t="n">
        <v>0</v>
      </c>
      <c r="AC111" s="25" t="n">
        <v>0</v>
      </c>
      <c r="AD111" s="25" t="n">
        <v>1159.21</v>
      </c>
      <c r="AE111" s="25" t="n">
        <v>0</v>
      </c>
      <c r="AF111" s="25" t="n">
        <v>0</v>
      </c>
      <c r="AG111" s="25" t="n">
        <v>83</v>
      </c>
      <c r="AH111" s="25" t="n">
        <v>2</v>
      </c>
      <c r="AI111" s="25" t="inlineStr">
        <is>
          <t>B</t>
        </is>
      </c>
      <c r="AJ111" s="25" t="n">
        <v>2</v>
      </c>
      <c r="AK111" s="25" t="n">
        <v>1363.23</v>
      </c>
      <c r="AL111" s="26" t="n">
        <v>46000.50486111111</v>
      </c>
      <c r="AM111" s="26" t="n">
        <v>46000.50486111111</v>
      </c>
      <c r="AN111" s="25" t="inlineStr">
        <is>
          <t>WHATSAPP</t>
        </is>
      </c>
      <c r="AO111" s="25" t="inlineStr">
        <is>
          <t>SUPORTE | Cliente tinha pedido de drag eu exclui pq o G não liberou pq o boleto dele ainda não deu a baixa no cartório</t>
        </is>
      </c>
      <c r="AP111" s="27">
        <f>IF(AH111="","",IF(AH111=0,"PROSPECT",IF(AH111=1,"NOVO",IF(AH111&lt;=3,"EM DESENVOLVIMENTO",IF(AH111&lt;=6,"RECORRENTE","FIDELIZADO")))))</f>
        <v/>
      </c>
      <c r="AQ111" s="27">
        <f>IF(AJ111=0,0,IFERROR(SUM(U111:AF111)/AJ111,0))</f>
        <v/>
      </c>
      <c r="AS111" s="0" t="inlineStr">
        <is>
          <t>Carteira FEV/26</t>
        </is>
      </c>
    </row>
    <row r="112" ht="14.25" customHeight="1" s="16">
      <c r="A112" s="25" t="inlineStr">
        <is>
          <t>VILLA CERRONI LTDA</t>
        </is>
      </c>
      <c r="B112" s="25" t="inlineStr">
        <is>
          <t>14147398000106</t>
        </is>
      </c>
      <c r="C112" s="25" t="inlineStr">
        <is>
          <t>VILLA CERRONI ALIMENTOS LTDA</t>
        </is>
      </c>
      <c r="D112" s="25" t="inlineStr">
        <is>
          <t>SP</t>
        </is>
      </c>
      <c r="E112" s="25" t="inlineStr">
        <is>
          <t>ITUPEVA</t>
        </is>
      </c>
      <c r="F112" s="25" t="inlineStr">
        <is>
          <t>compras@villacerroni.com.br</t>
        </is>
      </c>
      <c r="G112" s="25" t="inlineStr">
        <is>
          <t>+55 (11) 95393-6791</t>
        </is>
      </c>
      <c r="H112" s="25" t="inlineStr">
        <is>
          <t>01/12/2025</t>
        </is>
      </c>
      <c r="I112" s="25" t="n"/>
      <c r="J112" s="25" t="inlineStr">
        <is>
          <t>LARISSA PADILHA</t>
        </is>
      </c>
      <c r="K112" s="25" t="inlineStr">
        <is>
          <t>Larissa Padilha</t>
        </is>
      </c>
      <c r="L112" s="25" t="n">
        <v>13</v>
      </c>
      <c r="M112" s="25" t="inlineStr">
        <is>
          <t>02/02/2026</t>
        </is>
      </c>
      <c r="N112" s="25" t="n">
        <v>950.7</v>
      </c>
      <c r="O112" s="25" t="n"/>
      <c r="P112" s="25" t="n"/>
      <c r="Q112" s="25" t="n"/>
      <c r="R112" s="25" t="n"/>
      <c r="S112" s="25" t="n"/>
      <c r="T112" s="25" t="n"/>
      <c r="U112" s="25" t="n">
        <v>0</v>
      </c>
      <c r="V112" s="25" t="n">
        <v>0</v>
      </c>
      <c r="W112" s="25" t="n">
        <v>0</v>
      </c>
      <c r="X112" s="25" t="n">
        <v>0</v>
      </c>
      <c r="Y112" s="25" t="n">
        <v>0</v>
      </c>
      <c r="Z112" s="25" t="n">
        <v>0</v>
      </c>
      <c r="AA112" s="25" t="n">
        <v>0</v>
      </c>
      <c r="AB112" s="25" t="n">
        <v>0</v>
      </c>
      <c r="AC112" s="25" t="n">
        <v>0</v>
      </c>
      <c r="AD112" s="25" t="n">
        <v>1690</v>
      </c>
      <c r="AE112" s="25" t="n">
        <v>0</v>
      </c>
      <c r="AF112" s="25" t="n">
        <v>950.7</v>
      </c>
      <c r="AG112" s="25" t="n">
        <v>30.5</v>
      </c>
      <c r="AH112" s="25" t="n">
        <v>3</v>
      </c>
      <c r="AI112" s="25" t="inlineStr">
        <is>
          <t>B</t>
        </is>
      </c>
      <c r="AJ112" s="25" t="n">
        <v>2</v>
      </c>
      <c r="AK112" s="25" t="n">
        <v>880.23</v>
      </c>
      <c r="AL112" s="26" t="n">
        <v>46055.44387731481</v>
      </c>
      <c r="AM112" s="26" t="n">
        <v>46055.44387731481</v>
      </c>
      <c r="AN112" s="25" t="inlineStr">
        <is>
          <t>WHATSAPP</t>
        </is>
      </c>
      <c r="AO112" s="28" t="inlineStr">
        <is>
          <t>VILLA CERRONI - YHAS - SP</t>
        </is>
      </c>
      <c r="AP112" s="27">
        <f>IF(AH112="","",IF(AH112=0,"PROSPECT",IF(AH112=1,"NOVO",IF(AH112&lt;=3,"EM DESENVOLVIMENTO",IF(AH112&lt;=6,"RECORRENTE","FIDELIZADO")))))</f>
        <v/>
      </c>
      <c r="AQ112" s="27">
        <f>IF(AJ112=0,0,IFERROR(SUM(U112:AF112)/AJ112,0))</f>
        <v/>
      </c>
      <c r="AS112" s="0" t="inlineStr">
        <is>
          <t>Carteira FEV/26 + Vendas FEV/26 + ABC FEV/26</t>
        </is>
      </c>
    </row>
    <row r="113" ht="14.25" customHeight="1" s="16">
      <c r="A113" s="25" t="inlineStr">
        <is>
          <t>VITA PRODUTOS NATURAIS</t>
        </is>
      </c>
      <c r="B113" s="25" t="inlineStr">
        <is>
          <t>16762003000100</t>
        </is>
      </c>
      <c r="C113" s="25" t="inlineStr">
        <is>
          <t>VITA PRODUTOS NATURAIS GTBA LTDA</t>
        </is>
      </c>
      <c r="D113" s="25" t="inlineStr">
        <is>
          <t>GO</t>
        </is>
      </c>
      <c r="E113" s="25" t="inlineStr">
        <is>
          <t>GOIATUBA</t>
        </is>
      </c>
      <c r="F113" s="25" t="inlineStr">
        <is>
          <t>contato@vitanaturais.com</t>
        </is>
      </c>
      <c r="G113" s="25" t="inlineStr">
        <is>
          <t>+55 (34) 9909-6668 | +55 (64) 3495-2074</t>
        </is>
      </c>
      <c r="H113" s="25" t="inlineStr">
        <is>
          <t>08/10/2024</t>
        </is>
      </c>
      <c r="I113" s="25" t="n"/>
      <c r="J113" s="25" t="inlineStr">
        <is>
          <t>LARISSA PADILHA</t>
        </is>
      </c>
      <c r="K113" s="25" t="inlineStr">
        <is>
          <t>Larissa Padilha</t>
        </is>
      </c>
      <c r="L113" s="25" t="n">
        <v>19</v>
      </c>
      <c r="M113" s="25" t="inlineStr">
        <is>
          <t>27/01/2026</t>
        </is>
      </c>
      <c r="N113" s="25" t="n">
        <v>2283.13</v>
      </c>
      <c r="O113" s="25" t="n">
        <v>6</v>
      </c>
      <c r="P113" s="25" t="inlineStr">
        <is>
          <t>Sim</t>
        </is>
      </c>
      <c r="Q113" s="25" t="n">
        <v>274</v>
      </c>
      <c r="R113" s="25" t="n">
        <v>67</v>
      </c>
      <c r="S113" s="25" t="n">
        <v>6940.4</v>
      </c>
      <c r="T113" s="25" t="inlineStr">
        <is>
          <t>COMPRA B2B</t>
        </is>
      </c>
      <c r="U113" s="25" t="n">
        <v>0</v>
      </c>
      <c r="V113" s="25" t="n">
        <v>2185.57</v>
      </c>
      <c r="W113" s="25" t="n">
        <v>0</v>
      </c>
      <c r="X113" s="25" t="n">
        <v>2798.08</v>
      </c>
      <c r="Y113" s="25" t="n">
        <v>0</v>
      </c>
      <c r="Z113" s="25" t="n">
        <v>1859.19</v>
      </c>
      <c r="AA113" s="25" t="n">
        <v>0</v>
      </c>
      <c r="AB113" s="25" t="n">
        <v>3150.05</v>
      </c>
      <c r="AC113" s="25" t="n">
        <v>0</v>
      </c>
      <c r="AD113" s="25" t="n">
        <v>0</v>
      </c>
      <c r="AE113" s="25" t="n">
        <v>2283.13</v>
      </c>
      <c r="AF113" s="25" t="n">
        <v>0</v>
      </c>
      <c r="AG113" s="25" t="n">
        <v>69.5</v>
      </c>
      <c r="AH113" s="25" t="n">
        <v>5</v>
      </c>
      <c r="AI113" s="25" t="inlineStr">
        <is>
          <t>A</t>
        </is>
      </c>
      <c r="AJ113" s="25" t="n">
        <v>5</v>
      </c>
      <c r="AK113" s="25" t="n">
        <v>2455.2</v>
      </c>
      <c r="AL113" s="26" t="n">
        <v>46049.43333333333</v>
      </c>
      <c r="AM113" s="26" t="n">
        <v>46049.43333333333</v>
      </c>
      <c r="AN113" s="25" t="inlineStr">
        <is>
          <t>WHATSAPP</t>
        </is>
      </c>
      <c r="AO113" s="25" t="inlineStr">
        <is>
          <t>SUPORTE | Aguardando retorno do Mateus quanto ao frete, se posso dar sequência no pedido</t>
        </is>
      </c>
      <c r="AP113" s="27">
        <f>IF(AH113="","",IF(AH113=0,"PROSPECT",IF(AH113=1,"NOVO",IF(AH113&lt;=3,"EM DESENVOLVIMENTO",IF(AH113&lt;=6,"RECORRENTE","FIDELIZADO")))))</f>
        <v/>
      </c>
      <c r="AQ113" s="27">
        <f>IF(AJ113=0,0,IFERROR(SUM(U113:AF113)/AJ113,0))</f>
        <v/>
      </c>
      <c r="AR113" s="15" t="inlineStr">
        <is>
          <t>⚠️ DDD(34)=MG≠GO</t>
        </is>
      </c>
      <c r="AS113" s="0" t="inlineStr">
        <is>
          <t>Carteira FEV/26</t>
        </is>
      </c>
    </row>
    <row r="114" ht="14.25" customHeight="1" s="16">
      <c r="A114" s="25" t="inlineStr">
        <is>
          <t>VITANO</t>
        </is>
      </c>
      <c r="B114" s="25" t="inlineStr">
        <is>
          <t>64425601000129</t>
        </is>
      </c>
      <c r="C114" s="25" t="inlineStr">
        <is>
          <t>VITANO MERCADO SAUDAVEL LTDA</t>
        </is>
      </c>
      <c r="D114" s="25" t="inlineStr">
        <is>
          <t>SC</t>
        </is>
      </c>
      <c r="E114" s="25" t="inlineStr">
        <is>
          <t>TUBARAO</t>
        </is>
      </c>
      <c r="F114" s="25" t="inlineStr">
        <is>
          <t>vitano.oficial@gmail.com</t>
        </is>
      </c>
      <c r="G114" s="25" t="inlineStr">
        <is>
          <t>+55 (48) 9814-9865</t>
        </is>
      </c>
      <c r="H114" s="25" t="inlineStr">
        <is>
          <t>13/01/2026</t>
        </is>
      </c>
      <c r="I114" s="25" t="n"/>
      <c r="J114" s="25" t="inlineStr">
        <is>
          <t>MANU DITZEL</t>
        </is>
      </c>
      <c r="K114" s="25" t="inlineStr">
        <is>
          <t>Manu Ditzel</t>
        </is>
      </c>
      <c r="L114" s="25" t="n">
        <v>11</v>
      </c>
      <c r="M114" s="25" t="inlineStr">
        <is>
          <t>04/02/2026</t>
        </is>
      </c>
      <c r="N114" s="25" t="n">
        <v>1190.31</v>
      </c>
      <c r="O114" s="25" t="n">
        <v>2</v>
      </c>
      <c r="P114" s="25" t="inlineStr">
        <is>
          <t>Sim</t>
        </is>
      </c>
      <c r="Q114" s="25" t="n">
        <v>107</v>
      </c>
      <c r="R114" s="25" t="n">
        <v>27</v>
      </c>
      <c r="S114" s="25" t="n">
        <v>1190.31</v>
      </c>
      <c r="T114" s="25" t="inlineStr">
        <is>
          <t>COMPRA B2B</t>
        </is>
      </c>
      <c r="U114" s="25" t="n">
        <v>0</v>
      </c>
      <c r="V114" s="25" t="n">
        <v>0</v>
      </c>
      <c r="W114" s="25" t="n">
        <v>0</v>
      </c>
      <c r="X114" s="25" t="n">
        <v>0</v>
      </c>
      <c r="Y114" s="25" t="n">
        <v>0</v>
      </c>
      <c r="Z114" s="25" t="n">
        <v>0</v>
      </c>
      <c r="AA114" s="25" t="n">
        <v>0</v>
      </c>
      <c r="AB114" s="25" t="n">
        <v>0</v>
      </c>
      <c r="AC114" s="25" t="n">
        <v>0</v>
      </c>
      <c r="AD114" s="25" t="n">
        <v>0</v>
      </c>
      <c r="AE114" s="25" t="n">
        <v>0</v>
      </c>
      <c r="AF114" s="25" t="n">
        <v>1190.31</v>
      </c>
      <c r="AG114" s="25" t="n">
        <v>0</v>
      </c>
      <c r="AH114" s="25" t="n">
        <v>1</v>
      </c>
      <c r="AI114" s="25" t="inlineStr">
        <is>
          <t>B</t>
        </is>
      </c>
      <c r="AJ114" s="25" t="n">
        <v>1</v>
      </c>
      <c r="AK114" s="25" t="n">
        <v>1190.31</v>
      </c>
      <c r="AL114" s="26" t="n">
        <v>46035.63680555556</v>
      </c>
      <c r="AM114" s="26" t="n">
        <v>46035.63680555556</v>
      </c>
      <c r="AN114" s="25" t="inlineStr">
        <is>
          <t>LIGAÇÃO</t>
        </is>
      </c>
      <c r="AO114" s="25" t="inlineStr">
        <is>
          <t>PRÉ-VENDA | Henrique vai inagurar em fevereiro, ofertei 20% off no primeiro pedido e degustação pra ele fazer</t>
        </is>
      </c>
      <c r="AP114" s="27">
        <f>IF(AH114="","",IF(AH114=0,"PROSPECT",IF(AH114=1,"NOVO",IF(AH114&lt;=3,"EM DESENVOLVIMENTO",IF(AH114&lt;=6,"RECORRENTE","FIDELIZADO")))))</f>
        <v/>
      </c>
      <c r="AQ114" s="27">
        <f>IF(AJ114=0,0,IFERROR(SUM(U114:AF114)/AJ114,0))</f>
        <v/>
      </c>
      <c r="AS114" s="0" t="inlineStr">
        <is>
          <t>Carteira FEV/26 + Ecom FEV/26 + Vendas FEV/26 + ABC FEV/26</t>
        </is>
      </c>
    </row>
    <row r="115" ht="14.25" customHeight="1" s="16">
      <c r="A115" s="25" t="inlineStr">
        <is>
          <t>VIVA PORTO DE GALINHAS RESORT</t>
        </is>
      </c>
      <c r="B115" s="25" t="inlineStr">
        <is>
          <t>00939085000178</t>
        </is>
      </c>
      <c r="C115" s="25" t="inlineStr">
        <is>
          <t>PORT-GALI HOTELARIA E TURISMO LTDA</t>
        </is>
      </c>
      <c r="D115" s="25" t="inlineStr">
        <is>
          <t>PE</t>
        </is>
      </c>
      <c r="E115" s="25" t="inlineStr">
        <is>
          <t>IPOJUCA</t>
        </is>
      </c>
      <c r="F115" s="25" t="inlineStr">
        <is>
          <t>compras3@solarportodegalinhas.com.br</t>
        </is>
      </c>
      <c r="G115" s="25" t="inlineStr">
        <is>
          <t>+55 (81) 8491-6989 | +55 (81) 98866-3616 (KLEBER)</t>
        </is>
      </c>
      <c r="H115" s="25" t="inlineStr">
        <is>
          <t>23/04/2025</t>
        </is>
      </c>
      <c r="I115" s="25" t="n"/>
      <c r="J115" s="25" t="inlineStr">
        <is>
          <t>LARISSA PADILHA</t>
        </is>
      </c>
      <c r="K115" s="25" t="inlineStr">
        <is>
          <t>Larissa Padilha</t>
        </is>
      </c>
      <c r="L115" s="25" t="n">
        <v>9</v>
      </c>
      <c r="M115" s="25" t="inlineStr">
        <is>
          <t>06/02/2026</t>
        </is>
      </c>
      <c r="N115" s="25" t="n">
        <v>6354.6</v>
      </c>
      <c r="O115" s="25" t="n">
        <v>1</v>
      </c>
      <c r="P115" s="25" t="inlineStr">
        <is>
          <t>Sim</t>
        </is>
      </c>
      <c r="Q115" s="25" t="n">
        <v>141</v>
      </c>
      <c r="R115" s="25" t="n">
        <v>24</v>
      </c>
      <c r="S115" s="25" t="n">
        <v>51045.49</v>
      </c>
      <c r="T115" s="25" t="inlineStr">
        <is>
          <t>COMPRA B2B</t>
        </is>
      </c>
      <c r="U115" s="25" t="n">
        <v>0</v>
      </c>
      <c r="V115" s="25" t="n">
        <v>5026.2</v>
      </c>
      <c r="W115" s="25" t="n">
        <v>0</v>
      </c>
      <c r="X115" s="25" t="n">
        <v>5040</v>
      </c>
      <c r="Y115" s="25" t="n">
        <v>0</v>
      </c>
      <c r="Z115" s="25" t="n">
        <v>0</v>
      </c>
      <c r="AA115" s="25" t="n">
        <v>5260.84</v>
      </c>
      <c r="AB115" s="25" t="n">
        <v>10920</v>
      </c>
      <c r="AC115" s="25" t="n">
        <v>5686.46</v>
      </c>
      <c r="AD115" s="25" t="n">
        <v>8377.389999999999</v>
      </c>
      <c r="AE115" s="25" t="n">
        <v>15300</v>
      </c>
      <c r="AF115" s="25" t="n">
        <v>6354.6</v>
      </c>
      <c r="AG115" s="25" t="n">
        <v>28.8</v>
      </c>
      <c r="AH115" s="25" t="n">
        <v>10</v>
      </c>
      <c r="AI115" s="25" t="inlineStr">
        <is>
          <t>A</t>
        </is>
      </c>
      <c r="AJ115" s="25" t="n">
        <v>8</v>
      </c>
      <c r="AK115" s="25" t="n">
        <v>6196.55</v>
      </c>
      <c r="AL115" s="26" t="n">
        <v>46058.68055555555</v>
      </c>
      <c r="AM115" s="26" t="n">
        <v>46058.68055555555</v>
      </c>
      <c r="AN115" s="25" t="inlineStr">
        <is>
          <t>WHATSAPP</t>
        </is>
      </c>
      <c r="AO115" s="25" t="inlineStr">
        <is>
          <t>NUTRIÇÃO | Envio da campanha do mês</t>
        </is>
      </c>
      <c r="AP115" s="27">
        <f>IF(AH115="","",IF(AH115=0,"PROSPECT",IF(AH115=1,"NOVO",IF(AH115&lt;=3,"EM DESENVOLVIMENTO",IF(AH115&lt;=6,"RECORRENTE","FIDELIZADO")))))</f>
        <v/>
      </c>
      <c r="AQ115" s="27">
        <f>IF(AJ115=0,0,IFERROR(SUM(U115:AF115)/AJ115,0))</f>
        <v/>
      </c>
      <c r="AS115" s="0" t="inlineStr">
        <is>
          <t>Carteira FEV/26 + Atend FEV/26 + Ecom FEV/26 + Vendas FEV/26 + ABC FEV/26</t>
        </is>
      </c>
    </row>
    <row r="116" ht="14.25" customHeight="1" s="16">
      <c r="A116" s="25" t="inlineStr">
        <is>
          <t>49.844.222 LUIS CARLOS VIEIRA</t>
        </is>
      </c>
      <c r="B116" s="25" t="inlineStr">
        <is>
          <t>49844222000180</t>
        </is>
      </c>
      <c r="C116" s="25" t="inlineStr">
        <is>
          <t>49.844.222 LUIS CARLOS VIEIRA</t>
        </is>
      </c>
      <c r="D116" s="25" t="inlineStr">
        <is>
          <t>SP</t>
        </is>
      </c>
      <c r="E116" s="25" t="inlineStr">
        <is>
          <t>SOROCABA</t>
        </is>
      </c>
      <c r="F116" s="25" t="inlineStr">
        <is>
          <t>ecomitre@gmail.com</t>
        </is>
      </c>
      <c r="G116" s="25" t="inlineStr">
        <is>
          <t>+55 (15) 99706-3738</t>
        </is>
      </c>
      <c r="H116" s="25" t="inlineStr">
        <is>
          <t>29/05/2025</t>
        </is>
      </c>
      <c r="I116" s="25" t="n"/>
      <c r="J116" s="25" t="inlineStr">
        <is>
          <t>LARISSA PADILHA</t>
        </is>
      </c>
      <c r="K116" s="25" t="inlineStr">
        <is>
          <t>Larissa Padilha</t>
        </is>
      </c>
      <c r="L116" s="25" t="n">
        <v>75</v>
      </c>
      <c r="M116" s="25" t="inlineStr">
        <is>
          <t>02/12/2025</t>
        </is>
      </c>
      <c r="N116" s="25" t="n">
        <v>897.14</v>
      </c>
      <c r="O116" s="25" t="n"/>
      <c r="P116" s="25" t="n"/>
      <c r="Q116" s="25" t="n"/>
      <c r="R116" s="25" t="n"/>
      <c r="S116" s="25" t="n"/>
      <c r="T116" s="25" t="n"/>
      <c r="U116" s="25" t="n">
        <v>0</v>
      </c>
      <c r="V116" s="25" t="n">
        <v>0</v>
      </c>
      <c r="W116" s="25" t="n">
        <v>661.5</v>
      </c>
      <c r="X116" s="25" t="n">
        <v>0</v>
      </c>
      <c r="Y116" s="25" t="n">
        <v>0</v>
      </c>
      <c r="Z116" s="25" t="n">
        <v>725.05</v>
      </c>
      <c r="AA116" s="25" t="n">
        <v>659.66</v>
      </c>
      <c r="AB116" s="25" t="n">
        <v>659.66</v>
      </c>
      <c r="AC116" s="25" t="n">
        <v>0</v>
      </c>
      <c r="AD116" s="25" t="n">
        <v>897.14</v>
      </c>
      <c r="AE116" s="25" t="n">
        <v>0</v>
      </c>
      <c r="AF116" s="25" t="n">
        <v>0</v>
      </c>
      <c r="AG116" s="25" t="n">
        <v>62.3333</v>
      </c>
      <c r="AH116" s="25" t="n">
        <v>4</v>
      </c>
      <c r="AI116" s="25" t="inlineStr">
        <is>
          <t>A</t>
        </is>
      </c>
      <c r="AJ116" s="25" t="n">
        <v>5</v>
      </c>
      <c r="AK116" s="25" t="n">
        <v>900.75</v>
      </c>
      <c r="AL116" s="26" t="n">
        <v>46058.61388888889</v>
      </c>
      <c r="AM116" s="26" t="n">
        <v>46058.61388888889</v>
      </c>
      <c r="AN116" s="25" t="inlineStr">
        <is>
          <t>WHATSAPP</t>
        </is>
      </c>
      <c r="AO116" s="25" t="inlineStr">
        <is>
          <t>NUTRIÇÃO | Envio da campanha do mês</t>
        </is>
      </c>
      <c r="AP116" s="27">
        <f>IF(AH116="","",IF(AH116=0,"PROSPECT",IF(AH116=1,"NOVO",IF(AH116&lt;=3,"EM DESENVOLVIMENTO",IF(AH116&lt;=6,"RECORRENTE","FIDELIZADO")))))</f>
        <v/>
      </c>
      <c r="AQ116" s="27">
        <f>IF(AJ116=0,0,IFERROR(SUM(U116:AF116)/AJ116,0))</f>
        <v/>
      </c>
      <c r="AS116" s="0" t="inlineStr">
        <is>
          <t>Carteira FEV/26 + Atend FEV/26</t>
        </is>
      </c>
    </row>
    <row r="117" ht="14.25" customHeight="1" s="16">
      <c r="A117" s="25" t="inlineStr">
        <is>
          <t>53.692.717 DIOMARA BASTOS MARCELO DE OLIVA</t>
        </is>
      </c>
      <c r="B117" s="25" t="inlineStr">
        <is>
          <t>53692717000108</t>
        </is>
      </c>
      <c r="C117" s="25" t="inlineStr">
        <is>
          <t>53.692.717 DIOMARA BASTOS MARCELO DE OLIVA</t>
        </is>
      </c>
      <c r="D117" s="25" t="inlineStr">
        <is>
          <t>SP</t>
        </is>
      </c>
      <c r="E117" s="25" t="inlineStr">
        <is>
          <t>GUARATINGUETA</t>
        </is>
      </c>
      <c r="F117" s="25" t="inlineStr">
        <is>
          <t>loja.cipodaterra@gmail.com</t>
        </is>
      </c>
      <c r="G117" s="25" t="inlineStr">
        <is>
          <t>+55 (12) 98199-1010</t>
        </is>
      </c>
      <c r="H117" s="25" t="inlineStr">
        <is>
          <t>25/11/2025</t>
        </is>
      </c>
      <c r="I117" s="25" t="n"/>
      <c r="J117" s="25" t="inlineStr">
        <is>
          <t>JULIO GADRET</t>
        </is>
      </c>
      <c r="K117" s="25" t="inlineStr">
        <is>
          <t>Julio  Gadret</t>
        </is>
      </c>
      <c r="L117" s="25" t="n">
        <v>79</v>
      </c>
      <c r="M117" s="25" t="inlineStr">
        <is>
          <t>28/11/2025</t>
        </is>
      </c>
      <c r="N117" s="25" t="n">
        <v>2615.08</v>
      </c>
      <c r="O117" s="25" t="n">
        <v>3</v>
      </c>
      <c r="P117" s="25" t="inlineStr">
        <is>
          <t>Sim</t>
        </is>
      </c>
      <c r="Q117" s="25" t="n">
        <v>131</v>
      </c>
      <c r="R117" s="25" t="n"/>
      <c r="S117" s="25" t="n"/>
      <c r="T117" s="25" t="n"/>
      <c r="U117" s="25" t="n">
        <v>0</v>
      </c>
      <c r="V117" s="25" t="n">
        <v>0</v>
      </c>
      <c r="W117" s="25" t="n">
        <v>0</v>
      </c>
      <c r="X117" s="25" t="n">
        <v>0</v>
      </c>
      <c r="Y117" s="25" t="n">
        <v>0</v>
      </c>
      <c r="Z117" s="25" t="n">
        <v>0</v>
      </c>
      <c r="AA117" s="25" t="n">
        <v>0</v>
      </c>
      <c r="AB117" s="25" t="n">
        <v>0</v>
      </c>
      <c r="AC117" s="25" t="n">
        <v>2615.08</v>
      </c>
      <c r="AD117" s="25" t="n">
        <v>0</v>
      </c>
      <c r="AE117" s="25" t="n">
        <v>0</v>
      </c>
      <c r="AF117" s="25" t="n">
        <v>0</v>
      </c>
      <c r="AG117" s="25" t="n">
        <v>0</v>
      </c>
      <c r="AH117" s="25" t="n">
        <v>0</v>
      </c>
      <c r="AI117" s="25" t="inlineStr">
        <is>
          <t>A</t>
        </is>
      </c>
      <c r="AJ117" s="25" t="n">
        <v>1</v>
      </c>
      <c r="AK117" s="25" t="n">
        <v>0</v>
      </c>
      <c r="AL117" s="26" t="n">
        <v>45986.70833333334</v>
      </c>
      <c r="AM117" s="26" t="n">
        <v>45986.70833333334</v>
      </c>
      <c r="AN117" s="25" t="inlineStr">
        <is>
          <t>WHATSAPP</t>
        </is>
      </c>
      <c r="AO117" s="25" t="inlineStr">
        <is>
          <t>André e Diomara do evento impacto estou com eles no meu whats pessoal</t>
        </is>
      </c>
      <c r="AP117" s="27">
        <f>IF(AH117="","",IF(AH117=0,"PROSPECT",IF(AH117=1,"NOVO",IF(AH117&lt;=3,"EM DESENVOLVIMENTO",IF(AH117&lt;=6,"RECORRENTE","FIDELIZADO")))))</f>
        <v/>
      </c>
      <c r="AQ117" s="27">
        <f>IF(AJ117=0,0,IFERROR(SUM(U117:AF117)/AJ117,0))</f>
        <v/>
      </c>
      <c r="AS117" s="0" t="inlineStr">
        <is>
          <t>Carteira FEV/26 + Ecom FEV/26</t>
        </is>
      </c>
    </row>
    <row r="118" ht="14.25" customHeight="1" s="16">
      <c r="A118" s="25" t="inlineStr">
        <is>
          <t>54.758.201 MICAELLE DE MORAES BALDUCI</t>
        </is>
      </c>
      <c r="B118" s="25" t="inlineStr">
        <is>
          <t>54758201000181</t>
        </is>
      </c>
      <c r="C118" s="25" t="inlineStr">
        <is>
          <t>54.758.201 MICAELLE DE MORAES BALDUCI</t>
        </is>
      </c>
      <c r="D118" s="25" t="inlineStr">
        <is>
          <t>SP</t>
        </is>
      </c>
      <c r="E118" s="25" t="inlineStr">
        <is>
          <t>PROMISSAO</t>
        </is>
      </c>
      <c r="F118" s="25" t="inlineStr">
        <is>
          <t>emporiobalducci@gmail.com</t>
        </is>
      </c>
      <c r="G118" s="25" t="inlineStr">
        <is>
          <t>+55 (17) 98830-7140</t>
        </is>
      </c>
      <c r="H118" s="25" t="inlineStr">
        <is>
          <t>24/11/2025</t>
        </is>
      </c>
      <c r="I118" s="25" t="n"/>
      <c r="J118" s="25" t="inlineStr">
        <is>
          <t>LARISSA PADILHA</t>
        </is>
      </c>
      <c r="K118" s="25" t="inlineStr">
        <is>
          <t>Larissa Padilha</t>
        </is>
      </c>
      <c r="L118" s="25" t="n">
        <v>80</v>
      </c>
      <c r="M118" s="25" t="inlineStr">
        <is>
          <t>27/11/2025</t>
        </is>
      </c>
      <c r="N118" s="25" t="n">
        <v>3545.87</v>
      </c>
      <c r="O118" s="25" t="n">
        <v>1</v>
      </c>
      <c r="P118" s="25" t="inlineStr">
        <is>
          <t>Sim</t>
        </is>
      </c>
      <c r="Q118" s="25" t="n">
        <v>63</v>
      </c>
      <c r="R118" s="25" t="n">
        <v>19</v>
      </c>
      <c r="S118" s="25" t="n">
        <v>3545.87</v>
      </c>
      <c r="T118" s="25" t="inlineStr">
        <is>
          <t>COMPRA B2B</t>
        </is>
      </c>
      <c r="U118" s="25" t="n">
        <v>0</v>
      </c>
      <c r="V118" s="25" t="n">
        <v>0</v>
      </c>
      <c r="W118" s="25" t="n">
        <v>0</v>
      </c>
      <c r="X118" s="25" t="n">
        <v>0</v>
      </c>
      <c r="Y118" s="25" t="n">
        <v>0</v>
      </c>
      <c r="Z118" s="25" t="n">
        <v>0</v>
      </c>
      <c r="AA118" s="25" t="n">
        <v>0</v>
      </c>
      <c r="AB118" s="25" t="n">
        <v>0</v>
      </c>
      <c r="AC118" s="25" t="n">
        <v>3545.87</v>
      </c>
      <c r="AD118" s="25" t="n">
        <v>0</v>
      </c>
      <c r="AE118" s="25" t="n">
        <v>0</v>
      </c>
      <c r="AF118" s="25" t="n">
        <v>0</v>
      </c>
      <c r="AG118" s="25" t="n">
        <v>0</v>
      </c>
      <c r="AH118" s="25" t="n">
        <v>0</v>
      </c>
      <c r="AI118" s="25" t="inlineStr">
        <is>
          <t>A</t>
        </is>
      </c>
      <c r="AJ118" s="25" t="n">
        <v>1</v>
      </c>
      <c r="AK118" s="25" t="n">
        <v>0</v>
      </c>
      <c r="AL118" s="26" t="n">
        <v>46056.62569444445</v>
      </c>
      <c r="AM118" s="26" t="n">
        <v>46056.62569444445</v>
      </c>
      <c r="AN118" s="25" t="inlineStr">
        <is>
          <t>WHATSAPP</t>
        </is>
      </c>
      <c r="AO118" s="25" t="inlineStr">
        <is>
          <t>NUTRIÇÃO | Enviado campanha do mês</t>
        </is>
      </c>
      <c r="AP118" s="27">
        <f>IF(AH118="","",IF(AH118=0,"PROSPECT",IF(AH118=1,"NOVO",IF(AH118&lt;=3,"EM DESENVOLVIMENTO",IF(AH118&lt;=6,"RECORRENTE","FIDELIZADO")))))</f>
        <v/>
      </c>
      <c r="AQ118" s="27">
        <f>IF(AJ118=0,0,IFERROR(SUM(U118:AF118)/AJ118,0))</f>
        <v/>
      </c>
      <c r="AS118" s="0" t="inlineStr">
        <is>
          <t>Carteira FEV/26 + Atend FEV/26</t>
        </is>
      </c>
    </row>
    <row r="119" ht="14.25" customHeight="1" s="16">
      <c r="A119" s="25" t="inlineStr">
        <is>
          <t>58.188.486 TERESINHA PEREIRA DA SILVA NETA</t>
        </is>
      </c>
      <c r="B119" s="25" t="inlineStr">
        <is>
          <t>58188486000113</t>
        </is>
      </c>
      <c r="C119" s="25" t="inlineStr">
        <is>
          <t>58.188.486 TERESINHA PEREIRA DA SILVA NETA</t>
        </is>
      </c>
      <c r="D119" s="25" t="inlineStr">
        <is>
          <t>TO</t>
        </is>
      </c>
      <c r="E119" s="25" t="inlineStr">
        <is>
          <t>PALMAS</t>
        </is>
      </c>
      <c r="F119" s="25" t="inlineStr">
        <is>
          <t>Teresinha.netaa@gmail.com</t>
        </is>
      </c>
      <c r="G119" s="25" t="inlineStr">
        <is>
          <t>+55 (63) 8144-3572</t>
        </is>
      </c>
      <c r="H119" s="25" t="inlineStr">
        <is>
          <t>18/07/2025</t>
        </is>
      </c>
      <c r="I119" s="25" t="n"/>
      <c r="J119" s="25" t="inlineStr">
        <is>
          <t>LARISSA PADILHA</t>
        </is>
      </c>
      <c r="K119" s="25" t="inlineStr">
        <is>
          <t>Larissa Padilha</t>
        </is>
      </c>
      <c r="L119" s="25" t="n">
        <v>74</v>
      </c>
      <c r="M119" s="25" t="inlineStr">
        <is>
          <t>03/12/2025</t>
        </is>
      </c>
      <c r="N119" s="25" t="n">
        <v>650.02</v>
      </c>
      <c r="O119" s="25" t="n"/>
      <c r="P119" s="25" t="n"/>
      <c r="Q119" s="25" t="n"/>
      <c r="R119" s="25" t="n"/>
      <c r="S119" s="25" t="n"/>
      <c r="T119" s="25" t="n"/>
      <c r="U119" s="25" t="n">
        <v>0</v>
      </c>
      <c r="V119" s="25" t="n">
        <v>0</v>
      </c>
      <c r="W119" s="25" t="n">
        <v>0</v>
      </c>
      <c r="X119" s="25" t="n">
        <v>0</v>
      </c>
      <c r="Y119" s="25" t="n">
        <v>1184.36</v>
      </c>
      <c r="Z119" s="25" t="n">
        <v>0</v>
      </c>
      <c r="AA119" s="25" t="n">
        <v>0</v>
      </c>
      <c r="AB119" s="25" t="n">
        <v>0</v>
      </c>
      <c r="AC119" s="25" t="n">
        <v>0</v>
      </c>
      <c r="AD119" s="25" t="n">
        <v>650.02</v>
      </c>
      <c r="AE119" s="25" t="n">
        <v>0</v>
      </c>
      <c r="AF119" s="25" t="n">
        <v>0</v>
      </c>
      <c r="AG119" s="25" t="n">
        <v>131</v>
      </c>
      <c r="AH119" s="25" t="n">
        <v>2</v>
      </c>
      <c r="AI119" s="25" t="inlineStr">
        <is>
          <t>B</t>
        </is>
      </c>
      <c r="AJ119" s="25" t="n">
        <v>2</v>
      </c>
      <c r="AK119" s="25" t="n">
        <v>917.1900000000001</v>
      </c>
      <c r="AL119" s="26" t="n">
        <v>46058.59027777778</v>
      </c>
      <c r="AM119" s="26" t="n">
        <v>46058.59027777778</v>
      </c>
      <c r="AN119" s="25" t="inlineStr">
        <is>
          <t>WHATSAPP</t>
        </is>
      </c>
      <c r="AO119" s="25" t="inlineStr">
        <is>
          <t>SUPORTE | Teresinha fará um novo pedido, enviar bonificação, ficaram 10 snacks que vencem esse mês</t>
        </is>
      </c>
      <c r="AP119" s="27">
        <f>IF(AH119="","",IF(AH119=0,"PROSPECT",IF(AH119=1,"NOVO",IF(AH119&lt;=3,"EM DESENVOLVIMENTO",IF(AH119&lt;=6,"RECORRENTE","FIDELIZADO")))))</f>
        <v/>
      </c>
      <c r="AQ119" s="27">
        <f>IF(AJ119=0,0,IFERROR(SUM(U119:AF119)/AJ119,0))</f>
        <v/>
      </c>
      <c r="AS119" s="0" t="inlineStr">
        <is>
          <t>Carteira FEV/26 + Atend FEV/26</t>
        </is>
      </c>
    </row>
    <row r="120" ht="14.25" customHeight="1" s="16">
      <c r="A120" s="25" t="inlineStr">
        <is>
          <t>A.E PRODUTOS NATURAIS LTDA</t>
        </is>
      </c>
      <c r="B120" s="25" t="inlineStr">
        <is>
          <t>51721657000189</t>
        </is>
      </c>
      <c r="C120" s="25" t="inlineStr">
        <is>
          <t>A.E PRODUTOS NATURAIS LTDA</t>
        </is>
      </c>
      <c r="D120" s="25" t="inlineStr">
        <is>
          <t>PR</t>
        </is>
      </c>
      <c r="E120" s="25" t="inlineStr">
        <is>
          <t>TOLEDO</t>
        </is>
      </c>
      <c r="F120" s="25" t="inlineStr">
        <is>
          <t>loja.toledopr@redevidaleve.com.br</t>
        </is>
      </c>
      <c r="G120" s="25" t="inlineStr">
        <is>
          <t>+55 (45) 99804-6060 (ANDRE DONO)</t>
        </is>
      </c>
      <c r="H120" s="25" t="inlineStr">
        <is>
          <t>18/11/2025</t>
        </is>
      </c>
      <c r="I120" s="25" t="inlineStr">
        <is>
          <t>VIDA LEVE</t>
        </is>
      </c>
      <c r="J120" s="25" t="inlineStr">
        <is>
          <t>DAIANE STAVICKI</t>
        </is>
      </c>
      <c r="K120" s="25" t="inlineStr">
        <is>
          <t>Central - Daiane</t>
        </is>
      </c>
      <c r="L120" s="25" t="n">
        <v>88</v>
      </c>
      <c r="M120" s="25" t="inlineStr">
        <is>
          <t>19/11/2025</t>
        </is>
      </c>
      <c r="N120" s="25" t="n">
        <v>2098.89</v>
      </c>
      <c r="O120" s="25" t="n"/>
      <c r="P120" s="25" t="n"/>
      <c r="Q120" s="25" t="n"/>
      <c r="R120" s="25" t="n"/>
      <c r="S120" s="25" t="n"/>
      <c r="T120" s="25" t="n"/>
      <c r="U120" s="25" t="n">
        <v>0</v>
      </c>
      <c r="V120" s="25" t="n">
        <v>0</v>
      </c>
      <c r="W120" s="25" t="n">
        <v>0</v>
      </c>
      <c r="X120" s="25" t="n">
        <v>0</v>
      </c>
      <c r="Y120" s="25" t="n">
        <v>0</v>
      </c>
      <c r="Z120" s="25" t="n">
        <v>0</v>
      </c>
      <c r="AA120" s="25" t="n">
        <v>0</v>
      </c>
      <c r="AB120" s="25" t="n">
        <v>0</v>
      </c>
      <c r="AC120" s="25" t="n">
        <v>2098.89</v>
      </c>
      <c r="AD120" s="25" t="n">
        <v>0</v>
      </c>
      <c r="AE120" s="25" t="n">
        <v>0</v>
      </c>
      <c r="AF120" s="25" t="n">
        <v>0</v>
      </c>
      <c r="AG120" s="25" t="n">
        <v>0</v>
      </c>
      <c r="AH120" s="25" t="n">
        <v>0</v>
      </c>
      <c r="AI120" s="25" t="inlineStr">
        <is>
          <t>B</t>
        </is>
      </c>
      <c r="AJ120" s="25" t="n">
        <v>1</v>
      </c>
      <c r="AK120" s="25" t="n">
        <v>0</v>
      </c>
      <c r="AL120" s="26" t="n">
        <v>46050.4875</v>
      </c>
      <c r="AM120" s="26" t="n">
        <v>46050.4875</v>
      </c>
      <c r="AN120" s="25" t="inlineStr">
        <is>
          <t>LIGAÇÃO</t>
        </is>
      </c>
      <c r="AO120" s="25" t="inlineStr">
        <is>
          <t>INAGURA 2 SEMANA DE FEVEREIRO</t>
        </is>
      </c>
      <c r="AP120" s="27">
        <f>IF(AH120="","",IF(AH120=0,"PROSPECT",IF(AH120=1,"NOVO",IF(AH120&lt;=3,"EM DESENVOLVIMENTO",IF(AH120&lt;=6,"RECORRENTE","FIDELIZADO")))))</f>
        <v/>
      </c>
      <c r="AQ120" s="27">
        <f>IF(AJ120=0,0,IFERROR(SUM(U120:AF120)/AJ120,0))</f>
        <v/>
      </c>
      <c r="AS120" s="0" t="inlineStr">
        <is>
          <t>Carteira FEV/26</t>
        </is>
      </c>
    </row>
    <row r="121" ht="14.25" customHeight="1" s="16">
      <c r="A121" s="25" t="inlineStr">
        <is>
          <t>ALECRIM &amp; TOMILHO - PRODUTOS NATURAIS</t>
        </is>
      </c>
      <c r="B121" s="25" t="inlineStr">
        <is>
          <t>32365782000159</t>
        </is>
      </c>
      <c r="C121" s="25" t="inlineStr">
        <is>
          <t>ALECRIM &amp; TOMILHO PRODUTOS NATURAIS LTDA</t>
        </is>
      </c>
      <c r="D121" s="25" t="inlineStr">
        <is>
          <t>SP</t>
        </is>
      </c>
      <c r="E121" s="25" t="inlineStr">
        <is>
          <t>SALTO</t>
        </is>
      </c>
      <c r="F121" s="25" t="inlineStr">
        <is>
          <t>alecrimetomilho@outlook.com.br</t>
        </is>
      </c>
      <c r="G121" s="25" t="inlineStr">
        <is>
          <t>+55 (11) 98263-6370</t>
        </is>
      </c>
      <c r="H121" s="25" t="inlineStr">
        <is>
          <t>08/10/2024</t>
        </is>
      </c>
      <c r="I121" s="25" t="n"/>
      <c r="J121" s="25" t="inlineStr">
        <is>
          <t>JULIO GADRET</t>
        </is>
      </c>
      <c r="K121" s="25" t="inlineStr">
        <is>
          <t>Julio  Gadret</t>
        </is>
      </c>
      <c r="L121" s="25" t="n">
        <v>82</v>
      </c>
      <c r="M121" s="25" t="inlineStr">
        <is>
          <t>25/11/2025</t>
        </is>
      </c>
      <c r="N121" s="25" t="n">
        <v>2378.6</v>
      </c>
      <c r="O121" s="25" t="n"/>
      <c r="P121" s="25" t="n"/>
      <c r="Q121" s="25" t="n"/>
      <c r="R121" s="25" t="n"/>
      <c r="S121" s="25" t="n"/>
      <c r="T121" s="25" t="n"/>
      <c r="U121" s="25" t="n">
        <v>0</v>
      </c>
      <c r="V121" s="25" t="n">
        <v>0</v>
      </c>
      <c r="W121" s="25" t="n">
        <v>0</v>
      </c>
      <c r="X121" s="25" t="n">
        <v>0</v>
      </c>
      <c r="Y121" s="25" t="n">
        <v>0</v>
      </c>
      <c r="Z121" s="25" t="n">
        <v>0</v>
      </c>
      <c r="AA121" s="25" t="n">
        <v>0</v>
      </c>
      <c r="AB121" s="25" t="n">
        <v>0</v>
      </c>
      <c r="AC121" s="25" t="n">
        <v>2378.6</v>
      </c>
      <c r="AD121" s="25" t="n">
        <v>0</v>
      </c>
      <c r="AE121" s="25" t="n">
        <v>0</v>
      </c>
      <c r="AF121" s="25" t="n">
        <v>0</v>
      </c>
      <c r="AG121" s="25" t="n">
        <v>0</v>
      </c>
      <c r="AH121" s="25" t="n">
        <v>0</v>
      </c>
      <c r="AI121" s="25" t="inlineStr">
        <is>
          <t>B</t>
        </is>
      </c>
      <c r="AJ121" s="25" t="n">
        <v>1</v>
      </c>
      <c r="AK121" s="25" t="n">
        <v>0</v>
      </c>
      <c r="AL121" s="25" t="n"/>
      <c r="AM121" s="25" t="n"/>
      <c r="AN121" s="25" t="n"/>
      <c r="AO121" s="25" t="n"/>
      <c r="AP121" s="27">
        <f>IF(AH121="","",IF(AH121=0,"PROSPECT",IF(AH121=1,"NOVO",IF(AH121&lt;=3,"EM DESENVOLVIMENTO",IF(AH121&lt;=6,"RECORRENTE","FIDELIZADO")))))</f>
        <v/>
      </c>
      <c r="AQ121" s="27">
        <f>IF(AJ121=0,0,IFERROR(SUM(U121:AF121)/AJ121,0))</f>
        <v/>
      </c>
      <c r="AS121" s="0" t="inlineStr">
        <is>
          <t>Carteira FEV/26</t>
        </is>
      </c>
    </row>
    <row r="122" ht="14.25" customHeight="1" s="16">
      <c r="A122" s="25" t="inlineStr">
        <is>
          <t>ARMAZEM SAO JUDAS TADEU</t>
        </is>
      </c>
      <c r="B122" s="25" t="inlineStr">
        <is>
          <t>46992372000142</t>
        </is>
      </c>
      <c r="C122" s="25" t="inlineStr">
        <is>
          <t>H. S. PRODUTOS NATURAIS LTDA</t>
        </is>
      </c>
      <c r="D122" s="25" t="inlineStr">
        <is>
          <t>SP</t>
        </is>
      </c>
      <c r="E122" s="25" t="inlineStr">
        <is>
          <t>SANTOS</t>
        </is>
      </c>
      <c r="F122" s="25" t="inlineStr">
        <is>
          <t>hsprodutosnaturais@gmail.com</t>
        </is>
      </c>
      <c r="G122" s="25" t="inlineStr">
        <is>
          <t>+55 (13) 99673-3279</t>
        </is>
      </c>
      <c r="H122" s="25" t="inlineStr">
        <is>
          <t>08/10/2024</t>
        </is>
      </c>
      <c r="I122" s="25" t="n"/>
      <c r="J122" s="25" t="inlineStr">
        <is>
          <t>LARISSA PADILHA</t>
        </is>
      </c>
      <c r="K122" s="25" t="inlineStr">
        <is>
          <t>Larissa Padilha</t>
        </is>
      </c>
      <c r="L122" s="25" t="n">
        <v>69</v>
      </c>
      <c r="M122" s="25" t="inlineStr">
        <is>
          <t>08/12/2025</t>
        </is>
      </c>
      <c r="N122" s="25" t="n">
        <v>926.96</v>
      </c>
      <c r="O122" s="25" t="n"/>
      <c r="P122" s="25" t="n"/>
      <c r="Q122" s="25" t="n"/>
      <c r="R122" s="25" t="n"/>
      <c r="S122" s="25" t="n"/>
      <c r="T122" s="25" t="n"/>
      <c r="U122" s="25" t="n">
        <v>0</v>
      </c>
      <c r="V122" s="25" t="n">
        <v>0</v>
      </c>
      <c r="W122" s="25" t="n">
        <v>0</v>
      </c>
      <c r="X122" s="25" t="n">
        <v>0</v>
      </c>
      <c r="Y122" s="25" t="n">
        <v>2287.64</v>
      </c>
      <c r="Z122" s="25" t="n">
        <v>0</v>
      </c>
      <c r="AA122" s="25" t="n">
        <v>0</v>
      </c>
      <c r="AB122" s="25" t="n">
        <v>0</v>
      </c>
      <c r="AC122" s="25" t="n">
        <v>0</v>
      </c>
      <c r="AD122" s="25" t="n">
        <v>926.96</v>
      </c>
      <c r="AE122" s="25" t="n">
        <v>0</v>
      </c>
      <c r="AF122" s="25" t="n">
        <v>0</v>
      </c>
      <c r="AG122" s="25" t="n">
        <v>140</v>
      </c>
      <c r="AH122" s="25" t="n">
        <v>2</v>
      </c>
      <c r="AI122" s="25" t="inlineStr">
        <is>
          <t>A</t>
        </is>
      </c>
      <c r="AJ122" s="25" t="n">
        <v>2</v>
      </c>
      <c r="AK122" s="25" t="n">
        <v>1607.3</v>
      </c>
      <c r="AL122" s="26" t="n">
        <v>46057.47569444445</v>
      </c>
      <c r="AM122" s="26" t="n">
        <v>46057.47569444445</v>
      </c>
      <c r="AN122" s="25" t="inlineStr">
        <is>
          <t>WHATSAPP</t>
        </is>
      </c>
      <c r="AO122" s="25" t="inlineStr">
        <is>
          <t>PÓS-VENDA</t>
        </is>
      </c>
      <c r="AP122" s="27">
        <f>IF(AH122="","",IF(AH122=0,"PROSPECT",IF(AH122=1,"NOVO",IF(AH122&lt;=3,"EM DESENVOLVIMENTO",IF(AH122&lt;=6,"RECORRENTE","FIDELIZADO")))))</f>
        <v/>
      </c>
      <c r="AQ122" s="27">
        <f>IF(AJ122=0,0,IFERROR(SUM(U122:AF122)/AJ122,0))</f>
        <v/>
      </c>
      <c r="AS122" s="0" t="inlineStr">
        <is>
          <t>Carteira FEV/26 + Atend FEV/26</t>
        </is>
      </c>
    </row>
    <row r="123" ht="14.25" customHeight="1" s="16">
      <c r="A123" s="25" t="inlineStr">
        <is>
          <t>ASSOCIACAO DE PAIS E AMIGOS DOS EXCEPCIONAIS DE S PAULO</t>
        </is>
      </c>
      <c r="B123" s="25" t="inlineStr">
        <is>
          <t>60502242000105</t>
        </is>
      </c>
      <c r="C123" s="25" t="inlineStr">
        <is>
          <t>ASSOCIACAO DE PAIS E AMIGOS DOS EXCEPCIONAIS DE S PAULO</t>
        </is>
      </c>
      <c r="D123" s="25" t="inlineStr">
        <is>
          <t>SP</t>
        </is>
      </c>
      <c r="E123" s="25" t="inlineStr">
        <is>
          <t>SAO PAULO</t>
        </is>
      </c>
      <c r="F123" s="25" t="inlineStr">
        <is>
          <t>leonardo.rocha@ijc.org.br</t>
        </is>
      </c>
      <c r="G123" s="25" t="inlineStr">
        <is>
          <t>+55 (11) 5080-7165</t>
        </is>
      </c>
      <c r="H123" s="25" t="inlineStr">
        <is>
          <t>06/05/2025</t>
        </is>
      </c>
      <c r="I123" s="25" t="n"/>
      <c r="J123" s="25" t="inlineStr">
        <is>
          <t>LARISSA PADILHA</t>
        </is>
      </c>
      <c r="K123" s="25" t="inlineStr">
        <is>
          <t>Larissa Padilha</t>
        </is>
      </c>
      <c r="L123" s="25" t="n">
        <v>73</v>
      </c>
      <c r="M123" s="25" t="inlineStr">
        <is>
          <t>04/12/2025</t>
        </is>
      </c>
      <c r="N123" s="25" t="n">
        <v>997.5</v>
      </c>
      <c r="O123" s="25" t="n"/>
      <c r="P123" s="25" t="n"/>
      <c r="Q123" s="25" t="n"/>
      <c r="R123" s="25" t="n"/>
      <c r="S123" s="25" t="n"/>
      <c r="T123" s="25" t="n"/>
      <c r="U123" s="25" t="n">
        <v>0</v>
      </c>
      <c r="V123" s="25" t="n">
        <v>0</v>
      </c>
      <c r="W123" s="25" t="n">
        <v>1734</v>
      </c>
      <c r="X123" s="25" t="n">
        <v>0</v>
      </c>
      <c r="Y123" s="25" t="n">
        <v>0</v>
      </c>
      <c r="Z123" s="25" t="n">
        <v>2040.89</v>
      </c>
      <c r="AA123" s="25" t="n">
        <v>0</v>
      </c>
      <c r="AB123" s="25" t="n">
        <v>1200</v>
      </c>
      <c r="AC123" s="25" t="n">
        <v>0</v>
      </c>
      <c r="AD123" s="25" t="n">
        <v>997.5</v>
      </c>
      <c r="AE123" s="25" t="n">
        <v>0</v>
      </c>
      <c r="AF123" s="25" t="n">
        <v>0</v>
      </c>
      <c r="AG123" s="25" t="n">
        <v>69.66670000000001</v>
      </c>
      <c r="AH123" s="25" t="n">
        <v>4</v>
      </c>
      <c r="AI123" s="25" t="inlineStr">
        <is>
          <t>A</t>
        </is>
      </c>
      <c r="AJ123" s="25" t="n">
        <v>4</v>
      </c>
      <c r="AK123" s="25" t="n">
        <v>1493.1</v>
      </c>
      <c r="AL123" s="26" t="n">
        <v>46029.59722222222</v>
      </c>
      <c r="AM123" s="26" t="n">
        <v>46029.59722222222</v>
      </c>
      <c r="AN123" s="25" t="inlineStr">
        <is>
          <t>WHATSAPP</t>
        </is>
      </c>
      <c r="AO123" s="25" t="inlineStr">
        <is>
          <t>SUPORTE | Marcelo se irritou com demora na entrega (Jadlog) e solicitou contato de distribuidor local</t>
        </is>
      </c>
      <c r="AP123" s="27">
        <f>IF(AH123="","",IF(AH123=0,"PROSPECT",IF(AH123=1,"NOVO",IF(AH123&lt;=3,"EM DESENVOLVIMENTO",IF(AH123&lt;=6,"RECORRENTE","FIDELIZADO")))))</f>
        <v/>
      </c>
      <c r="AQ123" s="27">
        <f>IF(AJ123=0,0,IFERROR(SUM(U123:AF123)/AJ123,0))</f>
        <v/>
      </c>
      <c r="AS123" s="0" t="inlineStr">
        <is>
          <t>Carteira FEV/26</t>
        </is>
      </c>
    </row>
    <row r="124" ht="14.25" customHeight="1" s="16">
      <c r="A124" s="25" t="inlineStr">
        <is>
          <t>AVILA SUPLEMENTOS ALIMENTICIOS LTDA</t>
        </is>
      </c>
      <c r="B124" s="25" t="inlineStr">
        <is>
          <t>16966212000249</t>
        </is>
      </c>
      <c r="C124" s="25" t="inlineStr">
        <is>
          <t>AVILA SUPLEMENTOS ALIMENTICIOS LTDA</t>
        </is>
      </c>
      <c r="D124" s="25" t="inlineStr">
        <is>
          <t>SC</t>
        </is>
      </c>
      <c r="E124" s="25" t="inlineStr">
        <is>
          <t>CRICIUMA</t>
        </is>
      </c>
      <c r="F124" s="25" t="inlineStr">
        <is>
          <t>atendimentoavila@hotmail.com</t>
        </is>
      </c>
      <c r="G124" s="25" t="inlineStr">
        <is>
          <t>+55 (48) 8804-1731 (ROSANGELA)</t>
        </is>
      </c>
      <c r="H124" s="25" t="inlineStr">
        <is>
          <t>23/09/2025</t>
        </is>
      </c>
      <c r="I124" s="25" t="inlineStr">
        <is>
          <t>CIA DA SAUDE</t>
        </is>
      </c>
      <c r="J124" s="25" t="inlineStr">
        <is>
          <t>JULIO GADRET</t>
        </is>
      </c>
      <c r="K124" s="25" t="inlineStr">
        <is>
          <t>Julio  Gadret</t>
        </is>
      </c>
      <c r="L124" s="25" t="n">
        <v>82</v>
      </c>
      <c r="M124" s="25" t="inlineStr">
        <is>
          <t>25/11/2025</t>
        </is>
      </c>
      <c r="N124" s="25" t="n">
        <v>784.09</v>
      </c>
      <c r="O124" s="25" t="n"/>
      <c r="P124" s="25" t="n"/>
      <c r="Q124" s="25" t="n"/>
      <c r="R124" s="25" t="n"/>
      <c r="S124" s="25" t="n"/>
      <c r="T124" s="25" t="n"/>
      <c r="U124" s="25" t="n">
        <v>0</v>
      </c>
      <c r="V124" s="25" t="n">
        <v>0</v>
      </c>
      <c r="W124" s="25" t="n">
        <v>0</v>
      </c>
      <c r="X124" s="25" t="n">
        <v>0</v>
      </c>
      <c r="Y124" s="25" t="n">
        <v>0</v>
      </c>
      <c r="Z124" s="25" t="n">
        <v>0</v>
      </c>
      <c r="AA124" s="25" t="n">
        <v>0</v>
      </c>
      <c r="AB124" s="25" t="n">
        <v>0</v>
      </c>
      <c r="AC124" s="25" t="n">
        <v>784.09</v>
      </c>
      <c r="AD124" s="25" t="n">
        <v>0</v>
      </c>
      <c r="AE124" s="25" t="n">
        <v>0</v>
      </c>
      <c r="AF124" s="25" t="n">
        <v>0</v>
      </c>
      <c r="AG124" s="25" t="n">
        <v>0</v>
      </c>
      <c r="AH124" s="25" t="n">
        <v>0</v>
      </c>
      <c r="AI124" s="25" t="inlineStr">
        <is>
          <t>C</t>
        </is>
      </c>
      <c r="AJ124" s="25" t="n">
        <v>1</v>
      </c>
      <c r="AK124" s="25" t="n">
        <v>0</v>
      </c>
      <c r="AL124" s="25" t="n"/>
      <c r="AM124" s="25" t="n"/>
      <c r="AN124" s="25" t="n"/>
      <c r="AO124" s="25" t="n"/>
      <c r="AP124" s="27">
        <f>IF(AH124="","",IF(AH124=0,"PROSPECT",IF(AH124=1,"NOVO",IF(AH124&lt;=3,"EM DESENVOLVIMENTO",IF(AH124&lt;=6,"RECORRENTE","FIDELIZADO")))))</f>
        <v/>
      </c>
      <c r="AQ124" s="27">
        <f>IF(AJ124=0,0,IFERROR(SUM(U124:AF124)/AJ124,0))</f>
        <v/>
      </c>
      <c r="AS124" s="0" t="inlineStr">
        <is>
          <t>Carteira FEV/26</t>
        </is>
      </c>
    </row>
    <row r="125" ht="14.25" customHeight="1" s="16">
      <c r="A125" s="25" t="inlineStr">
        <is>
          <t>BARRAQUINHA DA MACA LTDA</t>
        </is>
      </c>
      <c r="B125" s="25" t="inlineStr">
        <is>
          <t>08888228000171</t>
        </is>
      </c>
      <c r="C125" s="25" t="inlineStr">
        <is>
          <t>BARRAQUINHA DA MACA LTDA</t>
        </is>
      </c>
      <c r="D125" s="25" t="inlineStr">
        <is>
          <t>SC</t>
        </is>
      </c>
      <c r="E125" s="25" t="inlineStr">
        <is>
          <t>BALNEARIO CAMBORIU</t>
        </is>
      </c>
      <c r="F125" s="25" t="inlineStr">
        <is>
          <t>barraquinha@gmail.com</t>
        </is>
      </c>
      <c r="G125" s="25" t="inlineStr">
        <is>
          <t>+55 (47) 9978-0533</t>
        </is>
      </c>
      <c r="H125" s="25" t="inlineStr">
        <is>
          <t>28/08/2025</t>
        </is>
      </c>
      <c r="I125" s="25" t="n"/>
      <c r="J125" s="25" t="inlineStr">
        <is>
          <t>MANU DITZEL</t>
        </is>
      </c>
      <c r="K125" s="25" t="inlineStr">
        <is>
          <t>Manu Ditzel</t>
        </is>
      </c>
      <c r="L125" s="25" t="n">
        <v>82</v>
      </c>
      <c r="M125" s="25" t="inlineStr">
        <is>
          <t>25/11/2025</t>
        </is>
      </c>
      <c r="N125" s="25" t="n">
        <v>2111.62</v>
      </c>
      <c r="O125" s="25" t="n">
        <v>1</v>
      </c>
      <c r="P125" s="25" t="inlineStr">
        <is>
          <t>Sim</t>
        </is>
      </c>
      <c r="Q125" s="25" t="n">
        <v>10</v>
      </c>
      <c r="R125" s="25" t="n"/>
      <c r="S125" s="25" t="n"/>
      <c r="T125" s="25" t="n"/>
      <c r="U125" s="25" t="n">
        <v>0</v>
      </c>
      <c r="V125" s="25" t="n">
        <v>0</v>
      </c>
      <c r="W125" s="25" t="n">
        <v>0</v>
      </c>
      <c r="X125" s="25" t="n">
        <v>0</v>
      </c>
      <c r="Y125" s="25" t="n">
        <v>0</v>
      </c>
      <c r="Z125" s="25" t="n">
        <v>0</v>
      </c>
      <c r="AA125" s="25" t="n">
        <v>0</v>
      </c>
      <c r="AB125" s="25" t="n">
        <v>0</v>
      </c>
      <c r="AC125" s="25" t="n">
        <v>2111.62</v>
      </c>
      <c r="AD125" s="25" t="n">
        <v>0</v>
      </c>
      <c r="AE125" s="25" t="n">
        <v>0</v>
      </c>
      <c r="AF125" s="25" t="n">
        <v>0</v>
      </c>
      <c r="AG125" s="25" t="n">
        <v>0</v>
      </c>
      <c r="AH125" s="25" t="n">
        <v>0</v>
      </c>
      <c r="AI125" s="25" t="inlineStr">
        <is>
          <t>B</t>
        </is>
      </c>
      <c r="AJ125" s="25" t="n">
        <v>1</v>
      </c>
      <c r="AK125" s="25" t="n">
        <v>0</v>
      </c>
      <c r="AL125" s="26" t="n">
        <v>46066.62222222222</v>
      </c>
      <c r="AM125" s="26" t="n">
        <v>46066.62222222222</v>
      </c>
      <c r="AN125" s="25" t="inlineStr">
        <is>
          <t>WHATSAPP</t>
        </is>
      </c>
      <c r="AO125" s="28" t="inlineStr">
        <is>
          <t>cliente esta com muito movimento, região de praia, não consegue fechar pedido agora</t>
        </is>
      </c>
      <c r="AP125" s="27">
        <f>IF(AH125="","",IF(AH125=0,"PROSPECT",IF(AH125=1,"NOVO",IF(AH125&lt;=3,"EM DESENVOLVIMENTO",IF(AH125&lt;=6,"RECORRENTE","FIDELIZADO")))))</f>
        <v/>
      </c>
      <c r="AQ125" s="27">
        <f>IF(AJ125=0,0,IFERROR(SUM(U125:AF125)/AJ125,0))</f>
        <v/>
      </c>
      <c r="AS125" s="0" t="inlineStr">
        <is>
          <t>Carteira FEV/26 + Atend FEV/26</t>
        </is>
      </c>
    </row>
    <row r="126" ht="14.25" customHeight="1" s="16">
      <c r="A126" s="25" t="inlineStr">
        <is>
          <t>BELA SAUDE</t>
        </is>
      </c>
      <c r="B126" s="25" t="inlineStr">
        <is>
          <t>54606760000176</t>
        </is>
      </c>
      <c r="C126" s="25" t="inlineStr">
        <is>
          <t>BELA SAUDE PRODUTOS NATURAIS LTDA</t>
        </is>
      </c>
      <c r="D126" s="25" t="inlineStr">
        <is>
          <t>SP</t>
        </is>
      </c>
      <c r="E126" s="25" t="inlineStr">
        <is>
          <t>SAO PAULO</t>
        </is>
      </c>
      <c r="F126" s="25" t="inlineStr">
        <is>
          <t>bellasaudepn@outlook.com</t>
        </is>
      </c>
      <c r="G126" s="25" t="inlineStr">
        <is>
          <t>+55 (11) 98056-5198</t>
        </is>
      </c>
      <c r="H126" s="25" t="inlineStr">
        <is>
          <t>26/11/2025</t>
        </is>
      </c>
      <c r="I126" s="25" t="n"/>
      <c r="J126" s="25" t="inlineStr">
        <is>
          <t>DAIANE STAVICKI</t>
        </is>
      </c>
      <c r="K126" s="25" t="inlineStr">
        <is>
          <t>Central - Daiane</t>
        </is>
      </c>
      <c r="L126" s="25" t="n">
        <v>80</v>
      </c>
      <c r="M126" s="25" t="inlineStr">
        <is>
          <t>27/11/2025</t>
        </is>
      </c>
      <c r="N126" s="25" t="n">
        <v>1110.39</v>
      </c>
      <c r="O126" s="25" t="n">
        <v>2</v>
      </c>
      <c r="P126" s="25" t="inlineStr">
        <is>
          <t>Sim</t>
        </is>
      </c>
      <c r="Q126" s="25" t="n">
        <v>33</v>
      </c>
      <c r="R126" s="25" t="n">
        <v>8</v>
      </c>
      <c r="S126" s="25" t="n">
        <v>1110.39</v>
      </c>
      <c r="T126" s="25" t="inlineStr">
        <is>
          <t>COMPRA B2B</t>
        </is>
      </c>
      <c r="U126" s="25" t="n">
        <v>0</v>
      </c>
      <c r="V126" s="25" t="n">
        <v>0</v>
      </c>
      <c r="W126" s="25" t="n">
        <v>0</v>
      </c>
      <c r="X126" s="25" t="n">
        <v>0</v>
      </c>
      <c r="Y126" s="25" t="n">
        <v>0</v>
      </c>
      <c r="Z126" s="25" t="n">
        <v>0</v>
      </c>
      <c r="AA126" s="25" t="n">
        <v>0</v>
      </c>
      <c r="AB126" s="25" t="n">
        <v>0</v>
      </c>
      <c r="AC126" s="25" t="n">
        <v>1110.39</v>
      </c>
      <c r="AD126" s="25" t="n">
        <v>0</v>
      </c>
      <c r="AE126" s="25" t="n">
        <v>0</v>
      </c>
      <c r="AF126" s="25" t="n">
        <v>0</v>
      </c>
      <c r="AG126" s="25" t="n">
        <v>0</v>
      </c>
      <c r="AH126" s="25" t="n">
        <v>0</v>
      </c>
      <c r="AI126" s="25" t="inlineStr">
        <is>
          <t>C</t>
        </is>
      </c>
      <c r="AJ126" s="25" t="n">
        <v>1</v>
      </c>
      <c r="AK126" s="25" t="n">
        <v>0</v>
      </c>
      <c r="AL126" s="25" t="n"/>
      <c r="AM126" s="25" t="n"/>
      <c r="AN126" s="25" t="n"/>
      <c r="AO126" s="25" t="n"/>
      <c r="AP126" s="27">
        <f>IF(AH126="","",IF(AH126=0,"PROSPECT",IF(AH126=1,"NOVO",IF(AH126&lt;=3,"EM DESENVOLVIMENTO",IF(AH126&lt;=6,"RECORRENTE","FIDELIZADO")))))</f>
        <v/>
      </c>
      <c r="AQ126" s="27">
        <f>IF(AJ126=0,0,IFERROR(SUM(U126:AF126)/AJ126,0))</f>
        <v/>
      </c>
      <c r="AS126" s="0" t="inlineStr">
        <is>
          <t>Carteira FEV/26</t>
        </is>
      </c>
    </row>
    <row r="127" ht="14.25" customHeight="1" s="16">
      <c r="A127" s="25" t="inlineStr">
        <is>
          <t>BELLA NATURA PRODUTOS NATURAIS</t>
        </is>
      </c>
      <c r="B127" s="25" t="inlineStr">
        <is>
          <t>49733252000119</t>
        </is>
      </c>
      <c r="C127" s="25" t="inlineStr">
        <is>
          <t>49.733.252 MARIA MADALENA ANDRADE SILVA CARRARA TAVARES</t>
        </is>
      </c>
      <c r="D127" s="25" t="inlineStr">
        <is>
          <t>MG</t>
        </is>
      </c>
      <c r="E127" s="25" t="inlineStr">
        <is>
          <t>JUIZ DE FORA</t>
        </is>
      </c>
      <c r="F127" s="25" t="inlineStr">
        <is>
          <t>BellaNatura.adm@gmail.com</t>
        </is>
      </c>
      <c r="G127" s="25" t="inlineStr">
        <is>
          <t>+55 (32) 8705-1662</t>
        </is>
      </c>
      <c r="H127" s="25" t="inlineStr">
        <is>
          <t>08/10/2024</t>
        </is>
      </c>
      <c r="I127" s="25" t="n"/>
      <c r="J127" s="25" t="inlineStr">
        <is>
          <t>JULIO GADRET</t>
        </is>
      </c>
      <c r="K127" s="25" t="inlineStr">
        <is>
          <t>Julio  Gadret</t>
        </is>
      </c>
      <c r="L127" s="25" t="n">
        <v>81</v>
      </c>
      <c r="M127" s="25" t="inlineStr">
        <is>
          <t>26/11/2025</t>
        </is>
      </c>
      <c r="N127" s="25" t="n">
        <v>728.92</v>
      </c>
      <c r="O127" s="25" t="n">
        <v>4</v>
      </c>
      <c r="P127" s="25" t="inlineStr">
        <is>
          <t>Sim</t>
        </is>
      </c>
      <c r="Q127" s="25" t="n">
        <v>25</v>
      </c>
      <c r="R127" s="25" t="n">
        <v>6</v>
      </c>
      <c r="S127" s="25" t="n">
        <v>728.92</v>
      </c>
      <c r="T127" s="25" t="inlineStr">
        <is>
          <t>COMPRA B2B</t>
        </is>
      </c>
      <c r="U127" s="25" t="n">
        <v>0</v>
      </c>
      <c r="V127" s="25" t="n">
        <v>0</v>
      </c>
      <c r="W127" s="25" t="n">
        <v>0</v>
      </c>
      <c r="X127" s="25" t="n">
        <v>0</v>
      </c>
      <c r="Y127" s="25" t="n">
        <v>0</v>
      </c>
      <c r="Z127" s="25" t="n">
        <v>0</v>
      </c>
      <c r="AA127" s="25" t="n">
        <v>0</v>
      </c>
      <c r="AB127" s="25" t="n">
        <v>0</v>
      </c>
      <c r="AC127" s="25" t="n">
        <v>728.92</v>
      </c>
      <c r="AD127" s="25" t="n">
        <v>0</v>
      </c>
      <c r="AE127" s="25" t="n">
        <v>0</v>
      </c>
      <c r="AF127" s="25" t="n">
        <v>0</v>
      </c>
      <c r="AG127" s="25" t="n">
        <v>0</v>
      </c>
      <c r="AH127" s="25" t="n">
        <v>0</v>
      </c>
      <c r="AI127" s="25" t="inlineStr">
        <is>
          <t>C</t>
        </is>
      </c>
      <c r="AJ127" s="25" t="n">
        <v>1</v>
      </c>
      <c r="AK127" s="25" t="n">
        <v>0</v>
      </c>
      <c r="AL127" s="25" t="n"/>
      <c r="AM127" s="25" t="n"/>
      <c r="AN127" s="25" t="n"/>
      <c r="AO127" s="25" t="n"/>
      <c r="AP127" s="27">
        <f>IF(AH127="","",IF(AH127=0,"PROSPECT",IF(AH127=1,"NOVO",IF(AH127&lt;=3,"EM DESENVOLVIMENTO",IF(AH127&lt;=6,"RECORRENTE","FIDELIZADO")))))</f>
        <v/>
      </c>
      <c r="AQ127" s="27">
        <f>IF(AJ127=0,0,IFERROR(SUM(U127:AF127)/AJ127,0))</f>
        <v/>
      </c>
      <c r="AS127" s="0" t="inlineStr">
        <is>
          <t>Carteira FEV/26 + Ecom FEV/26</t>
        </is>
      </c>
    </row>
    <row r="128" ht="14.25" customHeight="1" s="16">
      <c r="A128" s="25" t="inlineStr">
        <is>
          <t>BELLA VIDA</t>
        </is>
      </c>
      <c r="B128" s="25" t="inlineStr">
        <is>
          <t>43144817000146</t>
        </is>
      </c>
      <c r="C128" s="25" t="inlineStr">
        <is>
          <t>P. RAMOS COMERCIO DE PRODUTOS ALIMENTICIOS</t>
        </is>
      </c>
      <c r="D128" s="25" t="inlineStr">
        <is>
          <t>SP</t>
        </is>
      </c>
      <c r="E128" s="25" t="inlineStr">
        <is>
          <t>LIMEIRA</t>
        </is>
      </c>
      <c r="F128" s="25" t="inlineStr">
        <is>
          <t>bellavidasbo@gmail.com</t>
        </is>
      </c>
      <c r="G128" s="25" t="inlineStr">
        <is>
          <t>+55 (19) 3495-7166 | +55 (19) 98330-3078</t>
        </is>
      </c>
      <c r="H128" s="25" t="inlineStr">
        <is>
          <t>25/11/2025</t>
        </is>
      </c>
      <c r="I128" s="25" t="n"/>
      <c r="J128" s="25" t="inlineStr">
        <is>
          <t>JULIO GADRET</t>
        </is>
      </c>
      <c r="K128" s="25" t="inlineStr">
        <is>
          <t>Julio  Gadret</t>
        </is>
      </c>
      <c r="L128" s="25" t="n">
        <v>82</v>
      </c>
      <c r="M128" s="25" t="inlineStr">
        <is>
          <t>25/11/2025</t>
        </is>
      </c>
      <c r="N128" s="25" t="n">
        <v>780.29</v>
      </c>
      <c r="O128" s="25" t="n">
        <v>4</v>
      </c>
      <c r="P128" s="25" t="inlineStr">
        <is>
          <t>Sim</t>
        </is>
      </c>
      <c r="Q128" s="25" t="n">
        <v>55</v>
      </c>
      <c r="R128" s="25" t="n">
        <v>10</v>
      </c>
      <c r="S128" s="25" t="n">
        <v>780.29</v>
      </c>
      <c r="T128" s="25" t="inlineStr">
        <is>
          <t>COMPRA B2B</t>
        </is>
      </c>
      <c r="U128" s="25" t="n">
        <v>0</v>
      </c>
      <c r="V128" s="25" t="n">
        <v>0</v>
      </c>
      <c r="W128" s="25" t="n">
        <v>0</v>
      </c>
      <c r="X128" s="25" t="n">
        <v>0</v>
      </c>
      <c r="Y128" s="25" t="n">
        <v>0</v>
      </c>
      <c r="Z128" s="25" t="n">
        <v>0</v>
      </c>
      <c r="AA128" s="25" t="n">
        <v>0</v>
      </c>
      <c r="AB128" s="25" t="n">
        <v>0</v>
      </c>
      <c r="AC128" s="25" t="n">
        <v>780.29</v>
      </c>
      <c r="AD128" s="25" t="n">
        <v>0</v>
      </c>
      <c r="AE128" s="25" t="n">
        <v>0</v>
      </c>
      <c r="AF128" s="25" t="n">
        <v>0</v>
      </c>
      <c r="AG128" s="25" t="n">
        <v>0</v>
      </c>
      <c r="AH128" s="25" t="n">
        <v>0</v>
      </c>
      <c r="AI128" s="25" t="inlineStr">
        <is>
          <t>C</t>
        </is>
      </c>
      <c r="AJ128" s="25" t="n">
        <v>1</v>
      </c>
      <c r="AK128" s="25" t="n">
        <v>0</v>
      </c>
      <c r="AL128" s="25" t="n"/>
      <c r="AM128" s="25" t="n"/>
      <c r="AN128" s="25" t="n"/>
      <c r="AO128" s="25" t="n"/>
      <c r="AP128" s="27">
        <f>IF(AH128="","",IF(AH128=0,"PROSPECT",IF(AH128=1,"NOVO",IF(AH128&lt;=3,"EM DESENVOLVIMENTO",IF(AH128&lt;=6,"RECORRENTE","FIDELIZADO")))))</f>
        <v/>
      </c>
      <c r="AQ128" s="27">
        <f>IF(AJ128=0,0,IFERROR(SUM(U128:AF128)/AJ128,0))</f>
        <v/>
      </c>
      <c r="AS128" s="0" t="inlineStr">
        <is>
          <t>Carteira FEV/26</t>
        </is>
      </c>
    </row>
    <row r="129" ht="14.25" customHeight="1" s="16">
      <c r="A129" s="25" t="inlineStr">
        <is>
          <t>BELLA VITA - CAFE</t>
        </is>
      </c>
      <c r="B129" s="25" t="inlineStr">
        <is>
          <t>39251980000130</t>
        </is>
      </c>
      <c r="C129" s="25" t="inlineStr">
        <is>
          <t>LARISSA AYUMI KAKIHATA 08094869976</t>
        </is>
      </c>
      <c r="D129" s="25" t="inlineStr">
        <is>
          <t>PR</t>
        </is>
      </c>
      <c r="E129" s="25" t="inlineStr">
        <is>
          <t>ARAPONGAS</t>
        </is>
      </c>
      <c r="F129" s="25" t="inlineStr">
        <is>
          <t>bellavitaadm@gmail.com</t>
        </is>
      </c>
      <c r="G129" s="25" t="inlineStr">
        <is>
          <t>+55 (44) 99119-1151</t>
        </is>
      </c>
      <c r="H129" s="25" t="inlineStr">
        <is>
          <t>08/10/2024</t>
        </is>
      </c>
      <c r="I129" s="25" t="n"/>
      <c r="J129" s="25" t="inlineStr">
        <is>
          <t>MANU DITZEL</t>
        </is>
      </c>
      <c r="K129" s="25" t="inlineStr">
        <is>
          <t>Manu Ditzel</t>
        </is>
      </c>
      <c r="L129" s="25" t="n">
        <v>76</v>
      </c>
      <c r="M129" s="25" t="inlineStr">
        <is>
          <t>01/12/2025</t>
        </is>
      </c>
      <c r="N129" s="25" t="n">
        <v>1458.94</v>
      </c>
      <c r="O129" s="25" t="n"/>
      <c r="P129" s="25" t="inlineStr">
        <is>
          <t>Sim</t>
        </is>
      </c>
      <c r="Q129" s="25" t="n">
        <v>22</v>
      </c>
      <c r="R129" s="25" t="n">
        <v>6</v>
      </c>
      <c r="S129" s="25" t="n">
        <v>2917.88</v>
      </c>
      <c r="T129" s="25" t="inlineStr">
        <is>
          <t>COMPRA B2B</t>
        </is>
      </c>
      <c r="U129" s="25" t="n">
        <v>0</v>
      </c>
      <c r="V129" s="25" t="n">
        <v>0</v>
      </c>
      <c r="W129" s="25" t="n">
        <v>0</v>
      </c>
      <c r="X129" s="25" t="n">
        <v>0</v>
      </c>
      <c r="Y129" s="25" t="n">
        <v>2102.89</v>
      </c>
      <c r="Z129" s="25" t="n">
        <v>0</v>
      </c>
      <c r="AA129" s="25" t="n">
        <v>0</v>
      </c>
      <c r="AB129" s="25" t="n">
        <v>1882.58</v>
      </c>
      <c r="AC129" s="25" t="n">
        <v>0</v>
      </c>
      <c r="AD129" s="25" t="n">
        <v>1458.94</v>
      </c>
      <c r="AE129" s="25" t="n">
        <v>0</v>
      </c>
      <c r="AF129" s="25" t="n">
        <v>0</v>
      </c>
      <c r="AG129" s="25" t="n">
        <v>65</v>
      </c>
      <c r="AH129" s="25" t="n">
        <v>3</v>
      </c>
      <c r="AI129" s="25" t="inlineStr">
        <is>
          <t>A</t>
        </is>
      </c>
      <c r="AJ129" s="25" t="n">
        <v>3</v>
      </c>
      <c r="AK129" s="25" t="n">
        <v>1814.8</v>
      </c>
      <c r="AL129" s="26" t="n">
        <v>46063.67222222222</v>
      </c>
      <c r="AM129" s="26" t="n">
        <v>46063.67222222222</v>
      </c>
      <c r="AN129" s="25" t="inlineStr">
        <is>
          <t>WHATSAPP</t>
        </is>
      </c>
      <c r="AO129" s="28" t="inlineStr">
        <is>
          <t>CLIENTE PRECISA SOMENTE PARA A SEGUNDA QUINZENA DE FEVEREIRO</t>
        </is>
      </c>
      <c r="AP129" s="27">
        <f>IF(AH129="","",IF(AH129=0,"PROSPECT",IF(AH129=1,"NOVO",IF(AH129&lt;=3,"EM DESENVOLVIMENTO",IF(AH129&lt;=6,"RECORRENTE","FIDELIZADO")))))</f>
        <v/>
      </c>
      <c r="AQ129" s="27">
        <f>IF(AJ129=0,0,IFERROR(SUM(U129:AF129)/AJ129,0))</f>
        <v/>
      </c>
      <c r="AS129" s="0" t="inlineStr">
        <is>
          <t>Carteira FEV/26 + Atend FEV/26</t>
        </is>
      </c>
    </row>
    <row r="130" ht="14.25" customHeight="1" s="16">
      <c r="A130" s="25" t="inlineStr">
        <is>
          <t>CASA MACHADO LTDA</t>
        </is>
      </c>
      <c r="B130" s="25" t="inlineStr">
        <is>
          <t>62253704000123</t>
        </is>
      </c>
      <c r="C130" s="25" t="inlineStr">
        <is>
          <t>CASA MACHADO LTDA</t>
        </is>
      </c>
      <c r="D130" s="25" t="inlineStr">
        <is>
          <t>GO</t>
        </is>
      </c>
      <c r="E130" s="25" t="inlineStr">
        <is>
          <t>GOIANIA</t>
        </is>
      </c>
      <c r="F130" s="25" t="inlineStr">
        <is>
          <t>Rjmachadorodrigues@gmail.com</t>
        </is>
      </c>
      <c r="G130" s="25" t="inlineStr">
        <is>
          <t>+55 (62) 98275-0512</t>
        </is>
      </c>
      <c r="H130" s="25" t="inlineStr">
        <is>
          <t>25/11/2025</t>
        </is>
      </c>
      <c r="I130" s="25" t="n"/>
      <c r="J130" s="25" t="inlineStr">
        <is>
          <t>JULIO GADRET</t>
        </is>
      </c>
      <c r="K130" s="25" t="inlineStr">
        <is>
          <t>Julio  Gadret</t>
        </is>
      </c>
      <c r="L130" s="25" t="n">
        <v>79</v>
      </c>
      <c r="M130" s="25" t="inlineStr">
        <is>
          <t>28/11/2025</t>
        </is>
      </c>
      <c r="N130" s="25" t="n">
        <v>3830.17</v>
      </c>
      <c r="O130" s="25" t="n">
        <v>1</v>
      </c>
      <c r="P130" s="25" t="inlineStr">
        <is>
          <t>Sim</t>
        </is>
      </c>
      <c r="Q130" s="25" t="n">
        <v>42</v>
      </c>
      <c r="R130" s="25" t="n">
        <v>19</v>
      </c>
      <c r="S130" s="25" t="n">
        <v>3830.17</v>
      </c>
      <c r="T130" s="25" t="inlineStr">
        <is>
          <t>COMPRA B2B</t>
        </is>
      </c>
      <c r="U130" s="25" t="n">
        <v>0</v>
      </c>
      <c r="V130" s="25" t="n">
        <v>0</v>
      </c>
      <c r="W130" s="25" t="n">
        <v>0</v>
      </c>
      <c r="X130" s="25" t="n">
        <v>0</v>
      </c>
      <c r="Y130" s="25" t="n">
        <v>0</v>
      </c>
      <c r="Z130" s="25" t="n">
        <v>0</v>
      </c>
      <c r="AA130" s="25" t="n">
        <v>0</v>
      </c>
      <c r="AB130" s="25" t="n">
        <v>0</v>
      </c>
      <c r="AC130" s="25" t="n">
        <v>3830.17</v>
      </c>
      <c r="AD130" s="25" t="n">
        <v>0</v>
      </c>
      <c r="AE130" s="25" t="n">
        <v>0</v>
      </c>
      <c r="AF130" s="25" t="n">
        <v>0</v>
      </c>
      <c r="AG130" s="25" t="n">
        <v>0</v>
      </c>
      <c r="AH130" s="25" t="n">
        <v>0</v>
      </c>
      <c r="AI130" s="25" t="inlineStr">
        <is>
          <t>A</t>
        </is>
      </c>
      <c r="AJ130" s="25" t="n">
        <v>1</v>
      </c>
      <c r="AK130" s="25" t="n">
        <v>0</v>
      </c>
      <c r="AL130" s="25" t="n"/>
      <c r="AM130" s="25" t="n"/>
      <c r="AN130" s="25" t="n"/>
      <c r="AO130" s="25" t="n"/>
      <c r="AP130" s="27">
        <f>IF(AH130="","",IF(AH130=0,"PROSPECT",IF(AH130=1,"NOVO",IF(AH130&lt;=3,"EM DESENVOLVIMENTO",IF(AH130&lt;=6,"RECORRENTE","FIDELIZADO")))))</f>
        <v/>
      </c>
      <c r="AQ130" s="27">
        <f>IF(AJ130=0,0,IFERROR(SUM(U130:AF130)/AJ130,0))</f>
        <v/>
      </c>
      <c r="AS130" s="0" t="inlineStr">
        <is>
          <t>Carteira FEV/26</t>
        </is>
      </c>
    </row>
    <row r="131" ht="14.25" customHeight="1" s="16">
      <c r="A131" s="25" t="inlineStr">
        <is>
          <t>CELEIRO CERRADO</t>
        </is>
      </c>
      <c r="B131" s="25" t="inlineStr">
        <is>
          <t>21599262000194</t>
        </is>
      </c>
      <c r="C131" s="25" t="inlineStr">
        <is>
          <t>AMELIA SOARES CAZUMBA PERES</t>
        </is>
      </c>
      <c r="D131" s="25" t="inlineStr">
        <is>
          <t>GO</t>
        </is>
      </c>
      <c r="E131" s="25" t="inlineStr">
        <is>
          <t>APARECIDA DE GOIANIA</t>
        </is>
      </c>
      <c r="F131" s="25" t="inlineStr">
        <is>
          <t>celeirocerrado@gmail.com</t>
        </is>
      </c>
      <c r="G131" s="25" t="inlineStr">
        <is>
          <t>+55 (62) 99567-9045</t>
        </is>
      </c>
      <c r="H131" s="25" t="inlineStr">
        <is>
          <t>08/10/2024</t>
        </is>
      </c>
      <c r="I131" s="25" t="n"/>
      <c r="J131" s="25" t="inlineStr">
        <is>
          <t>JULIO GADRET</t>
        </is>
      </c>
      <c r="K131" s="25" t="inlineStr">
        <is>
          <t>Julio  Gadret</t>
        </is>
      </c>
      <c r="L131" s="25" t="n">
        <v>79</v>
      </c>
      <c r="M131" s="25" t="inlineStr">
        <is>
          <t>28/11/2025</t>
        </is>
      </c>
      <c r="N131" s="25" t="n">
        <v>1118.88</v>
      </c>
      <c r="O131" s="25" t="n">
        <v>4</v>
      </c>
      <c r="P131" s="25" t="inlineStr">
        <is>
          <t>Sim</t>
        </is>
      </c>
      <c r="Q131" s="25" t="n">
        <v>13</v>
      </c>
      <c r="R131" s="25" t="n">
        <v>5</v>
      </c>
      <c r="S131" s="25" t="n">
        <v>1118.88</v>
      </c>
      <c r="T131" s="25" t="inlineStr">
        <is>
          <t>COMPRA B2B</t>
        </is>
      </c>
      <c r="U131" s="25" t="n">
        <v>0</v>
      </c>
      <c r="V131" s="25" t="n">
        <v>0</v>
      </c>
      <c r="W131" s="25" t="n">
        <v>0</v>
      </c>
      <c r="X131" s="25" t="n">
        <v>0</v>
      </c>
      <c r="Y131" s="25" t="n">
        <v>0</v>
      </c>
      <c r="Z131" s="25" t="n">
        <v>0</v>
      </c>
      <c r="AA131" s="25" t="n">
        <v>0</v>
      </c>
      <c r="AB131" s="25" t="n">
        <v>0</v>
      </c>
      <c r="AC131" s="25" t="n">
        <v>1118.88</v>
      </c>
      <c r="AD131" s="25" t="n">
        <v>0</v>
      </c>
      <c r="AE131" s="25" t="n">
        <v>0</v>
      </c>
      <c r="AF131" s="25" t="n">
        <v>0</v>
      </c>
      <c r="AG131" s="25" t="n">
        <v>0</v>
      </c>
      <c r="AH131" s="25" t="n">
        <v>0</v>
      </c>
      <c r="AI131" s="25" t="inlineStr">
        <is>
          <t>B</t>
        </is>
      </c>
      <c r="AJ131" s="25" t="n">
        <v>1</v>
      </c>
      <c r="AK131" s="25" t="n">
        <v>0</v>
      </c>
      <c r="AL131" s="25" t="n"/>
      <c r="AM131" s="25" t="n"/>
      <c r="AN131" s="25" t="n"/>
      <c r="AO131" s="25" t="n"/>
      <c r="AP131" s="27">
        <f>IF(AH131="","",IF(AH131=0,"PROSPECT",IF(AH131=1,"NOVO",IF(AH131&lt;=3,"EM DESENVOLVIMENTO",IF(AH131&lt;=6,"RECORRENTE","FIDELIZADO")))))</f>
        <v/>
      </c>
      <c r="AQ131" s="27">
        <f>IF(AJ131=0,0,IFERROR(SUM(U131:AF131)/AJ131,0))</f>
        <v/>
      </c>
      <c r="AS131" s="0" t="inlineStr">
        <is>
          <t>Carteira FEV/26</t>
        </is>
      </c>
    </row>
    <row r="132" ht="14.25" customHeight="1" s="16">
      <c r="A132" s="25" t="inlineStr">
        <is>
          <t>DESTAQUE SHAPE</t>
        </is>
      </c>
      <c r="B132" s="25" t="inlineStr">
        <is>
          <t>59794577000165</t>
        </is>
      </c>
      <c r="C132" s="25" t="inlineStr">
        <is>
          <t>MAIARA ISABEL PINTO LTDA</t>
        </is>
      </c>
      <c r="D132" s="25" t="inlineStr">
        <is>
          <t>SC</t>
        </is>
      </c>
      <c r="E132" s="25" t="inlineStr">
        <is>
          <t>PENHA</t>
        </is>
      </c>
      <c r="F132" s="25" t="inlineStr">
        <is>
          <t>Destaqueshape2025@gmail.com</t>
        </is>
      </c>
      <c r="G132" s="25" t="inlineStr">
        <is>
          <t>+55 (47) 9610-2611</t>
        </is>
      </c>
      <c r="H132" s="25" t="inlineStr">
        <is>
          <t>25/06/2025</t>
        </is>
      </c>
      <c r="I132" s="25" t="inlineStr">
        <is>
          <t>[Rede] Fit Land</t>
        </is>
      </c>
      <c r="J132" s="25" t="inlineStr">
        <is>
          <t>JULIO GADRET</t>
        </is>
      </c>
      <c r="K132" s="25" t="inlineStr">
        <is>
          <t>Julio  Gadret</t>
        </is>
      </c>
      <c r="L132" s="25" t="n">
        <v>79</v>
      </c>
      <c r="M132" s="25" t="inlineStr">
        <is>
          <t>28/11/2025</t>
        </is>
      </c>
      <c r="N132" s="25" t="n">
        <v>1637.88</v>
      </c>
      <c r="O132" s="25" t="n">
        <v>3</v>
      </c>
      <c r="P132" s="25" t="inlineStr">
        <is>
          <t>Sim</t>
        </is>
      </c>
      <c r="Q132" s="25" t="n">
        <v>20</v>
      </c>
      <c r="R132" s="25" t="n">
        <v>9</v>
      </c>
      <c r="S132" s="25" t="n">
        <v>1637.88</v>
      </c>
      <c r="T132" s="25" t="inlineStr">
        <is>
          <t>COMPRA B2B</t>
        </is>
      </c>
      <c r="U132" s="25" t="n">
        <v>0</v>
      </c>
      <c r="V132" s="25" t="n">
        <v>0</v>
      </c>
      <c r="W132" s="25" t="n">
        <v>0</v>
      </c>
      <c r="X132" s="25" t="n">
        <v>1223.11</v>
      </c>
      <c r="Y132" s="25" t="n">
        <v>0</v>
      </c>
      <c r="Z132" s="25" t="n">
        <v>876.13</v>
      </c>
      <c r="AA132" s="25" t="n">
        <v>0</v>
      </c>
      <c r="AB132" s="25" t="n">
        <v>2489.93</v>
      </c>
      <c r="AC132" s="25" t="n">
        <v>1637.88</v>
      </c>
      <c r="AD132" s="25" t="n">
        <v>0</v>
      </c>
      <c r="AE132" s="25" t="n">
        <v>0</v>
      </c>
      <c r="AF132" s="25" t="n">
        <v>0</v>
      </c>
      <c r="AG132" s="25" t="n">
        <v>51.6667</v>
      </c>
      <c r="AH132" s="25" t="n">
        <v>3</v>
      </c>
      <c r="AI132" s="25" t="inlineStr">
        <is>
          <t>A</t>
        </is>
      </c>
      <c r="AJ132" s="25" t="n">
        <v>4</v>
      </c>
      <c r="AK132" s="25" t="n">
        <v>2075.68</v>
      </c>
      <c r="AL132" s="25" t="n"/>
      <c r="AM132" s="25" t="n"/>
      <c r="AN132" s="25" t="n"/>
      <c r="AO132" s="25" t="n"/>
      <c r="AP132" s="27">
        <f>IF(AH132="","",IF(AH132=0,"PROSPECT",IF(AH132=1,"NOVO",IF(AH132&lt;=3,"EM DESENVOLVIMENTO",IF(AH132&lt;=6,"RECORRENTE","FIDELIZADO")))))</f>
        <v/>
      </c>
      <c r="AQ132" s="27">
        <f>IF(AJ132=0,0,IFERROR(SUM(U132:AF132)/AJ132,0))</f>
        <v/>
      </c>
      <c r="AS132" s="0" t="inlineStr">
        <is>
          <t>Carteira FEV/26</t>
        </is>
      </c>
    </row>
    <row r="133" ht="14.25" customHeight="1" s="16">
      <c r="A133" s="25" t="inlineStr">
        <is>
          <t>DESTAQUE SHAPE 2</t>
        </is>
      </c>
      <c r="B133" s="25" t="inlineStr">
        <is>
          <t>62754907000101</t>
        </is>
      </c>
      <c r="C133" s="25" t="inlineStr">
        <is>
          <t>MARTINA MAIARA PRODUTOS NATURAIS LTDA</t>
        </is>
      </c>
      <c r="D133" s="25" t="inlineStr">
        <is>
          <t>SC</t>
        </is>
      </c>
      <c r="E133" s="25" t="inlineStr">
        <is>
          <t>BALNEARIO DE PICARRAS</t>
        </is>
      </c>
      <c r="F133" s="25" t="inlineStr">
        <is>
          <t>Destaqueshape2025@gmail.com</t>
        </is>
      </c>
      <c r="G133" s="25" t="inlineStr">
        <is>
          <t>+55 (47) 9610-2611</t>
        </is>
      </c>
      <c r="H133" s="25" t="inlineStr">
        <is>
          <t>16/10/2025</t>
        </is>
      </c>
      <c r="I133" s="25" t="inlineStr">
        <is>
          <t>[Rede] Fit Land</t>
        </is>
      </c>
      <c r="J133" s="25" t="inlineStr">
        <is>
          <t>JULIO GADRET</t>
        </is>
      </c>
      <c r="K133" s="25" t="inlineStr">
        <is>
          <t>Julio  Gadret</t>
        </is>
      </c>
      <c r="L133" s="25" t="n">
        <v>79</v>
      </c>
      <c r="M133" s="25" t="inlineStr">
        <is>
          <t>28/11/2025</t>
        </is>
      </c>
      <c r="N133" s="25" t="n">
        <v>1069.97</v>
      </c>
      <c r="O133" s="25" t="n">
        <v>1</v>
      </c>
      <c r="P133" s="25" t="inlineStr">
        <is>
          <t>Sim</t>
        </is>
      </c>
      <c r="Q133" s="25" t="n">
        <v>15</v>
      </c>
      <c r="R133" s="25" t="n">
        <v>7</v>
      </c>
      <c r="S133" s="25" t="n">
        <v>1069.97</v>
      </c>
      <c r="T133" s="25" t="inlineStr">
        <is>
          <t>COMPRA B2B</t>
        </is>
      </c>
      <c r="U133" s="25" t="n">
        <v>0</v>
      </c>
      <c r="V133" s="25" t="n">
        <v>0</v>
      </c>
      <c r="W133" s="25" t="n">
        <v>0</v>
      </c>
      <c r="X133" s="25" t="n">
        <v>0</v>
      </c>
      <c r="Y133" s="25" t="n">
        <v>0</v>
      </c>
      <c r="Z133" s="25" t="n">
        <v>0</v>
      </c>
      <c r="AA133" s="25" t="n">
        <v>0</v>
      </c>
      <c r="AB133" s="25" t="n">
        <v>1948.22</v>
      </c>
      <c r="AC133" s="25" t="n">
        <v>1069.97</v>
      </c>
      <c r="AD133" s="25" t="n">
        <v>0</v>
      </c>
      <c r="AE133" s="25" t="n">
        <v>0</v>
      </c>
      <c r="AF133" s="25" t="n">
        <v>0</v>
      </c>
      <c r="AG133" s="25" t="n">
        <v>42</v>
      </c>
      <c r="AH133" s="25" t="n">
        <v>1</v>
      </c>
      <c r="AI133" s="25" t="inlineStr">
        <is>
          <t>A</t>
        </is>
      </c>
      <c r="AJ133" s="25" t="n">
        <v>2</v>
      </c>
      <c r="AK133" s="25" t="n">
        <v>3018.19</v>
      </c>
      <c r="AL133" s="26" t="n">
        <v>45946.45763888889</v>
      </c>
      <c r="AM133" s="26" t="n">
        <v>45946.45763888889</v>
      </c>
      <c r="AN133" s="25" t="inlineStr">
        <is>
          <t>WHATSAPP</t>
        </is>
      </c>
      <c r="AO133" s="25" t="inlineStr">
        <is>
          <t>PRÉ-VENDA | Julio em atendimento com ela, vai montar pedido pra esse loja também</t>
        </is>
      </c>
      <c r="AP133" s="27">
        <f>IF(AH133="","",IF(AH133=0,"PROSPECT",IF(AH133=1,"NOVO",IF(AH133&lt;=3,"EM DESENVOLVIMENTO",IF(AH133&lt;=6,"RECORRENTE","FIDELIZADO")))))</f>
        <v/>
      </c>
      <c r="AQ133" s="27">
        <f>IF(AJ133=0,0,IFERROR(SUM(U133:AF133)/AJ133,0))</f>
        <v/>
      </c>
      <c r="AS133" s="0" t="inlineStr">
        <is>
          <t>Carteira FEV/26</t>
        </is>
      </c>
    </row>
    <row r="134" ht="14.25" customHeight="1" s="16">
      <c r="A134" s="25" t="inlineStr">
        <is>
          <t xml:space="preserve">Debora Cristina Teixeira </t>
        </is>
      </c>
      <c r="B134" s="25" t="inlineStr">
        <is>
          <t>24991684000107</t>
        </is>
      </c>
      <c r="C134" s="25" t="inlineStr">
        <is>
          <t xml:space="preserve">Debora Cristina Teixeira </t>
        </is>
      </c>
      <c r="D134" s="25" t="inlineStr">
        <is>
          <t>SC</t>
        </is>
      </c>
      <c r="E134" s="25" t="inlineStr">
        <is>
          <t>Araragua</t>
        </is>
      </c>
      <c r="F134" s="25" t="inlineStr">
        <is>
          <t>DEVORACT11@GMAIL.COM</t>
        </is>
      </c>
      <c r="G134" s="25" t="inlineStr">
        <is>
          <t>+55 (48) 9818-9444</t>
        </is>
      </c>
      <c r="H134" s="25" t="inlineStr">
        <is>
          <t>30/04/2025</t>
        </is>
      </c>
      <c r="I134" s="25" t="n"/>
      <c r="J134" s="25" t="inlineStr">
        <is>
          <t>MANU DITZEL</t>
        </is>
      </c>
      <c r="K134" s="25" t="inlineStr">
        <is>
          <t>Manu Ditzel</t>
        </is>
      </c>
      <c r="L134" s="25" t="n">
        <v>80</v>
      </c>
      <c r="M134" s="25" t="inlineStr">
        <is>
          <t>27/11/2025</t>
        </is>
      </c>
      <c r="N134" s="25" t="n">
        <v>1134.92</v>
      </c>
      <c r="O134" s="25" t="n"/>
      <c r="P134" s="25" t="n"/>
      <c r="Q134" s="25" t="n"/>
      <c r="R134" s="25" t="n"/>
      <c r="S134" s="25" t="n"/>
      <c r="T134" s="25" t="n"/>
      <c r="U134" s="25" t="n">
        <v>0</v>
      </c>
      <c r="V134" s="25" t="n">
        <v>0</v>
      </c>
      <c r="W134" s="25" t="n">
        <v>0</v>
      </c>
      <c r="X134" s="25" t="n">
        <v>0</v>
      </c>
      <c r="Y134" s="25" t="n">
        <v>0</v>
      </c>
      <c r="Z134" s="25" t="n">
        <v>0</v>
      </c>
      <c r="AA134" s="25" t="n">
        <v>0</v>
      </c>
      <c r="AB134" s="25" t="n">
        <v>0</v>
      </c>
      <c r="AC134" s="25" t="n">
        <v>1134.92</v>
      </c>
      <c r="AD134" s="25" t="n">
        <v>0</v>
      </c>
      <c r="AE134" s="25" t="n">
        <v>0</v>
      </c>
      <c r="AF134" s="25" t="n">
        <v>0</v>
      </c>
      <c r="AG134" s="25" t="n">
        <v>0</v>
      </c>
      <c r="AH134" s="25" t="n">
        <v>0</v>
      </c>
      <c r="AI134" s="25" t="inlineStr">
        <is>
          <t>B</t>
        </is>
      </c>
      <c r="AJ134" s="25" t="n">
        <v>1</v>
      </c>
      <c r="AK134" s="25" t="n">
        <v>0</v>
      </c>
      <c r="AL134" s="26" t="n">
        <v>46063.67569444444</v>
      </c>
      <c r="AM134" s="26" t="n">
        <v>46063.67569444444</v>
      </c>
      <c r="AN134" s="25" t="inlineStr">
        <is>
          <t>WHATSAPP</t>
        </is>
      </c>
      <c r="AO134" s="25" t="inlineStr">
        <is>
          <t>CLIENTE FEZ O ORÇAMENTO, OFERECI MAIS DESCONTO PARA FECHAR</t>
        </is>
      </c>
      <c r="AP134" s="27">
        <f>IF(AH134="","",IF(AH134=0,"PROSPECT",IF(AH134=1,"NOVO",IF(AH134&lt;=3,"EM DESENVOLVIMENTO",IF(AH134&lt;=6,"RECORRENTE","FIDELIZADO")))))</f>
        <v/>
      </c>
      <c r="AQ134" s="27">
        <f>IF(AJ134=0,0,IFERROR(SUM(U134:AF134)/AJ134,0))</f>
        <v/>
      </c>
      <c r="AS134" s="0" t="inlineStr">
        <is>
          <t>Carteira FEV/26 + Atend FEV/26</t>
        </is>
      </c>
    </row>
    <row r="135" ht="14.25" customHeight="1" s="16">
      <c r="A135" s="25" t="inlineStr">
        <is>
          <t>EMPORIO COMPRE FACIL</t>
        </is>
      </c>
      <c r="B135" s="25" t="inlineStr">
        <is>
          <t>50353207000118</t>
        </is>
      </c>
      <c r="C135" s="25" t="inlineStr">
        <is>
          <t>COMPRE FACIL LTDA</t>
        </is>
      </c>
      <c r="D135" s="25" t="inlineStr">
        <is>
          <t>PE</t>
        </is>
      </c>
      <c r="E135" s="25" t="inlineStr">
        <is>
          <t>SAO LOURENCO DA MATA</t>
        </is>
      </c>
      <c r="F135" s="25" t="inlineStr">
        <is>
          <t>emporiocfslm@gmail.com</t>
        </is>
      </c>
      <c r="G135" s="25" t="inlineStr">
        <is>
          <t>+55 (81) 99434-3086 | +55 (81) 99521-2316</t>
        </is>
      </c>
      <c r="H135" s="25" t="inlineStr">
        <is>
          <t>23/11/2025</t>
        </is>
      </c>
      <c r="I135" s="25" t="n"/>
      <c r="J135" s="25" t="inlineStr">
        <is>
          <t>JULIO GADRET</t>
        </is>
      </c>
      <c r="K135" s="25" t="inlineStr">
        <is>
          <t>Julio  Gadret</t>
        </is>
      </c>
      <c r="L135" s="25" t="n">
        <v>84</v>
      </c>
      <c r="M135" s="25" t="inlineStr">
        <is>
          <t>23/11/2025</t>
        </is>
      </c>
      <c r="N135" s="25" t="n">
        <v>7721.81</v>
      </c>
      <c r="O135" s="25" t="n">
        <v>2</v>
      </c>
      <c r="P135" s="25" t="inlineStr">
        <is>
          <t>Sim</t>
        </is>
      </c>
      <c r="Q135" s="25" t="n">
        <v>3</v>
      </c>
      <c r="R135" s="25" t="n"/>
      <c r="S135" s="25" t="n"/>
      <c r="T135" s="25" t="n"/>
      <c r="U135" s="25" t="n">
        <v>0</v>
      </c>
      <c r="V135" s="25" t="n">
        <v>0</v>
      </c>
      <c r="W135" s="25" t="n">
        <v>0</v>
      </c>
      <c r="X135" s="25" t="n">
        <v>0</v>
      </c>
      <c r="Y135" s="25" t="n">
        <v>0</v>
      </c>
      <c r="Z135" s="25" t="n">
        <v>0</v>
      </c>
      <c r="AA135" s="25" t="n">
        <v>0</v>
      </c>
      <c r="AB135" s="25" t="n">
        <v>0</v>
      </c>
      <c r="AC135" s="25" t="n">
        <v>7721.81</v>
      </c>
      <c r="AD135" s="25" t="n">
        <v>0</v>
      </c>
      <c r="AE135" s="25" t="n">
        <v>0</v>
      </c>
      <c r="AF135" s="25" t="n">
        <v>0</v>
      </c>
      <c r="AG135" s="25" t="n">
        <v>0</v>
      </c>
      <c r="AH135" s="25" t="n">
        <v>0</v>
      </c>
      <c r="AI135" s="25" t="inlineStr">
        <is>
          <t>A</t>
        </is>
      </c>
      <c r="AJ135" s="25" t="n">
        <v>1</v>
      </c>
      <c r="AK135" s="25" t="n">
        <v>0</v>
      </c>
      <c r="AL135" s="26" t="n">
        <v>46036.575</v>
      </c>
      <c r="AM135" s="26" t="n">
        <v>46036.575</v>
      </c>
      <c r="AN135" s="25" t="inlineStr">
        <is>
          <t>LIGAÇÃO</t>
        </is>
      </c>
      <c r="AO135" s="25" t="inlineStr">
        <is>
          <t>Esse pedido ela devolveu, mas estamos vendo pra fazer outro</t>
        </is>
      </c>
      <c r="AP135" s="27">
        <f>IF(AH135="","",IF(AH135=0,"PROSPECT",IF(AH135=1,"NOVO",IF(AH135&lt;=3,"EM DESENVOLVIMENTO",IF(AH135&lt;=6,"RECORRENTE","FIDELIZADO")))))</f>
        <v/>
      </c>
      <c r="AQ135" s="27">
        <f>IF(AJ135=0,0,IFERROR(SUM(U135:AF135)/AJ135,0))</f>
        <v/>
      </c>
      <c r="AS135" s="0" t="inlineStr">
        <is>
          <t>Carteira FEV/26</t>
        </is>
      </c>
    </row>
    <row r="136" ht="14.25" customHeight="1" s="16">
      <c r="A136" s="25" t="inlineStr">
        <is>
          <t>EMPORIO GRAOTERRA</t>
        </is>
      </c>
      <c r="B136" s="25" t="inlineStr">
        <is>
          <t>31574092000147</t>
        </is>
      </c>
      <c r="C136" s="25" t="inlineStr">
        <is>
          <t>L O PASTRO</t>
        </is>
      </c>
      <c r="D136" s="25" t="inlineStr">
        <is>
          <t>MT</t>
        </is>
      </c>
      <c r="E136" s="25" t="inlineStr">
        <is>
          <t>RONDONOPOLIS</t>
        </is>
      </c>
      <c r="F136" s="25" t="inlineStr">
        <is>
          <t>nalvaopastro@hotmail.com</t>
        </is>
      </c>
      <c r="G136" s="25" t="inlineStr">
        <is>
          <t>+55 (66) 3023-4993 | +55 (66) 99631-1126</t>
        </is>
      </c>
      <c r="H136" s="25" t="inlineStr">
        <is>
          <t>08/10/2024</t>
        </is>
      </c>
      <c r="I136" s="25" t="n"/>
      <c r="J136" s="25" t="inlineStr">
        <is>
          <t>LARISSA PADILHA</t>
        </is>
      </c>
      <c r="K136" s="25" t="inlineStr">
        <is>
          <t>Larissa Padilha</t>
        </is>
      </c>
      <c r="L136" s="25" t="n">
        <v>73</v>
      </c>
      <c r="M136" s="25" t="inlineStr">
        <is>
          <t>04/12/2025</t>
        </is>
      </c>
      <c r="N136" s="25" t="n">
        <v>656.45</v>
      </c>
      <c r="O136" s="25" t="n"/>
      <c r="P136" s="25" t="n"/>
      <c r="Q136" s="25" t="n">
        <v>1</v>
      </c>
      <c r="R136" s="25" t="n"/>
      <c r="S136" s="25" t="n">
        <v>1391.63</v>
      </c>
      <c r="T136" s="25" t="inlineStr">
        <is>
          <t>COMPRA B2B</t>
        </is>
      </c>
      <c r="U136" s="25" t="n">
        <v>1391.63</v>
      </c>
      <c r="V136" s="25" t="n">
        <v>0</v>
      </c>
      <c r="W136" s="25" t="n">
        <v>0</v>
      </c>
      <c r="X136" s="25" t="n">
        <v>0</v>
      </c>
      <c r="Y136" s="25" t="n">
        <v>0</v>
      </c>
      <c r="Z136" s="25" t="n">
        <v>0</v>
      </c>
      <c r="AA136" s="25" t="n">
        <v>0</v>
      </c>
      <c r="AB136" s="25" t="n">
        <v>0</v>
      </c>
      <c r="AC136" s="25" t="n">
        <v>0</v>
      </c>
      <c r="AD136" s="25" t="n">
        <v>656.45</v>
      </c>
      <c r="AE136" s="25" t="n">
        <v>0</v>
      </c>
      <c r="AF136" s="25" t="n">
        <v>0</v>
      </c>
      <c r="AG136" s="25" t="n">
        <v>262</v>
      </c>
      <c r="AH136" s="25" t="n">
        <v>2</v>
      </c>
      <c r="AI136" s="25" t="inlineStr">
        <is>
          <t>B</t>
        </is>
      </c>
      <c r="AJ136" s="25" t="n">
        <v>3</v>
      </c>
      <c r="AK136" s="25" t="n">
        <v>1719.86</v>
      </c>
      <c r="AL136" s="26" t="n">
        <v>46049.59305555555</v>
      </c>
      <c r="AM136" s="26" t="n">
        <v>46049.59305555555</v>
      </c>
      <c r="AN136" s="25" t="inlineStr">
        <is>
          <t>WHATSAPP</t>
        </is>
      </c>
      <c r="AO136" s="25" t="n"/>
      <c r="AP136" s="27">
        <f>IF(AH136="","",IF(AH136=0,"PROSPECT",IF(AH136=1,"NOVO",IF(AH136&lt;=3,"EM DESENVOLVIMENTO",IF(AH136&lt;=6,"RECORRENTE","FIDELIZADO")))))</f>
        <v/>
      </c>
      <c r="AQ136" s="27">
        <f>IF(AJ136=0,0,IFERROR(SUM(U136:AF136)/AJ136,0))</f>
        <v/>
      </c>
      <c r="AS136" s="0" t="inlineStr">
        <is>
          <t>Carteira FEV/26</t>
        </is>
      </c>
    </row>
    <row r="137" ht="14.25" customHeight="1" s="16">
      <c r="A137" s="25" t="inlineStr">
        <is>
          <t>EMPORIO VIDA PLENA</t>
        </is>
      </c>
      <c r="B137" s="25" t="inlineStr">
        <is>
          <t>59481985000167</t>
        </is>
      </c>
      <c r="C137" s="25" t="inlineStr">
        <is>
          <t>EMPORIO VIDA PLENA LTDA</t>
        </is>
      </c>
      <c r="D137" s="25" t="inlineStr">
        <is>
          <t>SP</t>
        </is>
      </c>
      <c r="E137" s="25" t="inlineStr">
        <is>
          <t>SAO JOSE DO RIO PRETO</t>
        </is>
      </c>
      <c r="F137" s="25" t="inlineStr">
        <is>
          <t>adm@emporiovidaplena.com.br</t>
        </is>
      </c>
      <c r="G137" s="25" t="inlineStr">
        <is>
          <t>+55 (17) 98813-6187</t>
        </is>
      </c>
      <c r="H137" s="25" t="inlineStr">
        <is>
          <t>28/11/2025</t>
        </is>
      </c>
      <c r="I137" s="25" t="n"/>
      <c r="J137" s="25" t="inlineStr">
        <is>
          <t>JULIO GADRET</t>
        </is>
      </c>
      <c r="K137" s="25" t="inlineStr">
        <is>
          <t>Julio  Gadret</t>
        </is>
      </c>
      <c r="L137" s="25" t="n">
        <v>79</v>
      </c>
      <c r="M137" s="25" t="inlineStr">
        <is>
          <t>28/11/2025</t>
        </is>
      </c>
      <c r="N137" s="25" t="n">
        <v>1092.69</v>
      </c>
      <c r="O137" s="25" t="n">
        <v>3</v>
      </c>
      <c r="P137" s="25" t="inlineStr">
        <is>
          <t>Sim</t>
        </is>
      </c>
      <c r="Q137" s="25" t="n">
        <v>14</v>
      </c>
      <c r="R137" s="25" t="n">
        <v>7</v>
      </c>
      <c r="S137" s="25" t="n">
        <v>1092.69</v>
      </c>
      <c r="T137" s="25" t="inlineStr">
        <is>
          <t>COMPRA B2B</t>
        </is>
      </c>
      <c r="U137" s="25" t="n">
        <v>0</v>
      </c>
      <c r="V137" s="25" t="n">
        <v>0</v>
      </c>
      <c r="W137" s="25" t="n">
        <v>0</v>
      </c>
      <c r="X137" s="25" t="n">
        <v>0</v>
      </c>
      <c r="Y137" s="25" t="n">
        <v>0</v>
      </c>
      <c r="Z137" s="25" t="n">
        <v>0</v>
      </c>
      <c r="AA137" s="25" t="n">
        <v>0</v>
      </c>
      <c r="AB137" s="25" t="n">
        <v>0</v>
      </c>
      <c r="AC137" s="25" t="n">
        <v>1092.69</v>
      </c>
      <c r="AD137" s="25" t="n">
        <v>0</v>
      </c>
      <c r="AE137" s="25" t="n">
        <v>0</v>
      </c>
      <c r="AF137" s="25" t="n">
        <v>0</v>
      </c>
      <c r="AG137" s="25" t="n">
        <v>0</v>
      </c>
      <c r="AH137" s="25" t="n">
        <v>0</v>
      </c>
      <c r="AI137" s="25" t="inlineStr">
        <is>
          <t>C</t>
        </is>
      </c>
      <c r="AJ137" s="25" t="n">
        <v>1</v>
      </c>
      <c r="AK137" s="25" t="n">
        <v>0</v>
      </c>
      <c r="AL137" s="25" t="n"/>
      <c r="AM137" s="25" t="n"/>
      <c r="AN137" s="25" t="n"/>
      <c r="AO137" s="25" t="n"/>
      <c r="AP137" s="27">
        <f>IF(AH137="","",IF(AH137=0,"PROSPECT",IF(AH137=1,"NOVO",IF(AH137&lt;=3,"EM DESENVOLVIMENTO",IF(AH137&lt;=6,"RECORRENTE","FIDELIZADO")))))</f>
        <v/>
      </c>
      <c r="AQ137" s="27">
        <f>IF(AJ137=0,0,IFERROR(SUM(U137:AF137)/AJ137,0))</f>
        <v/>
      </c>
      <c r="AS137" s="0" t="inlineStr">
        <is>
          <t>Carteira FEV/26</t>
        </is>
      </c>
    </row>
    <row r="138" ht="14.25" customHeight="1" s="16">
      <c r="A138" s="25" t="inlineStr">
        <is>
          <t>EMPORIO VITTA</t>
        </is>
      </c>
      <c r="B138" s="25" t="inlineStr">
        <is>
          <t>36293214000140</t>
        </is>
      </c>
      <c r="C138" s="25" t="inlineStr">
        <is>
          <t>EMPORIO VITTA LTDA</t>
        </is>
      </c>
      <c r="D138" s="25" t="inlineStr">
        <is>
          <t>ES</t>
        </is>
      </c>
      <c r="E138" s="25" t="inlineStr">
        <is>
          <t>COLATINA</t>
        </is>
      </c>
      <c r="F138" s="25" t="inlineStr">
        <is>
          <t>emporiovitta2022@gmail.com,laryssasantanna.ls@gmail.com</t>
        </is>
      </c>
      <c r="G138" s="25" t="inlineStr">
        <is>
          <t>+55 (27) 99968-4965</t>
        </is>
      </c>
      <c r="H138" s="25" t="inlineStr">
        <is>
          <t>08/10/2024</t>
        </is>
      </c>
      <c r="I138" s="25" t="n"/>
      <c r="J138" s="25" t="inlineStr">
        <is>
          <t>LARISSA PADILHA</t>
        </is>
      </c>
      <c r="K138" s="25" t="inlineStr">
        <is>
          <t>Larissa Padilha</t>
        </is>
      </c>
      <c r="L138" s="25" t="n">
        <v>88</v>
      </c>
      <c r="M138" s="25" t="inlineStr">
        <is>
          <t>19/11/2025</t>
        </is>
      </c>
      <c r="N138" s="25" t="n">
        <v>1409.45</v>
      </c>
      <c r="O138" s="25" t="n">
        <v>5</v>
      </c>
      <c r="P138" s="25" t="inlineStr">
        <is>
          <t>Sim</t>
        </is>
      </c>
      <c r="Q138" s="25" t="n">
        <v>20</v>
      </c>
      <c r="R138" s="25" t="n">
        <v>4</v>
      </c>
      <c r="S138" s="25" t="n">
        <v>1409.45</v>
      </c>
      <c r="T138" s="25" t="inlineStr">
        <is>
          <t>COMPRA B2B</t>
        </is>
      </c>
      <c r="U138" s="25" t="n">
        <v>0</v>
      </c>
      <c r="V138" s="25" t="n">
        <v>0</v>
      </c>
      <c r="W138" s="25" t="n">
        <v>0</v>
      </c>
      <c r="X138" s="25" t="n">
        <v>0</v>
      </c>
      <c r="Y138" s="25" t="n">
        <v>0</v>
      </c>
      <c r="Z138" s="25" t="n">
        <v>0</v>
      </c>
      <c r="AA138" s="25" t="n">
        <v>0</v>
      </c>
      <c r="AB138" s="25" t="n">
        <v>0</v>
      </c>
      <c r="AC138" s="25" t="n">
        <v>1409.45</v>
      </c>
      <c r="AD138" s="25" t="n">
        <v>0</v>
      </c>
      <c r="AE138" s="25" t="n">
        <v>0</v>
      </c>
      <c r="AF138" s="25" t="n">
        <v>0</v>
      </c>
      <c r="AG138" s="25" t="n">
        <v>0</v>
      </c>
      <c r="AH138" s="25" t="n">
        <v>0</v>
      </c>
      <c r="AI138" s="25" t="inlineStr">
        <is>
          <t>B</t>
        </is>
      </c>
      <c r="AJ138" s="25" t="n">
        <v>1</v>
      </c>
      <c r="AK138" s="25" t="n">
        <v>0</v>
      </c>
      <c r="AL138" s="26" t="n">
        <v>46058.65931712963</v>
      </c>
      <c r="AM138" s="26" t="n">
        <v>46058.65931712963</v>
      </c>
      <c r="AN138" s="25" t="inlineStr">
        <is>
          <t>WHATSAPP</t>
        </is>
      </c>
      <c r="AO138" s="25" t="inlineStr">
        <is>
          <t>EMPORIO VITTA - LARY - ES</t>
        </is>
      </c>
      <c r="AP138" s="27">
        <f>IF(AH138="","",IF(AH138=0,"PROSPECT",IF(AH138=1,"NOVO",IF(AH138&lt;=3,"EM DESENVOLVIMENTO",IF(AH138&lt;=6,"RECORRENTE","FIDELIZADO")))))</f>
        <v/>
      </c>
      <c r="AQ138" s="27">
        <f>IF(AJ138=0,0,IFERROR(SUM(U138:AF138)/AJ138,0))</f>
        <v/>
      </c>
      <c r="AS138" s="0" t="inlineStr">
        <is>
          <t>Carteira FEV/26 + Atend FEV/26</t>
        </is>
      </c>
    </row>
    <row r="139" ht="14.25" customHeight="1" s="16">
      <c r="A139" s="25" t="inlineStr">
        <is>
          <t>ESPECIARIAS DA VIVI</t>
        </is>
      </c>
      <c r="B139" s="25" t="inlineStr">
        <is>
          <t>47895365000195</t>
        </is>
      </c>
      <c r="C139" s="25" t="inlineStr">
        <is>
          <t>VIVIANE CRISTINA CASONATO BORGES 33577857811</t>
        </is>
      </c>
      <c r="D139" s="25" t="inlineStr">
        <is>
          <t>SP</t>
        </is>
      </c>
      <c r="E139" s="25" t="inlineStr">
        <is>
          <t>VOTUPORANGA</t>
        </is>
      </c>
      <c r="F139" s="25" t="inlineStr">
        <is>
          <t>ESPECIARIASDAVIVI@GMAIL.COM</t>
        </is>
      </c>
      <c r="G139" s="25" t="inlineStr">
        <is>
          <t>+55 (11) 96238-7340</t>
        </is>
      </c>
      <c r="H139" s="25" t="inlineStr">
        <is>
          <t>08/10/2024</t>
        </is>
      </c>
      <c r="I139" s="25" t="n"/>
      <c r="J139" s="25" t="inlineStr">
        <is>
          <t>JULIO GADRET</t>
        </is>
      </c>
      <c r="K139" s="25" t="inlineStr">
        <is>
          <t>Julio  Gadret</t>
        </is>
      </c>
      <c r="L139" s="25" t="n">
        <v>79</v>
      </c>
      <c r="M139" s="25" t="inlineStr">
        <is>
          <t>28/11/2025</t>
        </is>
      </c>
      <c r="N139" s="25" t="n">
        <v>1932.83</v>
      </c>
      <c r="O139" s="25" t="n"/>
      <c r="P139" s="25" t="n"/>
      <c r="Q139" s="25" t="n"/>
      <c r="R139" s="25" t="n"/>
      <c r="S139" s="25" t="n"/>
      <c r="T139" s="25" t="n"/>
      <c r="U139" s="25" t="n">
        <v>0</v>
      </c>
      <c r="V139" s="25" t="n">
        <v>0</v>
      </c>
      <c r="W139" s="25" t="n">
        <v>0</v>
      </c>
      <c r="X139" s="25" t="n">
        <v>0</v>
      </c>
      <c r="Y139" s="25" t="n">
        <v>0</v>
      </c>
      <c r="Z139" s="25" t="n">
        <v>0</v>
      </c>
      <c r="AA139" s="25" t="n">
        <v>0</v>
      </c>
      <c r="AB139" s="25" t="n">
        <v>0</v>
      </c>
      <c r="AC139" s="25" t="n">
        <v>1932.83</v>
      </c>
      <c r="AD139" s="25" t="n">
        <v>0</v>
      </c>
      <c r="AE139" s="25" t="n">
        <v>0</v>
      </c>
      <c r="AF139" s="25" t="n">
        <v>0</v>
      </c>
      <c r="AG139" s="25" t="n">
        <v>0</v>
      </c>
      <c r="AH139" s="25" t="n">
        <v>0</v>
      </c>
      <c r="AI139" s="25" t="inlineStr">
        <is>
          <t>B</t>
        </is>
      </c>
      <c r="AJ139" s="25" t="n">
        <v>1</v>
      </c>
      <c r="AK139" s="25" t="n">
        <v>0</v>
      </c>
      <c r="AL139" s="25" t="n"/>
      <c r="AM139" s="25" t="n"/>
      <c r="AN139" s="25" t="n"/>
      <c r="AO139" s="25" t="n"/>
      <c r="AP139" s="27">
        <f>IF(AH139="","",IF(AH139=0,"PROSPECT",IF(AH139=1,"NOVO",IF(AH139&lt;=3,"EM DESENVOLVIMENTO",IF(AH139&lt;=6,"RECORRENTE","FIDELIZADO")))))</f>
        <v/>
      </c>
      <c r="AQ139" s="27">
        <f>IF(AJ139=0,0,IFERROR(SUM(U139:AF139)/AJ139,0))</f>
        <v/>
      </c>
      <c r="AS139" s="0" t="inlineStr">
        <is>
          <t>Carteira FEV/26</t>
        </is>
      </c>
    </row>
    <row r="140" ht="14.25" customHeight="1" s="16">
      <c r="A140" s="25" t="inlineStr">
        <is>
          <t>EVORA GASTRONOMIA</t>
        </is>
      </c>
      <c r="B140" s="25" t="inlineStr">
        <is>
          <t>49336255000119</t>
        </is>
      </c>
      <c r="C140" s="25" t="inlineStr">
        <is>
          <t>EVORA GASTRONOMIA COMERCIO ALIMENTACAO LTDA</t>
        </is>
      </c>
      <c r="D140" s="25" t="inlineStr">
        <is>
          <t>GO</t>
        </is>
      </c>
      <c r="E140" s="25" t="inlineStr">
        <is>
          <t>GOIANIA</t>
        </is>
      </c>
      <c r="F140" s="25" t="inlineStr">
        <is>
          <t>evoragastronomiat11@gmail.com</t>
        </is>
      </c>
      <c r="G140" s="25" t="inlineStr">
        <is>
          <t>+55 (62) 9944-8165</t>
        </is>
      </c>
      <c r="H140" s="25" t="inlineStr">
        <is>
          <t>26/11/2025</t>
        </is>
      </c>
      <c r="I140" s="25" t="n"/>
      <c r="J140" s="25" t="inlineStr">
        <is>
          <t>LARISSA PADILHA</t>
        </is>
      </c>
      <c r="K140" s="25" t="inlineStr">
        <is>
          <t>Larissa Padilha</t>
        </is>
      </c>
      <c r="L140" s="25" t="n">
        <v>80</v>
      </c>
      <c r="M140" s="25" t="inlineStr">
        <is>
          <t>27/11/2025</t>
        </is>
      </c>
      <c r="N140" s="25" t="n">
        <v>5107.1</v>
      </c>
      <c r="O140" s="25" t="n">
        <v>2</v>
      </c>
      <c r="P140" s="25" t="inlineStr">
        <is>
          <t>Sim</t>
        </is>
      </c>
      <c r="Q140" s="25" t="n">
        <v>26</v>
      </c>
      <c r="R140" s="25" t="n">
        <v>4</v>
      </c>
      <c r="S140" s="25" t="n">
        <v>5107.1</v>
      </c>
      <c r="T140" s="25" t="inlineStr">
        <is>
          <t>COMPRA B2B</t>
        </is>
      </c>
      <c r="U140" s="25" t="n">
        <v>0</v>
      </c>
      <c r="V140" s="25" t="n">
        <v>0</v>
      </c>
      <c r="W140" s="25" t="n">
        <v>0</v>
      </c>
      <c r="X140" s="25" t="n">
        <v>0</v>
      </c>
      <c r="Y140" s="25" t="n">
        <v>0</v>
      </c>
      <c r="Z140" s="25" t="n">
        <v>0</v>
      </c>
      <c r="AA140" s="25" t="n">
        <v>0</v>
      </c>
      <c r="AB140" s="25" t="n">
        <v>0</v>
      </c>
      <c r="AC140" s="25" t="n">
        <v>5107.1</v>
      </c>
      <c r="AD140" s="25" t="n">
        <v>0</v>
      </c>
      <c r="AE140" s="25" t="n">
        <v>0</v>
      </c>
      <c r="AF140" s="25" t="n">
        <v>0</v>
      </c>
      <c r="AG140" s="25" t="n">
        <v>0</v>
      </c>
      <c r="AH140" s="25" t="n">
        <v>0</v>
      </c>
      <c r="AI140" s="25" t="inlineStr">
        <is>
          <t>A</t>
        </is>
      </c>
      <c r="AJ140" s="25" t="n">
        <v>1</v>
      </c>
      <c r="AK140" s="25" t="n">
        <v>0</v>
      </c>
      <c r="AL140" s="26" t="n">
        <v>46062.47986111111</v>
      </c>
      <c r="AM140" s="26" t="n">
        <v>46062.47986111111</v>
      </c>
      <c r="AN140" s="25" t="inlineStr">
        <is>
          <t>LIGAÇÃO</t>
        </is>
      </c>
      <c r="AO140" s="25" t="inlineStr">
        <is>
          <t>NUTRIÇÃO | Liguei mas não atendeu, enviei áudio perguntando se gostaram da qualidade das lascas</t>
        </is>
      </c>
      <c r="AP140" s="27">
        <f>IF(AH140="","",IF(AH140=0,"PROSPECT",IF(AH140=1,"NOVO",IF(AH140&lt;=3,"EM DESENVOLVIMENTO",IF(AH140&lt;=6,"RECORRENTE","FIDELIZADO")))))</f>
        <v/>
      </c>
      <c r="AQ140" s="27">
        <f>IF(AJ140=0,0,IFERROR(SUM(U140:AF140)/AJ140,0))</f>
        <v/>
      </c>
      <c r="AS140" s="0" t="inlineStr">
        <is>
          <t>Carteira FEV/26 + Atend FEV/26</t>
        </is>
      </c>
    </row>
    <row r="141" ht="14.25" customHeight="1" s="16">
      <c r="A141" s="25" t="inlineStr">
        <is>
          <t>FIT &amp; GRANEL</t>
        </is>
      </c>
      <c r="B141" s="25" t="inlineStr">
        <is>
          <t>41069473000122</t>
        </is>
      </c>
      <c r="C141" s="25" t="inlineStr">
        <is>
          <t>MERCADO FIT &amp; GRANEL PRODUTOS NATURAIS LTDA</t>
        </is>
      </c>
      <c r="D141" s="25" t="inlineStr">
        <is>
          <t>MG</t>
        </is>
      </c>
      <c r="E141" s="25" t="inlineStr">
        <is>
          <t>PEDRO LEOPOLDO</t>
        </is>
      </c>
      <c r="F141" s="25" t="inlineStr">
        <is>
          <t>fit.granel@gmail.com</t>
        </is>
      </c>
      <c r="G141" s="25" t="inlineStr">
        <is>
          <t>+55 (31) 97254-6890</t>
        </is>
      </c>
      <c r="H141" s="25" t="inlineStr">
        <is>
          <t>08/10/2024</t>
        </is>
      </c>
      <c r="I141" s="25" t="n"/>
      <c r="J141" s="25" t="inlineStr">
        <is>
          <t>LARISSA PADILHA</t>
        </is>
      </c>
      <c r="K141" s="25" t="inlineStr">
        <is>
          <t>Larissa Padilha</t>
        </is>
      </c>
      <c r="L141" s="25" t="n">
        <v>80</v>
      </c>
      <c r="M141" s="25" t="inlineStr">
        <is>
          <t>27/11/2025</t>
        </is>
      </c>
      <c r="N141" s="25" t="n">
        <v>1982.29</v>
      </c>
      <c r="O141" s="25" t="n">
        <v>1</v>
      </c>
      <c r="P141" s="25" t="inlineStr">
        <is>
          <t>Sim</t>
        </is>
      </c>
      <c r="Q141" s="25" t="n">
        <v>120</v>
      </c>
      <c r="R141" s="25" t="n">
        <v>36</v>
      </c>
      <c r="S141" s="25" t="n">
        <v>7858.08</v>
      </c>
      <c r="T141" s="25" t="inlineStr">
        <is>
          <t>COMPRA B2B</t>
        </is>
      </c>
      <c r="U141" s="25" t="n">
        <v>0</v>
      </c>
      <c r="V141" s="25" t="n">
        <v>0</v>
      </c>
      <c r="W141" s="25" t="n">
        <v>1769.43</v>
      </c>
      <c r="X141" s="25" t="n">
        <v>0</v>
      </c>
      <c r="Y141" s="25" t="n">
        <v>3274.26</v>
      </c>
      <c r="Z141" s="25" t="n">
        <v>2426.28</v>
      </c>
      <c r="AA141" s="25" t="n">
        <v>1680.08</v>
      </c>
      <c r="AB141" s="25" t="n">
        <v>0</v>
      </c>
      <c r="AC141" s="25" t="n">
        <v>1982.29</v>
      </c>
      <c r="AD141" s="25" t="n">
        <v>0</v>
      </c>
      <c r="AE141" s="25" t="n">
        <v>0</v>
      </c>
      <c r="AF141" s="25" t="n">
        <v>0</v>
      </c>
      <c r="AG141" s="25" t="n">
        <v>36.6</v>
      </c>
      <c r="AH141" s="25" t="n">
        <v>5</v>
      </c>
      <c r="AI141" s="25" t="inlineStr">
        <is>
          <t>A</t>
        </is>
      </c>
      <c r="AJ141" s="25" t="n">
        <v>5</v>
      </c>
      <c r="AK141" s="25" t="n">
        <v>2226.47</v>
      </c>
      <c r="AL141" s="26" t="n">
        <v>46058.61637731481</v>
      </c>
      <c r="AM141" s="26" t="n">
        <v>46058.61637731481</v>
      </c>
      <c r="AN141" s="25" t="inlineStr">
        <is>
          <t>WHATSAPP</t>
        </is>
      </c>
      <c r="AO141" s="25" t="inlineStr">
        <is>
          <t>FIT &amp; GRANEL - MARLEI - MG</t>
        </is>
      </c>
      <c r="AP141" s="27">
        <f>IF(AH141="","",IF(AH141=0,"PROSPECT",IF(AH141=1,"NOVO",IF(AH141&lt;=3,"EM DESENVOLVIMENTO",IF(AH141&lt;=6,"RECORRENTE","FIDELIZADO")))))</f>
        <v/>
      </c>
      <c r="AQ141" s="27">
        <f>IF(AJ141=0,0,IFERROR(SUM(U141:AF141)/AJ141,0))</f>
        <v/>
      </c>
      <c r="AS141" s="0" t="inlineStr">
        <is>
          <t>Carteira FEV/26 + Atend FEV/26</t>
        </is>
      </c>
    </row>
    <row r="142" ht="14.25" customHeight="1" s="16">
      <c r="A142" s="25" t="inlineStr">
        <is>
          <t>FIT LAGES COMERCIO DE SUPLEMENTOS E PRODUTOS NATURAIS</t>
        </is>
      </c>
      <c r="B142" s="25" t="inlineStr">
        <is>
          <t>52607036000131</t>
        </is>
      </c>
      <c r="C142" s="25" t="inlineStr">
        <is>
          <t>FIT LAGES COMERCIO DE SUPLEMENTOS E PRODUTOS NATURAIS LTDA</t>
        </is>
      </c>
      <c r="D142" s="25" t="inlineStr">
        <is>
          <t>SC</t>
        </is>
      </c>
      <c r="E142" s="25" t="inlineStr">
        <is>
          <t>LAGES</t>
        </is>
      </c>
      <c r="F142" s="25" t="inlineStr">
        <is>
          <t>fitlandlages@gmail.com</t>
        </is>
      </c>
      <c r="G142" s="25" t="inlineStr">
        <is>
          <t>+55 (49) 98419-2453</t>
        </is>
      </c>
      <c r="H142" s="25" t="inlineStr">
        <is>
          <t>08/10/2024</t>
        </is>
      </c>
      <c r="I142" s="25" t="inlineStr">
        <is>
          <t>[Rede] Fit Land</t>
        </is>
      </c>
      <c r="J142" s="25" t="inlineStr">
        <is>
          <t>JULIO GADRET</t>
        </is>
      </c>
      <c r="K142" s="25" t="inlineStr">
        <is>
          <t>Julio  Gadret</t>
        </is>
      </c>
      <c r="L142" s="25" t="n">
        <v>82</v>
      </c>
      <c r="M142" s="25" t="inlineStr">
        <is>
          <t>25/11/2025</t>
        </is>
      </c>
      <c r="N142" s="25" t="n">
        <v>1152</v>
      </c>
      <c r="O142" s="25" t="n"/>
      <c r="P142" s="25" t="n"/>
      <c r="Q142" s="25" t="n"/>
      <c r="R142" s="25" t="n"/>
      <c r="S142" s="25" t="n"/>
      <c r="T142" s="25" t="n"/>
      <c r="U142" s="25" t="n">
        <v>0</v>
      </c>
      <c r="V142" s="25" t="n">
        <v>0</v>
      </c>
      <c r="W142" s="25" t="n">
        <v>0</v>
      </c>
      <c r="X142" s="25" t="n">
        <v>0</v>
      </c>
      <c r="Y142" s="25" t="n">
        <v>0</v>
      </c>
      <c r="Z142" s="25" t="n">
        <v>1990.59</v>
      </c>
      <c r="AA142" s="25" t="n">
        <v>774.24</v>
      </c>
      <c r="AB142" s="25" t="n">
        <v>0</v>
      </c>
      <c r="AC142" s="25" t="n">
        <v>1152</v>
      </c>
      <c r="AD142" s="25" t="n">
        <v>0</v>
      </c>
      <c r="AE142" s="25" t="n">
        <v>0</v>
      </c>
      <c r="AF142" s="25" t="n">
        <v>0</v>
      </c>
      <c r="AG142" s="25" t="n">
        <v>45.5</v>
      </c>
      <c r="AH142" s="25" t="n">
        <v>2</v>
      </c>
      <c r="AI142" s="25" t="inlineStr">
        <is>
          <t>A</t>
        </is>
      </c>
      <c r="AJ142" s="25" t="n">
        <v>3</v>
      </c>
      <c r="AK142" s="25" t="n">
        <v>1958.41</v>
      </c>
      <c r="AL142" s="26" t="n">
        <v>45999.45195601852</v>
      </c>
      <c r="AM142" s="26" t="n">
        <v>45999.45195601852</v>
      </c>
      <c r="AN142" s="25" t="inlineStr">
        <is>
          <t>WHATSAPP</t>
        </is>
      </c>
      <c r="AO142" s="25" t="inlineStr">
        <is>
          <t>FITLAND - JOICE - SC</t>
        </is>
      </c>
      <c r="AP142" s="27">
        <f>IF(AH142="","",IF(AH142=0,"PROSPECT",IF(AH142=1,"NOVO",IF(AH142&lt;=3,"EM DESENVOLVIMENTO",IF(AH142&lt;=6,"RECORRENTE","FIDELIZADO")))))</f>
        <v/>
      </c>
      <c r="AQ142" s="27">
        <f>IF(AJ142=0,0,IFERROR(SUM(U142:AF142)/AJ142,0))</f>
        <v/>
      </c>
      <c r="AS142" s="0" t="inlineStr">
        <is>
          <t>Carteira FEV/26</t>
        </is>
      </c>
    </row>
    <row r="143" ht="14.25" customHeight="1" s="16">
      <c r="A143" s="25" t="inlineStr">
        <is>
          <t>FOLHA E GRAO PRODUTOS NATURAIS</t>
        </is>
      </c>
      <c r="B143" s="25" t="inlineStr">
        <is>
          <t>58771384000126</t>
        </is>
      </c>
      <c r="C143" s="25" t="inlineStr">
        <is>
          <t>GRACIELA GRITTI LTDA</t>
        </is>
      </c>
      <c r="D143" s="25" t="inlineStr">
        <is>
          <t>RS</t>
        </is>
      </c>
      <c r="E143" s="25" t="inlineStr">
        <is>
          <t>PORTO ALEGRE</t>
        </is>
      </c>
      <c r="F143" s="25" t="inlineStr">
        <is>
          <t>gracielagrittiemp@gmail.com</t>
        </is>
      </c>
      <c r="G143" s="25" t="inlineStr">
        <is>
          <t>+55 (51) 99661-5844</t>
        </is>
      </c>
      <c r="H143" s="25" t="inlineStr">
        <is>
          <t>25/11/2025</t>
        </is>
      </c>
      <c r="I143" s="25" t="n"/>
      <c r="J143" s="25" t="inlineStr">
        <is>
          <t>JULIO GADRET</t>
        </is>
      </c>
      <c r="K143" s="25" t="inlineStr">
        <is>
          <t>Julio  Gadret</t>
        </is>
      </c>
      <c r="L143" s="25" t="n">
        <v>80</v>
      </c>
      <c r="M143" s="25" t="inlineStr">
        <is>
          <t>27/11/2025</t>
        </is>
      </c>
      <c r="N143" s="25" t="n">
        <v>665.51</v>
      </c>
      <c r="O143" s="25" t="n">
        <v>1</v>
      </c>
      <c r="P143" s="25" t="inlineStr">
        <is>
          <t>Sim</t>
        </is>
      </c>
      <c r="Q143" s="25" t="n">
        <v>33</v>
      </c>
      <c r="R143" s="25" t="n">
        <v>16</v>
      </c>
      <c r="S143" s="25" t="n">
        <v>665.51</v>
      </c>
      <c r="T143" s="25" t="inlineStr">
        <is>
          <t>COMPRA B2B</t>
        </is>
      </c>
      <c r="U143" s="25" t="n">
        <v>0</v>
      </c>
      <c r="V143" s="25" t="n">
        <v>0</v>
      </c>
      <c r="W143" s="25" t="n">
        <v>0</v>
      </c>
      <c r="X143" s="25" t="n">
        <v>0</v>
      </c>
      <c r="Y143" s="25" t="n">
        <v>0</v>
      </c>
      <c r="Z143" s="25" t="n">
        <v>0</v>
      </c>
      <c r="AA143" s="25" t="n">
        <v>0</v>
      </c>
      <c r="AB143" s="25" t="n">
        <v>0</v>
      </c>
      <c r="AC143" s="25" t="n">
        <v>665.51</v>
      </c>
      <c r="AD143" s="25" t="n">
        <v>0</v>
      </c>
      <c r="AE143" s="25" t="n">
        <v>0</v>
      </c>
      <c r="AF143" s="25" t="n">
        <v>0</v>
      </c>
      <c r="AG143" s="25" t="n">
        <v>0</v>
      </c>
      <c r="AH143" s="25" t="n">
        <v>0</v>
      </c>
      <c r="AI143" s="25" t="inlineStr">
        <is>
          <t>C</t>
        </is>
      </c>
      <c r="AJ143" s="25" t="n">
        <v>1</v>
      </c>
      <c r="AK143" s="25" t="n">
        <v>0</v>
      </c>
      <c r="AL143" s="26" t="n">
        <v>46043.48472222222</v>
      </c>
      <c r="AM143" s="26" t="n">
        <v>46043.48472222222</v>
      </c>
      <c r="AN143" s="25" t="inlineStr">
        <is>
          <t>LIGAÇÃO</t>
        </is>
      </c>
      <c r="AO143" s="25" t="inlineStr">
        <is>
          <t>Ela recebeu 2x os mesmo produtos e aceitou, faturamos novamente</t>
        </is>
      </c>
      <c r="AP143" s="27">
        <f>IF(AH143="","",IF(AH143=0,"PROSPECT",IF(AH143=1,"NOVO",IF(AH143&lt;=3,"EM DESENVOLVIMENTO",IF(AH143&lt;=6,"RECORRENTE","FIDELIZADO")))))</f>
        <v/>
      </c>
      <c r="AQ143" s="27">
        <f>IF(AJ143=0,0,IFERROR(SUM(U143:AF143)/AJ143,0))</f>
        <v/>
      </c>
      <c r="AS143" s="0" t="inlineStr">
        <is>
          <t>Carteira FEV/26</t>
        </is>
      </c>
    </row>
    <row r="144" ht="14.25" customHeight="1" s="16">
      <c r="A144" s="25" t="inlineStr">
        <is>
          <t>FRANQUIA FITLAND POMERODE</t>
        </is>
      </c>
      <c r="B144" s="25" t="inlineStr">
        <is>
          <t>55717635000104</t>
        </is>
      </c>
      <c r="C144" s="25" t="inlineStr">
        <is>
          <t>EPERCAM PRODUTOS NATURAIS E SUPLEMENTOS LTDA</t>
        </is>
      </c>
      <c r="D144" s="25" t="inlineStr">
        <is>
          <t>SC</t>
        </is>
      </c>
      <c r="E144" s="25" t="inlineStr">
        <is>
          <t>POMERODE</t>
        </is>
      </c>
      <c r="F144" s="25" t="inlineStr">
        <is>
          <t>fitlandpomerode@gmail.com</t>
        </is>
      </c>
      <c r="G144" s="25" t="inlineStr">
        <is>
          <t>+55 (47) 9225-4513 | +55 (47) 9902-2386 | +55 (47) 9995-6980 (LUANA DONA)</t>
        </is>
      </c>
      <c r="H144" s="25" t="inlineStr">
        <is>
          <t>08/10/2024</t>
        </is>
      </c>
      <c r="I144" s="25" t="inlineStr">
        <is>
          <t>[Rede] Fit Land</t>
        </is>
      </c>
      <c r="J144" s="25" t="inlineStr">
        <is>
          <t>LARISSA PADILHA</t>
        </is>
      </c>
      <c r="K144" s="25" t="inlineStr">
        <is>
          <t>Julio  Gadret</t>
        </is>
      </c>
      <c r="L144" s="25" t="n">
        <v>79</v>
      </c>
      <c r="M144" s="25" t="inlineStr">
        <is>
          <t>28/11/2025</t>
        </is>
      </c>
      <c r="N144" s="25" t="n">
        <v>1681.06</v>
      </c>
      <c r="O144" s="25" t="n">
        <v>1</v>
      </c>
      <c r="P144" s="25" t="inlineStr">
        <is>
          <t>Sim</t>
        </is>
      </c>
      <c r="Q144" s="25" t="n">
        <v>59</v>
      </c>
      <c r="R144" s="25" t="n">
        <v>21</v>
      </c>
      <c r="S144" s="25" t="n">
        <v>2303.38</v>
      </c>
      <c r="T144" s="25" t="inlineStr">
        <is>
          <t>COMPRA B2B</t>
        </is>
      </c>
      <c r="U144" s="25" t="n">
        <v>0</v>
      </c>
      <c r="V144" s="25" t="n">
        <v>0</v>
      </c>
      <c r="W144" s="25" t="n">
        <v>0</v>
      </c>
      <c r="X144" s="25" t="n">
        <v>1765.7</v>
      </c>
      <c r="Y144" s="25" t="n">
        <v>0</v>
      </c>
      <c r="Z144" s="25" t="n">
        <v>2303.38</v>
      </c>
      <c r="AA144" s="25" t="n">
        <v>0</v>
      </c>
      <c r="AB144" s="25" t="n">
        <v>0</v>
      </c>
      <c r="AC144" s="25" t="n">
        <v>1681.06</v>
      </c>
      <c r="AD144" s="25" t="n">
        <v>0</v>
      </c>
      <c r="AE144" s="25" t="n">
        <v>0</v>
      </c>
      <c r="AF144" s="25" t="n">
        <v>0</v>
      </c>
      <c r="AG144" s="25" t="n">
        <v>86</v>
      </c>
      <c r="AH144" s="25" t="n">
        <v>2</v>
      </c>
      <c r="AI144" s="25" t="inlineStr">
        <is>
          <t>A</t>
        </is>
      </c>
      <c r="AJ144" s="25" t="n">
        <v>3</v>
      </c>
      <c r="AK144" s="25" t="n">
        <v>2875.07</v>
      </c>
      <c r="AL144" s="26" t="n">
        <v>45951.4259375</v>
      </c>
      <c r="AM144" s="26" t="n">
        <v>45951.4259375</v>
      </c>
      <c r="AN144" s="25" t="inlineStr">
        <is>
          <t>WHATSAPP</t>
        </is>
      </c>
      <c r="AO144" s="28" t="inlineStr">
        <is>
          <t>FITLAND - POMERODE - LUANA</t>
        </is>
      </c>
      <c r="AP144" s="27">
        <f>IF(AH144="","",IF(AH144=0,"PROSPECT",IF(AH144=1,"NOVO",IF(AH144&lt;=3,"EM DESENVOLVIMENTO",IF(AH144&lt;=6,"RECORRENTE","FIDELIZADO")))))</f>
        <v/>
      </c>
      <c r="AQ144" s="27">
        <f>IF(AJ144=0,0,IFERROR(SUM(U144:AF144)/AJ144,0))</f>
        <v/>
      </c>
      <c r="AS144" s="0" t="inlineStr">
        <is>
          <t>Carteira FEV/26</t>
        </is>
      </c>
    </row>
    <row r="145" ht="14.25" customHeight="1" s="16">
      <c r="A145" s="25" t="inlineStr">
        <is>
          <t>FRANQUIA FITLAND TIMBO</t>
        </is>
      </c>
      <c r="B145" s="25" t="inlineStr">
        <is>
          <t>53304073000133</t>
        </is>
      </c>
      <c r="C145" s="25" t="inlineStr">
        <is>
          <t>ECAMP PRODUTOS NATURAIS E SUPLEMENTOS LTDA</t>
        </is>
      </c>
      <c r="D145" s="25" t="inlineStr">
        <is>
          <t>SC</t>
        </is>
      </c>
      <c r="E145" s="25" t="inlineStr">
        <is>
          <t>TIMBO</t>
        </is>
      </c>
      <c r="F145" s="25" t="inlineStr">
        <is>
          <t>redefitland19@gmail.com</t>
        </is>
      </c>
      <c r="G145" s="25" t="inlineStr">
        <is>
          <t>+55 (47) 9995-6980</t>
        </is>
      </c>
      <c r="H145" s="25" t="inlineStr">
        <is>
          <t>08/10/2024</t>
        </is>
      </c>
      <c r="I145" s="25" t="inlineStr">
        <is>
          <t>[Rede] Fit Land</t>
        </is>
      </c>
      <c r="J145" s="25" t="inlineStr">
        <is>
          <t>JULIO GADRET</t>
        </is>
      </c>
      <c r="K145" s="25" t="inlineStr">
        <is>
          <t>Julio  Gadret</t>
        </is>
      </c>
      <c r="L145" s="25" t="n">
        <v>80</v>
      </c>
      <c r="M145" s="25" t="inlineStr">
        <is>
          <t>27/11/2025</t>
        </is>
      </c>
      <c r="N145" s="25" t="n">
        <v>1753.02</v>
      </c>
      <c r="O145" s="25" t="n">
        <v>4</v>
      </c>
      <c r="P145" s="25" t="inlineStr">
        <is>
          <t>Sim</t>
        </is>
      </c>
      <c r="Q145" s="25" t="n">
        <v>107</v>
      </c>
      <c r="R145" s="25" t="n">
        <v>34</v>
      </c>
      <c r="S145" s="25" t="n">
        <v>4396.27</v>
      </c>
      <c r="T145" s="25" t="inlineStr">
        <is>
          <t>COMPRA B2B</t>
        </is>
      </c>
      <c r="U145" s="25" t="n">
        <v>0</v>
      </c>
      <c r="V145" s="25" t="n">
        <v>0</v>
      </c>
      <c r="W145" s="25" t="n">
        <v>0</v>
      </c>
      <c r="X145" s="25" t="n">
        <v>2643.25</v>
      </c>
      <c r="Y145" s="25" t="n">
        <v>3899.13</v>
      </c>
      <c r="Z145" s="25" t="n">
        <v>0</v>
      </c>
      <c r="AA145" s="25" t="n">
        <v>0</v>
      </c>
      <c r="AB145" s="25" t="n">
        <v>1886.58</v>
      </c>
      <c r="AC145" s="25" t="n">
        <v>1753.02</v>
      </c>
      <c r="AD145" s="25" t="n">
        <v>0</v>
      </c>
      <c r="AE145" s="25" t="n">
        <v>0</v>
      </c>
      <c r="AF145" s="25" t="n">
        <v>0</v>
      </c>
      <c r="AG145" s="25" t="n">
        <v>33.8</v>
      </c>
      <c r="AH145" s="25" t="n">
        <v>5</v>
      </c>
      <c r="AI145" s="25" t="inlineStr">
        <is>
          <t>A</t>
        </is>
      </c>
      <c r="AJ145" s="25" t="n">
        <v>4</v>
      </c>
      <c r="AK145" s="25" t="n">
        <v>2036.4</v>
      </c>
      <c r="AL145" s="26" t="n">
        <v>45833.71875</v>
      </c>
      <c r="AM145" s="26" t="n">
        <v>45833.71875</v>
      </c>
      <c r="AN145" s="25" t="inlineStr">
        <is>
          <t>WHATSAPP</t>
        </is>
      </c>
      <c r="AO145" s="25" t="inlineStr">
        <is>
          <t>PRÉ-VENDA | Mensagem sobre a compra coletiva</t>
        </is>
      </c>
      <c r="AP145" s="27">
        <f>IF(AH145="","",IF(AH145=0,"PROSPECT",IF(AH145=1,"NOVO",IF(AH145&lt;=3,"EM DESENVOLVIMENTO",IF(AH145&lt;=6,"RECORRENTE","FIDELIZADO")))))</f>
        <v/>
      </c>
      <c r="AQ145" s="27">
        <f>IF(AJ145=0,0,IFERROR(SUM(U145:AF145)/AJ145,0))</f>
        <v/>
      </c>
      <c r="AS145" s="0" t="inlineStr">
        <is>
          <t>Carteira FEV/26</t>
        </is>
      </c>
    </row>
    <row r="146" ht="14.25" customHeight="1" s="16">
      <c r="A146" s="25" t="inlineStr">
        <is>
          <t>GRAO E VIDA</t>
        </is>
      </c>
      <c r="B146" s="25" t="inlineStr">
        <is>
          <t>43590125000121</t>
        </is>
      </c>
      <c r="C146" s="25" t="inlineStr">
        <is>
          <t>GRAO E VIDA PRODUTOS NATURAIS ITURAMA LTDA</t>
        </is>
      </c>
      <c r="D146" s="25" t="inlineStr">
        <is>
          <t>MG</t>
        </is>
      </c>
      <c r="E146" s="25" t="inlineStr">
        <is>
          <t>ITURAMA</t>
        </is>
      </c>
      <c r="F146" s="25" t="inlineStr">
        <is>
          <t>alanagarciamoreira@gmail.com,contato@graovida.com.br</t>
        </is>
      </c>
      <c r="G146" s="25" t="inlineStr">
        <is>
          <t>+55 (17) 99248-4748</t>
        </is>
      </c>
      <c r="H146" s="25" t="inlineStr">
        <is>
          <t>02/10/2025</t>
        </is>
      </c>
      <c r="I146" s="25" t="n"/>
      <c r="J146" s="25" t="inlineStr">
        <is>
          <t>LARISSA PADILHA</t>
        </is>
      </c>
      <c r="K146" s="25" t="inlineStr">
        <is>
          <t>Larissa Padilha</t>
        </is>
      </c>
      <c r="L146" s="25" t="n">
        <v>82</v>
      </c>
      <c r="M146" s="25" t="inlineStr">
        <is>
          <t>25/11/2025</t>
        </is>
      </c>
      <c r="N146" s="25" t="n">
        <v>3162.59</v>
      </c>
      <c r="O146" s="25" t="n">
        <v>4</v>
      </c>
      <c r="P146" s="25" t="inlineStr">
        <is>
          <t>Sim</t>
        </is>
      </c>
      <c r="Q146" s="25" t="n">
        <v>41</v>
      </c>
      <c r="R146" s="25" t="n">
        <v>17</v>
      </c>
      <c r="S146" s="25" t="n">
        <v>3162.59</v>
      </c>
      <c r="T146" s="25" t="inlineStr">
        <is>
          <t>COMPRA B2B</t>
        </is>
      </c>
      <c r="U146" s="25" t="n">
        <v>0</v>
      </c>
      <c r="V146" s="25" t="n">
        <v>0</v>
      </c>
      <c r="W146" s="25" t="n">
        <v>0</v>
      </c>
      <c r="X146" s="25" t="n">
        <v>0</v>
      </c>
      <c r="Y146" s="25" t="n">
        <v>0</v>
      </c>
      <c r="Z146" s="25" t="n">
        <v>0</v>
      </c>
      <c r="AA146" s="25" t="n">
        <v>0</v>
      </c>
      <c r="AB146" s="25" t="n">
        <v>3075.94</v>
      </c>
      <c r="AC146" s="25" t="n">
        <v>3162.59</v>
      </c>
      <c r="AD146" s="25" t="n">
        <v>0</v>
      </c>
      <c r="AE146" s="25" t="n">
        <v>0</v>
      </c>
      <c r="AF146" s="25" t="n">
        <v>0</v>
      </c>
      <c r="AG146" s="25" t="n">
        <v>50</v>
      </c>
      <c r="AH146" s="25" t="n">
        <v>1</v>
      </c>
      <c r="AI146" s="25" t="inlineStr">
        <is>
          <t>A</t>
        </is>
      </c>
      <c r="AJ146" s="25" t="n">
        <v>2</v>
      </c>
      <c r="AK146" s="25" t="n">
        <v>6238.53</v>
      </c>
      <c r="AL146" s="26" t="n">
        <v>46062.48888888889</v>
      </c>
      <c r="AM146" s="26" t="n">
        <v>46062.48888888889</v>
      </c>
      <c r="AN146" s="25" t="inlineStr">
        <is>
          <t>LIGAÇÃO</t>
        </is>
      </c>
      <c r="AO146" s="25" t="inlineStr">
        <is>
          <t>NUTRIÇÃO | Liguei mas não atendeu, enviei áudio passando as ofertas do mês</t>
        </is>
      </c>
      <c r="AP146" s="27">
        <f>IF(AH146="","",IF(AH146=0,"PROSPECT",IF(AH146=1,"NOVO",IF(AH146&lt;=3,"EM DESENVOLVIMENTO",IF(AH146&lt;=6,"RECORRENTE","FIDELIZADO")))))</f>
        <v/>
      </c>
      <c r="AQ146" s="27">
        <f>IF(AJ146=0,0,IFERROR(SUM(U146:AF146)/AJ146,0))</f>
        <v/>
      </c>
      <c r="AR146" s="15" t="inlineStr">
        <is>
          <t>⚠️ DDD(17)=SP≠MG</t>
        </is>
      </c>
      <c r="AS146" s="0" t="inlineStr">
        <is>
          <t>Carteira FEV/26 + Atend FEV/26</t>
        </is>
      </c>
    </row>
    <row r="147" ht="14.25" customHeight="1" s="16">
      <c r="A147" s="25" t="inlineStr">
        <is>
          <t>GRAO VIDA</t>
        </is>
      </c>
      <c r="B147" s="25" t="inlineStr">
        <is>
          <t>31599810000130</t>
        </is>
      </c>
      <c r="C147" s="25" t="inlineStr">
        <is>
          <t>ALANA GARCIA MOREIRA SUARES DA SILVA</t>
        </is>
      </c>
      <c r="D147" s="25" t="inlineStr">
        <is>
          <t>SP</t>
        </is>
      </c>
      <c r="E147" s="25" t="inlineStr">
        <is>
          <t>JALES</t>
        </is>
      </c>
      <c r="F147" s="25" t="inlineStr">
        <is>
          <t>Alanagarciamoreira@gmail.com</t>
        </is>
      </c>
      <c r="G147" s="25" t="inlineStr">
        <is>
          <t>+55 (17) 99248-4748</t>
        </is>
      </c>
      <c r="H147" s="25" t="inlineStr">
        <is>
          <t>08/10/2024</t>
        </is>
      </c>
      <c r="I147" s="25" t="n"/>
      <c r="J147" s="25" t="inlineStr">
        <is>
          <t>LARISSA PADILHA</t>
        </is>
      </c>
      <c r="K147" s="25" t="inlineStr">
        <is>
          <t>Larissa Padilha</t>
        </is>
      </c>
      <c r="L147" s="25" t="n">
        <v>82</v>
      </c>
      <c r="M147" s="25" t="inlineStr">
        <is>
          <t>25/11/2025</t>
        </is>
      </c>
      <c r="N147" s="25" t="n">
        <v>1870.8</v>
      </c>
      <c r="O147" s="25" t="n">
        <v>2</v>
      </c>
      <c r="P147" s="25" t="inlineStr">
        <is>
          <t>Sim</t>
        </is>
      </c>
      <c r="Q147" s="25" t="n">
        <v>22</v>
      </c>
      <c r="R147" s="25" t="n">
        <v>11</v>
      </c>
      <c r="S147" s="25" t="n">
        <v>1870.8</v>
      </c>
      <c r="T147" s="25" t="inlineStr">
        <is>
          <t>COMPRA B2B</t>
        </is>
      </c>
      <c r="U147" s="25" t="n">
        <v>0</v>
      </c>
      <c r="V147" s="25" t="n">
        <v>0</v>
      </c>
      <c r="W147" s="25" t="n">
        <v>1710.88</v>
      </c>
      <c r="X147" s="25" t="n">
        <v>4099.8</v>
      </c>
      <c r="Y147" s="25" t="n">
        <v>7115.96</v>
      </c>
      <c r="Z147" s="25" t="n">
        <v>0</v>
      </c>
      <c r="AA147" s="25" t="n">
        <v>0</v>
      </c>
      <c r="AB147" s="25" t="n">
        <v>3508.11</v>
      </c>
      <c r="AC147" s="25" t="n">
        <v>1870.8</v>
      </c>
      <c r="AD147" s="25" t="n">
        <v>0</v>
      </c>
      <c r="AE147" s="25" t="n">
        <v>0</v>
      </c>
      <c r="AF147" s="25" t="n">
        <v>0</v>
      </c>
      <c r="AG147" s="25" t="n">
        <v>47.5</v>
      </c>
      <c r="AH147" s="25" t="n">
        <v>4</v>
      </c>
      <c r="AI147" s="25" t="inlineStr">
        <is>
          <t>A</t>
        </is>
      </c>
      <c r="AJ147" s="25" t="n">
        <v>5</v>
      </c>
      <c r="AK147" s="25" t="n">
        <v>4576.39</v>
      </c>
      <c r="AL147" s="26" t="n">
        <v>46058.61944444444</v>
      </c>
      <c r="AM147" s="26" t="n">
        <v>46058.61944444444</v>
      </c>
      <c r="AN147" s="25" t="inlineStr">
        <is>
          <t>WHATSAPP</t>
        </is>
      </c>
      <c r="AO147" s="25" t="inlineStr">
        <is>
          <t>NUTRIÇÃO | Envio da campanha do mês</t>
        </is>
      </c>
      <c r="AP147" s="27">
        <f>IF(AH147="","",IF(AH147=0,"PROSPECT",IF(AH147=1,"NOVO",IF(AH147&lt;=3,"EM DESENVOLVIMENTO",IF(AH147&lt;=6,"RECORRENTE","FIDELIZADO")))))</f>
        <v/>
      </c>
      <c r="AQ147" s="27">
        <f>IF(AJ147=0,0,IFERROR(SUM(U147:AF147)/AJ147,0))</f>
        <v/>
      </c>
      <c r="AS147" s="0" t="inlineStr">
        <is>
          <t>Carteira FEV/26 + Atend FEV/26</t>
        </is>
      </c>
    </row>
    <row r="148" ht="14.25" customHeight="1" s="16">
      <c r="A148" s="25" t="inlineStr">
        <is>
          <t>JACKSON</t>
        </is>
      </c>
      <c r="B148" s="25" t="inlineStr">
        <is>
          <t>09534909475</t>
        </is>
      </c>
      <c r="C148" s="25" t="inlineStr">
        <is>
          <t>JACKSON HEBERT DE BARROS LIMA DUARTE</t>
        </is>
      </c>
      <c r="D148" s="25" t="inlineStr">
        <is>
          <t>PE</t>
        </is>
      </c>
      <c r="E148" s="25" t="inlineStr">
        <is>
          <t>CARUARU</t>
        </is>
      </c>
      <c r="F148" s="25" t="inlineStr">
        <is>
          <t>Jacksonhebert90@gmail.com</t>
        </is>
      </c>
      <c r="G148" s="25" t="inlineStr">
        <is>
          <t>+55 (81) 9276-1730</t>
        </is>
      </c>
      <c r="H148" s="25" t="inlineStr">
        <is>
          <t>19/11/2025</t>
        </is>
      </c>
      <c r="I148" s="25" t="n"/>
      <c r="J148" s="25" t="inlineStr">
        <is>
          <t>LARISSA PADILHA</t>
        </is>
      </c>
      <c r="K148" s="25" t="inlineStr">
        <is>
          <t>Larissa Padilha</t>
        </is>
      </c>
      <c r="L148" s="25" t="n">
        <v>69</v>
      </c>
      <c r="M148" s="25" t="inlineStr">
        <is>
          <t>08/12/2025</t>
        </is>
      </c>
      <c r="N148" s="25" t="n">
        <v>407.92</v>
      </c>
      <c r="O148" s="25" t="n">
        <v>1</v>
      </c>
      <c r="P148" s="25" t="inlineStr">
        <is>
          <t>Sim</t>
        </is>
      </c>
      <c r="Q148" s="25" t="n">
        <v>337</v>
      </c>
      <c r="R148" s="25" t="n">
        <v>42</v>
      </c>
      <c r="S148" s="25" t="n">
        <v>1199.04</v>
      </c>
      <c r="T148" s="25" t="inlineStr">
        <is>
          <t>COMPRA B2B</t>
        </is>
      </c>
      <c r="U148" s="25" t="n">
        <v>0</v>
      </c>
      <c r="V148" s="25" t="n">
        <v>0</v>
      </c>
      <c r="W148" s="25" t="n">
        <v>0</v>
      </c>
      <c r="X148" s="25" t="n">
        <v>0</v>
      </c>
      <c r="Y148" s="25" t="n">
        <v>0</v>
      </c>
      <c r="Z148" s="25" t="n">
        <v>0</v>
      </c>
      <c r="AA148" s="25" t="n">
        <v>0</v>
      </c>
      <c r="AB148" s="25" t="n">
        <v>0</v>
      </c>
      <c r="AC148" s="25" t="n">
        <v>791.12</v>
      </c>
      <c r="AD148" s="25" t="n">
        <v>407.92</v>
      </c>
      <c r="AE148" s="25" t="n">
        <v>0</v>
      </c>
      <c r="AF148" s="25" t="n">
        <v>0</v>
      </c>
      <c r="AG148" s="25" t="n">
        <v>14</v>
      </c>
      <c r="AH148" s="25" t="n">
        <v>1</v>
      </c>
      <c r="AI148" s="25" t="inlineStr">
        <is>
          <t>B</t>
        </is>
      </c>
      <c r="AJ148" s="25" t="n">
        <v>2</v>
      </c>
      <c r="AK148" s="25" t="n">
        <v>1199.04</v>
      </c>
      <c r="AL148" s="26" t="n">
        <v>46065.425</v>
      </c>
      <c r="AM148" s="26" t="n">
        <v>46065.425</v>
      </c>
      <c r="AN148" s="25" t="inlineStr">
        <is>
          <t>WHATSAPP</t>
        </is>
      </c>
      <c r="AO148" s="25" t="inlineStr">
        <is>
          <t>NUTRIÇÃO | Envio da campanha do mês</t>
        </is>
      </c>
      <c r="AP148" s="27">
        <f>IF(AH148="","",IF(AH148=0,"PROSPECT",IF(AH148=1,"NOVO",IF(AH148&lt;=3,"EM DESENVOLVIMENTO",IF(AH148&lt;=6,"RECORRENTE","FIDELIZADO")))))</f>
        <v/>
      </c>
      <c r="AQ148" s="27">
        <f>IF(AJ148=0,0,IFERROR(SUM(U148:AF148)/AJ148,0))</f>
        <v/>
      </c>
      <c r="AS148" s="0" t="inlineStr">
        <is>
          <t>Carteira FEV/26 + Atend FEV/26 + Ecom FEV/26</t>
        </is>
      </c>
    </row>
    <row r="149" ht="14.25" customHeight="1" s="16">
      <c r="A149" s="25" t="inlineStr">
        <is>
          <t>KLOSTERMANN NUTRICAO</t>
        </is>
      </c>
      <c r="B149" s="25" t="inlineStr">
        <is>
          <t>58072623000150</t>
        </is>
      </c>
      <c r="C149" s="25" t="inlineStr">
        <is>
          <t>KLOSTERMANN NUTRICAO LTDA</t>
        </is>
      </c>
      <c r="D149" s="25" t="inlineStr">
        <is>
          <t>SC</t>
        </is>
      </c>
      <c r="E149" s="25" t="inlineStr">
        <is>
          <t>JOINVILLE</t>
        </is>
      </c>
      <c r="F149" s="25" t="inlineStr">
        <is>
          <t>cristopher.espindola@gmail.com</t>
        </is>
      </c>
      <c r="G149" s="25" t="inlineStr">
        <is>
          <t>+55 (47) 9278-0085</t>
        </is>
      </c>
      <c r="H149" s="25" t="inlineStr">
        <is>
          <t>08/05/2025</t>
        </is>
      </c>
      <c r="I149" s="25" t="inlineStr">
        <is>
          <t>[Rede] Fit Land</t>
        </is>
      </c>
      <c r="J149" s="25" t="inlineStr">
        <is>
          <t>JULIO GADRET</t>
        </is>
      </c>
      <c r="K149" s="25" t="inlineStr">
        <is>
          <t>Julio  Gadret</t>
        </is>
      </c>
      <c r="L149" s="25" t="n">
        <v>83</v>
      </c>
      <c r="M149" s="25" t="inlineStr">
        <is>
          <t>24/11/2025</t>
        </is>
      </c>
      <c r="N149" s="25" t="n">
        <v>1998.41</v>
      </c>
      <c r="O149" s="25" t="n"/>
      <c r="P149" s="25" t="n"/>
      <c r="Q149" s="25" t="n"/>
      <c r="R149" s="25" t="n"/>
      <c r="S149" s="25" t="n"/>
      <c r="T149" s="25" t="n"/>
      <c r="U149" s="25" t="n">
        <v>0</v>
      </c>
      <c r="V149" s="25" t="n">
        <v>0</v>
      </c>
      <c r="W149" s="25" t="n">
        <v>686.12</v>
      </c>
      <c r="X149" s="25" t="n">
        <v>0</v>
      </c>
      <c r="Y149" s="25" t="n">
        <v>1437.64</v>
      </c>
      <c r="Z149" s="25" t="n">
        <v>906.11</v>
      </c>
      <c r="AA149" s="25" t="n">
        <v>2748.6</v>
      </c>
      <c r="AB149" s="25" t="n">
        <v>2484</v>
      </c>
      <c r="AC149" s="25" t="n">
        <v>1998.41</v>
      </c>
      <c r="AD149" s="25" t="n">
        <v>0</v>
      </c>
      <c r="AE149" s="25" t="n">
        <v>0</v>
      </c>
      <c r="AF149" s="25" t="n">
        <v>0</v>
      </c>
      <c r="AG149" s="25" t="n">
        <v>40</v>
      </c>
      <c r="AH149" s="25" t="n">
        <v>5</v>
      </c>
      <c r="AI149" s="25" t="inlineStr">
        <is>
          <t>A</t>
        </is>
      </c>
      <c r="AJ149" s="25" t="n">
        <v>6</v>
      </c>
      <c r="AK149" s="25" t="n">
        <v>2052.18</v>
      </c>
      <c r="AL149" s="26" t="n">
        <v>45813.74097222222</v>
      </c>
      <c r="AM149" s="26" t="n">
        <v>45813.74097222222</v>
      </c>
      <c r="AN149" s="25" t="inlineStr">
        <is>
          <t>WHATSAPP</t>
        </is>
      </c>
      <c r="AO149" s="25" t="inlineStr">
        <is>
          <t>PÓS-VENDA | Em contato para verificar sobre orçamento que enviei ontem</t>
        </is>
      </c>
      <c r="AP149" s="27">
        <f>IF(AH149="","",IF(AH149=0,"PROSPECT",IF(AH149=1,"NOVO",IF(AH149&lt;=3,"EM DESENVOLVIMENTO",IF(AH149&lt;=6,"RECORRENTE","FIDELIZADO")))))</f>
        <v/>
      </c>
      <c r="AQ149" s="27">
        <f>IF(AJ149=0,0,IFERROR(SUM(U149:AF149)/AJ149,0))</f>
        <v/>
      </c>
      <c r="AS149" s="0" t="inlineStr">
        <is>
          <t>Carteira FEV/26</t>
        </is>
      </c>
    </row>
    <row r="150" ht="14.25" customHeight="1" s="16">
      <c r="A150" s="25" t="inlineStr">
        <is>
          <t>MARIA FITNESS</t>
        </is>
      </c>
      <c r="B150" s="25" t="inlineStr">
        <is>
          <t>58067518000122</t>
        </is>
      </c>
      <c r="C150" s="25" t="inlineStr">
        <is>
          <t>MARIA FITNESS LTDA</t>
        </is>
      </c>
      <c r="D150" s="25" t="inlineStr">
        <is>
          <t>MG</t>
        </is>
      </c>
      <c r="E150" s="25" t="inlineStr">
        <is>
          <t>CONTAGEM</t>
        </is>
      </c>
      <c r="F150" s="25" t="inlineStr">
        <is>
          <t>mariafitnesscontagem@gmail.com</t>
        </is>
      </c>
      <c r="G150" s="25" t="inlineStr">
        <is>
          <t>+55 (31) 9694-6667</t>
        </is>
      </c>
      <c r="H150" s="25" t="inlineStr">
        <is>
          <t>15/04/2025</t>
        </is>
      </c>
      <c r="I150" s="25" t="n"/>
      <c r="J150" s="25" t="inlineStr">
        <is>
          <t>JULIO GADRET</t>
        </is>
      </c>
      <c r="K150" s="25" t="inlineStr">
        <is>
          <t>Julio  Gadret</t>
        </is>
      </c>
      <c r="L150" s="25" t="n">
        <v>79</v>
      </c>
      <c r="M150" s="25" t="inlineStr">
        <is>
          <t>28/11/2025</t>
        </is>
      </c>
      <c r="N150" s="25" t="n">
        <v>1769.64</v>
      </c>
      <c r="O150" s="25" t="n">
        <v>1</v>
      </c>
      <c r="P150" s="25" t="inlineStr">
        <is>
          <t>Sim</t>
        </is>
      </c>
      <c r="Q150" s="25" t="n">
        <v>24</v>
      </c>
      <c r="R150" s="25" t="n">
        <v>12</v>
      </c>
      <c r="S150" s="25" t="n">
        <v>1769.64</v>
      </c>
      <c r="T150" s="25" t="inlineStr">
        <is>
          <t>COMPRA B2B</t>
        </is>
      </c>
      <c r="U150" s="25" t="n">
        <v>0</v>
      </c>
      <c r="V150" s="25" t="n">
        <v>0</v>
      </c>
      <c r="W150" s="25" t="n">
        <v>0</v>
      </c>
      <c r="X150" s="25" t="n">
        <v>0</v>
      </c>
      <c r="Y150" s="25" t="n">
        <v>0</v>
      </c>
      <c r="Z150" s="25" t="n">
        <v>0</v>
      </c>
      <c r="AA150" s="25" t="n">
        <v>0</v>
      </c>
      <c r="AB150" s="25" t="n">
        <v>0</v>
      </c>
      <c r="AC150" s="25" t="n">
        <v>1769.64</v>
      </c>
      <c r="AD150" s="25" t="n">
        <v>0</v>
      </c>
      <c r="AE150" s="25" t="n">
        <v>0</v>
      </c>
      <c r="AF150" s="25" t="n">
        <v>0</v>
      </c>
      <c r="AG150" s="25" t="n">
        <v>0</v>
      </c>
      <c r="AH150" s="25" t="n">
        <v>0</v>
      </c>
      <c r="AI150" s="25" t="inlineStr">
        <is>
          <t>B</t>
        </is>
      </c>
      <c r="AJ150" s="25" t="n">
        <v>1</v>
      </c>
      <c r="AK150" s="25" t="n">
        <v>0</v>
      </c>
      <c r="AL150" s="26" t="n">
        <v>46037.34664351852</v>
      </c>
      <c r="AM150" s="26" t="n">
        <v>46037.34664351852</v>
      </c>
      <c r="AN150" s="25" t="inlineStr">
        <is>
          <t>WHATSAPP</t>
        </is>
      </c>
      <c r="AO150" s="25" t="inlineStr">
        <is>
          <t>MARIA FITNESS - ANDREA - MG</t>
        </is>
      </c>
      <c r="AP150" s="27">
        <f>IF(AH150="","",IF(AH150=0,"PROSPECT",IF(AH150=1,"NOVO",IF(AH150&lt;=3,"EM DESENVOLVIMENTO",IF(AH150&lt;=6,"RECORRENTE","FIDELIZADO")))))</f>
        <v/>
      </c>
      <c r="AQ150" s="27">
        <f>IF(AJ150=0,0,IFERROR(SUM(U150:AF150)/AJ150,0))</f>
        <v/>
      </c>
      <c r="AS150" s="0" t="inlineStr">
        <is>
          <t>Carteira FEV/26</t>
        </is>
      </c>
    </row>
    <row r="151" ht="14.25" customHeight="1" s="16">
      <c r="A151" s="25" t="inlineStr">
        <is>
          <t>MERCADO KRAU'S</t>
        </is>
      </c>
      <c r="B151" s="25" t="inlineStr">
        <is>
          <t>29841719000137</t>
        </is>
      </c>
      <c r="C151" s="25" t="inlineStr">
        <is>
          <t>SALLES &amp; SALLES LTDA</t>
        </is>
      </c>
      <c r="D151" s="25" t="inlineStr">
        <is>
          <t>MS</t>
        </is>
      </c>
      <c r="E151" s="25" t="inlineStr">
        <is>
          <t>NAVIRAI</t>
        </is>
      </c>
      <c r="F151" s="25" t="inlineStr">
        <is>
          <t>Mercadokraus@outlook.com</t>
        </is>
      </c>
      <c r="G151" s="25" t="inlineStr">
        <is>
          <t>+55 (67) 9684-2698</t>
        </is>
      </c>
      <c r="H151" s="25" t="inlineStr">
        <is>
          <t>02/04/2025</t>
        </is>
      </c>
      <c r="I151" s="25" t="n"/>
      <c r="J151" s="25" t="inlineStr">
        <is>
          <t>LARISSA PADILHA</t>
        </is>
      </c>
      <c r="K151" s="25" t="inlineStr">
        <is>
          <t>Larissa Padilha</t>
        </is>
      </c>
      <c r="L151" s="25" t="n">
        <v>2</v>
      </c>
      <c r="M151" s="25" t="inlineStr">
        <is>
          <t>13/02/2026</t>
        </is>
      </c>
      <c r="N151" s="25" t="n">
        <v>1142.29</v>
      </c>
      <c r="O151" s="25" t="n">
        <v>4</v>
      </c>
      <c r="P151" s="25" t="inlineStr">
        <is>
          <t>Sim</t>
        </is>
      </c>
      <c r="Q151" s="25" t="n">
        <v>284</v>
      </c>
      <c r="R151" s="25" t="n">
        <v>115</v>
      </c>
      <c r="S151" s="25" t="n">
        <v>6206.41</v>
      </c>
      <c r="T151" s="25" t="inlineStr">
        <is>
          <t>COMPRA B2B</t>
        </is>
      </c>
      <c r="U151" s="25" t="n">
        <v>0</v>
      </c>
      <c r="V151" s="25" t="n">
        <v>3043.77</v>
      </c>
      <c r="W151" s="25" t="n">
        <v>0</v>
      </c>
      <c r="X151" s="25" t="n">
        <v>0</v>
      </c>
      <c r="Y151" s="25" t="n">
        <v>0</v>
      </c>
      <c r="Z151" s="25" t="n">
        <v>2363.33</v>
      </c>
      <c r="AA151" s="25" t="n">
        <v>0</v>
      </c>
      <c r="AB151" s="25" t="n">
        <v>0</v>
      </c>
      <c r="AC151" s="25" t="n">
        <v>0</v>
      </c>
      <c r="AD151" s="25" t="n">
        <v>2020.35</v>
      </c>
      <c r="AE151" s="25" t="n">
        <v>0</v>
      </c>
      <c r="AF151" s="25" t="n">
        <v>1142.29</v>
      </c>
      <c r="AG151" s="25" t="n">
        <v>105.3333</v>
      </c>
      <c r="AH151" s="25" t="n">
        <v>4</v>
      </c>
      <c r="AI151" s="25" t="inlineStr">
        <is>
          <t>B</t>
        </is>
      </c>
      <c r="AJ151" s="25" t="n">
        <v>4</v>
      </c>
      <c r="AK151" s="25" t="n">
        <v>2142.43</v>
      </c>
      <c r="AL151" s="26" t="n">
        <v>46065.42083333333</v>
      </c>
      <c r="AM151" s="26" t="n">
        <v>46065.42083333333</v>
      </c>
      <c r="AN151" s="25" t="inlineStr">
        <is>
          <t>WHATSAPP</t>
        </is>
      </c>
      <c r="AO151" s="25" t="inlineStr">
        <is>
          <t>NUTRIÇÃO | Envio de campanha do mês</t>
        </is>
      </c>
      <c r="AP151" s="27">
        <f>IF(AH151="","",IF(AH151=0,"PROSPECT",IF(AH151=1,"NOVO",IF(AH151&lt;=3,"EM DESENVOLVIMENTO",IF(AH151&lt;=6,"RECORRENTE","FIDELIZADO")))))</f>
        <v/>
      </c>
      <c r="AQ151" s="27">
        <f>IF(AJ151=0,0,IFERROR(SUM(U151:AF151)/AJ151,0))</f>
        <v/>
      </c>
      <c r="AS151" s="0" t="inlineStr">
        <is>
          <t>Carteira FEV/26 + Atend FEV/26 + Ecom FEV/26 + Vendas FEV/26 + ABC FEV/26</t>
        </is>
      </c>
    </row>
    <row r="152" ht="14.25" customHeight="1" s="16">
      <c r="A152" s="25" t="inlineStr">
        <is>
          <t>MERCADO MODELO</t>
        </is>
      </c>
      <c r="B152" s="25" t="inlineStr">
        <is>
          <t>12104010000156</t>
        </is>
      </c>
      <c r="C152" s="25" t="inlineStr">
        <is>
          <t>JULIANA ROBERTA CARNIO DE CASTRO</t>
        </is>
      </c>
      <c r="D152" s="25" t="inlineStr">
        <is>
          <t>PR</t>
        </is>
      </c>
      <c r="E152" s="25" t="inlineStr">
        <is>
          <t>RONDON</t>
        </is>
      </c>
      <c r="F152" s="25" t="inlineStr">
        <is>
          <t>ronaldodecastro@live.com</t>
        </is>
      </c>
      <c r="G152" s="25" t="inlineStr">
        <is>
          <t>+55 (44) 9732-4973</t>
        </is>
      </c>
      <c r="H152" s="25" t="inlineStr">
        <is>
          <t>06/10/2025</t>
        </is>
      </c>
      <c r="I152" s="25" t="n"/>
      <c r="J152" s="25" t="inlineStr">
        <is>
          <t>MANU DITZEL</t>
        </is>
      </c>
      <c r="K152" s="25" t="inlineStr">
        <is>
          <t>Manu Ditzel</t>
        </is>
      </c>
      <c r="L152" s="25" t="n">
        <v>73</v>
      </c>
      <c r="M152" s="25" t="inlineStr">
        <is>
          <t>04/12/2025</t>
        </is>
      </c>
      <c r="N152" s="25" t="n">
        <v>430.26</v>
      </c>
      <c r="O152" s="25" t="n">
        <v>10</v>
      </c>
      <c r="P152" s="25" t="inlineStr">
        <is>
          <t>Sim</t>
        </is>
      </c>
      <c r="Q152" s="25" t="n">
        <v>49</v>
      </c>
      <c r="R152" s="25" t="n">
        <v>6</v>
      </c>
      <c r="S152" s="25" t="n">
        <v>430.26</v>
      </c>
      <c r="T152" s="25" t="inlineStr">
        <is>
          <t>COMPRA B2B</t>
        </is>
      </c>
      <c r="U152" s="25" t="n">
        <v>0</v>
      </c>
      <c r="V152" s="25" t="n">
        <v>0</v>
      </c>
      <c r="W152" s="25" t="n">
        <v>0</v>
      </c>
      <c r="X152" s="25" t="n">
        <v>0</v>
      </c>
      <c r="Y152" s="25" t="n">
        <v>0</v>
      </c>
      <c r="Z152" s="25" t="n">
        <v>0</v>
      </c>
      <c r="AA152" s="25" t="n">
        <v>0</v>
      </c>
      <c r="AB152" s="25" t="n">
        <v>743.62</v>
      </c>
      <c r="AC152" s="25" t="n">
        <v>0</v>
      </c>
      <c r="AD152" s="25" t="n">
        <v>430.26</v>
      </c>
      <c r="AE152" s="25" t="n">
        <v>0</v>
      </c>
      <c r="AF152" s="25" t="n">
        <v>0</v>
      </c>
      <c r="AG152" s="25" t="n">
        <v>52</v>
      </c>
      <c r="AH152" s="25" t="n">
        <v>2</v>
      </c>
      <c r="AI152" s="25" t="inlineStr">
        <is>
          <t>B</t>
        </is>
      </c>
      <c r="AJ152" s="25" t="n">
        <v>2</v>
      </c>
      <c r="AK152" s="25" t="n">
        <v>586.9400000000001</v>
      </c>
      <c r="AL152" s="26" t="n">
        <v>46063.66805555556</v>
      </c>
      <c r="AM152" s="26" t="n">
        <v>46063.66805555556</v>
      </c>
      <c r="AN152" s="25" t="inlineStr">
        <is>
          <t>WHATSAPP</t>
        </is>
      </c>
      <c r="AO152" s="28" t="inlineStr">
        <is>
          <t>MENSAGENS MINHAS NÃO ESTAVAM CHEGANDO PARA CLIENTE, FOI FEITO ATUALIZAÇÃO AGORA DO DESK E DEU CERTO, PORÉM CLIENTE NÃO RESPONDEU MAIS</t>
        </is>
      </c>
      <c r="AP152" s="27">
        <f>IF(AH152="","",IF(AH152=0,"PROSPECT",IF(AH152=1,"NOVO",IF(AH152&lt;=3,"EM DESENVOLVIMENTO",IF(AH152&lt;=6,"RECORRENTE","FIDELIZADO")))))</f>
        <v/>
      </c>
      <c r="AQ152" s="27">
        <f>IF(AJ152=0,0,IFERROR(SUM(U152:AF152)/AJ152,0))</f>
        <v/>
      </c>
      <c r="AS152" s="0" t="inlineStr">
        <is>
          <t>Carteira FEV/26 + Atend FEV/26</t>
        </is>
      </c>
    </row>
    <row r="153" ht="14.25" customHeight="1" s="16">
      <c r="A153" s="25" t="inlineStr">
        <is>
          <t>MINI MERCADO FAMILIA</t>
        </is>
      </c>
      <c r="B153" s="25" t="inlineStr">
        <is>
          <t>35743795000102</t>
        </is>
      </c>
      <c r="C153" s="25" t="inlineStr">
        <is>
          <t>AM-FRESH MINI MERCADO LTDA</t>
        </is>
      </c>
      <c r="D153" s="25" t="inlineStr">
        <is>
          <t>SC</t>
        </is>
      </c>
      <c r="E153" s="25" t="inlineStr">
        <is>
          <t>FLORIANOPOLIS</t>
        </is>
      </c>
      <c r="F153" s="25" t="inlineStr">
        <is>
          <t>minimercado@gmail.com</t>
        </is>
      </c>
      <c r="G153" s="25" t="inlineStr">
        <is>
          <t>+55 (48) 99965-8556</t>
        </is>
      </c>
      <c r="H153" s="25" t="inlineStr">
        <is>
          <t>26/08/2025</t>
        </is>
      </c>
      <c r="I153" s="25" t="n"/>
      <c r="J153" s="25" t="inlineStr">
        <is>
          <t>MANU DITZEL</t>
        </is>
      </c>
      <c r="K153" s="25" t="inlineStr">
        <is>
          <t>Manu Ditzel</t>
        </is>
      </c>
      <c r="L153" s="25" t="n">
        <v>82</v>
      </c>
      <c r="M153" s="25" t="inlineStr">
        <is>
          <t>25/11/2025</t>
        </is>
      </c>
      <c r="N153" s="25" t="n">
        <v>1693.08</v>
      </c>
      <c r="O153" s="25" t="n"/>
      <c r="P153" s="25" t="n"/>
      <c r="Q153" s="25" t="n"/>
      <c r="R153" s="25" t="n"/>
      <c r="S153" s="25" t="n"/>
      <c r="T153" s="25" t="n"/>
      <c r="U153" s="25" t="n">
        <v>0</v>
      </c>
      <c r="V153" s="25" t="n">
        <v>0</v>
      </c>
      <c r="W153" s="25" t="n">
        <v>0</v>
      </c>
      <c r="X153" s="25" t="n">
        <v>0</v>
      </c>
      <c r="Y153" s="25" t="n">
        <v>0</v>
      </c>
      <c r="Z153" s="25" t="n">
        <v>2161.62</v>
      </c>
      <c r="AA153" s="25" t="n">
        <v>0</v>
      </c>
      <c r="AB153" s="25" t="n">
        <v>0</v>
      </c>
      <c r="AC153" s="25" t="n">
        <v>1693.08</v>
      </c>
      <c r="AD153" s="25" t="n">
        <v>0</v>
      </c>
      <c r="AE153" s="25" t="n">
        <v>0</v>
      </c>
      <c r="AF153" s="25" t="n">
        <v>0</v>
      </c>
      <c r="AG153" s="25" t="n">
        <v>90</v>
      </c>
      <c r="AH153" s="25" t="n">
        <v>1</v>
      </c>
      <c r="AI153" s="25" t="inlineStr">
        <is>
          <t>A</t>
        </is>
      </c>
      <c r="AJ153" s="25" t="n">
        <v>2</v>
      </c>
      <c r="AK153" s="25" t="n">
        <v>3854.7</v>
      </c>
      <c r="AL153" s="26" t="n">
        <v>46063.67847222222</v>
      </c>
      <c r="AM153" s="26" t="n">
        <v>46063.67847222222</v>
      </c>
      <c r="AN153" s="25" t="inlineStr">
        <is>
          <t>LIGAÇÃO</t>
        </is>
      </c>
      <c r="AO153" s="25" t="inlineStr">
        <is>
          <t>CLIENTE VAI MANDAR PEDIDO FINAL DO MÊS</t>
        </is>
      </c>
      <c r="AP153" s="27">
        <f>IF(AH153="","",IF(AH153=0,"PROSPECT",IF(AH153=1,"NOVO",IF(AH153&lt;=3,"EM DESENVOLVIMENTO",IF(AH153&lt;=6,"RECORRENTE","FIDELIZADO")))))</f>
        <v/>
      </c>
      <c r="AQ153" s="27">
        <f>IF(AJ153=0,0,IFERROR(SUM(U153:AF153)/AJ153,0))</f>
        <v/>
      </c>
      <c r="AS153" s="0" t="inlineStr">
        <is>
          <t>Carteira FEV/26 + Atend FEV/26</t>
        </is>
      </c>
    </row>
    <row r="154" ht="14.25" customHeight="1" s="16">
      <c r="A154" s="25" t="inlineStr">
        <is>
          <t>MOA EMPORIO</t>
        </is>
      </c>
      <c r="B154" s="25" t="inlineStr">
        <is>
          <t>52035194000164</t>
        </is>
      </c>
      <c r="C154" s="25" t="inlineStr">
        <is>
          <t>MOA EMPORIO LTDA</t>
        </is>
      </c>
      <c r="D154" s="25" t="inlineStr">
        <is>
          <t>SP</t>
        </is>
      </c>
      <c r="E154" s="25" t="inlineStr">
        <is>
          <t>Araraquara</t>
        </is>
      </c>
      <c r="F154" s="25" t="inlineStr">
        <is>
          <t>contato@moaemporio.com.br</t>
        </is>
      </c>
      <c r="G154" s="25" t="inlineStr">
        <is>
          <t>+55 (16) 99739-5135</t>
        </is>
      </c>
      <c r="H154" s="25" t="inlineStr">
        <is>
          <t>26/05/2025</t>
        </is>
      </c>
      <c r="I154" s="25" t="n"/>
      <c r="J154" s="25" t="inlineStr">
        <is>
          <t>Lorrany</t>
        </is>
      </c>
      <c r="K154" s="25" t="inlineStr">
        <is>
          <t>Central - Daiane</t>
        </is>
      </c>
      <c r="L154" s="25" t="n">
        <v>81</v>
      </c>
      <c r="M154" s="25" t="inlineStr">
        <is>
          <t>26/11/2025</t>
        </is>
      </c>
      <c r="N154" s="25" t="n">
        <v>1449.87</v>
      </c>
      <c r="O154" s="25" t="n"/>
      <c r="P154" s="25" t="n"/>
      <c r="Q154" s="25" t="n"/>
      <c r="R154" s="25" t="n"/>
      <c r="S154" s="25" t="n"/>
      <c r="T154" s="25" t="n"/>
      <c r="U154" s="25" t="n">
        <v>0</v>
      </c>
      <c r="V154" s="25" t="n">
        <v>0</v>
      </c>
      <c r="W154" s="25" t="n">
        <v>0</v>
      </c>
      <c r="X154" s="25" t="n">
        <v>0</v>
      </c>
      <c r="Y154" s="25" t="n">
        <v>664.12</v>
      </c>
      <c r="Z154" s="25" t="n">
        <v>898.7</v>
      </c>
      <c r="AA154" s="25" t="n">
        <v>0</v>
      </c>
      <c r="AB154" s="25" t="n">
        <v>0</v>
      </c>
      <c r="AC154" s="25" t="n">
        <v>1449.87</v>
      </c>
      <c r="AD154" s="25" t="n">
        <v>0</v>
      </c>
      <c r="AE154" s="25" t="n">
        <v>0</v>
      </c>
      <c r="AF154" s="25" t="n">
        <v>0</v>
      </c>
      <c r="AG154" s="25" t="n">
        <v>73</v>
      </c>
      <c r="AH154" s="25" t="n">
        <v>2</v>
      </c>
      <c r="AI154" s="25" t="inlineStr">
        <is>
          <t>A</t>
        </is>
      </c>
      <c r="AJ154" s="25" t="n">
        <v>3</v>
      </c>
      <c r="AK154" s="25" t="n">
        <v>1506.35</v>
      </c>
      <c r="AL154" s="26" t="n">
        <v>45803.62013888889</v>
      </c>
      <c r="AM154" s="26" t="n">
        <v>45803.62013888889</v>
      </c>
      <c r="AN154" s="25" t="inlineStr">
        <is>
          <t>WHATSAPP</t>
        </is>
      </c>
      <c r="AO154" s="28" t="inlineStr">
        <is>
          <t>PRÉ-VENDA | Link: https://vitaomais.meuspedidos.com.br/ E-mail: contato@moaemporio.com.br Senha: 762552 Em contato com Ariane, apresentei o canal interno e pass</t>
        </is>
      </c>
      <c r="AP154" s="27">
        <f>IF(AH154="","",IF(AH154=0,"PROSPECT",IF(AH154=1,"NOVO",IF(AH154&lt;=3,"EM DESENVOLVIMENTO",IF(AH154&lt;=6,"RECORRENTE","FIDELIZADO")))))</f>
        <v/>
      </c>
      <c r="AQ154" s="27">
        <f>IF(AJ154=0,0,IFERROR(SUM(U154:AF154)/AJ154,0))</f>
        <v/>
      </c>
      <c r="AS154" s="0" t="inlineStr">
        <is>
          <t>Carteira FEV/26</t>
        </is>
      </c>
    </row>
    <row r="155" ht="14.25" customHeight="1" s="16">
      <c r="A155" s="25" t="inlineStr">
        <is>
          <t>MODESTA VEGANA</t>
        </is>
      </c>
      <c r="B155" s="25" t="inlineStr">
        <is>
          <t>36093651000110</t>
        </is>
      </c>
      <c r="C155" s="25" t="inlineStr">
        <is>
          <t>MODESTA VEGANA MERCADO E CAFE LTDA</t>
        </is>
      </c>
      <c r="D155" s="25" t="inlineStr">
        <is>
          <t>RS</t>
        </is>
      </c>
      <c r="E155" s="25" t="inlineStr">
        <is>
          <t>PORTO ALEGRE</t>
        </is>
      </c>
      <c r="F155" s="25" t="inlineStr">
        <is>
          <t>modesta@teste.com.br</t>
        </is>
      </c>
      <c r="G155" s="25" t="inlineStr">
        <is>
          <t>+55 (51) 9500-8088</t>
        </is>
      </c>
      <c r="H155" s="25" t="inlineStr">
        <is>
          <t>21/03/2025</t>
        </is>
      </c>
      <c r="I155" s="25" t="n"/>
      <c r="J155" s="25" t="inlineStr">
        <is>
          <t>MANU DITZEL</t>
        </is>
      </c>
      <c r="K155" s="25" t="inlineStr">
        <is>
          <t>Manu Ditzel</t>
        </is>
      </c>
      <c r="L155" s="25" t="n">
        <v>81</v>
      </c>
      <c r="M155" s="25" t="inlineStr">
        <is>
          <t>26/11/2025</t>
        </is>
      </c>
      <c r="N155" s="25" t="n">
        <v>790.39</v>
      </c>
      <c r="O155" s="25" t="n">
        <v>1</v>
      </c>
      <c r="P155" s="25" t="inlineStr">
        <is>
          <t>Sim</t>
        </is>
      </c>
      <c r="Q155" s="25" t="n">
        <v>48</v>
      </c>
      <c r="R155" s="25" t="n">
        <v>16</v>
      </c>
      <c r="S155" s="25" t="n">
        <v>790.39</v>
      </c>
      <c r="T155" s="25" t="inlineStr">
        <is>
          <t>COMPRA B2B</t>
        </is>
      </c>
      <c r="U155" s="25" t="n">
        <v>1205.36</v>
      </c>
      <c r="V155" s="25" t="n">
        <v>0</v>
      </c>
      <c r="W155" s="25" t="n">
        <v>0</v>
      </c>
      <c r="X155" s="25" t="n">
        <v>0</v>
      </c>
      <c r="Y155" s="25" t="n">
        <v>859.97</v>
      </c>
      <c r="Z155" s="25" t="n">
        <v>0</v>
      </c>
      <c r="AA155" s="25" t="n">
        <v>0</v>
      </c>
      <c r="AB155" s="25" t="n">
        <v>0</v>
      </c>
      <c r="AC155" s="25" t="n">
        <v>790.39</v>
      </c>
      <c r="AD155" s="25" t="n">
        <v>0</v>
      </c>
      <c r="AE155" s="25" t="n">
        <v>0</v>
      </c>
      <c r="AF155" s="25" t="n">
        <v>0</v>
      </c>
      <c r="AG155" s="25" t="n">
        <v>123</v>
      </c>
      <c r="AH155" s="25" t="n">
        <v>2</v>
      </c>
      <c r="AI155" s="25" t="inlineStr">
        <is>
          <t>A</t>
        </is>
      </c>
      <c r="AJ155" s="25" t="n">
        <v>4</v>
      </c>
      <c r="AK155" s="25" t="n">
        <v>2030.54</v>
      </c>
      <c r="AL155" s="26" t="n">
        <v>46063.67777777778</v>
      </c>
      <c r="AM155" s="26" t="n">
        <v>46063.67777777778</v>
      </c>
      <c r="AN155" s="25" t="inlineStr">
        <is>
          <t>LIGAÇÃO</t>
        </is>
      </c>
      <c r="AO155" s="25" t="inlineStr">
        <is>
          <t>CHAMA ATÉ CAIR // TROCOU O COMPRAS E ESSA NÃO RESPONDE E NÃO ATENDE</t>
        </is>
      </c>
      <c r="AP155" s="27">
        <f>IF(AH155="","",IF(AH155=0,"PROSPECT",IF(AH155=1,"NOVO",IF(AH155&lt;=3,"EM DESENVOLVIMENTO",IF(AH155&lt;=6,"RECORRENTE","FIDELIZADO")))))</f>
        <v/>
      </c>
      <c r="AQ155" s="27">
        <f>IF(AJ155=0,0,IFERROR(SUM(U155:AF155)/AJ155,0))</f>
        <v/>
      </c>
      <c r="AS155" s="0" t="inlineStr">
        <is>
          <t>Carteira FEV/26 + Atend FEV/26</t>
        </is>
      </c>
    </row>
    <row r="156" ht="14.25" customHeight="1" s="16">
      <c r="A156" s="25" t="inlineStr">
        <is>
          <t>MONKEY COOKIE</t>
        </is>
      </c>
      <c r="B156" s="25" t="inlineStr">
        <is>
          <t>21450286000187</t>
        </is>
      </c>
      <c r="C156" s="25" t="inlineStr">
        <is>
          <t>SR INDUSTRIA E COMERCIO DE ALIMENTOS LTDA</t>
        </is>
      </c>
      <c r="D156" s="25" t="inlineStr">
        <is>
          <t>PR</t>
        </is>
      </c>
      <c r="E156" s="25" t="inlineStr">
        <is>
          <t>CURITIBA</t>
        </is>
      </c>
      <c r="F156" s="25" t="inlineStr">
        <is>
          <t>contato@monkeycookie.com.br</t>
        </is>
      </c>
      <c r="G156" s="25" t="inlineStr">
        <is>
          <t>+55 (41) 3019-9221</t>
        </is>
      </c>
      <c r="H156" s="25" t="inlineStr">
        <is>
          <t>15/10/2025</t>
        </is>
      </c>
      <c r="I156" s="25" t="n"/>
      <c r="J156" s="25" t="inlineStr">
        <is>
          <t>MANU DITZEL</t>
        </is>
      </c>
      <c r="K156" s="25" t="inlineStr">
        <is>
          <t>Manu Ditzel</t>
        </is>
      </c>
      <c r="L156" s="25" t="n">
        <v>9</v>
      </c>
      <c r="M156" s="25" t="inlineStr">
        <is>
          <t>06/02/2026</t>
        </is>
      </c>
      <c r="N156" s="25" t="n">
        <v>1026.82</v>
      </c>
      <c r="O156" s="25" t="n"/>
      <c r="P156" s="25" t="n"/>
      <c r="Q156" s="25" t="n"/>
      <c r="R156" s="25" t="n"/>
      <c r="S156" s="25" t="n"/>
      <c r="T156" s="25" t="n"/>
      <c r="U156" s="25" t="n">
        <v>0</v>
      </c>
      <c r="V156" s="25" t="n">
        <v>0</v>
      </c>
      <c r="W156" s="25" t="n">
        <v>0</v>
      </c>
      <c r="X156" s="25" t="n">
        <v>0</v>
      </c>
      <c r="Y156" s="25" t="n">
        <v>0</v>
      </c>
      <c r="Z156" s="25" t="n">
        <v>0</v>
      </c>
      <c r="AA156" s="25" t="n">
        <v>0</v>
      </c>
      <c r="AB156" s="25" t="n">
        <v>2870.87</v>
      </c>
      <c r="AC156" s="25" t="n">
        <v>421.07</v>
      </c>
      <c r="AD156" s="25" t="n">
        <v>758.09</v>
      </c>
      <c r="AE156" s="25" t="n">
        <v>0</v>
      </c>
      <c r="AF156" s="25" t="n">
        <v>1026.82</v>
      </c>
      <c r="AG156" s="25" t="n">
        <v>36</v>
      </c>
      <c r="AH156" s="25" t="n">
        <v>3</v>
      </c>
      <c r="AI156" s="25" t="inlineStr">
        <is>
          <t>B</t>
        </is>
      </c>
      <c r="AJ156" s="25" t="n">
        <v>4</v>
      </c>
      <c r="AK156" s="25" t="n">
        <v>1692.28</v>
      </c>
      <c r="AL156" s="26" t="n">
        <v>46057.38611111111</v>
      </c>
      <c r="AM156" s="26" t="n">
        <v>46057.38611111111</v>
      </c>
      <c r="AN156" s="25" t="inlineStr">
        <is>
          <t>WHATSAPP</t>
        </is>
      </c>
      <c r="AO156" s="28" t="inlineStr">
        <is>
          <t>JÁ TINHA SIDO FEITO CONTATO E CLIENTE FALOU ESTA COM BASTANTE ESTOQUE ESTOQUE CHEIO</t>
        </is>
      </c>
      <c r="AP156" s="27">
        <f>IF(AH156="","",IF(AH156=0,"PROSPECT",IF(AH156=1,"NOVO",IF(AH156&lt;=3,"EM DESENVOLVIMENTO",IF(AH156&lt;=6,"RECORRENTE","FIDELIZADO")))))</f>
        <v/>
      </c>
      <c r="AQ156" s="27">
        <f>IF(AJ156=0,0,IFERROR(SUM(U156:AF156)/AJ156,0))</f>
        <v/>
      </c>
      <c r="AS156" s="0" t="inlineStr">
        <is>
          <t>Carteira FEV/26 + Atend FEV/26 + Vendas FEV/26 + ABC FEV/26</t>
        </is>
      </c>
    </row>
    <row r="157" ht="14.25" customHeight="1" s="16">
      <c r="A157" s="25" t="inlineStr">
        <is>
          <t>MUNDO VERDE</t>
        </is>
      </c>
      <c r="B157" s="25" t="inlineStr">
        <is>
          <t>72500887000198</t>
        </is>
      </c>
      <c r="C157" s="25" t="inlineStr">
        <is>
          <t>REIS COMERCIO DE PRODUTOS NATURAIS LTDA</t>
        </is>
      </c>
      <c r="D157" s="25" t="inlineStr">
        <is>
          <t>RJ</t>
        </is>
      </c>
      <c r="E157" s="25" t="inlineStr">
        <is>
          <t>Nova Friburgo</t>
        </is>
      </c>
      <c r="F157" s="25" t="inlineStr">
        <is>
          <t>friburgo@mundoverde.com.br</t>
        </is>
      </c>
      <c r="G157" s="25" t="inlineStr">
        <is>
          <t>+55 (22) 99252-1837 | +55 (22) 98151-2892 (GABRIELLY)</t>
        </is>
      </c>
      <c r="H157" s="25" t="inlineStr">
        <is>
          <t>08/10/2024</t>
        </is>
      </c>
      <c r="I157" s="25" t="inlineStr">
        <is>
          <t>[Rede] Mundo verde</t>
        </is>
      </c>
      <c r="J157" s="25" t="inlineStr">
        <is>
          <t>DAIANE STAVICKI</t>
        </is>
      </c>
      <c r="K157" s="25" t="inlineStr">
        <is>
          <t>Central - Daiane</t>
        </is>
      </c>
      <c r="L157" s="25" t="n">
        <v>73</v>
      </c>
      <c r="M157" s="25" t="inlineStr">
        <is>
          <t>04/12/2025</t>
        </is>
      </c>
      <c r="N157" s="25" t="n">
        <v>1873.3</v>
      </c>
      <c r="O157" s="25" t="n">
        <v>2</v>
      </c>
      <c r="P157" s="25" t="inlineStr">
        <is>
          <t>Sim</t>
        </is>
      </c>
      <c r="Q157" s="25" t="n">
        <v>32</v>
      </c>
      <c r="R157" s="25" t="n">
        <v>6</v>
      </c>
      <c r="S157" s="25" t="n">
        <v>3371.49</v>
      </c>
      <c r="T157" s="25" t="inlineStr">
        <is>
          <t>COMPRA B2B</t>
        </is>
      </c>
      <c r="U157" s="25" t="n">
        <v>2553.51</v>
      </c>
      <c r="V157" s="25" t="n">
        <v>0</v>
      </c>
      <c r="W157" s="25" t="n">
        <v>3356.38</v>
      </c>
      <c r="X157" s="25" t="n">
        <v>1498.19</v>
      </c>
      <c r="Y157" s="25" t="n">
        <v>0</v>
      </c>
      <c r="Z157" s="25" t="n">
        <v>0</v>
      </c>
      <c r="AA157" s="25" t="n">
        <v>1226.35</v>
      </c>
      <c r="AB157" s="25" t="n">
        <v>0</v>
      </c>
      <c r="AC157" s="25" t="n">
        <v>0</v>
      </c>
      <c r="AD157" s="25" t="n">
        <v>1873.3</v>
      </c>
      <c r="AE157" s="25" t="n">
        <v>0</v>
      </c>
      <c r="AF157" s="25" t="n">
        <v>0</v>
      </c>
      <c r="AG157" s="25" t="n">
        <v>81</v>
      </c>
      <c r="AH157" s="25" t="n">
        <v>5</v>
      </c>
      <c r="AI157" s="25" t="inlineStr">
        <is>
          <t>A</t>
        </is>
      </c>
      <c r="AJ157" s="25" t="n">
        <v>5</v>
      </c>
      <c r="AK157" s="25" t="n">
        <v>2101.55</v>
      </c>
      <c r="AL157" s="26" t="n">
        <v>46055.50138888889</v>
      </c>
      <c r="AM157" s="26" t="n">
        <v>46055.50138888889</v>
      </c>
      <c r="AN157" s="25" t="inlineStr">
        <is>
          <t>LIGAÇÃO</t>
        </is>
      </c>
      <c r="AO157" s="25" t="inlineStr">
        <is>
          <t>NÃO ATENDEU, MANDEI MSG NO WHATS PARA REPOSIÇÃO</t>
        </is>
      </c>
      <c r="AP157" s="27">
        <f>IF(AH157="","",IF(AH157=0,"PROSPECT",IF(AH157=1,"NOVO",IF(AH157&lt;=3,"EM DESENVOLVIMENTO",IF(AH157&lt;=6,"RECORRENTE","FIDELIZADO")))))</f>
        <v/>
      </c>
      <c r="AQ157" s="27">
        <f>IF(AJ157=0,0,IFERROR(SUM(U157:AF157)/AJ157,0))</f>
        <v/>
      </c>
      <c r="AS157" s="0" t="inlineStr">
        <is>
          <t>Carteira FEV/26 + Atend FEV/26</t>
        </is>
      </c>
    </row>
    <row r="158" ht="14.25" customHeight="1" s="16">
      <c r="A158" s="25" t="inlineStr">
        <is>
          <t>MUSSAMBE PRODUTOS NATURAIS</t>
        </is>
      </c>
      <c r="B158" s="25" t="inlineStr">
        <is>
          <t>63187605000153</t>
        </is>
      </c>
      <c r="C158" s="25" t="inlineStr">
        <is>
          <t>MUSSAMBE PRODUTOS NATURAIS E VARIEDADES LTDA</t>
        </is>
      </c>
      <c r="D158" s="25" t="inlineStr">
        <is>
          <t>PB</t>
        </is>
      </c>
      <c r="E158" s="25" t="inlineStr">
        <is>
          <t>CAMPINA GRANDE</t>
        </is>
      </c>
      <c r="F158" s="25" t="inlineStr">
        <is>
          <t>alyssonllira@hotmail.com</t>
        </is>
      </c>
      <c r="G158" s="25" t="inlineStr">
        <is>
          <t>+55 (83) 9940-4210</t>
        </is>
      </c>
      <c r="H158" s="25" t="inlineStr">
        <is>
          <t>25/11/2025</t>
        </is>
      </c>
      <c r="I158" s="25" t="n"/>
      <c r="J158" s="25" t="inlineStr">
        <is>
          <t>LARISSA PADILHA</t>
        </is>
      </c>
      <c r="K158" s="25" t="inlineStr">
        <is>
          <t>Larissa Padilha</t>
        </is>
      </c>
      <c r="L158" s="25" t="n">
        <v>81</v>
      </c>
      <c r="M158" s="25" t="inlineStr">
        <is>
          <t>26/11/2025</t>
        </is>
      </c>
      <c r="N158" s="25" t="n">
        <v>853.0700000000001</v>
      </c>
      <c r="O158" s="25" t="n">
        <v>1</v>
      </c>
      <c r="P158" s="25" t="inlineStr">
        <is>
          <t>Sim</t>
        </is>
      </c>
      <c r="Q158" s="25" t="n">
        <v>69</v>
      </c>
      <c r="R158" s="25" t="n">
        <v>24</v>
      </c>
      <c r="S158" s="25" t="n">
        <v>853.0700000000001</v>
      </c>
      <c r="T158" s="25" t="inlineStr">
        <is>
          <t>COMPRA B2B</t>
        </is>
      </c>
      <c r="U158" s="25" t="n">
        <v>0</v>
      </c>
      <c r="V158" s="25" t="n">
        <v>0</v>
      </c>
      <c r="W158" s="25" t="n">
        <v>0</v>
      </c>
      <c r="X158" s="25" t="n">
        <v>0</v>
      </c>
      <c r="Y158" s="25" t="n">
        <v>0</v>
      </c>
      <c r="Z158" s="25" t="n">
        <v>0</v>
      </c>
      <c r="AA158" s="25" t="n">
        <v>0</v>
      </c>
      <c r="AB158" s="25" t="n">
        <v>0</v>
      </c>
      <c r="AC158" s="25" t="n">
        <v>853.0700000000001</v>
      </c>
      <c r="AD158" s="25" t="n">
        <v>0</v>
      </c>
      <c r="AE158" s="25" t="n">
        <v>0</v>
      </c>
      <c r="AF158" s="25" t="n">
        <v>0</v>
      </c>
      <c r="AG158" s="25" t="n">
        <v>0</v>
      </c>
      <c r="AH158" s="25" t="n">
        <v>0</v>
      </c>
      <c r="AI158" s="25" t="inlineStr">
        <is>
          <t>C</t>
        </is>
      </c>
      <c r="AJ158" s="25" t="n">
        <v>1</v>
      </c>
      <c r="AK158" s="25" t="n">
        <v>0</v>
      </c>
      <c r="AL158" s="26" t="n">
        <v>46058.61828703704</v>
      </c>
      <c r="AM158" s="26" t="n">
        <v>46058.61828703704</v>
      </c>
      <c r="AN158" s="25" t="inlineStr">
        <is>
          <t>WHATSAPP</t>
        </is>
      </c>
      <c r="AO158" s="25" t="inlineStr">
        <is>
          <t>MUSSAMBE - ALYSSON - PB</t>
        </is>
      </c>
      <c r="AP158" s="27">
        <f>IF(AH158="","",IF(AH158=0,"PROSPECT",IF(AH158=1,"NOVO",IF(AH158&lt;=3,"EM DESENVOLVIMENTO",IF(AH158&lt;=6,"RECORRENTE","FIDELIZADO")))))</f>
        <v/>
      </c>
      <c r="AQ158" s="27">
        <f>IF(AJ158=0,0,IFERROR(SUM(U158:AF158)/AJ158,0))</f>
        <v/>
      </c>
      <c r="AS158" s="0" t="inlineStr">
        <is>
          <t>Carteira FEV/26 + Atend FEV/26</t>
        </is>
      </c>
    </row>
    <row r="159" ht="14.25" customHeight="1" s="16">
      <c r="A159" s="25" t="inlineStr">
        <is>
          <t>NATURALIS PRODUTOS NATURAIS</t>
        </is>
      </c>
      <c r="B159" s="25" t="inlineStr">
        <is>
          <t>31545180000110</t>
        </is>
      </c>
      <c r="C159" s="25" t="inlineStr">
        <is>
          <t>NATURALIS PRODUTOS NATURAIS LTDA</t>
        </is>
      </c>
      <c r="D159" s="25" t="inlineStr">
        <is>
          <t>SC</t>
        </is>
      </c>
      <c r="E159" s="25" t="inlineStr">
        <is>
          <t>INDAIAL</t>
        </is>
      </c>
      <c r="F159" s="25" t="inlineStr">
        <is>
          <t>naturalisindaialfinanceiro@gmail.com</t>
        </is>
      </c>
      <c r="G159" s="25" t="inlineStr">
        <is>
          <t>+55 (47) 99605-9541</t>
        </is>
      </c>
      <c r="H159" s="25" t="inlineStr">
        <is>
          <t>08/10/2024</t>
        </is>
      </c>
      <c r="I159" s="25" t="n"/>
      <c r="J159" s="25" t="inlineStr">
        <is>
          <t>MANU DITZEL</t>
        </is>
      </c>
      <c r="K159" s="25" t="inlineStr">
        <is>
          <t>Manu Ditzel</t>
        </is>
      </c>
      <c r="L159" s="25" t="n">
        <v>80</v>
      </c>
      <c r="M159" s="25" t="inlineStr">
        <is>
          <t>27/11/2025</t>
        </is>
      </c>
      <c r="N159" s="25" t="n">
        <v>4270.86</v>
      </c>
      <c r="O159" s="25" t="n"/>
      <c r="P159" s="25" t="n"/>
      <c r="Q159" s="25" t="n"/>
      <c r="R159" s="25" t="n"/>
      <c r="S159" s="25" t="n"/>
      <c r="T159" s="25" t="n"/>
      <c r="U159" s="25" t="n">
        <v>0</v>
      </c>
      <c r="V159" s="25" t="n">
        <v>4899.73</v>
      </c>
      <c r="W159" s="25" t="n">
        <v>2635.53</v>
      </c>
      <c r="X159" s="25" t="n">
        <v>0</v>
      </c>
      <c r="Y159" s="25" t="n">
        <v>0</v>
      </c>
      <c r="Z159" s="25" t="n">
        <v>5094</v>
      </c>
      <c r="AA159" s="25" t="n">
        <v>1188.55</v>
      </c>
      <c r="AB159" s="25" t="n">
        <v>3502.75</v>
      </c>
      <c r="AC159" s="25" t="n">
        <v>4270.86</v>
      </c>
      <c r="AD159" s="25" t="n">
        <v>0</v>
      </c>
      <c r="AE159" s="25" t="n">
        <v>0</v>
      </c>
      <c r="AF159" s="25" t="n">
        <v>1813.15</v>
      </c>
      <c r="AG159" s="25" t="n">
        <v>43.2</v>
      </c>
      <c r="AH159" s="25" t="n">
        <v>6</v>
      </c>
      <c r="AI159" s="25" t="inlineStr">
        <is>
          <t>A</t>
        </is>
      </c>
      <c r="AJ159" s="25" t="n">
        <v>7</v>
      </c>
      <c r="AK159" s="25" t="n">
        <v>3900.76</v>
      </c>
      <c r="AL159" s="26" t="n">
        <v>46063.67291666667</v>
      </c>
      <c r="AM159" s="26" t="n">
        <v>46063.67291666667</v>
      </c>
      <c r="AN159" s="25" t="inlineStr">
        <is>
          <t>OUTROS</t>
        </is>
      </c>
      <c r="AO159" s="25" t="inlineStr">
        <is>
          <t>ORÇAMENTO | CLIENTE MANDOU PEDIDO, PORÉM NÃO TEMOS PRODUTO PARA ATENDE - LO</t>
        </is>
      </c>
      <c r="AP159" s="27">
        <f>IF(AH159="","",IF(AH159=0,"PROSPECT",IF(AH159=1,"NOVO",IF(AH159&lt;=3,"EM DESENVOLVIMENTO",IF(AH159&lt;=6,"RECORRENTE","FIDELIZADO")))))</f>
        <v/>
      </c>
      <c r="AQ159" s="27">
        <f>IF(AJ159=0,0,IFERROR(SUM(U159:AF159)/AJ159,0))</f>
        <v/>
      </c>
      <c r="AS159" s="0" t="inlineStr">
        <is>
          <t>Carteira FEV/26 + Atend FEV/26 + Vendas FEV/26 + ABC FEV/26</t>
        </is>
      </c>
    </row>
    <row r="160" ht="14.25" customHeight="1" s="16">
      <c r="A160" s="25" t="inlineStr">
        <is>
          <t>NATURALLE EMPORIO</t>
        </is>
      </c>
      <c r="B160" s="25" t="inlineStr">
        <is>
          <t>31921194000191</t>
        </is>
      </c>
      <c r="C160" s="25" t="inlineStr">
        <is>
          <t>ADRIANA FONSECA LEMOS STEFFENS 83969578191</t>
        </is>
      </c>
      <c r="D160" s="25" t="inlineStr">
        <is>
          <t>SC</t>
        </is>
      </c>
      <c r="E160" s="25" t="inlineStr">
        <is>
          <t>URUBICI</t>
        </is>
      </c>
      <c r="F160" s="25" t="inlineStr">
        <is>
          <t>adrianafonsecasteffens@gmail.com</t>
        </is>
      </c>
      <c r="G160" s="25" t="inlineStr">
        <is>
          <t>+55 (49) 99820-5538</t>
        </is>
      </c>
      <c r="H160" s="25" t="inlineStr">
        <is>
          <t>08/10/2024</t>
        </is>
      </c>
      <c r="I160" s="25" t="n"/>
      <c r="J160" s="25" t="inlineStr">
        <is>
          <t>MANU DITZEL</t>
        </is>
      </c>
      <c r="K160" s="25" t="inlineStr">
        <is>
          <t>Manu Ditzel</t>
        </is>
      </c>
      <c r="L160" s="25" t="n">
        <v>88</v>
      </c>
      <c r="M160" s="25" t="inlineStr">
        <is>
          <t>19/11/2025</t>
        </is>
      </c>
      <c r="N160" s="25" t="n">
        <v>1081.37</v>
      </c>
      <c r="O160" s="25" t="n">
        <v>2</v>
      </c>
      <c r="P160" s="25" t="inlineStr">
        <is>
          <t>Sim</t>
        </is>
      </c>
      <c r="Q160" s="25" t="n">
        <v>5</v>
      </c>
      <c r="R160" s="25" t="n"/>
      <c r="S160" s="25" t="n"/>
      <c r="T160" s="25" t="n"/>
      <c r="U160" s="25" t="n">
        <v>0</v>
      </c>
      <c r="V160" s="25" t="n">
        <v>0</v>
      </c>
      <c r="W160" s="25" t="n">
        <v>0</v>
      </c>
      <c r="X160" s="25" t="n">
        <v>903.41</v>
      </c>
      <c r="Y160" s="25" t="n">
        <v>0</v>
      </c>
      <c r="Z160" s="25" t="n">
        <v>0</v>
      </c>
      <c r="AA160" s="25" t="n">
        <v>0</v>
      </c>
      <c r="AB160" s="25" t="n">
        <v>0</v>
      </c>
      <c r="AC160" s="25" t="n">
        <v>1081.37</v>
      </c>
      <c r="AD160" s="25" t="n">
        <v>0</v>
      </c>
      <c r="AE160" s="25" t="n">
        <v>0</v>
      </c>
      <c r="AF160" s="25" t="n">
        <v>0</v>
      </c>
      <c r="AG160" s="25" t="n">
        <v>142</v>
      </c>
      <c r="AH160" s="25" t="n">
        <v>1</v>
      </c>
      <c r="AI160" s="25" t="inlineStr">
        <is>
          <t>B</t>
        </is>
      </c>
      <c r="AJ160" s="25" t="n">
        <v>2</v>
      </c>
      <c r="AK160" s="25" t="n">
        <v>1984.78</v>
      </c>
      <c r="AL160" s="26" t="n">
        <v>46056.72291666667</v>
      </c>
      <c r="AM160" s="26" t="n">
        <v>46056.72291666667</v>
      </c>
      <c r="AN160" s="25" t="inlineStr">
        <is>
          <t>LIGAÇÃO</t>
        </is>
      </c>
      <c r="AO160" s="25" t="inlineStr">
        <is>
          <t>PERDA | perca</t>
        </is>
      </c>
      <c r="AP160" s="27">
        <f>IF(AH160="","",IF(AH160=0,"PROSPECT",IF(AH160=1,"NOVO",IF(AH160&lt;=3,"EM DESENVOLVIMENTO",IF(AH160&lt;=6,"RECORRENTE","FIDELIZADO")))))</f>
        <v/>
      </c>
      <c r="AQ160" s="27">
        <f>IF(AJ160=0,0,IFERROR(SUM(U160:AF160)/AJ160,0))</f>
        <v/>
      </c>
      <c r="AS160" s="0" t="inlineStr">
        <is>
          <t>Carteira FEV/26 + Atend FEV/26</t>
        </is>
      </c>
    </row>
    <row r="161" ht="14.25" customHeight="1" s="16">
      <c r="A161" s="25" t="inlineStr">
        <is>
          <t>NATURVIDA</t>
        </is>
      </c>
      <c r="B161" s="25" t="inlineStr">
        <is>
          <t>09185428000473</t>
        </is>
      </c>
      <c r="C161" s="25" t="inlineStr">
        <is>
          <t>NATURVIDA MERCADO SAUDAVEL LTDA</t>
        </is>
      </c>
      <c r="D161" s="25" t="inlineStr">
        <is>
          <t>RS</t>
        </is>
      </c>
      <c r="E161" s="25" t="inlineStr">
        <is>
          <t>SANTA CRUZ DO SUL</t>
        </is>
      </c>
      <c r="F161" s="25" t="inlineStr">
        <is>
          <t>administrativo@naturvida.com.br</t>
        </is>
      </c>
      <c r="G161" s="25" t="inlineStr">
        <is>
          <t>+55 (51) 3719-3512</t>
        </is>
      </c>
      <c r="H161" s="25" t="inlineStr">
        <is>
          <t>06/06/2025</t>
        </is>
      </c>
      <c r="I161" s="25" t="n"/>
      <c r="J161" s="25" t="inlineStr">
        <is>
          <t>MANU DITZEL</t>
        </is>
      </c>
      <c r="K161" s="25" t="inlineStr">
        <is>
          <t>Manu Ditzel</t>
        </is>
      </c>
      <c r="L161" s="25" t="n">
        <v>83</v>
      </c>
      <c r="M161" s="25" t="inlineStr">
        <is>
          <t>24/11/2025</t>
        </is>
      </c>
      <c r="N161" s="25" t="n">
        <v>1154.73</v>
      </c>
      <c r="O161" s="25" t="n"/>
      <c r="P161" s="25" t="n"/>
      <c r="Q161" s="25" t="n"/>
      <c r="R161" s="25" t="n"/>
      <c r="S161" s="25" t="n"/>
      <c r="T161" s="25" t="n"/>
      <c r="U161" s="25" t="n">
        <v>0</v>
      </c>
      <c r="V161" s="25" t="n">
        <v>0</v>
      </c>
      <c r="W161" s="25" t="n">
        <v>0</v>
      </c>
      <c r="X161" s="25" t="n">
        <v>0</v>
      </c>
      <c r="Y161" s="25" t="n">
        <v>0</v>
      </c>
      <c r="Z161" s="25" t="n">
        <v>0</v>
      </c>
      <c r="AA161" s="25" t="n">
        <v>0</v>
      </c>
      <c r="AB161" s="25" t="n">
        <v>0</v>
      </c>
      <c r="AC161" s="25" t="n">
        <v>1154.73</v>
      </c>
      <c r="AD161" s="25" t="n">
        <v>0</v>
      </c>
      <c r="AE161" s="25" t="n">
        <v>0</v>
      </c>
      <c r="AF161" s="25" t="n">
        <v>0</v>
      </c>
      <c r="AG161" s="25" t="n">
        <v>39.75</v>
      </c>
      <c r="AH161" s="25" t="n">
        <v>0</v>
      </c>
      <c r="AI161" s="25" t="inlineStr">
        <is>
          <t>A</t>
        </is>
      </c>
      <c r="AJ161" s="25" t="n">
        <v>1</v>
      </c>
      <c r="AK161" s="25" t="n">
        <v>0</v>
      </c>
      <c r="AL161" s="26" t="n">
        <v>46063.67916666667</v>
      </c>
      <c r="AM161" s="26" t="n">
        <v>46063.67916666667</v>
      </c>
      <c r="AN161" s="25" t="inlineStr">
        <is>
          <t>LIGAÇÃO</t>
        </is>
      </c>
      <c r="AO161" s="25" t="inlineStr">
        <is>
          <t>DEMOROU FATURAR, NÃO DEVE TER CHEGO AINDA, CLIENTE COMPROU SOMENTE NO CNPJ 09.185.428/0001-20</t>
        </is>
      </c>
      <c r="AP161" s="27">
        <f>IF(AH161="","",IF(AH161=0,"PROSPECT",IF(AH161=1,"NOVO",IF(AH161&lt;=3,"EM DESENVOLVIMENTO",IF(AH161&lt;=6,"RECORRENTE","FIDELIZADO")))))</f>
        <v/>
      </c>
      <c r="AQ161" s="27">
        <f>IF(AJ161=0,0,IFERROR(SUM(U161:AF161)/AJ161,0))</f>
        <v/>
      </c>
      <c r="AS161" s="0" t="inlineStr">
        <is>
          <t>Carteira FEV/26 + Atend FEV/26</t>
        </is>
      </c>
    </row>
    <row r="162" ht="14.25" customHeight="1" s="16">
      <c r="A162" s="25" t="inlineStr">
        <is>
          <t>NATURVIDA</t>
        </is>
      </c>
      <c r="B162" s="25" t="inlineStr">
        <is>
          <t>09185428000120</t>
        </is>
      </c>
      <c r="C162" s="25" t="inlineStr">
        <is>
          <t>NATURVIDA MERCADO SAUDAVEL LTDA</t>
        </is>
      </c>
      <c r="D162" s="25" t="inlineStr">
        <is>
          <t>RS</t>
        </is>
      </c>
      <c r="E162" s="25" t="inlineStr">
        <is>
          <t>VENANCIO AIRES</t>
        </is>
      </c>
      <c r="F162" s="25" t="inlineStr">
        <is>
          <t>administrativo@naturvida.com.br</t>
        </is>
      </c>
      <c r="G162" s="25" t="inlineStr">
        <is>
          <t>+55 (51) 3719-3512</t>
        </is>
      </c>
      <c r="H162" s="25" t="inlineStr">
        <is>
          <t>06/06/2025</t>
        </is>
      </c>
      <c r="I162" s="25" t="n"/>
      <c r="J162" s="25" t="inlineStr">
        <is>
          <t>MANU DITZEL</t>
        </is>
      </c>
      <c r="K162" s="25" t="inlineStr">
        <is>
          <t>Manu Ditzel</t>
        </is>
      </c>
      <c r="L162" s="25" t="n">
        <v>83</v>
      </c>
      <c r="M162" s="25" t="inlineStr">
        <is>
          <t>24/11/2025</t>
        </is>
      </c>
      <c r="N162" s="25" t="n">
        <v>397.43</v>
      </c>
      <c r="O162" s="25" t="n"/>
      <c r="P162" s="25" t="n"/>
      <c r="Q162" s="25" t="n"/>
      <c r="R162" s="25" t="n"/>
      <c r="S162" s="25" t="n"/>
      <c r="T162" s="25" t="n"/>
      <c r="U162" s="25" t="n">
        <v>0</v>
      </c>
      <c r="V162" s="25" t="n">
        <v>0</v>
      </c>
      <c r="W162" s="25" t="n">
        <v>0</v>
      </c>
      <c r="X162" s="25" t="n">
        <v>3494.04</v>
      </c>
      <c r="Y162" s="25" t="n">
        <v>0</v>
      </c>
      <c r="Z162" s="25" t="n">
        <v>9039.59</v>
      </c>
      <c r="AA162" s="25" t="n">
        <v>5107.02</v>
      </c>
      <c r="AB162" s="25" t="n">
        <v>7191.58</v>
      </c>
      <c r="AC162" s="25" t="n">
        <v>397.43</v>
      </c>
      <c r="AD162" s="25" t="n">
        <v>0</v>
      </c>
      <c r="AE162" s="25" t="n">
        <v>0</v>
      </c>
      <c r="AF162" s="25" t="n">
        <v>0</v>
      </c>
      <c r="AG162" s="25" t="n">
        <v>39.75</v>
      </c>
      <c r="AH162" s="25" t="n">
        <v>13</v>
      </c>
      <c r="AI162" s="25" t="inlineStr">
        <is>
          <t>A</t>
        </is>
      </c>
      <c r="AJ162" s="25" t="n">
        <v>5</v>
      </c>
      <c r="AK162" s="25" t="n">
        <v>1940.74</v>
      </c>
      <c r="AL162" s="29" t="n">
        <v>46063.47291666667</v>
      </c>
      <c r="AM162" s="29" t="n">
        <v>46063.47291666667</v>
      </c>
      <c r="AN162" s="25" t="inlineStr">
        <is>
          <t>OUTROS</t>
        </is>
      </c>
      <c r="AO162" s="25" t="inlineStr">
        <is>
          <t>foi feito pedido e faturado dia 31/01/2026</t>
        </is>
      </c>
      <c r="AP162" s="27">
        <f>IF(AH162="","",IF(AH162=0,"PROSPECT",IF(AH162=1,"NOVO",IF(AH162&lt;=3,"EM DESENVOLVIMENTO",IF(AH162&lt;=6,"RECORRENTE","FIDELIZADO")))))</f>
        <v/>
      </c>
      <c r="AQ162" s="27">
        <f>IF(AJ162=0,0,IFERROR(SUM(U162:AF162)/AJ162,0))</f>
        <v/>
      </c>
      <c r="AS162" s="0" t="inlineStr">
        <is>
          <t>Carteira FEV/26 + Atend FEV/26</t>
        </is>
      </c>
    </row>
    <row r="163" ht="14.25" customHeight="1" s="16">
      <c r="A163" s="25" t="inlineStr">
        <is>
          <t>NATURVIDA MERCADO SAUDAVEL LTDA</t>
        </is>
      </c>
      <c r="B163" s="25" t="inlineStr">
        <is>
          <t>09185428000392</t>
        </is>
      </c>
      <c r="C163" s="25" t="inlineStr">
        <is>
          <t>NATURVIDA MERCADO SAUDAVEL LTDA</t>
        </is>
      </c>
      <c r="D163" s="25" t="inlineStr">
        <is>
          <t>RS</t>
        </is>
      </c>
      <c r="E163" s="25" t="inlineStr">
        <is>
          <t>LAJEADO</t>
        </is>
      </c>
      <c r="F163" s="25" t="inlineStr">
        <is>
          <t>administrativo@naturvida.com.br</t>
        </is>
      </c>
      <c r="G163" s="25" t="inlineStr">
        <is>
          <t>+55 (51) 3719-3512</t>
        </is>
      </c>
      <c r="H163" s="25" t="inlineStr">
        <is>
          <t>06/06/2025</t>
        </is>
      </c>
      <c r="I163" s="25" t="n"/>
      <c r="J163" s="25" t="inlineStr">
        <is>
          <t>MANU DITZEL</t>
        </is>
      </c>
      <c r="K163" s="25" t="inlineStr">
        <is>
          <t>Manu Ditzel</t>
        </is>
      </c>
      <c r="L163" s="25" t="n">
        <v>83</v>
      </c>
      <c r="M163" s="25" t="inlineStr">
        <is>
          <t>24/11/2025</t>
        </is>
      </c>
      <c r="N163" s="25" t="n">
        <v>948.59</v>
      </c>
      <c r="O163" s="25" t="n">
        <v>1</v>
      </c>
      <c r="P163" s="25" t="inlineStr">
        <is>
          <t>Sim</t>
        </is>
      </c>
      <c r="Q163" s="25" t="n">
        <v>208</v>
      </c>
      <c r="R163" s="25" t="n">
        <v>49</v>
      </c>
      <c r="S163" s="25" t="n">
        <v>11210.68</v>
      </c>
      <c r="T163" s="25" t="inlineStr">
        <is>
          <t>COMPRA B2B</t>
        </is>
      </c>
      <c r="U163" s="25" t="n">
        <v>0</v>
      </c>
      <c r="V163" s="25" t="n">
        <v>0</v>
      </c>
      <c r="W163" s="25" t="n">
        <v>0</v>
      </c>
      <c r="X163" s="25" t="n">
        <v>0</v>
      </c>
      <c r="Y163" s="25" t="n">
        <v>0</v>
      </c>
      <c r="Z163" s="25" t="n">
        <v>0</v>
      </c>
      <c r="AA163" s="25" t="n">
        <v>0</v>
      </c>
      <c r="AB163" s="25" t="n">
        <v>0</v>
      </c>
      <c r="AC163" s="25" t="n">
        <v>948.59</v>
      </c>
      <c r="AD163" s="25" t="n">
        <v>0</v>
      </c>
      <c r="AE163" s="25" t="n">
        <v>0</v>
      </c>
      <c r="AF163" s="25" t="n">
        <v>0</v>
      </c>
      <c r="AG163" s="25" t="n">
        <v>39.75</v>
      </c>
      <c r="AH163" s="25" t="n">
        <v>0</v>
      </c>
      <c r="AI163" s="25" t="inlineStr">
        <is>
          <t>A</t>
        </is>
      </c>
      <c r="AJ163" s="25" t="n">
        <v>1</v>
      </c>
      <c r="AK163" s="25" t="n">
        <v>0</v>
      </c>
      <c r="AL163" s="25" t="n"/>
      <c r="AM163" s="25" t="n"/>
      <c r="AN163" s="25" t="n"/>
      <c r="AO163" s="25" t="n"/>
      <c r="AP163" s="27">
        <f>IF(AH163="","",IF(AH163=0,"PROSPECT",IF(AH163=1,"NOVO",IF(AH163&lt;=3,"EM DESENVOLVIMENTO",IF(AH163&lt;=6,"RECORRENTE","FIDELIZADO")))))</f>
        <v/>
      </c>
      <c r="AQ163" s="27">
        <f>IF(AJ163=0,0,IFERROR(SUM(U163:AF163)/AJ163,0))</f>
        <v/>
      </c>
      <c r="AS163" s="0" t="inlineStr">
        <is>
          <t>Carteira FEV/26</t>
        </is>
      </c>
    </row>
    <row r="164" ht="14.25" customHeight="1" s="16">
      <c r="A164" s="25" t="inlineStr">
        <is>
          <t>NICE STORE PRESENTES</t>
        </is>
      </c>
      <c r="B164" s="25" t="inlineStr">
        <is>
          <t>32940804000167</t>
        </is>
      </c>
      <c r="C164" s="25" t="inlineStr">
        <is>
          <t>NICE STORE PRESENTES LTDA</t>
        </is>
      </c>
      <c r="D164" s="25" t="inlineStr">
        <is>
          <t>SC</t>
        </is>
      </c>
      <c r="E164" s="25" t="inlineStr">
        <is>
          <t>CANOINHAS</t>
        </is>
      </c>
      <c r="F164" s="25" t="inlineStr">
        <is>
          <t>erfl@outlook.com</t>
        </is>
      </c>
      <c r="G164" s="25" t="inlineStr">
        <is>
          <t>+55 (47) 9637-9456</t>
        </is>
      </c>
      <c r="H164" s="25" t="inlineStr">
        <is>
          <t>16/07/2025</t>
        </is>
      </c>
      <c r="I164" s="25" t="n"/>
      <c r="J164" s="25" t="inlineStr">
        <is>
          <t>MANU DITZEL</t>
        </is>
      </c>
      <c r="K164" s="25" t="inlineStr">
        <is>
          <t>Manu Ditzel</t>
        </is>
      </c>
      <c r="L164" s="25" t="n">
        <v>74</v>
      </c>
      <c r="M164" s="25" t="inlineStr">
        <is>
          <t>03/12/2025</t>
        </is>
      </c>
      <c r="N164" s="25" t="n">
        <v>830.33</v>
      </c>
      <c r="O164" s="25" t="n">
        <v>1</v>
      </c>
      <c r="P164" s="25" t="inlineStr">
        <is>
          <t>Sim</t>
        </is>
      </c>
      <c r="Q164" s="25" t="n">
        <v>317</v>
      </c>
      <c r="R164" s="25" t="n">
        <v>45</v>
      </c>
      <c r="S164" s="25" t="n">
        <v>1497.49</v>
      </c>
      <c r="T164" s="25" t="inlineStr">
        <is>
          <t>COMPRA B2B</t>
        </is>
      </c>
      <c r="U164" s="25" t="n">
        <v>0</v>
      </c>
      <c r="V164" s="25" t="n">
        <v>0</v>
      </c>
      <c r="W164" s="25" t="n">
        <v>0</v>
      </c>
      <c r="X164" s="25" t="n">
        <v>0</v>
      </c>
      <c r="Y164" s="25" t="n">
        <v>712.76</v>
      </c>
      <c r="Z164" s="25" t="n">
        <v>667.16</v>
      </c>
      <c r="AA164" s="25" t="n">
        <v>0</v>
      </c>
      <c r="AB164" s="25" t="n">
        <v>0</v>
      </c>
      <c r="AC164" s="25" t="n">
        <v>0</v>
      </c>
      <c r="AD164" s="25" t="n">
        <v>830.33</v>
      </c>
      <c r="AE164" s="25" t="n">
        <v>0</v>
      </c>
      <c r="AF164" s="25" t="n">
        <v>0</v>
      </c>
      <c r="AG164" s="25" t="n">
        <v>69</v>
      </c>
      <c r="AH164" s="25" t="n">
        <v>3</v>
      </c>
      <c r="AI164" s="25" t="inlineStr">
        <is>
          <t>B</t>
        </is>
      </c>
      <c r="AJ164" s="25" t="n">
        <v>3</v>
      </c>
      <c r="AK164" s="25" t="n">
        <v>736.75</v>
      </c>
      <c r="AL164" s="29" t="n">
        <v>46063.67013888889</v>
      </c>
      <c r="AM164" s="29" t="n">
        <v>46063.67013888889</v>
      </c>
      <c r="AN164" s="25" t="inlineStr">
        <is>
          <t>WHATSAPP</t>
        </is>
      </c>
      <c r="AO164" s="25" t="inlineStr">
        <is>
          <t>FEITO CONTATO, POREM SEM RETORNO</t>
        </is>
      </c>
      <c r="AP164" s="27">
        <f>IF(AH164="","",IF(AH164=0,"PROSPECT",IF(AH164=1,"NOVO",IF(AH164&lt;=3,"EM DESENVOLVIMENTO",IF(AH164&lt;=6,"RECORRENTE","FIDELIZADO")))))</f>
        <v/>
      </c>
      <c r="AQ164" s="27">
        <f>IF(AJ164=0,0,IFERROR(SUM(U164:AF164)/AJ164,0))</f>
        <v/>
      </c>
      <c r="AS164" s="0" t="inlineStr">
        <is>
          <t>Carteira FEV/26 + Atend FEV/26 + Ecom FEV/26</t>
        </is>
      </c>
    </row>
    <row r="165" ht="14.25" customHeight="1" s="16">
      <c r="A165" s="25" t="inlineStr">
        <is>
          <t>NUNCA FATURAR NESSE CNPJ - FORCE SUPLEMENTOS</t>
        </is>
      </c>
      <c r="B165" s="25" t="inlineStr">
        <is>
          <t>26240684000273</t>
        </is>
      </c>
      <c r="C165" s="25" t="inlineStr">
        <is>
          <t>FORCE SUPLEMENTOS E PRODUTOS NATURAIS LTDA</t>
        </is>
      </c>
      <c r="D165" s="25" t="inlineStr">
        <is>
          <t>SC</t>
        </is>
      </c>
      <c r="E165" s="25" t="inlineStr">
        <is>
          <t>Jaraguá do Sul</t>
        </is>
      </c>
      <c r="F165" s="25" t="inlineStr">
        <is>
          <t>loja.force@gmail.com</t>
        </is>
      </c>
      <c r="G165" s="25" t="inlineStr">
        <is>
          <t>+55 (47) 99169-2194</t>
        </is>
      </c>
      <c r="H165" s="25" t="inlineStr">
        <is>
          <t>08/10/2024</t>
        </is>
      </c>
      <c r="I165" s="25" t="n"/>
      <c r="J165" s="25" t="inlineStr">
        <is>
          <t>MANU DITZEL</t>
        </is>
      </c>
      <c r="K165" s="25" t="inlineStr">
        <is>
          <t>Manu Ditzel</t>
        </is>
      </c>
      <c r="L165" s="25" t="n">
        <v>83</v>
      </c>
      <c r="M165" s="25" t="inlineStr">
        <is>
          <t>24/11/2025</t>
        </is>
      </c>
      <c r="N165" s="25" t="n">
        <v>1368.08</v>
      </c>
      <c r="O165" s="25" t="n"/>
      <c r="P165" s="25" t="n"/>
      <c r="Q165" s="25" t="n"/>
      <c r="R165" s="25" t="n"/>
      <c r="S165" s="25" t="n"/>
      <c r="T165" s="25" t="n"/>
      <c r="U165" s="25" t="n">
        <v>0</v>
      </c>
      <c r="V165" s="25" t="n">
        <v>0</v>
      </c>
      <c r="W165" s="25" t="n">
        <v>0</v>
      </c>
      <c r="X165" s="25" t="n">
        <v>0</v>
      </c>
      <c r="Y165" s="25" t="n">
        <v>0</v>
      </c>
      <c r="Z165" s="25" t="n">
        <v>2595.11</v>
      </c>
      <c r="AA165" s="25" t="n">
        <v>2129.81</v>
      </c>
      <c r="AB165" s="25" t="n">
        <v>0</v>
      </c>
      <c r="AC165" s="25" t="n">
        <v>1368.08</v>
      </c>
      <c r="AD165" s="25" t="n">
        <v>0</v>
      </c>
      <c r="AE165" s="25" t="n">
        <v>0</v>
      </c>
      <c r="AF165" s="25" t="n">
        <v>0</v>
      </c>
      <c r="AG165" s="25" t="n">
        <v>37.3333</v>
      </c>
      <c r="AH165" s="25" t="n">
        <v>3</v>
      </c>
      <c r="AI165" s="25" t="inlineStr">
        <is>
          <t>A</t>
        </is>
      </c>
      <c r="AJ165" s="25" t="n">
        <v>3</v>
      </c>
      <c r="AK165" s="25" t="n">
        <v>2031</v>
      </c>
      <c r="AL165" s="26" t="n">
        <v>46056.72361111111</v>
      </c>
      <c r="AM165" s="26" t="n">
        <v>46056.72361111111</v>
      </c>
      <c r="AN165" s="25" t="inlineStr">
        <is>
          <t>LIGAÇÃO</t>
        </is>
      </c>
      <c r="AO165" s="25" t="inlineStr">
        <is>
          <t>MANDEI MENSAGEM</t>
        </is>
      </c>
      <c r="AP165" s="27">
        <f>IF(AH165="","",IF(AH165=0,"PROSPECT",IF(AH165=1,"NOVO",IF(AH165&lt;=3,"EM DESENVOLVIMENTO",IF(AH165&lt;=6,"RECORRENTE","FIDELIZADO")))))</f>
        <v/>
      </c>
      <c r="AQ165" s="27">
        <f>IF(AJ165=0,0,IFERROR(SUM(U165:AF165)/AJ165,0))</f>
        <v/>
      </c>
      <c r="AS165" s="0" t="inlineStr">
        <is>
          <t>Carteira FEV/26 + Atend FEV/26</t>
        </is>
      </c>
    </row>
    <row r="166" ht="14.25" customHeight="1" s="16">
      <c r="A166" s="25" t="inlineStr">
        <is>
          <t>NUTRINATURAL</t>
        </is>
      </c>
      <c r="B166" s="25" t="inlineStr">
        <is>
          <t>62333916000110</t>
        </is>
      </c>
      <c r="C166" s="25" t="inlineStr">
        <is>
          <t>JOAO MANOEL SILVA NASCIMENTO LTDA</t>
        </is>
      </c>
      <c r="D166" s="25" t="inlineStr">
        <is>
          <t>MA</t>
        </is>
      </c>
      <c r="E166" s="25" t="inlineStr">
        <is>
          <t>SAO JOSE DE RIBAMAR</t>
        </is>
      </c>
      <c r="F166" s="25" t="inlineStr">
        <is>
          <t>LOJA.SAOLUISMA@REDEVIDALEVE.COM.BR</t>
        </is>
      </c>
      <c r="G166" s="25" t="inlineStr">
        <is>
          <t>+55 (98) 9975-6315</t>
        </is>
      </c>
      <c r="H166" s="25" t="inlineStr">
        <is>
          <t>28/11/2025</t>
        </is>
      </c>
      <c r="I166" s="25" t="inlineStr">
        <is>
          <t>[Rede] Vida Leve</t>
        </is>
      </c>
      <c r="J166" s="25" t="inlineStr">
        <is>
          <t>DAIANE STAVICKI</t>
        </is>
      </c>
      <c r="K166" s="25" t="inlineStr">
        <is>
          <t>Central - Daiane</t>
        </is>
      </c>
      <c r="L166" s="25" t="n">
        <v>75</v>
      </c>
      <c r="M166" s="25" t="inlineStr">
        <is>
          <t>02/12/2025</t>
        </is>
      </c>
      <c r="N166" s="25" t="n">
        <v>2536.11</v>
      </c>
      <c r="O166" s="25" t="n"/>
      <c r="P166" s="25" t="n"/>
      <c r="Q166" s="25" t="n"/>
      <c r="R166" s="25" t="n"/>
      <c r="S166" s="25" t="n"/>
      <c r="T166" s="25" t="n"/>
      <c r="U166" s="25" t="n">
        <v>0</v>
      </c>
      <c r="V166" s="25" t="n">
        <v>0</v>
      </c>
      <c r="W166" s="25" t="n">
        <v>0</v>
      </c>
      <c r="X166" s="25" t="n">
        <v>0</v>
      </c>
      <c r="Y166" s="25" t="n">
        <v>0</v>
      </c>
      <c r="Z166" s="25" t="n">
        <v>0</v>
      </c>
      <c r="AA166" s="25" t="n">
        <v>0</v>
      </c>
      <c r="AB166" s="25" t="n">
        <v>0</v>
      </c>
      <c r="AC166" s="25" t="n">
        <v>0</v>
      </c>
      <c r="AD166" s="25" t="n">
        <v>2536.11</v>
      </c>
      <c r="AE166" s="25" t="n">
        <v>0</v>
      </c>
      <c r="AF166" s="25" t="n">
        <v>0</v>
      </c>
      <c r="AG166" s="25" t="n">
        <v>0</v>
      </c>
      <c r="AH166" s="25" t="n">
        <v>1</v>
      </c>
      <c r="AI166" s="25" t="inlineStr">
        <is>
          <t>A</t>
        </is>
      </c>
      <c r="AJ166" s="25" t="n">
        <v>1</v>
      </c>
      <c r="AK166" s="25" t="n">
        <v>2536.11</v>
      </c>
      <c r="AL166" s="26" t="n">
        <v>46050.47890046296</v>
      </c>
      <c r="AM166" s="26" t="n">
        <v>46050.47890046296</v>
      </c>
      <c r="AN166" s="25" t="inlineStr">
        <is>
          <t>WHATSAPP</t>
        </is>
      </c>
      <c r="AO166" s="25" t="inlineStr">
        <is>
          <t>VIDA LEVE SÃO JOSE - MARANHÃO</t>
        </is>
      </c>
      <c r="AP166" s="27">
        <f>IF(AH166="","",IF(AH166=0,"PROSPECT",IF(AH166=1,"NOVO",IF(AH166&lt;=3,"EM DESENVOLVIMENTO",IF(AH166&lt;=6,"RECORRENTE","FIDELIZADO")))))</f>
        <v/>
      </c>
      <c r="AQ166" s="27">
        <f>IF(AJ166=0,0,IFERROR(SUM(U166:AF166)/AJ166,0))</f>
        <v/>
      </c>
      <c r="AS166" s="0" t="inlineStr">
        <is>
          <t>Carteira FEV/26</t>
        </is>
      </c>
    </row>
    <row r="167" ht="14.25" customHeight="1" s="16">
      <c r="A167" s="25" t="inlineStr">
        <is>
          <t>RADISSON HOTEL CURITIBA</t>
        </is>
      </c>
      <c r="B167" s="25" t="inlineStr">
        <is>
          <t>03554611000331</t>
        </is>
      </c>
      <c r="C167" s="25" t="inlineStr">
        <is>
          <t>HOTEL CURITIBA CAPITAL S/A</t>
        </is>
      </c>
      <c r="D167" s="25" t="inlineStr">
        <is>
          <t>PR</t>
        </is>
      </c>
      <c r="E167" s="25" t="inlineStr">
        <is>
          <t>CURITIBA</t>
        </is>
      </c>
      <c r="F167" s="25" t="inlineStr">
        <is>
          <t>RADISSONHOTEL@GMAIL.COM</t>
        </is>
      </c>
      <c r="G167" s="25" t="inlineStr">
        <is>
          <t>+55 (41) 99207-9581</t>
        </is>
      </c>
      <c r="H167" s="25" t="inlineStr">
        <is>
          <t>18/06/2025</t>
        </is>
      </c>
      <c r="I167" s="25" t="n"/>
      <c r="J167" s="25" t="inlineStr">
        <is>
          <t>MANU DITZEL</t>
        </is>
      </c>
      <c r="K167" s="25" t="inlineStr">
        <is>
          <t>Manu Ditzel</t>
        </is>
      </c>
      <c r="L167" s="25" t="n">
        <v>75</v>
      </c>
      <c r="M167" s="25" t="inlineStr">
        <is>
          <t>02/12/2025</t>
        </is>
      </c>
      <c r="N167" s="25" t="n">
        <v>889.25</v>
      </c>
      <c r="O167" s="25" t="n"/>
      <c r="P167" s="25" t="n"/>
      <c r="Q167" s="25" t="n"/>
      <c r="R167" s="25" t="n"/>
      <c r="S167" s="25" t="n"/>
      <c r="T167" s="25" t="n"/>
      <c r="U167" s="25" t="n">
        <v>0</v>
      </c>
      <c r="V167" s="25" t="n">
        <v>0</v>
      </c>
      <c r="W167" s="25" t="n">
        <v>0</v>
      </c>
      <c r="X167" s="25" t="n">
        <v>674.33</v>
      </c>
      <c r="Y167" s="25" t="n">
        <v>944.16</v>
      </c>
      <c r="Z167" s="25" t="n">
        <v>0</v>
      </c>
      <c r="AA167" s="25" t="n">
        <v>1106.63</v>
      </c>
      <c r="AB167" s="25" t="n">
        <v>0</v>
      </c>
      <c r="AC167" s="25" t="n">
        <v>904.5</v>
      </c>
      <c r="AD167" s="25" t="n">
        <v>889.25</v>
      </c>
      <c r="AE167" s="25" t="n">
        <v>0</v>
      </c>
      <c r="AF167" s="25" t="n">
        <v>0</v>
      </c>
      <c r="AG167" s="25" t="n">
        <v>41.75</v>
      </c>
      <c r="AH167" s="25" t="n">
        <v>4</v>
      </c>
      <c r="AI167" s="25" t="inlineStr">
        <is>
          <t>A</t>
        </is>
      </c>
      <c r="AJ167" s="25" t="n">
        <v>5</v>
      </c>
      <c r="AK167" s="25" t="n">
        <v>1129.72</v>
      </c>
      <c r="AL167" s="26" t="n">
        <v>46063.67083333333</v>
      </c>
      <c r="AM167" s="26" t="n">
        <v>46063.67083333333</v>
      </c>
      <c r="AN167" s="25" t="inlineStr">
        <is>
          <t>WHATSAPP</t>
        </is>
      </c>
      <c r="AO167" s="25" t="inlineStr">
        <is>
          <t>SEM RETORNO, COMPRA SO QUANDO QUER MESMO</t>
        </is>
      </c>
      <c r="AP167" s="27">
        <f>IF(AH167="","",IF(AH167=0,"PROSPECT",IF(AH167=1,"NOVO",IF(AH167&lt;=3,"EM DESENVOLVIMENTO",IF(AH167&lt;=6,"RECORRENTE","FIDELIZADO")))))</f>
        <v/>
      </c>
      <c r="AQ167" s="27">
        <f>IF(AJ167=0,0,IFERROR(SUM(U167:AF167)/AJ167,0))</f>
        <v/>
      </c>
      <c r="AS167" s="0" t="inlineStr">
        <is>
          <t>Carteira FEV/26 + Atend FEV/26</t>
        </is>
      </c>
    </row>
    <row r="168" ht="14.25" customHeight="1" s="16">
      <c r="A168" s="25" t="inlineStr">
        <is>
          <t>RAIZ FIT</t>
        </is>
      </c>
      <c r="B168" s="25" t="inlineStr">
        <is>
          <t>61631622000102</t>
        </is>
      </c>
      <c r="C168" s="25" t="inlineStr">
        <is>
          <t>61.631.622 RICARDO AMERICO DOS SANTOS</t>
        </is>
      </c>
      <c r="D168" s="25" t="inlineStr">
        <is>
          <t>SP</t>
        </is>
      </c>
      <c r="E168" s="25" t="inlineStr">
        <is>
          <t>SAO PAULO</t>
        </is>
      </c>
      <c r="F168" s="25" t="inlineStr">
        <is>
          <t>raizfit@hotmail.com</t>
        </is>
      </c>
      <c r="G168" s="25" t="inlineStr">
        <is>
          <t>+55 (11) 97275-0236</t>
        </is>
      </c>
      <c r="H168" s="25" t="inlineStr">
        <is>
          <t>25/11/2025</t>
        </is>
      </c>
      <c r="I168" s="25" t="n"/>
      <c r="J168" s="25" t="inlineStr">
        <is>
          <t>JULIO GADRET</t>
        </is>
      </c>
      <c r="K168" s="25" t="inlineStr">
        <is>
          <t>Julio  Gadret</t>
        </is>
      </c>
      <c r="L168" s="25" t="n">
        <v>82</v>
      </c>
      <c r="M168" s="25" t="inlineStr">
        <is>
          <t>25/11/2025</t>
        </is>
      </c>
      <c r="N168" s="25" t="n">
        <v>692.75</v>
      </c>
      <c r="O168" s="25" t="n">
        <v>3</v>
      </c>
      <c r="P168" s="25" t="inlineStr">
        <is>
          <t>Sim</t>
        </is>
      </c>
      <c r="Q168" s="25" t="n">
        <v>51</v>
      </c>
      <c r="R168" s="25" t="n">
        <v>5</v>
      </c>
      <c r="S168" s="25" t="n">
        <v>692.75</v>
      </c>
      <c r="T168" s="25" t="inlineStr">
        <is>
          <t>COMPRA B2B</t>
        </is>
      </c>
      <c r="U168" s="25" t="n">
        <v>0</v>
      </c>
      <c r="V168" s="25" t="n">
        <v>0</v>
      </c>
      <c r="W168" s="25" t="n">
        <v>0</v>
      </c>
      <c r="X168" s="25" t="n">
        <v>0</v>
      </c>
      <c r="Y168" s="25" t="n">
        <v>0</v>
      </c>
      <c r="Z168" s="25" t="n">
        <v>0</v>
      </c>
      <c r="AA168" s="25" t="n">
        <v>0</v>
      </c>
      <c r="AB168" s="25" t="n">
        <v>0</v>
      </c>
      <c r="AC168" s="25" t="n">
        <v>692.75</v>
      </c>
      <c r="AD168" s="25" t="n">
        <v>0</v>
      </c>
      <c r="AE168" s="25" t="n">
        <v>0</v>
      </c>
      <c r="AF168" s="25" t="n">
        <v>0</v>
      </c>
      <c r="AG168" s="25" t="n">
        <v>0</v>
      </c>
      <c r="AH168" s="25" t="n">
        <v>0</v>
      </c>
      <c r="AI168" s="25" t="inlineStr">
        <is>
          <t>C</t>
        </is>
      </c>
      <c r="AJ168" s="25" t="n">
        <v>1</v>
      </c>
      <c r="AK168" s="25" t="n">
        <v>0</v>
      </c>
      <c r="AL168" s="25" t="n"/>
      <c r="AM168" s="25" t="n"/>
      <c r="AN168" s="25" t="n"/>
      <c r="AO168" s="25" t="n"/>
      <c r="AP168" s="27">
        <f>IF(AH168="","",IF(AH168=0,"PROSPECT",IF(AH168=1,"NOVO",IF(AH168&lt;=3,"EM DESENVOLVIMENTO",IF(AH168&lt;=6,"RECORRENTE","FIDELIZADO")))))</f>
        <v/>
      </c>
      <c r="AQ168" s="27">
        <f>IF(AJ168=0,0,IFERROR(SUM(U168:AF168)/AJ168,0))</f>
        <v/>
      </c>
      <c r="AS168" s="0" t="inlineStr">
        <is>
          <t>Carteira FEV/26</t>
        </is>
      </c>
    </row>
    <row r="169" ht="14.25" customHeight="1" s="16">
      <c r="A169" s="25" t="inlineStr">
        <is>
          <t>RAIZES DA PROMESSA</t>
        </is>
      </c>
      <c r="B169" s="25" t="inlineStr">
        <is>
          <t>61771710000100</t>
        </is>
      </c>
      <c r="C169" s="25" t="inlineStr">
        <is>
          <t>RAIZES DA PROMESSA LTDA</t>
        </is>
      </c>
      <c r="D169" s="25" t="inlineStr">
        <is>
          <t>SP</t>
        </is>
      </c>
      <c r="E169" s="25" t="inlineStr">
        <is>
          <t>BAURU</t>
        </is>
      </c>
      <c r="F169" s="25" t="inlineStr">
        <is>
          <t>raizesdapromessa@outlook.com</t>
        </is>
      </c>
      <c r="G169" s="25" t="inlineStr">
        <is>
          <t>+55 (14) 99908-2203</t>
        </is>
      </c>
      <c r="H169" s="25" t="inlineStr">
        <is>
          <t>25/11/2025</t>
        </is>
      </c>
      <c r="I169" s="25" t="n"/>
      <c r="J169" s="25" t="inlineStr">
        <is>
          <t>JULIO GADRET</t>
        </is>
      </c>
      <c r="K169" s="25" t="inlineStr">
        <is>
          <t>Julio  Gadret</t>
        </is>
      </c>
      <c r="L169" s="25" t="n">
        <v>81</v>
      </c>
      <c r="M169" s="25" t="inlineStr">
        <is>
          <t>26/11/2025</t>
        </is>
      </c>
      <c r="N169" s="25" t="n">
        <v>2107.44</v>
      </c>
      <c r="O169" s="25" t="n">
        <v>3</v>
      </c>
      <c r="P169" s="25" t="inlineStr">
        <is>
          <t>Sim</t>
        </is>
      </c>
      <c r="Q169" s="25" t="n">
        <v>181</v>
      </c>
      <c r="R169" s="25" t="n">
        <v>24</v>
      </c>
      <c r="S169" s="25" t="n">
        <v>2107.44</v>
      </c>
      <c r="T169" s="25" t="inlineStr">
        <is>
          <t>COMPRA B2B</t>
        </is>
      </c>
      <c r="U169" s="25" t="n">
        <v>0</v>
      </c>
      <c r="V169" s="25" t="n">
        <v>0</v>
      </c>
      <c r="W169" s="25" t="n">
        <v>0</v>
      </c>
      <c r="X169" s="25" t="n">
        <v>0</v>
      </c>
      <c r="Y169" s="25" t="n">
        <v>0</v>
      </c>
      <c r="Z169" s="25" t="n">
        <v>0</v>
      </c>
      <c r="AA169" s="25" t="n">
        <v>0</v>
      </c>
      <c r="AB169" s="25" t="n">
        <v>0</v>
      </c>
      <c r="AC169" s="25" t="n">
        <v>2107.44</v>
      </c>
      <c r="AD169" s="25" t="n">
        <v>0</v>
      </c>
      <c r="AE169" s="25" t="n">
        <v>0</v>
      </c>
      <c r="AF169" s="25" t="n">
        <v>0</v>
      </c>
      <c r="AG169" s="25" t="n">
        <v>0</v>
      </c>
      <c r="AH169" s="25" t="n">
        <v>0</v>
      </c>
      <c r="AI169" s="25" t="inlineStr">
        <is>
          <t>B</t>
        </is>
      </c>
      <c r="AJ169" s="25" t="n">
        <v>1</v>
      </c>
      <c r="AK169" s="25" t="n">
        <v>0</v>
      </c>
      <c r="AL169" s="25" t="n"/>
      <c r="AM169" s="25" t="n"/>
      <c r="AN169" s="25" t="n"/>
      <c r="AO169" s="25" t="n"/>
      <c r="AP169" s="27">
        <f>IF(AH169="","",IF(AH169=0,"PROSPECT",IF(AH169=1,"NOVO",IF(AH169&lt;=3,"EM DESENVOLVIMENTO",IF(AH169&lt;=6,"RECORRENTE","FIDELIZADO")))))</f>
        <v/>
      </c>
      <c r="AQ169" s="27">
        <f>IF(AJ169=0,0,IFERROR(SUM(U169:AF169)/AJ169,0))</f>
        <v/>
      </c>
      <c r="AS169" s="0" t="inlineStr">
        <is>
          <t>Carteira FEV/26</t>
        </is>
      </c>
    </row>
    <row r="170" ht="14.25" customHeight="1" s="16">
      <c r="A170" s="25" t="inlineStr">
        <is>
          <t>RAIZES E FOLHAS PRODUTOS NATURAIS</t>
        </is>
      </c>
      <c r="B170" s="25" t="inlineStr">
        <is>
          <t>08294051000185</t>
        </is>
      </c>
      <c r="C170" s="25" t="inlineStr">
        <is>
          <t>QUANTO BASTA COMERCIO DE ALIMENTOS LTDA</t>
        </is>
      </c>
      <c r="D170" s="25" t="inlineStr">
        <is>
          <t>PR</t>
        </is>
      </c>
      <c r="E170" s="25" t="inlineStr">
        <is>
          <t>Curitiba</t>
        </is>
      </c>
      <c r="F170" s="25" t="inlineStr">
        <is>
          <t>financeiro@raizesefolhas.com</t>
        </is>
      </c>
      <c r="G170" s="25" t="inlineStr">
        <is>
          <t>+55 (41) 9814-3375</t>
        </is>
      </c>
      <c r="H170" s="25" t="inlineStr">
        <is>
          <t>08/10/2024</t>
        </is>
      </c>
      <c r="I170" s="25" t="n"/>
      <c r="J170" s="25" t="inlineStr">
        <is>
          <t>JULIO GADRET</t>
        </is>
      </c>
      <c r="K170" s="25" t="inlineStr">
        <is>
          <t>Julio  Gadret</t>
        </is>
      </c>
      <c r="L170" s="25" t="n">
        <v>81</v>
      </c>
      <c r="M170" s="25" t="inlineStr">
        <is>
          <t>26/11/2025</t>
        </is>
      </c>
      <c r="N170" s="25" t="n">
        <v>1748.86</v>
      </c>
      <c r="O170" s="25" t="n">
        <v>1</v>
      </c>
      <c r="P170" s="25" t="inlineStr">
        <is>
          <t>Sim</t>
        </is>
      </c>
      <c r="Q170" s="25" t="n">
        <v>63</v>
      </c>
      <c r="R170" s="25" t="n">
        <v>14</v>
      </c>
      <c r="S170" s="25" t="n">
        <v>1748.86</v>
      </c>
      <c r="T170" s="25" t="inlineStr">
        <is>
          <t>COMPRA B2B</t>
        </is>
      </c>
      <c r="U170" s="25" t="n">
        <v>0</v>
      </c>
      <c r="V170" s="25" t="n">
        <v>0</v>
      </c>
      <c r="W170" s="25" t="n">
        <v>0</v>
      </c>
      <c r="X170" s="25" t="n">
        <v>0</v>
      </c>
      <c r="Y170" s="25" t="n">
        <v>0</v>
      </c>
      <c r="Z170" s="25" t="n">
        <v>0</v>
      </c>
      <c r="AA170" s="25" t="n">
        <v>0</v>
      </c>
      <c r="AB170" s="25" t="n">
        <v>0</v>
      </c>
      <c r="AC170" s="25" t="n">
        <v>1748.86</v>
      </c>
      <c r="AD170" s="25" t="n">
        <v>0</v>
      </c>
      <c r="AE170" s="25" t="n">
        <v>0</v>
      </c>
      <c r="AF170" s="25" t="n">
        <v>0</v>
      </c>
      <c r="AG170" s="25" t="n">
        <v>0</v>
      </c>
      <c r="AH170" s="25" t="n">
        <v>0</v>
      </c>
      <c r="AI170" s="25" t="inlineStr">
        <is>
          <t>B</t>
        </is>
      </c>
      <c r="AJ170" s="25" t="n">
        <v>1</v>
      </c>
      <c r="AK170" s="25" t="n">
        <v>0</v>
      </c>
      <c r="AL170" s="26" t="n">
        <v>45881.63472222222</v>
      </c>
      <c r="AM170" s="26" t="n">
        <v>45881.63472222222</v>
      </c>
      <c r="AN170" s="25" t="inlineStr">
        <is>
          <t>WHATSAPP</t>
        </is>
      </c>
      <c r="AO170" s="28" t="inlineStr">
        <is>
          <t>*Portal de pedidos:* https://vitaomais.meuspedidos.com.br/ *Login:* financeiro@raizesefolhas.com *Senha:* 854015</t>
        </is>
      </c>
      <c r="AP170" s="27">
        <f>IF(AH170="","",IF(AH170=0,"PROSPECT",IF(AH170=1,"NOVO",IF(AH170&lt;=3,"EM DESENVOLVIMENTO",IF(AH170&lt;=6,"RECORRENTE","FIDELIZADO")))))</f>
        <v/>
      </c>
      <c r="AQ170" s="27">
        <f>IF(AJ170=0,0,IFERROR(SUM(U170:AF170)/AJ170,0))</f>
        <v/>
      </c>
      <c r="AS170" s="0" t="inlineStr">
        <is>
          <t>Carteira FEV/26 + Ecom FEV/26</t>
        </is>
      </c>
    </row>
    <row r="171" ht="14.25" customHeight="1" s="16">
      <c r="A171" s="25" t="inlineStr">
        <is>
          <t>RB CONSULTORIA</t>
        </is>
      </c>
      <c r="B171" s="25" t="inlineStr">
        <is>
          <t>16548054000126</t>
        </is>
      </c>
      <c r="C171" s="25" t="inlineStr">
        <is>
          <t>R B COMERCIO DE COSMETICOS LTDA</t>
        </is>
      </c>
      <c r="D171" s="25" t="inlineStr">
        <is>
          <t>ES</t>
        </is>
      </c>
      <c r="E171" s="25" t="inlineStr">
        <is>
          <t>ALFREDO CHAVES</t>
        </is>
      </c>
      <c r="F171" s="25" t="inlineStr">
        <is>
          <t>rominbravin@hotmail.com</t>
        </is>
      </c>
      <c r="G171" s="25" t="inlineStr">
        <is>
          <t>+55 (27) 99938-6912</t>
        </is>
      </c>
      <c r="H171" s="25" t="inlineStr">
        <is>
          <t>01/10/2025</t>
        </is>
      </c>
      <c r="I171" s="25" t="n"/>
      <c r="J171" s="25" t="inlineStr">
        <is>
          <t>LARISSA PADILHA</t>
        </is>
      </c>
      <c r="K171" s="25" t="inlineStr">
        <is>
          <t>Larissa Padilha</t>
        </is>
      </c>
      <c r="L171" s="25" t="n">
        <v>69</v>
      </c>
      <c r="M171" s="25" t="inlineStr">
        <is>
          <t>08/12/2025</t>
        </is>
      </c>
      <c r="N171" s="25" t="n">
        <v>1629.6</v>
      </c>
      <c r="O171" s="25" t="n">
        <v>4</v>
      </c>
      <c r="P171" s="25" t="inlineStr">
        <is>
          <t>Sim</t>
        </is>
      </c>
      <c r="Q171" s="25" t="n">
        <v>35</v>
      </c>
      <c r="R171" s="25" t="n">
        <v>6</v>
      </c>
      <c r="S171" s="25" t="n"/>
      <c r="T171" s="25" t="n"/>
      <c r="U171" s="25" t="n">
        <v>0</v>
      </c>
      <c r="V171" s="25" t="n">
        <v>0</v>
      </c>
      <c r="W171" s="25" t="n">
        <v>0</v>
      </c>
      <c r="X171" s="25" t="n">
        <v>0</v>
      </c>
      <c r="Y171" s="25" t="n">
        <v>0</v>
      </c>
      <c r="Z171" s="25" t="n">
        <v>0</v>
      </c>
      <c r="AA171" s="25" t="n">
        <v>0</v>
      </c>
      <c r="AB171" s="25" t="n">
        <v>6770.44</v>
      </c>
      <c r="AC171" s="25" t="n">
        <v>0</v>
      </c>
      <c r="AD171" s="25" t="n">
        <v>1629.6</v>
      </c>
      <c r="AE171" s="25" t="n">
        <v>0</v>
      </c>
      <c r="AF171" s="25" t="n">
        <v>0</v>
      </c>
      <c r="AG171" s="25" t="n">
        <v>24.5</v>
      </c>
      <c r="AH171" s="25" t="n">
        <v>3</v>
      </c>
      <c r="AI171" s="25" t="inlineStr">
        <is>
          <t>A</t>
        </is>
      </c>
      <c r="AJ171" s="25" t="n">
        <v>2</v>
      </c>
      <c r="AK171" s="25" t="n">
        <v>2800.01</v>
      </c>
      <c r="AL171" s="26" t="n">
        <v>46065.42430555556</v>
      </c>
      <c r="AM171" s="26" t="n">
        <v>46065.42430555556</v>
      </c>
      <c r="AN171" s="25" t="inlineStr">
        <is>
          <t>WHATSAPP</t>
        </is>
      </c>
      <c r="AO171" s="25" t="inlineStr">
        <is>
          <t>NUTRIÇÃO</t>
        </is>
      </c>
      <c r="AP171" s="27">
        <f>IF(AH171="","",IF(AH171=0,"PROSPECT",IF(AH171=1,"NOVO",IF(AH171&lt;=3,"EM DESENVOLVIMENTO",IF(AH171&lt;=6,"RECORRENTE","FIDELIZADO")))))</f>
        <v/>
      </c>
      <c r="AQ171" s="27">
        <f>IF(AJ171=0,0,IFERROR(SUM(U171:AF171)/AJ171,0))</f>
        <v/>
      </c>
      <c r="AS171" s="0" t="inlineStr">
        <is>
          <t>Carteira FEV/26 + Atend FEV/26</t>
        </is>
      </c>
    </row>
    <row r="172" ht="14.25" customHeight="1" s="16">
      <c r="A172" s="25" t="inlineStr">
        <is>
          <t>REDE NOVO TEMPO DE COMUNICACAO</t>
        </is>
      </c>
      <c r="B172" s="25" t="inlineStr">
        <is>
          <t>01385423000130</t>
        </is>
      </c>
      <c r="C172" s="25" t="inlineStr">
        <is>
          <t>REDE NOVO TEMPO DE COMUNICACAO</t>
        </is>
      </c>
      <c r="D172" s="25" t="inlineStr">
        <is>
          <t>SP</t>
        </is>
      </c>
      <c r="E172" s="25" t="inlineStr">
        <is>
          <t>JACAREI</t>
        </is>
      </c>
      <c r="F172" s="25" t="inlineStr">
        <is>
          <t>jair.souza@novotempo.com</t>
        </is>
      </c>
      <c r="G172" s="25" t="inlineStr">
        <is>
          <t>+55 (12) 98812-2166</t>
        </is>
      </c>
      <c r="H172" s="25" t="inlineStr">
        <is>
          <t>15/07/2025</t>
        </is>
      </c>
      <c r="I172" s="25" t="n"/>
      <c r="J172" s="25" t="inlineStr">
        <is>
          <t>MANU DITZEL</t>
        </is>
      </c>
      <c r="K172" s="25" t="inlineStr">
        <is>
          <t>Larissa Padilha</t>
        </is>
      </c>
      <c r="L172" s="25" t="n">
        <v>82</v>
      </c>
      <c r="M172" s="25" t="inlineStr">
        <is>
          <t>25/11/2025</t>
        </is>
      </c>
      <c r="N172" s="25" t="n">
        <v>2870.97</v>
      </c>
      <c r="O172" s="25" t="n">
        <v>2</v>
      </c>
      <c r="P172" s="25" t="inlineStr">
        <is>
          <t>Sim</t>
        </is>
      </c>
      <c r="Q172" s="25" t="n">
        <v>217</v>
      </c>
      <c r="R172" s="25" t="n">
        <v>78</v>
      </c>
      <c r="S172" s="25" t="n">
        <v>2870.97</v>
      </c>
      <c r="T172" s="25" t="inlineStr">
        <is>
          <t>COMPRA B2B</t>
        </is>
      </c>
      <c r="U172" s="25" t="n">
        <v>0</v>
      </c>
      <c r="V172" s="25" t="n">
        <v>0</v>
      </c>
      <c r="W172" s="25" t="n">
        <v>0</v>
      </c>
      <c r="X172" s="25" t="n">
        <v>0</v>
      </c>
      <c r="Y172" s="25" t="n">
        <v>0</v>
      </c>
      <c r="Z172" s="25" t="n">
        <v>1522.26</v>
      </c>
      <c r="AA172" s="25" t="n">
        <v>1873.36</v>
      </c>
      <c r="AB172" s="25" t="n">
        <v>0</v>
      </c>
      <c r="AC172" s="25" t="n">
        <v>2870.97</v>
      </c>
      <c r="AD172" s="25" t="n">
        <v>0</v>
      </c>
      <c r="AE172" s="25" t="n">
        <v>0</v>
      </c>
      <c r="AF172" s="25" t="n">
        <v>0</v>
      </c>
      <c r="AG172" s="25" t="n">
        <v>52.5</v>
      </c>
      <c r="AH172" s="25" t="n">
        <v>2</v>
      </c>
      <c r="AI172" s="25" t="inlineStr">
        <is>
          <t>A</t>
        </is>
      </c>
      <c r="AJ172" s="25" t="n">
        <v>3</v>
      </c>
      <c r="AK172" s="25" t="n">
        <v>3133.3</v>
      </c>
      <c r="AL172" s="26" t="n">
        <v>46058.65</v>
      </c>
      <c r="AM172" s="26" t="n">
        <v>46058.65</v>
      </c>
      <c r="AN172" s="25" t="inlineStr">
        <is>
          <t>WHATSAPP</t>
        </is>
      </c>
      <c r="AO172" s="25" t="inlineStr">
        <is>
          <t>NUTRIÇÃO | Envio da campanha do mês</t>
        </is>
      </c>
      <c r="AP172" s="27">
        <f>IF(AH172="","",IF(AH172=0,"PROSPECT",IF(AH172=1,"NOVO",IF(AH172&lt;=3,"EM DESENVOLVIMENTO",IF(AH172&lt;=6,"RECORRENTE","FIDELIZADO")))))</f>
        <v/>
      </c>
      <c r="AQ172" s="27">
        <f>IF(AJ172=0,0,IFERROR(SUM(U172:AF172)/AJ172,0))</f>
        <v/>
      </c>
      <c r="AS172" s="0" t="inlineStr">
        <is>
          <t>Carteira FEV/26 + Atend FEV/26</t>
        </is>
      </c>
    </row>
    <row r="173" ht="14.25" customHeight="1" s="16">
      <c r="A173" s="25" t="inlineStr">
        <is>
          <t>RESTAURANTE NOSSA SENHORA DE CARAVAGGIO LTDA</t>
        </is>
      </c>
      <c r="B173" s="25" t="inlineStr">
        <is>
          <t>05132031000110</t>
        </is>
      </c>
      <c r="C173" s="25" t="inlineStr">
        <is>
          <t>RESTAURANTE NOSSA SENHORA DE CARAVAGGIO LTDA</t>
        </is>
      </c>
      <c r="D173" s="25" t="inlineStr">
        <is>
          <t>SC</t>
        </is>
      </c>
      <c r="E173" s="25" t="inlineStr">
        <is>
          <t>NOVA VENEZA</t>
        </is>
      </c>
      <c r="F173" s="25" t="inlineStr">
        <is>
          <t>henriquesimoni09@gmail.com</t>
        </is>
      </c>
      <c r="G173" s="25" t="inlineStr">
        <is>
          <t>+55 (48) 9116-0858</t>
        </is>
      </c>
      <c r="H173" s="25" t="inlineStr">
        <is>
          <t>19/11/2025</t>
        </is>
      </c>
      <c r="I173" s="25" t="n"/>
      <c r="J173" s="25" t="inlineStr">
        <is>
          <t>MANU DITZEL</t>
        </is>
      </c>
      <c r="K173" s="25" t="inlineStr">
        <is>
          <t>Manu Ditzel</t>
        </is>
      </c>
      <c r="L173" s="25" t="n">
        <v>81</v>
      </c>
      <c r="M173" s="25" t="inlineStr">
        <is>
          <t>26/11/2025</t>
        </is>
      </c>
      <c r="N173" s="25" t="n">
        <v>1079.01</v>
      </c>
      <c r="O173" s="25" t="n">
        <v>3</v>
      </c>
      <c r="P173" s="25" t="inlineStr">
        <is>
          <t>Sim</t>
        </is>
      </c>
      <c r="Q173" s="25" t="n">
        <v>32</v>
      </c>
      <c r="R173" s="25" t="n"/>
      <c r="S173" s="25" t="n"/>
      <c r="T173" s="25" t="n"/>
      <c r="U173" s="25" t="n">
        <v>0</v>
      </c>
      <c r="V173" s="25" t="n">
        <v>0</v>
      </c>
      <c r="W173" s="25" t="n">
        <v>0</v>
      </c>
      <c r="X173" s="25" t="n">
        <v>0</v>
      </c>
      <c r="Y173" s="25" t="n">
        <v>0</v>
      </c>
      <c r="Z173" s="25" t="n">
        <v>0</v>
      </c>
      <c r="AA173" s="25" t="n">
        <v>0</v>
      </c>
      <c r="AB173" s="25" t="n">
        <v>0</v>
      </c>
      <c r="AC173" s="25" t="n">
        <v>1079.01</v>
      </c>
      <c r="AD173" s="25" t="n">
        <v>0</v>
      </c>
      <c r="AE173" s="25" t="n">
        <v>0</v>
      </c>
      <c r="AF173" s="25" t="n">
        <v>0</v>
      </c>
      <c r="AG173" s="25" t="n">
        <v>0</v>
      </c>
      <c r="AH173" s="25" t="n">
        <v>0</v>
      </c>
      <c r="AI173" s="25" t="inlineStr">
        <is>
          <t>C</t>
        </is>
      </c>
      <c r="AJ173" s="25" t="n">
        <v>1</v>
      </c>
      <c r="AK173" s="25" t="n">
        <v>0</v>
      </c>
      <c r="AL173" s="26" t="n">
        <v>46063.58263888889</v>
      </c>
      <c r="AM173" s="26" t="n">
        <v>46063.58263888889</v>
      </c>
      <c r="AN173" s="25" t="inlineStr">
        <is>
          <t>WHATSAPP</t>
        </is>
      </c>
      <c r="AO173" s="28" t="inlineStr">
        <is>
          <t>cliente ainda tem metade das mercadoria, creio que somente no começo do mês que vem  terá reposição !</t>
        </is>
      </c>
      <c r="AP173" s="27">
        <f>IF(AH173="","",IF(AH173=0,"PROSPECT",IF(AH173=1,"NOVO",IF(AH173&lt;=3,"EM DESENVOLVIMENTO",IF(AH173&lt;=6,"RECORRENTE","FIDELIZADO")))))</f>
        <v/>
      </c>
      <c r="AQ173" s="27">
        <f>IF(AJ173=0,0,IFERROR(SUM(U173:AF173)/AJ173,0))</f>
        <v/>
      </c>
      <c r="AS173" s="0" t="inlineStr">
        <is>
          <t>Carteira FEV/26 + Atend FEV/26</t>
        </is>
      </c>
    </row>
    <row r="174" ht="14.25" customHeight="1" s="16">
      <c r="A174" s="25" t="inlineStr">
        <is>
          <t>RIO BISTRO SAUDAVEL</t>
        </is>
      </c>
      <c r="B174" s="25" t="inlineStr">
        <is>
          <t>53401615000196</t>
        </is>
      </c>
      <c r="C174" s="25" t="inlineStr">
        <is>
          <t>RIO BISTRO SAUDAVEL LTDA</t>
        </is>
      </c>
      <c r="D174" s="25" t="inlineStr">
        <is>
          <t>PI</t>
        </is>
      </c>
      <c r="E174" s="25" t="inlineStr">
        <is>
          <t>FLORIANO</t>
        </is>
      </c>
      <c r="F174" s="25" t="inlineStr">
        <is>
          <t>riobistrosaudavelfloriano@gmail.com</t>
        </is>
      </c>
      <c r="G174" s="25" t="inlineStr">
        <is>
          <t>+55 (86) 9551-6151</t>
        </is>
      </c>
      <c r="H174" s="25" t="inlineStr">
        <is>
          <t>18/11/2025</t>
        </is>
      </c>
      <c r="I174" s="25" t="n"/>
      <c r="J174" s="25" t="inlineStr">
        <is>
          <t>LARISSA PADILHA</t>
        </is>
      </c>
      <c r="K174" s="25" t="inlineStr">
        <is>
          <t>Larissa Padilha</t>
        </is>
      </c>
      <c r="L174" s="25" t="n">
        <v>88</v>
      </c>
      <c r="M174" s="25" t="inlineStr">
        <is>
          <t>19/11/2025</t>
        </is>
      </c>
      <c r="N174" s="25" t="n">
        <v>602.99</v>
      </c>
      <c r="O174" s="25" t="n">
        <v>4</v>
      </c>
      <c r="P174" s="25" t="inlineStr">
        <is>
          <t>Sim</t>
        </is>
      </c>
      <c r="Q174" s="25" t="n">
        <v>24</v>
      </c>
      <c r="R174" s="25" t="n">
        <v>6</v>
      </c>
      <c r="S174" s="25" t="n">
        <v>602.99</v>
      </c>
      <c r="T174" s="25" t="inlineStr">
        <is>
          <t>COMPRA B2B</t>
        </is>
      </c>
      <c r="U174" s="25" t="n">
        <v>0</v>
      </c>
      <c r="V174" s="25" t="n">
        <v>0</v>
      </c>
      <c r="W174" s="25" t="n">
        <v>0</v>
      </c>
      <c r="X174" s="25" t="n">
        <v>0</v>
      </c>
      <c r="Y174" s="25" t="n">
        <v>0</v>
      </c>
      <c r="Z174" s="25" t="n">
        <v>0</v>
      </c>
      <c r="AA174" s="25" t="n">
        <v>0</v>
      </c>
      <c r="AB174" s="25" t="n">
        <v>0</v>
      </c>
      <c r="AC174" s="25" t="n">
        <v>602.99</v>
      </c>
      <c r="AD174" s="25" t="n">
        <v>0</v>
      </c>
      <c r="AE174" s="25" t="n">
        <v>0</v>
      </c>
      <c r="AF174" s="25" t="n">
        <v>0</v>
      </c>
      <c r="AG174" s="25" t="n">
        <v>0</v>
      </c>
      <c r="AH174" s="25" t="n">
        <v>0</v>
      </c>
      <c r="AI174" s="25" t="inlineStr">
        <is>
          <t>C</t>
        </is>
      </c>
      <c r="AJ174" s="25" t="n">
        <v>1</v>
      </c>
      <c r="AK174" s="25" t="n">
        <v>0</v>
      </c>
      <c r="AL174" s="26" t="n">
        <v>46058.66041666667</v>
      </c>
      <c r="AM174" s="26" t="n">
        <v>46058.66041666667</v>
      </c>
      <c r="AN174" s="25" t="inlineStr">
        <is>
          <t>WHATSAPP</t>
        </is>
      </c>
      <c r="AO174" s="25" t="inlineStr">
        <is>
          <t>Perguntei como ficou a questão dos boletos em aberto</t>
        </is>
      </c>
      <c r="AP174" s="27">
        <f>IF(AH174="","",IF(AH174=0,"PROSPECT",IF(AH174=1,"NOVO",IF(AH174&lt;=3,"EM DESENVOLVIMENTO",IF(AH174&lt;=6,"RECORRENTE","FIDELIZADO")))))</f>
        <v/>
      </c>
      <c r="AQ174" s="27">
        <f>IF(AJ174=0,0,IFERROR(SUM(U174:AF174)/AJ174,0))</f>
        <v/>
      </c>
      <c r="AS174" s="0" t="inlineStr">
        <is>
          <t>Carteira FEV/26 + Atend FEV/26</t>
        </is>
      </c>
    </row>
    <row r="175" ht="14.25" customHeight="1" s="16">
      <c r="A175" s="25" t="inlineStr">
        <is>
          <t>SO GRANEL MINEIRO</t>
        </is>
      </c>
      <c r="B175" s="25" t="inlineStr">
        <is>
          <t>61637299000184</t>
        </is>
      </c>
      <c r="C175" s="25" t="inlineStr">
        <is>
          <t>SO GRANEL MINEIRO COMERCIO DE ALIMENTOS E VARIEDADES LTDA</t>
        </is>
      </c>
      <c r="D175" s="25" t="inlineStr">
        <is>
          <t>MG</t>
        </is>
      </c>
      <c r="E175" s="25" t="inlineStr">
        <is>
          <t>CONTAGEM</t>
        </is>
      </c>
      <c r="F175" s="25" t="inlineStr">
        <is>
          <t>contato.sogranel@gmail.com</t>
        </is>
      </c>
      <c r="G175" s="25" t="inlineStr">
        <is>
          <t>+55 (31) 99288-6861</t>
        </is>
      </c>
      <c r="H175" s="25" t="inlineStr">
        <is>
          <t>26/11/2025</t>
        </is>
      </c>
      <c r="I175" s="25" t="n"/>
      <c r="J175" s="25" t="inlineStr">
        <is>
          <t>JULIO GADRET</t>
        </is>
      </c>
      <c r="K175" s="25" t="inlineStr">
        <is>
          <t>Julio  Gadret</t>
        </is>
      </c>
      <c r="L175" s="25" t="n">
        <v>79</v>
      </c>
      <c r="M175" s="25" t="inlineStr">
        <is>
          <t>28/11/2025</t>
        </is>
      </c>
      <c r="N175" s="25" t="n">
        <v>3305.18</v>
      </c>
      <c r="O175" s="25" t="n"/>
      <c r="P175" s="25" t="n"/>
      <c r="Q175" s="25" t="n"/>
      <c r="R175" s="25" t="n"/>
      <c r="S175" s="25" t="n"/>
      <c r="T175" s="25" t="n"/>
      <c r="U175" s="25" t="n">
        <v>0</v>
      </c>
      <c r="V175" s="25" t="n">
        <v>0</v>
      </c>
      <c r="W175" s="25" t="n">
        <v>0</v>
      </c>
      <c r="X175" s="25" t="n">
        <v>0</v>
      </c>
      <c r="Y175" s="25" t="n">
        <v>0</v>
      </c>
      <c r="Z175" s="25" t="n">
        <v>0</v>
      </c>
      <c r="AA175" s="25" t="n">
        <v>0</v>
      </c>
      <c r="AB175" s="25" t="n">
        <v>0</v>
      </c>
      <c r="AC175" s="25" t="n">
        <v>3305.18</v>
      </c>
      <c r="AD175" s="25" t="n">
        <v>0</v>
      </c>
      <c r="AE175" s="25" t="n">
        <v>0</v>
      </c>
      <c r="AF175" s="25" t="n">
        <v>0</v>
      </c>
      <c r="AG175" s="25" t="n">
        <v>0</v>
      </c>
      <c r="AH175" s="25" t="n">
        <v>0</v>
      </c>
      <c r="AI175" s="25" t="inlineStr">
        <is>
          <t>A</t>
        </is>
      </c>
      <c r="AJ175" s="25" t="n">
        <v>1</v>
      </c>
      <c r="AK175" s="25" t="n">
        <v>0</v>
      </c>
      <c r="AL175" s="25" t="n"/>
      <c r="AM175" s="25" t="n"/>
      <c r="AN175" s="25" t="n"/>
      <c r="AO175" s="25" t="n"/>
      <c r="AP175" s="27">
        <f>IF(AH175="","",IF(AH175=0,"PROSPECT",IF(AH175=1,"NOVO",IF(AH175&lt;=3,"EM DESENVOLVIMENTO",IF(AH175&lt;=6,"RECORRENTE","FIDELIZADO")))))</f>
        <v/>
      </c>
      <c r="AQ175" s="27">
        <f>IF(AJ175=0,0,IFERROR(SUM(U175:AF175)/AJ175,0))</f>
        <v/>
      </c>
      <c r="AS175" s="0" t="inlineStr">
        <is>
          <t>Carteira FEV/26</t>
        </is>
      </c>
    </row>
    <row r="176" ht="14.25" customHeight="1" s="16">
      <c r="A176" s="25" t="inlineStr">
        <is>
          <t>SUPERMERCADO REDEPAS</t>
        </is>
      </c>
      <c r="B176" s="25" t="inlineStr">
        <is>
          <t>04755895000125</t>
        </is>
      </c>
      <c r="C176" s="25" t="inlineStr">
        <is>
          <t>SUPERMERCADO CASTILHO DE CAFELANDIA LTDA.</t>
        </is>
      </c>
      <c r="D176" s="25" t="inlineStr">
        <is>
          <t>SP</t>
        </is>
      </c>
      <c r="E176" s="25" t="inlineStr">
        <is>
          <t>CAFELANDIA</t>
        </is>
      </c>
      <c r="F176" s="25" t="inlineStr">
        <is>
          <t>castilhocompras@gmail.com</t>
        </is>
      </c>
      <c r="G176" s="25" t="inlineStr">
        <is>
          <t>+55 (14) 99649-0768</t>
        </is>
      </c>
      <c r="H176" s="25" t="inlineStr">
        <is>
          <t>17/04/2025</t>
        </is>
      </c>
      <c r="I176" s="25" t="n"/>
      <c r="J176" s="25" t="inlineStr">
        <is>
          <t>LARISSA PADILHA</t>
        </is>
      </c>
      <c r="K176" s="25" t="inlineStr">
        <is>
          <t>Larissa Padilha</t>
        </is>
      </c>
      <c r="L176" s="25" t="n">
        <v>3</v>
      </c>
      <c r="M176" s="25" t="inlineStr">
        <is>
          <t>12/02/2026</t>
        </is>
      </c>
      <c r="N176" s="25" t="n">
        <v>2094.94</v>
      </c>
      <c r="O176" s="25" t="n"/>
      <c r="P176" s="25" t="n"/>
      <c r="Q176" s="25" t="n"/>
      <c r="R176" s="25" t="n"/>
      <c r="S176" s="25" t="n"/>
      <c r="T176" s="25" t="n"/>
      <c r="U176" s="25" t="n">
        <v>0</v>
      </c>
      <c r="V176" s="25" t="n">
        <v>0</v>
      </c>
      <c r="W176" s="25" t="n">
        <v>0</v>
      </c>
      <c r="X176" s="25" t="n">
        <v>1343.43</v>
      </c>
      <c r="Y176" s="25" t="n">
        <v>0</v>
      </c>
      <c r="Z176" s="25" t="n">
        <v>0</v>
      </c>
      <c r="AA176" s="25" t="n">
        <v>1215.54</v>
      </c>
      <c r="AB176" s="25" t="n">
        <v>1173.83</v>
      </c>
      <c r="AC176" s="25" t="n">
        <v>1229.79</v>
      </c>
      <c r="AD176" s="25" t="n">
        <v>0</v>
      </c>
      <c r="AE176" s="25" t="n">
        <v>0</v>
      </c>
      <c r="AF176" s="25" t="n">
        <v>2094.94</v>
      </c>
      <c r="AG176" s="25" t="n">
        <v>56.75</v>
      </c>
      <c r="AH176" s="25" t="n">
        <v>4</v>
      </c>
      <c r="AI176" s="25" t="inlineStr">
        <is>
          <t>A</t>
        </is>
      </c>
      <c r="AJ176" s="25" t="n">
        <v>5</v>
      </c>
      <c r="AK176" s="25" t="n">
        <v>1764.38</v>
      </c>
      <c r="AL176" s="26" t="n">
        <v>46065.58958333333</v>
      </c>
      <c r="AM176" s="26" t="n">
        <v>46065.58958333333</v>
      </c>
      <c r="AN176" s="25" t="inlineStr">
        <is>
          <t>WHATSAPP</t>
        </is>
      </c>
      <c r="AO176" s="25" t="inlineStr">
        <is>
          <t>FOLLOW-UP</t>
        </is>
      </c>
      <c r="AP176" s="27">
        <f>IF(AH176="","",IF(AH176=0,"PROSPECT",IF(AH176=1,"NOVO",IF(AH176&lt;=3,"EM DESENVOLVIMENTO",IF(AH176&lt;=6,"RECORRENTE","FIDELIZADO")))))</f>
        <v/>
      </c>
      <c r="AQ176" s="27">
        <f>IF(AJ176=0,0,IFERROR(SUM(U176:AF176)/AJ176,0))</f>
        <v/>
      </c>
      <c r="AS176" s="0" t="inlineStr">
        <is>
          <t>Carteira FEV/26 + Atend FEV/26 + Vendas FEV/26 + ABC FEV/26</t>
        </is>
      </c>
    </row>
    <row r="177" ht="14.25" customHeight="1" s="16">
      <c r="A177" s="25" t="inlineStr">
        <is>
          <t>Terra Naturalle</t>
        </is>
      </c>
      <c r="B177" s="25" t="inlineStr">
        <is>
          <t>28842901000140</t>
        </is>
      </c>
      <c r="C177" s="25" t="inlineStr">
        <is>
          <t>CeL Comércio de Alimento LTDA</t>
        </is>
      </c>
      <c r="D177" s="25" t="inlineStr">
        <is>
          <t>SP</t>
        </is>
      </c>
      <c r="E177" s="25" t="inlineStr">
        <is>
          <t>Campinas</t>
        </is>
      </c>
      <c r="F177" s="25" t="inlineStr">
        <is>
          <t>Compras@terranaturalle.com.br</t>
        </is>
      </c>
      <c r="G177" s="25" t="inlineStr">
        <is>
          <t>+55 (19) 98144-3676</t>
        </is>
      </c>
      <c r="H177" s="25" t="inlineStr">
        <is>
          <t>08/10/2024</t>
        </is>
      </c>
      <c r="I177" s="25" t="n"/>
      <c r="J177" s="25" t="inlineStr">
        <is>
          <t>JULIO GADRET</t>
        </is>
      </c>
      <c r="K177" s="25" t="inlineStr">
        <is>
          <t>Julio  Gadret</t>
        </is>
      </c>
      <c r="L177" s="25" t="n">
        <v>79</v>
      </c>
      <c r="M177" s="25" t="inlineStr">
        <is>
          <t>28/11/2025</t>
        </is>
      </c>
      <c r="N177" s="25" t="n">
        <v>2035.42</v>
      </c>
      <c r="O177" s="25" t="n">
        <v>2</v>
      </c>
      <c r="P177" s="25" t="inlineStr">
        <is>
          <t>Sim</t>
        </is>
      </c>
      <c r="Q177" s="25" t="n">
        <v>61</v>
      </c>
      <c r="R177" s="25" t="n">
        <v>33</v>
      </c>
      <c r="S177" s="25" t="n">
        <v>2035.42</v>
      </c>
      <c r="T177" s="25" t="inlineStr">
        <is>
          <t>COMPRA B2B</t>
        </is>
      </c>
      <c r="U177" s="25" t="n">
        <v>0</v>
      </c>
      <c r="V177" s="25" t="n">
        <v>0</v>
      </c>
      <c r="W177" s="25" t="n">
        <v>0</v>
      </c>
      <c r="X177" s="25" t="n">
        <v>0</v>
      </c>
      <c r="Y177" s="25" t="n">
        <v>0</v>
      </c>
      <c r="Z177" s="25" t="n">
        <v>0</v>
      </c>
      <c r="AA177" s="25" t="n">
        <v>0</v>
      </c>
      <c r="AB177" s="25" t="n">
        <v>0</v>
      </c>
      <c r="AC177" s="25" t="n">
        <v>2035.42</v>
      </c>
      <c r="AD177" s="25" t="n">
        <v>0</v>
      </c>
      <c r="AE177" s="25" t="n">
        <v>0</v>
      </c>
      <c r="AF177" s="25" t="n">
        <v>0</v>
      </c>
      <c r="AG177" s="25" t="n">
        <v>0</v>
      </c>
      <c r="AH177" s="25" t="n">
        <v>0</v>
      </c>
      <c r="AI177" s="25" t="inlineStr">
        <is>
          <t>B</t>
        </is>
      </c>
      <c r="AJ177" s="25" t="n">
        <v>1</v>
      </c>
      <c r="AK177" s="25" t="n">
        <v>0</v>
      </c>
      <c r="AL177" s="25" t="n"/>
      <c r="AM177" s="25" t="n"/>
      <c r="AN177" s="25" t="n"/>
      <c r="AO177" s="25" t="n"/>
      <c r="AP177" s="27">
        <f>IF(AH177="","",IF(AH177=0,"PROSPECT",IF(AH177=1,"NOVO",IF(AH177&lt;=3,"EM DESENVOLVIMENTO",IF(AH177&lt;=6,"RECORRENTE","FIDELIZADO")))))</f>
        <v/>
      </c>
      <c r="AQ177" s="27">
        <f>IF(AJ177=0,0,IFERROR(SUM(U177:AF177)/AJ177,0))</f>
        <v/>
      </c>
      <c r="AS177" s="0" t="inlineStr">
        <is>
          <t>Carteira FEV/26</t>
        </is>
      </c>
    </row>
    <row r="178" ht="14.25" customHeight="1" s="16">
      <c r="A178" s="25" t="inlineStr">
        <is>
          <t>UNIVERSO GRANEL</t>
        </is>
      </c>
      <c r="B178" s="25" t="inlineStr">
        <is>
          <t>20057883000183</t>
        </is>
      </c>
      <c r="C178" s="25" t="inlineStr">
        <is>
          <t>D'MELO &amp; COLISSI PRODUTOS ALIMENTICIOS LTDA</t>
        </is>
      </c>
      <c r="D178" s="25" t="inlineStr">
        <is>
          <t>RS</t>
        </is>
      </c>
      <c r="E178" s="25" t="inlineStr">
        <is>
          <t>PORTAO</t>
        </is>
      </c>
      <c r="F178" s="25" t="inlineStr">
        <is>
          <t>ana@universogranel.com.br</t>
        </is>
      </c>
      <c r="G178" s="25" t="inlineStr">
        <is>
          <t>+55 (51) 9839-7116</t>
        </is>
      </c>
      <c r="H178" s="25" t="inlineStr">
        <is>
          <t>08/10/2024</t>
        </is>
      </c>
      <c r="I178" s="25" t="n"/>
      <c r="J178" s="25" t="inlineStr">
        <is>
          <t>MANU DITZEL</t>
        </is>
      </c>
      <c r="K178" s="25" t="inlineStr">
        <is>
          <t>Manu Ditzel</t>
        </is>
      </c>
      <c r="L178" s="25" t="n">
        <v>73</v>
      </c>
      <c r="M178" s="25" t="inlineStr">
        <is>
          <t>04/12/2025</t>
        </is>
      </c>
      <c r="N178" s="25" t="n">
        <v>1611.18</v>
      </c>
      <c r="O178" s="25" t="n">
        <v>4</v>
      </c>
      <c r="P178" s="25" t="inlineStr">
        <is>
          <t>Sim</t>
        </is>
      </c>
      <c r="Q178" s="25" t="n">
        <v>68</v>
      </c>
      <c r="R178" s="25" t="n">
        <v>19</v>
      </c>
      <c r="S178" s="25" t="n">
        <v>1611.18</v>
      </c>
      <c r="T178" s="25" t="inlineStr">
        <is>
          <t>COMPRA B2B</t>
        </is>
      </c>
      <c r="U178" s="25" t="n">
        <v>0</v>
      </c>
      <c r="V178" s="25" t="n">
        <v>0</v>
      </c>
      <c r="W178" s="25" t="n">
        <v>0</v>
      </c>
      <c r="X178" s="25" t="n">
        <v>0</v>
      </c>
      <c r="Y178" s="25" t="n">
        <v>0</v>
      </c>
      <c r="Z178" s="25" t="n">
        <v>0</v>
      </c>
      <c r="AA178" s="25" t="n">
        <v>0</v>
      </c>
      <c r="AB178" s="25" t="n">
        <v>0</v>
      </c>
      <c r="AC178" s="25" t="n">
        <v>0</v>
      </c>
      <c r="AD178" s="25" t="n">
        <v>1611.18</v>
      </c>
      <c r="AE178" s="25" t="n">
        <v>0</v>
      </c>
      <c r="AF178" s="25" t="n">
        <v>0</v>
      </c>
      <c r="AG178" s="25" t="n">
        <v>0</v>
      </c>
      <c r="AH178" s="25" t="n">
        <v>1</v>
      </c>
      <c r="AI178" s="25" t="inlineStr">
        <is>
          <t>B</t>
        </is>
      </c>
      <c r="AJ178" s="25" t="n">
        <v>1</v>
      </c>
      <c r="AK178" s="25" t="n">
        <v>1611.18</v>
      </c>
      <c r="AL178" s="26" t="n">
        <v>46063.66388888889</v>
      </c>
      <c r="AM178" s="26" t="n">
        <v>46063.66388888889</v>
      </c>
      <c r="AN178" s="25" t="inlineStr">
        <is>
          <t>LIGAÇÃO</t>
        </is>
      </c>
      <c r="AO178" s="28" t="inlineStr">
        <is>
          <t>CAIXA POSTAL NO NUMERO E WHATSAPP NÃO RESPONDE A DIAS</t>
        </is>
      </c>
      <c r="AP178" s="27">
        <f>IF(AH178="","",IF(AH178=0,"PROSPECT",IF(AH178=1,"NOVO",IF(AH178&lt;=3,"EM DESENVOLVIMENTO",IF(AH178&lt;=6,"RECORRENTE","FIDELIZADO")))))</f>
        <v/>
      </c>
      <c r="AQ178" s="27">
        <f>IF(AJ178=0,0,IFERROR(SUM(U178:AF178)/AJ178,0))</f>
        <v/>
      </c>
      <c r="AS178" s="0" t="inlineStr">
        <is>
          <t>Carteira FEV/26 + Atend FEV/26</t>
        </is>
      </c>
    </row>
    <row r="179" ht="14.25" customHeight="1" s="16">
      <c r="A179" s="25" t="inlineStr">
        <is>
          <t>VERCATTO BOUTIQUE SÁUDAVEL</t>
        </is>
      </c>
      <c r="B179" s="25" t="inlineStr">
        <is>
          <t>41711232000135</t>
        </is>
      </c>
      <c r="C179" s="25" t="inlineStr">
        <is>
          <t>LDP COMERCIO DE PRODUTOS LTDA</t>
        </is>
      </c>
      <c r="D179" s="25" t="inlineStr">
        <is>
          <t>PR</t>
        </is>
      </c>
      <c r="E179" s="25" t="inlineStr">
        <is>
          <t>CURITIBA</t>
        </is>
      </c>
      <c r="F179" s="25" t="inlineStr">
        <is>
          <t>compras@vercatto.com.br</t>
        </is>
      </c>
      <c r="G179" s="25" t="inlineStr">
        <is>
          <t>41924427494191</t>
        </is>
      </c>
      <c r="H179" s="25" t="inlineStr">
        <is>
          <t>08/10/2024</t>
        </is>
      </c>
      <c r="I179" s="25" t="n"/>
      <c r="J179" s="25" t="inlineStr">
        <is>
          <t>MANU DITZEL</t>
        </is>
      </c>
      <c r="K179" s="25" t="inlineStr">
        <is>
          <t>Manu Ditzel</t>
        </is>
      </c>
      <c r="L179" s="25" t="n">
        <v>81</v>
      </c>
      <c r="M179" s="25" t="inlineStr">
        <is>
          <t>26/11/2025</t>
        </is>
      </c>
      <c r="N179" s="25" t="n">
        <v>815.75</v>
      </c>
      <c r="O179" s="25" t="n">
        <v>1</v>
      </c>
      <c r="P179" s="25" t="inlineStr">
        <is>
          <t>Sim</t>
        </is>
      </c>
      <c r="Q179" s="25" t="n">
        <v>217</v>
      </c>
      <c r="R179" s="25" t="n">
        <v>39</v>
      </c>
      <c r="S179" s="25" t="n">
        <v>3300.25</v>
      </c>
      <c r="T179" s="25" t="inlineStr">
        <is>
          <t>COMPRA B2B</t>
        </is>
      </c>
      <c r="U179" s="25" t="n">
        <v>0</v>
      </c>
      <c r="V179" s="25" t="n">
        <v>0</v>
      </c>
      <c r="W179" s="25" t="n">
        <v>0</v>
      </c>
      <c r="X179" s="25" t="n">
        <v>0</v>
      </c>
      <c r="Y179" s="25" t="n">
        <v>0</v>
      </c>
      <c r="Z179" s="25" t="n">
        <v>739.5</v>
      </c>
      <c r="AA179" s="25" t="n">
        <v>1745</v>
      </c>
      <c r="AB179" s="25" t="n">
        <v>1387.48</v>
      </c>
      <c r="AC179" s="25" t="n">
        <v>815.75</v>
      </c>
      <c r="AD179" s="25" t="n">
        <v>0</v>
      </c>
      <c r="AE179" s="25" t="n">
        <v>0</v>
      </c>
      <c r="AF179" s="25" t="n">
        <v>0</v>
      </c>
      <c r="AG179" s="25" t="n">
        <v>26.5</v>
      </c>
      <c r="AH179" s="25" t="n">
        <v>4</v>
      </c>
      <c r="AI179" s="25" t="inlineStr">
        <is>
          <t>A</t>
        </is>
      </c>
      <c r="AJ179" s="25" t="n">
        <v>4</v>
      </c>
      <c r="AK179" s="25" t="n">
        <v>1171.93</v>
      </c>
      <c r="AL179" s="26" t="n">
        <v>46063.67708333334</v>
      </c>
      <c r="AM179" s="26" t="n">
        <v>46063.67708333334</v>
      </c>
      <c r="AN179" s="25" t="inlineStr">
        <is>
          <t>LIGAÇÃO</t>
        </is>
      </c>
      <c r="AO179" s="25" t="inlineStr">
        <is>
          <t>EDILAINE, COMPRAS ...   INFORMOU QUE NÃO PRECISAM, PERGUNTEI QUANTOS DISPLAYS AINDA TEM, PORÉM SEM RETORNO !!</t>
        </is>
      </c>
      <c r="AP179" s="27">
        <f>IF(AH179="","",IF(AH179=0,"PROSPECT",IF(AH179=1,"NOVO",IF(AH179&lt;=3,"EM DESENVOLVIMENTO",IF(AH179&lt;=6,"RECORRENTE","FIDELIZADO")))))</f>
        <v/>
      </c>
      <c r="AQ179" s="27">
        <f>IF(AJ179=0,0,IFERROR(SUM(U179:AF179)/AJ179,0))</f>
        <v/>
      </c>
      <c r="AS179" s="0" t="inlineStr">
        <is>
          <t>Carteira FEV/26 + Atend FEV/26</t>
        </is>
      </c>
    </row>
    <row r="180" ht="14.25" customHeight="1" s="16">
      <c r="A180" s="25" t="inlineStr">
        <is>
          <t>VERDI BEE EMPORIO NATURAL</t>
        </is>
      </c>
      <c r="B180" s="25" t="inlineStr">
        <is>
          <t>62373627000145</t>
        </is>
      </c>
      <c r="C180" s="25" t="inlineStr">
        <is>
          <t>62.373.627 STELLA SABRINA LEONEL</t>
        </is>
      </c>
      <c r="D180" s="25" t="inlineStr">
        <is>
          <t>SC</t>
        </is>
      </c>
      <c r="E180" s="25" t="inlineStr">
        <is>
          <t>PALHOCA</t>
        </is>
      </c>
      <c r="F180" s="25" t="inlineStr">
        <is>
          <t>verdibee.emporio@hotmail.com</t>
        </is>
      </c>
      <c r="G180" s="25" t="inlineStr">
        <is>
          <t>+55 (48) 99128-7322</t>
        </is>
      </c>
      <c r="H180" s="25" t="inlineStr">
        <is>
          <t>25/11/2025</t>
        </is>
      </c>
      <c r="I180" s="25" t="n"/>
      <c r="J180" s="25" t="inlineStr">
        <is>
          <t>JULIO GADRET</t>
        </is>
      </c>
      <c r="K180" s="25" t="inlineStr">
        <is>
          <t>Julio  Gadret</t>
        </is>
      </c>
      <c r="L180" s="25" t="n">
        <v>82</v>
      </c>
      <c r="M180" s="25" t="inlineStr">
        <is>
          <t>25/11/2025</t>
        </is>
      </c>
      <c r="N180" s="25" t="n">
        <v>1513.57</v>
      </c>
      <c r="O180" s="25" t="n">
        <v>2</v>
      </c>
      <c r="P180" s="25" t="inlineStr">
        <is>
          <t>Sim</t>
        </is>
      </c>
      <c r="Q180" s="25" t="n">
        <v>56</v>
      </c>
      <c r="R180" s="25" t="n">
        <v>10</v>
      </c>
      <c r="S180" s="25" t="n">
        <v>1513.57</v>
      </c>
      <c r="T180" s="25" t="inlineStr">
        <is>
          <t>COMPRA B2B</t>
        </is>
      </c>
      <c r="U180" s="25" t="n">
        <v>0</v>
      </c>
      <c r="V180" s="25" t="n">
        <v>0</v>
      </c>
      <c r="W180" s="25" t="n">
        <v>0</v>
      </c>
      <c r="X180" s="25" t="n">
        <v>0</v>
      </c>
      <c r="Y180" s="25" t="n">
        <v>0</v>
      </c>
      <c r="Z180" s="25" t="n">
        <v>0</v>
      </c>
      <c r="AA180" s="25" t="n">
        <v>0</v>
      </c>
      <c r="AB180" s="25" t="n">
        <v>0</v>
      </c>
      <c r="AC180" s="25" t="n">
        <v>1513.57</v>
      </c>
      <c r="AD180" s="25" t="n">
        <v>0</v>
      </c>
      <c r="AE180" s="25" t="n">
        <v>0</v>
      </c>
      <c r="AF180" s="25" t="n">
        <v>0</v>
      </c>
      <c r="AG180" s="25" t="n">
        <v>0</v>
      </c>
      <c r="AH180" s="25" t="n">
        <v>0</v>
      </c>
      <c r="AI180" s="25" t="inlineStr">
        <is>
          <t>B</t>
        </is>
      </c>
      <c r="AJ180" s="25" t="n">
        <v>1</v>
      </c>
      <c r="AK180" s="25" t="n">
        <v>0</v>
      </c>
      <c r="AL180" s="26" t="n">
        <v>46043.50981481482</v>
      </c>
      <c r="AM180" s="26" t="n">
        <v>46043.50981481482</v>
      </c>
      <c r="AN180" s="25" t="inlineStr">
        <is>
          <t>WHATSAPP</t>
        </is>
      </c>
      <c r="AO180" s="25" t="inlineStr">
        <is>
          <t>VERDI BEE - STELLA - SC</t>
        </is>
      </c>
      <c r="AP180" s="27">
        <f>IF(AH180="","",IF(AH180=0,"PROSPECT",IF(AH180=1,"NOVO",IF(AH180&lt;=3,"EM DESENVOLVIMENTO",IF(AH180&lt;=6,"RECORRENTE","FIDELIZADO")))))</f>
        <v/>
      </c>
      <c r="AQ180" s="27">
        <f>IF(AJ180=0,0,IFERROR(SUM(U180:AF180)/AJ180,0))</f>
        <v/>
      </c>
      <c r="AS180" s="0" t="inlineStr">
        <is>
          <t>Carteira FEV/26</t>
        </is>
      </c>
    </row>
    <row r="181" ht="14.25" customHeight="1" s="16">
      <c r="A181" s="25" t="inlineStr">
        <is>
          <t>VIDA LEVE</t>
        </is>
      </c>
      <c r="B181" s="25" t="inlineStr">
        <is>
          <t>62766524000145</t>
        </is>
      </c>
      <c r="C181" s="25" t="inlineStr">
        <is>
          <t>B V DA S SOUSA</t>
        </is>
      </c>
      <c r="D181" s="25" t="inlineStr">
        <is>
          <t>MA</t>
        </is>
      </c>
      <c r="E181" s="25" t="inlineStr">
        <is>
          <t>PRESIDENTE DUTRA</t>
        </is>
      </c>
      <c r="F181" s="25" t="inlineStr">
        <is>
          <t>PRESIDENTE.DUTRAB@REDEVIDALEVE.COM.BR</t>
        </is>
      </c>
      <c r="G181" s="25" t="inlineStr">
        <is>
          <t>+55 (99) 98481-1871</t>
        </is>
      </c>
      <c r="H181" s="25" t="inlineStr">
        <is>
          <t>28/11/2025</t>
        </is>
      </c>
      <c r="I181" s="25" t="inlineStr">
        <is>
          <t>VIDA LEVE</t>
        </is>
      </c>
      <c r="J181" s="25" t="inlineStr">
        <is>
          <t>DAIANE STAVICKI</t>
        </is>
      </c>
      <c r="K181" s="25" t="inlineStr">
        <is>
          <t>Central - Daiane</t>
        </is>
      </c>
      <c r="L181" s="25" t="n">
        <v>75</v>
      </c>
      <c r="M181" s="25" t="inlineStr">
        <is>
          <t>02/12/2025</t>
        </is>
      </c>
      <c r="N181" s="25" t="n">
        <v>2536.11</v>
      </c>
      <c r="O181" s="25" t="n"/>
      <c r="P181" s="25" t="n"/>
      <c r="Q181" s="25" t="n"/>
      <c r="R181" s="25" t="n"/>
      <c r="S181" s="25" t="n"/>
      <c r="T181" s="25" t="n"/>
      <c r="U181" s="25" t="n">
        <v>0</v>
      </c>
      <c r="V181" s="25" t="n">
        <v>0</v>
      </c>
      <c r="W181" s="25" t="n">
        <v>0</v>
      </c>
      <c r="X181" s="25" t="n">
        <v>0</v>
      </c>
      <c r="Y181" s="25" t="n">
        <v>0</v>
      </c>
      <c r="Z181" s="25" t="n">
        <v>0</v>
      </c>
      <c r="AA181" s="25" t="n">
        <v>0</v>
      </c>
      <c r="AB181" s="25" t="n">
        <v>0</v>
      </c>
      <c r="AC181" s="25" t="n">
        <v>0</v>
      </c>
      <c r="AD181" s="25" t="n">
        <v>0</v>
      </c>
      <c r="AE181" s="25" t="n">
        <v>0</v>
      </c>
      <c r="AF181" s="25" t="n">
        <v>0</v>
      </c>
      <c r="AG181" s="25" t="n">
        <v>0</v>
      </c>
      <c r="AH181" s="25" t="n">
        <v>0</v>
      </c>
      <c r="AI181" s="25" t="inlineStr">
        <is>
          <t>A</t>
        </is>
      </c>
      <c r="AJ181" s="25" t="n">
        <v>0</v>
      </c>
      <c r="AK181" s="25" t="n">
        <v>0</v>
      </c>
      <c r="AL181" s="26" t="n">
        <v>46050.61458333334</v>
      </c>
      <c r="AM181" s="26" t="n">
        <v>46050.61458333334</v>
      </c>
      <c r="AN181" s="25" t="inlineStr">
        <is>
          <t>LIGAÇÃO</t>
        </is>
      </c>
      <c r="AO181" s="25" t="inlineStr">
        <is>
          <t>FALEI COM A ANA, VAI INAUGURAR EM FEVEREIRO</t>
        </is>
      </c>
      <c r="AP181" s="27">
        <f>IF(AH181="","",IF(AH181=0,"PROSPECT",IF(AH181=1,"NOVO",IF(AH181&lt;=3,"EM DESENVOLVIMENTO",IF(AH181&lt;=6,"RECORRENTE","FIDELIZADO")))))</f>
        <v/>
      </c>
      <c r="AQ181" s="27">
        <f>IF(AJ181=0,0,IFERROR(SUM(U181:AF181)/AJ181,0))</f>
        <v/>
      </c>
      <c r="AS181" s="0" t="inlineStr">
        <is>
          <t>Carteira FEV/26</t>
        </is>
      </c>
    </row>
    <row r="182" ht="14.25" customHeight="1" s="16">
      <c r="A182" s="25" t="inlineStr">
        <is>
          <t>VIDA LEVE - CHAPADAO</t>
        </is>
      </c>
      <c r="B182" s="25" t="inlineStr">
        <is>
          <t>61327765000125</t>
        </is>
      </c>
      <c r="C182" s="25" t="inlineStr">
        <is>
          <t>CARLA P DA SILVA LTDA</t>
        </is>
      </c>
      <c r="D182" s="25" t="inlineStr">
        <is>
          <t>GO</t>
        </is>
      </c>
      <c r="E182" s="25" t="inlineStr">
        <is>
          <t>CHAPADAO DO CEU</t>
        </is>
      </c>
      <c r="F182" s="25" t="inlineStr">
        <is>
          <t>loja.chapadaodoceu@redevidaleve.com.br</t>
        </is>
      </c>
      <c r="G182" s="25" t="inlineStr">
        <is>
          <t>+55 (64) 99278-3399</t>
        </is>
      </c>
      <c r="H182" s="25" t="inlineStr">
        <is>
          <t>29/08/2025</t>
        </is>
      </c>
      <c r="I182" s="25" t="inlineStr">
        <is>
          <t>[Rede] Vida Leve</t>
        </is>
      </c>
      <c r="J182" s="25" t="inlineStr">
        <is>
          <t>DAIANE STAVICKI</t>
        </is>
      </c>
      <c r="K182" s="25" t="inlineStr">
        <is>
          <t>Central - Daiane</t>
        </is>
      </c>
      <c r="L182" s="25" t="n">
        <v>72</v>
      </c>
      <c r="M182" s="25" t="inlineStr">
        <is>
          <t>05/12/2025</t>
        </is>
      </c>
      <c r="N182" s="25" t="n">
        <v>1174.05</v>
      </c>
      <c r="O182" s="25" t="n"/>
      <c r="P182" s="25" t="n"/>
      <c r="Q182" s="25" t="n"/>
      <c r="R182" s="25" t="n"/>
      <c r="S182" s="25" t="n"/>
      <c r="T182" s="25" t="n"/>
      <c r="U182" s="25" t="n">
        <v>0</v>
      </c>
      <c r="V182" s="25" t="n">
        <v>0</v>
      </c>
      <c r="W182" s="25" t="n">
        <v>0</v>
      </c>
      <c r="X182" s="25" t="n">
        <v>0</v>
      </c>
      <c r="Y182" s="25" t="n">
        <v>0</v>
      </c>
      <c r="Z182" s="25" t="n">
        <v>3767.53</v>
      </c>
      <c r="AA182" s="25" t="n">
        <v>0</v>
      </c>
      <c r="AB182" s="25" t="n">
        <v>1522.36</v>
      </c>
      <c r="AC182" s="25" t="n">
        <v>0</v>
      </c>
      <c r="AD182" s="25" t="n">
        <v>1174.05</v>
      </c>
      <c r="AE182" s="25" t="n">
        <v>0</v>
      </c>
      <c r="AF182" s="25" t="n">
        <v>0</v>
      </c>
      <c r="AG182" s="25" t="n">
        <v>49</v>
      </c>
      <c r="AH182" s="25" t="n">
        <v>3</v>
      </c>
      <c r="AI182" s="25" t="inlineStr">
        <is>
          <t>A</t>
        </is>
      </c>
      <c r="AJ182" s="25" t="n">
        <v>3</v>
      </c>
      <c r="AK182" s="25" t="n">
        <v>2154.65</v>
      </c>
      <c r="AL182" s="26" t="n">
        <v>45996.47708333333</v>
      </c>
      <c r="AM182" s="26" t="n">
        <v>45996.47708333333</v>
      </c>
      <c r="AN182" s="25" t="inlineStr">
        <is>
          <t>WHATSAPP</t>
        </is>
      </c>
      <c r="AO182" s="25" t="inlineStr">
        <is>
          <t>ESSA CLIENTE PEDIDO ATÉ 1.200,00 FAZEMOS CIF PELO FRACIONADO</t>
        </is>
      </c>
      <c r="AP182" s="27">
        <f>IF(AH182="","",IF(AH182=0,"PROSPECT",IF(AH182=1,"NOVO",IF(AH182&lt;=3,"EM DESENVOLVIMENTO",IF(AH182&lt;=6,"RECORRENTE","FIDELIZADO")))))</f>
        <v/>
      </c>
      <c r="AQ182" s="27">
        <f>IF(AJ182=0,0,IFERROR(SUM(U182:AF182)/AJ182,0))</f>
        <v/>
      </c>
      <c r="AS182" s="0" t="inlineStr">
        <is>
          <t>Carteira FEV/26</t>
        </is>
      </c>
    </row>
    <row r="183" ht="14.25" customHeight="1" s="16">
      <c r="A183" s="25" t="inlineStr">
        <is>
          <t>VIDA LEVE BARIGUI</t>
        </is>
      </c>
      <c r="B183" s="25" t="inlineStr">
        <is>
          <t>54423411000119</t>
        </is>
      </c>
      <c r="C183" s="25" t="inlineStr">
        <is>
          <t>MAGE MAIS COMERCIO DE ALIMENTOS LTDA</t>
        </is>
      </c>
      <c r="D183" s="25" t="inlineStr">
        <is>
          <t>PR</t>
        </is>
      </c>
      <c r="E183" s="25" t="inlineStr">
        <is>
          <t>CURITIBA</t>
        </is>
      </c>
      <c r="F183" s="25" t="inlineStr">
        <is>
          <t>gualter.ferreira1@gmail.com</t>
        </is>
      </c>
      <c r="G183" s="25" t="inlineStr">
        <is>
          <t>+55 (41) 99937-8387</t>
        </is>
      </c>
      <c r="H183" s="25" t="inlineStr">
        <is>
          <t>25/07/2025</t>
        </is>
      </c>
      <c r="I183" s="25" t="inlineStr">
        <is>
          <t>[Rede] Vida Leve</t>
        </is>
      </c>
      <c r="J183" s="25" t="inlineStr">
        <is>
          <t>DAIANE STAVICKI</t>
        </is>
      </c>
      <c r="K183" s="25" t="inlineStr">
        <is>
          <t>Central - Daiane</t>
        </is>
      </c>
      <c r="L183" s="25" t="n">
        <v>75</v>
      </c>
      <c r="M183" s="25" t="inlineStr">
        <is>
          <t>02/12/2025</t>
        </is>
      </c>
      <c r="N183" s="25" t="n">
        <v>677.73</v>
      </c>
      <c r="O183" s="25" t="n"/>
      <c r="P183" s="25" t="inlineStr">
        <is>
          <t>Sim</t>
        </is>
      </c>
      <c r="Q183" s="25" t="n">
        <v>73</v>
      </c>
      <c r="R183" s="25" t="n">
        <v>9</v>
      </c>
      <c r="S183" s="25" t="n">
        <v>1280.73</v>
      </c>
      <c r="T183" s="25" t="inlineStr">
        <is>
          <t>COMPRA B2B</t>
        </is>
      </c>
      <c r="U183" s="25" t="n">
        <v>0</v>
      </c>
      <c r="V183" s="25" t="n">
        <v>0</v>
      </c>
      <c r="W183" s="25" t="n">
        <v>0</v>
      </c>
      <c r="X183" s="25" t="n">
        <v>0</v>
      </c>
      <c r="Y183" s="25" t="n">
        <v>770.86</v>
      </c>
      <c r="Z183" s="25" t="n">
        <v>0</v>
      </c>
      <c r="AA183" s="25" t="n">
        <v>603</v>
      </c>
      <c r="AB183" s="25" t="n">
        <v>603</v>
      </c>
      <c r="AC183" s="25" t="n">
        <v>0</v>
      </c>
      <c r="AD183" s="25" t="n">
        <v>677.73</v>
      </c>
      <c r="AE183" s="25" t="n">
        <v>0</v>
      </c>
      <c r="AF183" s="25" t="n">
        <v>0</v>
      </c>
      <c r="AG183" s="25" t="n">
        <v>63</v>
      </c>
      <c r="AH183" s="25" t="n">
        <v>3</v>
      </c>
      <c r="AI183" s="25" t="inlineStr">
        <is>
          <t>B</t>
        </is>
      </c>
      <c r="AJ183" s="25" t="n">
        <v>4</v>
      </c>
      <c r="AK183" s="25" t="n">
        <v>884.86</v>
      </c>
      <c r="AL183" s="26" t="n">
        <v>45978.49097222222</v>
      </c>
      <c r="AM183" s="26" t="n">
        <v>45978.49097222222</v>
      </c>
      <c r="AN183" s="25" t="inlineStr">
        <is>
          <t>WHATSAPP</t>
        </is>
      </c>
      <c r="AO183" s="25" t="inlineStr">
        <is>
          <t>NUTRIÇÃO | Passei campanha e vendo estoque</t>
        </is>
      </c>
      <c r="AP183" s="27">
        <f>IF(AH183="","",IF(AH183=0,"PROSPECT",IF(AH183=1,"NOVO",IF(AH183&lt;=3,"EM DESENVOLVIMENTO",IF(AH183&lt;=6,"RECORRENTE","FIDELIZADO")))))</f>
        <v/>
      </c>
      <c r="AQ183" s="27">
        <f>IF(AJ183=0,0,IFERROR(SUM(U183:AF183)/AJ183,0))</f>
        <v/>
      </c>
      <c r="AS183" s="0" t="inlineStr">
        <is>
          <t>Carteira FEV/26</t>
        </is>
      </c>
    </row>
    <row r="184" ht="14.25" customHeight="1" s="16">
      <c r="A184" s="25" t="inlineStr">
        <is>
          <t>VILA GRANEL COMERCIO DE PRODUTOS ALIMENTICIOS</t>
        </is>
      </c>
      <c r="B184" s="25" t="inlineStr">
        <is>
          <t>28781911000112</t>
        </is>
      </c>
      <c r="C184" s="25" t="inlineStr">
        <is>
          <t>VILA GRANEL COMERCIO DE PRODUTOS ALIMENTICIOS LTDA</t>
        </is>
      </c>
      <c r="D184" s="25" t="inlineStr">
        <is>
          <t>MG</t>
        </is>
      </c>
      <c r="E184" s="25" t="inlineStr">
        <is>
          <t>São João Del Rei</t>
        </is>
      </c>
      <c r="F184" s="25" t="inlineStr">
        <is>
          <t>vilagranel@hotmail.com</t>
        </is>
      </c>
      <c r="G184" s="25" t="inlineStr">
        <is>
          <t>+55 (32) 99991-7795</t>
        </is>
      </c>
      <c r="H184" s="25" t="inlineStr">
        <is>
          <t>08/10/2024</t>
        </is>
      </c>
      <c r="I184" s="25" t="n"/>
      <c r="J184" s="25" t="inlineStr">
        <is>
          <t>JULIO GADRET</t>
        </is>
      </c>
      <c r="K184" s="25" t="inlineStr">
        <is>
          <t>Julio  Gadret</t>
        </is>
      </c>
      <c r="L184" s="25" t="n">
        <v>79</v>
      </c>
      <c r="M184" s="25" t="inlineStr">
        <is>
          <t>28/11/2025</t>
        </is>
      </c>
      <c r="N184" s="25" t="n">
        <v>1329.92</v>
      </c>
      <c r="O184" s="25" t="n">
        <v>2</v>
      </c>
      <c r="P184" s="25" t="inlineStr">
        <is>
          <t>Sim</t>
        </is>
      </c>
      <c r="Q184" s="25" t="n">
        <v>40</v>
      </c>
      <c r="R184" s="25" t="n">
        <v>22</v>
      </c>
      <c r="S184" s="25" t="n">
        <v>1329.92</v>
      </c>
      <c r="T184" s="25" t="inlineStr">
        <is>
          <t>COMPRA B2B</t>
        </is>
      </c>
      <c r="U184" s="25" t="n">
        <v>0</v>
      </c>
      <c r="V184" s="25" t="n">
        <v>0</v>
      </c>
      <c r="W184" s="25" t="n">
        <v>0</v>
      </c>
      <c r="X184" s="25" t="n">
        <v>0</v>
      </c>
      <c r="Y184" s="25" t="n">
        <v>0</v>
      </c>
      <c r="Z184" s="25" t="n">
        <v>0</v>
      </c>
      <c r="AA184" s="25" t="n">
        <v>0</v>
      </c>
      <c r="AB184" s="25" t="n">
        <v>0</v>
      </c>
      <c r="AC184" s="25" t="n">
        <v>1329.92</v>
      </c>
      <c r="AD184" s="25" t="n">
        <v>0</v>
      </c>
      <c r="AE184" s="25" t="n">
        <v>0</v>
      </c>
      <c r="AF184" s="25" t="n">
        <v>0</v>
      </c>
      <c r="AG184" s="25" t="n">
        <v>0</v>
      </c>
      <c r="AH184" s="25" t="n">
        <v>0</v>
      </c>
      <c r="AI184" s="25" t="inlineStr">
        <is>
          <t>B</t>
        </is>
      </c>
      <c r="AJ184" s="25" t="n">
        <v>1</v>
      </c>
      <c r="AK184" s="25" t="n">
        <v>0</v>
      </c>
      <c r="AL184" s="25" t="n"/>
      <c r="AM184" s="25" t="n"/>
      <c r="AN184" s="25" t="n"/>
      <c r="AO184" s="25" t="n"/>
      <c r="AP184" s="27">
        <f>IF(AH184="","",IF(AH184=0,"PROSPECT",IF(AH184=1,"NOVO",IF(AH184&lt;=3,"EM DESENVOLVIMENTO",IF(AH184&lt;=6,"RECORRENTE","FIDELIZADO")))))</f>
        <v/>
      </c>
      <c r="AQ184" s="27">
        <f>IF(AJ184=0,0,IFERROR(SUM(U184:AF184)/AJ184,0))</f>
        <v/>
      </c>
      <c r="AS184" s="0" t="inlineStr">
        <is>
          <t>Carteira FEV/26</t>
        </is>
      </c>
    </row>
    <row r="185" ht="14.25" customHeight="1" s="16">
      <c r="A185" s="25" t="inlineStr">
        <is>
          <t>VILLA HORTIFRUTI</t>
        </is>
      </c>
      <c r="B185" s="25" t="inlineStr">
        <is>
          <t>22787082000107</t>
        </is>
      </c>
      <c r="C185" s="25" t="inlineStr">
        <is>
          <t>HFBR ALIMENTOS LTDA</t>
        </is>
      </c>
      <c r="D185" s="25" t="inlineStr">
        <is>
          <t>SP</t>
        </is>
      </c>
      <c r="E185" s="25" t="inlineStr">
        <is>
          <t>SAO JOSE DO RIO PRETO</t>
        </is>
      </c>
      <c r="F185" s="25" t="inlineStr">
        <is>
          <t>comercial@villahortifruti.com.br</t>
        </is>
      </c>
      <c r="G185" s="25" t="inlineStr">
        <is>
          <t>+55 (17) 99227-5775</t>
        </is>
      </c>
      <c r="H185" s="25" t="inlineStr">
        <is>
          <t>08/10/2024</t>
        </is>
      </c>
      <c r="I185" s="25" t="n"/>
      <c r="J185" s="25" t="inlineStr">
        <is>
          <t>LARISSA PADILHA</t>
        </is>
      </c>
      <c r="K185" s="25" t="inlineStr">
        <is>
          <t>Larissa Padilha</t>
        </is>
      </c>
      <c r="L185" s="25" t="n">
        <v>75</v>
      </c>
      <c r="M185" s="25" t="inlineStr">
        <is>
          <t>02/12/2025</t>
        </is>
      </c>
      <c r="N185" s="25" t="n">
        <v>1055.68</v>
      </c>
      <c r="O185" s="25" t="n">
        <v>2</v>
      </c>
      <c r="P185" s="25" t="inlineStr">
        <is>
          <t>Sim</t>
        </is>
      </c>
      <c r="Q185" s="25" t="n">
        <v>84</v>
      </c>
      <c r="R185" s="25" t="n">
        <v>13</v>
      </c>
      <c r="S185" s="25" t="n">
        <v>1055.68</v>
      </c>
      <c r="T185" s="25" t="inlineStr">
        <is>
          <t>COMPRA B2B</t>
        </is>
      </c>
      <c r="U185" s="25" t="n">
        <v>0</v>
      </c>
      <c r="V185" s="25" t="n">
        <v>0</v>
      </c>
      <c r="W185" s="25" t="n">
        <v>0</v>
      </c>
      <c r="X185" s="25" t="n">
        <v>0</v>
      </c>
      <c r="Y185" s="25" t="n">
        <v>2077.88</v>
      </c>
      <c r="Z185" s="25" t="n">
        <v>0</v>
      </c>
      <c r="AA185" s="25" t="n">
        <v>0</v>
      </c>
      <c r="AB185" s="25" t="n">
        <v>0</v>
      </c>
      <c r="AC185" s="25" t="n">
        <v>0</v>
      </c>
      <c r="AD185" s="25" t="n">
        <v>1055.68</v>
      </c>
      <c r="AE185" s="25" t="n">
        <v>0</v>
      </c>
      <c r="AF185" s="25" t="n">
        <v>0</v>
      </c>
      <c r="AG185" s="25" t="n">
        <v>125</v>
      </c>
      <c r="AH185" s="25" t="n">
        <v>2</v>
      </c>
      <c r="AI185" s="25" t="inlineStr">
        <is>
          <t>A</t>
        </is>
      </c>
      <c r="AJ185" s="25" t="n">
        <v>2</v>
      </c>
      <c r="AK185" s="25" t="n">
        <v>1566.78</v>
      </c>
      <c r="AL185" s="26" t="n">
        <v>46058.61041666667</v>
      </c>
      <c r="AM185" s="26" t="n">
        <v>46058.61041666667</v>
      </c>
      <c r="AN185" s="25" t="inlineStr">
        <is>
          <t>WHATSAPP</t>
        </is>
      </c>
      <c r="AO185" s="25" t="inlineStr">
        <is>
          <t>NUTRIÇÃO | Envio da campanha do mês</t>
        </is>
      </c>
      <c r="AP185" s="27">
        <f>IF(AH185="","",IF(AH185=0,"PROSPECT",IF(AH185=1,"NOVO",IF(AH185&lt;=3,"EM DESENVOLVIMENTO",IF(AH185&lt;=6,"RECORRENTE","FIDELIZADO")))))</f>
        <v/>
      </c>
      <c r="AQ185" s="27">
        <f>IF(AJ185=0,0,IFERROR(SUM(U185:AF185)/AJ185,0))</f>
        <v/>
      </c>
      <c r="AS185" s="0" t="inlineStr">
        <is>
          <t>Carteira FEV/26 + Atend FEV/26 + Ecom FEV/26</t>
        </is>
      </c>
    </row>
    <row r="186" ht="14.25" customHeight="1" s="16">
      <c r="A186" s="25" t="inlineStr">
        <is>
          <t>Viva mais produtos naturais</t>
        </is>
      </c>
      <c r="B186" s="25" t="inlineStr">
        <is>
          <t>59359915000130</t>
        </is>
      </c>
      <c r="C186" s="25" t="inlineStr">
        <is>
          <t>59.359.915 DAVID CESAR DA SILVA</t>
        </is>
      </c>
      <c r="D186" s="25" t="inlineStr">
        <is>
          <t>PR</t>
        </is>
      </c>
      <c r="E186" s="25" t="inlineStr">
        <is>
          <t>IBAITI</t>
        </is>
      </c>
      <c r="F186" s="25" t="inlineStr">
        <is>
          <t>meire.xavier1@hotmail.com</t>
        </is>
      </c>
      <c r="G186" s="25" t="inlineStr">
        <is>
          <t>+55 (43) 9987-9730</t>
        </is>
      </c>
      <c r="H186" s="25" t="inlineStr">
        <is>
          <t>11/08/2025</t>
        </is>
      </c>
      <c r="I186" s="25" t="n"/>
      <c r="J186" s="25" t="inlineStr">
        <is>
          <t>JULIO GADRET</t>
        </is>
      </c>
      <c r="K186" s="25" t="inlineStr">
        <is>
          <t>Julio  Gadret</t>
        </is>
      </c>
      <c r="L186" s="25" t="n">
        <v>79</v>
      </c>
      <c r="M186" s="25" t="inlineStr">
        <is>
          <t>28/11/2025</t>
        </is>
      </c>
      <c r="N186" s="25" t="n">
        <v>1019.96</v>
      </c>
      <c r="O186" s="25" t="n">
        <v>8</v>
      </c>
      <c r="P186" s="25" t="inlineStr">
        <is>
          <t>Sim</t>
        </is>
      </c>
      <c r="Q186" s="25" t="n">
        <v>55</v>
      </c>
      <c r="R186" s="25" t="n">
        <v>13</v>
      </c>
      <c r="S186" s="25" t="n">
        <v>1019.96</v>
      </c>
      <c r="T186" s="25" t="inlineStr">
        <is>
          <t>COMPRA B2B</t>
        </is>
      </c>
      <c r="U186" s="25" t="n">
        <v>0</v>
      </c>
      <c r="V186" s="25" t="n">
        <v>0</v>
      </c>
      <c r="W186" s="25" t="n">
        <v>0</v>
      </c>
      <c r="X186" s="25" t="n">
        <v>0</v>
      </c>
      <c r="Y186" s="25" t="n">
        <v>0</v>
      </c>
      <c r="Z186" s="25" t="n">
        <v>0</v>
      </c>
      <c r="AA186" s="25" t="n">
        <v>0</v>
      </c>
      <c r="AB186" s="25" t="n">
        <v>0</v>
      </c>
      <c r="AC186" s="25" t="n">
        <v>1019.96</v>
      </c>
      <c r="AD186" s="25" t="n">
        <v>0</v>
      </c>
      <c r="AE186" s="25" t="n">
        <v>0</v>
      </c>
      <c r="AF186" s="25" t="n">
        <v>0</v>
      </c>
      <c r="AG186" s="25" t="n">
        <v>0</v>
      </c>
      <c r="AH186" s="25" t="n">
        <v>0</v>
      </c>
      <c r="AI186" s="25" t="inlineStr">
        <is>
          <t>C</t>
        </is>
      </c>
      <c r="AJ186" s="25" t="n">
        <v>1</v>
      </c>
      <c r="AK186" s="25" t="n">
        <v>0</v>
      </c>
      <c r="AL186" s="25" t="n"/>
      <c r="AM186" s="25" t="n"/>
      <c r="AN186" s="25" t="n"/>
      <c r="AO186" s="25" t="n"/>
      <c r="AP186" s="27">
        <f>IF(AH186="","",IF(AH186=0,"PROSPECT",IF(AH186=1,"NOVO",IF(AH186&lt;=3,"EM DESENVOLVIMENTO",IF(AH186&lt;=6,"RECORRENTE","FIDELIZADO")))))</f>
        <v/>
      </c>
      <c r="AQ186" s="27">
        <f>IF(AJ186=0,0,IFERROR(SUM(U186:AF186)/AJ186,0))</f>
        <v/>
      </c>
      <c r="AS186" s="0" t="inlineStr">
        <is>
          <t>Carteira FEV/26</t>
        </is>
      </c>
    </row>
    <row r="187" ht="14.25" customHeight="1" s="16">
      <c r="A187" s="25" t="inlineStr">
        <is>
          <t>Viverde Grãos</t>
        </is>
      </c>
      <c r="B187" s="25" t="inlineStr">
        <is>
          <t>59686644000128</t>
        </is>
      </c>
      <c r="C187" s="25" t="inlineStr">
        <is>
          <t>Viverde Grãos</t>
        </is>
      </c>
      <c r="D187" s="25" t="inlineStr">
        <is>
          <t>SP</t>
        </is>
      </c>
      <c r="E187" s="25" t="inlineStr">
        <is>
          <t>Cubatão</t>
        </is>
      </c>
      <c r="F187" s="25" t="inlineStr">
        <is>
          <t>leoteixeirafilmes@gmail.com</t>
        </is>
      </c>
      <c r="G187" s="25" t="inlineStr">
        <is>
          <t>+55 (13) 99700-6070</t>
        </is>
      </c>
      <c r="H187" s="25" t="inlineStr">
        <is>
          <t>24/11/2025</t>
        </is>
      </c>
      <c r="I187" s="25" t="n"/>
      <c r="J187" s="25" t="inlineStr">
        <is>
          <t>JULIO GADRET</t>
        </is>
      </c>
      <c r="K187" s="25" t="inlineStr">
        <is>
          <t>Julio  Gadret</t>
        </is>
      </c>
      <c r="L187" s="25" t="n">
        <v>79</v>
      </c>
      <c r="M187" s="25" t="inlineStr">
        <is>
          <t>28/11/2025</t>
        </is>
      </c>
      <c r="N187" s="25" t="n">
        <v>766.65</v>
      </c>
      <c r="O187" s="25" t="n">
        <v>13</v>
      </c>
      <c r="P187" s="25" t="inlineStr">
        <is>
          <t>Sim</t>
        </is>
      </c>
      <c r="Q187" s="25" t="n">
        <v>78</v>
      </c>
      <c r="R187" s="25" t="n">
        <v>7</v>
      </c>
      <c r="S187" s="25" t="n">
        <v>766.65</v>
      </c>
      <c r="T187" s="25" t="inlineStr">
        <is>
          <t>COMPRA B2B</t>
        </is>
      </c>
      <c r="U187" s="25" t="n">
        <v>0</v>
      </c>
      <c r="V187" s="25" t="n">
        <v>0</v>
      </c>
      <c r="W187" s="25" t="n">
        <v>0</v>
      </c>
      <c r="X187" s="25" t="n">
        <v>0</v>
      </c>
      <c r="Y187" s="25" t="n">
        <v>0</v>
      </c>
      <c r="Z187" s="25" t="n">
        <v>0</v>
      </c>
      <c r="AA187" s="25" t="n">
        <v>0</v>
      </c>
      <c r="AB187" s="25" t="n">
        <v>0</v>
      </c>
      <c r="AC187" s="25" t="n">
        <v>766.65</v>
      </c>
      <c r="AD187" s="25" t="n">
        <v>0</v>
      </c>
      <c r="AE187" s="25" t="n">
        <v>0</v>
      </c>
      <c r="AF187" s="25" t="n">
        <v>0</v>
      </c>
      <c r="AG187" s="25" t="n">
        <v>0</v>
      </c>
      <c r="AH187" s="25" t="n">
        <v>0</v>
      </c>
      <c r="AI187" s="25" t="inlineStr">
        <is>
          <t>C</t>
        </is>
      </c>
      <c r="AJ187" s="25" t="n">
        <v>1</v>
      </c>
      <c r="AK187" s="25" t="n">
        <v>0</v>
      </c>
      <c r="AL187" s="25" t="n"/>
      <c r="AM187" s="25" t="n"/>
      <c r="AN187" s="25" t="n"/>
      <c r="AO187" s="25" t="n"/>
      <c r="AP187" s="27">
        <f>IF(AH187="","",IF(AH187=0,"PROSPECT",IF(AH187=1,"NOVO",IF(AH187&lt;=3,"EM DESENVOLVIMENTO",IF(AH187&lt;=6,"RECORRENTE","FIDELIZADO")))))</f>
        <v/>
      </c>
      <c r="AQ187" s="27">
        <f>IF(AJ187=0,0,IFERROR(SUM(U187:AF187)/AJ187,0))</f>
        <v/>
      </c>
      <c r="AS187" s="0" t="inlineStr">
        <is>
          <t>Carteira FEV/26</t>
        </is>
      </c>
    </row>
    <row r="188" ht="14.25" customHeight="1" s="16">
      <c r="A188" s="25" t="inlineStr">
        <is>
          <t>Ávila Natural</t>
        </is>
      </c>
      <c r="B188" s="25" t="inlineStr">
        <is>
          <t>76384908000108</t>
        </is>
      </c>
      <c r="C188" s="25" t="inlineStr">
        <is>
          <t>FARMACIA HOMEOPATICA AVILA LTDA</t>
        </is>
      </c>
      <c r="D188" s="25" t="inlineStr">
        <is>
          <t>SC</t>
        </is>
      </c>
      <c r="E188" s="25" t="inlineStr">
        <is>
          <t>CRICIUMA</t>
        </is>
      </c>
      <c r="F188" s="25" t="inlineStr">
        <is>
          <t>atendimentoavila@hotmail.com</t>
        </is>
      </c>
      <c r="G188" s="25" t="inlineStr">
        <is>
          <t>+55 (47) 98804-1731</t>
        </is>
      </c>
      <c r="H188" s="25" t="inlineStr">
        <is>
          <t>08/10/2024</t>
        </is>
      </c>
      <c r="I188" s="25" t="inlineStr">
        <is>
          <t>[Rede] Cia da Saúde</t>
        </is>
      </c>
      <c r="J188" s="25" t="inlineStr">
        <is>
          <t>JULIO GADRET</t>
        </is>
      </c>
      <c r="K188" s="25" t="inlineStr">
        <is>
          <t>Julio  Gadret</t>
        </is>
      </c>
      <c r="L188" s="25" t="n">
        <v>88</v>
      </c>
      <c r="M188" s="25" t="inlineStr">
        <is>
          <t>19/11/2025</t>
        </is>
      </c>
      <c r="N188" s="25" t="n">
        <v>1460.9</v>
      </c>
      <c r="O188" s="25" t="n">
        <v>8</v>
      </c>
      <c r="P188" s="25" t="inlineStr">
        <is>
          <t>Sim</t>
        </is>
      </c>
      <c r="Q188" s="25" t="n">
        <v>80</v>
      </c>
      <c r="R188" s="25" t="n">
        <v>41</v>
      </c>
      <c r="S188" s="25" t="n">
        <v>2119.66</v>
      </c>
      <c r="T188" s="25" t="inlineStr">
        <is>
          <t>COMPRA B2B</t>
        </is>
      </c>
      <c r="U188" s="25" t="n">
        <v>0</v>
      </c>
      <c r="V188" s="25" t="n">
        <v>0</v>
      </c>
      <c r="W188" s="25" t="n">
        <v>0</v>
      </c>
      <c r="X188" s="25" t="n">
        <v>0</v>
      </c>
      <c r="Y188" s="25" t="n">
        <v>0</v>
      </c>
      <c r="Z188" s="25" t="n">
        <v>0</v>
      </c>
      <c r="AA188" s="25" t="n">
        <v>658.76</v>
      </c>
      <c r="AB188" s="25" t="n">
        <v>0</v>
      </c>
      <c r="AC188" s="25" t="n">
        <v>1460.9</v>
      </c>
      <c r="AD188" s="25" t="n">
        <v>0</v>
      </c>
      <c r="AE188" s="25" t="n">
        <v>0</v>
      </c>
      <c r="AF188" s="25" t="n">
        <v>0</v>
      </c>
      <c r="AG188" s="25" t="n">
        <v>51</v>
      </c>
      <c r="AH188" s="25" t="n">
        <v>1</v>
      </c>
      <c r="AI188" s="25" t="inlineStr">
        <is>
          <t>B</t>
        </is>
      </c>
      <c r="AJ188" s="25" t="n">
        <v>2</v>
      </c>
      <c r="AK188" s="25" t="n">
        <v>2119.66</v>
      </c>
      <c r="AL188" s="25" t="n"/>
      <c r="AM188" s="25" t="n"/>
      <c r="AN188" s="25" t="n"/>
      <c r="AO188" s="25" t="n"/>
      <c r="AP188" s="27">
        <f>IF(AH188="","",IF(AH188=0,"PROSPECT",IF(AH188=1,"NOVO",IF(AH188&lt;=3,"EM DESENVOLVIMENTO",IF(AH188&lt;=6,"RECORRENTE","FIDELIZADO")))))</f>
        <v/>
      </c>
      <c r="AQ188" s="27">
        <f>IF(AJ188=0,0,IFERROR(SUM(U188:AF188)/AJ188,0))</f>
        <v/>
      </c>
      <c r="AS188" s="0" t="inlineStr">
        <is>
          <t>Carteira FEV/26</t>
        </is>
      </c>
    </row>
    <row r="189" ht="14.25" customHeight="1" s="16">
      <c r="A189" s="25" t="inlineStr">
        <is>
          <t xml:space="preserve"> EMPORIUM GRÃOS E ESPECIARIAS LTDA</t>
        </is>
      </c>
      <c r="B189" s="25" t="inlineStr">
        <is>
          <t>06202229000195</t>
        </is>
      </c>
      <c r="C189" s="25" t="inlineStr">
        <is>
          <t>EMPORIUM GRÃOS E ESPECIARIAS LTDA</t>
        </is>
      </c>
      <c r="D189" s="25" t="inlineStr">
        <is>
          <t>MG</t>
        </is>
      </c>
      <c r="E189" s="25" t="inlineStr">
        <is>
          <t>MONTES CLAROS</t>
        </is>
      </c>
      <c r="F189" s="25" t="inlineStr">
        <is>
          <t>mafradequeiroz5852@gmail.com</t>
        </is>
      </c>
      <c r="G189" s="25" t="inlineStr">
        <is>
          <t>+55 (38) 99117-1956</t>
        </is>
      </c>
      <c r="H189" s="25" t="inlineStr">
        <is>
          <t>20/06/2025</t>
        </is>
      </c>
      <c r="I189" s="25" t="n"/>
      <c r="J189" s="25" t="inlineStr">
        <is>
          <t>LARISSA PADILHA</t>
        </is>
      </c>
      <c r="K189" s="25" t="inlineStr">
        <is>
          <t>Helder Brunkow</t>
        </is>
      </c>
      <c r="L189" s="25" t="n">
        <v>201</v>
      </c>
      <c r="M189" s="25" t="inlineStr">
        <is>
          <t>29/07/2025</t>
        </is>
      </c>
      <c r="N189" s="25" t="n">
        <v>1500.53</v>
      </c>
      <c r="O189" s="25" t="n">
        <v>1</v>
      </c>
      <c r="P189" s="25" t="inlineStr">
        <is>
          <t>Sim</t>
        </is>
      </c>
      <c r="Q189" s="25" t="n">
        <v>2</v>
      </c>
      <c r="R189" s="25" t="n"/>
      <c r="S189" s="25" t="n"/>
      <c r="T189" s="25" t="n"/>
      <c r="U189" s="25" t="n">
        <v>0</v>
      </c>
      <c r="V189" s="25" t="n">
        <v>0</v>
      </c>
      <c r="W189" s="25" t="n">
        <v>0</v>
      </c>
      <c r="X189" s="25" t="n">
        <v>0</v>
      </c>
      <c r="Y189" s="25" t="n">
        <v>1500.53</v>
      </c>
      <c r="Z189" s="25" t="n">
        <v>0</v>
      </c>
      <c r="AA189" s="25" t="n">
        <v>0</v>
      </c>
      <c r="AB189" s="25" t="n">
        <v>0</v>
      </c>
      <c r="AC189" s="25" t="n">
        <v>0</v>
      </c>
      <c r="AD189" s="25" t="n">
        <v>0</v>
      </c>
      <c r="AE189" s="25" t="n">
        <v>0</v>
      </c>
      <c r="AF189" s="25" t="n">
        <v>0</v>
      </c>
      <c r="AG189" s="25" t="n">
        <v>0</v>
      </c>
      <c r="AH189" s="25" t="n">
        <v>1</v>
      </c>
      <c r="AI189" s="25" t="inlineStr">
        <is>
          <t>B</t>
        </is>
      </c>
      <c r="AJ189" s="25" t="n">
        <v>1</v>
      </c>
      <c r="AK189" s="25" t="n">
        <v>1500.53</v>
      </c>
      <c r="AL189" s="26" t="n">
        <v>45952.45277777778</v>
      </c>
      <c r="AM189" s="26" t="n">
        <v>45952.45277777778</v>
      </c>
      <c r="AN189" s="25" t="inlineStr">
        <is>
          <t>WHATSAPP</t>
        </is>
      </c>
      <c r="AO189" s="25" t="inlineStr">
        <is>
          <t>PÓS-VENDA | Perguntei como estãos as coisas e enviei o encarte do Esquenta Black Friday mas Mara disse que ainda tem estoque</t>
        </is>
      </c>
      <c r="AP189" s="27">
        <f>IF(AH189="","",IF(AH189=0,"PROSPECT",IF(AH189=1,"NOVO",IF(AH189&lt;=3,"EM DESENVOLVIMENTO",IF(AH189&lt;=6,"RECORRENTE","FIDELIZADO")))))</f>
        <v/>
      </c>
      <c r="AQ189" s="27">
        <f>IF(AJ189=0,0,IFERROR(SUM(U189:AF189)/AJ189,0))</f>
        <v/>
      </c>
      <c r="AS189" s="0" t="inlineStr">
        <is>
          <t>Carteira FEV/26</t>
        </is>
      </c>
    </row>
    <row r="190" ht="14.25" customHeight="1" s="16">
      <c r="A190" s="25" t="inlineStr">
        <is>
          <t xml:space="preserve"> Pro Abelha Comercio e Ind Prod Alimentcios LTDA</t>
        </is>
      </c>
      <c r="B190" s="25" t="inlineStr">
        <is>
          <t>31983992000148</t>
        </is>
      </c>
      <c r="C190" s="25" t="inlineStr">
        <is>
          <t xml:space="preserve"> Pro Abelha Comercio e Ind Prod Alimentcios LTDA</t>
        </is>
      </c>
      <c r="D190" s="25" t="inlineStr">
        <is>
          <t>RJ</t>
        </is>
      </c>
      <c r="E190" s="25" t="inlineStr">
        <is>
          <t>Teresópolis</t>
        </is>
      </c>
      <c r="F190" s="25" t="inlineStr">
        <is>
          <t>proabelhanaturais@gmail.com</t>
        </is>
      </c>
      <c r="G190" s="25" t="inlineStr">
        <is>
          <t>+55 (21) 96876-9347</t>
        </is>
      </c>
      <c r="H190" s="25" t="inlineStr">
        <is>
          <t>15/04/2025</t>
        </is>
      </c>
      <c r="I190" s="25" t="n"/>
      <c r="J190" s="25" t="inlineStr">
        <is>
          <t>MANU DITZEL</t>
        </is>
      </c>
      <c r="K190" s="25" t="inlineStr">
        <is>
          <t>Manu Ditzel</t>
        </is>
      </c>
      <c r="L190" s="25" t="n">
        <v>151</v>
      </c>
      <c r="M190" s="25" t="inlineStr">
        <is>
          <t>17/09/2025</t>
        </is>
      </c>
      <c r="N190" s="25" t="n">
        <v>6510.59</v>
      </c>
      <c r="O190" s="25" t="n">
        <v>4</v>
      </c>
      <c r="P190" s="25" t="inlineStr">
        <is>
          <t>Sim</t>
        </is>
      </c>
      <c r="Q190" s="25" t="n">
        <v>90</v>
      </c>
      <c r="R190" s="25" t="n"/>
      <c r="S190" s="25" t="n"/>
      <c r="T190" s="25" t="n"/>
      <c r="U190" s="25" t="n">
        <v>0</v>
      </c>
      <c r="V190" s="25" t="n">
        <v>0</v>
      </c>
      <c r="W190" s="25" t="n">
        <v>0</v>
      </c>
      <c r="X190" s="25" t="n">
        <v>0</v>
      </c>
      <c r="Y190" s="25" t="n">
        <v>0</v>
      </c>
      <c r="Z190" s="25" t="n">
        <v>0</v>
      </c>
      <c r="AA190" s="25" t="n">
        <v>6510.59</v>
      </c>
      <c r="AB190" s="25" t="n">
        <v>0</v>
      </c>
      <c r="AC190" s="25" t="n">
        <v>0</v>
      </c>
      <c r="AD190" s="25" t="n">
        <v>0</v>
      </c>
      <c r="AE190" s="25" t="n">
        <v>0</v>
      </c>
      <c r="AF190" s="25" t="n">
        <v>0</v>
      </c>
      <c r="AG190" s="25" t="n">
        <v>0</v>
      </c>
      <c r="AH190" s="25" t="n">
        <v>1</v>
      </c>
      <c r="AI190" s="25" t="inlineStr">
        <is>
          <t>A</t>
        </is>
      </c>
      <c r="AJ190" s="25" t="n">
        <v>1</v>
      </c>
      <c r="AK190" s="25" t="n">
        <v>6510.59</v>
      </c>
      <c r="AL190" s="26" t="n">
        <v>46059.44091435185</v>
      </c>
      <c r="AM190" s="26" t="n">
        <v>46059.44091435185</v>
      </c>
      <c r="AN190" s="25" t="inlineStr">
        <is>
          <t>WHATSAPP</t>
        </is>
      </c>
      <c r="AO190" s="25" t="inlineStr">
        <is>
          <t>PRO ABELHA - MAYARA - RJ</t>
        </is>
      </c>
      <c r="AP190" s="27">
        <f>IF(AH190="","",IF(AH190=0,"PROSPECT",IF(AH190=1,"NOVO",IF(AH190&lt;=3,"EM DESENVOLVIMENTO",IF(AH190&lt;=6,"RECORRENTE","FIDELIZADO")))))</f>
        <v/>
      </c>
      <c r="AQ190" s="27">
        <f>IF(AJ190=0,0,IFERROR(SUM(U190:AF190)/AJ190,0))</f>
        <v/>
      </c>
      <c r="AS190" s="0" t="inlineStr">
        <is>
          <t>Carteira FEV/26</t>
        </is>
      </c>
    </row>
    <row r="191" ht="14.25" customHeight="1" s="16">
      <c r="A191" s="25" t="inlineStr">
        <is>
          <t>+VERDE</t>
        </is>
      </c>
      <c r="B191" s="25" t="inlineStr">
        <is>
          <t>58249963000103</t>
        </is>
      </c>
      <c r="C191" s="25" t="inlineStr">
        <is>
          <t>+VERDE PRODUTOS NATURAIS E SUPLEMENTOS LTDA</t>
        </is>
      </c>
      <c r="D191" s="25" t="inlineStr">
        <is>
          <t>SP</t>
        </is>
      </c>
      <c r="E191" s="25" t="inlineStr">
        <is>
          <t>EMBU DAS ARTES</t>
        </is>
      </c>
      <c r="F191" s="25" t="inlineStr">
        <is>
          <t>LOJAMAISVERDELTDA@GMAIL.COM</t>
        </is>
      </c>
      <c r="G191" s="25" t="inlineStr">
        <is>
          <t>119915481502</t>
        </is>
      </c>
      <c r="H191" s="25" t="inlineStr">
        <is>
          <t>27/02/2025</t>
        </is>
      </c>
      <c r="I191" s="25" t="n"/>
      <c r="J191" s="25" t="inlineStr">
        <is>
          <t>LARISSA PADILHA</t>
        </is>
      </c>
      <c r="K191" s="25" t="inlineStr">
        <is>
          <t>Helder Brunkow</t>
        </is>
      </c>
      <c r="L191" s="25" t="n">
        <v>278</v>
      </c>
      <c r="M191" s="25" t="inlineStr">
        <is>
          <t>13/05/2025</t>
        </is>
      </c>
      <c r="N191" s="25" t="n">
        <v>681.04</v>
      </c>
      <c r="O191" s="25" t="n">
        <v>2</v>
      </c>
      <c r="P191" s="25" t="inlineStr">
        <is>
          <t>Sim</t>
        </is>
      </c>
      <c r="Q191" s="25" t="n">
        <v>35</v>
      </c>
      <c r="R191" s="25" t="n"/>
      <c r="S191" s="25" t="n"/>
      <c r="T191" s="25" t="n"/>
      <c r="U191" s="25" t="n">
        <v>2281.3</v>
      </c>
      <c r="V191" s="25" t="n">
        <v>682.62</v>
      </c>
      <c r="W191" s="25" t="n">
        <v>681.04</v>
      </c>
      <c r="X191" s="25" t="n">
        <v>0</v>
      </c>
      <c r="Y191" s="25" t="n">
        <v>0</v>
      </c>
      <c r="Z191" s="25" t="n">
        <v>0</v>
      </c>
      <c r="AA191" s="25" t="n">
        <v>0</v>
      </c>
      <c r="AB191" s="25" t="n">
        <v>0</v>
      </c>
      <c r="AC191" s="25" t="n">
        <v>0</v>
      </c>
      <c r="AD191" s="25" t="n">
        <v>0</v>
      </c>
      <c r="AE191" s="25" t="n">
        <v>0</v>
      </c>
      <c r="AF191" s="25" t="n">
        <v>0</v>
      </c>
      <c r="AG191" s="25" t="n">
        <v>33.5</v>
      </c>
      <c r="AH191" s="25" t="n">
        <v>3</v>
      </c>
      <c r="AI191" s="25" t="inlineStr">
        <is>
          <t>A</t>
        </is>
      </c>
      <c r="AJ191" s="25" t="n">
        <v>4</v>
      </c>
      <c r="AK191" s="25" t="n">
        <v>1975.42</v>
      </c>
      <c r="AL191" s="26" t="n">
        <v>46036.68628472222</v>
      </c>
      <c r="AM191" s="26" t="n">
        <v>46036.68628472222</v>
      </c>
      <c r="AN191" s="25" t="inlineStr">
        <is>
          <t>WHATSAPP</t>
        </is>
      </c>
      <c r="AO191" s="25" t="inlineStr">
        <is>
          <t>MAIS VERDE - YASMIN - SP</t>
        </is>
      </c>
      <c r="AP191" s="27">
        <f>IF(AH191="","",IF(AH191=0,"PROSPECT",IF(AH191=1,"NOVO",IF(AH191&lt;=3,"EM DESENVOLVIMENTO",IF(AH191&lt;=6,"RECORRENTE","FIDELIZADO")))))</f>
        <v/>
      </c>
      <c r="AQ191" s="27">
        <f>IF(AJ191=0,0,IFERROR(SUM(U191:AF191)/AJ191,0))</f>
        <v/>
      </c>
      <c r="AS191" s="0" t="inlineStr">
        <is>
          <t>Carteira FEV/26</t>
        </is>
      </c>
    </row>
    <row r="192" ht="14.25" customHeight="1" s="16">
      <c r="A192" s="25" t="inlineStr">
        <is>
          <t>16.586.235 IARA REGINA MULLER DE OLIVEIRA</t>
        </is>
      </c>
      <c r="B192" s="25" t="inlineStr">
        <is>
          <t>16586235000147</t>
        </is>
      </c>
      <c r="C192" s="25" t="inlineStr">
        <is>
          <t>16.586.235 IARA REGINA MULLER DE OLIVEIRA</t>
        </is>
      </c>
      <c r="D192" s="25" t="inlineStr">
        <is>
          <t>RS</t>
        </is>
      </c>
      <c r="E192" s="25" t="inlineStr">
        <is>
          <t>SAO FRANCISCO DE PAULA</t>
        </is>
      </c>
      <c r="F192" s="25" t="inlineStr">
        <is>
          <t>espacosolar@gmail.com</t>
        </is>
      </c>
      <c r="G192" s="25" t="inlineStr">
        <is>
          <t>+55 (54) 9919-9019</t>
        </is>
      </c>
      <c r="H192" s="25" t="inlineStr">
        <is>
          <t>07/11/2025</t>
        </is>
      </c>
      <c r="I192" s="25" t="n"/>
      <c r="J192" s="25" t="inlineStr">
        <is>
          <t>MANU DITZEL</t>
        </is>
      </c>
      <c r="K192" s="25" t="inlineStr">
        <is>
          <t>Manu Ditzel</t>
        </is>
      </c>
      <c r="L192" s="25" t="n">
        <v>94</v>
      </c>
      <c r="M192" s="25" t="inlineStr">
        <is>
          <t>13/11/2025</t>
        </is>
      </c>
      <c r="N192" s="25" t="n">
        <v>657.26</v>
      </c>
      <c r="O192" s="25" t="n">
        <v>19</v>
      </c>
      <c r="P192" s="25" t="inlineStr">
        <is>
          <t>Sim</t>
        </is>
      </c>
      <c r="Q192" s="25" t="n">
        <v>120</v>
      </c>
      <c r="R192" s="25" t="n">
        <v>38</v>
      </c>
      <c r="S192" s="25" t="n">
        <v>657.26</v>
      </c>
      <c r="T192" s="25" t="inlineStr">
        <is>
          <t>COMPRA B2B</t>
        </is>
      </c>
      <c r="U192" s="25" t="n">
        <v>0</v>
      </c>
      <c r="V192" s="25" t="n">
        <v>0</v>
      </c>
      <c r="W192" s="25" t="n">
        <v>0</v>
      </c>
      <c r="X192" s="25" t="n">
        <v>0</v>
      </c>
      <c r="Y192" s="25" t="n">
        <v>0</v>
      </c>
      <c r="Z192" s="25" t="n">
        <v>0</v>
      </c>
      <c r="AA192" s="25" t="n">
        <v>0</v>
      </c>
      <c r="AB192" s="25" t="n">
        <v>0</v>
      </c>
      <c r="AC192" s="25" t="n">
        <v>657.26</v>
      </c>
      <c r="AD192" s="25" t="n">
        <v>0</v>
      </c>
      <c r="AE192" s="25" t="n">
        <v>0</v>
      </c>
      <c r="AF192" s="25" t="n">
        <v>0</v>
      </c>
      <c r="AG192" s="25" t="n">
        <v>0</v>
      </c>
      <c r="AH192" s="25" t="n">
        <v>0</v>
      </c>
      <c r="AI192" s="25" t="inlineStr">
        <is>
          <t>C</t>
        </is>
      </c>
      <c r="AJ192" s="25" t="n">
        <v>1</v>
      </c>
      <c r="AK192" s="25" t="n">
        <v>0</v>
      </c>
      <c r="AL192" s="26" t="n">
        <v>46063.68611111111</v>
      </c>
      <c r="AM192" s="26" t="n">
        <v>46063.68611111111</v>
      </c>
      <c r="AN192" s="25" t="inlineStr">
        <is>
          <t>LIGAÇÃO</t>
        </is>
      </c>
      <c r="AO192" s="28" t="inlineStr">
        <is>
          <t>ELES SÃO NOVOS, ESTÃO FAZENDO TESTE ... e AINDA NÃO TEM PARAMETRO DE VENDA .. FIZERAM UMA COMPRA RECENTE E ESTÃO SEM CAIXA</t>
        </is>
      </c>
      <c r="AP192" s="27">
        <f>IF(AH192="","",IF(AH192=0,"PROSPECT",IF(AH192=1,"NOVO",IF(AH192&lt;=3,"EM DESENVOLVIMENTO",IF(AH192&lt;=6,"RECORRENTE","FIDELIZADO")))))</f>
        <v/>
      </c>
      <c r="AQ192" s="27">
        <f>IF(AJ192=0,0,IFERROR(SUM(U192:AF192)/AJ192,0))</f>
        <v/>
      </c>
      <c r="AS192" s="0" t="inlineStr">
        <is>
          <t>Carteira FEV/26 + Atend FEV/26</t>
        </is>
      </c>
    </row>
    <row r="193" ht="14.25" customHeight="1" s="16">
      <c r="A193" s="25" t="inlineStr">
        <is>
          <t>23.777.036 WILLIAN YUKIO ITO MARQUES</t>
        </is>
      </c>
      <c r="B193" s="25" t="inlineStr">
        <is>
          <t>23777036000181</t>
        </is>
      </c>
      <c r="C193" s="25" t="inlineStr">
        <is>
          <t>23.777.036 WILLIAN YUKIO ITO MARQUES</t>
        </is>
      </c>
      <c r="D193" s="25" t="inlineStr">
        <is>
          <t>SP</t>
        </is>
      </c>
      <c r="E193" s="25" t="inlineStr">
        <is>
          <t>ARACATUBA</t>
        </is>
      </c>
      <c r="F193" s="25" t="inlineStr">
        <is>
          <t>marianny.andrea@hotmail.com</t>
        </is>
      </c>
      <c r="G193" s="25" t="inlineStr">
        <is>
          <t>+55 (18) 98150-4646</t>
        </is>
      </c>
      <c r="H193" s="25" t="inlineStr">
        <is>
          <t>08/10/2024</t>
        </is>
      </c>
      <c r="I193" s="25" t="n"/>
      <c r="J193" s="25" t="inlineStr">
        <is>
          <t>LARISSA PADILHA</t>
        </is>
      </c>
      <c r="K193" s="25" t="inlineStr">
        <is>
          <t>Helder Brunkow</t>
        </is>
      </c>
      <c r="L193" s="25" t="n">
        <v>261</v>
      </c>
      <c r="M193" s="25" t="inlineStr">
        <is>
          <t>30/05/2025</t>
        </is>
      </c>
      <c r="N193" s="25" t="n">
        <v>576</v>
      </c>
      <c r="O193" s="25" t="n"/>
      <c r="P193" s="25" t="n"/>
      <c r="Q193" s="25" t="n"/>
      <c r="R193" s="25" t="n"/>
      <c r="S193" s="25" t="n"/>
      <c r="T193" s="25" t="n"/>
      <c r="U193" s="25" t="n">
        <v>0</v>
      </c>
      <c r="V193" s="25" t="n">
        <v>0</v>
      </c>
      <c r="W193" s="25" t="n">
        <v>576</v>
      </c>
      <c r="X193" s="25" t="n">
        <v>0</v>
      </c>
      <c r="Y193" s="25" t="n">
        <v>0</v>
      </c>
      <c r="Z193" s="25" t="n">
        <v>0</v>
      </c>
      <c r="AA193" s="25" t="n">
        <v>0</v>
      </c>
      <c r="AB193" s="25" t="n">
        <v>0</v>
      </c>
      <c r="AC193" s="25" t="n">
        <v>0</v>
      </c>
      <c r="AD193" s="25" t="n">
        <v>0</v>
      </c>
      <c r="AE193" s="25" t="n">
        <v>0</v>
      </c>
      <c r="AF193" s="25" t="n">
        <v>0</v>
      </c>
      <c r="AG193" s="25" t="n">
        <v>0</v>
      </c>
      <c r="AH193" s="25" t="n">
        <v>1</v>
      </c>
      <c r="AI193" s="25" t="inlineStr">
        <is>
          <t>C</t>
        </is>
      </c>
      <c r="AJ193" s="25" t="n">
        <v>1</v>
      </c>
      <c r="AK193" s="25" t="n">
        <v>576</v>
      </c>
      <c r="AL193" s="26" t="n">
        <v>46036.68055555555</v>
      </c>
      <c r="AM193" s="26" t="n">
        <v>46036.68055555555</v>
      </c>
      <c r="AN193" s="25" t="inlineStr">
        <is>
          <t>WHATSAPP</t>
        </is>
      </c>
      <c r="AO193" s="25" t="inlineStr">
        <is>
          <t>RECOMPRA | Nova abordagem - Linha Disney</t>
        </is>
      </c>
      <c r="AP193" s="27">
        <f>IF(AH193="","",IF(AH193=0,"PROSPECT",IF(AH193=1,"NOVO",IF(AH193&lt;=3,"EM DESENVOLVIMENTO",IF(AH193&lt;=6,"RECORRENTE","FIDELIZADO")))))</f>
        <v/>
      </c>
      <c r="AQ193" s="27">
        <f>IF(AJ193=0,0,IFERROR(SUM(U193:AF193)/AJ193,0))</f>
        <v/>
      </c>
      <c r="AS193" s="0" t="inlineStr">
        <is>
          <t>Carteira FEV/26</t>
        </is>
      </c>
    </row>
    <row r="194" ht="14.25" customHeight="1" s="16">
      <c r="A194" s="25" t="inlineStr">
        <is>
          <t>51.156.959 ELAINE CRISTINA KOERICH</t>
        </is>
      </c>
      <c r="B194" s="25" t="inlineStr">
        <is>
          <t>51156959000151</t>
        </is>
      </c>
      <c r="C194" s="25" t="inlineStr">
        <is>
          <t>51.156.959 ELAINE CRISTINA KOERICH</t>
        </is>
      </c>
      <c r="D194" s="25" t="inlineStr">
        <is>
          <t>SC</t>
        </is>
      </c>
      <c r="E194" s="25" t="inlineStr">
        <is>
          <t>OTACILIO COSTA</t>
        </is>
      </c>
      <c r="F194" s="25" t="inlineStr">
        <is>
          <t>Dianakoerich@hotmail.com</t>
        </is>
      </c>
      <c r="G194" s="25" t="inlineStr">
        <is>
          <t>+55 (49) 9110-0101</t>
        </is>
      </c>
      <c r="H194" s="25" t="inlineStr">
        <is>
          <t>05/11/2025</t>
        </is>
      </c>
      <c r="I194" s="25" t="n"/>
      <c r="J194" s="25" t="inlineStr">
        <is>
          <t>MANU DITZEL</t>
        </is>
      </c>
      <c r="K194" s="25" t="inlineStr">
        <is>
          <t>Manu Ditzel</t>
        </is>
      </c>
      <c r="L194" s="25" t="n">
        <v>93</v>
      </c>
      <c r="M194" s="25" t="inlineStr">
        <is>
          <t>14/11/2025</t>
        </is>
      </c>
      <c r="N194" s="25" t="n">
        <v>615.6</v>
      </c>
      <c r="O194" s="25" t="n">
        <v>6</v>
      </c>
      <c r="P194" s="25" t="inlineStr">
        <is>
          <t>Sim</t>
        </is>
      </c>
      <c r="Q194" s="25" t="n">
        <v>24</v>
      </c>
      <c r="R194" s="25" t="n"/>
      <c r="S194" s="25" t="n"/>
      <c r="T194" s="25" t="n"/>
      <c r="U194" s="25" t="n">
        <v>0</v>
      </c>
      <c r="V194" s="25" t="n">
        <v>0</v>
      </c>
      <c r="W194" s="25" t="n">
        <v>0</v>
      </c>
      <c r="X194" s="25" t="n">
        <v>0</v>
      </c>
      <c r="Y194" s="25" t="n">
        <v>0</v>
      </c>
      <c r="Z194" s="25" t="n">
        <v>0</v>
      </c>
      <c r="AA194" s="25" t="n">
        <v>0</v>
      </c>
      <c r="AB194" s="25" t="n">
        <v>0</v>
      </c>
      <c r="AC194" s="25" t="n">
        <v>615.6</v>
      </c>
      <c r="AD194" s="25" t="n">
        <v>0</v>
      </c>
      <c r="AE194" s="25" t="n">
        <v>0</v>
      </c>
      <c r="AF194" s="25" t="n">
        <v>0</v>
      </c>
      <c r="AG194" s="25" t="n">
        <v>0</v>
      </c>
      <c r="AH194" s="25" t="n">
        <v>0</v>
      </c>
      <c r="AI194" s="25" t="inlineStr">
        <is>
          <t>C</t>
        </is>
      </c>
      <c r="AJ194" s="25" t="n">
        <v>1</v>
      </c>
      <c r="AK194" s="25" t="n">
        <v>0</v>
      </c>
      <c r="AL194" s="26" t="n">
        <v>46063.68472222222</v>
      </c>
      <c r="AM194" s="26" t="n">
        <v>46063.68472222222</v>
      </c>
      <c r="AN194" s="25" t="inlineStr">
        <is>
          <t>WHATSAPP</t>
        </is>
      </c>
      <c r="AO194" s="25" t="inlineStr">
        <is>
          <t>CLIENTE DEVOLVEU A DOR NA DIFIICULDADE DA SAIDA DOS PRODUTOS, TENTEI OFEERTAR NOVO MIX, PORÉM SEM RETORNO</t>
        </is>
      </c>
      <c r="AP194" s="27">
        <f>IF(AH194="","",IF(AH194=0,"PROSPECT",IF(AH194=1,"NOVO",IF(AH194&lt;=3,"EM DESENVOLVIMENTO",IF(AH194&lt;=6,"RECORRENTE","FIDELIZADO")))))</f>
        <v/>
      </c>
      <c r="AQ194" s="27">
        <f>IF(AJ194=0,0,IFERROR(SUM(U194:AF194)/AJ194,0))</f>
        <v/>
      </c>
      <c r="AS194" s="0" t="inlineStr">
        <is>
          <t>Carteira FEV/26 + Atend FEV/26</t>
        </is>
      </c>
    </row>
    <row r="195" ht="14.25" customHeight="1" s="16">
      <c r="A195" s="25" t="inlineStr">
        <is>
          <t>51.599.613 GENESIO PAIXAO DE JESUS</t>
        </is>
      </c>
      <c r="B195" s="25" t="inlineStr">
        <is>
          <t>51599613000128</t>
        </is>
      </c>
      <c r="C195" s="25" t="inlineStr">
        <is>
          <t>51.599.613 GENESIO PAIXAO DE JESUS</t>
        </is>
      </c>
      <c r="D195" s="25" t="inlineStr">
        <is>
          <t>SP</t>
        </is>
      </c>
      <c r="E195" s="25" t="inlineStr">
        <is>
          <t>SAO BERNARDO DO CAMPO</t>
        </is>
      </c>
      <c r="F195" s="25" t="inlineStr">
        <is>
          <t>gpdejesus@outlook.com.br</t>
        </is>
      </c>
      <c r="G195" s="25" t="inlineStr">
        <is>
          <t>+55 (11) 98637-8153</t>
        </is>
      </c>
      <c r="H195" s="25" t="inlineStr">
        <is>
          <t>25/06/2025</t>
        </is>
      </c>
      <c r="I195" s="25" t="n"/>
      <c r="J195" s="25" t="inlineStr">
        <is>
          <t>MANU DITZEL</t>
        </is>
      </c>
      <c r="K195" s="25" t="inlineStr">
        <is>
          <t>Manu Ditzel</t>
        </is>
      </c>
      <c r="L195" s="25" t="n">
        <v>151</v>
      </c>
      <c r="M195" s="25" t="inlineStr">
        <is>
          <t>17/09/2025</t>
        </is>
      </c>
      <c r="N195" s="25" t="n">
        <v>687.6</v>
      </c>
      <c r="O195" s="25" t="n">
        <v>11</v>
      </c>
      <c r="P195" s="25" t="inlineStr">
        <is>
          <t>Sim</t>
        </is>
      </c>
      <c r="Q195" s="25" t="n">
        <v>95</v>
      </c>
      <c r="R195" s="25" t="n">
        <v>5</v>
      </c>
      <c r="S195" s="25" t="n">
        <v>687.6</v>
      </c>
      <c r="T195" s="25" t="inlineStr">
        <is>
          <t>COMPRA B2B</t>
        </is>
      </c>
      <c r="U195" s="25" t="n">
        <v>0</v>
      </c>
      <c r="V195" s="25" t="n">
        <v>0</v>
      </c>
      <c r="W195" s="25" t="n">
        <v>0</v>
      </c>
      <c r="X195" s="25" t="n">
        <v>0</v>
      </c>
      <c r="Y195" s="25" t="n">
        <v>0</v>
      </c>
      <c r="Z195" s="25" t="n">
        <v>0</v>
      </c>
      <c r="AA195" s="25" t="n">
        <v>687.6</v>
      </c>
      <c r="AB195" s="25" t="n">
        <v>0</v>
      </c>
      <c r="AC195" s="25" t="n">
        <v>0</v>
      </c>
      <c r="AD195" s="25" t="n">
        <v>0</v>
      </c>
      <c r="AE195" s="25" t="n">
        <v>0</v>
      </c>
      <c r="AF195" s="25" t="n">
        <v>0</v>
      </c>
      <c r="AG195" s="25" t="n">
        <v>0</v>
      </c>
      <c r="AH195" s="25" t="n">
        <v>1</v>
      </c>
      <c r="AI195" s="25" t="inlineStr">
        <is>
          <t>C</t>
        </is>
      </c>
      <c r="AJ195" s="25" t="n">
        <v>1</v>
      </c>
      <c r="AK195" s="25" t="n">
        <v>687.6</v>
      </c>
      <c r="AL195" s="26" t="n">
        <v>46036.42986111111</v>
      </c>
      <c r="AM195" s="26" t="n">
        <v>46036.42986111111</v>
      </c>
      <c r="AN195" s="25" t="inlineStr">
        <is>
          <t>WHATSAPP</t>
        </is>
      </c>
      <c r="AO195" s="25" t="inlineStr">
        <is>
          <t>PÓS-VENDA</t>
        </is>
      </c>
      <c r="AP195" s="27">
        <f>IF(AH195="","",IF(AH195=0,"PROSPECT",IF(AH195=1,"NOVO",IF(AH195&lt;=3,"EM DESENVOLVIMENTO",IF(AH195&lt;=6,"RECORRENTE","FIDELIZADO")))))</f>
        <v/>
      </c>
      <c r="AQ195" s="27">
        <f>IF(AJ195=0,0,IFERROR(SUM(U195:AF195)/AJ195,0))</f>
        <v/>
      </c>
      <c r="AS195" s="0" t="inlineStr">
        <is>
          <t>Carteira FEV/26</t>
        </is>
      </c>
    </row>
    <row r="196" ht="14.25" customHeight="1" s="16">
      <c r="A196" s="25" t="inlineStr">
        <is>
          <t>54.487.016 JACKELINE RABELO TARGAS LINO</t>
        </is>
      </c>
      <c r="B196" s="25" t="inlineStr">
        <is>
          <t>54487016000108</t>
        </is>
      </c>
      <c r="C196" s="25" t="inlineStr">
        <is>
          <t>54.487.016 JACKELINE RABELO TARGAS LINO</t>
        </is>
      </c>
      <c r="D196" s="25" t="inlineStr">
        <is>
          <t>SP</t>
        </is>
      </c>
      <c r="E196" s="25" t="inlineStr">
        <is>
          <t>RIBEIRAO PRETO</t>
        </is>
      </c>
      <c r="F196" s="25" t="inlineStr">
        <is>
          <t>jackeline-lino@hotmail.com</t>
        </is>
      </c>
      <c r="G196" s="25" t="inlineStr">
        <is>
          <t>+55 (16) 99315-4374</t>
        </is>
      </c>
      <c r="H196" s="25" t="inlineStr">
        <is>
          <t>07/10/2025</t>
        </is>
      </c>
      <c r="I196" s="25" t="n"/>
      <c r="J196" s="25" t="inlineStr">
        <is>
          <t>LARISSA PADILHA</t>
        </is>
      </c>
      <c r="K196" s="25" t="inlineStr">
        <is>
          <t>Larissa Padilha</t>
        </is>
      </c>
      <c r="L196" s="25" t="n">
        <v>104</v>
      </c>
      <c r="M196" s="25" t="inlineStr">
        <is>
          <t>03/11/2025</t>
        </is>
      </c>
      <c r="N196" s="25" t="n">
        <v>958.5</v>
      </c>
      <c r="O196" s="25" t="n">
        <v>2</v>
      </c>
      <c r="P196" s="25" t="inlineStr">
        <is>
          <t>Sim</t>
        </is>
      </c>
      <c r="Q196" s="25" t="n">
        <v>6</v>
      </c>
      <c r="R196" s="25" t="n"/>
      <c r="S196" s="25" t="n"/>
      <c r="T196" s="25" t="n"/>
      <c r="U196" s="25" t="n">
        <v>0</v>
      </c>
      <c r="V196" s="25" t="n">
        <v>0</v>
      </c>
      <c r="W196" s="25" t="n">
        <v>0</v>
      </c>
      <c r="X196" s="25" t="n">
        <v>0</v>
      </c>
      <c r="Y196" s="25" t="n">
        <v>0</v>
      </c>
      <c r="Z196" s="25" t="n">
        <v>0</v>
      </c>
      <c r="AA196" s="25" t="n">
        <v>0</v>
      </c>
      <c r="AB196" s="25" t="n">
        <v>775.16</v>
      </c>
      <c r="AC196" s="25" t="n">
        <v>958.5</v>
      </c>
      <c r="AD196" s="25" t="n">
        <v>0</v>
      </c>
      <c r="AE196" s="25" t="n">
        <v>0</v>
      </c>
      <c r="AF196" s="25" t="n">
        <v>0</v>
      </c>
      <c r="AG196" s="25" t="n">
        <v>26</v>
      </c>
      <c r="AH196" s="25" t="n">
        <v>1</v>
      </c>
      <c r="AI196" s="25" t="inlineStr">
        <is>
          <t>B</t>
        </is>
      </c>
      <c r="AJ196" s="25" t="n">
        <v>2</v>
      </c>
      <c r="AK196" s="25" t="n">
        <v>1733.66</v>
      </c>
      <c r="AL196" s="26" t="n">
        <v>46065.48333333333</v>
      </c>
      <c r="AM196" s="26" t="n">
        <v>46065.48333333333</v>
      </c>
      <c r="AN196" s="25" t="inlineStr">
        <is>
          <t>WHATSAPP</t>
        </is>
      </c>
      <c r="AO196" s="25" t="inlineStr"/>
      <c r="AP196" s="27">
        <f>IF(AH196="","",IF(AH196=0,"PROSPECT",IF(AH196=1,"NOVO",IF(AH196&lt;=3,"EM DESENVOLVIMENTO",IF(AH196&lt;=6,"RECORRENTE","FIDELIZADO")))))</f>
        <v/>
      </c>
      <c r="AQ196" s="27">
        <f>IF(AJ196=0,0,IFERROR(SUM(U196:AF196)/AJ196,0))</f>
        <v/>
      </c>
      <c r="AS196" s="0" t="inlineStr">
        <is>
          <t>Carteira FEV/26 + Atend FEV/26</t>
        </is>
      </c>
    </row>
    <row r="197" ht="14.25" customHeight="1" s="16">
      <c r="A197" s="25" t="inlineStr">
        <is>
          <t>54.993.650 KELMA LIMA DA SILVA BORGES</t>
        </is>
      </c>
      <c r="B197" s="25" t="inlineStr">
        <is>
          <t>54993650000104</t>
        </is>
      </c>
      <c r="C197" s="25" t="inlineStr">
        <is>
          <t>54.993.650 KELMA LIMA DA SILVA BORGES</t>
        </is>
      </c>
      <c r="D197" s="25" t="inlineStr">
        <is>
          <t>PA</t>
        </is>
      </c>
      <c r="E197" s="25" t="inlineStr">
        <is>
          <t>PALESTINA DO PARA</t>
        </is>
      </c>
      <c r="F197" s="25" t="inlineStr">
        <is>
          <t>kelma.l.s.borges1@gmail.com</t>
        </is>
      </c>
      <c r="G197" s="25" t="inlineStr">
        <is>
          <t>+55 (94) 99283-0339</t>
        </is>
      </c>
      <c r="H197" s="25" t="inlineStr">
        <is>
          <t>20/05/2025</t>
        </is>
      </c>
      <c r="I197" s="25" t="n"/>
      <c r="J197" s="25" t="inlineStr">
        <is>
          <t>Lorrany</t>
        </is>
      </c>
      <c r="K197" s="25" t="inlineStr">
        <is>
          <t>Lorrany</t>
        </is>
      </c>
      <c r="L197" s="25" t="n">
        <v>261</v>
      </c>
      <c r="M197" s="25" t="inlineStr">
        <is>
          <t>30/05/2025</t>
        </is>
      </c>
      <c r="N197" s="25" t="n">
        <v>398.62</v>
      </c>
      <c r="O197" s="25" t="n"/>
      <c r="P197" s="25" t="n"/>
      <c r="Q197" s="25" t="n"/>
      <c r="R197" s="25" t="n"/>
      <c r="S197" s="25" t="n"/>
      <c r="T197" s="25" t="n"/>
      <c r="U197" s="25" t="n">
        <v>0</v>
      </c>
      <c r="V197" s="25" t="n">
        <v>0</v>
      </c>
      <c r="W197" s="25" t="n">
        <v>398.62</v>
      </c>
      <c r="X197" s="25" t="n">
        <v>0</v>
      </c>
      <c r="Y197" s="25" t="n">
        <v>0</v>
      </c>
      <c r="Z197" s="25" t="n">
        <v>0</v>
      </c>
      <c r="AA197" s="25" t="n">
        <v>0</v>
      </c>
      <c r="AB197" s="25" t="n">
        <v>0</v>
      </c>
      <c r="AC197" s="25" t="n">
        <v>0</v>
      </c>
      <c r="AD197" s="25" t="n">
        <v>0</v>
      </c>
      <c r="AE197" s="25" t="n">
        <v>0</v>
      </c>
      <c r="AF197" s="25" t="n">
        <v>0</v>
      </c>
      <c r="AG197" s="25" t="n">
        <v>0</v>
      </c>
      <c r="AH197" s="25" t="n">
        <v>1</v>
      </c>
      <c r="AI197" s="25" t="inlineStr">
        <is>
          <t>C</t>
        </is>
      </c>
      <c r="AJ197" s="25" t="n">
        <v>1</v>
      </c>
      <c r="AK197" s="25" t="n">
        <v>398.62</v>
      </c>
      <c r="AL197" s="25" t="n"/>
      <c r="AM197" s="25" t="n"/>
      <c r="AN197" s="25" t="n"/>
      <c r="AO197" s="25" t="n"/>
      <c r="AP197" s="27">
        <f>IF(AH197="","",IF(AH197=0,"PROSPECT",IF(AH197=1,"NOVO",IF(AH197&lt;=3,"EM DESENVOLVIMENTO",IF(AH197&lt;=6,"RECORRENTE","FIDELIZADO")))))</f>
        <v/>
      </c>
      <c r="AQ197" s="27">
        <f>IF(AJ197=0,0,IFERROR(SUM(U197:AF197)/AJ197,0))</f>
        <v/>
      </c>
      <c r="AS197" s="0" t="inlineStr">
        <is>
          <t>Carteira FEV/26</t>
        </is>
      </c>
    </row>
    <row r="198" ht="14.25" customHeight="1" s="16">
      <c r="A198" s="25" t="inlineStr">
        <is>
          <t>55.168.822 VALDECIR ANTONIO SPADA</t>
        </is>
      </c>
      <c r="B198" s="25" t="inlineStr">
        <is>
          <t>55168822000178</t>
        </is>
      </c>
      <c r="C198" s="25" t="inlineStr">
        <is>
          <t>55.168.822 VALDECIR ANTONIO SPADA</t>
        </is>
      </c>
      <c r="D198" s="25" t="inlineStr">
        <is>
          <t>SP</t>
        </is>
      </c>
      <c r="E198" s="25" t="inlineStr">
        <is>
          <t>MONTE APRAZIVEL</t>
        </is>
      </c>
      <c r="F198" s="25" t="inlineStr">
        <is>
          <t>thalesspada@hotmail.com</t>
        </is>
      </c>
      <c r="G198" s="25" t="inlineStr">
        <is>
          <t>+55 (17) 99211-9555</t>
        </is>
      </c>
      <c r="H198" s="25" t="inlineStr">
        <is>
          <t>23/10/2025</t>
        </is>
      </c>
      <c r="I198" s="25" t="n"/>
      <c r="J198" s="25" t="inlineStr">
        <is>
          <t>LARISSA PADILHA</t>
        </is>
      </c>
      <c r="K198" s="25" t="inlineStr">
        <is>
          <t>Larissa Padilha</t>
        </is>
      </c>
      <c r="L198" s="25" t="n">
        <v>107</v>
      </c>
      <c r="M198" s="25" t="inlineStr">
        <is>
          <t>31/10/2025</t>
        </is>
      </c>
      <c r="N198" s="25" t="n">
        <v>1036.85</v>
      </c>
      <c r="O198" s="25" t="n">
        <v>21</v>
      </c>
      <c r="P198" s="25" t="inlineStr">
        <is>
          <t>Sim</t>
        </is>
      </c>
      <c r="Q198" s="25" t="n">
        <v>61</v>
      </c>
      <c r="R198" s="25" t="n"/>
      <c r="S198" s="25" t="n"/>
      <c r="T198" s="25" t="n"/>
      <c r="U198" s="25" t="n">
        <v>0</v>
      </c>
      <c r="V198" s="25" t="n">
        <v>0</v>
      </c>
      <c r="W198" s="25" t="n">
        <v>0</v>
      </c>
      <c r="X198" s="25" t="n">
        <v>0</v>
      </c>
      <c r="Y198" s="25" t="n">
        <v>0</v>
      </c>
      <c r="Z198" s="25" t="n">
        <v>0</v>
      </c>
      <c r="AA198" s="25" t="n">
        <v>0</v>
      </c>
      <c r="AB198" s="25" t="n">
        <v>1036.85</v>
      </c>
      <c r="AC198" s="25" t="n">
        <v>0</v>
      </c>
      <c r="AD198" s="25" t="n">
        <v>0</v>
      </c>
      <c r="AE198" s="25" t="n">
        <v>0</v>
      </c>
      <c r="AF198" s="25" t="n">
        <v>0</v>
      </c>
      <c r="AG198" s="25" t="n">
        <v>0</v>
      </c>
      <c r="AH198" s="25" t="n">
        <v>1</v>
      </c>
      <c r="AI198" s="25" t="inlineStr">
        <is>
          <t>C</t>
        </is>
      </c>
      <c r="AJ198" s="25" t="n">
        <v>1</v>
      </c>
      <c r="AK198" s="25" t="n">
        <v>1036.85</v>
      </c>
      <c r="AL198" s="26" t="n">
        <v>46065.42291666667</v>
      </c>
      <c r="AM198" s="26" t="n">
        <v>46065.42291666667</v>
      </c>
      <c r="AN198" s="25" t="inlineStr">
        <is>
          <t>WHATSAPP</t>
        </is>
      </c>
      <c r="AO198" s="25" t="inlineStr">
        <is>
          <t>NUTRIÇÃO | Envio da campanha do mês</t>
        </is>
      </c>
      <c r="AP198" s="27">
        <f>IF(AH198="","",IF(AH198=0,"PROSPECT",IF(AH198=1,"NOVO",IF(AH198&lt;=3,"EM DESENVOLVIMENTO",IF(AH198&lt;=6,"RECORRENTE","FIDELIZADO")))))</f>
        <v/>
      </c>
      <c r="AQ198" s="27">
        <f>IF(AJ198=0,0,IFERROR(SUM(U198:AF198)/AJ198,0))</f>
        <v/>
      </c>
      <c r="AS198" s="0" t="inlineStr">
        <is>
          <t>Carteira FEV/26 + Atend FEV/26</t>
        </is>
      </c>
    </row>
    <row r="199" ht="14.25" customHeight="1" s="16">
      <c r="A199" s="25" t="inlineStr">
        <is>
          <t>55.274.946 MARCELO FERREIRA BASTOS JUNIOR</t>
        </is>
      </c>
      <c r="B199" s="25" t="inlineStr">
        <is>
          <t>55274946000138</t>
        </is>
      </c>
      <c r="C199" s="25" t="inlineStr">
        <is>
          <t>55.274.946 MARCELO FERREIRA BASTOS JUNIOR</t>
        </is>
      </c>
      <c r="D199" s="25" t="inlineStr">
        <is>
          <t>BA</t>
        </is>
      </c>
      <c r="E199" s="25" t="inlineStr">
        <is>
          <t>FEIRA DE SANTANA</t>
        </is>
      </c>
      <c r="F199" s="25" t="inlineStr">
        <is>
          <t>marceloffbbjj@gmail.com</t>
        </is>
      </c>
      <c r="G199" s="25" t="inlineStr">
        <is>
          <t>+55 (75) 8145-1013</t>
        </is>
      </c>
      <c r="H199" s="25" t="inlineStr">
        <is>
          <t>15/04/2025</t>
        </is>
      </c>
      <c r="I199" s="25" t="n"/>
      <c r="J199" s="25" t="inlineStr">
        <is>
          <t>LARISSA PADILHA</t>
        </is>
      </c>
      <c r="K199" s="25" t="inlineStr">
        <is>
          <t>Larissa Padilha</t>
        </is>
      </c>
      <c r="L199" s="25" t="n">
        <v>150</v>
      </c>
      <c r="M199" s="25" t="inlineStr">
        <is>
          <t>18/09/2025</t>
        </is>
      </c>
      <c r="N199" s="25" t="n">
        <v>1427.88</v>
      </c>
      <c r="O199" s="25" t="n">
        <v>2</v>
      </c>
      <c r="P199" s="25" t="inlineStr">
        <is>
          <t>Sim</t>
        </is>
      </c>
      <c r="Q199" s="25" t="n">
        <v>17</v>
      </c>
      <c r="R199" s="25" t="n"/>
      <c r="S199" s="25" t="n"/>
      <c r="T199" s="25" t="n"/>
      <c r="U199" s="25" t="n">
        <v>0</v>
      </c>
      <c r="V199" s="25" t="n">
        <v>0</v>
      </c>
      <c r="W199" s="25" t="n">
        <v>0</v>
      </c>
      <c r="X199" s="25" t="n">
        <v>0</v>
      </c>
      <c r="Y199" s="25" t="n">
        <v>1537.85</v>
      </c>
      <c r="Z199" s="25" t="n">
        <v>0</v>
      </c>
      <c r="AA199" s="25" t="n">
        <v>1427.88</v>
      </c>
      <c r="AB199" s="25" t="n">
        <v>0</v>
      </c>
      <c r="AC199" s="25" t="n">
        <v>0</v>
      </c>
      <c r="AD199" s="25" t="n">
        <v>0</v>
      </c>
      <c r="AE199" s="25" t="n">
        <v>0</v>
      </c>
      <c r="AF199" s="25" t="n">
        <v>0</v>
      </c>
      <c r="AG199" s="25" t="n">
        <v>66</v>
      </c>
      <c r="AH199" s="25" t="n">
        <v>2</v>
      </c>
      <c r="AI199" s="25" t="inlineStr">
        <is>
          <t>A</t>
        </is>
      </c>
      <c r="AJ199" s="25" t="n">
        <v>2</v>
      </c>
      <c r="AK199" s="25" t="n">
        <v>1482.87</v>
      </c>
      <c r="AL199" s="26" t="n">
        <v>46036.425</v>
      </c>
      <c r="AM199" s="26" t="n">
        <v>46036.425</v>
      </c>
      <c r="AN199" s="25" t="inlineStr">
        <is>
          <t>WHATSAPP</t>
        </is>
      </c>
      <c r="AO199" s="25" t="inlineStr">
        <is>
          <t>PÓS-VENDA</t>
        </is>
      </c>
      <c r="AP199" s="27">
        <f>IF(AH199="","",IF(AH199=0,"PROSPECT",IF(AH199=1,"NOVO",IF(AH199&lt;=3,"EM DESENVOLVIMENTO",IF(AH199&lt;=6,"RECORRENTE","FIDELIZADO")))))</f>
        <v/>
      </c>
      <c r="AQ199" s="27">
        <f>IF(AJ199=0,0,IFERROR(SUM(U199:AF199)/AJ199,0))</f>
        <v/>
      </c>
      <c r="AS199" s="0" t="inlineStr">
        <is>
          <t>Carteira FEV/26</t>
        </is>
      </c>
    </row>
    <row r="200" ht="14.25" customHeight="1" s="16">
      <c r="A200" s="25" t="inlineStr">
        <is>
          <t>57.480.928 WESLLEY APARECIDO COSTA DA SILVA</t>
        </is>
      </c>
      <c r="B200" s="25" t="inlineStr">
        <is>
          <t>57480928000138</t>
        </is>
      </c>
      <c r="C200" s="25" t="inlineStr">
        <is>
          <t>57.480.928 WESLLEY APARECIDO COSTA DA SILVA</t>
        </is>
      </c>
      <c r="D200" s="25" t="inlineStr">
        <is>
          <t>SP</t>
        </is>
      </c>
      <c r="E200" s="25" t="inlineStr">
        <is>
          <t>PRESIDENTE EPITACIO</t>
        </is>
      </c>
      <c r="F200" s="25" t="inlineStr">
        <is>
          <t>mixgraos02@gmail.com</t>
        </is>
      </c>
      <c r="G200" s="25" t="inlineStr">
        <is>
          <t>+55 (88) 88888-8888</t>
        </is>
      </c>
      <c r="H200" s="25" t="inlineStr">
        <is>
          <t>13/05/2025</t>
        </is>
      </c>
      <c r="I200" s="25" t="n"/>
      <c r="J200" s="25" t="inlineStr">
        <is>
          <t>Lorrany</t>
        </is>
      </c>
      <c r="K200" s="25" t="inlineStr">
        <is>
          <t>Lorrany</t>
        </is>
      </c>
      <c r="L200" s="25" t="n">
        <v>244</v>
      </c>
      <c r="M200" s="25" t="inlineStr">
        <is>
          <t>16/06/2025</t>
        </is>
      </c>
      <c r="N200" s="25" t="n">
        <v>925.83</v>
      </c>
      <c r="O200" s="25" t="n">
        <v>4</v>
      </c>
      <c r="P200" s="25" t="inlineStr">
        <is>
          <t>Sim</t>
        </is>
      </c>
      <c r="Q200" s="25" t="n">
        <v>25</v>
      </c>
      <c r="R200" s="25" t="n">
        <v>3</v>
      </c>
      <c r="S200" s="25" t="n">
        <v>925.83</v>
      </c>
      <c r="T200" s="25" t="inlineStr">
        <is>
          <t>COMPRA B2B</t>
        </is>
      </c>
      <c r="U200" s="25" t="n">
        <v>0</v>
      </c>
      <c r="V200" s="25" t="n">
        <v>0</v>
      </c>
      <c r="W200" s="25" t="n">
        <v>976.0599999999999</v>
      </c>
      <c r="X200" s="25" t="n">
        <v>925.83</v>
      </c>
      <c r="Y200" s="25" t="n">
        <v>0</v>
      </c>
      <c r="Z200" s="25" t="n">
        <v>0</v>
      </c>
      <c r="AA200" s="25" t="n">
        <v>0</v>
      </c>
      <c r="AB200" s="25" t="n">
        <v>0</v>
      </c>
      <c r="AC200" s="25" t="n">
        <v>0</v>
      </c>
      <c r="AD200" s="25" t="n">
        <v>0</v>
      </c>
      <c r="AE200" s="25" t="n">
        <v>0</v>
      </c>
      <c r="AF200" s="25" t="n">
        <v>0</v>
      </c>
      <c r="AG200" s="25" t="n">
        <v>16</v>
      </c>
      <c r="AH200" s="25" t="n">
        <v>3</v>
      </c>
      <c r="AI200" s="25" t="inlineStr">
        <is>
          <t>B</t>
        </is>
      </c>
      <c r="AJ200" s="25" t="n">
        <v>2</v>
      </c>
      <c r="AK200" s="25" t="n">
        <v>633.96</v>
      </c>
      <c r="AL200" s="26" t="n">
        <v>45817.44236111111</v>
      </c>
      <c r="AM200" s="26" t="n">
        <v>45817.44236111111</v>
      </c>
      <c r="AN200" s="25" t="inlineStr">
        <is>
          <t>LIGAÇÃO</t>
        </is>
      </c>
      <c r="AO200" s="28" t="inlineStr">
        <is>
          <t>Link: https://vitaomais.meuspedidos.com.br/ E-mail: mixgraos02@gmail.com Senha: 656568 Cliente precisa de reposição dos drageados, e já indiq</t>
        </is>
      </c>
      <c r="AP200" s="27">
        <f>IF(AH200="","",IF(AH200=0,"PROSPECT",IF(AH200=1,"NOVO",IF(AH200&lt;=3,"EM DESENVOLVIMENTO",IF(AH200&lt;=6,"RECORRENTE","FIDELIZADO")))))</f>
        <v/>
      </c>
      <c r="AQ200" s="27">
        <f>IF(AJ200=0,0,IFERROR(SUM(U200:AF200)/AJ200,0))</f>
        <v/>
      </c>
      <c r="AR200" s="15" t="inlineStr">
        <is>
          <t>⚠️ DDD(88)=CE≠SP</t>
        </is>
      </c>
      <c r="AS200" s="0" t="inlineStr">
        <is>
          <t>Carteira FEV/26</t>
        </is>
      </c>
    </row>
    <row r="201" ht="14.25" customHeight="1" s="16">
      <c r="A201" s="25" t="inlineStr">
        <is>
          <t>60.641.605 LARA DE BARROS AMANDO ALENCAR</t>
        </is>
      </c>
      <c r="B201" s="25" t="inlineStr">
        <is>
          <t>60641605000193</t>
        </is>
      </c>
      <c r="C201" s="25" t="inlineStr">
        <is>
          <t>60.641.605 LARA DE BARROS AMANDO ALENCAR</t>
        </is>
      </c>
      <c r="D201" s="25" t="inlineStr">
        <is>
          <t>PE</t>
        </is>
      </c>
      <c r="E201" s="25" t="inlineStr">
        <is>
          <t>PARNAMIRIM</t>
        </is>
      </c>
      <c r="F201" s="25" t="inlineStr">
        <is>
          <t>nutrilaralencar@gmail.com</t>
        </is>
      </c>
      <c r="G201" s="25" t="inlineStr">
        <is>
          <t>+55 (87) 98179-7182</t>
        </is>
      </c>
      <c r="H201" s="25" t="inlineStr">
        <is>
          <t>22/05/2025</t>
        </is>
      </c>
      <c r="I201" s="25" t="n"/>
      <c r="J201" s="25" t="inlineStr">
        <is>
          <t>Helder Brunkow</t>
        </is>
      </c>
      <c r="K201" s="25" t="inlineStr">
        <is>
          <t>Helder Brunkow</t>
        </is>
      </c>
      <c r="L201" s="25" t="n">
        <v>208</v>
      </c>
      <c r="M201" s="25" t="inlineStr">
        <is>
          <t>22/07/2025</t>
        </is>
      </c>
      <c r="N201" s="25" t="n">
        <v>737.38</v>
      </c>
      <c r="O201" s="25" t="n">
        <v>4</v>
      </c>
      <c r="P201" s="25" t="inlineStr">
        <is>
          <t>Sim</t>
        </is>
      </c>
      <c r="Q201" s="25" t="n">
        <v>33</v>
      </c>
      <c r="R201" s="25" t="n">
        <v>21</v>
      </c>
      <c r="S201" s="25" t="n">
        <v>668.75</v>
      </c>
      <c r="T201" s="25" t="inlineStr">
        <is>
          <t>COMPRA B2B</t>
        </is>
      </c>
      <c r="U201" s="25" t="n">
        <v>0</v>
      </c>
      <c r="V201" s="25" t="n">
        <v>0</v>
      </c>
      <c r="W201" s="25" t="n">
        <v>0</v>
      </c>
      <c r="X201" s="25" t="n">
        <v>0</v>
      </c>
      <c r="Y201" s="25" t="n">
        <v>0</v>
      </c>
      <c r="Z201" s="25" t="n">
        <v>0</v>
      </c>
      <c r="AA201" s="25" t="n">
        <v>0</v>
      </c>
      <c r="AB201" s="25" t="n">
        <v>0</v>
      </c>
      <c r="AC201" s="25" t="n">
        <v>0</v>
      </c>
      <c r="AD201" s="25" t="n">
        <v>0</v>
      </c>
      <c r="AE201" s="25" t="n">
        <v>0</v>
      </c>
      <c r="AF201" s="25" t="n">
        <v>0</v>
      </c>
      <c r="AG201" s="25" t="n">
        <v>56</v>
      </c>
      <c r="AH201" s="25" t="n">
        <v>0</v>
      </c>
      <c r="AI201" s="25" t="inlineStr">
        <is>
          <t>B</t>
        </is>
      </c>
      <c r="AJ201" s="25" t="n">
        <v>0</v>
      </c>
      <c r="AK201" s="25" t="n">
        <v>0</v>
      </c>
      <c r="AL201" s="26" t="n">
        <v>46036.63819444444</v>
      </c>
      <c r="AM201" s="26" t="n">
        <v>46036.63819444444</v>
      </c>
      <c r="AN201" s="25" t="inlineStr">
        <is>
          <t>WHATSAPP</t>
        </is>
      </c>
      <c r="AO201" s="25" t="inlineStr">
        <is>
          <t>RECOMPRA | Nova abordagem - Linha Disney</t>
        </is>
      </c>
      <c r="AP201" s="27">
        <f>IF(AH201="","",IF(AH201=0,"PROSPECT",IF(AH201=1,"NOVO",IF(AH201&lt;=3,"EM DESENVOLVIMENTO",IF(AH201&lt;=6,"RECORRENTE","FIDELIZADO")))))</f>
        <v/>
      </c>
      <c r="AQ201" s="27">
        <f>IF(AJ201=0,0,IFERROR(SUM(U201:AF201)/AJ201,0))</f>
        <v/>
      </c>
      <c r="AS201" s="0" t="inlineStr">
        <is>
          <t>Carteira FEV/26</t>
        </is>
      </c>
    </row>
    <row r="202" ht="14.25" customHeight="1" s="16">
      <c r="A202" s="25" t="inlineStr">
        <is>
          <t>60.764.392 WELLINGTON LOPES PINHEIRO</t>
        </is>
      </c>
      <c r="B202" s="25" t="inlineStr">
        <is>
          <t>60764392000197</t>
        </is>
      </c>
      <c r="C202" s="25" t="inlineStr">
        <is>
          <t>60.764.392 WELLINGTON LOPES PINHEIRO</t>
        </is>
      </c>
      <c r="D202" s="25" t="inlineStr">
        <is>
          <t>MG</t>
        </is>
      </c>
      <c r="E202" s="25" t="inlineStr">
        <is>
          <t>TURMALINA</t>
        </is>
      </c>
      <c r="F202" s="25" t="inlineStr">
        <is>
          <t>vitalsetsuplementos@gmail.com</t>
        </is>
      </c>
      <c r="G202" s="25" t="inlineStr">
        <is>
          <t>+55 (38) 9872-3549</t>
        </is>
      </c>
      <c r="H202" s="25" t="inlineStr">
        <is>
          <t>04/06/2025</t>
        </is>
      </c>
      <c r="I202" s="25" t="n"/>
      <c r="J202" s="25" t="inlineStr">
        <is>
          <t>LARISSA PADILHA</t>
        </is>
      </c>
      <c r="K202" s="25" t="inlineStr">
        <is>
          <t>Helder Brunkow</t>
        </is>
      </c>
      <c r="L202" s="25" t="n">
        <v>237</v>
      </c>
      <c r="M202" s="25" t="inlineStr">
        <is>
          <t>23/06/2025</t>
        </is>
      </c>
      <c r="N202" s="25" t="n">
        <v>1001.78</v>
      </c>
      <c r="O202" s="25" t="n">
        <v>11</v>
      </c>
      <c r="P202" s="25" t="inlineStr">
        <is>
          <t>Sim</t>
        </is>
      </c>
      <c r="Q202" s="25" t="n">
        <v>66</v>
      </c>
      <c r="R202" s="25" t="n">
        <v>10</v>
      </c>
      <c r="S202" s="25" t="n">
        <v>1001.78</v>
      </c>
      <c r="T202" s="25" t="inlineStr">
        <is>
          <t>COMPRA B2B</t>
        </is>
      </c>
      <c r="U202" s="25" t="n">
        <v>0</v>
      </c>
      <c r="V202" s="25" t="n">
        <v>0</v>
      </c>
      <c r="W202" s="25" t="n">
        <v>0</v>
      </c>
      <c r="X202" s="25" t="n">
        <v>1001.78</v>
      </c>
      <c r="Y202" s="25" t="n">
        <v>0</v>
      </c>
      <c r="Z202" s="25" t="n">
        <v>0</v>
      </c>
      <c r="AA202" s="25" t="n">
        <v>0</v>
      </c>
      <c r="AB202" s="25" t="n">
        <v>0</v>
      </c>
      <c r="AC202" s="25" t="n">
        <v>0</v>
      </c>
      <c r="AD202" s="25" t="n">
        <v>0</v>
      </c>
      <c r="AE202" s="25" t="n">
        <v>0</v>
      </c>
      <c r="AF202" s="25" t="n">
        <v>0</v>
      </c>
      <c r="AG202" s="25" t="n">
        <v>0</v>
      </c>
      <c r="AH202" s="25" t="n">
        <v>1</v>
      </c>
      <c r="AI202" s="25" t="inlineStr">
        <is>
          <t>C</t>
        </is>
      </c>
      <c r="AJ202" s="25" t="n">
        <v>1</v>
      </c>
      <c r="AK202" s="25" t="n">
        <v>1001.78</v>
      </c>
      <c r="AL202" s="26" t="n">
        <v>46036.66619212963</v>
      </c>
      <c r="AM202" s="26" t="n">
        <v>46036.66619212963</v>
      </c>
      <c r="AN202" s="25" t="inlineStr">
        <is>
          <t>WHATSAPP</t>
        </is>
      </c>
      <c r="AO202" s="25" t="inlineStr">
        <is>
          <t>VITAL SET - WELLINGTON - MG</t>
        </is>
      </c>
      <c r="AP202" s="27">
        <f>IF(AH202="","",IF(AH202=0,"PROSPECT",IF(AH202=1,"NOVO",IF(AH202&lt;=3,"EM DESENVOLVIMENTO",IF(AH202&lt;=6,"RECORRENTE","FIDELIZADO")))))</f>
        <v/>
      </c>
      <c r="AQ202" s="27">
        <f>IF(AJ202=0,0,IFERROR(SUM(U202:AF202)/AJ202,0))</f>
        <v/>
      </c>
      <c r="AS202" s="0" t="inlineStr">
        <is>
          <t>Carteira FEV/26</t>
        </is>
      </c>
    </row>
    <row r="203" ht="14.25" customHeight="1" s="16">
      <c r="A203" s="25" t="inlineStr">
        <is>
          <t>62.351.082 JOANA BATISTA DOS SANTOS AMORIM</t>
        </is>
      </c>
      <c r="B203" s="25" t="inlineStr">
        <is>
          <t>62351082000176</t>
        </is>
      </c>
      <c r="C203" s="25" t="inlineStr">
        <is>
          <t>62.351.082 JOANA BATISTA DOS SANTOS AMORIM</t>
        </is>
      </c>
      <c r="D203" s="25" t="inlineStr">
        <is>
          <t>MA</t>
        </is>
      </c>
      <c r="E203" s="25" t="inlineStr">
        <is>
          <t>MATINHA</t>
        </is>
      </c>
      <c r="F203" s="25" t="inlineStr">
        <is>
          <t>sousafilhinho43@gmail.com</t>
        </is>
      </c>
      <c r="G203" s="25" t="inlineStr">
        <is>
          <t>+55 (98) 9218-1903</t>
        </is>
      </c>
      <c r="H203" s="25" t="inlineStr">
        <is>
          <t>19/09/2025</t>
        </is>
      </c>
      <c r="I203" s="25" t="n"/>
      <c r="J203" s="25" t="inlineStr">
        <is>
          <t>LARISSA PADILHA</t>
        </is>
      </c>
      <c r="K203" s="25" t="inlineStr">
        <is>
          <t>Larissa Padilha</t>
        </is>
      </c>
      <c r="L203" s="25" t="n">
        <v>131</v>
      </c>
      <c r="M203" s="25" t="inlineStr">
        <is>
          <t>07/10/2025</t>
        </is>
      </c>
      <c r="N203" s="25" t="n">
        <v>2046.6</v>
      </c>
      <c r="O203" s="25" t="n">
        <v>3</v>
      </c>
      <c r="P203" s="25" t="inlineStr">
        <is>
          <t>Sim</t>
        </is>
      </c>
      <c r="Q203" s="25" t="n">
        <v>20</v>
      </c>
      <c r="R203" s="25" t="n">
        <v>4</v>
      </c>
      <c r="S203" s="25" t="n"/>
      <c r="T203" s="25" t="n"/>
      <c r="U203" s="25" t="n">
        <v>0</v>
      </c>
      <c r="V203" s="25" t="n">
        <v>0</v>
      </c>
      <c r="W203" s="25" t="n">
        <v>0</v>
      </c>
      <c r="X203" s="25" t="n">
        <v>0</v>
      </c>
      <c r="Y203" s="25" t="n">
        <v>0</v>
      </c>
      <c r="Z203" s="25" t="n">
        <v>0</v>
      </c>
      <c r="AA203" s="25" t="n">
        <v>0</v>
      </c>
      <c r="AB203" s="25" t="n">
        <v>2046.6</v>
      </c>
      <c r="AC203" s="25" t="n">
        <v>0</v>
      </c>
      <c r="AD203" s="25" t="n">
        <v>0</v>
      </c>
      <c r="AE203" s="25" t="n">
        <v>0</v>
      </c>
      <c r="AF203" s="25" t="n">
        <v>0</v>
      </c>
      <c r="AG203" s="25" t="n">
        <v>0</v>
      </c>
      <c r="AH203" s="25" t="n">
        <v>1</v>
      </c>
      <c r="AI203" s="25" t="inlineStr">
        <is>
          <t>B</t>
        </is>
      </c>
      <c r="AJ203" s="25" t="n">
        <v>1</v>
      </c>
      <c r="AK203" s="25" t="n">
        <v>2046.6</v>
      </c>
      <c r="AL203" s="26" t="n">
        <v>46036.38402777778</v>
      </c>
      <c r="AM203" s="26" t="n">
        <v>46036.38402777778</v>
      </c>
      <c r="AN203" s="25" t="inlineStr">
        <is>
          <t>WHATSAPP</t>
        </is>
      </c>
      <c r="AO203" s="25" t="inlineStr">
        <is>
          <t>PÓS-VENDA</t>
        </is>
      </c>
      <c r="AP203" s="27">
        <f>IF(AH203="","",IF(AH203=0,"PROSPECT",IF(AH203=1,"NOVO",IF(AH203&lt;=3,"EM DESENVOLVIMENTO",IF(AH203&lt;=6,"RECORRENTE","FIDELIZADO")))))</f>
        <v/>
      </c>
      <c r="AQ203" s="27">
        <f>IF(AJ203=0,0,IFERROR(SUM(U203:AF203)/AJ203,0))</f>
        <v/>
      </c>
      <c r="AS203" s="0" t="inlineStr">
        <is>
          <t>Carteira FEV/26</t>
        </is>
      </c>
    </row>
    <row r="204" ht="14.25" customHeight="1" s="16">
      <c r="A204" s="25" t="inlineStr">
        <is>
          <t>ACADEMIA LIFE ENERGY</t>
        </is>
      </c>
      <c r="B204" s="25" t="inlineStr">
        <is>
          <t>13154456000239</t>
        </is>
      </c>
      <c r="C204" s="25" t="inlineStr">
        <is>
          <t>ACADEMIA LIFE ENERGY LTDA</t>
        </is>
      </c>
      <c r="D204" s="25" t="inlineStr">
        <is>
          <t>PR</t>
        </is>
      </c>
      <c r="E204" s="25" t="inlineStr">
        <is>
          <t>CURITIBA</t>
        </is>
      </c>
      <c r="F204" s="25" t="inlineStr">
        <is>
          <t>Academia_life_energy@yahoo.com.br</t>
        </is>
      </c>
      <c r="G204" s="25" t="inlineStr">
        <is>
          <t>+55 (41) 9879-5596</t>
        </is>
      </c>
      <c r="H204" s="25" t="inlineStr">
        <is>
          <t>05/08/2025</t>
        </is>
      </c>
      <c r="I204" s="25" t="n"/>
      <c r="J204" s="25" t="inlineStr">
        <is>
          <t>MANU DITZEL</t>
        </is>
      </c>
      <c r="K204" s="25" t="inlineStr">
        <is>
          <t>Manu Ditzel</t>
        </is>
      </c>
      <c r="L204" s="25" t="n">
        <v>144</v>
      </c>
      <c r="M204" s="25" t="inlineStr">
        <is>
          <t>24/09/2025</t>
        </is>
      </c>
      <c r="N204" s="25" t="n">
        <v>798</v>
      </c>
      <c r="O204" s="25" t="n">
        <v>3</v>
      </c>
      <c r="P204" s="25" t="inlineStr">
        <is>
          <t>Sim</t>
        </is>
      </c>
      <c r="Q204" s="25" t="n">
        <v>96</v>
      </c>
      <c r="R204" s="25" t="n">
        <v>28</v>
      </c>
      <c r="S204" s="25" t="n">
        <v>1781.87</v>
      </c>
      <c r="T204" s="25" t="inlineStr">
        <is>
          <t>COMPRA B2B</t>
        </is>
      </c>
      <c r="U204" s="25" t="n">
        <v>0</v>
      </c>
      <c r="V204" s="25" t="n">
        <v>0</v>
      </c>
      <c r="W204" s="25" t="n">
        <v>0</v>
      </c>
      <c r="X204" s="25" t="n">
        <v>0</v>
      </c>
      <c r="Y204" s="25" t="n">
        <v>0</v>
      </c>
      <c r="Z204" s="25" t="n">
        <v>983.87</v>
      </c>
      <c r="AA204" s="25" t="n">
        <v>798</v>
      </c>
      <c r="AB204" s="25" t="n">
        <v>0</v>
      </c>
      <c r="AC204" s="25" t="n">
        <v>0</v>
      </c>
      <c r="AD204" s="25" t="n">
        <v>0</v>
      </c>
      <c r="AE204" s="25" t="n">
        <v>0</v>
      </c>
      <c r="AF204" s="25" t="n">
        <v>0</v>
      </c>
      <c r="AG204" s="25" t="n">
        <v>49</v>
      </c>
      <c r="AH204" s="25" t="n">
        <v>2</v>
      </c>
      <c r="AI204" s="25" t="inlineStr">
        <is>
          <t>B</t>
        </is>
      </c>
      <c r="AJ204" s="25" t="n">
        <v>2</v>
      </c>
      <c r="AK204" s="25" t="n">
        <v>890.9299999999999</v>
      </c>
      <c r="AL204" s="26" t="n">
        <v>46059.48888888889</v>
      </c>
      <c r="AM204" s="26" t="n">
        <v>46059.48888888889</v>
      </c>
      <c r="AN204" s="25" t="inlineStr">
        <is>
          <t>LIGAÇÃO</t>
        </is>
      </c>
      <c r="AO204" s="25" t="inlineStr">
        <is>
          <t>FEITO CONTATO NOVAMENTE PARA POSSIVEL RECOMPRA LIGUEI</t>
        </is>
      </c>
      <c r="AP204" s="27">
        <f>IF(AH204="","",IF(AH204=0,"PROSPECT",IF(AH204=1,"NOVO",IF(AH204&lt;=3,"EM DESENVOLVIMENTO",IF(AH204&lt;=6,"RECORRENTE","FIDELIZADO")))))</f>
        <v/>
      </c>
      <c r="AQ204" s="27">
        <f>IF(AJ204=0,0,IFERROR(SUM(U204:AF204)/AJ204,0))</f>
        <v/>
      </c>
      <c r="AS204" s="0" t="inlineStr">
        <is>
          <t>Carteira FEV/26 + Atend FEV/26</t>
        </is>
      </c>
    </row>
    <row r="205" ht="14.25" customHeight="1" s="16">
      <c r="A205" s="25" t="inlineStr">
        <is>
          <t>AMME FIT NUTRICAO</t>
        </is>
      </c>
      <c r="B205" s="25" t="inlineStr">
        <is>
          <t>58104865000188</t>
        </is>
      </c>
      <c r="C205" s="25" t="inlineStr">
        <is>
          <t>AMME FIT NUTRICAO LTDA</t>
        </is>
      </c>
      <c r="D205" s="25" t="inlineStr">
        <is>
          <t>SC</t>
        </is>
      </c>
      <c r="E205" s="25" t="inlineStr">
        <is>
          <t>PORTO BELO</t>
        </is>
      </c>
      <c r="F205" s="25" t="inlineStr">
        <is>
          <t>Marviana.frigeri@gmail.com</t>
        </is>
      </c>
      <c r="G205" s="25" t="inlineStr">
        <is>
          <t>+55 (47) 98432-6298</t>
        </is>
      </c>
      <c r="H205" s="25" t="inlineStr">
        <is>
          <t>20/06/2025</t>
        </is>
      </c>
      <c r="I205" s="25" t="inlineStr">
        <is>
          <t>[Rede] Fit Land</t>
        </is>
      </c>
      <c r="J205" s="25" t="inlineStr">
        <is>
          <t>LARISSA PADILHA</t>
        </is>
      </c>
      <c r="K205" s="25" t="inlineStr">
        <is>
          <t>Larissa Padilha</t>
        </is>
      </c>
      <c r="L205" s="25" t="n">
        <v>240</v>
      </c>
      <c r="M205" s="25" t="inlineStr">
        <is>
          <t>20/06/2025</t>
        </is>
      </c>
      <c r="N205" s="25" t="n">
        <v>3742.44</v>
      </c>
      <c r="O205" s="25" t="n"/>
      <c r="P205" s="25" t="n"/>
      <c r="Q205" s="25" t="n"/>
      <c r="R205" s="25" t="n"/>
      <c r="S205" s="25" t="n"/>
      <c r="T205" s="25" t="n"/>
      <c r="U205" s="25" t="n">
        <v>0</v>
      </c>
      <c r="V205" s="25" t="n">
        <v>0</v>
      </c>
      <c r="W205" s="25" t="n">
        <v>0</v>
      </c>
      <c r="X205" s="25" t="n">
        <v>3742.44</v>
      </c>
      <c r="Y205" s="25" t="n">
        <v>0</v>
      </c>
      <c r="Z205" s="25" t="n">
        <v>0</v>
      </c>
      <c r="AA205" s="25" t="n">
        <v>0</v>
      </c>
      <c r="AB205" s="25" t="n">
        <v>0</v>
      </c>
      <c r="AC205" s="25" t="n">
        <v>0</v>
      </c>
      <c r="AD205" s="25" t="n">
        <v>0</v>
      </c>
      <c r="AE205" s="25" t="n">
        <v>0</v>
      </c>
      <c r="AF205" s="25" t="n">
        <v>0</v>
      </c>
      <c r="AG205" s="25" t="n">
        <v>0</v>
      </c>
      <c r="AH205" s="25" t="n">
        <v>1</v>
      </c>
      <c r="AI205" s="25" t="inlineStr">
        <is>
          <t>A</t>
        </is>
      </c>
      <c r="AJ205" s="25" t="n">
        <v>1</v>
      </c>
      <c r="AK205" s="25" t="n">
        <v>3742.44</v>
      </c>
      <c r="AL205" s="25" t="n"/>
      <c r="AM205" s="25" t="n"/>
      <c r="AN205" s="25" t="n"/>
      <c r="AO205" s="25" t="n"/>
      <c r="AP205" s="27">
        <f>IF(AH205="","",IF(AH205=0,"PROSPECT",IF(AH205=1,"NOVO",IF(AH205&lt;=3,"EM DESENVOLVIMENTO",IF(AH205&lt;=6,"RECORRENTE","FIDELIZADO")))))</f>
        <v/>
      </c>
      <c r="AQ205" s="27">
        <f>IF(AJ205=0,0,IFERROR(SUM(U205:AF205)/AJ205,0))</f>
        <v/>
      </c>
      <c r="AS205" s="0" t="inlineStr">
        <is>
          <t>Carteira FEV/26</t>
        </is>
      </c>
    </row>
    <row r="206" ht="14.25" customHeight="1" s="16">
      <c r="A206" s="25" t="inlineStr">
        <is>
          <t>AR NUTRICAO</t>
        </is>
      </c>
      <c r="B206" s="25" t="inlineStr">
        <is>
          <t>53192289000235</t>
        </is>
      </c>
      <c r="C206" s="25" t="inlineStr">
        <is>
          <t>AR NUTRICAO LTDA</t>
        </is>
      </c>
      <c r="D206" s="25" t="inlineStr">
        <is>
          <t>SC</t>
        </is>
      </c>
      <c r="E206" s="25" t="inlineStr">
        <is>
          <t>JARAGUA DO SUL</t>
        </is>
      </c>
      <c r="F206" s="25" t="inlineStr">
        <is>
          <t>fitlandjaraguachicodepaulo@gmail.com</t>
        </is>
      </c>
      <c r="G206" s="25" t="inlineStr">
        <is>
          <t>+55 (47) 98885-3938</t>
        </is>
      </c>
      <c r="H206" s="25" t="inlineStr">
        <is>
          <t>25/06/2025</t>
        </is>
      </c>
      <c r="I206" s="25" t="inlineStr">
        <is>
          <t>[Rede] Fit Land</t>
        </is>
      </c>
      <c r="J206" s="25" t="inlineStr">
        <is>
          <t>LARISSA PADILHA</t>
        </is>
      </c>
      <c r="K206" s="25" t="inlineStr">
        <is>
          <t>Larissa Padilha</t>
        </is>
      </c>
      <c r="L206" s="25" t="n">
        <v>234</v>
      </c>
      <c r="M206" s="25" t="inlineStr">
        <is>
          <t>26/06/2025</t>
        </is>
      </c>
      <c r="N206" s="25" t="n">
        <v>1213.9</v>
      </c>
      <c r="O206" s="25" t="n"/>
      <c r="P206" s="25" t="n"/>
      <c r="Q206" s="25" t="n"/>
      <c r="R206" s="25" t="n"/>
      <c r="S206" s="25" t="n"/>
      <c r="T206" s="25" t="n"/>
      <c r="U206" s="25" t="n">
        <v>0</v>
      </c>
      <c r="V206" s="25" t="n">
        <v>0</v>
      </c>
      <c r="W206" s="25" t="n">
        <v>0</v>
      </c>
      <c r="X206" s="25" t="n">
        <v>1213.9</v>
      </c>
      <c r="Y206" s="25" t="n">
        <v>0</v>
      </c>
      <c r="Z206" s="25" t="n">
        <v>0</v>
      </c>
      <c r="AA206" s="25" t="n">
        <v>0</v>
      </c>
      <c r="AB206" s="25" t="n">
        <v>0</v>
      </c>
      <c r="AC206" s="25" t="n">
        <v>0</v>
      </c>
      <c r="AD206" s="25" t="n">
        <v>0</v>
      </c>
      <c r="AE206" s="25" t="n">
        <v>0</v>
      </c>
      <c r="AF206" s="25" t="n">
        <v>0</v>
      </c>
      <c r="AG206" s="25" t="n">
        <v>0</v>
      </c>
      <c r="AH206" s="25" t="n">
        <v>1</v>
      </c>
      <c r="AI206" s="25" t="inlineStr">
        <is>
          <t>B</t>
        </is>
      </c>
      <c r="AJ206" s="25" t="n">
        <v>1</v>
      </c>
      <c r="AK206" s="25" t="n">
        <v>1213.9</v>
      </c>
      <c r="AL206" s="26" t="n">
        <v>45855.65668981482</v>
      </c>
      <c r="AM206" s="26" t="n">
        <v>45855.65668981482</v>
      </c>
      <c r="AN206" s="25" t="inlineStr">
        <is>
          <t>WHATSAPP</t>
        </is>
      </c>
      <c r="AO206" s="25" t="inlineStr">
        <is>
          <t>FITLAND - JARAGUÁ DO SUL CHICO DE PAULO - DREYWOSS</t>
        </is>
      </c>
      <c r="AP206" s="27">
        <f>IF(AH206="","",IF(AH206=0,"PROSPECT",IF(AH206=1,"NOVO",IF(AH206&lt;=3,"EM DESENVOLVIMENTO",IF(AH206&lt;=6,"RECORRENTE","FIDELIZADO")))))</f>
        <v/>
      </c>
      <c r="AQ206" s="27">
        <f>IF(AJ206=0,0,IFERROR(SUM(U206:AF206)/AJ206,0))</f>
        <v/>
      </c>
      <c r="AS206" s="0" t="inlineStr">
        <is>
          <t>Carteira FEV/26</t>
        </is>
      </c>
    </row>
    <row r="207" ht="14.25" customHeight="1" s="16">
      <c r="A207" s="25" t="inlineStr">
        <is>
          <t>ARMAZEM 28</t>
        </is>
      </c>
      <c r="B207" s="25" t="inlineStr">
        <is>
          <t>24544945000132</t>
        </is>
      </c>
      <c r="C207" s="25" t="inlineStr">
        <is>
          <t>A 28 COMERCIO &amp; EMPACOTADORA LTDA</t>
        </is>
      </c>
      <c r="D207" s="25" t="inlineStr">
        <is>
          <t>SP</t>
        </is>
      </c>
      <c r="E207" s="25" t="inlineStr">
        <is>
          <t>ITARARE</t>
        </is>
      </c>
      <c r="F207" s="25" t="inlineStr">
        <is>
          <t>flavioeducamargo@hotmail.com</t>
        </is>
      </c>
      <c r="G207" s="25" t="inlineStr">
        <is>
          <t>+55 (15) 99840-1484</t>
        </is>
      </c>
      <c r="H207" s="25" t="inlineStr">
        <is>
          <t>06/10/2025</t>
        </is>
      </c>
      <c r="I207" s="25" t="n"/>
      <c r="J207" s="25" t="inlineStr">
        <is>
          <t>LARISSA PADILHA</t>
        </is>
      </c>
      <c r="K207" s="25" t="inlineStr">
        <is>
          <t>Larissa Padilha</t>
        </is>
      </c>
      <c r="L207" s="25" t="n">
        <v>131</v>
      </c>
      <c r="M207" s="25" t="inlineStr">
        <is>
          <t>07/10/2025</t>
        </is>
      </c>
      <c r="N207" s="25" t="n">
        <v>1979.11</v>
      </c>
      <c r="O207" s="25" t="n">
        <v>1</v>
      </c>
      <c r="P207" s="25" t="inlineStr">
        <is>
          <t>Sim</t>
        </is>
      </c>
      <c r="Q207" s="25" t="n">
        <v>22</v>
      </c>
      <c r="R207" s="25" t="n"/>
      <c r="S207" s="25" t="n"/>
      <c r="T207" s="25" t="n"/>
      <c r="U207" s="25" t="n">
        <v>0</v>
      </c>
      <c r="V207" s="25" t="n">
        <v>0</v>
      </c>
      <c r="W207" s="25" t="n">
        <v>0</v>
      </c>
      <c r="X207" s="25" t="n">
        <v>0</v>
      </c>
      <c r="Y207" s="25" t="n">
        <v>0</v>
      </c>
      <c r="Z207" s="25" t="n">
        <v>0</v>
      </c>
      <c r="AA207" s="25" t="n">
        <v>0</v>
      </c>
      <c r="AB207" s="25" t="n">
        <v>1979.11</v>
      </c>
      <c r="AC207" s="25" t="n">
        <v>0</v>
      </c>
      <c r="AD207" s="25" t="n">
        <v>0</v>
      </c>
      <c r="AE207" s="25" t="n">
        <v>0</v>
      </c>
      <c r="AF207" s="25" t="n">
        <v>0</v>
      </c>
      <c r="AG207" s="25" t="n">
        <v>0</v>
      </c>
      <c r="AH207" s="25" t="n">
        <v>1</v>
      </c>
      <c r="AI207" s="25" t="inlineStr">
        <is>
          <t>B</t>
        </is>
      </c>
      <c r="AJ207" s="25" t="n">
        <v>1</v>
      </c>
      <c r="AK207" s="25" t="n">
        <v>1979.11</v>
      </c>
      <c r="AL207" s="26" t="n">
        <v>46036.38541666666</v>
      </c>
      <c r="AM207" s="26" t="n">
        <v>46036.38541666666</v>
      </c>
      <c r="AN207" s="25" t="inlineStr">
        <is>
          <t>WHATSAPP</t>
        </is>
      </c>
      <c r="AO207" s="25" t="inlineStr">
        <is>
          <t>PÓS-VENDA</t>
        </is>
      </c>
      <c r="AP207" s="27">
        <f>IF(AH207="","",IF(AH207=0,"PROSPECT",IF(AH207=1,"NOVO",IF(AH207&lt;=3,"EM DESENVOLVIMENTO",IF(AH207&lt;=6,"RECORRENTE","FIDELIZADO")))))</f>
        <v/>
      </c>
      <c r="AQ207" s="27">
        <f>IF(AJ207=0,0,IFERROR(SUM(U207:AF207)/AJ207,0))</f>
        <v/>
      </c>
      <c r="AS207" s="0" t="inlineStr">
        <is>
          <t>Carteira FEV/26</t>
        </is>
      </c>
    </row>
    <row r="208" ht="14.25" customHeight="1" s="16">
      <c r="A208" s="25" t="inlineStr">
        <is>
          <t>ARMAZEM ESTIVA</t>
        </is>
      </c>
      <c r="B208" s="25" t="inlineStr">
        <is>
          <t>38614942000132</t>
        </is>
      </c>
      <c r="C208" s="25" t="inlineStr">
        <is>
          <t>ARMAZEM ESTIVA LTDA</t>
        </is>
      </c>
      <c r="D208" s="25" t="inlineStr">
        <is>
          <t>RJ</t>
        </is>
      </c>
      <c r="E208" s="25" t="inlineStr">
        <is>
          <t>MIGUEL PEREIRA</t>
        </is>
      </c>
      <c r="F208" s="25" t="inlineStr">
        <is>
          <t>contatoarmazemestiva@gmail.com</t>
        </is>
      </c>
      <c r="G208" s="25" t="inlineStr">
        <is>
          <t>+55 (24) 98857-5109</t>
        </is>
      </c>
      <c r="H208" s="25" t="inlineStr">
        <is>
          <t>08/10/2024</t>
        </is>
      </c>
      <c r="I208" s="25" t="n"/>
      <c r="J208" s="25" t="inlineStr">
        <is>
          <t>MANU DITZEL</t>
        </is>
      </c>
      <c r="K208" s="25" t="inlineStr">
        <is>
          <t>Manu Ditzel</t>
        </is>
      </c>
      <c r="L208" s="25" t="n">
        <v>164</v>
      </c>
      <c r="M208" s="25" t="inlineStr">
        <is>
          <t>04/09/2025</t>
        </is>
      </c>
      <c r="N208" s="25" t="n">
        <v>2873.11</v>
      </c>
      <c r="O208" s="25" t="n">
        <v>1</v>
      </c>
      <c r="P208" s="25" t="inlineStr">
        <is>
          <t>Sim</t>
        </is>
      </c>
      <c r="Q208" s="25" t="n">
        <v>48</v>
      </c>
      <c r="R208" s="25" t="n">
        <v>19</v>
      </c>
      <c r="S208" s="25" t="n">
        <v>4872.89</v>
      </c>
      <c r="T208" s="25" t="inlineStr">
        <is>
          <t>COMPRA B2B</t>
        </is>
      </c>
      <c r="U208" s="25" t="n">
        <v>0</v>
      </c>
      <c r="V208" s="25" t="n">
        <v>0</v>
      </c>
      <c r="W208" s="25" t="n">
        <v>0</v>
      </c>
      <c r="X208" s="25" t="n">
        <v>1999.78</v>
      </c>
      <c r="Y208" s="25" t="n">
        <v>0</v>
      </c>
      <c r="Z208" s="25" t="n">
        <v>0</v>
      </c>
      <c r="AA208" s="25" t="n">
        <v>2873.11</v>
      </c>
      <c r="AB208" s="25" t="n">
        <v>0</v>
      </c>
      <c r="AC208" s="25" t="n">
        <v>0</v>
      </c>
      <c r="AD208" s="25" t="n">
        <v>0</v>
      </c>
      <c r="AE208" s="25" t="n">
        <v>0</v>
      </c>
      <c r="AF208" s="25" t="n">
        <v>0</v>
      </c>
      <c r="AG208" s="25" t="n">
        <v>90</v>
      </c>
      <c r="AH208" s="25" t="n">
        <v>2</v>
      </c>
      <c r="AI208" s="25" t="inlineStr">
        <is>
          <t>A</t>
        </is>
      </c>
      <c r="AJ208" s="25" t="n">
        <v>2</v>
      </c>
      <c r="AK208" s="25" t="n">
        <v>2436.45</v>
      </c>
      <c r="AL208" s="26" t="n">
        <v>46036.57847222222</v>
      </c>
      <c r="AM208" s="26" t="n">
        <v>46036.57847222222</v>
      </c>
      <c r="AN208" s="25" t="inlineStr">
        <is>
          <t>WHATSAPP</t>
        </is>
      </c>
      <c r="AO208" s="25" t="inlineStr">
        <is>
          <t>RECOMPRA | Nova abordagem - Linha Disney</t>
        </is>
      </c>
      <c r="AP208" s="27">
        <f>IF(AH208="","",IF(AH208=0,"PROSPECT",IF(AH208=1,"NOVO",IF(AH208&lt;=3,"EM DESENVOLVIMENTO",IF(AH208&lt;=6,"RECORRENTE","FIDELIZADO")))))</f>
        <v/>
      </c>
      <c r="AQ208" s="27">
        <f>IF(AJ208=0,0,IFERROR(SUM(U208:AF208)/AJ208,0))</f>
        <v/>
      </c>
      <c r="AS208" s="0" t="inlineStr">
        <is>
          <t>Carteira FEV/26</t>
        </is>
      </c>
    </row>
    <row r="209" ht="14.25" customHeight="1" s="16">
      <c r="A209" s="25" t="inlineStr">
        <is>
          <t>ARMAZEM FIT STORE ROLIM DE MOURA</t>
        </is>
      </c>
      <c r="B209" s="25" t="inlineStr">
        <is>
          <t>30194738000360</t>
        </is>
      </c>
      <c r="C209" s="25" t="inlineStr">
        <is>
          <t>JOELLY COSMETICOS LTDA</t>
        </is>
      </c>
      <c r="D209" s="25" t="inlineStr">
        <is>
          <t>RO</t>
        </is>
      </c>
      <c r="E209" s="25" t="inlineStr">
        <is>
          <t>ROLIM DE MOURA</t>
        </is>
      </c>
      <c r="F209" s="25" t="inlineStr">
        <is>
          <t>joellyfinanceiro@gmail.com</t>
        </is>
      </c>
      <c r="G209" s="25" t="inlineStr">
        <is>
          <t>+55 (69) 8474-7043</t>
        </is>
      </c>
      <c r="H209" s="25" t="inlineStr">
        <is>
          <t>27/10/2025</t>
        </is>
      </c>
      <c r="I209" s="25" t="n"/>
      <c r="J209" s="25" t="inlineStr">
        <is>
          <t>LARISSA PADILHA</t>
        </is>
      </c>
      <c r="K209" s="25" t="inlineStr">
        <is>
          <t>Larissa Padilha</t>
        </is>
      </c>
      <c r="L209" s="25" t="n">
        <v>110</v>
      </c>
      <c r="M209" s="25" t="inlineStr">
        <is>
          <t>28/10/2025</t>
        </is>
      </c>
      <c r="N209" s="25" t="n">
        <v>2586.2</v>
      </c>
      <c r="O209" s="25" t="n">
        <v>2</v>
      </c>
      <c r="P209" s="25" t="inlineStr">
        <is>
          <t>Sim</t>
        </is>
      </c>
      <c r="Q209" s="25" t="n">
        <v>25</v>
      </c>
      <c r="R209" s="25" t="n"/>
      <c r="S209" s="25" t="n"/>
      <c r="T209" s="25" t="n"/>
      <c r="U209" s="25" t="n">
        <v>0</v>
      </c>
      <c r="V209" s="25" t="n">
        <v>0</v>
      </c>
      <c r="W209" s="25" t="n">
        <v>0</v>
      </c>
      <c r="X209" s="25" t="n">
        <v>0</v>
      </c>
      <c r="Y209" s="25" t="n">
        <v>0</v>
      </c>
      <c r="Z209" s="25" t="n">
        <v>0</v>
      </c>
      <c r="AA209" s="25" t="n">
        <v>0</v>
      </c>
      <c r="AB209" s="25" t="n">
        <v>2586.2</v>
      </c>
      <c r="AC209" s="25" t="n">
        <v>0</v>
      </c>
      <c r="AD209" s="25" t="n">
        <v>0</v>
      </c>
      <c r="AE209" s="25" t="n">
        <v>0</v>
      </c>
      <c r="AF209" s="25" t="n">
        <v>0</v>
      </c>
      <c r="AG209" s="25" t="n">
        <v>0</v>
      </c>
      <c r="AH209" s="25" t="n">
        <v>1</v>
      </c>
      <c r="AI209" s="25" t="inlineStr">
        <is>
          <t>A</t>
        </is>
      </c>
      <c r="AJ209" s="25" t="n">
        <v>1</v>
      </c>
      <c r="AK209" s="25" t="n">
        <v>2586.2</v>
      </c>
      <c r="AL209" s="26" t="n">
        <v>46035.47916666666</v>
      </c>
      <c r="AM209" s="26" t="n">
        <v>46035.47916666666</v>
      </c>
      <c r="AN209" s="25" t="inlineStr">
        <is>
          <t>WHATSAPP</t>
        </is>
      </c>
      <c r="AO209" s="25" t="inlineStr">
        <is>
          <t>PÓS-VENDA</t>
        </is>
      </c>
      <c r="AP209" s="27">
        <f>IF(AH209="","",IF(AH209=0,"PROSPECT",IF(AH209=1,"NOVO",IF(AH209&lt;=3,"EM DESENVOLVIMENTO",IF(AH209&lt;=6,"RECORRENTE","FIDELIZADO")))))</f>
        <v/>
      </c>
      <c r="AQ209" s="27">
        <f>IF(AJ209=0,0,IFERROR(SUM(U209:AF209)/AJ209,0))</f>
        <v/>
      </c>
      <c r="AS209" s="0" t="inlineStr">
        <is>
          <t>Carteira FEV/26</t>
        </is>
      </c>
    </row>
    <row r="210" ht="14.25" customHeight="1" s="16">
      <c r="A210" s="25" t="inlineStr">
        <is>
          <t>ARMAZEM GIRASSOL COMERCIO DE ALIMENTOS LTDA</t>
        </is>
      </c>
      <c r="B210" s="25" t="inlineStr">
        <is>
          <t>17641819000130</t>
        </is>
      </c>
      <c r="C210" s="25" t="inlineStr">
        <is>
          <t>ARMAZEM GIRASSOL COMERCIO DE ALIMENTOS LTDA</t>
        </is>
      </c>
      <c r="D210" s="25" t="inlineStr">
        <is>
          <t>RO</t>
        </is>
      </c>
      <c r="E210" s="25" t="inlineStr">
        <is>
          <t>VILHENA</t>
        </is>
      </c>
      <c r="F210" s="25" t="inlineStr">
        <is>
          <t>Armazemgirassol@outlook.com</t>
        </is>
      </c>
      <c r="G210" s="25" t="inlineStr">
        <is>
          <t>+55 (69) 98133-6500</t>
        </is>
      </c>
      <c r="H210" s="25" t="inlineStr">
        <is>
          <t>08/10/2024</t>
        </is>
      </c>
      <c r="I210" s="25" t="n"/>
      <c r="J210" s="25" t="inlineStr">
        <is>
          <t>LARISSA PADILHA</t>
        </is>
      </c>
      <c r="K210" s="25" t="inlineStr">
        <is>
          <t>Helder Brunkow</t>
        </is>
      </c>
      <c r="L210" s="25" t="n">
        <v>233</v>
      </c>
      <c r="M210" s="25" t="inlineStr">
        <is>
          <t>27/06/2025</t>
        </is>
      </c>
      <c r="N210" s="25" t="n">
        <v>2170.59</v>
      </c>
      <c r="O210" s="25" t="n"/>
      <c r="P210" s="25" t="n"/>
      <c r="Q210" s="25" t="n"/>
      <c r="R210" s="25" t="n"/>
      <c r="S210" s="25" t="n"/>
      <c r="T210" s="25" t="n"/>
      <c r="U210" s="25" t="n">
        <v>0</v>
      </c>
      <c r="V210" s="25" t="n">
        <v>0</v>
      </c>
      <c r="W210" s="25" t="n">
        <v>0</v>
      </c>
      <c r="X210" s="25" t="n">
        <v>2170.59</v>
      </c>
      <c r="Y210" s="25" t="n">
        <v>0</v>
      </c>
      <c r="Z210" s="25" t="n">
        <v>0</v>
      </c>
      <c r="AA210" s="25" t="n">
        <v>0</v>
      </c>
      <c r="AB210" s="25" t="n">
        <v>0</v>
      </c>
      <c r="AC210" s="25" t="n">
        <v>0</v>
      </c>
      <c r="AD210" s="25" t="n">
        <v>0</v>
      </c>
      <c r="AE210" s="25" t="n">
        <v>0</v>
      </c>
      <c r="AF210" s="25" t="n">
        <v>0</v>
      </c>
      <c r="AG210" s="25" t="n">
        <v>0</v>
      </c>
      <c r="AH210" s="25" t="n">
        <v>1</v>
      </c>
      <c r="AI210" s="25" t="inlineStr">
        <is>
          <t>B</t>
        </is>
      </c>
      <c r="AJ210" s="25" t="n">
        <v>1</v>
      </c>
      <c r="AK210" s="25" t="n">
        <v>2170.59</v>
      </c>
      <c r="AL210" s="26" t="n">
        <v>46036.66527777778</v>
      </c>
      <c r="AM210" s="26" t="n">
        <v>46036.66527777778</v>
      </c>
      <c r="AN210" s="25" t="inlineStr">
        <is>
          <t>WHATSAPP</t>
        </is>
      </c>
      <c r="AO210" s="25" t="inlineStr">
        <is>
          <t>RECOMPRA | Nova abordagem - Linha Disney</t>
        </is>
      </c>
      <c r="AP210" s="27">
        <f>IF(AH210="","",IF(AH210=0,"PROSPECT",IF(AH210=1,"NOVO",IF(AH210&lt;=3,"EM DESENVOLVIMENTO",IF(AH210&lt;=6,"RECORRENTE","FIDELIZADO")))))</f>
        <v/>
      </c>
      <c r="AQ210" s="27">
        <f>IF(AJ210=0,0,IFERROR(SUM(U210:AF210)/AJ210,0))</f>
        <v/>
      </c>
      <c r="AS210" s="0" t="inlineStr">
        <is>
          <t>Carteira FEV/26</t>
        </is>
      </c>
    </row>
    <row r="211" ht="14.25" customHeight="1" s="16">
      <c r="A211" s="25" t="inlineStr">
        <is>
          <t>ATLAS BRASIL COMERCIALIZADORA DE ENERGIA S.A.</t>
        </is>
      </c>
      <c r="B211" s="25" t="inlineStr">
        <is>
          <t>24337192000194</t>
        </is>
      </c>
      <c r="C211" s="25" t="inlineStr">
        <is>
          <t>ATLAS BRASIL COMERCIALIZADORA DE ENERGIA S.A.</t>
        </is>
      </c>
      <c r="D211" s="25" t="inlineStr">
        <is>
          <t>SP</t>
        </is>
      </c>
      <c r="E211" s="25" t="inlineStr">
        <is>
          <t>SAO PAULO</t>
        </is>
      </c>
      <c r="F211" s="25" t="inlineStr">
        <is>
          <t>atlas@atlas.com.br</t>
        </is>
      </c>
      <c r="G211" s="25" t="inlineStr">
        <is>
          <t>+55 (11) 97368-7221</t>
        </is>
      </c>
      <c r="H211" s="25" t="inlineStr">
        <is>
          <t>09/06/2025</t>
        </is>
      </c>
      <c r="I211" s="25" t="n"/>
      <c r="J211" s="25" t="inlineStr">
        <is>
          <t>LARISSA PADILHA</t>
        </is>
      </c>
      <c r="K211" s="25" t="inlineStr">
        <is>
          <t>Helder Brunkow</t>
        </is>
      </c>
      <c r="L211" s="25" t="n">
        <v>251</v>
      </c>
      <c r="M211" s="25" t="inlineStr">
        <is>
          <t>09/06/2025</t>
        </is>
      </c>
      <c r="N211" s="25" t="n">
        <v>3510.38</v>
      </c>
      <c r="O211" s="25" t="n"/>
      <c r="P211" s="25" t="n"/>
      <c r="Q211" s="25" t="n"/>
      <c r="R211" s="25" t="n"/>
      <c r="S211" s="25" t="n"/>
      <c r="T211" s="25" t="n"/>
      <c r="U211" s="25" t="n">
        <v>0</v>
      </c>
      <c r="V211" s="25" t="n">
        <v>0</v>
      </c>
      <c r="W211" s="25" t="n">
        <v>0</v>
      </c>
      <c r="X211" s="25" t="n">
        <v>3510.38</v>
      </c>
      <c r="Y211" s="25" t="n">
        <v>0</v>
      </c>
      <c r="Z211" s="25" t="n">
        <v>0</v>
      </c>
      <c r="AA211" s="25" t="n">
        <v>0</v>
      </c>
      <c r="AB211" s="25" t="n">
        <v>0</v>
      </c>
      <c r="AC211" s="25" t="n">
        <v>0</v>
      </c>
      <c r="AD211" s="25" t="n">
        <v>0</v>
      </c>
      <c r="AE211" s="25" t="n">
        <v>0</v>
      </c>
      <c r="AF211" s="25" t="n">
        <v>0</v>
      </c>
      <c r="AG211" s="25" t="n">
        <v>0</v>
      </c>
      <c r="AH211" s="25" t="n">
        <v>1</v>
      </c>
      <c r="AI211" s="25" t="inlineStr">
        <is>
          <t>A</t>
        </is>
      </c>
      <c r="AJ211" s="25" t="n">
        <v>1</v>
      </c>
      <c r="AK211" s="25" t="n">
        <v>3510.38</v>
      </c>
      <c r="AL211" s="26" t="n">
        <v>46066.69791666666</v>
      </c>
      <c r="AM211" s="26" t="n">
        <v>46066.69791666666</v>
      </c>
      <c r="AN211" s="25" t="inlineStr">
        <is>
          <t>LIGAÇÃO</t>
        </is>
      </c>
      <c r="AO211" s="25" t="inlineStr">
        <is>
          <t>FALEI COM A ERICA  ELES POSSUEM UM BOLETO DE 2024 PROTESTADO, E DEU A ENTENDER QUE NÃO QUER MAIS OS PRODUTOS DA VITAO</t>
        </is>
      </c>
      <c r="AP211" s="27">
        <f>IF(AH211="","",IF(AH211=0,"PROSPECT",IF(AH211=1,"NOVO",IF(AH211&lt;=3,"EM DESENVOLVIMENTO",IF(AH211&lt;=6,"RECORRENTE","FIDELIZADO")))))</f>
        <v/>
      </c>
      <c r="AQ211" s="27">
        <f>IF(AJ211=0,0,IFERROR(SUM(U211:AF211)/AJ211,0))</f>
        <v/>
      </c>
      <c r="AS211" s="0" t="inlineStr">
        <is>
          <t>Carteira FEV/26 + Atend FEV/26</t>
        </is>
      </c>
    </row>
    <row r="212" ht="14.25" customHeight="1" s="16">
      <c r="A212" s="25" t="inlineStr">
        <is>
          <t>AUTO POSTO AFONSO PENA LTDA</t>
        </is>
      </c>
      <c r="B212" s="25" t="inlineStr">
        <is>
          <t>43691842000140</t>
        </is>
      </c>
      <c r="C212" s="25" t="inlineStr">
        <is>
          <t>AUTO POSTO AFONSO PENA LTDA</t>
        </is>
      </c>
      <c r="D212" s="25" t="inlineStr">
        <is>
          <t>PR</t>
        </is>
      </c>
      <c r="E212" s="25" t="inlineStr">
        <is>
          <t>CURITIBA</t>
        </is>
      </c>
      <c r="F212" s="25" t="inlineStr">
        <is>
          <t>afonsopena@redesalvaro.com.br</t>
        </is>
      </c>
      <c r="G212" s="25" t="inlineStr">
        <is>
          <t>+55 (41) 3408-4191</t>
        </is>
      </c>
      <c r="H212" s="25" t="inlineStr">
        <is>
          <t>29/04/2025</t>
        </is>
      </c>
      <c r="I212" s="25" t="n"/>
      <c r="J212" s="25" t="inlineStr">
        <is>
          <t>JULIO GADRET</t>
        </is>
      </c>
      <c r="K212" s="25" t="inlineStr">
        <is>
          <t>Julio Gadret</t>
        </is>
      </c>
      <c r="L212" s="25" t="n">
        <v>286</v>
      </c>
      <c r="M212" s="25" t="inlineStr">
        <is>
          <t>05/05/2025</t>
        </is>
      </c>
      <c r="N212" s="25" t="n">
        <v>810.36</v>
      </c>
      <c r="O212" s="25" t="n"/>
      <c r="P212" s="25" t="n"/>
      <c r="Q212" s="25" t="n"/>
      <c r="R212" s="25" t="n"/>
      <c r="S212" s="25" t="n"/>
      <c r="T212" s="25" t="n"/>
      <c r="U212" s="25" t="n">
        <v>0</v>
      </c>
      <c r="V212" s="25" t="n">
        <v>0</v>
      </c>
      <c r="W212" s="25" t="n">
        <v>810.36</v>
      </c>
      <c r="X212" s="25" t="n">
        <v>0</v>
      </c>
      <c r="Y212" s="25" t="n">
        <v>0</v>
      </c>
      <c r="Z212" s="25" t="n">
        <v>0</v>
      </c>
      <c r="AA212" s="25" t="n">
        <v>0</v>
      </c>
      <c r="AB212" s="25" t="n">
        <v>0</v>
      </c>
      <c r="AC212" s="25" t="n">
        <v>0</v>
      </c>
      <c r="AD212" s="25" t="n">
        <v>0</v>
      </c>
      <c r="AE212" s="25" t="n">
        <v>0</v>
      </c>
      <c r="AF212" s="25" t="n">
        <v>0</v>
      </c>
      <c r="AG212" s="25" t="n">
        <v>0</v>
      </c>
      <c r="AH212" s="25" t="n">
        <v>1</v>
      </c>
      <c r="AI212" s="25" t="inlineStr">
        <is>
          <t>C</t>
        </is>
      </c>
      <c r="AJ212" s="25" t="n">
        <v>1</v>
      </c>
      <c r="AK212" s="25" t="n">
        <v>810.36</v>
      </c>
      <c r="AL212" s="25" t="n"/>
      <c r="AM212" s="25" t="n"/>
      <c r="AN212" s="25" t="n"/>
      <c r="AO212" s="25" t="n"/>
      <c r="AP212" s="27">
        <f>IF(AH212="","",IF(AH212=0,"PROSPECT",IF(AH212=1,"NOVO",IF(AH212&lt;=3,"EM DESENVOLVIMENTO",IF(AH212&lt;=6,"RECORRENTE","FIDELIZADO")))))</f>
        <v/>
      </c>
      <c r="AQ212" s="27">
        <f>IF(AJ212=0,0,IFERROR(SUM(U212:AF212)/AJ212,0))</f>
        <v/>
      </c>
      <c r="AS212" s="0" t="inlineStr">
        <is>
          <t>Carteira FEV/26</t>
        </is>
      </c>
    </row>
    <row r="213" ht="14.25" customHeight="1" s="16">
      <c r="A213" s="25" t="inlineStr">
        <is>
          <t>AVILA DO TERMINAL PRODUTOS NATURAIS LTDA</t>
        </is>
      </c>
      <c r="B213" s="25" t="inlineStr">
        <is>
          <t>37191155000162</t>
        </is>
      </c>
      <c r="C213" s="25" t="inlineStr">
        <is>
          <t>AVILA DO TERMINAL PRODUTOS NATURAIS LTDA</t>
        </is>
      </c>
      <c r="D213" s="25" t="inlineStr">
        <is>
          <t>SC</t>
        </is>
      </c>
      <c r="E213" s="25" t="inlineStr">
        <is>
          <t>CRICIUMA</t>
        </is>
      </c>
      <c r="F213" s="25" t="inlineStr">
        <is>
          <t>avilapn@hotmail.com</t>
        </is>
      </c>
      <c r="G213" s="25" t="inlineStr">
        <is>
          <t>48996201885489</t>
        </is>
      </c>
      <c r="H213" s="25" t="inlineStr">
        <is>
          <t>08/10/2024</t>
        </is>
      </c>
      <c r="I213" s="25" t="inlineStr">
        <is>
          <t>[Rede] Cia da Saúde</t>
        </is>
      </c>
      <c r="J213" s="25" t="inlineStr">
        <is>
          <t>JULIO GADRET</t>
        </is>
      </c>
      <c r="K213" s="25" t="inlineStr">
        <is>
          <t>Julio  Gadret</t>
        </is>
      </c>
      <c r="L213" s="25" t="n">
        <v>107</v>
      </c>
      <c r="M213" s="25" t="inlineStr">
        <is>
          <t>31/10/2025</t>
        </is>
      </c>
      <c r="N213" s="25" t="n">
        <v>986.3200000000001</v>
      </c>
      <c r="O213" s="25" t="n"/>
      <c r="P213" s="25" t="n"/>
      <c r="Q213" s="25" t="n"/>
      <c r="R213" s="25" t="n"/>
      <c r="S213" s="25" t="n"/>
      <c r="T213" s="25" t="n"/>
      <c r="U213" s="25" t="n">
        <v>0</v>
      </c>
      <c r="V213" s="25" t="n">
        <v>0</v>
      </c>
      <c r="W213" s="25" t="n">
        <v>0</v>
      </c>
      <c r="X213" s="25" t="n">
        <v>0</v>
      </c>
      <c r="Y213" s="25" t="n">
        <v>0</v>
      </c>
      <c r="Z213" s="25" t="n">
        <v>0</v>
      </c>
      <c r="AA213" s="25" t="n">
        <v>0</v>
      </c>
      <c r="AB213" s="25" t="n">
        <v>986.3200000000001</v>
      </c>
      <c r="AC213" s="25" t="n">
        <v>0</v>
      </c>
      <c r="AD213" s="25" t="n">
        <v>0</v>
      </c>
      <c r="AE213" s="25" t="n">
        <v>0</v>
      </c>
      <c r="AF213" s="25" t="n">
        <v>0</v>
      </c>
      <c r="AG213" s="25" t="n">
        <v>0</v>
      </c>
      <c r="AH213" s="25" t="n">
        <v>1</v>
      </c>
      <c r="AI213" s="25" t="inlineStr">
        <is>
          <t>C</t>
        </is>
      </c>
      <c r="AJ213" s="25" t="n">
        <v>1</v>
      </c>
      <c r="AK213" s="25" t="n">
        <v>986.3200000000001</v>
      </c>
      <c r="AL213" s="26" t="n">
        <v>45719.46890046296</v>
      </c>
      <c r="AM213" s="26" t="n">
        <v>45719.46890046296</v>
      </c>
      <c r="AN213" s="25" t="inlineStr">
        <is>
          <t>WHATSAPP</t>
        </is>
      </c>
      <c r="AO213" s="25" t="inlineStr">
        <is>
          <t>CIA DA SAÚDE - AVILA DO TERMINAL - MAURICIO</t>
        </is>
      </c>
      <c r="AP213" s="27">
        <f>IF(AH213="","",IF(AH213=0,"PROSPECT",IF(AH213=1,"NOVO",IF(AH213&lt;=3,"EM DESENVOLVIMENTO",IF(AH213&lt;=6,"RECORRENTE","FIDELIZADO")))))</f>
        <v/>
      </c>
      <c r="AQ213" s="27">
        <f>IF(AJ213=0,0,IFERROR(SUM(U213:AF213)/AJ213,0))</f>
        <v/>
      </c>
      <c r="AS213" s="0" t="inlineStr">
        <is>
          <t>Carteira FEV/26</t>
        </is>
      </c>
    </row>
    <row r="214" ht="14.25" customHeight="1" s="16">
      <c r="A214" s="25" t="inlineStr">
        <is>
          <t>AVILA SUPLEMENTOS</t>
        </is>
      </c>
      <c r="B214" s="25" t="inlineStr">
        <is>
          <t>16966212000168</t>
        </is>
      </c>
      <c r="C214" s="25" t="inlineStr">
        <is>
          <t>AVILA SUPLEMENTOS ALIMENTICIOS LTDA</t>
        </is>
      </c>
      <c r="D214" s="25" t="inlineStr">
        <is>
          <t>SC</t>
        </is>
      </c>
      <c r="E214" s="25" t="inlineStr">
        <is>
          <t>CRICIUMA</t>
        </is>
      </c>
      <c r="F214" s="25" t="inlineStr">
        <is>
          <t>atendimentoavila@hotmail.com</t>
        </is>
      </c>
      <c r="G214" s="25" t="inlineStr">
        <is>
          <t>+55 (48) 98804-1731</t>
        </is>
      </c>
      <c r="H214" s="25" t="inlineStr">
        <is>
          <t>08/10/2024</t>
        </is>
      </c>
      <c r="I214" s="25" t="inlineStr">
        <is>
          <t>[Rede] Cia da Saúde</t>
        </is>
      </c>
      <c r="J214" s="25" t="inlineStr">
        <is>
          <t>JULIO GADRET</t>
        </is>
      </c>
      <c r="K214" s="25" t="inlineStr">
        <is>
          <t>Julio  Gadret</t>
        </is>
      </c>
      <c r="L214" s="25" t="n">
        <v>139</v>
      </c>
      <c r="M214" s="25" t="inlineStr">
        <is>
          <t>29/09/2025</t>
        </is>
      </c>
      <c r="N214" s="25" t="n">
        <v>678</v>
      </c>
      <c r="O214" s="25" t="n">
        <v>3</v>
      </c>
      <c r="P214" s="25" t="inlineStr">
        <is>
          <t>Sim</t>
        </is>
      </c>
      <c r="Q214" s="25" t="n">
        <v>296</v>
      </c>
      <c r="R214" s="25" t="n">
        <v>98</v>
      </c>
      <c r="S214" s="25" t="n">
        <v>1462.09</v>
      </c>
      <c r="T214" s="25" t="inlineStr">
        <is>
          <t>COMPRA B2B</t>
        </is>
      </c>
      <c r="U214" s="25" t="n">
        <v>0</v>
      </c>
      <c r="V214" s="25" t="n">
        <v>0</v>
      </c>
      <c r="W214" s="25" t="n">
        <v>0</v>
      </c>
      <c r="X214" s="25" t="n">
        <v>0</v>
      </c>
      <c r="Y214" s="25" t="n">
        <v>0</v>
      </c>
      <c r="Z214" s="25" t="n">
        <v>0</v>
      </c>
      <c r="AA214" s="25" t="n">
        <v>678</v>
      </c>
      <c r="AB214" s="25" t="n">
        <v>0</v>
      </c>
      <c r="AC214" s="25" t="n">
        <v>0</v>
      </c>
      <c r="AD214" s="25" t="n">
        <v>0</v>
      </c>
      <c r="AE214" s="25" t="n">
        <v>0</v>
      </c>
      <c r="AF214" s="25" t="n">
        <v>0</v>
      </c>
      <c r="AG214" s="25" t="n">
        <v>0</v>
      </c>
      <c r="AH214" s="25" t="n">
        <v>1</v>
      </c>
      <c r="AI214" s="25" t="inlineStr">
        <is>
          <t>C</t>
        </is>
      </c>
      <c r="AJ214" s="25" t="n">
        <v>1</v>
      </c>
      <c r="AK214" s="25" t="n">
        <v>678</v>
      </c>
      <c r="AL214" s="26" t="n">
        <v>46042.40609953704</v>
      </c>
      <c r="AM214" s="26" t="n">
        <v>46042.40609953704</v>
      </c>
      <c r="AN214" s="25" t="inlineStr">
        <is>
          <t>WHATSAPP</t>
        </is>
      </c>
      <c r="AO214" s="25" t="inlineStr">
        <is>
          <t>CIA DA SAUDE - CRICIÚMA SC - ROSANGELA</t>
        </is>
      </c>
      <c r="AP214" s="27">
        <f>IF(AH214="","",IF(AH214=0,"PROSPECT",IF(AH214=1,"NOVO",IF(AH214&lt;=3,"EM DESENVOLVIMENTO",IF(AH214&lt;=6,"RECORRENTE","FIDELIZADO")))))</f>
        <v/>
      </c>
      <c r="AQ214" s="27">
        <f>IF(AJ214=0,0,IFERROR(SUM(U214:AF214)/AJ214,0))</f>
        <v/>
      </c>
      <c r="AS214" s="0" t="inlineStr">
        <is>
          <t>Carteira FEV/26</t>
        </is>
      </c>
    </row>
    <row r="215" ht="14.25" customHeight="1" s="16">
      <c r="A215" s="25" t="inlineStr">
        <is>
          <t>AVIÃO AZUL DOCES</t>
        </is>
      </c>
      <c r="B215" s="25" t="inlineStr">
        <is>
          <t>63300724000170</t>
        </is>
      </c>
      <c r="C215" s="25" t="inlineStr">
        <is>
          <t>63.300.724 FRANCIELLE APARECIDA DE OLIVEIRA FERREIRA</t>
        </is>
      </c>
      <c r="D215" s="25" t="inlineStr">
        <is>
          <t>PR</t>
        </is>
      </c>
      <c r="E215" s="25" t="inlineStr">
        <is>
          <t>CURITIBA</t>
        </is>
      </c>
      <c r="F215" s="25" t="inlineStr">
        <is>
          <t>Aviaoazul.doces@gmail.com</t>
        </is>
      </c>
      <c r="G215" s="25" t="inlineStr">
        <is>
          <t>+55 (41) 9540-3795</t>
        </is>
      </c>
      <c r="H215" s="25" t="inlineStr">
        <is>
          <t>10/11/2025</t>
        </is>
      </c>
      <c r="I215" s="25" t="n"/>
      <c r="J215" s="25" t="inlineStr">
        <is>
          <t>MANU DITZEL</t>
        </is>
      </c>
      <c r="K215" s="25" t="inlineStr">
        <is>
          <t>Manu Ditzel</t>
        </is>
      </c>
      <c r="L215" s="25" t="n">
        <v>89</v>
      </c>
      <c r="M215" s="25" t="inlineStr">
        <is>
          <t>18/11/2025</t>
        </is>
      </c>
      <c r="N215" s="25" t="n">
        <v>662.5700000000001</v>
      </c>
      <c r="O215" s="25" t="n">
        <v>16</v>
      </c>
      <c r="P215" s="25" t="inlineStr">
        <is>
          <t>Sim</t>
        </is>
      </c>
      <c r="Q215" s="25" t="n">
        <v>77</v>
      </c>
      <c r="R215" s="25" t="n">
        <v>19</v>
      </c>
      <c r="S215" s="25" t="n">
        <v>662.5700000000001</v>
      </c>
      <c r="T215" s="25" t="inlineStr">
        <is>
          <t>COMPRA B2B</t>
        </is>
      </c>
      <c r="U215" s="25" t="n">
        <v>0</v>
      </c>
      <c r="V215" s="25" t="n">
        <v>0</v>
      </c>
      <c r="W215" s="25" t="n">
        <v>0</v>
      </c>
      <c r="X215" s="25" t="n">
        <v>0</v>
      </c>
      <c r="Y215" s="25" t="n">
        <v>0</v>
      </c>
      <c r="Z215" s="25" t="n">
        <v>0</v>
      </c>
      <c r="AA215" s="25" t="n">
        <v>0</v>
      </c>
      <c r="AB215" s="25" t="n">
        <v>0</v>
      </c>
      <c r="AC215" s="25" t="n">
        <v>662.5700000000001</v>
      </c>
      <c r="AD215" s="25" t="n">
        <v>0</v>
      </c>
      <c r="AE215" s="25" t="n">
        <v>0</v>
      </c>
      <c r="AF215" s="25" t="n">
        <v>0</v>
      </c>
      <c r="AG215" s="25" t="n">
        <v>0</v>
      </c>
      <c r="AH215" s="25" t="n">
        <v>0</v>
      </c>
      <c r="AI215" s="25" t="inlineStr">
        <is>
          <t>C</t>
        </is>
      </c>
      <c r="AJ215" s="25" t="n">
        <v>1</v>
      </c>
      <c r="AK215" s="25" t="n">
        <v>0</v>
      </c>
      <c r="AL215" s="26" t="n">
        <v>46063.68055555555</v>
      </c>
      <c r="AM215" s="26" t="n">
        <v>46063.68055555555</v>
      </c>
      <c r="AN215" s="25" t="inlineStr">
        <is>
          <t>LIGAÇÃO</t>
        </is>
      </c>
      <c r="AO215" s="25" t="inlineStr">
        <is>
          <t>MOVIMENTO MUITO FRACO DA CLIENTE, AINDA TEM PRODUTO E TALVEZ COMPRE MAIS FINAL DO MÊS</t>
        </is>
      </c>
      <c r="AP215" s="27">
        <f>IF(AH215="","",IF(AH215=0,"PROSPECT",IF(AH215=1,"NOVO",IF(AH215&lt;=3,"EM DESENVOLVIMENTO",IF(AH215&lt;=6,"RECORRENTE","FIDELIZADO")))))</f>
        <v/>
      </c>
      <c r="AQ215" s="27">
        <f>IF(AJ215=0,0,IFERROR(SUM(U215:AF215)/AJ215,0))</f>
        <v/>
      </c>
      <c r="AS215" s="0" t="inlineStr">
        <is>
          <t>Carteira FEV/26 + Atend FEV/26</t>
        </is>
      </c>
    </row>
    <row r="216" ht="14.25" customHeight="1" s="16">
      <c r="A216" s="25" t="inlineStr">
        <is>
          <t>BANCA12 ARMAZEM DE PRODUTOS NATURAIS LTDA</t>
        </is>
      </c>
      <c r="B216" s="25" t="inlineStr">
        <is>
          <t>92916360000237</t>
        </is>
      </c>
      <c r="C216" s="25" t="inlineStr">
        <is>
          <t>BANCA12 ARMAZEM DE PRODUTOS NATURAIS LTDA</t>
        </is>
      </c>
      <c r="D216" s="25" t="inlineStr">
        <is>
          <t>RS</t>
        </is>
      </c>
      <c r="E216" s="25" t="inlineStr">
        <is>
          <t>PORTO ALEGRE</t>
        </is>
      </c>
      <c r="F216" s="25" t="inlineStr">
        <is>
          <t>compras@banca12.com.br,escritorio@banca12.com.br,nfe@banca12.com.br</t>
        </is>
      </c>
      <c r="G216" s="25" t="inlineStr">
        <is>
          <t>+55 (51) 9158-7245</t>
        </is>
      </c>
      <c r="H216" s="25" t="inlineStr">
        <is>
          <t>06/10/2025</t>
        </is>
      </c>
      <c r="I216" s="25" t="n"/>
      <c r="J216" s="25" t="inlineStr">
        <is>
          <t>MANU DITZEL</t>
        </is>
      </c>
      <c r="K216" s="25" t="inlineStr">
        <is>
          <t>Manu Ditzel</t>
        </is>
      </c>
      <c r="L216" s="25" t="n">
        <v>131</v>
      </c>
      <c r="M216" s="25" t="inlineStr">
        <is>
          <t>07/10/2025</t>
        </is>
      </c>
      <c r="N216" s="25" t="n">
        <v>2075.26</v>
      </c>
      <c r="O216" s="25" t="n">
        <v>5</v>
      </c>
      <c r="P216" s="25" t="inlineStr">
        <is>
          <t>Sim</t>
        </is>
      </c>
      <c r="Q216" s="25" t="n">
        <v>15</v>
      </c>
      <c r="R216" s="25" t="n"/>
      <c r="S216" s="25" t="n"/>
      <c r="T216" s="25" t="n"/>
      <c r="U216" s="25" t="n">
        <v>0</v>
      </c>
      <c r="V216" s="25" t="n">
        <v>0</v>
      </c>
      <c r="W216" s="25" t="n">
        <v>0</v>
      </c>
      <c r="X216" s="25" t="n">
        <v>0</v>
      </c>
      <c r="Y216" s="25" t="n">
        <v>0</v>
      </c>
      <c r="Z216" s="25" t="n">
        <v>0</v>
      </c>
      <c r="AA216" s="25" t="n">
        <v>0</v>
      </c>
      <c r="AB216" s="25" t="n">
        <v>2075.26</v>
      </c>
      <c r="AC216" s="25" t="n">
        <v>0</v>
      </c>
      <c r="AD216" s="25" t="n">
        <v>0</v>
      </c>
      <c r="AE216" s="25" t="n">
        <v>0</v>
      </c>
      <c r="AF216" s="25" t="n">
        <v>0</v>
      </c>
      <c r="AG216" s="25" t="n">
        <v>0</v>
      </c>
      <c r="AH216" s="25" t="n">
        <v>1</v>
      </c>
      <c r="AI216" s="25" t="inlineStr">
        <is>
          <t>B</t>
        </is>
      </c>
      <c r="AJ216" s="25" t="n">
        <v>1</v>
      </c>
      <c r="AK216" s="25" t="n">
        <v>2075.26</v>
      </c>
      <c r="AL216" s="26" t="n">
        <v>45973.475</v>
      </c>
      <c r="AM216" s="26" t="n">
        <v>45973.475</v>
      </c>
      <c r="AN216" s="25" t="inlineStr">
        <is>
          <t>LIGAÇÃO</t>
        </is>
      </c>
      <c r="AO216" s="25" t="inlineStr">
        <is>
          <t>NEGOCIADO 10% DE DESCONTO EM TODOS OS PEDIDOS !!</t>
        </is>
      </c>
      <c r="AP216" s="27">
        <f>IF(AH216="","",IF(AH216=0,"PROSPECT",IF(AH216=1,"NOVO",IF(AH216&lt;=3,"EM DESENVOLVIMENTO",IF(AH216&lt;=6,"RECORRENTE","FIDELIZADO")))))</f>
        <v/>
      </c>
      <c r="AQ216" s="27">
        <f>IF(AJ216=0,0,IFERROR(SUM(U216:AF216)/AJ216,0))</f>
        <v/>
      </c>
      <c r="AS216" s="0" t="inlineStr">
        <is>
          <t>Carteira FEV/26</t>
        </is>
      </c>
    </row>
    <row r="217" ht="14.25" customHeight="1" s="16">
      <c r="A217" s="25" t="inlineStr">
        <is>
          <t>BATEL GOURMET HORTIFRUTI E EMPORIO</t>
        </is>
      </c>
      <c r="B217" s="25" t="inlineStr">
        <is>
          <t>30289781000147</t>
        </is>
      </c>
      <c r="C217" s="25" t="inlineStr">
        <is>
          <t>BATEL GOURMET ARMAZEM, EMPORIO E HORTIFRUTI LTDA</t>
        </is>
      </c>
      <c r="D217" s="25" t="inlineStr">
        <is>
          <t>PR</t>
        </is>
      </c>
      <c r="E217" s="25" t="inlineStr">
        <is>
          <t>CURITIBA</t>
        </is>
      </c>
      <c r="F217" s="25" t="inlineStr">
        <is>
          <t>Felipemenegatti.10@gmail.com</t>
        </is>
      </c>
      <c r="G217" s="25" t="inlineStr">
        <is>
          <t>+55 (41) 9196-6888 | +55 (43) 98808-0281</t>
        </is>
      </c>
      <c r="H217" s="25" t="inlineStr">
        <is>
          <t>15/04/2025</t>
        </is>
      </c>
      <c r="I217" s="25" t="n"/>
      <c r="J217" s="25" t="inlineStr">
        <is>
          <t>MANU DITZEL</t>
        </is>
      </c>
      <c r="K217" s="25" t="inlineStr">
        <is>
          <t>Manu Ditzel</t>
        </is>
      </c>
      <c r="L217" s="25" t="n">
        <v>115</v>
      </c>
      <c r="M217" s="25" t="inlineStr">
        <is>
          <t>23/10/2025</t>
        </is>
      </c>
      <c r="N217" s="25" t="n">
        <v>3666.91</v>
      </c>
      <c r="O217" s="25" t="n">
        <v>3</v>
      </c>
      <c r="P217" s="25" t="inlineStr">
        <is>
          <t>Sim</t>
        </is>
      </c>
      <c r="Q217" s="25" t="n">
        <v>146</v>
      </c>
      <c r="R217" s="25" t="n">
        <v>50</v>
      </c>
      <c r="S217" s="25" t="n">
        <v>4280.81</v>
      </c>
      <c r="T217" s="25" t="inlineStr">
        <is>
          <t>COMPRA B2B</t>
        </is>
      </c>
      <c r="U217" s="25" t="n">
        <v>0</v>
      </c>
      <c r="V217" s="25" t="n">
        <v>3522.82</v>
      </c>
      <c r="W217" s="25" t="n">
        <v>0</v>
      </c>
      <c r="X217" s="25" t="n">
        <v>757.99</v>
      </c>
      <c r="Y217" s="25" t="n">
        <v>1624.59</v>
      </c>
      <c r="Z217" s="25" t="n">
        <v>0</v>
      </c>
      <c r="AA217" s="25" t="n">
        <v>0</v>
      </c>
      <c r="AB217" s="25" t="n">
        <v>3666.91</v>
      </c>
      <c r="AC217" s="25" t="n">
        <v>0</v>
      </c>
      <c r="AD217" s="25" t="n">
        <v>0</v>
      </c>
      <c r="AE217" s="25" t="n">
        <v>0</v>
      </c>
      <c r="AF217" s="25" t="n">
        <v>0</v>
      </c>
      <c r="AG217" s="25" t="n">
        <v>47.5</v>
      </c>
      <c r="AH217" s="25" t="n">
        <v>5</v>
      </c>
      <c r="AI217" s="25" t="inlineStr">
        <is>
          <t>A</t>
        </is>
      </c>
      <c r="AJ217" s="25" t="n">
        <v>4</v>
      </c>
      <c r="AK217" s="25" t="n">
        <v>1914.46</v>
      </c>
      <c r="AL217" s="26" t="n">
        <v>46062.42916666667</v>
      </c>
      <c r="AM217" s="26" t="n">
        <v>46062.42916666667</v>
      </c>
      <c r="AN217" s="25" t="inlineStr">
        <is>
          <t>WHATSAPP</t>
        </is>
      </c>
      <c r="AO217" s="25" t="inlineStr">
        <is>
          <t>FEITO PROPOSTA DE PROGRAMAR PEDIDO PARA FIM DE MÊS, POIS ESTA SEGURANDO.</t>
        </is>
      </c>
      <c r="AP217" s="27">
        <f>IF(AH217="","",IF(AH217=0,"PROSPECT",IF(AH217=1,"NOVO",IF(AH217&lt;=3,"EM DESENVOLVIMENTO",IF(AH217&lt;=6,"RECORRENTE","FIDELIZADO")))))</f>
        <v/>
      </c>
      <c r="AQ217" s="27">
        <f>IF(AJ217=0,0,IFERROR(SUM(U217:AF217)/AJ217,0))</f>
        <v/>
      </c>
      <c r="AS217" s="0" t="inlineStr">
        <is>
          <t>Carteira FEV/26 + Atend FEV/26</t>
        </is>
      </c>
    </row>
    <row r="218" ht="14.25" customHeight="1" s="16">
      <c r="A218" s="25" t="inlineStr">
        <is>
          <t>BCG ALIMENTOS</t>
        </is>
      </c>
      <c r="B218" s="25" t="inlineStr">
        <is>
          <t>37974794000102</t>
        </is>
      </c>
      <c r="C218" s="25" t="inlineStr">
        <is>
          <t>CRISTIANE NIETO ARANTES LTDA</t>
        </is>
      </c>
      <c r="D218" s="25" t="inlineStr">
        <is>
          <t>PR</t>
        </is>
      </c>
      <c r="E218" s="25" t="inlineStr">
        <is>
          <t>CORNELIO PROCOPIO</t>
        </is>
      </c>
      <c r="F218" s="25" t="inlineStr">
        <is>
          <t>bcgalimentos.cp@gmail.com</t>
        </is>
      </c>
      <c r="G218" s="25" t="inlineStr">
        <is>
          <t>+55 (43) 3132-8707 | +55 (43) 9914-4144</t>
        </is>
      </c>
      <c r="H218" s="25" t="inlineStr">
        <is>
          <t>21/05/2025</t>
        </is>
      </c>
      <c r="I218" s="25" t="n"/>
      <c r="J218" s="25" t="inlineStr">
        <is>
          <t>MANU DITZEL</t>
        </is>
      </c>
      <c r="K218" s="25" t="inlineStr">
        <is>
          <t>Manu Ditzel</t>
        </is>
      </c>
      <c r="L218" s="25" t="n">
        <v>208</v>
      </c>
      <c r="M218" s="25" t="inlineStr">
        <is>
          <t>22/07/2025</t>
        </is>
      </c>
      <c r="N218" s="25" t="n">
        <v>6491.55</v>
      </c>
      <c r="O218" s="25" t="n"/>
      <c r="P218" s="25" t="n"/>
      <c r="Q218" s="25" t="n"/>
      <c r="R218" s="25" t="n"/>
      <c r="S218" s="25" t="n"/>
      <c r="T218" s="25" t="n"/>
      <c r="U218" s="25" t="n">
        <v>0</v>
      </c>
      <c r="V218" s="25" t="n">
        <v>0</v>
      </c>
      <c r="W218" s="25" t="n">
        <v>6050.52</v>
      </c>
      <c r="X218" s="25" t="n">
        <v>0</v>
      </c>
      <c r="Y218" s="25" t="n">
        <v>6491.55</v>
      </c>
      <c r="Z218" s="25" t="n">
        <v>0</v>
      </c>
      <c r="AA218" s="25" t="n">
        <v>0</v>
      </c>
      <c r="AB218" s="25" t="n">
        <v>0</v>
      </c>
      <c r="AC218" s="25" t="n">
        <v>0</v>
      </c>
      <c r="AD218" s="25" t="n">
        <v>0</v>
      </c>
      <c r="AE218" s="25" t="n">
        <v>0</v>
      </c>
      <c r="AF218" s="25" t="n">
        <v>0</v>
      </c>
      <c r="AG218" s="25" t="n">
        <v>62</v>
      </c>
      <c r="AH218" s="25" t="n">
        <v>2</v>
      </c>
      <c r="AI218" s="25" t="inlineStr">
        <is>
          <t>A</t>
        </is>
      </c>
      <c r="AJ218" s="25" t="n">
        <v>2</v>
      </c>
      <c r="AK218" s="25" t="n">
        <v>6271.03</v>
      </c>
      <c r="AL218" s="26" t="n">
        <v>46057.48402777778</v>
      </c>
      <c r="AM218" s="26" t="n">
        <v>46057.48402777778</v>
      </c>
      <c r="AN218" s="25" t="inlineStr">
        <is>
          <t>WHATSAPP</t>
        </is>
      </c>
      <c r="AO218" s="25" t="inlineStr">
        <is>
          <t>CLIENTE DE LICITAÇÃO</t>
        </is>
      </c>
      <c r="AP218" s="27">
        <f>IF(AH218="","",IF(AH218=0,"PROSPECT",IF(AH218=1,"NOVO",IF(AH218&lt;=3,"EM DESENVOLVIMENTO",IF(AH218&lt;=6,"RECORRENTE","FIDELIZADO")))))</f>
        <v/>
      </c>
      <c r="AQ218" s="27">
        <f>IF(AJ218=0,0,IFERROR(SUM(U218:AF218)/AJ218,0))</f>
        <v/>
      </c>
      <c r="AS218" s="0" t="inlineStr">
        <is>
          <t>Carteira FEV/26 + Atend FEV/26</t>
        </is>
      </c>
    </row>
    <row r="219" ht="14.25" customHeight="1" s="16">
      <c r="A219" s="25" t="inlineStr">
        <is>
          <t>BEATRIZ HONORIO MACEDO</t>
        </is>
      </c>
      <c r="B219" s="25" t="inlineStr">
        <is>
          <t>58355920000102</t>
        </is>
      </c>
      <c r="C219" s="25" t="inlineStr">
        <is>
          <t>58.355.920 BEATRIZ HONORIO MACEDO</t>
        </is>
      </c>
      <c r="D219" s="25" t="inlineStr">
        <is>
          <t>PB</t>
        </is>
      </c>
      <c r="E219" s="25" t="inlineStr">
        <is>
          <t>CACIMBA DE DENTRO</t>
        </is>
      </c>
      <c r="F219" s="25" t="inlineStr">
        <is>
          <t>casadacastanhaa@gmail.com</t>
        </is>
      </c>
      <c r="G219" s="25" t="inlineStr">
        <is>
          <t>+55 (83) 8181-5719</t>
        </is>
      </c>
      <c r="H219" s="25" t="inlineStr">
        <is>
          <t>02/10/2025</t>
        </is>
      </c>
      <c r="I219" s="25" t="n"/>
      <c r="J219" s="25" t="inlineStr">
        <is>
          <t>LARISSA PADILHA</t>
        </is>
      </c>
      <c r="K219" s="25" t="inlineStr">
        <is>
          <t>Larissa Padilha</t>
        </is>
      </c>
      <c r="L219" s="25" t="n">
        <v>115</v>
      </c>
      <c r="M219" s="25" t="inlineStr">
        <is>
          <t>23/10/2025</t>
        </is>
      </c>
      <c r="N219" s="25" t="n">
        <v>1069.9</v>
      </c>
      <c r="O219" s="25" t="n">
        <v>1</v>
      </c>
      <c r="P219" s="25" t="inlineStr">
        <is>
          <t>Sim</t>
        </is>
      </c>
      <c r="Q219" s="25" t="n">
        <v>17</v>
      </c>
      <c r="R219" s="25" t="n"/>
      <c r="S219" s="25" t="n"/>
      <c r="T219" s="25" t="n"/>
      <c r="U219" s="25" t="n">
        <v>0</v>
      </c>
      <c r="V219" s="25" t="n">
        <v>0</v>
      </c>
      <c r="W219" s="25" t="n">
        <v>0</v>
      </c>
      <c r="X219" s="25" t="n">
        <v>0</v>
      </c>
      <c r="Y219" s="25" t="n">
        <v>0</v>
      </c>
      <c r="Z219" s="25" t="n">
        <v>0</v>
      </c>
      <c r="AA219" s="25" t="n">
        <v>0</v>
      </c>
      <c r="AB219" s="25" t="n">
        <v>1069.9</v>
      </c>
      <c r="AC219" s="25" t="n">
        <v>0</v>
      </c>
      <c r="AD219" s="25" t="n">
        <v>0</v>
      </c>
      <c r="AE219" s="25" t="n">
        <v>0</v>
      </c>
      <c r="AF219" s="25" t="n">
        <v>0</v>
      </c>
      <c r="AG219" s="25" t="n">
        <v>0</v>
      </c>
      <c r="AH219" s="25" t="n">
        <v>1</v>
      </c>
      <c r="AI219" s="25" t="inlineStr">
        <is>
          <t>C</t>
        </is>
      </c>
      <c r="AJ219" s="25" t="n">
        <v>1</v>
      </c>
      <c r="AK219" s="25" t="n">
        <v>1069.9</v>
      </c>
      <c r="AL219" s="26" t="n">
        <v>46036.36890046296</v>
      </c>
      <c r="AM219" s="26" t="n">
        <v>46036.36890046296</v>
      </c>
      <c r="AN219" s="25" t="inlineStr">
        <is>
          <t>WHATSAPP</t>
        </is>
      </c>
      <c r="AO219" s="25" t="inlineStr">
        <is>
          <t>CASA DA CASTANHA - BEATRIZ - PB</t>
        </is>
      </c>
      <c r="AP219" s="27">
        <f>IF(AH219="","",IF(AH219=0,"PROSPECT",IF(AH219=1,"NOVO",IF(AH219&lt;=3,"EM DESENVOLVIMENTO",IF(AH219&lt;=6,"RECORRENTE","FIDELIZADO")))))</f>
        <v/>
      </c>
      <c r="AQ219" s="27">
        <f>IF(AJ219=0,0,IFERROR(SUM(U219:AF219)/AJ219,0))</f>
        <v/>
      </c>
      <c r="AS219" s="0" t="inlineStr">
        <is>
          <t>Carteira FEV/26</t>
        </is>
      </c>
    </row>
    <row r="220" ht="14.25" customHeight="1" s="16">
      <c r="A220" s="25" t="inlineStr">
        <is>
          <t>BEM NATURAL</t>
        </is>
      </c>
      <c r="B220" s="25" t="inlineStr">
        <is>
          <t>39557193000111</t>
        </is>
      </c>
      <c r="C220" s="25" t="inlineStr">
        <is>
          <t>AE BEM NATURAL LTDA</t>
        </is>
      </c>
      <c r="D220" s="25" t="inlineStr">
        <is>
          <t>SC</t>
        </is>
      </c>
      <c r="E220" s="25" t="inlineStr">
        <is>
          <t>JARAGUA DO SUL</t>
        </is>
      </c>
      <c r="F220" s="25" t="inlineStr">
        <is>
          <t>bemnaturaljaragua@gmail.com</t>
        </is>
      </c>
      <c r="G220" s="25" t="inlineStr">
        <is>
          <t>+55 (47) 3371-6598 | +55 (47) 99131-2401</t>
        </is>
      </c>
      <c r="H220" s="25" t="inlineStr">
        <is>
          <t>08/10/2024</t>
        </is>
      </c>
      <c r="I220" s="25" t="n"/>
      <c r="J220" s="25" t="inlineStr">
        <is>
          <t>DAIANE STAVICKI</t>
        </is>
      </c>
      <c r="K220" s="25" t="inlineStr">
        <is>
          <t>Manu Ditzel</t>
        </is>
      </c>
      <c r="L220" s="25" t="n">
        <v>95</v>
      </c>
      <c r="M220" s="25" t="inlineStr">
        <is>
          <t>12/11/2025</t>
        </is>
      </c>
      <c r="N220" s="25" t="n">
        <v>1029.55</v>
      </c>
      <c r="O220" s="25" t="n">
        <v>1</v>
      </c>
      <c r="P220" s="25" t="inlineStr">
        <is>
          <t>Sim</t>
        </is>
      </c>
      <c r="Q220" s="25" t="n">
        <v>96</v>
      </c>
      <c r="R220" s="25" t="n">
        <v>20</v>
      </c>
      <c r="S220" s="25" t="n">
        <v>1029.55</v>
      </c>
      <c r="T220" s="25" t="inlineStr">
        <is>
          <t>COMPRA B2B</t>
        </is>
      </c>
      <c r="U220" s="25" t="n">
        <v>0</v>
      </c>
      <c r="V220" s="25" t="n">
        <v>2651.31</v>
      </c>
      <c r="W220" s="25" t="n">
        <v>0</v>
      </c>
      <c r="X220" s="25" t="n">
        <v>0</v>
      </c>
      <c r="Y220" s="25" t="n">
        <v>0</v>
      </c>
      <c r="Z220" s="25" t="n">
        <v>0</v>
      </c>
      <c r="AA220" s="25" t="n">
        <v>0</v>
      </c>
      <c r="AB220" s="25" t="n">
        <v>0</v>
      </c>
      <c r="AC220" s="25" t="n">
        <v>1029.55</v>
      </c>
      <c r="AD220" s="25" t="n">
        <v>0</v>
      </c>
      <c r="AE220" s="25" t="n">
        <v>0</v>
      </c>
      <c r="AF220" s="25" t="n">
        <v>0</v>
      </c>
      <c r="AG220" s="25" t="n">
        <v>225</v>
      </c>
      <c r="AH220" s="25" t="n">
        <v>1</v>
      </c>
      <c r="AI220" s="25" t="inlineStr">
        <is>
          <t>A</t>
        </is>
      </c>
      <c r="AJ220" s="25" t="n">
        <v>2</v>
      </c>
      <c r="AK220" s="25" t="n">
        <v>3680.86</v>
      </c>
      <c r="AL220" s="26" t="n">
        <v>46063.68680555555</v>
      </c>
      <c r="AM220" s="26" t="n">
        <v>46063.68680555555</v>
      </c>
      <c r="AN220" s="25" t="inlineStr">
        <is>
          <t>LIGAÇÃO</t>
        </is>
      </c>
      <c r="AO220" s="25" t="inlineStr">
        <is>
          <t>TENTANDO VARIOS CONTATOS, CLIENTE NÃO RETORNA .. AO LIGAR SEMPRE ATENDE FUNCIONARIA E INFORMA QUE ELA ESTA OCUPADA</t>
        </is>
      </c>
      <c r="AP220" s="27">
        <f>IF(AH220="","",IF(AH220=0,"PROSPECT",IF(AH220=1,"NOVO",IF(AH220&lt;=3,"EM DESENVOLVIMENTO",IF(AH220&lt;=6,"RECORRENTE","FIDELIZADO")))))</f>
        <v/>
      </c>
      <c r="AQ220" s="27">
        <f>IF(AJ220=0,0,IFERROR(SUM(U220:AF220)/AJ220,0))</f>
        <v/>
      </c>
      <c r="AS220" s="0" t="inlineStr">
        <is>
          <t>Carteira FEV/26 + Atend FEV/26</t>
        </is>
      </c>
    </row>
    <row r="221" ht="14.25" customHeight="1" s="16">
      <c r="A221" s="25" t="inlineStr">
        <is>
          <t>BEROLA</t>
        </is>
      </c>
      <c r="B221" s="25" t="inlineStr">
        <is>
          <t>03877787000162</t>
        </is>
      </c>
      <c r="C221" s="25" t="inlineStr">
        <is>
          <t>DML INDUSTRIA E COMERCIO DE DOCES LTDA</t>
        </is>
      </c>
      <c r="D221" s="25" t="inlineStr">
        <is>
          <t>RS</t>
        </is>
      </c>
      <c r="E221" s="25" t="inlineStr">
        <is>
          <t>PELOTAS</t>
        </is>
      </c>
      <c r="F221" s="25" t="inlineStr">
        <is>
          <t>contato@confeitariaberola.com</t>
        </is>
      </c>
      <c r="G221" s="25" t="inlineStr">
        <is>
          <t>+55 (51) 8410-4577</t>
        </is>
      </c>
      <c r="H221" s="25" t="inlineStr">
        <is>
          <t>13/08/2025</t>
        </is>
      </c>
      <c r="I221" s="25" t="n"/>
      <c r="J221" s="25" t="inlineStr">
        <is>
          <t>LARISSA PADILHA</t>
        </is>
      </c>
      <c r="K221" s="25" t="inlineStr">
        <is>
          <t>Larissa Padilha</t>
        </is>
      </c>
      <c r="L221" s="25" t="n">
        <v>107</v>
      </c>
      <c r="M221" s="25" t="inlineStr">
        <is>
          <t>31/10/2025</t>
        </is>
      </c>
      <c r="N221" s="25" t="n">
        <v>2127.96</v>
      </c>
      <c r="O221" s="25" t="n"/>
      <c r="P221" s="25" t="n"/>
      <c r="Q221" s="25" t="n"/>
      <c r="R221" s="25" t="n"/>
      <c r="S221" s="25" t="n"/>
      <c r="T221" s="25" t="n"/>
      <c r="U221" s="25" t="n">
        <v>0</v>
      </c>
      <c r="V221" s="25" t="n">
        <v>0</v>
      </c>
      <c r="W221" s="25" t="n">
        <v>0</v>
      </c>
      <c r="X221" s="25" t="n">
        <v>0</v>
      </c>
      <c r="Y221" s="25" t="n">
        <v>0</v>
      </c>
      <c r="Z221" s="25" t="n">
        <v>0</v>
      </c>
      <c r="AA221" s="25" t="n">
        <v>0</v>
      </c>
      <c r="AB221" s="25" t="n">
        <v>2127.96</v>
      </c>
      <c r="AC221" s="25" t="n">
        <v>0</v>
      </c>
      <c r="AD221" s="25" t="n">
        <v>0</v>
      </c>
      <c r="AE221" s="25" t="n">
        <v>0</v>
      </c>
      <c r="AF221" s="25" t="n">
        <v>0</v>
      </c>
      <c r="AG221" s="25" t="n">
        <v>0</v>
      </c>
      <c r="AH221" s="25" t="n">
        <v>1</v>
      </c>
      <c r="AI221" s="25" t="inlineStr">
        <is>
          <t>B</t>
        </is>
      </c>
      <c r="AJ221" s="25" t="n">
        <v>1</v>
      </c>
      <c r="AK221" s="25" t="n">
        <v>2127.96</v>
      </c>
      <c r="AL221" s="26" t="n">
        <v>46065.42152777778</v>
      </c>
      <c r="AM221" s="26" t="n">
        <v>46065.42152777778</v>
      </c>
      <c r="AN221" s="25" t="inlineStr">
        <is>
          <t>WHATSAPP</t>
        </is>
      </c>
      <c r="AO221" s="25" t="inlineStr">
        <is>
          <t>SEM RESPOSTA</t>
        </is>
      </c>
      <c r="AP221" s="27">
        <f>IF(AH221="","",IF(AH221=0,"PROSPECT",IF(AH221=1,"NOVO",IF(AH221&lt;=3,"EM DESENVOLVIMENTO",IF(AH221&lt;=6,"RECORRENTE","FIDELIZADO")))))</f>
        <v/>
      </c>
      <c r="AQ221" s="27">
        <f>IF(AJ221=0,0,IFERROR(SUM(U221:AF221)/AJ221,0))</f>
        <v/>
      </c>
      <c r="AS221" s="0" t="inlineStr">
        <is>
          <t>Carteira FEV/26 + Atend FEV/26</t>
        </is>
      </c>
    </row>
    <row r="222" ht="14.25" customHeight="1" s="16">
      <c r="A222" s="25" t="inlineStr">
        <is>
          <t>BESCO</t>
        </is>
      </c>
      <c r="B222" s="25" t="inlineStr">
        <is>
          <t>14133092000192</t>
        </is>
      </c>
      <c r="C222" s="25" t="inlineStr">
        <is>
          <t>BESCO INDUSTRIAL DE ALIMENTOS LTDA</t>
        </is>
      </c>
      <c r="D222" s="25" t="inlineStr">
        <is>
          <t>SC</t>
        </is>
      </c>
      <c r="E222" s="25" t="inlineStr">
        <is>
          <t>RIO DO SUL</t>
        </is>
      </c>
      <c r="F222" s="25" t="inlineStr">
        <is>
          <t>comercial@besco.com.br</t>
        </is>
      </c>
      <c r="G222" s="25" t="inlineStr">
        <is>
          <t>+55 (47) 8861-6805</t>
        </is>
      </c>
      <c r="H222" s="25" t="inlineStr">
        <is>
          <t>08/10/2024</t>
        </is>
      </c>
      <c r="I222" s="25" t="n"/>
      <c r="J222" s="25" t="inlineStr">
        <is>
          <t>MANU DITZEL</t>
        </is>
      </c>
      <c r="K222" s="25" t="inlineStr">
        <is>
          <t>Manu Ditzel</t>
        </is>
      </c>
      <c r="L222" s="25" t="n">
        <v>230</v>
      </c>
      <c r="M222" s="25" t="inlineStr">
        <is>
          <t>30/06/2025</t>
        </is>
      </c>
      <c r="N222" s="25" t="n">
        <v>4509.1</v>
      </c>
      <c r="O222" s="25" t="n"/>
      <c r="P222" s="25" t="n"/>
      <c r="Q222" s="25" t="n"/>
      <c r="R222" s="25" t="n"/>
      <c r="S222" s="25" t="n"/>
      <c r="T222" s="25" t="n"/>
      <c r="U222" s="25" t="n">
        <v>0</v>
      </c>
      <c r="V222" s="25" t="n">
        <v>0</v>
      </c>
      <c r="W222" s="25" t="n">
        <v>8607.139999999999</v>
      </c>
      <c r="X222" s="25" t="n">
        <v>12740.35</v>
      </c>
      <c r="Y222" s="25" t="n">
        <v>0</v>
      </c>
      <c r="Z222" s="25" t="n">
        <v>0</v>
      </c>
      <c r="AA222" s="25" t="n">
        <v>0</v>
      </c>
      <c r="AB222" s="25" t="n">
        <v>0</v>
      </c>
      <c r="AC222" s="25" t="n">
        <v>0</v>
      </c>
      <c r="AD222" s="25" t="n">
        <v>0</v>
      </c>
      <c r="AE222" s="25" t="n">
        <v>0</v>
      </c>
      <c r="AF222" s="25" t="n">
        <v>0</v>
      </c>
      <c r="AG222" s="25" t="n">
        <v>11</v>
      </c>
      <c r="AH222" s="25" t="n">
        <v>6</v>
      </c>
      <c r="AI222" s="25" t="inlineStr">
        <is>
          <t>A</t>
        </is>
      </c>
      <c r="AJ222" s="25" t="n">
        <v>2</v>
      </c>
      <c r="AK222" s="25" t="n">
        <v>3557.92</v>
      </c>
      <c r="AL222" s="26" t="n">
        <v>45845.41461805555</v>
      </c>
      <c r="AM222" s="26" t="n">
        <v>45845.41461805555</v>
      </c>
      <c r="AN222" s="25" t="inlineStr">
        <is>
          <t>WHATSAPP</t>
        </is>
      </c>
      <c r="AO222" s="25" t="inlineStr">
        <is>
          <t>BESCO - JANAINA</t>
        </is>
      </c>
      <c r="AP222" s="27">
        <f>IF(AH222="","",IF(AH222=0,"PROSPECT",IF(AH222=1,"NOVO",IF(AH222&lt;=3,"EM DESENVOLVIMENTO",IF(AH222&lt;=6,"RECORRENTE","FIDELIZADO")))))</f>
        <v/>
      </c>
      <c r="AQ222" s="27">
        <f>IF(AJ222=0,0,IFERROR(SUM(U222:AF222)/AJ222,0))</f>
        <v/>
      </c>
      <c r="AS222" s="0" t="inlineStr">
        <is>
          <t>Carteira FEV/26</t>
        </is>
      </c>
    </row>
    <row r="223" ht="14.25" customHeight="1" s="16">
      <c r="A223" s="25" t="inlineStr">
        <is>
          <t>BEVILACQUA CEREAIS</t>
        </is>
      </c>
      <c r="B223" s="25" t="inlineStr">
        <is>
          <t>42535786000191</t>
        </is>
      </c>
      <c r="C223" s="25" t="inlineStr">
        <is>
          <t>BEVILACQUA CEREAIS LTDA</t>
        </is>
      </c>
      <c r="D223" s="25" t="inlineStr">
        <is>
          <t>MG</t>
        </is>
      </c>
      <c r="E223" s="25" t="inlineStr">
        <is>
          <t>VARGINHA</t>
        </is>
      </c>
      <c r="F223" s="25" t="inlineStr">
        <is>
          <t>fiscaljhdistribuidora@gmail.com</t>
        </is>
      </c>
      <c r="G223" s="25" t="inlineStr">
        <is>
          <t>+55 (31) 97543-0905</t>
        </is>
      </c>
      <c r="H223" s="25" t="inlineStr">
        <is>
          <t>08/10/2024</t>
        </is>
      </c>
      <c r="I223" s="25" t="n"/>
      <c r="J223" s="25" t="inlineStr">
        <is>
          <t>LARISSA PADILHA</t>
        </is>
      </c>
      <c r="K223" s="25" t="inlineStr">
        <is>
          <t>Helder Brunkow</t>
        </is>
      </c>
      <c r="L223" s="25" t="n">
        <v>187</v>
      </c>
      <c r="M223" s="25" t="inlineStr">
        <is>
          <t>12/08/2025</t>
        </is>
      </c>
      <c r="N223" s="25" t="n">
        <v>9180</v>
      </c>
      <c r="O223" s="25" t="n"/>
      <c r="P223" s="25" t="n"/>
      <c r="Q223" s="25" t="n"/>
      <c r="R223" s="25" t="n"/>
      <c r="S223" s="25" t="n"/>
      <c r="T223" s="25" t="n"/>
      <c r="U223" s="25" t="n">
        <v>0</v>
      </c>
      <c r="V223" s="25" t="n">
        <v>10984.56</v>
      </c>
      <c r="W223" s="25" t="n">
        <v>40838.05</v>
      </c>
      <c r="X223" s="25" t="n">
        <v>0</v>
      </c>
      <c r="Y223" s="25" t="n">
        <v>0</v>
      </c>
      <c r="Z223" s="25" t="n">
        <v>9180</v>
      </c>
      <c r="AA223" s="25" t="n">
        <v>0</v>
      </c>
      <c r="AB223" s="25" t="n">
        <v>0</v>
      </c>
      <c r="AC223" s="25" t="n">
        <v>0</v>
      </c>
      <c r="AD223" s="25" t="n">
        <v>0</v>
      </c>
      <c r="AE223" s="25" t="n">
        <v>0</v>
      </c>
      <c r="AF223" s="25" t="n">
        <v>0</v>
      </c>
      <c r="AG223" s="25" t="n">
        <v>63</v>
      </c>
      <c r="AH223" s="25" t="n">
        <v>3</v>
      </c>
      <c r="AI223" s="25" t="inlineStr">
        <is>
          <t>A</t>
        </is>
      </c>
      <c r="AJ223" s="25" t="n">
        <v>3</v>
      </c>
      <c r="AK223" s="25" t="n">
        <v>20334.2</v>
      </c>
      <c r="AL223" s="26" t="n">
        <v>46036.62569444445</v>
      </c>
      <c r="AM223" s="26" t="n">
        <v>46036.62569444445</v>
      </c>
      <c r="AN223" s="25" t="inlineStr">
        <is>
          <t>WHATSAPP</t>
        </is>
      </c>
      <c r="AO223" s="25" t="inlineStr">
        <is>
          <t>RECOMPRA | Nova abordagem - Linha Disney</t>
        </is>
      </c>
      <c r="AP223" s="27">
        <f>IF(AH223="","",IF(AH223=0,"PROSPECT",IF(AH223=1,"NOVO",IF(AH223&lt;=3,"EM DESENVOLVIMENTO",IF(AH223&lt;=6,"RECORRENTE","FIDELIZADO")))))</f>
        <v/>
      </c>
      <c r="AQ223" s="27">
        <f>IF(AJ223=0,0,IFERROR(SUM(U223:AF223)/AJ223,0))</f>
        <v/>
      </c>
      <c r="AS223" s="0" t="inlineStr">
        <is>
          <t>Carteira FEV/26</t>
        </is>
      </c>
    </row>
    <row r="224" ht="14.25" customHeight="1" s="16">
      <c r="A224" s="25" t="inlineStr">
        <is>
          <t>BIO FORCE NATURAIS E SUPLEMENTOS LTDA</t>
        </is>
      </c>
      <c r="B224" s="25" t="inlineStr">
        <is>
          <t>22853928000151</t>
        </is>
      </c>
      <c r="C224" s="25" t="inlineStr">
        <is>
          <t>BIO FORCE NATURAIS E SUPLEMENTOS LTDA</t>
        </is>
      </c>
      <c r="D224" s="25" t="inlineStr">
        <is>
          <t>RS</t>
        </is>
      </c>
      <c r="E224" s="25" t="inlineStr">
        <is>
          <t>São Sebastião do Caí</t>
        </is>
      </c>
      <c r="F224" s="25" t="inlineStr">
        <is>
          <t>comercial@bioforcenaturais.com</t>
        </is>
      </c>
      <c r="G224" s="25" t="inlineStr">
        <is>
          <t>+55 (51) 9904-4648</t>
        </is>
      </c>
      <c r="H224" s="25" t="inlineStr">
        <is>
          <t>08/10/2024</t>
        </is>
      </c>
      <c r="I224" s="25" t="n"/>
      <c r="J224" s="25" t="inlineStr">
        <is>
          <t>LARISSA PADILHA</t>
        </is>
      </c>
      <c r="K224" s="25" t="inlineStr">
        <is>
          <t>Larissa Padilha</t>
        </is>
      </c>
      <c r="L224" s="25" t="n">
        <v>307</v>
      </c>
      <c r="M224" s="25" t="inlineStr">
        <is>
          <t>14/04/2025</t>
        </is>
      </c>
      <c r="N224" s="25" t="n">
        <v>1950</v>
      </c>
      <c r="O224" s="25" t="n"/>
      <c r="P224" s="25" t="n"/>
      <c r="Q224" s="25" t="n"/>
      <c r="R224" s="25" t="n"/>
      <c r="S224" s="25" t="n"/>
      <c r="T224" s="25" t="n"/>
      <c r="U224" s="25" t="n">
        <v>0</v>
      </c>
      <c r="V224" s="25" t="n">
        <v>3390</v>
      </c>
      <c r="W224" s="25" t="n">
        <v>0</v>
      </c>
      <c r="X224" s="25" t="n">
        <v>0</v>
      </c>
      <c r="Y224" s="25" t="n">
        <v>0</v>
      </c>
      <c r="Z224" s="25" t="n">
        <v>0</v>
      </c>
      <c r="AA224" s="25" t="n">
        <v>0</v>
      </c>
      <c r="AB224" s="25" t="n">
        <v>0</v>
      </c>
      <c r="AC224" s="25" t="n">
        <v>0</v>
      </c>
      <c r="AD224" s="25" t="n">
        <v>0</v>
      </c>
      <c r="AE224" s="25" t="n">
        <v>0</v>
      </c>
      <c r="AF224" s="25" t="n">
        <v>0</v>
      </c>
      <c r="AG224" s="25" t="n">
        <v>13</v>
      </c>
      <c r="AH224" s="25" t="n">
        <v>2</v>
      </c>
      <c r="AI224" s="25" t="inlineStr">
        <is>
          <t>A</t>
        </is>
      </c>
      <c r="AJ224" s="25" t="n">
        <v>1</v>
      </c>
      <c r="AK224" s="25" t="n">
        <v>1695</v>
      </c>
      <c r="AL224" s="26" t="n">
        <v>46059.41266203704</v>
      </c>
      <c r="AM224" s="26" t="n">
        <v>46059.41266203704</v>
      </c>
      <c r="AN224" s="25" t="inlineStr">
        <is>
          <t>WHATSAPP</t>
        </is>
      </c>
      <c r="AO224" s="28" t="inlineStr">
        <is>
          <t>BIO FORCE - DENISE - RS</t>
        </is>
      </c>
      <c r="AP224" s="27">
        <f>IF(AH224="","",IF(AH224=0,"PROSPECT",IF(AH224=1,"NOVO",IF(AH224&lt;=3,"EM DESENVOLVIMENTO",IF(AH224&lt;=6,"RECORRENTE","FIDELIZADO")))))</f>
        <v/>
      </c>
      <c r="AQ224" s="27">
        <f>IF(AJ224=0,0,IFERROR(SUM(U224:AF224)/AJ224,0))</f>
        <v/>
      </c>
      <c r="AS224" s="0" t="inlineStr">
        <is>
          <t>Carteira FEV/26</t>
        </is>
      </c>
    </row>
    <row r="225" ht="14.25" customHeight="1" s="16">
      <c r="A225" s="25" t="inlineStr">
        <is>
          <t>BIO GOIANIA SHOPPING</t>
        </is>
      </c>
      <c r="B225" s="25" t="inlineStr">
        <is>
          <t>54126104000176</t>
        </is>
      </c>
      <c r="C225" s="25" t="inlineStr">
        <is>
          <t>BIO GOIANIA SHOPPING LTDA</t>
        </is>
      </c>
      <c r="D225" s="25" t="inlineStr">
        <is>
          <t>GO</t>
        </is>
      </c>
      <c r="E225" s="25" t="inlineStr">
        <is>
          <t>GOIANIA</t>
        </is>
      </c>
      <c r="F225" s="25" t="inlineStr">
        <is>
          <t>compras@biomundogyn.com.br</t>
        </is>
      </c>
      <c r="G225" s="25" t="inlineStr">
        <is>
          <t>+55 (62) 9208-8805</t>
        </is>
      </c>
      <c r="H225" s="25" t="inlineStr">
        <is>
          <t>08/10/2024</t>
        </is>
      </c>
      <c r="I225" s="25" t="inlineStr">
        <is>
          <t>[Rede] Bio Mundo</t>
        </is>
      </c>
      <c r="J225" s="25" t="inlineStr">
        <is>
          <t>LARISSA PADILHA</t>
        </is>
      </c>
      <c r="K225" s="25" t="inlineStr">
        <is>
          <t>Helder Brunkow</t>
        </is>
      </c>
      <c r="L225" s="25" t="n">
        <v>299</v>
      </c>
      <c r="M225" s="25" t="inlineStr">
        <is>
          <t>22/04/2025</t>
        </is>
      </c>
      <c r="N225" s="25" t="n">
        <v>1469.11</v>
      </c>
      <c r="O225" s="25" t="n">
        <v>3</v>
      </c>
      <c r="P225" s="25" t="inlineStr">
        <is>
          <t>Sim</t>
        </is>
      </c>
      <c r="Q225" s="25" t="n">
        <v>38</v>
      </c>
      <c r="R225" s="25" t="n">
        <v>29</v>
      </c>
      <c r="S225" s="25" t="n">
        <v>1552.11</v>
      </c>
      <c r="T225" s="25" t="inlineStr">
        <is>
          <t>COMPRA B2B</t>
        </is>
      </c>
      <c r="U225" s="25" t="n">
        <v>0</v>
      </c>
      <c r="V225" s="25" t="n">
        <v>3021.22</v>
      </c>
      <c r="W225" s="25" t="n">
        <v>0</v>
      </c>
      <c r="X225" s="25" t="n">
        <v>0</v>
      </c>
      <c r="Y225" s="25" t="n">
        <v>0</v>
      </c>
      <c r="Z225" s="25" t="n">
        <v>0</v>
      </c>
      <c r="AA225" s="25" t="n">
        <v>0</v>
      </c>
      <c r="AB225" s="25" t="n">
        <v>0</v>
      </c>
      <c r="AC225" s="25" t="n">
        <v>0</v>
      </c>
      <c r="AD225" s="25" t="n">
        <v>0</v>
      </c>
      <c r="AE225" s="25" t="n">
        <v>0</v>
      </c>
      <c r="AF225" s="25" t="n">
        <v>0</v>
      </c>
      <c r="AG225" s="25" t="n">
        <v>5</v>
      </c>
      <c r="AH225" s="25" t="n">
        <v>2</v>
      </c>
      <c r="AI225" s="25" t="inlineStr">
        <is>
          <t>A</t>
        </is>
      </c>
      <c r="AJ225" s="25" t="n">
        <v>1</v>
      </c>
      <c r="AK225" s="25" t="n">
        <v>1510.61</v>
      </c>
      <c r="AL225" s="26" t="n">
        <v>46057.64097222222</v>
      </c>
      <c r="AM225" s="26" t="n">
        <v>46057.64097222222</v>
      </c>
      <c r="AN225" s="25" t="inlineStr">
        <is>
          <t>LIGAÇÃO</t>
        </is>
      </c>
      <c r="AO225" s="25" t="inlineStr">
        <is>
          <t>CHAMEI DO MEU PESSOAL, ESTAVA ME RESPONDENDO</t>
        </is>
      </c>
      <c r="AP225" s="27">
        <f>IF(AH225="","",IF(AH225=0,"PROSPECT",IF(AH225=1,"NOVO",IF(AH225&lt;=3,"EM DESENVOLVIMENTO",IF(AH225&lt;=6,"RECORRENTE","FIDELIZADO")))))</f>
        <v/>
      </c>
      <c r="AQ225" s="27">
        <f>IF(AJ225=0,0,IFERROR(SUM(U225:AF225)/AJ225,0))</f>
        <v/>
      </c>
      <c r="AS225" s="0" t="inlineStr">
        <is>
          <t>Carteira FEV/26 + Atend FEV/26</t>
        </is>
      </c>
    </row>
    <row r="226" ht="14.25" customHeight="1" s="16">
      <c r="A226" s="25" t="inlineStr">
        <is>
          <t>BIO MUNDO</t>
        </is>
      </c>
      <c r="B226" s="25" t="inlineStr">
        <is>
          <t>33016679000166</t>
        </is>
      </c>
      <c r="C226" s="25" t="inlineStr">
        <is>
          <t>BIO FLAMBOYANT LTDA</t>
        </is>
      </c>
      <c r="D226" s="25" t="inlineStr">
        <is>
          <t>GO</t>
        </is>
      </c>
      <c r="E226" s="25" t="inlineStr">
        <is>
          <t>GOIANIA</t>
        </is>
      </c>
      <c r="F226" s="25" t="inlineStr">
        <is>
          <t>compras@biomundogyn.com.br</t>
        </is>
      </c>
      <c r="G226" s="25" t="inlineStr">
        <is>
          <t>+55 (62) 9208-8805</t>
        </is>
      </c>
      <c r="H226" s="25" t="inlineStr">
        <is>
          <t>08/04/2025</t>
        </is>
      </c>
      <c r="I226" s="25" t="n"/>
      <c r="J226" s="25" t="inlineStr">
        <is>
          <t>Helder Brunkow</t>
        </is>
      </c>
      <c r="K226" s="25" t="inlineStr">
        <is>
          <t>Helder Brunkow</t>
        </is>
      </c>
      <c r="L226" s="25" t="n">
        <v>296</v>
      </c>
      <c r="M226" s="25" t="inlineStr">
        <is>
          <t>25/04/2025</t>
        </is>
      </c>
      <c r="N226" s="25" t="n">
        <v>1526</v>
      </c>
      <c r="O226" s="25" t="n">
        <v>2</v>
      </c>
      <c r="P226" s="25" t="inlineStr">
        <is>
          <t>Sim</t>
        </is>
      </c>
      <c r="Q226" s="25" t="n">
        <v>45</v>
      </c>
      <c r="R226" s="25" t="n">
        <v>25</v>
      </c>
      <c r="S226" s="25" t="n">
        <v>1526</v>
      </c>
      <c r="T226" s="25" t="inlineStr">
        <is>
          <t>COMPRA B2B</t>
        </is>
      </c>
      <c r="U226" s="25" t="n">
        <v>0</v>
      </c>
      <c r="V226" s="25" t="n">
        <v>0</v>
      </c>
      <c r="W226" s="25" t="n">
        <v>0</v>
      </c>
      <c r="X226" s="25" t="n">
        <v>0</v>
      </c>
      <c r="Y226" s="25" t="n">
        <v>0</v>
      </c>
      <c r="Z226" s="25" t="n">
        <v>0</v>
      </c>
      <c r="AA226" s="25" t="n">
        <v>0</v>
      </c>
      <c r="AB226" s="25" t="n">
        <v>0</v>
      </c>
      <c r="AC226" s="25" t="n">
        <v>0</v>
      </c>
      <c r="AD226" s="25" t="n">
        <v>0</v>
      </c>
      <c r="AE226" s="25" t="n">
        <v>0</v>
      </c>
      <c r="AF226" s="25" t="n">
        <v>0</v>
      </c>
      <c r="AG226" s="25" t="n">
        <v>0</v>
      </c>
      <c r="AH226" s="25" t="n">
        <v>0</v>
      </c>
      <c r="AI226" s="25" t="inlineStr">
        <is>
          <t>B</t>
        </is>
      </c>
      <c r="AJ226" s="25" t="n">
        <v>0</v>
      </c>
      <c r="AK226" s="25" t="n">
        <v>0</v>
      </c>
      <c r="AL226" s="26" t="n">
        <v>46002.39444444444</v>
      </c>
      <c r="AM226" s="26" t="n">
        <v>46002.39444444444</v>
      </c>
      <c r="AN226" s="25" t="inlineStr">
        <is>
          <t>WHATSAPP</t>
        </is>
      </c>
      <c r="AO226" s="25" t="inlineStr">
        <is>
          <t>NUTRIÇÃO | Mensagem de final do ano</t>
        </is>
      </c>
      <c r="AP226" s="27">
        <f>IF(AH226="","",IF(AH226=0,"PROSPECT",IF(AH226=1,"NOVO",IF(AH226&lt;=3,"EM DESENVOLVIMENTO",IF(AH226&lt;=6,"RECORRENTE","FIDELIZADO")))))</f>
        <v/>
      </c>
      <c r="AQ226" s="27">
        <f>IF(AJ226=0,0,IFERROR(SUM(U226:AF226)/AJ226,0))</f>
        <v/>
      </c>
      <c r="AS226" s="0" t="inlineStr">
        <is>
          <t>Carteira FEV/26</t>
        </is>
      </c>
    </row>
    <row r="227" ht="14.25" customHeight="1" s="16">
      <c r="A227" s="25" t="inlineStr">
        <is>
          <t>BIO MUNDO</t>
        </is>
      </c>
      <c r="B227" s="25" t="inlineStr">
        <is>
          <t>40724765000199</t>
        </is>
      </c>
      <c r="C227" s="25" t="inlineStr">
        <is>
          <t>BIO BUENO LTDA</t>
        </is>
      </c>
      <c r="D227" s="25" t="inlineStr">
        <is>
          <t>GO</t>
        </is>
      </c>
      <c r="E227" s="25" t="inlineStr">
        <is>
          <t>GOIANIA</t>
        </is>
      </c>
      <c r="F227" s="25" t="inlineStr">
        <is>
          <t>compras@biomundogyn.com.br</t>
        </is>
      </c>
      <c r="G227" s="25" t="inlineStr">
        <is>
          <t>+55 (62) 9208-8805</t>
        </is>
      </c>
      <c r="H227" s="25" t="inlineStr">
        <is>
          <t>08/10/2024</t>
        </is>
      </c>
      <c r="I227" s="25" t="inlineStr">
        <is>
          <t>BIO MUNDO</t>
        </is>
      </c>
      <c r="J227" s="25" t="inlineStr">
        <is>
          <t>Helder Brunkow</t>
        </is>
      </c>
      <c r="K227" s="25" t="inlineStr">
        <is>
          <t>Helder Brunkow</t>
        </is>
      </c>
      <c r="L227" s="25" t="n">
        <v>304</v>
      </c>
      <c r="M227" s="25" t="inlineStr">
        <is>
          <t>17/04/2025</t>
        </is>
      </c>
      <c r="N227" s="25" t="n">
        <v>1090.05</v>
      </c>
      <c r="O227" s="25" t="n">
        <v>4</v>
      </c>
      <c r="P227" s="25" t="inlineStr">
        <is>
          <t>Sim</t>
        </is>
      </c>
      <c r="Q227" s="25" t="n">
        <v>31</v>
      </c>
      <c r="R227" s="25" t="n">
        <v>23</v>
      </c>
      <c r="S227" s="25" t="n">
        <v>1090.05</v>
      </c>
      <c r="T227" s="25" t="inlineStr">
        <is>
          <t>COMPRA B2B</t>
        </is>
      </c>
      <c r="U227" s="25" t="n">
        <v>0</v>
      </c>
      <c r="V227" s="25" t="n">
        <v>0</v>
      </c>
      <c r="W227" s="25" t="n">
        <v>0</v>
      </c>
      <c r="X227" s="25" t="n">
        <v>0</v>
      </c>
      <c r="Y227" s="25" t="n">
        <v>0</v>
      </c>
      <c r="Z227" s="25" t="n">
        <v>0</v>
      </c>
      <c r="AA227" s="25" t="n">
        <v>0</v>
      </c>
      <c r="AB227" s="25" t="n">
        <v>0</v>
      </c>
      <c r="AC227" s="25" t="n">
        <v>0</v>
      </c>
      <c r="AD227" s="25" t="n">
        <v>0</v>
      </c>
      <c r="AE227" s="25" t="n">
        <v>0</v>
      </c>
      <c r="AF227" s="25" t="n">
        <v>0</v>
      </c>
      <c r="AG227" s="25" t="n">
        <v>0</v>
      </c>
      <c r="AH227" s="25" t="n">
        <v>0</v>
      </c>
      <c r="AI227" s="25" t="inlineStr">
        <is>
          <t>C</t>
        </is>
      </c>
      <c r="AJ227" s="25" t="n">
        <v>0</v>
      </c>
      <c r="AK227" s="25" t="n">
        <v>0</v>
      </c>
      <c r="AL227" s="26" t="n">
        <v>46057.63680555556</v>
      </c>
      <c r="AM227" s="26" t="n">
        <v>46057.63680555556</v>
      </c>
      <c r="AN227" s="25" t="inlineStr">
        <is>
          <t>LIGAÇÃO</t>
        </is>
      </c>
      <c r="AO227" s="25" t="inlineStr">
        <is>
          <t>NUNCA ATENDE E NUNCA RESPONDE</t>
        </is>
      </c>
      <c r="AP227" s="27">
        <f>IF(AH227="","",IF(AH227=0,"PROSPECT",IF(AH227=1,"NOVO",IF(AH227&lt;=3,"EM DESENVOLVIMENTO",IF(AH227&lt;=6,"RECORRENTE","FIDELIZADO")))))</f>
        <v/>
      </c>
      <c r="AQ227" s="27">
        <f>IF(AJ227=0,0,IFERROR(SUM(U227:AF227)/AJ227,0))</f>
        <v/>
      </c>
      <c r="AS227" s="0" t="inlineStr">
        <is>
          <t>Carteira FEV/26 + Atend FEV/26</t>
        </is>
      </c>
    </row>
    <row r="228" ht="14.25" customHeight="1" s="16">
      <c r="A228" s="25" t="inlineStr">
        <is>
          <t>BIO MUNDO ARAGUAINA</t>
        </is>
      </c>
      <c r="B228" s="25" t="inlineStr">
        <is>
          <t>50860678000112</t>
        </is>
      </c>
      <c r="C228" s="25" t="inlineStr">
        <is>
          <t>BIOMUNDO ARAGUAINA LTDA</t>
        </is>
      </c>
      <c r="D228" s="25" t="inlineStr">
        <is>
          <t>TO</t>
        </is>
      </c>
      <c r="E228" s="25" t="inlineStr">
        <is>
          <t>ARAGUAINA</t>
        </is>
      </c>
      <c r="F228" s="25" t="inlineStr">
        <is>
          <t>to.araguaina@biomundo.com.br</t>
        </is>
      </c>
      <c r="G228" s="25" t="inlineStr">
        <is>
          <t>+55 (62) 9651-0113</t>
        </is>
      </c>
      <c r="H228" s="25" t="inlineStr">
        <is>
          <t>08/05/2025</t>
        </is>
      </c>
      <c r="I228" s="25" t="inlineStr">
        <is>
          <t>[Rede] Bio Mundo</t>
        </is>
      </c>
      <c r="J228" s="25" t="inlineStr">
        <is>
          <t>LARISSA PADILHA</t>
        </is>
      </c>
      <c r="K228" s="25" t="inlineStr">
        <is>
          <t>Helder Brunkow</t>
        </is>
      </c>
      <c r="L228" s="25" t="n">
        <v>283</v>
      </c>
      <c r="M228" s="25" t="inlineStr">
        <is>
          <t>08/05/2025</t>
        </is>
      </c>
      <c r="N228" s="25" t="n">
        <v>2355.61</v>
      </c>
      <c r="O228" s="25" t="n">
        <v>1</v>
      </c>
      <c r="P228" s="25" t="inlineStr">
        <is>
          <t>Sim</t>
        </is>
      </c>
      <c r="Q228" s="25" t="n">
        <v>34</v>
      </c>
      <c r="R228" s="25" t="n">
        <v>13</v>
      </c>
      <c r="S228" s="25" t="n">
        <v>2355.61</v>
      </c>
      <c r="T228" s="25" t="inlineStr">
        <is>
          <t>COMPRA B2B</t>
        </is>
      </c>
      <c r="U228" s="25" t="n">
        <v>0</v>
      </c>
      <c r="V228" s="25" t="n">
        <v>0</v>
      </c>
      <c r="W228" s="25" t="n">
        <v>2355.61</v>
      </c>
      <c r="X228" s="25" t="n">
        <v>0</v>
      </c>
      <c r="Y228" s="25" t="n">
        <v>0</v>
      </c>
      <c r="Z228" s="25" t="n">
        <v>0</v>
      </c>
      <c r="AA228" s="25" t="n">
        <v>0</v>
      </c>
      <c r="AB228" s="25" t="n">
        <v>0</v>
      </c>
      <c r="AC228" s="25" t="n">
        <v>0</v>
      </c>
      <c r="AD228" s="25" t="n">
        <v>0</v>
      </c>
      <c r="AE228" s="25" t="n">
        <v>0</v>
      </c>
      <c r="AF228" s="25" t="n">
        <v>0</v>
      </c>
      <c r="AG228" s="25" t="n">
        <v>0</v>
      </c>
      <c r="AH228" s="25" t="n">
        <v>1</v>
      </c>
      <c r="AI228" s="25" t="inlineStr">
        <is>
          <t>B</t>
        </is>
      </c>
      <c r="AJ228" s="25" t="n">
        <v>1</v>
      </c>
      <c r="AK228" s="25" t="n">
        <v>2355.61</v>
      </c>
      <c r="AL228" s="26" t="n">
        <v>46066.71875</v>
      </c>
      <c r="AM228" s="26" t="n">
        <v>46066.71875</v>
      </c>
      <c r="AN228" s="25" t="inlineStr">
        <is>
          <t>LIGAÇÃO</t>
        </is>
      </c>
      <c r="AO228" s="25" t="inlineStr">
        <is>
          <t>lg não atendeu, mandei msg perguntando</t>
        </is>
      </c>
      <c r="AP228" s="27">
        <f>IF(AH228="","",IF(AH228=0,"PROSPECT",IF(AH228=1,"NOVO",IF(AH228&lt;=3,"EM DESENVOLVIMENTO",IF(AH228&lt;=6,"RECORRENTE","FIDELIZADO")))))</f>
        <v/>
      </c>
      <c r="AQ228" s="27">
        <f>IF(AJ228=0,0,IFERROR(SUM(U228:AF228)/AJ228,0))</f>
        <v/>
      </c>
      <c r="AR228" s="15" t="inlineStr">
        <is>
          <t>⚠️ DDD(62)=GO≠TO</t>
        </is>
      </c>
      <c r="AS228" s="0" t="inlineStr">
        <is>
          <t>Carteira FEV/26 + Atend FEV/26</t>
        </is>
      </c>
    </row>
    <row r="229" ht="14.25" customHeight="1" s="16">
      <c r="A229" s="25" t="inlineStr">
        <is>
          <t>BIO MUNDO GURUPI</t>
        </is>
      </c>
      <c r="B229" s="25" t="inlineStr">
        <is>
          <t>55861609000147</t>
        </is>
      </c>
      <c r="C229" s="25" t="inlineStr">
        <is>
          <t>L N G PRODUTOS NATURAIS LTDA</t>
        </is>
      </c>
      <c r="D229" s="25" t="inlineStr">
        <is>
          <t>TO</t>
        </is>
      </c>
      <c r="E229" s="25" t="inlineStr">
        <is>
          <t>GURUPI</t>
        </is>
      </c>
      <c r="F229" s="25" t="inlineStr">
        <is>
          <t>BIOMUNDOGURUPI@GMAIL.COM,pedidos@biomundogurupi.com.br</t>
        </is>
      </c>
      <c r="G229" s="25" t="inlineStr">
        <is>
          <t>+55 (61) 8129-2671 | +55 (61) 8411-6990 (ISA BIO MUNDO)</t>
        </is>
      </c>
      <c r="H229" s="25" t="inlineStr">
        <is>
          <t>23/07/2025</t>
        </is>
      </c>
      <c r="I229" s="25" t="inlineStr">
        <is>
          <t>[Rede] Bio Mundo</t>
        </is>
      </c>
      <c r="J229" s="25" t="inlineStr">
        <is>
          <t>DAIANE STAVICKI</t>
        </is>
      </c>
      <c r="K229" s="25" t="inlineStr">
        <is>
          <t>Central - Daiane</t>
        </is>
      </c>
      <c r="L229" s="25" t="n">
        <v>164</v>
      </c>
      <c r="M229" s="25" t="inlineStr">
        <is>
          <t>04/09/2025</t>
        </is>
      </c>
      <c r="N229" s="25" t="n">
        <v>675.96</v>
      </c>
      <c r="O229" s="25" t="n">
        <v>6</v>
      </c>
      <c r="P229" s="25" t="inlineStr">
        <is>
          <t>Sim</t>
        </is>
      </c>
      <c r="Q229" s="25" t="n">
        <v>86</v>
      </c>
      <c r="R229" s="25" t="n">
        <v>22</v>
      </c>
      <c r="S229" s="25" t="n">
        <v>675.96</v>
      </c>
      <c r="T229" s="25" t="inlineStr">
        <is>
          <t>COMPRA B2B</t>
        </is>
      </c>
      <c r="U229" s="25" t="n">
        <v>0</v>
      </c>
      <c r="V229" s="25" t="n">
        <v>0</v>
      </c>
      <c r="W229" s="25" t="n">
        <v>0</v>
      </c>
      <c r="X229" s="25" t="n">
        <v>0</v>
      </c>
      <c r="Y229" s="25" t="n">
        <v>0</v>
      </c>
      <c r="Z229" s="25" t="n">
        <v>0</v>
      </c>
      <c r="AA229" s="25" t="n">
        <v>675.96</v>
      </c>
      <c r="AB229" s="25" t="n">
        <v>0</v>
      </c>
      <c r="AC229" s="25" t="n">
        <v>0</v>
      </c>
      <c r="AD229" s="25" t="n">
        <v>0</v>
      </c>
      <c r="AE229" s="25" t="n">
        <v>0</v>
      </c>
      <c r="AF229" s="25" t="n">
        <v>0</v>
      </c>
      <c r="AG229" s="25" t="n">
        <v>0</v>
      </c>
      <c r="AH229" s="25" t="n">
        <v>1</v>
      </c>
      <c r="AI229" s="25" t="inlineStr">
        <is>
          <t>C</t>
        </is>
      </c>
      <c r="AJ229" s="25" t="n">
        <v>1</v>
      </c>
      <c r="AK229" s="25" t="n">
        <v>675.96</v>
      </c>
      <c r="AL229" s="26" t="n">
        <v>46057.72258101852</v>
      </c>
      <c r="AM229" s="26" t="n">
        <v>46057.72258101852</v>
      </c>
      <c r="AN229" s="25" t="inlineStr">
        <is>
          <t>WHATSAPP</t>
        </is>
      </c>
      <c r="AO229" s="25" t="inlineStr">
        <is>
          <t>ISA BIO MUNDO GURUPI</t>
        </is>
      </c>
      <c r="AP229" s="27">
        <f>IF(AH229="","",IF(AH229=0,"PROSPECT",IF(AH229=1,"NOVO",IF(AH229&lt;=3,"EM DESENVOLVIMENTO",IF(AH229&lt;=6,"RECORRENTE","FIDELIZADO")))))</f>
        <v/>
      </c>
      <c r="AQ229" s="27">
        <f>IF(AJ229=0,0,IFERROR(SUM(U229:AF229)/AJ229,0))</f>
        <v/>
      </c>
      <c r="AR229" s="15" t="inlineStr">
        <is>
          <t>⚠️ DDD(61)=DF≠TO ⚠️ DDD(61)=DF≠TO</t>
        </is>
      </c>
      <c r="AS229" s="0" t="inlineStr">
        <is>
          <t>Carteira FEV/26 + Atend FEV/26</t>
        </is>
      </c>
    </row>
    <row r="230" ht="14.25" customHeight="1" s="16">
      <c r="A230" s="25" t="inlineStr">
        <is>
          <t>BIO SC COMERCIO DE ALIMENTOS</t>
        </is>
      </c>
      <c r="B230" s="25" t="inlineStr">
        <is>
          <t>46945954000178</t>
        </is>
      </c>
      <c r="C230" s="25" t="inlineStr">
        <is>
          <t>BIO SC COMERCIO DE ALIMENTOS LTDA</t>
        </is>
      </c>
      <c r="D230" s="25" t="inlineStr">
        <is>
          <t>SC</t>
        </is>
      </c>
      <c r="E230" s="25" t="inlineStr">
        <is>
          <t>FLORIANOPOLIS</t>
        </is>
      </c>
      <c r="F230" s="25" t="inlineStr">
        <is>
          <t>biosc.gerencial@gmail.com</t>
        </is>
      </c>
      <c r="G230" s="25" t="inlineStr">
        <is>
          <t>+55 (48) 3380-4868</t>
        </is>
      </c>
      <c r="H230" s="25" t="inlineStr">
        <is>
          <t>08/10/2024</t>
        </is>
      </c>
      <c r="I230" s="25" t="inlineStr">
        <is>
          <t>[Rede] Bio Mundo</t>
        </is>
      </c>
      <c r="J230" s="25" t="inlineStr">
        <is>
          <t>DAIANE STAVICKI</t>
        </is>
      </c>
      <c r="K230" s="25" t="inlineStr">
        <is>
          <t>Central - Daiane</t>
        </is>
      </c>
      <c r="L230" s="25" t="n">
        <v>115</v>
      </c>
      <c r="M230" s="25" t="inlineStr">
        <is>
          <t>23/10/2025</t>
        </is>
      </c>
      <c r="N230" s="25" t="n">
        <v>2664.61</v>
      </c>
      <c r="O230" s="25" t="n"/>
      <c r="P230" s="25" t="n"/>
      <c r="Q230" s="25" t="n"/>
      <c r="R230" s="25" t="n"/>
      <c r="S230" s="25" t="n"/>
      <c r="T230" s="25" t="n"/>
      <c r="U230" s="25" t="n">
        <v>0</v>
      </c>
      <c r="V230" s="25" t="n">
        <v>1514.31</v>
      </c>
      <c r="W230" s="25" t="n">
        <v>0</v>
      </c>
      <c r="X230" s="25" t="n">
        <v>1273.09</v>
      </c>
      <c r="Y230" s="25" t="n">
        <v>0</v>
      </c>
      <c r="Z230" s="25" t="n">
        <v>1377.68</v>
      </c>
      <c r="AA230" s="25" t="n">
        <v>0</v>
      </c>
      <c r="AB230" s="25" t="n">
        <v>2664.61</v>
      </c>
      <c r="AC230" s="25" t="n">
        <v>0</v>
      </c>
      <c r="AD230" s="25" t="n">
        <v>0</v>
      </c>
      <c r="AE230" s="25" t="n">
        <v>0</v>
      </c>
      <c r="AF230" s="25" t="n">
        <v>0</v>
      </c>
      <c r="AG230" s="25" t="n">
        <v>60.6667</v>
      </c>
      <c r="AH230" s="25" t="n">
        <v>4</v>
      </c>
      <c r="AI230" s="25" t="inlineStr">
        <is>
          <t>A</t>
        </is>
      </c>
      <c r="AJ230" s="25" t="n">
        <v>4</v>
      </c>
      <c r="AK230" s="25" t="n">
        <v>1707.42</v>
      </c>
      <c r="AL230" s="26" t="n">
        <v>46048.56769675926</v>
      </c>
      <c r="AM230" s="26" t="n">
        <v>46048.56769675926</v>
      </c>
      <c r="AN230" s="25" t="inlineStr">
        <is>
          <t>WHATSAPP</t>
        </is>
      </c>
      <c r="AO230" s="25" t="inlineStr">
        <is>
          <t>BIO SC - RONNY - SC</t>
        </is>
      </c>
      <c r="AP230" s="27">
        <f>IF(AH230="","",IF(AH230=0,"PROSPECT",IF(AH230=1,"NOVO",IF(AH230&lt;=3,"EM DESENVOLVIMENTO",IF(AH230&lt;=6,"RECORRENTE","FIDELIZADO")))))</f>
        <v/>
      </c>
      <c r="AQ230" s="27">
        <f>IF(AJ230=0,0,IFERROR(SUM(U230:AF230)/AJ230,0))</f>
        <v/>
      </c>
      <c r="AS230" s="0" t="inlineStr">
        <is>
          <t>Carteira FEV/26</t>
        </is>
      </c>
    </row>
    <row r="231" ht="14.25" customHeight="1" s="16">
      <c r="A231" s="25" t="inlineStr">
        <is>
          <t>BISTROZINHO INFANTIL</t>
        </is>
      </c>
      <c r="B231" s="25" t="inlineStr">
        <is>
          <t>52575072000160</t>
        </is>
      </c>
      <c r="C231" s="25" t="inlineStr">
        <is>
          <t>52.575.072 ANA LETICIA PIRES PISTORI</t>
        </is>
      </c>
      <c r="D231" s="25" t="inlineStr">
        <is>
          <t>SP</t>
        </is>
      </c>
      <c r="E231" s="25" t="inlineStr">
        <is>
          <t>ARACATUBA</t>
        </is>
      </c>
      <c r="F231" s="25" t="inlineStr">
        <is>
          <t>PIRESANALETICIA@OUTLOOK.COM</t>
        </is>
      </c>
      <c r="G231" s="25" t="inlineStr">
        <is>
          <t>+55 (18) 99782-0497</t>
        </is>
      </c>
      <c r="H231" s="25" t="inlineStr">
        <is>
          <t>21/08/2025</t>
        </is>
      </c>
      <c r="I231" s="25" t="n"/>
      <c r="J231" s="25" t="inlineStr">
        <is>
          <t>MANU DITZEL</t>
        </is>
      </c>
      <c r="K231" s="25" t="inlineStr">
        <is>
          <t>Manu Ditzel</t>
        </is>
      </c>
      <c r="L231" s="25" t="n">
        <v>174</v>
      </c>
      <c r="M231" s="25" t="inlineStr">
        <is>
          <t>25/08/2025</t>
        </is>
      </c>
      <c r="N231" s="25" t="n">
        <v>658.02</v>
      </c>
      <c r="O231" s="25" t="n">
        <v>2</v>
      </c>
      <c r="P231" s="25" t="inlineStr">
        <is>
          <t>Sim</t>
        </is>
      </c>
      <c r="Q231" s="25" t="n">
        <v>49</v>
      </c>
      <c r="R231" s="25" t="n">
        <v>15</v>
      </c>
      <c r="S231" s="25" t="n"/>
      <c r="T231" s="25" t="n"/>
      <c r="U231" s="25" t="n">
        <v>0</v>
      </c>
      <c r="V231" s="25" t="n">
        <v>0</v>
      </c>
      <c r="W231" s="25" t="n">
        <v>0</v>
      </c>
      <c r="X231" s="25" t="n">
        <v>0</v>
      </c>
      <c r="Y231" s="25" t="n">
        <v>0</v>
      </c>
      <c r="Z231" s="25" t="n">
        <v>658.02</v>
      </c>
      <c r="AA231" s="25" t="n">
        <v>0</v>
      </c>
      <c r="AB231" s="25" t="n">
        <v>0</v>
      </c>
      <c r="AC231" s="25" t="n">
        <v>0</v>
      </c>
      <c r="AD231" s="25" t="n">
        <v>0</v>
      </c>
      <c r="AE231" s="25" t="n">
        <v>0</v>
      </c>
      <c r="AF231" s="25" t="n">
        <v>0</v>
      </c>
      <c r="AG231" s="25" t="n">
        <v>0</v>
      </c>
      <c r="AH231" s="25" t="n">
        <v>1</v>
      </c>
      <c r="AI231" s="25" t="inlineStr">
        <is>
          <t>C</t>
        </is>
      </c>
      <c r="AJ231" s="25" t="n">
        <v>1</v>
      </c>
      <c r="AK231" s="25" t="n">
        <v>658.02</v>
      </c>
      <c r="AL231" s="26" t="n">
        <v>46065.48819444444</v>
      </c>
      <c r="AM231" s="26" t="n">
        <v>46065.48819444444</v>
      </c>
      <c r="AN231" s="25" t="inlineStr">
        <is>
          <t>WHATSAPP</t>
        </is>
      </c>
      <c r="AO231" s="25" t="inlineStr">
        <is>
          <t>NUTRIÇÃO | Envio da campanha do mês</t>
        </is>
      </c>
      <c r="AP231" s="27">
        <f>IF(AH231="","",IF(AH231=0,"PROSPECT",IF(AH231=1,"NOVO",IF(AH231&lt;=3,"EM DESENVOLVIMENTO",IF(AH231&lt;=6,"RECORRENTE","FIDELIZADO")))))</f>
        <v/>
      </c>
      <c r="AQ231" s="27">
        <f>IF(AJ231=0,0,IFERROR(SUM(U231:AF231)/AJ231,0))</f>
        <v/>
      </c>
      <c r="AS231" s="0" t="inlineStr">
        <is>
          <t>Carteira FEV/26 + Atend FEV/26</t>
        </is>
      </c>
    </row>
    <row r="232" ht="14.25" customHeight="1" s="16">
      <c r="A232" s="25" t="inlineStr">
        <is>
          <t>BORGER &amp; DOMINGUES LTDA</t>
        </is>
      </c>
      <c r="B232" s="25" t="inlineStr">
        <is>
          <t>53454684000168</t>
        </is>
      </c>
      <c r="C232" s="25" t="inlineStr">
        <is>
          <t>BORGER &amp; DOMINGUES LTDA</t>
        </is>
      </c>
      <c r="D232" s="25" t="inlineStr">
        <is>
          <t>PR</t>
        </is>
      </c>
      <c r="E232" s="25" t="inlineStr">
        <is>
          <t>CURITIBA</t>
        </is>
      </c>
      <c r="F232" s="25" t="inlineStr">
        <is>
          <t>laricrisdom@yaho..com.br</t>
        </is>
      </c>
      <c r="G232" s="25" t="inlineStr">
        <is>
          <t>+55 (41) 99808-2336</t>
        </is>
      </c>
      <c r="H232" s="25" t="inlineStr">
        <is>
          <t>16/04/2025</t>
        </is>
      </c>
      <c r="I232" s="25" t="n"/>
      <c r="J232" s="25" t="inlineStr">
        <is>
          <t>JULIO GADRET</t>
        </is>
      </c>
      <c r="K232" s="25" t="inlineStr">
        <is>
          <t>Julio Gadret</t>
        </is>
      </c>
      <c r="L232" s="25" t="n">
        <v>289</v>
      </c>
      <c r="M232" s="25" t="inlineStr">
        <is>
          <t>02/05/2025</t>
        </is>
      </c>
      <c r="N232" s="25" t="n">
        <v>990.28</v>
      </c>
      <c r="O232" s="25" t="n"/>
      <c r="P232" s="25" t="n"/>
      <c r="Q232" s="25" t="n"/>
      <c r="R232" s="25" t="n"/>
      <c r="S232" s="25" t="n"/>
      <c r="T232" s="25" t="n"/>
      <c r="U232" s="25" t="n">
        <v>0</v>
      </c>
      <c r="V232" s="25" t="n">
        <v>0</v>
      </c>
      <c r="W232" s="25" t="n">
        <v>990.28</v>
      </c>
      <c r="X232" s="25" t="n">
        <v>0</v>
      </c>
      <c r="Y232" s="25" t="n">
        <v>0</v>
      </c>
      <c r="Z232" s="25" t="n">
        <v>0</v>
      </c>
      <c r="AA232" s="25" t="n">
        <v>0</v>
      </c>
      <c r="AB232" s="25" t="n">
        <v>0</v>
      </c>
      <c r="AC232" s="25" t="n">
        <v>0</v>
      </c>
      <c r="AD232" s="25" t="n">
        <v>0</v>
      </c>
      <c r="AE232" s="25" t="n">
        <v>0</v>
      </c>
      <c r="AF232" s="25" t="n">
        <v>0</v>
      </c>
      <c r="AG232" s="25" t="n">
        <v>0</v>
      </c>
      <c r="AH232" s="25" t="n">
        <v>1</v>
      </c>
      <c r="AI232" s="25" t="inlineStr">
        <is>
          <t>C</t>
        </is>
      </c>
      <c r="AJ232" s="25" t="n">
        <v>1</v>
      </c>
      <c r="AK232" s="25" t="n">
        <v>990.28</v>
      </c>
      <c r="AL232" s="26" t="n">
        <v>45782.74236111111</v>
      </c>
      <c r="AM232" s="26" t="n">
        <v>45782.74236111111</v>
      </c>
      <c r="AN232" s="25" t="inlineStr">
        <is>
          <t>OUTROS</t>
        </is>
      </c>
      <c r="AO232" s="25" t="inlineStr">
        <is>
          <t>SUPORTE | ERA UM TESTE</t>
        </is>
      </c>
      <c r="AP232" s="27">
        <f>IF(AH232="","",IF(AH232=0,"PROSPECT",IF(AH232=1,"NOVO",IF(AH232&lt;=3,"EM DESENVOLVIMENTO",IF(AH232&lt;=6,"RECORRENTE","FIDELIZADO")))))</f>
        <v/>
      </c>
      <c r="AQ232" s="27">
        <f>IF(AJ232=0,0,IFERROR(SUM(U232:AF232)/AJ232,0))</f>
        <v/>
      </c>
      <c r="AS232" s="0" t="inlineStr">
        <is>
          <t>Carteira FEV/26</t>
        </is>
      </c>
    </row>
    <row r="233" ht="14.25" customHeight="1" s="16">
      <c r="A233" s="25" t="inlineStr">
        <is>
          <t>BRCOMBOS ALIMENTACAO</t>
        </is>
      </c>
      <c r="B233" s="25" t="inlineStr">
        <is>
          <t>33463112000138</t>
        </is>
      </c>
      <c r="C233" s="25" t="inlineStr">
        <is>
          <t>BRCOMBOS ALIMENTACAO LTDA</t>
        </is>
      </c>
      <c r="D233" s="25" t="inlineStr">
        <is>
          <t>SC</t>
        </is>
      </c>
      <c r="E233" s="25" t="inlineStr">
        <is>
          <t>JOINVILLE</t>
        </is>
      </c>
      <c r="F233" s="25" t="inlineStr">
        <is>
          <t>brcombos@gmail.com</t>
        </is>
      </c>
      <c r="G233" s="25" t="inlineStr">
        <is>
          <t>+55 (47) 9985-0293</t>
        </is>
      </c>
      <c r="H233" s="25" t="inlineStr">
        <is>
          <t>03/07/2025</t>
        </is>
      </c>
      <c r="I233" s="25" t="n"/>
      <c r="J233" s="25" t="inlineStr">
        <is>
          <t>MANU DITZEL</t>
        </is>
      </c>
      <c r="K233" s="25" t="inlineStr">
        <is>
          <t>Manu Ditzel</t>
        </is>
      </c>
      <c r="L233" s="25" t="n">
        <v>4</v>
      </c>
      <c r="M233" s="25" t="inlineStr">
        <is>
          <t>11/02/2026</t>
        </is>
      </c>
      <c r="N233" s="25" t="n">
        <v>696.96</v>
      </c>
      <c r="O233" s="25" t="n"/>
      <c r="P233" s="25" t="n"/>
      <c r="Q233" s="25" t="n"/>
      <c r="R233" s="25" t="n"/>
      <c r="S233" s="25" t="n"/>
      <c r="T233" s="25" t="n"/>
      <c r="U233" s="25" t="n">
        <v>0</v>
      </c>
      <c r="V233" s="25" t="n">
        <v>0</v>
      </c>
      <c r="W233" s="25" t="n">
        <v>0</v>
      </c>
      <c r="X233" s="25" t="n">
        <v>0</v>
      </c>
      <c r="Y233" s="25" t="n">
        <v>761.48</v>
      </c>
      <c r="Z233" s="25" t="n">
        <v>0</v>
      </c>
      <c r="AA233" s="25" t="n">
        <v>0</v>
      </c>
      <c r="AB233" s="25" t="n">
        <v>0</v>
      </c>
      <c r="AC233" s="25" t="n">
        <v>0</v>
      </c>
      <c r="AD233" s="25" t="n">
        <v>0</v>
      </c>
      <c r="AE233" s="25" t="n">
        <v>0</v>
      </c>
      <c r="AF233" s="25" t="n">
        <v>696.96</v>
      </c>
      <c r="AG233" s="25" t="n">
        <v>215</v>
      </c>
      <c r="AH233" s="25" t="n">
        <v>2</v>
      </c>
      <c r="AI233" s="25" t="inlineStr">
        <is>
          <t>C</t>
        </is>
      </c>
      <c r="AJ233" s="25" t="n">
        <v>2</v>
      </c>
      <c r="AK233" s="25" t="n">
        <v>729.22</v>
      </c>
      <c r="AL233" s="26" t="n">
        <v>46057.48263888889</v>
      </c>
      <c r="AM233" s="26" t="n">
        <v>46057.48263888889</v>
      </c>
      <c r="AN233" s="25" t="inlineStr">
        <is>
          <t>WHATSAPP</t>
        </is>
      </c>
      <c r="AO233" s="25" t="inlineStr">
        <is>
          <t>TINHA PEDIDO RETORNO COMEÇO DO ANO, AGUARDANDO.</t>
        </is>
      </c>
      <c r="AP233" s="27">
        <f>IF(AH233="","",IF(AH233=0,"PROSPECT",IF(AH233=1,"NOVO",IF(AH233&lt;=3,"EM DESENVOLVIMENTO",IF(AH233&lt;=6,"RECORRENTE","FIDELIZADO")))))</f>
        <v/>
      </c>
      <c r="AQ233" s="27">
        <f>IF(AJ233=0,0,IFERROR(SUM(U233:AF233)/AJ233,0))</f>
        <v/>
      </c>
      <c r="AS233" s="0" t="inlineStr">
        <is>
          <t>Carteira FEV/26 + Atend FEV/26 + Vendas FEV/26 + ABC FEV/26</t>
        </is>
      </c>
    </row>
    <row r="234" ht="14.25" customHeight="1" s="16">
      <c r="A234" s="25" t="inlineStr">
        <is>
          <t>BUFFET PARTHENON</t>
        </is>
      </c>
      <c r="B234" s="25" t="inlineStr">
        <is>
          <t>01005782000114</t>
        </is>
      </c>
      <c r="C234" s="25" t="inlineStr">
        <is>
          <t>ORGANIZACAO BARATELLA E BALTAZAR EVENTOS LTDA</t>
        </is>
      </c>
      <c r="D234" s="25" t="inlineStr">
        <is>
          <t>MG</t>
        </is>
      </c>
      <c r="E234" s="25" t="inlineStr">
        <is>
          <t>VICOSA</t>
        </is>
      </c>
      <c r="F234" s="25" t="inlineStr">
        <is>
          <t>maira.esteves@ufv.br</t>
        </is>
      </c>
      <c r="G234" s="25" t="inlineStr">
        <is>
          <t>+55 (31) 99594-0046 | +55 (31) 9582-2907 (MAIARA / ROBERTO)</t>
        </is>
      </c>
      <c r="H234" s="25" t="inlineStr">
        <is>
          <t>17/07/2025</t>
        </is>
      </c>
      <c r="I234" s="25" t="n"/>
      <c r="J234" s="25" t="inlineStr">
        <is>
          <t>MANU DITZEL</t>
        </is>
      </c>
      <c r="K234" s="25" t="inlineStr">
        <is>
          <t>Manu Ditzel</t>
        </is>
      </c>
      <c r="L234" s="25" t="n">
        <v>159</v>
      </c>
      <c r="M234" s="25" t="inlineStr">
        <is>
          <t>09/09/2025</t>
        </is>
      </c>
      <c r="N234" s="25" t="n">
        <v>16230.4</v>
      </c>
      <c r="O234" s="25" t="n"/>
      <c r="P234" s="25" t="n"/>
      <c r="Q234" s="25" t="n"/>
      <c r="R234" s="25" t="n"/>
      <c r="S234" s="25" t="n"/>
      <c r="T234" s="25" t="n"/>
      <c r="U234" s="25" t="n">
        <v>0</v>
      </c>
      <c r="V234" s="25" t="n">
        <v>0</v>
      </c>
      <c r="W234" s="25" t="n">
        <v>0</v>
      </c>
      <c r="X234" s="25" t="n">
        <v>0</v>
      </c>
      <c r="Y234" s="25" t="n">
        <v>0</v>
      </c>
      <c r="Z234" s="25" t="n">
        <v>0</v>
      </c>
      <c r="AA234" s="25" t="n">
        <v>16230.4</v>
      </c>
      <c r="AB234" s="25" t="n">
        <v>0</v>
      </c>
      <c r="AC234" s="25" t="n">
        <v>0</v>
      </c>
      <c r="AD234" s="25" t="n">
        <v>0</v>
      </c>
      <c r="AE234" s="25" t="n">
        <v>0</v>
      </c>
      <c r="AF234" s="25" t="n">
        <v>0</v>
      </c>
      <c r="AG234" s="25" t="n">
        <v>0</v>
      </c>
      <c r="AH234" s="25" t="n">
        <v>1</v>
      </c>
      <c r="AI234" s="25" t="inlineStr">
        <is>
          <t>A</t>
        </is>
      </c>
      <c r="AJ234" s="25" t="n">
        <v>1</v>
      </c>
      <c r="AK234" s="25" t="n">
        <v>16230.4</v>
      </c>
      <c r="AL234" s="26" t="n">
        <v>46036.575</v>
      </c>
      <c r="AM234" s="26" t="n">
        <v>46036.575</v>
      </c>
      <c r="AN234" s="25" t="inlineStr">
        <is>
          <t>WHATSAPP</t>
        </is>
      </c>
      <c r="AO234" s="25" t="inlineStr">
        <is>
          <t>RECOMPRA | Nova abordagem - Linha Disney</t>
        </is>
      </c>
      <c r="AP234" s="27">
        <f>IF(AH234="","",IF(AH234=0,"PROSPECT",IF(AH234=1,"NOVO",IF(AH234&lt;=3,"EM DESENVOLVIMENTO",IF(AH234&lt;=6,"RECORRENTE","FIDELIZADO")))))</f>
        <v/>
      </c>
      <c r="AQ234" s="27">
        <f>IF(AJ234=0,0,IFERROR(SUM(U234:AF234)/AJ234,0))</f>
        <v/>
      </c>
      <c r="AS234" s="0" t="inlineStr">
        <is>
          <t>Carteira FEV/26</t>
        </is>
      </c>
    </row>
    <row r="235" ht="14.25" customHeight="1" s="16">
      <c r="A235" s="25" t="inlineStr">
        <is>
          <t>C.CORREA LTDA</t>
        </is>
      </c>
      <c r="B235" s="25" t="inlineStr">
        <is>
          <t>62106171000157</t>
        </is>
      </c>
      <c r="C235" s="25" t="inlineStr">
        <is>
          <t>C.CORREA LTDA</t>
        </is>
      </c>
      <c r="D235" s="25" t="inlineStr">
        <is>
          <t>PR</t>
        </is>
      </c>
      <c r="E235" s="25" t="inlineStr">
        <is>
          <t>CIANORTE</t>
        </is>
      </c>
      <c r="F235" s="25" t="inlineStr">
        <is>
          <t>cianortepr@redevidaleve.com.br</t>
        </is>
      </c>
      <c r="G235" s="25" t="inlineStr">
        <is>
          <t>+55 (44) 99904-8827</t>
        </is>
      </c>
      <c r="H235" s="25" t="inlineStr">
        <is>
          <t>30/09/2025</t>
        </is>
      </c>
      <c r="I235" s="25" t="inlineStr">
        <is>
          <t>[Rede] Vida Leve</t>
        </is>
      </c>
      <c r="J235" s="25" t="inlineStr">
        <is>
          <t>DAIANE STAVICKI</t>
        </is>
      </c>
      <c r="K235" s="25" t="inlineStr">
        <is>
          <t>Central - Daiane</t>
        </is>
      </c>
      <c r="L235" s="25" t="n">
        <v>138</v>
      </c>
      <c r="M235" s="25" t="inlineStr">
        <is>
          <t>30/09/2025</t>
        </is>
      </c>
      <c r="N235" s="25" t="n">
        <v>1618.97</v>
      </c>
      <c r="O235" s="25" t="n"/>
      <c r="P235" s="25" t="n"/>
      <c r="Q235" s="25" t="n"/>
      <c r="R235" s="25" t="n"/>
      <c r="S235" s="25" t="n"/>
      <c r="T235" s="25" t="n"/>
      <c r="U235" s="25" t="n">
        <v>0</v>
      </c>
      <c r="V235" s="25" t="n">
        <v>0</v>
      </c>
      <c r="W235" s="25" t="n">
        <v>0</v>
      </c>
      <c r="X235" s="25" t="n">
        <v>0</v>
      </c>
      <c r="Y235" s="25" t="n">
        <v>0</v>
      </c>
      <c r="Z235" s="25" t="n">
        <v>0</v>
      </c>
      <c r="AA235" s="25" t="n">
        <v>1618.97</v>
      </c>
      <c r="AB235" s="25" t="n">
        <v>0</v>
      </c>
      <c r="AC235" s="25" t="n">
        <v>0</v>
      </c>
      <c r="AD235" s="25" t="n">
        <v>0</v>
      </c>
      <c r="AE235" s="25" t="n">
        <v>0</v>
      </c>
      <c r="AF235" s="25" t="n">
        <v>0</v>
      </c>
      <c r="AG235" s="25" t="n">
        <v>0</v>
      </c>
      <c r="AH235" s="25" t="n">
        <v>1</v>
      </c>
      <c r="AI235" s="25" t="inlineStr">
        <is>
          <t>B</t>
        </is>
      </c>
      <c r="AJ235" s="25" t="n">
        <v>1</v>
      </c>
      <c r="AK235" s="25" t="n">
        <v>1618.97</v>
      </c>
      <c r="AL235" s="26" t="n">
        <v>45930.39166666667</v>
      </c>
      <c r="AM235" s="26" t="n">
        <v>45930.39166666667</v>
      </c>
      <c r="AN235" s="25" t="inlineStr">
        <is>
          <t>WHATSAPP</t>
        </is>
      </c>
      <c r="AO235" s="25" t="inlineStr">
        <is>
          <t>INTERVENÇÃO | CLIENTE TEM RESTIÇÃO NO CNPJ - VAI SER PIX</t>
        </is>
      </c>
      <c r="AP235" s="27">
        <f>IF(AH235="","",IF(AH235=0,"PROSPECT",IF(AH235=1,"NOVO",IF(AH235&lt;=3,"EM DESENVOLVIMENTO",IF(AH235&lt;=6,"RECORRENTE","FIDELIZADO")))))</f>
        <v/>
      </c>
      <c r="AQ235" s="27">
        <f>IF(AJ235=0,0,IFERROR(SUM(U235:AF235)/AJ235,0))</f>
        <v/>
      </c>
      <c r="AS235" s="0" t="inlineStr">
        <is>
          <t>Carteira FEV/26</t>
        </is>
      </c>
    </row>
    <row r="236" ht="14.25" customHeight="1" s="16">
      <c r="A236" s="25" t="inlineStr">
        <is>
          <t>CANTINA DA NUTRI</t>
        </is>
      </c>
      <c r="B236" s="25" t="inlineStr">
        <is>
          <t>39579910000106</t>
        </is>
      </c>
      <c r="C236" s="25" t="inlineStr">
        <is>
          <t>QUIOSQUE DA NUTRI LTDA</t>
        </is>
      </c>
      <c r="D236" s="25" t="inlineStr">
        <is>
          <t>SC</t>
        </is>
      </c>
      <c r="E236" s="25" t="inlineStr">
        <is>
          <t>FLORIANOPOLIS</t>
        </is>
      </c>
      <c r="F236" s="25" t="inlineStr">
        <is>
          <t>she.nutricao@gmail.com</t>
        </is>
      </c>
      <c r="G236" s="25" t="inlineStr">
        <is>
          <t>+55 (48) 9948-1178</t>
        </is>
      </c>
      <c r="H236" s="25" t="inlineStr">
        <is>
          <t>18/03/2025</t>
        </is>
      </c>
      <c r="I236" s="25" t="n"/>
      <c r="J236" s="25" t="inlineStr">
        <is>
          <t>MANU DITZEL</t>
        </is>
      </c>
      <c r="K236" s="25" t="inlineStr">
        <is>
          <t>Manu Ditzel</t>
        </is>
      </c>
      <c r="L236" s="25" t="n">
        <v>5</v>
      </c>
      <c r="M236" s="25" t="inlineStr">
        <is>
          <t>10/02/2026</t>
        </is>
      </c>
      <c r="N236" s="25" t="n">
        <v>766.02</v>
      </c>
      <c r="O236" s="25" t="n"/>
      <c r="P236" s="25" t="n"/>
      <c r="Q236" s="25" t="n"/>
      <c r="R236" s="25" t="n"/>
      <c r="S236" s="25" t="n"/>
      <c r="T236" s="25" t="n"/>
      <c r="U236" s="25" t="n">
        <v>0</v>
      </c>
      <c r="V236" s="25" t="n">
        <v>0</v>
      </c>
      <c r="W236" s="25" t="n">
        <v>0</v>
      </c>
      <c r="X236" s="25" t="n">
        <v>0</v>
      </c>
      <c r="Y236" s="25" t="n">
        <v>960.27</v>
      </c>
      <c r="Z236" s="25" t="n">
        <v>0</v>
      </c>
      <c r="AA236" s="25" t="n">
        <v>0</v>
      </c>
      <c r="AB236" s="25" t="n">
        <v>0</v>
      </c>
      <c r="AC236" s="25" t="n">
        <v>0</v>
      </c>
      <c r="AD236" s="25" t="n">
        <v>0</v>
      </c>
      <c r="AE236" s="25" t="n">
        <v>0</v>
      </c>
      <c r="AF236" s="25" t="n">
        <v>766.02</v>
      </c>
      <c r="AG236" s="25" t="n">
        <v>196</v>
      </c>
      <c r="AH236" s="25" t="n">
        <v>2</v>
      </c>
      <c r="AI236" s="25" t="inlineStr">
        <is>
          <t>B</t>
        </is>
      </c>
      <c r="AJ236" s="25" t="n">
        <v>2</v>
      </c>
      <c r="AK236" s="25" t="n">
        <v>863.14</v>
      </c>
      <c r="AL236" s="26" t="n">
        <v>46057.48472222222</v>
      </c>
      <c r="AM236" s="26" t="n">
        <v>46057.48472222222</v>
      </c>
      <c r="AN236" s="25" t="inlineStr">
        <is>
          <t>OUTROS</t>
        </is>
      </c>
      <c r="AO236" s="25" t="inlineStr">
        <is>
          <t>VAI AGUARDAR CLIENTE MONTOU PEDIDO PORÉM QUER FAZER EM 6X, POLITICA COMERCIAL NÃO ACEITA</t>
        </is>
      </c>
      <c r="AP236" s="27">
        <f>IF(AH236="","",IF(AH236=0,"PROSPECT",IF(AH236=1,"NOVO",IF(AH236&lt;=3,"EM DESENVOLVIMENTO",IF(AH236&lt;=6,"RECORRENTE","FIDELIZADO")))))</f>
        <v/>
      </c>
      <c r="AQ236" s="27">
        <f>IF(AJ236=0,0,IFERROR(SUM(U236:AF236)/AJ236,0))</f>
        <v/>
      </c>
      <c r="AS236" s="0" t="inlineStr">
        <is>
          <t>Carteira FEV/26 + Atend FEV/26 + Vendas FEV/26 + ABC FEV/26</t>
        </is>
      </c>
    </row>
    <row r="237" ht="14.25" customHeight="1" s="16">
      <c r="A237" s="25" t="inlineStr">
        <is>
          <t>CANTINA UNIVERSITARIO</t>
        </is>
      </c>
      <c r="B237" s="25" t="inlineStr">
        <is>
          <t>01665966000100</t>
        </is>
      </c>
      <c r="C237" s="25" t="inlineStr">
        <is>
          <t>CARAMELO E CHANTILY COMERCIO ALIMENTICIO LTDA</t>
        </is>
      </c>
      <c r="D237" s="25" t="inlineStr">
        <is>
          <t>PR</t>
        </is>
      </c>
      <c r="E237" s="25" t="inlineStr">
        <is>
          <t>LONDRINA</t>
        </is>
      </c>
      <c r="F237" s="25" t="inlineStr">
        <is>
          <t>UNICANTINA@SERCOMTEL.COM.BR</t>
        </is>
      </c>
      <c r="G237" s="25" t="inlineStr">
        <is>
          <t>+55 (43) 98403-3992</t>
        </is>
      </c>
      <c r="H237" s="25" t="inlineStr">
        <is>
          <t>18/06/2025</t>
        </is>
      </c>
      <c r="I237" s="25" t="n"/>
      <c r="J237" s="25" t="inlineStr">
        <is>
          <t>MANU DITZEL</t>
        </is>
      </c>
      <c r="K237" s="25" t="inlineStr">
        <is>
          <t>Manu Ditzel</t>
        </is>
      </c>
      <c r="L237" s="25" t="n">
        <v>234</v>
      </c>
      <c r="M237" s="25" t="inlineStr">
        <is>
          <t>26/06/2025</t>
        </is>
      </c>
      <c r="N237" s="25" t="n">
        <v>678.53</v>
      </c>
      <c r="O237" s="25" t="n"/>
      <c r="P237" s="25" t="n"/>
      <c r="Q237" s="25" t="n"/>
      <c r="R237" s="25" t="n"/>
      <c r="S237" s="25" t="n"/>
      <c r="T237" s="25" t="n"/>
      <c r="U237" s="25" t="n">
        <v>0</v>
      </c>
      <c r="V237" s="25" t="n">
        <v>0</v>
      </c>
      <c r="W237" s="25" t="n">
        <v>0</v>
      </c>
      <c r="X237" s="25" t="n">
        <v>678.53</v>
      </c>
      <c r="Y237" s="25" t="n">
        <v>0</v>
      </c>
      <c r="Z237" s="25" t="n">
        <v>0</v>
      </c>
      <c r="AA237" s="25" t="n">
        <v>0</v>
      </c>
      <c r="AB237" s="25" t="n">
        <v>0</v>
      </c>
      <c r="AC237" s="25" t="n">
        <v>0</v>
      </c>
      <c r="AD237" s="25" t="n">
        <v>0</v>
      </c>
      <c r="AE237" s="25" t="n">
        <v>0</v>
      </c>
      <c r="AF237" s="25" t="n">
        <v>0</v>
      </c>
      <c r="AG237" s="25" t="n">
        <v>0</v>
      </c>
      <c r="AH237" s="25" t="n">
        <v>1</v>
      </c>
      <c r="AI237" s="25" t="inlineStr">
        <is>
          <t>C</t>
        </is>
      </c>
      <c r="AJ237" s="25" t="n">
        <v>1</v>
      </c>
      <c r="AK237" s="25" t="n">
        <v>678.53</v>
      </c>
      <c r="AL237" s="26" t="n">
        <v>46057.48055555556</v>
      </c>
      <c r="AM237" s="26" t="n">
        <v>46057.48055555556</v>
      </c>
      <c r="AN237" s="25" t="inlineStr">
        <is>
          <t>WHATSAPP</t>
        </is>
      </c>
      <c r="AO237" s="25" t="inlineStr">
        <is>
          <t>tem uma cantina e agora que volta as aulas, vou tentar recompra</t>
        </is>
      </c>
      <c r="AP237" s="27">
        <f>IF(AH237="","",IF(AH237=0,"PROSPECT",IF(AH237=1,"NOVO",IF(AH237&lt;=3,"EM DESENVOLVIMENTO",IF(AH237&lt;=6,"RECORRENTE","FIDELIZADO")))))</f>
        <v/>
      </c>
      <c r="AQ237" s="27">
        <f>IF(AJ237=0,0,IFERROR(SUM(U237:AF237)/AJ237,0))</f>
        <v/>
      </c>
      <c r="AS237" s="0" t="inlineStr">
        <is>
          <t>Carteira FEV/26 + Atend FEV/26</t>
        </is>
      </c>
    </row>
    <row r="238" ht="14.25" customHeight="1" s="16">
      <c r="A238" s="25" t="inlineStr">
        <is>
          <t>CARIMBO ACAI E BEBIDAS DO NORTE</t>
        </is>
      </c>
      <c r="B238" s="25" t="inlineStr">
        <is>
          <t>26176117000114</t>
        </is>
      </c>
      <c r="C238" s="25" t="inlineStr">
        <is>
          <t>LINDA CLARA OLIVEIRA PONTES 08862442696</t>
        </is>
      </c>
      <c r="D238" s="25" t="inlineStr">
        <is>
          <t>MG</t>
        </is>
      </c>
      <c r="E238" s="25" t="inlineStr">
        <is>
          <t>BELO HORIZONTE</t>
        </is>
      </c>
      <c r="F238" s="25" t="inlineStr">
        <is>
          <t>lclara.geo@gmail.com</t>
        </is>
      </c>
      <c r="G238" s="25" t="inlineStr">
        <is>
          <t>+55 (31) 97563-1545</t>
        </is>
      </c>
      <c r="H238" s="25" t="inlineStr">
        <is>
          <t>31/07/2025</t>
        </is>
      </c>
      <c r="I238" s="25" t="n"/>
      <c r="J238" s="25" t="inlineStr">
        <is>
          <t>LARISSA PADILHA</t>
        </is>
      </c>
      <c r="K238" s="25" t="inlineStr">
        <is>
          <t>Helder Brunkow</t>
        </is>
      </c>
      <c r="L238" s="25" t="n">
        <v>193</v>
      </c>
      <c r="M238" s="25" t="inlineStr">
        <is>
          <t>06/08/2025</t>
        </is>
      </c>
      <c r="N238" s="25" t="n">
        <v>658.55</v>
      </c>
      <c r="O238" s="25" t="n">
        <v>8</v>
      </c>
      <c r="P238" s="25" t="inlineStr">
        <is>
          <t>Sim</t>
        </is>
      </c>
      <c r="Q238" s="25" t="n">
        <v>70</v>
      </c>
      <c r="R238" s="25" t="n">
        <v>17</v>
      </c>
      <c r="S238" s="25" t="n">
        <v>658.55</v>
      </c>
      <c r="T238" s="25" t="inlineStr">
        <is>
          <t>COMPRA B2B</t>
        </is>
      </c>
      <c r="U238" s="25" t="n">
        <v>0</v>
      </c>
      <c r="V238" s="25" t="n">
        <v>0</v>
      </c>
      <c r="W238" s="25" t="n">
        <v>0</v>
      </c>
      <c r="X238" s="25" t="n">
        <v>0</v>
      </c>
      <c r="Y238" s="25" t="n">
        <v>0</v>
      </c>
      <c r="Z238" s="25" t="n">
        <v>658.55</v>
      </c>
      <c r="AA238" s="25" t="n">
        <v>0</v>
      </c>
      <c r="AB238" s="25" t="n">
        <v>0</v>
      </c>
      <c r="AC238" s="25" t="n">
        <v>0</v>
      </c>
      <c r="AD238" s="25" t="n">
        <v>0</v>
      </c>
      <c r="AE238" s="25" t="n">
        <v>0</v>
      </c>
      <c r="AF238" s="25" t="n">
        <v>0</v>
      </c>
      <c r="AG238" s="25" t="n">
        <v>0</v>
      </c>
      <c r="AH238" s="25" t="n">
        <v>1</v>
      </c>
      <c r="AI238" s="25" t="inlineStr">
        <is>
          <t>C</t>
        </is>
      </c>
      <c r="AJ238" s="25" t="n">
        <v>1</v>
      </c>
      <c r="AK238" s="25" t="n">
        <v>658.55</v>
      </c>
      <c r="AL238" s="26" t="n">
        <v>46036.62916666667</v>
      </c>
      <c r="AM238" s="26" t="n">
        <v>46036.62916666667</v>
      </c>
      <c r="AN238" s="25" t="inlineStr">
        <is>
          <t>WHATSAPP</t>
        </is>
      </c>
      <c r="AO238" s="25" t="inlineStr">
        <is>
          <t>RECOMPRA | Nova abordagem - Linha Disney</t>
        </is>
      </c>
      <c r="AP238" s="27">
        <f>IF(AH238="","",IF(AH238=0,"PROSPECT",IF(AH238=1,"NOVO",IF(AH238&lt;=3,"EM DESENVOLVIMENTO",IF(AH238&lt;=6,"RECORRENTE","FIDELIZADO")))))</f>
        <v/>
      </c>
      <c r="AQ238" s="27">
        <f>IF(AJ238=0,0,IFERROR(SUM(U238:AF238)/AJ238,0))</f>
        <v/>
      </c>
      <c r="AS238" s="0" t="inlineStr">
        <is>
          <t>Carteira FEV/26</t>
        </is>
      </c>
    </row>
    <row r="239" ht="14.25" customHeight="1" s="16">
      <c r="A239" s="25" t="inlineStr">
        <is>
          <t>CASA HIRATA - SUPERMERCADO</t>
        </is>
      </c>
      <c r="B239" s="25" t="inlineStr">
        <is>
          <t>55615538000283</t>
        </is>
      </c>
      <c r="C239" s="25" t="inlineStr">
        <is>
          <t>COMERCIAL TICAZO HIRATA SA</t>
        </is>
      </c>
      <c r="D239" s="25" t="inlineStr">
        <is>
          <t>SP</t>
        </is>
      </c>
      <c r="E239" s="25" t="inlineStr">
        <is>
          <t>LINS</t>
        </is>
      </c>
      <c r="F239" s="25" t="inlineStr">
        <is>
          <t>casahirata@linsnet.br</t>
        </is>
      </c>
      <c r="G239" s="25" t="inlineStr">
        <is>
          <t>+55 (14) 99768-0466</t>
        </is>
      </c>
      <c r="H239" s="25" t="inlineStr">
        <is>
          <t>28/05/2025</t>
        </is>
      </c>
      <c r="I239" s="25" t="n"/>
      <c r="J239" s="25" t="inlineStr">
        <is>
          <t>MANU DITZEL</t>
        </is>
      </c>
      <c r="K239" s="25" t="inlineStr">
        <is>
          <t>Manu Ditzel</t>
        </is>
      </c>
      <c r="L239" s="25" t="n">
        <v>93</v>
      </c>
      <c r="M239" s="25" t="inlineStr">
        <is>
          <t>14/11/2025</t>
        </is>
      </c>
      <c r="N239" s="25" t="n">
        <v>3060.88</v>
      </c>
      <c r="O239" s="25" t="n"/>
      <c r="P239" s="25" t="n"/>
      <c r="Q239" s="25" t="n"/>
      <c r="R239" s="25" t="n"/>
      <c r="S239" s="25" t="n"/>
      <c r="T239" s="25" t="n"/>
      <c r="U239" s="25" t="n">
        <v>0</v>
      </c>
      <c r="V239" s="25" t="n">
        <v>0</v>
      </c>
      <c r="W239" s="25" t="n">
        <v>5621.77</v>
      </c>
      <c r="X239" s="25" t="n">
        <v>0</v>
      </c>
      <c r="Y239" s="25" t="n">
        <v>0</v>
      </c>
      <c r="Z239" s="25" t="n">
        <v>2571.82</v>
      </c>
      <c r="AA239" s="25" t="n">
        <v>0</v>
      </c>
      <c r="AB239" s="25" t="n">
        <v>4770.31</v>
      </c>
      <c r="AC239" s="25" t="n">
        <v>3060.88</v>
      </c>
      <c r="AD239" s="25" t="n">
        <v>0</v>
      </c>
      <c r="AE239" s="25" t="n">
        <v>0</v>
      </c>
      <c r="AF239" s="25" t="n">
        <v>0</v>
      </c>
      <c r="AG239" s="25" t="n">
        <v>56.6667</v>
      </c>
      <c r="AH239" s="25" t="n">
        <v>3</v>
      </c>
      <c r="AI239" s="25" t="inlineStr">
        <is>
          <t>A</t>
        </is>
      </c>
      <c r="AJ239" s="25" t="n">
        <v>4</v>
      </c>
      <c r="AK239" s="25" t="n">
        <v>5341.59</v>
      </c>
      <c r="AL239" s="26" t="n">
        <v>46056.72083333333</v>
      </c>
      <c r="AM239" s="26" t="n">
        <v>46056.72083333333</v>
      </c>
      <c r="AN239" s="25" t="inlineStr">
        <is>
          <t>WHATSAPP</t>
        </is>
      </c>
      <c r="AO239" s="25" t="inlineStr">
        <is>
          <t>JÁ FOI FEITO RECOMPRA</t>
        </is>
      </c>
      <c r="AP239" s="27">
        <f>IF(AH239="","",IF(AH239=0,"PROSPECT",IF(AH239=1,"NOVO",IF(AH239&lt;=3,"EM DESENVOLVIMENTO",IF(AH239&lt;=6,"RECORRENTE","FIDELIZADO")))))</f>
        <v/>
      </c>
      <c r="AQ239" s="27">
        <f>IF(AJ239=0,0,IFERROR(SUM(U239:AF239)/AJ239,0))</f>
        <v/>
      </c>
      <c r="AS239" s="0" t="inlineStr">
        <is>
          <t>Carteira FEV/26 + Atend FEV/26</t>
        </is>
      </c>
    </row>
    <row r="240" ht="14.25" customHeight="1" s="16">
      <c r="A240" s="25" t="inlineStr">
        <is>
          <t>CASAL MONSTRO SUPLEMENTOS</t>
        </is>
      </c>
      <c r="B240" s="25" t="inlineStr">
        <is>
          <t>29301639000199</t>
        </is>
      </c>
      <c r="C240" s="25" t="inlineStr">
        <is>
          <t>CASAL MONSTRO SUPLEMENTOS LTDA</t>
        </is>
      </c>
      <c r="D240" s="25" t="inlineStr">
        <is>
          <t>RJ</t>
        </is>
      </c>
      <c r="E240" s="25" t="inlineStr">
        <is>
          <t>RIO DE JANEIRO</t>
        </is>
      </c>
      <c r="F240" s="25" t="inlineStr">
        <is>
          <t>casalmonstrorj@gmail.com</t>
        </is>
      </c>
      <c r="G240" s="25" t="inlineStr">
        <is>
          <t>+55 (21) 97970-1880</t>
        </is>
      </c>
      <c r="H240" s="25" t="inlineStr">
        <is>
          <t>04/09/2025</t>
        </is>
      </c>
      <c r="I240" s="25" t="n"/>
      <c r="J240" s="25" t="inlineStr">
        <is>
          <t>LARISSA PADILHA</t>
        </is>
      </c>
      <c r="K240" s="25" t="inlineStr">
        <is>
          <t>Larissa Padilha</t>
        </is>
      </c>
      <c r="L240" s="25" t="n">
        <v>114</v>
      </c>
      <c r="M240" s="25" t="inlineStr">
        <is>
          <t>24/10/2025</t>
        </is>
      </c>
      <c r="N240" s="25" t="n">
        <v>565.37</v>
      </c>
      <c r="O240" s="25" t="n">
        <v>4</v>
      </c>
      <c r="P240" s="25" t="inlineStr">
        <is>
          <t>Sim</t>
        </is>
      </c>
      <c r="Q240" s="25" t="n">
        <v>80</v>
      </c>
      <c r="R240" s="25" t="n">
        <v>19</v>
      </c>
      <c r="S240" s="25" t="n">
        <v>655.21</v>
      </c>
      <c r="T240" s="25" t="inlineStr">
        <is>
          <t>COMPRA B2B</t>
        </is>
      </c>
      <c r="U240" s="25" t="n">
        <v>0</v>
      </c>
      <c r="V240" s="25" t="n">
        <v>0</v>
      </c>
      <c r="W240" s="25" t="n">
        <v>0</v>
      </c>
      <c r="X240" s="25" t="n">
        <v>0</v>
      </c>
      <c r="Y240" s="25" t="n">
        <v>0</v>
      </c>
      <c r="Z240" s="25" t="n">
        <v>0</v>
      </c>
      <c r="AA240" s="25" t="n">
        <v>655.21</v>
      </c>
      <c r="AB240" s="25" t="n">
        <v>565.37</v>
      </c>
      <c r="AC240" s="25" t="n">
        <v>0</v>
      </c>
      <c r="AD240" s="25" t="n">
        <v>0</v>
      </c>
      <c r="AE240" s="25" t="n">
        <v>0</v>
      </c>
      <c r="AF240" s="25" t="n">
        <v>0</v>
      </c>
      <c r="AG240" s="25" t="n">
        <v>39</v>
      </c>
      <c r="AH240" s="25" t="n">
        <v>2</v>
      </c>
      <c r="AI240" s="25" t="inlineStr">
        <is>
          <t>B</t>
        </is>
      </c>
      <c r="AJ240" s="25" t="n">
        <v>2</v>
      </c>
      <c r="AK240" s="25" t="n">
        <v>610.29</v>
      </c>
      <c r="AL240" s="26" t="n">
        <v>46035.49099537037</v>
      </c>
      <c r="AM240" s="26" t="n">
        <v>46035.49099537037</v>
      </c>
      <c r="AN240" s="25" t="inlineStr">
        <is>
          <t>WHATSAPP</t>
        </is>
      </c>
      <c r="AO240" s="25" t="inlineStr">
        <is>
          <t>CASAL MONSTRO - ALE - RJ</t>
        </is>
      </c>
      <c r="AP240" s="27">
        <f>IF(AH240="","",IF(AH240=0,"PROSPECT",IF(AH240=1,"NOVO",IF(AH240&lt;=3,"EM DESENVOLVIMENTO",IF(AH240&lt;=6,"RECORRENTE","FIDELIZADO")))))</f>
        <v/>
      </c>
      <c r="AQ240" s="27">
        <f>IF(AJ240=0,0,IFERROR(SUM(U240:AF240)/AJ240,0))</f>
        <v/>
      </c>
      <c r="AS240" s="0" t="inlineStr">
        <is>
          <t>Carteira FEV/26</t>
        </is>
      </c>
    </row>
    <row r="241" ht="14.25" customHeight="1" s="16">
      <c r="A241" s="25" t="inlineStr">
        <is>
          <t>CASAS JORDANIA ABC - MOVEIS E DECORACOES LTDA</t>
        </is>
      </c>
      <c r="B241" s="25" t="inlineStr">
        <is>
          <t>10610044000197</t>
        </is>
      </c>
      <c r="C241" s="25" t="inlineStr">
        <is>
          <t>CASAS JORDANIA ABC - MOVEIS E DECORACOES LTDA</t>
        </is>
      </c>
      <c r="D241" s="25" t="inlineStr">
        <is>
          <t>SP</t>
        </is>
      </c>
      <c r="E241" s="25" t="inlineStr">
        <is>
          <t>SANTO ANDRE</t>
        </is>
      </c>
      <c r="F241" s="25" t="inlineStr">
        <is>
          <t>jmercadoepadarialtda@gmail.com</t>
        </is>
      </c>
      <c r="G241" s="25" t="inlineStr">
        <is>
          <t>+55 (11) 92190-9046</t>
        </is>
      </c>
      <c r="H241" s="25" t="inlineStr">
        <is>
          <t>04/11/2025</t>
        </is>
      </c>
      <c r="I241" s="25" t="n"/>
      <c r="J241" s="25" t="inlineStr">
        <is>
          <t>LARISSA PADILHA</t>
        </is>
      </c>
      <c r="K241" s="25" t="inlineStr">
        <is>
          <t>Larissa Padilha</t>
        </is>
      </c>
      <c r="L241" s="25" t="n">
        <v>93</v>
      </c>
      <c r="M241" s="25" t="inlineStr">
        <is>
          <t>14/11/2025</t>
        </is>
      </c>
      <c r="N241" s="25" t="n">
        <v>1747.96</v>
      </c>
      <c r="O241" s="25" t="n">
        <v>1</v>
      </c>
      <c r="P241" s="25" t="inlineStr">
        <is>
          <t>Sim</t>
        </is>
      </c>
      <c r="Q241" s="25" t="n">
        <v>1</v>
      </c>
      <c r="R241" s="25" t="n"/>
      <c r="S241" s="25" t="n"/>
      <c r="T241" s="25" t="n"/>
      <c r="U241" s="25" t="n">
        <v>0</v>
      </c>
      <c r="V241" s="25" t="n">
        <v>0</v>
      </c>
      <c r="W241" s="25" t="n">
        <v>0</v>
      </c>
      <c r="X241" s="25" t="n">
        <v>0</v>
      </c>
      <c r="Y241" s="25" t="n">
        <v>0</v>
      </c>
      <c r="Z241" s="25" t="n">
        <v>0</v>
      </c>
      <c r="AA241" s="25" t="n">
        <v>0</v>
      </c>
      <c r="AB241" s="25" t="n">
        <v>0</v>
      </c>
      <c r="AC241" s="25" t="n">
        <v>1747.96</v>
      </c>
      <c r="AD241" s="25" t="n">
        <v>0</v>
      </c>
      <c r="AE241" s="25" t="n">
        <v>0</v>
      </c>
      <c r="AF241" s="25" t="n">
        <v>0</v>
      </c>
      <c r="AG241" s="25" t="n">
        <v>0</v>
      </c>
      <c r="AH241" s="25" t="n">
        <v>0</v>
      </c>
      <c r="AI241" s="25" t="inlineStr">
        <is>
          <t>B</t>
        </is>
      </c>
      <c r="AJ241" s="25" t="n">
        <v>1</v>
      </c>
      <c r="AK241" s="25" t="n">
        <v>0</v>
      </c>
      <c r="AL241" s="26" t="n">
        <v>46058.6668287037</v>
      </c>
      <c r="AM241" s="26" t="n">
        <v>46058.6668287037</v>
      </c>
      <c r="AN241" s="25" t="inlineStr">
        <is>
          <t>WHATSAPP</t>
        </is>
      </c>
      <c r="AO241" s="25" t="inlineStr">
        <is>
          <t>MERCADO E PADARIA JORDANIA - THAIS - SP</t>
        </is>
      </c>
      <c r="AP241" s="27">
        <f>IF(AH241="","",IF(AH241=0,"PROSPECT",IF(AH241=1,"NOVO",IF(AH241&lt;=3,"EM DESENVOLVIMENTO",IF(AH241&lt;=6,"RECORRENTE","FIDELIZADO")))))</f>
        <v/>
      </c>
      <c r="AQ241" s="27">
        <f>IF(AJ241=0,0,IFERROR(SUM(U241:AF241)/AJ241,0))</f>
        <v/>
      </c>
      <c r="AS241" s="0" t="inlineStr">
        <is>
          <t>Carteira FEV/26 + Atend FEV/26</t>
        </is>
      </c>
    </row>
    <row r="242" ht="14.25" customHeight="1" s="16">
      <c r="A242" s="25" t="inlineStr">
        <is>
          <t>CATIMBAU</t>
        </is>
      </c>
      <c r="B242" s="25" t="inlineStr">
        <is>
          <t>47725529000136</t>
        </is>
      </c>
      <c r="C242" s="25" t="inlineStr">
        <is>
          <t>CATIMBAU PRODUTOS ALIMENTICIOS LTDA</t>
        </is>
      </c>
      <c r="D242" s="25" t="inlineStr">
        <is>
          <t>SP</t>
        </is>
      </c>
      <c r="E242" s="25" t="inlineStr">
        <is>
          <t>SAO PAULO</t>
        </is>
      </c>
      <c r="F242" s="25" t="inlineStr">
        <is>
          <t>catimbau@gamil.com</t>
        </is>
      </c>
      <c r="G242" s="25" t="inlineStr">
        <is>
          <t>+55 (11) 98359-2370 | +55 (11) 97792-6459</t>
        </is>
      </c>
      <c r="H242" s="25" t="inlineStr">
        <is>
          <t>18/09/2025</t>
        </is>
      </c>
      <c r="I242" s="25" t="n"/>
      <c r="J242" s="25" t="inlineStr">
        <is>
          <t>MANU DITZEL</t>
        </is>
      </c>
      <c r="K242" s="25" t="inlineStr">
        <is>
          <t>Manu Ditzel</t>
        </is>
      </c>
      <c r="L242" s="25" t="n">
        <v>146</v>
      </c>
      <c r="M242" s="25" t="inlineStr">
        <is>
          <t>22/09/2025</t>
        </is>
      </c>
      <c r="N242" s="25" t="n">
        <v>681.48</v>
      </c>
      <c r="O242" s="25" t="n"/>
      <c r="P242" s="25" t="n"/>
      <c r="Q242" s="25" t="n"/>
      <c r="R242" s="25" t="n"/>
      <c r="S242" s="25" t="n"/>
      <c r="T242" s="25" t="n"/>
      <c r="U242" s="25" t="n">
        <v>0</v>
      </c>
      <c r="V242" s="25" t="n">
        <v>0</v>
      </c>
      <c r="W242" s="25" t="n">
        <v>0</v>
      </c>
      <c r="X242" s="25" t="n">
        <v>0</v>
      </c>
      <c r="Y242" s="25" t="n">
        <v>0</v>
      </c>
      <c r="Z242" s="25" t="n">
        <v>0</v>
      </c>
      <c r="AA242" s="25" t="n">
        <v>681.48</v>
      </c>
      <c r="AB242" s="25" t="n">
        <v>0</v>
      </c>
      <c r="AC242" s="25" t="n">
        <v>0</v>
      </c>
      <c r="AD242" s="25" t="n">
        <v>0</v>
      </c>
      <c r="AE242" s="25" t="n">
        <v>0</v>
      </c>
      <c r="AF242" s="25" t="n">
        <v>0</v>
      </c>
      <c r="AG242" s="25" t="n">
        <v>0</v>
      </c>
      <c r="AH242" s="25" t="n">
        <v>1</v>
      </c>
      <c r="AI242" s="25" t="inlineStr">
        <is>
          <t>C</t>
        </is>
      </c>
      <c r="AJ242" s="25" t="n">
        <v>1</v>
      </c>
      <c r="AK242" s="25" t="n">
        <v>681.48</v>
      </c>
      <c r="AL242" s="26" t="n">
        <v>46036.39722222222</v>
      </c>
      <c r="AM242" s="26" t="n">
        <v>46036.39722222222</v>
      </c>
      <c r="AN242" s="25" t="inlineStr">
        <is>
          <t>WHATSAPP</t>
        </is>
      </c>
      <c r="AO242" s="25" t="inlineStr">
        <is>
          <t>PÓS-VENDA</t>
        </is>
      </c>
      <c r="AP242" s="27">
        <f>IF(AH242="","",IF(AH242=0,"PROSPECT",IF(AH242=1,"NOVO",IF(AH242&lt;=3,"EM DESENVOLVIMENTO",IF(AH242&lt;=6,"RECORRENTE","FIDELIZADO")))))</f>
        <v/>
      </c>
      <c r="AQ242" s="27">
        <f>IF(AJ242=0,0,IFERROR(SUM(U242:AF242)/AJ242,0))</f>
        <v/>
      </c>
      <c r="AS242" s="0" t="inlineStr">
        <is>
          <t>Carteira FEV/26</t>
        </is>
      </c>
    </row>
    <row r="243" ht="14.25" customHeight="1" s="16">
      <c r="A243" s="25" t="inlineStr">
        <is>
          <t>CE.NHORINHA COZINHA FUNCIONAL</t>
        </is>
      </c>
      <c r="B243" s="25" t="inlineStr">
        <is>
          <t>38272246000195</t>
        </is>
      </c>
      <c r="C243" s="25" t="inlineStr">
        <is>
          <t>CE.NHORINHA COZINHA FUNCIONAL LTDA</t>
        </is>
      </c>
      <c r="D243" s="25" t="inlineStr">
        <is>
          <t>SC</t>
        </is>
      </c>
      <c r="E243" s="25" t="inlineStr">
        <is>
          <t>SOMBRIO</t>
        </is>
      </c>
      <c r="F243" s="25" t="inlineStr">
        <is>
          <t>Cenhorinhaa@gmail.com</t>
        </is>
      </c>
      <c r="G243" s="25" t="inlineStr">
        <is>
          <t>+55 (48) 9832-2004</t>
        </is>
      </c>
      <c r="H243" s="25" t="inlineStr">
        <is>
          <t>08/10/2024</t>
        </is>
      </c>
      <c r="I243" s="25" t="n"/>
      <c r="J243" s="25" t="inlineStr">
        <is>
          <t>MANU DITZEL</t>
        </is>
      </c>
      <c r="K243" s="25" t="inlineStr">
        <is>
          <t>Manu Ditzel</t>
        </is>
      </c>
      <c r="L243" s="25" t="n">
        <v>275</v>
      </c>
      <c r="M243" s="25" t="inlineStr">
        <is>
          <t>16/05/2025</t>
        </is>
      </c>
      <c r="N243" s="25" t="n">
        <v>659.3</v>
      </c>
      <c r="O243" s="25" t="n">
        <v>1</v>
      </c>
      <c r="P243" s="25" t="inlineStr">
        <is>
          <t>Sim</t>
        </is>
      </c>
      <c r="Q243" s="25" t="n">
        <v>70</v>
      </c>
      <c r="R243" s="25" t="n">
        <v>4</v>
      </c>
      <c r="S243" s="25" t="n">
        <v>659.3</v>
      </c>
      <c r="T243" s="25" t="inlineStr">
        <is>
          <t>COMPRA B2B</t>
        </is>
      </c>
      <c r="U243" s="25" t="n">
        <v>0</v>
      </c>
      <c r="V243" s="25" t="n">
        <v>0</v>
      </c>
      <c r="W243" s="25" t="n">
        <v>659.3</v>
      </c>
      <c r="X243" s="25" t="n">
        <v>0</v>
      </c>
      <c r="Y243" s="25" t="n">
        <v>0</v>
      </c>
      <c r="Z243" s="25" t="n">
        <v>0</v>
      </c>
      <c r="AA243" s="25" t="n">
        <v>0</v>
      </c>
      <c r="AB243" s="25" t="n">
        <v>0</v>
      </c>
      <c r="AC243" s="25" t="n">
        <v>0</v>
      </c>
      <c r="AD243" s="25" t="n">
        <v>0</v>
      </c>
      <c r="AE243" s="25" t="n">
        <v>0</v>
      </c>
      <c r="AF243" s="25" t="n">
        <v>0</v>
      </c>
      <c r="AG243" s="25" t="n">
        <v>0</v>
      </c>
      <c r="AH243" s="25" t="n">
        <v>1</v>
      </c>
      <c r="AI243" s="25" t="inlineStr">
        <is>
          <t>C</t>
        </is>
      </c>
      <c r="AJ243" s="25" t="n">
        <v>1</v>
      </c>
      <c r="AK243" s="25" t="n">
        <v>659.3</v>
      </c>
      <c r="AL243" s="26" t="n">
        <v>46056.72361111111</v>
      </c>
      <c r="AM243" s="26" t="n">
        <v>46056.72361111111</v>
      </c>
      <c r="AN243" s="25" t="inlineStr">
        <is>
          <t>LIGAÇÃO</t>
        </is>
      </c>
      <c r="AO243" s="25" t="inlineStr">
        <is>
          <t>NÃO ATENDEU, MANDEI AUDIO</t>
        </is>
      </c>
      <c r="AP243" s="27">
        <f>IF(AH243="","",IF(AH243=0,"PROSPECT",IF(AH243=1,"NOVO",IF(AH243&lt;=3,"EM DESENVOLVIMENTO",IF(AH243&lt;=6,"RECORRENTE","FIDELIZADO")))))</f>
        <v/>
      </c>
      <c r="AQ243" s="27">
        <f>IF(AJ243=0,0,IFERROR(SUM(U243:AF243)/AJ243,0))</f>
        <v/>
      </c>
      <c r="AS243" s="0" t="inlineStr">
        <is>
          <t>Carteira FEV/26 + Atend FEV/26</t>
        </is>
      </c>
    </row>
    <row r="244" ht="14.25" customHeight="1" s="16">
      <c r="A244" s="25" t="inlineStr">
        <is>
          <t>CECILIA DIAS SUPLEMENTOS</t>
        </is>
      </c>
      <c r="B244" s="25" t="inlineStr">
        <is>
          <t>54679245000116</t>
        </is>
      </c>
      <c r="C244" s="25" t="inlineStr">
        <is>
          <t>CECILIA DIAS SUPLEMENTOS LTDA</t>
        </is>
      </c>
      <c r="D244" s="25" t="inlineStr">
        <is>
          <t>SP</t>
        </is>
      </c>
      <c r="E244" s="25" t="inlineStr">
        <is>
          <t>SAO BERNARDO DO CAMPO</t>
        </is>
      </c>
      <c r="F244" s="25" t="inlineStr">
        <is>
          <t>Cecilialealdias19@gmail.com</t>
        </is>
      </c>
      <c r="G244" s="25" t="inlineStr">
        <is>
          <t>+55 (11) 99622-0088</t>
        </is>
      </c>
      <c r="H244" s="25" t="inlineStr">
        <is>
          <t>08/10/2024</t>
        </is>
      </c>
      <c r="I244" s="25" t="inlineStr">
        <is>
          <t>[Rede] Fit Land</t>
        </is>
      </c>
      <c r="J244" s="25" t="inlineStr">
        <is>
          <t>LARISSA PADILHA</t>
        </is>
      </c>
      <c r="K244" s="25" t="inlineStr">
        <is>
          <t>Larissa Padilha</t>
        </is>
      </c>
      <c r="L244" s="25" t="n">
        <v>177</v>
      </c>
      <c r="M244" s="25" t="inlineStr">
        <is>
          <t>22/08/2025</t>
        </is>
      </c>
      <c r="N244" s="25" t="n">
        <v>784.65</v>
      </c>
      <c r="O244" s="25" t="n">
        <v>2</v>
      </c>
      <c r="P244" s="25" t="inlineStr">
        <is>
          <t>Sim</t>
        </is>
      </c>
      <c r="Q244" s="25" t="n">
        <v>21</v>
      </c>
      <c r="R244" s="25" t="n">
        <v>13</v>
      </c>
      <c r="S244" s="25" t="n"/>
      <c r="T244" s="25" t="n"/>
      <c r="U244" s="25" t="n">
        <v>0</v>
      </c>
      <c r="V244" s="25" t="n">
        <v>0</v>
      </c>
      <c r="W244" s="25" t="n">
        <v>0</v>
      </c>
      <c r="X244" s="25" t="n">
        <v>0</v>
      </c>
      <c r="Y244" s="25" t="n">
        <v>1395.95</v>
      </c>
      <c r="Z244" s="25" t="n">
        <v>784.65</v>
      </c>
      <c r="AA244" s="25" t="n">
        <v>0</v>
      </c>
      <c r="AB244" s="25" t="n">
        <v>0</v>
      </c>
      <c r="AC244" s="25" t="n">
        <v>0</v>
      </c>
      <c r="AD244" s="25" t="n">
        <v>0</v>
      </c>
      <c r="AE244" s="25" t="n">
        <v>0</v>
      </c>
      <c r="AF244" s="25" t="n">
        <v>0</v>
      </c>
      <c r="AG244" s="25" t="n">
        <v>24</v>
      </c>
      <c r="AH244" s="25" t="n">
        <v>2</v>
      </c>
      <c r="AI244" s="25" t="inlineStr">
        <is>
          <t>B</t>
        </is>
      </c>
      <c r="AJ244" s="25" t="n">
        <v>2</v>
      </c>
      <c r="AK244" s="25" t="n">
        <v>1090.3</v>
      </c>
      <c r="AL244" s="26" t="n">
        <v>45867.42019675926</v>
      </c>
      <c r="AM244" s="26" t="n">
        <v>45867.42019675926</v>
      </c>
      <c r="AN244" s="25" t="inlineStr">
        <is>
          <t>WHATSAPP</t>
        </is>
      </c>
      <c r="AO244" s="25" t="inlineStr">
        <is>
          <t>FITLAND - SÃO PAULO - CECILIA</t>
        </is>
      </c>
      <c r="AP244" s="27">
        <f>IF(AH244="","",IF(AH244=0,"PROSPECT",IF(AH244=1,"NOVO",IF(AH244&lt;=3,"EM DESENVOLVIMENTO",IF(AH244&lt;=6,"RECORRENTE","FIDELIZADO")))))</f>
        <v/>
      </c>
      <c r="AQ244" s="27">
        <f>IF(AJ244=0,0,IFERROR(SUM(U244:AF244)/AJ244,0))</f>
        <v/>
      </c>
      <c r="AS244" s="0" t="inlineStr">
        <is>
          <t>Carteira FEV/26</t>
        </is>
      </c>
    </row>
    <row r="245" ht="14.25" customHeight="1" s="16">
      <c r="A245" s="25" t="inlineStr">
        <is>
          <t>CENTRAL ATACAREJO</t>
        </is>
      </c>
      <c r="B245" s="25" t="inlineStr">
        <is>
          <t>48252719000146</t>
        </is>
      </c>
      <c r="C245" s="25" t="inlineStr">
        <is>
          <t>J. C. A. DA SILVA LTDA</t>
        </is>
      </c>
      <c r="D245" s="25" t="inlineStr">
        <is>
          <t>DF</t>
        </is>
      </c>
      <c r="E245" s="25" t="inlineStr">
        <is>
          <t>BRASILIA</t>
        </is>
      </c>
      <c r="F245" s="25" t="inlineStr">
        <is>
          <t>Jcccomercial22@gmail.com</t>
        </is>
      </c>
      <c r="G245" s="25" t="inlineStr">
        <is>
          <t>+55 (61) 99107-7250</t>
        </is>
      </c>
      <c r="H245" s="25" t="inlineStr">
        <is>
          <t>11/08/2025</t>
        </is>
      </c>
      <c r="I245" s="25" t="n"/>
      <c r="J245" s="25" t="inlineStr">
        <is>
          <t>LARISSA PADILHA</t>
        </is>
      </c>
      <c r="K245" s="25" t="inlineStr">
        <is>
          <t>Helder Brunkow</t>
        </is>
      </c>
      <c r="L245" s="25" t="n">
        <v>180</v>
      </c>
      <c r="M245" s="25" t="inlineStr">
        <is>
          <t>19/08/2025</t>
        </is>
      </c>
      <c r="N245" s="25" t="n">
        <v>3912.71</v>
      </c>
      <c r="O245" s="25" t="n"/>
      <c r="P245" s="25" t="n"/>
      <c r="Q245" s="25" t="n"/>
      <c r="R245" s="25" t="n"/>
      <c r="S245" s="25" t="n"/>
      <c r="T245" s="25" t="n"/>
      <c r="U245" s="25" t="n">
        <v>0</v>
      </c>
      <c r="V245" s="25" t="n">
        <v>0</v>
      </c>
      <c r="W245" s="25" t="n">
        <v>0</v>
      </c>
      <c r="X245" s="25" t="n">
        <v>0</v>
      </c>
      <c r="Y245" s="25" t="n">
        <v>0</v>
      </c>
      <c r="Z245" s="25" t="n">
        <v>3912.71</v>
      </c>
      <c r="AA245" s="25" t="n">
        <v>0</v>
      </c>
      <c r="AB245" s="25" t="n">
        <v>0</v>
      </c>
      <c r="AC245" s="25" t="n">
        <v>0</v>
      </c>
      <c r="AD245" s="25" t="n">
        <v>0</v>
      </c>
      <c r="AE245" s="25" t="n">
        <v>0</v>
      </c>
      <c r="AF245" s="25" t="n">
        <v>0</v>
      </c>
      <c r="AG245" s="25" t="n">
        <v>0</v>
      </c>
      <c r="AH245" s="25" t="n">
        <v>1</v>
      </c>
      <c r="AI245" s="25" t="inlineStr">
        <is>
          <t>A</t>
        </is>
      </c>
      <c r="AJ245" s="25" t="n">
        <v>1</v>
      </c>
      <c r="AK245" s="25" t="n">
        <v>3912.71</v>
      </c>
      <c r="AL245" s="26" t="n">
        <v>45951.48541666667</v>
      </c>
      <c r="AM245" s="26" t="n">
        <v>45951.48541666667</v>
      </c>
      <c r="AN245" s="25" t="inlineStr">
        <is>
          <t>LIGAÇÃO</t>
        </is>
      </c>
      <c r="AO245" s="25" t="inlineStr">
        <is>
          <t>DEVEDOR</t>
        </is>
      </c>
      <c r="AP245" s="27">
        <f>IF(AH245="","",IF(AH245=0,"PROSPECT",IF(AH245=1,"NOVO",IF(AH245&lt;=3,"EM DESENVOLVIMENTO",IF(AH245&lt;=6,"RECORRENTE","FIDELIZADO")))))</f>
        <v/>
      </c>
      <c r="AQ245" s="27">
        <f>IF(AJ245=0,0,IFERROR(SUM(U245:AF245)/AJ245,0))</f>
        <v/>
      </c>
      <c r="AS245" s="0" t="inlineStr">
        <is>
          <t>Carteira FEV/26</t>
        </is>
      </c>
    </row>
    <row r="246" ht="14.25" customHeight="1" s="16">
      <c r="A246" s="25" t="inlineStr">
        <is>
          <t>CENTRAL SAO CARLOS DISTRIBUIDORA DE PRODUTOS NATURAIS E DIETETICOS LTDA</t>
        </is>
      </c>
      <c r="B246" s="25" t="inlineStr">
        <is>
          <t>00815797000185</t>
        </is>
      </c>
      <c r="C246" s="25" t="inlineStr">
        <is>
          <t>CENTRAL SAO CARLOS DISTRIBUIDORA DE PRODUTOS NATURAIS E DIETETICOS LTDA</t>
        </is>
      </c>
      <c r="D246" s="25" t="inlineStr">
        <is>
          <t>SP</t>
        </is>
      </c>
      <c r="E246" s="25" t="inlineStr">
        <is>
          <t>SAO CARLOS</t>
        </is>
      </c>
      <c r="F246" s="25" t="inlineStr">
        <is>
          <t>contato@centralsaocarlos.com.br</t>
        </is>
      </c>
      <c r="G246" s="25" t="inlineStr">
        <is>
          <t>+55 (16) 99256-7698</t>
        </is>
      </c>
      <c r="H246" s="25" t="inlineStr">
        <is>
          <t>18/06/2025</t>
        </is>
      </c>
      <c r="I246" s="25" t="n"/>
      <c r="J246" s="25" t="inlineStr">
        <is>
          <t>MANU DITZEL</t>
        </is>
      </c>
      <c r="K246" s="25" t="inlineStr">
        <is>
          <t>Manu Ditzel</t>
        </is>
      </c>
      <c r="L246" s="25" t="n">
        <v>240</v>
      </c>
      <c r="M246" s="25" t="inlineStr">
        <is>
          <t>20/06/2025</t>
        </is>
      </c>
      <c r="N246" s="25" t="n">
        <v>963.58</v>
      </c>
      <c r="O246" s="25" t="n"/>
      <c r="P246" s="25" t="n"/>
      <c r="Q246" s="25" t="n"/>
      <c r="R246" s="25" t="n"/>
      <c r="S246" s="25" t="n"/>
      <c r="T246" s="25" t="n"/>
      <c r="U246" s="25" t="n">
        <v>0</v>
      </c>
      <c r="V246" s="25" t="n">
        <v>0</v>
      </c>
      <c r="W246" s="25" t="n">
        <v>0</v>
      </c>
      <c r="X246" s="25" t="n">
        <v>963.58</v>
      </c>
      <c r="Y246" s="25" t="n">
        <v>0</v>
      </c>
      <c r="Z246" s="25" t="n">
        <v>0</v>
      </c>
      <c r="AA246" s="25" t="n">
        <v>0</v>
      </c>
      <c r="AB246" s="25" t="n">
        <v>0</v>
      </c>
      <c r="AC246" s="25" t="n">
        <v>0</v>
      </c>
      <c r="AD246" s="25" t="n">
        <v>0</v>
      </c>
      <c r="AE246" s="25" t="n">
        <v>0</v>
      </c>
      <c r="AF246" s="25" t="n">
        <v>0</v>
      </c>
      <c r="AG246" s="25" t="n">
        <v>0</v>
      </c>
      <c r="AH246" s="25" t="n">
        <v>1</v>
      </c>
      <c r="AI246" s="25" t="inlineStr">
        <is>
          <t>C</t>
        </is>
      </c>
      <c r="AJ246" s="25" t="n">
        <v>1</v>
      </c>
      <c r="AK246" s="25" t="n">
        <v>963.58</v>
      </c>
      <c r="AL246" s="26" t="n">
        <v>45943.37847222222</v>
      </c>
      <c r="AM246" s="26" t="n">
        <v>45943.37847222222</v>
      </c>
      <c r="AN246" s="25" t="inlineStr">
        <is>
          <t>OUTROS</t>
        </is>
      </c>
      <c r="AO246" s="25" t="inlineStr">
        <is>
          <t>Guilherme tirou de nos esse cliente</t>
        </is>
      </c>
      <c r="AP246" s="27">
        <f>IF(AH246="","",IF(AH246=0,"PROSPECT",IF(AH246=1,"NOVO",IF(AH246&lt;=3,"EM DESENVOLVIMENTO",IF(AH246&lt;=6,"RECORRENTE","FIDELIZADO")))))</f>
        <v/>
      </c>
      <c r="AQ246" s="27">
        <f>IF(AJ246=0,0,IFERROR(SUM(U246:AF246)/AJ246,0))</f>
        <v/>
      </c>
      <c r="AS246" s="0" t="inlineStr">
        <is>
          <t>Carteira FEV/26</t>
        </is>
      </c>
    </row>
    <row r="247" ht="14.25" customHeight="1" s="16">
      <c r="A247" s="25" t="inlineStr">
        <is>
          <t>CENTRAL SICREDI PR/SP/RJ</t>
        </is>
      </c>
      <c r="B247" s="25" t="inlineStr">
        <is>
          <t>80230774000148</t>
        </is>
      </c>
      <c r="C247" s="25" t="inlineStr">
        <is>
          <t>COOPERATIVA CENTRAL DE CREDITO, POUPANCA E INVESTIMENTO DOS ESTADOS DO PARANA, SAO PAULO E RIO DE JA</t>
        </is>
      </c>
      <c r="D247" s="25" t="inlineStr">
        <is>
          <t>PR</t>
        </is>
      </c>
      <c r="E247" s="25" t="inlineStr">
        <is>
          <t>CURITIBA</t>
        </is>
      </c>
      <c r="F247" s="25" t="inlineStr">
        <is>
          <t>centralprsprj_adm@sicredi.com.br</t>
        </is>
      </c>
      <c r="G247" s="25" t="inlineStr">
        <is>
          <t>+55 (41) 99242-3665</t>
        </is>
      </c>
      <c r="H247" s="25" t="inlineStr">
        <is>
          <t>04/04/2025</t>
        </is>
      </c>
      <c r="I247" s="25" t="n"/>
      <c r="J247" s="25" t="inlineStr">
        <is>
          <t>MANU DITZEL</t>
        </is>
      </c>
      <c r="K247" s="25" t="inlineStr">
        <is>
          <t>Manu Ditzel</t>
        </is>
      </c>
      <c r="L247" s="25" t="n">
        <v>19</v>
      </c>
      <c r="M247" s="25" t="inlineStr">
        <is>
          <t>27/01/2026</t>
        </is>
      </c>
      <c r="N247" s="25" t="n">
        <v>2968.21</v>
      </c>
      <c r="O247" s="25" t="n"/>
      <c r="P247" s="25" t="n"/>
      <c r="Q247" s="25" t="n"/>
      <c r="R247" s="25" t="n"/>
      <c r="S247" s="25" t="n"/>
      <c r="T247" s="25" t="n"/>
      <c r="U247" s="25" t="n">
        <v>0</v>
      </c>
      <c r="V247" s="25" t="n">
        <v>2296.8</v>
      </c>
      <c r="W247" s="25" t="n">
        <v>2297.22</v>
      </c>
      <c r="X247" s="25" t="n">
        <v>2006.01</v>
      </c>
      <c r="Y247" s="25" t="n">
        <v>2006.01</v>
      </c>
      <c r="Z247" s="25" t="n">
        <v>2072.25</v>
      </c>
      <c r="AA247" s="25" t="n">
        <v>0</v>
      </c>
      <c r="AB247" s="25" t="n">
        <v>3325.96</v>
      </c>
      <c r="AC247" s="25" t="n">
        <v>0</v>
      </c>
      <c r="AD247" s="25" t="n">
        <v>0</v>
      </c>
      <c r="AE247" s="25" t="n">
        <v>0</v>
      </c>
      <c r="AF247" s="25" t="n">
        <v>0</v>
      </c>
      <c r="AG247" s="25" t="n">
        <v>59.6</v>
      </c>
      <c r="AH247" s="25" t="n">
        <v>5</v>
      </c>
      <c r="AI247" s="25" t="inlineStr">
        <is>
          <t>A</t>
        </is>
      </c>
      <c r="AJ247" s="25" t="n">
        <v>6</v>
      </c>
      <c r="AK247" s="25" t="n">
        <v>2800.85</v>
      </c>
      <c r="AL247" s="29" t="n">
        <v>46062.4125</v>
      </c>
      <c r="AM247" s="29" t="n">
        <v>46062.4125</v>
      </c>
      <c r="AN247" s="25" t="inlineStr">
        <is>
          <t>WHATSAPP</t>
        </is>
      </c>
      <c r="AO247" s="25" t="inlineStr">
        <is>
          <t>JÁ FEZ PEDIDO RECENTE</t>
        </is>
      </c>
      <c r="AP247" s="27">
        <f>IF(AH247="","",IF(AH247=0,"PROSPECT",IF(AH247=1,"NOVO",IF(AH247&lt;=3,"EM DESENVOLVIMENTO",IF(AH247&lt;=6,"RECORRENTE","FIDELIZADO")))))</f>
        <v/>
      </c>
      <c r="AQ247" s="27">
        <f>IF(AJ247=0,0,IFERROR(SUM(U247:AF247)/AJ247,0))</f>
        <v/>
      </c>
      <c r="AS247" s="0" t="inlineStr">
        <is>
          <t>Carteira FEV/26 + Atend FEV/26</t>
        </is>
      </c>
    </row>
    <row r="248" ht="14.25" customHeight="1" s="16">
      <c r="A248" s="25" t="inlineStr">
        <is>
          <t>CEREALISSIMA MGV</t>
        </is>
      </c>
      <c r="B248" s="25" t="inlineStr">
        <is>
          <t>28825262000104</t>
        </is>
      </c>
      <c r="C248" s="25" t="inlineStr">
        <is>
          <t>VALDIRENE MENESES DE LIMA HONDA PENIDO 02535252171</t>
        </is>
      </c>
      <c r="D248" s="25" t="inlineStr">
        <is>
          <t>GO</t>
        </is>
      </c>
      <c r="E248" s="25" t="inlineStr">
        <is>
          <t>ITABERAI</t>
        </is>
      </c>
      <c r="F248" s="25" t="inlineStr">
        <is>
          <t>guilherme_mirian@hotmail.com</t>
        </is>
      </c>
      <c r="G248" s="25" t="inlineStr">
        <is>
          <t>+55 (62) 9858-3248 | +55 (62) 99858-3248 (VALDIRENE)</t>
        </is>
      </c>
      <c r="H248" s="25" t="inlineStr">
        <is>
          <t>08/10/2024</t>
        </is>
      </c>
      <c r="I248" s="25" t="n"/>
      <c r="J248" s="25" t="inlineStr">
        <is>
          <t>LARISSA PADILHA</t>
        </is>
      </c>
      <c r="K248" s="25" t="inlineStr">
        <is>
          <t>Larissa Padilha</t>
        </is>
      </c>
      <c r="L248" s="25" t="n">
        <v>151</v>
      </c>
      <c r="M248" s="25" t="inlineStr">
        <is>
          <t>17/09/2025</t>
        </is>
      </c>
      <c r="N248" s="25" t="n">
        <v>1442.87</v>
      </c>
      <c r="O248" s="25" t="n"/>
      <c r="P248" s="25" t="n"/>
      <c r="Q248" s="25" t="n"/>
      <c r="R248" s="25" t="n"/>
      <c r="S248" s="25" t="n"/>
      <c r="T248" s="25" t="n"/>
      <c r="U248" s="25" t="n">
        <v>0</v>
      </c>
      <c r="V248" s="25" t="n">
        <v>0</v>
      </c>
      <c r="W248" s="25" t="n">
        <v>0</v>
      </c>
      <c r="X248" s="25" t="n">
        <v>0</v>
      </c>
      <c r="Y248" s="25" t="n">
        <v>0</v>
      </c>
      <c r="Z248" s="25" t="n">
        <v>2308.6</v>
      </c>
      <c r="AA248" s="25" t="n">
        <v>1442.87</v>
      </c>
      <c r="AB248" s="25" t="n">
        <v>0</v>
      </c>
      <c r="AC248" s="25" t="n">
        <v>0</v>
      </c>
      <c r="AD248" s="25" t="n">
        <v>0</v>
      </c>
      <c r="AE248" s="25" t="n">
        <v>0</v>
      </c>
      <c r="AF248" s="25" t="n">
        <v>0</v>
      </c>
      <c r="AG248" s="25" t="n">
        <v>40</v>
      </c>
      <c r="AH248" s="25" t="n">
        <v>2</v>
      </c>
      <c r="AI248" s="25" t="inlineStr">
        <is>
          <t>A</t>
        </is>
      </c>
      <c r="AJ248" s="25" t="n">
        <v>2</v>
      </c>
      <c r="AK248" s="25" t="n">
        <v>1875.73</v>
      </c>
      <c r="AL248" s="26" t="n">
        <v>46036.42572916667</v>
      </c>
      <c r="AM248" s="26" t="n">
        <v>46036.42572916667</v>
      </c>
      <c r="AN248" s="25" t="inlineStr">
        <is>
          <t>WHATSAPP</t>
        </is>
      </c>
      <c r="AO248" s="25" t="inlineStr">
        <is>
          <t>CEREALÍSSIMA MGV - VALDIRENE - GO</t>
        </is>
      </c>
      <c r="AP248" s="27">
        <f>IF(AH248="","",IF(AH248=0,"PROSPECT",IF(AH248=1,"NOVO",IF(AH248&lt;=3,"EM DESENVOLVIMENTO",IF(AH248&lt;=6,"RECORRENTE","FIDELIZADO")))))</f>
        <v/>
      </c>
      <c r="AQ248" s="27">
        <f>IF(AJ248=0,0,IFERROR(SUM(U248:AF248)/AJ248,0))</f>
        <v/>
      </c>
      <c r="AS248" s="0" t="inlineStr">
        <is>
          <t>Carteira FEV/26</t>
        </is>
      </c>
    </row>
    <row r="249" ht="14.25" customHeight="1" s="16">
      <c r="A249" s="25" t="inlineStr">
        <is>
          <t>CHOCOLATES CASEIRO GAROPABA</t>
        </is>
      </c>
      <c r="B249" s="25" t="inlineStr">
        <is>
          <t>81586596000155</t>
        </is>
      </c>
      <c r="C249" s="25" t="inlineStr">
        <is>
          <t>LILIANE GUERREIRO GONCALVES &amp; CIA LTDA</t>
        </is>
      </c>
      <c r="D249" s="25" t="inlineStr">
        <is>
          <t>SC</t>
        </is>
      </c>
      <c r="E249" s="25" t="inlineStr">
        <is>
          <t>GAROPABA</t>
        </is>
      </c>
      <c r="F249" s="25" t="inlineStr">
        <is>
          <t>CHOCOLATEGAROPABA@HOTMAIL.COM</t>
        </is>
      </c>
      <c r="G249" s="25" t="inlineStr">
        <is>
          <t>+55 (48) 99215-4781</t>
        </is>
      </c>
      <c r="H249" s="25" t="inlineStr">
        <is>
          <t>10/06/2025</t>
        </is>
      </c>
      <c r="I249" s="25" t="n"/>
      <c r="J249" s="25" t="inlineStr">
        <is>
          <t>MANU DITZEL</t>
        </is>
      </c>
      <c r="K249" s="25" t="inlineStr">
        <is>
          <t>Manu Ditzel</t>
        </is>
      </c>
      <c r="L249" s="25" t="n">
        <v>107</v>
      </c>
      <c r="M249" s="25" t="inlineStr">
        <is>
          <t>31/10/2025</t>
        </is>
      </c>
      <c r="N249" s="25" t="n">
        <v>785.29</v>
      </c>
      <c r="O249" s="25" t="n">
        <v>1</v>
      </c>
      <c r="P249" s="25" t="inlineStr">
        <is>
          <t>Sim</t>
        </is>
      </c>
      <c r="Q249" s="25" t="n">
        <v>2</v>
      </c>
      <c r="R249" s="25" t="n"/>
      <c r="S249" s="25" t="n"/>
      <c r="T249" s="25" t="n"/>
      <c r="U249" s="25" t="n">
        <v>0</v>
      </c>
      <c r="V249" s="25" t="n">
        <v>0</v>
      </c>
      <c r="W249" s="25" t="n">
        <v>0</v>
      </c>
      <c r="X249" s="25" t="n">
        <v>683.54</v>
      </c>
      <c r="Y249" s="25" t="n">
        <v>0</v>
      </c>
      <c r="Z249" s="25" t="n">
        <v>0</v>
      </c>
      <c r="AA249" s="25" t="n">
        <v>0</v>
      </c>
      <c r="AB249" s="25" t="n">
        <v>785.29</v>
      </c>
      <c r="AC249" s="25" t="n">
        <v>0</v>
      </c>
      <c r="AD249" s="25" t="n">
        <v>0</v>
      </c>
      <c r="AE249" s="25" t="n">
        <v>0</v>
      </c>
      <c r="AF249" s="25" t="n">
        <v>0</v>
      </c>
      <c r="AG249" s="25" t="n">
        <v>137</v>
      </c>
      <c r="AH249" s="25" t="n">
        <v>2</v>
      </c>
      <c r="AI249" s="25" t="inlineStr">
        <is>
          <t>B</t>
        </is>
      </c>
      <c r="AJ249" s="25" t="n">
        <v>2</v>
      </c>
      <c r="AK249" s="25" t="n">
        <v>734.41</v>
      </c>
      <c r="AL249" s="26" t="n">
        <v>46062.43680555555</v>
      </c>
      <c r="AM249" s="26" t="n">
        <v>46062.43680555555</v>
      </c>
      <c r="AN249" s="25" t="inlineStr">
        <is>
          <t>LIGAÇÃO</t>
        </is>
      </c>
      <c r="AO249" s="28" t="inlineStr">
        <is>
          <t>09/02/2026	TEVE PROBLEMA COM VALORES A ULTIMA VEZ	  ESSA CLIENTE SEMPRE RECLAMA DE PREÇO, OFERECER SEMPRE O MELHOR E CAMPANHAS</t>
        </is>
      </c>
      <c r="AP249" s="27">
        <f>IF(AH249="","",IF(AH249=0,"PROSPECT",IF(AH249=1,"NOVO",IF(AH249&lt;=3,"EM DESENVOLVIMENTO",IF(AH249&lt;=6,"RECORRENTE","FIDELIZADO")))))</f>
        <v/>
      </c>
      <c r="AQ249" s="27">
        <f>IF(AJ249=0,0,IFERROR(SUM(U249:AF249)/AJ249,0))</f>
        <v/>
      </c>
      <c r="AS249" s="0" t="inlineStr">
        <is>
          <t>Carteira FEV/26 + Atend FEV/26</t>
        </is>
      </c>
    </row>
    <row r="250" ht="14.25" customHeight="1" s="16">
      <c r="A250" s="25" t="inlineStr">
        <is>
          <t>CIA DA SAUDE</t>
        </is>
      </c>
      <c r="B250" s="25" t="inlineStr">
        <is>
          <t>61631938000102</t>
        </is>
      </c>
      <c r="C250" s="25" t="inlineStr">
        <is>
          <t>ELEMENTHAR PRODUTOS NATURAIS LTDA</t>
        </is>
      </c>
      <c r="D250" s="25" t="inlineStr">
        <is>
          <t>SC</t>
        </is>
      </c>
      <c r="E250" s="25" t="inlineStr">
        <is>
          <t>FLORIANOPOLIS</t>
        </is>
      </c>
      <c r="F250" s="25" t="inlineStr">
        <is>
          <t>ciadasaudeesteves@gmail.com</t>
        </is>
      </c>
      <c r="G250" s="25" t="inlineStr">
        <is>
          <t>+55 (48) 99998-1463</t>
        </is>
      </c>
      <c r="H250" s="25" t="inlineStr">
        <is>
          <t>29/10/2025</t>
        </is>
      </c>
      <c r="I250" s="25" t="inlineStr">
        <is>
          <t>CIA DA SAUDE</t>
        </is>
      </c>
      <c r="J250" s="25" t="inlineStr">
        <is>
          <t>JULIO GADRET</t>
        </is>
      </c>
      <c r="K250" s="25" t="inlineStr">
        <is>
          <t>Julio  Gadret</t>
        </is>
      </c>
      <c r="L250" s="25" t="n">
        <v>108</v>
      </c>
      <c r="M250" s="25" t="inlineStr">
        <is>
          <t>30/10/2025</t>
        </is>
      </c>
      <c r="N250" s="25" t="n">
        <v>1060.55</v>
      </c>
      <c r="O250" s="25" t="n"/>
      <c r="P250" s="25" t="n"/>
      <c r="Q250" s="25" t="n"/>
      <c r="R250" s="25" t="n"/>
      <c r="S250" s="25" t="n"/>
      <c r="T250" s="25" t="n"/>
      <c r="U250" s="25" t="n">
        <v>0</v>
      </c>
      <c r="V250" s="25" t="n">
        <v>0</v>
      </c>
      <c r="W250" s="25" t="n">
        <v>0</v>
      </c>
      <c r="X250" s="25" t="n">
        <v>0</v>
      </c>
      <c r="Y250" s="25" t="n">
        <v>0</v>
      </c>
      <c r="Z250" s="25" t="n">
        <v>0</v>
      </c>
      <c r="AA250" s="25" t="n">
        <v>0</v>
      </c>
      <c r="AB250" s="25" t="n">
        <v>0</v>
      </c>
      <c r="AC250" s="25" t="n">
        <v>0</v>
      </c>
      <c r="AD250" s="25" t="n">
        <v>0</v>
      </c>
      <c r="AE250" s="25" t="n">
        <v>0</v>
      </c>
      <c r="AF250" s="25" t="n">
        <v>0</v>
      </c>
      <c r="AG250" s="25" t="n">
        <v>0</v>
      </c>
      <c r="AH250" s="25" t="n">
        <v>0</v>
      </c>
      <c r="AI250" s="25" t="inlineStr">
        <is>
          <t>C</t>
        </is>
      </c>
      <c r="AJ250" s="25" t="n">
        <v>0</v>
      </c>
      <c r="AK250" s="25" t="n">
        <v>0</v>
      </c>
      <c r="AL250" s="26" t="n">
        <v>45959.35416666666</v>
      </c>
      <c r="AM250" s="26" t="n">
        <v>45959.35416666666</v>
      </c>
      <c r="AN250" s="25" t="inlineStr">
        <is>
          <t>WHATSAPP</t>
        </is>
      </c>
      <c r="AO250" s="28" t="inlineStr">
        <is>
          <t>PRÉ-VENDA | Link: https://vitaomais.meuspedidos.com.br/ E-mail: ciadasaudeesteves@gmail.com Senha: 580202</t>
        </is>
      </c>
      <c r="AP250" s="27">
        <f>IF(AH250="","",IF(AH250=0,"PROSPECT",IF(AH250=1,"NOVO",IF(AH250&lt;=3,"EM DESENVOLVIMENTO",IF(AH250&lt;=6,"RECORRENTE","FIDELIZADO")))))</f>
        <v/>
      </c>
      <c r="AQ250" s="27">
        <f>IF(AJ250=0,0,IFERROR(SUM(U250:AF250)/AJ250,0))</f>
        <v/>
      </c>
      <c r="AS250" s="0" t="inlineStr">
        <is>
          <t>Carteira FEV/26</t>
        </is>
      </c>
    </row>
    <row r="251" ht="14.25" customHeight="1" s="16">
      <c r="A251" s="25" t="inlineStr">
        <is>
          <t>CIA DA SAUDE</t>
        </is>
      </c>
      <c r="B251" s="25" t="inlineStr">
        <is>
          <t>58094644000176</t>
        </is>
      </c>
      <c r="C251" s="25" t="inlineStr">
        <is>
          <t>AM PRODUTOS NATURAIS SUPER A LTDA</t>
        </is>
      </c>
      <c r="D251" s="25" t="inlineStr">
        <is>
          <t>SC</t>
        </is>
      </c>
      <c r="E251" s="25" t="inlineStr">
        <is>
          <t>JARAGUA DO SUL</t>
        </is>
      </c>
      <c r="F251" s="25" t="inlineStr">
        <is>
          <t>jaraguasupera@redeciadasaude.com.br</t>
        </is>
      </c>
      <c r="G251" s="25" t="inlineStr">
        <is>
          <t>+55 (48) 9998-1463</t>
        </is>
      </c>
      <c r="H251" s="25" t="inlineStr">
        <is>
          <t>29/10/2025</t>
        </is>
      </c>
      <c r="I251" s="25" t="inlineStr">
        <is>
          <t>CIA DA SAUDE</t>
        </is>
      </c>
      <c r="J251" s="25" t="inlineStr">
        <is>
          <t>JULIO GADRET</t>
        </is>
      </c>
      <c r="K251" s="25" t="inlineStr">
        <is>
          <t>Julio  Gadret</t>
        </is>
      </c>
      <c r="L251" s="25" t="n">
        <v>108</v>
      </c>
      <c r="M251" s="25" t="inlineStr">
        <is>
          <t>30/10/2025</t>
        </is>
      </c>
      <c r="N251" s="25" t="n">
        <v>1003.77</v>
      </c>
      <c r="O251" s="25" t="n"/>
      <c r="P251" s="25" t="n"/>
      <c r="Q251" s="25" t="n"/>
      <c r="R251" s="25" t="n"/>
      <c r="S251" s="25" t="n"/>
      <c r="T251" s="25" t="n"/>
      <c r="U251" s="25" t="n">
        <v>0</v>
      </c>
      <c r="V251" s="25" t="n">
        <v>0</v>
      </c>
      <c r="W251" s="25" t="n">
        <v>0</v>
      </c>
      <c r="X251" s="25" t="n">
        <v>0</v>
      </c>
      <c r="Y251" s="25" t="n">
        <v>0</v>
      </c>
      <c r="Z251" s="25" t="n">
        <v>0</v>
      </c>
      <c r="AA251" s="25" t="n">
        <v>0</v>
      </c>
      <c r="AB251" s="25" t="n">
        <v>0</v>
      </c>
      <c r="AC251" s="25" t="n">
        <v>0</v>
      </c>
      <c r="AD251" s="25" t="n">
        <v>0</v>
      </c>
      <c r="AE251" s="25" t="n">
        <v>0</v>
      </c>
      <c r="AF251" s="25" t="n">
        <v>0</v>
      </c>
      <c r="AG251" s="25" t="n">
        <v>0</v>
      </c>
      <c r="AH251" s="25" t="n">
        <v>0</v>
      </c>
      <c r="AI251" s="25" t="inlineStr">
        <is>
          <t>C</t>
        </is>
      </c>
      <c r="AJ251" s="25" t="n">
        <v>0</v>
      </c>
      <c r="AK251" s="25" t="n">
        <v>0</v>
      </c>
      <c r="AL251" s="25" t="n"/>
      <c r="AM251" s="25" t="n"/>
      <c r="AN251" s="25" t="n"/>
      <c r="AO251" s="25" t="n"/>
      <c r="AP251" s="27">
        <f>IF(AH251="","",IF(AH251=0,"PROSPECT",IF(AH251=1,"NOVO",IF(AH251&lt;=3,"EM DESENVOLVIMENTO",IF(AH251&lt;=6,"RECORRENTE","FIDELIZADO")))))</f>
        <v/>
      </c>
      <c r="AQ251" s="27">
        <f>IF(AJ251=0,0,IFERROR(SUM(U251:AF251)/AJ251,0))</f>
        <v/>
      </c>
      <c r="AS251" s="0" t="inlineStr">
        <is>
          <t>Carteira FEV/26</t>
        </is>
      </c>
    </row>
    <row r="252" ht="14.25" customHeight="1" s="16">
      <c r="A252" s="25" t="inlineStr">
        <is>
          <t>CIA DA SAUDE</t>
        </is>
      </c>
      <c r="B252" s="25" t="inlineStr">
        <is>
          <t>58377806000183</t>
        </is>
      </c>
      <c r="C252" s="25" t="inlineStr">
        <is>
          <t>AM PRODUTOS NATURAIS CONDOR LTDA</t>
        </is>
      </c>
      <c r="D252" s="25" t="inlineStr">
        <is>
          <t>SC</t>
        </is>
      </c>
      <c r="E252" s="25" t="inlineStr">
        <is>
          <t>JARAGUA DO SUL</t>
        </is>
      </c>
      <c r="F252" s="25" t="inlineStr">
        <is>
          <t>jaraguacondor2@redeciadasaude.com.br</t>
        </is>
      </c>
      <c r="G252" s="25" t="inlineStr">
        <is>
          <t>+55 (48) 9998-1463</t>
        </is>
      </c>
      <c r="H252" s="25" t="inlineStr">
        <is>
          <t>29/10/2025</t>
        </is>
      </c>
      <c r="I252" s="25" t="inlineStr">
        <is>
          <t>CIA DA SAUDE</t>
        </is>
      </c>
      <c r="J252" s="25" t="inlineStr">
        <is>
          <t>JULIO GADRET</t>
        </is>
      </c>
      <c r="K252" s="25" t="inlineStr">
        <is>
          <t>Julio  Gadret</t>
        </is>
      </c>
      <c r="L252" s="25" t="n">
        <v>108</v>
      </c>
      <c r="M252" s="25" t="inlineStr">
        <is>
          <t>30/10/2025</t>
        </is>
      </c>
      <c r="N252" s="25" t="n">
        <v>1003.77</v>
      </c>
      <c r="O252" s="25" t="n"/>
      <c r="P252" s="25" t="n"/>
      <c r="Q252" s="25" t="n"/>
      <c r="R252" s="25" t="n"/>
      <c r="S252" s="25" t="n"/>
      <c r="T252" s="25" t="n"/>
      <c r="U252" s="25" t="n">
        <v>0</v>
      </c>
      <c r="V252" s="25" t="n">
        <v>0</v>
      </c>
      <c r="W252" s="25" t="n">
        <v>0</v>
      </c>
      <c r="X252" s="25" t="n">
        <v>0</v>
      </c>
      <c r="Y252" s="25" t="n">
        <v>0</v>
      </c>
      <c r="Z252" s="25" t="n">
        <v>0</v>
      </c>
      <c r="AA252" s="25" t="n">
        <v>0</v>
      </c>
      <c r="AB252" s="25" t="n">
        <v>0</v>
      </c>
      <c r="AC252" s="25" t="n">
        <v>0</v>
      </c>
      <c r="AD252" s="25" t="n">
        <v>0</v>
      </c>
      <c r="AE252" s="25" t="n">
        <v>0</v>
      </c>
      <c r="AF252" s="25" t="n">
        <v>0</v>
      </c>
      <c r="AG252" s="25" t="n">
        <v>0</v>
      </c>
      <c r="AH252" s="25" t="n">
        <v>0</v>
      </c>
      <c r="AI252" s="25" t="inlineStr">
        <is>
          <t>C</t>
        </is>
      </c>
      <c r="AJ252" s="25" t="n">
        <v>0</v>
      </c>
      <c r="AK252" s="25" t="n">
        <v>0</v>
      </c>
      <c r="AL252" s="26" t="n">
        <v>46002.39583333334</v>
      </c>
      <c r="AM252" s="26" t="n">
        <v>46002.39583333334</v>
      </c>
      <c r="AN252" s="25" t="inlineStr">
        <is>
          <t>WHATSAPP</t>
        </is>
      </c>
      <c r="AO252" s="25" t="inlineStr">
        <is>
          <t>TEVE 1 BOLETO QUE FOI CARTÓRIO SEM QUERER</t>
        </is>
      </c>
      <c r="AP252" s="27">
        <f>IF(AH252="","",IF(AH252=0,"PROSPECT",IF(AH252=1,"NOVO",IF(AH252&lt;=3,"EM DESENVOLVIMENTO",IF(AH252&lt;=6,"RECORRENTE","FIDELIZADO")))))</f>
        <v/>
      </c>
      <c r="AQ252" s="27">
        <f>IF(AJ252=0,0,IFERROR(SUM(U252:AF252)/AJ252,0))</f>
        <v/>
      </c>
      <c r="AS252" s="0" t="inlineStr">
        <is>
          <t>Carteira FEV/26</t>
        </is>
      </c>
    </row>
    <row r="253" ht="14.25" customHeight="1" s="16">
      <c r="A253" s="25" t="inlineStr">
        <is>
          <t>CIA DA SAUDE</t>
        </is>
      </c>
      <c r="B253" s="25" t="inlineStr">
        <is>
          <t>62738337000158</t>
        </is>
      </c>
      <c r="C253" s="25" t="inlineStr">
        <is>
          <t>YES COMERCIO DE PRODUTOS NATURAIS LTDA</t>
        </is>
      </c>
      <c r="D253" s="25" t="inlineStr">
        <is>
          <t>SC</t>
        </is>
      </c>
      <c r="E253" s="25" t="inlineStr">
        <is>
          <t>JOINVILLE</t>
        </is>
      </c>
      <c r="F253" s="25" t="inlineStr">
        <is>
          <t>eloisa.medeiros85@gmail.com</t>
        </is>
      </c>
      <c r="G253" s="25" t="inlineStr">
        <is>
          <t>+55 (48) 9998-1463</t>
        </is>
      </c>
      <c r="H253" s="25" t="inlineStr">
        <is>
          <t>29/10/2025</t>
        </is>
      </c>
      <c r="I253" s="25" t="inlineStr">
        <is>
          <t>[Rede] Cia da Saúde</t>
        </is>
      </c>
      <c r="J253" s="25" t="inlineStr">
        <is>
          <t>JULIO GADRET</t>
        </is>
      </c>
      <c r="K253" s="25" t="inlineStr">
        <is>
          <t>Julio  Gadret</t>
        </is>
      </c>
      <c r="L253" s="25" t="n">
        <v>108</v>
      </c>
      <c r="M253" s="25" t="inlineStr">
        <is>
          <t>30/10/2025</t>
        </is>
      </c>
      <c r="N253" s="25" t="n">
        <v>1400.94</v>
      </c>
      <c r="O253" s="25" t="n"/>
      <c r="P253" s="25" t="n"/>
      <c r="Q253" s="25" t="n"/>
      <c r="R253" s="25" t="n"/>
      <c r="S253" s="25" t="n"/>
      <c r="T253" s="25" t="n"/>
      <c r="U253" s="25" t="n">
        <v>0</v>
      </c>
      <c r="V253" s="25" t="n">
        <v>0</v>
      </c>
      <c r="W253" s="25" t="n">
        <v>0</v>
      </c>
      <c r="X253" s="25" t="n">
        <v>0</v>
      </c>
      <c r="Y253" s="25" t="n">
        <v>0</v>
      </c>
      <c r="Z253" s="25" t="n">
        <v>0</v>
      </c>
      <c r="AA253" s="25" t="n">
        <v>0</v>
      </c>
      <c r="AB253" s="25" t="n">
        <v>5629.28</v>
      </c>
      <c r="AC253" s="25" t="n">
        <v>0</v>
      </c>
      <c r="AD253" s="25" t="n">
        <v>0</v>
      </c>
      <c r="AE253" s="25" t="n">
        <v>0</v>
      </c>
      <c r="AF253" s="25" t="n">
        <v>0</v>
      </c>
      <c r="AG253" s="25" t="n">
        <v>0</v>
      </c>
      <c r="AH253" s="25" t="n">
        <v>5</v>
      </c>
      <c r="AI253" s="25" t="inlineStr">
        <is>
          <t>B</t>
        </is>
      </c>
      <c r="AJ253" s="25" t="n">
        <v>1</v>
      </c>
      <c r="AK253" s="25" t="n">
        <v>1125.86</v>
      </c>
      <c r="AL253" s="26" t="n">
        <v>46002.40416666667</v>
      </c>
      <c r="AM253" s="26" t="n">
        <v>46002.40416666667</v>
      </c>
      <c r="AN253" s="25" t="inlineStr">
        <is>
          <t>LIGAÇÃO</t>
        </is>
      </c>
      <c r="AO253" s="25" t="inlineStr">
        <is>
          <t>BOLETO ATRASADO</t>
        </is>
      </c>
      <c r="AP253" s="27">
        <f>IF(AH253="","",IF(AH253=0,"PROSPECT",IF(AH253=1,"NOVO",IF(AH253&lt;=3,"EM DESENVOLVIMENTO",IF(AH253&lt;=6,"RECORRENTE","FIDELIZADO")))))</f>
        <v/>
      </c>
      <c r="AQ253" s="27">
        <f>IF(AJ253=0,0,IFERROR(SUM(U253:AF253)/AJ253,0))</f>
        <v/>
      </c>
      <c r="AS253" s="0" t="inlineStr">
        <is>
          <t>Carteira FEV/26</t>
        </is>
      </c>
    </row>
    <row r="254" ht="14.25" customHeight="1" s="16">
      <c r="A254" s="25" t="inlineStr">
        <is>
          <t>CIA DA SAUDE</t>
        </is>
      </c>
      <c r="B254" s="25" t="inlineStr">
        <is>
          <t>62757635000195</t>
        </is>
      </c>
      <c r="C254" s="25" t="inlineStr">
        <is>
          <t>YES DISTRIBUIDORA E COMERCIO DE PRODUTOS NATURAIS LTDA</t>
        </is>
      </c>
      <c r="D254" s="25" t="inlineStr">
        <is>
          <t>SC</t>
        </is>
      </c>
      <c r="E254" s="25" t="inlineStr">
        <is>
          <t>JOINVILLE</t>
        </is>
      </c>
      <c r="F254" s="25" t="inlineStr">
        <is>
          <t>ciajoinvilleestacao@redeciadasaude.com.br</t>
        </is>
      </c>
      <c r="G254" s="25" t="inlineStr">
        <is>
          <t>+55 (48) 9998-1463</t>
        </is>
      </c>
      <c r="H254" s="25" t="inlineStr">
        <is>
          <t>29/10/2025</t>
        </is>
      </c>
      <c r="I254" s="25" t="inlineStr">
        <is>
          <t>CIA DA SAUDE</t>
        </is>
      </c>
      <c r="J254" s="25" t="inlineStr">
        <is>
          <t>JULIO GADRET</t>
        </is>
      </c>
      <c r="K254" s="25" t="inlineStr">
        <is>
          <t>Julio  Gadret</t>
        </is>
      </c>
      <c r="L254" s="25" t="n">
        <v>108</v>
      </c>
      <c r="M254" s="25" t="inlineStr">
        <is>
          <t>30/10/2025</t>
        </is>
      </c>
      <c r="N254" s="25" t="n">
        <v>1160.25</v>
      </c>
      <c r="O254" s="25" t="n">
        <v>1</v>
      </c>
      <c r="P254" s="25" t="inlineStr">
        <is>
          <t>Sim</t>
        </is>
      </c>
      <c r="Q254" s="25" t="n">
        <v>12</v>
      </c>
      <c r="R254" s="25" t="n"/>
      <c r="S254" s="25" t="n"/>
      <c r="T254" s="25" t="n"/>
      <c r="U254" s="25" t="n">
        <v>0</v>
      </c>
      <c r="V254" s="25" t="n">
        <v>0</v>
      </c>
      <c r="W254" s="25" t="n">
        <v>0</v>
      </c>
      <c r="X254" s="25" t="n">
        <v>0</v>
      </c>
      <c r="Y254" s="25" t="n">
        <v>0</v>
      </c>
      <c r="Z254" s="25" t="n">
        <v>0</v>
      </c>
      <c r="AA254" s="25" t="n">
        <v>0</v>
      </c>
      <c r="AB254" s="25" t="n">
        <v>0</v>
      </c>
      <c r="AC254" s="25" t="n">
        <v>0</v>
      </c>
      <c r="AD254" s="25" t="n">
        <v>0</v>
      </c>
      <c r="AE254" s="25" t="n">
        <v>0</v>
      </c>
      <c r="AF254" s="25" t="n">
        <v>0</v>
      </c>
      <c r="AG254" s="25" t="n">
        <v>0</v>
      </c>
      <c r="AH254" s="25" t="n">
        <v>0</v>
      </c>
      <c r="AI254" s="25" t="inlineStr">
        <is>
          <t>B</t>
        </is>
      </c>
      <c r="AJ254" s="25" t="n">
        <v>0</v>
      </c>
      <c r="AK254" s="25" t="n">
        <v>0</v>
      </c>
      <c r="AL254" s="25" t="n"/>
      <c r="AM254" s="25" t="n"/>
      <c r="AN254" s="25" t="n"/>
      <c r="AO254" s="25" t="n"/>
      <c r="AP254" s="27">
        <f>IF(AH254="","",IF(AH254=0,"PROSPECT",IF(AH254=1,"NOVO",IF(AH254&lt;=3,"EM DESENVOLVIMENTO",IF(AH254&lt;=6,"RECORRENTE","FIDELIZADO")))))</f>
        <v/>
      </c>
      <c r="AQ254" s="27">
        <f>IF(AJ254=0,0,IFERROR(SUM(U254:AF254)/AJ254,0))</f>
        <v/>
      </c>
      <c r="AS254" s="0" t="inlineStr">
        <is>
          <t>Carteira FEV/26</t>
        </is>
      </c>
    </row>
    <row r="255" ht="14.25" customHeight="1" s="16">
      <c r="A255" s="25" t="inlineStr">
        <is>
          <t>CIA DA SAUDE - PRODUTOS NATURAIS</t>
        </is>
      </c>
      <c r="B255" s="25" t="inlineStr">
        <is>
          <t>22570775000135</t>
        </is>
      </c>
      <c r="C255" s="25" t="inlineStr">
        <is>
          <t>AC PRODUTOS NATURAIS LTDA</t>
        </is>
      </c>
      <c r="D255" s="25" t="inlineStr">
        <is>
          <t>RS</t>
        </is>
      </c>
      <c r="E255" s="25" t="inlineStr">
        <is>
          <t>CAPAO DA CANOA</t>
        </is>
      </c>
      <c r="F255" s="25" t="inlineStr">
        <is>
          <t>ciacapaodacanoa@redeciadasaude.com.br</t>
        </is>
      </c>
      <c r="G255" s="25" t="inlineStr">
        <is>
          <t>+55 (51) 9703-8430</t>
        </is>
      </c>
      <c r="H255" s="25" t="inlineStr">
        <is>
          <t>08/10/2024</t>
        </is>
      </c>
      <c r="I255" s="25" t="inlineStr">
        <is>
          <t>[Rede] Cia da Saúde</t>
        </is>
      </c>
      <c r="J255" s="25" t="inlineStr">
        <is>
          <t>LARISSA PADILHA</t>
        </is>
      </c>
      <c r="K255" s="25" t="inlineStr">
        <is>
          <t>Larissa Padilha</t>
        </is>
      </c>
      <c r="L255" s="25" t="n">
        <v>276</v>
      </c>
      <c r="M255" s="25" t="inlineStr">
        <is>
          <t>15/05/2025</t>
        </is>
      </c>
      <c r="N255" s="25" t="n">
        <v>652.6799999999999</v>
      </c>
      <c r="O255" s="25" t="n">
        <v>3</v>
      </c>
      <c r="P255" s="25" t="inlineStr">
        <is>
          <t>Sim</t>
        </is>
      </c>
      <c r="Q255" s="25" t="n">
        <v>16</v>
      </c>
      <c r="R255" s="25" t="n">
        <v>2</v>
      </c>
      <c r="S255" s="25" t="n">
        <v>652.6799999999999</v>
      </c>
      <c r="T255" s="25" t="inlineStr">
        <is>
          <t>COMPRA B2B</t>
        </is>
      </c>
      <c r="U255" s="25" t="n">
        <v>0</v>
      </c>
      <c r="V255" s="25" t="n">
        <v>0</v>
      </c>
      <c r="W255" s="25" t="n">
        <v>652.6799999999999</v>
      </c>
      <c r="X255" s="25" t="n">
        <v>0</v>
      </c>
      <c r="Y255" s="25" t="n">
        <v>0</v>
      </c>
      <c r="Z255" s="25" t="n">
        <v>0</v>
      </c>
      <c r="AA255" s="25" t="n">
        <v>0</v>
      </c>
      <c r="AB255" s="25" t="n">
        <v>0</v>
      </c>
      <c r="AC255" s="25" t="n">
        <v>0</v>
      </c>
      <c r="AD255" s="25" t="n">
        <v>0</v>
      </c>
      <c r="AE255" s="25" t="n">
        <v>0</v>
      </c>
      <c r="AF255" s="25" t="n">
        <v>0</v>
      </c>
      <c r="AG255" s="25" t="n">
        <v>0</v>
      </c>
      <c r="AH255" s="25" t="n">
        <v>1</v>
      </c>
      <c r="AI255" s="25" t="inlineStr">
        <is>
          <t>C</t>
        </is>
      </c>
      <c r="AJ255" s="25" t="n">
        <v>1</v>
      </c>
      <c r="AK255" s="25" t="n">
        <v>652.6799999999999</v>
      </c>
      <c r="AL255" s="26" t="n">
        <v>46057.34659722223</v>
      </c>
      <c r="AM255" s="26" t="n">
        <v>46057.34659722223</v>
      </c>
      <c r="AN255" s="25" t="inlineStr">
        <is>
          <t>WHATSAPP</t>
        </is>
      </c>
      <c r="AO255" s="25" t="inlineStr">
        <is>
          <t>CIA DA SAÚDE - RS - ANA</t>
        </is>
      </c>
      <c r="AP255" s="27">
        <f>IF(AH255="","",IF(AH255=0,"PROSPECT",IF(AH255=1,"NOVO",IF(AH255&lt;=3,"EM DESENVOLVIMENTO",IF(AH255&lt;=6,"RECORRENTE","FIDELIZADO")))))</f>
        <v/>
      </c>
      <c r="AQ255" s="27">
        <f>IF(AJ255=0,0,IFERROR(SUM(U255:AF255)/AJ255,0))</f>
        <v/>
      </c>
      <c r="AS255" s="0" t="inlineStr">
        <is>
          <t>Carteira FEV/26</t>
        </is>
      </c>
    </row>
    <row r="256" ht="14.25" customHeight="1" s="16">
      <c r="A256" s="25" t="inlineStr">
        <is>
          <t>CIA DA SAUDE CAMPINAS</t>
        </is>
      </c>
      <c r="B256" s="25" t="inlineStr">
        <is>
          <t>20243285000107</t>
        </is>
      </c>
      <c r="C256" s="25" t="inlineStr">
        <is>
          <t>ALINE DA SILVA MENDES - COMERCIO DE PRODUTOS NATURAIS</t>
        </is>
      </c>
      <c r="D256" s="25" t="inlineStr">
        <is>
          <t>SC</t>
        </is>
      </c>
      <c r="E256" s="25" t="inlineStr">
        <is>
          <t>SAO JOSE</t>
        </is>
      </c>
      <c r="F256" s="25" t="inlineStr">
        <is>
          <t>ciacampinas@redeciadasaude.com.br</t>
        </is>
      </c>
      <c r="G256" s="25" t="inlineStr">
        <is>
          <t>+55 (48) 99168-4141</t>
        </is>
      </c>
      <c r="H256" s="25" t="inlineStr">
        <is>
          <t>08/10/2024</t>
        </is>
      </c>
      <c r="I256" s="25" t="inlineStr">
        <is>
          <t>[Rede] Cia da Saúde</t>
        </is>
      </c>
      <c r="J256" s="25" t="inlineStr">
        <is>
          <t>LARISSA PADILHA</t>
        </is>
      </c>
      <c r="K256" s="25" t="inlineStr">
        <is>
          <t>Larissa Padilha</t>
        </is>
      </c>
      <c r="L256" s="25" t="n">
        <v>320</v>
      </c>
      <c r="M256" s="25" t="inlineStr">
        <is>
          <t>01/04/2025</t>
        </is>
      </c>
      <c r="N256" s="25" t="n">
        <v>696.5</v>
      </c>
      <c r="O256" s="25" t="n"/>
      <c r="P256" s="25" t="n"/>
      <c r="Q256" s="25" t="n"/>
      <c r="R256" s="25" t="n"/>
      <c r="S256" s="25" t="n"/>
      <c r="T256" s="25" t="n"/>
      <c r="U256" s="25" t="n">
        <v>0</v>
      </c>
      <c r="V256" s="25" t="n">
        <v>696.5</v>
      </c>
      <c r="W256" s="25" t="n">
        <v>0</v>
      </c>
      <c r="X256" s="25" t="n">
        <v>0</v>
      </c>
      <c r="Y256" s="25" t="n">
        <v>0</v>
      </c>
      <c r="Z256" s="25" t="n">
        <v>0</v>
      </c>
      <c r="AA256" s="25" t="n">
        <v>0</v>
      </c>
      <c r="AB256" s="25" t="n">
        <v>0</v>
      </c>
      <c r="AC256" s="25" t="n">
        <v>0</v>
      </c>
      <c r="AD256" s="25" t="n">
        <v>0</v>
      </c>
      <c r="AE256" s="25" t="n">
        <v>0</v>
      </c>
      <c r="AF256" s="25" t="n">
        <v>0</v>
      </c>
      <c r="AG256" s="25" t="n">
        <v>0</v>
      </c>
      <c r="AH256" s="25" t="n">
        <v>1</v>
      </c>
      <c r="AI256" s="25" t="inlineStr">
        <is>
          <t>C</t>
        </is>
      </c>
      <c r="AJ256" s="25" t="n">
        <v>1</v>
      </c>
      <c r="AK256" s="25" t="n">
        <v>696.5</v>
      </c>
      <c r="AL256" s="26" t="n">
        <v>46058.52486111111</v>
      </c>
      <c r="AM256" s="26" t="n">
        <v>46058.52486111111</v>
      </c>
      <c r="AN256" s="25" t="inlineStr">
        <is>
          <t>WHATSAPP</t>
        </is>
      </c>
      <c r="AO256" s="25" t="inlineStr">
        <is>
          <t>CIA DA SAÚDE - ALINE - SC</t>
        </is>
      </c>
      <c r="AP256" s="27">
        <f>IF(AH256="","",IF(AH256=0,"PROSPECT",IF(AH256=1,"NOVO",IF(AH256&lt;=3,"EM DESENVOLVIMENTO",IF(AH256&lt;=6,"RECORRENTE","FIDELIZADO")))))</f>
        <v/>
      </c>
      <c r="AQ256" s="27">
        <f>IF(AJ256=0,0,IFERROR(SUM(U256:AF256)/AJ256,0))</f>
        <v/>
      </c>
      <c r="AS256" s="0" t="inlineStr">
        <is>
          <t>Carteira FEV/26</t>
        </is>
      </c>
    </row>
    <row r="257" ht="14.25" customHeight="1" s="16">
      <c r="A257" s="25" t="inlineStr">
        <is>
          <t>CIA DA SAUDE INDAIAL</t>
        </is>
      </c>
      <c r="B257" s="25" t="inlineStr">
        <is>
          <t>45161877000100</t>
        </is>
      </c>
      <c r="C257" s="25" t="inlineStr">
        <is>
          <t>JANAINA GREICE VANDERLINDE</t>
        </is>
      </c>
      <c r="D257" s="25" t="inlineStr">
        <is>
          <t>SC</t>
        </is>
      </c>
      <c r="E257" s="25" t="inlineStr">
        <is>
          <t>INDAIAL</t>
        </is>
      </c>
      <c r="F257" s="25" t="inlineStr">
        <is>
          <t>ciadasaudefinanceiro@gmail.com</t>
        </is>
      </c>
      <c r="G257" s="25" t="inlineStr">
        <is>
          <t>+55 (47) 3304-7708</t>
        </is>
      </c>
      <c r="H257" s="25" t="inlineStr">
        <is>
          <t>08/10/2024</t>
        </is>
      </c>
      <c r="I257" s="25" t="inlineStr">
        <is>
          <t>[Rede] Cia da Saúde</t>
        </is>
      </c>
      <c r="J257" s="25" t="inlineStr">
        <is>
          <t>MANU DITZEL</t>
        </is>
      </c>
      <c r="K257" s="25" t="inlineStr">
        <is>
          <t>Manu Ditzel</t>
        </is>
      </c>
      <c r="L257" s="25" t="n">
        <v>206</v>
      </c>
      <c r="M257" s="25" t="inlineStr">
        <is>
          <t>24/07/2025</t>
        </is>
      </c>
      <c r="N257" s="25" t="n">
        <v>6306.96</v>
      </c>
      <c r="O257" s="25" t="n"/>
      <c r="P257" s="25" t="n"/>
      <c r="Q257" s="25" t="n"/>
      <c r="R257" s="25" t="n"/>
      <c r="S257" s="25" t="n"/>
      <c r="T257" s="25" t="n"/>
      <c r="U257" s="25" t="n">
        <v>0</v>
      </c>
      <c r="V257" s="25" t="n">
        <v>4544.43</v>
      </c>
      <c r="W257" s="25" t="n">
        <v>0</v>
      </c>
      <c r="X257" s="25" t="n">
        <v>912.37</v>
      </c>
      <c r="Y257" s="25" t="n">
        <v>6306.96</v>
      </c>
      <c r="Z257" s="25" t="n">
        <v>0</v>
      </c>
      <c r="AA257" s="25" t="n">
        <v>0</v>
      </c>
      <c r="AB257" s="25" t="n">
        <v>0</v>
      </c>
      <c r="AC257" s="25" t="n">
        <v>0</v>
      </c>
      <c r="AD257" s="25" t="n">
        <v>0</v>
      </c>
      <c r="AE257" s="25" t="n">
        <v>0</v>
      </c>
      <c r="AF257" s="25" t="n">
        <v>0</v>
      </c>
      <c r="AG257" s="25" t="n">
        <v>53.5</v>
      </c>
      <c r="AH257" s="25" t="n">
        <v>3</v>
      </c>
      <c r="AI257" s="25" t="inlineStr">
        <is>
          <t>A</t>
        </is>
      </c>
      <c r="AJ257" s="25" t="n">
        <v>3</v>
      </c>
      <c r="AK257" s="25" t="n">
        <v>3921.25</v>
      </c>
      <c r="AL257" s="26" t="n">
        <v>45989.3634375</v>
      </c>
      <c r="AM257" s="26" t="n">
        <v>45989.3634375</v>
      </c>
      <c r="AN257" s="25" t="inlineStr">
        <is>
          <t>WHATSAPP</t>
        </is>
      </c>
      <c r="AO257" s="25" t="inlineStr">
        <is>
          <t>CIA DA SAÚDE - INDAIAL SC - JANAINA</t>
        </is>
      </c>
      <c r="AP257" s="27">
        <f>IF(AH257="","",IF(AH257=0,"PROSPECT",IF(AH257=1,"NOVO",IF(AH257&lt;=3,"EM DESENVOLVIMENTO",IF(AH257&lt;=6,"RECORRENTE","FIDELIZADO")))))</f>
        <v/>
      </c>
      <c r="AQ257" s="27">
        <f>IF(AJ257=0,0,IFERROR(SUM(U257:AF257)/AJ257,0))</f>
        <v/>
      </c>
      <c r="AS257" s="0" t="inlineStr">
        <is>
          <t>Carteira FEV/26</t>
        </is>
      </c>
    </row>
    <row r="258" ht="14.25" customHeight="1" s="16">
      <c r="A258" s="25" t="inlineStr">
        <is>
          <t>COMERCIAL JD</t>
        </is>
      </c>
      <c r="B258" s="25" t="inlineStr">
        <is>
          <t>07523884000108</t>
        </is>
      </c>
      <c r="C258" s="25" t="inlineStr">
        <is>
          <t>COMERCIAL DE ALIMENTOS SIQUEIRA LTDA</t>
        </is>
      </c>
      <c r="D258" s="25" t="inlineStr">
        <is>
          <t>RS</t>
        </is>
      </c>
      <c r="E258" s="25" t="inlineStr">
        <is>
          <t>CACHOEIRINHA</t>
        </is>
      </c>
      <c r="F258" s="25" t="inlineStr">
        <is>
          <t>JD.SIQUEIRACOMERCIAL@GMAIL.COM</t>
        </is>
      </c>
      <c r="G258" s="25" t="inlineStr">
        <is>
          <t>+55 (51) 99994-4079</t>
        </is>
      </c>
      <c r="H258" s="25" t="inlineStr">
        <is>
          <t>24/06/2025</t>
        </is>
      </c>
      <c r="I258" s="25" t="n"/>
      <c r="J258" s="25" t="inlineStr">
        <is>
          <t>MANU DITZEL</t>
        </is>
      </c>
      <c r="K258" s="25" t="inlineStr">
        <is>
          <t>Manu Ditzel</t>
        </is>
      </c>
      <c r="L258" s="25" t="n">
        <v>230</v>
      </c>
      <c r="M258" s="25" t="inlineStr">
        <is>
          <t>30/06/2025</t>
        </is>
      </c>
      <c r="N258" s="25" t="n">
        <v>9404.709999999999</v>
      </c>
      <c r="O258" s="25" t="n"/>
      <c r="P258" s="25" t="n"/>
      <c r="Q258" s="25" t="n"/>
      <c r="R258" s="25" t="n"/>
      <c r="S258" s="25" t="n"/>
      <c r="T258" s="25" t="n"/>
      <c r="U258" s="25" t="n">
        <v>0</v>
      </c>
      <c r="V258" s="25" t="n">
        <v>0</v>
      </c>
      <c r="W258" s="25" t="n">
        <v>0</v>
      </c>
      <c r="X258" s="25" t="n">
        <v>9404.709999999999</v>
      </c>
      <c r="Y258" s="25" t="n">
        <v>0</v>
      </c>
      <c r="Z258" s="25" t="n">
        <v>0</v>
      </c>
      <c r="AA258" s="25" t="n">
        <v>0</v>
      </c>
      <c r="AB258" s="25" t="n">
        <v>0</v>
      </c>
      <c r="AC258" s="25" t="n">
        <v>0</v>
      </c>
      <c r="AD258" s="25" t="n">
        <v>0</v>
      </c>
      <c r="AE258" s="25" t="n">
        <v>0</v>
      </c>
      <c r="AF258" s="25" t="n">
        <v>0</v>
      </c>
      <c r="AG258" s="25" t="n">
        <v>0</v>
      </c>
      <c r="AH258" s="25" t="n">
        <v>1</v>
      </c>
      <c r="AI258" s="25" t="inlineStr">
        <is>
          <t>A</t>
        </is>
      </c>
      <c r="AJ258" s="25" t="n">
        <v>1</v>
      </c>
      <c r="AK258" s="25" t="n">
        <v>9404.709999999999</v>
      </c>
      <c r="AL258" s="26" t="n">
        <v>45835.42966435185</v>
      </c>
      <c r="AM258" s="26" t="n">
        <v>45835.42966435185</v>
      </c>
      <c r="AN258" s="25" t="inlineStr">
        <is>
          <t>WHATSAPP</t>
        </is>
      </c>
      <c r="AO258" s="25" t="inlineStr">
        <is>
          <t>ALIMENTOS SIQUEIRA - JU</t>
        </is>
      </c>
      <c r="AP258" s="27">
        <f>IF(AH258="","",IF(AH258=0,"PROSPECT",IF(AH258=1,"NOVO",IF(AH258&lt;=3,"EM DESENVOLVIMENTO",IF(AH258&lt;=6,"RECORRENTE","FIDELIZADO")))))</f>
        <v/>
      </c>
      <c r="AQ258" s="27">
        <f>IF(AJ258=0,0,IFERROR(SUM(U258:AF258)/AJ258,0))</f>
        <v/>
      </c>
      <c r="AS258" s="0" t="inlineStr">
        <is>
          <t>Carteira FEV/26</t>
        </is>
      </c>
    </row>
    <row r="259" ht="14.25" customHeight="1" s="16">
      <c r="A259" s="25" t="inlineStr">
        <is>
          <t>COMPLEX NUTRITION</t>
        </is>
      </c>
      <c r="B259" s="25" t="inlineStr">
        <is>
          <t>34316966000154</t>
        </is>
      </c>
      <c r="C259" s="25" t="inlineStr">
        <is>
          <t>COMPLEX COMERCIO DE SUPLEMENTOS ALIMENTICIOS LTDA</t>
        </is>
      </c>
      <c r="D259" s="25" t="inlineStr">
        <is>
          <t>RS</t>
        </is>
      </c>
      <c r="E259" s="25" t="inlineStr">
        <is>
          <t>CANOAS</t>
        </is>
      </c>
      <c r="F259" s="25" t="inlineStr">
        <is>
          <t>andre@complexnutrition.com.br</t>
        </is>
      </c>
      <c r="G259" s="25" t="inlineStr">
        <is>
          <t>+55 (51) 98177-4433</t>
        </is>
      </c>
      <c r="H259" s="25" t="inlineStr">
        <is>
          <t>05/08/2025</t>
        </is>
      </c>
      <c r="I259" s="25" t="n"/>
      <c r="J259" s="25" t="inlineStr">
        <is>
          <t>MANU DITZEL</t>
        </is>
      </c>
      <c r="K259" s="25" t="inlineStr">
        <is>
          <t>Manu Ditzel</t>
        </is>
      </c>
      <c r="L259" s="25" t="n">
        <v>188</v>
      </c>
      <c r="M259" s="25" t="inlineStr">
        <is>
          <t>11/08/2025</t>
        </is>
      </c>
      <c r="N259" s="25" t="n">
        <v>801.51</v>
      </c>
      <c r="O259" s="25" t="n">
        <v>3</v>
      </c>
      <c r="P259" s="25" t="inlineStr">
        <is>
          <t>Sim</t>
        </is>
      </c>
      <c r="Q259" s="25" t="n">
        <v>57</v>
      </c>
      <c r="R259" s="25" t="n">
        <v>19</v>
      </c>
      <c r="S259" s="25" t="n">
        <v>801.51</v>
      </c>
      <c r="T259" s="25" t="inlineStr">
        <is>
          <t>COMPRA B2B</t>
        </is>
      </c>
      <c r="U259" s="25" t="n">
        <v>0</v>
      </c>
      <c r="V259" s="25" t="n">
        <v>0</v>
      </c>
      <c r="W259" s="25" t="n">
        <v>0</v>
      </c>
      <c r="X259" s="25" t="n">
        <v>0</v>
      </c>
      <c r="Y259" s="25" t="n">
        <v>0</v>
      </c>
      <c r="Z259" s="25" t="n">
        <v>801.51</v>
      </c>
      <c r="AA259" s="25" t="n">
        <v>0</v>
      </c>
      <c r="AB259" s="25" t="n">
        <v>0</v>
      </c>
      <c r="AC259" s="25" t="n">
        <v>0</v>
      </c>
      <c r="AD259" s="25" t="n">
        <v>0</v>
      </c>
      <c r="AE259" s="25" t="n">
        <v>0</v>
      </c>
      <c r="AF259" s="25" t="n">
        <v>0</v>
      </c>
      <c r="AG259" s="25" t="n">
        <v>0</v>
      </c>
      <c r="AH259" s="25" t="n">
        <v>1</v>
      </c>
      <c r="AI259" s="25" t="inlineStr">
        <is>
          <t>C</t>
        </is>
      </c>
      <c r="AJ259" s="25" t="n">
        <v>1</v>
      </c>
      <c r="AK259" s="25" t="n">
        <v>801.51</v>
      </c>
      <c r="AL259" s="26" t="n">
        <v>46058.46597222222</v>
      </c>
      <c r="AM259" s="26" t="n">
        <v>46058.46597222222</v>
      </c>
      <c r="AN259" s="25" t="inlineStr">
        <is>
          <t>WHATSAPP</t>
        </is>
      </c>
      <c r="AO259" s="25" t="inlineStr">
        <is>
          <t>FALOU QUE NÃO IA COMPRAR MAIS POIS CLIENTES NÃO ESTAVAM GOSTANDO TENTANTO RECOMPRA</t>
        </is>
      </c>
      <c r="AP259" s="27">
        <f>IF(AH259="","",IF(AH259=0,"PROSPECT",IF(AH259=1,"NOVO",IF(AH259&lt;=3,"EM DESENVOLVIMENTO",IF(AH259&lt;=6,"RECORRENTE","FIDELIZADO")))))</f>
        <v/>
      </c>
      <c r="AQ259" s="27">
        <f>IF(AJ259=0,0,IFERROR(SUM(U259:AF259)/AJ259,0))</f>
        <v/>
      </c>
      <c r="AS259" s="0" t="inlineStr">
        <is>
          <t>Carteira FEV/26 + Atend FEV/26</t>
        </is>
      </c>
    </row>
    <row r="260" ht="14.25" customHeight="1" s="16">
      <c r="A260" s="25" t="inlineStr">
        <is>
          <t>CONTORNO ARMAZEM</t>
        </is>
      </c>
      <c r="B260" s="25" t="inlineStr">
        <is>
          <t>29466137000118</t>
        </is>
      </c>
      <c r="C260" s="25" t="inlineStr">
        <is>
          <t>G.F. NOGUEIRA ARMAZEM NATURAL</t>
        </is>
      </c>
      <c r="D260" s="25" t="inlineStr">
        <is>
          <t>SP</t>
        </is>
      </c>
      <c r="E260" s="25" t="inlineStr">
        <is>
          <t>EMBU-GUACU</t>
        </is>
      </c>
      <c r="F260" s="25" t="inlineStr">
        <is>
          <t>contorno.contato@gmail.com</t>
        </is>
      </c>
      <c r="G260" s="25" t="inlineStr">
        <is>
          <t>+55 (11) 96406-7326</t>
        </is>
      </c>
      <c r="H260" s="25" t="inlineStr">
        <is>
          <t>21/08/2025</t>
        </is>
      </c>
      <c r="I260" s="25" t="n"/>
      <c r="J260" s="25" t="inlineStr">
        <is>
          <t>MANU DITZEL</t>
        </is>
      </c>
      <c r="K260" s="25" t="inlineStr">
        <is>
          <t>Manu Ditzel</t>
        </is>
      </c>
      <c r="L260" s="25" t="n">
        <v>172</v>
      </c>
      <c r="M260" s="25" t="inlineStr">
        <is>
          <t>27/08/2025</t>
        </is>
      </c>
      <c r="N260" s="25" t="n">
        <v>901.53</v>
      </c>
      <c r="O260" s="25" t="n">
        <v>4</v>
      </c>
      <c r="P260" s="25" t="inlineStr">
        <is>
          <t>Sim</t>
        </is>
      </c>
      <c r="Q260" s="25" t="n">
        <v>46</v>
      </c>
      <c r="R260" s="25" t="n">
        <v>15</v>
      </c>
      <c r="S260" s="25" t="n">
        <v>901.53</v>
      </c>
      <c r="T260" s="25" t="inlineStr">
        <is>
          <t>COMPRA B2B</t>
        </is>
      </c>
      <c r="U260" s="25" t="n">
        <v>0</v>
      </c>
      <c r="V260" s="25" t="n">
        <v>0</v>
      </c>
      <c r="W260" s="25" t="n">
        <v>0</v>
      </c>
      <c r="X260" s="25" t="n">
        <v>0</v>
      </c>
      <c r="Y260" s="25" t="n">
        <v>0</v>
      </c>
      <c r="Z260" s="25" t="n">
        <v>901.53</v>
      </c>
      <c r="AA260" s="25" t="n">
        <v>0</v>
      </c>
      <c r="AB260" s="25" t="n">
        <v>0</v>
      </c>
      <c r="AC260" s="25" t="n">
        <v>0</v>
      </c>
      <c r="AD260" s="25" t="n">
        <v>0</v>
      </c>
      <c r="AE260" s="25" t="n">
        <v>0</v>
      </c>
      <c r="AF260" s="25" t="n">
        <v>0</v>
      </c>
      <c r="AG260" s="25" t="n">
        <v>0</v>
      </c>
      <c r="AH260" s="25" t="n">
        <v>1</v>
      </c>
      <c r="AI260" s="25" t="inlineStr">
        <is>
          <t>C</t>
        </is>
      </c>
      <c r="AJ260" s="25" t="n">
        <v>1</v>
      </c>
      <c r="AK260" s="25" t="n">
        <v>901.53</v>
      </c>
      <c r="AL260" s="26" t="n">
        <v>46065.40833333333</v>
      </c>
      <c r="AM260" s="26" t="n">
        <v>46065.40833333333</v>
      </c>
      <c r="AN260" s="25" t="inlineStr">
        <is>
          <t>WHATSAPP</t>
        </is>
      </c>
      <c r="AO260" s="25" t="inlineStr">
        <is>
          <t>NUTRIÇÃO | Envio da campanha do mês</t>
        </is>
      </c>
      <c r="AP260" s="27">
        <f>IF(AH260="","",IF(AH260=0,"PROSPECT",IF(AH260=1,"NOVO",IF(AH260&lt;=3,"EM DESENVOLVIMENTO",IF(AH260&lt;=6,"RECORRENTE","FIDELIZADO")))))</f>
        <v/>
      </c>
      <c r="AQ260" s="27">
        <f>IF(AJ260=0,0,IFERROR(SUM(U260:AF260)/AJ260,0))</f>
        <v/>
      </c>
      <c r="AS260" s="0" t="inlineStr">
        <is>
          <t>Carteira FEV/26 + Atend FEV/26</t>
        </is>
      </c>
    </row>
    <row r="261" ht="14.25" customHeight="1" s="16">
      <c r="A261" s="25" t="inlineStr">
        <is>
          <t>CONVENIENCIA D-PORT</t>
        </is>
      </c>
      <c r="B261" s="25" t="inlineStr">
        <is>
          <t>42627934000106</t>
        </is>
      </c>
      <c r="C261" s="25" t="inlineStr">
        <is>
          <t>LOJA DE CONVENIENCIA D-PORT LTDA</t>
        </is>
      </c>
      <c r="D261" s="25" t="inlineStr">
        <is>
          <t>SP</t>
        </is>
      </c>
      <c r="E261" s="25" t="inlineStr">
        <is>
          <t>IBITINGA</t>
        </is>
      </c>
      <c r="F261" s="25" t="inlineStr">
        <is>
          <t>dportconveniencia@hotmail.com</t>
        </is>
      </c>
      <c r="G261" s="25" t="inlineStr">
        <is>
          <t>+55 (16) 99781-3352</t>
        </is>
      </c>
      <c r="H261" s="25" t="inlineStr">
        <is>
          <t>17/09/2025</t>
        </is>
      </c>
      <c r="I261" s="25" t="n"/>
      <c r="J261" s="25" t="inlineStr">
        <is>
          <t>LARISSA PADILHA</t>
        </is>
      </c>
      <c r="K261" s="25" t="inlineStr">
        <is>
          <t>Larissa Padilha</t>
        </is>
      </c>
      <c r="L261" s="25" t="n">
        <v>145</v>
      </c>
      <c r="M261" s="25" t="inlineStr">
        <is>
          <t>23/09/2025</t>
        </is>
      </c>
      <c r="N261" s="25" t="n">
        <v>1809</v>
      </c>
      <c r="O261" s="25" t="n"/>
      <c r="P261" s="25" t="n"/>
      <c r="Q261" s="25" t="n"/>
      <c r="R261" s="25" t="n"/>
      <c r="S261" s="25" t="n"/>
      <c r="T261" s="25" t="n"/>
      <c r="U261" s="25" t="n">
        <v>0</v>
      </c>
      <c r="V261" s="25" t="n">
        <v>0</v>
      </c>
      <c r="W261" s="25" t="n">
        <v>0</v>
      </c>
      <c r="X261" s="25" t="n">
        <v>0</v>
      </c>
      <c r="Y261" s="25" t="n">
        <v>0</v>
      </c>
      <c r="Z261" s="25" t="n">
        <v>0</v>
      </c>
      <c r="AA261" s="25" t="n">
        <v>1809</v>
      </c>
      <c r="AB261" s="25" t="n">
        <v>0</v>
      </c>
      <c r="AC261" s="25" t="n">
        <v>0</v>
      </c>
      <c r="AD261" s="25" t="n">
        <v>0</v>
      </c>
      <c r="AE261" s="25" t="n">
        <v>0</v>
      </c>
      <c r="AF261" s="25" t="n">
        <v>0</v>
      </c>
      <c r="AG261" s="25" t="n">
        <v>0</v>
      </c>
      <c r="AH261" s="25" t="n">
        <v>1</v>
      </c>
      <c r="AI261" s="25" t="inlineStr">
        <is>
          <t>B</t>
        </is>
      </c>
      <c r="AJ261" s="25" t="n">
        <v>1</v>
      </c>
      <c r="AK261" s="25" t="n">
        <v>1809</v>
      </c>
      <c r="AL261" s="26" t="n">
        <v>46036.39513888889</v>
      </c>
      <c r="AM261" s="26" t="n">
        <v>46036.39513888889</v>
      </c>
      <c r="AN261" s="25" t="inlineStr">
        <is>
          <t>WHATSAPP</t>
        </is>
      </c>
      <c r="AO261" s="25" t="inlineStr">
        <is>
          <t>PÓS-VENDA</t>
        </is>
      </c>
      <c r="AP261" s="27">
        <f>IF(AH261="","",IF(AH261=0,"PROSPECT",IF(AH261=1,"NOVO",IF(AH261&lt;=3,"EM DESENVOLVIMENTO",IF(AH261&lt;=6,"RECORRENTE","FIDELIZADO")))))</f>
        <v/>
      </c>
      <c r="AQ261" s="27">
        <f>IF(AJ261=0,0,IFERROR(SUM(U261:AF261)/AJ261,0))</f>
        <v/>
      </c>
      <c r="AS261" s="0" t="inlineStr">
        <is>
          <t>Carteira FEV/26</t>
        </is>
      </c>
    </row>
    <row r="262" ht="14.25" customHeight="1" s="16">
      <c r="A262" s="25" t="inlineStr">
        <is>
          <t>CORPUS SUPPLEMENTS NUTRICAO ESPORTIVA</t>
        </is>
      </c>
      <c r="B262" s="25" t="inlineStr">
        <is>
          <t>36833981000103</t>
        </is>
      </c>
      <c r="C262" s="25" t="inlineStr">
        <is>
          <t>R DE S MENESES LTDA</t>
        </is>
      </c>
      <c r="D262" s="25" t="inlineStr">
        <is>
          <t>MA</t>
        </is>
      </c>
      <c r="E262" s="25" t="inlineStr">
        <is>
          <t>CODO</t>
        </is>
      </c>
      <c r="F262" s="25" t="inlineStr">
        <is>
          <t>corpus.supplements@gmail.com</t>
        </is>
      </c>
      <c r="G262" s="25" t="inlineStr">
        <is>
          <t>+55 (99) 8122-3533</t>
        </is>
      </c>
      <c r="H262" s="25" t="inlineStr">
        <is>
          <t>11/06/2025</t>
        </is>
      </c>
      <c r="I262" s="25" t="n"/>
      <c r="J262" s="25" t="inlineStr">
        <is>
          <t>LARISSA PADILHA</t>
        </is>
      </c>
      <c r="K262" s="25" t="inlineStr">
        <is>
          <t>Larissa Padilha</t>
        </is>
      </c>
      <c r="L262" s="25" t="n">
        <v>244</v>
      </c>
      <c r="M262" s="25" t="inlineStr">
        <is>
          <t>16/06/2025</t>
        </is>
      </c>
      <c r="N262" s="25" t="n">
        <v>3469.32</v>
      </c>
      <c r="O262" s="25" t="n">
        <v>2</v>
      </c>
      <c r="P262" s="25" t="inlineStr">
        <is>
          <t>Sim</t>
        </is>
      </c>
      <c r="Q262" s="25" t="n">
        <v>38</v>
      </c>
      <c r="R262" s="25" t="n">
        <v>21</v>
      </c>
      <c r="S262" s="25" t="n">
        <v>3469.32</v>
      </c>
      <c r="T262" s="25" t="inlineStr">
        <is>
          <t>COMPRA B2B</t>
        </is>
      </c>
      <c r="U262" s="25" t="n">
        <v>0</v>
      </c>
      <c r="V262" s="25" t="n">
        <v>0</v>
      </c>
      <c r="W262" s="25" t="n">
        <v>0</v>
      </c>
      <c r="X262" s="25" t="n">
        <v>3469.32</v>
      </c>
      <c r="Y262" s="25" t="n">
        <v>0</v>
      </c>
      <c r="Z262" s="25" t="n">
        <v>0</v>
      </c>
      <c r="AA262" s="25" t="n">
        <v>0</v>
      </c>
      <c r="AB262" s="25" t="n">
        <v>0</v>
      </c>
      <c r="AC262" s="25" t="n">
        <v>0</v>
      </c>
      <c r="AD262" s="25" t="n">
        <v>0</v>
      </c>
      <c r="AE262" s="25" t="n">
        <v>0</v>
      </c>
      <c r="AF262" s="25" t="n">
        <v>0</v>
      </c>
      <c r="AG262" s="25" t="n">
        <v>0</v>
      </c>
      <c r="AH262" s="25" t="n">
        <v>1</v>
      </c>
      <c r="AI262" s="25" t="inlineStr">
        <is>
          <t>A</t>
        </is>
      </c>
      <c r="AJ262" s="25" t="n">
        <v>1</v>
      </c>
      <c r="AK262" s="25" t="n">
        <v>3469.32</v>
      </c>
      <c r="AL262" s="26" t="n">
        <v>46036.67083333333</v>
      </c>
      <c r="AM262" s="26" t="n">
        <v>46036.67083333333</v>
      </c>
      <c r="AN262" s="25" t="inlineStr">
        <is>
          <t>WHATSAPP</t>
        </is>
      </c>
      <c r="AO262" s="25" t="inlineStr">
        <is>
          <t>RECOMPRA | Nova abordagem - Linha Disney</t>
        </is>
      </c>
      <c r="AP262" s="27">
        <f>IF(AH262="","",IF(AH262=0,"PROSPECT",IF(AH262=1,"NOVO",IF(AH262&lt;=3,"EM DESENVOLVIMENTO",IF(AH262&lt;=6,"RECORRENTE","FIDELIZADO")))))</f>
        <v/>
      </c>
      <c r="AQ262" s="27">
        <f>IF(AJ262=0,0,IFERROR(SUM(U262:AF262)/AJ262,0))</f>
        <v/>
      </c>
      <c r="AS262" s="0" t="inlineStr">
        <is>
          <t>Carteira FEV/26</t>
        </is>
      </c>
    </row>
    <row r="263" ht="14.25" customHeight="1" s="16">
      <c r="A263" s="25" t="inlineStr">
        <is>
          <t>CSJ BRASIL ALIMENTOS LTDA</t>
        </is>
      </c>
      <c r="B263" s="25" t="inlineStr">
        <is>
          <t>58363567000102</t>
        </is>
      </c>
      <c r="C263" s="25" t="inlineStr">
        <is>
          <t>CSJ BRASIL ALIMENTOS LTDA</t>
        </is>
      </c>
      <c r="D263" s="25" t="inlineStr">
        <is>
          <t>SC</t>
        </is>
      </c>
      <c r="E263" s="25" t="inlineStr">
        <is>
          <t>JARAGUA DO SUL</t>
        </is>
      </c>
      <c r="F263" s="25" t="inlineStr">
        <is>
          <t>ciajaragua@hotmail.com</t>
        </is>
      </c>
      <c r="G263" s="25" t="inlineStr">
        <is>
          <t>+55 (11) 95281-9565</t>
        </is>
      </c>
      <c r="H263" s="25" t="inlineStr">
        <is>
          <t>08/04/2025</t>
        </is>
      </c>
      <c r="I263" s="25" t="inlineStr">
        <is>
          <t>[Rede] Cia da Saúde</t>
        </is>
      </c>
      <c r="J263" s="25" t="inlineStr">
        <is>
          <t>JULIO GADRET</t>
        </is>
      </c>
      <c r="K263" s="25" t="inlineStr">
        <is>
          <t>Julio  Gadret</t>
        </is>
      </c>
      <c r="L263" s="25" t="n">
        <v>111</v>
      </c>
      <c r="M263" s="25" t="inlineStr">
        <is>
          <t>27/10/2025</t>
        </is>
      </c>
      <c r="N263" s="25" t="n">
        <v>1330.13</v>
      </c>
      <c r="O263" s="25" t="n">
        <v>1</v>
      </c>
      <c r="P263" s="25" t="inlineStr">
        <is>
          <t>Sim</t>
        </is>
      </c>
      <c r="Q263" s="25" t="n">
        <v>2</v>
      </c>
      <c r="R263" s="25" t="n"/>
      <c r="S263" s="25" t="n"/>
      <c r="T263" s="25" t="n"/>
      <c r="U263" s="25" t="n">
        <v>0</v>
      </c>
      <c r="V263" s="25" t="n">
        <v>0</v>
      </c>
      <c r="W263" s="25" t="n">
        <v>0</v>
      </c>
      <c r="X263" s="25" t="n">
        <v>0</v>
      </c>
      <c r="Y263" s="25" t="n">
        <v>0</v>
      </c>
      <c r="Z263" s="25" t="n">
        <v>0</v>
      </c>
      <c r="AA263" s="25" t="n">
        <v>2710.89</v>
      </c>
      <c r="AB263" s="25" t="n">
        <v>1330.13</v>
      </c>
      <c r="AC263" s="25" t="n">
        <v>0</v>
      </c>
      <c r="AD263" s="25" t="n">
        <v>0</v>
      </c>
      <c r="AE263" s="25" t="n">
        <v>0</v>
      </c>
      <c r="AF263" s="25" t="n">
        <v>0</v>
      </c>
      <c r="AG263" s="25" t="n">
        <v>31</v>
      </c>
      <c r="AH263" s="25" t="n">
        <v>2</v>
      </c>
      <c r="AI263" s="25" t="inlineStr">
        <is>
          <t>A</t>
        </is>
      </c>
      <c r="AJ263" s="25" t="n">
        <v>2</v>
      </c>
      <c r="AK263" s="25" t="n">
        <v>2020.51</v>
      </c>
      <c r="AL263" s="26" t="n">
        <v>45849.42434027778</v>
      </c>
      <c r="AM263" s="26" t="n">
        <v>45849.42434027778</v>
      </c>
      <c r="AN263" s="25" t="inlineStr">
        <is>
          <t>WHATSAPP</t>
        </is>
      </c>
      <c r="AO263" s="28" t="inlineStr">
        <is>
          <t>CIA DA SAUDE - JARAGUÁ DO SUL - GUILHERME</t>
        </is>
      </c>
      <c r="AP263" s="27">
        <f>IF(AH263="","",IF(AH263=0,"PROSPECT",IF(AH263=1,"NOVO",IF(AH263&lt;=3,"EM DESENVOLVIMENTO",IF(AH263&lt;=6,"RECORRENTE","FIDELIZADO")))))</f>
        <v/>
      </c>
      <c r="AQ263" s="27">
        <f>IF(AJ263=0,0,IFERROR(SUM(U263:AF263)/AJ263,0))</f>
        <v/>
      </c>
      <c r="AR263" s="15" t="inlineStr">
        <is>
          <t>⚠️ DDD(11)=SP≠SC</t>
        </is>
      </c>
      <c r="AS263" s="0" t="inlineStr">
        <is>
          <t>Carteira FEV/26</t>
        </is>
      </c>
    </row>
    <row r="264" ht="14.25" customHeight="1" s="16">
      <c r="A264" s="25" t="inlineStr">
        <is>
          <t>DELFINO FESTAS EMBALAGENS &amp; EQUIPAMENTOS</t>
        </is>
      </c>
      <c r="B264" s="25" t="inlineStr">
        <is>
          <t>26593516000180</t>
        </is>
      </c>
      <c r="C264" s="25" t="inlineStr">
        <is>
          <t>LEANDRO DELFINO DE SOUSA</t>
        </is>
      </c>
      <c r="D264" s="25" t="inlineStr">
        <is>
          <t>GO</t>
        </is>
      </c>
      <c r="E264" s="25" t="inlineStr">
        <is>
          <t>URUACU</t>
        </is>
      </c>
      <c r="F264" s="25" t="inlineStr">
        <is>
          <t>embalagensdelfino@hotmail.com</t>
        </is>
      </c>
      <c r="G264" s="25" t="inlineStr">
        <is>
          <t>+55 (62) 3357-3862</t>
        </is>
      </c>
      <c r="H264" s="25" t="inlineStr">
        <is>
          <t>03/04/2025</t>
        </is>
      </c>
      <c r="I264" s="25" t="n"/>
      <c r="J264" s="25" t="inlineStr">
        <is>
          <t>DAIANE STAVICKI</t>
        </is>
      </c>
      <c r="K264" s="25" t="inlineStr">
        <is>
          <t>Central - Daiane</t>
        </is>
      </c>
      <c r="L264" s="25" t="n">
        <v>318</v>
      </c>
      <c r="M264" s="25" t="inlineStr">
        <is>
          <t>03/04/2025</t>
        </is>
      </c>
      <c r="N264" s="25" t="n">
        <v>2713.86</v>
      </c>
      <c r="O264" s="25" t="n">
        <v>2</v>
      </c>
      <c r="P264" s="25" t="inlineStr">
        <is>
          <t>Sim</t>
        </is>
      </c>
      <c r="Q264" s="25" t="n">
        <v>110</v>
      </c>
      <c r="R264" s="25" t="n">
        <v>41</v>
      </c>
      <c r="S264" s="25" t="n">
        <v>2713.86</v>
      </c>
      <c r="T264" s="25" t="inlineStr">
        <is>
          <t>COMPRA B2B</t>
        </is>
      </c>
      <c r="U264" s="25" t="n">
        <v>0</v>
      </c>
      <c r="V264" s="25" t="n">
        <v>2713.86</v>
      </c>
      <c r="W264" s="25" t="n">
        <v>0</v>
      </c>
      <c r="X264" s="25" t="n">
        <v>0</v>
      </c>
      <c r="Y264" s="25" t="n">
        <v>0</v>
      </c>
      <c r="Z264" s="25" t="n">
        <v>0</v>
      </c>
      <c r="AA264" s="25" t="n">
        <v>0</v>
      </c>
      <c r="AB264" s="25" t="n">
        <v>0</v>
      </c>
      <c r="AC264" s="25" t="n">
        <v>0</v>
      </c>
      <c r="AD264" s="25" t="n">
        <v>0</v>
      </c>
      <c r="AE264" s="25" t="n">
        <v>0</v>
      </c>
      <c r="AF264" s="25" t="n">
        <v>0</v>
      </c>
      <c r="AG264" s="25" t="n">
        <v>0</v>
      </c>
      <c r="AH264" s="25" t="n">
        <v>1</v>
      </c>
      <c r="AI264" s="25" t="inlineStr">
        <is>
          <t>A</t>
        </is>
      </c>
      <c r="AJ264" s="25" t="n">
        <v>1</v>
      </c>
      <c r="AK264" s="25" t="n">
        <v>2713.86</v>
      </c>
      <c r="AL264" s="26" t="n">
        <v>46036.70241898148</v>
      </c>
      <c r="AM264" s="26" t="n">
        <v>46036.70241898148</v>
      </c>
      <c r="AN264" s="25" t="inlineStr">
        <is>
          <t>WHATSAPP</t>
        </is>
      </c>
      <c r="AO264" s="25" t="inlineStr">
        <is>
          <t>DELFINO - SHIRLEY - GO</t>
        </is>
      </c>
      <c r="AP264" s="27">
        <f>IF(AH264="","",IF(AH264=0,"PROSPECT",IF(AH264=1,"NOVO",IF(AH264&lt;=3,"EM DESENVOLVIMENTO",IF(AH264&lt;=6,"RECORRENTE","FIDELIZADO")))))</f>
        <v/>
      </c>
      <c r="AQ264" s="27">
        <f>IF(AJ264=0,0,IFERROR(SUM(U264:AF264)/AJ264,0))</f>
        <v/>
      </c>
      <c r="AS264" s="0" t="inlineStr">
        <is>
          <t>Carteira FEV/26</t>
        </is>
      </c>
    </row>
    <row r="265" ht="14.25" customHeight="1" s="16">
      <c r="A265" s="25" t="inlineStr">
        <is>
          <t>DELICIAS DO NORDESTE II</t>
        </is>
      </c>
      <c r="B265" s="25" t="inlineStr">
        <is>
          <t>33156790000158</t>
        </is>
      </c>
      <c r="C265" s="25" t="inlineStr">
        <is>
          <t>ROBERTO B DA COSTA JUNIOR</t>
        </is>
      </c>
      <c r="D265" s="25" t="inlineStr">
        <is>
          <t>PE</t>
        </is>
      </c>
      <c r="E265" s="25" t="inlineStr">
        <is>
          <t>RECIFE</t>
        </is>
      </c>
      <c r="F265" s="25" t="inlineStr">
        <is>
          <t>deliciasne.sj@gmail.com</t>
        </is>
      </c>
      <c r="G265" s="25" t="inlineStr">
        <is>
          <t>+55 (81) 98734-1303</t>
        </is>
      </c>
      <c r="H265" s="25" t="inlineStr">
        <is>
          <t>31/07/2025</t>
        </is>
      </c>
      <c r="I265" s="25" t="n"/>
      <c r="J265" s="25" t="inlineStr">
        <is>
          <t>LARISSA PADILHA</t>
        </is>
      </c>
      <c r="K265" s="25" t="inlineStr">
        <is>
          <t>Larissa Padilha</t>
        </is>
      </c>
      <c r="L265" s="25" t="n">
        <v>109</v>
      </c>
      <c r="M265" s="25" t="inlineStr">
        <is>
          <t>29/10/2025</t>
        </is>
      </c>
      <c r="N265" s="25" t="n">
        <v>1453.07</v>
      </c>
      <c r="O265" s="25" t="n">
        <v>3</v>
      </c>
      <c r="P265" s="25" t="inlineStr">
        <is>
          <t>Sim</t>
        </is>
      </c>
      <c r="Q265" s="25" t="n">
        <v>7</v>
      </c>
      <c r="R265" s="25" t="n"/>
      <c r="S265" s="25" t="n"/>
      <c r="T265" s="25" t="n"/>
      <c r="U265" s="25" t="n">
        <v>0</v>
      </c>
      <c r="V265" s="25" t="n">
        <v>0</v>
      </c>
      <c r="W265" s="25" t="n">
        <v>0</v>
      </c>
      <c r="X265" s="25" t="n">
        <v>0</v>
      </c>
      <c r="Y265" s="25" t="n">
        <v>0</v>
      </c>
      <c r="Z265" s="25" t="n">
        <v>0</v>
      </c>
      <c r="AA265" s="25" t="n">
        <v>0</v>
      </c>
      <c r="AB265" s="25" t="n">
        <v>1453.07</v>
      </c>
      <c r="AC265" s="25" t="n">
        <v>0</v>
      </c>
      <c r="AD265" s="25" t="n">
        <v>0</v>
      </c>
      <c r="AE265" s="25" t="n">
        <v>0</v>
      </c>
      <c r="AF265" s="25" t="n">
        <v>0</v>
      </c>
      <c r="AG265" s="25" t="n">
        <v>0</v>
      </c>
      <c r="AH265" s="25" t="n">
        <v>1</v>
      </c>
      <c r="AI265" s="25" t="inlineStr">
        <is>
          <t>B</t>
        </is>
      </c>
      <c r="AJ265" s="25" t="n">
        <v>1</v>
      </c>
      <c r="AK265" s="25" t="n">
        <v>1453.07</v>
      </c>
      <c r="AL265" s="26" t="n">
        <v>46065.58055555556</v>
      </c>
      <c r="AM265" s="26" t="n">
        <v>46065.58055555556</v>
      </c>
      <c r="AN265" s="25" t="inlineStr">
        <is>
          <t>WHATSAPP</t>
        </is>
      </c>
      <c r="AO265" s="25" t="inlineStr">
        <is>
          <t>NUTRIÇÃO | Envio da campanha do mês</t>
        </is>
      </c>
      <c r="AP265" s="27">
        <f>IF(AH265="","",IF(AH265=0,"PROSPECT",IF(AH265=1,"NOVO",IF(AH265&lt;=3,"EM DESENVOLVIMENTO",IF(AH265&lt;=6,"RECORRENTE","FIDELIZADO")))))</f>
        <v/>
      </c>
      <c r="AQ265" s="27">
        <f>IF(AJ265=0,0,IFERROR(SUM(U265:AF265)/AJ265,0))</f>
        <v/>
      </c>
      <c r="AS265" s="0" t="inlineStr">
        <is>
          <t>Carteira FEV/26 + Atend FEV/26</t>
        </is>
      </c>
    </row>
    <row r="266" ht="14.25" customHeight="1" s="16">
      <c r="A266" s="25" t="inlineStr">
        <is>
          <t>DELICIAS TRIUNFAL</t>
        </is>
      </c>
      <c r="B266" s="25" t="inlineStr">
        <is>
          <t>79725255000171</t>
        </is>
      </c>
      <c r="C266" s="25" t="inlineStr">
        <is>
          <t>ALAVER &amp; REZENDE LTDA</t>
        </is>
      </c>
      <c r="D266" s="25" t="inlineStr">
        <is>
          <t>PR</t>
        </is>
      </c>
      <c r="E266" s="25" t="inlineStr">
        <is>
          <t>SANTO ANTONIO DA PLATINA</t>
        </is>
      </c>
      <c r="F266" s="25" t="inlineStr">
        <is>
          <t>vaniacardosoprata@gmail.com</t>
        </is>
      </c>
      <c r="G266" s="25" t="inlineStr">
        <is>
          <t>+55 (11) 97194-2324</t>
        </is>
      </c>
      <c r="H266" s="25" t="inlineStr">
        <is>
          <t>08/10/2024</t>
        </is>
      </c>
      <c r="I266" s="25" t="n"/>
      <c r="J266" s="25" t="inlineStr">
        <is>
          <t>MANU DITZEL</t>
        </is>
      </c>
      <c r="K266" s="25" t="inlineStr">
        <is>
          <t>Manu Ditzel</t>
        </is>
      </c>
      <c r="L266" s="25" t="n">
        <v>121</v>
      </c>
      <c r="M266" s="25" t="inlineStr">
        <is>
          <t>17/10/2025</t>
        </is>
      </c>
      <c r="N266" s="25" t="n">
        <v>784.88</v>
      </c>
      <c r="O266" s="25" t="n">
        <v>6</v>
      </c>
      <c r="P266" s="25" t="inlineStr">
        <is>
          <t>Sim</t>
        </is>
      </c>
      <c r="Q266" s="25" t="n">
        <v>69</v>
      </c>
      <c r="R266" s="25" t="n">
        <v>25</v>
      </c>
      <c r="S266" s="25" t="n">
        <v>1993.34</v>
      </c>
      <c r="T266" s="25" t="inlineStr">
        <is>
          <t>COMPRA B2B</t>
        </is>
      </c>
      <c r="U266" s="25" t="n">
        <v>0</v>
      </c>
      <c r="V266" s="25" t="n">
        <v>0</v>
      </c>
      <c r="W266" s="25" t="n">
        <v>1145.41</v>
      </c>
      <c r="X266" s="25" t="n">
        <v>847.9299999999999</v>
      </c>
      <c r="Y266" s="25" t="n">
        <v>0</v>
      </c>
      <c r="Z266" s="25" t="n">
        <v>767.84</v>
      </c>
      <c r="AA266" s="25" t="n">
        <v>0</v>
      </c>
      <c r="AB266" s="25" t="n">
        <v>784.88</v>
      </c>
      <c r="AC266" s="25" t="n">
        <v>0</v>
      </c>
      <c r="AD266" s="25" t="n">
        <v>0</v>
      </c>
      <c r="AE266" s="25" t="n">
        <v>0</v>
      </c>
      <c r="AF266" s="25" t="n">
        <v>0</v>
      </c>
      <c r="AG266" s="25" t="n">
        <v>52.6667</v>
      </c>
      <c r="AH266" s="25" t="n">
        <v>4</v>
      </c>
      <c r="AI266" s="25" t="inlineStr">
        <is>
          <t>A</t>
        </is>
      </c>
      <c r="AJ266" s="25" t="n">
        <v>4</v>
      </c>
      <c r="AK266" s="25" t="n">
        <v>886.51</v>
      </c>
      <c r="AL266" s="26" t="n">
        <v>46002.39236111111</v>
      </c>
      <c r="AM266" s="26" t="n">
        <v>46002.39236111111</v>
      </c>
      <c r="AN266" s="25" t="inlineStr">
        <is>
          <t>LIGAÇÃO</t>
        </is>
      </c>
      <c r="AO266" s="25" t="inlineStr">
        <is>
          <t>TEVE UM BOLETO QUE FOI A CARTÓRIO, MAS JÁ PAGOU</t>
        </is>
      </c>
      <c r="AP266" s="27">
        <f>IF(AH266="","",IF(AH266=0,"PROSPECT",IF(AH266=1,"NOVO",IF(AH266&lt;=3,"EM DESENVOLVIMENTO",IF(AH266&lt;=6,"RECORRENTE","FIDELIZADO")))))</f>
        <v/>
      </c>
      <c r="AQ266" s="27">
        <f>IF(AJ266=0,0,IFERROR(SUM(U266:AF266)/AJ266,0))</f>
        <v/>
      </c>
      <c r="AR266" s="15" t="inlineStr">
        <is>
          <t>⚠️ DDD(11)=SP≠PR</t>
        </is>
      </c>
      <c r="AS266" s="0" t="inlineStr">
        <is>
          <t>Carteira FEV/26</t>
        </is>
      </c>
    </row>
    <row r="267" ht="14.25" customHeight="1" s="16">
      <c r="A267" s="25" t="inlineStr">
        <is>
          <t>DI MANGIARE ALIMENTOS LTDA</t>
        </is>
      </c>
      <c r="B267" s="25" t="inlineStr">
        <is>
          <t>15415386000170</t>
        </is>
      </c>
      <c r="C267" s="25" t="inlineStr">
        <is>
          <t>DI MANGIARE ALIMENTOS LTDA</t>
        </is>
      </c>
      <c r="D267" s="25" t="inlineStr">
        <is>
          <t>SC</t>
        </is>
      </c>
      <c r="E267" s="25" t="inlineStr">
        <is>
          <t>JOINVILLE</t>
        </is>
      </c>
      <c r="F267" s="25" t="inlineStr">
        <is>
          <t>teste@teste.com</t>
        </is>
      </c>
      <c r="G267" s="25" t="inlineStr">
        <is>
          <t>+55 (47) 9992-2185</t>
        </is>
      </c>
      <c r="H267" s="25" t="inlineStr">
        <is>
          <t>02/10/2025</t>
        </is>
      </c>
      <c r="I267" s="25" t="n"/>
      <c r="J267" s="25" t="inlineStr">
        <is>
          <t>MANU DITZEL</t>
        </is>
      </c>
      <c r="K267" s="25" t="inlineStr">
        <is>
          <t>Manu Ditzel</t>
        </is>
      </c>
      <c r="L267" s="25" t="n">
        <v>89</v>
      </c>
      <c r="M267" s="25" t="inlineStr">
        <is>
          <t>18/11/2025</t>
        </is>
      </c>
      <c r="N267" s="25" t="n">
        <v>3451.19</v>
      </c>
      <c r="O267" s="25" t="n"/>
      <c r="P267" s="25" t="n"/>
      <c r="Q267" s="25" t="n"/>
      <c r="R267" s="25" t="n"/>
      <c r="S267" s="25" t="n"/>
      <c r="T267" s="25" t="n"/>
      <c r="U267" s="25" t="n">
        <v>0</v>
      </c>
      <c r="V267" s="25" t="n">
        <v>0</v>
      </c>
      <c r="W267" s="25" t="n">
        <v>0</v>
      </c>
      <c r="X267" s="25" t="n">
        <v>0</v>
      </c>
      <c r="Y267" s="25" t="n">
        <v>0</v>
      </c>
      <c r="Z267" s="25" t="n">
        <v>0</v>
      </c>
      <c r="AA267" s="25" t="n">
        <v>0</v>
      </c>
      <c r="AB267" s="25" t="n">
        <v>3492.27</v>
      </c>
      <c r="AC267" s="25" t="n">
        <v>3451.19</v>
      </c>
      <c r="AD267" s="25" t="n">
        <v>0</v>
      </c>
      <c r="AE267" s="25" t="n">
        <v>0</v>
      </c>
      <c r="AF267" s="25" t="n">
        <v>0</v>
      </c>
      <c r="AG267" s="25" t="n">
        <v>22</v>
      </c>
      <c r="AH267" s="25" t="n">
        <v>1</v>
      </c>
      <c r="AI267" s="25" t="inlineStr">
        <is>
          <t>A</t>
        </is>
      </c>
      <c r="AJ267" s="25" t="n">
        <v>2</v>
      </c>
      <c r="AK267" s="25" t="n">
        <v>6943.46</v>
      </c>
      <c r="AL267" s="26" t="n">
        <v>46063.67986111111</v>
      </c>
      <c r="AM267" s="26" t="n">
        <v>46063.67986111111</v>
      </c>
      <c r="AN267" s="25" t="inlineStr">
        <is>
          <t>LIGAÇÃO</t>
        </is>
      </c>
      <c r="AO267" s="25" t="inlineStr">
        <is>
          <t>DEU RETORNO SOBRE OS TESTE, PASTA DE TAMARA NÃO DEU CERTO, OFERECI VALOR MELHOR NO XAROPE PARA TENTAR SUBIR PEDIDO, AGUARDANDO RETORNO !!  SOBRE AS MI</t>
        </is>
      </c>
      <c r="AP267" s="27">
        <f>IF(AH267="","",IF(AH267=0,"PROSPECT",IF(AH267=1,"NOVO",IF(AH267&lt;=3,"EM DESENVOLVIMENTO",IF(AH267&lt;=6,"RECORRENTE","FIDELIZADO")))))</f>
        <v/>
      </c>
      <c r="AQ267" s="27">
        <f>IF(AJ267=0,0,IFERROR(SUM(U267:AF267)/AJ267,0))</f>
        <v/>
      </c>
      <c r="AS267" s="0" t="inlineStr">
        <is>
          <t>Carteira FEV/26 + Atend FEV/26</t>
        </is>
      </c>
    </row>
    <row r="268" ht="14.25" customHeight="1" s="16">
      <c r="A268" s="25" t="inlineStr">
        <is>
          <t>DIVINA TERRA</t>
        </is>
      </c>
      <c r="B268" s="25" t="inlineStr">
        <is>
          <t>42415997000190</t>
        </is>
      </c>
      <c r="C268" s="25" t="inlineStr">
        <is>
          <t>FERREIRA &amp; FLORIO COMERCIO DE PRODUTOS ALIMENTICIOS LTDA</t>
        </is>
      </c>
      <c r="D268" s="25" t="inlineStr">
        <is>
          <t>PR</t>
        </is>
      </c>
      <c r="E268" s="25" t="inlineStr">
        <is>
          <t>FOZ DO IGUACU</t>
        </is>
      </c>
      <c r="F268" s="25" t="inlineStr">
        <is>
          <t>fozdoiguacu@lojadivinaterra.com.br</t>
        </is>
      </c>
      <c r="G268" s="25" t="inlineStr">
        <is>
          <t>+55 (45) 9103-4143</t>
        </is>
      </c>
      <c r="H268" s="25" t="inlineStr">
        <is>
          <t>08/10/2024</t>
        </is>
      </c>
      <c r="I268" s="25" t="inlineStr">
        <is>
          <t>DIVINA TERRA</t>
        </is>
      </c>
      <c r="J268" s="25" t="inlineStr">
        <is>
          <t>LARISSA PADILHA</t>
        </is>
      </c>
      <c r="K268" s="25" t="inlineStr">
        <is>
          <t>Larissa Padilha</t>
        </is>
      </c>
      <c r="L268" s="25" t="n">
        <v>193</v>
      </c>
      <c r="M268" s="25" t="inlineStr">
        <is>
          <t>06/08/2025</t>
        </is>
      </c>
      <c r="N268" s="25" t="n">
        <v>1036.87</v>
      </c>
      <c r="O268" s="25" t="n">
        <v>1</v>
      </c>
      <c r="P268" s="25" t="inlineStr">
        <is>
          <t>Sim</t>
        </is>
      </c>
      <c r="Q268" s="25" t="n">
        <v>145</v>
      </c>
      <c r="R268" s="25" t="n">
        <v>25</v>
      </c>
      <c r="S268" s="25" t="n"/>
      <c r="T268" s="25" t="n"/>
      <c r="U268" s="25" t="n">
        <v>0</v>
      </c>
      <c r="V268" s="25" t="n">
        <v>0</v>
      </c>
      <c r="W268" s="25" t="n">
        <v>0</v>
      </c>
      <c r="X268" s="25" t="n">
        <v>0</v>
      </c>
      <c r="Y268" s="25" t="n">
        <v>0</v>
      </c>
      <c r="Z268" s="25" t="n">
        <v>0</v>
      </c>
      <c r="AA268" s="25" t="n">
        <v>0</v>
      </c>
      <c r="AB268" s="25" t="n">
        <v>0</v>
      </c>
      <c r="AC268" s="25" t="n">
        <v>0</v>
      </c>
      <c r="AD268" s="25" t="n">
        <v>0</v>
      </c>
      <c r="AE268" s="25" t="n">
        <v>0</v>
      </c>
      <c r="AF268" s="25" t="n">
        <v>0</v>
      </c>
      <c r="AG268" s="25" t="n">
        <v>0</v>
      </c>
      <c r="AH268" s="25" t="n">
        <v>0</v>
      </c>
      <c r="AI268" s="25" t="inlineStr">
        <is>
          <t>C</t>
        </is>
      </c>
      <c r="AJ268" s="25" t="n">
        <v>0</v>
      </c>
      <c r="AK268" s="25" t="n">
        <v>0</v>
      </c>
      <c r="AL268" s="26" t="n">
        <v>46044.72479166667</v>
      </c>
      <c r="AM268" s="26" t="n">
        <v>46044.72479166667</v>
      </c>
      <c r="AN268" s="25" t="inlineStr">
        <is>
          <t>WHATSAPP</t>
        </is>
      </c>
      <c r="AO268" s="25" t="inlineStr">
        <is>
          <t>DIVINA TERRA - FOZ PR - JAQUELINE</t>
        </is>
      </c>
      <c r="AP268" s="27">
        <f>IF(AH268="","",IF(AH268=0,"PROSPECT",IF(AH268=1,"NOVO",IF(AH268&lt;=3,"EM DESENVOLVIMENTO",IF(AH268&lt;=6,"RECORRENTE","FIDELIZADO")))))</f>
        <v/>
      </c>
      <c r="AQ268" s="27">
        <f>IF(AJ268=0,0,IFERROR(SUM(U268:AF268)/AJ268,0))</f>
        <v/>
      </c>
      <c r="AS268" s="0" t="inlineStr">
        <is>
          <t>Carteira FEV/26</t>
        </is>
      </c>
    </row>
    <row r="269" ht="14.25" customHeight="1" s="16">
      <c r="A269" s="25" t="inlineStr">
        <is>
          <t>DIVINA TERRA - BLUMENAU</t>
        </is>
      </c>
      <c r="B269" s="25" t="inlineStr">
        <is>
          <t>62341898000119</t>
        </is>
      </c>
      <c r="C269" s="25" t="inlineStr">
        <is>
          <t>COMERCIO DE ALIMENTOS BLUMENAU LTDA</t>
        </is>
      </c>
      <c r="D269" s="25" t="inlineStr">
        <is>
          <t>SC</t>
        </is>
      </c>
      <c r="E269" s="25" t="inlineStr">
        <is>
          <t>BLUMENAU</t>
        </is>
      </c>
      <c r="F269" s="25" t="inlineStr">
        <is>
          <t>blumenau@lojadivinaterra.com.br</t>
        </is>
      </c>
      <c r="G269" s="25" t="inlineStr">
        <is>
          <t>+55 (47) 99756-1564</t>
        </is>
      </c>
      <c r="H269" s="25" t="inlineStr">
        <is>
          <t>16/09/2025</t>
        </is>
      </c>
      <c r="I269" s="25" t="inlineStr">
        <is>
          <t>[Rede] Divina Terra</t>
        </is>
      </c>
      <c r="J269" s="25" t="inlineStr">
        <is>
          <t>DAIANE STAVICKI</t>
        </is>
      </c>
      <c r="K269" s="25" t="inlineStr">
        <is>
          <t>Central - Daiane</t>
        </is>
      </c>
      <c r="L269" s="25" t="n">
        <v>151</v>
      </c>
      <c r="M269" s="25" t="inlineStr">
        <is>
          <t>17/09/2025</t>
        </is>
      </c>
      <c r="N269" s="25" t="n">
        <v>1204.22</v>
      </c>
      <c r="O269" s="25" t="n">
        <v>1</v>
      </c>
      <c r="P269" s="25" t="inlineStr">
        <is>
          <t>Sim</t>
        </is>
      </c>
      <c r="Q269" s="25" t="n">
        <v>45</v>
      </c>
      <c r="R269" s="25" t="n">
        <v>26</v>
      </c>
      <c r="S269" s="25" t="n">
        <v>1204.22</v>
      </c>
      <c r="T269" s="25" t="inlineStr">
        <is>
          <t>COMPRA B2B</t>
        </is>
      </c>
      <c r="U269" s="25" t="n">
        <v>0</v>
      </c>
      <c r="V269" s="25" t="n">
        <v>0</v>
      </c>
      <c r="W269" s="25" t="n">
        <v>0</v>
      </c>
      <c r="X269" s="25" t="n">
        <v>0</v>
      </c>
      <c r="Y269" s="25" t="n">
        <v>0</v>
      </c>
      <c r="Z269" s="25" t="n">
        <v>0</v>
      </c>
      <c r="AA269" s="25" t="n">
        <v>1204.22</v>
      </c>
      <c r="AB269" s="25" t="n">
        <v>0</v>
      </c>
      <c r="AC269" s="25" t="n">
        <v>0</v>
      </c>
      <c r="AD269" s="25" t="n">
        <v>0</v>
      </c>
      <c r="AE269" s="25" t="n">
        <v>0</v>
      </c>
      <c r="AF269" s="25" t="n">
        <v>0</v>
      </c>
      <c r="AG269" s="25" t="n">
        <v>0</v>
      </c>
      <c r="AH269" s="25" t="n">
        <v>1</v>
      </c>
      <c r="AI269" s="25" t="inlineStr">
        <is>
          <t>B</t>
        </is>
      </c>
      <c r="AJ269" s="25" t="n">
        <v>1</v>
      </c>
      <c r="AK269" s="25" t="n">
        <v>1204.22</v>
      </c>
      <c r="AL269" s="26" t="n">
        <v>46057.45833333334</v>
      </c>
      <c r="AM269" s="26" t="n">
        <v>46057.45833333334</v>
      </c>
      <c r="AN269" s="25" t="inlineStr">
        <is>
          <t>LIGAÇÃO</t>
        </is>
      </c>
      <c r="AO269" s="25" t="inlineStr">
        <is>
          <t>LINHA VITAO NÃO TEVE UMA SAÍDA RÁPIDA COMO ESPERAVAM, MAS VAI SER SE CONSEGUE FAZER ALGUM PEDIDO MIN PELO MENOS</t>
        </is>
      </c>
      <c r="AP269" s="27">
        <f>IF(AH269="","",IF(AH269=0,"PROSPECT",IF(AH269=1,"NOVO",IF(AH269&lt;=3,"EM DESENVOLVIMENTO",IF(AH269&lt;=6,"RECORRENTE","FIDELIZADO")))))</f>
        <v/>
      </c>
      <c r="AQ269" s="27">
        <f>IF(AJ269=0,0,IFERROR(SUM(U269:AF269)/AJ269,0))</f>
        <v/>
      </c>
      <c r="AS269" s="0" t="inlineStr">
        <is>
          <t>Carteira FEV/26 + Atend FEV/26</t>
        </is>
      </c>
    </row>
    <row r="270" ht="14.25" customHeight="1" s="16">
      <c r="A270" s="25" t="inlineStr">
        <is>
          <t>DIVINA TERRA SORRISO</t>
        </is>
      </c>
      <c r="B270" s="25" t="inlineStr">
        <is>
          <t>50772174000140</t>
        </is>
      </c>
      <c r="C270" s="25" t="inlineStr">
        <is>
          <t>FRANCIELE PELISSARI COMERCIO DE ALIMENTOS LTDA</t>
        </is>
      </c>
      <c r="D270" s="25" t="inlineStr">
        <is>
          <t>MT</t>
        </is>
      </c>
      <c r="E270" s="25" t="inlineStr">
        <is>
          <t>SORRISO</t>
        </is>
      </c>
      <c r="F270" s="25" t="inlineStr">
        <is>
          <t>sorriso@lojadivinaterra.com.br</t>
        </is>
      </c>
      <c r="G270" s="25" t="inlineStr">
        <is>
          <t>+55 (66) 99634-5273</t>
        </is>
      </c>
      <c r="H270" s="25" t="inlineStr">
        <is>
          <t>08/10/2024</t>
        </is>
      </c>
      <c r="I270" s="25" t="inlineStr">
        <is>
          <t>[Rede] Divina Terra</t>
        </is>
      </c>
      <c r="J270" s="25" t="inlineStr">
        <is>
          <t>MANU DITZEL</t>
        </is>
      </c>
      <c r="K270" s="25" t="inlineStr">
        <is>
          <t>Manu Ditzel</t>
        </is>
      </c>
      <c r="L270" s="25" t="n">
        <v>178</v>
      </c>
      <c r="M270" s="25" t="inlineStr">
        <is>
          <t>21/08/2025</t>
        </is>
      </c>
      <c r="N270" s="25" t="n">
        <v>1322.32</v>
      </c>
      <c r="O270" s="25" t="n">
        <v>1</v>
      </c>
      <c r="P270" s="25" t="inlineStr">
        <is>
          <t>Sim</t>
        </is>
      </c>
      <c r="Q270" s="25" t="n">
        <v>20</v>
      </c>
      <c r="R270" s="25" t="n">
        <v>8</v>
      </c>
      <c r="S270" s="25" t="n">
        <v>1322.32</v>
      </c>
      <c r="T270" s="25" t="inlineStr">
        <is>
          <t>COMPRA B2B</t>
        </is>
      </c>
      <c r="U270" s="25" t="n">
        <v>0</v>
      </c>
      <c r="V270" s="25" t="n">
        <v>0</v>
      </c>
      <c r="W270" s="25" t="n">
        <v>0</v>
      </c>
      <c r="X270" s="25" t="n">
        <v>0</v>
      </c>
      <c r="Y270" s="25" t="n">
        <v>0</v>
      </c>
      <c r="Z270" s="25" t="n">
        <v>1322.32</v>
      </c>
      <c r="AA270" s="25" t="n">
        <v>0</v>
      </c>
      <c r="AB270" s="25" t="n">
        <v>0</v>
      </c>
      <c r="AC270" s="25" t="n">
        <v>0</v>
      </c>
      <c r="AD270" s="25" t="n">
        <v>0</v>
      </c>
      <c r="AE270" s="25" t="n">
        <v>0</v>
      </c>
      <c r="AF270" s="25" t="n">
        <v>0</v>
      </c>
      <c r="AG270" s="25" t="n">
        <v>0</v>
      </c>
      <c r="AH270" s="25" t="n">
        <v>1</v>
      </c>
      <c r="AI270" s="25" t="inlineStr">
        <is>
          <t>B</t>
        </is>
      </c>
      <c r="AJ270" s="25" t="n">
        <v>1</v>
      </c>
      <c r="AK270" s="25" t="n">
        <v>1322.32</v>
      </c>
      <c r="AL270" s="26" t="n">
        <v>46048.6836574074</v>
      </c>
      <c r="AM270" s="26" t="n">
        <v>46048.6836574074</v>
      </c>
      <c r="AN270" s="25" t="inlineStr">
        <is>
          <t>WHATSAPP</t>
        </is>
      </c>
      <c r="AO270" s="28" t="inlineStr">
        <is>
          <t>DIVINA TERRA SORRISO - MT - THALYANE</t>
        </is>
      </c>
      <c r="AP270" s="27">
        <f>IF(AH270="","",IF(AH270=0,"PROSPECT",IF(AH270=1,"NOVO",IF(AH270&lt;=3,"EM DESENVOLVIMENTO",IF(AH270&lt;=6,"RECORRENTE","FIDELIZADO")))))</f>
        <v/>
      </c>
      <c r="AQ270" s="27">
        <f>IF(AJ270=0,0,IFERROR(SUM(U270:AF270)/AJ270,0))</f>
        <v/>
      </c>
      <c r="AS270" s="0" t="inlineStr">
        <is>
          <t>Carteira FEV/26</t>
        </is>
      </c>
    </row>
    <row r="271" ht="14.25" customHeight="1" s="16">
      <c r="A271" s="25" t="inlineStr">
        <is>
          <t>DOCE PUDIM</t>
        </is>
      </c>
      <c r="B271" s="25" t="inlineStr">
        <is>
          <t>29619670000172</t>
        </is>
      </c>
      <c r="C271" s="25" t="inlineStr">
        <is>
          <t>DOCE PUDIM ALIMENTOS LTDA</t>
        </is>
      </c>
      <c r="D271" s="25" t="inlineStr">
        <is>
          <t>GO</t>
        </is>
      </c>
      <c r="E271" s="25" t="inlineStr">
        <is>
          <t>GOIANIA</t>
        </is>
      </c>
      <c r="F271" s="25" t="inlineStr">
        <is>
          <t>LEGALIZACAO@ESTEIOAUDITORES.COM.BR</t>
        </is>
      </c>
      <c r="G271" s="25" t="inlineStr">
        <is>
          <t>+55 (62) 9142-2174</t>
        </is>
      </c>
      <c r="H271" s="25" t="inlineStr">
        <is>
          <t>22/09/2025</t>
        </is>
      </c>
      <c r="I271" s="25" t="n"/>
      <c r="J271" s="25" t="inlineStr">
        <is>
          <t>MANU DITZEL</t>
        </is>
      </c>
      <c r="K271" s="25" t="inlineStr">
        <is>
          <t>Manu Ditzel</t>
        </is>
      </c>
      <c r="L271" s="25" t="n">
        <v>143</v>
      </c>
      <c r="M271" s="25" t="inlineStr">
        <is>
          <t>25/09/2025</t>
        </is>
      </c>
      <c r="N271" s="25" t="n">
        <v>1648.08</v>
      </c>
      <c r="O271" s="25" t="n"/>
      <c r="P271" s="25" t="n"/>
      <c r="Q271" s="25" t="n"/>
      <c r="R271" s="25" t="n"/>
      <c r="S271" s="25" t="n"/>
      <c r="T271" s="25" t="n"/>
      <c r="U271" s="25" t="n">
        <v>0</v>
      </c>
      <c r="V271" s="25" t="n">
        <v>0</v>
      </c>
      <c r="W271" s="25" t="n">
        <v>0</v>
      </c>
      <c r="X271" s="25" t="n">
        <v>0</v>
      </c>
      <c r="Y271" s="25" t="n">
        <v>0</v>
      </c>
      <c r="Z271" s="25" t="n">
        <v>0</v>
      </c>
      <c r="AA271" s="25" t="n">
        <v>1648.08</v>
      </c>
      <c r="AB271" s="25" t="n">
        <v>0</v>
      </c>
      <c r="AC271" s="25" t="n">
        <v>0</v>
      </c>
      <c r="AD271" s="25" t="n">
        <v>0</v>
      </c>
      <c r="AE271" s="25" t="n">
        <v>0</v>
      </c>
      <c r="AF271" s="25" t="n">
        <v>0</v>
      </c>
      <c r="AG271" s="25" t="n">
        <v>0</v>
      </c>
      <c r="AH271" s="25" t="n">
        <v>1</v>
      </c>
      <c r="AI271" s="25" t="inlineStr">
        <is>
          <t>B</t>
        </is>
      </c>
      <c r="AJ271" s="25" t="n">
        <v>1</v>
      </c>
      <c r="AK271" s="25" t="n">
        <v>1648.08</v>
      </c>
      <c r="AL271" s="26" t="n">
        <v>45978.65416666667</v>
      </c>
      <c r="AM271" s="26" t="n">
        <v>45978.65416666667</v>
      </c>
      <c r="AN271" s="25" t="inlineStr">
        <is>
          <t>WHATSAPP</t>
        </is>
      </c>
      <c r="AO271" s="25" t="inlineStr">
        <is>
          <t>SUPORTE | Cliente deixou vencer boleto, disse que iria pagar hoje</t>
        </is>
      </c>
      <c r="AP271" s="27">
        <f>IF(AH271="","",IF(AH271=0,"PROSPECT",IF(AH271=1,"NOVO",IF(AH271&lt;=3,"EM DESENVOLVIMENTO",IF(AH271&lt;=6,"RECORRENTE","FIDELIZADO")))))</f>
        <v/>
      </c>
      <c r="AQ271" s="27">
        <f>IF(AJ271=0,0,IFERROR(SUM(U271:AF271)/AJ271,0))</f>
        <v/>
      </c>
      <c r="AS271" s="0" t="inlineStr">
        <is>
          <t>Carteira FEV/26</t>
        </is>
      </c>
    </row>
    <row r="272" ht="14.25" customHeight="1" s="16">
      <c r="A272" s="25" t="inlineStr">
        <is>
          <t>DP VIDA PRODUTOS NATURAIS LTDA</t>
        </is>
      </c>
      <c r="B272" s="25" t="inlineStr">
        <is>
          <t>29271154000108</t>
        </is>
      </c>
      <c r="C272" s="25" t="inlineStr">
        <is>
          <t>DP VIDA PRODUTOS NATURAIS LTDA</t>
        </is>
      </c>
      <c r="D272" s="25" t="inlineStr">
        <is>
          <t>PR</t>
        </is>
      </c>
      <c r="E272" s="25" t="inlineStr">
        <is>
          <t>CURITIBA</t>
        </is>
      </c>
      <c r="F272" s="25" t="inlineStr">
        <is>
          <t>dpciaangeloni@gmail.com</t>
        </is>
      </c>
      <c r="G272" s="25" t="inlineStr">
        <is>
          <t>+55 (41) 98735-7088</t>
        </is>
      </c>
      <c r="H272" s="25" t="inlineStr">
        <is>
          <t>27/10/2025</t>
        </is>
      </c>
      <c r="I272" s="25" t="inlineStr">
        <is>
          <t>[Rede] Cia da Saúde</t>
        </is>
      </c>
      <c r="J272" s="25" t="inlineStr">
        <is>
          <t>JULIO GADRET</t>
        </is>
      </c>
      <c r="K272" s="25" t="inlineStr">
        <is>
          <t>Julio  Gadret</t>
        </is>
      </c>
      <c r="L272" s="25" t="n">
        <v>111</v>
      </c>
      <c r="M272" s="25" t="inlineStr">
        <is>
          <t>27/10/2025</t>
        </is>
      </c>
      <c r="N272" s="25" t="n">
        <v>1418.16</v>
      </c>
      <c r="O272" s="25" t="n"/>
      <c r="P272" s="25" t="n"/>
      <c r="Q272" s="25" t="n"/>
      <c r="R272" s="25" t="n"/>
      <c r="S272" s="25" t="n"/>
      <c r="T272" s="25" t="n"/>
      <c r="U272" s="25" t="n">
        <v>0</v>
      </c>
      <c r="V272" s="25" t="n">
        <v>0</v>
      </c>
      <c r="W272" s="25" t="n">
        <v>0</v>
      </c>
      <c r="X272" s="25" t="n">
        <v>0</v>
      </c>
      <c r="Y272" s="25" t="n">
        <v>0</v>
      </c>
      <c r="Z272" s="25" t="n">
        <v>0</v>
      </c>
      <c r="AA272" s="25" t="n">
        <v>0</v>
      </c>
      <c r="AB272" s="25" t="n">
        <v>1418.16</v>
      </c>
      <c r="AC272" s="25" t="n">
        <v>0</v>
      </c>
      <c r="AD272" s="25" t="n">
        <v>0</v>
      </c>
      <c r="AE272" s="25" t="n">
        <v>0</v>
      </c>
      <c r="AF272" s="25" t="n">
        <v>0</v>
      </c>
      <c r="AG272" s="25" t="n">
        <v>0</v>
      </c>
      <c r="AH272" s="25" t="n">
        <v>1</v>
      </c>
      <c r="AI272" s="25" t="inlineStr">
        <is>
          <t>B</t>
        </is>
      </c>
      <c r="AJ272" s="25" t="n">
        <v>1</v>
      </c>
      <c r="AK272" s="25" t="n">
        <v>1418.16</v>
      </c>
      <c r="AL272" s="26" t="n">
        <v>45995.38819444444</v>
      </c>
      <c r="AM272" s="26" t="n">
        <v>45995.38819444444</v>
      </c>
      <c r="AN272" s="25" t="inlineStr">
        <is>
          <t>LIGAÇÃO</t>
        </is>
      </c>
      <c r="AO272" s="25" t="inlineStr">
        <is>
          <t>ATRASOU A SEGUNDA PARCELA</t>
        </is>
      </c>
      <c r="AP272" s="27">
        <f>IF(AH272="","",IF(AH272=0,"PROSPECT",IF(AH272=1,"NOVO",IF(AH272&lt;=3,"EM DESENVOLVIMENTO",IF(AH272&lt;=6,"RECORRENTE","FIDELIZADO")))))</f>
        <v/>
      </c>
      <c r="AQ272" s="27">
        <f>IF(AJ272=0,0,IFERROR(SUM(U272:AF272)/AJ272,0))</f>
        <v/>
      </c>
      <c r="AS272" s="0" t="inlineStr">
        <is>
          <t>Carteira FEV/26</t>
        </is>
      </c>
    </row>
    <row r="273" ht="14.25" customHeight="1" s="16">
      <c r="A273" s="25" t="inlineStr">
        <is>
          <t>DROGARIA BARBOSA</t>
        </is>
      </c>
      <c r="B273" s="25" t="inlineStr">
        <is>
          <t>38598934000140</t>
        </is>
      </c>
      <c r="C273" s="25" t="inlineStr">
        <is>
          <t>DROGARIA BARBOSA E SOARES LTDA</t>
        </is>
      </c>
      <c r="D273" s="25" t="inlineStr">
        <is>
          <t>MG</t>
        </is>
      </c>
      <c r="E273" s="25" t="inlineStr">
        <is>
          <t>MENDES PIMENTEL</t>
        </is>
      </c>
      <c r="F273" s="25" t="inlineStr">
        <is>
          <t>drogariabarbosa@terra.com.br</t>
        </is>
      </c>
      <c r="G273" s="25" t="inlineStr">
        <is>
          <t>+55 (33) 8889-2405</t>
        </is>
      </c>
      <c r="H273" s="25" t="inlineStr">
        <is>
          <t>04/06/2025</t>
        </is>
      </c>
      <c r="I273" s="25" t="n"/>
      <c r="J273" s="25" t="inlineStr">
        <is>
          <t>LARISSA PADILHA</t>
        </is>
      </c>
      <c r="K273" s="25" t="inlineStr">
        <is>
          <t>Helder Brunkow</t>
        </is>
      </c>
      <c r="L273" s="25" t="n">
        <v>255</v>
      </c>
      <c r="M273" s="25" t="inlineStr">
        <is>
          <t>05/06/2025</t>
        </is>
      </c>
      <c r="N273" s="25" t="n">
        <v>1130.72</v>
      </c>
      <c r="O273" s="25" t="n"/>
      <c r="P273" s="25" t="n"/>
      <c r="Q273" s="25" t="n"/>
      <c r="R273" s="25" t="n"/>
      <c r="S273" s="25" t="n"/>
      <c r="T273" s="25" t="n"/>
      <c r="U273" s="25" t="n">
        <v>0</v>
      </c>
      <c r="V273" s="25" t="n">
        <v>0</v>
      </c>
      <c r="W273" s="25" t="n">
        <v>0</v>
      </c>
      <c r="X273" s="25" t="n">
        <v>1130.72</v>
      </c>
      <c r="Y273" s="25" t="n">
        <v>0</v>
      </c>
      <c r="Z273" s="25" t="n">
        <v>0</v>
      </c>
      <c r="AA273" s="25" t="n">
        <v>0</v>
      </c>
      <c r="AB273" s="25" t="n">
        <v>0</v>
      </c>
      <c r="AC273" s="25" t="n">
        <v>0</v>
      </c>
      <c r="AD273" s="25" t="n">
        <v>0</v>
      </c>
      <c r="AE273" s="25" t="n">
        <v>0</v>
      </c>
      <c r="AF273" s="25" t="n">
        <v>0</v>
      </c>
      <c r="AG273" s="25" t="n">
        <v>0</v>
      </c>
      <c r="AH273" s="25" t="n">
        <v>1</v>
      </c>
      <c r="AI273" s="25" t="inlineStr">
        <is>
          <t>B</t>
        </is>
      </c>
      <c r="AJ273" s="25" t="n">
        <v>1</v>
      </c>
      <c r="AK273" s="25" t="n">
        <v>1130.72</v>
      </c>
      <c r="AL273" s="26" t="n">
        <v>46036.675</v>
      </c>
      <c r="AM273" s="26" t="n">
        <v>46036.675</v>
      </c>
      <c r="AN273" s="25" t="inlineStr">
        <is>
          <t>WHATSAPP</t>
        </is>
      </c>
      <c r="AO273" s="25" t="inlineStr">
        <is>
          <t>RECOMPRA | Nova abordagem - Linha Disney</t>
        </is>
      </c>
      <c r="AP273" s="27">
        <f>IF(AH273="","",IF(AH273=0,"PROSPECT",IF(AH273=1,"NOVO",IF(AH273&lt;=3,"EM DESENVOLVIMENTO",IF(AH273&lt;=6,"RECORRENTE","FIDELIZADO")))))</f>
        <v/>
      </c>
      <c r="AQ273" s="27">
        <f>IF(AJ273=0,0,IFERROR(SUM(U273:AF273)/AJ273,0))</f>
        <v/>
      </c>
      <c r="AS273" s="0" t="inlineStr">
        <is>
          <t>Carteira FEV/26</t>
        </is>
      </c>
    </row>
    <row r="274" ht="14.25" customHeight="1" s="16">
      <c r="A274" s="25" t="inlineStr">
        <is>
          <t>DS NUTRI GOLD</t>
        </is>
      </c>
      <c r="B274" s="25" t="inlineStr">
        <is>
          <t>63245503000147</t>
        </is>
      </c>
      <c r="C274" s="25" t="inlineStr">
        <is>
          <t>DS NUTRI GOLD LTDA</t>
        </is>
      </c>
      <c r="D274" s="25" t="inlineStr">
        <is>
          <t>SP</t>
        </is>
      </c>
      <c r="E274" s="25" t="inlineStr">
        <is>
          <t>PRESIDENTE PRUDENTE</t>
        </is>
      </c>
      <c r="F274" s="25" t="inlineStr">
        <is>
          <t>digsousa30@gmail.com</t>
        </is>
      </c>
      <c r="G274" s="25" t="inlineStr">
        <is>
          <t>+55 (18) 99660-7425 | +55 (18) 99660-7425 (TATI / DIOGO)</t>
        </is>
      </c>
      <c r="H274" s="25" t="inlineStr">
        <is>
          <t>05/11/2025</t>
        </is>
      </c>
      <c r="I274" s="25" t="inlineStr">
        <is>
          <t>FIT LAND</t>
        </is>
      </c>
      <c r="J274" s="25" t="inlineStr">
        <is>
          <t>JULIO GADRET</t>
        </is>
      </c>
      <c r="K274" s="25" t="inlineStr">
        <is>
          <t>Julio  Gadret</t>
        </is>
      </c>
      <c r="L274" s="25" t="n">
        <v>100</v>
      </c>
      <c r="M274" s="25" t="inlineStr">
        <is>
          <t>07/11/2025</t>
        </is>
      </c>
      <c r="N274" s="25" t="n">
        <v>1180.52</v>
      </c>
      <c r="O274" s="25" t="n"/>
      <c r="P274" s="25" t="n"/>
      <c r="Q274" s="25" t="n"/>
      <c r="R274" s="25" t="n"/>
      <c r="S274" s="25" t="n"/>
      <c r="T274" s="25" t="n"/>
      <c r="U274" s="25" t="n">
        <v>0</v>
      </c>
      <c r="V274" s="25" t="n">
        <v>0</v>
      </c>
      <c r="W274" s="25" t="n">
        <v>0</v>
      </c>
      <c r="X274" s="25" t="n">
        <v>0</v>
      </c>
      <c r="Y274" s="25" t="n">
        <v>0</v>
      </c>
      <c r="Z274" s="25" t="n">
        <v>0</v>
      </c>
      <c r="AA274" s="25" t="n">
        <v>0</v>
      </c>
      <c r="AB274" s="25" t="n">
        <v>0</v>
      </c>
      <c r="AC274" s="25" t="n">
        <v>1180.52</v>
      </c>
      <c r="AD274" s="25" t="n">
        <v>0</v>
      </c>
      <c r="AE274" s="25" t="n">
        <v>0</v>
      </c>
      <c r="AF274" s="25" t="n">
        <v>0</v>
      </c>
      <c r="AG274" s="25" t="n">
        <v>0</v>
      </c>
      <c r="AH274" s="25" t="n">
        <v>0</v>
      </c>
      <c r="AI274" s="25" t="inlineStr">
        <is>
          <t>B</t>
        </is>
      </c>
      <c r="AJ274" s="25" t="n">
        <v>1</v>
      </c>
      <c r="AK274" s="25" t="n">
        <v>0</v>
      </c>
      <c r="AL274" s="26" t="n">
        <v>46055.4559375</v>
      </c>
      <c r="AM274" s="26" t="n">
        <v>46055.4559375</v>
      </c>
      <c r="AN274" s="25" t="inlineStr">
        <is>
          <t>WHATSAPP</t>
        </is>
      </c>
      <c r="AO274" s="25" t="inlineStr">
        <is>
          <t>FITLAND - TATI - SC</t>
        </is>
      </c>
      <c r="AP274" s="27">
        <f>IF(AH274="","",IF(AH274=0,"PROSPECT",IF(AH274=1,"NOVO",IF(AH274&lt;=3,"EM DESENVOLVIMENTO",IF(AH274&lt;=6,"RECORRENTE","FIDELIZADO")))))</f>
        <v/>
      </c>
      <c r="AQ274" s="27">
        <f>IF(AJ274=0,0,IFERROR(SUM(U274:AF274)/AJ274,0))</f>
        <v/>
      </c>
      <c r="AS274" s="0" t="inlineStr">
        <is>
          <t>Carteira FEV/26</t>
        </is>
      </c>
    </row>
    <row r="275" ht="14.25" customHeight="1" s="16">
      <c r="A275" s="25" t="inlineStr">
        <is>
          <t>DS NUTRICAO</t>
        </is>
      </c>
      <c r="B275" s="25" t="inlineStr">
        <is>
          <t>53266705000200</t>
        </is>
      </c>
      <c r="C275" s="25" t="inlineStr">
        <is>
          <t>DS NUTRICAO LTDA</t>
        </is>
      </c>
      <c r="D275" s="25" t="inlineStr">
        <is>
          <t>SC</t>
        </is>
      </c>
      <c r="E275" s="25" t="inlineStr">
        <is>
          <t>SAO FRANCISCO DO SUL</t>
        </is>
      </c>
      <c r="F275" s="25" t="inlineStr">
        <is>
          <t>fitlandsaofranciscodosul@gmail.com</t>
        </is>
      </c>
      <c r="G275" s="25" t="inlineStr">
        <is>
          <t>+55 (48) 99210-1077</t>
        </is>
      </c>
      <c r="H275" s="25" t="inlineStr">
        <is>
          <t>25/06/2025</t>
        </is>
      </c>
      <c r="I275" s="25" t="inlineStr">
        <is>
          <t>[Rede] Fit Land</t>
        </is>
      </c>
      <c r="J275" s="25" t="inlineStr">
        <is>
          <t>JULIO GADRET</t>
        </is>
      </c>
      <c r="K275" s="25" t="inlineStr">
        <is>
          <t>Larissa Padilha</t>
        </is>
      </c>
      <c r="L275" s="25" t="n">
        <v>205</v>
      </c>
      <c r="M275" s="25" t="inlineStr">
        <is>
          <t>25/07/2025</t>
        </is>
      </c>
      <c r="N275" s="25" t="n">
        <v>1649.94</v>
      </c>
      <c r="O275" s="25" t="n"/>
      <c r="P275" s="25" t="n"/>
      <c r="Q275" s="25" t="n"/>
      <c r="R275" s="25" t="n"/>
      <c r="S275" s="25" t="n"/>
      <c r="T275" s="25" t="n"/>
      <c r="U275" s="25" t="n">
        <v>0</v>
      </c>
      <c r="V275" s="25" t="n">
        <v>0</v>
      </c>
      <c r="W275" s="25" t="n">
        <v>0</v>
      </c>
      <c r="X275" s="25" t="n">
        <v>2432.34</v>
      </c>
      <c r="Y275" s="25" t="n">
        <v>1649.94</v>
      </c>
      <c r="Z275" s="25" t="n">
        <v>0</v>
      </c>
      <c r="AA275" s="25" t="n">
        <v>0</v>
      </c>
      <c r="AB275" s="25" t="n">
        <v>0</v>
      </c>
      <c r="AC275" s="25" t="n">
        <v>0</v>
      </c>
      <c r="AD275" s="25" t="n">
        <v>0</v>
      </c>
      <c r="AE275" s="25" t="n">
        <v>669.61</v>
      </c>
      <c r="AF275" s="25" t="n">
        <v>0</v>
      </c>
      <c r="AG275" s="25" t="n">
        <v>29</v>
      </c>
      <c r="AH275" s="25" t="n">
        <v>4</v>
      </c>
      <c r="AI275" s="25" t="inlineStr">
        <is>
          <t>A</t>
        </is>
      </c>
      <c r="AJ275" s="25" t="n">
        <v>3</v>
      </c>
      <c r="AK275" s="25" t="n">
        <v>1187.97</v>
      </c>
      <c r="AL275" s="26" t="n">
        <v>46034.39589120371</v>
      </c>
      <c r="AM275" s="26" t="n">
        <v>46034.39589120371</v>
      </c>
      <c r="AN275" s="25" t="inlineStr">
        <is>
          <t>WHATSAPP</t>
        </is>
      </c>
      <c r="AO275" s="25" t="inlineStr">
        <is>
          <t>FITLAND - ERICA - SC</t>
        </is>
      </c>
      <c r="AP275" s="27">
        <f>IF(AH275="","",IF(AH275=0,"PROSPECT",IF(AH275=1,"NOVO",IF(AH275&lt;=3,"EM DESENVOLVIMENTO",IF(AH275&lt;=6,"RECORRENTE","FIDELIZADO")))))</f>
        <v/>
      </c>
      <c r="AQ275" s="27">
        <f>IF(AJ275=0,0,IFERROR(SUM(U275:AF275)/AJ275,0))</f>
        <v/>
      </c>
      <c r="AS275" s="0" t="inlineStr">
        <is>
          <t>Carteira FEV/26</t>
        </is>
      </c>
    </row>
    <row r="276" ht="14.25" customHeight="1" s="16">
      <c r="A276" s="25" t="inlineStr">
        <is>
          <t>DSC SAUDE E NUTRICAO</t>
        </is>
      </c>
      <c r="B276" s="25" t="inlineStr">
        <is>
          <t>63501653000174</t>
        </is>
      </c>
      <c r="C276" s="25" t="inlineStr">
        <is>
          <t>DSC SAUDE E NUTRICAO LTDA</t>
        </is>
      </c>
      <c r="D276" s="25" t="inlineStr">
        <is>
          <t>SC</t>
        </is>
      </c>
      <c r="E276" s="25" t="inlineStr">
        <is>
          <t>RIO DO SUL</t>
        </is>
      </c>
      <c r="F276" s="25" t="inlineStr">
        <is>
          <t>silmara.sarai@gmail.com</t>
        </is>
      </c>
      <c r="G276" s="25" t="inlineStr">
        <is>
          <t>+55 (47) 9881-8799</t>
        </is>
      </c>
      <c r="H276" s="25" t="inlineStr">
        <is>
          <t>07/11/2025</t>
        </is>
      </c>
      <c r="I276" s="25" t="n"/>
      <c r="J276" s="25" t="inlineStr">
        <is>
          <t>JULIO GADRET</t>
        </is>
      </c>
      <c r="K276" s="25" t="inlineStr">
        <is>
          <t>Julio  Gadret</t>
        </is>
      </c>
      <c r="L276" s="25" t="n">
        <v>100</v>
      </c>
      <c r="M276" s="25" t="inlineStr">
        <is>
          <t>07/11/2025</t>
        </is>
      </c>
      <c r="N276" s="25" t="n">
        <v>1131.79</v>
      </c>
      <c r="O276" s="25" t="n"/>
      <c r="P276" s="25" t="n"/>
      <c r="Q276" s="25" t="n"/>
      <c r="R276" s="25" t="n"/>
      <c r="S276" s="25" t="n"/>
      <c r="T276" s="25" t="n"/>
      <c r="U276" s="25" t="n">
        <v>0</v>
      </c>
      <c r="V276" s="25" t="n">
        <v>0</v>
      </c>
      <c r="W276" s="25" t="n">
        <v>0</v>
      </c>
      <c r="X276" s="25" t="n">
        <v>0</v>
      </c>
      <c r="Y276" s="25" t="n">
        <v>0</v>
      </c>
      <c r="Z276" s="25" t="n">
        <v>0</v>
      </c>
      <c r="AA276" s="25" t="n">
        <v>0</v>
      </c>
      <c r="AB276" s="25" t="n">
        <v>0</v>
      </c>
      <c r="AC276" s="25" t="n">
        <v>1131.79</v>
      </c>
      <c r="AD276" s="25" t="n">
        <v>0</v>
      </c>
      <c r="AE276" s="25" t="n">
        <v>0</v>
      </c>
      <c r="AF276" s="25" t="n">
        <v>0</v>
      </c>
      <c r="AG276" s="25" t="n">
        <v>0</v>
      </c>
      <c r="AH276" s="25" t="n">
        <v>0</v>
      </c>
      <c r="AI276" s="25" t="inlineStr">
        <is>
          <t>B</t>
        </is>
      </c>
      <c r="AJ276" s="25" t="n">
        <v>1</v>
      </c>
      <c r="AK276" s="25" t="n">
        <v>0</v>
      </c>
      <c r="AL276" s="25" t="n"/>
      <c r="AM276" s="25" t="n"/>
      <c r="AN276" s="25" t="n"/>
      <c r="AO276" s="25" t="n"/>
      <c r="AP276" s="27">
        <f>IF(AH276="","",IF(AH276=0,"PROSPECT",IF(AH276=1,"NOVO",IF(AH276&lt;=3,"EM DESENVOLVIMENTO",IF(AH276&lt;=6,"RECORRENTE","FIDELIZADO")))))</f>
        <v/>
      </c>
      <c r="AQ276" s="27">
        <f>IF(AJ276=0,0,IFERROR(SUM(U276:AF276)/AJ276,0))</f>
        <v/>
      </c>
      <c r="AS276" s="0" t="inlineStr">
        <is>
          <t>Carteira FEV/26</t>
        </is>
      </c>
    </row>
    <row r="277" ht="14.25" customHeight="1" s="16">
      <c r="A277" s="25" t="inlineStr">
        <is>
          <t>Divina Terra Capão da Canoa</t>
        </is>
      </c>
      <c r="B277" s="25" t="inlineStr">
        <is>
          <t>49300020000177</t>
        </is>
      </c>
      <c r="C277" s="25" t="inlineStr">
        <is>
          <t>BIOLIZ COMERCIO DE PRODUTOS NATURAIS LTDA</t>
        </is>
      </c>
      <c r="D277" s="25" t="inlineStr">
        <is>
          <t>RS</t>
        </is>
      </c>
      <c r="E277" s="25" t="inlineStr">
        <is>
          <t>CAPAO DA CANOA</t>
        </is>
      </c>
      <c r="F277" s="25" t="inlineStr">
        <is>
          <t>franquiacapao@lojadivinaterra.com.br</t>
        </is>
      </c>
      <c r="G277" s="25" t="inlineStr">
        <is>
          <t>+55 (51) 98542-9000 | 51984323120519 (ADRIANO DONO)</t>
        </is>
      </c>
      <c r="H277" s="25" t="inlineStr">
        <is>
          <t>08/10/2024</t>
        </is>
      </c>
      <c r="I277" s="25" t="inlineStr">
        <is>
          <t>[Rede] Divina Terra</t>
        </is>
      </c>
      <c r="J277" s="25" t="inlineStr">
        <is>
          <t>DAIANE STAVICKI</t>
        </is>
      </c>
      <c r="K277" s="25" t="inlineStr">
        <is>
          <t>Central - Daiane</t>
        </is>
      </c>
      <c r="L277" s="25" t="n">
        <v>109</v>
      </c>
      <c r="M277" s="25" t="inlineStr">
        <is>
          <t>29/10/2025</t>
        </is>
      </c>
      <c r="N277" s="25" t="n">
        <v>7929.84</v>
      </c>
      <c r="O277" s="25" t="n">
        <v>4</v>
      </c>
      <c r="P277" s="25" t="inlineStr">
        <is>
          <t>Sim</t>
        </is>
      </c>
      <c r="Q277" s="25" t="n">
        <v>146</v>
      </c>
      <c r="R277" s="25" t="n">
        <v>38</v>
      </c>
      <c r="S277" s="25" t="n">
        <v>4972.49</v>
      </c>
      <c r="T277" s="25" t="inlineStr">
        <is>
          <t>COMPRA B2B</t>
        </is>
      </c>
      <c r="U277" s="25" t="n">
        <v>0</v>
      </c>
      <c r="V277" s="25" t="n">
        <v>0</v>
      </c>
      <c r="W277" s="25" t="n">
        <v>0</v>
      </c>
      <c r="X277" s="25" t="n">
        <v>0</v>
      </c>
      <c r="Y277" s="25" t="n">
        <v>0</v>
      </c>
      <c r="Z277" s="25" t="n">
        <v>0</v>
      </c>
      <c r="AA277" s="25" t="n">
        <v>4972.49</v>
      </c>
      <c r="AB277" s="25" t="n">
        <v>7929.84</v>
      </c>
      <c r="AC277" s="25" t="n">
        <v>0</v>
      </c>
      <c r="AD277" s="25" t="n">
        <v>0</v>
      </c>
      <c r="AE277" s="25" t="n">
        <v>0</v>
      </c>
      <c r="AF277" s="25" t="n">
        <v>0</v>
      </c>
      <c r="AG277" s="25" t="n">
        <v>42</v>
      </c>
      <c r="AH277" s="25" t="n">
        <v>2</v>
      </c>
      <c r="AI277" s="25" t="inlineStr">
        <is>
          <t>A</t>
        </is>
      </c>
      <c r="AJ277" s="25" t="n">
        <v>2</v>
      </c>
      <c r="AK277" s="25" t="n">
        <v>6451.16</v>
      </c>
      <c r="AL277" s="25" t="n"/>
      <c r="AM277" s="25" t="n"/>
      <c r="AN277" s="25" t="n"/>
      <c r="AO277" s="25" t="n"/>
      <c r="AP277" s="27">
        <f>IF(AH277="","",IF(AH277=0,"PROSPECT",IF(AH277=1,"NOVO",IF(AH277&lt;=3,"EM DESENVOLVIMENTO",IF(AH277&lt;=6,"RECORRENTE","FIDELIZADO")))))</f>
        <v/>
      </c>
      <c r="AQ277" s="27">
        <f>IF(AJ277=0,0,IFERROR(SUM(U277:AF277)/AJ277,0))</f>
        <v/>
      </c>
      <c r="AS277" s="0" t="inlineStr">
        <is>
          <t>Carteira FEV/26</t>
        </is>
      </c>
    </row>
    <row r="278" ht="14.25" customHeight="1" s="16">
      <c r="A278" s="25" t="inlineStr">
        <is>
          <t>E-labore</t>
        </is>
      </c>
      <c r="B278" s="25" t="inlineStr">
        <is>
          <t>13495805000103</t>
        </is>
      </c>
      <c r="C278" s="25" t="inlineStr">
        <is>
          <t>E-Labore Comercio de Produtos Alimenticios LTDA</t>
        </is>
      </c>
      <c r="D278" s="25" t="inlineStr">
        <is>
          <t>SC</t>
        </is>
      </c>
      <c r="E278" s="25" t="inlineStr">
        <is>
          <t>Itajaí</t>
        </is>
      </c>
      <c r="F278" s="25" t="inlineStr">
        <is>
          <t>elaborealimentos@gmail.com</t>
        </is>
      </c>
      <c r="G278" s="25" t="inlineStr">
        <is>
          <t>+55 (47) 9956-2163</t>
        </is>
      </c>
      <c r="H278" s="25" t="inlineStr">
        <is>
          <t>28/04/2025</t>
        </is>
      </c>
      <c r="I278" s="25" t="inlineStr">
        <is>
          <t>[Rede] Bio Mundo</t>
        </is>
      </c>
      <c r="J278" s="25" t="inlineStr">
        <is>
          <t>MANU DITZEL</t>
        </is>
      </c>
      <c r="K278" s="25" t="inlineStr">
        <is>
          <t>Manu Ditzel</t>
        </is>
      </c>
      <c r="L278" s="25" t="n">
        <v>191</v>
      </c>
      <c r="M278" s="25" t="inlineStr">
        <is>
          <t>08/08/2025</t>
        </is>
      </c>
      <c r="N278" s="25" t="n">
        <v>697.63</v>
      </c>
      <c r="O278" s="25" t="n">
        <v>1</v>
      </c>
      <c r="P278" s="25" t="inlineStr">
        <is>
          <t>Sim</t>
        </is>
      </c>
      <c r="Q278" s="25" t="n">
        <v>85</v>
      </c>
      <c r="R278" s="25" t="n">
        <v>24</v>
      </c>
      <c r="S278" s="25" t="n">
        <v>2350.41</v>
      </c>
      <c r="T278" s="25" t="inlineStr">
        <is>
          <t>COMPRA B2B</t>
        </is>
      </c>
      <c r="U278" s="25" t="n">
        <v>0</v>
      </c>
      <c r="V278" s="25" t="n">
        <v>929.5700000000001</v>
      </c>
      <c r="W278" s="25" t="n">
        <v>0</v>
      </c>
      <c r="X278" s="25" t="n">
        <v>6483.44</v>
      </c>
      <c r="Y278" s="25" t="n">
        <v>0</v>
      </c>
      <c r="Z278" s="25" t="n">
        <v>7838.86</v>
      </c>
      <c r="AA278" s="25" t="n">
        <v>0</v>
      </c>
      <c r="AB278" s="25" t="n">
        <v>0</v>
      </c>
      <c r="AC278" s="25" t="n">
        <v>0</v>
      </c>
      <c r="AD278" s="25" t="n">
        <v>0</v>
      </c>
      <c r="AE278" s="25" t="n">
        <v>0</v>
      </c>
      <c r="AF278" s="25" t="n">
        <v>0</v>
      </c>
      <c r="AG278" s="25" t="n">
        <v>33.3333</v>
      </c>
      <c r="AH278" s="25" t="n">
        <v>5</v>
      </c>
      <c r="AI278" s="25" t="inlineStr">
        <is>
          <t>A</t>
        </is>
      </c>
      <c r="AJ278" s="25" t="n">
        <v>3</v>
      </c>
      <c r="AK278" s="25" t="n">
        <v>3050.37</v>
      </c>
      <c r="AL278" s="26" t="n">
        <v>46058.46458333333</v>
      </c>
      <c r="AM278" s="26" t="n">
        <v>46058.46458333333</v>
      </c>
      <c r="AN278" s="25" t="inlineStr">
        <is>
          <t>LIGAÇÃO</t>
        </is>
      </c>
      <c r="AO278" s="25" t="inlineStr">
        <is>
          <t>NÃO ATENDEU, MANDEI MENSAGEM NÃO ATENDEU, MANDEI MENSAGEM</t>
        </is>
      </c>
      <c r="AP278" s="27">
        <f>IF(AH278="","",IF(AH278=0,"PROSPECT",IF(AH278=1,"NOVO",IF(AH278&lt;=3,"EM DESENVOLVIMENTO",IF(AH278&lt;=6,"RECORRENTE","FIDELIZADO")))))</f>
        <v/>
      </c>
      <c r="AQ278" s="27">
        <f>IF(AJ278=0,0,IFERROR(SUM(U278:AF278)/AJ278,0))</f>
        <v/>
      </c>
      <c r="AS278" s="0" t="inlineStr">
        <is>
          <t>Carteira FEV/26 + Atend FEV/26</t>
        </is>
      </c>
    </row>
    <row r="279" ht="14.25" customHeight="1" s="16">
      <c r="A279" s="25" t="inlineStr">
        <is>
          <t>EMAGRECENTRO JUIZ DE FORA</t>
        </is>
      </c>
      <c r="B279" s="25" t="inlineStr">
        <is>
          <t>46796336000103</t>
        </is>
      </c>
      <c r="C279" s="25" t="inlineStr">
        <is>
          <t>CENTRO DE EMAGRECIMENTO E SAUDE JUIZ DE FORA LTDA</t>
        </is>
      </c>
      <c r="D279" s="25" t="inlineStr">
        <is>
          <t>MG</t>
        </is>
      </c>
      <c r="E279" s="25" t="inlineStr">
        <is>
          <t>JUIZ DE FORA</t>
        </is>
      </c>
      <c r="F279" s="25" t="inlineStr">
        <is>
          <t>emagrecentrojf@gmail.com</t>
        </is>
      </c>
      <c r="G279" s="25" t="inlineStr">
        <is>
          <t>+55 (31) 8694-4732</t>
        </is>
      </c>
      <c r="H279" s="25" t="inlineStr">
        <is>
          <t>09/06/2025</t>
        </is>
      </c>
      <c r="I279" s="25" t="n"/>
      <c r="J279" s="25" t="inlineStr">
        <is>
          <t>MANU DITZEL</t>
        </is>
      </c>
      <c r="K279" s="25" t="inlineStr">
        <is>
          <t>Manu Ditzel</t>
        </is>
      </c>
      <c r="L279" s="25" t="n">
        <v>249</v>
      </c>
      <c r="M279" s="25" t="inlineStr">
        <is>
          <t>11/06/2025</t>
        </is>
      </c>
      <c r="N279" s="25" t="n">
        <v>2314.17</v>
      </c>
      <c r="O279" s="25" t="n">
        <v>2</v>
      </c>
      <c r="P279" s="25" t="inlineStr">
        <is>
          <t>Sim</t>
        </is>
      </c>
      <c r="Q279" s="25" t="n">
        <v>87</v>
      </c>
      <c r="R279" s="25" t="n">
        <v>10</v>
      </c>
      <c r="S279" s="25" t="n">
        <v>2314.17</v>
      </c>
      <c r="T279" s="25" t="inlineStr">
        <is>
          <t>COMPRA B2B</t>
        </is>
      </c>
      <c r="U279" s="25" t="n">
        <v>0</v>
      </c>
      <c r="V279" s="25" t="n">
        <v>0</v>
      </c>
      <c r="W279" s="25" t="n">
        <v>0</v>
      </c>
      <c r="X279" s="25" t="n">
        <v>2314.17</v>
      </c>
      <c r="Y279" s="25" t="n">
        <v>0</v>
      </c>
      <c r="Z279" s="25" t="n">
        <v>0</v>
      </c>
      <c r="AA279" s="25" t="n">
        <v>0</v>
      </c>
      <c r="AB279" s="25" t="n">
        <v>0</v>
      </c>
      <c r="AC279" s="25" t="n">
        <v>0</v>
      </c>
      <c r="AD279" s="25" t="n">
        <v>0</v>
      </c>
      <c r="AE279" s="25" t="n">
        <v>0</v>
      </c>
      <c r="AF279" s="25" t="n">
        <v>0</v>
      </c>
      <c r="AG279" s="25" t="n">
        <v>0</v>
      </c>
      <c r="AH279" s="25" t="n">
        <v>1</v>
      </c>
      <c r="AI279" s="25" t="inlineStr">
        <is>
          <t>B</t>
        </is>
      </c>
      <c r="AJ279" s="25" t="n">
        <v>1</v>
      </c>
      <c r="AK279" s="25" t="n">
        <v>2314.17</v>
      </c>
      <c r="AL279" s="26" t="n">
        <v>46036.67179398148</v>
      </c>
      <c r="AM279" s="26" t="n">
        <v>46036.67179398148</v>
      </c>
      <c r="AN279" s="25" t="inlineStr">
        <is>
          <t>WHATSAPP</t>
        </is>
      </c>
      <c r="AO279" s="25" t="inlineStr">
        <is>
          <t>EMAGRECENTRO - MIZAEL - MG</t>
        </is>
      </c>
      <c r="AP279" s="27">
        <f>IF(AH279="","",IF(AH279=0,"PROSPECT",IF(AH279=1,"NOVO",IF(AH279&lt;=3,"EM DESENVOLVIMENTO",IF(AH279&lt;=6,"RECORRENTE","FIDELIZADO")))))</f>
        <v/>
      </c>
      <c r="AQ279" s="27">
        <f>IF(AJ279=0,0,IFERROR(SUM(U279:AF279)/AJ279,0))</f>
        <v/>
      </c>
      <c r="AS279" s="0" t="inlineStr">
        <is>
          <t>Carteira FEV/26</t>
        </is>
      </c>
    </row>
    <row r="280" ht="14.25" customHeight="1" s="16">
      <c r="A280" s="25" t="inlineStr">
        <is>
          <t>EMPORIO AGORA ECO</t>
        </is>
      </c>
      <c r="B280" s="25" t="inlineStr">
        <is>
          <t>39324235000174</t>
        </is>
      </c>
      <c r="C280" s="25" t="inlineStr">
        <is>
          <t>TOMAS COMERCIO DE ALIMENTOS LTDA</t>
        </is>
      </c>
      <c r="D280" s="25" t="inlineStr">
        <is>
          <t>SP</t>
        </is>
      </c>
      <c r="E280" s="25" t="inlineStr">
        <is>
          <t>MOGI DAS CRUZES</t>
        </is>
      </c>
      <c r="F280" s="25" t="inlineStr">
        <is>
          <t>GABRIELA_TANGANELLI_22@HOTMAIL.COM</t>
        </is>
      </c>
      <c r="G280" s="25" t="inlineStr">
        <is>
          <t>+55 (11) 97459-4225</t>
        </is>
      </c>
      <c r="H280" s="25" t="inlineStr">
        <is>
          <t>08/10/2024</t>
        </is>
      </c>
      <c r="I280" s="25" t="n"/>
      <c r="J280" s="25" t="inlineStr">
        <is>
          <t>LARISSA PADILHA</t>
        </is>
      </c>
      <c r="K280" s="25" t="inlineStr">
        <is>
          <t>Larissa Padilha</t>
        </is>
      </c>
      <c r="L280" s="25" t="n">
        <v>318</v>
      </c>
      <c r="M280" s="25" t="inlineStr">
        <is>
          <t>03/04/2025</t>
        </is>
      </c>
      <c r="N280" s="25" t="n">
        <v>677.7</v>
      </c>
      <c r="O280" s="25" t="n">
        <v>2</v>
      </c>
      <c r="P280" s="25" t="inlineStr">
        <is>
          <t>Sim</t>
        </is>
      </c>
      <c r="Q280" s="25" t="n">
        <v>20</v>
      </c>
      <c r="R280" s="25" t="n">
        <v>7</v>
      </c>
      <c r="S280" s="25" t="n">
        <v>677.7</v>
      </c>
      <c r="T280" s="25" t="inlineStr">
        <is>
          <t>COMPRA B2B</t>
        </is>
      </c>
      <c r="U280" s="25" t="n">
        <v>0</v>
      </c>
      <c r="V280" s="25" t="n">
        <v>677.7</v>
      </c>
      <c r="W280" s="25" t="n">
        <v>0</v>
      </c>
      <c r="X280" s="25" t="n">
        <v>0</v>
      </c>
      <c r="Y280" s="25" t="n">
        <v>0</v>
      </c>
      <c r="Z280" s="25" t="n">
        <v>0</v>
      </c>
      <c r="AA280" s="25" t="n">
        <v>0</v>
      </c>
      <c r="AB280" s="25" t="n">
        <v>0</v>
      </c>
      <c r="AC280" s="25" t="n">
        <v>0</v>
      </c>
      <c r="AD280" s="25" t="n">
        <v>0</v>
      </c>
      <c r="AE280" s="25" t="n">
        <v>0</v>
      </c>
      <c r="AF280" s="25" t="n">
        <v>0</v>
      </c>
      <c r="AG280" s="25" t="n">
        <v>0</v>
      </c>
      <c r="AH280" s="25" t="n">
        <v>1</v>
      </c>
      <c r="AI280" s="25" t="inlineStr">
        <is>
          <t>C</t>
        </is>
      </c>
      <c r="AJ280" s="25" t="n">
        <v>1</v>
      </c>
      <c r="AK280" s="25" t="n">
        <v>677.7</v>
      </c>
      <c r="AL280" s="26" t="n">
        <v>46036.725</v>
      </c>
      <c r="AM280" s="26" t="n">
        <v>46036.725</v>
      </c>
      <c r="AN280" s="25" t="inlineStr">
        <is>
          <t>WHATSAPP</t>
        </is>
      </c>
      <c r="AO280" s="28" t="inlineStr">
        <is>
          <t>CADASTRO | Login: gabriela_tanganelli_22@hotmail.com Senha: 198599</t>
        </is>
      </c>
      <c r="AP280" s="27">
        <f>IF(AH280="","",IF(AH280=0,"PROSPECT",IF(AH280=1,"NOVO",IF(AH280&lt;=3,"EM DESENVOLVIMENTO",IF(AH280&lt;=6,"RECORRENTE","FIDELIZADO")))))</f>
        <v/>
      </c>
      <c r="AQ280" s="27">
        <f>IF(AJ280=0,0,IFERROR(SUM(U280:AF280)/AJ280,0))</f>
        <v/>
      </c>
      <c r="AS280" s="0" t="inlineStr">
        <is>
          <t>Carteira FEV/26</t>
        </is>
      </c>
    </row>
    <row r="281" ht="14.25" customHeight="1" s="16">
      <c r="A281" s="25" t="inlineStr">
        <is>
          <t>EMPORIO DA MATA PRODUTOS NATURAIS</t>
        </is>
      </c>
      <c r="B281" s="25" t="inlineStr">
        <is>
          <t>52212261000179</t>
        </is>
      </c>
      <c r="C281" s="25" t="inlineStr">
        <is>
          <t>E. A. KASPEICHAKI LTDA</t>
        </is>
      </c>
      <c r="D281" s="25" t="inlineStr">
        <is>
          <t>MT</t>
        </is>
      </c>
      <c r="E281" s="25" t="inlineStr">
        <is>
          <t>CAMPO NOVO DO PARECIS</t>
        </is>
      </c>
      <c r="F281" s="25" t="inlineStr">
        <is>
          <t>arvoredavidacnp@hotmail.com</t>
        </is>
      </c>
      <c r="G281" s="25" t="inlineStr">
        <is>
          <t>+55 (65) 99278-5884 | +55 (65) 99338-1703</t>
        </is>
      </c>
      <c r="H281" s="25" t="inlineStr">
        <is>
          <t>13/05/2025</t>
        </is>
      </c>
      <c r="I281" s="25" t="n"/>
      <c r="J281" s="25" t="inlineStr">
        <is>
          <t>LARISSA PADILHA</t>
        </is>
      </c>
      <c r="K281" s="25" t="inlineStr">
        <is>
          <t>Helder Brunkow</t>
        </is>
      </c>
      <c r="L281" s="25" t="n">
        <v>265</v>
      </c>
      <c r="M281" s="25" t="inlineStr">
        <is>
          <t>26/05/2025</t>
        </is>
      </c>
      <c r="N281" s="25" t="n">
        <v>1775.34</v>
      </c>
      <c r="O281" s="25" t="n">
        <v>8</v>
      </c>
      <c r="P281" s="25" t="inlineStr">
        <is>
          <t>Sim</t>
        </is>
      </c>
      <c r="Q281" s="25" t="n">
        <v>45</v>
      </c>
      <c r="R281" s="25" t="n">
        <v>7</v>
      </c>
      <c r="S281" s="25" t="n">
        <v>1775.34</v>
      </c>
      <c r="T281" s="25" t="inlineStr">
        <is>
          <t>COMPRA B2B</t>
        </is>
      </c>
      <c r="U281" s="25" t="n">
        <v>0</v>
      </c>
      <c r="V281" s="25" t="n">
        <v>0</v>
      </c>
      <c r="W281" s="25" t="n">
        <v>1775.34</v>
      </c>
      <c r="X281" s="25" t="n">
        <v>0</v>
      </c>
      <c r="Y281" s="25" t="n">
        <v>0</v>
      </c>
      <c r="Z281" s="25" t="n">
        <v>0</v>
      </c>
      <c r="AA281" s="25" t="n">
        <v>0</v>
      </c>
      <c r="AB281" s="25" t="n">
        <v>0</v>
      </c>
      <c r="AC281" s="25" t="n">
        <v>0</v>
      </c>
      <c r="AD281" s="25" t="n">
        <v>0</v>
      </c>
      <c r="AE281" s="25" t="n">
        <v>0</v>
      </c>
      <c r="AF281" s="25" t="n">
        <v>0</v>
      </c>
      <c r="AG281" s="25" t="n">
        <v>0</v>
      </c>
      <c r="AH281" s="25" t="n">
        <v>1</v>
      </c>
      <c r="AI281" s="25" t="inlineStr">
        <is>
          <t>B</t>
        </is>
      </c>
      <c r="AJ281" s="25" t="n">
        <v>1</v>
      </c>
      <c r="AK281" s="25" t="n">
        <v>1775.34</v>
      </c>
      <c r="AL281" s="26" t="n">
        <v>46065.60208333333</v>
      </c>
      <c r="AM281" s="26" t="n">
        <v>46065.60208333333</v>
      </c>
      <c r="AN281" s="25" t="inlineStr">
        <is>
          <t>WHATSAPP</t>
        </is>
      </c>
      <c r="AO281" s="25" t="inlineStr">
        <is>
          <t>NUTRIÇÃO | Envio da campanha do mês</t>
        </is>
      </c>
      <c r="AP281" s="27">
        <f>IF(AH281="","",IF(AH281=0,"PROSPECT",IF(AH281=1,"NOVO",IF(AH281&lt;=3,"EM DESENVOLVIMENTO",IF(AH281&lt;=6,"RECORRENTE","FIDELIZADO")))))</f>
        <v/>
      </c>
      <c r="AQ281" s="27">
        <f>IF(AJ281=0,0,IFERROR(SUM(U281:AF281)/AJ281,0))</f>
        <v/>
      </c>
      <c r="AS281" s="0" t="inlineStr">
        <is>
          <t>Carteira FEV/26 + Atend FEV/26</t>
        </is>
      </c>
    </row>
    <row r="282" ht="14.25" customHeight="1" s="16">
      <c r="A282" s="25" t="inlineStr">
        <is>
          <t>EMPORIO GAMBOA - ESPECIARIAS E PRODUTOS NATURAIS</t>
        </is>
      </c>
      <c r="B282" s="25" t="inlineStr">
        <is>
          <t>23143632000100</t>
        </is>
      </c>
      <c r="C282" s="25" t="inlineStr">
        <is>
          <t>COMERCIAL F. B. DE PRODUTOS NATURAIS E ORGANICOS LTDA</t>
        </is>
      </c>
      <c r="D282" s="25" t="inlineStr">
        <is>
          <t>PE</t>
        </is>
      </c>
      <c r="E282" s="25" t="inlineStr">
        <is>
          <t>GARANHUNS</t>
        </is>
      </c>
      <c r="F282" s="25" t="inlineStr">
        <is>
          <t>gamboaespeciarias@gmail.com</t>
        </is>
      </c>
      <c r="G282" s="25" t="inlineStr">
        <is>
          <t>+55 (87) 8117-5954</t>
        </is>
      </c>
      <c r="H282" s="25" t="inlineStr">
        <is>
          <t>08/10/2024</t>
        </is>
      </c>
      <c r="I282" s="25" t="n"/>
      <c r="J282" s="25" t="inlineStr">
        <is>
          <t>LARISSA PADILHA</t>
        </is>
      </c>
      <c r="K282" s="25" t="inlineStr">
        <is>
          <t>Larissa Padilha</t>
        </is>
      </c>
      <c r="L282" s="25" t="n">
        <v>114</v>
      </c>
      <c r="M282" s="25" t="inlineStr">
        <is>
          <t>24/10/2025</t>
        </is>
      </c>
      <c r="N282" s="25" t="n">
        <v>1606.83</v>
      </c>
      <c r="O282" s="25" t="n"/>
      <c r="P282" s="25" t="n"/>
      <c r="Q282" s="25" t="n"/>
      <c r="R282" s="25" t="n"/>
      <c r="S282" s="25" t="n"/>
      <c r="T282" s="25" t="n"/>
      <c r="U282" s="25" t="n">
        <v>0</v>
      </c>
      <c r="V282" s="25" t="n">
        <v>0</v>
      </c>
      <c r="W282" s="25" t="n">
        <v>0</v>
      </c>
      <c r="X282" s="25" t="n">
        <v>0</v>
      </c>
      <c r="Y282" s="25" t="n">
        <v>0</v>
      </c>
      <c r="Z282" s="25" t="n">
        <v>1570.64</v>
      </c>
      <c r="AA282" s="25" t="n">
        <v>0</v>
      </c>
      <c r="AB282" s="25" t="n">
        <v>1606.83</v>
      </c>
      <c r="AC282" s="25" t="n">
        <v>0</v>
      </c>
      <c r="AD282" s="25" t="n">
        <v>0</v>
      </c>
      <c r="AE282" s="25" t="n">
        <v>0</v>
      </c>
      <c r="AF282" s="25" t="n">
        <v>0</v>
      </c>
      <c r="AG282" s="25" t="n">
        <v>57</v>
      </c>
      <c r="AH282" s="25" t="n">
        <v>2</v>
      </c>
      <c r="AI282" s="25" t="inlineStr">
        <is>
          <t>A</t>
        </is>
      </c>
      <c r="AJ282" s="25" t="n">
        <v>2</v>
      </c>
      <c r="AK282" s="25" t="n">
        <v>1588.73</v>
      </c>
      <c r="AL282" s="26" t="n">
        <v>46045.4625</v>
      </c>
      <c r="AM282" s="26" t="n">
        <v>46045.4625</v>
      </c>
      <c r="AN282" s="25" t="inlineStr">
        <is>
          <t>WHATSAPP</t>
        </is>
      </c>
      <c r="AO282" s="25" t="inlineStr">
        <is>
          <t>SUPORTE | Solicitei fotos do expositor enviado</t>
        </is>
      </c>
      <c r="AP282" s="27">
        <f>IF(AH282="","",IF(AH282=0,"PROSPECT",IF(AH282=1,"NOVO",IF(AH282&lt;=3,"EM DESENVOLVIMENTO",IF(AH282&lt;=6,"RECORRENTE","FIDELIZADO")))))</f>
        <v/>
      </c>
      <c r="AQ282" s="27">
        <f>IF(AJ282=0,0,IFERROR(SUM(U282:AF282)/AJ282,0))</f>
        <v/>
      </c>
      <c r="AS282" s="0" t="inlineStr">
        <is>
          <t>Carteira FEV/26</t>
        </is>
      </c>
    </row>
    <row r="283" ht="14.25" customHeight="1" s="16">
      <c r="A283" s="25" t="inlineStr">
        <is>
          <t>EMPORIO JAYA DISTRIBUICAO</t>
        </is>
      </c>
      <c r="B283" s="25" t="inlineStr">
        <is>
          <t>22746850000176</t>
        </is>
      </c>
      <c r="C283" s="25" t="inlineStr">
        <is>
          <t>EMPORIO JAYA DISTRIBUICAO DE ALIMENTOS LTDA</t>
        </is>
      </c>
      <c r="D283" s="25" t="inlineStr">
        <is>
          <t>SP</t>
        </is>
      </c>
      <c r="E283" s="25" t="inlineStr">
        <is>
          <t>Barueri</t>
        </is>
      </c>
      <c r="F283" s="25" t="inlineStr">
        <is>
          <t>contato@emporiojaya.com.br</t>
        </is>
      </c>
      <c r="G283" s="25" t="inlineStr">
        <is>
          <t>+55 (11) 96434-7277</t>
        </is>
      </c>
      <c r="H283" s="25" t="inlineStr">
        <is>
          <t>21/03/2025</t>
        </is>
      </c>
      <c r="I283" s="25" t="n"/>
      <c r="J283" s="25" t="inlineStr">
        <is>
          <t>LARISSA PADILHA</t>
        </is>
      </c>
      <c r="K283" s="25" t="inlineStr">
        <is>
          <t>Larissa Padilha</t>
        </is>
      </c>
      <c r="L283" s="25" t="n">
        <v>97</v>
      </c>
      <c r="M283" s="25" t="inlineStr">
        <is>
          <t>10/11/2025</t>
        </is>
      </c>
      <c r="N283" s="25" t="n">
        <v>657.3200000000001</v>
      </c>
      <c r="O283" s="25" t="n">
        <v>5</v>
      </c>
      <c r="P283" s="25" t="inlineStr">
        <is>
          <t>Sim</t>
        </is>
      </c>
      <c r="Q283" s="25" t="n">
        <v>171</v>
      </c>
      <c r="R283" s="25" t="n">
        <v>38</v>
      </c>
      <c r="S283" s="25" t="n">
        <v>3436.97</v>
      </c>
      <c r="T283" s="25" t="inlineStr">
        <is>
          <t>COMPRA B2B</t>
        </is>
      </c>
      <c r="U283" s="25" t="n">
        <v>0</v>
      </c>
      <c r="V283" s="25" t="n">
        <v>1136.3</v>
      </c>
      <c r="W283" s="25" t="n">
        <v>0</v>
      </c>
      <c r="X283" s="25" t="n">
        <v>1643.35</v>
      </c>
      <c r="Y283" s="25" t="n">
        <v>0</v>
      </c>
      <c r="Z283" s="25" t="n">
        <v>0</v>
      </c>
      <c r="AA283" s="25" t="n">
        <v>0</v>
      </c>
      <c r="AB283" s="25" t="n">
        <v>0</v>
      </c>
      <c r="AC283" s="25" t="n">
        <v>657.3200000000001</v>
      </c>
      <c r="AD283" s="25" t="n">
        <v>0</v>
      </c>
      <c r="AE283" s="25" t="n">
        <v>0</v>
      </c>
      <c r="AF283" s="25" t="n">
        <v>0</v>
      </c>
      <c r="AG283" s="25" t="n">
        <v>108</v>
      </c>
      <c r="AH283" s="25" t="n">
        <v>2</v>
      </c>
      <c r="AI283" s="25" t="inlineStr">
        <is>
          <t>A</t>
        </is>
      </c>
      <c r="AJ283" s="25" t="n">
        <v>3</v>
      </c>
      <c r="AK283" s="25" t="n">
        <v>1718.48</v>
      </c>
      <c r="AL283" s="26" t="n">
        <v>46058.67172453704</v>
      </c>
      <c r="AM283" s="26" t="n">
        <v>46058.67172453704</v>
      </c>
      <c r="AN283" s="25" t="inlineStr">
        <is>
          <t>WHATSAPP</t>
        </is>
      </c>
      <c r="AO283" s="25" t="inlineStr">
        <is>
          <t>EMPORIO JAYA - VICTORIA - SP</t>
        </is>
      </c>
      <c r="AP283" s="27">
        <f>IF(AH283="","",IF(AH283=0,"PROSPECT",IF(AH283=1,"NOVO",IF(AH283&lt;=3,"EM DESENVOLVIMENTO",IF(AH283&lt;=6,"RECORRENTE","FIDELIZADO")))))</f>
        <v/>
      </c>
      <c r="AQ283" s="27">
        <f>IF(AJ283=0,0,IFERROR(SUM(U283:AF283)/AJ283,0))</f>
        <v/>
      </c>
      <c r="AS283" s="0" t="inlineStr">
        <is>
          <t>Carteira FEV/26 + Atend FEV/26</t>
        </is>
      </c>
    </row>
    <row r="284" ht="14.25" customHeight="1" s="16">
      <c r="A284" s="25" t="inlineStr">
        <is>
          <t>EMPORIO MAIS VIDA</t>
        </is>
      </c>
      <c r="B284" s="25" t="inlineStr">
        <is>
          <t>30698924000174</t>
        </is>
      </c>
      <c r="C284" s="25" t="inlineStr">
        <is>
          <t>MN MAIS NUTRI EMPORIO LTDA</t>
        </is>
      </c>
      <c r="D284" s="25" t="inlineStr">
        <is>
          <t>MG</t>
        </is>
      </c>
      <c r="E284" s="25" t="inlineStr">
        <is>
          <t>TIMOTEO</t>
        </is>
      </c>
      <c r="F284" s="25" t="inlineStr">
        <is>
          <t>elton_lc@hotmail.com</t>
        </is>
      </c>
      <c r="G284" s="25" t="inlineStr">
        <is>
          <t>+55 (31) 98374-0512</t>
        </is>
      </c>
      <c r="H284" s="25" t="inlineStr">
        <is>
          <t>02/06/2025</t>
        </is>
      </c>
      <c r="I284" s="25" t="n"/>
      <c r="J284" s="25" t="inlineStr">
        <is>
          <t>LARISSA PADILHA</t>
        </is>
      </c>
      <c r="K284" s="25" t="inlineStr">
        <is>
          <t>Helder Brunkow</t>
        </is>
      </c>
      <c r="L284" s="25" t="n">
        <v>243</v>
      </c>
      <c r="M284" s="25" t="inlineStr">
        <is>
          <t>17/06/2025</t>
        </is>
      </c>
      <c r="N284" s="25" t="n">
        <v>1543.95</v>
      </c>
      <c r="O284" s="25" t="n">
        <v>1</v>
      </c>
      <c r="P284" s="25" t="inlineStr">
        <is>
          <t>Sim</t>
        </is>
      </c>
      <c r="Q284" s="25" t="n">
        <v>61</v>
      </c>
      <c r="R284" s="25" t="n">
        <v>23</v>
      </c>
      <c r="S284" s="25" t="n">
        <v>1543.95</v>
      </c>
      <c r="T284" s="25" t="inlineStr">
        <is>
          <t>COMPRA B2B</t>
        </is>
      </c>
      <c r="U284" s="25" t="n">
        <v>0</v>
      </c>
      <c r="V284" s="25" t="n">
        <v>0</v>
      </c>
      <c r="W284" s="25" t="n">
        <v>0</v>
      </c>
      <c r="X284" s="25" t="n">
        <v>1543.95</v>
      </c>
      <c r="Y284" s="25" t="n">
        <v>0</v>
      </c>
      <c r="Z284" s="25" t="n">
        <v>0</v>
      </c>
      <c r="AA284" s="25" t="n">
        <v>0</v>
      </c>
      <c r="AB284" s="25" t="n">
        <v>0</v>
      </c>
      <c r="AC284" s="25" t="n">
        <v>0</v>
      </c>
      <c r="AD284" s="25" t="n">
        <v>0</v>
      </c>
      <c r="AE284" s="25" t="n">
        <v>0</v>
      </c>
      <c r="AF284" s="25" t="n">
        <v>0</v>
      </c>
      <c r="AG284" s="25" t="n">
        <v>0</v>
      </c>
      <c r="AH284" s="25" t="n">
        <v>1</v>
      </c>
      <c r="AI284" s="25" t="inlineStr">
        <is>
          <t>B</t>
        </is>
      </c>
      <c r="AJ284" s="25" t="n">
        <v>1</v>
      </c>
      <c r="AK284" s="25" t="n">
        <v>1543.95</v>
      </c>
      <c r="AL284" s="26" t="n">
        <v>46036.66875</v>
      </c>
      <c r="AM284" s="26" t="n">
        <v>46036.66875</v>
      </c>
      <c r="AN284" s="25" t="inlineStr">
        <is>
          <t>WHATSAPP</t>
        </is>
      </c>
      <c r="AO284" s="25" t="inlineStr">
        <is>
          <t>RECOMPRA | Nova abordagem - Linha Disney</t>
        </is>
      </c>
      <c r="AP284" s="27">
        <f>IF(AH284="","",IF(AH284=0,"PROSPECT",IF(AH284=1,"NOVO",IF(AH284&lt;=3,"EM DESENVOLVIMENTO",IF(AH284&lt;=6,"RECORRENTE","FIDELIZADO")))))</f>
        <v/>
      </c>
      <c r="AQ284" s="27">
        <f>IF(AJ284=0,0,IFERROR(SUM(U284:AF284)/AJ284,0))</f>
        <v/>
      </c>
      <c r="AS284" s="0" t="inlineStr">
        <is>
          <t>Carteira FEV/26</t>
        </is>
      </c>
    </row>
    <row r="285" ht="14.25" customHeight="1" s="16">
      <c r="A285" s="25" t="inlineStr">
        <is>
          <t>EMPORIO MISO</t>
        </is>
      </c>
      <c r="B285" s="25" t="inlineStr">
        <is>
          <t>43249227000188</t>
        </is>
      </c>
      <c r="C285" s="25" t="inlineStr">
        <is>
          <t>LARYSSA COMERCIO DE ALIMENTOS LTDA</t>
        </is>
      </c>
      <c r="D285" s="25" t="inlineStr">
        <is>
          <t>MT</t>
        </is>
      </c>
      <c r="E285" s="25" t="inlineStr">
        <is>
          <t>AGUA BOA</t>
        </is>
      </c>
      <c r="F285" s="25" t="inlineStr">
        <is>
          <t>emporiomiso@gmail.com</t>
        </is>
      </c>
      <c r="G285" s="25" t="inlineStr">
        <is>
          <t>+55 (66) 8411-4325</t>
        </is>
      </c>
      <c r="H285" s="25" t="inlineStr">
        <is>
          <t>08/10/2024</t>
        </is>
      </c>
      <c r="I285" s="25" t="n"/>
      <c r="J285" s="25" t="inlineStr">
        <is>
          <t>LARISSA PADILHA</t>
        </is>
      </c>
      <c r="K285" s="25" t="inlineStr">
        <is>
          <t>Helder Brunkow</t>
        </is>
      </c>
      <c r="L285" s="25" t="n">
        <v>296</v>
      </c>
      <c r="M285" s="25" t="inlineStr">
        <is>
          <t>25/04/2025</t>
        </is>
      </c>
      <c r="N285" s="25" t="n">
        <v>1439.93</v>
      </c>
      <c r="O285" s="25" t="n"/>
      <c r="P285" s="25" t="n"/>
      <c r="Q285" s="25" t="n"/>
      <c r="R285" s="25" t="n"/>
      <c r="S285" s="25" t="n"/>
      <c r="T285" s="25" t="n"/>
      <c r="U285" s="25" t="n">
        <v>0</v>
      </c>
      <c r="V285" s="25" t="n">
        <v>1439.93</v>
      </c>
      <c r="W285" s="25" t="n">
        <v>0</v>
      </c>
      <c r="X285" s="25" t="n">
        <v>0</v>
      </c>
      <c r="Y285" s="25" t="n">
        <v>0</v>
      </c>
      <c r="Z285" s="25" t="n">
        <v>0</v>
      </c>
      <c r="AA285" s="25" t="n">
        <v>0</v>
      </c>
      <c r="AB285" s="25" t="n">
        <v>0</v>
      </c>
      <c r="AC285" s="25" t="n">
        <v>0</v>
      </c>
      <c r="AD285" s="25" t="n">
        <v>0</v>
      </c>
      <c r="AE285" s="25" t="n">
        <v>0</v>
      </c>
      <c r="AF285" s="25" t="n">
        <v>0</v>
      </c>
      <c r="AG285" s="25" t="n">
        <v>0</v>
      </c>
      <c r="AH285" s="25" t="n">
        <v>1</v>
      </c>
      <c r="AI285" s="25" t="inlineStr">
        <is>
          <t>B</t>
        </is>
      </c>
      <c r="AJ285" s="25" t="n">
        <v>1</v>
      </c>
      <c r="AK285" s="25" t="n">
        <v>1439.93</v>
      </c>
      <c r="AL285" s="26" t="n">
        <v>46056.63064814815</v>
      </c>
      <c r="AM285" s="26" t="n">
        <v>46056.63064814815</v>
      </c>
      <c r="AN285" s="25" t="inlineStr">
        <is>
          <t>WHATSAPP</t>
        </is>
      </c>
      <c r="AO285" s="25" t="inlineStr">
        <is>
          <t>EMPORIO MISO - LARY - MT</t>
        </is>
      </c>
      <c r="AP285" s="27">
        <f>IF(AH285="","",IF(AH285=0,"PROSPECT",IF(AH285=1,"NOVO",IF(AH285&lt;=3,"EM DESENVOLVIMENTO",IF(AH285&lt;=6,"RECORRENTE","FIDELIZADO")))))</f>
        <v/>
      </c>
      <c r="AQ285" s="27">
        <f>IF(AJ285=0,0,IFERROR(SUM(U285:AF285)/AJ285,0))</f>
        <v/>
      </c>
      <c r="AS285" s="0" t="inlineStr">
        <is>
          <t>Carteira FEV/26 + Atend FEV/26</t>
        </is>
      </c>
    </row>
    <row r="286" ht="14.25" customHeight="1" s="16">
      <c r="A286" s="25" t="inlineStr">
        <is>
          <t>EMPORIO MULTI ARMAZEM</t>
        </is>
      </c>
      <c r="B286" s="25" t="inlineStr">
        <is>
          <t>59182148000137</t>
        </is>
      </c>
      <c r="C286" s="25" t="inlineStr">
        <is>
          <t>MULTI ARMAZEM LTDA</t>
        </is>
      </c>
      <c r="D286" s="25" t="inlineStr">
        <is>
          <t>DF</t>
        </is>
      </c>
      <c r="E286" s="25" t="inlineStr">
        <is>
          <t>BRASILIA</t>
        </is>
      </c>
      <c r="F286" s="25" t="inlineStr">
        <is>
          <t>MULTIARMAZEMAREAL@GMAIL.COM</t>
        </is>
      </c>
      <c r="G286" s="25" t="inlineStr">
        <is>
          <t>+55 (61) 8240-6973</t>
        </is>
      </c>
      <c r="H286" s="25" t="inlineStr">
        <is>
          <t>30/07/2025</t>
        </is>
      </c>
      <c r="I286" s="25" t="n"/>
      <c r="J286" s="25" t="inlineStr">
        <is>
          <t>LARISSA PADILHA</t>
        </is>
      </c>
      <c r="K286" s="25" t="inlineStr">
        <is>
          <t>Larissa Padilha</t>
        </is>
      </c>
      <c r="L286" s="25" t="n">
        <v>192</v>
      </c>
      <c r="M286" s="25" t="inlineStr">
        <is>
          <t>07/08/2025</t>
        </is>
      </c>
      <c r="N286" s="25" t="n">
        <v>1215.54</v>
      </c>
      <c r="O286" s="25" t="n"/>
      <c r="P286" s="25" t="n"/>
      <c r="Q286" s="25" t="n"/>
      <c r="R286" s="25" t="n"/>
      <c r="S286" s="25" t="n"/>
      <c r="T286" s="25" t="n"/>
      <c r="U286" s="25" t="n">
        <v>0</v>
      </c>
      <c r="V286" s="25" t="n">
        <v>0</v>
      </c>
      <c r="W286" s="25" t="n">
        <v>0</v>
      </c>
      <c r="X286" s="25" t="n">
        <v>0</v>
      </c>
      <c r="Y286" s="25" t="n">
        <v>0</v>
      </c>
      <c r="Z286" s="25" t="n">
        <v>1215.54</v>
      </c>
      <c r="AA286" s="25" t="n">
        <v>0</v>
      </c>
      <c r="AB286" s="25" t="n">
        <v>0</v>
      </c>
      <c r="AC286" s="25" t="n">
        <v>0</v>
      </c>
      <c r="AD286" s="25" t="n">
        <v>0</v>
      </c>
      <c r="AE286" s="25" t="n">
        <v>0</v>
      </c>
      <c r="AF286" s="25" t="n">
        <v>0</v>
      </c>
      <c r="AG286" s="25" t="n">
        <v>0</v>
      </c>
      <c r="AH286" s="25" t="n">
        <v>1</v>
      </c>
      <c r="AI286" s="25" t="inlineStr">
        <is>
          <t>B</t>
        </is>
      </c>
      <c r="AJ286" s="25" t="n">
        <v>1</v>
      </c>
      <c r="AK286" s="25" t="n">
        <v>1215.54</v>
      </c>
      <c r="AL286" s="26" t="n">
        <v>46036.62664351852</v>
      </c>
      <c r="AM286" s="26" t="n">
        <v>46036.62664351852</v>
      </c>
      <c r="AN286" s="25" t="inlineStr">
        <is>
          <t>WHATSAPP</t>
        </is>
      </c>
      <c r="AO286" s="25" t="inlineStr">
        <is>
          <t>MULTIARMAZEM - THIAGO - DF</t>
        </is>
      </c>
      <c r="AP286" s="27">
        <f>IF(AH286="","",IF(AH286=0,"PROSPECT",IF(AH286=1,"NOVO",IF(AH286&lt;=3,"EM DESENVOLVIMENTO",IF(AH286&lt;=6,"RECORRENTE","FIDELIZADO")))))</f>
        <v/>
      </c>
      <c r="AQ286" s="27">
        <f>IF(AJ286=0,0,IFERROR(SUM(U286:AF286)/AJ286,0))</f>
        <v/>
      </c>
      <c r="AS286" s="0" t="inlineStr">
        <is>
          <t>Carteira FEV/26</t>
        </is>
      </c>
    </row>
    <row r="287" ht="14.25" customHeight="1" s="16">
      <c r="A287" s="25" t="inlineStr">
        <is>
          <t>EMPORIO NATU</t>
        </is>
      </c>
      <c r="B287" s="25" t="inlineStr">
        <is>
          <t>38449259000197</t>
        </is>
      </c>
      <c r="C287" s="25" t="inlineStr">
        <is>
          <t>M. A. SILVA DE FREITAS COMERCIO DE PRODUTOS NATURAIS</t>
        </is>
      </c>
      <c r="D287" s="25" t="inlineStr">
        <is>
          <t>SP</t>
        </is>
      </c>
      <c r="E287" s="25" t="inlineStr">
        <is>
          <t>CARAGUATATUBA</t>
        </is>
      </c>
      <c r="F287" s="25" t="inlineStr">
        <is>
          <t>emporionatu.caragua@gmail.com</t>
        </is>
      </c>
      <c r="G287" s="25" t="inlineStr">
        <is>
          <t>+55 (12) 99653-2808</t>
        </is>
      </c>
      <c r="H287" s="25" t="inlineStr">
        <is>
          <t>08/10/2024</t>
        </is>
      </c>
      <c r="I287" s="25" t="n"/>
      <c r="J287" s="25" t="inlineStr">
        <is>
          <t>LARISSA PADILHA</t>
        </is>
      </c>
      <c r="K287" s="25" t="inlineStr">
        <is>
          <t>Larissa Padilha</t>
        </is>
      </c>
      <c r="L287" s="25" t="n">
        <v>121</v>
      </c>
      <c r="M287" s="25" t="inlineStr">
        <is>
          <t>17/10/2025</t>
        </is>
      </c>
      <c r="N287" s="25" t="n">
        <v>712.46</v>
      </c>
      <c r="O287" s="25" t="n">
        <v>1</v>
      </c>
      <c r="P287" s="25" t="inlineStr">
        <is>
          <t>Sim</t>
        </is>
      </c>
      <c r="Q287" s="25" t="n">
        <v>84</v>
      </c>
      <c r="R287" s="25" t="n">
        <v>13</v>
      </c>
      <c r="S287" s="25" t="n">
        <v>701.58</v>
      </c>
      <c r="T287" s="25" t="inlineStr">
        <is>
          <t>COMPRA B2B</t>
        </is>
      </c>
      <c r="U287" s="25" t="n">
        <v>0</v>
      </c>
      <c r="V287" s="25" t="n">
        <v>0</v>
      </c>
      <c r="W287" s="25" t="n">
        <v>0</v>
      </c>
      <c r="X287" s="25" t="n">
        <v>701.58</v>
      </c>
      <c r="Y287" s="25" t="n">
        <v>0</v>
      </c>
      <c r="Z287" s="25" t="n">
        <v>0</v>
      </c>
      <c r="AA287" s="25" t="n">
        <v>0</v>
      </c>
      <c r="AB287" s="25" t="n">
        <v>712.46</v>
      </c>
      <c r="AC287" s="25" t="n">
        <v>0</v>
      </c>
      <c r="AD287" s="25" t="n">
        <v>0</v>
      </c>
      <c r="AE287" s="25" t="n">
        <v>0</v>
      </c>
      <c r="AF287" s="25" t="n">
        <v>0</v>
      </c>
      <c r="AG287" s="25" t="n">
        <v>119</v>
      </c>
      <c r="AH287" s="25" t="n">
        <v>2</v>
      </c>
      <c r="AI287" s="25" t="inlineStr">
        <is>
          <t>B</t>
        </is>
      </c>
      <c r="AJ287" s="25" t="n">
        <v>2</v>
      </c>
      <c r="AK287" s="25" t="n">
        <v>707.02</v>
      </c>
      <c r="AL287" s="26" t="n">
        <v>46036.71087962963</v>
      </c>
      <c r="AM287" s="26" t="n">
        <v>46036.71087962963</v>
      </c>
      <c r="AN287" s="25" t="inlineStr">
        <is>
          <t>WHATSAPP</t>
        </is>
      </c>
      <c r="AO287" s="25" t="inlineStr">
        <is>
          <t>EMPORIO NATU - MAISE - SP</t>
        </is>
      </c>
      <c r="AP287" s="27">
        <f>IF(AH287="","",IF(AH287=0,"PROSPECT",IF(AH287=1,"NOVO",IF(AH287&lt;=3,"EM DESENVOLVIMENTO",IF(AH287&lt;=6,"RECORRENTE","FIDELIZADO")))))</f>
        <v/>
      </c>
      <c r="AQ287" s="27">
        <f>IF(AJ287=0,0,IFERROR(SUM(U287:AF287)/AJ287,0))</f>
        <v/>
      </c>
      <c r="AS287" s="0" t="inlineStr">
        <is>
          <t>Carteira FEV/26 + Ecom FEV/26</t>
        </is>
      </c>
    </row>
    <row r="288" ht="14.25" customHeight="1" s="16">
      <c r="A288" s="25" t="inlineStr">
        <is>
          <t>EMPORIO POMAR URBANO</t>
        </is>
      </c>
      <c r="B288" s="25" t="inlineStr">
        <is>
          <t>22332946000198</t>
        </is>
      </c>
      <c r="C288" s="25" t="inlineStr">
        <is>
          <t>EMPORIO POMAR URBANO ALIMENTOS LTDA</t>
        </is>
      </c>
      <c r="D288" s="25" t="inlineStr">
        <is>
          <t>SC</t>
        </is>
      </c>
      <c r="E288" s="25" t="inlineStr">
        <is>
          <t>TIMBO</t>
        </is>
      </c>
      <c r="F288" s="25" t="inlineStr">
        <is>
          <t>emporiopomarurbano@gmail.com</t>
        </is>
      </c>
      <c r="G288" s="25" t="inlineStr">
        <is>
          <t>+55 (47) 9269-5047</t>
        </is>
      </c>
      <c r="H288" s="25" t="inlineStr">
        <is>
          <t>08/10/2024</t>
        </is>
      </c>
      <c r="I288" s="25" t="n"/>
      <c r="J288" s="25" t="inlineStr">
        <is>
          <t>MANU DITZEL</t>
        </is>
      </c>
      <c r="K288" s="25" t="inlineStr">
        <is>
          <t>Manu Ditzel</t>
        </is>
      </c>
      <c r="L288" s="25" t="n">
        <v>95</v>
      </c>
      <c r="M288" s="25" t="inlineStr">
        <is>
          <t>12/11/2025</t>
        </is>
      </c>
      <c r="N288" s="25" t="n">
        <v>619.08</v>
      </c>
      <c r="O288" s="25" t="n">
        <v>1</v>
      </c>
      <c r="P288" s="25" t="inlineStr">
        <is>
          <t>Sim</t>
        </is>
      </c>
      <c r="Q288" s="25" t="n">
        <v>39</v>
      </c>
      <c r="R288" s="25" t="n">
        <v>7</v>
      </c>
      <c r="S288" s="25" t="n">
        <v>5772.73</v>
      </c>
      <c r="T288" s="25" t="inlineStr">
        <is>
          <t>COMPRA B2B</t>
        </is>
      </c>
      <c r="U288" s="25" t="n">
        <v>0</v>
      </c>
      <c r="V288" s="25" t="n">
        <v>0</v>
      </c>
      <c r="W288" s="25" t="n">
        <v>0</v>
      </c>
      <c r="X288" s="25" t="n">
        <v>0</v>
      </c>
      <c r="Y288" s="25" t="n">
        <v>0</v>
      </c>
      <c r="Z288" s="25" t="n">
        <v>674.6799999999999</v>
      </c>
      <c r="AA288" s="25" t="n">
        <v>1354.15</v>
      </c>
      <c r="AB288" s="25" t="n">
        <v>2191.25</v>
      </c>
      <c r="AC288" s="25" t="n">
        <v>619.08</v>
      </c>
      <c r="AD288" s="25" t="n">
        <v>0</v>
      </c>
      <c r="AE288" s="25" t="n">
        <v>0</v>
      </c>
      <c r="AF288" s="25" t="n">
        <v>0</v>
      </c>
      <c r="AG288" s="25" t="n">
        <v>22.25</v>
      </c>
      <c r="AH288" s="25" t="n">
        <v>3</v>
      </c>
      <c r="AI288" s="25" t="inlineStr">
        <is>
          <t>A</t>
        </is>
      </c>
      <c r="AJ288" s="25" t="n">
        <v>4</v>
      </c>
      <c r="AK288" s="25" t="n">
        <v>1613.05</v>
      </c>
      <c r="AL288" s="26" t="n">
        <v>45960.76466435185</v>
      </c>
      <c r="AM288" s="26" t="n">
        <v>45960.76466435185</v>
      </c>
      <c r="AN288" s="25" t="inlineStr">
        <is>
          <t>WHATSAPP</t>
        </is>
      </c>
      <c r="AO288" s="25" t="inlineStr">
        <is>
          <t>EMPORIO POMAR URBANO - Gessica</t>
        </is>
      </c>
      <c r="AP288" s="27">
        <f>IF(AH288="","",IF(AH288=0,"PROSPECT",IF(AH288=1,"NOVO",IF(AH288&lt;=3,"EM DESENVOLVIMENTO",IF(AH288&lt;=6,"RECORRENTE","FIDELIZADO")))))</f>
        <v/>
      </c>
      <c r="AQ288" s="27">
        <f>IF(AJ288=0,0,IFERROR(SUM(U288:AF288)/AJ288,0))</f>
        <v/>
      </c>
      <c r="AS288" s="0" t="inlineStr">
        <is>
          <t>Carteira FEV/26</t>
        </is>
      </c>
    </row>
    <row r="289" ht="14.25" customHeight="1" s="16">
      <c r="A289" s="25" t="inlineStr">
        <is>
          <t>EMPORIO TRIBO ALDEIA VERDE</t>
        </is>
      </c>
      <c r="B289" s="25" t="inlineStr">
        <is>
          <t>48391847000170</t>
        </is>
      </c>
      <c r="C289" s="25" t="inlineStr">
        <is>
          <t>TRIBO VERDE PRODUTOS NATURAIS LTDA</t>
        </is>
      </c>
      <c r="D289" s="25" t="inlineStr">
        <is>
          <t>GO</t>
        </is>
      </c>
      <c r="E289" s="25" t="inlineStr">
        <is>
          <t>INHUMAS</t>
        </is>
      </c>
      <c r="F289" s="25" t="inlineStr">
        <is>
          <t>MURILOJUNIORSILVA@HOTMAIL.COM</t>
        </is>
      </c>
      <c r="G289" s="25" t="inlineStr">
        <is>
          <t>+55 (62) 9182-5564</t>
        </is>
      </c>
      <c r="H289" s="25" t="inlineStr">
        <is>
          <t>01/09/2025</t>
        </is>
      </c>
      <c r="I289" s="25" t="n"/>
      <c r="J289" s="25" t="inlineStr">
        <is>
          <t>MANU DITZEL</t>
        </is>
      </c>
      <c r="K289" s="25" t="inlineStr">
        <is>
          <t>Larissa Padilha</t>
        </is>
      </c>
      <c r="L289" s="25" t="n">
        <v>89</v>
      </c>
      <c r="M289" s="25" t="inlineStr">
        <is>
          <t>18/11/2025</t>
        </is>
      </c>
      <c r="N289" s="25" t="n">
        <v>2019.12</v>
      </c>
      <c r="O289" s="25" t="n">
        <v>2</v>
      </c>
      <c r="P289" s="25" t="inlineStr">
        <is>
          <t>Sim</t>
        </is>
      </c>
      <c r="Q289" s="25" t="n">
        <v>151</v>
      </c>
      <c r="R289" s="25" t="n">
        <v>72</v>
      </c>
      <c r="S289" s="25" t="n">
        <v>4040.65</v>
      </c>
      <c r="T289" s="25" t="inlineStr">
        <is>
          <t>COMPRA B2B</t>
        </is>
      </c>
      <c r="U289" s="25" t="n">
        <v>0</v>
      </c>
      <c r="V289" s="25" t="n">
        <v>0</v>
      </c>
      <c r="W289" s="25" t="n">
        <v>0</v>
      </c>
      <c r="X289" s="25" t="n">
        <v>0</v>
      </c>
      <c r="Y289" s="25" t="n">
        <v>0</v>
      </c>
      <c r="Z289" s="25" t="n">
        <v>0</v>
      </c>
      <c r="AA289" s="25" t="n">
        <v>2021.53</v>
      </c>
      <c r="AB289" s="25" t="n">
        <v>0</v>
      </c>
      <c r="AC289" s="25" t="n">
        <v>2019.12</v>
      </c>
      <c r="AD289" s="25" t="n">
        <v>0</v>
      </c>
      <c r="AE289" s="25" t="n">
        <v>0</v>
      </c>
      <c r="AF289" s="25" t="n">
        <v>0</v>
      </c>
      <c r="AG289" s="25" t="n">
        <v>77</v>
      </c>
      <c r="AH289" s="25" t="n">
        <v>1</v>
      </c>
      <c r="AI289" s="25" t="inlineStr">
        <is>
          <t>A</t>
        </is>
      </c>
      <c r="AJ289" s="25" t="n">
        <v>2</v>
      </c>
      <c r="AK289" s="25" t="n">
        <v>4040.65</v>
      </c>
      <c r="AL289" s="26" t="n">
        <v>46058.66319444445</v>
      </c>
      <c r="AM289" s="26" t="n">
        <v>46058.66319444445</v>
      </c>
      <c r="AN289" s="25" t="inlineStr">
        <is>
          <t>WHATSAPP</t>
        </is>
      </c>
      <c r="AO289" s="25" t="inlineStr">
        <is>
          <t>NUTRIÇÃO | Envio da campanha do mês</t>
        </is>
      </c>
      <c r="AP289" s="27">
        <f>IF(AH289="","",IF(AH289=0,"PROSPECT",IF(AH289=1,"NOVO",IF(AH289&lt;=3,"EM DESENVOLVIMENTO",IF(AH289&lt;=6,"RECORRENTE","FIDELIZADO")))))</f>
        <v/>
      </c>
      <c r="AQ289" s="27">
        <f>IF(AJ289=0,0,IFERROR(SUM(U289:AF289)/AJ289,0))</f>
        <v/>
      </c>
      <c r="AS289" s="0" t="inlineStr">
        <is>
          <t>Carteira FEV/26 + Atend FEV/26</t>
        </is>
      </c>
    </row>
    <row r="290" ht="14.25" customHeight="1" s="16">
      <c r="A290" s="25" t="inlineStr">
        <is>
          <t>EMPORIO VIDA E SAUDE</t>
        </is>
      </c>
      <c r="B290" s="25" t="inlineStr">
        <is>
          <t>20021355000174</t>
        </is>
      </c>
      <c r="C290" s="25" t="inlineStr">
        <is>
          <t>FRANCO DE OLIVEIRA SILVA &amp; CIA LTDA</t>
        </is>
      </c>
      <c r="D290" s="25" t="inlineStr">
        <is>
          <t>PR</t>
        </is>
      </c>
      <c r="E290" s="25" t="inlineStr">
        <is>
          <t>SANTO ANTONIO DA PLATINA</t>
        </is>
      </c>
      <c r="F290" s="25" t="inlineStr">
        <is>
          <t>vidaesaude@gmail.com</t>
        </is>
      </c>
      <c r="G290" s="25" t="inlineStr">
        <is>
          <t>+55 (43) 98432-7552</t>
        </is>
      </c>
      <c r="H290" s="25" t="inlineStr">
        <is>
          <t>14/08/2025</t>
        </is>
      </c>
      <c r="I290" s="25" t="n"/>
      <c r="J290" s="25" t="inlineStr">
        <is>
          <t>MANU DITZEL</t>
        </is>
      </c>
      <c r="K290" s="25" t="inlineStr">
        <is>
          <t>Manu Ditzel</t>
        </is>
      </c>
      <c r="L290" s="25" t="n">
        <v>179</v>
      </c>
      <c r="M290" s="25" t="inlineStr">
        <is>
          <t>20/08/2025</t>
        </is>
      </c>
      <c r="N290" s="25" t="n">
        <v>684.92</v>
      </c>
      <c r="O290" s="25" t="n"/>
      <c r="P290" s="25" t="n"/>
      <c r="Q290" s="25" t="n"/>
      <c r="R290" s="25" t="n"/>
      <c r="S290" s="25" t="n"/>
      <c r="T290" s="25" t="n"/>
      <c r="U290" s="25" t="n">
        <v>0</v>
      </c>
      <c r="V290" s="25" t="n">
        <v>0</v>
      </c>
      <c r="W290" s="25" t="n">
        <v>0</v>
      </c>
      <c r="X290" s="25" t="n">
        <v>0</v>
      </c>
      <c r="Y290" s="25" t="n">
        <v>0</v>
      </c>
      <c r="Z290" s="25" t="n">
        <v>684.92</v>
      </c>
      <c r="AA290" s="25" t="n">
        <v>0</v>
      </c>
      <c r="AB290" s="25" t="n">
        <v>0</v>
      </c>
      <c r="AC290" s="25" t="n">
        <v>0</v>
      </c>
      <c r="AD290" s="25" t="n">
        <v>0</v>
      </c>
      <c r="AE290" s="25" t="n">
        <v>0</v>
      </c>
      <c r="AF290" s="25" t="n">
        <v>0</v>
      </c>
      <c r="AG290" s="25" t="n">
        <v>0</v>
      </c>
      <c r="AH290" s="25" t="n">
        <v>1</v>
      </c>
      <c r="AI290" s="25" t="inlineStr">
        <is>
          <t>C</t>
        </is>
      </c>
      <c r="AJ290" s="25" t="n">
        <v>1</v>
      </c>
      <c r="AK290" s="25" t="n">
        <v>684.92</v>
      </c>
      <c r="AL290" s="26" t="n">
        <v>46058.47569444445</v>
      </c>
      <c r="AM290" s="26" t="n">
        <v>46058.47569444445</v>
      </c>
      <c r="AN290" s="25" t="inlineStr">
        <is>
          <t>LIGAÇÃO</t>
        </is>
      </c>
      <c r="AO290" s="25" t="inlineStr">
        <is>
          <t>LIGUEI, PEDIU PARA MANDAR WPP NUNCA RESPONDE E NÃO DA ABERTURA</t>
        </is>
      </c>
      <c r="AP290" s="27">
        <f>IF(AH290="","",IF(AH290=0,"PROSPECT",IF(AH290=1,"NOVO",IF(AH290&lt;=3,"EM DESENVOLVIMENTO",IF(AH290&lt;=6,"RECORRENTE","FIDELIZADO")))))</f>
        <v/>
      </c>
      <c r="AQ290" s="27">
        <f>IF(AJ290=0,0,IFERROR(SUM(U290:AF290)/AJ290,0))</f>
        <v/>
      </c>
      <c r="AS290" s="0" t="inlineStr">
        <is>
          <t>Carteira FEV/26 + Atend FEV/26</t>
        </is>
      </c>
    </row>
    <row r="291" ht="14.25" customHeight="1" s="16">
      <c r="A291" s="25" t="inlineStr">
        <is>
          <t>EMPORIO VIDA NATURAL</t>
        </is>
      </c>
      <c r="B291" s="25" t="inlineStr">
        <is>
          <t>31323790000170</t>
        </is>
      </c>
      <c r="C291" s="25" t="inlineStr">
        <is>
          <t>SIMONE DOS SANTOS TEIXEIRA 03405073650</t>
        </is>
      </c>
      <c r="D291" s="25" t="inlineStr">
        <is>
          <t>PR</t>
        </is>
      </c>
      <c r="E291" s="25" t="inlineStr">
        <is>
          <t>CURITIBA</t>
        </is>
      </c>
      <c r="F291" s="25" t="inlineStr">
        <is>
          <t>contato@emporiovidanatural.com.br</t>
        </is>
      </c>
      <c r="G291" s="25" t="inlineStr">
        <is>
          <t>+55 (41) 9924-7964</t>
        </is>
      </c>
      <c r="H291" s="25" t="inlineStr">
        <is>
          <t>08/10/2024</t>
        </is>
      </c>
      <c r="I291" s="25" t="n"/>
      <c r="J291" s="25" t="inlineStr">
        <is>
          <t>MANU DITZEL</t>
        </is>
      </c>
      <c r="K291" s="25" t="inlineStr">
        <is>
          <t>Manu Ditzel</t>
        </is>
      </c>
      <c r="L291" s="25" t="n">
        <v>102</v>
      </c>
      <c r="M291" s="25" t="inlineStr">
        <is>
          <t>05/11/2025</t>
        </is>
      </c>
      <c r="N291" s="25" t="n">
        <v>725.91</v>
      </c>
      <c r="O291" s="25" t="n">
        <v>1</v>
      </c>
      <c r="P291" s="25" t="inlineStr">
        <is>
          <t>Sim</t>
        </is>
      </c>
      <c r="Q291" s="25" t="n">
        <v>164</v>
      </c>
      <c r="R291" s="25" t="n">
        <v>16</v>
      </c>
      <c r="S291" s="25" t="n">
        <v>725.91</v>
      </c>
      <c r="T291" s="25" t="inlineStr">
        <is>
          <t>COMPRA B2B</t>
        </is>
      </c>
      <c r="U291" s="25" t="n">
        <v>0</v>
      </c>
      <c r="V291" s="25" t="n">
        <v>0</v>
      </c>
      <c r="W291" s="25" t="n">
        <v>0</v>
      </c>
      <c r="X291" s="25" t="n">
        <v>0</v>
      </c>
      <c r="Y291" s="25" t="n">
        <v>0</v>
      </c>
      <c r="Z291" s="25" t="n">
        <v>0</v>
      </c>
      <c r="AA291" s="25" t="n">
        <v>0</v>
      </c>
      <c r="AB291" s="25" t="n">
        <v>0</v>
      </c>
      <c r="AC291" s="25" t="n">
        <v>725.91</v>
      </c>
      <c r="AD291" s="25" t="n">
        <v>0</v>
      </c>
      <c r="AE291" s="25" t="n">
        <v>0</v>
      </c>
      <c r="AF291" s="25" t="n">
        <v>0</v>
      </c>
      <c r="AG291" s="25" t="n">
        <v>0</v>
      </c>
      <c r="AH291" s="25" t="n">
        <v>0</v>
      </c>
      <c r="AI291" s="25" t="inlineStr">
        <is>
          <t>C</t>
        </is>
      </c>
      <c r="AJ291" s="25" t="n">
        <v>1</v>
      </c>
      <c r="AK291" s="25" t="n">
        <v>0</v>
      </c>
      <c r="AL291" s="26" t="n">
        <v>46062.44444444445</v>
      </c>
      <c r="AM291" s="26" t="n">
        <v>46062.44444444445</v>
      </c>
      <c r="AN291" s="25" t="inlineStr">
        <is>
          <t>WHATSAPP</t>
        </is>
      </c>
      <c r="AO291" s="25" t="inlineStr">
        <is>
          <t>09/02/2026	COMPRA DE 3 EM 3 MESES	FEITO CONTATO PARA POSSIVEL RECOMPRA</t>
        </is>
      </c>
      <c r="AP291" s="27">
        <f>IF(AH291="","",IF(AH291=0,"PROSPECT",IF(AH291=1,"NOVO",IF(AH291&lt;=3,"EM DESENVOLVIMENTO",IF(AH291&lt;=6,"RECORRENTE","FIDELIZADO")))))</f>
        <v/>
      </c>
      <c r="AQ291" s="27">
        <f>IF(AJ291=0,0,IFERROR(SUM(U291:AF291)/AJ291,0))</f>
        <v/>
      </c>
      <c r="AS291" s="0" t="inlineStr">
        <is>
          <t>Carteira FEV/26 + Atend FEV/26</t>
        </is>
      </c>
    </row>
    <row r="292" ht="14.25" customHeight="1" s="16">
      <c r="A292" s="25" t="inlineStr">
        <is>
          <t>EMPORIO VIDA VERDE</t>
        </is>
      </c>
      <c r="B292" s="25" t="inlineStr">
        <is>
          <t>50126687000184</t>
        </is>
      </c>
      <c r="C292" s="25" t="inlineStr">
        <is>
          <t>EMPORIO VIDA VERDE LTDA</t>
        </is>
      </c>
      <c r="D292" s="25" t="inlineStr">
        <is>
          <t>SC</t>
        </is>
      </c>
      <c r="E292" s="25" t="inlineStr">
        <is>
          <t>XAXIM</t>
        </is>
      </c>
      <c r="F292" s="25" t="inlineStr">
        <is>
          <t>emporiovidaverde1@hotmail.com</t>
        </is>
      </c>
      <c r="G292" s="25" t="inlineStr">
        <is>
          <t>+55 (49) 99109-4461</t>
        </is>
      </c>
      <c r="H292" s="25" t="inlineStr">
        <is>
          <t>08/10/2024</t>
        </is>
      </c>
      <c r="I292" s="25" t="n"/>
      <c r="J292" s="25" t="inlineStr">
        <is>
          <t>LARISSA PADILHA</t>
        </is>
      </c>
      <c r="K292" s="25" t="inlineStr">
        <is>
          <t>Larissa Padilha</t>
        </is>
      </c>
      <c r="L292" s="25" t="n">
        <v>278</v>
      </c>
      <c r="M292" s="25" t="inlineStr">
        <is>
          <t>13/05/2025</t>
        </is>
      </c>
      <c r="N292" s="25" t="n">
        <v>898.66</v>
      </c>
      <c r="O292" s="25" t="n"/>
      <c r="P292" s="25" t="n"/>
      <c r="Q292" s="25" t="n"/>
      <c r="R292" s="25" t="n"/>
      <c r="S292" s="25" t="n"/>
      <c r="T292" s="25" t="n"/>
      <c r="U292" s="25" t="n">
        <v>0</v>
      </c>
      <c r="V292" s="25" t="n">
        <v>0</v>
      </c>
      <c r="W292" s="25" t="n">
        <v>898.66</v>
      </c>
      <c r="X292" s="25" t="n">
        <v>0</v>
      </c>
      <c r="Y292" s="25" t="n">
        <v>0</v>
      </c>
      <c r="Z292" s="25" t="n">
        <v>0</v>
      </c>
      <c r="AA292" s="25" t="n">
        <v>0</v>
      </c>
      <c r="AB292" s="25" t="n">
        <v>0</v>
      </c>
      <c r="AC292" s="25" t="n">
        <v>0</v>
      </c>
      <c r="AD292" s="25" t="n">
        <v>0</v>
      </c>
      <c r="AE292" s="25" t="n">
        <v>0</v>
      </c>
      <c r="AF292" s="25" t="n">
        <v>0</v>
      </c>
      <c r="AG292" s="25" t="n">
        <v>0</v>
      </c>
      <c r="AH292" s="25" t="n">
        <v>1</v>
      </c>
      <c r="AI292" s="25" t="inlineStr">
        <is>
          <t>C</t>
        </is>
      </c>
      <c r="AJ292" s="25" t="n">
        <v>1</v>
      </c>
      <c r="AK292" s="25" t="n">
        <v>898.66</v>
      </c>
      <c r="AL292" s="26" t="n">
        <v>46037.47515046296</v>
      </c>
      <c r="AM292" s="26" t="n">
        <v>46037.47515046296</v>
      </c>
      <c r="AN292" s="25" t="inlineStr">
        <is>
          <t>WHATSAPP</t>
        </is>
      </c>
      <c r="AO292" s="25" t="inlineStr">
        <is>
          <t>EMPORIO VIDA VERDE DAIANA-SC</t>
        </is>
      </c>
      <c r="AP292" s="27">
        <f>IF(AH292="","",IF(AH292=0,"PROSPECT",IF(AH292=1,"NOVO",IF(AH292&lt;=3,"EM DESENVOLVIMENTO",IF(AH292&lt;=6,"RECORRENTE","FIDELIZADO")))))</f>
        <v/>
      </c>
      <c r="AQ292" s="27">
        <f>IF(AJ292=0,0,IFERROR(SUM(U292:AF292)/AJ292,0))</f>
        <v/>
      </c>
      <c r="AS292" s="0" t="inlineStr">
        <is>
          <t>Carteira FEV/26</t>
        </is>
      </c>
    </row>
    <row r="293" ht="14.25" customHeight="1" s="16">
      <c r="A293" s="25" t="inlineStr">
        <is>
          <t>EMPÓRIO GAIA</t>
        </is>
      </c>
      <c r="B293" s="25" t="inlineStr">
        <is>
          <t>28180051000161</t>
        </is>
      </c>
      <c r="C293" s="25" t="inlineStr">
        <is>
          <t>EMPÓRIO GAIA PRODUTOS NATURAIS LTDA</t>
        </is>
      </c>
      <c r="D293" s="25" t="inlineStr">
        <is>
          <t>RS</t>
        </is>
      </c>
      <c r="E293" s="25" t="inlineStr">
        <is>
          <t>NOVA HAMBURGO</t>
        </is>
      </c>
      <c r="F293" s="25" t="inlineStr">
        <is>
          <t>emporiogaia@outlook.com.br</t>
        </is>
      </c>
      <c r="G293" s="25" t="inlineStr">
        <is>
          <t>+55 (51) 2160-1195</t>
        </is>
      </c>
      <c r="H293" s="25" t="inlineStr">
        <is>
          <t>08/10/2024</t>
        </is>
      </c>
      <c r="I293" s="25" t="n"/>
      <c r="J293" s="25" t="inlineStr">
        <is>
          <t>MANU DITZEL</t>
        </is>
      </c>
      <c r="K293" s="25" t="inlineStr">
        <is>
          <t>Manu Ditzel</t>
        </is>
      </c>
      <c r="L293" s="25" t="n">
        <v>149</v>
      </c>
      <c r="M293" s="25" t="inlineStr">
        <is>
          <t>19/09/2025</t>
        </is>
      </c>
      <c r="N293" s="25" t="n">
        <v>658.4</v>
      </c>
      <c r="O293" s="25" t="n">
        <v>2</v>
      </c>
      <c r="P293" s="25" t="inlineStr">
        <is>
          <t>Sim</t>
        </is>
      </c>
      <c r="Q293" s="25" t="n">
        <v>29</v>
      </c>
      <c r="R293" s="25" t="n"/>
      <c r="S293" s="25" t="n"/>
      <c r="T293" s="25" t="n"/>
      <c r="U293" s="25" t="n">
        <v>0</v>
      </c>
      <c r="V293" s="25" t="n">
        <v>0</v>
      </c>
      <c r="W293" s="25" t="n">
        <v>0</v>
      </c>
      <c r="X293" s="25" t="n">
        <v>670.51</v>
      </c>
      <c r="Y293" s="25" t="n">
        <v>0</v>
      </c>
      <c r="Z293" s="25" t="n">
        <v>0</v>
      </c>
      <c r="AA293" s="25" t="n">
        <v>658.4</v>
      </c>
      <c r="AB293" s="25" t="n">
        <v>0</v>
      </c>
      <c r="AC293" s="25" t="n">
        <v>0</v>
      </c>
      <c r="AD293" s="25" t="n">
        <v>0</v>
      </c>
      <c r="AE293" s="25" t="n">
        <v>0</v>
      </c>
      <c r="AF293" s="25" t="n">
        <v>0</v>
      </c>
      <c r="AG293" s="25" t="n">
        <v>85</v>
      </c>
      <c r="AH293" s="25" t="n">
        <v>2</v>
      </c>
      <c r="AI293" s="25" t="inlineStr">
        <is>
          <t>B</t>
        </is>
      </c>
      <c r="AJ293" s="25" t="n">
        <v>2</v>
      </c>
      <c r="AK293" s="25" t="n">
        <v>664.46</v>
      </c>
      <c r="AL293" s="26" t="n">
        <v>46050.37598379629</v>
      </c>
      <c r="AM293" s="26" t="n">
        <v>46050.37598379629</v>
      </c>
      <c r="AN293" s="25" t="inlineStr">
        <is>
          <t>WHATSAPP</t>
        </is>
      </c>
      <c r="AO293" s="28" t="inlineStr">
        <is>
          <t>EMPÓRIO GAIA - RENATA - RS</t>
        </is>
      </c>
      <c r="AP293" s="27">
        <f>IF(AH293="","",IF(AH293=0,"PROSPECT",IF(AH293=1,"NOVO",IF(AH293&lt;=3,"EM DESENVOLVIMENTO",IF(AH293&lt;=6,"RECORRENTE","FIDELIZADO")))))</f>
        <v/>
      </c>
      <c r="AQ293" s="27">
        <f>IF(AJ293=0,0,IFERROR(SUM(U293:AF293)/AJ293,0))</f>
        <v/>
      </c>
      <c r="AS293" s="0" t="inlineStr">
        <is>
          <t>Carteira FEV/26</t>
        </is>
      </c>
    </row>
    <row r="294" ht="14.25" customHeight="1" s="16">
      <c r="A294" s="25" t="inlineStr">
        <is>
          <t>EMPÓRIO MANJERICÃO</t>
        </is>
      </c>
      <c r="B294" s="25" t="inlineStr">
        <is>
          <t>29693450000199</t>
        </is>
      </c>
      <c r="C294" s="25" t="inlineStr">
        <is>
          <t>EMPÓRIO MANJERICÃO LTDA</t>
        </is>
      </c>
      <c r="D294" s="25" t="inlineStr">
        <is>
          <t>PR</t>
        </is>
      </c>
      <c r="E294" s="25" t="inlineStr">
        <is>
          <t>CURITIBA</t>
        </is>
      </c>
      <c r="F294" s="25" t="inlineStr">
        <is>
          <t>contato@emporiomanjericaocuritiba.com</t>
        </is>
      </c>
      <c r="G294" s="25" t="inlineStr">
        <is>
          <t>41353823264192</t>
        </is>
      </c>
      <c r="H294" s="25" t="inlineStr">
        <is>
          <t>08/10/2024</t>
        </is>
      </c>
      <c r="I294" s="25" t="n"/>
      <c r="J294" s="25" t="inlineStr">
        <is>
          <t>Leandro Garcia</t>
        </is>
      </c>
      <c r="K294" s="25" t="inlineStr">
        <is>
          <t>Leandro Garcia</t>
        </is>
      </c>
      <c r="L294" s="25" t="n">
        <v>268</v>
      </c>
      <c r="M294" s="25" t="inlineStr">
        <is>
          <t>23/05/2025</t>
        </is>
      </c>
      <c r="N294" s="25" t="n">
        <v>1650.9</v>
      </c>
      <c r="O294" s="25" t="n"/>
      <c r="P294" s="25" t="n"/>
      <c r="Q294" s="25" t="n"/>
      <c r="R294" s="25" t="n"/>
      <c r="S294" s="25" t="n"/>
      <c r="T294" s="25" t="n"/>
      <c r="U294" s="25" t="n">
        <v>0</v>
      </c>
      <c r="V294" s="25" t="n">
        <v>0</v>
      </c>
      <c r="W294" s="25" t="n">
        <v>1650.9</v>
      </c>
      <c r="X294" s="25" t="n">
        <v>0</v>
      </c>
      <c r="Y294" s="25" t="n">
        <v>0</v>
      </c>
      <c r="Z294" s="25" t="n">
        <v>0</v>
      </c>
      <c r="AA294" s="25" t="n">
        <v>0</v>
      </c>
      <c r="AB294" s="25" t="n">
        <v>0</v>
      </c>
      <c r="AC294" s="25" t="n">
        <v>0</v>
      </c>
      <c r="AD294" s="25" t="n">
        <v>0</v>
      </c>
      <c r="AE294" s="25" t="n">
        <v>0</v>
      </c>
      <c r="AF294" s="25" t="n">
        <v>0</v>
      </c>
      <c r="AG294" s="25" t="n">
        <v>0</v>
      </c>
      <c r="AH294" s="25" t="n">
        <v>1</v>
      </c>
      <c r="AI294" s="25" t="inlineStr">
        <is>
          <t>B</t>
        </is>
      </c>
      <c r="AJ294" s="25" t="n">
        <v>1</v>
      </c>
      <c r="AK294" s="25" t="n">
        <v>1650.9</v>
      </c>
      <c r="AL294" s="26" t="n">
        <v>46056.72430555556</v>
      </c>
      <c r="AM294" s="26" t="n">
        <v>46056.72430555556</v>
      </c>
      <c r="AN294" s="25" t="inlineStr">
        <is>
          <t>LIGAÇÃO</t>
        </is>
      </c>
      <c r="AO294" s="25" t="inlineStr">
        <is>
          <t>NÃO ATENDEU, MANDEI AUDIO</t>
        </is>
      </c>
      <c r="AP294" s="27">
        <f>IF(AH294="","",IF(AH294=0,"PROSPECT",IF(AH294=1,"NOVO",IF(AH294&lt;=3,"EM DESENVOLVIMENTO",IF(AH294&lt;=6,"RECORRENTE","FIDELIZADO")))))</f>
        <v/>
      </c>
      <c r="AQ294" s="27">
        <f>IF(AJ294=0,0,IFERROR(SUM(U294:AF294)/AJ294,0))</f>
        <v/>
      </c>
      <c r="AS294" s="0" t="inlineStr">
        <is>
          <t>Carteira FEV/26 + Atend FEV/26</t>
        </is>
      </c>
    </row>
    <row r="295" ht="14.25" customHeight="1" s="16">
      <c r="A295" s="25" t="inlineStr">
        <is>
          <t>ENERGIZE PRODUTOS NATURAIS</t>
        </is>
      </c>
      <c r="B295" s="25" t="inlineStr">
        <is>
          <t>38431127000138</t>
        </is>
      </c>
      <c r="C295" s="25" t="inlineStr">
        <is>
          <t>DEISE HERMES BECKER 93087799068</t>
        </is>
      </c>
      <c r="D295" s="25" t="inlineStr">
        <is>
          <t>RS</t>
        </is>
      </c>
      <c r="E295" s="25" t="inlineStr">
        <is>
          <t>ARROIO DO TIGRE</t>
        </is>
      </c>
      <c r="F295" s="25" t="inlineStr">
        <is>
          <t>energizeprodutosnaturais@gmail.com</t>
        </is>
      </c>
      <c r="G295" s="25" t="inlineStr">
        <is>
          <t>+55 (51) 99705-5488</t>
        </is>
      </c>
      <c r="H295" s="25" t="inlineStr">
        <is>
          <t>08/10/2024</t>
        </is>
      </c>
      <c r="I295" s="25" t="n"/>
      <c r="J295" s="25" t="inlineStr">
        <is>
          <t>LARISSA PADILHA</t>
        </is>
      </c>
      <c r="K295" s="25" t="inlineStr">
        <is>
          <t>Larissa Padilha</t>
        </is>
      </c>
      <c r="L295" s="25" t="n">
        <v>334</v>
      </c>
      <c r="M295" s="25" t="inlineStr">
        <is>
          <t>18/03/2025</t>
        </is>
      </c>
      <c r="N295" s="25" t="n">
        <v>704</v>
      </c>
      <c r="O295" s="25" t="n"/>
      <c r="P295" s="25" t="n"/>
      <c r="Q295" s="25" t="n"/>
      <c r="R295" s="25" t="n"/>
      <c r="S295" s="25" t="n"/>
      <c r="T295" s="25" t="n"/>
      <c r="U295" s="25" t="n">
        <v>704</v>
      </c>
      <c r="V295" s="25" t="n">
        <v>0</v>
      </c>
      <c r="W295" s="25" t="n">
        <v>0</v>
      </c>
      <c r="X295" s="25" t="n">
        <v>0</v>
      </c>
      <c r="Y295" s="25" t="n">
        <v>0</v>
      </c>
      <c r="Z295" s="25" t="n">
        <v>0</v>
      </c>
      <c r="AA295" s="25" t="n">
        <v>0</v>
      </c>
      <c r="AB295" s="25" t="n">
        <v>0</v>
      </c>
      <c r="AC295" s="25" t="n">
        <v>0</v>
      </c>
      <c r="AD295" s="25" t="n">
        <v>0</v>
      </c>
      <c r="AE295" s="25" t="n">
        <v>0</v>
      </c>
      <c r="AF295" s="25" t="n">
        <v>0</v>
      </c>
      <c r="AG295" s="25" t="n">
        <v>0</v>
      </c>
      <c r="AH295" s="25" t="n">
        <v>1</v>
      </c>
      <c r="AI295" s="25" t="inlineStr">
        <is>
          <t>C</t>
        </is>
      </c>
      <c r="AJ295" s="25" t="n">
        <v>2</v>
      </c>
      <c r="AK295" s="25" t="n">
        <v>1408</v>
      </c>
      <c r="AL295" s="26" t="n">
        <v>46034.3990625</v>
      </c>
      <c r="AM295" s="26" t="n">
        <v>46034.3990625</v>
      </c>
      <c r="AN295" s="25" t="inlineStr">
        <is>
          <t>WHATSAPP</t>
        </is>
      </c>
      <c r="AO295" s="25" t="inlineStr">
        <is>
          <t>ENERGIZE PRODUTOS NATURAIS - DEISE - RS</t>
        </is>
      </c>
      <c r="AP295" s="27">
        <f>IF(AH295="","",IF(AH295=0,"PROSPECT",IF(AH295=1,"NOVO",IF(AH295&lt;=3,"EM DESENVOLVIMENTO",IF(AH295&lt;=6,"RECORRENTE","FIDELIZADO")))))</f>
        <v/>
      </c>
      <c r="AQ295" s="27">
        <f>IF(AJ295=0,0,IFERROR(SUM(U295:AF295)/AJ295,0))</f>
        <v/>
      </c>
      <c r="AS295" s="0" t="inlineStr">
        <is>
          <t>Carteira FEV/26</t>
        </is>
      </c>
    </row>
    <row r="296" ht="14.25" customHeight="1" s="16">
      <c r="A296" s="25" t="inlineStr">
        <is>
          <t>EQUILLIBRIUN</t>
        </is>
      </c>
      <c r="B296" s="25" t="inlineStr">
        <is>
          <t>12165772000162</t>
        </is>
      </c>
      <c r="C296" s="25" t="inlineStr">
        <is>
          <t>R C DE ARAUJO MEDEIROS</t>
        </is>
      </c>
      <c r="D296" s="25" t="inlineStr">
        <is>
          <t>RN</t>
        </is>
      </c>
      <c r="E296" s="25" t="inlineStr">
        <is>
          <t>CURRAIS NOVOS</t>
        </is>
      </c>
      <c r="F296" s="25" t="inlineStr">
        <is>
          <t>consultorioequillibrium@hotmail.com</t>
        </is>
      </c>
      <c r="G296" s="25" t="inlineStr">
        <is>
          <t>+55 (84) 9909-4336</t>
        </is>
      </c>
      <c r="H296" s="25" t="inlineStr">
        <is>
          <t>08/10/2024</t>
        </is>
      </c>
      <c r="I296" s="25" t="n"/>
      <c r="J296" s="25" t="inlineStr">
        <is>
          <t>LARISSA PADILHA</t>
        </is>
      </c>
      <c r="K296" s="25" t="inlineStr">
        <is>
          <t>Helder Brunkow</t>
        </is>
      </c>
      <c r="L296" s="25" t="n">
        <v>244</v>
      </c>
      <c r="M296" s="25" t="inlineStr">
        <is>
          <t>16/06/2025</t>
        </is>
      </c>
      <c r="N296" s="25" t="n">
        <v>2212.34</v>
      </c>
      <c r="O296" s="25" t="n">
        <v>1</v>
      </c>
      <c r="P296" s="25" t="inlineStr">
        <is>
          <t>Sim</t>
        </is>
      </c>
      <c r="Q296" s="25" t="n">
        <v>37</v>
      </c>
      <c r="R296" s="25" t="n">
        <v>10</v>
      </c>
      <c r="S296" s="25" t="n">
        <v>2212.34</v>
      </c>
      <c r="T296" s="25" t="inlineStr">
        <is>
          <t>COMPRA B2B</t>
        </is>
      </c>
      <c r="U296" s="25" t="n">
        <v>0</v>
      </c>
      <c r="V296" s="25" t="n">
        <v>701.72</v>
      </c>
      <c r="W296" s="25" t="n">
        <v>0</v>
      </c>
      <c r="X296" s="25" t="n">
        <v>2212.34</v>
      </c>
      <c r="Y296" s="25" t="n">
        <v>0</v>
      </c>
      <c r="Z296" s="25" t="n">
        <v>0</v>
      </c>
      <c r="AA296" s="25" t="n">
        <v>0</v>
      </c>
      <c r="AB296" s="25" t="n">
        <v>0</v>
      </c>
      <c r="AC296" s="25" t="n">
        <v>0</v>
      </c>
      <c r="AD296" s="25" t="n">
        <v>0</v>
      </c>
      <c r="AE296" s="25" t="n">
        <v>0</v>
      </c>
      <c r="AF296" s="25" t="n">
        <v>0</v>
      </c>
      <c r="AG296" s="25" t="n">
        <v>48</v>
      </c>
      <c r="AH296" s="25" t="n">
        <v>2</v>
      </c>
      <c r="AI296" s="25" t="inlineStr">
        <is>
          <t>A</t>
        </is>
      </c>
      <c r="AJ296" s="25" t="n">
        <v>2</v>
      </c>
      <c r="AK296" s="25" t="n">
        <v>1457.03</v>
      </c>
      <c r="AL296" s="26" t="n">
        <v>46042.42799768518</v>
      </c>
      <c r="AM296" s="26" t="n">
        <v>46042.42799768518</v>
      </c>
      <c r="AN296" s="25" t="inlineStr">
        <is>
          <t>WHATSAPP</t>
        </is>
      </c>
      <c r="AO296" s="25" t="inlineStr">
        <is>
          <t>EQUILLIBRIUN - RN - EMANUEL</t>
        </is>
      </c>
      <c r="AP296" s="27">
        <f>IF(AH296="","",IF(AH296=0,"PROSPECT",IF(AH296=1,"NOVO",IF(AH296&lt;=3,"EM DESENVOLVIMENTO",IF(AH296&lt;=6,"RECORRENTE","FIDELIZADO")))))</f>
        <v/>
      </c>
      <c r="AQ296" s="27">
        <f>IF(AJ296=0,0,IFERROR(SUM(U296:AF296)/AJ296,0))</f>
        <v/>
      </c>
      <c r="AS296" s="0" t="inlineStr">
        <is>
          <t>Carteira FEV/26</t>
        </is>
      </c>
    </row>
    <row r="297" ht="14.25" customHeight="1" s="16">
      <c r="A297" s="25" t="inlineStr">
        <is>
          <t>ESMERALDA CARAGUATA</t>
        </is>
      </c>
      <c r="B297" s="25" t="inlineStr">
        <is>
          <t>06905607000369</t>
        </is>
      </c>
      <c r="C297" s="25" t="inlineStr">
        <is>
          <t>ESMERALDA CONVENIENCIAS LTDA</t>
        </is>
      </c>
      <c r="D297" s="25" t="inlineStr">
        <is>
          <t>PR</t>
        </is>
      </c>
      <c r="E297" s="25" t="inlineStr">
        <is>
          <t>CAMPINA GRANDE DO SUL</t>
        </is>
      </c>
      <c r="F297" s="25" t="inlineStr">
        <is>
          <t>compras@tulio.com.br</t>
        </is>
      </c>
      <c r="G297" s="25" t="inlineStr">
        <is>
          <t>+55 (41) 99232-9799</t>
        </is>
      </c>
      <c r="H297" s="25" t="inlineStr">
        <is>
          <t>25/04/2025</t>
        </is>
      </c>
      <c r="I297" s="25" t="n"/>
      <c r="J297" s="25" t="inlineStr">
        <is>
          <t>DAIANE STAVICKI</t>
        </is>
      </c>
      <c r="K297" s="25" t="inlineStr">
        <is>
          <t>Central - Daiane</t>
        </is>
      </c>
      <c r="L297" s="25" t="n">
        <v>272</v>
      </c>
      <c r="M297" s="25" t="inlineStr">
        <is>
          <t>19/05/2025</t>
        </is>
      </c>
      <c r="N297" s="25" t="n">
        <v>2693.25</v>
      </c>
      <c r="O297" s="25" t="n"/>
      <c r="P297" s="25" t="n"/>
      <c r="Q297" s="25" t="n"/>
      <c r="R297" s="25" t="n"/>
      <c r="S297" s="25" t="n"/>
      <c r="T297" s="25" t="n"/>
      <c r="U297" s="25" t="n">
        <v>0</v>
      </c>
      <c r="V297" s="25" t="n">
        <v>1316.25</v>
      </c>
      <c r="W297" s="25" t="n">
        <v>2693.25</v>
      </c>
      <c r="X297" s="25" t="n">
        <v>0</v>
      </c>
      <c r="Y297" s="25" t="n">
        <v>0</v>
      </c>
      <c r="Z297" s="25" t="n">
        <v>0</v>
      </c>
      <c r="AA297" s="25" t="n">
        <v>0</v>
      </c>
      <c r="AB297" s="25" t="n">
        <v>0</v>
      </c>
      <c r="AC297" s="25" t="n">
        <v>0</v>
      </c>
      <c r="AD297" s="25" t="n">
        <v>0</v>
      </c>
      <c r="AE297" s="25" t="n">
        <v>0</v>
      </c>
      <c r="AF297" s="25" t="n">
        <v>0</v>
      </c>
      <c r="AG297" s="25" t="n">
        <v>20</v>
      </c>
      <c r="AH297" s="25" t="n">
        <v>3</v>
      </c>
      <c r="AI297" s="25" t="inlineStr">
        <is>
          <t>A</t>
        </is>
      </c>
      <c r="AJ297" s="25" t="n">
        <v>2</v>
      </c>
      <c r="AK297" s="25" t="n">
        <v>1336.5</v>
      </c>
      <c r="AL297" s="26" t="n">
        <v>45776.81527777778</v>
      </c>
      <c r="AM297" s="26" t="n">
        <v>45776.81527777778</v>
      </c>
      <c r="AN297" s="25" t="inlineStr">
        <is>
          <t>OUTROS</t>
        </is>
      </c>
      <c r="AO297" s="25" t="inlineStr">
        <is>
          <t>FEITO OUTRO</t>
        </is>
      </c>
      <c r="AP297" s="27">
        <f>IF(AH297="","",IF(AH297=0,"PROSPECT",IF(AH297=1,"NOVO",IF(AH297&lt;=3,"EM DESENVOLVIMENTO",IF(AH297&lt;=6,"RECORRENTE","FIDELIZADO")))))</f>
        <v/>
      </c>
      <c r="AQ297" s="27">
        <f>IF(AJ297=0,0,IFERROR(SUM(U297:AF297)/AJ297,0))</f>
        <v/>
      </c>
      <c r="AS297" s="0" t="inlineStr">
        <is>
          <t>Carteira FEV/26</t>
        </is>
      </c>
    </row>
    <row r="298" ht="14.25" customHeight="1" s="16">
      <c r="A298" s="25" t="inlineStr">
        <is>
          <t>ESMERALDA CONVENIENCIAS LTDA</t>
        </is>
      </c>
      <c r="B298" s="25" t="inlineStr">
        <is>
          <t>06905607000601</t>
        </is>
      </c>
      <c r="C298" s="25" t="inlineStr">
        <is>
          <t>ESMERALDA CONVENIENCIAS LTDA</t>
        </is>
      </c>
      <c r="D298" s="25" t="inlineStr">
        <is>
          <t>RS</t>
        </is>
      </c>
      <c r="E298" s="25" t="inlineStr">
        <is>
          <t>OSORIO</t>
        </is>
      </c>
      <c r="F298" s="25" t="inlineStr">
        <is>
          <t>compras@tulio.com.br</t>
        </is>
      </c>
      <c r="G298" s="25" t="inlineStr">
        <is>
          <t>+55 (41) 99232-9799</t>
        </is>
      </c>
      <c r="H298" s="25" t="inlineStr">
        <is>
          <t>25/04/2025</t>
        </is>
      </c>
      <c r="I298" s="25" t="n"/>
      <c r="J298" s="25" t="inlineStr">
        <is>
          <t>JULIO GADRET</t>
        </is>
      </c>
      <c r="K298" s="25" t="inlineStr">
        <is>
          <t>Julio Gadret</t>
        </is>
      </c>
      <c r="L298" s="25" t="n">
        <v>292</v>
      </c>
      <c r="M298" s="25" t="inlineStr">
        <is>
          <t>29/04/2025</t>
        </is>
      </c>
      <c r="N298" s="25" t="n">
        <v>657.9</v>
      </c>
      <c r="O298" s="25" t="n"/>
      <c r="P298" s="25" t="n"/>
      <c r="Q298" s="25" t="n"/>
      <c r="R298" s="25" t="n"/>
      <c r="S298" s="25" t="n"/>
      <c r="T298" s="25" t="n"/>
      <c r="U298" s="25" t="n">
        <v>0</v>
      </c>
      <c r="V298" s="25" t="n">
        <v>0</v>
      </c>
      <c r="W298" s="25" t="n">
        <v>0</v>
      </c>
      <c r="X298" s="25" t="n">
        <v>0</v>
      </c>
      <c r="Y298" s="25" t="n">
        <v>0</v>
      </c>
      <c r="Z298" s="25" t="n">
        <v>0</v>
      </c>
      <c r="AA298" s="25" t="n">
        <v>0</v>
      </c>
      <c r="AB298" s="25" t="n">
        <v>0</v>
      </c>
      <c r="AC298" s="25" t="n">
        <v>0</v>
      </c>
      <c r="AD298" s="25" t="n">
        <v>0</v>
      </c>
      <c r="AE298" s="25" t="n">
        <v>0</v>
      </c>
      <c r="AF298" s="25" t="n">
        <v>0</v>
      </c>
      <c r="AG298" s="25" t="n">
        <v>0</v>
      </c>
      <c r="AH298" s="25" t="n">
        <v>0</v>
      </c>
      <c r="AI298" s="25" t="inlineStr">
        <is>
          <t>C</t>
        </is>
      </c>
      <c r="AJ298" s="25" t="n">
        <v>0</v>
      </c>
      <c r="AK298" s="25" t="n">
        <v>0</v>
      </c>
      <c r="AL298" s="25" t="n"/>
      <c r="AM298" s="25" t="n"/>
      <c r="AN298" s="25" t="n"/>
      <c r="AO298" s="25" t="n"/>
      <c r="AP298" s="27">
        <f>IF(AH298="","",IF(AH298=0,"PROSPECT",IF(AH298=1,"NOVO",IF(AH298&lt;=3,"EM DESENVOLVIMENTO",IF(AH298&lt;=6,"RECORRENTE","FIDELIZADO")))))</f>
        <v/>
      </c>
      <c r="AQ298" s="27">
        <f>IF(AJ298=0,0,IFERROR(SUM(U298:AF298)/AJ298,0))</f>
        <v/>
      </c>
      <c r="AR298" s="15" t="inlineStr">
        <is>
          <t>⚠️ DDD(41)=PR≠RS</t>
        </is>
      </c>
      <c r="AS298" s="0" t="inlineStr">
        <is>
          <t>Carteira FEV/26</t>
        </is>
      </c>
    </row>
    <row r="299" ht="14.25" customHeight="1" s="16">
      <c r="A299" s="25" t="inlineStr">
        <is>
          <t>ESMERALDA JARDIM PAULISTA</t>
        </is>
      </c>
      <c r="B299" s="25" t="inlineStr">
        <is>
          <t>06905607000440</t>
        </is>
      </c>
      <c r="C299" s="25" t="inlineStr">
        <is>
          <t>ESMERALDA CONVENIENCIAS LTDA</t>
        </is>
      </c>
      <c r="D299" s="25" t="inlineStr">
        <is>
          <t>PR</t>
        </is>
      </c>
      <c r="E299" s="25" t="inlineStr">
        <is>
          <t>CAMPINA GRANDE DO SUL</t>
        </is>
      </c>
      <c r="F299" s="25" t="inlineStr">
        <is>
          <t>compras@tulio.com.br</t>
        </is>
      </c>
      <c r="G299" s="25" t="inlineStr">
        <is>
          <t>+55 (41) 99232-9799</t>
        </is>
      </c>
      <c r="H299" s="25" t="inlineStr">
        <is>
          <t>25/04/2025</t>
        </is>
      </c>
      <c r="I299" s="25" t="n"/>
      <c r="J299" s="25" t="inlineStr">
        <is>
          <t>JULIO GADRET</t>
        </is>
      </c>
      <c r="K299" s="25" t="inlineStr">
        <is>
          <t>Julio Gadret</t>
        </is>
      </c>
      <c r="L299" s="25" t="n">
        <v>292</v>
      </c>
      <c r="M299" s="25" t="inlineStr">
        <is>
          <t>29/04/2025</t>
        </is>
      </c>
      <c r="N299" s="25" t="n">
        <v>658.35</v>
      </c>
      <c r="O299" s="25" t="n"/>
      <c r="P299" s="25" t="n"/>
      <c r="Q299" s="25" t="n"/>
      <c r="R299" s="25" t="n"/>
      <c r="S299" s="25" t="n"/>
      <c r="T299" s="25" t="n"/>
      <c r="U299" s="25" t="n">
        <v>0</v>
      </c>
      <c r="V299" s="25" t="n">
        <v>658.35</v>
      </c>
      <c r="W299" s="25" t="n">
        <v>0</v>
      </c>
      <c r="X299" s="25" t="n">
        <v>0</v>
      </c>
      <c r="Y299" s="25" t="n">
        <v>0</v>
      </c>
      <c r="Z299" s="25" t="n">
        <v>0</v>
      </c>
      <c r="AA299" s="25" t="n">
        <v>0</v>
      </c>
      <c r="AB299" s="25" t="n">
        <v>0</v>
      </c>
      <c r="AC299" s="25" t="n">
        <v>0</v>
      </c>
      <c r="AD299" s="25" t="n">
        <v>0</v>
      </c>
      <c r="AE299" s="25" t="n">
        <v>0</v>
      </c>
      <c r="AF299" s="25" t="n">
        <v>0</v>
      </c>
      <c r="AG299" s="25" t="n">
        <v>0</v>
      </c>
      <c r="AH299" s="25" t="n">
        <v>1</v>
      </c>
      <c r="AI299" s="25" t="inlineStr">
        <is>
          <t>C</t>
        </is>
      </c>
      <c r="AJ299" s="25" t="n">
        <v>1</v>
      </c>
      <c r="AK299" s="25" t="n">
        <v>658.35</v>
      </c>
      <c r="AL299" s="25" t="n"/>
      <c r="AM299" s="25" t="n"/>
      <c r="AN299" s="25" t="n"/>
      <c r="AO299" s="25" t="n"/>
      <c r="AP299" s="27">
        <f>IF(AH299="","",IF(AH299=0,"PROSPECT",IF(AH299=1,"NOVO",IF(AH299&lt;=3,"EM DESENVOLVIMENTO",IF(AH299&lt;=6,"RECORRENTE","FIDELIZADO")))))</f>
        <v/>
      </c>
      <c r="AQ299" s="27">
        <f>IF(AJ299=0,0,IFERROR(SUM(U299:AF299)/AJ299,0))</f>
        <v/>
      </c>
      <c r="AS299" s="0" t="inlineStr">
        <is>
          <t>Carteira FEV/26</t>
        </is>
      </c>
    </row>
    <row r="300" ht="14.25" customHeight="1" s="16">
      <c r="A300" s="25" t="inlineStr">
        <is>
          <t xml:space="preserve">ESMERALDA MENINO DEUS </t>
        </is>
      </c>
      <c r="B300" s="25" t="inlineStr">
        <is>
          <t>06905607000792</t>
        </is>
      </c>
      <c r="C300" s="25" t="inlineStr">
        <is>
          <t>ESMERALDA CONVENIENCIAS LTDA</t>
        </is>
      </c>
      <c r="D300" s="25" t="inlineStr">
        <is>
          <t>PR</t>
        </is>
      </c>
      <c r="E300" s="25" t="inlineStr">
        <is>
          <t>QUATRO BARRAS</t>
        </is>
      </c>
      <c r="F300" s="25" t="inlineStr">
        <is>
          <t>compras@tulio.com.br</t>
        </is>
      </c>
      <c r="G300" s="25" t="inlineStr">
        <is>
          <t>+55 (41) 99232-9799</t>
        </is>
      </c>
      <c r="H300" s="25" t="inlineStr">
        <is>
          <t>25/04/2025</t>
        </is>
      </c>
      <c r="I300" s="25" t="n"/>
      <c r="J300" s="25" t="inlineStr">
        <is>
          <t>JULIO GADRET</t>
        </is>
      </c>
      <c r="K300" s="25" t="inlineStr">
        <is>
          <t>Julio Gadret</t>
        </is>
      </c>
      <c r="L300" s="25" t="n">
        <v>292</v>
      </c>
      <c r="M300" s="25" t="inlineStr">
        <is>
          <t>29/04/2025</t>
        </is>
      </c>
      <c r="N300" s="25" t="n">
        <v>658.35</v>
      </c>
      <c r="O300" s="25" t="n"/>
      <c r="P300" s="25" t="n"/>
      <c r="Q300" s="25" t="n"/>
      <c r="R300" s="25" t="n"/>
      <c r="S300" s="25" t="n"/>
      <c r="T300" s="25" t="n"/>
      <c r="U300" s="25" t="n">
        <v>0</v>
      </c>
      <c r="V300" s="25" t="n">
        <v>658.35</v>
      </c>
      <c r="W300" s="25" t="n">
        <v>0</v>
      </c>
      <c r="X300" s="25" t="n">
        <v>0</v>
      </c>
      <c r="Y300" s="25" t="n">
        <v>0</v>
      </c>
      <c r="Z300" s="25" t="n">
        <v>0</v>
      </c>
      <c r="AA300" s="25" t="n">
        <v>0</v>
      </c>
      <c r="AB300" s="25" t="n">
        <v>0</v>
      </c>
      <c r="AC300" s="25" t="n">
        <v>0</v>
      </c>
      <c r="AD300" s="25" t="n">
        <v>0</v>
      </c>
      <c r="AE300" s="25" t="n">
        <v>0</v>
      </c>
      <c r="AF300" s="25" t="n">
        <v>0</v>
      </c>
      <c r="AG300" s="25" t="n">
        <v>0</v>
      </c>
      <c r="AH300" s="25" t="n">
        <v>1</v>
      </c>
      <c r="AI300" s="25" t="inlineStr">
        <is>
          <t>C</t>
        </is>
      </c>
      <c r="AJ300" s="25" t="n">
        <v>1</v>
      </c>
      <c r="AK300" s="25" t="n">
        <v>658.35</v>
      </c>
      <c r="AL300" s="25" t="n"/>
      <c r="AM300" s="25" t="n"/>
      <c r="AN300" s="25" t="n"/>
      <c r="AO300" s="25" t="n"/>
      <c r="AP300" s="27">
        <f>IF(AH300="","",IF(AH300=0,"PROSPECT",IF(AH300=1,"NOVO",IF(AH300&lt;=3,"EM DESENVOLVIMENTO",IF(AH300&lt;=6,"RECORRENTE","FIDELIZADO")))))</f>
        <v/>
      </c>
      <c r="AQ300" s="27">
        <f>IF(AJ300=0,0,IFERROR(SUM(U300:AF300)/AJ300,0))</f>
        <v/>
      </c>
      <c r="AS300" s="0" t="inlineStr">
        <is>
          <t>Carteira FEV/26</t>
        </is>
      </c>
    </row>
    <row r="301" ht="14.25" customHeight="1" s="16">
      <c r="A301" s="25" t="inlineStr">
        <is>
          <t>ESMERALDA OSORIO</t>
        </is>
      </c>
      <c r="B301" s="25" t="inlineStr">
        <is>
          <t>06905607000288</t>
        </is>
      </c>
      <c r="C301" s="25" t="inlineStr">
        <is>
          <t>ESMERALDA CONVENIENCIAS LTDA</t>
        </is>
      </c>
      <c r="D301" s="25" t="inlineStr">
        <is>
          <t>RS</t>
        </is>
      </c>
      <c r="E301" s="25" t="inlineStr">
        <is>
          <t>OSORIO</t>
        </is>
      </c>
      <c r="F301" s="25" t="inlineStr">
        <is>
          <t>compras@tulio.com.br</t>
        </is>
      </c>
      <c r="G301" s="25" t="inlineStr">
        <is>
          <t>+55 (41) 99232-9799</t>
        </is>
      </c>
      <c r="H301" s="25" t="inlineStr">
        <is>
          <t>25/04/2025</t>
        </is>
      </c>
      <c r="I301" s="25" t="n"/>
      <c r="J301" s="25" t="inlineStr">
        <is>
          <t>JULIO GADRET</t>
        </is>
      </c>
      <c r="K301" s="25" t="inlineStr">
        <is>
          <t>Julio Gadret</t>
        </is>
      </c>
      <c r="L301" s="25" t="n">
        <v>292</v>
      </c>
      <c r="M301" s="25" t="inlineStr">
        <is>
          <t>29/04/2025</t>
        </is>
      </c>
      <c r="N301" s="25" t="n">
        <v>657.9</v>
      </c>
      <c r="O301" s="25" t="n"/>
      <c r="P301" s="25" t="n"/>
      <c r="Q301" s="25" t="n"/>
      <c r="R301" s="25" t="n"/>
      <c r="S301" s="25" t="n"/>
      <c r="T301" s="25" t="n"/>
      <c r="U301" s="25" t="n">
        <v>0</v>
      </c>
      <c r="V301" s="25" t="n">
        <v>657.9</v>
      </c>
      <c r="W301" s="25" t="n">
        <v>0</v>
      </c>
      <c r="X301" s="25" t="n">
        <v>0</v>
      </c>
      <c r="Y301" s="25" t="n">
        <v>0</v>
      </c>
      <c r="Z301" s="25" t="n">
        <v>0</v>
      </c>
      <c r="AA301" s="25" t="n">
        <v>0</v>
      </c>
      <c r="AB301" s="25" t="n">
        <v>0</v>
      </c>
      <c r="AC301" s="25" t="n">
        <v>0</v>
      </c>
      <c r="AD301" s="25" t="n">
        <v>0</v>
      </c>
      <c r="AE301" s="25" t="n">
        <v>0</v>
      </c>
      <c r="AF301" s="25" t="n">
        <v>0</v>
      </c>
      <c r="AG301" s="25" t="n">
        <v>0</v>
      </c>
      <c r="AH301" s="25" t="n">
        <v>1</v>
      </c>
      <c r="AI301" s="25" t="inlineStr">
        <is>
          <t>C</t>
        </is>
      </c>
      <c r="AJ301" s="25" t="n">
        <v>1</v>
      </c>
      <c r="AK301" s="25" t="n">
        <v>657.9</v>
      </c>
      <c r="AL301" s="25" t="n"/>
      <c r="AM301" s="25" t="n"/>
      <c r="AN301" s="25" t="n"/>
      <c r="AO301" s="25" t="n"/>
      <c r="AP301" s="27">
        <f>IF(AH301="","",IF(AH301=0,"PROSPECT",IF(AH301=1,"NOVO",IF(AH301&lt;=3,"EM DESENVOLVIMENTO",IF(AH301&lt;=6,"RECORRENTE","FIDELIZADO")))))</f>
        <v/>
      </c>
      <c r="AQ301" s="27">
        <f>IF(AJ301=0,0,IFERROR(SUM(U301:AF301)/AJ301,0))</f>
        <v/>
      </c>
      <c r="AR301" s="15" t="inlineStr">
        <is>
          <t>⚠️ DDD(41)=PR≠RS</t>
        </is>
      </c>
      <c r="AS301" s="0" t="inlineStr">
        <is>
          <t>Carteira FEV/26</t>
        </is>
      </c>
    </row>
    <row r="302" ht="14.25" customHeight="1" s="16">
      <c r="A302" s="25" t="inlineStr">
        <is>
          <t>ESMERALDA RIO BONITO</t>
        </is>
      </c>
      <c r="B302" s="25" t="inlineStr">
        <is>
          <t>06905607000105</t>
        </is>
      </c>
      <c r="C302" s="25" t="inlineStr">
        <is>
          <t>ESMERALDA CONVENIENCIAS LTDA</t>
        </is>
      </c>
      <c r="D302" s="25" t="inlineStr">
        <is>
          <t>PR</t>
        </is>
      </c>
      <c r="E302" s="25" t="inlineStr">
        <is>
          <t>CAMPINA GRANDE DO SUL</t>
        </is>
      </c>
      <c r="F302" s="25" t="inlineStr">
        <is>
          <t>compras@tulio.com.br</t>
        </is>
      </c>
      <c r="G302" s="25" t="inlineStr">
        <is>
          <t>+55 (41) 00232-0799</t>
        </is>
      </c>
      <c r="H302" s="25" t="inlineStr">
        <is>
          <t>25/04/2025</t>
        </is>
      </c>
      <c r="I302" s="25" t="n"/>
      <c r="J302" s="25" t="inlineStr">
        <is>
          <t>JULIO GADRET</t>
        </is>
      </c>
      <c r="K302" s="25" t="inlineStr">
        <is>
          <t>Julio Gadret</t>
        </is>
      </c>
      <c r="L302" s="25" t="n">
        <v>292</v>
      </c>
      <c r="M302" s="25" t="inlineStr">
        <is>
          <t>29/04/2025</t>
        </is>
      </c>
      <c r="N302" s="25" t="n">
        <v>658.35</v>
      </c>
      <c r="O302" s="25" t="n"/>
      <c r="P302" s="25" t="n"/>
      <c r="Q302" s="25" t="n"/>
      <c r="R302" s="25" t="n"/>
      <c r="S302" s="25" t="n"/>
      <c r="T302" s="25" t="n"/>
      <c r="U302" s="25" t="n">
        <v>0</v>
      </c>
      <c r="V302" s="25" t="n">
        <v>658.35</v>
      </c>
      <c r="W302" s="25" t="n">
        <v>0</v>
      </c>
      <c r="X302" s="25" t="n">
        <v>0</v>
      </c>
      <c r="Y302" s="25" t="n">
        <v>0</v>
      </c>
      <c r="Z302" s="25" t="n">
        <v>0</v>
      </c>
      <c r="AA302" s="25" t="n">
        <v>0</v>
      </c>
      <c r="AB302" s="25" t="n">
        <v>0</v>
      </c>
      <c r="AC302" s="25" t="n">
        <v>0</v>
      </c>
      <c r="AD302" s="25" t="n">
        <v>0</v>
      </c>
      <c r="AE302" s="25" t="n">
        <v>0</v>
      </c>
      <c r="AF302" s="25" t="n">
        <v>0</v>
      </c>
      <c r="AG302" s="25" t="n">
        <v>0</v>
      </c>
      <c r="AH302" s="25" t="n">
        <v>1</v>
      </c>
      <c r="AI302" s="25" t="inlineStr">
        <is>
          <t>C</t>
        </is>
      </c>
      <c r="AJ302" s="25" t="n">
        <v>1</v>
      </c>
      <c r="AK302" s="25" t="n">
        <v>658.35</v>
      </c>
      <c r="AL302" s="25" t="n"/>
      <c r="AM302" s="25" t="n"/>
      <c r="AN302" s="25" t="n"/>
      <c r="AO302" s="25" t="n"/>
      <c r="AP302" s="27">
        <f>IF(AH302="","",IF(AH302=0,"PROSPECT",IF(AH302=1,"NOVO",IF(AH302&lt;=3,"EM DESENVOLVIMENTO",IF(AH302&lt;=6,"RECORRENTE","FIDELIZADO")))))</f>
        <v/>
      </c>
      <c r="AQ302" s="27">
        <f>IF(AJ302=0,0,IFERROR(SUM(U302:AF302)/AJ302,0))</f>
        <v/>
      </c>
      <c r="AS302" s="0" t="inlineStr">
        <is>
          <t>Carteira FEV/26</t>
        </is>
      </c>
    </row>
    <row r="303" ht="14.25" customHeight="1" s="16">
      <c r="A303" s="25" t="inlineStr">
        <is>
          <t xml:space="preserve">ESMERALDA SÃO JOSÉ </t>
        </is>
      </c>
      <c r="B303" s="25" t="inlineStr">
        <is>
          <t>06905607000520</t>
        </is>
      </c>
      <c r="C303" s="25" t="inlineStr">
        <is>
          <t>ESMERALDA CONVENIENCIAS LTDA</t>
        </is>
      </c>
      <c r="D303" s="25" t="inlineStr">
        <is>
          <t>PR</t>
        </is>
      </c>
      <c r="E303" s="25" t="inlineStr">
        <is>
          <t>SAO JOSE DOS PINHAIS</t>
        </is>
      </c>
      <c r="F303" s="25" t="inlineStr">
        <is>
          <t>compras@tulio.com.br</t>
        </is>
      </c>
      <c r="G303" s="25" t="inlineStr">
        <is>
          <t>+55 (41) 99232-9799</t>
        </is>
      </c>
      <c r="H303" s="25" t="inlineStr">
        <is>
          <t>25/04/2025</t>
        </is>
      </c>
      <c r="I303" s="25" t="n"/>
      <c r="J303" s="25" t="inlineStr">
        <is>
          <t>JULIO GADRET</t>
        </is>
      </c>
      <c r="K303" s="25" t="inlineStr">
        <is>
          <t>Julio Gadret</t>
        </is>
      </c>
      <c r="L303" s="25" t="n">
        <v>292</v>
      </c>
      <c r="M303" s="25" t="inlineStr">
        <is>
          <t>29/04/2025</t>
        </is>
      </c>
      <c r="N303" s="25" t="n">
        <v>658.35</v>
      </c>
      <c r="O303" s="25" t="n"/>
      <c r="P303" s="25" t="n"/>
      <c r="Q303" s="25" t="n"/>
      <c r="R303" s="25" t="n"/>
      <c r="S303" s="25" t="n"/>
      <c r="T303" s="25" t="n"/>
      <c r="U303" s="25" t="n">
        <v>0</v>
      </c>
      <c r="V303" s="25" t="n">
        <v>658.35</v>
      </c>
      <c r="W303" s="25" t="n">
        <v>0</v>
      </c>
      <c r="X303" s="25" t="n">
        <v>0</v>
      </c>
      <c r="Y303" s="25" t="n">
        <v>0</v>
      </c>
      <c r="Z303" s="25" t="n">
        <v>0</v>
      </c>
      <c r="AA303" s="25" t="n">
        <v>0</v>
      </c>
      <c r="AB303" s="25" t="n">
        <v>0</v>
      </c>
      <c r="AC303" s="25" t="n">
        <v>0</v>
      </c>
      <c r="AD303" s="25" t="n">
        <v>0</v>
      </c>
      <c r="AE303" s="25" t="n">
        <v>0</v>
      </c>
      <c r="AF303" s="25" t="n">
        <v>0</v>
      </c>
      <c r="AG303" s="25" t="n">
        <v>0</v>
      </c>
      <c r="AH303" s="25" t="n">
        <v>1</v>
      </c>
      <c r="AI303" s="25" t="inlineStr">
        <is>
          <t>C</t>
        </is>
      </c>
      <c r="AJ303" s="25" t="n">
        <v>1</v>
      </c>
      <c r="AK303" s="25" t="n">
        <v>658.35</v>
      </c>
      <c r="AL303" s="25" t="n"/>
      <c r="AM303" s="25" t="n"/>
      <c r="AN303" s="25" t="n"/>
      <c r="AO303" s="25" t="n"/>
      <c r="AP303" s="27">
        <f>IF(AH303="","",IF(AH303=0,"PROSPECT",IF(AH303=1,"NOVO",IF(AH303&lt;=3,"EM DESENVOLVIMENTO",IF(AH303&lt;=6,"RECORRENTE","FIDELIZADO")))))</f>
        <v/>
      </c>
      <c r="AQ303" s="27">
        <f>IF(AJ303=0,0,IFERROR(SUM(U303:AF303)/AJ303,0))</f>
        <v/>
      </c>
      <c r="AS303" s="0" t="inlineStr">
        <is>
          <t>Carteira FEV/26</t>
        </is>
      </c>
    </row>
    <row r="304" ht="14.25" customHeight="1" s="16">
      <c r="A304" s="25" t="inlineStr">
        <is>
          <t>ESSENCIAS E FESTAS CONFEITARIA</t>
        </is>
      </c>
      <c r="B304" s="25" t="inlineStr">
        <is>
          <t>46894141000104</t>
        </is>
      </c>
      <c r="C304" s="25" t="inlineStr">
        <is>
          <t>ESSENCIAS E FESTAS CONFEITARIA LTDA</t>
        </is>
      </c>
      <c r="D304" s="25" t="inlineStr">
        <is>
          <t>PI</t>
        </is>
      </c>
      <c r="E304" s="25" t="inlineStr">
        <is>
          <t>TERESINA</t>
        </is>
      </c>
      <c r="F304" s="25" t="inlineStr">
        <is>
          <t>essenciasefestas@gmail.com,essenciasefestaszl@gmail.com</t>
        </is>
      </c>
      <c r="G304" s="25" t="inlineStr">
        <is>
          <t>+55 (86) 8893-6533</t>
        </is>
      </c>
      <c r="H304" s="25" t="inlineStr">
        <is>
          <t>09/09/2025</t>
        </is>
      </c>
      <c r="I304" s="25" t="n"/>
      <c r="J304" s="25" t="inlineStr">
        <is>
          <t>MANU DITZEL</t>
        </is>
      </c>
      <c r="K304" s="25" t="inlineStr">
        <is>
          <t>Manu Ditzel</t>
        </is>
      </c>
      <c r="L304" s="25" t="n">
        <v>151</v>
      </c>
      <c r="M304" s="25" t="inlineStr">
        <is>
          <t>17/09/2025</t>
        </is>
      </c>
      <c r="N304" s="25" t="n">
        <v>2682.5</v>
      </c>
      <c r="O304" s="25" t="n">
        <v>8</v>
      </c>
      <c r="P304" s="25" t="inlineStr">
        <is>
          <t>Sim</t>
        </is>
      </c>
      <c r="Q304" s="25" t="n">
        <v>71</v>
      </c>
      <c r="R304" s="25" t="n">
        <v>27</v>
      </c>
      <c r="S304" s="25" t="n">
        <v>2682.5</v>
      </c>
      <c r="T304" s="25" t="inlineStr">
        <is>
          <t>COMPRA B2B</t>
        </is>
      </c>
      <c r="U304" s="25" t="n">
        <v>0</v>
      </c>
      <c r="V304" s="25" t="n">
        <v>0</v>
      </c>
      <c r="W304" s="25" t="n">
        <v>0</v>
      </c>
      <c r="X304" s="25" t="n">
        <v>0</v>
      </c>
      <c r="Y304" s="25" t="n">
        <v>0</v>
      </c>
      <c r="Z304" s="25" t="n">
        <v>0</v>
      </c>
      <c r="AA304" s="25" t="n">
        <v>2682.5</v>
      </c>
      <c r="AB304" s="25" t="n">
        <v>0</v>
      </c>
      <c r="AC304" s="25" t="n">
        <v>0</v>
      </c>
      <c r="AD304" s="25" t="n">
        <v>0</v>
      </c>
      <c r="AE304" s="25" t="n">
        <v>0</v>
      </c>
      <c r="AF304" s="25" t="n">
        <v>0</v>
      </c>
      <c r="AG304" s="25" t="n">
        <v>0</v>
      </c>
      <c r="AH304" s="25" t="n">
        <v>1</v>
      </c>
      <c r="AI304" s="25" t="inlineStr">
        <is>
          <t>A</t>
        </is>
      </c>
      <c r="AJ304" s="25" t="n">
        <v>1</v>
      </c>
      <c r="AK304" s="25" t="n">
        <v>2682.5</v>
      </c>
      <c r="AL304" s="26" t="n">
        <v>46036.43125</v>
      </c>
      <c r="AM304" s="26" t="n">
        <v>46036.43125</v>
      </c>
      <c r="AN304" s="25" t="inlineStr">
        <is>
          <t>WHATSAPP</t>
        </is>
      </c>
      <c r="AO304" s="25" t="inlineStr">
        <is>
          <t>PÓS-VENDA</t>
        </is>
      </c>
      <c r="AP304" s="27">
        <f>IF(AH304="","",IF(AH304=0,"PROSPECT",IF(AH304=1,"NOVO",IF(AH304&lt;=3,"EM DESENVOLVIMENTO",IF(AH304&lt;=6,"RECORRENTE","FIDELIZADO")))))</f>
        <v/>
      </c>
      <c r="AQ304" s="27">
        <f>IF(AJ304=0,0,IFERROR(SUM(U304:AF304)/AJ304,0))</f>
        <v/>
      </c>
      <c r="AS304" s="0" t="inlineStr">
        <is>
          <t>Carteira FEV/26</t>
        </is>
      </c>
    </row>
    <row r="305" ht="14.25" customHeight="1" s="16">
      <c r="A305" s="25" t="inlineStr">
        <is>
          <t>EVOLUCAO FIT NUTRICAO</t>
        </is>
      </c>
      <c r="B305" s="25" t="inlineStr">
        <is>
          <t>62555863000182</t>
        </is>
      </c>
      <c r="C305" s="25" t="inlineStr">
        <is>
          <t>EVOLUCAO FIT NUTRICAO LTDA</t>
        </is>
      </c>
      <c r="D305" s="25" t="inlineStr">
        <is>
          <t>PR</t>
        </is>
      </c>
      <c r="E305" s="25" t="inlineStr">
        <is>
          <t>MARIALVA</t>
        </is>
      </c>
      <c r="F305" s="25" t="inlineStr">
        <is>
          <t>fitlandmarialva@gmail.com</t>
        </is>
      </c>
      <c r="G305" s="25" t="inlineStr">
        <is>
          <t>+55 (44) 99990-0443</t>
        </is>
      </c>
      <c r="H305" s="25" t="inlineStr">
        <is>
          <t>11/09/2025</t>
        </is>
      </c>
      <c r="I305" s="25" t="inlineStr">
        <is>
          <t>[Rede] Fit Land</t>
        </is>
      </c>
      <c r="J305" s="25" t="inlineStr">
        <is>
          <t>DAIANE STAVICKI</t>
        </is>
      </c>
      <c r="K305" s="25" t="inlineStr">
        <is>
          <t>Julio  Gadret</t>
        </is>
      </c>
      <c r="L305" s="25" t="n">
        <v>97</v>
      </c>
      <c r="M305" s="25" t="inlineStr">
        <is>
          <t>10/11/2025</t>
        </is>
      </c>
      <c r="N305" s="25" t="n">
        <v>1406.71</v>
      </c>
      <c r="O305" s="25" t="n">
        <v>2</v>
      </c>
      <c r="P305" s="25" t="inlineStr">
        <is>
          <t>Sim</t>
        </is>
      </c>
      <c r="Q305" s="25" t="n">
        <v>39</v>
      </c>
      <c r="R305" s="25" t="n">
        <v>8</v>
      </c>
      <c r="S305" s="25" t="n">
        <v>1406.71</v>
      </c>
      <c r="T305" s="25" t="inlineStr">
        <is>
          <t>COMPRA B2B</t>
        </is>
      </c>
      <c r="U305" s="25" t="n">
        <v>0</v>
      </c>
      <c r="V305" s="25" t="n">
        <v>0</v>
      </c>
      <c r="W305" s="25" t="n">
        <v>0</v>
      </c>
      <c r="X305" s="25" t="n">
        <v>0</v>
      </c>
      <c r="Y305" s="25" t="n">
        <v>0</v>
      </c>
      <c r="Z305" s="25" t="n">
        <v>0</v>
      </c>
      <c r="AA305" s="25" t="n">
        <v>1025.66</v>
      </c>
      <c r="AB305" s="25" t="n">
        <v>0</v>
      </c>
      <c r="AC305" s="25" t="n">
        <v>1406.71</v>
      </c>
      <c r="AD305" s="25" t="n">
        <v>0</v>
      </c>
      <c r="AE305" s="25" t="n">
        <v>0</v>
      </c>
      <c r="AF305" s="25" t="n">
        <v>0</v>
      </c>
      <c r="AG305" s="25" t="n">
        <v>59</v>
      </c>
      <c r="AH305" s="25" t="n">
        <v>1</v>
      </c>
      <c r="AI305" s="25" t="inlineStr">
        <is>
          <t>A</t>
        </is>
      </c>
      <c r="AJ305" s="25" t="n">
        <v>2</v>
      </c>
      <c r="AK305" s="25" t="n">
        <v>2432.37</v>
      </c>
      <c r="AL305" s="26" t="n">
        <v>45989.37194444444</v>
      </c>
      <c r="AM305" s="26" t="n">
        <v>45989.37194444444</v>
      </c>
      <c r="AN305" s="25" t="inlineStr">
        <is>
          <t>WHATSAPP</t>
        </is>
      </c>
      <c r="AO305" s="25" t="inlineStr">
        <is>
          <t>FITLAND - ARIADINY - PR</t>
        </is>
      </c>
      <c r="AP305" s="27">
        <f>IF(AH305="","",IF(AH305=0,"PROSPECT",IF(AH305=1,"NOVO",IF(AH305&lt;=3,"EM DESENVOLVIMENTO",IF(AH305&lt;=6,"RECORRENTE","FIDELIZADO")))))</f>
        <v/>
      </c>
      <c r="AQ305" s="27">
        <f>IF(AJ305=0,0,IFERROR(SUM(U305:AF305)/AJ305,0))</f>
        <v/>
      </c>
      <c r="AS305" s="0" t="inlineStr">
        <is>
          <t>Carteira FEV/26</t>
        </is>
      </c>
    </row>
    <row r="306" ht="14.25" customHeight="1" s="16">
      <c r="A306" s="25" t="inlineStr">
        <is>
          <t>EXPRESSO CEREALISTA</t>
        </is>
      </c>
      <c r="B306" s="25" t="inlineStr">
        <is>
          <t>49366518000132</t>
        </is>
      </c>
      <c r="C306" s="25" t="inlineStr">
        <is>
          <t>BERBERIAN OLIVEIRA COMERCIO LTDA</t>
        </is>
      </c>
      <c r="D306" s="25" t="inlineStr">
        <is>
          <t>RJ</t>
        </is>
      </c>
      <c r="E306" s="25" t="inlineStr">
        <is>
          <t>ARMACAO DOS BUZIOS</t>
        </is>
      </c>
      <c r="F306" s="25" t="inlineStr">
        <is>
          <t>expressocerealista@hotmail.com</t>
        </is>
      </c>
      <c r="G306" s="25" t="inlineStr">
        <is>
          <t>+55 (22) 98104-0677</t>
        </is>
      </c>
      <c r="H306" s="25" t="inlineStr">
        <is>
          <t>08/10/2024</t>
        </is>
      </c>
      <c r="I306" s="25" t="n"/>
      <c r="J306" s="25" t="inlineStr">
        <is>
          <t>LARISSA PADILHA</t>
        </is>
      </c>
      <c r="K306" s="25" t="inlineStr">
        <is>
          <t>Larissa Padilha</t>
        </is>
      </c>
      <c r="L306" s="25" t="n">
        <v>145</v>
      </c>
      <c r="M306" s="25" t="inlineStr">
        <is>
          <t>23/09/2025</t>
        </is>
      </c>
      <c r="N306" s="25" t="n">
        <v>2174.72</v>
      </c>
      <c r="O306" s="25" t="n">
        <v>15</v>
      </c>
      <c r="P306" s="25" t="inlineStr">
        <is>
          <t>Sim</t>
        </is>
      </c>
      <c r="Q306" s="25" t="n">
        <v>110</v>
      </c>
      <c r="R306" s="25" t="n">
        <v>36</v>
      </c>
      <c r="S306" s="25" t="n">
        <v>5170.48</v>
      </c>
      <c r="T306" s="25" t="inlineStr">
        <is>
          <t>COMPRA B2B</t>
        </is>
      </c>
      <c r="U306" s="25" t="n">
        <v>0</v>
      </c>
      <c r="V306" s="25" t="n">
        <v>0</v>
      </c>
      <c r="W306" s="25" t="n">
        <v>2995.76</v>
      </c>
      <c r="X306" s="25" t="n">
        <v>0</v>
      </c>
      <c r="Y306" s="25" t="n">
        <v>2925.82</v>
      </c>
      <c r="Z306" s="25" t="n">
        <v>0</v>
      </c>
      <c r="AA306" s="25" t="n">
        <v>2174.72</v>
      </c>
      <c r="AB306" s="25" t="n">
        <v>0</v>
      </c>
      <c r="AC306" s="25" t="n">
        <v>0</v>
      </c>
      <c r="AD306" s="25" t="n">
        <v>0</v>
      </c>
      <c r="AE306" s="25" t="n">
        <v>0</v>
      </c>
      <c r="AF306" s="25" t="n">
        <v>0</v>
      </c>
      <c r="AG306" s="25" t="n">
        <v>69.5</v>
      </c>
      <c r="AH306" s="25" t="n">
        <v>3</v>
      </c>
      <c r="AI306" s="25" t="inlineStr">
        <is>
          <t>A</t>
        </is>
      </c>
      <c r="AJ306" s="25" t="n">
        <v>3</v>
      </c>
      <c r="AK306" s="25" t="n">
        <v>2698.77</v>
      </c>
      <c r="AL306" s="26" t="n">
        <v>46038.43866898148</v>
      </c>
      <c r="AM306" s="26" t="n">
        <v>46038.43866898148</v>
      </c>
      <c r="AN306" s="25" t="inlineStr">
        <is>
          <t>WHATSAPP</t>
        </is>
      </c>
      <c r="AO306" s="25" t="inlineStr">
        <is>
          <t>EXPRESSO CEREALISTA - JOSI - RJ</t>
        </is>
      </c>
      <c r="AP306" s="27">
        <f>IF(AH306="","",IF(AH306=0,"PROSPECT",IF(AH306=1,"NOVO",IF(AH306&lt;=3,"EM DESENVOLVIMENTO",IF(AH306&lt;=6,"RECORRENTE","FIDELIZADO")))))</f>
        <v/>
      </c>
      <c r="AQ306" s="27">
        <f>IF(AJ306=0,0,IFERROR(SUM(U306:AF306)/AJ306,0))</f>
        <v/>
      </c>
      <c r="AS306" s="0" t="inlineStr">
        <is>
          <t>Carteira FEV/26</t>
        </is>
      </c>
    </row>
    <row r="307" ht="14.25" customHeight="1" s="16">
      <c r="A307" s="25" t="inlineStr">
        <is>
          <t>F. MATTOS DA SILVA</t>
        </is>
      </c>
      <c r="B307" s="25" t="inlineStr">
        <is>
          <t>54943813000144</t>
        </is>
      </c>
      <c r="C307" s="25" t="inlineStr">
        <is>
          <t>F. MATTOS DA SILVA</t>
        </is>
      </c>
      <c r="D307" s="25" t="inlineStr">
        <is>
          <t>RR</t>
        </is>
      </c>
      <c r="E307" s="25" t="inlineStr">
        <is>
          <t>BOA VISTA</t>
        </is>
      </c>
      <c r="F307" s="25" t="inlineStr">
        <is>
          <t>boavista@lojadivinaterra.com.br</t>
        </is>
      </c>
      <c r="G307" s="25" t="inlineStr">
        <is>
          <t>+55 (95) 9117-1863 | +55 (95) 9112-5445</t>
        </is>
      </c>
      <c r="H307" s="25" t="inlineStr">
        <is>
          <t>08/10/2024</t>
        </is>
      </c>
      <c r="I307" s="25" t="inlineStr">
        <is>
          <t>[Rede] Divina Terra</t>
        </is>
      </c>
      <c r="J307" s="25" t="inlineStr">
        <is>
          <t>LARISSA PADILHA</t>
        </is>
      </c>
      <c r="K307" s="25" t="inlineStr">
        <is>
          <t>Larissa Padilha</t>
        </is>
      </c>
      <c r="L307" s="25" t="n">
        <v>248</v>
      </c>
      <c r="M307" s="25" t="inlineStr">
        <is>
          <t>12/06/2025</t>
        </is>
      </c>
      <c r="N307" s="25" t="n">
        <v>1355.9</v>
      </c>
      <c r="O307" s="25" t="n">
        <v>1</v>
      </c>
      <c r="P307" s="25" t="inlineStr">
        <is>
          <t>Sim</t>
        </is>
      </c>
      <c r="Q307" s="25" t="n">
        <v>1</v>
      </c>
      <c r="R307" s="25" t="n"/>
      <c r="S307" s="25" t="n"/>
      <c r="T307" s="25" t="n"/>
      <c r="U307" s="25" t="n">
        <v>0</v>
      </c>
      <c r="V307" s="25" t="n">
        <v>0</v>
      </c>
      <c r="W307" s="25" t="n">
        <v>0</v>
      </c>
      <c r="X307" s="25" t="n">
        <v>1355.9</v>
      </c>
      <c r="Y307" s="25" t="n">
        <v>0</v>
      </c>
      <c r="Z307" s="25" t="n">
        <v>0</v>
      </c>
      <c r="AA307" s="25" t="n">
        <v>0</v>
      </c>
      <c r="AB307" s="25" t="n">
        <v>0</v>
      </c>
      <c r="AC307" s="25" t="n">
        <v>0</v>
      </c>
      <c r="AD307" s="25" t="n">
        <v>0</v>
      </c>
      <c r="AE307" s="25" t="n">
        <v>0</v>
      </c>
      <c r="AF307" s="25" t="n">
        <v>0</v>
      </c>
      <c r="AG307" s="25" t="n">
        <v>0</v>
      </c>
      <c r="AH307" s="25" t="n">
        <v>1</v>
      </c>
      <c r="AI307" s="25" t="inlineStr">
        <is>
          <t>B</t>
        </is>
      </c>
      <c r="AJ307" s="25" t="n">
        <v>1</v>
      </c>
      <c r="AK307" s="25" t="n">
        <v>1355.9</v>
      </c>
      <c r="AL307" s="26" t="n">
        <v>46056.6875</v>
      </c>
      <c r="AM307" s="26" t="n">
        <v>46056.6875</v>
      </c>
      <c r="AN307" s="25" t="inlineStr">
        <is>
          <t>LIGAÇÃO</t>
        </is>
      </c>
      <c r="AO307" s="25" t="inlineStr">
        <is>
          <t>NUNCA ME ATENDE E NÃO RESPONDE</t>
        </is>
      </c>
      <c r="AP307" s="27">
        <f>IF(AH307="","",IF(AH307=0,"PROSPECT",IF(AH307=1,"NOVO",IF(AH307&lt;=3,"EM DESENVOLVIMENTO",IF(AH307&lt;=6,"RECORRENTE","FIDELIZADO")))))</f>
        <v/>
      </c>
      <c r="AQ307" s="27">
        <f>IF(AJ307=0,0,IFERROR(SUM(U307:AF307)/AJ307,0))</f>
        <v/>
      </c>
      <c r="AS307" s="0" t="inlineStr">
        <is>
          <t>Carteira FEV/26 + Atend FEV/26</t>
        </is>
      </c>
    </row>
    <row r="308" ht="14.25" customHeight="1" s="16">
      <c r="A308" s="25" t="inlineStr">
        <is>
          <t>FAZENDINHA SALU.D LTDA</t>
        </is>
      </c>
      <c r="B308" s="25" t="inlineStr">
        <is>
          <t>45100604000148</t>
        </is>
      </c>
      <c r="C308" s="25" t="inlineStr">
        <is>
          <t>FAZENDINHA SALU.D LTDA</t>
        </is>
      </c>
      <c r="D308" s="25" t="inlineStr">
        <is>
          <t>SC</t>
        </is>
      </c>
      <c r="E308" s="25" t="inlineStr">
        <is>
          <t>JOINVILLE</t>
        </is>
      </c>
      <c r="F308" s="25" t="inlineStr">
        <is>
          <t>fazendinhasalu.d@gmail.com</t>
        </is>
      </c>
      <c r="G308" s="25" t="inlineStr">
        <is>
          <t>+55 (47) 98418-6657</t>
        </is>
      </c>
      <c r="H308" s="25" t="inlineStr">
        <is>
          <t>11/03/2025</t>
        </is>
      </c>
      <c r="I308" s="25" t="n"/>
      <c r="J308" s="25" t="inlineStr">
        <is>
          <t>MANU DITZEL</t>
        </is>
      </c>
      <c r="K308" s="25" t="inlineStr">
        <is>
          <t>Manu Ditzel</t>
        </is>
      </c>
      <c r="L308" s="25" t="n">
        <v>4</v>
      </c>
      <c r="M308" s="25" t="inlineStr">
        <is>
          <t>11/02/2026</t>
        </is>
      </c>
      <c r="N308" s="25" t="n">
        <v>348.16</v>
      </c>
      <c r="O308" s="25" t="n">
        <v>3</v>
      </c>
      <c r="P308" s="25" t="inlineStr">
        <is>
          <t>Sim</t>
        </is>
      </c>
      <c r="Q308" s="25" t="n">
        <v>85</v>
      </c>
      <c r="R308" s="25" t="n">
        <v>35</v>
      </c>
      <c r="S308" s="25" t="n">
        <v>348.16</v>
      </c>
      <c r="T308" s="25" t="inlineStr">
        <is>
          <t>COMPRA B2B</t>
        </is>
      </c>
      <c r="U308" s="25" t="n">
        <v>0</v>
      </c>
      <c r="V308" s="25" t="n">
        <v>0</v>
      </c>
      <c r="W308" s="25" t="n">
        <v>0</v>
      </c>
      <c r="X308" s="25" t="n">
        <v>0</v>
      </c>
      <c r="Y308" s="25" t="n">
        <v>671.86</v>
      </c>
      <c r="Z308" s="25" t="n">
        <v>0</v>
      </c>
      <c r="AA308" s="25" t="n">
        <v>0</v>
      </c>
      <c r="AB308" s="25" t="n">
        <v>0</v>
      </c>
      <c r="AC308" s="25" t="n">
        <v>0</v>
      </c>
      <c r="AD308" s="25" t="n">
        <v>0</v>
      </c>
      <c r="AE308" s="25" t="n">
        <v>0</v>
      </c>
      <c r="AF308" s="25" t="n">
        <v>348.16</v>
      </c>
      <c r="AG308" s="25" t="n">
        <v>196</v>
      </c>
      <c r="AH308" s="25" t="n">
        <v>2</v>
      </c>
      <c r="AI308" s="25" t="inlineStr">
        <is>
          <t>C</t>
        </is>
      </c>
      <c r="AJ308" s="25" t="n">
        <v>2</v>
      </c>
      <c r="AK308" s="25" t="n">
        <v>510.01</v>
      </c>
      <c r="AL308" s="26" t="n">
        <v>46058.45138888889</v>
      </c>
      <c r="AM308" s="26" t="n">
        <v>46058.45138888889</v>
      </c>
      <c r="AN308" s="25" t="inlineStr">
        <is>
          <t>WHATSAPP</t>
        </is>
      </c>
      <c r="AO308" s="25" t="inlineStr">
        <is>
          <t>POSSIVEL RECOMPRA</t>
        </is>
      </c>
      <c r="AP308" s="27">
        <f>IF(AH308="","",IF(AH308=0,"PROSPECT",IF(AH308=1,"NOVO",IF(AH308&lt;=3,"EM DESENVOLVIMENTO",IF(AH308&lt;=6,"RECORRENTE","FIDELIZADO")))))</f>
        <v/>
      </c>
      <c r="AQ308" s="27">
        <f>IF(AJ308=0,0,IFERROR(SUM(U308:AF308)/AJ308,0))</f>
        <v/>
      </c>
      <c r="AS308" s="0" t="inlineStr">
        <is>
          <t>Carteira FEV/26 + Atend FEV/26 + Ecom FEV/26 + Vendas FEV/26 + ABC FEV/26</t>
        </is>
      </c>
    </row>
    <row r="309" ht="14.25" customHeight="1" s="16">
      <c r="A309" s="25" t="inlineStr">
        <is>
          <t>FIBRA ALIMENTOS</t>
        </is>
      </c>
      <c r="B309" s="25" t="inlineStr">
        <is>
          <t>08226720000181</t>
        </is>
      </c>
      <c r="C309" s="25" t="inlineStr">
        <is>
          <t>FIBRA COMERCIO E DISTRIBUICAO LTDA</t>
        </is>
      </c>
      <c r="D309" s="25" t="inlineStr">
        <is>
          <t>PR</t>
        </is>
      </c>
      <c r="E309" s="25" t="inlineStr">
        <is>
          <t>CAMPO LARGO</t>
        </is>
      </c>
      <c r="F309" s="25" t="inlineStr">
        <is>
          <t>andre@fibraalimentos.com.br</t>
        </is>
      </c>
      <c r="G309" s="25" t="inlineStr">
        <is>
          <t>+55 (41) 99964-0299</t>
        </is>
      </c>
      <c r="H309" s="25" t="inlineStr">
        <is>
          <t>20/05/2025</t>
        </is>
      </c>
      <c r="I309" s="25" t="n"/>
      <c r="J309" s="25" t="inlineStr">
        <is>
          <t>MANU DITZEL</t>
        </is>
      </c>
      <c r="K309" s="25" t="inlineStr">
        <is>
          <t>Manu Ditzel</t>
        </is>
      </c>
      <c r="L309" s="25" t="n">
        <v>201</v>
      </c>
      <c r="M309" s="25" t="inlineStr">
        <is>
          <t>29/07/2025</t>
        </is>
      </c>
      <c r="N309" s="25" t="n">
        <v>2490.01</v>
      </c>
      <c r="O309" s="25" t="n"/>
      <c r="P309" s="25" t="n"/>
      <c r="Q309" s="25" t="n"/>
      <c r="R309" s="25" t="n"/>
      <c r="S309" s="25" t="n"/>
      <c r="T309" s="25" t="n"/>
      <c r="U309" s="25" t="n">
        <v>0</v>
      </c>
      <c r="V309" s="25" t="n">
        <v>0</v>
      </c>
      <c r="W309" s="25" t="n">
        <v>0</v>
      </c>
      <c r="X309" s="25" t="n">
        <v>2526.1</v>
      </c>
      <c r="Y309" s="25" t="n">
        <v>2490.01</v>
      </c>
      <c r="Z309" s="25" t="n">
        <v>0</v>
      </c>
      <c r="AA309" s="25" t="n">
        <v>0</v>
      </c>
      <c r="AB309" s="25" t="n">
        <v>0</v>
      </c>
      <c r="AC309" s="25" t="n">
        <v>0</v>
      </c>
      <c r="AD309" s="25" t="n">
        <v>0</v>
      </c>
      <c r="AE309" s="25" t="n">
        <v>0</v>
      </c>
      <c r="AF309" s="25" t="n">
        <v>0</v>
      </c>
      <c r="AG309" s="25" t="n">
        <v>39</v>
      </c>
      <c r="AH309" s="25" t="n">
        <v>2</v>
      </c>
      <c r="AI309" s="25" t="inlineStr">
        <is>
          <t>A</t>
        </is>
      </c>
      <c r="AJ309" s="25" t="n">
        <v>2</v>
      </c>
      <c r="AK309" s="25" t="n">
        <v>2508.05</v>
      </c>
      <c r="AL309" s="26" t="n">
        <v>46058.44791666666</v>
      </c>
      <c r="AM309" s="26" t="n">
        <v>46058.44791666666</v>
      </c>
      <c r="AN309" s="25" t="inlineStr">
        <is>
          <t>LIGAÇÃO</t>
        </is>
      </c>
      <c r="AO309" s="25" t="inlineStr">
        <is>
          <t>esta com estoque alto</t>
        </is>
      </c>
      <c r="AP309" s="27">
        <f>IF(AH309="","",IF(AH309=0,"PROSPECT",IF(AH309=1,"NOVO",IF(AH309&lt;=3,"EM DESENVOLVIMENTO",IF(AH309&lt;=6,"RECORRENTE","FIDELIZADO")))))</f>
        <v/>
      </c>
      <c r="AQ309" s="27">
        <f>IF(AJ309=0,0,IFERROR(SUM(U309:AF309)/AJ309,0))</f>
        <v/>
      </c>
      <c r="AS309" s="0" t="inlineStr">
        <is>
          <t>Carteira FEV/26 + Atend FEV/26</t>
        </is>
      </c>
    </row>
    <row r="310" ht="14.25" customHeight="1" s="16">
      <c r="A310" s="25" t="inlineStr">
        <is>
          <t>FIT NUTRICAO</t>
        </is>
      </c>
      <c r="B310" s="25" t="inlineStr">
        <is>
          <t>53111830000152</t>
        </is>
      </c>
      <c r="C310" s="25" t="inlineStr">
        <is>
          <t>FIT NUTRICAO LTDA</t>
        </is>
      </c>
      <c r="D310" s="25" t="inlineStr">
        <is>
          <t>SC</t>
        </is>
      </c>
      <c r="E310" s="25" t="inlineStr">
        <is>
          <t>BALNEARIO DE PICARRAS</t>
        </is>
      </c>
      <c r="F310" s="25" t="inlineStr">
        <is>
          <t>fitlandpicarrasitacolumi@gmail.com</t>
        </is>
      </c>
      <c r="G310" s="25" t="inlineStr">
        <is>
          <t>+55 (47) 99201-9600</t>
        </is>
      </c>
      <c r="H310" s="25" t="inlineStr">
        <is>
          <t>08/10/2024</t>
        </is>
      </c>
      <c r="I310" s="25" t="inlineStr">
        <is>
          <t>FIT LAND</t>
        </is>
      </c>
      <c r="J310" s="25" t="inlineStr">
        <is>
          <t>LARISSA PADILHA</t>
        </is>
      </c>
      <c r="K310" s="25" t="inlineStr">
        <is>
          <t>Larissa Padilha</t>
        </is>
      </c>
      <c r="L310" s="25" t="n">
        <v>235</v>
      </c>
      <c r="M310" s="25" t="inlineStr">
        <is>
          <t>25/06/2025</t>
        </is>
      </c>
      <c r="N310" s="25" t="n">
        <v>1218.44</v>
      </c>
      <c r="O310" s="25" t="n"/>
      <c r="P310" s="25" t="n"/>
      <c r="Q310" s="25" t="n"/>
      <c r="R310" s="25" t="n"/>
      <c r="S310" s="25" t="n"/>
      <c r="T310" s="25" t="n"/>
      <c r="U310" s="25" t="n">
        <v>0</v>
      </c>
      <c r="V310" s="25" t="n">
        <v>0</v>
      </c>
      <c r="W310" s="25" t="n">
        <v>0</v>
      </c>
      <c r="X310" s="25" t="n">
        <v>0</v>
      </c>
      <c r="Y310" s="25" t="n">
        <v>0</v>
      </c>
      <c r="Z310" s="25" t="n">
        <v>0</v>
      </c>
      <c r="AA310" s="25" t="n">
        <v>0</v>
      </c>
      <c r="AB310" s="25" t="n">
        <v>0</v>
      </c>
      <c r="AC310" s="25" t="n">
        <v>0</v>
      </c>
      <c r="AD310" s="25" t="n">
        <v>0</v>
      </c>
      <c r="AE310" s="25" t="n">
        <v>0</v>
      </c>
      <c r="AF310" s="25" t="n">
        <v>0</v>
      </c>
      <c r="AG310" s="25" t="n">
        <v>0</v>
      </c>
      <c r="AH310" s="25" t="n">
        <v>0</v>
      </c>
      <c r="AI310" s="25" t="inlineStr">
        <is>
          <t>B</t>
        </is>
      </c>
      <c r="AJ310" s="25" t="n">
        <v>0</v>
      </c>
      <c r="AK310" s="25" t="n">
        <v>0</v>
      </c>
      <c r="AL310" s="26" t="n">
        <v>45898.47013888889</v>
      </c>
      <c r="AM310" s="26" t="n">
        <v>45898.47013888889</v>
      </c>
      <c r="AN310" s="25" t="inlineStr">
        <is>
          <t>WHATSAPP</t>
        </is>
      </c>
      <c r="AO310" s="25" t="inlineStr">
        <is>
          <t>NUTRIÇÃO | Mensagem de aproximação</t>
        </is>
      </c>
      <c r="AP310" s="27">
        <f>IF(AH310="","",IF(AH310=0,"PROSPECT",IF(AH310=1,"NOVO",IF(AH310&lt;=3,"EM DESENVOLVIMENTO",IF(AH310&lt;=6,"RECORRENTE","FIDELIZADO")))))</f>
        <v/>
      </c>
      <c r="AQ310" s="27">
        <f>IF(AJ310=0,0,IFERROR(SUM(U310:AF310)/AJ310,0))</f>
        <v/>
      </c>
      <c r="AS310" s="0" t="inlineStr">
        <is>
          <t>Carteira FEV/26</t>
        </is>
      </c>
    </row>
    <row r="311" ht="14.25" customHeight="1" s="16">
      <c r="A311" s="25" t="inlineStr">
        <is>
          <t>FIT NUTRICAO</t>
        </is>
      </c>
      <c r="B311" s="25" t="inlineStr">
        <is>
          <t>54116382000142</t>
        </is>
      </c>
      <c r="C311" s="25" t="inlineStr">
        <is>
          <t>RK COMERCIO DE NUTRICAO LTDA</t>
        </is>
      </c>
      <c r="D311" s="25" t="inlineStr">
        <is>
          <t>SC</t>
        </is>
      </c>
      <c r="E311" s="25" t="inlineStr">
        <is>
          <t>PALHOCA</t>
        </is>
      </c>
      <c r="F311" s="25" t="inlineStr">
        <is>
          <t>fitlandpalhoca@gmail.com</t>
        </is>
      </c>
      <c r="G311" s="25" t="inlineStr">
        <is>
          <t>+55 (48) 98500-9192</t>
        </is>
      </c>
      <c r="H311" s="25" t="inlineStr">
        <is>
          <t>08/10/2024</t>
        </is>
      </c>
      <c r="I311" s="25" t="inlineStr">
        <is>
          <t>FIT LAND</t>
        </is>
      </c>
      <c r="J311" s="25" t="inlineStr">
        <is>
          <t>LARISSA PADILHA</t>
        </is>
      </c>
      <c r="K311" s="25" t="inlineStr">
        <is>
          <t>Larissa Padilha</t>
        </is>
      </c>
      <c r="L311" s="25" t="n">
        <v>264</v>
      </c>
      <c r="M311" s="25" t="inlineStr">
        <is>
          <t>27/05/2025</t>
        </is>
      </c>
      <c r="N311" s="25" t="n">
        <v>880</v>
      </c>
      <c r="O311" s="25" t="n"/>
      <c r="P311" s="25" t="n"/>
      <c r="Q311" s="25" t="n"/>
      <c r="R311" s="25" t="n"/>
      <c r="S311" s="25" t="n"/>
      <c r="T311" s="25" t="n"/>
      <c r="U311" s="25" t="n">
        <v>0</v>
      </c>
      <c r="V311" s="25" t="n">
        <v>0</v>
      </c>
      <c r="W311" s="25" t="n">
        <v>0</v>
      </c>
      <c r="X311" s="25" t="n">
        <v>0</v>
      </c>
      <c r="Y311" s="25" t="n">
        <v>0</v>
      </c>
      <c r="Z311" s="25" t="n">
        <v>0</v>
      </c>
      <c r="AA311" s="25" t="n">
        <v>0</v>
      </c>
      <c r="AB311" s="25" t="n">
        <v>0</v>
      </c>
      <c r="AC311" s="25" t="n">
        <v>0</v>
      </c>
      <c r="AD311" s="25" t="n">
        <v>0</v>
      </c>
      <c r="AE311" s="25" t="n">
        <v>0</v>
      </c>
      <c r="AF311" s="25" t="n">
        <v>0</v>
      </c>
      <c r="AG311" s="25" t="n">
        <v>0</v>
      </c>
      <c r="AH311" s="25" t="n">
        <v>0</v>
      </c>
      <c r="AI311" s="25" t="inlineStr">
        <is>
          <t>C</t>
        </is>
      </c>
      <c r="AJ311" s="25" t="n">
        <v>0</v>
      </c>
      <c r="AK311" s="25" t="n">
        <v>0</v>
      </c>
      <c r="AL311" s="26" t="n">
        <v>46051.48922453704</v>
      </c>
      <c r="AM311" s="26" t="n">
        <v>46051.48922453704</v>
      </c>
      <c r="AN311" s="25" t="inlineStr">
        <is>
          <t>WHATSAPP</t>
        </is>
      </c>
      <c r="AO311" s="28" t="inlineStr">
        <is>
          <t>FITLAND - DARCY - SC</t>
        </is>
      </c>
      <c r="AP311" s="27">
        <f>IF(AH311="","",IF(AH311=0,"PROSPECT",IF(AH311=1,"NOVO",IF(AH311&lt;=3,"EM DESENVOLVIMENTO",IF(AH311&lt;=6,"RECORRENTE","FIDELIZADO")))))</f>
        <v/>
      </c>
      <c r="AQ311" s="27">
        <f>IF(AJ311=0,0,IFERROR(SUM(U311:AF311)/AJ311,0))</f>
        <v/>
      </c>
      <c r="AS311" s="0" t="inlineStr">
        <is>
          <t>Carteira FEV/26</t>
        </is>
      </c>
    </row>
    <row r="312" ht="14.25" customHeight="1" s="16">
      <c r="A312" s="25" t="inlineStr">
        <is>
          <t>FIT PEDRA BRANCA</t>
        </is>
      </c>
      <c r="B312" s="25" t="inlineStr">
        <is>
          <t>60546169000173</t>
        </is>
      </c>
      <c r="C312" s="25" t="inlineStr">
        <is>
          <t>PEDRA BRANCA NUTRICAO LTDA</t>
        </is>
      </c>
      <c r="D312" s="25" t="inlineStr">
        <is>
          <t>SC</t>
        </is>
      </c>
      <c r="E312" s="25" t="inlineStr">
        <is>
          <t>PALHOCA</t>
        </is>
      </c>
      <c r="F312" s="25" t="inlineStr">
        <is>
          <t>FITLANDPALHOCAPEDRABRANCA@GMAIL.COM</t>
        </is>
      </c>
      <c r="G312" s="25" t="inlineStr">
        <is>
          <t>+55 (48) 9139-9622</t>
        </is>
      </c>
      <c r="H312" s="25" t="inlineStr">
        <is>
          <t>11/06/2025</t>
        </is>
      </c>
      <c r="I312" s="25" t="inlineStr">
        <is>
          <t>[Rede] Fit Land</t>
        </is>
      </c>
      <c r="J312" s="25" t="inlineStr">
        <is>
          <t>JULIO GADRET</t>
        </is>
      </c>
      <c r="K312" s="25" t="inlineStr">
        <is>
          <t>Julio  Gadret</t>
        </is>
      </c>
      <c r="L312" s="25" t="n">
        <v>139</v>
      </c>
      <c r="M312" s="25" t="inlineStr">
        <is>
          <t>29/09/2025</t>
        </is>
      </c>
      <c r="N312" s="25" t="n">
        <v>1016.3</v>
      </c>
      <c r="O312" s="25" t="n">
        <v>3</v>
      </c>
      <c r="P312" s="25" t="inlineStr">
        <is>
          <t>Sim</t>
        </is>
      </c>
      <c r="Q312" s="25" t="n">
        <v>3</v>
      </c>
      <c r="R312" s="25" t="n"/>
      <c r="S312" s="25" t="n"/>
      <c r="T312" s="25" t="n"/>
      <c r="U312" s="25" t="n">
        <v>0</v>
      </c>
      <c r="V312" s="25" t="n">
        <v>0</v>
      </c>
      <c r="W312" s="25" t="n">
        <v>0</v>
      </c>
      <c r="X312" s="25" t="n">
        <v>2272.6</v>
      </c>
      <c r="Y312" s="25" t="n">
        <v>0</v>
      </c>
      <c r="Z312" s="25" t="n">
        <v>0</v>
      </c>
      <c r="AA312" s="25" t="n">
        <v>1016.3</v>
      </c>
      <c r="AB312" s="25" t="n">
        <v>0</v>
      </c>
      <c r="AC312" s="25" t="n">
        <v>0</v>
      </c>
      <c r="AD312" s="25" t="n">
        <v>0</v>
      </c>
      <c r="AE312" s="25" t="n">
        <v>0</v>
      </c>
      <c r="AF312" s="25" t="n">
        <v>0</v>
      </c>
      <c r="AG312" s="25" t="n">
        <v>109</v>
      </c>
      <c r="AH312" s="25" t="n">
        <v>2</v>
      </c>
      <c r="AI312" s="25" t="inlineStr">
        <is>
          <t>A</t>
        </is>
      </c>
      <c r="AJ312" s="25" t="n">
        <v>2</v>
      </c>
      <c r="AK312" s="25" t="n">
        <v>1644.45</v>
      </c>
      <c r="AL312" s="26" t="n">
        <v>45902.375</v>
      </c>
      <c r="AM312" s="26" t="n">
        <v>45902.375</v>
      </c>
      <c r="AN312" s="25" t="inlineStr">
        <is>
          <t>WHATSAPP</t>
        </is>
      </c>
      <c r="AO312" s="28" t="inlineStr">
        <is>
          <t>CADASTRO | Login: fitlandpalhocapedrabranca@gmail.com Senha: 839120</t>
        </is>
      </c>
      <c r="AP312" s="27">
        <f>IF(AH312="","",IF(AH312=0,"PROSPECT",IF(AH312=1,"NOVO",IF(AH312&lt;=3,"EM DESENVOLVIMENTO",IF(AH312&lt;=6,"RECORRENTE","FIDELIZADO")))))</f>
        <v/>
      </c>
      <c r="AQ312" s="27">
        <f>IF(AJ312=0,0,IFERROR(SUM(U312:AF312)/AJ312,0))</f>
        <v/>
      </c>
      <c r="AS312" s="0" t="inlineStr">
        <is>
          <t>Carteira FEV/26</t>
        </is>
      </c>
    </row>
    <row r="313" ht="14.25" customHeight="1" s="16">
      <c r="A313" s="25" t="inlineStr">
        <is>
          <t>FIT PELOTAS</t>
        </is>
      </c>
      <c r="B313" s="25" t="inlineStr">
        <is>
          <t>47766246000132</t>
        </is>
      </c>
      <c r="C313" s="25" t="inlineStr">
        <is>
          <t>FIT PELOTAS COMERCIO DE SUPLEMENTOS E PRODUTOS NATURAIS LTDA.</t>
        </is>
      </c>
      <c r="D313" s="25" t="inlineStr">
        <is>
          <t>RS</t>
        </is>
      </c>
      <c r="E313" s="25" t="inlineStr">
        <is>
          <t>PELOTAS</t>
        </is>
      </c>
      <c r="F313" s="25" t="inlineStr">
        <is>
          <t>pelotas@redefitland.com</t>
        </is>
      </c>
      <c r="G313" s="25" t="inlineStr">
        <is>
          <t>+55 (53) 8146-2009</t>
        </is>
      </c>
      <c r="H313" s="25" t="inlineStr">
        <is>
          <t>08/10/2024</t>
        </is>
      </c>
      <c r="I313" s="25" t="inlineStr">
        <is>
          <t>FIT LAND</t>
        </is>
      </c>
      <c r="J313" s="25" t="inlineStr">
        <is>
          <t>JULIO GADRET</t>
        </is>
      </c>
      <c r="K313" s="25" t="inlineStr">
        <is>
          <t>Julio  Gadret</t>
        </is>
      </c>
      <c r="L313" s="25" t="n">
        <v>109</v>
      </c>
      <c r="M313" s="25" t="inlineStr">
        <is>
          <t>29/10/2025</t>
        </is>
      </c>
      <c r="N313" s="25" t="n">
        <v>705.02</v>
      </c>
      <c r="O313" s="25" t="n"/>
      <c r="P313" s="25" t="n"/>
      <c r="Q313" s="25" t="n"/>
      <c r="R313" s="25" t="n"/>
      <c r="S313" s="25" t="n"/>
      <c r="T313" s="25" t="n"/>
      <c r="U313" s="25" t="n">
        <v>0</v>
      </c>
      <c r="V313" s="25" t="n">
        <v>0</v>
      </c>
      <c r="W313" s="25" t="n">
        <v>0</v>
      </c>
      <c r="X313" s="25" t="n">
        <v>0</v>
      </c>
      <c r="Y313" s="25" t="n">
        <v>0</v>
      </c>
      <c r="Z313" s="25" t="n">
        <v>0</v>
      </c>
      <c r="AA313" s="25" t="n">
        <v>0</v>
      </c>
      <c r="AB313" s="25" t="n">
        <v>0</v>
      </c>
      <c r="AC313" s="25" t="n">
        <v>0</v>
      </c>
      <c r="AD313" s="25" t="n">
        <v>0</v>
      </c>
      <c r="AE313" s="25" t="n">
        <v>0</v>
      </c>
      <c r="AF313" s="25" t="n">
        <v>0</v>
      </c>
      <c r="AG313" s="25" t="n">
        <v>90</v>
      </c>
      <c r="AH313" s="25" t="n">
        <v>0</v>
      </c>
      <c r="AI313" s="25" t="inlineStr">
        <is>
          <t>B</t>
        </is>
      </c>
      <c r="AJ313" s="25" t="n">
        <v>0</v>
      </c>
      <c r="AK313" s="25" t="n">
        <v>0</v>
      </c>
      <c r="AL313" s="26" t="n">
        <v>45898.41805555556</v>
      </c>
      <c r="AM313" s="26" t="n">
        <v>45898.41805555556</v>
      </c>
      <c r="AN313" s="25" t="inlineStr">
        <is>
          <t>WHATSAPP</t>
        </is>
      </c>
      <c r="AO313" s="25" t="inlineStr">
        <is>
          <t>PÓS-VENDA | Realizei pós venda</t>
        </is>
      </c>
      <c r="AP313" s="27">
        <f>IF(AH313="","",IF(AH313=0,"PROSPECT",IF(AH313=1,"NOVO",IF(AH313&lt;=3,"EM DESENVOLVIMENTO",IF(AH313&lt;=6,"RECORRENTE","FIDELIZADO")))))</f>
        <v/>
      </c>
      <c r="AQ313" s="27">
        <f>IF(AJ313=0,0,IFERROR(SUM(U313:AF313)/AJ313,0))</f>
        <v/>
      </c>
      <c r="AS313" s="0" t="inlineStr">
        <is>
          <t>Carteira FEV/26</t>
        </is>
      </c>
    </row>
    <row r="314" ht="14.25" customHeight="1" s="16">
      <c r="A314" s="25" t="inlineStr">
        <is>
          <t>FIT PELOTAS</t>
        </is>
      </c>
      <c r="B314" s="25" t="inlineStr">
        <is>
          <t>47766246000213</t>
        </is>
      </c>
      <c r="C314" s="25" t="inlineStr">
        <is>
          <t>FIT PELOTAS COMERCIO DE SUPLEMENTOS E PRODUTOS NATURAIS LTDA.</t>
        </is>
      </c>
      <c r="D314" s="25" t="inlineStr">
        <is>
          <t>RS</t>
        </is>
      </c>
      <c r="E314" s="25" t="inlineStr">
        <is>
          <t>PELOTAS</t>
        </is>
      </c>
      <c r="F314" s="25" t="inlineStr">
        <is>
          <t>fitpelotas@outlook.com</t>
        </is>
      </c>
      <c r="G314" s="25" t="inlineStr">
        <is>
          <t>+55 (53) 8146-2009</t>
        </is>
      </c>
      <c r="H314" s="25" t="inlineStr">
        <is>
          <t>08/10/2024</t>
        </is>
      </c>
      <c r="I314" s="25" t="inlineStr">
        <is>
          <t>[Rede] Fit Land</t>
        </is>
      </c>
      <c r="J314" s="25" t="inlineStr">
        <is>
          <t>JULIO GADRET</t>
        </is>
      </c>
      <c r="K314" s="25" t="inlineStr">
        <is>
          <t>Julio  Gadret</t>
        </is>
      </c>
      <c r="L314" s="25" t="n">
        <v>109</v>
      </c>
      <c r="M314" s="25" t="inlineStr">
        <is>
          <t>29/10/2025</t>
        </is>
      </c>
      <c r="N314" s="25" t="n">
        <v>706.23</v>
      </c>
      <c r="O314" s="25" t="n"/>
      <c r="P314" s="25" t="n"/>
      <c r="Q314" s="25" t="n"/>
      <c r="R314" s="25" t="n"/>
      <c r="S314" s="25" t="n"/>
      <c r="T314" s="25" t="n"/>
      <c r="U314" s="25" t="n">
        <v>0</v>
      </c>
      <c r="V314" s="25" t="n">
        <v>0</v>
      </c>
      <c r="W314" s="25" t="n">
        <v>0</v>
      </c>
      <c r="X314" s="25" t="n">
        <v>1445.07</v>
      </c>
      <c r="Y314" s="25" t="n">
        <v>2126.66</v>
      </c>
      <c r="Z314" s="25" t="n">
        <v>0</v>
      </c>
      <c r="AA314" s="25" t="n">
        <v>0</v>
      </c>
      <c r="AB314" s="25" t="n">
        <v>1411.25</v>
      </c>
      <c r="AC314" s="25" t="n">
        <v>0</v>
      </c>
      <c r="AD314" s="25" t="n">
        <v>0</v>
      </c>
      <c r="AE314" s="25" t="n">
        <v>0</v>
      </c>
      <c r="AF314" s="25" t="n">
        <v>0</v>
      </c>
      <c r="AG314" s="25" t="n">
        <v>41.6667</v>
      </c>
      <c r="AH314" s="25" t="n">
        <v>6</v>
      </c>
      <c r="AI314" s="25" t="inlineStr">
        <is>
          <t>A</t>
        </is>
      </c>
      <c r="AJ314" s="25" t="n">
        <v>3</v>
      </c>
      <c r="AK314" s="25" t="n">
        <v>830.5</v>
      </c>
      <c r="AL314" s="26" t="n">
        <v>45813.75555555556</v>
      </c>
      <c r="AM314" s="26" t="n">
        <v>45813.75555555556</v>
      </c>
      <c r="AN314" s="25" t="inlineStr">
        <is>
          <t>WHATSAPP</t>
        </is>
      </c>
      <c r="AO314" s="25" t="inlineStr">
        <is>
          <t>PÓS-VENDA | Follow up</t>
        </is>
      </c>
      <c r="AP314" s="27">
        <f>IF(AH314="","",IF(AH314=0,"PROSPECT",IF(AH314=1,"NOVO",IF(AH314&lt;=3,"EM DESENVOLVIMENTO",IF(AH314&lt;=6,"RECORRENTE","FIDELIZADO")))))</f>
        <v/>
      </c>
      <c r="AQ314" s="27">
        <f>IF(AJ314=0,0,IFERROR(SUM(U314:AF314)/AJ314,0))</f>
        <v/>
      </c>
      <c r="AS314" s="0" t="inlineStr">
        <is>
          <t>Carteira FEV/26</t>
        </is>
      </c>
    </row>
    <row r="315" ht="14.25" customHeight="1" s="16">
      <c r="A315" s="25" t="inlineStr">
        <is>
          <t>FIT SJB</t>
        </is>
      </c>
      <c r="B315" s="25" t="inlineStr">
        <is>
          <t>43732530000137</t>
        </is>
      </c>
      <c r="C315" s="25" t="inlineStr">
        <is>
          <t>FIT SJB COMERCIO DE SUPLEMENTOS E PRODUTOS NATURAIS LTDA</t>
        </is>
      </c>
      <c r="D315" s="25" t="inlineStr">
        <is>
          <t>SC</t>
        </is>
      </c>
      <c r="E315" s="25" t="inlineStr">
        <is>
          <t>SAO JOAO BATISTA</t>
        </is>
      </c>
      <c r="F315" s="25" t="inlineStr">
        <is>
          <t>fitlandsaojoaobatista@gmail.com</t>
        </is>
      </c>
      <c r="G315" s="25" t="inlineStr">
        <is>
          <t>+55 (48) 9957-0928</t>
        </is>
      </c>
      <c r="H315" s="25" t="inlineStr">
        <is>
          <t>08/10/2024</t>
        </is>
      </c>
      <c r="I315" s="25" t="inlineStr">
        <is>
          <t>[Rede] Fit Land</t>
        </is>
      </c>
      <c r="J315" s="25" t="inlineStr">
        <is>
          <t>JULIO GADRET</t>
        </is>
      </c>
      <c r="K315" s="25" t="inlineStr">
        <is>
          <t>Julio  Gadret</t>
        </is>
      </c>
      <c r="L315" s="25" t="n">
        <v>139</v>
      </c>
      <c r="M315" s="25" t="inlineStr">
        <is>
          <t>29/09/2025</t>
        </is>
      </c>
      <c r="N315" s="25" t="n">
        <v>1304.15</v>
      </c>
      <c r="O315" s="25" t="n"/>
      <c r="P315" s="25" t="n"/>
      <c r="Q315" s="25" t="n"/>
      <c r="R315" s="25" t="n"/>
      <c r="S315" s="25" t="n"/>
      <c r="T315" s="25" t="n"/>
      <c r="U315" s="25" t="n">
        <v>0</v>
      </c>
      <c r="V315" s="25" t="n">
        <v>0</v>
      </c>
      <c r="W315" s="25" t="n">
        <v>693</v>
      </c>
      <c r="X315" s="25" t="n">
        <v>2345.4</v>
      </c>
      <c r="Y315" s="25" t="n">
        <v>0</v>
      </c>
      <c r="Z315" s="25" t="n">
        <v>1566.56</v>
      </c>
      <c r="AA315" s="25" t="n">
        <v>1304.15</v>
      </c>
      <c r="AB315" s="25" t="n">
        <v>0</v>
      </c>
      <c r="AC315" s="25" t="n">
        <v>0</v>
      </c>
      <c r="AD315" s="25" t="n">
        <v>0</v>
      </c>
      <c r="AE315" s="25" t="n">
        <v>0</v>
      </c>
      <c r="AF315" s="25" t="n">
        <v>0</v>
      </c>
      <c r="AG315" s="25" t="n">
        <v>44.3333</v>
      </c>
      <c r="AH315" s="25" t="n">
        <v>4</v>
      </c>
      <c r="AI315" s="25" t="inlineStr">
        <is>
          <t>A</t>
        </is>
      </c>
      <c r="AJ315" s="25" t="n">
        <v>4</v>
      </c>
      <c r="AK315" s="25" t="n">
        <v>1477.28</v>
      </c>
      <c r="AL315" s="26" t="n">
        <v>45971.53394675926</v>
      </c>
      <c r="AM315" s="26" t="n">
        <v>45971.53394675926</v>
      </c>
      <c r="AN315" s="25" t="inlineStr">
        <is>
          <t>WHATSAPP</t>
        </is>
      </c>
      <c r="AO315" s="28" t="inlineStr">
        <is>
          <t>Fit land Claudia - SJB</t>
        </is>
      </c>
      <c r="AP315" s="27">
        <f>IF(AH315="","",IF(AH315=0,"PROSPECT",IF(AH315=1,"NOVO",IF(AH315&lt;=3,"EM DESENVOLVIMENTO",IF(AH315&lt;=6,"RECORRENTE","FIDELIZADO")))))</f>
        <v/>
      </c>
      <c r="AQ315" s="27">
        <f>IF(AJ315=0,0,IFERROR(SUM(U315:AF315)/AJ315,0))</f>
        <v/>
      </c>
      <c r="AS315" s="0" t="inlineStr">
        <is>
          <t>Carteira FEV/26</t>
        </is>
      </c>
    </row>
    <row r="316" ht="14.25" customHeight="1" s="16">
      <c r="A316" s="25" t="inlineStr">
        <is>
          <t>FITIBU</t>
        </is>
      </c>
      <c r="B316" s="25" t="inlineStr">
        <is>
          <t>61030585000187</t>
        </is>
      </c>
      <c r="C316" s="25" t="inlineStr">
        <is>
          <t>61.030.585 CRISTIANE SVIECH TIBUCHESKI</t>
        </is>
      </c>
      <c r="D316" s="25" t="inlineStr">
        <is>
          <t>PR</t>
        </is>
      </c>
      <c r="E316" s="25" t="inlineStr">
        <is>
          <t>PINHAIS</t>
        </is>
      </c>
      <c r="F316" s="25" t="inlineStr">
        <is>
          <t>FITIBUCESTA@GMAIL.COM</t>
        </is>
      </c>
      <c r="G316" s="25" t="inlineStr">
        <is>
          <t>+55 (41) 8756-0606</t>
        </is>
      </c>
      <c r="H316" s="25" t="inlineStr">
        <is>
          <t>16/06/2025</t>
        </is>
      </c>
      <c r="I316" s="25" t="n"/>
      <c r="J316" s="25" t="inlineStr">
        <is>
          <t>MANU DITZEL</t>
        </is>
      </c>
      <c r="K316" s="25" t="inlineStr">
        <is>
          <t>Manu Ditzel</t>
        </is>
      </c>
      <c r="L316" s="25" t="n">
        <v>93</v>
      </c>
      <c r="M316" s="25" t="inlineStr">
        <is>
          <t>14/11/2025</t>
        </is>
      </c>
      <c r="N316" s="25" t="n">
        <v>585.55</v>
      </c>
      <c r="O316" s="25" t="n">
        <v>20</v>
      </c>
      <c r="P316" s="25" t="inlineStr">
        <is>
          <t>Sim</t>
        </is>
      </c>
      <c r="Q316" s="25" t="n">
        <v>149</v>
      </c>
      <c r="R316" s="25" t="n">
        <v>17</v>
      </c>
      <c r="S316" s="25" t="n">
        <v>1454.54</v>
      </c>
      <c r="T316" s="25" t="inlineStr">
        <is>
          <t>COMPRA B2B</t>
        </is>
      </c>
      <c r="U316" s="25" t="n">
        <v>0</v>
      </c>
      <c r="V316" s="25" t="n">
        <v>0</v>
      </c>
      <c r="W316" s="25" t="n">
        <v>0</v>
      </c>
      <c r="X316" s="25" t="n">
        <v>868.99</v>
      </c>
      <c r="Y316" s="25" t="n">
        <v>720.13</v>
      </c>
      <c r="Z316" s="25" t="n">
        <v>0</v>
      </c>
      <c r="AA316" s="25" t="n">
        <v>0</v>
      </c>
      <c r="AB316" s="25" t="n">
        <v>0</v>
      </c>
      <c r="AC316" s="25" t="n">
        <v>585.55</v>
      </c>
      <c r="AD316" s="25" t="n">
        <v>0</v>
      </c>
      <c r="AE316" s="25" t="n">
        <v>0</v>
      </c>
      <c r="AF316" s="25" t="n">
        <v>0</v>
      </c>
      <c r="AG316" s="25" t="n">
        <v>73.5</v>
      </c>
      <c r="AH316" s="25" t="n">
        <v>2</v>
      </c>
      <c r="AI316" s="25" t="inlineStr">
        <is>
          <t>B</t>
        </is>
      </c>
      <c r="AJ316" s="25" t="n">
        <v>3</v>
      </c>
      <c r="AK316" s="25" t="n">
        <v>1087.34</v>
      </c>
      <c r="AL316" s="26" t="n">
        <v>46063.68125</v>
      </c>
      <c r="AM316" s="26" t="n">
        <v>46063.68125</v>
      </c>
      <c r="AN316" s="25" t="inlineStr">
        <is>
          <t>WHATSAPP</t>
        </is>
      </c>
      <c r="AO316" s="25" t="inlineStr">
        <is>
          <t>CLIENTE ESTA SEM MOVIMENTO, MAS AGORA VAI COMEÇAR OS PEDIDOS NOVAMENTE, COMPRA MUITO POUCO .</t>
        </is>
      </c>
      <c r="AP316" s="27">
        <f>IF(AH316="","",IF(AH316=0,"PROSPECT",IF(AH316=1,"NOVO",IF(AH316&lt;=3,"EM DESENVOLVIMENTO",IF(AH316&lt;=6,"RECORRENTE","FIDELIZADO")))))</f>
        <v/>
      </c>
      <c r="AQ316" s="27">
        <f>IF(AJ316=0,0,IFERROR(SUM(U316:AF316)/AJ316,0))</f>
        <v/>
      </c>
      <c r="AS316" s="0" t="inlineStr">
        <is>
          <t>Carteira FEV/26 + Atend FEV/26</t>
        </is>
      </c>
    </row>
    <row r="317" ht="14.25" customHeight="1" s="16">
      <c r="A317" s="25" t="inlineStr">
        <is>
          <t>FRAN FIT</t>
        </is>
      </c>
      <c r="B317" s="25" t="inlineStr">
        <is>
          <t>05926581000100</t>
        </is>
      </c>
      <c r="C317" s="25" t="inlineStr">
        <is>
          <t>FRANCIELLI FRANCALACCI DE OLIVEIRA EIRELI</t>
        </is>
      </c>
      <c r="D317" s="25" t="inlineStr">
        <is>
          <t>SC</t>
        </is>
      </c>
      <c r="E317" s="25" t="inlineStr">
        <is>
          <t>Criciúma</t>
        </is>
      </c>
      <c r="F317" s="25" t="inlineStr">
        <is>
          <t>francielli.oliveira5@icloud.com</t>
        </is>
      </c>
      <c r="G317" s="25" t="inlineStr">
        <is>
          <t>+55 (48) 9918-6670</t>
        </is>
      </c>
      <c r="H317" s="25" t="inlineStr">
        <is>
          <t>08/10/2024</t>
        </is>
      </c>
      <c r="I317" s="25" t="n"/>
      <c r="J317" s="25" t="inlineStr">
        <is>
          <t>MANU DITZEL</t>
        </is>
      </c>
      <c r="K317" s="25" t="inlineStr">
        <is>
          <t>Manu Ditzel</t>
        </is>
      </c>
      <c r="L317" s="25" t="n">
        <v>235</v>
      </c>
      <c r="M317" s="25" t="inlineStr">
        <is>
          <t>25/06/2025</t>
        </is>
      </c>
      <c r="N317" s="25" t="n">
        <v>753.1900000000001</v>
      </c>
      <c r="O317" s="25" t="n">
        <v>4</v>
      </c>
      <c r="P317" s="25" t="inlineStr">
        <is>
          <t>Sim</t>
        </is>
      </c>
      <c r="Q317" s="25" t="n">
        <v>117</v>
      </c>
      <c r="R317" s="25" t="n">
        <v>16</v>
      </c>
      <c r="S317" s="25" t="n">
        <v>753.1900000000001</v>
      </c>
      <c r="T317" s="25" t="inlineStr">
        <is>
          <t>COMPRA B2B</t>
        </is>
      </c>
      <c r="U317" s="25" t="n">
        <v>0</v>
      </c>
      <c r="V317" s="25" t="n">
        <v>0</v>
      </c>
      <c r="W317" s="25" t="n">
        <v>0</v>
      </c>
      <c r="X317" s="25" t="n">
        <v>753.1900000000001</v>
      </c>
      <c r="Y317" s="25" t="n">
        <v>0</v>
      </c>
      <c r="Z317" s="25" t="n">
        <v>0</v>
      </c>
      <c r="AA317" s="25" t="n">
        <v>0</v>
      </c>
      <c r="AB317" s="25" t="n">
        <v>0</v>
      </c>
      <c r="AC317" s="25" t="n">
        <v>0</v>
      </c>
      <c r="AD317" s="25" t="n">
        <v>0</v>
      </c>
      <c r="AE317" s="25" t="n">
        <v>0</v>
      </c>
      <c r="AF317" s="25" t="n">
        <v>0</v>
      </c>
      <c r="AG317" s="25" t="n">
        <v>0</v>
      </c>
      <c r="AH317" s="25" t="n">
        <v>1</v>
      </c>
      <c r="AI317" s="25" t="inlineStr">
        <is>
          <t>C</t>
        </is>
      </c>
      <c r="AJ317" s="25" t="n">
        <v>1</v>
      </c>
      <c r="AK317" s="25" t="n">
        <v>753.1900000000001</v>
      </c>
      <c r="AL317" s="26" t="n">
        <v>45987.56597222222</v>
      </c>
      <c r="AM317" s="26" t="n">
        <v>45987.56597222222</v>
      </c>
      <c r="AN317" s="25" t="inlineStr">
        <is>
          <t>WHATSAPP</t>
        </is>
      </c>
      <c r="AO317" s="28" t="inlineStr">
        <is>
          <t>*Portal de pedidos:* https://vitaomais.meuspedidos.com.br/ *Login:* francielli.oliveira5@icloud.com *Senha:* 979284</t>
        </is>
      </c>
      <c r="AP317" s="27">
        <f>IF(AH317="","",IF(AH317=0,"PROSPECT",IF(AH317=1,"NOVO",IF(AH317&lt;=3,"EM DESENVOLVIMENTO",IF(AH317&lt;=6,"RECORRENTE","FIDELIZADO")))))</f>
        <v/>
      </c>
      <c r="AQ317" s="27">
        <f>IF(AJ317=0,0,IFERROR(SUM(U317:AF317)/AJ317,0))</f>
        <v/>
      </c>
      <c r="AS317" s="0" t="inlineStr">
        <is>
          <t>Carteira FEV/26 + Ecom FEV/26</t>
        </is>
      </c>
    </row>
    <row r="318" ht="14.25" customHeight="1" s="16">
      <c r="A318" s="25" t="inlineStr">
        <is>
          <t>FRANCIJANE MARQUES LEAL</t>
        </is>
      </c>
      <c r="B318" s="25" t="inlineStr">
        <is>
          <t>57320249000100</t>
        </is>
      </c>
      <c r="C318" s="25" t="inlineStr">
        <is>
          <t>57.320.249 FRANCIJANE MARQUES LEAL</t>
        </is>
      </c>
      <c r="D318" s="25" t="inlineStr">
        <is>
          <t>PI</t>
        </is>
      </c>
      <c r="E318" s="25" t="inlineStr">
        <is>
          <t>AGUA BRANCA</t>
        </is>
      </c>
      <c r="F318" s="25" t="inlineStr">
        <is>
          <t>francijanemleal123@gmail.com</t>
        </is>
      </c>
      <c r="G318" s="25" t="inlineStr">
        <is>
          <t>+55 (86) 9938-5815</t>
        </is>
      </c>
      <c r="H318" s="25" t="inlineStr">
        <is>
          <t>15/07/2025</t>
        </is>
      </c>
      <c r="I318" s="25" t="n"/>
      <c r="J318" s="25" t="inlineStr">
        <is>
          <t>LARISSA PADILHA</t>
        </is>
      </c>
      <c r="K318" s="25" t="inlineStr">
        <is>
          <t>Larissa Padilha</t>
        </is>
      </c>
      <c r="L318" s="25" t="n">
        <v>201</v>
      </c>
      <c r="M318" s="25" t="inlineStr">
        <is>
          <t>29/07/2025</t>
        </is>
      </c>
      <c r="N318" s="25" t="n">
        <v>4632.41</v>
      </c>
      <c r="O318" s="25" t="n"/>
      <c r="P318" s="25" t="n"/>
      <c r="Q318" s="25" t="n"/>
      <c r="R318" s="25" t="n"/>
      <c r="S318" s="25" t="n"/>
      <c r="T318" s="25" t="n"/>
      <c r="U318" s="25" t="n">
        <v>0</v>
      </c>
      <c r="V318" s="25" t="n">
        <v>0</v>
      </c>
      <c r="W318" s="25" t="n">
        <v>0</v>
      </c>
      <c r="X318" s="25" t="n">
        <v>0</v>
      </c>
      <c r="Y318" s="25" t="n">
        <v>4632.41</v>
      </c>
      <c r="Z318" s="25" t="n">
        <v>0</v>
      </c>
      <c r="AA318" s="25" t="n">
        <v>0</v>
      </c>
      <c r="AB318" s="25" t="n">
        <v>0</v>
      </c>
      <c r="AC318" s="25" t="n">
        <v>0</v>
      </c>
      <c r="AD318" s="25" t="n">
        <v>0</v>
      </c>
      <c r="AE318" s="25" t="n">
        <v>0</v>
      </c>
      <c r="AF318" s="25" t="n">
        <v>0</v>
      </c>
      <c r="AG318" s="25" t="n">
        <v>0</v>
      </c>
      <c r="AH318" s="25" t="n">
        <v>1</v>
      </c>
      <c r="AI318" s="25" t="inlineStr">
        <is>
          <t>A</t>
        </is>
      </c>
      <c r="AJ318" s="25" t="n">
        <v>1</v>
      </c>
      <c r="AK318" s="25" t="n">
        <v>4632.41</v>
      </c>
      <c r="AL318" s="26" t="n">
        <v>46065.59444444445</v>
      </c>
      <c r="AM318" s="26" t="n">
        <v>46065.59444444445</v>
      </c>
      <c r="AN318" s="25" t="inlineStr">
        <is>
          <t>WHATSAPP</t>
        </is>
      </c>
      <c r="AO318" s="25" t="inlineStr">
        <is>
          <t>PERDA | Cliente pagou muito alto em impostos para receber o pedido e não tem interesse em manter a parceria</t>
        </is>
      </c>
      <c r="AP318" s="27">
        <f>IF(AH318="","",IF(AH318=0,"PROSPECT",IF(AH318=1,"NOVO",IF(AH318&lt;=3,"EM DESENVOLVIMENTO",IF(AH318&lt;=6,"RECORRENTE","FIDELIZADO")))))</f>
        <v/>
      </c>
      <c r="AQ318" s="27">
        <f>IF(AJ318=0,0,IFERROR(SUM(U318:AF318)/AJ318,0))</f>
        <v/>
      </c>
      <c r="AS318" s="0" t="inlineStr">
        <is>
          <t>Carteira FEV/26 + Atend FEV/26</t>
        </is>
      </c>
    </row>
    <row r="319" ht="14.25" customHeight="1" s="16">
      <c r="A319" s="25" t="inlineStr">
        <is>
          <t>GAN NUTRICAO</t>
        </is>
      </c>
      <c r="B319" s="25" t="inlineStr">
        <is>
          <t>34313930000117</t>
        </is>
      </c>
      <c r="C319" s="25" t="inlineStr">
        <is>
          <t>GAN NUTRICAO LTDA</t>
        </is>
      </c>
      <c r="D319" s="25" t="inlineStr">
        <is>
          <t>SC</t>
        </is>
      </c>
      <c r="E319" s="25" t="inlineStr">
        <is>
          <t>BRACO DO NORTE</t>
        </is>
      </c>
      <c r="F319" s="25" t="inlineStr">
        <is>
          <t>fitlandbracodonorte@gmail.com</t>
        </is>
      </c>
      <c r="G319" s="25" t="inlineStr">
        <is>
          <t>+55 (48) 8855-3393 | +55 (48) 98862-4970 (TAMARA)</t>
        </is>
      </c>
      <c r="H319" s="25" t="inlineStr">
        <is>
          <t>30/09/2025</t>
        </is>
      </c>
      <c r="I319" s="25" t="inlineStr">
        <is>
          <t>[Rede] Fit Land</t>
        </is>
      </c>
      <c r="J319" s="25" t="inlineStr">
        <is>
          <t>JULIO GADRET</t>
        </is>
      </c>
      <c r="K319" s="25" t="inlineStr">
        <is>
          <t>Julio  Gadret</t>
        </is>
      </c>
      <c r="L319" s="25" t="n">
        <v>137</v>
      </c>
      <c r="M319" s="25" t="inlineStr">
        <is>
          <t>01/10/2025</t>
        </is>
      </c>
      <c r="N319" s="25" t="n">
        <v>1593.58</v>
      </c>
      <c r="O319" s="25" t="n"/>
      <c r="P319" s="25" t="n"/>
      <c r="Q319" s="25" t="n"/>
      <c r="R319" s="25" t="n"/>
      <c r="S319" s="25" t="n"/>
      <c r="T319" s="25" t="n"/>
      <c r="U319" s="25" t="n">
        <v>0</v>
      </c>
      <c r="V319" s="25" t="n">
        <v>0</v>
      </c>
      <c r="W319" s="25" t="n">
        <v>0</v>
      </c>
      <c r="X319" s="25" t="n">
        <v>0</v>
      </c>
      <c r="Y319" s="25" t="n">
        <v>0</v>
      </c>
      <c r="Z319" s="25" t="n">
        <v>0</v>
      </c>
      <c r="AA319" s="25" t="n">
        <v>1593.58</v>
      </c>
      <c r="AB319" s="25" t="n">
        <v>1593.58</v>
      </c>
      <c r="AC319" s="25" t="n">
        <v>0</v>
      </c>
      <c r="AD319" s="25" t="n">
        <v>0</v>
      </c>
      <c r="AE319" s="25" t="n">
        <v>0</v>
      </c>
      <c r="AF319" s="25" t="n">
        <v>0</v>
      </c>
      <c r="AG319" s="25" t="n">
        <v>0</v>
      </c>
      <c r="AH319" s="25" t="n">
        <v>1</v>
      </c>
      <c r="AI319" s="25" t="inlineStr">
        <is>
          <t>B</t>
        </is>
      </c>
      <c r="AJ319" s="25" t="n">
        <v>2</v>
      </c>
      <c r="AK319" s="25" t="n">
        <v>3187.16</v>
      </c>
      <c r="AL319" s="26" t="n">
        <v>45992.50318287037</v>
      </c>
      <c r="AM319" s="26" t="n">
        <v>45992.50318287037</v>
      </c>
      <c r="AN319" s="25" t="inlineStr">
        <is>
          <t>WHATSAPP</t>
        </is>
      </c>
      <c r="AO319" s="25" t="inlineStr">
        <is>
          <t>FITLAND - GABRIEL - SC</t>
        </is>
      </c>
      <c r="AP319" s="27">
        <f>IF(AH319="","",IF(AH319=0,"PROSPECT",IF(AH319=1,"NOVO",IF(AH319&lt;=3,"EM DESENVOLVIMENTO",IF(AH319&lt;=6,"RECORRENTE","FIDELIZADO")))))</f>
        <v/>
      </c>
      <c r="AQ319" s="27">
        <f>IF(AJ319=0,0,IFERROR(SUM(U319:AF319)/AJ319,0))</f>
        <v/>
      </c>
      <c r="AS319" s="0" t="inlineStr">
        <is>
          <t>Carteira FEV/26</t>
        </is>
      </c>
    </row>
    <row r="320" ht="14.25" customHeight="1" s="16">
      <c r="A320" s="25" t="inlineStr">
        <is>
          <t>GC NATURALIS</t>
        </is>
      </c>
      <c r="B320" s="25" t="inlineStr">
        <is>
          <t>54801197000197</t>
        </is>
      </c>
      <c r="C320" s="25" t="inlineStr">
        <is>
          <t>GC NATURALIS LTDA</t>
        </is>
      </c>
      <c r="D320" s="25" t="inlineStr">
        <is>
          <t>SC</t>
        </is>
      </c>
      <c r="E320" s="25" t="inlineStr">
        <is>
          <t>FLORIANOPOLIS</t>
        </is>
      </c>
      <c r="F320" s="25" t="inlineStr">
        <is>
          <t>gabrielefitland@gmail.com</t>
        </is>
      </c>
      <c r="G320" s="25" t="inlineStr">
        <is>
          <t>+55 (48) 9613-0715</t>
        </is>
      </c>
      <c r="H320" s="25" t="inlineStr">
        <is>
          <t>08/10/2024</t>
        </is>
      </c>
      <c r="I320" s="25" t="inlineStr">
        <is>
          <t>[Rede] Fit Land</t>
        </is>
      </c>
      <c r="J320" s="25" t="inlineStr">
        <is>
          <t>LARISSA PADILHA</t>
        </is>
      </c>
      <c r="K320" s="25" t="inlineStr">
        <is>
          <t>Larissa Padilha</t>
        </is>
      </c>
      <c r="L320" s="25" t="n">
        <v>230</v>
      </c>
      <c r="M320" s="25" t="inlineStr">
        <is>
          <t>30/06/2025</t>
        </is>
      </c>
      <c r="N320" s="25" t="n">
        <v>1802.56</v>
      </c>
      <c r="O320" s="25" t="n">
        <v>1</v>
      </c>
      <c r="P320" s="25" t="inlineStr">
        <is>
          <t>Sim</t>
        </is>
      </c>
      <c r="Q320" s="25" t="n">
        <v>16</v>
      </c>
      <c r="R320" s="25" t="n">
        <v>10</v>
      </c>
      <c r="S320" s="25" t="n">
        <v>1802.56</v>
      </c>
      <c r="T320" s="25" t="inlineStr">
        <is>
          <t>COMPRA B2B</t>
        </is>
      </c>
      <c r="U320" s="25" t="n">
        <v>0</v>
      </c>
      <c r="V320" s="25" t="n">
        <v>0</v>
      </c>
      <c r="W320" s="25" t="n">
        <v>678.03</v>
      </c>
      <c r="X320" s="25" t="n">
        <v>1802.56</v>
      </c>
      <c r="Y320" s="25" t="n">
        <v>0</v>
      </c>
      <c r="Z320" s="25" t="n">
        <v>0</v>
      </c>
      <c r="AA320" s="25" t="n">
        <v>0</v>
      </c>
      <c r="AB320" s="25" t="n">
        <v>0</v>
      </c>
      <c r="AC320" s="25" t="n">
        <v>0</v>
      </c>
      <c r="AD320" s="25" t="n">
        <v>0</v>
      </c>
      <c r="AE320" s="25" t="n">
        <v>0</v>
      </c>
      <c r="AF320" s="25" t="n">
        <v>0</v>
      </c>
      <c r="AG320" s="25" t="n">
        <v>34</v>
      </c>
      <c r="AH320" s="25" t="n">
        <v>2</v>
      </c>
      <c r="AI320" s="25" t="inlineStr">
        <is>
          <t>A</t>
        </is>
      </c>
      <c r="AJ320" s="25" t="n">
        <v>2</v>
      </c>
      <c r="AK320" s="25" t="n">
        <v>1240.3</v>
      </c>
      <c r="AL320" s="26" t="n">
        <v>45958.42569444444</v>
      </c>
      <c r="AM320" s="26" t="n">
        <v>45958.42569444444</v>
      </c>
      <c r="AN320" s="25" t="inlineStr">
        <is>
          <t>WHATSAPP</t>
        </is>
      </c>
      <c r="AO320" s="25" t="inlineStr">
        <is>
          <t>NUTRIÇÃO | Gabi eu acho que não tem mais limite com a gente, mas vamos tentar reativar ela</t>
        </is>
      </c>
      <c r="AP320" s="27">
        <f>IF(AH320="","",IF(AH320=0,"PROSPECT",IF(AH320=1,"NOVO",IF(AH320&lt;=3,"EM DESENVOLVIMENTO",IF(AH320&lt;=6,"RECORRENTE","FIDELIZADO")))))</f>
        <v/>
      </c>
      <c r="AQ320" s="27">
        <f>IF(AJ320=0,0,IFERROR(SUM(U320:AF320)/AJ320,0))</f>
        <v/>
      </c>
      <c r="AS320" s="0" t="inlineStr">
        <is>
          <t>Carteira FEV/26</t>
        </is>
      </c>
    </row>
    <row r="321" ht="14.25" customHeight="1" s="16">
      <c r="A321" s="25" t="inlineStr">
        <is>
          <t>GEISIANE RODRIGUES MACHADO</t>
        </is>
      </c>
      <c r="B321" s="25" t="inlineStr">
        <is>
          <t>50620234000100</t>
        </is>
      </c>
      <c r="C321" s="25" t="inlineStr">
        <is>
          <t>50.620.234 GEISIANE RODRIGUES MACHADO</t>
        </is>
      </c>
      <c r="D321" s="25" t="inlineStr">
        <is>
          <t>MA</t>
        </is>
      </c>
      <c r="E321" s="25" t="inlineStr">
        <is>
          <t>CURURUPU</t>
        </is>
      </c>
      <c r="F321" s="25" t="inlineStr">
        <is>
          <t>machadogeisy88@gmail.com</t>
        </is>
      </c>
      <c r="G321" s="25" t="inlineStr">
        <is>
          <t>+55 (98) 8492-1119</t>
        </is>
      </c>
      <c r="H321" s="25" t="inlineStr">
        <is>
          <t>18/03/2025</t>
        </is>
      </c>
      <c r="I321" s="25" t="n"/>
      <c r="J321" s="25" t="inlineStr">
        <is>
          <t>DAIANE STAVICKI</t>
        </is>
      </c>
      <c r="K321" s="25" t="inlineStr">
        <is>
          <t>Central - Daiane</t>
        </is>
      </c>
      <c r="L321" s="25" t="n">
        <v>328</v>
      </c>
      <c r="M321" s="25" t="inlineStr">
        <is>
          <t>24/03/2025</t>
        </is>
      </c>
      <c r="N321" s="25" t="n">
        <v>1377.03</v>
      </c>
      <c r="O321" s="25" t="n">
        <v>17</v>
      </c>
      <c r="P321" s="25" t="inlineStr">
        <is>
          <t>Sim</t>
        </is>
      </c>
      <c r="Q321" s="25" t="n">
        <v>155</v>
      </c>
      <c r="R321" s="25" t="n">
        <v>19</v>
      </c>
      <c r="S321" s="25" t="n">
        <v>1377.03</v>
      </c>
      <c r="T321" s="25" t="inlineStr">
        <is>
          <t>COMPRA B2B</t>
        </is>
      </c>
      <c r="U321" s="25" t="n">
        <v>1377.03</v>
      </c>
      <c r="V321" s="25" t="n">
        <v>0</v>
      </c>
      <c r="W321" s="25" t="n">
        <v>0</v>
      </c>
      <c r="X321" s="25" t="n">
        <v>0</v>
      </c>
      <c r="Y321" s="25" t="n">
        <v>0</v>
      </c>
      <c r="Z321" s="25" t="n">
        <v>0</v>
      </c>
      <c r="AA321" s="25" t="n">
        <v>0</v>
      </c>
      <c r="AB321" s="25" t="n">
        <v>0</v>
      </c>
      <c r="AC321" s="25" t="n">
        <v>0</v>
      </c>
      <c r="AD321" s="25" t="n">
        <v>0</v>
      </c>
      <c r="AE321" s="25" t="n">
        <v>0</v>
      </c>
      <c r="AF321" s="25" t="n">
        <v>0</v>
      </c>
      <c r="AG321" s="25" t="n">
        <v>0</v>
      </c>
      <c r="AH321" s="25" t="n">
        <v>1</v>
      </c>
      <c r="AI321" s="25" t="inlineStr">
        <is>
          <t>B</t>
        </is>
      </c>
      <c r="AJ321" s="25" t="n">
        <v>2</v>
      </c>
      <c r="AK321" s="25" t="n">
        <v>2754.06</v>
      </c>
      <c r="AL321" s="26" t="n">
        <v>46036.70555555556</v>
      </c>
      <c r="AM321" s="26" t="n">
        <v>46036.70555555556</v>
      </c>
      <c r="AN321" s="25" t="inlineStr">
        <is>
          <t>WHATSAPP</t>
        </is>
      </c>
      <c r="AO321" s="25" t="inlineStr">
        <is>
          <t>RECOMPRA | Nova abordagem - Linha Disney</t>
        </is>
      </c>
      <c r="AP321" s="27">
        <f>IF(AH321="","",IF(AH321=0,"PROSPECT",IF(AH321=1,"NOVO",IF(AH321&lt;=3,"EM DESENVOLVIMENTO",IF(AH321&lt;=6,"RECORRENTE","FIDELIZADO")))))</f>
        <v/>
      </c>
      <c r="AQ321" s="27">
        <f>IF(AJ321=0,0,IFERROR(SUM(U321:AF321)/AJ321,0))</f>
        <v/>
      </c>
      <c r="AS321" s="0" t="inlineStr">
        <is>
          <t>Carteira FEV/26</t>
        </is>
      </c>
    </row>
    <row r="322" ht="14.25" customHeight="1" s="16">
      <c r="A322" s="25" t="inlineStr">
        <is>
          <t>GRANO &amp; VITA</t>
        </is>
      </c>
      <c r="B322" s="25" t="inlineStr">
        <is>
          <t>21757527000135</t>
        </is>
      </c>
      <c r="C322" s="25" t="inlineStr">
        <is>
          <t>LUMAFER PRODUTOS NATURAIS E ORGANICOS LTDA</t>
        </is>
      </c>
      <c r="D322" s="25" t="inlineStr">
        <is>
          <t>PR</t>
        </is>
      </c>
      <c r="E322" s="25" t="inlineStr">
        <is>
          <t>CURITIBA</t>
        </is>
      </c>
      <c r="F322" s="25" t="inlineStr">
        <is>
          <t>fernandafuks@hotmail.com</t>
        </is>
      </c>
      <c r="G322" s="25" t="inlineStr">
        <is>
          <t>+55 (41) 9844-2945</t>
        </is>
      </c>
      <c r="H322" s="25" t="inlineStr">
        <is>
          <t>08/10/2024</t>
        </is>
      </c>
      <c r="I322" s="25" t="n"/>
      <c r="J322" s="25" t="inlineStr">
        <is>
          <t>LARISSA PADILHA</t>
        </is>
      </c>
      <c r="K322" s="25" t="inlineStr">
        <is>
          <t>Larissa Padilha</t>
        </is>
      </c>
      <c r="L322" s="25" t="n">
        <v>254</v>
      </c>
      <c r="M322" s="25" t="inlineStr">
        <is>
          <t>06/06/2025</t>
        </is>
      </c>
      <c r="N322" s="25" t="n">
        <v>674.11</v>
      </c>
      <c r="O322" s="25" t="n">
        <v>3</v>
      </c>
      <c r="P322" s="25" t="inlineStr">
        <is>
          <t>Sim</t>
        </is>
      </c>
      <c r="Q322" s="25" t="n">
        <v>65</v>
      </c>
      <c r="R322" s="25" t="n">
        <v>12</v>
      </c>
      <c r="S322" s="25" t="n">
        <v>674.11</v>
      </c>
      <c r="T322" s="25" t="inlineStr">
        <is>
          <t>COMPRA B2B</t>
        </is>
      </c>
      <c r="U322" s="25" t="n">
        <v>0</v>
      </c>
      <c r="V322" s="25" t="n">
        <v>0</v>
      </c>
      <c r="W322" s="25" t="n">
        <v>0</v>
      </c>
      <c r="X322" s="25" t="n">
        <v>674.11</v>
      </c>
      <c r="Y322" s="25" t="n">
        <v>0</v>
      </c>
      <c r="Z322" s="25" t="n">
        <v>0</v>
      </c>
      <c r="AA322" s="25" t="n">
        <v>0</v>
      </c>
      <c r="AB322" s="25" t="n">
        <v>0</v>
      </c>
      <c r="AC322" s="25" t="n">
        <v>0</v>
      </c>
      <c r="AD322" s="25" t="n">
        <v>0</v>
      </c>
      <c r="AE322" s="25" t="n">
        <v>0</v>
      </c>
      <c r="AF322" s="25" t="n">
        <v>0</v>
      </c>
      <c r="AG322" s="25" t="n">
        <v>0</v>
      </c>
      <c r="AH322" s="25" t="n">
        <v>1</v>
      </c>
      <c r="AI322" s="25" t="inlineStr">
        <is>
          <t>C</t>
        </is>
      </c>
      <c r="AJ322" s="25" t="n">
        <v>1</v>
      </c>
      <c r="AK322" s="25" t="n">
        <v>674.11</v>
      </c>
      <c r="AL322" s="26" t="n">
        <v>45834.73693287037</v>
      </c>
      <c r="AM322" s="26" t="n">
        <v>45834.73693287037</v>
      </c>
      <c r="AN322" s="25" t="inlineStr">
        <is>
          <t>WHATSAPP</t>
        </is>
      </c>
      <c r="AO322" s="25" t="inlineStr">
        <is>
          <t>SOLICITAÇÃO DE BOLETO | FERNANDA - GRANO &amp; VITA</t>
        </is>
      </c>
      <c r="AP322" s="27">
        <f>IF(AH322="","",IF(AH322=0,"PROSPECT",IF(AH322=1,"NOVO",IF(AH322&lt;=3,"EM DESENVOLVIMENTO",IF(AH322&lt;=6,"RECORRENTE","FIDELIZADO")))))</f>
        <v/>
      </c>
      <c r="AQ322" s="27">
        <f>IF(AJ322=0,0,IFERROR(SUM(U322:AF322)/AJ322,0))</f>
        <v/>
      </c>
      <c r="AS322" s="0" t="inlineStr">
        <is>
          <t>Carteira FEV/26</t>
        </is>
      </c>
    </row>
    <row r="323" ht="14.25" customHeight="1" s="16">
      <c r="A323" s="25" t="inlineStr">
        <is>
          <t>GRANUM CAFE</t>
        </is>
      </c>
      <c r="B323" s="25" t="inlineStr">
        <is>
          <t>18010232000196</t>
        </is>
      </c>
      <c r="C323" s="25" t="inlineStr">
        <is>
          <t>GRANUM CAFE LTDA.</t>
        </is>
      </c>
      <c r="D323" s="25" t="inlineStr">
        <is>
          <t>SP</t>
        </is>
      </c>
      <c r="E323" s="25" t="inlineStr">
        <is>
          <t>SAO PAULO</t>
        </is>
      </c>
      <c r="F323" s="25" t="inlineStr">
        <is>
          <t>1@1.com.br</t>
        </is>
      </c>
      <c r="G323" s="25" t="inlineStr">
        <is>
          <t>+55 (11) 99778-0369</t>
        </is>
      </c>
      <c r="H323" s="25" t="inlineStr">
        <is>
          <t>05/08/2025</t>
        </is>
      </c>
      <c r="I323" s="25" t="n"/>
      <c r="J323" s="25" t="inlineStr">
        <is>
          <t>MANU DITZEL</t>
        </is>
      </c>
      <c r="K323" s="25" t="inlineStr">
        <is>
          <t>Larissa Padilha</t>
        </is>
      </c>
      <c r="L323" s="25" t="n">
        <v>89</v>
      </c>
      <c r="M323" s="25" t="inlineStr">
        <is>
          <t>18/11/2025</t>
        </is>
      </c>
      <c r="N323" s="25" t="n">
        <v>774</v>
      </c>
      <c r="O323" s="25" t="n"/>
      <c r="P323" s="25" t="n"/>
      <c r="Q323" s="25" t="n"/>
      <c r="R323" s="25" t="n"/>
      <c r="S323" s="25" t="n"/>
      <c r="T323" s="25" t="n"/>
      <c r="U323" s="25" t="n">
        <v>0</v>
      </c>
      <c r="V323" s="25" t="n">
        <v>0</v>
      </c>
      <c r="W323" s="25" t="n">
        <v>0</v>
      </c>
      <c r="X323" s="25" t="n">
        <v>0</v>
      </c>
      <c r="Y323" s="25" t="n">
        <v>0</v>
      </c>
      <c r="Z323" s="25" t="n">
        <v>0</v>
      </c>
      <c r="AA323" s="25" t="n">
        <v>1134</v>
      </c>
      <c r="AB323" s="25" t="n">
        <v>0</v>
      </c>
      <c r="AC323" s="25" t="n">
        <v>774</v>
      </c>
      <c r="AD323" s="25" t="n">
        <v>0</v>
      </c>
      <c r="AE323" s="25" t="n">
        <v>0</v>
      </c>
      <c r="AF323" s="25" t="n">
        <v>0</v>
      </c>
      <c r="AG323" s="25" t="n">
        <v>68</v>
      </c>
      <c r="AH323" s="25" t="n">
        <v>1</v>
      </c>
      <c r="AI323" s="25" t="inlineStr">
        <is>
          <t>B</t>
        </is>
      </c>
      <c r="AJ323" s="25" t="n">
        <v>2</v>
      </c>
      <c r="AK323" s="25" t="n">
        <v>1908</v>
      </c>
      <c r="AL323" s="26" t="n">
        <v>46058.66180555556</v>
      </c>
      <c r="AM323" s="26" t="n">
        <v>46058.66180555556</v>
      </c>
      <c r="AN323" s="25" t="inlineStr">
        <is>
          <t>WHATSAPP</t>
        </is>
      </c>
      <c r="AO323" s="25" t="inlineStr">
        <is>
          <t>SUPORTE | Fez pedido pelo outro CNPJ</t>
        </is>
      </c>
      <c r="AP323" s="27">
        <f>IF(AH323="","",IF(AH323=0,"PROSPECT",IF(AH323=1,"NOVO",IF(AH323&lt;=3,"EM DESENVOLVIMENTO",IF(AH323&lt;=6,"RECORRENTE","FIDELIZADO")))))</f>
        <v/>
      </c>
      <c r="AQ323" s="27">
        <f>IF(AJ323=0,0,IFERROR(SUM(U323:AF323)/AJ323,0))</f>
        <v/>
      </c>
      <c r="AS323" s="0" t="inlineStr">
        <is>
          <t>Carteira FEV/26 + Atend FEV/26</t>
        </is>
      </c>
    </row>
    <row r="324" ht="14.25" customHeight="1" s="16">
      <c r="A324" s="25" t="inlineStr">
        <is>
          <t>GRAO E VIDA TABOADO</t>
        </is>
      </c>
      <c r="B324" s="25" t="inlineStr">
        <is>
          <t>49620132000105</t>
        </is>
      </c>
      <c r="C324" s="25" t="inlineStr">
        <is>
          <t>49.620.132 EIGLA MOREIRA PORATO</t>
        </is>
      </c>
      <c r="D324" s="25" t="inlineStr">
        <is>
          <t>MS</t>
        </is>
      </c>
      <c r="E324" s="25" t="inlineStr">
        <is>
          <t>APARECIDA DO TABOADO</t>
        </is>
      </c>
      <c r="F324" s="25" t="inlineStr">
        <is>
          <t>Graoevidataboadomp@gmail.com</t>
        </is>
      </c>
      <c r="G324" s="25" t="inlineStr">
        <is>
          <t>+55 (17) 99756-2600</t>
        </is>
      </c>
      <c r="H324" s="25" t="inlineStr">
        <is>
          <t>08/10/2024</t>
        </is>
      </c>
      <c r="I324" s="25" t="n"/>
      <c r="J324" s="25" t="inlineStr">
        <is>
          <t>LARISSA PADILHA</t>
        </is>
      </c>
      <c r="K324" s="25" t="inlineStr">
        <is>
          <t>Larissa Padilha</t>
        </is>
      </c>
      <c r="L324" s="25" t="n">
        <v>103</v>
      </c>
      <c r="M324" s="25" t="inlineStr">
        <is>
          <t>04/11/2025</t>
        </is>
      </c>
      <c r="N324" s="25" t="n">
        <v>2031.71</v>
      </c>
      <c r="O324" s="25" t="n">
        <v>3</v>
      </c>
      <c r="P324" s="25" t="inlineStr">
        <is>
          <t>Sim</t>
        </is>
      </c>
      <c r="Q324" s="25" t="n">
        <v>36</v>
      </c>
      <c r="R324" s="25" t="n">
        <v>19</v>
      </c>
      <c r="S324" s="25" t="n">
        <v>4248.73</v>
      </c>
      <c r="T324" s="25" t="inlineStr">
        <is>
          <t>COMPRA B2B</t>
        </is>
      </c>
      <c r="U324" s="25" t="n">
        <v>0</v>
      </c>
      <c r="V324" s="25" t="n">
        <v>0</v>
      </c>
      <c r="W324" s="25" t="n">
        <v>0</v>
      </c>
      <c r="X324" s="25" t="n">
        <v>0</v>
      </c>
      <c r="Y324" s="25" t="n">
        <v>0</v>
      </c>
      <c r="Z324" s="25" t="n">
        <v>2217.02</v>
      </c>
      <c r="AA324" s="25" t="n">
        <v>0</v>
      </c>
      <c r="AB324" s="25" t="n">
        <v>0</v>
      </c>
      <c r="AC324" s="25" t="n">
        <v>2031.71</v>
      </c>
      <c r="AD324" s="25" t="n">
        <v>0</v>
      </c>
      <c r="AE324" s="25" t="n">
        <v>0</v>
      </c>
      <c r="AF324" s="25" t="n">
        <v>0</v>
      </c>
      <c r="AG324" s="25" t="n">
        <v>84</v>
      </c>
      <c r="AH324" s="25" t="n">
        <v>1</v>
      </c>
      <c r="AI324" s="25" t="inlineStr">
        <is>
          <t>A</t>
        </is>
      </c>
      <c r="AJ324" s="25" t="n">
        <v>2</v>
      </c>
      <c r="AK324" s="25" t="n">
        <v>4248.73</v>
      </c>
      <c r="AL324" s="26" t="n">
        <v>46065.42013888889</v>
      </c>
      <c r="AM324" s="26" t="n">
        <v>46065.42013888889</v>
      </c>
      <c r="AN324" s="25" t="inlineStr">
        <is>
          <t>WHATSAPP</t>
        </is>
      </c>
      <c r="AO324" s="25" t="inlineStr">
        <is>
          <t>NUTRIÇÃO | Envio da campanha do mês</t>
        </is>
      </c>
      <c r="AP324" s="27">
        <f>IF(AH324="","",IF(AH324=0,"PROSPECT",IF(AH324=1,"NOVO",IF(AH324&lt;=3,"EM DESENVOLVIMENTO",IF(AH324&lt;=6,"RECORRENTE","FIDELIZADO")))))</f>
        <v/>
      </c>
      <c r="AQ324" s="27">
        <f>IF(AJ324=0,0,IFERROR(SUM(U324:AF324)/AJ324,0))</f>
        <v/>
      </c>
      <c r="AR324" s="15" t="inlineStr">
        <is>
          <t>⚠️ DDD(17)=SP≠MS</t>
        </is>
      </c>
      <c r="AS324" s="0" t="inlineStr">
        <is>
          <t>Carteira FEV/26 + Atend FEV/26</t>
        </is>
      </c>
    </row>
    <row r="325" ht="14.25" customHeight="1" s="16">
      <c r="A325" s="25" t="inlineStr">
        <is>
          <t xml:space="preserve">GRÃO SAÚDE </t>
        </is>
      </c>
      <c r="B325" s="25" t="inlineStr">
        <is>
          <t>41610352000146</t>
        </is>
      </c>
      <c r="C325" s="25" t="inlineStr">
        <is>
          <t>TAMIRES TRINDADE DA SILVA</t>
        </is>
      </c>
      <c r="D325" s="25" t="inlineStr">
        <is>
          <t>BA</t>
        </is>
      </c>
      <c r="E325" s="25" t="inlineStr">
        <is>
          <t>RIO DO PIRES</t>
        </is>
      </c>
      <c r="F325" s="25" t="inlineStr">
        <is>
          <t>tamirestrindade492@gmail.com</t>
        </is>
      </c>
      <c r="G325" s="25" t="inlineStr">
        <is>
          <t>+55 (11) 98141-8684</t>
        </is>
      </c>
      <c r="H325" s="25" t="inlineStr">
        <is>
          <t>08/10/2024</t>
        </is>
      </c>
      <c r="I325" s="25" t="n"/>
      <c r="J325" s="25" t="inlineStr">
        <is>
          <t>LARISSA PADILHA</t>
        </is>
      </c>
      <c r="K325" s="25" t="inlineStr">
        <is>
          <t>Helder Brunkow</t>
        </is>
      </c>
      <c r="L325" s="25" t="n">
        <v>285</v>
      </c>
      <c r="M325" s="25" t="inlineStr">
        <is>
          <t>06/05/2025</t>
        </is>
      </c>
      <c r="N325" s="25" t="n">
        <v>670.83</v>
      </c>
      <c r="O325" s="25" t="n"/>
      <c r="P325" s="25" t="n"/>
      <c r="Q325" s="25" t="n"/>
      <c r="R325" s="25" t="n"/>
      <c r="S325" s="25" t="n"/>
      <c r="T325" s="25" t="n"/>
      <c r="U325" s="25" t="n">
        <v>0</v>
      </c>
      <c r="V325" s="25" t="n">
        <v>0</v>
      </c>
      <c r="W325" s="25" t="n">
        <v>670.83</v>
      </c>
      <c r="X325" s="25" t="n">
        <v>0</v>
      </c>
      <c r="Y325" s="25" t="n">
        <v>0</v>
      </c>
      <c r="Z325" s="25" t="n">
        <v>0</v>
      </c>
      <c r="AA325" s="25" t="n">
        <v>0</v>
      </c>
      <c r="AB325" s="25" t="n">
        <v>0</v>
      </c>
      <c r="AC325" s="25" t="n">
        <v>0</v>
      </c>
      <c r="AD325" s="25" t="n">
        <v>0</v>
      </c>
      <c r="AE325" s="25" t="n">
        <v>0</v>
      </c>
      <c r="AF325" s="25" t="n">
        <v>0</v>
      </c>
      <c r="AG325" s="25" t="n">
        <v>0</v>
      </c>
      <c r="AH325" s="25" t="n">
        <v>1</v>
      </c>
      <c r="AI325" s="25" t="inlineStr">
        <is>
          <t>C</t>
        </is>
      </c>
      <c r="AJ325" s="25" t="n">
        <v>1</v>
      </c>
      <c r="AK325" s="25" t="n">
        <v>670.83</v>
      </c>
      <c r="AL325" s="26" t="n">
        <v>46036.68819444445</v>
      </c>
      <c r="AM325" s="26" t="n">
        <v>46036.68819444445</v>
      </c>
      <c r="AN325" s="25" t="inlineStr">
        <is>
          <t>WHATSAPP</t>
        </is>
      </c>
      <c r="AO325" s="25" t="inlineStr">
        <is>
          <t>RECOMPRA | Nova abordagem - Linha Disney</t>
        </is>
      </c>
      <c r="AP325" s="27">
        <f>IF(AH325="","",IF(AH325=0,"PROSPECT",IF(AH325=1,"NOVO",IF(AH325&lt;=3,"EM DESENVOLVIMENTO",IF(AH325&lt;=6,"RECORRENTE","FIDELIZADO")))))</f>
        <v/>
      </c>
      <c r="AQ325" s="27">
        <f>IF(AJ325=0,0,IFERROR(SUM(U325:AF325)/AJ325,0))</f>
        <v/>
      </c>
      <c r="AR325" s="15" t="inlineStr">
        <is>
          <t>⚠️ DDD(11)=SP≠BA</t>
        </is>
      </c>
      <c r="AS325" s="0" t="inlineStr">
        <is>
          <t>Carteira FEV/26</t>
        </is>
      </c>
    </row>
    <row r="326" ht="14.25" customHeight="1" s="16">
      <c r="A326" s="25" t="inlineStr">
        <is>
          <t>GS DA GAMA COMPRE MAIS MINI MERCADO LTDA</t>
        </is>
      </c>
      <c r="B326" s="25" t="inlineStr">
        <is>
          <t>33589783000140</t>
        </is>
      </c>
      <c r="C326" s="25" t="inlineStr">
        <is>
          <t>GS DA GAMA COMPRE MAIS MINI MERCADO LTDA</t>
        </is>
      </c>
      <c r="D326" s="25" t="inlineStr">
        <is>
          <t>SP</t>
        </is>
      </c>
      <c r="E326" s="25" t="inlineStr">
        <is>
          <t>RIBEIRAO PRETO</t>
        </is>
      </c>
      <c r="F326" s="25" t="inlineStr">
        <is>
          <t>compras@compremaisminimercado.com.br</t>
        </is>
      </c>
      <c r="G326" s="25" t="inlineStr">
        <is>
          <t>+55 (16) 99610-0364</t>
        </is>
      </c>
      <c r="H326" s="25" t="inlineStr">
        <is>
          <t>09/06/2025</t>
        </is>
      </c>
      <c r="I326" s="25" t="n"/>
      <c r="J326" s="25" t="inlineStr">
        <is>
          <t>MANU DITZEL</t>
        </is>
      </c>
      <c r="K326" s="25" t="inlineStr">
        <is>
          <t>Manu Ditzel</t>
        </is>
      </c>
      <c r="L326" s="25" t="n">
        <v>201</v>
      </c>
      <c r="M326" s="25" t="inlineStr">
        <is>
          <t>29/07/2025</t>
        </is>
      </c>
      <c r="N326" s="25" t="n">
        <v>2062.63</v>
      </c>
      <c r="O326" s="25" t="n"/>
      <c r="P326" s="25" t="n"/>
      <c r="Q326" s="25" t="n"/>
      <c r="R326" s="25" t="n"/>
      <c r="S326" s="25" t="n"/>
      <c r="T326" s="25" t="n"/>
      <c r="U326" s="25" t="n">
        <v>0</v>
      </c>
      <c r="V326" s="25" t="n">
        <v>0</v>
      </c>
      <c r="W326" s="25" t="n">
        <v>0</v>
      </c>
      <c r="X326" s="25" t="n">
        <v>0</v>
      </c>
      <c r="Y326" s="25" t="n">
        <v>2062.63</v>
      </c>
      <c r="Z326" s="25" t="n">
        <v>0</v>
      </c>
      <c r="AA326" s="25" t="n">
        <v>0</v>
      </c>
      <c r="AB326" s="25" t="n">
        <v>0</v>
      </c>
      <c r="AC326" s="25" t="n">
        <v>0</v>
      </c>
      <c r="AD326" s="25" t="n">
        <v>0</v>
      </c>
      <c r="AE326" s="25" t="n">
        <v>0</v>
      </c>
      <c r="AF326" s="25" t="n">
        <v>0</v>
      </c>
      <c r="AG326" s="25" t="n">
        <v>0</v>
      </c>
      <c r="AH326" s="25" t="n">
        <v>1</v>
      </c>
      <c r="AI326" s="25" t="inlineStr">
        <is>
          <t>B</t>
        </is>
      </c>
      <c r="AJ326" s="25" t="n">
        <v>1</v>
      </c>
      <c r="AK326" s="25" t="n">
        <v>2062.63</v>
      </c>
      <c r="AL326" s="26" t="n">
        <v>46036.63333333333</v>
      </c>
      <c r="AM326" s="26" t="n">
        <v>46036.63333333333</v>
      </c>
      <c r="AN326" s="25" t="inlineStr">
        <is>
          <t>WHATSAPP</t>
        </is>
      </c>
      <c r="AO326" s="25" t="inlineStr">
        <is>
          <t>SUPORTE | DEVEDOR</t>
        </is>
      </c>
      <c r="AP326" s="27">
        <f>IF(AH326="","",IF(AH326=0,"PROSPECT",IF(AH326=1,"NOVO",IF(AH326&lt;=3,"EM DESENVOLVIMENTO",IF(AH326&lt;=6,"RECORRENTE","FIDELIZADO")))))</f>
        <v/>
      </c>
      <c r="AQ326" s="27">
        <f>IF(AJ326=0,0,IFERROR(SUM(U326:AF326)/AJ326,0))</f>
        <v/>
      </c>
      <c r="AS326" s="0" t="inlineStr">
        <is>
          <t>Carteira FEV/26</t>
        </is>
      </c>
    </row>
    <row r="327" ht="14.25" customHeight="1" s="16">
      <c r="A327" s="25" t="inlineStr">
        <is>
          <t>HABITTUDE</t>
        </is>
      </c>
      <c r="B327" s="25" t="inlineStr">
        <is>
          <t>44238838000193</t>
        </is>
      </c>
      <c r="C327" s="25" t="inlineStr">
        <is>
          <t>ESTELAMARIS FRANCISCA TOGNON</t>
        </is>
      </c>
      <c r="D327" s="25" t="inlineStr">
        <is>
          <t>RS</t>
        </is>
      </c>
      <c r="E327" s="25" t="inlineStr">
        <is>
          <t>Tapejara</t>
        </is>
      </c>
      <c r="F327" s="25" t="inlineStr">
        <is>
          <t>estelamarist1@hotmail.com</t>
        </is>
      </c>
      <c r="G327" s="25" t="inlineStr">
        <is>
          <t>+55 (54) 99615-6473</t>
        </is>
      </c>
      <c r="H327" s="25" t="inlineStr">
        <is>
          <t>08/10/2024</t>
        </is>
      </c>
      <c r="I327" s="25" t="n"/>
      <c r="J327" s="25" t="inlineStr">
        <is>
          <t>MANU DITZEL</t>
        </is>
      </c>
      <c r="K327" s="25" t="inlineStr">
        <is>
          <t>Manu Ditzel</t>
        </is>
      </c>
      <c r="L327" s="25" t="n">
        <v>293</v>
      </c>
      <c r="M327" s="25" t="inlineStr">
        <is>
          <t>28/04/2025</t>
        </is>
      </c>
      <c r="N327" s="25" t="n">
        <v>838.45</v>
      </c>
      <c r="O327" s="25" t="n">
        <v>1</v>
      </c>
      <c r="P327" s="25" t="inlineStr">
        <is>
          <t>Sim</t>
        </is>
      </c>
      <c r="Q327" s="25" t="n">
        <v>134</v>
      </c>
      <c r="R327" s="25" t="n">
        <v>19</v>
      </c>
      <c r="S327" s="25" t="n">
        <v>838.45</v>
      </c>
      <c r="T327" s="25" t="inlineStr">
        <is>
          <t>COMPRA B2B</t>
        </is>
      </c>
      <c r="U327" s="25" t="n">
        <v>0</v>
      </c>
      <c r="V327" s="25" t="n">
        <v>838.45</v>
      </c>
      <c r="W327" s="25" t="n">
        <v>0</v>
      </c>
      <c r="X327" s="25" t="n">
        <v>0</v>
      </c>
      <c r="Y327" s="25" t="n">
        <v>0</v>
      </c>
      <c r="Z327" s="25" t="n">
        <v>0</v>
      </c>
      <c r="AA327" s="25" t="n">
        <v>0</v>
      </c>
      <c r="AB327" s="25" t="n">
        <v>0</v>
      </c>
      <c r="AC327" s="25" t="n">
        <v>0</v>
      </c>
      <c r="AD327" s="25" t="n">
        <v>0</v>
      </c>
      <c r="AE327" s="25" t="n">
        <v>0</v>
      </c>
      <c r="AF327" s="25" t="n">
        <v>0</v>
      </c>
      <c r="AG327" s="25" t="n">
        <v>0</v>
      </c>
      <c r="AH327" s="25" t="n">
        <v>1</v>
      </c>
      <c r="AI327" s="25" t="inlineStr">
        <is>
          <t>C</t>
        </is>
      </c>
      <c r="AJ327" s="25" t="n">
        <v>1</v>
      </c>
      <c r="AK327" s="25" t="n">
        <v>838.45</v>
      </c>
      <c r="AL327" s="26" t="n">
        <v>46056.72361111111</v>
      </c>
      <c r="AM327" s="26" t="n">
        <v>46056.72361111111</v>
      </c>
      <c r="AN327" s="25" t="inlineStr">
        <is>
          <t>LIGAÇÃO</t>
        </is>
      </c>
      <c r="AO327" s="25" t="inlineStr">
        <is>
          <t>NÃO ATENDEU, MANDEI AUDIO</t>
        </is>
      </c>
      <c r="AP327" s="27">
        <f>IF(AH327="","",IF(AH327=0,"PROSPECT",IF(AH327=1,"NOVO",IF(AH327&lt;=3,"EM DESENVOLVIMENTO",IF(AH327&lt;=6,"RECORRENTE","FIDELIZADO")))))</f>
        <v/>
      </c>
      <c r="AQ327" s="27">
        <f>IF(AJ327=0,0,IFERROR(SUM(U327:AF327)/AJ327,0))</f>
        <v/>
      </c>
      <c r="AS327" s="0" t="inlineStr">
        <is>
          <t>Carteira FEV/26 + Atend FEV/26</t>
        </is>
      </c>
    </row>
    <row r="328" ht="14.25" customHeight="1" s="16">
      <c r="A328" s="25" t="inlineStr">
        <is>
          <t>HBA DISTRIBUIDORA LTDA</t>
        </is>
      </c>
      <c r="B328" s="25" t="inlineStr">
        <is>
          <t>59460012000141</t>
        </is>
      </c>
      <c r="C328" s="25" t="inlineStr">
        <is>
          <t>HBA DISTRIBUIDORA LTDA</t>
        </is>
      </c>
      <c r="D328" s="25" t="inlineStr">
        <is>
          <t>SP</t>
        </is>
      </c>
      <c r="E328" s="25" t="inlineStr">
        <is>
          <t>SAO PAULO</t>
        </is>
      </c>
      <c r="F328" s="25" t="inlineStr">
        <is>
          <t>fiscal@hbadistribuidora.com.br</t>
        </is>
      </c>
      <c r="G328" s="25" t="inlineStr">
        <is>
          <t>+55 (31) 7543-0905</t>
        </is>
      </c>
      <c r="H328" s="25" t="inlineStr">
        <is>
          <t>18/07/2025</t>
        </is>
      </c>
      <c r="I328" s="25" t="n"/>
      <c r="J328" s="25" t="inlineStr">
        <is>
          <t>LARISSA PADILHA</t>
        </is>
      </c>
      <c r="K328" s="25" t="inlineStr">
        <is>
          <t>Helder Brunkow</t>
        </is>
      </c>
      <c r="L328" s="25" t="n">
        <v>209</v>
      </c>
      <c r="M328" s="25" t="inlineStr">
        <is>
          <t>21/07/2025</t>
        </is>
      </c>
      <c r="N328" s="25" t="n">
        <v>1568.19</v>
      </c>
      <c r="O328" s="25" t="n"/>
      <c r="P328" s="25" t="n"/>
      <c r="Q328" s="25" t="n"/>
      <c r="R328" s="25" t="n"/>
      <c r="S328" s="25" t="n"/>
      <c r="T328" s="25" t="n"/>
      <c r="U328" s="25" t="n">
        <v>0</v>
      </c>
      <c r="V328" s="25" t="n">
        <v>0</v>
      </c>
      <c r="W328" s="25" t="n">
        <v>0</v>
      </c>
      <c r="X328" s="25" t="n">
        <v>0</v>
      </c>
      <c r="Y328" s="25" t="n">
        <v>1568.19</v>
      </c>
      <c r="Z328" s="25" t="n">
        <v>0</v>
      </c>
      <c r="AA328" s="25" t="n">
        <v>0</v>
      </c>
      <c r="AB328" s="25" t="n">
        <v>0</v>
      </c>
      <c r="AC328" s="25" t="n">
        <v>0</v>
      </c>
      <c r="AD328" s="25" t="n">
        <v>0</v>
      </c>
      <c r="AE328" s="25" t="n">
        <v>0</v>
      </c>
      <c r="AF328" s="25" t="n">
        <v>0</v>
      </c>
      <c r="AG328" s="25" t="n">
        <v>0</v>
      </c>
      <c r="AH328" s="25" t="n">
        <v>1</v>
      </c>
      <c r="AI328" s="25" t="inlineStr">
        <is>
          <t>B</t>
        </is>
      </c>
      <c r="AJ328" s="25" t="n">
        <v>1</v>
      </c>
      <c r="AK328" s="25" t="n">
        <v>1568.19</v>
      </c>
      <c r="AL328" s="26" t="n">
        <v>46036.64027777778</v>
      </c>
      <c r="AM328" s="26" t="n">
        <v>46036.64027777778</v>
      </c>
      <c r="AN328" s="25" t="inlineStr">
        <is>
          <t>WHATSAPP</t>
        </is>
      </c>
      <c r="AO328" s="25" t="inlineStr">
        <is>
          <t>RECOMPRA | Nova abordagem - Linha Disney</t>
        </is>
      </c>
      <c r="AP328" s="27">
        <f>IF(AH328="","",IF(AH328=0,"PROSPECT",IF(AH328=1,"NOVO",IF(AH328&lt;=3,"EM DESENVOLVIMENTO",IF(AH328&lt;=6,"RECORRENTE","FIDELIZADO")))))</f>
        <v/>
      </c>
      <c r="AQ328" s="27">
        <f>IF(AJ328=0,0,IFERROR(SUM(U328:AF328)/AJ328,0))</f>
        <v/>
      </c>
      <c r="AR328" s="15" t="inlineStr">
        <is>
          <t>⚠️ DDD(31)=MG≠SP</t>
        </is>
      </c>
      <c r="AS328" s="0" t="inlineStr">
        <is>
          <t>Carteira FEV/26</t>
        </is>
      </c>
    </row>
    <row r="329" ht="14.25" customHeight="1" s="16">
      <c r="A329" s="25" t="inlineStr">
        <is>
          <t>HENRI G. VALCARENGHI LTDA</t>
        </is>
      </c>
      <c r="B329" s="25" t="inlineStr">
        <is>
          <t>57963322000153</t>
        </is>
      </c>
      <c r="C329" s="25" t="inlineStr">
        <is>
          <t>HENRI G. VALCARENGHI LTDA</t>
        </is>
      </c>
      <c r="D329" s="25" t="inlineStr">
        <is>
          <t>RS</t>
        </is>
      </c>
      <c r="E329" s="25" t="inlineStr">
        <is>
          <t>NOVO HAMBURGO</t>
        </is>
      </c>
      <c r="F329" s="25" t="inlineStr">
        <is>
          <t>admnhsl@lojadivinaterra.com.br</t>
        </is>
      </c>
      <c r="G329" s="25" t="inlineStr">
        <is>
          <t>+55 (51) 9805-9537</t>
        </is>
      </c>
      <c r="H329" s="25" t="inlineStr">
        <is>
          <t>16/09/2025</t>
        </is>
      </c>
      <c r="I329" s="25" t="inlineStr">
        <is>
          <t>[Rede] Divina Terra</t>
        </is>
      </c>
      <c r="J329" s="25" t="inlineStr">
        <is>
          <t>DAIANE STAVICKI</t>
        </is>
      </c>
      <c r="K329" s="25" t="inlineStr">
        <is>
          <t>Central - Daiane</t>
        </is>
      </c>
      <c r="L329" s="25" t="n">
        <v>2</v>
      </c>
      <c r="M329" s="25" t="inlineStr">
        <is>
          <t>13/02/2026</t>
        </is>
      </c>
      <c r="N329" s="25" t="n">
        <v>802.23</v>
      </c>
      <c r="O329" s="25" t="n"/>
      <c r="P329" s="25" t="inlineStr">
        <is>
          <t>Sim</t>
        </is>
      </c>
      <c r="Q329" s="25" t="n">
        <v>142</v>
      </c>
      <c r="R329" s="25" t="n">
        <v>36</v>
      </c>
      <c r="S329" s="25" t="n">
        <v>1674.14</v>
      </c>
      <c r="T329" s="25" t="inlineStr">
        <is>
          <t>COMPRA B2B</t>
        </is>
      </c>
      <c r="U329" s="25" t="n">
        <v>0</v>
      </c>
      <c r="V329" s="25" t="n">
        <v>0</v>
      </c>
      <c r="W329" s="25" t="n">
        <v>0</v>
      </c>
      <c r="X329" s="25" t="n">
        <v>0</v>
      </c>
      <c r="Y329" s="25" t="n">
        <v>0</v>
      </c>
      <c r="Z329" s="25" t="n">
        <v>0</v>
      </c>
      <c r="AA329" s="25" t="n">
        <v>871.91</v>
      </c>
      <c r="AB329" s="25" t="n">
        <v>0</v>
      </c>
      <c r="AC329" s="25" t="n">
        <v>0</v>
      </c>
      <c r="AD329" s="25" t="n">
        <v>0</v>
      </c>
      <c r="AE329" s="25" t="n">
        <v>0</v>
      </c>
      <c r="AF329" s="25" t="n">
        <v>802.23</v>
      </c>
      <c r="AG329" s="25" t="n">
        <v>137</v>
      </c>
      <c r="AH329" s="25" t="n">
        <v>2</v>
      </c>
      <c r="AI329" s="25" t="inlineStr">
        <is>
          <t>B</t>
        </is>
      </c>
      <c r="AJ329" s="25" t="n">
        <v>2</v>
      </c>
      <c r="AK329" s="25" t="n">
        <v>837.0700000000001</v>
      </c>
      <c r="AL329" s="26" t="n">
        <v>45972.64236111111</v>
      </c>
      <c r="AM329" s="26" t="n">
        <v>45972.64236111111</v>
      </c>
      <c r="AN329" s="25" t="inlineStr">
        <is>
          <t>WHATSAPP</t>
        </is>
      </c>
      <c r="AO329" s="25" t="inlineStr">
        <is>
          <t>RECOMPRA | Ela compra pela loja de São Leopoldo</t>
        </is>
      </c>
      <c r="AP329" s="27">
        <f>IF(AH329="","",IF(AH329=0,"PROSPECT",IF(AH329=1,"NOVO",IF(AH329&lt;=3,"EM DESENVOLVIMENTO",IF(AH329&lt;=6,"RECORRENTE","FIDELIZADO")))))</f>
        <v/>
      </c>
      <c r="AQ329" s="27">
        <f>IF(AJ329=0,0,IFERROR(SUM(U329:AF329)/AJ329,0))</f>
        <v/>
      </c>
      <c r="AS329" s="0" t="inlineStr">
        <is>
          <t>Carteira FEV/26 + Ecom FEV/26 + Vendas FEV/26 + ABC FEV/26</t>
        </is>
      </c>
    </row>
    <row r="330" ht="14.25" customHeight="1" s="16">
      <c r="A330" s="25" t="inlineStr">
        <is>
          <t>HERTZ NUTRITION</t>
        </is>
      </c>
      <c r="B330" s="25" t="inlineStr">
        <is>
          <t>17039758000136</t>
        </is>
      </c>
      <c r="C330" s="25" t="inlineStr">
        <is>
          <t>MARCOS HENRIQUE RODRIGUES HERTZOG LTDA</t>
        </is>
      </c>
      <c r="D330" s="25" t="inlineStr">
        <is>
          <t>RS</t>
        </is>
      </c>
      <c r="E330" s="25" t="inlineStr">
        <is>
          <t>OSORIO</t>
        </is>
      </c>
      <c r="F330" s="25" t="inlineStr">
        <is>
          <t>hertznutrition@hotmail.com</t>
        </is>
      </c>
      <c r="G330" s="25" t="inlineStr">
        <is>
          <t>+55 (51) 98431-4995</t>
        </is>
      </c>
      <c r="H330" s="25" t="inlineStr">
        <is>
          <t>29/08/2025</t>
        </is>
      </c>
      <c r="I330" s="25" t="n"/>
      <c r="J330" s="25" t="inlineStr">
        <is>
          <t>MANU DITZEL</t>
        </is>
      </c>
      <c r="K330" s="25" t="inlineStr">
        <is>
          <t>Manu Ditzel</t>
        </is>
      </c>
      <c r="L330" s="25" t="n">
        <v>166</v>
      </c>
      <c r="M330" s="25" t="inlineStr">
        <is>
          <t>02/09/2025</t>
        </is>
      </c>
      <c r="N330" s="25" t="n">
        <v>1387.75</v>
      </c>
      <c r="O330" s="25" t="n">
        <v>34</v>
      </c>
      <c r="P330" s="25" t="inlineStr">
        <is>
          <t>Sim</t>
        </is>
      </c>
      <c r="Q330" s="25" t="n">
        <v>144</v>
      </c>
      <c r="R330" s="25" t="n">
        <v>33</v>
      </c>
      <c r="S330" s="25" t="n"/>
      <c r="T330" s="25" t="n"/>
      <c r="U330" s="25" t="n">
        <v>0</v>
      </c>
      <c r="V330" s="25" t="n">
        <v>0</v>
      </c>
      <c r="W330" s="25" t="n">
        <v>0</v>
      </c>
      <c r="X330" s="25" t="n">
        <v>0</v>
      </c>
      <c r="Y330" s="25" t="n">
        <v>0</v>
      </c>
      <c r="Z330" s="25" t="n">
        <v>0</v>
      </c>
      <c r="AA330" s="25" t="n">
        <v>1387.75</v>
      </c>
      <c r="AB330" s="25" t="n">
        <v>0</v>
      </c>
      <c r="AC330" s="25" t="n">
        <v>0</v>
      </c>
      <c r="AD330" s="25" t="n">
        <v>0</v>
      </c>
      <c r="AE330" s="25" t="n">
        <v>0</v>
      </c>
      <c r="AF330" s="25" t="n">
        <v>0</v>
      </c>
      <c r="AG330" s="25" t="n">
        <v>0</v>
      </c>
      <c r="AH330" s="25" t="n">
        <v>1</v>
      </c>
      <c r="AI330" s="25" t="inlineStr">
        <is>
          <t>B</t>
        </is>
      </c>
      <c r="AJ330" s="25" t="n">
        <v>1</v>
      </c>
      <c r="AK330" s="25" t="n">
        <v>1387.75</v>
      </c>
      <c r="AL330" s="26" t="n">
        <v>46059.44652777778</v>
      </c>
      <c r="AM330" s="26" t="n">
        <v>46059.44652777778</v>
      </c>
      <c r="AN330" s="25" t="inlineStr">
        <is>
          <t>OUTROS</t>
        </is>
      </c>
      <c r="AO330" s="25" t="inlineStr">
        <is>
          <t>PERCA</t>
        </is>
      </c>
      <c r="AP330" s="27">
        <f>IF(AH330="","",IF(AH330=0,"PROSPECT",IF(AH330=1,"NOVO",IF(AH330&lt;=3,"EM DESENVOLVIMENTO",IF(AH330&lt;=6,"RECORRENTE","FIDELIZADO")))))</f>
        <v/>
      </c>
      <c r="AQ330" s="27">
        <f>IF(AJ330=0,0,IFERROR(SUM(U330:AF330)/AJ330,0))</f>
        <v/>
      </c>
      <c r="AS330" s="0" t="inlineStr">
        <is>
          <t>Carteira FEV/26 + Atend FEV/26</t>
        </is>
      </c>
    </row>
    <row r="331" ht="14.25" customHeight="1" s="16">
      <c r="A331" s="25" t="inlineStr">
        <is>
          <t>HIPER CORDEIRO JUA</t>
        </is>
      </c>
      <c r="B331" s="25" t="inlineStr">
        <is>
          <t>10337748000138</t>
        </is>
      </c>
      <c r="C331" s="25" t="inlineStr">
        <is>
          <t>SUPERMERCADO NATIANAS LTDA</t>
        </is>
      </c>
      <c r="D331" s="25" t="inlineStr">
        <is>
          <t>PE</t>
        </is>
      </c>
      <c r="E331" s="25" t="inlineStr">
        <is>
          <t>LIMOEIRO</t>
        </is>
      </c>
      <c r="F331" s="25" t="inlineStr">
        <is>
          <t>reginaserafim@hcgrupo.com.br</t>
        </is>
      </c>
      <c r="G331" s="25" t="inlineStr">
        <is>
          <t>+55 (81) 99689-4202</t>
        </is>
      </c>
      <c r="H331" s="25" t="inlineStr">
        <is>
          <t>08/07/2025</t>
        </is>
      </c>
      <c r="I331" s="25" t="n"/>
      <c r="J331" s="25" t="inlineStr">
        <is>
          <t>LARISSA PADILHA</t>
        </is>
      </c>
      <c r="K331" s="25" t="inlineStr">
        <is>
          <t>Larissa Padilha</t>
        </is>
      </c>
      <c r="L331" s="25" t="n">
        <v>123</v>
      </c>
      <c r="M331" s="25" t="inlineStr">
        <is>
          <t>15/10/2025</t>
        </is>
      </c>
      <c r="N331" s="25" t="n">
        <v>2766.73</v>
      </c>
      <c r="O331" s="25" t="n">
        <v>1</v>
      </c>
      <c r="P331" s="25" t="inlineStr">
        <is>
          <t>Sim</t>
        </is>
      </c>
      <c r="Q331" s="25" t="n">
        <v>101</v>
      </c>
      <c r="R331" s="25" t="n">
        <v>20</v>
      </c>
      <c r="S331" s="25" t="n">
        <v>2046.8</v>
      </c>
      <c r="T331" s="25" t="inlineStr">
        <is>
          <t>COMPRA B2B</t>
        </is>
      </c>
      <c r="U331" s="25" t="n">
        <v>0</v>
      </c>
      <c r="V331" s="25" t="n">
        <v>0</v>
      </c>
      <c r="W331" s="25" t="n">
        <v>0</v>
      </c>
      <c r="X331" s="25" t="n">
        <v>0</v>
      </c>
      <c r="Y331" s="25" t="n">
        <v>2015.4</v>
      </c>
      <c r="Z331" s="25" t="n">
        <v>2046.8</v>
      </c>
      <c r="AA331" s="25" t="n">
        <v>0</v>
      </c>
      <c r="AB331" s="25" t="n">
        <v>2766.73</v>
      </c>
      <c r="AC331" s="25" t="n">
        <v>0</v>
      </c>
      <c r="AD331" s="25" t="n">
        <v>0</v>
      </c>
      <c r="AE331" s="25" t="n">
        <v>0</v>
      </c>
      <c r="AF331" s="25" t="n">
        <v>0</v>
      </c>
      <c r="AG331" s="25" t="n">
        <v>45.5</v>
      </c>
      <c r="AH331" s="25" t="n">
        <v>3</v>
      </c>
      <c r="AI331" s="25" t="inlineStr">
        <is>
          <t>A</t>
        </is>
      </c>
      <c r="AJ331" s="25" t="n">
        <v>3</v>
      </c>
      <c r="AK331" s="25" t="n">
        <v>2276.31</v>
      </c>
      <c r="AL331" s="26" t="n">
        <v>46056.53373842593</v>
      </c>
      <c r="AM331" s="26" t="n">
        <v>46056.53373842593</v>
      </c>
      <c r="AN331" s="25" t="inlineStr">
        <is>
          <t>WHATSAPP</t>
        </is>
      </c>
      <c r="AO331" s="25" t="inlineStr">
        <is>
          <t>HIPER CORDEIRO - REGINA - PE</t>
        </is>
      </c>
      <c r="AP331" s="27">
        <f>IF(AH331="","",IF(AH331=0,"PROSPECT",IF(AH331=1,"NOVO",IF(AH331&lt;=3,"EM DESENVOLVIMENTO",IF(AH331&lt;=6,"RECORRENTE","FIDELIZADO")))))</f>
        <v/>
      </c>
      <c r="AQ331" s="27">
        <f>IF(AJ331=0,0,IFERROR(SUM(U331:AF331)/AJ331,0))</f>
        <v/>
      </c>
      <c r="AS331" s="0" t="inlineStr">
        <is>
          <t>Carteira FEV/26 + Ecom FEV/26</t>
        </is>
      </c>
    </row>
    <row r="332" ht="14.25" customHeight="1" s="16">
      <c r="A332" s="25" t="inlineStr">
        <is>
          <t>HIPER DOCE SAQUAREMA</t>
        </is>
      </c>
      <c r="B332" s="25" t="inlineStr">
        <is>
          <t>42502454000100</t>
        </is>
      </c>
      <c r="C332" s="25" t="inlineStr">
        <is>
          <t>REDE HIPER GRAO DE BACAXA LTDA</t>
        </is>
      </c>
      <c r="D332" s="25" t="inlineStr">
        <is>
          <t>RJ</t>
        </is>
      </c>
      <c r="E332" s="25" t="inlineStr">
        <is>
          <t>SAQUAREMA</t>
        </is>
      </c>
      <c r="F332" s="25" t="inlineStr">
        <is>
          <t>comprashipergranel@gmail.com</t>
        </is>
      </c>
      <c r="G332" s="25" t="inlineStr">
        <is>
          <t>+55 (22) 99944-7675</t>
        </is>
      </c>
      <c r="H332" s="25" t="inlineStr">
        <is>
          <t>08/10/2024</t>
        </is>
      </c>
      <c r="I332" s="25" t="n"/>
      <c r="J332" s="25" t="inlineStr">
        <is>
          <t>LARISSA PADILHA</t>
        </is>
      </c>
      <c r="K332" s="25" t="inlineStr">
        <is>
          <t>Helder Brunkow</t>
        </is>
      </c>
      <c r="L332" s="25" t="n">
        <v>285</v>
      </c>
      <c r="M332" s="25" t="inlineStr">
        <is>
          <t>06/05/2025</t>
        </is>
      </c>
      <c r="N332" s="25" t="n">
        <v>1574.78</v>
      </c>
      <c r="O332" s="25" t="n">
        <v>4</v>
      </c>
      <c r="P332" s="25" t="inlineStr">
        <is>
          <t>Sim</t>
        </is>
      </c>
      <c r="Q332" s="25" t="n">
        <v>58</v>
      </c>
      <c r="R332" s="25" t="n">
        <v>25</v>
      </c>
      <c r="S332" s="25" t="n">
        <v>1574.78</v>
      </c>
      <c r="T332" s="25" t="inlineStr">
        <is>
          <t>COMPRA B2B</t>
        </is>
      </c>
      <c r="U332" s="25" t="n">
        <v>0</v>
      </c>
      <c r="V332" s="25" t="n">
        <v>0</v>
      </c>
      <c r="W332" s="25" t="n">
        <v>1574.78</v>
      </c>
      <c r="X332" s="25" t="n">
        <v>0</v>
      </c>
      <c r="Y332" s="25" t="n">
        <v>0</v>
      </c>
      <c r="Z332" s="25" t="n">
        <v>0</v>
      </c>
      <c r="AA332" s="25" t="n">
        <v>0</v>
      </c>
      <c r="AB332" s="25" t="n">
        <v>0</v>
      </c>
      <c r="AC332" s="25" t="n">
        <v>0</v>
      </c>
      <c r="AD332" s="25" t="n">
        <v>0</v>
      </c>
      <c r="AE332" s="25" t="n">
        <v>0</v>
      </c>
      <c r="AF332" s="25" t="n">
        <v>0</v>
      </c>
      <c r="AG332" s="25" t="n">
        <v>0</v>
      </c>
      <c r="AH332" s="25" t="n">
        <v>1</v>
      </c>
      <c r="AI332" s="25" t="inlineStr">
        <is>
          <t>B</t>
        </is>
      </c>
      <c r="AJ332" s="25" t="n">
        <v>1</v>
      </c>
      <c r="AK332" s="25" t="n">
        <v>1574.78</v>
      </c>
      <c r="AL332" s="26" t="n">
        <v>45925.47152777778</v>
      </c>
      <c r="AM332" s="26" t="n">
        <v>45925.47152777778</v>
      </c>
      <c r="AN332" s="25" t="inlineStr">
        <is>
          <t>WHATSAPP</t>
        </is>
      </c>
      <c r="AO332" s="25" t="inlineStr">
        <is>
          <t>PRÉ-VENDA | Apresentação do consultor</t>
        </is>
      </c>
      <c r="AP332" s="27">
        <f>IF(AH332="","",IF(AH332=0,"PROSPECT",IF(AH332=1,"NOVO",IF(AH332&lt;=3,"EM DESENVOLVIMENTO",IF(AH332&lt;=6,"RECORRENTE","FIDELIZADO")))))</f>
        <v/>
      </c>
      <c r="AQ332" s="27">
        <f>IF(AJ332=0,0,IFERROR(SUM(U332:AF332)/AJ332,0))</f>
        <v/>
      </c>
      <c r="AS332" s="0" t="inlineStr">
        <is>
          <t>Carteira FEV/26</t>
        </is>
      </c>
    </row>
    <row r="333" ht="14.25" customHeight="1" s="16">
      <c r="A333" s="25" t="inlineStr">
        <is>
          <t>HS NUTRICAO</t>
        </is>
      </c>
      <c r="B333" s="25" t="inlineStr">
        <is>
          <t>60183440000153</t>
        </is>
      </c>
      <c r="C333" s="25" t="inlineStr">
        <is>
          <t>HS NUTRICAO LTDA</t>
        </is>
      </c>
      <c r="D333" s="25" t="inlineStr">
        <is>
          <t>SC</t>
        </is>
      </c>
      <c r="E333" s="25" t="inlineStr">
        <is>
          <t>NAVEGANTES</t>
        </is>
      </c>
      <c r="F333" s="25" t="inlineStr">
        <is>
          <t>hsnutricaofit@outlook.com</t>
        </is>
      </c>
      <c r="G333" s="25" t="inlineStr">
        <is>
          <t>+55 (47) 9119-3771</t>
        </is>
      </c>
      <c r="H333" s="25" t="inlineStr">
        <is>
          <t>15/07/2025</t>
        </is>
      </c>
      <c r="I333" s="25" t="inlineStr">
        <is>
          <t>[Rede] Fit Land</t>
        </is>
      </c>
      <c r="J333" s="25" t="inlineStr">
        <is>
          <t>LARISSA PADILHA</t>
        </is>
      </c>
      <c r="K333" s="25" t="inlineStr">
        <is>
          <t>Larissa Padilha</t>
        </is>
      </c>
      <c r="L333" s="25" t="n">
        <v>215</v>
      </c>
      <c r="M333" s="25" t="inlineStr">
        <is>
          <t>15/07/2025</t>
        </is>
      </c>
      <c r="N333" s="25" t="n">
        <v>690.8</v>
      </c>
      <c r="O333" s="25" t="n"/>
      <c r="P333" s="25" t="n"/>
      <c r="Q333" s="25" t="n"/>
      <c r="R333" s="25" t="n"/>
      <c r="S333" s="25" t="n"/>
      <c r="T333" s="25" t="n"/>
      <c r="U333" s="25" t="n">
        <v>0</v>
      </c>
      <c r="V333" s="25" t="n">
        <v>0</v>
      </c>
      <c r="W333" s="25" t="n">
        <v>0</v>
      </c>
      <c r="X333" s="25" t="n">
        <v>0</v>
      </c>
      <c r="Y333" s="25" t="n">
        <v>690.8</v>
      </c>
      <c r="Z333" s="25" t="n">
        <v>0</v>
      </c>
      <c r="AA333" s="25" t="n">
        <v>0</v>
      </c>
      <c r="AB333" s="25" t="n">
        <v>0</v>
      </c>
      <c r="AC333" s="25" t="n">
        <v>0</v>
      </c>
      <c r="AD333" s="25" t="n">
        <v>0</v>
      </c>
      <c r="AE333" s="25" t="n">
        <v>0</v>
      </c>
      <c r="AF333" s="25" t="n">
        <v>0</v>
      </c>
      <c r="AG333" s="25" t="n">
        <v>0</v>
      </c>
      <c r="AH333" s="25" t="n">
        <v>1</v>
      </c>
      <c r="AI333" s="25" t="inlineStr">
        <is>
          <t>C</t>
        </is>
      </c>
      <c r="AJ333" s="25" t="n">
        <v>1</v>
      </c>
      <c r="AK333" s="25" t="n">
        <v>690.8</v>
      </c>
      <c r="AL333" s="26" t="n">
        <v>46034.48813657407</v>
      </c>
      <c r="AM333" s="26" t="n">
        <v>46034.48813657407</v>
      </c>
      <c r="AN333" s="25" t="inlineStr">
        <is>
          <t>WHATSAPP</t>
        </is>
      </c>
      <c r="AO333" s="25" t="inlineStr">
        <is>
          <t>Henrique Souza</t>
        </is>
      </c>
      <c r="AP333" s="27">
        <f>IF(AH333="","",IF(AH333=0,"PROSPECT",IF(AH333=1,"NOVO",IF(AH333&lt;=3,"EM DESENVOLVIMENTO",IF(AH333&lt;=6,"RECORRENTE","FIDELIZADO")))))</f>
        <v/>
      </c>
      <c r="AQ333" s="27">
        <f>IF(AJ333=0,0,IFERROR(SUM(U333:AF333)/AJ333,0))</f>
        <v/>
      </c>
      <c r="AS333" s="0" t="inlineStr">
        <is>
          <t>Carteira FEV/26</t>
        </is>
      </c>
    </row>
    <row r="334" ht="14.25" customHeight="1" s="16">
      <c r="A334" s="25" t="inlineStr">
        <is>
          <t>IMPERIUM SAUDAVEL</t>
        </is>
      </c>
      <c r="B334" s="25" t="inlineStr">
        <is>
          <t>41920449000155</t>
        </is>
      </c>
      <c r="C334" s="25" t="inlineStr">
        <is>
          <t>ANNA PAULA LOPES DE OLIVEIRA</t>
        </is>
      </c>
      <c r="D334" s="25" t="inlineStr">
        <is>
          <t>ES</t>
        </is>
      </c>
      <c r="E334" s="25" t="inlineStr">
        <is>
          <t>Mantenópolis</t>
        </is>
      </c>
      <c r="F334" s="25" t="inlineStr">
        <is>
          <t>annapaula-lo@hotmail.com</t>
        </is>
      </c>
      <c r="G334" s="25" t="inlineStr">
        <is>
          <t>+55 (27) 98876-8291</t>
        </is>
      </c>
      <c r="H334" s="25" t="inlineStr">
        <is>
          <t>08/10/2024</t>
        </is>
      </c>
      <c r="I334" s="25" t="n"/>
      <c r="J334" s="25" t="inlineStr">
        <is>
          <t>LARISSA PADILHA</t>
        </is>
      </c>
      <c r="K334" s="25" t="inlineStr">
        <is>
          <t>Helder Brunkow</t>
        </is>
      </c>
      <c r="L334" s="25" t="n">
        <v>223</v>
      </c>
      <c r="M334" s="25" t="inlineStr">
        <is>
          <t>07/07/2025</t>
        </is>
      </c>
      <c r="N334" s="25" t="n">
        <v>1556.85</v>
      </c>
      <c r="O334" s="25" t="n">
        <v>2</v>
      </c>
      <c r="P334" s="25" t="inlineStr">
        <is>
          <t>Sim</t>
        </is>
      </c>
      <c r="Q334" s="25" t="n">
        <v>487</v>
      </c>
      <c r="R334" s="25" t="n">
        <v>85</v>
      </c>
      <c r="S334" s="25" t="n">
        <v>1735.25</v>
      </c>
      <c r="T334" s="25" t="inlineStr">
        <is>
          <t>COMPRA B2B</t>
        </is>
      </c>
      <c r="U334" s="25" t="n">
        <v>0</v>
      </c>
      <c r="V334" s="25" t="n">
        <v>0</v>
      </c>
      <c r="W334" s="25" t="n">
        <v>1735.25</v>
      </c>
      <c r="X334" s="25" t="n">
        <v>0</v>
      </c>
      <c r="Y334" s="25" t="n">
        <v>1556.85</v>
      </c>
      <c r="Z334" s="25" t="n">
        <v>0</v>
      </c>
      <c r="AA334" s="25" t="n">
        <v>0</v>
      </c>
      <c r="AB334" s="25" t="n">
        <v>0</v>
      </c>
      <c r="AC334" s="25" t="n">
        <v>0</v>
      </c>
      <c r="AD334" s="25" t="n">
        <v>0</v>
      </c>
      <c r="AE334" s="25" t="n">
        <v>0</v>
      </c>
      <c r="AF334" s="25" t="n">
        <v>0</v>
      </c>
      <c r="AG334" s="25" t="n">
        <v>42</v>
      </c>
      <c r="AH334" s="25" t="n">
        <v>2</v>
      </c>
      <c r="AI334" s="25" t="inlineStr">
        <is>
          <t>A</t>
        </is>
      </c>
      <c r="AJ334" s="25" t="n">
        <v>2</v>
      </c>
      <c r="AK334" s="25" t="n">
        <v>1646.05</v>
      </c>
      <c r="AL334" s="26" t="n">
        <v>46036.6625</v>
      </c>
      <c r="AM334" s="26" t="n">
        <v>46036.6625</v>
      </c>
      <c r="AN334" s="25" t="inlineStr">
        <is>
          <t>WHATSAPP</t>
        </is>
      </c>
      <c r="AO334" s="25" t="inlineStr">
        <is>
          <t>RECOMPRA | Nova abordagem - Linha Disney</t>
        </is>
      </c>
      <c r="AP334" s="27">
        <f>IF(AH334="","",IF(AH334=0,"PROSPECT",IF(AH334=1,"NOVO",IF(AH334&lt;=3,"EM DESENVOLVIMENTO",IF(AH334&lt;=6,"RECORRENTE","FIDELIZADO")))))</f>
        <v/>
      </c>
      <c r="AQ334" s="27">
        <f>IF(AJ334=0,0,IFERROR(SUM(U334:AF334)/AJ334,0))</f>
        <v/>
      </c>
      <c r="AS334" s="0" t="inlineStr">
        <is>
          <t>Carteira FEV/26 + Ecom FEV/26</t>
        </is>
      </c>
    </row>
    <row r="335" ht="14.25" customHeight="1" s="16">
      <c r="A335" s="25" t="inlineStr">
        <is>
          <t>IMPORT LAND DOCES</t>
        </is>
      </c>
      <c r="B335" s="25" t="inlineStr">
        <is>
          <t>60487702000173</t>
        </is>
      </c>
      <c r="C335" s="25" t="inlineStr">
        <is>
          <t>IMPORT LAND DOCES LTDA</t>
        </is>
      </c>
      <c r="D335" s="25" t="inlineStr">
        <is>
          <t>SC</t>
        </is>
      </c>
      <c r="E335" s="25" t="inlineStr">
        <is>
          <t>Ararangua</t>
        </is>
      </c>
      <c r="F335" s="25" t="inlineStr">
        <is>
          <t>importlanddoces@gmail.com</t>
        </is>
      </c>
      <c r="G335" s="25" t="inlineStr">
        <is>
          <t>+55 (48) 9165-9616</t>
        </is>
      </c>
      <c r="H335" s="25" t="inlineStr">
        <is>
          <t>24/04/2025</t>
        </is>
      </c>
      <c r="I335" s="25" t="n"/>
      <c r="J335" s="25" t="inlineStr">
        <is>
          <t>MANU DITZEL</t>
        </is>
      </c>
      <c r="K335" s="25" t="inlineStr">
        <is>
          <t>Manu Ditzel</t>
        </is>
      </c>
      <c r="L335" s="25" t="n">
        <v>296</v>
      </c>
      <c r="M335" s="25" t="inlineStr">
        <is>
          <t>25/04/2025</t>
        </is>
      </c>
      <c r="N335" s="25" t="n">
        <v>1072.09</v>
      </c>
      <c r="O335" s="25" t="n">
        <v>1</v>
      </c>
      <c r="P335" s="25" t="inlineStr">
        <is>
          <t>Sim</t>
        </is>
      </c>
      <c r="Q335" s="25" t="n">
        <v>57</v>
      </c>
      <c r="R335" s="25" t="n">
        <v>9</v>
      </c>
      <c r="S335" s="25" t="n">
        <v>1072.09</v>
      </c>
      <c r="T335" s="25" t="inlineStr">
        <is>
          <t>COMPRA B2B</t>
        </is>
      </c>
      <c r="U335" s="25" t="n">
        <v>0</v>
      </c>
      <c r="V335" s="25" t="n">
        <v>1072.09</v>
      </c>
      <c r="W335" s="25" t="n">
        <v>0</v>
      </c>
      <c r="X335" s="25" t="n">
        <v>0</v>
      </c>
      <c r="Y335" s="25" t="n">
        <v>0</v>
      </c>
      <c r="Z335" s="25" t="n">
        <v>0</v>
      </c>
      <c r="AA335" s="25" t="n">
        <v>0</v>
      </c>
      <c r="AB335" s="25" t="n">
        <v>0</v>
      </c>
      <c r="AC335" s="25" t="n">
        <v>0</v>
      </c>
      <c r="AD335" s="25" t="n">
        <v>0</v>
      </c>
      <c r="AE335" s="25" t="n">
        <v>0</v>
      </c>
      <c r="AF335" s="25" t="n">
        <v>0</v>
      </c>
      <c r="AG335" s="25" t="n">
        <v>0</v>
      </c>
      <c r="AH335" s="25" t="n">
        <v>1</v>
      </c>
      <c r="AI335" s="25" t="inlineStr">
        <is>
          <t>C</t>
        </is>
      </c>
      <c r="AJ335" s="25" t="n">
        <v>1</v>
      </c>
      <c r="AK335" s="25" t="n">
        <v>1072.09</v>
      </c>
      <c r="AL335" s="25" t="n"/>
      <c r="AM335" s="25" t="n"/>
      <c r="AN335" s="25" t="n"/>
      <c r="AO335" s="25" t="n"/>
      <c r="AP335" s="27">
        <f>IF(AH335="","",IF(AH335=0,"PROSPECT",IF(AH335=1,"NOVO",IF(AH335&lt;=3,"EM DESENVOLVIMENTO",IF(AH335&lt;=6,"RECORRENTE","FIDELIZADO")))))</f>
        <v/>
      </c>
      <c r="AQ335" s="27">
        <f>IF(AJ335=0,0,IFERROR(SUM(U335:AF335)/AJ335,0))</f>
        <v/>
      </c>
      <c r="AS335" s="0" t="inlineStr">
        <is>
          <t>Carteira FEV/26</t>
        </is>
      </c>
    </row>
    <row r="336" ht="14.25" customHeight="1" s="16">
      <c r="A336" s="25" t="inlineStr">
        <is>
          <t>INTENSE CACAU</t>
        </is>
      </c>
      <c r="B336" s="25" t="inlineStr">
        <is>
          <t>12886112000170</t>
        </is>
      </c>
      <c r="C336" s="25" t="inlineStr">
        <is>
          <t>DIONEI ARMACHUKI</t>
        </is>
      </c>
      <c r="D336" s="25" t="inlineStr">
        <is>
          <t>PR</t>
        </is>
      </c>
      <c r="E336" s="25" t="inlineStr">
        <is>
          <t>FRANCISCO BELTRAO</t>
        </is>
      </c>
      <c r="F336" s="25" t="inlineStr">
        <is>
          <t>intensecacau@gmail.com</t>
        </is>
      </c>
      <c r="G336" s="25" t="inlineStr">
        <is>
          <t>+55 (46) 2601-1782</t>
        </is>
      </c>
      <c r="H336" s="25" t="inlineStr">
        <is>
          <t>23/04/2025</t>
        </is>
      </c>
      <c r="I336" s="25" t="n"/>
      <c r="J336" s="25" t="inlineStr">
        <is>
          <t>MANU DITZEL</t>
        </is>
      </c>
      <c r="K336" s="25" t="inlineStr">
        <is>
          <t>Manu Ditzel</t>
        </is>
      </c>
      <c r="L336" s="25" t="n">
        <v>163</v>
      </c>
      <c r="M336" s="25" t="inlineStr">
        <is>
          <t>05/09/2025</t>
        </is>
      </c>
      <c r="N336" s="25" t="n">
        <v>795.71</v>
      </c>
      <c r="O336" s="25" t="n">
        <v>25</v>
      </c>
      <c r="P336" s="25" t="inlineStr">
        <is>
          <t>Sim</t>
        </is>
      </c>
      <c r="Q336" s="25" t="n">
        <v>365</v>
      </c>
      <c r="R336" s="25" t="n">
        <v>40</v>
      </c>
      <c r="S336" s="25" t="n">
        <v>2075.22</v>
      </c>
      <c r="T336" s="25" t="inlineStr">
        <is>
          <t>COMPRA B2B</t>
        </is>
      </c>
      <c r="U336" s="25" t="n">
        <v>0</v>
      </c>
      <c r="V336" s="25" t="n">
        <v>1279.51</v>
      </c>
      <c r="W336" s="25" t="n">
        <v>0</v>
      </c>
      <c r="X336" s="25" t="n">
        <v>0</v>
      </c>
      <c r="Y336" s="25" t="n">
        <v>0</v>
      </c>
      <c r="Z336" s="25" t="n">
        <v>0</v>
      </c>
      <c r="AA336" s="25" t="n">
        <v>795.71</v>
      </c>
      <c r="AB336" s="25" t="n">
        <v>0</v>
      </c>
      <c r="AC336" s="25" t="n">
        <v>0</v>
      </c>
      <c r="AD336" s="25" t="n">
        <v>0</v>
      </c>
      <c r="AE336" s="25" t="n">
        <v>0</v>
      </c>
      <c r="AF336" s="25" t="n">
        <v>0</v>
      </c>
      <c r="AG336" s="25" t="n">
        <v>134</v>
      </c>
      <c r="AH336" s="25" t="n">
        <v>2</v>
      </c>
      <c r="AI336" s="25" t="inlineStr">
        <is>
          <t>B</t>
        </is>
      </c>
      <c r="AJ336" s="25" t="n">
        <v>2</v>
      </c>
      <c r="AK336" s="25" t="n">
        <v>1037.61</v>
      </c>
      <c r="AL336" s="26" t="n">
        <v>45994.48125</v>
      </c>
      <c r="AM336" s="26" t="n">
        <v>45994.48125</v>
      </c>
      <c r="AN336" s="25" t="inlineStr">
        <is>
          <t>WHATSAPP</t>
        </is>
      </c>
      <c r="AO336" s="25" t="inlineStr">
        <is>
          <t>AVISADO SOBRE A ALTA NO VALOR DO DRAGEADO // SEM RETORNO</t>
        </is>
      </c>
      <c r="AP336" s="27">
        <f>IF(AH336="","",IF(AH336=0,"PROSPECT",IF(AH336=1,"NOVO",IF(AH336&lt;=3,"EM DESENVOLVIMENTO",IF(AH336&lt;=6,"RECORRENTE","FIDELIZADO")))))</f>
        <v/>
      </c>
      <c r="AQ336" s="27">
        <f>IF(AJ336=0,0,IFERROR(SUM(U336:AF336)/AJ336,0))</f>
        <v/>
      </c>
      <c r="AS336" s="0" t="inlineStr">
        <is>
          <t>Carteira FEV/26</t>
        </is>
      </c>
    </row>
    <row r="337" ht="14.25" customHeight="1" s="16">
      <c r="A337" s="25" t="inlineStr">
        <is>
          <t>ITALO ZILMER BEDERODE LTDA</t>
        </is>
      </c>
      <c r="B337" s="25" t="inlineStr">
        <is>
          <t>53754257000103</t>
        </is>
      </c>
      <c r="C337" s="25" t="inlineStr">
        <is>
          <t>ITALO ZILMER BEDERODE LTDA</t>
        </is>
      </c>
      <c r="D337" s="25" t="inlineStr">
        <is>
          <t>RS</t>
        </is>
      </c>
      <c r="E337" s="25" t="inlineStr">
        <is>
          <t>CANGUCU</t>
        </is>
      </c>
      <c r="F337" s="25" t="inlineStr">
        <is>
          <t>Fdevantier5@gmail.com</t>
        </is>
      </c>
      <c r="G337" s="25" t="inlineStr">
        <is>
          <t>+55 (53) 9106-4552</t>
        </is>
      </c>
      <c r="H337" s="25" t="inlineStr">
        <is>
          <t>28/08/2025</t>
        </is>
      </c>
      <c r="I337" s="25" t="n"/>
      <c r="J337" s="25" t="inlineStr">
        <is>
          <t>MANU DITZEL</t>
        </is>
      </c>
      <c r="K337" s="25" t="inlineStr">
        <is>
          <t>Manu Ditzel</t>
        </is>
      </c>
      <c r="L337" s="25" t="n">
        <v>122</v>
      </c>
      <c r="M337" s="25" t="inlineStr">
        <is>
          <t>16/10/2025</t>
        </is>
      </c>
      <c r="N337" s="25" t="n">
        <v>2779.45</v>
      </c>
      <c r="O337" s="25" t="n">
        <v>4</v>
      </c>
      <c r="P337" s="25" t="inlineStr">
        <is>
          <t>Sim</t>
        </is>
      </c>
      <c r="Q337" s="25" t="n">
        <v>55</v>
      </c>
      <c r="R337" s="25" t="n">
        <v>12</v>
      </c>
      <c r="S337" s="25" t="n">
        <v>1560.86</v>
      </c>
      <c r="T337" s="25" t="inlineStr">
        <is>
          <t>COMPRA B2B</t>
        </is>
      </c>
      <c r="U337" s="25" t="n">
        <v>0</v>
      </c>
      <c r="V337" s="25" t="n">
        <v>0</v>
      </c>
      <c r="W337" s="25" t="n">
        <v>0</v>
      </c>
      <c r="X337" s="25" t="n">
        <v>0</v>
      </c>
      <c r="Y337" s="25" t="n">
        <v>0</v>
      </c>
      <c r="Z337" s="25" t="n">
        <v>0</v>
      </c>
      <c r="AA337" s="25" t="n">
        <v>1560.86</v>
      </c>
      <c r="AB337" s="25" t="n">
        <v>2779.45</v>
      </c>
      <c r="AC337" s="25" t="n">
        <v>0</v>
      </c>
      <c r="AD337" s="25" t="n">
        <v>0</v>
      </c>
      <c r="AE337" s="25" t="n">
        <v>0</v>
      </c>
      <c r="AF337" s="25" t="n">
        <v>0</v>
      </c>
      <c r="AG337" s="25" t="n">
        <v>41</v>
      </c>
      <c r="AH337" s="25" t="n">
        <v>2</v>
      </c>
      <c r="AI337" s="25" t="inlineStr">
        <is>
          <t>A</t>
        </is>
      </c>
      <c r="AJ337" s="25" t="n">
        <v>2</v>
      </c>
      <c r="AK337" s="25" t="n">
        <v>2170.16</v>
      </c>
      <c r="AL337" s="26" t="n">
        <v>46062.41666666666</v>
      </c>
      <c r="AM337" s="26" t="n">
        <v>46062.41666666666</v>
      </c>
      <c r="AN337" s="25" t="inlineStr">
        <is>
          <t>WHATSAPP</t>
        </is>
      </c>
      <c r="AO337" s="25" t="inlineStr">
        <is>
          <t>DIA 22/01 CLIENTE AINDA TINHA ESTOQUE, ESPERAR MAIS UM POUCO PARA MANDAR MENSAGEM</t>
        </is>
      </c>
      <c r="AP337" s="27">
        <f>IF(AH337="","",IF(AH337=0,"PROSPECT",IF(AH337=1,"NOVO",IF(AH337&lt;=3,"EM DESENVOLVIMENTO",IF(AH337&lt;=6,"RECORRENTE","FIDELIZADO")))))</f>
        <v/>
      </c>
      <c r="AQ337" s="27">
        <f>IF(AJ337=0,0,IFERROR(SUM(U337:AF337)/AJ337,0))</f>
        <v/>
      </c>
      <c r="AS337" s="0" t="inlineStr">
        <is>
          <t>Carteira FEV/26 + Atend FEV/26</t>
        </is>
      </c>
    </row>
    <row r="338" ht="14.25" customHeight="1" s="16">
      <c r="A338" s="25" t="inlineStr">
        <is>
          <t>J F COMERCIO DE ALIMENTOS LTDA</t>
        </is>
      </c>
      <c r="B338" s="25" t="inlineStr">
        <is>
          <t>49639041000111</t>
        </is>
      </c>
      <c r="C338" s="25" t="inlineStr">
        <is>
          <t>J F COMERCIO DE ALIMENTOS LTDA</t>
        </is>
      </c>
      <c r="D338" s="25" t="inlineStr">
        <is>
          <t>PE</t>
        </is>
      </c>
      <c r="E338" s="25" t="inlineStr">
        <is>
          <t>RECIFE</t>
        </is>
      </c>
      <c r="F338" s="25" t="inlineStr">
        <is>
          <t>nao@nao.com.br</t>
        </is>
      </c>
      <c r="G338" s="25" t="inlineStr">
        <is>
          <t>+55 (81) 99922-6106</t>
        </is>
      </c>
      <c r="H338" s="25" t="inlineStr">
        <is>
          <t>06/05/2025</t>
        </is>
      </c>
      <c r="I338" s="25" t="n"/>
      <c r="J338" s="25" t="inlineStr">
        <is>
          <t>LARISSA PADILHA</t>
        </is>
      </c>
      <c r="K338" s="25" t="inlineStr">
        <is>
          <t>Helder Brunkow</t>
        </is>
      </c>
      <c r="L338" s="25" t="n">
        <v>283</v>
      </c>
      <c r="M338" s="25" t="inlineStr">
        <is>
          <t>08/05/2025</t>
        </is>
      </c>
      <c r="N338" s="25" t="n">
        <v>3539.41</v>
      </c>
      <c r="O338" s="25" t="n">
        <v>6</v>
      </c>
      <c r="P338" s="25" t="inlineStr">
        <is>
          <t>Sim</t>
        </is>
      </c>
      <c r="Q338" s="25" t="n">
        <v>97</v>
      </c>
      <c r="R338" s="25" t="n">
        <v>28</v>
      </c>
      <c r="S338" s="25" t="n">
        <v>3539.41</v>
      </c>
      <c r="T338" s="25" t="inlineStr">
        <is>
          <t>COMPRA B2B</t>
        </is>
      </c>
      <c r="U338" s="25" t="n">
        <v>0</v>
      </c>
      <c r="V338" s="25" t="n">
        <v>0</v>
      </c>
      <c r="W338" s="25" t="n">
        <v>3539.41</v>
      </c>
      <c r="X338" s="25" t="n">
        <v>0</v>
      </c>
      <c r="Y338" s="25" t="n">
        <v>0</v>
      </c>
      <c r="Z338" s="25" t="n">
        <v>0</v>
      </c>
      <c r="AA338" s="25" t="n">
        <v>0</v>
      </c>
      <c r="AB338" s="25" t="n">
        <v>0</v>
      </c>
      <c r="AC338" s="25" t="n">
        <v>0</v>
      </c>
      <c r="AD338" s="25" t="n">
        <v>0</v>
      </c>
      <c r="AE338" s="25" t="n">
        <v>0</v>
      </c>
      <c r="AF338" s="25" t="n">
        <v>0</v>
      </c>
      <c r="AG338" s="25" t="n">
        <v>0</v>
      </c>
      <c r="AH338" s="25" t="n">
        <v>1</v>
      </c>
      <c r="AI338" s="25" t="inlineStr">
        <is>
          <t>A</t>
        </is>
      </c>
      <c r="AJ338" s="25" t="n">
        <v>1</v>
      </c>
      <c r="AK338" s="25" t="n">
        <v>3539.41</v>
      </c>
      <c r="AL338" s="26" t="n">
        <v>45846.42638888889</v>
      </c>
      <c r="AM338" s="26" t="n">
        <v>45846.42638888889</v>
      </c>
      <c r="AN338" s="25" t="inlineStr">
        <is>
          <t>WHATSAPP</t>
        </is>
      </c>
      <c r="AO338" s="25" t="inlineStr">
        <is>
          <t>PÓS-VENDA | Cliente trocou o CNPJ e tem reuniguração da parte kids metade de julho, Helder em contato no whats - Daiane 60.475.933/0001-67 e ela não vai mais co</t>
        </is>
      </c>
      <c r="AP338" s="27">
        <f>IF(AH338="","",IF(AH338=0,"PROSPECT",IF(AH338=1,"NOVO",IF(AH338&lt;=3,"EM DESENVOLVIMENTO",IF(AH338&lt;=6,"RECORRENTE","FIDELIZADO")))))</f>
        <v/>
      </c>
      <c r="AQ338" s="27">
        <f>IF(AJ338=0,0,IFERROR(SUM(U338:AF338)/AJ338,0))</f>
        <v/>
      </c>
      <c r="AS338" s="0" t="inlineStr">
        <is>
          <t>Carteira FEV/26</t>
        </is>
      </c>
    </row>
    <row r="339" ht="14.25" customHeight="1" s="16">
      <c r="A339" s="25" t="inlineStr">
        <is>
          <t>J&amp;D EMPORIO NATURAL</t>
        </is>
      </c>
      <c r="B339" s="25" t="inlineStr">
        <is>
          <t>57609668000158</t>
        </is>
      </c>
      <c r="C339" s="25" t="inlineStr">
        <is>
          <t>J&amp;D EMPORIO NATURAL LTDA</t>
        </is>
      </c>
      <c r="D339" s="25" t="inlineStr">
        <is>
          <t>SC</t>
        </is>
      </c>
      <c r="E339" s="25" t="inlineStr">
        <is>
          <t>FLORIANOPOLIS</t>
        </is>
      </c>
      <c r="F339" s="25" t="inlineStr">
        <is>
          <t>jucecris71@gmail.com</t>
        </is>
      </c>
      <c r="G339" s="25" t="inlineStr">
        <is>
          <t>+55 (48) 9945-4161</t>
        </is>
      </c>
      <c r="H339" s="25" t="inlineStr">
        <is>
          <t>11/08/2025</t>
        </is>
      </c>
      <c r="I339" s="25" t="inlineStr">
        <is>
          <t>[Rede] Fit Land</t>
        </is>
      </c>
      <c r="J339" s="25" t="inlineStr">
        <is>
          <t>LARISSA PADILHA</t>
        </is>
      </c>
      <c r="K339" s="25" t="inlineStr">
        <is>
          <t>Larissa Padilha</t>
        </is>
      </c>
      <c r="L339" s="25" t="n">
        <v>188</v>
      </c>
      <c r="M339" s="25" t="inlineStr">
        <is>
          <t>11/08/2025</t>
        </is>
      </c>
      <c r="N339" s="25" t="n">
        <v>1256.12</v>
      </c>
      <c r="O339" s="25" t="n">
        <v>4</v>
      </c>
      <c r="P339" s="25" t="inlineStr">
        <is>
          <t>Sim</t>
        </is>
      </c>
      <c r="Q339" s="25" t="n">
        <v>70</v>
      </c>
      <c r="R339" s="25" t="n">
        <v>45</v>
      </c>
      <c r="S339" s="25" t="n"/>
      <c r="T339" s="25" t="n"/>
      <c r="U339" s="25" t="n">
        <v>0</v>
      </c>
      <c r="V339" s="25" t="n">
        <v>0</v>
      </c>
      <c r="W339" s="25" t="n">
        <v>0</v>
      </c>
      <c r="X339" s="25" t="n">
        <v>0</v>
      </c>
      <c r="Y339" s="25" t="n">
        <v>0</v>
      </c>
      <c r="Z339" s="25" t="n">
        <v>1256.12</v>
      </c>
      <c r="AA339" s="25" t="n">
        <v>0</v>
      </c>
      <c r="AB339" s="25" t="n">
        <v>0</v>
      </c>
      <c r="AC339" s="25" t="n">
        <v>0</v>
      </c>
      <c r="AD339" s="25" t="n">
        <v>0</v>
      </c>
      <c r="AE339" s="25" t="n">
        <v>0</v>
      </c>
      <c r="AF339" s="25" t="n">
        <v>0</v>
      </c>
      <c r="AG339" s="25" t="n">
        <v>0</v>
      </c>
      <c r="AH339" s="25" t="n">
        <v>1</v>
      </c>
      <c r="AI339" s="25" t="inlineStr">
        <is>
          <t>B</t>
        </is>
      </c>
      <c r="AJ339" s="25" t="n">
        <v>1</v>
      </c>
      <c r="AK339" s="25" t="n">
        <v>1256.12</v>
      </c>
      <c r="AL339" s="25" t="n"/>
      <c r="AM339" s="25" t="n"/>
      <c r="AN339" s="25" t="n"/>
      <c r="AO339" s="25" t="n"/>
      <c r="AP339" s="27">
        <f>IF(AH339="","",IF(AH339=0,"PROSPECT",IF(AH339=1,"NOVO",IF(AH339&lt;=3,"EM DESENVOLVIMENTO",IF(AH339&lt;=6,"RECORRENTE","FIDELIZADO")))))</f>
        <v/>
      </c>
      <c r="AQ339" s="27">
        <f>IF(AJ339=0,0,IFERROR(SUM(U339:AF339)/AJ339,0))</f>
        <v/>
      </c>
      <c r="AS339" s="0" t="inlineStr">
        <is>
          <t>Carteira FEV/26</t>
        </is>
      </c>
    </row>
    <row r="340" ht="14.25" customHeight="1" s="16">
      <c r="A340" s="25" t="inlineStr">
        <is>
          <t>JARDIM DAS ERVAS</t>
        </is>
      </c>
      <c r="B340" s="25" t="inlineStr">
        <is>
          <t>10908265001037</t>
        </is>
      </c>
      <c r="C340" s="25" t="inlineStr">
        <is>
          <t>JARDIM DAS ERVAS COMERCIO DE ALIMENTOS LTDA</t>
        </is>
      </c>
      <c r="D340" s="25" t="inlineStr">
        <is>
          <t>PR</t>
        </is>
      </c>
      <c r="E340" s="25" t="inlineStr">
        <is>
          <t>CURITIBA</t>
        </is>
      </c>
      <c r="F340" s="25" t="inlineStr">
        <is>
          <t>administrativo1@jardimdaservas.com.br</t>
        </is>
      </c>
      <c r="G340" s="25" t="inlineStr">
        <is>
          <t>+55 (41) 98820-5031</t>
        </is>
      </c>
      <c r="H340" s="25" t="inlineStr">
        <is>
          <t>08/10/2024</t>
        </is>
      </c>
      <c r="I340" s="25" t="n"/>
      <c r="J340" s="25" t="inlineStr">
        <is>
          <t>MANU DITZEL</t>
        </is>
      </c>
      <c r="K340" s="25" t="inlineStr">
        <is>
          <t>Manu Ditzel</t>
        </is>
      </c>
      <c r="L340" s="25" t="n">
        <v>187</v>
      </c>
      <c r="M340" s="25" t="inlineStr">
        <is>
          <t>12/08/2025</t>
        </is>
      </c>
      <c r="N340" s="25" t="n">
        <v>2931.2</v>
      </c>
      <c r="O340" s="25" t="n"/>
      <c r="P340" s="25" t="n"/>
      <c r="Q340" s="25" t="n"/>
      <c r="R340" s="25" t="n"/>
      <c r="S340" s="25" t="n"/>
      <c r="T340" s="25" t="n"/>
      <c r="U340" s="25" t="n">
        <v>0</v>
      </c>
      <c r="V340" s="25" t="n">
        <v>0</v>
      </c>
      <c r="W340" s="25" t="n">
        <v>0</v>
      </c>
      <c r="X340" s="25" t="n">
        <v>0</v>
      </c>
      <c r="Y340" s="25" t="n">
        <v>0</v>
      </c>
      <c r="Z340" s="25" t="n">
        <v>2931.2</v>
      </c>
      <c r="AA340" s="25" t="n">
        <v>0</v>
      </c>
      <c r="AB340" s="25" t="n">
        <v>0</v>
      </c>
      <c r="AC340" s="25" t="n">
        <v>0</v>
      </c>
      <c r="AD340" s="25" t="n">
        <v>0</v>
      </c>
      <c r="AE340" s="25" t="n">
        <v>0</v>
      </c>
      <c r="AF340" s="25" t="n">
        <v>0</v>
      </c>
      <c r="AG340" s="25" t="n">
        <v>0</v>
      </c>
      <c r="AH340" s="25" t="n">
        <v>1</v>
      </c>
      <c r="AI340" s="25" t="inlineStr">
        <is>
          <t>A</t>
        </is>
      </c>
      <c r="AJ340" s="25" t="n">
        <v>1</v>
      </c>
      <c r="AK340" s="25" t="n">
        <v>2931.2</v>
      </c>
      <c r="AL340" s="26" t="n">
        <v>46058.46736111111</v>
      </c>
      <c r="AM340" s="26" t="n">
        <v>46058.46736111111</v>
      </c>
      <c r="AN340" s="25" t="inlineStr">
        <is>
          <t>WHATSAPP</t>
        </is>
      </c>
      <c r="AO340" s="25" t="inlineStr">
        <is>
          <t>FOI ENVIADO UMA BONIFICAÇÃO COM DISVERSOS PRODUTOS PARA ANALISE</t>
        </is>
      </c>
      <c r="AP340" s="27">
        <f>IF(AH340="","",IF(AH340=0,"PROSPECT",IF(AH340=1,"NOVO",IF(AH340&lt;=3,"EM DESENVOLVIMENTO",IF(AH340&lt;=6,"RECORRENTE","FIDELIZADO")))))</f>
        <v/>
      </c>
      <c r="AQ340" s="27">
        <f>IF(AJ340=0,0,IFERROR(SUM(U340:AF340)/AJ340,0))</f>
        <v/>
      </c>
      <c r="AS340" s="0" t="inlineStr">
        <is>
          <t>Carteira FEV/26 + Atend FEV/26</t>
        </is>
      </c>
    </row>
    <row r="341" ht="14.25" customHeight="1" s="16">
      <c r="A341" s="25" t="inlineStr">
        <is>
          <t>JARDIM DO GRANEL COMERCIO DE ALIMENTOS LTDA</t>
        </is>
      </c>
      <c r="B341" s="25" t="inlineStr">
        <is>
          <t>51213425000110</t>
        </is>
      </c>
      <c r="C341" s="25" t="inlineStr">
        <is>
          <t>JARDIM DO GRANEL COMERCIO DE ALIMENTOS LTDA</t>
        </is>
      </c>
      <c r="D341" s="25" t="inlineStr">
        <is>
          <t>PR</t>
        </is>
      </c>
      <c r="E341" s="25" t="inlineStr">
        <is>
          <t>Curitiba</t>
        </is>
      </c>
      <c r="F341" s="25" t="inlineStr">
        <is>
          <t>ADMINISTRATIVO1@JARDIMDASERVAS.COM.BR</t>
        </is>
      </c>
      <c r="G341" s="25" t="inlineStr">
        <is>
          <t>+55 (41) 8820-5031</t>
        </is>
      </c>
      <c r="H341" s="25" t="inlineStr">
        <is>
          <t>08/10/2024</t>
        </is>
      </c>
      <c r="I341" s="25" t="n"/>
      <c r="J341" s="25" t="inlineStr">
        <is>
          <t>MANU DITZEL</t>
        </is>
      </c>
      <c r="K341" s="25" t="inlineStr">
        <is>
          <t>Manu Ditzel</t>
        </is>
      </c>
      <c r="L341" s="25" t="n">
        <v>251</v>
      </c>
      <c r="M341" s="25" t="inlineStr">
        <is>
          <t>09/06/2025</t>
        </is>
      </c>
      <c r="N341" s="25" t="n">
        <v>11358.43</v>
      </c>
      <c r="O341" s="25" t="n"/>
      <c r="P341" s="25" t="n"/>
      <c r="Q341" s="25" t="n"/>
      <c r="R341" s="25" t="n"/>
      <c r="S341" s="25" t="n"/>
      <c r="T341" s="25" t="n"/>
      <c r="U341" s="25" t="n">
        <v>0</v>
      </c>
      <c r="V341" s="25" t="n">
        <v>0</v>
      </c>
      <c r="W341" s="25" t="n">
        <v>0</v>
      </c>
      <c r="X341" s="25" t="n">
        <v>11358.43</v>
      </c>
      <c r="Y341" s="25" t="n">
        <v>0</v>
      </c>
      <c r="Z341" s="25" t="n">
        <v>0</v>
      </c>
      <c r="AA341" s="25" t="n">
        <v>0</v>
      </c>
      <c r="AB341" s="25" t="n">
        <v>0</v>
      </c>
      <c r="AC341" s="25" t="n">
        <v>0</v>
      </c>
      <c r="AD341" s="25" t="n">
        <v>0</v>
      </c>
      <c r="AE341" s="25" t="n">
        <v>0</v>
      </c>
      <c r="AF341" s="25" t="n">
        <v>0</v>
      </c>
      <c r="AG341" s="25" t="n">
        <v>0</v>
      </c>
      <c r="AH341" s="25" t="n">
        <v>1</v>
      </c>
      <c r="AI341" s="25" t="inlineStr">
        <is>
          <t>A</t>
        </is>
      </c>
      <c r="AJ341" s="25" t="n">
        <v>1</v>
      </c>
      <c r="AK341" s="25" t="n">
        <v>11358.43</v>
      </c>
      <c r="AL341" s="25" t="n"/>
      <c r="AM341" s="25" t="n"/>
      <c r="AN341" s="25" t="n"/>
      <c r="AO341" s="25" t="n"/>
      <c r="AP341" s="27">
        <f>IF(AH341="","",IF(AH341=0,"PROSPECT",IF(AH341=1,"NOVO",IF(AH341&lt;=3,"EM DESENVOLVIMENTO",IF(AH341&lt;=6,"RECORRENTE","FIDELIZADO")))))</f>
        <v/>
      </c>
      <c r="AQ341" s="27">
        <f>IF(AJ341=0,0,IFERROR(SUM(U341:AF341)/AJ341,0))</f>
        <v/>
      </c>
      <c r="AS341" s="0" t="inlineStr">
        <is>
          <t>Carteira FEV/26</t>
        </is>
      </c>
    </row>
    <row r="342" ht="14.25" customHeight="1" s="16">
      <c r="A342" s="25" t="inlineStr">
        <is>
          <t>KLOSTERMANN SUPLEMENTOS</t>
        </is>
      </c>
      <c r="B342" s="25" t="inlineStr">
        <is>
          <t>56157640000164</t>
        </is>
      </c>
      <c r="C342" s="25" t="inlineStr">
        <is>
          <t>KLOSTERMANN SUPLEMENTOS LTDA</t>
        </is>
      </c>
      <c r="D342" s="25" t="inlineStr">
        <is>
          <t>SC</t>
        </is>
      </c>
      <c r="E342" s="25" t="inlineStr">
        <is>
          <t>JOINVILLE</t>
        </is>
      </c>
      <c r="F342" s="25" t="inlineStr">
        <is>
          <t>cristopher.espindola@gmail.com</t>
        </is>
      </c>
      <c r="G342" s="25" t="inlineStr">
        <is>
          <t>+55 (47) 9278-0085</t>
        </is>
      </c>
      <c r="H342" s="25" t="inlineStr">
        <is>
          <t>08/10/2024</t>
        </is>
      </c>
      <c r="I342" s="25" t="inlineStr">
        <is>
          <t>[Rede] Fit Land</t>
        </is>
      </c>
      <c r="J342" s="25" t="inlineStr">
        <is>
          <t>LARISSA PADILHA</t>
        </is>
      </c>
      <c r="K342" s="25" t="inlineStr">
        <is>
          <t>Larissa Padilha</t>
        </is>
      </c>
      <c r="L342" s="25" t="n">
        <v>236</v>
      </c>
      <c r="M342" s="25" t="inlineStr">
        <is>
          <t>24/06/2025</t>
        </is>
      </c>
      <c r="N342" s="25" t="n">
        <v>2350.33</v>
      </c>
      <c r="O342" s="25" t="n"/>
      <c r="P342" s="25" t="n"/>
      <c r="Q342" s="25" t="n"/>
      <c r="R342" s="25" t="n"/>
      <c r="S342" s="25" t="n"/>
      <c r="T342" s="25" t="n"/>
      <c r="U342" s="25" t="n">
        <v>0</v>
      </c>
      <c r="V342" s="25" t="n">
        <v>0</v>
      </c>
      <c r="W342" s="25" t="n">
        <v>0</v>
      </c>
      <c r="X342" s="25" t="n">
        <v>2350.33</v>
      </c>
      <c r="Y342" s="25" t="n">
        <v>0</v>
      </c>
      <c r="Z342" s="25" t="n">
        <v>0</v>
      </c>
      <c r="AA342" s="25" t="n">
        <v>0</v>
      </c>
      <c r="AB342" s="25" t="n">
        <v>0</v>
      </c>
      <c r="AC342" s="25" t="n">
        <v>0</v>
      </c>
      <c r="AD342" s="25" t="n">
        <v>0</v>
      </c>
      <c r="AE342" s="25" t="n">
        <v>0</v>
      </c>
      <c r="AF342" s="25" t="n">
        <v>0</v>
      </c>
      <c r="AG342" s="25" t="n">
        <v>0</v>
      </c>
      <c r="AH342" s="25" t="n">
        <v>1</v>
      </c>
      <c r="AI342" s="25" t="inlineStr">
        <is>
          <t>B</t>
        </is>
      </c>
      <c r="AJ342" s="25" t="n">
        <v>1</v>
      </c>
      <c r="AK342" s="25" t="n">
        <v>2350.33</v>
      </c>
      <c r="AL342" s="26" t="n">
        <v>46056.4104050926</v>
      </c>
      <c r="AM342" s="26" t="n">
        <v>46056.4104050926</v>
      </c>
      <c r="AN342" s="25" t="inlineStr">
        <is>
          <t>WHATSAPP</t>
        </is>
      </c>
      <c r="AO342" s="25" t="inlineStr">
        <is>
          <t>FITLAND - CRIS - SC</t>
        </is>
      </c>
      <c r="AP342" s="27">
        <f>IF(AH342="","",IF(AH342=0,"PROSPECT",IF(AH342=1,"NOVO",IF(AH342&lt;=3,"EM DESENVOLVIMENTO",IF(AH342&lt;=6,"RECORRENTE","FIDELIZADO")))))</f>
        <v/>
      </c>
      <c r="AQ342" s="27">
        <f>IF(AJ342=0,0,IFERROR(SUM(U342:AF342)/AJ342,0))</f>
        <v/>
      </c>
      <c r="AS342" s="0" t="inlineStr">
        <is>
          <t>Carteira FEV/26</t>
        </is>
      </c>
    </row>
    <row r="343" ht="14.25" customHeight="1" s="16">
      <c r="A343" s="25" t="inlineStr">
        <is>
          <t>KORIN</t>
        </is>
      </c>
      <c r="B343" s="25" t="inlineStr">
        <is>
          <t>18885226000182</t>
        </is>
      </c>
      <c r="C343" s="25" t="inlineStr">
        <is>
          <t>SOLUCAO PRODUTOS NATURAIS E ORGANICOS LTDA</t>
        </is>
      </c>
      <c r="D343" s="25" t="inlineStr">
        <is>
          <t>RJ</t>
        </is>
      </c>
      <c r="E343" s="25" t="inlineStr">
        <is>
          <t>RIO DE JANEIRO</t>
        </is>
      </c>
      <c r="F343" s="25" t="inlineStr">
        <is>
          <t>lojatijucarj@korinfranquia.com.br</t>
        </is>
      </c>
      <c r="G343" s="25" t="inlineStr">
        <is>
          <t>+55 (21) 2568-7899</t>
        </is>
      </c>
      <c r="H343" s="25" t="inlineStr">
        <is>
          <t>08/04/2025</t>
        </is>
      </c>
      <c r="I343" s="25" t="n"/>
      <c r="J343" s="25" t="inlineStr">
        <is>
          <t>LARISSA PADILHA</t>
        </is>
      </c>
      <c r="K343" s="25" t="inlineStr">
        <is>
          <t>Larissa Padilha</t>
        </is>
      </c>
      <c r="L343" s="25" t="n">
        <v>145</v>
      </c>
      <c r="M343" s="25" t="inlineStr">
        <is>
          <t>23/09/2025</t>
        </is>
      </c>
      <c r="N343" s="25" t="n">
        <v>1269.85</v>
      </c>
      <c r="O343" s="25" t="n">
        <v>4</v>
      </c>
      <c r="P343" s="25" t="inlineStr">
        <is>
          <t>Sim</t>
        </is>
      </c>
      <c r="Q343" s="25" t="n">
        <v>59</v>
      </c>
      <c r="R343" s="25" t="n">
        <v>29</v>
      </c>
      <c r="S343" s="25" t="n">
        <v>2237.64</v>
      </c>
      <c r="T343" s="25" t="inlineStr">
        <is>
          <t>COMPRA B2B</t>
        </is>
      </c>
      <c r="U343" s="25" t="n">
        <v>0</v>
      </c>
      <c r="V343" s="25" t="n">
        <v>2237.64</v>
      </c>
      <c r="W343" s="25" t="n">
        <v>0</v>
      </c>
      <c r="X343" s="25" t="n">
        <v>1499.33</v>
      </c>
      <c r="Y343" s="25" t="n">
        <v>0</v>
      </c>
      <c r="Z343" s="25" t="n">
        <v>0</v>
      </c>
      <c r="AA343" s="25" t="n">
        <v>1269.85</v>
      </c>
      <c r="AB343" s="25" t="n">
        <v>0</v>
      </c>
      <c r="AC343" s="25" t="n">
        <v>0</v>
      </c>
      <c r="AD343" s="25" t="n">
        <v>0</v>
      </c>
      <c r="AE343" s="25" t="n">
        <v>0</v>
      </c>
      <c r="AF343" s="25" t="n">
        <v>0</v>
      </c>
      <c r="AG343" s="25" t="n">
        <v>83.5</v>
      </c>
      <c r="AH343" s="25" t="n">
        <v>3</v>
      </c>
      <c r="AI343" s="25" t="inlineStr">
        <is>
          <t>A</t>
        </is>
      </c>
      <c r="AJ343" s="25" t="n">
        <v>3</v>
      </c>
      <c r="AK343" s="25" t="n">
        <v>1668.94</v>
      </c>
      <c r="AL343" s="26" t="n">
        <v>46036.39444444444</v>
      </c>
      <c r="AM343" s="26" t="n">
        <v>46036.39444444444</v>
      </c>
      <c r="AN343" s="25" t="inlineStr">
        <is>
          <t>WHATSAPP</t>
        </is>
      </c>
      <c r="AO343" s="25" t="inlineStr">
        <is>
          <t>PÓS-VENDA</t>
        </is>
      </c>
      <c r="AP343" s="27">
        <f>IF(AH343="","",IF(AH343=0,"PROSPECT",IF(AH343=1,"NOVO",IF(AH343&lt;=3,"EM DESENVOLVIMENTO",IF(AH343&lt;=6,"RECORRENTE","FIDELIZADO")))))</f>
        <v/>
      </c>
      <c r="AQ343" s="27">
        <f>IF(AJ343=0,0,IFERROR(SUM(U343:AF343)/AJ343,0))</f>
        <v/>
      </c>
      <c r="AS343" s="0" t="inlineStr">
        <is>
          <t>Carteira FEV/26</t>
        </is>
      </c>
    </row>
    <row r="344" ht="14.25" customHeight="1" s="16">
      <c r="A344" s="25" t="inlineStr">
        <is>
          <t>KUWADA COMPANIA LTDA</t>
        </is>
      </c>
      <c r="B344" s="25" t="inlineStr">
        <is>
          <t>18997672000189</t>
        </is>
      </c>
      <c r="C344" s="25" t="inlineStr">
        <is>
          <t>KUWADA COMPANIA LTDA</t>
        </is>
      </c>
      <c r="D344" s="25" t="inlineStr">
        <is>
          <t>MT</t>
        </is>
      </c>
      <c r="E344" s="25" t="inlineStr">
        <is>
          <t>TANGARA DA SERRA</t>
        </is>
      </c>
      <c r="F344" s="25" t="inlineStr">
        <is>
          <t>clinicarecuperart@gmail.com</t>
        </is>
      </c>
      <c r="G344" s="25" t="inlineStr">
        <is>
          <t>+55 (65) 9936-7619 | +55 (65) 9985-3585 (DRA)</t>
        </is>
      </c>
      <c r="H344" s="25" t="inlineStr">
        <is>
          <t>07/05/2025</t>
        </is>
      </c>
      <c r="I344" s="25" t="n"/>
      <c r="J344" s="25" t="inlineStr">
        <is>
          <t>MANU DITZEL</t>
        </is>
      </c>
      <c r="K344" s="25" t="inlineStr">
        <is>
          <t>Larissa Padilha</t>
        </is>
      </c>
      <c r="L344" s="25" t="n">
        <v>6</v>
      </c>
      <c r="M344" s="25" t="inlineStr">
        <is>
          <t>09/02/2026</t>
        </is>
      </c>
      <c r="N344" s="25" t="n">
        <v>881.22</v>
      </c>
      <c r="O344" s="25" t="n">
        <v>1</v>
      </c>
      <c r="P344" s="25" t="inlineStr">
        <is>
          <t>Sim</t>
        </is>
      </c>
      <c r="Q344" s="25" t="n">
        <v>41</v>
      </c>
      <c r="R344" s="25" t="n">
        <v>13</v>
      </c>
      <c r="S344" s="25" t="n">
        <v>881.22</v>
      </c>
      <c r="T344" s="25" t="inlineStr">
        <is>
          <t>COMPRA B2B</t>
        </is>
      </c>
      <c r="U344" s="25" t="n">
        <v>0</v>
      </c>
      <c r="V344" s="25" t="n">
        <v>0</v>
      </c>
      <c r="W344" s="25" t="n">
        <v>0</v>
      </c>
      <c r="X344" s="25" t="n">
        <v>0</v>
      </c>
      <c r="Y344" s="25" t="n">
        <v>896.65</v>
      </c>
      <c r="Z344" s="25" t="n">
        <v>0</v>
      </c>
      <c r="AA344" s="25" t="n">
        <v>1216.68</v>
      </c>
      <c r="AB344" s="25" t="n">
        <v>0</v>
      </c>
      <c r="AC344" s="25" t="n">
        <v>0</v>
      </c>
      <c r="AD344" s="25" t="n">
        <v>0</v>
      </c>
      <c r="AE344" s="25" t="n">
        <v>0</v>
      </c>
      <c r="AF344" s="25" t="n">
        <v>881.22</v>
      </c>
      <c r="AG344" s="25" t="n">
        <v>110.5</v>
      </c>
      <c r="AH344" s="25" t="n">
        <v>3</v>
      </c>
      <c r="AI344" s="25" t="inlineStr">
        <is>
          <t>B</t>
        </is>
      </c>
      <c r="AJ344" s="25" t="n">
        <v>3</v>
      </c>
      <c r="AK344" s="25" t="n">
        <v>998.1799999999999</v>
      </c>
      <c r="AL344" s="26" t="n">
        <v>46059.66458333333</v>
      </c>
      <c r="AM344" s="26" t="n">
        <v>46059.66458333333</v>
      </c>
      <c r="AN344" s="25" t="inlineStr">
        <is>
          <t>WHATSAPP</t>
        </is>
      </c>
      <c r="AO344" s="25" t="inlineStr">
        <is>
          <t>Dra Wanda quer montgar pedido</t>
        </is>
      </c>
      <c r="AP344" s="27">
        <f>IF(AH344="","",IF(AH344=0,"PROSPECT",IF(AH344=1,"NOVO",IF(AH344&lt;=3,"EM DESENVOLVIMENTO",IF(AH344&lt;=6,"RECORRENTE","FIDELIZADO")))))</f>
        <v/>
      </c>
      <c r="AQ344" s="27">
        <f>IF(AJ344=0,0,IFERROR(SUM(U344:AF344)/AJ344,0))</f>
        <v/>
      </c>
      <c r="AS344" s="0" t="inlineStr">
        <is>
          <t>Carteira FEV/26 + Atend FEV/26 + Ecom FEV/26 + Vendas FEV/26 + ABC FEV/26</t>
        </is>
      </c>
    </row>
    <row r="345" ht="14.25" customHeight="1" s="16">
      <c r="A345" s="25" t="inlineStr">
        <is>
          <t>L.A. PRODUTOS NATURAIS</t>
        </is>
      </c>
      <c r="B345" s="25" t="inlineStr">
        <is>
          <t>56174184000160</t>
        </is>
      </c>
      <c r="C345" s="25" t="inlineStr">
        <is>
          <t>CANELINHA COMERCIO DE PRODUTOS NATURAIS LTDA</t>
        </is>
      </c>
      <c r="D345" s="25" t="inlineStr">
        <is>
          <t>SC</t>
        </is>
      </c>
      <c r="E345" s="25" t="inlineStr">
        <is>
          <t>CANELINHA</t>
        </is>
      </c>
      <c r="F345" s="25" t="inlineStr">
        <is>
          <t>fitlandcanelinha@gmail.com</t>
        </is>
      </c>
      <c r="G345" s="25" t="inlineStr">
        <is>
          <t>+55 (48) 9965-4052</t>
        </is>
      </c>
      <c r="H345" s="25" t="inlineStr">
        <is>
          <t>08/10/2024</t>
        </is>
      </c>
      <c r="I345" s="25" t="inlineStr">
        <is>
          <t>[Rede] Fit Land</t>
        </is>
      </c>
      <c r="J345" s="25" t="inlineStr">
        <is>
          <t>JULIO GADRET</t>
        </is>
      </c>
      <c r="K345" s="25" t="inlineStr">
        <is>
          <t>Julio  Gadret</t>
        </is>
      </c>
      <c r="L345" s="25" t="n">
        <v>114</v>
      </c>
      <c r="M345" s="25" t="inlineStr">
        <is>
          <t>24/10/2025</t>
        </is>
      </c>
      <c r="N345" s="25" t="n">
        <v>892.7</v>
      </c>
      <c r="O345" s="25" t="n"/>
      <c r="P345" s="25" t="n"/>
      <c r="Q345" s="25" t="n"/>
      <c r="R345" s="25" t="n"/>
      <c r="S345" s="25" t="n"/>
      <c r="T345" s="25" t="n"/>
      <c r="U345" s="25" t="n">
        <v>0</v>
      </c>
      <c r="V345" s="25" t="n">
        <v>0</v>
      </c>
      <c r="W345" s="25" t="n">
        <v>0</v>
      </c>
      <c r="X345" s="25" t="n">
        <v>0</v>
      </c>
      <c r="Y345" s="25" t="n">
        <v>0</v>
      </c>
      <c r="Z345" s="25" t="n">
        <v>0</v>
      </c>
      <c r="AA345" s="25" t="n">
        <v>1254.11</v>
      </c>
      <c r="AB345" s="25" t="n">
        <v>892.7</v>
      </c>
      <c r="AC345" s="25" t="n">
        <v>0</v>
      </c>
      <c r="AD345" s="25" t="n">
        <v>0</v>
      </c>
      <c r="AE345" s="25" t="n">
        <v>0</v>
      </c>
      <c r="AF345" s="25" t="n">
        <v>0</v>
      </c>
      <c r="AG345" s="25" t="n">
        <v>25</v>
      </c>
      <c r="AH345" s="25" t="n">
        <v>2</v>
      </c>
      <c r="AI345" s="25" t="inlineStr">
        <is>
          <t>B</t>
        </is>
      </c>
      <c r="AJ345" s="25" t="n">
        <v>2</v>
      </c>
      <c r="AK345" s="25" t="n">
        <v>1073.4</v>
      </c>
      <c r="AL345" s="26" t="n">
        <v>45996.38583333333</v>
      </c>
      <c r="AM345" s="26" t="n">
        <v>45996.38583333333</v>
      </c>
      <c r="AN345" s="25" t="inlineStr">
        <is>
          <t>WHATSAPP</t>
        </is>
      </c>
      <c r="AO345" s="25" t="inlineStr">
        <is>
          <t>FITLAND - JÉSSICA - SC</t>
        </is>
      </c>
      <c r="AP345" s="27">
        <f>IF(AH345="","",IF(AH345=0,"PROSPECT",IF(AH345=1,"NOVO",IF(AH345&lt;=3,"EM DESENVOLVIMENTO",IF(AH345&lt;=6,"RECORRENTE","FIDELIZADO")))))</f>
        <v/>
      </c>
      <c r="AQ345" s="27">
        <f>IF(AJ345=0,0,IFERROR(SUM(U345:AF345)/AJ345,0))</f>
        <v/>
      </c>
      <c r="AS345" s="0" t="inlineStr">
        <is>
          <t>Carteira FEV/26</t>
        </is>
      </c>
    </row>
    <row r="346" ht="14.25" customHeight="1" s="16">
      <c r="A346" s="25" t="inlineStr">
        <is>
          <t>LAILA DE CASSIA CORREIA SANTOS</t>
        </is>
      </c>
      <c r="B346" s="25" t="inlineStr">
        <is>
          <t>39695922000104</t>
        </is>
      </c>
      <c r="C346" s="25" t="inlineStr">
        <is>
          <t>39.695.922 LAILA DE CASSIA CORREIA SANTOS</t>
        </is>
      </c>
      <c r="D346" s="25" t="inlineStr">
        <is>
          <t>GO</t>
        </is>
      </c>
      <c r="E346" s="25" t="inlineStr">
        <is>
          <t>GOIAS</t>
        </is>
      </c>
      <c r="F346" s="25" t="inlineStr">
        <is>
          <t>leafnutritiongo@gmail.com</t>
        </is>
      </c>
      <c r="G346" s="25" t="inlineStr">
        <is>
          <t>+55 (62) 8443-2869</t>
        </is>
      </c>
      <c r="H346" s="25" t="inlineStr">
        <is>
          <t>22/09/2025</t>
        </is>
      </c>
      <c r="I346" s="25" t="n"/>
      <c r="J346" s="25" t="inlineStr">
        <is>
          <t>LARISSA PADILHA</t>
        </is>
      </c>
      <c r="K346" s="25" t="inlineStr">
        <is>
          <t>Larissa Padilha</t>
        </is>
      </c>
      <c r="L346" s="25" t="n">
        <v>129</v>
      </c>
      <c r="M346" s="25" t="inlineStr">
        <is>
          <t>09/10/2025</t>
        </is>
      </c>
      <c r="N346" s="25" t="n">
        <v>3306.03</v>
      </c>
      <c r="O346" s="25" t="n">
        <v>1</v>
      </c>
      <c r="P346" s="25" t="inlineStr">
        <is>
          <t>Sim</t>
        </is>
      </c>
      <c r="Q346" s="25" t="n">
        <v>179</v>
      </c>
      <c r="R346" s="25" t="n">
        <v>44</v>
      </c>
      <c r="S346" s="25" t="n"/>
      <c r="T346" s="25" t="n"/>
      <c r="U346" s="25" t="n">
        <v>0</v>
      </c>
      <c r="V346" s="25" t="n">
        <v>0</v>
      </c>
      <c r="W346" s="25" t="n">
        <v>0</v>
      </c>
      <c r="X346" s="25" t="n">
        <v>0</v>
      </c>
      <c r="Y346" s="25" t="n">
        <v>0</v>
      </c>
      <c r="Z346" s="25" t="n">
        <v>0</v>
      </c>
      <c r="AA346" s="25" t="n">
        <v>0</v>
      </c>
      <c r="AB346" s="25" t="n">
        <v>3306.03</v>
      </c>
      <c r="AC346" s="25" t="n">
        <v>0</v>
      </c>
      <c r="AD346" s="25" t="n">
        <v>0</v>
      </c>
      <c r="AE346" s="25" t="n">
        <v>0</v>
      </c>
      <c r="AF346" s="25" t="n">
        <v>0</v>
      </c>
      <c r="AG346" s="25" t="n">
        <v>0</v>
      </c>
      <c r="AH346" s="25" t="n">
        <v>1</v>
      </c>
      <c r="AI346" s="25" t="inlineStr">
        <is>
          <t>A</t>
        </is>
      </c>
      <c r="AJ346" s="25" t="n">
        <v>1</v>
      </c>
      <c r="AK346" s="25" t="n">
        <v>3306.03</v>
      </c>
      <c r="AL346" s="26" t="n">
        <v>46036.38263888889</v>
      </c>
      <c r="AM346" s="26" t="n">
        <v>46036.38263888889</v>
      </c>
      <c r="AN346" s="25" t="inlineStr">
        <is>
          <t>WHATSAPP</t>
        </is>
      </c>
      <c r="AO346" s="25" t="inlineStr">
        <is>
          <t>PÓS-VENDA</t>
        </is>
      </c>
      <c r="AP346" s="27">
        <f>IF(AH346="","",IF(AH346=0,"PROSPECT",IF(AH346=1,"NOVO",IF(AH346&lt;=3,"EM DESENVOLVIMENTO",IF(AH346&lt;=6,"RECORRENTE","FIDELIZADO")))))</f>
        <v/>
      </c>
      <c r="AQ346" s="27">
        <f>IF(AJ346=0,0,IFERROR(SUM(U346:AF346)/AJ346,0))</f>
        <v/>
      </c>
      <c r="AS346" s="0" t="inlineStr">
        <is>
          <t>Carteira FEV/26</t>
        </is>
      </c>
    </row>
    <row r="347" ht="14.25" customHeight="1" s="16">
      <c r="A347" s="25" t="inlineStr">
        <is>
          <t>LAKOSKI MERCEARIA SEM GLUTEN</t>
        </is>
      </c>
      <c r="B347" s="25" t="inlineStr">
        <is>
          <t>60484125000166</t>
        </is>
      </c>
      <c r="C347" s="25" t="inlineStr">
        <is>
          <t>LAKOSKI MERCEARIA SEM GLUTEN LTDA</t>
        </is>
      </c>
      <c r="D347" s="25" t="inlineStr">
        <is>
          <t>PR</t>
        </is>
      </c>
      <c r="E347" s="25" t="inlineStr">
        <is>
          <t>SAO JOSE DOS PINHAIS</t>
        </is>
      </c>
      <c r="F347" s="25" t="inlineStr">
        <is>
          <t>lakoskimerceariasg@gmail.com</t>
        </is>
      </c>
      <c r="G347" s="25" t="inlineStr">
        <is>
          <t>+55 (41) 99938-9977</t>
        </is>
      </c>
      <c r="H347" s="25" t="inlineStr">
        <is>
          <t>28/07/2025</t>
        </is>
      </c>
      <c r="I347" s="25" t="n"/>
      <c r="J347" s="25" t="inlineStr">
        <is>
          <t>MANU DITZEL</t>
        </is>
      </c>
      <c r="K347" s="25" t="inlineStr">
        <is>
          <t>Manu Ditzel</t>
        </is>
      </c>
      <c r="L347" s="25" t="n">
        <v>90</v>
      </c>
      <c r="M347" s="25" t="inlineStr">
        <is>
          <t>17/11/2025</t>
        </is>
      </c>
      <c r="N347" s="25" t="n">
        <v>510.03</v>
      </c>
      <c r="O347" s="25" t="n">
        <v>2</v>
      </c>
      <c r="P347" s="25" t="inlineStr">
        <is>
          <t>Sim</t>
        </is>
      </c>
      <c r="Q347" s="25" t="n">
        <v>130</v>
      </c>
      <c r="R347" s="25" t="n">
        <v>27</v>
      </c>
      <c r="S347" s="25" t="n">
        <v>1163.03</v>
      </c>
      <c r="T347" s="25" t="inlineStr">
        <is>
          <t>COMPRA B2B</t>
        </is>
      </c>
      <c r="U347" s="25" t="n">
        <v>0</v>
      </c>
      <c r="V347" s="25" t="n">
        <v>0</v>
      </c>
      <c r="W347" s="25" t="n">
        <v>0</v>
      </c>
      <c r="X347" s="25" t="n">
        <v>0</v>
      </c>
      <c r="Y347" s="25" t="n">
        <v>0</v>
      </c>
      <c r="Z347" s="25" t="n">
        <v>653</v>
      </c>
      <c r="AA347" s="25" t="n">
        <v>0</v>
      </c>
      <c r="AB347" s="25" t="n">
        <v>0</v>
      </c>
      <c r="AC347" s="25" t="n">
        <v>510.03</v>
      </c>
      <c r="AD347" s="25" t="n">
        <v>0</v>
      </c>
      <c r="AE347" s="25" t="n">
        <v>0</v>
      </c>
      <c r="AF347" s="25" t="n">
        <v>0</v>
      </c>
      <c r="AG347" s="25" t="n">
        <v>95</v>
      </c>
      <c r="AH347" s="25" t="n">
        <v>1</v>
      </c>
      <c r="AI347" s="25" t="inlineStr">
        <is>
          <t>B</t>
        </is>
      </c>
      <c r="AJ347" s="25" t="n">
        <v>2</v>
      </c>
      <c r="AK347" s="25" t="n">
        <v>1163.03</v>
      </c>
      <c r="AL347" s="26" t="n">
        <v>46063.68055555555</v>
      </c>
      <c r="AM347" s="26" t="n">
        <v>46063.68055555555</v>
      </c>
      <c r="AN347" s="25" t="inlineStr">
        <is>
          <t>LIGAÇÃO</t>
        </is>
      </c>
      <c r="AO347" s="25" t="inlineStr">
        <is>
          <t>SEM RETORNO, TELEFONE CAIXA POSTAL MENSAGEM NÃO RESPONDEU</t>
        </is>
      </c>
      <c r="AP347" s="27">
        <f>IF(AH347="","",IF(AH347=0,"PROSPECT",IF(AH347=1,"NOVO",IF(AH347&lt;=3,"EM DESENVOLVIMENTO",IF(AH347&lt;=6,"RECORRENTE","FIDELIZADO")))))</f>
        <v/>
      </c>
      <c r="AQ347" s="27">
        <f>IF(AJ347=0,0,IFERROR(SUM(U347:AF347)/AJ347,0))</f>
        <v/>
      </c>
      <c r="AS347" s="0" t="inlineStr">
        <is>
          <t>Carteira FEV/26 + Atend FEV/26</t>
        </is>
      </c>
    </row>
    <row r="348" ht="14.25" customHeight="1" s="16">
      <c r="A348" s="25" t="inlineStr">
        <is>
          <t>LARISSA DA SILVA PADILHA</t>
        </is>
      </c>
      <c r="B348" s="25" t="inlineStr">
        <is>
          <t>42149466000101</t>
        </is>
      </c>
      <c r="C348" s="25" t="inlineStr">
        <is>
          <t>42.149.466 LARISSA DA SILVA PADILHA</t>
        </is>
      </c>
      <c r="D348" s="25" t="inlineStr">
        <is>
          <t>SC</t>
        </is>
      </c>
      <c r="E348" s="25" t="inlineStr">
        <is>
          <t>JARAGUA DO SUL</t>
        </is>
      </c>
      <c r="F348" s="25" t="inlineStr">
        <is>
          <t>representante.laripadilha@gmail.com</t>
        </is>
      </c>
      <c r="G348" s="25" t="inlineStr">
        <is>
          <t>+55 (47) 98406-5800</t>
        </is>
      </c>
      <c r="H348" s="25" t="inlineStr">
        <is>
          <t>16/04/2025</t>
        </is>
      </c>
      <c r="I348" s="25" t="n"/>
      <c r="J348" s="25" t="inlineStr">
        <is>
          <t>LARISSA PADILHA</t>
        </is>
      </c>
      <c r="K348" s="25" t="inlineStr">
        <is>
          <t>Larissa Padilha</t>
        </is>
      </c>
      <c r="L348" s="25" t="n">
        <v>137</v>
      </c>
      <c r="M348" s="25" t="inlineStr">
        <is>
          <t>01/10/2025</t>
        </is>
      </c>
      <c r="N348" s="25" t="n">
        <v>675.8</v>
      </c>
      <c r="O348" s="25" t="n"/>
      <c r="P348" s="25" t="n"/>
      <c r="Q348" s="25" t="n"/>
      <c r="R348" s="25" t="n"/>
      <c r="S348" s="25" t="n"/>
      <c r="T348" s="25" t="n"/>
      <c r="U348" s="25" t="n">
        <v>0</v>
      </c>
      <c r="V348" s="25" t="n">
        <v>0</v>
      </c>
      <c r="W348" s="25" t="n">
        <v>0</v>
      </c>
      <c r="X348" s="25" t="n">
        <v>0</v>
      </c>
      <c r="Y348" s="25" t="n">
        <v>0</v>
      </c>
      <c r="Z348" s="25" t="n">
        <v>0</v>
      </c>
      <c r="AA348" s="25" t="n">
        <v>675.8</v>
      </c>
      <c r="AB348" s="25" t="n">
        <v>675.8</v>
      </c>
      <c r="AC348" s="25" t="n">
        <v>0</v>
      </c>
      <c r="AD348" s="25" t="n">
        <v>0</v>
      </c>
      <c r="AE348" s="25" t="n">
        <v>0</v>
      </c>
      <c r="AF348" s="25" t="n">
        <v>0</v>
      </c>
      <c r="AG348" s="25" t="n">
        <v>0</v>
      </c>
      <c r="AH348" s="25" t="n">
        <v>1</v>
      </c>
      <c r="AI348" s="25" t="inlineStr">
        <is>
          <t>C</t>
        </is>
      </c>
      <c r="AJ348" s="25" t="n">
        <v>2</v>
      </c>
      <c r="AK348" s="25" t="n">
        <v>1351.6</v>
      </c>
      <c r="AL348" s="25" t="n"/>
      <c r="AM348" s="25" t="n"/>
      <c r="AN348" s="25" t="n"/>
      <c r="AO348" s="25" t="n"/>
      <c r="AP348" s="27">
        <f>IF(AH348="","",IF(AH348=0,"PROSPECT",IF(AH348=1,"NOVO",IF(AH348&lt;=3,"EM DESENVOLVIMENTO",IF(AH348&lt;=6,"RECORRENTE","FIDELIZADO")))))</f>
        <v/>
      </c>
      <c r="AQ348" s="27">
        <f>IF(AJ348=0,0,IFERROR(SUM(U348:AF348)/AJ348,0))</f>
        <v/>
      </c>
      <c r="AS348" s="0" t="inlineStr">
        <is>
          <t>Carteira FEV/26</t>
        </is>
      </c>
    </row>
    <row r="349" ht="14.25" customHeight="1" s="16">
      <c r="A349" s="25" t="inlineStr">
        <is>
          <t>LAURA ISABEL RICARDO OCHOA</t>
        </is>
      </c>
      <c r="B349" s="25" t="inlineStr">
        <is>
          <t>52655585000181</t>
        </is>
      </c>
      <c r="C349" s="25" t="inlineStr">
        <is>
          <t>52.655.585 LAURA ISABEL RICARDO OCHOA</t>
        </is>
      </c>
      <c r="D349" s="25" t="inlineStr">
        <is>
          <t>BA</t>
        </is>
      </c>
      <c r="E349" s="25" t="inlineStr">
        <is>
          <t>CANSANCAO</t>
        </is>
      </c>
      <c r="F349" s="25" t="inlineStr">
        <is>
          <t>ricardolaura05@gmail.com</t>
        </is>
      </c>
      <c r="G349" s="25" t="inlineStr">
        <is>
          <t>+55 (75) 9175-0757</t>
        </is>
      </c>
      <c r="H349" s="25" t="inlineStr">
        <is>
          <t>03/09/2025</t>
        </is>
      </c>
      <c r="I349" s="25" t="n"/>
      <c r="J349" s="25" t="inlineStr">
        <is>
          <t>LARISSA PADILHA</t>
        </is>
      </c>
      <c r="K349" s="25" t="inlineStr">
        <is>
          <t>Larissa Padilha</t>
        </is>
      </c>
      <c r="L349" s="25" t="n">
        <v>118</v>
      </c>
      <c r="M349" s="25" t="inlineStr">
        <is>
          <t>20/10/2025</t>
        </is>
      </c>
      <c r="N349" s="25" t="n">
        <v>1030.42</v>
      </c>
      <c r="O349" s="25" t="n">
        <v>2</v>
      </c>
      <c r="P349" s="25" t="inlineStr">
        <is>
          <t>Sim</t>
        </is>
      </c>
      <c r="Q349" s="25" t="n">
        <v>102</v>
      </c>
      <c r="R349" s="25" t="n">
        <v>10</v>
      </c>
      <c r="S349" s="25" t="n">
        <v>1432.52</v>
      </c>
      <c r="T349" s="25" t="inlineStr">
        <is>
          <t>COMPRA B2B</t>
        </is>
      </c>
      <c r="U349" s="25" t="n">
        <v>0</v>
      </c>
      <c r="V349" s="25" t="n">
        <v>0</v>
      </c>
      <c r="W349" s="25" t="n">
        <v>0</v>
      </c>
      <c r="X349" s="25" t="n">
        <v>0</v>
      </c>
      <c r="Y349" s="25" t="n">
        <v>0</v>
      </c>
      <c r="Z349" s="25" t="n">
        <v>0</v>
      </c>
      <c r="AA349" s="25" t="n">
        <v>1432.52</v>
      </c>
      <c r="AB349" s="25" t="n">
        <v>1030.42</v>
      </c>
      <c r="AC349" s="25" t="n">
        <v>0</v>
      </c>
      <c r="AD349" s="25" t="n">
        <v>0</v>
      </c>
      <c r="AE349" s="25" t="n">
        <v>0</v>
      </c>
      <c r="AF349" s="25" t="n">
        <v>0</v>
      </c>
      <c r="AG349" s="25" t="n">
        <v>23</v>
      </c>
      <c r="AH349" s="25" t="n">
        <v>3</v>
      </c>
      <c r="AI349" s="25" t="inlineStr">
        <is>
          <t>A</t>
        </is>
      </c>
      <c r="AJ349" s="25" t="n">
        <v>2</v>
      </c>
      <c r="AK349" s="25" t="n">
        <v>820.98</v>
      </c>
      <c r="AL349" s="26" t="n">
        <v>46065.41388888889</v>
      </c>
      <c r="AM349" s="26" t="n">
        <v>46065.41388888889</v>
      </c>
      <c r="AN349" s="25" t="inlineStr">
        <is>
          <t>WHATSAPP</t>
        </is>
      </c>
      <c r="AO349" s="25" t="inlineStr">
        <is>
          <t>NUTRIÇÃO | Envio da campanha do mês</t>
        </is>
      </c>
      <c r="AP349" s="27">
        <f>IF(AH349="","",IF(AH349=0,"PROSPECT",IF(AH349=1,"NOVO",IF(AH349&lt;=3,"EM DESENVOLVIMENTO",IF(AH349&lt;=6,"RECORRENTE","FIDELIZADO")))))</f>
        <v/>
      </c>
      <c r="AQ349" s="27">
        <f>IF(AJ349=0,0,IFERROR(SUM(U349:AF349)/AJ349,0))</f>
        <v/>
      </c>
      <c r="AS349" s="0" t="inlineStr">
        <is>
          <t>Carteira FEV/26 + Atend FEV/26</t>
        </is>
      </c>
    </row>
    <row r="350" ht="14.25" customHeight="1" s="16">
      <c r="A350" s="25" t="inlineStr">
        <is>
          <t>LEBANON MARKET CENTER LTDA</t>
        </is>
      </c>
      <c r="B350" s="25" t="inlineStr">
        <is>
          <t>03139271000110</t>
        </is>
      </c>
      <c r="C350" s="25" t="inlineStr">
        <is>
          <t>LEBANON MARKET CENTER LTDA</t>
        </is>
      </c>
      <c r="D350" s="25" t="inlineStr">
        <is>
          <t>SP</t>
        </is>
      </c>
      <c r="E350" s="25" t="inlineStr">
        <is>
          <t>SAO PAULO</t>
        </is>
      </c>
      <c r="F350" s="25" t="inlineStr">
        <is>
          <t>financeiro@lebanon.com.br</t>
        </is>
      </c>
      <c r="G350" s="25" t="inlineStr">
        <is>
          <t>+55 (11) 97854-9889</t>
        </is>
      </c>
      <c r="H350" s="25" t="inlineStr">
        <is>
          <t>08/10/2024</t>
        </is>
      </c>
      <c r="I350" s="25" t="n"/>
      <c r="J350" s="25" t="inlineStr">
        <is>
          <t>LARISSA PADILHA</t>
        </is>
      </c>
      <c r="K350" s="25" t="inlineStr">
        <is>
          <t>Larissa Padilha</t>
        </is>
      </c>
      <c r="L350" s="25" t="n">
        <v>93</v>
      </c>
      <c r="M350" s="25" t="inlineStr">
        <is>
          <t>14/11/2025</t>
        </is>
      </c>
      <c r="N350" s="25" t="n">
        <v>2335.96</v>
      </c>
      <c r="O350" s="25" t="n"/>
      <c r="P350" s="25" t="n"/>
      <c r="Q350" s="25" t="n"/>
      <c r="R350" s="25" t="n"/>
      <c r="S350" s="25" t="n"/>
      <c r="T350" s="25" t="n"/>
      <c r="U350" s="25" t="n">
        <v>0</v>
      </c>
      <c r="V350" s="25" t="n">
        <v>0</v>
      </c>
      <c r="W350" s="25" t="n">
        <v>0</v>
      </c>
      <c r="X350" s="25" t="n">
        <v>0</v>
      </c>
      <c r="Y350" s="25" t="n">
        <v>0</v>
      </c>
      <c r="Z350" s="25" t="n">
        <v>0</v>
      </c>
      <c r="AA350" s="25" t="n">
        <v>0</v>
      </c>
      <c r="AB350" s="25" t="n">
        <v>0</v>
      </c>
      <c r="AC350" s="25" t="n">
        <v>2335.96</v>
      </c>
      <c r="AD350" s="25" t="n">
        <v>0</v>
      </c>
      <c r="AE350" s="25" t="n">
        <v>0</v>
      </c>
      <c r="AF350" s="25" t="n">
        <v>0</v>
      </c>
      <c r="AG350" s="25" t="n">
        <v>0</v>
      </c>
      <c r="AH350" s="25" t="n">
        <v>0</v>
      </c>
      <c r="AI350" s="25" t="inlineStr">
        <is>
          <t>B</t>
        </is>
      </c>
      <c r="AJ350" s="25" t="n">
        <v>1</v>
      </c>
      <c r="AK350" s="25" t="n">
        <v>0</v>
      </c>
      <c r="AL350" s="26" t="n">
        <v>46058.66399305555</v>
      </c>
      <c r="AM350" s="26" t="n">
        <v>46058.66399305555</v>
      </c>
      <c r="AN350" s="25" t="inlineStr">
        <is>
          <t>WHATSAPP</t>
        </is>
      </c>
      <c r="AO350" s="25" t="inlineStr">
        <is>
          <t>LEBANON MARKET CENTER - SONIA - SP</t>
        </is>
      </c>
      <c r="AP350" s="27">
        <f>IF(AH350="","",IF(AH350=0,"PROSPECT",IF(AH350=1,"NOVO",IF(AH350&lt;=3,"EM DESENVOLVIMENTO",IF(AH350&lt;=6,"RECORRENTE","FIDELIZADO")))))</f>
        <v/>
      </c>
      <c r="AQ350" s="27">
        <f>IF(AJ350=0,0,IFERROR(SUM(U350:AF350)/AJ350,0))</f>
        <v/>
      </c>
      <c r="AS350" s="0" t="inlineStr">
        <is>
          <t>Carteira FEV/26 + Atend FEV/26</t>
        </is>
      </c>
    </row>
    <row r="351" ht="14.25" customHeight="1" s="16">
      <c r="A351" s="25" t="inlineStr">
        <is>
          <t>LIDIANA APARECIDA DE ASSIS LUQUE</t>
        </is>
      </c>
      <c r="B351" s="25" t="inlineStr">
        <is>
          <t>36213071000110</t>
        </is>
      </c>
      <c r="C351" s="25" t="inlineStr">
        <is>
          <t>LIDIANA APARECIDA DE ASSIS LUQUE</t>
        </is>
      </c>
      <c r="D351" s="25" t="inlineStr">
        <is>
          <t>SP</t>
        </is>
      </c>
      <c r="E351" s="25" t="inlineStr">
        <is>
          <t>RIBEIRAO PRETO</t>
        </is>
      </c>
      <c r="F351" s="25" t="inlineStr">
        <is>
          <t>drogalukue@yahoo.com</t>
        </is>
      </c>
      <c r="G351" s="25" t="inlineStr">
        <is>
          <t>+55 (16) 99992-9667</t>
        </is>
      </c>
      <c r="H351" s="25" t="inlineStr">
        <is>
          <t>28/03/2025</t>
        </is>
      </c>
      <c r="I351" s="25" t="n"/>
      <c r="J351" s="25" t="inlineStr">
        <is>
          <t>DAIANE STAVICKI</t>
        </is>
      </c>
      <c r="K351" s="25" t="inlineStr">
        <is>
          <t>Central - Daiane</t>
        </is>
      </c>
      <c r="L351" s="25" t="n">
        <v>321</v>
      </c>
      <c r="M351" s="25" t="inlineStr">
        <is>
          <t>31/03/2025</t>
        </is>
      </c>
      <c r="N351" s="25" t="n">
        <v>1754.42</v>
      </c>
      <c r="O351" s="25" t="n"/>
      <c r="P351" s="25" t="n"/>
      <c r="Q351" s="25" t="n"/>
      <c r="R351" s="25" t="n"/>
      <c r="S351" s="25" t="n"/>
      <c r="T351" s="25" t="n"/>
      <c r="U351" s="25" t="n">
        <v>1754.42</v>
      </c>
      <c r="V351" s="25" t="n">
        <v>0</v>
      </c>
      <c r="W351" s="25" t="n">
        <v>0</v>
      </c>
      <c r="X351" s="25" t="n">
        <v>0</v>
      </c>
      <c r="Y351" s="25" t="n">
        <v>0</v>
      </c>
      <c r="Z351" s="25" t="n">
        <v>0</v>
      </c>
      <c r="AA351" s="25" t="n">
        <v>0</v>
      </c>
      <c r="AB351" s="25" t="n">
        <v>0</v>
      </c>
      <c r="AC351" s="25" t="n">
        <v>0</v>
      </c>
      <c r="AD351" s="25" t="n">
        <v>0</v>
      </c>
      <c r="AE351" s="25" t="n">
        <v>0</v>
      </c>
      <c r="AF351" s="25" t="n">
        <v>0</v>
      </c>
      <c r="AG351" s="25" t="n">
        <v>0</v>
      </c>
      <c r="AH351" s="25" t="n">
        <v>1</v>
      </c>
      <c r="AI351" s="25" t="inlineStr">
        <is>
          <t>B</t>
        </is>
      </c>
      <c r="AJ351" s="25" t="n">
        <v>1</v>
      </c>
      <c r="AK351" s="25" t="n">
        <v>1754.42</v>
      </c>
      <c r="AL351" s="26" t="n">
        <v>46036.70349537037</v>
      </c>
      <c r="AM351" s="26" t="n">
        <v>46036.70349537037</v>
      </c>
      <c r="AN351" s="25" t="inlineStr">
        <is>
          <t>WHATSAPP</t>
        </is>
      </c>
      <c r="AO351" s="25" t="inlineStr">
        <is>
          <t>LIDIANA - SP</t>
        </is>
      </c>
      <c r="AP351" s="27">
        <f>IF(AH351="","",IF(AH351=0,"PROSPECT",IF(AH351=1,"NOVO",IF(AH351&lt;=3,"EM DESENVOLVIMENTO",IF(AH351&lt;=6,"RECORRENTE","FIDELIZADO")))))</f>
        <v/>
      </c>
      <c r="AQ351" s="27">
        <f>IF(AJ351=0,0,IFERROR(SUM(U351:AF351)/AJ351,0))</f>
        <v/>
      </c>
      <c r="AS351" s="0" t="inlineStr">
        <is>
          <t>Carteira FEV/26</t>
        </is>
      </c>
    </row>
    <row r="352" ht="14.25" customHeight="1" s="16">
      <c r="A352" s="25" t="inlineStr">
        <is>
          <t>LM NUTRICAO BOMBINHAS</t>
        </is>
      </c>
      <c r="B352" s="25" t="inlineStr">
        <is>
          <t>54904619000150</t>
        </is>
      </c>
      <c r="C352" s="25" t="inlineStr">
        <is>
          <t>LM NUTRICAO BOMBINHAS LTDA</t>
        </is>
      </c>
      <c r="D352" s="25" t="inlineStr">
        <is>
          <t>SC</t>
        </is>
      </c>
      <c r="E352" s="25" t="inlineStr">
        <is>
          <t>BOMBINHAS</t>
        </is>
      </c>
      <c r="F352" s="25" t="inlineStr">
        <is>
          <t>fitlandbombinhas@gmail.com</t>
        </is>
      </c>
      <c r="G352" s="25" t="inlineStr">
        <is>
          <t>+55 (47) 9123-2956</t>
        </is>
      </c>
      <c r="H352" s="25" t="inlineStr">
        <is>
          <t>08/10/2024</t>
        </is>
      </c>
      <c r="I352" s="25" t="inlineStr">
        <is>
          <t>[Rede] Fit Land</t>
        </is>
      </c>
      <c r="J352" s="25" t="inlineStr">
        <is>
          <t>LARISSA PADILHA</t>
        </is>
      </c>
      <c r="K352" s="25" t="inlineStr">
        <is>
          <t>Larissa Padilha</t>
        </is>
      </c>
      <c r="L352" s="25" t="n">
        <v>184</v>
      </c>
      <c r="M352" s="25" t="inlineStr">
        <is>
          <t>15/08/2025</t>
        </is>
      </c>
      <c r="N352" s="25" t="n">
        <v>820.8</v>
      </c>
      <c r="O352" s="25" t="n"/>
      <c r="P352" s="25" t="n"/>
      <c r="Q352" s="25" t="n"/>
      <c r="R352" s="25" t="n"/>
      <c r="S352" s="25" t="n"/>
      <c r="T352" s="25" t="n"/>
      <c r="U352" s="25" t="n">
        <v>0</v>
      </c>
      <c r="V352" s="25" t="n">
        <v>0</v>
      </c>
      <c r="W352" s="25" t="n">
        <v>0</v>
      </c>
      <c r="X352" s="25" t="n">
        <v>905.86</v>
      </c>
      <c r="Y352" s="25" t="n">
        <v>0</v>
      </c>
      <c r="Z352" s="25" t="n">
        <v>820.8</v>
      </c>
      <c r="AA352" s="25" t="n">
        <v>0</v>
      </c>
      <c r="AB352" s="25" t="n">
        <v>0</v>
      </c>
      <c r="AC352" s="25" t="n">
        <v>0</v>
      </c>
      <c r="AD352" s="25" t="n">
        <v>0</v>
      </c>
      <c r="AE352" s="25" t="n">
        <v>0</v>
      </c>
      <c r="AF352" s="25" t="n">
        <v>0</v>
      </c>
      <c r="AG352" s="25" t="n">
        <v>52</v>
      </c>
      <c r="AH352" s="25" t="n">
        <v>2</v>
      </c>
      <c r="AI352" s="25" t="inlineStr">
        <is>
          <t>B</t>
        </is>
      </c>
      <c r="AJ352" s="25" t="n">
        <v>2</v>
      </c>
      <c r="AK352" s="25" t="n">
        <v>863.33</v>
      </c>
      <c r="AL352" s="26" t="n">
        <v>46001.43125</v>
      </c>
      <c r="AM352" s="26" t="n">
        <v>46001.43125</v>
      </c>
      <c r="AN352" s="25" t="inlineStr">
        <is>
          <t>WHATSAPP</t>
        </is>
      </c>
      <c r="AO352" s="25" t="inlineStr">
        <is>
          <t>FITLAND - BOMBINHAS - MURILO</t>
        </is>
      </c>
      <c r="AP352" s="27">
        <f>IF(AH352="","",IF(AH352=0,"PROSPECT",IF(AH352=1,"NOVO",IF(AH352&lt;=3,"EM DESENVOLVIMENTO",IF(AH352&lt;=6,"RECORRENTE","FIDELIZADO")))))</f>
        <v/>
      </c>
      <c r="AQ352" s="27">
        <f>IF(AJ352=0,0,IFERROR(SUM(U352:AF352)/AJ352,0))</f>
        <v/>
      </c>
      <c r="AS352" s="0" t="inlineStr">
        <is>
          <t>Carteira FEV/26</t>
        </is>
      </c>
    </row>
    <row r="353" ht="14.25" customHeight="1" s="16">
      <c r="A353" s="25" t="inlineStr">
        <is>
          <t>LOJA MULTIBOM</t>
        </is>
      </c>
      <c r="B353" s="25" t="inlineStr">
        <is>
          <t>17261509001839</t>
        </is>
      </c>
      <c r="C353" s="25" t="inlineStr">
        <is>
          <t>UNIAO LESTE BRASILEIRA DA IGREJA ADVENTISTA DO SETIMO DIA</t>
        </is>
      </c>
      <c r="D353" s="25" t="inlineStr">
        <is>
          <t>BA</t>
        </is>
      </c>
      <c r="E353" s="25" t="inlineStr">
        <is>
          <t>FEIRA DE SANTANA</t>
        </is>
      </c>
      <c r="F353" s="25" t="inlineStr">
        <is>
          <t>flavio.vinicius@adventistas.org</t>
        </is>
      </c>
      <c r="G353" s="25" t="inlineStr">
        <is>
          <t>+55 (75) 9144-8812</t>
        </is>
      </c>
      <c r="H353" s="25" t="inlineStr">
        <is>
          <t>18/06/2025</t>
        </is>
      </c>
      <c r="I353" s="25" t="n"/>
      <c r="J353" s="25" t="inlineStr">
        <is>
          <t>LARISSA PADILHA</t>
        </is>
      </c>
      <c r="K353" s="25" t="inlineStr">
        <is>
          <t>Helder Brunkow</t>
        </is>
      </c>
      <c r="L353" s="25" t="n">
        <v>237</v>
      </c>
      <c r="M353" s="25" t="inlineStr">
        <is>
          <t>23/06/2025</t>
        </is>
      </c>
      <c r="N353" s="25" t="n">
        <v>652.51</v>
      </c>
      <c r="O353" s="25" t="n">
        <v>2</v>
      </c>
      <c r="P353" s="25" t="inlineStr">
        <is>
          <t>Sim</t>
        </is>
      </c>
      <c r="Q353" s="25" t="n">
        <v>99</v>
      </c>
      <c r="R353" s="25" t="n">
        <v>23</v>
      </c>
      <c r="S353" s="25" t="n">
        <v>652.51</v>
      </c>
      <c r="T353" s="25" t="inlineStr">
        <is>
          <t>COMPRA B2B</t>
        </is>
      </c>
      <c r="U353" s="25" t="n">
        <v>0</v>
      </c>
      <c r="V353" s="25" t="n">
        <v>0</v>
      </c>
      <c r="W353" s="25" t="n">
        <v>0</v>
      </c>
      <c r="X353" s="25" t="n">
        <v>652.51</v>
      </c>
      <c r="Y353" s="25" t="n">
        <v>0</v>
      </c>
      <c r="Z353" s="25" t="n">
        <v>0</v>
      </c>
      <c r="AA353" s="25" t="n">
        <v>0</v>
      </c>
      <c r="AB353" s="25" t="n">
        <v>0</v>
      </c>
      <c r="AC353" s="25" t="n">
        <v>0</v>
      </c>
      <c r="AD353" s="25" t="n">
        <v>0</v>
      </c>
      <c r="AE353" s="25" t="n">
        <v>0</v>
      </c>
      <c r="AF353" s="25" t="n">
        <v>0</v>
      </c>
      <c r="AG353" s="25" t="n">
        <v>0</v>
      </c>
      <c r="AH353" s="25" t="n">
        <v>1</v>
      </c>
      <c r="AI353" s="25" t="inlineStr">
        <is>
          <t>C</t>
        </is>
      </c>
      <c r="AJ353" s="25" t="n">
        <v>1</v>
      </c>
      <c r="AK353" s="25" t="n">
        <v>652.51</v>
      </c>
      <c r="AL353" s="26" t="n">
        <v>46065.59513888889</v>
      </c>
      <c r="AM353" s="26" t="n">
        <v>46065.59513888889</v>
      </c>
      <c r="AN353" s="25" t="inlineStr">
        <is>
          <t>WHATSAPP</t>
        </is>
      </c>
      <c r="AO353" s="25" t="inlineStr">
        <is>
          <t>NUTRIÇÃO | Envio da campanha do mês</t>
        </is>
      </c>
      <c r="AP353" s="27">
        <f>IF(AH353="","",IF(AH353=0,"PROSPECT",IF(AH353=1,"NOVO",IF(AH353&lt;=3,"EM DESENVOLVIMENTO",IF(AH353&lt;=6,"RECORRENTE","FIDELIZADO")))))</f>
        <v/>
      </c>
      <c r="AQ353" s="27">
        <f>IF(AJ353=0,0,IFERROR(SUM(U353:AF353)/AJ353,0))</f>
        <v/>
      </c>
      <c r="AS353" s="0" t="inlineStr">
        <is>
          <t>Carteira FEV/26 + Atend FEV/26</t>
        </is>
      </c>
    </row>
    <row r="354" ht="14.25" customHeight="1" s="16">
      <c r="A354" s="25" t="inlineStr">
        <is>
          <t>LOJA VIDA LEVE VILA ARENS</t>
        </is>
      </c>
      <c r="B354" s="25" t="inlineStr">
        <is>
          <t>62004109000154</t>
        </is>
      </c>
      <c r="C354" s="25" t="inlineStr">
        <is>
          <t>P M DA SILVA ROSA PRODUTOS NATURAIS LTDA</t>
        </is>
      </c>
      <c r="D354" s="25" t="inlineStr">
        <is>
          <t>SP</t>
        </is>
      </c>
      <c r="E354" s="25" t="inlineStr">
        <is>
          <t>JUNDIAI</t>
        </is>
      </c>
      <c r="F354" s="25" t="inlineStr">
        <is>
          <t>vila.arensjundiai@redevidaleve.com.br</t>
        </is>
      </c>
      <c r="G354" s="25" t="inlineStr">
        <is>
          <t>+55 (11) 97262-6546</t>
        </is>
      </c>
      <c r="H354" s="25" t="inlineStr">
        <is>
          <t>30/09/2025</t>
        </is>
      </c>
      <c r="I354" s="25" t="inlineStr">
        <is>
          <t>[Rede] Vida Leve</t>
        </is>
      </c>
      <c r="J354" s="25" t="inlineStr">
        <is>
          <t>DAIANE STAVICKI</t>
        </is>
      </c>
      <c r="K354" s="25" t="inlineStr">
        <is>
          <t>Central - Daiane</t>
        </is>
      </c>
      <c r="L354" s="25" t="n">
        <v>138</v>
      </c>
      <c r="M354" s="25" t="inlineStr">
        <is>
          <t>30/09/2025</t>
        </is>
      </c>
      <c r="N354" s="25" t="n">
        <v>1570.68</v>
      </c>
      <c r="O354" s="25" t="n">
        <v>1</v>
      </c>
      <c r="P354" s="25" t="inlineStr">
        <is>
          <t>Sim</t>
        </is>
      </c>
      <c r="Q354" s="25" t="n">
        <v>2</v>
      </c>
      <c r="R354" s="25" t="n"/>
      <c r="S354" s="25" t="n"/>
      <c r="T354" s="25" t="n"/>
      <c r="U354" s="25" t="n">
        <v>0</v>
      </c>
      <c r="V354" s="25" t="n">
        <v>0</v>
      </c>
      <c r="W354" s="25" t="n">
        <v>0</v>
      </c>
      <c r="X354" s="25" t="n">
        <v>0</v>
      </c>
      <c r="Y354" s="25" t="n">
        <v>0</v>
      </c>
      <c r="Z354" s="25" t="n">
        <v>0</v>
      </c>
      <c r="AA354" s="25" t="n">
        <v>1570.68</v>
      </c>
      <c r="AB354" s="25" t="n">
        <v>0</v>
      </c>
      <c r="AC354" s="25" t="n">
        <v>0</v>
      </c>
      <c r="AD354" s="25" t="n">
        <v>0</v>
      </c>
      <c r="AE354" s="25" t="n">
        <v>0</v>
      </c>
      <c r="AF354" s="25" t="n">
        <v>0</v>
      </c>
      <c r="AG354" s="25" t="n">
        <v>0</v>
      </c>
      <c r="AH354" s="25" t="n">
        <v>1</v>
      </c>
      <c r="AI354" s="25" t="inlineStr">
        <is>
          <t>B</t>
        </is>
      </c>
      <c r="AJ354" s="25" t="n">
        <v>1</v>
      </c>
      <c r="AK354" s="25" t="n">
        <v>1570.68</v>
      </c>
      <c r="AL354" s="26" t="n">
        <v>46000.70763888889</v>
      </c>
      <c r="AM354" s="26" t="n">
        <v>46000.70763888889</v>
      </c>
      <c r="AN354" s="25" t="inlineStr">
        <is>
          <t>LIGAÇÃO</t>
        </is>
      </c>
      <c r="AO354" s="28" t="inlineStr">
        <is>
          <t>Link: https://vitaomais.meuspedidos.com.br/ E-mail: vila.arensjundiai@redevidaleve.com.br Senha: 354724</t>
        </is>
      </c>
      <c r="AP354" s="27">
        <f>IF(AH354="","",IF(AH354=0,"PROSPECT",IF(AH354=1,"NOVO",IF(AH354&lt;=3,"EM DESENVOLVIMENTO",IF(AH354&lt;=6,"RECORRENTE","FIDELIZADO")))))</f>
        <v/>
      </c>
      <c r="AQ354" s="27">
        <f>IF(AJ354=0,0,IFERROR(SUM(U354:AF354)/AJ354,0))</f>
        <v/>
      </c>
      <c r="AS354" s="0" t="inlineStr">
        <is>
          <t>Carteira FEV/26</t>
        </is>
      </c>
    </row>
    <row r="355" ht="14.25" customHeight="1" s="16">
      <c r="A355" s="25" t="inlineStr">
        <is>
          <t>LOS BENAVIDES SORVETES</t>
        </is>
      </c>
      <c r="B355" s="25" t="inlineStr">
        <is>
          <t>07260140000148</t>
        </is>
      </c>
      <c r="C355" s="25" t="inlineStr">
        <is>
          <t>PEDRO CLAUDIO CAMARGO TATUI</t>
        </is>
      </c>
      <c r="D355" s="25" t="inlineStr">
        <is>
          <t>SP</t>
        </is>
      </c>
      <c r="E355" s="25" t="inlineStr">
        <is>
          <t>TATUI</t>
        </is>
      </c>
      <c r="F355" s="25" t="inlineStr">
        <is>
          <t>losbenavidessorvetes@gmail.com</t>
        </is>
      </c>
      <c r="G355" s="25" t="inlineStr">
        <is>
          <t>+55 (15) 98172-7787</t>
        </is>
      </c>
      <c r="H355" s="25" t="inlineStr">
        <is>
          <t>04/11/2025</t>
        </is>
      </c>
      <c r="I355" s="25" t="n"/>
      <c r="J355" s="25" t="inlineStr">
        <is>
          <t>LARISSA PADILHA</t>
        </is>
      </c>
      <c r="K355" s="25" t="inlineStr">
        <is>
          <t>Larissa Padilha</t>
        </is>
      </c>
      <c r="L355" s="25" t="n">
        <v>101</v>
      </c>
      <c r="M355" s="25" t="inlineStr">
        <is>
          <t>06/11/2025</t>
        </is>
      </c>
      <c r="N355" s="25" t="n">
        <v>1236.5</v>
      </c>
      <c r="O355" s="25" t="n">
        <v>1</v>
      </c>
      <c r="P355" s="25" t="inlineStr">
        <is>
          <t>Sim</t>
        </is>
      </c>
      <c r="Q355" s="25" t="n">
        <v>10</v>
      </c>
      <c r="R355" s="25" t="n">
        <v>1</v>
      </c>
      <c r="S355" s="25" t="n">
        <v>1236.5</v>
      </c>
      <c r="T355" s="25" t="inlineStr">
        <is>
          <t>COMPRA B2B</t>
        </is>
      </c>
      <c r="U355" s="25" t="n">
        <v>0</v>
      </c>
      <c r="V355" s="25" t="n">
        <v>0</v>
      </c>
      <c r="W355" s="25" t="n">
        <v>0</v>
      </c>
      <c r="X355" s="25" t="n">
        <v>0</v>
      </c>
      <c r="Y355" s="25" t="n">
        <v>0</v>
      </c>
      <c r="Z355" s="25" t="n">
        <v>0</v>
      </c>
      <c r="AA355" s="25" t="n">
        <v>0</v>
      </c>
      <c r="AB355" s="25" t="n">
        <v>0</v>
      </c>
      <c r="AC355" s="25" t="n">
        <v>1236.5</v>
      </c>
      <c r="AD355" s="25" t="n">
        <v>0</v>
      </c>
      <c r="AE355" s="25" t="n">
        <v>0</v>
      </c>
      <c r="AF355" s="25" t="n">
        <v>0</v>
      </c>
      <c r="AG355" s="25" t="n">
        <v>0</v>
      </c>
      <c r="AH355" s="25" t="n">
        <v>0</v>
      </c>
      <c r="AI355" s="25" t="inlineStr">
        <is>
          <t>B</t>
        </is>
      </c>
      <c r="AJ355" s="25" t="n">
        <v>1</v>
      </c>
      <c r="AK355" s="25" t="n">
        <v>0</v>
      </c>
      <c r="AL355" s="26" t="n">
        <v>46058.6821412037</v>
      </c>
      <c r="AM355" s="26" t="n">
        <v>46058.6821412037</v>
      </c>
      <c r="AN355" s="25" t="inlineStr">
        <is>
          <t>WHATSAPP</t>
        </is>
      </c>
      <c r="AO355" s="25" t="inlineStr">
        <is>
          <t>LOS BENAVIDES - LEONARDO - SP</t>
        </is>
      </c>
      <c r="AP355" s="27">
        <f>IF(AH355="","",IF(AH355=0,"PROSPECT",IF(AH355=1,"NOVO",IF(AH355&lt;=3,"EM DESENVOLVIMENTO",IF(AH355&lt;=6,"RECORRENTE","FIDELIZADO")))))</f>
        <v/>
      </c>
      <c r="AQ355" s="27">
        <f>IF(AJ355=0,0,IFERROR(SUM(U355:AF355)/AJ355,0))</f>
        <v/>
      </c>
      <c r="AS355" s="0" t="inlineStr">
        <is>
          <t>Carteira FEV/26 + Atend FEV/26</t>
        </is>
      </c>
    </row>
    <row r="356" ht="14.25" customHeight="1" s="16">
      <c r="A356" s="25" t="inlineStr">
        <is>
          <t>LUANA CRISTINA DE ANGELO VALVASSORI</t>
        </is>
      </c>
      <c r="B356" s="25" t="inlineStr">
        <is>
          <t>55222424000192</t>
        </is>
      </c>
      <c r="C356" s="25" t="inlineStr">
        <is>
          <t>55.222.424 LUANA CRISTINA DE ANGELO VALVASSORI</t>
        </is>
      </c>
      <c r="D356" s="25" t="inlineStr">
        <is>
          <t>SP</t>
        </is>
      </c>
      <c r="E356" s="25" t="inlineStr">
        <is>
          <t>SAO PAULO</t>
        </is>
      </c>
      <c r="F356" s="25" t="inlineStr">
        <is>
          <t>LUANAANGELO@HOTMAIL.COM</t>
        </is>
      </c>
      <c r="G356" s="25" t="inlineStr">
        <is>
          <t>+55 (11) 99213-6343</t>
        </is>
      </c>
      <c r="H356" s="25" t="inlineStr">
        <is>
          <t>08/08/2025</t>
        </is>
      </c>
      <c r="I356" s="25" t="n"/>
      <c r="J356" s="25" t="inlineStr">
        <is>
          <t>Lorrany</t>
        </is>
      </c>
      <c r="K356" s="25" t="inlineStr">
        <is>
          <t>Lorrany</t>
        </is>
      </c>
      <c r="L356" s="25" t="n">
        <v>186</v>
      </c>
      <c r="M356" s="25" t="inlineStr">
        <is>
          <t>13/08/2025</t>
        </is>
      </c>
      <c r="N356" s="25" t="n">
        <v>1012.6</v>
      </c>
      <c r="O356" s="25" t="n"/>
      <c r="P356" s="25" t="n"/>
      <c r="Q356" s="25" t="n"/>
      <c r="R356" s="25" t="n"/>
      <c r="S356" s="25" t="n"/>
      <c r="T356" s="25" t="n"/>
      <c r="U356" s="25" t="n">
        <v>0</v>
      </c>
      <c r="V356" s="25" t="n">
        <v>0</v>
      </c>
      <c r="W356" s="25" t="n">
        <v>0</v>
      </c>
      <c r="X356" s="25" t="n">
        <v>0</v>
      </c>
      <c r="Y356" s="25" t="n">
        <v>0</v>
      </c>
      <c r="Z356" s="25" t="n">
        <v>1012.6</v>
      </c>
      <c r="AA356" s="25" t="n">
        <v>0</v>
      </c>
      <c r="AB356" s="25" t="n">
        <v>0</v>
      </c>
      <c r="AC356" s="25" t="n">
        <v>0</v>
      </c>
      <c r="AD356" s="25" t="n">
        <v>0</v>
      </c>
      <c r="AE356" s="25" t="n">
        <v>0</v>
      </c>
      <c r="AF356" s="25" t="n">
        <v>0</v>
      </c>
      <c r="AG356" s="25" t="n">
        <v>0</v>
      </c>
      <c r="AH356" s="25" t="n">
        <v>1</v>
      </c>
      <c r="AI356" s="25" t="inlineStr">
        <is>
          <t>C</t>
        </is>
      </c>
      <c r="AJ356" s="25" t="n">
        <v>1</v>
      </c>
      <c r="AK356" s="25" t="n">
        <v>1012.6</v>
      </c>
      <c r="AL356" s="25" t="n"/>
      <c r="AM356" s="25" t="n"/>
      <c r="AN356" s="25" t="n"/>
      <c r="AO356" s="25" t="n"/>
      <c r="AP356" s="27">
        <f>IF(AH356="","",IF(AH356=0,"PROSPECT",IF(AH356=1,"NOVO",IF(AH356&lt;=3,"EM DESENVOLVIMENTO",IF(AH356&lt;=6,"RECORRENTE","FIDELIZADO")))))</f>
        <v/>
      </c>
      <c r="AQ356" s="27">
        <f>IF(AJ356=0,0,IFERROR(SUM(U356:AF356)/AJ356,0))</f>
        <v/>
      </c>
      <c r="AS356" s="0" t="inlineStr">
        <is>
          <t>Carteira FEV/26</t>
        </is>
      </c>
    </row>
    <row r="357" ht="14.25" customHeight="1" s="16">
      <c r="A357" s="25" t="inlineStr">
        <is>
          <t>MACHADAO ATACADISTA</t>
        </is>
      </c>
      <c r="B357" s="25" t="inlineStr">
        <is>
          <t>03790904000407</t>
        </is>
      </c>
      <c r="C357" s="25" t="inlineStr">
        <is>
          <t>COMERCIAL CARAPA DE SECOS E MOLHADOS LTDA</t>
        </is>
      </c>
      <c r="D357" s="25" t="inlineStr">
        <is>
          <t>MT</t>
        </is>
      </c>
      <c r="E357" s="25" t="inlineStr">
        <is>
          <t>MATUPA</t>
        </is>
      </c>
      <c r="F357" s="25" t="inlineStr">
        <is>
          <t>cristiane@redemachado.com,jakeline@redemachado.com,xml@redemachado.com</t>
        </is>
      </c>
      <c r="G357" s="25" t="inlineStr">
        <is>
          <t>+55 (66) 9976-1052</t>
        </is>
      </c>
      <c r="H357" s="25" t="inlineStr">
        <is>
          <t>14/05/2025</t>
        </is>
      </c>
      <c r="I357" s="25" t="n"/>
      <c r="J357" s="25" t="inlineStr">
        <is>
          <t>Helder Brunkow</t>
        </is>
      </c>
      <c r="K357" s="25" t="inlineStr">
        <is>
          <t>Helder Brunkow</t>
        </is>
      </c>
      <c r="L357" s="25" t="n">
        <v>216</v>
      </c>
      <c r="M357" s="25" t="inlineStr">
        <is>
          <t>14/07/2025</t>
        </is>
      </c>
      <c r="N357" s="25" t="n">
        <v>1452.42</v>
      </c>
      <c r="O357" s="25" t="n"/>
      <c r="P357" s="25" t="n"/>
      <c r="Q357" s="25" t="n"/>
      <c r="R357" s="25" t="n"/>
      <c r="S357" s="25" t="n"/>
      <c r="T357" s="25" t="n"/>
      <c r="U357" s="25" t="n">
        <v>0</v>
      </c>
      <c r="V357" s="25" t="n">
        <v>0</v>
      </c>
      <c r="W357" s="25" t="n">
        <v>0</v>
      </c>
      <c r="X357" s="25" t="n">
        <v>0</v>
      </c>
      <c r="Y357" s="25" t="n">
        <v>0</v>
      </c>
      <c r="Z357" s="25" t="n">
        <v>0</v>
      </c>
      <c r="AA357" s="25" t="n">
        <v>0</v>
      </c>
      <c r="AB357" s="25" t="n">
        <v>0</v>
      </c>
      <c r="AC357" s="25" t="n">
        <v>0</v>
      </c>
      <c r="AD357" s="25" t="n">
        <v>0</v>
      </c>
      <c r="AE357" s="25" t="n">
        <v>0</v>
      </c>
      <c r="AF357" s="25" t="n">
        <v>0</v>
      </c>
      <c r="AG357" s="25" t="n">
        <v>53</v>
      </c>
      <c r="AH357" s="25" t="n">
        <v>0</v>
      </c>
      <c r="AI357" s="25" t="inlineStr">
        <is>
          <t>A</t>
        </is>
      </c>
      <c r="AJ357" s="25" t="n">
        <v>0</v>
      </c>
      <c r="AK357" s="25" t="n">
        <v>0</v>
      </c>
      <c r="AL357" s="25" t="n"/>
      <c r="AM357" s="25" t="n"/>
      <c r="AN357" s="25" t="n"/>
      <c r="AO357" s="25" t="n"/>
      <c r="AP357" s="27">
        <f>IF(AH357="","",IF(AH357=0,"PROSPECT",IF(AH357=1,"NOVO",IF(AH357&lt;=3,"EM DESENVOLVIMENTO",IF(AH357&lt;=6,"RECORRENTE","FIDELIZADO")))))</f>
        <v/>
      </c>
      <c r="AQ357" s="27">
        <f>IF(AJ357=0,0,IFERROR(SUM(U357:AF357)/AJ357,0))</f>
        <v/>
      </c>
      <c r="AS357" s="0" t="inlineStr">
        <is>
          <t>Carteira FEV/26</t>
        </is>
      </c>
    </row>
    <row r="358" ht="14.25" customHeight="1" s="16">
      <c r="A358" s="25" t="inlineStr">
        <is>
          <t>MACHADAO ATACADISTA</t>
        </is>
      </c>
      <c r="B358" s="25" t="inlineStr">
        <is>
          <t>03790904000580</t>
        </is>
      </c>
      <c r="C358" s="25" t="inlineStr">
        <is>
          <t>COMERCIAL CARAPA DE SECOS E MOLHADOS LTDA</t>
        </is>
      </c>
      <c r="D358" s="25" t="inlineStr">
        <is>
          <t>MT</t>
        </is>
      </c>
      <c r="E358" s="25" t="inlineStr">
        <is>
          <t>PRIMAVERA DO LESTE</t>
        </is>
      </c>
      <c r="F358" s="25" t="inlineStr">
        <is>
          <t>cristiane@redemachado.com,jakeline@redemachado.com,xml@redemachado.com</t>
        </is>
      </c>
      <c r="G358" s="25" t="inlineStr">
        <is>
          <t>+55 (66) 99976-1052</t>
        </is>
      </c>
      <c r="H358" s="25" t="inlineStr">
        <is>
          <t>14/05/2025</t>
        </is>
      </c>
      <c r="I358" s="25" t="n"/>
      <c r="J358" s="25" t="inlineStr">
        <is>
          <t>LARISSA PADILHA</t>
        </is>
      </c>
      <c r="K358" s="25" t="inlineStr">
        <is>
          <t>Helder Brunkow</t>
        </is>
      </c>
      <c r="L358" s="25" t="n">
        <v>216</v>
      </c>
      <c r="M358" s="25" t="inlineStr">
        <is>
          <t>14/07/2025</t>
        </is>
      </c>
      <c r="N358" s="25" t="n">
        <v>4460.93</v>
      </c>
      <c r="O358" s="25" t="n">
        <v>1</v>
      </c>
      <c r="P358" s="25" t="inlineStr">
        <is>
          <t>Sim</t>
        </is>
      </c>
      <c r="Q358" s="25" t="n">
        <v>21</v>
      </c>
      <c r="R358" s="25" t="n"/>
      <c r="S358" s="25" t="n"/>
      <c r="T358" s="25" t="n"/>
      <c r="U358" s="25" t="n">
        <v>0</v>
      </c>
      <c r="V358" s="25" t="n">
        <v>0</v>
      </c>
      <c r="W358" s="25" t="n">
        <v>8201.209999999999</v>
      </c>
      <c r="X358" s="25" t="n">
        <v>0</v>
      </c>
      <c r="Y358" s="25" t="n">
        <v>8759.82</v>
      </c>
      <c r="Z358" s="25" t="n">
        <v>0</v>
      </c>
      <c r="AA358" s="25" t="n">
        <v>0</v>
      </c>
      <c r="AB358" s="25" t="n">
        <v>0</v>
      </c>
      <c r="AC358" s="25" t="n">
        <v>0</v>
      </c>
      <c r="AD358" s="25" t="n">
        <v>0</v>
      </c>
      <c r="AE358" s="25" t="n">
        <v>0</v>
      </c>
      <c r="AF358" s="25" t="n">
        <v>0</v>
      </c>
      <c r="AG358" s="25" t="n">
        <v>53</v>
      </c>
      <c r="AH358" s="25" t="n">
        <v>8</v>
      </c>
      <c r="AI358" s="25" t="inlineStr">
        <is>
          <t>A</t>
        </is>
      </c>
      <c r="AJ358" s="25" t="n">
        <v>2</v>
      </c>
      <c r="AK358" s="25" t="n">
        <v>2120.13</v>
      </c>
      <c r="AL358" s="25" t="n"/>
      <c r="AM358" s="25" t="n"/>
      <c r="AN358" s="25" t="n"/>
      <c r="AO358" s="25" t="n"/>
      <c r="AP358" s="27">
        <f>IF(AH358="","",IF(AH358=0,"PROSPECT",IF(AH358=1,"NOVO",IF(AH358&lt;=3,"EM DESENVOLVIMENTO",IF(AH358&lt;=6,"RECORRENTE","FIDELIZADO")))))</f>
        <v/>
      </c>
      <c r="AQ358" s="27">
        <f>IF(AJ358=0,0,IFERROR(SUM(U358:AF358)/AJ358,0))</f>
        <v/>
      </c>
      <c r="AS358" s="0" t="inlineStr">
        <is>
          <t>Carteira FEV/26</t>
        </is>
      </c>
    </row>
    <row r="359" ht="14.25" customHeight="1" s="16">
      <c r="A359" s="25" t="inlineStr">
        <is>
          <t>MACHADAO ATACADISTA</t>
        </is>
      </c>
      <c r="B359" s="25" t="inlineStr">
        <is>
          <t>13338712000248</t>
        </is>
      </c>
      <c r="C359" s="25" t="inlineStr">
        <is>
          <t>MARTINS &amp; BRUCHMAM MARTINS LTDA</t>
        </is>
      </c>
      <c r="D359" s="25" t="inlineStr">
        <is>
          <t>MT</t>
        </is>
      </c>
      <c r="E359" s="25" t="inlineStr">
        <is>
          <t>ALTA FLORESTA</t>
        </is>
      </c>
      <c r="F359" s="25" t="inlineStr">
        <is>
          <t>cristiane@redemachado.com,jakeline@redemachado.com,xml@redemachado.com</t>
        </is>
      </c>
      <c r="G359" s="25" t="inlineStr">
        <is>
          <t>+55 (66) 9976-1052</t>
        </is>
      </c>
      <c r="H359" s="25" t="inlineStr">
        <is>
          <t>14/05/2025</t>
        </is>
      </c>
      <c r="I359" s="25" t="n"/>
      <c r="J359" s="25" t="inlineStr">
        <is>
          <t>Helder Brunkow</t>
        </is>
      </c>
      <c r="K359" s="25" t="inlineStr">
        <is>
          <t>Helder Brunkow</t>
        </is>
      </c>
      <c r="L359" s="25" t="n">
        <v>216</v>
      </c>
      <c r="M359" s="25" t="inlineStr">
        <is>
          <t>14/07/2025</t>
        </is>
      </c>
      <c r="N359" s="25" t="n">
        <v>1453.67</v>
      </c>
      <c r="O359" s="25" t="n"/>
      <c r="P359" s="25" t="n"/>
      <c r="Q359" s="25" t="n"/>
      <c r="R359" s="25" t="n"/>
      <c r="S359" s="25" t="n"/>
      <c r="T359" s="25" t="n"/>
      <c r="U359" s="25" t="n">
        <v>0</v>
      </c>
      <c r="V359" s="25" t="n">
        <v>0</v>
      </c>
      <c r="W359" s="25" t="n">
        <v>0</v>
      </c>
      <c r="X359" s="25" t="n">
        <v>0</v>
      </c>
      <c r="Y359" s="25" t="n">
        <v>0</v>
      </c>
      <c r="Z359" s="25" t="n">
        <v>0</v>
      </c>
      <c r="AA359" s="25" t="n">
        <v>0</v>
      </c>
      <c r="AB359" s="25" t="n">
        <v>0</v>
      </c>
      <c r="AC359" s="25" t="n">
        <v>0</v>
      </c>
      <c r="AD359" s="25" t="n">
        <v>0</v>
      </c>
      <c r="AE359" s="25" t="n">
        <v>0</v>
      </c>
      <c r="AF359" s="25" t="n">
        <v>0</v>
      </c>
      <c r="AG359" s="25" t="n">
        <v>53</v>
      </c>
      <c r="AH359" s="25" t="n">
        <v>0</v>
      </c>
      <c r="AI359" s="25" t="inlineStr">
        <is>
          <t>A</t>
        </is>
      </c>
      <c r="AJ359" s="25" t="n">
        <v>0</v>
      </c>
      <c r="AK359" s="25" t="n">
        <v>0</v>
      </c>
      <c r="AL359" s="26" t="n">
        <v>46003.45902777778</v>
      </c>
      <c r="AM359" s="26" t="n">
        <v>46003.45902777778</v>
      </c>
      <c r="AN359" s="25" t="inlineStr">
        <is>
          <t>WHATSAPP</t>
        </is>
      </c>
      <c r="AO359" s="25" t="inlineStr">
        <is>
          <t>NUTRIÇÃO | Mensagem de final de ano</t>
        </is>
      </c>
      <c r="AP359" s="27">
        <f>IF(AH359="","",IF(AH359=0,"PROSPECT",IF(AH359=1,"NOVO",IF(AH359&lt;=3,"EM DESENVOLVIMENTO",IF(AH359&lt;=6,"RECORRENTE","FIDELIZADO")))))</f>
        <v/>
      </c>
      <c r="AQ359" s="27">
        <f>IF(AJ359=0,0,IFERROR(SUM(U359:AF359)/AJ359,0))</f>
        <v/>
      </c>
      <c r="AS359" s="0" t="inlineStr">
        <is>
          <t>Carteira FEV/26</t>
        </is>
      </c>
    </row>
    <row r="360" ht="14.25" customHeight="1" s="16">
      <c r="A360" s="25" t="inlineStr">
        <is>
          <t>MACHADAO ATACADISTA</t>
        </is>
      </c>
      <c r="B360" s="25" t="inlineStr">
        <is>
          <t>13338712000400</t>
        </is>
      </c>
      <c r="C360" s="25" t="inlineStr">
        <is>
          <t>MARTINS &amp; BRUCHMAM MARTINS LTDA</t>
        </is>
      </c>
      <c r="D360" s="25" t="inlineStr">
        <is>
          <t>MT</t>
        </is>
      </c>
      <c r="E360" s="25" t="inlineStr">
        <is>
          <t>CONFRESA</t>
        </is>
      </c>
      <c r="F360" s="25" t="inlineStr">
        <is>
          <t>cristiane@redemachado.com,jakeline@redemachado.com,xml@redemachado.com</t>
        </is>
      </c>
      <c r="G360" s="25" t="inlineStr">
        <is>
          <t>+55 (66) 9976-1052</t>
        </is>
      </c>
      <c r="H360" s="25" t="inlineStr">
        <is>
          <t>14/05/2025</t>
        </is>
      </c>
      <c r="I360" s="25" t="n"/>
      <c r="J360" s="25" t="inlineStr">
        <is>
          <t>Helder Brunkow</t>
        </is>
      </c>
      <c r="K360" s="25" t="inlineStr">
        <is>
          <t>Helder Brunkow</t>
        </is>
      </c>
      <c r="L360" s="25" t="n">
        <v>216</v>
      </c>
      <c r="M360" s="25" t="inlineStr">
        <is>
          <t>14/07/2025</t>
        </is>
      </c>
      <c r="N360" s="25" t="n">
        <v>1392.8</v>
      </c>
      <c r="O360" s="25" t="n"/>
      <c r="P360" s="25" t="n"/>
      <c r="Q360" s="25" t="n"/>
      <c r="R360" s="25" t="n"/>
      <c r="S360" s="25" t="n"/>
      <c r="T360" s="25" t="n"/>
      <c r="U360" s="25" t="n">
        <v>0</v>
      </c>
      <c r="V360" s="25" t="n">
        <v>0</v>
      </c>
      <c r="W360" s="25" t="n">
        <v>0</v>
      </c>
      <c r="X360" s="25" t="n">
        <v>0</v>
      </c>
      <c r="Y360" s="25" t="n">
        <v>0</v>
      </c>
      <c r="Z360" s="25" t="n">
        <v>0</v>
      </c>
      <c r="AA360" s="25" t="n">
        <v>0</v>
      </c>
      <c r="AB360" s="25" t="n">
        <v>0</v>
      </c>
      <c r="AC360" s="25" t="n">
        <v>0</v>
      </c>
      <c r="AD360" s="25" t="n">
        <v>0</v>
      </c>
      <c r="AE360" s="25" t="n">
        <v>0</v>
      </c>
      <c r="AF360" s="25" t="n">
        <v>0</v>
      </c>
      <c r="AG360" s="25" t="n">
        <v>53</v>
      </c>
      <c r="AH360" s="25" t="n">
        <v>0</v>
      </c>
      <c r="AI360" s="25" t="inlineStr">
        <is>
          <t>A</t>
        </is>
      </c>
      <c r="AJ360" s="25" t="n">
        <v>0</v>
      </c>
      <c r="AK360" s="25" t="n">
        <v>0</v>
      </c>
      <c r="AL360" s="26" t="n">
        <v>45926.43472222222</v>
      </c>
      <c r="AM360" s="26" t="n">
        <v>45926.43472222222</v>
      </c>
      <c r="AN360" s="25" t="inlineStr">
        <is>
          <t>WHATSAPP</t>
        </is>
      </c>
      <c r="AO360" s="25" t="inlineStr">
        <is>
          <t>NUTRIÇÃO | Mensagem da campanha de outubro</t>
        </is>
      </c>
      <c r="AP360" s="27">
        <f>IF(AH360="","",IF(AH360=0,"PROSPECT",IF(AH360=1,"NOVO",IF(AH360&lt;=3,"EM DESENVOLVIMENTO",IF(AH360&lt;=6,"RECORRENTE","FIDELIZADO")))))</f>
        <v/>
      </c>
      <c r="AQ360" s="27">
        <f>IF(AJ360=0,0,IFERROR(SUM(U360:AF360)/AJ360,0))</f>
        <v/>
      </c>
      <c r="AS360" s="0" t="inlineStr">
        <is>
          <t>Carteira FEV/26</t>
        </is>
      </c>
    </row>
    <row r="361" ht="14.25" customHeight="1" s="16">
      <c r="A361" s="25" t="inlineStr">
        <is>
          <t>MAIS NATURAL</t>
        </is>
      </c>
      <c r="B361" s="25" t="inlineStr">
        <is>
          <t>30112498000145</t>
        </is>
      </c>
      <c r="C361" s="25" t="inlineStr">
        <is>
          <t>DAIANE PAZINI SONZA LTDA</t>
        </is>
      </c>
      <c r="D361" s="25" t="inlineStr">
        <is>
          <t>MT</t>
        </is>
      </c>
      <c r="E361" s="25" t="inlineStr">
        <is>
          <t>QUERENCIA</t>
        </is>
      </c>
      <c r="F361" s="25" t="inlineStr">
        <is>
          <t>MAISNATURALQUERENCIA@GMAIL.COM</t>
        </is>
      </c>
      <c r="G361" s="25" t="inlineStr">
        <is>
          <t>+55 (66) 8429-6888</t>
        </is>
      </c>
      <c r="H361" s="25" t="inlineStr">
        <is>
          <t>08/10/2024</t>
        </is>
      </c>
      <c r="I361" s="25" t="n"/>
      <c r="J361" s="25" t="inlineStr">
        <is>
          <t>LARISSA PADILHA</t>
        </is>
      </c>
      <c r="K361" s="25" t="inlineStr">
        <is>
          <t>Larissa Padilha</t>
        </is>
      </c>
      <c r="L361" s="25" t="n">
        <v>321</v>
      </c>
      <c r="M361" s="25" t="inlineStr">
        <is>
          <t>31/03/2025</t>
        </is>
      </c>
      <c r="N361" s="25" t="n">
        <v>1783.27</v>
      </c>
      <c r="O361" s="25" t="n"/>
      <c r="P361" s="25" t="n"/>
      <c r="Q361" s="25" t="n"/>
      <c r="R361" s="25" t="n"/>
      <c r="S361" s="25" t="n"/>
      <c r="T361" s="25" t="n"/>
      <c r="U361" s="25" t="n">
        <v>1783.27</v>
      </c>
      <c r="V361" s="25" t="n">
        <v>0</v>
      </c>
      <c r="W361" s="25" t="n">
        <v>0</v>
      </c>
      <c r="X361" s="25" t="n">
        <v>0</v>
      </c>
      <c r="Y361" s="25" t="n">
        <v>0</v>
      </c>
      <c r="Z361" s="25" t="n">
        <v>0</v>
      </c>
      <c r="AA361" s="25" t="n">
        <v>0</v>
      </c>
      <c r="AB361" s="25" t="n">
        <v>0</v>
      </c>
      <c r="AC361" s="25" t="n">
        <v>0</v>
      </c>
      <c r="AD361" s="25" t="n">
        <v>0</v>
      </c>
      <c r="AE361" s="25" t="n">
        <v>0</v>
      </c>
      <c r="AF361" s="25" t="n">
        <v>0</v>
      </c>
      <c r="AG361" s="25" t="n">
        <v>0</v>
      </c>
      <c r="AH361" s="25" t="n">
        <v>1</v>
      </c>
      <c r="AI361" s="25" t="inlineStr">
        <is>
          <t>B</t>
        </is>
      </c>
      <c r="AJ361" s="25" t="n">
        <v>1</v>
      </c>
      <c r="AK361" s="25" t="n">
        <v>1783.27</v>
      </c>
      <c r="AL361" s="26" t="n">
        <v>46002.38891203704</v>
      </c>
      <c r="AM361" s="26" t="n">
        <v>46002.38891203704</v>
      </c>
      <c r="AN361" s="25" t="inlineStr">
        <is>
          <t>WHATSAPP</t>
        </is>
      </c>
      <c r="AO361" s="25" t="inlineStr">
        <is>
          <t>MAIS NATURAL - DAIANE PAZINI - MT</t>
        </is>
      </c>
      <c r="AP361" s="27">
        <f>IF(AH361="","",IF(AH361=0,"PROSPECT",IF(AH361=1,"NOVO",IF(AH361&lt;=3,"EM DESENVOLVIMENTO",IF(AH361&lt;=6,"RECORRENTE","FIDELIZADO")))))</f>
        <v/>
      </c>
      <c r="AQ361" s="27">
        <f>IF(AJ361=0,0,IFERROR(SUM(U361:AF361)/AJ361,0))</f>
        <v/>
      </c>
      <c r="AS361" s="0" t="inlineStr">
        <is>
          <t>Carteira FEV/26</t>
        </is>
      </c>
    </row>
    <row r="362" ht="14.25" customHeight="1" s="16">
      <c r="A362" s="25" t="inlineStr">
        <is>
          <t>MAIS NATURAL COMERCIO DE PRODUTOS NATURAIS</t>
        </is>
      </c>
      <c r="B362" s="25" t="inlineStr">
        <is>
          <t>17880439000230</t>
        </is>
      </c>
      <c r="C362" s="25" t="inlineStr">
        <is>
          <t>MAIS NATURAL COMERCIO DE PRODUTOS NATURAIS LTDA.</t>
        </is>
      </c>
      <c r="D362" s="25" t="inlineStr">
        <is>
          <t>RS</t>
        </is>
      </c>
      <c r="E362" s="25" t="inlineStr">
        <is>
          <t>TRES DE MAIO</t>
        </is>
      </c>
      <c r="F362" s="25" t="inlineStr">
        <is>
          <t>maisnaturaltm@maisnatural.ind.br</t>
        </is>
      </c>
      <c r="G362" s="25" t="inlineStr">
        <is>
          <t>+55 (55) 93619-5370 | +55 (55) 3535-1201</t>
        </is>
      </c>
      <c r="H362" s="25" t="inlineStr">
        <is>
          <t>08/10/2024</t>
        </is>
      </c>
      <c r="I362" s="25" t="inlineStr">
        <is>
          <t>[Rede] Mais Natural</t>
        </is>
      </c>
      <c r="J362" s="25" t="inlineStr">
        <is>
          <t>MANU DITZEL</t>
        </is>
      </c>
      <c r="K362" s="25" t="inlineStr">
        <is>
          <t>Manu Ditzel</t>
        </is>
      </c>
      <c r="L362" s="25" t="n">
        <v>115</v>
      </c>
      <c r="M362" s="25" t="inlineStr">
        <is>
          <t>23/10/2025</t>
        </is>
      </c>
      <c r="N362" s="25" t="n">
        <v>3492.11</v>
      </c>
      <c r="O362" s="25" t="n">
        <v>1</v>
      </c>
      <c r="P362" s="25" t="inlineStr">
        <is>
          <t>Sim</t>
        </is>
      </c>
      <c r="Q362" s="25" t="n">
        <v>62</v>
      </c>
      <c r="R362" s="25" t="n">
        <v>18</v>
      </c>
      <c r="S362" s="25" t="n">
        <v>4272.1</v>
      </c>
      <c r="T362" s="25" t="inlineStr">
        <is>
          <t>COMPRA B2B</t>
        </is>
      </c>
      <c r="U362" s="25" t="n">
        <v>1008</v>
      </c>
      <c r="V362" s="25" t="n">
        <v>1716.3</v>
      </c>
      <c r="W362" s="25" t="n">
        <v>0</v>
      </c>
      <c r="X362" s="25" t="n">
        <v>0</v>
      </c>
      <c r="Y362" s="25" t="n">
        <v>0</v>
      </c>
      <c r="Z362" s="25" t="n">
        <v>1547.8</v>
      </c>
      <c r="AA362" s="25" t="n">
        <v>0</v>
      </c>
      <c r="AB362" s="25" t="n">
        <v>3492.11</v>
      </c>
      <c r="AC362" s="25" t="n">
        <v>0</v>
      </c>
      <c r="AD362" s="25" t="n">
        <v>0</v>
      </c>
      <c r="AE362" s="25" t="n">
        <v>0</v>
      </c>
      <c r="AF362" s="25" t="n">
        <v>0</v>
      </c>
      <c r="AG362" s="25" t="n">
        <v>70</v>
      </c>
      <c r="AH362" s="25" t="n">
        <v>4</v>
      </c>
      <c r="AI362" s="25" t="inlineStr">
        <is>
          <t>A</t>
        </is>
      </c>
      <c r="AJ362" s="25" t="n">
        <v>5</v>
      </c>
      <c r="AK362" s="25" t="n">
        <v>2193.05</v>
      </c>
      <c r="AL362" s="26" t="n">
        <v>46041.38351851852</v>
      </c>
      <c r="AM362" s="26" t="n">
        <v>46041.38351851852</v>
      </c>
      <c r="AN362" s="25" t="inlineStr">
        <is>
          <t>WHATSAPP</t>
        </is>
      </c>
      <c r="AO362" s="25" t="inlineStr">
        <is>
          <t>MAIS NATURAL TRES DE MAIO ---ALE</t>
        </is>
      </c>
      <c r="AP362" s="27">
        <f>IF(AH362="","",IF(AH362=0,"PROSPECT",IF(AH362=1,"NOVO",IF(AH362&lt;=3,"EM DESENVOLVIMENTO",IF(AH362&lt;=6,"RECORRENTE","FIDELIZADO")))))</f>
        <v/>
      </c>
      <c r="AQ362" s="27">
        <f>IF(AJ362=0,0,IFERROR(SUM(U362:AF362)/AJ362,0))</f>
        <v/>
      </c>
      <c r="AS362" s="0" t="inlineStr">
        <is>
          <t>Carteira FEV/26</t>
        </is>
      </c>
    </row>
    <row r="363" ht="14.25" customHeight="1" s="16">
      <c r="A363" s="25" t="inlineStr">
        <is>
          <t>MANCINI &amp; SANTOS NUTRICAO LTDA</t>
        </is>
      </c>
      <c r="B363" s="25" t="inlineStr">
        <is>
          <t>62872888000100</t>
        </is>
      </c>
      <c r="C363" s="25" t="inlineStr">
        <is>
          <t>MANCINI &amp; SANTOS NUTRICAO LTDA</t>
        </is>
      </c>
      <c r="D363" s="25" t="inlineStr">
        <is>
          <t>PR</t>
        </is>
      </c>
      <c r="E363" s="25" t="inlineStr">
        <is>
          <t>LONDRINA</t>
        </is>
      </c>
      <c r="F363" s="25" t="inlineStr">
        <is>
          <t>londrina@lojadivinaterra.com.br</t>
        </is>
      </c>
      <c r="G363" s="25" t="inlineStr">
        <is>
          <t>+55 (43) 98805-2300 | +55 (43) 99165-5056 | +55 (43) 99932-5611 (LARISSA GERENTE / ANE / AMANDA)</t>
        </is>
      </c>
      <c r="H363" s="25" t="inlineStr">
        <is>
          <t>15/10/2025</t>
        </is>
      </c>
      <c r="I363" s="25" t="inlineStr">
        <is>
          <t>[Rede] Divina Terra</t>
        </is>
      </c>
      <c r="J363" s="25" t="inlineStr">
        <is>
          <t>DAIANE STAVICKI</t>
        </is>
      </c>
      <c r="K363" s="25" t="inlineStr">
        <is>
          <t>Central - Daiane</t>
        </is>
      </c>
      <c r="L363" s="25" t="n">
        <v>117</v>
      </c>
      <c r="M363" s="25" t="inlineStr">
        <is>
          <t>21/10/2025</t>
        </is>
      </c>
      <c r="N363" s="25" t="n">
        <v>1138.05</v>
      </c>
      <c r="O363" s="25" t="n"/>
      <c r="P363" s="25" t="n"/>
      <c r="Q363" s="25" t="n"/>
      <c r="R363" s="25" t="n"/>
      <c r="S363" s="25" t="n"/>
      <c r="T363" s="25" t="n"/>
      <c r="U363" s="25" t="n">
        <v>0</v>
      </c>
      <c r="V363" s="25" t="n">
        <v>0</v>
      </c>
      <c r="W363" s="25" t="n">
        <v>0</v>
      </c>
      <c r="X363" s="25" t="n">
        <v>0</v>
      </c>
      <c r="Y363" s="25" t="n">
        <v>0</v>
      </c>
      <c r="Z363" s="25" t="n">
        <v>0</v>
      </c>
      <c r="AA363" s="25" t="n">
        <v>0</v>
      </c>
      <c r="AB363" s="25" t="n">
        <v>1138.05</v>
      </c>
      <c r="AC363" s="25" t="n">
        <v>0</v>
      </c>
      <c r="AD363" s="25" t="n">
        <v>0</v>
      </c>
      <c r="AE363" s="25" t="n">
        <v>0</v>
      </c>
      <c r="AF363" s="25" t="n">
        <v>0</v>
      </c>
      <c r="AG363" s="25" t="n">
        <v>0</v>
      </c>
      <c r="AH363" s="25" t="n">
        <v>1</v>
      </c>
      <c r="AI363" s="25" t="inlineStr">
        <is>
          <t>B</t>
        </is>
      </c>
      <c r="AJ363" s="25" t="n">
        <v>1</v>
      </c>
      <c r="AK363" s="25" t="n">
        <v>1138.05</v>
      </c>
      <c r="AL363" s="26" t="n">
        <v>46057.49027777778</v>
      </c>
      <c r="AM363" s="26" t="n">
        <v>46057.49027777778</v>
      </c>
      <c r="AN363" s="25" t="inlineStr">
        <is>
          <t>LIGAÇÃO</t>
        </is>
      </c>
      <c r="AO363" s="25" t="inlineStr">
        <is>
          <t>AGORA ME PASSARAM O CONTATO DA LARISSA</t>
        </is>
      </c>
      <c r="AP363" s="27">
        <f>IF(AH363="","",IF(AH363=0,"PROSPECT",IF(AH363=1,"NOVO",IF(AH363&lt;=3,"EM DESENVOLVIMENTO",IF(AH363&lt;=6,"RECORRENTE","FIDELIZADO")))))</f>
        <v/>
      </c>
      <c r="AQ363" s="27">
        <f>IF(AJ363=0,0,IFERROR(SUM(U363:AF363)/AJ363,0))</f>
        <v/>
      </c>
      <c r="AS363" s="0" t="inlineStr">
        <is>
          <t>Carteira FEV/26 + Atend FEV/26</t>
        </is>
      </c>
    </row>
    <row r="364" ht="14.25" customHeight="1" s="16">
      <c r="A364" s="25" t="inlineStr">
        <is>
          <t xml:space="preserve">MARGHERITA </t>
        </is>
      </c>
      <c r="B364" s="25" t="inlineStr">
        <is>
          <t>49946160000117</t>
        </is>
      </c>
      <c r="C364" s="25" t="inlineStr">
        <is>
          <t>ANPA COMERCIAL DE ALIMENTOS LTDA</t>
        </is>
      </c>
      <c r="D364" s="25" t="inlineStr">
        <is>
          <t>PR</t>
        </is>
      </c>
      <c r="E364" s="25" t="inlineStr">
        <is>
          <t>FOZ DO IGUACU</t>
        </is>
      </c>
      <c r="F364" s="25" t="inlineStr">
        <is>
          <t>andrademari.oliv@gmail.com</t>
        </is>
      </c>
      <c r="G364" s="25" t="inlineStr">
        <is>
          <t>+55 (45) 9979-1742</t>
        </is>
      </c>
      <c r="H364" s="25" t="inlineStr">
        <is>
          <t>19/09/2025</t>
        </is>
      </c>
      <c r="I364" s="25" t="n"/>
      <c r="J364" s="25" t="inlineStr">
        <is>
          <t>MANU DITZEL</t>
        </is>
      </c>
      <c r="K364" s="25" t="inlineStr">
        <is>
          <t>Manu Ditzel</t>
        </is>
      </c>
      <c r="L364" s="25" t="n">
        <v>103</v>
      </c>
      <c r="M364" s="25" t="inlineStr">
        <is>
          <t>04/11/2025</t>
        </is>
      </c>
      <c r="N364" s="25" t="n">
        <v>4270.04</v>
      </c>
      <c r="O364" s="25" t="n">
        <v>1</v>
      </c>
      <c r="P364" s="25" t="inlineStr">
        <is>
          <t>Sim</t>
        </is>
      </c>
      <c r="Q364" s="25" t="n">
        <v>95</v>
      </c>
      <c r="R364" s="25" t="n">
        <v>30</v>
      </c>
      <c r="S364" s="25" t="n">
        <v>4270.04</v>
      </c>
      <c r="T364" s="25" t="inlineStr">
        <is>
          <t>COMPRA B2B</t>
        </is>
      </c>
      <c r="U364" s="25" t="n">
        <v>0</v>
      </c>
      <c r="V364" s="25" t="n">
        <v>0</v>
      </c>
      <c r="W364" s="25" t="n">
        <v>0</v>
      </c>
      <c r="X364" s="25" t="n">
        <v>0</v>
      </c>
      <c r="Y364" s="25" t="n">
        <v>0</v>
      </c>
      <c r="Z364" s="25" t="n">
        <v>0</v>
      </c>
      <c r="AA364" s="25" t="n">
        <v>0</v>
      </c>
      <c r="AB364" s="25" t="n">
        <v>0</v>
      </c>
      <c r="AC364" s="25" t="n">
        <v>4270.04</v>
      </c>
      <c r="AD364" s="25" t="n">
        <v>0</v>
      </c>
      <c r="AE364" s="25" t="n">
        <v>0</v>
      </c>
      <c r="AF364" s="25" t="n">
        <v>0</v>
      </c>
      <c r="AG364" s="25" t="n">
        <v>0</v>
      </c>
      <c r="AH364" s="25" t="n">
        <v>0</v>
      </c>
      <c r="AI364" s="25" t="inlineStr">
        <is>
          <t>A</t>
        </is>
      </c>
      <c r="AJ364" s="25" t="n">
        <v>1</v>
      </c>
      <c r="AK364" s="25" t="n">
        <v>0</v>
      </c>
      <c r="AL364" s="26" t="n">
        <v>46062.44236111111</v>
      </c>
      <c r="AM364" s="26" t="n">
        <v>46062.44236111111</v>
      </c>
      <c r="AN364" s="25" t="inlineStr">
        <is>
          <t>LIGAÇÃO</t>
        </is>
      </c>
      <c r="AO364" s="25" t="inlineStr">
        <is>
          <t>09/02/2026	CLIENTE POTENCIAL, TEM DUAS LOJAS	-  CONTATO MUITO DIFICIL</t>
        </is>
      </c>
      <c r="AP364" s="27">
        <f>IF(AH364="","",IF(AH364=0,"PROSPECT",IF(AH364=1,"NOVO",IF(AH364&lt;=3,"EM DESENVOLVIMENTO",IF(AH364&lt;=6,"RECORRENTE","FIDELIZADO")))))</f>
        <v/>
      </c>
      <c r="AQ364" s="27">
        <f>IF(AJ364=0,0,IFERROR(SUM(U364:AF364)/AJ364,0))</f>
        <v/>
      </c>
      <c r="AS364" s="0" t="inlineStr">
        <is>
          <t>Carteira FEV/26 + Atend FEV/26</t>
        </is>
      </c>
    </row>
    <row r="365" ht="14.25" customHeight="1" s="16">
      <c r="A365" s="25" t="inlineStr">
        <is>
          <t>MARILIA RAFAELA FERREIRA DA LUZ LTDA</t>
        </is>
      </c>
      <c r="B365" s="25" t="inlineStr">
        <is>
          <t>61746555000171</t>
        </is>
      </c>
      <c r="C365" s="25" t="inlineStr">
        <is>
          <t>MARILIA RAFAELA FERREIRA DA LUZ LTDA</t>
        </is>
      </c>
      <c r="D365" s="25" t="inlineStr">
        <is>
          <t>PR</t>
        </is>
      </c>
      <c r="E365" s="25" t="inlineStr">
        <is>
          <t>PONTA GROSSA</t>
        </is>
      </c>
      <c r="F365" s="25" t="inlineStr">
        <is>
          <t>mariliarafaela87@gmail.com</t>
        </is>
      </c>
      <c r="G365" s="25" t="inlineStr">
        <is>
          <t>+55 (42) 98808-4636</t>
        </is>
      </c>
      <c r="H365" s="25" t="inlineStr">
        <is>
          <t>20/08/2025</t>
        </is>
      </c>
      <c r="I365" s="25" t="n"/>
      <c r="J365" s="25" t="inlineStr">
        <is>
          <t>DAIANE STAVICKI</t>
        </is>
      </c>
      <c r="K365" s="25" t="inlineStr">
        <is>
          <t>Central - Daiane</t>
        </is>
      </c>
      <c r="L365" s="25" t="n">
        <v>142</v>
      </c>
      <c r="M365" s="25" t="inlineStr">
        <is>
          <t>26/09/2025</t>
        </is>
      </c>
      <c r="N365" s="25" t="n">
        <v>681.47</v>
      </c>
      <c r="O365" s="25" t="n">
        <v>4</v>
      </c>
      <c r="P365" s="25" t="inlineStr">
        <is>
          <t>Sim</t>
        </is>
      </c>
      <c r="Q365" s="25" t="n">
        <v>104</v>
      </c>
      <c r="R365" s="25" t="n">
        <v>19</v>
      </c>
      <c r="S365" s="25" t="n">
        <v>1370.93</v>
      </c>
      <c r="T365" s="25" t="inlineStr">
        <is>
          <t>COMPRA B2B</t>
        </is>
      </c>
      <c r="U365" s="25" t="n">
        <v>0</v>
      </c>
      <c r="V365" s="25" t="n">
        <v>0</v>
      </c>
      <c r="W365" s="25" t="n">
        <v>0</v>
      </c>
      <c r="X365" s="25" t="n">
        <v>0</v>
      </c>
      <c r="Y365" s="25" t="n">
        <v>0</v>
      </c>
      <c r="Z365" s="25" t="n">
        <v>689.46</v>
      </c>
      <c r="AA365" s="25" t="n">
        <v>681.47</v>
      </c>
      <c r="AB365" s="25" t="n">
        <v>0</v>
      </c>
      <c r="AC365" s="25" t="n">
        <v>0</v>
      </c>
      <c r="AD365" s="25" t="n">
        <v>0</v>
      </c>
      <c r="AE365" s="25" t="n">
        <v>0</v>
      </c>
      <c r="AF365" s="25" t="n">
        <v>0</v>
      </c>
      <c r="AG365" s="25" t="n">
        <v>32</v>
      </c>
      <c r="AH365" s="25" t="n">
        <v>2</v>
      </c>
      <c r="AI365" s="25" t="inlineStr">
        <is>
          <t>B</t>
        </is>
      </c>
      <c r="AJ365" s="25" t="n">
        <v>2</v>
      </c>
      <c r="AK365" s="25" t="n">
        <v>685.47</v>
      </c>
      <c r="AL365" s="26" t="n">
        <v>46064.57638888889</v>
      </c>
      <c r="AM365" s="26" t="n">
        <v>46064.57638888889</v>
      </c>
      <c r="AN365" s="25" t="inlineStr">
        <is>
          <t>LIGAÇÃO</t>
        </is>
      </c>
      <c r="AO365" s="28" t="inlineStr">
        <is>
          <t>consumidora final, esta sobre acompanhamento nutricional e não esta podendo usar os nossos produtos no momentos, assim que passar ela me avisa !</t>
        </is>
      </c>
      <c r="AP365" s="27">
        <f>IF(AH365="","",IF(AH365=0,"PROSPECT",IF(AH365=1,"NOVO",IF(AH365&lt;=3,"EM DESENVOLVIMENTO",IF(AH365&lt;=6,"RECORRENTE","FIDELIZADO")))))</f>
        <v/>
      </c>
      <c r="AQ365" s="27">
        <f>IF(AJ365=0,0,IFERROR(SUM(U365:AF365)/AJ365,0))</f>
        <v/>
      </c>
      <c r="AS365" s="0" t="inlineStr">
        <is>
          <t>Carteira FEV/26 + Atend FEV/26</t>
        </is>
      </c>
    </row>
    <row r="366" ht="14.25" customHeight="1" s="16">
      <c r="A366" s="25" t="inlineStr">
        <is>
          <t>MARLUCE VIEIRA VASQUES</t>
        </is>
      </c>
      <c r="B366" s="25" t="inlineStr">
        <is>
          <t>08452814000179</t>
        </is>
      </c>
      <c r="C366" s="25" t="inlineStr">
        <is>
          <t>MARLUCE VIEIRA VASQUES</t>
        </is>
      </c>
      <c r="D366" s="25" t="inlineStr">
        <is>
          <t>SC</t>
        </is>
      </c>
      <c r="E366" s="25" t="inlineStr">
        <is>
          <t>FLORIANOPOLIS</t>
        </is>
      </c>
      <c r="F366" s="25" t="inlineStr">
        <is>
          <t>vmarluce@terra.com.br</t>
        </is>
      </c>
      <c r="G366" s="25" t="inlineStr">
        <is>
          <t>+55 (48) 9158-1651</t>
        </is>
      </c>
      <c r="H366" s="25" t="inlineStr">
        <is>
          <t>08/10/2024</t>
        </is>
      </c>
      <c r="I366" s="25" t="n"/>
      <c r="J366" s="25" t="inlineStr">
        <is>
          <t>LARISSA PADILHA</t>
        </is>
      </c>
      <c r="K366" s="25" t="inlineStr">
        <is>
          <t>Larissa Padilha</t>
        </is>
      </c>
      <c r="L366" s="25" t="n">
        <v>213</v>
      </c>
      <c r="M366" s="25" t="inlineStr">
        <is>
          <t>17/07/2025</t>
        </is>
      </c>
      <c r="N366" s="25" t="n">
        <v>853.74</v>
      </c>
      <c r="O366" s="25" t="n"/>
      <c r="P366" s="25" t="n"/>
      <c r="Q366" s="25" t="n"/>
      <c r="R366" s="25" t="n"/>
      <c r="S366" s="25" t="n"/>
      <c r="T366" s="25" t="n"/>
      <c r="U366" s="25" t="n">
        <v>0</v>
      </c>
      <c r="V366" s="25" t="n">
        <v>0</v>
      </c>
      <c r="W366" s="25" t="n">
        <v>0</v>
      </c>
      <c r="X366" s="25" t="n">
        <v>0</v>
      </c>
      <c r="Y366" s="25" t="n">
        <v>853.74</v>
      </c>
      <c r="Z366" s="25" t="n">
        <v>0</v>
      </c>
      <c r="AA366" s="25" t="n">
        <v>0</v>
      </c>
      <c r="AB366" s="25" t="n">
        <v>0</v>
      </c>
      <c r="AC366" s="25" t="n">
        <v>0</v>
      </c>
      <c r="AD366" s="25" t="n">
        <v>0</v>
      </c>
      <c r="AE366" s="25" t="n">
        <v>0</v>
      </c>
      <c r="AF366" s="25" t="n">
        <v>0</v>
      </c>
      <c r="AG366" s="25" t="n">
        <v>0</v>
      </c>
      <c r="AH366" s="25" t="n">
        <v>1</v>
      </c>
      <c r="AI366" s="25" t="inlineStr">
        <is>
          <t>C</t>
        </is>
      </c>
      <c r="AJ366" s="25" t="n">
        <v>1</v>
      </c>
      <c r="AK366" s="25" t="n">
        <v>853.74</v>
      </c>
      <c r="AL366" s="26" t="n">
        <v>46036.41841435185</v>
      </c>
      <c r="AM366" s="26" t="n">
        <v>46036.41841435185</v>
      </c>
      <c r="AN366" s="25" t="inlineStr">
        <is>
          <t>WHATSAPP</t>
        </is>
      </c>
      <c r="AO366" s="25" t="inlineStr">
        <is>
          <t>SOL DA ILHA - MARLUCE - SC</t>
        </is>
      </c>
      <c r="AP366" s="27">
        <f>IF(AH366="","",IF(AH366=0,"PROSPECT",IF(AH366=1,"NOVO",IF(AH366&lt;=3,"EM DESENVOLVIMENTO",IF(AH366&lt;=6,"RECORRENTE","FIDELIZADO")))))</f>
        <v/>
      </c>
      <c r="AQ366" s="27">
        <f>IF(AJ366=0,0,IFERROR(SUM(U366:AF366)/AJ366,0))</f>
        <v/>
      </c>
      <c r="AS366" s="0" t="inlineStr">
        <is>
          <t>Carteira FEV/26</t>
        </is>
      </c>
    </row>
    <row r="367" ht="14.25" customHeight="1" s="16">
      <c r="A367" s="25" t="inlineStr">
        <is>
          <t>MENEGAZ SUPERMERCADO</t>
        </is>
      </c>
      <c r="B367" s="25" t="inlineStr">
        <is>
          <t>95772216000181</t>
        </is>
      </c>
      <c r="C367" s="25" t="inlineStr">
        <is>
          <t>TRON GENEROS ALIMENTICIOS LTDA</t>
        </is>
      </c>
      <c r="D367" s="25" t="inlineStr">
        <is>
          <t>SC</t>
        </is>
      </c>
      <c r="E367" s="25" t="inlineStr">
        <is>
          <t>TUBARAO</t>
        </is>
      </c>
      <c r="F367" s="25" t="inlineStr">
        <is>
          <t>administrativo@supermenegaz.com</t>
        </is>
      </c>
      <c r="G367" s="25" t="inlineStr">
        <is>
          <t>+55 (48) 99654-3563</t>
        </is>
      </c>
      <c r="H367" s="25" t="inlineStr">
        <is>
          <t>14/08/2025</t>
        </is>
      </c>
      <c r="I367" s="25" t="n"/>
      <c r="J367" s="25" t="inlineStr">
        <is>
          <t>MANU DITZEL</t>
        </is>
      </c>
      <c r="K367" s="25" t="inlineStr">
        <is>
          <t>Manu Ditzel</t>
        </is>
      </c>
      <c r="L367" s="25" t="n">
        <v>185</v>
      </c>
      <c r="M367" s="25" t="inlineStr">
        <is>
          <t>14/08/2025</t>
        </is>
      </c>
      <c r="N367" s="25" t="n">
        <v>2505.43</v>
      </c>
      <c r="O367" s="25" t="n"/>
      <c r="P367" s="25" t="n"/>
      <c r="Q367" s="25" t="n"/>
      <c r="R367" s="25" t="n"/>
      <c r="S367" s="25" t="n"/>
      <c r="T367" s="25" t="n"/>
      <c r="U367" s="25" t="n">
        <v>0</v>
      </c>
      <c r="V367" s="25" t="n">
        <v>0</v>
      </c>
      <c r="W367" s="25" t="n">
        <v>0</v>
      </c>
      <c r="X367" s="25" t="n">
        <v>0</v>
      </c>
      <c r="Y367" s="25" t="n">
        <v>0</v>
      </c>
      <c r="Z367" s="25" t="n">
        <v>2505.43</v>
      </c>
      <c r="AA367" s="25" t="n">
        <v>0</v>
      </c>
      <c r="AB367" s="25" t="n">
        <v>0</v>
      </c>
      <c r="AC367" s="25" t="n">
        <v>0</v>
      </c>
      <c r="AD367" s="25" t="n">
        <v>0</v>
      </c>
      <c r="AE367" s="25" t="n">
        <v>0</v>
      </c>
      <c r="AF367" s="25" t="n">
        <v>0</v>
      </c>
      <c r="AG367" s="25" t="n">
        <v>0</v>
      </c>
      <c r="AH367" s="25" t="n">
        <v>1</v>
      </c>
      <c r="AI367" s="25" t="inlineStr">
        <is>
          <t>A</t>
        </is>
      </c>
      <c r="AJ367" s="25" t="n">
        <v>1</v>
      </c>
      <c r="AK367" s="25" t="n">
        <v>2505.43</v>
      </c>
      <c r="AL367" s="26" t="n">
        <v>46058.47013888889</v>
      </c>
      <c r="AM367" s="26" t="n">
        <v>46058.47013888889</v>
      </c>
      <c r="AN367" s="25" t="inlineStr">
        <is>
          <t>LIGAÇÃO</t>
        </is>
      </c>
      <c r="AO367" s="25" t="inlineStr">
        <is>
          <t>SOLICITEI RELATORIO DE ESTOQUE CLIENTE DIZ TER PRODUTOS AINDA, MAS ESTOU PREOCUPADA COM VENCIMENTOS OU PRODUTO EMPACADO</t>
        </is>
      </c>
      <c r="AP367" s="27">
        <f>IF(AH367="","",IF(AH367=0,"PROSPECT",IF(AH367=1,"NOVO",IF(AH367&lt;=3,"EM DESENVOLVIMENTO",IF(AH367&lt;=6,"RECORRENTE","FIDELIZADO")))))</f>
        <v/>
      </c>
      <c r="AQ367" s="27">
        <f>IF(AJ367=0,0,IFERROR(SUM(U367:AF367)/AJ367,0))</f>
        <v/>
      </c>
      <c r="AS367" s="0" t="inlineStr">
        <is>
          <t>Carteira FEV/26 + Atend FEV/26</t>
        </is>
      </c>
    </row>
    <row r="368" ht="14.25" customHeight="1" s="16">
      <c r="A368" s="25" t="inlineStr">
        <is>
          <t>MENEGAZ SUPERMERCADO 2</t>
        </is>
      </c>
      <c r="B368" s="25" t="inlineStr">
        <is>
          <t>95772216000262</t>
        </is>
      </c>
      <c r="C368" s="25" t="inlineStr">
        <is>
          <t>TRON GENEROS ALIMENTICIOS LTDA</t>
        </is>
      </c>
      <c r="D368" s="25" t="inlineStr">
        <is>
          <t>SC</t>
        </is>
      </c>
      <c r="E368" s="25" t="inlineStr">
        <is>
          <t>CAPIVARI DE BAIXO</t>
        </is>
      </c>
      <c r="F368" s="25" t="inlineStr">
        <is>
          <t>administrativo@supermenegaz.com,financeiro@supermenegaz.com,fiscal@supermenegaz.com</t>
        </is>
      </c>
      <c r="G368" s="25" t="inlineStr">
        <is>
          <t>+55 (48) 9654-3563 | +55 (48) 99932-0372</t>
        </is>
      </c>
      <c r="H368" s="25" t="inlineStr">
        <is>
          <t>01/10/2025</t>
        </is>
      </c>
      <c r="I368" s="25" t="n"/>
      <c r="J368" s="25" t="inlineStr">
        <is>
          <t>MANU DITZEL</t>
        </is>
      </c>
      <c r="K368" s="25" t="inlineStr">
        <is>
          <t>Manu Ditzel</t>
        </is>
      </c>
      <c r="L368" s="25" t="n">
        <v>146</v>
      </c>
      <c r="M368" s="25" t="inlineStr">
        <is>
          <t>22/09/2025</t>
        </is>
      </c>
      <c r="N368" s="25" t="n">
        <v>2525.84</v>
      </c>
      <c r="O368" s="25" t="n"/>
      <c r="P368" s="25" t="n"/>
      <c r="Q368" s="25" t="n"/>
      <c r="R368" s="25" t="n"/>
      <c r="S368" s="25" t="n"/>
      <c r="T368" s="25" t="n"/>
      <c r="U368" s="25" t="n">
        <v>0</v>
      </c>
      <c r="V368" s="25" t="n">
        <v>0</v>
      </c>
      <c r="W368" s="25" t="n">
        <v>0</v>
      </c>
      <c r="X368" s="25" t="n">
        <v>0</v>
      </c>
      <c r="Y368" s="25" t="n">
        <v>0</v>
      </c>
      <c r="Z368" s="25" t="n">
        <v>0</v>
      </c>
      <c r="AA368" s="25" t="n">
        <v>2525.84</v>
      </c>
      <c r="AB368" s="25" t="n">
        <v>0</v>
      </c>
      <c r="AC368" s="25" t="n">
        <v>0</v>
      </c>
      <c r="AD368" s="25" t="n">
        <v>0</v>
      </c>
      <c r="AE368" s="25" t="n">
        <v>0</v>
      </c>
      <c r="AF368" s="25" t="n">
        <v>0</v>
      </c>
      <c r="AG368" s="25" t="n">
        <v>0</v>
      </c>
      <c r="AH368" s="25" t="n">
        <v>1</v>
      </c>
      <c r="AI368" s="25" t="inlineStr">
        <is>
          <t>A</t>
        </is>
      </c>
      <c r="AJ368" s="25" t="n">
        <v>1</v>
      </c>
      <c r="AK368" s="25" t="n">
        <v>2525.84</v>
      </c>
      <c r="AL368" s="26" t="n">
        <v>46059.48402777778</v>
      </c>
      <c r="AM368" s="26" t="n">
        <v>46059.48402777778</v>
      </c>
      <c r="AN368" s="25" t="inlineStr">
        <is>
          <t>WHATSAPP</t>
        </is>
      </c>
      <c r="AO368" s="25" t="inlineStr">
        <is>
          <t>já respondeu, não vai comprar por enquanto, pedi uma tabela dos produtos que tem e a cliente não respondia</t>
        </is>
      </c>
      <c r="AP368" s="27">
        <f>IF(AH368="","",IF(AH368=0,"PROSPECT",IF(AH368=1,"NOVO",IF(AH368&lt;=3,"EM DESENVOLVIMENTO",IF(AH368&lt;=6,"RECORRENTE","FIDELIZADO")))))</f>
        <v/>
      </c>
      <c r="AQ368" s="27">
        <f>IF(AJ368=0,0,IFERROR(SUM(U368:AF368)/AJ368,0))</f>
        <v/>
      </c>
      <c r="AS368" s="0" t="inlineStr">
        <is>
          <t>Carteira FEV/26 + Atend FEV/26</t>
        </is>
      </c>
    </row>
    <row r="369" ht="14.25" customHeight="1" s="16">
      <c r="A369" s="25" t="inlineStr">
        <is>
          <t>MERCADINHO PAULISTA</t>
        </is>
      </c>
      <c r="B369" s="25" t="inlineStr">
        <is>
          <t>34404590000130</t>
        </is>
      </c>
      <c r="C369" s="25" t="inlineStr">
        <is>
          <t>JOAO COSTA SOARES E CIA LTDA</t>
        </is>
      </c>
      <c r="D369" s="25" t="inlineStr">
        <is>
          <t>BA</t>
        </is>
      </c>
      <c r="E369" s="25" t="inlineStr">
        <is>
          <t>EUCLIDES DA CUNHA</t>
        </is>
      </c>
      <c r="F369" s="25" t="inlineStr">
        <is>
          <t>mercado_paulista@gmail.com</t>
        </is>
      </c>
      <c r="G369" s="25" t="inlineStr">
        <is>
          <t>+55 (75) 99910-5787</t>
        </is>
      </c>
      <c r="H369" s="25" t="inlineStr">
        <is>
          <t>01/10/2025</t>
        </is>
      </c>
      <c r="I369" s="25" t="n"/>
      <c r="J369" s="25" t="inlineStr">
        <is>
          <t>MANU DITZEL</t>
        </is>
      </c>
      <c r="K369" s="25" t="inlineStr">
        <is>
          <t>Manu Ditzel</t>
        </is>
      </c>
      <c r="L369" s="25" t="n">
        <v>157</v>
      </c>
      <c r="M369" s="25" t="inlineStr">
        <is>
          <t>11/09/2025</t>
        </is>
      </c>
      <c r="N369" s="25" t="n">
        <v>3863.5</v>
      </c>
      <c r="O369" s="25" t="n"/>
      <c r="P369" s="25" t="n"/>
      <c r="Q369" s="25" t="n"/>
      <c r="R369" s="25" t="n"/>
      <c r="S369" s="25" t="n"/>
      <c r="T369" s="25" t="n"/>
      <c r="U369" s="25" t="n">
        <v>0</v>
      </c>
      <c r="V369" s="25" t="n">
        <v>0</v>
      </c>
      <c r="W369" s="25" t="n">
        <v>0</v>
      </c>
      <c r="X369" s="25" t="n">
        <v>0</v>
      </c>
      <c r="Y369" s="25" t="n">
        <v>0</v>
      </c>
      <c r="Z369" s="25" t="n">
        <v>0</v>
      </c>
      <c r="AA369" s="25" t="n">
        <v>3863.5</v>
      </c>
      <c r="AB369" s="25" t="n">
        <v>0</v>
      </c>
      <c r="AC369" s="25" t="n">
        <v>0</v>
      </c>
      <c r="AD369" s="25" t="n">
        <v>0</v>
      </c>
      <c r="AE369" s="25" t="n">
        <v>0</v>
      </c>
      <c r="AF369" s="25" t="n">
        <v>0</v>
      </c>
      <c r="AG369" s="25" t="n">
        <v>0</v>
      </c>
      <c r="AH369" s="25" t="n">
        <v>1</v>
      </c>
      <c r="AI369" s="25" t="inlineStr">
        <is>
          <t>A</t>
        </is>
      </c>
      <c r="AJ369" s="25" t="n">
        <v>1</v>
      </c>
      <c r="AK369" s="25" t="n">
        <v>3863.5</v>
      </c>
      <c r="AL369" s="26" t="n">
        <v>46036.57222222222</v>
      </c>
      <c r="AM369" s="26" t="n">
        <v>46036.57222222222</v>
      </c>
      <c r="AN369" s="25" t="inlineStr">
        <is>
          <t>WHATSAPP</t>
        </is>
      </c>
      <c r="AO369" s="25" t="inlineStr">
        <is>
          <t>RECOMPRA | Nova abordagem - Linha Disney</t>
        </is>
      </c>
      <c r="AP369" s="27">
        <f>IF(AH369="","",IF(AH369=0,"PROSPECT",IF(AH369=1,"NOVO",IF(AH369&lt;=3,"EM DESENVOLVIMENTO",IF(AH369&lt;=6,"RECORRENTE","FIDELIZADO")))))</f>
        <v/>
      </c>
      <c r="AQ369" s="27">
        <f>IF(AJ369=0,0,IFERROR(SUM(U369:AF369)/AJ369,0))</f>
        <v/>
      </c>
      <c r="AS369" s="0" t="inlineStr">
        <is>
          <t>Carteira FEV/26</t>
        </is>
      </c>
    </row>
    <row r="370" ht="14.25" customHeight="1" s="16">
      <c r="A370" s="25" t="inlineStr">
        <is>
          <t>MERCADINHO PAULISTA I I</t>
        </is>
      </c>
      <c r="B370" s="25" t="inlineStr">
        <is>
          <t>34404590000300</t>
        </is>
      </c>
      <c r="C370" s="25" t="inlineStr">
        <is>
          <t>JOAO COSTA SOARES E CIA LTDA</t>
        </is>
      </c>
      <c r="D370" s="25" t="inlineStr">
        <is>
          <t>BA</t>
        </is>
      </c>
      <c r="E370" s="25" t="inlineStr">
        <is>
          <t>EUCLIDES DA CUNHA</t>
        </is>
      </c>
      <c r="F370" s="25" t="inlineStr">
        <is>
          <t>mercado_paulista@gmail.com</t>
        </is>
      </c>
      <c r="G370" s="25" t="inlineStr">
        <is>
          <t>+55 (75) 99910-5787</t>
        </is>
      </c>
      <c r="H370" s="25" t="inlineStr">
        <is>
          <t>01/10/2025</t>
        </is>
      </c>
      <c r="I370" s="25" t="n"/>
      <c r="J370" s="25" t="inlineStr">
        <is>
          <t>MANU DITZEL</t>
        </is>
      </c>
      <c r="K370" s="25" t="inlineStr">
        <is>
          <t>Manu Ditzel</t>
        </is>
      </c>
      <c r="L370" s="25" t="n">
        <v>157</v>
      </c>
      <c r="M370" s="25" t="inlineStr">
        <is>
          <t>11/09/2025</t>
        </is>
      </c>
      <c r="N370" s="25" t="n">
        <v>3343</v>
      </c>
      <c r="O370" s="25" t="n"/>
      <c r="P370" s="25" t="n"/>
      <c r="Q370" s="25" t="n"/>
      <c r="R370" s="25" t="n"/>
      <c r="S370" s="25" t="n"/>
      <c r="T370" s="25" t="n"/>
      <c r="U370" s="25" t="n">
        <v>0</v>
      </c>
      <c r="V370" s="25" t="n">
        <v>0</v>
      </c>
      <c r="W370" s="25" t="n">
        <v>0</v>
      </c>
      <c r="X370" s="25" t="n">
        <v>0</v>
      </c>
      <c r="Y370" s="25" t="n">
        <v>0</v>
      </c>
      <c r="Z370" s="25" t="n">
        <v>0</v>
      </c>
      <c r="AA370" s="25" t="n">
        <v>3343</v>
      </c>
      <c r="AB370" s="25" t="n">
        <v>0</v>
      </c>
      <c r="AC370" s="25" t="n">
        <v>0</v>
      </c>
      <c r="AD370" s="25" t="n">
        <v>0</v>
      </c>
      <c r="AE370" s="25" t="n">
        <v>0</v>
      </c>
      <c r="AF370" s="25" t="n">
        <v>0</v>
      </c>
      <c r="AG370" s="25" t="n">
        <v>0</v>
      </c>
      <c r="AH370" s="25" t="n">
        <v>1</v>
      </c>
      <c r="AI370" s="25" t="inlineStr">
        <is>
          <t>A</t>
        </is>
      </c>
      <c r="AJ370" s="25" t="n">
        <v>1</v>
      </c>
      <c r="AK370" s="25" t="n">
        <v>3343</v>
      </c>
      <c r="AL370" s="26" t="n">
        <v>46052.49513888889</v>
      </c>
      <c r="AM370" s="26" t="n">
        <v>46052.49513888889</v>
      </c>
      <c r="AN370" s="25" t="inlineStr">
        <is>
          <t>WHATSAPP</t>
        </is>
      </c>
      <c r="AO370" s="28" t="inlineStr">
        <is>
          <t>CADASTRO | Login: mercado_paulista@gmail.com Senha: 232124</t>
        </is>
      </c>
      <c r="AP370" s="27">
        <f>IF(AH370="","",IF(AH370=0,"PROSPECT",IF(AH370=1,"NOVO",IF(AH370&lt;=3,"EM DESENVOLVIMENTO",IF(AH370&lt;=6,"RECORRENTE","FIDELIZADO")))))</f>
        <v/>
      </c>
      <c r="AQ370" s="27">
        <f>IF(AJ370=0,0,IFERROR(SUM(U370:AF370)/AJ370,0))</f>
        <v/>
      </c>
      <c r="AS370" s="0" t="inlineStr">
        <is>
          <t>Carteira FEV/26</t>
        </is>
      </c>
    </row>
    <row r="371" ht="14.25" customHeight="1" s="16">
      <c r="A371" s="25" t="inlineStr">
        <is>
          <t>MERCADO FERREIRA</t>
        </is>
      </c>
      <c r="B371" s="25" t="inlineStr">
        <is>
          <t>14419497000191</t>
        </is>
      </c>
      <c r="C371" s="25" t="inlineStr">
        <is>
          <t>J.C. DA S. SANTOS</t>
        </is>
      </c>
      <c r="D371" s="25" t="inlineStr">
        <is>
          <t>SC</t>
        </is>
      </c>
      <c r="E371" s="25" t="inlineStr">
        <is>
          <t>SOMBRIO</t>
        </is>
      </c>
      <c r="F371" s="25" t="inlineStr">
        <is>
          <t>patrimonio.contabilidade@hotmail.com</t>
        </is>
      </c>
      <c r="G371" s="25" t="inlineStr">
        <is>
          <t>+55 (48) 9946-6830</t>
        </is>
      </c>
      <c r="H371" s="25" t="inlineStr">
        <is>
          <t>02/07/2025</t>
        </is>
      </c>
      <c r="I371" s="25" t="n"/>
      <c r="J371" s="25" t="inlineStr">
        <is>
          <t>MANU DITZEL</t>
        </is>
      </c>
      <c r="K371" s="25" t="inlineStr">
        <is>
          <t>Manu Ditzel</t>
        </is>
      </c>
      <c r="L371" s="25" t="n">
        <v>97</v>
      </c>
      <c r="M371" s="25" t="inlineStr">
        <is>
          <t>10/11/2025</t>
        </is>
      </c>
      <c r="N371" s="25" t="n">
        <v>1188.14</v>
      </c>
      <c r="O371" s="25" t="n"/>
      <c r="P371" s="25" t="n"/>
      <c r="Q371" s="25" t="n"/>
      <c r="R371" s="25" t="n"/>
      <c r="S371" s="25" t="n"/>
      <c r="T371" s="25" t="n"/>
      <c r="U371" s="25" t="n">
        <v>0</v>
      </c>
      <c r="V371" s="25" t="n">
        <v>0</v>
      </c>
      <c r="W371" s="25" t="n">
        <v>0</v>
      </c>
      <c r="X371" s="25" t="n">
        <v>0</v>
      </c>
      <c r="Y371" s="25" t="n">
        <v>2178.81</v>
      </c>
      <c r="Z371" s="25" t="n">
        <v>1267.11</v>
      </c>
      <c r="AA371" s="25" t="n">
        <v>1267.11</v>
      </c>
      <c r="AB371" s="25" t="n">
        <v>1203.15</v>
      </c>
      <c r="AC371" s="25" t="n">
        <v>1188.14</v>
      </c>
      <c r="AD371" s="25" t="n">
        <v>0</v>
      </c>
      <c r="AE371" s="25" t="n">
        <v>0</v>
      </c>
      <c r="AF371" s="25" t="n">
        <v>0</v>
      </c>
      <c r="AG371" s="25" t="n">
        <v>32.75</v>
      </c>
      <c r="AH371" s="25" t="n">
        <v>4</v>
      </c>
      <c r="AI371" s="25" t="inlineStr">
        <is>
          <t>A</t>
        </is>
      </c>
      <c r="AJ371" s="25" t="n">
        <v>5</v>
      </c>
      <c r="AK371" s="25" t="n">
        <v>1776.08</v>
      </c>
      <c r="AL371" s="26" t="n">
        <v>46062.44861111111</v>
      </c>
      <c r="AM371" s="26" t="n">
        <v>46062.44861111111</v>
      </c>
      <c r="AN371" s="25" t="inlineStr">
        <is>
          <t>LIGAÇÃO</t>
        </is>
      </c>
      <c r="AO371" s="25" t="inlineStr">
        <is>
          <t>09/02/2026	CLIENTE COMPRA SOMENTE CACAU EM PO E AVEIA	DEVE ESTAR COM ESTOQUE BAIXO,   PORÉM NÃO ATENDE E NÃO RESPONDE</t>
        </is>
      </c>
      <c r="AP371" s="27">
        <f>IF(AH371="","",IF(AH371=0,"PROSPECT",IF(AH371=1,"NOVO",IF(AH371&lt;=3,"EM DESENVOLVIMENTO",IF(AH371&lt;=6,"RECORRENTE","FIDELIZADO")))))</f>
        <v/>
      </c>
      <c r="AQ371" s="27">
        <f>IF(AJ371=0,0,IFERROR(SUM(U371:AF371)/AJ371,0))</f>
        <v/>
      </c>
      <c r="AS371" s="0" t="inlineStr">
        <is>
          <t>Carteira FEV/26 + Atend FEV/26</t>
        </is>
      </c>
    </row>
    <row r="372" ht="14.25" customHeight="1" s="16">
      <c r="A372" s="25" t="inlineStr">
        <is>
          <t>MIL FOLHAS PREMIUM</t>
        </is>
      </c>
      <c r="B372" s="25" t="inlineStr">
        <is>
          <t>39290070000167</t>
        </is>
      </c>
      <c r="C372" s="25" t="inlineStr">
        <is>
          <t>MIL FOLHAS PREMIUM LTDA</t>
        </is>
      </c>
      <c r="D372" s="25" t="inlineStr">
        <is>
          <t>SP</t>
        </is>
      </c>
      <c r="E372" s="25" t="inlineStr">
        <is>
          <t>SANTO ANDRE</t>
        </is>
      </c>
      <c r="F372" s="25" t="inlineStr">
        <is>
          <t>nfe@milfolhasvita.com.br</t>
        </is>
      </c>
      <c r="G372" s="25" t="inlineStr">
        <is>
          <t>+55 (11) 91403-5386</t>
        </is>
      </c>
      <c r="H372" s="25" t="inlineStr">
        <is>
          <t>08/10/2024</t>
        </is>
      </c>
      <c r="I372" s="25" t="n"/>
      <c r="J372" s="25" t="inlineStr">
        <is>
          <t>LARISSA PADILHA</t>
        </is>
      </c>
      <c r="K372" s="25" t="inlineStr">
        <is>
          <t>Helder Brunkow</t>
        </is>
      </c>
      <c r="L372" s="25" t="n">
        <v>261</v>
      </c>
      <c r="M372" s="25" t="inlineStr">
        <is>
          <t>30/05/2025</t>
        </is>
      </c>
      <c r="N372" s="25" t="n">
        <v>704.65</v>
      </c>
      <c r="O372" s="25" t="n"/>
      <c r="P372" s="25" t="n"/>
      <c r="Q372" s="25" t="n"/>
      <c r="R372" s="25" t="n"/>
      <c r="S372" s="25" t="n"/>
      <c r="T372" s="25" t="n"/>
      <c r="U372" s="25" t="n">
        <v>0</v>
      </c>
      <c r="V372" s="25" t="n">
        <v>0</v>
      </c>
      <c r="W372" s="25" t="n">
        <v>704.65</v>
      </c>
      <c r="X372" s="25" t="n">
        <v>0</v>
      </c>
      <c r="Y372" s="25" t="n">
        <v>0</v>
      </c>
      <c r="Z372" s="25" t="n">
        <v>0</v>
      </c>
      <c r="AA372" s="25" t="n">
        <v>0</v>
      </c>
      <c r="AB372" s="25" t="n">
        <v>0</v>
      </c>
      <c r="AC372" s="25" t="n">
        <v>0</v>
      </c>
      <c r="AD372" s="25" t="n">
        <v>0</v>
      </c>
      <c r="AE372" s="25" t="n">
        <v>0</v>
      </c>
      <c r="AF372" s="25" t="n">
        <v>0</v>
      </c>
      <c r="AG372" s="25" t="n">
        <v>0</v>
      </c>
      <c r="AH372" s="25" t="n">
        <v>1</v>
      </c>
      <c r="AI372" s="25" t="inlineStr">
        <is>
          <t>C</t>
        </is>
      </c>
      <c r="AJ372" s="25" t="n">
        <v>1</v>
      </c>
      <c r="AK372" s="25" t="n">
        <v>704.65</v>
      </c>
      <c r="AL372" s="26" t="n">
        <v>46043.68866898148</v>
      </c>
      <c r="AM372" s="26" t="n">
        <v>46043.68866898148</v>
      </c>
      <c r="AN372" s="25" t="inlineStr">
        <is>
          <t>WHATSAPP</t>
        </is>
      </c>
      <c r="AO372" s="25" t="inlineStr">
        <is>
          <t>MIL FOLHAS VITTA - PÂMELA - SP</t>
        </is>
      </c>
      <c r="AP372" s="27">
        <f>IF(AH372="","",IF(AH372=0,"PROSPECT",IF(AH372=1,"NOVO",IF(AH372&lt;=3,"EM DESENVOLVIMENTO",IF(AH372&lt;=6,"RECORRENTE","FIDELIZADO")))))</f>
        <v/>
      </c>
      <c r="AQ372" s="27">
        <f>IF(AJ372=0,0,IFERROR(SUM(U372:AF372)/AJ372,0))</f>
        <v/>
      </c>
      <c r="AS372" s="0" t="inlineStr">
        <is>
          <t>Carteira FEV/26</t>
        </is>
      </c>
    </row>
    <row r="373" ht="14.25" customHeight="1" s="16">
      <c r="A373" s="25" t="inlineStr">
        <is>
          <t>MINHA QUITANDINHA</t>
        </is>
      </c>
      <c r="B373" s="25" t="inlineStr">
        <is>
          <t>44191961000104</t>
        </is>
      </c>
      <c r="C373" s="25" t="inlineStr">
        <is>
          <t>FONTE LTDA</t>
        </is>
      </c>
      <c r="D373" s="25" t="inlineStr">
        <is>
          <t>SC</t>
        </is>
      </c>
      <c r="E373" s="25" t="inlineStr">
        <is>
          <t>CRICIUMA</t>
        </is>
      </c>
      <c r="F373" s="25" t="inlineStr">
        <is>
          <t>Fonte.ltda21@gmail.com</t>
        </is>
      </c>
      <c r="G373" s="25" t="inlineStr">
        <is>
          <t>+55 (48) 9618-3888</t>
        </is>
      </c>
      <c r="H373" s="25" t="inlineStr">
        <is>
          <t>03/09/2025</t>
        </is>
      </c>
      <c r="I373" s="25" t="n"/>
      <c r="J373" s="25" t="inlineStr">
        <is>
          <t>DAIANE STAVICKI</t>
        </is>
      </c>
      <c r="K373" s="25" t="inlineStr">
        <is>
          <t>Central - Daiane</t>
        </is>
      </c>
      <c r="L373" s="25" t="n">
        <v>107</v>
      </c>
      <c r="M373" s="25" t="inlineStr">
        <is>
          <t>31/10/2025</t>
        </is>
      </c>
      <c r="N373" s="25" t="n">
        <v>682.33</v>
      </c>
      <c r="O373" s="25" t="n">
        <v>2</v>
      </c>
      <c r="P373" s="25" t="inlineStr">
        <is>
          <t>Sim</t>
        </is>
      </c>
      <c r="Q373" s="25" t="n">
        <v>145</v>
      </c>
      <c r="R373" s="25" t="n">
        <v>14</v>
      </c>
      <c r="S373" s="25" t="n"/>
      <c r="T373" s="25" t="n"/>
      <c r="U373" s="25" t="n">
        <v>0</v>
      </c>
      <c r="V373" s="25" t="n">
        <v>0</v>
      </c>
      <c r="W373" s="25" t="n">
        <v>0</v>
      </c>
      <c r="X373" s="25" t="n">
        <v>0</v>
      </c>
      <c r="Y373" s="25" t="n">
        <v>0</v>
      </c>
      <c r="Z373" s="25" t="n">
        <v>0</v>
      </c>
      <c r="AA373" s="25" t="n">
        <v>0</v>
      </c>
      <c r="AB373" s="25" t="n">
        <v>0</v>
      </c>
      <c r="AC373" s="25" t="n">
        <v>0</v>
      </c>
      <c r="AD373" s="25" t="n">
        <v>0</v>
      </c>
      <c r="AE373" s="25" t="n">
        <v>0</v>
      </c>
      <c r="AF373" s="25" t="n">
        <v>0</v>
      </c>
      <c r="AG373" s="25" t="n">
        <v>0</v>
      </c>
      <c r="AH373" s="25" t="n">
        <v>0</v>
      </c>
      <c r="AI373" s="25" t="inlineStr">
        <is>
          <t>C</t>
        </is>
      </c>
      <c r="AJ373" s="25" t="n">
        <v>0</v>
      </c>
      <c r="AK373" s="25" t="n">
        <v>0</v>
      </c>
      <c r="AL373" s="26" t="n">
        <v>45979.49375</v>
      </c>
      <c r="AM373" s="26" t="n">
        <v>45979.49375</v>
      </c>
      <c r="AN373" s="25" t="inlineStr">
        <is>
          <t>WHATSAPP</t>
        </is>
      </c>
      <c r="AO373" s="28" t="inlineStr">
        <is>
          <t>SUPORTE | ENVIAR BONIFICADO 6 PACOTES DE ROSQUINHAS CHOCOLATE INTEGRAL VITAO 110g POIS RECEBEU MUITO QUEBRADO NO ÚLTIMO PEDIDO - Lari</t>
        </is>
      </c>
      <c r="AP373" s="27">
        <f>IF(AH373="","",IF(AH373=0,"PROSPECT",IF(AH373=1,"NOVO",IF(AH373&lt;=3,"EM DESENVOLVIMENTO",IF(AH373&lt;=6,"RECORRENTE","FIDELIZADO")))))</f>
        <v/>
      </c>
      <c r="AQ373" s="27">
        <f>IF(AJ373=0,0,IFERROR(SUM(U373:AF373)/AJ373,0))</f>
        <v/>
      </c>
      <c r="AS373" s="0" t="inlineStr">
        <is>
          <t>Carteira FEV/26</t>
        </is>
      </c>
    </row>
    <row r="374" ht="14.25" customHeight="1" s="16">
      <c r="A374" s="25" t="inlineStr">
        <is>
          <t>MINHA QUITANDINHA</t>
        </is>
      </c>
      <c r="B374" s="25" t="inlineStr">
        <is>
          <t>39358176000155</t>
        </is>
      </c>
      <c r="C374" s="25" t="inlineStr">
        <is>
          <t>MQ SOLUCOES LTDA</t>
        </is>
      </c>
      <c r="D374" s="25" t="inlineStr">
        <is>
          <t>SC</t>
        </is>
      </c>
      <c r="E374" s="25" t="inlineStr">
        <is>
          <t>BALNEARIO CAMBORIU</t>
        </is>
      </c>
      <c r="F374" s="25" t="inlineStr">
        <is>
          <t>luiz.gazaniga@grupoqtech.com.br</t>
        </is>
      </c>
      <c r="G374" s="25" t="inlineStr">
        <is>
          <t>+55 (47) 99706-5444</t>
        </is>
      </c>
      <c r="H374" s="25" t="inlineStr">
        <is>
          <t>21/10/2025</t>
        </is>
      </c>
      <c r="I374" s="25" t="n"/>
      <c r="J374" s="25" t="inlineStr">
        <is>
          <t>MANU DITZEL</t>
        </is>
      </c>
      <c r="K374" s="25" t="inlineStr">
        <is>
          <t>Manu Ditzel</t>
        </is>
      </c>
      <c r="L374" s="25" t="n">
        <v>115</v>
      </c>
      <c r="M374" s="25" t="inlineStr">
        <is>
          <t>23/10/2025</t>
        </is>
      </c>
      <c r="N374" s="25" t="n">
        <v>5301.79</v>
      </c>
      <c r="O374" s="25" t="n"/>
      <c r="P374" s="25" t="n"/>
      <c r="Q374" s="25" t="n"/>
      <c r="R374" s="25" t="n"/>
      <c r="S374" s="25" t="n"/>
      <c r="T374" s="25" t="n"/>
      <c r="U374" s="25" t="n">
        <v>0</v>
      </c>
      <c r="V374" s="25" t="n">
        <v>0</v>
      </c>
      <c r="W374" s="25" t="n">
        <v>0</v>
      </c>
      <c r="X374" s="25" t="n">
        <v>0</v>
      </c>
      <c r="Y374" s="25" t="n">
        <v>0</v>
      </c>
      <c r="Z374" s="25" t="n">
        <v>0</v>
      </c>
      <c r="AA374" s="25" t="n">
        <v>0</v>
      </c>
      <c r="AB374" s="25" t="n">
        <v>0</v>
      </c>
      <c r="AC374" s="25" t="n">
        <v>0</v>
      </c>
      <c r="AD374" s="25" t="n">
        <v>0</v>
      </c>
      <c r="AE374" s="25" t="n">
        <v>0</v>
      </c>
      <c r="AF374" s="25" t="n">
        <v>0</v>
      </c>
      <c r="AG374" s="25" t="n">
        <v>0</v>
      </c>
      <c r="AH374" s="25" t="n">
        <v>0</v>
      </c>
      <c r="AI374" s="25" t="inlineStr">
        <is>
          <t>A</t>
        </is>
      </c>
      <c r="AJ374" s="25" t="n">
        <v>0</v>
      </c>
      <c r="AK374" s="25" t="n">
        <v>0</v>
      </c>
      <c r="AL374" s="25" t="n"/>
      <c r="AM374" s="25" t="n"/>
      <c r="AN374" s="25" t="n"/>
      <c r="AO374" s="25" t="n"/>
      <c r="AP374" s="27">
        <f>IF(AH374="","",IF(AH374=0,"PROSPECT",IF(AH374=1,"NOVO",IF(AH374&lt;=3,"EM DESENVOLVIMENTO",IF(AH374&lt;=6,"RECORRENTE","FIDELIZADO")))))</f>
        <v/>
      </c>
      <c r="AQ374" s="27">
        <f>IF(AJ374=0,0,IFERROR(SUM(U374:AF374)/AJ374,0))</f>
        <v/>
      </c>
      <c r="AS374" s="0" t="inlineStr">
        <is>
          <t>Carteira FEV/26</t>
        </is>
      </c>
    </row>
    <row r="375" ht="14.25" customHeight="1" s="16">
      <c r="A375" s="25" t="inlineStr">
        <is>
          <t>MINHA QUITANDINHA</t>
        </is>
      </c>
      <c r="B375" s="25" t="inlineStr">
        <is>
          <t>59087175000120</t>
        </is>
      </c>
      <c r="C375" s="25" t="inlineStr">
        <is>
          <t>INOVASMART SOLUTIONS LTDA</t>
        </is>
      </c>
      <c r="D375" s="25" t="inlineStr">
        <is>
          <t>RJ</t>
        </is>
      </c>
      <c r="E375" s="25" t="inlineStr">
        <is>
          <t>MACAE</t>
        </is>
      </c>
      <c r="F375" s="25" t="inlineStr">
        <is>
          <t>rodrigo.paz@minhaquitandinha.com.br</t>
        </is>
      </c>
      <c r="G375" s="25" t="inlineStr">
        <is>
          <t>+55 (22) 98109-3913</t>
        </is>
      </c>
      <c r="H375" s="25" t="inlineStr">
        <is>
          <t>12/09/2025</t>
        </is>
      </c>
      <c r="I375" s="25" t="n"/>
      <c r="J375" s="25" t="inlineStr">
        <is>
          <t>MANU DITZEL</t>
        </is>
      </c>
      <c r="K375" s="25" t="inlineStr">
        <is>
          <t>Manu Ditzel</t>
        </is>
      </c>
      <c r="L375" s="25" t="n">
        <v>151</v>
      </c>
      <c r="M375" s="25" t="inlineStr">
        <is>
          <t>17/09/2025</t>
        </is>
      </c>
      <c r="N375" s="25" t="n">
        <v>668.5700000000001</v>
      </c>
      <c r="O375" s="25" t="n">
        <v>5</v>
      </c>
      <c r="P375" s="25" t="inlineStr">
        <is>
          <t>Sim</t>
        </is>
      </c>
      <c r="Q375" s="25" t="n">
        <v>39</v>
      </c>
      <c r="R375" s="25" t="n">
        <v>19</v>
      </c>
      <c r="S375" s="25" t="n">
        <v>668.5700000000001</v>
      </c>
      <c r="T375" s="25" t="inlineStr">
        <is>
          <t>COMPRA B2B</t>
        </is>
      </c>
      <c r="U375" s="25" t="n">
        <v>0</v>
      </c>
      <c r="V375" s="25" t="n">
        <v>0</v>
      </c>
      <c r="W375" s="25" t="n">
        <v>0</v>
      </c>
      <c r="X375" s="25" t="n">
        <v>0</v>
      </c>
      <c r="Y375" s="25" t="n">
        <v>0</v>
      </c>
      <c r="Z375" s="25" t="n">
        <v>0</v>
      </c>
      <c r="AA375" s="25" t="n">
        <v>0</v>
      </c>
      <c r="AB375" s="25" t="n">
        <v>0</v>
      </c>
      <c r="AC375" s="25" t="n">
        <v>0</v>
      </c>
      <c r="AD375" s="25" t="n">
        <v>0</v>
      </c>
      <c r="AE375" s="25" t="n">
        <v>0</v>
      </c>
      <c r="AF375" s="25" t="n">
        <v>0</v>
      </c>
      <c r="AG375" s="25" t="n">
        <v>0</v>
      </c>
      <c r="AH375" s="25" t="n">
        <v>0</v>
      </c>
      <c r="AI375" s="25" t="inlineStr">
        <is>
          <t>C</t>
        </is>
      </c>
      <c r="AJ375" s="25" t="n">
        <v>0</v>
      </c>
      <c r="AK375" s="25" t="n">
        <v>0</v>
      </c>
      <c r="AL375" s="26" t="n">
        <v>46045.63445601852</v>
      </c>
      <c r="AM375" s="26" t="n">
        <v>46045.63445601852</v>
      </c>
      <c r="AN375" s="25" t="inlineStr">
        <is>
          <t>WHATSAPP</t>
        </is>
      </c>
      <c r="AO375" s="25" t="inlineStr">
        <is>
          <t>MQ - RODRIGO - RJ</t>
        </is>
      </c>
      <c r="AP375" s="27">
        <f>IF(AH375="","",IF(AH375=0,"PROSPECT",IF(AH375=1,"NOVO",IF(AH375&lt;=3,"EM DESENVOLVIMENTO",IF(AH375&lt;=6,"RECORRENTE","FIDELIZADO")))))</f>
        <v/>
      </c>
      <c r="AQ375" s="27">
        <f>IF(AJ375=0,0,IFERROR(SUM(U375:AF375)/AJ375,0))</f>
        <v/>
      </c>
      <c r="AS375" s="0" t="inlineStr">
        <is>
          <t>Carteira FEV/26</t>
        </is>
      </c>
    </row>
    <row r="376" ht="14.25" customHeight="1" s="16">
      <c r="A376" s="25" t="inlineStr">
        <is>
          <t>MINHA QUITANDINHA</t>
        </is>
      </c>
      <c r="B376" s="25" t="inlineStr">
        <is>
          <t>57609477000196</t>
        </is>
      </c>
      <c r="C376" s="25" t="inlineStr">
        <is>
          <t>JSC COMERCIO LTDA</t>
        </is>
      </c>
      <c r="D376" s="25" t="inlineStr">
        <is>
          <t>RS</t>
        </is>
      </c>
      <c r="E376" s="25" t="inlineStr">
        <is>
          <t>ALVORADA</t>
        </is>
      </c>
      <c r="F376" s="25" t="inlineStr">
        <is>
          <t>jean.carvalho@minhaquitandinha.com.br</t>
        </is>
      </c>
      <c r="G376" s="25" t="inlineStr">
        <is>
          <t>+55 (51) 8313-7358</t>
        </is>
      </c>
      <c r="H376" s="25" t="inlineStr">
        <is>
          <t>09/09/2025</t>
        </is>
      </c>
      <c r="I376" s="25" t="n"/>
      <c r="J376" s="25" t="inlineStr">
        <is>
          <t>MANU DITZEL</t>
        </is>
      </c>
      <c r="K376" s="25" t="inlineStr">
        <is>
          <t>Manu Ditzel</t>
        </is>
      </c>
      <c r="L376" s="25" t="n">
        <v>153</v>
      </c>
      <c r="M376" s="25" t="inlineStr">
        <is>
          <t>15/09/2025</t>
        </is>
      </c>
      <c r="N376" s="25" t="n">
        <v>773.6900000000001</v>
      </c>
      <c r="O376" s="25" t="n">
        <v>1</v>
      </c>
      <c r="P376" s="25" t="inlineStr">
        <is>
          <t>Sim</t>
        </is>
      </c>
      <c r="Q376" s="25" t="n">
        <v>157</v>
      </c>
      <c r="R376" s="25" t="n">
        <v>40</v>
      </c>
      <c r="S376" s="25" t="n">
        <v>773.6900000000001</v>
      </c>
      <c r="T376" s="25" t="inlineStr">
        <is>
          <t>COMPRA B2B</t>
        </is>
      </c>
      <c r="U376" s="25" t="n">
        <v>0</v>
      </c>
      <c r="V376" s="25" t="n">
        <v>0</v>
      </c>
      <c r="W376" s="25" t="n">
        <v>0</v>
      </c>
      <c r="X376" s="25" t="n">
        <v>0</v>
      </c>
      <c r="Y376" s="25" t="n">
        <v>0</v>
      </c>
      <c r="Z376" s="25" t="n">
        <v>0</v>
      </c>
      <c r="AA376" s="25" t="n">
        <v>0</v>
      </c>
      <c r="AB376" s="25" t="n">
        <v>0</v>
      </c>
      <c r="AC376" s="25" t="n">
        <v>0</v>
      </c>
      <c r="AD376" s="25" t="n">
        <v>0</v>
      </c>
      <c r="AE376" s="25" t="n">
        <v>0</v>
      </c>
      <c r="AF376" s="25" t="n">
        <v>0</v>
      </c>
      <c r="AG376" s="25" t="n">
        <v>0</v>
      </c>
      <c r="AH376" s="25" t="n">
        <v>0</v>
      </c>
      <c r="AI376" s="25" t="inlineStr">
        <is>
          <t>C</t>
        </is>
      </c>
      <c r="AJ376" s="25" t="n">
        <v>0</v>
      </c>
      <c r="AK376" s="25" t="n">
        <v>0</v>
      </c>
      <c r="AL376" s="26" t="n">
        <v>46043.35940972222</v>
      </c>
      <c r="AM376" s="26" t="n">
        <v>46043.35940972222</v>
      </c>
      <c r="AN376" s="25" t="inlineStr">
        <is>
          <t>WHATSAPP</t>
        </is>
      </c>
      <c r="AO376" s="25" t="inlineStr">
        <is>
          <t>MQ - Jean</t>
        </is>
      </c>
      <c r="AP376" s="27">
        <f>IF(AH376="","",IF(AH376=0,"PROSPECT",IF(AH376=1,"NOVO",IF(AH376&lt;=3,"EM DESENVOLVIMENTO",IF(AH376&lt;=6,"RECORRENTE","FIDELIZADO")))))</f>
        <v/>
      </c>
      <c r="AQ376" s="27">
        <f>IF(AJ376=0,0,IFERROR(SUM(U376:AF376)/AJ376,0))</f>
        <v/>
      </c>
      <c r="AS376" s="0" t="inlineStr">
        <is>
          <t>Carteira FEV/26 + Ecom FEV/26</t>
        </is>
      </c>
    </row>
    <row r="377" ht="14.25" customHeight="1" s="16">
      <c r="A377" s="25" t="inlineStr">
        <is>
          <t>MINHA QUITANDINHA - AGUA VERDE - BLUMENAU</t>
        </is>
      </c>
      <c r="B377" s="25" t="inlineStr">
        <is>
          <t>54729143000168</t>
        </is>
      </c>
      <c r="C377" s="25" t="inlineStr">
        <is>
          <t>LET'S MARKET LTDA</t>
        </is>
      </c>
      <c r="D377" s="25" t="inlineStr">
        <is>
          <t>SC</t>
        </is>
      </c>
      <c r="E377" s="25" t="inlineStr">
        <is>
          <t>BLUMENAU</t>
        </is>
      </c>
      <c r="F377" s="25" t="inlineStr">
        <is>
          <t>sami_suelen@yahoo.com.br</t>
        </is>
      </c>
      <c r="G377" s="25" t="inlineStr">
        <is>
          <t>+55 (47) 9992-3625</t>
        </is>
      </c>
      <c r="H377" s="25" t="inlineStr">
        <is>
          <t>03/09/2025</t>
        </is>
      </c>
      <c r="I377" s="25" t="n"/>
      <c r="J377" s="25" t="inlineStr">
        <is>
          <t>MANU DITZEL</t>
        </is>
      </c>
      <c r="K377" s="25" t="inlineStr">
        <is>
          <t>Manu Ditzel</t>
        </is>
      </c>
      <c r="L377" s="25" t="n">
        <v>164</v>
      </c>
      <c r="M377" s="25" t="inlineStr">
        <is>
          <t>04/09/2025</t>
        </is>
      </c>
      <c r="N377" s="25" t="n">
        <v>775.04</v>
      </c>
      <c r="O377" s="25" t="n">
        <v>3</v>
      </c>
      <c r="P377" s="25" t="inlineStr">
        <is>
          <t>Sim</t>
        </is>
      </c>
      <c r="Q377" s="25" t="n">
        <v>62</v>
      </c>
      <c r="R377" s="25" t="n">
        <v>28</v>
      </c>
      <c r="S377" s="25" t="n">
        <v>775.04</v>
      </c>
      <c r="T377" s="25" t="inlineStr">
        <is>
          <t>COMPRA B2B</t>
        </is>
      </c>
      <c r="U377" s="25" t="n">
        <v>0</v>
      </c>
      <c r="V377" s="25" t="n">
        <v>0</v>
      </c>
      <c r="W377" s="25" t="n">
        <v>0</v>
      </c>
      <c r="X377" s="25" t="n">
        <v>0</v>
      </c>
      <c r="Y377" s="25" t="n">
        <v>0</v>
      </c>
      <c r="Z377" s="25" t="n">
        <v>0</v>
      </c>
      <c r="AA377" s="25" t="n">
        <v>775.04</v>
      </c>
      <c r="AB377" s="25" t="n">
        <v>0</v>
      </c>
      <c r="AC377" s="25" t="n">
        <v>0</v>
      </c>
      <c r="AD377" s="25" t="n">
        <v>0</v>
      </c>
      <c r="AE377" s="25" t="n">
        <v>0</v>
      </c>
      <c r="AF377" s="25" t="n">
        <v>0</v>
      </c>
      <c r="AG377" s="25" t="n">
        <v>0</v>
      </c>
      <c r="AH377" s="25" t="n">
        <v>1</v>
      </c>
      <c r="AI377" s="25" t="inlineStr">
        <is>
          <t>C</t>
        </is>
      </c>
      <c r="AJ377" s="25" t="n">
        <v>1</v>
      </c>
      <c r="AK377" s="25" t="n">
        <v>775.04</v>
      </c>
      <c r="AL377" s="26" t="n">
        <v>46059.45555555556</v>
      </c>
      <c r="AM377" s="26" t="n">
        <v>46059.45555555556</v>
      </c>
      <c r="AN377" s="25" t="inlineStr">
        <is>
          <t>LIGAÇÃO</t>
        </is>
      </c>
      <c r="AO377" s="25" t="inlineStr">
        <is>
          <t>ENTENDENDO O PQ DA NÃO RECOMPRA</t>
        </is>
      </c>
      <c r="AP377" s="27">
        <f>IF(AH377="","",IF(AH377=0,"PROSPECT",IF(AH377=1,"NOVO",IF(AH377&lt;=3,"EM DESENVOLVIMENTO",IF(AH377&lt;=6,"RECORRENTE","FIDELIZADO")))))</f>
        <v/>
      </c>
      <c r="AQ377" s="27">
        <f>IF(AJ377=0,0,IFERROR(SUM(U377:AF377)/AJ377,0))</f>
        <v/>
      </c>
      <c r="AS377" s="0" t="inlineStr">
        <is>
          <t>Carteira FEV/26 + Atend FEV/26</t>
        </is>
      </c>
    </row>
    <row r="378" ht="14.25" customHeight="1" s="16">
      <c r="A378" s="25" t="inlineStr">
        <is>
          <t>MISTER GRAOS SS MOCOQUINHA LTDA</t>
        </is>
      </c>
      <c r="B378" s="25" t="inlineStr">
        <is>
          <t>58434075000160</t>
        </is>
      </c>
      <c r="C378" s="25" t="inlineStr">
        <is>
          <t>MISTER GRAOS SS MOCOQUINHA LTDA</t>
        </is>
      </c>
      <c r="D378" s="25" t="inlineStr">
        <is>
          <t>MG</t>
        </is>
      </c>
      <c r="E378" s="25" t="inlineStr">
        <is>
          <t>SAO SEBASTIAO DO PARAISO</t>
        </is>
      </c>
      <c r="F378" s="25" t="inlineStr">
        <is>
          <t>administrativo@mistergraos.com.br,fiscal@mistergraos.com.br</t>
        </is>
      </c>
      <c r="G378" s="25" t="inlineStr">
        <is>
          <t>+55 (35) 98416-2465</t>
        </is>
      </c>
      <c r="H378" s="25" t="inlineStr">
        <is>
          <t>17/03/2025</t>
        </is>
      </c>
      <c r="I378" s="25" t="n"/>
      <c r="J378" s="25" t="inlineStr">
        <is>
          <t>MANU DITZEL</t>
        </is>
      </c>
      <c r="K378" s="25" t="inlineStr">
        <is>
          <t>Manu Ditzel</t>
        </is>
      </c>
      <c r="L378" s="25" t="n">
        <v>178</v>
      </c>
      <c r="M378" s="25" t="inlineStr">
        <is>
          <t>21/08/2025</t>
        </is>
      </c>
      <c r="N378" s="25" t="n">
        <v>2116.36</v>
      </c>
      <c r="O378" s="25" t="n">
        <v>1</v>
      </c>
      <c r="P378" s="25" t="inlineStr">
        <is>
          <t>Sim</t>
        </is>
      </c>
      <c r="Q378" s="25" t="n">
        <v>301</v>
      </c>
      <c r="R378" s="25" t="n">
        <v>110</v>
      </c>
      <c r="S378" s="25" t="n">
        <v>3710.21</v>
      </c>
      <c r="T378" s="25" t="inlineStr">
        <is>
          <t>COMPRA B2B</t>
        </is>
      </c>
      <c r="U378" s="25" t="n">
        <v>0</v>
      </c>
      <c r="V378" s="25" t="n">
        <v>0</v>
      </c>
      <c r="W378" s="25" t="n">
        <v>0</v>
      </c>
      <c r="X378" s="25" t="n">
        <v>1593.85</v>
      </c>
      <c r="Y378" s="25" t="n">
        <v>0</v>
      </c>
      <c r="Z378" s="25" t="n">
        <v>2116.36</v>
      </c>
      <c r="AA378" s="25" t="n">
        <v>0</v>
      </c>
      <c r="AB378" s="25" t="n">
        <v>0</v>
      </c>
      <c r="AC378" s="25" t="n">
        <v>0</v>
      </c>
      <c r="AD378" s="25" t="n">
        <v>0</v>
      </c>
      <c r="AE378" s="25" t="n">
        <v>0</v>
      </c>
      <c r="AF378" s="25" t="n">
        <v>0</v>
      </c>
      <c r="AG378" s="25" t="n">
        <v>52</v>
      </c>
      <c r="AH378" s="25" t="n">
        <v>2</v>
      </c>
      <c r="AI378" s="25" t="inlineStr">
        <is>
          <t>A</t>
        </is>
      </c>
      <c r="AJ378" s="25" t="n">
        <v>2</v>
      </c>
      <c r="AK378" s="25" t="n">
        <v>1855.11</v>
      </c>
      <c r="AL378" s="26" t="n">
        <v>45951.49473379629</v>
      </c>
      <c r="AM378" s="26" t="n">
        <v>45951.49473379629</v>
      </c>
      <c r="AN378" s="25" t="inlineStr">
        <is>
          <t>WHATSAPP</t>
        </is>
      </c>
      <c r="AO378" s="25" t="inlineStr">
        <is>
          <t>Daniela - Mocoquinha</t>
        </is>
      </c>
      <c r="AP378" s="27">
        <f>IF(AH378="","",IF(AH378=0,"PROSPECT",IF(AH378=1,"NOVO",IF(AH378&lt;=3,"EM DESENVOLVIMENTO",IF(AH378&lt;=6,"RECORRENTE","FIDELIZADO")))))</f>
        <v/>
      </c>
      <c r="AQ378" s="27">
        <f>IF(AJ378=0,0,IFERROR(SUM(U378:AF378)/AJ378,0))</f>
        <v/>
      </c>
      <c r="AS378" s="0" t="inlineStr">
        <is>
          <t>Carteira FEV/26</t>
        </is>
      </c>
    </row>
    <row r="379" ht="14.25" customHeight="1" s="16">
      <c r="A379" s="25" t="inlineStr">
        <is>
          <t>MIX TUDO COMERCIO DE ALIMENTOS E SERVICOS</t>
        </is>
      </c>
      <c r="B379" s="25" t="inlineStr">
        <is>
          <t>26249561000465</t>
        </is>
      </c>
      <c r="C379" s="25" t="inlineStr">
        <is>
          <t>MIX TUDO COMERCIO DE ALIMENTOS E SERVICOS LTDA</t>
        </is>
      </c>
      <c r="D379" s="25" t="inlineStr">
        <is>
          <t>ES</t>
        </is>
      </c>
      <c r="E379" s="25" t="inlineStr">
        <is>
          <t>VITORIA</t>
        </is>
      </c>
      <c r="F379" s="25" t="inlineStr">
        <is>
          <t>ricardo@colibrifestas.com.br</t>
        </is>
      </c>
      <c r="G379" s="25" t="inlineStr">
        <is>
          <t>+55 (27) 99231-0947</t>
        </is>
      </c>
      <c r="H379" s="25" t="inlineStr">
        <is>
          <t>03/04/2025</t>
        </is>
      </c>
      <c r="I379" s="25" t="n"/>
      <c r="J379" s="25" t="inlineStr">
        <is>
          <t>LARISSA PADILHA</t>
        </is>
      </c>
      <c r="K379" s="25" t="inlineStr">
        <is>
          <t>Larissa Padilha</t>
        </is>
      </c>
      <c r="L379" s="25" t="n">
        <v>152</v>
      </c>
      <c r="M379" s="25" t="inlineStr">
        <is>
          <t>16/09/2025</t>
        </is>
      </c>
      <c r="N379" s="25" t="n">
        <v>1206.12</v>
      </c>
      <c r="O379" s="25" t="n"/>
      <c r="P379" s="25" t="n"/>
      <c r="Q379" s="25" t="n"/>
      <c r="R379" s="25" t="n"/>
      <c r="S379" s="25" t="n"/>
      <c r="T379" s="25" t="n"/>
      <c r="U379" s="25" t="n">
        <v>0</v>
      </c>
      <c r="V379" s="25" t="n">
        <v>799.2</v>
      </c>
      <c r="W379" s="25" t="n">
        <v>0</v>
      </c>
      <c r="X379" s="25" t="n">
        <v>0</v>
      </c>
      <c r="Y379" s="25" t="n">
        <v>0</v>
      </c>
      <c r="Z379" s="25" t="n">
        <v>0</v>
      </c>
      <c r="AA379" s="25" t="n">
        <v>1206.12</v>
      </c>
      <c r="AB379" s="25" t="n">
        <v>0</v>
      </c>
      <c r="AC379" s="25" t="n">
        <v>0</v>
      </c>
      <c r="AD379" s="25" t="n">
        <v>0</v>
      </c>
      <c r="AE379" s="25" t="n">
        <v>0</v>
      </c>
      <c r="AF379" s="25" t="n">
        <v>0</v>
      </c>
      <c r="AG379" s="25" t="n">
        <v>166</v>
      </c>
      <c r="AH379" s="25" t="n">
        <v>2</v>
      </c>
      <c r="AI379" s="25" t="inlineStr">
        <is>
          <t>B</t>
        </is>
      </c>
      <c r="AJ379" s="25" t="n">
        <v>2</v>
      </c>
      <c r="AK379" s="25" t="n">
        <v>1002.66</v>
      </c>
      <c r="AL379" s="26" t="n">
        <v>46065.58611111111</v>
      </c>
      <c r="AM379" s="26" t="n">
        <v>46065.58611111111</v>
      </c>
      <c r="AN379" s="25" t="inlineStr">
        <is>
          <t>WHATSAPP</t>
        </is>
      </c>
      <c r="AO379" s="25" t="inlineStr">
        <is>
          <t>NUTRIÇÃO | Envio da campanha do mês</t>
        </is>
      </c>
      <c r="AP379" s="27">
        <f>IF(AH379="","",IF(AH379=0,"PROSPECT",IF(AH379=1,"NOVO",IF(AH379&lt;=3,"EM DESENVOLVIMENTO",IF(AH379&lt;=6,"RECORRENTE","FIDELIZADO")))))</f>
        <v/>
      </c>
      <c r="AQ379" s="27">
        <f>IF(AJ379=0,0,IFERROR(SUM(U379:AF379)/AJ379,0))</f>
        <v/>
      </c>
      <c r="AS379" s="0" t="inlineStr">
        <is>
          <t>Carteira FEV/26 + Atend FEV/26</t>
        </is>
      </c>
    </row>
    <row r="380" ht="14.25" customHeight="1" s="16">
      <c r="A380" s="25" t="inlineStr">
        <is>
          <t>MJ PRODUTOS NATURAIS</t>
        </is>
      </c>
      <c r="B380" s="25" t="inlineStr">
        <is>
          <t>60670819000198</t>
        </is>
      </c>
      <c r="C380" s="25" t="inlineStr">
        <is>
          <t>MJ PRODUTOS NATURAIS SAO LOURENCO DO OESTE LTDA</t>
        </is>
      </c>
      <c r="D380" s="25" t="inlineStr">
        <is>
          <t>SC</t>
        </is>
      </c>
      <c r="E380" s="25" t="inlineStr">
        <is>
          <t>SAO LOURENCO DO OESTE</t>
        </is>
      </c>
      <c r="F380" s="25" t="inlineStr">
        <is>
          <t>sao.lourenco.oeste@redevidaleve.com.br</t>
        </is>
      </c>
      <c r="G380" s="25" t="inlineStr">
        <is>
          <t>+55 (49) 99912-8183</t>
        </is>
      </c>
      <c r="H380" s="25" t="inlineStr">
        <is>
          <t>30/07/2025</t>
        </is>
      </c>
      <c r="I380" s="25" t="inlineStr">
        <is>
          <t>[Rede] Vida Leve</t>
        </is>
      </c>
      <c r="J380" s="25" t="inlineStr">
        <is>
          <t>MANU DITZEL</t>
        </is>
      </c>
      <c r="K380" s="25" t="inlineStr">
        <is>
          <t>Central - Daiane</t>
        </is>
      </c>
      <c r="L380" s="25" t="n">
        <v>6</v>
      </c>
      <c r="M380" s="25" t="inlineStr">
        <is>
          <t>09/02/2026</t>
        </is>
      </c>
      <c r="N380" s="25" t="n">
        <v>653.75</v>
      </c>
      <c r="O380" s="25" t="n">
        <v>2</v>
      </c>
      <c r="P380" s="25" t="inlineStr">
        <is>
          <t>Sim</t>
        </is>
      </c>
      <c r="Q380" s="25" t="n">
        <v>22</v>
      </c>
      <c r="R380" s="25" t="n">
        <v>11</v>
      </c>
      <c r="S380" s="25" t="n">
        <v>653.75</v>
      </c>
      <c r="T380" s="25" t="inlineStr">
        <is>
          <t>COMPRA B2B</t>
        </is>
      </c>
      <c r="U380" s="25" t="n">
        <v>0</v>
      </c>
      <c r="V380" s="25" t="n">
        <v>0</v>
      </c>
      <c r="W380" s="25" t="n">
        <v>0</v>
      </c>
      <c r="X380" s="25" t="n">
        <v>0</v>
      </c>
      <c r="Y380" s="25" t="n">
        <v>0</v>
      </c>
      <c r="Z380" s="25" t="n">
        <v>1263.69</v>
      </c>
      <c r="AA380" s="25" t="n">
        <v>0</v>
      </c>
      <c r="AB380" s="25" t="n">
        <v>0</v>
      </c>
      <c r="AC380" s="25" t="n">
        <v>0</v>
      </c>
      <c r="AD380" s="25" t="n">
        <v>0</v>
      </c>
      <c r="AE380" s="25" t="n">
        <v>0</v>
      </c>
      <c r="AF380" s="25" t="n">
        <v>1340.86</v>
      </c>
      <c r="AG380" s="25" t="n">
        <v>188</v>
      </c>
      <c r="AH380" s="25" t="n">
        <v>3</v>
      </c>
      <c r="AI380" s="25" t="inlineStr">
        <is>
          <t>A</t>
        </is>
      </c>
      <c r="AJ380" s="25" t="n">
        <v>2</v>
      </c>
      <c r="AK380" s="25" t="n">
        <v>868.1799999999999</v>
      </c>
      <c r="AL380" s="26" t="n">
        <v>46056.39236111111</v>
      </c>
      <c r="AM380" s="26" t="n">
        <v>46056.39236111111</v>
      </c>
      <c r="AN380" s="25" t="inlineStr">
        <is>
          <t>LIGAÇÃO</t>
        </is>
      </c>
      <c r="AO380" s="25" t="inlineStr">
        <is>
          <t>FALEI COM JAISSON ELE NÃO QUER PRODUTO QUE TENHA NO MERCADO</t>
        </is>
      </c>
      <c r="AP380" s="27">
        <f>IF(AH380="","",IF(AH380=0,"PROSPECT",IF(AH380=1,"NOVO",IF(AH380&lt;=3,"EM DESENVOLVIMENTO",IF(AH380&lt;=6,"RECORRENTE","FIDELIZADO")))))</f>
        <v/>
      </c>
      <c r="AQ380" s="27">
        <f>IF(AJ380=0,0,IFERROR(SUM(U380:AF380)/AJ380,0))</f>
        <v/>
      </c>
      <c r="AS380" s="0" t="inlineStr">
        <is>
          <t>Carteira FEV/26 + Atend FEV/26 + Ecom FEV/26 + Vendas FEV/26 + ABC FEV/26</t>
        </is>
      </c>
    </row>
    <row r="381" ht="14.25" customHeight="1" s="16">
      <c r="A381" s="25" t="inlineStr">
        <is>
          <t>MS DISTRIBUIDORA</t>
        </is>
      </c>
      <c r="B381" s="25" t="inlineStr">
        <is>
          <t>37790248000103</t>
        </is>
      </c>
      <c r="C381" s="25" t="inlineStr">
        <is>
          <t>MS COMERCIO DE PRODUTOS NATURAIS LTDA</t>
        </is>
      </c>
      <c r="D381" s="25" t="inlineStr">
        <is>
          <t>PR</t>
        </is>
      </c>
      <c r="E381" s="25" t="inlineStr">
        <is>
          <t>CIANORTE</t>
        </is>
      </c>
      <c r="F381" s="25" t="inlineStr">
        <is>
          <t>3sprodutosnaturais@gmail.com</t>
        </is>
      </c>
      <c r="G381" s="25" t="inlineStr">
        <is>
          <t>+55 (44) 9920-8690 | +55 (44) 9920-8690 | 44999208690443 (FELIPE DONO)</t>
        </is>
      </c>
      <c r="H381" s="25" t="inlineStr">
        <is>
          <t>08/10/2024</t>
        </is>
      </c>
      <c r="I381" s="25" t="n"/>
      <c r="J381" s="25" t="inlineStr">
        <is>
          <t>MANU DITZEL</t>
        </is>
      </c>
      <c r="K381" s="25" t="inlineStr">
        <is>
          <t>Manu Ditzel</t>
        </is>
      </c>
      <c r="L381" s="25" t="n">
        <v>139</v>
      </c>
      <c r="M381" s="25" t="inlineStr">
        <is>
          <t>29/09/2025</t>
        </is>
      </c>
      <c r="N381" s="25" t="n">
        <v>985.5</v>
      </c>
      <c r="O381" s="25" t="n">
        <v>4</v>
      </c>
      <c r="P381" s="25" t="inlineStr">
        <is>
          <t>Sim</t>
        </is>
      </c>
      <c r="Q381" s="25" t="n">
        <v>101</v>
      </c>
      <c r="R381" s="25" t="n">
        <v>12</v>
      </c>
      <c r="S381" s="25" t="n">
        <v>985.5</v>
      </c>
      <c r="T381" s="25" t="inlineStr">
        <is>
          <t>COMPRA B2B</t>
        </is>
      </c>
      <c r="U381" s="25" t="n">
        <v>0</v>
      </c>
      <c r="V381" s="25" t="n">
        <v>0</v>
      </c>
      <c r="W381" s="25" t="n">
        <v>0</v>
      </c>
      <c r="X381" s="25" t="n">
        <v>0</v>
      </c>
      <c r="Y381" s="25" t="n">
        <v>0</v>
      </c>
      <c r="Z381" s="25" t="n">
        <v>0</v>
      </c>
      <c r="AA381" s="25" t="n">
        <v>985.5</v>
      </c>
      <c r="AB381" s="25" t="n">
        <v>0</v>
      </c>
      <c r="AC381" s="25" t="n">
        <v>0</v>
      </c>
      <c r="AD381" s="25" t="n">
        <v>0</v>
      </c>
      <c r="AE381" s="25" t="n">
        <v>0</v>
      </c>
      <c r="AF381" s="25" t="n">
        <v>0</v>
      </c>
      <c r="AG381" s="25" t="n">
        <v>0</v>
      </c>
      <c r="AH381" s="25" t="n">
        <v>1</v>
      </c>
      <c r="AI381" s="25" t="inlineStr">
        <is>
          <t>C</t>
        </is>
      </c>
      <c r="AJ381" s="25" t="n">
        <v>1</v>
      </c>
      <c r="AK381" s="25" t="n">
        <v>985.5</v>
      </c>
      <c r="AL381" s="26" t="n">
        <v>46059.48974537037</v>
      </c>
      <c r="AM381" s="26" t="n">
        <v>46059.48974537037</v>
      </c>
      <c r="AN381" s="25" t="inlineStr">
        <is>
          <t>WHATSAPP</t>
        </is>
      </c>
      <c r="AO381" s="28" t="inlineStr">
        <is>
          <t>MS DISTRIBUIDORA - PR - FELIPE</t>
        </is>
      </c>
      <c r="AP381" s="27">
        <f>IF(AH381="","",IF(AH381=0,"PROSPECT",IF(AH381=1,"NOVO",IF(AH381&lt;=3,"EM DESENVOLVIMENTO",IF(AH381&lt;=6,"RECORRENTE","FIDELIZADO")))))</f>
        <v/>
      </c>
      <c r="AQ381" s="27">
        <f>IF(AJ381=0,0,IFERROR(SUM(U381:AF381)/AJ381,0))</f>
        <v/>
      </c>
      <c r="AS381" s="0" t="inlineStr">
        <is>
          <t>Carteira FEV/26</t>
        </is>
      </c>
    </row>
    <row r="382" ht="14.25" customHeight="1" s="16">
      <c r="A382" s="25" t="inlineStr">
        <is>
          <t>MS NITRICAO</t>
        </is>
      </c>
      <c r="B382" s="25" t="inlineStr">
        <is>
          <t>53191899000214</t>
        </is>
      </c>
      <c r="C382" s="25" t="inlineStr">
        <is>
          <t>MS NUTRICAO LTDA</t>
        </is>
      </c>
      <c r="D382" s="25" t="inlineStr">
        <is>
          <t>SC</t>
        </is>
      </c>
      <c r="E382" s="25" t="inlineStr">
        <is>
          <t>BARRA VELHA</t>
        </is>
      </c>
      <c r="F382" s="25" t="inlineStr">
        <is>
          <t>fitlandbarravelha@gmail.com</t>
        </is>
      </c>
      <c r="G382" s="25" t="inlineStr">
        <is>
          <t>+55 (47) 99607-3694</t>
        </is>
      </c>
      <c r="H382" s="25" t="inlineStr">
        <is>
          <t>08/10/2024</t>
        </is>
      </c>
      <c r="I382" s="25" t="inlineStr">
        <is>
          <t>[Rede] Fit Land</t>
        </is>
      </c>
      <c r="J382" s="25" t="inlineStr">
        <is>
          <t>LARISSA PADILHA</t>
        </is>
      </c>
      <c r="K382" s="25" t="inlineStr">
        <is>
          <t>Larissa Padilha</t>
        </is>
      </c>
      <c r="L382" s="25" t="n">
        <v>235</v>
      </c>
      <c r="M382" s="25" t="inlineStr">
        <is>
          <t>25/06/2025</t>
        </is>
      </c>
      <c r="N382" s="25" t="n">
        <v>1218.44</v>
      </c>
      <c r="O382" s="25" t="n"/>
      <c r="P382" s="25" t="n"/>
      <c r="Q382" s="25" t="n"/>
      <c r="R382" s="25" t="n"/>
      <c r="S382" s="25" t="n"/>
      <c r="T382" s="25" t="n"/>
      <c r="U382" s="25" t="n">
        <v>0</v>
      </c>
      <c r="V382" s="25" t="n">
        <v>0</v>
      </c>
      <c r="W382" s="25" t="n">
        <v>0</v>
      </c>
      <c r="X382" s="25" t="n">
        <v>1218.44</v>
      </c>
      <c r="Y382" s="25" t="n">
        <v>0</v>
      </c>
      <c r="Z382" s="25" t="n">
        <v>0</v>
      </c>
      <c r="AA382" s="25" t="n">
        <v>0</v>
      </c>
      <c r="AB382" s="25" t="n">
        <v>0</v>
      </c>
      <c r="AC382" s="25" t="n">
        <v>0</v>
      </c>
      <c r="AD382" s="25" t="n">
        <v>0</v>
      </c>
      <c r="AE382" s="25" t="n">
        <v>0</v>
      </c>
      <c r="AF382" s="25" t="n">
        <v>0</v>
      </c>
      <c r="AG382" s="25" t="n">
        <v>0</v>
      </c>
      <c r="AH382" s="25" t="n">
        <v>1</v>
      </c>
      <c r="AI382" s="25" t="inlineStr">
        <is>
          <t>B</t>
        </is>
      </c>
      <c r="AJ382" s="25" t="n">
        <v>1</v>
      </c>
      <c r="AK382" s="25" t="n">
        <v>1218.44</v>
      </c>
      <c r="AL382" s="26" t="n">
        <v>45791.74888888889</v>
      </c>
      <c r="AM382" s="26" t="n">
        <v>45791.74888888889</v>
      </c>
      <c r="AN382" s="25" t="inlineStr">
        <is>
          <t>WHATSAPP</t>
        </is>
      </c>
      <c r="AO382" s="25" t="inlineStr">
        <is>
          <t>Fit land Barra Velha - Mayara loja própria</t>
        </is>
      </c>
      <c r="AP382" s="27">
        <f>IF(AH382="","",IF(AH382=0,"PROSPECT",IF(AH382=1,"NOVO",IF(AH382&lt;=3,"EM DESENVOLVIMENTO",IF(AH382&lt;=6,"RECORRENTE","FIDELIZADO")))))</f>
        <v/>
      </c>
      <c r="AQ382" s="27">
        <f>IF(AJ382=0,0,IFERROR(SUM(U382:AF382)/AJ382,0))</f>
        <v/>
      </c>
      <c r="AS382" s="0" t="inlineStr">
        <is>
          <t>Carteira FEV/26</t>
        </is>
      </c>
    </row>
    <row r="383" ht="14.25" customHeight="1" s="16">
      <c r="A383" s="25" t="inlineStr">
        <is>
          <t>MS NUTRICAO</t>
        </is>
      </c>
      <c r="B383" s="25" t="inlineStr">
        <is>
          <t>53191899000133</t>
        </is>
      </c>
      <c r="C383" s="25" t="inlineStr">
        <is>
          <t>MS NUTRICAO LTDA</t>
        </is>
      </c>
      <c r="D383" s="25" t="inlineStr">
        <is>
          <t>SC</t>
        </is>
      </c>
      <c r="E383" s="25" t="inlineStr">
        <is>
          <t>BALNEARIO DE PICARRAS</t>
        </is>
      </c>
      <c r="F383" s="25" t="inlineStr">
        <is>
          <t>fitlandpicarrassantoantonio@gmail.com</t>
        </is>
      </c>
      <c r="G383" s="25" t="inlineStr">
        <is>
          <t>+55 (47) 98891-0411</t>
        </is>
      </c>
      <c r="H383" s="25" t="inlineStr">
        <is>
          <t>25/06/2025</t>
        </is>
      </c>
      <c r="I383" s="25" t="inlineStr">
        <is>
          <t>[Rede] Fit Land</t>
        </is>
      </c>
      <c r="J383" s="25" t="inlineStr">
        <is>
          <t>JULIO GADRET</t>
        </is>
      </c>
      <c r="K383" s="25" t="inlineStr">
        <is>
          <t>Julio  Gadret</t>
        </is>
      </c>
      <c r="L383" s="25" t="n">
        <v>137</v>
      </c>
      <c r="M383" s="25" t="inlineStr">
        <is>
          <t>01/10/2025</t>
        </is>
      </c>
      <c r="N383" s="25" t="n">
        <v>1076.41</v>
      </c>
      <c r="O383" s="25" t="n"/>
      <c r="P383" s="25" t="n"/>
      <c r="Q383" s="25" t="n"/>
      <c r="R383" s="25" t="n"/>
      <c r="S383" s="25" t="n"/>
      <c r="T383" s="25" t="n"/>
      <c r="U383" s="25" t="n">
        <v>0</v>
      </c>
      <c r="V383" s="25" t="n">
        <v>0</v>
      </c>
      <c r="W383" s="25" t="n">
        <v>0</v>
      </c>
      <c r="X383" s="25" t="n">
        <v>2432.34</v>
      </c>
      <c r="Y383" s="25" t="n">
        <v>0</v>
      </c>
      <c r="Z383" s="25" t="n">
        <v>0</v>
      </c>
      <c r="AA383" s="25" t="n">
        <v>1076.41</v>
      </c>
      <c r="AB383" s="25" t="n">
        <v>1076.41</v>
      </c>
      <c r="AC383" s="25" t="n">
        <v>0</v>
      </c>
      <c r="AD383" s="25" t="n">
        <v>0</v>
      </c>
      <c r="AE383" s="25" t="n">
        <v>0</v>
      </c>
      <c r="AF383" s="25" t="n">
        <v>0</v>
      </c>
      <c r="AG383" s="25" t="n">
        <v>97</v>
      </c>
      <c r="AH383" s="25" t="n">
        <v>3</v>
      </c>
      <c r="AI383" s="25" t="inlineStr">
        <is>
          <t>B</t>
        </is>
      </c>
      <c r="AJ383" s="25" t="n">
        <v>3</v>
      </c>
      <c r="AK383" s="25" t="n">
        <v>1528.39</v>
      </c>
      <c r="AL383" s="26" t="n">
        <v>46050.68097222222</v>
      </c>
      <c r="AM383" s="26" t="n">
        <v>46050.68097222222</v>
      </c>
      <c r="AN383" s="25" t="inlineStr">
        <is>
          <t>WHATSAPP</t>
        </is>
      </c>
      <c r="AO383" s="25" t="inlineStr">
        <is>
          <t>FITLAND - ROGÉRIO - SC</t>
        </is>
      </c>
      <c r="AP383" s="27">
        <f>IF(AH383="","",IF(AH383=0,"PROSPECT",IF(AH383=1,"NOVO",IF(AH383&lt;=3,"EM DESENVOLVIMENTO",IF(AH383&lt;=6,"RECORRENTE","FIDELIZADO")))))</f>
        <v/>
      </c>
      <c r="AQ383" s="27">
        <f>IF(AJ383=0,0,IFERROR(SUM(U383:AF383)/AJ383,0))</f>
        <v/>
      </c>
      <c r="AS383" s="0" t="inlineStr">
        <is>
          <t>Carteira FEV/26</t>
        </is>
      </c>
    </row>
    <row r="384" ht="14.25" customHeight="1" s="16">
      <c r="A384" s="25" t="inlineStr">
        <is>
          <t>MS NUTRICAO</t>
        </is>
      </c>
      <c r="B384" s="25" t="inlineStr">
        <is>
          <t>53191899000303</t>
        </is>
      </c>
      <c r="C384" s="25" t="inlineStr">
        <is>
          <t>MS NUTRICAO LTDA</t>
        </is>
      </c>
      <c r="D384" s="25" t="inlineStr">
        <is>
          <t>SC</t>
        </is>
      </c>
      <c r="E384" s="25" t="inlineStr">
        <is>
          <t>BALNEARIO DE PICARRAS</t>
        </is>
      </c>
      <c r="F384" s="25" t="inlineStr">
        <is>
          <t>fitlandpicarras@gmail.com</t>
        </is>
      </c>
      <c r="G384" s="25" t="inlineStr">
        <is>
          <t>+55 (47) 99610-3109</t>
        </is>
      </c>
      <c r="H384" s="25" t="inlineStr">
        <is>
          <t>08/10/2024</t>
        </is>
      </c>
      <c r="I384" s="25" t="inlineStr">
        <is>
          <t>FIT LAND</t>
        </is>
      </c>
      <c r="J384" s="25" t="inlineStr">
        <is>
          <t>LARISSA PADILHA</t>
        </is>
      </c>
      <c r="K384" s="25" t="inlineStr">
        <is>
          <t>Larissa Padilha</t>
        </is>
      </c>
      <c r="L384" s="25" t="n">
        <v>235</v>
      </c>
      <c r="M384" s="25" t="inlineStr">
        <is>
          <t>25/06/2025</t>
        </is>
      </c>
      <c r="N384" s="25" t="n">
        <v>1213.9</v>
      </c>
      <c r="O384" s="25" t="n"/>
      <c r="P384" s="25" t="n"/>
      <c r="Q384" s="25" t="n"/>
      <c r="R384" s="25" t="n"/>
      <c r="S384" s="25" t="n"/>
      <c r="T384" s="25" t="n"/>
      <c r="U384" s="25" t="n">
        <v>0</v>
      </c>
      <c r="V384" s="25" t="n">
        <v>0</v>
      </c>
      <c r="W384" s="25" t="n">
        <v>0</v>
      </c>
      <c r="X384" s="25" t="n">
        <v>0</v>
      </c>
      <c r="Y384" s="25" t="n">
        <v>0</v>
      </c>
      <c r="Z384" s="25" t="n">
        <v>0</v>
      </c>
      <c r="AA384" s="25" t="n">
        <v>0</v>
      </c>
      <c r="AB384" s="25" t="n">
        <v>0</v>
      </c>
      <c r="AC384" s="25" t="n">
        <v>0</v>
      </c>
      <c r="AD384" s="25" t="n">
        <v>0</v>
      </c>
      <c r="AE384" s="25" t="n">
        <v>0</v>
      </c>
      <c r="AF384" s="25" t="n">
        <v>0</v>
      </c>
      <c r="AG384" s="25" t="n">
        <v>0</v>
      </c>
      <c r="AH384" s="25" t="n">
        <v>0</v>
      </c>
      <c r="AI384" s="25" t="inlineStr">
        <is>
          <t>B</t>
        </is>
      </c>
      <c r="AJ384" s="25" t="n">
        <v>0</v>
      </c>
      <c r="AK384" s="25" t="n">
        <v>0</v>
      </c>
      <c r="AL384" s="26" t="n">
        <v>45894.68611111111</v>
      </c>
      <c r="AM384" s="26" t="n">
        <v>45894.68611111111</v>
      </c>
      <c r="AN384" s="25" t="inlineStr">
        <is>
          <t>WHATSAPP</t>
        </is>
      </c>
      <c r="AO384" s="25" t="inlineStr">
        <is>
          <t>NUTRIÇÃO | Envio de ofertas de drageados por R$89,90kg</t>
        </is>
      </c>
      <c r="AP384" s="27">
        <f>IF(AH384="","",IF(AH384=0,"PROSPECT",IF(AH384=1,"NOVO",IF(AH384&lt;=3,"EM DESENVOLVIMENTO",IF(AH384&lt;=6,"RECORRENTE","FIDELIZADO")))))</f>
        <v/>
      </c>
      <c r="AQ384" s="27">
        <f>IF(AJ384=0,0,IFERROR(SUM(U384:AF384)/AJ384,0))</f>
        <v/>
      </c>
      <c r="AS384" s="0" t="inlineStr">
        <is>
          <t>Carteira FEV/26</t>
        </is>
      </c>
    </row>
    <row r="385" ht="14.25" customHeight="1" s="16">
      <c r="A385" s="25" t="inlineStr">
        <is>
          <t>MUITO MAIS</t>
        </is>
      </c>
      <c r="B385" s="25" t="inlineStr">
        <is>
          <t>03300974003870</t>
        </is>
      </c>
      <c r="C385" s="25" t="inlineStr">
        <is>
          <t>ELASA - ELO ALIMENTACAO S/A.</t>
        </is>
      </c>
      <c r="D385" s="25" t="inlineStr">
        <is>
          <t>RJ</t>
        </is>
      </c>
      <c r="E385" s="25" t="inlineStr">
        <is>
          <t>MACAE</t>
        </is>
      </c>
      <c r="F385" s="25" t="inlineStr">
        <is>
          <t>Daiteste@gmail.com</t>
        </is>
      </c>
      <c r="G385" s="25" t="inlineStr">
        <is>
          <t>+55 (31) 3500-3000 | +55 (31) 99554-9668</t>
        </is>
      </c>
      <c r="H385" s="25" t="inlineStr">
        <is>
          <t>03/06/2025</t>
        </is>
      </c>
      <c r="I385" s="25" t="n"/>
      <c r="J385" s="25" t="inlineStr">
        <is>
          <t>LARISSA PADILHA</t>
        </is>
      </c>
      <c r="K385" s="25" t="inlineStr">
        <is>
          <t>Helder Brunkow</t>
        </is>
      </c>
      <c r="L385" s="25" t="n">
        <v>256</v>
      </c>
      <c r="M385" s="25" t="inlineStr">
        <is>
          <t>04/06/2025</t>
        </is>
      </c>
      <c r="N385" s="25" t="n">
        <v>3300</v>
      </c>
      <c r="O385" s="25" t="n"/>
      <c r="P385" s="25" t="n"/>
      <c r="Q385" s="25" t="n"/>
      <c r="R385" s="25" t="n"/>
      <c r="S385" s="25" t="n"/>
      <c r="T385" s="25" t="n"/>
      <c r="U385" s="25" t="n">
        <v>0</v>
      </c>
      <c r="V385" s="25" t="n">
        <v>0</v>
      </c>
      <c r="W385" s="25" t="n">
        <v>0</v>
      </c>
      <c r="X385" s="25" t="n">
        <v>3300</v>
      </c>
      <c r="Y385" s="25" t="n">
        <v>0</v>
      </c>
      <c r="Z385" s="25" t="n">
        <v>0</v>
      </c>
      <c r="AA385" s="25" t="n">
        <v>0</v>
      </c>
      <c r="AB385" s="25" t="n">
        <v>0</v>
      </c>
      <c r="AC385" s="25" t="n">
        <v>0</v>
      </c>
      <c r="AD385" s="25" t="n">
        <v>0</v>
      </c>
      <c r="AE385" s="25" t="n">
        <v>0</v>
      </c>
      <c r="AF385" s="25" t="n">
        <v>0</v>
      </c>
      <c r="AG385" s="25" t="n">
        <v>0</v>
      </c>
      <c r="AH385" s="25" t="n">
        <v>1</v>
      </c>
      <c r="AI385" s="25" t="inlineStr">
        <is>
          <t>A</t>
        </is>
      </c>
      <c r="AJ385" s="25" t="n">
        <v>1</v>
      </c>
      <c r="AK385" s="25" t="n">
        <v>3300</v>
      </c>
      <c r="AL385" s="26" t="n">
        <v>46036.67777777778</v>
      </c>
      <c r="AM385" s="26" t="n">
        <v>46036.67777777778</v>
      </c>
      <c r="AN385" s="25" t="inlineStr">
        <is>
          <t>WHATSAPP</t>
        </is>
      </c>
      <c r="AO385" s="25" t="inlineStr">
        <is>
          <t>RECOMPRA | Nova abordagem - Linha Disney</t>
        </is>
      </c>
      <c r="AP385" s="27">
        <f>IF(AH385="","",IF(AH385=0,"PROSPECT",IF(AH385=1,"NOVO",IF(AH385&lt;=3,"EM DESENVOLVIMENTO",IF(AH385&lt;=6,"RECORRENTE","FIDELIZADO")))))</f>
        <v/>
      </c>
      <c r="AQ385" s="27">
        <f>IF(AJ385=0,0,IFERROR(SUM(U385:AF385)/AJ385,0))</f>
        <v/>
      </c>
      <c r="AR385" s="15" t="inlineStr">
        <is>
          <t>⚠️ DDD(31)=MG≠RJ ⚠️ DDD(31)=MG≠RJ</t>
        </is>
      </c>
      <c r="AS385" s="0" t="inlineStr">
        <is>
          <t>Carteira FEV/26</t>
        </is>
      </c>
    </row>
    <row r="386" ht="14.25" customHeight="1" s="16">
      <c r="A386" s="25" t="inlineStr">
        <is>
          <t>MUNDO FIT</t>
        </is>
      </c>
      <c r="B386" s="25" t="inlineStr">
        <is>
          <t>29402498000109</t>
        </is>
      </c>
      <c r="C386" s="25" t="inlineStr">
        <is>
          <t>WANDER DE PAIVA SILVEIRA</t>
        </is>
      </c>
      <c r="D386" s="25" t="inlineStr">
        <is>
          <t>MG</t>
        </is>
      </c>
      <c r="E386" s="25" t="inlineStr">
        <is>
          <t>CORONEL FABRICIANO</t>
        </is>
      </c>
      <c r="F386" s="25" t="inlineStr">
        <is>
          <t>mundofitegourmet@gmail.com</t>
        </is>
      </c>
      <c r="G386" s="25" t="inlineStr">
        <is>
          <t>+55 (31) 98555-6502</t>
        </is>
      </c>
      <c r="H386" s="25" t="inlineStr">
        <is>
          <t>17/03/2025</t>
        </is>
      </c>
      <c r="I386" s="25" t="n"/>
      <c r="J386" s="25" t="inlineStr">
        <is>
          <t>LARISSA PADILHA</t>
        </is>
      </c>
      <c r="K386" s="25" t="inlineStr">
        <is>
          <t>Helder Brunkow</t>
        </is>
      </c>
      <c r="L386" s="25" t="n">
        <v>193</v>
      </c>
      <c r="M386" s="25" t="inlineStr">
        <is>
          <t>06/08/2025</t>
        </is>
      </c>
      <c r="N386" s="25" t="n">
        <v>1745.52</v>
      </c>
      <c r="O386" s="25" t="n"/>
      <c r="P386" s="25" t="n"/>
      <c r="Q386" s="25" t="n"/>
      <c r="R386" s="25" t="n"/>
      <c r="S386" s="25" t="n"/>
      <c r="T386" s="25" t="n"/>
      <c r="U386" s="25" t="n">
        <v>0</v>
      </c>
      <c r="V386" s="25" t="n">
        <v>0</v>
      </c>
      <c r="W386" s="25" t="n">
        <v>0</v>
      </c>
      <c r="X386" s="25" t="n">
        <v>0</v>
      </c>
      <c r="Y386" s="25" t="n">
        <v>0</v>
      </c>
      <c r="Z386" s="25" t="n">
        <v>1745.52</v>
      </c>
      <c r="AA386" s="25" t="n">
        <v>0</v>
      </c>
      <c r="AB386" s="25" t="n">
        <v>0</v>
      </c>
      <c r="AC386" s="25" t="n">
        <v>0</v>
      </c>
      <c r="AD386" s="25" t="n">
        <v>0</v>
      </c>
      <c r="AE386" s="25" t="n">
        <v>0</v>
      </c>
      <c r="AF386" s="25" t="n">
        <v>0</v>
      </c>
      <c r="AG386" s="25" t="n">
        <v>0</v>
      </c>
      <c r="AH386" s="25" t="n">
        <v>1</v>
      </c>
      <c r="AI386" s="25" t="inlineStr">
        <is>
          <t>B</t>
        </is>
      </c>
      <c r="AJ386" s="25" t="n">
        <v>1</v>
      </c>
      <c r="AK386" s="25" t="n">
        <v>1745.52</v>
      </c>
      <c r="AL386" s="26" t="n">
        <v>46045.45763888889</v>
      </c>
      <c r="AM386" s="26" t="n">
        <v>46045.45763888889</v>
      </c>
      <c r="AN386" s="25" t="inlineStr">
        <is>
          <t>OUTROS</t>
        </is>
      </c>
      <c r="AO386" s="25" t="inlineStr">
        <is>
          <t>SUPORTE | NÃO FAZER CONTATO</t>
        </is>
      </c>
      <c r="AP386" s="27">
        <f>IF(AH386="","",IF(AH386=0,"PROSPECT",IF(AH386=1,"NOVO",IF(AH386&lt;=3,"EM DESENVOLVIMENTO",IF(AH386&lt;=6,"RECORRENTE","FIDELIZADO")))))</f>
        <v/>
      </c>
      <c r="AQ386" s="27">
        <f>IF(AJ386=0,0,IFERROR(SUM(U386:AF386)/AJ386,0))</f>
        <v/>
      </c>
      <c r="AS386" s="0" t="inlineStr">
        <is>
          <t>Carteira FEV/26</t>
        </is>
      </c>
    </row>
    <row r="387" ht="14.25" customHeight="1" s="16">
      <c r="A387" s="25" t="inlineStr">
        <is>
          <t>MUNDO FITNESS</t>
        </is>
      </c>
      <c r="B387" s="25" t="inlineStr">
        <is>
          <t>37717783000139</t>
        </is>
      </c>
      <c r="C387" s="25" t="inlineStr">
        <is>
          <t>EMPORIO MUNDO FITNESS LTDA</t>
        </is>
      </c>
      <c r="D387" s="25" t="inlineStr">
        <is>
          <t>MG</t>
        </is>
      </c>
      <c r="E387" s="25" t="inlineStr">
        <is>
          <t>MANTENA</t>
        </is>
      </c>
      <c r="F387" s="25" t="inlineStr">
        <is>
          <t>mundofitnessmantena@gmail.com</t>
        </is>
      </c>
      <c r="G387" s="25" t="inlineStr">
        <is>
          <t>+55 (33) 9995-1133</t>
        </is>
      </c>
      <c r="H387" s="25" t="inlineStr">
        <is>
          <t>03/06/2025</t>
        </is>
      </c>
      <c r="I387" s="25" t="n"/>
      <c r="J387" s="25" t="inlineStr">
        <is>
          <t>MANU DITZEL</t>
        </is>
      </c>
      <c r="K387" s="25" t="inlineStr">
        <is>
          <t>Manu Ditzel</t>
        </is>
      </c>
      <c r="L387" s="25" t="n">
        <v>174</v>
      </c>
      <c r="M387" s="25" t="inlineStr">
        <is>
          <t>25/08/2025</t>
        </is>
      </c>
      <c r="N387" s="25" t="n">
        <v>1556.38</v>
      </c>
      <c r="O387" s="25" t="n">
        <v>2</v>
      </c>
      <c r="P387" s="25" t="inlineStr">
        <is>
          <t>Sim</t>
        </is>
      </c>
      <c r="Q387" s="25" t="n">
        <v>193</v>
      </c>
      <c r="R387" s="25" t="n">
        <v>72</v>
      </c>
      <c r="S387" s="25" t="n">
        <v>3026.55</v>
      </c>
      <c r="T387" s="25" t="inlineStr">
        <is>
          <t>COMPRA B2B</t>
        </is>
      </c>
      <c r="U387" s="25" t="n">
        <v>0</v>
      </c>
      <c r="V387" s="25" t="n">
        <v>0</v>
      </c>
      <c r="W387" s="25" t="n">
        <v>0</v>
      </c>
      <c r="X387" s="25" t="n">
        <v>1470.17</v>
      </c>
      <c r="Y387" s="25" t="n">
        <v>0</v>
      </c>
      <c r="Z387" s="25" t="n">
        <v>1556.38</v>
      </c>
      <c r="AA387" s="25" t="n">
        <v>0</v>
      </c>
      <c r="AB387" s="25" t="n">
        <v>0</v>
      </c>
      <c r="AC387" s="25" t="n">
        <v>0</v>
      </c>
      <c r="AD387" s="25" t="n">
        <v>0</v>
      </c>
      <c r="AE387" s="25" t="n">
        <v>0</v>
      </c>
      <c r="AF387" s="25" t="n">
        <v>0</v>
      </c>
      <c r="AG387" s="25" t="n">
        <v>82</v>
      </c>
      <c r="AH387" s="25" t="n">
        <v>2</v>
      </c>
      <c r="AI387" s="25" t="inlineStr">
        <is>
          <t>A</t>
        </is>
      </c>
      <c r="AJ387" s="25" t="n">
        <v>2</v>
      </c>
      <c r="AK387" s="25" t="n">
        <v>1513.28</v>
      </c>
      <c r="AL387" s="26" t="n">
        <v>46036.60069444445</v>
      </c>
      <c r="AM387" s="26" t="n">
        <v>46036.60069444445</v>
      </c>
      <c r="AN387" s="25" t="inlineStr">
        <is>
          <t>WHATSAPP</t>
        </is>
      </c>
      <c r="AO387" s="25" t="inlineStr">
        <is>
          <t>RECOMPRA | Nova abordagem - Linha Disney</t>
        </is>
      </c>
      <c r="AP387" s="27">
        <f>IF(AH387="","",IF(AH387=0,"PROSPECT",IF(AH387=1,"NOVO",IF(AH387&lt;=3,"EM DESENVOLVIMENTO",IF(AH387&lt;=6,"RECORRENTE","FIDELIZADO")))))</f>
        <v/>
      </c>
      <c r="AQ387" s="27">
        <f>IF(AJ387=0,0,IFERROR(SUM(U387:AF387)/AJ387,0))</f>
        <v/>
      </c>
      <c r="AS387" s="0" t="inlineStr">
        <is>
          <t>Carteira FEV/26</t>
        </is>
      </c>
    </row>
    <row r="388" ht="14.25" customHeight="1" s="16">
      <c r="A388" s="25" t="inlineStr">
        <is>
          <t>MUNDO VERDE</t>
        </is>
      </c>
      <c r="B388" s="25" t="inlineStr">
        <is>
          <t>58429130000124</t>
        </is>
      </c>
      <c r="C388" s="25" t="inlineStr">
        <is>
          <t>DS COMERCIAL LTDA</t>
        </is>
      </c>
      <c r="D388" s="25" t="inlineStr">
        <is>
          <t>MS</t>
        </is>
      </c>
      <c r="E388" s="25" t="inlineStr">
        <is>
          <t>DOURADOS</t>
        </is>
      </c>
      <c r="F388" s="25" t="inlineStr">
        <is>
          <t>dourados@mundoverde.com.br</t>
        </is>
      </c>
      <c r="G388" s="25" t="inlineStr">
        <is>
          <t>+55 (67) 9293-9494</t>
        </is>
      </c>
      <c r="H388" s="25" t="inlineStr">
        <is>
          <t>11/02/2025</t>
        </is>
      </c>
      <c r="I388" s="25" t="n"/>
      <c r="J388" s="25" t="inlineStr">
        <is>
          <t>Helder Brunkow</t>
        </is>
      </c>
      <c r="K388" s="25" t="inlineStr">
        <is>
          <t>Helder Brunkow</t>
        </is>
      </c>
      <c r="L388" s="25" t="n">
        <v>271</v>
      </c>
      <c r="M388" s="25" t="inlineStr">
        <is>
          <t>20/05/2025</t>
        </is>
      </c>
      <c r="N388" s="25" t="n">
        <v>3356.38</v>
      </c>
      <c r="O388" s="25" t="n">
        <v>2</v>
      </c>
      <c r="P388" s="25" t="inlineStr">
        <is>
          <t>Sim</t>
        </is>
      </c>
      <c r="Q388" s="25" t="n">
        <v>241</v>
      </c>
      <c r="R388" s="25" t="n">
        <v>72</v>
      </c>
      <c r="S388" s="25" t="n">
        <v>5909.89</v>
      </c>
      <c r="T388" s="25" t="inlineStr">
        <is>
          <t>COMPRA B2B</t>
        </is>
      </c>
      <c r="U388" s="25" t="n">
        <v>0</v>
      </c>
      <c r="V388" s="25" t="n">
        <v>0</v>
      </c>
      <c r="W388" s="25" t="n">
        <v>0</v>
      </c>
      <c r="X388" s="25" t="n">
        <v>0</v>
      </c>
      <c r="Y388" s="25" t="n">
        <v>0</v>
      </c>
      <c r="Z388" s="25" t="n">
        <v>0</v>
      </c>
      <c r="AA388" s="25" t="n">
        <v>0</v>
      </c>
      <c r="AB388" s="25" t="n">
        <v>0</v>
      </c>
      <c r="AC388" s="25" t="n">
        <v>0</v>
      </c>
      <c r="AD388" s="25" t="n">
        <v>0</v>
      </c>
      <c r="AE388" s="25" t="n">
        <v>0</v>
      </c>
      <c r="AF388" s="25" t="n">
        <v>0</v>
      </c>
      <c r="AG388" s="25" t="n">
        <v>79</v>
      </c>
      <c r="AH388" s="25" t="n">
        <v>0</v>
      </c>
      <c r="AI388" s="25" t="inlineStr">
        <is>
          <t>A</t>
        </is>
      </c>
      <c r="AJ388" s="25" t="n">
        <v>1</v>
      </c>
      <c r="AK388" s="25" t="n">
        <v>0</v>
      </c>
      <c r="AL388" s="26" t="n">
        <v>46066.70486111111</v>
      </c>
      <c r="AM388" s="26" t="n">
        <v>46066.70486111111</v>
      </c>
      <c r="AN388" s="25" t="inlineStr">
        <is>
          <t>LIGAÇÃO</t>
        </is>
      </c>
      <c r="AO388" s="25" t="inlineStr">
        <is>
          <t>LG NÃO ATENDEU, MANDEI MSG  SE ACONTECEU ALGUMA COISA</t>
        </is>
      </c>
      <c r="AP388" s="27">
        <f>IF(AH388="","",IF(AH388=0,"PROSPECT",IF(AH388=1,"NOVO",IF(AH388&lt;=3,"EM DESENVOLVIMENTO",IF(AH388&lt;=6,"RECORRENTE","FIDELIZADO")))))</f>
        <v/>
      </c>
      <c r="AQ388" s="27">
        <f>IF(AJ388=0,0,IFERROR(SUM(U388:AF388)/AJ388,0))</f>
        <v/>
      </c>
      <c r="AS388" s="0" t="inlineStr">
        <is>
          <t>Carteira FEV/26 + Atend FEV/26</t>
        </is>
      </c>
    </row>
    <row r="389" ht="14.25" customHeight="1" s="16">
      <c r="A389" s="25" t="inlineStr">
        <is>
          <t>MUNDO VERDE FRIBURGO PRAÇA</t>
        </is>
      </c>
      <c r="B389" s="25" t="inlineStr">
        <is>
          <t>18078522000171</t>
        </is>
      </c>
      <c r="C389" s="25" t="inlineStr">
        <is>
          <t>MBD CURTY REIS - PRODUTOS NATURAIS</t>
        </is>
      </c>
      <c r="D389" s="25" t="inlineStr">
        <is>
          <t>RJ</t>
        </is>
      </c>
      <c r="E389" s="25" t="inlineStr">
        <is>
          <t>NOVA FRIBURGO</t>
        </is>
      </c>
      <c r="F389" s="25" t="inlineStr">
        <is>
          <t>friburgopraca@mundoverde.com.br</t>
        </is>
      </c>
      <c r="G389" s="25" t="inlineStr">
        <is>
          <t>+55 (22) 98151-2892</t>
        </is>
      </c>
      <c r="H389" s="25" t="inlineStr">
        <is>
          <t>08/10/2024</t>
        </is>
      </c>
      <c r="I389" s="25" t="inlineStr">
        <is>
          <t>[Rede] Mundo verde</t>
        </is>
      </c>
      <c r="J389" s="25" t="inlineStr">
        <is>
          <t>MANU DITZEL</t>
        </is>
      </c>
      <c r="K389" s="25" t="inlineStr">
        <is>
          <t>Central - Daiane</t>
        </is>
      </c>
      <c r="L389" s="25" t="n">
        <v>104</v>
      </c>
      <c r="M389" s="25" t="inlineStr">
        <is>
          <t>03/11/2025</t>
        </is>
      </c>
      <c r="N389" s="25" t="n">
        <v>1624.78</v>
      </c>
      <c r="O389" s="25" t="n">
        <v>1</v>
      </c>
      <c r="P389" s="25" t="inlineStr">
        <is>
          <t>Sim</t>
        </is>
      </c>
      <c r="Q389" s="25" t="n">
        <v>153</v>
      </c>
      <c r="R389" s="25" t="n">
        <v>55</v>
      </c>
      <c r="S389" s="25" t="n">
        <v>4976.02</v>
      </c>
      <c r="T389" s="25" t="inlineStr">
        <is>
          <t>COMPRA B2B</t>
        </is>
      </c>
      <c r="U389" s="25" t="n">
        <v>0</v>
      </c>
      <c r="V389" s="25" t="n">
        <v>0</v>
      </c>
      <c r="W389" s="25" t="n">
        <v>0</v>
      </c>
      <c r="X389" s="25" t="n">
        <v>1902.51</v>
      </c>
      <c r="Y389" s="25" t="n">
        <v>0</v>
      </c>
      <c r="Z389" s="25" t="n">
        <v>1448.73</v>
      </c>
      <c r="AA389" s="25" t="n">
        <v>0</v>
      </c>
      <c r="AB389" s="25" t="n">
        <v>0</v>
      </c>
      <c r="AC389" s="25" t="n">
        <v>1624.78</v>
      </c>
      <c r="AD389" s="25" t="n">
        <v>0</v>
      </c>
      <c r="AE389" s="25" t="n">
        <v>0</v>
      </c>
      <c r="AF389" s="25" t="n">
        <v>0</v>
      </c>
      <c r="AG389" s="25" t="n">
        <v>69.5</v>
      </c>
      <c r="AH389" s="25" t="n">
        <v>2</v>
      </c>
      <c r="AI389" s="25" t="inlineStr">
        <is>
          <t>A</t>
        </is>
      </c>
      <c r="AJ389" s="25" t="n">
        <v>3</v>
      </c>
      <c r="AK389" s="25" t="n">
        <v>2488.01</v>
      </c>
      <c r="AL389" s="26" t="n">
        <v>45964.52746527778</v>
      </c>
      <c r="AM389" s="26" t="n">
        <v>45964.52746527778</v>
      </c>
      <c r="AN389" s="25" t="inlineStr">
        <is>
          <t>WHATSAPP</t>
        </is>
      </c>
      <c r="AO389" s="28" t="inlineStr">
        <is>
          <t>MUNDO VERDE - FRIBURGO PRAÇA (ANA PAULA)</t>
        </is>
      </c>
      <c r="AP389" s="27">
        <f>IF(AH389="","",IF(AH389=0,"PROSPECT",IF(AH389=1,"NOVO",IF(AH389&lt;=3,"EM DESENVOLVIMENTO",IF(AH389&lt;=6,"RECORRENTE","FIDELIZADO")))))</f>
        <v/>
      </c>
      <c r="AQ389" s="27">
        <f>IF(AJ389=0,0,IFERROR(SUM(U389:AF389)/AJ389,0))</f>
        <v/>
      </c>
      <c r="AS389" s="0" t="inlineStr">
        <is>
          <t>Carteira FEV/26</t>
        </is>
      </c>
    </row>
    <row r="390" ht="14.25" customHeight="1" s="16">
      <c r="A390" s="25" t="inlineStr">
        <is>
          <t>MUNDO VERDE VOCE MAIS SAUDAVEL</t>
        </is>
      </c>
      <c r="B390" s="25" t="inlineStr">
        <is>
          <t>28019593000157</t>
        </is>
      </c>
      <c r="C390" s="25" t="inlineStr">
        <is>
          <t>MAIARA LORCA DE OLIVEIRA</t>
        </is>
      </c>
      <c r="D390" s="25" t="inlineStr">
        <is>
          <t>SP</t>
        </is>
      </c>
      <c r="E390" s="25" t="inlineStr">
        <is>
          <t>MARILIA</t>
        </is>
      </c>
      <c r="F390" s="25" t="inlineStr">
        <is>
          <t>marilia@mundoverde.com.br</t>
        </is>
      </c>
      <c r="G390" s="25" t="inlineStr">
        <is>
          <t>+55 (14) 99881-6009</t>
        </is>
      </c>
      <c r="H390" s="25" t="inlineStr">
        <is>
          <t>08/10/2024</t>
        </is>
      </c>
      <c r="I390" s="25" t="inlineStr">
        <is>
          <t>[Rede] Mundo verde</t>
        </is>
      </c>
      <c r="J390" s="25" t="inlineStr">
        <is>
          <t>DAIANE STAVICKI</t>
        </is>
      </c>
      <c r="K390" s="25" t="inlineStr">
        <is>
          <t>Central - Daiane</t>
        </is>
      </c>
      <c r="L390" s="25" t="n">
        <v>138</v>
      </c>
      <c r="M390" s="25" t="inlineStr">
        <is>
          <t>30/09/2025</t>
        </is>
      </c>
      <c r="N390" s="25" t="n">
        <v>1928.84</v>
      </c>
      <c r="O390" s="25" t="n">
        <v>1</v>
      </c>
      <c r="P390" s="25" t="inlineStr">
        <is>
          <t>Sim</t>
        </is>
      </c>
      <c r="Q390" s="25" t="n">
        <v>89</v>
      </c>
      <c r="R390" s="25" t="n">
        <v>17</v>
      </c>
      <c r="S390" s="25" t="n">
        <v>4925.21</v>
      </c>
      <c r="T390" s="25" t="inlineStr">
        <is>
          <t>COMPRA B2B</t>
        </is>
      </c>
      <c r="U390" s="25" t="n">
        <v>0</v>
      </c>
      <c r="V390" s="25" t="n">
        <v>0</v>
      </c>
      <c r="W390" s="25" t="n">
        <v>0</v>
      </c>
      <c r="X390" s="25" t="n">
        <v>0</v>
      </c>
      <c r="Y390" s="25" t="n">
        <v>0</v>
      </c>
      <c r="Z390" s="25" t="n">
        <v>2996.37</v>
      </c>
      <c r="AA390" s="25" t="n">
        <v>1928.84</v>
      </c>
      <c r="AB390" s="25" t="n">
        <v>0</v>
      </c>
      <c r="AC390" s="25" t="n">
        <v>0</v>
      </c>
      <c r="AD390" s="25" t="n">
        <v>0</v>
      </c>
      <c r="AE390" s="25" t="n">
        <v>0</v>
      </c>
      <c r="AF390" s="25" t="n">
        <v>0</v>
      </c>
      <c r="AG390" s="25" t="n">
        <v>55</v>
      </c>
      <c r="AH390" s="25" t="n">
        <v>2</v>
      </c>
      <c r="AI390" s="25" t="inlineStr">
        <is>
          <t>A</t>
        </is>
      </c>
      <c r="AJ390" s="25" t="n">
        <v>2</v>
      </c>
      <c r="AK390" s="25" t="n">
        <v>2462.61</v>
      </c>
      <c r="AL390" s="26" t="n">
        <v>46057.50555555556</v>
      </c>
      <c r="AM390" s="26" t="n">
        <v>46057.50555555556</v>
      </c>
      <c r="AN390" s="25" t="inlineStr">
        <is>
          <t>WHATSAPP</t>
        </is>
      </c>
      <c r="AO390" s="25" t="inlineStr">
        <is>
          <t>Falei com o Guilherme pra colocar a linha vitao, pq drag não tenho mais</t>
        </is>
      </c>
      <c r="AP390" s="27">
        <f>IF(AH390="","",IF(AH390=0,"PROSPECT",IF(AH390=1,"NOVO",IF(AH390&lt;=3,"EM DESENVOLVIMENTO",IF(AH390&lt;=6,"RECORRENTE","FIDELIZADO")))))</f>
        <v/>
      </c>
      <c r="AQ390" s="27">
        <f>IF(AJ390=0,0,IFERROR(SUM(U390:AF390)/AJ390,0))</f>
        <v/>
      </c>
      <c r="AS390" s="0" t="inlineStr">
        <is>
          <t>Carteira FEV/26 + Atend FEV/26</t>
        </is>
      </c>
    </row>
    <row r="391" ht="14.25" customHeight="1" s="16">
      <c r="A391" s="25" t="inlineStr">
        <is>
          <t>Mundo Verde Icaraí</t>
        </is>
      </c>
      <c r="B391" s="25" t="inlineStr">
        <is>
          <t>13664585000196</t>
        </is>
      </c>
      <c r="C391" s="25" t="inlineStr">
        <is>
          <t>ESPVERDE ICARAI COMERCIO DE PRODUTOS NATURAIS LTDA EPP</t>
        </is>
      </c>
      <c r="D391" s="25" t="inlineStr">
        <is>
          <t>RJ</t>
        </is>
      </c>
      <c r="E391" s="25" t="inlineStr">
        <is>
          <t>NITEROI</t>
        </is>
      </c>
      <c r="F391" s="25" t="inlineStr">
        <is>
          <t>icarai@mundoverde.com.br</t>
        </is>
      </c>
      <c r="G391" s="25" t="inlineStr">
        <is>
          <t>+55 (21) 99978-0717 | +55 (21) 97118-3755 | +55 (21) 99978-0001</t>
        </is>
      </c>
      <c r="H391" s="25" t="inlineStr">
        <is>
          <t>08/10/2024</t>
        </is>
      </c>
      <c r="I391" s="25" t="inlineStr">
        <is>
          <t>[Rede] Mundo verde</t>
        </is>
      </c>
      <c r="J391" s="25" t="inlineStr">
        <is>
          <t>LARISSA PADILHA</t>
        </is>
      </c>
      <c r="K391" s="25" t="inlineStr">
        <is>
          <t>Helder Brunkow</t>
        </is>
      </c>
      <c r="L391" s="25" t="n">
        <v>186</v>
      </c>
      <c r="M391" s="25" t="inlineStr">
        <is>
          <t>13/08/2025</t>
        </is>
      </c>
      <c r="N391" s="25" t="n">
        <v>1385.71</v>
      </c>
      <c r="O391" s="25" t="n">
        <v>3</v>
      </c>
      <c r="P391" s="25" t="inlineStr">
        <is>
          <t>Sim</t>
        </is>
      </c>
      <c r="Q391" s="25" t="n">
        <v>30</v>
      </c>
      <c r="R391" s="25" t="n">
        <v>22</v>
      </c>
      <c r="S391" s="25" t="n">
        <v>1385.71</v>
      </c>
      <c r="T391" s="25" t="inlineStr">
        <is>
          <t>COMPRA B2B</t>
        </is>
      </c>
      <c r="U391" s="25" t="n">
        <v>0</v>
      </c>
      <c r="V391" s="25" t="n">
        <v>0</v>
      </c>
      <c r="W391" s="25" t="n">
        <v>0</v>
      </c>
      <c r="X391" s="25" t="n">
        <v>0</v>
      </c>
      <c r="Y391" s="25" t="n">
        <v>0</v>
      </c>
      <c r="Z391" s="25" t="n">
        <v>1385.71</v>
      </c>
      <c r="AA391" s="25" t="n">
        <v>0</v>
      </c>
      <c r="AB391" s="25" t="n">
        <v>0</v>
      </c>
      <c r="AC391" s="25" t="n">
        <v>0</v>
      </c>
      <c r="AD391" s="25" t="n">
        <v>0</v>
      </c>
      <c r="AE391" s="25" t="n">
        <v>0</v>
      </c>
      <c r="AF391" s="25" t="n">
        <v>0</v>
      </c>
      <c r="AG391" s="25" t="n">
        <v>0</v>
      </c>
      <c r="AH391" s="25" t="n">
        <v>1</v>
      </c>
      <c r="AI391" s="25" t="inlineStr">
        <is>
          <t>B</t>
        </is>
      </c>
      <c r="AJ391" s="25" t="n">
        <v>1</v>
      </c>
      <c r="AK391" s="25" t="n">
        <v>1385.71</v>
      </c>
      <c r="AL391" s="26" t="n">
        <v>46057.49583333333</v>
      </c>
      <c r="AM391" s="26" t="n">
        <v>46057.49583333333</v>
      </c>
      <c r="AN391" s="25" t="inlineStr">
        <is>
          <t>WHATSAPP</t>
        </is>
      </c>
      <c r="AO391" s="25" t="inlineStr">
        <is>
          <t>MANDEI MSG PRO ALBERTO PRA VER COMO FOI A SAÍDA</t>
        </is>
      </c>
      <c r="AP391" s="27">
        <f>IF(AH391="","",IF(AH391=0,"PROSPECT",IF(AH391=1,"NOVO",IF(AH391&lt;=3,"EM DESENVOLVIMENTO",IF(AH391&lt;=6,"RECORRENTE","FIDELIZADO")))))</f>
        <v/>
      </c>
      <c r="AQ391" s="27">
        <f>IF(AJ391=0,0,IFERROR(SUM(U391:AF391)/AJ391,0))</f>
        <v/>
      </c>
      <c r="AS391" s="0" t="inlineStr">
        <is>
          <t>Carteira FEV/26 + Atend FEV/26</t>
        </is>
      </c>
    </row>
    <row r="392" ht="14.25" customHeight="1" s="16">
      <c r="A392" s="25" t="inlineStr">
        <is>
          <t>NATHALIA DE JESUS SILVA COSTA LTDA</t>
        </is>
      </c>
      <c r="B392" s="25" t="inlineStr">
        <is>
          <t>59244884000172</t>
        </is>
      </c>
      <c r="C392" s="25" t="inlineStr">
        <is>
          <t>NATHALIA DE JESUS SILVA COSTA LTDA</t>
        </is>
      </c>
      <c r="D392" s="25" t="inlineStr">
        <is>
          <t>SP</t>
        </is>
      </c>
      <c r="E392" s="25" t="inlineStr">
        <is>
          <t>ARACATUBA</t>
        </is>
      </c>
      <c r="F392" s="25" t="inlineStr">
        <is>
          <t>dajiualimentos@gmail.com</t>
        </is>
      </c>
      <c r="G392" s="25" t="inlineStr">
        <is>
          <t>+55 (44) 9925-3701</t>
        </is>
      </c>
      <c r="H392" s="25" t="inlineStr">
        <is>
          <t>22/08/2025</t>
        </is>
      </c>
      <c r="I392" s="25" t="n"/>
      <c r="J392" s="25" t="inlineStr">
        <is>
          <t>MANU DITZEL</t>
        </is>
      </c>
      <c r="K392" s="25" t="inlineStr">
        <is>
          <t>Manu Ditzel</t>
        </is>
      </c>
      <c r="L392" s="25" t="n">
        <v>172</v>
      </c>
      <c r="M392" s="25" t="inlineStr">
        <is>
          <t>27/08/2025</t>
        </is>
      </c>
      <c r="N392" s="25" t="n">
        <v>650.3</v>
      </c>
      <c r="O392" s="25" t="n"/>
      <c r="P392" s="25" t="n"/>
      <c r="Q392" s="25" t="n"/>
      <c r="R392" s="25" t="n"/>
      <c r="S392" s="25" t="n"/>
      <c r="T392" s="25" t="n"/>
      <c r="U392" s="25" t="n">
        <v>0</v>
      </c>
      <c r="V392" s="25" t="n">
        <v>0</v>
      </c>
      <c r="W392" s="25" t="n">
        <v>0</v>
      </c>
      <c r="X392" s="25" t="n">
        <v>0</v>
      </c>
      <c r="Y392" s="25" t="n">
        <v>0</v>
      </c>
      <c r="Z392" s="25" t="n">
        <v>650.3</v>
      </c>
      <c r="AA392" s="25" t="n">
        <v>0</v>
      </c>
      <c r="AB392" s="25" t="n">
        <v>0</v>
      </c>
      <c r="AC392" s="25" t="n">
        <v>0</v>
      </c>
      <c r="AD392" s="25" t="n">
        <v>0</v>
      </c>
      <c r="AE392" s="25" t="n">
        <v>0</v>
      </c>
      <c r="AF392" s="25" t="n">
        <v>0</v>
      </c>
      <c r="AG392" s="25" t="n">
        <v>0</v>
      </c>
      <c r="AH392" s="25" t="n">
        <v>1</v>
      </c>
      <c r="AI392" s="25" t="inlineStr">
        <is>
          <t>C</t>
        </is>
      </c>
      <c r="AJ392" s="25" t="n">
        <v>1</v>
      </c>
      <c r="AK392" s="25" t="n">
        <v>650.3</v>
      </c>
      <c r="AL392" s="26" t="n">
        <v>46065.48611111111</v>
      </c>
      <c r="AM392" s="26" t="n">
        <v>46065.48611111111</v>
      </c>
      <c r="AN392" s="25" t="inlineStr">
        <is>
          <t>WHATSAPP</t>
        </is>
      </c>
      <c r="AO392" s="25" t="inlineStr">
        <is>
          <t>NUTRIÇÃO | Envio da campanha do mês</t>
        </is>
      </c>
      <c r="AP392" s="27">
        <f>IF(AH392="","",IF(AH392=0,"PROSPECT",IF(AH392=1,"NOVO",IF(AH392&lt;=3,"EM DESENVOLVIMENTO",IF(AH392&lt;=6,"RECORRENTE","FIDELIZADO")))))</f>
        <v/>
      </c>
      <c r="AQ392" s="27">
        <f>IF(AJ392=0,0,IFERROR(SUM(U392:AF392)/AJ392,0))</f>
        <v/>
      </c>
      <c r="AR392" s="15" t="inlineStr">
        <is>
          <t>⚠️ DDD(44)=PR≠SP</t>
        </is>
      </c>
      <c r="AS392" s="0" t="inlineStr">
        <is>
          <t>Carteira FEV/26 + Atend FEV/26</t>
        </is>
      </c>
    </row>
    <row r="393" ht="14.25" customHeight="1" s="16">
      <c r="A393" s="25" t="inlineStr">
        <is>
          <t>NATU &amp; FIT</t>
        </is>
      </c>
      <c r="B393" s="25" t="inlineStr">
        <is>
          <t>28088475000109</t>
        </is>
      </c>
      <c r="C393" s="25" t="inlineStr">
        <is>
          <t>NATU &amp; FIT LTDA</t>
        </is>
      </c>
      <c r="D393" s="25" t="inlineStr">
        <is>
          <t>ES</t>
        </is>
      </c>
      <c r="E393" s="25" t="inlineStr">
        <is>
          <t>SANTA MARIA DE JETIBA</t>
        </is>
      </c>
      <c r="F393" s="25" t="inlineStr">
        <is>
          <t>natufit.smj@gmail.com</t>
        </is>
      </c>
      <c r="G393" s="25" t="inlineStr">
        <is>
          <t>+55 (27) 99519-0618</t>
        </is>
      </c>
      <c r="H393" s="25" t="inlineStr">
        <is>
          <t>08/10/2024</t>
        </is>
      </c>
      <c r="I393" s="25" t="n"/>
      <c r="J393" s="25" t="inlineStr">
        <is>
          <t>LARISSA PADILHA</t>
        </is>
      </c>
      <c r="K393" s="25" t="inlineStr">
        <is>
          <t>Larissa Padilha</t>
        </is>
      </c>
      <c r="L393" s="25" t="n">
        <v>117</v>
      </c>
      <c r="M393" s="25" t="inlineStr">
        <is>
          <t>21/10/2025</t>
        </is>
      </c>
      <c r="N393" s="25" t="n">
        <v>1793.19</v>
      </c>
      <c r="O393" s="25" t="n">
        <v>3</v>
      </c>
      <c r="P393" s="25" t="inlineStr">
        <is>
          <t>Sim</t>
        </is>
      </c>
      <c r="Q393" s="25" t="n">
        <v>107</v>
      </c>
      <c r="R393" s="25" t="n">
        <v>48</v>
      </c>
      <c r="S393" s="25" t="n">
        <v>2795.54</v>
      </c>
      <c r="T393" s="25" t="inlineStr">
        <is>
          <t>COMPRA B2B</t>
        </is>
      </c>
      <c r="U393" s="25" t="n">
        <v>0</v>
      </c>
      <c r="V393" s="25" t="n">
        <v>0</v>
      </c>
      <c r="W393" s="25" t="n">
        <v>1222.97</v>
      </c>
      <c r="X393" s="25" t="n">
        <v>0</v>
      </c>
      <c r="Y393" s="25" t="n">
        <v>1267.05</v>
      </c>
      <c r="Z393" s="25" t="n">
        <v>0</v>
      </c>
      <c r="AA393" s="25" t="n">
        <v>1572.57</v>
      </c>
      <c r="AB393" s="25" t="n">
        <v>1793.19</v>
      </c>
      <c r="AC393" s="25" t="n">
        <v>0</v>
      </c>
      <c r="AD393" s="25" t="n">
        <v>0</v>
      </c>
      <c r="AE393" s="25" t="n">
        <v>0</v>
      </c>
      <c r="AF393" s="25" t="n">
        <v>0</v>
      </c>
      <c r="AG393" s="25" t="n">
        <v>51.6667</v>
      </c>
      <c r="AH393" s="25" t="n">
        <v>4</v>
      </c>
      <c r="AI393" s="25" t="inlineStr">
        <is>
          <t>A</t>
        </is>
      </c>
      <c r="AJ393" s="25" t="n">
        <v>4</v>
      </c>
      <c r="AK393" s="25" t="n">
        <v>1463.94</v>
      </c>
      <c r="AL393" s="26" t="n">
        <v>46059.41018518519</v>
      </c>
      <c r="AM393" s="26" t="n">
        <v>46059.41018518519</v>
      </c>
      <c r="AN393" s="25" t="inlineStr">
        <is>
          <t>WHATSAPP</t>
        </is>
      </c>
      <c r="AO393" s="25" t="inlineStr">
        <is>
          <t>NATU &amp; FIT - ES - VILMA</t>
        </is>
      </c>
      <c r="AP393" s="27">
        <f>IF(AH393="","",IF(AH393=0,"PROSPECT",IF(AH393=1,"NOVO",IF(AH393&lt;=3,"EM DESENVOLVIMENTO",IF(AH393&lt;=6,"RECORRENTE","FIDELIZADO")))))</f>
        <v/>
      </c>
      <c r="AQ393" s="27">
        <f>IF(AJ393=0,0,IFERROR(SUM(U393:AF393)/AJ393,0))</f>
        <v/>
      </c>
      <c r="AS393" s="0" t="inlineStr">
        <is>
          <t>Carteira FEV/26</t>
        </is>
      </c>
    </row>
    <row r="394" ht="14.25" customHeight="1" s="16">
      <c r="A394" s="25" t="inlineStr">
        <is>
          <t>NATURE PRODUTOS NATURAIS</t>
        </is>
      </c>
      <c r="B394" s="25" t="inlineStr">
        <is>
          <t>46814160000175</t>
        </is>
      </c>
      <c r="C394" s="25" t="inlineStr">
        <is>
          <t>NATURE COMERCIO E DISTRIBUICAO LTDA</t>
        </is>
      </c>
      <c r="D394" s="25" t="inlineStr">
        <is>
          <t>PA</t>
        </is>
      </c>
      <c r="E394" s="25" t="inlineStr">
        <is>
          <t>CASTANHAL</t>
        </is>
      </c>
      <c r="F394" s="25" t="inlineStr">
        <is>
          <t>compras.nature@hotmail.com</t>
        </is>
      </c>
      <c r="G394" s="25" t="inlineStr">
        <is>
          <t>+55 (91) 98245-6684</t>
        </is>
      </c>
      <c r="H394" s="25" t="inlineStr">
        <is>
          <t>08/10/2024</t>
        </is>
      </c>
      <c r="I394" s="25" t="n"/>
      <c r="J394" s="25" t="inlineStr">
        <is>
          <t>LARISSA PADILHA</t>
        </is>
      </c>
      <c r="K394" s="25" t="inlineStr">
        <is>
          <t>Helder Brunkow</t>
        </is>
      </c>
      <c r="L394" s="25" t="n">
        <v>219</v>
      </c>
      <c r="M394" s="25" t="inlineStr">
        <is>
          <t>11/07/2025</t>
        </is>
      </c>
      <c r="N394" s="25" t="n">
        <v>7216.91</v>
      </c>
      <c r="O394" s="25" t="n">
        <v>1</v>
      </c>
      <c r="P394" s="25" t="inlineStr">
        <is>
          <t>Sim</t>
        </is>
      </c>
      <c r="Q394" s="25" t="n">
        <v>148</v>
      </c>
      <c r="R394" s="25" t="n">
        <v>88</v>
      </c>
      <c r="S394" s="25" t="n">
        <v>6049.11</v>
      </c>
      <c r="T394" s="25" t="inlineStr">
        <is>
          <t>COMPRA B2B</t>
        </is>
      </c>
      <c r="U394" s="25" t="n">
        <v>6049.11</v>
      </c>
      <c r="V394" s="25" t="n">
        <v>0</v>
      </c>
      <c r="W394" s="25" t="n">
        <v>0</v>
      </c>
      <c r="X394" s="25" t="n">
        <v>0</v>
      </c>
      <c r="Y394" s="25" t="n">
        <v>7216.91</v>
      </c>
      <c r="Z394" s="25" t="n">
        <v>0</v>
      </c>
      <c r="AA394" s="25" t="n">
        <v>0</v>
      </c>
      <c r="AB394" s="25" t="n">
        <v>0</v>
      </c>
      <c r="AC394" s="25" t="n">
        <v>0</v>
      </c>
      <c r="AD394" s="25" t="n">
        <v>0</v>
      </c>
      <c r="AE394" s="25" t="n">
        <v>0</v>
      </c>
      <c r="AF394" s="25" t="n">
        <v>0</v>
      </c>
      <c r="AG394" s="25" t="n">
        <v>102</v>
      </c>
      <c r="AH394" s="25" t="n">
        <v>2</v>
      </c>
      <c r="AI394" s="25" t="inlineStr">
        <is>
          <t>A</t>
        </is>
      </c>
      <c r="AJ394" s="25" t="n">
        <v>2</v>
      </c>
      <c r="AK394" s="25" t="n">
        <v>6633.01</v>
      </c>
      <c r="AL394" s="26" t="n">
        <v>46036.66111111111</v>
      </c>
      <c r="AM394" s="26" t="n">
        <v>46036.66111111111</v>
      </c>
      <c r="AN394" s="25" t="inlineStr">
        <is>
          <t>WHATSAPP</t>
        </is>
      </c>
      <c r="AO394" s="25" t="inlineStr">
        <is>
          <t>RECOMPRA | Nova abordagem - Linha Disney</t>
        </is>
      </c>
      <c r="AP394" s="27">
        <f>IF(AH394="","",IF(AH394=0,"PROSPECT",IF(AH394=1,"NOVO",IF(AH394&lt;=3,"EM DESENVOLVIMENTO",IF(AH394&lt;=6,"RECORRENTE","FIDELIZADO")))))</f>
        <v/>
      </c>
      <c r="AQ394" s="27">
        <f>IF(AJ394=0,0,IFERROR(SUM(U394:AF394)/AJ394,0))</f>
        <v/>
      </c>
      <c r="AS394" s="0" t="inlineStr">
        <is>
          <t>Carteira FEV/26</t>
        </is>
      </c>
    </row>
    <row r="395" ht="14.25" customHeight="1" s="16">
      <c r="A395" s="25" t="inlineStr">
        <is>
          <t>NATURHAUS</t>
        </is>
      </c>
      <c r="B395" s="25" t="inlineStr">
        <is>
          <t>08626347000156</t>
        </is>
      </c>
      <c r="C395" s="25" t="inlineStr">
        <is>
          <t>NATURHAUS LOJA DE PRODUTOS ALIMENTICIOS NATURAIS LTDA</t>
        </is>
      </c>
      <c r="D395" s="25" t="inlineStr">
        <is>
          <t>SC</t>
        </is>
      </c>
      <c r="E395" s="25" t="inlineStr">
        <is>
          <t>POMERODE</t>
        </is>
      </c>
      <c r="F395" s="25" t="inlineStr">
        <is>
          <t>naturhauspomerode@hotmail.com</t>
        </is>
      </c>
      <c r="G395" s="25" t="inlineStr">
        <is>
          <t>+55 (47) 3387-0191</t>
        </is>
      </c>
      <c r="H395" s="25" t="inlineStr">
        <is>
          <t>08/10/2024</t>
        </is>
      </c>
      <c r="I395" s="25" t="n"/>
      <c r="J395" s="25" t="inlineStr">
        <is>
          <t>MANU DITZEL</t>
        </is>
      </c>
      <c r="K395" s="25" t="inlineStr">
        <is>
          <t>Manu Ditzel</t>
        </is>
      </c>
      <c r="L395" s="25" t="n">
        <v>144</v>
      </c>
      <c r="M395" s="25" t="inlineStr">
        <is>
          <t>24/09/2025</t>
        </is>
      </c>
      <c r="N395" s="25" t="n">
        <v>1025.88</v>
      </c>
      <c r="O395" s="25" t="n">
        <v>1</v>
      </c>
      <c r="P395" s="25" t="inlineStr">
        <is>
          <t>Sim</t>
        </is>
      </c>
      <c r="Q395" s="25" t="n">
        <v>11</v>
      </c>
      <c r="R395" s="25" t="n">
        <v>3</v>
      </c>
      <c r="S395" s="25" t="n">
        <v>1025.88</v>
      </c>
      <c r="T395" s="25" t="inlineStr">
        <is>
          <t>COMPRA B2B</t>
        </is>
      </c>
      <c r="U395" s="25" t="n">
        <v>0</v>
      </c>
      <c r="V395" s="25" t="n">
        <v>0</v>
      </c>
      <c r="W395" s="25" t="n">
        <v>0</v>
      </c>
      <c r="X395" s="25" t="n">
        <v>705.23</v>
      </c>
      <c r="Y395" s="25" t="n">
        <v>0</v>
      </c>
      <c r="Z395" s="25" t="n">
        <v>0</v>
      </c>
      <c r="AA395" s="25" t="n">
        <v>1025.88</v>
      </c>
      <c r="AB395" s="25" t="n">
        <v>0</v>
      </c>
      <c r="AC395" s="25" t="n">
        <v>0</v>
      </c>
      <c r="AD395" s="25" t="n">
        <v>0</v>
      </c>
      <c r="AE395" s="25" t="n">
        <v>0</v>
      </c>
      <c r="AF395" s="25" t="n">
        <v>0</v>
      </c>
      <c r="AG395" s="25" t="n">
        <v>100</v>
      </c>
      <c r="AH395" s="25" t="n">
        <v>2</v>
      </c>
      <c r="AI395" s="25" t="inlineStr">
        <is>
          <t>B</t>
        </is>
      </c>
      <c r="AJ395" s="25" t="n">
        <v>2</v>
      </c>
      <c r="AK395" s="25" t="n">
        <v>865.55</v>
      </c>
      <c r="AL395" s="26" t="n">
        <v>46036.4570949074</v>
      </c>
      <c r="AM395" s="26" t="n">
        <v>46036.4570949074</v>
      </c>
      <c r="AN395" s="25" t="inlineStr">
        <is>
          <t>WHATSAPP</t>
        </is>
      </c>
      <c r="AO395" s="25" t="inlineStr">
        <is>
          <t>NATURHAUS - GEORGIA - SC</t>
        </is>
      </c>
      <c r="AP395" s="27">
        <f>IF(AH395="","",IF(AH395=0,"PROSPECT",IF(AH395=1,"NOVO",IF(AH395&lt;=3,"EM DESENVOLVIMENTO",IF(AH395&lt;=6,"RECORRENTE","FIDELIZADO")))))</f>
        <v/>
      </c>
      <c r="AQ395" s="27">
        <f>IF(AJ395=0,0,IFERROR(SUM(U395:AF395)/AJ395,0))</f>
        <v/>
      </c>
      <c r="AS395" s="0" t="inlineStr">
        <is>
          <t>Carteira FEV/26 + Ecom FEV/26</t>
        </is>
      </c>
    </row>
    <row r="396" ht="14.25" customHeight="1" s="16">
      <c r="A396" s="25" t="inlineStr">
        <is>
          <t>NOZZIES</t>
        </is>
      </c>
      <c r="B396" s="25" t="inlineStr">
        <is>
          <t>63179884000103</t>
        </is>
      </c>
      <c r="C396" s="25" t="inlineStr">
        <is>
          <t>NOZZIES PRODUTOS NATURAIS LTDA</t>
        </is>
      </c>
      <c r="D396" s="25" t="inlineStr">
        <is>
          <t>SC</t>
        </is>
      </c>
      <c r="E396" s="25" t="inlineStr">
        <is>
          <t>JAGUARUNA</t>
        </is>
      </c>
      <c r="F396" s="25" t="inlineStr">
        <is>
          <t>compraspicadosdaterra@gmail.com</t>
        </is>
      </c>
      <c r="G396" s="25" t="inlineStr">
        <is>
          <t>+55 (48) 98486-7502</t>
        </is>
      </c>
      <c r="H396" s="25" t="inlineStr">
        <is>
          <t>27/10/2025</t>
        </is>
      </c>
      <c r="I396" s="25" t="n"/>
      <c r="J396" s="25" t="inlineStr">
        <is>
          <t>JULIO GADRET</t>
        </is>
      </c>
      <c r="K396" s="25" t="inlineStr">
        <is>
          <t>Julio  Gadret</t>
        </is>
      </c>
      <c r="L396" s="25" t="n">
        <v>111</v>
      </c>
      <c r="M396" s="25" t="inlineStr">
        <is>
          <t>27/10/2025</t>
        </is>
      </c>
      <c r="N396" s="25" t="n">
        <v>1253.8</v>
      </c>
      <c r="O396" s="25" t="n">
        <v>2</v>
      </c>
      <c r="P396" s="25" t="inlineStr">
        <is>
          <t>Sim</t>
        </is>
      </c>
      <c r="Q396" s="25" t="n">
        <v>6</v>
      </c>
      <c r="R396" s="25" t="n"/>
      <c r="S396" s="25" t="n"/>
      <c r="T396" s="25" t="n"/>
      <c r="U396" s="25" t="n">
        <v>0</v>
      </c>
      <c r="V396" s="25" t="n">
        <v>0</v>
      </c>
      <c r="W396" s="25" t="n">
        <v>0</v>
      </c>
      <c r="X396" s="25" t="n">
        <v>0</v>
      </c>
      <c r="Y396" s="25" t="n">
        <v>0</v>
      </c>
      <c r="Z396" s="25" t="n">
        <v>0</v>
      </c>
      <c r="AA396" s="25" t="n">
        <v>0</v>
      </c>
      <c r="AB396" s="25" t="n">
        <v>1253.8</v>
      </c>
      <c r="AC396" s="25" t="n">
        <v>0</v>
      </c>
      <c r="AD396" s="25" t="n">
        <v>0</v>
      </c>
      <c r="AE396" s="25" t="n">
        <v>0</v>
      </c>
      <c r="AF396" s="25" t="n">
        <v>0</v>
      </c>
      <c r="AG396" s="25" t="n">
        <v>0</v>
      </c>
      <c r="AH396" s="25" t="n">
        <v>1</v>
      </c>
      <c r="AI396" s="25" t="inlineStr">
        <is>
          <t>B</t>
        </is>
      </c>
      <c r="AJ396" s="25" t="n">
        <v>1</v>
      </c>
      <c r="AK396" s="25" t="n">
        <v>1253.8</v>
      </c>
      <c r="AL396" s="25" t="n"/>
      <c r="AM396" s="25" t="n"/>
      <c r="AN396" s="25" t="n"/>
      <c r="AO396" s="25" t="n"/>
      <c r="AP396" s="27">
        <f>IF(AH396="","",IF(AH396=0,"PROSPECT",IF(AH396=1,"NOVO",IF(AH396&lt;=3,"EM DESENVOLVIMENTO",IF(AH396&lt;=6,"RECORRENTE","FIDELIZADO")))))</f>
        <v/>
      </c>
      <c r="AQ396" s="27">
        <f>IF(AJ396=0,0,IFERROR(SUM(U396:AF396)/AJ396,0))</f>
        <v/>
      </c>
      <c r="AS396" s="0" t="inlineStr">
        <is>
          <t>Carteira FEV/26</t>
        </is>
      </c>
    </row>
    <row r="397" ht="14.25" customHeight="1" s="16">
      <c r="A397" s="25" t="inlineStr">
        <is>
          <t>NUTRIBOM</t>
        </is>
      </c>
      <c r="B397" s="25" t="inlineStr">
        <is>
          <t>30880916000144</t>
        </is>
      </c>
      <c r="C397" s="25" t="inlineStr">
        <is>
          <t>ALEXANDRE VIEIRA KISNER - ALIMENTOS</t>
        </is>
      </c>
      <c r="D397" s="25" t="inlineStr">
        <is>
          <t>PR</t>
        </is>
      </c>
      <c r="E397" s="25" t="inlineStr">
        <is>
          <t>LONDRINA</t>
        </is>
      </c>
      <c r="F397" s="25" t="inlineStr">
        <is>
          <t>terraverdecompras@gmail.com</t>
        </is>
      </c>
      <c r="G397" s="25" t="inlineStr">
        <is>
          <t>+55 (43) 98836-8610</t>
        </is>
      </c>
      <c r="H397" s="25" t="inlineStr">
        <is>
          <t>08/10/2024</t>
        </is>
      </c>
      <c r="I397" s="25" t="n"/>
      <c r="J397" s="25" t="inlineStr">
        <is>
          <t>MANU DITZEL</t>
        </is>
      </c>
      <c r="K397" s="25" t="inlineStr">
        <is>
          <t>Manu Ditzel</t>
        </is>
      </c>
      <c r="L397" s="25" t="n">
        <v>255</v>
      </c>
      <c r="M397" s="25" t="inlineStr">
        <is>
          <t>05/06/2025</t>
        </is>
      </c>
      <c r="N397" s="25" t="n">
        <v>10200.37</v>
      </c>
      <c r="O397" s="25" t="n"/>
      <c r="P397" s="25" t="n"/>
      <c r="Q397" s="25" t="n"/>
      <c r="R397" s="25" t="n"/>
      <c r="S397" s="25" t="n"/>
      <c r="T397" s="25" t="n"/>
      <c r="U397" s="25" t="n">
        <v>0</v>
      </c>
      <c r="V397" s="25" t="n">
        <v>0</v>
      </c>
      <c r="W397" s="25" t="n">
        <v>0</v>
      </c>
      <c r="X397" s="25" t="n">
        <v>10200.37</v>
      </c>
      <c r="Y397" s="25" t="n">
        <v>0</v>
      </c>
      <c r="Z397" s="25" t="n">
        <v>0</v>
      </c>
      <c r="AA397" s="25" t="n">
        <v>0</v>
      </c>
      <c r="AB397" s="25" t="n">
        <v>0</v>
      </c>
      <c r="AC397" s="25" t="n">
        <v>0</v>
      </c>
      <c r="AD397" s="25" t="n">
        <v>0</v>
      </c>
      <c r="AE397" s="25" t="n">
        <v>0</v>
      </c>
      <c r="AF397" s="25" t="n">
        <v>0</v>
      </c>
      <c r="AG397" s="25" t="n">
        <v>0</v>
      </c>
      <c r="AH397" s="25" t="n">
        <v>1</v>
      </c>
      <c r="AI397" s="25" t="inlineStr">
        <is>
          <t>A</t>
        </is>
      </c>
      <c r="AJ397" s="25" t="n">
        <v>1</v>
      </c>
      <c r="AK397" s="25" t="n">
        <v>10200.37</v>
      </c>
      <c r="AL397" s="26" t="n">
        <v>46056.72430555556</v>
      </c>
      <c r="AM397" s="26" t="n">
        <v>46056.72430555556</v>
      </c>
      <c r="AN397" s="25" t="inlineStr">
        <is>
          <t>LIGAÇÃO</t>
        </is>
      </c>
      <c r="AO397" s="25" t="inlineStr">
        <is>
          <t>NÃO ATENDEU, MANDEI AUDIO</t>
        </is>
      </c>
      <c r="AP397" s="27">
        <f>IF(AH397="","",IF(AH397=0,"PROSPECT",IF(AH397=1,"NOVO",IF(AH397&lt;=3,"EM DESENVOLVIMENTO",IF(AH397&lt;=6,"RECORRENTE","FIDELIZADO")))))</f>
        <v/>
      </c>
      <c r="AQ397" s="27">
        <f>IF(AJ397=0,0,IFERROR(SUM(U397:AF397)/AJ397,0))</f>
        <v/>
      </c>
      <c r="AS397" s="0" t="inlineStr">
        <is>
          <t>Carteira FEV/26 + Atend FEV/26</t>
        </is>
      </c>
    </row>
    <row r="398" ht="14.25" customHeight="1" s="16">
      <c r="A398" s="25" t="inlineStr">
        <is>
          <t>NUTRIR PRODUTOS NATURAIS</t>
        </is>
      </c>
      <c r="B398" s="25" t="inlineStr">
        <is>
          <t>27376725000135</t>
        </is>
      </c>
      <c r="C398" s="25" t="inlineStr">
        <is>
          <t>NUTRIR PRODUTOS NATURAIS LTDA</t>
        </is>
      </c>
      <c r="D398" s="25" t="inlineStr">
        <is>
          <t>GO</t>
        </is>
      </c>
      <c r="E398" s="25" t="inlineStr">
        <is>
          <t>CALDAS NOVAS</t>
        </is>
      </c>
      <c r="F398" s="25" t="inlineStr">
        <is>
          <t>nutrir.alimentossaudaveis@gmail.com</t>
        </is>
      </c>
      <c r="G398" s="25" t="inlineStr">
        <is>
          <t>+55 (64) 99641-8800</t>
        </is>
      </c>
      <c r="H398" s="25" t="inlineStr">
        <is>
          <t>11/03/2025</t>
        </is>
      </c>
      <c r="I398" s="25" t="n"/>
      <c r="J398" s="25" t="inlineStr">
        <is>
          <t>DAIANE STAVICKI</t>
        </is>
      </c>
      <c r="K398" s="25" t="inlineStr">
        <is>
          <t>Central - Daiane</t>
        </is>
      </c>
      <c r="L398" s="25" t="n">
        <v>339</v>
      </c>
      <c r="M398" s="25" t="inlineStr">
        <is>
          <t>13/03/2025</t>
        </is>
      </c>
      <c r="N398" s="25" t="n">
        <v>907.5599999999999</v>
      </c>
      <c r="O398" s="25" t="n">
        <v>2</v>
      </c>
      <c r="P398" s="25" t="inlineStr">
        <is>
          <t>Sim</t>
        </is>
      </c>
      <c r="Q398" s="25" t="n">
        <v>62</v>
      </c>
      <c r="R398" s="25" t="n">
        <v>26</v>
      </c>
      <c r="S398" s="25" t="n">
        <v>907.5599999999999</v>
      </c>
      <c r="T398" s="25" t="inlineStr">
        <is>
          <t>COMPRA B2B</t>
        </is>
      </c>
      <c r="U398" s="25" t="n">
        <v>907.5599999999999</v>
      </c>
      <c r="V398" s="25" t="n">
        <v>0</v>
      </c>
      <c r="W398" s="25" t="n">
        <v>0</v>
      </c>
      <c r="X398" s="25" t="n">
        <v>0</v>
      </c>
      <c r="Y398" s="25" t="n">
        <v>0</v>
      </c>
      <c r="Z398" s="25" t="n">
        <v>0</v>
      </c>
      <c r="AA398" s="25" t="n">
        <v>0</v>
      </c>
      <c r="AB398" s="25" t="n">
        <v>0</v>
      </c>
      <c r="AC398" s="25" t="n">
        <v>0</v>
      </c>
      <c r="AD398" s="25" t="n">
        <v>0</v>
      </c>
      <c r="AE398" s="25" t="n">
        <v>0</v>
      </c>
      <c r="AF398" s="25" t="n">
        <v>0</v>
      </c>
      <c r="AG398" s="25" t="n">
        <v>0</v>
      </c>
      <c r="AH398" s="25" t="n">
        <v>1</v>
      </c>
      <c r="AI398" s="25" t="inlineStr">
        <is>
          <t>C</t>
        </is>
      </c>
      <c r="AJ398" s="25" t="n">
        <v>2</v>
      </c>
      <c r="AK398" s="25" t="n">
        <v>1815.12</v>
      </c>
      <c r="AL398" s="26" t="n">
        <v>46036.70763888889</v>
      </c>
      <c r="AM398" s="26" t="n">
        <v>46036.70763888889</v>
      </c>
      <c r="AN398" s="25" t="inlineStr">
        <is>
          <t>WHATSAPP</t>
        </is>
      </c>
      <c r="AO398" s="25" t="inlineStr">
        <is>
          <t>RECOMPRA | Nova abordagem - Linha Disney</t>
        </is>
      </c>
      <c r="AP398" s="27">
        <f>IF(AH398="","",IF(AH398=0,"PROSPECT",IF(AH398=1,"NOVO",IF(AH398&lt;=3,"EM DESENVOLVIMENTO",IF(AH398&lt;=6,"RECORRENTE","FIDELIZADO")))))</f>
        <v/>
      </c>
      <c r="AQ398" s="27">
        <f>IF(AJ398=0,0,IFERROR(SUM(U398:AF398)/AJ398,0))</f>
        <v/>
      </c>
      <c r="AS398" s="0" t="inlineStr">
        <is>
          <t>Carteira FEV/26</t>
        </is>
      </c>
    </row>
    <row r="399" ht="14.25" customHeight="1" s="16">
      <c r="A399" s="25" t="inlineStr">
        <is>
          <t>O2 NUTRICAO LTDA</t>
        </is>
      </c>
      <c r="B399" s="25" t="inlineStr">
        <is>
          <t>53413839000118</t>
        </is>
      </c>
      <c r="C399" s="25" t="inlineStr">
        <is>
          <t>O2 NUTRICAO LTDA</t>
        </is>
      </c>
      <c r="D399" s="25" t="inlineStr">
        <is>
          <t>SP</t>
        </is>
      </c>
      <c r="E399" s="25" t="inlineStr">
        <is>
          <t>FRANCA</t>
        </is>
      </c>
      <c r="F399" s="25" t="inlineStr">
        <is>
          <t>maestro@o2nutricao.com.br</t>
        </is>
      </c>
      <c r="G399" s="25" t="inlineStr">
        <is>
          <t>+55 (16) 98231-1881</t>
        </is>
      </c>
      <c r="H399" s="25" t="inlineStr">
        <is>
          <t>04/07/2025</t>
        </is>
      </c>
      <c r="I399" s="25" t="n"/>
      <c r="J399" s="25" t="inlineStr">
        <is>
          <t>LARISSA PADILHA</t>
        </is>
      </c>
      <c r="K399" s="25" t="inlineStr">
        <is>
          <t>Helder Brunkow</t>
        </is>
      </c>
      <c r="L399" s="25" t="n">
        <v>205</v>
      </c>
      <c r="M399" s="25" t="inlineStr">
        <is>
          <t>25/07/2025</t>
        </is>
      </c>
      <c r="N399" s="25" t="n">
        <v>699.37</v>
      </c>
      <c r="O399" s="25" t="n"/>
      <c r="P399" s="25" t="n"/>
      <c r="Q399" s="25" t="n"/>
      <c r="R399" s="25" t="n"/>
      <c r="S399" s="25" t="n"/>
      <c r="T399" s="25" t="n"/>
      <c r="U399" s="25" t="n">
        <v>0</v>
      </c>
      <c r="V399" s="25" t="n">
        <v>0</v>
      </c>
      <c r="W399" s="25" t="n">
        <v>0</v>
      </c>
      <c r="X399" s="25" t="n">
        <v>0</v>
      </c>
      <c r="Y399" s="25" t="n">
        <v>699.37</v>
      </c>
      <c r="Z399" s="25" t="n">
        <v>0</v>
      </c>
      <c r="AA399" s="25" t="n">
        <v>0</v>
      </c>
      <c r="AB399" s="25" t="n">
        <v>0</v>
      </c>
      <c r="AC399" s="25" t="n">
        <v>0</v>
      </c>
      <c r="AD399" s="25" t="n">
        <v>0</v>
      </c>
      <c r="AE399" s="25" t="n">
        <v>0</v>
      </c>
      <c r="AF399" s="25" t="n">
        <v>0</v>
      </c>
      <c r="AG399" s="25" t="n">
        <v>0</v>
      </c>
      <c r="AH399" s="25" t="n">
        <v>1</v>
      </c>
      <c r="AI399" s="25" t="inlineStr">
        <is>
          <t>C</t>
        </is>
      </c>
      <c r="AJ399" s="25" t="n">
        <v>1</v>
      </c>
      <c r="AK399" s="25" t="n">
        <v>699.37</v>
      </c>
      <c r="AL399" s="26" t="n">
        <v>46065.49027777778</v>
      </c>
      <c r="AM399" s="26" t="n">
        <v>46065.49027777778</v>
      </c>
      <c r="AN399" s="25" t="inlineStr">
        <is>
          <t>WHATSAPP</t>
        </is>
      </c>
      <c r="AO399" s="25" t="inlineStr">
        <is>
          <t>NUTRIÇÃO | Envio da campanha do mês</t>
        </is>
      </c>
      <c r="AP399" s="27">
        <f>IF(AH399="","",IF(AH399=0,"PROSPECT",IF(AH399=1,"NOVO",IF(AH399&lt;=3,"EM DESENVOLVIMENTO",IF(AH399&lt;=6,"RECORRENTE","FIDELIZADO")))))</f>
        <v/>
      </c>
      <c r="AQ399" s="27">
        <f>IF(AJ399=0,0,IFERROR(SUM(U399:AF399)/AJ399,0))</f>
        <v/>
      </c>
      <c r="AS399" s="0" t="inlineStr">
        <is>
          <t>Carteira FEV/26 + Atend FEV/26</t>
        </is>
      </c>
    </row>
    <row r="400" ht="14.25" customHeight="1" s="16">
      <c r="A400" s="25" t="inlineStr">
        <is>
          <t>OBJETIVA SERVICOS TERCEIRIZADOS</t>
        </is>
      </c>
      <c r="B400" s="25" t="inlineStr">
        <is>
          <t>10874523000706</t>
        </is>
      </c>
      <c r="C400" s="25" t="inlineStr">
        <is>
          <t>OBJETIVA SERVICOS TERCEIRIZADOS LTDA</t>
        </is>
      </c>
      <c r="D400" s="25" t="inlineStr">
        <is>
          <t>PR</t>
        </is>
      </c>
      <c r="E400" s="25" t="inlineStr">
        <is>
          <t>SAO JOSE DOS PINHAIS</t>
        </is>
      </c>
      <c r="F400" s="25" t="inlineStr">
        <is>
          <t>sara.lima@objetivaterceiros.com.br</t>
        </is>
      </c>
      <c r="G400" s="25" t="inlineStr">
        <is>
          <t>+55 (41) 9282-5084</t>
        </is>
      </c>
      <c r="H400" s="25" t="inlineStr">
        <is>
          <t>14/10/2025</t>
        </is>
      </c>
      <c r="I400" s="25" t="n"/>
      <c r="J400" s="25" t="inlineStr">
        <is>
          <t>MANU DITZEL</t>
        </is>
      </c>
      <c r="K400" s="25" t="inlineStr">
        <is>
          <t>Manu Ditzel</t>
        </is>
      </c>
      <c r="L400" s="25" t="n">
        <v>124</v>
      </c>
      <c r="M400" s="25" t="inlineStr">
        <is>
          <t>14/10/2025</t>
        </is>
      </c>
      <c r="N400" s="25" t="n">
        <v>768</v>
      </c>
      <c r="O400" s="25" t="n"/>
      <c r="P400" s="25" t="n"/>
      <c r="Q400" s="25" t="n"/>
      <c r="R400" s="25" t="n"/>
      <c r="S400" s="25" t="n"/>
      <c r="T400" s="25" t="n"/>
      <c r="U400" s="25" t="n">
        <v>0</v>
      </c>
      <c r="V400" s="25" t="n">
        <v>0</v>
      </c>
      <c r="W400" s="25" t="n">
        <v>0</v>
      </c>
      <c r="X400" s="25" t="n">
        <v>0</v>
      </c>
      <c r="Y400" s="25" t="n">
        <v>0</v>
      </c>
      <c r="Z400" s="25" t="n">
        <v>0</v>
      </c>
      <c r="AA400" s="25" t="n">
        <v>0</v>
      </c>
      <c r="AB400" s="25" t="n">
        <v>768</v>
      </c>
      <c r="AC400" s="25" t="n">
        <v>0</v>
      </c>
      <c r="AD400" s="25" t="n">
        <v>0</v>
      </c>
      <c r="AE400" s="25" t="n">
        <v>0</v>
      </c>
      <c r="AF400" s="25" t="n">
        <v>0</v>
      </c>
      <c r="AG400" s="25" t="n">
        <v>0</v>
      </c>
      <c r="AH400" s="25" t="n">
        <v>1</v>
      </c>
      <c r="AI400" s="25" t="inlineStr">
        <is>
          <t>C</t>
        </is>
      </c>
      <c r="AJ400" s="25" t="n">
        <v>1</v>
      </c>
      <c r="AK400" s="25" t="n">
        <v>768</v>
      </c>
      <c r="AL400" s="26" t="n">
        <v>46062.41319444445</v>
      </c>
      <c r="AM400" s="26" t="n">
        <v>46062.41319444445</v>
      </c>
      <c r="AN400" s="25" t="inlineStr">
        <is>
          <t>WHATSAPP</t>
        </is>
      </c>
      <c r="AO400" s="25" t="inlineStr">
        <is>
          <t>LICITAÇÃO, COMPRA QUANDO PRECISA</t>
        </is>
      </c>
      <c r="AP400" s="27">
        <f>IF(AH400="","",IF(AH400=0,"PROSPECT",IF(AH400=1,"NOVO",IF(AH400&lt;=3,"EM DESENVOLVIMENTO",IF(AH400&lt;=6,"RECORRENTE","FIDELIZADO")))))</f>
        <v/>
      </c>
      <c r="AQ400" s="27">
        <f>IF(AJ400=0,0,IFERROR(SUM(U400:AF400)/AJ400,0))</f>
        <v/>
      </c>
      <c r="AS400" s="0" t="inlineStr">
        <is>
          <t>Carteira FEV/26 + Atend FEV/26</t>
        </is>
      </c>
    </row>
    <row r="401" ht="14.25" customHeight="1" s="16">
      <c r="A401" s="25" t="inlineStr">
        <is>
          <t>ORIGENS EMPORIO NATURAL LTDA</t>
        </is>
      </c>
      <c r="B401" s="25" t="inlineStr">
        <is>
          <t>46013288000130</t>
        </is>
      </c>
      <c r="C401" s="25" t="inlineStr">
        <is>
          <t>ORIGENS EMPORIO NATURAL LTDA</t>
        </is>
      </c>
      <c r="D401" s="25" t="inlineStr">
        <is>
          <t>SC</t>
        </is>
      </c>
      <c r="E401" s="25" t="inlineStr">
        <is>
          <t>GUARAMIRIM</t>
        </is>
      </c>
      <c r="F401" s="25" t="inlineStr">
        <is>
          <t>raqueldocki@gmail.com</t>
        </is>
      </c>
      <c r="G401" s="25" t="inlineStr">
        <is>
          <t>+55 (48) 9998-1463</t>
        </is>
      </c>
      <c r="H401" s="25" t="inlineStr">
        <is>
          <t>29/10/2025</t>
        </is>
      </c>
      <c r="I401" s="25" t="inlineStr">
        <is>
          <t>[Rede] Cia da Saúde</t>
        </is>
      </c>
      <c r="J401" s="25" t="inlineStr">
        <is>
          <t>JULIO GADRET</t>
        </is>
      </c>
      <c r="K401" s="25" t="inlineStr">
        <is>
          <t>Julio  Gadret</t>
        </is>
      </c>
      <c r="L401" s="25" t="n">
        <v>108</v>
      </c>
      <c r="M401" s="25" t="inlineStr">
        <is>
          <t>30/10/2025</t>
        </is>
      </c>
      <c r="N401" s="25" t="n">
        <v>1403.44</v>
      </c>
      <c r="O401" s="25" t="n">
        <v>11</v>
      </c>
      <c r="P401" s="25" t="inlineStr">
        <is>
          <t>Sim</t>
        </is>
      </c>
      <c r="Q401" s="25" t="n">
        <v>21</v>
      </c>
      <c r="R401" s="25" t="n"/>
      <c r="S401" s="25" t="n"/>
      <c r="T401" s="25" t="n"/>
      <c r="U401" s="25" t="n">
        <v>0</v>
      </c>
      <c r="V401" s="25" t="n">
        <v>0</v>
      </c>
      <c r="W401" s="25" t="n">
        <v>0</v>
      </c>
      <c r="X401" s="25" t="n">
        <v>0</v>
      </c>
      <c r="Y401" s="25" t="n">
        <v>0</v>
      </c>
      <c r="Z401" s="25" t="n">
        <v>0</v>
      </c>
      <c r="AA401" s="25" t="n">
        <v>0</v>
      </c>
      <c r="AB401" s="25" t="n">
        <v>1403.44</v>
      </c>
      <c r="AC401" s="25" t="n">
        <v>0</v>
      </c>
      <c r="AD401" s="25" t="n">
        <v>0</v>
      </c>
      <c r="AE401" s="25" t="n">
        <v>0</v>
      </c>
      <c r="AF401" s="25" t="n">
        <v>0</v>
      </c>
      <c r="AG401" s="25" t="n">
        <v>0</v>
      </c>
      <c r="AH401" s="25" t="n">
        <v>1</v>
      </c>
      <c r="AI401" s="25" t="inlineStr">
        <is>
          <t>B</t>
        </is>
      </c>
      <c r="AJ401" s="25" t="n">
        <v>1</v>
      </c>
      <c r="AK401" s="25" t="n">
        <v>1403.44</v>
      </c>
      <c r="AL401" s="26" t="n">
        <v>45959.37777777778</v>
      </c>
      <c r="AM401" s="26" t="n">
        <v>45959.37777777778</v>
      </c>
      <c r="AN401" s="25" t="inlineStr">
        <is>
          <t>WHATSAPP</t>
        </is>
      </c>
      <c r="AO401" s="28" t="inlineStr">
        <is>
          <t>PRÉ-VENDA | Link: https://vitaomais.meuspedidos.com.br/ E-mail: raqueldocki@gmail.com Senha: 717675</t>
        </is>
      </c>
      <c r="AP401" s="27">
        <f>IF(AH401="","",IF(AH401=0,"PROSPECT",IF(AH401=1,"NOVO",IF(AH401&lt;=3,"EM DESENVOLVIMENTO",IF(AH401&lt;=6,"RECORRENTE","FIDELIZADO")))))</f>
        <v/>
      </c>
      <c r="AQ401" s="27">
        <f>IF(AJ401=0,0,IFERROR(SUM(U401:AF401)/AJ401,0))</f>
        <v/>
      </c>
      <c r="AS401" s="0" t="inlineStr">
        <is>
          <t>Carteira FEV/26</t>
        </is>
      </c>
    </row>
    <row r="402" ht="14.25" customHeight="1" s="16">
      <c r="A402" s="25" t="inlineStr">
        <is>
          <t>PACHECO FIT NUTRICAO</t>
        </is>
      </c>
      <c r="B402" s="25" t="inlineStr">
        <is>
          <t>53773154000182</t>
        </is>
      </c>
      <c r="C402" s="25" t="inlineStr">
        <is>
          <t>PACHECO FIT NUTRICAO LTDA</t>
        </is>
      </c>
      <c r="D402" s="25" t="inlineStr">
        <is>
          <t>SC</t>
        </is>
      </c>
      <c r="E402" s="25" t="inlineStr">
        <is>
          <t>SANTO AMARO DA IMPERATRIZ</t>
        </is>
      </c>
      <c r="F402" s="25" t="inlineStr">
        <is>
          <t>fitlandsantoamaro@gmail.com</t>
        </is>
      </c>
      <c r="G402" s="25" t="inlineStr">
        <is>
          <t>+55 (48) 99106-1749</t>
        </is>
      </c>
      <c r="H402" s="25" t="inlineStr">
        <is>
          <t>25/06/2025</t>
        </is>
      </c>
      <c r="I402" s="25" t="inlineStr">
        <is>
          <t>[Rede] Fit Land</t>
        </is>
      </c>
      <c r="J402" s="25" t="inlineStr">
        <is>
          <t>LARISSA PADILHA</t>
        </is>
      </c>
      <c r="K402" s="25" t="inlineStr">
        <is>
          <t>Larissa Padilha</t>
        </is>
      </c>
      <c r="L402" s="25" t="n">
        <v>234</v>
      </c>
      <c r="M402" s="25" t="inlineStr">
        <is>
          <t>26/06/2025</t>
        </is>
      </c>
      <c r="N402" s="25" t="n">
        <v>1213.9</v>
      </c>
      <c r="O402" s="25" t="n"/>
      <c r="P402" s="25" t="n"/>
      <c r="Q402" s="25" t="n"/>
      <c r="R402" s="25" t="n"/>
      <c r="S402" s="25" t="n"/>
      <c r="T402" s="25" t="n"/>
      <c r="U402" s="25" t="n">
        <v>0</v>
      </c>
      <c r="V402" s="25" t="n">
        <v>0</v>
      </c>
      <c r="W402" s="25" t="n">
        <v>0</v>
      </c>
      <c r="X402" s="25" t="n">
        <v>1213.9</v>
      </c>
      <c r="Y402" s="25" t="n">
        <v>0</v>
      </c>
      <c r="Z402" s="25" t="n">
        <v>0</v>
      </c>
      <c r="AA402" s="25" t="n">
        <v>0</v>
      </c>
      <c r="AB402" s="25" t="n">
        <v>0</v>
      </c>
      <c r="AC402" s="25" t="n">
        <v>0</v>
      </c>
      <c r="AD402" s="25" t="n">
        <v>0</v>
      </c>
      <c r="AE402" s="25" t="n">
        <v>0</v>
      </c>
      <c r="AF402" s="25" t="n">
        <v>0</v>
      </c>
      <c r="AG402" s="25" t="n">
        <v>0</v>
      </c>
      <c r="AH402" s="25" t="n">
        <v>1</v>
      </c>
      <c r="AI402" s="25" t="inlineStr">
        <is>
          <t>B</t>
        </is>
      </c>
      <c r="AJ402" s="25" t="n">
        <v>1</v>
      </c>
      <c r="AK402" s="25" t="n">
        <v>1213.9</v>
      </c>
      <c r="AL402" s="25" t="n"/>
      <c r="AM402" s="25" t="n"/>
      <c r="AN402" s="25" t="n"/>
      <c r="AO402" s="25" t="n"/>
      <c r="AP402" s="27">
        <f>IF(AH402="","",IF(AH402=0,"PROSPECT",IF(AH402=1,"NOVO",IF(AH402&lt;=3,"EM DESENVOLVIMENTO",IF(AH402&lt;=6,"RECORRENTE","FIDELIZADO")))))</f>
        <v/>
      </c>
      <c r="AQ402" s="27">
        <f>IF(AJ402=0,0,IFERROR(SUM(U402:AF402)/AJ402,0))</f>
        <v/>
      </c>
      <c r="AS402" s="0" t="inlineStr">
        <is>
          <t>Carteira FEV/26</t>
        </is>
      </c>
    </row>
    <row r="403" ht="14.25" customHeight="1" s="16">
      <c r="A403" s="25" t="inlineStr">
        <is>
          <t>PADOCA DA BAXA</t>
        </is>
      </c>
      <c r="B403" s="25" t="inlineStr">
        <is>
          <t>55906608000171</t>
        </is>
      </c>
      <c r="C403" s="25" t="inlineStr">
        <is>
          <t>PADOCA DA BAXA LTDA</t>
        </is>
      </c>
      <c r="D403" s="25" t="inlineStr">
        <is>
          <t>RS</t>
        </is>
      </c>
      <c r="E403" s="25" t="inlineStr">
        <is>
          <t>PELOTAS</t>
        </is>
      </c>
      <c r="F403" s="25" t="inlineStr">
        <is>
          <t>CONTATO@CONTATO.COM.BR</t>
        </is>
      </c>
      <c r="G403" s="25" t="inlineStr">
        <is>
          <t>+55 (53) 99148-0884</t>
        </is>
      </c>
      <c r="H403" s="25" t="inlineStr">
        <is>
          <t>11/07/2025</t>
        </is>
      </c>
      <c r="I403" s="25" t="n"/>
      <c r="J403" s="25" t="inlineStr">
        <is>
          <t>MANU DITZEL</t>
        </is>
      </c>
      <c r="K403" s="25" t="inlineStr">
        <is>
          <t>Manu Ditzel</t>
        </is>
      </c>
      <c r="L403" s="25" t="n">
        <v>107</v>
      </c>
      <c r="M403" s="25" t="inlineStr">
        <is>
          <t>31/10/2025</t>
        </is>
      </c>
      <c r="N403" s="25" t="n">
        <v>850.4</v>
      </c>
      <c r="O403" s="25" t="n">
        <v>5</v>
      </c>
      <c r="P403" s="25" t="inlineStr">
        <is>
          <t>Sim</t>
        </is>
      </c>
      <c r="Q403" s="25" t="n">
        <v>80</v>
      </c>
      <c r="R403" s="25" t="n">
        <v>46</v>
      </c>
      <c r="S403" s="25" t="n">
        <v>2105.6</v>
      </c>
      <c r="T403" s="25" t="inlineStr">
        <is>
          <t>COMPRA B2B</t>
        </is>
      </c>
      <c r="U403" s="25" t="n">
        <v>0</v>
      </c>
      <c r="V403" s="25" t="n">
        <v>0</v>
      </c>
      <c r="W403" s="25" t="n">
        <v>0</v>
      </c>
      <c r="X403" s="25" t="n">
        <v>0</v>
      </c>
      <c r="Y403" s="25" t="n">
        <v>0</v>
      </c>
      <c r="Z403" s="25" t="n">
        <v>2105.6</v>
      </c>
      <c r="AA403" s="25" t="n">
        <v>0</v>
      </c>
      <c r="AB403" s="25" t="n">
        <v>850.4</v>
      </c>
      <c r="AC403" s="25" t="n">
        <v>0</v>
      </c>
      <c r="AD403" s="25" t="n">
        <v>0</v>
      </c>
      <c r="AE403" s="25" t="n">
        <v>0</v>
      </c>
      <c r="AF403" s="25" t="n">
        <v>0</v>
      </c>
      <c r="AG403" s="25" t="n">
        <v>77</v>
      </c>
      <c r="AH403" s="25" t="n">
        <v>2</v>
      </c>
      <c r="AI403" s="25" t="inlineStr">
        <is>
          <t>A</t>
        </is>
      </c>
      <c r="AJ403" s="25" t="n">
        <v>2</v>
      </c>
      <c r="AK403" s="25" t="n">
        <v>1478</v>
      </c>
      <c r="AL403" s="26" t="n">
        <v>45951.35958333333</v>
      </c>
      <c r="AM403" s="26" t="n">
        <v>45951.35958333333</v>
      </c>
      <c r="AN403" s="25" t="inlineStr">
        <is>
          <t>WHATSAPP</t>
        </is>
      </c>
      <c r="AO403" s="25" t="inlineStr">
        <is>
          <t>PADOCA DA BAXA</t>
        </is>
      </c>
      <c r="AP403" s="27">
        <f>IF(AH403="","",IF(AH403=0,"PROSPECT",IF(AH403=1,"NOVO",IF(AH403&lt;=3,"EM DESENVOLVIMENTO",IF(AH403&lt;=6,"RECORRENTE","FIDELIZADO")))))</f>
        <v/>
      </c>
      <c r="AQ403" s="27">
        <f>IF(AJ403=0,0,IFERROR(SUM(U403:AF403)/AJ403,0))</f>
        <v/>
      </c>
      <c r="AS403" s="0" t="inlineStr">
        <is>
          <t>Carteira FEV/26</t>
        </is>
      </c>
    </row>
    <row r="404" ht="14.25" customHeight="1" s="16">
      <c r="A404" s="25" t="inlineStr">
        <is>
          <t>PEROLA FIT</t>
        </is>
      </c>
      <c r="B404" s="25" t="inlineStr">
        <is>
          <t>58256204000178</t>
        </is>
      </c>
      <c r="C404" s="25" t="inlineStr">
        <is>
          <t>PEROLA FIT PRODUTOS NATURAIS LTDA</t>
        </is>
      </c>
      <c r="D404" s="25" t="inlineStr">
        <is>
          <t>PR</t>
        </is>
      </c>
      <c r="E404" s="25" t="inlineStr">
        <is>
          <t>CAMBARA</t>
        </is>
      </c>
      <c r="F404" s="25" t="inlineStr">
        <is>
          <t>renandelcol@gmail.com</t>
        </is>
      </c>
      <c r="G404" s="25" t="inlineStr">
        <is>
          <t>+55 (43) 9117-6642</t>
        </is>
      </c>
      <c r="H404" s="25" t="inlineStr">
        <is>
          <t>23/10/2025</t>
        </is>
      </c>
      <c r="I404" s="25" t="n"/>
      <c r="J404" s="25" t="inlineStr">
        <is>
          <t>MANU DITZEL</t>
        </is>
      </c>
      <c r="K404" s="25" t="inlineStr">
        <is>
          <t>Manu Ditzel</t>
        </is>
      </c>
      <c r="L404" s="25" t="n">
        <v>114</v>
      </c>
      <c r="M404" s="25" t="inlineStr">
        <is>
          <t>24/10/2025</t>
        </is>
      </c>
      <c r="N404" s="25" t="n">
        <v>1958.68</v>
      </c>
      <c r="O404" s="25" t="n">
        <v>2</v>
      </c>
      <c r="P404" s="25" t="inlineStr">
        <is>
          <t>Sim</t>
        </is>
      </c>
      <c r="Q404" s="25" t="n">
        <v>2</v>
      </c>
      <c r="R404" s="25" t="n"/>
      <c r="S404" s="25" t="n"/>
      <c r="T404" s="25" t="n"/>
      <c r="U404" s="25" t="n">
        <v>0</v>
      </c>
      <c r="V404" s="25" t="n">
        <v>0</v>
      </c>
      <c r="W404" s="25" t="n">
        <v>0</v>
      </c>
      <c r="X404" s="25" t="n">
        <v>0</v>
      </c>
      <c r="Y404" s="25" t="n">
        <v>0</v>
      </c>
      <c r="Z404" s="25" t="n">
        <v>0</v>
      </c>
      <c r="AA404" s="25" t="n">
        <v>0</v>
      </c>
      <c r="AB404" s="25" t="n">
        <v>1958.68</v>
      </c>
      <c r="AC404" s="25" t="n">
        <v>0</v>
      </c>
      <c r="AD404" s="25" t="n">
        <v>0</v>
      </c>
      <c r="AE404" s="25" t="n">
        <v>0</v>
      </c>
      <c r="AF404" s="25" t="n">
        <v>0</v>
      </c>
      <c r="AG404" s="25" t="n">
        <v>0</v>
      </c>
      <c r="AH404" s="25" t="n">
        <v>1</v>
      </c>
      <c r="AI404" s="25" t="inlineStr">
        <is>
          <t>B</t>
        </is>
      </c>
      <c r="AJ404" s="25" t="n">
        <v>1</v>
      </c>
      <c r="AK404" s="25" t="n">
        <v>1958.68</v>
      </c>
      <c r="AL404" s="29" t="n">
        <v>46062.43541666667</v>
      </c>
      <c r="AM404" s="29" t="n">
        <v>46062.43541666667</v>
      </c>
      <c r="AN404" s="25" t="inlineStr">
        <is>
          <t>WHATSAPP</t>
        </is>
      </c>
      <c r="AO404" s="25" t="inlineStr">
        <is>
          <t>FEITO CONTATO PARA POSSIVEL RECOMPRA</t>
        </is>
      </c>
      <c r="AP404" s="27">
        <f>IF(AH404="","",IF(AH404=0,"PROSPECT",IF(AH404=1,"NOVO",IF(AH404&lt;=3,"EM DESENVOLVIMENTO",IF(AH404&lt;=6,"RECORRENTE","FIDELIZADO")))))</f>
        <v/>
      </c>
      <c r="AQ404" s="27">
        <f>IF(AJ404=0,0,IFERROR(SUM(U404:AF404)/AJ404,0))</f>
        <v/>
      </c>
      <c r="AS404" s="0" t="inlineStr">
        <is>
          <t>Carteira FEV/26 + Atend FEV/26</t>
        </is>
      </c>
    </row>
    <row r="405" ht="14.25" customHeight="1" s="16">
      <c r="A405" s="25" t="inlineStr">
        <is>
          <t>PICADO'S DA TERRA PRODUTOS NATURAIS</t>
        </is>
      </c>
      <c r="B405" s="25" t="inlineStr">
        <is>
          <t>37680783000292</t>
        </is>
      </c>
      <c r="C405" s="25" t="inlineStr">
        <is>
          <t>PICADO'S DA TERRA PRODUTOS NATURAIS LTDA</t>
        </is>
      </c>
      <c r="D405" s="25" t="inlineStr">
        <is>
          <t>SC</t>
        </is>
      </c>
      <c r="E405" s="25" t="inlineStr">
        <is>
          <t>JAGUARUNA</t>
        </is>
      </c>
      <c r="F405" s="25" t="inlineStr">
        <is>
          <t>picadosdaterratubarao@gmail.com</t>
        </is>
      </c>
      <c r="G405" s="25" t="inlineStr">
        <is>
          <t>+55 (48) 98486-7502</t>
        </is>
      </c>
      <c r="H405" s="25" t="inlineStr">
        <is>
          <t>08/10/2024</t>
        </is>
      </c>
      <c r="I405" s="25" t="n"/>
      <c r="J405" s="25" t="inlineStr">
        <is>
          <t>JULIO GADRET</t>
        </is>
      </c>
      <c r="K405" s="25" t="inlineStr">
        <is>
          <t>Julio  Gadret</t>
        </is>
      </c>
      <c r="L405" s="25" t="n">
        <v>142</v>
      </c>
      <c r="M405" s="25" t="inlineStr">
        <is>
          <t>26/09/2025</t>
        </is>
      </c>
      <c r="N405" s="25" t="n">
        <v>3353.25</v>
      </c>
      <c r="O405" s="25" t="n"/>
      <c r="P405" s="25" t="n"/>
      <c r="Q405" s="25" t="n"/>
      <c r="R405" s="25" t="n"/>
      <c r="S405" s="25" t="n"/>
      <c r="T405" s="25" t="n"/>
      <c r="U405" s="25" t="n">
        <v>0</v>
      </c>
      <c r="V405" s="25" t="n">
        <v>0</v>
      </c>
      <c r="W405" s="25" t="n">
        <v>0</v>
      </c>
      <c r="X405" s="25" t="n">
        <v>0</v>
      </c>
      <c r="Y405" s="25" t="n">
        <v>0</v>
      </c>
      <c r="Z405" s="25" t="n">
        <v>0</v>
      </c>
      <c r="AA405" s="25" t="n">
        <v>3353.25</v>
      </c>
      <c r="AB405" s="25" t="n">
        <v>0</v>
      </c>
      <c r="AC405" s="25" t="n">
        <v>0</v>
      </c>
      <c r="AD405" s="25" t="n">
        <v>0</v>
      </c>
      <c r="AE405" s="25" t="n">
        <v>0</v>
      </c>
      <c r="AF405" s="25" t="n">
        <v>0</v>
      </c>
      <c r="AG405" s="25" t="n">
        <v>0</v>
      </c>
      <c r="AH405" s="25" t="n">
        <v>1</v>
      </c>
      <c r="AI405" s="25" t="inlineStr">
        <is>
          <t>A</t>
        </is>
      </c>
      <c r="AJ405" s="25" t="n">
        <v>1</v>
      </c>
      <c r="AK405" s="25" t="n">
        <v>3353.25</v>
      </c>
      <c r="AL405" s="25" t="n"/>
      <c r="AM405" s="25" t="n"/>
      <c r="AN405" s="25" t="n"/>
      <c r="AO405" s="25" t="n"/>
      <c r="AP405" s="27">
        <f>IF(AH405="","",IF(AH405=0,"PROSPECT",IF(AH405=1,"NOVO",IF(AH405&lt;=3,"EM DESENVOLVIMENTO",IF(AH405&lt;=6,"RECORRENTE","FIDELIZADO")))))</f>
        <v/>
      </c>
      <c r="AQ405" s="27">
        <f>IF(AJ405=0,0,IFERROR(SUM(U405:AF405)/AJ405,0))</f>
        <v/>
      </c>
      <c r="AS405" s="0" t="inlineStr">
        <is>
          <t>Carteira FEV/26</t>
        </is>
      </c>
    </row>
    <row r="406" ht="14.25" customHeight="1" s="16">
      <c r="A406" s="25" t="inlineStr">
        <is>
          <t>PICADOS DA TERRA</t>
        </is>
      </c>
      <c r="B406" s="25" t="inlineStr">
        <is>
          <t>59633825000196</t>
        </is>
      </c>
      <c r="C406" s="25" t="inlineStr">
        <is>
          <t>PICADO'S DA TERRA COMERCIO DE PRODUTOS NATURAIS LTDA</t>
        </is>
      </c>
      <c r="D406" s="25" t="inlineStr">
        <is>
          <t>SC</t>
        </is>
      </c>
      <c r="E406" s="25" t="inlineStr">
        <is>
          <t>TREZE DE MAIO</t>
        </is>
      </c>
      <c r="F406" s="25" t="inlineStr">
        <is>
          <t>compraspicadosdaterra@gmail.com</t>
        </is>
      </c>
      <c r="G406" s="25" t="inlineStr">
        <is>
          <t>+55 (48) 98486-7502</t>
        </is>
      </c>
      <c r="H406" s="25" t="inlineStr">
        <is>
          <t>24/09/2025</t>
        </is>
      </c>
      <c r="I406" s="25" t="n"/>
      <c r="J406" s="25" t="inlineStr">
        <is>
          <t>JULIO GADRET</t>
        </is>
      </c>
      <c r="K406" s="25" t="inlineStr">
        <is>
          <t>Julio  Gadret</t>
        </is>
      </c>
      <c r="L406" s="25" t="n">
        <v>142</v>
      </c>
      <c r="M406" s="25" t="inlineStr">
        <is>
          <t>26/09/2025</t>
        </is>
      </c>
      <c r="N406" s="25" t="n">
        <v>3353.25</v>
      </c>
      <c r="O406" s="25" t="n">
        <v>3</v>
      </c>
      <c r="P406" s="25" t="inlineStr">
        <is>
          <t>Sim</t>
        </is>
      </c>
      <c r="Q406" s="25" t="n">
        <v>64</v>
      </c>
      <c r="R406" s="25" t="n">
        <v>8</v>
      </c>
      <c r="S406" s="25" t="n">
        <v>3353.25</v>
      </c>
      <c r="T406" s="25" t="inlineStr">
        <is>
          <t>COMPRA B2B</t>
        </is>
      </c>
      <c r="U406" s="25" t="n">
        <v>0</v>
      </c>
      <c r="V406" s="25" t="n">
        <v>0</v>
      </c>
      <c r="W406" s="25" t="n">
        <v>0</v>
      </c>
      <c r="X406" s="25" t="n">
        <v>0</v>
      </c>
      <c r="Y406" s="25" t="n">
        <v>0</v>
      </c>
      <c r="Z406" s="25" t="n">
        <v>0</v>
      </c>
      <c r="AA406" s="25" t="n">
        <v>3353.25</v>
      </c>
      <c r="AB406" s="25" t="n">
        <v>0</v>
      </c>
      <c r="AC406" s="25" t="n">
        <v>0</v>
      </c>
      <c r="AD406" s="25" t="n">
        <v>0</v>
      </c>
      <c r="AE406" s="25" t="n">
        <v>0</v>
      </c>
      <c r="AF406" s="25" t="n">
        <v>0</v>
      </c>
      <c r="AG406" s="25" t="n">
        <v>0</v>
      </c>
      <c r="AH406" s="25" t="n">
        <v>1</v>
      </c>
      <c r="AI406" s="25" t="inlineStr">
        <is>
          <t>A</t>
        </is>
      </c>
      <c r="AJ406" s="25" t="n">
        <v>1</v>
      </c>
      <c r="AK406" s="25" t="n">
        <v>3353.25</v>
      </c>
      <c r="AL406" s="26" t="n">
        <v>45924.72638888889</v>
      </c>
      <c r="AM406" s="26" t="n">
        <v>45924.72638888889</v>
      </c>
      <c r="AN406" s="25" t="inlineStr">
        <is>
          <t>LIGAÇÃO</t>
        </is>
      </c>
      <c r="AO406" s="28" t="inlineStr">
        <is>
          <t>Link: https://vitaomais.meuspedidos.com.br/ E-mail: compraspicadosdaterra@gmail.com Senha: 876826 Cliente julio com 3 lojas e mesmo e-mail</t>
        </is>
      </c>
      <c r="AP406" s="27">
        <f>IF(AH406="","",IF(AH406=0,"PROSPECT",IF(AH406=1,"NOVO",IF(AH406&lt;=3,"EM DESENVOLVIMENTO",IF(AH406&lt;=6,"RECORRENTE","FIDELIZADO")))))</f>
        <v/>
      </c>
      <c r="AQ406" s="27">
        <f>IF(AJ406=0,0,IFERROR(SUM(U406:AF406)/AJ406,0))</f>
        <v/>
      </c>
      <c r="AS406" s="0" t="inlineStr">
        <is>
          <t>Carteira FEV/26</t>
        </is>
      </c>
    </row>
    <row r="407" ht="14.25" customHeight="1" s="16">
      <c r="A407" s="25" t="inlineStr">
        <is>
          <t>PIONER VITA NATURA</t>
        </is>
      </c>
      <c r="B407" s="25" t="inlineStr">
        <is>
          <t>61137195000100</t>
        </is>
      </c>
      <c r="C407" s="25" t="inlineStr">
        <is>
          <t>VITA NATURA LTDA</t>
        </is>
      </c>
      <c r="D407" s="25" t="inlineStr">
        <is>
          <t>SC</t>
        </is>
      </c>
      <c r="E407" s="25" t="inlineStr">
        <is>
          <t>IMBITUBA</t>
        </is>
      </c>
      <c r="F407" s="25" t="inlineStr">
        <is>
          <t>imbituba.sc@redevidaleve.com.br</t>
        </is>
      </c>
      <c r="G407" s="25" t="inlineStr">
        <is>
          <t>+55 (51) 99704-9422</t>
        </is>
      </c>
      <c r="H407" s="25" t="inlineStr">
        <is>
          <t>14/10/2025</t>
        </is>
      </c>
      <c r="I407" s="25" t="inlineStr">
        <is>
          <t>[Rede] Vida Leve</t>
        </is>
      </c>
      <c r="J407" s="25" t="inlineStr">
        <is>
          <t>DAIANE STAVICKI</t>
        </is>
      </c>
      <c r="K407" s="25" t="inlineStr">
        <is>
          <t>Central - Daiane</t>
        </is>
      </c>
      <c r="L407" s="25" t="n">
        <v>124</v>
      </c>
      <c r="M407" s="25" t="inlineStr">
        <is>
          <t>14/10/2025</t>
        </is>
      </c>
      <c r="N407" s="25" t="n">
        <v>660.46</v>
      </c>
      <c r="O407" s="25" t="n"/>
      <c r="P407" s="25" t="n"/>
      <c r="Q407" s="25" t="n"/>
      <c r="R407" s="25" t="n"/>
      <c r="S407" s="25" t="n"/>
      <c r="T407" s="25" t="n"/>
      <c r="U407" s="25" t="n">
        <v>0</v>
      </c>
      <c r="V407" s="25" t="n">
        <v>0</v>
      </c>
      <c r="W407" s="25" t="n">
        <v>0</v>
      </c>
      <c r="X407" s="25" t="n">
        <v>0</v>
      </c>
      <c r="Y407" s="25" t="n">
        <v>0</v>
      </c>
      <c r="Z407" s="25" t="n">
        <v>0</v>
      </c>
      <c r="AA407" s="25" t="n">
        <v>0</v>
      </c>
      <c r="AB407" s="25" t="n">
        <v>660.46</v>
      </c>
      <c r="AC407" s="25" t="n">
        <v>0</v>
      </c>
      <c r="AD407" s="25" t="n">
        <v>0</v>
      </c>
      <c r="AE407" s="25" t="n">
        <v>0</v>
      </c>
      <c r="AF407" s="25" t="n">
        <v>0</v>
      </c>
      <c r="AG407" s="25" t="n">
        <v>0</v>
      </c>
      <c r="AH407" s="25" t="n">
        <v>1</v>
      </c>
      <c r="AI407" s="25" t="inlineStr">
        <is>
          <t>C</t>
        </is>
      </c>
      <c r="AJ407" s="25" t="n">
        <v>1</v>
      </c>
      <c r="AK407" s="25" t="n">
        <v>660.46</v>
      </c>
      <c r="AL407" s="26" t="n">
        <v>46056.63125</v>
      </c>
      <c r="AM407" s="26" t="n">
        <v>46056.63125</v>
      </c>
      <c r="AN407" s="25" t="inlineStr">
        <is>
          <t>LIGAÇÃO</t>
        </is>
      </c>
      <c r="AO407" s="25" t="inlineStr">
        <is>
          <t>VENDO COMO FOI A SAÍDA DOS PRODUTOS</t>
        </is>
      </c>
      <c r="AP407" s="27">
        <f>IF(AH407="","",IF(AH407=0,"PROSPECT",IF(AH407=1,"NOVO",IF(AH407&lt;=3,"EM DESENVOLVIMENTO",IF(AH407&lt;=6,"RECORRENTE","FIDELIZADO")))))</f>
        <v/>
      </c>
      <c r="AQ407" s="27">
        <f>IF(AJ407=0,0,IFERROR(SUM(U407:AF407)/AJ407,0))</f>
        <v/>
      </c>
      <c r="AR407" s="15" t="inlineStr">
        <is>
          <t>⚠️ DDD(51)=RS≠SC</t>
        </is>
      </c>
      <c r="AS407" s="0" t="inlineStr">
        <is>
          <t>Carteira FEV/26 + Atend FEV/26</t>
        </is>
      </c>
    </row>
    <row r="408" ht="14.25" customHeight="1" s="16">
      <c r="A408" s="25" t="inlineStr">
        <is>
          <t>PISTACHE EMPORIO</t>
        </is>
      </c>
      <c r="B408" s="25" t="inlineStr">
        <is>
          <t>20161192000125</t>
        </is>
      </c>
      <c r="C408" s="25" t="inlineStr">
        <is>
          <t>CEREAIS SOUZA LTDA</t>
        </is>
      </c>
      <c r="D408" s="25" t="inlineStr">
        <is>
          <t>MS</t>
        </is>
      </c>
      <c r="E408" s="25" t="inlineStr">
        <is>
          <t>CAMPO GRANDE</t>
        </is>
      </c>
      <c r="F408" s="25" t="inlineStr">
        <is>
          <t>pistacheemporio@gmail.com</t>
        </is>
      </c>
      <c r="G408" s="25" t="inlineStr">
        <is>
          <t>+55 (67) 9232-4500</t>
        </is>
      </c>
      <c r="H408" s="25" t="inlineStr">
        <is>
          <t>08/10/2024</t>
        </is>
      </c>
      <c r="I408" s="25" t="n"/>
      <c r="J408" s="25" t="inlineStr">
        <is>
          <t>LARISSA PADILHA</t>
        </is>
      </c>
      <c r="K408" s="25" t="inlineStr">
        <is>
          <t>Larissa Padilha</t>
        </is>
      </c>
      <c r="L408" s="25" t="n">
        <v>102</v>
      </c>
      <c r="M408" s="25" t="inlineStr">
        <is>
          <t>05/11/2025</t>
        </is>
      </c>
      <c r="N408" s="25" t="n">
        <v>3779.78</v>
      </c>
      <c r="O408" s="25" t="n">
        <v>5</v>
      </c>
      <c r="P408" s="25" t="inlineStr">
        <is>
          <t>Sim</t>
        </is>
      </c>
      <c r="Q408" s="25" t="n">
        <v>15</v>
      </c>
      <c r="R408" s="25" t="n">
        <v>4</v>
      </c>
      <c r="S408" s="25" t="n">
        <v>3779.78</v>
      </c>
      <c r="T408" s="25" t="inlineStr">
        <is>
          <t>COMPRA B2B</t>
        </is>
      </c>
      <c r="U408" s="25" t="n">
        <v>0</v>
      </c>
      <c r="V408" s="25" t="n">
        <v>0</v>
      </c>
      <c r="W408" s="25" t="n">
        <v>0</v>
      </c>
      <c r="X408" s="25" t="n">
        <v>0</v>
      </c>
      <c r="Y408" s="25" t="n">
        <v>0</v>
      </c>
      <c r="Z408" s="25" t="n">
        <v>0</v>
      </c>
      <c r="AA408" s="25" t="n">
        <v>0</v>
      </c>
      <c r="AB408" s="25" t="n">
        <v>0</v>
      </c>
      <c r="AC408" s="25" t="n">
        <v>3779.78</v>
      </c>
      <c r="AD408" s="25" t="n">
        <v>0</v>
      </c>
      <c r="AE408" s="25" t="n">
        <v>0</v>
      </c>
      <c r="AF408" s="25" t="n">
        <v>0</v>
      </c>
      <c r="AG408" s="25" t="n">
        <v>0</v>
      </c>
      <c r="AH408" s="25" t="n">
        <v>0</v>
      </c>
      <c r="AI408" s="25" t="inlineStr">
        <is>
          <t>A</t>
        </is>
      </c>
      <c r="AJ408" s="25" t="n">
        <v>1</v>
      </c>
      <c r="AK408" s="25" t="n">
        <v>0</v>
      </c>
      <c r="AL408" s="26" t="n">
        <v>46058.68373842593</v>
      </c>
      <c r="AM408" s="26" t="n">
        <v>46058.68373842593</v>
      </c>
      <c r="AN408" s="25" t="inlineStr">
        <is>
          <t>WHATSAPP</t>
        </is>
      </c>
      <c r="AO408" s="25" t="inlineStr">
        <is>
          <t>PISTACHE EMPORIO - MS - GIOVANA</t>
        </is>
      </c>
      <c r="AP408" s="27">
        <f>IF(AH408="","",IF(AH408=0,"PROSPECT",IF(AH408=1,"NOVO",IF(AH408&lt;=3,"EM DESENVOLVIMENTO",IF(AH408&lt;=6,"RECORRENTE","FIDELIZADO")))))</f>
        <v/>
      </c>
      <c r="AQ408" s="27">
        <f>IF(AJ408=0,0,IFERROR(SUM(U408:AF408)/AJ408,0))</f>
        <v/>
      </c>
      <c r="AS408" s="0" t="inlineStr">
        <is>
          <t>Carteira FEV/26 + Atend FEV/26</t>
        </is>
      </c>
    </row>
    <row r="409" ht="14.25" customHeight="1" s="16">
      <c r="A409" s="25" t="inlineStr">
        <is>
          <t>PONTO CERTO NATURAL</t>
        </is>
      </c>
      <c r="B409" s="25" t="inlineStr">
        <is>
          <t>15626213000109</t>
        </is>
      </c>
      <c r="C409" s="25" t="inlineStr">
        <is>
          <t>IVANILDO BARBOSA DOS SANTOS 08664084874</t>
        </is>
      </c>
      <c r="D409" s="25" t="inlineStr">
        <is>
          <t>AL</t>
        </is>
      </c>
      <c r="E409" s="25" t="inlineStr">
        <is>
          <t>SAO JOSE DA TAPERA</t>
        </is>
      </c>
      <c r="F409" s="25" t="inlineStr">
        <is>
          <t>pontocertonatural@hotmail.com</t>
        </is>
      </c>
      <c r="G409" s="25" t="inlineStr">
        <is>
          <t>+55 (82) 9317-7548</t>
        </is>
      </c>
      <c r="H409" s="25" t="inlineStr">
        <is>
          <t>08/10/2024</t>
        </is>
      </c>
      <c r="I409" s="25" t="n"/>
      <c r="J409" s="25" t="inlineStr">
        <is>
          <t>LARISSA PADILHA</t>
        </is>
      </c>
      <c r="K409" s="25" t="inlineStr">
        <is>
          <t>Larissa Padilha</t>
        </is>
      </c>
      <c r="L409" s="25" t="n">
        <v>5</v>
      </c>
      <c r="M409" s="25" t="inlineStr">
        <is>
          <t>10/02/2026</t>
        </is>
      </c>
      <c r="N409" s="25" t="n">
        <v>2584.71</v>
      </c>
      <c r="O409" s="25" t="n">
        <v>1</v>
      </c>
      <c r="P409" s="25" t="inlineStr">
        <is>
          <t>Sim</t>
        </is>
      </c>
      <c r="Q409" s="25" t="n">
        <v>543</v>
      </c>
      <c r="R409" s="25" t="n">
        <v>136</v>
      </c>
      <c r="S409" s="25" t="n">
        <v>3760.82</v>
      </c>
      <c r="T409" s="25" t="inlineStr">
        <is>
          <t>COMPRA B2B</t>
        </is>
      </c>
      <c r="U409" s="25" t="n">
        <v>0</v>
      </c>
      <c r="V409" s="25" t="n">
        <v>0</v>
      </c>
      <c r="W409" s="25" t="n">
        <v>2061.1</v>
      </c>
      <c r="X409" s="25" t="n">
        <v>0</v>
      </c>
      <c r="Y409" s="25" t="n">
        <v>0</v>
      </c>
      <c r="Z409" s="25" t="n">
        <v>1699.72</v>
      </c>
      <c r="AA409" s="25" t="n">
        <v>0</v>
      </c>
      <c r="AB409" s="25" t="n">
        <v>0</v>
      </c>
      <c r="AC409" s="25" t="n">
        <v>0</v>
      </c>
      <c r="AD409" s="25" t="n">
        <v>0</v>
      </c>
      <c r="AE409" s="25" t="n">
        <v>0</v>
      </c>
      <c r="AF409" s="25" t="n">
        <v>2584.71</v>
      </c>
      <c r="AG409" s="25" t="n">
        <v>132.5</v>
      </c>
      <c r="AH409" s="25" t="n">
        <v>3</v>
      </c>
      <c r="AI409" s="25" t="inlineStr">
        <is>
          <t>A</t>
        </is>
      </c>
      <c r="AJ409" s="25" t="n">
        <v>3</v>
      </c>
      <c r="AK409" s="25" t="n">
        <v>2115.18</v>
      </c>
      <c r="AL409" s="26" t="n">
        <v>46036.62399305555</v>
      </c>
      <c r="AM409" s="26" t="n">
        <v>46036.62399305555</v>
      </c>
      <c r="AN409" s="25" t="inlineStr">
        <is>
          <t>WHATSAPP</t>
        </is>
      </c>
      <c r="AO409" s="25" t="inlineStr">
        <is>
          <t>PONTO CERTO - IVANILDO - AL</t>
        </is>
      </c>
      <c r="AP409" s="27">
        <f>IF(AH409="","",IF(AH409=0,"PROSPECT",IF(AH409=1,"NOVO",IF(AH409&lt;=3,"EM DESENVOLVIMENTO",IF(AH409&lt;=6,"RECORRENTE","FIDELIZADO")))))</f>
        <v/>
      </c>
      <c r="AQ409" s="27">
        <f>IF(AJ409=0,0,IFERROR(SUM(U409:AF409)/AJ409,0))</f>
        <v/>
      </c>
      <c r="AS409" s="0" t="inlineStr">
        <is>
          <t>Carteira FEV/26 + Ecom FEV/26 + Vendas FEV/26 + ABC FEV/26</t>
        </is>
      </c>
    </row>
    <row r="410" ht="14.25" customHeight="1" s="16">
      <c r="A410" s="25" t="inlineStr">
        <is>
          <t>PORTONUTRY ALIMENTACAO SAUDAVEL</t>
        </is>
      </c>
      <c r="B410" s="25" t="inlineStr">
        <is>
          <t>61668179000144</t>
        </is>
      </c>
      <c r="C410" s="25" t="inlineStr">
        <is>
          <t>PORTONUTRY ALIMENTACAO SAUDAVEL LTDA</t>
        </is>
      </c>
      <c r="D410" s="25" t="inlineStr">
        <is>
          <t>BA</t>
        </is>
      </c>
      <c r="E410" s="25" t="inlineStr">
        <is>
          <t>PORTO SEGURO</t>
        </is>
      </c>
      <c r="F410" s="25" t="inlineStr">
        <is>
          <t>fitlandportoseguro@gmail.com</t>
        </is>
      </c>
      <c r="G410" s="25" t="inlineStr">
        <is>
          <t>+55 (73) 99907-1310</t>
        </is>
      </c>
      <c r="H410" s="25" t="inlineStr">
        <is>
          <t>22/07/2025</t>
        </is>
      </c>
      <c r="I410" s="25" t="inlineStr">
        <is>
          <t>[Rede] Fit Land</t>
        </is>
      </c>
      <c r="J410" s="25" t="inlineStr">
        <is>
          <t>LARISSA PADILHA</t>
        </is>
      </c>
      <c r="K410" s="25" t="inlineStr">
        <is>
          <t>Larissa Padilha</t>
        </is>
      </c>
      <c r="L410" s="25" t="n">
        <v>192</v>
      </c>
      <c r="M410" s="25" t="inlineStr">
        <is>
          <t>07/08/2025</t>
        </is>
      </c>
      <c r="N410" s="25" t="n">
        <v>1021.87</v>
      </c>
      <c r="O410" s="25" t="n"/>
      <c r="P410" s="25" t="n"/>
      <c r="Q410" s="25" t="n"/>
      <c r="R410" s="25" t="n"/>
      <c r="S410" s="25" t="n"/>
      <c r="T410" s="25" t="n"/>
      <c r="U410" s="25" t="n">
        <v>0</v>
      </c>
      <c r="V410" s="25" t="n">
        <v>0</v>
      </c>
      <c r="W410" s="25" t="n">
        <v>0</v>
      </c>
      <c r="X410" s="25" t="n">
        <v>0</v>
      </c>
      <c r="Y410" s="25" t="n">
        <v>0</v>
      </c>
      <c r="Z410" s="25" t="n">
        <v>1021.87</v>
      </c>
      <c r="AA410" s="25" t="n">
        <v>0</v>
      </c>
      <c r="AB410" s="25" t="n">
        <v>0</v>
      </c>
      <c r="AC410" s="25" t="n">
        <v>0</v>
      </c>
      <c r="AD410" s="25" t="n">
        <v>0</v>
      </c>
      <c r="AE410" s="25" t="n">
        <v>0</v>
      </c>
      <c r="AF410" s="25" t="n">
        <v>0</v>
      </c>
      <c r="AG410" s="25" t="n">
        <v>0</v>
      </c>
      <c r="AH410" s="25" t="n">
        <v>1</v>
      </c>
      <c r="AI410" s="25" t="inlineStr">
        <is>
          <t>C</t>
        </is>
      </c>
      <c r="AJ410" s="25" t="n">
        <v>1</v>
      </c>
      <c r="AK410" s="25" t="n">
        <v>1021.87</v>
      </c>
      <c r="AL410" s="26" t="n">
        <v>45860.62430555555</v>
      </c>
      <c r="AM410" s="26" t="n">
        <v>45860.62430555555</v>
      </c>
      <c r="AN410" s="25" t="inlineStr">
        <is>
          <t>WHATSAPP</t>
        </is>
      </c>
      <c r="AO410" s="25" t="inlineStr">
        <is>
          <t>CADASTRO NOVO REDE FITLAND - INAUGURAÇÃO SERÁ NO DIA 20/08</t>
        </is>
      </c>
      <c r="AP410" s="27">
        <f>IF(AH410="","",IF(AH410=0,"PROSPECT",IF(AH410=1,"NOVO",IF(AH410&lt;=3,"EM DESENVOLVIMENTO",IF(AH410&lt;=6,"RECORRENTE","FIDELIZADO")))))</f>
        <v/>
      </c>
      <c r="AQ410" s="27">
        <f>IF(AJ410=0,0,IFERROR(SUM(U410:AF410)/AJ410,0))</f>
        <v/>
      </c>
      <c r="AS410" s="0" t="inlineStr">
        <is>
          <t>Carteira FEV/26</t>
        </is>
      </c>
    </row>
    <row r="411" ht="14.25" customHeight="1" s="16">
      <c r="A411" s="25" t="inlineStr">
        <is>
          <t>POSTO AVENTADOR</t>
        </is>
      </c>
      <c r="B411" s="25" t="inlineStr">
        <is>
          <t>28998910000124</t>
        </is>
      </c>
      <c r="C411" s="25" t="inlineStr">
        <is>
          <t>AUTO POSTO AVENTADOR LTDA</t>
        </is>
      </c>
      <c r="D411" s="25" t="inlineStr">
        <is>
          <t>PR</t>
        </is>
      </c>
      <c r="E411" s="25" t="inlineStr">
        <is>
          <t>CURITIBA</t>
        </is>
      </c>
      <c r="F411" s="25" t="inlineStr">
        <is>
          <t>aventador@redesalvaro.com.br</t>
        </is>
      </c>
      <c r="G411" s="25" t="inlineStr">
        <is>
          <t>+55 (41) 3538-9003</t>
        </is>
      </c>
      <c r="H411" s="25" t="inlineStr">
        <is>
          <t>02/05/2025</t>
        </is>
      </c>
      <c r="I411" s="25" t="n"/>
      <c r="J411" s="25" t="inlineStr">
        <is>
          <t>JULIO GADRET</t>
        </is>
      </c>
      <c r="K411" s="25" t="inlineStr">
        <is>
          <t>Julio Gadret</t>
        </is>
      </c>
      <c r="L411" s="25" t="n">
        <v>286</v>
      </c>
      <c r="M411" s="25" t="inlineStr">
        <is>
          <t>05/05/2025</t>
        </is>
      </c>
      <c r="N411" s="25" t="n">
        <v>810.36</v>
      </c>
      <c r="O411" s="25" t="n"/>
      <c r="P411" s="25" t="n"/>
      <c r="Q411" s="25" t="n"/>
      <c r="R411" s="25" t="n"/>
      <c r="S411" s="25" t="n"/>
      <c r="T411" s="25" t="n"/>
      <c r="U411" s="25" t="n">
        <v>0</v>
      </c>
      <c r="V411" s="25" t="n">
        <v>0</v>
      </c>
      <c r="W411" s="25" t="n">
        <v>810.36</v>
      </c>
      <c r="X411" s="25" t="n">
        <v>0</v>
      </c>
      <c r="Y411" s="25" t="n">
        <v>0</v>
      </c>
      <c r="Z411" s="25" t="n">
        <v>0</v>
      </c>
      <c r="AA411" s="25" t="n">
        <v>0</v>
      </c>
      <c r="AB411" s="25" t="n">
        <v>0</v>
      </c>
      <c r="AC411" s="25" t="n">
        <v>0</v>
      </c>
      <c r="AD411" s="25" t="n">
        <v>0</v>
      </c>
      <c r="AE411" s="25" t="n">
        <v>0</v>
      </c>
      <c r="AF411" s="25" t="n">
        <v>0</v>
      </c>
      <c r="AG411" s="25" t="n">
        <v>0</v>
      </c>
      <c r="AH411" s="25" t="n">
        <v>1</v>
      </c>
      <c r="AI411" s="25" t="inlineStr">
        <is>
          <t>C</t>
        </is>
      </c>
      <c r="AJ411" s="25" t="n">
        <v>1</v>
      </c>
      <c r="AK411" s="25" t="n">
        <v>810.36</v>
      </c>
      <c r="AL411" s="25" t="n"/>
      <c r="AM411" s="25" t="n"/>
      <c r="AN411" s="25" t="n"/>
      <c r="AO411" s="25" t="n"/>
      <c r="AP411" s="27">
        <f>IF(AH411="","",IF(AH411=0,"PROSPECT",IF(AH411=1,"NOVO",IF(AH411&lt;=3,"EM DESENVOLVIMENTO",IF(AH411&lt;=6,"RECORRENTE","FIDELIZADO")))))</f>
        <v/>
      </c>
      <c r="AQ411" s="27">
        <f>IF(AJ411=0,0,IFERROR(SUM(U411:AF411)/AJ411,0))</f>
        <v/>
      </c>
      <c r="AS411" s="0" t="inlineStr">
        <is>
          <t>Carteira FEV/26</t>
        </is>
      </c>
    </row>
    <row r="412" ht="14.25" customHeight="1" s="16">
      <c r="A412" s="25" t="inlineStr">
        <is>
          <t>POSTO SALVARO CASIL</t>
        </is>
      </c>
      <c r="B412" s="25" t="inlineStr">
        <is>
          <t>28239223000125</t>
        </is>
      </c>
      <c r="C412" s="25" t="inlineStr">
        <is>
          <t>AUTO POSTO CASIL LTDA.</t>
        </is>
      </c>
      <c r="D412" s="25" t="inlineStr">
        <is>
          <t>PR</t>
        </is>
      </c>
      <c r="E412" s="25" t="inlineStr">
        <is>
          <t>SAO JOSE DOS PINHAIS</t>
        </is>
      </c>
      <c r="F412" s="25" t="inlineStr">
        <is>
          <t>casil@redesalvaro.com.br</t>
        </is>
      </c>
      <c r="G412" s="25" t="inlineStr">
        <is>
          <t>+55 (41) 3058-1510</t>
        </is>
      </c>
      <c r="H412" s="25" t="inlineStr">
        <is>
          <t>29/04/2025</t>
        </is>
      </c>
      <c r="I412" s="25" t="n"/>
      <c r="J412" s="25" t="inlineStr">
        <is>
          <t>JULIO GADRET</t>
        </is>
      </c>
      <c r="K412" s="25" t="inlineStr">
        <is>
          <t>Julio Gadret</t>
        </is>
      </c>
      <c r="L412" s="25" t="n">
        <v>286</v>
      </c>
      <c r="M412" s="25" t="inlineStr">
        <is>
          <t>05/05/2025</t>
        </is>
      </c>
      <c r="N412" s="25" t="n">
        <v>810.36</v>
      </c>
      <c r="O412" s="25" t="n"/>
      <c r="P412" s="25" t="n"/>
      <c r="Q412" s="25" t="n"/>
      <c r="R412" s="25" t="n"/>
      <c r="S412" s="25" t="n"/>
      <c r="T412" s="25" t="n"/>
      <c r="U412" s="25" t="n">
        <v>0</v>
      </c>
      <c r="V412" s="25" t="n">
        <v>0</v>
      </c>
      <c r="W412" s="25" t="n">
        <v>810.36</v>
      </c>
      <c r="X412" s="25" t="n">
        <v>0</v>
      </c>
      <c r="Y412" s="25" t="n">
        <v>0</v>
      </c>
      <c r="Z412" s="25" t="n">
        <v>0</v>
      </c>
      <c r="AA412" s="25" t="n">
        <v>0</v>
      </c>
      <c r="AB412" s="25" t="n">
        <v>0</v>
      </c>
      <c r="AC412" s="25" t="n">
        <v>0</v>
      </c>
      <c r="AD412" s="25" t="n">
        <v>0</v>
      </c>
      <c r="AE412" s="25" t="n">
        <v>0</v>
      </c>
      <c r="AF412" s="25" t="n">
        <v>0</v>
      </c>
      <c r="AG412" s="25" t="n">
        <v>0</v>
      </c>
      <c r="AH412" s="25" t="n">
        <v>1</v>
      </c>
      <c r="AI412" s="25" t="inlineStr">
        <is>
          <t>C</t>
        </is>
      </c>
      <c r="AJ412" s="25" t="n">
        <v>1</v>
      </c>
      <c r="AK412" s="25" t="n">
        <v>810.36</v>
      </c>
      <c r="AL412" s="25" t="n"/>
      <c r="AM412" s="25" t="n"/>
      <c r="AN412" s="25" t="n"/>
      <c r="AO412" s="25" t="n"/>
      <c r="AP412" s="27">
        <f>IF(AH412="","",IF(AH412=0,"PROSPECT",IF(AH412=1,"NOVO",IF(AH412&lt;=3,"EM DESENVOLVIMENTO",IF(AH412&lt;=6,"RECORRENTE","FIDELIZADO")))))</f>
        <v/>
      </c>
      <c r="AQ412" s="27">
        <f>IF(AJ412=0,0,IFERROR(SUM(U412:AF412)/AJ412,0))</f>
        <v/>
      </c>
      <c r="AS412" s="0" t="inlineStr">
        <is>
          <t>Carteira FEV/26</t>
        </is>
      </c>
    </row>
    <row r="413" ht="14.25" customHeight="1" s="16">
      <c r="A413" s="25" t="inlineStr">
        <is>
          <t>POSTO SALVARO JLS</t>
        </is>
      </c>
      <c r="B413" s="25" t="inlineStr">
        <is>
          <t>34159229000195</t>
        </is>
      </c>
      <c r="C413" s="25" t="inlineStr">
        <is>
          <t>AUTO POSTO JLS LTDA</t>
        </is>
      </c>
      <c r="D413" s="25" t="inlineStr">
        <is>
          <t>PR</t>
        </is>
      </c>
      <c r="E413" s="25" t="inlineStr">
        <is>
          <t>CURITIBA</t>
        </is>
      </c>
      <c r="F413" s="25" t="inlineStr">
        <is>
          <t>jls@redesalvaro.com.br</t>
        </is>
      </c>
      <c r="G413" s="25" t="inlineStr">
        <is>
          <t>+55 (41) 3156-2009</t>
        </is>
      </c>
      <c r="H413" s="25" t="inlineStr">
        <is>
          <t>29/04/2025</t>
        </is>
      </c>
      <c r="I413" s="25" t="n"/>
      <c r="J413" s="25" t="inlineStr">
        <is>
          <t>JULIO GADRET</t>
        </is>
      </c>
      <c r="K413" s="25" t="inlineStr">
        <is>
          <t>Julio Gadret</t>
        </is>
      </c>
      <c r="L413" s="25" t="n">
        <v>286</v>
      </c>
      <c r="M413" s="25" t="inlineStr">
        <is>
          <t>05/05/2025</t>
        </is>
      </c>
      <c r="N413" s="25" t="n">
        <v>810.36</v>
      </c>
      <c r="O413" s="25" t="n"/>
      <c r="P413" s="25" t="n"/>
      <c r="Q413" s="25" t="n"/>
      <c r="R413" s="25" t="n"/>
      <c r="S413" s="25" t="n"/>
      <c r="T413" s="25" t="n"/>
      <c r="U413" s="25" t="n">
        <v>0</v>
      </c>
      <c r="V413" s="25" t="n">
        <v>0</v>
      </c>
      <c r="W413" s="25" t="n">
        <v>810.36</v>
      </c>
      <c r="X413" s="25" t="n">
        <v>0</v>
      </c>
      <c r="Y413" s="25" t="n">
        <v>0</v>
      </c>
      <c r="Z413" s="25" t="n">
        <v>0</v>
      </c>
      <c r="AA413" s="25" t="n">
        <v>0</v>
      </c>
      <c r="AB413" s="25" t="n">
        <v>0</v>
      </c>
      <c r="AC413" s="25" t="n">
        <v>0</v>
      </c>
      <c r="AD413" s="25" t="n">
        <v>0</v>
      </c>
      <c r="AE413" s="25" t="n">
        <v>0</v>
      </c>
      <c r="AF413" s="25" t="n">
        <v>0</v>
      </c>
      <c r="AG413" s="25" t="n">
        <v>0</v>
      </c>
      <c r="AH413" s="25" t="n">
        <v>1</v>
      </c>
      <c r="AI413" s="25" t="inlineStr">
        <is>
          <t>C</t>
        </is>
      </c>
      <c r="AJ413" s="25" t="n">
        <v>1</v>
      </c>
      <c r="AK413" s="25" t="n">
        <v>810.36</v>
      </c>
      <c r="AL413" s="25" t="n"/>
      <c r="AM413" s="25" t="n"/>
      <c r="AN413" s="25" t="n"/>
      <c r="AO413" s="25" t="n"/>
      <c r="AP413" s="27">
        <f>IF(AH413="","",IF(AH413=0,"PROSPECT",IF(AH413=1,"NOVO",IF(AH413&lt;=3,"EM DESENVOLVIMENTO",IF(AH413&lt;=6,"RECORRENTE","FIDELIZADO")))))</f>
        <v/>
      </c>
      <c r="AQ413" s="27">
        <f>IF(AJ413=0,0,IFERROR(SUM(U413:AF413)/AJ413,0))</f>
        <v/>
      </c>
      <c r="AS413" s="0" t="inlineStr">
        <is>
          <t>Carteira FEV/26</t>
        </is>
      </c>
    </row>
    <row r="414" ht="14.25" customHeight="1" s="16">
      <c r="A414" s="25" t="inlineStr">
        <is>
          <t>POWER SUPLEMENTOS</t>
        </is>
      </c>
      <c r="B414" s="25" t="inlineStr">
        <is>
          <t>48606158000136</t>
        </is>
      </c>
      <c r="C414" s="25" t="inlineStr">
        <is>
          <t>SS COMERCIO DE SUPLEMENTOS LTDA</t>
        </is>
      </c>
      <c r="D414" s="25" t="inlineStr">
        <is>
          <t>PA</t>
        </is>
      </c>
      <c r="E414" s="25" t="inlineStr">
        <is>
          <t>ALTAMIRA</t>
        </is>
      </c>
      <c r="F414" s="25" t="inlineStr">
        <is>
          <t>powersuplementosatm@gmail.com</t>
        </is>
      </c>
      <c r="G414" s="25" t="inlineStr">
        <is>
          <t>+55 (91) 99163-7070</t>
        </is>
      </c>
      <c r="H414" s="25" t="inlineStr">
        <is>
          <t>21/08/2025</t>
        </is>
      </c>
      <c r="I414" s="25" t="n"/>
      <c r="J414" s="25" t="inlineStr">
        <is>
          <t>MANU DITZEL</t>
        </is>
      </c>
      <c r="K414" s="25" t="inlineStr">
        <is>
          <t>Manu Ditzel</t>
        </is>
      </c>
      <c r="L414" s="25" t="n">
        <v>173</v>
      </c>
      <c r="M414" s="25" t="inlineStr">
        <is>
          <t>26/08/2025</t>
        </is>
      </c>
      <c r="N414" s="25" t="n">
        <v>1160.85</v>
      </c>
      <c r="O414" s="25" t="n">
        <v>2</v>
      </c>
      <c r="P414" s="25" t="inlineStr">
        <is>
          <t>Sim</t>
        </is>
      </c>
      <c r="Q414" s="25" t="n">
        <v>62</v>
      </c>
      <c r="R414" s="25" t="n">
        <v>33</v>
      </c>
      <c r="S414" s="25" t="n">
        <v>1160.85</v>
      </c>
      <c r="T414" s="25" t="inlineStr">
        <is>
          <t>COMPRA B2B</t>
        </is>
      </c>
      <c r="U414" s="25" t="n">
        <v>0</v>
      </c>
      <c r="V414" s="25" t="n">
        <v>0</v>
      </c>
      <c r="W414" s="25" t="n">
        <v>0</v>
      </c>
      <c r="X414" s="25" t="n">
        <v>0</v>
      </c>
      <c r="Y414" s="25" t="n">
        <v>0</v>
      </c>
      <c r="Z414" s="25" t="n">
        <v>1160.85</v>
      </c>
      <c r="AA414" s="25" t="n">
        <v>0</v>
      </c>
      <c r="AB414" s="25" t="n">
        <v>0</v>
      </c>
      <c r="AC414" s="25" t="n">
        <v>0</v>
      </c>
      <c r="AD414" s="25" t="n">
        <v>0</v>
      </c>
      <c r="AE414" s="25" t="n">
        <v>0</v>
      </c>
      <c r="AF414" s="25" t="n">
        <v>0</v>
      </c>
      <c r="AG414" s="25" t="n">
        <v>0</v>
      </c>
      <c r="AH414" s="25" t="n">
        <v>1</v>
      </c>
      <c r="AI414" s="25" t="inlineStr">
        <is>
          <t>B</t>
        </is>
      </c>
      <c r="AJ414" s="25" t="n">
        <v>1</v>
      </c>
      <c r="AK414" s="25" t="n">
        <v>1160.85</v>
      </c>
      <c r="AL414" s="26" t="n">
        <v>46065.59305555555</v>
      </c>
      <c r="AM414" s="26" t="n">
        <v>46065.59305555555</v>
      </c>
      <c r="AN414" s="25" t="inlineStr">
        <is>
          <t>WHATSAPP</t>
        </is>
      </c>
      <c r="AO414" s="25" t="inlineStr">
        <is>
          <t>NUTRIÇÃO | Envio da campanha do mês</t>
        </is>
      </c>
      <c r="AP414" s="27">
        <f>IF(AH414="","",IF(AH414=0,"PROSPECT",IF(AH414=1,"NOVO",IF(AH414&lt;=3,"EM DESENVOLVIMENTO",IF(AH414&lt;=6,"RECORRENTE","FIDELIZADO")))))</f>
        <v/>
      </c>
      <c r="AQ414" s="27">
        <f>IF(AJ414=0,0,IFERROR(SUM(U414:AF414)/AJ414,0))</f>
        <v/>
      </c>
      <c r="AS414" s="0" t="inlineStr">
        <is>
          <t>Carteira FEV/26 + Atend FEV/26</t>
        </is>
      </c>
    </row>
    <row r="415" ht="14.25" customHeight="1" s="16">
      <c r="A415" s="25" t="inlineStr">
        <is>
          <t>POWERFIT NUTRITION</t>
        </is>
      </c>
      <c r="B415" s="25" t="inlineStr">
        <is>
          <t>59458633000190</t>
        </is>
      </c>
      <c r="C415" s="25" t="inlineStr">
        <is>
          <t>DSC POWERFIT LTDA</t>
        </is>
      </c>
      <c r="D415" s="25" t="inlineStr">
        <is>
          <t>MG</t>
        </is>
      </c>
      <c r="E415" s="25" t="inlineStr">
        <is>
          <t>PEDRO LEOPOLDO</t>
        </is>
      </c>
      <c r="F415" s="25" t="inlineStr">
        <is>
          <t>cinthiafitland@gmail.com</t>
        </is>
      </c>
      <c r="G415" s="25" t="inlineStr">
        <is>
          <t>+55 (31) 9390-9540</t>
        </is>
      </c>
      <c r="H415" s="25" t="inlineStr">
        <is>
          <t>23/06/2025</t>
        </is>
      </c>
      <c r="I415" s="25" t="inlineStr">
        <is>
          <t>FIT LAND</t>
        </is>
      </c>
      <c r="J415" s="25" t="inlineStr">
        <is>
          <t>JULIO GADRET</t>
        </is>
      </c>
      <c r="K415" s="25" t="inlineStr">
        <is>
          <t>Julio  Gadret</t>
        </is>
      </c>
      <c r="L415" s="25" t="n">
        <v>96</v>
      </c>
      <c r="M415" s="25" t="inlineStr">
        <is>
          <t>11/11/2025</t>
        </is>
      </c>
      <c r="N415" s="25" t="n">
        <v>1551.4</v>
      </c>
      <c r="O415" s="25" t="n">
        <v>1</v>
      </c>
      <c r="P415" s="25" t="inlineStr">
        <is>
          <t>Sim</t>
        </is>
      </c>
      <c r="Q415" s="25" t="n">
        <v>10</v>
      </c>
      <c r="R415" s="25" t="n">
        <v>6</v>
      </c>
      <c r="S415" s="25" t="n">
        <v>1551.4</v>
      </c>
      <c r="T415" s="25" t="inlineStr">
        <is>
          <t>COMPRA B2B</t>
        </is>
      </c>
      <c r="U415" s="25" t="n">
        <v>0</v>
      </c>
      <c r="V415" s="25" t="n">
        <v>0</v>
      </c>
      <c r="W415" s="25" t="n">
        <v>0</v>
      </c>
      <c r="X415" s="25" t="n">
        <v>0</v>
      </c>
      <c r="Y415" s="25" t="n">
        <v>0</v>
      </c>
      <c r="Z415" s="25" t="n">
        <v>0</v>
      </c>
      <c r="AA415" s="25" t="n">
        <v>0</v>
      </c>
      <c r="AB415" s="25" t="n">
        <v>0</v>
      </c>
      <c r="AC415" s="25" t="n">
        <v>1551.4</v>
      </c>
      <c r="AD415" s="25" t="n">
        <v>0</v>
      </c>
      <c r="AE415" s="25" t="n">
        <v>0</v>
      </c>
      <c r="AF415" s="25" t="n">
        <v>0</v>
      </c>
      <c r="AG415" s="25" t="n">
        <v>0</v>
      </c>
      <c r="AH415" s="25" t="n">
        <v>0</v>
      </c>
      <c r="AI415" s="25" t="inlineStr">
        <is>
          <t>B</t>
        </is>
      </c>
      <c r="AJ415" s="25" t="n">
        <v>1</v>
      </c>
      <c r="AK415" s="25" t="n">
        <v>0</v>
      </c>
      <c r="AL415" s="26" t="n">
        <v>45831.62777777778</v>
      </c>
      <c r="AM415" s="26" t="n">
        <v>45831.62777777778</v>
      </c>
      <c r="AN415" s="25" t="inlineStr">
        <is>
          <t>OUTROS</t>
        </is>
      </c>
      <c r="AO415" s="25" t="inlineStr">
        <is>
          <t>Cinthia disse que não tem espaço para novos produtos</t>
        </is>
      </c>
      <c r="AP415" s="27">
        <f>IF(AH415="","",IF(AH415=0,"PROSPECT",IF(AH415=1,"NOVO",IF(AH415&lt;=3,"EM DESENVOLVIMENTO",IF(AH415&lt;=6,"RECORRENTE","FIDELIZADO")))))</f>
        <v/>
      </c>
      <c r="AQ415" s="27">
        <f>IF(AJ415=0,0,IFERROR(SUM(U415:AF415)/AJ415,0))</f>
        <v/>
      </c>
      <c r="AS415" s="0" t="inlineStr">
        <is>
          <t>Carteira FEV/26</t>
        </is>
      </c>
    </row>
    <row r="416" ht="14.25" customHeight="1" s="16">
      <c r="A416" s="25" t="inlineStr">
        <is>
          <t>PRATINHO CRIATIVO</t>
        </is>
      </c>
      <c r="B416" s="25" t="inlineStr">
        <is>
          <t>43497241000109</t>
        </is>
      </c>
      <c r="C416" s="25" t="inlineStr">
        <is>
          <t>B. P. SOARES - PRATINHO CRIATIVO COMERCIO LTDA</t>
        </is>
      </c>
      <c r="D416" s="25" t="inlineStr">
        <is>
          <t>CE</t>
        </is>
      </c>
      <c r="E416" s="25" t="inlineStr">
        <is>
          <t>JUAZEIRO DO NORTE</t>
        </is>
      </c>
      <c r="F416" s="25" t="inlineStr">
        <is>
          <t>pratinhocriativo@gmail.com</t>
        </is>
      </c>
      <c r="G416" s="25" t="inlineStr">
        <is>
          <t>+55 (88) 99948-1020</t>
        </is>
      </c>
      <c r="H416" s="25" t="inlineStr">
        <is>
          <t>18/03/2025</t>
        </is>
      </c>
      <c r="I416" s="25" t="n"/>
      <c r="J416" s="25" t="inlineStr">
        <is>
          <t>DAIANE STAVICKI</t>
        </is>
      </c>
      <c r="K416" s="25" t="inlineStr">
        <is>
          <t>Central - Daiane</t>
        </is>
      </c>
      <c r="L416" s="25" t="n">
        <v>332</v>
      </c>
      <c r="M416" s="25" t="inlineStr">
        <is>
          <t>20/03/2025</t>
        </is>
      </c>
      <c r="N416" s="25" t="n">
        <v>1662.66</v>
      </c>
      <c r="O416" s="25" t="n">
        <v>4</v>
      </c>
      <c r="P416" s="25" t="inlineStr">
        <is>
          <t>Sim</t>
        </is>
      </c>
      <c r="Q416" s="25" t="n">
        <v>51</v>
      </c>
      <c r="R416" s="25" t="n">
        <v>31</v>
      </c>
      <c r="S416" s="25" t="n"/>
      <c r="T416" s="25" t="n"/>
      <c r="U416" s="25" t="n">
        <v>1662.66</v>
      </c>
      <c r="V416" s="25" t="n">
        <v>0</v>
      </c>
      <c r="W416" s="25" t="n">
        <v>0</v>
      </c>
      <c r="X416" s="25" t="n">
        <v>0</v>
      </c>
      <c r="Y416" s="25" t="n">
        <v>0</v>
      </c>
      <c r="Z416" s="25" t="n">
        <v>0</v>
      </c>
      <c r="AA416" s="25" t="n">
        <v>0</v>
      </c>
      <c r="AB416" s="25" t="n">
        <v>0</v>
      </c>
      <c r="AC416" s="25" t="n">
        <v>0</v>
      </c>
      <c r="AD416" s="25" t="n">
        <v>0</v>
      </c>
      <c r="AE416" s="25" t="n">
        <v>0</v>
      </c>
      <c r="AF416" s="25" t="n">
        <v>0</v>
      </c>
      <c r="AG416" s="25" t="n">
        <v>0</v>
      </c>
      <c r="AH416" s="25" t="n">
        <v>1</v>
      </c>
      <c r="AI416" s="25" t="inlineStr">
        <is>
          <t>B</t>
        </is>
      </c>
      <c r="AJ416" s="25" t="n">
        <v>2</v>
      </c>
      <c r="AK416" s="25" t="n">
        <v>3325.32</v>
      </c>
      <c r="AL416" s="26" t="n">
        <v>46065.60277777778</v>
      </c>
      <c r="AM416" s="26" t="n">
        <v>46065.60277777778</v>
      </c>
      <c r="AN416" s="25" t="inlineStr">
        <is>
          <t>WHATSAPP</t>
        </is>
      </c>
      <c r="AO416" s="25" t="inlineStr">
        <is>
          <t>NUTRIÇÃO | Envio da campanha do mês</t>
        </is>
      </c>
      <c r="AP416" s="27">
        <f>IF(AH416="","",IF(AH416=0,"PROSPECT",IF(AH416=1,"NOVO",IF(AH416&lt;=3,"EM DESENVOLVIMENTO",IF(AH416&lt;=6,"RECORRENTE","FIDELIZADO")))))</f>
        <v/>
      </c>
      <c r="AQ416" s="27">
        <f>IF(AJ416=0,0,IFERROR(SUM(U416:AF416)/AJ416,0))</f>
        <v/>
      </c>
      <c r="AS416" s="0" t="inlineStr">
        <is>
          <t>Carteira FEV/26 + Atend FEV/26</t>
        </is>
      </c>
    </row>
    <row r="417" ht="14.25" customHeight="1" s="16">
      <c r="A417" s="25" t="inlineStr">
        <is>
          <t>PRO FIT SUPLEMENTOS</t>
        </is>
      </c>
      <c r="B417" s="25" t="inlineStr">
        <is>
          <t>57701048000144</t>
        </is>
      </c>
      <c r="C417" s="25" t="inlineStr">
        <is>
          <t>PRO FIT SUPLEMENTOS LTDA</t>
        </is>
      </c>
      <c r="D417" s="25" t="inlineStr">
        <is>
          <t>SC</t>
        </is>
      </c>
      <c r="E417" s="25" t="inlineStr">
        <is>
          <t>BARRA VELHA</t>
        </is>
      </c>
      <c r="F417" s="25" t="inlineStr">
        <is>
          <t>fitlandbarravelhasaocristovao@gmail.com</t>
        </is>
      </c>
      <c r="G417" s="25" t="inlineStr">
        <is>
          <t>+55 (47) 9164-0830</t>
        </is>
      </c>
      <c r="H417" s="25" t="inlineStr">
        <is>
          <t>27/06/2025</t>
        </is>
      </c>
      <c r="I417" s="25" t="inlineStr">
        <is>
          <t>[Rede] Fit Land</t>
        </is>
      </c>
      <c r="J417" s="25" t="inlineStr">
        <is>
          <t>DAIANE STAVICKI</t>
        </is>
      </c>
      <c r="K417" s="25" t="inlineStr">
        <is>
          <t>Central - Daiane</t>
        </is>
      </c>
      <c r="L417" s="25" t="n">
        <v>145</v>
      </c>
      <c r="M417" s="25" t="inlineStr">
        <is>
          <t>23/09/2025</t>
        </is>
      </c>
      <c r="N417" s="25" t="n">
        <v>1393.62</v>
      </c>
      <c r="O417" s="25" t="n">
        <v>2</v>
      </c>
      <c r="P417" s="25" t="inlineStr">
        <is>
          <t>Sim</t>
        </is>
      </c>
      <c r="Q417" s="25" t="n">
        <v>2</v>
      </c>
      <c r="R417" s="25" t="n"/>
      <c r="S417" s="25" t="n"/>
      <c r="T417" s="25" t="n"/>
      <c r="U417" s="25" t="n">
        <v>0</v>
      </c>
      <c r="V417" s="25" t="n">
        <v>0</v>
      </c>
      <c r="W417" s="25" t="n">
        <v>0</v>
      </c>
      <c r="X417" s="25" t="n">
        <v>1216.97</v>
      </c>
      <c r="Y417" s="25" t="n">
        <v>0</v>
      </c>
      <c r="Z417" s="25" t="n">
        <v>0</v>
      </c>
      <c r="AA417" s="25" t="n">
        <v>1393.62</v>
      </c>
      <c r="AB417" s="25" t="n">
        <v>0</v>
      </c>
      <c r="AC417" s="25" t="n">
        <v>0</v>
      </c>
      <c r="AD417" s="25" t="n">
        <v>0</v>
      </c>
      <c r="AE417" s="25" t="n">
        <v>0</v>
      </c>
      <c r="AF417" s="25" t="n">
        <v>0</v>
      </c>
      <c r="AG417" s="25" t="n">
        <v>88</v>
      </c>
      <c r="AH417" s="25" t="n">
        <v>2</v>
      </c>
      <c r="AI417" s="25" t="inlineStr">
        <is>
          <t>A</t>
        </is>
      </c>
      <c r="AJ417" s="25" t="n">
        <v>2</v>
      </c>
      <c r="AK417" s="25" t="n">
        <v>1305.3</v>
      </c>
      <c r="AL417" s="26" t="n">
        <v>45898.48263888889</v>
      </c>
      <c r="AM417" s="26" t="n">
        <v>45898.48263888889</v>
      </c>
      <c r="AN417" s="25" t="inlineStr">
        <is>
          <t>WHATSAPP</t>
        </is>
      </c>
      <c r="AO417" s="25" t="inlineStr">
        <is>
          <t>NUTRIÇÃO | Mensagem de aproximação</t>
        </is>
      </c>
      <c r="AP417" s="27">
        <f>IF(AH417="","",IF(AH417=0,"PROSPECT",IF(AH417=1,"NOVO",IF(AH417&lt;=3,"EM DESENVOLVIMENTO",IF(AH417&lt;=6,"RECORRENTE","FIDELIZADO")))))</f>
        <v/>
      </c>
      <c r="AQ417" s="27">
        <f>IF(AJ417=0,0,IFERROR(SUM(U417:AF417)/AJ417,0))</f>
        <v/>
      </c>
      <c r="AS417" s="0" t="inlineStr">
        <is>
          <t>Carteira FEV/26</t>
        </is>
      </c>
    </row>
    <row r="418" ht="14.25" customHeight="1" s="16">
      <c r="A418" s="25" t="inlineStr">
        <is>
          <t>PRODUTOS DA TERRA</t>
        </is>
      </c>
      <c r="B418" s="25" t="inlineStr">
        <is>
          <t>13975801000114</t>
        </is>
      </c>
      <c r="C418" s="25" t="inlineStr">
        <is>
          <t>TERRA DIVINA COMERCIO DE ALIMENTOS EIRELI</t>
        </is>
      </c>
      <c r="D418" s="25" t="inlineStr">
        <is>
          <t>RS</t>
        </is>
      </c>
      <c r="E418" s="25" t="inlineStr">
        <is>
          <t>SAO LEOPOLDO</t>
        </is>
      </c>
      <c r="F418" s="25" t="inlineStr">
        <is>
          <t>franquiasl@lojadivinaterra.com.br</t>
        </is>
      </c>
      <c r="G418" s="25" t="inlineStr">
        <is>
          <t>51303747115196</t>
        </is>
      </c>
      <c r="H418" s="25" t="inlineStr">
        <is>
          <t>08/10/2024</t>
        </is>
      </c>
      <c r="I418" s="25" t="inlineStr">
        <is>
          <t>[Rede] Divina Terra</t>
        </is>
      </c>
      <c r="J418" s="25" t="inlineStr">
        <is>
          <t>DAIANE STAVICKI</t>
        </is>
      </c>
      <c r="K418" s="25" t="inlineStr">
        <is>
          <t>Central - Daiane</t>
        </is>
      </c>
      <c r="L418" s="25" t="n">
        <v>2</v>
      </c>
      <c r="M418" s="25" t="inlineStr">
        <is>
          <t>13/02/2026</t>
        </is>
      </c>
      <c r="N418" s="25" t="n">
        <v>452.27</v>
      </c>
      <c r="O418" s="25" t="n">
        <v>1</v>
      </c>
      <c r="P418" s="25" t="inlineStr">
        <is>
          <t>Sim</t>
        </is>
      </c>
      <c r="Q418" s="25" t="n">
        <v>66</v>
      </c>
      <c r="R418" s="25" t="n">
        <v>26</v>
      </c>
      <c r="S418" s="25" t="n">
        <v>2933.8</v>
      </c>
      <c r="T418" s="25" t="inlineStr">
        <is>
          <t>COMPRA B2B</t>
        </is>
      </c>
      <c r="U418" s="25" t="n">
        <v>0</v>
      </c>
      <c r="V418" s="25" t="n">
        <v>0</v>
      </c>
      <c r="W418" s="25" t="n">
        <v>0</v>
      </c>
      <c r="X418" s="25" t="n">
        <v>0</v>
      </c>
      <c r="Y418" s="25" t="n">
        <v>0</v>
      </c>
      <c r="Z418" s="25" t="n">
        <v>0</v>
      </c>
      <c r="AA418" s="25" t="n">
        <v>961.38</v>
      </c>
      <c r="AB418" s="25" t="n">
        <v>0</v>
      </c>
      <c r="AC418" s="25" t="n">
        <v>2481.53</v>
      </c>
      <c r="AD418" s="25" t="n">
        <v>0</v>
      </c>
      <c r="AE418" s="25" t="n">
        <v>0</v>
      </c>
      <c r="AF418" s="25" t="n">
        <v>452.27</v>
      </c>
      <c r="AG418" s="25" t="n">
        <v>77</v>
      </c>
      <c r="AH418" s="25" t="n">
        <v>2</v>
      </c>
      <c r="AI418" s="25" t="inlineStr">
        <is>
          <t>C</t>
        </is>
      </c>
      <c r="AJ418" s="25" t="n">
        <v>3</v>
      </c>
      <c r="AK418" s="25" t="n">
        <v>1947.59</v>
      </c>
      <c r="AL418" s="26" t="n">
        <v>45909.75416666667</v>
      </c>
      <c r="AM418" s="26" t="n">
        <v>45909.75416666667</v>
      </c>
      <c r="AN418" s="25" t="inlineStr">
        <is>
          <t>LIGAÇÃO</t>
        </is>
      </c>
      <c r="AO418" s="28" t="inlineStr">
        <is>
          <t>Link: https://vitaomais.meuspedidos.com.br/ E-mail: franquiasl@lojadivinaterra.com.br Senha: 688778 CARLA TEM EVENTO DO DIA DA MULHER VÃO ENVIAR</t>
        </is>
      </c>
      <c r="AP418" s="27">
        <f>IF(AH418="","",IF(AH418=0,"PROSPECT",IF(AH418=1,"NOVO",IF(AH418&lt;=3,"EM DESENVOLVIMENTO",IF(AH418&lt;=6,"RECORRENTE","FIDELIZADO")))))</f>
        <v/>
      </c>
      <c r="AQ418" s="27">
        <f>IF(AJ418=0,0,IFERROR(SUM(U418:AF418)/AJ418,0))</f>
        <v/>
      </c>
      <c r="AS418" s="0" t="inlineStr">
        <is>
          <t>Carteira FEV/26 + Ecom FEV/26 + Vendas FEV/26 + ABC FEV/26</t>
        </is>
      </c>
    </row>
    <row r="419" ht="14.25" customHeight="1" s="16">
      <c r="A419" s="25" t="inlineStr">
        <is>
          <t>PROSAUDE</t>
        </is>
      </c>
      <c r="B419" s="25" t="inlineStr">
        <is>
          <t>21437528000100</t>
        </is>
      </c>
      <c r="C419" s="25" t="inlineStr">
        <is>
          <t>PIOVESAN COMERCIO DE PRODUTOS NATURAIS LTDA</t>
        </is>
      </c>
      <c r="D419" s="25" t="inlineStr">
        <is>
          <t>RS</t>
        </is>
      </c>
      <c r="E419" s="25" t="inlineStr">
        <is>
          <t>FREDERICO WESTPHALEN</t>
        </is>
      </c>
      <c r="F419" s="25" t="inlineStr">
        <is>
          <t>prosaudelojafw@gmail.com</t>
        </is>
      </c>
      <c r="G419" s="25" t="inlineStr">
        <is>
          <t>+55 (55) 9684-7393</t>
        </is>
      </c>
      <c r="H419" s="25" t="inlineStr">
        <is>
          <t>08/10/2024</t>
        </is>
      </c>
      <c r="I419" s="25" t="inlineStr">
        <is>
          <t>[Rede] Pro Saúde</t>
        </is>
      </c>
      <c r="J419" s="25" t="inlineStr">
        <is>
          <t>LARISSA PADILHA</t>
        </is>
      </c>
      <c r="K419" s="25" t="inlineStr">
        <is>
          <t>Larissa Padilha</t>
        </is>
      </c>
      <c r="L419" s="25" t="n">
        <v>177</v>
      </c>
      <c r="M419" s="25" t="inlineStr">
        <is>
          <t>22/08/2025</t>
        </is>
      </c>
      <c r="N419" s="25" t="n">
        <v>1233.66</v>
      </c>
      <c r="O419" s="25" t="n">
        <v>3</v>
      </c>
      <c r="P419" s="25" t="inlineStr">
        <is>
          <t>Sim</t>
        </is>
      </c>
      <c r="Q419" s="25" t="n">
        <v>33</v>
      </c>
      <c r="R419" s="25" t="n"/>
      <c r="S419" s="25" t="n"/>
      <c r="T419" s="25" t="n"/>
      <c r="U419" s="25" t="n">
        <v>0</v>
      </c>
      <c r="V419" s="25" t="n">
        <v>0</v>
      </c>
      <c r="W419" s="25" t="n">
        <v>0</v>
      </c>
      <c r="X419" s="25" t="n">
        <v>0</v>
      </c>
      <c r="Y419" s="25" t="n">
        <v>0</v>
      </c>
      <c r="Z419" s="25" t="n">
        <v>1233.66</v>
      </c>
      <c r="AA419" s="25" t="n">
        <v>0</v>
      </c>
      <c r="AB419" s="25" t="n">
        <v>0</v>
      </c>
      <c r="AC419" s="25" t="n">
        <v>0</v>
      </c>
      <c r="AD419" s="25" t="n">
        <v>0</v>
      </c>
      <c r="AE419" s="25" t="n">
        <v>0</v>
      </c>
      <c r="AF419" s="25" t="n">
        <v>0</v>
      </c>
      <c r="AG419" s="25" t="n">
        <v>0</v>
      </c>
      <c r="AH419" s="25" t="n">
        <v>1</v>
      </c>
      <c r="AI419" s="25" t="inlineStr">
        <is>
          <t>B</t>
        </is>
      </c>
      <c r="AJ419" s="25" t="n">
        <v>1</v>
      </c>
      <c r="AK419" s="25" t="n">
        <v>1233.66</v>
      </c>
      <c r="AL419" s="26" t="n">
        <v>46042.38825231481</v>
      </c>
      <c r="AM419" s="26" t="n">
        <v>46042.38825231481</v>
      </c>
      <c r="AN419" s="25" t="inlineStr">
        <is>
          <t>WHATSAPP</t>
        </is>
      </c>
      <c r="AO419" s="25" t="inlineStr">
        <is>
          <t>PRO SAÚDE - RS - TAISA</t>
        </is>
      </c>
      <c r="AP419" s="27">
        <f>IF(AH419="","",IF(AH419=0,"PROSPECT",IF(AH419=1,"NOVO",IF(AH419&lt;=3,"EM DESENVOLVIMENTO",IF(AH419&lt;=6,"RECORRENTE","FIDELIZADO")))))</f>
        <v/>
      </c>
      <c r="AQ419" s="27">
        <f>IF(AJ419=0,0,IFERROR(SUM(U419:AF419)/AJ419,0))</f>
        <v/>
      </c>
      <c r="AS419" s="0" t="inlineStr">
        <is>
          <t>Carteira FEV/26</t>
        </is>
      </c>
    </row>
    <row r="420" ht="14.25" customHeight="1" s="16">
      <c r="A420" s="25" t="inlineStr">
        <is>
          <t>PROSAUDE - NOVO PROGRESSO</t>
        </is>
      </c>
      <c r="B420" s="25" t="inlineStr">
        <is>
          <t>22081589000132</t>
        </is>
      </c>
      <c r="C420" s="25" t="inlineStr">
        <is>
          <t>SOUZA &amp; FERREIRA COMERCIO DE PRODUTOS NATURAIS LTDA</t>
        </is>
      </c>
      <c r="D420" s="25" t="inlineStr">
        <is>
          <t>PA</t>
        </is>
      </c>
      <c r="E420" s="25" t="inlineStr">
        <is>
          <t>NOVO PROGRESSO</t>
        </is>
      </c>
      <c r="F420" s="25" t="inlineStr">
        <is>
          <t>prosaudenovoprogresso@hotmail.com</t>
        </is>
      </c>
      <c r="G420" s="25" t="inlineStr">
        <is>
          <t>+55 (93) 8117-0535</t>
        </is>
      </c>
      <c r="H420" s="25" t="inlineStr">
        <is>
          <t>08/10/2024</t>
        </is>
      </c>
      <c r="I420" s="25" t="n"/>
      <c r="J420" s="25" t="inlineStr">
        <is>
          <t>LARISSA PADILHA</t>
        </is>
      </c>
      <c r="K420" s="25" t="inlineStr">
        <is>
          <t>Larissa Padilha</t>
        </is>
      </c>
      <c r="L420" s="25" t="n">
        <v>167</v>
      </c>
      <c r="M420" s="25" t="inlineStr">
        <is>
          <t>01/09/2025</t>
        </is>
      </c>
      <c r="N420" s="25" t="n">
        <v>858.48</v>
      </c>
      <c r="O420" s="25" t="n">
        <v>1</v>
      </c>
      <c r="P420" s="25" t="inlineStr">
        <is>
          <t>Sim</t>
        </is>
      </c>
      <c r="Q420" s="25" t="n">
        <v>15</v>
      </c>
      <c r="R420" s="25" t="n">
        <v>9</v>
      </c>
      <c r="S420" s="25" t="n">
        <v>858.48</v>
      </c>
      <c r="T420" s="25" t="inlineStr">
        <is>
          <t>COMPRA B2B</t>
        </is>
      </c>
      <c r="U420" s="25" t="n">
        <v>0</v>
      </c>
      <c r="V420" s="25" t="n">
        <v>965.17</v>
      </c>
      <c r="W420" s="25" t="n">
        <v>0</v>
      </c>
      <c r="X420" s="25" t="n">
        <v>0</v>
      </c>
      <c r="Y420" s="25" t="n">
        <v>0</v>
      </c>
      <c r="Z420" s="25" t="n">
        <v>858.48</v>
      </c>
      <c r="AA420" s="25" t="n">
        <v>858.48</v>
      </c>
      <c r="AB420" s="25" t="n">
        <v>0</v>
      </c>
      <c r="AC420" s="25" t="n">
        <v>0</v>
      </c>
      <c r="AD420" s="25" t="n">
        <v>0</v>
      </c>
      <c r="AE420" s="25" t="n">
        <v>0</v>
      </c>
      <c r="AF420" s="25" t="n">
        <v>0</v>
      </c>
      <c r="AG420" s="25" t="n">
        <v>153</v>
      </c>
      <c r="AH420" s="25" t="n">
        <v>2</v>
      </c>
      <c r="AI420" s="25" t="inlineStr">
        <is>
          <t>B</t>
        </is>
      </c>
      <c r="AJ420" s="25" t="n">
        <v>3</v>
      </c>
      <c r="AK420" s="25" t="n">
        <v>1341.07</v>
      </c>
      <c r="AL420" s="26" t="n">
        <v>46038.44190972222</v>
      </c>
      <c r="AM420" s="26" t="n">
        <v>46038.44190972222</v>
      </c>
      <c r="AN420" s="25" t="inlineStr">
        <is>
          <t>WHATSAPP</t>
        </is>
      </c>
      <c r="AO420" s="25" t="inlineStr">
        <is>
          <t>Ana Ferreira</t>
        </is>
      </c>
      <c r="AP420" s="27">
        <f>IF(AH420="","",IF(AH420=0,"PROSPECT",IF(AH420=1,"NOVO",IF(AH420&lt;=3,"EM DESENVOLVIMENTO",IF(AH420&lt;=6,"RECORRENTE","FIDELIZADO")))))</f>
        <v/>
      </c>
      <c r="AQ420" s="27">
        <f>IF(AJ420=0,0,IFERROR(SUM(U420:AF420)/AJ420,0))</f>
        <v/>
      </c>
      <c r="AS420" s="0" t="inlineStr">
        <is>
          <t>Carteira FEV/26</t>
        </is>
      </c>
    </row>
    <row r="421" ht="14.25" customHeight="1" s="16">
      <c r="A421" s="25" t="inlineStr">
        <is>
          <t>QUINOA NATURAL</t>
        </is>
      </c>
      <c r="B421" s="25" t="inlineStr">
        <is>
          <t>24778921000148</t>
        </is>
      </c>
      <c r="C421" s="25" t="inlineStr">
        <is>
          <t>QUINOA NATURAL ALIMENTOS E SAUDAVEIS LTDA</t>
        </is>
      </c>
      <c r="D421" s="25" t="inlineStr">
        <is>
          <t>SP</t>
        </is>
      </c>
      <c r="E421" s="25" t="inlineStr">
        <is>
          <t>AMERICANA</t>
        </is>
      </c>
      <c r="F421" s="25" t="inlineStr">
        <is>
          <t>xmlamericana@quinoanatural.com.br</t>
        </is>
      </c>
      <c r="G421" s="25" t="inlineStr">
        <is>
          <t>+55 (19) 99100-3669</t>
        </is>
      </c>
      <c r="H421" s="25" t="inlineStr">
        <is>
          <t>08/10/2024</t>
        </is>
      </c>
      <c r="I421" s="25" t="n"/>
      <c r="J421" s="25" t="inlineStr">
        <is>
          <t>LARISSA PADILHA</t>
        </is>
      </c>
      <c r="K421" s="25" t="inlineStr">
        <is>
          <t>Larissa Padilha</t>
        </is>
      </c>
      <c r="L421" s="25" t="n">
        <v>117</v>
      </c>
      <c r="M421" s="25" t="inlineStr">
        <is>
          <t>21/10/2025</t>
        </is>
      </c>
      <c r="N421" s="25" t="n">
        <v>319.33</v>
      </c>
      <c r="O421" s="25" t="n">
        <v>1</v>
      </c>
      <c r="P421" s="25" t="inlineStr">
        <is>
          <t>Sim</t>
        </is>
      </c>
      <c r="Q421" s="25" t="n">
        <v>5</v>
      </c>
      <c r="R421" s="25" t="n"/>
      <c r="S421" s="25" t="n"/>
      <c r="T421" s="25" t="n"/>
      <c r="U421" s="25" t="n">
        <v>0</v>
      </c>
      <c r="V421" s="25" t="n">
        <v>0</v>
      </c>
      <c r="W421" s="25" t="n">
        <v>0</v>
      </c>
      <c r="X421" s="25" t="n">
        <v>0</v>
      </c>
      <c r="Y421" s="25" t="n">
        <v>0</v>
      </c>
      <c r="Z421" s="25" t="n">
        <v>0</v>
      </c>
      <c r="AA421" s="25" t="n">
        <v>0</v>
      </c>
      <c r="AB421" s="25" t="n">
        <v>319.33</v>
      </c>
      <c r="AC421" s="25" t="n">
        <v>0</v>
      </c>
      <c r="AD421" s="25" t="n">
        <v>0</v>
      </c>
      <c r="AE421" s="25" t="n">
        <v>0</v>
      </c>
      <c r="AF421" s="25" t="n">
        <v>0</v>
      </c>
      <c r="AG421" s="25" t="n">
        <v>0</v>
      </c>
      <c r="AH421" s="25" t="n">
        <v>1</v>
      </c>
      <c r="AI421" s="25" t="inlineStr">
        <is>
          <t>C</t>
        </is>
      </c>
      <c r="AJ421" s="25" t="n">
        <v>1</v>
      </c>
      <c r="AK421" s="25" t="n">
        <v>319.33</v>
      </c>
      <c r="AL421" s="26" t="n">
        <v>46036.37177083334</v>
      </c>
      <c r="AM421" s="26" t="n">
        <v>46036.37177083334</v>
      </c>
      <c r="AN421" s="25" t="inlineStr">
        <is>
          <t>WHATSAPP</t>
        </is>
      </c>
      <c r="AO421" s="25" t="inlineStr">
        <is>
          <t>QUINOA - SP</t>
        </is>
      </c>
      <c r="AP421" s="27">
        <f>IF(AH421="","",IF(AH421=0,"PROSPECT",IF(AH421=1,"NOVO",IF(AH421&lt;=3,"EM DESENVOLVIMENTO",IF(AH421&lt;=6,"RECORRENTE","FIDELIZADO")))))</f>
        <v/>
      </c>
      <c r="AQ421" s="27">
        <f>IF(AJ421=0,0,IFERROR(SUM(U421:AF421)/AJ421,0))</f>
        <v/>
      </c>
      <c r="AS421" s="0" t="inlineStr">
        <is>
          <t>Carteira FEV/26</t>
        </is>
      </c>
    </row>
    <row r="422" ht="14.25" customHeight="1" s="16">
      <c r="A422" s="25" t="inlineStr">
        <is>
          <t>QUINOA NATURAL CAMBUI ALIMENTOS SAUDAVEIS A LTDA</t>
        </is>
      </c>
      <c r="B422" s="25" t="inlineStr">
        <is>
          <t>27433919000125</t>
        </is>
      </c>
      <c r="C422" s="25" t="inlineStr">
        <is>
          <t>QUINOA NATURAL CAMBUI ALIMENTOS SAUDAVEIS A LTDA</t>
        </is>
      </c>
      <c r="D422" s="25" t="inlineStr">
        <is>
          <t>SP</t>
        </is>
      </c>
      <c r="E422" s="25" t="inlineStr">
        <is>
          <t>CAMPINAS</t>
        </is>
      </c>
      <c r="F422" s="25" t="inlineStr">
        <is>
          <t>xmlcampinas@quinoanatural.com.br</t>
        </is>
      </c>
      <c r="G422" s="25" t="inlineStr">
        <is>
          <t>+55 (19) 3365-5030 | +55 (19) 99744-7740</t>
        </is>
      </c>
      <c r="H422" s="25" t="inlineStr">
        <is>
          <t>08/10/2024</t>
        </is>
      </c>
      <c r="I422" s="25" t="n"/>
      <c r="J422" s="25" t="inlineStr">
        <is>
          <t>LARISSA PADILHA</t>
        </is>
      </c>
      <c r="K422" s="25" t="inlineStr">
        <is>
          <t>Larissa Padilha</t>
        </is>
      </c>
      <c r="L422" s="25" t="n">
        <v>117</v>
      </c>
      <c r="M422" s="25" t="inlineStr">
        <is>
          <t>21/10/2025</t>
        </is>
      </c>
      <c r="N422" s="25" t="n">
        <v>275.29</v>
      </c>
      <c r="O422" s="25" t="n"/>
      <c r="P422" s="25" t="n"/>
      <c r="Q422" s="25" t="n"/>
      <c r="R422" s="25" t="n"/>
      <c r="S422" s="25" t="n"/>
      <c r="T422" s="25" t="n"/>
      <c r="U422" s="25" t="n">
        <v>0</v>
      </c>
      <c r="V422" s="25" t="n">
        <v>0</v>
      </c>
      <c r="W422" s="25" t="n">
        <v>0</v>
      </c>
      <c r="X422" s="25" t="n">
        <v>0</v>
      </c>
      <c r="Y422" s="25" t="n">
        <v>990</v>
      </c>
      <c r="Z422" s="25" t="n">
        <v>0</v>
      </c>
      <c r="AA422" s="25" t="n">
        <v>0</v>
      </c>
      <c r="AB422" s="25" t="n">
        <v>275.29</v>
      </c>
      <c r="AC422" s="25" t="n">
        <v>0</v>
      </c>
      <c r="AD422" s="25" t="n">
        <v>0</v>
      </c>
      <c r="AE422" s="25" t="n">
        <v>0</v>
      </c>
      <c r="AF422" s="25" t="n">
        <v>0</v>
      </c>
      <c r="AG422" s="25" t="n">
        <v>102</v>
      </c>
      <c r="AH422" s="25" t="n">
        <v>2</v>
      </c>
      <c r="AI422" s="25" t="inlineStr">
        <is>
          <t>B</t>
        </is>
      </c>
      <c r="AJ422" s="25" t="n">
        <v>2</v>
      </c>
      <c r="AK422" s="25" t="n">
        <v>632.64</v>
      </c>
      <c r="AL422" s="26" t="n">
        <v>46058.49408564815</v>
      </c>
      <c r="AM422" s="26" t="n">
        <v>46058.49408564815</v>
      </c>
      <c r="AN422" s="25" t="inlineStr">
        <is>
          <t>WHATSAPP</t>
        </is>
      </c>
      <c r="AO422" s="25" t="inlineStr">
        <is>
          <t>QUINOA NATURAL - MARINA - SP</t>
        </is>
      </c>
      <c r="AP422" s="27">
        <f>IF(AH422="","",IF(AH422=0,"PROSPECT",IF(AH422=1,"NOVO",IF(AH422&lt;=3,"EM DESENVOLVIMENTO",IF(AH422&lt;=6,"RECORRENTE","FIDELIZADO")))))</f>
        <v/>
      </c>
      <c r="AQ422" s="27">
        <f>IF(AJ422=0,0,IFERROR(SUM(U422:AF422)/AJ422,0))</f>
        <v/>
      </c>
      <c r="AS422" s="0" t="inlineStr">
        <is>
          <t>Carteira FEV/26</t>
        </is>
      </c>
    </row>
    <row r="423" ht="14.25" customHeight="1" s="16">
      <c r="A423" s="25" t="inlineStr">
        <is>
          <t>RAIZES COMERCIO DE PRODUTOS NATURAIS E INCLUSIVOS LTDA</t>
        </is>
      </c>
      <c r="B423" s="25" t="inlineStr">
        <is>
          <t>32093388000109</t>
        </is>
      </c>
      <c r="C423" s="25" t="inlineStr">
        <is>
          <t>RAIZES COMERCIO DE PRODUTOS NATURAIS E INCLUSIVOS LTDA</t>
        </is>
      </c>
      <c r="D423" s="25" t="inlineStr">
        <is>
          <t>PA</t>
        </is>
      </c>
      <c r="E423" s="25" t="inlineStr">
        <is>
          <t>IGARAPE-ACU</t>
        </is>
      </c>
      <c r="F423" s="25" t="inlineStr">
        <is>
          <t>raizesiga@gmail.com</t>
        </is>
      </c>
      <c r="G423" s="25" t="inlineStr">
        <is>
          <t>+55 (91) 98533-1298</t>
        </is>
      </c>
      <c r="H423" s="25" t="inlineStr">
        <is>
          <t>08/08/2025</t>
        </is>
      </c>
      <c r="I423" s="25" t="n"/>
      <c r="J423" s="25" t="inlineStr">
        <is>
          <t>LARISSA PADILHA</t>
        </is>
      </c>
      <c r="K423" s="25" t="inlineStr">
        <is>
          <t>Helder Brunkow</t>
        </is>
      </c>
      <c r="L423" s="25" t="n">
        <v>181</v>
      </c>
      <c r="M423" s="25" t="inlineStr">
        <is>
          <t>18/08/2025</t>
        </is>
      </c>
      <c r="N423" s="25" t="n">
        <v>2016.25</v>
      </c>
      <c r="O423" s="25" t="n">
        <v>1</v>
      </c>
      <c r="P423" s="25" t="inlineStr">
        <is>
          <t>Sim</t>
        </is>
      </c>
      <c r="Q423" s="25" t="n">
        <v>60</v>
      </c>
      <c r="R423" s="25" t="n">
        <v>23</v>
      </c>
      <c r="S423" s="25" t="n">
        <v>2016.25</v>
      </c>
      <c r="T423" s="25" t="inlineStr">
        <is>
          <t>COMPRA B2B</t>
        </is>
      </c>
      <c r="U423" s="25" t="n">
        <v>0</v>
      </c>
      <c r="V423" s="25" t="n">
        <v>0</v>
      </c>
      <c r="W423" s="25" t="n">
        <v>0</v>
      </c>
      <c r="X423" s="25" t="n">
        <v>0</v>
      </c>
      <c r="Y423" s="25" t="n">
        <v>0</v>
      </c>
      <c r="Z423" s="25" t="n">
        <v>2016.25</v>
      </c>
      <c r="AA423" s="25" t="n">
        <v>0</v>
      </c>
      <c r="AB423" s="25" t="n">
        <v>0</v>
      </c>
      <c r="AC423" s="25" t="n">
        <v>0</v>
      </c>
      <c r="AD423" s="25" t="n">
        <v>0</v>
      </c>
      <c r="AE423" s="25" t="n">
        <v>0</v>
      </c>
      <c r="AF423" s="25" t="n">
        <v>0</v>
      </c>
      <c r="AG423" s="25" t="n">
        <v>0</v>
      </c>
      <c r="AH423" s="25" t="n">
        <v>1</v>
      </c>
      <c r="AI423" s="25" t="inlineStr">
        <is>
          <t>B</t>
        </is>
      </c>
      <c r="AJ423" s="25" t="n">
        <v>1</v>
      </c>
      <c r="AK423" s="25" t="n">
        <v>2016.25</v>
      </c>
      <c r="AL423" s="26" t="n">
        <v>46036.62302083334</v>
      </c>
      <c r="AM423" s="26" t="n">
        <v>46036.62302083334</v>
      </c>
      <c r="AN423" s="25" t="inlineStr">
        <is>
          <t>WHATSAPP</t>
        </is>
      </c>
      <c r="AO423" s="25" t="inlineStr">
        <is>
          <t>RAIZES - GABRIELA - PA</t>
        </is>
      </c>
      <c r="AP423" s="27">
        <f>IF(AH423="","",IF(AH423=0,"PROSPECT",IF(AH423=1,"NOVO",IF(AH423&lt;=3,"EM DESENVOLVIMENTO",IF(AH423&lt;=6,"RECORRENTE","FIDELIZADO")))))</f>
        <v/>
      </c>
      <c r="AQ423" s="27">
        <f>IF(AJ423=0,0,IFERROR(SUM(U423:AF423)/AJ423,0))</f>
        <v/>
      </c>
      <c r="AS423" s="0" t="inlineStr">
        <is>
          <t>Carteira FEV/26</t>
        </is>
      </c>
    </row>
    <row r="424" ht="14.25" customHeight="1" s="16">
      <c r="A424" s="25" t="inlineStr">
        <is>
          <t>RAIZES DA VIDA PRODUTOS ORGANICOS E NATURAIS</t>
        </is>
      </c>
      <c r="B424" s="25" t="inlineStr">
        <is>
          <t>46384752000102</t>
        </is>
      </c>
      <c r="C424" s="25" t="inlineStr">
        <is>
          <t>ADRIANA JAEGER DA SILVA</t>
        </is>
      </c>
      <c r="D424" s="25" t="inlineStr">
        <is>
          <t>RS</t>
        </is>
      </c>
      <c r="E424" s="25" t="inlineStr">
        <is>
          <t>MONTENEGRO</t>
        </is>
      </c>
      <c r="F424" s="25" t="inlineStr">
        <is>
          <t>ADRIANAJAEGER30@GMAIL.COM</t>
        </is>
      </c>
      <c r="G424" s="25" t="inlineStr">
        <is>
          <t>+55 (51) 98051-7392</t>
        </is>
      </c>
      <c r="H424" s="25" t="inlineStr">
        <is>
          <t>08/10/2024</t>
        </is>
      </c>
      <c r="I424" s="25" t="n"/>
      <c r="J424" s="25" t="inlineStr">
        <is>
          <t>MANU DITZEL</t>
        </is>
      </c>
      <c r="K424" s="25" t="inlineStr">
        <is>
          <t>Manu Ditzel</t>
        </is>
      </c>
      <c r="L424" s="25" t="n">
        <v>242</v>
      </c>
      <c r="M424" s="25" t="inlineStr">
        <is>
          <t>18/06/2025</t>
        </is>
      </c>
      <c r="N424" s="25" t="n">
        <v>681.3200000000001</v>
      </c>
      <c r="O424" s="25" t="n">
        <v>1</v>
      </c>
      <c r="P424" s="25" t="inlineStr">
        <is>
          <t>Sim</t>
        </is>
      </c>
      <c r="Q424" s="25" t="n">
        <v>118</v>
      </c>
      <c r="R424" s="25" t="n">
        <v>34</v>
      </c>
      <c r="S424" s="25" t="n"/>
      <c r="T424" s="25" t="n"/>
      <c r="U424" s="25" t="n">
        <v>0</v>
      </c>
      <c r="V424" s="25" t="n">
        <v>0</v>
      </c>
      <c r="W424" s="25" t="n">
        <v>0</v>
      </c>
      <c r="X424" s="25" t="n">
        <v>681.3200000000001</v>
      </c>
      <c r="Y424" s="25" t="n">
        <v>0</v>
      </c>
      <c r="Z424" s="25" t="n">
        <v>0</v>
      </c>
      <c r="AA424" s="25" t="n">
        <v>0</v>
      </c>
      <c r="AB424" s="25" t="n">
        <v>0</v>
      </c>
      <c r="AC424" s="25" t="n">
        <v>0</v>
      </c>
      <c r="AD424" s="25" t="n">
        <v>0</v>
      </c>
      <c r="AE424" s="25" t="n">
        <v>0</v>
      </c>
      <c r="AF424" s="25" t="n">
        <v>0</v>
      </c>
      <c r="AG424" s="25" t="n">
        <v>0</v>
      </c>
      <c r="AH424" s="25" t="n">
        <v>1</v>
      </c>
      <c r="AI424" s="25" t="inlineStr">
        <is>
          <t>C</t>
        </is>
      </c>
      <c r="AJ424" s="25" t="n">
        <v>1</v>
      </c>
      <c r="AK424" s="25" t="n">
        <v>681.3200000000001</v>
      </c>
      <c r="AL424" s="26" t="n">
        <v>45972.66875</v>
      </c>
      <c r="AM424" s="26" t="n">
        <v>45972.66875</v>
      </c>
      <c r="AN424" s="25" t="inlineStr">
        <is>
          <t>WHATSAPP</t>
        </is>
      </c>
      <c r="AO424" s="28" t="inlineStr">
        <is>
          <t>*Portal de pedidos:* https://vitaomais.meuspedidos.com.br/ *Login:* adrianajaeger30@gmail.com *Senha:* 380497</t>
        </is>
      </c>
      <c r="AP424" s="27">
        <f>IF(AH424="","",IF(AH424=0,"PROSPECT",IF(AH424=1,"NOVO",IF(AH424&lt;=3,"EM DESENVOLVIMENTO",IF(AH424&lt;=6,"RECORRENTE","FIDELIZADO")))))</f>
        <v/>
      </c>
      <c r="AQ424" s="27">
        <f>IF(AJ424=0,0,IFERROR(SUM(U424:AF424)/AJ424,0))</f>
        <v/>
      </c>
      <c r="AS424" s="0" t="inlineStr">
        <is>
          <t>Carteira FEV/26</t>
        </is>
      </c>
    </row>
    <row r="425" ht="14.25" customHeight="1" s="16">
      <c r="A425" s="25" t="inlineStr">
        <is>
          <t>RAIZES E SABORES</t>
        </is>
      </c>
      <c r="B425" s="25" t="inlineStr">
        <is>
          <t>35031254000151</t>
        </is>
      </c>
      <c r="C425" s="25" t="inlineStr">
        <is>
          <t>VINICIUS HERNANDEZ 06011449107</t>
        </is>
      </c>
      <c r="D425" s="25" t="inlineStr">
        <is>
          <t>SP</t>
        </is>
      </c>
      <c r="E425" s="25" t="inlineStr">
        <is>
          <t>LUCELIA</t>
        </is>
      </c>
      <c r="F425" s="25" t="inlineStr">
        <is>
          <t>hernandezfrancielly@gmail.com</t>
        </is>
      </c>
      <c r="G425" s="25" t="inlineStr">
        <is>
          <t>+55 (18) 99812-7959</t>
        </is>
      </c>
      <c r="H425" s="25" t="inlineStr">
        <is>
          <t>31/07/2025</t>
        </is>
      </c>
      <c r="I425" s="25" t="n"/>
      <c r="J425" s="25" t="inlineStr">
        <is>
          <t>MANU DITZEL</t>
        </is>
      </c>
      <c r="K425" s="25" t="inlineStr">
        <is>
          <t>Manu Ditzel</t>
        </is>
      </c>
      <c r="L425" s="25" t="n">
        <v>173</v>
      </c>
      <c r="M425" s="25" t="inlineStr">
        <is>
          <t>26/08/2025</t>
        </is>
      </c>
      <c r="N425" s="25" t="n">
        <v>936.23</v>
      </c>
      <c r="O425" s="25" t="n">
        <v>6</v>
      </c>
      <c r="P425" s="25" t="inlineStr">
        <is>
          <t>Sim</t>
        </is>
      </c>
      <c r="Q425" s="25" t="n">
        <v>120</v>
      </c>
      <c r="R425" s="25" t="n">
        <v>20</v>
      </c>
      <c r="S425" s="25" t="n">
        <v>2781.62</v>
      </c>
      <c r="T425" s="25" t="inlineStr">
        <is>
          <t>COMPRA B2B</t>
        </is>
      </c>
      <c r="U425" s="25" t="n">
        <v>0</v>
      </c>
      <c r="V425" s="25" t="n">
        <v>0</v>
      </c>
      <c r="W425" s="25" t="n">
        <v>0</v>
      </c>
      <c r="X425" s="25" t="n">
        <v>0</v>
      </c>
      <c r="Y425" s="25" t="n">
        <v>0</v>
      </c>
      <c r="Z425" s="25" t="n">
        <v>2781.62</v>
      </c>
      <c r="AA425" s="25" t="n">
        <v>0</v>
      </c>
      <c r="AB425" s="25" t="n">
        <v>0</v>
      </c>
      <c r="AC425" s="25" t="n">
        <v>0</v>
      </c>
      <c r="AD425" s="25" t="n">
        <v>0</v>
      </c>
      <c r="AE425" s="25" t="n">
        <v>0</v>
      </c>
      <c r="AF425" s="25" t="n">
        <v>0</v>
      </c>
      <c r="AG425" s="25" t="n">
        <v>21</v>
      </c>
      <c r="AH425" s="25" t="n">
        <v>2</v>
      </c>
      <c r="AI425" s="25" t="inlineStr">
        <is>
          <t>A</t>
        </is>
      </c>
      <c r="AJ425" s="25" t="n">
        <v>1</v>
      </c>
      <c r="AK425" s="25" t="n">
        <v>1390.81</v>
      </c>
      <c r="AL425" s="26" t="n">
        <v>46065.59236111111</v>
      </c>
      <c r="AM425" s="26" t="n">
        <v>46065.59236111111</v>
      </c>
      <c r="AN425" s="25" t="inlineStr">
        <is>
          <t>WHATSAPP</t>
        </is>
      </c>
      <c r="AO425" s="25" t="inlineStr">
        <is>
          <t>NUTRIÇÃO | Envio da campanha do mês</t>
        </is>
      </c>
      <c r="AP425" s="27">
        <f>IF(AH425="","",IF(AH425=0,"PROSPECT",IF(AH425=1,"NOVO",IF(AH425&lt;=3,"EM DESENVOLVIMENTO",IF(AH425&lt;=6,"RECORRENTE","FIDELIZADO")))))</f>
        <v/>
      </c>
      <c r="AQ425" s="27">
        <f>IF(AJ425=0,0,IFERROR(SUM(U425:AF425)/AJ425,0))</f>
        <v/>
      </c>
      <c r="AS425" s="0" t="inlineStr">
        <is>
          <t>Carteira FEV/26 + Atend FEV/26</t>
        </is>
      </c>
    </row>
    <row r="426" ht="14.25" customHeight="1" s="16">
      <c r="A426" s="25" t="inlineStr">
        <is>
          <t>RAW MARKET ALIMENTOS SAUDAVEIS</t>
        </is>
      </c>
      <c r="B426" s="25" t="inlineStr">
        <is>
          <t>40607315000116</t>
        </is>
      </c>
      <c r="C426" s="25" t="inlineStr">
        <is>
          <t>RAW MARKET ALIMENTOS SAUDAVEIS LTDA</t>
        </is>
      </c>
      <c r="D426" s="25" t="inlineStr">
        <is>
          <t>SC</t>
        </is>
      </c>
      <c r="E426" s="25" t="inlineStr">
        <is>
          <t>BALNEARIO CAMBORIU</t>
        </is>
      </c>
      <c r="F426" s="25" t="inlineStr">
        <is>
          <t>natufreshbc@gmail.com</t>
        </is>
      </c>
      <c r="G426" s="25" t="inlineStr">
        <is>
          <t>+55 (47) 9134-7919 | +55 (51) 9362-9526</t>
        </is>
      </c>
      <c r="H426" s="25" t="inlineStr">
        <is>
          <t>08/10/2024</t>
        </is>
      </c>
      <c r="I426" s="25" t="n"/>
      <c r="J426" s="25" t="inlineStr">
        <is>
          <t>MANU DITZEL</t>
        </is>
      </c>
      <c r="K426" s="25" t="inlineStr">
        <is>
          <t>Manu Ditzel</t>
        </is>
      </c>
      <c r="L426" s="25" t="n">
        <v>230</v>
      </c>
      <c r="M426" s="25" t="inlineStr">
        <is>
          <t>30/06/2025</t>
        </is>
      </c>
      <c r="N426" s="25" t="n">
        <v>1792.87</v>
      </c>
      <c r="O426" s="25" t="n"/>
      <c r="P426" s="25" t="n"/>
      <c r="Q426" s="25" t="n"/>
      <c r="R426" s="25" t="n"/>
      <c r="S426" s="25" t="n"/>
      <c r="T426" s="25" t="n"/>
      <c r="U426" s="25" t="n">
        <v>0</v>
      </c>
      <c r="V426" s="25" t="n">
        <v>0</v>
      </c>
      <c r="W426" s="25" t="n">
        <v>0</v>
      </c>
      <c r="X426" s="25" t="n">
        <v>1792.87</v>
      </c>
      <c r="Y426" s="25" t="n">
        <v>0</v>
      </c>
      <c r="Z426" s="25" t="n">
        <v>0</v>
      </c>
      <c r="AA426" s="25" t="n">
        <v>0</v>
      </c>
      <c r="AB426" s="25" t="n">
        <v>0</v>
      </c>
      <c r="AC426" s="25" t="n">
        <v>0</v>
      </c>
      <c r="AD426" s="25" t="n">
        <v>0</v>
      </c>
      <c r="AE426" s="25" t="n">
        <v>0</v>
      </c>
      <c r="AF426" s="25" t="n">
        <v>0</v>
      </c>
      <c r="AG426" s="25" t="n">
        <v>0</v>
      </c>
      <c r="AH426" s="25" t="n">
        <v>1</v>
      </c>
      <c r="AI426" s="25" t="inlineStr">
        <is>
          <t>B</t>
        </is>
      </c>
      <c r="AJ426" s="25" t="n">
        <v>1</v>
      </c>
      <c r="AK426" s="25" t="n">
        <v>1792.87</v>
      </c>
      <c r="AL426" s="26" t="n">
        <v>46057.48194444444</v>
      </c>
      <c r="AM426" s="26" t="n">
        <v>46057.48194444444</v>
      </c>
      <c r="AN426" s="25" t="inlineStr">
        <is>
          <t>WHATSAPP</t>
        </is>
      </c>
      <c r="AO426" s="25" t="inlineStr">
        <is>
          <t>FEITO CONTATO PARA POSSIVEL RECOMPRA</t>
        </is>
      </c>
      <c r="AP426" s="27">
        <f>IF(AH426="","",IF(AH426=0,"PROSPECT",IF(AH426=1,"NOVO",IF(AH426&lt;=3,"EM DESENVOLVIMENTO",IF(AH426&lt;=6,"RECORRENTE","FIDELIZADO")))))</f>
        <v/>
      </c>
      <c r="AQ426" s="27">
        <f>IF(AJ426=0,0,IFERROR(SUM(U426:AF426)/AJ426,0))</f>
        <v/>
      </c>
      <c r="AR426" s="15" t="inlineStr">
        <is>
          <t>⚠️ DDD(51)=RS≠SC</t>
        </is>
      </c>
      <c r="AS426" s="0" t="inlineStr">
        <is>
          <t>Carteira FEV/26 + Atend FEV/26</t>
        </is>
      </c>
    </row>
    <row r="427" ht="14.25" customHeight="1" s="16">
      <c r="A427" s="25" t="inlineStr">
        <is>
          <t>RAYNARA PAULINA ROCHA FRANCO - JUSTGO</t>
        </is>
      </c>
      <c r="B427" s="25" t="inlineStr">
        <is>
          <t>61819408000184</t>
        </is>
      </c>
      <c r="C427" s="25" t="inlineStr">
        <is>
          <t>61.819.408 RAYNARA PAULINA ROCHA FRANCO</t>
        </is>
      </c>
      <c r="D427" s="25" t="inlineStr">
        <is>
          <t>MG</t>
        </is>
      </c>
      <c r="E427" s="25" t="inlineStr">
        <is>
          <t>JAPARAIBA</t>
        </is>
      </c>
      <c r="F427" s="25" t="inlineStr">
        <is>
          <t>gojustlife@gmail.com</t>
        </is>
      </c>
      <c r="G427" s="25" t="inlineStr">
        <is>
          <t>+55 (37) 98851-2269</t>
        </is>
      </c>
      <c r="H427" s="25" t="inlineStr">
        <is>
          <t>21/07/2025</t>
        </is>
      </c>
      <c r="I427" s="25" t="n"/>
      <c r="J427" s="25" t="inlineStr">
        <is>
          <t>LARISSA PADILHA</t>
        </is>
      </c>
      <c r="K427" s="25" t="inlineStr">
        <is>
          <t>Helder Brunkow</t>
        </is>
      </c>
      <c r="L427" s="25" t="n">
        <v>199</v>
      </c>
      <c r="M427" s="25" t="inlineStr">
        <is>
          <t>31/07/2025</t>
        </is>
      </c>
      <c r="N427" s="25" t="n">
        <v>747.14</v>
      </c>
      <c r="O427" s="25" t="n">
        <v>1</v>
      </c>
      <c r="P427" s="25" t="inlineStr">
        <is>
          <t>Sim</t>
        </is>
      </c>
      <c r="Q427" s="25" t="n">
        <v>8</v>
      </c>
      <c r="R427" s="25" t="n">
        <v>3</v>
      </c>
      <c r="S427" s="25" t="n"/>
      <c r="T427" s="25" t="n"/>
      <c r="U427" s="25" t="n">
        <v>0</v>
      </c>
      <c r="V427" s="25" t="n">
        <v>0</v>
      </c>
      <c r="W427" s="25" t="n">
        <v>0</v>
      </c>
      <c r="X427" s="25" t="n">
        <v>0</v>
      </c>
      <c r="Y427" s="25" t="n">
        <v>747.14</v>
      </c>
      <c r="Z427" s="25" t="n">
        <v>0</v>
      </c>
      <c r="AA427" s="25" t="n">
        <v>0</v>
      </c>
      <c r="AB427" s="25" t="n">
        <v>0</v>
      </c>
      <c r="AC427" s="25" t="n">
        <v>0</v>
      </c>
      <c r="AD427" s="25" t="n">
        <v>0</v>
      </c>
      <c r="AE427" s="25" t="n">
        <v>0</v>
      </c>
      <c r="AF427" s="25" t="n">
        <v>0</v>
      </c>
      <c r="AG427" s="25" t="n">
        <v>0</v>
      </c>
      <c r="AH427" s="25" t="n">
        <v>1</v>
      </c>
      <c r="AI427" s="25" t="inlineStr">
        <is>
          <t>C</t>
        </is>
      </c>
      <c r="AJ427" s="25" t="n">
        <v>1</v>
      </c>
      <c r="AK427" s="25" t="n">
        <v>747.14</v>
      </c>
      <c r="AL427" s="26" t="n">
        <v>46065.48958333334</v>
      </c>
      <c r="AM427" s="26" t="n">
        <v>46065.48958333334</v>
      </c>
      <c r="AN427" s="25" t="inlineStr">
        <is>
          <t>WHATSAPP</t>
        </is>
      </c>
      <c r="AO427" s="25" t="inlineStr">
        <is>
          <t>NUTRIÇÃO | Envio da campanha do mês</t>
        </is>
      </c>
      <c r="AP427" s="27">
        <f>IF(AH427="","",IF(AH427=0,"PROSPECT",IF(AH427=1,"NOVO",IF(AH427&lt;=3,"EM DESENVOLVIMENTO",IF(AH427&lt;=6,"RECORRENTE","FIDELIZADO")))))</f>
        <v/>
      </c>
      <c r="AQ427" s="27">
        <f>IF(AJ427=0,0,IFERROR(SUM(U427:AF427)/AJ427,0))</f>
        <v/>
      </c>
      <c r="AS427" s="0" t="inlineStr">
        <is>
          <t>Carteira FEV/26 + Atend FEV/26</t>
        </is>
      </c>
    </row>
    <row r="428" ht="14.25" customHeight="1" s="16">
      <c r="A428" s="25" t="inlineStr">
        <is>
          <t>REDE BARÃO REDENTORA SJP</t>
        </is>
      </c>
      <c r="B428" s="25" t="inlineStr">
        <is>
          <t>75176859000317</t>
        </is>
      </c>
      <c r="C428" s="25" t="inlineStr">
        <is>
          <t>AUTO POSTO E MECANICA BARAO LTDA</t>
        </is>
      </c>
      <c r="D428" s="25" t="inlineStr">
        <is>
          <t>PR</t>
        </is>
      </c>
      <c r="E428" s="25" t="inlineStr">
        <is>
          <t>SAO JOSE DOS PINHAIS</t>
        </is>
      </c>
      <c r="F428" s="25" t="inlineStr">
        <is>
          <t>matriz@postosbarao.com.br</t>
        </is>
      </c>
      <c r="G428" s="25" t="inlineStr">
        <is>
          <t>+55 (41) 99173-6973</t>
        </is>
      </c>
      <c r="H428" s="25" t="inlineStr">
        <is>
          <t>16/04/2025</t>
        </is>
      </c>
      <c r="I428" s="25" t="n"/>
      <c r="J428" s="25" t="inlineStr">
        <is>
          <t>JULIO GADRET</t>
        </is>
      </c>
      <c r="K428" s="25" t="inlineStr">
        <is>
          <t>Julio Gadret</t>
        </is>
      </c>
      <c r="L428" s="25" t="n">
        <v>279</v>
      </c>
      <c r="M428" s="25" t="inlineStr">
        <is>
          <t>12/05/2025</t>
        </is>
      </c>
      <c r="N428" s="25" t="n">
        <v>4230.69</v>
      </c>
      <c r="O428" s="25" t="n"/>
      <c r="P428" s="25" t="n"/>
      <c r="Q428" s="25" t="n"/>
      <c r="R428" s="25" t="n"/>
      <c r="S428" s="25" t="n"/>
      <c r="T428" s="25" t="n"/>
      <c r="U428" s="25" t="n">
        <v>0</v>
      </c>
      <c r="V428" s="25" t="n">
        <v>12766.85</v>
      </c>
      <c r="W428" s="25" t="n">
        <v>4230.69</v>
      </c>
      <c r="X428" s="25" t="n">
        <v>0</v>
      </c>
      <c r="Y428" s="25" t="n">
        <v>0</v>
      </c>
      <c r="Z428" s="25" t="n">
        <v>0</v>
      </c>
      <c r="AA428" s="25" t="n">
        <v>0</v>
      </c>
      <c r="AB428" s="25" t="n">
        <v>0</v>
      </c>
      <c r="AC428" s="25" t="n">
        <v>0</v>
      </c>
      <c r="AD428" s="25" t="n">
        <v>0</v>
      </c>
      <c r="AE428" s="25" t="n">
        <v>0</v>
      </c>
      <c r="AF428" s="25" t="n">
        <v>0</v>
      </c>
      <c r="AG428" s="25" t="n">
        <v>13</v>
      </c>
      <c r="AH428" s="25" t="n">
        <v>2</v>
      </c>
      <c r="AI428" s="25" t="inlineStr">
        <is>
          <t>A</t>
        </is>
      </c>
      <c r="AJ428" s="25" t="n">
        <v>2</v>
      </c>
      <c r="AK428" s="25" t="n">
        <v>8498.77</v>
      </c>
      <c r="AL428" s="26" t="n">
        <v>45776.78680555556</v>
      </c>
      <c r="AM428" s="26" t="n">
        <v>45776.78680555556</v>
      </c>
      <c r="AN428" s="25" t="inlineStr">
        <is>
          <t>OUTROS</t>
        </is>
      </c>
      <c r="AO428" s="25" t="inlineStr">
        <is>
          <t>FEITO OUTRO PEDIDO</t>
        </is>
      </c>
      <c r="AP428" s="27">
        <f>IF(AH428="","",IF(AH428=0,"PROSPECT",IF(AH428=1,"NOVO",IF(AH428&lt;=3,"EM DESENVOLVIMENTO",IF(AH428&lt;=6,"RECORRENTE","FIDELIZADO")))))</f>
        <v/>
      </c>
      <c r="AQ428" s="27">
        <f>IF(AJ428=0,0,IFERROR(SUM(U428:AF428)/AJ428,0))</f>
        <v/>
      </c>
      <c r="AS428" s="0" t="inlineStr">
        <is>
          <t>Carteira FEV/26</t>
        </is>
      </c>
    </row>
    <row r="429" ht="14.25" customHeight="1" s="16">
      <c r="A429" s="25" t="inlineStr">
        <is>
          <t>REDE CIA DA SAUDE PRODUTOS NATURAIS</t>
        </is>
      </c>
      <c r="B429" s="25" t="inlineStr">
        <is>
          <t>62119738000120</t>
        </is>
      </c>
      <c r="C429" s="25" t="inlineStr">
        <is>
          <t>AGUIAR REDE DE PRODUTOS NATURAIS LTDA</t>
        </is>
      </c>
      <c r="D429" s="25" t="inlineStr">
        <is>
          <t>RS</t>
        </is>
      </c>
      <c r="E429" s="25" t="inlineStr">
        <is>
          <t>TRAMANDAI</t>
        </is>
      </c>
      <c r="F429" s="25" t="inlineStr">
        <is>
          <t>aguiar.mariap@gmail.com</t>
        </is>
      </c>
      <c r="G429" s="25" t="inlineStr">
        <is>
          <t>+55 (48) 99672-9514</t>
        </is>
      </c>
      <c r="H429" s="25" t="inlineStr">
        <is>
          <t>24/10/2025</t>
        </is>
      </c>
      <c r="I429" s="25" t="inlineStr">
        <is>
          <t>[Rede] Cia da Saúde</t>
        </is>
      </c>
      <c r="J429" s="25" t="inlineStr">
        <is>
          <t>JULIO GADRET</t>
        </is>
      </c>
      <c r="K429" s="25" t="inlineStr">
        <is>
          <t>Julio  Gadret</t>
        </is>
      </c>
      <c r="L429" s="25" t="n">
        <v>114</v>
      </c>
      <c r="M429" s="25" t="inlineStr">
        <is>
          <t>24/10/2025</t>
        </is>
      </c>
      <c r="N429" s="25" t="n">
        <v>1249.9</v>
      </c>
      <c r="O429" s="25" t="n"/>
      <c r="P429" s="25" t="n"/>
      <c r="Q429" s="25" t="n"/>
      <c r="R429" s="25" t="n"/>
      <c r="S429" s="25" t="n"/>
      <c r="T429" s="25" t="n"/>
      <c r="U429" s="25" t="n">
        <v>0</v>
      </c>
      <c r="V429" s="25" t="n">
        <v>0</v>
      </c>
      <c r="W429" s="25" t="n">
        <v>0</v>
      </c>
      <c r="X429" s="25" t="n">
        <v>0</v>
      </c>
      <c r="Y429" s="25" t="n">
        <v>0</v>
      </c>
      <c r="Z429" s="25" t="n">
        <v>0</v>
      </c>
      <c r="AA429" s="25" t="n">
        <v>0</v>
      </c>
      <c r="AB429" s="25" t="n">
        <v>1249.9</v>
      </c>
      <c r="AC429" s="25" t="n">
        <v>0</v>
      </c>
      <c r="AD429" s="25" t="n">
        <v>0</v>
      </c>
      <c r="AE429" s="25" t="n">
        <v>0</v>
      </c>
      <c r="AF429" s="25" t="n">
        <v>0</v>
      </c>
      <c r="AG429" s="25" t="n">
        <v>0</v>
      </c>
      <c r="AH429" s="25" t="n">
        <v>1</v>
      </c>
      <c r="AI429" s="25" t="inlineStr">
        <is>
          <t>B</t>
        </is>
      </c>
      <c r="AJ429" s="25" t="n">
        <v>1</v>
      </c>
      <c r="AK429" s="25" t="n">
        <v>1249.9</v>
      </c>
      <c r="AL429" s="25" t="n"/>
      <c r="AM429" s="25" t="n"/>
      <c r="AN429" s="25" t="n"/>
      <c r="AO429" s="25" t="n"/>
      <c r="AP429" s="27">
        <f>IF(AH429="","",IF(AH429=0,"PROSPECT",IF(AH429=1,"NOVO",IF(AH429&lt;=3,"EM DESENVOLVIMENTO",IF(AH429&lt;=6,"RECORRENTE","FIDELIZADO")))))</f>
        <v/>
      </c>
      <c r="AQ429" s="27">
        <f>IF(AJ429=0,0,IFERROR(SUM(U429:AF429)/AJ429,0))</f>
        <v/>
      </c>
      <c r="AR429" s="15" t="inlineStr">
        <is>
          <t>⚠️ DDD(48)=SC≠RS</t>
        </is>
      </c>
      <c r="AS429" s="0" t="inlineStr">
        <is>
          <t>Carteira FEV/26</t>
        </is>
      </c>
    </row>
    <row r="430" ht="14.25" customHeight="1" s="16">
      <c r="A430" s="25" t="inlineStr">
        <is>
          <t>REDE HIPER DOCE DE CABO FRIO LTDA</t>
        </is>
      </c>
      <c r="B430" s="25" t="inlineStr">
        <is>
          <t>26225527000108</t>
        </is>
      </c>
      <c r="C430" s="25" t="inlineStr">
        <is>
          <t>REDE HIPER DOCE DE CABO FRIO LTDA</t>
        </is>
      </c>
      <c r="D430" s="25" t="inlineStr">
        <is>
          <t>RJ</t>
        </is>
      </c>
      <c r="E430" s="25" t="inlineStr">
        <is>
          <t>CABO FRIO</t>
        </is>
      </c>
      <c r="F430" s="25" t="inlineStr">
        <is>
          <t>comprashipergranel@gmail.com</t>
        </is>
      </c>
      <c r="G430" s="25" t="inlineStr">
        <is>
          <t>+55 (22) 99944-7675</t>
        </is>
      </c>
      <c r="H430" s="25" t="inlineStr">
        <is>
          <t>08/10/2024</t>
        </is>
      </c>
      <c r="I430" s="25" t="n"/>
      <c r="J430" s="25" t="inlineStr">
        <is>
          <t>LARISSA PADILHA</t>
        </is>
      </c>
      <c r="K430" s="25" t="inlineStr">
        <is>
          <t>Helder Brunkow</t>
        </is>
      </c>
      <c r="L430" s="25" t="n">
        <v>285</v>
      </c>
      <c r="M430" s="25" t="inlineStr">
        <is>
          <t>06/05/2025</t>
        </is>
      </c>
      <c r="N430" s="25" t="n">
        <v>1574.78</v>
      </c>
      <c r="O430" s="25" t="n">
        <v>1</v>
      </c>
      <c r="P430" s="25" t="inlineStr">
        <is>
          <t>Sim</t>
        </is>
      </c>
      <c r="Q430" s="25" t="n">
        <v>90</v>
      </c>
      <c r="R430" s="25" t="n">
        <v>25</v>
      </c>
      <c r="S430" s="25" t="n">
        <v>1574.78</v>
      </c>
      <c r="T430" s="25" t="inlineStr">
        <is>
          <t>COMPRA B2B</t>
        </is>
      </c>
      <c r="U430" s="25" t="n">
        <v>0</v>
      </c>
      <c r="V430" s="25" t="n">
        <v>0</v>
      </c>
      <c r="W430" s="25" t="n">
        <v>1574.78</v>
      </c>
      <c r="X430" s="25" t="n">
        <v>0</v>
      </c>
      <c r="Y430" s="25" t="n">
        <v>0</v>
      </c>
      <c r="Z430" s="25" t="n">
        <v>0</v>
      </c>
      <c r="AA430" s="25" t="n">
        <v>0</v>
      </c>
      <c r="AB430" s="25" t="n">
        <v>0</v>
      </c>
      <c r="AC430" s="25" t="n">
        <v>0</v>
      </c>
      <c r="AD430" s="25" t="n">
        <v>0</v>
      </c>
      <c r="AE430" s="25" t="n">
        <v>0</v>
      </c>
      <c r="AF430" s="25" t="n">
        <v>0</v>
      </c>
      <c r="AG430" s="25" t="n">
        <v>0</v>
      </c>
      <c r="AH430" s="25" t="n">
        <v>1</v>
      </c>
      <c r="AI430" s="25" t="inlineStr">
        <is>
          <t>B</t>
        </is>
      </c>
      <c r="AJ430" s="25" t="n">
        <v>1</v>
      </c>
      <c r="AK430" s="25" t="n">
        <v>1574.78</v>
      </c>
      <c r="AL430" s="26" t="n">
        <v>45925.47291666667</v>
      </c>
      <c r="AM430" s="26" t="n">
        <v>45925.47291666667</v>
      </c>
      <c r="AN430" s="25" t="inlineStr">
        <is>
          <t>WHATSAPP</t>
        </is>
      </c>
      <c r="AO430" s="25" t="inlineStr">
        <is>
          <t>PRÉ-VENDA | Apresentação do consultor</t>
        </is>
      </c>
      <c r="AP430" s="27">
        <f>IF(AH430="","",IF(AH430=0,"PROSPECT",IF(AH430=1,"NOVO",IF(AH430&lt;=3,"EM DESENVOLVIMENTO",IF(AH430&lt;=6,"RECORRENTE","FIDELIZADO")))))</f>
        <v/>
      </c>
      <c r="AQ430" s="27">
        <f>IF(AJ430=0,0,IFERROR(SUM(U430:AF430)/AJ430,0))</f>
        <v/>
      </c>
      <c r="AS430" s="0" t="inlineStr">
        <is>
          <t>Carteira FEV/26</t>
        </is>
      </c>
    </row>
    <row r="431" ht="14.25" customHeight="1" s="16">
      <c r="A431" s="25" t="inlineStr">
        <is>
          <t>REDE HIPER GRAOS RIO DAS OSTRAS LTDA</t>
        </is>
      </c>
      <c r="B431" s="25" t="inlineStr">
        <is>
          <t>50324818000138</t>
        </is>
      </c>
      <c r="C431" s="25" t="inlineStr">
        <is>
          <t>REDE HIPER GRAOS RIO DAS OSTRAS LTDA</t>
        </is>
      </c>
      <c r="D431" s="25" t="inlineStr">
        <is>
          <t>RJ</t>
        </is>
      </c>
      <c r="E431" s="25" t="inlineStr">
        <is>
          <t>RIO DAS OSTRAS</t>
        </is>
      </c>
      <c r="F431" s="25" t="inlineStr">
        <is>
          <t>comprashipergranel@gmail.com</t>
        </is>
      </c>
      <c r="G431" s="25" t="inlineStr">
        <is>
          <t>+55 (22) 99944-7675</t>
        </is>
      </c>
      <c r="H431" s="25" t="inlineStr">
        <is>
          <t>08/10/2024</t>
        </is>
      </c>
      <c r="I431" s="25" t="n"/>
      <c r="J431" s="25" t="inlineStr">
        <is>
          <t>LARISSA PADILHA</t>
        </is>
      </c>
      <c r="K431" s="25" t="inlineStr">
        <is>
          <t>Helder Brunkow</t>
        </is>
      </c>
      <c r="L431" s="25" t="n">
        <v>285</v>
      </c>
      <c r="M431" s="25" t="inlineStr">
        <is>
          <t>06/05/2025</t>
        </is>
      </c>
      <c r="N431" s="25" t="n">
        <v>1574.78</v>
      </c>
      <c r="O431" s="25" t="n">
        <v>2</v>
      </c>
      <c r="P431" s="25" t="inlineStr">
        <is>
          <t>Sim</t>
        </is>
      </c>
      <c r="Q431" s="25" t="n">
        <v>57</v>
      </c>
      <c r="R431" s="25" t="n">
        <v>25</v>
      </c>
      <c r="S431" s="25" t="n">
        <v>1574.78</v>
      </c>
      <c r="T431" s="25" t="inlineStr">
        <is>
          <t>COMPRA B2B</t>
        </is>
      </c>
      <c r="U431" s="25" t="n">
        <v>0</v>
      </c>
      <c r="V431" s="25" t="n">
        <v>0</v>
      </c>
      <c r="W431" s="25" t="n">
        <v>1574.78</v>
      </c>
      <c r="X431" s="25" t="n">
        <v>0</v>
      </c>
      <c r="Y431" s="25" t="n">
        <v>0</v>
      </c>
      <c r="Z431" s="25" t="n">
        <v>0</v>
      </c>
      <c r="AA431" s="25" t="n">
        <v>0</v>
      </c>
      <c r="AB431" s="25" t="n">
        <v>0</v>
      </c>
      <c r="AC431" s="25" t="n">
        <v>0</v>
      </c>
      <c r="AD431" s="25" t="n">
        <v>0</v>
      </c>
      <c r="AE431" s="25" t="n">
        <v>0</v>
      </c>
      <c r="AF431" s="25" t="n">
        <v>0</v>
      </c>
      <c r="AG431" s="25" t="n">
        <v>0</v>
      </c>
      <c r="AH431" s="25" t="n">
        <v>1</v>
      </c>
      <c r="AI431" s="25" t="inlineStr">
        <is>
          <t>B</t>
        </is>
      </c>
      <c r="AJ431" s="25" t="n">
        <v>1</v>
      </c>
      <c r="AK431" s="25" t="n">
        <v>1574.78</v>
      </c>
      <c r="AL431" s="26" t="n">
        <v>45925.47013888889</v>
      </c>
      <c r="AM431" s="26" t="n">
        <v>45925.47013888889</v>
      </c>
      <c r="AN431" s="25" t="inlineStr">
        <is>
          <t>WHATSAPP</t>
        </is>
      </c>
      <c r="AO431" s="25" t="inlineStr">
        <is>
          <t>PRÉ-VENDA | Apresentação do consultor</t>
        </is>
      </c>
      <c r="AP431" s="27">
        <f>IF(AH431="","",IF(AH431=0,"PROSPECT",IF(AH431=1,"NOVO",IF(AH431&lt;=3,"EM DESENVOLVIMENTO",IF(AH431&lt;=6,"RECORRENTE","FIDELIZADO")))))</f>
        <v/>
      </c>
      <c r="AQ431" s="27">
        <f>IF(AJ431=0,0,IFERROR(SUM(U431:AF431)/AJ431,0))</f>
        <v/>
      </c>
      <c r="AS431" s="0" t="inlineStr">
        <is>
          <t>Carteira FEV/26</t>
        </is>
      </c>
    </row>
    <row r="432" ht="14.25" customHeight="1" s="16">
      <c r="A432" s="25" t="inlineStr">
        <is>
          <t>REDE HIPER GRAOS RODOVIARIA RJ COMERCIO LTDA</t>
        </is>
      </c>
      <c r="B432" s="25" t="inlineStr">
        <is>
          <t>48506346000192</t>
        </is>
      </c>
      <c r="C432" s="25" t="inlineStr">
        <is>
          <t>REDE HIPER GRAOS RODOVIARIA RJ COMERCIO LTDA</t>
        </is>
      </c>
      <c r="D432" s="25" t="inlineStr">
        <is>
          <t>RJ</t>
        </is>
      </c>
      <c r="E432" s="25" t="inlineStr">
        <is>
          <t>ARARUAMA</t>
        </is>
      </c>
      <c r="F432" s="25" t="inlineStr">
        <is>
          <t>comprashipergranel@gmail.com</t>
        </is>
      </c>
      <c r="G432" s="25" t="inlineStr">
        <is>
          <t>+55 (22) 99944-7675</t>
        </is>
      </c>
      <c r="H432" s="25" t="inlineStr">
        <is>
          <t>08/10/2024</t>
        </is>
      </c>
      <c r="I432" s="25" t="n"/>
      <c r="J432" s="25" t="inlineStr">
        <is>
          <t>LARISSA PADILHA</t>
        </is>
      </c>
      <c r="K432" s="25" t="inlineStr">
        <is>
          <t>Larissa Padilha</t>
        </is>
      </c>
      <c r="L432" s="25" t="n">
        <v>125</v>
      </c>
      <c r="M432" s="25" t="inlineStr">
        <is>
          <t>13/10/2025</t>
        </is>
      </c>
      <c r="N432" s="25" t="n">
        <v>2278.33</v>
      </c>
      <c r="O432" s="25" t="n">
        <v>1</v>
      </c>
      <c r="P432" s="25" t="inlineStr">
        <is>
          <t>Sim</t>
        </is>
      </c>
      <c r="Q432" s="25" t="n">
        <v>70</v>
      </c>
      <c r="R432" s="25" t="n">
        <v>26</v>
      </c>
      <c r="S432" s="25" t="n">
        <v>1574.78</v>
      </c>
      <c r="T432" s="25" t="inlineStr">
        <is>
          <t>COMPRA B2B</t>
        </is>
      </c>
      <c r="U432" s="25" t="n">
        <v>0</v>
      </c>
      <c r="V432" s="25" t="n">
        <v>0</v>
      </c>
      <c r="W432" s="25" t="n">
        <v>1574.78</v>
      </c>
      <c r="X432" s="25" t="n">
        <v>0</v>
      </c>
      <c r="Y432" s="25" t="n">
        <v>0</v>
      </c>
      <c r="Z432" s="25" t="n">
        <v>0</v>
      </c>
      <c r="AA432" s="25" t="n">
        <v>0</v>
      </c>
      <c r="AB432" s="25" t="n">
        <v>2278.33</v>
      </c>
      <c r="AC432" s="25" t="n">
        <v>0</v>
      </c>
      <c r="AD432" s="25" t="n">
        <v>0</v>
      </c>
      <c r="AE432" s="25" t="n">
        <v>0</v>
      </c>
      <c r="AF432" s="25" t="n">
        <v>0</v>
      </c>
      <c r="AG432" s="25" t="n">
        <v>160</v>
      </c>
      <c r="AH432" s="25" t="n">
        <v>2</v>
      </c>
      <c r="AI432" s="25" t="inlineStr">
        <is>
          <t>A</t>
        </is>
      </c>
      <c r="AJ432" s="25" t="n">
        <v>2</v>
      </c>
      <c r="AK432" s="25" t="n">
        <v>1926.56</v>
      </c>
      <c r="AL432" s="26" t="n">
        <v>46049.44454861111</v>
      </c>
      <c r="AM432" s="26" t="n">
        <v>46049.44454861111</v>
      </c>
      <c r="AN432" s="25" t="inlineStr">
        <is>
          <t>WHATSAPP</t>
        </is>
      </c>
      <c r="AO432" s="25" t="inlineStr">
        <is>
          <t>HIPER GRANEL - RIBEIRO - RJ</t>
        </is>
      </c>
      <c r="AP432" s="27">
        <f>IF(AH432="","",IF(AH432=0,"PROSPECT",IF(AH432=1,"NOVO",IF(AH432&lt;=3,"EM DESENVOLVIMENTO",IF(AH432&lt;=6,"RECORRENTE","FIDELIZADO")))))</f>
        <v/>
      </c>
      <c r="AQ432" s="27">
        <f>IF(AJ432=0,0,IFERROR(SUM(U432:AF432)/AJ432,0))</f>
        <v/>
      </c>
      <c r="AS432" s="0" t="inlineStr">
        <is>
          <t>Carteira FEV/26</t>
        </is>
      </c>
    </row>
    <row r="433" ht="14.25" customHeight="1" s="16">
      <c r="A433" s="25" t="inlineStr">
        <is>
          <t>REI DO NORTE PRODUTOS ALIMENTICIOS LTDA</t>
        </is>
      </c>
      <c r="B433" s="25" t="inlineStr">
        <is>
          <t>32293063000170</t>
        </is>
      </c>
      <c r="C433" s="25" t="inlineStr">
        <is>
          <t>REI DO NORTE PRODUTOS ALIMENTICIOS LTDA</t>
        </is>
      </c>
      <c r="D433" s="25" t="inlineStr">
        <is>
          <t>RJ</t>
        </is>
      </c>
      <c r="E433" s="25" t="inlineStr">
        <is>
          <t>BELFORD ROXO</t>
        </is>
      </c>
      <c r="F433" s="25" t="inlineStr">
        <is>
          <t>Amandafpmenezes@hotmail.com.br</t>
        </is>
      </c>
      <c r="G433" s="25" t="inlineStr">
        <is>
          <t>+55 (21) 96514-2281</t>
        </is>
      </c>
      <c r="H433" s="25" t="inlineStr">
        <is>
          <t>09/04/2025</t>
        </is>
      </c>
      <c r="I433" s="25" t="n"/>
      <c r="J433" s="25" t="inlineStr">
        <is>
          <t>LARISSA PADILHA</t>
        </is>
      </c>
      <c r="K433" s="25" t="inlineStr">
        <is>
          <t>Helder Brunkow</t>
        </is>
      </c>
      <c r="L433" s="25" t="n">
        <v>200</v>
      </c>
      <c r="M433" s="25" t="inlineStr">
        <is>
          <t>30/07/2025</t>
        </is>
      </c>
      <c r="N433" s="25" t="n">
        <v>1862.11</v>
      </c>
      <c r="O433" s="25" t="n">
        <v>2</v>
      </c>
      <c r="P433" s="25" t="inlineStr">
        <is>
          <t>Sim</t>
        </is>
      </c>
      <c r="Q433" s="25" t="n">
        <v>27</v>
      </c>
      <c r="R433" s="25" t="n">
        <v>19</v>
      </c>
      <c r="S433" s="25" t="n">
        <v>1676.55</v>
      </c>
      <c r="T433" s="25" t="inlineStr">
        <is>
          <t>COMPRA B2B</t>
        </is>
      </c>
      <c r="U433" s="25" t="n">
        <v>0</v>
      </c>
      <c r="V433" s="25" t="n">
        <v>1676.55</v>
      </c>
      <c r="W433" s="25" t="n">
        <v>0</v>
      </c>
      <c r="X433" s="25" t="n">
        <v>0</v>
      </c>
      <c r="Y433" s="25" t="n">
        <v>1862.11</v>
      </c>
      <c r="Z433" s="25" t="n">
        <v>0</v>
      </c>
      <c r="AA433" s="25" t="n">
        <v>0</v>
      </c>
      <c r="AB433" s="25" t="n">
        <v>0</v>
      </c>
      <c r="AC433" s="25" t="n">
        <v>0</v>
      </c>
      <c r="AD433" s="25" t="n">
        <v>0</v>
      </c>
      <c r="AE433" s="25" t="n">
        <v>0</v>
      </c>
      <c r="AF433" s="25" t="n">
        <v>0</v>
      </c>
      <c r="AG433" s="25" t="n">
        <v>111</v>
      </c>
      <c r="AH433" s="25" t="n">
        <v>2</v>
      </c>
      <c r="AI433" s="25" t="inlineStr">
        <is>
          <t>A</t>
        </is>
      </c>
      <c r="AJ433" s="25" t="n">
        <v>2</v>
      </c>
      <c r="AK433" s="25" t="n">
        <v>1769.33</v>
      </c>
      <c r="AL433" s="26" t="n">
        <v>46036.63194444445</v>
      </c>
      <c r="AM433" s="26" t="n">
        <v>46036.63194444445</v>
      </c>
      <c r="AN433" s="25" t="inlineStr">
        <is>
          <t>WHATSAPP</t>
        </is>
      </c>
      <c r="AO433" s="25" t="inlineStr">
        <is>
          <t>RECOMPRA | Nova abordagem - Linha Disney</t>
        </is>
      </c>
      <c r="AP433" s="27">
        <f>IF(AH433="","",IF(AH433=0,"PROSPECT",IF(AH433=1,"NOVO",IF(AH433&lt;=3,"EM DESENVOLVIMENTO",IF(AH433&lt;=6,"RECORRENTE","FIDELIZADO")))))</f>
        <v/>
      </c>
      <c r="AQ433" s="27">
        <f>IF(AJ433=0,0,IFERROR(SUM(U433:AF433)/AJ433,0))</f>
        <v/>
      </c>
      <c r="AS433" s="0" t="inlineStr">
        <is>
          <t>Carteira FEV/26</t>
        </is>
      </c>
    </row>
    <row r="434" ht="14.25" customHeight="1" s="16">
      <c r="A434" s="25" t="inlineStr">
        <is>
          <t>ROCHA NUTRICAO</t>
        </is>
      </c>
      <c r="B434" s="25" t="inlineStr">
        <is>
          <t>53357667000293</t>
        </is>
      </c>
      <c r="C434" s="25" t="inlineStr">
        <is>
          <t>ROCHA NUTRICAO LTDA</t>
        </is>
      </c>
      <c r="D434" s="25" t="inlineStr">
        <is>
          <t>SC</t>
        </is>
      </c>
      <c r="E434" s="25" t="inlineStr">
        <is>
          <t>IMBITUBA</t>
        </is>
      </c>
      <c r="F434" s="25" t="inlineStr">
        <is>
          <t>fitlandimbitubacentro@gmail.com</t>
        </is>
      </c>
      <c r="G434" s="25" t="inlineStr">
        <is>
          <t>+55 (48) 99173-0745</t>
        </is>
      </c>
      <c r="H434" s="25" t="inlineStr">
        <is>
          <t>02/06/2025</t>
        </is>
      </c>
      <c r="I434" s="25" t="inlineStr">
        <is>
          <t>[Rede] Fit Land</t>
        </is>
      </c>
      <c r="J434" s="25" t="inlineStr">
        <is>
          <t>LARISSA PADILHA</t>
        </is>
      </c>
      <c r="K434" s="25" t="inlineStr">
        <is>
          <t>Larissa Padilha</t>
        </is>
      </c>
      <c r="L434" s="25" t="n">
        <v>234</v>
      </c>
      <c r="M434" s="25" t="inlineStr">
        <is>
          <t>26/06/2025</t>
        </is>
      </c>
      <c r="N434" s="25" t="n">
        <v>1213.9</v>
      </c>
      <c r="O434" s="25" t="n"/>
      <c r="P434" s="25" t="n"/>
      <c r="Q434" s="25" t="n"/>
      <c r="R434" s="25" t="n"/>
      <c r="S434" s="25" t="n"/>
      <c r="T434" s="25" t="n"/>
      <c r="U434" s="25" t="n">
        <v>0</v>
      </c>
      <c r="V434" s="25" t="n">
        <v>0</v>
      </c>
      <c r="W434" s="25" t="n">
        <v>0</v>
      </c>
      <c r="X434" s="25" t="n">
        <v>3153.28</v>
      </c>
      <c r="Y434" s="25" t="n">
        <v>0</v>
      </c>
      <c r="Z434" s="25" t="n">
        <v>0</v>
      </c>
      <c r="AA434" s="25" t="n">
        <v>0</v>
      </c>
      <c r="AB434" s="25" t="n">
        <v>0</v>
      </c>
      <c r="AC434" s="25" t="n">
        <v>0</v>
      </c>
      <c r="AD434" s="25" t="n">
        <v>0</v>
      </c>
      <c r="AE434" s="25" t="n">
        <v>0</v>
      </c>
      <c r="AF434" s="25" t="n">
        <v>0</v>
      </c>
      <c r="AG434" s="25" t="n">
        <v>23</v>
      </c>
      <c r="AH434" s="25" t="n">
        <v>3</v>
      </c>
      <c r="AI434" s="25" t="inlineStr">
        <is>
          <t>B</t>
        </is>
      </c>
      <c r="AJ434" s="25" t="n">
        <v>1</v>
      </c>
      <c r="AK434" s="25" t="n">
        <v>1051.09</v>
      </c>
      <c r="AL434" s="25" t="n"/>
      <c r="AM434" s="25" t="n"/>
      <c r="AN434" s="25" t="n"/>
      <c r="AO434" s="25" t="n"/>
      <c r="AP434" s="27">
        <f>IF(AH434="","",IF(AH434=0,"PROSPECT",IF(AH434=1,"NOVO",IF(AH434&lt;=3,"EM DESENVOLVIMENTO",IF(AH434&lt;=6,"RECORRENTE","FIDELIZADO")))))</f>
        <v/>
      </c>
      <c r="AQ434" s="27">
        <f>IF(AJ434=0,0,IFERROR(SUM(U434:AF434)/AJ434,0))</f>
        <v/>
      </c>
      <c r="AS434" s="0" t="inlineStr">
        <is>
          <t>Carteira FEV/26</t>
        </is>
      </c>
    </row>
    <row r="435" ht="14.25" customHeight="1" s="16">
      <c r="A435" s="25" t="inlineStr">
        <is>
          <t>ROCHA NUTRICAO</t>
        </is>
      </c>
      <c r="B435" s="25" t="inlineStr">
        <is>
          <t>53357667000102</t>
        </is>
      </c>
      <c r="C435" s="25" t="inlineStr">
        <is>
          <t>ROCHA NUTRICAO LTDA</t>
        </is>
      </c>
      <c r="D435" s="25" t="inlineStr">
        <is>
          <t>SC</t>
        </is>
      </c>
      <c r="E435" s="25" t="inlineStr">
        <is>
          <t>JARAGUA DO SUL</t>
        </is>
      </c>
      <c r="F435" s="25" t="inlineStr">
        <is>
          <t>fitlandjaraguadosul@gmail.com</t>
        </is>
      </c>
      <c r="G435" s="25" t="inlineStr">
        <is>
          <t>+55 (47) 98820-2632</t>
        </is>
      </c>
      <c r="H435" s="25" t="inlineStr">
        <is>
          <t>25/06/2025</t>
        </is>
      </c>
      <c r="I435" s="25" t="inlineStr">
        <is>
          <t>FIT LAND</t>
        </is>
      </c>
      <c r="J435" s="25" t="inlineStr">
        <is>
          <t>LARISSA PADILHA</t>
        </is>
      </c>
      <c r="K435" s="25" t="inlineStr">
        <is>
          <t>Larissa Padilha</t>
        </is>
      </c>
      <c r="L435" s="25" t="n">
        <v>234</v>
      </c>
      <c r="M435" s="25" t="inlineStr">
        <is>
          <t>26/06/2025</t>
        </is>
      </c>
      <c r="N435" s="25" t="n">
        <v>1218.44</v>
      </c>
      <c r="O435" s="25" t="n"/>
      <c r="P435" s="25" t="n"/>
      <c r="Q435" s="25" t="n"/>
      <c r="R435" s="25" t="n"/>
      <c r="S435" s="25" t="n"/>
      <c r="T435" s="25" t="n"/>
      <c r="U435" s="25" t="n">
        <v>0</v>
      </c>
      <c r="V435" s="25" t="n">
        <v>0</v>
      </c>
      <c r="W435" s="25" t="n">
        <v>0</v>
      </c>
      <c r="X435" s="25" t="n">
        <v>0</v>
      </c>
      <c r="Y435" s="25" t="n">
        <v>0</v>
      </c>
      <c r="Z435" s="25" t="n">
        <v>0</v>
      </c>
      <c r="AA435" s="25" t="n">
        <v>0</v>
      </c>
      <c r="AB435" s="25" t="n">
        <v>0</v>
      </c>
      <c r="AC435" s="25" t="n">
        <v>0</v>
      </c>
      <c r="AD435" s="25" t="n">
        <v>0</v>
      </c>
      <c r="AE435" s="25" t="n">
        <v>0</v>
      </c>
      <c r="AF435" s="25" t="n">
        <v>0</v>
      </c>
      <c r="AG435" s="25" t="n">
        <v>0</v>
      </c>
      <c r="AH435" s="25" t="n">
        <v>0</v>
      </c>
      <c r="AI435" s="25" t="inlineStr">
        <is>
          <t>B</t>
        </is>
      </c>
      <c r="AJ435" s="25" t="n">
        <v>0</v>
      </c>
      <c r="AK435" s="25" t="n">
        <v>0</v>
      </c>
      <c r="AL435" s="26" t="n">
        <v>46055.45891203704</v>
      </c>
      <c r="AM435" s="26" t="n">
        <v>46055.45891203704</v>
      </c>
      <c r="AN435" s="25" t="inlineStr">
        <is>
          <t>WHATSAPP</t>
        </is>
      </c>
      <c r="AO435" s="25" t="inlineStr">
        <is>
          <t>FITLAND LOJA 21 - JARAGUÁ DO SUL SC</t>
        </is>
      </c>
      <c r="AP435" s="27">
        <f>IF(AH435="","",IF(AH435=0,"PROSPECT",IF(AH435=1,"NOVO",IF(AH435&lt;=3,"EM DESENVOLVIMENTO",IF(AH435&lt;=6,"RECORRENTE","FIDELIZADO")))))</f>
        <v/>
      </c>
      <c r="AQ435" s="27">
        <f>IF(AJ435=0,0,IFERROR(SUM(U435:AF435)/AJ435,0))</f>
        <v/>
      </c>
      <c r="AS435" s="0" t="inlineStr">
        <is>
          <t>Carteira FEV/26</t>
        </is>
      </c>
    </row>
    <row r="436" ht="14.25" customHeight="1" s="16">
      <c r="A436" s="25" t="inlineStr">
        <is>
          <t>S S DISTRIBUIDORA</t>
        </is>
      </c>
      <c r="B436" s="25" t="inlineStr">
        <is>
          <t>07869626000340</t>
        </is>
      </c>
      <c r="C436" s="25" t="inlineStr">
        <is>
          <t>E. B. ALMEIDA COMERCIO E TRANSPORTE LTDA</t>
        </is>
      </c>
      <c r="D436" s="25" t="inlineStr">
        <is>
          <t>BA</t>
        </is>
      </c>
      <c r="E436" s="25" t="inlineStr">
        <is>
          <t>CIPO</t>
        </is>
      </c>
      <c r="F436" s="25" t="inlineStr">
        <is>
          <t>sspombal@hotmail.com</t>
        </is>
      </c>
      <c r="G436" s="25" t="inlineStr">
        <is>
          <t>+55 (75) 9989-3413</t>
        </is>
      </c>
      <c r="H436" s="25" t="inlineStr">
        <is>
          <t>11/11/2025</t>
        </is>
      </c>
      <c r="I436" s="25" t="n"/>
      <c r="J436" s="25" t="inlineStr">
        <is>
          <t>LARISSA PADILHA</t>
        </is>
      </c>
      <c r="K436" s="25" t="inlineStr">
        <is>
          <t>Larissa Padilha</t>
        </is>
      </c>
      <c r="L436" s="25" t="n">
        <v>95</v>
      </c>
      <c r="M436" s="25" t="inlineStr">
        <is>
          <t>12/11/2025</t>
        </is>
      </c>
      <c r="N436" s="25" t="n">
        <v>5482.84</v>
      </c>
      <c r="O436" s="25" t="n"/>
      <c r="P436" s="25" t="n"/>
      <c r="Q436" s="25" t="n"/>
      <c r="R436" s="25" t="n"/>
      <c r="S436" s="25" t="n"/>
      <c r="T436" s="25" t="n"/>
      <c r="U436" s="25" t="n">
        <v>0</v>
      </c>
      <c r="V436" s="25" t="n">
        <v>0</v>
      </c>
      <c r="W436" s="25" t="n">
        <v>0</v>
      </c>
      <c r="X436" s="25" t="n">
        <v>0</v>
      </c>
      <c r="Y436" s="25" t="n">
        <v>0</v>
      </c>
      <c r="Z436" s="25" t="n">
        <v>0</v>
      </c>
      <c r="AA436" s="25" t="n">
        <v>0</v>
      </c>
      <c r="AB436" s="25" t="n">
        <v>0</v>
      </c>
      <c r="AC436" s="25" t="n">
        <v>5482.84</v>
      </c>
      <c r="AD436" s="25" t="n">
        <v>0</v>
      </c>
      <c r="AE436" s="25" t="n">
        <v>0</v>
      </c>
      <c r="AF436" s="25" t="n">
        <v>0</v>
      </c>
      <c r="AG436" s="25" t="n">
        <v>0</v>
      </c>
      <c r="AH436" s="25" t="n">
        <v>0</v>
      </c>
      <c r="AI436" s="25" t="inlineStr">
        <is>
          <t>A</t>
        </is>
      </c>
      <c r="AJ436" s="25" t="n">
        <v>1</v>
      </c>
      <c r="AK436" s="25" t="n">
        <v>0</v>
      </c>
      <c r="AL436" s="26" t="n">
        <v>46058.66944444444</v>
      </c>
      <c r="AM436" s="26" t="n">
        <v>46058.66944444444</v>
      </c>
      <c r="AN436" s="25" t="inlineStr">
        <is>
          <t>WHATSAPP</t>
        </is>
      </c>
      <c r="AO436" s="25" t="inlineStr">
        <is>
          <t>NUTRIÇÃO | Envio da campanha do mês</t>
        </is>
      </c>
      <c r="AP436" s="27">
        <f>IF(AH436="","",IF(AH436=0,"PROSPECT",IF(AH436=1,"NOVO",IF(AH436&lt;=3,"EM DESENVOLVIMENTO",IF(AH436&lt;=6,"RECORRENTE","FIDELIZADO")))))</f>
        <v/>
      </c>
      <c r="AQ436" s="27">
        <f>IF(AJ436=0,0,IFERROR(SUM(U436:AF436)/AJ436,0))</f>
        <v/>
      </c>
      <c r="AS436" s="0" t="inlineStr">
        <is>
          <t>Carteira FEV/26 + Atend FEV/26</t>
        </is>
      </c>
    </row>
    <row r="437" ht="14.25" customHeight="1" s="16">
      <c r="A437" s="25" t="inlineStr">
        <is>
          <t>S&amp;P NUTRICAO VIDA E SAUDE</t>
        </is>
      </c>
      <c r="B437" s="25" t="inlineStr">
        <is>
          <t>52923234000104</t>
        </is>
      </c>
      <c r="C437" s="25" t="inlineStr">
        <is>
          <t>S&amp;P NUTRICAO VIDA E SAUDE LTDA</t>
        </is>
      </c>
      <c r="D437" s="25" t="inlineStr">
        <is>
          <t>SC</t>
        </is>
      </c>
      <c r="E437" s="25" t="inlineStr">
        <is>
          <t>GAROPABA</t>
        </is>
      </c>
      <c r="F437" s="25" t="inlineStr">
        <is>
          <t>fitlandgaropaba@gmail.com</t>
        </is>
      </c>
      <c r="G437" s="25" t="inlineStr">
        <is>
          <t>+55 (48) 9613-7214</t>
        </is>
      </c>
      <c r="H437" s="25" t="inlineStr">
        <is>
          <t>08/10/2024</t>
        </is>
      </c>
      <c r="I437" s="25" t="inlineStr">
        <is>
          <t>[Rede] Fit Land</t>
        </is>
      </c>
      <c r="J437" s="25" t="inlineStr">
        <is>
          <t>LARISSA PADILHA</t>
        </is>
      </c>
      <c r="K437" s="25" t="inlineStr">
        <is>
          <t>Larissa Padilha</t>
        </is>
      </c>
      <c r="L437" s="25" t="n">
        <v>230</v>
      </c>
      <c r="M437" s="25" t="inlineStr">
        <is>
          <t>30/06/2025</t>
        </is>
      </c>
      <c r="N437" s="25" t="n">
        <v>1380.17</v>
      </c>
      <c r="O437" s="25" t="n"/>
      <c r="P437" s="25" t="n"/>
      <c r="Q437" s="25" t="n"/>
      <c r="R437" s="25" t="n"/>
      <c r="S437" s="25" t="n"/>
      <c r="T437" s="25" t="n"/>
      <c r="U437" s="25" t="n">
        <v>0</v>
      </c>
      <c r="V437" s="25" t="n">
        <v>0</v>
      </c>
      <c r="W437" s="25" t="n">
        <v>0</v>
      </c>
      <c r="X437" s="25" t="n">
        <v>1380.17</v>
      </c>
      <c r="Y437" s="25" t="n">
        <v>0</v>
      </c>
      <c r="Z437" s="25" t="n">
        <v>0</v>
      </c>
      <c r="AA437" s="25" t="n">
        <v>0</v>
      </c>
      <c r="AB437" s="25" t="n">
        <v>0</v>
      </c>
      <c r="AC437" s="25" t="n">
        <v>0</v>
      </c>
      <c r="AD437" s="25" t="n">
        <v>0</v>
      </c>
      <c r="AE437" s="25" t="n">
        <v>0</v>
      </c>
      <c r="AF437" s="25" t="n">
        <v>0</v>
      </c>
      <c r="AG437" s="25" t="n">
        <v>0</v>
      </c>
      <c r="AH437" s="25" t="n">
        <v>1</v>
      </c>
      <c r="AI437" s="25" t="inlineStr">
        <is>
          <t>B</t>
        </is>
      </c>
      <c r="AJ437" s="25" t="n">
        <v>1</v>
      </c>
      <c r="AK437" s="25" t="n">
        <v>1380.17</v>
      </c>
      <c r="AL437" s="26" t="n">
        <v>45989.37688657407</v>
      </c>
      <c r="AM437" s="26" t="n">
        <v>45989.37688657407</v>
      </c>
      <c r="AN437" s="25" t="inlineStr">
        <is>
          <t>WHATSAPP</t>
        </is>
      </c>
      <c r="AO437" s="25" t="inlineStr">
        <is>
          <t>FITLAND - LUCIANE - SC</t>
        </is>
      </c>
      <c r="AP437" s="27">
        <f>IF(AH437="","",IF(AH437=0,"PROSPECT",IF(AH437=1,"NOVO",IF(AH437&lt;=3,"EM DESENVOLVIMENTO",IF(AH437&lt;=6,"RECORRENTE","FIDELIZADO")))))</f>
        <v/>
      </c>
      <c r="AQ437" s="27">
        <f>IF(AJ437=0,0,IFERROR(SUM(U437:AF437)/AJ437,0))</f>
        <v/>
      </c>
      <c r="AS437" s="0" t="inlineStr">
        <is>
          <t>Carteira FEV/26</t>
        </is>
      </c>
    </row>
    <row r="438" ht="14.25" customHeight="1" s="16">
      <c r="A438" s="25" t="inlineStr">
        <is>
          <t>SABOR DA ROCA EMPORIO</t>
        </is>
      </c>
      <c r="B438" s="25" t="inlineStr">
        <is>
          <t>48681846000160</t>
        </is>
      </c>
      <c r="C438" s="25" t="inlineStr">
        <is>
          <t>SABOR DA ROCA EMPORIO LTDA</t>
        </is>
      </c>
      <c r="D438" s="25" t="inlineStr">
        <is>
          <t>MG</t>
        </is>
      </c>
      <c r="E438" s="25" t="inlineStr">
        <is>
          <t>SAO GOTARDO</t>
        </is>
      </c>
      <c r="F438" s="25" t="inlineStr">
        <is>
          <t>jaquelinearaujooficial6@gmail.com</t>
        </is>
      </c>
      <c r="G438" s="25" t="inlineStr">
        <is>
          <t>+55 (19) 98113-5234</t>
        </is>
      </c>
      <c r="H438" s="25" t="inlineStr">
        <is>
          <t>08/10/2024</t>
        </is>
      </c>
      <c r="I438" s="25" t="n"/>
      <c r="J438" s="25" t="inlineStr">
        <is>
          <t>LARISSA PADILHA</t>
        </is>
      </c>
      <c r="K438" s="25" t="inlineStr">
        <is>
          <t>Larissa Padilha</t>
        </is>
      </c>
      <c r="L438" s="25" t="n">
        <v>213</v>
      </c>
      <c r="M438" s="25" t="inlineStr">
        <is>
          <t>17/07/2025</t>
        </is>
      </c>
      <c r="N438" s="25" t="n">
        <v>818.67</v>
      </c>
      <c r="O438" s="25" t="n"/>
      <c r="P438" s="25" t="n"/>
      <c r="Q438" s="25" t="n"/>
      <c r="R438" s="25" t="n"/>
      <c r="S438" s="25" t="n"/>
      <c r="T438" s="25" t="n"/>
      <c r="U438" s="25" t="n">
        <v>0</v>
      </c>
      <c r="V438" s="25" t="n">
        <v>0</v>
      </c>
      <c r="W438" s="25" t="n">
        <v>0</v>
      </c>
      <c r="X438" s="25" t="n">
        <v>0</v>
      </c>
      <c r="Y438" s="25" t="n">
        <v>818.67</v>
      </c>
      <c r="Z438" s="25" t="n">
        <v>0</v>
      </c>
      <c r="AA438" s="25" t="n">
        <v>0</v>
      </c>
      <c r="AB438" s="25" t="n">
        <v>0</v>
      </c>
      <c r="AC438" s="25" t="n">
        <v>0</v>
      </c>
      <c r="AD438" s="25" t="n">
        <v>0</v>
      </c>
      <c r="AE438" s="25" t="n">
        <v>0</v>
      </c>
      <c r="AF438" s="25" t="n">
        <v>0</v>
      </c>
      <c r="AG438" s="25" t="n">
        <v>0</v>
      </c>
      <c r="AH438" s="25" t="n">
        <v>1</v>
      </c>
      <c r="AI438" s="25" t="inlineStr">
        <is>
          <t>C</t>
        </is>
      </c>
      <c r="AJ438" s="25" t="n">
        <v>1</v>
      </c>
      <c r="AK438" s="25" t="n">
        <v>818.67</v>
      </c>
      <c r="AL438" s="26" t="n">
        <v>46036.64474537037</v>
      </c>
      <c r="AM438" s="26" t="n">
        <v>46036.64474537037</v>
      </c>
      <c r="AN438" s="25" t="inlineStr">
        <is>
          <t>WHATSAPP</t>
        </is>
      </c>
      <c r="AO438" s="25" t="inlineStr">
        <is>
          <t>SABOR DA ROÇA - JAQUELINE - MG</t>
        </is>
      </c>
      <c r="AP438" s="27">
        <f>IF(AH438="","",IF(AH438=0,"PROSPECT",IF(AH438=1,"NOVO",IF(AH438&lt;=3,"EM DESENVOLVIMENTO",IF(AH438&lt;=6,"RECORRENTE","FIDELIZADO")))))</f>
        <v/>
      </c>
      <c r="AQ438" s="27">
        <f>IF(AJ438=0,0,IFERROR(SUM(U438:AF438)/AJ438,0))</f>
        <v/>
      </c>
      <c r="AR438" s="15" t="inlineStr">
        <is>
          <t>⚠️ DDD(19)=SP≠MG</t>
        </is>
      </c>
      <c r="AS438" s="0" t="inlineStr">
        <is>
          <t>Carteira FEV/26</t>
        </is>
      </c>
    </row>
    <row r="439" ht="14.25" customHeight="1" s="16">
      <c r="A439" s="25" t="inlineStr">
        <is>
          <t>SABORAMAIS COMERCIO DE ALIMENTOS LTDA.</t>
        </is>
      </c>
      <c r="B439" s="25" t="inlineStr">
        <is>
          <t>30327498000162</t>
        </is>
      </c>
      <c r="C439" s="25" t="inlineStr">
        <is>
          <t>SABORAMAIS COMERCIO DE ALIMENTOS LTDA.</t>
        </is>
      </c>
      <c r="D439" s="25" t="inlineStr">
        <is>
          <t>RJ</t>
        </is>
      </c>
      <c r="E439" s="25" t="inlineStr">
        <is>
          <t>ANGRA DOS REIS</t>
        </is>
      </c>
      <c r="F439" s="25" t="inlineStr">
        <is>
          <t>purosabordeangra@bol.com.br</t>
        </is>
      </c>
      <c r="G439" s="25" t="inlineStr">
        <is>
          <t>+55 (24) 3367-2385 | +55 (24) 98855-7457</t>
        </is>
      </c>
      <c r="H439" s="25" t="inlineStr">
        <is>
          <t>15/04/2025</t>
        </is>
      </c>
      <c r="I439" s="25" t="n"/>
      <c r="J439" s="25" t="inlineStr">
        <is>
          <t>MANU DITZEL</t>
        </is>
      </c>
      <c r="K439" s="25" t="inlineStr">
        <is>
          <t>Manu Ditzel</t>
        </is>
      </c>
      <c r="L439" s="25" t="n">
        <v>269</v>
      </c>
      <c r="M439" s="25" t="inlineStr">
        <is>
          <t>22/05/2025</t>
        </is>
      </c>
      <c r="N439" s="25" t="n">
        <v>3147.22</v>
      </c>
      <c r="O439" s="25" t="n">
        <v>7</v>
      </c>
      <c r="P439" s="25" t="inlineStr">
        <is>
          <t>Sim</t>
        </is>
      </c>
      <c r="Q439" s="25" t="n">
        <v>112</v>
      </c>
      <c r="R439" s="25" t="n">
        <v>61</v>
      </c>
      <c r="S439" s="25" t="n"/>
      <c r="T439" s="25" t="n"/>
      <c r="U439" s="25" t="n">
        <v>0</v>
      </c>
      <c r="V439" s="25" t="n">
        <v>0</v>
      </c>
      <c r="W439" s="25" t="n">
        <v>3147.22</v>
      </c>
      <c r="X439" s="25" t="n">
        <v>0</v>
      </c>
      <c r="Y439" s="25" t="n">
        <v>0</v>
      </c>
      <c r="Z439" s="25" t="n">
        <v>0</v>
      </c>
      <c r="AA439" s="25" t="n">
        <v>0</v>
      </c>
      <c r="AB439" s="25" t="n">
        <v>0</v>
      </c>
      <c r="AC439" s="25" t="n">
        <v>0</v>
      </c>
      <c r="AD439" s="25" t="n">
        <v>0</v>
      </c>
      <c r="AE439" s="25" t="n">
        <v>0</v>
      </c>
      <c r="AF439" s="25" t="n">
        <v>0</v>
      </c>
      <c r="AG439" s="25" t="n">
        <v>0</v>
      </c>
      <c r="AH439" s="25" t="n">
        <v>1</v>
      </c>
      <c r="AI439" s="25" t="inlineStr">
        <is>
          <t>A</t>
        </is>
      </c>
      <c r="AJ439" s="25" t="n">
        <v>1</v>
      </c>
      <c r="AK439" s="25" t="n">
        <v>3147.22</v>
      </c>
      <c r="AL439" s="26" t="n">
        <v>46036.68402777778</v>
      </c>
      <c r="AM439" s="26" t="n">
        <v>46036.68402777778</v>
      </c>
      <c r="AN439" s="25" t="inlineStr">
        <is>
          <t>WHATSAPP</t>
        </is>
      </c>
      <c r="AO439" s="25" t="inlineStr">
        <is>
          <t>RECOMPRA | Nova abordagem - Linha Disney</t>
        </is>
      </c>
      <c r="AP439" s="27">
        <f>IF(AH439="","",IF(AH439=0,"PROSPECT",IF(AH439=1,"NOVO",IF(AH439&lt;=3,"EM DESENVOLVIMENTO",IF(AH439&lt;=6,"RECORRENTE","FIDELIZADO")))))</f>
        <v/>
      </c>
      <c r="AQ439" s="27">
        <f>IF(AJ439=0,0,IFERROR(SUM(U439:AF439)/AJ439,0))</f>
        <v/>
      </c>
      <c r="AS439" s="0" t="inlineStr">
        <is>
          <t>Carteira FEV/26</t>
        </is>
      </c>
    </row>
    <row r="440" ht="14.25" customHeight="1" s="16">
      <c r="A440" s="25" t="inlineStr">
        <is>
          <t>SACOLAO CURITIBA</t>
        </is>
      </c>
      <c r="B440" s="25" t="inlineStr">
        <is>
          <t>04846161000151</t>
        </is>
      </c>
      <c r="C440" s="25" t="inlineStr">
        <is>
          <t>KOGA &amp; LEITE LTDA</t>
        </is>
      </c>
      <c r="D440" s="25" t="inlineStr">
        <is>
          <t>PR</t>
        </is>
      </c>
      <c r="E440" s="25" t="inlineStr">
        <is>
          <t>CURITIBA</t>
        </is>
      </c>
      <c r="F440" s="25" t="inlineStr">
        <is>
          <t>Alcindo.nsa@hotmail.com</t>
        </is>
      </c>
      <c r="G440" s="25" t="inlineStr">
        <is>
          <t>+55 (41) 9915-6234</t>
        </is>
      </c>
      <c r="H440" s="25" t="inlineStr">
        <is>
          <t>30/07/2025</t>
        </is>
      </c>
      <c r="I440" s="25" t="n"/>
      <c r="J440" s="25" t="inlineStr">
        <is>
          <t>MANU DITZEL</t>
        </is>
      </c>
      <c r="K440" s="25" t="inlineStr">
        <is>
          <t>Manu Ditzel</t>
        </is>
      </c>
      <c r="L440" s="25" t="n">
        <v>123</v>
      </c>
      <c r="M440" s="25" t="inlineStr">
        <is>
          <t>15/10/2025</t>
        </is>
      </c>
      <c r="N440" s="25" t="n">
        <v>658.5599999999999</v>
      </c>
      <c r="O440" s="25" t="n"/>
      <c r="P440" s="25" t="n"/>
      <c r="Q440" s="25" t="n"/>
      <c r="R440" s="25" t="n"/>
      <c r="S440" s="25" t="n"/>
      <c r="T440" s="25" t="n"/>
      <c r="U440" s="25" t="n">
        <v>0</v>
      </c>
      <c r="V440" s="25" t="n">
        <v>0</v>
      </c>
      <c r="W440" s="25" t="n">
        <v>0</v>
      </c>
      <c r="X440" s="25" t="n">
        <v>0</v>
      </c>
      <c r="Y440" s="25" t="n">
        <v>938.73</v>
      </c>
      <c r="Z440" s="25" t="n">
        <v>665.76</v>
      </c>
      <c r="AA440" s="25" t="n">
        <v>0</v>
      </c>
      <c r="AB440" s="25" t="n">
        <v>658.5599999999999</v>
      </c>
      <c r="AC440" s="25" t="n">
        <v>0</v>
      </c>
      <c r="AD440" s="25" t="n">
        <v>0</v>
      </c>
      <c r="AE440" s="25" t="n">
        <v>0</v>
      </c>
      <c r="AF440" s="25" t="n">
        <v>0</v>
      </c>
      <c r="AG440" s="25" t="n">
        <v>38.5</v>
      </c>
      <c r="AH440" s="25" t="n">
        <v>3</v>
      </c>
      <c r="AI440" s="25" t="inlineStr">
        <is>
          <t>B</t>
        </is>
      </c>
      <c r="AJ440" s="25" t="n">
        <v>3</v>
      </c>
      <c r="AK440" s="25" t="n">
        <v>754.35</v>
      </c>
      <c r="AL440" s="26" t="n">
        <v>46064.69375</v>
      </c>
      <c r="AM440" s="26" t="n">
        <v>46064.69375</v>
      </c>
      <c r="AN440" s="25" t="inlineStr">
        <is>
          <t>WHATSAPP</t>
        </is>
      </c>
      <c r="AO440" s="25" t="inlineStr">
        <is>
          <t>CLIENTE TA PENSANDO EM TROCAR NOSSOS PRODUTOS POR JASMINE, E ESTOU TENTANDO NEGOCIAR PARA FECHAR CONOSCO !</t>
        </is>
      </c>
      <c r="AP440" s="27">
        <f>IF(AH440="","",IF(AH440=0,"PROSPECT",IF(AH440=1,"NOVO",IF(AH440&lt;=3,"EM DESENVOLVIMENTO",IF(AH440&lt;=6,"RECORRENTE","FIDELIZADO")))))</f>
        <v/>
      </c>
      <c r="AQ440" s="27">
        <f>IF(AJ440=0,0,IFERROR(SUM(U440:AF440)/AJ440,0))</f>
        <v/>
      </c>
      <c r="AS440" s="0" t="inlineStr">
        <is>
          <t>Carteira FEV/26 + Atend FEV/26</t>
        </is>
      </c>
    </row>
    <row r="441" ht="14.25" customHeight="1" s="16">
      <c r="A441" s="25" t="inlineStr">
        <is>
          <t>SAFITA DOCES</t>
        </is>
      </c>
      <c r="B441" s="25" t="inlineStr">
        <is>
          <t>43023380000192</t>
        </is>
      </c>
      <c r="C441" s="25" t="inlineStr">
        <is>
          <t>43.023.380 SOMAR IBRAHEM</t>
        </is>
      </c>
      <c r="D441" s="25" t="inlineStr">
        <is>
          <t>RJ</t>
        </is>
      </c>
      <c r="E441" s="25" t="inlineStr">
        <is>
          <t>RIO DE JANEIRO</t>
        </is>
      </c>
      <c r="F441" s="25" t="inlineStr">
        <is>
          <t>Safitadoces@gmail.com</t>
        </is>
      </c>
      <c r="G441" s="25" t="inlineStr">
        <is>
          <t>219996572344</t>
        </is>
      </c>
      <c r="H441" s="25" t="inlineStr">
        <is>
          <t>10/06/2025</t>
        </is>
      </c>
      <c r="I441" s="25" t="n"/>
      <c r="J441" s="25" t="inlineStr">
        <is>
          <t>MANU DITZEL</t>
        </is>
      </c>
      <c r="K441" s="25" t="inlineStr">
        <is>
          <t>Larissa Padilha</t>
        </is>
      </c>
      <c r="L441" s="25" t="n">
        <v>104</v>
      </c>
      <c r="M441" s="25" t="inlineStr">
        <is>
          <t>03/11/2025</t>
        </is>
      </c>
      <c r="N441" s="25" t="n">
        <v>1564</v>
      </c>
      <c r="O441" s="25" t="n">
        <v>4</v>
      </c>
      <c r="P441" s="25" t="inlineStr">
        <is>
          <t>Sim</t>
        </is>
      </c>
      <c r="Q441" s="25" t="n">
        <v>27</v>
      </c>
      <c r="R441" s="25" t="n">
        <v>1</v>
      </c>
      <c r="S441" s="25" t="n">
        <v>1564</v>
      </c>
      <c r="T441" s="25" t="inlineStr">
        <is>
          <t>COMPRA B2B</t>
        </is>
      </c>
      <c r="U441" s="25" t="n">
        <v>0</v>
      </c>
      <c r="V441" s="25" t="n">
        <v>0</v>
      </c>
      <c r="W441" s="25" t="n">
        <v>0</v>
      </c>
      <c r="X441" s="25" t="n">
        <v>1512</v>
      </c>
      <c r="Y441" s="25" t="n">
        <v>0</v>
      </c>
      <c r="Z441" s="25" t="n">
        <v>1490.4</v>
      </c>
      <c r="AA441" s="25" t="n">
        <v>0</v>
      </c>
      <c r="AB441" s="25" t="n">
        <v>0</v>
      </c>
      <c r="AC441" s="25" t="n">
        <v>1564</v>
      </c>
      <c r="AD441" s="25" t="n">
        <v>0</v>
      </c>
      <c r="AE441" s="25" t="n">
        <v>0</v>
      </c>
      <c r="AF441" s="25" t="n">
        <v>0</v>
      </c>
      <c r="AG441" s="25" t="n">
        <v>70</v>
      </c>
      <c r="AH441" s="25" t="n">
        <v>2</v>
      </c>
      <c r="AI441" s="25" t="inlineStr">
        <is>
          <t>A</t>
        </is>
      </c>
      <c r="AJ441" s="25" t="n">
        <v>3</v>
      </c>
      <c r="AK441" s="25" t="n">
        <v>2283.2</v>
      </c>
      <c r="AL441" s="26" t="n">
        <v>46059.49027777778</v>
      </c>
      <c r="AM441" s="26" t="n">
        <v>46059.49027777778</v>
      </c>
      <c r="AN441" s="25" t="inlineStr">
        <is>
          <t>WHATSAPP</t>
        </is>
      </c>
      <c r="AO441" s="25" t="inlineStr">
        <is>
          <t>NUTRIÇÃO</t>
        </is>
      </c>
      <c r="AP441" s="27">
        <f>IF(AH441="","",IF(AH441=0,"PROSPECT",IF(AH441=1,"NOVO",IF(AH441&lt;=3,"EM DESENVOLVIMENTO",IF(AH441&lt;=6,"RECORRENTE","FIDELIZADO")))))</f>
        <v/>
      </c>
      <c r="AQ441" s="27">
        <f>IF(AJ441=0,0,IFERROR(SUM(U441:AF441)/AJ441,0))</f>
        <v/>
      </c>
      <c r="AS441" s="0" t="inlineStr">
        <is>
          <t>Carteira FEV/26 + Atend FEV/26</t>
        </is>
      </c>
    </row>
    <row r="442" ht="14.25" customHeight="1" s="16">
      <c r="A442" s="25" t="inlineStr">
        <is>
          <t>SAGAZ E DAMAZIO</t>
        </is>
      </c>
      <c r="B442" s="25" t="inlineStr">
        <is>
          <t>61357031000199</t>
        </is>
      </c>
      <c r="C442" s="25" t="inlineStr">
        <is>
          <t>DAMAZIO COMERCIO DE ALIMENTOS LTDA</t>
        </is>
      </c>
      <c r="D442" s="25" t="inlineStr">
        <is>
          <t>SC</t>
        </is>
      </c>
      <c r="E442" s="25" t="inlineStr">
        <is>
          <t>FLORIANOPOLIS</t>
        </is>
      </c>
      <c r="F442" s="25" t="inlineStr">
        <is>
          <t>fitlandfloripacentro@gmail.com</t>
        </is>
      </c>
      <c r="G442" s="25" t="inlineStr">
        <is>
          <t>+55 (48) 9146-8756</t>
        </is>
      </c>
      <c r="H442" s="25" t="inlineStr">
        <is>
          <t>15/07/2025</t>
        </is>
      </c>
      <c r="I442" s="25" t="inlineStr">
        <is>
          <t>[Rede] Fit Land</t>
        </is>
      </c>
      <c r="J442" s="25" t="inlineStr">
        <is>
          <t>LARISSA PADILHA</t>
        </is>
      </c>
      <c r="K442" s="25" t="inlineStr">
        <is>
          <t>Larissa Padilha</t>
        </is>
      </c>
      <c r="L442" s="25" t="n">
        <v>213</v>
      </c>
      <c r="M442" s="25" t="inlineStr">
        <is>
          <t>17/07/2025</t>
        </is>
      </c>
      <c r="N442" s="25" t="n">
        <v>1099.98</v>
      </c>
      <c r="O442" s="25" t="n"/>
      <c r="P442" s="25" t="n"/>
      <c r="Q442" s="25" t="n"/>
      <c r="R442" s="25" t="n"/>
      <c r="S442" s="25" t="n"/>
      <c r="T442" s="25" t="n"/>
      <c r="U442" s="25" t="n">
        <v>0</v>
      </c>
      <c r="V442" s="25" t="n">
        <v>0</v>
      </c>
      <c r="W442" s="25" t="n">
        <v>0</v>
      </c>
      <c r="X442" s="25" t="n">
        <v>0</v>
      </c>
      <c r="Y442" s="25" t="n">
        <v>1099.98</v>
      </c>
      <c r="Z442" s="25" t="n">
        <v>0</v>
      </c>
      <c r="AA442" s="25" t="n">
        <v>0</v>
      </c>
      <c r="AB442" s="25" t="n">
        <v>0</v>
      </c>
      <c r="AC442" s="25" t="n">
        <v>0</v>
      </c>
      <c r="AD442" s="25" t="n">
        <v>0</v>
      </c>
      <c r="AE442" s="25" t="n">
        <v>0</v>
      </c>
      <c r="AF442" s="25" t="n">
        <v>0</v>
      </c>
      <c r="AG442" s="25" t="n">
        <v>0</v>
      </c>
      <c r="AH442" s="25" t="n">
        <v>1</v>
      </c>
      <c r="AI442" s="25" t="inlineStr">
        <is>
          <t>C</t>
        </is>
      </c>
      <c r="AJ442" s="25" t="n">
        <v>1</v>
      </c>
      <c r="AK442" s="25" t="n">
        <v>1099.98</v>
      </c>
      <c r="AL442" s="26" t="n">
        <v>45950.3503587963</v>
      </c>
      <c r="AM442" s="26" t="n">
        <v>45950.3503587963</v>
      </c>
      <c r="AN442" s="25" t="inlineStr">
        <is>
          <t>WHATSAPP</t>
        </is>
      </c>
      <c r="AO442" s="25" t="inlineStr">
        <is>
          <t>FITLAND - FLORIPA - DAMAZIO</t>
        </is>
      </c>
      <c r="AP442" s="27">
        <f>IF(AH442="","",IF(AH442=0,"PROSPECT",IF(AH442=1,"NOVO",IF(AH442&lt;=3,"EM DESENVOLVIMENTO",IF(AH442&lt;=6,"RECORRENTE","FIDELIZADO")))))</f>
        <v/>
      </c>
      <c r="AQ442" s="27">
        <f>IF(AJ442=0,0,IFERROR(SUM(U442:AF442)/AJ442,0))</f>
        <v/>
      </c>
      <c r="AS442" s="0" t="inlineStr">
        <is>
          <t>Carteira FEV/26</t>
        </is>
      </c>
    </row>
    <row r="443" ht="14.25" customHeight="1" s="16">
      <c r="A443" s="25" t="inlineStr">
        <is>
          <t>SAINT CLAIRE BAKERY</t>
        </is>
      </c>
      <c r="B443" s="25" t="inlineStr">
        <is>
          <t>31833282000131</t>
        </is>
      </c>
      <c r="C443" s="25" t="inlineStr">
        <is>
          <t>PANIFICADORA E CONFEITARIA ATLANTA LTDA</t>
        </is>
      </c>
      <c r="D443" s="25" t="inlineStr">
        <is>
          <t>PR</t>
        </is>
      </c>
      <c r="E443" s="25" t="inlineStr">
        <is>
          <t>CURITIBA</t>
        </is>
      </c>
      <c r="F443" s="25" t="inlineStr">
        <is>
          <t>compras@saintclairebakery.com.br</t>
        </is>
      </c>
      <c r="G443" s="25" t="inlineStr">
        <is>
          <t>+55 (41) 9981-2308</t>
        </is>
      </c>
      <c r="H443" s="25" t="inlineStr">
        <is>
          <t>07/05/2025</t>
        </is>
      </c>
      <c r="I443" s="25" t="n"/>
      <c r="J443" s="25" t="inlineStr">
        <is>
          <t>JULIO GADRET</t>
        </is>
      </c>
      <c r="K443" s="25" t="inlineStr">
        <is>
          <t>Julio Gadret</t>
        </is>
      </c>
      <c r="L443" s="25" t="n">
        <v>281</v>
      </c>
      <c r="M443" s="25" t="inlineStr">
        <is>
          <t>10/05/2025</t>
        </is>
      </c>
      <c r="N443" s="25" t="n">
        <v>2177.3</v>
      </c>
      <c r="O443" s="25" t="n"/>
      <c r="P443" s="25" t="n"/>
      <c r="Q443" s="25" t="n"/>
      <c r="R443" s="25" t="n"/>
      <c r="S443" s="25" t="n"/>
      <c r="T443" s="25" t="n"/>
      <c r="U443" s="25" t="n">
        <v>0</v>
      </c>
      <c r="V443" s="25" t="n">
        <v>0</v>
      </c>
      <c r="W443" s="25" t="n">
        <v>2177.3</v>
      </c>
      <c r="X443" s="25" t="n">
        <v>0</v>
      </c>
      <c r="Y443" s="25" t="n">
        <v>0</v>
      </c>
      <c r="Z443" s="25" t="n">
        <v>0</v>
      </c>
      <c r="AA443" s="25" t="n">
        <v>0</v>
      </c>
      <c r="AB443" s="25" t="n">
        <v>0</v>
      </c>
      <c r="AC443" s="25" t="n">
        <v>0</v>
      </c>
      <c r="AD443" s="25" t="n">
        <v>0</v>
      </c>
      <c r="AE443" s="25" t="n">
        <v>0</v>
      </c>
      <c r="AF443" s="25" t="n">
        <v>0</v>
      </c>
      <c r="AG443" s="25" t="n">
        <v>0</v>
      </c>
      <c r="AH443" s="25" t="n">
        <v>1</v>
      </c>
      <c r="AI443" s="25" t="inlineStr">
        <is>
          <t>B</t>
        </is>
      </c>
      <c r="AJ443" s="25" t="n">
        <v>1</v>
      </c>
      <c r="AK443" s="25" t="n">
        <v>2177.3</v>
      </c>
      <c r="AL443" s="26" t="n">
        <v>45817.73888888889</v>
      </c>
      <c r="AM443" s="26" t="n">
        <v>45817.73888888889</v>
      </c>
      <c r="AN443" s="25" t="inlineStr">
        <is>
          <t>WHATSAPP</t>
        </is>
      </c>
      <c r="AO443" s="28" t="inlineStr">
        <is>
          <t>*Portal de pedidos:* https://vitaomais.meuspedidos.com.br/ *Login:* compras@saintclairebakery.com.br *Senha:* 456086</t>
        </is>
      </c>
      <c r="AP443" s="27">
        <f>IF(AH443="","",IF(AH443=0,"PROSPECT",IF(AH443=1,"NOVO",IF(AH443&lt;=3,"EM DESENVOLVIMENTO",IF(AH443&lt;=6,"RECORRENTE","FIDELIZADO")))))</f>
        <v/>
      </c>
      <c r="AQ443" s="27">
        <f>IF(AJ443=0,0,IFERROR(SUM(U443:AF443)/AJ443,0))</f>
        <v/>
      </c>
      <c r="AS443" s="0" t="inlineStr">
        <is>
          <t>Carteira FEV/26</t>
        </is>
      </c>
    </row>
    <row r="444" ht="14.25" customHeight="1" s="16">
      <c r="A444" s="25" t="inlineStr">
        <is>
          <t>SALES SUPERMERCADO</t>
        </is>
      </c>
      <c r="B444" s="25" t="inlineStr">
        <is>
          <t>34901637000170</t>
        </is>
      </c>
      <c r="C444" s="25" t="inlineStr">
        <is>
          <t>MERCANTIL SALES LTDA</t>
        </is>
      </c>
      <c r="D444" s="25" t="inlineStr">
        <is>
          <t>PA</t>
        </is>
      </c>
      <c r="E444" s="25" t="inlineStr">
        <is>
          <t>ITAITUBA</t>
        </is>
      </c>
      <c r="F444" s="25" t="inlineStr">
        <is>
          <t>Anaceliaitb@hotmail.com</t>
        </is>
      </c>
      <c r="G444" s="25" t="inlineStr">
        <is>
          <t>+55 (93) 99104-1411</t>
        </is>
      </c>
      <c r="H444" s="25" t="inlineStr">
        <is>
          <t>30/04/2025</t>
        </is>
      </c>
      <c r="I444" s="25" t="n"/>
      <c r="J444" s="25" t="inlineStr">
        <is>
          <t>LARISSA PADILHA</t>
        </is>
      </c>
      <c r="K444" s="25" t="inlineStr">
        <is>
          <t>Larissa Padilha</t>
        </is>
      </c>
      <c r="L444" s="25" t="n">
        <v>102</v>
      </c>
      <c r="M444" s="25" t="inlineStr">
        <is>
          <t>05/11/2025</t>
        </is>
      </c>
      <c r="N444" s="25" t="n">
        <v>2534.4</v>
      </c>
      <c r="O444" s="25" t="n"/>
      <c r="P444" s="25" t="n"/>
      <c r="Q444" s="25" t="n"/>
      <c r="R444" s="25" t="n"/>
      <c r="S444" s="25" t="n"/>
      <c r="T444" s="25" t="n"/>
      <c r="U444" s="25" t="n">
        <v>0</v>
      </c>
      <c r="V444" s="25" t="n">
        <v>0</v>
      </c>
      <c r="W444" s="25" t="n">
        <v>2713</v>
      </c>
      <c r="X444" s="25" t="n">
        <v>4506.85</v>
      </c>
      <c r="Y444" s="25" t="n">
        <v>0</v>
      </c>
      <c r="Z444" s="25" t="n">
        <v>3280.39</v>
      </c>
      <c r="AA444" s="25" t="n">
        <v>0</v>
      </c>
      <c r="AB444" s="25" t="n">
        <v>0</v>
      </c>
      <c r="AC444" s="25" t="n">
        <v>2534.4</v>
      </c>
      <c r="AD444" s="25" t="n">
        <v>0</v>
      </c>
      <c r="AE444" s="25" t="n">
        <v>0</v>
      </c>
      <c r="AF444" s="25" t="n">
        <v>0</v>
      </c>
      <c r="AG444" s="25" t="n">
        <v>61</v>
      </c>
      <c r="AH444" s="25" t="n">
        <v>3</v>
      </c>
      <c r="AI444" s="25" t="inlineStr">
        <is>
          <t>A</t>
        </is>
      </c>
      <c r="AJ444" s="25" t="n">
        <v>4</v>
      </c>
      <c r="AK444" s="25" t="n">
        <v>4344.88</v>
      </c>
      <c r="AL444" s="26" t="n">
        <v>46056.79049768519</v>
      </c>
      <c r="AM444" s="26" t="n">
        <v>46056.79049768519</v>
      </c>
      <c r="AN444" s="25" t="inlineStr">
        <is>
          <t>WHATSAPP</t>
        </is>
      </c>
      <c r="AO444" s="25" t="inlineStr">
        <is>
          <t>MERCANTIL SALES - ELAINE - PA</t>
        </is>
      </c>
      <c r="AP444" s="27">
        <f>IF(AH444="","",IF(AH444=0,"PROSPECT",IF(AH444=1,"NOVO",IF(AH444&lt;=3,"EM DESENVOLVIMENTO",IF(AH444&lt;=6,"RECORRENTE","FIDELIZADO")))))</f>
        <v/>
      </c>
      <c r="AQ444" s="27">
        <f>IF(AJ444=0,0,IFERROR(SUM(U444:AF444)/AJ444,0))</f>
        <v/>
      </c>
      <c r="AS444" s="0" t="inlineStr">
        <is>
          <t>Carteira FEV/26 + Atend FEV/26</t>
        </is>
      </c>
    </row>
    <row r="445" ht="14.25" customHeight="1" s="16">
      <c r="A445" s="25" t="inlineStr">
        <is>
          <t>SAUDE TOTAL</t>
        </is>
      </c>
      <c r="B445" s="25" t="inlineStr">
        <is>
          <t>58281843000193</t>
        </is>
      </c>
      <c r="C445" s="25" t="inlineStr">
        <is>
          <t>GS SUPLEMENTOS LTDA</t>
        </is>
      </c>
      <c r="D445" s="25" t="inlineStr">
        <is>
          <t>RS</t>
        </is>
      </c>
      <c r="E445" s="25" t="inlineStr">
        <is>
          <t>MARAU</t>
        </is>
      </c>
      <c r="F445" s="25" t="inlineStr">
        <is>
          <t>saudetotalmarau@gmail.com</t>
        </is>
      </c>
      <c r="G445" s="25" t="inlineStr">
        <is>
          <t>+55 (54) 9958-7823</t>
        </is>
      </c>
      <c r="H445" s="25" t="inlineStr">
        <is>
          <t>12/06/2025</t>
        </is>
      </c>
      <c r="I445" s="25" t="n"/>
      <c r="J445" s="25" t="inlineStr">
        <is>
          <t>MANU DITZEL</t>
        </is>
      </c>
      <c r="K445" s="25" t="inlineStr">
        <is>
          <t>Manu Ditzel</t>
        </is>
      </c>
      <c r="L445" s="25" t="n">
        <v>240</v>
      </c>
      <c r="M445" s="25" t="inlineStr">
        <is>
          <t>20/06/2025</t>
        </is>
      </c>
      <c r="N445" s="25" t="n">
        <v>702.86</v>
      </c>
      <c r="O445" s="25" t="n">
        <v>3</v>
      </c>
      <c r="P445" s="25" t="inlineStr">
        <is>
          <t>Sim</t>
        </is>
      </c>
      <c r="Q445" s="25" t="n">
        <v>23</v>
      </c>
      <c r="R445" s="25" t="n">
        <v>6</v>
      </c>
      <c r="S445" s="25" t="n">
        <v>702.86</v>
      </c>
      <c r="T445" s="25" t="inlineStr">
        <is>
          <t>COMPRA B2B</t>
        </is>
      </c>
      <c r="U445" s="25" t="n">
        <v>0</v>
      </c>
      <c r="V445" s="25" t="n">
        <v>0</v>
      </c>
      <c r="W445" s="25" t="n">
        <v>0</v>
      </c>
      <c r="X445" s="25" t="n">
        <v>702.86</v>
      </c>
      <c r="Y445" s="25" t="n">
        <v>0</v>
      </c>
      <c r="Z445" s="25" t="n">
        <v>0</v>
      </c>
      <c r="AA445" s="25" t="n">
        <v>0</v>
      </c>
      <c r="AB445" s="25" t="n">
        <v>0</v>
      </c>
      <c r="AC445" s="25" t="n">
        <v>0</v>
      </c>
      <c r="AD445" s="25" t="n">
        <v>0</v>
      </c>
      <c r="AE445" s="25" t="n">
        <v>0</v>
      </c>
      <c r="AF445" s="25" t="n">
        <v>0</v>
      </c>
      <c r="AG445" s="25" t="n">
        <v>0</v>
      </c>
      <c r="AH445" s="25" t="n">
        <v>1</v>
      </c>
      <c r="AI445" s="25" t="inlineStr">
        <is>
          <t>C</t>
        </is>
      </c>
      <c r="AJ445" s="25" t="n">
        <v>1</v>
      </c>
      <c r="AK445" s="25" t="n">
        <v>702.86</v>
      </c>
      <c r="AL445" s="26" t="n">
        <v>45987.60398148148</v>
      </c>
      <c r="AM445" s="26" t="n">
        <v>45987.60398148148</v>
      </c>
      <c r="AN445" s="25" t="inlineStr">
        <is>
          <t>WHATSAPP</t>
        </is>
      </c>
      <c r="AO445" s="25" t="inlineStr">
        <is>
          <t>Saude total - Talice Ghion</t>
        </is>
      </c>
      <c r="AP445" s="27">
        <f>IF(AH445="","",IF(AH445=0,"PROSPECT",IF(AH445=1,"NOVO",IF(AH445&lt;=3,"EM DESENVOLVIMENTO",IF(AH445&lt;=6,"RECORRENTE","FIDELIZADO")))))</f>
        <v/>
      </c>
      <c r="AQ445" s="27">
        <f>IF(AJ445=0,0,IFERROR(SUM(U445:AF445)/AJ445,0))</f>
        <v/>
      </c>
      <c r="AS445" s="0" t="inlineStr">
        <is>
          <t>Carteira FEV/26</t>
        </is>
      </c>
    </row>
    <row r="446" ht="14.25" customHeight="1" s="16">
      <c r="A446" s="25" t="inlineStr">
        <is>
          <t>SEMEANDO</t>
        </is>
      </c>
      <c r="B446" s="25" t="inlineStr">
        <is>
          <t>62862222000170</t>
        </is>
      </c>
      <c r="C446" s="25" t="inlineStr">
        <is>
          <t>SEMEANDO PRODUTOS NATURAIS LTDA</t>
        </is>
      </c>
      <c r="D446" s="25" t="inlineStr">
        <is>
          <t>SP</t>
        </is>
      </c>
      <c r="E446" s="25" t="inlineStr">
        <is>
          <t>LIMEIRA</t>
        </is>
      </c>
      <c r="F446" s="25" t="inlineStr">
        <is>
          <t>semeandocompras@gmail.com</t>
        </is>
      </c>
      <c r="G446" s="25" t="inlineStr">
        <is>
          <t>+55 (19) 99812-4261</t>
        </is>
      </c>
      <c r="H446" s="25" t="inlineStr">
        <is>
          <t>08/10/2024</t>
        </is>
      </c>
      <c r="I446" s="25" t="n"/>
      <c r="J446" s="25" t="inlineStr">
        <is>
          <t>LARISSA PADILHA</t>
        </is>
      </c>
      <c r="K446" s="25" t="inlineStr">
        <is>
          <t>Larissa Padilha</t>
        </is>
      </c>
      <c r="L446" s="25" t="n">
        <v>123</v>
      </c>
      <c r="M446" s="25" t="inlineStr">
        <is>
          <t>15/10/2025</t>
        </is>
      </c>
      <c r="N446" s="25" t="n">
        <v>697.3099999999999</v>
      </c>
      <c r="O446" s="25" t="n">
        <v>2</v>
      </c>
      <c r="P446" s="25" t="inlineStr">
        <is>
          <t>Sim</t>
        </is>
      </c>
      <c r="Q446" s="25" t="n">
        <v>7</v>
      </c>
      <c r="R446" s="25" t="n"/>
      <c r="S446" s="25" t="n"/>
      <c r="T446" s="25" t="n"/>
      <c r="U446" s="25" t="n">
        <v>0</v>
      </c>
      <c r="V446" s="25" t="n">
        <v>0</v>
      </c>
      <c r="W446" s="25" t="n">
        <v>0</v>
      </c>
      <c r="X446" s="25" t="n">
        <v>0</v>
      </c>
      <c r="Y446" s="25" t="n">
        <v>0</v>
      </c>
      <c r="Z446" s="25" t="n">
        <v>0</v>
      </c>
      <c r="AA446" s="25" t="n">
        <v>0</v>
      </c>
      <c r="AB446" s="25" t="n">
        <v>697.3099999999999</v>
      </c>
      <c r="AC446" s="25" t="n">
        <v>0</v>
      </c>
      <c r="AD446" s="25" t="n">
        <v>0</v>
      </c>
      <c r="AE446" s="25" t="n">
        <v>0</v>
      </c>
      <c r="AF446" s="25" t="n">
        <v>0</v>
      </c>
      <c r="AG446" s="25" t="n">
        <v>0</v>
      </c>
      <c r="AH446" s="25" t="n">
        <v>1</v>
      </c>
      <c r="AI446" s="25" t="inlineStr">
        <is>
          <t>C</t>
        </is>
      </c>
      <c r="AJ446" s="25" t="n">
        <v>1</v>
      </c>
      <c r="AK446" s="25" t="n">
        <v>697.3099999999999</v>
      </c>
      <c r="AL446" s="26" t="n">
        <v>46029.41618055556</v>
      </c>
      <c r="AM446" s="26" t="n">
        <v>46029.41618055556</v>
      </c>
      <c r="AN446" s="25" t="inlineStr">
        <is>
          <t>WHATSAPP</t>
        </is>
      </c>
      <c r="AO446" s="25" t="inlineStr">
        <is>
          <t>SEMEANDO - BRUNA/HILDA - SP</t>
        </is>
      </c>
      <c r="AP446" s="27">
        <f>IF(AH446="","",IF(AH446=0,"PROSPECT",IF(AH446=1,"NOVO",IF(AH446&lt;=3,"EM DESENVOLVIMENTO",IF(AH446&lt;=6,"RECORRENTE","FIDELIZADO")))))</f>
        <v/>
      </c>
      <c r="AQ446" s="27">
        <f>IF(AJ446=0,0,IFERROR(SUM(U446:AF446)/AJ446,0))</f>
        <v/>
      </c>
      <c r="AS446" s="0" t="inlineStr">
        <is>
          <t>Carteira FEV/26</t>
        </is>
      </c>
    </row>
    <row r="447" ht="14.25" customHeight="1" s="16">
      <c r="A447" s="25" t="inlineStr">
        <is>
          <t>SHOPPER COMERCIO ALIMENTICIO LTDA</t>
        </is>
      </c>
      <c r="B447" s="25" t="inlineStr">
        <is>
          <t>24583557000322</t>
        </is>
      </c>
      <c r="C447" s="25" t="inlineStr">
        <is>
          <t>SHOPPER COMERCIO ALIMENTICIO LTDA</t>
        </is>
      </c>
      <c r="D447" s="25" t="inlineStr">
        <is>
          <t>SP</t>
        </is>
      </c>
      <c r="E447" s="25" t="inlineStr">
        <is>
          <t>OSASCO</t>
        </is>
      </c>
      <c r="F447" s="25" t="inlineStr">
        <is>
          <t>compras@shopper.com.br</t>
        </is>
      </c>
      <c r="G447" s="25" t="inlineStr">
        <is>
          <t>+55 (11) 4081-1061</t>
        </is>
      </c>
      <c r="H447" s="25" t="inlineStr">
        <is>
          <t>06/05/2025</t>
        </is>
      </c>
      <c r="I447" s="25" t="inlineStr">
        <is>
          <t>[Rede] Shopper</t>
        </is>
      </c>
      <c r="J447" s="25" t="inlineStr">
        <is>
          <t>DAIANE STAVICKI</t>
        </is>
      </c>
      <c r="K447" s="25" t="inlineStr">
        <is>
          <t>Central - Daiane</t>
        </is>
      </c>
      <c r="L447" s="25" t="n">
        <v>131</v>
      </c>
      <c r="M447" s="25" t="inlineStr">
        <is>
          <t>07/10/2025</t>
        </is>
      </c>
      <c r="N447" s="25" t="n">
        <v>1571</v>
      </c>
      <c r="O447" s="25" t="n"/>
      <c r="P447" s="25" t="n"/>
      <c r="Q447" s="25" t="n"/>
      <c r="R447" s="25" t="n"/>
      <c r="S447" s="25" t="n"/>
      <c r="T447" s="25" t="n"/>
      <c r="U447" s="25" t="n">
        <v>0</v>
      </c>
      <c r="V447" s="25" t="n">
        <v>0</v>
      </c>
      <c r="W447" s="25" t="n">
        <v>3316.08</v>
      </c>
      <c r="X447" s="25" t="n">
        <v>0</v>
      </c>
      <c r="Y447" s="25" t="n">
        <v>0</v>
      </c>
      <c r="Z447" s="25" t="n">
        <v>0</v>
      </c>
      <c r="AA447" s="25" t="n">
        <v>0</v>
      </c>
      <c r="AB447" s="25" t="n">
        <v>1571</v>
      </c>
      <c r="AC447" s="25" t="n">
        <v>0</v>
      </c>
      <c r="AD447" s="25" t="n">
        <v>0</v>
      </c>
      <c r="AE447" s="25" t="n">
        <v>0</v>
      </c>
      <c r="AF447" s="25" t="n">
        <v>0</v>
      </c>
      <c r="AG447" s="25" t="n">
        <v>76.5</v>
      </c>
      <c r="AH447" s="25" t="n">
        <v>3</v>
      </c>
      <c r="AI447" s="25" t="inlineStr">
        <is>
          <t>A</t>
        </is>
      </c>
      <c r="AJ447" s="25" t="n">
        <v>2</v>
      </c>
      <c r="AK447" s="25" t="n">
        <v>1629.03</v>
      </c>
      <c r="AL447" s="26" t="n">
        <v>45925.57777777778</v>
      </c>
      <c r="AM447" s="26" t="n">
        <v>45925.57777777778</v>
      </c>
      <c r="AN447" s="25" t="inlineStr">
        <is>
          <t>OUTROS</t>
        </is>
      </c>
      <c r="AO447" s="25" t="inlineStr">
        <is>
          <t>Não consegui contato</t>
        </is>
      </c>
      <c r="AP447" s="27">
        <f>IF(AH447="","",IF(AH447=0,"PROSPECT",IF(AH447=1,"NOVO",IF(AH447&lt;=3,"EM DESENVOLVIMENTO",IF(AH447&lt;=6,"RECORRENTE","FIDELIZADO")))))</f>
        <v/>
      </c>
      <c r="AQ447" s="27">
        <f>IF(AJ447=0,0,IFERROR(SUM(U447:AF447)/AJ447,0))</f>
        <v/>
      </c>
      <c r="AS447" s="0" t="inlineStr">
        <is>
          <t>Carteira FEV/26</t>
        </is>
      </c>
    </row>
    <row r="448" ht="14.25" customHeight="1" s="16">
      <c r="A448" s="25" t="inlineStr">
        <is>
          <t>SHOPPING NATURAL</t>
        </is>
      </c>
      <c r="B448" s="25" t="inlineStr">
        <is>
          <t>15428647000196</t>
        </is>
      </c>
      <c r="C448" s="25" t="inlineStr">
        <is>
          <t>R. DOS SANTOS COSTA CAMATTI EIRELI</t>
        </is>
      </c>
      <c r="D448" s="25" t="inlineStr">
        <is>
          <t>MT</t>
        </is>
      </c>
      <c r="E448" s="25" t="inlineStr">
        <is>
          <t>SINOP</t>
        </is>
      </c>
      <c r="F448" s="25" t="inlineStr">
        <is>
          <t>shopping.natural@hotmail.com</t>
        </is>
      </c>
      <c r="G448" s="25" t="inlineStr">
        <is>
          <t>+55 (66) 99928-0039</t>
        </is>
      </c>
      <c r="H448" s="25" t="inlineStr">
        <is>
          <t>08/10/2024</t>
        </is>
      </c>
      <c r="I448" s="25" t="n"/>
      <c r="J448" s="25" t="inlineStr">
        <is>
          <t>MANU DITZEL</t>
        </is>
      </c>
      <c r="K448" s="25" t="inlineStr">
        <is>
          <t>Manu Ditzel</t>
        </is>
      </c>
      <c r="L448" s="25" t="n">
        <v>171</v>
      </c>
      <c r="M448" s="25" t="inlineStr">
        <is>
          <t>28/08/2025</t>
        </is>
      </c>
      <c r="N448" s="25" t="n">
        <v>998.4</v>
      </c>
      <c r="O448" s="25" t="n">
        <v>2</v>
      </c>
      <c r="P448" s="25" t="inlineStr">
        <is>
          <t>Sim</t>
        </is>
      </c>
      <c r="Q448" s="25" t="n">
        <v>55</v>
      </c>
      <c r="R448" s="25" t="n">
        <v>9</v>
      </c>
      <c r="S448" s="25" t="n">
        <v>998.4</v>
      </c>
      <c r="T448" s="25" t="inlineStr">
        <is>
          <t>COMPRA B2B</t>
        </is>
      </c>
      <c r="U448" s="25" t="n">
        <v>0</v>
      </c>
      <c r="V448" s="25" t="n">
        <v>6366.31</v>
      </c>
      <c r="W448" s="25" t="n">
        <v>0</v>
      </c>
      <c r="X448" s="25" t="n">
        <v>0</v>
      </c>
      <c r="Y448" s="25" t="n">
        <v>2308.56</v>
      </c>
      <c r="Z448" s="25" t="n">
        <v>998.4</v>
      </c>
      <c r="AA448" s="25" t="n">
        <v>0</v>
      </c>
      <c r="AB448" s="25" t="n">
        <v>0</v>
      </c>
      <c r="AC448" s="25" t="n">
        <v>0</v>
      </c>
      <c r="AD448" s="25" t="n">
        <v>0</v>
      </c>
      <c r="AE448" s="25" t="n">
        <v>0</v>
      </c>
      <c r="AF448" s="25" t="n">
        <v>0</v>
      </c>
      <c r="AG448" s="25" t="n">
        <v>60.5</v>
      </c>
      <c r="AH448" s="25" t="n">
        <v>3</v>
      </c>
      <c r="AI448" s="25" t="inlineStr">
        <is>
          <t>A</t>
        </is>
      </c>
      <c r="AJ448" s="25" t="n">
        <v>3</v>
      </c>
      <c r="AK448" s="25" t="n">
        <v>3224.42</v>
      </c>
      <c r="AL448" s="26" t="n">
        <v>46049.43472222222</v>
      </c>
      <c r="AM448" s="26" t="n">
        <v>46049.43472222222</v>
      </c>
      <c r="AN448" s="25" t="inlineStr">
        <is>
          <t>WHATSAPP</t>
        </is>
      </c>
      <c r="AO448" s="25" t="inlineStr">
        <is>
          <t>SUPORTE | Aguardando retorno da Simone quanto ao frete, se posso dar sequência no pedido</t>
        </is>
      </c>
      <c r="AP448" s="27">
        <f>IF(AH448="","",IF(AH448=0,"PROSPECT",IF(AH448=1,"NOVO",IF(AH448&lt;=3,"EM DESENVOLVIMENTO",IF(AH448&lt;=6,"RECORRENTE","FIDELIZADO")))))</f>
        <v/>
      </c>
      <c r="AQ448" s="27">
        <f>IF(AJ448=0,0,IFERROR(SUM(U448:AF448)/AJ448,0))</f>
        <v/>
      </c>
      <c r="AS448" s="0" t="inlineStr">
        <is>
          <t>Carteira FEV/26</t>
        </is>
      </c>
    </row>
    <row r="449" ht="14.25" customHeight="1" s="16">
      <c r="A449" s="25" t="inlineStr">
        <is>
          <t>SIMPLES E SAUDAVEL COMERCIO PRODUTOS NATURAIS LTDA</t>
        </is>
      </c>
      <c r="B449" s="25" t="inlineStr">
        <is>
          <t>41418074000120</t>
        </is>
      </c>
      <c r="C449" s="25" t="inlineStr">
        <is>
          <t>SIMPLES E SAUDAVEL COMERCIO PRODUTOS NATURAIS LTDA</t>
        </is>
      </c>
      <c r="D449" s="25" t="inlineStr">
        <is>
          <t>SP</t>
        </is>
      </c>
      <c r="E449" s="25" t="inlineStr">
        <is>
          <t>COSMOPOLIS</t>
        </is>
      </c>
      <c r="F449" s="25" t="inlineStr">
        <is>
          <t>simples.saudavel@gmail.com</t>
        </is>
      </c>
      <c r="G449" s="25" t="inlineStr">
        <is>
          <t>+55 (19) 99169-5342</t>
        </is>
      </c>
      <c r="H449" s="25" t="inlineStr">
        <is>
          <t>12/06/2025</t>
        </is>
      </c>
      <c r="I449" s="25" t="n"/>
      <c r="J449" s="25" t="inlineStr">
        <is>
          <t>LARISSA PADILHA</t>
        </is>
      </c>
      <c r="K449" s="25" t="inlineStr">
        <is>
          <t>Larissa Padilha</t>
        </is>
      </c>
      <c r="L449" s="25" t="n">
        <v>122</v>
      </c>
      <c r="M449" s="25" t="inlineStr">
        <is>
          <t>16/10/2025</t>
        </is>
      </c>
      <c r="N449" s="25" t="n">
        <v>7124.37</v>
      </c>
      <c r="O449" s="25" t="n"/>
      <c r="P449" s="25" t="n"/>
      <c r="Q449" s="25" t="n"/>
      <c r="R449" s="25" t="n"/>
      <c r="S449" s="25" t="n"/>
      <c r="T449" s="25" t="n"/>
      <c r="U449" s="25" t="n">
        <v>0</v>
      </c>
      <c r="V449" s="25" t="n">
        <v>0</v>
      </c>
      <c r="W449" s="25" t="n">
        <v>0</v>
      </c>
      <c r="X449" s="25" t="n">
        <v>0</v>
      </c>
      <c r="Y449" s="25" t="n">
        <v>4541.91</v>
      </c>
      <c r="Z449" s="25" t="n">
        <v>5337.2</v>
      </c>
      <c r="AA449" s="25" t="n">
        <v>0</v>
      </c>
      <c r="AB449" s="25" t="n">
        <v>7124.37</v>
      </c>
      <c r="AC449" s="25" t="n">
        <v>0</v>
      </c>
      <c r="AD449" s="25" t="n">
        <v>0</v>
      </c>
      <c r="AE449" s="25" t="n">
        <v>0</v>
      </c>
      <c r="AF449" s="25" t="n">
        <v>0</v>
      </c>
      <c r="AG449" s="25" t="n">
        <v>49.5</v>
      </c>
      <c r="AH449" s="25" t="n">
        <v>3</v>
      </c>
      <c r="AI449" s="25" t="inlineStr">
        <is>
          <t>A</t>
        </is>
      </c>
      <c r="AJ449" s="25" t="n">
        <v>3</v>
      </c>
      <c r="AK449" s="25" t="n">
        <v>5667.83</v>
      </c>
      <c r="AL449" s="26" t="n">
        <v>46036.37638888889</v>
      </c>
      <c r="AM449" s="26" t="n">
        <v>46036.37638888889</v>
      </c>
      <c r="AN449" s="25" t="inlineStr">
        <is>
          <t>WHATSAPP</t>
        </is>
      </c>
      <c r="AO449" s="25" t="inlineStr">
        <is>
          <t>PÓS-VENDA</t>
        </is>
      </c>
      <c r="AP449" s="27">
        <f>IF(AH449="","",IF(AH449=0,"PROSPECT",IF(AH449=1,"NOVO",IF(AH449&lt;=3,"EM DESENVOLVIMENTO",IF(AH449&lt;=6,"RECORRENTE","FIDELIZADO")))))</f>
        <v/>
      </c>
      <c r="AQ449" s="27">
        <f>IF(AJ449=0,0,IFERROR(SUM(U449:AF449)/AJ449,0))</f>
        <v/>
      </c>
      <c r="AS449" s="0" t="inlineStr">
        <is>
          <t>Carteira FEV/26</t>
        </is>
      </c>
    </row>
    <row r="450" ht="14.25" customHeight="1" s="16">
      <c r="A450" s="25" t="inlineStr">
        <is>
          <t>SJ INDUSTRIA DA PANIFICACAO LTDA</t>
        </is>
      </c>
      <c r="B450" s="25" t="inlineStr">
        <is>
          <t>06938837000162</t>
        </is>
      </c>
      <c r="C450" s="25" t="inlineStr">
        <is>
          <t>SJ INDUSTRIA DA PANIFICACAO LTDA</t>
        </is>
      </c>
      <c r="D450" s="25" t="inlineStr">
        <is>
          <t>PR</t>
        </is>
      </c>
      <c r="E450" s="25" t="inlineStr">
        <is>
          <t>CURITIBA</t>
        </is>
      </c>
      <c r="F450" s="25" t="inlineStr">
        <is>
          <t>amunaretto@ymail.com</t>
        </is>
      </c>
      <c r="G450" s="25" t="inlineStr">
        <is>
          <t>+55 (41) 3369-3610</t>
        </is>
      </c>
      <c r="H450" s="25" t="inlineStr">
        <is>
          <t>17/04/2025</t>
        </is>
      </c>
      <c r="I450" s="25" t="n"/>
      <c r="J450" s="25" t="inlineStr">
        <is>
          <t>JULIO GADRET</t>
        </is>
      </c>
      <c r="K450" s="25" t="inlineStr">
        <is>
          <t>Julio Gadret</t>
        </is>
      </c>
      <c r="L450" s="25" t="n">
        <v>286</v>
      </c>
      <c r="M450" s="25" t="inlineStr">
        <is>
          <t>05/05/2025</t>
        </is>
      </c>
      <c r="N450" s="25" t="n">
        <v>2180.46</v>
      </c>
      <c r="O450" s="25" t="n"/>
      <c r="P450" s="25" t="n"/>
      <c r="Q450" s="25" t="n"/>
      <c r="R450" s="25" t="n"/>
      <c r="S450" s="25" t="n"/>
      <c r="T450" s="25" t="n"/>
      <c r="U450" s="25" t="n">
        <v>0</v>
      </c>
      <c r="V450" s="25" t="n">
        <v>0</v>
      </c>
      <c r="W450" s="25" t="n">
        <v>2180.46</v>
      </c>
      <c r="X450" s="25" t="n">
        <v>0</v>
      </c>
      <c r="Y450" s="25" t="n">
        <v>0</v>
      </c>
      <c r="Z450" s="25" t="n">
        <v>0</v>
      </c>
      <c r="AA450" s="25" t="n">
        <v>0</v>
      </c>
      <c r="AB450" s="25" t="n">
        <v>0</v>
      </c>
      <c r="AC450" s="25" t="n">
        <v>0</v>
      </c>
      <c r="AD450" s="25" t="n">
        <v>0</v>
      </c>
      <c r="AE450" s="25" t="n">
        <v>0</v>
      </c>
      <c r="AF450" s="25" t="n">
        <v>0</v>
      </c>
      <c r="AG450" s="25" t="n">
        <v>0</v>
      </c>
      <c r="AH450" s="25" t="n">
        <v>1</v>
      </c>
      <c r="AI450" s="25" t="inlineStr">
        <is>
          <t>B</t>
        </is>
      </c>
      <c r="AJ450" s="25" t="n">
        <v>1</v>
      </c>
      <c r="AK450" s="25" t="n">
        <v>2180.46</v>
      </c>
      <c r="AL450" s="26" t="n">
        <v>45813.62677083333</v>
      </c>
      <c r="AM450" s="26" t="n">
        <v>45813.62677083333</v>
      </c>
      <c r="AN450" s="25" t="inlineStr">
        <is>
          <t>WHATSAPP</t>
        </is>
      </c>
      <c r="AO450" s="25" t="inlineStr">
        <is>
          <t>LUCIANO AKI PAO</t>
        </is>
      </c>
      <c r="AP450" s="27">
        <f>IF(AH450="","",IF(AH450=0,"PROSPECT",IF(AH450=1,"NOVO",IF(AH450&lt;=3,"EM DESENVOLVIMENTO",IF(AH450&lt;=6,"RECORRENTE","FIDELIZADO")))))</f>
        <v/>
      </c>
      <c r="AQ450" s="27">
        <f>IF(AJ450=0,0,IFERROR(SUM(U450:AF450)/AJ450,0))</f>
        <v/>
      </c>
      <c r="AS450" s="0" t="inlineStr">
        <is>
          <t>Carteira FEV/26</t>
        </is>
      </c>
    </row>
    <row r="451" ht="14.25" customHeight="1" s="16">
      <c r="A451" s="25" t="inlineStr">
        <is>
          <t>SOARES DISTRIBUIDORA</t>
        </is>
      </c>
      <c r="B451" s="25" t="inlineStr">
        <is>
          <t>34924371000181</t>
        </is>
      </c>
      <c r="C451" s="25" t="inlineStr">
        <is>
          <t>SOARES DISTRIBUIDORA DE PRODUTOS EM GERAL LTDA</t>
        </is>
      </c>
      <c r="D451" s="25" t="inlineStr">
        <is>
          <t>PR</t>
        </is>
      </c>
      <c r="E451" s="25" t="inlineStr">
        <is>
          <t>CIANORTE</t>
        </is>
      </c>
      <c r="F451" s="25" t="inlineStr">
        <is>
          <t>DISTRIBUIDORRODRIGUESNFE@GMAIL.COM</t>
        </is>
      </c>
      <c r="G451" s="25" t="inlineStr">
        <is>
          <t>+55 (44) 9911-9237</t>
        </is>
      </c>
      <c r="H451" s="25" t="inlineStr">
        <is>
          <t>18/06/2025</t>
        </is>
      </c>
      <c r="I451" s="25" t="n"/>
      <c r="J451" s="25" t="inlineStr">
        <is>
          <t>MANU DITZEL</t>
        </is>
      </c>
      <c r="K451" s="25" t="inlineStr">
        <is>
          <t>Manu Ditzel</t>
        </is>
      </c>
      <c r="L451" s="25" t="n">
        <v>240</v>
      </c>
      <c r="M451" s="25" t="inlineStr">
        <is>
          <t>20/06/2025</t>
        </is>
      </c>
      <c r="N451" s="25" t="n">
        <v>27788.43</v>
      </c>
      <c r="O451" s="25" t="n"/>
      <c r="P451" s="25" t="n"/>
      <c r="Q451" s="25" t="n"/>
      <c r="R451" s="25" t="n"/>
      <c r="S451" s="25" t="n"/>
      <c r="T451" s="25" t="n"/>
      <c r="U451" s="25" t="n">
        <v>0</v>
      </c>
      <c r="V451" s="25" t="n">
        <v>0</v>
      </c>
      <c r="W451" s="25" t="n">
        <v>0</v>
      </c>
      <c r="X451" s="25" t="n">
        <v>27788.43</v>
      </c>
      <c r="Y451" s="25" t="n">
        <v>0</v>
      </c>
      <c r="Z451" s="25" t="n">
        <v>0</v>
      </c>
      <c r="AA451" s="25" t="n">
        <v>0</v>
      </c>
      <c r="AB451" s="25" t="n">
        <v>0</v>
      </c>
      <c r="AC451" s="25" t="n">
        <v>0</v>
      </c>
      <c r="AD451" s="25" t="n">
        <v>0</v>
      </c>
      <c r="AE451" s="25" t="n">
        <v>0</v>
      </c>
      <c r="AF451" s="25" t="n">
        <v>0</v>
      </c>
      <c r="AG451" s="25" t="n">
        <v>0</v>
      </c>
      <c r="AH451" s="25" t="n">
        <v>1</v>
      </c>
      <c r="AI451" s="25" t="inlineStr">
        <is>
          <t>A</t>
        </is>
      </c>
      <c r="AJ451" s="25" t="n">
        <v>1</v>
      </c>
      <c r="AK451" s="25" t="n">
        <v>27788.43</v>
      </c>
      <c r="AL451" s="26" t="n">
        <v>45859.50152777778</v>
      </c>
      <c r="AM451" s="26" t="n">
        <v>45859.50152777778</v>
      </c>
      <c r="AN451" s="25" t="inlineStr">
        <is>
          <t>WHATSAPP</t>
        </is>
      </c>
      <c r="AO451" s="25" t="inlineStr">
        <is>
          <t>departamento de compras soares</t>
        </is>
      </c>
      <c r="AP451" s="27">
        <f>IF(AH451="","",IF(AH451=0,"PROSPECT",IF(AH451=1,"NOVO",IF(AH451&lt;=3,"EM DESENVOLVIMENTO",IF(AH451&lt;=6,"RECORRENTE","FIDELIZADO")))))</f>
        <v/>
      </c>
      <c r="AQ451" s="27">
        <f>IF(AJ451=0,0,IFERROR(SUM(U451:AF451)/AJ451,0))</f>
        <v/>
      </c>
      <c r="AS451" s="0" t="inlineStr">
        <is>
          <t>Carteira FEV/26</t>
        </is>
      </c>
    </row>
    <row r="452" ht="14.25" customHeight="1" s="16">
      <c r="A452" s="25" t="inlineStr">
        <is>
          <t>SOLAR PORTO DE GALINHAS</t>
        </is>
      </c>
      <c r="B452" s="25" t="inlineStr">
        <is>
          <t>08895369000111</t>
        </is>
      </c>
      <c r="C452" s="25" t="inlineStr">
        <is>
          <t>ROTTA DO SOL HOTELARIA E TURISMO LTDA</t>
        </is>
      </c>
      <c r="D452" s="25" t="inlineStr">
        <is>
          <t>PE</t>
        </is>
      </c>
      <c r="E452" s="25" t="inlineStr">
        <is>
          <t>IPOJUCA</t>
        </is>
      </c>
      <c r="F452" s="25" t="inlineStr">
        <is>
          <t>compras3@solarportodegalinhas.com.br</t>
        </is>
      </c>
      <c r="G452" s="25" t="inlineStr">
        <is>
          <t>+55 (81) 98866-3616</t>
        </is>
      </c>
      <c r="H452" s="25" t="inlineStr">
        <is>
          <t>23/04/2025</t>
        </is>
      </c>
      <c r="I452" s="25" t="n"/>
      <c r="J452" s="25" t="inlineStr">
        <is>
          <t>MANU DITZEL</t>
        </is>
      </c>
      <c r="K452" s="25" t="inlineStr">
        <is>
          <t>Larissa Padilha</t>
        </is>
      </c>
      <c r="L452" s="25" t="n">
        <v>97</v>
      </c>
      <c r="M452" s="25" t="inlineStr">
        <is>
          <t>10/11/2025</t>
        </is>
      </c>
      <c r="N452" s="25" t="n">
        <v>2620.8</v>
      </c>
      <c r="O452" s="25" t="n">
        <v>1</v>
      </c>
      <c r="P452" s="25" t="inlineStr">
        <is>
          <t>Sim</t>
        </is>
      </c>
      <c r="Q452" s="25" t="n">
        <v>106</v>
      </c>
      <c r="R452" s="25" t="n">
        <v>10</v>
      </c>
      <c r="S452" s="25" t="n">
        <v>19216.8</v>
      </c>
      <c r="T452" s="25" t="inlineStr">
        <is>
          <t>COMPRA B2B</t>
        </is>
      </c>
      <c r="U452" s="25" t="n">
        <v>0</v>
      </c>
      <c r="V452" s="25" t="n">
        <v>6846</v>
      </c>
      <c r="W452" s="25" t="n">
        <v>3780</v>
      </c>
      <c r="X452" s="25" t="n">
        <v>0</v>
      </c>
      <c r="Y452" s="25" t="n">
        <v>7118.85</v>
      </c>
      <c r="Z452" s="25" t="n">
        <v>0</v>
      </c>
      <c r="AA452" s="25" t="n">
        <v>5970</v>
      </c>
      <c r="AB452" s="25" t="n">
        <v>0</v>
      </c>
      <c r="AC452" s="25" t="n">
        <v>2620.8</v>
      </c>
      <c r="AD452" s="25" t="n">
        <v>0</v>
      </c>
      <c r="AE452" s="25" t="n">
        <v>0</v>
      </c>
      <c r="AF452" s="25" t="n">
        <v>0</v>
      </c>
      <c r="AG452" s="25" t="n">
        <v>33.3333</v>
      </c>
      <c r="AH452" s="25" t="n">
        <v>5</v>
      </c>
      <c r="AI452" s="25" t="inlineStr">
        <is>
          <t>A</t>
        </is>
      </c>
      <c r="AJ452" s="25" t="n">
        <v>5</v>
      </c>
      <c r="AK452" s="25" t="n">
        <v>5267.13</v>
      </c>
      <c r="AL452" s="26" t="n">
        <v>46058.68125</v>
      </c>
      <c r="AM452" s="26" t="n">
        <v>46058.68125</v>
      </c>
      <c r="AN452" s="25" t="inlineStr">
        <is>
          <t>WHATSAPP</t>
        </is>
      </c>
      <c r="AO452" s="25" t="inlineStr">
        <is>
          <t>NUTRIÇÃO | Envio da campanha do mês</t>
        </is>
      </c>
      <c r="AP452" s="27">
        <f>IF(AH452="","",IF(AH452=0,"PROSPECT",IF(AH452=1,"NOVO",IF(AH452&lt;=3,"EM DESENVOLVIMENTO",IF(AH452&lt;=6,"RECORRENTE","FIDELIZADO")))))</f>
        <v/>
      </c>
      <c r="AQ452" s="27">
        <f>IF(AJ452=0,0,IFERROR(SUM(U452:AF452)/AJ452,0))</f>
        <v/>
      </c>
      <c r="AS452" s="0" t="inlineStr">
        <is>
          <t>Carteira FEV/26 + Atend FEV/26</t>
        </is>
      </c>
    </row>
    <row r="453" ht="14.25" customHeight="1" s="16">
      <c r="A453" s="25" t="inlineStr">
        <is>
          <t>SONIA IOLANDA DUARTE</t>
        </is>
      </c>
      <c r="B453" s="25" t="inlineStr">
        <is>
          <t>37266276000126</t>
        </is>
      </c>
      <c r="C453" s="25" t="inlineStr">
        <is>
          <t>SONIA IOLANDA DUARTE 33558442091</t>
        </is>
      </c>
      <c r="D453" s="25" t="inlineStr">
        <is>
          <t>RS</t>
        </is>
      </c>
      <c r="E453" s="25" t="inlineStr">
        <is>
          <t>PORTO ALEGRE</t>
        </is>
      </c>
      <c r="F453" s="25" t="inlineStr">
        <is>
          <t>armazem2t@gmail.com</t>
        </is>
      </c>
      <c r="G453" s="25" t="inlineStr">
        <is>
          <t>+55 (51) 98292-0694</t>
        </is>
      </c>
      <c r="H453" s="25" t="inlineStr">
        <is>
          <t>08/10/2024</t>
        </is>
      </c>
      <c r="I453" s="25" t="n"/>
      <c r="J453" s="25" t="inlineStr">
        <is>
          <t>MANU DITZEL</t>
        </is>
      </c>
      <c r="K453" s="25" t="inlineStr">
        <is>
          <t>Manu Ditzel</t>
        </is>
      </c>
      <c r="L453" s="25" t="n">
        <v>174</v>
      </c>
      <c r="M453" s="25" t="inlineStr">
        <is>
          <t>25/08/2025</t>
        </is>
      </c>
      <c r="N453" s="25" t="n">
        <v>675.58</v>
      </c>
      <c r="O453" s="25" t="n">
        <v>1</v>
      </c>
      <c r="P453" s="25" t="inlineStr">
        <is>
          <t>Sim</t>
        </is>
      </c>
      <c r="Q453" s="25" t="n">
        <v>7</v>
      </c>
      <c r="R453" s="25" t="n">
        <v>3</v>
      </c>
      <c r="S453" s="25" t="n">
        <v>715.15</v>
      </c>
      <c r="T453" s="25" t="inlineStr">
        <is>
          <t>COMPRA B2B</t>
        </is>
      </c>
      <c r="U453" s="25" t="n">
        <v>0</v>
      </c>
      <c r="V453" s="25" t="n">
        <v>0</v>
      </c>
      <c r="W453" s="25" t="n">
        <v>715.15</v>
      </c>
      <c r="X453" s="25" t="n">
        <v>0</v>
      </c>
      <c r="Y453" s="25" t="n">
        <v>0</v>
      </c>
      <c r="Z453" s="25" t="n">
        <v>675.58</v>
      </c>
      <c r="AA453" s="25" t="n">
        <v>0</v>
      </c>
      <c r="AB453" s="25" t="n">
        <v>0</v>
      </c>
      <c r="AC453" s="25" t="n">
        <v>0</v>
      </c>
      <c r="AD453" s="25" t="n">
        <v>0</v>
      </c>
      <c r="AE453" s="25" t="n">
        <v>0</v>
      </c>
      <c r="AF453" s="25" t="n">
        <v>0</v>
      </c>
      <c r="AG453" s="25" t="n">
        <v>97</v>
      </c>
      <c r="AH453" s="25" t="n">
        <v>2</v>
      </c>
      <c r="AI453" s="25" t="inlineStr">
        <is>
          <t>B</t>
        </is>
      </c>
      <c r="AJ453" s="25" t="n">
        <v>2</v>
      </c>
      <c r="AK453" s="25" t="n">
        <v>695.37</v>
      </c>
      <c r="AL453" s="26" t="n">
        <v>46058.48263888889</v>
      </c>
      <c r="AM453" s="26" t="n">
        <v>46058.48263888889</v>
      </c>
      <c r="AN453" s="25" t="inlineStr">
        <is>
          <t>WHATSAPP</t>
        </is>
      </c>
      <c r="AO453" s="25" t="inlineStr">
        <is>
          <t>NÃO COMPRA NO CALOR CHOCOLATE TENTANDO CONVENCER SOBRE PASCOA</t>
        </is>
      </c>
      <c r="AP453" s="27">
        <f>IF(AH453="","",IF(AH453=0,"PROSPECT",IF(AH453=1,"NOVO",IF(AH453&lt;=3,"EM DESENVOLVIMENTO",IF(AH453&lt;=6,"RECORRENTE","FIDELIZADO")))))</f>
        <v/>
      </c>
      <c r="AQ453" s="27">
        <f>IF(AJ453=0,0,IFERROR(SUM(U453:AF453)/AJ453,0))</f>
        <v/>
      </c>
      <c r="AS453" s="0" t="inlineStr">
        <is>
          <t>Carteira FEV/26 + Atend FEV/26</t>
        </is>
      </c>
    </row>
    <row r="454" ht="14.25" customHeight="1" s="16">
      <c r="A454" s="25" t="inlineStr">
        <is>
          <t>SR A GRANEL</t>
        </is>
      </c>
      <c r="B454" s="25" t="inlineStr">
        <is>
          <t>35751273000152</t>
        </is>
      </c>
      <c r="C454" s="25" t="inlineStr">
        <is>
          <t>SR A GRANEL - PRODUTOS NATURAIS LTDA</t>
        </is>
      </c>
      <c r="D454" s="25" t="inlineStr">
        <is>
          <t>MG</t>
        </is>
      </c>
      <c r="E454" s="25" t="inlineStr">
        <is>
          <t>JUIZ DE FORA</t>
        </is>
      </c>
      <c r="F454" s="25" t="inlineStr">
        <is>
          <t>comercial2@sragranel.com.br,financeiro@sragranel.com.br,fiscal@sragranel.com.br</t>
        </is>
      </c>
      <c r="G454" s="25" t="inlineStr">
        <is>
          <t>+55 (32) 9911-3076 | +55 (32) 9953-3395</t>
        </is>
      </c>
      <c r="H454" s="25" t="inlineStr">
        <is>
          <t>28/03/2025</t>
        </is>
      </c>
      <c r="I454" s="25" t="n"/>
      <c r="J454" s="25" t="inlineStr">
        <is>
          <t>LARISSA PADILHA</t>
        </is>
      </c>
      <c r="K454" s="25" t="inlineStr">
        <is>
          <t>Larissa Padilha</t>
        </is>
      </c>
      <c r="L454" s="25" t="n">
        <v>96</v>
      </c>
      <c r="M454" s="25" t="inlineStr">
        <is>
          <t>11/11/2025</t>
        </is>
      </c>
      <c r="N454" s="25" t="n">
        <v>6041.2</v>
      </c>
      <c r="O454" s="25" t="n"/>
      <c r="P454" s="25" t="n"/>
      <c r="Q454" s="25" t="n"/>
      <c r="R454" s="25" t="n"/>
      <c r="S454" s="25" t="n"/>
      <c r="T454" s="25" t="n"/>
      <c r="U454" s="25" t="n">
        <v>0</v>
      </c>
      <c r="V454" s="25" t="n">
        <v>0</v>
      </c>
      <c r="W454" s="25" t="n">
        <v>0</v>
      </c>
      <c r="X454" s="25" t="n">
        <v>0</v>
      </c>
      <c r="Y454" s="25" t="n">
        <v>0</v>
      </c>
      <c r="Z454" s="25" t="n">
        <v>6768.79</v>
      </c>
      <c r="AA454" s="25" t="n">
        <v>0</v>
      </c>
      <c r="AB454" s="25" t="n">
        <v>0</v>
      </c>
      <c r="AC454" s="25" t="n">
        <v>6041.2</v>
      </c>
      <c r="AD454" s="25" t="n">
        <v>0</v>
      </c>
      <c r="AE454" s="25" t="n">
        <v>0</v>
      </c>
      <c r="AF454" s="25" t="n">
        <v>0</v>
      </c>
      <c r="AG454" s="25" t="n">
        <v>91</v>
      </c>
      <c r="AH454" s="25" t="n">
        <v>1</v>
      </c>
      <c r="AI454" s="25" t="inlineStr">
        <is>
          <t>A</t>
        </is>
      </c>
      <c r="AJ454" s="25" t="n">
        <v>2</v>
      </c>
      <c r="AK454" s="25" t="n">
        <v>12809.99</v>
      </c>
      <c r="AL454" s="26" t="n">
        <v>46058.67083333333</v>
      </c>
      <c r="AM454" s="26" t="n">
        <v>46058.67083333333</v>
      </c>
      <c r="AN454" s="25" t="inlineStr">
        <is>
          <t>WHATSAPP</t>
        </is>
      </c>
      <c r="AO454" s="25" t="inlineStr">
        <is>
          <t>NUTRIÇÃO</t>
        </is>
      </c>
      <c r="AP454" s="27">
        <f>IF(AH454="","",IF(AH454=0,"PROSPECT",IF(AH454=1,"NOVO",IF(AH454&lt;=3,"EM DESENVOLVIMENTO",IF(AH454&lt;=6,"RECORRENTE","FIDELIZADO")))))</f>
        <v/>
      </c>
      <c r="AQ454" s="27">
        <f>IF(AJ454=0,0,IFERROR(SUM(U454:AF454)/AJ454,0))</f>
        <v/>
      </c>
      <c r="AS454" s="0" t="inlineStr">
        <is>
          <t>Carteira FEV/26 + Atend FEV/26</t>
        </is>
      </c>
    </row>
    <row r="455" ht="14.25" customHeight="1" s="16">
      <c r="A455" s="25" t="inlineStr">
        <is>
          <t>STYLO FARMA CURITIBA</t>
        </is>
      </c>
      <c r="B455" s="25" t="inlineStr">
        <is>
          <t>55795646000102</t>
        </is>
      </c>
      <c r="C455" s="25" t="inlineStr">
        <is>
          <t>DENDERA DRUGSTORE LTDA</t>
        </is>
      </c>
      <c r="D455" s="25" t="inlineStr">
        <is>
          <t>PR</t>
        </is>
      </c>
      <c r="E455" s="25" t="inlineStr">
        <is>
          <t>CURITIBA</t>
        </is>
      </c>
      <c r="F455" s="25" t="inlineStr">
        <is>
          <t>denderadrugstore@gmail.com</t>
        </is>
      </c>
      <c r="G455" s="25" t="inlineStr">
        <is>
          <t>+55 (41) 9587-3429 | +55 (41) 9703-9000</t>
        </is>
      </c>
      <c r="H455" s="25" t="inlineStr">
        <is>
          <t>30/05/2025</t>
        </is>
      </c>
      <c r="I455" s="25" t="n"/>
      <c r="J455" s="25" t="inlineStr">
        <is>
          <t>MANU DITZEL</t>
        </is>
      </c>
      <c r="K455" s="25" t="inlineStr">
        <is>
          <t>Manu Ditzel</t>
        </is>
      </c>
      <c r="L455" s="25" t="n">
        <v>244</v>
      </c>
      <c r="M455" s="25" t="inlineStr">
        <is>
          <t>16/06/2025</t>
        </is>
      </c>
      <c r="N455" s="25" t="n">
        <v>699.03</v>
      </c>
      <c r="O455" s="25" t="n">
        <v>11</v>
      </c>
      <c r="P455" s="25" t="inlineStr">
        <is>
          <t>Sim</t>
        </is>
      </c>
      <c r="Q455" s="25" t="n">
        <v>198</v>
      </c>
      <c r="R455" s="25" t="n">
        <v>54</v>
      </c>
      <c r="S455" s="25" t="n"/>
      <c r="T455" s="25" t="n"/>
      <c r="U455" s="25" t="n">
        <v>0</v>
      </c>
      <c r="V455" s="25" t="n">
        <v>0</v>
      </c>
      <c r="W455" s="25" t="n">
        <v>0</v>
      </c>
      <c r="X455" s="25" t="n">
        <v>699.03</v>
      </c>
      <c r="Y455" s="25" t="n">
        <v>0</v>
      </c>
      <c r="Z455" s="25" t="n">
        <v>0</v>
      </c>
      <c r="AA455" s="25" t="n">
        <v>0</v>
      </c>
      <c r="AB455" s="25" t="n">
        <v>0</v>
      </c>
      <c r="AC455" s="25" t="n">
        <v>0</v>
      </c>
      <c r="AD455" s="25" t="n">
        <v>0</v>
      </c>
      <c r="AE455" s="25" t="n">
        <v>0</v>
      </c>
      <c r="AF455" s="25" t="n">
        <v>0</v>
      </c>
      <c r="AG455" s="25" t="n">
        <v>0</v>
      </c>
      <c r="AH455" s="25" t="n">
        <v>1</v>
      </c>
      <c r="AI455" s="25" t="inlineStr">
        <is>
          <t>C</t>
        </is>
      </c>
      <c r="AJ455" s="25" t="n">
        <v>1</v>
      </c>
      <c r="AK455" s="25" t="n">
        <v>699.03</v>
      </c>
      <c r="AL455" s="26" t="n">
        <v>45824.68541666667</v>
      </c>
      <c r="AM455" s="26" t="n">
        <v>45824.68541666667</v>
      </c>
      <c r="AN455" s="25" t="inlineStr">
        <is>
          <t>OUTROS</t>
        </is>
      </c>
      <c r="AO455" s="25" t="inlineStr">
        <is>
          <t>Feito outro no estado correto - Daiane</t>
        </is>
      </c>
      <c r="AP455" s="27">
        <f>IF(AH455="","",IF(AH455=0,"PROSPECT",IF(AH455=1,"NOVO",IF(AH455&lt;=3,"EM DESENVOLVIMENTO",IF(AH455&lt;=6,"RECORRENTE","FIDELIZADO")))))</f>
        <v/>
      </c>
      <c r="AQ455" s="27">
        <f>IF(AJ455=0,0,IFERROR(SUM(U455:AF455)/AJ455,0))</f>
        <v/>
      </c>
      <c r="AS455" s="0" t="inlineStr">
        <is>
          <t>Carteira FEV/26</t>
        </is>
      </c>
    </row>
    <row r="456" ht="14.25" customHeight="1" s="16">
      <c r="A456" s="25" t="inlineStr">
        <is>
          <t>SUPER PILOES</t>
        </is>
      </c>
      <c r="B456" s="25" t="inlineStr">
        <is>
          <t>37015609000144</t>
        </is>
      </c>
      <c r="C456" s="25" t="inlineStr">
        <is>
          <t>PILOES - DISTRIBUIDORA, COMERCIO E SERVICOS LTDA</t>
        </is>
      </c>
      <c r="D456" s="25" t="inlineStr">
        <is>
          <t>GO</t>
        </is>
      </c>
      <c r="E456" s="25" t="inlineStr">
        <is>
          <t>FAZENDA NOVA</t>
        </is>
      </c>
      <c r="F456" s="25" t="inlineStr">
        <is>
          <t>superpiloes@gmail.com</t>
        </is>
      </c>
      <c r="G456" s="25" t="inlineStr">
        <is>
          <t>+55 (62) 99122-3169</t>
        </is>
      </c>
      <c r="H456" s="25" t="inlineStr">
        <is>
          <t>26/03/2025</t>
        </is>
      </c>
      <c r="I456" s="25" t="n"/>
      <c r="J456" s="25" t="inlineStr">
        <is>
          <t>DAIANE STAVICKI</t>
        </is>
      </c>
      <c r="K456" s="25" t="inlineStr">
        <is>
          <t>Central - Daiane</t>
        </is>
      </c>
      <c r="L456" s="25" t="n">
        <v>326</v>
      </c>
      <c r="M456" s="25" t="inlineStr">
        <is>
          <t>26/03/2025</t>
        </is>
      </c>
      <c r="N456" s="25" t="n">
        <v>1108.25</v>
      </c>
      <c r="O456" s="25" t="n">
        <v>4</v>
      </c>
      <c r="P456" s="25" t="inlineStr">
        <is>
          <t>Sim</t>
        </is>
      </c>
      <c r="Q456" s="25" t="n">
        <v>34</v>
      </c>
      <c r="R456" s="25" t="n">
        <v>12</v>
      </c>
      <c r="S456" s="25" t="n">
        <v>1108.25</v>
      </c>
      <c r="T456" s="25" t="inlineStr">
        <is>
          <t>COMPRA B2B</t>
        </is>
      </c>
      <c r="U456" s="25" t="n">
        <v>1108.25</v>
      </c>
      <c r="V456" s="25" t="n">
        <v>0</v>
      </c>
      <c r="W456" s="25" t="n">
        <v>0</v>
      </c>
      <c r="X456" s="25" t="n">
        <v>0</v>
      </c>
      <c r="Y456" s="25" t="n">
        <v>0</v>
      </c>
      <c r="Z456" s="25" t="n">
        <v>0</v>
      </c>
      <c r="AA456" s="25" t="n">
        <v>0</v>
      </c>
      <c r="AB456" s="25" t="n">
        <v>0</v>
      </c>
      <c r="AC456" s="25" t="n">
        <v>0</v>
      </c>
      <c r="AD456" s="25" t="n">
        <v>0</v>
      </c>
      <c r="AE456" s="25" t="n">
        <v>0</v>
      </c>
      <c r="AF456" s="25" t="n">
        <v>0</v>
      </c>
      <c r="AG456" s="25" t="n">
        <v>0</v>
      </c>
      <c r="AH456" s="25" t="n">
        <v>1</v>
      </c>
      <c r="AI456" s="25" t="inlineStr">
        <is>
          <t>C</t>
        </is>
      </c>
      <c r="AJ456" s="25" t="n">
        <v>2</v>
      </c>
      <c r="AK456" s="25" t="n">
        <v>2216.5</v>
      </c>
      <c r="AL456" s="26" t="n">
        <v>46065.41736111111</v>
      </c>
      <c r="AM456" s="26" t="n">
        <v>46065.41736111111</v>
      </c>
      <c r="AN456" s="25" t="inlineStr">
        <is>
          <t>WHATSAPP</t>
        </is>
      </c>
      <c r="AO456" s="25" t="inlineStr">
        <is>
          <t>NUTRIÇÃO | Envio da campanha do mês</t>
        </is>
      </c>
      <c r="AP456" s="27">
        <f>IF(AH456="","",IF(AH456=0,"PROSPECT",IF(AH456=1,"NOVO",IF(AH456&lt;=3,"EM DESENVOLVIMENTO",IF(AH456&lt;=6,"RECORRENTE","FIDELIZADO")))))</f>
        <v/>
      </c>
      <c r="AQ456" s="27">
        <f>IF(AJ456=0,0,IFERROR(SUM(U456:AF456)/AJ456,0))</f>
        <v/>
      </c>
      <c r="AS456" s="0" t="inlineStr">
        <is>
          <t>Carteira FEV/26 + Atend FEV/26</t>
        </is>
      </c>
    </row>
    <row r="457" ht="14.25" customHeight="1" s="16">
      <c r="A457" s="25" t="inlineStr">
        <is>
          <t>SUPERMERCADO COSER</t>
        </is>
      </c>
      <c r="B457" s="25" t="inlineStr">
        <is>
          <t>13435819000123</t>
        </is>
      </c>
      <c r="C457" s="25" t="inlineStr">
        <is>
          <t>SUPERMERCADO COSER LTDA</t>
        </is>
      </c>
      <c r="D457" s="25" t="inlineStr">
        <is>
          <t>SC</t>
        </is>
      </c>
      <c r="E457" s="25" t="inlineStr">
        <is>
          <t>CORDILHEIRA ALTA</t>
        </is>
      </c>
      <c r="F457" s="25" t="inlineStr">
        <is>
          <t>supermercadoceg@gmail.com</t>
        </is>
      </c>
      <c r="G457" s="25" t="inlineStr">
        <is>
          <t>+55 (49) 8437-9123</t>
        </is>
      </c>
      <c r="H457" s="25" t="inlineStr">
        <is>
          <t>05/06/2025</t>
        </is>
      </c>
      <c r="I457" s="25" t="n"/>
      <c r="J457" s="25" t="inlineStr">
        <is>
          <t>MANU DITZEL</t>
        </is>
      </c>
      <c r="K457" s="25" t="inlineStr">
        <is>
          <t>Manu Ditzel</t>
        </is>
      </c>
      <c r="L457" s="25" t="n">
        <v>255</v>
      </c>
      <c r="M457" s="25" t="inlineStr">
        <is>
          <t>05/06/2025</t>
        </is>
      </c>
      <c r="N457" s="25" t="n">
        <v>661.5700000000001</v>
      </c>
      <c r="O457" s="25" t="n"/>
      <c r="P457" s="25" t="n"/>
      <c r="Q457" s="25" t="n"/>
      <c r="R457" s="25" t="n"/>
      <c r="S457" s="25" t="n"/>
      <c r="T457" s="25" t="n"/>
      <c r="U457" s="25" t="n">
        <v>0</v>
      </c>
      <c r="V457" s="25" t="n">
        <v>0</v>
      </c>
      <c r="W457" s="25" t="n">
        <v>0</v>
      </c>
      <c r="X457" s="25" t="n">
        <v>661.5700000000001</v>
      </c>
      <c r="Y457" s="25" t="n">
        <v>0</v>
      </c>
      <c r="Z457" s="25" t="n">
        <v>0</v>
      </c>
      <c r="AA457" s="25" t="n">
        <v>0</v>
      </c>
      <c r="AB457" s="25" t="n">
        <v>0</v>
      </c>
      <c r="AC457" s="25" t="n">
        <v>0</v>
      </c>
      <c r="AD457" s="25" t="n">
        <v>0</v>
      </c>
      <c r="AE457" s="25" t="n">
        <v>0</v>
      </c>
      <c r="AF457" s="25" t="n">
        <v>0</v>
      </c>
      <c r="AG457" s="25" t="n">
        <v>0</v>
      </c>
      <c r="AH457" s="25" t="n">
        <v>1</v>
      </c>
      <c r="AI457" s="25" t="inlineStr">
        <is>
          <t>C</t>
        </is>
      </c>
      <c r="AJ457" s="25" t="n">
        <v>1</v>
      </c>
      <c r="AK457" s="25" t="n">
        <v>661.5700000000001</v>
      </c>
      <c r="AL457" s="26" t="n">
        <v>46057.47986111111</v>
      </c>
      <c r="AM457" s="26" t="n">
        <v>46057.47986111111</v>
      </c>
      <c r="AN457" s="25" t="inlineStr">
        <is>
          <t>WHATSAPP</t>
        </is>
      </c>
      <c r="AO457" s="25" t="inlineStr">
        <is>
          <t>feito contato, cliente falou que perdeu muito produto, mas tambem nunca respondeu</t>
        </is>
      </c>
      <c r="AP457" s="27">
        <f>IF(AH457="","",IF(AH457=0,"PROSPECT",IF(AH457=1,"NOVO",IF(AH457&lt;=3,"EM DESENVOLVIMENTO",IF(AH457&lt;=6,"RECORRENTE","FIDELIZADO")))))</f>
        <v/>
      </c>
      <c r="AQ457" s="27">
        <f>IF(AJ457=0,0,IFERROR(SUM(U457:AF457)/AJ457,0))</f>
        <v/>
      </c>
      <c r="AS457" s="0" t="inlineStr">
        <is>
          <t>Carteira FEV/26 + Atend FEV/26</t>
        </is>
      </c>
    </row>
    <row r="458" ht="14.25" customHeight="1" s="16">
      <c r="A458" s="25" t="inlineStr">
        <is>
          <t>SUPERMERCADO MERCOCENTRO</t>
        </is>
      </c>
      <c r="B458" s="25" t="inlineStr">
        <is>
          <t>05382867000172</t>
        </is>
      </c>
      <c r="C458" s="25" t="inlineStr">
        <is>
          <t>SUPERMERCADO MERCOCENTRO LTDA</t>
        </is>
      </c>
      <c r="D458" s="25" t="inlineStr">
        <is>
          <t>SC</t>
        </is>
      </c>
      <c r="E458" s="25" t="inlineStr">
        <is>
          <t>BIGUACU</t>
        </is>
      </c>
      <c r="F458" s="25" t="inlineStr">
        <is>
          <t>supermercadomercocentro@gmail.com</t>
        </is>
      </c>
      <c r="G458" s="25" t="inlineStr">
        <is>
          <t>+55 (48) 9863-0243 | +55 (48) 9987-0775 (COMPRAS)</t>
        </is>
      </c>
      <c r="H458" s="25" t="inlineStr">
        <is>
          <t>11/07/2025</t>
        </is>
      </c>
      <c r="I458" s="25" t="n"/>
      <c r="J458" s="25" t="inlineStr">
        <is>
          <t>MANU DITZEL</t>
        </is>
      </c>
      <c r="K458" s="25" t="inlineStr">
        <is>
          <t>Manu Ditzel</t>
        </is>
      </c>
      <c r="L458" s="25" t="n">
        <v>142</v>
      </c>
      <c r="M458" s="25" t="inlineStr">
        <is>
          <t>26/09/2025</t>
        </is>
      </c>
      <c r="N458" s="25" t="n">
        <v>2904.78</v>
      </c>
      <c r="O458" s="25" t="n"/>
      <c r="P458" s="25" t="n"/>
      <c r="Q458" s="25" t="n"/>
      <c r="R458" s="25" t="n"/>
      <c r="S458" s="25" t="n"/>
      <c r="T458" s="25" t="n"/>
      <c r="U458" s="25" t="n">
        <v>0</v>
      </c>
      <c r="V458" s="25" t="n">
        <v>0</v>
      </c>
      <c r="W458" s="25" t="n">
        <v>0</v>
      </c>
      <c r="X458" s="25" t="n">
        <v>0</v>
      </c>
      <c r="Y458" s="25" t="n">
        <v>0</v>
      </c>
      <c r="Z458" s="25" t="n">
        <v>0</v>
      </c>
      <c r="AA458" s="25" t="n">
        <v>0</v>
      </c>
      <c r="AB458" s="25" t="n">
        <v>0</v>
      </c>
      <c r="AC458" s="25" t="n">
        <v>0</v>
      </c>
      <c r="AD458" s="25" t="n">
        <v>0</v>
      </c>
      <c r="AE458" s="25" t="n">
        <v>0</v>
      </c>
      <c r="AF458" s="25" t="n">
        <v>0</v>
      </c>
      <c r="AG458" s="25" t="n">
        <v>24.3333</v>
      </c>
      <c r="AH458" s="25" t="n">
        <v>0</v>
      </c>
      <c r="AI458" s="25" t="inlineStr">
        <is>
          <t>A</t>
        </is>
      </c>
      <c r="AJ458" s="25" t="n">
        <v>0</v>
      </c>
      <c r="AK458" s="25" t="n">
        <v>0</v>
      </c>
      <c r="AL458" s="26" t="n">
        <v>46057.39166666667</v>
      </c>
      <c r="AM458" s="26" t="n">
        <v>46057.39166666667</v>
      </c>
      <c r="AN458" s="25" t="inlineStr">
        <is>
          <t>OUTROS</t>
        </is>
      </c>
      <c r="AO458" s="25" t="inlineStr">
        <is>
          <t>SÃO DOIS CNPJ ELE COMPROU NO OUTRO</t>
        </is>
      </c>
      <c r="AP458" s="27">
        <f>IF(AH458="","",IF(AH458=0,"PROSPECT",IF(AH458=1,"NOVO",IF(AH458&lt;=3,"EM DESENVOLVIMENTO",IF(AH458&lt;=6,"RECORRENTE","FIDELIZADO")))))</f>
        <v/>
      </c>
      <c r="AQ458" s="27">
        <f>IF(AJ458=0,0,IFERROR(SUM(U458:AF458)/AJ458,0))</f>
        <v/>
      </c>
      <c r="AS458" s="0" t="inlineStr">
        <is>
          <t>Carteira FEV/26 + Atend FEV/26</t>
        </is>
      </c>
    </row>
    <row r="459" ht="14.25" customHeight="1" s="16">
      <c r="A459" s="25" t="inlineStr">
        <is>
          <t>SUPERMERCADO SERVE BEM</t>
        </is>
      </c>
      <c r="B459" s="25" t="inlineStr">
        <is>
          <t>02672868000163</t>
        </is>
      </c>
      <c r="C459" s="25" t="inlineStr">
        <is>
          <t>PACOMIL PAVAO COMERCIAL MINEIRO LTDA</t>
        </is>
      </c>
      <c r="D459" s="25" t="inlineStr">
        <is>
          <t>MG</t>
        </is>
      </c>
      <c r="E459" s="25" t="inlineStr">
        <is>
          <t>PAVAO</t>
        </is>
      </c>
      <c r="F459" s="25" t="inlineStr">
        <is>
          <t>serve_bem23@hotmail.com</t>
        </is>
      </c>
      <c r="G459" s="25" t="inlineStr">
        <is>
          <t>+55 (33) 98882-2904</t>
        </is>
      </c>
      <c r="H459" s="25" t="inlineStr">
        <is>
          <t>10/06/2025</t>
        </is>
      </c>
      <c r="I459" s="25" t="n"/>
      <c r="J459" s="25" t="inlineStr">
        <is>
          <t>LARISSA PADILHA</t>
        </is>
      </c>
      <c r="K459" s="25" t="inlineStr">
        <is>
          <t>Larissa Padilha</t>
        </is>
      </c>
      <c r="L459" s="25" t="n">
        <v>93</v>
      </c>
      <c r="M459" s="25" t="inlineStr">
        <is>
          <t>14/11/2025</t>
        </is>
      </c>
      <c r="N459" s="25" t="n">
        <v>1567.86</v>
      </c>
      <c r="O459" s="25" t="n">
        <v>4</v>
      </c>
      <c r="P459" s="25" t="inlineStr">
        <is>
          <t>Sim</t>
        </is>
      </c>
      <c r="Q459" s="25" t="n">
        <v>125</v>
      </c>
      <c r="R459" s="25" t="n">
        <v>33</v>
      </c>
      <c r="S459" s="25" t="n">
        <v>2134.26</v>
      </c>
      <c r="T459" s="25" t="inlineStr">
        <is>
          <t>COMPRA B2B</t>
        </is>
      </c>
      <c r="U459" s="25" t="n">
        <v>0</v>
      </c>
      <c r="V459" s="25" t="n">
        <v>0</v>
      </c>
      <c r="W459" s="25" t="n">
        <v>0</v>
      </c>
      <c r="X459" s="25" t="n">
        <v>2134.26</v>
      </c>
      <c r="Y459" s="25" t="n">
        <v>0</v>
      </c>
      <c r="Z459" s="25" t="n">
        <v>0</v>
      </c>
      <c r="AA459" s="25" t="n">
        <v>1542.37</v>
      </c>
      <c r="AB459" s="25" t="n">
        <v>0</v>
      </c>
      <c r="AC459" s="25" t="n">
        <v>1567.86</v>
      </c>
      <c r="AD459" s="25" t="n">
        <v>0</v>
      </c>
      <c r="AE459" s="25" t="n">
        <v>0</v>
      </c>
      <c r="AF459" s="25" t="n">
        <v>0</v>
      </c>
      <c r="AG459" s="25" t="n">
        <v>68.5</v>
      </c>
      <c r="AH459" s="25" t="n">
        <v>2</v>
      </c>
      <c r="AI459" s="25" t="inlineStr">
        <is>
          <t>A</t>
        </is>
      </c>
      <c r="AJ459" s="25" t="n">
        <v>3</v>
      </c>
      <c r="AK459" s="25" t="n">
        <v>2622.24</v>
      </c>
      <c r="AL459" s="26" t="n">
        <v>46058.66597222222</v>
      </c>
      <c r="AM459" s="26" t="n">
        <v>46058.66597222222</v>
      </c>
      <c r="AN459" s="25" t="inlineStr">
        <is>
          <t>WHATSAPP</t>
        </is>
      </c>
      <c r="AO459" s="25" t="inlineStr">
        <is>
          <t>NUTRIÇÃO | Envio da campanha do mês</t>
        </is>
      </c>
      <c r="AP459" s="27">
        <f>IF(AH459="","",IF(AH459=0,"PROSPECT",IF(AH459=1,"NOVO",IF(AH459&lt;=3,"EM DESENVOLVIMENTO",IF(AH459&lt;=6,"RECORRENTE","FIDELIZADO")))))</f>
        <v/>
      </c>
      <c r="AQ459" s="27">
        <f>IF(AJ459=0,0,IFERROR(SUM(U459:AF459)/AJ459,0))</f>
        <v/>
      </c>
      <c r="AS459" s="0" t="inlineStr">
        <is>
          <t>Carteira FEV/26 + Atend FEV/26</t>
        </is>
      </c>
    </row>
    <row r="460" ht="14.25" customHeight="1" s="16">
      <c r="A460" s="25" t="inlineStr">
        <is>
          <t>SUPERMERCADOS MACHADO</t>
        </is>
      </c>
      <c r="B460" s="25" t="inlineStr">
        <is>
          <t>03790904000156</t>
        </is>
      </c>
      <c r="C460" s="25" t="inlineStr">
        <is>
          <t>COMERCIAL CARAPA DE SECOS E MOLHADOS LTDA</t>
        </is>
      </c>
      <c r="D460" s="25" t="inlineStr">
        <is>
          <t>MT</t>
        </is>
      </c>
      <c r="E460" s="25" t="inlineStr">
        <is>
          <t>COLIDER</t>
        </is>
      </c>
      <c r="F460" s="25" t="inlineStr">
        <is>
          <t>cristiane@redemachado.com,jakeline@redemachado.com,xml@redemachado.com</t>
        </is>
      </c>
      <c r="G460" s="25" t="inlineStr">
        <is>
          <t>+55 (66) 9976-1052</t>
        </is>
      </c>
      <c r="H460" s="25" t="inlineStr">
        <is>
          <t>14/05/2025</t>
        </is>
      </c>
      <c r="I460" s="25" t="n"/>
      <c r="J460" s="25" t="inlineStr">
        <is>
          <t>LARISSA PADILHA</t>
        </is>
      </c>
      <c r="K460" s="25" t="inlineStr">
        <is>
          <t>Helder Brunkow</t>
        </is>
      </c>
      <c r="L460" s="25" t="n">
        <v>216</v>
      </c>
      <c r="M460" s="25" t="inlineStr">
        <is>
          <t>14/07/2025</t>
        </is>
      </c>
      <c r="N460" s="25" t="n">
        <v>1576.32</v>
      </c>
      <c r="O460" s="25" t="n"/>
      <c r="P460" s="25" t="n"/>
      <c r="Q460" s="25" t="n"/>
      <c r="R460" s="25" t="n"/>
      <c r="S460" s="25" t="n"/>
      <c r="T460" s="25" t="n"/>
      <c r="U460" s="25" t="n">
        <v>0</v>
      </c>
      <c r="V460" s="25" t="n">
        <v>0</v>
      </c>
      <c r="W460" s="25" t="n">
        <v>1980.81</v>
      </c>
      <c r="X460" s="25" t="n">
        <v>0</v>
      </c>
      <c r="Y460" s="25" t="n">
        <v>1576.32</v>
      </c>
      <c r="Z460" s="25" t="n">
        <v>0</v>
      </c>
      <c r="AA460" s="25" t="n">
        <v>0</v>
      </c>
      <c r="AB460" s="25" t="n">
        <v>0</v>
      </c>
      <c r="AC460" s="25" t="n">
        <v>0</v>
      </c>
      <c r="AD460" s="25" t="n">
        <v>0</v>
      </c>
      <c r="AE460" s="25" t="n">
        <v>0</v>
      </c>
      <c r="AF460" s="25" t="n">
        <v>0</v>
      </c>
      <c r="AG460" s="25" t="n">
        <v>53</v>
      </c>
      <c r="AH460" s="25" t="n">
        <v>2</v>
      </c>
      <c r="AI460" s="25" t="inlineStr">
        <is>
          <t>A</t>
        </is>
      </c>
      <c r="AJ460" s="25" t="n">
        <v>2</v>
      </c>
      <c r="AK460" s="25" t="n">
        <v>1778.57</v>
      </c>
      <c r="AL460" s="26" t="n">
        <v>46036.64652777778</v>
      </c>
      <c r="AM460" s="26" t="n">
        <v>46036.64652777778</v>
      </c>
      <c r="AN460" s="25" t="inlineStr">
        <is>
          <t>WHATSAPP</t>
        </is>
      </c>
      <c r="AO460" s="25" t="inlineStr">
        <is>
          <t>RECOMPRA | Nova abordagem - Linha Disney</t>
        </is>
      </c>
      <c r="AP460" s="27">
        <f>IF(AH460="","",IF(AH460=0,"PROSPECT",IF(AH460=1,"NOVO",IF(AH460&lt;=3,"EM DESENVOLVIMENTO",IF(AH460&lt;=6,"RECORRENTE","FIDELIZADO")))))</f>
        <v/>
      </c>
      <c r="AQ460" s="27">
        <f>IF(AJ460=0,0,IFERROR(SUM(U460:AF460)/AJ460,0))</f>
        <v/>
      </c>
      <c r="AS460" s="0" t="inlineStr">
        <is>
          <t>Carteira FEV/26</t>
        </is>
      </c>
    </row>
    <row r="461" ht="14.25" customHeight="1" s="16">
      <c r="A461" s="25" t="inlineStr">
        <is>
          <t>SUPERMERCADOS OSANA</t>
        </is>
      </c>
      <c r="B461" s="25" t="inlineStr">
        <is>
          <t>06982791000189</t>
        </is>
      </c>
      <c r="C461" s="25" t="inlineStr">
        <is>
          <t>SUPERMERCADOS OSANA LTDA</t>
        </is>
      </c>
      <c r="D461" s="25" t="inlineStr">
        <is>
          <t>RS</t>
        </is>
      </c>
      <c r="E461" s="25" t="inlineStr">
        <is>
          <t>NOVO HAMBURGO</t>
        </is>
      </c>
      <c r="F461" s="25" t="inlineStr">
        <is>
          <t>osana.teste@gmail.com.br</t>
        </is>
      </c>
      <c r="G461" s="25" t="inlineStr">
        <is>
          <t>+55 (51) 9688-7423</t>
        </is>
      </c>
      <c r="H461" s="25" t="inlineStr">
        <is>
          <t>12/05/2025</t>
        </is>
      </c>
      <c r="I461" s="25" t="n"/>
      <c r="J461" s="25" t="inlineStr">
        <is>
          <t>DAIANE STAVICKI</t>
        </is>
      </c>
      <c r="K461" s="25" t="inlineStr">
        <is>
          <t>Central - Daiane</t>
        </is>
      </c>
      <c r="L461" s="25" t="n">
        <v>279</v>
      </c>
      <c r="M461" s="25" t="inlineStr">
        <is>
          <t>12/05/2025</t>
        </is>
      </c>
      <c r="N461" s="25" t="n">
        <v>1558.74</v>
      </c>
      <c r="O461" s="25" t="n"/>
      <c r="P461" s="25" t="n"/>
      <c r="Q461" s="25" t="n"/>
      <c r="R461" s="25" t="n"/>
      <c r="S461" s="25" t="n"/>
      <c r="T461" s="25" t="n"/>
      <c r="U461" s="25" t="n">
        <v>0</v>
      </c>
      <c r="V461" s="25" t="n">
        <v>0</v>
      </c>
      <c r="W461" s="25" t="n">
        <v>0</v>
      </c>
      <c r="X461" s="25" t="n">
        <v>0</v>
      </c>
      <c r="Y461" s="25" t="n">
        <v>0</v>
      </c>
      <c r="Z461" s="25" t="n">
        <v>0</v>
      </c>
      <c r="AA461" s="25" t="n">
        <v>0</v>
      </c>
      <c r="AB461" s="25" t="n">
        <v>0</v>
      </c>
      <c r="AC461" s="25" t="n">
        <v>0</v>
      </c>
      <c r="AD461" s="25" t="n">
        <v>0</v>
      </c>
      <c r="AE461" s="25" t="n">
        <v>0</v>
      </c>
      <c r="AF461" s="25" t="n">
        <v>0</v>
      </c>
      <c r="AG461" s="25" t="n">
        <v>0</v>
      </c>
      <c r="AH461" s="25" t="n">
        <v>0</v>
      </c>
      <c r="AI461" s="25" t="inlineStr">
        <is>
          <t>B</t>
        </is>
      </c>
      <c r="AJ461" s="25" t="n">
        <v>0</v>
      </c>
      <c r="AK461" s="25" t="n">
        <v>0</v>
      </c>
      <c r="AL461" s="26" t="n">
        <v>46042.65986111111</v>
      </c>
      <c r="AM461" s="26" t="n">
        <v>46042.65986111111</v>
      </c>
      <c r="AN461" s="25" t="inlineStr">
        <is>
          <t>WHATSAPP</t>
        </is>
      </c>
      <c r="AO461" s="25" t="inlineStr">
        <is>
          <t>FELIPE - MERCADO OSANA</t>
        </is>
      </c>
      <c r="AP461" s="27">
        <f>IF(AH461="","",IF(AH461=0,"PROSPECT",IF(AH461=1,"NOVO",IF(AH461&lt;=3,"EM DESENVOLVIMENTO",IF(AH461&lt;=6,"RECORRENTE","FIDELIZADO")))))</f>
        <v/>
      </c>
      <c r="AQ461" s="27">
        <f>IF(AJ461=0,0,IFERROR(SUM(U461:AF461)/AJ461,0))</f>
        <v/>
      </c>
      <c r="AS461" s="0" t="inlineStr">
        <is>
          <t>Carteira FEV/26</t>
        </is>
      </c>
    </row>
    <row r="462" ht="14.25" customHeight="1" s="16">
      <c r="A462" s="25" t="inlineStr">
        <is>
          <t>SUPLEMENT WORLD SHOP LTDA</t>
        </is>
      </c>
      <c r="B462" s="25" t="inlineStr">
        <is>
          <t>61401282000123</t>
        </is>
      </c>
      <c r="C462" s="25" t="inlineStr">
        <is>
          <t>SUPLEMENT WORLD SHOP LTDA</t>
        </is>
      </c>
      <c r="D462" s="25" t="inlineStr">
        <is>
          <t>SC</t>
        </is>
      </c>
      <c r="E462" s="25" t="inlineStr">
        <is>
          <t>SAO JOSE</t>
        </is>
      </c>
      <c r="F462" s="25" t="inlineStr">
        <is>
          <t>Contato@swnaturais.com.br</t>
        </is>
      </c>
      <c r="G462" s="25" t="inlineStr">
        <is>
          <t>+55 (48) 8426-1869</t>
        </is>
      </c>
      <c r="H462" s="25" t="inlineStr">
        <is>
          <t>08/10/2024</t>
        </is>
      </c>
      <c r="I462" s="25" t="n"/>
      <c r="J462" s="25" t="inlineStr">
        <is>
          <t>LARISSA PADILHA</t>
        </is>
      </c>
      <c r="K462" s="25" t="inlineStr">
        <is>
          <t>Larissa Padilha</t>
        </is>
      </c>
      <c r="L462" s="25" t="n">
        <v>311</v>
      </c>
      <c r="M462" s="25" t="inlineStr">
        <is>
          <t>10/04/2025</t>
        </is>
      </c>
      <c r="N462" s="25" t="n">
        <v>1270.04</v>
      </c>
      <c r="O462" s="25" t="n"/>
      <c r="P462" s="25" t="n"/>
      <c r="Q462" s="25" t="n"/>
      <c r="R462" s="25" t="n"/>
      <c r="S462" s="25" t="n"/>
      <c r="T462" s="25" t="n"/>
      <c r="U462" s="25" t="n">
        <v>0</v>
      </c>
      <c r="V462" s="25" t="n">
        <v>1270.04</v>
      </c>
      <c r="W462" s="25" t="n">
        <v>0</v>
      </c>
      <c r="X462" s="25" t="n">
        <v>0</v>
      </c>
      <c r="Y462" s="25" t="n">
        <v>0</v>
      </c>
      <c r="Z462" s="25" t="n">
        <v>0</v>
      </c>
      <c r="AA462" s="25" t="n">
        <v>0</v>
      </c>
      <c r="AB462" s="25" t="n">
        <v>0</v>
      </c>
      <c r="AC462" s="25" t="n">
        <v>0</v>
      </c>
      <c r="AD462" s="25" t="n">
        <v>0</v>
      </c>
      <c r="AE462" s="25" t="n">
        <v>0</v>
      </c>
      <c r="AF462" s="25" t="n">
        <v>0</v>
      </c>
      <c r="AG462" s="25" t="n">
        <v>0</v>
      </c>
      <c r="AH462" s="25" t="n">
        <v>1</v>
      </c>
      <c r="AI462" s="25" t="inlineStr">
        <is>
          <t>B</t>
        </is>
      </c>
      <c r="AJ462" s="25" t="n">
        <v>1</v>
      </c>
      <c r="AK462" s="25" t="n">
        <v>1270.04</v>
      </c>
      <c r="AL462" s="26" t="n">
        <v>45853.57013888889</v>
      </c>
      <c r="AM462" s="26" t="n">
        <v>45853.57013888889</v>
      </c>
      <c r="AN462" s="25" t="inlineStr">
        <is>
          <t>WHATSAPP</t>
        </is>
      </c>
      <c r="AO462" s="28" t="inlineStr">
        <is>
          <t>*Portal de pedidos:* https://vitaomais.meuspedidos.com.br/ *Login:* contato@swnaturais.com.br *Senha:* 567724</t>
        </is>
      </c>
      <c r="AP462" s="27">
        <f>IF(AH462="","",IF(AH462=0,"PROSPECT",IF(AH462=1,"NOVO",IF(AH462&lt;=3,"EM DESENVOLVIMENTO",IF(AH462&lt;=6,"RECORRENTE","FIDELIZADO")))))</f>
        <v/>
      </c>
      <c r="AQ462" s="27">
        <f>IF(AJ462=0,0,IFERROR(SUM(U462:AF462)/AJ462,0))</f>
        <v/>
      </c>
      <c r="AS462" s="0" t="inlineStr">
        <is>
          <t>Carteira FEV/26</t>
        </is>
      </c>
    </row>
    <row r="463" ht="14.25" customHeight="1" s="16">
      <c r="A463" s="25" t="inlineStr">
        <is>
          <t>TEMPEROS &amp; MEL</t>
        </is>
      </c>
      <c r="B463" s="25" t="inlineStr">
        <is>
          <t>22105950000113</t>
        </is>
      </c>
      <c r="C463" s="25" t="inlineStr">
        <is>
          <t>TEMPEROS &amp; MEL LTDA</t>
        </is>
      </c>
      <c r="D463" s="25" t="inlineStr">
        <is>
          <t>DF</t>
        </is>
      </c>
      <c r="E463" s="25" t="inlineStr">
        <is>
          <t>BRASILIA</t>
        </is>
      </c>
      <c r="F463" s="25" t="inlineStr">
        <is>
          <t>TEMPEROSMEL@GMAIL.COM</t>
        </is>
      </c>
      <c r="G463" s="25" t="inlineStr">
        <is>
          <t>+55 (61) 9905-5296</t>
        </is>
      </c>
      <c r="H463" s="25" t="inlineStr">
        <is>
          <t>08/10/2024</t>
        </is>
      </c>
      <c r="I463" s="25" t="n"/>
      <c r="J463" s="25" t="inlineStr">
        <is>
          <t>MANU DITZEL</t>
        </is>
      </c>
      <c r="K463" s="25" t="inlineStr">
        <is>
          <t>Manu Ditzel</t>
        </is>
      </c>
      <c r="L463" s="25" t="n">
        <v>170</v>
      </c>
      <c r="M463" s="25" t="inlineStr">
        <is>
          <t>29/08/2025</t>
        </is>
      </c>
      <c r="N463" s="25" t="n">
        <v>1715.21</v>
      </c>
      <c r="O463" s="25" t="n">
        <v>1</v>
      </c>
      <c r="P463" s="25" t="inlineStr">
        <is>
          <t>Sim</t>
        </is>
      </c>
      <c r="Q463" s="25" t="n">
        <v>114</v>
      </c>
      <c r="R463" s="25" t="n">
        <v>21</v>
      </c>
      <c r="S463" s="25" t="n">
        <v>4474.16</v>
      </c>
      <c r="T463" s="25" t="inlineStr">
        <is>
          <t>COMPRA B2B</t>
        </is>
      </c>
      <c r="U463" s="25" t="n">
        <v>0</v>
      </c>
      <c r="V463" s="25" t="n">
        <v>0</v>
      </c>
      <c r="W463" s="25" t="n">
        <v>0</v>
      </c>
      <c r="X463" s="25" t="n">
        <v>2758.95</v>
      </c>
      <c r="Y463" s="25" t="n">
        <v>0</v>
      </c>
      <c r="Z463" s="25" t="n">
        <v>1715.21</v>
      </c>
      <c r="AA463" s="25" t="n">
        <v>0</v>
      </c>
      <c r="AB463" s="25" t="n">
        <v>0</v>
      </c>
      <c r="AC463" s="25" t="n">
        <v>0</v>
      </c>
      <c r="AD463" s="25" t="n">
        <v>0</v>
      </c>
      <c r="AE463" s="25" t="n">
        <v>0</v>
      </c>
      <c r="AF463" s="25" t="n">
        <v>0</v>
      </c>
      <c r="AG463" s="25" t="n">
        <v>88</v>
      </c>
      <c r="AH463" s="25" t="n">
        <v>2</v>
      </c>
      <c r="AI463" s="25" t="inlineStr">
        <is>
          <t>A</t>
        </is>
      </c>
      <c r="AJ463" s="25" t="n">
        <v>2</v>
      </c>
      <c r="AK463" s="25" t="n">
        <v>2237.08</v>
      </c>
      <c r="AL463" s="26" t="n">
        <v>46042.38931712963</v>
      </c>
      <c r="AM463" s="26" t="n">
        <v>46042.38931712963</v>
      </c>
      <c r="AN463" s="25" t="inlineStr">
        <is>
          <t>WHATSAPP</t>
        </is>
      </c>
      <c r="AO463" s="25" t="inlineStr">
        <is>
          <t>TEMPEROS &amp; MEL - JEFF - DF</t>
        </is>
      </c>
      <c r="AP463" s="27">
        <f>IF(AH463="","",IF(AH463=0,"PROSPECT",IF(AH463=1,"NOVO",IF(AH463&lt;=3,"EM DESENVOLVIMENTO",IF(AH463&lt;=6,"RECORRENTE","FIDELIZADO")))))</f>
        <v/>
      </c>
      <c r="AQ463" s="27">
        <f>IF(AJ463=0,0,IFERROR(SUM(U463:AF463)/AJ463,0))</f>
        <v/>
      </c>
      <c r="AS463" s="0" t="inlineStr">
        <is>
          <t>Carteira FEV/26</t>
        </is>
      </c>
    </row>
    <row r="464" ht="14.25" customHeight="1" s="16">
      <c r="A464" s="25" t="inlineStr">
        <is>
          <t>TERRITORIO SAUDE SJP</t>
        </is>
      </c>
      <c r="B464" s="25" t="inlineStr">
        <is>
          <t>59394889000181</t>
        </is>
      </c>
      <c r="C464" s="25" t="inlineStr">
        <is>
          <t>TERRITORIO SAUDE SJP LTDA</t>
        </is>
      </c>
      <c r="D464" s="25" t="inlineStr">
        <is>
          <t>PR</t>
        </is>
      </c>
      <c r="E464" s="25" t="inlineStr">
        <is>
          <t>SAO JOSE DOS PINHAIS</t>
        </is>
      </c>
      <c r="F464" s="25" t="inlineStr">
        <is>
          <t>thiagomenegassi@gmail.com</t>
        </is>
      </c>
      <c r="G464" s="25" t="inlineStr">
        <is>
          <t>+55 (41) 9146-4469</t>
        </is>
      </c>
      <c r="H464" s="25" t="inlineStr">
        <is>
          <t>27/06/2025</t>
        </is>
      </c>
      <c r="I464" s="25" t="inlineStr">
        <is>
          <t>[Rede] Fit Land</t>
        </is>
      </c>
      <c r="J464" s="25" t="inlineStr">
        <is>
          <t>LARISSA PADILHA</t>
        </is>
      </c>
      <c r="K464" s="25" t="inlineStr">
        <is>
          <t>Larissa Padilha</t>
        </is>
      </c>
      <c r="L464" s="25" t="n">
        <v>233</v>
      </c>
      <c r="M464" s="25" t="inlineStr">
        <is>
          <t>27/06/2025</t>
        </is>
      </c>
      <c r="N464" s="25" t="n">
        <v>1216.97</v>
      </c>
      <c r="O464" s="25" t="n"/>
      <c r="P464" s="25" t="n"/>
      <c r="Q464" s="25" t="n"/>
      <c r="R464" s="25" t="n"/>
      <c r="S464" s="25" t="n"/>
      <c r="T464" s="25" t="n"/>
      <c r="U464" s="25" t="n">
        <v>0</v>
      </c>
      <c r="V464" s="25" t="n">
        <v>0</v>
      </c>
      <c r="W464" s="25" t="n">
        <v>0</v>
      </c>
      <c r="X464" s="25" t="n">
        <v>1216.97</v>
      </c>
      <c r="Y464" s="25" t="n">
        <v>0</v>
      </c>
      <c r="Z464" s="25" t="n">
        <v>0</v>
      </c>
      <c r="AA464" s="25" t="n">
        <v>0</v>
      </c>
      <c r="AB464" s="25" t="n">
        <v>0</v>
      </c>
      <c r="AC464" s="25" t="n">
        <v>0</v>
      </c>
      <c r="AD464" s="25" t="n">
        <v>0</v>
      </c>
      <c r="AE464" s="25" t="n">
        <v>0</v>
      </c>
      <c r="AF464" s="25" t="n">
        <v>0</v>
      </c>
      <c r="AG464" s="25" t="n">
        <v>0</v>
      </c>
      <c r="AH464" s="25" t="n">
        <v>1</v>
      </c>
      <c r="AI464" s="25" t="inlineStr">
        <is>
          <t>B</t>
        </is>
      </c>
      <c r="AJ464" s="25" t="n">
        <v>1</v>
      </c>
      <c r="AK464" s="25" t="n">
        <v>1216.97</v>
      </c>
      <c r="AL464" s="25" t="n"/>
      <c r="AM464" s="25" t="n"/>
      <c r="AN464" s="25" t="n"/>
      <c r="AO464" s="25" t="n"/>
      <c r="AP464" s="27">
        <f>IF(AH464="","",IF(AH464=0,"PROSPECT",IF(AH464=1,"NOVO",IF(AH464&lt;=3,"EM DESENVOLVIMENTO",IF(AH464&lt;=6,"RECORRENTE","FIDELIZADO")))))</f>
        <v/>
      </c>
      <c r="AQ464" s="27">
        <f>IF(AJ464=0,0,IFERROR(SUM(U464:AF464)/AJ464,0))</f>
        <v/>
      </c>
      <c r="AS464" s="0" t="inlineStr">
        <is>
          <t>Carteira FEV/26</t>
        </is>
      </c>
    </row>
    <row r="465" ht="14.25" customHeight="1" s="16">
      <c r="A465" s="25" t="inlineStr">
        <is>
          <t>TERRITORIO SAUDE XV</t>
        </is>
      </c>
      <c r="B465" s="25" t="inlineStr">
        <is>
          <t>55726945000187</t>
        </is>
      </c>
      <c r="C465" s="25" t="inlineStr">
        <is>
          <t>TERRITORIO SAUDE XV LTDA</t>
        </is>
      </c>
      <c r="D465" s="25" t="inlineStr">
        <is>
          <t>PR</t>
        </is>
      </c>
      <c r="E465" s="25" t="inlineStr">
        <is>
          <t>CURITIBA</t>
        </is>
      </c>
      <c r="F465" s="25" t="inlineStr">
        <is>
          <t>thiagomenegassi@gmail.com</t>
        </is>
      </c>
      <c r="G465" s="25" t="inlineStr">
        <is>
          <t>+55 (41) 99146-4469</t>
        </is>
      </c>
      <c r="H465" s="25" t="inlineStr">
        <is>
          <t>08/10/2024</t>
        </is>
      </c>
      <c r="I465" s="25" t="inlineStr">
        <is>
          <t>[Rede] Fit Land</t>
        </is>
      </c>
      <c r="J465" s="25" t="inlineStr">
        <is>
          <t>LARISSA PADILHA</t>
        </is>
      </c>
      <c r="K465" s="25" t="inlineStr">
        <is>
          <t>Larissa Padilha</t>
        </is>
      </c>
      <c r="L465" s="25" t="n">
        <v>271</v>
      </c>
      <c r="M465" s="25" t="inlineStr">
        <is>
          <t>20/05/2025</t>
        </is>
      </c>
      <c r="N465" s="25" t="n">
        <v>654.89</v>
      </c>
      <c r="O465" s="25" t="n">
        <v>1</v>
      </c>
      <c r="P465" s="25" t="inlineStr">
        <is>
          <t>Sim</t>
        </is>
      </c>
      <c r="Q465" s="25" t="n">
        <v>1</v>
      </c>
      <c r="R465" s="25" t="n"/>
      <c r="S465" s="25" t="n"/>
      <c r="T465" s="25" t="n"/>
      <c r="U465" s="25" t="n">
        <v>0</v>
      </c>
      <c r="V465" s="25" t="n">
        <v>0</v>
      </c>
      <c r="W465" s="25" t="n">
        <v>654.89</v>
      </c>
      <c r="X465" s="25" t="n">
        <v>0</v>
      </c>
      <c r="Y465" s="25" t="n">
        <v>0</v>
      </c>
      <c r="Z465" s="25" t="n">
        <v>0</v>
      </c>
      <c r="AA465" s="25" t="n">
        <v>0</v>
      </c>
      <c r="AB465" s="25" t="n">
        <v>0</v>
      </c>
      <c r="AC465" s="25" t="n">
        <v>0</v>
      </c>
      <c r="AD465" s="25" t="n">
        <v>0</v>
      </c>
      <c r="AE465" s="25" t="n">
        <v>0</v>
      </c>
      <c r="AF465" s="25" t="n">
        <v>0</v>
      </c>
      <c r="AG465" s="25" t="n">
        <v>0</v>
      </c>
      <c r="AH465" s="25" t="n">
        <v>1</v>
      </c>
      <c r="AI465" s="25" t="inlineStr">
        <is>
          <t>C</t>
        </is>
      </c>
      <c r="AJ465" s="25" t="n">
        <v>1</v>
      </c>
      <c r="AK465" s="25" t="n">
        <v>654.89</v>
      </c>
      <c r="AL465" s="26" t="n">
        <v>46056.40418981481</v>
      </c>
      <c r="AM465" s="26" t="n">
        <v>46056.40418981481</v>
      </c>
      <c r="AN465" s="25" t="inlineStr">
        <is>
          <t>WHATSAPP</t>
        </is>
      </c>
      <c r="AO465" s="25" t="inlineStr">
        <is>
          <t>FITLAND - THIAGO - PR</t>
        </is>
      </c>
      <c r="AP465" s="27">
        <f>IF(AH465="","",IF(AH465=0,"PROSPECT",IF(AH465=1,"NOVO",IF(AH465&lt;=3,"EM DESENVOLVIMENTO",IF(AH465&lt;=6,"RECORRENTE","FIDELIZADO")))))</f>
        <v/>
      </c>
      <c r="AQ465" s="27">
        <f>IF(AJ465=0,0,IFERROR(SUM(U465:AF465)/AJ465,0))</f>
        <v/>
      </c>
      <c r="AS465" s="0" t="inlineStr">
        <is>
          <t>Carteira FEV/26</t>
        </is>
      </c>
    </row>
    <row r="466" ht="14.25" customHeight="1" s="16">
      <c r="A466" s="25" t="inlineStr">
        <is>
          <t>TICO AUTO POSTO LOBATO</t>
        </is>
      </c>
      <c r="B466" s="25" t="inlineStr">
        <is>
          <t>34788640000120</t>
        </is>
      </c>
      <c r="C466" s="25" t="inlineStr">
        <is>
          <t>TICO AUTO POSTO LOBATO LTDA</t>
        </is>
      </c>
      <c r="D466" s="25" t="inlineStr">
        <is>
          <t>PR</t>
        </is>
      </c>
      <c r="E466" s="25" t="inlineStr">
        <is>
          <t>LOBATO</t>
        </is>
      </c>
      <c r="F466" s="25" t="inlineStr">
        <is>
          <t>Mdzmaringa@hotmail.com</t>
        </is>
      </c>
      <c r="G466" s="25" t="inlineStr">
        <is>
          <t>+55 (44) 9806-2010 (MIKELLI GONÇALVE)</t>
        </is>
      </c>
      <c r="H466" s="25" t="inlineStr">
        <is>
          <t>18/08/2025</t>
        </is>
      </c>
      <c r="I466" s="25" t="n"/>
      <c r="J466" s="25" t="inlineStr">
        <is>
          <t>DAIANE STAVICKI</t>
        </is>
      </c>
      <c r="K466" s="25" t="inlineStr">
        <is>
          <t>Central - Daiane</t>
        </is>
      </c>
      <c r="L466" s="25" t="n">
        <v>179</v>
      </c>
      <c r="M466" s="25" t="inlineStr">
        <is>
          <t>20/08/2025</t>
        </is>
      </c>
      <c r="N466" s="25" t="n">
        <v>1443.35</v>
      </c>
      <c r="O466" s="25" t="n"/>
      <c r="P466" s="25" t="n"/>
      <c r="Q466" s="25" t="n"/>
      <c r="R466" s="25" t="n"/>
      <c r="S466" s="25" t="n"/>
      <c r="T466" s="25" t="n"/>
      <c r="U466" s="25" t="n">
        <v>0</v>
      </c>
      <c r="V466" s="25" t="n">
        <v>0</v>
      </c>
      <c r="W466" s="25" t="n">
        <v>0</v>
      </c>
      <c r="X466" s="25" t="n">
        <v>0</v>
      </c>
      <c r="Y466" s="25" t="n">
        <v>0</v>
      </c>
      <c r="Z466" s="25" t="n">
        <v>1443.35</v>
      </c>
      <c r="AA466" s="25" t="n">
        <v>0</v>
      </c>
      <c r="AB466" s="25" t="n">
        <v>0</v>
      </c>
      <c r="AC466" s="25" t="n">
        <v>0</v>
      </c>
      <c r="AD466" s="25" t="n">
        <v>0</v>
      </c>
      <c r="AE466" s="25" t="n">
        <v>0</v>
      </c>
      <c r="AF466" s="25" t="n">
        <v>0</v>
      </c>
      <c r="AG466" s="25" t="n">
        <v>0</v>
      </c>
      <c r="AH466" s="25" t="n">
        <v>1</v>
      </c>
      <c r="AI466" s="25" t="inlineStr">
        <is>
          <t>B</t>
        </is>
      </c>
      <c r="AJ466" s="25" t="n">
        <v>1</v>
      </c>
      <c r="AK466" s="25" t="n">
        <v>1443.35</v>
      </c>
      <c r="AL466" s="25" t="n"/>
      <c r="AM466" s="25" t="n"/>
      <c r="AN466" s="25" t="n"/>
      <c r="AO466" s="25" t="n"/>
      <c r="AP466" s="27">
        <f>IF(AH466="","",IF(AH466=0,"PROSPECT",IF(AH466=1,"NOVO",IF(AH466&lt;=3,"EM DESENVOLVIMENTO",IF(AH466&lt;=6,"RECORRENTE","FIDELIZADO")))))</f>
        <v/>
      </c>
      <c r="AQ466" s="27">
        <f>IF(AJ466=0,0,IFERROR(SUM(U466:AF466)/AJ466,0))</f>
        <v/>
      </c>
      <c r="AS466" s="0" t="inlineStr">
        <is>
          <t>Carteira FEV/26</t>
        </is>
      </c>
    </row>
    <row r="467" ht="14.25" customHeight="1" s="16">
      <c r="A467" s="25" t="inlineStr">
        <is>
          <t>TOP FIT</t>
        </is>
      </c>
      <c r="B467" s="25" t="inlineStr">
        <is>
          <t>57200778000161</t>
        </is>
      </c>
      <c r="C467" s="25" t="inlineStr">
        <is>
          <t>TOP FIT COMERCIO DE NUTRICAO LTDA</t>
        </is>
      </c>
      <c r="D467" s="25" t="inlineStr">
        <is>
          <t>SC</t>
        </is>
      </c>
      <c r="E467" s="25" t="inlineStr">
        <is>
          <t>PALHOCA</t>
        </is>
      </c>
      <c r="F467" s="25" t="inlineStr">
        <is>
          <t>fitlandpalhocaponteimaruim@gmail.com</t>
        </is>
      </c>
      <c r="G467" s="25" t="inlineStr">
        <is>
          <t>+55 (48) 9139-9622</t>
        </is>
      </c>
      <c r="H467" s="25" t="inlineStr">
        <is>
          <t>08/04/2025</t>
        </is>
      </c>
      <c r="I467" s="25" t="inlineStr">
        <is>
          <t>[Rede] Fit Land</t>
        </is>
      </c>
      <c r="J467" s="25" t="inlineStr">
        <is>
          <t>LARISSA PADILHA</t>
        </is>
      </c>
      <c r="K467" s="25" t="inlineStr">
        <is>
          <t>Larissa Padilha</t>
        </is>
      </c>
      <c r="L467" s="25" t="n">
        <v>249</v>
      </c>
      <c r="M467" s="25" t="inlineStr">
        <is>
          <t>11/06/2025</t>
        </is>
      </c>
      <c r="N467" s="25" t="n">
        <v>1777.6</v>
      </c>
      <c r="O467" s="25" t="n">
        <v>1</v>
      </c>
      <c r="P467" s="25" t="inlineStr">
        <is>
          <t>Sim</t>
        </is>
      </c>
      <c r="Q467" s="25" t="n">
        <v>1</v>
      </c>
      <c r="R467" s="25" t="n"/>
      <c r="S467" s="25" t="n"/>
      <c r="T467" s="25" t="n"/>
      <c r="U467" s="25" t="n">
        <v>0</v>
      </c>
      <c r="V467" s="25" t="n">
        <v>510.4</v>
      </c>
      <c r="W467" s="25" t="n">
        <v>0</v>
      </c>
      <c r="X467" s="25" t="n">
        <v>1777.6</v>
      </c>
      <c r="Y467" s="25" t="n">
        <v>0</v>
      </c>
      <c r="Z467" s="25" t="n">
        <v>0</v>
      </c>
      <c r="AA467" s="25" t="n">
        <v>0</v>
      </c>
      <c r="AB467" s="25" t="n">
        <v>0</v>
      </c>
      <c r="AC467" s="25" t="n">
        <v>0</v>
      </c>
      <c r="AD467" s="25" t="n">
        <v>0</v>
      </c>
      <c r="AE467" s="25" t="n">
        <v>0</v>
      </c>
      <c r="AF467" s="25" t="n">
        <v>0</v>
      </c>
      <c r="AG467" s="25" t="n">
        <v>62</v>
      </c>
      <c r="AH467" s="25" t="n">
        <v>2</v>
      </c>
      <c r="AI467" s="25" t="inlineStr">
        <is>
          <t>B</t>
        </is>
      </c>
      <c r="AJ467" s="25" t="n">
        <v>2</v>
      </c>
      <c r="AK467" s="25" t="n">
        <v>1144</v>
      </c>
      <c r="AL467" s="26" t="n">
        <v>46001.4325</v>
      </c>
      <c r="AM467" s="26" t="n">
        <v>46001.4325</v>
      </c>
      <c r="AN467" s="25" t="inlineStr">
        <is>
          <t>WHATSAPP</t>
        </is>
      </c>
      <c r="AO467" s="28" t="inlineStr">
        <is>
          <t>FITLAND - ROSANE - SC</t>
        </is>
      </c>
      <c r="AP467" s="27">
        <f>IF(AH467="","",IF(AH467=0,"PROSPECT",IF(AH467=1,"NOVO",IF(AH467&lt;=3,"EM DESENVOLVIMENTO",IF(AH467&lt;=6,"RECORRENTE","FIDELIZADO")))))</f>
        <v/>
      </c>
      <c r="AQ467" s="27">
        <f>IF(AJ467=0,0,IFERROR(SUM(U467:AF467)/AJ467,0))</f>
        <v/>
      </c>
      <c r="AS467" s="0" t="inlineStr">
        <is>
          <t>Carteira FEV/26</t>
        </is>
      </c>
    </row>
    <row r="468" ht="14.25" customHeight="1" s="16">
      <c r="A468" s="25" t="inlineStr">
        <is>
          <t>TORO EMPORIO</t>
        </is>
      </c>
      <c r="B468" s="25" t="inlineStr">
        <is>
          <t>61814136000120</t>
        </is>
      </c>
      <c r="C468" s="25" t="inlineStr">
        <is>
          <t>TORO EMPORIO LTDA</t>
        </is>
      </c>
      <c r="D468" s="25" t="inlineStr">
        <is>
          <t>SP</t>
        </is>
      </c>
      <c r="E468" s="25" t="inlineStr">
        <is>
          <t>LIMEIRA</t>
        </is>
      </c>
      <c r="F468" s="25" t="inlineStr">
        <is>
          <t>pamcruanes@yahoo.com.br</t>
        </is>
      </c>
      <c r="G468" s="25" t="inlineStr">
        <is>
          <t>+55 (19) 98138-9325</t>
        </is>
      </c>
      <c r="H468" s="25" t="inlineStr">
        <is>
          <t>14/04/2025</t>
        </is>
      </c>
      <c r="I468" s="25" t="n"/>
      <c r="J468" s="25" t="inlineStr">
        <is>
          <t>LARISSA PADILHA</t>
        </is>
      </c>
      <c r="K468" s="25" t="inlineStr">
        <is>
          <t>Larissa Padilha</t>
        </is>
      </c>
      <c r="L468" s="25" t="n">
        <v>122</v>
      </c>
      <c r="M468" s="25" t="inlineStr">
        <is>
          <t>16/10/2025</t>
        </is>
      </c>
      <c r="N468" s="25" t="n">
        <v>663.8</v>
      </c>
      <c r="O468" s="25" t="n">
        <v>1</v>
      </c>
      <c r="P468" s="25" t="inlineStr">
        <is>
          <t>Sim</t>
        </is>
      </c>
      <c r="Q468" s="25" t="n">
        <v>92</v>
      </c>
      <c r="R468" s="25" t="n">
        <v>2</v>
      </c>
      <c r="S468" s="25" t="n"/>
      <c r="T468" s="25" t="n"/>
      <c r="U468" s="25" t="n">
        <v>0</v>
      </c>
      <c r="V468" s="25" t="n">
        <v>0</v>
      </c>
      <c r="W468" s="25" t="n">
        <v>0</v>
      </c>
      <c r="X468" s="25" t="n">
        <v>0</v>
      </c>
      <c r="Y468" s="25" t="n">
        <v>0</v>
      </c>
      <c r="Z468" s="25" t="n">
        <v>0</v>
      </c>
      <c r="AA468" s="25" t="n">
        <v>0</v>
      </c>
      <c r="AB468" s="25" t="n">
        <v>663.8</v>
      </c>
      <c r="AC468" s="25" t="n">
        <v>0</v>
      </c>
      <c r="AD468" s="25" t="n">
        <v>0</v>
      </c>
      <c r="AE468" s="25" t="n">
        <v>0</v>
      </c>
      <c r="AF468" s="25" t="n">
        <v>0</v>
      </c>
      <c r="AG468" s="25" t="n">
        <v>0</v>
      </c>
      <c r="AH468" s="25" t="n">
        <v>1</v>
      </c>
      <c r="AI468" s="25" t="inlineStr">
        <is>
          <t>C</t>
        </is>
      </c>
      <c r="AJ468" s="25" t="n">
        <v>1</v>
      </c>
      <c r="AK468" s="25" t="n">
        <v>663.8</v>
      </c>
      <c r="AL468" s="26" t="n">
        <v>46036.37517361111</v>
      </c>
      <c r="AM468" s="26" t="n">
        <v>46036.37517361111</v>
      </c>
      <c r="AN468" s="25" t="inlineStr">
        <is>
          <t>WHATSAPP</t>
        </is>
      </c>
      <c r="AO468" s="25" t="inlineStr">
        <is>
          <t>TORO - PABLO - SP</t>
        </is>
      </c>
      <c r="AP468" s="27">
        <f>IF(AH468="","",IF(AH468=0,"PROSPECT",IF(AH468=1,"NOVO",IF(AH468&lt;=3,"EM DESENVOLVIMENTO",IF(AH468&lt;=6,"RECORRENTE","FIDELIZADO")))))</f>
        <v/>
      </c>
      <c r="AQ468" s="27">
        <f>IF(AJ468=0,0,IFERROR(SUM(U468:AF468)/AJ468,0))</f>
        <v/>
      </c>
      <c r="AS468" s="0" t="inlineStr">
        <is>
          <t>Carteira FEV/26</t>
        </is>
      </c>
    </row>
    <row r="469" ht="14.25" customHeight="1" s="16">
      <c r="A469" s="25" t="inlineStr">
        <is>
          <t>TORRE FORTE PRODUTOS E ALIMENTOS LTDA</t>
        </is>
      </c>
      <c r="B469" s="25" t="inlineStr">
        <is>
          <t>60010307000103</t>
        </is>
      </c>
      <c r="C469" s="25" t="inlineStr">
        <is>
          <t>TORRE FORTE PRODUTOS E ALIMENTOS LTDA</t>
        </is>
      </c>
      <c r="D469" s="25" t="inlineStr">
        <is>
          <t>PR</t>
        </is>
      </c>
      <c r="E469" s="25" t="inlineStr">
        <is>
          <t>LONDRINA</t>
        </is>
      </c>
      <c r="F469" s="25" t="inlineStr">
        <is>
          <t>luiza_montes@icloud.com</t>
        </is>
      </c>
      <c r="G469" s="25" t="inlineStr">
        <is>
          <t>+55 (14) 99661-6661</t>
        </is>
      </c>
      <c r="H469" s="25" t="inlineStr">
        <is>
          <t>22/10/2025</t>
        </is>
      </c>
      <c r="I469" s="25" t="inlineStr">
        <is>
          <t>[Rede] Vida Leve</t>
        </is>
      </c>
      <c r="J469" s="25" t="inlineStr">
        <is>
          <t>DAIANE STAVICKI</t>
        </is>
      </c>
      <c r="K469" s="25" t="inlineStr">
        <is>
          <t>Central - Daiane</t>
        </is>
      </c>
      <c r="L469" s="25" t="n">
        <v>116</v>
      </c>
      <c r="M469" s="25" t="inlineStr">
        <is>
          <t>22/10/2025</t>
        </is>
      </c>
      <c r="N469" s="25" t="n">
        <v>967.9299999999999</v>
      </c>
      <c r="O469" s="25" t="n">
        <v>1</v>
      </c>
      <c r="P469" s="25" t="inlineStr">
        <is>
          <t>Sim</t>
        </is>
      </c>
      <c r="Q469" s="25" t="n">
        <v>12</v>
      </c>
      <c r="R469" s="25" t="n"/>
      <c r="S469" s="25" t="n"/>
      <c r="T469" s="25" t="n"/>
      <c r="U469" s="25" t="n">
        <v>0</v>
      </c>
      <c r="V469" s="25" t="n">
        <v>0</v>
      </c>
      <c r="W469" s="25" t="n">
        <v>0</v>
      </c>
      <c r="X469" s="25" t="n">
        <v>0</v>
      </c>
      <c r="Y469" s="25" t="n">
        <v>0</v>
      </c>
      <c r="Z469" s="25" t="n">
        <v>0</v>
      </c>
      <c r="AA469" s="25" t="n">
        <v>0</v>
      </c>
      <c r="AB469" s="25" t="n">
        <v>967.9299999999999</v>
      </c>
      <c r="AC469" s="25" t="n">
        <v>0</v>
      </c>
      <c r="AD469" s="25" t="n">
        <v>0</v>
      </c>
      <c r="AE469" s="25" t="n">
        <v>0</v>
      </c>
      <c r="AF469" s="25" t="n">
        <v>0</v>
      </c>
      <c r="AG469" s="25" t="n">
        <v>0</v>
      </c>
      <c r="AH469" s="25" t="n">
        <v>1</v>
      </c>
      <c r="AI469" s="25" t="inlineStr">
        <is>
          <t>C</t>
        </is>
      </c>
      <c r="AJ469" s="25" t="n">
        <v>1</v>
      </c>
      <c r="AK469" s="25" t="n">
        <v>967.9299999999999</v>
      </c>
      <c r="AL469" s="26" t="n">
        <v>46056.66319444445</v>
      </c>
      <c r="AM469" s="26" t="n">
        <v>46056.66319444445</v>
      </c>
      <c r="AN469" s="25" t="inlineStr">
        <is>
          <t>LIGAÇÃO</t>
        </is>
      </c>
      <c r="AO469" s="25" t="inlineStr">
        <is>
          <t>ELE PASSOU O OCONTATO DA ESPOSA</t>
        </is>
      </c>
      <c r="AP469" s="27">
        <f>IF(AH469="","",IF(AH469=0,"PROSPECT",IF(AH469=1,"NOVO",IF(AH469&lt;=3,"EM DESENVOLVIMENTO",IF(AH469&lt;=6,"RECORRENTE","FIDELIZADO")))))</f>
        <v/>
      </c>
      <c r="AQ469" s="27">
        <f>IF(AJ469=0,0,IFERROR(SUM(U469:AF469)/AJ469,0))</f>
        <v/>
      </c>
      <c r="AR469" s="15" t="inlineStr">
        <is>
          <t>⚠️ DDD(14)=SP≠PR</t>
        </is>
      </c>
      <c r="AS469" s="0" t="inlineStr">
        <is>
          <t>Carteira FEV/26 + Atend FEV/26</t>
        </is>
      </c>
    </row>
    <row r="470" ht="14.25" customHeight="1" s="16">
      <c r="A470" s="25" t="inlineStr">
        <is>
          <t>TP NUTRICAO</t>
        </is>
      </c>
      <c r="B470" s="25" t="inlineStr">
        <is>
          <t>48486297000173</t>
        </is>
      </c>
      <c r="C470" s="25" t="inlineStr">
        <is>
          <t>TP NUTRICAO LTDA</t>
        </is>
      </c>
      <c r="D470" s="25" t="inlineStr">
        <is>
          <t>SC</t>
        </is>
      </c>
      <c r="E470" s="25" t="inlineStr">
        <is>
          <t>TIJUCAS</t>
        </is>
      </c>
      <c r="F470" s="25" t="inlineStr">
        <is>
          <t>fitlandtijucaskomprao@gmail.com</t>
        </is>
      </c>
      <c r="G470" s="25" t="inlineStr">
        <is>
          <t>+55 (48) 99931-2352</t>
        </is>
      </c>
      <c r="H470" s="25" t="inlineStr">
        <is>
          <t>08/10/2024</t>
        </is>
      </c>
      <c r="I470" s="25" t="inlineStr">
        <is>
          <t>[Rede] Fit Land</t>
        </is>
      </c>
      <c r="J470" s="25" t="inlineStr">
        <is>
          <t>LARISSA PADILHA</t>
        </is>
      </c>
      <c r="K470" s="25" t="inlineStr">
        <is>
          <t>Julio  Gadret</t>
        </is>
      </c>
      <c r="L470" s="25" t="n">
        <v>102</v>
      </c>
      <c r="M470" s="25" t="inlineStr">
        <is>
          <t>05/11/2025</t>
        </is>
      </c>
      <c r="N470" s="25" t="n">
        <v>1516.12</v>
      </c>
      <c r="O470" s="25" t="n">
        <v>1</v>
      </c>
      <c r="P470" s="25" t="inlineStr">
        <is>
          <t>Sim</t>
        </is>
      </c>
      <c r="Q470" s="25" t="n">
        <v>8</v>
      </c>
      <c r="R470" s="25" t="n">
        <v>3</v>
      </c>
      <c r="S470" s="25" t="n">
        <v>1516.12</v>
      </c>
      <c r="T470" s="25" t="inlineStr">
        <is>
          <t>COMPRA B2B</t>
        </is>
      </c>
      <c r="U470" s="25" t="n">
        <v>0</v>
      </c>
      <c r="V470" s="25" t="n">
        <v>0</v>
      </c>
      <c r="W470" s="25" t="n">
        <v>0</v>
      </c>
      <c r="X470" s="25" t="n">
        <v>0</v>
      </c>
      <c r="Y470" s="25" t="n">
        <v>901.4299999999999</v>
      </c>
      <c r="Z470" s="25" t="n">
        <v>0</v>
      </c>
      <c r="AA470" s="25" t="n">
        <v>0</v>
      </c>
      <c r="AB470" s="25" t="n">
        <v>0</v>
      </c>
      <c r="AC470" s="25" t="n">
        <v>1516.12</v>
      </c>
      <c r="AD470" s="25" t="n">
        <v>0</v>
      </c>
      <c r="AE470" s="25" t="n">
        <v>0</v>
      </c>
      <c r="AF470" s="25" t="n">
        <v>0</v>
      </c>
      <c r="AG470" s="25" t="n">
        <v>119</v>
      </c>
      <c r="AH470" s="25" t="n">
        <v>1</v>
      </c>
      <c r="AI470" s="25" t="inlineStr">
        <is>
          <t>B</t>
        </is>
      </c>
      <c r="AJ470" s="25" t="n">
        <v>2</v>
      </c>
      <c r="AK470" s="25" t="n">
        <v>2417.55</v>
      </c>
      <c r="AL470" s="26" t="n">
        <v>45999.60987268519</v>
      </c>
      <c r="AM470" s="26" t="n">
        <v>45999.60987268519</v>
      </c>
      <c r="AN470" s="25" t="inlineStr">
        <is>
          <t>WHATSAPP</t>
        </is>
      </c>
      <c r="AO470" s="25" t="inlineStr">
        <is>
          <t>ARMAZEM SEU CHICO- SC</t>
        </is>
      </c>
      <c r="AP470" s="27">
        <f>IF(AH470="","",IF(AH470=0,"PROSPECT",IF(AH470=1,"NOVO",IF(AH470&lt;=3,"EM DESENVOLVIMENTO",IF(AH470&lt;=6,"RECORRENTE","FIDELIZADO")))))</f>
        <v/>
      </c>
      <c r="AQ470" s="27">
        <f>IF(AJ470=0,0,IFERROR(SUM(U470:AF470)/AJ470,0))</f>
        <v/>
      </c>
      <c r="AS470" s="0" t="inlineStr">
        <is>
          <t>Carteira FEV/26</t>
        </is>
      </c>
    </row>
    <row r="471" ht="14.25" customHeight="1" s="16">
      <c r="A471" s="25" t="inlineStr">
        <is>
          <t>TRILHAS DA AMAZONIA</t>
        </is>
      </c>
      <c r="B471" s="25" t="inlineStr">
        <is>
          <t>57185527000155</t>
        </is>
      </c>
      <c r="C471" s="25" t="inlineStr">
        <is>
          <t>A.M.MENDANHA LTDA</t>
        </is>
      </c>
      <c r="D471" s="25" t="inlineStr">
        <is>
          <t>PA</t>
        </is>
      </c>
      <c r="E471" s="25" t="inlineStr">
        <is>
          <t>REDENCAO</t>
        </is>
      </c>
      <c r="F471" s="25" t="inlineStr">
        <is>
          <t>trilhasrdc@hotmail.com</t>
        </is>
      </c>
      <c r="G471" s="25" t="inlineStr">
        <is>
          <t>+55 (94) 99282-1468</t>
        </is>
      </c>
      <c r="H471" s="25" t="inlineStr">
        <is>
          <t>25/04/2025</t>
        </is>
      </c>
      <c r="I471" s="25" t="n"/>
      <c r="J471" s="25" t="inlineStr">
        <is>
          <t>LARISSA PADILHA</t>
        </is>
      </c>
      <c r="K471" s="25" t="inlineStr">
        <is>
          <t>Helder Brunkow</t>
        </is>
      </c>
      <c r="L471" s="25" t="n">
        <v>212</v>
      </c>
      <c r="M471" s="25" t="inlineStr">
        <is>
          <t>18/07/2025</t>
        </is>
      </c>
      <c r="N471" s="25" t="n">
        <v>2930.22</v>
      </c>
      <c r="O471" s="25" t="n">
        <v>1</v>
      </c>
      <c r="P471" s="25" t="inlineStr">
        <is>
          <t>Sim</t>
        </is>
      </c>
      <c r="Q471" s="25" t="n">
        <v>38</v>
      </c>
      <c r="R471" s="25" t="n">
        <v>24</v>
      </c>
      <c r="S471" s="25" t="n">
        <v>1755.03</v>
      </c>
      <c r="T471" s="25" t="inlineStr">
        <is>
          <t>COMPRA B2B</t>
        </is>
      </c>
      <c r="U471" s="25" t="n">
        <v>0</v>
      </c>
      <c r="V471" s="25" t="n">
        <v>0</v>
      </c>
      <c r="W471" s="25" t="n">
        <v>1755.03</v>
      </c>
      <c r="X471" s="25" t="n">
        <v>0</v>
      </c>
      <c r="Y471" s="25" t="n">
        <v>2930.22</v>
      </c>
      <c r="Z471" s="25" t="n">
        <v>0</v>
      </c>
      <c r="AA471" s="25" t="n">
        <v>0</v>
      </c>
      <c r="AB471" s="25" t="n">
        <v>0</v>
      </c>
      <c r="AC471" s="25" t="n">
        <v>0</v>
      </c>
      <c r="AD471" s="25" t="n">
        <v>0</v>
      </c>
      <c r="AE471" s="25" t="n">
        <v>0</v>
      </c>
      <c r="AF471" s="25" t="n">
        <v>0</v>
      </c>
      <c r="AG471" s="25" t="n">
        <v>72</v>
      </c>
      <c r="AH471" s="25" t="n">
        <v>2</v>
      </c>
      <c r="AI471" s="25" t="inlineStr">
        <is>
          <t>A</t>
        </is>
      </c>
      <c r="AJ471" s="25" t="n">
        <v>2</v>
      </c>
      <c r="AK471" s="25" t="n">
        <v>2342.62</v>
      </c>
      <c r="AL471" s="26" t="n">
        <v>46045.46388888889</v>
      </c>
      <c r="AM471" s="26" t="n">
        <v>46045.46388888889</v>
      </c>
      <c r="AN471" s="25" t="inlineStr">
        <is>
          <t>WHATSAPP</t>
        </is>
      </c>
      <c r="AO471" s="25" t="inlineStr">
        <is>
          <t>SUPORTE | Solicitei fotos do expositor enviado</t>
        </is>
      </c>
      <c r="AP471" s="27">
        <f>IF(AH471="","",IF(AH471=0,"PROSPECT",IF(AH471=1,"NOVO",IF(AH471&lt;=3,"EM DESENVOLVIMENTO",IF(AH471&lt;=6,"RECORRENTE","FIDELIZADO")))))</f>
        <v/>
      </c>
      <c r="AQ471" s="27">
        <f>IF(AJ471=0,0,IFERROR(SUM(U471:AF471)/AJ471,0))</f>
        <v/>
      </c>
      <c r="AS471" s="0" t="inlineStr">
        <is>
          <t>Carteira FEV/26</t>
        </is>
      </c>
    </row>
    <row r="472" ht="14.25" customHeight="1" s="16">
      <c r="A472" s="25" t="inlineStr">
        <is>
          <t>TRIP</t>
        </is>
      </c>
      <c r="B472" s="25" t="inlineStr">
        <is>
          <t>80204332000208</t>
        </is>
      </c>
      <c r="C472" s="25" t="inlineStr">
        <is>
          <t>TRIP COMESTIVEIS E SERVICOS LTDA</t>
        </is>
      </c>
      <c r="D472" s="25" t="inlineStr">
        <is>
          <t>PR</t>
        </is>
      </c>
      <c r="E472" s="25" t="inlineStr">
        <is>
          <t>SAO JOSE DOS PINHAIS</t>
        </is>
      </c>
      <c r="F472" s="25" t="inlineStr">
        <is>
          <t>Pedro@redekadu.com.br</t>
        </is>
      </c>
      <c r="G472" s="25" t="inlineStr">
        <is>
          <t>+55 (41) 8806-3826</t>
        </is>
      </c>
      <c r="H472" s="25" t="inlineStr">
        <is>
          <t>02/05/2025</t>
        </is>
      </c>
      <c r="I472" s="25" t="n"/>
      <c r="J472" s="25" t="inlineStr">
        <is>
          <t>JULIO GADRET</t>
        </is>
      </c>
      <c r="K472" s="25" t="inlineStr">
        <is>
          <t>Julio Gadret</t>
        </is>
      </c>
      <c r="L472" s="25" t="n">
        <v>292</v>
      </c>
      <c r="M472" s="25" t="inlineStr">
        <is>
          <t>29/04/2025</t>
        </is>
      </c>
      <c r="N472" s="25" t="n">
        <v>10306.88</v>
      </c>
      <c r="O472" s="25" t="n"/>
      <c r="P472" s="25" t="n"/>
      <c r="Q472" s="25" t="n"/>
      <c r="R472" s="25" t="n"/>
      <c r="S472" s="25" t="n"/>
      <c r="T472" s="25" t="n"/>
      <c r="U472" s="25" t="n">
        <v>0</v>
      </c>
      <c r="V472" s="25" t="n">
        <v>10306.88</v>
      </c>
      <c r="W472" s="25" t="n">
        <v>0</v>
      </c>
      <c r="X472" s="25" t="n">
        <v>0</v>
      </c>
      <c r="Y472" s="25" t="n">
        <v>0</v>
      </c>
      <c r="Z472" s="25" t="n">
        <v>0</v>
      </c>
      <c r="AA472" s="25" t="n">
        <v>0</v>
      </c>
      <c r="AB472" s="25" t="n">
        <v>0</v>
      </c>
      <c r="AC472" s="25" t="n">
        <v>0</v>
      </c>
      <c r="AD472" s="25" t="n">
        <v>0</v>
      </c>
      <c r="AE472" s="25" t="n">
        <v>0</v>
      </c>
      <c r="AF472" s="25" t="n">
        <v>0</v>
      </c>
      <c r="AG472" s="25" t="n">
        <v>0</v>
      </c>
      <c r="AH472" s="25" t="n">
        <v>1</v>
      </c>
      <c r="AI472" s="25" t="inlineStr">
        <is>
          <t>A</t>
        </is>
      </c>
      <c r="AJ472" s="25" t="n">
        <v>1</v>
      </c>
      <c r="AK472" s="25" t="n">
        <v>10306.88</v>
      </c>
      <c r="AL472" s="25" t="n"/>
      <c r="AM472" s="25" t="n"/>
      <c r="AN472" s="25" t="n"/>
      <c r="AO472" s="25" t="n"/>
      <c r="AP472" s="27">
        <f>IF(AH472="","",IF(AH472=0,"PROSPECT",IF(AH472=1,"NOVO",IF(AH472&lt;=3,"EM DESENVOLVIMENTO",IF(AH472&lt;=6,"RECORRENTE","FIDELIZADO")))))</f>
        <v/>
      </c>
      <c r="AQ472" s="27">
        <f>IF(AJ472=0,0,IFERROR(SUM(U472:AF472)/AJ472,0))</f>
        <v/>
      </c>
      <c r="AS472" s="0" t="inlineStr">
        <is>
          <t>Carteira FEV/26</t>
        </is>
      </c>
    </row>
    <row r="473" ht="14.25" customHeight="1" s="16">
      <c r="A473" s="25" t="inlineStr">
        <is>
          <t>TRIP COMESTIVEIS E SERVICOS LTDA</t>
        </is>
      </c>
      <c r="B473" s="25" t="inlineStr">
        <is>
          <t>80204332000127</t>
        </is>
      </c>
      <c r="C473" s="25" t="inlineStr">
        <is>
          <t>TRIP COMESTIVEIS E SERVICOS LTDA</t>
        </is>
      </c>
      <c r="D473" s="25" t="inlineStr">
        <is>
          <t>PR</t>
        </is>
      </c>
      <c r="E473" s="25" t="inlineStr">
        <is>
          <t>CURITIBA</t>
        </is>
      </c>
      <c r="F473" s="25" t="inlineStr">
        <is>
          <t>assistente@redekadu.com.br</t>
        </is>
      </c>
      <c r="G473" s="25" t="inlineStr">
        <is>
          <t>+55 (41) 99215-0461</t>
        </is>
      </c>
      <c r="H473" s="25" t="inlineStr">
        <is>
          <t>30/04/2025</t>
        </is>
      </c>
      <c r="I473" s="25" t="n"/>
      <c r="J473" s="25" t="inlineStr">
        <is>
          <t>JULIO GADRET</t>
        </is>
      </c>
      <c r="K473" s="25" t="inlineStr">
        <is>
          <t>Julio Gadret</t>
        </is>
      </c>
      <c r="L473" s="25" t="n">
        <v>292</v>
      </c>
      <c r="M473" s="25" t="inlineStr">
        <is>
          <t>29/04/2025</t>
        </is>
      </c>
      <c r="N473" s="25" t="n">
        <v>6881.12</v>
      </c>
      <c r="O473" s="25" t="n"/>
      <c r="P473" s="25" t="n"/>
      <c r="Q473" s="25" t="n"/>
      <c r="R473" s="25" t="n"/>
      <c r="S473" s="25" t="n"/>
      <c r="T473" s="25" t="n"/>
      <c r="U473" s="25" t="n">
        <v>0</v>
      </c>
      <c r="V473" s="25" t="n">
        <v>6881.12</v>
      </c>
      <c r="W473" s="25" t="n">
        <v>0</v>
      </c>
      <c r="X473" s="25" t="n">
        <v>0</v>
      </c>
      <c r="Y473" s="25" t="n">
        <v>0</v>
      </c>
      <c r="Z473" s="25" t="n">
        <v>0</v>
      </c>
      <c r="AA473" s="25" t="n">
        <v>0</v>
      </c>
      <c r="AB473" s="25" t="n">
        <v>0</v>
      </c>
      <c r="AC473" s="25" t="n">
        <v>0</v>
      </c>
      <c r="AD473" s="25" t="n">
        <v>0</v>
      </c>
      <c r="AE473" s="25" t="n">
        <v>0</v>
      </c>
      <c r="AF473" s="25" t="n">
        <v>0</v>
      </c>
      <c r="AG473" s="25" t="n">
        <v>0</v>
      </c>
      <c r="AH473" s="25" t="n">
        <v>1</v>
      </c>
      <c r="AI473" s="25" t="inlineStr">
        <is>
          <t>A</t>
        </is>
      </c>
      <c r="AJ473" s="25" t="n">
        <v>1</v>
      </c>
      <c r="AK473" s="25" t="n">
        <v>6881.12</v>
      </c>
      <c r="AL473" s="25" t="n"/>
      <c r="AM473" s="25" t="n"/>
      <c r="AN473" s="25" t="n"/>
      <c r="AO473" s="25" t="n"/>
      <c r="AP473" s="27">
        <f>IF(AH473="","",IF(AH473=0,"PROSPECT",IF(AH473=1,"NOVO",IF(AH473&lt;=3,"EM DESENVOLVIMENTO",IF(AH473&lt;=6,"RECORRENTE","FIDELIZADO")))))</f>
        <v/>
      </c>
      <c r="AQ473" s="27">
        <f>IF(AJ473=0,0,IFERROR(SUM(U473:AF473)/AJ473,0))</f>
        <v/>
      </c>
      <c r="AS473" s="0" t="inlineStr">
        <is>
          <t>Carteira FEV/26</t>
        </is>
      </c>
    </row>
    <row r="474" ht="14.25" customHeight="1" s="16">
      <c r="A474" s="25" t="inlineStr">
        <is>
          <t>TUDO EM GRAOS COMERCIO DE ALIMENTOS LTDA</t>
        </is>
      </c>
      <c r="B474" s="25" t="inlineStr">
        <is>
          <t>20474456000109</t>
        </is>
      </c>
      <c r="C474" s="25" t="inlineStr">
        <is>
          <t>TUDO EM GRAOS COMERCIO DE ALIMENTOS LTDA</t>
        </is>
      </c>
      <c r="D474" s="25" t="inlineStr">
        <is>
          <t>RS</t>
        </is>
      </c>
      <c r="E474" s="25" t="inlineStr">
        <is>
          <t>CAXIAS DO SUL</t>
        </is>
      </c>
      <c r="F474" s="25" t="inlineStr">
        <is>
          <t>anacarolina@tudoemgraos.com.br,Tudoemgraos@tudoemgraos.com.br</t>
        </is>
      </c>
      <c r="G474" s="25" t="inlineStr">
        <is>
          <t>+55 (54) 3029-0236 | +55 (54) 3029-7111 (ANA)</t>
        </is>
      </c>
      <c r="H474" s="25" t="inlineStr">
        <is>
          <t>08/10/2024</t>
        </is>
      </c>
      <c r="I474" s="25" t="inlineStr">
        <is>
          <t>[Rede] Tudo em Grãos</t>
        </is>
      </c>
      <c r="J474" s="25" t="inlineStr">
        <is>
          <t>DAIANE STAVICKI</t>
        </is>
      </c>
      <c r="K474" s="25" t="inlineStr">
        <is>
          <t>Central - Daiane</t>
        </is>
      </c>
      <c r="L474" s="25" t="n">
        <v>143</v>
      </c>
      <c r="M474" s="25" t="inlineStr">
        <is>
          <t>25/09/2025</t>
        </is>
      </c>
      <c r="N474" s="25" t="n">
        <v>859.47</v>
      </c>
      <c r="O474" s="25" t="n">
        <v>1</v>
      </c>
      <c r="P474" s="25" t="inlineStr">
        <is>
          <t>Sim</t>
        </is>
      </c>
      <c r="Q474" s="25" t="n">
        <v>21</v>
      </c>
      <c r="R474" s="25" t="n">
        <v>6</v>
      </c>
      <c r="S474" s="25" t="n">
        <v>859.47</v>
      </c>
      <c r="T474" s="25" t="inlineStr">
        <is>
          <t>COMPRA B2B</t>
        </is>
      </c>
      <c r="U474" s="25" t="n">
        <v>0</v>
      </c>
      <c r="V474" s="25" t="n">
        <v>0</v>
      </c>
      <c r="W474" s="25" t="n">
        <v>0</v>
      </c>
      <c r="X474" s="25" t="n">
        <v>0</v>
      </c>
      <c r="Y474" s="25" t="n">
        <v>0</v>
      </c>
      <c r="Z474" s="25" t="n">
        <v>0</v>
      </c>
      <c r="AA474" s="25" t="n">
        <v>859.47</v>
      </c>
      <c r="AB474" s="25" t="n">
        <v>0</v>
      </c>
      <c r="AC474" s="25" t="n">
        <v>0</v>
      </c>
      <c r="AD474" s="25" t="n">
        <v>0</v>
      </c>
      <c r="AE474" s="25" t="n">
        <v>0</v>
      </c>
      <c r="AF474" s="25" t="n">
        <v>0</v>
      </c>
      <c r="AG474" s="25" t="n">
        <v>0</v>
      </c>
      <c r="AH474" s="25" t="n">
        <v>1</v>
      </c>
      <c r="AI474" s="25" t="inlineStr">
        <is>
          <t>C</t>
        </is>
      </c>
      <c r="AJ474" s="25" t="n">
        <v>1</v>
      </c>
      <c r="AK474" s="25" t="n">
        <v>859.47</v>
      </c>
      <c r="AL474" s="26" t="n">
        <v>46037.57265046296</v>
      </c>
      <c r="AM474" s="26" t="n">
        <v>46037.57265046296</v>
      </c>
      <c r="AN474" s="25" t="inlineStr">
        <is>
          <t>WHATSAPP</t>
        </is>
      </c>
      <c r="AO474" s="25" t="inlineStr">
        <is>
          <t>TUDO EM GRÃOS - EDINÉIA - RS</t>
        </is>
      </c>
      <c r="AP474" s="27">
        <f>IF(AH474="","",IF(AH474=0,"PROSPECT",IF(AH474=1,"NOVO",IF(AH474&lt;=3,"EM DESENVOLVIMENTO",IF(AH474&lt;=6,"RECORRENTE","FIDELIZADO")))))</f>
        <v/>
      </c>
      <c r="AQ474" s="27">
        <f>IF(AJ474=0,0,IFERROR(SUM(U474:AF474)/AJ474,0))</f>
        <v/>
      </c>
      <c r="AS474" s="0" t="inlineStr">
        <is>
          <t>Carteira FEV/26</t>
        </is>
      </c>
    </row>
    <row r="475" ht="14.25" customHeight="1" s="16">
      <c r="A475" s="25" t="inlineStr">
        <is>
          <t>UNIAO SUL BRASILEIRA DA IGREJA ADVENTISTA DO SETIMO DIA</t>
        </is>
      </c>
      <c r="B475" s="25" t="inlineStr">
        <is>
          <t>79080602000156</t>
        </is>
      </c>
      <c r="C475" s="25" t="inlineStr">
        <is>
          <t>UNIAO SUL BRASILEIRA DA IGREJA ADVENTISTA DO SETIMO DIA</t>
        </is>
      </c>
      <c r="D475" s="25" t="inlineStr">
        <is>
          <t>PR</t>
        </is>
      </c>
      <c r="E475" s="25" t="inlineStr">
        <is>
          <t>CURITIBA</t>
        </is>
      </c>
      <c r="F475" s="25" t="inlineStr">
        <is>
          <t>gisele.santos@adventistas.org</t>
        </is>
      </c>
      <c r="G475" s="25" t="inlineStr">
        <is>
          <t>+55 (41) 99681-9620</t>
        </is>
      </c>
      <c r="H475" s="25" t="inlineStr">
        <is>
          <t>13/05/2025</t>
        </is>
      </c>
      <c r="I475" s="25" t="n"/>
      <c r="J475" s="25" t="inlineStr">
        <is>
          <t>MANU DITZEL</t>
        </is>
      </c>
      <c r="K475" s="25" t="inlineStr">
        <is>
          <t>Manu Ditzel</t>
        </is>
      </c>
      <c r="L475" s="25" t="n">
        <v>158</v>
      </c>
      <c r="M475" s="25" t="inlineStr">
        <is>
          <t>10/09/2025</t>
        </is>
      </c>
      <c r="N475" s="25" t="n">
        <v>691.39</v>
      </c>
      <c r="O475" s="25" t="n">
        <v>2</v>
      </c>
      <c r="P475" s="25" t="inlineStr">
        <is>
          <t>Sim</t>
        </is>
      </c>
      <c r="Q475" s="25" t="n">
        <v>9</v>
      </c>
      <c r="R475" s="25" t="n"/>
      <c r="S475" s="25" t="n"/>
      <c r="T475" s="25" t="n"/>
      <c r="U475" s="25" t="n">
        <v>0</v>
      </c>
      <c r="V475" s="25" t="n">
        <v>0</v>
      </c>
      <c r="W475" s="25" t="n">
        <v>528.27</v>
      </c>
      <c r="X475" s="25" t="n">
        <v>0</v>
      </c>
      <c r="Y475" s="25" t="n">
        <v>0</v>
      </c>
      <c r="Z475" s="25" t="n">
        <v>0</v>
      </c>
      <c r="AA475" s="25" t="n">
        <v>691.39</v>
      </c>
      <c r="AB475" s="25" t="n">
        <v>0</v>
      </c>
      <c r="AC475" s="25" t="n">
        <v>0</v>
      </c>
      <c r="AD475" s="25" t="n">
        <v>0</v>
      </c>
      <c r="AE475" s="25" t="n">
        <v>0</v>
      </c>
      <c r="AF475" s="25" t="n">
        <v>0</v>
      </c>
      <c r="AG475" s="25" t="n">
        <v>117</v>
      </c>
      <c r="AH475" s="25" t="n">
        <v>2</v>
      </c>
      <c r="AI475" s="25" t="inlineStr">
        <is>
          <t>B</t>
        </is>
      </c>
      <c r="AJ475" s="25" t="n">
        <v>2</v>
      </c>
      <c r="AK475" s="25" t="n">
        <v>609.83</v>
      </c>
      <c r="AL475" s="26" t="n">
        <v>46059.45833333334</v>
      </c>
      <c r="AM475" s="26" t="n">
        <v>46059.45833333334</v>
      </c>
      <c r="AN475" s="25" t="inlineStr">
        <is>
          <t>WHATSAPP</t>
        </is>
      </c>
      <c r="AO475" s="25" t="inlineStr">
        <is>
          <t>compra só quando tem demanda</t>
        </is>
      </c>
      <c r="AP475" s="27">
        <f>IF(AH475="","",IF(AH475=0,"PROSPECT",IF(AH475=1,"NOVO",IF(AH475&lt;=3,"EM DESENVOLVIMENTO",IF(AH475&lt;=6,"RECORRENTE","FIDELIZADO")))))</f>
        <v/>
      </c>
      <c r="AQ475" s="27">
        <f>IF(AJ475=0,0,IFERROR(SUM(U475:AF475)/AJ475,0))</f>
        <v/>
      </c>
      <c r="AS475" s="0" t="inlineStr">
        <is>
          <t>Carteira FEV/26 + Atend FEV/26</t>
        </is>
      </c>
    </row>
    <row r="476" ht="14.25" customHeight="1" s="16">
      <c r="A476" s="25" t="inlineStr">
        <is>
          <t>VALDECI APARECIDO DE NICOLAI</t>
        </is>
      </c>
      <c r="B476" s="25" t="inlineStr">
        <is>
          <t>37633350000103</t>
        </is>
      </c>
      <c r="C476" s="25" t="inlineStr">
        <is>
          <t>VALDECI APARECIDO DE NICOLAI</t>
        </is>
      </c>
      <c r="D476" s="25" t="inlineStr">
        <is>
          <t>SP</t>
        </is>
      </c>
      <c r="E476" s="25" t="inlineStr">
        <is>
          <t>SUMARE</t>
        </is>
      </c>
      <c r="F476" s="25" t="inlineStr">
        <is>
          <t>armazemdavila0@gmail.com</t>
        </is>
      </c>
      <c r="G476" s="25" t="inlineStr">
        <is>
          <t>+55 (19) 99159-7034</t>
        </is>
      </c>
      <c r="H476" s="25" t="inlineStr">
        <is>
          <t>30/09/2025</t>
        </is>
      </c>
      <c r="I476" s="25" t="n"/>
      <c r="J476" s="25" t="inlineStr">
        <is>
          <t>LARISSA PADILHA</t>
        </is>
      </c>
      <c r="K476" s="25" t="inlineStr">
        <is>
          <t>Larissa Padilha</t>
        </is>
      </c>
      <c r="L476" s="25" t="n">
        <v>137</v>
      </c>
      <c r="M476" s="25" t="inlineStr">
        <is>
          <t>01/10/2025</t>
        </is>
      </c>
      <c r="N476" s="25" t="n">
        <v>1142.96</v>
      </c>
      <c r="O476" s="25" t="n">
        <v>1</v>
      </c>
      <c r="P476" s="25" t="inlineStr">
        <is>
          <t>Sim</t>
        </is>
      </c>
      <c r="Q476" s="25" t="n">
        <v>18</v>
      </c>
      <c r="R476" s="25" t="n"/>
      <c r="S476" s="25" t="n"/>
      <c r="T476" s="25" t="n"/>
      <c r="U476" s="25" t="n">
        <v>0</v>
      </c>
      <c r="V476" s="25" t="n">
        <v>0</v>
      </c>
      <c r="W476" s="25" t="n">
        <v>0</v>
      </c>
      <c r="X476" s="25" t="n">
        <v>0</v>
      </c>
      <c r="Y476" s="25" t="n">
        <v>0</v>
      </c>
      <c r="Z476" s="25" t="n">
        <v>0</v>
      </c>
      <c r="AA476" s="25" t="n">
        <v>1142.96</v>
      </c>
      <c r="AB476" s="25" t="n">
        <v>1142.96</v>
      </c>
      <c r="AC476" s="25" t="n">
        <v>0</v>
      </c>
      <c r="AD476" s="25" t="n">
        <v>0</v>
      </c>
      <c r="AE476" s="25" t="n">
        <v>0</v>
      </c>
      <c r="AF476" s="25" t="n">
        <v>0</v>
      </c>
      <c r="AG476" s="25" t="n">
        <v>0</v>
      </c>
      <c r="AH476" s="25" t="n">
        <v>1</v>
      </c>
      <c r="AI476" s="25" t="inlineStr">
        <is>
          <t>B</t>
        </is>
      </c>
      <c r="AJ476" s="25" t="n">
        <v>2</v>
      </c>
      <c r="AK476" s="25" t="n">
        <v>2285.92</v>
      </c>
      <c r="AL476" s="26" t="n">
        <v>46036.3862037037</v>
      </c>
      <c r="AM476" s="26" t="n">
        <v>46036.3862037037</v>
      </c>
      <c r="AN476" s="25" t="inlineStr">
        <is>
          <t>WHATSAPP</t>
        </is>
      </c>
      <c r="AO476" s="25" t="inlineStr">
        <is>
          <t>ARMAZEM DA VILA - VALDECI - SP</t>
        </is>
      </c>
      <c r="AP476" s="27">
        <f>IF(AH476="","",IF(AH476=0,"PROSPECT",IF(AH476=1,"NOVO",IF(AH476&lt;=3,"EM DESENVOLVIMENTO",IF(AH476&lt;=6,"RECORRENTE","FIDELIZADO")))))</f>
        <v/>
      </c>
      <c r="AQ476" s="27">
        <f>IF(AJ476=0,0,IFERROR(SUM(U476:AF476)/AJ476,0))</f>
        <v/>
      </c>
      <c r="AS476" s="0" t="inlineStr">
        <is>
          <t>Carteira FEV/26</t>
        </is>
      </c>
    </row>
    <row r="477" ht="14.25" customHeight="1" s="16">
      <c r="A477" s="25" t="inlineStr">
        <is>
          <t>VEGSIM LTDA</t>
        </is>
      </c>
      <c r="B477" s="25" t="inlineStr">
        <is>
          <t>37738174000247</t>
        </is>
      </c>
      <c r="C477" s="25" t="inlineStr">
        <is>
          <t>VEGSIM LTDA</t>
        </is>
      </c>
      <c r="D477" s="25" t="inlineStr">
        <is>
          <t>SP</t>
        </is>
      </c>
      <c r="E477" s="25" t="inlineStr">
        <is>
          <t>SAO PAULO</t>
        </is>
      </c>
      <c r="F477" s="25" t="inlineStr">
        <is>
          <t>financeiro@vegsim.com.br</t>
        </is>
      </c>
      <c r="G477" s="25" t="inlineStr">
        <is>
          <t>+55 (11) 96645-3643</t>
        </is>
      </c>
      <c r="H477" s="25" t="inlineStr">
        <is>
          <t>03/06/2025</t>
        </is>
      </c>
      <c r="I477" s="25" t="n"/>
      <c r="J477" s="25" t="inlineStr">
        <is>
          <t>DAIANE STAVICKI</t>
        </is>
      </c>
      <c r="K477" s="25" t="inlineStr">
        <is>
          <t>Central - Daiane</t>
        </is>
      </c>
      <c r="L477" s="25" t="n">
        <v>129</v>
      </c>
      <c r="M477" s="25" t="inlineStr">
        <is>
          <t>09/10/2025</t>
        </is>
      </c>
      <c r="N477" s="25" t="n">
        <v>660.45</v>
      </c>
      <c r="O477" s="25" t="n">
        <v>2</v>
      </c>
      <c r="P477" s="25" t="inlineStr">
        <is>
          <t>Sim</t>
        </is>
      </c>
      <c r="Q477" s="25" t="n">
        <v>10</v>
      </c>
      <c r="R477" s="25" t="n"/>
      <c r="S477" s="25" t="n"/>
      <c r="T477" s="25" t="n"/>
      <c r="U477" s="25" t="n">
        <v>0</v>
      </c>
      <c r="V477" s="25" t="n">
        <v>0</v>
      </c>
      <c r="W477" s="25" t="n">
        <v>0</v>
      </c>
      <c r="X477" s="25" t="n">
        <v>0</v>
      </c>
      <c r="Y477" s="25" t="n">
        <v>0</v>
      </c>
      <c r="Z477" s="25" t="n">
        <v>0</v>
      </c>
      <c r="AA477" s="25" t="n">
        <v>0</v>
      </c>
      <c r="AB477" s="25" t="n">
        <v>660.45</v>
      </c>
      <c r="AC477" s="25" t="n">
        <v>0</v>
      </c>
      <c r="AD477" s="25" t="n">
        <v>0</v>
      </c>
      <c r="AE477" s="25" t="n">
        <v>0</v>
      </c>
      <c r="AF477" s="25" t="n">
        <v>0</v>
      </c>
      <c r="AG477" s="25" t="n">
        <v>0</v>
      </c>
      <c r="AH477" s="25" t="n">
        <v>1</v>
      </c>
      <c r="AI477" s="25" t="inlineStr">
        <is>
          <t>C</t>
        </is>
      </c>
      <c r="AJ477" s="25" t="n">
        <v>1</v>
      </c>
      <c r="AK477" s="25" t="n">
        <v>660.45</v>
      </c>
      <c r="AL477" s="26" t="n">
        <v>46036.38125</v>
      </c>
      <c r="AM477" s="26" t="n">
        <v>46036.38125</v>
      </c>
      <c r="AN477" s="25" t="inlineStr">
        <is>
          <t>WHATSAPP</t>
        </is>
      </c>
      <c r="AO477" s="25" t="inlineStr">
        <is>
          <t>PÓS-VENDA</t>
        </is>
      </c>
      <c r="AP477" s="27">
        <f>IF(AH477="","",IF(AH477=0,"PROSPECT",IF(AH477=1,"NOVO",IF(AH477&lt;=3,"EM DESENVOLVIMENTO",IF(AH477&lt;=6,"RECORRENTE","FIDELIZADO")))))</f>
        <v/>
      </c>
      <c r="AQ477" s="27">
        <f>IF(AJ477=0,0,IFERROR(SUM(U477:AF477)/AJ477,0))</f>
        <v/>
      </c>
      <c r="AS477" s="0" t="inlineStr">
        <is>
          <t>Carteira FEV/26</t>
        </is>
      </c>
    </row>
    <row r="478" ht="14.25" customHeight="1" s="16">
      <c r="A478" s="25" t="inlineStr">
        <is>
          <t>VERCATTO - BARIGUI</t>
        </is>
      </c>
      <c r="B478" s="25" t="inlineStr">
        <is>
          <t>42657490000143</t>
        </is>
      </c>
      <c r="C478" s="25" t="inlineStr">
        <is>
          <t>VERCATTO BOUTIQUE SAUDAVEL LTDA</t>
        </is>
      </c>
      <c r="D478" s="25" t="inlineStr">
        <is>
          <t>PR</t>
        </is>
      </c>
      <c r="E478" s="25" t="inlineStr">
        <is>
          <t>CURITIBA</t>
        </is>
      </c>
      <c r="F478" s="25" t="inlineStr">
        <is>
          <t>compras@vercatto.com.br</t>
        </is>
      </c>
      <c r="G478" s="25" t="inlineStr">
        <is>
          <t>+55 (41) 99185-6234</t>
        </is>
      </c>
      <c r="H478" s="25" t="inlineStr">
        <is>
          <t>08/10/2024</t>
        </is>
      </c>
      <c r="I478" s="25" t="n"/>
      <c r="J478" s="25" t="inlineStr">
        <is>
          <t>MANU DITZEL</t>
        </is>
      </c>
      <c r="K478" s="25" t="inlineStr">
        <is>
          <t>Manu Ditzel</t>
        </is>
      </c>
      <c r="L478" s="25" t="n">
        <v>187</v>
      </c>
      <c r="M478" s="25" t="inlineStr">
        <is>
          <t>12/08/2025</t>
        </is>
      </c>
      <c r="N478" s="25" t="n">
        <v>708.5</v>
      </c>
      <c r="O478" s="25" t="n">
        <v>6</v>
      </c>
      <c r="P478" s="25" t="inlineStr">
        <is>
          <t>Sim</t>
        </is>
      </c>
      <c r="Q478" s="25" t="n">
        <v>24</v>
      </c>
      <c r="R478" s="25" t="n">
        <v>8</v>
      </c>
      <c r="S478" s="25" t="n">
        <v>708.5</v>
      </c>
      <c r="T478" s="25" t="inlineStr">
        <is>
          <t>COMPRA B2B</t>
        </is>
      </c>
      <c r="U478" s="25" t="n">
        <v>0</v>
      </c>
      <c r="V478" s="25" t="n">
        <v>0</v>
      </c>
      <c r="W478" s="25" t="n">
        <v>0</v>
      </c>
      <c r="X478" s="25" t="n">
        <v>0</v>
      </c>
      <c r="Y478" s="25" t="n">
        <v>0</v>
      </c>
      <c r="Z478" s="25" t="n">
        <v>708.5</v>
      </c>
      <c r="AA478" s="25" t="n">
        <v>0</v>
      </c>
      <c r="AB478" s="25" t="n">
        <v>0</v>
      </c>
      <c r="AC478" s="25" t="n">
        <v>0</v>
      </c>
      <c r="AD478" s="25" t="n">
        <v>0</v>
      </c>
      <c r="AE478" s="25" t="n">
        <v>0</v>
      </c>
      <c r="AF478" s="25" t="n">
        <v>0</v>
      </c>
      <c r="AG478" s="25" t="n">
        <v>0</v>
      </c>
      <c r="AH478" s="25" t="n">
        <v>1</v>
      </c>
      <c r="AI478" s="25" t="inlineStr">
        <is>
          <t>C</t>
        </is>
      </c>
      <c r="AJ478" s="25" t="n">
        <v>1</v>
      </c>
      <c r="AK478" s="25" t="n">
        <v>708.5</v>
      </c>
      <c r="AL478" s="26" t="n">
        <v>46058.46666666667</v>
      </c>
      <c r="AM478" s="26" t="n">
        <v>46058.46666666667</v>
      </c>
      <c r="AN478" s="25" t="inlineStr">
        <is>
          <t>WHATSAPP</t>
        </is>
      </c>
      <c r="AO478" s="25" t="inlineStr">
        <is>
          <t>COMPRA EM UM CNPJ SÓ, JÁ FOI FEITO CONTATO PARA RECOMPRA NO PRINCIPAL</t>
        </is>
      </c>
      <c r="AP478" s="27">
        <f>IF(AH478="","",IF(AH478=0,"PROSPECT",IF(AH478=1,"NOVO",IF(AH478&lt;=3,"EM DESENVOLVIMENTO",IF(AH478&lt;=6,"RECORRENTE","FIDELIZADO")))))</f>
        <v/>
      </c>
      <c r="AQ478" s="27">
        <f>IF(AJ478=0,0,IFERROR(SUM(U478:AF478)/AJ478,0))</f>
        <v/>
      </c>
      <c r="AS478" s="0" t="inlineStr">
        <is>
          <t>Carteira FEV/26 + Atend FEV/26</t>
        </is>
      </c>
    </row>
    <row r="479" ht="14.25" customHeight="1" s="16">
      <c r="A479" s="25" t="inlineStr">
        <is>
          <t>VERCATTO BOUTIQUE - ALTO DA XV</t>
        </is>
      </c>
      <c r="B479" s="25" t="inlineStr">
        <is>
          <t>53934453000151</t>
        </is>
      </c>
      <c r="C479" s="25" t="inlineStr">
        <is>
          <t>GDB COMERCIO DE PRODUTOS NATURAIS LTDA</t>
        </is>
      </c>
      <c r="D479" s="25" t="inlineStr">
        <is>
          <t>PR</t>
        </is>
      </c>
      <c r="E479" s="25" t="inlineStr">
        <is>
          <t>CURITIBA</t>
        </is>
      </c>
      <c r="F479" s="25" t="inlineStr">
        <is>
          <t>compras@vercatto.com.br</t>
        </is>
      </c>
      <c r="G479" s="25" t="inlineStr">
        <is>
          <t>+55 (41) 99185-6234</t>
        </is>
      </c>
      <c r="H479" s="25" t="inlineStr">
        <is>
          <t>08/08/2025</t>
        </is>
      </c>
      <c r="I479" s="25" t="n"/>
      <c r="J479" s="25" t="inlineStr">
        <is>
          <t>MANU DITZEL</t>
        </is>
      </c>
      <c r="K479" s="25" t="inlineStr">
        <is>
          <t>Manu Ditzel</t>
        </is>
      </c>
      <c r="L479" s="25" t="n">
        <v>187</v>
      </c>
      <c r="M479" s="25" t="inlineStr">
        <is>
          <t>12/08/2025</t>
        </is>
      </c>
      <c r="N479" s="25" t="n">
        <v>750.5</v>
      </c>
      <c r="O479" s="25" t="n">
        <v>3</v>
      </c>
      <c r="P479" s="25" t="inlineStr">
        <is>
          <t>Sim</t>
        </is>
      </c>
      <c r="Q479" s="25" t="n">
        <v>20</v>
      </c>
      <c r="R479" s="25" t="n">
        <v>9</v>
      </c>
      <c r="S479" s="25" t="n">
        <v>750.5</v>
      </c>
      <c r="T479" s="25" t="inlineStr">
        <is>
          <t>COMPRA B2B</t>
        </is>
      </c>
      <c r="U479" s="25" t="n">
        <v>0</v>
      </c>
      <c r="V479" s="25" t="n">
        <v>0</v>
      </c>
      <c r="W479" s="25" t="n">
        <v>0</v>
      </c>
      <c r="X479" s="25" t="n">
        <v>0</v>
      </c>
      <c r="Y479" s="25" t="n">
        <v>0</v>
      </c>
      <c r="Z479" s="25" t="n">
        <v>750.5</v>
      </c>
      <c r="AA479" s="25" t="n">
        <v>0</v>
      </c>
      <c r="AB479" s="25" t="n">
        <v>0</v>
      </c>
      <c r="AC479" s="25" t="n">
        <v>0</v>
      </c>
      <c r="AD479" s="25" t="n">
        <v>0</v>
      </c>
      <c r="AE479" s="25" t="n">
        <v>0</v>
      </c>
      <c r="AF479" s="25" t="n">
        <v>0</v>
      </c>
      <c r="AG479" s="25" t="n">
        <v>0</v>
      </c>
      <c r="AH479" s="25" t="n">
        <v>1</v>
      </c>
      <c r="AI479" s="25" t="inlineStr">
        <is>
          <t>C</t>
        </is>
      </c>
      <c r="AJ479" s="25" t="n">
        <v>1</v>
      </c>
      <c r="AK479" s="25" t="n">
        <v>750.5</v>
      </c>
      <c r="AL479" s="26" t="n">
        <v>46058.46736111111</v>
      </c>
      <c r="AM479" s="26" t="n">
        <v>46058.46736111111</v>
      </c>
      <c r="AN479" s="25" t="inlineStr">
        <is>
          <t>WHATSAPP</t>
        </is>
      </c>
      <c r="AO479" s="25" t="inlineStr">
        <is>
          <t>COMPRA EM UM CNPJ SÓ, JÁ FOI FEITO CONTATO PARA RECOMPRA NO PRINCIPAL</t>
        </is>
      </c>
      <c r="AP479" s="27">
        <f>IF(AH479="","",IF(AH479=0,"PROSPECT",IF(AH479=1,"NOVO",IF(AH479&lt;=3,"EM DESENVOLVIMENTO",IF(AH479&lt;=6,"RECORRENTE","FIDELIZADO")))))</f>
        <v/>
      </c>
      <c r="AQ479" s="27">
        <f>IF(AJ479=0,0,IFERROR(SUM(U479:AF479)/AJ479,0))</f>
        <v/>
      </c>
      <c r="AS479" s="0" t="inlineStr">
        <is>
          <t>Carteira FEV/26 + Atend FEV/26</t>
        </is>
      </c>
    </row>
    <row r="480" ht="14.25" customHeight="1" s="16">
      <c r="A480" s="25" t="inlineStr">
        <is>
          <t>VIDA LEVE</t>
        </is>
      </c>
      <c r="B480" s="25" t="inlineStr">
        <is>
          <t>58258680000128</t>
        </is>
      </c>
      <c r="C480" s="25" t="inlineStr">
        <is>
          <t>C J LIFE LTDA</t>
        </is>
      </c>
      <c r="D480" s="25" t="inlineStr">
        <is>
          <t>PI</t>
        </is>
      </c>
      <c r="E480" s="25" t="inlineStr">
        <is>
          <t>TERESINA</t>
        </is>
      </c>
      <c r="F480" s="25" t="inlineStr">
        <is>
          <t>vidaleve.teresinashopping@gmail.com</t>
        </is>
      </c>
      <c r="G480" s="25" t="inlineStr">
        <is>
          <t>+55 (86) 8812-2353</t>
        </is>
      </c>
      <c r="H480" s="25" t="inlineStr">
        <is>
          <t>17/10/2025</t>
        </is>
      </c>
      <c r="I480" s="25" t="inlineStr">
        <is>
          <t>VIDA LEVE</t>
        </is>
      </c>
      <c r="J480" s="25" t="inlineStr">
        <is>
          <t>DAIANE STAVICKI</t>
        </is>
      </c>
      <c r="K480" s="25" t="inlineStr">
        <is>
          <t>Central - Daiane</t>
        </is>
      </c>
      <c r="L480" s="25" t="n">
        <v>118</v>
      </c>
      <c r="M480" s="25" t="inlineStr">
        <is>
          <t>20/10/2025</t>
        </is>
      </c>
      <c r="N480" s="25" t="n">
        <v>1387.56</v>
      </c>
      <c r="O480" s="25" t="n">
        <v>1</v>
      </c>
      <c r="P480" s="25" t="inlineStr">
        <is>
          <t>Sim</t>
        </is>
      </c>
      <c r="Q480" s="25" t="n">
        <v>110</v>
      </c>
      <c r="R480" s="25" t="n">
        <v>22</v>
      </c>
      <c r="S480" s="25" t="n"/>
      <c r="T480" s="25" t="n"/>
      <c r="U480" s="25" t="n">
        <v>0</v>
      </c>
      <c r="V480" s="25" t="n">
        <v>0</v>
      </c>
      <c r="W480" s="25" t="n">
        <v>0</v>
      </c>
      <c r="X480" s="25" t="n">
        <v>0</v>
      </c>
      <c r="Y480" s="25" t="n">
        <v>0</v>
      </c>
      <c r="Z480" s="25" t="n">
        <v>0</v>
      </c>
      <c r="AA480" s="25" t="n">
        <v>0</v>
      </c>
      <c r="AB480" s="25" t="n">
        <v>0</v>
      </c>
      <c r="AC480" s="25" t="n">
        <v>0</v>
      </c>
      <c r="AD480" s="25" t="n">
        <v>0</v>
      </c>
      <c r="AE480" s="25" t="n">
        <v>0</v>
      </c>
      <c r="AF480" s="25" t="n">
        <v>0</v>
      </c>
      <c r="AG480" s="25" t="n">
        <v>0</v>
      </c>
      <c r="AH480" s="25" t="n">
        <v>0</v>
      </c>
      <c r="AI480" s="25" t="inlineStr">
        <is>
          <t>B</t>
        </is>
      </c>
      <c r="AJ480" s="25" t="n">
        <v>0</v>
      </c>
      <c r="AK480" s="25" t="n">
        <v>0</v>
      </c>
      <c r="AL480" s="26" t="n">
        <v>46050.63263888889</v>
      </c>
      <c r="AM480" s="26" t="n">
        <v>46050.63263888889</v>
      </c>
      <c r="AN480" s="25" t="inlineStr">
        <is>
          <t>LIGAÇÃO</t>
        </is>
      </c>
      <c r="AO480" s="28" t="inlineStr">
        <is>
          <t>Link: https://vitaomais.meuspedidos.com.br/ E-mail: vidaleve.teresinashopping@gmail.com Senha: 527179</t>
        </is>
      </c>
      <c r="AP480" s="27">
        <f>IF(AH480="","",IF(AH480=0,"PROSPECT",IF(AH480=1,"NOVO",IF(AH480&lt;=3,"EM DESENVOLVIMENTO",IF(AH480&lt;=6,"RECORRENTE","FIDELIZADO")))))</f>
        <v/>
      </c>
      <c r="AQ480" s="27">
        <f>IF(AJ480=0,0,IFERROR(SUM(U480:AF480)/AJ480,0))</f>
        <v/>
      </c>
      <c r="AS480" s="0" t="inlineStr">
        <is>
          <t>Carteira FEV/26 + Ecom FEV/26</t>
        </is>
      </c>
    </row>
    <row r="481" ht="14.25" customHeight="1" s="16">
      <c r="A481" s="25" t="inlineStr">
        <is>
          <t>VIDA LEVE CANOAS</t>
        </is>
      </c>
      <c r="B481" s="25" t="inlineStr">
        <is>
          <t>60821190000130</t>
        </is>
      </c>
      <c r="C481" s="25" t="inlineStr">
        <is>
          <t>DANOSKI PRODUTOS NATURAIS LTDA</t>
        </is>
      </c>
      <c r="D481" s="25" t="inlineStr">
        <is>
          <t>RS</t>
        </is>
      </c>
      <c r="E481" s="25" t="inlineStr">
        <is>
          <t>CANOAS</t>
        </is>
      </c>
      <c r="F481" s="25" t="inlineStr">
        <is>
          <t>loja.canoasrs@redevidaleve.com.br</t>
        </is>
      </c>
      <c r="G481" s="25" t="inlineStr">
        <is>
          <t>+55 (51) 98127-2028</t>
        </is>
      </c>
      <c r="H481" s="25" t="inlineStr">
        <is>
          <t>29/08/2025</t>
        </is>
      </c>
      <c r="I481" s="25" t="inlineStr">
        <is>
          <t>[Rede] Vida Leve</t>
        </is>
      </c>
      <c r="J481" s="25" t="inlineStr">
        <is>
          <t>MANU DITZEL</t>
        </is>
      </c>
      <c r="K481" s="25" t="inlineStr">
        <is>
          <t>Manu Ditzel</t>
        </is>
      </c>
      <c r="L481" s="25" t="n">
        <v>170</v>
      </c>
      <c r="M481" s="25" t="inlineStr">
        <is>
          <t>29/08/2025</t>
        </is>
      </c>
      <c r="N481" s="25" t="n">
        <v>2969.26</v>
      </c>
      <c r="O481" s="25" t="n"/>
      <c r="P481" s="25" t="n"/>
      <c r="Q481" s="25" t="n"/>
      <c r="R481" s="25" t="n"/>
      <c r="S481" s="25" t="n"/>
      <c r="T481" s="25" t="n"/>
      <c r="U481" s="25" t="n">
        <v>0</v>
      </c>
      <c r="V481" s="25" t="n">
        <v>0</v>
      </c>
      <c r="W481" s="25" t="n">
        <v>0</v>
      </c>
      <c r="X481" s="25" t="n">
        <v>0</v>
      </c>
      <c r="Y481" s="25" t="n">
        <v>0</v>
      </c>
      <c r="Z481" s="25" t="n">
        <v>2969.26</v>
      </c>
      <c r="AA481" s="25" t="n">
        <v>0</v>
      </c>
      <c r="AB481" s="25" t="n">
        <v>0</v>
      </c>
      <c r="AC481" s="25" t="n">
        <v>0</v>
      </c>
      <c r="AD481" s="25" t="n">
        <v>0</v>
      </c>
      <c r="AE481" s="25" t="n">
        <v>0</v>
      </c>
      <c r="AF481" s="25" t="n">
        <v>0</v>
      </c>
      <c r="AG481" s="25" t="n">
        <v>0</v>
      </c>
      <c r="AH481" s="25" t="n">
        <v>1</v>
      </c>
      <c r="AI481" s="25" t="inlineStr">
        <is>
          <t>A</t>
        </is>
      </c>
      <c r="AJ481" s="25" t="n">
        <v>1</v>
      </c>
      <c r="AK481" s="25" t="n">
        <v>2969.26</v>
      </c>
      <c r="AL481" s="26" t="n">
        <v>46056.61736111111</v>
      </c>
      <c r="AM481" s="26" t="n">
        <v>46056.61736111111</v>
      </c>
      <c r="AN481" s="25" t="inlineStr">
        <is>
          <t>LIGAÇÃO</t>
        </is>
      </c>
      <c r="AO481" s="25" t="inlineStr">
        <is>
          <t>DEVEDORA</t>
        </is>
      </c>
      <c r="AP481" s="27">
        <f>IF(AH481="","",IF(AH481=0,"PROSPECT",IF(AH481=1,"NOVO",IF(AH481&lt;=3,"EM DESENVOLVIMENTO",IF(AH481&lt;=6,"RECORRENTE","FIDELIZADO")))))</f>
        <v/>
      </c>
      <c r="AQ481" s="27">
        <f>IF(AJ481=0,0,IFERROR(SUM(U481:AF481)/AJ481,0))</f>
        <v/>
      </c>
      <c r="AS481" s="0" t="inlineStr">
        <is>
          <t>Carteira FEV/26 + Atend FEV/26</t>
        </is>
      </c>
    </row>
    <row r="482" ht="14.25" customHeight="1" s="16">
      <c r="A482" s="25" t="inlineStr">
        <is>
          <t>VIDA LEVE CMD</t>
        </is>
      </c>
      <c r="B482" s="25" t="inlineStr">
        <is>
          <t>60519117000108</t>
        </is>
      </c>
      <c r="C482" s="25" t="inlineStr">
        <is>
          <t>BARROSO E CECILIO COMERCIO LTDA</t>
        </is>
      </c>
      <c r="D482" s="25" t="inlineStr">
        <is>
          <t>MG</t>
        </is>
      </c>
      <c r="E482" s="25" t="inlineStr">
        <is>
          <t>CONCEICAO DO MATO DENTRO</t>
        </is>
      </c>
      <c r="F482" s="25" t="inlineStr">
        <is>
          <t>mdc-mg@redevidaleve.com.br</t>
        </is>
      </c>
      <c r="G482" s="25" t="inlineStr">
        <is>
          <t>+55 (31) 98312-1817</t>
        </is>
      </c>
      <c r="H482" s="25" t="inlineStr">
        <is>
          <t>03/11/2025</t>
        </is>
      </c>
      <c r="I482" s="25" t="inlineStr">
        <is>
          <t>VIDA LEVE</t>
        </is>
      </c>
      <c r="J482" s="25" t="inlineStr">
        <is>
          <t>DAIANE STAVICKI</t>
        </is>
      </c>
      <c r="K482" s="25" t="inlineStr">
        <is>
          <t>Central - Daiane</t>
        </is>
      </c>
      <c r="L482" s="25" t="n">
        <v>103</v>
      </c>
      <c r="M482" s="25" t="inlineStr">
        <is>
          <t>04/11/2025</t>
        </is>
      </c>
      <c r="N482" s="25" t="n">
        <v>2543.68</v>
      </c>
      <c r="O482" s="25" t="n"/>
      <c r="P482" s="25" t="n"/>
      <c r="Q482" s="25" t="n"/>
      <c r="R482" s="25" t="n"/>
      <c r="S482" s="25" t="n"/>
      <c r="T482" s="25" t="n"/>
      <c r="U482" s="25" t="n">
        <v>0</v>
      </c>
      <c r="V482" s="25" t="n">
        <v>0</v>
      </c>
      <c r="W482" s="25" t="n">
        <v>0</v>
      </c>
      <c r="X482" s="25" t="n">
        <v>0</v>
      </c>
      <c r="Y482" s="25" t="n">
        <v>0</v>
      </c>
      <c r="Z482" s="25" t="n">
        <v>0</v>
      </c>
      <c r="AA482" s="25" t="n">
        <v>0</v>
      </c>
      <c r="AB482" s="25" t="n">
        <v>0</v>
      </c>
      <c r="AC482" s="25" t="n">
        <v>2543.68</v>
      </c>
      <c r="AD482" s="25" t="n">
        <v>0</v>
      </c>
      <c r="AE482" s="25" t="n">
        <v>0</v>
      </c>
      <c r="AF482" s="25" t="n">
        <v>0</v>
      </c>
      <c r="AG482" s="25" t="n">
        <v>0</v>
      </c>
      <c r="AH482" s="25" t="n">
        <v>0</v>
      </c>
      <c r="AI482" s="25" t="inlineStr">
        <is>
          <t>A</t>
        </is>
      </c>
      <c r="AJ482" s="25" t="n">
        <v>1</v>
      </c>
      <c r="AK482" s="25" t="n">
        <v>0</v>
      </c>
      <c r="AL482" s="26" t="n">
        <v>46050.49027777778</v>
      </c>
      <c r="AM482" s="26" t="n">
        <v>46050.49027777778</v>
      </c>
      <c r="AN482" s="25" t="inlineStr">
        <is>
          <t>LIGAÇÃO</t>
        </is>
      </c>
      <c r="AO482" s="28" t="inlineStr">
        <is>
          <t>Link: https://vitaomais.meuspedidos.com.br/ E-mail: mdc-mg@redevidaleve.com.br Senha: 878472</t>
        </is>
      </c>
      <c r="AP482" s="27">
        <f>IF(AH482="","",IF(AH482=0,"PROSPECT",IF(AH482=1,"NOVO",IF(AH482&lt;=3,"EM DESENVOLVIMENTO",IF(AH482&lt;=6,"RECORRENTE","FIDELIZADO")))))</f>
        <v/>
      </c>
      <c r="AQ482" s="27">
        <f>IF(AJ482=0,0,IFERROR(SUM(U482:AF482)/AJ482,0))</f>
        <v/>
      </c>
      <c r="AS482" s="0" t="inlineStr">
        <is>
          <t>Carteira FEV/26</t>
        </is>
      </c>
    </row>
    <row r="483" ht="14.25" customHeight="1" s="16">
      <c r="A483" s="25" t="inlineStr">
        <is>
          <t>VIDA LEVE ESPECIARIAS</t>
        </is>
      </c>
      <c r="B483" s="25" t="inlineStr">
        <is>
          <t>32203302000153</t>
        </is>
      </c>
      <c r="C483" s="25" t="inlineStr">
        <is>
          <t>LORENA TEIXEIRA CARDOSO</t>
        </is>
      </c>
      <c r="D483" s="25" t="inlineStr">
        <is>
          <t>BA</t>
        </is>
      </c>
      <c r="E483" s="25" t="inlineStr">
        <is>
          <t>BOM JESUS DA LAPA</t>
        </is>
      </c>
      <c r="F483" s="25" t="inlineStr">
        <is>
          <t>Lory-nut@hotmail.com</t>
        </is>
      </c>
      <c r="G483" s="25" t="inlineStr">
        <is>
          <t>+55 (77) 99119-2548</t>
        </is>
      </c>
      <c r="H483" s="25" t="inlineStr">
        <is>
          <t>21/08/2025</t>
        </is>
      </c>
      <c r="I483" s="25" t="n"/>
      <c r="J483" s="25" t="inlineStr">
        <is>
          <t>MANU DITZEL</t>
        </is>
      </c>
      <c r="K483" s="25" t="inlineStr">
        <is>
          <t>Manu Ditzel</t>
        </is>
      </c>
      <c r="L483" s="25" t="n">
        <v>173</v>
      </c>
      <c r="M483" s="25" t="inlineStr">
        <is>
          <t>26/08/2025</t>
        </is>
      </c>
      <c r="N483" s="25" t="n">
        <v>4119.1</v>
      </c>
      <c r="O483" s="25" t="n">
        <v>5</v>
      </c>
      <c r="P483" s="25" t="inlineStr">
        <is>
          <t>Sim</t>
        </is>
      </c>
      <c r="Q483" s="25" t="n">
        <v>77</v>
      </c>
      <c r="R483" s="25" t="n">
        <v>39</v>
      </c>
      <c r="S483" s="25" t="n">
        <v>4119.1</v>
      </c>
      <c r="T483" s="25" t="inlineStr">
        <is>
          <t>COMPRA B2B</t>
        </is>
      </c>
      <c r="U483" s="25" t="n">
        <v>0</v>
      </c>
      <c r="V483" s="25" t="n">
        <v>0</v>
      </c>
      <c r="W483" s="25" t="n">
        <v>0</v>
      </c>
      <c r="X483" s="25" t="n">
        <v>0</v>
      </c>
      <c r="Y483" s="25" t="n">
        <v>0</v>
      </c>
      <c r="Z483" s="25" t="n">
        <v>4119.1</v>
      </c>
      <c r="AA483" s="25" t="n">
        <v>0</v>
      </c>
      <c r="AB483" s="25" t="n">
        <v>0</v>
      </c>
      <c r="AC483" s="25" t="n">
        <v>0</v>
      </c>
      <c r="AD483" s="25" t="n">
        <v>0</v>
      </c>
      <c r="AE483" s="25" t="n">
        <v>0</v>
      </c>
      <c r="AF483" s="25" t="n">
        <v>0</v>
      </c>
      <c r="AG483" s="25" t="n">
        <v>0</v>
      </c>
      <c r="AH483" s="25" t="n">
        <v>1</v>
      </c>
      <c r="AI483" s="25" t="inlineStr">
        <is>
          <t>A</t>
        </is>
      </c>
      <c r="AJ483" s="25" t="n">
        <v>1</v>
      </c>
      <c r="AK483" s="25" t="n">
        <v>4119.1</v>
      </c>
      <c r="AL483" s="25" t="n"/>
      <c r="AM483" s="25" t="n"/>
      <c r="AN483" s="25" t="n"/>
      <c r="AO483" s="25" t="n"/>
      <c r="AP483" s="27">
        <f>IF(AH483="","",IF(AH483=0,"PROSPECT",IF(AH483=1,"NOVO",IF(AH483&lt;=3,"EM DESENVOLVIMENTO",IF(AH483&lt;=6,"RECORRENTE","FIDELIZADO")))))</f>
        <v/>
      </c>
      <c r="AQ483" s="27">
        <f>IF(AJ483=0,0,IFERROR(SUM(U483:AF483)/AJ483,0))</f>
        <v/>
      </c>
      <c r="AS483" s="0" t="inlineStr">
        <is>
          <t>Carteira FEV/26</t>
        </is>
      </c>
    </row>
    <row r="484" ht="14.25" customHeight="1" s="16">
      <c r="A484" s="25" t="inlineStr">
        <is>
          <t>VIDA LEVE EUNAPOLIS</t>
        </is>
      </c>
      <c r="B484" s="25" t="inlineStr">
        <is>
          <t>60427099000134</t>
        </is>
      </c>
      <c r="C484" s="25" t="inlineStr">
        <is>
          <t>LIMA FAGUNDES PRODUTOS NATURAIS LTDA</t>
        </is>
      </c>
      <c r="D484" s="25" t="inlineStr">
        <is>
          <t>BA</t>
        </is>
      </c>
      <c r="E484" s="25" t="inlineStr">
        <is>
          <t>EUNAPOLIS</t>
        </is>
      </c>
      <c r="F484" s="25" t="inlineStr">
        <is>
          <t>loja.eunapolis@redevidaleve.com.br</t>
        </is>
      </c>
      <c r="G484" s="25" t="inlineStr">
        <is>
          <t>+55 (73) 9940-7732</t>
        </is>
      </c>
      <c r="H484" s="25" t="inlineStr">
        <is>
          <t>17/10/2025</t>
        </is>
      </c>
      <c r="I484" s="25" t="inlineStr">
        <is>
          <t>[Rede] Vida Leve</t>
        </is>
      </c>
      <c r="J484" s="25" t="inlineStr">
        <is>
          <t>DAIANE STAVICKI</t>
        </is>
      </c>
      <c r="K484" s="25" t="inlineStr">
        <is>
          <t>Central - Daiane</t>
        </is>
      </c>
      <c r="L484" s="25" t="n">
        <v>121</v>
      </c>
      <c r="M484" s="25" t="inlineStr">
        <is>
          <t>17/10/2025</t>
        </is>
      </c>
      <c r="N484" s="25" t="n">
        <v>1001.29</v>
      </c>
      <c r="O484" s="25" t="n">
        <v>3</v>
      </c>
      <c r="P484" s="25" t="inlineStr">
        <is>
          <t>Sim</t>
        </is>
      </c>
      <c r="Q484" s="25" t="n">
        <v>89</v>
      </c>
      <c r="R484" s="25" t="n">
        <v>13</v>
      </c>
      <c r="S484" s="25" t="n"/>
      <c r="T484" s="25" t="n"/>
      <c r="U484" s="25" t="n">
        <v>0</v>
      </c>
      <c r="V484" s="25" t="n">
        <v>0</v>
      </c>
      <c r="W484" s="25" t="n">
        <v>0</v>
      </c>
      <c r="X484" s="25" t="n">
        <v>0</v>
      </c>
      <c r="Y484" s="25" t="n">
        <v>0</v>
      </c>
      <c r="Z484" s="25" t="n">
        <v>0</v>
      </c>
      <c r="AA484" s="25" t="n">
        <v>0</v>
      </c>
      <c r="AB484" s="25" t="n">
        <v>1001.29</v>
      </c>
      <c r="AC484" s="25" t="n">
        <v>0</v>
      </c>
      <c r="AD484" s="25" t="n">
        <v>0</v>
      </c>
      <c r="AE484" s="25" t="n">
        <v>0</v>
      </c>
      <c r="AF484" s="25" t="n">
        <v>0</v>
      </c>
      <c r="AG484" s="25" t="n">
        <v>0</v>
      </c>
      <c r="AH484" s="25" t="n">
        <v>1</v>
      </c>
      <c r="AI484" s="25" t="inlineStr">
        <is>
          <t>C</t>
        </is>
      </c>
      <c r="AJ484" s="25" t="n">
        <v>1</v>
      </c>
      <c r="AK484" s="25" t="n">
        <v>1001.29</v>
      </c>
      <c r="AL484" s="26" t="n">
        <v>46062.60902777778</v>
      </c>
      <c r="AM484" s="26" t="n">
        <v>46062.60902777778</v>
      </c>
      <c r="AN484" s="25" t="inlineStr">
        <is>
          <t>LIGAÇÃO</t>
        </is>
      </c>
      <c r="AO484" s="25" t="inlineStr">
        <is>
          <t>ELA VAI TERMINAR O PEDIDO, UMA QUERIDA - RAQUEL</t>
        </is>
      </c>
      <c r="AP484" s="27">
        <f>IF(AH484="","",IF(AH484=0,"PROSPECT",IF(AH484=1,"NOVO",IF(AH484&lt;=3,"EM DESENVOLVIMENTO",IF(AH484&lt;=6,"RECORRENTE","FIDELIZADO")))))</f>
        <v/>
      </c>
      <c r="AQ484" s="27">
        <f>IF(AJ484=0,0,IFERROR(SUM(U484:AF484)/AJ484,0))</f>
        <v/>
      </c>
      <c r="AS484" s="0" t="inlineStr">
        <is>
          <t>Carteira FEV/26 + Atend FEV/26 + Ecom FEV/26</t>
        </is>
      </c>
    </row>
    <row r="485" ht="14.25" customHeight="1" s="16">
      <c r="A485" s="25" t="inlineStr">
        <is>
          <t>VIDA NA VIDA EMPORIO NATURAL</t>
        </is>
      </c>
      <c r="B485" s="25" t="inlineStr">
        <is>
          <t>39565216000130</t>
        </is>
      </c>
      <c r="C485" s="25" t="inlineStr">
        <is>
          <t>VIDA NA VIDA COMERCIO DE PRODUTOS NATURAIS E SERVICOS DE INFORMATICA LTDA</t>
        </is>
      </c>
      <c r="D485" s="25" t="inlineStr">
        <is>
          <t>RJ</t>
        </is>
      </c>
      <c r="E485" s="25" t="inlineStr">
        <is>
          <t>RIO DE JANEIRO</t>
        </is>
      </c>
      <c r="F485" s="25" t="inlineStr">
        <is>
          <t>marcusablopes@outlook.com</t>
        </is>
      </c>
      <c r="G485" s="25" t="inlineStr">
        <is>
          <t>+55 (21) 98248-0681</t>
        </is>
      </c>
      <c r="H485" s="25" t="inlineStr">
        <is>
          <t>08/10/2024</t>
        </is>
      </c>
      <c r="I485" s="25" t="n"/>
      <c r="J485" s="25" t="inlineStr">
        <is>
          <t>LARISSA PADILHA</t>
        </is>
      </c>
      <c r="K485" s="25" t="inlineStr">
        <is>
          <t>Helder Brunkow</t>
        </is>
      </c>
      <c r="L485" s="25" t="n">
        <v>256</v>
      </c>
      <c r="M485" s="25" t="inlineStr">
        <is>
          <t>04/06/2025</t>
        </is>
      </c>
      <c r="N485" s="25" t="n">
        <v>848.4</v>
      </c>
      <c r="O485" s="25" t="n"/>
      <c r="P485" s="25" t="n"/>
      <c r="Q485" s="25" t="n"/>
      <c r="R485" s="25" t="n"/>
      <c r="S485" s="25" t="n"/>
      <c r="T485" s="25" t="n"/>
      <c r="U485" s="25" t="n">
        <v>0</v>
      </c>
      <c r="V485" s="25" t="n">
        <v>0</v>
      </c>
      <c r="W485" s="25" t="n">
        <v>0</v>
      </c>
      <c r="X485" s="25" t="n">
        <v>848.4</v>
      </c>
      <c r="Y485" s="25" t="n">
        <v>0</v>
      </c>
      <c r="Z485" s="25" t="n">
        <v>0</v>
      </c>
      <c r="AA485" s="25" t="n">
        <v>0</v>
      </c>
      <c r="AB485" s="25" t="n">
        <v>0</v>
      </c>
      <c r="AC485" s="25" t="n">
        <v>0</v>
      </c>
      <c r="AD485" s="25" t="n">
        <v>0</v>
      </c>
      <c r="AE485" s="25" t="n">
        <v>0</v>
      </c>
      <c r="AF485" s="25" t="n">
        <v>0</v>
      </c>
      <c r="AG485" s="25" t="n">
        <v>0</v>
      </c>
      <c r="AH485" s="25" t="n">
        <v>1</v>
      </c>
      <c r="AI485" s="25" t="inlineStr">
        <is>
          <t>C</t>
        </is>
      </c>
      <c r="AJ485" s="25" t="n">
        <v>1</v>
      </c>
      <c r="AK485" s="25" t="n">
        <v>848.4</v>
      </c>
      <c r="AL485" s="26" t="n">
        <v>46065.41111111111</v>
      </c>
      <c r="AM485" s="26" t="n">
        <v>46065.41111111111</v>
      </c>
      <c r="AN485" s="25" t="inlineStr">
        <is>
          <t>WHATSAPP</t>
        </is>
      </c>
      <c r="AO485" s="25" t="inlineStr">
        <is>
          <t>NUTRIÇÃO | Envio da campanha do mês</t>
        </is>
      </c>
      <c r="AP485" s="27">
        <f>IF(AH485="","",IF(AH485=0,"PROSPECT",IF(AH485=1,"NOVO",IF(AH485&lt;=3,"EM DESENVOLVIMENTO",IF(AH485&lt;=6,"RECORRENTE","FIDELIZADO")))))</f>
        <v/>
      </c>
      <c r="AQ485" s="27">
        <f>IF(AJ485=0,0,IFERROR(SUM(U485:AF485)/AJ485,0))</f>
        <v/>
      </c>
      <c r="AS485" s="0" t="inlineStr">
        <is>
          <t>Carteira FEV/26 + Atend FEV/26</t>
        </is>
      </c>
    </row>
    <row r="486" ht="14.25" customHeight="1" s="16">
      <c r="A486" s="25" t="inlineStr">
        <is>
          <t>VILLA DOS GRAOS</t>
        </is>
      </c>
      <c r="B486" s="25" t="inlineStr">
        <is>
          <t>31118319000140</t>
        </is>
      </c>
      <c r="C486" s="25" t="inlineStr">
        <is>
          <t>ELIAS MACIEL DA ROSA</t>
        </is>
      </c>
      <c r="D486" s="25" t="inlineStr">
        <is>
          <t>SC</t>
        </is>
      </c>
      <c r="E486" s="25" t="inlineStr">
        <is>
          <t>CRICIUMA</t>
        </is>
      </c>
      <c r="F486" s="25" t="inlineStr">
        <is>
          <t>Produtosnaturaisvilladosgraos@gmail.com,villadosgraosnaturais@gmail.com</t>
        </is>
      </c>
      <c r="G486" s="25" t="inlineStr">
        <is>
          <t>+55 (48) 9624-8761</t>
        </is>
      </c>
      <c r="H486" s="25" t="inlineStr">
        <is>
          <t>08/10/2024</t>
        </is>
      </c>
      <c r="I486" s="25" t="n"/>
      <c r="J486" s="25" t="inlineStr">
        <is>
          <t>JULIO GADRET</t>
        </is>
      </c>
      <c r="K486" s="25" t="inlineStr">
        <is>
          <t>Julio  Gadret</t>
        </is>
      </c>
      <c r="L486" s="25" t="n">
        <v>143</v>
      </c>
      <c r="M486" s="25" t="inlineStr">
        <is>
          <t>25/09/2025</t>
        </is>
      </c>
      <c r="N486" s="25" t="n">
        <v>2421.99</v>
      </c>
      <c r="O486" s="25" t="n">
        <v>3</v>
      </c>
      <c r="P486" s="25" t="inlineStr">
        <is>
          <t>Sim</t>
        </is>
      </c>
      <c r="Q486" s="25" t="n">
        <v>42</v>
      </c>
      <c r="R486" s="25" t="n">
        <v>18</v>
      </c>
      <c r="S486" s="25" t="n">
        <v>2421.99</v>
      </c>
      <c r="T486" s="25" t="inlineStr">
        <is>
          <t>COMPRA B2B</t>
        </is>
      </c>
      <c r="U486" s="25" t="n">
        <v>0</v>
      </c>
      <c r="V486" s="25" t="n">
        <v>0</v>
      </c>
      <c r="W486" s="25" t="n">
        <v>0</v>
      </c>
      <c r="X486" s="25" t="n">
        <v>0</v>
      </c>
      <c r="Y486" s="25" t="n">
        <v>0</v>
      </c>
      <c r="Z486" s="25" t="n">
        <v>0</v>
      </c>
      <c r="AA486" s="25" t="n">
        <v>4843.98</v>
      </c>
      <c r="AB486" s="25" t="n">
        <v>0</v>
      </c>
      <c r="AC486" s="25" t="n">
        <v>0</v>
      </c>
      <c r="AD486" s="25" t="n">
        <v>0</v>
      </c>
      <c r="AE486" s="25" t="n">
        <v>0</v>
      </c>
      <c r="AF486" s="25" t="n">
        <v>0</v>
      </c>
      <c r="AG486" s="25" t="n">
        <v>0</v>
      </c>
      <c r="AH486" s="25" t="n">
        <v>2</v>
      </c>
      <c r="AI486" s="25" t="inlineStr">
        <is>
          <t>A</t>
        </is>
      </c>
      <c r="AJ486" s="25" t="n">
        <v>1</v>
      </c>
      <c r="AK486" s="25" t="n">
        <v>2421.99</v>
      </c>
      <c r="AL486" s="26" t="n">
        <v>45924.65972222222</v>
      </c>
      <c r="AM486" s="26" t="n">
        <v>45924.65972222222</v>
      </c>
      <c r="AN486" s="25" t="inlineStr">
        <is>
          <t>LIGAÇÃO</t>
        </is>
      </c>
      <c r="AO486" s="25" t="inlineStr">
        <is>
          <t>cliente julio com 4 lojas</t>
        </is>
      </c>
      <c r="AP486" s="27">
        <f>IF(AH486="","",IF(AH486=0,"PROSPECT",IF(AH486=1,"NOVO",IF(AH486&lt;=3,"EM DESENVOLVIMENTO",IF(AH486&lt;=6,"RECORRENTE","FIDELIZADO")))))</f>
        <v/>
      </c>
      <c r="AQ486" s="27">
        <f>IF(AJ486=0,0,IFERROR(SUM(U486:AF486)/AJ486,0))</f>
        <v/>
      </c>
      <c r="AS486" s="0" t="inlineStr">
        <is>
          <t>Carteira FEV/26</t>
        </is>
      </c>
    </row>
    <row r="487" ht="14.25" customHeight="1" s="16">
      <c r="A487" s="25" t="inlineStr">
        <is>
          <t>VILLA DOS GRAOS</t>
        </is>
      </c>
      <c r="B487" s="25" t="inlineStr">
        <is>
          <t>60822789000198</t>
        </is>
      </c>
      <c r="C487" s="25" t="inlineStr">
        <is>
          <t>VILLA DOS GRAOS PRODUTOS NATURAIS LTDA</t>
        </is>
      </c>
      <c r="D487" s="25" t="inlineStr">
        <is>
          <t>SC</t>
        </is>
      </c>
      <c r="E487" s="25" t="inlineStr">
        <is>
          <t>CRICIUMA</t>
        </is>
      </c>
      <c r="F487" s="25" t="inlineStr">
        <is>
          <t>Produtosnaturaisvilladosgraos@gmail.com</t>
        </is>
      </c>
      <c r="G487" s="25" t="inlineStr">
        <is>
          <t>+55 (48) 3437-2983</t>
        </is>
      </c>
      <c r="H487" s="25" t="inlineStr">
        <is>
          <t>24/09/2025</t>
        </is>
      </c>
      <c r="I487" s="25" t="n"/>
      <c r="J487" s="25" t="inlineStr">
        <is>
          <t>JULIO GADRET</t>
        </is>
      </c>
      <c r="K487" s="25" t="inlineStr">
        <is>
          <t>Julio  Gadret</t>
        </is>
      </c>
      <c r="L487" s="25" t="n">
        <v>143</v>
      </c>
      <c r="M487" s="25" t="inlineStr">
        <is>
          <t>25/09/2025</t>
        </is>
      </c>
      <c r="N487" s="25" t="n">
        <v>2421.99</v>
      </c>
      <c r="O487" s="25" t="n"/>
      <c r="P487" s="25" t="n"/>
      <c r="Q487" s="25" t="n"/>
      <c r="R487" s="25" t="n"/>
      <c r="S487" s="25" t="n"/>
      <c r="T487" s="25" t="n"/>
      <c r="U487" s="25" t="n">
        <v>0</v>
      </c>
      <c r="V487" s="25" t="n">
        <v>0</v>
      </c>
      <c r="W487" s="25" t="n">
        <v>0</v>
      </c>
      <c r="X487" s="25" t="n">
        <v>0</v>
      </c>
      <c r="Y487" s="25" t="n">
        <v>0</v>
      </c>
      <c r="Z487" s="25" t="n">
        <v>0</v>
      </c>
      <c r="AA487" s="25" t="n">
        <v>0</v>
      </c>
      <c r="AB487" s="25" t="n">
        <v>0</v>
      </c>
      <c r="AC487" s="25" t="n">
        <v>0</v>
      </c>
      <c r="AD487" s="25" t="n">
        <v>0</v>
      </c>
      <c r="AE487" s="25" t="n">
        <v>0</v>
      </c>
      <c r="AF487" s="25" t="n">
        <v>0</v>
      </c>
      <c r="AG487" s="25" t="n">
        <v>0</v>
      </c>
      <c r="AH487" s="25" t="n">
        <v>0</v>
      </c>
      <c r="AI487" s="25" t="inlineStr">
        <is>
          <t>B</t>
        </is>
      </c>
      <c r="AJ487" s="25" t="n">
        <v>0</v>
      </c>
      <c r="AK487" s="25" t="n">
        <v>0</v>
      </c>
      <c r="AL487" s="26" t="n">
        <v>45965.49791666667</v>
      </c>
      <c r="AM487" s="26" t="n">
        <v>45965.49791666667</v>
      </c>
      <c r="AN487" s="25" t="inlineStr">
        <is>
          <t>WHATSAPP</t>
        </is>
      </c>
      <c r="AO487" s="25" t="inlineStr">
        <is>
          <t>SUPORTE | CLIENTE FOI PRA PROTESTO, CUIDAR NO PROXIMO PEDIDO</t>
        </is>
      </c>
      <c r="AP487" s="27">
        <f>IF(AH487="","",IF(AH487=0,"PROSPECT",IF(AH487=1,"NOVO",IF(AH487&lt;=3,"EM DESENVOLVIMENTO",IF(AH487&lt;=6,"RECORRENTE","FIDELIZADO")))))</f>
        <v/>
      </c>
      <c r="AQ487" s="27">
        <f>IF(AJ487=0,0,IFERROR(SUM(U487:AF487)/AJ487,0))</f>
        <v/>
      </c>
      <c r="AS487" s="0" t="inlineStr">
        <is>
          <t>Carteira FEV/26</t>
        </is>
      </c>
    </row>
    <row r="488" ht="14.25" customHeight="1" s="16">
      <c r="A488" s="25" t="inlineStr">
        <is>
          <t>VILLAGGIO VERDE MERCADO DE PRODUTOS NATURAIS</t>
        </is>
      </c>
      <c r="B488" s="25" t="inlineStr">
        <is>
          <t>58831467000163</t>
        </is>
      </c>
      <c r="C488" s="25" t="inlineStr">
        <is>
          <t>VILLAGGIO VERDE PRODUTOS NATURAIS LTDA</t>
        </is>
      </c>
      <c r="D488" s="25" t="inlineStr">
        <is>
          <t>PR</t>
        </is>
      </c>
      <c r="E488" s="25" t="inlineStr">
        <is>
          <t>CURITIBA</t>
        </is>
      </c>
      <c r="F488" s="25" t="inlineStr">
        <is>
          <t>contato@villaggio-verde.com</t>
        </is>
      </c>
      <c r="G488" s="25" t="inlineStr">
        <is>
          <t>+55 (42) 99132-9293</t>
        </is>
      </c>
      <c r="H488" s="25" t="inlineStr">
        <is>
          <t>02/06/2025</t>
        </is>
      </c>
      <c r="I488" s="25" t="n"/>
      <c r="J488" s="25" t="inlineStr">
        <is>
          <t>Lorrany</t>
        </is>
      </c>
      <c r="K488" s="25" t="inlineStr">
        <is>
          <t>Lorrany</t>
        </is>
      </c>
      <c r="L488" s="25" t="n">
        <v>258</v>
      </c>
      <c r="M488" s="25" t="inlineStr">
        <is>
          <t>02/06/2025</t>
        </is>
      </c>
      <c r="N488" s="25" t="n">
        <v>1498.5</v>
      </c>
      <c r="O488" s="25" t="n"/>
      <c r="P488" s="25" t="n"/>
      <c r="Q488" s="25" t="n"/>
      <c r="R488" s="25" t="n"/>
      <c r="S488" s="25" t="n"/>
      <c r="T488" s="25" t="n"/>
      <c r="U488" s="25" t="n">
        <v>0</v>
      </c>
      <c r="V488" s="25" t="n">
        <v>0</v>
      </c>
      <c r="W488" s="25" t="n">
        <v>0</v>
      </c>
      <c r="X488" s="25" t="n">
        <v>1498.5</v>
      </c>
      <c r="Y488" s="25" t="n">
        <v>0</v>
      </c>
      <c r="Z488" s="25" t="n">
        <v>0</v>
      </c>
      <c r="AA488" s="25" t="n">
        <v>0</v>
      </c>
      <c r="AB488" s="25" t="n">
        <v>0</v>
      </c>
      <c r="AC488" s="25" t="n">
        <v>0</v>
      </c>
      <c r="AD488" s="25" t="n">
        <v>0</v>
      </c>
      <c r="AE488" s="25" t="n">
        <v>0</v>
      </c>
      <c r="AF488" s="25" t="n">
        <v>0</v>
      </c>
      <c r="AG488" s="25" t="n">
        <v>0</v>
      </c>
      <c r="AH488" s="25" t="n">
        <v>1</v>
      </c>
      <c r="AI488" s="25" t="inlineStr">
        <is>
          <t>B</t>
        </is>
      </c>
      <c r="AJ488" s="25" t="n">
        <v>1</v>
      </c>
      <c r="AK488" s="25" t="n">
        <v>1498.5</v>
      </c>
      <c r="AL488" s="25" t="n"/>
      <c r="AM488" s="25" t="n"/>
      <c r="AN488" s="25" t="n"/>
      <c r="AO488" s="25" t="n"/>
      <c r="AP488" s="27">
        <f>IF(AH488="","",IF(AH488=0,"PROSPECT",IF(AH488=1,"NOVO",IF(AH488&lt;=3,"EM DESENVOLVIMENTO",IF(AH488&lt;=6,"RECORRENTE","FIDELIZADO")))))</f>
        <v/>
      </c>
      <c r="AQ488" s="27">
        <f>IF(AJ488=0,0,IFERROR(SUM(U488:AF488)/AJ488,0))</f>
        <v/>
      </c>
      <c r="AS488" s="0" t="inlineStr">
        <is>
          <t>Carteira FEV/26</t>
        </is>
      </c>
    </row>
    <row r="489" ht="14.25" customHeight="1" s="16">
      <c r="A489" s="25" t="inlineStr">
        <is>
          <t>VIPI SUPERMARCADOS E BONNO ATACADO E VAREJO</t>
        </is>
      </c>
      <c r="B489" s="25" t="inlineStr">
        <is>
          <t>78516440000436</t>
        </is>
      </c>
      <c r="C489" s="25" t="inlineStr">
        <is>
          <t>CRESTANI &amp; FILHOS LTDA</t>
        </is>
      </c>
      <c r="D489" s="25" t="inlineStr">
        <is>
          <t>SC</t>
        </is>
      </c>
      <c r="E489" s="25" t="inlineStr">
        <is>
          <t>SAO MIGUEL DO OESTE</t>
        </is>
      </c>
      <c r="F489" s="25" t="inlineStr">
        <is>
          <t>CPO@CRESTANI.COM.BR</t>
        </is>
      </c>
      <c r="G489" s="25" t="inlineStr">
        <is>
          <t>+55 (49) 9832-0260</t>
        </is>
      </c>
      <c r="H489" s="25" t="inlineStr">
        <is>
          <t>09/06/2025</t>
        </is>
      </c>
      <c r="I489" s="25" t="n"/>
      <c r="J489" s="25" t="inlineStr">
        <is>
          <t>MANU DITZEL</t>
        </is>
      </c>
      <c r="K489" s="25" t="inlineStr">
        <is>
          <t>Manu Ditzel</t>
        </is>
      </c>
      <c r="L489" s="25" t="n">
        <v>251</v>
      </c>
      <c r="M489" s="25" t="inlineStr">
        <is>
          <t>09/06/2025</t>
        </is>
      </c>
      <c r="N489" s="25" t="n">
        <v>2979.24</v>
      </c>
      <c r="O489" s="25" t="n"/>
      <c r="P489" s="25" t="n"/>
      <c r="Q489" s="25" t="n"/>
      <c r="R489" s="25" t="n"/>
      <c r="S489" s="25" t="n"/>
      <c r="T489" s="25" t="n"/>
      <c r="U489" s="25" t="n">
        <v>0</v>
      </c>
      <c r="V489" s="25" t="n">
        <v>0</v>
      </c>
      <c r="W489" s="25" t="n">
        <v>0</v>
      </c>
      <c r="X489" s="25" t="n">
        <v>2979.24</v>
      </c>
      <c r="Y489" s="25" t="n">
        <v>0</v>
      </c>
      <c r="Z489" s="25" t="n">
        <v>0</v>
      </c>
      <c r="AA489" s="25" t="n">
        <v>0</v>
      </c>
      <c r="AB489" s="25" t="n">
        <v>0</v>
      </c>
      <c r="AC489" s="25" t="n">
        <v>0</v>
      </c>
      <c r="AD489" s="25" t="n">
        <v>0</v>
      </c>
      <c r="AE489" s="25" t="n">
        <v>0</v>
      </c>
      <c r="AF489" s="25" t="n">
        <v>0</v>
      </c>
      <c r="AG489" s="25" t="n">
        <v>0</v>
      </c>
      <c r="AH489" s="25" t="n">
        <v>1</v>
      </c>
      <c r="AI489" s="25" t="inlineStr">
        <is>
          <t>A</t>
        </is>
      </c>
      <c r="AJ489" s="25" t="n">
        <v>1</v>
      </c>
      <c r="AK489" s="25" t="n">
        <v>2979.24</v>
      </c>
      <c r="AL489" s="25" t="n"/>
      <c r="AM489" s="25" t="n"/>
      <c r="AN489" s="25" t="n"/>
      <c r="AO489" s="25" t="n"/>
      <c r="AP489" s="27">
        <f>IF(AH489="","",IF(AH489=0,"PROSPECT",IF(AH489=1,"NOVO",IF(AH489&lt;=3,"EM DESENVOLVIMENTO",IF(AH489&lt;=6,"RECORRENTE","FIDELIZADO")))))</f>
        <v/>
      </c>
      <c r="AQ489" s="27">
        <f>IF(AJ489=0,0,IFERROR(SUM(U489:AF489)/AJ489,0))</f>
        <v/>
      </c>
      <c r="AS489" s="0" t="inlineStr">
        <is>
          <t>Carteira FEV/26</t>
        </is>
      </c>
    </row>
    <row r="490" ht="14.25" customHeight="1" s="16">
      <c r="A490" s="25" t="inlineStr">
        <is>
          <t>VIPI SUPERMERCADOS E BONNO ATACADO E VAREJO</t>
        </is>
      </c>
      <c r="B490" s="25" t="inlineStr">
        <is>
          <t>78516440000606</t>
        </is>
      </c>
      <c r="C490" s="25" t="inlineStr">
        <is>
          <t>CRESTANI &amp; FILHOS LTDA</t>
        </is>
      </c>
      <c r="D490" s="25" t="inlineStr">
        <is>
          <t>PR</t>
        </is>
      </c>
      <c r="E490" s="25" t="inlineStr">
        <is>
          <t>FRANCISCO BELTRAO</t>
        </is>
      </c>
      <c r="F490" s="25" t="inlineStr">
        <is>
          <t>CPO@CRESTANI.COM.BR</t>
        </is>
      </c>
      <c r="G490" s="25" t="inlineStr">
        <is>
          <t>+55 (49) 9832-0260</t>
        </is>
      </c>
      <c r="H490" s="25" t="inlineStr">
        <is>
          <t>09/06/2025</t>
        </is>
      </c>
      <c r="I490" s="25" t="n"/>
      <c r="J490" s="25" t="inlineStr">
        <is>
          <t>MANU DITZEL</t>
        </is>
      </c>
      <c r="K490" s="25" t="inlineStr">
        <is>
          <t>Manu Ditzel</t>
        </is>
      </c>
      <c r="L490" s="25" t="n">
        <v>192</v>
      </c>
      <c r="M490" s="25" t="inlineStr">
        <is>
          <t>07/08/2025</t>
        </is>
      </c>
      <c r="N490" s="25" t="n">
        <v>1033.22</v>
      </c>
      <c r="O490" s="25" t="n"/>
      <c r="P490" s="25" t="n"/>
      <c r="Q490" s="25" t="n"/>
      <c r="R490" s="25" t="n"/>
      <c r="S490" s="25" t="n"/>
      <c r="T490" s="25" t="n"/>
      <c r="U490" s="25" t="n">
        <v>0</v>
      </c>
      <c r="V490" s="25" t="n">
        <v>0</v>
      </c>
      <c r="W490" s="25" t="n">
        <v>0</v>
      </c>
      <c r="X490" s="25" t="n">
        <v>2558.04</v>
      </c>
      <c r="Y490" s="25" t="n">
        <v>0</v>
      </c>
      <c r="Z490" s="25" t="n">
        <v>1033.22</v>
      </c>
      <c r="AA490" s="25" t="n">
        <v>0</v>
      </c>
      <c r="AB490" s="25" t="n">
        <v>0</v>
      </c>
      <c r="AC490" s="25" t="n">
        <v>0</v>
      </c>
      <c r="AD490" s="25" t="n">
        <v>0</v>
      </c>
      <c r="AE490" s="25" t="n">
        <v>0</v>
      </c>
      <c r="AF490" s="25" t="n">
        <v>0</v>
      </c>
      <c r="AG490" s="25" t="n">
        <v>59</v>
      </c>
      <c r="AH490" s="25" t="n">
        <v>2</v>
      </c>
      <c r="AI490" s="25" t="inlineStr">
        <is>
          <t>A</t>
        </is>
      </c>
      <c r="AJ490" s="25" t="n">
        <v>2</v>
      </c>
      <c r="AK490" s="25" t="n">
        <v>1795.63</v>
      </c>
      <c r="AL490" s="26" t="n">
        <v>46058.46388888889</v>
      </c>
      <c r="AM490" s="26" t="n">
        <v>46058.46388888889</v>
      </c>
      <c r="AN490" s="25" t="inlineStr">
        <is>
          <t>LIGAÇÃO</t>
        </is>
      </c>
      <c r="AO490" s="25" t="inlineStr">
        <is>
          <t>PERCA</t>
        </is>
      </c>
      <c r="AP490" s="27">
        <f>IF(AH490="","",IF(AH490=0,"PROSPECT",IF(AH490=1,"NOVO",IF(AH490&lt;=3,"EM DESENVOLVIMENTO",IF(AH490&lt;=6,"RECORRENTE","FIDELIZADO")))))</f>
        <v/>
      </c>
      <c r="AQ490" s="27">
        <f>IF(AJ490=0,0,IFERROR(SUM(U490:AF490)/AJ490,0))</f>
        <v/>
      </c>
      <c r="AR490" s="15" t="inlineStr">
        <is>
          <t>⚠️ DDD(49)=SC≠PR</t>
        </is>
      </c>
      <c r="AS490" s="0" t="inlineStr">
        <is>
          <t>Carteira FEV/26 + Atend FEV/26</t>
        </is>
      </c>
    </row>
    <row r="491" ht="14.25" customHeight="1" s="16">
      <c r="A491" s="25" t="inlineStr">
        <is>
          <t>VITALY'S ESPECIARIAS E EMBALAGENS</t>
        </is>
      </c>
      <c r="B491" s="25" t="inlineStr">
        <is>
          <t>07750414000187</t>
        </is>
      </c>
      <c r="C491" s="25" t="inlineStr">
        <is>
          <t>VITALI ESPECIARIAS E EMBALAGENS LTDA</t>
        </is>
      </c>
      <c r="D491" s="25" t="inlineStr">
        <is>
          <t>PR</t>
        </is>
      </c>
      <c r="E491" s="25" t="inlineStr">
        <is>
          <t>CURITIBA</t>
        </is>
      </c>
      <c r="F491" s="25" t="inlineStr">
        <is>
          <t>vitalysmunicipal@gmail.com</t>
        </is>
      </c>
      <c r="G491" s="25" t="inlineStr">
        <is>
          <t>+55 (41) 9911-6842</t>
        </is>
      </c>
      <c r="H491" s="25" t="inlineStr">
        <is>
          <t>08/10/2024</t>
        </is>
      </c>
      <c r="I491" s="25" t="n"/>
      <c r="J491" s="25" t="inlineStr">
        <is>
          <t>LARISSA PADILHA</t>
        </is>
      </c>
      <c r="K491" s="25" t="inlineStr">
        <is>
          <t>Larissa Padilha</t>
        </is>
      </c>
      <c r="L491" s="25" t="n">
        <v>296</v>
      </c>
      <c r="M491" s="25" t="inlineStr">
        <is>
          <t>25/04/2025</t>
        </is>
      </c>
      <c r="N491" s="25" t="n">
        <v>1676.51</v>
      </c>
      <c r="O491" s="25" t="n">
        <v>4</v>
      </c>
      <c r="P491" s="25" t="inlineStr">
        <is>
          <t>Sim</t>
        </is>
      </c>
      <c r="Q491" s="25" t="n">
        <v>40</v>
      </c>
      <c r="R491" s="25" t="n"/>
      <c r="S491" s="25" t="n"/>
      <c r="T491" s="25" t="n"/>
      <c r="U491" s="25" t="n">
        <v>0</v>
      </c>
      <c r="V491" s="25" t="n">
        <v>1676.51</v>
      </c>
      <c r="W491" s="25" t="n">
        <v>0</v>
      </c>
      <c r="X491" s="25" t="n">
        <v>0</v>
      </c>
      <c r="Y491" s="25" t="n">
        <v>0</v>
      </c>
      <c r="Z491" s="25" t="n">
        <v>0</v>
      </c>
      <c r="AA491" s="25" t="n">
        <v>0</v>
      </c>
      <c r="AB491" s="25" t="n">
        <v>0</v>
      </c>
      <c r="AC491" s="25" t="n">
        <v>0</v>
      </c>
      <c r="AD491" s="25" t="n">
        <v>0</v>
      </c>
      <c r="AE491" s="25" t="n">
        <v>0</v>
      </c>
      <c r="AF491" s="25" t="n">
        <v>0</v>
      </c>
      <c r="AG491" s="25" t="n">
        <v>0</v>
      </c>
      <c r="AH491" s="25" t="n">
        <v>1</v>
      </c>
      <c r="AI491" s="25" t="inlineStr">
        <is>
          <t>B</t>
        </is>
      </c>
      <c r="AJ491" s="25" t="n">
        <v>1</v>
      </c>
      <c r="AK491" s="25" t="n">
        <v>1676.51</v>
      </c>
      <c r="AL491" s="26" t="n">
        <v>46034.47549768518</v>
      </c>
      <c r="AM491" s="26" t="n">
        <v>46034.47549768518</v>
      </c>
      <c r="AN491" s="25" t="inlineStr">
        <is>
          <t>WHATSAPP</t>
        </is>
      </c>
      <c r="AO491" s="25" t="inlineStr">
        <is>
          <t>THEREZA MERCADO MUNICIPAL - CTB</t>
        </is>
      </c>
      <c r="AP491" s="27">
        <f>IF(AH491="","",IF(AH491=0,"PROSPECT",IF(AH491=1,"NOVO",IF(AH491&lt;=3,"EM DESENVOLVIMENTO",IF(AH491&lt;=6,"RECORRENTE","FIDELIZADO")))))</f>
        <v/>
      </c>
      <c r="AQ491" s="27">
        <f>IF(AJ491=0,0,IFERROR(SUM(U491:AF491)/AJ491,0))</f>
        <v/>
      </c>
      <c r="AS491" s="0" t="inlineStr">
        <is>
          <t>Carteira FEV/26</t>
        </is>
      </c>
    </row>
    <row r="492" ht="14.25" customHeight="1" s="16">
      <c r="A492" s="25" t="inlineStr">
        <is>
          <t>VITTONI COMERCIO DE PRODUTOS NATURAIS</t>
        </is>
      </c>
      <c r="B492" s="25" t="inlineStr">
        <is>
          <t>30515235000187</t>
        </is>
      </c>
      <c r="C492" s="25" t="inlineStr">
        <is>
          <t>VITTONI COMERCIO DE PRODUTOS NATURAIS LTDA</t>
        </is>
      </c>
      <c r="D492" s="25" t="inlineStr">
        <is>
          <t>RS</t>
        </is>
      </c>
      <c r="E492" s="25" t="inlineStr">
        <is>
          <t>BENTO GONCALVES</t>
        </is>
      </c>
      <c r="F492" s="25" t="inlineStr">
        <is>
          <t>camilasalini1@gmail.com</t>
        </is>
      </c>
      <c r="G492" s="25" t="inlineStr">
        <is>
          <t>+55 (54) 99974-0606</t>
        </is>
      </c>
      <c r="H492" s="25" t="inlineStr">
        <is>
          <t>08/10/2024</t>
        </is>
      </c>
      <c r="I492" s="25" t="inlineStr">
        <is>
          <t>[Rede] Mais Natural</t>
        </is>
      </c>
      <c r="J492" s="25" t="inlineStr">
        <is>
          <t>DAIANE STAVICKI</t>
        </is>
      </c>
      <c r="K492" s="25" t="inlineStr">
        <is>
          <t>Central - Daiane</t>
        </is>
      </c>
      <c r="L492" s="25" t="n">
        <v>117</v>
      </c>
      <c r="M492" s="25" t="inlineStr">
        <is>
          <t>21/10/2025</t>
        </is>
      </c>
      <c r="N492" s="25" t="n">
        <v>1194.58</v>
      </c>
      <c r="O492" s="25" t="n">
        <v>1</v>
      </c>
      <c r="P492" s="25" t="inlineStr">
        <is>
          <t>Sim</t>
        </is>
      </c>
      <c r="Q492" s="25" t="n">
        <v>18</v>
      </c>
      <c r="R492" s="25" t="n">
        <v>6</v>
      </c>
      <c r="S492" s="25" t="n"/>
      <c r="T492" s="25" t="n"/>
      <c r="U492" s="25" t="n">
        <v>0</v>
      </c>
      <c r="V492" s="25" t="n">
        <v>0</v>
      </c>
      <c r="W492" s="25" t="n">
        <v>0</v>
      </c>
      <c r="X492" s="25" t="n">
        <v>0</v>
      </c>
      <c r="Y492" s="25" t="n">
        <v>0</v>
      </c>
      <c r="Z492" s="25" t="n">
        <v>0</v>
      </c>
      <c r="AA492" s="25" t="n">
        <v>0</v>
      </c>
      <c r="AB492" s="25" t="n">
        <v>1194.58</v>
      </c>
      <c r="AC492" s="25" t="n">
        <v>0</v>
      </c>
      <c r="AD492" s="25" t="n">
        <v>0</v>
      </c>
      <c r="AE492" s="25" t="n">
        <v>0</v>
      </c>
      <c r="AF492" s="25" t="n">
        <v>0</v>
      </c>
      <c r="AG492" s="25" t="n">
        <v>0</v>
      </c>
      <c r="AH492" s="25" t="n">
        <v>1</v>
      </c>
      <c r="AI492" s="25" t="inlineStr">
        <is>
          <t>B</t>
        </is>
      </c>
      <c r="AJ492" s="25" t="n">
        <v>1</v>
      </c>
      <c r="AK492" s="25" t="n">
        <v>1194.58</v>
      </c>
      <c r="AL492" s="26" t="n">
        <v>45951.61527777778</v>
      </c>
      <c r="AM492" s="26" t="n">
        <v>45951.61527777778</v>
      </c>
      <c r="AN492" s="25" t="inlineStr">
        <is>
          <t>WHATSAPP</t>
        </is>
      </c>
      <c r="AO492" s="28" t="inlineStr">
        <is>
          <t>PRÉ-VENDA | Link: https://vitaomais.meuspedidos.com.br/ E-mail: camilasalini1@gmail.com Senha: 786302</t>
        </is>
      </c>
      <c r="AP492" s="27">
        <f>IF(AH492="","",IF(AH492=0,"PROSPECT",IF(AH492=1,"NOVO",IF(AH492&lt;=3,"EM DESENVOLVIMENTO",IF(AH492&lt;=6,"RECORRENTE","FIDELIZADO")))))</f>
        <v/>
      </c>
      <c r="AQ492" s="27">
        <f>IF(AJ492=0,0,IFERROR(SUM(U492:AF492)/AJ492,0))</f>
        <v/>
      </c>
      <c r="AS492" s="0" t="inlineStr">
        <is>
          <t>Carteira FEV/26</t>
        </is>
      </c>
    </row>
    <row r="493" ht="14.25" customHeight="1" s="16">
      <c r="A493" s="25" t="inlineStr">
        <is>
          <t>VIVA LEVE Cia da saude</t>
        </is>
      </c>
      <c r="B493" s="25" t="inlineStr">
        <is>
          <t>41808865000166</t>
        </is>
      </c>
      <c r="C493" s="25" t="inlineStr">
        <is>
          <t>FL PRODUTOS NATURAIS LTDA</t>
        </is>
      </c>
      <c r="D493" s="25" t="inlineStr">
        <is>
          <t>SC</t>
        </is>
      </c>
      <c r="E493" s="25" t="inlineStr">
        <is>
          <t>FLORIANOPOLIS</t>
        </is>
      </c>
      <c r="F493" s="25" t="inlineStr">
        <is>
          <t>ciailhashopping@redeciadasaude.com.br</t>
        </is>
      </c>
      <c r="G493" s="25" t="inlineStr">
        <is>
          <t>48840020754899</t>
        </is>
      </c>
      <c r="H493" s="25" t="inlineStr">
        <is>
          <t>08/10/2024</t>
        </is>
      </c>
      <c r="I493" s="25" t="inlineStr">
        <is>
          <t>[Rede] Cia da Saúde</t>
        </is>
      </c>
      <c r="J493" s="25" t="inlineStr">
        <is>
          <t>JULIO GADRET</t>
        </is>
      </c>
      <c r="K493" s="25" t="inlineStr">
        <is>
          <t>Julio  Gadret</t>
        </is>
      </c>
      <c r="L493" s="25" t="n">
        <v>115</v>
      </c>
      <c r="M493" s="25" t="inlineStr">
        <is>
          <t>23/10/2025</t>
        </is>
      </c>
      <c r="N493" s="25" t="n">
        <v>1083.3</v>
      </c>
      <c r="O493" s="25" t="n"/>
      <c r="P493" s="25" t="n"/>
      <c r="Q493" s="25" t="n"/>
      <c r="R493" s="25" t="n"/>
      <c r="S493" s="25" t="n"/>
      <c r="T493" s="25" t="n"/>
      <c r="U493" s="25" t="n">
        <v>0</v>
      </c>
      <c r="V493" s="25" t="n">
        <v>0</v>
      </c>
      <c r="W493" s="25" t="n">
        <v>0</v>
      </c>
      <c r="X493" s="25" t="n">
        <v>0</v>
      </c>
      <c r="Y493" s="25" t="n">
        <v>0</v>
      </c>
      <c r="Z493" s="25" t="n">
        <v>0</v>
      </c>
      <c r="AA493" s="25" t="n">
        <v>0</v>
      </c>
      <c r="AB493" s="25" t="n">
        <v>1083.3</v>
      </c>
      <c r="AC493" s="25" t="n">
        <v>0</v>
      </c>
      <c r="AD493" s="25" t="n">
        <v>0</v>
      </c>
      <c r="AE493" s="25" t="n">
        <v>0</v>
      </c>
      <c r="AF493" s="25" t="n">
        <v>0</v>
      </c>
      <c r="AG493" s="25" t="n">
        <v>0</v>
      </c>
      <c r="AH493" s="25" t="n">
        <v>1</v>
      </c>
      <c r="AI493" s="25" t="inlineStr">
        <is>
          <t>C</t>
        </is>
      </c>
      <c r="AJ493" s="25" t="n">
        <v>1</v>
      </c>
      <c r="AK493" s="25" t="n">
        <v>1083.3</v>
      </c>
      <c r="AL493" s="26" t="n">
        <v>45951.48518518519</v>
      </c>
      <c r="AM493" s="26" t="n">
        <v>45951.48518518519</v>
      </c>
      <c r="AN493" s="25" t="inlineStr">
        <is>
          <t>WHATSAPP</t>
        </is>
      </c>
      <c r="AO493" s="25" t="inlineStr">
        <is>
          <t>CIA DA SAÚDE - FLORIPA - JOSI</t>
        </is>
      </c>
      <c r="AP493" s="27">
        <f>IF(AH493="","",IF(AH493=0,"PROSPECT",IF(AH493=1,"NOVO",IF(AH493&lt;=3,"EM DESENVOLVIMENTO",IF(AH493&lt;=6,"RECORRENTE","FIDELIZADO")))))</f>
        <v/>
      </c>
      <c r="AQ493" s="27">
        <f>IF(AJ493=0,0,IFERROR(SUM(U493:AF493)/AJ493,0))</f>
        <v/>
      </c>
      <c r="AS493" s="0" t="inlineStr">
        <is>
          <t>Carteira FEV/26</t>
        </is>
      </c>
    </row>
    <row r="494" ht="14.25" customHeight="1" s="16">
      <c r="A494" s="25" t="inlineStr">
        <is>
          <t>VIVA SAUDAVEL PRODUTOS NATURAIS cia da Saúde</t>
        </is>
      </c>
      <c r="B494" s="25" t="inlineStr">
        <is>
          <t>43603248000150</t>
        </is>
      </c>
      <c r="C494" s="25" t="inlineStr">
        <is>
          <t>NML PRODUTOS NATURAIS LTDA</t>
        </is>
      </c>
      <c r="D494" s="25" t="inlineStr">
        <is>
          <t>SC</t>
        </is>
      </c>
      <c r="E494" s="25" t="inlineStr">
        <is>
          <t>TUBARAO</t>
        </is>
      </c>
      <c r="F494" s="25" t="inlineStr">
        <is>
          <t>ciadasaudetubarao@redeciadasaude.com.br</t>
        </is>
      </c>
      <c r="G494" s="25" t="inlineStr">
        <is>
          <t>+55 (48) 9698-2817</t>
        </is>
      </c>
      <c r="H494" s="25" t="inlineStr">
        <is>
          <t>08/10/2024</t>
        </is>
      </c>
      <c r="I494" s="25" t="inlineStr">
        <is>
          <t>CIA DA SAUDE</t>
        </is>
      </c>
      <c r="J494" s="25" t="inlineStr">
        <is>
          <t>JULIO GADRET</t>
        </is>
      </c>
      <c r="K494" s="25" t="inlineStr">
        <is>
          <t>Julio  Gadret</t>
        </is>
      </c>
      <c r="L494" s="25" t="n">
        <v>93</v>
      </c>
      <c r="M494" s="25" t="inlineStr">
        <is>
          <t>14/11/2025</t>
        </is>
      </c>
      <c r="N494" s="25" t="n">
        <v>1047.3</v>
      </c>
      <c r="O494" s="25" t="n"/>
      <c r="P494" s="25" t="n"/>
      <c r="Q494" s="25" t="n"/>
      <c r="R494" s="25" t="n"/>
      <c r="S494" s="25" t="n"/>
      <c r="T494" s="25" t="n"/>
      <c r="U494" s="25" t="n">
        <v>0</v>
      </c>
      <c r="V494" s="25" t="n">
        <v>0</v>
      </c>
      <c r="W494" s="25" t="n">
        <v>0</v>
      </c>
      <c r="X494" s="25" t="n">
        <v>0</v>
      </c>
      <c r="Y494" s="25" t="n">
        <v>0</v>
      </c>
      <c r="Z494" s="25" t="n">
        <v>0</v>
      </c>
      <c r="AA494" s="25" t="n">
        <v>0</v>
      </c>
      <c r="AB494" s="25" t="n">
        <v>0</v>
      </c>
      <c r="AC494" s="25" t="n">
        <v>1047.3</v>
      </c>
      <c r="AD494" s="25" t="n">
        <v>0</v>
      </c>
      <c r="AE494" s="25" t="n">
        <v>0</v>
      </c>
      <c r="AF494" s="25" t="n">
        <v>0</v>
      </c>
      <c r="AG494" s="25" t="n">
        <v>0</v>
      </c>
      <c r="AH494" s="25" t="n">
        <v>0</v>
      </c>
      <c r="AI494" s="25" t="inlineStr">
        <is>
          <t>C</t>
        </is>
      </c>
      <c r="AJ494" s="25" t="n">
        <v>1</v>
      </c>
      <c r="AK494" s="25" t="n">
        <v>0</v>
      </c>
      <c r="AL494" s="26" t="n">
        <v>45841.4559837963</v>
      </c>
      <c r="AM494" s="26" t="n">
        <v>45841.4559837963</v>
      </c>
      <c r="AN494" s="25" t="inlineStr">
        <is>
          <t>WHATSAPP</t>
        </is>
      </c>
      <c r="AO494" s="25" t="inlineStr">
        <is>
          <t>CIA DA SAÚDE - NATÁLIA - SC</t>
        </is>
      </c>
      <c r="AP494" s="27">
        <f>IF(AH494="","",IF(AH494=0,"PROSPECT",IF(AH494=1,"NOVO",IF(AH494&lt;=3,"EM DESENVOLVIMENTO",IF(AH494&lt;=6,"RECORRENTE","FIDELIZADO")))))</f>
        <v/>
      </c>
      <c r="AQ494" s="27">
        <f>IF(AJ494=0,0,IFERROR(SUM(U494:AF494)/AJ494,0))</f>
        <v/>
      </c>
      <c r="AS494" s="0" t="inlineStr">
        <is>
          <t>Carteira FEV/26</t>
        </is>
      </c>
    </row>
    <row r="495" ht="14.25" customHeight="1" s="16">
      <c r="A495" s="25" t="inlineStr">
        <is>
          <t>Vida leve Barreiras</t>
        </is>
      </c>
      <c r="B495" s="25" t="inlineStr">
        <is>
          <t>52169809000145</t>
        </is>
      </c>
      <c r="C495" s="25" t="inlineStr">
        <is>
          <t>IS COMERCIO DE PRODUTOS NATURAIS LTDA</t>
        </is>
      </c>
      <c r="D495" s="25" t="inlineStr">
        <is>
          <t>BA</t>
        </is>
      </c>
      <c r="E495" s="25" t="inlineStr">
        <is>
          <t>BARREIRAS</t>
        </is>
      </c>
      <c r="F495" s="25" t="inlineStr">
        <is>
          <t>barreiras@redevidaleve.com.br,romenil.romenil@hotmail.com</t>
        </is>
      </c>
      <c r="G495" s="25" t="inlineStr">
        <is>
          <t>+55 (77) 9908-7132 | +55 (77) 9990-8713 (ROMENIL)</t>
        </is>
      </c>
      <c r="H495" s="25" t="inlineStr">
        <is>
          <t>08/10/2024</t>
        </is>
      </c>
      <c r="I495" s="25" t="inlineStr">
        <is>
          <t>[Rede] Vida Leve</t>
        </is>
      </c>
      <c r="J495" s="25" t="inlineStr">
        <is>
          <t>DAIANE STAVICKI</t>
        </is>
      </c>
      <c r="K495" s="25" t="inlineStr">
        <is>
          <t>Central - Daiane</t>
        </is>
      </c>
      <c r="L495" s="25" t="n">
        <v>145</v>
      </c>
      <c r="M495" s="25" t="inlineStr">
        <is>
          <t>23/09/2025</t>
        </is>
      </c>
      <c r="N495" s="25" t="n">
        <v>1603.62</v>
      </c>
      <c r="O495" s="25" t="n"/>
      <c r="P495" s="25" t="n"/>
      <c r="Q495" s="25" t="n"/>
      <c r="R495" s="25" t="n"/>
      <c r="S495" s="25" t="n"/>
      <c r="T495" s="25" t="n"/>
      <c r="U495" s="25" t="n">
        <v>0</v>
      </c>
      <c r="V495" s="25" t="n">
        <v>0</v>
      </c>
      <c r="W495" s="25" t="n">
        <v>0</v>
      </c>
      <c r="X495" s="25" t="n">
        <v>0</v>
      </c>
      <c r="Y495" s="25" t="n">
        <v>0</v>
      </c>
      <c r="Z495" s="25" t="n">
        <v>0</v>
      </c>
      <c r="AA495" s="25" t="n">
        <v>1603.62</v>
      </c>
      <c r="AB495" s="25" t="n">
        <v>0</v>
      </c>
      <c r="AC495" s="25" t="n">
        <v>0</v>
      </c>
      <c r="AD495" s="25" t="n">
        <v>0</v>
      </c>
      <c r="AE495" s="25" t="n">
        <v>0</v>
      </c>
      <c r="AF495" s="25" t="n">
        <v>0</v>
      </c>
      <c r="AG495" s="25" t="n">
        <v>0</v>
      </c>
      <c r="AH495" s="25" t="n">
        <v>1</v>
      </c>
      <c r="AI495" s="25" t="inlineStr">
        <is>
          <t>B</t>
        </is>
      </c>
      <c r="AJ495" s="25" t="n">
        <v>1</v>
      </c>
      <c r="AK495" s="25" t="n">
        <v>1603.62</v>
      </c>
      <c r="AL495" s="26" t="n">
        <v>46056.62152777778</v>
      </c>
      <c r="AM495" s="26" t="n">
        <v>46056.62152777778</v>
      </c>
      <c r="AN495" s="25" t="inlineStr">
        <is>
          <t>LIGAÇÃO</t>
        </is>
      </c>
      <c r="AO495" s="28" t="inlineStr">
        <is>
          <t>Link: https://vitaomais.meuspedidos.com.br/ E-mail: barreiras@redevidaleve.com.br Senha: 653939</t>
        </is>
      </c>
      <c r="AP495" s="27">
        <f>IF(AH495="","",IF(AH495=0,"PROSPECT",IF(AH495=1,"NOVO",IF(AH495&lt;=3,"EM DESENVOLVIMENTO",IF(AH495&lt;=6,"RECORRENTE","FIDELIZADO")))))</f>
        <v/>
      </c>
      <c r="AQ495" s="27">
        <f>IF(AJ495=0,0,IFERROR(SUM(U495:AF495)/AJ495,0))</f>
        <v/>
      </c>
      <c r="AS495" s="0" t="inlineStr">
        <is>
          <t>Carteira FEV/26 + Atend FEV/26</t>
        </is>
      </c>
    </row>
    <row r="496" ht="14.25" customHeight="1" s="16">
      <c r="A496" s="25" t="inlineStr">
        <is>
          <t>WOLFI MACHINES</t>
        </is>
      </c>
      <c r="B496" s="25" t="inlineStr">
        <is>
          <t>61932319000140</t>
        </is>
      </c>
      <c r="C496" s="25" t="inlineStr">
        <is>
          <t>61.932.319 LEONARDO PANDOLFI</t>
        </is>
      </c>
      <c r="D496" s="25" t="inlineStr">
        <is>
          <t>RS</t>
        </is>
      </c>
      <c r="E496" s="25" t="inlineStr">
        <is>
          <t>ERECHIM</t>
        </is>
      </c>
      <c r="F496" s="25" t="inlineStr">
        <is>
          <t>wolfimachines@gmail.com</t>
        </is>
      </c>
      <c r="G496" s="25" t="inlineStr">
        <is>
          <t>+55 (54) 98414-1222</t>
        </is>
      </c>
      <c r="H496" s="25" t="inlineStr">
        <is>
          <t>25/08/2025</t>
        </is>
      </c>
      <c r="I496" s="25" t="n"/>
      <c r="J496" s="25" t="inlineStr">
        <is>
          <t>MANU DITZEL</t>
        </is>
      </c>
      <c r="K496" s="25" t="inlineStr">
        <is>
          <t>Manu Ditzel</t>
        </is>
      </c>
      <c r="L496" s="25" t="n">
        <v>172</v>
      </c>
      <c r="M496" s="25" t="inlineStr">
        <is>
          <t>27/08/2025</t>
        </is>
      </c>
      <c r="N496" s="25" t="n">
        <v>1199</v>
      </c>
      <c r="O496" s="25" t="n">
        <v>3</v>
      </c>
      <c r="P496" s="25" t="inlineStr">
        <is>
          <t>Sim</t>
        </is>
      </c>
      <c r="Q496" s="25" t="n">
        <v>103</v>
      </c>
      <c r="R496" s="25" t="n">
        <v>12</v>
      </c>
      <c r="S496" s="25" t="n">
        <v>1199</v>
      </c>
      <c r="T496" s="25" t="inlineStr">
        <is>
          <t>COMPRA B2B</t>
        </is>
      </c>
      <c r="U496" s="25" t="n">
        <v>0</v>
      </c>
      <c r="V496" s="25" t="n">
        <v>0</v>
      </c>
      <c r="W496" s="25" t="n">
        <v>0</v>
      </c>
      <c r="X496" s="25" t="n">
        <v>0</v>
      </c>
      <c r="Y496" s="25" t="n">
        <v>0</v>
      </c>
      <c r="Z496" s="25" t="n">
        <v>1199</v>
      </c>
      <c r="AA496" s="25" t="n">
        <v>0</v>
      </c>
      <c r="AB496" s="25" t="n">
        <v>0</v>
      </c>
      <c r="AC496" s="25" t="n">
        <v>0</v>
      </c>
      <c r="AD496" s="25" t="n">
        <v>0</v>
      </c>
      <c r="AE496" s="25" t="n">
        <v>0</v>
      </c>
      <c r="AF496" s="25" t="n">
        <v>0</v>
      </c>
      <c r="AG496" s="25" t="n">
        <v>0</v>
      </c>
      <c r="AH496" s="25" t="n">
        <v>1</v>
      </c>
      <c r="AI496" s="25" t="inlineStr">
        <is>
          <t>B</t>
        </is>
      </c>
      <c r="AJ496" s="25" t="n">
        <v>1</v>
      </c>
      <c r="AK496" s="25" t="n">
        <v>1199</v>
      </c>
      <c r="AL496" s="26" t="n">
        <v>46050.40541666667</v>
      </c>
      <c r="AM496" s="26" t="n">
        <v>46050.40541666667</v>
      </c>
      <c r="AN496" s="25" t="inlineStr">
        <is>
          <t>WHATSAPP</t>
        </is>
      </c>
      <c r="AO496" s="25" t="inlineStr">
        <is>
          <t>WOLFI MACHINES - Debora</t>
        </is>
      </c>
      <c r="AP496" s="27">
        <f>IF(AH496="","",IF(AH496=0,"PROSPECT",IF(AH496=1,"NOVO",IF(AH496&lt;=3,"EM DESENVOLVIMENTO",IF(AH496&lt;=6,"RECORRENTE","FIDELIZADO")))))</f>
        <v/>
      </c>
      <c r="AQ496" s="27">
        <f>IF(AJ496=0,0,IFERROR(SUM(U496:AF496)/AJ496,0))</f>
        <v/>
      </c>
      <c r="AS496" s="0" t="inlineStr">
        <is>
          <t>Carteira FEV/26</t>
        </is>
      </c>
    </row>
    <row r="497" ht="14.25" customHeight="1" s="16">
      <c r="A497" s="30" t="inlineStr">
        <is>
          <t>GRAO EMPORIO NATURAL</t>
        </is>
      </c>
      <c r="B497" s="30" t="inlineStr">
        <is>
          <t>55383649000120</t>
        </is>
      </c>
      <c r="C497" s="30" t="inlineStr">
        <is>
          <t>JLGD COMERCIO DE PRODUTOS NATURAIS LTDA</t>
        </is>
      </c>
      <c r="D497" s="30" t="inlineStr">
        <is>
          <t>PE</t>
        </is>
      </c>
      <c r="E497" s="30" t="inlineStr">
        <is>
          <t>RECIFE</t>
        </is>
      </c>
      <c r="F497" s="30" t="inlineStr">
        <is>
          <t>graoemporionatural@gmail.com</t>
        </is>
      </c>
      <c r="G497" s="30" t="inlineStr">
        <is>
          <t>+55 (81) 99516-7722</t>
        </is>
      </c>
      <c r="H497" s="30" t="n"/>
      <c r="I497" s="30" t="n"/>
      <c r="J497" s="30" t="inlineStr">
        <is>
          <t>DAIANE STAVICKI</t>
        </is>
      </c>
      <c r="K497" s="30" t="inlineStr">
        <is>
          <t>Central - Daiane</t>
        </is>
      </c>
      <c r="L497" s="30" t="n">
        <v>2</v>
      </c>
      <c r="M497" s="30" t="inlineStr">
        <is>
          <t>13/02/2026</t>
        </is>
      </c>
      <c r="N497" s="30" t="n">
        <v>2220.81</v>
      </c>
      <c r="O497" s="30" t="n">
        <v>1</v>
      </c>
      <c r="P497" s="30" t="inlineStr">
        <is>
          <t>Sim</t>
        </is>
      </c>
      <c r="Q497" s="30" t="n">
        <v>61</v>
      </c>
      <c r="R497" s="30" t="n">
        <v>56</v>
      </c>
      <c r="S497" s="30" t="n">
        <v>2220.81</v>
      </c>
      <c r="T497" s="30" t="inlineStr">
        <is>
          <t>COMPRA B2B</t>
        </is>
      </c>
      <c r="U497" s="30" t="n">
        <v>0</v>
      </c>
      <c r="V497" s="30" t="n">
        <v>0</v>
      </c>
      <c r="W497" s="30" t="n">
        <v>0</v>
      </c>
      <c r="X497" s="30" t="n">
        <v>0</v>
      </c>
      <c r="Y497" s="30" t="n">
        <v>0</v>
      </c>
      <c r="Z497" s="30" t="n">
        <v>0</v>
      </c>
      <c r="AA497" s="30" t="n">
        <v>0</v>
      </c>
      <c r="AB497" s="30" t="n">
        <v>0</v>
      </c>
      <c r="AC497" s="30" t="n">
        <v>0</v>
      </c>
      <c r="AD497" s="30" t="n">
        <v>0</v>
      </c>
      <c r="AE497" s="30" t="n">
        <v>0</v>
      </c>
      <c r="AF497" s="30" t="n">
        <v>2220.81</v>
      </c>
      <c r="AG497" s="30" t="n"/>
      <c r="AH497" s="30" t="n">
        <v>1</v>
      </c>
      <c r="AI497" s="30" t="inlineStr">
        <is>
          <t>A</t>
        </is>
      </c>
      <c r="AJ497" s="30" t="n">
        <v>1</v>
      </c>
      <c r="AK497" s="30" t="n">
        <v>2220.81</v>
      </c>
      <c r="AL497" s="30" t="n"/>
      <c r="AM497" s="30" t="n"/>
      <c r="AN497" s="30" t="n"/>
      <c r="AO497" s="30" t="n"/>
      <c r="AP497" s="27">
        <f>IF(AH497="","",IF(AH497=0,"PROSPECT",IF(AH497=1,"NOVO",IF(AH497&lt;=3,"EM DESENVOLVIMENTO",IF(AH497&lt;=6,"RECORRENTE","FIDELIZADO")))))</f>
        <v/>
      </c>
      <c r="AQ497" s="27">
        <f>IF(AJ497=0,0,IFERROR(SUM(U497:AF497)/AJ497,0))</f>
        <v/>
      </c>
      <c r="AS497" s="0" t="inlineStr">
        <is>
          <t>Carteira FEV/26 + Ecom FEV/26 + Vendas FEV/26 + ABC FEV/26</t>
        </is>
      </c>
    </row>
    <row r="498" ht="14.25" customHeight="1" s="16">
      <c r="A498" s="25" t="inlineStr">
        <is>
          <t>DIVINA TERRA PERDIZES</t>
        </is>
      </c>
      <c r="B498" s="25" t="inlineStr">
        <is>
          <t>63826539000114</t>
        </is>
      </c>
      <c r="C498" s="25" t="inlineStr">
        <is>
          <t>NATURAL BOM LTDA</t>
        </is>
      </c>
      <c r="D498" s="25" t="inlineStr">
        <is>
          <t>SP</t>
        </is>
      </c>
      <c r="E498" s="25" t="inlineStr">
        <is>
          <t>SAO PAULO</t>
        </is>
      </c>
      <c r="F498" s="25" t="inlineStr">
        <is>
          <t>dtperdizes@lojadivinaterra.com.br</t>
        </is>
      </c>
      <c r="G498" s="25" t="inlineStr">
        <is>
          <t>+55 (11) 92811-8806</t>
        </is>
      </c>
      <c r="H498" s="25" t="n"/>
      <c r="I498" s="25" t="inlineStr">
        <is>
          <t>[Rede] Divina Terra</t>
        </is>
      </c>
      <c r="J498" s="25" t="inlineStr">
        <is>
          <t>DAIANE STAVICKI</t>
        </is>
      </c>
      <c r="K498" s="25" t="inlineStr">
        <is>
          <t>Central - Daiane</t>
        </is>
      </c>
      <c r="L498" s="25" t="n">
        <v>2</v>
      </c>
      <c r="M498" s="25" t="inlineStr">
        <is>
          <t>13/02/2026</t>
        </is>
      </c>
      <c r="N498" s="25" t="n">
        <v>1333.89</v>
      </c>
      <c r="O498" s="25" t="n">
        <v>1</v>
      </c>
      <c r="P498" s="25" t="inlineStr">
        <is>
          <t>Sim</t>
        </is>
      </c>
      <c r="Q498" s="25" t="n">
        <v>54</v>
      </c>
      <c r="R498" s="25" t="n">
        <v>28</v>
      </c>
      <c r="S498" s="25" t="n">
        <v>1333.89</v>
      </c>
      <c r="T498" s="25" t="inlineStr">
        <is>
          <t>COMPRA B2B</t>
        </is>
      </c>
      <c r="U498" s="25" t="n">
        <v>0</v>
      </c>
      <c r="V498" s="25" t="n">
        <v>0</v>
      </c>
      <c r="W498" s="25" t="n">
        <v>0</v>
      </c>
      <c r="X498" s="25" t="n">
        <v>0</v>
      </c>
      <c r="Y498" s="25" t="n">
        <v>0</v>
      </c>
      <c r="Z498" s="25" t="n">
        <v>0</v>
      </c>
      <c r="AA498" s="25" t="n">
        <v>0</v>
      </c>
      <c r="AB498" s="25" t="n">
        <v>0</v>
      </c>
      <c r="AC498" s="25" t="n">
        <v>0</v>
      </c>
      <c r="AD498" s="25" t="n">
        <v>0</v>
      </c>
      <c r="AE498" s="25" t="n">
        <v>0</v>
      </c>
      <c r="AF498" s="25" t="n">
        <v>1333.89</v>
      </c>
      <c r="AG498" s="25" t="n"/>
      <c r="AH498" s="25" t="n">
        <v>1</v>
      </c>
      <c r="AI498" s="25" t="inlineStr">
        <is>
          <t>A</t>
        </is>
      </c>
      <c r="AJ498" s="25" t="n">
        <v>1</v>
      </c>
      <c r="AK498" s="25" t="n">
        <v>1333.89</v>
      </c>
      <c r="AL498" s="29" t="n">
        <v>46066.42361111111</v>
      </c>
      <c r="AM498" s="29" t="n">
        <v>46066.42361111111</v>
      </c>
      <c r="AN498" s="25" t="inlineStr">
        <is>
          <t>LIGAÇÃO</t>
        </is>
      </c>
      <c r="AO498" s="25" t="inlineStr">
        <is>
          <t>INAUGURA 13/03 PERÍODO DE ENTREGA: 23/02 A 06/03</t>
        </is>
      </c>
      <c r="AP498" s="27">
        <f>IF(AH498="","",IF(AH498=0,"PROSPECT",IF(AH498=1,"NOVO",IF(AH498&lt;=3,"EM DESENVOLVIMENTO",IF(AH498&lt;=6,"RECORRENTE","FIDELIZADO")))))</f>
        <v/>
      </c>
      <c r="AQ498" s="27">
        <f>IF(AJ498=0,0,IFERROR(SUM(U498:AF498)/AJ498,0))</f>
        <v/>
      </c>
      <c r="AS498" s="0" t="inlineStr">
        <is>
          <t>Carteira FEV/26 + Atend FEV/26 + Ecom FEV/26 + Vendas FEV/26 + ABC FEV/26</t>
        </is>
      </c>
    </row>
    <row r="499" ht="14.25" customHeight="1" s="16">
      <c r="A499" s="30" t="inlineStr">
        <is>
          <t>GRAO EMPORIO NATURAL</t>
        </is>
      </c>
      <c r="B499" s="30" t="inlineStr">
        <is>
          <t>32889911000108</t>
        </is>
      </c>
      <c r="C499" s="30" t="inlineStr">
        <is>
          <t>BRUNA DUBEUX DUARTE</t>
        </is>
      </c>
      <c r="D499" s="30" t="inlineStr">
        <is>
          <t>PE</t>
        </is>
      </c>
      <c r="E499" s="30" t="inlineStr">
        <is>
          <t>RECIFE</t>
        </is>
      </c>
      <c r="F499" s="30" t="inlineStr">
        <is>
          <t>graoemporionatural@gmail.com</t>
        </is>
      </c>
      <c r="G499" s="30" t="inlineStr">
        <is>
          <t>+55 (81) 99596-5490</t>
        </is>
      </c>
      <c r="H499" s="30" t="n"/>
      <c r="I499" s="30" t="n"/>
      <c r="J499" s="30" t="inlineStr">
        <is>
          <t>DAIANE STAVICKI</t>
        </is>
      </c>
      <c r="K499" s="30" t="inlineStr">
        <is>
          <t>Central - Daiane</t>
        </is>
      </c>
      <c r="L499" s="30" t="n">
        <v>3</v>
      </c>
      <c r="M499" s="30" t="inlineStr">
        <is>
          <t>12/02/2026</t>
        </is>
      </c>
      <c r="N499" s="30" t="n">
        <v>3190.52</v>
      </c>
      <c r="O499" s="30" t="n">
        <v>4</v>
      </c>
      <c r="P499" s="30" t="inlineStr">
        <is>
          <t>Sim</t>
        </is>
      </c>
      <c r="Q499" s="30" t="n">
        <v>68</v>
      </c>
      <c r="R499" s="30" t="n">
        <v>57</v>
      </c>
      <c r="S499" s="30" t="n">
        <v>3190.52</v>
      </c>
      <c r="T499" s="30" t="inlineStr">
        <is>
          <t>COMPRA B2B</t>
        </is>
      </c>
      <c r="U499" s="30" t="n">
        <v>0</v>
      </c>
      <c r="V499" s="30" t="n">
        <v>0</v>
      </c>
      <c r="W499" s="30" t="n">
        <v>0</v>
      </c>
      <c r="X499" s="30" t="n">
        <v>0</v>
      </c>
      <c r="Y499" s="30" t="n">
        <v>0</v>
      </c>
      <c r="Z499" s="30" t="n">
        <v>0</v>
      </c>
      <c r="AA499" s="30" t="n">
        <v>0</v>
      </c>
      <c r="AB499" s="30" t="n">
        <v>0</v>
      </c>
      <c r="AC499" s="30" t="n">
        <v>0</v>
      </c>
      <c r="AD499" s="30" t="n">
        <v>0</v>
      </c>
      <c r="AE499" s="30" t="n">
        <v>0</v>
      </c>
      <c r="AF499" s="30" t="n">
        <v>3190.52</v>
      </c>
      <c r="AG499" s="30" t="n"/>
      <c r="AH499" s="30" t="n">
        <v>1</v>
      </c>
      <c r="AI499" s="30" t="inlineStr">
        <is>
          <t>A</t>
        </is>
      </c>
      <c r="AJ499" s="30" t="n">
        <v>1</v>
      </c>
      <c r="AK499" s="30" t="n">
        <v>3190.52</v>
      </c>
      <c r="AL499" s="30" t="n"/>
      <c r="AM499" s="30" t="n"/>
      <c r="AN499" s="30" t="n"/>
      <c r="AO499" s="30" t="n"/>
      <c r="AP499" s="27">
        <f>IF(AH499="","",IF(AH499=0,"PROSPECT",IF(AH499=1,"NOVO",IF(AH499&lt;=3,"EM DESENVOLVIMENTO",IF(AH499&lt;=6,"RECORRENTE","FIDELIZADO")))))</f>
        <v/>
      </c>
      <c r="AQ499" s="27">
        <f>IF(AJ499=0,0,IFERROR(SUM(U499:AF499)/AJ499,0))</f>
        <v/>
      </c>
      <c r="AS499" s="0" t="inlineStr">
        <is>
          <t>Carteira FEV/26 + Ecom FEV/26 + Vendas FEV/26 + ABC FEV/26</t>
        </is>
      </c>
    </row>
    <row r="500" ht="14.25" customHeight="1" s="16">
      <c r="A500" s="25" t="inlineStr">
        <is>
          <t>HORA DO DOCE</t>
        </is>
      </c>
      <c r="B500" s="25" t="inlineStr">
        <is>
          <t>50815238000143</t>
        </is>
      </c>
      <c r="C500" s="25" t="inlineStr">
        <is>
          <t>50.815.238 MIGUEL VIANA DE ARAUJO</t>
        </is>
      </c>
      <c r="D500" s="25" t="inlineStr">
        <is>
          <t>RJ</t>
        </is>
      </c>
      <c r="E500" s="25" t="inlineStr">
        <is>
          <t>NOVA FRIBURGO</t>
        </is>
      </c>
      <c r="F500" s="25" t="inlineStr">
        <is>
          <t>horadodocenf@gmail.com</t>
        </is>
      </c>
      <c r="G500" s="25" t="inlineStr">
        <is>
          <t>+55 (22) 99906-0737</t>
        </is>
      </c>
      <c r="H500" s="25" t="n"/>
      <c r="I500" s="25" t="n"/>
      <c r="J500" s="25" t="inlineStr">
        <is>
          <t>LARISSA PADILHA</t>
        </is>
      </c>
      <c r="K500" s="25" t="inlineStr">
        <is>
          <t>Larissa Padilha</t>
        </is>
      </c>
      <c r="L500" s="25" t="n">
        <v>3</v>
      </c>
      <c r="M500" s="25" t="inlineStr">
        <is>
          <t>12/02/2026</t>
        </is>
      </c>
      <c r="N500" s="25" t="n">
        <v>1661.11</v>
      </c>
      <c r="O500" s="25" t="n">
        <v>1</v>
      </c>
      <c r="P500" s="25" t="inlineStr">
        <is>
          <t>Sim</t>
        </is>
      </c>
      <c r="Q500" s="25" t="n">
        <v>4</v>
      </c>
      <c r="R500" s="25" t="n"/>
      <c r="S500" s="25" t="n"/>
      <c r="T500" s="25" t="n"/>
      <c r="U500" s="25" t="n">
        <v>0</v>
      </c>
      <c r="V500" s="25" t="n">
        <v>0</v>
      </c>
      <c r="W500" s="25" t="n">
        <v>0</v>
      </c>
      <c r="X500" s="25" t="n">
        <v>0</v>
      </c>
      <c r="Y500" s="25" t="n">
        <v>0</v>
      </c>
      <c r="Z500" s="25" t="n">
        <v>0</v>
      </c>
      <c r="AA500" s="25" t="n">
        <v>0</v>
      </c>
      <c r="AB500" s="25" t="n">
        <v>0</v>
      </c>
      <c r="AC500" s="25" t="n">
        <v>0</v>
      </c>
      <c r="AD500" s="25" t="n">
        <v>0</v>
      </c>
      <c r="AE500" s="25" t="n">
        <v>0</v>
      </c>
      <c r="AF500" s="25" t="n">
        <v>1661.11</v>
      </c>
      <c r="AG500" s="25" t="n"/>
      <c r="AH500" s="25" t="n">
        <v>1</v>
      </c>
      <c r="AI500" s="25" t="inlineStr">
        <is>
          <t>A</t>
        </is>
      </c>
      <c r="AJ500" s="25" t="n">
        <v>1</v>
      </c>
      <c r="AK500" s="25" t="n">
        <v>1661.11</v>
      </c>
      <c r="AL500" s="29" t="n">
        <v>46059.46875</v>
      </c>
      <c r="AM500" s="29" t="n">
        <v>46059.46875</v>
      </c>
      <c r="AN500" s="25" t="inlineStr">
        <is>
          <t>WHATSAPP</t>
        </is>
      </c>
      <c r="AO500" s="25" t="inlineStr">
        <is>
          <t>ORÇAMENTO</t>
        </is>
      </c>
      <c r="AP500" s="27">
        <f>IF(AH500="","",IF(AH500=0,"PROSPECT",IF(AH500=1,"NOVO",IF(AH500&lt;=3,"EM DESENVOLVIMENTO",IF(AH500&lt;=6,"RECORRENTE","FIDELIZADO")))))</f>
        <v/>
      </c>
      <c r="AQ500" s="27">
        <f>IF(AJ500=0,0,IFERROR(SUM(U500:AF500)/AJ500,0))</f>
        <v/>
      </c>
      <c r="AS500" s="0" t="inlineStr">
        <is>
          <t>Carteira FEV/26 + Atend FEV/26 + Ecom FEV/26 + Vendas FEV/26 + ABC FEV/26</t>
        </is>
      </c>
    </row>
    <row r="501">
      <c r="A501" s="0" t="inlineStr">
        <is>
          <t>GRÃO EMPÓRIO NATURAL</t>
        </is>
      </c>
      <c r="B501" s="0" t="inlineStr">
        <is>
          <t>39797983000174</t>
        </is>
      </c>
      <c r="C501" s="0" t="inlineStr">
        <is>
          <t>GRÃO EMPÓRIO COMÉRCIO DE PRODUTOS NATURAIS LTDA</t>
        </is>
      </c>
      <c r="D501" s="0" t="inlineStr">
        <is>
          <t>PE</t>
        </is>
      </c>
      <c r="E501" s="0" t="inlineStr">
        <is>
          <t>RECIFE</t>
        </is>
      </c>
      <c r="F501" s="0" t="inlineStr">
        <is>
          <t>graoemporionatural@gmail.com</t>
        </is>
      </c>
      <c r="G501" s="0" t="inlineStr">
        <is>
          <t>81309067878195</t>
        </is>
      </c>
      <c r="J501" s="0" t="inlineStr">
        <is>
          <t>DAIANE STAVICKI</t>
        </is>
      </c>
      <c r="K501" s="0" t="inlineStr">
        <is>
          <t>Central - Daiane</t>
        </is>
      </c>
      <c r="L501" s="0" t="n">
        <v>4</v>
      </c>
      <c r="M501" s="0" t="inlineStr">
        <is>
          <t>11/02/2026</t>
        </is>
      </c>
      <c r="N501" s="0" t="n">
        <v>3142.46</v>
      </c>
      <c r="O501" s="0" t="n">
        <v>3</v>
      </c>
      <c r="P501" s="0" t="inlineStr">
        <is>
          <t>Sim</t>
        </is>
      </c>
      <c r="Q501" s="0" t="n">
        <v>70</v>
      </c>
      <c r="R501" s="0" t="n">
        <v>65</v>
      </c>
      <c r="S501" s="0" t="n">
        <v>3142.46</v>
      </c>
      <c r="T501" s="0" t="inlineStr">
        <is>
          <t>COMPRA B2B</t>
        </is>
      </c>
      <c r="U501" s="0" t="n">
        <v>0</v>
      </c>
      <c r="V501" s="0" t="n">
        <v>0</v>
      </c>
      <c r="W501" s="0" t="n">
        <v>0</v>
      </c>
      <c r="X501" s="0" t="n">
        <v>0</v>
      </c>
      <c r="Y501" s="0" t="n">
        <v>0</v>
      </c>
      <c r="Z501" s="0" t="n">
        <v>0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3142.46</v>
      </c>
      <c r="AH501" s="0" t="n">
        <v>1</v>
      </c>
      <c r="AI501" s="0" t="inlineStr">
        <is>
          <t>A</t>
        </is>
      </c>
      <c r="AJ501" s="0" t="n">
        <v>1</v>
      </c>
      <c r="AK501" s="0" t="n">
        <v>3142.46</v>
      </c>
      <c r="AL501" s="31" t="n">
        <v>46062.68194444444</v>
      </c>
      <c r="AM501" s="31" t="n">
        <v>46062.68194444444</v>
      </c>
      <c r="AN501" s="0" t="inlineStr">
        <is>
          <t>LIGAÇÃO</t>
        </is>
      </c>
      <c r="AO501" s="0" t="inlineStr">
        <is>
          <t>Link:  https://vitaomais.meuspedidos.com.br/  E-mail:   graoemporionatural@gmail.com  Senha: 419298  Luiz um querido, tem 7 lojas e comprava com body</t>
        </is>
      </c>
      <c r="AP501" s="0">
        <f>IF(AH501="","",IF(AH501=0,"PROSPECT",IF(AH501=1,"NOVO",IF(AH501&lt;=3,"EM DESENVOLVIMENTO",IF(AH501&lt;=6,"RECORRENTE","FIDELIZADO")))))</f>
        <v/>
      </c>
      <c r="AQ501" s="0">
        <f>IF(AJ501=0,0,IFERROR(SUM(U501:AF501)/AJ501,0))</f>
        <v/>
      </c>
      <c r="AS501" s="0" t="inlineStr">
        <is>
          <t>Carteira FEV/26 + Atend FEV/26 + Ecom FEV/26 + Vendas FEV/26 + ABC FEV/26</t>
        </is>
      </c>
    </row>
    <row r="502">
      <c r="A502" s="0" t="inlineStr">
        <is>
          <t>GRAO EMPORIO NATURAL</t>
        </is>
      </c>
      <c r="B502" s="0" t="inlineStr">
        <is>
          <t>50446226000199</t>
        </is>
      </c>
      <c r="C502" s="0" t="inlineStr">
        <is>
          <t>J L G DUARTE FILHO LTDA</t>
        </is>
      </c>
      <c r="D502" s="0" t="inlineStr">
        <is>
          <t>PE</t>
        </is>
      </c>
      <c r="E502" s="0" t="inlineStr">
        <is>
          <t>RECIFE</t>
        </is>
      </c>
      <c r="F502" s="0" t="inlineStr">
        <is>
          <t>graoemporionatural@gmail.com</t>
        </is>
      </c>
      <c r="G502" s="0" t="inlineStr">
        <is>
          <t>81-9516-7722  LUIZ, 8130120001</t>
        </is>
      </c>
      <c r="J502" s="0" t="inlineStr">
        <is>
          <t>DAIANE STAVICKI</t>
        </is>
      </c>
      <c r="K502" s="0" t="inlineStr">
        <is>
          <t>Central - Daiane</t>
        </is>
      </c>
      <c r="L502" s="0" t="n">
        <v>4</v>
      </c>
      <c r="M502" s="0" t="inlineStr">
        <is>
          <t>11/02/2026</t>
        </is>
      </c>
      <c r="N502" s="0" t="n">
        <v>1870.76</v>
      </c>
      <c r="O502" s="0" t="n">
        <v>1</v>
      </c>
      <c r="P502" s="0" t="inlineStr">
        <is>
          <t>Sim</t>
        </is>
      </c>
      <c r="Q502" s="0" t="n">
        <v>32</v>
      </c>
      <c r="R502" s="0" t="n">
        <v>28</v>
      </c>
      <c r="S502" s="0" t="n">
        <v>1870.76</v>
      </c>
      <c r="T502" s="0" t="inlineStr">
        <is>
          <t>COMPRA B2B</t>
        </is>
      </c>
      <c r="U502" s="0" t="n">
        <v>0</v>
      </c>
      <c r="V502" s="0" t="n">
        <v>0</v>
      </c>
      <c r="W502" s="0" t="n">
        <v>0</v>
      </c>
      <c r="X502" s="0" t="n">
        <v>0</v>
      </c>
      <c r="Y502" s="0" t="n">
        <v>0</v>
      </c>
      <c r="Z502" s="0" t="n">
        <v>0</v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1870.76</v>
      </c>
      <c r="AH502" s="0" t="n">
        <v>1</v>
      </c>
      <c r="AI502" s="0" t="inlineStr">
        <is>
          <t>A</t>
        </is>
      </c>
      <c r="AJ502" s="0" t="n">
        <v>1</v>
      </c>
      <c r="AK502" s="0" t="n">
        <v>1870.76</v>
      </c>
      <c r="AL502" s="31" t="n">
        <v>46059.425</v>
      </c>
      <c r="AM502" s="31" t="n">
        <v>46059.425</v>
      </c>
      <c r="AN502" s="0" t="inlineStr">
        <is>
          <t>LIGAÇÃO</t>
        </is>
      </c>
      <c r="AO502" s="0" t="inlineStr">
        <is>
          <t>Indicação rede amigo Guilherme, primeiro pedido teste depois ver como vai ser entregas etc  - LUIZ 7 LOJAS</t>
        </is>
      </c>
      <c r="AP502" s="0">
        <f>IF(AH502="","",IF(AH502=0,"PROSPECT",IF(AH502=1,"NOVO",IF(AH502&lt;=3,"EM DESENVOLVIMENTO",IF(AH502&lt;=6,"RECORRENTE","FIDELIZADO")))))</f>
        <v/>
      </c>
      <c r="AQ502" s="0">
        <f>IF(AJ502=0,0,IFERROR(SUM(U502:AF502)/AJ502,0))</f>
        <v/>
      </c>
      <c r="AS502" s="0" t="inlineStr">
        <is>
          <t>Carteira FEV/26 + Atend FEV/26 + Ecom FEV/26 + Vendas FEV/26 + ABC FEV/26</t>
        </is>
      </c>
    </row>
    <row r="503">
      <c r="A503" s="0" t="inlineStr">
        <is>
          <t>GRAO EMPORIO NATURAL</t>
        </is>
      </c>
      <c r="B503" s="0" t="inlineStr">
        <is>
          <t>48794235000129</t>
        </is>
      </c>
      <c r="C503" s="0" t="inlineStr">
        <is>
          <t>J L G COMERCIO DE PRODUTOS NATURAIS LTDA</t>
        </is>
      </c>
      <c r="D503" s="0" t="inlineStr">
        <is>
          <t>PE</t>
        </is>
      </c>
      <c r="E503" s="0" t="inlineStr">
        <is>
          <t>OLINDA</t>
        </is>
      </c>
      <c r="F503" s="0" t="inlineStr">
        <is>
          <t>graoemporionatural@gmail.com</t>
        </is>
      </c>
      <c r="G503" s="0" t="inlineStr">
        <is>
          <t>558195167722, 81-9-9516-7722</t>
        </is>
      </c>
      <c r="J503" s="0" t="inlineStr">
        <is>
          <t>DAIANE STAVICKI</t>
        </is>
      </c>
      <c r="K503" s="0" t="inlineStr">
        <is>
          <t>Central - Daiane</t>
        </is>
      </c>
      <c r="L503" s="0" t="n">
        <v>5</v>
      </c>
      <c r="M503" s="0" t="inlineStr">
        <is>
          <t>10/02/2026</t>
        </is>
      </c>
      <c r="N503" s="0" t="n">
        <v>2020.19</v>
      </c>
      <c r="O503" s="0" t="n">
        <v>1</v>
      </c>
      <c r="P503" s="0" t="inlineStr">
        <is>
          <t>Sim</t>
        </is>
      </c>
      <c r="Q503" s="0" t="n">
        <v>142</v>
      </c>
      <c r="R503" s="0" t="n">
        <v>123</v>
      </c>
      <c r="S503" s="0" t="n">
        <v>2020.19</v>
      </c>
      <c r="T503" s="0" t="inlineStr">
        <is>
          <t>COMPRA B2B</t>
        </is>
      </c>
      <c r="U503" s="0" t="n">
        <v>0</v>
      </c>
      <c r="V503" s="0" t="n">
        <v>0</v>
      </c>
      <c r="W503" s="0" t="n">
        <v>0</v>
      </c>
      <c r="X503" s="0" t="n">
        <v>0</v>
      </c>
      <c r="Y503" s="0" t="n">
        <v>0</v>
      </c>
      <c r="Z503" s="0" t="n">
        <v>0</v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0</v>
      </c>
      <c r="AF503" s="0" t="n">
        <v>2020.19</v>
      </c>
      <c r="AH503" s="0" t="n">
        <v>1</v>
      </c>
      <c r="AI503" s="0" t="inlineStr">
        <is>
          <t>A</t>
        </is>
      </c>
      <c r="AJ503" s="0" t="n">
        <v>1</v>
      </c>
      <c r="AK503" s="0" t="n">
        <v>2020.19</v>
      </c>
      <c r="AP503" s="0">
        <f>IF(AH503="","",IF(AH503=0,"PROSPECT",IF(AH503=1,"NOVO",IF(AH503&lt;=3,"EM DESENVOLVIMENTO",IF(AH503&lt;=6,"RECORRENTE","FIDELIZADO")))))</f>
        <v/>
      </c>
      <c r="AQ503" s="0">
        <f>IF(AJ503=0,0,IFERROR(SUM(U503:AF503)/AJ503,0))</f>
        <v/>
      </c>
      <c r="AS503" s="0" t="inlineStr">
        <is>
          <t>Carteira FEV/26 + Ecom FEV/26 + Vendas FEV/26 + ABC FEV/26</t>
        </is>
      </c>
    </row>
    <row r="504">
      <c r="A504" s="0" t="inlineStr">
        <is>
          <t>EMPORIO MIX DE SAPUCAIA LTDA</t>
        </is>
      </c>
      <c r="B504" s="0" t="inlineStr">
        <is>
          <t>47900505000176</t>
        </is>
      </c>
      <c r="C504" s="0" t="inlineStr">
        <is>
          <t>EMPORIO MIX DE SAPUCAIA LTDA</t>
        </is>
      </c>
      <c r="D504" s="0" t="inlineStr">
        <is>
          <t>RJ</t>
        </is>
      </c>
      <c r="E504" s="0" t="inlineStr">
        <is>
          <t>SAPUCAIA</t>
        </is>
      </c>
      <c r="F504" s="0" t="inlineStr">
        <is>
          <t>emporiomixap@gmail.com</t>
        </is>
      </c>
      <c r="G504" s="0" t="inlineStr">
        <is>
          <t>+55 (32) 99809-1094</t>
        </is>
      </c>
      <c r="J504" s="0" t="inlineStr">
        <is>
          <t>DAIANE STAVICKI</t>
        </is>
      </c>
      <c r="K504" s="0" t="inlineStr">
        <is>
          <t>Central - Daiane</t>
        </is>
      </c>
      <c r="L504" s="0" t="n">
        <v>5</v>
      </c>
      <c r="M504" s="0" t="inlineStr">
        <is>
          <t>10/02/2026</t>
        </is>
      </c>
      <c r="N504" s="0" t="n">
        <v>1597.24</v>
      </c>
      <c r="O504" s="0" t="n">
        <v>13</v>
      </c>
      <c r="P504" s="0" t="inlineStr">
        <is>
          <t>Sim</t>
        </is>
      </c>
      <c r="Q504" s="0" t="n">
        <v>67</v>
      </c>
      <c r="R504" s="0" t="n">
        <v>13</v>
      </c>
      <c r="S504" s="0" t="n">
        <v>1597.24</v>
      </c>
      <c r="T504" s="0" t="inlineStr">
        <is>
          <t>COMPRA B2B</t>
        </is>
      </c>
      <c r="U504" s="0" t="n">
        <v>0</v>
      </c>
      <c r="V504" s="0" t="n">
        <v>0</v>
      </c>
      <c r="W504" s="0" t="n">
        <v>0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1597.24</v>
      </c>
      <c r="AH504" s="0" t="n">
        <v>1</v>
      </c>
      <c r="AI504" s="0" t="inlineStr">
        <is>
          <t>A</t>
        </is>
      </c>
      <c r="AJ504" s="0" t="n">
        <v>1</v>
      </c>
      <c r="AK504" s="0" t="n">
        <v>1597.24</v>
      </c>
      <c r="AL504" s="31" t="n">
        <v>46063.72361111111</v>
      </c>
      <c r="AM504" s="31" t="n">
        <v>46063.72361111111</v>
      </c>
      <c r="AN504" s="0" t="inlineStr">
        <is>
          <t>LIGAÇÃO</t>
        </is>
      </c>
      <c r="AO504" s="0" t="inlineStr">
        <is>
          <t>TEM RESTRIÇÃO, E FEZ PAGAMENTO NO PIX</t>
        </is>
      </c>
      <c r="AP504" s="0">
        <f>IF(AH504="","",IF(AH504=0,"PROSPECT",IF(AH504=1,"NOVO",IF(AH504&lt;=3,"EM DESENVOLVIMENTO",IF(AH504&lt;=6,"RECORRENTE","FIDELIZADO")))))</f>
        <v/>
      </c>
      <c r="AQ504" s="0">
        <f>IF(AJ504=0,0,IFERROR(SUM(U504:AF504)/AJ504,0))</f>
        <v/>
      </c>
      <c r="AS504" s="0" t="inlineStr">
        <is>
          <t>Carteira FEV/26 + Atend FEV/26 + Ecom FEV/26 + Vendas FEV/26 + ABC FEV/26</t>
        </is>
      </c>
    </row>
    <row r="505">
      <c r="A505" s="0" t="inlineStr">
        <is>
          <t>QUINTAL DAS DESCOBERTAS</t>
        </is>
      </c>
      <c r="B505" s="0" t="inlineStr">
        <is>
          <t>35830031000154</t>
        </is>
      </c>
      <c r="C505" s="0" t="inlineStr">
        <is>
          <t>QUINTAL CENTRO DE DESENVOLVIMENTO INFANTIL LTDA</t>
        </is>
      </c>
      <c r="D505" s="0" t="inlineStr">
        <is>
          <t>DF</t>
        </is>
      </c>
      <c r="E505" s="0" t="inlineStr">
        <is>
          <t>BRASILIA</t>
        </is>
      </c>
      <c r="F505" s="0" t="inlineStr">
        <is>
          <t>cristiane.r.dos.santos@gmail.com</t>
        </is>
      </c>
      <c r="G505" s="0" t="inlineStr">
        <is>
          <t>+55 (61) 9176-2565</t>
        </is>
      </c>
      <c r="J505" s="0" t="inlineStr">
        <is>
          <t>DAIANE STAVICKI</t>
        </is>
      </c>
      <c r="K505" s="0" t="inlineStr">
        <is>
          <t>Central - Daiane</t>
        </is>
      </c>
      <c r="L505" s="0" t="n">
        <v>6</v>
      </c>
      <c r="M505" s="0" t="inlineStr">
        <is>
          <t>09/02/2026</t>
        </is>
      </c>
      <c r="N505" s="0" t="n">
        <v>681.08</v>
      </c>
      <c r="O505" s="0" t="n">
        <v>3</v>
      </c>
      <c r="P505" s="0" t="inlineStr">
        <is>
          <t>Sim</t>
        </is>
      </c>
      <c r="Q505" s="0" t="n">
        <v>46</v>
      </c>
      <c r="R505" s="0" t="n">
        <v>16</v>
      </c>
      <c r="S505" s="0" t="n">
        <v>681.08</v>
      </c>
      <c r="T505" s="0" t="inlineStr">
        <is>
          <t>COMPRA B2B</t>
        </is>
      </c>
      <c r="U505" s="0" t="n">
        <v>0</v>
      </c>
      <c r="V505" s="0" t="n">
        <v>0</v>
      </c>
      <c r="W505" s="0" t="n">
        <v>0</v>
      </c>
      <c r="X505" s="0" t="n">
        <v>0</v>
      </c>
      <c r="Y505" s="0" t="n">
        <v>0</v>
      </c>
      <c r="Z505" s="0" t="n">
        <v>0</v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681.08</v>
      </c>
      <c r="AH505" s="0" t="n">
        <v>1</v>
      </c>
      <c r="AI505" s="0" t="inlineStr">
        <is>
          <t>C</t>
        </is>
      </c>
      <c r="AJ505" s="0" t="n">
        <v>1</v>
      </c>
      <c r="AK505" s="0" t="n">
        <v>681.08</v>
      </c>
      <c r="AL505" s="31" t="n">
        <v>46059.4625</v>
      </c>
      <c r="AM505" s="31" t="n">
        <v>46059.4625</v>
      </c>
      <c r="AN505" s="0" t="inlineStr">
        <is>
          <t>WHATSAPP</t>
        </is>
      </c>
      <c r="AO505" s="0" t="inlineStr">
        <is>
          <t>CRIS TRABALHA COM ALIMENTAÇÃO PRA CRIANÇA, JÁ VENDE LINHA DISNEY</t>
        </is>
      </c>
      <c r="AP505" s="0">
        <f>IF(AH505="","",IF(AH505=0,"PROSPECT",IF(AH505=1,"NOVO",IF(AH505&lt;=3,"EM DESENVOLVIMENTO",IF(AH505&lt;=6,"RECORRENTE","FIDELIZADO")))))</f>
        <v/>
      </c>
      <c r="AQ505" s="0">
        <f>IF(AJ505=0,0,IFERROR(SUM(U505:AF505)/AJ505,0))</f>
        <v/>
      </c>
      <c r="AS505" s="0" t="inlineStr">
        <is>
          <t>Carteira FEV/26 + Atend FEV/26 + Ecom FEV/26 + Vendas FEV/26 + ABC FEV/26</t>
        </is>
      </c>
    </row>
  </sheetData>
  <mergeCells count="7">
    <mergeCell ref="AL2:AO2"/>
    <mergeCell ref="U2:AF2"/>
    <mergeCell ref="A1:AO1"/>
    <mergeCell ref="A2:K2"/>
    <mergeCell ref="AG2:AK2"/>
    <mergeCell ref="L2:N2"/>
    <mergeCell ref="O2:T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6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4.25" zeroHeight="0" outlineLevelRow="0"/>
  <sheetData/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Leandro Garcia</dc:creator>
  <dc:language>en-US</dc:language>
  <dcterms:created xsi:type="dcterms:W3CDTF">2026-02-10T11:56:09Z</dcterms:created>
  <dcterms:modified xsi:type="dcterms:W3CDTF">2026-02-17T13:19:11Z</dcterms:modified>
  <cp:lastModifiedBy>Leandro Garcia</cp:lastModifiedBy>
  <cp:revision>0</cp:revision>
</cp:coreProperties>
</file>